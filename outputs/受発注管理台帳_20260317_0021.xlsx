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drawings/drawing1.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drawings/drawing2.xml" ContentType="application/vnd.openxmlformats-officedocument.drawing+xml"/>
  <Override PartName="/xl/worksheets/sheet10.xml" ContentType="application/vnd.openxmlformats-officedocument.spreadsheetml.worksheet+xml"/>
  <Override PartName="/xl/drawings/drawing3.xml" ContentType="application/vnd.openxmlformats-officedocument.drawing+xml"/>
  <Override PartName="/xl/worksheets/sheet11.xml" ContentType="application/vnd.openxmlformats-officedocument.spreadsheetml.worksheet+xml"/>
  <Override PartName="/xl/drawings/drawing4.xml" ContentType="application/vnd.openxmlformats-officedocument.drawing+xml"/>
  <Override PartName="/xl/worksheets/sheet12.xml" ContentType="application/vnd.openxmlformats-officedocument.spreadsheetml.worksheet+xml"/>
  <Override PartName="/xl/drawings/drawing5.xml" ContentType="application/vnd.openxmlformats-officedocument.drawing+xml"/>
  <Override PartName="/xl/worksheets/sheet13.xml" ContentType="application/vnd.openxmlformats-officedocument.spreadsheetml.worksheet+xml"/>
  <Override PartName="/xl/worksheets/sheet14.xml" ContentType="application/vnd.openxmlformats-officedocument.spreadsheetml.worksheet+xml"/>
  <Override PartName="/xl/tables/table7.xml" ContentType="application/vnd.openxmlformats-officedocument.spreadsheetml.table+xml"/>
  <Override PartName="/xl/worksheets/sheet15.xml" ContentType="application/vnd.openxmlformats-officedocument.spreadsheetml.worksheet+xml"/>
  <Override PartName="/xl/pivotCache/pivotCacheRecords1.xml" ContentType="application/vnd.openxmlformats-officedocument.spreadsheetml.pivotCacheRecords+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worksheets/sheet16.xml" ContentType="application/vnd.openxmlformats-officedocument.spreadsheetml.worksheet+xml"/>
  <Override PartName="/xl/drawings/drawing6.xml" ContentType="application/vnd.openxmlformats-officedocument.drawing+xml"/>
  <Override PartName="/xl/worksheets/sheet17.xml" ContentType="application/vnd.openxmlformats-officedocument.spreadsheetml.worksheet+xml"/>
  <Override PartName="/xl/drawings/drawing7.xml" ContentType="application/vnd.openxmlformats-officedocument.drawing+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3148" yWindow="-108" windowWidth="23256" windowHeight="12456" tabRatio="600" firstSheet="0" activeTab="4" autoFilterDateGrouping="1"/>
  </bookViews>
  <sheets>
    <sheet name="仕入先マスタ" sheetId="1" state="visible" r:id="rId1"/>
    <sheet name="商品マスタ" sheetId="2" state="visible" r:id="rId2"/>
    <sheet name="案件番号採番" sheetId="3" state="visible" r:id="rId3"/>
    <sheet name="顧客与信管理" sheetId="4" state="visible" r:id="rId4"/>
    <sheet name="案件明細" sheetId="5" state="visible" r:id="rId5"/>
    <sheet name="案件追跡表" sheetId="6" state="visible" r:id="rId6"/>
    <sheet name="見積書" sheetId="7" state="visible" r:id="rId7"/>
    <sheet name="注文確認メール" sheetId="8" state="visible" r:id="rId8"/>
    <sheet name="発注書" sheetId="9" state="visible" r:id="rId9"/>
    <sheet name="納品書" sheetId="10" state="visible" r:id="rId10"/>
    <sheet name="請求書" sheetId="11" state="visible" r:id="rId11"/>
    <sheet name="請求書 (前払)" sheetId="12" state="visible" r:id="rId12"/>
    <sheet name="入力ルール用シート" sheetId="13" state="visible" r:id="rId13"/>
    <sheet name="画像収集_優先リスト" sheetId="14" state="visible" r:id="rId14"/>
    <sheet name="案件集計" sheetId="15" state="visible" r:id="rId15"/>
    <sheet name="見積書 (内税)" sheetId="16" state="visible" r:id="rId16"/>
    <sheet name="請求書 (内税)" sheetId="17" state="visible" r:id="rId17"/>
  </sheets>
  <externalReferences>
    <externalReference r:id="rId19"/>
  </externalReferences>
  <definedNames>
    <definedName name="_xlnm.Print_Area" localSheetId="1">'商品マスタ'!$A$1:$AG$1128</definedName>
    <definedName name="_xlnm.Print_Area" localSheetId="6">'見積書'!$A$3:$H$49</definedName>
    <definedName name="_xlnm.Print_Area" localSheetId="8">'発注書'!$A$3:$H$54</definedName>
    <definedName name="_xlnm.Print_Area" localSheetId="9">'納品書'!$B$3:$I$54</definedName>
    <definedName name="_xlnm.Print_Area" localSheetId="10">'請求書'!$B$3:$I$57</definedName>
    <definedName name="_xlnm.Print_Area" localSheetId="11">'請求書 (前払)'!$B$3:$I$57</definedName>
    <definedName name="_xlnm.Print_Area" localSheetId="15">'見積書 (内税)'!$A$3:$H$48</definedName>
    <definedName name="_xlnm.Print_Area" localSheetId="16">'請求書 (内税)'!$B$3:$I$56</definedName>
  </definedNames>
  <calcPr calcId="191028" fullCalcOnLoad="1"/>
  <pivotCaches>
    <pivotCache cacheId="2" r:id="rId18"/>
  </pivotCaches>
</workbook>
</file>

<file path=xl/styles.xml><?xml version="1.0" encoding="utf-8"?>
<styleSheet xmlns="http://schemas.openxmlformats.org/spreadsheetml/2006/main">
  <numFmts count="9">
    <numFmt numFmtId="164" formatCode="&quot;¥&quot;#,##0;[Red]&quot;¥&quot;\-#,##0"/>
    <numFmt numFmtId="165" formatCode="&quot;¥&quot;#,##0;&quot;¥&quot;\-#,##0"/>
    <numFmt numFmtId="166" formatCode="[$-F800]dddd\,\ mmmm\ dd\,\ yyyy"/>
    <numFmt numFmtId="167" formatCode="0_);[Red]\(0\)"/>
    <numFmt numFmtId="168" formatCode="0.0%"/>
    <numFmt numFmtId="169" formatCode="yymmdd"/>
    <numFmt numFmtId="170" formatCode="yy/mm/dd"/>
    <numFmt numFmtId="171" formatCode="mmdd"/>
    <numFmt numFmtId="172" formatCode="&quot;¥&quot;#,##0_);[Red]\(&quot;¥&quot;#,##0\)"/>
  </numFmts>
  <fonts count="45">
    <font>
      <name val="游ゴシック"/>
      <family val="2"/>
      <color theme="1"/>
      <sz val="11"/>
      <scheme val="minor"/>
    </font>
    <font>
      <name val="游ゴシック"/>
      <charset val="128"/>
      <family val="2"/>
      <b val="1"/>
      <color theme="3"/>
      <sz val="11"/>
      <scheme val="minor"/>
    </font>
    <font>
      <name val="游ゴシック"/>
      <family val="2"/>
      <color theme="1"/>
      <sz val="11"/>
      <scheme val="minor"/>
    </font>
    <font>
      <name val="游ゴシック"/>
      <charset val="128"/>
      <family val="3"/>
      <sz val="6"/>
      <scheme val="minor"/>
    </font>
    <font>
      <name val="游ゴシック"/>
      <charset val="128"/>
      <family val="3"/>
      <color theme="1"/>
      <sz val="11"/>
    </font>
    <font>
      <name val="游ゴシック"/>
      <charset val="128"/>
      <family val="3"/>
      <b val="1"/>
      <sz val="11"/>
    </font>
    <font>
      <name val="游ゴシック"/>
      <charset val="128"/>
      <family val="3"/>
      <b val="1"/>
      <color rgb="FFFFFFFF"/>
      <sz val="11"/>
    </font>
    <font>
      <name val="游明朝"/>
      <charset val="128"/>
      <family val="1"/>
      <b val="1"/>
      <color theme="0"/>
      <sz val="28"/>
    </font>
    <font>
      <name val="游明朝"/>
      <charset val="128"/>
      <family val="1"/>
      <color theme="0"/>
      <sz val="28"/>
    </font>
    <font>
      <name val="游ゴシック"/>
      <charset val="128"/>
      <family val="3"/>
      <b val="1"/>
      <color theme="1"/>
      <sz val="20"/>
    </font>
    <font>
      <name val="游ゴシック"/>
      <charset val="128"/>
      <family val="3"/>
      <color theme="1"/>
      <sz val="14"/>
    </font>
    <font>
      <name val="游ゴシック"/>
      <charset val="128"/>
      <family val="3"/>
      <b val="1"/>
      <sz val="14"/>
    </font>
    <font>
      <name val="游ゴシック"/>
      <charset val="128"/>
      <family val="3"/>
      <color theme="1"/>
      <sz val="16"/>
    </font>
    <font>
      <name val="游ゴシック"/>
      <charset val="128"/>
      <family val="3"/>
      <b val="1"/>
      <color theme="1"/>
      <sz val="14"/>
    </font>
    <font>
      <name val="ＭＳ Ｐゴシック"/>
      <charset val="128"/>
      <family val="3"/>
      <b val="1"/>
      <sz val="11"/>
    </font>
    <font>
      <name val="游ゴシック"/>
      <family val="2"/>
      <sz val="11"/>
      <scheme val="minor"/>
    </font>
    <font>
      <name val="游ゴシック"/>
      <charset val="128"/>
      <family val="3"/>
      <b val="1"/>
      <color theme="1"/>
      <sz val="11"/>
      <scheme val="minor"/>
    </font>
    <font>
      <name val="游ゴシック"/>
      <charset val="128"/>
      <family val="3"/>
      <color theme="1"/>
      <sz val="11"/>
      <scheme val="minor"/>
    </font>
    <font>
      <name val="游ゴシック"/>
      <charset val="128"/>
      <family val="3"/>
      <b val="1"/>
      <sz val="11"/>
      <scheme val="minor"/>
    </font>
    <font>
      <name val="游ゴシック"/>
      <charset val="128"/>
      <family val="3"/>
      <sz val="11"/>
      <scheme val="minor"/>
    </font>
    <font>
      <name val="Arial"/>
      <family val="2"/>
      <color rgb="FF474747"/>
      <sz val="11"/>
    </font>
    <font>
      <name val="Arial"/>
      <family val="2"/>
      <b val="1"/>
      <color rgb="FF767676"/>
      <sz val="11"/>
    </font>
    <font>
      <name val="游ゴシック"/>
      <charset val="128"/>
      <family val="3"/>
      <color indexed="10"/>
      <sz val="10"/>
      <scheme val="minor"/>
    </font>
    <font>
      <name val="游ゴシック"/>
      <charset val="128"/>
      <family val="3"/>
      <color rgb="FF000000"/>
      <sz val="11"/>
      <scheme val="minor"/>
    </font>
    <font>
      <name val="Calibri"/>
      <family val="2"/>
      <color rgb="FF000000"/>
      <sz val="11"/>
    </font>
    <font>
      <name val="Arial"/>
      <family val="2"/>
      <color rgb="FF1F1F1F"/>
      <sz val="11"/>
    </font>
    <font>
      <name val="游ゴシック"/>
      <charset val="128"/>
      <family val="3"/>
      <b val="1"/>
      <color theme="1"/>
      <sz val="11"/>
    </font>
    <font>
      <name val="游ゴシック"/>
      <charset val="128"/>
      <family val="3"/>
      <b val="1"/>
      <color theme="1"/>
      <sz val="16"/>
    </font>
    <font>
      <name val="游ゴシック"/>
      <charset val="128"/>
      <family val="3"/>
      <color theme="1"/>
      <sz val="10"/>
    </font>
    <font>
      <name val="ＭＳ ゴシック"/>
      <charset val="128"/>
      <family val="3"/>
      <sz val="6"/>
    </font>
    <font>
      <name val="游ゴシック"/>
      <charset val="128"/>
      <family val="3"/>
      <color rgb="FF272C2B"/>
      <sz val="11"/>
      <scheme val="minor"/>
    </font>
    <font>
      <name val="游ゴシック"/>
      <charset val="128"/>
      <family val="2"/>
      <sz val="6"/>
      <scheme val="minor"/>
    </font>
    <font>
      <name val="游ゴシック"/>
      <charset val="128"/>
      <family val="3"/>
      <sz val="11"/>
    </font>
    <font>
      <name val="ＭＳ ゴシック"/>
      <charset val="128"/>
      <family val="3"/>
      <b val="1"/>
      <sz val="11"/>
    </font>
    <font>
      <name val="Noto Sans CJK SC"/>
      <family val="3"/>
      <b val="1"/>
      <sz val="11"/>
    </font>
    <font>
      <name val="ＭＳ Ｐゴシック"/>
      <charset val="128"/>
      <family val="2"/>
      <b val="1"/>
      <sz val="11"/>
    </font>
    <font>
      <name val="Noto Sans CJK SC"/>
      <family val="2"/>
      <b val="1"/>
      <sz val="11"/>
    </font>
    <font>
      <name val="Meiryo UI"/>
      <charset val="128"/>
      <family val="3"/>
      <color theme="1"/>
      <sz val="11"/>
    </font>
    <font>
      <name val="游ゴシック"/>
      <charset val="128"/>
      <family val="2"/>
      <b val="1"/>
      <sz val="11"/>
    </font>
    <font>
      <name val="游ゴシック"/>
      <charset val="128"/>
      <family val="3"/>
      <color theme="1"/>
      <sz val="12"/>
    </font>
    <font>
      <name val="游明朝"/>
      <charset val="128"/>
      <family val="1"/>
      <b val="1"/>
      <sz val="28"/>
    </font>
    <font>
      <name val="游明朝"/>
      <charset val="128"/>
      <family val="1"/>
      <sz val="28"/>
    </font>
    <font>
      <name val="Meiryo"/>
      <charset val="128"/>
      <family val="3"/>
      <sz val="10"/>
    </font>
    <font>
      <name val="Meiryo"/>
      <charset val="128"/>
      <family val="3"/>
      <b val="1"/>
      <sz val="11"/>
    </font>
    <font>
      <name val="Meiryo"/>
      <charset val="128"/>
      <family val="3"/>
      <sz val="11"/>
    </font>
  </fonts>
  <fills count="11">
    <fill>
      <patternFill/>
    </fill>
    <fill>
      <patternFill patternType="gray125"/>
    </fill>
    <fill>
      <patternFill patternType="solid">
        <fgColor theme="1" tint="0.3499862666707358"/>
        <bgColor indexed="64"/>
      </patternFill>
    </fill>
    <fill>
      <patternFill patternType="solid">
        <fgColor rgb="FFFFFF00"/>
        <bgColor indexed="64"/>
      </patternFill>
    </fill>
    <fill>
      <patternFill patternType="solid">
        <fgColor theme="0" tint="-0.1499984740745262"/>
        <bgColor theme="0" tint="-0.1499984740745262"/>
      </patternFill>
    </fill>
    <fill>
      <patternFill patternType="solid">
        <fgColor theme="0"/>
        <bgColor indexed="64"/>
      </patternFill>
    </fill>
    <fill>
      <patternFill patternType="solid">
        <fgColor theme="0" tint="-0.1499984740745262"/>
        <bgColor indexed="64"/>
      </patternFill>
    </fill>
    <fill>
      <patternFill patternType="solid">
        <fgColor theme="1"/>
        <bgColor indexed="64"/>
      </patternFill>
    </fill>
    <fill>
      <patternFill patternType="solid">
        <fgColor theme="1"/>
        <bgColor rgb="FF4472C4"/>
      </patternFill>
    </fill>
    <fill>
      <patternFill patternType="solid">
        <fgColor theme="0" tint="-0.499984740745262"/>
        <bgColor indexed="64"/>
      </patternFill>
    </fill>
    <fill>
      <patternFill patternType="solid">
        <fgColor theme="0" tint="-0.499984740745262"/>
        <bgColor rgb="FF4472C4"/>
      </patternFill>
    </fill>
  </fills>
  <borders count="39">
    <border>
      <left/>
      <right/>
      <top/>
      <bottom/>
      <diagonal/>
    </border>
    <border>
      <left style="thin">
        <color auto="1"/>
      </left>
      <right style="thin">
        <color auto="1"/>
      </right>
      <top style="thin">
        <color auto="1"/>
      </top>
      <bottom style="thin">
        <color auto="1"/>
      </bottom>
      <diagonal/>
    </border>
    <border>
      <left style="thin">
        <color indexed="64"/>
      </left>
      <right/>
      <top style="thin">
        <color indexed="64"/>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indexed="64"/>
      </right>
      <top/>
      <bottom/>
      <diagonal/>
    </border>
    <border>
      <left/>
      <right/>
      <top/>
      <bottom style="medium">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auto="1"/>
      </right>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style="medium">
        <color indexed="64"/>
      </top>
      <bottom/>
      <diagonal/>
    </border>
    <border>
      <left/>
      <right/>
      <top style="medium">
        <color indexed="64"/>
      </top>
      <bottom/>
      <diagonal/>
    </border>
    <border>
      <left style="thin">
        <color indexed="64"/>
      </left>
      <right/>
      <top style="thin">
        <color indexed="64"/>
      </top>
      <bottom style="medium">
        <color indexed="64"/>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thin">
        <color auto="1"/>
      </left>
      <right style="thin">
        <color auto="1"/>
      </right>
      <top/>
      <bottom/>
      <diagonal/>
    </border>
    <border>
      <left style="thin">
        <color auto="1"/>
      </left>
      <right style="medium">
        <color indexed="64"/>
      </right>
      <top/>
      <bottom style="thin">
        <color auto="1"/>
      </bottom>
      <diagonal/>
    </border>
    <border>
      <left style="thin">
        <color auto="1"/>
      </left>
      <right style="medium">
        <color indexed="64"/>
      </right>
      <top style="thin">
        <color auto="1"/>
      </top>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bottom style="thin">
        <color auto="1"/>
      </bottom>
      <diagonal/>
    </border>
    <border>
      <left style="medium">
        <color indexed="64"/>
      </left>
      <right style="medium">
        <color indexed="64"/>
      </right>
      <top style="thin">
        <color auto="1"/>
      </top>
      <bottom/>
      <diagonal/>
    </border>
    <border>
      <left/>
      <right style="thin">
        <color auto="1"/>
      </right>
      <top style="medium">
        <color indexed="64"/>
      </top>
      <bottom/>
      <diagonal/>
    </border>
    <border>
      <left/>
      <right/>
      <top style="medium">
        <color indexed="64"/>
      </top>
      <bottom style="thin">
        <color auto="1"/>
      </bottom>
      <diagonal/>
    </border>
    <border>
      <left/>
      <right style="thin">
        <color auto="1"/>
      </right>
      <top style="medium">
        <color indexed="64"/>
      </top>
      <bottom style="thin">
        <color auto="1"/>
      </bottom>
      <diagonal/>
    </border>
  </borders>
  <cellStyleXfs count="11">
    <xf numFmtId="0" fontId="2" fillId="0" borderId="0"/>
    <xf numFmtId="38" fontId="2" fillId="0" borderId="0" applyAlignment="1">
      <alignment vertical="center"/>
    </xf>
    <xf numFmtId="9" fontId="2" fillId="0" borderId="0" applyAlignment="1">
      <alignment vertical="center"/>
    </xf>
    <xf numFmtId="38" fontId="2" fillId="0" borderId="0" applyAlignment="1">
      <alignment vertical="center"/>
    </xf>
    <xf numFmtId="9" fontId="2" fillId="0" borderId="0" applyAlignment="1">
      <alignment vertical="center"/>
    </xf>
    <xf numFmtId="6" fontId="2" fillId="0" borderId="0" applyAlignment="1">
      <alignment vertical="center"/>
    </xf>
    <xf numFmtId="38" fontId="2" fillId="0" borderId="0" applyAlignment="1">
      <alignment vertical="center"/>
    </xf>
    <xf numFmtId="9" fontId="2" fillId="0" borderId="0" applyAlignment="1">
      <alignment vertical="center"/>
    </xf>
    <xf numFmtId="38" fontId="2" fillId="0" borderId="0" applyAlignment="1">
      <alignment vertical="center"/>
    </xf>
    <xf numFmtId="9" fontId="2" fillId="0" borderId="0" applyAlignment="1">
      <alignment vertical="center"/>
    </xf>
    <xf numFmtId="6" fontId="2" fillId="0" borderId="0" applyAlignment="1">
      <alignment vertical="center"/>
    </xf>
  </cellStyleXfs>
  <cellXfs count="341">
    <xf numFmtId="0" fontId="0" fillId="0" borderId="0" pivotButton="0" quotePrefix="0" xfId="0"/>
    <xf numFmtId="0" fontId="4" fillId="0" borderId="0" pivotButton="0" quotePrefix="0" xfId="0"/>
    <xf numFmtId="0" fontId="4" fillId="0" borderId="1" applyAlignment="1" pivotButton="0" quotePrefix="0" xfId="0">
      <alignment horizontal="right" vertical="center"/>
    </xf>
    <xf numFmtId="0" fontId="4" fillId="0" borderId="0" applyAlignment="1" pivotButton="0" quotePrefix="0" xfId="0">
      <alignment horizontal="right" vertical="top"/>
    </xf>
    <xf numFmtId="0" fontId="9" fillId="0" borderId="0" pivotButton="0" quotePrefix="0" xfId="0"/>
    <xf numFmtId="0" fontId="10" fillId="0" borderId="0" pivotButton="0" quotePrefix="0" xfId="0"/>
    <xf numFmtId="0" fontId="4" fillId="0" borderId="2" pivotButton="0" quotePrefix="0" xfId="0"/>
    <xf numFmtId="0" fontId="4" fillId="0" borderId="3" pivotButton="0" quotePrefix="0" xfId="0"/>
    <xf numFmtId="0" fontId="4" fillId="0" borderId="4" pivotButton="0" quotePrefix="0" xfId="0"/>
    <xf numFmtId="0" fontId="5" fillId="0" borderId="5" pivotButton="0" quotePrefix="0" xfId="0"/>
    <xf numFmtId="0" fontId="4" fillId="0" borderId="6" pivotButton="0" quotePrefix="0" xfId="0"/>
    <xf numFmtId="0" fontId="4" fillId="0" borderId="5" applyAlignment="1" pivotButton="0" quotePrefix="0" xfId="0">
      <alignment vertical="center"/>
    </xf>
    <xf numFmtId="0" fontId="9" fillId="0" borderId="6" applyAlignment="1" pivotButton="0" quotePrefix="0" xfId="0">
      <alignment horizontal="left"/>
    </xf>
    <xf numFmtId="0" fontId="4" fillId="0" borderId="8" applyAlignment="1" pivotButton="0" quotePrefix="0" xfId="0">
      <alignment vertical="center"/>
    </xf>
    <xf numFmtId="0" fontId="4" fillId="0" borderId="9" pivotButton="0" quotePrefix="0" xfId="0"/>
    <xf numFmtId="0" fontId="4" fillId="0" borderId="10" pivotButton="0" quotePrefix="0" xfId="0"/>
    <xf numFmtId="0" fontId="4" fillId="0" borderId="1" applyAlignment="1" pivotButton="0" quotePrefix="0" xfId="0">
      <alignment vertical="center"/>
    </xf>
    <xf numFmtId="164" fontId="4" fillId="0" borderId="1" applyAlignment="1" pivotButton="0" quotePrefix="0" xfId="1">
      <alignment vertical="center"/>
    </xf>
    <xf numFmtId="9" fontId="4" fillId="0" borderId="1" applyAlignment="1" pivotButton="0" quotePrefix="0" xfId="2">
      <alignment vertical="center"/>
    </xf>
    <xf numFmtId="0" fontId="10" fillId="0" borderId="0" applyAlignment="1" pivotButton="0" quotePrefix="0" xfId="0">
      <alignment vertical="center"/>
    </xf>
    <xf numFmtId="0" fontId="11" fillId="0" borderId="0" applyAlignment="1" pivotButton="0" quotePrefix="0" xfId="0">
      <alignment horizontal="right" vertical="center"/>
    </xf>
    <xf numFmtId="164" fontId="10" fillId="0" borderId="1" applyAlignment="1" pivotButton="0" quotePrefix="0" xfId="1">
      <alignment vertical="center"/>
    </xf>
    <xf numFmtId="0" fontId="10" fillId="0" borderId="1" applyAlignment="1" pivotButton="0" quotePrefix="0" xfId="0">
      <alignment vertical="center"/>
    </xf>
    <xf numFmtId="0" fontId="12" fillId="0" borderId="0" pivotButton="0" quotePrefix="0" xfId="0"/>
    <xf numFmtId="0" fontId="11" fillId="0" borderId="0" applyAlignment="1" pivotButton="0" quotePrefix="0" xfId="0">
      <alignment horizontal="right"/>
    </xf>
    <xf numFmtId="164" fontId="10" fillId="0" borderId="0" pivotButton="0" quotePrefix="0" xfId="1"/>
    <xf numFmtId="0" fontId="13" fillId="0" borderId="1" applyAlignment="1" pivotButton="0" quotePrefix="0" xfId="0">
      <alignment horizontal="center"/>
    </xf>
    <xf numFmtId="0" fontId="10" fillId="0" borderId="0" applyAlignment="1" pivotButton="0" quotePrefix="0" xfId="0">
      <alignment vertical="top"/>
    </xf>
    <xf numFmtId="9" fontId="13" fillId="0" borderId="0" applyAlignment="1" pivotButton="0" quotePrefix="0" xfId="0">
      <alignment horizontal="right"/>
    </xf>
    <xf numFmtId="0" fontId="13" fillId="0" borderId="0" applyAlignment="1" pivotButton="0" quotePrefix="0" xfId="0">
      <alignment horizontal="right"/>
    </xf>
    <xf numFmtId="165" fontId="11" fillId="0" borderId="11" pivotButton="0" quotePrefix="0" xfId="1"/>
    <xf numFmtId="165" fontId="13" fillId="0" borderId="12" pivotButton="0" quotePrefix="0" xfId="1"/>
    <xf numFmtId="0" fontId="13" fillId="0" borderId="0" pivotButton="0" quotePrefix="0" xfId="0"/>
    <xf numFmtId="0" fontId="4" fillId="0" borderId="5" pivotButton="0" quotePrefix="0" xfId="0"/>
    <xf numFmtId="0" fontId="4" fillId="0" borderId="8" pivotButton="0" quotePrefix="0" xfId="0"/>
    <xf numFmtId="0" fontId="15" fillId="0" borderId="0" pivotButton="0" quotePrefix="0" xfId="0"/>
    <xf numFmtId="0" fontId="15" fillId="2" borderId="0" pivotButton="0" quotePrefix="0" xfId="0"/>
    <xf numFmtId="0" fontId="4" fillId="0" borderId="0" applyAlignment="1" pivotButton="0" quotePrefix="0" xfId="0">
      <alignment horizontal="right"/>
    </xf>
    <xf numFmtId="0" fontId="4" fillId="0" borderId="0" applyAlignment="1" pivotButton="0" quotePrefix="0" xfId="0">
      <alignment horizontal="left"/>
    </xf>
    <xf numFmtId="164" fontId="10" fillId="0" borderId="1" applyAlignment="1" pivotButton="0" quotePrefix="0" xfId="3">
      <alignment vertical="center"/>
    </xf>
    <xf numFmtId="164" fontId="10" fillId="0" borderId="0" pivotButton="0" quotePrefix="0" xfId="3"/>
    <xf numFmtId="165" fontId="10" fillId="0" borderId="1" pivotButton="0" quotePrefix="0" xfId="3"/>
    <xf numFmtId="165" fontId="11" fillId="0" borderId="11" pivotButton="0" quotePrefix="0" xfId="3"/>
    <xf numFmtId="165" fontId="13" fillId="0" borderId="12" pivotButton="0" quotePrefix="0" xfId="3"/>
    <xf numFmtId="0" fontId="0" fillId="0" borderId="0" pivotButton="0" quotePrefix="0" xfId="0"/>
    <xf numFmtId="0" fontId="4" fillId="0" borderId="0" applyAlignment="1" pivotButton="0" quotePrefix="0" xfId="0">
      <alignment vertical="center"/>
    </xf>
    <xf numFmtId="0" fontId="4" fillId="0" borderId="1" applyAlignment="1" pivotButton="0" quotePrefix="0" xfId="0">
      <alignment vertical="center" wrapText="1"/>
    </xf>
    <xf numFmtId="9" fontId="4" fillId="0" borderId="1" applyAlignment="1" pivotButton="0" quotePrefix="0" xfId="0">
      <alignment vertical="center" wrapText="1"/>
    </xf>
    <xf numFmtId="0" fontId="26" fillId="0" borderId="0" pivotButton="0" quotePrefix="0" xfId="0"/>
    <xf numFmtId="0" fontId="27" fillId="0" borderId="0" pivotButton="0" quotePrefix="0" xfId="0"/>
    <xf numFmtId="0" fontId="15" fillId="2" borderId="0" applyAlignment="1" pivotButton="0" quotePrefix="0" xfId="0">
      <alignment wrapText="1"/>
    </xf>
    <xf numFmtId="9" fontId="4" fillId="0" borderId="1" applyAlignment="1" pivotButton="0" quotePrefix="0" xfId="0">
      <alignment vertical="center"/>
    </xf>
    <xf numFmtId="0" fontId="15" fillId="0" borderId="0" applyAlignment="1" pivotButton="0" quotePrefix="0" xfId="0">
      <alignment horizontal="left"/>
    </xf>
    <xf numFmtId="0" fontId="0" fillId="0" borderId="0" pivotButton="0" quotePrefix="0" xfId="0"/>
    <xf numFmtId="0" fontId="17" fillId="0" borderId="0" pivotButton="0" quotePrefix="0" xfId="0"/>
    <xf numFmtId="0" fontId="4" fillId="0" borderId="1" applyAlignment="1" pivotButton="0" quotePrefix="0" xfId="0">
      <alignment horizontal="center" vertical="center"/>
    </xf>
    <xf numFmtId="0" fontId="10" fillId="0" borderId="2" pivotButton="0" quotePrefix="0" xfId="0"/>
    <xf numFmtId="0" fontId="10" fillId="0" borderId="3" pivotButton="0" quotePrefix="0" xfId="0"/>
    <xf numFmtId="0" fontId="10" fillId="0" borderId="4" pivotButton="0" quotePrefix="0" xfId="0"/>
    <xf numFmtId="0" fontId="10" fillId="0" borderId="5" pivotButton="0" quotePrefix="0" xfId="0"/>
    <xf numFmtId="0" fontId="10" fillId="0" borderId="6" pivotButton="0" quotePrefix="0" xfId="0"/>
    <xf numFmtId="0" fontId="10" fillId="0" borderId="9" pivotButton="0" quotePrefix="0" xfId="0"/>
    <xf numFmtId="0" fontId="10" fillId="0" borderId="10" pivotButton="0" quotePrefix="0" xfId="0"/>
    <xf numFmtId="0" fontId="0" fillId="0" borderId="1" applyAlignment="1" pivotButton="0" quotePrefix="0" xfId="0">
      <alignment vertical="center"/>
    </xf>
    <xf numFmtId="166" fontId="4" fillId="0" borderId="0" applyAlignment="1" pivotButton="0" quotePrefix="0" xfId="0">
      <alignment horizontal="right" vertical="top"/>
    </xf>
    <xf numFmtId="0" fontId="0" fillId="5" borderId="11" applyAlignment="1" pivotButton="0" quotePrefix="0" xfId="0">
      <alignment vertical="center"/>
    </xf>
    <xf numFmtId="0" fontId="0" fillId="0" borderId="0" pivotButton="0" quotePrefix="0" xfId="0"/>
    <xf numFmtId="0" fontId="0" fillId="0" borderId="10" pivotButton="0" quotePrefix="0" xfId="0"/>
    <xf numFmtId="0" fontId="0" fillId="0" borderId="13" pivotButton="0" quotePrefix="0" xfId="0"/>
    <xf numFmtId="0" fontId="0" fillId="0" borderId="8" pivotButton="0" quotePrefix="0" xfId="0"/>
    <xf numFmtId="0" fontId="0" fillId="0" borderId="12" applyAlignment="1" pivotButton="0" quotePrefix="0" xfId="0">
      <alignment vertical="center"/>
    </xf>
    <xf numFmtId="0" fontId="0" fillId="0" borderId="1" pivotButton="0" quotePrefix="0" xfId="0"/>
    <xf numFmtId="0" fontId="0" fillId="0" borderId="11" pivotButton="0" quotePrefix="0" xfId="0"/>
    <xf numFmtId="0" fontId="0" fillId="0" borderId="12" pivotButton="0" quotePrefix="0" xfId="0"/>
    <xf numFmtId="0" fontId="0" fillId="0" borderId="4" pivotButton="0" quotePrefix="0" xfId="0"/>
    <xf numFmtId="0" fontId="0" fillId="0" borderId="14" pivotButton="0" quotePrefix="0" xfId="0"/>
    <xf numFmtId="0" fontId="0" fillId="0" borderId="2" pivotButton="0" quotePrefix="0" xfId="0"/>
    <xf numFmtId="0" fontId="0" fillId="6" borderId="1" pivotButton="0" quotePrefix="0" xfId="0"/>
    <xf numFmtId="0" fontId="0" fillId="6" borderId="14" pivotButton="0" quotePrefix="0" xfId="0"/>
    <xf numFmtId="9" fontId="0" fillId="0" borderId="1" pivotButton="0" quotePrefix="0" xfId="4"/>
    <xf numFmtId="38" fontId="0" fillId="6" borderId="1" pivotButton="0" quotePrefix="0" xfId="3"/>
    <xf numFmtId="38" fontId="0" fillId="0" borderId="1" pivotButton="0" quotePrefix="0" xfId="3"/>
    <xf numFmtId="38" fontId="0" fillId="0" borderId="14" pivotButton="0" quotePrefix="0" xfId="3"/>
    <xf numFmtId="9" fontId="4" fillId="0" borderId="1" applyAlignment="1" pivotButton="0" quotePrefix="0" xfId="4">
      <alignment horizontal="center" vertical="center"/>
    </xf>
    <xf numFmtId="0" fontId="16" fillId="0" borderId="0" applyAlignment="1" pivotButton="0" quotePrefix="0" xfId="0">
      <alignment horizontal="center"/>
    </xf>
    <xf numFmtId="38" fontId="0" fillId="0" borderId="1" pivotButton="0" quotePrefix="0" xfId="3"/>
    <xf numFmtId="0" fontId="0" fillId="0" borderId="1" pivotButton="0" quotePrefix="0" xfId="0"/>
    <xf numFmtId="0" fontId="17" fillId="0" borderId="1" pivotButton="0" quotePrefix="0" xfId="0"/>
    <xf numFmtId="0" fontId="17" fillId="6" borderId="1" pivotButton="0" quotePrefix="0" xfId="0"/>
    <xf numFmtId="166" fontId="17" fillId="6" borderId="1" pivotButton="0" quotePrefix="0" xfId="0"/>
    <xf numFmtId="0" fontId="16" fillId="0" borderId="0" pivotButton="0" quotePrefix="0" xfId="0"/>
    <xf numFmtId="0" fontId="17" fillId="0" borderId="15" pivotButton="0" quotePrefix="0" xfId="0"/>
    <xf numFmtId="0" fontId="17" fillId="0" borderId="16" pivotButton="0" quotePrefix="0" xfId="0"/>
    <xf numFmtId="0" fontId="17" fillId="0" borderId="16" pivotButton="0" quotePrefix="1" xfId="0"/>
    <xf numFmtId="0" fontId="17" fillId="0" borderId="17" pivotButton="0" quotePrefix="0" xfId="0"/>
    <xf numFmtId="0" fontId="17" fillId="3" borderId="16" pivotButton="0" quotePrefix="0" xfId="0"/>
    <xf numFmtId="38" fontId="17" fillId="6" borderId="1" pivotButton="0" quotePrefix="0" xfId="3"/>
    <xf numFmtId="9" fontId="17" fillId="6" borderId="1" pivotButton="0" quotePrefix="0" xfId="4"/>
    <xf numFmtId="0" fontId="4" fillId="6" borderId="0" pivotButton="0" quotePrefix="0" xfId="0"/>
    <xf numFmtId="0" fontId="4" fillId="6" borderId="1" applyAlignment="1" pivotButton="0" quotePrefix="0" xfId="0">
      <alignment horizontal="center"/>
    </xf>
    <xf numFmtId="9" fontId="4" fillId="6" borderId="0" applyAlignment="1" pivotButton="0" quotePrefix="0" xfId="0">
      <alignment horizontal="right"/>
    </xf>
    <xf numFmtId="0" fontId="32" fillId="6" borderId="0" applyAlignment="1" pivotButton="0" quotePrefix="0" xfId="0">
      <alignment horizontal="right"/>
    </xf>
    <xf numFmtId="165" fontId="4" fillId="6" borderId="1" pivotButton="0" quotePrefix="0" xfId="3"/>
    <xf numFmtId="0" fontId="4" fillId="6" borderId="0" applyAlignment="1" pivotButton="0" quotePrefix="0" xfId="0">
      <alignment horizontal="right"/>
    </xf>
    <xf numFmtId="165" fontId="32" fillId="6" borderId="11" pivotButton="0" quotePrefix="0" xfId="1"/>
    <xf numFmtId="165" fontId="4" fillId="6" borderId="12" pivotButton="0" quotePrefix="0" xfId="1"/>
    <xf numFmtId="0" fontId="0" fillId="0" borderId="18" pivotButton="0" quotePrefix="0" xfId="0"/>
    <xf numFmtId="0" fontId="0" fillId="0" borderId="19" pivotButton="0" quotePrefix="0" xfId="0"/>
    <xf numFmtId="0" fontId="0" fillId="0" borderId="20" pivotButton="0" quotePrefix="0" xfId="0"/>
    <xf numFmtId="0" fontId="0" fillId="6" borderId="22" pivotButton="0" quotePrefix="0" xfId="0"/>
    <xf numFmtId="38" fontId="0" fillId="6" borderId="22" pivotButton="0" quotePrefix="0" xfId="3"/>
    <xf numFmtId="38" fontId="0" fillId="0" borderId="22" pivotButton="0" quotePrefix="0" xfId="3"/>
    <xf numFmtId="0" fontId="0" fillId="6" borderId="19" pivotButton="0" quotePrefix="0" xfId="0"/>
    <xf numFmtId="9" fontId="0" fillId="0" borderId="20" pivotButton="0" quotePrefix="0" xfId="4"/>
    <xf numFmtId="0" fontId="0" fillId="6" borderId="21" pivotButton="0" quotePrefix="0" xfId="0"/>
    <xf numFmtId="0" fontId="0" fillId="0" borderId="22" pivotButton="0" quotePrefix="0" xfId="0"/>
    <xf numFmtId="38" fontId="0" fillId="0" borderId="22" pivotButton="0" quotePrefix="0" xfId="3"/>
    <xf numFmtId="9" fontId="0" fillId="0" borderId="23" pivotButton="0" quotePrefix="0" xfId="4"/>
    <xf numFmtId="0" fontId="0" fillId="6" borderId="11" pivotButton="0" quotePrefix="0" xfId="0"/>
    <xf numFmtId="0" fontId="0" fillId="6" borderId="2" pivotButton="0" quotePrefix="0" xfId="0"/>
    <xf numFmtId="9" fontId="0" fillId="0" borderId="19" pivotButton="0" quotePrefix="0" xfId="4"/>
    <xf numFmtId="9" fontId="0" fillId="0" borderId="21" pivotButton="0" quotePrefix="0" xfId="4"/>
    <xf numFmtId="0" fontId="5" fillId="0" borderId="0" applyAlignment="1" pivotButton="0" quotePrefix="0" xfId="0">
      <alignment horizontal="right"/>
    </xf>
    <xf numFmtId="0" fontId="26" fillId="0" borderId="0" applyAlignment="1" pivotButton="0" quotePrefix="0" xfId="0">
      <alignment horizontal="right"/>
    </xf>
    <xf numFmtId="0" fontId="4" fillId="0" borderId="0" pivotButton="0" quotePrefix="0" xfId="0"/>
    <xf numFmtId="0" fontId="4" fillId="0" borderId="0" applyAlignment="1" pivotButton="0" quotePrefix="0" xfId="0">
      <alignment horizontal="right"/>
    </xf>
    <xf numFmtId="0" fontId="18" fillId="0" borderId="0" pivotButton="0" quotePrefix="0" xfId="0"/>
    <xf numFmtId="0" fontId="16" fillId="0" borderId="0" pivotButton="0" quotePrefix="0" xfId="0"/>
    <xf numFmtId="0" fontId="18" fillId="0" borderId="10" applyAlignment="1" pivotButton="0" quotePrefix="0" xfId="0">
      <alignment horizontal="center" vertical="center"/>
    </xf>
    <xf numFmtId="0" fontId="18" fillId="0" borderId="13" applyAlignment="1" pivotButton="0" quotePrefix="0" xfId="0">
      <alignment horizontal="center" vertical="center"/>
    </xf>
    <xf numFmtId="0" fontId="18" fillId="0" borderId="13" applyAlignment="1" pivotButton="0" quotePrefix="0" xfId="0">
      <alignment horizontal="center" vertical="center" wrapText="1"/>
    </xf>
    <xf numFmtId="0" fontId="18" fillId="0" borderId="8" applyAlignment="1" pivotButton="0" quotePrefix="0" xfId="0">
      <alignment horizontal="center" vertical="center" wrapText="1"/>
    </xf>
    <xf numFmtId="0" fontId="19" fillId="6" borderId="1" applyAlignment="1" pivotButton="0" quotePrefix="0" xfId="0">
      <alignment wrapText="1"/>
    </xf>
    <xf numFmtId="0" fontId="17" fillId="0" borderId="1" applyAlignment="1" pivotButton="0" quotePrefix="0" xfId="0">
      <alignment wrapText="1"/>
    </xf>
    <xf numFmtId="167" fontId="17" fillId="0" borderId="1" pivotButton="0" quotePrefix="0" xfId="0"/>
    <xf numFmtId="168" fontId="17" fillId="0" borderId="1" applyAlignment="1" pivotButton="0" quotePrefix="0" xfId="4">
      <alignment wrapText="1"/>
    </xf>
    <xf numFmtId="9" fontId="17" fillId="0" borderId="1" pivotButton="0" quotePrefix="0" xfId="4"/>
    <xf numFmtId="167" fontId="17" fillId="0" borderId="1" pivotButton="0" quotePrefix="0" xfId="4"/>
    <xf numFmtId="167" fontId="17" fillId="0" borderId="1" applyAlignment="1" pivotButton="0" quotePrefix="0" xfId="0">
      <alignment wrapText="1"/>
    </xf>
    <xf numFmtId="9" fontId="17" fillId="0" borderId="1" pivotButton="0" quotePrefix="0" xfId="0"/>
    <xf numFmtId="167" fontId="17" fillId="0" borderId="1" applyAlignment="1" pivotButton="0" quotePrefix="0" xfId="0">
      <alignment horizontal="center"/>
    </xf>
    <xf numFmtId="0" fontId="17" fillId="0" borderId="11" pivotButton="0" quotePrefix="0" xfId="0"/>
    <xf numFmtId="0" fontId="17" fillId="0" borderId="12" pivotButton="0" quotePrefix="0" xfId="0"/>
    <xf numFmtId="0" fontId="19" fillId="6" borderId="1" pivotButton="0" quotePrefix="0" xfId="0"/>
    <xf numFmtId="0" fontId="17" fillId="0" borderId="11" pivotButton="0" quotePrefix="0" xfId="0"/>
    <xf numFmtId="0" fontId="17" fillId="0" borderId="1" pivotButton="0" quotePrefix="0" xfId="0"/>
    <xf numFmtId="0" fontId="30" fillId="0" borderId="1" pivotButton="0" quotePrefix="0" xfId="0"/>
    <xf numFmtId="0" fontId="17" fillId="3" borderId="1" pivotButton="0" quotePrefix="0" xfId="0"/>
    <xf numFmtId="0" fontId="23" fillId="0" borderId="1" pivotButton="0" quotePrefix="0" xfId="0"/>
    <xf numFmtId="167" fontId="17" fillId="0" borderId="1" applyAlignment="1" pivotButton="0" quotePrefix="1" xfId="0">
      <alignment horizontal="center"/>
    </xf>
    <xf numFmtId="0" fontId="23" fillId="0" borderId="11" applyAlignment="1" pivotButton="0" quotePrefix="0" xfId="0">
      <alignment horizontal="left" vertical="center"/>
    </xf>
    <xf numFmtId="0" fontId="23" fillId="0" borderId="11" pivotButton="0" quotePrefix="0" xfId="0"/>
    <xf numFmtId="167" fontId="17" fillId="0" borderId="1" pivotButton="0" quotePrefix="0" xfId="5"/>
    <xf numFmtId="0" fontId="19" fillId="0" borderId="1" applyAlignment="1" pivotButton="0" quotePrefix="0" xfId="0">
      <alignment vertical="center"/>
    </xf>
    <xf numFmtId="167" fontId="17" fillId="0" borderId="1" pivotButton="0" quotePrefix="0" xfId="10"/>
    <xf numFmtId="168" fontId="17" fillId="0" borderId="1" applyAlignment="1" pivotButton="0" quotePrefix="0" xfId="7">
      <alignment wrapText="1"/>
    </xf>
    <xf numFmtId="9" fontId="17" fillId="0" borderId="1" pivotButton="0" quotePrefix="0" xfId="7"/>
    <xf numFmtId="56" fontId="17" fillId="0" borderId="1" pivotButton="0" quotePrefix="0" xfId="0"/>
    <xf numFmtId="0" fontId="19" fillId="2" borderId="1" pivotButton="0" quotePrefix="0" xfId="0"/>
    <xf numFmtId="0" fontId="17" fillId="0" borderId="14" pivotButton="0" quotePrefix="0" xfId="0"/>
    <xf numFmtId="167" fontId="17" fillId="0" borderId="14" pivotButton="0" quotePrefix="0" xfId="0"/>
    <xf numFmtId="168" fontId="17" fillId="0" borderId="14" applyAlignment="1" pivotButton="0" quotePrefix="0" xfId="4">
      <alignment wrapText="1"/>
    </xf>
    <xf numFmtId="9" fontId="17" fillId="0" borderId="14" pivotButton="0" quotePrefix="0" xfId="4"/>
    <xf numFmtId="9" fontId="17" fillId="0" borderId="14" pivotButton="0" quotePrefix="0" xfId="0"/>
    <xf numFmtId="0" fontId="19" fillId="2" borderId="14" pivotButton="0" quotePrefix="0" xfId="0"/>
    <xf numFmtId="0" fontId="17" fillId="0" borderId="2" pivotButton="0" quotePrefix="0" xfId="0"/>
    <xf numFmtId="0" fontId="17" fillId="0" borderId="12" pivotButton="0" quotePrefix="0" xfId="0"/>
    <xf numFmtId="0" fontId="17" fillId="0" borderId="1" pivotButton="0" quotePrefix="0" xfId="0"/>
    <xf numFmtId="0" fontId="23" fillId="0" borderId="1" pivotButton="0" quotePrefix="0" xfId="0"/>
    <xf numFmtId="0" fontId="23" fillId="0" borderId="12" pivotButton="0" quotePrefix="0" xfId="0"/>
    <xf numFmtId="0" fontId="17" fillId="0" borderId="1" applyAlignment="1" pivotButton="0" quotePrefix="0" xfId="0">
      <alignment vertical="center"/>
    </xf>
    <xf numFmtId="0" fontId="0" fillId="0" borderId="1" applyAlignment="1" pivotButton="0" quotePrefix="0" xfId="0">
      <alignment vertical="center"/>
    </xf>
    <xf numFmtId="0" fontId="17" fillId="0" borderId="4" pivotButton="0" quotePrefix="0" xfId="0"/>
    <xf numFmtId="0" fontId="17" fillId="0" borderId="14" pivotButton="0" quotePrefix="0" xfId="0"/>
    <xf numFmtId="0" fontId="37" fillId="0" borderId="14" applyAlignment="1" pivotButton="0" quotePrefix="0" xfId="0">
      <alignment horizontal="center" vertical="center" wrapText="1"/>
    </xf>
    <xf numFmtId="0" fontId="37" fillId="0" borderId="1" applyAlignment="1" pivotButton="0" quotePrefix="0" xfId="0">
      <alignment vertical="center"/>
    </xf>
    <xf numFmtId="0" fontId="37" fillId="0" borderId="1" applyAlignment="1" pivotButton="0" quotePrefix="0" xfId="0">
      <alignment horizontal="left" vertical="center"/>
    </xf>
    <xf numFmtId="0" fontId="37" fillId="0" borderId="1" applyAlignment="1" pivotButton="0" quotePrefix="0" xfId="0">
      <alignment horizontal="center" vertical="center"/>
    </xf>
    <xf numFmtId="0" fontId="37" fillId="0" borderId="14" applyAlignment="1" pivotButton="0" quotePrefix="0" xfId="0">
      <alignment horizontal="center" vertical="center"/>
    </xf>
    <xf numFmtId="56" fontId="0" fillId="0" borderId="1" pivotButton="0" quotePrefix="0" xfId="5"/>
    <xf numFmtId="56" fontId="17" fillId="0" borderId="14" pivotButton="0" quotePrefix="0" xfId="0"/>
    <xf numFmtId="0" fontId="38" fillId="0" borderId="13" applyAlignment="1" pivotButton="0" quotePrefix="0" xfId="0">
      <alignment horizontal="center" vertical="center" wrapText="1"/>
    </xf>
    <xf numFmtId="38" fontId="0" fillId="0" borderId="0" pivotButton="0" quotePrefix="0" xfId="3"/>
    <xf numFmtId="14" fontId="0" fillId="0" borderId="1" pivotButton="0" quotePrefix="0" xfId="0"/>
    <xf numFmtId="9" fontId="0" fillId="0" borderId="1" pivotButton="0" quotePrefix="0" xfId="0"/>
    <xf numFmtId="0" fontId="39" fillId="0" borderId="5" pivotButton="0" quotePrefix="0" xfId="0"/>
    <xf numFmtId="0" fontId="28" fillId="0" borderId="5" pivotButton="0" quotePrefix="0" xfId="0"/>
    <xf numFmtId="0" fontId="10" fillId="0" borderId="0" pivotButton="0" quotePrefix="0" xfId="0"/>
    <xf numFmtId="0" fontId="39" fillId="0" borderId="8" pivotButton="0" quotePrefix="0" xfId="0"/>
    <xf numFmtId="9" fontId="0" fillId="6" borderId="11" pivotButton="0" quotePrefix="0" xfId="4"/>
    <xf numFmtId="9" fontId="0" fillId="6" borderId="26" pivotButton="0" quotePrefix="0" xfId="4"/>
    <xf numFmtId="9" fontId="0" fillId="0" borderId="22" pivotButton="0" quotePrefix="0" xfId="4"/>
    <xf numFmtId="164" fontId="4" fillId="0" borderId="1" applyAlignment="1" pivotButton="0" quotePrefix="0" xfId="0">
      <alignment vertical="center"/>
    </xf>
    <xf numFmtId="164" fontId="4" fillId="0" borderId="1" applyAlignment="1" pivotButton="0" quotePrefix="0" xfId="0">
      <alignment vertical="center" wrapText="1"/>
    </xf>
    <xf numFmtId="38" fontId="4" fillId="0" borderId="1" applyAlignment="1" pivotButton="0" quotePrefix="0" xfId="0">
      <alignment vertical="center"/>
    </xf>
    <xf numFmtId="38" fontId="4" fillId="0" borderId="1" applyAlignment="1" pivotButton="0" quotePrefix="0" xfId="0">
      <alignment vertical="center" wrapText="1"/>
    </xf>
    <xf numFmtId="164" fontId="4" fillId="0" borderId="1" applyAlignment="1" pivotButton="0" quotePrefix="0" xfId="3">
      <alignment vertical="center"/>
    </xf>
    <xf numFmtId="164" fontId="4" fillId="0" borderId="1" applyAlignment="1" pivotButton="0" quotePrefix="0" xfId="3">
      <alignment horizontal="center" vertical="center"/>
    </xf>
    <xf numFmtId="0" fontId="0" fillId="0" borderId="10" applyAlignment="1" pivotButton="0" quotePrefix="0" xfId="0">
      <alignment wrapText="1"/>
    </xf>
    <xf numFmtId="0" fontId="0" fillId="0" borderId="13" applyAlignment="1" pivotButton="0" quotePrefix="0" xfId="0">
      <alignment wrapText="1"/>
    </xf>
    <xf numFmtId="169" fontId="0" fillId="0" borderId="13" applyAlignment="1" pivotButton="0" quotePrefix="0" xfId="0">
      <alignment wrapText="1"/>
    </xf>
    <xf numFmtId="0" fontId="0" fillId="0" borderId="8" applyAlignment="1" pivotButton="0" quotePrefix="0" xfId="0">
      <alignment wrapText="1"/>
    </xf>
    <xf numFmtId="0" fontId="5" fillId="0" borderId="1" applyAlignment="1" pivotButton="0" quotePrefix="0" xfId="0">
      <alignment horizontal="center" vertical="center"/>
    </xf>
    <xf numFmtId="0" fontId="6" fillId="8" borderId="1" applyAlignment="1" pivotButton="0" quotePrefix="0" xfId="0">
      <alignment horizontal="center" vertical="center"/>
    </xf>
    <xf numFmtId="0" fontId="5" fillId="6" borderId="1" applyAlignment="1" pivotButton="0" quotePrefix="0" xfId="0">
      <alignment horizontal="center" vertical="center"/>
    </xf>
    <xf numFmtId="0" fontId="6" fillId="10" borderId="1" applyAlignment="1" pivotButton="0" quotePrefix="0" xfId="0">
      <alignment horizontal="center" vertical="center"/>
    </xf>
    <xf numFmtId="0" fontId="0" fillId="0" borderId="0" applyAlignment="1" pivotButton="0" quotePrefix="0" xfId="0">
      <alignment vertical="center"/>
    </xf>
    <xf numFmtId="0" fontId="0" fillId="0" borderId="0" pivotButton="0" quotePrefix="0" xfId="0"/>
    <xf numFmtId="0" fontId="0" fillId="0" borderId="30" pivotButton="0" quotePrefix="0" xfId="0"/>
    <xf numFmtId="0" fontId="0" fillId="0" borderId="1" pivotButton="0" quotePrefix="0" xfId="0"/>
    <xf numFmtId="0" fontId="0" fillId="0" borderId="14" pivotButton="0" quotePrefix="0" xfId="0"/>
    <xf numFmtId="0" fontId="0" fillId="0" borderId="0" pivotButton="0" quotePrefix="1" xfId="0"/>
    <xf numFmtId="0" fontId="0" fillId="0" borderId="12" pivotButton="0" quotePrefix="0" xfId="0"/>
    <xf numFmtId="0" fontId="0" fillId="0" borderId="4" pivotButton="0" quotePrefix="0" xfId="0"/>
    <xf numFmtId="170" fontId="0" fillId="0" borderId="1" pivotButton="0" quotePrefix="0" xfId="0"/>
    <xf numFmtId="170" fontId="0" fillId="0" borderId="1" applyAlignment="1" pivotButton="0" quotePrefix="0" xfId="0">
      <alignment vertical="center" wrapText="1"/>
    </xf>
    <xf numFmtId="170" fontId="0" fillId="0" borderId="0" pivotButton="0" quotePrefix="0" xfId="0"/>
    <xf numFmtId="170" fontId="0" fillId="0" borderId="14" pivotButton="0" quotePrefix="0" xfId="0"/>
    <xf numFmtId="167" fontId="0" fillId="0" borderId="1" pivotButton="0" quotePrefix="0" xfId="0"/>
    <xf numFmtId="0" fontId="0" fillId="0" borderId="14" pivotButton="0" quotePrefix="0" xfId="0"/>
    <xf numFmtId="170" fontId="0" fillId="0" borderId="14" applyAlignment="1" pivotButton="0" quotePrefix="0" xfId="0">
      <alignment vertical="center" wrapText="1"/>
    </xf>
    <xf numFmtId="171" fontId="0" fillId="0" borderId="1" applyAlignment="1" pivotButton="0" quotePrefix="0" xfId="0">
      <alignment horizontal="center"/>
    </xf>
    <xf numFmtId="0" fontId="0" fillId="0" borderId="1" applyAlignment="1" pivotButton="0" quotePrefix="0" xfId="0">
      <alignment horizontal="center"/>
    </xf>
    <xf numFmtId="0" fontId="14" fillId="0" borderId="1" applyAlignment="1" pivotButton="0" quotePrefix="0" xfId="0">
      <alignment horizontal="center" vertical="center"/>
    </xf>
    <xf numFmtId="0" fontId="25" fillId="0" borderId="1" pivotButton="0" quotePrefix="0" xfId="0"/>
    <xf numFmtId="0" fontId="0" fillId="4" borderId="1" pivotButton="0" quotePrefix="0" xfId="0"/>
    <xf numFmtId="167" fontId="17" fillId="0" borderId="14" applyAlignment="1" pivotButton="0" quotePrefix="0" xfId="0">
      <alignment horizontal="center"/>
    </xf>
    <xf numFmtId="38" fontId="0" fillId="0" borderId="31" pivotButton="0" quotePrefix="0" xfId="3"/>
    <xf numFmtId="38" fontId="0" fillId="0" borderId="20" pivotButton="0" quotePrefix="0" xfId="3"/>
    <xf numFmtId="38" fontId="0" fillId="0" borderId="32" pivotButton="0" quotePrefix="0" xfId="3"/>
    <xf numFmtId="0" fontId="43" fillId="0" borderId="10" applyAlignment="1" pivotButton="0" quotePrefix="0" xfId="0">
      <alignment horizontal="center" vertical="center" wrapText="1"/>
    </xf>
    <xf numFmtId="0" fontId="43" fillId="0" borderId="13" applyAlignment="1" pivotButton="0" quotePrefix="0" xfId="0">
      <alignment horizontal="center" vertical="center" wrapText="1"/>
    </xf>
    <xf numFmtId="0" fontId="43" fillId="0" borderId="8" applyAlignment="1" pivotButton="0" quotePrefix="0" xfId="0">
      <alignment horizontal="center" vertical="center" wrapText="1"/>
    </xf>
    <xf numFmtId="0" fontId="42" fillId="0" borderId="12" applyAlignment="1" pivotButton="0" quotePrefix="0" xfId="0">
      <alignment horizontal="center" vertical="center" wrapText="1"/>
    </xf>
    <xf numFmtId="0" fontId="42" fillId="0" borderId="1" applyAlignment="1" pivotButton="0" quotePrefix="0" xfId="0">
      <alignment vertical="center" wrapText="1"/>
    </xf>
    <xf numFmtId="0" fontId="42" fillId="0" borderId="1" applyAlignment="1" pivotButton="0" quotePrefix="0" xfId="0">
      <alignment horizontal="center" vertical="center" wrapText="1"/>
    </xf>
    <xf numFmtId="0" fontId="42" fillId="0" borderId="11" applyAlignment="1" pivotButton="0" quotePrefix="0" xfId="0">
      <alignment vertical="center" wrapText="1"/>
    </xf>
    <xf numFmtId="0" fontId="42" fillId="0" borderId="4" applyAlignment="1" pivotButton="0" quotePrefix="0" xfId="0">
      <alignment horizontal="center" vertical="center" wrapText="1"/>
    </xf>
    <xf numFmtId="0" fontId="42" fillId="0" borderId="14" applyAlignment="1" pivotButton="0" quotePrefix="0" xfId="0">
      <alignment vertical="center" wrapText="1"/>
    </xf>
    <xf numFmtId="0" fontId="42" fillId="0" borderId="14" applyAlignment="1" pivotButton="0" quotePrefix="0" xfId="0">
      <alignment horizontal="center" vertical="center" wrapText="1"/>
    </xf>
    <xf numFmtId="0" fontId="42" fillId="0" borderId="2" applyAlignment="1" pivotButton="0" quotePrefix="0" xfId="0">
      <alignment vertical="center" wrapText="1"/>
    </xf>
    <xf numFmtId="0" fontId="44" fillId="0" borderId="12" pivotButton="0" quotePrefix="0" xfId="0"/>
    <xf numFmtId="0" fontId="44" fillId="0" borderId="1" pivotButton="0" quotePrefix="0" xfId="0"/>
    <xf numFmtId="0" fontId="44" fillId="0" borderId="1" pivotButton="0" quotePrefix="0" xfId="0"/>
    <xf numFmtId="0" fontId="44" fillId="0" borderId="11" pivotButton="0" quotePrefix="0" xfId="0"/>
    <xf numFmtId="0" fontId="44" fillId="0" borderId="4" pivotButton="0" quotePrefix="0" xfId="0"/>
    <xf numFmtId="0" fontId="44" fillId="0" borderId="14" pivotButton="0" quotePrefix="0" xfId="0"/>
    <xf numFmtId="0" fontId="44" fillId="0" borderId="14" pivotButton="0" quotePrefix="0" xfId="0"/>
    <xf numFmtId="0" fontId="44" fillId="0" borderId="2" pivotButton="0" quotePrefix="0" xfId="0"/>
    <xf numFmtId="9" fontId="0" fillId="6" borderId="11" pivotButton="0" quotePrefix="0" xfId="0"/>
    <xf numFmtId="9" fontId="0" fillId="6" borderId="26" pivotButton="0" quotePrefix="0" xfId="0"/>
    <xf numFmtId="0" fontId="0" fillId="0" borderId="0" pivotButton="1" quotePrefix="0" xfId="0"/>
    <xf numFmtId="0" fontId="0" fillId="0" borderId="0" applyAlignment="1" pivotButton="0" quotePrefix="0" xfId="0">
      <alignment horizontal="left"/>
    </xf>
    <xf numFmtId="172" fontId="0" fillId="0" borderId="31" pivotButton="0" quotePrefix="0" xfId="4"/>
    <xf numFmtId="172" fontId="0" fillId="0" borderId="20" pivotButton="0" quotePrefix="0" xfId="4"/>
    <xf numFmtId="172" fontId="0" fillId="0" borderId="32" pivotButton="0" quotePrefix="0" xfId="4"/>
    <xf numFmtId="167" fontId="0" fillId="0" borderId="31" pivotButton="0" quotePrefix="0" xfId="4"/>
    <xf numFmtId="167" fontId="0" fillId="0" borderId="20" pivotButton="0" quotePrefix="0" xfId="4"/>
    <xf numFmtId="167" fontId="0" fillId="0" borderId="32" pivotButton="0" quotePrefix="0" xfId="4"/>
    <xf numFmtId="38" fontId="0" fillId="0" borderId="0" pivotButton="0" quotePrefix="0" xfId="0"/>
    <xf numFmtId="170" fontId="0" fillId="0" borderId="1" applyAlignment="1" pivotButton="0" quotePrefix="0" xfId="0">
      <alignment vertical="center"/>
    </xf>
    <xf numFmtId="38" fontId="0" fillId="0" borderId="33" pivotButton="0" quotePrefix="0" xfId="3"/>
    <xf numFmtId="38" fontId="0" fillId="0" borderId="34" pivotButton="0" quotePrefix="0" xfId="3"/>
    <xf numFmtId="38" fontId="0" fillId="0" borderId="35" pivotButton="0" quotePrefix="0" xfId="3"/>
    <xf numFmtId="164" fontId="13" fillId="0" borderId="1" applyAlignment="1" pivotButton="0" quotePrefix="0" xfId="3">
      <alignment vertical="center"/>
    </xf>
    <xf numFmtId="38" fontId="0" fillId="0" borderId="1" pivotButton="0" quotePrefix="0" xfId="6"/>
    <xf numFmtId="9" fontId="0" fillId="0" borderId="19" pivotButton="0" quotePrefix="0" xfId="7"/>
    <xf numFmtId="9" fontId="0" fillId="0" borderId="1" pivotButton="0" quotePrefix="0" xfId="7"/>
    <xf numFmtId="9" fontId="0" fillId="0" borderId="20" pivotButton="0" quotePrefix="0" xfId="7"/>
    <xf numFmtId="0" fontId="19" fillId="0" borderId="1" pivotButton="0" quotePrefix="0" xfId="0"/>
    <xf numFmtId="0" fontId="16" fillId="0" borderId="0" applyAlignment="1" pivotButton="0" quotePrefix="0" xfId="0">
      <alignment horizontal="center"/>
    </xf>
    <xf numFmtId="0" fontId="16" fillId="0" borderId="24" applyAlignment="1" pivotButton="0" quotePrefix="0" xfId="0">
      <alignment horizontal="center"/>
    </xf>
    <xf numFmtId="0" fontId="16" fillId="0" borderId="25" applyAlignment="1" pivotButton="0" quotePrefix="0" xfId="0">
      <alignment horizontal="center"/>
    </xf>
    <xf numFmtId="0" fontId="16" fillId="0" borderId="27" applyAlignment="1" pivotButton="0" quotePrefix="0" xfId="0">
      <alignment horizontal="center"/>
    </xf>
    <xf numFmtId="0" fontId="16" fillId="0" borderId="28" applyAlignment="1" pivotButton="0" quotePrefix="0" xfId="0">
      <alignment horizontal="center"/>
    </xf>
    <xf numFmtId="0" fontId="16" fillId="0" borderId="29" applyAlignment="1" pivotButton="0" quotePrefix="0" xfId="0">
      <alignment horizontal="center"/>
    </xf>
    <xf numFmtId="170" fontId="0" fillId="0" borderId="0" pivotButton="0" quotePrefix="0" xfId="0"/>
    <xf numFmtId="0" fontId="40" fillId="0" borderId="9" applyAlignment="1" pivotButton="0" quotePrefix="0" xfId="0">
      <alignment horizontal="center" vertical="center"/>
    </xf>
    <xf numFmtId="0" fontId="41" fillId="0" borderId="9" pivotButton="0" quotePrefix="0" xfId="0"/>
    <xf numFmtId="0" fontId="9" fillId="0" borderId="0" applyAlignment="1" pivotButton="0" quotePrefix="0" xfId="0">
      <alignment horizontal="left"/>
    </xf>
    <xf numFmtId="0" fontId="9" fillId="0" borderId="7" applyAlignment="1" pivotButton="0" quotePrefix="0" xfId="0">
      <alignment horizontal="left"/>
    </xf>
    <xf numFmtId="0" fontId="40" fillId="6" borderId="0" applyAlignment="1" pivotButton="0" quotePrefix="0" xfId="0">
      <alignment horizontal="center" vertical="center"/>
    </xf>
    <xf numFmtId="0" fontId="41" fillId="6" borderId="0" pivotButton="0" quotePrefix="0" xfId="0"/>
    <xf numFmtId="0" fontId="7" fillId="9" borderId="0" applyAlignment="1" pivotButton="0" quotePrefix="0" xfId="0">
      <alignment horizontal="center" vertical="center"/>
    </xf>
    <xf numFmtId="0" fontId="8" fillId="9" borderId="0" pivotButton="0" quotePrefix="0" xfId="0"/>
    <xf numFmtId="0" fontId="7" fillId="7" borderId="0" applyAlignment="1" pivotButton="0" quotePrefix="0" xfId="0">
      <alignment horizontal="center" vertical="center"/>
    </xf>
    <xf numFmtId="0" fontId="8" fillId="7" borderId="0" pivotButton="0" quotePrefix="0" xfId="0"/>
    <xf numFmtId="0" fontId="9" fillId="0" borderId="0" pivotButton="0" quotePrefix="0" xfId="0"/>
    <xf numFmtId="0" fontId="9" fillId="0" borderId="7" pivotButton="0" quotePrefix="0" xfId="0"/>
    <xf numFmtId="167" fontId="17" fillId="0" borderId="1" pivotButton="0" quotePrefix="0" xfId="0"/>
    <xf numFmtId="168" fontId="17" fillId="0" borderId="1" applyAlignment="1" pivotButton="0" quotePrefix="0" xfId="4">
      <alignment wrapText="1"/>
    </xf>
    <xf numFmtId="167" fontId="17" fillId="0" borderId="1" pivotButton="0" quotePrefix="0" xfId="4"/>
    <xf numFmtId="167" fontId="17" fillId="0" borderId="1" applyAlignment="1" pivotButton="0" quotePrefix="0" xfId="0">
      <alignment wrapText="1"/>
    </xf>
    <xf numFmtId="167" fontId="17" fillId="0" borderId="1" applyAlignment="1" pivotButton="0" quotePrefix="0" xfId="0">
      <alignment horizontal="center"/>
    </xf>
    <xf numFmtId="167" fontId="17" fillId="0" borderId="1" applyAlignment="1" pivotButton="0" quotePrefix="1" xfId="0">
      <alignment horizontal="center"/>
    </xf>
    <xf numFmtId="167" fontId="17" fillId="0" borderId="1" pivotButton="0" quotePrefix="0" xfId="5"/>
    <xf numFmtId="167" fontId="17" fillId="0" borderId="1" pivotButton="0" quotePrefix="0" xfId="10"/>
    <xf numFmtId="168" fontId="17" fillId="0" borderId="1" applyAlignment="1" pivotButton="0" quotePrefix="0" xfId="7">
      <alignment wrapText="1"/>
    </xf>
    <xf numFmtId="167" fontId="17" fillId="0" borderId="14" pivotButton="0" quotePrefix="0" xfId="0"/>
    <xf numFmtId="168" fontId="17" fillId="0" borderId="14" applyAlignment="1" pivotButton="0" quotePrefix="0" xfId="4">
      <alignment wrapText="1"/>
    </xf>
    <xf numFmtId="167" fontId="17" fillId="0" borderId="14" applyAlignment="1" pivotButton="0" quotePrefix="0" xfId="0">
      <alignment horizontal="center"/>
    </xf>
    <xf numFmtId="0" fontId="0" fillId="0" borderId="25" pivotButton="0" quotePrefix="0" xfId="0"/>
    <xf numFmtId="0" fontId="0" fillId="0" borderId="37" pivotButton="0" quotePrefix="0" xfId="0"/>
    <xf numFmtId="0" fontId="0" fillId="0" borderId="38" pivotButton="0" quotePrefix="0" xfId="0"/>
    <xf numFmtId="172" fontId="0" fillId="0" borderId="31" pivotButton="0" quotePrefix="0" xfId="4"/>
    <xf numFmtId="167" fontId="0" fillId="0" borderId="31" pivotButton="0" quotePrefix="0" xfId="4"/>
    <xf numFmtId="172" fontId="0" fillId="0" borderId="20" pivotButton="0" quotePrefix="0" xfId="4"/>
    <xf numFmtId="167" fontId="0" fillId="0" borderId="20" pivotButton="0" quotePrefix="0" xfId="4"/>
    <xf numFmtId="172" fontId="0" fillId="0" borderId="32" pivotButton="0" quotePrefix="0" xfId="4"/>
    <xf numFmtId="167" fontId="0" fillId="0" borderId="32" pivotButton="0" quotePrefix="0" xfId="4"/>
    <xf numFmtId="170" fontId="0" fillId="0" borderId="0" pivotButton="0" quotePrefix="0" xfId="0"/>
    <xf numFmtId="169" fontId="0" fillId="0" borderId="13" applyAlignment="1" pivotButton="0" quotePrefix="0" xfId="0">
      <alignment wrapText="1"/>
    </xf>
    <xf numFmtId="171" fontId="0" fillId="0" borderId="1" applyAlignment="1" pivotButton="0" quotePrefix="0" xfId="0">
      <alignment horizontal="center"/>
    </xf>
    <xf numFmtId="170" fontId="0" fillId="0" borderId="1" pivotButton="0" quotePrefix="0" xfId="0"/>
    <xf numFmtId="170" fontId="0" fillId="0" borderId="1" applyAlignment="1" pivotButton="0" quotePrefix="0" xfId="0">
      <alignment vertical="center" wrapText="1"/>
    </xf>
    <xf numFmtId="170" fontId="0" fillId="0" borderId="1" applyAlignment="1" pivotButton="0" quotePrefix="0" xfId="0">
      <alignment vertical="center"/>
    </xf>
    <xf numFmtId="167" fontId="0" fillId="0" borderId="1" pivotButton="0" quotePrefix="0" xfId="0"/>
    <xf numFmtId="170" fontId="0" fillId="0" borderId="14" pivotButton="0" quotePrefix="0" xfId="0"/>
    <xf numFmtId="170" fontId="0" fillId="0" borderId="14" applyAlignment="1" pivotButton="0" quotePrefix="0" xfId="0">
      <alignment vertical="center" wrapText="1"/>
    </xf>
    <xf numFmtId="0" fontId="0" fillId="0" borderId="9" pivotButton="0" quotePrefix="0" xfId="0"/>
    <xf numFmtId="166" fontId="4" fillId="0" borderId="0" applyAlignment="1" pivotButton="0" quotePrefix="0" xfId="0">
      <alignment horizontal="right" vertical="top"/>
    </xf>
    <xf numFmtId="0" fontId="0" fillId="0" borderId="7" pivotButton="0" quotePrefix="0" xfId="0"/>
    <xf numFmtId="164" fontId="4" fillId="0" borderId="1" applyAlignment="1" pivotButton="0" quotePrefix="0" xfId="1">
      <alignment vertical="center"/>
    </xf>
    <xf numFmtId="164" fontId="4" fillId="0" borderId="1" applyAlignment="1" pivotButton="0" quotePrefix="0" xfId="0">
      <alignment vertical="center"/>
    </xf>
    <xf numFmtId="164" fontId="10" fillId="0" borderId="1" applyAlignment="1" pivotButton="0" quotePrefix="0" xfId="1">
      <alignment vertical="center"/>
    </xf>
    <xf numFmtId="164" fontId="10" fillId="0" borderId="0" pivotButton="0" quotePrefix="0" xfId="1"/>
    <xf numFmtId="165" fontId="10" fillId="0" borderId="1" pivotButton="0" quotePrefix="0" xfId="3"/>
    <xf numFmtId="165" fontId="11" fillId="0" borderId="11" pivotButton="0" quotePrefix="0" xfId="1"/>
    <xf numFmtId="165" fontId="13" fillId="0" borderId="12" pivotButton="0" quotePrefix="0" xfId="1"/>
    <xf numFmtId="166" fontId="17" fillId="6" borderId="1" pivotButton="0" quotePrefix="0" xfId="0"/>
    <xf numFmtId="165" fontId="4" fillId="6" borderId="1" pivotButton="0" quotePrefix="0" xfId="3"/>
    <xf numFmtId="165" fontId="32" fillId="6" borderId="11" pivotButton="0" quotePrefix="0" xfId="1"/>
    <xf numFmtId="165" fontId="4" fillId="6" borderId="12" pivotButton="0" quotePrefix="0" xfId="1"/>
    <xf numFmtId="164" fontId="4" fillId="0" borderId="1" applyAlignment="1" pivotButton="0" quotePrefix="0" xfId="3">
      <alignment horizontal="center" vertical="center"/>
    </xf>
    <xf numFmtId="164" fontId="4" fillId="0" borderId="1" applyAlignment="1" pivotButton="0" quotePrefix="0" xfId="3">
      <alignment vertical="center"/>
    </xf>
    <xf numFmtId="164" fontId="10" fillId="0" borderId="1" applyAlignment="1" pivotButton="0" quotePrefix="0" xfId="3">
      <alignment vertical="center"/>
    </xf>
    <xf numFmtId="164" fontId="10" fillId="0" borderId="0" pivotButton="0" quotePrefix="0" xfId="3"/>
    <xf numFmtId="165" fontId="11" fillId="0" borderId="11" pivotButton="0" quotePrefix="0" xfId="3"/>
    <xf numFmtId="165" fontId="13" fillId="0" borderId="12" pivotButton="0" quotePrefix="0" xfId="3"/>
    <xf numFmtId="164" fontId="4" fillId="0" borderId="1" applyAlignment="1" pivotButton="0" quotePrefix="0" xfId="0">
      <alignment vertical="center" wrapText="1"/>
    </xf>
    <xf numFmtId="164" fontId="13" fillId="0" borderId="1" applyAlignment="1" pivotButton="0" quotePrefix="0" xfId="3">
      <alignment vertical="center"/>
    </xf>
  </cellXfs>
  <cellStyles count="11">
    <cellStyle name="標準" xfId="0" builtinId="0"/>
    <cellStyle name="桁区切り 2" xfId="1"/>
    <cellStyle name="パーセント 2" xfId="2"/>
    <cellStyle name="桁区切り" xfId="3" builtinId="6"/>
    <cellStyle name="パーセント" xfId="4" builtinId="5"/>
    <cellStyle name="通貨" xfId="5" builtinId="7"/>
    <cellStyle name="桁区切り 2 2" xfId="6"/>
    <cellStyle name="パーセント 2 2" xfId="7"/>
    <cellStyle name="桁区切り 3" xfId="8"/>
    <cellStyle name="パーセント 3" xfId="9"/>
    <cellStyle name="通貨 2" xfId="10"/>
  </cellStyles>
  <dxfs count="183">
    <dxf>
      <font>
        <color rgb="FF9C0006"/>
      </font>
      <fill>
        <patternFill>
          <bgColor rgb="FFFFC7CE"/>
        </patternFill>
      </fill>
    </dxf>
    <dxf>
      <font>
        <color rgb="FF9C0006"/>
      </font>
      <fill>
        <patternFill>
          <bgColor rgb="FFFFC7CE"/>
        </patternFill>
      </fill>
    </dxf>
    <dxf>
      <numFmt numFmtId="6" formatCode="#,##0;[Red]\-#,##0"/>
    </dxf>
    <dxf>
      <numFmt numFmtId="6" formatCode="#,##0;[Red]\-#,##0"/>
    </dxf>
    <dxf>
      <font>
        <name val="Meiryo"/>
        <charset val="128"/>
        <family val="3"/>
        <strike val="0"/>
        <outline val="0"/>
        <shadow val="0"/>
        <color auto="1"/>
        <vertAlign val="baseline"/>
      </font>
      <fill>
        <patternFill>
          <fgColor indexed="64"/>
          <bgColor auto="1"/>
        </patternFill>
      </fill>
      <border>
        <left style="thin">
          <color indexed="64"/>
        </left>
        <right/>
        <top style="thin">
          <color indexed="64"/>
        </top>
        <bottom style="thin">
          <color indexed="64"/>
        </bottom>
        <vertical style="thin">
          <color indexed="64"/>
        </vertical>
        <horizontal style="thin">
          <color indexed="64"/>
        </horizontal>
      </border>
    </dxf>
    <dxf>
      <font>
        <name val="Meiryo"/>
        <charset val="128"/>
        <family val="3"/>
        <strike val="0"/>
        <outline val="0"/>
        <shadow val="0"/>
        <color auto="1"/>
        <vertAlign val="baseline"/>
      </font>
      <fill>
        <patternFill>
          <fgColor indexed="64"/>
          <bgColor auto="1"/>
        </patternFill>
      </fill>
      <border>
        <left style="thin">
          <color indexed="64"/>
        </left>
        <right style="thin">
          <color indexed="64"/>
        </right>
        <top style="thin">
          <color indexed="64"/>
        </top>
        <bottom style="thin">
          <color indexed="64"/>
        </bottom>
        <vertical style="thin">
          <color indexed="64"/>
        </vertical>
        <horizontal style="thin">
          <color indexed="64"/>
        </horizontal>
      </border>
    </dxf>
    <dxf>
      <font>
        <name val="Meiryo"/>
        <charset val="128"/>
        <family val="3"/>
        <strike val="0"/>
        <outline val="0"/>
        <shadow val="0"/>
        <color auto="1"/>
        <vertAlign val="baseline"/>
      </font>
      <fill>
        <patternFill>
          <fgColor indexed="64"/>
          <bgColor auto="1"/>
        </patternFill>
      </fill>
      <border>
        <left style="thin">
          <color indexed="64"/>
        </left>
        <right style="thin">
          <color indexed="64"/>
        </right>
        <top style="thin">
          <color indexed="64"/>
        </top>
        <bottom style="thin">
          <color indexed="64"/>
        </bottom>
        <vertical style="thin">
          <color indexed="64"/>
        </vertical>
        <horizontal style="thin">
          <color indexed="64"/>
        </horizontal>
      </border>
    </dxf>
    <dxf>
      <font>
        <name val="Meiryo"/>
        <charset val="128"/>
        <family val="3"/>
        <strike val="0"/>
        <outline val="0"/>
        <shadow val="0"/>
        <color auto="1"/>
        <vertAlign val="baseline"/>
      </font>
      <numFmt numFmtId="0" formatCode="General"/>
      <fill>
        <patternFill>
          <fgColor indexed="64"/>
          <bgColor auto="1"/>
        </patternFill>
      </fill>
      <border>
        <left style="thin">
          <color indexed="64"/>
        </left>
        <right style="thin">
          <color indexed="64"/>
        </right>
        <top style="thin">
          <color indexed="64"/>
        </top>
        <bottom style="thin">
          <color indexed="64"/>
        </bottom>
        <vertical style="thin">
          <color indexed="64"/>
        </vertical>
        <horizontal style="thin">
          <color indexed="64"/>
        </horizontal>
      </border>
    </dxf>
    <dxf>
      <font>
        <name val="Meiryo"/>
        <charset val="128"/>
        <family val="3"/>
        <strike val="0"/>
        <outline val="0"/>
        <shadow val="0"/>
        <color auto="1"/>
        <vertAlign val="baseline"/>
      </font>
      <numFmt numFmtId="0" formatCode="General"/>
      <fill>
        <patternFill>
          <fgColor indexed="64"/>
          <bgColor auto="1"/>
        </patternFill>
      </fill>
      <border>
        <left style="thin">
          <color indexed="64"/>
        </left>
        <right style="thin">
          <color indexed="64"/>
        </right>
        <top style="thin">
          <color indexed="64"/>
        </top>
        <bottom style="thin">
          <color indexed="64"/>
        </bottom>
        <vertical style="thin">
          <color indexed="64"/>
        </vertical>
        <horizontal style="thin">
          <color indexed="64"/>
        </horizontal>
      </border>
    </dxf>
    <dxf>
      <font>
        <name val="Meiryo"/>
        <charset val="128"/>
        <family val="3"/>
        <strike val="0"/>
        <outline val="0"/>
        <shadow val="0"/>
        <color auto="1"/>
        <vertAlign val="baseline"/>
      </font>
      <fill>
        <patternFill>
          <fgColor indexed="64"/>
          <bgColor auto="1"/>
        </patternFill>
      </fill>
      <border>
        <left style="thin">
          <color indexed="64"/>
        </left>
        <right style="thin">
          <color indexed="64"/>
        </right>
        <top style="thin">
          <color indexed="64"/>
        </top>
        <bottom style="thin">
          <color indexed="64"/>
        </bottom>
        <vertical style="thin">
          <color indexed="64"/>
        </vertical>
        <horizontal style="thin">
          <color indexed="64"/>
        </horizontal>
      </border>
    </dxf>
    <dxf>
      <font>
        <name val="Meiryo"/>
        <charset val="128"/>
        <family val="3"/>
        <strike val="0"/>
        <outline val="0"/>
        <shadow val="0"/>
        <color auto="1"/>
        <vertAlign val="baseline"/>
      </font>
      <fill>
        <patternFill>
          <fgColor indexed="64"/>
          <bgColor auto="1"/>
        </patternFill>
      </fill>
      <border>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left style="thin">
          <color indexed="64"/>
        </left>
        <right style="thin">
          <color indexed="64"/>
        </right>
        <top style="thin">
          <color indexed="64"/>
        </top>
        <bottom style="thin">
          <color indexed="64"/>
        </bottom>
      </border>
    </dxf>
    <dxf>
      <font>
        <name val="Meiryo"/>
        <charset val="128"/>
        <family val="3"/>
        <strike val="0"/>
        <outline val="0"/>
        <shadow val="0"/>
        <color auto="1"/>
        <vertAlign val="baseline"/>
      </font>
      <fill>
        <patternFill>
          <fgColor indexed="64"/>
          <bgColor auto="1"/>
        </patternFill>
      </fill>
    </dxf>
    <dxf>
      <border>
        <bottom style="thin">
          <color indexed="64"/>
        </bottom>
      </border>
    </dxf>
    <dxf>
      <font>
        <name val="Meiryo"/>
        <charset val="128"/>
        <family val="3"/>
        <b val="1"/>
        <strike val="0"/>
        <outline val="0"/>
        <shadow val="0"/>
        <condense val="0"/>
        <color auto="1"/>
        <extend val="0"/>
        <sz val="11"/>
        <vertAlign val="baseline"/>
      </font>
      <fill>
        <patternFill>
          <fgColor indexed="64"/>
          <bgColor auto="1"/>
        </patternFill>
      </fill>
      <alignment horizontal="center" vertical="center" wrapText="1"/>
      <border>
        <left style="thin">
          <color indexed="64"/>
        </left>
        <right style="thin">
          <color indexed="64"/>
        </right>
        <top/>
        <bottom/>
        <vertical style="thin">
          <color indexed="64"/>
        </vertical>
        <horizontal style="thin">
          <color indexed="64"/>
        </horizontal>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border>
        <left style="thin">
          <color indexed="64"/>
        </left>
        <right/>
        <top style="thin">
          <color indexed="64"/>
        </top>
        <bottom style="thin">
          <color indexed="64"/>
        </bottom>
        <vertical style="thin">
          <color indexed="64"/>
        </vertical>
        <horizontal style="thin">
          <color indexed="64"/>
        </horizontal>
      </border>
    </dxf>
    <dxf>
      <numFmt numFmtId="180" formatCode="yy/mm/dd"/>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80" formatCode="yy/mm/dd"/>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tint="-0.1499984740745262"/>
        </patternFill>
      </fill>
      <border>
        <left style="thin">
          <color auto="1"/>
        </left>
        <right style="thin">
          <color auto="1"/>
        </right>
        <top style="thin">
          <color auto="1"/>
        </top>
        <bottom style="thin">
          <color auto="1"/>
        </bottom>
        <vertical/>
        <horizontal/>
      </border>
    </dxf>
    <dxf>
      <numFmt numFmtId="180" formatCode="yy/mm/dd"/>
      <border>
        <left style="thin">
          <color indexed="64"/>
        </left>
        <right style="thin">
          <color indexed="64"/>
        </right>
        <top style="thin">
          <color indexed="64"/>
        </top>
        <bottom style="thin">
          <color indexed="64"/>
        </bottom>
        <vertical style="thin">
          <color indexed="64"/>
        </vertical>
        <horizontal style="thin">
          <color indexed="64"/>
        </horizontal>
      </border>
    </dxf>
    <dxf>
      <numFmt numFmtId="180" formatCode="yy/mm/dd"/>
      <border>
        <left style="thin">
          <color indexed="64"/>
        </left>
        <right style="thin">
          <color indexed="64"/>
        </right>
        <top style="thin">
          <color indexed="64"/>
        </top>
        <bottom style="thin">
          <color indexed="64"/>
        </bottom>
        <vertical style="thin">
          <color indexed="64"/>
        </vertical>
        <horizontal style="thin">
          <color indexed="64"/>
        </horizontal>
      </border>
    </dxf>
    <dxf>
      <numFmt numFmtId="180" formatCode="yy/mm/dd"/>
      <border>
        <left style="thin">
          <color indexed="64"/>
        </left>
        <right style="thin">
          <color indexed="64"/>
        </right>
        <top style="thin">
          <color indexed="64"/>
        </top>
        <bottom style="thin">
          <color indexed="64"/>
        </bottom>
        <vertical style="thin">
          <color indexed="64"/>
        </vertical>
        <horizontal style="thin">
          <color indexed="64"/>
        </horizontal>
      </border>
    </dxf>
    <dxf>
      <numFmt numFmtId="180" formatCode="yy/mm/dd"/>
      <border>
        <left style="thin">
          <color indexed="64"/>
        </left>
        <right style="thin">
          <color indexed="64"/>
        </right>
        <top style="thin">
          <color indexed="64"/>
        </top>
        <bottom style="thin">
          <color indexed="64"/>
        </bottom>
        <vertical style="thin">
          <color indexed="64"/>
        </vertical>
        <horizontal style="thin">
          <color indexed="64"/>
        </horizontal>
      </border>
    </dxf>
    <dxf>
      <numFmt numFmtId="180" formatCode="yy/mm/dd"/>
      <alignment horizontal="general"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numFmt numFmtId="180" formatCode="yy/mm/dd"/>
      <alignment horizontal="general"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numFmt numFmtId="180" formatCode="yy/mm/dd"/>
      <alignment horizontal="general"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numFmt numFmtId="180" formatCode="yy/mm/dd"/>
      <alignment horizontal="general"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numFmt numFmtId="180" formatCode="yy/mm/dd"/>
      <alignment horizontal="general"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numFmt numFmtId="180" formatCode="yy/mm/dd"/>
      <alignment horizontal="general"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numFmt numFmtId="180" formatCode="yy/mm/dd"/>
      <border>
        <left style="thin">
          <color indexed="64"/>
        </left>
        <right style="thin">
          <color indexed="64"/>
        </right>
        <top style="thin">
          <color indexed="64"/>
        </top>
        <bottom style="thin">
          <color indexed="64"/>
        </bottom>
        <vertical style="thin">
          <color indexed="64"/>
        </vertical>
        <horizontal style="thin">
          <color indexed="64"/>
        </horizontal>
      </border>
    </dxf>
    <dxf>
      <numFmt numFmtId="180" formatCode="yy/mm/dd"/>
      <alignment horizontal="general"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numFmt numFmtId="180" formatCode="yy/mm/dd"/>
      <alignment horizontal="general"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numFmt numFmtId="180" formatCode="yy/mm/dd"/>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fgColor indexed="64"/>
          <bgColor auto="1"/>
        </patternFill>
      </fill>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fgColor indexed="64"/>
          <bgColor auto="1"/>
        </patternFill>
      </fill>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fgColor indexed="64"/>
          <bgColor auto="1"/>
        </patternFill>
      </fill>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fgColor indexed="64"/>
          <bgColor auto="1"/>
        </patternFill>
      </fill>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fgColor indexed="64"/>
          <bgColor auto="1"/>
        </patternFill>
      </fill>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fgColor indexed="64"/>
          <bgColor auto="1"/>
        </patternFill>
      </fill>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0" tint="-0.1499984740745262"/>
        </patternFill>
      </fill>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fgColor indexed="64"/>
          <bgColor auto="1"/>
        </patternFill>
      </fill>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0" tint="-0.1499984740745262"/>
        </patternFill>
      </fill>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left style="thin">
          <color indexed="64"/>
        </left>
        <right style="thin">
          <color indexed="64"/>
        </right>
        <top style="thin">
          <color indexed="64"/>
        </top>
        <bottom style="thin">
          <color indexed="64"/>
        </bottom>
      </border>
    </dxf>
    <dxf>
      <border>
        <bottom style="thin">
          <color indexed="64"/>
        </bottom>
      </border>
    </dxf>
    <dxf>
      <alignment horizontal="general" vertical="bottom" wrapText="1"/>
      <border>
        <left style="thin">
          <color indexed="64"/>
        </left>
        <right style="thin">
          <color indexed="64"/>
        </right>
        <top/>
        <bottom/>
        <vertical style="thin">
          <color indexed="64"/>
        </vertical>
        <horizontal style="thin">
          <color indexed="64"/>
        </horizontal>
      </border>
    </dxf>
    <dxf>
      <fill>
        <patternFill>
          <bgColor rgb="FFFF7C80"/>
        </patternFill>
      </fill>
    </dxf>
    <dxf>
      <fill>
        <patternFill>
          <bgColor rgb="FFFFCCCC"/>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theme="0" tint="-0.1499679555650502"/>
        </patternFill>
      </fill>
    </dxf>
    <dxf>
      <fill>
        <patternFill>
          <bgColor theme="0" tint="-0.1499679555650502"/>
        </patternFill>
      </fill>
    </dxf>
    <dxf>
      <fill>
        <patternFill>
          <bgColor rgb="FFFF7C80"/>
        </patternFill>
      </fill>
    </dxf>
    <dxf>
      <fill>
        <patternFill>
          <bgColor theme="0" tint="-0.1499679555650502"/>
        </patternFill>
      </fill>
    </dxf>
    <dxf>
      <fill>
        <patternFill>
          <bgColor theme="0" tint="-0.1499679555650502"/>
        </patternFill>
      </fill>
    </dxf>
    <dxf>
      <numFmt numFmtId="6" formatCode="#,##0;[Red]\-#,##0"/>
      <border>
        <left style="medium">
          <color indexed="64"/>
        </left>
        <right style="medium">
          <color indexed="64"/>
        </right>
        <top style="thin">
          <color auto="1"/>
        </top>
        <bottom style="thin">
          <color auto="1"/>
        </bottom>
      </border>
    </dxf>
    <dxf>
      <border outline="0">
        <left style="medium">
          <color indexed="64"/>
        </left>
        <right style="medium">
          <color indexed="64"/>
        </right>
        <top style="thin">
          <color auto="1"/>
        </top>
        <bottom style="thin">
          <color auto="1"/>
        </bottom>
      </border>
    </dxf>
    <dxf>
      <font>
        <name val="游ゴシック"/>
        <family val="2"/>
        <strike val="0"/>
        <outline val="0"/>
        <shadow val="0"/>
        <condense val="0"/>
        <color theme="1"/>
        <extend val="0"/>
        <sz val="11"/>
        <vertAlign val="baseline"/>
        <scheme val="minor"/>
      </font>
      <numFmt numFmtId="176" formatCode="0_);[Red]\(0\)"/>
      <alignment horizontal="general" vertical="bottom"/>
      <border outline="0">
        <left style="thin">
          <color auto="1"/>
        </left>
        <right style="medium">
          <color indexed="64"/>
        </right>
        <top style="thin">
          <color auto="1"/>
        </top>
        <bottom style="thin">
          <color auto="1"/>
        </bottom>
      </border>
    </dxf>
    <dxf>
      <font>
        <name val="游ゴシック"/>
        <family val="2"/>
        <strike val="0"/>
        <outline val="0"/>
        <shadow val="0"/>
        <condense val="0"/>
        <color theme="1"/>
        <extend val="0"/>
        <sz val="11"/>
        <vertAlign val="baseline"/>
        <scheme val="minor"/>
      </font>
      <numFmt numFmtId="182" formatCode="&quot;¥&quot;#,##0_);[Red]\(&quot;¥&quot;#,##0\)"/>
      <alignment horizontal="general" vertical="bottom"/>
      <border outline="0">
        <left style="medium">
          <color indexed="64"/>
        </left>
        <right style="thin">
          <color auto="1"/>
        </right>
        <top style="thin">
          <color auto="1"/>
        </top>
        <bottom style="thin">
          <color auto="1"/>
        </bottom>
      </border>
    </dxf>
    <dxf>
      <font>
        <name val="游ゴシック"/>
        <family val="2"/>
        <strike val="0"/>
        <outline val="0"/>
        <shadow val="0"/>
        <condense val="0"/>
        <color theme="1"/>
        <extend val="0"/>
        <sz val="11"/>
        <vertAlign val="baseline"/>
        <scheme val="minor"/>
      </font>
      <numFmt numFmtId="182" formatCode="&quot;¥&quot;#,##0_);[Red]\(&quot;¥&quot;#,##0\)"/>
      <alignment horizontal="general" vertical="bottom"/>
      <border>
        <left style="thin">
          <color auto="1"/>
        </left>
        <right style="medium">
          <color indexed="64"/>
        </right>
        <top style="thin">
          <color auto="1"/>
        </top>
        <bottom style="thin">
          <color auto="1"/>
        </bottom>
      </border>
    </dxf>
    <dxf>
      <border outline="0">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name val="游ゴシック"/>
        <family val="2"/>
        <strike val="0"/>
        <outline val="0"/>
        <shadow val="0"/>
        <condense val="0"/>
        <color theme="1"/>
        <extend val="0"/>
        <sz val="11"/>
        <vertAlign val="baseline"/>
        <scheme val="minor"/>
      </font>
      <fill>
        <patternFill>
          <fgColor indexed="64"/>
          <bgColor auto="1"/>
        </patternFill>
      </fill>
      <alignment horizontal="general" vertical="bottom"/>
      <border>
        <left style="medium">
          <color indexed="64"/>
        </left>
        <right style="thin">
          <color auto="1"/>
        </right>
        <top style="thin">
          <color auto="1"/>
        </top>
        <bottom style="thin">
          <color auto="1"/>
        </bottom>
        <vertical style="thin">
          <color auto="1"/>
        </vertical>
        <horizontal style="thin">
          <color auto="1"/>
        </horizontal>
      </border>
    </dxf>
    <dxf>
      <fill>
        <patternFill patternType="solid">
          <fgColor indexed="64"/>
          <bgColor theme="0" tint="-0.1499984740745262"/>
        </patternFill>
      </fill>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fill>
        <patternFill patternType="solid">
          <fgColor indexed="64"/>
          <bgColor theme="0" tint="-0.1499984740745262"/>
        </patternFill>
      </fill>
      <border>
        <left style="thin">
          <color indexed="64"/>
        </left>
        <right/>
        <top style="thin">
          <color indexed="64"/>
        </top>
        <bottom style="thin">
          <color indexed="64"/>
        </bottom>
        <vertical/>
        <horizontal/>
      </border>
    </dxf>
    <dxf>
      <numFmt numFmtId="0" formatCode="General"/>
      <fill>
        <patternFill patternType="solid">
          <fgColor indexed="64"/>
          <bgColor theme="0" tint="-0.1499984740745262"/>
        </patternFill>
      </fill>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游ゴシック"/>
        <family val="2"/>
        <strike val="0"/>
        <outline val="0"/>
        <shadow val="0"/>
        <condense val="0"/>
        <color theme="1"/>
        <extend val="0"/>
        <sz val="11"/>
        <vertAlign val="baseline"/>
        <scheme val="minor"/>
      </font>
      <fill>
        <patternFill>
          <fgColor indexed="64"/>
          <bgColor auto="1"/>
        </patternFill>
      </fill>
      <alignment horizontal="general" vertical="bottom"/>
      <border>
        <left style="thin">
          <color indexed="64"/>
        </left>
        <right style="thin">
          <color indexed="64"/>
        </right>
        <top style="thin">
          <color indexed="64"/>
        </top>
        <bottom style="thin">
          <color indexed="64"/>
        </bottom>
        <vertical style="thin">
          <color indexed="64"/>
        </vertical>
        <horizontal style="thin">
          <color indexed="64"/>
        </horizontal>
      </border>
    </dxf>
    <dxf>
      <numFmt numFmtId="6" formatCode="#,##0;[Red]\-#,##0"/>
      <fill>
        <patternFill patternType="solid">
          <fgColor indexed="64"/>
          <bgColor theme="0" tint="-0.1499984740745262"/>
        </patternFill>
      </fill>
      <border>
        <left style="thin">
          <color indexed="64"/>
        </left>
        <right style="thin">
          <color indexed="64"/>
        </right>
        <top style="thin">
          <color indexed="64"/>
        </top>
        <bottom style="thin">
          <color indexed="64"/>
        </bottom>
        <vertical style="thin">
          <color indexed="64"/>
        </vertical>
        <horizontal style="thin">
          <color indexed="64"/>
        </horizontal>
      </border>
    </dxf>
    <dxf>
      <numFmt numFmtId="6" formatCode="#,##0;[Red]\-#,##0"/>
      <fill>
        <patternFill patternType="solid">
          <fgColor indexed="64"/>
          <bgColor theme="0" tint="-0.1499984740745262"/>
        </patternFill>
      </fill>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0" tint="-0.1499984740745262"/>
        </patternFill>
      </fill>
      <border>
        <left style="medium">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0" tint="-0.1499984740745262"/>
        </patternFill>
      </fill>
      <border>
        <left style="thin">
          <color indexed="64"/>
        </left>
        <right style="thin">
          <color indexed="64"/>
        </right>
        <top style="thin">
          <color indexed="64"/>
        </top>
        <bottom style="thin">
          <color indexed="64"/>
        </bottom>
        <vertical style="thin">
          <color indexed="64"/>
        </vertical>
        <horizontal style="thin">
          <color indexed="64"/>
        </horizontal>
      </border>
    </dxf>
    <dxf>
      <border outline="0">
        <left style="thin">
          <color auto="1"/>
        </left>
        <right style="thin">
          <color indexed="64"/>
        </right>
        <top style="thin">
          <color indexed="64"/>
        </top>
        <bottom style="thin">
          <color indexed="64"/>
        </bottom>
      </border>
    </dxf>
    <dxf>
      <numFmt numFmtId="0" formatCode="General"/>
      <fill>
        <patternFill patternType="solid">
          <fgColor indexed="64"/>
          <bgColor theme="0" tint="-0.1499984740745262"/>
        </patternFill>
      </fill>
      <border outline="0">
        <left style="thin">
          <color indexed="64"/>
        </left>
        <right style="thin">
          <color indexed="64"/>
        </right>
        <top style="thin">
          <color indexed="64"/>
        </top>
        <bottom style="thin">
          <color indexed="64"/>
        </bottom>
      </border>
    </dxf>
    <dxf>
      <numFmt numFmtId="0" formatCode="General"/>
      <border outline="0">
        <left style="thin">
          <color indexed="64"/>
        </left>
        <right style="thin">
          <color auto="1"/>
        </right>
        <top style="thin">
          <color indexed="64"/>
        </top>
        <bottom style="thin">
          <color indexed="64"/>
        </bottom>
      </border>
    </dxf>
    <dxf>
      <numFmt numFmtId="0" formatCode="General"/>
      <fill>
        <patternFill patternType="solid">
          <fgColor indexed="64"/>
          <bgColor theme="0" tint="-0.1499984740745262"/>
        </patternFill>
      </fill>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left style="thin">
          <color indexed="64"/>
        </left>
        <right style="thin">
          <color indexed="64"/>
        </right>
        <top style="thin">
          <color indexed="64"/>
        </top>
        <bottom style="thin">
          <color indexed="64"/>
        </bottom>
      </border>
    </dxf>
    <dxf>
      <border>
        <bottom style="thin">
          <color indexed="64"/>
        </bottom>
      </border>
    </dxf>
    <dxf>
      <border>
        <left style="thin">
          <color indexed="64"/>
        </left>
        <right style="thin">
          <color indexed="64"/>
        </right>
        <top/>
        <bottom/>
        <vertical style="thin">
          <color indexed="64"/>
        </vertical>
        <horizontal style="thin">
          <color indexed="64"/>
        </horizontal>
      </border>
    </dxf>
    <dxf>
      <font>
        <color rgb="FF9C0006"/>
      </font>
      <fill>
        <patternFill>
          <bgColor rgb="FFFFC7CE"/>
        </patternFill>
      </fill>
    </dxf>
    <dxf>
      <border>
        <left style="thin">
          <color indexed="64"/>
        </left>
        <right/>
        <top style="thin">
          <color indexed="64"/>
        </top>
        <bottom style="thin">
          <color indexed="64"/>
        </bottom>
        <vertical style="thin">
          <color indexed="64"/>
        </vertical>
        <horizontal style="thin">
          <color indexed="64"/>
        </horizontal>
      </border>
    </dxf>
    <dxf>
      <border outline="0">
        <left style="thin">
          <color auto="1"/>
        </left>
        <right style="thin">
          <color indexed="64"/>
        </right>
        <top style="thin">
          <color indexed="64"/>
        </top>
        <bottom style="thin">
          <color indexed="64"/>
        </bottom>
      </border>
    </dxf>
    <dxf>
      <numFmt numFmtId="0" formatCode="General"/>
      <fill>
        <patternFill patternType="solid">
          <fgColor indexed="64"/>
          <bgColor theme="0" tint="-0.1499984740745262"/>
        </patternFill>
      </fill>
      <border outline="0">
        <left style="thin">
          <color auto="1"/>
        </left>
        <right style="thin">
          <color auto="1"/>
        </right>
        <top style="thin">
          <color auto="1"/>
        </top>
        <bottom style="thin">
          <color auto="1"/>
        </bottom>
      </border>
    </dxf>
    <dxf>
      <border outline="0">
        <left style="thin">
          <color indexed="64"/>
        </left>
        <right style="thin">
          <color auto="1"/>
        </right>
        <top style="thin">
          <color indexed="64"/>
        </top>
        <bottom style="thin">
          <color indexed="64"/>
        </bottom>
      </border>
    </dxf>
    <dxf>
      <border>
        <left style="thin">
          <color auto="1"/>
        </left>
        <right style="thin">
          <color auto="1"/>
        </right>
        <top style="thin">
          <color auto="1"/>
        </top>
        <bottom style="thin">
          <color auto="1"/>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outline="0">
        <left style="thin">
          <color auto="1"/>
        </left>
        <right style="thin">
          <color indexed="64"/>
        </right>
        <top style="thin">
          <color indexed="64"/>
        </top>
        <bottom style="thin">
          <color indexed="64"/>
        </bottom>
      </border>
    </dxf>
    <dxf>
      <numFmt numFmtId="0" formatCode="General"/>
      <fill>
        <patternFill>
          <fgColor indexed="64"/>
          <bgColor auto="1"/>
        </patternFill>
      </fill>
      <border outline="0">
        <left style="thin">
          <color auto="1"/>
        </left>
        <right style="thin">
          <color auto="1"/>
        </right>
        <top style="thin">
          <color auto="1"/>
        </top>
        <bottom style="thin">
          <color auto="1"/>
        </bottom>
      </border>
    </dxf>
    <dxf>
      <numFmt numFmtId="0" formatCode="General"/>
      <fill>
        <patternFill>
          <fgColor indexed="64"/>
          <bgColor auto="1"/>
        </patternFill>
      </fill>
      <border outline="0">
        <left style="thin">
          <color auto="1"/>
        </left>
        <right style="thin">
          <color auto="1"/>
        </right>
        <top style="thin">
          <color auto="1"/>
        </top>
        <bottom style="thin">
          <color auto="1"/>
        </bottom>
      </border>
    </dxf>
    <dxf>
      <border outline="0">
        <left style="thin">
          <color indexed="64"/>
        </left>
        <right style="thin">
          <color auto="1"/>
        </right>
        <top style="thin">
          <color indexed="64"/>
        </top>
        <bottom style="thin">
          <color indexed="64"/>
        </bottom>
      </border>
    </dxf>
    <dxf>
      <font>
        <name val="游ゴシック"/>
        <family val="2"/>
        <strike val="0"/>
        <outline val="0"/>
        <shadow val="0"/>
        <condense val="0"/>
        <color theme="1"/>
        <extend val="0"/>
        <sz val="11"/>
        <vertAlign val="baseline"/>
        <scheme val="minor"/>
      </font>
      <alignment horizontal="general" vertical="bottom"/>
      <border>
        <left style="thin">
          <color indexed="64"/>
        </left>
        <right style="thin">
          <color indexed="64"/>
        </right>
        <top style="thin">
          <color indexed="64"/>
        </top>
        <bottom style="thin">
          <color indexed="64"/>
        </bottom>
        <vertical style="thin">
          <color indexed="64"/>
        </vertical>
        <horizontal style="thin">
          <color indexed="64"/>
        </horizontal>
      </border>
    </dxf>
    <dxf>
      <font>
        <name val="游ゴシック"/>
        <family val="2"/>
        <strike val="0"/>
        <outline val="0"/>
        <shadow val="0"/>
        <condense val="0"/>
        <color theme="1"/>
        <extend val="0"/>
        <sz val="11"/>
        <vertAlign val="baseline"/>
        <scheme val="minor"/>
      </font>
      <alignment horizontal="general" vertical="bottom"/>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left style="thin">
          <color indexed="64"/>
        </left>
        <right style="thin">
          <color indexed="64"/>
        </right>
        <top style="thin">
          <color indexed="64"/>
        </top>
        <bottom style="thin">
          <color indexed="64"/>
        </bottom>
      </border>
    </dxf>
    <dxf>
      <border>
        <bottom style="thin">
          <color indexed="64"/>
        </bottom>
      </border>
    </dxf>
    <dxf>
      <border>
        <left style="thin">
          <color indexed="64"/>
        </left>
        <right style="thin">
          <color indexed="64"/>
        </right>
        <top/>
        <bottom/>
        <vertical style="thin">
          <color indexed="64"/>
        </vertical>
        <horizontal style="thin">
          <color indexed="64"/>
        </horizontal>
      </border>
    </dxf>
    <dxf>
      <fill>
        <patternFill>
          <bgColor theme="0" tint="-0.149967955565050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0" tint="-0.1499984740745262"/>
        </patternFill>
      </fill>
      <border>
        <left style="thin">
          <color indexed="64"/>
        </left>
        <right/>
        <top style="thin">
          <color indexed="64"/>
        </top>
        <bottom style="thin">
          <color indexed="64"/>
        </bottom>
        <vertical/>
        <horizontal/>
      </border>
    </dxf>
    <dxf>
      <border outline="0">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style="thin">
          <color auto="1"/>
        </right>
        <top style="thin">
          <color auto="1"/>
        </top>
        <bottom style="thin">
          <color auto="1"/>
        </bottom>
        <vertical/>
        <horizontal/>
      </border>
    </dxf>
    <dxf>
      <numFmt numFmtId="0" formatCode="General"/>
      <border>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left style="thin">
          <color indexed="64"/>
        </left>
        <right style="thin">
          <color indexed="64"/>
        </right>
        <top style="thin">
          <color indexed="64"/>
        </top>
        <bottom style="thin">
          <color indexed="64"/>
        </bottom>
      </border>
    </dxf>
    <dxf>
      <border outline="0">
        <bottom style="thin">
          <color indexed="64"/>
        </bottom>
      </border>
    </dxf>
    <dxf>
      <border outline="0">
        <left style="thin">
          <color auto="1"/>
        </left>
        <right style="thin">
          <color auto="1"/>
        </right>
        <top/>
        <bottom/>
      </border>
    </dxf>
    <dxf>
      <font>
        <name val="游ゴシック"/>
        <charset val="128"/>
        <family val="3"/>
        <strike val="0"/>
        <outline val="0"/>
        <shadow val="0"/>
        <vertAlign val="baseline"/>
        <scheme val="minor"/>
      </font>
      <border>
        <left style="thin">
          <color indexed="64"/>
        </left>
        <right/>
        <top style="thin">
          <color indexed="64"/>
        </top>
        <bottom style="thin">
          <color indexed="64"/>
        </bottom>
        <vertical style="thin">
          <color indexed="64"/>
        </vertical>
        <horizontal style="thin">
          <color indexed="64"/>
        </horizontal>
      </border>
    </dxf>
    <dxf>
      <font>
        <name val="游ゴシック"/>
        <charset val="128"/>
        <family val="3"/>
        <strike val="0"/>
        <outline val="0"/>
        <shadow val="0"/>
        <condense val="0"/>
        <color auto="1"/>
        <extend val="0"/>
        <sz val="11"/>
        <vertAlign val="baseline"/>
        <scheme val="minor"/>
      </font>
      <fill>
        <patternFill patternType="solid">
          <fgColor indexed="64"/>
          <bgColor theme="1" tint="0.3499862666707358"/>
        </patternFill>
      </fill>
      <border>
        <left style="thin">
          <color indexed="64"/>
        </left>
        <right style="thin">
          <color indexed="64"/>
        </right>
        <top style="thin">
          <color indexed="64"/>
        </top>
        <bottom style="thin">
          <color indexed="64"/>
        </bottom>
        <vertical style="thin">
          <color indexed="64"/>
        </vertical>
        <horizontal style="thin">
          <color indexed="64"/>
        </horizontal>
      </border>
    </dxf>
    <dxf>
      <font>
        <name val="游ゴシック"/>
        <charset val="128"/>
        <family val="3"/>
        <strike val="0"/>
        <outline val="0"/>
        <shadow val="0"/>
        <vertAlign val="baseline"/>
        <scheme val="minor"/>
      </font>
      <border>
        <left style="thin">
          <color indexed="64"/>
        </left>
        <right style="thin">
          <color indexed="64"/>
        </right>
        <top style="thin">
          <color indexed="64"/>
        </top>
        <bottom style="thin">
          <color indexed="64"/>
        </bottom>
        <vertical style="thin">
          <color indexed="64"/>
        </vertical>
        <horizontal style="thin">
          <color indexed="64"/>
        </horizontal>
      </border>
    </dxf>
    <dxf>
      <font>
        <name val="游ゴシック"/>
        <charset val="128"/>
        <family val="3"/>
        <strike val="0"/>
        <outline val="0"/>
        <shadow val="0"/>
        <vertAlign val="baseline"/>
        <scheme val="minor"/>
      </font>
      <border outline="0">
        <left style="thin">
          <color auto="1"/>
        </left>
        <right style="thin">
          <color indexed="64"/>
        </right>
        <top style="thin">
          <color indexed="64"/>
        </top>
        <bottom style="thin">
          <color indexed="64"/>
        </bottom>
      </border>
    </dxf>
    <dxf>
      <font>
        <name val="游ゴシック"/>
        <charset val="128"/>
        <family val="3"/>
        <strike val="0"/>
        <outline val="0"/>
        <shadow val="0"/>
        <vertAlign val="baseline"/>
        <scheme val="minor"/>
      </font>
      <numFmt numFmtId="176" formatCode="0_);[Red]\(0\)"/>
      <alignment horizontal="center" vertical="bottom"/>
      <border outline="0">
        <left style="thin">
          <color indexed="64"/>
        </left>
        <right style="thin">
          <color indexed="64"/>
        </right>
        <top style="thin">
          <color indexed="64"/>
        </top>
        <bottom style="thin">
          <color indexed="64"/>
        </bottom>
      </border>
    </dxf>
    <dxf>
      <font>
        <name val="游ゴシック"/>
        <charset val="128"/>
        <family val="3"/>
        <strike val="0"/>
        <outline val="0"/>
        <shadow val="0"/>
        <vertAlign val="baseline"/>
        <scheme val="minor"/>
      </font>
      <numFmt numFmtId="13" formatCode="0%"/>
      <border outline="0">
        <left style="thin">
          <color indexed="64"/>
        </left>
        <right style="thin">
          <color auto="1"/>
        </right>
        <top style="thin">
          <color indexed="64"/>
        </top>
        <bottom style="thin">
          <color indexed="64"/>
        </bottom>
      </border>
    </dxf>
    <dxf>
      <font>
        <name val="游ゴシック"/>
        <charset val="128"/>
        <family val="3"/>
        <strike val="0"/>
        <outline val="0"/>
        <shadow val="0"/>
        <vertAlign val="baseline"/>
        <scheme val="minor"/>
      </font>
      <numFmt numFmtId="13" formatCode="0%"/>
      <border>
        <left style="thin">
          <color indexed="64"/>
        </left>
        <right style="thin">
          <color indexed="64"/>
        </right>
        <top style="thin">
          <color indexed="64"/>
        </top>
        <bottom style="thin">
          <color indexed="64"/>
        </bottom>
        <vertical style="thin">
          <color indexed="64"/>
        </vertical>
        <horizontal style="thin">
          <color indexed="64"/>
        </horizontal>
      </border>
    </dxf>
    <dxf>
      <font>
        <name val="游ゴシック"/>
        <charset val="128"/>
        <family val="3"/>
        <strike val="0"/>
        <outline val="0"/>
        <shadow val="0"/>
        <vertAlign val="baseline"/>
        <scheme val="minor"/>
      </font>
      <numFmt numFmtId="13" formatCode="0%"/>
      <border>
        <left style="thin">
          <color indexed="64"/>
        </left>
        <right style="thin">
          <color indexed="64"/>
        </right>
        <top style="thin">
          <color indexed="64"/>
        </top>
        <bottom style="thin">
          <color indexed="64"/>
        </bottom>
        <vertical style="thin">
          <color indexed="64"/>
        </vertical>
        <horizontal style="thin">
          <color indexed="64"/>
        </horizontal>
      </border>
    </dxf>
    <dxf>
      <font>
        <name val="游ゴシック"/>
        <charset val="128"/>
        <family val="3"/>
        <strike val="0"/>
        <outline val="0"/>
        <shadow val="0"/>
        <vertAlign val="baseline"/>
        <scheme val="minor"/>
      </font>
      <numFmt numFmtId="13" formatCode="0%"/>
      <border>
        <left style="thin">
          <color indexed="64"/>
        </left>
        <right style="thin">
          <color indexed="64"/>
        </right>
        <top style="thin">
          <color indexed="64"/>
        </top>
        <bottom style="thin">
          <color indexed="64"/>
        </bottom>
        <vertical style="thin">
          <color indexed="64"/>
        </vertical>
        <horizontal style="thin">
          <color indexed="64"/>
        </horizontal>
      </border>
    </dxf>
    <dxf>
      <font>
        <name val="游ゴシック"/>
        <charset val="128"/>
        <family val="3"/>
        <strike val="0"/>
        <outline val="0"/>
        <shadow val="0"/>
        <vertAlign val="baseline"/>
        <scheme val="minor"/>
      </font>
      <numFmt numFmtId="176" formatCode="0_);[Red]\(0\)"/>
      <border>
        <left style="thin">
          <color indexed="64"/>
        </left>
        <right style="thin">
          <color indexed="64"/>
        </right>
        <top style="thin">
          <color indexed="64"/>
        </top>
        <bottom style="thin">
          <color indexed="64"/>
        </bottom>
        <vertical style="thin">
          <color indexed="64"/>
        </vertical>
        <horizontal style="thin">
          <color indexed="64"/>
        </horizontal>
      </border>
    </dxf>
    <dxf>
      <font>
        <name val="游ゴシック"/>
        <charset val="128"/>
        <family val="3"/>
        <strike val="0"/>
        <outline val="0"/>
        <shadow val="0"/>
        <vertAlign val="baseline"/>
        <scheme val="minor"/>
      </font>
      <numFmt numFmtId="176" formatCode="0_);[Red]\(0\)"/>
      <border>
        <left style="thin">
          <color auto="1"/>
        </left>
        <right style="thin">
          <color auto="1"/>
        </right>
        <top style="thin">
          <color auto="1"/>
        </top>
        <bottom style="thin">
          <color auto="1"/>
        </bottom>
        <vertical/>
        <horizontal/>
      </border>
    </dxf>
    <dxf>
      <font>
        <name val="游ゴシック"/>
        <charset val="128"/>
        <family val="3"/>
        <strike val="0"/>
        <outline val="0"/>
        <shadow val="0"/>
        <condense val="0"/>
        <color theme="1"/>
        <extend val="0"/>
        <sz val="11"/>
        <vertAlign val="baseline"/>
        <scheme val="minor"/>
      </font>
      <numFmt numFmtId="176" formatCode="0_);[Red]\(0\)"/>
      <border>
        <left style="thin">
          <color indexed="64"/>
        </left>
        <right style="thin">
          <color indexed="64"/>
        </right>
        <top style="thin">
          <color indexed="64"/>
        </top>
        <bottom style="thin">
          <color indexed="64"/>
        </bottom>
        <vertical style="thin">
          <color indexed="64"/>
        </vertical>
        <horizontal style="thin">
          <color indexed="64"/>
        </horizontal>
      </border>
    </dxf>
    <dxf>
      <font>
        <name val="游ゴシック"/>
        <charset val="128"/>
        <family val="3"/>
        <strike val="0"/>
        <outline val="0"/>
        <shadow val="0"/>
        <condense val="0"/>
        <color theme="1"/>
        <extend val="0"/>
        <sz val="11"/>
        <vertAlign val="baseline"/>
        <scheme val="minor"/>
      </font>
      <numFmt numFmtId="176" formatCode="0_);[Red]\(0\)"/>
      <border>
        <left style="thin">
          <color indexed="64"/>
        </left>
        <right style="thin">
          <color indexed="64"/>
        </right>
        <top style="thin">
          <color indexed="64"/>
        </top>
        <bottom style="thin">
          <color indexed="64"/>
        </bottom>
        <vertical style="thin">
          <color indexed="64"/>
        </vertical>
        <horizontal style="thin">
          <color indexed="64"/>
        </horizontal>
      </border>
    </dxf>
    <dxf>
      <font>
        <name val="游ゴシック"/>
        <charset val="128"/>
        <family val="3"/>
        <strike val="0"/>
        <outline val="0"/>
        <shadow val="0"/>
        <condense val="0"/>
        <color theme="1"/>
        <extend val="0"/>
        <sz val="11"/>
        <vertAlign val="baseline"/>
        <scheme val="minor"/>
      </font>
      <numFmt numFmtId="176" formatCode="0_);[Red]\(0\)"/>
      <border>
        <left style="thin">
          <color indexed="64"/>
        </left>
        <right style="thin">
          <color indexed="64"/>
        </right>
        <top style="thin">
          <color indexed="64"/>
        </top>
        <bottom style="thin">
          <color indexed="64"/>
        </bottom>
        <vertical style="thin">
          <color indexed="64"/>
        </vertical>
        <horizontal style="thin">
          <color indexed="64"/>
        </horizontal>
      </border>
    </dxf>
    <dxf>
      <font>
        <name val="游ゴシック"/>
        <charset val="128"/>
        <family val="3"/>
        <strike val="0"/>
        <outline val="0"/>
        <shadow val="0"/>
        <condense val="0"/>
        <color theme="1"/>
        <extend val="0"/>
        <sz val="11"/>
        <vertAlign val="baseline"/>
        <scheme val="minor"/>
      </font>
      <numFmt numFmtId="176" formatCode="0_);[Red]\(0\)"/>
      <border>
        <left style="thin">
          <color indexed="64"/>
        </left>
        <right style="thin">
          <color indexed="64"/>
        </right>
        <top style="thin">
          <color indexed="64"/>
        </top>
        <bottom style="thin">
          <color indexed="64"/>
        </bottom>
        <vertical style="thin">
          <color indexed="64"/>
        </vertical>
        <horizontal style="thin">
          <color indexed="64"/>
        </horizontal>
      </border>
    </dxf>
    <dxf>
      <font>
        <name val="游ゴシック"/>
        <charset val="128"/>
        <family val="3"/>
        <strike val="0"/>
        <outline val="0"/>
        <shadow val="0"/>
        <vertAlign val="baseline"/>
        <scheme val="minor"/>
      </font>
      <numFmt numFmtId="176" formatCode="0_);[Red]\(0\)"/>
      <border>
        <left style="thin">
          <color indexed="64"/>
        </left>
        <right style="thin">
          <color indexed="64"/>
        </right>
        <top style="thin">
          <color indexed="64"/>
        </top>
        <bottom style="thin">
          <color indexed="64"/>
        </bottom>
        <vertical style="thin">
          <color indexed="64"/>
        </vertical>
        <horizontal style="thin">
          <color indexed="64"/>
        </horizontal>
      </border>
    </dxf>
    <dxf>
      <font>
        <name val="游ゴシック"/>
        <charset val="128"/>
        <family val="3"/>
        <strike val="0"/>
        <outline val="0"/>
        <shadow val="0"/>
        <vertAlign val="baseline"/>
        <scheme val="minor"/>
      </font>
      <numFmt numFmtId="176" formatCode="0_);[Red]\(0\)"/>
      <border>
        <left style="thin">
          <color indexed="64"/>
        </left>
        <right style="thin">
          <color indexed="64"/>
        </right>
        <top style="thin">
          <color indexed="64"/>
        </top>
        <bottom style="thin">
          <color indexed="64"/>
        </bottom>
        <vertical style="thin">
          <color indexed="64"/>
        </vertical>
        <horizontal style="thin">
          <color indexed="64"/>
        </horizontal>
      </border>
    </dxf>
    <dxf>
      <font>
        <name val="游ゴシック"/>
        <charset val="128"/>
        <family val="3"/>
        <strike val="0"/>
        <outline val="0"/>
        <shadow val="0"/>
        <vertAlign val="baseline"/>
        <scheme val="minor"/>
      </font>
      <border>
        <left style="thin">
          <color indexed="64"/>
        </left>
        <right style="thin">
          <color indexed="64"/>
        </right>
        <top style="thin">
          <color indexed="64"/>
        </top>
        <bottom style="thin">
          <color indexed="64"/>
        </bottom>
        <vertical style="thin">
          <color indexed="64"/>
        </vertical>
        <horizontal style="thin">
          <color indexed="64"/>
        </horizontal>
      </border>
    </dxf>
    <dxf>
      <font>
        <name val="游ゴシック"/>
        <charset val="128"/>
        <family val="3"/>
        <strike val="0"/>
        <outline val="0"/>
        <shadow val="0"/>
        <vertAlign val="baseline"/>
        <scheme val="minor"/>
      </font>
      <numFmt numFmtId="178" formatCode="0.0%"/>
      <alignment horizontal="general" vertical="bottom" wrapText="1"/>
      <border>
        <left style="thin">
          <color indexed="64"/>
        </left>
        <right style="thin">
          <color indexed="64"/>
        </right>
        <top style="thin">
          <color indexed="64"/>
        </top>
        <bottom style="thin">
          <color indexed="64"/>
        </bottom>
        <vertical style="thin">
          <color indexed="64"/>
        </vertical>
        <horizontal style="thin">
          <color indexed="64"/>
        </horizontal>
      </border>
    </dxf>
    <dxf>
      <font>
        <name val="游ゴシック"/>
        <charset val="128"/>
        <family val="3"/>
        <strike val="0"/>
        <outline val="0"/>
        <shadow val="0"/>
        <vertAlign val="baseline"/>
        <scheme val="minor"/>
      </font>
      <numFmt numFmtId="176" formatCode="0_);[Red]\(0\)"/>
      <border>
        <left style="thin">
          <color indexed="64"/>
        </left>
        <right style="thin">
          <color indexed="64"/>
        </right>
        <top style="thin">
          <color indexed="64"/>
        </top>
        <bottom style="thin">
          <color indexed="64"/>
        </bottom>
        <vertical style="thin">
          <color indexed="64"/>
        </vertical>
        <horizontal style="thin">
          <color indexed="64"/>
        </horizontal>
      </border>
    </dxf>
    <dxf>
      <font>
        <name val="游ゴシック"/>
        <charset val="128"/>
        <family val="3"/>
        <strike val="0"/>
        <outline val="0"/>
        <shadow val="0"/>
        <vertAlign val="baseline"/>
        <scheme val="minor"/>
      </font>
      <numFmt numFmtId="47" formatCode="m&quot;月&quot;d&quot;日&quot;"/>
      <border>
        <left style="thin">
          <color indexed="64"/>
        </left>
        <right style="thin">
          <color indexed="64"/>
        </right>
        <top style="thin">
          <color indexed="64"/>
        </top>
        <bottom style="thin">
          <color indexed="64"/>
        </bottom>
        <vertical style="thin">
          <color indexed="64"/>
        </vertical>
        <horizontal style="thin">
          <color indexed="64"/>
        </horizontal>
      </border>
    </dxf>
    <dxf>
      <font>
        <name val="游ゴシック"/>
        <charset val="128"/>
        <family val="3"/>
        <strike val="0"/>
        <outline val="0"/>
        <shadow val="0"/>
        <vertAlign val="baseline"/>
        <scheme val="minor"/>
      </font>
      <numFmt numFmtId="176" formatCode="0_);[Red]\(0\)"/>
      <border>
        <left style="thin">
          <color indexed="64"/>
        </left>
        <right style="thin">
          <color indexed="64"/>
        </right>
        <top style="thin">
          <color indexed="64"/>
        </top>
        <bottom style="thin">
          <color indexed="64"/>
        </bottom>
        <vertical style="thin">
          <color indexed="64"/>
        </vertical>
        <horizontal style="thin">
          <color indexed="64"/>
        </horizontal>
      </border>
    </dxf>
    <dxf>
      <font>
        <name val="游ゴシック"/>
        <charset val="128"/>
        <family val="3"/>
        <strike val="0"/>
        <outline val="0"/>
        <shadow val="0"/>
        <vertAlign val="baseline"/>
        <scheme val="minor"/>
      </font>
      <border>
        <left style="thin">
          <color indexed="64"/>
        </left>
        <right style="thin">
          <color indexed="64"/>
        </right>
        <top style="thin">
          <color indexed="64"/>
        </top>
        <bottom style="thin">
          <color indexed="64"/>
        </bottom>
        <vertical style="thin">
          <color indexed="64"/>
        </vertical>
        <horizontal style="thin">
          <color indexed="64"/>
        </horizontal>
      </border>
    </dxf>
    <dxf>
      <font>
        <name val="游ゴシック"/>
        <charset val="128"/>
        <family val="3"/>
        <strike val="0"/>
        <outline val="0"/>
        <shadow val="0"/>
        <vertAlign val="baseline"/>
        <scheme val="minor"/>
      </font>
      <border>
        <left style="thin">
          <color indexed="64"/>
        </left>
        <right style="thin">
          <color indexed="64"/>
        </right>
        <top style="thin">
          <color indexed="64"/>
        </top>
        <bottom style="thin">
          <color indexed="64"/>
        </bottom>
        <vertical style="thin">
          <color indexed="64"/>
        </vertical>
        <horizontal style="thin">
          <color indexed="64"/>
        </horizontal>
      </border>
    </dxf>
    <dxf>
      <font>
        <name val="游ゴシック"/>
        <charset val="128"/>
        <family val="3"/>
        <strike val="0"/>
        <outline val="0"/>
        <shadow val="0"/>
        <vertAlign val="baseline"/>
        <scheme val="minor"/>
      </font>
      <border>
        <left style="thin">
          <color indexed="64"/>
        </left>
        <right style="thin">
          <color indexed="64"/>
        </right>
        <top style="thin">
          <color indexed="64"/>
        </top>
        <bottom style="thin">
          <color indexed="64"/>
        </bottom>
        <vertical style="thin">
          <color indexed="64"/>
        </vertical>
        <horizontal style="thin">
          <color indexed="64"/>
        </horizontal>
      </border>
    </dxf>
    <dxf>
      <font>
        <name val="游ゴシック"/>
        <charset val="128"/>
        <family val="3"/>
        <strike val="0"/>
        <outline val="0"/>
        <shadow val="0"/>
        <vertAlign val="baseline"/>
        <scheme val="minor"/>
      </font>
      <border>
        <left style="thin">
          <color indexed="64"/>
        </left>
        <right style="thin">
          <color indexed="64"/>
        </right>
        <top style="thin">
          <color indexed="64"/>
        </top>
        <bottom style="thin">
          <color indexed="64"/>
        </bottom>
        <vertical style="thin">
          <color indexed="64"/>
        </vertical>
        <horizontal style="thin">
          <color indexed="64"/>
        </horizontal>
      </border>
    </dxf>
    <dxf>
      <font>
        <name val="游ゴシック"/>
        <charset val="128"/>
        <family val="3"/>
        <strike val="0"/>
        <outline val="0"/>
        <shadow val="0"/>
        <vertAlign val="baseline"/>
        <scheme val="minor"/>
      </font>
      <numFmt numFmtId="0" formatCode="General"/>
      <alignment horizontal="general" vertical="bottom" wrapText="1"/>
      <border>
        <left style="thin">
          <color auto="1"/>
        </left>
        <right style="thin">
          <color auto="1"/>
        </right>
        <top style="thin">
          <color auto="1"/>
        </top>
        <bottom style="thin">
          <color auto="1"/>
        </bottom>
        <vertical/>
        <horizontal/>
      </border>
    </dxf>
    <dxf>
      <font>
        <name val="游ゴシック"/>
        <charset val="128"/>
        <family val="3"/>
        <strike val="0"/>
        <outline val="0"/>
        <shadow val="0"/>
        <vertAlign val="baseline"/>
        <scheme val="minor"/>
      </font>
      <numFmt numFmtId="0" formatCode="General"/>
      <border>
        <left style="thin">
          <color auto="1"/>
        </left>
        <right style="thin">
          <color auto="1"/>
        </right>
        <top style="thin">
          <color auto="1"/>
        </top>
        <bottom style="thin">
          <color auto="1"/>
        </bottom>
        <vertical/>
        <horizontal/>
      </border>
    </dxf>
    <dxf>
      <font>
        <name val="游ゴシック"/>
        <charset val="128"/>
        <family val="3"/>
        <strike val="0"/>
        <outline val="0"/>
        <shadow val="0"/>
        <vertAlign val="baseline"/>
        <scheme val="minor"/>
      </font>
      <border>
        <left style="thin">
          <color indexed="64"/>
        </left>
        <right style="thin">
          <color indexed="64"/>
        </right>
        <top style="thin">
          <color indexed="64"/>
        </top>
        <bottom style="thin">
          <color indexed="64"/>
        </bottom>
        <vertical style="thin">
          <color indexed="64"/>
        </vertical>
        <horizontal style="thin">
          <color indexed="64"/>
        </horizontal>
      </border>
    </dxf>
    <dxf>
      <font>
        <name val="游ゴシック"/>
        <charset val="128"/>
        <family val="3"/>
        <strike val="0"/>
        <outline val="0"/>
        <shadow val="0"/>
        <color auto="1"/>
        <sz val="11"/>
        <vertAlign val="baseline"/>
        <scheme val="minor"/>
      </font>
      <numFmt numFmtId="0" formatCode="General"/>
      <fill>
        <patternFill patternType="solid">
          <fgColor indexed="64"/>
          <bgColor theme="0" tint="-0.1499984740745262"/>
        </patternFill>
      </fill>
      <border outline="0">
        <left style="thin">
          <color indexed="64"/>
        </left>
        <right style="thin">
          <color indexed="64"/>
        </right>
        <top style="thin">
          <color indexed="64"/>
        </top>
        <bottom style="thin">
          <color indexed="64"/>
        </bottom>
      </border>
    </dxf>
    <dxf>
      <font>
        <name val="游ゴシック"/>
        <charset val="128"/>
        <family val="3"/>
        <strike val="0"/>
        <outline val="0"/>
        <shadow val="0"/>
        <vertAlign val="baseline"/>
        <scheme val="minor"/>
      </font>
      <fill>
        <patternFill>
          <bgColor auto="1"/>
        </patternFill>
      </fill>
      <border outline="0">
        <left style="thin">
          <color indexed="64"/>
        </left>
        <right style="thin">
          <color indexed="64"/>
        </right>
        <top style="thin">
          <color indexed="64"/>
        </top>
        <bottom style="thin">
          <color indexed="64"/>
        </bottom>
      </border>
    </dxf>
    <dxf>
      <font>
        <name val="游ゴシック"/>
        <charset val="128"/>
        <family val="3"/>
        <strike val="0"/>
        <outline val="0"/>
        <shadow val="0"/>
        <vertAlign val="baseline"/>
        <scheme val="minor"/>
      </font>
      <fill>
        <patternFill>
          <bgColor auto="1"/>
        </patternFill>
      </fill>
      <border outline="0">
        <left style="thin">
          <color indexed="64"/>
        </left>
        <right style="thin">
          <color indexed="64"/>
        </right>
        <top style="thin">
          <color indexed="64"/>
        </top>
        <bottom style="thin">
          <color indexed="64"/>
        </bottom>
      </border>
    </dxf>
    <dxf>
      <font>
        <name val="游ゴシック"/>
        <charset val="128"/>
        <family val="3"/>
        <strike val="0"/>
        <outline val="0"/>
        <shadow val="0"/>
        <vertAlign val="baseline"/>
        <scheme val="minor"/>
      </font>
      <fill>
        <patternFill>
          <bgColor auto="1"/>
        </patternFill>
      </fill>
      <border outline="0">
        <left/>
        <right style="thin">
          <color indexed="64"/>
        </right>
        <top style="thin">
          <color indexed="64"/>
        </top>
        <bottom style="thin">
          <color indexed="64"/>
        </bottom>
      </border>
    </dxf>
    <dxf>
      <border>
        <top style="thin">
          <color indexed="64"/>
        </top>
      </border>
    </dxf>
    <dxf>
      <border>
        <left style="thin">
          <color indexed="64"/>
        </left>
        <right style="thin">
          <color indexed="64"/>
        </right>
        <top style="thin">
          <color indexed="64"/>
        </top>
        <bottom style="thin">
          <color indexed="64"/>
        </bottom>
      </border>
    </dxf>
    <dxf>
      <font>
        <name val="游ゴシック"/>
        <charset val="128"/>
        <family val="3"/>
        <strike val="0"/>
        <outline val="0"/>
        <shadow val="0"/>
        <vertAlign val="baseline"/>
        <scheme val="minor"/>
      </font>
    </dxf>
    <dxf>
      <border>
        <bottom style="thin">
          <color indexed="64"/>
        </bottom>
      </border>
    </dxf>
    <dxf>
      <font>
        <name val="游ゴシック"/>
        <charset val="128"/>
        <family val="3"/>
        <b val="1"/>
        <strike val="0"/>
        <outline val="0"/>
        <shadow val="0"/>
        <condense val="0"/>
        <color auto="1"/>
        <extend val="0"/>
        <sz val="11"/>
        <vertAlign val="baseline"/>
        <scheme val="minor"/>
      </font>
      <fill>
        <patternFill>
          <fgColor indexed="64"/>
          <bgColor auto="1"/>
        </patternFill>
      </fill>
      <alignment horizontal="center" vertical="center"/>
      <border>
        <left style="thin">
          <color indexed="64"/>
        </left>
        <right style="thin">
          <color indexed="64"/>
        </right>
        <top/>
        <bottom/>
        <vertical style="thin">
          <color indexed="64"/>
        </vertical>
        <horizontal style="thin">
          <color indexed="64"/>
        </horizontal>
      </border>
    </dxf>
    <dxf>
      <font>
        <color rgb="FF9C0006"/>
      </font>
      <fill>
        <patternFill>
          <bgColor rgb="FFFFC7CE"/>
        </patternFill>
      </fill>
    </dxf>
    <dxf>
      <border outline="0">
        <top style="thin">
          <color auto="1"/>
        </top>
      </border>
    </dxf>
    <dxf>
      <border outline="0">
        <bottom style="thin">
          <color auto="1"/>
        </bottom>
      </border>
    </dxf>
    <dxf>
      <font>
        <name val="ＭＳ Ｐゴシック"/>
        <charset val="128"/>
        <family val="3"/>
        <b val="1"/>
        <strike val="0"/>
        <outline val="0"/>
        <shadow val="0"/>
        <condense val="0"/>
        <color auto="1"/>
        <extend val="0"/>
        <sz val="11"/>
        <vertAlign val="baseline"/>
      </font>
      <fill>
        <patternFill>
          <fgColor indexed="64"/>
          <bgColor auto="1"/>
        </patternFill>
      </fill>
      <alignment horizontal="center" vertical="center"/>
      <border outline="0">
        <left style="thin">
          <color auto="1"/>
        </left>
        <right style="thin">
          <color auto="1"/>
        </right>
        <top/>
        <bottom/>
      </border>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pivotCacheDefinition" Target="/xl/pivotCache/pivotCacheDefinition1.xml" Id="rId18" /><Relationship Type="http://schemas.openxmlformats.org/officeDocument/2006/relationships/externalLink" Target="/xl/externalLinks/externalLink1.xml" Id="rId19" /><Relationship Type="http://schemas.openxmlformats.org/officeDocument/2006/relationships/styles" Target="styles.xml" Id="rId20" /><Relationship Type="http://schemas.openxmlformats.org/officeDocument/2006/relationships/theme" Target="theme/theme1.xml" Id="rId21"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png" Id="rId1" /></Relationships>
</file>

<file path=xl/drawings/_rels/drawing3.xml.rels><Relationships xmlns="http://schemas.openxmlformats.org/package/2006/relationships"><Relationship Type="http://schemas.openxmlformats.org/officeDocument/2006/relationships/image" Target="/xl/media/image3.png" Id="rId1" /></Relationships>
</file>

<file path=xl/drawings/_rels/drawing4.xml.rels><Relationships xmlns="http://schemas.openxmlformats.org/package/2006/relationships"><Relationship Type="http://schemas.openxmlformats.org/officeDocument/2006/relationships/image" Target="/xl/media/image4.png" Id="rId1" /><Relationship Type="http://schemas.openxmlformats.org/officeDocument/2006/relationships/image" Target="/xl/media/image5.png" Id="rId2" /></Relationships>
</file>

<file path=xl/drawings/_rels/drawing5.xml.rels><Relationships xmlns="http://schemas.openxmlformats.org/package/2006/relationships"><Relationship Type="http://schemas.openxmlformats.org/officeDocument/2006/relationships/image" Target="/xl/media/image6.png" Id="rId1" /></Relationships>
</file>

<file path=xl/drawings/_rels/drawing6.xml.rels><Relationships xmlns="http://schemas.openxmlformats.org/package/2006/relationships"><Relationship Type="http://schemas.openxmlformats.org/officeDocument/2006/relationships/image" Target="/xl/media/image7.png" Id="rId1" /></Relationships>
</file>

<file path=xl/drawings/_rels/drawing7.xml.rels><Relationships xmlns="http://schemas.openxmlformats.org/package/2006/relationships"><Relationship Type="http://schemas.openxmlformats.org/officeDocument/2006/relationships/image" Target="/xl/media/image8.png" Id="rId1" /><Relationship Type="http://schemas.openxmlformats.org/officeDocument/2006/relationships/image" Target="/xl/media/image9.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5</col>
      <colOff>152399</colOff>
      <row>6</row>
      <rowOff>133350</rowOff>
    </from>
    <to>
      <col>6</col>
      <colOff>1260691</colOff>
      <row>7</row>
      <rowOff>91310</rowOff>
    </to>
    <pic>
      <nvPicPr>
        <cNvPr id="2" name="図 1"/>
        <cNvPicPr>
          <a:picLocks noChangeAspect="1"/>
        </cNvPicPr>
      </nvPicPr>
      <blipFill>
        <a:blip cstate="print" r:embed="rId1"/>
        <a:stretch>
          <a:fillRect/>
        </a:stretch>
      </blipFill>
      <spPr>
        <a:xfrm>
          <a:off x="5657849" y="2085975"/>
          <a:ext cx="2175092" cy="262760"/>
        </a:xfrm>
        <a:prstGeom prst="rect">
          <avLst/>
        </a:prstGeom>
        <a:ln>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5</col>
      <colOff>152399</colOff>
      <row>6</row>
      <rowOff>133350</rowOff>
    </from>
    <to>
      <col>6</col>
      <colOff>1260691</colOff>
      <row>7</row>
      <rowOff>89406</rowOff>
    </to>
    <pic>
      <nvPicPr>
        <cNvPr id="2" name="図 1"/>
        <cNvPicPr>
          <a:picLocks noChangeAspect="1"/>
        </cNvPicPr>
      </nvPicPr>
      <blipFill>
        <a:blip cstate="print" r:embed="rId1"/>
        <a:stretch>
          <a:fillRect/>
        </a:stretch>
      </blipFill>
      <spPr>
        <a:xfrm>
          <a:off x="8816339" y="2038350"/>
          <a:ext cx="2175092" cy="239900"/>
        </a:xfrm>
        <a:prstGeom prst="rect">
          <avLst/>
        </a:prstGeom>
        <a:ln>
          <a:prstDash val="solid"/>
        </a:ln>
      </spPr>
    </pic>
    <clientData/>
  </two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6</col>
      <colOff>152399</colOff>
      <row>6</row>
      <rowOff>133350</rowOff>
    </from>
    <to>
      <col>7</col>
      <colOff>1260691</colOff>
      <row>7</row>
      <rowOff>137030</rowOff>
    </to>
    <pic>
      <nvPicPr>
        <cNvPr id="2" name="図 1"/>
        <cNvPicPr>
          <a:picLocks noChangeAspect="1"/>
        </cNvPicPr>
      </nvPicPr>
      <blipFill>
        <a:blip cstate="print" r:embed="rId1"/>
        <a:stretch>
          <a:fillRect/>
        </a:stretch>
      </blipFill>
      <spPr>
        <a:xfrm>
          <a:off x="8905874" y="1781175"/>
          <a:ext cx="2175092" cy="262760"/>
        </a:xfrm>
        <a:prstGeom prst="rect">
          <avLst/>
        </a:prstGeom>
        <a:ln>
          <a:prstDash val="solid"/>
        </a:ln>
      </spPr>
    </pic>
    <clientData/>
  </twoCellAnchor>
</wsDr>
</file>

<file path=xl/drawings/drawing4.xml><?xml version="1.0" encoding="utf-8"?>
<wsDr xmlns:a="http://schemas.openxmlformats.org/drawingml/2006/main" xmlns:r="http://schemas.openxmlformats.org/officeDocument/2006/relationships" xmlns="http://schemas.openxmlformats.org/drawingml/2006/spreadsheetDrawing">
  <twoCellAnchor editAs="oneCell">
    <from>
      <col>6</col>
      <colOff>152399</colOff>
      <row>6</row>
      <rowOff>133350</rowOff>
    </from>
    <to>
      <col>7</col>
      <colOff>1260691</colOff>
      <row>7</row>
      <rowOff>133219</rowOff>
    </to>
    <pic>
      <nvPicPr>
        <cNvPr id="2" name="図 1"/>
        <cNvPicPr>
          <a:picLocks noChangeAspect="1"/>
        </cNvPicPr>
      </nvPicPr>
      <blipFill>
        <a:blip cstate="print" r:embed="rId1"/>
        <a:stretch>
          <a:fillRect/>
        </a:stretch>
      </blipFill>
      <spPr>
        <a:xfrm>
          <a:off x="6638924" y="1819275"/>
          <a:ext cx="2175092" cy="262760"/>
        </a:xfrm>
        <a:prstGeom prst="rect">
          <avLst/>
        </a:prstGeom>
        <a:ln>
          <a:prstDash val="solid"/>
        </a:ln>
      </spPr>
    </pic>
    <clientData/>
  </twoCellAnchor>
  <twoCellAnchor editAs="oneCell">
    <from>
      <col>8</col>
      <colOff>0</colOff>
      <row>5</row>
      <rowOff>236220</rowOff>
    </from>
    <to>
      <col>8</col>
      <colOff>1744980</colOff>
      <row>13</row>
      <rowOff>130842</rowOff>
    </to>
    <pic>
      <nvPicPr>
        <cNvPr id="3" name="図 2"/>
        <cNvPicPr>
          <a:picLocks noChangeAspect="1"/>
        </cNvPicPr>
      </nvPicPr>
      <blipFill>
        <a:blip cstate="print" r:embed="rId2"/>
        <a:stretch>
          <a:fillRect/>
        </a:stretch>
      </blipFill>
      <spPr>
        <a:xfrm>
          <a:off x="9997440" y="1668780"/>
          <a:ext cx="1744980" cy="1921542"/>
        </a:xfrm>
        <a:prstGeom prst="rect">
          <avLst/>
        </a:prstGeom>
        <a:ln>
          <a:prstDash val="solid"/>
        </a:ln>
      </spPr>
    </pic>
    <clientData/>
  </twoCellAnchor>
</wsDr>
</file>

<file path=xl/drawings/drawing5.xml><?xml version="1.0" encoding="utf-8"?>
<wsDr xmlns:a="http://schemas.openxmlformats.org/drawingml/2006/main" xmlns:r="http://schemas.openxmlformats.org/officeDocument/2006/relationships" xmlns="http://schemas.openxmlformats.org/drawingml/2006/spreadsheetDrawing">
  <twoCellAnchor editAs="oneCell">
    <from>
      <col>6</col>
      <colOff>152399</colOff>
      <row>6</row>
      <rowOff>133350</rowOff>
    </from>
    <to>
      <col>7</col>
      <colOff>1260691</colOff>
      <row>7</row>
      <rowOff>133220</rowOff>
    </to>
    <pic>
      <nvPicPr>
        <cNvPr id="2" name="図 1"/>
        <cNvPicPr>
          <a:picLocks noChangeAspect="1"/>
        </cNvPicPr>
      </nvPicPr>
      <blipFill>
        <a:blip cstate="print" r:embed="rId1"/>
        <a:stretch>
          <a:fillRect/>
        </a:stretch>
      </blipFill>
      <spPr>
        <a:xfrm>
          <a:off x="7048499" y="1929765"/>
          <a:ext cx="2175092" cy="289430"/>
        </a:xfrm>
        <a:prstGeom prst="rect">
          <avLst/>
        </a:prstGeom>
        <a:ln>
          <a:prstDash val="solid"/>
        </a:ln>
      </spPr>
    </pic>
    <clientData/>
  </twoCellAnchor>
</wsDr>
</file>

<file path=xl/drawings/drawing6.xml><?xml version="1.0" encoding="utf-8"?>
<wsDr xmlns:a="http://schemas.openxmlformats.org/drawingml/2006/main" xmlns:r="http://schemas.openxmlformats.org/officeDocument/2006/relationships" xmlns="http://schemas.openxmlformats.org/drawingml/2006/spreadsheetDrawing">
  <twoCellAnchor editAs="oneCell">
    <from>
      <col>5</col>
      <colOff>152399</colOff>
      <row>6</row>
      <rowOff>133350</rowOff>
    </from>
    <to>
      <col>6</col>
      <colOff>1260691</colOff>
      <row>7</row>
      <rowOff>91310</rowOff>
    </to>
    <pic>
      <nvPicPr>
        <cNvPr id="2" name="図 1"/>
        <cNvPicPr>
          <a:picLocks noChangeAspect="1"/>
        </cNvPicPr>
      </nvPicPr>
      <blipFill>
        <a:blip cstate="print" r:embed="rId1"/>
        <a:stretch>
          <a:fillRect/>
        </a:stretch>
      </blipFill>
      <spPr>
        <a:xfrm>
          <a:off x="6347459" y="2038350"/>
          <a:ext cx="2175092" cy="239900"/>
        </a:xfrm>
        <a:prstGeom prst="rect">
          <avLst/>
        </a:prstGeom>
        <a:ln>
          <a:prstDash val="solid"/>
        </a:ln>
      </spPr>
    </pic>
    <clientData/>
  </twoCellAnchor>
</wsDr>
</file>

<file path=xl/drawings/drawing7.xml><?xml version="1.0" encoding="utf-8"?>
<wsDr xmlns:a="http://schemas.openxmlformats.org/drawingml/2006/main" xmlns:r="http://schemas.openxmlformats.org/officeDocument/2006/relationships" xmlns="http://schemas.openxmlformats.org/drawingml/2006/spreadsheetDrawing">
  <twoCellAnchor editAs="oneCell">
    <from>
      <col>6</col>
      <colOff>152399</colOff>
      <row>6</row>
      <rowOff>133350</rowOff>
    </from>
    <to>
      <col>7</col>
      <colOff>1260691</colOff>
      <row>7</row>
      <rowOff>133219</rowOff>
    </to>
    <pic>
      <nvPicPr>
        <cNvPr id="2" name="図 1"/>
        <cNvPicPr>
          <a:picLocks noChangeAspect="1"/>
        </cNvPicPr>
      </nvPicPr>
      <blipFill>
        <a:blip cstate="print" r:embed="rId1"/>
        <a:stretch>
          <a:fillRect/>
        </a:stretch>
      </blipFill>
      <spPr>
        <a:xfrm>
          <a:off x="7444739" y="1901190"/>
          <a:ext cx="2175092" cy="281809"/>
        </a:xfrm>
        <a:prstGeom prst="rect">
          <avLst/>
        </a:prstGeom>
        <a:ln>
          <a:prstDash val="solid"/>
        </a:ln>
      </spPr>
    </pic>
    <clientData/>
  </twoCellAnchor>
  <twoCellAnchor editAs="oneCell">
    <from>
      <col>8</col>
      <colOff>0</colOff>
      <row>5</row>
      <rowOff>236220</rowOff>
    </from>
    <to>
      <col>8</col>
      <colOff>1744980</colOff>
      <row>13</row>
      <rowOff>130842</rowOff>
    </to>
    <pic>
      <nvPicPr>
        <cNvPr id="3" name="図 2"/>
        <cNvPicPr>
          <a:picLocks noChangeAspect="1"/>
        </cNvPicPr>
      </nvPicPr>
      <blipFill>
        <a:blip cstate="print" r:embed="rId2"/>
        <a:stretch>
          <a:fillRect/>
        </a:stretch>
      </blipFill>
      <spPr>
        <a:xfrm>
          <a:off x="9997440" y="1668780"/>
          <a:ext cx="1744980" cy="1921542"/>
        </a:xfrm>
        <a:prstGeom prst="rect">
          <avLst/>
        </a:prstGeom>
        <a:ln>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file:///C:\Users\snjsosa\Downloads\26-03-10_&#21463;&#30330;&#27880;&#31649;&#29702;&#21488;&#24115;_&#12525;&#12540;&#12459;&#12523;.xlsx"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仕入先マスタ"/>
      <sheetName val="商品マスタ"/>
      <sheetName val="案件番号採番"/>
      <sheetName val="顧客与信管理"/>
      <sheetName val="案件明細"/>
      <sheetName val="案件追跡表"/>
      <sheetName val="見積書"/>
      <sheetName val="注文確認メール"/>
      <sheetName val="発注書"/>
      <sheetName val="納品書"/>
      <sheetName val="請求書"/>
      <sheetName val="請求書 (前払)"/>
      <sheetName val="入力ルール用シート"/>
      <sheetName val="画像収集_優先リスト"/>
      <sheetName val="案件集計"/>
      <sheetName val="見積書 (内税)"/>
      <sheetName val="請求書 (内税)"/>
      <sheetName val="26-03-10_受発注管理台帳_ローカル"/>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D2" t="str">
            <v>杉田</v>
          </cell>
          <cell r="E2" t="str">
            <v>S</v>
          </cell>
          <cell r="G2" t="str">
            <v>01</v>
          </cell>
        </row>
        <row r="3">
          <cell r="E3" t="str">
            <v>T</v>
          </cell>
          <cell r="G3" t="str">
            <v>02</v>
          </cell>
        </row>
        <row r="4">
          <cell r="E4" t="str">
            <v>H</v>
          </cell>
        </row>
        <row r="5">
          <cell r="E5" t="str">
            <v>A</v>
          </cell>
        </row>
        <row r="6">
          <cell r="E6" t="str">
            <v>K</v>
          </cell>
        </row>
        <row r="7">
          <cell r="E7" t="str">
            <v>N</v>
          </cell>
        </row>
        <row r="8">
          <cell r="E8" t="str">
            <v>R</v>
          </cell>
        </row>
      </sheetData>
      <sheetData sheetId="13"/>
      <sheetData sheetId="14"/>
      <sheetData sheetId="15"/>
      <sheetData sheetId="16"/>
      <sheetData sheetId="17" refreshError="1"/>
    </sheetDataSet>
  </externalBook>
</externalLink>
</file>

<file path=xl/pivotCache/_rels/pivotCacheDefinition1.xml.rels><Relationships xmlns="http://schemas.openxmlformats.org/package/2006/relationships"><Relationship Type="http://schemas.openxmlformats.org/officeDocument/2006/relationships/pivotCacheRecords" Target="/xl/pivotCache/pivotCacheRecords1.xml" Id="rId1" /></Relationships>
</file>

<file path=xl/pivotCache/pivotCacheDefinition1.xml><?xml version="1.0" encoding="utf-8"?>
<pivotCacheDefinition xmlns:r="http://schemas.openxmlformats.org/officeDocument/2006/relationships" xmlns="http://schemas.openxmlformats.org/spreadsheetml/2006/main" refreshedBy="大阪ＳＮＪ新日本海商事" refreshedDate="46072.62277986111" createdVersion="7" refreshedVersion="7" minRefreshableVersion="3" recordCount="199" r:id="rId1">
  <cacheSource type="worksheet">
    <worksheetSource name="tbl_明細"/>
  </cacheSource>
  <cacheFields count="27">
    <cacheField name="案件番号" uniqueList="1" numFmtId="0" sqlType="0" hierarchy="0" level="0" databaseField="1">
      <sharedItems count="12" containsBlank="1">
        <s v="2601-1001-S01"/>
        <s v="2601-1002-S01"/>
        <s v="2601-1003-A01"/>
        <s v="2601-1004-S01"/>
        <s v="2601-1005-S01"/>
        <s v="2601-1006-S01"/>
        <s v="2601-1007-S01"/>
        <s v="2602-1001-A01"/>
        <s v="2602-1002-K01"/>
        <s v="2602-1003-S01"/>
        <s v="2602-1004-S01"/>
        <m/>
      </sharedItems>
    </cacheField>
    <cacheField name="No" uniqueList="1" numFmtId="0" sqlType="0" hierarchy="0" level="0" databaseField="1">
      <sharedItems count="0" containsInteger="1" containsMixedTypes="1" containsNumber="1" minValue="0" maxValue="6"/>
    </cacheField>
    <cacheField name="（非表示）仕入No." uniqueList="1" numFmtId="0" sqlType="0" hierarchy="0" level="0" databaseField="1">
      <sharedItems count="0" containsInteger="1" containsNumber="1" containsSemiMixedTypes="0" containsString="0" minValue="0" maxValue="6"/>
    </cacheField>
    <cacheField name="顧客名" uniqueList="1" numFmtId="0" sqlType="0" hierarchy="0" level="0" databaseField="1">
      <sharedItems count="0"/>
    </cacheField>
    <cacheField name="商品ID" uniqueList="1" numFmtId="0" sqlType="0" hierarchy="0" level="0" databaseField="1">
      <sharedItems count="0" containsBlank="1"/>
    </cacheField>
    <cacheField name="仕入先" uniqueList="1" numFmtId="0" sqlType="0" hierarchy="0" level="0" databaseField="1">
      <sharedItems count="0"/>
    </cacheField>
    <cacheField name="商品名" uniqueList="1" numFmtId="0" sqlType="0" hierarchy="0" level="0" databaseField="1">
      <sharedItems count="0"/>
    </cacheField>
    <cacheField name="仕入価格" uniqueList="1" numFmtId="38" sqlType="0" hierarchy="0" level="0" databaseField="1">
      <sharedItems count="0" containsMixedTypes="1" containsNumber="1" minValue="0" maxValue="15000"/>
    </cacheField>
    <cacheField name="販売価格（定価）" uniqueList="1" numFmtId="38" sqlType="0" hierarchy="0" level="0" databaseField="1">
      <sharedItems count="0" containsInteger="1" containsMixedTypes="1" containsNumber="1" minValue="460" maxValue="17650"/>
    </cacheField>
    <cacheField name="販売価格（売値）" uniqueList="1" numFmtId="38" sqlType="0" hierarchy="0" level="0" databaseField="1">
      <sharedItems count="0" containsBlank="1" containsInteger="1" containsNumber="1" containsString="0" minValue="0" maxValue="24000"/>
    </cacheField>
    <cacheField name="数量" uniqueList="1" numFmtId="0" sqlType="0" hierarchy="0" level="0" databaseField="1">
      <sharedItems count="0" containsBlank="1" containsNumber="1" containsString="0" minValue="0.506" maxValue="60"/>
    </cacheField>
    <cacheField name="単位" uniqueList="1" numFmtId="0" sqlType="0" hierarchy="0" level="0" databaseField="1">
      <sharedItems count="0"/>
    </cacheField>
    <cacheField name="利益率" uniqueList="1" numFmtId="9" sqlType="0" hierarchy="0" level="0" databaseField="1">
      <sharedItems count="0" containsMixedTypes="1" containsNumber="1" minValue="0.1538693164709426" maxValue="0.5555555555555556"/>
    </cacheField>
    <cacheField name="税率" uniqueList="1" numFmtId="9" sqlType="0" hierarchy="0" level="0" databaseField="1">
      <sharedItems count="0" containsMixedTypes="1" containsNumber="1" minValue="0.08" maxValue="0.08"/>
    </cacheField>
    <cacheField name="仕入先（M)" uniqueList="1" numFmtId="9" sqlType="0" hierarchy="0" level="0" databaseField="1">
      <sharedItems count="0" containsBlank="1"/>
    </cacheField>
    <cacheField name="商品名（M)" uniqueList="1" numFmtId="0" sqlType="0" hierarchy="0" level="0" databaseField="1">
      <sharedItems count="0" containsBlank="1"/>
    </cacheField>
    <cacheField name="仕入価格（M)" uniqueList="1" numFmtId="38" sqlType="0" hierarchy="0" level="0" databaseField="1">
      <sharedItems count="0" containsBlank="1" containsInteger="1" containsNumber="1" containsString="0" minValue="0" maxValue="2060"/>
    </cacheField>
    <cacheField name="販売価格（M)" uniqueList="1" numFmtId="38" sqlType="0" hierarchy="0" level="0" databaseField="1">
      <sharedItems count="0" containsBlank="1" containsInteger="1" containsNumber="1" containsString="0" minValue="0" maxValue="2060"/>
    </cacheField>
    <cacheField name="数量（M)" uniqueList="1" numFmtId="0" sqlType="0" hierarchy="0" level="0" databaseField="1">
      <sharedItems count="0" containsBlank="1" containsInteger="1" containsNumber="1" containsString="0" minValue="1" maxValue="60"/>
    </cacheField>
    <cacheField name="単位（M)" uniqueList="1" numFmtId="0" sqlType="0" hierarchy="0" level="0" databaseField="1">
      <sharedItems count="0" containsBlank="1"/>
    </cacheField>
    <cacheField name="税率（M）" uniqueList="1" numFmtId="9" sqlType="0" hierarchy="0" level="0" databaseField="1">
      <sharedItems count="0" containsBlank="1" containsNumber="1" containsString="0" minValue="0.08" maxValue="0.1"/>
    </cacheField>
    <cacheField name="備考（仕入先向け）" uniqueList="1" numFmtId="9" sqlType="0" hierarchy="0" level="0" databaseField="1">
      <sharedItems count="0" containsBlank="1" containsNonDate="0" containsString="0"/>
    </cacheField>
    <cacheField name="備考（顧客向け）" uniqueList="1" numFmtId="9" sqlType="0" hierarchy="0" level="0" databaseField="1">
      <sharedItems count="0" containsBlank="1" containsNonDate="0" containsString="0"/>
    </cacheField>
    <cacheField name="単価×数（仕入）" uniqueList="1" numFmtId="182" sqlType="0" hierarchy="0" level="0" databaseField="1">
      <sharedItems count="0" containsMixedTypes="1" containsNumber="1" minValue="0" maxValue="71715"/>
    </cacheField>
    <cacheField name="単価×数（売値）" uniqueList="1" numFmtId="182" sqlType="0" hierarchy="0" level="0" databaseField="1">
      <sharedItems count="0" containsNumber="1" containsSemiMixedTypes="0" containsString="0" minValue="0" maxValue="87000"/>
    </cacheField>
    <cacheField name="発注フラグ" uniqueList="1" numFmtId="176" sqlType="0" hierarchy="0" level="0" databaseField="1">
      <sharedItems count="6" containsInteger="1" containsNumber="1" containsSemiMixedTypes="0" containsString="0" minValue="0" maxValue="46056">
        <n v="46042"/>
        <n v="46045"/>
        <n v="46048"/>
        <n v="46049"/>
        <n v="0"/>
        <n v="46056"/>
      </sharedItems>
    </cacheField>
    <cacheField name="(非表示）販売価格の和" uniqueList="1" numFmtId="38" sqlType="0" hierarchy="0" level="0" databaseField="1">
      <sharedItems count="0" containsInteger="1" containsNumber="1" containsSemiMixedTypes="0" containsString="0" minValue="0" maxValue="24000"/>
    </cacheField>
  </cacheFields>
</pivotCacheDefinition>
</file>

<file path=xl/pivotCache/pivotCacheRecords1.xml><?xml version="1.0" encoding="utf-8"?>
<pivotCacheRecords xmlns="http://schemas.openxmlformats.org/spreadsheetml/2006/main" count="199">
  <r>
    <x v="0"/>
    <n v="1"/>
    <n v="1"/>
    <s v="日新堂株式会社"/>
    <s v="PRD_SNJ_SDH_0016_01"/>
    <s v="ソバージュド函館"/>
    <s v="熊掌（後脚）"/>
    <n v="15000"/>
    <n v="17650"/>
    <n v="18000"/>
    <n v="4.781"/>
    <s v="kg"/>
    <n v="0.1666666666666666"/>
    <n v="0.08"/>
    <m/>
    <m/>
    <m/>
    <m/>
    <m/>
    <m/>
    <m/>
    <m/>
    <m/>
    <n v="71715"/>
    <n v="86058"/>
    <x v="0"/>
    <n v="18000"/>
  </r>
  <r>
    <x v="0"/>
    <n v="2"/>
    <n v="2"/>
    <s v="日新堂株式会社"/>
    <s v="other"/>
    <s v="ソバージュド函館"/>
    <s v="送料（北海道）"/>
    <n v="1180"/>
    <s v=""/>
    <m/>
    <m/>
    <s v=""/>
    <e v="#DIV/0!"/>
    <s v=""/>
    <s v="ソバージュド函館"/>
    <s v="送料（北海道）"/>
    <n v="1180"/>
    <n v="1180"/>
    <n v="1"/>
    <s v="式"/>
    <n v="0.1"/>
    <m/>
    <m/>
    <n v="1180"/>
    <n v="1180"/>
    <x v="0"/>
    <n v="1180"/>
  </r>
  <r>
    <x v="0"/>
    <n v="3"/>
    <n v="3"/>
    <s v="日新堂株式会社"/>
    <s v="PRD_SNJ_SDH_0016_01"/>
    <s v="ソバージュド函館"/>
    <s v="熊掌（後脚）"/>
    <n v="15000"/>
    <n v="17650"/>
    <n v="18000"/>
    <n v="3.627"/>
    <s v="kg"/>
    <n v="0.1666666666666666"/>
    <n v="0.08"/>
    <m/>
    <m/>
    <m/>
    <m/>
    <m/>
    <m/>
    <m/>
    <m/>
    <m/>
    <n v="54405"/>
    <n v="65285.99999999999"/>
    <x v="0"/>
    <n v="18000"/>
  </r>
  <r>
    <x v="0"/>
    <n v="4"/>
    <n v="4"/>
    <s v="日新堂株式会社"/>
    <s v="other"/>
    <s v="ソバージュド函館"/>
    <s v="送料（北海道）"/>
    <n v="1180"/>
    <s v=""/>
    <m/>
    <m/>
    <s v=""/>
    <e v="#DIV/0!"/>
    <s v=""/>
    <s v="ソバージュド函館"/>
    <s v="送料（北海道）"/>
    <n v="1180"/>
    <n v="1180"/>
    <n v="1"/>
    <s v="式"/>
    <n v="0.1"/>
    <m/>
    <m/>
    <n v="1180"/>
    <n v="1180"/>
    <x v="0"/>
    <n v="1180"/>
  </r>
  <r>
    <x v="0"/>
    <n v="5"/>
    <n v="5"/>
    <s v="日新堂株式会社"/>
    <s v="PRD_SNJ_SDH_0016_01"/>
    <s v="ソバージュド函館"/>
    <s v="熊掌（後脚）"/>
    <n v="15000"/>
    <n v="17650"/>
    <n v="18000"/>
    <n v="0.911"/>
    <s v="kg"/>
    <n v="0.1666666666666666"/>
    <n v="0.08"/>
    <m/>
    <m/>
    <m/>
    <m/>
    <m/>
    <m/>
    <m/>
    <m/>
    <m/>
    <n v="13665"/>
    <n v="16398"/>
    <x v="0"/>
    <n v="18000"/>
  </r>
  <r>
    <x v="0"/>
    <n v="6"/>
    <n v="6"/>
    <s v="日新堂株式会社"/>
    <s v="other"/>
    <s v="ソバージュド函館"/>
    <s v="送料（北海道）"/>
    <n v="1180"/>
    <s v=""/>
    <m/>
    <m/>
    <s v=""/>
    <e v="#DIV/0!"/>
    <s v=""/>
    <s v="ソバージュド函館"/>
    <s v="送料（北海道）"/>
    <n v="1180"/>
    <n v="1180"/>
    <n v="1"/>
    <s v="式"/>
    <n v="0.1"/>
    <m/>
    <m/>
    <n v="1180"/>
    <n v="1180"/>
    <x v="0"/>
    <n v="1180"/>
  </r>
  <r>
    <x v="1"/>
    <n v="1"/>
    <n v="1"/>
    <s v="日新堂株式会社"/>
    <s v="PRD_SNJ_KDK_0001_01"/>
    <s v="狩人の蔵"/>
    <s v="熊掌（前脚）"/>
    <n v="11000"/>
    <n v="14240"/>
    <n v="24000"/>
    <n v="1.289"/>
    <s v="kg"/>
    <n v="0.5416666666666667"/>
    <n v="0.08"/>
    <m/>
    <m/>
    <m/>
    <m/>
    <m/>
    <m/>
    <m/>
    <m/>
    <m/>
    <n v="14179"/>
    <n v="30936"/>
    <x v="0"/>
    <n v="24000"/>
  </r>
  <r>
    <x v="1"/>
    <n v="2"/>
    <n v="2"/>
    <s v="日新堂株式会社"/>
    <s v="PRD_SNJ_KDK_0001_01"/>
    <s v="狩人の蔵"/>
    <s v="熊掌（前脚）"/>
    <n v="11000"/>
    <n v="14240"/>
    <n v="24000"/>
    <n v="1.177"/>
    <s v="kg"/>
    <n v="0.5416666666666667"/>
    <n v="0.08"/>
    <m/>
    <m/>
    <m/>
    <m/>
    <m/>
    <m/>
    <m/>
    <m/>
    <m/>
    <n v="12947"/>
    <n v="28248"/>
    <x v="0"/>
    <n v="24000"/>
  </r>
  <r>
    <x v="1"/>
    <n v="3"/>
    <n v="3"/>
    <s v="日新堂株式会社"/>
    <s v="PRD_SNJ_KDK_0001_01"/>
    <s v="狩人の蔵"/>
    <s v="熊掌（前脚）"/>
    <n v="11000"/>
    <n v="14240"/>
    <n v="24000"/>
    <n v="0.506"/>
    <s v="kg"/>
    <n v="0.5416666666666667"/>
    <n v="0.08"/>
    <m/>
    <m/>
    <m/>
    <m/>
    <m/>
    <m/>
    <m/>
    <m/>
    <m/>
    <n v="5566"/>
    <n v="12144"/>
    <x v="0"/>
    <n v="24000"/>
  </r>
  <r>
    <x v="1"/>
    <n v="4"/>
    <n v="4"/>
    <s v="日新堂株式会社"/>
    <s v="PRD_SNJ_KDK_0001_01"/>
    <s v="狩人の蔵"/>
    <s v="熊掌（前脚）"/>
    <n v="11000"/>
    <n v="14240"/>
    <n v="24000"/>
    <n v="0.8149999999999999"/>
    <s v="kg"/>
    <n v="0.5416666666666667"/>
    <n v="0.08"/>
    <m/>
    <m/>
    <m/>
    <m/>
    <m/>
    <m/>
    <m/>
    <m/>
    <m/>
    <n v="8965"/>
    <n v="19560"/>
    <x v="0"/>
    <n v="24000"/>
  </r>
  <r>
    <x v="1"/>
    <n v="5"/>
    <n v="5"/>
    <s v="日新堂株式会社"/>
    <s v="other"/>
    <s v="狩人の蔵"/>
    <s v="送料（大阪）"/>
    <n v="1620"/>
    <s v=""/>
    <m/>
    <m/>
    <s v=""/>
    <e v="#DIV/0!"/>
    <s v=""/>
    <s v="狩人の蔵"/>
    <s v="送料（大阪）"/>
    <n v="1620"/>
    <n v="1620"/>
    <n v="1"/>
    <s v="式"/>
    <n v="0.1"/>
    <m/>
    <m/>
    <n v="1620"/>
    <n v="1620"/>
    <x v="0"/>
    <n v="1620"/>
  </r>
  <r>
    <x v="2"/>
    <n v="1"/>
    <n v="1"/>
    <s v="オーセントホテルズ（楽水山）"/>
    <s v="PRD_SNJ_KYS_0005_01"/>
    <s v="協栄製茶　壱之庄"/>
    <s v="雁の音ほうじ茶壱之棒（茶葉） 500g"/>
    <n v="1526.851851851852"/>
    <n v="1800"/>
    <n v="1806"/>
    <n v="10"/>
    <s v="袋"/>
    <n v="0.1545670809236701"/>
    <n v="0.08"/>
    <m/>
    <m/>
    <m/>
    <m/>
    <m/>
    <m/>
    <m/>
    <m/>
    <m/>
    <n v="15268.51851851852"/>
    <n v="18060"/>
    <x v="0"/>
    <n v="1806"/>
  </r>
  <r>
    <x v="2"/>
    <n v="2"/>
    <n v="2"/>
    <s v="オーセントホテルズ（楽水山）"/>
    <s v="other"/>
    <s v="協栄製茶　壱之庄"/>
    <s v="送料（140サイズ）"/>
    <n v="1300"/>
    <s v=""/>
    <m/>
    <m/>
    <s v=""/>
    <e v="#DIV/0!"/>
    <s v=""/>
    <s v="協栄製茶　壱之庄"/>
    <s v="送料（140サイズ）"/>
    <n v="1300"/>
    <n v="1300"/>
    <n v="1"/>
    <s v="式"/>
    <n v="0.1"/>
    <m/>
    <m/>
    <n v="1300"/>
    <n v="1300"/>
    <x v="0"/>
    <n v="1300"/>
  </r>
  <r>
    <x v="3"/>
    <n v="1"/>
    <n v="1"/>
    <s v="ホロニック（ガーデンシティクラブ大阪）"/>
    <s v="PRD_SNJ_APK_0002_01"/>
    <s v="あぷかの森"/>
    <s v="エゾシカ　ロース"/>
    <n v="4400"/>
    <n v="5180"/>
    <n v="5300"/>
    <n v="5"/>
    <s v="kg"/>
    <n v="0.1698113207547169"/>
    <n v="0.08"/>
    <m/>
    <m/>
    <m/>
    <m/>
    <m/>
    <m/>
    <m/>
    <m/>
    <m/>
    <n v="22000"/>
    <n v="26500"/>
    <x v="1"/>
    <n v="5300"/>
  </r>
  <r>
    <x v="3"/>
    <n v="2"/>
    <n v="2"/>
    <s v="ホロニック（ガーデンシティクラブ大阪）"/>
    <s v="other"/>
    <s v="あぷかの森"/>
    <s v="送料（大阪）"/>
    <n v="2060"/>
    <s v=""/>
    <m/>
    <m/>
    <s v=""/>
    <e v="#DIV/0!"/>
    <s v=""/>
    <s v="あぷかの森"/>
    <s v="送料（大阪）"/>
    <n v="2060"/>
    <n v="2060"/>
    <n v="1"/>
    <s v="式"/>
    <n v="0.1"/>
    <m/>
    <m/>
    <n v="2060"/>
    <n v="2060"/>
    <x v="1"/>
    <n v="2060"/>
  </r>
  <r>
    <x v="4"/>
    <n v="1"/>
    <n v="1"/>
    <s v="日新堂株式会社"/>
    <s v="PRD_SNJ_KDK_0002_01"/>
    <s v="狩人の蔵"/>
    <s v="熊掌（後脚）"/>
    <n v="8000"/>
    <n v="10360"/>
    <n v="18000"/>
    <n v="1.363"/>
    <s v="kg"/>
    <n v="0.5555555555555556"/>
    <n v="0.08"/>
    <m/>
    <m/>
    <m/>
    <m/>
    <m/>
    <m/>
    <m/>
    <m/>
    <m/>
    <n v="10904"/>
    <n v="24534"/>
    <x v="2"/>
    <n v="18000"/>
  </r>
  <r>
    <x v="4"/>
    <n v="2"/>
    <n v="2"/>
    <s v="日新堂株式会社"/>
    <s v="PRD_SNJ_KDK_0002_01"/>
    <s v="狩人の蔵"/>
    <s v="熊掌（後脚）"/>
    <n v="8000"/>
    <n v="10360"/>
    <n v="18000"/>
    <n v="1.32"/>
    <s v="kg"/>
    <n v="0.5555555555555556"/>
    <n v="0.08"/>
    <m/>
    <m/>
    <m/>
    <m/>
    <m/>
    <m/>
    <m/>
    <m/>
    <m/>
    <n v="10560"/>
    <n v="23760"/>
    <x v="2"/>
    <n v="18000"/>
  </r>
  <r>
    <x v="4"/>
    <n v="3"/>
    <n v="3"/>
    <s v="日新堂株式会社"/>
    <s v="other"/>
    <s v="狩人の蔵"/>
    <s v="送料（北海道）"/>
    <n v="1050"/>
    <s v=""/>
    <m/>
    <m/>
    <s v=""/>
    <e v="#DIV/0!"/>
    <s v=""/>
    <s v="狩人の蔵"/>
    <s v="送料（北海道）"/>
    <n v="1050"/>
    <n v="1100"/>
    <n v="1"/>
    <s v="式"/>
    <n v="0.1"/>
    <m/>
    <m/>
    <n v="1050"/>
    <n v="1100"/>
    <x v="2"/>
    <n v="1100"/>
  </r>
  <r>
    <x v="5"/>
    <n v="1"/>
    <n v="1"/>
    <s v="雲鶴"/>
    <s v="PRD_SNJ_GGM_0097_01"/>
    <s v="GOODGOOD"/>
    <s v="阿蘇赤身和牛　ミンチ（部位指定なし）"/>
    <n v="4000"/>
    <n v="4710"/>
    <n v="5000"/>
    <n v="2"/>
    <s v="kg"/>
    <n v="0.2"/>
    <n v="0.08"/>
    <m/>
    <m/>
    <m/>
    <m/>
    <m/>
    <m/>
    <m/>
    <m/>
    <m/>
    <n v="8000"/>
    <n v="10000"/>
    <x v="1"/>
    <n v="5000"/>
  </r>
  <r>
    <x v="6"/>
    <n v="0"/>
    <n v="1"/>
    <s v="オーセントホテルズ株式会社"/>
    <m/>
    <s v="あぷかの森"/>
    <s v="鹿肉サンプル（ロース、内もも）"/>
    <n v="0"/>
    <s v=""/>
    <n v="0"/>
    <m/>
    <s v=""/>
    <e v="#DIV/0!"/>
    <s v=""/>
    <s v="あぷかの森"/>
    <s v="鹿肉サンプル（ロース、内もも）"/>
    <n v="0"/>
    <n v="0"/>
    <n v="1"/>
    <s v="式"/>
    <n v="0.1"/>
    <m/>
    <m/>
    <n v="0"/>
    <n v="0"/>
    <x v="3"/>
    <n v="0"/>
  </r>
  <r>
    <x v="7"/>
    <n v="1"/>
    <n v="1"/>
    <s v="新日本海フェリー"/>
    <s v="PRD_SNJ_KYS_0001_01"/>
    <s v="協栄製茶　壱之庄"/>
    <s v="雁の音ほうじ茶壱之棒（ティーバッグ） 45袋"/>
    <n v="1040.740740740741"/>
    <n v="1230"/>
    <n v="1230"/>
    <m/>
    <s v="パック"/>
    <n v="0.1538693164709426"/>
    <n v="0.08"/>
    <m/>
    <m/>
    <m/>
    <m/>
    <m/>
    <m/>
    <m/>
    <m/>
    <m/>
    <n v="0"/>
    <n v="0"/>
    <x v="4"/>
    <n v="1230"/>
  </r>
  <r>
    <x v="7"/>
    <n v="1"/>
    <n v="2"/>
    <s v="新日本海フェリー"/>
    <m/>
    <s v="協栄製茶　壱之庄"/>
    <s v="送料（北陸）"/>
    <s v=""/>
    <s v=""/>
    <m/>
    <m/>
    <s v=""/>
    <e v="#VALUE!"/>
    <s v=""/>
    <s v="協栄製茶　壱之庄"/>
    <s v="送料（北陸）"/>
    <m/>
    <m/>
    <n v="1"/>
    <s v="式"/>
    <n v="0.1"/>
    <m/>
    <m/>
    <e v="#VALUE!"/>
    <n v="0"/>
    <x v="4"/>
    <n v="0"/>
  </r>
  <r>
    <x v="8"/>
    <n v="1"/>
    <n v="1"/>
    <s v="NISSHAビジネスサービス"/>
    <m/>
    <s v="ベジタブルワークス"/>
    <s v="レトルトとうもろこし"/>
    <n v="310"/>
    <s v=""/>
    <m/>
    <m/>
    <s v=""/>
    <e v="#DIV/0!"/>
    <s v=""/>
    <s v="ベジタブルワークス"/>
    <s v="レトルトとうもろこし"/>
    <n v="310"/>
    <n v="396"/>
    <n v="60"/>
    <s v="本"/>
    <n v="0.08"/>
    <m/>
    <m/>
    <n v="18600"/>
    <n v="23760"/>
    <x v="5"/>
    <n v="396"/>
  </r>
  <r>
    <x v="8"/>
    <n v="1"/>
    <n v="2"/>
    <s v="NISSHAビジネスサービス"/>
    <m/>
    <s v="ベジタブルワークス"/>
    <s v="レトルトとうもろこし　関西送料"/>
    <n v="1300"/>
    <s v=""/>
    <m/>
    <m/>
    <s v=""/>
    <e v="#DIV/0!"/>
    <s v=""/>
    <s v="ベジタブルワークス"/>
    <s v="レトルトとうもろこし　関西送料"/>
    <n v="1300"/>
    <n v="0"/>
    <n v="1"/>
    <s v="式"/>
    <n v="0.1"/>
    <m/>
    <m/>
    <n v="1300"/>
    <n v="0"/>
    <x v="5"/>
    <n v="0"/>
  </r>
  <r>
    <x v="8"/>
    <n v="2"/>
    <n v="1"/>
    <s v="NISSHAビジネスサービス"/>
    <m/>
    <s v="有限会社小林食品"/>
    <s v="オホーツク流氷ラーメン 　 かに（2食入り）"/>
    <n v="390"/>
    <s v=""/>
    <m/>
    <m/>
    <s v=""/>
    <e v="#DIV/0!"/>
    <s v=""/>
    <s v="有限会社小林食品"/>
    <s v="オホーツク流氷ラーメン 　 かに（2食入り）"/>
    <n v="390"/>
    <n v="518"/>
    <n v="16"/>
    <s v="袋"/>
    <n v="0.08"/>
    <m/>
    <m/>
    <n v="6240"/>
    <n v="8288"/>
    <x v="5"/>
    <n v="518"/>
  </r>
  <r>
    <x v="8"/>
    <n v="3"/>
    <n v="2"/>
    <s v="NISSHAビジネスサービス"/>
    <m/>
    <s v="有限会社小林食品"/>
    <s v="オホーツク流氷ラーメン 　 ホタテ（2食入り）"/>
    <n v="390"/>
    <s v=""/>
    <m/>
    <m/>
    <s v=""/>
    <e v="#DIV/0!"/>
    <s v=""/>
    <s v="有限会社小林食品"/>
    <s v="オホーツク流氷ラーメン 　 ホタテ（2食入り）"/>
    <n v="390"/>
    <n v="518"/>
    <n v="18"/>
    <s v="袋"/>
    <n v="0.08"/>
    <m/>
    <m/>
    <n v="7020"/>
    <n v="9324"/>
    <x v="5"/>
    <n v="518"/>
  </r>
  <r>
    <x v="8"/>
    <n v="4"/>
    <n v="3"/>
    <s v="NISSHAビジネスサービス"/>
    <m/>
    <s v="有限会社小林食品"/>
    <s v="ズワイガニ風味ラーメン 　 味噌（1食入り）"/>
    <n v="175"/>
    <s v=""/>
    <m/>
    <m/>
    <s v=""/>
    <e v="#DIV/0!"/>
    <s v=""/>
    <s v="有限会社小林食品"/>
    <s v="ズワイガニ風味ラーメン 　 味噌（1食入り）"/>
    <n v="175"/>
    <n v="238"/>
    <n v="14"/>
    <s v="袋"/>
    <n v="0.08"/>
    <m/>
    <m/>
    <n v="2450"/>
    <n v="3332"/>
    <x v="5"/>
    <n v="238"/>
  </r>
  <r>
    <x v="8"/>
    <n v="5"/>
    <n v="4"/>
    <s v="NISSHAビジネスサービス"/>
    <m/>
    <s v="有限会社小林食品"/>
    <s v="ズワイガニ風味ラーメン 　 醤油（1食入り）"/>
    <n v="175"/>
    <s v=""/>
    <m/>
    <m/>
    <s v=""/>
    <e v="#DIV/0!"/>
    <s v=""/>
    <s v="有限会社小林食品"/>
    <s v="ズワイガニ風味ラーメン 　 醤油（1食入り）"/>
    <n v="175"/>
    <n v="238"/>
    <n v="13"/>
    <s v="袋"/>
    <n v="0.08"/>
    <m/>
    <m/>
    <n v="2275"/>
    <n v="3094"/>
    <x v="5"/>
    <n v="238"/>
  </r>
  <r>
    <x v="9"/>
    <n v="1"/>
    <n v="1"/>
    <s v="日新堂株式会社"/>
    <s v="PRD_SNJ_YAS_0001_01"/>
    <s v="湯浅醤油"/>
    <s v="蔵匠　樽仕込み 200ml"/>
    <n v="420"/>
    <n v="500"/>
    <n v="600"/>
    <n v="60"/>
    <s v="本"/>
    <n v="0.3"/>
    <n v="0.08"/>
    <m/>
    <m/>
    <m/>
    <m/>
    <m/>
    <m/>
    <m/>
    <m/>
    <m/>
    <n v="25200"/>
    <n v="36000"/>
    <x v="4"/>
    <n v="600"/>
  </r>
  <r>
    <x v="9"/>
    <n v="2"/>
    <n v="2"/>
    <s v="日新堂株式会社"/>
    <s v="PRD_SNJ_YAS_0002_01"/>
    <s v="湯浅醤油"/>
    <s v="蔵匠　樽仕込み 720ml"/>
    <n v="945"/>
    <n v="1120"/>
    <n v="1350"/>
    <n v="60"/>
    <s v="本"/>
    <n v="0.3"/>
    <n v="0.08"/>
    <m/>
    <m/>
    <m/>
    <m/>
    <m/>
    <m/>
    <m/>
    <m/>
    <m/>
    <n v="56700"/>
    <n v="81000"/>
    <x v="4"/>
    <n v="1350"/>
  </r>
  <r>
    <x v="9"/>
    <n v="3"/>
    <n v="3"/>
    <s v="日新堂株式会社"/>
    <s v="PRD_SNJ_YAS_0003_01"/>
    <s v="湯浅醤油"/>
    <s v="蔵匠 白搾り 200ml"/>
    <n v="385"/>
    <n v="460"/>
    <n v="550"/>
    <n v="60"/>
    <s v="本"/>
    <n v="0.3"/>
    <n v="0.08"/>
    <m/>
    <m/>
    <m/>
    <m/>
    <m/>
    <m/>
    <m/>
    <m/>
    <m/>
    <n v="23100"/>
    <n v="33000"/>
    <x v="4"/>
    <n v="550"/>
  </r>
  <r>
    <x v="9"/>
    <n v="4"/>
    <n v="4"/>
    <s v="日新堂株式会社"/>
    <s v="PRD_SNJ_YAS_0004_01"/>
    <s v="湯浅醤油"/>
    <s v="蔵匠 白搾り 720ml"/>
    <n v="840"/>
    <n v="990"/>
    <n v="1200"/>
    <n v="60"/>
    <s v="本"/>
    <n v="0.3"/>
    <n v="0.08"/>
    <m/>
    <m/>
    <m/>
    <m/>
    <m/>
    <m/>
    <m/>
    <m/>
    <m/>
    <n v="50400"/>
    <n v="72000"/>
    <x v="4"/>
    <n v="1200"/>
  </r>
  <r>
    <x v="9"/>
    <n v="5"/>
    <n v="5"/>
    <s v="日新堂株式会社"/>
    <s v="PRD_SNJ_YAS_0006_01"/>
    <s v="湯浅醤油"/>
    <s v="蔵匠 樽仕込み 1.8L "/>
    <n v="2030"/>
    <n v="2390"/>
    <n v="2900"/>
    <n v="30"/>
    <s v="本"/>
    <n v="0.3"/>
    <n v="0.08"/>
    <m/>
    <m/>
    <m/>
    <m/>
    <m/>
    <m/>
    <m/>
    <m/>
    <m/>
    <n v="60900"/>
    <n v="87000"/>
    <x v="4"/>
    <n v="2900"/>
  </r>
  <r>
    <x v="10"/>
    <n v="1"/>
    <n v="1"/>
    <s v="日新堂株式会社"/>
    <s v="PRD_SNJ_YAS_0001_01"/>
    <s v="湯浅醤油"/>
    <s v="蔵匠　樽仕込み 200ml"/>
    <n v="420"/>
    <n v="500"/>
    <n v="510"/>
    <n v="60"/>
    <s v="本"/>
    <n v="0.1764705882352942"/>
    <n v="0.08"/>
    <m/>
    <m/>
    <m/>
    <m/>
    <m/>
    <m/>
    <m/>
    <m/>
    <m/>
    <n v="25200"/>
    <n v="30600"/>
    <x v="4"/>
    <n v="510"/>
  </r>
  <r>
    <x v="10"/>
    <n v="2"/>
    <n v="2"/>
    <s v="日新堂株式会社"/>
    <s v="PRD_SNJ_YAS_0002_01"/>
    <s v="湯浅醤油"/>
    <s v="蔵匠　樽仕込み 720ml"/>
    <n v="945"/>
    <n v="1120"/>
    <n v="1150"/>
    <n v="60"/>
    <s v="本"/>
    <n v="0.1782608695652174"/>
    <n v="0.08"/>
    <m/>
    <m/>
    <m/>
    <m/>
    <m/>
    <m/>
    <m/>
    <m/>
    <m/>
    <n v="56700"/>
    <n v="69000"/>
    <x v="4"/>
    <n v="1150"/>
  </r>
  <r>
    <x v="10"/>
    <n v="3"/>
    <n v="3"/>
    <s v="日新堂株式会社"/>
    <s v="PRD_SNJ_YAS_0003_01"/>
    <s v="湯浅醤油"/>
    <s v="蔵匠 白搾り 200ml"/>
    <n v="385"/>
    <n v="460"/>
    <n v="470"/>
    <n v="60"/>
    <s v="本"/>
    <n v="0.1808510638297872"/>
    <n v="0.08"/>
    <m/>
    <m/>
    <m/>
    <m/>
    <m/>
    <m/>
    <m/>
    <m/>
    <m/>
    <n v="23100"/>
    <n v="28200"/>
    <x v="4"/>
    <n v="470"/>
  </r>
  <r>
    <x v="10"/>
    <n v="4"/>
    <n v="4"/>
    <s v="日新堂株式会社"/>
    <s v="PRD_SNJ_YAS_0004_01"/>
    <s v="湯浅醤油"/>
    <s v="蔵匠 白搾り 720ml"/>
    <n v="840"/>
    <n v="990"/>
    <n v="1020"/>
    <n v="60"/>
    <s v="本"/>
    <n v="0.1764705882352942"/>
    <n v="0.08"/>
    <m/>
    <m/>
    <m/>
    <m/>
    <m/>
    <m/>
    <m/>
    <m/>
    <m/>
    <n v="50400"/>
    <n v="61200"/>
    <x v="4"/>
    <n v="1020"/>
  </r>
  <r>
    <x v="10"/>
    <n v="5"/>
    <n v="5"/>
    <s v="日新堂株式会社"/>
    <s v="PRD_SNJ_YAS_0006_01"/>
    <s v="湯浅醤油"/>
    <s v="蔵匠 樽仕込み 1.8L "/>
    <n v="2030"/>
    <n v="2390"/>
    <n v="2470"/>
    <n v="30"/>
    <s v="本"/>
    <n v="0.1781376518218624"/>
    <n v="0.08"/>
    <m/>
    <m/>
    <m/>
    <m/>
    <m/>
    <m/>
    <m/>
    <m/>
    <m/>
    <n v="60900"/>
    <n v="74100"/>
    <x v="4"/>
    <n v="247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r>
    <x v="11"/>
    <s v=""/>
    <n v="0"/>
    <s v=""/>
    <m/>
    <s v=""/>
    <s v=""/>
    <s v=""/>
    <s v=""/>
    <m/>
    <m/>
    <s v=""/>
    <e v="#VALUE!"/>
    <s v=""/>
    <m/>
    <m/>
    <m/>
    <m/>
    <m/>
    <m/>
    <m/>
    <m/>
    <m/>
    <e v="#VALUE!"/>
    <n v="0"/>
    <x v="4"/>
    <n v="0"/>
  </r>
</pivotCacheRecords>
</file>

<file path=xl/pivotTables/_rels/pivotTable1.xml.rels><Relationships xmlns="http://schemas.openxmlformats.org/package/2006/relationships"><Relationship Type="http://schemas.openxmlformats.org/officeDocument/2006/relationships/pivotCacheDefinition" Target="/xl/pivotCache/pivotCacheDefinition1.xml" Id="rId1" /></Relationships>
</file>

<file path=xl/pivotTables/pivotTable1.xml><?xml version="1.0" encoding="utf-8"?>
<pivotTableDefinition xmlns:r="http://schemas.openxmlformats.org/officeDocument/2006/relationships" xmlns="http://schemas.openxmlformats.org/spreadsheetml/2006/main" name="ピボットテーブル1" cacheId="2" dataOnRows="0" dataCaption="値" showError="0" showMissing="1" updatedVersion="7"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7"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3:C12" firstHeaderRow="0" firstDataRow="1" firstDataCol="1" rowPageCount="1" colPageCount="1"/>
  <pivotFields count="27">
    <pivotField axis="axisRow" showDropDowns="1" compact="1" outline="1" subtotalTop="1" dragToRow="1" dragToCol="1" dragToPage="1" dragToData="1" dragOff="1" showAll="0" topAutoShow="1" itemPageCount="10" sortType="manual" defaultSubtotal="1">
      <items count="13">
        <item t="data" sd="1" x="0"/>
        <item t="data" sd="1" x="1"/>
        <item t="data" sd="1" x="2"/>
        <item t="data" sd="1" x="3"/>
        <item t="data" sd="1" x="4"/>
        <item t="data" sd="1" x="5"/>
        <item t="data" sd="1" x="6"/>
        <item t="data" sd="1" x="7"/>
        <item t="data" sd="1" x="8"/>
        <item t="data" sd="1" x="9"/>
        <item t="data" sd="1" x="10"/>
        <item t="data" sd="1" x="11"/>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numFmtId="182" outline="1" subtotalTop="1" dragToRow="1" dragToCol="1" dragToPage="1" dragToData="1" dragOff="1" showAll="0" topAutoShow="1" itemPageCount="10" sortType="manual" defaultSubtotal="1"/>
    <pivotField axis="axisPage" showDropDowns="1" compact="1" numFmtId="176" outline="1" subtotalTop="1" dragToRow="1" dragToCol="1" multipleItemSelectionAllowed="1" dragToPage="1" dragToData="1" dragOff="1" showAll="0" topAutoShow="1" itemPageCount="10" sortType="manual" defaultSubtotal="1">
      <items count="7">
        <item t="data" h="1" sd="1" x="4"/>
        <item t="data" sd="1" x="0"/>
        <item t="data" sd="1" x="1"/>
        <item t="data" sd="1" x="2"/>
        <item t="data" sd="1" x="3"/>
        <item t="data" sd="1" x="5"/>
        <item t="default" sd="1"/>
      </items>
    </pivotField>
    <pivotField showDropDowns="1" compact="1" numFmtId="38" outline="1" subtotalTop="1" dragToRow="1" dragToCol="1" dragToPage="1" dragToData="1" dragOff="1" showAll="0" topAutoShow="1" itemPageCount="10" sortType="manual" defaultSubtotal="1"/>
  </pivotFields>
  <rowFields count="1">
    <field x="0"/>
  </rowFields>
  <rowItems count="9">
    <i t="data" r="0" i="0">
      <x v="0"/>
    </i>
    <i t="data" r="0" i="0">
      <x v="1"/>
    </i>
    <i t="data" r="0" i="0">
      <x v="2"/>
    </i>
    <i t="data" r="0" i="0">
      <x v="3"/>
    </i>
    <i t="data" r="0" i="0">
      <x v="4"/>
    </i>
    <i t="data" r="0" i="0">
      <x v="5"/>
    </i>
    <i t="data" r="0" i="0">
      <x v="6"/>
    </i>
    <i t="data" r="0" i="0">
      <x v="8"/>
    </i>
    <i t="grand" r="0" i="0">
      <x v="0"/>
    </i>
  </rowItems>
  <colFields count="1">
    <field x="-2"/>
  </colFields>
  <colItems count="2">
    <i t="data" r="0" i="0">
      <x v="0"/>
    </i>
    <i t="data" r="0" i="1">
      <x v="1"/>
    </i>
  </colItems>
  <pageFields count="1">
    <pageField fld="25" hier="-1"/>
  </pageFields>
  <dataFields count="2">
    <dataField name="合計 / 単価×数（仕入）" fld="23" subtotal="sum" showDataAs="normal" baseField="0" baseItem="0"/>
    <dataField name="合計 / 単価×数（売値）" fld="24" subtotal="sum" showDataAs="normal" baseField="0" baseItem="0"/>
  </dataFields>
  <formats count="2">
    <format action="formatting" dxfId="3">
      <pivotArea type="normal" dataOnly="1" outline="1" collapsedLevelsAreSubtotals="1" fieldPosition="0">
        <references count="1">
          <reference field="0">
            <x v="0"/>
            <x v="1"/>
            <x v="2"/>
            <x v="3"/>
            <x v="4"/>
            <x v="5"/>
            <x v="6"/>
            <x v="8"/>
          </reference>
        </references>
      </pivotArea>
    </format>
    <format action="formatting" dxfId="2">
      <pivotArea type="normal" dataOnly="1" outline="0" collapsedLevelsAreSubtotals="1" fieldPosition="0"/>
    </format>
  </formats>
  <pivotTableStyleInfo name="PivotStyleLight16" showRowHeaders="1" showColHeaders="1" showRowStripes="0" showColStripes="0" showLastColumn="1"/>
</pivotTableDefinition>
</file>

<file path=xl/tables/table1.xml><?xml version="1.0" encoding="utf-8"?>
<table xmlns="http://schemas.openxmlformats.org/spreadsheetml/2006/main" id="1" name="テーブル1" displayName="テーブル1" ref="A1:J139" headerRowCount="1" totalsRowShown="0" headerRowDxfId="180" headerRowBorderDxfId="179" tableBorderDxfId="178">
  <autoFilter ref="A1:J139"/>
  <tableColumns count="10">
    <tableColumn id="1" name="仕入先コード"/>
    <tableColumn id="2" name="仕入先名"/>
    <tableColumn id="3" name="住所１"/>
    <tableColumn id="9" name="住所２"/>
    <tableColumn id="4" name="電話番号"/>
    <tableColumn id="5" name="担当者"/>
    <tableColumn id="6" name="支払条件"/>
    <tableColumn id="7" name="仕入先見積税区分"/>
    <tableColumn id="10" name="紹介文"/>
    <tableColumn id="8" name="備考"/>
  </tableColumns>
  <tableStyleInfo name="TableStyleLight1" showFirstColumn="0" showLastColumn="0" showRowStripes="1" showColumnStripes="0"/>
</table>
</file>

<file path=xl/tables/table2.xml><?xml version="1.0" encoding="utf-8"?>
<table xmlns="http://schemas.openxmlformats.org/spreadsheetml/2006/main" id="2" name="商品マスタ" displayName="商品マスタ" ref="A2:AG1128" headerRowCount="1" totalsRowShown="0" headerRowDxfId="176" dataDxfId="174" headerRowBorderDxfId="175" tableBorderDxfId="173" totalsRowBorderDxfId="172">
  <autoFilter ref="A2:AG1128"/>
  <sortState ref="A295:AG300">
    <sortCondition ref="C2:C1128"/>
  </sortState>
  <tableColumns count="33">
    <tableColumn id="49" name="大分類" dataDxfId="171"/>
    <tableColumn id="48" name="小分類" dataDxfId="170"/>
    <tableColumn id="6" name="仕入先" dataDxfId="169"/>
    <tableColumn id="1" name="商品連番" dataDxfId="168">
      <calculatedColumnFormula>"PRD_SNJ_"&amp;
_xlfn.XLOOKUP(商品マスタ[[#This Row],[仕入先]],テーブル1[仕入先名],テーブル1[仕入先コード],"XXX",0,1)&amp;
"_"&amp;
商品マスタ[[#This Row],[シリアル]]&amp;
"_"&amp;
TEXT(COUNTIFS(商品マスタ!$C$3:C3,商品マスタ[[#This Row],[仕入先]],商品マスタ!$E$3:E3,商品マスタ[[#This Row],[商品名]]), "00")</calculatedColumnFormula>
    </tableColumn>
    <tableColumn id="2" name="商品名" dataDxfId="167"/>
    <tableColumn id="36" name="初出フラグ" dataDxfId="166">
      <calculatedColumnFormula>IF(COUNTIFS($C$3:C3,商品マスタ[[#This Row],[仕入先]],$E$3:E3,商品マスタ[[#This Row],[商品名]]) = 1, 1,0)</calculatedColumnFormula>
    </tableColumn>
    <tableColumn id="35" name="シリアル" dataDxfId="165">
      <calculatedColumnFormula>TEXT(SUMIF($C$3:C3,商品マスタ[[#This Row],[仕入先]],$F$3:F3), "0000")</calculatedColumnFormula>
    </tableColumn>
    <tableColumn id="3" name="単位" dataDxfId="164"/>
    <tableColumn id="20" name="容量" dataDxfId="163"/>
    <tableColumn id="9" name="発注ロット" dataDxfId="162"/>
    <tableColumn id="11" name="荷姿" dataDxfId="161"/>
    <tableColumn id="4" name="仕入_x000a_単価" dataDxfId="160"/>
    <tableColumn id="10" name="仕入価格更新日" dataDxfId="159"/>
    <tableColumn id="5" name="参考上代_x000a_（税込)" dataDxfId="158"/>
    <tableColumn id="32" name="販売先利益率_x000a_（上代加味）" dataDxfId="157" dataCellStyle="パーセント">
      <calculatedColumnFormula>IF(COUNT(商品マスタ[[#This Row],[参考上代
（税込)]]) &gt; 0, (商品マスタ[[#This Row],[参考上代
（税込)]]-商品マスタ[[#This Row],[国内定価
（15％）]])/(商品マスタ[[#This Row],[参考上代
（税込)]]/1.08), "")</calculatedColumnFormula>
    </tableColumn>
    <tableColumn id="26" name="標準国内送料率" dataDxfId="156"/>
    <tableColumn id="28" name="標準国内送料" dataDxfId="155">
      <calculatedColumnFormula>商品マスタ[[#This Row],[仕入
単価]]*商品マスタ[[#This Row],[標準国内送料率]]</calculatedColumnFormula>
    </tableColumn>
    <tableColumn id="22" name="実績_x000a_国内送料" dataDxfId="154"/>
    <tableColumn id="13" name="国内送料" dataDxfId="153">
      <calculatedColumnFormula>IF(ISBLANK(商品マスタ[[#This Row],[実績
国内送料]]),商品マスタ[[#This Row],[標準国内送料]],)</calculatedColumnFormula>
    </tableColumn>
    <tableColumn id="47" name="仕入単価+国内送料" dataDxfId="152">
      <calculatedColumnFormula>商品マスタ[[#This Row],[仕入
単価]]+商品マスタ[[#This Row],[国内送料]]</calculatedColumnFormula>
    </tableColumn>
    <tableColumn id="46" name="海外定価_x000a_（20％）" dataDxfId="151">
      <calculatedColumnFormula>ROUNDUP(商品マスタ[[#This Row],[仕入単価+国内送料]]/0.8,-1)</calculatedColumnFormula>
    </tableColumn>
    <tableColumn id="45" name="海外定価_x000a_粗利" dataDxfId="150">
      <calculatedColumnFormula>商品マスタ[[#This Row],[海外定価
（20％）]]-商品マスタ[[#This Row],[仕入単価+国内送料]]</calculatedColumnFormula>
    </tableColumn>
    <tableColumn id="19" name="国内定価_x000a_（15％）" dataDxfId="149">
      <calculatedColumnFormula>ROUNDUP(商品マスタ[[#This Row],[仕入単価+国内送料]]/0.85,-1)</calculatedColumnFormula>
    </tableColumn>
    <tableColumn id="33" name="国内定価_x000a_粗利" dataDxfId="148">
      <calculatedColumnFormula>商品マスタ[[#This Row],[国内定価
（15％）]]-商品マスタ[[#This Row],[仕入単価+国内送料]]</calculatedColumnFormula>
    </tableColumn>
    <tableColumn id="31" name="税率" dataDxfId="147"/>
    <tableColumn id="12" name="賞味期限" dataDxfId="146"/>
    <tableColumn id="34" name="温度帯" dataDxfId="145"/>
    <tableColumn id="8" name="発注リードタイム" dataDxfId="144"/>
    <tableColumn id="15" name="JANコード" dataDxfId="143"/>
    <tableColumn id="16" name="商品特徴" dataDxfId="142"/>
    <tableColumn id="23" name="画像名" dataDxfId="141"/>
    <tableColumn id="27" name="EEZO_x000a_掲載可否" dataDxfId="140"/>
    <tableColumn id="17" name="申し送り事項_x000a_在庫、支払い条件、税率、送料条件など" dataDxfId="139"/>
  </tableColumns>
  <tableStyleInfo showFirstColumn="0" showLastColumn="0" showRowStripes="0" showColumnStripes="0"/>
</table>
</file>

<file path=xl/tables/table3.xml><?xml version="1.0" encoding="utf-8"?>
<table xmlns="http://schemas.openxmlformats.org/spreadsheetml/2006/main" id="3" name="tbl_採番" displayName="tbl_採番" ref="A2:H158" headerRowCount="1" totalsRowShown="0" headerRowDxfId="138" headerRowBorderDxfId="137" tableBorderDxfId="136" totalsRowBorderDxfId="135">
  <autoFilter ref="A2:H158"/>
  <tableColumns count="8">
    <tableColumn id="1" name="ID" dataDxfId="134">
      <calculatedColumnFormula>ROW([1]!tbl_採番[[#This Row],[ID]])-2</calculatedColumnFormula>
    </tableColumn>
    <tableColumn id="6" name="年" dataDxfId="133"/>
    <tableColumn id="2" name="月" dataDxfId="132"/>
    <tableColumn id="3" name="担当者" dataDxfId="131"/>
    <tableColumn id="4" name="支店" dataDxfId="130"/>
    <tableColumn id="8" name="顧客" dataDxfId="129"/>
    <tableColumn id="5" name="案件番号" dataDxfId="128">
      <calculatedColumnFormula>IF(ISBLANK([1]!tbl_採番[[#This Row],[年]]),"",(RIGHT([1]!tbl_採番[[#This Row],[年]],2)&amp;TEXT([1]!tbl_採番[[#This Row],[月]],"00")&amp;"-1"&amp;TEXT(COUNTIFS(B$3:B3,B3,C$3:C3,C3),"000")&amp;"-"&amp;_xlfn.XLOOKUP([1]!tbl_採番[[#This Row],[担当者]],[1]入力ルール用シート!$D$2:$D$8,[1]入力ルール用シート!$E$2:$E$8,"",0,1)&amp;_xlfn.XLOOKUP([1]!tbl_採番[[#This Row],[支店]],[1]入力ルール用シート!$F$2:$F$3,[1]入力ルール用シート!$G$2:$G$3,"",0,1)))</calculatedColumnFormula>
    </tableColumn>
    <tableColumn id="7" name="商品" dataDxfId="127"/>
  </tableColumns>
  <tableStyleInfo showFirstColumn="0" showLastColumn="0" showRowStripes="1" showColumnStripes="0"/>
</table>
</file>

<file path=xl/tables/table4.xml><?xml version="1.0" encoding="utf-8"?>
<table xmlns="http://schemas.openxmlformats.org/spreadsheetml/2006/main" id="4" name="tbl_与信" displayName="tbl_与信" ref="A2:Q62" headerRowCount="1" totalsRowShown="0" headerRowDxfId="125" headerRowBorderDxfId="124" tableBorderDxfId="123" totalsRowBorderDxfId="122">
  <autoFilter ref="A2:Q62"/>
  <tableColumns count="17">
    <tableColumn id="1" name="顧客名" dataDxfId="121"/>
    <tableColumn id="2" name="区分" dataDxfId="120"/>
    <tableColumn id="3" name="調査機関" dataDxfId="119"/>
    <tableColumn id="4" name="評点/格付" dataDxfId="118"/>
    <tableColumn id="5" name="調査日" dataDxfId="117"/>
    <tableColumn id="6" name="年間売上高" dataDxfId="116" dataCellStyle="桁区切り"/>
    <tableColumn id="7" name="年間利益金" dataDxfId="115" dataCellStyle="桁区切り"/>
    <tableColumn id="8" name="自己資本率" dataDxfId="114"/>
    <tableColumn id="9" name="与信限度額" dataDxfId="113">
      <calculatedColumnFormula>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calculatedColumnFormula>
    </tableColumn>
    <tableColumn id="10" name="算定根拠" dataDxfId="112">
      <calculatedColumnFormula>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calculatedColumnFormula>
    </tableColumn>
    <tableColumn id="11" name="稟議番号" dataDxfId="111"/>
    <tableColumn id="12" name="稟議決裁日" dataDxfId="110"/>
    <tableColumn id="16" name="売掛金更新日" dataDxfId="109"/>
    <tableColumn id="13" name="現在売掛残高" dataDxfId="108"/>
    <tableColumn id="14" name="残与信枠" dataDxfId="107">
      <calculatedColumnFormula>IF(ISBLANK(tbl_与信[[#This Row],[顧客名]]),"",IF(ISNUMBER(tbl_与信[[#This Row],[与信限度額]]), tbl_与信[[#This Row],[与信限度額]]-tbl_与信[[#This Row],[現在売掛残高]], "-"))</calculatedColumnFormula>
    </tableColumn>
    <tableColumn id="15" name="支払条件" dataDxfId="106"/>
    <tableColumn id="17" name="備考" dataDxfId="105"/>
  </tableColumns>
  <tableStyleInfo showFirstColumn="0" showLastColumn="0" showRowStripes="1" showColumnStripes="0"/>
</table>
</file>

<file path=xl/tables/table5.xml><?xml version="1.0" encoding="utf-8"?>
<table xmlns="http://schemas.openxmlformats.org/spreadsheetml/2006/main" id="5" name="tbl_明細" displayName="tbl_明細" ref="A2:AB203" headerRowCount="1" totalsRowShown="0" headerRowDxfId="103" headerRowBorderDxfId="102" tableBorderDxfId="101" totalsRowBorderDxfId="100">
  <autoFilter ref="A2:AB203"/>
  <tableColumns count="28">
    <tableColumn id="1" name="案件番号" dataDxfId="99"/>
    <tableColumn id="2" name="No" dataDxfId="98">
      <calculatedColumnFormula>IF(ISBLANK(tbl_明細[[#This Row],[案件番号]]),"",COUNTIFS($A$3:A3,tbl_明細[[#This Row],[案件番号]],$AA$3:AA3,"&gt;0"))</calculatedColumnFormula>
    </tableColumn>
    <tableColumn id="18" name="（非表示）仕入No." dataDxfId="97">
      <calculatedColumnFormula>COUNTIFS($A$3:A3,tbl_明細[[#This Row],[案件番号]],$F$3:F3,tbl_明細[[#This Row],[仕入先]])</calculatedColumnFormula>
    </tableColumn>
    <tableColumn id="21" name="顧客名" dataDxfId="96">
      <calculatedColumnFormula>_xlfn.XLOOKUP(tbl_明細[[#This Row],[案件番号]],tbl_採番[案件番号],tbl_採番[顧客],"",0,1)</calculatedColumnFormula>
    </tableColumn>
    <tableColumn id="3" name="商品ID" dataDxfId="95"/>
    <tableColumn id="4" name="仕入先" dataDxfId="94">
      <calculatedColumnFormula>IF(ISBLANK(tbl_明細[[#This Row],[仕入先（M)]]),_xlfn.XLOOKUP(tbl_明細[[#This Row],[商品ID]],商品マスタ[商品連番],商品マスタ[仕入先],"",0,1),tbl_明細[[#This Row],[仕入先（M)]])</calculatedColumnFormula>
    </tableColumn>
    <tableColumn id="5" name="商品名" dataDxfId="93">
      <calculatedColumnFormula>IF(ISBLANK(tbl_明細[[#This Row],[商品名（M)]]),_xlfn.XLOOKUP(tbl_明細[[#This Row],[商品ID]],商品マスタ[商品連番],商品マスタ[商品名],"",0,),tbl_明細[[#This Row],[商品名（M)]])</calculatedColumnFormula>
    </tableColumn>
    <tableColumn id="6" name="仕入価格" dataDxfId="92" dataCellStyle="桁区切り">
      <calculatedColumnFormula>IF(ISBLANK(tbl_明細[[#This Row],[仕入価格（M)]]),_xlfn.XLOOKUP(tbl_明細[[#This Row],[商品ID]],商品マスタ[商品連番],商品マスタ[仕入
単価],"",0,1),tbl_明細[[#This Row],[仕入価格（M)]])</calculatedColumnFormula>
    </tableColumn>
    <tableColumn id="7" name="販売価格（定価）" dataDxfId="91" dataCellStyle="桁区切り">
      <calculatedColumnFormula>_xlfn.XLOOKUP(tbl_明細[[#This Row],[商品ID]],商品マスタ[商品連番],商品マスタ[国内定価
（15％）],"",0,1)</calculatedColumnFormula>
    </tableColumn>
    <tableColumn id="10" name="販売価格（売値）" dataDxfId="90" dataCellStyle="桁区切り"/>
    <tableColumn id="8" name="数量" dataDxfId="89"/>
    <tableColumn id="9" name="単位" dataDxfId="88">
      <calculatedColumnFormula>_xlfn.XLOOKUP(tbl_明細[[#This Row],[商品ID]],商品マスタ[商品連番],商品マスタ[単位],"",0,1)</calculatedColumnFormula>
    </tableColumn>
    <tableColumn id="24" name="利益率" dataDxfId="87">
      <calculatedColumnFormula>1-tbl_明細[[#This Row],[仕入価格]]/tbl_明細[[#This Row],[販売価格（売値）]]</calculatedColumnFormula>
    </tableColumn>
    <tableColumn id="19" name="税率" dataDxfId="86" dataCellStyle="パーセント">
      <calculatedColumnFormula>_xlfn.XLOOKUP(tbl_明細[[#This Row],[商品ID]],商品マスタ[商品連番],商品マスタ[税率],"",0,1)</calculatedColumnFormula>
    </tableColumn>
    <tableColumn id="11" name="仕入先（M)" dataDxfId="85" dataCellStyle="パーセント"/>
    <tableColumn id="16" name="商品名（M)" dataDxfId="84"/>
    <tableColumn id="15" name="仕入価格（M)" dataDxfId="83" dataCellStyle="桁区切り"/>
    <tableColumn id="14" name="販売価格（M)" dataDxfId="82" dataCellStyle="桁区切り"/>
    <tableColumn id="17" name="数量（M)" dataDxfId="81"/>
    <tableColumn id="13" name="単位（M)" dataDxfId="80"/>
    <tableColumn id="20" name="税率（M）" dataDxfId="79" dataCellStyle="パーセント"/>
    <tableColumn id="12" name="備考（仕入先向け）" dataDxfId="78" dataCellStyle="パーセント"/>
    <tableColumn id="22" name="備考（顧客向け）" dataDxfId="77" dataCellStyle="パーセント"/>
    <tableColumn id="25" name="単価×数（仕入）" dataDxfId="76" dataCellStyle="パーセント">
      <calculatedColumnFormula>tbl_明細[[#This Row],[仕入価格]]*tbl_明細[[#This Row],[数量]]+tbl_明細[[#This Row],[仕入価格（M)]]*tbl_明細[[#This Row],[数量（M)]]</calculatedColumnFormula>
    </tableColumn>
    <tableColumn id="26" name="単価×数（売値）" dataDxfId="75" dataCellStyle="パーセント">
      <calculatedColumnFormula>tbl_明細[[#This Row],[販売価格（売値）]]*tbl_明細[[#This Row],[数量]]+tbl_明細[[#This Row],[販売価格（M)]]*tbl_明細[[#This Row],[数量（M)]]</calculatedColumnFormula>
    </tableColumn>
    <tableColumn id="27" name="発注フラグ" dataDxfId="74" dataCellStyle="パーセント">
      <calculatedColumnFormula>_xlfn.XLOOKUP(tbl_明細[[#This Row],[案件番号]],tbl_案件追跡[案件番号],tbl_案件追跡[受注],"",0,1)</calculatedColumnFormula>
    </tableColumn>
    <tableColumn id="23" name="(非表示）販売価格の和" dataDxfId="73" dataCellStyle="桁区切り">
      <calculatedColumnFormula>tbl_明細[[#This Row],[販売価格（売値）]]+tbl_明細[[#This Row],[販売価格（M)]]</calculatedColumnFormula>
    </tableColumn>
    <tableColumn id="28" name="税込価格" dataDxfId="72" dataCellStyle="桁区切り">
      <calculatedColumnFormula>tbl_明細[[#This Row],[販売価格（売値）]]*1.08+tbl_明細[[#This Row],[販売価格（M)]]*1.08</calculatedColumnFormula>
    </tableColumn>
  </tableColumns>
  <tableStyleInfo showFirstColumn="0" showLastColumn="0" showRowStripes="1" showColumnStripes="0"/>
</table>
</file>

<file path=xl/tables/table6.xml><?xml version="1.0" encoding="utf-8"?>
<table xmlns="http://schemas.openxmlformats.org/spreadsheetml/2006/main" id="6" name="tbl_案件追跡" displayName="tbl_案件追跡" ref="A3:AF34" headerRowCount="1" totalsRowShown="0" headerRowDxfId="59" headerRowBorderDxfId="58" tableBorderDxfId="57" totalsRowBorderDxfId="56">
  <autoFilter ref="A3:AF34"/>
  <tableColumns count="32">
    <tableColumn id="1" name="案件番号" dataDxfId="55"/>
    <tableColumn id="20" name="仕入先数" dataDxfId="54">
      <calculatedColumnFormula array="1">IF(ISBLANK(tbl_案件追跡[[#This Row],[案件番号]]),"",COUNTA(_xlfn.UNIQUE(_xlfn._xlws.FILTER(tbl_明細[仕入先], tbl_明細[案件番号]=tbl_案件追跡[[#This Row],[案件番号]]))))</calculatedColumnFormula>
    </tableColumn>
    <tableColumn id="2" name="顧客名" dataDxfId="53">
      <calculatedColumnFormula>IF(ISBLANK(tbl_案件追跡[[#This Row],[案件番号]]),"",_xlfn.XLOOKUP(tbl_案件追跡[[#This Row],[案件番号]],tbl_明細[案件番号],tbl_明細[顧客名],"",0,1))</calculatedColumnFormula>
    </tableColumn>
    <tableColumn id="4" name="仕入先" dataDxfId="52">
      <calculatedColumnFormula>IF(ISBLANK(tbl_案件追跡[[#This Row],[案件番号]]),"",IF(tbl_案件追跡[[#This Row],[仕入先数]] = 1, _xlfn.XLOOKUP(tbl_案件追跡[[#This Row],[案件番号]],tbl_明細[案件番号],tbl_明細[仕入先],"",0,1),""))</calculatedColumnFormula>
    </tableColumn>
    <tableColumn id="3" name="商材" dataDxfId="51">
      <calculatedColumnFormula array="1">IF(ISBLANK(tbl_案件追跡[[#This Row],[案件番号]]),"",_xlfn.XLOOKUP(tbl_案件追跡[[#This Row],[案件番号]]&amp;tbl_案件追跡[[#This Row],[仕入先]],tbl_明細[案件番号]&amp;tbl_明細[仕入先],tbl_明細[商品名],"",0,1))</calculatedColumnFormula>
    </tableColumn>
    <tableColumn id="29" name="顧客_x000a_担当者名" dataDxfId="50"/>
    <tableColumn id="26" name="納品先　郵便番号" dataDxfId="49"/>
    <tableColumn id="25" name="納品先　住所1行目" dataDxfId="48"/>
    <tableColumn id="27" name="納品先　住所2行目" dataDxfId="47"/>
    <tableColumn id="28" name="納品先　社名・担当者名" dataDxfId="46"/>
    <tableColumn id="24" name="納品先　電話番号" dataDxfId="45"/>
    <tableColumn id="5" name="支払い条件" dataDxfId="44"/>
    <tableColumn id="6" name="与信" dataDxfId="43"/>
    <tableColumn id="7" name="見積" dataDxfId="42"/>
    <tableColumn id="8" name="受注" dataDxfId="41"/>
    <tableColumn id="9" name="注文確認メール" dataDxfId="40"/>
    <tableColumn id="10" name="前金入金予定" dataDxfId="39"/>
    <tableColumn id="11" name="前金入金" dataDxfId="38"/>
    <tableColumn id="12" name="発注" dataDxfId="37"/>
    <tableColumn id="13" name="出荷予定" dataDxfId="36"/>
    <tableColumn id="14" name="出荷" dataDxfId="35"/>
    <tableColumn id="15" name="着荷" dataDxfId="34"/>
    <tableColumn id="16" name="仕入計上" dataDxfId="33">
      <calculatedColumnFormula>IF(ISBLANK(tbl_案件追跡[[#This Row],[着荷]]),"",EOMONTH(tbl_案件追跡[[#This Row],[着荷]],0))</calculatedColumnFormula>
    </tableColumn>
    <tableColumn id="17" name="仕入支払" dataDxfId="32"/>
    <tableColumn id="18" name="売上計上" dataDxfId="31">
      <calculatedColumnFormula>IF(AND(tbl_案件追跡[[#This Row],[支払い条件]]="前払",ISBLANK(tbl_案件追跡[[#This Row],[受注]])= FALSE ),tbl_案件追跡[[#This Row],[受注]],IF(ISBLANK(tbl_案件追跡[[#This Row],[着荷]]),"",EOMONTH(tbl_案件追跡[[#This Row],[着荷]],0)))</calculatedColumnFormula>
    </tableColumn>
    <tableColumn id="19" name="売上入金" dataDxfId="30"/>
    <tableColumn id="21" name="担当" dataDxfId="29">
      <calculatedColumnFormula>_xlfn.XLOOKUP(tbl_案件追跡[[#This Row],[案件番号]],tbl_採番[案件番号],tbl_採番[担当者],"",0,1)</calculatedColumnFormula>
    </tableColumn>
    <tableColumn id="22" name="行数" dataDxfId="28">
      <calculatedColumnFormula>IF(ISBLANK(tbl_案件追跡[[#This Row],[案件番号]]),"",COUNTIF(tbl_案件追跡[案件番号],tbl_案件追跡[[#This Row],[案件番号]]))</calculatedColumnFormula>
    </tableColumn>
    <tableColumn id="32" name="仕入請求書受領" dataDxfId="27"/>
    <tableColumn id="30" name="（経理処理用）_x000a_ガリレオ伝票No（仕入支払）" dataDxfId="26"/>
    <tableColumn id="23" name="売上請求書送付" dataDxfId="25"/>
    <tableColumn id="31" name="（経理処理用）_x000a_ガリレオ伝票No（売上請求）" dataDxfId="24"/>
  </tableColumns>
  <tableStyleInfo showFirstColumn="0" showLastColumn="0" showRowStripes="1" showColumnStripes="0"/>
</table>
</file>

<file path=xl/tables/table7.xml><?xml version="1.0" encoding="utf-8"?>
<table xmlns="http://schemas.openxmlformats.org/spreadsheetml/2006/main" id="7" name="テーブル5" displayName="テーブル5" ref="A1:G113" headerRowCount="1" totalsRowShown="0" headerRowDxfId="15" dataDxfId="13" headerRowBorderDxfId="14" tableBorderDxfId="12" totalsRowBorderDxfId="11">
  <autoFilter ref="A1:G113"/>
  <tableColumns count="7">
    <tableColumn id="1" name="No." dataDxfId="10"/>
    <tableColumn id="2" name="商品ID" dataDxfId="9"/>
    <tableColumn id="3" name="商品名" dataDxfId="8">
      <calculatedColumnFormula>_xlfn.XLOOKUP(テーブル5[[#This Row],[商品ID]],商品マスタ[商品連番],商品マスタ[商品名],"",0,1)</calculatedColumnFormula>
    </tableColumn>
    <tableColumn id="4" name="仕入先" dataDxfId="7">
      <calculatedColumnFormula>_xlfn.XLOOKUP(テーブル5[[#This Row],[商品ID]],商品マスタ[商品連番],商品マスタ[仕入先],"",0,1)</calculatedColumnFormula>
    </tableColumn>
    <tableColumn id="5" name="優先度" dataDxfId="6"/>
    <tableColumn id="6" name="完了" dataDxfId="5"/>
    <tableColumn id="7" name="備考" dataDxfId="4"/>
  </tableColumns>
  <tableStyleInfo showFirstColumn="0" showLastColumn="0" showRowStripes="1" showColumnStripes="0"/>
</table>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5.xml.rels><Relationships xmlns="http://schemas.openxmlformats.org/package/2006/relationships"><Relationship Type="http://schemas.openxmlformats.org/officeDocument/2006/relationships/table" Target="/xl/tables/table5.xml" Id="rId1" /></Relationships>
</file>

<file path=xl/worksheets/_rels/sheet6.xml.rels><Relationships xmlns="http://schemas.openxmlformats.org/package/2006/relationships"><Relationship Type="http://schemas.openxmlformats.org/officeDocument/2006/relationships/table" Target="/xl/tables/table6.xml" Id="rId1" /></Relationships>
</file>

<file path=xl/worksheets/_rels/sheet7.xml.rels><Relationships xmlns="http://schemas.openxmlformats.org/package/2006/relationships"><Relationship Type="http://schemas.openxmlformats.org/officeDocument/2006/relationships/drawing" Target="/xl/drawings/drawing1.xml" Id="rId1" /></Relationships>
</file>

<file path=xl/worksheets/_rels/sheet9.xml.rels><Relationships xmlns="http://schemas.openxmlformats.org/package/2006/relationships"><Relationship Type="http://schemas.openxmlformats.org/officeDocument/2006/relationships/drawing" Target="/xl/drawings/drawing2.xml" Id="rId1" /></Relationships>
</file>

<file path=xl/worksheets/_rels/sheet10.xml.rels><Relationships xmlns="http://schemas.openxmlformats.org/package/2006/relationships"><Relationship Type="http://schemas.openxmlformats.org/officeDocument/2006/relationships/drawing" Target="/xl/drawings/drawing3.xml" Id="rId1" /></Relationships>
</file>

<file path=xl/worksheets/_rels/sheet11.xml.rels><Relationships xmlns="http://schemas.openxmlformats.org/package/2006/relationships"><Relationship Type="http://schemas.openxmlformats.org/officeDocument/2006/relationships/drawing" Target="/xl/drawings/drawing4.xml" Id="rId1" /></Relationships>
</file>

<file path=xl/worksheets/_rels/sheet12.xml.rels><Relationships xmlns="http://schemas.openxmlformats.org/package/2006/relationships"><Relationship Type="http://schemas.openxmlformats.org/officeDocument/2006/relationships/drawing" Target="/xl/drawings/drawing5.xml" Id="rId1" /></Relationships>
</file>

<file path=xl/worksheets/_rels/sheet14.xml.rels><Relationships xmlns="http://schemas.openxmlformats.org/package/2006/relationships"><Relationship Type="http://schemas.openxmlformats.org/officeDocument/2006/relationships/table" Target="/xl/tables/table7.xml" Id="rId1" /></Relationships>
</file>

<file path=xl/worksheets/_rels/sheet15.xml.rels><Relationships xmlns="http://schemas.openxmlformats.org/package/2006/relationships"><Relationship Type="http://schemas.openxmlformats.org/officeDocument/2006/relationships/pivotTable" Target="/xl/pivotTables/pivotTable1.xml" Id="rId1" /></Relationships>
</file>

<file path=xl/worksheets/_rels/sheet16.xml.rels><Relationships xmlns="http://schemas.openxmlformats.org/package/2006/relationships"><Relationship Type="http://schemas.openxmlformats.org/officeDocument/2006/relationships/drawing" Target="/xl/drawings/drawing6.xml" Id="rId1" /></Relationships>
</file>

<file path=xl/worksheets/_rels/sheet17.xml.rels><Relationships xmlns="http://schemas.openxmlformats.org/package/2006/relationships"><Relationship Type="http://schemas.openxmlformats.org/officeDocument/2006/relationships/drawing" Target="/xl/drawings/drawing7.xml" Id="rId1" /></Relationships>
</file>

<file path=xl/worksheets/sheet1.xml><?xml version="1.0" encoding="utf-8"?>
<worksheet xmlns="http://schemas.openxmlformats.org/spreadsheetml/2006/main">
  <sheetPr codeName="Sheet3">
    <outlinePr summaryBelow="1" summaryRight="1"/>
    <pageSetUpPr/>
  </sheetPr>
  <dimension ref="A1:J92"/>
  <sheetViews>
    <sheetView topLeftCell="A6" workbookViewId="0">
      <selection activeCell="B103" sqref="B103"/>
    </sheetView>
  </sheetViews>
  <sheetFormatPr baseColWidth="8" defaultRowHeight="18"/>
  <cols>
    <col width="17" bestFit="1" customWidth="1" style="207" min="1" max="1"/>
    <col width="31.19921875" customWidth="1" style="207" min="2" max="2"/>
    <col width="35" customWidth="1" style="207" min="3" max="3"/>
    <col width="52" bestFit="1" customWidth="1" style="207" min="4" max="4"/>
    <col width="15" customWidth="1" style="207" min="5" max="5"/>
    <col width="20" customWidth="1" style="207" min="6" max="9"/>
    <col width="25.19921875" customWidth="1" style="207" min="10" max="10"/>
  </cols>
  <sheetData>
    <row r="1">
      <c r="A1" s="223" t="inlineStr">
        <is>
          <t>仕入先コード</t>
        </is>
      </c>
      <c r="B1" s="223" t="inlineStr">
        <is>
          <t>仕入先名</t>
        </is>
      </c>
      <c r="C1" s="223" t="inlineStr">
        <is>
          <t>住所１</t>
        </is>
      </c>
      <c r="D1" s="223" t="inlineStr">
        <is>
          <t>住所２</t>
        </is>
      </c>
      <c r="E1" s="223" t="inlineStr">
        <is>
          <t>電話番号</t>
        </is>
      </c>
      <c r="F1" s="223" t="inlineStr">
        <is>
          <t>担当者</t>
        </is>
      </c>
      <c r="G1" s="223" t="inlineStr">
        <is>
          <t>支払条件</t>
        </is>
      </c>
      <c r="H1" s="223" t="inlineStr">
        <is>
          <t>仕入先見積税区分</t>
        </is>
      </c>
      <c r="I1" s="223" t="inlineStr">
        <is>
          <t>紹介文</t>
        </is>
      </c>
      <c r="J1" s="223" t="inlineStr">
        <is>
          <t>備考</t>
        </is>
      </c>
    </row>
    <row r="2">
      <c r="A2" s="209" t="inlineStr">
        <is>
          <t>NKH</t>
        </is>
      </c>
      <c r="B2" s="209" t="inlineStr">
        <is>
          <t>NIKI HILLS</t>
        </is>
      </c>
      <c r="C2" s="209" t="n"/>
      <c r="D2" s="209" t="n"/>
      <c r="E2" s="209" t="n"/>
      <c r="F2" s="209" t="n"/>
      <c r="G2" s="209" t="n"/>
      <c r="H2" s="209" t="n"/>
      <c r="I2" s="209" t="n"/>
      <c r="J2" s="209" t="n"/>
    </row>
    <row r="3">
      <c r="A3" s="209" t="inlineStr">
        <is>
          <t>NAO</t>
        </is>
      </c>
      <c r="B3" s="209" t="inlineStr">
        <is>
          <t>Nao-buns</t>
        </is>
      </c>
      <c r="C3" s="209" t="n"/>
      <c r="D3" s="209" t="n"/>
      <c r="E3" s="209" t="n"/>
      <c r="F3" s="209" t="n"/>
      <c r="G3" s="209" t="n"/>
      <c r="H3" s="209" t="n"/>
      <c r="I3" s="209" t="n"/>
      <c r="J3" s="209" t="n"/>
    </row>
    <row r="4">
      <c r="A4" s="209" t="inlineStr">
        <is>
          <t>NNS</t>
        </is>
      </c>
      <c r="B4" s="209" t="inlineStr">
        <is>
          <t>にんにく種蔵</t>
        </is>
      </c>
      <c r="C4" s="209" t="inlineStr">
        <is>
          <t>〒060-0062</t>
        </is>
      </c>
      <c r="D4" s="209" t="inlineStr">
        <is>
          <t>北海道札幌市中央区南２条西１丁目５−６ 第2広和ビル</t>
        </is>
      </c>
      <c r="E4" s="209" t="inlineStr">
        <is>
          <t>090-2035-0229</t>
        </is>
      </c>
      <c r="F4" s="209" t="inlineStr">
        <is>
          <t>佐藤</t>
        </is>
      </c>
      <c r="G4" s="209" t="inlineStr">
        <is>
          <t>月末締翌月末払い</t>
        </is>
      </c>
      <c r="H4" s="209" t="inlineStr">
        <is>
          <t>内税</t>
        </is>
      </c>
      <c r="I4" s="209" t="inlineStr">
        <is>
          <t>北海道初のにんにく専門セレクトショップ。自社農園のダイヤモンドにんにくをはじめ、全国より厳選したにんにく商品を取り扱うにんにく専門店です。</t>
        </is>
      </c>
      <c r="J4" s="209" t="n"/>
    </row>
    <row r="5">
      <c r="A5" s="209" t="inlineStr">
        <is>
          <t>HNM</t>
        </is>
      </c>
      <c r="B5" s="209" t="inlineStr">
        <is>
          <t>ほんま</t>
        </is>
      </c>
      <c r="C5" s="209" t="n"/>
      <c r="D5" s="209" t="n"/>
      <c r="E5" s="209" t="n"/>
      <c r="F5" s="209" t="n"/>
      <c r="G5" s="209" t="n"/>
      <c r="H5" s="209" t="n"/>
      <c r="I5" s="209" t="n"/>
      <c r="J5" s="209" t="n"/>
    </row>
    <row r="6">
      <c r="A6" s="209" t="inlineStr">
        <is>
          <t>SZS</t>
        </is>
      </c>
      <c r="B6" s="209" t="inlineStr">
        <is>
          <t>サザエ食品</t>
        </is>
      </c>
      <c r="C6" s="209" t="n"/>
      <c r="D6" s="209" t="n"/>
      <c r="E6" s="209" t="n"/>
      <c r="F6" s="209" t="n"/>
      <c r="G6" s="209" t="n"/>
      <c r="H6" s="209" t="n"/>
      <c r="I6" s="209" t="n"/>
      <c r="J6" s="209" t="n"/>
    </row>
    <row r="7">
      <c r="A7" s="209" t="inlineStr">
        <is>
          <t>JEN</t>
        </is>
      </c>
      <c r="B7" s="209" t="inlineStr">
        <is>
          <t>ジョーエンタープライズ</t>
        </is>
      </c>
      <c r="C7" s="209" t="n"/>
      <c r="D7" s="209" t="n"/>
      <c r="E7" s="209" t="n"/>
      <c r="F7" s="209" t="n"/>
      <c r="G7" s="209" t="n"/>
      <c r="H7" s="209" t="n"/>
      <c r="I7" s="209" t="n"/>
      <c r="J7" s="209" t="n"/>
    </row>
    <row r="8">
      <c r="A8" s="209" t="inlineStr">
        <is>
          <t>TKP</t>
        </is>
      </c>
      <c r="B8" s="209" t="inlineStr">
        <is>
          <t>トカプコーヒー</t>
        </is>
      </c>
      <c r="C8" s="209" t="n"/>
      <c r="D8" s="209" t="n"/>
      <c r="E8" s="209" t="n"/>
      <c r="F8" s="209" t="n"/>
      <c r="G8" s="209" t="n"/>
      <c r="H8" s="209" t="n"/>
      <c r="I8" s="209" t="n"/>
      <c r="J8" s="209" t="n"/>
    </row>
    <row r="9">
      <c r="A9" s="209" t="inlineStr">
        <is>
          <t>HRK</t>
        </is>
      </c>
      <c r="B9" s="209" t="inlineStr">
        <is>
          <t>ハリカ</t>
        </is>
      </c>
      <c r="C9" s="209" t="n"/>
      <c r="D9" s="209" t="n"/>
      <c r="E9" s="209" t="n"/>
      <c r="F9" s="209" t="n"/>
      <c r="G9" s="209" t="n"/>
      <c r="H9" s="209" t="n"/>
      <c r="I9" s="209" t="n"/>
      <c r="J9" s="209" t="n"/>
    </row>
    <row r="10">
      <c r="A10" s="209" t="inlineStr">
        <is>
          <t>VGW</t>
        </is>
      </c>
      <c r="B10" s="209" t="inlineStr">
        <is>
          <t>ベジタブルワークス</t>
        </is>
      </c>
      <c r="C10" s="209" t="n"/>
      <c r="D10" s="209" t="n"/>
      <c r="E10" s="209" t="n"/>
      <c r="F10" s="209" t="n"/>
      <c r="G10" s="209" t="n"/>
      <c r="H10" s="209" t="n"/>
      <c r="I10" s="209" t="n"/>
      <c r="J10" s="209" t="n"/>
    </row>
    <row r="11">
      <c r="A11" s="209" t="inlineStr">
        <is>
          <t>MTY</t>
        </is>
      </c>
      <c r="B11" s="209" t="inlineStr">
        <is>
          <t>マルトシ吉野商店</t>
        </is>
      </c>
      <c r="C11" s="209" t="n"/>
      <c r="D11" s="209" t="n"/>
      <c r="E11" s="209" t="n"/>
      <c r="F11" s="209" t="n"/>
      <c r="G11" s="209" t="n"/>
      <c r="H11" s="209" t="n"/>
      <c r="I11" s="209" t="n"/>
      <c r="J11" s="209" t="n"/>
    </row>
    <row r="12">
      <c r="A12" s="209" t="inlineStr">
        <is>
          <t>IHS</t>
        </is>
      </c>
      <c r="B12" s="209" t="inlineStr">
        <is>
          <t>井原水産</t>
        </is>
      </c>
      <c r="C12" s="209" t="n"/>
      <c r="D12" s="209" t="n"/>
      <c r="E12" s="209" t="n"/>
      <c r="F12" s="209" t="n"/>
      <c r="G12" s="209" t="n"/>
      <c r="H12" s="209" t="n"/>
      <c r="I12" s="209" t="n"/>
      <c r="J12" s="209" t="n"/>
    </row>
    <row r="13">
      <c r="A13" s="209" t="inlineStr">
        <is>
          <t>HBJ</t>
        </is>
      </c>
      <c r="B13" s="209" t="inlineStr">
        <is>
          <t>北海道美女物語</t>
        </is>
      </c>
      <c r="C13" s="209" t="n"/>
      <c r="D13" s="209" t="n"/>
      <c r="E13" s="209" t="n"/>
      <c r="F13" s="209" t="n"/>
      <c r="G13" s="209" t="n"/>
      <c r="H13" s="209" t="n"/>
      <c r="I13" s="209" t="n"/>
      <c r="J13" s="209" t="n"/>
    </row>
    <row r="14">
      <c r="A14" s="209" t="inlineStr">
        <is>
          <t>HOY</t>
        </is>
      </c>
      <c r="B14" s="209" t="inlineStr">
        <is>
          <t>北王よいち</t>
        </is>
      </c>
      <c r="C14" s="209" t="n"/>
      <c r="D14" s="209" t="n"/>
      <c r="E14" s="209" t="n"/>
      <c r="F14" s="209" t="n"/>
      <c r="G14" s="209" t="n"/>
      <c r="H14" s="209" t="n"/>
      <c r="I14" s="209" t="n"/>
      <c r="J14" s="209" t="n"/>
    </row>
    <row r="15">
      <c r="A15" s="209" t="inlineStr">
        <is>
          <t>OKK</t>
        </is>
      </c>
      <c r="B15" s="209" t="inlineStr">
        <is>
          <t>小樽かね丁鍛冶</t>
        </is>
      </c>
      <c r="C15" s="209" t="n"/>
      <c r="D15" s="209" t="n"/>
      <c r="E15" s="209" t="n"/>
      <c r="F15" s="209" t="n"/>
      <c r="G15" s="209" t="n"/>
      <c r="H15" s="209" t="n"/>
      <c r="I15" s="209" t="n"/>
      <c r="J15" s="209" t="n"/>
    </row>
    <row r="16">
      <c r="A16" s="209" t="inlineStr">
        <is>
          <t>YSS</t>
        </is>
      </c>
      <c r="B16" s="209" t="inlineStr">
        <is>
          <t>山下水産</t>
        </is>
      </c>
      <c r="C16" s="209" t="n"/>
      <c r="D16" s="209" t="n"/>
      <c r="E16" s="209" t="n"/>
      <c r="F16" s="209" t="n"/>
      <c r="G16" s="209" t="n"/>
      <c r="H16" s="209" t="n"/>
      <c r="I16" s="209" t="n"/>
      <c r="J16" s="209" t="n"/>
    </row>
    <row r="17">
      <c r="A17" s="209" t="inlineStr">
        <is>
          <t>UMY</t>
        </is>
      </c>
      <c r="B17" s="209" t="inlineStr">
        <is>
          <t>梅屋</t>
        </is>
      </c>
      <c r="C17" s="209" t="n"/>
      <c r="D17" s="209" t="n"/>
      <c r="E17" s="209" t="n"/>
      <c r="F17" s="209" t="n"/>
      <c r="G17" s="209" t="n"/>
      <c r="H17" s="209" t="n"/>
      <c r="I17" s="209" t="n"/>
      <c r="J17" s="209" t="n"/>
    </row>
    <row r="18">
      <c r="A18" s="209" t="inlineStr">
        <is>
          <t>YSD</t>
        </is>
      </c>
      <c r="B18" s="209" t="inlineStr">
        <is>
          <t>野菜田</t>
        </is>
      </c>
      <c r="C18" s="209" t="n"/>
      <c r="D18" s="209" t="n"/>
      <c r="E18" s="209" t="n"/>
      <c r="F18" s="209" t="n"/>
      <c r="G18" s="209" t="n"/>
      <c r="H18" s="209" t="n"/>
      <c r="I18" s="209" t="n"/>
      <c r="J18" s="209" t="n"/>
    </row>
    <row r="19">
      <c r="A19" s="209" t="inlineStr">
        <is>
          <t>SKK</t>
        </is>
      </c>
      <c r="B19" s="209" t="inlineStr">
        <is>
          <t>三海幸</t>
        </is>
      </c>
      <c r="C19" s="209" t="n"/>
      <c r="D19" s="209" t="n"/>
      <c r="E19" s="209" t="n"/>
      <c r="F19" s="209" t="n"/>
      <c r="G19" s="209" t="n"/>
      <c r="H19" s="209" t="n"/>
      <c r="I19" s="209" t="n"/>
      <c r="J19" s="209" t="n"/>
    </row>
    <row r="20">
      <c r="A20" s="209" t="inlineStr">
        <is>
          <t>TAH</t>
        </is>
      </c>
      <c r="B20" s="209" t="inlineStr">
        <is>
          <t>月寒あんぱん本舗</t>
        </is>
      </c>
      <c r="C20" s="209" t="n"/>
      <c r="D20" s="209" t="n"/>
      <c r="E20" s="209" t="n"/>
      <c r="F20" s="209" t="n"/>
      <c r="G20" s="209" t="n"/>
      <c r="H20" s="209" t="n"/>
      <c r="I20" s="209" t="n"/>
      <c r="J20" s="209" t="n"/>
    </row>
    <row r="21">
      <c r="A21" s="209" t="inlineStr">
        <is>
          <t>THG</t>
        </is>
      </c>
      <c r="B21" s="209" t="inlineStr">
        <is>
          <t>十勝ハーブ牛(ノベルズ食品)</t>
        </is>
      </c>
      <c r="C21" s="209" t="n"/>
      <c r="D21" s="209" t="n"/>
      <c r="E21" s="209" t="n"/>
      <c r="F21" s="209" t="n"/>
      <c r="G21" s="209" t="n"/>
      <c r="H21" s="209" t="n"/>
      <c r="I21" s="209" t="n"/>
      <c r="J21" s="209" t="n"/>
    </row>
    <row r="22">
      <c r="A22" s="209" t="inlineStr">
        <is>
          <t>BWG</t>
        </is>
      </c>
      <c r="B22" s="209" t="inlineStr">
        <is>
          <t>びえい和牛(ファームズ千代田)</t>
        </is>
      </c>
      <c r="C22" s="209" t="n"/>
      <c r="D22" s="209" t="n"/>
      <c r="E22" s="209" t="n"/>
      <c r="F22" s="209" t="n"/>
      <c r="G22" s="209" t="n"/>
      <c r="H22" s="209" t="n"/>
      <c r="I22" s="209" t="n"/>
      <c r="J22" s="209" t="n"/>
    </row>
    <row r="23">
      <c r="A23" s="209" t="inlineStr">
        <is>
          <t>HKM</t>
        </is>
      </c>
      <c r="B23" s="209" t="inlineStr">
        <is>
          <t>北海道名販</t>
        </is>
      </c>
      <c r="C23" s="209" t="n"/>
      <c r="D23" s="209" t="n"/>
      <c r="E23" s="209" t="n"/>
      <c r="F23" s="209" t="n"/>
      <c r="G23" s="209" t="n"/>
      <c r="H23" s="209" t="n"/>
      <c r="I23" s="209" t="n"/>
      <c r="J23" s="209" t="n"/>
    </row>
    <row r="24">
      <c r="A24" s="209" t="inlineStr">
        <is>
          <t>WRK</t>
        </is>
      </c>
      <c r="B24" s="209" t="inlineStr">
        <is>
          <t>わらく堂</t>
        </is>
      </c>
      <c r="C24" s="209" t="n"/>
      <c r="D24" s="209" t="n"/>
      <c r="E24" s="209" t="n"/>
      <c r="F24" s="209" t="n"/>
      <c r="G24" s="209" t="n"/>
      <c r="H24" s="209" t="n"/>
      <c r="I24" s="209" t="n"/>
      <c r="J24" s="209" t="n"/>
    </row>
    <row r="25">
      <c r="A25" s="209" t="inlineStr">
        <is>
          <t>NKE</t>
        </is>
      </c>
      <c r="B25" s="209" t="inlineStr">
        <is>
          <t>南華園</t>
        </is>
      </c>
      <c r="C25" s="209" t="n"/>
      <c r="D25" s="209" t="n"/>
      <c r="E25" s="209" t="n"/>
      <c r="F25" s="209" t="n"/>
      <c r="G25" s="209" t="n"/>
      <c r="H25" s="209" t="n"/>
      <c r="I25" s="209" t="n"/>
      <c r="J25" s="209" t="n"/>
    </row>
    <row r="26">
      <c r="A26" s="209" t="inlineStr">
        <is>
          <t>MRI</t>
        </is>
      </c>
      <c r="B26" s="209" t="inlineStr">
        <is>
          <t>丸市</t>
        </is>
      </c>
      <c r="C26" s="209" t="n"/>
      <c r="D26" s="209" t="n"/>
      <c r="E26" s="209" t="n"/>
      <c r="F26" s="209" t="n"/>
      <c r="G26" s="209" t="n"/>
      <c r="H26" s="209" t="n"/>
      <c r="I26" s="209" t="n"/>
      <c r="J26" s="209" t="n"/>
    </row>
    <row r="27">
      <c r="A27" s="209" t="inlineStr">
        <is>
          <t>NBT</t>
        </is>
      </c>
      <c r="B27" s="209" t="inlineStr">
        <is>
          <t>NORTH BOAT</t>
        </is>
      </c>
      <c r="C27" s="209" t="n"/>
      <c r="D27" s="209" t="n"/>
      <c r="E27" s="209" t="n"/>
      <c r="F27" s="209" t="n"/>
      <c r="G27" s="209" t="n"/>
      <c r="H27" s="209" t="n"/>
      <c r="I27" s="209" t="n"/>
      <c r="J27" s="209" t="n"/>
    </row>
    <row r="28">
      <c r="A28" s="209" t="inlineStr">
        <is>
          <t>UGP</t>
        </is>
      </c>
      <c r="B28" s="209" t="inlineStr">
        <is>
          <t>うんがぷらす</t>
        </is>
      </c>
      <c r="C28" s="209" t="n"/>
      <c r="D28" s="209" t="n"/>
      <c r="E28" s="209" t="n"/>
      <c r="F28" s="209" t="n"/>
      <c r="G28" s="209" t="n"/>
      <c r="H28" s="209" t="n"/>
      <c r="I28" s="209" t="n"/>
      <c r="J28" s="209" t="n"/>
    </row>
    <row r="29">
      <c r="A29" s="209" t="inlineStr">
        <is>
          <t>MFZ</t>
        </is>
      </c>
      <c r="B29" s="209" t="inlineStr">
        <is>
          <t>エムフローズン</t>
        </is>
      </c>
      <c r="C29" s="209" t="n"/>
      <c r="D29" s="209" t="n"/>
      <c r="E29" s="209" t="n"/>
      <c r="F29" s="209" t="n"/>
      <c r="G29" s="209" t="n"/>
      <c r="H29" s="209" t="n"/>
      <c r="I29" s="209" t="n"/>
      <c r="J29" s="209" t="n"/>
    </row>
    <row r="30">
      <c r="A30" s="209" t="inlineStr">
        <is>
          <t>LTS</t>
        </is>
      </c>
      <c r="B30" s="209" t="inlineStr">
        <is>
          <t>リトルスプーン</t>
        </is>
      </c>
      <c r="C30" s="209" t="n"/>
      <c r="D30" s="209" t="n"/>
      <c r="E30" s="209" t="n"/>
      <c r="F30" s="209" t="n"/>
      <c r="G30" s="209" t="n"/>
      <c r="H30" s="209" t="n"/>
      <c r="I30" s="209" t="n"/>
      <c r="J30" s="209" t="n"/>
    </row>
    <row r="31">
      <c r="A31" s="209" t="inlineStr">
        <is>
          <t>EKS</t>
        </is>
      </c>
      <c r="B31" s="209" t="inlineStr">
        <is>
          <t>栄興食品</t>
        </is>
      </c>
      <c r="C31" s="209" t="n"/>
      <c r="D31" s="209" t="n"/>
      <c r="E31" s="209" t="n"/>
      <c r="F31" s="209" t="n"/>
      <c r="G31" s="209" t="n"/>
      <c r="H31" s="209" t="n"/>
      <c r="I31" s="209" t="n"/>
      <c r="J31" s="209" t="n"/>
    </row>
    <row r="32">
      <c r="A32" s="209" t="inlineStr">
        <is>
          <t>KGU</t>
        </is>
      </c>
      <c r="B32" s="209" t="inlineStr">
        <is>
          <t>北前吟撰(うんがぷらす)</t>
        </is>
      </c>
      <c r="C32" s="209" t="n"/>
      <c r="D32" s="209" t="n"/>
      <c r="E32" s="209" t="n"/>
      <c r="F32" s="209" t="n"/>
      <c r="G32" s="209" t="n"/>
      <c r="H32" s="209" t="n"/>
      <c r="I32" s="209" t="n"/>
      <c r="J32" s="209" t="n"/>
    </row>
    <row r="33">
      <c r="A33" s="209" t="inlineStr">
        <is>
          <t>FJI</t>
        </is>
      </c>
      <c r="B33" s="209" t="inlineStr">
        <is>
          <t>FUJI</t>
        </is>
      </c>
      <c r="C33" s="209" t="n"/>
      <c r="D33" s="209" t="n"/>
      <c r="E33" s="209" t="n"/>
      <c r="F33" s="209" t="n"/>
      <c r="G33" s="209" t="n"/>
      <c r="H33" s="209" t="n"/>
      <c r="I33" s="209" t="n"/>
      <c r="J33" s="209" t="n"/>
    </row>
    <row r="34">
      <c r="A34" s="209" t="inlineStr">
        <is>
          <t>ABF</t>
        </is>
      </c>
      <c r="B34" s="209" t="inlineStr">
        <is>
          <t>ABE FARM</t>
        </is>
      </c>
      <c r="C34" s="209" t="n"/>
      <c r="D34" s="209" t="n"/>
      <c r="E34" s="209" t="n"/>
      <c r="F34" s="209" t="n"/>
      <c r="G34" s="209" t="n"/>
      <c r="H34" s="209" t="n"/>
      <c r="I34" s="209" t="n"/>
      <c r="J34" s="209" t="n"/>
    </row>
    <row r="35">
      <c r="A35" s="209" t="inlineStr">
        <is>
          <t>GGM</t>
        </is>
      </c>
      <c r="B35" s="209" t="inlineStr">
        <is>
          <t>GOODGOOD</t>
        </is>
      </c>
      <c r="C35" s="209" t="n"/>
      <c r="D35" s="209" t="n"/>
      <c r="E35" s="209" t="n"/>
      <c r="F35" s="209" t="n"/>
      <c r="G35" s="209" t="n"/>
      <c r="H35" s="209" t="n"/>
      <c r="I35" s="209" t="n"/>
      <c r="J35" s="209" t="n"/>
    </row>
    <row r="36">
      <c r="A36" s="209" t="inlineStr">
        <is>
          <t>GRS</t>
        </is>
      </c>
      <c r="B36" s="209" t="inlineStr">
        <is>
          <t>五島列島酒造</t>
        </is>
      </c>
      <c r="C36" s="209" t="n"/>
      <c r="D36" s="209" t="n"/>
      <c r="E36" s="209" t="n"/>
      <c r="F36" s="209" t="n"/>
      <c r="G36" s="209" t="n"/>
      <c r="H36" s="209" t="n"/>
      <c r="I36" s="209" t="n"/>
      <c r="J36" s="209" t="n"/>
    </row>
    <row r="37">
      <c r="A37" s="209" t="inlineStr">
        <is>
          <t>NVP</t>
        </is>
      </c>
      <c r="B37" s="209" t="inlineStr">
        <is>
          <t>ニセコビュープラザ</t>
        </is>
      </c>
      <c r="C37" s="209" t="n"/>
      <c r="D37" s="209" t="n"/>
      <c r="E37" s="209" t="n"/>
      <c r="F37" s="209" t="n"/>
      <c r="G37" s="209" t="n"/>
      <c r="H37" s="209" t="n"/>
      <c r="I37" s="209" t="n"/>
      <c r="J37" s="209" t="n"/>
    </row>
    <row r="38">
      <c r="A38" s="209" t="inlineStr">
        <is>
          <t>HAK</t>
        </is>
      </c>
      <c r="B38" s="209" t="inlineStr">
        <is>
          <t>北見ハッカ通商</t>
        </is>
      </c>
      <c r="C38" s="209" t="inlineStr">
        <is>
          <t>〒090-0056</t>
        </is>
      </c>
      <c r="D38" s="209" t="inlineStr">
        <is>
          <t>北海道北見市卸町1丁目7-3</t>
        </is>
      </c>
      <c r="E38" s="209" t="inlineStr">
        <is>
          <t>0157-66-5655</t>
        </is>
      </c>
      <c r="F38" s="209" t="inlineStr">
        <is>
          <t>吉田</t>
        </is>
      </c>
      <c r="G38" s="209" t="inlineStr">
        <is>
          <t>前金</t>
        </is>
      </c>
      <c r="H38" s="209" t="n"/>
      <c r="I38" s="168" t="inlineStr">
        <is>
          <t>「北のかおり ハッカ油」でおなじみ、北見ハッカ通商です。紀元前から人々の生活に計り知れない役割を果たしてきた「天然ハッカ」は、かつて世界シェアの70％以上を北見地方で生産していた時代がありました。
この古き良き「ハッカ隆盛時代」の後、時代の変化とともに世界に誇った「ホクレン北見薄荷工場」も閉鎖。すっかり影を潜めてしまった「北見の天然ハッカ」を、今私たち北見ハッカ通商が復元しています。</t>
        </is>
      </c>
      <c r="J38" s="209" t="n"/>
    </row>
    <row r="39">
      <c r="A39" s="209" t="inlineStr">
        <is>
          <t>CSG</t>
        </is>
      </c>
      <c r="B39" s="209" t="inlineStr">
        <is>
          <t>CHISE GARDEN</t>
        </is>
      </c>
      <c r="C39" s="209" t="inlineStr">
        <is>
          <t>〒048-1542</t>
        </is>
      </c>
      <c r="D39" s="209" t="inlineStr">
        <is>
          <t>北海道虻田郡ニセコ町字近藤８１７</t>
        </is>
      </c>
      <c r="E39" s="209" t="inlineStr">
        <is>
          <t>090-1302-4156</t>
        </is>
      </c>
      <c r="F39" s="209" t="inlineStr">
        <is>
          <t>平手千津子</t>
        </is>
      </c>
      <c r="G39" s="209" t="inlineStr">
        <is>
          <t>月末締翌月末払い</t>
        </is>
      </c>
      <c r="H39" s="209" t="n"/>
      <c r="I39" s="168" t="inlineStr">
        <is>
          <t>北海道ニセコ町にてワインぶどう無農薬、無化学肥料で野菜やベリーを生産加工販売しています 山野草・宿根草を中心としたガーデンづくりに奮闘中です！</t>
        </is>
      </c>
      <c r="J39" s="209" t="n"/>
    </row>
    <row r="40">
      <c r="A40" s="209" t="inlineStr">
        <is>
          <t>HAD</t>
        </is>
      </c>
      <c r="B40" s="209" t="inlineStr">
        <is>
          <t>白亜ダイシン</t>
        </is>
      </c>
      <c r="C40" s="209" t="inlineStr">
        <is>
          <t xml:space="preserve">〒068-0833 </t>
        </is>
      </c>
      <c r="D40" s="209" t="inlineStr">
        <is>
          <t>北海道岩見沢市志文町292-4</t>
        </is>
      </c>
      <c r="E40" s="209" t="inlineStr">
        <is>
          <t>0120-70-6003</t>
        </is>
      </c>
      <c r="F40" s="209" t="n"/>
      <c r="G40" s="209" t="n"/>
      <c r="H40" s="209" t="n"/>
      <c r="I40" s="168" t="inlineStr">
        <is>
          <t>ノースファームストックには「北海道のおいしいものを蔵出しで」、という思いが込められています。自分たちの目の届く範囲で産地や生産者とつながり、良質な素材をすべて手づくりするのが基本。原点を守ることで、北海道のぬくもりや、やさしさもお伝えしたいのです。また、その思いから商品名に「北海道」を冠しています。</t>
        </is>
      </c>
      <c r="J40" s="209" t="n"/>
    </row>
    <row r="41">
      <c r="A41" s="209" t="inlineStr">
        <is>
          <t>SKA</t>
        </is>
      </c>
      <c r="B41" s="209" t="inlineStr">
        <is>
          <t>シャルキュトリーアカイシ</t>
        </is>
      </c>
      <c r="C41" s="209" t="inlineStr">
        <is>
          <t>〒048-1551</t>
        </is>
      </c>
      <c r="D41" s="209" t="inlineStr">
        <is>
          <t>北海道虻田郡ニセコ町字里見11-26</t>
        </is>
      </c>
      <c r="E41" s="209" t="inlineStr">
        <is>
          <t>0136-55-5575</t>
        </is>
      </c>
      <c r="F41" s="209" t="inlineStr">
        <is>
          <t>赤石</t>
        </is>
      </c>
      <c r="G41" s="209" t="inlineStr">
        <is>
          <t>月末締翌月末払い</t>
        </is>
      </c>
      <c r="H41" s="209" t="n"/>
      <c r="I41" s="168" t="inlineStr">
        <is>
          <t>北海道ニセコならではのシャルキュトリーを生み出すため、
2018年シャルキュトリーアカイシを起業。
素材の持つ美味しさを引き出し、北海道の風土を活かしたものづくりを目指す。</t>
        </is>
      </c>
      <c r="J41" s="209" t="n"/>
    </row>
    <row r="42">
      <c r="A42" s="209" t="inlineStr">
        <is>
          <t>FSS</t>
        </is>
      </c>
      <c r="B42" s="209" t="inlineStr">
        <is>
          <t>藤田水産</t>
        </is>
      </c>
      <c r="C42" s="209" t="inlineStr">
        <is>
          <t xml:space="preserve">	〒078-3454 </t>
        </is>
      </c>
      <c r="D42" s="209" t="inlineStr">
        <is>
          <t>北海道留萌郡小平町字鬼鹿広富90番地</t>
        </is>
      </c>
      <c r="E42" s="209" t="inlineStr">
        <is>
          <t>0164-57-1048</t>
        </is>
      </c>
      <c r="F42" s="209" t="inlineStr">
        <is>
          <t>藤田貢</t>
        </is>
      </c>
      <c r="G42" s="209" t="inlineStr">
        <is>
          <t>月末締翌月末払い</t>
        </is>
      </c>
      <c r="H42" s="209" t="n"/>
      <c r="I42" s="168" t="inlineStr">
        <is>
          <t>タコを主に、イカ、鮭の珍味類を生産している。珍味の藤田水産の地名度アップに大きな役割を果たした「一杯だこ」は昭和38年先代のアイデアで製品化された息の長い逸品。当時棒くん（たこ足の丸ごとの燻製品）にならない小さいタコに着目、タコの姿そのまま燻製に仕上げた。</t>
        </is>
      </c>
      <c r="J42" s="209" t="n"/>
    </row>
    <row r="43">
      <c r="A43" s="209" t="inlineStr">
        <is>
          <t>YTS</t>
        </is>
      </c>
      <c r="B43" s="209" t="inlineStr">
        <is>
          <t>谷田製菓</t>
        </is>
      </c>
      <c r="C43" s="224" t="inlineStr">
        <is>
          <t xml:space="preserve">〒069-1521 </t>
        </is>
      </c>
      <c r="D43" s="224" t="inlineStr">
        <is>
          <t>北海道夕張郡栗山町錦３丁目１３４</t>
        </is>
      </c>
      <c r="E43" s="209" t="inlineStr">
        <is>
          <t>0123-72-1234</t>
        </is>
      </c>
      <c r="F43" s="209" t="inlineStr">
        <is>
          <t>木村</t>
        </is>
      </c>
      <c r="G43" s="209" t="inlineStr">
        <is>
          <t>月末締翌月末払い</t>
        </is>
      </c>
      <c r="H43" s="209" t="n"/>
      <c r="I43" s="209" t="inlineStr">
        <is>
          <t>日本一きびだんご大正１２年創製　令和５年生誕１００年を迎えます。北海道開拓の精神と関東大震災の復興を願い、起備団合の名称で発売</t>
        </is>
      </c>
      <c r="J43" s="209" t="n"/>
    </row>
    <row r="44">
      <c r="A44" s="209" t="inlineStr">
        <is>
          <t>SBR</t>
        </is>
      </c>
      <c r="B44" s="209" t="inlineStr">
        <is>
          <t>北海道食美樂</t>
        </is>
      </c>
      <c r="C44" s="209" t="n"/>
      <c r="D44" s="209" t="n"/>
      <c r="E44" s="209" t="n"/>
      <c r="F44" s="209" t="n"/>
      <c r="G44" s="209" t="n"/>
      <c r="H44" s="209" t="n"/>
      <c r="I44" s="209" t="n"/>
      <c r="J44" s="209" t="n"/>
    </row>
    <row r="45">
      <c r="A45" s="209" t="inlineStr">
        <is>
          <t>UST</t>
        </is>
      </c>
      <c r="B45" s="209" t="inlineStr">
        <is>
          <t>上田精肉店</t>
        </is>
      </c>
      <c r="C45" s="209" t="n"/>
      <c r="D45" s="209" t="n"/>
      <c r="E45" s="209" t="n"/>
      <c r="F45" s="209" t="n"/>
      <c r="G45" s="209" t="n"/>
      <c r="H45" s="209" t="n"/>
      <c r="I45" s="209" t="n"/>
      <c r="J45" s="209" t="n"/>
    </row>
    <row r="46">
      <c r="A46" s="225" t="inlineStr">
        <is>
          <t>HEF</t>
        </is>
      </c>
      <c r="B46" s="225" t="inlineStr">
        <is>
          <t>北海道エゾシカファクトリー</t>
        </is>
      </c>
      <c r="C46" s="209" t="n"/>
      <c r="D46" s="209" t="n"/>
      <c r="E46" s="209" t="n"/>
      <c r="F46" s="209" t="n"/>
      <c r="G46" s="209" t="n"/>
      <c r="H46" s="209" t="n"/>
      <c r="I46" s="209" t="n"/>
      <c r="J46" s="209" t="n"/>
    </row>
    <row r="47">
      <c r="A47" s="209" t="inlineStr">
        <is>
          <t>SEF</t>
        </is>
      </c>
      <c r="B47" s="209" t="inlineStr">
        <is>
          <t>知床エゾシカファーム</t>
        </is>
      </c>
      <c r="C47" s="209" t="n"/>
      <c r="D47" s="209" t="n"/>
      <c r="E47" s="209" t="n"/>
      <c r="F47" s="209" t="n"/>
      <c r="G47" s="209" t="n"/>
      <c r="H47" s="209" t="n"/>
      <c r="I47" s="209" t="n"/>
      <c r="J47" s="209" t="n"/>
    </row>
    <row r="48">
      <c r="A48" s="225" t="inlineStr">
        <is>
          <t>NRS</t>
        </is>
      </c>
      <c r="B48" s="225" t="inlineStr">
        <is>
          <t>ナチュラルシー</t>
        </is>
      </c>
      <c r="C48" s="209" t="n"/>
      <c r="D48" s="209" t="n"/>
      <c r="E48" s="209" t="n"/>
      <c r="F48" s="209" t="n"/>
      <c r="G48" s="209" t="n"/>
      <c r="H48" s="209" t="n"/>
      <c r="I48" s="209" t="n"/>
      <c r="J48" s="209" t="n"/>
    </row>
    <row r="49">
      <c r="A49" s="209" t="inlineStr">
        <is>
          <t>ESF</t>
        </is>
      </c>
      <c r="B49" s="209" t="inlineStr">
        <is>
          <t>東しゃこたん漁協</t>
        </is>
      </c>
      <c r="C49" s="209" t="n"/>
      <c r="D49" s="209" t="n"/>
      <c r="E49" s="209" t="n"/>
      <c r="F49" s="209" t="n"/>
      <c r="G49" s="209" t="n"/>
      <c r="H49" s="209" t="n"/>
      <c r="I49" s="209" t="n"/>
      <c r="J49" s="209" t="n"/>
    </row>
    <row r="50">
      <c r="A50" s="225" t="inlineStr">
        <is>
          <t>STF</t>
        </is>
      </c>
      <c r="B50" s="225" t="inlineStr">
        <is>
          <t>佐藤水産</t>
        </is>
      </c>
      <c r="C50" s="209" t="n"/>
      <c r="D50" s="209" t="n"/>
      <c r="E50" s="209" t="n"/>
      <c r="F50" s="209" t="n"/>
      <c r="G50" s="209" t="n"/>
      <c r="H50" s="209" t="n"/>
      <c r="I50" s="209" t="n"/>
      <c r="J50" s="209" t="n"/>
    </row>
    <row r="51">
      <c r="A51" s="209" t="inlineStr">
        <is>
          <t>CCL</t>
        </is>
      </c>
      <c r="B51" s="209" t="inlineStr">
        <is>
          <t>コットンクラブ</t>
        </is>
      </c>
      <c r="C51" s="209" t="n"/>
      <c r="D51" s="209" t="n"/>
      <c r="E51" s="209" t="n"/>
      <c r="F51" s="209" t="n"/>
      <c r="G51" s="209" t="n"/>
      <c r="H51" s="209" t="n"/>
      <c r="I51" s="209" t="n"/>
      <c r="J51" s="209" t="n"/>
    </row>
    <row r="52">
      <c r="A52" s="209" t="inlineStr">
        <is>
          <t>YMT</t>
        </is>
      </c>
      <c r="B52" s="209" t="inlineStr">
        <is>
          <t>ヤマト運輸</t>
        </is>
      </c>
      <c r="C52" s="209" t="n"/>
      <c r="D52" s="209" t="n"/>
      <c r="E52" s="209" t="n"/>
      <c r="F52" s="209" t="n"/>
      <c r="G52" s="209" t="n"/>
      <c r="H52" s="209" t="n"/>
      <c r="I52" s="209" t="n"/>
      <c r="J52" s="209" t="n"/>
    </row>
    <row r="53">
      <c r="A53" s="209" t="inlineStr">
        <is>
          <t>BTD</t>
        </is>
      </c>
      <c r="B53" s="209" t="inlineStr">
        <is>
          <t>ベターデイズ</t>
        </is>
      </c>
      <c r="C53" s="209" t="inlineStr">
        <is>
          <t>〒003-0029</t>
        </is>
      </c>
      <c r="D53" s="209" t="inlineStr">
        <is>
          <t>北海道札幌市白石区平和通二丁目北３番３０号</t>
        </is>
      </c>
      <c r="E53" s="209" t="inlineStr">
        <is>
          <t>090-1526-6097</t>
        </is>
      </c>
      <c r="F53" s="209" t="inlineStr">
        <is>
          <t>飯塚 忠志</t>
        </is>
      </c>
      <c r="G53" s="209" t="inlineStr">
        <is>
          <t>月末締翌月末払い</t>
        </is>
      </c>
      <c r="H53" s="209" t="n"/>
      <c r="I53" s="209" t="inlineStr">
        <is>
          <t>社名の｢ベターデイズ(Betterdays)｣には
”より良い明日”や”より良い未来”という想いを込めました。
北海道の産地・生産者と連携して
”より良い食文化”をご提案します！</t>
        </is>
      </c>
      <c r="J53" s="209" t="n"/>
    </row>
    <row r="54">
      <c r="A54" s="209" t="inlineStr">
        <is>
          <t>GYB</t>
        </is>
      </c>
      <c r="B54" s="209" t="inlineStr">
        <is>
          <t>五洋物産</t>
        </is>
      </c>
      <c r="C54" s="209" t="n"/>
      <c r="D54" s="209" t="inlineStr">
        <is>
          <t>北海道札幌市白石区菊水元町6条１－１－３０</t>
        </is>
      </c>
      <c r="E54" s="209" t="inlineStr">
        <is>
          <t>011-595-7288</t>
        </is>
      </c>
      <c r="F54" s="209" t="inlineStr">
        <is>
          <t>吉野</t>
        </is>
      </c>
      <c r="G54" s="209" t="inlineStr">
        <is>
          <t>月末締翌月末払い</t>
        </is>
      </c>
      <c r="H54" s="209" t="n"/>
      <c r="I54" s="209" t="inlineStr">
        <is>
          <t>長年培ってきた知床前浜の魚貝類ファーストのものづくりは、知床の魚貝マイスターが競りにおける目利き力とスタッフによる加工技術によって成しえるものであります。</t>
        </is>
      </c>
      <c r="J54" s="209" t="n"/>
    </row>
    <row r="55">
      <c r="A55" s="209" t="inlineStr">
        <is>
          <t>STK</t>
        </is>
      </c>
      <c r="B55" s="209" t="inlineStr">
        <is>
          <t>知床工房</t>
        </is>
      </c>
      <c r="C55" s="209" t="n"/>
      <c r="D55" s="209" t="inlineStr">
        <is>
          <t>WEBで出てこず</t>
        </is>
      </c>
      <c r="E55" s="209" t="n"/>
      <c r="F55" s="209" t="n"/>
      <c r="G55" s="209" t="n"/>
      <c r="H55" s="209" t="n"/>
      <c r="I55" s="209" t="n"/>
      <c r="J55" s="209" t="n"/>
    </row>
    <row r="56">
      <c r="A56" s="209" t="inlineStr">
        <is>
          <t>AUT</t>
        </is>
      </c>
      <c r="B56" s="209" t="inlineStr">
        <is>
          <t>オーセントホテル小樽</t>
        </is>
      </c>
      <c r="C56" s="209" t="n"/>
      <c r="D56" s="209" t="n"/>
      <c r="E56" s="209" t="n"/>
      <c r="F56" s="209" t="n"/>
      <c r="G56" s="209" t="n"/>
      <c r="H56" s="209" t="n"/>
      <c r="I56" s="209" t="n"/>
      <c r="J56" s="209" t="n"/>
    </row>
    <row r="57">
      <c r="A57" s="209" t="inlineStr">
        <is>
          <t>KTR</t>
        </is>
      </c>
      <c r="B57" s="209" t="inlineStr">
        <is>
          <t>京樽</t>
        </is>
      </c>
      <c r="C57" s="209" t="n"/>
      <c r="D57" s="209" t="n"/>
      <c r="E57" s="209" t="n"/>
      <c r="F57" s="209" t="n"/>
      <c r="G57" s="209" t="n"/>
      <c r="H57" s="209" t="n"/>
      <c r="I57" s="209" t="n"/>
      <c r="J57" s="209" t="n"/>
    </row>
    <row r="58">
      <c r="A58" s="209" t="inlineStr">
        <is>
          <t>OTS</t>
        </is>
      </c>
      <c r="B58" s="209" t="inlineStr">
        <is>
          <t>小樽水産加工業協同組合</t>
        </is>
      </c>
      <c r="C58" s="209" t="n"/>
      <c r="D58" s="209" t="n"/>
      <c r="E58" s="209" t="n"/>
      <c r="F58" s="209" t="n"/>
      <c r="G58" s="209" t="n"/>
      <c r="H58" s="209" t="n"/>
      <c r="I58" s="209" t="n"/>
      <c r="J58" s="209" t="n"/>
    </row>
    <row r="59">
      <c r="A59" s="209" t="inlineStr">
        <is>
          <t>YAS</t>
        </is>
      </c>
      <c r="B59" s="209" t="inlineStr">
        <is>
          <t>湯浅醤油</t>
        </is>
      </c>
      <c r="C59" s="209" t="n"/>
      <c r="D59" s="209" t="n"/>
      <c r="E59" s="209" t="n"/>
      <c r="F59" s="209" t="n"/>
      <c r="G59" s="209" t="n"/>
      <c r="H59" s="209" t="n"/>
      <c r="I59" s="209" t="n"/>
      <c r="J59" s="209" t="n"/>
    </row>
    <row r="60">
      <c r="A60" s="209" t="inlineStr">
        <is>
          <t>FJK</t>
        </is>
      </c>
      <c r="B60" s="209" t="inlineStr">
        <is>
          <t>藤岡 睦夫</t>
        </is>
      </c>
      <c r="C60" s="209" t="n"/>
      <c r="D60" s="209" t="n"/>
      <c r="E60" s="209" t="n"/>
      <c r="F60" s="209" t="n"/>
      <c r="G60" s="209" t="n"/>
      <c r="H60" s="209" t="n"/>
      <c r="I60" s="209" t="n"/>
      <c r="J60" s="209" t="n"/>
    </row>
    <row r="61">
      <c r="A61" s="209" t="inlineStr">
        <is>
          <t>JKS</t>
        </is>
      </c>
      <c r="B61" s="209" t="inlineStr">
        <is>
          <t>直商</t>
        </is>
      </c>
      <c r="C61" s="209" t="n"/>
      <c r="D61" s="209" t="n"/>
      <c r="E61" s="209" t="n"/>
      <c r="F61" s="209" t="n"/>
      <c r="G61" s="209" t="n"/>
      <c r="H61" s="209" t="n"/>
      <c r="I61" s="209" t="n"/>
      <c r="J61" s="209" t="n"/>
    </row>
    <row r="62">
      <c r="A62" s="209" t="inlineStr">
        <is>
          <t>DNB</t>
        </is>
      </c>
      <c r="B62" s="209" t="inlineStr">
        <is>
          <t>DENBA JAPAN</t>
        </is>
      </c>
      <c r="C62" s="209" t="n"/>
      <c r="D62" s="209" t="n"/>
      <c r="E62" s="209" t="n"/>
      <c r="F62" s="209" t="n"/>
      <c r="G62" s="209" t="n"/>
      <c r="H62" s="209" t="n"/>
      <c r="I62" s="209" t="n"/>
      <c r="J62" s="209" t="n"/>
    </row>
    <row r="63">
      <c r="A63" s="209" t="inlineStr">
        <is>
          <t>APK</t>
        </is>
      </c>
      <c r="B63" s="209" t="inlineStr">
        <is>
          <t>あぷかの森</t>
        </is>
      </c>
      <c r="C63" s="209" t="n"/>
      <c r="D63" s="209" t="n"/>
      <c r="E63" s="209" t="n"/>
      <c r="F63" s="209" t="n"/>
      <c r="G63" s="209" t="n"/>
      <c r="H63" s="209" t="n"/>
      <c r="I63" s="209" t="n"/>
      <c r="J63" s="209" t="n"/>
    </row>
    <row r="64">
      <c r="A64" s="209" t="inlineStr">
        <is>
          <t>YUK</t>
        </is>
      </c>
      <c r="B64" s="209" t="inlineStr">
        <is>
          <t>ユック</t>
        </is>
      </c>
      <c r="C64" s="209" t="n"/>
      <c r="D64" s="209" t="inlineStr">
        <is>
          <t>根室市花園町９丁目１０番地</t>
        </is>
      </c>
      <c r="E64" s="209" t="inlineStr">
        <is>
          <t>0153-24-8111</t>
        </is>
      </c>
      <c r="F64" s="209" t="inlineStr">
        <is>
          <t>西尾裕司</t>
        </is>
      </c>
      <c r="G64" s="209" t="inlineStr">
        <is>
          <t>月末締翌月末払い</t>
        </is>
      </c>
      <c r="H64" s="209" t="n"/>
      <c r="I64" s="209" t="n"/>
      <c r="J64" s="209" t="n"/>
    </row>
    <row r="65">
      <c r="A65" s="209" t="inlineStr">
        <is>
          <t>SDH</t>
        </is>
      </c>
      <c r="B65" s="209" t="inlineStr">
        <is>
          <t>ソバージュド函館</t>
        </is>
      </c>
      <c r="C65" s="209" t="n"/>
      <c r="D65" s="209" t="n"/>
      <c r="E65" s="209" t="n"/>
      <c r="F65" s="209" t="n"/>
      <c r="G65" s="209" t="n"/>
      <c r="H65" s="209" t="n"/>
      <c r="I65" s="209" t="n"/>
      <c r="J65" s="209" t="n"/>
    </row>
    <row r="66">
      <c r="A66" s="209" t="inlineStr">
        <is>
          <t>KDK</t>
        </is>
      </c>
      <c r="B66" s="209" t="inlineStr">
        <is>
          <t>狩人の蔵</t>
        </is>
      </c>
      <c r="C66" s="209" t="n"/>
      <c r="D66" s="209" t="n"/>
      <c r="E66" s="209" t="n"/>
      <c r="F66" s="209" t="n"/>
      <c r="G66" s="209" t="n"/>
      <c r="H66" s="209" t="n"/>
      <c r="I66" s="209" t="n"/>
      <c r="J66" s="209" t="n"/>
    </row>
    <row r="67">
      <c r="A67" s="209" t="inlineStr">
        <is>
          <t>KYS</t>
        </is>
      </c>
      <c r="B67" s="209" t="inlineStr">
        <is>
          <t>協栄製茶　壱之庄</t>
        </is>
      </c>
      <c r="C67" s="209" t="n"/>
      <c r="D67" s="209" t="n"/>
      <c r="E67" s="209" t="n"/>
      <c r="F67" s="209" t="n"/>
      <c r="G67" s="209" t="n"/>
      <c r="H67" s="209" t="n"/>
      <c r="I67" s="209" t="n"/>
      <c r="J67" s="209" t="n"/>
    </row>
    <row r="68">
      <c r="A68" s="209" t="inlineStr">
        <is>
          <t>SFD</t>
        </is>
      </c>
      <c r="B68" s="209" t="inlineStr">
        <is>
          <t>エスフーズ</t>
        </is>
      </c>
      <c r="C68" s="209" t="n"/>
      <c r="D68" s="209" t="n"/>
      <c r="E68" s="209" t="n"/>
      <c r="F68" s="209" t="n"/>
      <c r="G68" s="209" t="n"/>
      <c r="H68" s="209" t="n"/>
      <c r="I68" s="209" t="n"/>
      <c r="J68" s="209" t="n"/>
    </row>
    <row r="69">
      <c r="A69" s="209" t="inlineStr">
        <is>
          <t>YMN</t>
        </is>
      </c>
      <c r="B69" s="209" t="inlineStr">
        <is>
          <t>ヤマニ野口水産</t>
        </is>
      </c>
      <c r="C69" s="209" t="n"/>
      <c r="D69" s="209" t="n"/>
      <c r="E69" s="209" t="n"/>
      <c r="F69" s="209" t="n"/>
      <c r="G69" s="209" t="n"/>
      <c r="H69" s="209" t="n"/>
      <c r="I69" s="209" t="n"/>
      <c r="J69" s="209" t="n"/>
    </row>
    <row r="70">
      <c r="A70" s="209" t="inlineStr">
        <is>
          <t>SSK</t>
        </is>
      </c>
      <c r="B70" s="209" t="inlineStr">
        <is>
          <t>佐々木酒造</t>
        </is>
      </c>
      <c r="C70" s="209" t="n"/>
      <c r="D70" s="209" t="n"/>
      <c r="E70" s="209" t="n"/>
      <c r="F70" s="209" t="n"/>
      <c r="G70" s="209" t="n"/>
      <c r="H70" s="209" t="n"/>
      <c r="I70" s="209" t="n"/>
      <c r="J70" s="209" t="n"/>
    </row>
    <row r="71">
      <c r="A71" s="209" t="inlineStr">
        <is>
          <t>HMR</t>
        </is>
      </c>
      <c r="B71" s="209" t="inlineStr">
        <is>
          <t>ほまれ酒造</t>
        </is>
      </c>
      <c r="C71" s="209" t="n"/>
      <c r="D71" s="209" t="n"/>
      <c r="E71" s="209" t="n"/>
      <c r="F71" s="209" t="n"/>
      <c r="G71" s="209" t="n"/>
      <c r="H71" s="209" t="n"/>
      <c r="I71" s="209" t="n"/>
      <c r="J71" s="209" t="n"/>
    </row>
    <row r="72">
      <c r="A72" s="209" t="inlineStr">
        <is>
          <t>YMG</t>
        </is>
      </c>
      <c r="B72" s="209" t="inlineStr">
        <is>
          <t>大和川酒造</t>
        </is>
      </c>
      <c r="C72" s="209" t="n"/>
      <c r="D72" s="209" t="n"/>
      <c r="E72" s="209" t="n"/>
      <c r="F72" s="209" t="n"/>
      <c r="G72" s="209" t="n"/>
      <c r="H72" s="209" t="n"/>
      <c r="I72" s="209" t="n"/>
      <c r="J72" s="209" t="n"/>
    </row>
    <row r="73">
      <c r="A73" s="209" t="inlineStr">
        <is>
          <t>EIS</t>
        </is>
      </c>
      <c r="B73" s="209" t="inlineStr">
        <is>
          <t>榮川酒造</t>
        </is>
      </c>
      <c r="C73" s="209" t="n"/>
      <c r="D73" s="209" t="n"/>
      <c r="E73" s="209" t="n"/>
      <c r="F73" s="209" t="n"/>
      <c r="G73" s="209" t="n"/>
      <c r="H73" s="209" t="n"/>
      <c r="I73" s="209" t="n"/>
      <c r="J73" s="209" t="n"/>
    </row>
    <row r="74">
      <c r="A74" s="209" t="inlineStr">
        <is>
          <t>NGY</t>
        </is>
      </c>
      <c r="B74" s="209" t="inlineStr">
        <is>
          <t>名倉山酒造</t>
        </is>
      </c>
      <c r="C74" s="209" t="n"/>
      <c r="D74" s="209" t="n"/>
      <c r="E74" s="209" t="n"/>
      <c r="F74" s="209" t="n"/>
      <c r="G74" s="209" t="n"/>
      <c r="H74" s="209" t="n"/>
      <c r="I74" s="209" t="n"/>
      <c r="J74" s="209" t="n"/>
    </row>
    <row r="75">
      <c r="A75" s="209" t="inlineStr">
        <is>
          <t>KND</t>
        </is>
      </c>
      <c r="B75" s="209" t="inlineStr">
        <is>
          <t>近藤酒造</t>
        </is>
      </c>
      <c r="C75" s="209" t="n"/>
      <c r="D75" s="209" t="n"/>
      <c r="E75" s="209" t="n"/>
      <c r="F75" s="209" t="n"/>
      <c r="G75" s="209" t="n"/>
      <c r="H75" s="209" t="n"/>
      <c r="I75" s="209" t="n"/>
      <c r="J75" s="209" t="n"/>
    </row>
    <row r="76">
      <c r="A76" s="209" t="inlineStr">
        <is>
          <t>UMG</t>
        </is>
      </c>
      <c r="B76" s="209" t="inlineStr">
        <is>
          <t>梅ヶ枝酒造</t>
        </is>
      </c>
      <c r="C76" s="209" t="n"/>
      <c r="D76" s="209" t="n"/>
      <c r="E76" s="209" t="n"/>
      <c r="F76" s="209" t="n"/>
      <c r="G76" s="209" t="n"/>
      <c r="H76" s="209" t="n"/>
      <c r="I76" s="209" t="n"/>
      <c r="J76" s="209" t="n"/>
    </row>
    <row r="77">
      <c r="A77" s="209" t="inlineStr">
        <is>
          <t>INM</t>
        </is>
      </c>
      <c r="B77" s="209" t="inlineStr">
        <is>
          <t>稲見酒造</t>
        </is>
      </c>
      <c r="C77" s="209" t="n"/>
      <c r="D77" s="209" t="n"/>
      <c r="E77" s="209" t="n"/>
      <c r="F77" s="209" t="n"/>
      <c r="G77" s="209" t="n"/>
      <c r="H77" s="209" t="n"/>
      <c r="I77" s="209" t="n"/>
      <c r="J77" s="209" t="n"/>
    </row>
    <row r="78">
      <c r="A78" s="209" t="inlineStr">
        <is>
          <t>OBM</t>
        </is>
      </c>
      <c r="B78" s="209" t="inlineStr">
        <is>
          <t>小浜酒造</t>
        </is>
      </c>
      <c r="C78" s="209" t="n"/>
      <c r="D78" s="209" t="n"/>
      <c r="E78" s="209" t="n"/>
      <c r="F78" s="209" t="n"/>
      <c r="G78" s="209" t="n"/>
      <c r="H78" s="209" t="n"/>
      <c r="I78" s="209" t="n"/>
      <c r="J78" s="209" t="n"/>
    </row>
    <row r="79">
      <c r="A79" s="209" t="inlineStr">
        <is>
          <t>NBC</t>
        </is>
      </c>
      <c r="B79" s="209" t="inlineStr">
        <is>
          <t>中野BC</t>
        </is>
      </c>
      <c r="C79" s="209" t="n"/>
      <c r="D79" s="209" t="n"/>
      <c r="E79" s="209" t="n"/>
      <c r="F79" s="209" t="n"/>
      <c r="G79" s="209" t="n"/>
      <c r="H79" s="209" t="n"/>
      <c r="I79" s="209" t="n"/>
      <c r="J79" s="209" t="n"/>
    </row>
    <row r="80">
      <c r="A80" s="209" t="inlineStr">
        <is>
          <t>KBR</t>
        </is>
      </c>
      <c r="B80" s="209" t="inlineStr">
        <is>
          <t>小堀酒造店</t>
        </is>
      </c>
      <c r="C80" s="209" t="n"/>
      <c r="D80" s="209" t="n"/>
      <c r="E80" s="209" t="n"/>
      <c r="F80" s="209" t="n"/>
      <c r="G80" s="209" t="n"/>
      <c r="H80" s="209" t="n"/>
      <c r="I80" s="209" t="n"/>
      <c r="J80" s="209" t="n"/>
    </row>
    <row r="81">
      <c r="A81" s="209" t="inlineStr">
        <is>
          <t>WKT</t>
        </is>
      </c>
      <c r="B81" s="209" t="inlineStr">
        <is>
          <t>若鶴酒造株式会社</t>
        </is>
      </c>
      <c r="C81" s="209" t="n"/>
      <c r="D81" s="209" t="n"/>
      <c r="E81" s="209" t="n"/>
      <c r="F81" s="209" t="n"/>
      <c r="G81" s="209" t="n"/>
      <c r="H81" s="209" t="n"/>
      <c r="I81" s="209" t="n"/>
      <c r="J81" s="209" t="n"/>
    </row>
    <row r="82">
      <c r="A82" s="209" t="inlineStr">
        <is>
          <t>BND</t>
        </is>
      </c>
      <c r="B82" s="209" t="inlineStr">
        <is>
          <t>ボンド商会</t>
        </is>
      </c>
      <c r="C82" s="209" t="n"/>
      <c r="D82" s="209" t="n"/>
      <c r="E82" s="209" t="n"/>
      <c r="F82" s="209" t="n"/>
      <c r="G82" s="209" t="n"/>
      <c r="H82" s="209" t="n"/>
      <c r="I82" s="209" t="n"/>
      <c r="J82" s="209" t="n"/>
    </row>
    <row r="83">
      <c r="A83" s="209" t="inlineStr">
        <is>
          <t>KNT</t>
        </is>
      </c>
      <c r="B83" s="209" t="inlineStr">
        <is>
          <t>紀の司酒造</t>
        </is>
      </c>
      <c r="C83" s="209" t="n"/>
      <c r="D83" s="209" t="n"/>
      <c r="E83" s="209" t="n"/>
      <c r="F83" s="209" t="n"/>
      <c r="G83" s="209" t="n"/>
      <c r="H83" s="209" t="n"/>
      <c r="I83" s="209" t="n"/>
      <c r="J83" s="209" t="n"/>
    </row>
    <row r="84">
      <c r="A84" s="209" t="inlineStr">
        <is>
          <t>SMK</t>
        </is>
      </c>
      <c r="B84" s="171" t="inlineStr">
        <is>
          <t>サンマルコ食品（株）</t>
        </is>
      </c>
      <c r="C84" s="209" t="inlineStr">
        <is>
          <t>〒542-0061</t>
        </is>
      </c>
      <c r="D84" s="209" t="inlineStr">
        <is>
          <t>大阪市中央区安堂寺町２－１－１０　第１７松屋ビル9階</t>
        </is>
      </c>
      <c r="E84" s="209" t="inlineStr">
        <is>
          <t>06-7711-3050</t>
        </is>
      </c>
      <c r="F84" s="209" t="inlineStr">
        <is>
          <t>山本</t>
        </is>
      </c>
      <c r="G84" s="209" t="n"/>
      <c r="H84" s="209" t="n"/>
      <c r="I84" s="209" t="inlineStr">
        <is>
          <t>サンマルコは「これ以上ない」に心からこだわり、
「北海道からもっとおいしく健康に」を掲げ、
胸を張って紹介できる商品をお届けします。</t>
        </is>
      </c>
      <c r="J84" s="209" t="n"/>
    </row>
    <row r="85">
      <c r="A85" s="209" t="inlineStr">
        <is>
          <t>OUJ</t>
        </is>
      </c>
      <c r="B85" s="171" t="inlineStr">
        <is>
          <t>王子サーモン（株）</t>
        </is>
      </c>
      <c r="C85" s="209" t="inlineStr">
        <is>
          <t>〒143-0013</t>
        </is>
      </c>
      <c r="D85" s="209" t="inlineStr">
        <is>
          <t>東京都大田区大森南１－１６－２０</t>
        </is>
      </c>
      <c r="E85" s="209" t="inlineStr">
        <is>
          <t>03-6423-2963</t>
        </is>
      </c>
      <c r="F85" s="209" t="inlineStr">
        <is>
          <t>武山</t>
        </is>
      </c>
      <c r="G85" s="209" t="n"/>
      <c r="H85" s="209" t="n"/>
      <c r="I85" s="209" t="inlineStr">
        <is>
          <t>私たちのスモークサーモンの美味しさの秘訣は、手間ひまかけた、長時間の燻煙にあります。
燻煙に使うチップは、その魚種に最適なものを選び、旨味や風味を最大限引き出すために研究を重ねました。
こだわりの素材を使い、しっかりと燻煙をかけ、可能な限り手作業で丁寧に加工するため、表面に上質なスモークスキンが出来上がります。
王子サーモンの歴史が生み出したこの飴色に光るスモークスキンが、私たちが自信を持ってお届けするスモークサーモンの美味しさの秘訣です。</t>
        </is>
      </c>
      <c r="J85" s="209" t="n"/>
    </row>
    <row r="86">
      <c r="A86" s="209" t="inlineStr">
        <is>
          <t>TSF</t>
        </is>
      </c>
      <c r="B86" s="171" t="inlineStr">
        <is>
          <t>(有)十勝しんむら牧場</t>
        </is>
      </c>
      <c r="C86" s="209" t="inlineStr">
        <is>
          <t>〒080-1407</t>
        </is>
      </c>
      <c r="D86" s="209" t="inlineStr">
        <is>
          <t>北海道河東郡上士幌町字上音更西１－２６１</t>
        </is>
      </c>
      <c r="E86" s="209" t="inlineStr">
        <is>
          <t>01564-2-3923</t>
        </is>
      </c>
      <c r="F86" s="209" t="inlineStr">
        <is>
          <t>新村浩隆</t>
        </is>
      </c>
      <c r="G86" s="209" t="inlineStr">
        <is>
          <t>月末締翌月末払い</t>
        </is>
      </c>
      <c r="H86" s="209" t="n"/>
      <c r="I86" s="209" t="n"/>
      <c r="J86" s="209" t="n"/>
    </row>
    <row r="87">
      <c r="A87" s="209" t="inlineStr">
        <is>
          <t>KGS</t>
        </is>
      </c>
      <c r="B87" s="171" t="inlineStr">
        <is>
          <t>川口水産株式会社</t>
        </is>
      </c>
      <c r="C87" s="209" t="n"/>
      <c r="D87" s="209" t="inlineStr">
        <is>
          <t>和歌山県有田市宮原町滝川原 212</t>
        </is>
      </c>
      <c r="E87" s="209" t="inlineStr">
        <is>
          <t>0737-88-5118</t>
        </is>
      </c>
      <c r="F87" s="209" t="n"/>
      <c r="G87" s="209" t="n"/>
      <c r="H87" s="209" t="n"/>
      <c r="I87" s="209" t="n"/>
      <c r="J87" s="209" t="n"/>
    </row>
    <row r="88">
      <c r="A88" s="209" t="inlineStr">
        <is>
          <t>FJT</t>
        </is>
      </c>
      <c r="B88" s="209" t="inlineStr">
        <is>
          <t>株式会社フジタコーポレーション</t>
        </is>
      </c>
      <c r="C88" s="209" t="inlineStr">
        <is>
          <t>〒048-0125</t>
        </is>
      </c>
      <c r="D88" s="209" t="inlineStr">
        <is>
          <t>北海道寿都郡黒松内町字目名１５２番地４</t>
        </is>
      </c>
      <c r="E88" s="209" t="inlineStr">
        <is>
          <t>0136-72-4416</t>
        </is>
      </c>
      <c r="F88" s="209" t="inlineStr">
        <is>
          <t>熊谷　一功</t>
        </is>
      </c>
      <c r="G88" s="209" t="inlineStr">
        <is>
          <t>月末締翌月末払い</t>
        </is>
      </c>
      <c r="H88" s="209" t="n"/>
      <c r="I88" s="209" t="n"/>
      <c r="J88" s="209" t="n"/>
    </row>
    <row r="89">
      <c r="A89" s="209" t="inlineStr">
        <is>
          <t>AKS</t>
        </is>
      </c>
      <c r="B89" s="171" t="inlineStr">
        <is>
          <t>（株）旭川食品</t>
        </is>
      </c>
      <c r="C89" s="209" t="n"/>
      <c r="D89" s="209" t="inlineStr">
        <is>
          <t>旭川市工業団地５条３－７９８－１３</t>
        </is>
      </c>
      <c r="E89" s="209" t="inlineStr">
        <is>
          <t>0166-36-7700</t>
        </is>
      </c>
      <c r="F89" s="209" t="inlineStr">
        <is>
          <t>谷口威裕</t>
        </is>
      </c>
      <c r="G89" s="209" t="inlineStr">
        <is>
          <t>月末締め翌月末払い</t>
        </is>
      </c>
      <c r="H89" s="209" t="n"/>
      <c r="I89" s="209" t="inlineStr">
        <is>
          <t>旭川食品は北海道のど真ん中、大雪山のふもとで育った健康な黒豆を使ってふっくら美味しいお豆のスイーツを作り続けてきました。
地元食材にこだわり、お豆は近隣の契約農家さんから厳選したものを使用しています。
食材はすべて北海道産のもので まかなっていますので、新鮮で安心ですよ。
黒豆には豊富な栄養が凝縮されておりますが、カロリーは低く、健康の元がいっぱい詰まっています。黒豆の効能は様々ですが、そんなお豆を使って皆さまに「美味しい」って言っていただけるお菓子を真心込めて作っています。</t>
        </is>
      </c>
      <c r="J89" s="209" t="n"/>
    </row>
    <row r="90">
      <c r="A90" s="209" t="inlineStr">
        <is>
          <t>MIO</t>
        </is>
      </c>
      <c r="B90" s="171" t="inlineStr">
        <is>
          <t>丸一大西食品（ベル食品）</t>
        </is>
      </c>
      <c r="C90" s="209" t="inlineStr">
        <is>
          <t>〒063-0802</t>
        </is>
      </c>
      <c r="D90" s="209" t="inlineStr">
        <is>
          <t>札幌市西区二十四軒2条2丁目2番2号</t>
        </is>
      </c>
      <c r="E90" s="209" t="inlineStr">
        <is>
          <t>011-641-8180</t>
        </is>
      </c>
      <c r="F90" s="209" t="n"/>
      <c r="G90" s="209" t="inlineStr">
        <is>
          <t>月末締め翌月末払い</t>
        </is>
      </c>
      <c r="H90" s="209" t="n"/>
      <c r="I90" s="209" t="inlineStr">
        <is>
          <t>北海道とともに歩んで、創業７５年。調味料で培った技術を生かし、北海道の食材を気軽に味わえるレトルト食品や、北海道の新鮮な原料にこだわったスイーツやスプレッドの販売。「北海道のソウルフードメイカー」北海道の安全・安心で、美味しい食品作りに取り組み続ける。</t>
        </is>
      </c>
      <c r="J90" s="209" t="n"/>
    </row>
    <row r="91">
      <c r="A91" s="209" t="inlineStr">
        <is>
          <t>MTS</t>
        </is>
      </c>
      <c r="B91" s="167" t="inlineStr">
        <is>
          <t>有限会社水戸青果</t>
        </is>
      </c>
      <c r="C91" s="209" t="inlineStr">
        <is>
          <t>〒060-0008</t>
        </is>
      </c>
      <c r="D91" s="209" t="inlineStr">
        <is>
          <t>北海道札幌市中央区北8条西19丁目35−69</t>
        </is>
      </c>
      <c r="E91" s="209" t="inlineStr">
        <is>
          <t>011-213-9625</t>
        </is>
      </c>
      <c r="F91" s="209" t="n"/>
      <c r="G91" s="209" t="n"/>
      <c r="H91" s="209" t="n"/>
      <c r="I91" s="209" t="n"/>
      <c r="J91" s="209" t="n"/>
    </row>
    <row r="92">
      <c r="A92" t="inlineStr">
        <is>
          <t>KBY</t>
        </is>
      </c>
      <c r="B92" s="206" t="inlineStr">
        <is>
          <t>有限会社小林食品</t>
        </is>
      </c>
    </row>
  </sheetData>
  <conditionalFormatting sqref="A1:A1048576">
    <cfRule type="duplicateValues" priority="2" dxfId="0"/>
  </conditionalFormatting>
  <conditionalFormatting sqref="B2:B83 B89:B90 B92:B139">
    <cfRule type="duplicateValues" priority="9" dxfId="0"/>
  </conditionalFormatting>
  <dataValidations count="2">
    <dataValidation sqref="B38" showDropDown="0" showInputMessage="1" showErrorMessage="1" allowBlank="1" type="list">
      <formula1>$B$2:$B$139</formula1>
    </dataValidation>
    <dataValidation sqref="B91" showDropDown="0" showInputMessage="1" showErrorMessage="1" allowBlank="1" type="list">
      <formula1>$B:$B</formula1>
    </dataValidation>
  </dataValidations>
  <pageMargins left="0.75" right="0.75" top="1" bottom="1" header="0.5" footer="0.5"/>
  <pageSetup orientation="portrait" paperSize="9"/>
  <tableParts count="1">
    <tablePart xmlns:r="http://schemas.openxmlformats.org/officeDocument/2006/relationships" r:id="rId1"/>
  </tableParts>
</worksheet>
</file>

<file path=xl/worksheets/sheet2.xml><?xml version="1.0" encoding="utf-8"?>
<worksheet xmlns="http://schemas.openxmlformats.org/spreadsheetml/2006/main">
  <sheetPr codeName="Sheet4">
    <tabColor rgb="FFFF0000"/>
    <outlinePr summaryBelow="1" summaryRight="1"/>
    <pageSetUpPr fitToPage="1"/>
  </sheetPr>
  <dimension ref="A1:AG1128"/>
  <sheetViews>
    <sheetView topLeftCell="A626" workbookViewId="0">
      <selection activeCell="D632" sqref="D632"/>
    </sheetView>
  </sheetViews>
  <sheetFormatPr baseColWidth="8" defaultRowHeight="15.75" customHeight="1"/>
  <cols>
    <col width="12.69921875" customWidth="1" style="207" min="1" max="2"/>
    <col width="26.19921875" customWidth="1" style="207" min="3" max="4"/>
    <col width="57.69921875" customWidth="1" style="207" min="5" max="5"/>
    <col width="12.19921875" customWidth="1" style="207" min="6" max="6"/>
    <col width="17.8984375" customWidth="1" style="207" min="7" max="7"/>
    <col width="12.19921875" customWidth="1" style="207" min="8" max="8"/>
    <col width="29.69921875" customWidth="1" style="207" min="9" max="9"/>
    <col width="14.69921875" bestFit="1" customWidth="1" style="207" min="10" max="10"/>
    <col width="7.69921875" customWidth="1" style="207" min="11" max="11"/>
    <col width="12" customWidth="1" style="207" min="12" max="18"/>
    <col width="12.19921875" customWidth="1" style="207" min="19" max="19"/>
    <col width="11" customWidth="1" style="207" min="20" max="20"/>
    <col width="10.69921875" customWidth="1" style="207" min="21" max="21"/>
    <col width="10.19921875" customWidth="1" style="207" min="22" max="22"/>
    <col width="9.5" customWidth="1" style="207" min="23" max="23"/>
    <col width="8.59765625" customWidth="1" style="207" min="24" max="24"/>
    <col width="11.09765625" customWidth="1" style="207" min="25" max="26"/>
    <col width="9.59765625" customWidth="1" style="207" min="27" max="27"/>
    <col width="10.69921875" customWidth="1" style="207" min="28" max="28"/>
    <col width="15.8984375" customWidth="1" style="207" min="29" max="29"/>
    <col width="15.69921875" bestFit="1" customWidth="1" style="207" min="30" max="30"/>
    <col width="15.5" customWidth="1" style="207" min="31" max="31"/>
    <col width="14.19921875" bestFit="1" customWidth="1" style="207" min="32" max="32"/>
    <col width="87" bestFit="1" customWidth="1" style="207" min="33" max="33"/>
    <col width="10.5" customWidth="1" style="207" min="34" max="41"/>
    <col width="79.19921875" customWidth="1" style="207" min="42" max="42"/>
  </cols>
  <sheetData>
    <row r="1" ht="18.75" customFormat="1" customHeight="1" s="35">
      <c r="A1" s="127" t="inlineStr">
        <is>
          <t>※灰色セルは自動入力</t>
        </is>
      </c>
      <c r="H1" s="127" t="n"/>
      <c r="I1" s="127" t="n"/>
      <c r="R1" s="270" t="n"/>
      <c r="AG1" s="52" t="n"/>
    </row>
    <row r="2" ht="30.75" customHeight="1" s="207">
      <c r="A2" s="128" t="inlineStr">
        <is>
          <t>大分類</t>
        </is>
      </c>
      <c r="B2" s="129" t="inlineStr">
        <is>
          <t>小分類</t>
        </is>
      </c>
      <c r="C2" s="129" t="inlineStr">
        <is>
          <t>仕入先</t>
        </is>
      </c>
      <c r="D2" s="129" t="inlineStr">
        <is>
          <t>商品連番</t>
        </is>
      </c>
      <c r="E2" s="129" t="inlineStr">
        <is>
          <t>商品名</t>
        </is>
      </c>
      <c r="F2" s="129" t="inlineStr">
        <is>
          <t>初出フラグ</t>
        </is>
      </c>
      <c r="G2" s="129" t="inlineStr">
        <is>
          <t>シリアル</t>
        </is>
      </c>
      <c r="H2" s="129" t="inlineStr">
        <is>
          <t>単位</t>
        </is>
      </c>
      <c r="I2" s="129" t="inlineStr">
        <is>
          <t>容量</t>
        </is>
      </c>
      <c r="J2" s="129" t="inlineStr">
        <is>
          <t>発注ロット</t>
        </is>
      </c>
      <c r="K2" s="129" t="inlineStr">
        <is>
          <t>荷姿</t>
        </is>
      </c>
      <c r="L2" s="130" t="inlineStr">
        <is>
          <t>仕入
単価</t>
        </is>
      </c>
      <c r="M2" s="130" t="inlineStr">
        <is>
          <t>仕入価格更新日</t>
        </is>
      </c>
      <c r="N2" s="130" t="inlineStr">
        <is>
          <t>参考上代
（税込)</t>
        </is>
      </c>
      <c r="O2" s="130" t="inlineStr">
        <is>
          <t>販売先利益率
（上代加味）</t>
        </is>
      </c>
      <c r="P2" s="130" t="inlineStr">
        <is>
          <t>標準国内送料率</t>
        </is>
      </c>
      <c r="Q2" s="130" t="inlineStr">
        <is>
          <t>標準国内送料</t>
        </is>
      </c>
      <c r="R2" s="130" t="inlineStr">
        <is>
          <t>実績
国内送料</t>
        </is>
      </c>
      <c r="S2" s="130" t="inlineStr">
        <is>
          <t>国内送料</t>
        </is>
      </c>
      <c r="T2" s="130" t="inlineStr">
        <is>
          <t>仕入単価+国内送料</t>
        </is>
      </c>
      <c r="U2" s="181" t="inlineStr">
        <is>
          <t>海外定価
（20％）</t>
        </is>
      </c>
      <c r="V2" s="130" t="inlineStr">
        <is>
          <t>海外定価
粗利</t>
        </is>
      </c>
      <c r="W2" s="130" t="inlineStr">
        <is>
          <t>国内定価
（15％）</t>
        </is>
      </c>
      <c r="X2" s="130" t="inlineStr">
        <is>
          <t>国内定価
粗利</t>
        </is>
      </c>
      <c r="Y2" s="129" t="inlineStr">
        <is>
          <t>税率</t>
        </is>
      </c>
      <c r="Z2" s="129" t="inlineStr">
        <is>
          <t>賞味期限</t>
        </is>
      </c>
      <c r="AA2" s="129" t="inlineStr">
        <is>
          <t>温度帯</t>
        </is>
      </c>
      <c r="AB2" s="129" t="inlineStr">
        <is>
          <t>発注リードタイム</t>
        </is>
      </c>
      <c r="AC2" s="129" t="inlineStr">
        <is>
          <t>JANコード</t>
        </is>
      </c>
      <c r="AD2" s="129" t="inlineStr">
        <is>
          <t>商品特徴</t>
        </is>
      </c>
      <c r="AE2" s="129" t="inlineStr">
        <is>
          <t>画像名</t>
        </is>
      </c>
      <c r="AF2" s="130" t="inlineStr">
        <is>
          <t>EEZO
掲載可否</t>
        </is>
      </c>
      <c r="AG2" s="131" t="inlineStr">
        <is>
          <t>申し送り事項
在庫、支払い条件、税率、送料条件など</t>
        </is>
      </c>
    </row>
    <row r="3" ht="18" customHeight="1" s="207">
      <c r="A3" s="166" t="inlineStr">
        <is>
          <t>その他</t>
        </is>
      </c>
      <c r="B3" s="167" t="inlineStr">
        <is>
          <t>調味料</t>
        </is>
      </c>
      <c r="C3" s="167" t="inlineStr">
        <is>
          <t>北見ハッカ通商</t>
        </is>
      </c>
      <c r="D3" s="132">
        <f>"PRD_SNJ_"&amp;
_xlfn.XLOOKUP(商品マスタ[[#This Row],[仕入先]],テーブル1[仕入先名],テーブル1[仕入先コード],"XXX",0,1)&amp;
"_"&amp;
商品マスタ[[#This Row],[シリアル]]&amp;
"_"&amp;
TEXT(COUNTIFS(商品マスタ!$C$3:C3,商品マスタ[[#This Row],[仕入先]],商品マスタ!$E$3:E3,商品マスタ[[#This Row],[商品名]]), "00")</f>
        <v/>
      </c>
      <c r="E3" s="167" t="inlineStr">
        <is>
          <t>ハッカ油スプレー</t>
        </is>
      </c>
      <c r="F3" s="167">
        <f>IF(COUNTIFS($C$3:C3,商品マスタ[[#This Row],[仕入先]],$E$3:E3,商品マスタ[[#This Row],[商品名]]) = 1, 1,0)</f>
        <v/>
      </c>
      <c r="G3" s="133">
        <f>TEXT(SUMIF($C$3:C3,商品マスタ[[#This Row],[仕入先]],$F$3:F3), "0000")</f>
        <v/>
      </c>
      <c r="H3" s="167" t="inlineStr">
        <is>
          <t>本</t>
        </is>
      </c>
      <c r="I3" s="167" t="inlineStr">
        <is>
          <t>11.5ml</t>
        </is>
      </c>
      <c r="J3" s="167" t="n">
        <v>100</v>
      </c>
      <c r="K3" s="167" t="n"/>
      <c r="L3" s="289" t="n">
        <v>715</v>
      </c>
      <c r="M3" s="157" t="n">
        <v>45950</v>
      </c>
      <c r="N3" s="289" t="n">
        <v>1188</v>
      </c>
      <c r="O3" s="290">
        <f>IF(COUNT(商品マスタ[[#This Row],[参考上代
（税込)]]) &gt; 0, (商品マスタ[[#This Row],[参考上代
（税込)]]-商品マスタ[[#This Row],[国内定価
（15％）]])/(商品マスタ[[#This Row],[参考上代
（税込)]]/1.08), "")</f>
        <v/>
      </c>
      <c r="P3" s="136" t="n">
        <v>0.1</v>
      </c>
      <c r="Q3" s="291">
        <f>商品マスタ[[#This Row],[仕入
単価]]*商品マスタ[[#This Row],[標準国内送料率]]</f>
        <v/>
      </c>
      <c r="R3" s="289" t="n"/>
      <c r="S3" s="289">
        <f>IF(ISBLANK(商品マスタ[[#This Row],[実績
国内送料]]),商品マスタ[[#This Row],[標準国内送料]],)</f>
        <v/>
      </c>
      <c r="T3" s="289">
        <f>商品マスタ[[#This Row],[仕入
単価]]+商品マスタ[[#This Row],[国内送料]]</f>
        <v/>
      </c>
      <c r="U3" s="289">
        <f>ROUNDUP(商品マスタ[[#This Row],[仕入単価+国内送料]]/0.8,-1)</f>
        <v/>
      </c>
      <c r="V3" s="289">
        <f>商品マスタ[[#This Row],[海外定価
（20％）]]-商品マスタ[[#This Row],[仕入単価+国内送料]]</f>
        <v/>
      </c>
      <c r="W3" s="167">
        <f>ROUNDUP(商品マスタ[[#This Row],[仕入単価+国内送料]]/0.85,-1)</f>
        <v/>
      </c>
      <c r="X3" s="292">
        <f>商品マスタ[[#This Row],[国内定価
（15％）]]-商品マスタ[[#This Row],[仕入単価+国内送料]]</f>
        <v/>
      </c>
      <c r="Y3" s="139" t="n">
        <v>0.08</v>
      </c>
      <c r="Z3" s="167" t="inlineStr">
        <is>
          <t>3年</t>
        </is>
      </c>
      <c r="AA3" s="167" t="inlineStr">
        <is>
          <t>常温</t>
        </is>
      </c>
      <c r="AB3" s="167" t="inlineStr">
        <is>
          <t>7日</t>
        </is>
      </c>
      <c r="AC3" s="293" t="n">
        <v>4985146001639</v>
      </c>
      <c r="AD3" s="167" t="inlineStr">
        <is>
          <t>北のかおり ハッカ油、人気のスプレータイプです。天然ミントの瓶詰です。安心の食品無添加です。</t>
        </is>
      </c>
      <c r="AE3" s="167" t="n"/>
      <c r="AF3" s="167" t="inlineStr">
        <is>
          <t>〇</t>
        </is>
      </c>
      <c r="AG3" s="144" t="inlineStr">
        <is>
          <t>前金。振込後発送。ハッカ油は軽減税率8％対象。販売の際は「定価厳守」契約書交わし済み</t>
        </is>
      </c>
    </row>
    <row r="4" ht="18" customHeight="1" s="207">
      <c r="A4" s="166" t="inlineStr">
        <is>
          <t>その他</t>
        </is>
      </c>
      <c r="B4" s="167" t="inlineStr">
        <is>
          <t>調味料</t>
        </is>
      </c>
      <c r="C4" s="167" t="inlineStr">
        <is>
          <t>北見ハッカ通商</t>
        </is>
      </c>
      <c r="D4" s="143">
        <f>"PRD_SNJ_"&amp;
_xlfn.XLOOKUP(商品マスタ[[#This Row],[仕入先]],テーブル1[仕入先名],テーブル1[仕入先コード],"XXX",0,1)&amp;
"_"&amp;
商品マスタ[[#This Row],[シリアル]]&amp;
"_"&amp;
TEXT(COUNTIFS(商品マスタ!$C$3:C4,商品マスタ[[#This Row],[仕入先]],商品マスタ!$E$3:E4,商品マスタ[[#This Row],[商品名]]), "00")</f>
        <v/>
      </c>
      <c r="E4" s="167" t="inlineStr">
        <is>
          <t>ハッカ油スプレーR</t>
        </is>
      </c>
      <c r="F4" s="167">
        <f>IF(COUNTIFS($C$3:C4,商品マスタ[[#This Row],[仕入先]],$E$3:E4,商品マスタ[[#This Row],[商品名]]) = 1, 1,0)</f>
        <v/>
      </c>
      <c r="G4" s="133">
        <f>TEXT(SUMIF($C$3:C4,商品マスタ[[#This Row],[仕入先]],$F$3:F4), "0000")</f>
        <v/>
      </c>
      <c r="H4" s="167" t="inlineStr">
        <is>
          <t>本</t>
        </is>
      </c>
      <c r="I4" s="167" t="inlineStr">
        <is>
          <t>10ml</t>
        </is>
      </c>
      <c r="J4" s="167" t="n">
        <v>100</v>
      </c>
      <c r="K4" s="167" t="n"/>
      <c r="L4" s="289" t="n">
        <v>650</v>
      </c>
      <c r="M4" s="157" t="n">
        <v>45950</v>
      </c>
      <c r="N4" s="289" t="n">
        <v>1080</v>
      </c>
      <c r="O4" s="290">
        <f>IF(COUNT(商品マスタ[[#This Row],[参考上代
（税込)]]) &gt; 0, (商品マスタ[[#This Row],[参考上代
（税込)]]-商品マスタ[[#This Row],[国内定価
（15％）]])/(商品マスタ[[#This Row],[参考上代
（税込)]]/1.08), "")</f>
        <v/>
      </c>
      <c r="P4" s="136" t="n">
        <v>0.1</v>
      </c>
      <c r="Q4" s="291">
        <f>商品マスタ[[#This Row],[仕入
単価]]*商品マスタ[[#This Row],[標準国内送料率]]</f>
        <v/>
      </c>
      <c r="R4" s="289" t="n"/>
      <c r="S4" s="289">
        <f>IF(ISBLANK(商品マスタ[[#This Row],[実績
国内送料]]),商品マスタ[[#This Row],[標準国内送料]],)</f>
        <v/>
      </c>
      <c r="T4" s="289">
        <f>商品マスタ[[#This Row],[仕入
単価]]+商品マスタ[[#This Row],[国内送料]]</f>
        <v/>
      </c>
      <c r="U4" s="289">
        <f>ROUNDUP(商品マスタ[[#This Row],[仕入単価+国内送料]]/0.8,-1)</f>
        <v/>
      </c>
      <c r="V4" s="289">
        <f>商品マスタ[[#This Row],[海外定価
（20％）]]-商品マスタ[[#This Row],[仕入単価+国内送料]]</f>
        <v/>
      </c>
      <c r="W4" s="167">
        <f>ROUNDUP(商品マスタ[[#This Row],[仕入単価+国内送料]]/0.85,-1)</f>
        <v/>
      </c>
      <c r="X4" s="289">
        <f>商品マスタ[[#This Row],[国内定価
（15％）]]-商品マスタ[[#This Row],[仕入単価+国内送料]]</f>
        <v/>
      </c>
      <c r="Y4" s="139" t="n">
        <v>0.08</v>
      </c>
      <c r="Z4" s="167" t="inlineStr">
        <is>
          <t>3年</t>
        </is>
      </c>
      <c r="AA4" s="167" t="inlineStr">
        <is>
          <t>常温</t>
        </is>
      </c>
      <c r="AB4" s="167" t="inlineStr">
        <is>
          <t>7日</t>
        </is>
      </c>
      <c r="AC4" s="293" t="n">
        <v>4985146001042</v>
      </c>
      <c r="AD4" s="167" t="inlineStr">
        <is>
          <t>少量ずつ塗るのに便利なロールオンタイプ。お好きな場所にクルクルと塗り込んでください。天然ミントで、安心の食品無添加です。</t>
        </is>
      </c>
      <c r="AE4" s="167" t="n"/>
      <c r="AF4" s="167" t="inlineStr">
        <is>
          <t>〇</t>
        </is>
      </c>
      <c r="AG4" s="144" t="inlineStr">
        <is>
          <t>前金。振込後発送。ハッカ油は軽減税率8％対象。販売の際は「定価厳守」契約書交わし済み</t>
        </is>
      </c>
    </row>
    <row r="5" ht="18" customHeight="1" s="207">
      <c r="A5" s="166" t="inlineStr">
        <is>
          <t>菓子</t>
        </is>
      </c>
      <c r="B5" s="167" t="inlineStr">
        <is>
          <t>和菓子</t>
        </is>
      </c>
      <c r="C5" s="167" t="inlineStr">
        <is>
          <t>北見ハッカ通商</t>
        </is>
      </c>
      <c r="D5" s="143">
        <f>"PRD_SNJ_"&amp;
_xlfn.XLOOKUP(商品マスタ[[#This Row],[仕入先]],テーブル1[仕入先名],テーブル1[仕入先コード],"XXX",0,1)&amp;
"_"&amp;
商品マスタ[[#This Row],[シリアル]]&amp;
"_"&amp;
TEXT(COUNTIFS(商品マスタ!$C$3:C5,商品マスタ[[#This Row],[仕入先]],商品マスタ!$E$3:E5,商品マスタ[[#This Row],[商品名]]), "00")</f>
        <v/>
      </c>
      <c r="E5" s="167" t="inlineStr">
        <is>
          <t>ハッカ飴</t>
        </is>
      </c>
      <c r="F5" s="167">
        <f>IF(COUNTIFS($C$3:C5,商品マスタ[[#This Row],[仕入先]],$E$3:E5,商品マスタ[[#This Row],[商品名]]) = 1, 1,0)</f>
        <v/>
      </c>
      <c r="G5" s="133">
        <f>TEXT(SUMIF($C$3:C5,商品マスタ[[#This Row],[仕入先]],$F$3:F5), "0000")</f>
        <v/>
      </c>
      <c r="H5" s="167" t="inlineStr">
        <is>
          <t>袋</t>
        </is>
      </c>
      <c r="I5" s="167" t="inlineStr">
        <is>
          <t>240g</t>
        </is>
      </c>
      <c r="J5" s="167" t="n">
        <v>200</v>
      </c>
      <c r="K5" s="167" t="n"/>
      <c r="L5" s="289" t="n">
        <v>287</v>
      </c>
      <c r="M5" s="157" t="n">
        <v>45950</v>
      </c>
      <c r="N5" s="289" t="n">
        <v>443</v>
      </c>
      <c r="O5" s="290">
        <f>IF(COUNT(商品マスタ[[#This Row],[参考上代
（税込)]]) &gt; 0, (商品マスタ[[#This Row],[参考上代
（税込)]]-商品マスタ[[#This Row],[国内定価
（15％）]])/(商品マスタ[[#This Row],[参考上代
（税込)]]/1.08), "")</f>
        <v/>
      </c>
      <c r="P5" s="136" t="n">
        <v>0.1</v>
      </c>
      <c r="Q5" s="291">
        <f>商品マスタ[[#This Row],[仕入
単価]]*商品マスタ[[#This Row],[標準国内送料率]]</f>
        <v/>
      </c>
      <c r="R5" s="289" t="n"/>
      <c r="S5" s="289">
        <f>IF(ISBLANK(商品マスタ[[#This Row],[実績
国内送料]]),商品マスタ[[#This Row],[標準国内送料]],)</f>
        <v/>
      </c>
      <c r="T5" s="289">
        <f>商品マスタ[[#This Row],[仕入
単価]]+商品マスタ[[#This Row],[国内送料]]</f>
        <v/>
      </c>
      <c r="U5" s="289">
        <f>ROUNDUP(商品マスタ[[#This Row],[仕入単価+国内送料]]/0.8,-1)</f>
        <v/>
      </c>
      <c r="V5" s="289">
        <f>商品マスタ[[#This Row],[海外定価
（20％）]]-商品マスタ[[#This Row],[仕入単価+国内送料]]</f>
        <v/>
      </c>
      <c r="W5" s="167">
        <f>ROUNDUP(商品マスタ[[#This Row],[仕入単価+国内送料]]/0.85,-1)</f>
        <v/>
      </c>
      <c r="X5" s="289">
        <f>商品マスタ[[#This Row],[国内定価
（15％）]]-商品マスタ[[#This Row],[仕入単価+国内送料]]</f>
        <v/>
      </c>
      <c r="Y5" s="139" t="n">
        <v>0.08</v>
      </c>
      <c r="Z5" s="167" t="inlineStr">
        <is>
          <t>13か月</t>
        </is>
      </c>
      <c r="AA5" s="167" t="inlineStr">
        <is>
          <t>常温</t>
        </is>
      </c>
      <c r="AB5" s="167" t="inlineStr">
        <is>
          <t>7日</t>
        </is>
      </c>
      <c r="AC5" s="293" t="n">
        <v>4985146000649</v>
      </c>
      <c r="AD5" s="167" t="inlineStr">
        <is>
          <t>ロングセラー商品、ハッカ飴です。</t>
        </is>
      </c>
      <c r="AE5" s="167" t="n"/>
      <c r="AF5" s="167" t="inlineStr">
        <is>
          <t>〇</t>
        </is>
      </c>
      <c r="AG5" s="144" t="inlineStr">
        <is>
          <t>前金。振込後発送。販売の際は「定価厳守」契約書交わし済み</t>
        </is>
      </c>
    </row>
    <row r="6" ht="18" customHeight="1" s="207">
      <c r="A6" s="166" t="inlineStr">
        <is>
          <t>菓子</t>
        </is>
      </c>
      <c r="B6" s="167" t="inlineStr">
        <is>
          <t>和菓子</t>
        </is>
      </c>
      <c r="C6" s="167" t="inlineStr">
        <is>
          <t>北見ハッカ通商</t>
        </is>
      </c>
      <c r="D6" s="143">
        <f>"PRD_SNJ_"&amp;
_xlfn.XLOOKUP(商品マスタ[[#This Row],[仕入先]],テーブル1[仕入先名],テーブル1[仕入先コード],"XXX",0,1)&amp;
"_"&amp;
商品マスタ[[#This Row],[シリアル]]&amp;
"_"&amp;
TEXT(COUNTIFS(商品マスタ!$C$3:C6,商品マスタ[[#This Row],[仕入先]],商品マスタ!$E$3:E6,商品マスタ[[#This Row],[商品名]]), "00")</f>
        <v/>
      </c>
      <c r="E6" s="167" t="inlineStr">
        <is>
          <t>CHOCOMINT CANDY</t>
        </is>
      </c>
      <c r="F6" s="167">
        <f>IF(COUNTIFS($C$3:C6,商品マスタ[[#This Row],[仕入先]],$E$3:E6,商品マスタ[[#This Row],[商品名]]) = 1, 1,0)</f>
        <v/>
      </c>
      <c r="G6" s="133">
        <f>TEXT(SUMIF($C$3:C6,商品マスタ[[#This Row],[仕入先]],$F$3:F6), "0000")</f>
        <v/>
      </c>
      <c r="H6" s="167" t="inlineStr">
        <is>
          <t>袋</t>
        </is>
      </c>
      <c r="I6" s="167" t="inlineStr">
        <is>
          <t>170g</t>
        </is>
      </c>
      <c r="J6" s="167" t="n">
        <v>200</v>
      </c>
      <c r="K6" s="167" t="n"/>
      <c r="L6" s="289" t="n">
        <v>287</v>
      </c>
      <c r="M6" s="157" t="n">
        <v>45950</v>
      </c>
      <c r="N6" s="289" t="n">
        <v>442</v>
      </c>
      <c r="O6" s="290">
        <f>IF(COUNT(商品マスタ[[#This Row],[参考上代
（税込)]]) &gt; 0, (商品マスタ[[#This Row],[参考上代
（税込)]]-商品マスタ[[#This Row],[国内定価
（15％）]])/(商品マスタ[[#This Row],[参考上代
（税込)]]/1.08), "")</f>
        <v/>
      </c>
      <c r="P6" s="136" t="n">
        <v>0.1</v>
      </c>
      <c r="Q6" s="291">
        <f>商品マスタ[[#This Row],[仕入
単価]]*商品マスタ[[#This Row],[標準国内送料率]]</f>
        <v/>
      </c>
      <c r="R6" s="289" t="n"/>
      <c r="S6" s="289">
        <f>IF(ISBLANK(商品マスタ[[#This Row],[実績
国内送料]]),商品マスタ[[#This Row],[標準国内送料]],)</f>
        <v/>
      </c>
      <c r="T6" s="289">
        <f>商品マスタ[[#This Row],[仕入
単価]]+商品マスタ[[#This Row],[国内送料]]</f>
        <v/>
      </c>
      <c r="U6" s="289">
        <f>ROUNDUP(商品マスタ[[#This Row],[仕入単価+国内送料]]/0.8,-1)</f>
        <v/>
      </c>
      <c r="V6" s="289">
        <f>商品マスタ[[#This Row],[海外定価
（20％）]]-商品マスタ[[#This Row],[仕入単価+国内送料]]</f>
        <v/>
      </c>
      <c r="W6" s="167">
        <f>ROUNDUP(商品マスタ[[#This Row],[仕入単価+国内送料]]/0.85,-1)</f>
        <v/>
      </c>
      <c r="X6" s="289">
        <f>商品マスタ[[#This Row],[国内定価
（15％）]]-商品マスタ[[#This Row],[仕入単価+国内送料]]</f>
        <v/>
      </c>
      <c r="Y6" s="139" t="n">
        <v>0.08</v>
      </c>
      <c r="Z6" s="167" t="inlineStr">
        <is>
          <t>13か月</t>
        </is>
      </c>
      <c r="AA6" s="167" t="inlineStr">
        <is>
          <t>常温</t>
        </is>
      </c>
      <c r="AB6" s="167" t="inlineStr">
        <is>
          <t>7日</t>
        </is>
      </c>
      <c r="AC6" s="293" t="n">
        <v>4985146000908</v>
      </c>
      <c r="AD6" s="167" t="inlineStr">
        <is>
          <t>和種ハッカと香ばしいカカオニブが混ざり合う、チョコミント風味のキャンディーです。</t>
        </is>
      </c>
      <c r="AE6" s="167" t="n"/>
      <c r="AF6" s="167" t="inlineStr">
        <is>
          <t>〇</t>
        </is>
      </c>
      <c r="AG6" s="144" t="inlineStr">
        <is>
          <t>前金。振込後発送。販売の際は「定価厳守」契約書交わし済み</t>
        </is>
      </c>
    </row>
    <row r="7" ht="18" customHeight="1" s="207">
      <c r="A7" s="166" t="inlineStr">
        <is>
          <t>菓子</t>
        </is>
      </c>
      <c r="B7" s="167" t="inlineStr">
        <is>
          <t>和菓子</t>
        </is>
      </c>
      <c r="C7" s="167" t="inlineStr">
        <is>
          <t>北見ハッカ通商</t>
        </is>
      </c>
      <c r="D7" s="143">
        <f>"PRD_SNJ_"&amp;
_xlfn.XLOOKUP(商品マスタ[[#This Row],[仕入先]],テーブル1[仕入先名],テーブル1[仕入先コード],"XXX",0,1)&amp;
"_"&amp;
商品マスタ[[#This Row],[シリアル]]&amp;
"_"&amp;
TEXT(COUNTIFS(商品マスタ!$C$3:C7,商品マスタ[[#This Row],[仕入先]],商品マスタ!$E$3:E7,商品マスタ[[#This Row],[商品名]]), "00")</f>
        <v/>
      </c>
      <c r="E7" s="167" t="inlineStr">
        <is>
          <t>フルーツミントキャンデー・パイナップル味</t>
        </is>
      </c>
      <c r="F7" s="167">
        <f>IF(COUNTIFS($C$3:C7,商品マスタ[[#This Row],[仕入先]],$E$3:E7,商品マスタ[[#This Row],[商品名]]) = 1, 1,0)</f>
        <v/>
      </c>
      <c r="G7" s="133">
        <f>TEXT(SUMIF($C$3:C7,商品マスタ[[#This Row],[仕入先]],$F$3:F7), "0000")</f>
        <v/>
      </c>
      <c r="H7" s="167" t="inlineStr">
        <is>
          <t>袋</t>
        </is>
      </c>
      <c r="I7" s="167" t="inlineStr">
        <is>
          <t>170g</t>
        </is>
      </c>
      <c r="J7" s="167" t="n">
        <v>24</v>
      </c>
      <c r="K7" s="167" t="inlineStr">
        <is>
          <t>24袋/箱</t>
        </is>
      </c>
      <c r="L7" s="289" t="n">
        <v>287</v>
      </c>
      <c r="M7" s="157" t="n">
        <v>45950</v>
      </c>
      <c r="N7" s="289" t="n">
        <v>442</v>
      </c>
      <c r="O7" s="290">
        <f>IF(COUNT(商品マスタ[[#This Row],[参考上代
（税込)]]) &gt; 0, (商品マスタ[[#This Row],[参考上代
（税込)]]-商品マスタ[[#This Row],[国内定価
（15％）]])/(商品マスタ[[#This Row],[参考上代
（税込)]]/1.08), "")</f>
        <v/>
      </c>
      <c r="P7" s="136" t="n">
        <v>0.1</v>
      </c>
      <c r="Q7" s="291">
        <f>商品マスタ[[#This Row],[仕入
単価]]*商品マスタ[[#This Row],[標準国内送料率]]</f>
        <v/>
      </c>
      <c r="R7" s="289" t="n"/>
      <c r="S7" s="289">
        <f>IF(ISBLANK(商品マスタ[[#This Row],[実績
国内送料]]),商品マスタ[[#This Row],[標準国内送料]],)</f>
        <v/>
      </c>
      <c r="T7" s="289">
        <f>商品マスタ[[#This Row],[仕入
単価]]+商品マスタ[[#This Row],[国内送料]]</f>
        <v/>
      </c>
      <c r="U7" s="289">
        <f>ROUNDUP(商品マスタ[[#This Row],[仕入単価+国内送料]]/0.8,-1)</f>
        <v/>
      </c>
      <c r="V7" s="289">
        <f>商品マスタ[[#This Row],[海外定価
（20％）]]-商品マスタ[[#This Row],[仕入単価+国内送料]]</f>
        <v/>
      </c>
      <c r="W7" s="167">
        <f>ROUNDUP(商品マスタ[[#This Row],[仕入単価+国内送料]]/0.85,-1)</f>
        <v/>
      </c>
      <c r="X7" s="289">
        <f>商品マスタ[[#This Row],[国内定価
（15％）]]-商品マスタ[[#This Row],[仕入単価+国内送料]]</f>
        <v/>
      </c>
      <c r="Y7" s="139" t="n">
        <v>0.08</v>
      </c>
      <c r="Z7" s="167" t="inlineStr">
        <is>
          <t>13か月</t>
        </is>
      </c>
      <c r="AA7" s="167" t="inlineStr">
        <is>
          <t>常温</t>
        </is>
      </c>
      <c r="AB7" s="167" t="inlineStr">
        <is>
          <t>7日</t>
        </is>
      </c>
      <c r="AC7" s="293" t="n">
        <v>4985146000953</v>
      </c>
      <c r="AD7" s="167" t="inlineStr">
        <is>
          <t>ミントの仲間「パイナップルミント」をイメージしたキャンディー。
南国を想わせる甘く芳醇なパイナップルの風味とミントの清涼感をミックスして、爽やかな甘さのある味に仕上げました。</t>
        </is>
      </c>
      <c r="AE7" s="167" t="n"/>
      <c r="AF7" s="167" t="inlineStr">
        <is>
          <t>〇</t>
        </is>
      </c>
      <c r="AG7" s="144" t="inlineStr">
        <is>
          <t>前金。振込後発送。販売の際は「定価厳守」契約書交わし済み</t>
        </is>
      </c>
    </row>
    <row r="8" ht="18" customHeight="1" s="207">
      <c r="A8" s="166" t="inlineStr">
        <is>
          <t>菓子</t>
        </is>
      </c>
      <c r="B8" s="167" t="inlineStr">
        <is>
          <t>和菓子</t>
        </is>
      </c>
      <c r="C8" s="167" t="inlineStr">
        <is>
          <t>北見ハッカ通商</t>
        </is>
      </c>
      <c r="D8" s="143">
        <f>"PRD_SNJ_"&amp;
_xlfn.XLOOKUP(商品マスタ[[#This Row],[仕入先]],テーブル1[仕入先名],テーブル1[仕入先コード],"XXX",0,1)&amp;
"_"&amp;
商品マスタ[[#This Row],[シリアル]]&amp;
"_"&amp;
TEXT(COUNTIFS(商品マスタ!$C$3:C8,商品マスタ[[#This Row],[仕入先]],商品マスタ!$E$3:E8,商品マスタ[[#This Row],[商品名]]), "00")</f>
        <v/>
      </c>
      <c r="E8" s="167" t="inlineStr">
        <is>
          <t>フルーツミントキャンデー・アップル味</t>
        </is>
      </c>
      <c r="F8" s="167">
        <f>IF(COUNTIFS($C$3:C8,商品マスタ[[#This Row],[仕入先]],$E$3:E8,商品マスタ[[#This Row],[商品名]]) = 1, 1,0)</f>
        <v/>
      </c>
      <c r="G8" s="133">
        <f>TEXT(SUMIF($C$3:C8,商品マスタ[[#This Row],[仕入先]],$F$3:F8), "0000")</f>
        <v/>
      </c>
      <c r="H8" s="167" t="inlineStr">
        <is>
          <t>袋</t>
        </is>
      </c>
      <c r="I8" s="167" t="inlineStr">
        <is>
          <t>170g</t>
        </is>
      </c>
      <c r="J8" s="167" t="n">
        <v>24</v>
      </c>
      <c r="K8" s="167" t="inlineStr">
        <is>
          <t>24袋/箱</t>
        </is>
      </c>
      <c r="L8" s="289" t="n">
        <v>287</v>
      </c>
      <c r="M8" s="157" t="n">
        <v>45950</v>
      </c>
      <c r="N8" s="289" t="n">
        <v>442</v>
      </c>
      <c r="O8" s="290">
        <f>IF(COUNT(商品マスタ[[#This Row],[参考上代
（税込)]]) &gt; 0, (商品マスタ[[#This Row],[参考上代
（税込)]]-商品マスタ[[#This Row],[国内定価
（15％）]])/(商品マスタ[[#This Row],[参考上代
（税込)]]/1.08), "")</f>
        <v/>
      </c>
      <c r="P8" s="136" t="n">
        <v>0.1</v>
      </c>
      <c r="Q8" s="291">
        <f>商品マスタ[[#This Row],[仕入
単価]]*商品マスタ[[#This Row],[標準国内送料率]]</f>
        <v/>
      </c>
      <c r="R8" s="289" t="n"/>
      <c r="S8" s="289">
        <f>IF(ISBLANK(商品マスタ[[#This Row],[実績
国内送料]]),商品マスタ[[#This Row],[標準国内送料]],)</f>
        <v/>
      </c>
      <c r="T8" s="289">
        <f>商品マスタ[[#This Row],[仕入
単価]]+商品マスタ[[#This Row],[国内送料]]</f>
        <v/>
      </c>
      <c r="U8" s="289">
        <f>ROUNDUP(商品マスタ[[#This Row],[仕入単価+国内送料]]/0.8,-1)</f>
        <v/>
      </c>
      <c r="V8" s="289">
        <f>商品マスタ[[#This Row],[海外定価
（20％）]]-商品マスタ[[#This Row],[仕入単価+国内送料]]</f>
        <v/>
      </c>
      <c r="W8" s="167">
        <f>ROUNDUP(商品マスタ[[#This Row],[仕入単価+国内送料]]/0.85,-1)</f>
        <v/>
      </c>
      <c r="X8" s="289">
        <f>商品マスタ[[#This Row],[国内定価
（15％）]]-商品マスタ[[#This Row],[仕入単価+国内送料]]</f>
        <v/>
      </c>
      <c r="Y8" s="139" t="n">
        <v>0.08</v>
      </c>
      <c r="Z8" s="167" t="inlineStr">
        <is>
          <t>13か月</t>
        </is>
      </c>
      <c r="AA8" s="167" t="inlineStr">
        <is>
          <t>常温</t>
        </is>
      </c>
      <c r="AB8" s="167" t="inlineStr">
        <is>
          <t>7日</t>
        </is>
      </c>
      <c r="AC8" s="293" t="n">
        <v>4985146000960</v>
      </c>
      <c r="AD8" s="167" t="inlineStr">
        <is>
          <t>ミントの仲間「アップルミント」をイメージしたミントキャンディー。アップルの後味さっぱりとした甘さとミントの清涼感を合わせて、軽やかなスッキリとした味に仕上げました。</t>
        </is>
      </c>
      <c r="AE8" s="167" t="n"/>
      <c r="AF8" s="167" t="inlineStr">
        <is>
          <t>〇</t>
        </is>
      </c>
      <c r="AG8" s="144" t="inlineStr">
        <is>
          <t>前金。振込後発送。販売の際は「定価厳守」契約書交わし済み</t>
        </is>
      </c>
    </row>
    <row r="9" ht="18" customHeight="1" s="207">
      <c r="A9" s="166" t="inlineStr">
        <is>
          <t>菓子</t>
        </is>
      </c>
      <c r="B9" s="167" t="inlineStr">
        <is>
          <t>和菓子</t>
        </is>
      </c>
      <c r="C9" s="167" t="inlineStr">
        <is>
          <t>北見ハッカ通商</t>
        </is>
      </c>
      <c r="D9" s="143">
        <f>"PRD_SNJ_"&amp;
_xlfn.XLOOKUP(商品マスタ[[#This Row],[仕入先]],テーブル1[仕入先名],テーブル1[仕入先コード],"XXX",0,1)&amp;
"_"&amp;
商品マスタ[[#This Row],[シリアル]]&amp;
"_"&amp;
TEXT(COUNTIFS(商品マスタ!$C$3:C9,商品マスタ[[#This Row],[仕入先]],商品マスタ!$E$3:E9,商品マスタ[[#This Row],[商品名]]), "00")</f>
        <v/>
      </c>
      <c r="E9" s="167" t="inlineStr">
        <is>
          <t>フルーツミントキャンデー・レモン味</t>
        </is>
      </c>
      <c r="F9" s="167">
        <f>IF(COUNTIFS($C$3:C9,商品マスタ[[#This Row],[仕入先]],$E$3:E9,商品マスタ[[#This Row],[商品名]]) = 1, 1,0)</f>
        <v/>
      </c>
      <c r="G9" s="133">
        <f>TEXT(SUMIF($C$3:C9,商品マスタ[[#This Row],[仕入先]],$F$3:F9), "0000")</f>
        <v/>
      </c>
      <c r="H9" s="167" t="inlineStr">
        <is>
          <t>袋</t>
        </is>
      </c>
      <c r="I9" s="167" t="inlineStr">
        <is>
          <t>170g</t>
        </is>
      </c>
      <c r="J9" s="167" t="n">
        <v>24</v>
      </c>
      <c r="K9" s="167" t="inlineStr">
        <is>
          <t>24袋/箱</t>
        </is>
      </c>
      <c r="L9" s="289" t="n">
        <v>287</v>
      </c>
      <c r="M9" s="157" t="n">
        <v>45950</v>
      </c>
      <c r="N9" s="289" t="n">
        <v>442</v>
      </c>
      <c r="O9" s="290">
        <f>IF(COUNT(商品マスタ[[#This Row],[参考上代
（税込)]]) &gt; 0, (商品マスタ[[#This Row],[参考上代
（税込)]]-商品マスタ[[#This Row],[国内定価
（15％）]])/(商品マスタ[[#This Row],[参考上代
（税込)]]/1.08), "")</f>
        <v/>
      </c>
      <c r="P9" s="136" t="n">
        <v>0.1</v>
      </c>
      <c r="Q9" s="291">
        <f>商品マスタ[[#This Row],[仕入
単価]]*商品マスタ[[#This Row],[標準国内送料率]]</f>
        <v/>
      </c>
      <c r="R9" s="289" t="n"/>
      <c r="S9" s="289">
        <f>IF(ISBLANK(商品マスタ[[#This Row],[実績
国内送料]]),商品マスタ[[#This Row],[標準国内送料]],)</f>
        <v/>
      </c>
      <c r="T9" s="289">
        <f>商品マスタ[[#This Row],[仕入
単価]]+商品マスタ[[#This Row],[国内送料]]</f>
        <v/>
      </c>
      <c r="U9" s="289">
        <f>ROUNDUP(商品マスタ[[#This Row],[仕入単価+国内送料]]/0.8,-1)</f>
        <v/>
      </c>
      <c r="V9" s="289">
        <f>商品マスタ[[#This Row],[海外定価
（20％）]]-商品マスタ[[#This Row],[仕入単価+国内送料]]</f>
        <v/>
      </c>
      <c r="W9" s="167">
        <f>ROUNDUP(商品マスタ[[#This Row],[仕入単価+国内送料]]/0.85,-1)</f>
        <v/>
      </c>
      <c r="X9" s="289">
        <f>商品マスタ[[#This Row],[国内定価
（15％）]]-商品マスタ[[#This Row],[仕入単価+国内送料]]</f>
        <v/>
      </c>
      <c r="Y9" s="139" t="n">
        <v>0.08</v>
      </c>
      <c r="Z9" s="167" t="inlineStr">
        <is>
          <t>13か月</t>
        </is>
      </c>
      <c r="AA9" s="167" t="inlineStr">
        <is>
          <t>常温</t>
        </is>
      </c>
      <c r="AB9" s="167" t="inlineStr">
        <is>
          <t>7日</t>
        </is>
      </c>
      <c r="AC9" s="293" t="n">
        <v>4985146000922</v>
      </c>
      <c r="AD9" s="167" t="inlineStr">
        <is>
          <t>ミントの仲間「レモンバーム、レモンミント」をイメージしたキャンディー。レモンのしっかりとした酸味とミントの清涼感をミックスして、爽やかなキレのある味に仕上げました。</t>
        </is>
      </c>
      <c r="AE9" s="167" t="n"/>
      <c r="AF9" s="167" t="inlineStr">
        <is>
          <t>〇</t>
        </is>
      </c>
      <c r="AG9" s="144" t="inlineStr">
        <is>
          <t>前金。振込後発送。販売の際は「定価厳守」契約書交わし済み</t>
        </is>
      </c>
    </row>
    <row r="10" ht="18" customHeight="1" s="207">
      <c r="A10" s="166" t="inlineStr">
        <is>
          <t>菓子</t>
        </is>
      </c>
      <c r="B10" s="167" t="inlineStr">
        <is>
          <t>和菓子</t>
        </is>
      </c>
      <c r="C10" s="167" t="inlineStr">
        <is>
          <t>北見ハッカ通商</t>
        </is>
      </c>
      <c r="D10" s="143">
        <f>"PRD_SNJ_"&amp;
_xlfn.XLOOKUP(商品マスタ[[#This Row],[仕入先]],テーブル1[仕入先名],テーブル1[仕入先コード],"XXX",0,1)&amp;
"_"&amp;
商品マスタ[[#This Row],[シリアル]]&amp;
"_"&amp;
TEXT(COUNTIFS(商品マスタ!$C$3:C10,商品マスタ[[#This Row],[仕入先]],商品マスタ!$E$3:E10,商品マスタ[[#This Row],[商品名]]), "00")</f>
        <v/>
      </c>
      <c r="E10" s="167" t="inlineStr">
        <is>
          <t>フルーツミントキャンデー・オレンジ味</t>
        </is>
      </c>
      <c r="F10" s="167">
        <f>IF(COUNTIFS($C$3:C10,商品マスタ[[#This Row],[仕入先]],$E$3:E10,商品マスタ[[#This Row],[商品名]]) = 1, 1,0)</f>
        <v/>
      </c>
      <c r="G10" s="133">
        <f>TEXT(SUMIF($C$3:C10,商品マスタ[[#This Row],[仕入先]],$F$3:F10), "0000")</f>
        <v/>
      </c>
      <c r="H10" s="167" t="inlineStr">
        <is>
          <t>袋</t>
        </is>
      </c>
      <c r="I10" s="167" t="inlineStr">
        <is>
          <t>170g</t>
        </is>
      </c>
      <c r="J10" s="167" t="n">
        <v>24</v>
      </c>
      <c r="K10" s="167" t="inlineStr">
        <is>
          <t>24袋/箱</t>
        </is>
      </c>
      <c r="L10" s="289" t="n">
        <v>287</v>
      </c>
      <c r="M10" s="157" t="n">
        <v>45950</v>
      </c>
      <c r="N10" s="289" t="n">
        <v>442</v>
      </c>
      <c r="O10" s="290">
        <f>IF(COUNT(商品マスタ[[#This Row],[参考上代
（税込)]]) &gt; 0, (商品マスタ[[#This Row],[参考上代
（税込)]]-商品マスタ[[#This Row],[国内定価
（15％）]])/(商品マスタ[[#This Row],[参考上代
（税込)]]/1.08), "")</f>
        <v/>
      </c>
      <c r="P10" s="136" t="n">
        <v>0.1</v>
      </c>
      <c r="Q10" s="291">
        <f>商品マスタ[[#This Row],[仕入
単価]]*商品マスタ[[#This Row],[標準国内送料率]]</f>
        <v/>
      </c>
      <c r="R10" s="289" t="n"/>
      <c r="S10" s="289">
        <f>IF(ISBLANK(商品マスタ[[#This Row],[実績
国内送料]]),商品マスタ[[#This Row],[標準国内送料]],)</f>
        <v/>
      </c>
      <c r="T10" s="289">
        <f>商品マスタ[[#This Row],[仕入
単価]]+商品マスタ[[#This Row],[国内送料]]</f>
        <v/>
      </c>
      <c r="U10" s="289">
        <f>ROUNDUP(商品マスタ[[#This Row],[仕入単価+国内送料]]/0.8,-1)</f>
        <v/>
      </c>
      <c r="V10" s="289">
        <f>商品マスタ[[#This Row],[海外定価
（20％）]]-商品マスタ[[#This Row],[仕入単価+国内送料]]</f>
        <v/>
      </c>
      <c r="W10" s="167">
        <f>ROUNDUP(商品マスタ[[#This Row],[仕入単価+国内送料]]/0.85,-1)</f>
        <v/>
      </c>
      <c r="X10" s="289">
        <f>商品マスタ[[#This Row],[国内定価
（15％）]]-商品マスタ[[#This Row],[仕入単価+国内送料]]</f>
        <v/>
      </c>
      <c r="Y10" s="139" t="n">
        <v>0.08</v>
      </c>
      <c r="Z10" s="167" t="inlineStr">
        <is>
          <t>13か月</t>
        </is>
      </c>
      <c r="AA10" s="167" t="inlineStr">
        <is>
          <t>常温</t>
        </is>
      </c>
      <c r="AB10" s="167" t="inlineStr">
        <is>
          <t>7日</t>
        </is>
      </c>
      <c r="AC10" s="293" t="n">
        <v>4985146000946</v>
      </c>
      <c r="AD10" s="167" t="inlineStr">
        <is>
          <t>ミントの仲間「オレンジミント」をイメージしたキャンディー。
濃厚なオレンジの風味とミントを合わせて、ジューシーな甘さと香りの広がる味に仕上げました。</t>
        </is>
      </c>
      <c r="AE10" s="167" t="n"/>
      <c r="AF10" s="167" t="inlineStr">
        <is>
          <t>〇</t>
        </is>
      </c>
      <c r="AG10" s="144" t="inlineStr">
        <is>
          <t>前金。振込後発送。販売の際は「定価厳守」契約書交わし済み</t>
        </is>
      </c>
    </row>
    <row r="11" ht="18" customHeight="1" s="207">
      <c r="A11" s="166" t="inlineStr">
        <is>
          <t>菓子</t>
        </is>
      </c>
      <c r="B11" s="167" t="inlineStr">
        <is>
          <t>和菓子</t>
        </is>
      </c>
      <c r="C11" s="167" t="inlineStr">
        <is>
          <t>北見ハッカ通商</t>
        </is>
      </c>
      <c r="D11" s="143">
        <f>"PRD_SNJ_"&amp;
_xlfn.XLOOKUP(商品マスタ[[#This Row],[仕入先]],テーブル1[仕入先名],テーブル1[仕入先コード],"XXX",0,1)&amp;
"_"&amp;
商品マスタ[[#This Row],[シリアル]]&amp;
"_"&amp;
TEXT(COUNTIFS(商品マスタ!$C$3:C11,商品マスタ[[#This Row],[仕入先]],商品マスタ!$E$3:E11,商品マスタ[[#This Row],[商品名]]), "00")</f>
        <v/>
      </c>
      <c r="E11" s="167" t="inlineStr">
        <is>
          <t>フルーツミントキャンデー・グレープフルーツ味</t>
        </is>
      </c>
      <c r="F11" s="167">
        <f>IF(COUNTIFS($C$3:C11,商品マスタ[[#This Row],[仕入先]],$E$3:E11,商品マスタ[[#This Row],[商品名]]) = 1, 1,0)</f>
        <v/>
      </c>
      <c r="G11" s="133">
        <f>TEXT(SUMIF($C$3:C11,商品マスタ[[#This Row],[仕入先]],$F$3:F11), "0000")</f>
        <v/>
      </c>
      <c r="H11" s="167" t="inlineStr">
        <is>
          <t>袋</t>
        </is>
      </c>
      <c r="I11" s="167" t="inlineStr">
        <is>
          <t>170g</t>
        </is>
      </c>
      <c r="J11" s="167" t="n">
        <v>24</v>
      </c>
      <c r="K11" s="167" t="inlineStr">
        <is>
          <t>24袋/箱</t>
        </is>
      </c>
      <c r="L11" s="289" t="n">
        <v>287</v>
      </c>
      <c r="M11" s="157" t="n">
        <v>45950</v>
      </c>
      <c r="N11" s="289" t="n">
        <v>442</v>
      </c>
      <c r="O11" s="290">
        <f>IF(COUNT(商品マスタ[[#This Row],[参考上代
（税込)]]) &gt; 0, (商品マスタ[[#This Row],[参考上代
（税込)]]-商品マスタ[[#This Row],[国内定価
（15％）]])/(商品マスタ[[#This Row],[参考上代
（税込)]]/1.08), "")</f>
        <v/>
      </c>
      <c r="P11" s="136" t="n">
        <v>0.1</v>
      </c>
      <c r="Q11" s="291">
        <f>商品マスタ[[#This Row],[仕入
単価]]*商品マスタ[[#This Row],[標準国内送料率]]</f>
        <v/>
      </c>
      <c r="R11" s="289" t="n"/>
      <c r="S11" s="289">
        <f>IF(ISBLANK(商品マスタ[[#This Row],[実績
国内送料]]),商品マスタ[[#This Row],[標準国内送料]],)</f>
        <v/>
      </c>
      <c r="T11" s="289">
        <f>商品マスタ[[#This Row],[仕入
単価]]+商品マスタ[[#This Row],[国内送料]]</f>
        <v/>
      </c>
      <c r="U11" s="289">
        <f>ROUNDUP(商品マスタ[[#This Row],[仕入単価+国内送料]]/0.8,-1)</f>
        <v/>
      </c>
      <c r="V11" s="289">
        <f>商品マスタ[[#This Row],[海外定価
（20％）]]-商品マスタ[[#This Row],[仕入単価+国内送料]]</f>
        <v/>
      </c>
      <c r="W11" s="167">
        <f>ROUNDUP(商品マスタ[[#This Row],[仕入単価+国内送料]]/0.85,-1)</f>
        <v/>
      </c>
      <c r="X11" s="289">
        <f>商品マスタ[[#This Row],[国内定価
（15％）]]-商品マスタ[[#This Row],[仕入単価+国内送料]]</f>
        <v/>
      </c>
      <c r="Y11" s="139" t="n">
        <v>0.08</v>
      </c>
      <c r="Z11" s="167" t="inlineStr">
        <is>
          <t>13か月</t>
        </is>
      </c>
      <c r="AA11" s="167" t="inlineStr">
        <is>
          <t>常温</t>
        </is>
      </c>
      <c r="AB11" s="167" t="inlineStr">
        <is>
          <t>7日</t>
        </is>
      </c>
      <c r="AC11" s="293" t="n">
        <v>4985146000984</v>
      </c>
      <c r="AD11" s="167" t="inlineStr">
        <is>
          <t>ミントの仲間「グレープフルーツミント」をイメージしたキャンディー。グレープフルーツが持つ柑橘系のさっぱりとした爽やかさにミントの清涼感をミックス。後味スッキリ爽快な味に仕上げました。</t>
        </is>
      </c>
      <c r="AE11" s="167" t="n"/>
      <c r="AF11" s="167" t="inlineStr">
        <is>
          <t>〇</t>
        </is>
      </c>
      <c r="AG11" s="144" t="inlineStr">
        <is>
          <t>前金。振込後発送。販売の際は「定価厳守」契約書交わし済み</t>
        </is>
      </c>
    </row>
    <row r="12" ht="18" customHeight="1" s="207">
      <c r="A12" s="166" t="inlineStr">
        <is>
          <t>菓子</t>
        </is>
      </c>
      <c r="B12" s="167" t="inlineStr">
        <is>
          <t>和菓子</t>
        </is>
      </c>
      <c r="C12" s="167" t="inlineStr">
        <is>
          <t>北見ハッカ通商</t>
        </is>
      </c>
      <c r="D12" s="143">
        <f>"PRD_SNJ_"&amp;
_xlfn.XLOOKUP(商品マスタ[[#This Row],[仕入先]],テーブル1[仕入先名],テーブル1[仕入先コード],"XXX",0,1)&amp;
"_"&amp;
商品マスタ[[#This Row],[シリアル]]&amp;
"_"&amp;
TEXT(COUNTIFS(商品マスタ!$C$3:C12,商品マスタ[[#This Row],[仕入先]],商品マスタ!$E$3:E12,商品マスタ[[#This Row],[商品名]]), "00")</f>
        <v/>
      </c>
      <c r="E12" s="167" t="inlineStr">
        <is>
          <t>フルーツミントキャンデー・グレープ味</t>
        </is>
      </c>
      <c r="F12" s="167">
        <f>IF(COUNTIFS($C$3:C12,商品マスタ[[#This Row],[仕入先]],$E$3:E12,商品マスタ[[#This Row],[商品名]]) = 1, 1,0)</f>
        <v/>
      </c>
      <c r="G12" s="133">
        <f>TEXT(SUMIF($C$3:C12,商品マスタ[[#This Row],[仕入先]],$F$3:F12), "0000")</f>
        <v/>
      </c>
      <c r="H12" s="167" t="inlineStr">
        <is>
          <t>袋</t>
        </is>
      </c>
      <c r="I12" s="167" t="inlineStr">
        <is>
          <t>180g</t>
        </is>
      </c>
      <c r="J12" s="167" t="n">
        <v>24</v>
      </c>
      <c r="K12" s="167" t="inlineStr">
        <is>
          <t>24袋/箱</t>
        </is>
      </c>
      <c r="L12" s="289" t="n">
        <v>287</v>
      </c>
      <c r="M12" s="157" t="n">
        <v>45950</v>
      </c>
      <c r="N12" s="289" t="n">
        <v>442</v>
      </c>
      <c r="O12" s="290">
        <f>IF(COUNT(商品マスタ[[#This Row],[参考上代
（税込)]]) &gt; 0, (商品マスタ[[#This Row],[参考上代
（税込)]]-商品マスタ[[#This Row],[国内定価
（15％）]])/(商品マスタ[[#This Row],[参考上代
（税込)]]/1.08), "")</f>
        <v/>
      </c>
      <c r="P12" s="136" t="n">
        <v>0.1</v>
      </c>
      <c r="Q12" s="291">
        <f>商品マスタ[[#This Row],[仕入
単価]]*商品マスタ[[#This Row],[標準国内送料率]]</f>
        <v/>
      </c>
      <c r="R12" s="289" t="n"/>
      <c r="S12" s="289">
        <f>IF(ISBLANK(商品マスタ[[#This Row],[実績
国内送料]]),商品マスタ[[#This Row],[標準国内送料]],)</f>
        <v/>
      </c>
      <c r="T12" s="289">
        <f>商品マスタ[[#This Row],[仕入
単価]]+商品マスタ[[#This Row],[国内送料]]</f>
        <v/>
      </c>
      <c r="U12" s="289">
        <f>ROUNDUP(商品マスタ[[#This Row],[仕入単価+国内送料]]/0.8,-1)</f>
        <v/>
      </c>
      <c r="V12" s="289">
        <f>商品マスタ[[#This Row],[海外定価
（20％）]]-商品マスタ[[#This Row],[仕入単価+国内送料]]</f>
        <v/>
      </c>
      <c r="W12" s="167">
        <f>ROUNDUP(商品マスタ[[#This Row],[仕入単価+国内送料]]/0.85,-1)</f>
        <v/>
      </c>
      <c r="X12" s="289">
        <f>商品マスタ[[#This Row],[国内定価
（15％）]]-商品マスタ[[#This Row],[仕入単価+国内送料]]</f>
        <v/>
      </c>
      <c r="Y12" s="139" t="n">
        <v>0.08</v>
      </c>
      <c r="Z12" s="167" t="inlineStr">
        <is>
          <t>13か月</t>
        </is>
      </c>
      <c r="AA12" s="167" t="inlineStr">
        <is>
          <t>常温</t>
        </is>
      </c>
      <c r="AB12" s="167" t="inlineStr">
        <is>
          <t>7日</t>
        </is>
      </c>
      <c r="AC12" s="293" t="n">
        <v>4985146000939</v>
      </c>
      <c r="AD12" s="167" t="inlineStr">
        <is>
          <t xml:space="preserve">グレープのジューシーな甘さと香りにミントの清涼感を合わせて、フルーティーな香り広がる爽やかな味に仕上げました。
</t>
        </is>
      </c>
      <c r="AE12" s="167" t="n"/>
      <c r="AF12" s="167" t="inlineStr">
        <is>
          <t>〇</t>
        </is>
      </c>
      <c r="AG12" s="144" t="inlineStr">
        <is>
          <t>前金。振込後発送。販売の際は「定価厳守」契約書交わし済み。税抜仕入額6万以上で無料</t>
        </is>
      </c>
    </row>
    <row r="13" ht="18" customHeight="1" s="207">
      <c r="A13" s="166" t="inlineStr">
        <is>
          <t>菓子</t>
        </is>
      </c>
      <c r="B13" s="167" t="inlineStr">
        <is>
          <t>和菓子</t>
        </is>
      </c>
      <c r="C13" s="167" t="inlineStr">
        <is>
          <t>北見ハッカ通商</t>
        </is>
      </c>
      <c r="D13" s="143">
        <f>"PRD_SNJ_"&amp;
_xlfn.XLOOKUP(商品マスタ[[#This Row],[仕入先]],テーブル1[仕入先名],テーブル1[仕入先コード],"XXX",0,1)&amp;
"_"&amp;
商品マスタ[[#This Row],[シリアル]]&amp;
"_"&amp;
TEXT(COUNTIFS(商品マスタ!$C$3:C13,商品マスタ[[#This Row],[仕入先]],商品マスタ!$E$3:E13,商品マスタ[[#This Row],[商品名]]), "00")</f>
        <v/>
      </c>
      <c r="E13" s="167" t="inlineStr">
        <is>
          <t>フルーツミントキャンデー・ピーチ味</t>
        </is>
      </c>
      <c r="F13" s="167">
        <f>IF(COUNTIFS($C$3:C13,商品マスタ[[#This Row],[仕入先]],$E$3:E13,商品マスタ[[#This Row],[商品名]]) = 1, 1,0)</f>
        <v/>
      </c>
      <c r="G13" s="133">
        <f>TEXT(SUMIF($C$3:C13,商品マスタ[[#This Row],[仕入先]],$F$3:F13), "0000")</f>
        <v/>
      </c>
      <c r="H13" s="167" t="inlineStr">
        <is>
          <t>袋</t>
        </is>
      </c>
      <c r="I13" s="167" t="inlineStr">
        <is>
          <t>180g</t>
        </is>
      </c>
      <c r="J13" s="167" t="n">
        <v>24</v>
      </c>
      <c r="K13" s="167" t="inlineStr">
        <is>
          <t>24袋/箱</t>
        </is>
      </c>
      <c r="L13" s="289" t="n">
        <v>287</v>
      </c>
      <c r="M13" s="157" t="n">
        <v>45950</v>
      </c>
      <c r="N13" s="289" t="n">
        <v>442</v>
      </c>
      <c r="O13" s="290">
        <f>IF(COUNT(商品マスタ[[#This Row],[参考上代
（税込)]]) &gt; 0, (商品マスタ[[#This Row],[参考上代
（税込)]]-商品マスタ[[#This Row],[国内定価
（15％）]])/(商品マスタ[[#This Row],[参考上代
（税込)]]/1.08), "")</f>
        <v/>
      </c>
      <c r="P13" s="136" t="n">
        <v>0.1</v>
      </c>
      <c r="Q13" s="291">
        <f>商品マスタ[[#This Row],[仕入
単価]]*商品マスタ[[#This Row],[標準国内送料率]]</f>
        <v/>
      </c>
      <c r="R13" s="289" t="n"/>
      <c r="S13" s="289">
        <f>IF(ISBLANK(商品マスタ[[#This Row],[実績
国内送料]]),商品マスタ[[#This Row],[標準国内送料]],)</f>
        <v/>
      </c>
      <c r="T13" s="289">
        <f>商品マスタ[[#This Row],[仕入
単価]]+商品マスタ[[#This Row],[国内送料]]</f>
        <v/>
      </c>
      <c r="U13" s="289">
        <f>ROUNDUP(商品マスタ[[#This Row],[仕入単価+国内送料]]/0.8,-1)</f>
        <v/>
      </c>
      <c r="V13" s="289">
        <f>商品マスタ[[#This Row],[海外定価
（20％）]]-商品マスタ[[#This Row],[仕入単価+国内送料]]</f>
        <v/>
      </c>
      <c r="W13" s="167">
        <f>ROUNDUP(商品マスタ[[#This Row],[仕入単価+国内送料]]/0.85,-1)</f>
        <v/>
      </c>
      <c r="X13" s="289">
        <f>商品マスタ[[#This Row],[国内定価
（15％）]]-商品マスタ[[#This Row],[仕入単価+国内送料]]</f>
        <v/>
      </c>
      <c r="Y13" s="139" t="n">
        <v>0.08</v>
      </c>
      <c r="Z13" s="167" t="inlineStr">
        <is>
          <t>13か月</t>
        </is>
      </c>
      <c r="AA13" s="167" t="inlineStr">
        <is>
          <t>常温</t>
        </is>
      </c>
      <c r="AB13" s="167" t="inlineStr">
        <is>
          <t>7日</t>
        </is>
      </c>
      <c r="AC13" s="293" t="n">
        <v>4985146000977</v>
      </c>
      <c r="AD13" s="167" t="inlineStr">
        <is>
          <t>口の中でジューシーに広がる甘い豊かなピーチの風味とミントの清涼感をマッチさせ、やさしく甘いスッキリした味に仕上げました。</t>
        </is>
      </c>
      <c r="AE13" s="167" t="n"/>
      <c r="AF13" s="167" t="inlineStr">
        <is>
          <t>〇</t>
        </is>
      </c>
      <c r="AG13" s="144" t="inlineStr">
        <is>
          <t>前金。振込後発送。販売の際は「定価厳守」契約書交わし済み。税抜仕入額6万以上で無料</t>
        </is>
      </c>
    </row>
    <row r="14" ht="18" customHeight="1" s="207">
      <c r="A14" s="166" t="inlineStr">
        <is>
          <t>菓子</t>
        </is>
      </c>
      <c r="B14" s="167" t="inlineStr">
        <is>
          <t>和菓子</t>
        </is>
      </c>
      <c r="C14" s="167" t="inlineStr">
        <is>
          <t>北見ハッカ通商</t>
        </is>
      </c>
      <c r="D14" s="143">
        <f>"PRD_SNJ_"&amp;
_xlfn.XLOOKUP(商品マスタ[[#This Row],[仕入先]],テーブル1[仕入先名],テーブル1[仕入先コード],"XXX",0,1)&amp;
"_"&amp;
商品マスタ[[#This Row],[シリアル]]&amp;
"_"&amp;
TEXT(COUNTIFS(商品マスタ!$C$3:C14,商品マスタ[[#This Row],[仕入先]],商品マスタ!$E$3:E14,商品マスタ[[#This Row],[商品名]]), "00")</f>
        <v/>
      </c>
      <c r="E14" s="167" t="inlineStr">
        <is>
          <t>フルーツミントキャンデー・ストロベリー味</t>
        </is>
      </c>
      <c r="F14" s="167">
        <f>IF(COUNTIFS($C$3:C14,商品マスタ[[#This Row],[仕入先]],$E$3:E14,商品マスタ[[#This Row],[商品名]]) = 1, 1,0)</f>
        <v/>
      </c>
      <c r="G14" s="133">
        <f>TEXT(SUMIF($C$3:C14,商品マスタ[[#This Row],[仕入先]],$F$3:F14), "0000")</f>
        <v/>
      </c>
      <c r="H14" s="167" t="inlineStr">
        <is>
          <t>袋</t>
        </is>
      </c>
      <c r="I14" s="167" t="inlineStr">
        <is>
          <t>180g</t>
        </is>
      </c>
      <c r="J14" s="167" t="n">
        <v>24</v>
      </c>
      <c r="K14" s="167" t="inlineStr">
        <is>
          <t>24袋/箱</t>
        </is>
      </c>
      <c r="L14" s="289" t="n">
        <v>287</v>
      </c>
      <c r="M14" s="157" t="n">
        <v>45950</v>
      </c>
      <c r="N14" s="289" t="n">
        <v>442</v>
      </c>
      <c r="O14" s="290">
        <f>IF(COUNT(商品マスタ[[#This Row],[参考上代
（税込)]]) &gt; 0, (商品マスタ[[#This Row],[参考上代
（税込)]]-商品マスタ[[#This Row],[国内定価
（15％）]])/(商品マスタ[[#This Row],[参考上代
（税込)]]/1.08), "")</f>
        <v/>
      </c>
      <c r="P14" s="136" t="n">
        <v>0.1</v>
      </c>
      <c r="Q14" s="291">
        <f>商品マスタ[[#This Row],[仕入
単価]]*商品マスタ[[#This Row],[標準国内送料率]]</f>
        <v/>
      </c>
      <c r="R14" s="289" t="n"/>
      <c r="S14" s="289">
        <f>IF(ISBLANK(商品マスタ[[#This Row],[実績
国内送料]]),商品マスタ[[#This Row],[標準国内送料]],)</f>
        <v/>
      </c>
      <c r="T14" s="289">
        <f>商品マスタ[[#This Row],[仕入
単価]]+商品マスタ[[#This Row],[国内送料]]</f>
        <v/>
      </c>
      <c r="U14" s="289">
        <f>ROUNDUP(商品マスタ[[#This Row],[仕入単価+国内送料]]/0.8,-1)</f>
        <v/>
      </c>
      <c r="V14" s="289">
        <f>商品マスタ[[#This Row],[海外定価
（20％）]]-商品マスタ[[#This Row],[仕入単価+国内送料]]</f>
        <v/>
      </c>
      <c r="W14" s="167">
        <f>ROUNDUP(商品マスタ[[#This Row],[仕入単価+国内送料]]/0.85,-1)</f>
        <v/>
      </c>
      <c r="X14" s="289">
        <f>商品マスタ[[#This Row],[国内定価
（15％）]]-商品マスタ[[#This Row],[仕入単価+国内送料]]</f>
        <v/>
      </c>
      <c r="Y14" s="139" t="n">
        <v>0.08</v>
      </c>
      <c r="Z14" s="167" t="inlineStr">
        <is>
          <t>13か月</t>
        </is>
      </c>
      <c r="AA14" s="167" t="inlineStr">
        <is>
          <t>常温</t>
        </is>
      </c>
      <c r="AB14" s="167" t="inlineStr">
        <is>
          <t>7日</t>
        </is>
      </c>
      <c r="AC14" s="293" t="n">
        <v>4985146000915</v>
      </c>
      <c r="AD14" s="167" t="inlineStr">
        <is>
          <t>ミントの仲間「ストロベリーミント」をイメージしたミントキャンディー。ストロベリーのしっかりとした甘い香りの風味とミントの清涼感を合わせて、フルーティーな甘さとスッキリとした爽やかな味に仕上げました。</t>
        </is>
      </c>
      <c r="AE14" s="167" t="n"/>
      <c r="AF14" s="167" t="inlineStr">
        <is>
          <t>〇</t>
        </is>
      </c>
      <c r="AG14" s="144" t="inlineStr">
        <is>
          <t>前金。振込後発送。販売の際は「定価厳守」契約書交わし済み。税抜仕入額6万以上で無料</t>
        </is>
      </c>
    </row>
    <row r="15" ht="18" customHeight="1" s="207">
      <c r="A15" s="166" t="inlineStr">
        <is>
          <t>菓子</t>
        </is>
      </c>
      <c r="B15" s="167" t="inlineStr">
        <is>
          <t>和菓子</t>
        </is>
      </c>
      <c r="C15" s="167" t="inlineStr">
        <is>
          <t>北見ハッカ通商</t>
        </is>
      </c>
      <c r="D15" s="143">
        <f>"PRD_SNJ_"&amp;
_xlfn.XLOOKUP(商品マスタ[[#This Row],[仕入先]],テーブル1[仕入先名],テーブル1[仕入先コード],"XXX",0,1)&amp;
"_"&amp;
商品マスタ[[#This Row],[シリアル]]&amp;
"_"&amp;
TEXT(COUNTIFS(商品マスタ!$C$3:C15,商品マスタ[[#This Row],[仕入先]],商品マスタ!$E$3:E15,商品マスタ[[#This Row],[商品名]]), "00")</f>
        <v/>
      </c>
      <c r="E15" s="167" t="inlineStr">
        <is>
          <t xml:space="preserve">フルーツミント Mixキャンディ BOX </t>
        </is>
      </c>
      <c r="F15" s="167">
        <f>IF(COUNTIFS($C$3:C15,商品マスタ[[#This Row],[仕入先]],$E$3:E15,商品マスタ[[#This Row],[商品名]]) = 1, 1,0)</f>
        <v/>
      </c>
      <c r="G15" s="133">
        <f>TEXT(SUMIF($C$3:C15,商品マスタ[[#This Row],[仕入先]],$F$3:F15), "0000")</f>
        <v/>
      </c>
      <c r="H15" s="167" t="inlineStr">
        <is>
          <t>缶</t>
        </is>
      </c>
      <c r="I15" s="167" t="inlineStr">
        <is>
          <t>360g</t>
        </is>
      </c>
      <c r="J15" s="167" t="n">
        <v>30</v>
      </c>
      <c r="K15" s="167" t="inlineStr">
        <is>
          <t>30缶/箱</t>
        </is>
      </c>
      <c r="L15" s="289" t="n">
        <v>700</v>
      </c>
      <c r="M15" s="157" t="n">
        <v>45950</v>
      </c>
      <c r="N15" s="289" t="n">
        <v>1080</v>
      </c>
      <c r="O15" s="290">
        <f>IF(COUNT(商品マスタ[[#This Row],[参考上代
（税込)]]) &gt; 0, (商品マスタ[[#This Row],[参考上代
（税込)]]-商品マスタ[[#This Row],[国内定価
（15％）]])/(商品マスタ[[#This Row],[参考上代
（税込)]]/1.08), "")</f>
        <v/>
      </c>
      <c r="P15" s="136" t="n">
        <v>0.1</v>
      </c>
      <c r="Q15" s="291">
        <f>商品マスタ[[#This Row],[仕入
単価]]*商品マスタ[[#This Row],[標準国内送料率]]</f>
        <v/>
      </c>
      <c r="R15" s="289" t="n"/>
      <c r="S15" s="289">
        <f>IF(ISBLANK(商品マスタ[[#This Row],[実績
国内送料]]),商品マスタ[[#This Row],[標準国内送料]],)</f>
        <v/>
      </c>
      <c r="T15" s="289">
        <f>商品マスタ[[#This Row],[仕入
単価]]+商品マスタ[[#This Row],[国内送料]]</f>
        <v/>
      </c>
      <c r="U15" s="289">
        <f>ROUNDUP(商品マスタ[[#This Row],[仕入単価+国内送料]]/0.8,-1)</f>
        <v/>
      </c>
      <c r="V15" s="289">
        <f>商品マスタ[[#This Row],[海外定価
（20％）]]-商品マスタ[[#This Row],[仕入単価+国内送料]]</f>
        <v/>
      </c>
      <c r="W15" s="167">
        <f>ROUNDUP(商品マスタ[[#This Row],[仕入単価+国内送料]]/0.85,-1)</f>
        <v/>
      </c>
      <c r="X15" s="289">
        <f>商品マスタ[[#This Row],[国内定価
（15％）]]-商品マスタ[[#This Row],[仕入単価+国内送料]]</f>
        <v/>
      </c>
      <c r="Y15" s="139" t="n">
        <v>0.08</v>
      </c>
      <c r="Z15" s="167" t="inlineStr">
        <is>
          <t>13か月</t>
        </is>
      </c>
      <c r="AA15" s="167" t="inlineStr">
        <is>
          <t>常温</t>
        </is>
      </c>
      <c r="AB15" s="167" t="inlineStr">
        <is>
          <t>3週間</t>
        </is>
      </c>
      <c r="AC15" s="293" t="n">
        <v>4985146001134</v>
      </c>
      <c r="AD15" s="167" t="inlineStr">
        <is>
          <t>※受注生産品　ロングセラーのハッカ飴に、カカオニブを使用したチョコミントキャンディー、8種類のフルーツミントキャンディーを詰め合わせた、10種類の味をお楽しみいただけるキャンディーBOXです。</t>
        </is>
      </c>
      <c r="AE15" s="167" t="n"/>
      <c r="AF15" s="167" t="inlineStr">
        <is>
          <t>〇</t>
        </is>
      </c>
      <c r="AG15" s="144" t="inlineStr">
        <is>
          <t>前金。振込後発送。販売の際は「定価厳守」契約書交わし済み。税抜仕入額6万以上で無料</t>
        </is>
      </c>
    </row>
    <row r="16" ht="18" customHeight="1" s="207">
      <c r="A16" s="166" t="inlineStr">
        <is>
          <t>菓子</t>
        </is>
      </c>
      <c r="B16" s="167" t="inlineStr">
        <is>
          <t>和菓子</t>
        </is>
      </c>
      <c r="C16" s="167" t="inlineStr">
        <is>
          <t>北見ハッカ通商</t>
        </is>
      </c>
      <c r="D16" s="143">
        <f>"PRD_SNJ_"&amp;
_xlfn.XLOOKUP(商品マスタ[[#This Row],[仕入先]],テーブル1[仕入先名],テーブル1[仕入先コード],"XXX",0,1)&amp;
"_"&amp;
商品マスタ[[#This Row],[シリアル]]&amp;
"_"&amp;
TEXT(COUNTIFS(商品マスタ!$C$3:C16,商品マスタ[[#This Row],[仕入先]],商品マスタ!$E$3:E16,商品マスタ[[#This Row],[商品名]]), "00")</f>
        <v/>
      </c>
      <c r="E16" s="167" t="inlineStr">
        <is>
          <t xml:space="preserve">ハッカ飴（メントール増量）缶 </t>
        </is>
      </c>
      <c r="F16" s="167">
        <f>IF(COUNTIFS($C$3:C16,商品マスタ[[#This Row],[仕入先]],$E$3:E16,商品マスタ[[#This Row],[商品名]]) = 1, 1,0)</f>
        <v/>
      </c>
      <c r="G16" s="133">
        <f>TEXT(SUMIF($C$3:C16,商品マスタ[[#This Row],[仕入先]],$F$3:F16), "0000")</f>
        <v/>
      </c>
      <c r="H16" s="167" t="inlineStr">
        <is>
          <t>缶</t>
        </is>
      </c>
      <c r="I16" s="167" t="inlineStr">
        <is>
          <t>170g</t>
        </is>
      </c>
      <c r="J16" s="167" t="n">
        <v>100</v>
      </c>
      <c r="K16" s="167" t="inlineStr">
        <is>
          <t>100缶/箱</t>
        </is>
      </c>
      <c r="L16" s="289" t="n">
        <v>385</v>
      </c>
      <c r="M16" s="157" t="n">
        <v>45950</v>
      </c>
      <c r="N16" s="289" t="n">
        <v>594</v>
      </c>
      <c r="O16" s="290">
        <f>IF(COUNT(商品マスタ[[#This Row],[参考上代
（税込)]]) &gt; 0, (商品マスタ[[#This Row],[参考上代
（税込)]]-商品マスタ[[#This Row],[国内定価
（15％）]])/(商品マスタ[[#This Row],[参考上代
（税込)]]/1.08), "")</f>
        <v/>
      </c>
      <c r="P16" s="136" t="n">
        <v>0.1</v>
      </c>
      <c r="Q16" s="291">
        <f>商品マスタ[[#This Row],[仕入
単価]]*商品マスタ[[#This Row],[標準国内送料率]]</f>
        <v/>
      </c>
      <c r="R16" s="289" t="n"/>
      <c r="S16" s="289">
        <f>IF(ISBLANK(商品マスタ[[#This Row],[実績
国内送料]]),商品マスタ[[#This Row],[標準国内送料]],)</f>
        <v/>
      </c>
      <c r="T16" s="289">
        <f>商品マスタ[[#This Row],[仕入
単価]]+商品マスタ[[#This Row],[国内送料]]</f>
        <v/>
      </c>
      <c r="U16" s="289">
        <f>ROUNDUP(商品マスタ[[#This Row],[仕入単価+国内送料]]/0.8,-1)</f>
        <v/>
      </c>
      <c r="V16" s="289">
        <f>商品マスタ[[#This Row],[海外定価
（20％）]]-商品マスタ[[#This Row],[仕入単価+国内送料]]</f>
        <v/>
      </c>
      <c r="W16" s="167">
        <f>ROUNDUP(商品マスタ[[#This Row],[仕入単価+国内送料]]/0.85,-1)</f>
        <v/>
      </c>
      <c r="X16" s="289">
        <f>商品マスタ[[#This Row],[国内定価
（15％）]]-商品マスタ[[#This Row],[仕入単価+国内送料]]</f>
        <v/>
      </c>
      <c r="Y16" s="139" t="n">
        <v>0.08</v>
      </c>
      <c r="Z16" s="167" t="inlineStr">
        <is>
          <t>13か月</t>
        </is>
      </c>
      <c r="AA16" s="167" t="inlineStr">
        <is>
          <t>常温</t>
        </is>
      </c>
      <c r="AB16" s="167" t="inlineStr">
        <is>
          <t>3週間</t>
        </is>
      </c>
      <c r="AC16" s="293" t="n">
        <v>4985146000243</v>
      </c>
      <c r="AD16" s="167" t="inlineStr">
        <is>
          <t>※受注生産品　メントール1.5倍増量、スッキリ感が強めのハッカ飴です。</t>
        </is>
      </c>
      <c r="AE16" s="167" t="n"/>
      <c r="AF16" s="167" t="inlineStr">
        <is>
          <t>〇</t>
        </is>
      </c>
      <c r="AG16" s="144" t="inlineStr">
        <is>
          <t>前金。振込後発送。販売の際は「定価厳守」契約書交わし済み。税抜仕入額6万以上で無料</t>
        </is>
      </c>
    </row>
    <row r="17" ht="18" customHeight="1" s="207">
      <c r="A17" s="166" t="inlineStr">
        <is>
          <t>その他</t>
        </is>
      </c>
      <c r="B17" s="167" t="inlineStr">
        <is>
          <t>調味料</t>
        </is>
      </c>
      <c r="C17" s="167" t="inlineStr">
        <is>
          <t>北見ハッカ通商</t>
        </is>
      </c>
      <c r="D17" s="143">
        <f>"PRD_SNJ_"&amp;
_xlfn.XLOOKUP(商品マスタ[[#This Row],[仕入先]],テーブル1[仕入先名],テーブル1[仕入先コード],"XXX",0,1)&amp;
"_"&amp;
商品マスタ[[#This Row],[シリアル]]&amp;
"_"&amp;
TEXT(COUNTIFS(商品マスタ!$C$3:C17,商品マスタ[[#This Row],[仕入先]],商品マスタ!$E$3:E17,商品マスタ[[#This Row],[商品名]]), "00")</f>
        <v/>
      </c>
      <c r="E17" s="167" t="inlineStr">
        <is>
          <t xml:space="preserve">Mentab（メンタブ） </t>
        </is>
      </c>
      <c r="F17" s="167">
        <f>IF(COUNTIFS($C$3:C17,商品マスタ[[#This Row],[仕入先]],$E$3:E17,商品マスタ[[#This Row],[商品名]]) = 1, 1,0)</f>
        <v/>
      </c>
      <c r="G17" s="133">
        <f>TEXT(SUMIF($C$3:C17,商品マスタ[[#This Row],[仕入先]],$F$3:F17), "0000")</f>
        <v/>
      </c>
      <c r="H17" s="167" t="inlineStr">
        <is>
          <t>個</t>
        </is>
      </c>
      <c r="I17" s="167" t="inlineStr">
        <is>
          <t>9g（70粒)</t>
        </is>
      </c>
      <c r="J17" s="167" t="n">
        <v>144</v>
      </c>
      <c r="K17" s="167" t="inlineStr">
        <is>
          <t>144個/箱</t>
        </is>
      </c>
      <c r="L17" s="289" t="n">
        <v>175</v>
      </c>
      <c r="M17" s="157" t="n">
        <v>45950</v>
      </c>
      <c r="N17" s="289" t="n">
        <v>270</v>
      </c>
      <c r="O17" s="290">
        <f>IF(COUNT(商品マスタ[[#This Row],[参考上代
（税込)]]) &gt; 0, (商品マスタ[[#This Row],[参考上代
（税込)]]-商品マスタ[[#This Row],[国内定価
（15％）]])/(商品マスタ[[#This Row],[参考上代
（税込)]]/1.08), "")</f>
        <v/>
      </c>
      <c r="P17" s="136" t="n">
        <v>0.1</v>
      </c>
      <c r="Q17" s="291">
        <f>商品マスタ[[#This Row],[仕入
単価]]*商品マスタ[[#This Row],[標準国内送料率]]</f>
        <v/>
      </c>
      <c r="R17" s="289" t="n"/>
      <c r="S17" s="289">
        <f>IF(ISBLANK(商品マスタ[[#This Row],[実績
国内送料]]),商品マスタ[[#This Row],[標準国内送料]],)</f>
        <v/>
      </c>
      <c r="T17" s="289">
        <f>商品マスタ[[#This Row],[仕入
単価]]+商品マスタ[[#This Row],[国内送料]]</f>
        <v/>
      </c>
      <c r="U17" s="289">
        <f>ROUNDUP(商品マスタ[[#This Row],[仕入単価+国内送料]]/0.8,-1)</f>
        <v/>
      </c>
      <c r="V17" s="289">
        <f>商品マスタ[[#This Row],[海外定価
（20％）]]-商品マスタ[[#This Row],[仕入単価+国内送料]]</f>
        <v/>
      </c>
      <c r="W17" s="167">
        <f>ROUNDUP(商品マスタ[[#This Row],[仕入単価+国内送料]]/0.85,-1)</f>
        <v/>
      </c>
      <c r="X17" s="289">
        <f>商品マスタ[[#This Row],[国内定価
（15％）]]-商品マスタ[[#This Row],[仕入単価+国内送料]]</f>
        <v/>
      </c>
      <c r="Y17" s="139" t="n">
        <v>0.08</v>
      </c>
      <c r="Z17" s="167" t="inlineStr">
        <is>
          <t>1年</t>
        </is>
      </c>
      <c r="AA17" s="167" t="inlineStr">
        <is>
          <t>常温</t>
        </is>
      </c>
      <c r="AB17" s="167" t="inlineStr">
        <is>
          <t>3週間</t>
        </is>
      </c>
      <c r="AC17" s="293" t="n">
        <v>4985146000458</v>
      </c>
      <c r="AD17" s="167" t="inlineStr">
        <is>
          <t>※受注生産品　「北海道産和種ハッカ」配合のタブレット菓子です。</t>
        </is>
      </c>
      <c r="AE17" s="167" t="n"/>
      <c r="AF17" s="167" t="inlineStr">
        <is>
          <t>〇</t>
        </is>
      </c>
      <c r="AG17" s="144" t="inlineStr">
        <is>
          <t>前金。振込後発送。販売の際は「定価厳守」契約書交わし済み。税抜仕入額6万以上で無料</t>
        </is>
      </c>
    </row>
    <row r="18" ht="18" customHeight="1" s="207">
      <c r="A18" s="166" t="inlineStr">
        <is>
          <t>菓子</t>
        </is>
      </c>
      <c r="B18" s="167" t="inlineStr">
        <is>
          <t>洋菓子</t>
        </is>
      </c>
      <c r="C18" s="167" t="inlineStr">
        <is>
          <t>北見ハッカ通商</t>
        </is>
      </c>
      <c r="D18" s="143">
        <f>"PRD_SNJ_"&amp;
_xlfn.XLOOKUP(商品マスタ[[#This Row],[仕入先]],テーブル1[仕入先名],テーブル1[仕入先コード],"XXX",0,1)&amp;
"_"&amp;
商品マスタ[[#This Row],[シリアル]]&amp;
"_"&amp;
TEXT(COUNTIFS(商品マスタ!$C$3:C18,商品マスタ[[#This Row],[仕入先]],商品マスタ!$E$3:E18,商品マスタ[[#This Row],[商品名]]), "00")</f>
        <v/>
      </c>
      <c r="E18" s="167" t="inlineStr">
        <is>
          <t>Mentab（メンタブ）チョコミント味</t>
        </is>
      </c>
      <c r="F18" s="167">
        <f>IF(COUNTIFS($C$3:C18,商品マスタ[[#This Row],[仕入先]],$E$3:E18,商品マスタ[[#This Row],[商品名]]) = 1, 1,0)</f>
        <v/>
      </c>
      <c r="G18" s="133">
        <f>TEXT(SUMIF($C$3:C18,商品マスタ[[#This Row],[仕入先]],$F$3:F18), "0000")</f>
        <v/>
      </c>
      <c r="H18" s="167" t="inlineStr">
        <is>
          <t>個</t>
        </is>
      </c>
      <c r="I18" s="167" t="inlineStr">
        <is>
          <t>9g（70粒）</t>
        </is>
      </c>
      <c r="J18" s="167" t="n">
        <v>144</v>
      </c>
      <c r="K18" s="167" t="inlineStr">
        <is>
          <t>144個/箱</t>
        </is>
      </c>
      <c r="L18" s="289" t="n">
        <v>175</v>
      </c>
      <c r="M18" s="157" t="n">
        <v>45950</v>
      </c>
      <c r="N18" s="289" t="n">
        <v>270</v>
      </c>
      <c r="O18" s="290">
        <f>IF(COUNT(商品マスタ[[#This Row],[参考上代
（税込)]]) &gt; 0, (商品マスタ[[#This Row],[参考上代
（税込)]]-商品マスタ[[#This Row],[国内定価
（15％）]])/(商品マスタ[[#This Row],[参考上代
（税込)]]/1.08), "")</f>
        <v/>
      </c>
      <c r="P18" s="136" t="n">
        <v>0.1</v>
      </c>
      <c r="Q18" s="291">
        <f>商品マスタ[[#This Row],[仕入
単価]]*商品マスタ[[#This Row],[標準国内送料率]]</f>
        <v/>
      </c>
      <c r="R18" s="289" t="n"/>
      <c r="S18" s="289">
        <f>IF(ISBLANK(商品マスタ[[#This Row],[実績
国内送料]]),商品マスタ[[#This Row],[標準国内送料]],)</f>
        <v/>
      </c>
      <c r="T18" s="289">
        <f>商品マスタ[[#This Row],[仕入
単価]]+商品マスタ[[#This Row],[国内送料]]</f>
        <v/>
      </c>
      <c r="U18" s="289">
        <f>ROUNDUP(商品マスタ[[#This Row],[仕入単価+国内送料]]/0.8,-1)</f>
        <v/>
      </c>
      <c r="V18" s="289">
        <f>商品マスタ[[#This Row],[海外定価
（20％）]]-商品マスタ[[#This Row],[仕入単価+国内送料]]</f>
        <v/>
      </c>
      <c r="W18" s="167">
        <f>ROUNDUP(商品マスタ[[#This Row],[仕入単価+国内送料]]/0.85,-1)</f>
        <v/>
      </c>
      <c r="X18" s="289">
        <f>商品マスタ[[#This Row],[国内定価
（15％）]]-商品マスタ[[#This Row],[仕入単価+国内送料]]</f>
        <v/>
      </c>
      <c r="Y18" s="139" t="n">
        <v>0.08</v>
      </c>
      <c r="Z18" s="167" t="inlineStr">
        <is>
          <t>1年</t>
        </is>
      </c>
      <c r="AA18" s="167" t="inlineStr">
        <is>
          <t>常温</t>
        </is>
      </c>
      <c r="AB18" s="167" t="inlineStr">
        <is>
          <t>3週間</t>
        </is>
      </c>
      <c r="AC18" s="293" t="n">
        <v>4985146000830</v>
      </c>
      <c r="AD18" s="167" t="inlineStr">
        <is>
          <t>※受注生産品　やさしいチョコの風味と爽やかなミントの清涼感が新しいタブレットです。</t>
        </is>
      </c>
      <c r="AE18" s="167" t="n"/>
      <c r="AF18" s="167" t="inlineStr">
        <is>
          <t>〇</t>
        </is>
      </c>
      <c r="AG18" s="144" t="inlineStr">
        <is>
          <t>前金。振込後発送。販売の際は「定価厳守」契約書交わし済み。税抜仕入額6万以上で無料</t>
        </is>
      </c>
    </row>
    <row r="19" ht="18" customHeight="1" s="207">
      <c r="A19" s="166" t="inlineStr">
        <is>
          <t>菓子</t>
        </is>
      </c>
      <c r="B19" s="167" t="inlineStr">
        <is>
          <t>洋菓子</t>
        </is>
      </c>
      <c r="C19" s="167" t="inlineStr">
        <is>
          <t>CHISE GARDEN</t>
        </is>
      </c>
      <c r="D19" s="143">
        <f>"PRD_SNJ_"&amp;
_xlfn.XLOOKUP(商品マスタ[[#This Row],[仕入先]],テーブル1[仕入先名],テーブル1[仕入先コード],"XXX",0,1)&amp;
"_"&amp;
商品マスタ[[#This Row],[シリアル]]&amp;
"_"&amp;
TEXT(COUNTIFS(商品マスタ!$C$3:C19,商品マスタ[[#This Row],[仕入先]],商品マスタ!$E$3:E19,商品マスタ[[#This Row],[商品名]]), "00")</f>
        <v/>
      </c>
      <c r="E19" s="167" t="inlineStr">
        <is>
          <t>野草番茶</t>
        </is>
      </c>
      <c r="F19" s="167">
        <f>IF(COUNTIFS($C$3:C19,商品マスタ[[#This Row],[仕入先]],$E$3:E19,商品マスタ[[#This Row],[商品名]]) = 1, 1,0)</f>
        <v/>
      </c>
      <c r="G19" s="133">
        <f>TEXT(SUMIF($C$3:C19,商品マスタ[[#This Row],[仕入先]],$F$3:F19), "0000")</f>
        <v/>
      </c>
      <c r="H19" s="167" t="inlineStr">
        <is>
          <t>袋</t>
        </is>
      </c>
      <c r="I19" s="167" t="inlineStr">
        <is>
          <t>50g</t>
        </is>
      </c>
      <c r="J19" s="167" t="n">
        <v>50</v>
      </c>
      <c r="K19" s="167" t="n"/>
      <c r="L19" s="289" t="n">
        <v>560</v>
      </c>
      <c r="M19" s="157" t="n">
        <v>45951</v>
      </c>
      <c r="N19" s="289" t="n">
        <v>864</v>
      </c>
      <c r="O19" s="290">
        <f>IF(COUNT(商品マスタ[[#This Row],[参考上代
（税込)]]) &gt; 0, (商品マスタ[[#This Row],[参考上代
（税込)]]-商品マスタ[[#This Row],[国内定価
（15％）]])/(商品マスタ[[#This Row],[参考上代
（税込)]]/1.08), "")</f>
        <v/>
      </c>
      <c r="P19" s="136" t="n">
        <v>0.1</v>
      </c>
      <c r="Q19" s="291">
        <f>商品マスタ[[#This Row],[仕入
単価]]*商品マスタ[[#This Row],[標準国内送料率]]</f>
        <v/>
      </c>
      <c r="R19" s="289" t="n">
        <v>1000</v>
      </c>
      <c r="S19" s="289">
        <f>IF(ISBLANK(商品マスタ[[#This Row],[実績
国内送料]]),商品マスタ[[#This Row],[標準国内送料]],)</f>
        <v/>
      </c>
      <c r="T19" s="289">
        <f>商品マスタ[[#This Row],[仕入
単価]]+商品マスタ[[#This Row],[国内送料]]</f>
        <v/>
      </c>
      <c r="U19" s="289">
        <f>ROUNDUP(商品マスタ[[#This Row],[仕入単価+国内送料]]/0.8,-1)</f>
        <v/>
      </c>
      <c r="V19" s="289">
        <f>商品マスタ[[#This Row],[海外定価
（20％）]]-商品マスタ[[#This Row],[仕入単価+国内送料]]</f>
        <v/>
      </c>
      <c r="W19" s="167">
        <f>ROUNDUP(商品マスタ[[#This Row],[仕入単価+国内送料]]/0.85,-1)</f>
        <v/>
      </c>
      <c r="X19" s="289">
        <f>商品マスタ[[#This Row],[国内定価
（15％）]]-商品マスタ[[#This Row],[仕入単価+国内送料]]</f>
        <v/>
      </c>
      <c r="Y19" s="139" t="n">
        <v>0.08</v>
      </c>
      <c r="Z19" s="167" t="inlineStr">
        <is>
          <t>1年</t>
        </is>
      </c>
      <c r="AA19" s="167" t="inlineStr">
        <is>
          <t>常温</t>
        </is>
      </c>
      <c r="AB19" s="167" t="inlineStr">
        <is>
          <t>7日</t>
        </is>
      </c>
      <c r="AC19" s="293" t="n">
        <v>4595430036010</v>
      </c>
      <c r="AD19" s="167" t="inlineStr">
        <is>
          <t>地元の有名ホテルのウェルカムドリンクとしても人気の野草番茶。
材料のほとんどがニセコ町産で、ガーデンで採れたハーブもブレンドしています。</t>
        </is>
      </c>
      <c r="AE19" s="167" t="n"/>
      <c r="AF19" s="167" t="inlineStr">
        <is>
          <t>〇</t>
        </is>
      </c>
      <c r="AG19" s="144" t="inlineStr">
        <is>
          <t>ロット50袋割れ送料実費、混載50袋可</t>
        </is>
      </c>
    </row>
    <row r="20" ht="18" customHeight="1" s="207">
      <c r="A20" s="166" t="inlineStr">
        <is>
          <t>菓子</t>
        </is>
      </c>
      <c r="B20" s="167" t="inlineStr">
        <is>
          <t>洋菓子</t>
        </is>
      </c>
      <c r="C20" s="167" t="inlineStr">
        <is>
          <t>CHISE GARDEN</t>
        </is>
      </c>
      <c r="D20" s="143">
        <f>"PRD_SNJ_"&amp;
_xlfn.XLOOKUP(商品マスタ[[#This Row],[仕入先]],テーブル1[仕入先名],テーブル1[仕入先コード],"XXX",0,1)&amp;
"_"&amp;
商品マスタ[[#This Row],[シリアル]]&amp;
"_"&amp;
TEXT(COUNTIFS(商品マスタ!$C$3:C20,商品マスタ[[#This Row],[仕入先]],商品マスタ!$E$3:E20,商品マスタ[[#This Row],[商品名]]), "00")</f>
        <v/>
      </c>
      <c r="E20" s="167" t="inlineStr">
        <is>
          <t>ハーブティ</t>
        </is>
      </c>
      <c r="F20" s="167">
        <f>IF(COUNTIFS($C$3:C20,商品マスタ[[#This Row],[仕入先]],$E$3:E20,商品マスタ[[#This Row],[商品名]]) = 1, 1,0)</f>
        <v/>
      </c>
      <c r="G20" s="133">
        <f>TEXT(SUMIF($C$3:C20,商品マスタ[[#This Row],[仕入先]],$F$3:F20), "0000")</f>
        <v/>
      </c>
      <c r="H20" s="167" t="inlineStr">
        <is>
          <t>袋</t>
        </is>
      </c>
      <c r="I20" s="167" t="inlineStr">
        <is>
          <t>20g</t>
        </is>
      </c>
      <c r="J20" s="167" t="n">
        <v>50</v>
      </c>
      <c r="K20" s="167" t="n"/>
      <c r="L20" s="289" t="n">
        <v>560</v>
      </c>
      <c r="M20" s="157" t="n">
        <v>45951</v>
      </c>
      <c r="N20" s="289" t="n">
        <v>864</v>
      </c>
      <c r="O20" s="290">
        <f>IF(COUNT(商品マスタ[[#This Row],[参考上代
（税込)]]) &gt; 0, (商品マスタ[[#This Row],[参考上代
（税込)]]-商品マスタ[[#This Row],[国内定価
（15％）]])/(商品マスタ[[#This Row],[参考上代
（税込)]]/1.08), "")</f>
        <v/>
      </c>
      <c r="P20" s="136" t="n">
        <v>0.1</v>
      </c>
      <c r="Q20" s="291">
        <f>商品マスタ[[#This Row],[仕入
単価]]*商品マスタ[[#This Row],[標準国内送料率]]</f>
        <v/>
      </c>
      <c r="R20" s="289" t="n">
        <v>1000</v>
      </c>
      <c r="S20" s="289">
        <f>IF(ISBLANK(商品マスタ[[#This Row],[実績
国内送料]]),商品マスタ[[#This Row],[標準国内送料]],)</f>
        <v/>
      </c>
      <c r="T20" s="289">
        <f>商品マスタ[[#This Row],[仕入
単価]]+商品マスタ[[#This Row],[国内送料]]</f>
        <v/>
      </c>
      <c r="U20" s="289">
        <f>ROUNDUP(商品マスタ[[#This Row],[仕入単価+国内送料]]/0.8,-1)</f>
        <v/>
      </c>
      <c r="V20" s="289">
        <f>商品マスタ[[#This Row],[海外定価
（20％）]]-商品マスタ[[#This Row],[仕入単価+国内送料]]</f>
        <v/>
      </c>
      <c r="W20" s="167">
        <f>ROUNDUP(商品マスタ[[#This Row],[仕入単価+国内送料]]/0.85,-1)</f>
        <v/>
      </c>
      <c r="X20" s="289">
        <f>商品マスタ[[#This Row],[国内定価
（15％）]]-商品マスタ[[#This Row],[仕入単価+国内送料]]</f>
        <v/>
      </c>
      <c r="Y20" s="139" t="n">
        <v>0.08</v>
      </c>
      <c r="Z20" s="167" t="inlineStr">
        <is>
          <t>1年</t>
        </is>
      </c>
      <c r="AA20" s="167" t="inlineStr">
        <is>
          <t>常温</t>
        </is>
      </c>
      <c r="AB20" s="167" t="inlineStr">
        <is>
          <t>7日</t>
        </is>
      </c>
      <c r="AC20" s="293" t="n">
        <v>4595430036034</v>
      </c>
      <c r="AD20" s="146" t="inlineStr">
        <is>
          <t>チセガーデンで育ったハーブを使ったハーブティーです。紫色のハーブティーですが、そのまま飲めば豊かな香りを楽しめます。レモン果汁を一滴入れるとピンク色に変わり、程よい酸味になります。</t>
        </is>
      </c>
      <c r="AE20" s="167" t="n"/>
      <c r="AF20" s="167" t="inlineStr">
        <is>
          <t>〇</t>
        </is>
      </c>
      <c r="AG20" s="144" t="n"/>
    </row>
    <row r="21" ht="18" customHeight="1" s="207">
      <c r="A21" s="166" t="inlineStr">
        <is>
          <t>菓子</t>
        </is>
      </c>
      <c r="B21" s="167" t="inlineStr">
        <is>
          <t>洋菓子</t>
        </is>
      </c>
      <c r="C21" s="167" t="inlineStr">
        <is>
          <t>CHISE GARDEN</t>
        </is>
      </c>
      <c r="D21" s="143">
        <f>"PRD_SNJ_"&amp;
_xlfn.XLOOKUP(商品マスタ[[#This Row],[仕入先]],テーブル1[仕入先名],テーブル1[仕入先コード],"XXX",0,1)&amp;
"_"&amp;
商品マスタ[[#This Row],[シリアル]]&amp;
"_"&amp;
TEXT(COUNTIFS(商品マスタ!$C$3:C21,商品マスタ[[#This Row],[仕入先]],商品マスタ!$E$3:E21,商品マスタ[[#This Row],[商品名]]), "00")</f>
        <v/>
      </c>
      <c r="E21" s="167" t="inlineStr">
        <is>
          <t>松葉仙人茶</t>
        </is>
      </c>
      <c r="F21" s="167">
        <f>IF(COUNTIFS($C$3:C21,商品マスタ[[#This Row],[仕入先]],$E$3:E21,商品マスタ[[#This Row],[商品名]]) = 1, 1,0)</f>
        <v/>
      </c>
      <c r="G21" s="133">
        <f>TEXT(SUMIF($C$3:C21,商品マスタ[[#This Row],[仕入先]],$F$3:F21), "0000")</f>
        <v/>
      </c>
      <c r="H21" s="167" t="inlineStr">
        <is>
          <t>袋</t>
        </is>
      </c>
      <c r="I21" s="167" t="inlineStr">
        <is>
          <t>8g×４/袋</t>
        </is>
      </c>
      <c r="J21" s="167" t="n">
        <v>50</v>
      </c>
      <c r="K21" s="167" t="n"/>
      <c r="L21" s="289" t="n">
        <v>700</v>
      </c>
      <c r="M21" s="157" t="n">
        <v>45951</v>
      </c>
      <c r="N21" s="289" t="n">
        <v>1080</v>
      </c>
      <c r="O21" s="290">
        <f>IF(COUNT(商品マスタ[[#This Row],[参考上代
（税込)]]) &gt; 0, (商品マスタ[[#This Row],[参考上代
（税込)]]-商品マスタ[[#This Row],[国内定価
（15％）]])/(商品マスタ[[#This Row],[参考上代
（税込)]]/1.08), "")</f>
        <v/>
      </c>
      <c r="P21" s="136" t="n">
        <v>0.1</v>
      </c>
      <c r="Q21" s="291">
        <f>商品マスタ[[#This Row],[仕入
単価]]*商品マスタ[[#This Row],[標準国内送料率]]</f>
        <v/>
      </c>
      <c r="R21" s="289" t="n">
        <v>1000</v>
      </c>
      <c r="S21" s="289">
        <f>IF(ISBLANK(商品マスタ[[#This Row],[実績
国内送料]]),商品マスタ[[#This Row],[標準国内送料]],)</f>
        <v/>
      </c>
      <c r="T21" s="289">
        <f>商品マスタ[[#This Row],[仕入
単価]]+商品マスタ[[#This Row],[国内送料]]</f>
        <v/>
      </c>
      <c r="U21" s="289">
        <f>ROUNDUP(商品マスタ[[#This Row],[仕入単価+国内送料]]/0.8,-1)</f>
        <v/>
      </c>
      <c r="V21" s="289">
        <f>商品マスタ[[#This Row],[海外定価
（20％）]]-商品マスタ[[#This Row],[仕入単価+国内送料]]</f>
        <v/>
      </c>
      <c r="W21" s="167">
        <f>ROUNDUP(商品マスタ[[#This Row],[仕入単価+国内送料]]/0.85,-1)</f>
        <v/>
      </c>
      <c r="X21" s="289">
        <f>商品マスタ[[#This Row],[国内定価
（15％）]]-商品マスタ[[#This Row],[仕入単価+国内送料]]</f>
        <v/>
      </c>
      <c r="Y21" s="139" t="n">
        <v>0.08</v>
      </c>
      <c r="Z21" s="167" t="inlineStr">
        <is>
          <t>1年</t>
        </is>
      </c>
      <c r="AA21" s="167" t="inlineStr">
        <is>
          <t>常温</t>
        </is>
      </c>
      <c r="AB21" s="167" t="inlineStr">
        <is>
          <t>7日</t>
        </is>
      </c>
      <c r="AC21" s="293" t="n">
        <v>4595430036027</v>
      </c>
      <c r="AD21" s="146" t="inlineStr">
        <is>
          <t>松葉仙人茶は、ニセコ産の高品質な松葉と高級なカバノアナタケを使用した贅沢な飲料です。この特別なブレンドには、またたび、松ぼっくり、桑の葉、そして三年番茶が含まれており、風味豊かな味わいを楽しむことができます。松葉仙人茶は健康的でリフレッシュすることができる飲み物です。贈り物や自分へのご褒美としても最適な一品です。</t>
        </is>
      </c>
      <c r="AE21" s="167" t="n"/>
      <c r="AF21" s="167" t="inlineStr">
        <is>
          <t>〇</t>
        </is>
      </c>
      <c r="AG21" s="144" t="n"/>
    </row>
    <row r="22" ht="18" customHeight="1" s="207">
      <c r="A22" s="166" t="inlineStr">
        <is>
          <t>その他</t>
        </is>
      </c>
      <c r="B22" s="167" t="inlineStr">
        <is>
          <t>調味料</t>
        </is>
      </c>
      <c r="C22" s="167" t="inlineStr">
        <is>
          <t>にんにく種蔵</t>
        </is>
      </c>
      <c r="D22" s="143">
        <f>"PRD_SNJ_"&amp;
_xlfn.XLOOKUP(商品マスタ[[#This Row],[仕入先]],テーブル1[仕入先名],テーブル1[仕入先コード],"XXX",0,1)&amp;
"_"&amp;
商品マスタ[[#This Row],[シリアル]]&amp;
"_"&amp;
TEXT(COUNTIFS(商品マスタ!$C$3:C22,商品マスタ[[#This Row],[仕入先]],商品マスタ!$E$3:E22,商品マスタ[[#This Row],[商品名]]), "00")</f>
        <v/>
      </c>
      <c r="E22" s="167" t="inlineStr">
        <is>
          <t>ダイヤモンドにんにくマヨネーズ  (瓶)</t>
        </is>
      </c>
      <c r="F22" s="167">
        <f>IF(COUNTIFS($C$3:C22,商品マスタ[[#This Row],[仕入先]],$E$3:E22,商品マスタ[[#This Row],[商品名]]) = 1, 1,0)</f>
        <v/>
      </c>
      <c r="G22" s="133">
        <f>TEXT(SUMIF($C$3:C22,商品マスタ[[#This Row],[仕入先]],$F$3:F22), "0000")</f>
        <v/>
      </c>
      <c r="H22" s="167" t="inlineStr">
        <is>
          <t>瓶</t>
        </is>
      </c>
      <c r="I22" s="167" t="inlineStr">
        <is>
          <t>90g</t>
        </is>
      </c>
      <c r="J22" s="167" t="n">
        <v>30</v>
      </c>
      <c r="K22" s="167" t="n"/>
      <c r="L22" s="289">
        <f>492/1.08</f>
        <v/>
      </c>
      <c r="M22" s="157" t="n">
        <v>45951</v>
      </c>
      <c r="N22" s="289" t="n">
        <v>850</v>
      </c>
      <c r="O22" s="290">
        <f>IF(COUNT(商品マスタ[[#This Row],[参考上代
（税込)]]) &gt; 0, (商品マスタ[[#This Row],[参考上代
（税込)]]-商品マスタ[[#This Row],[国内定価
（15％）]])/(商品マスタ[[#This Row],[参考上代
（税込)]]/1.08), "")</f>
        <v/>
      </c>
      <c r="P22" s="136" t="n">
        <v>0.1</v>
      </c>
      <c r="Q22" s="291">
        <f>商品マスタ[[#This Row],[仕入
単価]]*商品マスタ[[#This Row],[標準国内送料率]]</f>
        <v/>
      </c>
      <c r="R22" s="167" t="n">
        <v>2050</v>
      </c>
      <c r="S22" s="289">
        <f>IF(ISBLANK(商品マスタ[[#This Row],[実績
国内送料]]),商品マスタ[[#This Row],[標準国内送料]],)</f>
        <v/>
      </c>
      <c r="T22" s="289">
        <f>商品マスタ[[#This Row],[仕入
単価]]+商品マスタ[[#This Row],[国内送料]]</f>
        <v/>
      </c>
      <c r="U22" s="289">
        <f>ROUNDUP(商品マスタ[[#This Row],[仕入単価+国内送料]]/0.8,-1)</f>
        <v/>
      </c>
      <c r="V22" s="289">
        <f>商品マスタ[[#This Row],[海外定価
（20％）]]-商品マスタ[[#This Row],[仕入単価+国内送料]]</f>
        <v/>
      </c>
      <c r="W22" s="167">
        <f>ROUNDUP(商品マスタ[[#This Row],[仕入単価+国内送料]]/0.85,-1)</f>
        <v/>
      </c>
      <c r="X22" s="289">
        <f>商品マスタ[[#This Row],[国内定価
（15％）]]-商品マスタ[[#This Row],[仕入単価+国内送料]]</f>
        <v/>
      </c>
      <c r="Y22" s="139" t="n">
        <v>0.08</v>
      </c>
      <c r="Z22" s="167" t="n"/>
      <c r="AA22" s="167" t="n"/>
      <c r="AB22" s="167" t="n"/>
      <c r="AC22" s="293" t="n">
        <v>4573252030331</v>
      </c>
      <c r="AD22" s="167" t="inlineStr">
        <is>
          <t>マツコの知らない世界で紹介。北海道美瑛町の自社農園でオリジナルブランド「北海道のダイヤモンドにんにく」を１００％使用したにんにくマヨネーズです。</t>
        </is>
      </c>
      <c r="AE22" s="167" t="n"/>
      <c r="AF22" s="167" t="inlineStr">
        <is>
          <t>〇</t>
        </is>
      </c>
      <c r="AG22" s="144" t="n"/>
    </row>
    <row r="23" ht="18" customHeight="1" s="207">
      <c r="A23" s="166" t="inlineStr">
        <is>
          <t>その他</t>
        </is>
      </c>
      <c r="B23" s="167" t="inlineStr">
        <is>
          <t>調味料</t>
        </is>
      </c>
      <c r="C23" s="167" t="inlineStr">
        <is>
          <t>にんにく種蔵</t>
        </is>
      </c>
      <c r="D23" s="143">
        <f>"PRD_SNJ_"&amp;
_xlfn.XLOOKUP(商品マスタ[[#This Row],[仕入先]],テーブル1[仕入先名],テーブル1[仕入先コード],"XXX",0,1)&amp;
"_"&amp;
商品マスタ[[#This Row],[シリアル]]&amp;
"_"&amp;
TEXT(COUNTIFS(商品マスタ!$C$3:C23,商品マスタ[[#This Row],[仕入先]],商品マスタ!$E$3:E23,商品マスタ[[#This Row],[商品名]]), "00")</f>
        <v/>
      </c>
      <c r="E23" s="167" t="inlineStr">
        <is>
          <t>ダイヤモンドにんにくマヨネーズ  (瓶)</t>
        </is>
      </c>
      <c r="F23" s="167">
        <f>IF(COUNTIFS($C$3:C23,商品マスタ[[#This Row],[仕入先]],$E$3:E23,商品マスタ[[#This Row],[商品名]]) = 1, 1,0)</f>
        <v/>
      </c>
      <c r="G23" s="133">
        <f>TEXT(SUMIF($C$3:C23,商品マスタ[[#This Row],[仕入先]],$F$3:F23), "0000")</f>
        <v/>
      </c>
      <c r="H23" s="167" t="inlineStr">
        <is>
          <t>瓶</t>
        </is>
      </c>
      <c r="I23" s="167" t="inlineStr">
        <is>
          <t>90g</t>
        </is>
      </c>
      <c r="J23" s="167" t="n">
        <v>60</v>
      </c>
      <c r="K23" s="167" t="n"/>
      <c r="L23" s="289">
        <f>492/1.08</f>
        <v/>
      </c>
      <c r="M23" s="157" t="n">
        <v>45951</v>
      </c>
      <c r="N23" s="289" t="n">
        <v>850</v>
      </c>
      <c r="O23" s="290">
        <f>IF(COUNT(商品マスタ[[#This Row],[参考上代
（税込)]]) &gt; 0, (商品マスタ[[#This Row],[参考上代
（税込)]]-商品マスタ[[#This Row],[国内定価
（15％）]])/(商品マスタ[[#This Row],[参考上代
（税込)]]/1.08), "")</f>
        <v/>
      </c>
      <c r="P23" s="136" t="n">
        <v>0.1</v>
      </c>
      <c r="Q23" s="291">
        <f>商品マスタ[[#This Row],[仕入
単価]]*商品マスタ[[#This Row],[標準国内送料率]]</f>
        <v/>
      </c>
      <c r="R23" s="167" t="n">
        <v>2300</v>
      </c>
      <c r="S23" s="289">
        <f>IF(ISBLANK(商品マスタ[[#This Row],[実績
国内送料]]),商品マスタ[[#This Row],[標準国内送料]],)</f>
        <v/>
      </c>
      <c r="T23" s="289">
        <f>商品マスタ[[#This Row],[仕入
単価]]+商品マスタ[[#This Row],[国内送料]]</f>
        <v/>
      </c>
      <c r="U23" s="289">
        <f>ROUNDUP(商品マスタ[[#This Row],[仕入単価+国内送料]]/0.8,-1)</f>
        <v/>
      </c>
      <c r="V23" s="289">
        <f>商品マスタ[[#This Row],[海外定価
（20％）]]-商品マスタ[[#This Row],[仕入単価+国内送料]]</f>
        <v/>
      </c>
      <c r="W23" s="167">
        <f>ROUNDUP(商品マスタ[[#This Row],[仕入単価+国内送料]]/0.85,-1)</f>
        <v/>
      </c>
      <c r="X23" s="289">
        <f>商品マスタ[[#This Row],[国内定価
（15％）]]-商品マスタ[[#This Row],[仕入単価+国内送料]]</f>
        <v/>
      </c>
      <c r="Y23" s="139" t="n">
        <v>0.08</v>
      </c>
      <c r="Z23" s="167" t="n"/>
      <c r="AA23" s="167" t="n"/>
      <c r="AB23" s="167" t="n"/>
      <c r="AC23" s="293" t="n">
        <v>4573252030331</v>
      </c>
      <c r="AD23" s="167" t="inlineStr">
        <is>
          <t>マツコの知らない世界で紹介。北海道美瑛町の自社農園でオリジナルブランド「北海道のダイヤモンドにんにく」を１００％使用したにんにくマヨネーズです。</t>
        </is>
      </c>
      <c r="AE23" s="167" t="n"/>
      <c r="AF23" s="167" t="inlineStr">
        <is>
          <t>〇</t>
        </is>
      </c>
      <c r="AG23" s="144" t="n"/>
    </row>
    <row r="24" ht="18" customHeight="1" s="207">
      <c r="A24" s="166" t="inlineStr">
        <is>
          <t>その他</t>
        </is>
      </c>
      <c r="B24" s="167" t="inlineStr">
        <is>
          <t>調味料</t>
        </is>
      </c>
      <c r="C24" s="167" t="inlineStr">
        <is>
          <t>にんにく種蔵</t>
        </is>
      </c>
      <c r="D24" s="143">
        <f>"PRD_SNJ_"&amp;
_xlfn.XLOOKUP(商品マスタ[[#This Row],[仕入先]],テーブル1[仕入先名],テーブル1[仕入先コード],"XXX",0,1)&amp;
"_"&amp;
商品マスタ[[#This Row],[シリアル]]&amp;
"_"&amp;
TEXT(COUNTIFS(商品マスタ!$C$3:C24,商品マスタ[[#This Row],[仕入先]],商品マスタ!$E$3:E24,商品マスタ[[#This Row],[商品名]]), "00")</f>
        <v/>
      </c>
      <c r="E24" s="167" t="inlineStr">
        <is>
          <t>ダイヤモンドにんにくマヨネーズ　(パウチ)</t>
        </is>
      </c>
      <c r="F24" s="167">
        <f>IF(COUNTIFS($C$3:C24,商品マスタ[[#This Row],[仕入先]],$E$3:E24,商品マスタ[[#This Row],[商品名]]) = 1, 1,0)</f>
        <v/>
      </c>
      <c r="G24" s="133">
        <f>TEXT(SUMIF($C$3:C24,商品マスタ[[#This Row],[仕入先]],$F$3:F24), "0000")</f>
        <v/>
      </c>
      <c r="H24" s="167" t="inlineStr">
        <is>
          <t>パウチ</t>
        </is>
      </c>
      <c r="I24" s="167" t="inlineStr">
        <is>
          <t>200g</t>
        </is>
      </c>
      <c r="J24" s="167" t="n">
        <v>50</v>
      </c>
      <c r="K24" s="167" t="n"/>
      <c r="L24" s="289" t="n">
        <v>925</v>
      </c>
      <c r="M24" s="157" t="n">
        <v>45951</v>
      </c>
      <c r="N24" s="289" t="n">
        <v>1706</v>
      </c>
      <c r="O24" s="290">
        <f>IF(COUNT(商品マスタ[[#This Row],[参考上代
（税込)]]) &gt; 0, (商品マスタ[[#This Row],[参考上代
（税込)]]-商品マスタ[[#This Row],[国内定価
（15％）]])/(商品マスタ[[#This Row],[参考上代
（税込)]]/1.08), "")</f>
        <v/>
      </c>
      <c r="P24" s="136" t="n">
        <v>0.1</v>
      </c>
      <c r="Q24" s="291">
        <f>商品マスタ[[#This Row],[仕入
単価]]*商品マスタ[[#This Row],[標準国内送料率]]</f>
        <v/>
      </c>
      <c r="R24" s="289" t="n"/>
      <c r="S24" s="289">
        <f>IF(ISBLANK(商品マスタ[[#This Row],[実績
国内送料]]),商品マスタ[[#This Row],[標準国内送料]],)</f>
        <v/>
      </c>
      <c r="T24" s="289">
        <f>商品マスタ[[#This Row],[仕入
単価]]+商品マスタ[[#This Row],[国内送料]]</f>
        <v/>
      </c>
      <c r="U24" s="289">
        <f>ROUNDUP(商品マスタ[[#This Row],[仕入単価+国内送料]]/0.8,-1)</f>
        <v/>
      </c>
      <c r="V24" s="289">
        <f>商品マスタ[[#This Row],[海外定価
（20％）]]-商品マスタ[[#This Row],[仕入単価+国内送料]]</f>
        <v/>
      </c>
      <c r="W24" s="167">
        <f>ROUNDUP(商品マスタ[[#This Row],[仕入単価+国内送料]]/0.85,-1)</f>
        <v/>
      </c>
      <c r="X24" s="289">
        <f>商品マスタ[[#This Row],[国内定価
（15％）]]-商品マスタ[[#This Row],[仕入単価+国内送料]]</f>
        <v/>
      </c>
      <c r="Y24" s="139" t="n">
        <v>0.08</v>
      </c>
      <c r="Z24" s="167" t="n"/>
      <c r="AA24" s="167" t="n"/>
      <c r="AB24" s="167" t="n"/>
      <c r="AC24" s="293" t="n"/>
      <c r="AD24" s="167" t="inlineStr">
        <is>
          <t>マツコの知らない世界で紹介。北海道美瑛町の自社農園でオリジナルブランド「北海道のダイヤモンドにんにく」を１００％使用したにんにくマヨネーズのお徳用　パウチタイプです。</t>
        </is>
      </c>
      <c r="AE24" s="167" t="n"/>
      <c r="AF24" s="167" t="inlineStr">
        <is>
          <t>〇</t>
        </is>
      </c>
      <c r="AG24" s="144" t="n"/>
    </row>
    <row r="25" ht="18" customHeight="1" s="207">
      <c r="A25" s="166" t="inlineStr">
        <is>
          <t>その他</t>
        </is>
      </c>
      <c r="B25" s="167" t="inlineStr">
        <is>
          <t>調味料</t>
        </is>
      </c>
      <c r="C25" s="167" t="inlineStr">
        <is>
          <t>にんにく種蔵</t>
        </is>
      </c>
      <c r="D25" s="143">
        <f>"PRD_SNJ_"&amp;
_xlfn.XLOOKUP(商品マスタ[[#This Row],[仕入先]],テーブル1[仕入先名],テーブル1[仕入先コード],"XXX",0,1)&amp;
"_"&amp;
商品マスタ[[#This Row],[シリアル]]&amp;
"_"&amp;
TEXT(COUNTIFS(商品マスタ!$C$3:C25,商品マスタ[[#This Row],[仕入先]],商品マスタ!$E$3:E25,商品マスタ[[#This Row],[商品名]]), "00")</f>
        <v/>
      </c>
      <c r="E25" s="167" t="inlineStr">
        <is>
          <t>ダイヤモンドにんにくマヨネーズ　(パウチ)</t>
        </is>
      </c>
      <c r="F25" s="167">
        <f>IF(COUNTIFS($C$3:C25,商品マスタ[[#This Row],[仕入先]],$E$3:E25,商品マスタ[[#This Row],[商品名]]) = 1, 1,0)</f>
        <v/>
      </c>
      <c r="G25" s="133">
        <f>TEXT(SUMIF($C$3:C25,商品マスタ[[#This Row],[仕入先]],$F$3:F25), "0000")</f>
        <v/>
      </c>
      <c r="H25" s="167" t="inlineStr">
        <is>
          <t>パウチ</t>
        </is>
      </c>
      <c r="I25" s="167" t="inlineStr">
        <is>
          <t>200g</t>
        </is>
      </c>
      <c r="J25" s="167" t="n">
        <v>100</v>
      </c>
      <c r="K25" s="167" t="n"/>
      <c r="L25" s="289" t="n">
        <v>925</v>
      </c>
      <c r="M25" s="157" t="n">
        <v>45951</v>
      </c>
      <c r="N25" s="289" t="n">
        <v>1706</v>
      </c>
      <c r="O25" s="290">
        <f>IF(COUNT(商品マスタ[[#This Row],[参考上代
（税込)]]) &gt; 0, (商品マスタ[[#This Row],[参考上代
（税込)]]-商品マスタ[[#This Row],[国内定価
（15％）]])/(商品マスタ[[#This Row],[参考上代
（税込)]]/1.08), "")</f>
        <v/>
      </c>
      <c r="P25" s="136" t="n">
        <v>0.1</v>
      </c>
      <c r="Q25" s="291">
        <f>商品マスタ[[#This Row],[仕入
単価]]*商品マスタ[[#This Row],[標準国内送料率]]</f>
        <v/>
      </c>
      <c r="R25" s="289" t="n"/>
      <c r="S25" s="289">
        <f>IF(ISBLANK(商品マスタ[[#This Row],[実績
国内送料]]),商品マスタ[[#This Row],[標準国内送料]],)</f>
        <v/>
      </c>
      <c r="T25" s="289">
        <f>商品マスタ[[#This Row],[仕入
単価]]+商品マスタ[[#This Row],[国内送料]]</f>
        <v/>
      </c>
      <c r="U25" s="289">
        <f>ROUNDUP(商品マスタ[[#This Row],[仕入単価+国内送料]]/0.8,-1)</f>
        <v/>
      </c>
      <c r="V25" s="289">
        <f>商品マスタ[[#This Row],[海外定価
（20％）]]-商品マスタ[[#This Row],[仕入単価+国内送料]]</f>
        <v/>
      </c>
      <c r="W25" s="167">
        <f>ROUNDUP(商品マスタ[[#This Row],[仕入単価+国内送料]]/0.85,-1)</f>
        <v/>
      </c>
      <c r="X25" s="289">
        <f>商品マスタ[[#This Row],[国内定価
（15％）]]-商品マスタ[[#This Row],[仕入単価+国内送料]]</f>
        <v/>
      </c>
      <c r="Y25" s="139" t="n">
        <v>0.08</v>
      </c>
      <c r="Z25" s="167" t="n"/>
      <c r="AA25" s="167" t="n"/>
      <c r="AB25" s="167" t="n"/>
      <c r="AC25" s="293" t="n"/>
      <c r="AD25" s="167" t="inlineStr">
        <is>
          <t>マツコの知らない世界で紹介。北海道美瑛町の自社農園でオリジナルブランド「北海道のダイヤモンドにんにく」を１００％使用したにんにくマヨネーズのお徳用　パウチタイプです。</t>
        </is>
      </c>
      <c r="AE25" s="167" t="n"/>
      <c r="AF25" s="167" t="inlineStr">
        <is>
          <t>〇</t>
        </is>
      </c>
      <c r="AG25" s="144" t="n"/>
    </row>
    <row r="26" ht="18" customHeight="1" s="207">
      <c r="A26" s="166" t="inlineStr">
        <is>
          <t>その他</t>
        </is>
      </c>
      <c r="B26" s="167" t="inlineStr">
        <is>
          <t>調味料</t>
        </is>
      </c>
      <c r="C26" s="167" t="inlineStr">
        <is>
          <t>にんにく種蔵</t>
        </is>
      </c>
      <c r="D26" s="143">
        <f>"PRD_SNJ_"&amp;
_xlfn.XLOOKUP(商品マスタ[[#This Row],[仕入先]],テーブル1[仕入先名],テーブル1[仕入先コード],"XXX",0,1)&amp;
"_"&amp;
商品マスタ[[#This Row],[シリアル]]&amp;
"_"&amp;
TEXT(COUNTIFS(商品マスタ!$C$3:C26,商品マスタ[[#This Row],[仕入先]],商品マスタ!$E$3:E26,商品マスタ[[#This Row],[商品名]]), "00")</f>
        <v/>
      </c>
      <c r="E26" s="167" t="inlineStr">
        <is>
          <t xml:space="preserve">【数量限定】ダイヤモンドにんにくオリーブオイル　</t>
        </is>
      </c>
      <c r="F26" s="167">
        <f>IF(COUNTIFS($C$3:C26,商品マスタ[[#This Row],[仕入先]],$E$3:E26,商品マスタ[[#This Row],[商品名]]) = 1, 1,0)</f>
        <v/>
      </c>
      <c r="G26" s="133">
        <f>TEXT(SUMIF($C$3:C26,商品マスタ[[#This Row],[仕入先]],$F$3:F26), "0000")</f>
        <v/>
      </c>
      <c r="H26" s="167" t="inlineStr">
        <is>
          <t>瓶</t>
        </is>
      </c>
      <c r="I26" s="147" t="inlineStr">
        <is>
          <t>ml</t>
        </is>
      </c>
      <c r="J26" s="167" t="n">
        <v>48</v>
      </c>
      <c r="K26" s="167" t="inlineStr">
        <is>
          <t>1c/s48本</t>
        </is>
      </c>
      <c r="L26" s="289" t="n">
        <v>1714</v>
      </c>
      <c r="M26" s="157" t="n">
        <v>45951</v>
      </c>
      <c r="N26" s="289" t="n">
        <v>2678</v>
      </c>
      <c r="O26" s="290">
        <f>IF(COUNT(商品マスタ[[#This Row],[参考上代
（税込)]]) &gt; 0, (商品マスタ[[#This Row],[参考上代
（税込)]]-商品マスタ[[#This Row],[国内定価
（15％）]])/(商品マスタ[[#This Row],[参考上代
（税込)]]/1.08), "")</f>
        <v/>
      </c>
      <c r="P26" s="136" t="n">
        <v>0.1</v>
      </c>
      <c r="Q26" s="291">
        <f>商品マスタ[[#This Row],[仕入
単価]]*商品マスタ[[#This Row],[標準国内送料率]]</f>
        <v/>
      </c>
      <c r="R26" s="289" t="n"/>
      <c r="S26" s="289">
        <f>IF(ISBLANK(商品マスタ[[#This Row],[実績
国内送料]]),商品マスタ[[#This Row],[標準国内送料]],)</f>
        <v/>
      </c>
      <c r="T26" s="289">
        <f>商品マスタ[[#This Row],[仕入
単価]]+商品マスタ[[#This Row],[国内送料]]</f>
        <v/>
      </c>
      <c r="U26" s="289">
        <f>ROUNDUP(商品マスタ[[#This Row],[仕入単価+国内送料]]/0.8,-1)</f>
        <v/>
      </c>
      <c r="V26" s="289">
        <f>商品マスタ[[#This Row],[海外定価
（20％）]]-商品マスタ[[#This Row],[仕入単価+国内送料]]</f>
        <v/>
      </c>
      <c r="W26" s="167">
        <f>ROUNDUP(商品マスタ[[#This Row],[仕入単価+国内送料]]/0.85,-1)</f>
        <v/>
      </c>
      <c r="X26" s="289">
        <f>商品マスタ[[#This Row],[国内定価
（15％）]]-商品マスタ[[#This Row],[仕入単価+国内送料]]</f>
        <v/>
      </c>
      <c r="Y26" s="139" t="n">
        <v>0.08</v>
      </c>
      <c r="Z26" s="167" t="n"/>
      <c r="AA26" s="167" t="n"/>
      <c r="AB26" s="167" t="n"/>
      <c r="AC26" s="293" t="n">
        <v>4595318851063</v>
      </c>
      <c r="AD26" s="167" t="inlineStr">
        <is>
          <t>美瑛の自社農園で丁寧に作られた、農薬・化学肥料不使用のダイヤモンドにんにくをオリーブオイルにしました。オリーブオイルは本場イタリア産を使用。えぐみがなく香り高い特徴がこのオリーブオイルとよく馴染んでいます。</t>
        </is>
      </c>
      <c r="AE26" s="167" t="n"/>
      <c r="AF26" s="167" t="inlineStr">
        <is>
          <t>✕</t>
        </is>
      </c>
      <c r="AG26" s="144" t="inlineStr">
        <is>
          <t>要在庫確認。数量限定。発送元が異なるため　別途送料必要</t>
        </is>
      </c>
    </row>
    <row r="27" ht="18" customHeight="1" s="207">
      <c r="A27" s="166" t="inlineStr">
        <is>
          <t>その他</t>
        </is>
      </c>
      <c r="B27" s="167" t="inlineStr">
        <is>
          <t>調味料</t>
        </is>
      </c>
      <c r="C27" s="167" t="inlineStr">
        <is>
          <t>にんにく種蔵</t>
        </is>
      </c>
      <c r="D27" s="143">
        <f>"PRD_SNJ_"&amp;
_xlfn.XLOOKUP(商品マスタ[[#This Row],[仕入先]],テーブル1[仕入先名],テーブル1[仕入先コード],"XXX",0,1)&amp;
"_"&amp;
商品マスタ[[#This Row],[シリアル]]&amp;
"_"&amp;
TEXT(COUNTIFS(商品マスタ!$C$3:C27,商品マスタ[[#This Row],[仕入先]],商品マスタ!$E$3:E27,商品マスタ[[#This Row],[商品名]]), "00")</f>
        <v/>
      </c>
      <c r="E27" s="167" t="inlineStr">
        <is>
          <t>ダイヤモンドにんにく味噌</t>
        </is>
      </c>
      <c r="F27" s="167">
        <f>IF(COUNTIFS($C$3:C27,商品マスタ[[#This Row],[仕入先]],$E$3:E27,商品マスタ[[#This Row],[商品名]]) = 1, 1,0)</f>
        <v/>
      </c>
      <c r="G27" s="133">
        <f>TEXT(SUMIF($C$3:C27,商品マスタ[[#This Row],[仕入先]],$F$3:F27), "0000")</f>
        <v/>
      </c>
      <c r="H27" s="167" t="inlineStr">
        <is>
          <t>瓶</t>
        </is>
      </c>
      <c r="I27" s="167" t="inlineStr">
        <is>
          <t>110g</t>
        </is>
      </c>
      <c r="J27" s="167" t="n">
        <v>60</v>
      </c>
      <c r="K27" s="167" t="n"/>
      <c r="L27" s="289" t="n">
        <v>456</v>
      </c>
      <c r="M27" s="157" t="n">
        <v>45951</v>
      </c>
      <c r="N27" s="289" t="n">
        <v>850</v>
      </c>
      <c r="O27" s="290">
        <f>IF(COUNT(商品マスタ[[#This Row],[参考上代
（税込)]]) &gt; 0, (商品マスタ[[#This Row],[参考上代
（税込)]]-商品マスタ[[#This Row],[国内定価
（15％）]])/(商品マスタ[[#This Row],[参考上代
（税込)]]/1.08), "")</f>
        <v/>
      </c>
      <c r="P27" s="136" t="n">
        <v>0.1</v>
      </c>
      <c r="Q27" s="291">
        <f>商品マスタ[[#This Row],[仕入
単価]]*商品マスタ[[#This Row],[標準国内送料率]]</f>
        <v/>
      </c>
      <c r="R27" s="289" t="n"/>
      <c r="S27" s="289">
        <f>IF(ISBLANK(商品マスタ[[#This Row],[実績
国内送料]]),商品マスタ[[#This Row],[標準国内送料]],)</f>
        <v/>
      </c>
      <c r="T27" s="289">
        <f>商品マスタ[[#This Row],[仕入
単価]]+商品マスタ[[#This Row],[国内送料]]</f>
        <v/>
      </c>
      <c r="U27" s="289">
        <f>ROUNDUP(商品マスタ[[#This Row],[仕入単価+国内送料]]/0.8,-1)</f>
        <v/>
      </c>
      <c r="V27" s="289">
        <f>商品マスタ[[#This Row],[海外定価
（20％）]]-商品マスタ[[#This Row],[仕入単価+国内送料]]</f>
        <v/>
      </c>
      <c r="W27" s="167">
        <f>ROUNDUP(商品マスタ[[#This Row],[仕入単価+国内送料]]/0.85,-1)</f>
        <v/>
      </c>
      <c r="X27" s="289">
        <f>商品マスタ[[#This Row],[国内定価
（15％）]]-商品マスタ[[#This Row],[仕入単価+国内送料]]</f>
        <v/>
      </c>
      <c r="Y27" s="139" t="n">
        <v>0.08</v>
      </c>
      <c r="Z27" s="167" t="n"/>
      <c r="AA27" s="167" t="n"/>
      <c r="AB27" s="167" t="n"/>
      <c r="AC27" s="293" t="n"/>
      <c r="AD27" s="167" t="inlineStr">
        <is>
          <t>美瑛にある自社農園で農薬・化学肥料不使用で愛情込めて作られたダイヤモンドにんにくを味噌にしました。</t>
        </is>
      </c>
      <c r="AE27" s="167" t="n"/>
      <c r="AF27" s="167" t="inlineStr">
        <is>
          <t>〇</t>
        </is>
      </c>
      <c r="AG27" s="144" t="n"/>
    </row>
    <row r="28" ht="18" customHeight="1" s="207">
      <c r="A28" s="166" t="inlineStr">
        <is>
          <t>その他</t>
        </is>
      </c>
      <c r="B28" s="167" t="inlineStr">
        <is>
          <t>調味料</t>
        </is>
      </c>
      <c r="C28" s="167" t="inlineStr">
        <is>
          <t>にんにく種蔵</t>
        </is>
      </c>
      <c r="D28" s="143">
        <f>"PRD_SNJ_"&amp;
_xlfn.XLOOKUP(商品マスタ[[#This Row],[仕入先]],テーブル1[仕入先名],テーブル1[仕入先コード],"XXX",0,1)&amp;
"_"&amp;
商品マスタ[[#This Row],[シリアル]]&amp;
"_"&amp;
TEXT(COUNTIFS(商品マスタ!$C$3:C28,商品マスタ[[#This Row],[仕入先]],商品マスタ!$E$3:E28,商品マスタ[[#This Row],[商品名]]), "00")</f>
        <v/>
      </c>
      <c r="E28" s="167" t="inlineStr">
        <is>
          <t>ダイヤモンドにんにくバーニャカウダ</t>
        </is>
      </c>
      <c r="F28" s="167">
        <f>IF(COUNTIFS($C$3:C28,商品マスタ[[#This Row],[仕入先]],$E$3:E28,商品マスタ[[#This Row],[商品名]]) = 1, 1,0)</f>
        <v/>
      </c>
      <c r="G28" s="133">
        <f>TEXT(SUMIF($C$3:C28,商品マスタ[[#This Row],[仕入先]],$F$3:F28), "0000")</f>
        <v/>
      </c>
      <c r="H28" s="167" t="inlineStr">
        <is>
          <t>瓶</t>
        </is>
      </c>
      <c r="I28" s="167" t="inlineStr">
        <is>
          <t>90g</t>
        </is>
      </c>
      <c r="J28" s="167" t="n">
        <v>60</v>
      </c>
      <c r="K28" s="167" t="n"/>
      <c r="L28" s="289" t="n">
        <v>456</v>
      </c>
      <c r="M28" s="157" t="n">
        <v>45951</v>
      </c>
      <c r="N28" s="289" t="n">
        <v>850</v>
      </c>
      <c r="O28" s="290">
        <f>IF(COUNT(商品マスタ[[#This Row],[参考上代
（税込)]]) &gt; 0, (商品マスタ[[#This Row],[参考上代
（税込)]]-商品マスタ[[#This Row],[国内定価
（15％）]])/(商品マスタ[[#This Row],[参考上代
（税込)]]/1.08), "")</f>
        <v/>
      </c>
      <c r="P28" s="136" t="n">
        <v>0.1</v>
      </c>
      <c r="Q28" s="291">
        <f>商品マスタ[[#This Row],[仕入
単価]]*商品マスタ[[#This Row],[標準国内送料率]]</f>
        <v/>
      </c>
      <c r="R28" s="289" t="n"/>
      <c r="S28" s="289">
        <f>IF(ISBLANK(商品マスタ[[#This Row],[実績
国内送料]]),商品マスタ[[#This Row],[標準国内送料]],)</f>
        <v/>
      </c>
      <c r="T28" s="289">
        <f>商品マスタ[[#This Row],[仕入
単価]]+商品マスタ[[#This Row],[国内送料]]</f>
        <v/>
      </c>
      <c r="U28" s="289">
        <f>ROUNDUP(商品マスタ[[#This Row],[仕入単価+国内送料]]/0.8,-1)</f>
        <v/>
      </c>
      <c r="V28" s="289">
        <f>商品マスタ[[#This Row],[海外定価
（20％）]]-商品マスタ[[#This Row],[仕入単価+国内送料]]</f>
        <v/>
      </c>
      <c r="W28" s="167">
        <f>ROUNDUP(商品マスタ[[#This Row],[仕入単価+国内送料]]/0.85,-1)</f>
        <v/>
      </c>
      <c r="X28" s="289">
        <f>商品マスタ[[#This Row],[国内定価
（15％）]]-商品マスタ[[#This Row],[仕入単価+国内送料]]</f>
        <v/>
      </c>
      <c r="Y28" s="139" t="n">
        <v>0.08</v>
      </c>
      <c r="Z28" s="167" t="n"/>
      <c r="AA28" s="167" t="n"/>
      <c r="AB28" s="167" t="n"/>
      <c r="AC28" s="293" t="n"/>
      <c r="AD28" s="167" t="inlineStr">
        <is>
          <t>アンチョビが効いていて隠し味のココナッツミルクが程よいマイルド感を出してくれます。
ダイヤモンドにんにくの旨みもたっぷり入っています。</t>
        </is>
      </c>
      <c r="AE28" s="167" t="n"/>
      <c r="AF28" s="167" t="inlineStr">
        <is>
          <t>〇</t>
        </is>
      </c>
      <c r="AG28" s="144" t="n"/>
    </row>
    <row r="29" ht="18" customHeight="1" s="207">
      <c r="A29" s="166" t="inlineStr">
        <is>
          <t>その他</t>
        </is>
      </c>
      <c r="B29" s="167" t="inlineStr">
        <is>
          <t>調味料</t>
        </is>
      </c>
      <c r="C29" s="167" t="inlineStr">
        <is>
          <t>にんにく種蔵</t>
        </is>
      </c>
      <c r="D29" s="143">
        <f>"PRD_SNJ_"&amp;
_xlfn.XLOOKUP(商品マスタ[[#This Row],[仕入先]],テーブル1[仕入先名],テーブル1[仕入先コード],"XXX",0,1)&amp;
"_"&amp;
商品マスタ[[#This Row],[シリアル]]&amp;
"_"&amp;
TEXT(COUNTIFS(商品マスタ!$C$3:C29,商品マスタ[[#This Row],[仕入先]],商品マスタ!$E$3:E29,商品マスタ[[#This Row],[商品名]]), "00")</f>
        <v/>
      </c>
      <c r="E29" s="167" t="inlineStr">
        <is>
          <t>絶望のにんにくトマトソース200g</t>
        </is>
      </c>
      <c r="F29" s="167">
        <f>IF(COUNTIFS($C$3:C29,商品マスタ[[#This Row],[仕入先]],$E$3:E29,商品マスタ[[#This Row],[商品名]]) = 1, 1,0)</f>
        <v/>
      </c>
      <c r="G29" s="133">
        <f>TEXT(SUMIF($C$3:C29,商品マスタ[[#This Row],[仕入先]],$F$3:F29), "0000")</f>
        <v/>
      </c>
      <c r="H29" s="167" t="inlineStr">
        <is>
          <t>パウチ</t>
        </is>
      </c>
      <c r="I29" s="167" t="inlineStr">
        <is>
          <t>200g</t>
        </is>
      </c>
      <c r="J29" s="167" t="n">
        <v>100</v>
      </c>
      <c r="K29" s="167" t="inlineStr">
        <is>
          <t>1c/s50個</t>
        </is>
      </c>
      <c r="L29" s="289" t="n">
        <v>456</v>
      </c>
      <c r="M29" s="157" t="n">
        <v>45951</v>
      </c>
      <c r="N29" s="289" t="n">
        <v>853</v>
      </c>
      <c r="O29" s="290">
        <f>IF(COUNT(商品マスタ[[#This Row],[参考上代
（税込)]]) &gt; 0, (商品マスタ[[#This Row],[参考上代
（税込)]]-商品マスタ[[#This Row],[国内定価
（15％）]])/(商品マスタ[[#This Row],[参考上代
（税込)]]/1.08), "")</f>
        <v/>
      </c>
      <c r="P29" s="136" t="n">
        <v>0.1</v>
      </c>
      <c r="Q29" s="291">
        <f>商品マスタ[[#This Row],[仕入
単価]]*商品マスタ[[#This Row],[標準国内送料率]]</f>
        <v/>
      </c>
      <c r="R29" s="289" t="n"/>
      <c r="S29" s="289">
        <f>IF(ISBLANK(商品マスタ[[#This Row],[実績
国内送料]]),商品マスタ[[#This Row],[標準国内送料]],)</f>
        <v/>
      </c>
      <c r="T29" s="289">
        <f>商品マスタ[[#This Row],[仕入
単価]]+商品マスタ[[#This Row],[国内送料]]</f>
        <v/>
      </c>
      <c r="U29" s="289">
        <f>ROUNDUP(商品マスタ[[#This Row],[仕入単価+国内送料]]/0.8,-1)</f>
        <v/>
      </c>
      <c r="V29" s="289">
        <f>商品マスタ[[#This Row],[海外定価
（20％）]]-商品マスタ[[#This Row],[仕入単価+国内送料]]</f>
        <v/>
      </c>
      <c r="W29" s="167">
        <f>ROUNDUP(商品マスタ[[#This Row],[仕入単価+国内送料]]/0.85,-1)</f>
        <v/>
      </c>
      <c r="X29" s="289">
        <f>商品マスタ[[#This Row],[国内定価
（15％）]]-商品マスタ[[#This Row],[仕入単価+国内送料]]</f>
        <v/>
      </c>
      <c r="Y29" s="139" t="n">
        <v>0.08</v>
      </c>
      <c r="Z29" s="167" t="n"/>
      <c r="AA29" s="167" t="n"/>
      <c r="AB29" s="167" t="n"/>
      <c r="AC29" s="293" t="n"/>
      <c r="AD29" s="167" t="inlineStr">
        <is>
          <t>濃厚なトマトソースに程よいピリ辛＆ガツンと効いたにんにくが最高！茹でたパスタに混ぜるだけで本格トマトパスタが味わえます。</t>
        </is>
      </c>
      <c r="AE29" s="167" t="n"/>
      <c r="AF29" s="167" t="inlineStr">
        <is>
          <t>〇</t>
        </is>
      </c>
      <c r="AG29" s="144" t="n"/>
    </row>
    <row r="30" ht="18" customHeight="1" s="207">
      <c r="A30" s="166" t="inlineStr">
        <is>
          <t>その他</t>
        </is>
      </c>
      <c r="B30" s="167" t="inlineStr">
        <is>
          <t>調味料</t>
        </is>
      </c>
      <c r="C30" s="167" t="inlineStr">
        <is>
          <t>にんにく種蔵</t>
        </is>
      </c>
      <c r="D30" s="143">
        <f>"PRD_SNJ_"&amp;
_xlfn.XLOOKUP(商品マスタ[[#This Row],[仕入先]],テーブル1[仕入先名],テーブル1[仕入先コード],"XXX",0,1)&amp;
"_"&amp;
商品マスタ[[#This Row],[シリアル]]&amp;
"_"&amp;
TEXT(COUNTIFS(商品マスタ!$C$3:C30,商品マスタ[[#This Row],[仕入先]],商品マスタ!$E$3:E30,商品マスタ[[#This Row],[商品名]]), "00")</f>
        <v/>
      </c>
      <c r="E30" s="167" t="inlineStr">
        <is>
          <t>待望のにんにくペペロンチーノソース200g</t>
        </is>
      </c>
      <c r="F30" s="167">
        <f>IF(COUNTIFS($C$3:C30,商品マスタ[[#This Row],[仕入先]],$E$3:E30,商品マスタ[[#This Row],[商品名]]) = 1, 1,0)</f>
        <v/>
      </c>
      <c r="G30" s="133">
        <f>TEXT(SUMIF($C$3:C30,商品マスタ[[#This Row],[仕入先]],$F$3:F30), "0000")</f>
        <v/>
      </c>
      <c r="H30" s="167" t="inlineStr">
        <is>
          <t>パウチ</t>
        </is>
      </c>
      <c r="I30" s="167" t="inlineStr">
        <is>
          <t>200g</t>
        </is>
      </c>
      <c r="J30" s="167" t="n">
        <v>100</v>
      </c>
      <c r="K30" s="167" t="inlineStr">
        <is>
          <t>1c/s50個</t>
        </is>
      </c>
      <c r="L30" s="289" t="n">
        <v>456</v>
      </c>
      <c r="M30" s="157" t="n">
        <v>45951</v>
      </c>
      <c r="N30" s="289" t="n">
        <v>853</v>
      </c>
      <c r="O30" s="290">
        <f>IF(COUNT(商品マスタ[[#This Row],[参考上代
（税込)]]) &gt; 0, (商品マスタ[[#This Row],[参考上代
（税込)]]-商品マスタ[[#This Row],[国内定価
（15％）]])/(商品マスタ[[#This Row],[参考上代
（税込)]]/1.08), "")</f>
        <v/>
      </c>
      <c r="P30" s="136" t="n">
        <v>0.1</v>
      </c>
      <c r="Q30" s="291">
        <f>商品マスタ[[#This Row],[仕入
単価]]*商品マスタ[[#This Row],[標準国内送料率]]</f>
        <v/>
      </c>
      <c r="R30" s="289" t="n"/>
      <c r="S30" s="289">
        <f>IF(ISBLANK(商品マスタ[[#This Row],[実績
国内送料]]),商品マスタ[[#This Row],[標準国内送料]],)</f>
        <v/>
      </c>
      <c r="T30" s="289">
        <f>商品マスタ[[#This Row],[仕入
単価]]+商品マスタ[[#This Row],[国内送料]]</f>
        <v/>
      </c>
      <c r="U30" s="289">
        <f>ROUNDUP(商品マスタ[[#This Row],[仕入単価+国内送料]]/0.8,-1)</f>
        <v/>
      </c>
      <c r="V30" s="289">
        <f>商品マスタ[[#This Row],[海外定価
（20％）]]-商品マスタ[[#This Row],[仕入単価+国内送料]]</f>
        <v/>
      </c>
      <c r="W30" s="167">
        <f>ROUNDUP(商品マスタ[[#This Row],[仕入単価+国内送料]]/0.85,-1)</f>
        <v/>
      </c>
      <c r="X30" s="289">
        <f>商品マスタ[[#This Row],[国内定価
（15％）]]-商品マスタ[[#This Row],[仕入単価+国内送料]]</f>
        <v/>
      </c>
      <c r="Y30" s="139" t="n">
        <v>0.08</v>
      </c>
      <c r="Z30" s="167" t="n"/>
      <c r="AA30" s="167" t="n"/>
      <c r="AB30" s="167" t="n"/>
      <c r="AC30" s="293" t="n"/>
      <c r="AD30" s="168" t="inlineStr">
        <is>
          <t>にんにく満足宣言！！これこそ探し求めていた混ぜるだけで激うまペペロンチーノ！パスタに絡まるガツンとにんにく&amp;ブラックペッパーなどのスパイスが絶妙なバランス。チャーハンの仕上げにもおすすめです！</t>
        </is>
      </c>
      <c r="AE30" s="167" t="n"/>
      <c r="AF30" s="167" t="inlineStr">
        <is>
          <t>〇</t>
        </is>
      </c>
      <c r="AG30" s="144" t="n"/>
    </row>
    <row r="31" ht="18" customHeight="1" s="207">
      <c r="A31" s="166" t="inlineStr">
        <is>
          <t>その他</t>
        </is>
      </c>
      <c r="B31" s="167" t="inlineStr">
        <is>
          <t>調味料</t>
        </is>
      </c>
      <c r="C31" s="167" t="inlineStr">
        <is>
          <t>白亜ダイシン</t>
        </is>
      </c>
      <c r="D31" s="143">
        <f>"PRD_SNJ_"&amp;
_xlfn.XLOOKUP(商品マスタ[[#This Row],[仕入先]],テーブル1[仕入先名],テーブル1[仕入先コード],"XXX",0,1)&amp;
"_"&amp;
商品マスタ[[#This Row],[シリアル]]&amp;
"_"&amp;
TEXT(COUNTIFS(商品マスタ!$C$3:C31,商品マスタ[[#This Row],[仕入先]],商品マスタ!$E$3:E31,商品マスタ[[#This Row],[商品名]]), "00")</f>
        <v/>
      </c>
      <c r="E31" s="167" t="inlineStr">
        <is>
          <t xml:space="preserve">北海道アールグレイミルクジャム　　　　　
</t>
        </is>
      </c>
      <c r="F31" s="167">
        <f>IF(COUNTIFS($C$3:C31,商品マスタ[[#This Row],[仕入先]],$E$3:E31,商品マスタ[[#This Row],[商品名]]) = 1, 1,0)</f>
        <v/>
      </c>
      <c r="G31" s="133">
        <f>TEXT(SUMIF($C$3:C31,商品マスタ[[#This Row],[仕入先]],$F$3:F31), "0000")</f>
        <v/>
      </c>
      <c r="H31" s="167" t="inlineStr">
        <is>
          <t>瓶</t>
        </is>
      </c>
      <c r="I31" s="167" t="inlineStr">
        <is>
          <t>140ｇ</t>
        </is>
      </c>
      <c r="J31" s="167" t="n">
        <v>12</v>
      </c>
      <c r="K31" s="167" t="n"/>
      <c r="L31" s="289" t="n">
        <v>450</v>
      </c>
      <c r="M31" s="157" t="n">
        <v>45952</v>
      </c>
      <c r="N31" s="289" t="n">
        <v>750</v>
      </c>
      <c r="O31" s="290">
        <f>IF(COUNT(商品マスタ[[#This Row],[参考上代
（税込)]]) &gt; 0, (商品マスタ[[#This Row],[参考上代
（税込)]]-商品マスタ[[#This Row],[国内定価
（15％）]])/(商品マスタ[[#This Row],[参考上代
（税込)]]/1.08), "")</f>
        <v/>
      </c>
      <c r="P31" s="136" t="n">
        <v>0.1</v>
      </c>
      <c r="Q31" s="291">
        <f>商品マスタ[[#This Row],[仕入
単価]]*商品マスタ[[#This Row],[標準国内送料率]]</f>
        <v/>
      </c>
      <c r="R31" s="289" t="n">
        <v>1280</v>
      </c>
      <c r="S31" s="289">
        <f>IF(ISBLANK(商品マスタ[[#This Row],[実績
国内送料]]),商品マスタ[[#This Row],[標準国内送料]],)</f>
        <v/>
      </c>
      <c r="T31" s="289">
        <f>商品マスタ[[#This Row],[仕入
単価]]+商品マスタ[[#This Row],[国内送料]]</f>
        <v/>
      </c>
      <c r="U31" s="289">
        <f>ROUNDUP(商品マスタ[[#This Row],[仕入単価+国内送料]]/0.8,-1)</f>
        <v/>
      </c>
      <c r="V31" s="289">
        <f>商品マスタ[[#This Row],[海外定価
（20％）]]-商品マスタ[[#This Row],[仕入単価+国内送料]]</f>
        <v/>
      </c>
      <c r="W31" s="167">
        <f>ROUNDUP(商品マスタ[[#This Row],[仕入単価+国内送料]]/0.85,-1)</f>
        <v/>
      </c>
      <c r="X31" s="289">
        <f>商品マスタ[[#This Row],[国内定価
（15％）]]-商品マスタ[[#This Row],[仕入単価+国内送料]]</f>
        <v/>
      </c>
      <c r="Y31" s="139" t="n">
        <v>0.08</v>
      </c>
      <c r="Z31" s="167" t="inlineStr">
        <is>
          <t>8日</t>
        </is>
      </c>
      <c r="AA31" s="167" t="inlineStr">
        <is>
          <t>常温</t>
        </is>
      </c>
      <c r="AB31" s="167" t="n"/>
      <c r="AC31" s="293" t="n">
        <v>4562182193957</v>
      </c>
      <c r="AD31" s="167" t="inlineStr">
        <is>
          <t>北海道産の新鮮なミルクをたっぷりと使用し、なめらかで濃厚な口当たりに仕上げたミルクジャムに、香り高いアールグレイの茶葉を贅沢に加えました。アールグレイ特有の柑橘系の華やかな香りがミルクのコクと絶妙に調和し、紅茶の風味が引き立つ上品な味わいが楽しめます。ミルクの優しい甘さと、アールグレイの爽やかで芳醇な香りが織りなすハーモニーは、一口食べるたびにティータイムのような心地よさを感じさせてくれます。</t>
        </is>
      </c>
      <c r="AE31" s="167" t="n"/>
      <c r="AF31" s="167" t="inlineStr">
        <is>
          <t>〇</t>
        </is>
      </c>
      <c r="AG31" s="144" t="n"/>
    </row>
    <row r="32" ht="18" customHeight="1" s="207">
      <c r="A32" s="166" t="inlineStr">
        <is>
          <t>その他</t>
        </is>
      </c>
      <c r="B32" s="167" t="inlineStr">
        <is>
          <t>調味料</t>
        </is>
      </c>
      <c r="C32" s="167" t="inlineStr">
        <is>
          <t>白亜ダイシン</t>
        </is>
      </c>
      <c r="D32" s="143">
        <f>"PRD_SNJ_"&amp;
_xlfn.XLOOKUP(商品マスタ[[#This Row],[仕入先]],テーブル1[仕入先名],テーブル1[仕入先コード],"XXX",0,1)&amp;
"_"&amp;
商品マスタ[[#This Row],[シリアル]]&amp;
"_"&amp;
TEXT(COUNTIFS(商品マスタ!$C$3:C32,商品マスタ[[#This Row],[仕入先]],商品マスタ!$E$3:E32,商品マスタ[[#This Row],[商品名]]), "00")</f>
        <v/>
      </c>
      <c r="E32" s="167" t="inlineStr">
        <is>
          <t xml:space="preserve">北海道ほうじ茶ミルクジャム　　　　　　　　　　
</t>
        </is>
      </c>
      <c r="F32" s="167">
        <f>IF(COUNTIFS($C$3:C32,商品マスタ[[#This Row],[仕入先]],$E$3:E32,商品マスタ[[#This Row],[商品名]]) = 1, 1,0)</f>
        <v/>
      </c>
      <c r="G32" s="133">
        <f>TEXT(SUMIF($C$3:C32,商品マスタ[[#This Row],[仕入先]],$F$3:F32), "0000")</f>
        <v/>
      </c>
      <c r="H32" s="167" t="inlineStr">
        <is>
          <t>袋</t>
        </is>
      </c>
      <c r="I32" s="167" t="inlineStr">
        <is>
          <t>140ｇ</t>
        </is>
      </c>
      <c r="J32" s="167" t="n">
        <v>12</v>
      </c>
      <c r="K32" s="167" t="n"/>
      <c r="L32" s="289" t="n">
        <v>450</v>
      </c>
      <c r="M32" s="157" t="n">
        <v>45952</v>
      </c>
      <c r="N32" s="289" t="n">
        <v>750</v>
      </c>
      <c r="O32" s="290">
        <f>IF(COUNT(商品マスタ[[#This Row],[参考上代
（税込)]]) &gt; 0, (商品マスタ[[#This Row],[参考上代
（税込)]]-商品マスタ[[#This Row],[国内定価
（15％）]])/(商品マスタ[[#This Row],[参考上代
（税込)]]/1.08), "")</f>
        <v/>
      </c>
      <c r="P32" s="136" t="n">
        <v>0.1</v>
      </c>
      <c r="Q32" s="291">
        <f>商品マスタ[[#This Row],[仕入
単価]]*商品マスタ[[#This Row],[標準国内送料率]]</f>
        <v/>
      </c>
      <c r="R32" s="289" t="n">
        <v>1280</v>
      </c>
      <c r="S32" s="289">
        <f>IF(ISBLANK(商品マスタ[[#This Row],[実績
国内送料]]),商品マスタ[[#This Row],[標準国内送料]],)</f>
        <v/>
      </c>
      <c r="T32" s="289">
        <f>商品マスタ[[#This Row],[仕入
単価]]+商品マスタ[[#This Row],[国内送料]]</f>
        <v/>
      </c>
      <c r="U32" s="289">
        <f>ROUNDUP(商品マスタ[[#This Row],[仕入単価+国内送料]]/0.8,-1)</f>
        <v/>
      </c>
      <c r="V32" s="289">
        <f>商品マスタ[[#This Row],[海外定価
（20％）]]-商品マスタ[[#This Row],[仕入単価+国内送料]]</f>
        <v/>
      </c>
      <c r="W32" s="167">
        <f>ROUNDUP(商品マスタ[[#This Row],[仕入単価+国内送料]]/0.85,-1)</f>
        <v/>
      </c>
      <c r="X32" s="289">
        <f>商品マスタ[[#This Row],[国内定価
（15％）]]-商品マスタ[[#This Row],[仕入単価+国内送料]]</f>
        <v/>
      </c>
      <c r="Y32" s="139" t="n">
        <v>0.08</v>
      </c>
      <c r="Z32" s="167" t="inlineStr">
        <is>
          <t>8日</t>
        </is>
      </c>
      <c r="AA32" s="167" t="inlineStr">
        <is>
          <t>常温</t>
        </is>
      </c>
      <c r="AB32" s="167" t="n"/>
      <c r="AC32" s="293" t="inlineStr">
        <is>
          <t>4562182193940</t>
        </is>
      </c>
      <c r="AD32" s="167" t="inlineStr">
        <is>
          <t>北海道産の新鮮なミルクをたっぷりと贅沢に使用し、濃厚でなめらかな味わいに仕上げたミルクジャムに、国産のほうじ茶の茶葉を細かく挽いた細粒を加えました。ほうじ茶特有の香ばしく、深みのある風味がミルクのコクと見事に調和し、口に入れた瞬間にふわっと広がる豊かな香りが楽しめます。香ばしいほうじ茶の香りと、優しい甘さのミルクジャムが織りなす絶妙なハーモニーは、まるで和のティータイムを味わっているかのような上品な味わいを演出します。</t>
        </is>
      </c>
      <c r="AE32" s="167" t="n"/>
      <c r="AF32" s="167" t="inlineStr">
        <is>
          <t>〇</t>
        </is>
      </c>
      <c r="AG32" s="144" t="n"/>
    </row>
    <row r="33" ht="18" customHeight="1" s="207">
      <c r="A33" s="166" t="inlineStr">
        <is>
          <t>菓子</t>
        </is>
      </c>
      <c r="B33" s="167" t="inlineStr">
        <is>
          <t>和菓子</t>
        </is>
      </c>
      <c r="C33" s="167" t="inlineStr">
        <is>
          <t>白亜ダイシン</t>
        </is>
      </c>
      <c r="D33" s="143">
        <f>"PRD_SNJ_"&amp;
_xlfn.XLOOKUP(商品マスタ[[#This Row],[仕入先]],テーブル1[仕入先名],テーブル1[仕入先コード],"XXX",0,1)&amp;
"_"&amp;
商品マスタ[[#This Row],[シリアル]]&amp;
"_"&amp;
TEXT(COUNTIFS(商品マスタ!$C$3:C33,商品マスタ[[#This Row],[仕入先]],商品マスタ!$E$3:E33,商品マスタ[[#This Row],[商品名]]), "00")</f>
        <v/>
      </c>
      <c r="E33" s="167" t="inlineStr">
        <is>
          <t xml:space="preserve">ミルクキャンディ　　　　　
</t>
        </is>
      </c>
      <c r="F33" s="167">
        <f>IF(COUNTIFS($C$3:C33,商品マスタ[[#This Row],[仕入先]],$E$3:E33,商品マスタ[[#This Row],[商品名]]) = 1, 1,0)</f>
        <v/>
      </c>
      <c r="G33" s="133">
        <f>TEXT(SUMIF($C$3:C33,商品マスタ[[#This Row],[仕入先]],$F$3:F33), "0000")</f>
        <v/>
      </c>
      <c r="H33" s="167" t="inlineStr">
        <is>
          <t>袋</t>
        </is>
      </c>
      <c r="I33" s="167" t="inlineStr">
        <is>
          <t>60ｇ</t>
        </is>
      </c>
      <c r="J33" s="167" t="n">
        <v>40</v>
      </c>
      <c r="K33" s="167" t="n"/>
      <c r="L33" s="289" t="n">
        <v>228</v>
      </c>
      <c r="M33" s="157" t="n">
        <v>45952</v>
      </c>
      <c r="N33" s="289" t="n">
        <v>380</v>
      </c>
      <c r="O33" s="290">
        <f>IF(COUNT(商品マスタ[[#This Row],[参考上代
（税込)]]) &gt; 0, (商品マスタ[[#This Row],[参考上代
（税込)]]-商品マスタ[[#This Row],[国内定価
（15％）]])/(商品マスタ[[#This Row],[参考上代
（税込)]]/1.08), "")</f>
        <v/>
      </c>
      <c r="P33" s="136" t="n">
        <v>0.1</v>
      </c>
      <c r="Q33" s="291">
        <f>商品マスタ[[#This Row],[仕入
単価]]*商品マスタ[[#This Row],[標準国内送料率]]</f>
        <v/>
      </c>
      <c r="R33" s="289" t="n">
        <v>1280</v>
      </c>
      <c r="S33" s="289">
        <f>IF(ISBLANK(商品マスタ[[#This Row],[実績
国内送料]]),商品マスタ[[#This Row],[標準国内送料]],)</f>
        <v/>
      </c>
      <c r="T33" s="289">
        <f>商品マスタ[[#This Row],[仕入
単価]]+商品マスタ[[#This Row],[国内送料]]</f>
        <v/>
      </c>
      <c r="U33" s="289">
        <f>ROUNDUP(商品マスタ[[#This Row],[仕入単価+国内送料]]/0.8,-1)</f>
        <v/>
      </c>
      <c r="V33" s="289">
        <f>商品マスタ[[#This Row],[海外定価
（20％）]]-商品マスタ[[#This Row],[仕入単価+国内送料]]</f>
        <v/>
      </c>
      <c r="W33" s="167">
        <f>ROUNDUP(商品マスタ[[#This Row],[仕入単価+国内送料]]/0.85,-1)</f>
        <v/>
      </c>
      <c r="X33" s="289">
        <f>商品マスタ[[#This Row],[国内定価
（15％）]]-商品マスタ[[#This Row],[仕入単価+国内送料]]</f>
        <v/>
      </c>
      <c r="Y33" s="139" t="n">
        <v>0.08</v>
      </c>
      <c r="Z33" s="167" t="inlineStr">
        <is>
          <t>8日</t>
        </is>
      </c>
      <c r="AA33" s="167" t="inlineStr">
        <is>
          <t>常温</t>
        </is>
      </c>
      <c r="AB33" s="167" t="n"/>
      <c r="AC33" s="293" t="inlineStr">
        <is>
          <t>4562182194787</t>
        </is>
      </c>
      <c r="AD33" s="167" t="inlineStr">
        <is>
          <t>濃厚なミルクをたっぷりと使用し、なめらかでコクのある味わいに仕上げました。口に入れた瞬間に広がるやさしい甘さと、じんわりと溶けていくミルクの風味が、まるでおとぎ話の世界に迷い込んだかのような心温まるひとときを演出します。</t>
        </is>
      </c>
      <c r="AE33" s="167" t="n"/>
      <c r="AF33" s="167" t="inlineStr">
        <is>
          <t>〇</t>
        </is>
      </c>
      <c r="AG33" s="144" t="n"/>
    </row>
    <row r="34" ht="18" customHeight="1" s="207">
      <c r="A34" s="166" t="inlineStr">
        <is>
          <t>菓子</t>
        </is>
      </c>
      <c r="B34" s="167" t="inlineStr">
        <is>
          <t>和菓子</t>
        </is>
      </c>
      <c r="C34" s="167" t="inlineStr">
        <is>
          <t>白亜ダイシン</t>
        </is>
      </c>
      <c r="D34" s="143">
        <f>"PRD_SNJ_"&amp;
_xlfn.XLOOKUP(商品マスタ[[#This Row],[仕入先]],テーブル1[仕入先名],テーブル1[仕入先コード],"XXX",0,1)&amp;
"_"&amp;
商品マスタ[[#This Row],[シリアル]]&amp;
"_"&amp;
TEXT(COUNTIFS(商品マスタ!$C$3:C34,商品マスタ[[#This Row],[仕入先]],商品マスタ!$E$3:E34,商品マスタ[[#This Row],[商品名]]), "00")</f>
        <v/>
      </c>
      <c r="E34" s="167" t="inlineStr">
        <is>
          <t xml:space="preserve">ミントキャンディ　　　　　　　　　　
</t>
        </is>
      </c>
      <c r="F34" s="167">
        <f>IF(COUNTIFS($C$3:C34,商品マスタ[[#This Row],[仕入先]],$E$3:E34,商品マスタ[[#This Row],[商品名]]) = 1, 1,0)</f>
        <v/>
      </c>
      <c r="G34" s="133">
        <f>TEXT(SUMIF($C$3:C34,商品マスタ[[#This Row],[仕入先]],$F$3:F34), "0000")</f>
        <v/>
      </c>
      <c r="H34" s="167" t="inlineStr">
        <is>
          <t>袋</t>
        </is>
      </c>
      <c r="I34" s="167" t="inlineStr">
        <is>
          <t>60ｇ</t>
        </is>
      </c>
      <c r="J34" s="167" t="n">
        <v>40</v>
      </c>
      <c r="K34" s="167" t="n"/>
      <c r="L34" s="289" t="n">
        <v>228</v>
      </c>
      <c r="M34" s="157" t="n">
        <v>45952</v>
      </c>
      <c r="N34" s="289" t="n">
        <v>380</v>
      </c>
      <c r="O34" s="290">
        <f>IF(COUNT(商品マスタ[[#This Row],[参考上代
（税込)]]) &gt; 0, (商品マスタ[[#This Row],[参考上代
（税込)]]-商品マスタ[[#This Row],[国内定価
（15％）]])/(商品マスタ[[#This Row],[参考上代
（税込)]]/1.08), "")</f>
        <v/>
      </c>
      <c r="P34" s="136" t="n">
        <v>0.1</v>
      </c>
      <c r="Q34" s="291">
        <f>商品マスタ[[#This Row],[仕入
単価]]*商品マスタ[[#This Row],[標準国内送料率]]</f>
        <v/>
      </c>
      <c r="R34" s="289" t="n">
        <v>1280</v>
      </c>
      <c r="S34" s="289">
        <f>IF(ISBLANK(商品マスタ[[#This Row],[実績
国内送料]]),商品マスタ[[#This Row],[標準国内送料]],)</f>
        <v/>
      </c>
      <c r="T34" s="289">
        <f>商品マスタ[[#This Row],[仕入
単価]]+商品マスタ[[#This Row],[国内送料]]</f>
        <v/>
      </c>
      <c r="U34" s="289">
        <f>ROUNDUP(商品マスタ[[#This Row],[仕入単価+国内送料]]/0.8,-1)</f>
        <v/>
      </c>
      <c r="V34" s="289">
        <f>商品マスタ[[#This Row],[海外定価
（20％）]]-商品マスタ[[#This Row],[仕入単価+国内送料]]</f>
        <v/>
      </c>
      <c r="W34" s="167">
        <f>ROUNDUP(商品マスタ[[#This Row],[仕入単価+国内送料]]/0.85,-1)</f>
        <v/>
      </c>
      <c r="X34" s="289">
        <f>商品マスタ[[#This Row],[国内定価
（15％）]]-商品マスタ[[#This Row],[仕入単価+国内送料]]</f>
        <v/>
      </c>
      <c r="Y34" s="139" t="n">
        <v>0.08</v>
      </c>
      <c r="Z34" s="167" t="inlineStr">
        <is>
          <t>8日</t>
        </is>
      </c>
      <c r="AA34" s="167" t="inlineStr">
        <is>
          <t>常温</t>
        </is>
      </c>
      <c r="AB34" s="167" t="n"/>
      <c r="AC34" s="293" t="inlineStr">
        <is>
          <t>4562182194794</t>
        </is>
      </c>
      <c r="AD34" s="167" t="inlineStr">
        <is>
          <t>ひと口食べれば、すっきりとした清涼感が広がり、爽やかな風が吹き抜けるような心地よさを感じられます。口の中に広がるクールな味わいは、気分をリフレッシュしたいときや、ちょっとした息抜きの時間にもぴったり。厳選したミントの風味を活かし、ほどよい甘さと爽快感のバランスを絶妙に仕上げました。</t>
        </is>
      </c>
      <c r="AE34" s="167" t="n"/>
      <c r="AF34" s="167" t="inlineStr">
        <is>
          <t>〇</t>
        </is>
      </c>
      <c r="AG34" s="144" t="n"/>
    </row>
    <row r="35" ht="18" customHeight="1" s="207">
      <c r="A35" s="166" t="inlineStr">
        <is>
          <t>その他</t>
        </is>
      </c>
      <c r="B35" s="167" t="inlineStr">
        <is>
          <t>備長炭</t>
        </is>
      </c>
      <c r="C35" s="167" t="inlineStr">
        <is>
          <t>白亜ダイシン</t>
        </is>
      </c>
      <c r="D35" s="143">
        <f>"PRD_SNJ_"&amp;
_xlfn.XLOOKUP(商品マスタ[[#This Row],[仕入先]],テーブル1[仕入先名],テーブル1[仕入先コード],"XXX",0,1)&amp;
"_"&amp;
商品マスタ[[#This Row],[シリアル]]&amp;
"_"&amp;
TEXT(COUNTIFS(商品マスタ!$C$3:C35,商品マスタ[[#This Row],[仕入先]],商品マスタ!$E$3:E35,商品マスタ[[#This Row],[商品名]]), "00")</f>
        <v/>
      </c>
      <c r="E35" s="167" t="inlineStr">
        <is>
          <t xml:space="preserve">ミックスベリーソーダ
</t>
        </is>
      </c>
      <c r="F35" s="167">
        <f>IF(COUNTIFS($C$3:C35,商品マスタ[[#This Row],[仕入先]],$E$3:E35,商品マスタ[[#This Row],[商品名]]) = 1, 1,0)</f>
        <v/>
      </c>
      <c r="G35" s="133">
        <f>TEXT(SUMIF($C$3:C35,商品マスタ[[#This Row],[仕入先]],$F$3:F35), "0000")</f>
        <v/>
      </c>
      <c r="H35" s="167" t="inlineStr">
        <is>
          <t>瓶</t>
        </is>
      </c>
      <c r="I35" s="167" t="inlineStr">
        <is>
          <t>200ml</t>
        </is>
      </c>
      <c r="J35" s="167" t="n">
        <v>24</v>
      </c>
      <c r="K35" s="167" t="n"/>
      <c r="L35" s="289" t="n">
        <v>228</v>
      </c>
      <c r="M35" s="157" t="n">
        <v>45952</v>
      </c>
      <c r="N35" s="289" t="n">
        <v>380</v>
      </c>
      <c r="O35" s="290">
        <f>IF(COUNT(商品マスタ[[#This Row],[参考上代
（税込)]]) &gt; 0, (商品マスタ[[#This Row],[参考上代
（税込)]]-商品マスタ[[#This Row],[国内定価
（15％）]])/(商品マスタ[[#This Row],[参考上代
（税込)]]/1.08), "")</f>
        <v/>
      </c>
      <c r="P35" s="136" t="n">
        <v>0.1</v>
      </c>
      <c r="Q35" s="291">
        <f>商品マスタ[[#This Row],[仕入
単価]]*商品マスタ[[#This Row],[標準国内送料率]]</f>
        <v/>
      </c>
      <c r="R35" s="289" t="n">
        <v>1280</v>
      </c>
      <c r="S35" s="289">
        <f>IF(ISBLANK(商品マスタ[[#This Row],[実績
国内送料]]),商品マスタ[[#This Row],[標準国内送料]],)</f>
        <v/>
      </c>
      <c r="T35" s="289">
        <f>商品マスタ[[#This Row],[仕入
単価]]+商品マスタ[[#This Row],[国内送料]]</f>
        <v/>
      </c>
      <c r="U35" s="289">
        <f>ROUNDUP(商品マスタ[[#This Row],[仕入単価+国内送料]]/0.8,-1)</f>
        <v/>
      </c>
      <c r="V35" s="289">
        <f>商品マスタ[[#This Row],[海外定価
（20％）]]-商品マスタ[[#This Row],[仕入単価+国内送料]]</f>
        <v/>
      </c>
      <c r="W35" s="167">
        <f>ROUNDUP(商品マスタ[[#This Row],[仕入単価+国内送料]]/0.85,-1)</f>
        <v/>
      </c>
      <c r="X35" s="289">
        <f>商品マスタ[[#This Row],[国内定価
（15％）]]-商品マスタ[[#This Row],[仕入単価+国内送料]]</f>
        <v/>
      </c>
      <c r="Y35" s="139" t="n">
        <v>0.08</v>
      </c>
      <c r="Z35" s="167" t="inlineStr">
        <is>
          <t>8日</t>
        </is>
      </c>
      <c r="AA35" s="167" t="inlineStr">
        <is>
          <t>常温</t>
        </is>
      </c>
      <c r="AB35" s="167" t="n"/>
      <c r="AC35" s="293" t="inlineStr">
        <is>
          <t>4562182191731</t>
        </is>
      </c>
      <c r="AD35" s="167" t="inlineStr">
        <is>
          <t>北海道産のハスカップとはちみつをベースに、ラズベリーとカシスをバランスよくブレンドした、フルーティーな炭酸ドリンクです。ハスカップのほどよい酸味に、ラズベリーの華やかな香りとカシスの深みのあるコクが加わり、爽やかで飲みやすい味わいに仕上げました。炭酸の心地よい刺激が、口の中でふわっと広がるベリーの香りを引き立て、ほんのり甘くすっきりとした後味が楽しめます。</t>
        </is>
      </c>
      <c r="AE35" s="167" t="n"/>
      <c r="AF35" s="167" t="inlineStr">
        <is>
          <t>〇</t>
        </is>
      </c>
      <c r="AG35" s="144" t="n"/>
    </row>
    <row r="36" ht="18" customHeight="1" s="207">
      <c r="A36" s="166" t="inlineStr">
        <is>
          <t>菓子</t>
        </is>
      </c>
      <c r="B36" s="167" t="inlineStr">
        <is>
          <t>洋菓子</t>
        </is>
      </c>
      <c r="C36" s="167" t="inlineStr">
        <is>
          <t>白亜ダイシン</t>
        </is>
      </c>
      <c r="D36" s="143">
        <f>"PRD_SNJ_"&amp;
_xlfn.XLOOKUP(商品マスタ[[#This Row],[仕入先]],テーブル1[仕入先名],テーブル1[仕入先コード],"XXX",0,1)&amp;
"_"&amp;
商品マスタ[[#This Row],[シリアル]]&amp;
"_"&amp;
TEXT(COUNTIFS(商品マスタ!$C$3:C36,商品マスタ[[#This Row],[仕入先]],商品マスタ!$E$3:E36,商品マスタ[[#This Row],[商品名]]), "00")</f>
        <v/>
      </c>
      <c r="E36" s="167" t="inlineStr">
        <is>
          <t xml:space="preserve">北海道バジルソース
</t>
        </is>
      </c>
      <c r="F36" s="167">
        <f>IF(COUNTIFS($C$3:C36,商品マスタ[[#This Row],[仕入先]],$E$3:E36,商品マスタ[[#This Row],[商品名]]) = 1, 1,0)</f>
        <v/>
      </c>
      <c r="G36" s="133">
        <f>TEXT(SUMIF($C$3:C36,商品マスタ[[#This Row],[仕入先]],$F$3:F36), "0000")</f>
        <v/>
      </c>
      <c r="H36" s="167" t="inlineStr">
        <is>
          <t>瓶</t>
        </is>
      </c>
      <c r="I36" s="167" t="inlineStr">
        <is>
          <t>110ｇ</t>
        </is>
      </c>
      <c r="J36" s="167" t="n">
        <v>12</v>
      </c>
      <c r="K36" s="167" t="n"/>
      <c r="L36" s="289" t="n">
        <v>504</v>
      </c>
      <c r="M36" s="157" t="n">
        <v>45952</v>
      </c>
      <c r="N36" s="289" t="n">
        <v>840</v>
      </c>
      <c r="O36" s="290">
        <f>IF(COUNT(商品マスタ[[#This Row],[参考上代
（税込)]]) &gt; 0, (商品マスタ[[#This Row],[参考上代
（税込)]]-商品マスタ[[#This Row],[国内定価
（15％）]])/(商品マスタ[[#This Row],[参考上代
（税込)]]/1.08), "")</f>
        <v/>
      </c>
      <c r="P36" s="136" t="n">
        <v>0.1</v>
      </c>
      <c r="Q36" s="291">
        <f>商品マスタ[[#This Row],[仕入
単価]]*商品マスタ[[#This Row],[標準国内送料率]]</f>
        <v/>
      </c>
      <c r="R36" s="289" t="n">
        <v>1280</v>
      </c>
      <c r="S36" s="289">
        <f>IF(ISBLANK(商品マスタ[[#This Row],[実績
国内送料]]),商品マスタ[[#This Row],[標準国内送料]],)</f>
        <v/>
      </c>
      <c r="T36" s="289">
        <f>商品マスタ[[#This Row],[仕入
単価]]+商品マスタ[[#This Row],[国内送料]]</f>
        <v/>
      </c>
      <c r="U36" s="289">
        <f>ROUNDUP(商品マスタ[[#This Row],[仕入単価+国内送料]]/0.8,-1)</f>
        <v/>
      </c>
      <c r="V36" s="289">
        <f>商品マスタ[[#This Row],[海外定価
（20％）]]-商品マスタ[[#This Row],[仕入単価+国内送料]]</f>
        <v/>
      </c>
      <c r="W36" s="167">
        <f>ROUNDUP(商品マスタ[[#This Row],[仕入単価+国内送料]]/0.85,-1)</f>
        <v/>
      </c>
      <c r="X36" s="289">
        <f>商品マスタ[[#This Row],[国内定価
（15％）]]-商品マスタ[[#This Row],[仕入単価+国内送料]]</f>
        <v/>
      </c>
      <c r="Y36" s="139" t="n">
        <v>0.08</v>
      </c>
      <c r="Z36" s="167" t="inlineStr">
        <is>
          <t>8日</t>
        </is>
      </c>
      <c r="AA36" s="167" t="inlineStr">
        <is>
          <t>常温</t>
        </is>
      </c>
      <c r="AB36" s="167" t="n"/>
      <c r="AC36" s="293" t="n">
        <v>4562182191687</v>
      </c>
      <c r="AD36" s="167" t="inlineStr">
        <is>
          <t>北海道産のバジルだけを贅沢に使用した、シンプルでありながら王道のバジルソースが誕生しました。収穫したばかりの新鮮なバジルをたっぷりと使い、素材本来の風味を存分に引き出しています。そこにカシューナッツと粉チーズを加え、クセがなく、まろやかでコクのある味わいに仕上げました。</t>
        </is>
      </c>
      <c r="AE36" s="167" t="n"/>
      <c r="AF36" s="167" t="inlineStr">
        <is>
          <t>〇</t>
        </is>
      </c>
      <c r="AG36" s="144" t="n"/>
    </row>
    <row r="37" ht="18" customHeight="1" s="207">
      <c r="A37" s="166" t="inlineStr">
        <is>
          <t>青果</t>
        </is>
      </c>
      <c r="B37" s="167" t="inlineStr">
        <is>
          <t>野菜</t>
        </is>
      </c>
      <c r="C37" s="167" t="inlineStr">
        <is>
          <t>白亜ダイシン</t>
        </is>
      </c>
      <c r="D37" s="143">
        <f>"PRD_SNJ_"&amp;
_xlfn.XLOOKUP(商品マスタ[[#This Row],[仕入先]],テーブル1[仕入先名],テーブル1[仕入先コード],"XXX",0,1)&amp;
"_"&amp;
商品マスタ[[#This Row],[シリアル]]&amp;
"_"&amp;
TEXT(COUNTIFS(商品マスタ!$C$3:C37,商品マスタ[[#This Row],[仕入先]],商品マスタ!$E$3:E37,商品マスタ[[#This Row],[商品名]]), "00")</f>
        <v/>
      </c>
      <c r="E37" s="167" t="inlineStr">
        <is>
          <t xml:space="preserve">北海道焼肉ソース　　　　　　　　　　　　
</t>
        </is>
      </c>
      <c r="F37" s="167">
        <f>IF(COUNTIFS($C$3:C37,商品マスタ[[#This Row],[仕入先]],$E$3:E37,商品マスタ[[#This Row],[商品名]]) = 1, 1,0)</f>
        <v/>
      </c>
      <c r="G37" s="133">
        <f>TEXT(SUMIF($C$3:C37,商品マスタ[[#This Row],[仕入先]],$F$3:F37), "0000")</f>
        <v/>
      </c>
      <c r="H37" s="167" t="inlineStr">
        <is>
          <t>瓶</t>
        </is>
      </c>
      <c r="I37" s="167" t="inlineStr">
        <is>
          <t>200ｇ</t>
        </is>
      </c>
      <c r="J37" s="167" t="n">
        <v>12</v>
      </c>
      <c r="K37" s="167" t="n"/>
      <c r="L37" s="289" t="n">
        <v>414</v>
      </c>
      <c r="M37" s="157" t="n">
        <v>45952</v>
      </c>
      <c r="N37" s="289" t="n">
        <v>690</v>
      </c>
      <c r="O37" s="290">
        <f>IF(COUNT(商品マスタ[[#This Row],[参考上代
（税込)]]) &gt; 0, (商品マスタ[[#This Row],[参考上代
（税込)]]-商品マスタ[[#This Row],[国内定価
（15％）]])/(商品マスタ[[#This Row],[参考上代
（税込)]]/1.08), "")</f>
        <v/>
      </c>
      <c r="P37" s="136" t="n">
        <v>0.1</v>
      </c>
      <c r="Q37" s="291">
        <f>商品マスタ[[#This Row],[仕入
単価]]*商品マスタ[[#This Row],[標準国内送料率]]</f>
        <v/>
      </c>
      <c r="R37" s="289" t="n">
        <v>1280</v>
      </c>
      <c r="S37" s="289">
        <f>IF(ISBLANK(商品マスタ[[#This Row],[実績
国内送料]]),商品マスタ[[#This Row],[標準国内送料]],)</f>
        <v/>
      </c>
      <c r="T37" s="289">
        <f>商品マスタ[[#This Row],[仕入
単価]]+商品マスタ[[#This Row],[国内送料]]</f>
        <v/>
      </c>
      <c r="U37" s="289">
        <f>ROUNDUP(商品マスタ[[#This Row],[仕入単価+国内送料]]/0.8,-1)</f>
        <v/>
      </c>
      <c r="V37" s="289">
        <f>商品マスタ[[#This Row],[海外定価
（20％）]]-商品マスタ[[#This Row],[仕入単価+国内送料]]</f>
        <v/>
      </c>
      <c r="W37" s="167">
        <f>ROUNDUP(商品マスタ[[#This Row],[仕入単価+国内送料]]/0.85,-1)</f>
        <v/>
      </c>
      <c r="X37" s="289">
        <f>商品マスタ[[#This Row],[国内定価
（15％）]]-商品マスタ[[#This Row],[仕入単価+国内送料]]</f>
        <v/>
      </c>
      <c r="Y37" s="139" t="n">
        <v>0.08</v>
      </c>
      <c r="Z37" s="167" t="inlineStr">
        <is>
          <t>8日</t>
        </is>
      </c>
      <c r="AA37" s="167" t="inlineStr">
        <is>
          <t>常温</t>
        </is>
      </c>
      <c r="AB37" s="167" t="n"/>
      <c r="AC37" s="293" t="inlineStr">
        <is>
          <t>4562182192189</t>
        </is>
      </c>
      <c r="AD37" s="167" t="inlineStr">
        <is>
          <t>北海道産の風味豊かなしょうがをふんだんに使い、ピリッとした爽やかな辛味と香りが引き立つ焼肉ソースに仕上げました。ベースには、北海道産大豆を使用したまろやかでコクのある醤油を採用し、味に深みと奥行きをプラス。さらに、カットした北海道産玉ねぎをたっぷりと加えることで、甘みと旨みが増し、よりマイルドで後味すっきりとした味わいを実現しました。</t>
        </is>
      </c>
      <c r="AE37" s="167" t="n"/>
      <c r="AF37" s="167" t="inlineStr">
        <is>
          <t>〇</t>
        </is>
      </c>
      <c r="AG37" s="144" t="n"/>
    </row>
    <row r="38" ht="18" customHeight="1" s="207">
      <c r="A38" s="166" t="inlineStr">
        <is>
          <t>加工品</t>
        </is>
      </c>
      <c r="B38" s="167" t="inlineStr">
        <is>
          <t>肉加工品</t>
        </is>
      </c>
      <c r="C38" s="167" t="inlineStr">
        <is>
          <t>シャルキュトリーアカイシ</t>
        </is>
      </c>
      <c r="D38" s="143">
        <f>"PRD_SNJ_"&amp;
_xlfn.XLOOKUP(商品マスタ[[#This Row],[仕入先]],テーブル1[仕入先名],テーブル1[仕入先コード],"XXX",0,1)&amp;
"_"&amp;
商品マスタ[[#This Row],[シリアル]]&amp;
"_"&amp;
TEXT(COUNTIFS(商品マスタ!$C$3:C38,商品マスタ[[#This Row],[仕入先]],商品マスタ!$E$3:E38,商品マスタ[[#This Row],[商品名]]), "00")</f>
        <v/>
      </c>
      <c r="E38" s="167" t="inlineStr">
        <is>
          <t>豚バラ肉のベーコン（スライス）/ Poitrine fumée</t>
        </is>
      </c>
      <c r="F38" s="167">
        <f>IF(COUNTIFS($C$3:C38,商品マスタ[[#This Row],[仕入先]],$E$3:E38,商品マスタ[[#This Row],[商品名]]) = 1, 1,0)</f>
        <v/>
      </c>
      <c r="G38" s="133">
        <f>TEXT(SUMIF($C$3:C38,商品マスタ[[#This Row],[仕入先]],$F$3:F38), "0000")</f>
        <v/>
      </c>
      <c r="H38" s="167" t="n"/>
      <c r="I38" s="167" t="inlineStr">
        <is>
          <t>100ｇ</t>
        </is>
      </c>
      <c r="J38" s="167" t="n">
        <v>5</v>
      </c>
      <c r="K38" s="167" t="n"/>
      <c r="L38" s="289" t="n">
        <v>625</v>
      </c>
      <c r="M38" s="157" t="n">
        <v>45952</v>
      </c>
      <c r="N38" s="289" t="n">
        <v>900</v>
      </c>
      <c r="O38" s="290">
        <f>IF(COUNT(商品マスタ[[#This Row],[参考上代
（税込)]]) &gt; 0, (商品マスタ[[#This Row],[参考上代
（税込)]]-商品マスタ[[#This Row],[国内定価
（15％）]])/(商品マスタ[[#This Row],[参考上代
（税込)]]/1.08), "")</f>
        <v/>
      </c>
      <c r="P38" s="136" t="n">
        <v>0.1</v>
      </c>
      <c r="Q38" s="291">
        <f>商品マスタ[[#This Row],[仕入
単価]]*商品マスタ[[#This Row],[標準国内送料率]]</f>
        <v/>
      </c>
      <c r="R38" s="292" t="n"/>
      <c r="S38" s="292">
        <f>IF(ISBLANK(商品マスタ[[#This Row],[実績
国内送料]]),商品マスタ[[#This Row],[標準国内送料]],)</f>
        <v/>
      </c>
      <c r="T38" s="292">
        <f>商品マスタ[[#This Row],[仕入
単価]]+商品マスタ[[#This Row],[国内送料]]</f>
        <v/>
      </c>
      <c r="U38" s="292">
        <f>ROUNDUP(商品マスタ[[#This Row],[仕入単価+国内送料]]/0.8,-1)</f>
        <v/>
      </c>
      <c r="V38" s="292">
        <f>商品マスタ[[#This Row],[海外定価
（20％）]]-商品マスタ[[#This Row],[仕入単価+国内送料]]</f>
        <v/>
      </c>
      <c r="W38" s="167">
        <f>ROUNDUP(商品マスタ[[#This Row],[仕入単価+国内送料]]/0.85,-1)</f>
        <v/>
      </c>
      <c r="X38" s="289">
        <f>商品マスタ[[#This Row],[国内定価
（15％）]]-商品マスタ[[#This Row],[仕入単価+国内送料]]</f>
        <v/>
      </c>
      <c r="Y38" s="139" t="n">
        <v>0.08</v>
      </c>
      <c r="Z38" s="167" t="inlineStr">
        <is>
          <t>30日</t>
        </is>
      </c>
      <c r="AA38" s="167" t="inlineStr">
        <is>
          <t>10℃以下</t>
        </is>
      </c>
      <c r="AB38" s="167" t="inlineStr">
        <is>
          <t>5日</t>
        </is>
      </c>
      <c r="AC38" s="294" t="n">
        <v>4580578380149</v>
      </c>
      <c r="AD38" s="167" t="inlineStr">
        <is>
          <t>桜のチップでスモーク。熟成と燻煙で肉のうまみを凝縮したベーコン。そのまま焼いてベーコンエッグやサンドウィッチに。</t>
        </is>
      </c>
      <c r="AE38" s="167" t="n"/>
      <c r="AF38" s="167" t="inlineStr">
        <is>
          <t>〇</t>
        </is>
      </c>
      <c r="AG38" s="150" t="inlineStr">
        <is>
          <t>最優秀賞受賞商品。2万円以上の注文で送料無料。</t>
        </is>
      </c>
    </row>
    <row r="39" ht="18" customHeight="1" s="207">
      <c r="A39" s="166" t="inlineStr">
        <is>
          <t>加工品</t>
        </is>
      </c>
      <c r="B39" s="167" t="inlineStr">
        <is>
          <t>肉加工品</t>
        </is>
      </c>
      <c r="C39" s="167" t="inlineStr">
        <is>
          <t>シャルキュトリーアカイシ</t>
        </is>
      </c>
      <c r="D39" s="143">
        <f>"PRD_SNJ_"&amp;
_xlfn.XLOOKUP(商品マスタ[[#This Row],[仕入先]],テーブル1[仕入先名],テーブル1[仕入先コード],"XXX",0,1)&amp;
"_"&amp;
商品マスタ[[#This Row],[シリアル]]&amp;
"_"&amp;
TEXT(COUNTIFS(商品マスタ!$C$3:C39,商品マスタ[[#This Row],[仕入先]],商品マスタ!$E$3:E39,商品マスタ[[#This Row],[商品名]]), "00")</f>
        <v/>
      </c>
      <c r="E39" s="167" t="inlineStr">
        <is>
          <t>豚バラ肉のベーコン（ブロック） / Poitrine fumée</t>
        </is>
      </c>
      <c r="F39" s="167">
        <f>IF(COUNTIFS($C$3:C39,商品マスタ[[#This Row],[仕入先]],$E$3:E39,商品マスタ[[#This Row],[商品名]]) = 1, 1,0)</f>
        <v/>
      </c>
      <c r="G39" s="133">
        <f>TEXT(SUMIF($C$3:C39,商品マスタ[[#This Row],[仕入先]],$F$3:F39), "0000")</f>
        <v/>
      </c>
      <c r="H39" s="167" t="n"/>
      <c r="I39" s="167" t="inlineStr">
        <is>
          <t>150ｇ</t>
        </is>
      </c>
      <c r="J39" s="167" t="n">
        <v>5</v>
      </c>
      <c r="K39" s="167" t="n"/>
      <c r="L39" s="289" t="n">
        <v>833</v>
      </c>
      <c r="M39" s="157" t="n">
        <v>45952</v>
      </c>
      <c r="N39" s="289" t="n">
        <v>1200</v>
      </c>
      <c r="O39" s="290">
        <f>IF(COUNT(商品マスタ[[#This Row],[参考上代
（税込)]]) &gt; 0, (商品マスタ[[#This Row],[参考上代
（税込)]]-商品マスタ[[#This Row],[国内定価
（15％）]])/(商品マスタ[[#This Row],[参考上代
（税込)]]/1.08), "")</f>
        <v/>
      </c>
      <c r="P39" s="136" t="n">
        <v>0.1</v>
      </c>
      <c r="Q39" s="291">
        <f>商品マスタ[[#This Row],[仕入
単価]]*商品マスタ[[#This Row],[標準国内送料率]]</f>
        <v/>
      </c>
      <c r="R39" s="289" t="n"/>
      <c r="S39" s="289">
        <f>IF(ISBLANK(商品マスタ[[#This Row],[実績
国内送料]]),商品マスタ[[#This Row],[標準国内送料]],)</f>
        <v/>
      </c>
      <c r="T39" s="289">
        <f>商品マスタ[[#This Row],[仕入
単価]]+商品マスタ[[#This Row],[国内送料]]</f>
        <v/>
      </c>
      <c r="U39" s="289">
        <f>ROUNDUP(商品マスタ[[#This Row],[仕入単価+国内送料]]/0.8,-1)</f>
        <v/>
      </c>
      <c r="V39" s="289">
        <f>商品マスタ[[#This Row],[海外定価
（20％）]]-商品マスタ[[#This Row],[仕入単価+国内送料]]</f>
        <v/>
      </c>
      <c r="W39" s="167">
        <f>ROUNDUP(商品マスタ[[#This Row],[仕入単価+国内送料]]/0.85,-1)</f>
        <v/>
      </c>
      <c r="X39" s="289">
        <f>商品マスタ[[#This Row],[国内定価
（15％）]]-商品マスタ[[#This Row],[仕入単価+国内送料]]</f>
        <v/>
      </c>
      <c r="Y39" s="139" t="n">
        <v>0.08</v>
      </c>
      <c r="Z39" s="167" t="inlineStr">
        <is>
          <t>30日</t>
        </is>
      </c>
      <c r="AA39" s="167" t="inlineStr">
        <is>
          <t>10℃以下</t>
        </is>
      </c>
      <c r="AB39" s="167" t="inlineStr">
        <is>
          <t>5日</t>
        </is>
      </c>
      <c r="AC39" s="294" t="n">
        <v>4580578380156</v>
      </c>
      <c r="AD39" s="167" t="inlineStr">
        <is>
          <t>桜のチップでスモーク。熟成と燻煙で肉のうまみを凝縮したベーコン。パスタや煮込み料理に。</t>
        </is>
      </c>
      <c r="AE39" s="167" t="n"/>
      <c r="AF39" s="167" t="inlineStr">
        <is>
          <t>〇</t>
        </is>
      </c>
      <c r="AG39" s="151" t="inlineStr">
        <is>
          <t>2万円以上の注文で送料無料。</t>
        </is>
      </c>
    </row>
    <row r="40" ht="18" customHeight="1" s="207">
      <c r="A40" s="166" t="inlineStr">
        <is>
          <t>飲料アルコール</t>
        </is>
      </c>
      <c r="B40" s="167" t="inlineStr">
        <is>
          <t>ワイン</t>
        </is>
      </c>
      <c r="C40" s="167" t="inlineStr">
        <is>
          <t>シャルキュトリーアカイシ</t>
        </is>
      </c>
      <c r="D40" s="143">
        <f>"PRD_SNJ_"&amp;
_xlfn.XLOOKUP(商品マスタ[[#This Row],[仕入先]],テーブル1[仕入先名],テーブル1[仕入先コード],"XXX",0,1)&amp;
"_"&amp;
商品マスタ[[#This Row],[シリアル]]&amp;
"_"&amp;
TEXT(COUNTIFS(商品マスタ!$C$3:C40,商品マスタ[[#This Row],[仕入先]],商品マスタ!$E$3:E40,商品マスタ[[#This Row],[商品名]]), "00")</f>
        <v/>
      </c>
      <c r="E40" s="167" t="inlineStr">
        <is>
          <t>鶏白レバーペースト/ Pâté de foie blond de volaille</t>
        </is>
      </c>
      <c r="F40" s="167">
        <f>IF(COUNTIFS($C$3:C40,商品マスタ[[#This Row],[仕入先]],$E$3:E40,商品マスタ[[#This Row],[商品名]]) = 1, 1,0)</f>
        <v/>
      </c>
      <c r="G40" s="133">
        <f>TEXT(SUMIF($C$3:C40,商品マスタ[[#This Row],[仕入先]],$F$3:F40), "0000")</f>
        <v/>
      </c>
      <c r="H40" s="167" t="n"/>
      <c r="I40" s="167" t="inlineStr">
        <is>
          <t>80g</t>
        </is>
      </c>
      <c r="J40" s="167" t="n">
        <v>5</v>
      </c>
      <c r="K40" s="167" t="n"/>
      <c r="L40" s="289" t="n">
        <v>625</v>
      </c>
      <c r="M40" s="157" t="n">
        <v>45952</v>
      </c>
      <c r="N40" s="289" t="n">
        <v>900</v>
      </c>
      <c r="O40" s="290">
        <f>IF(COUNT(商品マスタ[[#This Row],[参考上代
（税込)]]) &gt; 0, (商品マスタ[[#This Row],[参考上代
（税込)]]-商品マスタ[[#This Row],[国内定価
（15％）]])/(商品マスタ[[#This Row],[参考上代
（税込)]]/1.08), "")</f>
        <v/>
      </c>
      <c r="P40" s="136" t="n">
        <v>0.1</v>
      </c>
      <c r="Q40" s="291">
        <f>商品マスタ[[#This Row],[仕入
単価]]*商品マスタ[[#This Row],[標準国内送料率]]</f>
        <v/>
      </c>
      <c r="R40" s="289" t="n"/>
      <c r="S40" s="289">
        <f>IF(ISBLANK(商品マスタ[[#This Row],[実績
国内送料]]),商品マスタ[[#This Row],[標準国内送料]],)</f>
        <v/>
      </c>
      <c r="T40" s="289">
        <f>商品マスタ[[#This Row],[仕入
単価]]+商品マスタ[[#This Row],[国内送料]]</f>
        <v/>
      </c>
      <c r="U40" s="289">
        <f>ROUNDUP(商品マスタ[[#This Row],[仕入単価+国内送料]]/0.8,-1)</f>
        <v/>
      </c>
      <c r="V40" s="289">
        <f>商品マスタ[[#This Row],[海外定価
（20％）]]-商品マスタ[[#This Row],[仕入単価+国内送料]]</f>
        <v/>
      </c>
      <c r="W40" s="167">
        <f>ROUNDUP(商品マスタ[[#This Row],[仕入単価+国内送料]]/0.85,-1)</f>
        <v/>
      </c>
      <c r="X40" s="289">
        <f>商品マスタ[[#This Row],[国内定価
（15％）]]-商品マスタ[[#This Row],[仕入単価+国内送料]]</f>
        <v/>
      </c>
      <c r="Y40" s="139" t="n">
        <v>0.08</v>
      </c>
      <c r="Z40" s="167" t="inlineStr">
        <is>
          <t>30日</t>
        </is>
      </c>
      <c r="AA40" s="167" t="inlineStr">
        <is>
          <t>10℃以下</t>
        </is>
      </c>
      <c r="AB40" s="167" t="inlineStr">
        <is>
          <t>5日</t>
        </is>
      </c>
      <c r="AC40" s="294" t="n">
        <v>4580578380194</v>
      </c>
      <c r="AD40" s="167" t="inlineStr">
        <is>
          <t>貴重な鶏の〝フォアグラ〟をクリームと合わせてリッチな味わいのペーストの。スライスしたハード系のパンと一緒に。赤ワインによく合う人気の商品。</t>
        </is>
      </c>
      <c r="AE40" s="167" t="n"/>
      <c r="AF40" s="167" t="inlineStr">
        <is>
          <t>〇</t>
        </is>
      </c>
      <c r="AG40" s="144" t="inlineStr">
        <is>
          <t>2万円以上の注文で送料無料。</t>
        </is>
      </c>
    </row>
    <row r="41" ht="18" customHeight="1" s="207">
      <c r="A41" s="166" t="inlineStr">
        <is>
          <t>加工品</t>
        </is>
      </c>
      <c r="B41" s="167" t="inlineStr">
        <is>
          <t>肉加工品</t>
        </is>
      </c>
      <c r="C41" s="167" t="inlineStr">
        <is>
          <t>シャルキュトリーアカイシ</t>
        </is>
      </c>
      <c r="D41" s="143">
        <f>"PRD_SNJ_"&amp;
_xlfn.XLOOKUP(商品マスタ[[#This Row],[仕入先]],テーブル1[仕入先名],テーブル1[仕入先コード],"XXX",0,1)&amp;
"_"&amp;
商品マスタ[[#This Row],[シリアル]]&amp;
"_"&amp;
TEXT(COUNTIFS(商品マスタ!$C$3:C41,商品マスタ[[#This Row],[仕入先]],商品マスタ!$E$3:E41,商品マスタ[[#This Row],[商品名]]), "00")</f>
        <v/>
      </c>
      <c r="E41" s="167" t="inlineStr">
        <is>
          <t>北海道産 豚モモ肉のハム / Jambon blanc</t>
        </is>
      </c>
      <c r="F41" s="167">
        <f>IF(COUNTIFS($C$3:C41,商品マスタ[[#This Row],[仕入先]],$E$3:E41,商品マスタ[[#This Row],[商品名]]) = 1, 1,0)</f>
        <v/>
      </c>
      <c r="G41" s="133">
        <f>TEXT(SUMIF($C$3:C41,商品マスタ[[#This Row],[仕入先]],$F$3:F41), "0000")</f>
        <v/>
      </c>
      <c r="H41" s="167" t="n"/>
      <c r="I41" s="167" t="inlineStr">
        <is>
          <t>100ｇ</t>
        </is>
      </c>
      <c r="J41" s="167" t="n">
        <v>5</v>
      </c>
      <c r="K41" s="167" t="n"/>
      <c r="L41" s="289" t="n">
        <v>625</v>
      </c>
      <c r="M41" s="157" t="n">
        <v>45952</v>
      </c>
      <c r="N41" s="289" t="n">
        <v>900</v>
      </c>
      <c r="O41" s="290">
        <f>IF(COUNT(商品マスタ[[#This Row],[参考上代
（税込)]]) &gt; 0, (商品マスタ[[#This Row],[参考上代
（税込)]]-商品マスタ[[#This Row],[国内定価
（15％）]])/(商品マスタ[[#This Row],[参考上代
（税込)]]/1.08), "")</f>
        <v/>
      </c>
      <c r="P41" s="136" t="n">
        <v>0.1</v>
      </c>
      <c r="Q41" s="291">
        <f>商品マスタ[[#This Row],[仕入
単価]]*商品マスタ[[#This Row],[標準国内送料率]]</f>
        <v/>
      </c>
      <c r="R41" s="289" t="n"/>
      <c r="S41" s="289">
        <f>IF(ISBLANK(商品マスタ[[#This Row],[実績
国内送料]]),商品マスタ[[#This Row],[標準国内送料]],)</f>
        <v/>
      </c>
      <c r="T41" s="289">
        <f>商品マスタ[[#This Row],[仕入
単価]]+商品マスタ[[#This Row],[国内送料]]</f>
        <v/>
      </c>
      <c r="U41" s="289">
        <f>ROUNDUP(商品マスタ[[#This Row],[仕入単価+国内送料]]/0.8,-1)</f>
        <v/>
      </c>
      <c r="V41" s="289">
        <f>商品マスタ[[#This Row],[海外定価
（20％）]]-商品マスタ[[#This Row],[仕入単価+国内送料]]</f>
        <v/>
      </c>
      <c r="W41" s="167">
        <f>ROUNDUP(商品マスタ[[#This Row],[仕入単価+国内送料]]/0.85,-1)</f>
        <v/>
      </c>
      <c r="X41" s="289">
        <f>商品マスタ[[#This Row],[国内定価
（15％）]]-商品マスタ[[#This Row],[仕入単価+国内送料]]</f>
        <v/>
      </c>
      <c r="Y41" s="139" t="n">
        <v>0.08</v>
      </c>
      <c r="Z41" s="167" t="inlineStr">
        <is>
          <t>25日</t>
        </is>
      </c>
      <c r="AA41" s="167" t="inlineStr">
        <is>
          <t>10℃以下</t>
        </is>
      </c>
      <c r="AB41" s="167" t="inlineStr">
        <is>
          <t>5日</t>
        </is>
      </c>
      <c r="AC41" s="294" t="n">
        <v>4580578380019</v>
      </c>
      <c r="AD41" s="167" t="inlineStr">
        <is>
          <t>ノンスモークでしっとりとした食感に仕上げたモモ肉のハム。</t>
        </is>
      </c>
      <c r="AE41" s="167" t="n"/>
      <c r="AF41" s="167" t="inlineStr">
        <is>
          <t>〇</t>
        </is>
      </c>
      <c r="AG41" s="144" t="inlineStr">
        <is>
          <t>2万円以上の注文で送料無料。</t>
        </is>
      </c>
    </row>
    <row r="42" ht="18" customHeight="1" s="207">
      <c r="A42" s="166" t="inlineStr">
        <is>
          <t>菓子</t>
        </is>
      </c>
      <c r="B42" s="167" t="inlineStr">
        <is>
          <t>洋菓子</t>
        </is>
      </c>
      <c r="C42" s="167" t="inlineStr">
        <is>
          <t>シャルキュトリーアカイシ</t>
        </is>
      </c>
      <c r="D42" s="143">
        <f>"PRD_SNJ_"&amp;
_xlfn.XLOOKUP(商品マスタ[[#This Row],[仕入先]],テーブル1[仕入先名],テーブル1[仕入先コード],"XXX",0,1)&amp;
"_"&amp;
商品マスタ[[#This Row],[シリアル]]&amp;
"_"&amp;
TEXT(COUNTIFS(商品マスタ!$C$3:C42,商品マスタ[[#This Row],[仕入先]],商品マスタ!$E$3:E42,商品マスタ[[#This Row],[商品名]]), "00")</f>
        <v/>
      </c>
      <c r="E42" s="167" t="inlineStr">
        <is>
          <t>ビアブルストEZO / Bierwurst EZO</t>
        </is>
      </c>
      <c r="F42" s="167">
        <f>IF(COUNTIFS($C$3:C42,商品マスタ[[#This Row],[仕入先]],$E$3:E42,商品マスタ[[#This Row],[商品名]]) = 1, 1,0)</f>
        <v/>
      </c>
      <c r="G42" s="133">
        <f>TEXT(SUMIF($C$3:C42,商品マスタ[[#This Row],[仕入先]],$F$3:F42), "0000")</f>
        <v/>
      </c>
      <c r="H42" s="167" t="n"/>
      <c r="I42" s="167" t="inlineStr">
        <is>
          <t>80ｇ</t>
        </is>
      </c>
      <c r="J42" s="167" t="n">
        <v>5</v>
      </c>
      <c r="K42" s="167" t="n"/>
      <c r="L42" s="289" t="n">
        <v>625</v>
      </c>
      <c r="M42" s="157" t="n">
        <v>45952</v>
      </c>
      <c r="N42" s="289" t="n">
        <v>900</v>
      </c>
      <c r="O42" s="290">
        <f>IF(COUNT(商品マスタ[[#This Row],[参考上代
（税込)]]) &gt; 0, (商品マスタ[[#This Row],[参考上代
（税込)]]-商品マスタ[[#This Row],[国内定価
（15％）]])/(商品マスタ[[#This Row],[参考上代
（税込)]]/1.08), "")</f>
        <v/>
      </c>
      <c r="P42" s="136" t="n">
        <v>0.1</v>
      </c>
      <c r="Q42" s="291">
        <f>商品マスタ[[#This Row],[仕入
単価]]*商品マスタ[[#This Row],[標準国内送料率]]</f>
        <v/>
      </c>
      <c r="R42" s="289" t="n"/>
      <c r="S42" s="289">
        <f>IF(ISBLANK(商品マスタ[[#This Row],[実績
国内送料]]),商品マスタ[[#This Row],[標準国内送料]],)</f>
        <v/>
      </c>
      <c r="T42" s="289">
        <f>商品マスタ[[#This Row],[仕入
単価]]+商品マスタ[[#This Row],[国内送料]]</f>
        <v/>
      </c>
      <c r="U42" s="289">
        <f>ROUNDUP(商品マスタ[[#This Row],[仕入単価+国内送料]]/0.8,-1)</f>
        <v/>
      </c>
      <c r="V42" s="289">
        <f>商品マスタ[[#This Row],[海外定価
（20％）]]-商品マスタ[[#This Row],[仕入単価+国内送料]]</f>
        <v/>
      </c>
      <c r="W42" s="167">
        <f>ROUNDUP(商品マスタ[[#This Row],[仕入単価+国内送料]]/0.85,-1)</f>
        <v/>
      </c>
      <c r="X42" s="289">
        <f>商品マスタ[[#This Row],[国内定価
（15％）]]-商品マスタ[[#This Row],[仕入単価+国内送料]]</f>
        <v/>
      </c>
      <c r="Y42" s="139" t="n">
        <v>0.08</v>
      </c>
      <c r="Z42" s="167" t="inlineStr">
        <is>
          <t>25日</t>
        </is>
      </c>
      <c r="AA42" s="167" t="inlineStr">
        <is>
          <t>10℃以下</t>
        </is>
      </c>
      <c r="AB42" s="167" t="inlineStr">
        <is>
          <t>5日</t>
        </is>
      </c>
      <c r="AC42" s="294" t="n">
        <v>4580578380071</v>
      </c>
      <c r="AD42" s="167" t="inlineStr">
        <is>
          <t>蝦夷鹿肉と豚肉のスパイシーなボロニアソーセージ。ホットサンドやサラダ等に。</t>
        </is>
      </c>
      <c r="AE42" s="167" t="n"/>
      <c r="AF42" s="167" t="inlineStr">
        <is>
          <t>〇</t>
        </is>
      </c>
      <c r="AG42" s="144" t="inlineStr">
        <is>
          <t>2万円以上の注文で送料無料。</t>
        </is>
      </c>
    </row>
    <row r="43" ht="18" customHeight="1" s="207">
      <c r="A43" s="166" t="inlineStr">
        <is>
          <t>加工品</t>
        </is>
      </c>
      <c r="B43" s="167" t="inlineStr">
        <is>
          <t>肉加工品</t>
        </is>
      </c>
      <c r="C43" s="167" t="inlineStr">
        <is>
          <t>シャルキュトリーアカイシ</t>
        </is>
      </c>
      <c r="D43" s="143">
        <f>"PRD_SNJ_"&amp;
_xlfn.XLOOKUP(商品マスタ[[#This Row],[仕入先]],テーブル1[仕入先名],テーブル1[仕入先コード],"XXX",0,1)&amp;
"_"&amp;
商品マスタ[[#This Row],[シリアル]]&amp;
"_"&amp;
TEXT(COUNTIFS(商品マスタ!$C$3:C43,商品マスタ[[#This Row],[仕入先]],商品マスタ!$E$3:E43,商品マスタ[[#This Row],[商品名]]), "00")</f>
        <v/>
      </c>
      <c r="E43" s="167" t="inlineStr">
        <is>
          <t>パテ・ド・カンパーニュ / Pâté de campagne</t>
        </is>
      </c>
      <c r="F43" s="167">
        <f>IF(COUNTIFS($C$3:C43,商品マスタ[[#This Row],[仕入先]],$E$3:E43,商品マスタ[[#This Row],[商品名]]) = 1, 1,0)</f>
        <v/>
      </c>
      <c r="G43" s="133">
        <f>TEXT(SUMIF($C$3:C43,商品マスタ[[#This Row],[仕入先]],$F$3:F43), "0000")</f>
        <v/>
      </c>
      <c r="H43" s="167" t="n"/>
      <c r="I43" s="167" t="inlineStr">
        <is>
          <t>100g</t>
        </is>
      </c>
      <c r="J43" s="167" t="n">
        <v>5</v>
      </c>
      <c r="K43" s="167" t="n"/>
      <c r="L43" s="289" t="n">
        <v>556</v>
      </c>
      <c r="M43" s="157" t="n">
        <v>45952</v>
      </c>
      <c r="N43" s="289" t="n">
        <v>800</v>
      </c>
      <c r="O43" s="290">
        <f>IF(COUNT(商品マスタ[[#This Row],[参考上代
（税込)]]) &gt; 0, (商品マスタ[[#This Row],[参考上代
（税込)]]-商品マスタ[[#This Row],[国内定価
（15％）]])/(商品マスタ[[#This Row],[参考上代
（税込)]]/1.08), "")</f>
        <v/>
      </c>
      <c r="P43" s="136" t="n">
        <v>0.1</v>
      </c>
      <c r="Q43" s="291">
        <f>商品マスタ[[#This Row],[仕入
単価]]*商品マスタ[[#This Row],[標準国内送料率]]</f>
        <v/>
      </c>
      <c r="R43" s="289" t="n"/>
      <c r="S43" s="289">
        <f>IF(ISBLANK(商品マスタ[[#This Row],[実績
国内送料]]),商品マスタ[[#This Row],[標準国内送料]],)</f>
        <v/>
      </c>
      <c r="T43" s="289">
        <f>商品マスタ[[#This Row],[仕入
単価]]+商品マスタ[[#This Row],[国内送料]]</f>
        <v/>
      </c>
      <c r="U43" s="289">
        <f>ROUNDUP(商品マスタ[[#This Row],[仕入単価+国内送料]]/0.8,-1)</f>
        <v/>
      </c>
      <c r="V43" s="289">
        <f>商品マスタ[[#This Row],[海外定価
（20％）]]-商品マスタ[[#This Row],[仕入単価+国内送料]]</f>
        <v/>
      </c>
      <c r="W43" s="167">
        <f>ROUNDUP(商品マスタ[[#This Row],[仕入単価+国内送料]]/0.85,-1)</f>
        <v/>
      </c>
      <c r="X43" s="289">
        <f>商品マスタ[[#This Row],[国内定価
（15％）]]-商品マスタ[[#This Row],[仕入単価+国内送料]]</f>
        <v/>
      </c>
      <c r="Y43" s="139" t="n">
        <v>0.08</v>
      </c>
      <c r="Z43" s="167" t="inlineStr">
        <is>
          <t>25日</t>
        </is>
      </c>
      <c r="AA43" s="167" t="inlineStr">
        <is>
          <t>10℃以下</t>
        </is>
      </c>
      <c r="AB43" s="167" t="inlineStr">
        <is>
          <t>5日</t>
        </is>
      </c>
      <c r="AC43" s="294" t="n">
        <v>4580578380316</v>
      </c>
      <c r="AD43" s="167" t="inlineStr">
        <is>
          <t>北海道産豚使用。しっとりと焼き上げコクのある味わいに。</t>
        </is>
      </c>
      <c r="AE43" s="167" t="n"/>
      <c r="AF43" s="167" t="inlineStr">
        <is>
          <t>〇</t>
        </is>
      </c>
      <c r="AG43" s="144" t="inlineStr">
        <is>
          <t>2万円以上の注文で送料無料。</t>
        </is>
      </c>
    </row>
    <row r="44" ht="18" customHeight="1" s="207">
      <c r="A44" s="166" t="inlineStr">
        <is>
          <t>加工品</t>
        </is>
      </c>
      <c r="B44" s="167" t="inlineStr">
        <is>
          <t>肉加工品</t>
        </is>
      </c>
      <c r="C44" s="167" t="inlineStr">
        <is>
          <t>シャルキュトリーアカイシ</t>
        </is>
      </c>
      <c r="D44" s="143">
        <f>"PRD_SNJ_"&amp;
_xlfn.XLOOKUP(商品マスタ[[#This Row],[仕入先]],テーブル1[仕入先名],テーブル1[仕入先コード],"XXX",0,1)&amp;
"_"&amp;
商品マスタ[[#This Row],[シリアル]]&amp;
"_"&amp;
TEXT(COUNTIFS(商品マスタ!$C$3:C44,商品マスタ[[#This Row],[仕入先]],商品マスタ!$E$3:E44,商品マスタ[[#This Row],[商品名]]), "00")</f>
        <v/>
      </c>
      <c r="E44" s="167" t="inlineStr">
        <is>
          <t>蝦夷鹿のパテ / Pâté de chevreuil</t>
        </is>
      </c>
      <c r="F44" s="167">
        <f>IF(COUNTIFS($C$3:C44,商品マスタ[[#This Row],[仕入先]],$E$3:E44,商品マスタ[[#This Row],[商品名]]) = 1, 1,0)</f>
        <v/>
      </c>
      <c r="G44" s="133">
        <f>TEXT(SUMIF($C$3:C44,商品マスタ[[#This Row],[仕入先]],$F$3:F44), "0000")</f>
        <v/>
      </c>
      <c r="H44" s="167" t="n"/>
      <c r="I44" s="167" t="inlineStr">
        <is>
          <t>100g</t>
        </is>
      </c>
      <c r="J44" s="167" t="n">
        <v>5</v>
      </c>
      <c r="K44" s="167" t="n"/>
      <c r="L44" s="289" t="n">
        <v>625</v>
      </c>
      <c r="M44" s="157" t="n">
        <v>45952</v>
      </c>
      <c r="N44" s="289" t="n">
        <v>900</v>
      </c>
      <c r="O44" s="290">
        <f>IF(COUNT(商品マスタ[[#This Row],[参考上代
（税込)]]) &gt; 0, (商品マスタ[[#This Row],[参考上代
（税込)]]-商品マスタ[[#This Row],[国内定価
（15％）]])/(商品マスタ[[#This Row],[参考上代
（税込)]]/1.08), "")</f>
        <v/>
      </c>
      <c r="P44" s="136" t="n">
        <v>0.1</v>
      </c>
      <c r="Q44" s="291">
        <f>商品マスタ[[#This Row],[仕入
単価]]*商品マスタ[[#This Row],[標準国内送料率]]</f>
        <v/>
      </c>
      <c r="R44" s="289" t="n"/>
      <c r="S44" s="289">
        <f>IF(ISBLANK(商品マスタ[[#This Row],[実績
国内送料]]),商品マスタ[[#This Row],[標準国内送料]],)</f>
        <v/>
      </c>
      <c r="T44" s="289">
        <f>商品マスタ[[#This Row],[仕入
単価]]+商品マスタ[[#This Row],[国内送料]]</f>
        <v/>
      </c>
      <c r="U44" s="289">
        <f>ROUNDUP(商品マスタ[[#This Row],[仕入単価+国内送料]]/0.8,-1)</f>
        <v/>
      </c>
      <c r="V44" s="289">
        <f>商品マスタ[[#This Row],[海外定価
（20％）]]-商品マスタ[[#This Row],[仕入単価+国内送料]]</f>
        <v/>
      </c>
      <c r="W44" s="167">
        <f>ROUNDUP(商品マスタ[[#This Row],[仕入単価+国内送料]]/0.85,-1)</f>
        <v/>
      </c>
      <c r="X44" s="289">
        <f>商品マスタ[[#This Row],[国内定価
（15％）]]-商品マスタ[[#This Row],[仕入単価+国内送料]]</f>
        <v/>
      </c>
      <c r="Y44" s="139" t="n">
        <v>0.08</v>
      </c>
      <c r="Z44" s="167" t="inlineStr">
        <is>
          <t>25日</t>
        </is>
      </c>
      <c r="AA44" s="167" t="inlineStr">
        <is>
          <t>10℃以下</t>
        </is>
      </c>
      <c r="AB44" s="167" t="inlineStr">
        <is>
          <t>5日</t>
        </is>
      </c>
      <c r="AC44" s="294" t="n">
        <v>4580578380323</v>
      </c>
      <c r="AD44" s="167" t="inlineStr">
        <is>
          <t>蝦夷鹿と合鴨レバー、自家製ベーコンの濃厚な旨みと香りをまとった上質なパテ。</t>
        </is>
      </c>
      <c r="AE44" s="167" t="n"/>
      <c r="AF44" s="167" t="inlineStr">
        <is>
          <t>〇</t>
        </is>
      </c>
      <c r="AG44" s="144" t="inlineStr">
        <is>
          <t>2万円以上の注文で送料無料。</t>
        </is>
      </c>
    </row>
    <row r="45" ht="18" customHeight="1" s="207">
      <c r="A45" s="166" t="inlineStr">
        <is>
          <t>加工品</t>
        </is>
      </c>
      <c r="B45" s="167" t="inlineStr">
        <is>
          <t>肉加工品</t>
        </is>
      </c>
      <c r="C45" s="167" t="inlineStr">
        <is>
          <t>シャルキュトリーアカイシ</t>
        </is>
      </c>
      <c r="D45" s="143">
        <f>"PRD_SNJ_"&amp;
_xlfn.XLOOKUP(商品マスタ[[#This Row],[仕入先]],テーブル1[仕入先名],テーブル1[仕入先コード],"XXX",0,1)&amp;
"_"&amp;
商品マスタ[[#This Row],[シリアル]]&amp;
"_"&amp;
TEXT(COUNTIFS(商品マスタ!$C$3:C45,商品マスタ[[#This Row],[仕入先]],商品マスタ!$E$3:E45,商品マスタ[[#This Row],[商品名]]), "00")</f>
        <v/>
      </c>
      <c r="E45" s="167" t="inlineStr">
        <is>
          <t>丸ごと豚のテリーヌ / Fromage de tête</t>
        </is>
      </c>
      <c r="F45" s="167">
        <f>IF(COUNTIFS($C$3:C45,商品マスタ[[#This Row],[仕入先]],$E$3:E45,商品マスタ[[#This Row],[商品名]]) = 1, 1,0)</f>
        <v/>
      </c>
      <c r="G45" s="133">
        <f>TEXT(SUMIF($C$3:C45,商品マスタ[[#This Row],[仕入先]],$F$3:F45), "0000")</f>
        <v/>
      </c>
      <c r="H45" s="167" t="n"/>
      <c r="I45" s="167" t="inlineStr">
        <is>
          <t>90ｇ</t>
        </is>
      </c>
      <c r="J45" s="167" t="n">
        <v>5</v>
      </c>
      <c r="K45" s="167" t="n"/>
      <c r="L45" s="289" t="n">
        <v>625</v>
      </c>
      <c r="M45" s="157" t="n">
        <v>45952</v>
      </c>
      <c r="N45" s="289" t="n">
        <v>900</v>
      </c>
      <c r="O45" s="290">
        <f>IF(COUNT(商品マスタ[[#This Row],[参考上代
（税込)]]) &gt; 0, (商品マスタ[[#This Row],[参考上代
（税込)]]-商品マスタ[[#This Row],[国内定価
（15％）]])/(商品マスタ[[#This Row],[参考上代
（税込)]]/1.08), "")</f>
        <v/>
      </c>
      <c r="P45" s="136" t="n">
        <v>0.1</v>
      </c>
      <c r="Q45" s="291">
        <f>商品マスタ[[#This Row],[仕入
単価]]*商品マスタ[[#This Row],[標準国内送料率]]</f>
        <v/>
      </c>
      <c r="R45" s="289" t="n"/>
      <c r="S45" s="289">
        <f>IF(ISBLANK(商品マスタ[[#This Row],[実績
国内送料]]),商品マスタ[[#This Row],[標準国内送料]],)</f>
        <v/>
      </c>
      <c r="T45" s="289">
        <f>商品マスタ[[#This Row],[仕入
単価]]+商品マスタ[[#This Row],[国内送料]]</f>
        <v/>
      </c>
      <c r="U45" s="289">
        <f>ROUNDUP(商品マスタ[[#This Row],[仕入単価+国内送料]]/0.8,-1)</f>
        <v/>
      </c>
      <c r="V45" s="289">
        <f>商品マスタ[[#This Row],[海外定価
（20％）]]-商品マスタ[[#This Row],[仕入単価+国内送料]]</f>
        <v/>
      </c>
      <c r="W45" s="167">
        <f>ROUNDUP(商品マスタ[[#This Row],[仕入単価+国内送料]]/0.85,-1)</f>
        <v/>
      </c>
      <c r="X45" s="289">
        <f>商品マスタ[[#This Row],[国内定価
（15％）]]-商品マスタ[[#This Row],[仕入単価+国内送料]]</f>
        <v/>
      </c>
      <c r="Y45" s="139" t="n">
        <v>0.08</v>
      </c>
      <c r="Z45" s="167" t="inlineStr">
        <is>
          <t>25日</t>
        </is>
      </c>
      <c r="AA45" s="167" t="inlineStr">
        <is>
          <t>10℃以下</t>
        </is>
      </c>
      <c r="AB45" s="167" t="inlineStr">
        <is>
          <t>5日</t>
        </is>
      </c>
      <c r="AC45" s="294" t="n">
        <v>4580578380330</v>
      </c>
      <c r="AD45" s="167" t="inlineStr">
        <is>
          <t>コルニッションピクルスをアクセントにした豚の頭のテリーヌ。冷たいままスライスして。</t>
        </is>
      </c>
      <c r="AE45" s="167" t="n"/>
      <c r="AF45" s="167" t="inlineStr">
        <is>
          <t>〇</t>
        </is>
      </c>
      <c r="AG45" s="144" t="inlineStr">
        <is>
          <t>2万円以上の注文で送料無料。</t>
        </is>
      </c>
    </row>
    <row r="46" ht="18" customHeight="1" s="207">
      <c r="A46" s="166" t="inlineStr">
        <is>
          <t>加工品</t>
        </is>
      </c>
      <c r="B46" s="167" t="inlineStr">
        <is>
          <t>肉加工品</t>
        </is>
      </c>
      <c r="C46" s="167" t="inlineStr">
        <is>
          <t>シャルキュトリーアカイシ</t>
        </is>
      </c>
      <c r="D46" s="143">
        <f>"PRD_SNJ_"&amp;
_xlfn.XLOOKUP(商品マスタ[[#This Row],[仕入先]],テーブル1[仕入先名],テーブル1[仕入先コード],"XXX",0,1)&amp;
"_"&amp;
商品マスタ[[#This Row],[シリアル]]&amp;
"_"&amp;
TEXT(COUNTIFS(商品マスタ!$C$3:C46,商品マスタ[[#This Row],[仕入先]],商品マスタ!$E$3:E46,商品マスタ[[#This Row],[商品名]]), "00")</f>
        <v/>
      </c>
      <c r="E46" s="167" t="inlineStr">
        <is>
          <t>鶏砂肝のコンフィ / Gégiers de volaille confit</t>
        </is>
      </c>
      <c r="F46" s="167">
        <f>IF(COUNTIFS($C$3:C46,商品マスタ[[#This Row],[仕入先]],$E$3:E46,商品マスタ[[#This Row],[商品名]]) = 1, 1,0)</f>
        <v/>
      </c>
      <c r="G46" s="133">
        <f>TEXT(SUMIF($C$3:C46,商品マスタ[[#This Row],[仕入先]],$F$3:F46), "0000")</f>
        <v/>
      </c>
      <c r="H46" s="167" t="n"/>
      <c r="I46" s="167" t="inlineStr">
        <is>
          <t>120ｇ</t>
        </is>
      </c>
      <c r="J46" s="167" t="n">
        <v>5</v>
      </c>
      <c r="K46" s="167" t="n"/>
      <c r="L46" s="289" t="n">
        <v>750</v>
      </c>
      <c r="M46" s="157" t="n">
        <v>45952</v>
      </c>
      <c r="N46" s="289" t="n">
        <v>1080</v>
      </c>
      <c r="O46" s="290">
        <f>IF(COUNT(商品マスタ[[#This Row],[参考上代
（税込)]]) &gt; 0, (商品マスタ[[#This Row],[参考上代
（税込)]]-商品マスタ[[#This Row],[国内定価
（15％）]])/(商品マスタ[[#This Row],[参考上代
（税込)]]/1.08), "")</f>
        <v/>
      </c>
      <c r="P46" s="136" t="n">
        <v>0.1</v>
      </c>
      <c r="Q46" s="291">
        <f>商品マスタ[[#This Row],[仕入
単価]]*商品マスタ[[#This Row],[標準国内送料率]]</f>
        <v/>
      </c>
      <c r="R46" s="289" t="n"/>
      <c r="S46" s="289">
        <f>IF(ISBLANK(商品マスタ[[#This Row],[実績
国内送料]]),商品マスタ[[#This Row],[標準国内送料]],)</f>
        <v/>
      </c>
      <c r="T46" s="289">
        <f>商品マスタ[[#This Row],[仕入
単価]]+商品マスタ[[#This Row],[国内送料]]</f>
        <v/>
      </c>
      <c r="U46" s="289">
        <f>ROUNDUP(商品マスタ[[#This Row],[仕入単価+国内送料]]/0.8,-1)</f>
        <v/>
      </c>
      <c r="V46" s="289">
        <f>商品マスタ[[#This Row],[海外定価
（20％）]]-商品マスタ[[#This Row],[仕入単価+国内送料]]</f>
        <v/>
      </c>
      <c r="W46" s="167">
        <f>ROUNDUP(商品マスタ[[#This Row],[仕入単価+国内送料]]/0.85,-1)</f>
        <v/>
      </c>
      <c r="X46" s="289">
        <f>商品マスタ[[#This Row],[国内定価
（15％）]]-商品マスタ[[#This Row],[仕入単価+国内送料]]</f>
        <v/>
      </c>
      <c r="Y46" s="139" t="n">
        <v>0.08</v>
      </c>
      <c r="Z46" s="167" t="inlineStr">
        <is>
          <t>25日</t>
        </is>
      </c>
      <c r="AA46" s="167" t="inlineStr">
        <is>
          <t>10℃以下</t>
        </is>
      </c>
      <c r="AB46" s="167" t="inlineStr">
        <is>
          <t>5日</t>
        </is>
      </c>
      <c r="AC46" s="294" t="n">
        <v>4580578380200</v>
      </c>
      <c r="AD46" s="167" t="inlineStr">
        <is>
          <t>砂肝を柔らかなオイル煮に。黒胡椒とガーリックのフレーバー。そのままでも、軽くソテーしても！</t>
        </is>
      </c>
      <c r="AE46" s="167" t="n"/>
      <c r="AF46" s="167" t="inlineStr">
        <is>
          <t>〇</t>
        </is>
      </c>
      <c r="AG46" s="144" t="inlineStr">
        <is>
          <t>2万円以上の注文で送料無料。</t>
        </is>
      </c>
    </row>
    <row r="47" ht="18" customHeight="1" s="207">
      <c r="A47" s="166" t="inlineStr">
        <is>
          <t>精肉</t>
        </is>
      </c>
      <c r="B47" s="167" t="inlineStr">
        <is>
          <t>和牛</t>
        </is>
      </c>
      <c r="C47" s="167" t="inlineStr">
        <is>
          <t>シャルキュトリーアカイシ</t>
        </is>
      </c>
      <c r="D47" s="143">
        <f>"PRD_SNJ_"&amp;
_xlfn.XLOOKUP(商品マスタ[[#This Row],[仕入先]],テーブル1[仕入先名],テーブル1[仕入先コード],"XXX",0,1)&amp;
"_"&amp;
商品マスタ[[#This Row],[シリアル]]&amp;
"_"&amp;
TEXT(COUNTIFS(商品マスタ!$C$3:C47,商品マスタ[[#This Row],[仕入先]],商品マスタ!$E$3:E47,商品マスタ[[#This Row],[商品名]]), "00")</f>
        <v/>
      </c>
      <c r="E47" s="167" t="inlineStr">
        <is>
          <t>ストラスブルグ ソーセージ/ Saucisse de strasbourg</t>
        </is>
      </c>
      <c r="F47" s="167">
        <f>IF(COUNTIFS($C$3:C47,商品マスタ[[#This Row],[仕入先]],$E$3:E47,商品マスタ[[#This Row],[商品名]]) = 1, 1,0)</f>
        <v/>
      </c>
      <c r="G47" s="133">
        <f>TEXT(SUMIF($C$3:C47,商品マスタ[[#This Row],[仕入先]],$F$3:F47), "0000")</f>
        <v/>
      </c>
      <c r="H47" s="167" t="n"/>
      <c r="I47" s="167" t="inlineStr">
        <is>
          <t>160ｇ</t>
        </is>
      </c>
      <c r="J47" s="167" t="n">
        <v>5</v>
      </c>
      <c r="K47" s="167" t="n"/>
      <c r="L47" s="289" t="n">
        <v>833</v>
      </c>
      <c r="M47" s="157" t="n">
        <v>45952</v>
      </c>
      <c r="N47" s="289" t="n">
        <v>1200</v>
      </c>
      <c r="O47" s="290">
        <f>IF(COUNT(商品マスタ[[#This Row],[参考上代
（税込)]]) &gt; 0, (商品マスタ[[#This Row],[参考上代
（税込)]]-商品マスタ[[#This Row],[国内定価
（15％）]])/(商品マスタ[[#This Row],[参考上代
（税込)]]/1.08), "")</f>
        <v/>
      </c>
      <c r="P47" s="136" t="n">
        <v>0.1</v>
      </c>
      <c r="Q47" s="291">
        <f>商品マスタ[[#This Row],[仕入
単価]]*商品マスタ[[#This Row],[標準国内送料率]]</f>
        <v/>
      </c>
      <c r="R47" s="289" t="n"/>
      <c r="S47" s="289">
        <f>IF(ISBLANK(商品マスタ[[#This Row],[実績
国内送料]]),商品マスタ[[#This Row],[標準国内送料]],)</f>
        <v/>
      </c>
      <c r="T47" s="289">
        <f>商品マスタ[[#This Row],[仕入
単価]]+商品マスタ[[#This Row],[国内送料]]</f>
        <v/>
      </c>
      <c r="U47" s="289">
        <f>ROUNDUP(商品マスタ[[#This Row],[仕入単価+国内送料]]/0.8,-1)</f>
        <v/>
      </c>
      <c r="V47" s="289">
        <f>商品マスタ[[#This Row],[海外定価
（20％）]]-商品マスタ[[#This Row],[仕入単価+国内送料]]</f>
        <v/>
      </c>
      <c r="W47" s="167">
        <f>ROUNDUP(商品マスタ[[#This Row],[仕入単価+国内送料]]/0.85,-1)</f>
        <v/>
      </c>
      <c r="X47" s="289">
        <f>商品マスタ[[#This Row],[国内定価
（15％）]]-商品マスタ[[#This Row],[仕入単価+国内送料]]</f>
        <v/>
      </c>
      <c r="Y47" s="139" t="n">
        <v>0.08</v>
      </c>
      <c r="Z47" s="167" t="inlineStr">
        <is>
          <t>25日</t>
        </is>
      </c>
      <c r="AA47" s="167" t="inlineStr">
        <is>
          <t>10℃以下</t>
        </is>
      </c>
      <c r="AB47" s="167" t="inlineStr">
        <is>
          <t>5日</t>
        </is>
      </c>
      <c r="AC47" s="294" t="n">
        <v>4580578380064</v>
      </c>
      <c r="AD47" s="167" t="inlineStr">
        <is>
          <t>北海道産ポークと牛肉で作ったジューシーなウィンナーソーセージ。ホットドックやシュクルートに。</t>
        </is>
      </c>
      <c r="AE47" s="167" t="n"/>
      <c r="AF47" s="167" t="inlineStr">
        <is>
          <t>〇</t>
        </is>
      </c>
      <c r="AG47" s="144" t="inlineStr">
        <is>
          <t>2万円以上の注文で送料無料。</t>
        </is>
      </c>
    </row>
    <row r="48" ht="18" customHeight="1" s="207">
      <c r="A48" s="166" t="inlineStr">
        <is>
          <t>加工品</t>
        </is>
      </c>
      <c r="B48" s="167" t="inlineStr">
        <is>
          <t>肉加工品</t>
        </is>
      </c>
      <c r="C48" s="167" t="inlineStr">
        <is>
          <t>シャルキュトリーアカイシ</t>
        </is>
      </c>
      <c r="D48" s="143">
        <f>"PRD_SNJ_"&amp;
_xlfn.XLOOKUP(商品マスタ[[#This Row],[仕入先]],テーブル1[仕入先名],テーブル1[仕入先コード],"XXX",0,1)&amp;
"_"&amp;
商品マスタ[[#This Row],[シリアル]]&amp;
"_"&amp;
TEXT(COUNTIFS(商品マスタ!$C$3:C48,商品マスタ[[#This Row],[仕入先]],商品マスタ!$E$3:E48,商品マスタ[[#This Row],[商品名]]), "00")</f>
        <v/>
      </c>
      <c r="E48" s="167" t="inlineStr">
        <is>
          <t>ブーダンブラン /  Boudin blanc</t>
        </is>
      </c>
      <c r="F48" s="167">
        <f>IF(COUNTIFS($C$3:C48,商品マスタ[[#This Row],[仕入先]],$E$3:E48,商品マスタ[[#This Row],[商品名]]) = 1, 1,0)</f>
        <v/>
      </c>
      <c r="G48" s="133">
        <f>TEXT(SUMIF($C$3:C48,商品マスタ[[#This Row],[仕入先]],$F$3:F48), "0000")</f>
        <v/>
      </c>
      <c r="H48" s="167" t="n"/>
      <c r="I48" s="167" t="inlineStr">
        <is>
          <t>160ｇ</t>
        </is>
      </c>
      <c r="J48" s="167" t="n">
        <v>5</v>
      </c>
      <c r="K48" s="167" t="n"/>
      <c r="L48" s="289" t="n">
        <v>625</v>
      </c>
      <c r="M48" s="157" t="n">
        <v>45952</v>
      </c>
      <c r="N48" s="289" t="n">
        <v>900</v>
      </c>
      <c r="O48" s="290">
        <f>IF(COUNT(商品マスタ[[#This Row],[参考上代
（税込)]]) &gt; 0, (商品マスタ[[#This Row],[参考上代
（税込)]]-商品マスタ[[#This Row],[国内定価
（15％）]])/(商品マスタ[[#This Row],[参考上代
（税込)]]/1.08), "")</f>
        <v/>
      </c>
      <c r="P48" s="136" t="n">
        <v>0.1</v>
      </c>
      <c r="Q48" s="291">
        <f>商品マスタ[[#This Row],[仕入
単価]]*商品マスタ[[#This Row],[標準国内送料率]]</f>
        <v/>
      </c>
      <c r="R48" s="289" t="n"/>
      <c r="S48" s="289">
        <f>IF(ISBLANK(商品マスタ[[#This Row],[実績
国内送料]]),商品マスタ[[#This Row],[標準国内送料]],)</f>
        <v/>
      </c>
      <c r="T48" s="289">
        <f>商品マスタ[[#This Row],[仕入
単価]]+商品マスタ[[#This Row],[国内送料]]</f>
        <v/>
      </c>
      <c r="U48" s="289">
        <f>ROUNDUP(商品マスタ[[#This Row],[仕入単価+国内送料]]/0.8,-1)</f>
        <v/>
      </c>
      <c r="V48" s="289">
        <f>商品マスタ[[#This Row],[海外定価
（20％）]]-商品マスタ[[#This Row],[仕入単価+国内送料]]</f>
        <v/>
      </c>
      <c r="W48" s="167">
        <f>ROUNDUP(商品マスタ[[#This Row],[仕入単価+国内送料]]/0.85,-1)</f>
        <v/>
      </c>
      <c r="X48" s="289">
        <f>商品マスタ[[#This Row],[国内定価
（15％）]]-商品マスタ[[#This Row],[仕入単価+国内送料]]</f>
        <v/>
      </c>
      <c r="Y48" s="139" t="n">
        <v>0.08</v>
      </c>
      <c r="Z48" s="167" t="inlineStr">
        <is>
          <t>15日</t>
        </is>
      </c>
      <c r="AA48" s="167" t="inlineStr">
        <is>
          <t>10℃以下</t>
        </is>
      </c>
      <c r="AB48" s="167" t="inlineStr">
        <is>
          <t>5日</t>
        </is>
      </c>
      <c r="AC48" s="294" t="n">
        <v>4580578380088</v>
      </c>
      <c r="AD48" s="167" t="inlineStr">
        <is>
          <t>豚肉と牛乳、ハーブオレンジピールの滑らかな食感の香豊かなソーセージ。</t>
        </is>
      </c>
      <c r="AE48" s="167" t="n"/>
      <c r="AF48" s="167" t="inlineStr">
        <is>
          <t>〇</t>
        </is>
      </c>
      <c r="AG48" s="144" t="inlineStr">
        <is>
          <t>2万円以上の注文で送料無料。</t>
        </is>
      </c>
    </row>
    <row r="49" ht="18" customHeight="1" s="207">
      <c r="A49" s="166" t="inlineStr">
        <is>
          <t>飲料アルコール</t>
        </is>
      </c>
      <c r="B49" s="167" t="inlineStr">
        <is>
          <t>ワイン</t>
        </is>
      </c>
      <c r="C49" s="167" t="inlineStr">
        <is>
          <t>シャルキュトリーアカイシ</t>
        </is>
      </c>
      <c r="D49" s="143">
        <f>"PRD_SNJ_"&amp;
_xlfn.XLOOKUP(商品マスタ[[#This Row],[仕入先]],テーブル1[仕入先名],テーブル1[仕入先コード],"XXX",0,1)&amp;
"_"&amp;
商品マスタ[[#This Row],[シリアル]]&amp;
"_"&amp;
TEXT(COUNTIFS(商品マスタ!$C$3:C49,商品マスタ[[#This Row],[仕入先]],商品マスタ!$E$3:E49,商品マスタ[[#This Row],[商品名]]), "00")</f>
        <v/>
      </c>
      <c r="E49" s="167" t="inlineStr">
        <is>
          <t>長期熟成サラミ /  Saucisson sec maison</t>
        </is>
      </c>
      <c r="F49" s="167">
        <f>IF(COUNTIFS($C$3:C49,商品マスタ[[#This Row],[仕入先]],$E$3:E49,商品マスタ[[#This Row],[商品名]]) = 1, 1,0)</f>
        <v/>
      </c>
      <c r="G49" s="133">
        <f>TEXT(SUMIF($C$3:C49,商品マスタ[[#This Row],[仕入先]],$F$3:F49), "0000")</f>
        <v/>
      </c>
      <c r="H49" s="167" t="n"/>
      <c r="I49" s="167" t="inlineStr">
        <is>
          <t>120ｇ</t>
        </is>
      </c>
      <c r="J49" s="167" t="n">
        <v>5</v>
      </c>
      <c r="K49" s="167" t="n"/>
      <c r="L49" s="289" t="n">
        <v>1458</v>
      </c>
      <c r="M49" s="157" t="n">
        <v>45952</v>
      </c>
      <c r="N49" s="289" t="n">
        <v>2100</v>
      </c>
      <c r="O49" s="290">
        <f>IF(COUNT(商品マスタ[[#This Row],[参考上代
（税込)]]) &gt; 0, (商品マスタ[[#This Row],[参考上代
（税込)]]-商品マスタ[[#This Row],[国内定価
（15％）]])/(商品マスタ[[#This Row],[参考上代
（税込)]]/1.08), "")</f>
        <v/>
      </c>
      <c r="P49" s="136" t="n">
        <v>0.1</v>
      </c>
      <c r="Q49" s="291">
        <f>商品マスタ[[#This Row],[仕入
単価]]*商品マスタ[[#This Row],[標準国内送料率]]</f>
        <v/>
      </c>
      <c r="R49" s="289" t="n"/>
      <c r="S49" s="289">
        <f>IF(ISBLANK(商品マスタ[[#This Row],[実績
国内送料]]),商品マスタ[[#This Row],[標準国内送料]],)</f>
        <v/>
      </c>
      <c r="T49" s="289">
        <f>商品マスタ[[#This Row],[仕入
単価]]+商品マスタ[[#This Row],[国内送料]]</f>
        <v/>
      </c>
      <c r="U49" s="289">
        <f>ROUNDUP(商品マスタ[[#This Row],[仕入単価+国内送料]]/0.8,-1)</f>
        <v/>
      </c>
      <c r="V49" s="289">
        <f>商品マスタ[[#This Row],[海外定価
（20％）]]-商品マスタ[[#This Row],[仕入単価+国内送料]]</f>
        <v/>
      </c>
      <c r="W49" s="167">
        <f>ROUNDUP(商品マスタ[[#This Row],[仕入単価+国内送料]]/0.85,-1)</f>
        <v/>
      </c>
      <c r="X49" s="289">
        <f>商品マスタ[[#This Row],[国内定価
（15％）]]-商品マスタ[[#This Row],[仕入単価+国内送料]]</f>
        <v/>
      </c>
      <c r="Y49" s="139" t="n">
        <v>0.08</v>
      </c>
      <c r="Z49" s="167" t="inlineStr">
        <is>
          <t>50日</t>
        </is>
      </c>
      <c r="AA49" s="167" t="inlineStr">
        <is>
          <t>10℃以下</t>
        </is>
      </c>
      <c r="AB49" s="167" t="inlineStr">
        <is>
          <t>5日</t>
        </is>
      </c>
      <c r="AC49" s="294" t="n">
        <v>4580578380163</v>
      </c>
      <c r="AD49" s="167" t="inlineStr">
        <is>
          <t>徐々に溢れ出る旨みの熟成サラミ。軽めの赤ワインと。　　　　　　　　　　　　　　　　【※数量限定。要在庫確認】</t>
        </is>
      </c>
      <c r="AE49" s="167" t="n"/>
      <c r="AF49" s="167" t="inlineStr">
        <is>
          <t>〇</t>
        </is>
      </c>
      <c r="AG49" s="144" t="inlineStr">
        <is>
          <t xml:space="preserve">　【※数量限定。要在庫確認】2万円以上の注文で送料無料。</t>
        </is>
      </c>
    </row>
    <row r="50" ht="18" customHeight="1" s="207">
      <c r="A50" s="166" t="inlineStr">
        <is>
          <t>菓子</t>
        </is>
      </c>
      <c r="B50" s="167" t="inlineStr">
        <is>
          <t>洋菓子</t>
        </is>
      </c>
      <c r="C50" s="167" t="inlineStr">
        <is>
          <t>シャルキュトリーアカイシ</t>
        </is>
      </c>
      <c r="D50" s="143">
        <f>"PRD_SNJ_"&amp;
_xlfn.XLOOKUP(商品マスタ[[#This Row],[仕入先]],テーブル1[仕入先名],テーブル1[仕入先コード],"XXX",0,1)&amp;
"_"&amp;
商品マスタ[[#This Row],[シリアル]]&amp;
"_"&amp;
TEXT(COUNTIFS(商品マスタ!$C$3:C50,商品マスタ[[#This Row],[仕入先]],商品マスタ!$E$3:E50,商品マスタ[[#This Row],[商品名]]), "00")</f>
        <v/>
      </c>
      <c r="E50" s="167" t="inlineStr">
        <is>
          <t>長期熟成チョリソ / CHORIZO</t>
        </is>
      </c>
      <c r="F50" s="167">
        <f>IF(COUNTIFS($C$3:C50,商品マスタ[[#This Row],[仕入先]],$E$3:E50,商品マスタ[[#This Row],[商品名]]) = 1, 1,0)</f>
        <v/>
      </c>
      <c r="G50" s="133">
        <f>TEXT(SUMIF($C$3:C50,商品マスタ[[#This Row],[仕入先]],$F$3:F50), "0000")</f>
        <v/>
      </c>
      <c r="H50" s="167" t="n"/>
      <c r="I50" s="167" t="inlineStr">
        <is>
          <t>120ｇ</t>
        </is>
      </c>
      <c r="J50" s="167" t="n">
        <v>5</v>
      </c>
      <c r="K50" s="167" t="n"/>
      <c r="L50" s="289" t="n">
        <v>1458</v>
      </c>
      <c r="M50" s="157" t="n">
        <v>45952</v>
      </c>
      <c r="N50" s="289" t="n">
        <v>2100</v>
      </c>
      <c r="O50" s="290">
        <f>IF(COUNT(商品マスタ[[#This Row],[参考上代
（税込)]]) &gt; 0, (商品マスタ[[#This Row],[参考上代
（税込)]]-商品マスタ[[#This Row],[国内定価
（15％）]])/(商品マスタ[[#This Row],[参考上代
（税込)]]/1.08), "")</f>
        <v/>
      </c>
      <c r="P50" s="136" t="n">
        <v>0.1</v>
      </c>
      <c r="Q50" s="291">
        <f>商品マスタ[[#This Row],[仕入
単価]]*商品マスタ[[#This Row],[標準国内送料率]]</f>
        <v/>
      </c>
      <c r="R50" s="289" t="n"/>
      <c r="S50" s="289">
        <f>IF(ISBLANK(商品マスタ[[#This Row],[実績
国内送料]]),商品マスタ[[#This Row],[標準国内送料]],)</f>
        <v/>
      </c>
      <c r="T50" s="289">
        <f>商品マスタ[[#This Row],[仕入
単価]]+商品マスタ[[#This Row],[国内送料]]</f>
        <v/>
      </c>
      <c r="U50" s="289">
        <f>ROUNDUP(商品マスタ[[#This Row],[仕入単価+国内送料]]/0.8,-1)</f>
        <v/>
      </c>
      <c r="V50" s="289">
        <f>商品マスタ[[#This Row],[海外定価
（20％）]]-商品マスタ[[#This Row],[仕入単価+国内送料]]</f>
        <v/>
      </c>
      <c r="W50" s="167">
        <f>ROUNDUP(商品マスタ[[#This Row],[仕入単価+国内送料]]/0.85,-1)</f>
        <v/>
      </c>
      <c r="X50" s="289">
        <f>商品マスタ[[#This Row],[国内定価
（15％）]]-商品マスタ[[#This Row],[仕入単価+国内送料]]</f>
        <v/>
      </c>
      <c r="Y50" s="139" t="n">
        <v>0.08</v>
      </c>
      <c r="Z50" s="167" t="inlineStr">
        <is>
          <t>50日</t>
        </is>
      </c>
      <c r="AA50" s="167" t="inlineStr">
        <is>
          <t>10℃以下</t>
        </is>
      </c>
      <c r="AB50" s="167" t="inlineStr">
        <is>
          <t>5日</t>
        </is>
      </c>
      <c r="AC50" s="294" t="n">
        <v>4580578380170</v>
      </c>
      <c r="AD50" s="167" t="inlineStr">
        <is>
          <t>スパイスを効かせたスパニッシュタイプのチョリソ。ビールやワインと。【※数量限定。要在庫確認】</t>
        </is>
      </c>
      <c r="AE50" s="167" t="n"/>
      <c r="AF50" s="167" t="inlineStr">
        <is>
          <t>〇</t>
        </is>
      </c>
      <c r="AG50" s="144" t="inlineStr">
        <is>
          <t xml:space="preserve">　【※数量限定。要在庫確認】2万円以上の注文で送料無料。</t>
        </is>
      </c>
    </row>
    <row r="51" ht="18" customHeight="1" s="207">
      <c r="A51" s="166" t="inlineStr">
        <is>
          <t>加工品</t>
        </is>
      </c>
      <c r="B51" s="167" t="inlineStr">
        <is>
          <t>肉加工品</t>
        </is>
      </c>
      <c r="C51" s="167" t="inlineStr">
        <is>
          <t>シャルキュトリーアカイシ</t>
        </is>
      </c>
      <c r="D51" s="143">
        <f>"PRD_SNJ_"&amp;
_xlfn.XLOOKUP(商品マスタ[[#This Row],[仕入先]],テーブル1[仕入先名],テーブル1[仕入先コード],"XXX",0,1)&amp;
"_"&amp;
商品マスタ[[#This Row],[シリアル]]&amp;
"_"&amp;
TEXT(COUNTIFS(商品マスタ!$C$3:C51,商品マスタ[[#This Row],[仕入先]],商品マスタ!$E$3:E51,商品マスタ[[#This Row],[商品名]]), "00")</f>
        <v/>
      </c>
      <c r="E51" s="167" t="inlineStr">
        <is>
          <t>長期熟成フェンネルのサラミ / Finocchiona</t>
        </is>
      </c>
      <c r="F51" s="167">
        <f>IF(COUNTIFS($C$3:C51,商品マスタ[[#This Row],[仕入先]],$E$3:E51,商品マスタ[[#This Row],[商品名]]) = 1, 1,0)</f>
        <v/>
      </c>
      <c r="G51" s="133">
        <f>TEXT(SUMIF($C$3:C51,商品マスタ[[#This Row],[仕入先]],$F$3:F51), "0000")</f>
        <v/>
      </c>
      <c r="H51" s="167" t="n"/>
      <c r="I51" s="167" t="inlineStr">
        <is>
          <t>120ｇ</t>
        </is>
      </c>
      <c r="J51" s="167" t="n">
        <v>5</v>
      </c>
      <c r="K51" s="167" t="n"/>
      <c r="L51" s="289" t="n">
        <v>1458</v>
      </c>
      <c r="M51" s="157" t="n">
        <v>45952</v>
      </c>
      <c r="N51" s="289" t="n">
        <v>2100</v>
      </c>
      <c r="O51" s="290">
        <f>IF(COUNT(商品マスタ[[#This Row],[参考上代
（税込)]]) &gt; 0, (商品マスタ[[#This Row],[参考上代
（税込)]]-商品マスタ[[#This Row],[国内定価
（15％）]])/(商品マスタ[[#This Row],[参考上代
（税込)]]/1.08), "")</f>
        <v/>
      </c>
      <c r="P51" s="136" t="n">
        <v>0.1</v>
      </c>
      <c r="Q51" s="291">
        <f>商品マスタ[[#This Row],[仕入
単価]]*商品マスタ[[#This Row],[標準国内送料率]]</f>
        <v/>
      </c>
      <c r="R51" s="289" t="n"/>
      <c r="S51" s="289">
        <f>IF(ISBLANK(商品マスタ[[#This Row],[実績
国内送料]]),商品マスタ[[#This Row],[標準国内送料]],)</f>
        <v/>
      </c>
      <c r="T51" s="289">
        <f>商品マスタ[[#This Row],[仕入
単価]]+商品マスタ[[#This Row],[国内送料]]</f>
        <v/>
      </c>
      <c r="U51" s="289">
        <f>ROUNDUP(商品マスタ[[#This Row],[仕入単価+国内送料]]/0.8,-1)</f>
        <v/>
      </c>
      <c r="V51" s="289">
        <f>商品マスタ[[#This Row],[海外定価
（20％）]]-商品マスタ[[#This Row],[仕入単価+国内送料]]</f>
        <v/>
      </c>
      <c r="W51" s="167">
        <f>ROUNDUP(商品マスタ[[#This Row],[仕入単価+国内送料]]/0.85,-1)</f>
        <v/>
      </c>
      <c r="X51" s="289">
        <f>商品マスタ[[#This Row],[国内定価
（15％）]]-商品マスタ[[#This Row],[仕入単価+国内送料]]</f>
        <v/>
      </c>
      <c r="Y51" s="139" t="n">
        <v>0.08</v>
      </c>
      <c r="Z51" s="167" t="inlineStr">
        <is>
          <t>50日</t>
        </is>
      </c>
      <c r="AA51" s="167" t="inlineStr">
        <is>
          <t>10℃以下</t>
        </is>
      </c>
      <c r="AB51" s="167" t="inlineStr">
        <is>
          <t>5日</t>
        </is>
      </c>
      <c r="AC51" s="294" t="n">
        <v>4580578380187</v>
      </c>
      <c r="AD51" s="167" t="inlineStr">
        <is>
          <t>爽やかなフェンネルシードが香るイタリアンタイプ。        【※数量限定。要在庫確認】</t>
        </is>
      </c>
      <c r="AE51" s="167" t="n"/>
      <c r="AF51" s="167" t="inlineStr">
        <is>
          <t>〇</t>
        </is>
      </c>
      <c r="AG51" s="144" t="inlineStr">
        <is>
          <t xml:space="preserve">　【※数量限定。要在庫確認】2万円以上の注文で送料無料。</t>
        </is>
      </c>
    </row>
    <row r="52" ht="18" customHeight="1" s="207">
      <c r="A52" s="166" t="inlineStr">
        <is>
          <t>菓子</t>
        </is>
      </c>
      <c r="B52" s="167" t="inlineStr">
        <is>
          <t>和菓子</t>
        </is>
      </c>
      <c r="C52" s="167" t="inlineStr">
        <is>
          <t>藤田水産</t>
        </is>
      </c>
      <c r="D52" s="143">
        <f>"PRD_SNJ_"&amp;
_xlfn.XLOOKUP(商品マスタ[[#This Row],[仕入先]],テーブル1[仕入先名],テーブル1[仕入先コード],"XXX",0,1)&amp;
"_"&amp;
商品マスタ[[#This Row],[シリアル]]&amp;
"_"&amp;
TEXT(COUNTIFS(商品マスタ!$C$3:C52,商品マスタ[[#This Row],[仕入先]],商品マスタ!$E$3:E52,商品マスタ[[#This Row],[商品名]]), "00")</f>
        <v/>
      </c>
      <c r="E52" s="167" t="inlineStr">
        <is>
          <t>引張たこ（短）</t>
        </is>
      </c>
      <c r="F52" s="167">
        <f>IF(COUNTIFS($C$3:C52,商品マスタ[[#This Row],[仕入先]],$E$3:E52,商品マスタ[[#This Row],[商品名]]) = 1, 1,0)</f>
        <v/>
      </c>
      <c r="G52" s="133">
        <f>TEXT(SUMIF($C$3:C52,商品マスタ[[#This Row],[仕入先]],$F$3:F52), "0000")</f>
        <v/>
      </c>
      <c r="H52" s="167" t="n"/>
      <c r="I52" s="167" t="inlineStr">
        <is>
          <t>45g</t>
        </is>
      </c>
      <c r="J52" s="167" t="n">
        <v>15</v>
      </c>
      <c r="K52" s="167" t="n"/>
      <c r="L52" s="289" t="n">
        <v>600</v>
      </c>
      <c r="M52" s="157" t="n">
        <v>45953</v>
      </c>
      <c r="N52" s="289" t="n">
        <v>980</v>
      </c>
      <c r="O52" s="290">
        <f>IF(COUNT(商品マスタ[[#This Row],[参考上代
（税込)]]) &gt; 0, (商品マスタ[[#This Row],[参考上代
（税込)]]-商品マスタ[[#This Row],[国内定価
（15％）]])/(商品マスタ[[#This Row],[参考上代
（税込)]]/1.08), "")</f>
        <v/>
      </c>
      <c r="P52" s="136" t="n">
        <v>0.1</v>
      </c>
      <c r="Q52" s="291">
        <f>商品マスタ[[#This Row],[仕入
単価]]*商品マスタ[[#This Row],[標準国内送料率]]</f>
        <v/>
      </c>
      <c r="R52" s="289" t="n">
        <v>1500</v>
      </c>
      <c r="S52" s="289">
        <f>IF(ISBLANK(商品マスタ[[#This Row],[実績
国内送料]]),商品マスタ[[#This Row],[標準国内送料]],)</f>
        <v/>
      </c>
      <c r="T52" s="289">
        <f>商品マスタ[[#This Row],[仕入
単価]]+商品マスタ[[#This Row],[国内送料]]</f>
        <v/>
      </c>
      <c r="U52" s="289">
        <f>ROUNDUP(商品マスタ[[#This Row],[仕入単価+国内送料]]/0.8,-1)</f>
        <v/>
      </c>
      <c r="V52" s="289">
        <f>商品マスタ[[#This Row],[海外定価
（20％）]]-商品マスタ[[#This Row],[仕入単価+国内送料]]</f>
        <v/>
      </c>
      <c r="W52" s="167">
        <f>ROUNDUP(商品マスタ[[#This Row],[仕入単価+国内送料]]/0.85,-1)</f>
        <v/>
      </c>
      <c r="X52" s="289">
        <f>商品マスタ[[#This Row],[国内定価
（15％）]]-商品マスタ[[#This Row],[仕入単価+国内送料]]</f>
        <v/>
      </c>
      <c r="Y52" s="167" t="n"/>
      <c r="Z52" s="167" t="inlineStr">
        <is>
          <t>180日</t>
        </is>
      </c>
      <c r="AA52" s="167" t="inlineStr">
        <is>
          <t>常温</t>
        </is>
      </c>
      <c r="AB52" s="167" t="inlineStr">
        <is>
          <t>5日</t>
        </is>
      </c>
      <c r="AC52" s="293" t="n">
        <v>4901944000087</v>
      </c>
      <c r="AD52" s="167" t="inlineStr">
        <is>
          <t>原材料のもち米、砂糖、生飴、オブラートは北海道産を使用しています。社内人気NO.1。食べやすい一口サイズです。</t>
        </is>
      </c>
      <c r="AE52" s="167" t="n"/>
      <c r="AF52" s="167" t="inlineStr">
        <is>
          <t>〇</t>
        </is>
      </c>
      <c r="AG52" s="144" t="n"/>
    </row>
    <row r="53" ht="18" customHeight="1" s="207">
      <c r="A53" s="166" t="inlineStr">
        <is>
          <t>菓子</t>
        </is>
      </c>
      <c r="B53" s="167" t="inlineStr">
        <is>
          <t>和菓子</t>
        </is>
      </c>
      <c r="C53" s="167" t="inlineStr">
        <is>
          <t>藤田水産</t>
        </is>
      </c>
      <c r="D53" s="143">
        <f>"PRD_SNJ_"&amp;
_xlfn.XLOOKUP(商品マスタ[[#This Row],[仕入先]],テーブル1[仕入先名],テーブル1[仕入先コード],"XXX",0,1)&amp;
"_"&amp;
商品マスタ[[#This Row],[シリアル]]&amp;
"_"&amp;
TEXT(COUNTIFS(商品マスタ!$C$3:C53,商品マスタ[[#This Row],[仕入先]],商品マスタ!$E$3:E53,商品マスタ[[#This Row],[商品名]]), "00")</f>
        <v/>
      </c>
      <c r="E53" s="167" t="inlineStr">
        <is>
          <t>たこ頭ロール</t>
        </is>
      </c>
      <c r="F53" s="167">
        <f>IF(COUNTIFS($C$3:C53,商品マスタ[[#This Row],[仕入先]],$E$3:E53,商品マスタ[[#This Row],[商品名]]) = 1, 1,0)</f>
        <v/>
      </c>
      <c r="G53" s="133">
        <f>TEXT(SUMIF($C$3:C53,商品マスタ[[#This Row],[仕入先]],$F$3:F53), "0000")</f>
        <v/>
      </c>
      <c r="H53" s="167" t="n"/>
      <c r="I53" s="167" t="inlineStr">
        <is>
          <t>55g</t>
        </is>
      </c>
      <c r="J53" s="167" t="n">
        <v>15</v>
      </c>
      <c r="K53" s="167" t="n"/>
      <c r="L53" s="289" t="n">
        <v>600</v>
      </c>
      <c r="M53" s="157" t="n">
        <v>45953</v>
      </c>
      <c r="N53" s="289" t="n">
        <v>980</v>
      </c>
      <c r="O53" s="290">
        <f>IF(COUNT(商品マスタ[[#This Row],[参考上代
（税込)]]) &gt; 0, (商品マスタ[[#This Row],[参考上代
（税込)]]-商品マスタ[[#This Row],[国内定価
（15％）]])/(商品マスタ[[#This Row],[参考上代
（税込)]]/1.08), "")</f>
        <v/>
      </c>
      <c r="P53" s="136" t="n">
        <v>0.1</v>
      </c>
      <c r="Q53" s="291">
        <f>商品マスタ[[#This Row],[仕入
単価]]*商品マスタ[[#This Row],[標準国内送料率]]</f>
        <v/>
      </c>
      <c r="R53" s="289" t="n">
        <v>1500</v>
      </c>
      <c r="S53" s="289">
        <f>IF(ISBLANK(商品マスタ[[#This Row],[実績
国内送料]]),商品マスタ[[#This Row],[標準国内送料]],)</f>
        <v/>
      </c>
      <c r="T53" s="289">
        <f>商品マスタ[[#This Row],[仕入
単価]]+商品マスタ[[#This Row],[国内送料]]</f>
        <v/>
      </c>
      <c r="U53" s="289">
        <f>ROUNDUP(商品マスタ[[#This Row],[仕入単価+国内送料]]/0.8,-1)</f>
        <v/>
      </c>
      <c r="V53" s="289">
        <f>商品マスタ[[#This Row],[海外定価
（20％）]]-商品マスタ[[#This Row],[仕入単価+国内送料]]</f>
        <v/>
      </c>
      <c r="W53" s="167">
        <f>ROUNDUP(商品マスタ[[#This Row],[仕入単価+国内送料]]/0.85,-1)</f>
        <v/>
      </c>
      <c r="X53" s="289">
        <f>商品マスタ[[#This Row],[国内定価
（15％）]]-商品マスタ[[#This Row],[仕入単価+国内送料]]</f>
        <v/>
      </c>
      <c r="Y53" s="167" t="n"/>
      <c r="Z53" s="167" t="inlineStr">
        <is>
          <t>150日</t>
        </is>
      </c>
      <c r="AA53" s="167" t="inlineStr">
        <is>
          <t>常温</t>
        </is>
      </c>
      <c r="AB53" s="167" t="inlineStr">
        <is>
          <t>5日</t>
        </is>
      </c>
      <c r="AC53" s="293" t="n">
        <v>4901944000117</v>
      </c>
      <c r="AD53" s="167" t="inlineStr">
        <is>
          <t>原材料のもち米、砂糖、生飴、オブラートは北海道産を使用しています。</t>
        </is>
      </c>
      <c r="AE53" s="167" t="n"/>
      <c r="AF53" s="167" t="inlineStr">
        <is>
          <t>〇</t>
        </is>
      </c>
      <c r="AG53" s="144" t="n"/>
    </row>
    <row r="54" ht="18" customHeight="1" s="207">
      <c r="A54" s="166" t="inlineStr">
        <is>
          <t>菓子</t>
        </is>
      </c>
      <c r="B54" s="167" t="inlineStr">
        <is>
          <t>和菓子</t>
        </is>
      </c>
      <c r="C54" s="167" t="inlineStr">
        <is>
          <t>谷田製菓</t>
        </is>
      </c>
      <c r="D54" s="143">
        <f>"PRD_SNJ_"&amp;
_xlfn.XLOOKUP(商品マスタ[[#This Row],[仕入先]],テーブル1[仕入先名],テーブル1[仕入先コード],"XXX",0,1)&amp;
"_"&amp;
商品マスタ[[#This Row],[シリアル]]&amp;
"_"&amp;
TEXT(COUNTIFS(商品マスタ!$C$3:C54,商品マスタ[[#This Row],[仕入先]],商品マスタ!$E$3:E54,商品マスタ[[#This Row],[商品名]]), "00")</f>
        <v/>
      </c>
      <c r="E54" s="167" t="inlineStr">
        <is>
          <t>一口きびだんご</t>
        </is>
      </c>
      <c r="F54" s="167">
        <f>IF(COUNTIFS($C$3:C54,商品マスタ[[#This Row],[仕入先]],$E$3:E54,商品マスタ[[#This Row],[商品名]]) = 1, 1,0)</f>
        <v/>
      </c>
      <c r="G54" s="133">
        <f>TEXT(SUMIF($C$3:C54,商品マスタ[[#This Row],[仕入先]],$F$3:F54), "0000")</f>
        <v/>
      </c>
      <c r="H54" s="167" t="n"/>
      <c r="I54" s="167" t="inlineStr">
        <is>
          <t>10×4</t>
        </is>
      </c>
      <c r="J54" s="167" t="n">
        <v>40</v>
      </c>
      <c r="K54" s="167" t="n"/>
      <c r="L54" s="289" t="n">
        <v>310</v>
      </c>
      <c r="M54" s="157" t="n">
        <v>45953</v>
      </c>
      <c r="N54" s="289" t="n">
        <v>500</v>
      </c>
      <c r="O54" s="290">
        <f>IF(COUNT(商品マスタ[[#This Row],[参考上代
（税込)]]) &gt; 0, (商品マスタ[[#This Row],[参考上代
（税込)]]-商品マスタ[[#This Row],[国内定価
（15％）]])/(商品マスタ[[#This Row],[参考上代
（税込)]]/1.08), "")</f>
        <v/>
      </c>
      <c r="P54" s="136" t="n">
        <v>0.1</v>
      </c>
      <c r="Q54" s="291">
        <f>商品マスタ[[#This Row],[仕入
単価]]*商品マスタ[[#This Row],[標準国内送料率]]</f>
        <v/>
      </c>
      <c r="R54" s="289" t="n"/>
      <c r="S54" s="289">
        <f>IF(ISBLANK(商品マスタ[[#This Row],[実績
国内送料]]),商品マスタ[[#This Row],[標準国内送料]],)</f>
        <v/>
      </c>
      <c r="T54" s="289">
        <f>商品マスタ[[#This Row],[仕入
単価]]+商品マスタ[[#This Row],[国内送料]]</f>
        <v/>
      </c>
      <c r="U54" s="289">
        <f>ROUNDUP(商品マスタ[[#This Row],[仕入単価+国内送料]]/0.8,-1)</f>
        <v/>
      </c>
      <c r="V54" s="289">
        <f>商品マスタ[[#This Row],[海外定価
（20％）]]-商品マスタ[[#This Row],[仕入単価+国内送料]]</f>
        <v/>
      </c>
      <c r="W54" s="167">
        <f>ROUNDUP(商品マスタ[[#This Row],[仕入単価+国内送料]]/0.85,-1)</f>
        <v/>
      </c>
      <c r="X54" s="289">
        <f>商品マスタ[[#This Row],[国内定価
（15％）]]-商品マスタ[[#This Row],[仕入単価+国内送料]]</f>
        <v/>
      </c>
      <c r="Y54" s="167" t="n"/>
      <c r="Z54" s="167" t="inlineStr">
        <is>
          <t>150日</t>
        </is>
      </c>
      <c r="AA54" s="167" t="inlineStr">
        <is>
          <t>常温</t>
        </is>
      </c>
      <c r="AB54" s="167" t="inlineStr">
        <is>
          <t>5日</t>
        </is>
      </c>
      <c r="AC54" s="293" t="n">
        <v>4901944000124</v>
      </c>
      <c r="AD54" s="167" t="inlineStr">
        <is>
          <t>原材料のもち米、砂糖、生飴、オブラートは北海道産を使用しています。</t>
        </is>
      </c>
      <c r="AE54" s="167" t="n"/>
      <c r="AF54" s="167" t="inlineStr">
        <is>
          <t>〇</t>
        </is>
      </c>
      <c r="AG54" s="144" t="n"/>
    </row>
    <row r="55" ht="18" customHeight="1" s="207">
      <c r="A55" s="166" t="inlineStr">
        <is>
          <t>菓子</t>
        </is>
      </c>
      <c r="B55" s="167" t="inlineStr">
        <is>
          <t>和菓子</t>
        </is>
      </c>
      <c r="C55" s="167" t="inlineStr">
        <is>
          <t>谷田製菓</t>
        </is>
      </c>
      <c r="D55" s="143">
        <f>"PRD_SNJ_"&amp;
_xlfn.XLOOKUP(商品マスタ[[#This Row],[仕入先]],テーブル1[仕入先名],テーブル1[仕入先コード],"XXX",0,1)&amp;
"_"&amp;
商品マスタ[[#This Row],[シリアル]]&amp;
"_"&amp;
TEXT(COUNTIFS(商品マスタ!$C$3:C55,商品マスタ[[#This Row],[仕入先]],商品マスタ!$E$3:E55,商品マスタ[[#This Row],[商品名]]), "00")</f>
        <v/>
      </c>
      <c r="E55" s="167" t="inlineStr">
        <is>
          <t>谷田の日本一きびだんご30ｇ</t>
        </is>
      </c>
      <c r="F55" s="167">
        <f>IF(COUNTIFS($C$3:C55,商品マスタ[[#This Row],[仕入先]],$E$3:E55,商品マスタ[[#This Row],[商品名]]) = 1, 1,0)</f>
        <v/>
      </c>
      <c r="G55" s="133">
        <f>TEXT(SUMIF($C$3:C55,商品マスタ[[#This Row],[仕入先]],$F$3:F55), "0000")</f>
        <v/>
      </c>
      <c r="H55" s="167" t="n"/>
      <c r="I55" s="167" t="inlineStr">
        <is>
          <t>20×16</t>
        </is>
      </c>
      <c r="J55" s="167" t="n">
        <v>320</v>
      </c>
      <c r="K55" s="167" t="n"/>
      <c r="L55" s="289" t="n">
        <v>40.5</v>
      </c>
      <c r="M55" s="157" t="n">
        <v>45953</v>
      </c>
      <c r="N55" s="289" t="n">
        <v>60</v>
      </c>
      <c r="O55" s="290">
        <f>IF(COUNT(商品マスタ[[#This Row],[参考上代
（税込)]]) &gt; 0, (商品マスタ[[#This Row],[参考上代
（税込)]]-商品マスタ[[#This Row],[国内定価
（15％）]])/(商品マスタ[[#This Row],[参考上代
（税込)]]/1.08), "")</f>
        <v/>
      </c>
      <c r="P55" s="136" t="n">
        <v>0.1</v>
      </c>
      <c r="Q55" s="291">
        <f>商品マスタ[[#This Row],[仕入
単価]]*商品マスタ[[#This Row],[標準国内送料率]]</f>
        <v/>
      </c>
      <c r="R55" s="289" t="n"/>
      <c r="S55" s="289">
        <f>IF(ISBLANK(商品マスタ[[#This Row],[実績
国内送料]]),商品マスタ[[#This Row],[標準国内送料]],)</f>
        <v/>
      </c>
      <c r="T55" s="289">
        <f>商品マスタ[[#This Row],[仕入
単価]]+商品マスタ[[#This Row],[国内送料]]</f>
        <v/>
      </c>
      <c r="U55" s="289">
        <f>ROUNDUP(商品マスタ[[#This Row],[仕入単価+国内送料]]/0.8,-1)</f>
        <v/>
      </c>
      <c r="V55" s="289">
        <f>商品マスタ[[#This Row],[海外定価
（20％）]]-商品マスタ[[#This Row],[仕入単価+国内送料]]</f>
        <v/>
      </c>
      <c r="W55" s="167">
        <f>ROUNDUP(商品マスタ[[#This Row],[仕入単価+国内送料]]/0.85,-1)</f>
        <v/>
      </c>
      <c r="X55" s="289">
        <f>商品マスタ[[#This Row],[国内定価
（15％）]]-商品マスタ[[#This Row],[仕入単価+国内送料]]</f>
        <v/>
      </c>
      <c r="Y55" s="167" t="n"/>
      <c r="Z55" s="167" t="inlineStr">
        <is>
          <t>150日</t>
        </is>
      </c>
      <c r="AA55" s="167" t="inlineStr">
        <is>
          <t>常温</t>
        </is>
      </c>
      <c r="AB55" s="167" t="inlineStr">
        <is>
          <t>5日</t>
        </is>
      </c>
      <c r="AC55" s="293" t="n">
        <v>4901944000018</v>
      </c>
      <c r="AD55" s="167" t="inlineStr">
        <is>
          <t>原材料のもち米、砂糖、生餡、オブラートは北海道産を使用しています。大正１２年創製のロングラン商品です。</t>
        </is>
      </c>
      <c r="AE55" s="167" t="n"/>
      <c r="AF55" s="167" t="inlineStr">
        <is>
          <t>〇</t>
        </is>
      </c>
      <c r="AG55" s="144" t="n"/>
    </row>
    <row r="56" ht="18" customHeight="1" s="207">
      <c r="A56" s="166" t="inlineStr">
        <is>
          <t>菓子</t>
        </is>
      </c>
      <c r="B56" s="167" t="inlineStr">
        <is>
          <t>和菓子</t>
        </is>
      </c>
      <c r="C56" s="167" t="inlineStr">
        <is>
          <t>谷田製菓</t>
        </is>
      </c>
      <c r="D56" s="143">
        <f>"PRD_SNJ_"&amp;
_xlfn.XLOOKUP(商品マスタ[[#This Row],[仕入先]],テーブル1[仕入先名],テーブル1[仕入先コード],"XXX",0,1)&amp;
"_"&amp;
商品マスタ[[#This Row],[シリアル]]&amp;
"_"&amp;
TEXT(COUNTIFS(商品マスタ!$C$3:C56,商品マスタ[[#This Row],[仕入先]],商品マスタ!$E$3:E56,商品マスタ[[#This Row],[商品名]]), "00")</f>
        <v/>
      </c>
      <c r="E56" s="167" t="inlineStr">
        <is>
          <t>谷田の日本一きびだんご30ｇｘ４個入</t>
        </is>
      </c>
      <c r="F56" s="167">
        <f>IF(COUNTIFS($C$3:C56,商品マスタ[[#This Row],[仕入先]],$E$3:E56,商品マスタ[[#This Row],[商品名]]) = 1, 1,0)</f>
        <v/>
      </c>
      <c r="G56" s="133">
        <f>TEXT(SUMIF($C$3:C56,商品マスタ[[#This Row],[仕入先]],$F$3:F56), "0000")</f>
        <v/>
      </c>
      <c r="H56" s="167" t="n"/>
      <c r="I56" s="167" t="inlineStr">
        <is>
          <t>10×８</t>
        </is>
      </c>
      <c r="J56" s="167" t="n">
        <v>80</v>
      </c>
      <c r="K56" s="167" t="n"/>
      <c r="L56" s="289" t="n">
        <v>161</v>
      </c>
      <c r="M56" s="157" t="n">
        <v>45953</v>
      </c>
      <c r="N56" s="289" t="n">
        <v>240</v>
      </c>
      <c r="O56" s="290">
        <f>IF(COUNT(商品マスタ[[#This Row],[参考上代
（税込)]]) &gt; 0, (商品マスタ[[#This Row],[参考上代
（税込)]]-商品マスタ[[#This Row],[国内定価
（15％）]])/(商品マスタ[[#This Row],[参考上代
（税込)]]/1.08), "")</f>
        <v/>
      </c>
      <c r="P56" s="136" t="n">
        <v>0.1</v>
      </c>
      <c r="Q56" s="291">
        <f>商品マスタ[[#This Row],[仕入
単価]]*商品マスタ[[#This Row],[標準国内送料率]]</f>
        <v/>
      </c>
      <c r="R56" s="289" t="n"/>
      <c r="S56" s="289">
        <f>IF(ISBLANK(商品マスタ[[#This Row],[実績
国内送料]]),商品マスタ[[#This Row],[標準国内送料]],)</f>
        <v/>
      </c>
      <c r="T56" s="289">
        <f>商品マスタ[[#This Row],[仕入
単価]]+商品マスタ[[#This Row],[国内送料]]</f>
        <v/>
      </c>
      <c r="U56" s="289">
        <f>ROUNDUP(商品マスタ[[#This Row],[仕入単価+国内送料]]/0.8,-1)</f>
        <v/>
      </c>
      <c r="V56" s="289">
        <f>商品マスタ[[#This Row],[海外定価
（20％）]]-商品マスタ[[#This Row],[仕入単価+国内送料]]</f>
        <v/>
      </c>
      <c r="W56" s="167">
        <f>ROUNDUP(商品マスタ[[#This Row],[仕入単価+国内送料]]/0.85,-1)</f>
        <v/>
      </c>
      <c r="X56" s="289">
        <f>商品マスタ[[#This Row],[国内定価
（15％）]]-商品マスタ[[#This Row],[仕入単価+国内送料]]</f>
        <v/>
      </c>
      <c r="Y56" s="167" t="n"/>
      <c r="Z56" s="167" t="inlineStr">
        <is>
          <t>180日</t>
        </is>
      </c>
      <c r="AA56" s="167" t="inlineStr">
        <is>
          <t>常温</t>
        </is>
      </c>
      <c r="AB56" s="167" t="inlineStr">
        <is>
          <t>5日</t>
        </is>
      </c>
      <c r="AC56" s="293" t="n">
        <v>4901944001886</v>
      </c>
      <c r="AD56" s="167" t="inlineStr">
        <is>
          <t>原材料のもち米、砂糖、生飴、オブラートは北海道産を使用しています。当社ＮＯ１商品とファイターズのコラボ商品!</t>
        </is>
      </c>
      <c r="AE56" s="167" t="n"/>
      <c r="AF56" s="167" t="inlineStr">
        <is>
          <t>〇</t>
        </is>
      </c>
      <c r="AG56" s="144" t="n"/>
    </row>
    <row r="57" ht="18" customHeight="1" s="207">
      <c r="A57" s="166" t="inlineStr">
        <is>
          <t>菓子</t>
        </is>
      </c>
      <c r="B57" s="167" t="inlineStr">
        <is>
          <t>和菓子</t>
        </is>
      </c>
      <c r="C57" s="167" t="inlineStr">
        <is>
          <t>谷田製菓</t>
        </is>
      </c>
      <c r="D57" s="143">
        <f>"PRD_SNJ_"&amp;
_xlfn.XLOOKUP(商品マスタ[[#This Row],[仕入先]],テーブル1[仕入先名],テーブル1[仕入先コード],"XXX",0,1)&amp;
"_"&amp;
商品マスタ[[#This Row],[シリアル]]&amp;
"_"&amp;
TEXT(COUNTIFS(商品マスタ!$C$3:C57,商品マスタ[[#This Row],[仕入先]],商品マスタ!$E$3:E57,商品マスタ[[#This Row],[商品名]]), "00")</f>
        <v/>
      </c>
      <c r="E57" s="167" t="inlineStr">
        <is>
          <t>日本一きびだんご70g</t>
        </is>
      </c>
      <c r="F57" s="167">
        <f>IF(COUNTIFS($C$3:C57,商品マスタ[[#This Row],[仕入先]],$E$3:E57,商品マスタ[[#This Row],[商品名]]) = 1, 1,0)</f>
        <v/>
      </c>
      <c r="G57" s="133">
        <f>TEXT(SUMIF($C$3:C57,商品マスタ[[#This Row],[仕入先]],$F$3:F57), "0000")</f>
        <v/>
      </c>
      <c r="H57" s="167" t="n"/>
      <c r="I57" s="167" t="inlineStr">
        <is>
          <t>10×16</t>
        </is>
      </c>
      <c r="J57" s="167" t="n">
        <v>160</v>
      </c>
      <c r="K57" s="167" t="n"/>
      <c r="L57" s="289" t="n">
        <v>92.5</v>
      </c>
      <c r="M57" s="157" t="n">
        <v>45953</v>
      </c>
      <c r="N57" s="289" t="n">
        <v>140</v>
      </c>
      <c r="O57" s="290">
        <f>IF(COUNT(商品マスタ[[#This Row],[参考上代
（税込)]]) &gt; 0, (商品マスタ[[#This Row],[参考上代
（税込)]]-商品マスタ[[#This Row],[国内定価
（15％）]])/(商品マスタ[[#This Row],[参考上代
（税込)]]/1.08), "")</f>
        <v/>
      </c>
      <c r="P57" s="136" t="n">
        <v>0.1</v>
      </c>
      <c r="Q57" s="291">
        <f>商品マスタ[[#This Row],[仕入
単価]]*商品マスタ[[#This Row],[標準国内送料率]]</f>
        <v/>
      </c>
      <c r="R57" s="289" t="n"/>
      <c r="S57" s="289">
        <f>IF(ISBLANK(商品マスタ[[#This Row],[実績
国内送料]]),商品マスタ[[#This Row],[標準国内送料]],)</f>
        <v/>
      </c>
      <c r="T57" s="289">
        <f>商品マスタ[[#This Row],[仕入
単価]]+商品マスタ[[#This Row],[国内送料]]</f>
        <v/>
      </c>
      <c r="U57" s="289">
        <f>ROUNDUP(商品マスタ[[#This Row],[仕入単価+国内送料]]/0.8,-1)</f>
        <v/>
      </c>
      <c r="V57" s="289">
        <f>商品マスタ[[#This Row],[海外定価
（20％）]]-商品マスタ[[#This Row],[仕入単価+国内送料]]</f>
        <v/>
      </c>
      <c r="W57" s="167">
        <f>ROUNDUP(商品マスタ[[#This Row],[仕入単価+国内送料]]/0.85,-1)</f>
        <v/>
      </c>
      <c r="X57" s="289">
        <f>商品マスタ[[#This Row],[国内定価
（15％）]]-商品マスタ[[#This Row],[仕入単価+国内送料]]</f>
        <v/>
      </c>
      <c r="Y57" s="167" t="n"/>
      <c r="Z57" s="167" t="inlineStr">
        <is>
          <t>180日</t>
        </is>
      </c>
      <c r="AA57" s="167" t="inlineStr">
        <is>
          <t>常温</t>
        </is>
      </c>
      <c r="AB57" s="167" t="inlineStr">
        <is>
          <t>5日</t>
        </is>
      </c>
      <c r="AC57" s="293" t="n">
        <v>4901944001893</v>
      </c>
      <c r="AD57" s="167" t="inlineStr">
        <is>
          <t>原材料のもち米、砂糖、生飴、オブラートは北海道産を使用しています。ファイターズのコラボ商品!</t>
        </is>
      </c>
      <c r="AE57" s="167" t="n"/>
      <c r="AF57" s="167" t="inlineStr">
        <is>
          <t>〇</t>
        </is>
      </c>
      <c r="AG57" s="144" t="n"/>
    </row>
    <row r="58" ht="18" customHeight="1" s="207">
      <c r="A58" s="166" t="inlineStr">
        <is>
          <t>菓子</t>
        </is>
      </c>
      <c r="B58" s="167" t="inlineStr">
        <is>
          <t>和菓子</t>
        </is>
      </c>
      <c r="C58" s="167" t="inlineStr">
        <is>
          <t>谷田製菓</t>
        </is>
      </c>
      <c r="D58" s="143">
        <f>"PRD_SNJ_"&amp;
_xlfn.XLOOKUP(商品マスタ[[#This Row],[仕入先]],テーブル1[仕入先名],テーブル1[仕入先コード],"XXX",0,1)&amp;
"_"&amp;
商品マスタ[[#This Row],[シリアル]]&amp;
"_"&amp;
TEXT(COUNTIFS(商品マスタ!$C$3:C58,商品マスタ[[#This Row],[仕入先]],商品マスタ!$E$3:E58,商品マスタ[[#This Row],[商品名]]), "00")</f>
        <v/>
      </c>
      <c r="E58" s="167" t="inlineStr">
        <is>
          <t>ファイターズ一口きびだんご98ｇ</t>
        </is>
      </c>
      <c r="F58" s="167">
        <f>IF(COUNTIFS($C$3:C58,商品マスタ[[#This Row],[仕入先]],$E$3:E58,商品マスタ[[#This Row],[商品名]]) = 1, 1,0)</f>
        <v/>
      </c>
      <c r="G58" s="133">
        <f>TEXT(SUMIF($C$3:C58,商品マスタ[[#This Row],[仕入先]],$F$3:F58), "0000")</f>
        <v/>
      </c>
      <c r="H58" s="167" t="n"/>
      <c r="I58" s="167" t="inlineStr">
        <is>
          <t>12×6</t>
        </is>
      </c>
      <c r="J58" s="167" t="n">
        <v>72</v>
      </c>
      <c r="K58" s="167" t="n"/>
      <c r="L58" s="289" t="n">
        <v>163</v>
      </c>
      <c r="M58" s="157" t="n">
        <v>45953</v>
      </c>
      <c r="N58" s="289" t="n">
        <v>260</v>
      </c>
      <c r="O58" s="290">
        <f>IF(COUNT(商品マスタ[[#This Row],[参考上代
（税込)]]) &gt; 0, (商品マスタ[[#This Row],[参考上代
（税込)]]-商品マスタ[[#This Row],[国内定価
（15％）]])/(商品マスタ[[#This Row],[参考上代
（税込)]]/1.08), "")</f>
        <v/>
      </c>
      <c r="P58" s="136" t="n">
        <v>0.1</v>
      </c>
      <c r="Q58" s="291">
        <f>商品マスタ[[#This Row],[仕入
単価]]*商品マスタ[[#This Row],[標準国内送料率]]</f>
        <v/>
      </c>
      <c r="R58" s="289" t="n"/>
      <c r="S58" s="289">
        <f>IF(ISBLANK(商品マスタ[[#This Row],[実績
国内送料]]),商品マスタ[[#This Row],[標準国内送料]],)</f>
        <v/>
      </c>
      <c r="T58" s="289">
        <f>商品マスタ[[#This Row],[仕入
単価]]+商品マスタ[[#This Row],[国内送料]]</f>
        <v/>
      </c>
      <c r="U58" s="289">
        <f>ROUNDUP(商品マスタ[[#This Row],[仕入単価+国内送料]]/0.8,-1)</f>
        <v/>
      </c>
      <c r="V58" s="289">
        <f>商品マスタ[[#This Row],[海外定価
（20％）]]-商品マスタ[[#This Row],[仕入単価+国内送料]]</f>
        <v/>
      </c>
      <c r="W58" s="167">
        <f>ROUNDUP(商品マスタ[[#This Row],[仕入単価+国内送料]]/0.85,-1)</f>
        <v/>
      </c>
      <c r="X58" s="289">
        <f>商品マスタ[[#This Row],[国内定価
（15％）]]-商品マスタ[[#This Row],[仕入単価+国内送料]]</f>
        <v/>
      </c>
      <c r="Y58" s="167" t="n"/>
      <c r="Z58" s="167" t="inlineStr">
        <is>
          <t>180日</t>
        </is>
      </c>
      <c r="AA58" s="167" t="inlineStr">
        <is>
          <t>常温</t>
        </is>
      </c>
      <c r="AB58" s="167" t="inlineStr">
        <is>
          <t>5日</t>
        </is>
      </c>
      <c r="AC58" s="293" t="n">
        <v>4901944007116</v>
      </c>
      <c r="AD58" s="167" t="inlineStr">
        <is>
          <t>原材料のもち米、砂糖、生飴、オブラートは北海道産を使用しています。</t>
        </is>
      </c>
      <c r="AE58" s="167" t="n"/>
      <c r="AF58" s="167" t="inlineStr">
        <is>
          <t>〇</t>
        </is>
      </c>
      <c r="AG58" s="144" t="n"/>
    </row>
    <row r="59" ht="18" customHeight="1" s="207">
      <c r="A59" s="166" t="inlineStr">
        <is>
          <t>菓子</t>
        </is>
      </c>
      <c r="B59" s="167" t="inlineStr">
        <is>
          <t>和菓子</t>
        </is>
      </c>
      <c r="C59" s="167" t="inlineStr">
        <is>
          <t>谷田製菓</t>
        </is>
      </c>
      <c r="D59" s="143">
        <f>"PRD_SNJ_"&amp;
_xlfn.XLOOKUP(商品マスタ[[#This Row],[仕入先]],テーブル1[仕入先名],テーブル1[仕入先コード],"XXX",0,1)&amp;
"_"&amp;
商品マスタ[[#This Row],[シリアル]]&amp;
"_"&amp;
TEXT(COUNTIFS(商品マスタ!$C$3:C59,商品マスタ[[#This Row],[仕入先]],商品マスタ!$E$3:E59,商品マスタ[[#This Row],[商品名]]), "00")</f>
        <v/>
      </c>
      <c r="E59" s="167" t="inlineStr">
        <is>
          <t>ファイターズきびだんごミルク味98ｇ</t>
        </is>
      </c>
      <c r="F59" s="167">
        <f>IF(COUNTIFS($C$3:C59,商品マスタ[[#This Row],[仕入先]],$E$3:E59,商品マスタ[[#This Row],[商品名]]) = 1, 1,0)</f>
        <v/>
      </c>
      <c r="G59" s="133">
        <f>TEXT(SUMIF($C$3:C59,商品マスタ[[#This Row],[仕入先]],$F$3:F59), "0000")</f>
        <v/>
      </c>
      <c r="H59" s="167" t="n"/>
      <c r="I59" s="167" t="inlineStr">
        <is>
          <t>12×6</t>
        </is>
      </c>
      <c r="J59" s="167" t="n">
        <v>72</v>
      </c>
      <c r="K59" s="167" t="n"/>
      <c r="L59" s="289" t="n">
        <v>163</v>
      </c>
      <c r="M59" s="157" t="n">
        <v>45953</v>
      </c>
      <c r="N59" s="289" t="n">
        <v>260</v>
      </c>
      <c r="O59" s="290">
        <f>IF(COUNT(商品マスタ[[#This Row],[参考上代
（税込)]]) &gt; 0, (商品マスタ[[#This Row],[参考上代
（税込)]]-商品マスタ[[#This Row],[国内定価
（15％）]])/(商品マスタ[[#This Row],[参考上代
（税込)]]/1.08), "")</f>
        <v/>
      </c>
      <c r="P59" s="136" t="n">
        <v>0.1</v>
      </c>
      <c r="Q59" s="291">
        <f>商品マスタ[[#This Row],[仕入
単価]]*商品マスタ[[#This Row],[標準国内送料率]]</f>
        <v/>
      </c>
      <c r="R59" s="289" t="n"/>
      <c r="S59" s="289">
        <f>IF(ISBLANK(商品マスタ[[#This Row],[実績
国内送料]]),商品マスタ[[#This Row],[標準国内送料]],)</f>
        <v/>
      </c>
      <c r="T59" s="289">
        <f>商品マスタ[[#This Row],[仕入
単価]]+商品マスタ[[#This Row],[国内送料]]</f>
        <v/>
      </c>
      <c r="U59" s="289">
        <f>ROUNDUP(商品マスタ[[#This Row],[仕入単価+国内送料]]/0.8,-1)</f>
        <v/>
      </c>
      <c r="V59" s="289">
        <f>商品マスタ[[#This Row],[海外定価
（20％）]]-商品マスタ[[#This Row],[仕入単価+国内送料]]</f>
        <v/>
      </c>
      <c r="W59" s="167">
        <f>ROUNDUP(商品マスタ[[#This Row],[仕入単価+国内送料]]/0.85,-1)</f>
        <v/>
      </c>
      <c r="X59" s="289">
        <f>商品マスタ[[#This Row],[国内定価
（15％）]]-商品マスタ[[#This Row],[仕入単価+国内送料]]</f>
        <v/>
      </c>
      <c r="Y59" s="167" t="n"/>
      <c r="Z59" s="167" t="inlineStr">
        <is>
          <t>180日</t>
        </is>
      </c>
      <c r="AA59" s="167" t="inlineStr">
        <is>
          <t>常温</t>
        </is>
      </c>
      <c r="AB59" s="167" t="inlineStr">
        <is>
          <t>5日</t>
        </is>
      </c>
      <c r="AC59" s="293" t="n">
        <v>4901944001114</v>
      </c>
      <c r="AD59" s="167" t="inlineStr">
        <is>
          <t>原材料のもち米、砂糖、生餡、メロン果汁、オブラートが北海道産を使用しています。</t>
        </is>
      </c>
      <c r="AE59" s="167" t="n"/>
      <c r="AF59" s="167" t="inlineStr">
        <is>
          <t>〇</t>
        </is>
      </c>
      <c r="AG59" s="144" t="n"/>
    </row>
    <row r="60" ht="18" customHeight="1" s="207">
      <c r="A60" s="166" t="inlineStr">
        <is>
          <t>菓子</t>
        </is>
      </c>
      <c r="B60" s="167" t="inlineStr">
        <is>
          <t>和菓子</t>
        </is>
      </c>
      <c r="C60" s="167" t="inlineStr">
        <is>
          <t>谷田製菓</t>
        </is>
      </c>
      <c r="D60" s="143">
        <f>"PRD_SNJ_"&amp;
_xlfn.XLOOKUP(商品マスタ[[#This Row],[仕入先]],テーブル1[仕入先名],テーブル1[仕入先コード],"XXX",0,1)&amp;
"_"&amp;
商品マスタ[[#This Row],[シリアル]]&amp;
"_"&amp;
TEXT(COUNTIFS(商品マスタ!$C$3:C60,商品マスタ[[#This Row],[仕入先]],商品マスタ!$E$3:E60,商品マスタ[[#This Row],[商品名]]), "00")</f>
        <v/>
      </c>
      <c r="E60" s="167" t="inlineStr">
        <is>
          <t>とうきび餅98ｇ</t>
        </is>
      </c>
      <c r="F60" s="167">
        <f>IF(COUNTIFS($C$3:C60,商品マスタ[[#This Row],[仕入先]],$E$3:E60,商品マスタ[[#This Row],[商品名]]) = 1, 1,0)</f>
        <v/>
      </c>
      <c r="G60" s="133">
        <f>TEXT(SUMIF($C$3:C60,商品マスタ[[#This Row],[仕入先]],$F$3:F60), "0000")</f>
        <v/>
      </c>
      <c r="H60" s="167" t="n"/>
      <c r="I60" s="167" t="inlineStr">
        <is>
          <t>12×6</t>
        </is>
      </c>
      <c r="J60" s="167" t="n">
        <v>72</v>
      </c>
      <c r="K60" s="167" t="n"/>
      <c r="L60" s="289" t="n">
        <v>163</v>
      </c>
      <c r="M60" s="157" t="n">
        <v>45953</v>
      </c>
      <c r="N60" s="289" t="n">
        <v>260</v>
      </c>
      <c r="O60" s="290">
        <f>IF(COUNT(商品マスタ[[#This Row],[参考上代
（税込)]]) &gt; 0, (商品マスタ[[#This Row],[参考上代
（税込)]]-商品マスタ[[#This Row],[国内定価
（15％）]])/(商品マスタ[[#This Row],[参考上代
（税込)]]/1.08), "")</f>
        <v/>
      </c>
      <c r="P60" s="136" t="n">
        <v>0.1</v>
      </c>
      <c r="Q60" s="291">
        <f>商品マスタ[[#This Row],[仕入
単価]]*商品マスタ[[#This Row],[標準国内送料率]]</f>
        <v/>
      </c>
      <c r="R60" s="289" t="n"/>
      <c r="S60" s="289">
        <f>IF(ISBLANK(商品マスタ[[#This Row],[実績
国内送料]]),商品マスタ[[#This Row],[標準国内送料]],)</f>
        <v/>
      </c>
      <c r="T60" s="289">
        <f>商品マスタ[[#This Row],[仕入
単価]]+商品マスタ[[#This Row],[国内送料]]</f>
        <v/>
      </c>
      <c r="U60" s="289">
        <f>ROUNDUP(商品マスタ[[#This Row],[仕入単価+国内送料]]/0.8,-1)</f>
        <v/>
      </c>
      <c r="V60" s="289">
        <f>商品マスタ[[#This Row],[海外定価
（20％）]]-商品マスタ[[#This Row],[仕入単価+国内送料]]</f>
        <v/>
      </c>
      <c r="W60" s="167">
        <f>ROUNDUP(商品マスタ[[#This Row],[仕入単価+国内送料]]/0.85,-1)</f>
        <v/>
      </c>
      <c r="X60" s="289">
        <f>商品マスタ[[#This Row],[国内定価
（15％）]]-商品マスタ[[#This Row],[仕入単価+国内送料]]</f>
        <v/>
      </c>
      <c r="Y60" s="167" t="n"/>
      <c r="Z60" s="167" t="inlineStr">
        <is>
          <t>180日</t>
        </is>
      </c>
      <c r="AA60" s="167" t="inlineStr">
        <is>
          <t>常温</t>
        </is>
      </c>
      <c r="AB60" s="167" t="inlineStr">
        <is>
          <t>5日</t>
        </is>
      </c>
      <c r="AC60" s="293" t="n">
        <v>4901944001213</v>
      </c>
      <c r="AD60" s="167" t="inlineStr">
        <is>
          <t>原材料のもち米、砂糖、生餡、濃縮牛乳、オブラートが北海道産を使用しています。</t>
        </is>
      </c>
      <c r="AE60" s="167" t="n"/>
      <c r="AF60" s="167" t="inlineStr">
        <is>
          <t>〇</t>
        </is>
      </c>
      <c r="AG60" s="144" t="n"/>
    </row>
    <row r="61" ht="18" customHeight="1" s="207">
      <c r="A61" s="166" t="inlineStr">
        <is>
          <t>菓子</t>
        </is>
      </c>
      <c r="B61" s="167" t="inlineStr">
        <is>
          <t>和菓子</t>
        </is>
      </c>
      <c r="C61" s="167" t="inlineStr">
        <is>
          <t>谷田製菓</t>
        </is>
      </c>
      <c r="D61" s="143">
        <f>"PRD_SNJ_"&amp;
_xlfn.XLOOKUP(商品マスタ[[#This Row],[仕入先]],テーブル1[仕入先名],テーブル1[仕入先コード],"XXX",0,1)&amp;
"_"&amp;
商品マスタ[[#This Row],[シリアル]]&amp;
"_"&amp;
TEXT(COUNTIFS(商品マスタ!$C$3:C61,商品マスタ[[#This Row],[仕入先]],商品マスタ!$E$3:E61,商品マスタ[[#This Row],[商品名]]), "00")</f>
        <v/>
      </c>
      <c r="E61" s="167" t="inlineStr">
        <is>
          <t>きびだんごメロン味98ｇ</t>
        </is>
      </c>
      <c r="F61" s="167">
        <f>IF(COUNTIFS($C$3:C61,商品マスタ[[#This Row],[仕入先]],$E$3:E61,商品マスタ[[#This Row],[商品名]]) = 1, 1,0)</f>
        <v/>
      </c>
      <c r="G61" s="133">
        <f>TEXT(SUMIF($C$3:C61,商品マスタ[[#This Row],[仕入先]],$F$3:F61), "0000")</f>
        <v/>
      </c>
      <c r="H61" s="167" t="n"/>
      <c r="I61" s="167" t="inlineStr">
        <is>
          <t>12×6</t>
        </is>
      </c>
      <c r="J61" s="167" t="n">
        <v>72</v>
      </c>
      <c r="K61" s="167" t="n"/>
      <c r="L61" s="289" t="n">
        <v>163</v>
      </c>
      <c r="M61" s="157" t="n">
        <v>45953</v>
      </c>
      <c r="N61" s="289" t="n">
        <v>260</v>
      </c>
      <c r="O61" s="290">
        <f>IF(COUNT(商品マスタ[[#This Row],[参考上代
（税込)]]) &gt; 0, (商品マスタ[[#This Row],[参考上代
（税込)]]-商品マスタ[[#This Row],[国内定価
（15％）]])/(商品マスタ[[#This Row],[参考上代
（税込)]]/1.08), "")</f>
        <v/>
      </c>
      <c r="P61" s="136" t="n">
        <v>0.1</v>
      </c>
      <c r="Q61" s="291">
        <f>商品マスタ[[#This Row],[仕入
単価]]*商品マスタ[[#This Row],[標準国内送料率]]</f>
        <v/>
      </c>
      <c r="R61" s="289" t="n"/>
      <c r="S61" s="289">
        <f>IF(ISBLANK(商品マスタ[[#This Row],[実績
国内送料]]),商品マスタ[[#This Row],[標準国内送料]],)</f>
        <v/>
      </c>
      <c r="T61" s="289">
        <f>商品マスタ[[#This Row],[仕入
単価]]+商品マスタ[[#This Row],[国内送料]]</f>
        <v/>
      </c>
      <c r="U61" s="289">
        <f>ROUNDUP(商品マスタ[[#This Row],[仕入単価+国内送料]]/0.8,-1)</f>
        <v/>
      </c>
      <c r="V61" s="289">
        <f>商品マスタ[[#This Row],[海外定価
（20％）]]-商品マスタ[[#This Row],[仕入単価+国内送料]]</f>
        <v/>
      </c>
      <c r="W61" s="167">
        <f>ROUNDUP(商品マスタ[[#This Row],[仕入単価+国内送料]]/0.85,-1)</f>
        <v/>
      </c>
      <c r="X61" s="289">
        <f>商品マスタ[[#This Row],[国内定価
（15％）]]-商品マスタ[[#This Row],[仕入単価+国内送料]]</f>
        <v/>
      </c>
      <c r="Y61" s="167" t="n"/>
      <c r="Z61" s="167" t="inlineStr">
        <is>
          <t>150日</t>
        </is>
      </c>
      <c r="AA61" s="167" t="inlineStr">
        <is>
          <t>常温</t>
        </is>
      </c>
      <c r="AB61" s="167" t="inlineStr">
        <is>
          <t>5日</t>
        </is>
      </c>
      <c r="AC61" s="293" t="n">
        <v>4595644160075</v>
      </c>
      <c r="AD61" s="167" t="inlineStr">
        <is>
          <t>原材料のもち米、砂糖、さつまいも、オブラートが北海道産を使用しています。</t>
        </is>
      </c>
      <c r="AE61" s="167" t="n"/>
      <c r="AF61" s="167" t="inlineStr">
        <is>
          <t>〇</t>
        </is>
      </c>
      <c r="AG61" s="144" t="n"/>
    </row>
    <row r="62" ht="18" customHeight="1" s="207">
      <c r="A62" s="166" t="inlineStr">
        <is>
          <t>菓子</t>
        </is>
      </c>
      <c r="B62" s="167" t="inlineStr">
        <is>
          <t>和菓子</t>
        </is>
      </c>
      <c r="C62" s="167" t="inlineStr">
        <is>
          <t>谷田製菓</t>
        </is>
      </c>
      <c r="D62" s="143">
        <f>"PRD_SNJ_"&amp;
_xlfn.XLOOKUP(商品マスタ[[#This Row],[仕入先]],テーブル1[仕入先名],テーブル1[仕入先コード],"XXX",0,1)&amp;
"_"&amp;
商品マスタ[[#This Row],[シリアル]]&amp;
"_"&amp;
TEXT(COUNTIFS(商品マスタ!$C$3:C62,商品マスタ[[#This Row],[仕入先]],商品マスタ!$E$3:E62,商品マスタ[[#This Row],[商品名]]), "00")</f>
        <v/>
      </c>
      <c r="E62" s="167" t="inlineStr">
        <is>
          <t>きびだんごミルク味98ｇ</t>
        </is>
      </c>
      <c r="F62" s="167">
        <f>IF(COUNTIFS($C$3:C62,商品マスタ[[#This Row],[仕入先]],$E$3:E62,商品マスタ[[#This Row],[商品名]]) = 1, 1,0)</f>
        <v/>
      </c>
      <c r="G62" s="133">
        <f>TEXT(SUMIF($C$3:C62,商品マスタ[[#This Row],[仕入先]],$F$3:F62), "0000")</f>
        <v/>
      </c>
      <c r="H62" s="167" t="n"/>
      <c r="I62" s="167" t="inlineStr">
        <is>
          <t>12×6</t>
        </is>
      </c>
      <c r="J62" s="167" t="n">
        <v>72</v>
      </c>
      <c r="K62" s="167" t="n"/>
      <c r="L62" s="289" t="n">
        <v>163</v>
      </c>
      <c r="M62" s="157" t="n">
        <v>45953</v>
      </c>
      <c r="N62" s="289" t="n">
        <v>260</v>
      </c>
      <c r="O62" s="290">
        <f>IF(COUNT(商品マスタ[[#This Row],[参考上代
（税込)]]) &gt; 0, (商品マスタ[[#This Row],[参考上代
（税込)]]-商品マスタ[[#This Row],[国内定価
（15％）]])/(商品マスタ[[#This Row],[参考上代
（税込)]]/1.08), "")</f>
        <v/>
      </c>
      <c r="P62" s="136" t="n">
        <v>0.1</v>
      </c>
      <c r="Q62" s="291">
        <f>商品マスタ[[#This Row],[仕入
単価]]*商品マスタ[[#This Row],[標準国内送料率]]</f>
        <v/>
      </c>
      <c r="R62" s="289" t="n"/>
      <c r="S62" s="289">
        <f>IF(ISBLANK(商品マスタ[[#This Row],[実績
国内送料]]),商品マスタ[[#This Row],[標準国内送料]],)</f>
        <v/>
      </c>
      <c r="T62" s="289">
        <f>商品マスタ[[#This Row],[仕入
単価]]+商品マスタ[[#This Row],[国内送料]]</f>
        <v/>
      </c>
      <c r="U62" s="289">
        <f>ROUNDUP(商品マスタ[[#This Row],[仕入単価+国内送料]]/0.8,-1)</f>
        <v/>
      </c>
      <c r="V62" s="289">
        <f>商品マスタ[[#This Row],[海外定価
（20％）]]-商品マスタ[[#This Row],[仕入単価+国内送料]]</f>
        <v/>
      </c>
      <c r="W62" s="167">
        <f>ROUNDUP(商品マスタ[[#This Row],[仕入単価+国内送料]]/0.85,-1)</f>
        <v/>
      </c>
      <c r="X62" s="289">
        <f>商品マスタ[[#This Row],[国内定価
（15％）]]-商品マスタ[[#This Row],[仕入単価+国内送料]]</f>
        <v/>
      </c>
      <c r="Y62" s="167" t="n"/>
      <c r="Z62" s="167" t="inlineStr">
        <is>
          <t>150日</t>
        </is>
      </c>
      <c r="AA62" s="167" t="inlineStr">
        <is>
          <t>常温</t>
        </is>
      </c>
      <c r="AB62" s="167" t="inlineStr">
        <is>
          <t>5日</t>
        </is>
      </c>
      <c r="AC62" s="293" t="n">
        <v>4595644160099</v>
      </c>
      <c r="AD62" s="167" t="inlineStr">
        <is>
          <t xml:space="preserve">原材料のもち米、砂糖、さつまいも、オブラートが北海道産を使用しています。
</t>
        </is>
      </c>
      <c r="AE62" s="167" t="n"/>
      <c r="AF62" s="167" t="inlineStr">
        <is>
          <t>〇</t>
        </is>
      </c>
      <c r="AG62" s="144" t="n"/>
    </row>
    <row r="63" ht="18" customHeight="1" s="207">
      <c r="A63" s="166" t="inlineStr">
        <is>
          <t>菓子</t>
        </is>
      </c>
      <c r="B63" s="167" t="inlineStr">
        <is>
          <t>和菓子</t>
        </is>
      </c>
      <c r="C63" s="167" t="inlineStr">
        <is>
          <t>谷田製菓</t>
        </is>
      </c>
      <c r="D63" s="143">
        <f>"PRD_SNJ_"&amp;
_xlfn.XLOOKUP(商品マスタ[[#This Row],[仕入先]],テーブル1[仕入先名],テーブル1[仕入先コード],"XXX",0,1)&amp;
"_"&amp;
商品マスタ[[#This Row],[シリアル]]&amp;
"_"&amp;
TEXT(COUNTIFS(商品マスタ!$C$3:C63,商品マスタ[[#This Row],[仕入先]],商品マスタ!$E$3:E63,商品マスタ[[#This Row],[商品名]]), "00")</f>
        <v/>
      </c>
      <c r="E63" s="167" t="inlineStr">
        <is>
          <t>(合)ベジタボ　由栗いも　畑のキャラメル　30g</t>
        </is>
      </c>
      <c r="F63" s="167">
        <f>IF(COUNTIFS($C$3:C63,商品マスタ[[#This Row],[仕入先]],$E$3:E63,商品マスタ[[#This Row],[商品名]]) = 1, 1,0)</f>
        <v/>
      </c>
      <c r="G63" s="133">
        <f>TEXT(SUMIF($C$3:C63,商品マスタ[[#This Row],[仕入先]],$F$3:F63), "0000")</f>
        <v/>
      </c>
      <c r="H63" s="167" t="n"/>
      <c r="I63" s="167" t="inlineStr">
        <is>
          <t>20×16</t>
        </is>
      </c>
      <c r="J63" s="167" t="n">
        <v>320</v>
      </c>
      <c r="K63" s="167" t="n"/>
      <c r="L63" s="289" t="n">
        <v>67.5</v>
      </c>
      <c r="M63" s="157" t="n">
        <v>45953</v>
      </c>
      <c r="N63" s="289" t="n">
        <v>130</v>
      </c>
      <c r="O63" s="290">
        <f>IF(COUNT(商品マスタ[[#This Row],[参考上代
（税込)]]) &gt; 0, (商品マスタ[[#This Row],[参考上代
（税込)]]-商品マスタ[[#This Row],[国内定価
（15％）]])/(商品マスタ[[#This Row],[参考上代
（税込)]]/1.08), "")</f>
        <v/>
      </c>
      <c r="P63" s="136" t="n">
        <v>0.1</v>
      </c>
      <c r="Q63" s="291">
        <f>商品マスタ[[#This Row],[仕入
単価]]*商品マスタ[[#This Row],[標準国内送料率]]</f>
        <v/>
      </c>
      <c r="R63" s="289" t="n"/>
      <c r="S63" s="289">
        <f>IF(ISBLANK(商品マスタ[[#This Row],[実績
国内送料]]),商品マスタ[[#This Row],[標準国内送料]],)</f>
        <v/>
      </c>
      <c r="T63" s="289">
        <f>商品マスタ[[#This Row],[仕入
単価]]+商品マスタ[[#This Row],[国内送料]]</f>
        <v/>
      </c>
      <c r="U63" s="289">
        <f>ROUNDUP(商品マスタ[[#This Row],[仕入単価+国内送料]]/0.8,-1)</f>
        <v/>
      </c>
      <c r="V63" s="289">
        <f>商品マスタ[[#This Row],[海外定価
（20％）]]-商品マスタ[[#This Row],[仕入単価+国内送料]]</f>
        <v/>
      </c>
      <c r="W63" s="167">
        <f>ROUNDUP(商品マスタ[[#This Row],[仕入単価+国内送料]]/0.85,-1)</f>
        <v/>
      </c>
      <c r="X63" s="289">
        <f>商品マスタ[[#This Row],[国内定価
（15％）]]-商品マスタ[[#This Row],[仕入単価+国内送料]]</f>
        <v/>
      </c>
      <c r="Y63" s="167" t="n"/>
      <c r="Z63" s="167" t="n"/>
      <c r="AA63" s="167" t="n"/>
      <c r="AB63" s="167" t="n"/>
      <c r="AC63" s="293" t="n"/>
      <c r="AD63" s="167" t="n"/>
      <c r="AE63" s="167" t="n"/>
      <c r="AF63" s="167" t="inlineStr">
        <is>
          <t>〇</t>
        </is>
      </c>
      <c r="AG63" s="144" t="n"/>
    </row>
    <row r="64" ht="18" customHeight="1" s="207">
      <c r="A64" s="166" t="inlineStr">
        <is>
          <t>菓子</t>
        </is>
      </c>
      <c r="B64" s="167" t="inlineStr">
        <is>
          <t>和菓子</t>
        </is>
      </c>
      <c r="C64" s="167" t="inlineStr">
        <is>
          <t>谷田製菓</t>
        </is>
      </c>
      <c r="D64" s="143">
        <f>"PRD_SNJ_"&amp;
_xlfn.XLOOKUP(商品マスタ[[#This Row],[仕入先]],テーブル1[仕入先名],テーブル1[仕入先コード],"XXX",0,1)&amp;
"_"&amp;
商品マスタ[[#This Row],[シリアル]]&amp;
"_"&amp;
TEXT(COUNTIFS(商品マスタ!$C$3:C64,商品マスタ[[#This Row],[仕入先]],商品マスタ!$E$3:E64,商品マスタ[[#This Row],[商品名]]), "00")</f>
        <v/>
      </c>
      <c r="E64" s="167" t="inlineStr">
        <is>
          <t>(合)ベジタボ　由栗いも　畑のキャラメル　　30g×８個入</t>
        </is>
      </c>
      <c r="F64" s="167">
        <f>IF(COUNTIFS($C$3:C64,商品マスタ[[#This Row],[仕入先]],$E$3:E64,商品マスタ[[#This Row],[商品名]]) = 1, 1,0)</f>
        <v/>
      </c>
      <c r="G64" s="133">
        <f>TEXT(SUMIF($C$3:C64,商品マスタ[[#This Row],[仕入先]],$F$3:F64), "0000")</f>
        <v/>
      </c>
      <c r="H64" s="167" t="n"/>
      <c r="I64" s="167" t="inlineStr">
        <is>
          <t>24×1</t>
        </is>
      </c>
      <c r="J64" s="167" t="n">
        <v>24</v>
      </c>
      <c r="K64" s="167" t="n"/>
      <c r="L64" s="289" t="n">
        <v>620</v>
      </c>
      <c r="M64" s="157" t="n">
        <v>45953</v>
      </c>
      <c r="N64" s="289" t="n">
        <v>1080</v>
      </c>
      <c r="O64" s="290">
        <f>IF(COUNT(商品マスタ[[#This Row],[参考上代
（税込)]]) &gt; 0, (商品マスタ[[#This Row],[参考上代
（税込)]]-商品マスタ[[#This Row],[国内定価
（15％）]])/(商品マスタ[[#This Row],[参考上代
（税込)]]/1.08), "")</f>
        <v/>
      </c>
      <c r="P64" s="136" t="n">
        <v>0.1</v>
      </c>
      <c r="Q64" s="291">
        <f>商品マスタ[[#This Row],[仕入
単価]]*商品マスタ[[#This Row],[標準国内送料率]]</f>
        <v/>
      </c>
      <c r="R64" s="289" t="n"/>
      <c r="S64" s="289">
        <f>IF(ISBLANK(商品マスタ[[#This Row],[実績
国内送料]]),商品マスタ[[#This Row],[標準国内送料]],)</f>
        <v/>
      </c>
      <c r="T64" s="289">
        <f>商品マスタ[[#This Row],[仕入
単価]]+商品マスタ[[#This Row],[国内送料]]</f>
        <v/>
      </c>
      <c r="U64" s="289">
        <f>ROUNDUP(商品マスタ[[#This Row],[仕入単価+国内送料]]/0.8,-1)</f>
        <v/>
      </c>
      <c r="V64" s="289">
        <f>商品マスタ[[#This Row],[海外定価
（20％）]]-商品マスタ[[#This Row],[仕入単価+国内送料]]</f>
        <v/>
      </c>
      <c r="W64" s="167">
        <f>ROUNDUP(商品マスタ[[#This Row],[仕入単価+国内送料]]/0.85,-1)</f>
        <v/>
      </c>
      <c r="X64" s="289">
        <f>商品マスタ[[#This Row],[国内定価
（15％）]]-商品マスタ[[#This Row],[仕入単価+国内送料]]</f>
        <v/>
      </c>
      <c r="Y64" s="139" t="n">
        <v>0.08</v>
      </c>
      <c r="Z64" s="167" t="n"/>
      <c r="AA64" s="167" t="n"/>
      <c r="AB64" s="167" t="n"/>
      <c r="AC64" s="293" t="n"/>
      <c r="AD64" s="167" t="n"/>
      <c r="AE64" s="167" t="n"/>
      <c r="AF64" s="167" t="inlineStr">
        <is>
          <t>〇</t>
        </is>
      </c>
      <c r="AG64" s="144" t="n"/>
    </row>
    <row r="65" ht="18" customHeight="1" s="207">
      <c r="A65" s="166" t="inlineStr">
        <is>
          <t>精肉</t>
        </is>
      </c>
      <c r="B65" s="176" t="inlineStr">
        <is>
          <t>和牛</t>
        </is>
      </c>
      <c r="C65" s="167" t="inlineStr">
        <is>
          <t>上田精肉店</t>
        </is>
      </c>
      <c r="D65" s="143">
        <f>"PRD_SNJ_"&amp;
_xlfn.XLOOKUP(商品マスタ[[#This Row],[仕入先]],テーブル1[仕入先名],テーブル1[仕入先コード],"XXX",0,1)&amp;
"_"&amp;
商品マスタ[[#This Row],[シリアル]]&amp;
"_"&amp;
TEXT(COUNTIFS(商品マスタ!$C$3:C65,商品マスタ[[#This Row],[仕入先]],商品マスタ!$E$3:E65,商品マスタ[[#This Row],[商品名]]), "00")</f>
        <v/>
      </c>
      <c r="E65" s="167" t="inlineStr">
        <is>
          <t>エゾシカ　ロース</t>
        </is>
      </c>
      <c r="F65" s="167">
        <f>IF(COUNTIFS($C$3:C65,商品マスタ[[#This Row],[仕入先]],$E$3:E65,商品マスタ[[#This Row],[商品名]]) = 1, 1,0)</f>
        <v/>
      </c>
      <c r="G65" s="133">
        <f>TEXT(SUMIF($C$3:C65,商品マスタ[[#This Row],[仕入先]],$F$3:F65), "0000")</f>
        <v/>
      </c>
      <c r="H65" s="167" t="inlineStr">
        <is>
          <t>kg</t>
        </is>
      </c>
      <c r="I65" s="167" t="inlineStr">
        <is>
          <t>約2-3kg/本</t>
        </is>
      </c>
      <c r="J65" s="167" t="inlineStr">
        <is>
          <t>1本</t>
        </is>
      </c>
      <c r="K65" s="167" t="inlineStr">
        <is>
          <t>ブロック（カット・スライスなし）</t>
        </is>
      </c>
      <c r="L65" s="289" t="n">
        <v>4675</v>
      </c>
      <c r="M65" s="157" t="n">
        <v>45957</v>
      </c>
      <c r="N65" s="289" t="n"/>
      <c r="O65" s="290">
        <f>IF(COUNT(商品マスタ[[#This Row],[参考上代
（税込)]]) &gt; 0, (商品マスタ[[#This Row],[参考上代
（税込)]]-商品マスタ[[#This Row],[国内定価
（15％）]])/(商品マスタ[[#This Row],[参考上代
（税込)]]/1.08), "")</f>
        <v/>
      </c>
      <c r="P65" s="136" t="n">
        <v>0.1</v>
      </c>
      <c r="Q65" s="291">
        <f>商品マスタ[[#This Row],[仕入
単価]]*商品マスタ[[#This Row],[標準国内送料率]]</f>
        <v/>
      </c>
      <c r="R65" s="289" t="n"/>
      <c r="S65" s="289">
        <f>IF(ISBLANK(商品マスタ[[#This Row],[実績
国内送料]]),商品マスタ[[#This Row],[標準国内送料]],)</f>
        <v/>
      </c>
      <c r="T65" s="289">
        <f>商品マスタ[[#This Row],[仕入
単価]]+商品マスタ[[#This Row],[国内送料]]</f>
        <v/>
      </c>
      <c r="U65" s="289">
        <f>ROUNDUP(商品マスタ[[#This Row],[仕入単価+国内送料]]/0.8,-1)</f>
        <v/>
      </c>
      <c r="V65" s="289">
        <f>商品マスタ[[#This Row],[海外定価
（20％）]]-商品マスタ[[#This Row],[仕入単価+国内送料]]</f>
        <v/>
      </c>
      <c r="W65" s="167">
        <f>ROUNDUP(商品マスタ[[#This Row],[仕入単価+国内送料]]/0.85,-1)</f>
        <v/>
      </c>
      <c r="X65" s="289">
        <f>商品マスタ[[#This Row],[国内定価
（15％）]]-商品マスタ[[#This Row],[仕入単価+国内送料]]</f>
        <v/>
      </c>
      <c r="Y65" s="139" t="n">
        <v>0.08</v>
      </c>
      <c r="Z65" s="167" t="inlineStr">
        <is>
          <t>別途お見積</t>
        </is>
      </c>
      <c r="AA65" s="167" t="inlineStr">
        <is>
          <t>冷凍</t>
        </is>
      </c>
      <c r="AB65" s="167" t="inlineStr">
        <is>
          <t>７日</t>
        </is>
      </c>
      <c r="AC65" s="293" t="n"/>
      <c r="AD65" s="167" t="n"/>
      <c r="AE65" s="167" t="n"/>
      <c r="AF65" s="167" t="n"/>
      <c r="AG65" s="144" t="n"/>
    </row>
    <row r="66" ht="18" customHeight="1" s="207">
      <c r="A66" s="166" t="inlineStr">
        <is>
          <t>精肉</t>
        </is>
      </c>
      <c r="B66" s="176" t="inlineStr">
        <is>
          <t>和牛</t>
        </is>
      </c>
      <c r="C66" s="167" t="inlineStr">
        <is>
          <t>上田精肉店</t>
        </is>
      </c>
      <c r="D66" s="143">
        <f>"PRD_SNJ_"&amp;
_xlfn.XLOOKUP(商品マスタ[[#This Row],[仕入先]],テーブル1[仕入先名],テーブル1[仕入先コード],"XXX",0,1)&amp;
"_"&amp;
商品マスタ[[#This Row],[シリアル]]&amp;
"_"&amp;
TEXT(COUNTIFS(商品マスタ!$C$3:C66,商品マスタ[[#This Row],[仕入先]],商品マスタ!$E$3:E66,商品マスタ[[#This Row],[商品名]]), "00")</f>
        <v/>
      </c>
      <c r="E66" s="167" t="inlineStr">
        <is>
          <t>エゾシカ　ヒレ</t>
        </is>
      </c>
      <c r="F66" s="167">
        <f>IF(COUNTIFS($C$3:C66,商品マスタ[[#This Row],[仕入先]],$E$3:E66,商品マスタ[[#This Row],[商品名]]) = 1, 1,0)</f>
        <v/>
      </c>
      <c r="G66" s="133">
        <f>TEXT(SUMIF($C$3:C66,商品マスタ[[#This Row],[仕入先]],$F$3:F66), "0000")</f>
        <v/>
      </c>
      <c r="H66" s="167" t="inlineStr">
        <is>
          <t>kg</t>
        </is>
      </c>
      <c r="I66" s="167" t="inlineStr">
        <is>
          <t>約0.2-0.7kg/本</t>
        </is>
      </c>
      <c r="J66" s="167" t="inlineStr">
        <is>
          <t>1本</t>
        </is>
      </c>
      <c r="K66" s="167" t="inlineStr">
        <is>
          <t>ブロック（カット・スライスなし）</t>
        </is>
      </c>
      <c r="L66" s="289" t="n">
        <v>5500</v>
      </c>
      <c r="M66" s="157" t="n">
        <v>45957</v>
      </c>
      <c r="N66" s="289" t="n"/>
      <c r="O66" s="290">
        <f>IF(COUNT(商品マスタ[[#This Row],[参考上代
（税込)]]) &gt; 0, (商品マスタ[[#This Row],[参考上代
（税込)]]-商品マスタ[[#This Row],[国内定価
（15％）]])/(商品マスタ[[#This Row],[参考上代
（税込)]]/1.08), "")</f>
        <v/>
      </c>
      <c r="P66" s="136" t="n">
        <v>0.1</v>
      </c>
      <c r="Q66" s="291">
        <f>商品マスタ[[#This Row],[仕入
単価]]*商品マスタ[[#This Row],[標準国内送料率]]</f>
        <v/>
      </c>
      <c r="R66" s="289" t="n"/>
      <c r="S66" s="289">
        <f>IF(ISBLANK(商品マスタ[[#This Row],[実績
国内送料]]),商品マスタ[[#This Row],[標準国内送料]],)</f>
        <v/>
      </c>
      <c r="T66" s="289">
        <f>商品マスタ[[#This Row],[仕入
単価]]+商品マスタ[[#This Row],[国内送料]]</f>
        <v/>
      </c>
      <c r="U66" s="289">
        <f>ROUNDUP(商品マスタ[[#This Row],[仕入単価+国内送料]]/0.8,-1)</f>
        <v/>
      </c>
      <c r="V66" s="289">
        <f>商品マスタ[[#This Row],[海外定価
（20％）]]-商品マスタ[[#This Row],[仕入単価+国内送料]]</f>
        <v/>
      </c>
      <c r="W66" s="167">
        <f>ROUNDUP(商品マスタ[[#This Row],[仕入単価+国内送料]]/0.85,-1)</f>
        <v/>
      </c>
      <c r="X66" s="289">
        <f>商品マスタ[[#This Row],[国内定価
（15％）]]-商品マスタ[[#This Row],[仕入単価+国内送料]]</f>
        <v/>
      </c>
      <c r="Y66" s="139" t="n">
        <v>0.08</v>
      </c>
      <c r="Z66" s="167" t="inlineStr">
        <is>
          <t>別途お見積</t>
        </is>
      </c>
      <c r="AA66" s="167" t="inlineStr">
        <is>
          <t>冷凍</t>
        </is>
      </c>
      <c r="AB66" s="167" t="inlineStr">
        <is>
          <t>７日</t>
        </is>
      </c>
      <c r="AC66" s="293" t="n"/>
      <c r="AD66" s="167" t="n"/>
      <c r="AE66" s="167" t="n"/>
      <c r="AF66" s="167" t="n"/>
      <c r="AG66" s="144" t="n"/>
    </row>
    <row r="67" ht="18" customHeight="1" s="207">
      <c r="A67" s="166" t="inlineStr">
        <is>
          <t>精肉</t>
        </is>
      </c>
      <c r="B67" s="176" t="inlineStr">
        <is>
          <t>和牛</t>
        </is>
      </c>
      <c r="C67" s="167" t="inlineStr">
        <is>
          <t>上田精肉店</t>
        </is>
      </c>
      <c r="D67" s="143">
        <f>"PRD_SNJ_"&amp;
_xlfn.XLOOKUP(商品マスタ[[#This Row],[仕入先]],テーブル1[仕入先名],テーブル1[仕入先コード],"XXX",0,1)&amp;
"_"&amp;
商品マスタ[[#This Row],[シリアル]]&amp;
"_"&amp;
TEXT(COUNTIFS(商品マスタ!$C$3:C67,商品マスタ[[#This Row],[仕入先]],商品マスタ!$E$3:E67,商品マスタ[[#This Row],[商品名]]), "00")</f>
        <v/>
      </c>
      <c r="E67" s="167" t="inlineStr">
        <is>
          <t>エゾシカ　肩ロース</t>
        </is>
      </c>
      <c r="F67" s="167">
        <f>IF(COUNTIFS($C$3:C67,商品マスタ[[#This Row],[仕入先]],$E$3:E67,商品マスタ[[#This Row],[商品名]]) = 1, 1,0)</f>
        <v/>
      </c>
      <c r="G67" s="133">
        <f>TEXT(SUMIF($C$3:C67,商品マスタ[[#This Row],[仕入先]],$F$3:F67), "0000")</f>
        <v/>
      </c>
      <c r="H67" s="167" t="inlineStr">
        <is>
          <t>kg</t>
        </is>
      </c>
      <c r="I67" s="167" t="inlineStr">
        <is>
          <t>約0.5-1.5kg/個</t>
        </is>
      </c>
      <c r="J67" s="167" t="inlineStr">
        <is>
          <t>1個</t>
        </is>
      </c>
      <c r="K67" s="167" t="inlineStr">
        <is>
          <t>ブロック（カット・スライスなし）</t>
        </is>
      </c>
      <c r="L67" s="289" t="n">
        <v>3600</v>
      </c>
      <c r="M67" s="157" t="n">
        <v>45957</v>
      </c>
      <c r="N67" s="289" t="n"/>
      <c r="O67" s="290">
        <f>IF(COUNT(商品マスタ[[#This Row],[参考上代
（税込)]]) &gt; 0, (商品マスタ[[#This Row],[参考上代
（税込)]]-商品マスタ[[#This Row],[国内定価
（15％）]])/(商品マスタ[[#This Row],[参考上代
（税込)]]/1.08), "")</f>
        <v/>
      </c>
      <c r="P67" s="136" t="n">
        <v>0.1</v>
      </c>
      <c r="Q67" s="291">
        <f>商品マスタ[[#This Row],[仕入
単価]]*商品マスタ[[#This Row],[標準国内送料率]]</f>
        <v/>
      </c>
      <c r="R67" s="289" t="n"/>
      <c r="S67" s="289">
        <f>IF(ISBLANK(商品マスタ[[#This Row],[実績
国内送料]]),商品マスタ[[#This Row],[標準国内送料]],)</f>
        <v/>
      </c>
      <c r="T67" s="289">
        <f>商品マスタ[[#This Row],[仕入
単価]]+商品マスタ[[#This Row],[国内送料]]</f>
        <v/>
      </c>
      <c r="U67" s="289">
        <f>ROUNDUP(商品マスタ[[#This Row],[仕入単価+国内送料]]/0.8,-1)</f>
        <v/>
      </c>
      <c r="V67" s="289">
        <f>商品マスタ[[#This Row],[海外定価
（20％）]]-商品マスタ[[#This Row],[仕入単価+国内送料]]</f>
        <v/>
      </c>
      <c r="W67" s="167">
        <f>ROUNDUP(商品マスタ[[#This Row],[仕入単価+国内送料]]/0.85,-1)</f>
        <v/>
      </c>
      <c r="X67" s="289">
        <f>商品マスタ[[#This Row],[国内定価
（15％）]]-商品マスタ[[#This Row],[仕入単価+国内送料]]</f>
        <v/>
      </c>
      <c r="Y67" s="139" t="n">
        <v>0.08</v>
      </c>
      <c r="Z67" s="167" t="inlineStr">
        <is>
          <t>別途お見積</t>
        </is>
      </c>
      <c r="AA67" s="167" t="inlineStr">
        <is>
          <t>冷凍</t>
        </is>
      </c>
      <c r="AB67" s="167" t="inlineStr">
        <is>
          <t>７日</t>
        </is>
      </c>
      <c r="AC67" s="293" t="n"/>
      <c r="AD67" s="167" t="n"/>
      <c r="AE67" s="167" t="n"/>
      <c r="AF67" s="167" t="n"/>
      <c r="AG67" s="144" t="n"/>
    </row>
    <row r="68" ht="18" customHeight="1" s="207">
      <c r="A68" s="166" t="inlineStr">
        <is>
          <t>精肉</t>
        </is>
      </c>
      <c r="B68" s="176" t="inlineStr">
        <is>
          <t>和牛</t>
        </is>
      </c>
      <c r="C68" s="167" t="inlineStr">
        <is>
          <t>上田精肉店</t>
        </is>
      </c>
      <c r="D68" s="143">
        <f>"PRD_SNJ_"&amp;
_xlfn.XLOOKUP(商品マスタ[[#This Row],[仕入先]],テーブル1[仕入先名],テーブル1[仕入先コード],"XXX",0,1)&amp;
"_"&amp;
商品マスタ[[#This Row],[シリアル]]&amp;
"_"&amp;
TEXT(COUNTIFS(商品マスタ!$C$3:C68,商品マスタ[[#This Row],[仕入先]],商品マスタ!$E$3:E68,商品マスタ[[#This Row],[商品名]]), "00")</f>
        <v/>
      </c>
      <c r="E68" s="167" t="inlineStr">
        <is>
          <t>エゾシカ　内モモ</t>
        </is>
      </c>
      <c r="F68" s="167">
        <f>IF(COUNTIFS($C$3:C68,商品マスタ[[#This Row],[仕入先]],$E$3:E68,商品マスタ[[#This Row],[商品名]]) = 1, 1,0)</f>
        <v/>
      </c>
      <c r="G68" s="133">
        <f>TEXT(SUMIF($C$3:C68,商品マスタ[[#This Row],[仕入先]],$F$3:F68), "0000")</f>
        <v/>
      </c>
      <c r="H68" s="167" t="inlineStr">
        <is>
          <t>kg</t>
        </is>
      </c>
      <c r="I68" s="167" t="inlineStr">
        <is>
          <t>約1.2-2kg/個</t>
        </is>
      </c>
      <c r="J68" s="167" t="inlineStr">
        <is>
          <t>1個</t>
        </is>
      </c>
      <c r="K68" s="167" t="inlineStr">
        <is>
          <t>ブロック（カット・スライスなし）</t>
        </is>
      </c>
      <c r="L68" s="289" t="n">
        <v>2900</v>
      </c>
      <c r="M68" s="157" t="n">
        <v>45957</v>
      </c>
      <c r="N68" s="289" t="n"/>
      <c r="O68" s="290">
        <f>IF(COUNT(商品マスタ[[#This Row],[参考上代
（税込)]]) &gt; 0, (商品マスタ[[#This Row],[参考上代
（税込)]]-商品マスタ[[#This Row],[国内定価
（15％）]])/(商品マスタ[[#This Row],[参考上代
（税込)]]/1.08), "")</f>
        <v/>
      </c>
      <c r="P68" s="136" t="n">
        <v>0.1</v>
      </c>
      <c r="Q68" s="291">
        <f>商品マスタ[[#This Row],[仕入
単価]]*商品マスタ[[#This Row],[標準国内送料率]]</f>
        <v/>
      </c>
      <c r="R68" s="289" t="n"/>
      <c r="S68" s="289">
        <f>IF(ISBLANK(商品マスタ[[#This Row],[実績
国内送料]]),商品マスタ[[#This Row],[標準国内送料]],)</f>
        <v/>
      </c>
      <c r="T68" s="289">
        <f>商品マスタ[[#This Row],[仕入
単価]]+商品マスタ[[#This Row],[国内送料]]</f>
        <v/>
      </c>
      <c r="U68" s="289">
        <f>ROUNDUP(商品マスタ[[#This Row],[仕入単価+国内送料]]/0.8,-1)</f>
        <v/>
      </c>
      <c r="V68" s="289">
        <f>商品マスタ[[#This Row],[海外定価
（20％）]]-商品マスタ[[#This Row],[仕入単価+国内送料]]</f>
        <v/>
      </c>
      <c r="W68" s="167">
        <f>ROUNDUP(商品マスタ[[#This Row],[仕入単価+国内送料]]/0.85,-1)</f>
        <v/>
      </c>
      <c r="X68" s="289">
        <f>商品マスタ[[#This Row],[国内定価
（15％）]]-商品マスタ[[#This Row],[仕入単価+国内送料]]</f>
        <v/>
      </c>
      <c r="Y68" s="139" t="n">
        <v>0.08</v>
      </c>
      <c r="Z68" s="167" t="inlineStr">
        <is>
          <t>別途お見積</t>
        </is>
      </c>
      <c r="AA68" s="167" t="inlineStr">
        <is>
          <t>冷凍</t>
        </is>
      </c>
      <c r="AB68" s="167" t="inlineStr">
        <is>
          <t>７日</t>
        </is>
      </c>
      <c r="AC68" s="293" t="n"/>
      <c r="AD68" s="167" t="n"/>
      <c r="AE68" s="167" t="n"/>
      <c r="AF68" s="167" t="n"/>
      <c r="AG68" s="144" t="n"/>
    </row>
    <row r="69" ht="18" customHeight="1" s="207">
      <c r="A69" s="166" t="inlineStr">
        <is>
          <t>精肉</t>
        </is>
      </c>
      <c r="B69" s="176" t="inlineStr">
        <is>
          <t>和牛</t>
        </is>
      </c>
      <c r="C69" s="167" t="inlineStr">
        <is>
          <t>上田精肉店</t>
        </is>
      </c>
      <c r="D69" s="143">
        <f>"PRD_SNJ_"&amp;
_xlfn.XLOOKUP(商品マスタ[[#This Row],[仕入先]],テーブル1[仕入先名],テーブル1[仕入先コード],"XXX",0,1)&amp;
"_"&amp;
商品マスタ[[#This Row],[シリアル]]&amp;
"_"&amp;
TEXT(COUNTIFS(商品マスタ!$C$3:C69,商品マスタ[[#This Row],[仕入先]],商品マスタ!$E$3:E69,商品マスタ[[#This Row],[商品名]]), "00")</f>
        <v/>
      </c>
      <c r="E69" s="167" t="inlineStr">
        <is>
          <t>エゾシカ　外モモ</t>
        </is>
      </c>
      <c r="F69" s="167">
        <f>IF(COUNTIFS($C$3:C69,商品マスタ[[#This Row],[仕入先]],$E$3:E69,商品マスタ[[#This Row],[商品名]]) = 1, 1,0)</f>
        <v/>
      </c>
      <c r="G69" s="133">
        <f>TEXT(SUMIF($C$3:C69,商品マスタ[[#This Row],[仕入先]],$F$3:F69), "0000")</f>
        <v/>
      </c>
      <c r="H69" s="167" t="inlineStr">
        <is>
          <t>kg</t>
        </is>
      </c>
      <c r="I69" s="167" t="inlineStr">
        <is>
          <t>約1-2kg/個</t>
        </is>
      </c>
      <c r="J69" s="167" t="inlineStr">
        <is>
          <t>1個</t>
        </is>
      </c>
      <c r="K69" s="167" t="inlineStr">
        <is>
          <t>ブロック（カット・スライスなし）</t>
        </is>
      </c>
      <c r="L69" s="289" t="n">
        <v>2800</v>
      </c>
      <c r="M69" s="157" t="n">
        <v>45957</v>
      </c>
      <c r="N69" s="289" t="n"/>
      <c r="O69" s="290">
        <f>IF(COUNT(商品マスタ[[#This Row],[参考上代
（税込)]]) &gt; 0, (商品マスタ[[#This Row],[参考上代
（税込)]]-商品マスタ[[#This Row],[国内定価
（15％）]])/(商品マスタ[[#This Row],[参考上代
（税込)]]/1.08), "")</f>
        <v/>
      </c>
      <c r="P69" s="136" t="n">
        <v>0.1</v>
      </c>
      <c r="Q69" s="291">
        <f>商品マスタ[[#This Row],[仕入
単価]]*商品マスタ[[#This Row],[標準国内送料率]]</f>
        <v/>
      </c>
      <c r="R69" s="289" t="n"/>
      <c r="S69" s="289">
        <f>IF(ISBLANK(商品マスタ[[#This Row],[実績
国内送料]]),商品マスタ[[#This Row],[標準国内送料]],)</f>
        <v/>
      </c>
      <c r="T69" s="289">
        <f>商品マスタ[[#This Row],[仕入
単価]]+商品マスタ[[#This Row],[国内送料]]</f>
        <v/>
      </c>
      <c r="U69" s="289">
        <f>ROUNDUP(商品マスタ[[#This Row],[仕入単価+国内送料]]/0.8,-1)</f>
        <v/>
      </c>
      <c r="V69" s="289">
        <f>商品マスタ[[#This Row],[海外定価
（20％）]]-商品マスタ[[#This Row],[仕入単価+国内送料]]</f>
        <v/>
      </c>
      <c r="W69" s="167">
        <f>ROUNDUP(商品マスタ[[#This Row],[仕入単価+国内送料]]/0.85,-1)</f>
        <v/>
      </c>
      <c r="X69" s="289">
        <f>商品マスタ[[#This Row],[国内定価
（15％）]]-商品マスタ[[#This Row],[仕入単価+国内送料]]</f>
        <v/>
      </c>
      <c r="Y69" s="139" t="n">
        <v>0.08</v>
      </c>
      <c r="Z69" s="167" t="inlineStr">
        <is>
          <t>別途お見積</t>
        </is>
      </c>
      <c r="AA69" s="167" t="inlineStr">
        <is>
          <t>冷凍</t>
        </is>
      </c>
      <c r="AB69" s="167" t="inlineStr">
        <is>
          <t>７日</t>
        </is>
      </c>
      <c r="AC69" s="293" t="n"/>
      <c r="AD69" s="167" t="n"/>
      <c r="AE69" s="167" t="n"/>
      <c r="AF69" s="167" t="n"/>
      <c r="AG69" s="144" t="n"/>
    </row>
    <row r="70" ht="18" customHeight="1" s="207">
      <c r="A70" s="166" t="inlineStr">
        <is>
          <t>精肉</t>
        </is>
      </c>
      <c r="B70" s="176" t="inlineStr">
        <is>
          <t>和牛</t>
        </is>
      </c>
      <c r="C70" s="167" t="inlineStr">
        <is>
          <t>上田精肉店</t>
        </is>
      </c>
      <c r="D70" s="143">
        <f>"PRD_SNJ_"&amp;
_xlfn.XLOOKUP(商品マスタ[[#This Row],[仕入先]],テーブル1[仕入先名],テーブル1[仕入先コード],"XXX",0,1)&amp;
"_"&amp;
商品マスタ[[#This Row],[シリアル]]&amp;
"_"&amp;
TEXT(COUNTIFS(商品マスタ!$C$3:C70,商品マスタ[[#This Row],[仕入先]],商品マスタ!$E$3:E70,商品マスタ[[#This Row],[商品名]]), "00")</f>
        <v/>
      </c>
      <c r="E70" s="167" t="inlineStr">
        <is>
          <t>エゾシカ　シンタマ</t>
        </is>
      </c>
      <c r="F70" s="167">
        <f>IF(COUNTIFS($C$3:C70,商品マスタ[[#This Row],[仕入先]],$E$3:E70,商品マスタ[[#This Row],[商品名]]) = 1, 1,0)</f>
        <v/>
      </c>
      <c r="G70" s="133">
        <f>TEXT(SUMIF($C$3:C70,商品マスタ[[#This Row],[仕入先]],$F$3:F70), "0000")</f>
        <v/>
      </c>
      <c r="H70" s="167" t="inlineStr">
        <is>
          <t>kg</t>
        </is>
      </c>
      <c r="I70" s="167" t="inlineStr">
        <is>
          <t>約1.3-1.8kg/個</t>
        </is>
      </c>
      <c r="J70" s="167" t="inlineStr">
        <is>
          <t>1個</t>
        </is>
      </c>
      <c r="K70" s="167" t="inlineStr">
        <is>
          <t>ブロック（カット・スライスなし）</t>
        </is>
      </c>
      <c r="L70" s="289" t="n">
        <v>2800</v>
      </c>
      <c r="M70" s="157" t="n">
        <v>45957</v>
      </c>
      <c r="N70" s="289" t="n"/>
      <c r="O70" s="290">
        <f>IF(COUNT(商品マスタ[[#This Row],[参考上代
（税込)]]) &gt; 0, (商品マスタ[[#This Row],[参考上代
（税込)]]-商品マスタ[[#This Row],[国内定価
（15％）]])/(商品マスタ[[#This Row],[参考上代
（税込)]]/1.08), "")</f>
        <v/>
      </c>
      <c r="P70" s="136" t="n">
        <v>0.1</v>
      </c>
      <c r="Q70" s="291">
        <f>商品マスタ[[#This Row],[仕入
単価]]*商品マスタ[[#This Row],[標準国内送料率]]</f>
        <v/>
      </c>
      <c r="R70" s="289" t="n"/>
      <c r="S70" s="289">
        <f>IF(ISBLANK(商品マスタ[[#This Row],[実績
国内送料]]),商品マスタ[[#This Row],[標準国内送料]],)</f>
        <v/>
      </c>
      <c r="T70" s="289">
        <f>商品マスタ[[#This Row],[仕入
単価]]+商品マスタ[[#This Row],[国内送料]]</f>
        <v/>
      </c>
      <c r="U70" s="289">
        <f>ROUNDUP(商品マスタ[[#This Row],[仕入単価+国内送料]]/0.8,-1)</f>
        <v/>
      </c>
      <c r="V70" s="289">
        <f>商品マスタ[[#This Row],[海外定価
（20％）]]-商品マスタ[[#This Row],[仕入単価+国内送料]]</f>
        <v/>
      </c>
      <c r="W70" s="167">
        <f>ROUNDUP(商品マスタ[[#This Row],[仕入単価+国内送料]]/0.85,-1)</f>
        <v/>
      </c>
      <c r="X70" s="289">
        <f>商品マスタ[[#This Row],[国内定価
（15％）]]-商品マスタ[[#This Row],[仕入単価+国内送料]]</f>
        <v/>
      </c>
      <c r="Y70" s="139" t="n">
        <v>0.08</v>
      </c>
      <c r="Z70" s="167" t="inlineStr">
        <is>
          <t>別途お見積</t>
        </is>
      </c>
      <c r="AA70" s="167" t="inlineStr">
        <is>
          <t>冷凍</t>
        </is>
      </c>
      <c r="AB70" s="167" t="inlineStr">
        <is>
          <t>７日</t>
        </is>
      </c>
      <c r="AC70" s="293" t="n"/>
      <c r="AD70" s="167" t="n"/>
      <c r="AE70" s="167" t="n"/>
      <c r="AF70" s="167" t="n"/>
      <c r="AG70" s="144" t="n"/>
    </row>
    <row r="71" ht="18" customHeight="1" s="207">
      <c r="A71" s="166" t="inlineStr">
        <is>
          <t>精肉</t>
        </is>
      </c>
      <c r="B71" s="176" t="inlineStr">
        <is>
          <t>和牛</t>
        </is>
      </c>
      <c r="C71" s="167" t="inlineStr">
        <is>
          <t>上田精肉店</t>
        </is>
      </c>
      <c r="D71" s="143">
        <f>"PRD_SNJ_"&amp;
_xlfn.XLOOKUP(商品マスタ[[#This Row],[仕入先]],テーブル1[仕入先名],テーブル1[仕入先コード],"XXX",0,1)&amp;
"_"&amp;
商品マスタ[[#This Row],[シリアル]]&amp;
"_"&amp;
TEXT(COUNTIFS(商品マスタ!$C$3:C71,商品マスタ[[#This Row],[仕入先]],商品マスタ!$E$3:E71,商品マスタ[[#This Row],[商品名]]), "00")</f>
        <v/>
      </c>
      <c r="E71" s="167" t="inlineStr">
        <is>
          <t>エゾシカ　ランイチ</t>
        </is>
      </c>
      <c r="F71" s="167">
        <f>IF(COUNTIFS($C$3:C71,商品マスタ[[#This Row],[仕入先]],$E$3:E71,商品マスタ[[#This Row],[商品名]]) = 1, 1,0)</f>
        <v/>
      </c>
      <c r="G71" s="133">
        <f>TEXT(SUMIF($C$3:C71,商品マスタ[[#This Row],[仕入先]],$F$3:F71), "0000")</f>
        <v/>
      </c>
      <c r="H71" s="167" t="inlineStr">
        <is>
          <t>kg</t>
        </is>
      </c>
      <c r="I71" s="167" t="inlineStr">
        <is>
          <t>約0.7-1.5kg/個</t>
        </is>
      </c>
      <c r="J71" s="167" t="inlineStr">
        <is>
          <t>1個</t>
        </is>
      </c>
      <c r="K71" s="167" t="inlineStr">
        <is>
          <t>ブロック（カット・スライスなし）</t>
        </is>
      </c>
      <c r="L71" s="289" t="n">
        <v>2700</v>
      </c>
      <c r="M71" s="157" t="n">
        <v>45957</v>
      </c>
      <c r="N71" s="289" t="n"/>
      <c r="O71" s="290">
        <f>IF(COUNT(商品マスタ[[#This Row],[参考上代
（税込)]]) &gt; 0, (商品マスタ[[#This Row],[参考上代
（税込)]]-商品マスタ[[#This Row],[国内定価
（15％）]])/(商品マスタ[[#This Row],[参考上代
（税込)]]/1.08), "")</f>
        <v/>
      </c>
      <c r="P71" s="136" t="n">
        <v>0.1</v>
      </c>
      <c r="Q71" s="291">
        <f>商品マスタ[[#This Row],[仕入
単価]]*商品マスタ[[#This Row],[標準国内送料率]]</f>
        <v/>
      </c>
      <c r="R71" s="289" t="n"/>
      <c r="S71" s="289">
        <f>IF(ISBLANK(商品マスタ[[#This Row],[実績
国内送料]]),商品マスタ[[#This Row],[標準国内送料]],)</f>
        <v/>
      </c>
      <c r="T71" s="289">
        <f>商品マスタ[[#This Row],[仕入
単価]]+商品マスタ[[#This Row],[国内送料]]</f>
        <v/>
      </c>
      <c r="U71" s="289">
        <f>ROUNDUP(商品マスタ[[#This Row],[仕入単価+国内送料]]/0.8,-1)</f>
        <v/>
      </c>
      <c r="V71" s="289">
        <f>商品マスタ[[#This Row],[海外定価
（20％）]]-商品マスタ[[#This Row],[仕入単価+国内送料]]</f>
        <v/>
      </c>
      <c r="W71" s="167">
        <f>ROUNDUP(商品マスタ[[#This Row],[仕入単価+国内送料]]/0.85,-1)</f>
        <v/>
      </c>
      <c r="X71" s="289">
        <f>商品マスタ[[#This Row],[国内定価
（15％）]]-商品マスタ[[#This Row],[仕入単価+国内送料]]</f>
        <v/>
      </c>
      <c r="Y71" s="139" t="n">
        <v>0.08</v>
      </c>
      <c r="Z71" s="167" t="inlineStr">
        <is>
          <t>別途お見積</t>
        </is>
      </c>
      <c r="AA71" s="167" t="inlineStr">
        <is>
          <t>冷凍</t>
        </is>
      </c>
      <c r="AB71" s="167" t="inlineStr">
        <is>
          <t>７日</t>
        </is>
      </c>
      <c r="AC71" s="293" t="n"/>
      <c r="AD71" s="167" t="n"/>
      <c r="AE71" s="167" t="n"/>
      <c r="AF71" s="167" t="n"/>
      <c r="AG71" s="144" t="n"/>
    </row>
    <row r="72" ht="18" customHeight="1" s="207">
      <c r="A72" s="166" t="inlineStr">
        <is>
          <t>精肉</t>
        </is>
      </c>
      <c r="B72" s="176" t="inlineStr">
        <is>
          <t>和牛</t>
        </is>
      </c>
      <c r="C72" s="167" t="inlineStr">
        <is>
          <t>上田精肉店</t>
        </is>
      </c>
      <c r="D72" s="143">
        <f>"PRD_SNJ_"&amp;
_xlfn.XLOOKUP(商品マスタ[[#This Row],[仕入先]],テーブル1[仕入先名],テーブル1[仕入先コード],"XXX",0,1)&amp;
"_"&amp;
商品マスタ[[#This Row],[シリアル]]&amp;
"_"&amp;
TEXT(COUNTIFS(商品マスタ!$C$3:C72,商品マスタ[[#This Row],[仕入先]],商品マスタ!$E$3:E72,商品マスタ[[#This Row],[商品名]]), "00")</f>
        <v/>
      </c>
      <c r="E72" s="167" t="inlineStr">
        <is>
          <t>エゾシカ　モモ　4パーツセット</t>
        </is>
      </c>
      <c r="F72" s="167">
        <f>IF(COUNTIFS($C$3:C72,商品マスタ[[#This Row],[仕入先]],$E$3:E72,商品マスタ[[#This Row],[商品名]]) = 1, 1,0)</f>
        <v/>
      </c>
      <c r="G72" s="133">
        <f>TEXT(SUMIF($C$3:C72,商品マスタ[[#This Row],[仕入先]],$F$3:F72), "0000")</f>
        <v/>
      </c>
      <c r="H72" s="167" t="inlineStr">
        <is>
          <t>kg</t>
        </is>
      </c>
      <c r="I72" s="167" t="inlineStr">
        <is>
          <t>約4-6kg/セット</t>
        </is>
      </c>
      <c r="J72" s="167" t="inlineStr">
        <is>
          <t>1セット</t>
        </is>
      </c>
      <c r="K72" s="167" t="inlineStr">
        <is>
          <t>ブロック（カット・スライスなし）</t>
        </is>
      </c>
      <c r="L72" s="289" t="n">
        <v>2700</v>
      </c>
      <c r="M72" s="157" t="n">
        <v>45957</v>
      </c>
      <c r="N72" s="289" t="n"/>
      <c r="O72" s="290">
        <f>IF(COUNT(商品マスタ[[#This Row],[参考上代
（税込)]]) &gt; 0, (商品マスタ[[#This Row],[参考上代
（税込)]]-商品マスタ[[#This Row],[国内定価
（15％）]])/(商品マスタ[[#This Row],[参考上代
（税込)]]/1.08), "")</f>
        <v/>
      </c>
      <c r="P72" s="136" t="n">
        <v>0.1</v>
      </c>
      <c r="Q72" s="291">
        <f>商品マスタ[[#This Row],[仕入
単価]]*商品マスタ[[#This Row],[標準国内送料率]]</f>
        <v/>
      </c>
      <c r="R72" s="289" t="n"/>
      <c r="S72" s="289">
        <f>IF(ISBLANK(商品マスタ[[#This Row],[実績
国内送料]]),商品マスタ[[#This Row],[標準国内送料]],)</f>
        <v/>
      </c>
      <c r="T72" s="289">
        <f>商品マスタ[[#This Row],[仕入
単価]]+商品マスタ[[#This Row],[国内送料]]</f>
        <v/>
      </c>
      <c r="U72" s="289">
        <f>ROUNDUP(商品マスタ[[#This Row],[仕入単価+国内送料]]/0.8,-1)</f>
        <v/>
      </c>
      <c r="V72" s="289">
        <f>商品マスタ[[#This Row],[海外定価
（20％）]]-商品マスタ[[#This Row],[仕入単価+国内送料]]</f>
        <v/>
      </c>
      <c r="W72" s="167">
        <f>ROUNDUP(商品マスタ[[#This Row],[仕入単価+国内送料]]/0.85,-1)</f>
        <v/>
      </c>
      <c r="X72" s="289">
        <f>商品マスタ[[#This Row],[国内定価
（15％）]]-商品マスタ[[#This Row],[仕入単価+国内送料]]</f>
        <v/>
      </c>
      <c r="Y72" s="139" t="n">
        <v>0.08</v>
      </c>
      <c r="Z72" s="167" t="inlineStr">
        <is>
          <t>別途お見積</t>
        </is>
      </c>
      <c r="AA72" s="167" t="inlineStr">
        <is>
          <t>冷凍</t>
        </is>
      </c>
      <c r="AB72" s="167" t="inlineStr">
        <is>
          <t>７日</t>
        </is>
      </c>
      <c r="AC72" s="293" t="n"/>
      <c r="AD72" s="167" t="n"/>
      <c r="AE72" s="167" t="n"/>
      <c r="AF72" s="167" t="n"/>
      <c r="AG72" s="144" t="n"/>
    </row>
    <row r="73" ht="18" customHeight="1" s="207">
      <c r="A73" s="166" t="inlineStr">
        <is>
          <t>精肉</t>
        </is>
      </c>
      <c r="B73" s="176" t="inlineStr">
        <is>
          <t>和牛</t>
        </is>
      </c>
      <c r="C73" s="167" t="inlineStr">
        <is>
          <t>上田精肉店</t>
        </is>
      </c>
      <c r="D73" s="143">
        <f>"PRD_SNJ_"&amp;
_xlfn.XLOOKUP(商品マスタ[[#This Row],[仕入先]],テーブル1[仕入先名],テーブル1[仕入先コード],"XXX",0,1)&amp;
"_"&amp;
商品マスタ[[#This Row],[シリアル]]&amp;
"_"&amp;
TEXT(COUNTIFS(商品マスタ!$C$3:C73,商品マスタ[[#This Row],[仕入先]],商品マスタ!$E$3:E73,商品マスタ[[#This Row],[商品名]]), "00")</f>
        <v/>
      </c>
      <c r="E73" s="167" t="inlineStr">
        <is>
          <t>エゾシカ　スペアリブ</t>
        </is>
      </c>
      <c r="F73" s="167">
        <f>IF(COUNTIFS($C$3:C73,商品マスタ[[#This Row],[仕入先]],$E$3:E73,商品マスタ[[#This Row],[商品名]]) = 1, 1,0)</f>
        <v/>
      </c>
      <c r="G73" s="133">
        <f>TEXT(SUMIF($C$3:C73,商品マスタ[[#This Row],[仕入先]],$F$3:F73), "0000")</f>
        <v/>
      </c>
      <c r="H73" s="167" t="inlineStr">
        <is>
          <t>kg</t>
        </is>
      </c>
      <c r="I73" s="167" t="inlineStr">
        <is>
          <t>500g/パック</t>
        </is>
      </c>
      <c r="J73" s="167" t="inlineStr">
        <is>
          <t>1パック</t>
        </is>
      </c>
      <c r="K73" s="167" t="inlineStr">
        <is>
          <t>ブロック（カット・スライスなし）</t>
        </is>
      </c>
      <c r="L73" s="289" t="n">
        <v>2000</v>
      </c>
      <c r="M73" s="157" t="n">
        <v>45957</v>
      </c>
      <c r="N73" s="289" t="n"/>
      <c r="O73" s="290">
        <f>IF(COUNT(商品マスタ[[#This Row],[参考上代
（税込)]]) &gt; 0, (商品マスタ[[#This Row],[参考上代
（税込)]]-商品マスタ[[#This Row],[国内定価
（15％）]])/(商品マスタ[[#This Row],[参考上代
（税込)]]/1.08), "")</f>
        <v/>
      </c>
      <c r="P73" s="136" t="n">
        <v>0.1</v>
      </c>
      <c r="Q73" s="291">
        <f>商品マスタ[[#This Row],[仕入
単価]]*商品マスタ[[#This Row],[標準国内送料率]]</f>
        <v/>
      </c>
      <c r="R73" s="289" t="n"/>
      <c r="S73" s="289">
        <f>IF(ISBLANK(商品マスタ[[#This Row],[実績
国内送料]]),商品マスタ[[#This Row],[標準国内送料]],)</f>
        <v/>
      </c>
      <c r="T73" s="289">
        <f>商品マスタ[[#This Row],[仕入
単価]]+商品マスタ[[#This Row],[国内送料]]</f>
        <v/>
      </c>
      <c r="U73" s="289">
        <f>ROUNDUP(商品マスタ[[#This Row],[仕入単価+国内送料]]/0.8,-1)</f>
        <v/>
      </c>
      <c r="V73" s="289">
        <f>商品マスタ[[#This Row],[海外定価
（20％）]]-商品マスタ[[#This Row],[仕入単価+国内送料]]</f>
        <v/>
      </c>
      <c r="W73" s="167">
        <f>ROUNDUP(商品マスタ[[#This Row],[仕入単価+国内送料]]/0.85,-1)</f>
        <v/>
      </c>
      <c r="X73" s="289">
        <f>商品マスタ[[#This Row],[国内定価
（15％）]]-商品マスタ[[#This Row],[仕入単価+国内送料]]</f>
        <v/>
      </c>
      <c r="Y73" s="139" t="n">
        <v>0.08</v>
      </c>
      <c r="Z73" s="167" t="inlineStr">
        <is>
          <t>別途お見積</t>
        </is>
      </c>
      <c r="AA73" s="167" t="inlineStr">
        <is>
          <t>冷凍</t>
        </is>
      </c>
      <c r="AB73" s="167" t="inlineStr">
        <is>
          <t>７日</t>
        </is>
      </c>
      <c r="AC73" s="293" t="n"/>
      <c r="AD73" s="167" t="n"/>
      <c r="AE73" s="167" t="n"/>
      <c r="AF73" s="167" t="n"/>
      <c r="AG73" s="144" t="n"/>
    </row>
    <row r="74" ht="18" customHeight="1" s="207">
      <c r="A74" s="166" t="inlineStr">
        <is>
          <t>精肉</t>
        </is>
      </c>
      <c r="B74" s="176" t="inlineStr">
        <is>
          <t>和牛</t>
        </is>
      </c>
      <c r="C74" s="167" t="inlineStr">
        <is>
          <t>上田精肉店</t>
        </is>
      </c>
      <c r="D74" s="143">
        <f>"PRD_SNJ_"&amp;
_xlfn.XLOOKUP(商品マスタ[[#This Row],[仕入先]],テーブル1[仕入先名],テーブル1[仕入先コード],"XXX",0,1)&amp;
"_"&amp;
商品マスタ[[#This Row],[シリアル]]&amp;
"_"&amp;
TEXT(COUNTIFS(商品マスタ!$C$3:C74,商品マスタ[[#This Row],[仕入先]],商品マスタ!$E$3:E74,商品マスタ[[#This Row],[商品名]]), "00")</f>
        <v/>
      </c>
      <c r="E74" s="167" t="inlineStr">
        <is>
          <t>エゾシカ　バラ</t>
        </is>
      </c>
      <c r="F74" s="167">
        <f>IF(COUNTIFS($C$3:C74,商品マスタ[[#This Row],[仕入先]],$E$3:E74,商品マスタ[[#This Row],[商品名]]) = 1, 1,0)</f>
        <v/>
      </c>
      <c r="G74" s="133">
        <f>TEXT(SUMIF($C$3:C74,商品マスタ[[#This Row],[仕入先]],$F$3:F74), "0000")</f>
        <v/>
      </c>
      <c r="H74" s="167" t="inlineStr">
        <is>
          <t>kg</t>
        </is>
      </c>
      <c r="I74" s="167" t="inlineStr">
        <is>
          <t>約1.5-2.5kg/枚</t>
        </is>
      </c>
      <c r="J74" s="167" t="inlineStr">
        <is>
          <t>1枚</t>
        </is>
      </c>
      <c r="K74" s="167" t="inlineStr">
        <is>
          <t>ブロック（カット・スライスなし）</t>
        </is>
      </c>
      <c r="L74" s="289" t="n">
        <v>2400</v>
      </c>
      <c r="M74" s="157" t="n">
        <v>45957</v>
      </c>
      <c r="N74" s="289" t="n"/>
      <c r="O74" s="290">
        <f>IF(COUNT(商品マスタ[[#This Row],[参考上代
（税込)]]) &gt; 0, (商品マスタ[[#This Row],[参考上代
（税込)]]-商品マスタ[[#This Row],[国内定価
（15％）]])/(商品マスタ[[#This Row],[参考上代
（税込)]]/1.08), "")</f>
        <v/>
      </c>
      <c r="P74" s="136" t="n">
        <v>0.1</v>
      </c>
      <c r="Q74" s="291">
        <f>商品マスタ[[#This Row],[仕入
単価]]*商品マスタ[[#This Row],[標準国内送料率]]</f>
        <v/>
      </c>
      <c r="R74" s="289" t="n"/>
      <c r="S74" s="289">
        <f>IF(ISBLANK(商品マスタ[[#This Row],[実績
国内送料]]),商品マスタ[[#This Row],[標準国内送料]],)</f>
        <v/>
      </c>
      <c r="T74" s="289">
        <f>商品マスタ[[#This Row],[仕入
単価]]+商品マスタ[[#This Row],[国内送料]]</f>
        <v/>
      </c>
      <c r="U74" s="289">
        <f>ROUNDUP(商品マスタ[[#This Row],[仕入単価+国内送料]]/0.8,-1)</f>
        <v/>
      </c>
      <c r="V74" s="289">
        <f>商品マスタ[[#This Row],[海外定価
（20％）]]-商品マスタ[[#This Row],[仕入単価+国内送料]]</f>
        <v/>
      </c>
      <c r="W74" s="167">
        <f>ROUNDUP(商品マスタ[[#This Row],[仕入単価+国内送料]]/0.85,-1)</f>
        <v/>
      </c>
      <c r="X74" s="289">
        <f>商品マスタ[[#This Row],[国内定価
（15％）]]-商品マスタ[[#This Row],[仕入単価+国内送料]]</f>
        <v/>
      </c>
      <c r="Y74" s="139" t="n">
        <v>0.08</v>
      </c>
      <c r="Z74" s="167" t="inlineStr">
        <is>
          <t>別途お見積</t>
        </is>
      </c>
      <c r="AA74" s="167" t="inlineStr">
        <is>
          <t>冷凍</t>
        </is>
      </c>
      <c r="AB74" s="167" t="inlineStr">
        <is>
          <t>７日</t>
        </is>
      </c>
      <c r="AC74" s="293" t="n"/>
      <c r="AD74" s="167" t="n"/>
      <c r="AE74" s="167" t="n"/>
      <c r="AF74" s="167" t="n"/>
      <c r="AG74" s="144" t="n"/>
    </row>
    <row r="75" ht="18" customHeight="1" s="207">
      <c r="A75" s="166" t="inlineStr">
        <is>
          <t>精肉</t>
        </is>
      </c>
      <c r="B75" s="176" t="inlineStr">
        <is>
          <t>和牛</t>
        </is>
      </c>
      <c r="C75" s="167" t="inlineStr">
        <is>
          <t>上田精肉店</t>
        </is>
      </c>
      <c r="D75" s="143">
        <f>"PRD_SNJ_"&amp;
_xlfn.XLOOKUP(商品マスタ[[#This Row],[仕入先]],テーブル1[仕入先名],テーブル1[仕入先コード],"XXX",0,1)&amp;
"_"&amp;
商品マスタ[[#This Row],[シリアル]]&amp;
"_"&amp;
TEXT(COUNTIFS(商品マスタ!$C$3:C75,商品マスタ[[#This Row],[仕入先]],商品マスタ!$E$3:E75,商品マスタ[[#This Row],[商品名]]), "00")</f>
        <v/>
      </c>
      <c r="E75" s="167" t="inlineStr">
        <is>
          <t>エゾシカ　ウデ肉</t>
        </is>
      </c>
      <c r="F75" s="167">
        <f>IF(COUNTIFS($C$3:C75,商品マスタ[[#This Row],[仕入先]],$E$3:E75,商品マスタ[[#This Row],[商品名]]) = 1, 1,0)</f>
        <v/>
      </c>
      <c r="G75" s="133">
        <f>TEXT(SUMIF($C$3:C75,商品マスタ[[#This Row],[仕入先]],$F$3:F75), "0000")</f>
        <v/>
      </c>
      <c r="H75" s="167" t="inlineStr">
        <is>
          <t>kg</t>
        </is>
      </c>
      <c r="I75" s="167" t="inlineStr">
        <is>
          <t>約1-2kg/本</t>
        </is>
      </c>
      <c r="J75" s="167" t="inlineStr">
        <is>
          <t>1本</t>
        </is>
      </c>
      <c r="K75" s="167" t="inlineStr">
        <is>
          <t>ブロック（カット・スライスなし）</t>
        </is>
      </c>
      <c r="L75" s="289" t="n">
        <v>2000</v>
      </c>
      <c r="M75" s="157" t="n">
        <v>45957</v>
      </c>
      <c r="N75" s="289" t="n"/>
      <c r="O75" s="290">
        <f>IF(COUNT(商品マスタ[[#This Row],[参考上代
（税込)]]) &gt; 0, (商品マスタ[[#This Row],[参考上代
（税込)]]-商品マスタ[[#This Row],[国内定価
（15％）]])/(商品マスタ[[#This Row],[参考上代
（税込)]]/1.08), "")</f>
        <v/>
      </c>
      <c r="P75" s="136" t="n">
        <v>0.1</v>
      </c>
      <c r="Q75" s="291">
        <f>商品マスタ[[#This Row],[仕入
単価]]*商品マスタ[[#This Row],[標準国内送料率]]</f>
        <v/>
      </c>
      <c r="R75" s="289" t="n"/>
      <c r="S75" s="289">
        <f>IF(ISBLANK(商品マスタ[[#This Row],[実績
国内送料]]),商品マスタ[[#This Row],[標準国内送料]],)</f>
        <v/>
      </c>
      <c r="T75" s="289">
        <f>商品マスタ[[#This Row],[仕入
単価]]+商品マスタ[[#This Row],[国内送料]]</f>
        <v/>
      </c>
      <c r="U75" s="289">
        <f>ROUNDUP(商品マスタ[[#This Row],[仕入単価+国内送料]]/0.8,-1)</f>
        <v/>
      </c>
      <c r="V75" s="289">
        <f>商品マスタ[[#This Row],[海外定価
（20％）]]-商品マスタ[[#This Row],[仕入単価+国内送料]]</f>
        <v/>
      </c>
      <c r="W75" s="167">
        <f>ROUNDUP(商品マスタ[[#This Row],[仕入単価+国内送料]]/0.85,-1)</f>
        <v/>
      </c>
      <c r="X75" s="289">
        <f>商品マスタ[[#This Row],[国内定価
（15％）]]-商品マスタ[[#This Row],[仕入単価+国内送料]]</f>
        <v/>
      </c>
      <c r="Y75" s="139" t="n">
        <v>0.08</v>
      </c>
      <c r="Z75" s="167" t="inlineStr">
        <is>
          <t>別途お見積</t>
        </is>
      </c>
      <c r="AA75" s="167" t="inlineStr">
        <is>
          <t>冷凍</t>
        </is>
      </c>
      <c r="AB75" s="167" t="inlineStr">
        <is>
          <t>７日</t>
        </is>
      </c>
      <c r="AC75" s="293" t="n"/>
      <c r="AD75" s="167" t="n"/>
      <c r="AE75" s="167" t="n"/>
      <c r="AF75" s="167" t="n"/>
      <c r="AG75" s="144" t="n"/>
    </row>
    <row r="76" ht="18" customHeight="1" s="207">
      <c r="A76" s="166" t="inlineStr">
        <is>
          <t>精肉</t>
        </is>
      </c>
      <c r="B76" s="176" t="inlineStr">
        <is>
          <t>和牛</t>
        </is>
      </c>
      <c r="C76" s="167" t="inlineStr">
        <is>
          <t>上田精肉店</t>
        </is>
      </c>
      <c r="D76" s="143">
        <f>"PRD_SNJ_"&amp;
_xlfn.XLOOKUP(商品マスタ[[#This Row],[仕入先]],テーブル1[仕入先名],テーブル1[仕入先コード],"XXX",0,1)&amp;
"_"&amp;
商品マスタ[[#This Row],[シリアル]]&amp;
"_"&amp;
TEXT(COUNTIFS(商品マスタ!$C$3:C76,商品マスタ[[#This Row],[仕入先]],商品マスタ!$E$3:E76,商品マスタ[[#This Row],[商品名]]), "00")</f>
        <v/>
      </c>
      <c r="E76" s="167" t="inlineStr">
        <is>
          <t>エゾシカ　挽き肉</t>
        </is>
      </c>
      <c r="F76" s="167">
        <f>IF(COUNTIFS($C$3:C76,商品マスタ[[#This Row],[仕入先]],$E$3:E76,商品マスタ[[#This Row],[商品名]]) = 1, 1,0)</f>
        <v/>
      </c>
      <c r="G76" s="133">
        <f>TEXT(SUMIF($C$3:C76,商品マスタ[[#This Row],[仕入先]],$F$3:F76), "0000")</f>
        <v/>
      </c>
      <c r="H76" s="167" t="inlineStr">
        <is>
          <t>kg</t>
        </is>
      </c>
      <c r="I76" s="167" t="inlineStr">
        <is>
          <t>500g/パック</t>
        </is>
      </c>
      <c r="J76" s="167" t="inlineStr">
        <is>
          <t>1パック</t>
        </is>
      </c>
      <c r="K76" s="167" t="inlineStr">
        <is>
          <t>ブロック（カット・スライスなし）</t>
        </is>
      </c>
      <c r="L76" s="289" t="n">
        <v>2000</v>
      </c>
      <c r="M76" s="157" t="n">
        <v>45957</v>
      </c>
      <c r="N76" s="289" t="n"/>
      <c r="O76" s="290">
        <f>IF(COUNT(商品マスタ[[#This Row],[参考上代
（税込)]]) &gt; 0, (商品マスタ[[#This Row],[参考上代
（税込)]]-商品マスタ[[#This Row],[国内定価
（15％）]])/(商品マスタ[[#This Row],[参考上代
（税込)]]/1.08), "")</f>
        <v/>
      </c>
      <c r="P76" s="136" t="n">
        <v>0.1</v>
      </c>
      <c r="Q76" s="291">
        <f>商品マスタ[[#This Row],[仕入
単価]]*商品マスタ[[#This Row],[標準国内送料率]]</f>
        <v/>
      </c>
      <c r="R76" s="289" t="n"/>
      <c r="S76" s="289">
        <f>IF(ISBLANK(商品マスタ[[#This Row],[実績
国内送料]]),商品マスタ[[#This Row],[標準国内送料]],)</f>
        <v/>
      </c>
      <c r="T76" s="289">
        <f>商品マスタ[[#This Row],[仕入
単価]]+商品マスタ[[#This Row],[国内送料]]</f>
        <v/>
      </c>
      <c r="U76" s="289">
        <f>ROUNDUP(商品マスタ[[#This Row],[仕入単価+国内送料]]/0.8,-1)</f>
        <v/>
      </c>
      <c r="V76" s="289">
        <f>商品マスタ[[#This Row],[海外定価
（20％）]]-商品マスタ[[#This Row],[仕入単価+国内送料]]</f>
        <v/>
      </c>
      <c r="W76" s="167">
        <f>ROUNDUP(商品マスタ[[#This Row],[仕入単価+国内送料]]/0.85,-1)</f>
        <v/>
      </c>
      <c r="X76" s="289">
        <f>商品マスタ[[#This Row],[国内定価
（15％）]]-商品マスタ[[#This Row],[仕入単価+国内送料]]</f>
        <v/>
      </c>
      <c r="Y76" s="139" t="n">
        <v>0.08</v>
      </c>
      <c r="Z76" s="167" t="inlineStr">
        <is>
          <t>別途お見積</t>
        </is>
      </c>
      <c r="AA76" s="167" t="inlineStr">
        <is>
          <t>冷凍</t>
        </is>
      </c>
      <c r="AB76" s="167" t="inlineStr">
        <is>
          <t>７日</t>
        </is>
      </c>
      <c r="AC76" s="293" t="n"/>
      <c r="AD76" s="167" t="n"/>
      <c r="AE76" s="167" t="n"/>
      <c r="AF76" s="167" t="n"/>
      <c r="AG76" s="144" t="n"/>
    </row>
    <row r="77" ht="18" customHeight="1" s="207">
      <c r="A77" s="166" t="inlineStr">
        <is>
          <t>精肉</t>
        </is>
      </c>
      <c r="B77" s="176" t="inlineStr">
        <is>
          <t>和牛</t>
        </is>
      </c>
      <c r="C77" s="167" t="inlineStr">
        <is>
          <t>上田精肉店</t>
        </is>
      </c>
      <c r="D77" s="143">
        <f>"PRD_SNJ_"&amp;
_xlfn.XLOOKUP(商品マスタ[[#This Row],[仕入先]],テーブル1[仕入先名],テーブル1[仕入先コード],"XXX",0,1)&amp;
"_"&amp;
商品マスタ[[#This Row],[シリアル]]&amp;
"_"&amp;
TEXT(COUNTIFS(商品マスタ!$C$3:C77,商品マスタ[[#This Row],[仕入先]],商品マスタ!$E$3:E77,商品マスタ[[#This Row],[商品名]]), "00")</f>
        <v/>
      </c>
      <c r="E77" s="167" t="inlineStr">
        <is>
          <t>エゾシカ　骨付きロース（ヒレ有り）</t>
        </is>
      </c>
      <c r="F77" s="167">
        <f>IF(COUNTIFS($C$3:C77,商品マスタ[[#This Row],[仕入先]],$E$3:E77,商品マスタ[[#This Row],[商品名]]) = 1, 1,0)</f>
        <v/>
      </c>
      <c r="G77" s="133">
        <f>TEXT(SUMIF($C$3:C77,商品マスタ[[#This Row],[仕入先]],$F$3:F77), "0000")</f>
        <v/>
      </c>
      <c r="H77" s="167" t="inlineStr">
        <is>
          <t>kg</t>
        </is>
      </c>
      <c r="I77" s="167" t="inlineStr">
        <is>
          <t>約3-5kg/本</t>
        </is>
      </c>
      <c r="J77" s="167" t="inlineStr">
        <is>
          <t>1本</t>
        </is>
      </c>
      <c r="K77" s="167" t="inlineStr">
        <is>
          <t>ブロック（カット・スライスなし）</t>
        </is>
      </c>
      <c r="L77" s="289" t="n">
        <v>4300</v>
      </c>
      <c r="M77" s="157" t="n">
        <v>45957</v>
      </c>
      <c r="N77" s="289" t="n"/>
      <c r="O77" s="290">
        <f>IF(COUNT(商品マスタ[[#This Row],[参考上代
（税込)]]) &gt; 0, (商品マスタ[[#This Row],[参考上代
（税込)]]-商品マスタ[[#This Row],[国内定価
（15％）]])/(商品マスタ[[#This Row],[参考上代
（税込)]]/1.08), "")</f>
        <v/>
      </c>
      <c r="P77" s="136" t="n">
        <v>0.1</v>
      </c>
      <c r="Q77" s="291">
        <f>商品マスタ[[#This Row],[仕入
単価]]*商品マスタ[[#This Row],[標準国内送料率]]</f>
        <v/>
      </c>
      <c r="R77" s="289" t="n"/>
      <c r="S77" s="289">
        <f>IF(ISBLANK(商品マスタ[[#This Row],[実績
国内送料]]),商品マスタ[[#This Row],[標準国内送料]],)</f>
        <v/>
      </c>
      <c r="T77" s="289">
        <f>商品マスタ[[#This Row],[仕入
単価]]+商品マスタ[[#This Row],[国内送料]]</f>
        <v/>
      </c>
      <c r="U77" s="289">
        <f>ROUNDUP(商品マスタ[[#This Row],[仕入単価+国内送料]]/0.8,-1)</f>
        <v/>
      </c>
      <c r="V77" s="289">
        <f>商品マスタ[[#This Row],[海外定価
（20％）]]-商品マスタ[[#This Row],[仕入単価+国内送料]]</f>
        <v/>
      </c>
      <c r="W77" s="167">
        <f>ROUNDUP(商品マスタ[[#This Row],[仕入単価+国内送料]]/0.85,-1)</f>
        <v/>
      </c>
      <c r="X77" s="289">
        <f>商品マスタ[[#This Row],[国内定価
（15％）]]-商品マスタ[[#This Row],[仕入単価+国内送料]]</f>
        <v/>
      </c>
      <c r="Y77" s="139" t="n">
        <v>0.08</v>
      </c>
      <c r="Z77" s="167" t="inlineStr">
        <is>
          <t>別途お見積</t>
        </is>
      </c>
      <c r="AA77" s="167" t="inlineStr">
        <is>
          <t>冷蔵</t>
        </is>
      </c>
      <c r="AB77" s="167" t="inlineStr">
        <is>
          <t>７日</t>
        </is>
      </c>
      <c r="AC77" s="293" t="n"/>
      <c r="AD77" s="167" t="n"/>
      <c r="AE77" s="167" t="n"/>
      <c r="AF77" s="167" t="n"/>
      <c r="AG77" s="144" t="n"/>
    </row>
    <row r="78" ht="18" customHeight="1" s="207">
      <c r="A78" s="166" t="inlineStr">
        <is>
          <t>精肉</t>
        </is>
      </c>
      <c r="B78" s="176" t="inlineStr">
        <is>
          <t>和牛</t>
        </is>
      </c>
      <c r="C78" s="167" t="inlineStr">
        <is>
          <t>上田精肉店</t>
        </is>
      </c>
      <c r="D78" s="143">
        <f>"PRD_SNJ_"&amp;
_xlfn.XLOOKUP(商品マスタ[[#This Row],[仕入先]],テーブル1[仕入先名],テーブル1[仕入先コード],"XXX",0,1)&amp;
"_"&amp;
商品マスタ[[#This Row],[シリアル]]&amp;
"_"&amp;
TEXT(COUNTIFS(商品マスタ!$C$3:C78,商品マスタ[[#This Row],[仕入先]],商品マスタ!$E$3:E78,商品マスタ[[#This Row],[商品名]]), "00")</f>
        <v/>
      </c>
      <c r="E78" s="167" t="inlineStr">
        <is>
          <t>エゾシカ　骨付きロース（ヒレ無し）</t>
        </is>
      </c>
      <c r="F78" s="167">
        <f>IF(COUNTIFS($C$3:C78,商品マスタ[[#This Row],[仕入先]],$E$3:E78,商品マスタ[[#This Row],[商品名]]) = 1, 1,0)</f>
        <v/>
      </c>
      <c r="G78" s="133">
        <f>TEXT(SUMIF($C$3:C78,商品マスタ[[#This Row],[仕入先]],$F$3:F78), "0000")</f>
        <v/>
      </c>
      <c r="H78" s="167" t="inlineStr">
        <is>
          <t>kg</t>
        </is>
      </c>
      <c r="I78" s="167" t="inlineStr">
        <is>
          <t>約3-5kg/本</t>
        </is>
      </c>
      <c r="J78" s="167" t="inlineStr">
        <is>
          <t>1本</t>
        </is>
      </c>
      <c r="K78" s="167" t="inlineStr">
        <is>
          <t>ブロック（カット・スライスなし）</t>
        </is>
      </c>
      <c r="L78" s="289" t="n">
        <v>4300</v>
      </c>
      <c r="M78" s="157" t="n">
        <v>45957</v>
      </c>
      <c r="N78" s="289" t="n"/>
      <c r="O78" s="290">
        <f>IF(COUNT(商品マスタ[[#This Row],[参考上代
（税込)]]) &gt; 0, (商品マスタ[[#This Row],[参考上代
（税込)]]-商品マスタ[[#This Row],[国内定価
（15％）]])/(商品マスタ[[#This Row],[参考上代
（税込)]]/1.08), "")</f>
        <v/>
      </c>
      <c r="P78" s="136" t="n">
        <v>0.1</v>
      </c>
      <c r="Q78" s="291">
        <f>商品マスタ[[#This Row],[仕入
単価]]*商品マスタ[[#This Row],[標準国内送料率]]</f>
        <v/>
      </c>
      <c r="R78" s="289" t="n"/>
      <c r="S78" s="289">
        <f>IF(ISBLANK(商品マスタ[[#This Row],[実績
国内送料]]),商品マスタ[[#This Row],[標準国内送料]],)</f>
        <v/>
      </c>
      <c r="T78" s="289">
        <f>商品マスタ[[#This Row],[仕入
単価]]+商品マスタ[[#This Row],[国内送料]]</f>
        <v/>
      </c>
      <c r="U78" s="289">
        <f>ROUNDUP(商品マスタ[[#This Row],[仕入単価+国内送料]]/0.8,-1)</f>
        <v/>
      </c>
      <c r="V78" s="289">
        <f>商品マスタ[[#This Row],[海外定価
（20％）]]-商品マスタ[[#This Row],[仕入単価+国内送料]]</f>
        <v/>
      </c>
      <c r="W78" s="167">
        <f>ROUNDUP(商品マスタ[[#This Row],[仕入単価+国内送料]]/0.85,-1)</f>
        <v/>
      </c>
      <c r="X78" s="289">
        <f>商品マスタ[[#This Row],[国内定価
（15％）]]-商品マスタ[[#This Row],[仕入単価+国内送料]]</f>
        <v/>
      </c>
      <c r="Y78" s="139" t="n">
        <v>0.08</v>
      </c>
      <c r="Z78" s="167" t="inlineStr">
        <is>
          <t>別途お見積</t>
        </is>
      </c>
      <c r="AA78" s="167" t="inlineStr">
        <is>
          <t>冷蔵</t>
        </is>
      </c>
      <c r="AB78" s="167" t="inlineStr">
        <is>
          <t>７日</t>
        </is>
      </c>
      <c r="AC78" s="293" t="n"/>
      <c r="AD78" s="167" t="n"/>
      <c r="AE78" s="167" t="n"/>
      <c r="AF78" s="167" t="n"/>
      <c r="AG78" s="144" t="n"/>
    </row>
    <row r="79" ht="18" customHeight="1" s="207">
      <c r="A79" s="166" t="inlineStr">
        <is>
          <t>精肉</t>
        </is>
      </c>
      <c r="B79" s="176" t="inlineStr">
        <is>
          <t>和牛</t>
        </is>
      </c>
      <c r="C79" s="167" t="inlineStr">
        <is>
          <t>上田精肉店</t>
        </is>
      </c>
      <c r="D79" s="143">
        <f>"PRD_SNJ_"&amp;
_xlfn.XLOOKUP(商品マスタ[[#This Row],[仕入先]],テーブル1[仕入先名],テーブル1[仕入先コード],"XXX",0,1)&amp;
"_"&amp;
商品マスタ[[#This Row],[シリアル]]&amp;
"_"&amp;
TEXT(COUNTIFS(商品マスタ!$C$3:C79,商品マスタ[[#This Row],[仕入先]],商品マスタ!$E$3:E79,商品マスタ[[#This Row],[商品名]]), "00")</f>
        <v/>
      </c>
      <c r="E79" s="167" t="inlineStr">
        <is>
          <t>エゾシカ　骨付きモモ</t>
        </is>
      </c>
      <c r="F79" s="167">
        <f>IF(COUNTIFS($C$3:C79,商品マスタ[[#This Row],[仕入先]],$E$3:E79,商品マスタ[[#This Row],[商品名]]) = 1, 1,0)</f>
        <v/>
      </c>
      <c r="G79" s="133">
        <f>TEXT(SUMIF($C$3:C79,商品マスタ[[#This Row],[仕入先]],$F$3:F79), "0000")</f>
        <v/>
      </c>
      <c r="H79" s="167" t="inlineStr">
        <is>
          <t>kg</t>
        </is>
      </c>
      <c r="I79" s="167" t="inlineStr">
        <is>
          <t>約6-10kg/本</t>
        </is>
      </c>
      <c r="J79" s="167" t="inlineStr">
        <is>
          <t>1本</t>
        </is>
      </c>
      <c r="K79" s="167" t="inlineStr">
        <is>
          <t>ブロック（カット・スライスなし）</t>
        </is>
      </c>
      <c r="L79" s="289" t="n">
        <v>2000</v>
      </c>
      <c r="M79" s="157" t="n">
        <v>45957</v>
      </c>
      <c r="N79" s="289" t="n"/>
      <c r="O79" s="290">
        <f>IF(COUNT(商品マスタ[[#This Row],[参考上代
（税込)]]) &gt; 0, (商品マスタ[[#This Row],[参考上代
（税込)]]-商品マスタ[[#This Row],[国内定価
（15％）]])/(商品マスタ[[#This Row],[参考上代
（税込)]]/1.08), "")</f>
        <v/>
      </c>
      <c r="P79" s="136" t="n">
        <v>0.1</v>
      </c>
      <c r="Q79" s="291">
        <f>商品マスタ[[#This Row],[仕入
単価]]*商品マスタ[[#This Row],[標準国内送料率]]</f>
        <v/>
      </c>
      <c r="R79" s="289" t="n"/>
      <c r="S79" s="289">
        <f>IF(ISBLANK(商品マスタ[[#This Row],[実績
国内送料]]),商品マスタ[[#This Row],[標準国内送料]],)</f>
        <v/>
      </c>
      <c r="T79" s="289">
        <f>商品マスタ[[#This Row],[仕入
単価]]+商品マスタ[[#This Row],[国内送料]]</f>
        <v/>
      </c>
      <c r="U79" s="289">
        <f>ROUNDUP(商品マスタ[[#This Row],[仕入単価+国内送料]]/0.8,-1)</f>
        <v/>
      </c>
      <c r="V79" s="289">
        <f>商品マスタ[[#This Row],[海外定価
（20％）]]-商品マスタ[[#This Row],[仕入単価+国内送料]]</f>
        <v/>
      </c>
      <c r="W79" s="167">
        <f>ROUNDUP(商品マスタ[[#This Row],[仕入単価+国内送料]]/0.85,-1)</f>
        <v/>
      </c>
      <c r="X79" s="289">
        <f>商品マスタ[[#This Row],[国内定価
（15％）]]-商品マスタ[[#This Row],[仕入単価+国内送料]]</f>
        <v/>
      </c>
      <c r="Y79" s="139" t="n">
        <v>0.08</v>
      </c>
      <c r="Z79" s="167" t="inlineStr">
        <is>
          <t>別途お見積</t>
        </is>
      </c>
      <c r="AA79" s="167" t="inlineStr">
        <is>
          <t>冷蔵</t>
        </is>
      </c>
      <c r="AB79" s="167" t="inlineStr">
        <is>
          <t>７日</t>
        </is>
      </c>
      <c r="AC79" s="293" t="n"/>
      <c r="AD79" s="167" t="n"/>
      <c r="AE79" s="167" t="n"/>
      <c r="AF79" s="167" t="n"/>
      <c r="AG79" s="144" t="n"/>
    </row>
    <row r="80" ht="18" customHeight="1" s="207">
      <c r="A80" s="166" t="inlineStr">
        <is>
          <t>精肉</t>
        </is>
      </c>
      <c r="B80" s="176" t="inlineStr">
        <is>
          <t>和牛</t>
        </is>
      </c>
      <c r="C80" s="167" t="inlineStr">
        <is>
          <t>上田精肉店</t>
        </is>
      </c>
      <c r="D80" s="143">
        <f>"PRD_SNJ_"&amp;
_xlfn.XLOOKUP(商品マスタ[[#This Row],[仕入先]],テーブル1[仕入先名],テーブル1[仕入先コード],"XXX",0,1)&amp;
"_"&amp;
商品マスタ[[#This Row],[シリアル]]&amp;
"_"&amp;
TEXT(COUNTIFS(商品マスタ!$C$3:C80,商品マスタ[[#This Row],[仕入先]],商品マスタ!$E$3:E80,商品マスタ[[#This Row],[商品名]]), "00")</f>
        <v/>
      </c>
      <c r="E80" s="167" t="inlineStr">
        <is>
          <t>エゾシカ　骨付きウデ</t>
        </is>
      </c>
      <c r="F80" s="167">
        <f>IF(COUNTIFS($C$3:C80,商品マスタ[[#This Row],[仕入先]],$E$3:E80,商品マスタ[[#This Row],[商品名]]) = 1, 1,0)</f>
        <v/>
      </c>
      <c r="G80" s="133">
        <f>TEXT(SUMIF($C$3:C80,商品マスタ[[#This Row],[仕入先]],$F$3:F80), "0000")</f>
        <v/>
      </c>
      <c r="H80" s="167" t="inlineStr">
        <is>
          <t>kg</t>
        </is>
      </c>
      <c r="I80" s="167" t="inlineStr">
        <is>
          <t>約3-5kg/本</t>
        </is>
      </c>
      <c r="J80" s="167" t="inlineStr">
        <is>
          <t>1本</t>
        </is>
      </c>
      <c r="K80" s="167" t="inlineStr">
        <is>
          <t>ブロック（カット・スライスなし）</t>
        </is>
      </c>
      <c r="L80" s="289" t="n">
        <v>1700</v>
      </c>
      <c r="M80" s="157" t="n">
        <v>45957</v>
      </c>
      <c r="N80" s="289" t="n"/>
      <c r="O80" s="290">
        <f>IF(COUNT(商品マスタ[[#This Row],[参考上代
（税込)]]) &gt; 0, (商品マスタ[[#This Row],[参考上代
（税込)]]-商品マスタ[[#This Row],[国内定価
（15％）]])/(商品マスタ[[#This Row],[参考上代
（税込)]]/1.08), "")</f>
        <v/>
      </c>
      <c r="P80" s="136" t="n">
        <v>0.1</v>
      </c>
      <c r="Q80" s="291">
        <f>商品マスタ[[#This Row],[仕入
単価]]*商品マスタ[[#This Row],[標準国内送料率]]</f>
        <v/>
      </c>
      <c r="R80" s="289" t="n"/>
      <c r="S80" s="289">
        <f>IF(ISBLANK(商品マスタ[[#This Row],[実績
国内送料]]),商品マスタ[[#This Row],[標準国内送料]],)</f>
        <v/>
      </c>
      <c r="T80" s="289">
        <f>商品マスタ[[#This Row],[仕入
単価]]+商品マスタ[[#This Row],[国内送料]]</f>
        <v/>
      </c>
      <c r="U80" s="289">
        <f>ROUNDUP(商品マスタ[[#This Row],[仕入単価+国内送料]]/0.8,-1)</f>
        <v/>
      </c>
      <c r="V80" s="289">
        <f>商品マスタ[[#This Row],[海外定価
（20％）]]-商品マスタ[[#This Row],[仕入単価+国内送料]]</f>
        <v/>
      </c>
      <c r="W80" s="167">
        <f>ROUNDUP(商品マスタ[[#This Row],[仕入単価+国内送料]]/0.85,-1)</f>
        <v/>
      </c>
      <c r="X80" s="289">
        <f>商品マスタ[[#This Row],[国内定価
（15％）]]-商品マスタ[[#This Row],[仕入単価+国内送料]]</f>
        <v/>
      </c>
      <c r="Y80" s="139" t="n">
        <v>0.08</v>
      </c>
      <c r="Z80" s="167" t="n"/>
      <c r="AA80" s="167" t="n"/>
      <c r="AB80" s="167" t="n"/>
      <c r="AC80" s="293" t="n"/>
      <c r="AD80" s="167" t="n"/>
      <c r="AE80" s="167" t="n"/>
      <c r="AF80" s="167" t="n"/>
      <c r="AG80" s="144" t="n"/>
    </row>
    <row r="81" ht="18" customHeight="1" s="207">
      <c r="A81" s="166" t="inlineStr">
        <is>
          <t>精肉</t>
        </is>
      </c>
      <c r="B81" s="176" t="inlineStr">
        <is>
          <t>和牛</t>
        </is>
      </c>
      <c r="C81" s="167" t="inlineStr">
        <is>
          <t>上田精肉店</t>
        </is>
      </c>
      <c r="D81" s="143">
        <f>"PRD_SNJ_"&amp;
_xlfn.XLOOKUP(商品マスタ[[#This Row],[仕入先]],テーブル1[仕入先名],テーブル1[仕入先コード],"XXX",0,1)&amp;
"_"&amp;
商品マスタ[[#This Row],[シリアル]]&amp;
"_"&amp;
TEXT(COUNTIFS(商品マスタ!$C$3:C81,商品マスタ[[#This Row],[仕入先]],商品マスタ!$E$3:E81,商品マスタ[[#This Row],[商品名]]), "00")</f>
        <v/>
      </c>
      <c r="E81" s="167" t="inlineStr">
        <is>
          <t>エゾシカ　骨付きバラ</t>
        </is>
      </c>
      <c r="F81" s="167">
        <f>IF(COUNTIFS($C$3:C81,商品マスタ[[#This Row],[仕入先]],$E$3:E81,商品マスタ[[#This Row],[商品名]]) = 1, 1,0)</f>
        <v/>
      </c>
      <c r="G81" s="133">
        <f>TEXT(SUMIF($C$3:C81,商品マスタ[[#This Row],[仕入先]],$F$3:F81), "0000")</f>
        <v/>
      </c>
      <c r="H81" s="167" t="inlineStr">
        <is>
          <t>kg</t>
        </is>
      </c>
      <c r="I81" s="167" t="inlineStr">
        <is>
          <t>約2-3kg/枚</t>
        </is>
      </c>
      <c r="J81" s="167" t="inlineStr">
        <is>
          <t>1枚</t>
        </is>
      </c>
      <c r="K81" s="167" t="inlineStr">
        <is>
          <t>ブロック（カット・スライスなし）</t>
        </is>
      </c>
      <c r="L81" s="289" t="n">
        <v>1800</v>
      </c>
      <c r="M81" s="157" t="n">
        <v>45957</v>
      </c>
      <c r="N81" s="289" t="n"/>
      <c r="O81" s="290">
        <f>IF(COUNT(商品マスタ[[#This Row],[参考上代
（税込)]]) &gt; 0, (商品マスタ[[#This Row],[参考上代
（税込)]]-商品マスタ[[#This Row],[国内定価
（15％）]])/(商品マスタ[[#This Row],[参考上代
（税込)]]/1.08), "")</f>
        <v/>
      </c>
      <c r="P81" s="136" t="n">
        <v>0.1</v>
      </c>
      <c r="Q81" s="291">
        <f>商品マスタ[[#This Row],[仕入
単価]]*商品マスタ[[#This Row],[標準国内送料率]]</f>
        <v/>
      </c>
      <c r="R81" s="289" t="n"/>
      <c r="S81" s="289">
        <f>IF(ISBLANK(商品マスタ[[#This Row],[実績
国内送料]]),商品マスタ[[#This Row],[標準国内送料]],)</f>
        <v/>
      </c>
      <c r="T81" s="289">
        <f>商品マスタ[[#This Row],[仕入
単価]]+商品マスタ[[#This Row],[国内送料]]</f>
        <v/>
      </c>
      <c r="U81" s="289">
        <f>ROUNDUP(商品マスタ[[#This Row],[仕入単価+国内送料]]/0.8,-1)</f>
        <v/>
      </c>
      <c r="V81" s="289">
        <f>商品マスタ[[#This Row],[海外定価
（20％）]]-商品マスタ[[#This Row],[仕入単価+国内送料]]</f>
        <v/>
      </c>
      <c r="W81" s="167">
        <f>ROUNDUP(商品マスタ[[#This Row],[仕入単価+国内送料]]/0.85,-1)</f>
        <v/>
      </c>
      <c r="X81" s="289">
        <f>商品マスタ[[#This Row],[国内定価
（15％）]]-商品マスタ[[#This Row],[仕入単価+国内送料]]</f>
        <v/>
      </c>
      <c r="Y81" s="139" t="n">
        <v>0.08</v>
      </c>
      <c r="Z81" s="167" t="n"/>
      <c r="AA81" s="167" t="n"/>
      <c r="AB81" s="167" t="n"/>
      <c r="AC81" s="293" t="n"/>
      <c r="AD81" s="167" t="n"/>
      <c r="AE81" s="167" t="n"/>
      <c r="AF81" s="167" t="n"/>
      <c r="AG81" s="144" t="n"/>
    </row>
    <row r="82" ht="18" customHeight="1" s="207">
      <c r="A82" s="166" t="inlineStr">
        <is>
          <t>精肉</t>
        </is>
      </c>
      <c r="B82" s="176" t="inlineStr">
        <is>
          <t>和牛</t>
        </is>
      </c>
      <c r="C82" s="167" t="inlineStr">
        <is>
          <t>上田精肉店</t>
        </is>
      </c>
      <c r="D82" s="143">
        <f>"PRD_SNJ_"&amp;
_xlfn.XLOOKUP(商品マスタ[[#This Row],[仕入先]],テーブル1[仕入先名],テーブル1[仕入先コード],"XXX",0,1)&amp;
"_"&amp;
商品マスタ[[#This Row],[シリアル]]&amp;
"_"&amp;
TEXT(COUNTIFS(商品マスタ!$C$3:C82,商品マスタ[[#This Row],[仕入先]],商品マスタ!$E$3:E82,商品マスタ[[#This Row],[商品名]]), "00")</f>
        <v/>
      </c>
      <c r="E82" s="167" t="inlineStr">
        <is>
          <t>エゾシカ　バラ付きサドル</t>
        </is>
      </c>
      <c r="F82" s="167">
        <f>IF(COUNTIFS($C$3:C82,商品マスタ[[#This Row],[仕入先]],$E$3:E82,商品マスタ[[#This Row],[商品名]]) = 1, 1,0)</f>
        <v/>
      </c>
      <c r="G82" s="133">
        <f>TEXT(SUMIF($C$3:C82,商品マスタ[[#This Row],[仕入先]],$F$3:F82), "0000")</f>
        <v/>
      </c>
      <c r="H82" s="167" t="inlineStr">
        <is>
          <t>kg</t>
        </is>
      </c>
      <c r="I82" s="167" t="inlineStr">
        <is>
          <t>約7-12kg/本</t>
        </is>
      </c>
      <c r="J82" s="167" t="inlineStr">
        <is>
          <t>1本</t>
        </is>
      </c>
      <c r="K82" s="167" t="inlineStr">
        <is>
          <t>ブロック（カット・スライスなし）</t>
        </is>
      </c>
      <c r="L82" s="289" t="n">
        <v>3400</v>
      </c>
      <c r="M82" s="157" t="n">
        <v>45957</v>
      </c>
      <c r="N82" s="289" t="n"/>
      <c r="O82" s="290">
        <f>IF(COUNT(商品マスタ[[#This Row],[参考上代
（税込)]]) &gt; 0, (商品マスタ[[#This Row],[参考上代
（税込)]]-商品マスタ[[#This Row],[国内定価
（15％）]])/(商品マスタ[[#This Row],[参考上代
（税込)]]/1.08), "")</f>
        <v/>
      </c>
      <c r="P82" s="136" t="n">
        <v>0.1</v>
      </c>
      <c r="Q82" s="291">
        <f>商品マスタ[[#This Row],[仕入
単価]]*商品マスタ[[#This Row],[標準国内送料率]]</f>
        <v/>
      </c>
      <c r="R82" s="289" t="n"/>
      <c r="S82" s="289">
        <f>IF(ISBLANK(商品マスタ[[#This Row],[実績
国内送料]]),商品マスタ[[#This Row],[標準国内送料]],)</f>
        <v/>
      </c>
      <c r="T82" s="289">
        <f>商品マスタ[[#This Row],[仕入
単価]]+商品マスタ[[#This Row],[国内送料]]</f>
        <v/>
      </c>
      <c r="U82" s="289">
        <f>ROUNDUP(商品マスタ[[#This Row],[仕入単価+国内送料]]/0.8,-1)</f>
        <v/>
      </c>
      <c r="V82" s="289">
        <f>商品マスタ[[#This Row],[海外定価
（20％）]]-商品マスタ[[#This Row],[仕入単価+国内送料]]</f>
        <v/>
      </c>
      <c r="W82" s="167">
        <f>ROUNDUP(商品マスタ[[#This Row],[仕入単価+国内送料]]/0.85,-1)</f>
        <v/>
      </c>
      <c r="X82" s="289">
        <f>商品マスタ[[#This Row],[国内定価
（15％）]]-商品マスタ[[#This Row],[仕入単価+国内送料]]</f>
        <v/>
      </c>
      <c r="Y82" s="139" t="n">
        <v>0.08</v>
      </c>
      <c r="Z82" s="167" t="n"/>
      <c r="AA82" s="167" t="n"/>
      <c r="AB82" s="167" t="n"/>
      <c r="AC82" s="293" t="n"/>
      <c r="AD82" s="167" t="n"/>
      <c r="AE82" s="167" t="n"/>
      <c r="AF82" s="167" t="n"/>
      <c r="AG82" s="144" t="n"/>
    </row>
    <row r="83" ht="18" customHeight="1" s="207">
      <c r="A83" s="166" t="inlineStr">
        <is>
          <t>精肉</t>
        </is>
      </c>
      <c r="B83" s="176" t="inlineStr">
        <is>
          <t>和牛</t>
        </is>
      </c>
      <c r="C83" s="167" t="inlineStr">
        <is>
          <t>上田精肉店</t>
        </is>
      </c>
      <c r="D83" s="143">
        <f>"PRD_SNJ_"&amp;
_xlfn.XLOOKUP(商品マスタ[[#This Row],[仕入先]],テーブル1[仕入先名],テーブル1[仕入先コード],"XXX",0,1)&amp;
"_"&amp;
商品マスタ[[#This Row],[シリアル]]&amp;
"_"&amp;
TEXT(COUNTIFS(商品マスタ!$C$3:C83,商品マスタ[[#This Row],[仕入先]],商品マスタ!$E$3:E83,商品マスタ[[#This Row],[商品名]]), "00")</f>
        <v/>
      </c>
      <c r="E83" s="167" t="inlineStr">
        <is>
          <t>エゾシカ　サドル</t>
        </is>
      </c>
      <c r="F83" s="167">
        <f>IF(COUNTIFS($C$3:C83,商品マスタ[[#This Row],[仕入先]],$E$3:E83,商品マスタ[[#This Row],[商品名]]) = 1, 1,0)</f>
        <v/>
      </c>
      <c r="G83" s="133">
        <f>TEXT(SUMIF($C$3:C83,商品マスタ[[#This Row],[仕入先]],$F$3:F83), "0000")</f>
        <v/>
      </c>
      <c r="H83" s="167" t="inlineStr">
        <is>
          <t>kg</t>
        </is>
      </c>
      <c r="I83" s="167" t="inlineStr">
        <is>
          <t>約6-10kg/本</t>
        </is>
      </c>
      <c r="J83" s="167" t="inlineStr">
        <is>
          <t>1本</t>
        </is>
      </c>
      <c r="K83" s="167" t="inlineStr">
        <is>
          <t>ブロック（カット・スライスなし）</t>
        </is>
      </c>
      <c r="L83" s="289" t="n">
        <v>3800</v>
      </c>
      <c r="M83" s="157" t="n">
        <v>45957</v>
      </c>
      <c r="N83" s="289" t="n"/>
      <c r="O83" s="290">
        <f>IF(COUNT(商品マスタ[[#This Row],[参考上代
（税込)]]) &gt; 0, (商品マスタ[[#This Row],[参考上代
（税込)]]-商品マスタ[[#This Row],[国内定価
（15％）]])/(商品マスタ[[#This Row],[参考上代
（税込)]]/1.08), "")</f>
        <v/>
      </c>
      <c r="P83" s="136" t="n">
        <v>0.1</v>
      </c>
      <c r="Q83" s="291">
        <f>商品マスタ[[#This Row],[仕入
単価]]*商品マスタ[[#This Row],[標準国内送料率]]</f>
        <v/>
      </c>
      <c r="R83" s="289" t="n"/>
      <c r="S83" s="289">
        <f>IF(ISBLANK(商品マスタ[[#This Row],[実績
国内送料]]),商品マスタ[[#This Row],[標準国内送料]],)</f>
        <v/>
      </c>
      <c r="T83" s="289">
        <f>商品マスタ[[#This Row],[仕入
単価]]+商品マスタ[[#This Row],[国内送料]]</f>
        <v/>
      </c>
      <c r="U83" s="289">
        <f>ROUNDUP(商品マスタ[[#This Row],[仕入単価+国内送料]]/0.8,-1)</f>
        <v/>
      </c>
      <c r="V83" s="289">
        <f>商品マスタ[[#This Row],[海外定価
（20％）]]-商品マスタ[[#This Row],[仕入単価+国内送料]]</f>
        <v/>
      </c>
      <c r="W83" s="167">
        <f>ROUNDUP(商品マスタ[[#This Row],[仕入単価+国内送料]]/0.85,-1)</f>
        <v/>
      </c>
      <c r="X83" s="289">
        <f>商品マスタ[[#This Row],[国内定価
（15％）]]-商品マスタ[[#This Row],[仕入単価+国内送料]]</f>
        <v/>
      </c>
      <c r="Y83" s="139" t="n">
        <v>0.08</v>
      </c>
      <c r="Z83" s="167" t="n"/>
      <c r="AA83" s="167" t="n"/>
      <c r="AB83" s="167" t="n"/>
      <c r="AC83" s="293" t="n"/>
      <c r="AD83" s="167" t="n"/>
      <c r="AE83" s="167" t="n"/>
      <c r="AF83" s="167" t="n"/>
      <c r="AG83" s="144" t="n"/>
    </row>
    <row r="84" ht="18" customHeight="1" s="207">
      <c r="A84" s="166" t="inlineStr">
        <is>
          <t>精肉</t>
        </is>
      </c>
      <c r="B84" s="176" t="inlineStr">
        <is>
          <t>和牛</t>
        </is>
      </c>
      <c r="C84" s="167" t="inlineStr">
        <is>
          <t>上田精肉店</t>
        </is>
      </c>
      <c r="D84" s="143">
        <f>"PRD_SNJ_"&amp;
_xlfn.XLOOKUP(商品マスタ[[#This Row],[仕入先]],テーブル1[仕入先名],テーブル1[仕入先コード],"XXX",0,1)&amp;
"_"&amp;
商品マスタ[[#This Row],[シリアル]]&amp;
"_"&amp;
TEXT(COUNTIFS(商品マスタ!$C$3:C84,商品マスタ[[#This Row],[仕入先]],商品マスタ!$E$3:E84,商品マスタ[[#This Row],[商品名]]), "00")</f>
        <v/>
      </c>
      <c r="E84" s="167" t="inlineStr">
        <is>
          <t>エゾシカ　枝肉（半頭）</t>
        </is>
      </c>
      <c r="F84" s="167">
        <f>IF(COUNTIFS($C$3:C84,商品マスタ[[#This Row],[仕入先]],$E$3:E84,商品マスタ[[#This Row],[商品名]]) = 1, 1,0)</f>
        <v/>
      </c>
      <c r="G84" s="133">
        <f>TEXT(SUMIF($C$3:C84,商品マスタ[[#This Row],[仕入先]],$F$3:F84), "0000")</f>
        <v/>
      </c>
      <c r="H84" s="167" t="inlineStr">
        <is>
          <t>kg</t>
        </is>
      </c>
      <c r="I84" s="167" t="inlineStr">
        <is>
          <t>約18-25kg/セット</t>
        </is>
      </c>
      <c r="J84" s="167" t="inlineStr">
        <is>
          <t>1セット</t>
        </is>
      </c>
      <c r="K84" s="167" t="inlineStr">
        <is>
          <t>背割半身</t>
        </is>
      </c>
      <c r="L84" s="289" t="n">
        <v>1350</v>
      </c>
      <c r="M84" s="157" t="n">
        <v>45957</v>
      </c>
      <c r="N84" s="289" t="n"/>
      <c r="O84" s="290">
        <f>IF(COUNT(商品マスタ[[#This Row],[参考上代
（税込)]]) &gt; 0, (商品マスタ[[#This Row],[参考上代
（税込)]]-商品マスタ[[#This Row],[国内定価
（15％）]])/(商品マスタ[[#This Row],[参考上代
（税込)]]/1.08), "")</f>
        <v/>
      </c>
      <c r="P84" s="136" t="n">
        <v>0.1</v>
      </c>
      <c r="Q84" s="291">
        <f>商品マスタ[[#This Row],[仕入
単価]]*商品マスタ[[#This Row],[標準国内送料率]]</f>
        <v/>
      </c>
      <c r="R84" s="289" t="n"/>
      <c r="S84" s="289">
        <f>IF(ISBLANK(商品マスタ[[#This Row],[実績
国内送料]]),商品マスタ[[#This Row],[標準国内送料]],)</f>
        <v/>
      </c>
      <c r="T84" s="289">
        <f>商品マスタ[[#This Row],[仕入
単価]]+商品マスタ[[#This Row],[国内送料]]</f>
        <v/>
      </c>
      <c r="U84" s="289">
        <f>ROUNDUP(商品マスタ[[#This Row],[仕入単価+国内送料]]/0.8,-1)</f>
        <v/>
      </c>
      <c r="V84" s="289">
        <f>商品マスタ[[#This Row],[海外定価
（20％）]]-商品マスタ[[#This Row],[仕入単価+国内送料]]</f>
        <v/>
      </c>
      <c r="W84" s="167">
        <f>ROUNDUP(商品マスタ[[#This Row],[仕入単価+国内送料]]/0.85,-1)</f>
        <v/>
      </c>
      <c r="X84" s="289">
        <f>商品マスタ[[#This Row],[国内定価
（15％）]]-商品マスタ[[#This Row],[仕入単価+国内送料]]</f>
        <v/>
      </c>
      <c r="Y84" s="139" t="n">
        <v>0.08</v>
      </c>
      <c r="Z84" s="167" t="n"/>
      <c r="AA84" s="167" t="n"/>
      <c r="AB84" s="167" t="n"/>
      <c r="AC84" s="293" t="n"/>
      <c r="AD84" s="167" t="n"/>
      <c r="AE84" s="167" t="n"/>
      <c r="AF84" s="167" t="n"/>
      <c r="AG84" s="144" t="n"/>
    </row>
    <row r="85" ht="18" customHeight="1" s="207">
      <c r="A85" s="166" t="inlineStr">
        <is>
          <t>精肉</t>
        </is>
      </c>
      <c r="B85" s="176" t="inlineStr">
        <is>
          <t>和牛</t>
        </is>
      </c>
      <c r="C85" s="167" t="inlineStr">
        <is>
          <t>上田精肉店</t>
        </is>
      </c>
      <c r="D85" s="143">
        <f>"PRD_SNJ_"&amp;
_xlfn.XLOOKUP(商品マスタ[[#This Row],[仕入先]],テーブル1[仕入先名],テーブル1[仕入先コード],"XXX",0,1)&amp;
"_"&amp;
商品マスタ[[#This Row],[シリアル]]&amp;
"_"&amp;
TEXT(COUNTIFS(商品マスタ!$C$3:C85,商品マスタ[[#This Row],[仕入先]],商品マスタ!$E$3:E85,商品マスタ[[#This Row],[商品名]]), "00")</f>
        <v/>
      </c>
      <c r="E85" s="167" t="inlineStr">
        <is>
          <t>エゾシカ　子鹿半頭セット</t>
        </is>
      </c>
      <c r="F85" s="167">
        <f>IF(COUNTIFS($C$3:C85,商品マスタ[[#This Row],[仕入先]],$E$3:E85,商品マスタ[[#This Row],[商品名]]) = 1, 1,0)</f>
        <v/>
      </c>
      <c r="G85" s="133">
        <f>TEXT(SUMIF($C$3:C85,商品マスタ[[#This Row],[仕入先]],$F$3:F85), "0000")</f>
        <v/>
      </c>
      <c r="H85" s="167" t="inlineStr">
        <is>
          <t>kg</t>
        </is>
      </c>
      <c r="I85" s="167" t="inlineStr">
        <is>
          <t>約5-7kg/セット</t>
        </is>
      </c>
      <c r="J85" s="167" t="inlineStr">
        <is>
          <t>1セット</t>
        </is>
      </c>
      <c r="K85" s="167" t="inlineStr">
        <is>
          <t>背割半身</t>
        </is>
      </c>
      <c r="L85" s="289" t="n">
        <v>3000</v>
      </c>
      <c r="M85" s="157" t="n">
        <v>45957</v>
      </c>
      <c r="N85" s="289" t="n"/>
      <c r="O85" s="290">
        <f>IF(COUNT(商品マスタ[[#This Row],[参考上代
（税込)]]) &gt; 0, (商品マスタ[[#This Row],[参考上代
（税込)]]-商品マスタ[[#This Row],[国内定価
（15％）]])/(商品マスタ[[#This Row],[参考上代
（税込)]]/1.08), "")</f>
        <v/>
      </c>
      <c r="P85" s="136" t="n">
        <v>0.1</v>
      </c>
      <c r="Q85" s="291">
        <f>商品マスタ[[#This Row],[仕入
単価]]*商品マスタ[[#This Row],[標準国内送料率]]</f>
        <v/>
      </c>
      <c r="R85" s="289" t="n"/>
      <c r="S85" s="289">
        <f>IF(ISBLANK(商品マスタ[[#This Row],[実績
国内送料]]),商品マスタ[[#This Row],[標準国内送料]],)</f>
        <v/>
      </c>
      <c r="T85" s="289">
        <f>商品マスタ[[#This Row],[仕入
単価]]+商品マスタ[[#This Row],[国内送料]]</f>
        <v/>
      </c>
      <c r="U85" s="289">
        <f>ROUNDUP(商品マスタ[[#This Row],[仕入単価+国内送料]]/0.8,-1)</f>
        <v/>
      </c>
      <c r="V85" s="289">
        <f>商品マスタ[[#This Row],[海外定価
（20％）]]-商品マスタ[[#This Row],[仕入単価+国内送料]]</f>
        <v/>
      </c>
      <c r="W85" s="167">
        <f>ROUNDUP(商品マスタ[[#This Row],[仕入単価+国内送料]]/0.85,-1)</f>
        <v/>
      </c>
      <c r="X85" s="289">
        <f>商品マスタ[[#This Row],[国内定価
（15％）]]-商品マスタ[[#This Row],[仕入単価+国内送料]]</f>
        <v/>
      </c>
      <c r="Y85" s="139" t="n">
        <v>0.08</v>
      </c>
      <c r="Z85" s="167" t="n"/>
      <c r="AA85" s="167" t="n"/>
      <c r="AB85" s="167" t="n"/>
      <c r="AC85" s="293" t="n"/>
      <c r="AD85" s="167" t="n"/>
      <c r="AE85" s="167" t="n"/>
      <c r="AF85" s="167" t="n"/>
      <c r="AG85" s="144" t="n"/>
    </row>
    <row r="86" ht="18" customHeight="1" s="207">
      <c r="A86" s="166" t="inlineStr">
        <is>
          <t>精肉</t>
        </is>
      </c>
      <c r="B86" s="176" t="inlineStr">
        <is>
          <t>和牛</t>
        </is>
      </c>
      <c r="C86" s="167" t="inlineStr">
        <is>
          <t>上田精肉店</t>
        </is>
      </c>
      <c r="D86" s="143">
        <f>"PRD_SNJ_"&amp;
_xlfn.XLOOKUP(商品マスタ[[#This Row],[仕入先]],テーブル1[仕入先名],テーブル1[仕入先コード],"XXX",0,1)&amp;
"_"&amp;
商品マスタ[[#This Row],[シリアル]]&amp;
"_"&amp;
TEXT(COUNTIFS(商品マスタ!$C$3:C86,商品マスタ[[#This Row],[仕入先]],商品マスタ!$E$3:E86,商品マスタ[[#This Row],[商品名]]), "00")</f>
        <v/>
      </c>
      <c r="E86" s="167" t="inlineStr">
        <is>
          <t>エゾシカ　トリミング</t>
        </is>
      </c>
      <c r="F86" s="167">
        <f>IF(COUNTIFS($C$3:C86,商品マスタ[[#This Row],[仕入先]],$E$3:E86,商品マスタ[[#This Row],[商品名]]) = 1, 1,0)</f>
        <v/>
      </c>
      <c r="G86" s="133">
        <f>TEXT(SUMIF($C$3:C86,商品マスタ[[#This Row],[仕入先]],$F$3:F86), "0000")</f>
        <v/>
      </c>
      <c r="H86" s="167" t="inlineStr">
        <is>
          <t>kg</t>
        </is>
      </c>
      <c r="I86" s="167" t="inlineStr">
        <is>
          <t>15kg/ケース</t>
        </is>
      </c>
      <c r="J86" s="167" t="inlineStr">
        <is>
          <t>1ケース</t>
        </is>
      </c>
      <c r="K86" s="167" t="inlineStr">
        <is>
          <t>スジ・脂等</t>
        </is>
      </c>
      <c r="L86" s="289" t="n">
        <v>1400</v>
      </c>
      <c r="M86" s="157" t="n">
        <v>45957</v>
      </c>
      <c r="N86" s="289" t="n"/>
      <c r="O86" s="290">
        <f>IF(COUNT(商品マスタ[[#This Row],[参考上代
（税込)]]) &gt; 0, (商品マスタ[[#This Row],[参考上代
（税込)]]-商品マスタ[[#This Row],[国内定価
（15％）]])/(商品マスタ[[#This Row],[参考上代
（税込)]]/1.08), "")</f>
        <v/>
      </c>
      <c r="P86" s="136" t="n">
        <v>0.1</v>
      </c>
      <c r="Q86" s="291">
        <f>商品マスタ[[#This Row],[仕入
単価]]*商品マスタ[[#This Row],[標準国内送料率]]</f>
        <v/>
      </c>
      <c r="R86" s="289" t="n"/>
      <c r="S86" s="289">
        <f>IF(ISBLANK(商品マスタ[[#This Row],[実績
国内送料]]),商品マスタ[[#This Row],[標準国内送料]],)</f>
        <v/>
      </c>
      <c r="T86" s="289">
        <f>商品マスタ[[#This Row],[仕入
単価]]+商品マスタ[[#This Row],[国内送料]]</f>
        <v/>
      </c>
      <c r="U86" s="289">
        <f>ROUNDUP(商品マスタ[[#This Row],[仕入単価+国内送料]]/0.8,-1)</f>
        <v/>
      </c>
      <c r="V86" s="289">
        <f>商品マスタ[[#This Row],[海外定価
（20％）]]-商品マスタ[[#This Row],[仕入単価+国内送料]]</f>
        <v/>
      </c>
      <c r="W86" s="167">
        <f>ROUNDUP(商品マスタ[[#This Row],[仕入単価+国内送料]]/0.85,-1)</f>
        <v/>
      </c>
      <c r="X86" s="289">
        <f>商品マスタ[[#This Row],[国内定価
（15％）]]-商品マスタ[[#This Row],[仕入単価+国内送料]]</f>
        <v/>
      </c>
      <c r="Y86" s="139" t="n">
        <v>0.08</v>
      </c>
      <c r="Z86" s="167" t="n"/>
      <c r="AA86" s="167" t="n"/>
      <c r="AB86" s="167" t="n"/>
      <c r="AC86" s="293" t="n"/>
      <c r="AD86" s="167" t="n"/>
      <c r="AE86" s="167" t="n"/>
      <c r="AF86" s="167" t="n"/>
      <c r="AG86" s="144" t="n"/>
    </row>
    <row r="87" ht="18" customHeight="1" s="207">
      <c r="A87" s="166" t="inlineStr">
        <is>
          <t>精肉</t>
        </is>
      </c>
      <c r="B87" s="176" t="inlineStr">
        <is>
          <t>和牛</t>
        </is>
      </c>
      <c r="C87" s="167" t="inlineStr">
        <is>
          <t>上田精肉店</t>
        </is>
      </c>
      <c r="D87" s="143">
        <f>"PRD_SNJ_"&amp;
_xlfn.XLOOKUP(商品マスタ[[#This Row],[仕入先]],テーブル1[仕入先名],テーブル1[仕入先コード],"XXX",0,1)&amp;
"_"&amp;
商品マスタ[[#This Row],[シリアル]]&amp;
"_"&amp;
TEXT(COUNTIFS(商品マスタ!$C$3:C87,商品マスタ[[#This Row],[仕入先]],商品マスタ!$E$3:E87,商品マスタ[[#This Row],[商品名]]), "00")</f>
        <v/>
      </c>
      <c r="E87" s="167" t="inlineStr">
        <is>
          <t>エゾシカ　スネ肉</t>
        </is>
      </c>
      <c r="F87" s="167">
        <f>IF(COUNTIFS($C$3:C87,商品マスタ[[#This Row],[仕入先]],$E$3:E87,商品マスタ[[#This Row],[商品名]]) = 1, 1,0)</f>
        <v/>
      </c>
      <c r="G87" s="133">
        <f>TEXT(SUMIF($C$3:C87,商品マスタ[[#This Row],[仕入先]],$F$3:F87), "0000")</f>
        <v/>
      </c>
      <c r="H87" s="167" t="inlineStr">
        <is>
          <t>kg</t>
        </is>
      </c>
      <c r="I87" s="167" t="inlineStr">
        <is>
          <t>10kg/ケース</t>
        </is>
      </c>
      <c r="J87" s="167" t="inlineStr">
        <is>
          <t>1ケース</t>
        </is>
      </c>
      <c r="K87" s="167" t="inlineStr">
        <is>
          <t>スジ肉</t>
        </is>
      </c>
      <c r="L87" s="289" t="n">
        <v>1100</v>
      </c>
      <c r="M87" s="157" t="n">
        <v>45957</v>
      </c>
      <c r="N87" s="289" t="n"/>
      <c r="O87" s="290">
        <f>IF(COUNT(商品マスタ[[#This Row],[参考上代
（税込)]]) &gt; 0, (商品マスタ[[#This Row],[参考上代
（税込)]]-商品マスタ[[#This Row],[国内定価
（15％）]])/(商品マスタ[[#This Row],[参考上代
（税込)]]/1.08), "")</f>
        <v/>
      </c>
      <c r="P87" s="136" t="n">
        <v>0.1</v>
      </c>
      <c r="Q87" s="291">
        <f>商品マスタ[[#This Row],[仕入
単価]]*商品マスタ[[#This Row],[標準国内送料率]]</f>
        <v/>
      </c>
      <c r="R87" s="289" t="n"/>
      <c r="S87" s="289">
        <f>IF(ISBLANK(商品マスタ[[#This Row],[実績
国内送料]]),商品マスタ[[#This Row],[標準国内送料]],)</f>
        <v/>
      </c>
      <c r="T87" s="289">
        <f>商品マスタ[[#This Row],[仕入
単価]]+商品マスタ[[#This Row],[国内送料]]</f>
        <v/>
      </c>
      <c r="U87" s="289">
        <f>ROUNDUP(商品マスタ[[#This Row],[仕入単価+国内送料]]/0.8,-1)</f>
        <v/>
      </c>
      <c r="V87" s="289">
        <f>商品マスタ[[#This Row],[海外定価
（20％）]]-商品マスタ[[#This Row],[仕入単価+国内送料]]</f>
        <v/>
      </c>
      <c r="W87" s="167">
        <f>ROUNDUP(商品マスタ[[#This Row],[仕入単価+国内送料]]/0.85,-1)</f>
        <v/>
      </c>
      <c r="X87" s="289">
        <f>商品マスタ[[#This Row],[国内定価
（15％）]]-商品マスタ[[#This Row],[仕入単価+国内送料]]</f>
        <v/>
      </c>
      <c r="Y87" s="139" t="n">
        <v>0.08</v>
      </c>
      <c r="Z87" s="167" t="n"/>
      <c r="AA87" s="167" t="n"/>
      <c r="AB87" s="167" t="n"/>
      <c r="AC87" s="293" t="n"/>
      <c r="AD87" s="167" t="n"/>
      <c r="AE87" s="167" t="n"/>
      <c r="AF87" s="167" t="n"/>
      <c r="AG87" s="144" t="n"/>
    </row>
    <row r="88" ht="18" customHeight="1" s="207">
      <c r="A88" s="166" t="inlineStr">
        <is>
          <t>精肉</t>
        </is>
      </c>
      <c r="B88" s="176" t="inlineStr">
        <is>
          <t>和牛</t>
        </is>
      </c>
      <c r="C88" s="167" t="inlineStr">
        <is>
          <t>上田精肉店</t>
        </is>
      </c>
      <c r="D88" s="143">
        <f>"PRD_SNJ_"&amp;
_xlfn.XLOOKUP(商品マスタ[[#This Row],[仕入先]],テーブル1[仕入先名],テーブル1[仕入先コード],"XXX",0,1)&amp;
"_"&amp;
商品マスタ[[#This Row],[シリアル]]&amp;
"_"&amp;
TEXT(COUNTIFS(商品マスタ!$C$3:C88,商品マスタ[[#This Row],[仕入先]],商品マスタ!$E$3:E88,商品マスタ[[#This Row],[商品名]]), "00")</f>
        <v/>
      </c>
      <c r="E88" s="167" t="inlineStr">
        <is>
          <t>エゾシカ　丸骨</t>
        </is>
      </c>
      <c r="F88" s="167">
        <f>IF(COUNTIFS($C$3:C88,商品マスタ[[#This Row],[仕入先]],$E$3:E88,商品マスタ[[#This Row],[商品名]]) = 1, 1,0)</f>
        <v/>
      </c>
      <c r="G88" s="133">
        <f>TEXT(SUMIF($C$3:C88,商品マスタ[[#This Row],[仕入先]],$F$3:F88), "0000")</f>
        <v/>
      </c>
      <c r="H88" s="167" t="inlineStr">
        <is>
          <t>kg</t>
        </is>
      </c>
      <c r="I88" s="167" t="inlineStr">
        <is>
          <t>15kg/ケース</t>
        </is>
      </c>
      <c r="J88" s="167" t="inlineStr">
        <is>
          <t>1ケース</t>
        </is>
      </c>
      <c r="K88" s="167" t="inlineStr">
        <is>
          <t>骨</t>
        </is>
      </c>
      <c r="L88" s="289" t="n">
        <v>200</v>
      </c>
      <c r="M88" s="157" t="n">
        <v>45957</v>
      </c>
      <c r="N88" s="289" t="n"/>
      <c r="O88" s="290">
        <f>IF(COUNT(商品マスタ[[#This Row],[参考上代
（税込)]]) &gt; 0, (商品マスタ[[#This Row],[参考上代
（税込)]]-商品マスタ[[#This Row],[国内定価
（15％）]])/(商品マスタ[[#This Row],[参考上代
（税込)]]/1.08), "")</f>
        <v/>
      </c>
      <c r="P88" s="136" t="n">
        <v>0.1</v>
      </c>
      <c r="Q88" s="291">
        <f>商品マスタ[[#This Row],[仕入
単価]]*商品マスタ[[#This Row],[標準国内送料率]]</f>
        <v/>
      </c>
      <c r="R88" s="289" t="n"/>
      <c r="S88" s="289">
        <f>IF(ISBLANK(商品マスタ[[#This Row],[実績
国内送料]]),商品マスタ[[#This Row],[標準国内送料]],)</f>
        <v/>
      </c>
      <c r="T88" s="289">
        <f>商品マスタ[[#This Row],[仕入
単価]]+商品マスタ[[#This Row],[国内送料]]</f>
        <v/>
      </c>
      <c r="U88" s="289">
        <f>ROUNDUP(商品マスタ[[#This Row],[仕入単価+国内送料]]/0.8,-1)</f>
        <v/>
      </c>
      <c r="V88" s="289">
        <f>商品マスタ[[#This Row],[海外定価
（20％）]]-商品マスタ[[#This Row],[仕入単価+国内送料]]</f>
        <v/>
      </c>
      <c r="W88" s="167">
        <f>ROUNDUP(商品マスタ[[#This Row],[仕入単価+国内送料]]/0.85,-1)</f>
        <v/>
      </c>
      <c r="X88" s="289">
        <f>商品マスタ[[#This Row],[国内定価
（15％）]]-商品マスタ[[#This Row],[仕入単価+国内送料]]</f>
        <v/>
      </c>
      <c r="Y88" s="139" t="n">
        <v>0.08</v>
      </c>
      <c r="Z88" s="167" t="n"/>
      <c r="AA88" s="167" t="n"/>
      <c r="AB88" s="167" t="n"/>
      <c r="AC88" s="293" t="n"/>
      <c r="AD88" s="167" t="n"/>
      <c r="AE88" s="167" t="n"/>
      <c r="AF88" s="167" t="n"/>
      <c r="AG88" s="144" t="n"/>
    </row>
    <row r="89" ht="18" customHeight="1" s="207">
      <c r="A89" s="166" t="inlineStr">
        <is>
          <t>精肉</t>
        </is>
      </c>
      <c r="B89" s="176" t="inlineStr">
        <is>
          <t>和牛</t>
        </is>
      </c>
      <c r="C89" s="167" t="inlineStr">
        <is>
          <t>上田精肉店</t>
        </is>
      </c>
      <c r="D89" s="143">
        <f>"PRD_SNJ_"&amp;
_xlfn.XLOOKUP(商品マスタ[[#This Row],[仕入先]],テーブル1[仕入先名],テーブル1[仕入先コード],"XXX",0,1)&amp;
"_"&amp;
商品マスタ[[#This Row],[シリアル]]&amp;
"_"&amp;
TEXT(COUNTIFS(商品マスタ!$C$3:C89,商品マスタ[[#This Row],[仕入先]],商品マスタ!$E$3:E89,商品マスタ[[#This Row],[商品名]]), "00")</f>
        <v/>
      </c>
      <c r="E89" s="167" t="inlineStr">
        <is>
          <t>エゾシカ　旨味噌ジンギスカン</t>
        </is>
      </c>
      <c r="F89" s="167">
        <f>IF(COUNTIFS($C$3:C89,商品マスタ[[#This Row],[仕入先]],$E$3:E89,商品マスタ[[#This Row],[商品名]]) = 1, 1,0)</f>
        <v/>
      </c>
      <c r="G89" s="133">
        <f>TEXT(SUMIF($C$3:C89,商品マスタ[[#This Row],[仕入先]],$F$3:F89), "0000")</f>
        <v/>
      </c>
      <c r="H89" s="167" t="inlineStr">
        <is>
          <t>パック</t>
        </is>
      </c>
      <c r="I89" s="167" t="inlineStr">
        <is>
          <t>500g/パック</t>
        </is>
      </c>
      <c r="J89" s="167" t="inlineStr">
        <is>
          <t>1ケース</t>
        </is>
      </c>
      <c r="K89" s="167" t="inlineStr">
        <is>
          <t>1ケース20個入</t>
        </is>
      </c>
      <c r="L89" s="289" t="n">
        <v>1355</v>
      </c>
      <c r="M89" s="157" t="n">
        <v>45957</v>
      </c>
      <c r="N89" s="289" t="n"/>
      <c r="O89" s="290">
        <f>IF(COUNT(商品マスタ[[#This Row],[参考上代
（税込)]]) &gt; 0, (商品マスタ[[#This Row],[参考上代
（税込)]]-商品マスタ[[#This Row],[国内定価
（15％）]])/(商品マスタ[[#This Row],[参考上代
（税込)]]/1.08), "")</f>
        <v/>
      </c>
      <c r="P89" s="136" t="n">
        <v>0.1</v>
      </c>
      <c r="Q89" s="291">
        <f>商品マスタ[[#This Row],[仕入
単価]]*商品マスタ[[#This Row],[標準国内送料率]]</f>
        <v/>
      </c>
      <c r="R89" s="289" t="n"/>
      <c r="S89" s="289">
        <f>IF(ISBLANK(商品マスタ[[#This Row],[実績
国内送料]]),商品マスタ[[#This Row],[標準国内送料]],)</f>
        <v/>
      </c>
      <c r="T89" s="289">
        <f>商品マスタ[[#This Row],[仕入
単価]]+商品マスタ[[#This Row],[国内送料]]</f>
        <v/>
      </c>
      <c r="U89" s="289">
        <f>ROUNDUP(商品マスタ[[#This Row],[仕入単価+国内送料]]/0.8,-1)</f>
        <v/>
      </c>
      <c r="V89" s="289">
        <f>商品マスタ[[#This Row],[海外定価
（20％）]]-商品マスタ[[#This Row],[仕入単価+国内送料]]</f>
        <v/>
      </c>
      <c r="W89" s="167">
        <f>ROUNDUP(商品マスタ[[#This Row],[仕入単価+国内送料]]/0.85,-1)</f>
        <v/>
      </c>
      <c r="X89" s="289">
        <f>商品マスタ[[#This Row],[国内定価
（15％）]]-商品マスタ[[#This Row],[仕入単価+国内送料]]</f>
        <v/>
      </c>
      <c r="Y89" s="139" t="n">
        <v>0.08</v>
      </c>
      <c r="Z89" s="167" t="n"/>
      <c r="AA89" s="167" t="n"/>
      <c r="AB89" s="167" t="n"/>
      <c r="AC89" s="293" t="n"/>
      <c r="AD89" s="167" t="n"/>
      <c r="AE89" s="167" t="n"/>
      <c r="AF89" s="167" t="n"/>
      <c r="AG89" s="144" t="n"/>
    </row>
    <row r="90" ht="18" customHeight="1" s="207">
      <c r="A90" s="166" t="inlineStr">
        <is>
          <t>精肉</t>
        </is>
      </c>
      <c r="B90" s="176" t="inlineStr">
        <is>
          <t>和牛</t>
        </is>
      </c>
      <c r="C90" s="167" t="inlineStr">
        <is>
          <t>上田精肉店</t>
        </is>
      </c>
      <c r="D90" s="143">
        <f>"PRD_SNJ_"&amp;
_xlfn.XLOOKUP(商品マスタ[[#This Row],[仕入先]],テーブル1[仕入先名],テーブル1[仕入先コード],"XXX",0,1)&amp;
"_"&amp;
商品マスタ[[#This Row],[シリアル]]&amp;
"_"&amp;
TEXT(COUNTIFS(商品マスタ!$C$3:C90,商品マスタ[[#This Row],[仕入先]],商品マスタ!$E$3:E90,商品マスタ[[#This Row],[商品名]]), "00")</f>
        <v/>
      </c>
      <c r="E90" s="167" t="inlineStr">
        <is>
          <t>エゾシカ　プレミアムジンギスカン（極）</t>
        </is>
      </c>
      <c r="F90" s="167">
        <f>IF(COUNTIFS($C$3:C90,商品マスタ[[#This Row],[仕入先]],$E$3:E90,商品マスタ[[#This Row],[商品名]]) = 1, 1,0)</f>
        <v/>
      </c>
      <c r="G90" s="133">
        <f>TEXT(SUMIF($C$3:C90,商品マスタ[[#This Row],[仕入先]],$F$3:F90), "0000")</f>
        <v/>
      </c>
      <c r="H90" s="167" t="inlineStr">
        <is>
          <t>パック</t>
        </is>
      </c>
      <c r="I90" s="167" t="inlineStr">
        <is>
          <t>500g/パック</t>
        </is>
      </c>
      <c r="J90" s="167" t="inlineStr">
        <is>
          <t>1ケース</t>
        </is>
      </c>
      <c r="K90" s="167" t="inlineStr">
        <is>
          <t>1ケース20個入</t>
        </is>
      </c>
      <c r="L90" s="289" t="n">
        <v>1355</v>
      </c>
      <c r="M90" s="157" t="n">
        <v>45957</v>
      </c>
      <c r="N90" s="289" t="n"/>
      <c r="O90" s="290">
        <f>IF(COUNT(商品マスタ[[#This Row],[参考上代
（税込)]]) &gt; 0, (商品マスタ[[#This Row],[参考上代
（税込)]]-商品マスタ[[#This Row],[国内定価
（15％）]])/(商品マスタ[[#This Row],[参考上代
（税込)]]/1.08), "")</f>
        <v/>
      </c>
      <c r="P90" s="136" t="n">
        <v>0.1</v>
      </c>
      <c r="Q90" s="291">
        <f>商品マスタ[[#This Row],[仕入
単価]]*商品マスタ[[#This Row],[標準国内送料率]]</f>
        <v/>
      </c>
      <c r="R90" s="289" t="n"/>
      <c r="S90" s="289">
        <f>IF(ISBLANK(商品マスタ[[#This Row],[実績
国内送料]]),商品マスタ[[#This Row],[標準国内送料]],)</f>
        <v/>
      </c>
      <c r="T90" s="289">
        <f>商品マスタ[[#This Row],[仕入
単価]]+商品マスタ[[#This Row],[国内送料]]</f>
        <v/>
      </c>
      <c r="U90" s="289">
        <f>ROUNDUP(商品マスタ[[#This Row],[仕入単価+国内送料]]/0.8,-1)</f>
        <v/>
      </c>
      <c r="V90" s="289">
        <f>商品マスタ[[#This Row],[海外定価
（20％）]]-商品マスタ[[#This Row],[仕入単価+国内送料]]</f>
        <v/>
      </c>
      <c r="W90" s="167">
        <f>ROUNDUP(商品マスタ[[#This Row],[仕入単価+国内送料]]/0.85,-1)</f>
        <v/>
      </c>
      <c r="X90" s="289">
        <f>商品マスタ[[#This Row],[国内定価
（15％）]]-商品マスタ[[#This Row],[仕入単価+国内送料]]</f>
        <v/>
      </c>
      <c r="Y90" s="139" t="n">
        <v>0.08</v>
      </c>
      <c r="Z90" s="167" t="n"/>
      <c r="AA90" s="167" t="n"/>
      <c r="AB90" s="167" t="n"/>
      <c r="AC90" s="293" t="n"/>
      <c r="AD90" s="167" t="n"/>
      <c r="AE90" s="167" t="n"/>
      <c r="AF90" s="167" t="n"/>
      <c r="AG90" s="144" t="n"/>
    </row>
    <row r="91" ht="18" customHeight="1" s="207">
      <c r="A91" s="166" t="inlineStr">
        <is>
          <t>精肉</t>
        </is>
      </c>
      <c r="B91" s="176" t="inlineStr">
        <is>
          <t>和牛</t>
        </is>
      </c>
      <c r="C91" s="167" t="inlineStr">
        <is>
          <t>上田精肉店</t>
        </is>
      </c>
      <c r="D91" s="143">
        <f>"PRD_SNJ_"&amp;
_xlfn.XLOOKUP(商品マスタ[[#This Row],[仕入先]],テーブル1[仕入先名],テーブル1[仕入先コード],"XXX",0,1)&amp;
"_"&amp;
商品マスタ[[#This Row],[シリアル]]&amp;
"_"&amp;
TEXT(COUNTIFS(商品マスタ!$C$3:C91,商品マスタ[[#This Row],[仕入先]],商品マスタ!$E$3:E91,商品マスタ[[#This Row],[商品名]]), "00")</f>
        <v/>
      </c>
      <c r="E91" s="167" t="inlineStr">
        <is>
          <t>エゾシカ　味付カルビ</t>
        </is>
      </c>
      <c r="F91" s="167">
        <f>IF(COUNTIFS($C$3:C91,商品マスタ[[#This Row],[仕入先]],$E$3:E91,商品マスタ[[#This Row],[商品名]]) = 1, 1,0)</f>
        <v/>
      </c>
      <c r="G91" s="133">
        <f>TEXT(SUMIF($C$3:C91,商品マスタ[[#This Row],[仕入先]],$F$3:F91), "0000")</f>
        <v/>
      </c>
      <c r="H91" s="167" t="inlineStr">
        <is>
          <t>パック</t>
        </is>
      </c>
      <c r="I91" s="167" t="inlineStr">
        <is>
          <t>300g/パック</t>
        </is>
      </c>
      <c r="J91" s="167" t="inlineStr">
        <is>
          <t>1ケース</t>
        </is>
      </c>
      <c r="K91" s="167" t="inlineStr">
        <is>
          <t>1ケース30個入</t>
        </is>
      </c>
      <c r="L91" s="289" t="n">
        <v>800</v>
      </c>
      <c r="M91" s="157" t="n">
        <v>45957</v>
      </c>
      <c r="N91" s="289" t="n"/>
      <c r="O91" s="290">
        <f>IF(COUNT(商品マスタ[[#This Row],[参考上代
（税込)]]) &gt; 0, (商品マスタ[[#This Row],[参考上代
（税込)]]-商品マスタ[[#This Row],[国内定価
（15％）]])/(商品マスタ[[#This Row],[参考上代
（税込)]]/1.08), "")</f>
        <v/>
      </c>
      <c r="P91" s="136" t="n">
        <v>0.1</v>
      </c>
      <c r="Q91" s="291">
        <f>商品マスタ[[#This Row],[仕入
単価]]*商品マスタ[[#This Row],[標準国内送料率]]</f>
        <v/>
      </c>
      <c r="R91" s="289" t="n"/>
      <c r="S91" s="289">
        <f>IF(ISBLANK(商品マスタ[[#This Row],[実績
国内送料]]),商品マスタ[[#This Row],[標準国内送料]],)</f>
        <v/>
      </c>
      <c r="T91" s="289">
        <f>商品マスタ[[#This Row],[仕入
単価]]+商品マスタ[[#This Row],[国内送料]]</f>
        <v/>
      </c>
      <c r="U91" s="289">
        <f>ROUNDUP(商品マスタ[[#This Row],[仕入単価+国内送料]]/0.8,-1)</f>
        <v/>
      </c>
      <c r="V91" s="289">
        <f>商品マスタ[[#This Row],[海外定価
（20％）]]-商品マスタ[[#This Row],[仕入単価+国内送料]]</f>
        <v/>
      </c>
      <c r="W91" s="167">
        <f>ROUNDUP(商品マスタ[[#This Row],[仕入単価+国内送料]]/0.85,-1)</f>
        <v/>
      </c>
      <c r="X91" s="289">
        <f>商品マスタ[[#This Row],[国内定価
（15％）]]-商品マスタ[[#This Row],[仕入単価+国内送料]]</f>
        <v/>
      </c>
      <c r="Y91" s="139" t="n">
        <v>0.08</v>
      </c>
      <c r="Z91" s="167" t="n"/>
      <c r="AA91" s="167" t="n"/>
      <c r="AB91" s="167" t="n"/>
      <c r="AC91" s="293" t="n"/>
      <c r="AD91" s="167" t="n"/>
      <c r="AE91" s="167" t="n"/>
      <c r="AF91" s="167" t="n"/>
      <c r="AG91" s="144" t="n"/>
    </row>
    <row r="92" ht="18" customHeight="1" s="207">
      <c r="A92" s="166" t="inlineStr">
        <is>
          <t>精肉</t>
        </is>
      </c>
      <c r="B92" s="176" t="inlineStr">
        <is>
          <t>和牛</t>
        </is>
      </c>
      <c r="C92" s="167" t="inlineStr">
        <is>
          <t>上田精肉店</t>
        </is>
      </c>
      <c r="D92" s="143">
        <f>"PRD_SNJ_"&amp;
_xlfn.XLOOKUP(商品マスタ[[#This Row],[仕入先]],テーブル1[仕入先名],テーブル1[仕入先コード],"XXX",0,1)&amp;
"_"&amp;
商品マスタ[[#This Row],[シリアル]]&amp;
"_"&amp;
TEXT(COUNTIFS(商品マスタ!$C$3:C92,商品マスタ[[#This Row],[仕入先]],商品マスタ!$E$3:E92,商品マスタ[[#This Row],[商品名]]), "00")</f>
        <v/>
      </c>
      <c r="E92" s="167" t="inlineStr">
        <is>
          <t>エゾシカ　赤肉ジンギスカン</t>
        </is>
      </c>
      <c r="F92" s="167">
        <f>IF(COUNTIFS($C$3:C92,商品マスタ[[#This Row],[仕入先]],$E$3:E92,商品マスタ[[#This Row],[商品名]]) = 1, 1,0)</f>
        <v/>
      </c>
      <c r="G92" s="133">
        <f>TEXT(SUMIF($C$3:C92,商品マスタ[[#This Row],[仕入先]],$F$3:F92), "0000")</f>
        <v/>
      </c>
      <c r="H92" s="167" t="inlineStr">
        <is>
          <t>パック</t>
        </is>
      </c>
      <c r="I92" s="167" t="inlineStr">
        <is>
          <t>300g/パック</t>
        </is>
      </c>
      <c r="J92" s="167" t="inlineStr">
        <is>
          <t>1ケース</t>
        </is>
      </c>
      <c r="K92" s="167" t="inlineStr">
        <is>
          <t>1ケース30個入</t>
        </is>
      </c>
      <c r="L92" s="289" t="n">
        <v>650</v>
      </c>
      <c r="M92" s="157" t="n">
        <v>45957</v>
      </c>
      <c r="N92" s="289" t="n"/>
      <c r="O92" s="290">
        <f>IF(COUNT(商品マスタ[[#This Row],[参考上代
（税込)]]) &gt; 0, (商品マスタ[[#This Row],[参考上代
（税込)]]-商品マスタ[[#This Row],[国内定価
（15％）]])/(商品マスタ[[#This Row],[参考上代
（税込)]]/1.08), "")</f>
        <v/>
      </c>
      <c r="P92" s="136" t="n">
        <v>0.1</v>
      </c>
      <c r="Q92" s="291">
        <f>商品マスタ[[#This Row],[仕入
単価]]*商品マスタ[[#This Row],[標準国内送料率]]</f>
        <v/>
      </c>
      <c r="R92" s="289" t="n"/>
      <c r="S92" s="289">
        <f>IF(ISBLANK(商品マスタ[[#This Row],[実績
国内送料]]),商品マスタ[[#This Row],[標準国内送料]],)</f>
        <v/>
      </c>
      <c r="T92" s="289">
        <f>商品マスタ[[#This Row],[仕入
単価]]+商品マスタ[[#This Row],[国内送料]]</f>
        <v/>
      </c>
      <c r="U92" s="289">
        <f>ROUNDUP(商品マスタ[[#This Row],[仕入単価+国内送料]]/0.8,-1)</f>
        <v/>
      </c>
      <c r="V92" s="289">
        <f>商品マスタ[[#This Row],[海外定価
（20％）]]-商品マスタ[[#This Row],[仕入単価+国内送料]]</f>
        <v/>
      </c>
      <c r="W92" s="167">
        <f>ROUNDUP(商品マスタ[[#This Row],[仕入単価+国内送料]]/0.85,-1)</f>
        <v/>
      </c>
      <c r="X92" s="289">
        <f>商品マスタ[[#This Row],[国内定価
（15％）]]-商品マスタ[[#This Row],[仕入単価+国内送料]]</f>
        <v/>
      </c>
      <c r="Y92" s="139" t="n">
        <v>0.08</v>
      </c>
      <c r="Z92" s="167" t="n"/>
      <c r="AA92" s="167" t="n"/>
      <c r="AB92" s="167" t="n"/>
      <c r="AC92" s="293" t="n"/>
      <c r="AD92" s="167" t="n"/>
      <c r="AE92" s="167" t="n"/>
      <c r="AF92" s="167" t="n"/>
      <c r="AG92" s="144" t="n"/>
    </row>
    <row r="93" ht="18" customHeight="1" s="207">
      <c r="A93" s="166" t="inlineStr">
        <is>
          <t>精肉</t>
        </is>
      </c>
      <c r="B93" s="176" t="inlineStr">
        <is>
          <t>和牛</t>
        </is>
      </c>
      <c r="C93" s="167" t="inlineStr">
        <is>
          <t>上田精肉店</t>
        </is>
      </c>
      <c r="D93" s="143">
        <f>"PRD_SNJ_"&amp;
_xlfn.XLOOKUP(商品マスタ[[#This Row],[仕入先]],テーブル1[仕入先名],テーブル1[仕入先コード],"XXX",0,1)&amp;
"_"&amp;
商品マスタ[[#This Row],[シリアル]]&amp;
"_"&amp;
TEXT(COUNTIFS(商品マスタ!$C$3:C93,商品マスタ[[#This Row],[仕入先]],商品マスタ!$E$3:E93,商品マスタ[[#This Row],[商品名]]), "00")</f>
        <v/>
      </c>
      <c r="E93" s="167" t="inlineStr">
        <is>
          <t>エゾシカ　旨辛バラカルビ</t>
        </is>
      </c>
      <c r="F93" s="167">
        <f>IF(COUNTIFS($C$3:C93,商品マスタ[[#This Row],[仕入先]],$E$3:E93,商品マスタ[[#This Row],[商品名]]) = 1, 1,0)</f>
        <v/>
      </c>
      <c r="G93" s="133">
        <f>TEXT(SUMIF($C$3:C93,商品マスタ[[#This Row],[仕入先]],$F$3:F93), "0000")</f>
        <v/>
      </c>
      <c r="H93" s="167" t="inlineStr">
        <is>
          <t>パック</t>
        </is>
      </c>
      <c r="I93" s="167" t="inlineStr">
        <is>
          <t>300g/パック</t>
        </is>
      </c>
      <c r="J93" s="167" t="inlineStr">
        <is>
          <t>1ケース</t>
        </is>
      </c>
      <c r="K93" s="167" t="inlineStr">
        <is>
          <t>1ケース30個入</t>
        </is>
      </c>
      <c r="L93" s="289" t="n">
        <v>580</v>
      </c>
      <c r="M93" s="157" t="n">
        <v>45957</v>
      </c>
      <c r="N93" s="289" t="n"/>
      <c r="O93" s="290">
        <f>IF(COUNT(商品マスタ[[#This Row],[参考上代
（税込)]]) &gt; 0, (商品マスタ[[#This Row],[参考上代
（税込)]]-商品マスタ[[#This Row],[国内定価
（15％）]])/(商品マスタ[[#This Row],[参考上代
（税込)]]/1.08), "")</f>
        <v/>
      </c>
      <c r="P93" s="136" t="n">
        <v>0.1</v>
      </c>
      <c r="Q93" s="291">
        <f>商品マスタ[[#This Row],[仕入
単価]]*商品マスタ[[#This Row],[標準国内送料率]]</f>
        <v/>
      </c>
      <c r="R93" s="289" t="n"/>
      <c r="S93" s="289">
        <f>IF(ISBLANK(商品マスタ[[#This Row],[実績
国内送料]]),商品マスタ[[#This Row],[標準国内送料]],)</f>
        <v/>
      </c>
      <c r="T93" s="289">
        <f>商品マスタ[[#This Row],[仕入
単価]]+商品マスタ[[#This Row],[国内送料]]</f>
        <v/>
      </c>
      <c r="U93" s="289">
        <f>ROUNDUP(商品マスタ[[#This Row],[仕入単価+国内送料]]/0.8,-1)</f>
        <v/>
      </c>
      <c r="V93" s="289">
        <f>商品マスタ[[#This Row],[海外定価
（20％）]]-商品マスタ[[#This Row],[仕入単価+国内送料]]</f>
        <v/>
      </c>
      <c r="W93" s="167">
        <f>ROUNDUP(商品マスタ[[#This Row],[仕入単価+国内送料]]/0.85,-1)</f>
        <v/>
      </c>
      <c r="X93" s="289">
        <f>商品マスタ[[#This Row],[国内定価
（15％）]]-商品マスタ[[#This Row],[仕入単価+国内送料]]</f>
        <v/>
      </c>
      <c r="Y93" s="139" t="n">
        <v>0.08</v>
      </c>
      <c r="Z93" s="167" t="n"/>
      <c r="AA93" s="167" t="n"/>
      <c r="AB93" s="167" t="n"/>
      <c r="AC93" s="293" t="n"/>
      <c r="AD93" s="167" t="n"/>
      <c r="AE93" s="167" t="n"/>
      <c r="AF93" s="167" t="n"/>
      <c r="AG93" s="144" t="n"/>
    </row>
    <row r="94" ht="18" customHeight="1" s="207">
      <c r="A94" s="166" t="inlineStr">
        <is>
          <t>精肉</t>
        </is>
      </c>
      <c r="B94" s="176" t="inlineStr">
        <is>
          <t>和牛</t>
        </is>
      </c>
      <c r="C94" s="167" t="inlineStr">
        <is>
          <t>上田精肉店</t>
        </is>
      </c>
      <c r="D94" s="143">
        <f>"PRD_SNJ_"&amp;
_xlfn.XLOOKUP(商品マスタ[[#This Row],[仕入先]],テーブル1[仕入先名],テーブル1[仕入先コード],"XXX",0,1)&amp;
"_"&amp;
商品マスタ[[#This Row],[シリアル]]&amp;
"_"&amp;
TEXT(COUNTIFS(商品マスタ!$C$3:C94,商品マスタ[[#This Row],[仕入先]],商品マスタ!$E$3:E94,商品マスタ[[#This Row],[商品名]]), "00")</f>
        <v/>
      </c>
      <c r="E94" s="167" t="inlineStr">
        <is>
          <t>エゾシカ　バラジンギスカン</t>
        </is>
      </c>
      <c r="F94" s="167">
        <f>IF(COUNTIFS($C$3:C94,商品マスタ[[#This Row],[仕入先]],$E$3:E94,商品マスタ[[#This Row],[商品名]]) = 1, 1,0)</f>
        <v/>
      </c>
      <c r="G94" s="133">
        <f>TEXT(SUMIF($C$3:C94,商品マスタ[[#This Row],[仕入先]],$F$3:F94), "0000")</f>
        <v/>
      </c>
      <c r="H94" s="167" t="inlineStr">
        <is>
          <t>パック</t>
        </is>
      </c>
      <c r="I94" s="167" t="inlineStr">
        <is>
          <t>300g/パック</t>
        </is>
      </c>
      <c r="J94" s="167" t="inlineStr">
        <is>
          <t>1ケース</t>
        </is>
      </c>
      <c r="K94" s="167" t="inlineStr">
        <is>
          <t>1ケース30個入</t>
        </is>
      </c>
      <c r="L94" s="289" t="n">
        <v>530</v>
      </c>
      <c r="M94" s="157" t="n">
        <v>45957</v>
      </c>
      <c r="N94" s="289" t="n"/>
      <c r="O94" s="290">
        <f>IF(COUNT(商品マスタ[[#This Row],[参考上代
（税込)]]) &gt; 0, (商品マスタ[[#This Row],[参考上代
（税込)]]-商品マスタ[[#This Row],[国内定価
（15％）]])/(商品マスタ[[#This Row],[参考上代
（税込)]]/1.08), "")</f>
        <v/>
      </c>
      <c r="P94" s="136" t="n">
        <v>0.1</v>
      </c>
      <c r="Q94" s="291">
        <f>商品マスタ[[#This Row],[仕入
単価]]*商品マスタ[[#This Row],[標準国内送料率]]</f>
        <v/>
      </c>
      <c r="R94" s="289" t="n"/>
      <c r="S94" s="289">
        <f>IF(ISBLANK(商品マスタ[[#This Row],[実績
国内送料]]),商品マスタ[[#This Row],[標準国内送料]],)</f>
        <v/>
      </c>
      <c r="T94" s="289">
        <f>商品マスタ[[#This Row],[仕入
単価]]+商品マスタ[[#This Row],[国内送料]]</f>
        <v/>
      </c>
      <c r="U94" s="289">
        <f>ROUNDUP(商品マスタ[[#This Row],[仕入単価+国内送料]]/0.8,-1)</f>
        <v/>
      </c>
      <c r="V94" s="289">
        <f>商品マスタ[[#This Row],[海外定価
（20％）]]-商品マスタ[[#This Row],[仕入単価+国内送料]]</f>
        <v/>
      </c>
      <c r="W94" s="167">
        <f>ROUNDUP(商品マスタ[[#This Row],[仕入単価+国内送料]]/0.85,-1)</f>
        <v/>
      </c>
      <c r="X94" s="289">
        <f>商品マスタ[[#This Row],[国内定価
（15％）]]-商品マスタ[[#This Row],[仕入単価+国内送料]]</f>
        <v/>
      </c>
      <c r="Y94" s="139" t="n">
        <v>0.08</v>
      </c>
      <c r="Z94" s="167" t="n"/>
      <c r="AA94" s="167" t="n"/>
      <c r="AB94" s="167" t="n"/>
      <c r="AC94" s="293" t="n"/>
      <c r="AD94" s="167" t="n"/>
      <c r="AE94" s="167" t="n"/>
      <c r="AF94" s="167" t="n"/>
      <c r="AG94" s="144" t="n"/>
    </row>
    <row r="95" ht="18" customHeight="1" s="207">
      <c r="A95" s="166" t="inlineStr">
        <is>
          <t>精肉</t>
        </is>
      </c>
      <c r="B95" s="176" t="inlineStr">
        <is>
          <t>和牛</t>
        </is>
      </c>
      <c r="C95" s="167" t="inlineStr">
        <is>
          <t>上田精肉店</t>
        </is>
      </c>
      <c r="D95" s="143">
        <f>"PRD_SNJ_"&amp;
_xlfn.XLOOKUP(商品マスタ[[#This Row],[仕入先]],テーブル1[仕入先名],テーブル1[仕入先コード],"XXX",0,1)&amp;
"_"&amp;
商品マスタ[[#This Row],[シリアル]]&amp;
"_"&amp;
TEXT(COUNTIFS(商品マスタ!$C$3:C95,商品マスタ[[#This Row],[仕入先]],商品マスタ!$E$3:E95,商品マスタ[[#This Row],[商品名]]), "00")</f>
        <v/>
      </c>
      <c r="E95" s="167" t="inlineStr">
        <is>
          <t>エゾシカ　ハンバーグ</t>
        </is>
      </c>
      <c r="F95" s="167">
        <f>IF(COUNTIFS($C$3:C95,商品マスタ[[#This Row],[仕入先]],$E$3:E95,商品マスタ[[#This Row],[商品名]]) = 1, 1,0)</f>
        <v/>
      </c>
      <c r="G95" s="133">
        <f>TEXT(SUMIF($C$3:C95,商品マスタ[[#This Row],[仕入先]],$F$3:F95), "0000")</f>
        <v/>
      </c>
      <c r="H95" s="167" t="inlineStr">
        <is>
          <t>パック</t>
        </is>
      </c>
      <c r="I95" s="167" t="inlineStr">
        <is>
          <t>150g×3枚（450g）/パック</t>
        </is>
      </c>
      <c r="J95" s="167" t="inlineStr">
        <is>
          <t>1ケース</t>
        </is>
      </c>
      <c r="K95" s="167" t="inlineStr">
        <is>
          <t>1ケース30個入</t>
        </is>
      </c>
      <c r="L95" s="289" t="n">
        <v>900</v>
      </c>
      <c r="M95" s="157" t="n">
        <v>45957</v>
      </c>
      <c r="N95" s="289" t="n"/>
      <c r="O95" s="290">
        <f>IF(COUNT(商品マスタ[[#This Row],[参考上代
（税込)]]) &gt; 0, (商品マスタ[[#This Row],[参考上代
（税込)]]-商品マスタ[[#This Row],[国内定価
（15％）]])/(商品マスタ[[#This Row],[参考上代
（税込)]]/1.08), "")</f>
        <v/>
      </c>
      <c r="P95" s="136" t="n">
        <v>0.1</v>
      </c>
      <c r="Q95" s="291">
        <f>商品マスタ[[#This Row],[仕入
単価]]*商品マスタ[[#This Row],[標準国内送料率]]</f>
        <v/>
      </c>
      <c r="R95" s="289" t="n"/>
      <c r="S95" s="289">
        <f>IF(ISBLANK(商品マスタ[[#This Row],[実績
国内送料]]),商品マスタ[[#This Row],[標準国内送料]],)</f>
        <v/>
      </c>
      <c r="T95" s="289">
        <f>商品マスタ[[#This Row],[仕入
単価]]+商品マスタ[[#This Row],[国内送料]]</f>
        <v/>
      </c>
      <c r="U95" s="289">
        <f>ROUNDUP(商品マスタ[[#This Row],[仕入単価+国内送料]]/0.8,-1)</f>
        <v/>
      </c>
      <c r="V95" s="289">
        <f>商品マスタ[[#This Row],[海外定価
（20％）]]-商品マスタ[[#This Row],[仕入単価+国内送料]]</f>
        <v/>
      </c>
      <c r="W95" s="167">
        <f>ROUNDUP(商品マスタ[[#This Row],[仕入単価+国内送料]]/0.85,-1)</f>
        <v/>
      </c>
      <c r="X95" s="289">
        <f>商品マスタ[[#This Row],[国内定価
（15％）]]-商品マスタ[[#This Row],[仕入単価+国内送料]]</f>
        <v/>
      </c>
      <c r="Y95" s="139" t="n">
        <v>0.08</v>
      </c>
      <c r="Z95" s="167" t="n"/>
      <c r="AA95" s="167" t="n"/>
      <c r="AB95" s="167" t="n"/>
      <c r="AC95" s="293" t="n"/>
      <c r="AD95" s="167" t="n"/>
      <c r="AE95" s="167" t="n"/>
      <c r="AF95" s="167" t="n"/>
      <c r="AG95" s="144" t="n"/>
    </row>
    <row r="96" ht="18" customHeight="1" s="207">
      <c r="A96" s="166" t="inlineStr">
        <is>
          <t>精肉</t>
        </is>
      </c>
      <c r="B96" s="176" t="inlineStr">
        <is>
          <t>和牛</t>
        </is>
      </c>
      <c r="C96" s="167" t="inlineStr">
        <is>
          <t>上田精肉店</t>
        </is>
      </c>
      <c r="D96" s="143">
        <f>"PRD_SNJ_"&amp;
_xlfn.XLOOKUP(商品マスタ[[#This Row],[仕入先]],テーブル1[仕入先名],テーブル1[仕入先コード],"XXX",0,1)&amp;
"_"&amp;
商品マスタ[[#This Row],[シリアル]]&amp;
"_"&amp;
TEXT(COUNTIFS(商品マスタ!$C$3:C96,商品マスタ[[#This Row],[仕入先]],商品マスタ!$E$3:E96,商品マスタ[[#This Row],[商品名]]), "00")</f>
        <v/>
      </c>
      <c r="E96" s="167" t="inlineStr">
        <is>
          <t>エゾシカ　ソーセージ</t>
        </is>
      </c>
      <c r="F96" s="167">
        <f>IF(COUNTIFS($C$3:C96,商品マスタ[[#This Row],[仕入先]],$E$3:E96,商品マスタ[[#This Row],[商品名]]) = 1, 1,0)</f>
        <v/>
      </c>
      <c r="G96" s="133">
        <f>TEXT(SUMIF($C$3:C96,商品マスタ[[#This Row],[仕入先]],$F$3:F96), "0000")</f>
        <v/>
      </c>
      <c r="H96" s="167" t="inlineStr">
        <is>
          <t>パック</t>
        </is>
      </c>
      <c r="I96" s="167" t="inlineStr">
        <is>
          <t>約40g×4本（160g）/パック</t>
        </is>
      </c>
      <c r="J96" s="167" t="inlineStr">
        <is>
          <t>1ケース</t>
        </is>
      </c>
      <c r="K96" s="167" t="inlineStr">
        <is>
          <t>1ケース30個入</t>
        </is>
      </c>
      <c r="L96" s="289" t="n">
        <v>850</v>
      </c>
      <c r="M96" s="157" t="n">
        <v>45957</v>
      </c>
      <c r="N96" s="289" t="n"/>
      <c r="O96" s="290">
        <f>IF(COUNT(商品マスタ[[#This Row],[参考上代
（税込)]]) &gt; 0, (商品マスタ[[#This Row],[参考上代
（税込)]]-商品マスタ[[#This Row],[国内定価
（15％）]])/(商品マスタ[[#This Row],[参考上代
（税込)]]/1.08), "")</f>
        <v/>
      </c>
      <c r="P96" s="136" t="n">
        <v>0.1</v>
      </c>
      <c r="Q96" s="291">
        <f>商品マスタ[[#This Row],[仕入
単価]]*商品マスタ[[#This Row],[標準国内送料率]]</f>
        <v/>
      </c>
      <c r="R96" s="289" t="n"/>
      <c r="S96" s="289">
        <f>IF(ISBLANK(商品マスタ[[#This Row],[実績
国内送料]]),商品マスタ[[#This Row],[標準国内送料]],)</f>
        <v/>
      </c>
      <c r="T96" s="289">
        <f>商品マスタ[[#This Row],[仕入
単価]]+商品マスタ[[#This Row],[国内送料]]</f>
        <v/>
      </c>
      <c r="U96" s="289">
        <f>ROUNDUP(商品マスタ[[#This Row],[仕入単価+国内送料]]/0.8,-1)</f>
        <v/>
      </c>
      <c r="V96" s="289">
        <f>商品マスタ[[#This Row],[海外定価
（20％）]]-商品マスタ[[#This Row],[仕入単価+国内送料]]</f>
        <v/>
      </c>
      <c r="W96" s="167">
        <f>ROUNDUP(商品マスタ[[#This Row],[仕入単価+国内送料]]/0.85,-1)</f>
        <v/>
      </c>
      <c r="X96" s="289">
        <f>商品マスタ[[#This Row],[国内定価
（15％）]]-商品マスタ[[#This Row],[仕入単価+国内送料]]</f>
        <v/>
      </c>
      <c r="Y96" s="139" t="n">
        <v>0.08</v>
      </c>
      <c r="Z96" s="167" t="n"/>
      <c r="AA96" s="167" t="n"/>
      <c r="AB96" s="167" t="n"/>
      <c r="AC96" s="293" t="n"/>
      <c r="AD96" s="167" t="n"/>
      <c r="AE96" s="167" t="n"/>
      <c r="AF96" s="167" t="n"/>
      <c r="AG96" s="144" t="n"/>
    </row>
    <row r="97" ht="18" customHeight="1" s="207">
      <c r="A97" s="166" t="inlineStr">
        <is>
          <t>精肉</t>
        </is>
      </c>
      <c r="B97" s="176" t="inlineStr">
        <is>
          <t>エゾシカ</t>
        </is>
      </c>
      <c r="C97" s="167" t="inlineStr">
        <is>
          <t>北海道食美樂</t>
        </is>
      </c>
      <c r="D97" s="143">
        <f>"PRD_SNJ_"&amp;
_xlfn.XLOOKUP(商品マスタ[[#This Row],[仕入先]],テーブル1[仕入先名],テーブル1[仕入先コード],"XXX",0,1)&amp;
"_"&amp;
商品マスタ[[#This Row],[シリアル]]&amp;
"_"&amp;
TEXT(COUNTIFS(商品マスタ!$C$3:C97,商品マスタ[[#This Row],[仕入先]],商品マスタ!$E$3:E97,商品マスタ[[#This Row],[商品名]]), "00")</f>
        <v/>
      </c>
      <c r="E97" s="167" t="inlineStr">
        <is>
          <t>エゾシカ　セロース</t>
        </is>
      </c>
      <c r="F97" s="167">
        <f>IF(COUNTIFS($C$3:C97,商品マスタ[[#This Row],[仕入先]],$E$3:E97,商品マスタ[[#This Row],[商品名]]) = 1, 1,0)</f>
        <v/>
      </c>
      <c r="G97" s="133">
        <f>TEXT(SUMIF($C$3:C97,商品マスタ[[#This Row],[仕入先]],$F$3:F97), "0000")</f>
        <v/>
      </c>
      <c r="H97" s="167" t="inlineStr">
        <is>
          <t>kg</t>
        </is>
      </c>
      <c r="I97" s="167" t="inlineStr">
        <is>
          <t>約1.5-2.3kg/本</t>
        </is>
      </c>
      <c r="J97" s="167" t="inlineStr">
        <is>
          <t>1本</t>
        </is>
      </c>
      <c r="K97" s="167" t="inlineStr">
        <is>
          <t>ぐり身（脂なし）ブロック</t>
        </is>
      </c>
      <c r="L97" s="289" t="n">
        <v>6300</v>
      </c>
      <c r="M97" s="157" t="n">
        <v>45944</v>
      </c>
      <c r="N97" s="289" t="n"/>
      <c r="O97" s="290">
        <f>IF(COUNT(商品マスタ[[#This Row],[参考上代
（税込)]]) &gt; 0, (商品マスタ[[#This Row],[参考上代
（税込)]]-商品マスタ[[#This Row],[国内定価
（15％）]])/(商品マスタ[[#This Row],[参考上代
（税込)]]/1.08), "")</f>
        <v/>
      </c>
      <c r="P97" s="136" t="n">
        <v>0.1</v>
      </c>
      <c r="Q97" s="291">
        <f>商品マスタ[[#This Row],[仕入
単価]]*商品マスタ[[#This Row],[標準国内送料率]]</f>
        <v/>
      </c>
      <c r="R97" s="289" t="n"/>
      <c r="S97" s="289">
        <f>IF(ISBLANK(商品マスタ[[#This Row],[実績
国内送料]]),商品マスタ[[#This Row],[標準国内送料]],)</f>
        <v/>
      </c>
      <c r="T97" s="289">
        <f>商品マスタ[[#This Row],[仕入
単価]]+商品マスタ[[#This Row],[国内送料]]</f>
        <v/>
      </c>
      <c r="U97" s="289">
        <f>ROUNDUP(商品マスタ[[#This Row],[仕入単価+国内送料]]/0.8,-1)</f>
        <v/>
      </c>
      <c r="V97" s="289">
        <f>商品マスタ[[#This Row],[海外定価
（20％）]]-商品マスタ[[#This Row],[仕入単価+国内送料]]</f>
        <v/>
      </c>
      <c r="W97" s="167">
        <f>ROUNDUP(商品マスタ[[#This Row],[仕入単価+国内送料]]/0.85,-1)</f>
        <v/>
      </c>
      <c r="X97" s="289">
        <f>商品マスタ[[#This Row],[国内定価
（15％）]]-商品マスタ[[#This Row],[仕入単価+国内送料]]</f>
        <v/>
      </c>
      <c r="Y97" s="139" t="n">
        <v>0.08</v>
      </c>
      <c r="Z97" s="167" t="n"/>
      <c r="AA97" s="167" t="n"/>
      <c r="AB97" s="167" t="n"/>
      <c r="AC97" s="293" t="n"/>
      <c r="AD97" s="167" t="n"/>
      <c r="AE97" s="167" t="n"/>
      <c r="AF97" s="167" t="n"/>
      <c r="AG97" s="144" t="n"/>
    </row>
    <row r="98" ht="18" customHeight="1" s="207">
      <c r="A98" s="166" t="inlineStr">
        <is>
          <t>精肉</t>
        </is>
      </c>
      <c r="B98" s="176" t="inlineStr">
        <is>
          <t>エゾシカ</t>
        </is>
      </c>
      <c r="C98" s="167" t="inlineStr">
        <is>
          <t>北海道食美樂</t>
        </is>
      </c>
      <c r="D98" s="143">
        <f>"PRD_SNJ_"&amp;
_xlfn.XLOOKUP(商品マスタ[[#This Row],[仕入先]],テーブル1[仕入先名],テーブル1[仕入先コード],"XXX",0,1)&amp;
"_"&amp;
商品マスタ[[#This Row],[シリアル]]&amp;
"_"&amp;
TEXT(COUNTIFS(商品マスタ!$C$3:C98,商品マスタ[[#This Row],[仕入先]],商品マスタ!$E$3:E98,商品マスタ[[#This Row],[商品名]]), "00")</f>
        <v/>
      </c>
      <c r="E98" s="167" t="inlineStr">
        <is>
          <t>エゾシカ　ヒレ</t>
        </is>
      </c>
      <c r="F98" s="167">
        <f>IF(COUNTIFS($C$3:C98,商品マスタ[[#This Row],[仕入先]],$E$3:E98,商品マスタ[[#This Row],[商品名]]) = 1, 1,0)</f>
        <v/>
      </c>
      <c r="G98" s="133">
        <f>TEXT(SUMIF($C$3:C98,商品マスタ[[#This Row],[仕入先]],$F$3:F98), "0000")</f>
        <v/>
      </c>
      <c r="H98" s="167" t="inlineStr">
        <is>
          <t>kg</t>
        </is>
      </c>
      <c r="I98" s="167" t="inlineStr">
        <is>
          <t>約0.4-0.8kg/本</t>
        </is>
      </c>
      <c r="J98" s="167" t="inlineStr">
        <is>
          <t>1本</t>
        </is>
      </c>
      <c r="K98" s="167" t="inlineStr">
        <is>
          <t>ブロック</t>
        </is>
      </c>
      <c r="L98" s="289" t="n">
        <v>4200</v>
      </c>
      <c r="M98" s="157" t="n">
        <v>45944</v>
      </c>
      <c r="N98" s="289" t="n"/>
      <c r="O98" s="290">
        <f>IF(COUNT(商品マスタ[[#This Row],[参考上代
（税込)]]) &gt; 0, (商品マスタ[[#This Row],[参考上代
（税込)]]-商品マスタ[[#This Row],[国内定価
（15％）]])/(商品マスタ[[#This Row],[参考上代
（税込)]]/1.08), "")</f>
        <v/>
      </c>
      <c r="P98" s="136" t="n">
        <v>0.1</v>
      </c>
      <c r="Q98" s="291">
        <f>商品マスタ[[#This Row],[仕入
単価]]*商品マスタ[[#This Row],[標準国内送料率]]</f>
        <v/>
      </c>
      <c r="R98" s="289" t="n"/>
      <c r="S98" s="289">
        <f>IF(ISBLANK(商品マスタ[[#This Row],[実績
国内送料]]),商品マスタ[[#This Row],[標準国内送料]],)</f>
        <v/>
      </c>
      <c r="T98" s="289">
        <f>商品マスタ[[#This Row],[仕入
単価]]+商品マスタ[[#This Row],[国内送料]]</f>
        <v/>
      </c>
      <c r="U98" s="289">
        <f>ROUNDUP(商品マスタ[[#This Row],[仕入単価+国内送料]]/0.8,-1)</f>
        <v/>
      </c>
      <c r="V98" s="289">
        <f>商品マスタ[[#This Row],[海外定価
（20％）]]-商品マスタ[[#This Row],[仕入単価+国内送料]]</f>
        <v/>
      </c>
      <c r="W98" s="167">
        <f>ROUNDUP(商品マスタ[[#This Row],[仕入単価+国内送料]]/0.85,-1)</f>
        <v/>
      </c>
      <c r="X98" s="289">
        <f>商品マスタ[[#This Row],[国内定価
（15％）]]-商品マスタ[[#This Row],[仕入単価+国内送料]]</f>
        <v/>
      </c>
      <c r="Y98" s="139" t="n">
        <v>0.08</v>
      </c>
      <c r="Z98" s="167" t="n"/>
      <c r="AA98" s="167" t="n"/>
      <c r="AB98" s="167" t="n"/>
      <c r="AC98" s="293" t="n"/>
      <c r="AD98" s="167" t="n"/>
      <c r="AE98" s="167" t="n"/>
      <c r="AF98" s="167" t="n"/>
      <c r="AG98" s="144" t="n"/>
    </row>
    <row r="99" ht="18" customHeight="1" s="207">
      <c r="A99" s="166" t="inlineStr">
        <is>
          <t>精肉</t>
        </is>
      </c>
      <c r="B99" s="176" t="inlineStr">
        <is>
          <t>エゾシカ</t>
        </is>
      </c>
      <c r="C99" s="167" t="inlineStr">
        <is>
          <t>北海道食美樂</t>
        </is>
      </c>
      <c r="D99" s="143">
        <f>"PRD_SNJ_"&amp;
_xlfn.XLOOKUP(商品マスタ[[#This Row],[仕入先]],テーブル1[仕入先名],テーブル1[仕入先コード],"XXX",0,1)&amp;
"_"&amp;
商品マスタ[[#This Row],[シリアル]]&amp;
"_"&amp;
TEXT(COUNTIFS(商品マスタ!$C$3:C99,商品マスタ[[#This Row],[仕入先]],商品マスタ!$E$3:E99,商品マスタ[[#This Row],[商品名]]), "00")</f>
        <v/>
      </c>
      <c r="E99" s="167" t="inlineStr">
        <is>
          <t>エゾシカ　内モモ</t>
        </is>
      </c>
      <c r="F99" s="167">
        <f>IF(COUNTIFS($C$3:C99,商品マスタ[[#This Row],[仕入先]],$E$3:E99,商品マスタ[[#This Row],[商品名]]) = 1, 1,0)</f>
        <v/>
      </c>
      <c r="G99" s="133">
        <f>TEXT(SUMIF($C$3:C99,商品マスタ[[#This Row],[仕入先]],$F$3:F99), "0000")</f>
        <v/>
      </c>
      <c r="H99" s="167" t="inlineStr">
        <is>
          <t>kg</t>
        </is>
      </c>
      <c r="I99" s="167" t="inlineStr">
        <is>
          <t>約1.2-1.8kg/個</t>
        </is>
      </c>
      <c r="J99" s="167" t="inlineStr">
        <is>
          <t>1個</t>
        </is>
      </c>
      <c r="K99" s="167" t="inlineStr">
        <is>
          <t>ブロック</t>
        </is>
      </c>
      <c r="L99" s="289" t="n">
        <v>3500</v>
      </c>
      <c r="M99" s="157" t="n">
        <v>45944</v>
      </c>
      <c r="N99" s="289" t="n"/>
      <c r="O99" s="290">
        <f>IF(COUNT(商品マスタ[[#This Row],[参考上代
（税込)]]) &gt; 0, (商品マスタ[[#This Row],[参考上代
（税込)]]-商品マスタ[[#This Row],[国内定価
（15％）]])/(商品マスタ[[#This Row],[参考上代
（税込)]]/1.08), "")</f>
        <v/>
      </c>
      <c r="P99" s="136" t="n">
        <v>0.1</v>
      </c>
      <c r="Q99" s="291">
        <f>商品マスタ[[#This Row],[仕入
単価]]*商品マスタ[[#This Row],[標準国内送料率]]</f>
        <v/>
      </c>
      <c r="R99" s="289" t="n"/>
      <c r="S99" s="289">
        <f>IF(ISBLANK(商品マスタ[[#This Row],[実績
国内送料]]),商品マスタ[[#This Row],[標準国内送料]],)</f>
        <v/>
      </c>
      <c r="T99" s="289">
        <f>商品マスタ[[#This Row],[仕入
単価]]+商品マスタ[[#This Row],[国内送料]]</f>
        <v/>
      </c>
      <c r="U99" s="289">
        <f>ROUNDUP(商品マスタ[[#This Row],[仕入単価+国内送料]]/0.8,-1)</f>
        <v/>
      </c>
      <c r="V99" s="289">
        <f>商品マスタ[[#This Row],[海外定価
（20％）]]-商品マスタ[[#This Row],[仕入単価+国内送料]]</f>
        <v/>
      </c>
      <c r="W99" s="167">
        <f>ROUNDUP(商品マスタ[[#This Row],[仕入単価+国内送料]]/0.85,-1)</f>
        <v/>
      </c>
      <c r="X99" s="289">
        <f>商品マスタ[[#This Row],[国内定価
（15％）]]-商品マスタ[[#This Row],[仕入単価+国内送料]]</f>
        <v/>
      </c>
      <c r="Y99" s="139" t="n">
        <v>0.08</v>
      </c>
      <c r="Z99" s="167" t="n"/>
      <c r="AA99" s="167" t="n"/>
      <c r="AB99" s="167" t="n"/>
      <c r="AC99" s="293" t="n"/>
      <c r="AD99" s="167" t="n"/>
      <c r="AE99" s="167" t="n"/>
      <c r="AF99" s="167" t="n"/>
      <c r="AG99" s="144" t="n"/>
    </row>
    <row r="100" ht="18" customHeight="1" s="207">
      <c r="A100" s="166" t="inlineStr">
        <is>
          <t>精肉</t>
        </is>
      </c>
      <c r="B100" s="176" t="inlineStr">
        <is>
          <t>エゾシカ</t>
        </is>
      </c>
      <c r="C100" s="167" t="inlineStr">
        <is>
          <t>北海道食美樂</t>
        </is>
      </c>
      <c r="D100" s="143">
        <f>"PRD_SNJ_"&amp;
_xlfn.XLOOKUP(商品マスタ[[#This Row],[仕入先]],テーブル1[仕入先名],テーブル1[仕入先コード],"XXX",0,1)&amp;
"_"&amp;
商品マスタ[[#This Row],[シリアル]]&amp;
"_"&amp;
TEXT(COUNTIFS(商品マスタ!$C$3:C100,商品マスタ[[#This Row],[仕入先]],商品マスタ!$E$3:E100,商品マスタ[[#This Row],[商品名]]), "00")</f>
        <v/>
      </c>
      <c r="E100" s="167" t="inlineStr">
        <is>
          <t>エゾシカ　真玉</t>
        </is>
      </c>
      <c r="F100" s="167">
        <f>IF(COUNTIFS($C$3:C100,商品マスタ[[#This Row],[仕入先]],$E$3:E100,商品マスタ[[#This Row],[商品名]]) = 1, 1,0)</f>
        <v/>
      </c>
      <c r="G100" s="133">
        <f>TEXT(SUMIF($C$3:C100,商品マスタ[[#This Row],[仕入先]],$F$3:F100), "0000")</f>
        <v/>
      </c>
      <c r="H100" s="167" t="inlineStr">
        <is>
          <t>kg</t>
        </is>
      </c>
      <c r="I100" s="167" t="inlineStr">
        <is>
          <t>約0.7-1.3kg/個</t>
        </is>
      </c>
      <c r="J100" s="167" t="inlineStr">
        <is>
          <t>1個</t>
        </is>
      </c>
      <c r="K100" s="167" t="inlineStr">
        <is>
          <t>ブロック</t>
        </is>
      </c>
      <c r="L100" s="289" t="n">
        <v>3500</v>
      </c>
      <c r="M100" s="157" t="n">
        <v>45944</v>
      </c>
      <c r="N100" s="289" t="n"/>
      <c r="O100" s="290">
        <f>IF(COUNT(商品マスタ[[#This Row],[参考上代
（税込)]]) &gt; 0, (商品マスタ[[#This Row],[参考上代
（税込)]]-商品マスタ[[#This Row],[国内定価
（15％）]])/(商品マスタ[[#This Row],[参考上代
（税込)]]/1.08), "")</f>
        <v/>
      </c>
      <c r="P100" s="136" t="n">
        <v>0.1</v>
      </c>
      <c r="Q100" s="291">
        <f>商品マスタ[[#This Row],[仕入
単価]]*商品マスタ[[#This Row],[標準国内送料率]]</f>
        <v/>
      </c>
      <c r="R100" s="289" t="n"/>
      <c r="S100" s="289">
        <f>IF(ISBLANK(商品マスタ[[#This Row],[実績
国内送料]]),商品マスタ[[#This Row],[標準国内送料]],)</f>
        <v/>
      </c>
      <c r="T100" s="289">
        <f>商品マスタ[[#This Row],[仕入
単価]]+商品マスタ[[#This Row],[国内送料]]</f>
        <v/>
      </c>
      <c r="U100" s="289">
        <f>ROUNDUP(商品マスタ[[#This Row],[仕入単価+国内送料]]/0.8,-1)</f>
        <v/>
      </c>
      <c r="V100" s="289">
        <f>商品マスタ[[#This Row],[海外定価
（20％）]]-商品マスタ[[#This Row],[仕入単価+国内送料]]</f>
        <v/>
      </c>
      <c r="W100" s="167">
        <f>ROUNDUP(商品マスタ[[#This Row],[仕入単価+国内送料]]/0.85,-1)</f>
        <v/>
      </c>
      <c r="X100" s="289">
        <f>商品マスタ[[#This Row],[国内定価
（15％）]]-商品マスタ[[#This Row],[仕入単価+国内送料]]</f>
        <v/>
      </c>
      <c r="Y100" s="139" t="n">
        <v>0.08</v>
      </c>
      <c r="Z100" s="167" t="n"/>
      <c r="AA100" s="167" t="n"/>
      <c r="AB100" s="167" t="n"/>
      <c r="AC100" s="293" t="n"/>
      <c r="AD100" s="167" t="n"/>
      <c r="AE100" s="167" t="n"/>
      <c r="AF100" s="167" t="n"/>
      <c r="AG100" s="144" t="n"/>
    </row>
    <row r="101" ht="18" customHeight="1" s="207">
      <c r="A101" s="166" t="inlineStr">
        <is>
          <t>精肉</t>
        </is>
      </c>
      <c r="B101" s="176" t="inlineStr">
        <is>
          <t>エゾシカ</t>
        </is>
      </c>
      <c r="C101" s="167" t="inlineStr">
        <is>
          <t>北海道食美樂</t>
        </is>
      </c>
      <c r="D101" s="143">
        <f>"PRD_SNJ_"&amp;
_xlfn.XLOOKUP(商品マスタ[[#This Row],[仕入先]],テーブル1[仕入先名],テーブル1[仕入先コード],"XXX",0,1)&amp;
"_"&amp;
商品マスタ[[#This Row],[シリアル]]&amp;
"_"&amp;
TEXT(COUNTIFS(商品マスタ!$C$3:C101,商品マスタ[[#This Row],[仕入先]],商品マスタ!$E$3:E101,商品マスタ[[#This Row],[商品名]]), "00")</f>
        <v/>
      </c>
      <c r="E101" s="167" t="inlineStr">
        <is>
          <t>エゾシカ　外モモ</t>
        </is>
      </c>
      <c r="F101" s="167">
        <f>IF(COUNTIFS($C$3:C101,商品マスタ[[#This Row],[仕入先]],$E$3:E101,商品マスタ[[#This Row],[商品名]]) = 1, 1,0)</f>
        <v/>
      </c>
      <c r="G101" s="133">
        <f>TEXT(SUMIF($C$3:C101,商品マスタ[[#This Row],[仕入先]],$F$3:F101), "0000")</f>
        <v/>
      </c>
      <c r="H101" s="167" t="inlineStr">
        <is>
          <t>kg</t>
        </is>
      </c>
      <c r="I101" s="167" t="inlineStr">
        <is>
          <t>約1.2-1.8kg/個</t>
        </is>
      </c>
      <c r="J101" s="167" t="inlineStr">
        <is>
          <t>1個</t>
        </is>
      </c>
      <c r="K101" s="167" t="inlineStr">
        <is>
          <t>ブロック</t>
        </is>
      </c>
      <c r="L101" s="289" t="n">
        <v>3800</v>
      </c>
      <c r="M101" s="157" t="n">
        <v>45944</v>
      </c>
      <c r="N101" s="289" t="n"/>
      <c r="O101" s="290">
        <f>IF(COUNT(商品マスタ[[#This Row],[参考上代
（税込)]]) &gt; 0, (商品マスタ[[#This Row],[参考上代
（税込)]]-商品マスタ[[#This Row],[国内定価
（15％）]])/(商品マスタ[[#This Row],[参考上代
（税込)]]/1.08), "")</f>
        <v/>
      </c>
      <c r="P101" s="136" t="n">
        <v>0.1</v>
      </c>
      <c r="Q101" s="291">
        <f>商品マスタ[[#This Row],[仕入
単価]]*商品マスタ[[#This Row],[標準国内送料率]]</f>
        <v/>
      </c>
      <c r="R101" s="289" t="n"/>
      <c r="S101" s="289">
        <f>IF(ISBLANK(商品マスタ[[#This Row],[実績
国内送料]]),商品マスタ[[#This Row],[標準国内送料]],)</f>
        <v/>
      </c>
      <c r="T101" s="289">
        <f>商品マスタ[[#This Row],[仕入
単価]]+商品マスタ[[#This Row],[国内送料]]</f>
        <v/>
      </c>
      <c r="U101" s="289">
        <f>ROUNDUP(商品マスタ[[#This Row],[仕入単価+国内送料]]/0.8,-1)</f>
        <v/>
      </c>
      <c r="V101" s="289">
        <f>商品マスタ[[#This Row],[海外定価
（20％）]]-商品マスタ[[#This Row],[仕入単価+国内送料]]</f>
        <v/>
      </c>
      <c r="W101" s="167">
        <f>ROUNDUP(商品マスタ[[#This Row],[仕入単価+国内送料]]/0.85,-1)</f>
        <v/>
      </c>
      <c r="X101" s="289">
        <f>商品マスタ[[#This Row],[国内定価
（15％）]]-商品マスタ[[#This Row],[仕入単価+国内送料]]</f>
        <v/>
      </c>
      <c r="Y101" s="139" t="n">
        <v>0.08</v>
      </c>
      <c r="Z101" s="167" t="n"/>
      <c r="AA101" s="167" t="n"/>
      <c r="AB101" s="167" t="n"/>
      <c r="AC101" s="293" t="n"/>
      <c r="AD101" s="167" t="n"/>
      <c r="AE101" s="167" t="n"/>
      <c r="AF101" s="167" t="n"/>
      <c r="AG101" s="144" t="n"/>
    </row>
    <row r="102" ht="18" customHeight="1" s="207">
      <c r="A102" s="166" t="inlineStr">
        <is>
          <t>精肉</t>
        </is>
      </c>
      <c r="B102" s="176" t="inlineStr">
        <is>
          <t>エゾシカ</t>
        </is>
      </c>
      <c r="C102" s="167" t="inlineStr">
        <is>
          <t>北海道食美樂</t>
        </is>
      </c>
      <c r="D102" s="143">
        <f>"PRD_SNJ_"&amp;
_xlfn.XLOOKUP(商品マスタ[[#This Row],[仕入先]],テーブル1[仕入先名],テーブル1[仕入先コード],"XXX",0,1)&amp;
"_"&amp;
商品マスタ[[#This Row],[シリアル]]&amp;
"_"&amp;
TEXT(COUNTIFS(商品マスタ!$C$3:C102,商品マスタ[[#This Row],[仕入先]],商品マスタ!$E$3:E102,商品マスタ[[#This Row],[商品名]]), "00")</f>
        <v/>
      </c>
      <c r="E102" s="167" t="inlineStr">
        <is>
          <t>エゾシカ　しきん棒</t>
        </is>
      </c>
      <c r="F102" s="167">
        <f>IF(COUNTIFS($C$3:C102,商品マスタ[[#This Row],[仕入先]],$E$3:E102,商品マスタ[[#This Row],[商品名]]) = 1, 1,0)</f>
        <v/>
      </c>
      <c r="G102" s="133">
        <f>TEXT(SUMIF($C$3:C102,商品マスタ[[#This Row],[仕入先]],$F$3:F102), "0000")</f>
        <v/>
      </c>
      <c r="H102" s="167" t="inlineStr">
        <is>
          <t>kg</t>
        </is>
      </c>
      <c r="I102" s="167" t="inlineStr">
        <is>
          <t>約0.4-0.8kg/個</t>
        </is>
      </c>
      <c r="J102" s="167" t="inlineStr">
        <is>
          <t>1個</t>
        </is>
      </c>
      <c r="K102" s="167" t="inlineStr">
        <is>
          <t>ブロック</t>
        </is>
      </c>
      <c r="L102" s="289" t="n">
        <v>3800</v>
      </c>
      <c r="M102" s="157" t="n">
        <v>45944</v>
      </c>
      <c r="N102" s="289" t="n"/>
      <c r="O102" s="290">
        <f>IF(COUNT(商品マスタ[[#This Row],[参考上代
（税込)]]) &gt; 0, (商品マスタ[[#This Row],[参考上代
（税込)]]-商品マスタ[[#This Row],[国内定価
（15％）]])/(商品マスタ[[#This Row],[参考上代
（税込)]]/1.08), "")</f>
        <v/>
      </c>
      <c r="P102" s="136" t="n">
        <v>0.1</v>
      </c>
      <c r="Q102" s="291">
        <f>商品マスタ[[#This Row],[仕入
単価]]*商品マスタ[[#This Row],[標準国内送料率]]</f>
        <v/>
      </c>
      <c r="R102" s="289" t="n"/>
      <c r="S102" s="289">
        <f>IF(ISBLANK(商品マスタ[[#This Row],[実績
国内送料]]),商品マスタ[[#This Row],[標準国内送料]],)</f>
        <v/>
      </c>
      <c r="T102" s="289">
        <f>商品マスタ[[#This Row],[仕入
単価]]+商品マスタ[[#This Row],[国内送料]]</f>
        <v/>
      </c>
      <c r="U102" s="289">
        <f>ROUNDUP(商品マスタ[[#This Row],[仕入単価+国内送料]]/0.8,-1)</f>
        <v/>
      </c>
      <c r="V102" s="289">
        <f>商品マスタ[[#This Row],[海外定価
（20％）]]-商品マスタ[[#This Row],[仕入単価+国内送料]]</f>
        <v/>
      </c>
      <c r="W102" s="167">
        <f>ROUNDUP(商品マスタ[[#This Row],[仕入単価+国内送料]]/0.85,-1)</f>
        <v/>
      </c>
      <c r="X102" s="289">
        <f>商品マスタ[[#This Row],[国内定価
（15％）]]-商品マスタ[[#This Row],[仕入単価+国内送料]]</f>
        <v/>
      </c>
      <c r="Y102" s="139" t="n">
        <v>0.08</v>
      </c>
      <c r="Z102" s="167" t="n"/>
      <c r="AA102" s="167" t="n"/>
      <c r="AB102" s="167" t="n"/>
      <c r="AC102" s="293" t="n"/>
      <c r="AD102" s="167" t="n"/>
      <c r="AE102" s="167" t="n"/>
      <c r="AF102" s="167" t="n"/>
      <c r="AG102" s="144" t="n"/>
    </row>
    <row r="103" ht="18" customHeight="1" s="207">
      <c r="A103" s="166" t="inlineStr">
        <is>
          <t>精肉</t>
        </is>
      </c>
      <c r="B103" s="176" t="inlineStr">
        <is>
          <t>エゾシカ</t>
        </is>
      </c>
      <c r="C103" s="167" t="inlineStr">
        <is>
          <t>北海道食美樂</t>
        </is>
      </c>
      <c r="D103" s="143">
        <f>"PRD_SNJ_"&amp;
_xlfn.XLOOKUP(商品マスタ[[#This Row],[仕入先]],テーブル1[仕入先名],テーブル1[仕入先コード],"XXX",0,1)&amp;
"_"&amp;
商品マスタ[[#This Row],[シリアル]]&amp;
"_"&amp;
TEXT(COUNTIFS(商品マスタ!$C$3:C103,商品マスタ[[#This Row],[仕入先]],商品マスタ!$E$3:E103,商品マスタ[[#This Row],[商品名]]), "00")</f>
        <v/>
      </c>
      <c r="E103" s="167" t="inlineStr">
        <is>
          <t>エゾシカ　スネ</t>
        </is>
      </c>
      <c r="F103" s="167">
        <f>IF(COUNTIFS($C$3:C103,商品マスタ[[#This Row],[仕入先]],$E$3:E103,商品マスタ[[#This Row],[商品名]]) = 1, 1,0)</f>
        <v/>
      </c>
      <c r="G103" s="133">
        <f>TEXT(SUMIF($C$3:C103,商品マスタ[[#This Row],[仕入先]],$F$3:F103), "0000")</f>
        <v/>
      </c>
      <c r="H103" s="167" t="inlineStr">
        <is>
          <t>kg</t>
        </is>
      </c>
      <c r="I103" s="167" t="inlineStr">
        <is>
          <t>約1.2-1.5kg/個</t>
        </is>
      </c>
      <c r="J103" s="167" t="inlineStr">
        <is>
          <t>1個</t>
        </is>
      </c>
      <c r="K103" s="167" t="inlineStr">
        <is>
          <t>ブロックまとめて</t>
        </is>
      </c>
      <c r="L103" s="289" t="n">
        <v>1600</v>
      </c>
      <c r="M103" s="157" t="n">
        <v>45944</v>
      </c>
      <c r="N103" s="289" t="n"/>
      <c r="O103" s="290">
        <f>IF(COUNT(商品マスタ[[#This Row],[参考上代
（税込)]]) &gt; 0, (商品マスタ[[#This Row],[参考上代
（税込)]]-商品マスタ[[#This Row],[国内定価
（15％）]])/(商品マスタ[[#This Row],[参考上代
（税込)]]/1.08), "")</f>
        <v/>
      </c>
      <c r="P103" s="136" t="n">
        <v>0.1</v>
      </c>
      <c r="Q103" s="291">
        <f>商品マスタ[[#This Row],[仕入
単価]]*商品マスタ[[#This Row],[標準国内送料率]]</f>
        <v/>
      </c>
      <c r="R103" s="289" t="n"/>
      <c r="S103" s="289">
        <f>IF(ISBLANK(商品マスタ[[#This Row],[実績
国内送料]]),商品マスタ[[#This Row],[標準国内送料]],)</f>
        <v/>
      </c>
      <c r="T103" s="289">
        <f>商品マスタ[[#This Row],[仕入
単価]]+商品マスタ[[#This Row],[国内送料]]</f>
        <v/>
      </c>
      <c r="U103" s="289">
        <f>ROUNDUP(商品マスタ[[#This Row],[仕入単価+国内送料]]/0.8,-1)</f>
        <v/>
      </c>
      <c r="V103" s="289">
        <f>商品マスタ[[#This Row],[海外定価
（20％）]]-商品マスタ[[#This Row],[仕入単価+国内送料]]</f>
        <v/>
      </c>
      <c r="W103" s="167">
        <f>ROUNDUP(商品マスタ[[#This Row],[仕入単価+国内送料]]/0.85,-1)</f>
        <v/>
      </c>
      <c r="X103" s="289">
        <f>商品マスタ[[#This Row],[国内定価
（15％）]]-商品マスタ[[#This Row],[仕入単価+国内送料]]</f>
        <v/>
      </c>
      <c r="Y103" s="139" t="n">
        <v>0.08</v>
      </c>
      <c r="Z103" s="167" t="n"/>
      <c r="AA103" s="167" t="n"/>
      <c r="AB103" s="167" t="n"/>
      <c r="AC103" s="293" t="n"/>
      <c r="AD103" s="167" t="n"/>
      <c r="AE103" s="167" t="n"/>
      <c r="AF103" s="167" t="n"/>
      <c r="AG103" s="144" t="n"/>
    </row>
    <row r="104" ht="18" customHeight="1" s="207">
      <c r="A104" s="166" t="inlineStr">
        <is>
          <t>精肉</t>
        </is>
      </c>
      <c r="B104" s="176" t="inlineStr">
        <is>
          <t>エゾシカ</t>
        </is>
      </c>
      <c r="C104" s="167" t="inlineStr">
        <is>
          <t>北海道食美樂</t>
        </is>
      </c>
      <c r="D104" s="143">
        <f>"PRD_SNJ_"&amp;
_xlfn.XLOOKUP(商品マスタ[[#This Row],[仕入先]],テーブル1[仕入先名],テーブル1[仕入先コード],"XXX",0,1)&amp;
"_"&amp;
商品マスタ[[#This Row],[シリアル]]&amp;
"_"&amp;
TEXT(COUNTIFS(商品マスタ!$C$3:C104,商品マスタ[[#This Row],[仕入先]],商品マスタ!$E$3:E104,商品マスタ[[#This Row],[商品名]]), "00")</f>
        <v/>
      </c>
      <c r="E104" s="167" t="inlineStr">
        <is>
          <t>エゾシカ　カタ</t>
        </is>
      </c>
      <c r="F104" s="167">
        <f>IF(COUNTIFS($C$3:C104,商品マスタ[[#This Row],[仕入先]],$E$3:E104,商品マスタ[[#This Row],[商品名]]) = 1, 1,0)</f>
        <v/>
      </c>
      <c r="G104" s="133">
        <f>TEXT(SUMIF($C$3:C104,商品マスタ[[#This Row],[仕入先]],$F$3:F104), "0000")</f>
        <v/>
      </c>
      <c r="H104" s="167" t="inlineStr">
        <is>
          <t>kg</t>
        </is>
      </c>
      <c r="I104" s="167" t="inlineStr">
        <is>
          <t>約1.2-1.8kg/個</t>
        </is>
      </c>
      <c r="J104" s="167" t="inlineStr">
        <is>
          <t>1個</t>
        </is>
      </c>
      <c r="K104" s="167" t="inlineStr">
        <is>
          <t>骨をはずしたもの</t>
        </is>
      </c>
      <c r="L104" s="289" t="n">
        <v>2600</v>
      </c>
      <c r="M104" s="157" t="n">
        <v>45944</v>
      </c>
      <c r="N104" s="289" t="n"/>
      <c r="O104" s="290">
        <f>IF(COUNT(商品マスタ[[#This Row],[参考上代
（税込)]]) &gt; 0, (商品マスタ[[#This Row],[参考上代
（税込)]]-商品マスタ[[#This Row],[国内定価
（15％）]])/(商品マスタ[[#This Row],[参考上代
（税込)]]/1.08), "")</f>
        <v/>
      </c>
      <c r="P104" s="136" t="n">
        <v>0.1</v>
      </c>
      <c r="Q104" s="291">
        <f>商品マスタ[[#This Row],[仕入
単価]]*商品マスタ[[#This Row],[標準国内送料率]]</f>
        <v/>
      </c>
      <c r="R104" s="289" t="n"/>
      <c r="S104" s="289">
        <f>IF(ISBLANK(商品マスタ[[#This Row],[実績
国内送料]]),商品マスタ[[#This Row],[標準国内送料]],)</f>
        <v/>
      </c>
      <c r="T104" s="289">
        <f>商品マスタ[[#This Row],[仕入
単価]]+商品マスタ[[#This Row],[国内送料]]</f>
        <v/>
      </c>
      <c r="U104" s="289">
        <f>ROUNDUP(商品マスタ[[#This Row],[仕入単価+国内送料]]/0.8,-1)</f>
        <v/>
      </c>
      <c r="V104" s="289">
        <f>商品マスタ[[#This Row],[海外定価
（20％）]]-商品マスタ[[#This Row],[仕入単価+国内送料]]</f>
        <v/>
      </c>
      <c r="W104" s="167">
        <f>ROUNDUP(商品マスタ[[#This Row],[仕入単価+国内送料]]/0.85,-1)</f>
        <v/>
      </c>
      <c r="X104" s="289">
        <f>商品マスタ[[#This Row],[国内定価
（15％）]]-商品マスタ[[#This Row],[仕入単価+国内送料]]</f>
        <v/>
      </c>
      <c r="Y104" s="139" t="n">
        <v>0.08</v>
      </c>
      <c r="Z104" s="167" t="n"/>
      <c r="AA104" s="167" t="n"/>
      <c r="AB104" s="167" t="n"/>
      <c r="AC104" s="293" t="n"/>
      <c r="AD104" s="167" t="n"/>
      <c r="AE104" s="167" t="n"/>
      <c r="AF104" s="167" t="n"/>
      <c r="AG104" s="144" t="n"/>
    </row>
    <row r="105" ht="18" customHeight="1" s="207">
      <c r="A105" s="166" t="inlineStr">
        <is>
          <t>精肉</t>
        </is>
      </c>
      <c r="B105" s="176" t="inlineStr">
        <is>
          <t>エゾシカ</t>
        </is>
      </c>
      <c r="C105" s="167" t="inlineStr">
        <is>
          <t>北海道食美樂</t>
        </is>
      </c>
      <c r="D105" s="143">
        <f>"PRD_SNJ_"&amp;
_xlfn.XLOOKUP(商品マスタ[[#This Row],[仕入先]],テーブル1[仕入先名],テーブル1[仕入先コード],"XXX",0,1)&amp;
"_"&amp;
商品マスタ[[#This Row],[シリアル]]&amp;
"_"&amp;
TEXT(COUNTIFS(商品マスタ!$C$3:C105,商品マスタ[[#This Row],[仕入先]],商品マスタ!$E$3:E105,商品マスタ[[#This Row],[商品名]]), "00")</f>
        <v/>
      </c>
      <c r="E105" s="167" t="inlineStr">
        <is>
          <t>エゾシカ　バラ</t>
        </is>
      </c>
      <c r="F105" s="167">
        <f>IF(COUNTIFS($C$3:C105,商品マスタ[[#This Row],[仕入先]],$E$3:E105,商品マスタ[[#This Row],[商品名]]) = 1, 1,0)</f>
        <v/>
      </c>
      <c r="G105" s="133">
        <f>TEXT(SUMIF($C$3:C105,商品マスタ[[#This Row],[仕入先]],$F$3:F105), "0000")</f>
        <v/>
      </c>
      <c r="H105" s="167" t="inlineStr">
        <is>
          <t>kg</t>
        </is>
      </c>
      <c r="I105" s="167" t="inlineStr">
        <is>
          <t>約1.5-2.5kg/枚</t>
        </is>
      </c>
      <c r="J105" s="167" t="inlineStr">
        <is>
          <t>1枚</t>
        </is>
      </c>
      <c r="K105" s="167" t="inlineStr">
        <is>
          <t>ブロック</t>
        </is>
      </c>
      <c r="L105" s="289" t="n">
        <v>2400</v>
      </c>
      <c r="M105" s="157" t="n">
        <v>45944</v>
      </c>
      <c r="N105" s="289" t="n"/>
      <c r="O105" s="290">
        <f>IF(COUNT(商品マスタ[[#This Row],[参考上代
（税込)]]) &gt; 0, (商品マスタ[[#This Row],[参考上代
（税込)]]-商品マスタ[[#This Row],[国内定価
（15％）]])/(商品マスタ[[#This Row],[参考上代
（税込)]]/1.08), "")</f>
        <v/>
      </c>
      <c r="P105" s="136" t="n">
        <v>0.1</v>
      </c>
      <c r="Q105" s="291">
        <f>商品マスタ[[#This Row],[仕入
単価]]*商品マスタ[[#This Row],[標準国内送料率]]</f>
        <v/>
      </c>
      <c r="R105" s="289" t="n"/>
      <c r="S105" s="289">
        <f>IF(ISBLANK(商品マスタ[[#This Row],[実績
国内送料]]),商品マスタ[[#This Row],[標準国内送料]],)</f>
        <v/>
      </c>
      <c r="T105" s="289">
        <f>商品マスタ[[#This Row],[仕入
単価]]+商品マスタ[[#This Row],[国内送料]]</f>
        <v/>
      </c>
      <c r="U105" s="289">
        <f>ROUNDUP(商品マスタ[[#This Row],[仕入単価+国内送料]]/0.8,-1)</f>
        <v/>
      </c>
      <c r="V105" s="289">
        <f>商品マスタ[[#This Row],[海外定価
（20％）]]-商品マスタ[[#This Row],[仕入単価+国内送料]]</f>
        <v/>
      </c>
      <c r="W105" s="167">
        <f>ROUNDUP(商品マスタ[[#This Row],[仕入単価+国内送料]]/0.85,-1)</f>
        <v/>
      </c>
      <c r="X105" s="289">
        <f>商品マスタ[[#This Row],[国内定価
（15％）]]-商品マスタ[[#This Row],[仕入単価+国内送料]]</f>
        <v/>
      </c>
      <c r="Y105" s="139" t="n">
        <v>0.08</v>
      </c>
      <c r="Z105" s="167" t="n"/>
      <c r="AA105" s="167" t="n"/>
      <c r="AB105" s="167" t="n"/>
      <c r="AC105" s="293" t="n"/>
      <c r="AD105" s="167" t="n"/>
      <c r="AE105" s="167" t="n"/>
      <c r="AF105" s="167" t="n"/>
      <c r="AG105" s="144" t="n"/>
    </row>
    <row r="106" ht="18" customHeight="1" s="207">
      <c r="A106" s="166" t="inlineStr">
        <is>
          <t>精肉</t>
        </is>
      </c>
      <c r="B106" s="176" t="inlineStr">
        <is>
          <t>エゾシカ</t>
        </is>
      </c>
      <c r="C106" s="167" t="inlineStr">
        <is>
          <t>北海道食美樂</t>
        </is>
      </c>
      <c r="D106" s="143">
        <f>"PRD_SNJ_"&amp;
_xlfn.XLOOKUP(商品マスタ[[#This Row],[仕入先]],テーブル1[仕入先名],テーブル1[仕入先コード],"XXX",0,1)&amp;
"_"&amp;
商品マスタ[[#This Row],[シリアル]]&amp;
"_"&amp;
TEXT(COUNTIFS(商品マスタ!$C$3:C106,商品マスタ[[#This Row],[仕入先]],商品マスタ!$E$3:E106,商品マスタ[[#This Row],[商品名]]), "00")</f>
        <v/>
      </c>
      <c r="E106" s="167" t="inlineStr">
        <is>
          <t>エゾシカ　心臓</t>
        </is>
      </c>
      <c r="F106" s="167">
        <f>IF(COUNTIFS($C$3:C106,商品マスタ[[#This Row],[仕入先]],$E$3:E106,商品マスタ[[#This Row],[商品名]]) = 1, 1,0)</f>
        <v/>
      </c>
      <c r="G106" s="133">
        <f>TEXT(SUMIF($C$3:C106,商品マスタ[[#This Row],[仕入先]],$F$3:F106), "0000")</f>
        <v/>
      </c>
      <c r="H106" s="167" t="inlineStr">
        <is>
          <t>kg</t>
        </is>
      </c>
      <c r="I106" s="167" t="inlineStr">
        <is>
          <t>約600-900g/個</t>
        </is>
      </c>
      <c r="J106" s="167" t="inlineStr">
        <is>
          <t>1個</t>
        </is>
      </c>
      <c r="K106" s="167" t="inlineStr">
        <is>
          <t>熟成なし</t>
        </is>
      </c>
      <c r="L106" s="289" t="n">
        <v>2200</v>
      </c>
      <c r="M106" s="157" t="n">
        <v>45944</v>
      </c>
      <c r="N106" s="289" t="n"/>
      <c r="O106" s="290">
        <f>IF(COUNT(商品マスタ[[#This Row],[参考上代
（税込)]]) &gt; 0, (商品マスタ[[#This Row],[参考上代
（税込)]]-商品マスタ[[#This Row],[国内定価
（15％）]])/(商品マスタ[[#This Row],[参考上代
（税込)]]/1.08), "")</f>
        <v/>
      </c>
      <c r="P106" s="136" t="n">
        <v>0.1</v>
      </c>
      <c r="Q106" s="291">
        <f>商品マスタ[[#This Row],[仕入
単価]]*商品マスタ[[#This Row],[標準国内送料率]]</f>
        <v/>
      </c>
      <c r="R106" s="289" t="n"/>
      <c r="S106" s="289">
        <f>IF(ISBLANK(商品マスタ[[#This Row],[実績
国内送料]]),商品マスタ[[#This Row],[標準国内送料]],)</f>
        <v/>
      </c>
      <c r="T106" s="289">
        <f>商品マスタ[[#This Row],[仕入
単価]]+商品マスタ[[#This Row],[国内送料]]</f>
        <v/>
      </c>
      <c r="U106" s="289">
        <f>ROUNDUP(商品マスタ[[#This Row],[仕入単価+国内送料]]/0.8,-1)</f>
        <v/>
      </c>
      <c r="V106" s="289">
        <f>商品マスタ[[#This Row],[海外定価
（20％）]]-商品マスタ[[#This Row],[仕入単価+国内送料]]</f>
        <v/>
      </c>
      <c r="W106" s="167">
        <f>ROUNDUP(商品マスタ[[#This Row],[仕入単価+国内送料]]/0.85,-1)</f>
        <v/>
      </c>
      <c r="X106" s="289">
        <f>商品マスタ[[#This Row],[国内定価
（15％）]]-商品マスタ[[#This Row],[仕入単価+国内送料]]</f>
        <v/>
      </c>
      <c r="Y106" s="139" t="n">
        <v>0.08</v>
      </c>
      <c r="Z106" s="167" t="n"/>
      <c r="AA106" s="167" t="n"/>
      <c r="AB106" s="167" t="n"/>
      <c r="AC106" s="293" t="n"/>
      <c r="AD106" s="167" t="n"/>
      <c r="AE106" s="167" t="n"/>
      <c r="AF106" s="167" t="n"/>
      <c r="AG106" s="144" t="n"/>
    </row>
    <row r="107" ht="18" customHeight="1" s="207">
      <c r="A107" s="166" t="inlineStr">
        <is>
          <t>精肉</t>
        </is>
      </c>
      <c r="B107" s="176" t="inlineStr">
        <is>
          <t>エゾシカ</t>
        </is>
      </c>
      <c r="C107" s="167" t="inlineStr">
        <is>
          <t>北海道食美樂</t>
        </is>
      </c>
      <c r="D107" s="143">
        <f>"PRD_SNJ_"&amp;
_xlfn.XLOOKUP(商品マスタ[[#This Row],[仕入先]],テーブル1[仕入先名],テーブル1[仕入先コード],"XXX",0,1)&amp;
"_"&amp;
商品マスタ[[#This Row],[シリアル]]&amp;
"_"&amp;
TEXT(COUNTIFS(商品マスタ!$C$3:C107,商品マスタ[[#This Row],[仕入先]],商品マスタ!$E$3:E107,商品マスタ[[#This Row],[商品名]]), "00")</f>
        <v/>
      </c>
      <c r="E107" s="167" t="inlineStr">
        <is>
          <t>エゾシカ　タン</t>
        </is>
      </c>
      <c r="F107" s="167">
        <f>IF(COUNTIFS($C$3:C107,商品マスタ[[#This Row],[仕入先]],$E$3:E107,商品マスタ[[#This Row],[商品名]]) = 1, 1,0)</f>
        <v/>
      </c>
      <c r="G107" s="133">
        <f>TEXT(SUMIF($C$3:C107,商品マスタ[[#This Row],[仕入先]],$F$3:F107), "0000")</f>
        <v/>
      </c>
      <c r="H107" s="167" t="inlineStr">
        <is>
          <t>kg</t>
        </is>
      </c>
      <c r="I107" s="167" t="inlineStr">
        <is>
          <t>量売</t>
        </is>
      </c>
      <c r="J107" s="167" t="inlineStr">
        <is>
          <t>受注生産</t>
        </is>
      </c>
      <c r="K107" s="167" t="inlineStr">
        <is>
          <t>熟成なし・受注後お取り置き</t>
        </is>
      </c>
      <c r="L107" s="289" t="n">
        <v>2900</v>
      </c>
      <c r="M107" s="157" t="n">
        <v>45944</v>
      </c>
      <c r="N107" s="289" t="n"/>
      <c r="O107" s="290">
        <f>IF(COUNT(商品マスタ[[#This Row],[参考上代
（税込)]]) &gt; 0, (商品マスタ[[#This Row],[参考上代
（税込)]]-商品マスタ[[#This Row],[国内定価
（15％）]])/(商品マスタ[[#This Row],[参考上代
（税込)]]/1.08), "")</f>
        <v/>
      </c>
      <c r="P107" s="136" t="n">
        <v>0.1</v>
      </c>
      <c r="Q107" s="291">
        <f>商品マスタ[[#This Row],[仕入
単価]]*商品マスタ[[#This Row],[標準国内送料率]]</f>
        <v/>
      </c>
      <c r="R107" s="289" t="n"/>
      <c r="S107" s="289">
        <f>IF(ISBLANK(商品マスタ[[#This Row],[実績
国内送料]]),商品マスタ[[#This Row],[標準国内送料]],)</f>
        <v/>
      </c>
      <c r="T107" s="289">
        <f>商品マスタ[[#This Row],[仕入
単価]]+商品マスタ[[#This Row],[国内送料]]</f>
        <v/>
      </c>
      <c r="U107" s="289">
        <f>ROUNDUP(商品マスタ[[#This Row],[仕入単価+国内送料]]/0.8,-1)</f>
        <v/>
      </c>
      <c r="V107" s="289">
        <f>商品マスタ[[#This Row],[海外定価
（20％）]]-商品マスタ[[#This Row],[仕入単価+国内送料]]</f>
        <v/>
      </c>
      <c r="W107" s="167">
        <f>ROUNDUP(商品マスタ[[#This Row],[仕入単価+国内送料]]/0.85,-1)</f>
        <v/>
      </c>
      <c r="X107" s="289">
        <f>商品マスタ[[#This Row],[国内定価
（15％）]]-商品マスタ[[#This Row],[仕入単価+国内送料]]</f>
        <v/>
      </c>
      <c r="Y107" s="139" t="n">
        <v>0.08</v>
      </c>
      <c r="Z107" s="167" t="n"/>
      <c r="AA107" s="167" t="n"/>
      <c r="AB107" s="167" t="n"/>
      <c r="AC107" s="293" t="n"/>
      <c r="AD107" s="167" t="n"/>
      <c r="AE107" s="167" t="n"/>
      <c r="AF107" s="167" t="n"/>
      <c r="AG107" s="144" t="n"/>
    </row>
    <row r="108" ht="18" customHeight="1" s="207">
      <c r="A108" s="166" t="inlineStr">
        <is>
          <t>精肉</t>
        </is>
      </c>
      <c r="B108" s="176" t="inlineStr">
        <is>
          <t>エゾシカ</t>
        </is>
      </c>
      <c r="C108" s="167" t="inlineStr">
        <is>
          <t>北海道食美樂</t>
        </is>
      </c>
      <c r="D108" s="143">
        <f>"PRD_SNJ_"&amp;
_xlfn.XLOOKUP(商品マスタ[[#This Row],[仕入先]],テーブル1[仕入先名],テーブル1[仕入先コード],"XXX",0,1)&amp;
"_"&amp;
商品マスタ[[#This Row],[シリアル]]&amp;
"_"&amp;
TEXT(COUNTIFS(商品マスタ!$C$3:C108,商品マスタ[[#This Row],[仕入先]],商品マスタ!$E$3:E108,商品マスタ[[#This Row],[商品名]]), "00")</f>
        <v/>
      </c>
      <c r="E108" s="167" t="inlineStr">
        <is>
          <t>エゾシカ　ミンチ</t>
        </is>
      </c>
      <c r="F108" s="167">
        <f>IF(COUNTIFS($C$3:C108,商品マスタ[[#This Row],[仕入先]],$E$3:E108,商品マスタ[[#This Row],[商品名]]) = 1, 1,0)</f>
        <v/>
      </c>
      <c r="G108" s="133">
        <f>TEXT(SUMIF($C$3:C108,商品マスタ[[#This Row],[仕入先]],$F$3:F108), "0000")</f>
        <v/>
      </c>
      <c r="H108" s="167" t="inlineStr">
        <is>
          <t>kg</t>
        </is>
      </c>
      <c r="I108" s="167" t="inlineStr">
        <is>
          <t>1kg/袋</t>
        </is>
      </c>
      <c r="J108" s="167" t="inlineStr">
        <is>
          <t>1袋</t>
        </is>
      </c>
      <c r="K108" s="167" t="inlineStr">
        <is>
          <t>1kg定貫</t>
        </is>
      </c>
      <c r="L108" s="289" t="n">
        <v>1880</v>
      </c>
      <c r="M108" s="157" t="n">
        <v>45944</v>
      </c>
      <c r="N108" s="289" t="n"/>
      <c r="O108" s="290">
        <f>IF(COUNT(商品マスタ[[#This Row],[参考上代
（税込)]]) &gt; 0, (商品マスタ[[#This Row],[参考上代
（税込)]]-商品マスタ[[#This Row],[国内定価
（15％）]])/(商品マスタ[[#This Row],[参考上代
（税込)]]/1.08), "")</f>
        <v/>
      </c>
      <c r="P108" s="136" t="n">
        <v>0.1</v>
      </c>
      <c r="Q108" s="291">
        <f>商品マスタ[[#This Row],[仕入
単価]]*商品マスタ[[#This Row],[標準国内送料率]]</f>
        <v/>
      </c>
      <c r="R108" s="289" t="n"/>
      <c r="S108" s="289">
        <f>IF(ISBLANK(商品マスタ[[#This Row],[実績
国内送料]]),商品マスタ[[#This Row],[標準国内送料]],)</f>
        <v/>
      </c>
      <c r="T108" s="289">
        <f>商品マスタ[[#This Row],[仕入
単価]]+商品マスタ[[#This Row],[国内送料]]</f>
        <v/>
      </c>
      <c r="U108" s="289">
        <f>ROUNDUP(商品マスタ[[#This Row],[仕入単価+国内送料]]/0.8,-1)</f>
        <v/>
      </c>
      <c r="V108" s="289">
        <f>商品マスタ[[#This Row],[海外定価
（20％）]]-商品マスタ[[#This Row],[仕入単価+国内送料]]</f>
        <v/>
      </c>
      <c r="W108" s="167">
        <f>ROUNDUP(商品マスタ[[#This Row],[仕入単価+国内送料]]/0.85,-1)</f>
        <v/>
      </c>
      <c r="X108" s="289">
        <f>商品マスタ[[#This Row],[国内定価
（15％）]]-商品マスタ[[#This Row],[仕入単価+国内送料]]</f>
        <v/>
      </c>
      <c r="Y108" s="139" t="n">
        <v>0.08</v>
      </c>
      <c r="Z108" s="167" t="n"/>
      <c r="AA108" s="167" t="n"/>
      <c r="AB108" s="167" t="n"/>
      <c r="AC108" s="293" t="n"/>
      <c r="AD108" s="167" t="n"/>
      <c r="AE108" s="167" t="n"/>
      <c r="AF108" s="167" t="n"/>
      <c r="AG108" s="144" t="n"/>
    </row>
    <row r="109" ht="18" customHeight="1" s="207">
      <c r="A109" s="166" t="inlineStr">
        <is>
          <t>精肉</t>
        </is>
      </c>
      <c r="B109" s="176" t="inlineStr">
        <is>
          <t>エゾシカ</t>
        </is>
      </c>
      <c r="C109" s="167" t="inlineStr">
        <is>
          <t>北海道食美樂</t>
        </is>
      </c>
      <c r="D109" s="143">
        <f>"PRD_SNJ_"&amp;
_xlfn.XLOOKUP(商品マスタ[[#This Row],[仕入先]],テーブル1[仕入先名],テーブル1[仕入先コード],"XXX",0,1)&amp;
"_"&amp;
商品マスタ[[#This Row],[シリアル]]&amp;
"_"&amp;
TEXT(COUNTIFS(商品マスタ!$C$3:C109,商品マスタ[[#This Row],[仕入先]],商品マスタ!$E$3:E109,商品マスタ[[#This Row],[商品名]]), "00")</f>
        <v/>
      </c>
      <c r="E109" s="167" t="inlineStr">
        <is>
          <t>エゾシカ　トモ足1本売り</t>
        </is>
      </c>
      <c r="F109" s="167">
        <f>IF(COUNTIFS($C$3:C109,商品マスタ[[#This Row],[仕入先]],$E$3:E109,商品マスタ[[#This Row],[商品名]]) = 1, 1,0)</f>
        <v/>
      </c>
      <c r="G109" s="133">
        <f>TEXT(SUMIF($C$3:C109,商品マスタ[[#This Row],[仕入先]],$F$3:F109), "0000")</f>
        <v/>
      </c>
      <c r="H109" s="167" t="inlineStr">
        <is>
          <t>kg</t>
        </is>
      </c>
      <c r="I109" s="167" t="inlineStr">
        <is>
          <t>約5-8kg/本</t>
        </is>
      </c>
      <c r="J109" s="167" t="inlineStr">
        <is>
          <t>1本</t>
        </is>
      </c>
      <c r="K109" s="167" t="inlineStr">
        <is>
          <t>骨付き</t>
        </is>
      </c>
      <c r="L109" s="289" t="n">
        <v>2750</v>
      </c>
      <c r="M109" s="157" t="n">
        <v>45944</v>
      </c>
      <c r="N109" s="289" t="n"/>
      <c r="O109" s="290">
        <f>IF(COUNT(商品マスタ[[#This Row],[参考上代
（税込)]]) &gt; 0, (商品マスタ[[#This Row],[参考上代
（税込)]]-商品マスタ[[#This Row],[国内定価
（15％）]])/(商品マスタ[[#This Row],[参考上代
（税込)]]/1.08), "")</f>
        <v/>
      </c>
      <c r="P109" s="136" t="n">
        <v>0.1</v>
      </c>
      <c r="Q109" s="291">
        <f>商品マスタ[[#This Row],[仕入
単価]]*商品マスタ[[#This Row],[標準国内送料率]]</f>
        <v/>
      </c>
      <c r="R109" s="289" t="n"/>
      <c r="S109" s="289">
        <f>IF(ISBLANK(商品マスタ[[#This Row],[実績
国内送料]]),商品マスタ[[#This Row],[標準国内送料]],)</f>
        <v/>
      </c>
      <c r="T109" s="289">
        <f>商品マスタ[[#This Row],[仕入
単価]]+商品マスタ[[#This Row],[国内送料]]</f>
        <v/>
      </c>
      <c r="U109" s="289">
        <f>ROUNDUP(商品マスタ[[#This Row],[仕入単価+国内送料]]/0.8,-1)</f>
        <v/>
      </c>
      <c r="V109" s="289">
        <f>商品マスタ[[#This Row],[海外定価
（20％）]]-商品マスタ[[#This Row],[仕入単価+国内送料]]</f>
        <v/>
      </c>
      <c r="W109" s="167">
        <f>ROUNDUP(商品マスタ[[#This Row],[仕入単価+国内送料]]/0.85,-1)</f>
        <v/>
      </c>
      <c r="X109" s="289">
        <f>商品マスタ[[#This Row],[国内定価
（15％）]]-商品マスタ[[#This Row],[仕入単価+国内送料]]</f>
        <v/>
      </c>
      <c r="Y109" s="139" t="n">
        <v>0.08</v>
      </c>
      <c r="Z109" s="167" t="n"/>
      <c r="AA109" s="167" t="n"/>
      <c r="AB109" s="167" t="n"/>
      <c r="AC109" s="293" t="n"/>
      <c r="AD109" s="167" t="n"/>
      <c r="AE109" s="167" t="n"/>
      <c r="AF109" s="167" t="n"/>
      <c r="AG109" s="144" t="n"/>
    </row>
    <row r="110" ht="18" customHeight="1" s="207">
      <c r="A110" s="166" t="inlineStr">
        <is>
          <t>精肉</t>
        </is>
      </c>
      <c r="B110" s="176" t="inlineStr">
        <is>
          <t>エゾシカ</t>
        </is>
      </c>
      <c r="C110" s="167" t="inlineStr">
        <is>
          <t>北海道食美樂</t>
        </is>
      </c>
      <c r="D110" s="143">
        <f>"PRD_SNJ_"&amp;
_xlfn.XLOOKUP(商品マスタ[[#This Row],[仕入先]],テーブル1[仕入先名],テーブル1[仕入先コード],"XXX",0,1)&amp;
"_"&amp;
商品マスタ[[#This Row],[シリアル]]&amp;
"_"&amp;
TEXT(COUNTIFS(商品マスタ!$C$3:C110,商品マスタ[[#This Row],[仕入先]],商品マスタ!$E$3:E110,商品マスタ[[#This Row],[商品名]]), "00")</f>
        <v/>
      </c>
      <c r="E110" s="167" t="inlineStr">
        <is>
          <t>エゾシカ　背割半身</t>
        </is>
      </c>
      <c r="F110" s="167">
        <f>IF(COUNTIFS($C$3:C110,商品マスタ[[#This Row],[仕入先]],$E$3:E110,商品マスタ[[#This Row],[商品名]]) = 1, 1,0)</f>
        <v/>
      </c>
      <c r="G110" s="133">
        <f>TEXT(SUMIF($C$3:C110,商品マスタ[[#This Row],[仕入先]],$F$3:F110), "0000")</f>
        <v/>
      </c>
      <c r="H110" s="167" t="inlineStr">
        <is>
          <t>kg</t>
        </is>
      </c>
      <c r="I110" s="167" t="inlineStr">
        <is>
          <t>約20kg/セット</t>
        </is>
      </c>
      <c r="J110" s="167" t="inlineStr">
        <is>
          <t>1セット</t>
        </is>
      </c>
      <c r="K110" s="167" t="inlineStr">
        <is>
          <t>背割半身</t>
        </is>
      </c>
      <c r="L110" s="289" t="n">
        <v>2000</v>
      </c>
      <c r="M110" s="157" t="n">
        <v>45944</v>
      </c>
      <c r="N110" s="289" t="n"/>
      <c r="O110" s="290">
        <f>IF(COUNT(商品マスタ[[#This Row],[参考上代
（税込)]]) &gt; 0, (商品マスタ[[#This Row],[参考上代
（税込)]]-商品マスタ[[#This Row],[国内定価
（15％）]])/(商品マスタ[[#This Row],[参考上代
（税込)]]/1.08), "")</f>
        <v/>
      </c>
      <c r="P110" s="136" t="n">
        <v>0.1</v>
      </c>
      <c r="Q110" s="291">
        <f>商品マスタ[[#This Row],[仕入
単価]]*商品マスタ[[#This Row],[標準国内送料率]]</f>
        <v/>
      </c>
      <c r="R110" s="289" t="n"/>
      <c r="S110" s="289">
        <f>IF(ISBLANK(商品マスタ[[#This Row],[実績
国内送料]]),商品マスタ[[#This Row],[標準国内送料]],)</f>
        <v/>
      </c>
      <c r="T110" s="289">
        <f>商品マスタ[[#This Row],[仕入
単価]]+商品マスタ[[#This Row],[国内送料]]</f>
        <v/>
      </c>
      <c r="U110" s="289">
        <f>ROUNDUP(商品マスタ[[#This Row],[仕入単価+国内送料]]/0.8,-1)</f>
        <v/>
      </c>
      <c r="V110" s="289">
        <f>商品マスタ[[#This Row],[海外定価
（20％）]]-商品マスタ[[#This Row],[仕入単価+国内送料]]</f>
        <v/>
      </c>
      <c r="W110" s="167">
        <f>ROUNDUP(商品マスタ[[#This Row],[仕入単価+国内送料]]/0.85,-1)</f>
        <v/>
      </c>
      <c r="X110" s="289">
        <f>商品マスタ[[#This Row],[国内定価
（15％）]]-商品マスタ[[#This Row],[仕入単価+国内送料]]</f>
        <v/>
      </c>
      <c r="Y110" s="139" t="n">
        <v>0.08</v>
      </c>
      <c r="Z110" s="167" t="n"/>
      <c r="AA110" s="167" t="n"/>
      <c r="AB110" s="167" t="n"/>
      <c r="AC110" s="293" t="n"/>
      <c r="AD110" s="167" t="n"/>
      <c r="AE110" s="167" t="n"/>
      <c r="AF110" s="167" t="n"/>
      <c r="AG110" s="144" t="n"/>
    </row>
    <row r="111" ht="18" customHeight="1" s="207">
      <c r="A111" s="166" t="inlineStr">
        <is>
          <t>精肉</t>
        </is>
      </c>
      <c r="B111" s="176" t="inlineStr">
        <is>
          <t>エゾシカ</t>
        </is>
      </c>
      <c r="C111" s="167" t="inlineStr">
        <is>
          <t>北海道食美樂</t>
        </is>
      </c>
      <c r="D111" s="143">
        <f>"PRD_SNJ_"&amp;
_xlfn.XLOOKUP(商品マスタ[[#This Row],[仕入先]],テーブル1[仕入先名],テーブル1[仕入先コード],"XXX",0,1)&amp;
"_"&amp;
商品マスタ[[#This Row],[シリアル]]&amp;
"_"&amp;
TEXT(COUNTIFS(商品マスタ!$C$3:C111,商品マスタ[[#This Row],[仕入先]],商品マスタ!$E$3:E111,商品マスタ[[#This Row],[商品名]]), "00")</f>
        <v/>
      </c>
      <c r="E111" s="167" t="inlineStr">
        <is>
          <t>エゾシカ　一頭売り</t>
        </is>
      </c>
      <c r="F111" s="167">
        <f>IF(COUNTIFS($C$3:C111,商品マスタ[[#This Row],[仕入先]],$E$3:E111,商品マスタ[[#This Row],[商品名]]) = 1, 1,0)</f>
        <v/>
      </c>
      <c r="G111" s="133">
        <f>TEXT(SUMIF($C$3:C111,商品マスタ[[#This Row],[仕入先]],$F$3:F111), "0000")</f>
        <v/>
      </c>
      <c r="H111" s="167" t="inlineStr">
        <is>
          <t>kg</t>
        </is>
      </c>
      <c r="I111" s="167" t="inlineStr">
        <is>
          <t>約40kg/頭</t>
        </is>
      </c>
      <c r="J111" s="167" t="inlineStr">
        <is>
          <t>1頭</t>
        </is>
      </c>
      <c r="K111" s="167" t="inlineStr">
        <is>
          <t>一頭</t>
        </is>
      </c>
      <c r="L111" s="289" t="n">
        <v>1800</v>
      </c>
      <c r="M111" s="157" t="n">
        <v>45944</v>
      </c>
      <c r="N111" s="289" t="n"/>
      <c r="O111" s="290">
        <f>IF(COUNT(商品マスタ[[#This Row],[参考上代
（税込)]]) &gt; 0, (商品マスタ[[#This Row],[参考上代
（税込)]]-商品マスタ[[#This Row],[国内定価
（15％）]])/(商品マスタ[[#This Row],[参考上代
（税込)]]/1.08), "")</f>
        <v/>
      </c>
      <c r="P111" s="136" t="n">
        <v>0.1</v>
      </c>
      <c r="Q111" s="291">
        <f>商品マスタ[[#This Row],[仕入
単価]]*商品マスタ[[#This Row],[標準国内送料率]]</f>
        <v/>
      </c>
      <c r="R111" s="289" t="n"/>
      <c r="S111" s="289">
        <f>IF(ISBLANK(商品マスタ[[#This Row],[実績
国内送料]]),商品マスタ[[#This Row],[標準国内送料]],)</f>
        <v/>
      </c>
      <c r="T111" s="289">
        <f>商品マスタ[[#This Row],[仕入
単価]]+商品マスタ[[#This Row],[国内送料]]</f>
        <v/>
      </c>
      <c r="U111" s="289">
        <f>ROUNDUP(商品マスタ[[#This Row],[仕入単価+国内送料]]/0.8,-1)</f>
        <v/>
      </c>
      <c r="V111" s="289">
        <f>商品マスタ[[#This Row],[海外定価
（20％）]]-商品マスタ[[#This Row],[仕入単価+国内送料]]</f>
        <v/>
      </c>
      <c r="W111" s="167">
        <f>ROUNDUP(商品マスタ[[#This Row],[仕入単価+国内送料]]/0.85,-1)</f>
        <v/>
      </c>
      <c r="X111" s="289">
        <f>商品マスタ[[#This Row],[国内定価
（15％）]]-商品マスタ[[#This Row],[仕入単価+国内送料]]</f>
        <v/>
      </c>
      <c r="Y111" s="139" t="n">
        <v>0.08</v>
      </c>
      <c r="Z111" s="167" t="n"/>
      <c r="AA111" s="167" t="n"/>
      <c r="AB111" s="167" t="n"/>
      <c r="AC111" s="293" t="n"/>
      <c r="AD111" s="167" t="n"/>
      <c r="AE111" s="167" t="n"/>
      <c r="AF111" s="167" t="n"/>
      <c r="AG111" s="144" t="n"/>
    </row>
    <row r="112" ht="18" customHeight="1" s="207">
      <c r="A112" s="166" t="inlineStr">
        <is>
          <t>精肉</t>
        </is>
      </c>
      <c r="B112" s="176" t="inlineStr">
        <is>
          <t>エゾシカ</t>
        </is>
      </c>
      <c r="C112" s="167" t="inlineStr">
        <is>
          <t>北海道エゾシカファクトリー</t>
        </is>
      </c>
      <c r="D112" s="143">
        <f>"PRD_SNJ_"&amp;
_xlfn.XLOOKUP(商品マスタ[[#This Row],[仕入先]],テーブル1[仕入先名],テーブル1[仕入先コード],"XXX",0,1)&amp;
"_"&amp;
商品マスタ[[#This Row],[シリアル]]&amp;
"_"&amp;
TEXT(COUNTIFS(商品マスタ!$C$3:C112,商品マスタ[[#This Row],[仕入先]],商品マスタ!$E$3:E112,商品マスタ[[#This Row],[商品名]]), "00")</f>
        <v/>
      </c>
      <c r="E112" s="167" t="inlineStr">
        <is>
          <t>エゾシカ　ロース肉</t>
        </is>
      </c>
      <c r="F112" s="167">
        <f>IF(COUNTIFS($C$3:C112,商品マスタ[[#This Row],[仕入先]],$E$3:E112,商品マスタ[[#This Row],[商品名]]) = 1, 1,0)</f>
        <v/>
      </c>
      <c r="G112" s="133">
        <f>TEXT(SUMIF($C$3:C112,商品マスタ[[#This Row],[仕入先]],$F$3:F112), "0000")</f>
        <v/>
      </c>
      <c r="H112" s="167" t="inlineStr">
        <is>
          <t>kg</t>
        </is>
      </c>
      <c r="I112" s="167" t="inlineStr">
        <is>
          <t>量売/本</t>
        </is>
      </c>
      <c r="J112" s="167" t="inlineStr">
        <is>
          <t>1本</t>
        </is>
      </c>
      <c r="K112" s="167" t="inlineStr">
        <is>
          <t>ブロック</t>
        </is>
      </c>
      <c r="L112" s="289" t="n">
        <v>3000</v>
      </c>
      <c r="M112" s="157" t="n">
        <v>45951</v>
      </c>
      <c r="N112" s="289" t="n"/>
      <c r="O112" s="290">
        <f>IF(COUNT(商品マスタ[[#This Row],[参考上代
（税込)]]) &gt; 0, (商品マスタ[[#This Row],[参考上代
（税込)]]-商品マスタ[[#This Row],[国内定価
（15％）]])/(商品マスタ[[#This Row],[参考上代
（税込)]]/1.08), "")</f>
        <v/>
      </c>
      <c r="P112" s="136" t="n">
        <v>0.1</v>
      </c>
      <c r="Q112" s="291">
        <f>商品マスタ[[#This Row],[仕入
単価]]*商品マスタ[[#This Row],[標準国内送料率]]</f>
        <v/>
      </c>
      <c r="R112" s="289" t="n"/>
      <c r="S112" s="289">
        <f>IF(ISBLANK(商品マスタ[[#This Row],[実績
国内送料]]),商品マスタ[[#This Row],[標準国内送料]],)</f>
        <v/>
      </c>
      <c r="T112" s="289">
        <f>商品マスタ[[#This Row],[仕入
単価]]+商品マスタ[[#This Row],[国内送料]]</f>
        <v/>
      </c>
      <c r="U112" s="289">
        <f>ROUNDUP(商品マスタ[[#This Row],[仕入単価+国内送料]]/0.8,-1)</f>
        <v/>
      </c>
      <c r="V112" s="289">
        <f>商品マスタ[[#This Row],[海外定価
（20％）]]-商品マスタ[[#This Row],[仕入単価+国内送料]]</f>
        <v/>
      </c>
      <c r="W112" s="167">
        <f>ROUNDUP(商品マスタ[[#This Row],[仕入単価+国内送料]]/0.85,-1)</f>
        <v/>
      </c>
      <c r="X112" s="289">
        <f>商品マスタ[[#This Row],[国内定価
（15％）]]-商品マスタ[[#This Row],[仕入単価+国内送料]]</f>
        <v/>
      </c>
      <c r="Y112" s="139" t="n">
        <v>0.08</v>
      </c>
      <c r="Z112" s="167" t="n"/>
      <c r="AA112" s="167" t="n"/>
      <c r="AB112" s="167" t="n"/>
      <c r="AC112" s="293" t="n"/>
      <c r="AD112" s="167" t="n"/>
      <c r="AE112" s="167" t="n"/>
      <c r="AF112" s="167" t="n"/>
      <c r="AG112" s="144" t="n"/>
    </row>
    <row r="113" ht="18" customHeight="1" s="207">
      <c r="A113" s="166" t="inlineStr">
        <is>
          <t>精肉</t>
        </is>
      </c>
      <c r="B113" s="176" t="inlineStr">
        <is>
          <t>エゾシカ</t>
        </is>
      </c>
      <c r="C113" s="167" t="inlineStr">
        <is>
          <t>北海道エゾシカファクトリー</t>
        </is>
      </c>
      <c r="D113" s="143">
        <f>"PRD_SNJ_"&amp;
_xlfn.XLOOKUP(商品マスタ[[#This Row],[仕入先]],テーブル1[仕入先名],テーブル1[仕入先コード],"XXX",0,1)&amp;
"_"&amp;
商品マスタ[[#This Row],[シリアル]]&amp;
"_"&amp;
TEXT(COUNTIFS(商品マスタ!$C$3:C113,商品マスタ[[#This Row],[仕入先]],商品マスタ!$E$3:E113,商品マスタ[[#This Row],[商品名]]), "00")</f>
        <v/>
      </c>
      <c r="E113" s="167" t="inlineStr">
        <is>
          <t>エゾシカ　もも肉ブロック</t>
        </is>
      </c>
      <c r="F113" s="167">
        <f>IF(COUNTIFS($C$3:C113,商品マスタ[[#This Row],[仕入先]],$E$3:E113,商品マスタ[[#This Row],[商品名]]) = 1, 1,0)</f>
        <v/>
      </c>
      <c r="G113" s="133">
        <f>TEXT(SUMIF($C$3:C113,商品マスタ[[#This Row],[仕入先]],$F$3:F113), "0000")</f>
        <v/>
      </c>
      <c r="H113" s="167" t="inlineStr">
        <is>
          <t>kg</t>
        </is>
      </c>
      <c r="I113" s="167" t="inlineStr">
        <is>
          <t>量売/個</t>
        </is>
      </c>
      <c r="J113" s="167" t="inlineStr">
        <is>
          <t>1個</t>
        </is>
      </c>
      <c r="K113" s="167" t="inlineStr">
        <is>
          <t>外もも・内もも・芯玉含む</t>
        </is>
      </c>
      <c r="L113" s="289" t="n">
        <v>1800</v>
      </c>
      <c r="M113" s="157" t="n">
        <v>45951</v>
      </c>
      <c r="N113" s="289" t="n"/>
      <c r="O113" s="290">
        <f>IF(COUNT(商品マスタ[[#This Row],[参考上代
（税込)]]) &gt; 0, (商品マスタ[[#This Row],[参考上代
（税込)]]-商品マスタ[[#This Row],[国内定価
（15％）]])/(商品マスタ[[#This Row],[参考上代
（税込)]]/1.08), "")</f>
        <v/>
      </c>
      <c r="P113" s="136" t="n">
        <v>0.1</v>
      </c>
      <c r="Q113" s="291">
        <f>商品マスタ[[#This Row],[仕入
単価]]*商品マスタ[[#This Row],[標準国内送料率]]</f>
        <v/>
      </c>
      <c r="R113" s="289" t="n"/>
      <c r="S113" s="289">
        <f>IF(ISBLANK(商品マスタ[[#This Row],[実績
国内送料]]),商品マスタ[[#This Row],[標準国内送料]],)</f>
        <v/>
      </c>
      <c r="T113" s="289">
        <f>商品マスタ[[#This Row],[仕入
単価]]+商品マスタ[[#This Row],[国内送料]]</f>
        <v/>
      </c>
      <c r="U113" s="289">
        <f>ROUNDUP(商品マスタ[[#This Row],[仕入単価+国内送料]]/0.8,-1)</f>
        <v/>
      </c>
      <c r="V113" s="289">
        <f>商品マスタ[[#This Row],[海外定価
（20％）]]-商品マスタ[[#This Row],[仕入単価+国内送料]]</f>
        <v/>
      </c>
      <c r="W113" s="167">
        <f>ROUNDUP(商品マスタ[[#This Row],[仕入単価+国内送料]]/0.85,-1)</f>
        <v/>
      </c>
      <c r="X113" s="289">
        <f>商品マスタ[[#This Row],[国内定価
（15％）]]-商品マスタ[[#This Row],[仕入単価+国内送料]]</f>
        <v/>
      </c>
      <c r="Y113" s="139" t="n">
        <v>0.08</v>
      </c>
      <c r="Z113" s="167" t="n"/>
      <c r="AA113" s="167" t="n"/>
      <c r="AB113" s="167" t="n"/>
      <c r="AC113" s="293" t="n"/>
      <c r="AD113" s="167" t="n"/>
      <c r="AE113" s="167" t="n"/>
      <c r="AF113" s="167" t="n"/>
      <c r="AG113" s="144" t="n"/>
    </row>
    <row r="114" ht="18" customHeight="1" s="207">
      <c r="A114" s="166" t="inlineStr">
        <is>
          <t>精肉</t>
        </is>
      </c>
      <c r="B114" s="176" t="inlineStr">
        <is>
          <t>エゾシカ</t>
        </is>
      </c>
      <c r="C114" s="167" t="inlineStr">
        <is>
          <t>北海道エゾシカファクトリー</t>
        </is>
      </c>
      <c r="D114" s="143">
        <f>"PRD_SNJ_"&amp;
_xlfn.XLOOKUP(商品マスタ[[#This Row],[仕入先]],テーブル1[仕入先名],テーブル1[仕入先コード],"XXX",0,1)&amp;
"_"&amp;
商品マスタ[[#This Row],[シリアル]]&amp;
"_"&amp;
TEXT(COUNTIFS(商品マスタ!$C$3:C114,商品マスタ[[#This Row],[仕入先]],商品マスタ!$E$3:E114,商品マスタ[[#This Row],[商品名]]), "00")</f>
        <v/>
      </c>
      <c r="E114" s="167" t="inlineStr">
        <is>
          <t>エゾシカ　ヒレ肉</t>
        </is>
      </c>
      <c r="F114" s="167">
        <f>IF(COUNTIFS($C$3:C114,商品マスタ[[#This Row],[仕入先]],$E$3:E114,商品マスタ[[#This Row],[商品名]]) = 1, 1,0)</f>
        <v/>
      </c>
      <c r="G114" s="133">
        <f>TEXT(SUMIF($C$3:C114,商品マスタ[[#This Row],[仕入先]],$F$3:F114), "0000")</f>
        <v/>
      </c>
      <c r="H114" s="167" t="inlineStr">
        <is>
          <t>kg</t>
        </is>
      </c>
      <c r="I114" s="167" t="inlineStr">
        <is>
          <t>量売/本</t>
        </is>
      </c>
      <c r="J114" s="167" t="inlineStr">
        <is>
          <t>1本</t>
        </is>
      </c>
      <c r="K114" s="167" t="inlineStr">
        <is>
          <t>ブロック</t>
        </is>
      </c>
      <c r="L114" s="289" t="n">
        <v>4800</v>
      </c>
      <c r="M114" s="157" t="n">
        <v>45951</v>
      </c>
      <c r="N114" s="289" t="n"/>
      <c r="O114" s="290">
        <f>IF(COUNT(商品マスタ[[#This Row],[参考上代
（税込)]]) &gt; 0, (商品マスタ[[#This Row],[参考上代
（税込)]]-商品マスタ[[#This Row],[国内定価
（15％）]])/(商品マスタ[[#This Row],[参考上代
（税込)]]/1.08), "")</f>
        <v/>
      </c>
      <c r="P114" s="136" t="n">
        <v>0.1</v>
      </c>
      <c r="Q114" s="291">
        <f>商品マスタ[[#This Row],[仕入
単価]]*商品マスタ[[#This Row],[標準国内送料率]]</f>
        <v/>
      </c>
      <c r="R114" s="289" t="n"/>
      <c r="S114" s="289">
        <f>IF(ISBLANK(商品マスタ[[#This Row],[実績
国内送料]]),商品マスタ[[#This Row],[標準国内送料]],)</f>
        <v/>
      </c>
      <c r="T114" s="289">
        <f>商品マスタ[[#This Row],[仕入
単価]]+商品マスタ[[#This Row],[国内送料]]</f>
        <v/>
      </c>
      <c r="U114" s="289">
        <f>ROUNDUP(商品マスタ[[#This Row],[仕入単価+国内送料]]/0.8,-1)</f>
        <v/>
      </c>
      <c r="V114" s="289">
        <f>商品マスタ[[#This Row],[海外定価
（20％）]]-商品マスタ[[#This Row],[仕入単価+国内送料]]</f>
        <v/>
      </c>
      <c r="W114" s="167">
        <f>ROUNDUP(商品マスタ[[#This Row],[仕入単価+国内送料]]/0.85,-1)</f>
        <v/>
      </c>
      <c r="X114" s="289">
        <f>商品マスタ[[#This Row],[国内定価
（15％）]]-商品マスタ[[#This Row],[仕入単価+国内送料]]</f>
        <v/>
      </c>
      <c r="Y114" s="139" t="n">
        <v>0.08</v>
      </c>
      <c r="Z114" s="167" t="n"/>
      <c r="AA114" s="167" t="n"/>
      <c r="AB114" s="167" t="n"/>
      <c r="AC114" s="293" t="n"/>
      <c r="AD114" s="167" t="n"/>
      <c r="AE114" s="167" t="n"/>
      <c r="AF114" s="167" t="n"/>
      <c r="AG114" s="144" t="n"/>
    </row>
    <row r="115" ht="18" customHeight="1" s="207">
      <c r="A115" s="166" t="inlineStr">
        <is>
          <t>精肉</t>
        </is>
      </c>
      <c r="B115" s="176" t="inlineStr">
        <is>
          <t>エゾシカ</t>
        </is>
      </c>
      <c r="C115" s="167" t="inlineStr">
        <is>
          <t>北海道エゾシカファクトリー</t>
        </is>
      </c>
      <c r="D115" s="143">
        <f>"PRD_SNJ_"&amp;
_xlfn.XLOOKUP(商品マスタ[[#This Row],[仕入先]],テーブル1[仕入先名],テーブル1[仕入先コード],"XXX",0,1)&amp;
"_"&amp;
商品マスタ[[#This Row],[シリアル]]&amp;
"_"&amp;
TEXT(COUNTIFS(商品マスタ!$C$3:C115,商品マスタ[[#This Row],[仕入先]],商品マスタ!$E$3:E115,商品マスタ[[#This Row],[商品名]]), "00")</f>
        <v/>
      </c>
      <c r="E115" s="167" t="inlineStr">
        <is>
          <t>エゾシカ　ひき肉</t>
        </is>
      </c>
      <c r="F115" s="167">
        <f>IF(COUNTIFS($C$3:C115,商品マスタ[[#This Row],[仕入先]],$E$3:E115,商品マスタ[[#This Row],[商品名]]) = 1, 1,0)</f>
        <v/>
      </c>
      <c r="G115" s="133">
        <f>TEXT(SUMIF($C$3:C115,商品マスタ[[#This Row],[仕入先]],$F$3:F115), "0000")</f>
        <v/>
      </c>
      <c r="H115" s="167" t="inlineStr">
        <is>
          <t>kg</t>
        </is>
      </c>
      <c r="I115" s="167" t="inlineStr">
        <is>
          <t>1kg/袋</t>
        </is>
      </c>
      <c r="J115" s="167" t="inlineStr">
        <is>
          <t>1袋</t>
        </is>
      </c>
      <c r="K115" s="167" t="inlineStr">
        <is>
          <t>ミンチ</t>
        </is>
      </c>
      <c r="L115" s="289" t="n">
        <v>1500</v>
      </c>
      <c r="M115" s="157" t="n">
        <v>45951</v>
      </c>
      <c r="N115" s="289" t="n"/>
      <c r="O115" s="290">
        <f>IF(COUNT(商品マスタ[[#This Row],[参考上代
（税込)]]) &gt; 0, (商品マスタ[[#This Row],[参考上代
（税込)]]-商品マスタ[[#This Row],[国内定価
（15％）]])/(商品マスタ[[#This Row],[参考上代
（税込)]]/1.08), "")</f>
        <v/>
      </c>
      <c r="P115" s="136" t="n">
        <v>0.1</v>
      </c>
      <c r="Q115" s="291">
        <f>商品マスタ[[#This Row],[仕入
単価]]*商品マスタ[[#This Row],[標準国内送料率]]</f>
        <v/>
      </c>
      <c r="R115" s="289" t="n"/>
      <c r="S115" s="289">
        <f>IF(ISBLANK(商品マスタ[[#This Row],[実績
国内送料]]),商品マスタ[[#This Row],[標準国内送料]],)</f>
        <v/>
      </c>
      <c r="T115" s="289">
        <f>商品マスタ[[#This Row],[仕入
単価]]+商品マスタ[[#This Row],[国内送料]]</f>
        <v/>
      </c>
      <c r="U115" s="289">
        <f>ROUNDUP(商品マスタ[[#This Row],[仕入単価+国内送料]]/0.8,-1)</f>
        <v/>
      </c>
      <c r="V115" s="289">
        <f>商品マスタ[[#This Row],[海外定価
（20％）]]-商品マスタ[[#This Row],[仕入単価+国内送料]]</f>
        <v/>
      </c>
      <c r="W115" s="167">
        <f>ROUNDUP(商品マスタ[[#This Row],[仕入単価+国内送料]]/0.85,-1)</f>
        <v/>
      </c>
      <c r="X115" s="289">
        <f>商品マスタ[[#This Row],[国内定価
（15％）]]-商品マスタ[[#This Row],[仕入単価+国内送料]]</f>
        <v/>
      </c>
      <c r="Y115" s="139" t="n">
        <v>0.08</v>
      </c>
      <c r="Z115" s="167" t="n"/>
      <c r="AA115" s="167" t="n"/>
      <c r="AB115" s="167" t="n"/>
      <c r="AC115" s="293" t="n"/>
      <c r="AD115" s="167" t="n"/>
      <c r="AE115" s="167" t="n"/>
      <c r="AF115" s="167" t="n"/>
      <c r="AG115" s="144" t="n"/>
    </row>
    <row r="116" ht="18" customHeight="1" s="207">
      <c r="A116" s="166" t="inlineStr">
        <is>
          <t>精肉</t>
        </is>
      </c>
      <c r="B116" s="176" t="inlineStr">
        <is>
          <t>エゾシカ</t>
        </is>
      </c>
      <c r="C116" s="167" t="inlineStr">
        <is>
          <t>北海道エゾシカファクトリー</t>
        </is>
      </c>
      <c r="D116" s="143">
        <f>"PRD_SNJ_"&amp;
_xlfn.XLOOKUP(商品マスタ[[#This Row],[仕入先]],テーブル1[仕入先名],テーブル1[仕入先コード],"XXX",0,1)&amp;
"_"&amp;
商品マスタ[[#This Row],[シリアル]]&amp;
"_"&amp;
TEXT(COUNTIFS(商品マスタ!$C$3:C116,商品マスタ[[#This Row],[仕入先]],商品マスタ!$E$3:E116,商品マスタ[[#This Row],[商品名]]), "00")</f>
        <v/>
      </c>
      <c r="E116" s="167" t="inlineStr">
        <is>
          <t>エゾシカ　ソーセージ</t>
        </is>
      </c>
      <c r="F116" s="167">
        <f>IF(COUNTIFS($C$3:C116,商品マスタ[[#This Row],[仕入先]],$E$3:E116,商品マスタ[[#This Row],[商品名]]) = 1, 1,0)</f>
        <v/>
      </c>
      <c r="G116" s="133">
        <f>TEXT(SUMIF($C$3:C116,商品マスタ[[#This Row],[仕入先]],$F$3:F116), "0000")</f>
        <v/>
      </c>
      <c r="H116" s="167" t="inlineStr">
        <is>
          <t>袋</t>
        </is>
      </c>
      <c r="I116" s="167" t="inlineStr">
        <is>
          <t>80g×5本/袋</t>
        </is>
      </c>
      <c r="J116" s="167" t="inlineStr">
        <is>
          <t>1袋（36袋/箱）</t>
        </is>
      </c>
      <c r="K116" s="167" t="inlineStr">
        <is>
          <t>1ケース36袋入</t>
        </is>
      </c>
      <c r="L116" s="289" t="n">
        <v>1750</v>
      </c>
      <c r="M116" s="157" t="n">
        <v>45951</v>
      </c>
      <c r="N116" s="289" t="n"/>
      <c r="O116" s="290">
        <f>IF(COUNT(商品マスタ[[#This Row],[参考上代
（税込)]]) &gt; 0, (商品マスタ[[#This Row],[参考上代
（税込)]]-商品マスタ[[#This Row],[国内定価
（15％）]])/(商品マスタ[[#This Row],[参考上代
（税込)]]/1.08), "")</f>
        <v/>
      </c>
      <c r="P116" s="136" t="n">
        <v>0.1</v>
      </c>
      <c r="Q116" s="291">
        <f>商品マスタ[[#This Row],[仕入
単価]]*商品マスタ[[#This Row],[標準国内送料率]]</f>
        <v/>
      </c>
      <c r="R116" s="289" t="n"/>
      <c r="S116" s="289">
        <f>IF(ISBLANK(商品マスタ[[#This Row],[実績
国内送料]]),商品マスタ[[#This Row],[標準国内送料]],)</f>
        <v/>
      </c>
      <c r="T116" s="289">
        <f>商品マスタ[[#This Row],[仕入
単価]]+商品マスタ[[#This Row],[国内送料]]</f>
        <v/>
      </c>
      <c r="U116" s="289">
        <f>ROUNDUP(商品マスタ[[#This Row],[仕入単価+国内送料]]/0.8,-1)</f>
        <v/>
      </c>
      <c r="V116" s="289">
        <f>商品マスタ[[#This Row],[海外定価
（20％）]]-商品マスタ[[#This Row],[仕入単価+国内送料]]</f>
        <v/>
      </c>
      <c r="W116" s="167">
        <f>ROUNDUP(商品マスタ[[#This Row],[仕入単価+国内送料]]/0.85,-1)</f>
        <v/>
      </c>
      <c r="X116" s="289">
        <f>商品マスタ[[#This Row],[国内定価
（15％）]]-商品マスタ[[#This Row],[仕入単価+国内送料]]</f>
        <v/>
      </c>
      <c r="Y116" s="139" t="n">
        <v>0.08</v>
      </c>
      <c r="Z116" s="167" t="n"/>
      <c r="AA116" s="167" t="n"/>
      <c r="AB116" s="167" t="n"/>
      <c r="AC116" s="293" t="n"/>
      <c r="AD116" s="167" t="n"/>
      <c r="AE116" s="167" t="n"/>
      <c r="AF116" s="167" t="n"/>
      <c r="AG116" s="144" t="n"/>
    </row>
    <row r="117" ht="18" customHeight="1" s="207">
      <c r="A117" s="166" t="inlineStr">
        <is>
          <t>精肉</t>
        </is>
      </c>
      <c r="B117" s="176" t="inlineStr">
        <is>
          <t>エゾシカ</t>
        </is>
      </c>
      <c r="C117" s="167" t="inlineStr">
        <is>
          <t>知床エゾシカファーム</t>
        </is>
      </c>
      <c r="D117" s="143">
        <f>"PRD_SNJ_"&amp;
_xlfn.XLOOKUP(商品マスタ[[#This Row],[仕入先]],テーブル1[仕入先名],テーブル1[仕入先コード],"XXX",0,1)&amp;
"_"&amp;
商品マスタ[[#This Row],[シリアル]]&amp;
"_"&amp;
TEXT(COUNTIFS(商品マスタ!$C$3:C117,商品マスタ[[#This Row],[仕入先]],商品マスタ!$E$3:E117,商品マスタ[[#This Row],[商品名]]), "00")</f>
        <v/>
      </c>
      <c r="E117" s="167" t="inlineStr">
        <is>
          <t>エゾシカ　ボンレスストリップロイン（ロース芯）</t>
        </is>
      </c>
      <c r="F117" s="167">
        <f>IF(COUNTIFS($C$3:C117,商品マスタ[[#This Row],[仕入先]],$E$3:E117,商品マスタ[[#This Row],[商品名]]) = 1, 1,0)</f>
        <v/>
      </c>
      <c r="G117" s="133">
        <f>TEXT(SUMIF($C$3:C117,商品マスタ[[#This Row],[仕入先]],$F$3:F117), "0000")</f>
        <v/>
      </c>
      <c r="H117" s="167" t="inlineStr">
        <is>
          <t>kg</t>
        </is>
      </c>
      <c r="I117" s="167" t="inlineStr">
        <is>
          <t>1.0kg/本</t>
        </is>
      </c>
      <c r="J117" s="167" t="inlineStr">
        <is>
          <t>1本</t>
        </is>
      </c>
      <c r="K117" s="167" t="inlineStr">
        <is>
          <t>ブロック</t>
        </is>
      </c>
      <c r="L117" s="289" t="n">
        <v>5000</v>
      </c>
      <c r="M117" s="157" t="n">
        <v>45960</v>
      </c>
      <c r="N117" s="289" t="n"/>
      <c r="O117" s="290">
        <f>IF(COUNT(商品マスタ[[#This Row],[参考上代
（税込)]]) &gt; 0, (商品マスタ[[#This Row],[参考上代
（税込)]]-商品マスタ[[#This Row],[国内定価
（15％）]])/(商品マスタ[[#This Row],[参考上代
（税込)]]/1.08), "")</f>
        <v/>
      </c>
      <c r="P117" s="136" t="n">
        <v>0.1</v>
      </c>
      <c r="Q117" s="291">
        <f>商品マスタ[[#This Row],[仕入
単価]]*商品マスタ[[#This Row],[標準国内送料率]]</f>
        <v/>
      </c>
      <c r="R117" s="289" t="n"/>
      <c r="S117" s="289">
        <f>IF(ISBLANK(商品マスタ[[#This Row],[実績
国内送料]]),商品マスタ[[#This Row],[標準国内送料]],)</f>
        <v/>
      </c>
      <c r="T117" s="289">
        <f>商品マスタ[[#This Row],[仕入
単価]]+商品マスタ[[#This Row],[国内送料]]</f>
        <v/>
      </c>
      <c r="U117" s="289">
        <f>ROUNDUP(商品マスタ[[#This Row],[仕入単価+国内送料]]/0.8,-1)</f>
        <v/>
      </c>
      <c r="V117" s="289">
        <f>商品マスタ[[#This Row],[海外定価
（20％）]]-商品マスタ[[#This Row],[仕入単価+国内送料]]</f>
        <v/>
      </c>
      <c r="W117" s="167">
        <f>ROUNDUP(商品マスタ[[#This Row],[仕入単価+国内送料]]/0.85,-1)</f>
        <v/>
      </c>
      <c r="X117" s="289">
        <f>商品マスタ[[#This Row],[国内定価
（15％）]]-商品マスタ[[#This Row],[仕入単価+国内送料]]</f>
        <v/>
      </c>
      <c r="Y117" s="139" t="n">
        <v>0.08</v>
      </c>
      <c r="Z117" s="167" t="n"/>
      <c r="AA117" s="167" t="n"/>
      <c r="AB117" s="167" t="n"/>
      <c r="AC117" s="293" t="n"/>
      <c r="AD117" s="167" t="n"/>
      <c r="AE117" s="167" t="n"/>
      <c r="AF117" s="167" t="n"/>
      <c r="AG117" s="144" t="n"/>
    </row>
    <row r="118" ht="18" customHeight="1" s="207">
      <c r="A118" s="166" t="inlineStr">
        <is>
          <t>精肉</t>
        </is>
      </c>
      <c r="B118" s="176" t="inlineStr">
        <is>
          <t>エゾシカ</t>
        </is>
      </c>
      <c r="C118" s="167" t="inlineStr">
        <is>
          <t>知床エゾシカファーム</t>
        </is>
      </c>
      <c r="D118" s="143">
        <f>"PRD_SNJ_"&amp;
_xlfn.XLOOKUP(商品マスタ[[#This Row],[仕入先]],テーブル1[仕入先名],テーブル1[仕入先コード],"XXX",0,1)&amp;
"_"&amp;
商品マスタ[[#This Row],[シリアル]]&amp;
"_"&amp;
TEXT(COUNTIFS(商品マスタ!$C$3:C118,商品マスタ[[#This Row],[仕入先]],商品マスタ!$E$3:E118,商品マスタ[[#This Row],[商品名]]), "00")</f>
        <v/>
      </c>
      <c r="E118" s="167" t="inlineStr">
        <is>
          <t>エゾシカ　ヒレ</t>
        </is>
      </c>
      <c r="F118" s="167">
        <f>IF(COUNTIFS($C$3:C118,商品マスタ[[#This Row],[仕入先]],$E$3:E118,商品マスタ[[#This Row],[商品名]]) = 1, 1,0)</f>
        <v/>
      </c>
      <c r="G118" s="133">
        <f>TEXT(SUMIF($C$3:C118,商品マスタ[[#This Row],[仕入先]],$F$3:F118), "0000")</f>
        <v/>
      </c>
      <c r="H118" s="167" t="inlineStr">
        <is>
          <t>kg</t>
        </is>
      </c>
      <c r="I118" s="167" t="inlineStr">
        <is>
          <t>1.0kg/本</t>
        </is>
      </c>
      <c r="J118" s="167" t="inlineStr">
        <is>
          <t>1本</t>
        </is>
      </c>
      <c r="K118" s="167" t="inlineStr">
        <is>
          <t>ブロック</t>
        </is>
      </c>
      <c r="L118" s="289" t="n">
        <v>4000</v>
      </c>
      <c r="M118" s="157" t="n">
        <v>45960</v>
      </c>
      <c r="N118" s="289" t="n"/>
      <c r="O118" s="290">
        <f>IF(COUNT(商品マスタ[[#This Row],[参考上代
（税込)]]) &gt; 0, (商品マスタ[[#This Row],[参考上代
（税込)]]-商品マスタ[[#This Row],[国内定価
（15％）]])/(商品マスタ[[#This Row],[参考上代
（税込)]]/1.08), "")</f>
        <v/>
      </c>
      <c r="P118" s="136" t="n">
        <v>0.1</v>
      </c>
      <c r="Q118" s="291">
        <f>商品マスタ[[#This Row],[仕入
単価]]*商品マスタ[[#This Row],[標準国内送料率]]</f>
        <v/>
      </c>
      <c r="R118" s="289" t="n"/>
      <c r="S118" s="289">
        <f>IF(ISBLANK(商品マスタ[[#This Row],[実績
国内送料]]),商品マスタ[[#This Row],[標準国内送料]],)</f>
        <v/>
      </c>
      <c r="T118" s="289">
        <f>商品マスタ[[#This Row],[仕入
単価]]+商品マスタ[[#This Row],[国内送料]]</f>
        <v/>
      </c>
      <c r="U118" s="289">
        <f>ROUNDUP(商品マスタ[[#This Row],[仕入単価+国内送料]]/0.8,-1)</f>
        <v/>
      </c>
      <c r="V118" s="289">
        <f>商品マスタ[[#This Row],[海外定価
（20％）]]-商品マスタ[[#This Row],[仕入単価+国内送料]]</f>
        <v/>
      </c>
      <c r="W118" s="167">
        <f>ROUNDUP(商品マスタ[[#This Row],[仕入単価+国内送料]]/0.85,-1)</f>
        <v/>
      </c>
      <c r="X118" s="289">
        <f>商品マスタ[[#This Row],[国内定価
（15％）]]-商品マスタ[[#This Row],[仕入単価+国内送料]]</f>
        <v/>
      </c>
      <c r="Y118" s="139" t="n">
        <v>0.08</v>
      </c>
      <c r="Z118" s="167" t="n"/>
      <c r="AA118" s="167" t="n"/>
      <c r="AB118" s="167" t="n"/>
      <c r="AC118" s="293" t="n"/>
      <c r="AD118" s="167" t="n"/>
      <c r="AE118" s="167" t="n"/>
      <c r="AF118" s="167" t="n"/>
      <c r="AG118" s="144" t="n"/>
    </row>
    <row r="119" ht="18" customHeight="1" s="207">
      <c r="A119" s="166" t="inlineStr">
        <is>
          <t>精肉</t>
        </is>
      </c>
      <c r="B119" s="176" t="inlineStr">
        <is>
          <t>エゾシカ</t>
        </is>
      </c>
      <c r="C119" s="167" t="inlineStr">
        <is>
          <t>知床エゾシカファーム</t>
        </is>
      </c>
      <c r="D119" s="143">
        <f>"PRD_SNJ_"&amp;
_xlfn.XLOOKUP(商品マスタ[[#This Row],[仕入先]],テーブル1[仕入先名],テーブル1[仕入先コード],"XXX",0,1)&amp;
"_"&amp;
商品マスタ[[#This Row],[シリアル]]&amp;
"_"&amp;
TEXT(COUNTIFS(商品マスタ!$C$3:C119,商品マスタ[[#This Row],[仕入先]],商品マスタ!$E$3:E119,商品マスタ[[#This Row],[商品名]]), "00")</f>
        <v/>
      </c>
      <c r="E119" s="167" t="inlineStr">
        <is>
          <t>エゾシカ　ウチモモ</t>
        </is>
      </c>
      <c r="F119" s="167">
        <f>IF(COUNTIFS($C$3:C119,商品マスタ[[#This Row],[仕入先]],$E$3:E119,商品マスタ[[#This Row],[商品名]]) = 1, 1,0)</f>
        <v/>
      </c>
      <c r="G119" s="133">
        <f>TEXT(SUMIF($C$3:C119,商品マスタ[[#This Row],[仕入先]],$F$3:F119), "0000")</f>
        <v/>
      </c>
      <c r="H119" s="167" t="inlineStr">
        <is>
          <t>kg</t>
        </is>
      </c>
      <c r="I119" s="167" t="inlineStr">
        <is>
          <t>1.0kg/本</t>
        </is>
      </c>
      <c r="J119" s="167" t="inlineStr">
        <is>
          <t>1本</t>
        </is>
      </c>
      <c r="K119" s="167" t="inlineStr">
        <is>
          <t>ブロック</t>
        </is>
      </c>
      <c r="L119" s="289" t="n">
        <v>3700</v>
      </c>
      <c r="M119" s="157" t="n">
        <v>45960</v>
      </c>
      <c r="N119" s="289" t="n"/>
      <c r="O119" s="290">
        <f>IF(COUNT(商品マスタ[[#This Row],[参考上代
（税込)]]) &gt; 0, (商品マスタ[[#This Row],[参考上代
（税込)]]-商品マスタ[[#This Row],[国内定価
（15％）]])/(商品マスタ[[#This Row],[参考上代
（税込)]]/1.08), "")</f>
        <v/>
      </c>
      <c r="P119" s="136" t="n">
        <v>0.1</v>
      </c>
      <c r="Q119" s="291">
        <f>商品マスタ[[#This Row],[仕入
単価]]*商品マスタ[[#This Row],[標準国内送料率]]</f>
        <v/>
      </c>
      <c r="R119" s="289" t="n"/>
      <c r="S119" s="289">
        <f>IF(ISBLANK(商品マスタ[[#This Row],[実績
国内送料]]),商品マスタ[[#This Row],[標準国内送料]],)</f>
        <v/>
      </c>
      <c r="T119" s="289">
        <f>商品マスタ[[#This Row],[仕入
単価]]+商品マスタ[[#This Row],[国内送料]]</f>
        <v/>
      </c>
      <c r="U119" s="289">
        <f>ROUNDUP(商品マスタ[[#This Row],[仕入単価+国内送料]]/0.8,-1)</f>
        <v/>
      </c>
      <c r="V119" s="289">
        <f>商品マスタ[[#This Row],[海外定価
（20％）]]-商品マスタ[[#This Row],[仕入単価+国内送料]]</f>
        <v/>
      </c>
      <c r="W119" s="167">
        <f>ROUNDUP(商品マスタ[[#This Row],[仕入単価+国内送料]]/0.85,-1)</f>
        <v/>
      </c>
      <c r="X119" s="289">
        <f>商品マスタ[[#This Row],[国内定価
（15％）]]-商品マスタ[[#This Row],[仕入単価+国内送料]]</f>
        <v/>
      </c>
      <c r="Y119" s="139" t="n">
        <v>0.08</v>
      </c>
      <c r="Z119" s="167" t="n"/>
      <c r="AA119" s="167" t="n"/>
      <c r="AB119" s="167" t="n"/>
      <c r="AC119" s="293" t="n"/>
      <c r="AD119" s="167" t="n"/>
      <c r="AE119" s="167" t="n"/>
      <c r="AF119" s="167" t="n"/>
      <c r="AG119" s="144" t="n"/>
    </row>
    <row r="120" ht="18" customHeight="1" s="207">
      <c r="A120" s="166" t="inlineStr">
        <is>
          <t>精肉</t>
        </is>
      </c>
      <c r="B120" s="176" t="inlineStr">
        <is>
          <t>エゾシカ</t>
        </is>
      </c>
      <c r="C120" s="167" t="inlineStr">
        <is>
          <t>知床エゾシカファーム</t>
        </is>
      </c>
      <c r="D120" s="143">
        <f>"PRD_SNJ_"&amp;
_xlfn.XLOOKUP(商品マスタ[[#This Row],[仕入先]],テーブル1[仕入先名],テーブル1[仕入先コード],"XXX",0,1)&amp;
"_"&amp;
商品マスタ[[#This Row],[シリアル]]&amp;
"_"&amp;
TEXT(COUNTIFS(商品マスタ!$C$3:C120,商品マスタ[[#This Row],[仕入先]],商品マスタ!$E$3:E120,商品マスタ[[#This Row],[商品名]]), "00")</f>
        <v/>
      </c>
      <c r="E120" s="167" t="inlineStr">
        <is>
          <t>エゾシカ　シンタマ</t>
        </is>
      </c>
      <c r="F120" s="167">
        <f>IF(COUNTIFS($C$3:C120,商品マスタ[[#This Row],[仕入先]],$E$3:E120,商品マスタ[[#This Row],[商品名]]) = 1, 1,0)</f>
        <v/>
      </c>
      <c r="G120" s="133">
        <f>TEXT(SUMIF($C$3:C120,商品マスタ[[#This Row],[仕入先]],$F$3:F120), "0000")</f>
        <v/>
      </c>
      <c r="H120" s="167" t="inlineStr">
        <is>
          <t>kg</t>
        </is>
      </c>
      <c r="I120" s="167" t="inlineStr">
        <is>
          <t>1.0kg/本</t>
        </is>
      </c>
      <c r="J120" s="167" t="inlineStr">
        <is>
          <t>1本</t>
        </is>
      </c>
      <c r="K120" s="167" t="inlineStr">
        <is>
          <t>ブロック</t>
        </is>
      </c>
      <c r="L120" s="289" t="n">
        <v>3500</v>
      </c>
      <c r="M120" s="157" t="n">
        <v>45960</v>
      </c>
      <c r="N120" s="289" t="n"/>
      <c r="O120" s="290">
        <f>IF(COUNT(商品マスタ[[#This Row],[参考上代
（税込)]]) &gt; 0, (商品マスタ[[#This Row],[参考上代
（税込)]]-商品マスタ[[#This Row],[国内定価
（15％）]])/(商品マスタ[[#This Row],[参考上代
（税込)]]/1.08), "")</f>
        <v/>
      </c>
      <c r="P120" s="136" t="n">
        <v>0.1</v>
      </c>
      <c r="Q120" s="291">
        <f>商品マスタ[[#This Row],[仕入
単価]]*商品マスタ[[#This Row],[標準国内送料率]]</f>
        <v/>
      </c>
      <c r="R120" s="289" t="n"/>
      <c r="S120" s="289">
        <f>IF(ISBLANK(商品マスタ[[#This Row],[実績
国内送料]]),商品マスタ[[#This Row],[標準国内送料]],)</f>
        <v/>
      </c>
      <c r="T120" s="289">
        <f>商品マスタ[[#This Row],[仕入
単価]]+商品マスタ[[#This Row],[国内送料]]</f>
        <v/>
      </c>
      <c r="U120" s="289">
        <f>ROUNDUP(商品マスタ[[#This Row],[仕入単価+国内送料]]/0.8,-1)</f>
        <v/>
      </c>
      <c r="V120" s="289">
        <f>商品マスタ[[#This Row],[海外定価
（20％）]]-商品マスタ[[#This Row],[仕入単価+国内送料]]</f>
        <v/>
      </c>
      <c r="W120" s="167">
        <f>ROUNDUP(商品マスタ[[#This Row],[仕入単価+国内送料]]/0.85,-1)</f>
        <v/>
      </c>
      <c r="X120" s="289">
        <f>商品マスタ[[#This Row],[国内定価
（15％）]]-商品マスタ[[#This Row],[仕入単価+国内送料]]</f>
        <v/>
      </c>
      <c r="Y120" s="139" t="n">
        <v>0.08</v>
      </c>
      <c r="Z120" s="167" t="n"/>
      <c r="AA120" s="167" t="n"/>
      <c r="AB120" s="167" t="n"/>
      <c r="AC120" s="293" t="n"/>
      <c r="AD120" s="167" t="n"/>
      <c r="AE120" s="167" t="n"/>
      <c r="AF120" s="167" t="n"/>
      <c r="AG120" s="144" t="n"/>
    </row>
    <row r="121" ht="18" customHeight="1" s="207">
      <c r="A121" s="166" t="inlineStr">
        <is>
          <t>精肉</t>
        </is>
      </c>
      <c r="B121" s="176" t="inlineStr">
        <is>
          <t>エゾシカ</t>
        </is>
      </c>
      <c r="C121" s="167" t="inlineStr">
        <is>
          <t>知床エゾシカファーム</t>
        </is>
      </c>
      <c r="D121" s="143">
        <f>"PRD_SNJ_"&amp;
_xlfn.XLOOKUP(商品マスタ[[#This Row],[仕入先]],テーブル1[仕入先名],テーブル1[仕入先コード],"XXX",0,1)&amp;
"_"&amp;
商品マスタ[[#This Row],[シリアル]]&amp;
"_"&amp;
TEXT(COUNTIFS(商品マスタ!$C$3:C121,商品マスタ[[#This Row],[仕入先]],商品マスタ!$E$3:E121,商品マスタ[[#This Row],[商品名]]), "00")</f>
        <v/>
      </c>
      <c r="E121" s="167" t="inlineStr">
        <is>
          <t>エゾシカ　ソトモモ</t>
        </is>
      </c>
      <c r="F121" s="167">
        <f>IF(COUNTIFS($C$3:C121,商品マスタ[[#This Row],[仕入先]],$E$3:E121,商品マスタ[[#This Row],[商品名]]) = 1, 1,0)</f>
        <v/>
      </c>
      <c r="G121" s="133">
        <f>TEXT(SUMIF($C$3:C121,商品マスタ[[#This Row],[仕入先]],$F$3:F121), "0000")</f>
        <v/>
      </c>
      <c r="H121" s="167" t="inlineStr">
        <is>
          <t>kg</t>
        </is>
      </c>
      <c r="I121" s="167" t="inlineStr">
        <is>
          <t>1.0kg/本</t>
        </is>
      </c>
      <c r="J121" s="167" t="inlineStr">
        <is>
          <t>1本</t>
        </is>
      </c>
      <c r="K121" s="167" t="inlineStr">
        <is>
          <t>ブロック</t>
        </is>
      </c>
      <c r="L121" s="289" t="n">
        <v>3300</v>
      </c>
      <c r="M121" s="157" t="n">
        <v>45960</v>
      </c>
      <c r="N121" s="289" t="n"/>
      <c r="O121" s="290">
        <f>IF(COUNT(商品マスタ[[#This Row],[参考上代
（税込)]]) &gt; 0, (商品マスタ[[#This Row],[参考上代
（税込)]]-商品マスタ[[#This Row],[国内定価
（15％）]])/(商品マスタ[[#This Row],[参考上代
（税込)]]/1.08), "")</f>
        <v/>
      </c>
      <c r="P121" s="136" t="n">
        <v>0.1</v>
      </c>
      <c r="Q121" s="291">
        <f>商品マスタ[[#This Row],[仕入
単価]]*商品マスタ[[#This Row],[標準国内送料率]]</f>
        <v/>
      </c>
      <c r="R121" s="289" t="n"/>
      <c r="S121" s="289">
        <f>IF(ISBLANK(商品マスタ[[#This Row],[実績
国内送料]]),商品マスタ[[#This Row],[標準国内送料]],)</f>
        <v/>
      </c>
      <c r="T121" s="289">
        <f>商品マスタ[[#This Row],[仕入
単価]]+商品マスタ[[#This Row],[国内送料]]</f>
        <v/>
      </c>
      <c r="U121" s="289">
        <f>ROUNDUP(商品マスタ[[#This Row],[仕入単価+国内送料]]/0.8,-1)</f>
        <v/>
      </c>
      <c r="V121" s="289">
        <f>商品マスタ[[#This Row],[海外定価
（20％）]]-商品マスタ[[#This Row],[仕入単価+国内送料]]</f>
        <v/>
      </c>
      <c r="W121" s="167">
        <f>ROUNDUP(商品マスタ[[#This Row],[仕入単価+国内送料]]/0.85,-1)</f>
        <v/>
      </c>
      <c r="X121" s="289">
        <f>商品マスタ[[#This Row],[国内定価
（15％）]]-商品マスタ[[#This Row],[仕入単価+国内送料]]</f>
        <v/>
      </c>
      <c r="Y121" s="139" t="n">
        <v>0.08</v>
      </c>
      <c r="Z121" s="167" t="n"/>
      <c r="AA121" s="167" t="n"/>
      <c r="AB121" s="167" t="n"/>
      <c r="AC121" s="293" t="n"/>
      <c r="AD121" s="167" t="n"/>
      <c r="AE121" s="167" t="n"/>
      <c r="AF121" s="167" t="n"/>
      <c r="AG121" s="144" t="n"/>
    </row>
    <row r="122" ht="18" customHeight="1" s="207">
      <c r="A122" s="166" t="inlineStr">
        <is>
          <t>精肉</t>
        </is>
      </c>
      <c r="B122" s="176" t="inlineStr">
        <is>
          <t>エゾシカ</t>
        </is>
      </c>
      <c r="C122" s="167" t="inlineStr">
        <is>
          <t>知床エゾシカファーム</t>
        </is>
      </c>
      <c r="D122" s="143">
        <f>"PRD_SNJ_"&amp;
_xlfn.XLOOKUP(商品マスタ[[#This Row],[仕入先]],テーブル1[仕入先名],テーブル1[仕入先コード],"XXX",0,1)&amp;
"_"&amp;
商品マスタ[[#This Row],[シリアル]]&amp;
"_"&amp;
TEXT(COUNTIFS(商品マスタ!$C$3:C122,商品マスタ[[#This Row],[仕入先]],商品マスタ!$E$3:E122,商品マスタ[[#This Row],[商品名]]), "00")</f>
        <v/>
      </c>
      <c r="E122" s="167" t="inlineStr">
        <is>
          <t>エゾシカ　シキンボウ、ランプ</t>
        </is>
      </c>
      <c r="F122" s="167">
        <f>IF(COUNTIFS($C$3:C122,商品マスタ[[#This Row],[仕入先]],$E$3:E122,商品マスタ[[#This Row],[商品名]]) = 1, 1,0)</f>
        <v/>
      </c>
      <c r="G122" s="133">
        <f>TEXT(SUMIF($C$3:C122,商品マスタ[[#This Row],[仕入先]],$F$3:F122), "0000")</f>
        <v/>
      </c>
      <c r="H122" s="167" t="inlineStr">
        <is>
          <t>kg</t>
        </is>
      </c>
      <c r="I122" s="167" t="inlineStr">
        <is>
          <t>1.0kg/本</t>
        </is>
      </c>
      <c r="J122" s="167" t="inlineStr">
        <is>
          <t>1本</t>
        </is>
      </c>
      <c r="K122" s="167" t="inlineStr">
        <is>
          <t>ブロック</t>
        </is>
      </c>
      <c r="L122" s="289" t="n">
        <v>3300</v>
      </c>
      <c r="M122" s="157" t="n">
        <v>45960</v>
      </c>
      <c r="N122" s="289" t="n"/>
      <c r="O122" s="290">
        <f>IF(COUNT(商品マスタ[[#This Row],[参考上代
（税込)]]) &gt; 0, (商品マスタ[[#This Row],[参考上代
（税込)]]-商品マスタ[[#This Row],[国内定価
（15％）]])/(商品マスタ[[#This Row],[参考上代
（税込)]]/1.08), "")</f>
        <v/>
      </c>
      <c r="P122" s="136" t="n">
        <v>0.1</v>
      </c>
      <c r="Q122" s="291">
        <f>商品マスタ[[#This Row],[仕入
単価]]*商品マスタ[[#This Row],[標準国内送料率]]</f>
        <v/>
      </c>
      <c r="R122" s="289" t="n"/>
      <c r="S122" s="289">
        <f>IF(ISBLANK(商品マスタ[[#This Row],[実績
国内送料]]),商品マスタ[[#This Row],[標準国内送料]],)</f>
        <v/>
      </c>
      <c r="T122" s="289">
        <f>商品マスタ[[#This Row],[仕入
単価]]+商品マスタ[[#This Row],[国内送料]]</f>
        <v/>
      </c>
      <c r="U122" s="289">
        <f>ROUNDUP(商品マスタ[[#This Row],[仕入単価+国内送料]]/0.8,-1)</f>
        <v/>
      </c>
      <c r="V122" s="289">
        <f>商品マスタ[[#This Row],[海外定価
（20％）]]-商品マスタ[[#This Row],[仕入単価+国内送料]]</f>
        <v/>
      </c>
      <c r="W122" s="167">
        <f>ROUNDUP(商品マスタ[[#This Row],[仕入単価+国内送料]]/0.85,-1)</f>
        <v/>
      </c>
      <c r="X122" s="289">
        <f>商品マスタ[[#This Row],[国内定価
（15％）]]-商品マスタ[[#This Row],[仕入単価+国内送料]]</f>
        <v/>
      </c>
      <c r="Y122" s="139" t="n">
        <v>0.08</v>
      </c>
      <c r="Z122" s="167" t="n"/>
      <c r="AA122" s="167" t="n"/>
      <c r="AB122" s="167" t="n"/>
      <c r="AC122" s="293" t="n"/>
      <c r="AD122" s="167" t="n"/>
      <c r="AE122" s="167" t="n"/>
      <c r="AF122" s="167" t="n"/>
      <c r="AG122" s="144" t="n"/>
    </row>
    <row r="123" ht="18" customHeight="1" s="207">
      <c r="A123" s="166" t="inlineStr">
        <is>
          <t>精肉</t>
        </is>
      </c>
      <c r="B123" s="176" t="inlineStr">
        <is>
          <t>エゾシカ</t>
        </is>
      </c>
      <c r="C123" s="167" t="inlineStr">
        <is>
          <t>知床エゾシカファーム</t>
        </is>
      </c>
      <c r="D123" s="143">
        <f>"PRD_SNJ_"&amp;
_xlfn.XLOOKUP(商品マスタ[[#This Row],[仕入先]],テーブル1[仕入先名],テーブル1[仕入先コード],"XXX",0,1)&amp;
"_"&amp;
商品マスタ[[#This Row],[シリアル]]&amp;
"_"&amp;
TEXT(COUNTIFS(商品マスタ!$C$3:C123,商品マスタ[[#This Row],[仕入先]],商品マスタ!$E$3:E123,商品マスタ[[#This Row],[商品名]]), "00")</f>
        <v/>
      </c>
      <c r="E123" s="167" t="inlineStr">
        <is>
          <t>エゾシカ　ショルダー</t>
        </is>
      </c>
      <c r="F123" s="167">
        <f>IF(COUNTIFS($C$3:C123,商品マスタ[[#This Row],[仕入先]],$E$3:E123,商品マスタ[[#This Row],[商品名]]) = 1, 1,0)</f>
        <v/>
      </c>
      <c r="G123" s="133">
        <f>TEXT(SUMIF($C$3:C123,商品マスタ[[#This Row],[仕入先]],$F$3:F123), "0000")</f>
        <v/>
      </c>
      <c r="H123" s="167" t="inlineStr">
        <is>
          <t>kg</t>
        </is>
      </c>
      <c r="I123" s="167" t="inlineStr">
        <is>
          <t>1.0kg/本</t>
        </is>
      </c>
      <c r="J123" s="167" t="inlineStr">
        <is>
          <t>1本</t>
        </is>
      </c>
      <c r="K123" s="167" t="inlineStr">
        <is>
          <t>ブロック</t>
        </is>
      </c>
      <c r="L123" s="289" t="n">
        <v>2500</v>
      </c>
      <c r="M123" s="157" t="n">
        <v>45960</v>
      </c>
      <c r="N123" s="289" t="n"/>
      <c r="O123" s="290">
        <f>IF(COUNT(商品マスタ[[#This Row],[参考上代
（税込)]]) &gt; 0, (商品マスタ[[#This Row],[参考上代
（税込)]]-商品マスタ[[#This Row],[国内定価
（15％）]])/(商品マスタ[[#This Row],[参考上代
（税込)]]/1.08), "")</f>
        <v/>
      </c>
      <c r="P123" s="136" t="n">
        <v>0.1</v>
      </c>
      <c r="Q123" s="291">
        <f>商品マスタ[[#This Row],[仕入
単価]]*商品マスタ[[#This Row],[標準国内送料率]]</f>
        <v/>
      </c>
      <c r="R123" s="289" t="n"/>
      <c r="S123" s="289">
        <f>IF(ISBLANK(商品マスタ[[#This Row],[実績
国内送料]]),商品マスタ[[#This Row],[標準国内送料]],)</f>
        <v/>
      </c>
      <c r="T123" s="289">
        <f>商品マスタ[[#This Row],[仕入
単価]]+商品マスタ[[#This Row],[国内送料]]</f>
        <v/>
      </c>
      <c r="U123" s="289">
        <f>ROUNDUP(商品マスタ[[#This Row],[仕入単価+国内送料]]/0.8,-1)</f>
        <v/>
      </c>
      <c r="V123" s="289">
        <f>商品マスタ[[#This Row],[海外定価
（20％）]]-商品マスタ[[#This Row],[仕入単価+国内送料]]</f>
        <v/>
      </c>
      <c r="W123" s="167">
        <f>ROUNDUP(商品マスタ[[#This Row],[仕入単価+国内送料]]/0.85,-1)</f>
        <v/>
      </c>
      <c r="X123" s="289">
        <f>商品マスタ[[#This Row],[国内定価
（15％）]]-商品マスタ[[#This Row],[仕入単価+国内送料]]</f>
        <v/>
      </c>
      <c r="Y123" s="139" t="n">
        <v>0.08</v>
      </c>
      <c r="Z123" s="167" t="n"/>
      <c r="AA123" s="167" t="n"/>
      <c r="AB123" s="167" t="n"/>
      <c r="AC123" s="293" t="n"/>
      <c r="AD123" s="167" t="n"/>
      <c r="AE123" s="167" t="n"/>
      <c r="AF123" s="167" t="n"/>
      <c r="AG123" s="144" t="n"/>
    </row>
    <row r="124" ht="18" customHeight="1" s="207">
      <c r="A124" s="166" t="inlineStr">
        <is>
          <t>精肉</t>
        </is>
      </c>
      <c r="B124" s="176" t="inlineStr">
        <is>
          <t>エゾシカ</t>
        </is>
      </c>
      <c r="C124" s="167" t="inlineStr">
        <is>
          <t>知床エゾシカファーム</t>
        </is>
      </c>
      <c r="D124" s="143">
        <f>"PRD_SNJ_"&amp;
_xlfn.XLOOKUP(商品マスタ[[#This Row],[仕入先]],テーブル1[仕入先名],テーブル1[仕入先コード],"XXX",0,1)&amp;
"_"&amp;
商品マスタ[[#This Row],[シリアル]]&amp;
"_"&amp;
TEXT(COUNTIFS(商品マスタ!$C$3:C124,商品マスタ[[#This Row],[仕入先]],商品マスタ!$E$3:E124,商品マスタ[[#This Row],[商品名]]), "00")</f>
        <v/>
      </c>
      <c r="E124" s="167" t="inlineStr">
        <is>
          <t>エゾシカ　スネ</t>
        </is>
      </c>
      <c r="F124" s="167">
        <f>IF(COUNTIFS($C$3:C124,商品マスタ[[#This Row],[仕入先]],$E$3:E124,商品マスタ[[#This Row],[商品名]]) = 1, 1,0)</f>
        <v/>
      </c>
      <c r="G124" s="133">
        <f>TEXT(SUMIF($C$3:C124,商品マスタ[[#This Row],[仕入先]],$F$3:F124), "0000")</f>
        <v/>
      </c>
      <c r="H124" s="167" t="inlineStr">
        <is>
          <t>kg</t>
        </is>
      </c>
      <c r="I124" s="167" t="inlineStr">
        <is>
          <t>1.0kg/本</t>
        </is>
      </c>
      <c r="J124" s="167" t="inlineStr">
        <is>
          <t>1本</t>
        </is>
      </c>
      <c r="K124" s="167" t="inlineStr">
        <is>
          <t>ブロック</t>
        </is>
      </c>
      <c r="L124" s="289" t="n">
        <v>1800</v>
      </c>
      <c r="M124" s="157" t="n">
        <v>45960</v>
      </c>
      <c r="N124" s="289" t="n"/>
      <c r="O124" s="290">
        <f>IF(COUNT(商品マスタ[[#This Row],[参考上代
（税込)]]) &gt; 0, (商品マスタ[[#This Row],[参考上代
（税込)]]-商品マスタ[[#This Row],[国内定価
（15％）]])/(商品マスタ[[#This Row],[参考上代
（税込)]]/1.08), "")</f>
        <v/>
      </c>
      <c r="P124" s="136" t="n">
        <v>0.1</v>
      </c>
      <c r="Q124" s="291">
        <f>商品マスタ[[#This Row],[仕入
単価]]*商品マスタ[[#This Row],[標準国内送料率]]</f>
        <v/>
      </c>
      <c r="R124" s="289" t="n"/>
      <c r="S124" s="289">
        <f>IF(ISBLANK(商品マスタ[[#This Row],[実績
国内送料]]),商品マスタ[[#This Row],[標準国内送料]],)</f>
        <v/>
      </c>
      <c r="T124" s="289">
        <f>商品マスタ[[#This Row],[仕入
単価]]+商品マスタ[[#This Row],[国内送料]]</f>
        <v/>
      </c>
      <c r="U124" s="289">
        <f>ROUNDUP(商品マスタ[[#This Row],[仕入単価+国内送料]]/0.8,-1)</f>
        <v/>
      </c>
      <c r="V124" s="289">
        <f>商品マスタ[[#This Row],[海外定価
（20％）]]-商品マスタ[[#This Row],[仕入単価+国内送料]]</f>
        <v/>
      </c>
      <c r="W124" s="167">
        <f>ROUNDUP(商品マスタ[[#This Row],[仕入単価+国内送料]]/0.85,-1)</f>
        <v/>
      </c>
      <c r="X124" s="289">
        <f>商品マスタ[[#This Row],[国内定価
（15％）]]-商品マスタ[[#This Row],[仕入単価+国内送料]]</f>
        <v/>
      </c>
      <c r="Y124" s="139" t="n">
        <v>0.08</v>
      </c>
      <c r="Z124" s="167" t="n"/>
      <c r="AA124" s="167" t="n"/>
      <c r="AB124" s="167" t="n"/>
      <c r="AC124" s="293" t="n"/>
      <c r="AD124" s="167" t="n"/>
      <c r="AE124" s="167" t="n"/>
      <c r="AF124" s="167" t="n"/>
      <c r="AG124" s="144" t="n"/>
    </row>
    <row r="125" ht="18" customHeight="1" s="207">
      <c r="A125" s="166" t="inlineStr">
        <is>
          <t>精肉</t>
        </is>
      </c>
      <c r="B125" s="176" t="inlineStr">
        <is>
          <t>エゾシカ</t>
        </is>
      </c>
      <c r="C125" s="167" t="inlineStr">
        <is>
          <t>知床エゾシカファーム</t>
        </is>
      </c>
      <c r="D125" s="143">
        <f>"PRD_SNJ_"&amp;
_xlfn.XLOOKUP(商品マスタ[[#This Row],[仕入先]],テーブル1[仕入先名],テーブル1[仕入先コード],"XXX",0,1)&amp;
"_"&amp;
商品マスタ[[#This Row],[シリアル]]&amp;
"_"&amp;
TEXT(COUNTIFS(商品マスタ!$C$3:C125,商品マスタ[[#This Row],[仕入先]],商品マスタ!$E$3:E125,商品マスタ[[#This Row],[商品名]]), "00")</f>
        <v/>
      </c>
      <c r="E125" s="167" t="inlineStr">
        <is>
          <t>エゾシカ　挽肉</t>
        </is>
      </c>
      <c r="F125" s="167">
        <f>IF(COUNTIFS($C$3:C125,商品マスタ[[#This Row],[仕入先]],$E$3:E125,商品マスタ[[#This Row],[商品名]]) = 1, 1,0)</f>
        <v/>
      </c>
      <c r="G125" s="133">
        <f>TEXT(SUMIF($C$3:C125,商品マスタ[[#This Row],[仕入先]],$F$3:F125), "0000")</f>
        <v/>
      </c>
      <c r="H125" s="167" t="inlineStr">
        <is>
          <t>kg</t>
        </is>
      </c>
      <c r="I125" s="167" t="inlineStr">
        <is>
          <t>1.0kg/袋</t>
        </is>
      </c>
      <c r="J125" s="167" t="inlineStr">
        <is>
          <t>1袋</t>
        </is>
      </c>
      <c r="K125" s="167" t="inlineStr">
        <is>
          <t>ミンチ</t>
        </is>
      </c>
      <c r="L125" s="289" t="n">
        <v>1700</v>
      </c>
      <c r="M125" s="157" t="n">
        <v>45960</v>
      </c>
      <c r="N125" s="289" t="n"/>
      <c r="O125" s="290">
        <f>IF(COUNT(商品マスタ[[#This Row],[参考上代
（税込)]]) &gt; 0, (商品マスタ[[#This Row],[参考上代
（税込)]]-商品マスタ[[#This Row],[国内定価
（15％）]])/(商品マスタ[[#This Row],[参考上代
（税込)]]/1.08), "")</f>
        <v/>
      </c>
      <c r="P125" s="136" t="n">
        <v>0.1</v>
      </c>
      <c r="Q125" s="291">
        <f>商品マスタ[[#This Row],[仕入
単価]]*商品マスタ[[#This Row],[標準国内送料率]]</f>
        <v/>
      </c>
      <c r="R125" s="289" t="n"/>
      <c r="S125" s="289">
        <f>IF(ISBLANK(商品マスタ[[#This Row],[実績
国内送料]]),商品マスタ[[#This Row],[標準国内送料]],)</f>
        <v/>
      </c>
      <c r="T125" s="289">
        <f>商品マスタ[[#This Row],[仕入
単価]]+商品マスタ[[#This Row],[国内送料]]</f>
        <v/>
      </c>
      <c r="U125" s="289">
        <f>ROUNDUP(商品マスタ[[#This Row],[仕入単価+国内送料]]/0.8,-1)</f>
        <v/>
      </c>
      <c r="V125" s="289">
        <f>商品マスタ[[#This Row],[海外定価
（20％）]]-商品マスタ[[#This Row],[仕入単価+国内送料]]</f>
        <v/>
      </c>
      <c r="W125" s="167">
        <f>ROUNDUP(商品マスタ[[#This Row],[仕入単価+国内送料]]/0.85,-1)</f>
        <v/>
      </c>
      <c r="X125" s="289">
        <f>商品マスタ[[#This Row],[国内定価
（15％）]]-商品マスタ[[#This Row],[仕入単価+国内送料]]</f>
        <v/>
      </c>
      <c r="Y125" s="139" t="n">
        <v>0.08</v>
      </c>
      <c r="Z125" s="167" t="n"/>
      <c r="AA125" s="167" t="n"/>
      <c r="AB125" s="167" t="n"/>
      <c r="AC125" s="293" t="n"/>
      <c r="AD125" s="167" t="n"/>
      <c r="AE125" s="167" t="n"/>
      <c r="AF125" s="167" t="n"/>
      <c r="AG125" s="144" t="n"/>
    </row>
    <row r="126" ht="18" customHeight="1" s="207">
      <c r="A126" s="166" t="inlineStr">
        <is>
          <t>精肉</t>
        </is>
      </c>
      <c r="B126" s="176" t="inlineStr">
        <is>
          <t>エゾシカ</t>
        </is>
      </c>
      <c r="C126" s="167" t="inlineStr">
        <is>
          <t>知床エゾシカファーム</t>
        </is>
      </c>
      <c r="D126" s="143">
        <f>"PRD_SNJ_"&amp;
_xlfn.XLOOKUP(商品マスタ[[#This Row],[仕入先]],テーブル1[仕入先名],テーブル1[仕入先コード],"XXX",0,1)&amp;
"_"&amp;
商品マスタ[[#This Row],[シリアル]]&amp;
"_"&amp;
TEXT(COUNTIFS(商品マスタ!$C$3:C126,商品マスタ[[#This Row],[仕入先]],商品マスタ!$E$3:E126,商品マスタ[[#This Row],[商品名]]), "00")</f>
        <v/>
      </c>
      <c r="E126" s="167" t="inlineStr">
        <is>
          <t>エゾシカ　挽き材</t>
        </is>
      </c>
      <c r="F126" s="167">
        <f>IF(COUNTIFS($C$3:C126,商品マスタ[[#This Row],[仕入先]],$E$3:E126,商品マスタ[[#This Row],[商品名]]) = 1, 1,0)</f>
        <v/>
      </c>
      <c r="G126" s="133">
        <f>TEXT(SUMIF($C$3:C126,商品マスタ[[#This Row],[仕入先]],$F$3:F126), "0000")</f>
        <v/>
      </c>
      <c r="H126" s="167" t="inlineStr">
        <is>
          <t>kg</t>
        </is>
      </c>
      <c r="I126" s="167" t="inlineStr">
        <is>
          <t>1.0kg/袋</t>
        </is>
      </c>
      <c r="J126" s="167" t="inlineStr">
        <is>
          <t>1袋</t>
        </is>
      </c>
      <c r="K126" s="167" t="inlineStr">
        <is>
          <t>ミンチ用材料</t>
        </is>
      </c>
      <c r="L126" s="289" t="n">
        <v>1500</v>
      </c>
      <c r="M126" s="157" t="n">
        <v>45960</v>
      </c>
      <c r="N126" s="289" t="n"/>
      <c r="O126" s="290">
        <f>IF(COUNT(商品マスタ[[#This Row],[参考上代
（税込)]]) &gt; 0, (商品マスタ[[#This Row],[参考上代
（税込)]]-商品マスタ[[#This Row],[国内定価
（15％）]])/(商品マスタ[[#This Row],[参考上代
（税込)]]/1.08), "")</f>
        <v/>
      </c>
      <c r="P126" s="136" t="n">
        <v>0.1</v>
      </c>
      <c r="Q126" s="291">
        <f>商品マスタ[[#This Row],[仕入
単価]]*商品マスタ[[#This Row],[標準国内送料率]]</f>
        <v/>
      </c>
      <c r="R126" s="289" t="n"/>
      <c r="S126" s="289">
        <f>IF(ISBLANK(商品マスタ[[#This Row],[実績
国内送料]]),商品マスタ[[#This Row],[標準国内送料]],)</f>
        <v/>
      </c>
      <c r="T126" s="289">
        <f>商品マスタ[[#This Row],[仕入
単価]]+商品マスタ[[#This Row],[国内送料]]</f>
        <v/>
      </c>
      <c r="U126" s="289">
        <f>ROUNDUP(商品マスタ[[#This Row],[仕入単価+国内送料]]/0.8,-1)</f>
        <v/>
      </c>
      <c r="V126" s="289">
        <f>商品マスタ[[#This Row],[海外定価
（20％）]]-商品マスタ[[#This Row],[仕入単価+国内送料]]</f>
        <v/>
      </c>
      <c r="W126" s="167">
        <f>ROUNDUP(商品マスタ[[#This Row],[仕入単価+国内送料]]/0.85,-1)</f>
        <v/>
      </c>
      <c r="X126" s="289">
        <f>商品マスタ[[#This Row],[国内定価
（15％）]]-商品マスタ[[#This Row],[仕入単価+国内送料]]</f>
        <v/>
      </c>
      <c r="Y126" s="139" t="n">
        <v>0.08</v>
      </c>
      <c r="Z126" s="167" t="n"/>
      <c r="AA126" s="167" t="n"/>
      <c r="AB126" s="167" t="n"/>
      <c r="AC126" s="293" t="n"/>
      <c r="AD126" s="167" t="n"/>
      <c r="AE126" s="167" t="n"/>
      <c r="AF126" s="167" t="n"/>
      <c r="AG126" s="144" t="n"/>
    </row>
    <row r="127" ht="18" customHeight="1" s="207">
      <c r="A127" s="166" t="inlineStr">
        <is>
          <t>精肉</t>
        </is>
      </c>
      <c r="B127" s="176" t="inlineStr">
        <is>
          <t>エゾシカ</t>
        </is>
      </c>
      <c r="C127" s="167" t="inlineStr">
        <is>
          <t>知床エゾシカファーム</t>
        </is>
      </c>
      <c r="D127" s="143">
        <f>"PRD_SNJ_"&amp;
_xlfn.XLOOKUP(商品マスタ[[#This Row],[仕入先]],テーブル1[仕入先名],テーブル1[仕入先コード],"XXX",0,1)&amp;
"_"&amp;
商品マスタ[[#This Row],[シリアル]]&amp;
"_"&amp;
TEXT(COUNTIFS(商品マスタ!$C$3:C127,商品マスタ[[#This Row],[仕入先]],商品マスタ!$E$3:E127,商品マスタ[[#This Row],[商品名]]), "00")</f>
        <v/>
      </c>
      <c r="E127" s="167" t="inlineStr">
        <is>
          <t>エゾシカ　バラ</t>
        </is>
      </c>
      <c r="F127" s="167">
        <f>IF(COUNTIFS($C$3:C127,商品マスタ[[#This Row],[仕入先]],$E$3:E127,商品マスタ[[#This Row],[商品名]]) = 1, 1,0)</f>
        <v/>
      </c>
      <c r="G127" s="133">
        <f>TEXT(SUMIF($C$3:C127,商品マスタ[[#This Row],[仕入先]],$F$3:F127), "0000")</f>
        <v/>
      </c>
      <c r="H127" s="167" t="inlineStr">
        <is>
          <t>kg</t>
        </is>
      </c>
      <c r="I127" s="167" t="inlineStr">
        <is>
          <t>1.0kg/枚</t>
        </is>
      </c>
      <c r="J127" s="167" t="inlineStr">
        <is>
          <t>1枚</t>
        </is>
      </c>
      <c r="K127" s="167" t="inlineStr">
        <is>
          <t>ブロック（冬期のみ）</t>
        </is>
      </c>
      <c r="L127" s="289" t="n">
        <v>2500</v>
      </c>
      <c r="M127" s="157" t="n">
        <v>45960</v>
      </c>
      <c r="N127" s="289" t="n"/>
      <c r="O127" s="290">
        <f>IF(COUNT(商品マスタ[[#This Row],[参考上代
（税込)]]) &gt; 0, (商品マスタ[[#This Row],[参考上代
（税込)]]-商品マスタ[[#This Row],[国内定価
（15％）]])/(商品マスタ[[#This Row],[参考上代
（税込)]]/1.08), "")</f>
        <v/>
      </c>
      <c r="P127" s="136" t="n">
        <v>0.1</v>
      </c>
      <c r="Q127" s="291">
        <f>商品マスタ[[#This Row],[仕入
単価]]*商品マスタ[[#This Row],[標準国内送料率]]</f>
        <v/>
      </c>
      <c r="R127" s="289" t="n"/>
      <c r="S127" s="289">
        <f>IF(ISBLANK(商品マスタ[[#This Row],[実績
国内送料]]),商品マスタ[[#This Row],[標準国内送料]],)</f>
        <v/>
      </c>
      <c r="T127" s="289">
        <f>商品マスタ[[#This Row],[仕入
単価]]+商品マスタ[[#This Row],[国内送料]]</f>
        <v/>
      </c>
      <c r="U127" s="289">
        <f>ROUNDUP(商品マスタ[[#This Row],[仕入単価+国内送料]]/0.8,-1)</f>
        <v/>
      </c>
      <c r="V127" s="289">
        <f>商品マスタ[[#This Row],[海外定価
（20％）]]-商品マスタ[[#This Row],[仕入単価+国内送料]]</f>
        <v/>
      </c>
      <c r="W127" s="167">
        <f>ROUNDUP(商品マスタ[[#This Row],[仕入単価+国内送料]]/0.85,-1)</f>
        <v/>
      </c>
      <c r="X127" s="289">
        <f>商品マスタ[[#This Row],[国内定価
（15％）]]-商品マスタ[[#This Row],[仕入単価+国内送料]]</f>
        <v/>
      </c>
      <c r="Y127" s="139" t="n">
        <v>0.08</v>
      </c>
      <c r="Z127" s="167" t="n"/>
      <c r="AA127" s="167" t="n"/>
      <c r="AB127" s="167" t="n"/>
      <c r="AC127" s="293" t="n"/>
      <c r="AD127" s="167" t="n"/>
      <c r="AE127" s="167" t="n"/>
      <c r="AF127" s="167" t="n"/>
      <c r="AG127" s="144" t="n"/>
    </row>
    <row r="128" ht="18" customHeight="1" s="207">
      <c r="A128" s="166" t="inlineStr">
        <is>
          <t>精肉</t>
        </is>
      </c>
      <c r="B128" s="176" t="inlineStr">
        <is>
          <t>エゾシカ</t>
        </is>
      </c>
      <c r="C128" s="167" t="inlineStr">
        <is>
          <t>知床エゾシカファーム</t>
        </is>
      </c>
      <c r="D128" s="143">
        <f>"PRD_SNJ_"&amp;
_xlfn.XLOOKUP(商品マスタ[[#This Row],[仕入先]],テーブル1[仕入先名],テーブル1[仕入先コード],"XXX",0,1)&amp;
"_"&amp;
商品マスタ[[#This Row],[シリアル]]&amp;
"_"&amp;
TEXT(COUNTIFS(商品マスタ!$C$3:C128,商品マスタ[[#This Row],[仕入先]],商品マスタ!$E$3:E128,商品マスタ[[#This Row],[商品名]]), "00")</f>
        <v/>
      </c>
      <c r="E128" s="167" t="inlineStr">
        <is>
          <t>エゾシカ　サドル</t>
        </is>
      </c>
      <c r="F128" s="167">
        <f>IF(COUNTIFS($C$3:C128,商品マスタ[[#This Row],[仕入先]],$E$3:E128,商品マスタ[[#This Row],[商品名]]) = 1, 1,0)</f>
        <v/>
      </c>
      <c r="G128" s="133">
        <f>TEXT(SUMIF($C$3:C128,商品マスタ[[#This Row],[仕入先]],$F$3:F128), "0000")</f>
        <v/>
      </c>
      <c r="H128" s="167" t="inlineStr">
        <is>
          <t>kg</t>
        </is>
      </c>
      <c r="I128" s="167" t="inlineStr">
        <is>
          <t>1.0kg/本</t>
        </is>
      </c>
      <c r="J128" s="167" t="inlineStr">
        <is>
          <t>1本</t>
        </is>
      </c>
      <c r="K128" s="167" t="inlineStr">
        <is>
          <t>骨付き</t>
        </is>
      </c>
      <c r="L128" s="289" t="n">
        <v>4300</v>
      </c>
      <c r="M128" s="157" t="n">
        <v>45960</v>
      </c>
      <c r="N128" s="289" t="n"/>
      <c r="O128" s="290">
        <f>IF(COUNT(商品マスタ[[#This Row],[参考上代
（税込)]]) &gt; 0, (商品マスタ[[#This Row],[参考上代
（税込)]]-商品マスタ[[#This Row],[国内定価
（15％）]])/(商品マスタ[[#This Row],[参考上代
（税込)]]/1.08), "")</f>
        <v/>
      </c>
      <c r="P128" s="136" t="n">
        <v>0.1</v>
      </c>
      <c r="Q128" s="291">
        <f>商品マスタ[[#This Row],[仕入
単価]]*商品マスタ[[#This Row],[標準国内送料率]]</f>
        <v/>
      </c>
      <c r="R128" s="289" t="n"/>
      <c r="S128" s="289">
        <f>IF(ISBLANK(商品マスタ[[#This Row],[実績
国内送料]]),商品マスタ[[#This Row],[標準国内送料]],)</f>
        <v/>
      </c>
      <c r="T128" s="289">
        <f>商品マスタ[[#This Row],[仕入
単価]]+商品マスタ[[#This Row],[国内送料]]</f>
        <v/>
      </c>
      <c r="U128" s="289">
        <f>ROUNDUP(商品マスタ[[#This Row],[仕入単価+国内送料]]/0.8,-1)</f>
        <v/>
      </c>
      <c r="V128" s="289">
        <f>商品マスタ[[#This Row],[海外定価
（20％）]]-商品マスタ[[#This Row],[仕入単価+国内送料]]</f>
        <v/>
      </c>
      <c r="W128" s="167">
        <f>ROUNDUP(商品マスタ[[#This Row],[仕入単価+国内送料]]/0.85,-1)</f>
        <v/>
      </c>
      <c r="X128" s="289">
        <f>商品マスタ[[#This Row],[国内定価
（15％）]]-商品マスタ[[#This Row],[仕入単価+国内送料]]</f>
        <v/>
      </c>
      <c r="Y128" s="139" t="n">
        <v>0.08</v>
      </c>
      <c r="Z128" s="167" t="n"/>
      <c r="AA128" s="167" t="n"/>
      <c r="AB128" s="167" t="n"/>
      <c r="AC128" s="293" t="n"/>
      <c r="AD128" s="167" t="n"/>
      <c r="AE128" s="167" t="n"/>
      <c r="AF128" s="167" t="n"/>
      <c r="AG128" s="144" t="n"/>
    </row>
    <row r="129" ht="18" customHeight="1" s="207">
      <c r="A129" s="166" t="inlineStr">
        <is>
          <t>精肉</t>
        </is>
      </c>
      <c r="B129" s="176" t="inlineStr">
        <is>
          <t>エゾシカ</t>
        </is>
      </c>
      <c r="C129" s="167" t="inlineStr">
        <is>
          <t>知床エゾシカファーム</t>
        </is>
      </c>
      <c r="D129" s="143">
        <f>"PRD_SNJ_"&amp;
_xlfn.XLOOKUP(商品マスタ[[#This Row],[仕入先]],テーブル1[仕入先名],テーブル1[仕入先コード],"XXX",0,1)&amp;
"_"&amp;
商品マスタ[[#This Row],[シリアル]]&amp;
"_"&amp;
TEXT(COUNTIFS(商品マスタ!$C$3:C129,商品マスタ[[#This Row],[仕入先]],商品マスタ!$E$3:E129,商品マスタ[[#This Row],[商品名]]), "00")</f>
        <v/>
      </c>
      <c r="E129" s="167" t="inlineStr">
        <is>
          <t>エゾシカ　ハーフサドル</t>
        </is>
      </c>
      <c r="F129" s="167">
        <f>IF(COUNTIFS($C$3:C129,商品マスタ[[#This Row],[仕入先]],$E$3:E129,商品マスタ[[#This Row],[商品名]]) = 1, 1,0)</f>
        <v/>
      </c>
      <c r="G129" s="133">
        <f>TEXT(SUMIF($C$3:C129,商品マスタ[[#This Row],[仕入先]],$F$3:F129), "0000")</f>
        <v/>
      </c>
      <c r="H129" s="167" t="inlineStr">
        <is>
          <t>kg</t>
        </is>
      </c>
      <c r="I129" s="167" t="inlineStr">
        <is>
          <t>1.0kg/本</t>
        </is>
      </c>
      <c r="J129" s="167" t="inlineStr">
        <is>
          <t>1本</t>
        </is>
      </c>
      <c r="K129" s="167" t="inlineStr">
        <is>
          <t>骨付き</t>
        </is>
      </c>
      <c r="L129" s="289" t="n">
        <v>4300</v>
      </c>
      <c r="M129" s="157" t="n">
        <v>45960</v>
      </c>
      <c r="N129" s="289" t="n"/>
      <c r="O129" s="290">
        <f>IF(COUNT(商品マスタ[[#This Row],[参考上代
（税込)]]) &gt; 0, (商品マスタ[[#This Row],[参考上代
（税込)]]-商品マスタ[[#This Row],[国内定価
（15％）]])/(商品マスタ[[#This Row],[参考上代
（税込)]]/1.08), "")</f>
        <v/>
      </c>
      <c r="P129" s="136" t="n">
        <v>0.1</v>
      </c>
      <c r="Q129" s="291">
        <f>商品マスタ[[#This Row],[仕入
単価]]*商品マスタ[[#This Row],[標準国内送料率]]</f>
        <v/>
      </c>
      <c r="R129" s="289" t="n"/>
      <c r="S129" s="289">
        <f>IF(ISBLANK(商品マスタ[[#This Row],[実績
国内送料]]),商品マスタ[[#This Row],[標準国内送料]],)</f>
        <v/>
      </c>
      <c r="T129" s="289">
        <f>商品マスタ[[#This Row],[仕入
単価]]+商品マスタ[[#This Row],[国内送料]]</f>
        <v/>
      </c>
      <c r="U129" s="289">
        <f>ROUNDUP(商品マスタ[[#This Row],[仕入単価+国内送料]]/0.8,-1)</f>
        <v/>
      </c>
      <c r="V129" s="289">
        <f>商品マスタ[[#This Row],[海外定価
（20％）]]-商品マスタ[[#This Row],[仕入単価+国内送料]]</f>
        <v/>
      </c>
      <c r="W129" s="167">
        <f>ROUNDUP(商品マスタ[[#This Row],[仕入単価+国内送料]]/0.85,-1)</f>
        <v/>
      </c>
      <c r="X129" s="289">
        <f>商品マスタ[[#This Row],[国内定価
（15％）]]-商品マスタ[[#This Row],[仕入単価+国内送料]]</f>
        <v/>
      </c>
      <c r="Y129" s="139" t="n">
        <v>0.08</v>
      </c>
      <c r="Z129" s="167" t="n"/>
      <c r="AA129" s="167" t="n"/>
      <c r="AB129" s="167" t="n"/>
      <c r="AC129" s="293" t="n"/>
      <c r="AD129" s="167" t="n"/>
      <c r="AE129" s="167" t="n"/>
      <c r="AF129" s="167" t="n"/>
      <c r="AG129" s="144" t="n"/>
    </row>
    <row r="130" ht="18" customHeight="1" s="207">
      <c r="A130" s="166" t="inlineStr">
        <is>
          <t>精肉</t>
        </is>
      </c>
      <c r="B130" s="176" t="inlineStr">
        <is>
          <t>エゾシカ</t>
        </is>
      </c>
      <c r="C130" s="167" t="inlineStr">
        <is>
          <t>知床エゾシカファーム</t>
        </is>
      </c>
      <c r="D130" s="143">
        <f>"PRD_SNJ_"&amp;
_xlfn.XLOOKUP(商品マスタ[[#This Row],[仕入先]],テーブル1[仕入先名],テーブル1[仕入先コード],"XXX",0,1)&amp;
"_"&amp;
商品マスタ[[#This Row],[シリアル]]&amp;
"_"&amp;
TEXT(COUNTIFS(商品マスタ!$C$3:C130,商品マスタ[[#This Row],[仕入先]],商品マスタ!$E$3:E130,商品マスタ[[#This Row],[商品名]]), "00")</f>
        <v/>
      </c>
      <c r="E130" s="167" t="inlineStr">
        <is>
          <t>エゾシカ　フレンチラック</t>
        </is>
      </c>
      <c r="F130" s="167">
        <f>IF(COUNTIFS($C$3:C130,商品マスタ[[#This Row],[仕入先]],$E$3:E130,商品マスタ[[#This Row],[商品名]]) = 1, 1,0)</f>
        <v/>
      </c>
      <c r="G130" s="133">
        <f>TEXT(SUMIF($C$3:C130,商品マスタ[[#This Row],[仕入先]],$F$3:F130), "0000")</f>
        <v/>
      </c>
      <c r="H130" s="167" t="inlineStr">
        <is>
          <t>kg</t>
        </is>
      </c>
      <c r="I130" s="167" t="inlineStr">
        <is>
          <t>1.0kg/本</t>
        </is>
      </c>
      <c r="J130" s="167" t="inlineStr">
        <is>
          <t>1本</t>
        </is>
      </c>
      <c r="K130" s="167" t="inlineStr">
        <is>
          <t>骨付き</t>
        </is>
      </c>
      <c r="L130" s="289" t="n">
        <v>4300</v>
      </c>
      <c r="M130" s="157" t="n">
        <v>45960</v>
      </c>
      <c r="N130" s="289" t="n"/>
      <c r="O130" s="290">
        <f>IF(COUNT(商品マスタ[[#This Row],[参考上代
（税込)]]) &gt; 0, (商品マスタ[[#This Row],[参考上代
（税込)]]-商品マスタ[[#This Row],[国内定価
（15％）]])/(商品マスタ[[#This Row],[参考上代
（税込)]]/1.08), "")</f>
        <v/>
      </c>
      <c r="P130" s="136" t="n">
        <v>0.1</v>
      </c>
      <c r="Q130" s="291">
        <f>商品マスタ[[#This Row],[仕入
単価]]*商品マスタ[[#This Row],[標準国内送料率]]</f>
        <v/>
      </c>
      <c r="R130" s="289" t="n"/>
      <c r="S130" s="289">
        <f>IF(ISBLANK(商品マスタ[[#This Row],[実績
国内送料]]),商品マスタ[[#This Row],[標準国内送料]],)</f>
        <v/>
      </c>
      <c r="T130" s="289">
        <f>商品マスタ[[#This Row],[仕入
単価]]+商品マスタ[[#This Row],[国内送料]]</f>
        <v/>
      </c>
      <c r="U130" s="289">
        <f>ROUNDUP(商品マスタ[[#This Row],[仕入単価+国内送料]]/0.8,-1)</f>
        <v/>
      </c>
      <c r="V130" s="289">
        <f>商品マスタ[[#This Row],[海外定価
（20％）]]-商品マスタ[[#This Row],[仕入単価+国内送料]]</f>
        <v/>
      </c>
      <c r="W130" s="167">
        <f>ROUNDUP(商品マスタ[[#This Row],[仕入単価+国内送料]]/0.85,-1)</f>
        <v/>
      </c>
      <c r="X130" s="289">
        <f>商品マスタ[[#This Row],[国内定価
（15％）]]-商品マスタ[[#This Row],[仕入単価+国内送料]]</f>
        <v/>
      </c>
      <c r="Y130" s="139" t="n">
        <v>0.08</v>
      </c>
      <c r="Z130" s="167" t="n"/>
      <c r="AA130" s="167" t="n"/>
      <c r="AB130" s="167" t="n"/>
      <c r="AC130" s="293" t="n"/>
      <c r="AD130" s="167" t="n"/>
      <c r="AE130" s="167" t="n"/>
      <c r="AF130" s="167" t="n"/>
      <c r="AG130" s="144" t="n"/>
    </row>
    <row r="131" ht="18" customHeight="1" s="207">
      <c r="A131" s="166" t="inlineStr">
        <is>
          <t>精肉</t>
        </is>
      </c>
      <c r="B131" s="176" t="inlineStr">
        <is>
          <t>エゾシカ</t>
        </is>
      </c>
      <c r="C131" s="167" t="inlineStr">
        <is>
          <t>GOODGOOD</t>
        </is>
      </c>
      <c r="D131" s="143">
        <f>"PRD_SNJ_"&amp;
_xlfn.XLOOKUP(商品マスタ[[#This Row],[仕入先]],テーブル1[仕入先名],テーブル1[仕入先コード],"XXX",0,1)&amp;
"_"&amp;
商品マスタ[[#This Row],[シリアル]]&amp;
"_"&amp;
TEXT(COUNTIFS(商品マスタ!$C$3:C131,商品マスタ[[#This Row],[仕入先]],商品マスタ!$E$3:E131,商品マスタ[[#This Row],[商品名]]), "00")</f>
        <v/>
      </c>
      <c r="E131" s="167" t="inlineStr">
        <is>
          <t>エゾシカ　ボーンレスストリップ</t>
        </is>
      </c>
      <c r="F131" s="167">
        <f>IF(COUNTIFS($C$3:C131,商品マスタ[[#This Row],[仕入先]],$E$3:E131,商品マスタ[[#This Row],[商品名]]) = 1, 1,0)</f>
        <v/>
      </c>
      <c r="G131" s="133">
        <f>TEXT(SUMIF($C$3:C131,商品マスタ[[#This Row],[仕入先]],$F$3:F131), "0000")</f>
        <v/>
      </c>
      <c r="H131" s="167" t="inlineStr">
        <is>
          <t>kg</t>
        </is>
      </c>
      <c r="I131" s="167" t="inlineStr">
        <is>
          <t>約1.5kg/本</t>
        </is>
      </c>
      <c r="J131" s="167" t="inlineStr">
        <is>
          <t>1本</t>
        </is>
      </c>
      <c r="K131" s="167" t="inlineStr">
        <is>
          <t>ブロック</t>
        </is>
      </c>
      <c r="L131" s="289" t="n">
        <v>7800</v>
      </c>
      <c r="M131" s="157" t="n">
        <v>45834</v>
      </c>
      <c r="N131" s="289" t="n"/>
      <c r="O131" s="290">
        <f>IF(COUNT(商品マスタ[[#This Row],[参考上代
（税込)]]) &gt; 0, (商品マスタ[[#This Row],[参考上代
（税込)]]-商品マスタ[[#This Row],[国内定価
（15％）]])/(商品マスタ[[#This Row],[参考上代
（税込)]]/1.08), "")</f>
        <v/>
      </c>
      <c r="P131" s="136" t="n">
        <v>0.1</v>
      </c>
      <c r="Q131" s="291">
        <f>商品マスタ[[#This Row],[仕入
単価]]*商品マスタ[[#This Row],[標準国内送料率]]</f>
        <v/>
      </c>
      <c r="R131" s="289" t="n"/>
      <c r="S131" s="289">
        <f>IF(ISBLANK(商品マスタ[[#This Row],[実績
国内送料]]),商品マスタ[[#This Row],[標準国内送料]],)</f>
        <v/>
      </c>
      <c r="T131" s="289">
        <f>商品マスタ[[#This Row],[仕入
単価]]+商品マスタ[[#This Row],[国内送料]]</f>
        <v/>
      </c>
      <c r="U131" s="289">
        <f>ROUNDUP(商品マスタ[[#This Row],[仕入単価+国内送料]]/0.8,-1)</f>
        <v/>
      </c>
      <c r="V131" s="289">
        <f>商品マスタ[[#This Row],[海外定価
（20％）]]-商品マスタ[[#This Row],[仕入単価+国内送料]]</f>
        <v/>
      </c>
      <c r="W131" s="167">
        <f>ROUNDUP(商品マスタ[[#This Row],[仕入単価+国内送料]]/0.85,-1)</f>
        <v/>
      </c>
      <c r="X131" s="289">
        <f>商品マスタ[[#This Row],[国内定価
（15％）]]-商品マスタ[[#This Row],[仕入単価+国内送料]]</f>
        <v/>
      </c>
      <c r="Y131" s="139" t="n">
        <v>0.08</v>
      </c>
      <c r="Z131" s="167" t="n"/>
      <c r="AA131" s="167" t="n"/>
      <c r="AB131" s="167" t="n"/>
      <c r="AC131" s="293" t="n"/>
      <c r="AD131" s="167" t="n"/>
      <c r="AE131" s="167" t="n"/>
      <c r="AF131" s="167" t="n"/>
      <c r="AG131" s="144" t="n"/>
    </row>
    <row r="132" ht="18" customHeight="1" s="207">
      <c r="A132" s="166" t="inlineStr">
        <is>
          <t>精肉</t>
        </is>
      </c>
      <c r="B132" s="176" t="inlineStr">
        <is>
          <t>エゾシカ</t>
        </is>
      </c>
      <c r="C132" s="167" t="inlineStr">
        <is>
          <t>GOODGOOD</t>
        </is>
      </c>
      <c r="D132" s="143">
        <f>"PRD_SNJ_"&amp;
_xlfn.XLOOKUP(商品マスタ[[#This Row],[仕入先]],テーブル1[仕入先名],テーブル1[仕入先コード],"XXX",0,1)&amp;
"_"&amp;
商品マスタ[[#This Row],[シリアル]]&amp;
"_"&amp;
TEXT(COUNTIFS(商品マスタ!$C$3:C132,商品マスタ[[#This Row],[仕入先]],商品マスタ!$E$3:E132,商品マスタ[[#This Row],[商品名]]), "00")</f>
        <v/>
      </c>
      <c r="E132" s="167" t="inlineStr">
        <is>
          <t>エゾシカ　ロングロイン</t>
        </is>
      </c>
      <c r="F132" s="167">
        <f>IF(COUNTIFS($C$3:C132,商品マスタ[[#This Row],[仕入先]],$E$3:E132,商品マスタ[[#This Row],[商品名]]) = 1, 1,0)</f>
        <v/>
      </c>
      <c r="G132" s="133">
        <f>TEXT(SUMIF($C$3:C132,商品マスタ[[#This Row],[仕入先]],$F$3:F132), "0000")</f>
        <v/>
      </c>
      <c r="H132" s="167" t="inlineStr">
        <is>
          <t>kg</t>
        </is>
      </c>
      <c r="I132" s="167" t="inlineStr">
        <is>
          <t>約2.0kg/本</t>
        </is>
      </c>
      <c r="J132" s="167" t="inlineStr">
        <is>
          <t>1本</t>
        </is>
      </c>
      <c r="K132" s="167" t="inlineStr">
        <is>
          <t>肩ロース～サーロイン脂付</t>
        </is>
      </c>
      <c r="L132" s="289" t="n">
        <v>7000</v>
      </c>
      <c r="M132" s="157" t="n">
        <v>45834</v>
      </c>
      <c r="N132" s="289" t="n"/>
      <c r="O132" s="290">
        <f>IF(COUNT(商品マスタ[[#This Row],[参考上代
（税込)]]) &gt; 0, (商品マスタ[[#This Row],[参考上代
（税込)]]-商品マスタ[[#This Row],[国内定価
（15％）]])/(商品マスタ[[#This Row],[参考上代
（税込)]]/1.08), "")</f>
        <v/>
      </c>
      <c r="P132" s="136" t="n">
        <v>0.1</v>
      </c>
      <c r="Q132" s="291">
        <f>商品マスタ[[#This Row],[仕入
単価]]*商品マスタ[[#This Row],[標準国内送料率]]</f>
        <v/>
      </c>
      <c r="R132" s="289" t="n"/>
      <c r="S132" s="289">
        <f>IF(ISBLANK(商品マスタ[[#This Row],[実績
国内送料]]),商品マスタ[[#This Row],[標準国内送料]],)</f>
        <v/>
      </c>
      <c r="T132" s="289">
        <f>商品マスタ[[#This Row],[仕入
単価]]+商品マスタ[[#This Row],[国内送料]]</f>
        <v/>
      </c>
      <c r="U132" s="289">
        <f>ROUNDUP(商品マスタ[[#This Row],[仕入単価+国内送料]]/0.8,-1)</f>
        <v/>
      </c>
      <c r="V132" s="289">
        <f>商品マスタ[[#This Row],[海外定価
（20％）]]-商品マスタ[[#This Row],[仕入単価+国内送料]]</f>
        <v/>
      </c>
      <c r="W132" s="167">
        <f>ROUNDUP(商品マスタ[[#This Row],[仕入単価+国内送料]]/0.85,-1)</f>
        <v/>
      </c>
      <c r="X132" s="289">
        <f>商品マスタ[[#This Row],[国内定価
（15％）]]-商品マスタ[[#This Row],[仕入単価+国内送料]]</f>
        <v/>
      </c>
      <c r="Y132" s="139" t="n">
        <v>0.08</v>
      </c>
      <c r="Z132" s="167" t="n"/>
      <c r="AA132" s="167" t="n"/>
      <c r="AB132" s="167" t="n"/>
      <c r="AC132" s="293" t="n"/>
      <c r="AD132" s="167" t="n"/>
      <c r="AE132" s="167" t="n"/>
      <c r="AF132" s="167" t="n"/>
      <c r="AG132" s="144" t="n"/>
    </row>
    <row r="133" ht="18" customHeight="1" s="207">
      <c r="A133" s="166" t="inlineStr">
        <is>
          <t>精肉</t>
        </is>
      </c>
      <c r="B133" s="176" t="inlineStr">
        <is>
          <t>エゾシカ</t>
        </is>
      </c>
      <c r="C133" s="167" t="inlineStr">
        <is>
          <t>GOODGOOD</t>
        </is>
      </c>
      <c r="D133" s="143">
        <f>"PRD_SNJ_"&amp;
_xlfn.XLOOKUP(商品マスタ[[#This Row],[仕入先]],テーブル1[仕入先名],テーブル1[仕入先コード],"XXX",0,1)&amp;
"_"&amp;
商品マスタ[[#This Row],[シリアル]]&amp;
"_"&amp;
TEXT(COUNTIFS(商品マスタ!$C$3:C133,商品マスタ[[#This Row],[仕入先]],商品マスタ!$E$3:E133,商品マスタ[[#This Row],[商品名]]), "00")</f>
        <v/>
      </c>
      <c r="E133" s="167" t="inlineStr">
        <is>
          <t>エゾシカ　赤身（ウデ・スネ）</t>
        </is>
      </c>
      <c r="F133" s="167">
        <f>IF(COUNTIFS($C$3:C133,商品マスタ[[#This Row],[仕入先]],$E$3:E133,商品マスタ[[#This Row],[商品名]]) = 1, 1,0)</f>
        <v/>
      </c>
      <c r="G133" s="133">
        <f>TEXT(SUMIF($C$3:C133,商品マスタ[[#This Row],[仕入先]],$F$3:F133), "0000")</f>
        <v/>
      </c>
      <c r="H133" s="167" t="inlineStr">
        <is>
          <t>kg</t>
        </is>
      </c>
      <c r="I133" s="167" t="inlineStr">
        <is>
          <t>約0.5kg/個</t>
        </is>
      </c>
      <c r="J133" s="167" t="inlineStr">
        <is>
          <t>1個</t>
        </is>
      </c>
      <c r="K133" s="167" t="inlineStr">
        <is>
          <t>ブロック</t>
        </is>
      </c>
      <c r="L133" s="289" t="n">
        <v>3500</v>
      </c>
      <c r="M133" s="157" t="n">
        <v>45834</v>
      </c>
      <c r="N133" s="289" t="n"/>
      <c r="O133" s="290">
        <f>IF(COUNT(商品マスタ[[#This Row],[参考上代
（税込)]]) &gt; 0, (商品マスタ[[#This Row],[参考上代
（税込)]]-商品マスタ[[#This Row],[国内定価
（15％）]])/(商品マスタ[[#This Row],[参考上代
（税込)]]/1.08), "")</f>
        <v/>
      </c>
      <c r="P133" s="136" t="n">
        <v>0.1</v>
      </c>
      <c r="Q133" s="291">
        <f>商品マスタ[[#This Row],[仕入
単価]]*商品マスタ[[#This Row],[標準国内送料率]]</f>
        <v/>
      </c>
      <c r="R133" s="289" t="n"/>
      <c r="S133" s="289">
        <f>IF(ISBLANK(商品マスタ[[#This Row],[実績
国内送料]]),商品マスタ[[#This Row],[標準国内送料]],)</f>
        <v/>
      </c>
      <c r="T133" s="289">
        <f>商品マスタ[[#This Row],[仕入
単価]]+商品マスタ[[#This Row],[国内送料]]</f>
        <v/>
      </c>
      <c r="U133" s="289">
        <f>ROUNDUP(商品マスタ[[#This Row],[仕入単価+国内送料]]/0.8,-1)</f>
        <v/>
      </c>
      <c r="V133" s="289">
        <f>商品マスタ[[#This Row],[海外定価
（20％）]]-商品マスタ[[#This Row],[仕入単価+国内送料]]</f>
        <v/>
      </c>
      <c r="W133" s="167">
        <f>ROUNDUP(商品マスタ[[#This Row],[仕入単価+国内送料]]/0.85,-1)</f>
        <v/>
      </c>
      <c r="X133" s="289">
        <f>商品マスタ[[#This Row],[国内定価
（15％）]]-商品マスタ[[#This Row],[仕入単価+国内送料]]</f>
        <v/>
      </c>
      <c r="Y133" s="139" t="n">
        <v>0.08</v>
      </c>
      <c r="Z133" s="167" t="n"/>
      <c r="AA133" s="167" t="n"/>
      <c r="AB133" s="167" t="n"/>
      <c r="AC133" s="293" t="n"/>
      <c r="AD133" s="167" t="n"/>
      <c r="AE133" s="167" t="n"/>
      <c r="AF133" s="167" t="n"/>
      <c r="AG133" s="144" t="n"/>
    </row>
    <row r="134" ht="18" customHeight="1" s="207">
      <c r="A134" s="166" t="inlineStr">
        <is>
          <t>精肉</t>
        </is>
      </c>
      <c r="B134" s="176" t="inlineStr">
        <is>
          <t>エゾシカ</t>
        </is>
      </c>
      <c r="C134" s="167" t="inlineStr">
        <is>
          <t>GOODGOOD</t>
        </is>
      </c>
      <c r="D134" s="143">
        <f>"PRD_SNJ_"&amp;
_xlfn.XLOOKUP(商品マスタ[[#This Row],[仕入先]],テーブル1[仕入先名],テーブル1[仕入先コード],"XXX",0,1)&amp;
"_"&amp;
商品マスタ[[#This Row],[シリアル]]&amp;
"_"&amp;
TEXT(COUNTIFS(商品マスタ!$C$3:C134,商品マスタ[[#This Row],[仕入先]],商品マスタ!$E$3:E134,商品マスタ[[#This Row],[商品名]]), "00")</f>
        <v/>
      </c>
      <c r="E134" s="167" t="inlineStr">
        <is>
          <t>エゾシカ　シンタマ</t>
        </is>
      </c>
      <c r="F134" s="167">
        <f>IF(COUNTIFS($C$3:C134,商品マスタ[[#This Row],[仕入先]],$E$3:E134,商品マスタ[[#This Row],[商品名]]) = 1, 1,0)</f>
        <v/>
      </c>
      <c r="G134" s="133">
        <f>TEXT(SUMIF($C$3:C134,商品マスタ[[#This Row],[仕入先]],$F$3:F134), "0000")</f>
        <v/>
      </c>
      <c r="H134" s="167" t="inlineStr">
        <is>
          <t>kg</t>
        </is>
      </c>
      <c r="I134" s="167" t="inlineStr">
        <is>
          <t>約1.5kg/個</t>
        </is>
      </c>
      <c r="J134" s="167" t="inlineStr">
        <is>
          <t>1個</t>
        </is>
      </c>
      <c r="K134" s="167" t="inlineStr">
        <is>
          <t>ブロック</t>
        </is>
      </c>
      <c r="L134" s="289" t="n">
        <v>3800</v>
      </c>
      <c r="M134" s="157" t="n">
        <v>45834</v>
      </c>
      <c r="N134" s="289" t="n"/>
      <c r="O134" s="290">
        <f>IF(COUNT(商品マスタ[[#This Row],[参考上代
（税込)]]) &gt; 0, (商品マスタ[[#This Row],[参考上代
（税込)]]-商品マスタ[[#This Row],[国内定価
（15％）]])/(商品マスタ[[#This Row],[参考上代
（税込)]]/1.08), "")</f>
        <v/>
      </c>
      <c r="P134" s="136" t="n">
        <v>0.1</v>
      </c>
      <c r="Q134" s="291">
        <f>商品マスタ[[#This Row],[仕入
単価]]*商品マスタ[[#This Row],[標準国内送料率]]</f>
        <v/>
      </c>
      <c r="R134" s="289" t="n"/>
      <c r="S134" s="289">
        <f>IF(ISBLANK(商品マスタ[[#This Row],[実績
国内送料]]),商品マスタ[[#This Row],[標準国内送料]],)</f>
        <v/>
      </c>
      <c r="T134" s="289">
        <f>商品マスタ[[#This Row],[仕入
単価]]+商品マスタ[[#This Row],[国内送料]]</f>
        <v/>
      </c>
      <c r="U134" s="289">
        <f>ROUNDUP(商品マスタ[[#This Row],[仕入単価+国内送料]]/0.8,-1)</f>
        <v/>
      </c>
      <c r="V134" s="289">
        <f>商品マスタ[[#This Row],[海外定価
（20％）]]-商品マスタ[[#This Row],[仕入単価+国内送料]]</f>
        <v/>
      </c>
      <c r="W134" s="167">
        <f>ROUNDUP(商品マスタ[[#This Row],[仕入単価+国内送料]]/0.85,-1)</f>
        <v/>
      </c>
      <c r="X134" s="289">
        <f>商品マスタ[[#This Row],[国内定価
（15％）]]-商品マスタ[[#This Row],[仕入単価+国内送料]]</f>
        <v/>
      </c>
      <c r="Y134" s="139" t="n">
        <v>0.08</v>
      </c>
      <c r="Z134" s="167" t="n"/>
      <c r="AA134" s="167" t="n"/>
      <c r="AB134" s="167" t="n"/>
      <c r="AC134" s="293" t="n"/>
      <c r="AD134" s="167" t="n"/>
      <c r="AE134" s="167" t="n"/>
      <c r="AF134" s="167" t="n"/>
      <c r="AG134" s="144" t="n"/>
    </row>
    <row r="135" ht="18" customHeight="1" s="207">
      <c r="A135" s="166" t="inlineStr">
        <is>
          <t>精肉</t>
        </is>
      </c>
      <c r="B135" s="176" t="inlineStr">
        <is>
          <t>エゾシカ</t>
        </is>
      </c>
      <c r="C135" s="167" t="inlineStr">
        <is>
          <t>GOODGOOD</t>
        </is>
      </c>
      <c r="D135" s="143">
        <f>"PRD_SNJ_"&amp;
_xlfn.XLOOKUP(商品マスタ[[#This Row],[仕入先]],テーブル1[仕入先名],テーブル1[仕入先コード],"XXX",0,1)&amp;
"_"&amp;
商品マスタ[[#This Row],[シリアル]]&amp;
"_"&amp;
TEXT(COUNTIFS(商品マスタ!$C$3:C135,商品マスタ[[#This Row],[仕入先]],商品マスタ!$E$3:E135,商品マスタ[[#This Row],[商品名]]), "00")</f>
        <v/>
      </c>
      <c r="E135" s="167" t="inlineStr">
        <is>
          <t>エゾシカ　ヒレ</t>
        </is>
      </c>
      <c r="F135" s="167">
        <f>IF(COUNTIFS($C$3:C135,商品マスタ[[#This Row],[仕入先]],$E$3:E135,商品マスタ[[#This Row],[商品名]]) = 1, 1,0)</f>
        <v/>
      </c>
      <c r="G135" s="133">
        <f>TEXT(SUMIF($C$3:C135,商品マスタ[[#This Row],[仕入先]],$F$3:F135), "0000")</f>
        <v/>
      </c>
      <c r="H135" s="167" t="inlineStr">
        <is>
          <t>kg</t>
        </is>
      </c>
      <c r="I135" s="167" t="inlineStr">
        <is>
          <t>約0.5kg/本</t>
        </is>
      </c>
      <c r="J135" s="167" t="inlineStr">
        <is>
          <t>1本</t>
        </is>
      </c>
      <c r="K135" s="167" t="inlineStr">
        <is>
          <t>ブロック</t>
        </is>
      </c>
      <c r="L135" s="289" t="n">
        <v>4300</v>
      </c>
      <c r="M135" s="157" t="n">
        <v>45834</v>
      </c>
      <c r="N135" s="289" t="n"/>
      <c r="O135" s="290">
        <f>IF(COUNT(商品マスタ[[#This Row],[参考上代
（税込)]]) &gt; 0, (商品マスタ[[#This Row],[参考上代
（税込)]]-商品マスタ[[#This Row],[国内定価
（15％）]])/(商品マスタ[[#This Row],[参考上代
（税込)]]/1.08), "")</f>
        <v/>
      </c>
      <c r="P135" s="136" t="n">
        <v>0.1</v>
      </c>
      <c r="Q135" s="291">
        <f>商品マスタ[[#This Row],[仕入
単価]]*商品マスタ[[#This Row],[標準国内送料率]]</f>
        <v/>
      </c>
      <c r="R135" s="289" t="n"/>
      <c r="S135" s="289">
        <f>IF(ISBLANK(商品マスタ[[#This Row],[実績
国内送料]]),商品マスタ[[#This Row],[標準国内送料]],)</f>
        <v/>
      </c>
      <c r="T135" s="289">
        <f>商品マスタ[[#This Row],[仕入
単価]]+商品マスタ[[#This Row],[国内送料]]</f>
        <v/>
      </c>
      <c r="U135" s="289">
        <f>ROUNDUP(商品マスタ[[#This Row],[仕入単価+国内送料]]/0.8,-1)</f>
        <v/>
      </c>
      <c r="V135" s="289">
        <f>商品マスタ[[#This Row],[海外定価
（20％）]]-商品マスタ[[#This Row],[仕入単価+国内送料]]</f>
        <v/>
      </c>
      <c r="W135" s="167">
        <f>ROUNDUP(商品マスタ[[#This Row],[仕入単価+国内送料]]/0.85,-1)</f>
        <v/>
      </c>
      <c r="X135" s="289">
        <f>商品マスタ[[#This Row],[国内定価
（15％）]]-商品マスタ[[#This Row],[仕入単価+国内送料]]</f>
        <v/>
      </c>
      <c r="Y135" s="139" t="n">
        <v>0.08</v>
      </c>
      <c r="Z135" s="167" t="n"/>
      <c r="AA135" s="167" t="n"/>
      <c r="AB135" s="167" t="n"/>
      <c r="AC135" s="293" t="n"/>
      <c r="AD135" s="167" t="n"/>
      <c r="AE135" s="167" t="n"/>
      <c r="AF135" s="167" t="n"/>
      <c r="AG135" s="144" t="n"/>
    </row>
    <row r="136" ht="18" customHeight="1" s="207">
      <c r="A136" s="166" t="inlineStr">
        <is>
          <t>精肉</t>
        </is>
      </c>
      <c r="B136" s="176" t="inlineStr">
        <is>
          <t>エゾシカ</t>
        </is>
      </c>
      <c r="C136" s="167" t="inlineStr">
        <is>
          <t>GOODGOOD</t>
        </is>
      </c>
      <c r="D136" s="143">
        <f>"PRD_SNJ_"&amp;
_xlfn.XLOOKUP(商品マスタ[[#This Row],[仕入先]],テーブル1[仕入先名],テーブル1[仕入先コード],"XXX",0,1)&amp;
"_"&amp;
商品マスタ[[#This Row],[シリアル]]&amp;
"_"&amp;
TEXT(COUNTIFS(商品マスタ!$C$3:C136,商品マスタ[[#This Row],[仕入先]],商品マスタ!$E$3:E136,商品マスタ[[#This Row],[商品名]]), "00")</f>
        <v/>
      </c>
      <c r="E136" s="167" t="inlineStr">
        <is>
          <t>エゾシカ　内モモ</t>
        </is>
      </c>
      <c r="F136" s="167">
        <f>IF(COUNTIFS($C$3:C136,商品マスタ[[#This Row],[仕入先]],$E$3:E136,商品マスタ[[#This Row],[商品名]]) = 1, 1,0)</f>
        <v/>
      </c>
      <c r="G136" s="133">
        <f>TEXT(SUMIF($C$3:C136,商品マスタ[[#This Row],[仕入先]],$F$3:F136), "0000")</f>
        <v/>
      </c>
      <c r="H136" s="167" t="inlineStr">
        <is>
          <t>kg</t>
        </is>
      </c>
      <c r="I136" s="167" t="inlineStr">
        <is>
          <t>約1.5kg/個</t>
        </is>
      </c>
      <c r="J136" s="167" t="inlineStr">
        <is>
          <t>1個</t>
        </is>
      </c>
      <c r="K136" s="167" t="inlineStr">
        <is>
          <t>ブロック</t>
        </is>
      </c>
      <c r="L136" s="289" t="n">
        <v>3500</v>
      </c>
      <c r="M136" s="157" t="n">
        <v>45834</v>
      </c>
      <c r="N136" s="289" t="n"/>
      <c r="O136" s="290">
        <f>IF(COUNT(商品マスタ[[#This Row],[参考上代
（税込)]]) &gt; 0, (商品マスタ[[#This Row],[参考上代
（税込)]]-商品マスタ[[#This Row],[国内定価
（15％）]])/(商品マスタ[[#This Row],[参考上代
（税込)]]/1.08), "")</f>
        <v/>
      </c>
      <c r="P136" s="136" t="n">
        <v>0.1</v>
      </c>
      <c r="Q136" s="291">
        <f>商品マスタ[[#This Row],[仕入
単価]]*商品マスタ[[#This Row],[標準国内送料率]]</f>
        <v/>
      </c>
      <c r="R136" s="289" t="n"/>
      <c r="S136" s="289">
        <f>IF(ISBLANK(商品マスタ[[#This Row],[実績
国内送料]]),商品マスタ[[#This Row],[標準国内送料]],)</f>
        <v/>
      </c>
      <c r="T136" s="289">
        <f>商品マスタ[[#This Row],[仕入
単価]]+商品マスタ[[#This Row],[国内送料]]</f>
        <v/>
      </c>
      <c r="U136" s="289">
        <f>ROUNDUP(商品マスタ[[#This Row],[仕入単価+国内送料]]/0.8,-1)</f>
        <v/>
      </c>
      <c r="V136" s="289">
        <f>商品マスタ[[#This Row],[海外定価
（20％）]]-商品マスタ[[#This Row],[仕入単価+国内送料]]</f>
        <v/>
      </c>
      <c r="W136" s="167">
        <f>ROUNDUP(商品マスタ[[#This Row],[仕入単価+国内送料]]/0.85,-1)</f>
        <v/>
      </c>
      <c r="X136" s="289">
        <f>商品マスタ[[#This Row],[国内定価
（15％）]]-商品マスタ[[#This Row],[仕入単価+国内送料]]</f>
        <v/>
      </c>
      <c r="Y136" s="139" t="n">
        <v>0.08</v>
      </c>
      <c r="Z136" s="167" t="n"/>
      <c r="AA136" s="167" t="n"/>
      <c r="AB136" s="167" t="n"/>
      <c r="AC136" s="293" t="n"/>
      <c r="AD136" s="167" t="n"/>
      <c r="AE136" s="167" t="n"/>
      <c r="AF136" s="167" t="n"/>
      <c r="AG136" s="144" t="n"/>
    </row>
    <row r="137" ht="18" customHeight="1" s="207">
      <c r="A137" s="166" t="inlineStr">
        <is>
          <t>精肉</t>
        </is>
      </c>
      <c r="B137" s="176" t="inlineStr">
        <is>
          <t>エゾシカ</t>
        </is>
      </c>
      <c r="C137" s="167" t="inlineStr">
        <is>
          <t>GOODGOOD</t>
        </is>
      </c>
      <c r="D137" s="143">
        <f>"PRD_SNJ_"&amp;
_xlfn.XLOOKUP(商品マスタ[[#This Row],[仕入先]],テーブル1[仕入先名],テーブル1[仕入先コード],"XXX",0,1)&amp;
"_"&amp;
商品マスタ[[#This Row],[シリアル]]&amp;
"_"&amp;
TEXT(COUNTIFS(商品マスタ!$C$3:C137,商品マスタ[[#This Row],[仕入先]],商品マスタ!$E$3:E137,商品マスタ[[#This Row],[商品名]]), "00")</f>
        <v/>
      </c>
      <c r="E137" s="167" t="inlineStr">
        <is>
          <t>エゾシカ　外モモ</t>
        </is>
      </c>
      <c r="F137" s="167">
        <f>IF(COUNTIFS($C$3:C137,商品マスタ[[#This Row],[仕入先]],$E$3:E137,商品マスタ[[#This Row],[商品名]]) = 1, 1,0)</f>
        <v/>
      </c>
      <c r="G137" s="133">
        <f>TEXT(SUMIF($C$3:C137,商品マスタ[[#This Row],[仕入先]],$F$3:F137), "0000")</f>
        <v/>
      </c>
      <c r="H137" s="167" t="inlineStr">
        <is>
          <t>kg</t>
        </is>
      </c>
      <c r="I137" s="167" t="inlineStr">
        <is>
          <t>約2.0kg/個</t>
        </is>
      </c>
      <c r="J137" s="167" t="inlineStr">
        <is>
          <t>1個</t>
        </is>
      </c>
      <c r="K137" s="167" t="inlineStr">
        <is>
          <t>ブロック</t>
        </is>
      </c>
      <c r="L137" s="289" t="n">
        <v>2800</v>
      </c>
      <c r="M137" s="157" t="n">
        <v>45834</v>
      </c>
      <c r="N137" s="289" t="n"/>
      <c r="O137" s="290">
        <f>IF(COUNT(商品マスタ[[#This Row],[参考上代
（税込)]]) &gt; 0, (商品マスタ[[#This Row],[参考上代
（税込)]]-商品マスタ[[#This Row],[国内定価
（15％）]])/(商品マスタ[[#This Row],[参考上代
（税込)]]/1.08), "")</f>
        <v/>
      </c>
      <c r="P137" s="136" t="n">
        <v>0.1</v>
      </c>
      <c r="Q137" s="291">
        <f>商品マスタ[[#This Row],[仕入
単価]]*商品マスタ[[#This Row],[標準国内送料率]]</f>
        <v/>
      </c>
      <c r="R137" s="289" t="n"/>
      <c r="S137" s="289">
        <f>IF(ISBLANK(商品マスタ[[#This Row],[実績
国内送料]]),商品マスタ[[#This Row],[標準国内送料]],)</f>
        <v/>
      </c>
      <c r="T137" s="289">
        <f>商品マスタ[[#This Row],[仕入
単価]]+商品マスタ[[#This Row],[国内送料]]</f>
        <v/>
      </c>
      <c r="U137" s="289">
        <f>ROUNDUP(商品マスタ[[#This Row],[仕入単価+国内送料]]/0.8,-1)</f>
        <v/>
      </c>
      <c r="V137" s="289">
        <f>商品マスタ[[#This Row],[海外定価
（20％）]]-商品マスタ[[#This Row],[仕入単価+国内送料]]</f>
        <v/>
      </c>
      <c r="W137" s="167">
        <f>ROUNDUP(商品マスタ[[#This Row],[仕入単価+国内送料]]/0.85,-1)</f>
        <v/>
      </c>
      <c r="X137" s="289">
        <f>商品マスタ[[#This Row],[国内定価
（15％）]]-商品マスタ[[#This Row],[仕入単価+国内送料]]</f>
        <v/>
      </c>
      <c r="Y137" s="139" t="n">
        <v>0.08</v>
      </c>
      <c r="Z137" s="167" t="n"/>
      <c r="AA137" s="167" t="n"/>
      <c r="AB137" s="167" t="n"/>
      <c r="AC137" s="293" t="n"/>
      <c r="AD137" s="167" t="n"/>
      <c r="AE137" s="167" t="n"/>
      <c r="AF137" s="167" t="n"/>
      <c r="AG137" s="144" t="n"/>
    </row>
    <row r="138" ht="18" customHeight="1" s="207">
      <c r="A138" s="166" t="inlineStr">
        <is>
          <t>精肉</t>
        </is>
      </c>
      <c r="B138" s="176" t="inlineStr">
        <is>
          <t>エゾシカ</t>
        </is>
      </c>
      <c r="C138" s="167" t="inlineStr">
        <is>
          <t>GOODGOOD</t>
        </is>
      </c>
      <c r="D138" s="143">
        <f>"PRD_SNJ_"&amp;
_xlfn.XLOOKUP(商品マスタ[[#This Row],[仕入先]],テーブル1[仕入先名],テーブル1[仕入先コード],"XXX",0,1)&amp;
"_"&amp;
商品マスタ[[#This Row],[シリアル]]&amp;
"_"&amp;
TEXT(COUNTIFS(商品マスタ!$C$3:C138,商品マスタ[[#This Row],[仕入先]],商品マスタ!$E$3:E138,商品マスタ[[#This Row],[商品名]]), "00")</f>
        <v/>
      </c>
      <c r="E138" s="167" t="inlineStr">
        <is>
          <t>エゾシカ　ランプ</t>
        </is>
      </c>
      <c r="F138" s="167">
        <f>IF(COUNTIFS($C$3:C138,商品マスタ[[#This Row],[仕入先]],$E$3:E138,商品マスタ[[#This Row],[商品名]]) = 1, 1,0)</f>
        <v/>
      </c>
      <c r="G138" s="133">
        <f>TEXT(SUMIF($C$3:C138,商品マスタ[[#This Row],[仕入先]],$F$3:F138), "0000")</f>
        <v/>
      </c>
      <c r="H138" s="167" t="inlineStr">
        <is>
          <t>kg</t>
        </is>
      </c>
      <c r="I138" s="167" t="inlineStr">
        <is>
          <t>約0.8kg/個</t>
        </is>
      </c>
      <c r="J138" s="167" t="inlineStr">
        <is>
          <t>1個</t>
        </is>
      </c>
      <c r="K138" s="167" t="inlineStr">
        <is>
          <t>ブロック</t>
        </is>
      </c>
      <c r="L138" s="289" t="n">
        <v>3700</v>
      </c>
      <c r="M138" s="157" t="n">
        <v>45834</v>
      </c>
      <c r="N138" s="289" t="n"/>
      <c r="O138" s="290">
        <f>IF(COUNT(商品マスタ[[#This Row],[参考上代
（税込)]]) &gt; 0, (商品マスタ[[#This Row],[参考上代
（税込)]]-商品マスタ[[#This Row],[国内定価
（15％）]])/(商品マスタ[[#This Row],[参考上代
（税込)]]/1.08), "")</f>
        <v/>
      </c>
      <c r="P138" s="136" t="n">
        <v>0.1</v>
      </c>
      <c r="Q138" s="291">
        <f>商品マスタ[[#This Row],[仕入
単価]]*商品マスタ[[#This Row],[標準国内送料率]]</f>
        <v/>
      </c>
      <c r="R138" s="289" t="n"/>
      <c r="S138" s="289">
        <f>IF(ISBLANK(商品マスタ[[#This Row],[実績
国内送料]]),商品マスタ[[#This Row],[標準国内送料]],)</f>
        <v/>
      </c>
      <c r="T138" s="289">
        <f>商品マスタ[[#This Row],[仕入
単価]]+商品マスタ[[#This Row],[国内送料]]</f>
        <v/>
      </c>
      <c r="U138" s="289">
        <f>ROUNDUP(商品マスタ[[#This Row],[仕入単価+国内送料]]/0.8,-1)</f>
        <v/>
      </c>
      <c r="V138" s="289">
        <f>商品マスタ[[#This Row],[海外定価
（20％）]]-商品マスタ[[#This Row],[仕入単価+国内送料]]</f>
        <v/>
      </c>
      <c r="W138" s="167">
        <f>ROUNDUP(商品マスタ[[#This Row],[仕入単価+国内送料]]/0.85,-1)</f>
        <v/>
      </c>
      <c r="X138" s="289">
        <f>商品マスタ[[#This Row],[国内定価
（15％）]]-商品マスタ[[#This Row],[仕入単価+国内送料]]</f>
        <v/>
      </c>
      <c r="Y138" s="139" t="n">
        <v>0.08</v>
      </c>
      <c r="Z138" s="167" t="n"/>
      <c r="AA138" s="167" t="n"/>
      <c r="AB138" s="167" t="n"/>
      <c r="AC138" s="293" t="n"/>
      <c r="AD138" s="167" t="n"/>
      <c r="AE138" s="167" t="n"/>
      <c r="AF138" s="167" t="n"/>
      <c r="AG138" s="144" t="n"/>
    </row>
    <row r="139" ht="18" customHeight="1" s="207">
      <c r="A139" s="166" t="inlineStr">
        <is>
          <t>精肉</t>
        </is>
      </c>
      <c r="B139" s="176" t="inlineStr">
        <is>
          <t>エゾシカ</t>
        </is>
      </c>
      <c r="C139" s="167" t="inlineStr">
        <is>
          <t>GOODGOOD</t>
        </is>
      </c>
      <c r="D139" s="143">
        <f>"PRD_SNJ_"&amp;
_xlfn.XLOOKUP(商品マスタ[[#This Row],[仕入先]],テーブル1[仕入先名],テーブル1[仕入先コード],"XXX",0,1)&amp;
"_"&amp;
商品マスタ[[#This Row],[シリアル]]&amp;
"_"&amp;
TEXT(COUNTIFS(商品マスタ!$C$3:C139,商品マスタ[[#This Row],[仕入先]],商品マスタ!$E$3:E139,商品マスタ[[#This Row],[商品名]]), "00")</f>
        <v/>
      </c>
      <c r="E139" s="167" t="inlineStr">
        <is>
          <t>エゾシカ　バラ</t>
        </is>
      </c>
      <c r="F139" s="167">
        <f>IF(COUNTIFS($C$3:C139,商品マスタ[[#This Row],[仕入先]],$E$3:E139,商品マスタ[[#This Row],[商品名]]) = 1, 1,0)</f>
        <v/>
      </c>
      <c r="G139" s="133">
        <f>TEXT(SUMIF($C$3:C139,商品マスタ[[#This Row],[仕入先]],$F$3:F139), "0000")</f>
        <v/>
      </c>
      <c r="H139" s="167" t="inlineStr">
        <is>
          <t>kg</t>
        </is>
      </c>
      <c r="I139" s="167" t="inlineStr">
        <is>
          <t>約2.5kg/枚</t>
        </is>
      </c>
      <c r="J139" s="167" t="inlineStr">
        <is>
          <t>1枚</t>
        </is>
      </c>
      <c r="K139" s="167" t="inlineStr">
        <is>
          <t>ブロック</t>
        </is>
      </c>
      <c r="L139" s="289" t="n">
        <v>2000</v>
      </c>
      <c r="M139" s="157" t="n">
        <v>45834</v>
      </c>
      <c r="N139" s="289" t="n"/>
      <c r="O139" s="290">
        <f>IF(COUNT(商品マスタ[[#This Row],[参考上代
（税込)]]) &gt; 0, (商品マスタ[[#This Row],[参考上代
（税込)]]-商品マスタ[[#This Row],[国内定価
（15％）]])/(商品マスタ[[#This Row],[参考上代
（税込)]]/1.08), "")</f>
        <v/>
      </c>
      <c r="P139" s="136" t="n">
        <v>0.1</v>
      </c>
      <c r="Q139" s="291">
        <f>商品マスタ[[#This Row],[仕入
単価]]*商品マスタ[[#This Row],[標準国内送料率]]</f>
        <v/>
      </c>
      <c r="R139" s="289" t="n"/>
      <c r="S139" s="289">
        <f>IF(ISBLANK(商品マスタ[[#This Row],[実績
国内送料]]),商品マスタ[[#This Row],[標準国内送料]],)</f>
        <v/>
      </c>
      <c r="T139" s="289">
        <f>商品マスタ[[#This Row],[仕入
単価]]+商品マスタ[[#This Row],[国内送料]]</f>
        <v/>
      </c>
      <c r="U139" s="289">
        <f>ROUNDUP(商品マスタ[[#This Row],[仕入単価+国内送料]]/0.8,-1)</f>
        <v/>
      </c>
      <c r="V139" s="289">
        <f>商品マスタ[[#This Row],[海外定価
（20％）]]-商品マスタ[[#This Row],[仕入単価+国内送料]]</f>
        <v/>
      </c>
      <c r="W139" s="167">
        <f>ROUNDUP(商品マスタ[[#This Row],[仕入単価+国内送料]]/0.85,-1)</f>
        <v/>
      </c>
      <c r="X139" s="289">
        <f>商品マスタ[[#This Row],[国内定価
（15％）]]-商品マスタ[[#This Row],[仕入単価+国内送料]]</f>
        <v/>
      </c>
      <c r="Y139" s="139" t="n">
        <v>0.08</v>
      </c>
      <c r="Z139" s="167" t="n"/>
      <c r="AA139" s="167" t="n"/>
      <c r="AB139" s="167" t="n"/>
      <c r="AC139" s="293" t="n"/>
      <c r="AD139" s="167" t="n"/>
      <c r="AE139" s="167" t="n"/>
      <c r="AF139" s="167" t="n"/>
      <c r="AG139" s="144" t="n"/>
    </row>
    <row r="140" ht="18" customHeight="1" s="207">
      <c r="A140" s="166" t="inlineStr">
        <is>
          <t>精肉</t>
        </is>
      </c>
      <c r="B140" s="176" t="inlineStr">
        <is>
          <t>エゾシカ</t>
        </is>
      </c>
      <c r="C140" s="167" t="inlineStr">
        <is>
          <t>GOODGOOD</t>
        </is>
      </c>
      <c r="D140" s="143">
        <f>"PRD_SNJ_"&amp;
_xlfn.XLOOKUP(商品マスタ[[#This Row],[仕入先]],テーブル1[仕入先名],テーブル1[仕入先コード],"XXX",0,1)&amp;
"_"&amp;
商品マスタ[[#This Row],[シリアル]]&amp;
"_"&amp;
TEXT(COUNTIFS(商品マスタ!$C$3:C140,商品マスタ[[#This Row],[仕入先]],商品マスタ!$E$3:E140,商品マスタ[[#This Row],[商品名]]), "00")</f>
        <v/>
      </c>
      <c r="E140" s="167" t="inlineStr">
        <is>
          <t>エゾシカ　ミンチ（赤身）</t>
        </is>
      </c>
      <c r="F140" s="167">
        <f>IF(COUNTIFS($C$3:C140,商品マスタ[[#This Row],[仕入先]],$E$3:E140,商品マスタ[[#This Row],[商品名]]) = 1, 1,0)</f>
        <v/>
      </c>
      <c r="G140" s="133">
        <f>TEXT(SUMIF($C$3:C140,商品マスタ[[#This Row],[仕入先]],$F$3:F140), "0000")</f>
        <v/>
      </c>
      <c r="H140" s="167" t="inlineStr">
        <is>
          <t>kg</t>
        </is>
      </c>
      <c r="I140" s="167" t="inlineStr">
        <is>
          <t>1.0kg/袋</t>
        </is>
      </c>
      <c r="J140" s="167" t="inlineStr">
        <is>
          <t>1袋</t>
        </is>
      </c>
      <c r="K140" s="167" t="inlineStr">
        <is>
          <t>ミンチ</t>
        </is>
      </c>
      <c r="L140" s="289" t="n">
        <v>1500</v>
      </c>
      <c r="M140" s="157" t="n">
        <v>45834</v>
      </c>
      <c r="N140" s="289" t="n"/>
      <c r="O140" s="290">
        <f>IF(COUNT(商品マスタ[[#This Row],[参考上代
（税込)]]) &gt; 0, (商品マスタ[[#This Row],[参考上代
（税込)]]-商品マスタ[[#This Row],[国内定価
（15％）]])/(商品マスタ[[#This Row],[参考上代
（税込)]]/1.08), "")</f>
        <v/>
      </c>
      <c r="P140" s="136" t="n">
        <v>0.1</v>
      </c>
      <c r="Q140" s="291">
        <f>商品マスタ[[#This Row],[仕入
単価]]*商品マスタ[[#This Row],[標準国内送料率]]</f>
        <v/>
      </c>
      <c r="R140" s="289" t="n"/>
      <c r="S140" s="289">
        <f>IF(ISBLANK(商品マスタ[[#This Row],[実績
国内送料]]),商品マスタ[[#This Row],[標準国内送料]],)</f>
        <v/>
      </c>
      <c r="T140" s="289">
        <f>商品マスタ[[#This Row],[仕入
単価]]+商品マスタ[[#This Row],[国内送料]]</f>
        <v/>
      </c>
      <c r="U140" s="289">
        <f>ROUNDUP(商品マスタ[[#This Row],[仕入単価+国内送料]]/0.8,-1)</f>
        <v/>
      </c>
      <c r="V140" s="289">
        <f>商品マスタ[[#This Row],[海外定価
（20％）]]-商品マスタ[[#This Row],[仕入単価+国内送料]]</f>
        <v/>
      </c>
      <c r="W140" s="167">
        <f>ROUNDUP(商品マスタ[[#This Row],[仕入単価+国内送料]]/0.85,-1)</f>
        <v/>
      </c>
      <c r="X140" s="289">
        <f>商品マスタ[[#This Row],[国内定価
（15％）]]-商品マスタ[[#This Row],[仕入単価+国内送料]]</f>
        <v/>
      </c>
      <c r="Y140" s="139" t="n">
        <v>0.08</v>
      </c>
      <c r="Z140" s="167" t="n"/>
      <c r="AA140" s="167" t="n"/>
      <c r="AB140" s="167" t="n"/>
      <c r="AC140" s="293" t="n"/>
      <c r="AD140" s="167" t="n"/>
      <c r="AE140" s="167" t="n"/>
      <c r="AF140" s="167" t="n"/>
      <c r="AG140" s="144" t="n"/>
    </row>
    <row r="141" ht="18" customHeight="1" s="207">
      <c r="A141" s="166" t="inlineStr">
        <is>
          <t>精肉</t>
        </is>
      </c>
      <c r="B141" s="167" t="inlineStr">
        <is>
          <t>和牛</t>
        </is>
      </c>
      <c r="C141" s="167" t="inlineStr">
        <is>
          <t>GOODGOOD</t>
        </is>
      </c>
      <c r="D141" s="143">
        <f>"PRD_SNJ_"&amp;
_xlfn.XLOOKUP(商品マスタ[[#This Row],[仕入先]],テーブル1[仕入先名],テーブル1[仕入先コード],"XXX",0,1)&amp;
"_"&amp;
商品マスタ[[#This Row],[シリアル]]&amp;
"_"&amp;
TEXT(COUNTIFS(商品マスタ!$C$3:C141,商品マスタ[[#This Row],[仕入先]],商品マスタ!$E$3:E141,商品マスタ[[#This Row],[商品名]]), "00")</f>
        <v/>
      </c>
      <c r="E141" s="167" t="inlineStr">
        <is>
          <t>阿蘇赤身和牛　ヒレ・ロースセット</t>
        </is>
      </c>
      <c r="F141" s="167">
        <f>IF(COUNTIFS($C$3:C141,商品マスタ[[#This Row],[仕入先]],$E$3:E141,商品マスタ[[#This Row],[商品名]]) = 1, 1,0)</f>
        <v/>
      </c>
      <c r="G141" s="133">
        <f>TEXT(SUMIF($C$3:C141,商品マスタ[[#This Row],[仕入先]],$F$3:F141), "0000")</f>
        <v/>
      </c>
      <c r="H141" s="167" t="inlineStr">
        <is>
          <t>kg</t>
        </is>
      </c>
      <c r="I141" s="167" t="inlineStr">
        <is>
          <t>約23.5kg/セット</t>
        </is>
      </c>
      <c r="J141" s="167" t="inlineStr">
        <is>
          <t>1セット</t>
        </is>
      </c>
      <c r="K141" s="167" t="inlineStr">
        <is>
          <t>3種セット（6%OFF）</t>
        </is>
      </c>
      <c r="L141" s="289" t="n">
        <v>10575</v>
      </c>
      <c r="M141" s="157" t="n">
        <v>45834</v>
      </c>
      <c r="N141" s="289" t="n"/>
      <c r="O141" s="290">
        <f>IF(COUNT(商品マスタ[[#This Row],[参考上代
（税込)]]) &gt; 0, (商品マスタ[[#This Row],[参考上代
（税込)]]-商品マスタ[[#This Row],[国内定価
（15％）]])/(商品マスタ[[#This Row],[参考上代
（税込)]]/1.08), "")</f>
        <v/>
      </c>
      <c r="P141" s="136" t="n">
        <v>0.1</v>
      </c>
      <c r="Q141" s="291">
        <f>商品マスタ[[#This Row],[仕入
単価]]*商品マスタ[[#This Row],[標準国内送料率]]</f>
        <v/>
      </c>
      <c r="R141" s="289" t="n"/>
      <c r="S141" s="289">
        <f>IF(ISBLANK(商品マスタ[[#This Row],[実績
国内送料]]),商品マスタ[[#This Row],[標準国内送料]],)</f>
        <v/>
      </c>
      <c r="T141" s="289">
        <f>商品マスタ[[#This Row],[仕入
単価]]+商品マスタ[[#This Row],[国内送料]]</f>
        <v/>
      </c>
      <c r="U141" s="289">
        <f>ROUNDUP(商品マスタ[[#This Row],[仕入単価+国内送料]]/0.8,-1)</f>
        <v/>
      </c>
      <c r="V141" s="289">
        <f>商品マスタ[[#This Row],[海外定価
（20％）]]-商品マスタ[[#This Row],[仕入単価+国内送料]]</f>
        <v/>
      </c>
      <c r="W141" s="167">
        <f>ROUNDUP(商品マスタ[[#This Row],[仕入単価+国内送料]]/0.85,-1)</f>
        <v/>
      </c>
      <c r="X141" s="289">
        <f>商品マスタ[[#This Row],[国内定価
（15％）]]-商品マスタ[[#This Row],[仕入単価+国内送料]]</f>
        <v/>
      </c>
      <c r="Y141" s="139" t="n">
        <v>0.08</v>
      </c>
      <c r="Z141" s="167" t="n"/>
      <c r="AA141" s="167" t="n"/>
      <c r="AB141" s="167" t="n"/>
      <c r="AC141" s="293" t="n"/>
      <c r="AD141" s="167" t="n"/>
      <c r="AE141" s="167" t="n"/>
      <c r="AF141" s="167" t="n"/>
      <c r="AG141" s="144" t="n"/>
    </row>
    <row r="142" ht="18" customHeight="1" s="207">
      <c r="A142" s="166" t="inlineStr">
        <is>
          <t>精肉</t>
        </is>
      </c>
      <c r="B142" s="167" t="inlineStr">
        <is>
          <t>和牛</t>
        </is>
      </c>
      <c r="C142" s="167" t="inlineStr">
        <is>
          <t>GOODGOOD</t>
        </is>
      </c>
      <c r="D142" s="143">
        <f>"PRD_SNJ_"&amp;
_xlfn.XLOOKUP(商品マスタ[[#This Row],[仕入先]],テーブル1[仕入先名],テーブル1[仕入先コード],"XXX",0,1)&amp;
"_"&amp;
商品マスタ[[#This Row],[シリアル]]&amp;
"_"&amp;
TEXT(COUNTIFS(商品マスタ!$C$3:C142,商品マスタ[[#This Row],[仕入先]],商品マスタ!$E$3:E142,商品マスタ[[#This Row],[商品名]]), "00")</f>
        <v/>
      </c>
      <c r="E142" s="167" t="inlineStr">
        <is>
          <t>阿蘇赤身和牛　ヒレ</t>
        </is>
      </c>
      <c r="F142" s="167">
        <f>IF(COUNTIFS($C$3:C142,商品マスタ[[#This Row],[仕入先]],$E$3:E142,商品マスタ[[#This Row],[商品名]]) = 1, 1,0)</f>
        <v/>
      </c>
      <c r="G142" s="133">
        <f>TEXT(SUMIF($C$3:C142,商品マスタ[[#This Row],[仕入先]],$F$3:F142), "0000")</f>
        <v/>
      </c>
      <c r="H142" s="167" t="inlineStr">
        <is>
          <t>kg</t>
        </is>
      </c>
      <c r="I142" s="167" t="inlineStr">
        <is>
          <t>約4.5kg/本</t>
        </is>
      </c>
      <c r="J142" s="167" t="inlineStr">
        <is>
          <t>1本</t>
        </is>
      </c>
      <c r="K142" s="167" t="inlineStr">
        <is>
          <t>ブロック</t>
        </is>
      </c>
      <c r="L142" s="289" t="n">
        <v>13000</v>
      </c>
      <c r="M142" s="157" t="n">
        <v>45834</v>
      </c>
      <c r="N142" s="289" t="n"/>
      <c r="O142" s="290">
        <f>IF(COUNT(商品マスタ[[#This Row],[参考上代
（税込)]]) &gt; 0, (商品マスタ[[#This Row],[参考上代
（税込)]]-商品マスタ[[#This Row],[国内定価
（15％）]])/(商品マスタ[[#This Row],[参考上代
（税込)]]/1.08), "")</f>
        <v/>
      </c>
      <c r="P142" s="136" t="n">
        <v>0.1</v>
      </c>
      <c r="Q142" s="291">
        <f>商品マスタ[[#This Row],[仕入
単価]]*商品マスタ[[#This Row],[標準国内送料率]]</f>
        <v/>
      </c>
      <c r="R142" s="289" t="n"/>
      <c r="S142" s="289">
        <f>IF(ISBLANK(商品マスタ[[#This Row],[実績
国内送料]]),商品マスタ[[#This Row],[標準国内送料]],)</f>
        <v/>
      </c>
      <c r="T142" s="289">
        <f>商品マスタ[[#This Row],[仕入
単価]]+商品マスタ[[#This Row],[国内送料]]</f>
        <v/>
      </c>
      <c r="U142" s="289">
        <f>ROUNDUP(商品マスタ[[#This Row],[仕入単価+国内送料]]/0.8,-1)</f>
        <v/>
      </c>
      <c r="V142" s="289">
        <f>商品マスタ[[#This Row],[海外定価
（20％）]]-商品マスタ[[#This Row],[仕入単価+国内送料]]</f>
        <v/>
      </c>
      <c r="W142" s="167">
        <f>ROUNDUP(商品マスタ[[#This Row],[仕入単価+国内送料]]/0.85,-1)</f>
        <v/>
      </c>
      <c r="X142" s="289">
        <f>商品マスタ[[#This Row],[国内定価
（15％）]]-商品マスタ[[#This Row],[仕入単価+国内送料]]</f>
        <v/>
      </c>
      <c r="Y142" s="139" t="n">
        <v>0.08</v>
      </c>
      <c r="Z142" s="167" t="n"/>
      <c r="AA142" s="167" t="n"/>
      <c r="AB142" s="167" t="n"/>
      <c r="AC142" s="293" t="n"/>
      <c r="AD142" s="167" t="n"/>
      <c r="AE142" s="167" t="n"/>
      <c r="AF142" s="167" t="n"/>
      <c r="AG142" s="144" t="n"/>
    </row>
    <row r="143" ht="18" customHeight="1" s="207">
      <c r="A143" s="166" t="inlineStr">
        <is>
          <t>精肉</t>
        </is>
      </c>
      <c r="B143" s="167" t="inlineStr">
        <is>
          <t>和牛</t>
        </is>
      </c>
      <c r="C143" s="167" t="inlineStr">
        <is>
          <t>GOODGOOD</t>
        </is>
      </c>
      <c r="D143" s="143">
        <f>"PRD_SNJ_"&amp;
_xlfn.XLOOKUP(商品マスタ[[#This Row],[仕入先]],テーブル1[仕入先名],テーブル1[仕入先コード],"XXX",0,1)&amp;
"_"&amp;
商品マスタ[[#This Row],[シリアル]]&amp;
"_"&amp;
TEXT(COUNTIFS(商品マスタ!$C$3:C143,商品マスタ[[#This Row],[仕入先]],商品マスタ!$E$3:E143,商品マスタ[[#This Row],[商品名]]), "00")</f>
        <v/>
      </c>
      <c r="E143" s="167" t="inlineStr">
        <is>
          <t>阿蘇赤身和牛　サーロイン</t>
        </is>
      </c>
      <c r="F143" s="167">
        <f>IF(COUNTIFS($C$3:C143,商品マスタ[[#This Row],[仕入先]],$E$3:E143,商品マスタ[[#This Row],[商品名]]) = 1, 1,0)</f>
        <v/>
      </c>
      <c r="G143" s="133">
        <f>TEXT(SUMIF($C$3:C143,商品マスタ[[#This Row],[仕入先]],$F$3:F143), "0000")</f>
        <v/>
      </c>
      <c r="H143" s="167" t="inlineStr">
        <is>
          <t>kg</t>
        </is>
      </c>
      <c r="I143" s="167" t="inlineStr">
        <is>
          <t>約10.0kg/本</t>
        </is>
      </c>
      <c r="J143" s="167" t="inlineStr">
        <is>
          <t>1本</t>
        </is>
      </c>
      <c r="K143" s="167" t="inlineStr">
        <is>
          <t>ブロック</t>
        </is>
      </c>
      <c r="L143" s="289" t="n">
        <v>10800</v>
      </c>
      <c r="M143" s="157" t="n">
        <v>45834</v>
      </c>
      <c r="N143" s="289" t="n"/>
      <c r="O143" s="290">
        <f>IF(COUNT(商品マスタ[[#This Row],[参考上代
（税込)]]) &gt; 0, (商品マスタ[[#This Row],[参考上代
（税込)]]-商品マスタ[[#This Row],[国内定価
（15％）]])/(商品マスタ[[#This Row],[参考上代
（税込)]]/1.08), "")</f>
        <v/>
      </c>
      <c r="P143" s="136" t="n">
        <v>0.1</v>
      </c>
      <c r="Q143" s="291">
        <f>商品マスタ[[#This Row],[仕入
単価]]*商品マスタ[[#This Row],[標準国内送料率]]</f>
        <v/>
      </c>
      <c r="R143" s="289" t="n"/>
      <c r="S143" s="289">
        <f>IF(ISBLANK(商品マスタ[[#This Row],[実績
国内送料]]),商品マスタ[[#This Row],[標準国内送料]],)</f>
        <v/>
      </c>
      <c r="T143" s="289">
        <f>商品マスタ[[#This Row],[仕入
単価]]+商品マスタ[[#This Row],[国内送料]]</f>
        <v/>
      </c>
      <c r="U143" s="289">
        <f>ROUNDUP(商品マスタ[[#This Row],[仕入単価+国内送料]]/0.8,-1)</f>
        <v/>
      </c>
      <c r="V143" s="289">
        <f>商品マスタ[[#This Row],[海外定価
（20％）]]-商品マスタ[[#This Row],[仕入単価+国内送料]]</f>
        <v/>
      </c>
      <c r="W143" s="167">
        <f>ROUNDUP(商品マスタ[[#This Row],[仕入単価+国内送料]]/0.85,-1)</f>
        <v/>
      </c>
      <c r="X143" s="289">
        <f>商品マスタ[[#This Row],[国内定価
（15％）]]-商品マスタ[[#This Row],[仕入単価+国内送料]]</f>
        <v/>
      </c>
      <c r="Y143" s="139" t="n">
        <v>0.08</v>
      </c>
      <c r="Z143" s="167" t="n"/>
      <c r="AA143" s="167" t="n"/>
      <c r="AB143" s="167" t="n"/>
      <c r="AC143" s="293" t="n"/>
      <c r="AD143" s="167" t="n"/>
      <c r="AE143" s="167" t="n"/>
      <c r="AF143" s="167" t="n"/>
      <c r="AG143" s="144" t="n"/>
    </row>
    <row r="144" ht="18" customHeight="1" s="207">
      <c r="A144" s="166" t="inlineStr">
        <is>
          <t>精肉</t>
        </is>
      </c>
      <c r="B144" s="167" t="inlineStr">
        <is>
          <t>和牛</t>
        </is>
      </c>
      <c r="C144" s="167" t="inlineStr">
        <is>
          <t>GOODGOOD</t>
        </is>
      </c>
      <c r="D144" s="143">
        <f>"PRD_SNJ_"&amp;
_xlfn.XLOOKUP(商品マスタ[[#This Row],[仕入先]],テーブル1[仕入先名],テーブル1[仕入先コード],"XXX",0,1)&amp;
"_"&amp;
商品マスタ[[#This Row],[シリアル]]&amp;
"_"&amp;
TEXT(COUNTIFS(商品マスタ!$C$3:C144,商品マスタ[[#This Row],[仕入先]],商品マスタ!$E$3:E144,商品マスタ[[#This Row],[商品名]]), "00")</f>
        <v/>
      </c>
      <c r="E144" s="167" t="inlineStr">
        <is>
          <t>阿蘇赤身和牛　リブロース</t>
        </is>
      </c>
      <c r="F144" s="167">
        <f>IF(COUNTIFS($C$3:C144,商品マスタ[[#This Row],[仕入先]],$E$3:E144,商品マスタ[[#This Row],[商品名]]) = 1, 1,0)</f>
        <v/>
      </c>
      <c r="G144" s="133">
        <f>TEXT(SUMIF($C$3:C144,商品マスタ[[#This Row],[仕入先]],$F$3:F144), "0000")</f>
        <v/>
      </c>
      <c r="H144" s="167" t="inlineStr">
        <is>
          <t>kg</t>
        </is>
      </c>
      <c r="I144" s="167" t="inlineStr">
        <is>
          <t>約9.0kg/本</t>
        </is>
      </c>
      <c r="J144" s="167" t="inlineStr">
        <is>
          <t>1本</t>
        </is>
      </c>
      <c r="K144" s="167" t="inlineStr">
        <is>
          <t>ブロック</t>
        </is>
      </c>
      <c r="L144" s="289" t="n">
        <v>9900</v>
      </c>
      <c r="M144" s="157" t="n">
        <v>45834</v>
      </c>
      <c r="N144" s="289" t="n"/>
      <c r="O144" s="290">
        <f>IF(COUNT(商品マスタ[[#This Row],[参考上代
（税込)]]) &gt; 0, (商品マスタ[[#This Row],[参考上代
（税込)]]-商品マスタ[[#This Row],[国内定価
（15％）]])/(商品マスタ[[#This Row],[参考上代
（税込)]]/1.08), "")</f>
        <v/>
      </c>
      <c r="P144" s="136" t="n">
        <v>0.1</v>
      </c>
      <c r="Q144" s="291">
        <f>商品マスタ[[#This Row],[仕入
単価]]*商品マスタ[[#This Row],[標準国内送料率]]</f>
        <v/>
      </c>
      <c r="R144" s="289" t="n"/>
      <c r="S144" s="289">
        <f>IF(ISBLANK(商品マスタ[[#This Row],[実績
国内送料]]),商品マスタ[[#This Row],[標準国内送料]],)</f>
        <v/>
      </c>
      <c r="T144" s="289">
        <f>商品マスタ[[#This Row],[仕入
単価]]+商品マスタ[[#This Row],[国内送料]]</f>
        <v/>
      </c>
      <c r="U144" s="289">
        <f>ROUNDUP(商品マスタ[[#This Row],[仕入単価+国内送料]]/0.8,-1)</f>
        <v/>
      </c>
      <c r="V144" s="289">
        <f>商品マスタ[[#This Row],[海外定価
（20％）]]-商品マスタ[[#This Row],[仕入単価+国内送料]]</f>
        <v/>
      </c>
      <c r="W144" s="167">
        <f>ROUNDUP(商品マスタ[[#This Row],[仕入単価+国内送料]]/0.85,-1)</f>
        <v/>
      </c>
      <c r="X144" s="289">
        <f>商品マスタ[[#This Row],[国内定価
（15％）]]-商品マスタ[[#This Row],[仕入単価+国内送料]]</f>
        <v/>
      </c>
      <c r="Y144" s="139" t="n">
        <v>0.08</v>
      </c>
      <c r="Z144" s="167" t="n"/>
      <c r="AA144" s="167" t="n"/>
      <c r="AB144" s="167" t="n"/>
      <c r="AC144" s="293" t="n"/>
      <c r="AD144" s="167" t="n"/>
      <c r="AE144" s="167" t="n"/>
      <c r="AF144" s="167" t="n"/>
      <c r="AG144" s="144" t="n"/>
    </row>
    <row r="145" ht="18" customHeight="1" s="207">
      <c r="A145" s="166" t="inlineStr">
        <is>
          <t>精肉</t>
        </is>
      </c>
      <c r="B145" s="167" t="inlineStr">
        <is>
          <t>和牛</t>
        </is>
      </c>
      <c r="C145" s="167" t="inlineStr">
        <is>
          <t>GOODGOOD</t>
        </is>
      </c>
      <c r="D145" s="143">
        <f>"PRD_SNJ_"&amp;
_xlfn.XLOOKUP(商品マスタ[[#This Row],[仕入先]],テーブル1[仕入先名],テーブル1[仕入先コード],"XXX",0,1)&amp;
"_"&amp;
商品マスタ[[#This Row],[シリアル]]&amp;
"_"&amp;
TEXT(COUNTIFS(商品マスタ!$C$3:C145,商品マスタ[[#This Row],[仕入先]],商品マスタ!$E$3:E145,商品マスタ[[#This Row],[商品名]]), "00")</f>
        <v/>
      </c>
      <c r="E145" s="167" t="inlineStr">
        <is>
          <t>阿蘇赤身和牛　肩ロース（ネック付）セット</t>
        </is>
      </c>
      <c r="F145" s="167">
        <f>IF(COUNTIFS($C$3:C145,商品マスタ[[#This Row],[仕入先]],$E$3:E145,商品マスタ[[#This Row],[商品名]]) = 1, 1,0)</f>
        <v/>
      </c>
      <c r="G145" s="133">
        <f>TEXT(SUMIF($C$3:C145,商品マスタ[[#This Row],[仕入先]],$F$3:F145), "0000")</f>
        <v/>
      </c>
      <c r="H145" s="167" t="inlineStr">
        <is>
          <t>kg</t>
        </is>
      </c>
      <c r="I145" s="167" t="inlineStr">
        <is>
          <t>約23.3kg/セット</t>
        </is>
      </c>
      <c r="J145" s="167" t="inlineStr">
        <is>
          <t>1セット</t>
        </is>
      </c>
      <c r="K145" s="167" t="inlineStr">
        <is>
          <t>万能部位セット（3%OFF）</t>
        </is>
      </c>
      <c r="L145" s="289" t="n">
        <v>5040</v>
      </c>
      <c r="M145" s="157" t="n">
        <v>45834</v>
      </c>
      <c r="N145" s="289" t="n"/>
      <c r="O145" s="290">
        <f>IF(COUNT(商品マスタ[[#This Row],[参考上代
（税込)]]) &gt; 0, (商品マスタ[[#This Row],[参考上代
（税込)]]-商品マスタ[[#This Row],[国内定価
（15％）]])/(商品マスタ[[#This Row],[参考上代
（税込)]]/1.08), "")</f>
        <v/>
      </c>
      <c r="P145" s="136" t="n">
        <v>0.1</v>
      </c>
      <c r="Q145" s="291">
        <f>商品マスタ[[#This Row],[仕入
単価]]*商品マスタ[[#This Row],[標準国内送料率]]</f>
        <v/>
      </c>
      <c r="R145" s="289" t="n"/>
      <c r="S145" s="289">
        <f>IF(ISBLANK(商品マスタ[[#This Row],[実績
国内送料]]),商品マスタ[[#This Row],[標準国内送料]],)</f>
        <v/>
      </c>
      <c r="T145" s="289">
        <f>商品マスタ[[#This Row],[仕入
単価]]+商品マスタ[[#This Row],[国内送料]]</f>
        <v/>
      </c>
      <c r="U145" s="289">
        <f>ROUNDUP(商品マスタ[[#This Row],[仕入単価+国内送料]]/0.8,-1)</f>
        <v/>
      </c>
      <c r="V145" s="289">
        <f>商品マスタ[[#This Row],[海外定価
（20％）]]-商品マスタ[[#This Row],[仕入単価+国内送料]]</f>
        <v/>
      </c>
      <c r="W145" s="167">
        <f>ROUNDUP(商品マスタ[[#This Row],[仕入単価+国内送料]]/0.85,-1)</f>
        <v/>
      </c>
      <c r="X145" s="289">
        <f>商品マスタ[[#This Row],[国内定価
（15％）]]-商品マスタ[[#This Row],[仕入単価+国内送料]]</f>
        <v/>
      </c>
      <c r="Y145" s="139" t="n">
        <v>0.08</v>
      </c>
      <c r="Z145" s="167" t="n"/>
      <c r="AA145" s="167" t="n"/>
      <c r="AB145" s="167" t="n"/>
      <c r="AC145" s="293" t="n"/>
      <c r="AD145" s="167" t="n"/>
      <c r="AE145" s="167" t="n"/>
      <c r="AF145" s="167" t="n"/>
      <c r="AG145" s="144" t="n"/>
    </row>
    <row r="146" ht="18" customHeight="1" s="207">
      <c r="A146" s="166" t="inlineStr">
        <is>
          <t>精肉</t>
        </is>
      </c>
      <c r="B146" s="167" t="inlineStr">
        <is>
          <t>和牛</t>
        </is>
      </c>
      <c r="C146" s="167" t="inlineStr">
        <is>
          <t>GOODGOOD</t>
        </is>
      </c>
      <c r="D146" s="143">
        <f>"PRD_SNJ_"&amp;
_xlfn.XLOOKUP(商品マスタ[[#This Row],[仕入先]],テーブル1[仕入先名],テーブル1[仕入先コード],"XXX",0,1)&amp;
"_"&amp;
商品マスタ[[#This Row],[シリアル]]&amp;
"_"&amp;
TEXT(COUNTIFS(商品マスタ!$C$3:C146,商品マスタ[[#This Row],[仕入先]],商品マスタ!$E$3:E146,商品マスタ[[#This Row],[商品名]]), "00")</f>
        <v/>
      </c>
      <c r="E146" s="167" t="inlineStr">
        <is>
          <t>阿蘇赤身和牛　肩ロース（ネック無し）セット</t>
        </is>
      </c>
      <c r="F146" s="167">
        <f>IF(COUNTIFS($C$3:C146,商品マスタ[[#This Row],[仕入先]],$E$3:E146,商品マスタ[[#This Row],[商品名]]) = 1, 1,0)</f>
        <v/>
      </c>
      <c r="G146" s="133">
        <f>TEXT(SUMIF($C$3:C146,商品マスタ[[#This Row],[仕入先]],$F$3:F146), "0000")</f>
        <v/>
      </c>
      <c r="H146" s="167" t="inlineStr">
        <is>
          <t>kg</t>
        </is>
      </c>
      <c r="I146" s="167" t="inlineStr">
        <is>
          <t>約16.6kg/セット</t>
        </is>
      </c>
      <c r="J146" s="167" t="inlineStr">
        <is>
          <t>1セット</t>
        </is>
      </c>
      <c r="K146" s="167" t="inlineStr">
        <is>
          <t>万能部位セット（3%OFF）</t>
        </is>
      </c>
      <c r="L146" s="289" t="n">
        <v>5715</v>
      </c>
      <c r="M146" s="157" t="n">
        <v>45834</v>
      </c>
      <c r="N146" s="289" t="n"/>
      <c r="O146" s="290">
        <f>IF(COUNT(商品マスタ[[#This Row],[参考上代
（税込)]]) &gt; 0, (商品マスタ[[#This Row],[参考上代
（税込)]]-商品マスタ[[#This Row],[国内定価
（15％）]])/(商品マスタ[[#This Row],[参考上代
（税込)]]/1.08), "")</f>
        <v/>
      </c>
      <c r="P146" s="136" t="n">
        <v>0.1</v>
      </c>
      <c r="Q146" s="291">
        <f>商品マスタ[[#This Row],[仕入
単価]]*商品マスタ[[#This Row],[標準国内送料率]]</f>
        <v/>
      </c>
      <c r="R146" s="289" t="n"/>
      <c r="S146" s="289">
        <f>IF(ISBLANK(商品マスタ[[#This Row],[実績
国内送料]]),商品マスタ[[#This Row],[標準国内送料]],)</f>
        <v/>
      </c>
      <c r="T146" s="289">
        <f>商品マスタ[[#This Row],[仕入
単価]]+商品マスタ[[#This Row],[国内送料]]</f>
        <v/>
      </c>
      <c r="U146" s="289">
        <f>ROUNDUP(商品マスタ[[#This Row],[仕入単価+国内送料]]/0.8,-1)</f>
        <v/>
      </c>
      <c r="V146" s="289">
        <f>商品マスタ[[#This Row],[海外定価
（20％）]]-商品マスタ[[#This Row],[仕入単価+国内送料]]</f>
        <v/>
      </c>
      <c r="W146" s="167">
        <f>ROUNDUP(商品マスタ[[#This Row],[仕入単価+国内送料]]/0.85,-1)</f>
        <v/>
      </c>
      <c r="X146" s="289">
        <f>商品マスタ[[#This Row],[国内定価
（15％）]]-商品マスタ[[#This Row],[仕入単価+国内送料]]</f>
        <v/>
      </c>
      <c r="Y146" s="139" t="n">
        <v>0.08</v>
      </c>
      <c r="Z146" s="167" t="n"/>
      <c r="AA146" s="167" t="n"/>
      <c r="AB146" s="167" t="n"/>
      <c r="AC146" s="293" t="n"/>
      <c r="AD146" s="167" t="n"/>
      <c r="AE146" s="167" t="n"/>
      <c r="AF146" s="167" t="n"/>
      <c r="AG146" s="144" t="n"/>
    </row>
    <row r="147" ht="18" customHeight="1" s="207">
      <c r="A147" s="166" t="inlineStr">
        <is>
          <t>精肉</t>
        </is>
      </c>
      <c r="B147" s="167" t="inlineStr">
        <is>
          <t>和牛</t>
        </is>
      </c>
      <c r="C147" s="167" t="inlineStr">
        <is>
          <t>GOODGOOD</t>
        </is>
      </c>
      <c r="D147" s="143">
        <f>"PRD_SNJ_"&amp;
_xlfn.XLOOKUP(商品マスタ[[#This Row],[仕入先]],テーブル1[仕入先名],テーブル1[仕入先コード],"XXX",0,1)&amp;
"_"&amp;
商品マスタ[[#This Row],[シリアル]]&amp;
"_"&amp;
TEXT(COUNTIFS(商品マスタ!$C$3:C147,商品マスタ[[#This Row],[仕入先]],商品マスタ!$E$3:E147,商品マスタ[[#This Row],[商品名]]), "00")</f>
        <v/>
      </c>
      <c r="E147" s="167" t="inlineStr">
        <is>
          <t>阿蘇赤身和牛　ハネシタ（ザブトン）</t>
        </is>
      </c>
      <c r="F147" s="167">
        <f>IF(COUNTIFS($C$3:C147,商品マスタ[[#This Row],[仕入先]],$E$3:E147,商品マスタ[[#This Row],[商品名]]) = 1, 1,0)</f>
        <v/>
      </c>
      <c r="G147" s="133">
        <f>TEXT(SUMIF($C$3:C147,商品マスタ[[#This Row],[仕入先]],$F$3:F147), "0000")</f>
        <v/>
      </c>
      <c r="H147" s="167" t="inlineStr">
        <is>
          <t>kg</t>
        </is>
      </c>
      <c r="I147" s="167" t="inlineStr">
        <is>
          <t>約3.3kg/個</t>
        </is>
      </c>
      <c r="J147" s="167" t="inlineStr">
        <is>
          <t>1個</t>
        </is>
      </c>
      <c r="K147" s="167" t="inlineStr">
        <is>
          <t>ブロック</t>
        </is>
      </c>
      <c r="L147" s="289" t="n">
        <v>7200</v>
      </c>
      <c r="M147" s="157" t="n">
        <v>45834</v>
      </c>
      <c r="N147" s="289" t="n"/>
      <c r="O147" s="290">
        <f>IF(COUNT(商品マスタ[[#This Row],[参考上代
（税込)]]) &gt; 0, (商品マスタ[[#This Row],[参考上代
（税込)]]-商品マスタ[[#This Row],[国内定価
（15％）]])/(商品マスタ[[#This Row],[参考上代
（税込)]]/1.08), "")</f>
        <v/>
      </c>
      <c r="P147" s="136" t="n">
        <v>0.1</v>
      </c>
      <c r="Q147" s="291">
        <f>商品マスタ[[#This Row],[仕入
単価]]*商品マスタ[[#This Row],[標準国内送料率]]</f>
        <v/>
      </c>
      <c r="R147" s="289" t="n"/>
      <c r="S147" s="289">
        <f>IF(ISBLANK(商品マスタ[[#This Row],[実績
国内送料]]),商品マスタ[[#This Row],[標準国内送料]],)</f>
        <v/>
      </c>
      <c r="T147" s="289">
        <f>商品マスタ[[#This Row],[仕入
単価]]+商品マスタ[[#This Row],[国内送料]]</f>
        <v/>
      </c>
      <c r="U147" s="289">
        <f>ROUNDUP(商品マスタ[[#This Row],[仕入単価+国内送料]]/0.8,-1)</f>
        <v/>
      </c>
      <c r="V147" s="289">
        <f>商品マスタ[[#This Row],[海外定価
（20％）]]-商品マスタ[[#This Row],[仕入単価+国内送料]]</f>
        <v/>
      </c>
      <c r="W147" s="167">
        <f>ROUNDUP(商品マスタ[[#This Row],[仕入単価+国内送料]]/0.85,-1)</f>
        <v/>
      </c>
      <c r="X147" s="289">
        <f>商品マスタ[[#This Row],[国内定価
（15％）]]-商品マスタ[[#This Row],[仕入単価+国内送料]]</f>
        <v/>
      </c>
      <c r="Y147" s="139" t="n">
        <v>0.08</v>
      </c>
      <c r="Z147" s="167" t="n"/>
      <c r="AA147" s="167" t="n"/>
      <c r="AB147" s="167" t="n"/>
      <c r="AC147" s="293" t="n"/>
      <c r="AD147" s="167" t="n"/>
      <c r="AE147" s="167" t="n"/>
      <c r="AF147" s="167" t="n"/>
      <c r="AG147" s="144" t="n"/>
    </row>
    <row r="148" ht="18" customHeight="1" s="207">
      <c r="A148" s="166" t="inlineStr">
        <is>
          <t>精肉</t>
        </is>
      </c>
      <c r="B148" s="167" t="inlineStr">
        <is>
          <t>和牛</t>
        </is>
      </c>
      <c r="C148" s="167" t="inlineStr">
        <is>
          <t>GOODGOOD</t>
        </is>
      </c>
      <c r="D148" s="143">
        <f>"PRD_SNJ_"&amp;
_xlfn.XLOOKUP(商品マスタ[[#This Row],[仕入先]],テーブル1[仕入先名],テーブル1[仕入先コード],"XXX",0,1)&amp;
"_"&amp;
商品マスタ[[#This Row],[シリアル]]&amp;
"_"&amp;
TEXT(COUNTIFS(商品マスタ!$C$3:C148,商品マスタ[[#This Row],[仕入先]],商品マスタ!$E$3:E148,商品マスタ[[#This Row],[商品名]]), "00")</f>
        <v/>
      </c>
      <c r="E148" s="167" t="inlineStr">
        <is>
          <t>阿蘇赤身和牛　肩ロース分割（芯）</t>
        </is>
      </c>
      <c r="F148" s="167">
        <f>IF(COUNTIFS($C$3:C148,商品マスタ[[#This Row],[仕入先]],$E$3:E148,商品マスタ[[#This Row],[商品名]]) = 1, 1,0)</f>
        <v/>
      </c>
      <c r="G148" s="133">
        <f>TEXT(SUMIF($C$3:C148,商品マスタ[[#This Row],[仕入先]],$F$3:F148), "0000")</f>
        <v/>
      </c>
      <c r="H148" s="167" t="inlineStr">
        <is>
          <t>kg</t>
        </is>
      </c>
      <c r="I148" s="167" t="inlineStr">
        <is>
          <t>約8.0kg/本</t>
        </is>
      </c>
      <c r="J148" s="167" t="inlineStr">
        <is>
          <t>1本</t>
        </is>
      </c>
      <c r="K148" s="167" t="inlineStr">
        <is>
          <t>ブロック</t>
        </is>
      </c>
      <c r="L148" s="289" t="n">
        <v>7200</v>
      </c>
      <c r="M148" s="157" t="n">
        <v>45834</v>
      </c>
      <c r="N148" s="289" t="n"/>
      <c r="O148" s="290">
        <f>IF(COUNT(商品マスタ[[#This Row],[参考上代
（税込)]]) &gt; 0, (商品マスタ[[#This Row],[参考上代
（税込)]]-商品マスタ[[#This Row],[国内定価
（15％）]])/(商品マスタ[[#This Row],[参考上代
（税込)]]/1.08), "")</f>
        <v/>
      </c>
      <c r="P148" s="136" t="n">
        <v>0.1</v>
      </c>
      <c r="Q148" s="291">
        <f>商品マスタ[[#This Row],[仕入
単価]]*商品マスタ[[#This Row],[標準国内送料率]]</f>
        <v/>
      </c>
      <c r="R148" s="289" t="n"/>
      <c r="S148" s="289">
        <f>IF(ISBLANK(商品マスタ[[#This Row],[実績
国内送料]]),商品マスタ[[#This Row],[標準国内送料]],)</f>
        <v/>
      </c>
      <c r="T148" s="289">
        <f>商品マスタ[[#This Row],[仕入
単価]]+商品マスタ[[#This Row],[国内送料]]</f>
        <v/>
      </c>
      <c r="U148" s="289">
        <f>ROUNDUP(商品マスタ[[#This Row],[仕入単価+国内送料]]/0.8,-1)</f>
        <v/>
      </c>
      <c r="V148" s="289">
        <f>商品マスタ[[#This Row],[海外定価
（20％）]]-商品マスタ[[#This Row],[仕入単価+国内送料]]</f>
        <v/>
      </c>
      <c r="W148" s="167">
        <f>ROUNDUP(商品マスタ[[#This Row],[仕入単価+国内送料]]/0.85,-1)</f>
        <v/>
      </c>
      <c r="X148" s="289">
        <f>商品マスタ[[#This Row],[国内定価
（15％）]]-商品マスタ[[#This Row],[仕入単価+国内送料]]</f>
        <v/>
      </c>
      <c r="Y148" s="139" t="n">
        <v>0.08</v>
      </c>
      <c r="Z148" s="167" t="n"/>
      <c r="AA148" s="167" t="n"/>
      <c r="AB148" s="167" t="n"/>
      <c r="AC148" s="293" t="n"/>
      <c r="AD148" s="167" t="n"/>
      <c r="AE148" s="167" t="n"/>
      <c r="AF148" s="167" t="n"/>
      <c r="AG148" s="144" t="n"/>
    </row>
    <row r="149" ht="18" customHeight="1" s="207">
      <c r="A149" s="166" t="inlineStr">
        <is>
          <t>精肉</t>
        </is>
      </c>
      <c r="B149" s="167" t="inlineStr">
        <is>
          <t>和牛</t>
        </is>
      </c>
      <c r="C149" s="167" t="inlineStr">
        <is>
          <t>GOODGOOD</t>
        </is>
      </c>
      <c r="D149" s="143">
        <f>"PRD_SNJ_"&amp;
_xlfn.XLOOKUP(商品マスタ[[#This Row],[仕入先]],テーブル1[仕入先名],テーブル1[仕入先コード],"XXX",0,1)&amp;
"_"&amp;
商品マスタ[[#This Row],[シリアル]]&amp;
"_"&amp;
TEXT(COUNTIFS(商品マスタ!$C$3:C149,商品マスタ[[#This Row],[仕入先]],商品マスタ!$E$3:E149,商品マスタ[[#This Row],[商品名]]), "00")</f>
        <v/>
      </c>
      <c r="E149" s="167" t="inlineStr">
        <is>
          <t>阿蘇赤身和牛　肩ロースカブリ</t>
        </is>
      </c>
      <c r="F149" s="167">
        <f>IF(COUNTIFS($C$3:C149,商品マスタ[[#This Row],[仕入先]],$E$3:E149,商品マスタ[[#This Row],[商品名]]) = 1, 1,0)</f>
        <v/>
      </c>
      <c r="G149" s="133">
        <f>TEXT(SUMIF($C$3:C149,商品マスタ[[#This Row],[仕入先]],$F$3:F149), "0000")</f>
        <v/>
      </c>
      <c r="H149" s="167" t="inlineStr">
        <is>
          <t>kg</t>
        </is>
      </c>
      <c r="I149" s="167" t="inlineStr">
        <is>
          <t>約4.1kg/個</t>
        </is>
      </c>
      <c r="J149" s="167" t="inlineStr">
        <is>
          <t>1個</t>
        </is>
      </c>
      <c r="K149" s="167" t="inlineStr">
        <is>
          <t>ブロック</t>
        </is>
      </c>
      <c r="L149" s="289" t="n">
        <v>4050</v>
      </c>
      <c r="M149" s="157" t="n">
        <v>45834</v>
      </c>
      <c r="N149" s="289" t="n"/>
      <c r="O149" s="290">
        <f>IF(COUNT(商品マスタ[[#This Row],[参考上代
（税込)]]) &gt; 0, (商品マスタ[[#This Row],[参考上代
（税込)]]-商品マスタ[[#This Row],[国内定価
（15％）]])/(商品マスタ[[#This Row],[参考上代
（税込)]]/1.08), "")</f>
        <v/>
      </c>
      <c r="P149" s="136" t="n">
        <v>0.1</v>
      </c>
      <c r="Q149" s="291">
        <f>商品マスタ[[#This Row],[仕入
単価]]*商品マスタ[[#This Row],[標準国内送料率]]</f>
        <v/>
      </c>
      <c r="R149" s="289" t="n"/>
      <c r="S149" s="289">
        <f>IF(ISBLANK(商品マスタ[[#This Row],[実績
国内送料]]),商品マスタ[[#This Row],[標準国内送料]],)</f>
        <v/>
      </c>
      <c r="T149" s="289">
        <f>商品マスタ[[#This Row],[仕入
単価]]+商品マスタ[[#This Row],[国内送料]]</f>
        <v/>
      </c>
      <c r="U149" s="289">
        <f>ROUNDUP(商品マスタ[[#This Row],[仕入単価+国内送料]]/0.8,-1)</f>
        <v/>
      </c>
      <c r="V149" s="289">
        <f>商品マスタ[[#This Row],[海外定価
（20％）]]-商品マスタ[[#This Row],[仕入単価+国内送料]]</f>
        <v/>
      </c>
      <c r="W149" s="167">
        <f>ROUNDUP(商品マスタ[[#This Row],[仕入単価+国内送料]]/0.85,-1)</f>
        <v/>
      </c>
      <c r="X149" s="289">
        <f>商品マスタ[[#This Row],[国内定価
（15％）]]-商品マスタ[[#This Row],[仕入単価+国内送料]]</f>
        <v/>
      </c>
      <c r="Y149" s="139" t="n">
        <v>0.08</v>
      </c>
      <c r="Z149" s="167" t="n"/>
      <c r="AA149" s="167" t="n"/>
      <c r="AB149" s="167" t="n"/>
      <c r="AC149" s="293" t="n"/>
      <c r="AD149" s="167" t="n"/>
      <c r="AE149" s="167" t="n"/>
      <c r="AF149" s="167" t="n"/>
      <c r="AG149" s="144" t="n"/>
    </row>
    <row r="150" ht="18" customHeight="1" s="207">
      <c r="A150" s="166" t="inlineStr">
        <is>
          <t>精肉</t>
        </is>
      </c>
      <c r="B150" s="167" t="inlineStr">
        <is>
          <t>和牛</t>
        </is>
      </c>
      <c r="C150" s="167" t="inlineStr">
        <is>
          <t>GOODGOOD</t>
        </is>
      </c>
      <c r="D150" s="143">
        <f>"PRD_SNJ_"&amp;
_xlfn.XLOOKUP(商品マスタ[[#This Row],[仕入先]],テーブル1[仕入先名],テーブル1[仕入先コード],"XXX",0,1)&amp;
"_"&amp;
商品マスタ[[#This Row],[シリアル]]&amp;
"_"&amp;
TEXT(COUNTIFS(商品マスタ!$C$3:C150,商品マスタ[[#This Row],[仕入先]],商品マスタ!$E$3:E150,商品マスタ[[#This Row],[商品名]]), "00")</f>
        <v/>
      </c>
      <c r="E150" s="167" t="inlineStr">
        <is>
          <t>阿蘇赤身和牛　ネック</t>
        </is>
      </c>
      <c r="F150" s="167">
        <f>IF(COUNTIFS($C$3:C150,商品マスタ[[#This Row],[仕入先]],$E$3:E150,商品マスタ[[#This Row],[商品名]]) = 1, 1,0)</f>
        <v/>
      </c>
      <c r="G150" s="133">
        <f>TEXT(SUMIF($C$3:C150,商品マスタ[[#This Row],[仕入先]],$F$3:F150), "0000")</f>
        <v/>
      </c>
      <c r="H150" s="167" t="inlineStr">
        <is>
          <t>kg</t>
        </is>
      </c>
      <c r="I150" s="167" t="inlineStr">
        <is>
          <t>約6.7kg/個</t>
        </is>
      </c>
      <c r="J150" s="167" t="inlineStr">
        <is>
          <t>1個</t>
        </is>
      </c>
      <c r="K150" s="167" t="inlineStr">
        <is>
          <t>ブロック</t>
        </is>
      </c>
      <c r="L150" s="289" t="n">
        <v>3420</v>
      </c>
      <c r="M150" s="157" t="n">
        <v>45834</v>
      </c>
      <c r="N150" s="289" t="n"/>
      <c r="O150" s="290">
        <f>IF(COUNT(商品マスタ[[#This Row],[参考上代
（税込)]]) &gt; 0, (商品マスタ[[#This Row],[参考上代
（税込)]]-商品マスタ[[#This Row],[国内定価
（15％）]])/(商品マスタ[[#This Row],[参考上代
（税込)]]/1.08), "")</f>
        <v/>
      </c>
      <c r="P150" s="136" t="n">
        <v>0.1</v>
      </c>
      <c r="Q150" s="291">
        <f>商品マスタ[[#This Row],[仕入
単価]]*商品マスタ[[#This Row],[標準国内送料率]]</f>
        <v/>
      </c>
      <c r="R150" s="289" t="n"/>
      <c r="S150" s="289">
        <f>IF(ISBLANK(商品マスタ[[#This Row],[実績
国内送料]]),商品マスタ[[#This Row],[標準国内送料]],)</f>
        <v/>
      </c>
      <c r="T150" s="289">
        <f>商品マスタ[[#This Row],[仕入
単価]]+商品マスタ[[#This Row],[国内送料]]</f>
        <v/>
      </c>
      <c r="U150" s="289">
        <f>ROUNDUP(商品マスタ[[#This Row],[仕入単価+国内送料]]/0.8,-1)</f>
        <v/>
      </c>
      <c r="V150" s="289">
        <f>商品マスタ[[#This Row],[海外定価
（20％）]]-商品マスタ[[#This Row],[仕入単価+国内送料]]</f>
        <v/>
      </c>
      <c r="W150" s="167">
        <f>ROUNDUP(商品マスタ[[#This Row],[仕入単価+国内送料]]/0.85,-1)</f>
        <v/>
      </c>
      <c r="X150" s="289">
        <f>商品マスタ[[#This Row],[国内定価
（15％）]]-商品マスタ[[#This Row],[仕入単価+国内送料]]</f>
        <v/>
      </c>
      <c r="Y150" s="139" t="n">
        <v>0.08</v>
      </c>
      <c r="Z150" s="167" t="n"/>
      <c r="AA150" s="167" t="n"/>
      <c r="AB150" s="167" t="n"/>
      <c r="AC150" s="293" t="n"/>
      <c r="AD150" s="167" t="n"/>
      <c r="AE150" s="167" t="n"/>
      <c r="AF150" s="167" t="n"/>
      <c r="AG150" s="144" t="n"/>
    </row>
    <row r="151" ht="18" customHeight="1" s="207">
      <c r="A151" s="166" t="inlineStr">
        <is>
          <t>精肉</t>
        </is>
      </c>
      <c r="B151" s="167" t="inlineStr">
        <is>
          <t>和牛</t>
        </is>
      </c>
      <c r="C151" s="167" t="inlineStr">
        <is>
          <t>GOODGOOD</t>
        </is>
      </c>
      <c r="D151" s="143">
        <f>"PRD_SNJ_"&amp;
_xlfn.XLOOKUP(商品マスタ[[#This Row],[仕入先]],テーブル1[仕入先名],テーブル1[仕入先コード],"XXX",0,1)&amp;
"_"&amp;
商品マスタ[[#This Row],[シリアル]]&amp;
"_"&amp;
TEXT(COUNTIFS(商品マスタ!$C$3:C151,商品マスタ[[#This Row],[仕入先]],商品マスタ!$E$3:E151,商品マスタ[[#This Row],[商品名]]), "00")</f>
        <v/>
      </c>
      <c r="E151" s="167" t="inlineStr">
        <is>
          <t>阿蘇赤身和牛　ランイチセット</t>
        </is>
      </c>
      <c r="F151" s="167">
        <f>IF(COUNTIFS($C$3:C151,商品マスタ[[#This Row],[仕入先]],$E$3:E151,商品マスタ[[#This Row],[商品名]]) = 1, 1,0)</f>
        <v/>
      </c>
      <c r="G151" s="133">
        <f>TEXT(SUMIF($C$3:C151,商品マスタ[[#This Row],[仕入先]],$F$3:F151), "0000")</f>
        <v/>
      </c>
      <c r="H151" s="167" t="inlineStr">
        <is>
          <t>kg</t>
        </is>
      </c>
      <c r="I151" s="167" t="inlineStr">
        <is>
          <t>約11.0kg/セット</t>
        </is>
      </c>
      <c r="J151" s="167" t="inlineStr">
        <is>
          <t>1セット</t>
        </is>
      </c>
      <c r="K151" s="167" t="inlineStr">
        <is>
          <t>赤身和牛堪能セット（3%OFF）</t>
        </is>
      </c>
      <c r="L151" s="289" t="n">
        <v>6300</v>
      </c>
      <c r="M151" s="157" t="n">
        <v>45834</v>
      </c>
      <c r="N151" s="289" t="n"/>
      <c r="O151" s="290">
        <f>IF(COUNT(商品マスタ[[#This Row],[参考上代
（税込)]]) &gt; 0, (商品マスタ[[#This Row],[参考上代
（税込)]]-商品マスタ[[#This Row],[国内定価
（15％）]])/(商品マスタ[[#This Row],[参考上代
（税込)]]/1.08), "")</f>
        <v/>
      </c>
      <c r="P151" s="136" t="n">
        <v>0.1</v>
      </c>
      <c r="Q151" s="291">
        <f>商品マスタ[[#This Row],[仕入
単価]]*商品マスタ[[#This Row],[標準国内送料率]]</f>
        <v/>
      </c>
      <c r="R151" s="289" t="n"/>
      <c r="S151" s="289">
        <f>IF(ISBLANK(商品マスタ[[#This Row],[実績
国内送料]]),商品マスタ[[#This Row],[標準国内送料]],)</f>
        <v/>
      </c>
      <c r="T151" s="289">
        <f>商品マスタ[[#This Row],[仕入
単価]]+商品マスタ[[#This Row],[国内送料]]</f>
        <v/>
      </c>
      <c r="U151" s="289">
        <f>ROUNDUP(商品マスタ[[#This Row],[仕入単価+国内送料]]/0.8,-1)</f>
        <v/>
      </c>
      <c r="V151" s="289">
        <f>商品マスタ[[#This Row],[海外定価
（20％）]]-商品マスタ[[#This Row],[仕入単価+国内送料]]</f>
        <v/>
      </c>
      <c r="W151" s="167">
        <f>ROUNDUP(商品マスタ[[#This Row],[仕入単価+国内送料]]/0.85,-1)</f>
        <v/>
      </c>
      <c r="X151" s="289">
        <f>商品マスタ[[#This Row],[国内定価
（15％）]]-商品マスタ[[#This Row],[仕入単価+国内送料]]</f>
        <v/>
      </c>
      <c r="Y151" s="139" t="n">
        <v>0.08</v>
      </c>
      <c r="Z151" s="167" t="n"/>
      <c r="AA151" s="167" t="n"/>
      <c r="AB151" s="167" t="n"/>
      <c r="AC151" s="293" t="n"/>
      <c r="AD151" s="167" t="n"/>
      <c r="AE151" s="167" t="n"/>
      <c r="AF151" s="167" t="n"/>
      <c r="AG151" s="144" t="n"/>
    </row>
    <row r="152" ht="18" customHeight="1" s="207">
      <c r="A152" s="166" t="inlineStr">
        <is>
          <t>精肉</t>
        </is>
      </c>
      <c r="B152" s="167" t="inlineStr">
        <is>
          <t>和牛</t>
        </is>
      </c>
      <c r="C152" s="167" t="inlineStr">
        <is>
          <t>GOODGOOD</t>
        </is>
      </c>
      <c r="D152" s="143">
        <f>"PRD_SNJ_"&amp;
_xlfn.XLOOKUP(商品マスタ[[#This Row],[仕入先]],テーブル1[仕入先名],テーブル1[仕入先コード],"XXX",0,1)&amp;
"_"&amp;
商品マスタ[[#This Row],[シリアル]]&amp;
"_"&amp;
TEXT(COUNTIFS(商品マスタ!$C$3:C152,商品マスタ[[#This Row],[仕入先]],商品マスタ!$E$3:E152,商品マスタ[[#This Row],[商品名]]), "00")</f>
        <v/>
      </c>
      <c r="E152" s="167" t="inlineStr">
        <is>
          <t>阿蘇赤身和牛　ランプ</t>
        </is>
      </c>
      <c r="F152" s="167">
        <f>IF(COUNTIFS($C$3:C152,商品マスタ[[#This Row],[仕入先]],$E$3:E152,商品マスタ[[#This Row],[商品名]]) = 1, 1,0)</f>
        <v/>
      </c>
      <c r="G152" s="133">
        <f>TEXT(SUMIF($C$3:C152,商品マスタ[[#This Row],[仕入先]],$F$3:F152), "0000")</f>
        <v/>
      </c>
      <c r="H152" s="167" t="inlineStr">
        <is>
          <t>kg</t>
        </is>
      </c>
      <c r="I152" s="167" t="inlineStr">
        <is>
          <t>約6.2kg/個</t>
        </is>
      </c>
      <c r="J152" s="167" t="inlineStr">
        <is>
          <t>1個</t>
        </is>
      </c>
      <c r="K152" s="167" t="inlineStr">
        <is>
          <t>ブロック</t>
        </is>
      </c>
      <c r="L152" s="289" t="n">
        <v>6500</v>
      </c>
      <c r="M152" s="157" t="n">
        <v>45834</v>
      </c>
      <c r="N152" s="289" t="n"/>
      <c r="O152" s="290">
        <f>IF(COUNT(商品マスタ[[#This Row],[参考上代
（税込)]]) &gt; 0, (商品マスタ[[#This Row],[参考上代
（税込)]]-商品マスタ[[#This Row],[国内定価
（15％）]])/(商品マスタ[[#This Row],[参考上代
（税込)]]/1.08), "")</f>
        <v/>
      </c>
      <c r="P152" s="136" t="n">
        <v>0.1</v>
      </c>
      <c r="Q152" s="291">
        <f>商品マスタ[[#This Row],[仕入
単価]]*商品マスタ[[#This Row],[標準国内送料率]]</f>
        <v/>
      </c>
      <c r="R152" s="289" t="n"/>
      <c r="S152" s="289">
        <f>IF(ISBLANK(商品マスタ[[#This Row],[実績
国内送料]]),商品マスタ[[#This Row],[標準国内送料]],)</f>
        <v/>
      </c>
      <c r="T152" s="289">
        <f>商品マスタ[[#This Row],[仕入
単価]]+商品マスタ[[#This Row],[国内送料]]</f>
        <v/>
      </c>
      <c r="U152" s="289">
        <f>ROUNDUP(商品マスタ[[#This Row],[仕入単価+国内送料]]/0.8,-1)</f>
        <v/>
      </c>
      <c r="V152" s="289">
        <f>商品マスタ[[#This Row],[海外定価
（20％）]]-商品マスタ[[#This Row],[仕入単価+国内送料]]</f>
        <v/>
      </c>
      <c r="W152" s="167">
        <f>ROUNDUP(商品マスタ[[#This Row],[仕入単価+国内送料]]/0.85,-1)</f>
        <v/>
      </c>
      <c r="X152" s="289">
        <f>商品マスタ[[#This Row],[国内定価
（15％）]]-商品マスタ[[#This Row],[仕入単価+国内送料]]</f>
        <v/>
      </c>
      <c r="Y152" s="139" t="n">
        <v>0.08</v>
      </c>
      <c r="Z152" s="167" t="n"/>
      <c r="AA152" s="167" t="n"/>
      <c r="AB152" s="167" t="n"/>
      <c r="AC152" s="293" t="n"/>
      <c r="AD152" s="167" t="n"/>
      <c r="AE152" s="167" t="n"/>
      <c r="AF152" s="167" t="n"/>
      <c r="AG152" s="144" t="n"/>
    </row>
    <row r="153" ht="18" customHeight="1" s="207">
      <c r="A153" s="166" t="inlineStr">
        <is>
          <t>精肉</t>
        </is>
      </c>
      <c r="B153" s="167" t="inlineStr">
        <is>
          <t>和牛</t>
        </is>
      </c>
      <c r="C153" s="167" t="inlineStr">
        <is>
          <t>GOODGOOD</t>
        </is>
      </c>
      <c r="D153" s="143">
        <f>"PRD_SNJ_"&amp;
_xlfn.XLOOKUP(商品マスタ[[#This Row],[仕入先]],テーブル1[仕入先名],テーブル1[仕入先コード],"XXX",0,1)&amp;
"_"&amp;
商品マスタ[[#This Row],[シリアル]]&amp;
"_"&amp;
TEXT(COUNTIFS(商品マスタ!$C$3:C153,商品マスタ[[#This Row],[仕入先]],商品マスタ!$E$3:E153,商品マスタ[[#This Row],[商品名]]), "00")</f>
        <v/>
      </c>
      <c r="E153" s="167" t="inlineStr">
        <is>
          <t>阿蘇赤身和牛　イチボ</t>
        </is>
      </c>
      <c r="F153" s="167">
        <f>IF(COUNTIFS($C$3:C153,商品マスタ[[#This Row],[仕入先]],$E$3:E153,商品マスタ[[#This Row],[商品名]]) = 1, 1,0)</f>
        <v/>
      </c>
      <c r="G153" s="133">
        <f>TEXT(SUMIF($C$3:C153,商品マスタ[[#This Row],[仕入先]],$F$3:F153), "0000")</f>
        <v/>
      </c>
      <c r="H153" s="167" t="inlineStr">
        <is>
          <t>kg</t>
        </is>
      </c>
      <c r="I153" s="167" t="inlineStr">
        <is>
          <t>約4.8kg/個</t>
        </is>
      </c>
      <c r="J153" s="167" t="inlineStr">
        <is>
          <t>1個</t>
        </is>
      </c>
      <c r="K153" s="167" t="inlineStr">
        <is>
          <t>ブロック</t>
        </is>
      </c>
      <c r="L153" s="289" t="n">
        <v>6500</v>
      </c>
      <c r="M153" s="157" t="n">
        <v>45834</v>
      </c>
      <c r="N153" s="289" t="n"/>
      <c r="O153" s="290">
        <f>IF(COUNT(商品マスタ[[#This Row],[参考上代
（税込)]]) &gt; 0, (商品マスタ[[#This Row],[参考上代
（税込)]]-商品マスタ[[#This Row],[国内定価
（15％）]])/(商品マスタ[[#This Row],[参考上代
（税込)]]/1.08), "")</f>
        <v/>
      </c>
      <c r="P153" s="136" t="n">
        <v>0.1</v>
      </c>
      <c r="Q153" s="291">
        <f>商品マスタ[[#This Row],[仕入
単価]]*商品マスタ[[#This Row],[標準国内送料率]]</f>
        <v/>
      </c>
      <c r="R153" s="289" t="n"/>
      <c r="S153" s="289">
        <f>IF(ISBLANK(商品マスタ[[#This Row],[実績
国内送料]]),商品マスタ[[#This Row],[標準国内送料]],)</f>
        <v/>
      </c>
      <c r="T153" s="289">
        <f>商品マスタ[[#This Row],[仕入
単価]]+商品マスタ[[#This Row],[国内送料]]</f>
        <v/>
      </c>
      <c r="U153" s="289">
        <f>ROUNDUP(商品マスタ[[#This Row],[仕入単価+国内送料]]/0.8,-1)</f>
        <v/>
      </c>
      <c r="V153" s="289">
        <f>商品マスタ[[#This Row],[海外定価
（20％）]]-商品マスタ[[#This Row],[仕入単価+国内送料]]</f>
        <v/>
      </c>
      <c r="W153" s="167">
        <f>ROUNDUP(商品マスタ[[#This Row],[仕入単価+国内送料]]/0.85,-1)</f>
        <v/>
      </c>
      <c r="X153" s="289">
        <f>商品マスタ[[#This Row],[国内定価
（15％）]]-商品マスタ[[#This Row],[仕入単価+国内送料]]</f>
        <v/>
      </c>
      <c r="Y153" s="139" t="n">
        <v>0.08</v>
      </c>
      <c r="Z153" s="167" t="n"/>
      <c r="AA153" s="167" t="n"/>
      <c r="AB153" s="167" t="n"/>
      <c r="AC153" s="293" t="n"/>
      <c r="AD153" s="167" t="n"/>
      <c r="AE153" s="167" t="n"/>
      <c r="AF153" s="167" t="n"/>
      <c r="AG153" s="144" t="n"/>
    </row>
    <row r="154" ht="18" customHeight="1" s="207">
      <c r="A154" s="166" t="inlineStr">
        <is>
          <t>精肉</t>
        </is>
      </c>
      <c r="B154" s="167" t="inlineStr">
        <is>
          <t>和牛</t>
        </is>
      </c>
      <c r="C154" s="167" t="inlineStr">
        <is>
          <t>GOODGOOD</t>
        </is>
      </c>
      <c r="D154" s="143">
        <f>"PRD_SNJ_"&amp;
_xlfn.XLOOKUP(商品マスタ[[#This Row],[仕入先]],テーブル1[仕入先名],テーブル1[仕入先コード],"XXX",0,1)&amp;
"_"&amp;
商品マスタ[[#This Row],[シリアル]]&amp;
"_"&amp;
TEXT(COUNTIFS(商品マスタ!$C$3:C154,商品マスタ[[#This Row],[仕入先]],商品マスタ!$E$3:E154,商品マスタ[[#This Row],[商品名]]), "00")</f>
        <v/>
      </c>
      <c r="E154" s="167" t="inlineStr">
        <is>
          <t>阿蘇赤身和牛　シンタマセット</t>
        </is>
      </c>
      <c r="F154" s="167">
        <f>IF(COUNTIFS($C$3:C154,商品マスタ[[#This Row],[仕入先]],$E$3:E154,商品マスタ[[#This Row],[商品名]]) = 1, 1,0)</f>
        <v/>
      </c>
      <c r="G154" s="133">
        <f>TEXT(SUMIF($C$3:C154,商品マスタ[[#This Row],[仕入先]],$F$3:F154), "0000")</f>
        <v/>
      </c>
      <c r="H154" s="167" t="inlineStr">
        <is>
          <t>kg</t>
        </is>
      </c>
      <c r="I154" s="167" t="inlineStr">
        <is>
          <t>約11.5kg/セット</t>
        </is>
      </c>
      <c r="J154" s="167" t="inlineStr">
        <is>
          <t>1セット</t>
        </is>
      </c>
      <c r="K154" s="167" t="inlineStr">
        <is>
          <t>モモ系部位セット（7%OFF）</t>
        </is>
      </c>
      <c r="L154" s="289" t="n">
        <v>6600</v>
      </c>
      <c r="M154" s="157" t="n">
        <v>45834</v>
      </c>
      <c r="N154" s="289" t="n"/>
      <c r="O154" s="290">
        <f>IF(COUNT(商品マスタ[[#This Row],[参考上代
（税込)]]) &gt; 0, (商品マスタ[[#This Row],[参考上代
（税込)]]-商品マスタ[[#This Row],[国内定価
（15％）]])/(商品マスタ[[#This Row],[参考上代
（税込)]]/1.08), "")</f>
        <v/>
      </c>
      <c r="P154" s="136" t="n">
        <v>0.1</v>
      </c>
      <c r="Q154" s="291">
        <f>商品マスタ[[#This Row],[仕入
単価]]*商品マスタ[[#This Row],[標準国内送料率]]</f>
        <v/>
      </c>
      <c r="R154" s="289" t="n"/>
      <c r="S154" s="289">
        <f>IF(ISBLANK(商品マスタ[[#This Row],[実績
国内送料]]),商品マスタ[[#This Row],[標準国内送料]],)</f>
        <v/>
      </c>
      <c r="T154" s="289">
        <f>商品マスタ[[#This Row],[仕入
単価]]+商品マスタ[[#This Row],[国内送料]]</f>
        <v/>
      </c>
      <c r="U154" s="289">
        <f>ROUNDUP(商品マスタ[[#This Row],[仕入単価+国内送料]]/0.8,-1)</f>
        <v/>
      </c>
      <c r="V154" s="289">
        <f>商品マスタ[[#This Row],[海外定価
（20％）]]-商品マスタ[[#This Row],[仕入単価+国内送料]]</f>
        <v/>
      </c>
      <c r="W154" s="167">
        <f>ROUNDUP(商品マスタ[[#This Row],[仕入単価+国内送料]]/0.85,-1)</f>
        <v/>
      </c>
      <c r="X154" s="289">
        <f>商品マスタ[[#This Row],[国内定価
（15％）]]-商品マスタ[[#This Row],[仕入単価+国内送料]]</f>
        <v/>
      </c>
      <c r="Y154" s="139" t="n">
        <v>0.08</v>
      </c>
      <c r="Z154" s="167" t="n"/>
      <c r="AA154" s="167" t="n"/>
      <c r="AB154" s="167" t="n"/>
      <c r="AC154" s="293" t="n"/>
      <c r="AD154" s="167" t="n"/>
      <c r="AE154" s="167" t="n"/>
      <c r="AF154" s="167" t="n"/>
      <c r="AG154" s="144" t="n"/>
    </row>
    <row r="155" ht="18" customHeight="1" s="207">
      <c r="A155" s="166" t="inlineStr">
        <is>
          <t>精肉</t>
        </is>
      </c>
      <c r="B155" s="167" t="inlineStr">
        <is>
          <t>和牛</t>
        </is>
      </c>
      <c r="C155" s="167" t="inlineStr">
        <is>
          <t>GOODGOOD</t>
        </is>
      </c>
      <c r="D155" s="143">
        <f>"PRD_SNJ_"&amp;
_xlfn.XLOOKUP(商品マスタ[[#This Row],[仕入先]],テーブル1[仕入先名],テーブル1[仕入先コード],"XXX",0,1)&amp;
"_"&amp;
商品マスタ[[#This Row],[シリアル]]&amp;
"_"&amp;
TEXT(COUNTIFS(商品マスタ!$C$3:C155,商品マスタ[[#This Row],[仕入先]],商品マスタ!$E$3:E155,商品マスタ[[#This Row],[商品名]]), "00")</f>
        <v/>
      </c>
      <c r="E155" s="167" t="inlineStr">
        <is>
          <t>阿蘇赤身和牛　マルシン</t>
        </is>
      </c>
      <c r="F155" s="167">
        <f>IF(COUNTIFS($C$3:C155,商品マスタ[[#This Row],[仕入先]],$E$3:E155,商品マスタ[[#This Row],[商品名]]) = 1, 1,0)</f>
        <v/>
      </c>
      <c r="G155" s="133">
        <f>TEXT(SUMIF($C$3:C155,商品マスタ[[#This Row],[仕入先]],$F$3:F155), "0000")</f>
        <v/>
      </c>
      <c r="H155" s="167" t="inlineStr">
        <is>
          <t>kg</t>
        </is>
      </c>
      <c r="I155" s="167" t="inlineStr">
        <is>
          <t>約2.8kg/個</t>
        </is>
      </c>
      <c r="J155" s="167" t="inlineStr">
        <is>
          <t>1個</t>
        </is>
      </c>
      <c r="K155" s="167" t="inlineStr">
        <is>
          <t>ブロック</t>
        </is>
      </c>
      <c r="L155" s="289" t="n">
        <v>7150</v>
      </c>
      <c r="M155" s="157" t="n">
        <v>45834</v>
      </c>
      <c r="N155" s="289" t="n"/>
      <c r="O155" s="290">
        <f>IF(COUNT(商品マスタ[[#This Row],[参考上代
（税込)]]) &gt; 0, (商品マスタ[[#This Row],[参考上代
（税込)]]-商品マスタ[[#This Row],[国内定価
（15％）]])/(商品マスタ[[#This Row],[参考上代
（税込)]]/1.08), "")</f>
        <v/>
      </c>
      <c r="P155" s="136" t="n">
        <v>0.1</v>
      </c>
      <c r="Q155" s="291">
        <f>商品マスタ[[#This Row],[仕入
単価]]*商品マスタ[[#This Row],[標準国内送料率]]</f>
        <v/>
      </c>
      <c r="R155" s="289" t="n"/>
      <c r="S155" s="289">
        <f>IF(ISBLANK(商品マスタ[[#This Row],[実績
国内送料]]),商品マスタ[[#This Row],[標準国内送料]],)</f>
        <v/>
      </c>
      <c r="T155" s="289">
        <f>商品マスタ[[#This Row],[仕入
単価]]+商品マスタ[[#This Row],[国内送料]]</f>
        <v/>
      </c>
      <c r="U155" s="289">
        <f>ROUNDUP(商品マスタ[[#This Row],[仕入単価+国内送料]]/0.8,-1)</f>
        <v/>
      </c>
      <c r="V155" s="289">
        <f>商品マスタ[[#This Row],[海外定価
（20％）]]-商品マスタ[[#This Row],[仕入単価+国内送料]]</f>
        <v/>
      </c>
      <c r="W155" s="167">
        <f>ROUNDUP(商品マスタ[[#This Row],[仕入単価+国内送料]]/0.85,-1)</f>
        <v/>
      </c>
      <c r="X155" s="289">
        <f>商品マスタ[[#This Row],[国内定価
（15％）]]-商品マスタ[[#This Row],[仕入単価+国内送料]]</f>
        <v/>
      </c>
      <c r="Y155" s="139" t="n">
        <v>0.08</v>
      </c>
      <c r="Z155" s="167" t="n"/>
      <c r="AA155" s="167" t="n"/>
      <c r="AB155" s="167" t="n"/>
      <c r="AC155" s="293" t="n"/>
      <c r="AD155" s="167" t="n"/>
      <c r="AE155" s="167" t="n"/>
      <c r="AF155" s="167" t="n"/>
      <c r="AG155" s="144" t="n"/>
    </row>
    <row r="156" ht="18" customHeight="1" s="207">
      <c r="A156" s="166" t="inlineStr">
        <is>
          <t>精肉</t>
        </is>
      </c>
      <c r="B156" s="167" t="inlineStr">
        <is>
          <t>和牛</t>
        </is>
      </c>
      <c r="C156" s="167" t="inlineStr">
        <is>
          <t>GOODGOOD</t>
        </is>
      </c>
      <c r="D156" s="143">
        <f>"PRD_SNJ_"&amp;
_xlfn.XLOOKUP(商品マスタ[[#This Row],[仕入先]],テーブル1[仕入先名],テーブル1[仕入先コード],"XXX",0,1)&amp;
"_"&amp;
商品マスタ[[#This Row],[シリアル]]&amp;
"_"&amp;
TEXT(COUNTIFS(商品マスタ!$C$3:C156,商品マスタ[[#This Row],[仕入先]],商品マスタ!$E$3:E156,商品マスタ[[#This Row],[商品名]]), "00")</f>
        <v/>
      </c>
      <c r="E156" s="167" t="inlineStr">
        <is>
          <t>阿蘇赤身和牛　トモサンカク</t>
        </is>
      </c>
      <c r="F156" s="167">
        <f>IF(COUNTIFS($C$3:C156,商品マスタ[[#This Row],[仕入先]],$E$3:E156,商品マスタ[[#This Row],[商品名]]) = 1, 1,0)</f>
        <v/>
      </c>
      <c r="G156" s="133">
        <f>TEXT(SUMIF($C$3:C156,商品マスタ[[#This Row],[仕入先]],$F$3:F156), "0000")</f>
        <v/>
      </c>
      <c r="H156" s="167" t="inlineStr">
        <is>
          <t>kg</t>
        </is>
      </c>
      <c r="I156" s="167" t="inlineStr">
        <is>
          <t>約3.0kg/個</t>
        </is>
      </c>
      <c r="J156" s="167" t="inlineStr">
        <is>
          <t>1個</t>
        </is>
      </c>
      <c r="K156" s="167" t="inlineStr">
        <is>
          <t>ブロック</t>
        </is>
      </c>
      <c r="L156" s="289" t="n">
        <v>7040</v>
      </c>
      <c r="M156" s="157" t="n">
        <v>45834</v>
      </c>
      <c r="N156" s="289" t="n"/>
      <c r="O156" s="290">
        <f>IF(COUNT(商品マスタ[[#This Row],[参考上代
（税込)]]) &gt; 0, (商品マスタ[[#This Row],[参考上代
（税込)]]-商品マスタ[[#This Row],[国内定価
（15％）]])/(商品マスタ[[#This Row],[参考上代
（税込)]]/1.08), "")</f>
        <v/>
      </c>
      <c r="P156" s="136" t="n">
        <v>0.1</v>
      </c>
      <c r="Q156" s="291">
        <f>商品マスタ[[#This Row],[仕入
単価]]*商品マスタ[[#This Row],[標準国内送料率]]</f>
        <v/>
      </c>
      <c r="R156" s="289" t="n"/>
      <c r="S156" s="289">
        <f>IF(ISBLANK(商品マスタ[[#This Row],[実績
国内送料]]),商品マスタ[[#This Row],[標準国内送料]],)</f>
        <v/>
      </c>
      <c r="T156" s="289">
        <f>商品マスタ[[#This Row],[仕入
単価]]+商品マスタ[[#This Row],[国内送料]]</f>
        <v/>
      </c>
      <c r="U156" s="289">
        <f>ROUNDUP(商品マスタ[[#This Row],[仕入単価+国内送料]]/0.8,-1)</f>
        <v/>
      </c>
      <c r="V156" s="289">
        <f>商品マスタ[[#This Row],[海外定価
（20％）]]-商品マスタ[[#This Row],[仕入単価+国内送料]]</f>
        <v/>
      </c>
      <c r="W156" s="167">
        <f>ROUNDUP(商品マスタ[[#This Row],[仕入単価+国内送料]]/0.85,-1)</f>
        <v/>
      </c>
      <c r="X156" s="289">
        <f>商品マスタ[[#This Row],[国内定価
（15％）]]-商品マスタ[[#This Row],[仕入単価+国内送料]]</f>
        <v/>
      </c>
      <c r="Y156" s="139" t="n">
        <v>0.08</v>
      </c>
      <c r="Z156" s="167" t="n"/>
      <c r="AA156" s="167" t="n"/>
      <c r="AB156" s="167" t="n"/>
      <c r="AC156" s="293" t="n"/>
      <c r="AD156" s="167" t="n"/>
      <c r="AE156" s="167" t="n"/>
      <c r="AF156" s="167" t="n"/>
      <c r="AG156" s="144" t="n"/>
    </row>
    <row r="157" ht="18" customHeight="1" s="207">
      <c r="A157" s="166" t="inlineStr">
        <is>
          <t>精肉</t>
        </is>
      </c>
      <c r="B157" s="167" t="inlineStr">
        <is>
          <t>和牛</t>
        </is>
      </c>
      <c r="C157" s="167" t="inlineStr">
        <is>
          <t>GOODGOOD</t>
        </is>
      </c>
      <c r="D157" s="143">
        <f>"PRD_SNJ_"&amp;
_xlfn.XLOOKUP(商品マスタ[[#This Row],[仕入先]],テーブル1[仕入先名],テーブル1[仕入先コード],"XXX",0,1)&amp;
"_"&amp;
商品マスタ[[#This Row],[シリアル]]&amp;
"_"&amp;
TEXT(COUNTIFS(商品マスタ!$C$3:C157,商品マスタ[[#This Row],[仕入先]],商品マスタ!$E$3:E157,商品マスタ[[#This Row],[商品名]]), "00")</f>
        <v/>
      </c>
      <c r="E157" s="167" t="inlineStr">
        <is>
          <t>阿蘇赤身和牛　カメノコ</t>
        </is>
      </c>
      <c r="F157" s="167">
        <f>IF(COUNTIFS($C$3:C157,商品マスタ[[#This Row],[仕入先]],$E$3:E157,商品マスタ[[#This Row],[商品名]]) = 1, 1,0)</f>
        <v/>
      </c>
      <c r="G157" s="133">
        <f>TEXT(SUMIF($C$3:C157,商品マスタ[[#This Row],[仕入先]],$F$3:F157), "0000")</f>
        <v/>
      </c>
      <c r="H157" s="167" t="inlineStr">
        <is>
          <t>kg</t>
        </is>
      </c>
      <c r="I157" s="167" t="inlineStr">
        <is>
          <t>約3.5kg/個</t>
        </is>
      </c>
      <c r="J157" s="167" t="inlineStr">
        <is>
          <t>1個</t>
        </is>
      </c>
      <c r="K157" s="167" t="inlineStr">
        <is>
          <t>ブロック</t>
        </is>
      </c>
      <c r="L157" s="289" t="n">
        <v>7040</v>
      </c>
      <c r="M157" s="157" t="n">
        <v>45834</v>
      </c>
      <c r="N157" s="289" t="n"/>
      <c r="O157" s="290">
        <f>IF(COUNT(商品マスタ[[#This Row],[参考上代
（税込)]]) &gt; 0, (商品マスタ[[#This Row],[参考上代
（税込)]]-商品マスタ[[#This Row],[国内定価
（15％）]])/(商品マスタ[[#This Row],[参考上代
（税込)]]/1.08), "")</f>
        <v/>
      </c>
      <c r="P157" s="136" t="n">
        <v>0.1</v>
      </c>
      <c r="Q157" s="291">
        <f>商品マスタ[[#This Row],[仕入
単価]]*商品マスタ[[#This Row],[標準国内送料率]]</f>
        <v/>
      </c>
      <c r="R157" s="289" t="n"/>
      <c r="S157" s="289">
        <f>IF(ISBLANK(商品マスタ[[#This Row],[実績
国内送料]]),商品マスタ[[#This Row],[標準国内送料]],)</f>
        <v/>
      </c>
      <c r="T157" s="289">
        <f>商品マスタ[[#This Row],[仕入
単価]]+商品マスタ[[#This Row],[国内送料]]</f>
        <v/>
      </c>
      <c r="U157" s="289">
        <f>ROUNDUP(商品マスタ[[#This Row],[仕入単価+国内送料]]/0.8,-1)</f>
        <v/>
      </c>
      <c r="V157" s="289">
        <f>商品マスタ[[#This Row],[海外定価
（20％）]]-商品マスタ[[#This Row],[仕入単価+国内送料]]</f>
        <v/>
      </c>
      <c r="W157" s="167">
        <f>ROUNDUP(商品マスタ[[#This Row],[仕入単価+国内送料]]/0.85,-1)</f>
        <v/>
      </c>
      <c r="X157" s="289">
        <f>商品マスタ[[#This Row],[国内定価
（15％）]]-商品マスタ[[#This Row],[仕入単価+国内送料]]</f>
        <v/>
      </c>
      <c r="Y157" s="139" t="n">
        <v>0.08</v>
      </c>
      <c r="Z157" s="167" t="n"/>
      <c r="AA157" s="167" t="n"/>
      <c r="AB157" s="167" t="n"/>
      <c r="AC157" s="293" t="n"/>
      <c r="AD157" s="167" t="n"/>
      <c r="AE157" s="167" t="n"/>
      <c r="AF157" s="167" t="n"/>
      <c r="AG157" s="144" t="n"/>
    </row>
    <row r="158" ht="18" customHeight="1" s="207">
      <c r="A158" s="166" t="inlineStr">
        <is>
          <t>精肉</t>
        </is>
      </c>
      <c r="B158" s="167" t="inlineStr">
        <is>
          <t>和牛</t>
        </is>
      </c>
      <c r="C158" s="167" t="inlineStr">
        <is>
          <t>GOODGOOD</t>
        </is>
      </c>
      <c r="D158" s="143">
        <f>"PRD_SNJ_"&amp;
_xlfn.XLOOKUP(商品マスタ[[#This Row],[仕入先]],テーブル1[仕入先名],テーブル1[仕入先コード],"XXX",0,1)&amp;
"_"&amp;
商品マスタ[[#This Row],[シリアル]]&amp;
"_"&amp;
TEXT(COUNTIFS(商品マスタ!$C$3:C158,商品マスタ[[#This Row],[仕入先]],商品マスタ!$E$3:E158,商品マスタ[[#This Row],[商品名]]), "00")</f>
        <v/>
      </c>
      <c r="E158" s="167" t="inlineStr">
        <is>
          <t>阿蘇赤身和牛　マルカワ</t>
        </is>
      </c>
      <c r="F158" s="167">
        <f>IF(COUNTIFS($C$3:C158,商品マスタ[[#This Row],[仕入先]],$E$3:E158,商品マスタ[[#This Row],[商品名]]) = 1, 1,0)</f>
        <v/>
      </c>
      <c r="G158" s="133">
        <f>TEXT(SUMIF($C$3:C158,商品マスタ[[#This Row],[仕入先]],$F$3:F158), "0000")</f>
        <v/>
      </c>
      <c r="H158" s="167" t="inlineStr">
        <is>
          <t>kg</t>
        </is>
      </c>
      <c r="I158" s="167" t="inlineStr">
        <is>
          <t>約2.2kg/個</t>
        </is>
      </c>
      <c r="J158" s="167" t="inlineStr">
        <is>
          <t>1個</t>
        </is>
      </c>
      <c r="K158" s="167" t="inlineStr">
        <is>
          <t>ブロック</t>
        </is>
      </c>
      <c r="L158" s="289" t="n">
        <v>7040</v>
      </c>
      <c r="M158" s="157" t="n">
        <v>45834</v>
      </c>
      <c r="N158" s="289" t="n"/>
      <c r="O158" s="290">
        <f>IF(COUNT(商品マスタ[[#This Row],[参考上代
（税込)]]) &gt; 0, (商品マスタ[[#This Row],[参考上代
（税込)]]-商品マスタ[[#This Row],[国内定価
（15％）]])/(商品マスタ[[#This Row],[参考上代
（税込)]]/1.08), "")</f>
        <v/>
      </c>
      <c r="P158" s="136" t="n">
        <v>0.1</v>
      </c>
      <c r="Q158" s="291">
        <f>商品マスタ[[#This Row],[仕入
単価]]*商品マスタ[[#This Row],[標準国内送料率]]</f>
        <v/>
      </c>
      <c r="R158" s="289" t="n"/>
      <c r="S158" s="289">
        <f>IF(ISBLANK(商品マスタ[[#This Row],[実績
国内送料]]),商品マスタ[[#This Row],[標準国内送料]],)</f>
        <v/>
      </c>
      <c r="T158" s="289">
        <f>商品マスタ[[#This Row],[仕入
単価]]+商品マスタ[[#This Row],[国内送料]]</f>
        <v/>
      </c>
      <c r="U158" s="289">
        <f>ROUNDUP(商品マスタ[[#This Row],[仕入単価+国内送料]]/0.8,-1)</f>
        <v/>
      </c>
      <c r="V158" s="289">
        <f>商品マスタ[[#This Row],[海外定価
（20％）]]-商品マスタ[[#This Row],[仕入単価+国内送料]]</f>
        <v/>
      </c>
      <c r="W158" s="167">
        <f>ROUNDUP(商品マスタ[[#This Row],[仕入単価+国内送料]]/0.85,-1)</f>
        <v/>
      </c>
      <c r="X158" s="289">
        <f>商品マスタ[[#This Row],[国内定価
（15％）]]-商品マスタ[[#This Row],[仕入単価+国内送料]]</f>
        <v/>
      </c>
      <c r="Y158" s="139" t="n">
        <v>0.08</v>
      </c>
      <c r="Z158" s="167" t="n"/>
      <c r="AA158" s="167" t="n"/>
      <c r="AB158" s="167" t="n"/>
      <c r="AC158" s="293" t="n"/>
      <c r="AD158" s="167" t="n"/>
      <c r="AE158" s="167" t="n"/>
      <c r="AF158" s="167" t="n"/>
      <c r="AG158" s="144" t="n"/>
    </row>
    <row r="159" ht="18" customHeight="1" s="207">
      <c r="A159" s="166" t="inlineStr">
        <is>
          <t>精肉</t>
        </is>
      </c>
      <c r="B159" s="167" t="inlineStr">
        <is>
          <t>和牛</t>
        </is>
      </c>
      <c r="C159" s="167" t="inlineStr">
        <is>
          <t>GOODGOOD</t>
        </is>
      </c>
      <c r="D159" s="143">
        <f>"PRD_SNJ_"&amp;
_xlfn.XLOOKUP(商品マスタ[[#This Row],[仕入先]],テーブル1[仕入先名],テーブル1[仕入先コード],"XXX",0,1)&amp;
"_"&amp;
商品マスタ[[#This Row],[シリアル]]&amp;
"_"&amp;
TEXT(COUNTIFS(商品マスタ!$C$3:C159,商品マスタ[[#This Row],[仕入先]],商品マスタ!$E$3:E159,商品マスタ[[#This Row],[商品名]]), "00")</f>
        <v/>
      </c>
      <c r="E159" s="167" t="inlineStr">
        <is>
          <t>阿蘇赤身和牛　内モモ</t>
        </is>
      </c>
      <c r="F159" s="167">
        <f>IF(COUNTIFS($C$3:C159,商品マスタ[[#This Row],[仕入先]],$E$3:E159,商品マスタ[[#This Row],[商品名]]) = 1, 1,0)</f>
        <v/>
      </c>
      <c r="G159" s="133">
        <f>TEXT(SUMIF($C$3:C159,商品マスタ[[#This Row],[仕入先]],$F$3:F159), "0000")</f>
        <v/>
      </c>
      <c r="H159" s="167" t="inlineStr">
        <is>
          <t>kg</t>
        </is>
      </c>
      <c r="I159" s="167" t="inlineStr">
        <is>
          <t>約13.3kg/個</t>
        </is>
      </c>
      <c r="J159" s="167" t="inlineStr">
        <is>
          <t>1個</t>
        </is>
      </c>
      <c r="K159" s="167" t="inlineStr">
        <is>
          <t>ブロック</t>
        </is>
      </c>
      <c r="L159" s="289" t="n">
        <v>4800</v>
      </c>
      <c r="M159" s="157" t="n">
        <v>45834</v>
      </c>
      <c r="N159" s="289" t="n"/>
      <c r="O159" s="290">
        <f>IF(COUNT(商品マスタ[[#This Row],[参考上代
（税込)]]) &gt; 0, (商品マスタ[[#This Row],[参考上代
（税込)]]-商品マスタ[[#This Row],[国内定価
（15％）]])/(商品マスタ[[#This Row],[参考上代
（税込)]]/1.08), "")</f>
        <v/>
      </c>
      <c r="P159" s="136" t="n">
        <v>0.1</v>
      </c>
      <c r="Q159" s="291">
        <f>商品マスタ[[#This Row],[仕入
単価]]*商品マスタ[[#This Row],[標準国内送料率]]</f>
        <v/>
      </c>
      <c r="R159" s="289" t="n"/>
      <c r="S159" s="289">
        <f>IF(ISBLANK(商品マスタ[[#This Row],[実績
国内送料]]),商品マスタ[[#This Row],[標準国内送料]],)</f>
        <v/>
      </c>
      <c r="T159" s="289">
        <f>商品マスタ[[#This Row],[仕入
単価]]+商品マスタ[[#This Row],[国内送料]]</f>
        <v/>
      </c>
      <c r="U159" s="289">
        <f>ROUNDUP(商品マスタ[[#This Row],[仕入単価+国内送料]]/0.8,-1)</f>
        <v/>
      </c>
      <c r="V159" s="289">
        <f>商品マスタ[[#This Row],[海外定価
（20％）]]-商品マスタ[[#This Row],[仕入単価+国内送料]]</f>
        <v/>
      </c>
      <c r="W159" s="167">
        <f>ROUNDUP(商品マスタ[[#This Row],[仕入単価+国内送料]]/0.85,-1)</f>
        <v/>
      </c>
      <c r="X159" s="289">
        <f>商品マスタ[[#This Row],[国内定価
（15％）]]-商品マスタ[[#This Row],[仕入単価+国内送料]]</f>
        <v/>
      </c>
      <c r="Y159" s="139" t="n">
        <v>0.08</v>
      </c>
      <c r="Z159" s="167" t="n"/>
      <c r="AA159" s="167" t="n"/>
      <c r="AB159" s="167" t="n"/>
      <c r="AC159" s="293" t="n"/>
      <c r="AD159" s="167" t="n"/>
      <c r="AE159" s="167" t="n"/>
      <c r="AF159" s="167" t="n"/>
      <c r="AG159" s="144" t="n"/>
    </row>
    <row r="160" ht="18" customHeight="1" s="207">
      <c r="A160" s="166" t="inlineStr">
        <is>
          <t>精肉</t>
        </is>
      </c>
      <c r="B160" s="167" t="inlineStr">
        <is>
          <t>和牛</t>
        </is>
      </c>
      <c r="C160" s="167" t="inlineStr">
        <is>
          <t>GOODGOOD</t>
        </is>
      </c>
      <c r="D160" s="143">
        <f>"PRD_SNJ_"&amp;
_xlfn.XLOOKUP(商品マスタ[[#This Row],[仕入先]],テーブル1[仕入先名],テーブル1[仕入先コード],"XXX",0,1)&amp;
"_"&amp;
商品マスタ[[#This Row],[シリアル]]&amp;
"_"&amp;
TEXT(COUNTIFS(商品マスタ!$C$3:C160,商品マスタ[[#This Row],[仕入先]],商品マスタ!$E$3:E160,商品マスタ[[#This Row],[商品名]]), "00")</f>
        <v/>
      </c>
      <c r="E160" s="167" t="inlineStr">
        <is>
          <t>阿蘇赤身和牛　外モモ</t>
        </is>
      </c>
      <c r="F160" s="167">
        <f>IF(COUNTIFS($C$3:C160,商品マスタ[[#This Row],[仕入先]],$E$3:E160,商品マスタ[[#This Row],[商品名]]) = 1, 1,0)</f>
        <v/>
      </c>
      <c r="G160" s="133">
        <f>TEXT(SUMIF($C$3:C160,商品マスタ[[#This Row],[仕入先]],$F$3:F160), "0000")</f>
        <v/>
      </c>
      <c r="H160" s="167" t="inlineStr">
        <is>
          <t>kg</t>
        </is>
      </c>
      <c r="I160" s="167" t="inlineStr">
        <is>
          <t>約14.1kg/個</t>
        </is>
      </c>
      <c r="J160" s="167" t="inlineStr">
        <is>
          <t>1個</t>
        </is>
      </c>
      <c r="K160" s="167" t="inlineStr">
        <is>
          <t>ブロック</t>
        </is>
      </c>
      <c r="L160" s="289" t="n">
        <v>3680</v>
      </c>
      <c r="M160" s="157" t="n">
        <v>45834</v>
      </c>
      <c r="N160" s="289" t="n"/>
      <c r="O160" s="290">
        <f>IF(COUNT(商品マスタ[[#This Row],[参考上代
（税込)]]) &gt; 0, (商品マスタ[[#This Row],[参考上代
（税込)]]-商品マスタ[[#This Row],[国内定価
（15％）]])/(商品マスタ[[#This Row],[参考上代
（税込)]]/1.08), "")</f>
        <v/>
      </c>
      <c r="P160" s="136" t="n">
        <v>0.1</v>
      </c>
      <c r="Q160" s="291">
        <f>商品マスタ[[#This Row],[仕入
単価]]*商品マスタ[[#This Row],[標準国内送料率]]</f>
        <v/>
      </c>
      <c r="R160" s="289" t="n"/>
      <c r="S160" s="289">
        <f>IF(ISBLANK(商品マスタ[[#This Row],[実績
国内送料]]),商品マスタ[[#This Row],[標準国内送料]],)</f>
        <v/>
      </c>
      <c r="T160" s="289">
        <f>商品マスタ[[#This Row],[仕入
単価]]+商品マスタ[[#This Row],[国内送料]]</f>
        <v/>
      </c>
      <c r="U160" s="289">
        <f>ROUNDUP(商品マスタ[[#This Row],[仕入単価+国内送料]]/0.8,-1)</f>
        <v/>
      </c>
      <c r="V160" s="289">
        <f>商品マスタ[[#This Row],[海外定価
（20％）]]-商品マスタ[[#This Row],[仕入単価+国内送料]]</f>
        <v/>
      </c>
      <c r="W160" s="167">
        <f>ROUNDUP(商品マスタ[[#This Row],[仕入単価+国内送料]]/0.85,-1)</f>
        <v/>
      </c>
      <c r="X160" s="289">
        <f>商品マスタ[[#This Row],[国内定価
（15％）]]-商品マスタ[[#This Row],[仕入単価+国内送料]]</f>
        <v/>
      </c>
      <c r="Y160" s="139" t="n">
        <v>0.08</v>
      </c>
      <c r="Z160" s="167" t="n"/>
      <c r="AA160" s="167" t="n"/>
      <c r="AB160" s="167" t="n"/>
      <c r="AC160" s="293" t="n"/>
      <c r="AD160" s="167" t="n"/>
      <c r="AE160" s="167" t="n"/>
      <c r="AF160" s="167" t="n"/>
      <c r="AG160" s="144" t="n"/>
    </row>
    <row r="161" ht="18" customHeight="1" s="207">
      <c r="A161" s="166" t="inlineStr">
        <is>
          <t>精肉</t>
        </is>
      </c>
      <c r="B161" s="167" t="inlineStr">
        <is>
          <t>和牛</t>
        </is>
      </c>
      <c r="C161" s="167" t="inlineStr">
        <is>
          <t>GOODGOOD</t>
        </is>
      </c>
      <c r="D161" s="143">
        <f>"PRD_SNJ_"&amp;
_xlfn.XLOOKUP(商品マスタ[[#This Row],[仕入先]],テーブル1[仕入先名],テーブル1[仕入先コード],"XXX",0,1)&amp;
"_"&amp;
商品マスタ[[#This Row],[シリアル]]&amp;
"_"&amp;
TEXT(COUNTIFS(商品マスタ!$C$3:C161,商品マスタ[[#This Row],[仕入先]],商品マスタ!$E$3:E161,商品マスタ[[#This Row],[商品名]]), "00")</f>
        <v/>
      </c>
      <c r="E161" s="167" t="inlineStr">
        <is>
          <t>阿蘇赤身和牛　ブリスケ</t>
        </is>
      </c>
      <c r="F161" s="167">
        <f>IF(COUNTIFS($C$3:C161,商品マスタ[[#This Row],[仕入先]],$E$3:E161,商品マスタ[[#This Row],[商品名]]) = 1, 1,0)</f>
        <v/>
      </c>
      <c r="G161" s="133">
        <f>TEXT(SUMIF($C$3:C161,商品マスタ[[#This Row],[仕入先]],$F$3:F161), "0000")</f>
        <v/>
      </c>
      <c r="H161" s="167" t="inlineStr">
        <is>
          <t>kg</t>
        </is>
      </c>
      <c r="I161" s="167" t="inlineStr">
        <is>
          <t>約15.5kg/個</t>
        </is>
      </c>
      <c r="J161" s="167" t="inlineStr">
        <is>
          <t>1個</t>
        </is>
      </c>
      <c r="K161" s="167" t="inlineStr">
        <is>
          <t>ブロック</t>
        </is>
      </c>
      <c r="L161" s="289" t="n">
        <v>2900</v>
      </c>
      <c r="M161" s="157" t="n">
        <v>45834</v>
      </c>
      <c r="N161" s="289" t="n"/>
      <c r="O161" s="290">
        <f>IF(COUNT(商品マスタ[[#This Row],[参考上代
（税込)]]) &gt; 0, (商品マスタ[[#This Row],[参考上代
（税込)]]-商品マスタ[[#This Row],[国内定価
（15％）]])/(商品マスタ[[#This Row],[参考上代
（税込)]]/1.08), "")</f>
        <v/>
      </c>
      <c r="P161" s="136" t="n">
        <v>0.1</v>
      </c>
      <c r="Q161" s="291">
        <f>商品マスタ[[#This Row],[仕入
単価]]*商品マスタ[[#This Row],[標準国内送料率]]</f>
        <v/>
      </c>
      <c r="R161" s="289" t="n"/>
      <c r="S161" s="289">
        <f>IF(ISBLANK(商品マスタ[[#This Row],[実績
国内送料]]),商品マスタ[[#This Row],[標準国内送料]],)</f>
        <v/>
      </c>
      <c r="T161" s="289">
        <f>商品マスタ[[#This Row],[仕入
単価]]+商品マスタ[[#This Row],[国内送料]]</f>
        <v/>
      </c>
      <c r="U161" s="289">
        <f>ROUNDUP(商品マスタ[[#This Row],[仕入単価+国内送料]]/0.8,-1)</f>
        <v/>
      </c>
      <c r="V161" s="289">
        <f>商品マスタ[[#This Row],[海外定価
（20％）]]-商品マスタ[[#This Row],[仕入単価+国内送料]]</f>
        <v/>
      </c>
      <c r="W161" s="167">
        <f>ROUNDUP(商品マスタ[[#This Row],[仕入単価+国内送料]]/0.85,-1)</f>
        <v/>
      </c>
      <c r="X161" s="289">
        <f>商品マスタ[[#This Row],[国内定価
（15％）]]-商品マスタ[[#This Row],[仕入単価+国内送料]]</f>
        <v/>
      </c>
      <c r="Y161" s="139" t="n">
        <v>0.08</v>
      </c>
      <c r="Z161" s="167" t="n"/>
      <c r="AA161" s="167" t="n"/>
      <c r="AB161" s="167" t="n"/>
      <c r="AC161" s="293" t="n"/>
      <c r="AD161" s="167" t="n"/>
      <c r="AE161" s="167" t="n"/>
      <c r="AF161" s="167" t="n"/>
      <c r="AG161" s="144" t="n"/>
    </row>
    <row r="162" ht="18" customHeight="1" s="207">
      <c r="A162" s="166" t="inlineStr">
        <is>
          <t>精肉</t>
        </is>
      </c>
      <c r="B162" s="167" t="inlineStr">
        <is>
          <t>和牛</t>
        </is>
      </c>
      <c r="C162" s="167" t="inlineStr">
        <is>
          <t>GOODGOOD</t>
        </is>
      </c>
      <c r="D162" s="143">
        <f>"PRD_SNJ_"&amp;
_xlfn.XLOOKUP(商品マスタ[[#This Row],[仕入先]],テーブル1[仕入先名],テーブル1[仕入先コード],"XXX",0,1)&amp;
"_"&amp;
商品マスタ[[#This Row],[シリアル]]&amp;
"_"&amp;
TEXT(COUNTIFS(商品マスタ!$C$3:C162,商品マスタ[[#This Row],[仕入先]],商品マスタ!$E$3:E162,商品マスタ[[#This Row],[商品名]]), "00")</f>
        <v/>
      </c>
      <c r="E162" s="167" t="inlineStr">
        <is>
          <t>阿蘇赤身和牛　三角バラ</t>
        </is>
      </c>
      <c r="F162" s="167">
        <f>IF(COUNTIFS($C$3:C162,商品マスタ[[#This Row],[仕入先]],$E$3:E162,商品マスタ[[#This Row],[商品名]]) = 1, 1,0)</f>
        <v/>
      </c>
      <c r="G162" s="133">
        <f>TEXT(SUMIF($C$3:C162,商品マスタ[[#This Row],[仕入先]],$F$3:F162), "0000")</f>
        <v/>
      </c>
      <c r="H162" s="167" t="inlineStr">
        <is>
          <t>kg</t>
        </is>
      </c>
      <c r="I162" s="167" t="inlineStr">
        <is>
          <t>約5.2kg/個</t>
        </is>
      </c>
      <c r="J162" s="167" t="inlineStr">
        <is>
          <t>1個</t>
        </is>
      </c>
      <c r="K162" s="167" t="inlineStr">
        <is>
          <t>ブロック</t>
        </is>
      </c>
      <c r="L162" s="289" t="n">
        <v>5900</v>
      </c>
      <c r="M162" s="157" t="n">
        <v>45834</v>
      </c>
      <c r="N162" s="289" t="n"/>
      <c r="O162" s="290">
        <f>IF(COUNT(商品マスタ[[#This Row],[参考上代
（税込)]]) &gt; 0, (商品マスタ[[#This Row],[参考上代
（税込)]]-商品マスタ[[#This Row],[国内定価
（15％）]])/(商品マスタ[[#This Row],[参考上代
（税込)]]/1.08), "")</f>
        <v/>
      </c>
      <c r="P162" s="136" t="n">
        <v>0.1</v>
      </c>
      <c r="Q162" s="291">
        <f>商品マスタ[[#This Row],[仕入
単価]]*商品マスタ[[#This Row],[標準国内送料率]]</f>
        <v/>
      </c>
      <c r="R162" s="289" t="n"/>
      <c r="S162" s="289">
        <f>IF(ISBLANK(商品マスタ[[#This Row],[実績
国内送料]]),商品マスタ[[#This Row],[標準国内送料]],)</f>
        <v/>
      </c>
      <c r="T162" s="289">
        <f>商品マスタ[[#This Row],[仕入
単価]]+商品マスタ[[#This Row],[国内送料]]</f>
        <v/>
      </c>
      <c r="U162" s="289">
        <f>ROUNDUP(商品マスタ[[#This Row],[仕入単価+国内送料]]/0.8,-1)</f>
        <v/>
      </c>
      <c r="V162" s="289">
        <f>商品マスタ[[#This Row],[海外定価
（20％）]]-商品マスタ[[#This Row],[仕入単価+国内送料]]</f>
        <v/>
      </c>
      <c r="W162" s="167">
        <f>ROUNDUP(商品マスタ[[#This Row],[仕入単価+国内送料]]/0.85,-1)</f>
        <v/>
      </c>
      <c r="X162" s="289">
        <f>商品マスタ[[#This Row],[国内定価
（15％）]]-商品マスタ[[#This Row],[仕入単価+国内送料]]</f>
        <v/>
      </c>
      <c r="Y162" s="139" t="n">
        <v>0.08</v>
      </c>
      <c r="Z162" s="167" t="n"/>
      <c r="AA162" s="167" t="n"/>
      <c r="AB162" s="167" t="n"/>
      <c r="AC162" s="293" t="n"/>
      <c r="AD162" s="167" t="n"/>
      <c r="AE162" s="167" t="n"/>
      <c r="AF162" s="167" t="n"/>
      <c r="AG162" s="144" t="n"/>
    </row>
    <row r="163" ht="18" customHeight="1" s="207">
      <c r="A163" s="166" t="inlineStr">
        <is>
          <t>精肉</t>
        </is>
      </c>
      <c r="B163" s="167" t="inlineStr">
        <is>
          <t>和牛</t>
        </is>
      </c>
      <c r="C163" s="167" t="inlineStr">
        <is>
          <t>GOODGOOD</t>
        </is>
      </c>
      <c r="D163" s="143">
        <f>"PRD_SNJ_"&amp;
_xlfn.XLOOKUP(商品マスタ[[#This Row],[仕入先]],テーブル1[仕入先名],テーブル1[仕入先コード],"XXX",0,1)&amp;
"_"&amp;
商品マスタ[[#This Row],[シリアル]]&amp;
"_"&amp;
TEXT(COUNTIFS(商品マスタ!$C$3:C163,商品マスタ[[#This Row],[仕入先]],商品マスタ!$E$3:E163,商品マスタ[[#This Row],[商品名]]), "00")</f>
        <v/>
      </c>
      <c r="E163" s="167" t="inlineStr">
        <is>
          <t>阿蘇赤身和牛　ウデセット</t>
        </is>
      </c>
      <c r="F163" s="167">
        <f>IF(COUNTIFS($C$3:C163,商品マスタ[[#This Row],[仕入先]],$E$3:E163,商品マスタ[[#This Row],[商品名]]) = 1, 1,0)</f>
        <v/>
      </c>
      <c r="G163" s="133">
        <f>TEXT(SUMIF($C$3:C163,商品マスタ[[#This Row],[仕入先]],$F$3:F163), "0000")</f>
        <v/>
      </c>
      <c r="H163" s="167" t="inlineStr">
        <is>
          <t>kg</t>
        </is>
      </c>
      <c r="I163" s="167" t="inlineStr">
        <is>
          <t>約17.7kg/セット</t>
        </is>
      </c>
      <c r="J163" s="167" t="inlineStr">
        <is>
          <t>1セット</t>
        </is>
      </c>
      <c r="K163" s="167" t="inlineStr">
        <is>
          <t>焼肉・ステーキセット（6%OFF）</t>
        </is>
      </c>
      <c r="L163" s="289" t="n">
        <v>5500</v>
      </c>
      <c r="M163" s="157" t="n">
        <v>45834</v>
      </c>
      <c r="N163" s="289" t="n"/>
      <c r="O163" s="290">
        <f>IF(COUNT(商品マスタ[[#This Row],[参考上代
（税込)]]) &gt; 0, (商品マスタ[[#This Row],[参考上代
（税込)]]-商品マスタ[[#This Row],[国内定価
（15％）]])/(商品マスタ[[#This Row],[参考上代
（税込)]]/1.08), "")</f>
        <v/>
      </c>
      <c r="P163" s="136" t="n">
        <v>0.1</v>
      </c>
      <c r="Q163" s="291">
        <f>商品マスタ[[#This Row],[仕入
単価]]*商品マスタ[[#This Row],[標準国内送料率]]</f>
        <v/>
      </c>
      <c r="R163" s="289" t="n"/>
      <c r="S163" s="289">
        <f>IF(ISBLANK(商品マスタ[[#This Row],[実績
国内送料]]),商品マスタ[[#This Row],[標準国内送料]],)</f>
        <v/>
      </c>
      <c r="T163" s="289">
        <f>商品マスタ[[#This Row],[仕入
単価]]+商品マスタ[[#This Row],[国内送料]]</f>
        <v/>
      </c>
      <c r="U163" s="289">
        <f>ROUNDUP(商品マスタ[[#This Row],[仕入単価+国内送料]]/0.8,-1)</f>
        <v/>
      </c>
      <c r="V163" s="289">
        <f>商品マスタ[[#This Row],[海外定価
（20％）]]-商品マスタ[[#This Row],[仕入単価+国内送料]]</f>
        <v/>
      </c>
      <c r="W163" s="167">
        <f>ROUNDUP(商品マスタ[[#This Row],[仕入単価+国内送料]]/0.85,-1)</f>
        <v/>
      </c>
      <c r="X163" s="289">
        <f>商品マスタ[[#This Row],[国内定価
（15％）]]-商品マスタ[[#This Row],[仕入単価+国内送料]]</f>
        <v/>
      </c>
      <c r="Y163" s="139" t="n">
        <v>0.08</v>
      </c>
      <c r="Z163" s="167" t="n"/>
      <c r="AA163" s="167" t="n"/>
      <c r="AB163" s="167" t="n"/>
      <c r="AC163" s="293" t="n"/>
      <c r="AD163" s="167" t="n"/>
      <c r="AE163" s="167" t="n"/>
      <c r="AF163" s="167" t="n"/>
      <c r="AG163" s="144" t="n"/>
    </row>
    <row r="164" ht="18" customHeight="1" s="207">
      <c r="A164" s="166" t="inlineStr">
        <is>
          <t>精肉</t>
        </is>
      </c>
      <c r="B164" s="167" t="inlineStr">
        <is>
          <t>和牛</t>
        </is>
      </c>
      <c r="C164" s="167" t="inlineStr">
        <is>
          <t>GOODGOOD</t>
        </is>
      </c>
      <c r="D164" s="143">
        <f>"PRD_SNJ_"&amp;
_xlfn.XLOOKUP(商品マスタ[[#This Row],[仕入先]],テーブル1[仕入先名],テーブル1[仕入先コード],"XXX",0,1)&amp;
"_"&amp;
商品マスタ[[#This Row],[シリアル]]&amp;
"_"&amp;
TEXT(COUNTIFS(商品マスタ!$C$3:C164,商品マスタ[[#This Row],[仕入先]],商品マスタ!$E$3:E164,商品マスタ[[#This Row],[商品名]]), "00")</f>
        <v/>
      </c>
      <c r="E164" s="167" t="inlineStr">
        <is>
          <t>阿蘇赤身和牛　ミスジ</t>
        </is>
      </c>
      <c r="F164" s="167">
        <f>IF(COUNTIFS($C$3:C164,商品マスタ[[#This Row],[仕入先]],$E$3:E164,商品マスタ[[#This Row],[商品名]]) = 1, 1,0)</f>
        <v/>
      </c>
      <c r="G164" s="133">
        <f>TEXT(SUMIF($C$3:C164,商品マスタ[[#This Row],[仕入先]],$F$3:F164), "0000")</f>
        <v/>
      </c>
      <c r="H164" s="167" t="inlineStr">
        <is>
          <t>kg</t>
        </is>
      </c>
      <c r="I164" s="167" t="inlineStr">
        <is>
          <t>約3.5kg/個</t>
        </is>
      </c>
      <c r="J164" s="167" t="inlineStr">
        <is>
          <t>1個</t>
        </is>
      </c>
      <c r="K164" s="167" t="inlineStr">
        <is>
          <t>ブロック</t>
        </is>
      </c>
      <c r="L164" s="289" t="n">
        <v>6400</v>
      </c>
      <c r="M164" s="157" t="n">
        <v>45834</v>
      </c>
      <c r="N164" s="289" t="n"/>
      <c r="O164" s="290">
        <f>IF(COUNT(商品マスタ[[#This Row],[参考上代
（税込)]]) &gt; 0, (商品マスタ[[#This Row],[参考上代
（税込)]]-商品マスタ[[#This Row],[国内定価
（15％）]])/(商品マスタ[[#This Row],[参考上代
（税込)]]/1.08), "")</f>
        <v/>
      </c>
      <c r="P164" s="136" t="n">
        <v>0.1</v>
      </c>
      <c r="Q164" s="291">
        <f>商品マスタ[[#This Row],[仕入
単価]]*商品マスタ[[#This Row],[標準国内送料率]]</f>
        <v/>
      </c>
      <c r="R164" s="289" t="n"/>
      <c r="S164" s="289">
        <f>IF(ISBLANK(商品マスタ[[#This Row],[実績
国内送料]]),商品マスタ[[#This Row],[標準国内送料]],)</f>
        <v/>
      </c>
      <c r="T164" s="289">
        <f>商品マスタ[[#This Row],[仕入
単価]]+商品マスタ[[#This Row],[国内送料]]</f>
        <v/>
      </c>
      <c r="U164" s="289">
        <f>ROUNDUP(商品マスタ[[#This Row],[仕入単価+国内送料]]/0.8,-1)</f>
        <v/>
      </c>
      <c r="V164" s="289">
        <f>商品マスタ[[#This Row],[海外定価
（20％）]]-商品マスタ[[#This Row],[仕入単価+国内送料]]</f>
        <v/>
      </c>
      <c r="W164" s="167">
        <f>ROUNDUP(商品マスタ[[#This Row],[仕入単価+国内送料]]/0.85,-1)</f>
        <v/>
      </c>
      <c r="X164" s="289">
        <f>商品マスタ[[#This Row],[国内定価
（15％）]]-商品マスタ[[#This Row],[仕入単価+国内送料]]</f>
        <v/>
      </c>
      <c r="Y164" s="139" t="n">
        <v>0.08</v>
      </c>
      <c r="Z164" s="167" t="n"/>
      <c r="AA164" s="167" t="n"/>
      <c r="AB164" s="167" t="n"/>
      <c r="AC164" s="293" t="n"/>
      <c r="AD164" s="167" t="n"/>
      <c r="AE164" s="167" t="n"/>
      <c r="AF164" s="167" t="n"/>
      <c r="AG164" s="144" t="n"/>
    </row>
    <row r="165" ht="18" customHeight="1" s="207">
      <c r="A165" s="166" t="inlineStr">
        <is>
          <t>精肉</t>
        </is>
      </c>
      <c r="B165" s="167" t="inlineStr">
        <is>
          <t>和牛</t>
        </is>
      </c>
      <c r="C165" s="167" t="inlineStr">
        <is>
          <t>GOODGOOD</t>
        </is>
      </c>
      <c r="D165" s="143">
        <f>"PRD_SNJ_"&amp;
_xlfn.XLOOKUP(商品マスタ[[#This Row],[仕入先]],テーブル1[仕入先名],テーブル1[仕入先コード],"XXX",0,1)&amp;
"_"&amp;
商品マスタ[[#This Row],[シリアル]]&amp;
"_"&amp;
TEXT(COUNTIFS(商品マスタ!$C$3:C165,商品マスタ[[#This Row],[仕入先]],商品マスタ!$E$3:E165,商品マスタ[[#This Row],[商品名]]), "00")</f>
        <v/>
      </c>
      <c r="E165" s="167" t="inlineStr">
        <is>
          <t>阿蘇赤身和牛　ウワミスジ</t>
        </is>
      </c>
      <c r="F165" s="167">
        <f>IF(COUNTIFS($C$3:C165,商品マスタ[[#This Row],[仕入先]],$E$3:E165,商品マスタ[[#This Row],[商品名]]) = 1, 1,0)</f>
        <v/>
      </c>
      <c r="G165" s="133">
        <f>TEXT(SUMIF($C$3:C165,商品マスタ[[#This Row],[仕入先]],$F$3:F165), "0000")</f>
        <v/>
      </c>
      <c r="H165" s="167" t="inlineStr">
        <is>
          <t>kg</t>
        </is>
      </c>
      <c r="I165" s="167" t="inlineStr">
        <is>
          <t>約2.3kg/個</t>
        </is>
      </c>
      <c r="J165" s="167" t="inlineStr">
        <is>
          <t>1個</t>
        </is>
      </c>
      <c r="K165" s="167" t="inlineStr">
        <is>
          <t>ブロック</t>
        </is>
      </c>
      <c r="L165" s="289" t="n">
        <v>6100</v>
      </c>
      <c r="M165" s="157" t="n">
        <v>45834</v>
      </c>
      <c r="N165" s="289" t="n"/>
      <c r="O165" s="290">
        <f>IF(COUNT(商品マスタ[[#This Row],[参考上代
（税込)]]) &gt; 0, (商品マスタ[[#This Row],[参考上代
（税込)]]-商品マスタ[[#This Row],[国内定価
（15％）]])/(商品マスタ[[#This Row],[参考上代
（税込)]]/1.08), "")</f>
        <v/>
      </c>
      <c r="P165" s="136" t="n">
        <v>0.1</v>
      </c>
      <c r="Q165" s="291">
        <f>商品マスタ[[#This Row],[仕入
単価]]*商品マスタ[[#This Row],[標準国内送料率]]</f>
        <v/>
      </c>
      <c r="R165" s="289" t="n"/>
      <c r="S165" s="289">
        <f>IF(ISBLANK(商品マスタ[[#This Row],[実績
国内送料]]),商品マスタ[[#This Row],[標準国内送料]],)</f>
        <v/>
      </c>
      <c r="T165" s="289">
        <f>商品マスタ[[#This Row],[仕入
単価]]+商品マスタ[[#This Row],[国内送料]]</f>
        <v/>
      </c>
      <c r="U165" s="289">
        <f>ROUNDUP(商品マスタ[[#This Row],[仕入単価+国内送料]]/0.8,-1)</f>
        <v/>
      </c>
      <c r="V165" s="289">
        <f>商品マスタ[[#This Row],[海外定価
（20％）]]-商品マスタ[[#This Row],[仕入単価+国内送料]]</f>
        <v/>
      </c>
      <c r="W165" s="167">
        <f>ROUNDUP(商品マスタ[[#This Row],[仕入単価+国内送料]]/0.85,-1)</f>
        <v/>
      </c>
      <c r="X165" s="289">
        <f>商品マスタ[[#This Row],[国内定価
（15％）]]-商品マスタ[[#This Row],[仕入単価+国内送料]]</f>
        <v/>
      </c>
      <c r="Y165" s="139" t="n">
        <v>0.08</v>
      </c>
      <c r="Z165" s="167" t="n"/>
      <c r="AA165" s="167" t="n"/>
      <c r="AB165" s="167" t="n"/>
      <c r="AC165" s="293" t="n"/>
      <c r="AD165" s="167" t="n"/>
      <c r="AE165" s="167" t="n"/>
      <c r="AF165" s="167" t="n"/>
      <c r="AG165" s="144" t="n"/>
    </row>
    <row r="166" ht="18" customHeight="1" s="207">
      <c r="A166" s="166" t="inlineStr">
        <is>
          <t>精肉</t>
        </is>
      </c>
      <c r="B166" s="167" t="inlineStr">
        <is>
          <t>和牛</t>
        </is>
      </c>
      <c r="C166" s="167" t="inlineStr">
        <is>
          <t>GOODGOOD</t>
        </is>
      </c>
      <c r="D166" s="143">
        <f>"PRD_SNJ_"&amp;
_xlfn.XLOOKUP(商品マスタ[[#This Row],[仕入先]],テーブル1[仕入先名],テーブル1[仕入先コード],"XXX",0,1)&amp;
"_"&amp;
商品マスタ[[#This Row],[シリアル]]&amp;
"_"&amp;
TEXT(COUNTIFS(商品マスタ!$C$3:C166,商品マスタ[[#This Row],[仕入先]],商品マスタ!$E$3:E166,商品マスタ[[#This Row],[商品名]]), "00")</f>
        <v/>
      </c>
      <c r="E166" s="167" t="inlineStr">
        <is>
          <t>阿蘇赤身和牛　クリ（カタサンカク）</t>
        </is>
      </c>
      <c r="F166" s="167">
        <f>IF(COUNTIFS($C$3:C166,商品マスタ[[#This Row],[仕入先]],$E$3:E166,商品マスタ[[#This Row],[商品名]]) = 1, 1,0)</f>
        <v/>
      </c>
      <c r="G166" s="133">
        <f>TEXT(SUMIF($C$3:C166,商品マスタ[[#This Row],[仕入先]],$F$3:F166), "0000")</f>
        <v/>
      </c>
      <c r="H166" s="167" t="inlineStr">
        <is>
          <t>kg</t>
        </is>
      </c>
      <c r="I166" s="167" t="inlineStr">
        <is>
          <t>約4.9kg/個</t>
        </is>
      </c>
      <c r="J166" s="167" t="inlineStr">
        <is>
          <t>1個</t>
        </is>
      </c>
      <c r="K166" s="167" t="inlineStr">
        <is>
          <t>ブロック</t>
        </is>
      </c>
      <c r="L166" s="289" t="n">
        <v>6200</v>
      </c>
      <c r="M166" s="157" t="n">
        <v>45834</v>
      </c>
      <c r="N166" s="289" t="n"/>
      <c r="O166" s="290">
        <f>IF(COUNT(商品マスタ[[#This Row],[参考上代
（税込)]]) &gt; 0, (商品マスタ[[#This Row],[参考上代
（税込)]]-商品マスタ[[#This Row],[国内定価
（15％）]])/(商品マスタ[[#This Row],[参考上代
（税込)]]/1.08), "")</f>
        <v/>
      </c>
      <c r="P166" s="136" t="n">
        <v>0.1</v>
      </c>
      <c r="Q166" s="291">
        <f>商品マスタ[[#This Row],[仕入
単価]]*商品マスタ[[#This Row],[標準国内送料率]]</f>
        <v/>
      </c>
      <c r="R166" s="289" t="n"/>
      <c r="S166" s="289">
        <f>IF(ISBLANK(商品マスタ[[#This Row],[実績
国内送料]]),商品マスタ[[#This Row],[標準国内送料]],)</f>
        <v/>
      </c>
      <c r="T166" s="289">
        <f>商品マスタ[[#This Row],[仕入
単価]]+商品マスタ[[#This Row],[国内送料]]</f>
        <v/>
      </c>
      <c r="U166" s="289">
        <f>ROUNDUP(商品マスタ[[#This Row],[仕入単価+国内送料]]/0.8,-1)</f>
        <v/>
      </c>
      <c r="V166" s="289">
        <f>商品マスタ[[#This Row],[海外定価
（20％）]]-商品マスタ[[#This Row],[仕入単価+国内送料]]</f>
        <v/>
      </c>
      <c r="W166" s="167">
        <f>ROUNDUP(商品マスタ[[#This Row],[仕入単価+国内送料]]/0.85,-1)</f>
        <v/>
      </c>
      <c r="X166" s="289">
        <f>商品マスタ[[#This Row],[国内定価
（15％）]]-商品マスタ[[#This Row],[仕入単価+国内送料]]</f>
        <v/>
      </c>
      <c r="Y166" s="139" t="n">
        <v>0.08</v>
      </c>
      <c r="Z166" s="167" t="n"/>
      <c r="AA166" s="167" t="n"/>
      <c r="AB166" s="167" t="n"/>
      <c r="AC166" s="293" t="n"/>
      <c r="AD166" s="167" t="n"/>
      <c r="AE166" s="167" t="n"/>
      <c r="AF166" s="167" t="n"/>
      <c r="AG166" s="144" t="n"/>
    </row>
    <row r="167" ht="18" customHeight="1" s="207">
      <c r="A167" s="166" t="inlineStr">
        <is>
          <t>精肉</t>
        </is>
      </c>
      <c r="B167" s="167" t="inlineStr">
        <is>
          <t>和牛</t>
        </is>
      </c>
      <c r="C167" s="167" t="inlineStr">
        <is>
          <t>GOODGOOD</t>
        </is>
      </c>
      <c r="D167" s="143">
        <f>"PRD_SNJ_"&amp;
_xlfn.XLOOKUP(商品マスタ[[#This Row],[仕入先]],テーブル1[仕入先名],テーブル1[仕入先コード],"XXX",0,1)&amp;
"_"&amp;
商品マスタ[[#This Row],[シリアル]]&amp;
"_"&amp;
TEXT(COUNTIFS(商品マスタ!$C$3:C167,商品マスタ[[#This Row],[仕入先]],商品マスタ!$E$3:E167,商品マスタ[[#This Row],[商品名]]), "00")</f>
        <v/>
      </c>
      <c r="E167" s="167" t="inlineStr">
        <is>
          <t>阿蘇赤身和牛　トウガラシ</t>
        </is>
      </c>
      <c r="F167" s="167">
        <f>IF(COUNTIFS($C$3:C167,商品マスタ[[#This Row],[仕入先]],$E$3:E167,商品マスタ[[#This Row],[商品名]]) = 1, 1,0)</f>
        <v/>
      </c>
      <c r="G167" s="133">
        <f>TEXT(SUMIF($C$3:C167,商品マスタ[[#This Row],[仕入先]],$F$3:F167), "0000")</f>
        <v/>
      </c>
      <c r="H167" s="167" t="inlineStr">
        <is>
          <t>kg</t>
        </is>
      </c>
      <c r="I167" s="167" t="inlineStr">
        <is>
          <t>約3.0kg/個</t>
        </is>
      </c>
      <c r="J167" s="167" t="inlineStr">
        <is>
          <t>1個</t>
        </is>
      </c>
      <c r="K167" s="167" t="inlineStr">
        <is>
          <t>ブロック</t>
        </is>
      </c>
      <c r="L167" s="289" t="n">
        <v>6200</v>
      </c>
      <c r="M167" s="157" t="n">
        <v>45834</v>
      </c>
      <c r="N167" s="289" t="n"/>
      <c r="O167" s="290">
        <f>IF(COUNT(商品マスタ[[#This Row],[参考上代
（税込)]]) &gt; 0, (商品マスタ[[#This Row],[参考上代
（税込)]]-商品マスタ[[#This Row],[国内定価
（15％）]])/(商品マスタ[[#This Row],[参考上代
（税込)]]/1.08), "")</f>
        <v/>
      </c>
      <c r="P167" s="136" t="n">
        <v>0.1</v>
      </c>
      <c r="Q167" s="291">
        <f>商品マスタ[[#This Row],[仕入
単価]]*商品マスタ[[#This Row],[標準国内送料率]]</f>
        <v/>
      </c>
      <c r="R167" s="289" t="n"/>
      <c r="S167" s="289">
        <f>IF(ISBLANK(商品マスタ[[#This Row],[実績
国内送料]]),商品マスタ[[#This Row],[標準国内送料]],)</f>
        <v/>
      </c>
      <c r="T167" s="289">
        <f>商品マスタ[[#This Row],[仕入
単価]]+商品マスタ[[#This Row],[国内送料]]</f>
        <v/>
      </c>
      <c r="U167" s="289">
        <f>ROUNDUP(商品マスタ[[#This Row],[仕入単価+国内送料]]/0.8,-1)</f>
        <v/>
      </c>
      <c r="V167" s="289">
        <f>商品マスタ[[#This Row],[海外定価
（20％）]]-商品マスタ[[#This Row],[仕入単価+国内送料]]</f>
        <v/>
      </c>
      <c r="W167" s="167">
        <f>ROUNDUP(商品マスタ[[#This Row],[仕入単価+国内送料]]/0.85,-1)</f>
        <v/>
      </c>
      <c r="X167" s="289">
        <f>商品マスタ[[#This Row],[国内定価
（15％）]]-商品マスタ[[#This Row],[仕入単価+国内送料]]</f>
        <v/>
      </c>
      <c r="Y167" s="139" t="n">
        <v>0.08</v>
      </c>
      <c r="Z167" s="167" t="n"/>
      <c r="AA167" s="167" t="n"/>
      <c r="AB167" s="167" t="n"/>
      <c r="AC167" s="293" t="n"/>
      <c r="AD167" s="167" t="n"/>
      <c r="AE167" s="167" t="n"/>
      <c r="AF167" s="167" t="n"/>
      <c r="AG167" s="144" t="n"/>
    </row>
    <row r="168" ht="18" customHeight="1" s="207">
      <c r="A168" s="166" t="inlineStr">
        <is>
          <t>精肉</t>
        </is>
      </c>
      <c r="B168" s="167" t="inlineStr">
        <is>
          <t>和牛</t>
        </is>
      </c>
      <c r="C168" s="167" t="inlineStr">
        <is>
          <t>GOODGOOD</t>
        </is>
      </c>
      <c r="D168" s="143">
        <f>"PRD_SNJ_"&amp;
_xlfn.XLOOKUP(商品マスタ[[#This Row],[仕入先]],テーブル1[仕入先名],テーブル1[仕入先コード],"XXX",0,1)&amp;
"_"&amp;
商品マスタ[[#This Row],[シリアル]]&amp;
"_"&amp;
TEXT(COUNTIFS(商品マスタ!$C$3:C168,商品マスタ[[#This Row],[仕入先]],商品マスタ!$E$3:E168,商品マスタ[[#This Row],[商品名]]), "00")</f>
        <v/>
      </c>
      <c r="E168" s="167" t="inlineStr">
        <is>
          <t>阿蘇赤身和牛　ウデカブリ</t>
        </is>
      </c>
      <c r="F168" s="167">
        <f>IF(COUNTIFS($C$3:C168,商品マスタ[[#This Row],[仕入先]],$E$3:E168,商品マスタ[[#This Row],[商品名]]) = 1, 1,0)</f>
        <v/>
      </c>
      <c r="G168" s="133">
        <f>TEXT(SUMIF($C$3:C168,商品マスタ[[#This Row],[仕入先]],$F$3:F168), "0000")</f>
        <v/>
      </c>
      <c r="H168" s="167" t="inlineStr">
        <is>
          <t>kg</t>
        </is>
      </c>
      <c r="I168" s="167" t="inlineStr">
        <is>
          <t>約4.0kg/個</t>
        </is>
      </c>
      <c r="J168" s="167" t="inlineStr">
        <is>
          <t>1個</t>
        </is>
      </c>
      <c r="K168" s="167" t="inlineStr">
        <is>
          <t>ブロック</t>
        </is>
      </c>
      <c r="L168" s="289" t="n">
        <v>4600</v>
      </c>
      <c r="M168" s="157" t="n">
        <v>45834</v>
      </c>
      <c r="N168" s="289" t="n"/>
      <c r="O168" s="290">
        <f>IF(COUNT(商品マスタ[[#This Row],[参考上代
（税込)]]) &gt; 0, (商品マスタ[[#This Row],[参考上代
（税込)]]-商品マスタ[[#This Row],[国内定価
（15％）]])/(商品マスタ[[#This Row],[参考上代
（税込)]]/1.08), "")</f>
        <v/>
      </c>
      <c r="P168" s="136" t="n">
        <v>0.1</v>
      </c>
      <c r="Q168" s="291">
        <f>商品マスタ[[#This Row],[仕入
単価]]*商品マスタ[[#This Row],[標準国内送料率]]</f>
        <v/>
      </c>
      <c r="R168" s="289" t="n"/>
      <c r="S168" s="289">
        <f>IF(ISBLANK(商品マスタ[[#This Row],[実績
国内送料]]),商品マスタ[[#This Row],[標準国内送料]],)</f>
        <v/>
      </c>
      <c r="T168" s="289">
        <f>商品マスタ[[#This Row],[仕入
単価]]+商品マスタ[[#This Row],[国内送料]]</f>
        <v/>
      </c>
      <c r="U168" s="289">
        <f>ROUNDUP(商品マスタ[[#This Row],[仕入単価+国内送料]]/0.8,-1)</f>
        <v/>
      </c>
      <c r="V168" s="289">
        <f>商品マスタ[[#This Row],[海外定価
（20％）]]-商品マスタ[[#This Row],[仕入単価+国内送料]]</f>
        <v/>
      </c>
      <c r="W168" s="167">
        <f>ROUNDUP(商品マスタ[[#This Row],[仕入単価+国内送料]]/0.85,-1)</f>
        <v/>
      </c>
      <c r="X168" s="289">
        <f>商品マスタ[[#This Row],[国内定価
（15％）]]-商品マスタ[[#This Row],[仕入単価+国内送料]]</f>
        <v/>
      </c>
      <c r="Y168" s="139" t="n">
        <v>0.08</v>
      </c>
      <c r="Z168" s="167" t="n"/>
      <c r="AA168" s="167" t="n"/>
      <c r="AB168" s="167" t="n"/>
      <c r="AC168" s="293" t="n"/>
      <c r="AD168" s="167" t="n"/>
      <c r="AE168" s="167" t="n"/>
      <c r="AF168" s="167" t="n"/>
      <c r="AG168" s="144" t="n"/>
    </row>
    <row r="169" ht="18" customHeight="1" s="207">
      <c r="A169" s="166" t="inlineStr">
        <is>
          <t>精肉</t>
        </is>
      </c>
      <c r="B169" s="167" t="inlineStr">
        <is>
          <t>和牛</t>
        </is>
      </c>
      <c r="C169" s="167" t="inlineStr">
        <is>
          <t>GOODGOOD</t>
        </is>
      </c>
      <c r="D169" s="143">
        <f>"PRD_SNJ_"&amp;
_xlfn.XLOOKUP(商品マスタ[[#This Row],[仕入先]],テーブル1[仕入先名],テーブル1[仕入先コード],"XXX",0,1)&amp;
"_"&amp;
商品マスタ[[#This Row],[シリアル]]&amp;
"_"&amp;
TEXT(COUNTIFS(商品マスタ!$C$3:C169,商品マスタ[[#This Row],[仕入先]],商品マスタ!$E$3:E169,商品マスタ[[#This Row],[商品名]]), "00")</f>
        <v/>
      </c>
      <c r="E169" s="167" t="inlineStr">
        <is>
          <t>阿蘇赤身和牛　中バラセット</t>
        </is>
      </c>
      <c r="F169" s="167">
        <f>IF(COUNTIFS($C$3:C169,商品マスタ[[#This Row],[仕入先]],$E$3:E169,商品マスタ[[#This Row],[商品名]]) = 1, 1,0)</f>
        <v/>
      </c>
      <c r="G169" s="133">
        <f>TEXT(SUMIF($C$3:C169,商品マスタ[[#This Row],[仕入先]],$F$3:F169), "0000")</f>
        <v/>
      </c>
      <c r="H169" s="167" t="inlineStr">
        <is>
          <t>kg</t>
        </is>
      </c>
      <c r="I169" s="167" t="inlineStr">
        <is>
          <t>約14.5kg/セット</t>
        </is>
      </c>
      <c r="J169" s="167" t="inlineStr">
        <is>
          <t>1セット</t>
        </is>
      </c>
      <c r="K169" s="167" t="inlineStr">
        <is>
          <t>焼肉セット（5%OFF）</t>
        </is>
      </c>
      <c r="L169" s="289" t="n">
        <v>4600</v>
      </c>
      <c r="M169" s="157" t="n">
        <v>45834</v>
      </c>
      <c r="N169" s="289" t="n"/>
      <c r="O169" s="290">
        <f>IF(COUNT(商品マスタ[[#This Row],[参考上代
（税込)]]) &gt; 0, (商品マスタ[[#This Row],[参考上代
（税込)]]-商品マスタ[[#This Row],[国内定価
（15％）]])/(商品マスタ[[#This Row],[参考上代
（税込)]]/1.08), "")</f>
        <v/>
      </c>
      <c r="P169" s="136" t="n">
        <v>0.1</v>
      </c>
      <c r="Q169" s="291">
        <f>商品マスタ[[#This Row],[仕入
単価]]*商品マスタ[[#This Row],[標準国内送料率]]</f>
        <v/>
      </c>
      <c r="R169" s="289" t="n"/>
      <c r="S169" s="289">
        <f>IF(ISBLANK(商品マスタ[[#This Row],[実績
国内送料]]),商品マスタ[[#This Row],[標準国内送料]],)</f>
        <v/>
      </c>
      <c r="T169" s="289">
        <f>商品マスタ[[#This Row],[仕入
単価]]+商品マスタ[[#This Row],[国内送料]]</f>
        <v/>
      </c>
      <c r="U169" s="289">
        <f>ROUNDUP(商品マスタ[[#This Row],[仕入単価+国内送料]]/0.8,-1)</f>
        <v/>
      </c>
      <c r="V169" s="289">
        <f>商品マスタ[[#This Row],[海外定価
（20％）]]-商品マスタ[[#This Row],[仕入単価+国内送料]]</f>
        <v/>
      </c>
      <c r="W169" s="167">
        <f>ROUNDUP(商品マスタ[[#This Row],[仕入単価+国内送料]]/0.85,-1)</f>
        <v/>
      </c>
      <c r="X169" s="289">
        <f>商品マスタ[[#This Row],[国内定価
（15％）]]-商品マスタ[[#This Row],[仕入単価+国内送料]]</f>
        <v/>
      </c>
      <c r="Y169" s="139" t="n">
        <v>0.08</v>
      </c>
      <c r="Z169" s="167" t="n"/>
      <c r="AA169" s="167" t="n"/>
      <c r="AB169" s="167" t="n"/>
      <c r="AC169" s="293" t="n"/>
      <c r="AD169" s="167" t="n"/>
      <c r="AE169" s="167" t="n"/>
      <c r="AF169" s="167" t="n"/>
      <c r="AG169" s="144" t="n"/>
    </row>
    <row r="170" ht="18" customHeight="1" s="207">
      <c r="A170" s="166" t="inlineStr">
        <is>
          <t>精肉</t>
        </is>
      </c>
      <c r="B170" s="167" t="inlineStr">
        <is>
          <t>和牛</t>
        </is>
      </c>
      <c r="C170" s="167" t="inlineStr">
        <is>
          <t>GOODGOOD</t>
        </is>
      </c>
      <c r="D170" s="143">
        <f>"PRD_SNJ_"&amp;
_xlfn.XLOOKUP(商品マスタ[[#This Row],[仕入先]],テーブル1[仕入先名],テーブル1[仕入先コード],"XXX",0,1)&amp;
"_"&amp;
商品マスタ[[#This Row],[シリアル]]&amp;
"_"&amp;
TEXT(COUNTIFS(商品マスタ!$C$3:C170,商品マスタ[[#This Row],[仕入先]],商品マスタ!$E$3:E170,商品マスタ[[#This Row],[商品名]]), "00")</f>
        <v/>
      </c>
      <c r="E170" s="167" t="inlineStr">
        <is>
          <t>阿蘇赤身和牛　カイノミ</t>
        </is>
      </c>
      <c r="F170" s="167">
        <f>IF(COUNTIFS($C$3:C170,商品マスタ[[#This Row],[仕入先]],$E$3:E170,商品マスタ[[#This Row],[商品名]]) = 1, 1,0)</f>
        <v/>
      </c>
      <c r="G170" s="133">
        <f>TEXT(SUMIF($C$3:C170,商品マスタ[[#This Row],[仕入先]],$F$3:F170), "0000")</f>
        <v/>
      </c>
      <c r="H170" s="167" t="inlineStr">
        <is>
          <t>kg</t>
        </is>
      </c>
      <c r="I170" s="167" t="inlineStr">
        <is>
          <t>約6.5kg/個</t>
        </is>
      </c>
      <c r="J170" s="167" t="inlineStr">
        <is>
          <t>1個</t>
        </is>
      </c>
      <c r="K170" s="167" t="inlineStr">
        <is>
          <t>ブロック</t>
        </is>
      </c>
      <c r="L170" s="289" t="n">
        <v>5900</v>
      </c>
      <c r="M170" s="157" t="n">
        <v>45834</v>
      </c>
      <c r="N170" s="289" t="n"/>
      <c r="O170" s="290">
        <f>IF(COUNT(商品マスタ[[#This Row],[参考上代
（税込)]]) &gt; 0, (商品マスタ[[#This Row],[参考上代
（税込)]]-商品マスタ[[#This Row],[国内定価
（15％）]])/(商品マスタ[[#This Row],[参考上代
（税込)]]/1.08), "")</f>
        <v/>
      </c>
      <c r="P170" s="136" t="n">
        <v>0.1</v>
      </c>
      <c r="Q170" s="291">
        <f>商品マスタ[[#This Row],[仕入
単価]]*商品マスタ[[#This Row],[標準国内送料率]]</f>
        <v/>
      </c>
      <c r="R170" s="289" t="n"/>
      <c r="S170" s="289">
        <f>IF(ISBLANK(商品マスタ[[#This Row],[実績
国内送料]]),商品マスタ[[#This Row],[標準国内送料]],)</f>
        <v/>
      </c>
      <c r="T170" s="289">
        <f>商品マスタ[[#This Row],[仕入
単価]]+商品マスタ[[#This Row],[国内送料]]</f>
        <v/>
      </c>
      <c r="U170" s="289">
        <f>ROUNDUP(商品マスタ[[#This Row],[仕入単価+国内送料]]/0.8,-1)</f>
        <v/>
      </c>
      <c r="V170" s="289">
        <f>商品マスタ[[#This Row],[海外定価
（20％）]]-商品マスタ[[#This Row],[仕入単価+国内送料]]</f>
        <v/>
      </c>
      <c r="W170" s="167">
        <f>ROUNDUP(商品マスタ[[#This Row],[仕入単価+国内送料]]/0.85,-1)</f>
        <v/>
      </c>
      <c r="X170" s="289">
        <f>商品マスタ[[#This Row],[国内定価
（15％）]]-商品マスタ[[#This Row],[仕入単価+国内送料]]</f>
        <v/>
      </c>
      <c r="Y170" s="139" t="n">
        <v>0.08</v>
      </c>
      <c r="Z170" s="167" t="n"/>
      <c r="AA170" s="167" t="n"/>
      <c r="AB170" s="167" t="n"/>
      <c r="AC170" s="293" t="n"/>
      <c r="AD170" s="167" t="n"/>
      <c r="AE170" s="167" t="n"/>
      <c r="AF170" s="167" t="n"/>
      <c r="AG170" s="144" t="n"/>
    </row>
    <row r="171" ht="18" customHeight="1" s="207">
      <c r="A171" s="166" t="inlineStr">
        <is>
          <t>精肉</t>
        </is>
      </c>
      <c r="B171" s="167" t="inlineStr">
        <is>
          <t>和牛</t>
        </is>
      </c>
      <c r="C171" s="167" t="inlineStr">
        <is>
          <t>GOODGOOD</t>
        </is>
      </c>
      <c r="D171" s="143">
        <f>"PRD_SNJ_"&amp;
_xlfn.XLOOKUP(商品マスタ[[#This Row],[仕入先]],テーブル1[仕入先名],テーブル1[仕入先コード],"XXX",0,1)&amp;
"_"&amp;
商品マスタ[[#This Row],[シリアル]]&amp;
"_"&amp;
TEXT(COUNTIFS(商品マスタ!$C$3:C171,商品マスタ[[#This Row],[仕入先]],商品マスタ!$E$3:E171,商品マスタ[[#This Row],[商品名]]), "00")</f>
        <v/>
      </c>
      <c r="E171" s="167" t="inlineStr">
        <is>
          <t>阿蘇赤身和牛　中バラプレート</t>
        </is>
      </c>
      <c r="F171" s="167">
        <f>IF(COUNTIFS($C$3:C171,商品マスタ[[#This Row],[仕入先]],$E$3:E171,商品マスタ[[#This Row],[商品名]]) = 1, 1,0)</f>
        <v/>
      </c>
      <c r="G171" s="133">
        <f>TEXT(SUMIF($C$3:C171,商品マスタ[[#This Row],[仕入先]],$F$3:F171), "0000")</f>
        <v/>
      </c>
      <c r="H171" s="167" t="inlineStr">
        <is>
          <t>kg</t>
        </is>
      </c>
      <c r="I171" s="167" t="inlineStr">
        <is>
          <t>約4.3kg/個</t>
        </is>
      </c>
      <c r="J171" s="167" t="inlineStr">
        <is>
          <t>1個</t>
        </is>
      </c>
      <c r="K171" s="167" t="inlineStr">
        <is>
          <t>ブロック</t>
        </is>
      </c>
      <c r="L171" s="289" t="n">
        <v>4500</v>
      </c>
      <c r="M171" s="157" t="n">
        <v>45834</v>
      </c>
      <c r="N171" s="289" t="n"/>
      <c r="O171" s="290">
        <f>IF(COUNT(商品マスタ[[#This Row],[参考上代
（税込)]]) &gt; 0, (商品マスタ[[#This Row],[参考上代
（税込)]]-商品マスタ[[#This Row],[国内定価
（15％）]])/(商品マスタ[[#This Row],[参考上代
（税込)]]/1.08), "")</f>
        <v/>
      </c>
      <c r="P171" s="136" t="n">
        <v>0.1</v>
      </c>
      <c r="Q171" s="291">
        <f>商品マスタ[[#This Row],[仕入
単価]]*商品マスタ[[#This Row],[標準国内送料率]]</f>
        <v/>
      </c>
      <c r="R171" s="289" t="n"/>
      <c r="S171" s="289">
        <f>IF(ISBLANK(商品マスタ[[#This Row],[実績
国内送料]]),商品マスタ[[#This Row],[標準国内送料]],)</f>
        <v/>
      </c>
      <c r="T171" s="289">
        <f>商品マスタ[[#This Row],[仕入
単価]]+商品マスタ[[#This Row],[国内送料]]</f>
        <v/>
      </c>
      <c r="U171" s="289">
        <f>ROUNDUP(商品マスタ[[#This Row],[仕入単価+国内送料]]/0.8,-1)</f>
        <v/>
      </c>
      <c r="V171" s="289">
        <f>商品マスタ[[#This Row],[海外定価
（20％）]]-商品マスタ[[#This Row],[仕入単価+国内送料]]</f>
        <v/>
      </c>
      <c r="W171" s="167">
        <f>ROUNDUP(商品マスタ[[#This Row],[仕入単価+国内送料]]/0.85,-1)</f>
        <v/>
      </c>
      <c r="X171" s="289">
        <f>商品マスタ[[#This Row],[国内定価
（15％）]]-商品マスタ[[#This Row],[仕入単価+国内送料]]</f>
        <v/>
      </c>
      <c r="Y171" s="139" t="n">
        <v>0.08</v>
      </c>
      <c r="Z171" s="167" t="n"/>
      <c r="AA171" s="167" t="n"/>
      <c r="AB171" s="167" t="n"/>
      <c r="AC171" s="293" t="n"/>
      <c r="AD171" s="167" t="n"/>
      <c r="AE171" s="167" t="n"/>
      <c r="AF171" s="167" t="n"/>
      <c r="AG171" s="144" t="n"/>
    </row>
    <row r="172" ht="18" customHeight="1" s="207">
      <c r="A172" s="166" t="inlineStr">
        <is>
          <t>精肉</t>
        </is>
      </c>
      <c r="B172" s="167" t="inlineStr">
        <is>
          <t>和牛</t>
        </is>
      </c>
      <c r="C172" s="167" t="inlineStr">
        <is>
          <t>GOODGOOD</t>
        </is>
      </c>
      <c r="D172" s="143">
        <f>"PRD_SNJ_"&amp;
_xlfn.XLOOKUP(商品マスタ[[#This Row],[仕入先]],テーブル1[仕入先名],テーブル1[仕入先コード],"XXX",0,1)&amp;
"_"&amp;
商品マスタ[[#This Row],[シリアル]]&amp;
"_"&amp;
TEXT(COUNTIFS(商品マスタ!$C$3:C172,商品マスタ[[#This Row],[仕入先]],商品マスタ!$E$3:E172,商品マスタ[[#This Row],[商品名]]), "00")</f>
        <v/>
      </c>
      <c r="E172" s="167" t="inlineStr">
        <is>
          <t>阿蘇赤身和牛　ヘッドバラ</t>
        </is>
      </c>
      <c r="F172" s="167">
        <f>IF(COUNTIFS($C$3:C172,商品マスタ[[#This Row],[仕入先]],$E$3:E172,商品マスタ[[#This Row],[商品名]]) = 1, 1,0)</f>
        <v/>
      </c>
      <c r="G172" s="133">
        <f>TEXT(SUMIF($C$3:C172,商品マスタ[[#This Row],[仕入先]],$F$3:F172), "0000")</f>
        <v/>
      </c>
      <c r="H172" s="167" t="inlineStr">
        <is>
          <t>kg</t>
        </is>
      </c>
      <c r="I172" s="167" t="inlineStr">
        <is>
          <t>約2.1kg/個</t>
        </is>
      </c>
      <c r="J172" s="167" t="inlineStr">
        <is>
          <t>1個</t>
        </is>
      </c>
      <c r="K172" s="167" t="inlineStr">
        <is>
          <t>ブロック</t>
        </is>
      </c>
      <c r="L172" s="289" t="n">
        <v>5800</v>
      </c>
      <c r="M172" s="157" t="n">
        <v>45834</v>
      </c>
      <c r="N172" s="289" t="n"/>
      <c r="O172" s="290">
        <f>IF(COUNT(商品マスタ[[#This Row],[参考上代
（税込)]]) &gt; 0, (商品マスタ[[#This Row],[参考上代
（税込)]]-商品マスタ[[#This Row],[国内定価
（15％）]])/(商品マスタ[[#This Row],[参考上代
（税込)]]/1.08), "")</f>
        <v/>
      </c>
      <c r="P172" s="136" t="n">
        <v>0.1</v>
      </c>
      <c r="Q172" s="291">
        <f>商品マスタ[[#This Row],[仕入
単価]]*商品マスタ[[#This Row],[標準国内送料率]]</f>
        <v/>
      </c>
      <c r="R172" s="289" t="n"/>
      <c r="S172" s="289">
        <f>IF(ISBLANK(商品マスタ[[#This Row],[実績
国内送料]]),商品マスタ[[#This Row],[標準国内送料]],)</f>
        <v/>
      </c>
      <c r="T172" s="289">
        <f>商品マスタ[[#This Row],[仕入
単価]]+商品マスタ[[#This Row],[国内送料]]</f>
        <v/>
      </c>
      <c r="U172" s="289">
        <f>ROUNDUP(商品マスタ[[#This Row],[仕入単価+国内送料]]/0.8,-1)</f>
        <v/>
      </c>
      <c r="V172" s="289">
        <f>商品マスタ[[#This Row],[海外定価
（20％）]]-商品マスタ[[#This Row],[仕入単価+国内送料]]</f>
        <v/>
      </c>
      <c r="W172" s="167">
        <f>ROUNDUP(商品マスタ[[#This Row],[仕入単価+国内送料]]/0.85,-1)</f>
        <v/>
      </c>
      <c r="X172" s="289">
        <f>商品マスタ[[#This Row],[国内定価
（15％）]]-商品マスタ[[#This Row],[仕入単価+国内送料]]</f>
        <v/>
      </c>
      <c r="Y172" s="139" t="n">
        <v>0.08</v>
      </c>
      <c r="Z172" s="167" t="n"/>
      <c r="AA172" s="167" t="n"/>
      <c r="AB172" s="167" t="n"/>
      <c r="AC172" s="293" t="n"/>
      <c r="AD172" s="167" t="n"/>
      <c r="AE172" s="167" t="n"/>
      <c r="AF172" s="167" t="n"/>
      <c r="AG172" s="144" t="n"/>
    </row>
    <row r="173" ht="18" customHeight="1" s="207">
      <c r="A173" s="166" t="inlineStr">
        <is>
          <t>精肉</t>
        </is>
      </c>
      <c r="B173" s="167" t="inlineStr">
        <is>
          <t>和牛</t>
        </is>
      </c>
      <c r="C173" s="167" t="inlineStr">
        <is>
          <t>GOODGOOD</t>
        </is>
      </c>
      <c r="D173" s="143">
        <f>"PRD_SNJ_"&amp;
_xlfn.XLOOKUP(商品マスタ[[#This Row],[仕入先]],テーブル1[仕入先名],テーブル1[仕入先コード],"XXX",0,1)&amp;
"_"&amp;
商品マスタ[[#This Row],[シリアル]]&amp;
"_"&amp;
TEXT(COUNTIFS(商品マスタ!$C$3:C173,商品マスタ[[#This Row],[仕入先]],商品マスタ!$E$3:E173,商品マスタ[[#This Row],[商品名]]), "00")</f>
        <v/>
      </c>
      <c r="E173" s="167" t="inlineStr">
        <is>
          <t>阿蘇赤身和牛　外バラセット</t>
        </is>
      </c>
      <c r="F173" s="167">
        <f>IF(COUNTIFS($C$3:C173,商品マスタ[[#This Row],[仕入先]],$E$3:E173,商品マスタ[[#This Row],[商品名]]) = 1, 1,0)</f>
        <v/>
      </c>
      <c r="G173" s="133">
        <f>TEXT(SUMIF($C$3:C173,商品マスタ[[#This Row],[仕入先]],$F$3:F173), "0000")</f>
        <v/>
      </c>
      <c r="H173" s="167" t="inlineStr">
        <is>
          <t>kg</t>
        </is>
      </c>
      <c r="I173" s="167" t="inlineStr">
        <is>
          <t>約16.0kg/セット</t>
        </is>
      </c>
      <c r="J173" s="167" t="inlineStr">
        <is>
          <t>1セット</t>
        </is>
      </c>
      <c r="K173" s="167" t="inlineStr">
        <is>
          <t>焼肉・煮込みセット（3%OFF）</t>
        </is>
      </c>
      <c r="L173" s="289" t="n">
        <v>4300</v>
      </c>
      <c r="M173" s="157" t="n">
        <v>45834</v>
      </c>
      <c r="N173" s="289" t="n"/>
      <c r="O173" s="290">
        <f>IF(COUNT(商品マスタ[[#This Row],[参考上代
（税込)]]) &gt; 0, (商品マスタ[[#This Row],[参考上代
（税込)]]-商品マスタ[[#This Row],[国内定価
（15％）]])/(商品マスタ[[#This Row],[参考上代
（税込)]]/1.08), "")</f>
        <v/>
      </c>
      <c r="P173" s="136" t="n">
        <v>0.1</v>
      </c>
      <c r="Q173" s="291">
        <f>商品マスタ[[#This Row],[仕入
単価]]*商品マスタ[[#This Row],[標準国内送料率]]</f>
        <v/>
      </c>
      <c r="R173" s="289" t="n"/>
      <c r="S173" s="289">
        <f>IF(ISBLANK(商品マスタ[[#This Row],[実績
国内送料]]),商品マスタ[[#This Row],[標準国内送料]],)</f>
        <v/>
      </c>
      <c r="T173" s="289">
        <f>商品マスタ[[#This Row],[仕入
単価]]+商品マスタ[[#This Row],[国内送料]]</f>
        <v/>
      </c>
      <c r="U173" s="289">
        <f>ROUNDUP(商品マスタ[[#This Row],[仕入単価+国内送料]]/0.8,-1)</f>
        <v/>
      </c>
      <c r="V173" s="289">
        <f>商品マスタ[[#This Row],[海外定価
（20％）]]-商品マスタ[[#This Row],[仕入単価+国内送料]]</f>
        <v/>
      </c>
      <c r="W173" s="167">
        <f>ROUNDUP(商品マスタ[[#This Row],[仕入単価+国内送料]]/0.85,-1)</f>
        <v/>
      </c>
      <c r="X173" s="289">
        <f>商品マスタ[[#This Row],[国内定価
（15％）]]-商品マスタ[[#This Row],[仕入単価+国内送料]]</f>
        <v/>
      </c>
      <c r="Y173" s="139" t="n">
        <v>0.08</v>
      </c>
      <c r="Z173" s="167" t="n"/>
      <c r="AA173" s="167" t="n"/>
      <c r="AB173" s="167" t="n"/>
      <c r="AC173" s="293" t="n"/>
      <c r="AD173" s="167" t="n"/>
      <c r="AE173" s="167" t="n"/>
      <c r="AF173" s="167" t="n"/>
      <c r="AG173" s="144" t="n"/>
    </row>
    <row r="174" ht="18" customHeight="1" s="207">
      <c r="A174" s="166" t="inlineStr">
        <is>
          <t>精肉</t>
        </is>
      </c>
      <c r="B174" s="167" t="inlineStr">
        <is>
          <t>和牛</t>
        </is>
      </c>
      <c r="C174" s="167" t="inlineStr">
        <is>
          <t>GOODGOOD</t>
        </is>
      </c>
      <c r="D174" s="143">
        <f>"PRD_SNJ_"&amp;
_xlfn.XLOOKUP(商品マスタ[[#This Row],[仕入先]],テーブル1[仕入先名],テーブル1[仕入先コード],"XXX",0,1)&amp;
"_"&amp;
商品マスタ[[#This Row],[シリアル]]&amp;
"_"&amp;
TEXT(COUNTIFS(商品マスタ!$C$3:C174,商品マスタ[[#This Row],[仕入先]],商品マスタ!$E$3:E174,商品マスタ[[#This Row],[商品名]]), "00")</f>
        <v/>
      </c>
      <c r="E174" s="167" t="inlineStr">
        <is>
          <t>阿蘇赤身和牛　フランク</t>
        </is>
      </c>
      <c r="F174" s="167">
        <f>IF(COUNTIFS($C$3:C174,商品マスタ[[#This Row],[仕入先]],$E$3:E174,商品マスタ[[#This Row],[商品名]]) = 1, 1,0)</f>
        <v/>
      </c>
      <c r="G174" s="133">
        <f>TEXT(SUMIF($C$3:C174,商品マスタ[[#This Row],[仕入先]],$F$3:F174), "0000")</f>
        <v/>
      </c>
      <c r="H174" s="167" t="inlineStr">
        <is>
          <t>kg</t>
        </is>
      </c>
      <c r="I174" s="167" t="inlineStr">
        <is>
          <t>約3.1kg/個</t>
        </is>
      </c>
      <c r="J174" s="167" t="inlineStr">
        <is>
          <t>1個</t>
        </is>
      </c>
      <c r="K174" s="167" t="inlineStr">
        <is>
          <t>ブロック</t>
        </is>
      </c>
      <c r="L174" s="289" t="n">
        <v>4800</v>
      </c>
      <c r="M174" s="157" t="n">
        <v>45834</v>
      </c>
      <c r="N174" s="289" t="n"/>
      <c r="O174" s="290">
        <f>IF(COUNT(商品マスタ[[#This Row],[参考上代
（税込)]]) &gt; 0, (商品マスタ[[#This Row],[参考上代
（税込)]]-商品マスタ[[#This Row],[国内定価
（15％）]])/(商品マスタ[[#This Row],[参考上代
（税込)]]/1.08), "")</f>
        <v/>
      </c>
      <c r="P174" s="136" t="n">
        <v>0.1</v>
      </c>
      <c r="Q174" s="291">
        <f>商品マスタ[[#This Row],[仕入
単価]]*商品マスタ[[#This Row],[標準国内送料率]]</f>
        <v/>
      </c>
      <c r="R174" s="289" t="n"/>
      <c r="S174" s="289">
        <f>IF(ISBLANK(商品マスタ[[#This Row],[実績
国内送料]]),商品マスタ[[#This Row],[標準国内送料]],)</f>
        <v/>
      </c>
      <c r="T174" s="289">
        <f>商品マスタ[[#This Row],[仕入
単価]]+商品マスタ[[#This Row],[国内送料]]</f>
        <v/>
      </c>
      <c r="U174" s="289">
        <f>ROUNDUP(商品マスタ[[#This Row],[仕入単価+国内送料]]/0.8,-1)</f>
        <v/>
      </c>
      <c r="V174" s="289">
        <f>商品マスタ[[#This Row],[海外定価
（20％）]]-商品マスタ[[#This Row],[仕入単価+国内送料]]</f>
        <v/>
      </c>
      <c r="W174" s="167">
        <f>ROUNDUP(商品マスタ[[#This Row],[仕入単価+国内送料]]/0.85,-1)</f>
        <v/>
      </c>
      <c r="X174" s="289">
        <f>商品マスタ[[#This Row],[国内定価
（15％）]]-商品マスタ[[#This Row],[仕入単価+国内送料]]</f>
        <v/>
      </c>
      <c r="Y174" s="139" t="n">
        <v>0.08</v>
      </c>
      <c r="Z174" s="167" t="n"/>
      <c r="AA174" s="167" t="n"/>
      <c r="AB174" s="167" t="n"/>
      <c r="AC174" s="293" t="n"/>
      <c r="AD174" s="167" t="n"/>
      <c r="AE174" s="167" t="n"/>
      <c r="AF174" s="167" t="n"/>
      <c r="AG174" s="144" t="n"/>
    </row>
    <row r="175" ht="18" customHeight="1" s="207">
      <c r="A175" s="166" t="inlineStr">
        <is>
          <t>精肉</t>
        </is>
      </c>
      <c r="B175" s="167" t="inlineStr">
        <is>
          <t>和牛</t>
        </is>
      </c>
      <c r="C175" s="167" t="inlineStr">
        <is>
          <t>GOODGOOD</t>
        </is>
      </c>
      <c r="D175" s="143">
        <f>"PRD_SNJ_"&amp;
_xlfn.XLOOKUP(商品マスタ[[#This Row],[仕入先]],テーブル1[仕入先名],テーブル1[仕入先コード],"XXX",0,1)&amp;
"_"&amp;
商品マスタ[[#This Row],[シリアル]]&amp;
"_"&amp;
TEXT(COUNTIFS(商品マスタ!$C$3:C175,商品マスタ[[#This Row],[仕入先]],商品マスタ!$E$3:E175,商品マスタ[[#This Row],[商品名]]), "00")</f>
        <v/>
      </c>
      <c r="E175" s="167" t="inlineStr">
        <is>
          <t>阿蘇赤身和牛　インサイドスカート（ウチハラミ）</t>
        </is>
      </c>
      <c r="F175" s="167">
        <f>IF(COUNTIFS($C$3:C175,商品マスタ[[#This Row],[仕入先]],$E$3:E175,商品マスタ[[#This Row],[商品名]]) = 1, 1,0)</f>
        <v/>
      </c>
      <c r="G175" s="133">
        <f>TEXT(SUMIF($C$3:C175,商品マスタ[[#This Row],[仕入先]],$F$3:F175), "0000")</f>
        <v/>
      </c>
      <c r="H175" s="167" t="inlineStr">
        <is>
          <t>kg</t>
        </is>
      </c>
      <c r="I175" s="167" t="inlineStr">
        <is>
          <t>約2.0kg/個</t>
        </is>
      </c>
      <c r="J175" s="167" t="inlineStr">
        <is>
          <t>1個</t>
        </is>
      </c>
      <c r="K175" s="167" t="inlineStr">
        <is>
          <t>ブロック</t>
        </is>
      </c>
      <c r="L175" s="289" t="n">
        <v>5700</v>
      </c>
      <c r="M175" s="157" t="n">
        <v>45834</v>
      </c>
      <c r="N175" s="289" t="n"/>
      <c r="O175" s="290">
        <f>IF(COUNT(商品マスタ[[#This Row],[参考上代
（税込)]]) &gt; 0, (商品マスタ[[#This Row],[参考上代
（税込)]]-商品マスタ[[#This Row],[国内定価
（15％）]])/(商品マスタ[[#This Row],[参考上代
（税込)]]/1.08), "")</f>
        <v/>
      </c>
      <c r="P175" s="136" t="n">
        <v>0.1</v>
      </c>
      <c r="Q175" s="291">
        <f>商品マスタ[[#This Row],[仕入
単価]]*商品マスタ[[#This Row],[標準国内送料率]]</f>
        <v/>
      </c>
      <c r="R175" s="289" t="n"/>
      <c r="S175" s="289">
        <f>IF(ISBLANK(商品マスタ[[#This Row],[実績
国内送料]]),商品マスタ[[#This Row],[標準国内送料]],)</f>
        <v/>
      </c>
      <c r="T175" s="289">
        <f>商品マスタ[[#This Row],[仕入
単価]]+商品マスタ[[#This Row],[国内送料]]</f>
        <v/>
      </c>
      <c r="U175" s="289">
        <f>ROUNDUP(商品マスタ[[#This Row],[仕入単価+国内送料]]/0.8,-1)</f>
        <v/>
      </c>
      <c r="V175" s="289">
        <f>商品マスタ[[#This Row],[海外定価
（20％）]]-商品マスタ[[#This Row],[仕入単価+国内送料]]</f>
        <v/>
      </c>
      <c r="W175" s="167">
        <f>ROUNDUP(商品マスタ[[#This Row],[仕入単価+国内送料]]/0.85,-1)</f>
        <v/>
      </c>
      <c r="X175" s="289">
        <f>商品マスタ[[#This Row],[国内定価
（15％）]]-商品マスタ[[#This Row],[仕入単価+国内送料]]</f>
        <v/>
      </c>
      <c r="Y175" s="139" t="n">
        <v>0.08</v>
      </c>
      <c r="Z175" s="167" t="n"/>
      <c r="AA175" s="167" t="n"/>
      <c r="AB175" s="167" t="n"/>
      <c r="AC175" s="293" t="n"/>
      <c r="AD175" s="167" t="n"/>
      <c r="AE175" s="167" t="n"/>
      <c r="AF175" s="167" t="n"/>
      <c r="AG175" s="144" t="n"/>
    </row>
    <row r="176" ht="18" customHeight="1" s="207">
      <c r="A176" s="166" t="inlineStr">
        <is>
          <t>精肉</t>
        </is>
      </c>
      <c r="B176" s="167" t="inlineStr">
        <is>
          <t>和牛</t>
        </is>
      </c>
      <c r="C176" s="167" t="inlineStr">
        <is>
          <t>GOODGOOD</t>
        </is>
      </c>
      <c r="D176" s="143">
        <f>"PRD_SNJ_"&amp;
_xlfn.XLOOKUP(商品マスタ[[#This Row],[仕入先]],テーブル1[仕入先名],テーブル1[仕入先コード],"XXX",0,1)&amp;
"_"&amp;
商品マスタ[[#This Row],[シリアル]]&amp;
"_"&amp;
TEXT(COUNTIFS(商品マスタ!$C$3:C176,商品マスタ[[#This Row],[仕入先]],商品マスタ!$E$3:E176,商品マスタ[[#This Row],[商品名]]), "00")</f>
        <v/>
      </c>
      <c r="E176" s="167" t="inlineStr">
        <is>
          <t>阿蘇赤身和牛　外バラプレート</t>
        </is>
      </c>
      <c r="F176" s="167">
        <f>IF(COUNTIFS($C$3:C176,商品マスタ[[#This Row],[仕入先]],$E$3:E176,商品マスタ[[#This Row],[商品名]]) = 1, 1,0)</f>
        <v/>
      </c>
      <c r="G176" s="133">
        <f>TEXT(SUMIF($C$3:C176,商品マスタ[[#This Row],[仕入先]],$F$3:F176), "0000")</f>
        <v/>
      </c>
      <c r="H176" s="167" t="inlineStr">
        <is>
          <t>kg</t>
        </is>
      </c>
      <c r="I176" s="167" t="inlineStr">
        <is>
          <t>約7.7kg/個</t>
        </is>
      </c>
      <c r="J176" s="167" t="inlineStr">
        <is>
          <t>1個</t>
        </is>
      </c>
      <c r="K176" s="167" t="inlineStr">
        <is>
          <t>ブロック</t>
        </is>
      </c>
      <c r="L176" s="289" t="n">
        <v>5000</v>
      </c>
      <c r="M176" s="157" t="n">
        <v>45834</v>
      </c>
      <c r="N176" s="289" t="n"/>
      <c r="O176" s="290">
        <f>IF(COUNT(商品マスタ[[#This Row],[参考上代
（税込)]]) &gt; 0, (商品マスタ[[#This Row],[参考上代
（税込)]]-商品マスタ[[#This Row],[国内定価
（15％）]])/(商品マスタ[[#This Row],[参考上代
（税込)]]/1.08), "")</f>
        <v/>
      </c>
      <c r="P176" s="136" t="n">
        <v>0.1</v>
      </c>
      <c r="Q176" s="291">
        <f>商品マスタ[[#This Row],[仕入
単価]]*商品マスタ[[#This Row],[標準国内送料率]]</f>
        <v/>
      </c>
      <c r="R176" s="289" t="n"/>
      <c r="S176" s="289">
        <f>IF(ISBLANK(商品マスタ[[#This Row],[実績
国内送料]]),商品マスタ[[#This Row],[標準国内送料]],)</f>
        <v/>
      </c>
      <c r="T176" s="289">
        <f>商品マスタ[[#This Row],[仕入
単価]]+商品マスタ[[#This Row],[国内送料]]</f>
        <v/>
      </c>
      <c r="U176" s="289">
        <f>ROUNDUP(商品マスタ[[#This Row],[仕入単価+国内送料]]/0.8,-1)</f>
        <v/>
      </c>
      <c r="V176" s="289">
        <f>商品マスタ[[#This Row],[海外定価
（20％）]]-商品マスタ[[#This Row],[仕入単価+国内送料]]</f>
        <v/>
      </c>
      <c r="W176" s="167">
        <f>ROUNDUP(商品マスタ[[#This Row],[仕入単価+国内送料]]/0.85,-1)</f>
        <v/>
      </c>
      <c r="X176" s="289">
        <f>商品マスタ[[#This Row],[国内定価
（15％）]]-商品マスタ[[#This Row],[仕入単価+国内送料]]</f>
        <v/>
      </c>
      <c r="Y176" s="139" t="n">
        <v>0.08</v>
      </c>
      <c r="Z176" s="167" t="n"/>
      <c r="AA176" s="167" t="n"/>
      <c r="AB176" s="167" t="n"/>
      <c r="AC176" s="293" t="n"/>
      <c r="AD176" s="167" t="n"/>
      <c r="AE176" s="167" t="n"/>
      <c r="AF176" s="167" t="n"/>
      <c r="AG176" s="144" t="n"/>
    </row>
    <row r="177" ht="18" customHeight="1" s="207">
      <c r="A177" s="166" t="inlineStr">
        <is>
          <t>精肉</t>
        </is>
      </c>
      <c r="B177" s="167" t="inlineStr">
        <is>
          <t>和牛</t>
        </is>
      </c>
      <c r="C177" s="167" t="inlineStr">
        <is>
          <t>GOODGOOD</t>
        </is>
      </c>
      <c r="D177" s="143">
        <f>"PRD_SNJ_"&amp;
_xlfn.XLOOKUP(商品マスタ[[#This Row],[仕入先]],テーブル1[仕入先名],テーブル1[仕入先コード],"XXX",0,1)&amp;
"_"&amp;
商品マスタ[[#This Row],[シリアル]]&amp;
"_"&amp;
TEXT(COUNTIFS(商品マスタ!$C$3:C177,商品マスタ[[#This Row],[仕入先]],商品マスタ!$E$3:E177,商品マスタ[[#This Row],[商品名]]), "00")</f>
        <v/>
      </c>
      <c r="E177" s="167" t="inlineStr">
        <is>
          <t>阿蘇赤身和牛　カッパ</t>
        </is>
      </c>
      <c r="F177" s="167">
        <f>IF(COUNTIFS($C$3:C177,商品マスタ[[#This Row],[仕入先]],$E$3:E177,商品マスタ[[#This Row],[商品名]]) = 1, 1,0)</f>
        <v/>
      </c>
      <c r="G177" s="133">
        <f>TEXT(SUMIF($C$3:C177,商品マスタ[[#This Row],[仕入先]],$F$3:F177), "0000")</f>
        <v/>
      </c>
      <c r="H177" s="167" t="inlineStr">
        <is>
          <t>kg</t>
        </is>
      </c>
      <c r="I177" s="167" t="inlineStr">
        <is>
          <t>約3.1kg/個</t>
        </is>
      </c>
      <c r="J177" s="167" t="inlineStr">
        <is>
          <t>1個</t>
        </is>
      </c>
      <c r="K177" s="167" t="inlineStr">
        <is>
          <t>ブロック</t>
        </is>
      </c>
      <c r="L177" s="289" t="n">
        <v>2480</v>
      </c>
      <c r="M177" s="157" t="n">
        <v>45834</v>
      </c>
      <c r="N177" s="289" t="n"/>
      <c r="O177" s="290">
        <f>IF(COUNT(商品マスタ[[#This Row],[参考上代
（税込)]]) &gt; 0, (商品マスタ[[#This Row],[参考上代
（税込)]]-商品マスタ[[#This Row],[国内定価
（15％）]])/(商品マスタ[[#This Row],[参考上代
（税込)]]/1.08), "")</f>
        <v/>
      </c>
      <c r="P177" s="136" t="n">
        <v>0.1</v>
      </c>
      <c r="Q177" s="291">
        <f>商品マスタ[[#This Row],[仕入
単価]]*商品マスタ[[#This Row],[標準国内送料率]]</f>
        <v/>
      </c>
      <c r="R177" s="289" t="n"/>
      <c r="S177" s="289">
        <f>IF(ISBLANK(商品マスタ[[#This Row],[実績
国内送料]]),商品マスタ[[#This Row],[標準国内送料]],)</f>
        <v/>
      </c>
      <c r="T177" s="289">
        <f>商品マスタ[[#This Row],[仕入
単価]]+商品マスタ[[#This Row],[国内送料]]</f>
        <v/>
      </c>
      <c r="U177" s="289">
        <f>ROUNDUP(商品マスタ[[#This Row],[仕入単価+国内送料]]/0.8,-1)</f>
        <v/>
      </c>
      <c r="V177" s="289">
        <f>商品マスタ[[#This Row],[海外定価
（20％）]]-商品マスタ[[#This Row],[仕入単価+国内送料]]</f>
        <v/>
      </c>
      <c r="W177" s="167">
        <f>ROUNDUP(商品マスタ[[#This Row],[仕入単価+国内送料]]/0.85,-1)</f>
        <v/>
      </c>
      <c r="X177" s="289">
        <f>商品マスタ[[#This Row],[国内定価
（15％）]]-商品マスタ[[#This Row],[仕入単価+国内送料]]</f>
        <v/>
      </c>
      <c r="Y177" s="139" t="n">
        <v>0.08</v>
      </c>
      <c r="Z177" s="167" t="n"/>
      <c r="AA177" s="167" t="n"/>
      <c r="AB177" s="167" t="n"/>
      <c r="AC177" s="293" t="n"/>
      <c r="AD177" s="167" t="n"/>
      <c r="AE177" s="167" t="n"/>
      <c r="AF177" s="167" t="n"/>
      <c r="AG177" s="144" t="n"/>
    </row>
    <row r="178" ht="18" customHeight="1" s="207">
      <c r="A178" s="166" t="inlineStr">
        <is>
          <t>精肉</t>
        </is>
      </c>
      <c r="B178" s="167" t="inlineStr">
        <is>
          <t>和牛</t>
        </is>
      </c>
      <c r="C178" s="167" t="inlineStr">
        <is>
          <t>GOODGOOD</t>
        </is>
      </c>
      <c r="D178" s="143">
        <f>"PRD_SNJ_"&amp;
_xlfn.XLOOKUP(商品マスタ[[#This Row],[仕入先]],テーブル1[仕入先名],テーブル1[仕入先コード],"XXX",0,1)&amp;
"_"&amp;
商品マスタ[[#This Row],[シリアル]]&amp;
"_"&amp;
TEXT(COUNTIFS(商品マスタ!$C$3:C178,商品マスタ[[#This Row],[仕入先]],商品マスタ!$E$3:E178,商品マスタ[[#This Row],[商品名]]), "00")</f>
        <v/>
      </c>
      <c r="E178" s="167" t="inlineStr">
        <is>
          <t>阿蘇赤身和牛　内臓セット</t>
        </is>
      </c>
      <c r="F178" s="167">
        <f>IF(COUNTIFS($C$3:C178,商品マスタ[[#This Row],[仕入先]],$E$3:E178,商品マスタ[[#This Row],[商品名]]) = 1, 1,0)</f>
        <v/>
      </c>
      <c r="G178" s="133">
        <f>TEXT(SUMIF($C$3:C178,商品マスタ[[#This Row],[仕入先]],$F$3:F178), "0000")</f>
        <v/>
      </c>
      <c r="H178" s="167" t="inlineStr">
        <is>
          <t>式</t>
        </is>
      </c>
      <c r="I178" s="167" t="inlineStr">
        <is>
          <t>約30kg/式</t>
        </is>
      </c>
      <c r="J178" s="167" t="inlineStr">
        <is>
          <t>1式</t>
        </is>
      </c>
      <c r="K178" s="167" t="inlineStr">
        <is>
          <t>30kg前後</t>
        </is>
      </c>
      <c r="L178" s="289" t="n">
        <v>105000</v>
      </c>
      <c r="M178" s="157" t="n">
        <v>45834</v>
      </c>
      <c r="N178" s="289" t="n"/>
      <c r="O178" s="290">
        <f>IF(COUNT(商品マスタ[[#This Row],[参考上代
（税込)]]) &gt; 0, (商品マスタ[[#This Row],[参考上代
（税込)]]-商品マスタ[[#This Row],[国内定価
（15％）]])/(商品マスタ[[#This Row],[参考上代
（税込)]]/1.08), "")</f>
        <v/>
      </c>
      <c r="P178" s="136" t="n">
        <v>0.1</v>
      </c>
      <c r="Q178" s="291">
        <f>商品マスタ[[#This Row],[仕入
単価]]*商品マスタ[[#This Row],[標準国内送料率]]</f>
        <v/>
      </c>
      <c r="R178" s="289" t="n"/>
      <c r="S178" s="289">
        <f>IF(ISBLANK(商品マスタ[[#This Row],[実績
国内送料]]),商品マスタ[[#This Row],[標準国内送料]],)</f>
        <v/>
      </c>
      <c r="T178" s="289">
        <f>商品マスタ[[#This Row],[仕入
単価]]+商品マスタ[[#This Row],[国内送料]]</f>
        <v/>
      </c>
      <c r="U178" s="289">
        <f>ROUNDUP(商品マスタ[[#This Row],[仕入単価+国内送料]]/0.8,-1)</f>
        <v/>
      </c>
      <c r="V178" s="289">
        <f>商品マスタ[[#This Row],[海外定価
（20％）]]-商品マスタ[[#This Row],[仕入単価+国内送料]]</f>
        <v/>
      </c>
      <c r="W178" s="167">
        <f>ROUNDUP(商品マスタ[[#This Row],[仕入単価+国内送料]]/0.85,-1)</f>
        <v/>
      </c>
      <c r="X178" s="289">
        <f>商品マスタ[[#This Row],[国内定価
（15％）]]-商品マスタ[[#This Row],[仕入単価+国内送料]]</f>
        <v/>
      </c>
      <c r="Y178" s="139" t="n">
        <v>0.08</v>
      </c>
      <c r="Z178" s="167" t="n"/>
      <c r="AA178" s="167" t="n"/>
      <c r="AB178" s="167" t="n"/>
      <c r="AC178" s="293" t="n"/>
      <c r="AD178" s="167" t="n"/>
      <c r="AE178" s="167" t="n"/>
      <c r="AF178" s="167" t="n"/>
      <c r="AG178" s="144" t="n"/>
    </row>
    <row r="179" ht="18" customHeight="1" s="207">
      <c r="A179" s="166" t="inlineStr">
        <is>
          <t>精肉</t>
        </is>
      </c>
      <c r="B179" s="167" t="inlineStr">
        <is>
          <t>和牛</t>
        </is>
      </c>
      <c r="C179" s="167" t="inlineStr">
        <is>
          <t>GOODGOOD</t>
        </is>
      </c>
      <c r="D179" s="143">
        <f>"PRD_SNJ_"&amp;
_xlfn.XLOOKUP(商品マスタ[[#This Row],[仕入先]],テーブル1[仕入先名],テーブル1[仕入先コード],"XXX",0,1)&amp;
"_"&amp;
商品マスタ[[#This Row],[シリアル]]&amp;
"_"&amp;
TEXT(COUNTIFS(商品マスタ!$C$3:C179,商品マスタ[[#This Row],[仕入先]],商品マスタ!$E$3:E179,商品マスタ[[#This Row],[商品名]]), "00")</f>
        <v/>
      </c>
      <c r="E179" s="167" t="inlineStr">
        <is>
          <t>阿蘇赤身和牛　タン</t>
        </is>
      </c>
      <c r="F179" s="167">
        <f>IF(COUNTIFS($C$3:C179,商品マスタ[[#This Row],[仕入先]],$E$3:E179,商品マスタ[[#This Row],[商品名]]) = 1, 1,0)</f>
        <v/>
      </c>
      <c r="G179" s="133">
        <f>TEXT(SUMIF($C$3:C179,商品マスタ[[#This Row],[仕入先]],$F$3:F179), "0000")</f>
        <v/>
      </c>
      <c r="H179" s="167" t="inlineStr">
        <is>
          <t>kg</t>
        </is>
      </c>
      <c r="I179" s="167" t="inlineStr">
        <is>
          <t>約1.5kg/本</t>
        </is>
      </c>
      <c r="J179" s="167" t="inlineStr">
        <is>
          <t>1本</t>
        </is>
      </c>
      <c r="K179" s="167" t="inlineStr">
        <is>
          <t>ブロック</t>
        </is>
      </c>
      <c r="L179" s="289" t="n">
        <v>11000</v>
      </c>
      <c r="M179" s="157" t="n">
        <v>45834</v>
      </c>
      <c r="N179" s="289" t="n"/>
      <c r="O179" s="290">
        <f>IF(COUNT(商品マスタ[[#This Row],[参考上代
（税込)]]) &gt; 0, (商品マスタ[[#This Row],[参考上代
（税込)]]-商品マスタ[[#This Row],[国内定価
（15％）]])/(商品マスタ[[#This Row],[参考上代
（税込)]]/1.08), "")</f>
        <v/>
      </c>
      <c r="P179" s="136" t="n">
        <v>0.1</v>
      </c>
      <c r="Q179" s="291">
        <f>商品マスタ[[#This Row],[仕入
単価]]*商品マスタ[[#This Row],[標準国内送料率]]</f>
        <v/>
      </c>
      <c r="R179" s="289" t="n"/>
      <c r="S179" s="289">
        <f>IF(ISBLANK(商品マスタ[[#This Row],[実績
国内送料]]),商品マスタ[[#This Row],[標準国内送料]],)</f>
        <v/>
      </c>
      <c r="T179" s="289">
        <f>商品マスタ[[#This Row],[仕入
単価]]+商品マスタ[[#This Row],[国内送料]]</f>
        <v/>
      </c>
      <c r="U179" s="289">
        <f>ROUNDUP(商品マスタ[[#This Row],[仕入単価+国内送料]]/0.8,-1)</f>
        <v/>
      </c>
      <c r="V179" s="289">
        <f>商品マスタ[[#This Row],[海外定価
（20％）]]-商品マスタ[[#This Row],[仕入単価+国内送料]]</f>
        <v/>
      </c>
      <c r="W179" s="167">
        <f>ROUNDUP(商品マスタ[[#This Row],[仕入単価+国内送料]]/0.85,-1)</f>
        <v/>
      </c>
      <c r="X179" s="289">
        <f>商品マスタ[[#This Row],[国内定価
（15％）]]-商品マスタ[[#This Row],[仕入単価+国内送料]]</f>
        <v/>
      </c>
      <c r="Y179" s="139" t="n">
        <v>0.08</v>
      </c>
      <c r="Z179" s="167" t="n"/>
      <c r="AA179" s="167" t="n"/>
      <c r="AB179" s="167" t="n"/>
      <c r="AC179" s="293" t="n"/>
      <c r="AD179" s="167" t="n"/>
      <c r="AE179" s="167" t="n"/>
      <c r="AF179" s="167" t="n"/>
      <c r="AG179" s="144" t="n"/>
    </row>
    <row r="180" ht="18" customHeight="1" s="207">
      <c r="A180" s="166" t="inlineStr">
        <is>
          <t>精肉</t>
        </is>
      </c>
      <c r="B180" s="167" t="inlineStr">
        <is>
          <t>和牛</t>
        </is>
      </c>
      <c r="C180" s="167" t="inlineStr">
        <is>
          <t>GOODGOOD</t>
        </is>
      </c>
      <c r="D180" s="143">
        <f>"PRD_SNJ_"&amp;
_xlfn.XLOOKUP(商品マスタ[[#This Row],[仕入先]],テーブル1[仕入先名],テーブル1[仕入先コード],"XXX",0,1)&amp;
"_"&amp;
商品マスタ[[#This Row],[シリアル]]&amp;
"_"&amp;
TEXT(COUNTIFS(商品マスタ!$C$3:C180,商品マスタ[[#This Row],[仕入先]],商品マスタ!$E$3:E180,商品マスタ[[#This Row],[商品名]]), "00")</f>
        <v/>
      </c>
      <c r="E180" s="167" t="inlineStr">
        <is>
          <t>阿蘇赤身和牛　ハラミ・サガリセット</t>
        </is>
      </c>
      <c r="F180" s="167">
        <f>IF(COUNTIFS($C$3:C180,商品マスタ[[#This Row],[仕入先]],$E$3:E180,商品マスタ[[#This Row],[商品名]]) = 1, 1,0)</f>
        <v/>
      </c>
      <c r="G180" s="133">
        <f>TEXT(SUMIF($C$3:C180,商品マスタ[[#This Row],[仕入先]],$F$3:F180), "0000")</f>
        <v/>
      </c>
      <c r="H180" s="167" t="inlineStr">
        <is>
          <t>kg</t>
        </is>
      </c>
      <c r="I180" s="167" t="inlineStr">
        <is>
          <t>約3.7kg/セット</t>
        </is>
      </c>
      <c r="J180" s="167" t="inlineStr">
        <is>
          <t>1セット</t>
        </is>
      </c>
      <c r="K180" s="167" t="inlineStr">
        <is>
          <t>ハラミ2.5kg+サガリ1.2kg</t>
        </is>
      </c>
      <c r="L180" s="289" t="n">
        <v>8000</v>
      </c>
      <c r="M180" s="157" t="n">
        <v>45834</v>
      </c>
      <c r="N180" s="289" t="n"/>
      <c r="O180" s="290">
        <f>IF(COUNT(商品マスタ[[#This Row],[参考上代
（税込)]]) &gt; 0, (商品マスタ[[#This Row],[参考上代
（税込)]]-商品マスタ[[#This Row],[国内定価
（15％）]])/(商品マスタ[[#This Row],[参考上代
（税込)]]/1.08), "")</f>
        <v/>
      </c>
      <c r="P180" s="136" t="n">
        <v>0.1</v>
      </c>
      <c r="Q180" s="291">
        <f>商品マスタ[[#This Row],[仕入
単価]]*商品マスタ[[#This Row],[標準国内送料率]]</f>
        <v/>
      </c>
      <c r="R180" s="289" t="n"/>
      <c r="S180" s="289">
        <f>IF(ISBLANK(商品マスタ[[#This Row],[実績
国内送料]]),商品マスタ[[#This Row],[標準国内送料]],)</f>
        <v/>
      </c>
      <c r="T180" s="289">
        <f>商品マスタ[[#This Row],[仕入
単価]]+商品マスタ[[#This Row],[国内送料]]</f>
        <v/>
      </c>
      <c r="U180" s="289">
        <f>ROUNDUP(商品マスタ[[#This Row],[仕入単価+国内送料]]/0.8,-1)</f>
        <v/>
      </c>
      <c r="V180" s="289">
        <f>商品マスタ[[#This Row],[海外定価
（20％）]]-商品マスタ[[#This Row],[仕入単価+国内送料]]</f>
        <v/>
      </c>
      <c r="W180" s="167">
        <f>ROUNDUP(商品マスタ[[#This Row],[仕入単価+国内送料]]/0.85,-1)</f>
        <v/>
      </c>
      <c r="X180" s="289">
        <f>商品マスタ[[#This Row],[国内定価
（15％）]]-商品マスタ[[#This Row],[仕入単価+国内送料]]</f>
        <v/>
      </c>
      <c r="Y180" s="139" t="n">
        <v>0.08</v>
      </c>
      <c r="Z180" s="167" t="n"/>
      <c r="AA180" s="167" t="n"/>
      <c r="AB180" s="167" t="n"/>
      <c r="AC180" s="293" t="n"/>
      <c r="AD180" s="167" t="n"/>
      <c r="AE180" s="167" t="n"/>
      <c r="AF180" s="167" t="n"/>
      <c r="AG180" s="144" t="n"/>
    </row>
    <row r="181" ht="18" customHeight="1" s="207">
      <c r="A181" s="166" t="inlineStr">
        <is>
          <t>精肉</t>
        </is>
      </c>
      <c r="B181" s="167" t="inlineStr">
        <is>
          <t>和牛</t>
        </is>
      </c>
      <c r="C181" s="167" t="inlineStr">
        <is>
          <t>GOODGOOD</t>
        </is>
      </c>
      <c r="D181" s="143">
        <f>"PRD_SNJ_"&amp;
_xlfn.XLOOKUP(商品マスタ[[#This Row],[仕入先]],テーブル1[仕入先名],テーブル1[仕入先コード],"XXX",0,1)&amp;
"_"&amp;
商品マスタ[[#This Row],[シリアル]]&amp;
"_"&amp;
TEXT(COUNTIFS(商品マスタ!$C$3:C181,商品マスタ[[#This Row],[仕入先]],商品マスタ!$E$3:E181,商品マスタ[[#This Row],[商品名]]), "00")</f>
        <v/>
      </c>
      <c r="E181" s="167" t="inlineStr">
        <is>
          <t>阿蘇赤身和牛　ツラミ（頬肉）</t>
        </is>
      </c>
      <c r="F181" s="167">
        <f>IF(COUNTIFS($C$3:C181,商品マスタ[[#This Row],[仕入先]],$E$3:E181,商品マスタ[[#This Row],[商品名]]) = 1, 1,0)</f>
        <v/>
      </c>
      <c r="G181" s="133">
        <f>TEXT(SUMIF($C$3:C181,商品マスタ[[#This Row],[仕入先]],$F$3:F181), "0000")</f>
        <v/>
      </c>
      <c r="H181" s="167" t="inlineStr">
        <is>
          <t>kg</t>
        </is>
      </c>
      <c r="I181" s="167" t="inlineStr">
        <is>
          <t>約1.0kg/個</t>
        </is>
      </c>
      <c r="J181" s="167" t="inlineStr">
        <is>
          <t>1個</t>
        </is>
      </c>
      <c r="K181" s="167" t="inlineStr">
        <is>
          <t>ブロック</t>
        </is>
      </c>
      <c r="L181" s="289" t="n">
        <v>2900</v>
      </c>
      <c r="M181" s="157" t="n">
        <v>45834</v>
      </c>
      <c r="N181" s="289" t="n"/>
      <c r="O181" s="290">
        <f>IF(COUNT(商品マスタ[[#This Row],[参考上代
（税込)]]) &gt; 0, (商品マスタ[[#This Row],[参考上代
（税込)]]-商品マスタ[[#This Row],[国内定価
（15％）]])/(商品マスタ[[#This Row],[参考上代
（税込)]]/1.08), "")</f>
        <v/>
      </c>
      <c r="P181" s="136" t="n">
        <v>0.1</v>
      </c>
      <c r="Q181" s="291">
        <f>商品マスタ[[#This Row],[仕入
単価]]*商品マスタ[[#This Row],[標準国内送料率]]</f>
        <v/>
      </c>
      <c r="R181" s="289" t="n"/>
      <c r="S181" s="289">
        <f>IF(ISBLANK(商品マスタ[[#This Row],[実績
国内送料]]),商品マスタ[[#This Row],[標準国内送料]],)</f>
        <v/>
      </c>
      <c r="T181" s="289">
        <f>商品マスタ[[#This Row],[仕入
単価]]+商品マスタ[[#This Row],[国内送料]]</f>
        <v/>
      </c>
      <c r="U181" s="289">
        <f>ROUNDUP(商品マスタ[[#This Row],[仕入単価+国内送料]]/0.8,-1)</f>
        <v/>
      </c>
      <c r="V181" s="289">
        <f>商品マスタ[[#This Row],[海外定価
（20％）]]-商品マスタ[[#This Row],[仕入単価+国内送料]]</f>
        <v/>
      </c>
      <c r="W181" s="167">
        <f>ROUNDUP(商品マスタ[[#This Row],[仕入単価+国内送料]]/0.85,-1)</f>
        <v/>
      </c>
      <c r="X181" s="289">
        <f>商品マスタ[[#This Row],[国内定価
（15％）]]-商品マスタ[[#This Row],[仕入単価+国内送料]]</f>
        <v/>
      </c>
      <c r="Y181" s="139" t="n">
        <v>0.08</v>
      </c>
      <c r="Z181" s="167" t="n"/>
      <c r="AA181" s="167" t="n"/>
      <c r="AB181" s="167" t="n"/>
      <c r="AC181" s="293" t="n"/>
      <c r="AD181" s="167" t="n"/>
      <c r="AE181" s="167" t="n"/>
      <c r="AF181" s="167" t="n"/>
      <c r="AG181" s="144" t="n"/>
    </row>
    <row r="182" ht="18" customHeight="1" s="207">
      <c r="A182" s="166" t="inlineStr">
        <is>
          <t>精肉</t>
        </is>
      </c>
      <c r="B182" s="167" t="inlineStr">
        <is>
          <t>和牛</t>
        </is>
      </c>
      <c r="C182" s="167" t="inlineStr">
        <is>
          <t>GOODGOOD</t>
        </is>
      </c>
      <c r="D182" s="143">
        <f>"PRD_SNJ_"&amp;
_xlfn.XLOOKUP(商品マスタ[[#This Row],[仕入先]],テーブル1[仕入先名],テーブル1[仕入先コード],"XXX",0,1)&amp;
"_"&amp;
商品マスタ[[#This Row],[シリアル]]&amp;
"_"&amp;
TEXT(COUNTIFS(商品マスタ!$C$3:C182,商品マスタ[[#This Row],[仕入先]],商品マスタ!$E$3:E182,商品マスタ[[#This Row],[商品名]]), "00")</f>
        <v/>
      </c>
      <c r="E182" s="167" t="inlineStr">
        <is>
          <t>阿蘇赤身和牛　ハツ</t>
        </is>
      </c>
      <c r="F182" s="167">
        <f>IF(COUNTIFS($C$3:C182,商品マスタ[[#This Row],[仕入先]],$E$3:E182,商品マスタ[[#This Row],[商品名]]) = 1, 1,0)</f>
        <v/>
      </c>
      <c r="G182" s="133">
        <f>TEXT(SUMIF($C$3:C182,商品マスタ[[#This Row],[仕入先]],$F$3:F182), "0000")</f>
        <v/>
      </c>
      <c r="H182" s="167" t="inlineStr">
        <is>
          <t>kg</t>
        </is>
      </c>
      <c r="I182" s="167" t="inlineStr">
        <is>
          <t>約1.5kg/個</t>
        </is>
      </c>
      <c r="J182" s="167" t="inlineStr">
        <is>
          <t>1個</t>
        </is>
      </c>
      <c r="K182" s="167" t="inlineStr">
        <is>
          <t>ブロック</t>
        </is>
      </c>
      <c r="L182" s="289" t="n">
        <v>2900</v>
      </c>
      <c r="M182" s="157" t="n">
        <v>45834</v>
      </c>
      <c r="N182" s="289" t="n"/>
      <c r="O182" s="290">
        <f>IF(COUNT(商品マスタ[[#This Row],[参考上代
（税込)]]) &gt; 0, (商品マスタ[[#This Row],[参考上代
（税込)]]-商品マスタ[[#This Row],[国内定価
（15％）]])/(商品マスタ[[#This Row],[参考上代
（税込)]]/1.08), "")</f>
        <v/>
      </c>
      <c r="P182" s="136" t="n">
        <v>0.1</v>
      </c>
      <c r="Q182" s="291">
        <f>商品マスタ[[#This Row],[仕入
単価]]*商品マスタ[[#This Row],[標準国内送料率]]</f>
        <v/>
      </c>
      <c r="R182" s="289" t="n"/>
      <c r="S182" s="289">
        <f>IF(ISBLANK(商品マスタ[[#This Row],[実績
国内送料]]),商品マスタ[[#This Row],[標準国内送料]],)</f>
        <v/>
      </c>
      <c r="T182" s="289">
        <f>商品マスタ[[#This Row],[仕入
単価]]+商品マスタ[[#This Row],[国内送料]]</f>
        <v/>
      </c>
      <c r="U182" s="289">
        <f>ROUNDUP(商品マスタ[[#This Row],[仕入単価+国内送料]]/0.8,-1)</f>
        <v/>
      </c>
      <c r="V182" s="289">
        <f>商品マスタ[[#This Row],[海外定価
（20％）]]-商品マスタ[[#This Row],[仕入単価+国内送料]]</f>
        <v/>
      </c>
      <c r="W182" s="167">
        <f>ROUNDUP(商品マスタ[[#This Row],[仕入単価+国内送料]]/0.85,-1)</f>
        <v/>
      </c>
      <c r="X182" s="289">
        <f>商品マスタ[[#This Row],[国内定価
（15％）]]-商品マスタ[[#This Row],[仕入単価+国内送料]]</f>
        <v/>
      </c>
      <c r="Y182" s="139" t="n">
        <v>0.08</v>
      </c>
      <c r="Z182" s="167" t="n"/>
      <c r="AA182" s="167" t="n"/>
      <c r="AB182" s="167" t="n"/>
      <c r="AC182" s="293" t="n"/>
      <c r="AD182" s="167" t="n"/>
      <c r="AE182" s="167" t="n"/>
      <c r="AF182" s="167" t="n"/>
      <c r="AG182" s="144" t="n"/>
    </row>
    <row r="183" ht="18" customHeight="1" s="207">
      <c r="A183" s="166" t="inlineStr">
        <is>
          <t>精肉</t>
        </is>
      </c>
      <c r="B183" s="167" t="inlineStr">
        <is>
          <t>和牛</t>
        </is>
      </c>
      <c r="C183" s="167" t="inlineStr">
        <is>
          <t>GOODGOOD</t>
        </is>
      </c>
      <c r="D183" s="143">
        <f>"PRD_SNJ_"&amp;
_xlfn.XLOOKUP(商品マスタ[[#This Row],[仕入先]],テーブル1[仕入先名],テーブル1[仕入先コード],"XXX",0,1)&amp;
"_"&amp;
商品マスタ[[#This Row],[シリアル]]&amp;
"_"&amp;
TEXT(COUNTIFS(商品マスタ!$C$3:C183,商品マスタ[[#This Row],[仕入先]],商品マスタ!$E$3:E183,商品マスタ[[#This Row],[商品名]]), "00")</f>
        <v/>
      </c>
      <c r="E183" s="167" t="inlineStr">
        <is>
          <t>阿蘇赤身和牛　レバー</t>
        </is>
      </c>
      <c r="F183" s="167">
        <f>IF(COUNTIFS($C$3:C183,商品マスタ[[#This Row],[仕入先]],$E$3:E183,商品マスタ[[#This Row],[商品名]]) = 1, 1,0)</f>
        <v/>
      </c>
      <c r="G183" s="133">
        <f>TEXT(SUMIF($C$3:C183,商品マスタ[[#This Row],[仕入先]],$F$3:F183), "0000")</f>
        <v/>
      </c>
      <c r="H183" s="167" t="inlineStr">
        <is>
          <t>kg</t>
        </is>
      </c>
      <c r="I183" s="167" t="inlineStr">
        <is>
          <t>約6.5kg/個</t>
        </is>
      </c>
      <c r="J183" s="167" t="inlineStr">
        <is>
          <t>1個</t>
        </is>
      </c>
      <c r="K183" s="167" t="inlineStr">
        <is>
          <t>ブロック</t>
        </is>
      </c>
      <c r="L183" s="289" t="n">
        <v>1400</v>
      </c>
      <c r="M183" s="157" t="n">
        <v>45834</v>
      </c>
      <c r="N183" s="289" t="n"/>
      <c r="O183" s="290">
        <f>IF(COUNT(商品マスタ[[#This Row],[参考上代
（税込)]]) &gt; 0, (商品マスタ[[#This Row],[参考上代
（税込)]]-商品マスタ[[#This Row],[国内定価
（15％）]])/(商品マスタ[[#This Row],[参考上代
（税込)]]/1.08), "")</f>
        <v/>
      </c>
      <c r="P183" s="136" t="n">
        <v>0.1</v>
      </c>
      <c r="Q183" s="291">
        <f>商品マスタ[[#This Row],[仕入
単価]]*商品マスタ[[#This Row],[標準国内送料率]]</f>
        <v/>
      </c>
      <c r="R183" s="289" t="n"/>
      <c r="S183" s="289">
        <f>IF(ISBLANK(商品マスタ[[#This Row],[実績
国内送料]]),商品マスタ[[#This Row],[標準国内送料]],)</f>
        <v/>
      </c>
      <c r="T183" s="289">
        <f>商品マスタ[[#This Row],[仕入
単価]]+商品マスタ[[#This Row],[国内送料]]</f>
        <v/>
      </c>
      <c r="U183" s="289">
        <f>ROUNDUP(商品マスタ[[#This Row],[仕入単価+国内送料]]/0.8,-1)</f>
        <v/>
      </c>
      <c r="V183" s="289">
        <f>商品マスタ[[#This Row],[海外定価
（20％）]]-商品マスタ[[#This Row],[仕入単価+国内送料]]</f>
        <v/>
      </c>
      <c r="W183" s="167">
        <f>ROUNDUP(商品マスタ[[#This Row],[仕入単価+国内送料]]/0.85,-1)</f>
        <v/>
      </c>
      <c r="X183" s="289">
        <f>商品マスタ[[#This Row],[国内定価
（15％）]]-商品マスタ[[#This Row],[仕入単価+国内送料]]</f>
        <v/>
      </c>
      <c r="Y183" s="139" t="n">
        <v>0.08</v>
      </c>
      <c r="Z183" s="167" t="n"/>
      <c r="AA183" s="167" t="n"/>
      <c r="AB183" s="167" t="n"/>
      <c r="AC183" s="293" t="n"/>
      <c r="AD183" s="167" t="n"/>
      <c r="AE183" s="167" t="n"/>
      <c r="AF183" s="167" t="n"/>
      <c r="AG183" s="144" t="n"/>
    </row>
    <row r="184" ht="18" customHeight="1" s="207">
      <c r="A184" s="166" t="inlineStr">
        <is>
          <t>精肉</t>
        </is>
      </c>
      <c r="B184" s="167" t="inlineStr">
        <is>
          <t>和牛</t>
        </is>
      </c>
      <c r="C184" s="167" t="inlineStr">
        <is>
          <t>GOODGOOD</t>
        </is>
      </c>
      <c r="D184" s="143">
        <f>"PRD_SNJ_"&amp;
_xlfn.XLOOKUP(商品マスタ[[#This Row],[仕入先]],テーブル1[仕入先名],テーブル1[仕入先コード],"XXX",0,1)&amp;
"_"&amp;
商品マスタ[[#This Row],[シリアル]]&amp;
"_"&amp;
TEXT(COUNTIFS(商品マスタ!$C$3:C184,商品マスタ[[#This Row],[仕入先]],商品マスタ!$E$3:E184,商品マスタ[[#This Row],[商品名]]), "00")</f>
        <v/>
      </c>
      <c r="E184" s="167" t="inlineStr">
        <is>
          <t>阿蘇赤身和牛　ミノ（第一胃）</t>
        </is>
      </c>
      <c r="F184" s="167">
        <f>IF(COUNTIFS($C$3:C184,商品マスタ[[#This Row],[仕入先]],$E$3:E184,商品マスタ[[#This Row],[商品名]]) = 1, 1,0)</f>
        <v/>
      </c>
      <c r="G184" s="133">
        <f>TEXT(SUMIF($C$3:C184,商品マスタ[[#This Row],[仕入先]],$F$3:F184), "0000")</f>
        <v/>
      </c>
      <c r="H184" s="167" t="inlineStr">
        <is>
          <t>kg</t>
        </is>
      </c>
      <c r="I184" s="167" t="inlineStr">
        <is>
          <t>約2.0kg/個</t>
        </is>
      </c>
      <c r="J184" s="167" t="inlineStr">
        <is>
          <t>1個</t>
        </is>
      </c>
      <c r="K184" s="167" t="inlineStr">
        <is>
          <t>ブロック</t>
        </is>
      </c>
      <c r="L184" s="289" t="n">
        <v>3500</v>
      </c>
      <c r="M184" s="157" t="n">
        <v>45834</v>
      </c>
      <c r="N184" s="289" t="n"/>
      <c r="O184" s="290">
        <f>IF(COUNT(商品マスタ[[#This Row],[参考上代
（税込)]]) &gt; 0, (商品マスタ[[#This Row],[参考上代
（税込)]]-商品マスタ[[#This Row],[国内定価
（15％）]])/(商品マスタ[[#This Row],[参考上代
（税込)]]/1.08), "")</f>
        <v/>
      </c>
      <c r="P184" s="136" t="n">
        <v>0.1</v>
      </c>
      <c r="Q184" s="291">
        <f>商品マスタ[[#This Row],[仕入
単価]]*商品マスタ[[#This Row],[標準国内送料率]]</f>
        <v/>
      </c>
      <c r="R184" s="289" t="n"/>
      <c r="S184" s="289">
        <f>IF(ISBLANK(商品マスタ[[#This Row],[実績
国内送料]]),商品マスタ[[#This Row],[標準国内送料]],)</f>
        <v/>
      </c>
      <c r="T184" s="289">
        <f>商品マスタ[[#This Row],[仕入
単価]]+商品マスタ[[#This Row],[国内送料]]</f>
        <v/>
      </c>
      <c r="U184" s="289">
        <f>ROUNDUP(商品マスタ[[#This Row],[仕入単価+国内送料]]/0.8,-1)</f>
        <v/>
      </c>
      <c r="V184" s="289">
        <f>商品マスタ[[#This Row],[海外定価
（20％）]]-商品マスタ[[#This Row],[仕入単価+国内送料]]</f>
        <v/>
      </c>
      <c r="W184" s="167">
        <f>ROUNDUP(商品マスタ[[#This Row],[仕入単価+国内送料]]/0.85,-1)</f>
        <v/>
      </c>
      <c r="X184" s="289">
        <f>商品マスタ[[#This Row],[国内定価
（15％）]]-商品マスタ[[#This Row],[仕入単価+国内送料]]</f>
        <v/>
      </c>
      <c r="Y184" s="139" t="n">
        <v>0.08</v>
      </c>
      <c r="Z184" s="167" t="n"/>
      <c r="AA184" s="167" t="n"/>
      <c r="AB184" s="167" t="n"/>
      <c r="AC184" s="293" t="n"/>
      <c r="AD184" s="167" t="n"/>
      <c r="AE184" s="167" t="n"/>
      <c r="AF184" s="167" t="n"/>
      <c r="AG184" s="144" t="n"/>
    </row>
    <row r="185" ht="18" customHeight="1" s="207">
      <c r="A185" s="166" t="inlineStr">
        <is>
          <t>精肉</t>
        </is>
      </c>
      <c r="B185" s="167" t="inlineStr">
        <is>
          <t>和牛</t>
        </is>
      </c>
      <c r="C185" s="167" t="inlineStr">
        <is>
          <t>GOODGOOD</t>
        </is>
      </c>
      <c r="D185" s="143">
        <f>"PRD_SNJ_"&amp;
_xlfn.XLOOKUP(商品マスタ[[#This Row],[仕入先]],テーブル1[仕入先名],テーブル1[仕入先コード],"XXX",0,1)&amp;
"_"&amp;
商品マスタ[[#This Row],[シリアル]]&amp;
"_"&amp;
TEXT(COUNTIFS(商品マスタ!$C$3:C185,商品マスタ[[#This Row],[仕入先]],商品マスタ!$E$3:E185,商品マスタ[[#This Row],[商品名]]), "00")</f>
        <v/>
      </c>
      <c r="E185" s="167" t="inlineStr">
        <is>
          <t>阿蘇赤身和牛　ハチノス（第二胃）</t>
        </is>
      </c>
      <c r="F185" s="167">
        <f>IF(COUNTIFS($C$3:C185,商品マスタ[[#This Row],[仕入先]],$E$3:E185,商品マスタ[[#This Row],[商品名]]) = 1, 1,0)</f>
        <v/>
      </c>
      <c r="G185" s="133">
        <f>TEXT(SUMIF($C$3:C185,商品マスタ[[#This Row],[仕入先]],$F$3:F185), "0000")</f>
        <v/>
      </c>
      <c r="H185" s="167" t="inlineStr">
        <is>
          <t>kg</t>
        </is>
      </c>
      <c r="I185" s="167" t="inlineStr">
        <is>
          <t>約1.0kg/個</t>
        </is>
      </c>
      <c r="J185" s="167" t="inlineStr">
        <is>
          <t>1個</t>
        </is>
      </c>
      <c r="K185" s="167" t="inlineStr">
        <is>
          <t>ブロック</t>
        </is>
      </c>
      <c r="L185" s="289" t="n">
        <v>2900</v>
      </c>
      <c r="M185" s="157" t="n">
        <v>45834</v>
      </c>
      <c r="N185" s="289" t="n"/>
      <c r="O185" s="290">
        <f>IF(COUNT(商品マスタ[[#This Row],[参考上代
（税込)]]) &gt; 0, (商品マスタ[[#This Row],[参考上代
（税込)]]-商品マスタ[[#This Row],[国内定価
（15％）]])/(商品マスタ[[#This Row],[参考上代
（税込)]]/1.08), "")</f>
        <v/>
      </c>
      <c r="P185" s="136" t="n">
        <v>0.1</v>
      </c>
      <c r="Q185" s="291">
        <f>商品マスタ[[#This Row],[仕入
単価]]*商品マスタ[[#This Row],[標準国内送料率]]</f>
        <v/>
      </c>
      <c r="R185" s="289" t="n"/>
      <c r="S185" s="289">
        <f>IF(ISBLANK(商品マスタ[[#This Row],[実績
国内送料]]),商品マスタ[[#This Row],[標準国内送料]],)</f>
        <v/>
      </c>
      <c r="T185" s="289">
        <f>商品マスタ[[#This Row],[仕入
単価]]+商品マスタ[[#This Row],[国内送料]]</f>
        <v/>
      </c>
      <c r="U185" s="289">
        <f>ROUNDUP(商品マスタ[[#This Row],[仕入単価+国内送料]]/0.8,-1)</f>
        <v/>
      </c>
      <c r="V185" s="289">
        <f>商品マスタ[[#This Row],[海外定価
（20％）]]-商品マスタ[[#This Row],[仕入単価+国内送料]]</f>
        <v/>
      </c>
      <c r="W185" s="167">
        <f>ROUNDUP(商品マスタ[[#This Row],[仕入単価+国内送料]]/0.85,-1)</f>
        <v/>
      </c>
      <c r="X185" s="289">
        <f>商品マスタ[[#This Row],[国内定価
（15％）]]-商品マスタ[[#This Row],[仕入単価+国内送料]]</f>
        <v/>
      </c>
      <c r="Y185" s="139" t="n">
        <v>0.08</v>
      </c>
      <c r="Z185" s="167" t="n"/>
      <c r="AA185" s="167" t="n"/>
      <c r="AB185" s="167" t="n"/>
      <c r="AC185" s="293" t="n"/>
      <c r="AD185" s="167" t="n"/>
      <c r="AE185" s="167" t="n"/>
      <c r="AF185" s="167" t="n"/>
      <c r="AG185" s="144" t="n"/>
    </row>
    <row r="186" ht="18" customHeight="1" s="207">
      <c r="A186" s="166" t="inlineStr">
        <is>
          <t>精肉</t>
        </is>
      </c>
      <c r="B186" s="167" t="inlineStr">
        <is>
          <t>和牛</t>
        </is>
      </c>
      <c r="C186" s="167" t="inlineStr">
        <is>
          <t>GOODGOOD</t>
        </is>
      </c>
      <c r="D186" s="143">
        <f>"PRD_SNJ_"&amp;
_xlfn.XLOOKUP(商品マスタ[[#This Row],[仕入先]],テーブル1[仕入先名],テーブル1[仕入先コード],"XXX",0,1)&amp;
"_"&amp;
商品マスタ[[#This Row],[シリアル]]&amp;
"_"&amp;
TEXT(COUNTIFS(商品マスタ!$C$3:C186,商品マスタ[[#This Row],[仕入先]],商品マスタ!$E$3:E186,商品マスタ[[#This Row],[商品名]]), "00")</f>
        <v/>
      </c>
      <c r="E186" s="167" t="inlineStr">
        <is>
          <t>阿蘇赤身和牛　センマイ（第三胃）</t>
        </is>
      </c>
      <c r="F186" s="167">
        <f>IF(COUNTIFS($C$3:C186,商品マスタ[[#This Row],[仕入先]],$E$3:E186,商品マスタ[[#This Row],[商品名]]) = 1, 1,0)</f>
        <v/>
      </c>
      <c r="G186" s="133">
        <f>TEXT(SUMIF($C$3:C186,商品マスタ[[#This Row],[仕入先]],$F$3:F186), "0000")</f>
        <v/>
      </c>
      <c r="H186" s="167" t="inlineStr">
        <is>
          <t>kg</t>
        </is>
      </c>
      <c r="I186" s="167" t="inlineStr">
        <is>
          <t>約1.5kg/個</t>
        </is>
      </c>
      <c r="J186" s="167" t="inlineStr">
        <is>
          <t>1個</t>
        </is>
      </c>
      <c r="K186" s="167" t="inlineStr">
        <is>
          <t>ブロック</t>
        </is>
      </c>
      <c r="L186" s="289" t="n">
        <v>2900</v>
      </c>
      <c r="M186" s="157" t="n">
        <v>45834</v>
      </c>
      <c r="N186" s="289" t="n"/>
      <c r="O186" s="290">
        <f>IF(COUNT(商品マスタ[[#This Row],[参考上代
（税込)]]) &gt; 0, (商品マスタ[[#This Row],[参考上代
（税込)]]-商品マスタ[[#This Row],[国内定価
（15％）]])/(商品マスタ[[#This Row],[参考上代
（税込)]]/1.08), "")</f>
        <v/>
      </c>
      <c r="P186" s="136" t="n">
        <v>0.1</v>
      </c>
      <c r="Q186" s="291">
        <f>商品マスタ[[#This Row],[仕入
単価]]*商品マスタ[[#This Row],[標準国内送料率]]</f>
        <v/>
      </c>
      <c r="R186" s="289" t="n"/>
      <c r="S186" s="289">
        <f>IF(ISBLANK(商品マスタ[[#This Row],[実績
国内送料]]),商品マスタ[[#This Row],[標準国内送料]],)</f>
        <v/>
      </c>
      <c r="T186" s="289">
        <f>商品マスタ[[#This Row],[仕入
単価]]+商品マスタ[[#This Row],[国内送料]]</f>
        <v/>
      </c>
      <c r="U186" s="289">
        <f>ROUNDUP(商品マスタ[[#This Row],[仕入単価+国内送料]]/0.8,-1)</f>
        <v/>
      </c>
      <c r="V186" s="289">
        <f>商品マスタ[[#This Row],[海外定価
（20％）]]-商品マスタ[[#This Row],[仕入単価+国内送料]]</f>
        <v/>
      </c>
      <c r="W186" s="167">
        <f>ROUNDUP(商品マスタ[[#This Row],[仕入単価+国内送料]]/0.85,-1)</f>
        <v/>
      </c>
      <c r="X186" s="289">
        <f>商品マスタ[[#This Row],[国内定価
（15％）]]-商品マスタ[[#This Row],[仕入単価+国内送料]]</f>
        <v/>
      </c>
      <c r="Y186" s="139" t="n">
        <v>0.08</v>
      </c>
      <c r="Z186" s="167" t="n"/>
      <c r="AA186" s="167" t="n"/>
      <c r="AB186" s="167" t="n"/>
      <c r="AC186" s="293" t="n"/>
      <c r="AD186" s="167" t="n"/>
      <c r="AE186" s="167" t="n"/>
      <c r="AF186" s="167" t="n"/>
      <c r="AG186" s="144" t="n"/>
    </row>
    <row r="187" ht="18" customHeight="1" s="207">
      <c r="A187" s="166" t="inlineStr">
        <is>
          <t>精肉</t>
        </is>
      </c>
      <c r="B187" s="167" t="inlineStr">
        <is>
          <t>和牛</t>
        </is>
      </c>
      <c r="C187" s="167" t="inlineStr">
        <is>
          <t>GOODGOOD</t>
        </is>
      </c>
      <c r="D187" s="143">
        <f>"PRD_SNJ_"&amp;
_xlfn.XLOOKUP(商品マスタ[[#This Row],[仕入先]],テーブル1[仕入先名],テーブル1[仕入先コード],"XXX",0,1)&amp;
"_"&amp;
商品マスタ[[#This Row],[シリアル]]&amp;
"_"&amp;
TEXT(COUNTIFS(商品マスタ!$C$3:C187,商品マスタ[[#This Row],[仕入先]],商品マスタ!$E$3:E187,商品マスタ[[#This Row],[商品名]]), "00")</f>
        <v/>
      </c>
      <c r="E187" s="167" t="inlineStr">
        <is>
          <t>阿蘇赤身和牛　ギアラ_赤センマイ（第四胃）</t>
        </is>
      </c>
      <c r="F187" s="167">
        <f>IF(COUNTIFS($C$3:C187,商品マスタ[[#This Row],[仕入先]],$E$3:E187,商品マスタ[[#This Row],[商品名]]) = 1, 1,0)</f>
        <v/>
      </c>
      <c r="G187" s="133">
        <f>TEXT(SUMIF($C$3:C187,商品マスタ[[#This Row],[仕入先]],$F$3:F187), "0000")</f>
        <v/>
      </c>
      <c r="H187" s="167" t="inlineStr">
        <is>
          <t>kg</t>
        </is>
      </c>
      <c r="I187" s="167" t="inlineStr">
        <is>
          <t>約1.0kg/個</t>
        </is>
      </c>
      <c r="J187" s="167" t="inlineStr">
        <is>
          <t>1個</t>
        </is>
      </c>
      <c r="K187" s="167" t="inlineStr">
        <is>
          <t>ブロック</t>
        </is>
      </c>
      <c r="L187" s="289" t="n">
        <v>2200</v>
      </c>
      <c r="M187" s="157" t="n">
        <v>45834</v>
      </c>
      <c r="N187" s="289" t="n"/>
      <c r="O187" s="290">
        <f>IF(COUNT(商品マスタ[[#This Row],[参考上代
（税込)]]) &gt; 0, (商品マスタ[[#This Row],[参考上代
（税込)]]-商品マスタ[[#This Row],[国内定価
（15％）]])/(商品マスタ[[#This Row],[参考上代
（税込)]]/1.08), "")</f>
        <v/>
      </c>
      <c r="P187" s="136" t="n">
        <v>0.1</v>
      </c>
      <c r="Q187" s="291">
        <f>商品マスタ[[#This Row],[仕入
単価]]*商品マスタ[[#This Row],[標準国内送料率]]</f>
        <v/>
      </c>
      <c r="R187" s="289" t="n"/>
      <c r="S187" s="289">
        <f>IF(ISBLANK(商品マスタ[[#This Row],[実績
国内送料]]),商品マスタ[[#This Row],[標準国内送料]],)</f>
        <v/>
      </c>
      <c r="T187" s="289">
        <f>商品マスタ[[#This Row],[仕入
単価]]+商品マスタ[[#This Row],[国内送料]]</f>
        <v/>
      </c>
      <c r="U187" s="289">
        <f>ROUNDUP(商品マスタ[[#This Row],[仕入単価+国内送料]]/0.8,-1)</f>
        <v/>
      </c>
      <c r="V187" s="289">
        <f>商品マスタ[[#This Row],[海外定価
（20％）]]-商品マスタ[[#This Row],[仕入単価+国内送料]]</f>
        <v/>
      </c>
      <c r="W187" s="167">
        <f>ROUNDUP(商品マスタ[[#This Row],[仕入単価+国内送料]]/0.85,-1)</f>
        <v/>
      </c>
      <c r="X187" s="289">
        <f>商品マスタ[[#This Row],[国内定価
（15％）]]-商品マスタ[[#This Row],[仕入単価+国内送料]]</f>
        <v/>
      </c>
      <c r="Y187" s="139" t="n">
        <v>0.08</v>
      </c>
      <c r="Z187" s="167" t="n"/>
      <c r="AA187" s="167" t="n"/>
      <c r="AB187" s="167" t="n"/>
      <c r="AC187" s="293" t="n"/>
      <c r="AD187" s="167" t="n"/>
      <c r="AE187" s="167" t="n"/>
      <c r="AF187" s="167" t="n"/>
      <c r="AG187" s="144" t="n"/>
    </row>
    <row r="188" ht="18" customHeight="1" s="207">
      <c r="A188" s="166" t="inlineStr">
        <is>
          <t>精肉</t>
        </is>
      </c>
      <c r="B188" s="167" t="inlineStr">
        <is>
          <t>和牛</t>
        </is>
      </c>
      <c r="C188" s="167" t="inlineStr">
        <is>
          <t>GOODGOOD</t>
        </is>
      </c>
      <c r="D188" s="143">
        <f>"PRD_SNJ_"&amp;
_xlfn.XLOOKUP(商品マスタ[[#This Row],[仕入先]],テーブル1[仕入先名],テーブル1[仕入先コード],"XXX",0,1)&amp;
"_"&amp;
商品マスタ[[#This Row],[シリアル]]&amp;
"_"&amp;
TEXT(COUNTIFS(商品マスタ!$C$3:C188,商品マスタ[[#This Row],[仕入先]],商品マスタ!$E$3:E188,商品マスタ[[#This Row],[商品名]]), "00")</f>
        <v/>
      </c>
      <c r="E188" s="167" t="inlineStr">
        <is>
          <t>阿蘇赤身和牛　小腸（マルチョウ）</t>
        </is>
      </c>
      <c r="F188" s="167">
        <f>IF(COUNTIFS($C$3:C188,商品マスタ[[#This Row],[仕入先]],$E$3:E188,商品マスタ[[#This Row],[商品名]]) = 1, 1,0)</f>
        <v/>
      </c>
      <c r="G188" s="133">
        <f>TEXT(SUMIF($C$3:C188,商品マスタ[[#This Row],[仕入先]],$F$3:F188), "0000")</f>
        <v/>
      </c>
      <c r="H188" s="167" t="inlineStr">
        <is>
          <t>kg</t>
        </is>
      </c>
      <c r="I188" s="167" t="inlineStr">
        <is>
          <t>約7.5kg/個</t>
        </is>
      </c>
      <c r="J188" s="167" t="inlineStr">
        <is>
          <t>1個</t>
        </is>
      </c>
      <c r="K188" s="167" t="inlineStr">
        <is>
          <t>ブロック</t>
        </is>
      </c>
      <c r="L188" s="289" t="n">
        <v>2800</v>
      </c>
      <c r="M188" s="157" t="n">
        <v>45834</v>
      </c>
      <c r="N188" s="289" t="n"/>
      <c r="O188" s="290">
        <f>IF(COUNT(商品マスタ[[#This Row],[参考上代
（税込)]]) &gt; 0, (商品マスタ[[#This Row],[参考上代
（税込)]]-商品マスタ[[#This Row],[国内定価
（15％）]])/(商品マスタ[[#This Row],[参考上代
（税込)]]/1.08), "")</f>
        <v/>
      </c>
      <c r="P188" s="136" t="n">
        <v>0.1</v>
      </c>
      <c r="Q188" s="291">
        <f>商品マスタ[[#This Row],[仕入
単価]]*商品マスタ[[#This Row],[標準国内送料率]]</f>
        <v/>
      </c>
      <c r="R188" s="289" t="n"/>
      <c r="S188" s="289">
        <f>IF(ISBLANK(商品マスタ[[#This Row],[実績
国内送料]]),商品マスタ[[#This Row],[標準国内送料]],)</f>
        <v/>
      </c>
      <c r="T188" s="289">
        <f>商品マスタ[[#This Row],[仕入
単価]]+商品マスタ[[#This Row],[国内送料]]</f>
        <v/>
      </c>
      <c r="U188" s="289">
        <f>ROUNDUP(商品マスタ[[#This Row],[仕入単価+国内送料]]/0.8,-1)</f>
        <v/>
      </c>
      <c r="V188" s="289">
        <f>商品マスタ[[#This Row],[海外定価
（20％）]]-商品マスタ[[#This Row],[仕入単価+国内送料]]</f>
        <v/>
      </c>
      <c r="W188" s="167">
        <f>ROUNDUP(商品マスタ[[#This Row],[仕入単価+国内送料]]/0.85,-1)</f>
        <v/>
      </c>
      <c r="X188" s="289">
        <f>商品マスタ[[#This Row],[国内定価
（15％）]]-商品マスタ[[#This Row],[仕入単価+国内送料]]</f>
        <v/>
      </c>
      <c r="Y188" s="139" t="n">
        <v>0.08</v>
      </c>
      <c r="Z188" s="167" t="n"/>
      <c r="AA188" s="167" t="n"/>
      <c r="AB188" s="167" t="n"/>
      <c r="AC188" s="293" t="n"/>
      <c r="AD188" s="167" t="n"/>
      <c r="AE188" s="167" t="n"/>
      <c r="AF188" s="167" t="n"/>
      <c r="AG188" s="144" t="n"/>
    </row>
    <row r="189" ht="18" customHeight="1" s="207">
      <c r="A189" s="166" t="inlineStr">
        <is>
          <t>精肉</t>
        </is>
      </c>
      <c r="B189" s="167" t="inlineStr">
        <is>
          <t>和牛</t>
        </is>
      </c>
      <c r="C189" s="167" t="inlineStr">
        <is>
          <t>GOODGOOD</t>
        </is>
      </c>
      <c r="D189" s="143">
        <f>"PRD_SNJ_"&amp;
_xlfn.XLOOKUP(商品マスタ[[#This Row],[仕入先]],テーブル1[仕入先名],テーブル1[仕入先コード],"XXX",0,1)&amp;
"_"&amp;
商品マスタ[[#This Row],[シリアル]]&amp;
"_"&amp;
TEXT(COUNTIFS(商品マスタ!$C$3:C189,商品マスタ[[#This Row],[仕入先]],商品マスタ!$E$3:E189,商品マスタ[[#This Row],[商品名]]), "00")</f>
        <v/>
      </c>
      <c r="E189" s="167" t="inlineStr">
        <is>
          <t>阿蘇赤身和牛　大腸（シマチョウ）</t>
        </is>
      </c>
      <c r="F189" s="167">
        <f>IF(COUNTIFS($C$3:C189,商品マスタ[[#This Row],[仕入先]],$E$3:E189,商品マスタ[[#This Row],[商品名]]) = 1, 1,0)</f>
        <v/>
      </c>
      <c r="G189" s="133">
        <f>TEXT(SUMIF($C$3:C189,商品マスタ[[#This Row],[仕入先]],$F$3:F189), "0000")</f>
        <v/>
      </c>
      <c r="H189" s="167" t="inlineStr">
        <is>
          <t>kg</t>
        </is>
      </c>
      <c r="I189" s="167" t="inlineStr">
        <is>
          <t>約4.0kg/個</t>
        </is>
      </c>
      <c r="J189" s="167" t="inlineStr">
        <is>
          <t>1個</t>
        </is>
      </c>
      <c r="K189" s="167" t="inlineStr">
        <is>
          <t>ブロック</t>
        </is>
      </c>
      <c r="L189" s="289" t="n">
        <v>2500</v>
      </c>
      <c r="M189" s="157" t="n">
        <v>45834</v>
      </c>
      <c r="N189" s="289" t="n"/>
      <c r="O189" s="290">
        <f>IF(COUNT(商品マスタ[[#This Row],[参考上代
（税込)]]) &gt; 0, (商品マスタ[[#This Row],[参考上代
（税込)]]-商品マスタ[[#This Row],[国内定価
（15％）]])/(商品マスタ[[#This Row],[参考上代
（税込)]]/1.08), "")</f>
        <v/>
      </c>
      <c r="P189" s="136" t="n">
        <v>0.1</v>
      </c>
      <c r="Q189" s="291">
        <f>商品マスタ[[#This Row],[仕入
単価]]*商品マスタ[[#This Row],[標準国内送料率]]</f>
        <v/>
      </c>
      <c r="R189" s="289" t="n"/>
      <c r="S189" s="289">
        <f>IF(ISBLANK(商品マスタ[[#This Row],[実績
国内送料]]),商品マスタ[[#This Row],[標準国内送料]],)</f>
        <v/>
      </c>
      <c r="T189" s="289">
        <f>商品マスタ[[#This Row],[仕入
単価]]+商品マスタ[[#This Row],[国内送料]]</f>
        <v/>
      </c>
      <c r="U189" s="289">
        <f>ROUNDUP(商品マスタ[[#This Row],[仕入単価+国内送料]]/0.8,-1)</f>
        <v/>
      </c>
      <c r="V189" s="289">
        <f>商品マスタ[[#This Row],[海外定価
（20％）]]-商品マスタ[[#This Row],[仕入単価+国内送料]]</f>
        <v/>
      </c>
      <c r="W189" s="167">
        <f>ROUNDUP(商品マスタ[[#This Row],[仕入単価+国内送料]]/0.85,-1)</f>
        <v/>
      </c>
      <c r="X189" s="289">
        <f>商品マスタ[[#This Row],[国内定価
（15％）]]-商品マスタ[[#This Row],[仕入単価+国内送料]]</f>
        <v/>
      </c>
      <c r="Y189" s="139" t="n">
        <v>0.08</v>
      </c>
      <c r="Z189" s="167" t="n"/>
      <c r="AA189" s="167" t="n"/>
      <c r="AB189" s="167" t="n"/>
      <c r="AC189" s="293" t="n"/>
      <c r="AD189" s="167" t="n"/>
      <c r="AE189" s="167" t="n"/>
      <c r="AF189" s="167" t="n"/>
      <c r="AG189" s="144" t="n"/>
    </row>
    <row r="190" ht="18" customHeight="1" s="207">
      <c r="A190" s="166" t="inlineStr">
        <is>
          <t>精肉</t>
        </is>
      </c>
      <c r="B190" s="167" t="inlineStr">
        <is>
          <t>和牛</t>
        </is>
      </c>
      <c r="C190" s="167" t="inlineStr">
        <is>
          <t>GOODGOOD</t>
        </is>
      </c>
      <c r="D190" s="143">
        <f>"PRD_SNJ_"&amp;
_xlfn.XLOOKUP(商品マスタ[[#This Row],[仕入先]],テーブル1[仕入先名],テーブル1[仕入先コード],"XXX",0,1)&amp;
"_"&amp;
商品マスタ[[#This Row],[シリアル]]&amp;
"_"&amp;
TEXT(COUNTIFS(商品マスタ!$C$3:C190,商品マスタ[[#This Row],[仕入先]],商品マスタ!$E$3:E190,商品マスタ[[#This Row],[商品名]]), "00")</f>
        <v/>
      </c>
      <c r="E190" s="167" t="inlineStr">
        <is>
          <t>阿蘇赤身和牛　テール</t>
        </is>
      </c>
      <c r="F190" s="167">
        <f>IF(COUNTIFS($C$3:C190,商品マスタ[[#This Row],[仕入先]],$E$3:E190,商品マスタ[[#This Row],[商品名]]) = 1, 1,0)</f>
        <v/>
      </c>
      <c r="G190" s="133">
        <f>TEXT(SUMIF($C$3:C190,商品マスタ[[#This Row],[仕入先]],$F$3:F190), "0000")</f>
        <v/>
      </c>
      <c r="H190" s="167" t="inlineStr">
        <is>
          <t>kg</t>
        </is>
      </c>
      <c r="I190" s="167" t="inlineStr">
        <is>
          <t>約2.0kg/個</t>
        </is>
      </c>
      <c r="J190" s="167" t="inlineStr">
        <is>
          <t>1個</t>
        </is>
      </c>
      <c r="K190" s="167" t="inlineStr">
        <is>
          <t>ブロック</t>
        </is>
      </c>
      <c r="L190" s="289" t="n">
        <v>2500</v>
      </c>
      <c r="M190" s="157" t="n">
        <v>45834</v>
      </c>
      <c r="N190" s="289" t="n"/>
      <c r="O190" s="290">
        <f>IF(COUNT(商品マスタ[[#This Row],[参考上代
（税込)]]) &gt; 0, (商品マスタ[[#This Row],[参考上代
（税込)]]-商品マスタ[[#This Row],[国内定価
（15％）]])/(商品マスタ[[#This Row],[参考上代
（税込)]]/1.08), "")</f>
        <v/>
      </c>
      <c r="P190" s="136" t="n">
        <v>0.1</v>
      </c>
      <c r="Q190" s="291">
        <f>商品マスタ[[#This Row],[仕入
単価]]*商品マスタ[[#This Row],[標準国内送料率]]</f>
        <v/>
      </c>
      <c r="R190" s="289" t="n"/>
      <c r="S190" s="289">
        <f>IF(ISBLANK(商品マスタ[[#This Row],[実績
国内送料]]),商品マスタ[[#This Row],[標準国内送料]],)</f>
        <v/>
      </c>
      <c r="T190" s="289">
        <f>商品マスタ[[#This Row],[仕入
単価]]+商品マスタ[[#This Row],[国内送料]]</f>
        <v/>
      </c>
      <c r="U190" s="289">
        <f>ROUNDUP(商品マスタ[[#This Row],[仕入単価+国内送料]]/0.8,-1)</f>
        <v/>
      </c>
      <c r="V190" s="289">
        <f>商品マスタ[[#This Row],[海外定価
（20％）]]-商品マスタ[[#This Row],[仕入単価+国内送料]]</f>
        <v/>
      </c>
      <c r="W190" s="167">
        <f>ROUNDUP(商品マスタ[[#This Row],[仕入単価+国内送料]]/0.85,-1)</f>
        <v/>
      </c>
      <c r="X190" s="289">
        <f>商品マスタ[[#This Row],[国内定価
（15％）]]-商品マスタ[[#This Row],[仕入単価+国内送料]]</f>
        <v/>
      </c>
      <c r="Y190" s="139" t="n">
        <v>0.08</v>
      </c>
      <c r="Z190" s="167" t="n"/>
      <c r="AA190" s="167" t="n"/>
      <c r="AB190" s="167" t="n"/>
      <c r="AC190" s="293" t="n"/>
      <c r="AD190" s="167" t="n"/>
      <c r="AE190" s="167" t="n"/>
      <c r="AF190" s="167" t="n"/>
      <c r="AG190" s="144" t="n"/>
    </row>
    <row r="191" ht="18" customHeight="1" s="207">
      <c r="A191" s="166" t="inlineStr">
        <is>
          <t>精肉</t>
        </is>
      </c>
      <c r="B191" s="167" t="inlineStr">
        <is>
          <t>和牛</t>
        </is>
      </c>
      <c r="C191" s="167" t="inlineStr">
        <is>
          <t>GOODGOOD</t>
        </is>
      </c>
      <c r="D191" s="143">
        <f>"PRD_SNJ_"&amp;
_xlfn.XLOOKUP(商品マスタ[[#This Row],[仕入先]],テーブル1[仕入先名],テーブル1[仕入先コード],"XXX",0,1)&amp;
"_"&amp;
商品マスタ[[#This Row],[シリアル]]&amp;
"_"&amp;
TEXT(COUNTIFS(商品マスタ!$C$3:C191,商品マスタ[[#This Row],[仕入先]],商品マスタ!$E$3:E191,商品マスタ[[#This Row],[商品名]]), "00")</f>
        <v/>
      </c>
      <c r="E191" s="167" t="inlineStr">
        <is>
          <t>阿蘇赤身和牛　リブフィンガー</t>
        </is>
      </c>
      <c r="F191" s="167">
        <f>IF(COUNTIFS($C$3:C191,商品マスタ[[#This Row],[仕入先]],$E$3:E191,商品マスタ[[#This Row],[商品名]]) = 1, 1,0)</f>
        <v/>
      </c>
      <c r="G191" s="133">
        <f>TEXT(SUMIF($C$3:C191,商品マスタ[[#This Row],[仕入先]],$F$3:F191), "0000")</f>
        <v/>
      </c>
      <c r="H191" s="167" t="inlineStr">
        <is>
          <t>kg</t>
        </is>
      </c>
      <c r="I191" s="167" t="inlineStr">
        <is>
          <t>約3.0kg/個</t>
        </is>
      </c>
      <c r="J191" s="167" t="inlineStr">
        <is>
          <t>1個</t>
        </is>
      </c>
      <c r="K191" s="167" t="inlineStr">
        <is>
          <t>骨周り・中落ちカルビ</t>
        </is>
      </c>
      <c r="L191" s="289" t="n">
        <v>3500</v>
      </c>
      <c r="M191" s="157" t="n">
        <v>45834</v>
      </c>
      <c r="N191" s="289" t="n"/>
      <c r="O191" s="290">
        <f>IF(COUNT(商品マスタ[[#This Row],[参考上代
（税込)]]) &gt; 0, (商品マスタ[[#This Row],[参考上代
（税込)]]-商品マスタ[[#This Row],[国内定価
（15％）]])/(商品マスタ[[#This Row],[参考上代
（税込)]]/1.08), "")</f>
        <v/>
      </c>
      <c r="P191" s="136" t="n">
        <v>0.1</v>
      </c>
      <c r="Q191" s="291">
        <f>商品マスタ[[#This Row],[仕入
単価]]*商品マスタ[[#This Row],[標準国内送料率]]</f>
        <v/>
      </c>
      <c r="R191" s="289" t="n"/>
      <c r="S191" s="289">
        <f>IF(ISBLANK(商品マスタ[[#This Row],[実績
国内送料]]),商品マスタ[[#This Row],[標準国内送料]],)</f>
        <v/>
      </c>
      <c r="T191" s="289">
        <f>商品マスタ[[#This Row],[仕入
単価]]+商品マスタ[[#This Row],[国内送料]]</f>
        <v/>
      </c>
      <c r="U191" s="289">
        <f>ROUNDUP(商品マスタ[[#This Row],[仕入単価+国内送料]]/0.8,-1)</f>
        <v/>
      </c>
      <c r="V191" s="289">
        <f>商品マスタ[[#This Row],[海外定価
（20％）]]-商品マスタ[[#This Row],[仕入単価+国内送料]]</f>
        <v/>
      </c>
      <c r="W191" s="167">
        <f>ROUNDUP(商品マスタ[[#This Row],[仕入単価+国内送料]]/0.85,-1)</f>
        <v/>
      </c>
      <c r="X191" s="289">
        <f>商品マスタ[[#This Row],[国内定価
（15％）]]-商品マスタ[[#This Row],[仕入単価+国内送料]]</f>
        <v/>
      </c>
      <c r="Y191" s="139" t="n">
        <v>0.08</v>
      </c>
      <c r="Z191" s="167" t="n"/>
      <c r="AA191" s="167" t="n"/>
      <c r="AB191" s="167" t="n"/>
      <c r="AC191" s="293" t="n"/>
      <c r="AD191" s="167" t="n"/>
      <c r="AE191" s="167" t="n"/>
      <c r="AF191" s="167" t="n"/>
      <c r="AG191" s="144" t="n"/>
    </row>
    <row r="192" ht="18" customHeight="1" s="207">
      <c r="A192" s="166" t="inlineStr">
        <is>
          <t>精肉</t>
        </is>
      </c>
      <c r="B192" s="167" t="inlineStr">
        <is>
          <t>和牛</t>
        </is>
      </c>
      <c r="C192" s="167" t="inlineStr">
        <is>
          <t>GOODGOOD</t>
        </is>
      </c>
      <c r="D192" s="143">
        <f>"PRD_SNJ_"&amp;
_xlfn.XLOOKUP(商品マスタ[[#This Row],[仕入先]],テーブル1[仕入先名],テーブル1[仕入先コード],"XXX",0,1)&amp;
"_"&amp;
商品マスタ[[#This Row],[シリアル]]&amp;
"_"&amp;
TEXT(COUNTIFS(商品マスタ!$C$3:C192,商品マスタ[[#This Row],[仕入先]],商品マスタ!$E$3:E192,商品マスタ[[#This Row],[商品名]]), "00")</f>
        <v/>
      </c>
      <c r="E192" s="167" t="inlineStr">
        <is>
          <t>阿蘇赤身和牛　牛スジ</t>
        </is>
      </c>
      <c r="F192" s="167">
        <f>IF(COUNTIFS($C$3:C192,商品マスタ[[#This Row],[仕入先]],$E$3:E192,商品マスタ[[#This Row],[商品名]]) = 1, 1,0)</f>
        <v/>
      </c>
      <c r="G192" s="133">
        <f>TEXT(SUMIF($C$3:C192,商品マスタ[[#This Row],[仕入先]],$F$3:F192), "0000")</f>
        <v/>
      </c>
      <c r="H192" s="167" t="inlineStr">
        <is>
          <t>kg</t>
        </is>
      </c>
      <c r="I192" s="167" t="inlineStr">
        <is>
          <t>約1.0kg/個</t>
        </is>
      </c>
      <c r="J192" s="167" t="inlineStr">
        <is>
          <t>1個</t>
        </is>
      </c>
      <c r="K192" s="167" t="inlineStr">
        <is>
          <t>ブロック</t>
        </is>
      </c>
      <c r="L192" s="289" t="n">
        <v>2300</v>
      </c>
      <c r="M192" s="157" t="n">
        <v>45834</v>
      </c>
      <c r="N192" s="289" t="n"/>
      <c r="O192" s="290">
        <f>IF(COUNT(商品マスタ[[#This Row],[参考上代
（税込)]]) &gt; 0, (商品マスタ[[#This Row],[参考上代
（税込)]]-商品マスタ[[#This Row],[国内定価
（15％）]])/(商品マスタ[[#This Row],[参考上代
（税込)]]/1.08), "")</f>
        <v/>
      </c>
      <c r="P192" s="136" t="n">
        <v>0.1</v>
      </c>
      <c r="Q192" s="291">
        <f>商品マスタ[[#This Row],[仕入
単価]]*商品マスタ[[#This Row],[標準国内送料率]]</f>
        <v/>
      </c>
      <c r="R192" s="289" t="n"/>
      <c r="S192" s="289">
        <f>IF(ISBLANK(商品マスタ[[#This Row],[実績
国内送料]]),商品マスタ[[#This Row],[標準国内送料]],)</f>
        <v/>
      </c>
      <c r="T192" s="289">
        <f>商品マスタ[[#This Row],[仕入
単価]]+商品マスタ[[#This Row],[国内送料]]</f>
        <v/>
      </c>
      <c r="U192" s="289">
        <f>ROUNDUP(商品マスタ[[#This Row],[仕入単価+国内送料]]/0.8,-1)</f>
        <v/>
      </c>
      <c r="V192" s="289">
        <f>商品マスタ[[#This Row],[海外定価
（20％）]]-商品マスタ[[#This Row],[仕入単価+国内送料]]</f>
        <v/>
      </c>
      <c r="W192" s="167">
        <f>ROUNDUP(商品マスタ[[#This Row],[仕入単価+国内送料]]/0.85,-1)</f>
        <v/>
      </c>
      <c r="X192" s="289">
        <f>商品マスタ[[#This Row],[国内定価
（15％）]]-商品マスタ[[#This Row],[仕入単価+国内送料]]</f>
        <v/>
      </c>
      <c r="Y192" s="139" t="n">
        <v>0.08</v>
      </c>
      <c r="Z192" s="167" t="n"/>
      <c r="AA192" s="167" t="n"/>
      <c r="AB192" s="167" t="n"/>
      <c r="AC192" s="293" t="n"/>
      <c r="AD192" s="167" t="n"/>
      <c r="AE192" s="167" t="n"/>
      <c r="AF192" s="167" t="n"/>
      <c r="AG192" s="144" t="n"/>
    </row>
    <row r="193" ht="18" customHeight="1" s="207">
      <c r="A193" s="166" t="inlineStr">
        <is>
          <t>精肉</t>
        </is>
      </c>
      <c r="B193" s="167" t="inlineStr">
        <is>
          <t>和牛</t>
        </is>
      </c>
      <c r="C193" s="167" t="inlineStr">
        <is>
          <t>GOODGOOD</t>
        </is>
      </c>
      <c r="D193" s="143">
        <f>"PRD_SNJ_"&amp;
_xlfn.XLOOKUP(商品マスタ[[#This Row],[仕入先]],テーブル1[仕入先名],テーブル1[仕入先コード],"XXX",0,1)&amp;
"_"&amp;
商品マスタ[[#This Row],[シリアル]]&amp;
"_"&amp;
TEXT(COUNTIFS(商品マスタ!$C$3:C193,商品マスタ[[#This Row],[仕入先]],商品マスタ!$E$3:E193,商品マスタ[[#This Row],[商品名]]), "00")</f>
        <v/>
      </c>
      <c r="E193" s="167" t="inlineStr">
        <is>
          <t>阿蘇赤身和牛　チマキ（スネ）</t>
        </is>
      </c>
      <c r="F193" s="167">
        <f>IF(COUNTIFS($C$3:C193,商品マスタ[[#This Row],[仕入先]],$E$3:E193,商品マスタ[[#This Row],[商品名]]) = 1, 1,0)</f>
        <v/>
      </c>
      <c r="G193" s="133">
        <f>TEXT(SUMIF($C$3:C193,商品マスタ[[#This Row],[仕入先]],$F$3:F193), "0000")</f>
        <v/>
      </c>
      <c r="H193" s="167" t="inlineStr">
        <is>
          <t>kg</t>
        </is>
      </c>
      <c r="I193" s="167" t="inlineStr">
        <is>
          <t>約1.0kg/個</t>
        </is>
      </c>
      <c r="J193" s="167" t="inlineStr">
        <is>
          <t>1個</t>
        </is>
      </c>
      <c r="K193" s="167" t="inlineStr">
        <is>
          <t>ブロック</t>
        </is>
      </c>
      <c r="L193" s="289" t="n">
        <v>2700</v>
      </c>
      <c r="M193" s="157" t="n">
        <v>45834</v>
      </c>
      <c r="N193" s="289" t="n"/>
      <c r="O193" s="290">
        <f>IF(COUNT(商品マスタ[[#This Row],[参考上代
（税込)]]) &gt; 0, (商品マスタ[[#This Row],[参考上代
（税込)]]-商品マスタ[[#This Row],[国内定価
（15％）]])/(商品マスタ[[#This Row],[参考上代
（税込)]]/1.08), "")</f>
        <v/>
      </c>
      <c r="P193" s="136" t="n">
        <v>0.1</v>
      </c>
      <c r="Q193" s="291">
        <f>商品マスタ[[#This Row],[仕入
単価]]*商品マスタ[[#This Row],[標準国内送料率]]</f>
        <v/>
      </c>
      <c r="R193" s="289" t="n"/>
      <c r="S193" s="289">
        <f>IF(ISBLANK(商品マスタ[[#This Row],[実績
国内送料]]),商品マスタ[[#This Row],[標準国内送料]],)</f>
        <v/>
      </c>
      <c r="T193" s="289">
        <f>商品マスタ[[#This Row],[仕入
単価]]+商品マスタ[[#This Row],[国内送料]]</f>
        <v/>
      </c>
      <c r="U193" s="289">
        <f>ROUNDUP(商品マスタ[[#This Row],[仕入単価+国内送料]]/0.8,-1)</f>
        <v/>
      </c>
      <c r="V193" s="289">
        <f>商品マスタ[[#This Row],[海外定価
（20％）]]-商品マスタ[[#This Row],[仕入単価+国内送料]]</f>
        <v/>
      </c>
      <c r="W193" s="167">
        <f>ROUNDUP(商品マスタ[[#This Row],[仕入単価+国内送料]]/0.85,-1)</f>
        <v/>
      </c>
      <c r="X193" s="289">
        <f>商品マスタ[[#This Row],[国内定価
（15％）]]-商品マスタ[[#This Row],[仕入単価+国内送料]]</f>
        <v/>
      </c>
      <c r="Y193" s="139" t="n">
        <v>0.08</v>
      </c>
      <c r="Z193" s="167" t="n"/>
      <c r="AA193" s="167" t="n"/>
      <c r="AB193" s="167" t="n"/>
      <c r="AC193" s="293" t="n"/>
      <c r="AD193" s="167" t="n"/>
      <c r="AE193" s="167" t="n"/>
      <c r="AF193" s="167" t="n"/>
      <c r="AG193" s="144" t="n"/>
    </row>
    <row r="194" ht="18" customHeight="1" s="207">
      <c r="A194" s="166" t="inlineStr">
        <is>
          <t>精肉</t>
        </is>
      </c>
      <c r="B194" s="167" t="inlineStr">
        <is>
          <t>和牛</t>
        </is>
      </c>
      <c r="C194" s="167" t="inlineStr">
        <is>
          <t>GOODGOOD</t>
        </is>
      </c>
      <c r="D194" s="143">
        <f>"PRD_SNJ_"&amp;
_xlfn.XLOOKUP(商品マスタ[[#This Row],[仕入先]],テーブル1[仕入先名],テーブル1[仕入先コード],"XXX",0,1)&amp;
"_"&amp;
商品マスタ[[#This Row],[シリアル]]&amp;
"_"&amp;
TEXT(COUNTIFS(商品マスタ!$C$3:C194,商品マスタ[[#This Row],[仕入先]],商品マスタ!$E$3:E194,商品マスタ[[#This Row],[商品名]]), "00")</f>
        <v/>
      </c>
      <c r="E194" s="167" t="inlineStr">
        <is>
          <t>阿蘇赤身和牛　チチカブ</t>
        </is>
      </c>
      <c r="F194" s="167">
        <f>IF(COUNTIFS($C$3:C194,商品マスタ[[#This Row],[仕入先]],$E$3:E194,商品マスタ[[#This Row],[商品名]]) = 1, 1,0)</f>
        <v/>
      </c>
      <c r="G194" s="133">
        <f>TEXT(SUMIF($C$3:C194,商品マスタ[[#This Row],[仕入先]],$F$3:F194), "0000")</f>
        <v/>
      </c>
      <c r="H194" s="167" t="inlineStr">
        <is>
          <t>kg</t>
        </is>
      </c>
      <c r="I194" s="167" t="inlineStr">
        <is>
          <t>約1.0kg/個</t>
        </is>
      </c>
      <c r="J194" s="167" t="inlineStr">
        <is>
          <t>1個</t>
        </is>
      </c>
      <c r="K194" s="167" t="inlineStr">
        <is>
          <t>ブロック</t>
        </is>
      </c>
      <c r="L194" s="289" t="n">
        <v>500</v>
      </c>
      <c r="M194" s="157" t="n">
        <v>45834</v>
      </c>
      <c r="N194" s="289" t="n"/>
      <c r="O194" s="290">
        <f>IF(COUNT(商品マスタ[[#This Row],[参考上代
（税込)]]) &gt; 0, (商品マスタ[[#This Row],[参考上代
（税込)]]-商品マスタ[[#This Row],[国内定価
（15％）]])/(商品マスタ[[#This Row],[参考上代
（税込)]]/1.08), "")</f>
        <v/>
      </c>
      <c r="P194" s="136" t="n">
        <v>0.1</v>
      </c>
      <c r="Q194" s="291">
        <f>商品マスタ[[#This Row],[仕入
単価]]*商品マスタ[[#This Row],[標準国内送料率]]</f>
        <v/>
      </c>
      <c r="R194" s="289" t="n"/>
      <c r="S194" s="289">
        <f>IF(ISBLANK(商品マスタ[[#This Row],[実績
国内送料]]),商品マスタ[[#This Row],[標準国内送料]],)</f>
        <v/>
      </c>
      <c r="T194" s="289">
        <f>商品マスタ[[#This Row],[仕入
単価]]+商品マスタ[[#This Row],[国内送料]]</f>
        <v/>
      </c>
      <c r="U194" s="289">
        <f>ROUNDUP(商品マスタ[[#This Row],[仕入単価+国内送料]]/0.8,-1)</f>
        <v/>
      </c>
      <c r="V194" s="289">
        <f>商品マスタ[[#This Row],[海外定価
（20％）]]-商品マスタ[[#This Row],[仕入単価+国内送料]]</f>
        <v/>
      </c>
      <c r="W194" s="167">
        <f>ROUNDUP(商品マスタ[[#This Row],[仕入単価+国内送料]]/0.85,-1)</f>
        <v/>
      </c>
      <c r="X194" s="289">
        <f>商品マスタ[[#This Row],[国内定価
（15％）]]-商品マスタ[[#This Row],[仕入単価+国内送料]]</f>
        <v/>
      </c>
      <c r="Y194" s="139" t="n">
        <v>0.08</v>
      </c>
      <c r="Z194" s="167" t="n"/>
      <c r="AA194" s="167" t="n"/>
      <c r="AB194" s="167" t="n"/>
      <c r="AC194" s="293" t="n"/>
      <c r="AD194" s="167" t="n"/>
      <c r="AE194" s="167" t="n"/>
      <c r="AF194" s="167" t="n"/>
      <c r="AG194" s="144" t="n"/>
    </row>
    <row r="195" ht="18" customHeight="1" s="207">
      <c r="A195" s="166" t="inlineStr">
        <is>
          <t>精肉</t>
        </is>
      </c>
      <c r="B195" s="167" t="inlineStr">
        <is>
          <t>和牛</t>
        </is>
      </c>
      <c r="C195" s="167" t="inlineStr">
        <is>
          <t>GOODGOOD</t>
        </is>
      </c>
      <c r="D195" s="143">
        <f>"PRD_SNJ_"&amp;
_xlfn.XLOOKUP(商品マスタ[[#This Row],[仕入先]],テーブル1[仕入先名],テーブル1[仕入先コード],"XXX",0,1)&amp;
"_"&amp;
商品マスタ[[#This Row],[シリアル]]&amp;
"_"&amp;
TEXT(COUNTIFS(商品マスタ!$C$3:C195,商品マスタ[[#This Row],[仕入先]],商品マスタ!$E$3:E195,商品マスタ[[#This Row],[商品名]]), "00")</f>
        <v/>
      </c>
      <c r="E195" s="167" t="inlineStr">
        <is>
          <t>阿蘇赤身和牛　ケンネ脂</t>
        </is>
      </c>
      <c r="F195" s="167">
        <f>IF(COUNTIFS($C$3:C195,商品マスタ[[#This Row],[仕入先]],$E$3:E195,商品マスタ[[#This Row],[商品名]]) = 1, 1,0)</f>
        <v/>
      </c>
      <c r="G195" s="133">
        <f>TEXT(SUMIF($C$3:C195,商品マスタ[[#This Row],[仕入先]],$F$3:F195), "0000")</f>
        <v/>
      </c>
      <c r="H195" s="167" t="inlineStr">
        <is>
          <t>kg</t>
        </is>
      </c>
      <c r="I195" s="167" t="inlineStr">
        <is>
          <t>約1.0kg/個</t>
        </is>
      </c>
      <c r="J195" s="167" t="inlineStr">
        <is>
          <t>1個</t>
        </is>
      </c>
      <c r="K195" s="167" t="inlineStr">
        <is>
          <t>最上級脂肪</t>
        </is>
      </c>
      <c r="L195" s="289" t="n">
        <v>500</v>
      </c>
      <c r="M195" s="157" t="n">
        <v>45834</v>
      </c>
      <c r="N195" s="289" t="n"/>
      <c r="O195" s="290">
        <f>IF(COUNT(商品マスタ[[#This Row],[参考上代
（税込)]]) &gt; 0, (商品マスタ[[#This Row],[参考上代
（税込)]]-商品マスタ[[#This Row],[国内定価
（15％）]])/(商品マスタ[[#This Row],[参考上代
（税込)]]/1.08), "")</f>
        <v/>
      </c>
      <c r="P195" s="136" t="n">
        <v>0.1</v>
      </c>
      <c r="Q195" s="291">
        <f>商品マスタ[[#This Row],[仕入
単価]]*商品マスタ[[#This Row],[標準国内送料率]]</f>
        <v/>
      </c>
      <c r="R195" s="289" t="n"/>
      <c r="S195" s="289">
        <f>IF(ISBLANK(商品マスタ[[#This Row],[実績
国内送料]]),商品マスタ[[#This Row],[標準国内送料]],)</f>
        <v/>
      </c>
      <c r="T195" s="289">
        <f>商品マスタ[[#This Row],[仕入
単価]]+商品マスタ[[#This Row],[国内送料]]</f>
        <v/>
      </c>
      <c r="U195" s="289">
        <f>ROUNDUP(商品マスタ[[#This Row],[仕入単価+国内送料]]/0.8,-1)</f>
        <v/>
      </c>
      <c r="V195" s="289">
        <f>商品マスタ[[#This Row],[海外定価
（20％）]]-商品マスタ[[#This Row],[仕入単価+国内送料]]</f>
        <v/>
      </c>
      <c r="W195" s="167">
        <f>ROUNDUP(商品マスタ[[#This Row],[仕入単価+国内送料]]/0.85,-1)</f>
        <v/>
      </c>
      <c r="X195" s="289">
        <f>商品マスタ[[#This Row],[国内定価
（15％）]]-商品マスタ[[#This Row],[仕入単価+国内送料]]</f>
        <v/>
      </c>
      <c r="Y195" s="139" t="n">
        <v>0.08</v>
      </c>
      <c r="Z195" s="167" t="n"/>
      <c r="AA195" s="167" t="n"/>
      <c r="AB195" s="167" t="n"/>
      <c r="AC195" s="293" t="n"/>
      <c r="AD195" s="167" t="n"/>
      <c r="AE195" s="167" t="n"/>
      <c r="AF195" s="167" t="n"/>
      <c r="AG195" s="144" t="n"/>
    </row>
    <row r="196" ht="18" customHeight="1" s="207">
      <c r="A196" s="166" t="inlineStr">
        <is>
          <t>精肉</t>
        </is>
      </c>
      <c r="B196" s="167" t="inlineStr">
        <is>
          <t>和牛</t>
        </is>
      </c>
      <c r="C196" s="167" t="inlineStr">
        <is>
          <t>GOODGOOD</t>
        </is>
      </c>
      <c r="D196" s="143">
        <f>"PRD_SNJ_"&amp;
_xlfn.XLOOKUP(商品マスタ[[#This Row],[仕入先]],テーブル1[仕入先名],テーブル1[仕入先コード],"XXX",0,1)&amp;
"_"&amp;
商品マスタ[[#This Row],[シリアル]]&amp;
"_"&amp;
TEXT(COUNTIFS(商品マスタ!$C$3:C196,商品マスタ[[#This Row],[仕入先]],商品マスタ!$E$3:E196,商品マスタ[[#This Row],[商品名]]), "00")</f>
        <v/>
      </c>
      <c r="E196" s="167" t="inlineStr">
        <is>
          <t>阿蘇赤身和牛　牛骨（カット済み）</t>
        </is>
      </c>
      <c r="F196" s="167">
        <f>IF(COUNTIFS($C$3:C196,商品マスタ[[#This Row],[仕入先]],$E$3:E196,商品マスタ[[#This Row],[商品名]]) = 1, 1,0)</f>
        <v/>
      </c>
      <c r="G196" s="133">
        <f>TEXT(SUMIF($C$3:C196,商品マスタ[[#This Row],[仕入先]],$F$3:F196), "0000")</f>
        <v/>
      </c>
      <c r="H196" s="167" t="inlineStr">
        <is>
          <t>kg</t>
        </is>
      </c>
      <c r="I196" s="167" t="inlineStr">
        <is>
          <t>約1.0kg/個</t>
        </is>
      </c>
      <c r="J196" s="167" t="inlineStr">
        <is>
          <t>1個</t>
        </is>
      </c>
      <c r="K196" s="167" t="inlineStr">
        <is>
          <t>スープ用</t>
        </is>
      </c>
      <c r="L196" s="289" t="n">
        <v>600</v>
      </c>
      <c r="M196" s="157" t="n">
        <v>45834</v>
      </c>
      <c r="N196" s="289" t="n"/>
      <c r="O196" s="290">
        <f>IF(COUNT(商品マスタ[[#This Row],[参考上代
（税込)]]) &gt; 0, (商品マスタ[[#This Row],[参考上代
（税込)]]-商品マスタ[[#This Row],[国内定価
（15％）]])/(商品マスタ[[#This Row],[参考上代
（税込)]]/1.08), "")</f>
        <v/>
      </c>
      <c r="P196" s="136" t="n">
        <v>0.1</v>
      </c>
      <c r="Q196" s="291">
        <f>商品マスタ[[#This Row],[仕入
単価]]*商品マスタ[[#This Row],[標準国内送料率]]</f>
        <v/>
      </c>
      <c r="R196" s="289" t="n"/>
      <c r="S196" s="289">
        <f>IF(ISBLANK(商品マスタ[[#This Row],[実績
国内送料]]),商品マスタ[[#This Row],[標準国内送料]],)</f>
        <v/>
      </c>
      <c r="T196" s="289">
        <f>商品マスタ[[#This Row],[仕入
単価]]+商品マスタ[[#This Row],[国内送料]]</f>
        <v/>
      </c>
      <c r="U196" s="289">
        <f>ROUNDUP(商品マスタ[[#This Row],[仕入単価+国内送料]]/0.8,-1)</f>
        <v/>
      </c>
      <c r="V196" s="289">
        <f>商品マスタ[[#This Row],[海外定価
（20％）]]-商品マスタ[[#This Row],[仕入単価+国内送料]]</f>
        <v/>
      </c>
      <c r="W196" s="167">
        <f>ROUNDUP(商品マスタ[[#This Row],[仕入単価+国内送料]]/0.85,-1)</f>
        <v/>
      </c>
      <c r="X196" s="289">
        <f>商品マスタ[[#This Row],[国内定価
（15％）]]-商品マスタ[[#This Row],[仕入単価+国内送料]]</f>
        <v/>
      </c>
      <c r="Y196" s="139" t="n">
        <v>0.08</v>
      </c>
      <c r="Z196" s="167" t="n"/>
      <c r="AA196" s="167" t="n"/>
      <c r="AB196" s="167" t="n"/>
      <c r="AC196" s="293" t="n"/>
      <c r="AD196" s="167" t="n"/>
      <c r="AE196" s="167" t="n"/>
      <c r="AF196" s="167" t="n"/>
      <c r="AG196" s="144" t="n"/>
    </row>
    <row r="197" ht="18" customHeight="1" s="207">
      <c r="A197" s="166" t="inlineStr">
        <is>
          <t>精肉</t>
        </is>
      </c>
      <c r="B197" s="167" t="inlineStr">
        <is>
          <t>和牛</t>
        </is>
      </c>
      <c r="C197" s="167" t="inlineStr">
        <is>
          <t>GOODGOOD</t>
        </is>
      </c>
      <c r="D197" s="143">
        <f>"PRD_SNJ_"&amp;
_xlfn.XLOOKUP(商品マスタ[[#This Row],[仕入先]],テーブル1[仕入先名],テーブル1[仕入先コード],"XXX",0,1)&amp;
"_"&amp;
商品マスタ[[#This Row],[シリアル]]&amp;
"_"&amp;
TEXT(COUNTIFS(商品マスタ!$C$3:C197,商品マスタ[[#This Row],[仕入先]],商品マスタ!$E$3:E197,商品マスタ[[#This Row],[商品名]]), "00")</f>
        <v/>
      </c>
      <c r="E197" s="167" t="inlineStr">
        <is>
          <t>グラスフェッドビーフ　Tボーン</t>
        </is>
      </c>
      <c r="F197" s="167">
        <f>IF(COUNTIFS($C$3:C197,商品マスタ[[#This Row],[仕入先]],$E$3:E197,商品マスタ[[#This Row],[商品名]]) = 1, 1,0)</f>
        <v/>
      </c>
      <c r="G197" s="133">
        <f>TEXT(SUMIF($C$3:C197,商品マスタ[[#This Row],[仕入先]],$F$3:F197), "0000")</f>
        <v/>
      </c>
      <c r="H197" s="167" t="inlineStr">
        <is>
          <t>kg</t>
        </is>
      </c>
      <c r="I197" s="167" t="inlineStr">
        <is>
          <t>約7.0kg/本</t>
        </is>
      </c>
      <c r="J197" s="167" t="inlineStr">
        <is>
          <t>1本</t>
        </is>
      </c>
      <c r="K197" s="167" t="inlineStr">
        <is>
          <t>骨付き・超希少</t>
        </is>
      </c>
      <c r="L197" s="289" t="n">
        <v>5100</v>
      </c>
      <c r="M197" s="157" t="n">
        <v>45834</v>
      </c>
      <c r="N197" s="289" t="n"/>
      <c r="O197" s="290">
        <f>IF(COUNT(商品マスタ[[#This Row],[参考上代
（税込)]]) &gt; 0, (商品マスタ[[#This Row],[参考上代
（税込)]]-商品マスタ[[#This Row],[国内定価
（15％）]])/(商品マスタ[[#This Row],[参考上代
（税込)]]/1.08), "")</f>
        <v/>
      </c>
      <c r="P197" s="136" t="n">
        <v>0.1</v>
      </c>
      <c r="Q197" s="291">
        <f>商品マスタ[[#This Row],[仕入
単価]]*商品マスタ[[#This Row],[標準国内送料率]]</f>
        <v/>
      </c>
      <c r="R197" s="289" t="n"/>
      <c r="S197" s="289">
        <f>IF(ISBLANK(商品マスタ[[#This Row],[実績
国内送料]]),商品マスタ[[#This Row],[標準国内送料]],)</f>
        <v/>
      </c>
      <c r="T197" s="289">
        <f>商品マスタ[[#This Row],[仕入
単価]]+商品マスタ[[#This Row],[国内送料]]</f>
        <v/>
      </c>
      <c r="U197" s="289">
        <f>ROUNDUP(商品マスタ[[#This Row],[仕入単価+国内送料]]/0.8,-1)</f>
        <v/>
      </c>
      <c r="V197" s="289">
        <f>商品マスタ[[#This Row],[海外定価
（20％）]]-商品マスタ[[#This Row],[仕入単価+国内送料]]</f>
        <v/>
      </c>
      <c r="W197" s="167">
        <f>ROUNDUP(商品マスタ[[#This Row],[仕入単価+国内送料]]/0.85,-1)</f>
        <v/>
      </c>
      <c r="X197" s="289">
        <f>商品マスタ[[#This Row],[国内定価
（15％）]]-商品マスタ[[#This Row],[仕入単価+国内送料]]</f>
        <v/>
      </c>
      <c r="Y197" s="139" t="n">
        <v>0.08</v>
      </c>
      <c r="Z197" s="167" t="n"/>
      <c r="AA197" s="167" t="n"/>
      <c r="AB197" s="167" t="n"/>
      <c r="AC197" s="293" t="n"/>
      <c r="AD197" s="167" t="n"/>
      <c r="AE197" s="167" t="n"/>
      <c r="AF197" s="167" t="n"/>
      <c r="AG197" s="144" t="n"/>
    </row>
    <row r="198" ht="18" customHeight="1" s="207">
      <c r="A198" s="166" t="inlineStr">
        <is>
          <t>精肉</t>
        </is>
      </c>
      <c r="B198" s="167" t="inlineStr">
        <is>
          <t>和牛</t>
        </is>
      </c>
      <c r="C198" s="167" t="inlineStr">
        <is>
          <t>GOODGOOD</t>
        </is>
      </c>
      <c r="D198" s="143">
        <f>"PRD_SNJ_"&amp;
_xlfn.XLOOKUP(商品マスタ[[#This Row],[仕入先]],テーブル1[仕入先名],テーブル1[仕入先コード],"XXX",0,1)&amp;
"_"&amp;
商品マスタ[[#This Row],[シリアル]]&amp;
"_"&amp;
TEXT(COUNTIFS(商品マスタ!$C$3:C198,商品マスタ[[#This Row],[仕入先]],商品マスタ!$E$3:E198,商品マスタ[[#This Row],[商品名]]), "00")</f>
        <v/>
      </c>
      <c r="E198" s="167" t="inlineStr">
        <is>
          <t>グラスフェッドビーフ　トマホーク（骨付リブロース）</t>
        </is>
      </c>
      <c r="F198" s="167">
        <f>IF(COUNTIFS($C$3:C198,商品マスタ[[#This Row],[仕入先]],$E$3:E198,商品マスタ[[#This Row],[商品名]]) = 1, 1,0)</f>
        <v/>
      </c>
      <c r="G198" s="133">
        <f>TEXT(SUMIF($C$3:C198,商品マスタ[[#This Row],[仕入先]],$F$3:F198), "0000")</f>
        <v/>
      </c>
      <c r="H198" s="167" t="inlineStr">
        <is>
          <t>kg</t>
        </is>
      </c>
      <c r="I198" s="167" t="inlineStr">
        <is>
          <t>約6.5kg/本</t>
        </is>
      </c>
      <c r="J198" s="167" t="inlineStr">
        <is>
          <t>1本</t>
        </is>
      </c>
      <c r="K198" s="167" t="inlineStr">
        <is>
          <t>骨付き・超希少</t>
        </is>
      </c>
      <c r="L198" s="289" t="n">
        <v>4600</v>
      </c>
      <c r="M198" s="157" t="n">
        <v>45834</v>
      </c>
      <c r="N198" s="289" t="n"/>
      <c r="O198" s="290">
        <f>IF(COUNT(商品マスタ[[#This Row],[参考上代
（税込)]]) &gt; 0, (商品マスタ[[#This Row],[参考上代
（税込)]]-商品マスタ[[#This Row],[国内定価
（15％）]])/(商品マスタ[[#This Row],[参考上代
（税込)]]/1.08), "")</f>
        <v/>
      </c>
      <c r="P198" s="136" t="n">
        <v>0.1</v>
      </c>
      <c r="Q198" s="291">
        <f>商品マスタ[[#This Row],[仕入
単価]]*商品マスタ[[#This Row],[標準国内送料率]]</f>
        <v/>
      </c>
      <c r="R198" s="289" t="n"/>
      <c r="S198" s="289">
        <f>IF(ISBLANK(商品マスタ[[#This Row],[実績
国内送料]]),商品マスタ[[#This Row],[標準国内送料]],)</f>
        <v/>
      </c>
      <c r="T198" s="289">
        <f>商品マスタ[[#This Row],[仕入
単価]]+商品マスタ[[#This Row],[国内送料]]</f>
        <v/>
      </c>
      <c r="U198" s="289">
        <f>ROUNDUP(商品マスタ[[#This Row],[仕入単価+国内送料]]/0.8,-1)</f>
        <v/>
      </c>
      <c r="V198" s="289">
        <f>商品マスタ[[#This Row],[海外定価
（20％）]]-商品マスタ[[#This Row],[仕入単価+国内送料]]</f>
        <v/>
      </c>
      <c r="W198" s="167">
        <f>ROUNDUP(商品マスタ[[#This Row],[仕入単価+国内送料]]/0.85,-1)</f>
        <v/>
      </c>
      <c r="X198" s="289">
        <f>商品マスタ[[#This Row],[国内定価
（15％）]]-商品マスタ[[#This Row],[仕入単価+国内送料]]</f>
        <v/>
      </c>
      <c r="Y198" s="139" t="n">
        <v>0.08</v>
      </c>
      <c r="Z198" s="167" t="n"/>
      <c r="AA198" s="167" t="n"/>
      <c r="AB198" s="167" t="n"/>
      <c r="AC198" s="293" t="n"/>
      <c r="AD198" s="167" t="n"/>
      <c r="AE198" s="167" t="n"/>
      <c r="AF198" s="167" t="n"/>
      <c r="AG198" s="144" t="n"/>
    </row>
    <row r="199" ht="18" customHeight="1" s="207">
      <c r="A199" s="166" t="inlineStr">
        <is>
          <t>精肉</t>
        </is>
      </c>
      <c r="B199" s="167" t="inlineStr">
        <is>
          <t>和牛</t>
        </is>
      </c>
      <c r="C199" s="167" t="inlineStr">
        <is>
          <t>GOODGOOD</t>
        </is>
      </c>
      <c r="D199" s="143">
        <f>"PRD_SNJ_"&amp;
_xlfn.XLOOKUP(商品マスタ[[#This Row],[仕入先]],テーブル1[仕入先名],テーブル1[仕入先コード],"XXX",0,1)&amp;
"_"&amp;
商品マスタ[[#This Row],[シリアル]]&amp;
"_"&amp;
TEXT(COUNTIFS(商品マスタ!$C$3:C199,商品マスタ[[#This Row],[仕入先]],商品マスタ!$E$3:E199,商品マスタ[[#This Row],[商品名]]), "00")</f>
        <v/>
      </c>
      <c r="E199" s="167" t="inlineStr">
        <is>
          <t>グラスフェッドビーフ　フィレ（テンダーロイン）</t>
        </is>
      </c>
      <c r="F199" s="167">
        <f>IF(COUNTIFS($C$3:C199,商品マスタ[[#This Row],[仕入先]],$E$3:E199,商品マスタ[[#This Row],[商品名]]) = 1, 1,0)</f>
        <v/>
      </c>
      <c r="G199" s="133">
        <f>TEXT(SUMIF($C$3:C199,商品マスタ[[#This Row],[仕入先]],$F$3:F199), "0000")</f>
        <v/>
      </c>
      <c r="H199" s="167" t="inlineStr">
        <is>
          <t>kg</t>
        </is>
      </c>
      <c r="I199" s="167" t="inlineStr">
        <is>
          <t>約3.5kg/本</t>
        </is>
      </c>
      <c r="J199" s="167" t="inlineStr">
        <is>
          <t>1本</t>
        </is>
      </c>
      <c r="K199" s="167" t="inlineStr">
        <is>
          <t>ブロック</t>
        </is>
      </c>
      <c r="L199" s="289" t="n">
        <v>6000</v>
      </c>
      <c r="M199" s="157" t="n">
        <v>45834</v>
      </c>
      <c r="N199" s="289" t="n"/>
      <c r="O199" s="290">
        <f>IF(COUNT(商品マスタ[[#This Row],[参考上代
（税込)]]) &gt; 0, (商品マスタ[[#This Row],[参考上代
（税込)]]-商品マスタ[[#This Row],[国内定価
（15％）]])/(商品マスタ[[#This Row],[参考上代
（税込)]]/1.08), "")</f>
        <v/>
      </c>
      <c r="P199" s="136" t="n">
        <v>0.1</v>
      </c>
      <c r="Q199" s="291">
        <f>商品マスタ[[#This Row],[仕入
単価]]*商品マスタ[[#This Row],[標準国内送料率]]</f>
        <v/>
      </c>
      <c r="R199" s="289" t="n"/>
      <c r="S199" s="289">
        <f>IF(ISBLANK(商品マスタ[[#This Row],[実績
国内送料]]),商品マスタ[[#This Row],[標準国内送料]],)</f>
        <v/>
      </c>
      <c r="T199" s="289">
        <f>商品マスタ[[#This Row],[仕入
単価]]+商品マスタ[[#This Row],[国内送料]]</f>
        <v/>
      </c>
      <c r="U199" s="289">
        <f>ROUNDUP(商品マスタ[[#This Row],[仕入単価+国内送料]]/0.8,-1)</f>
        <v/>
      </c>
      <c r="V199" s="289">
        <f>商品マスタ[[#This Row],[海外定価
（20％）]]-商品マスタ[[#This Row],[仕入単価+国内送料]]</f>
        <v/>
      </c>
      <c r="W199" s="167">
        <f>ROUNDUP(商品マスタ[[#This Row],[仕入単価+国内送料]]/0.85,-1)</f>
        <v/>
      </c>
      <c r="X199" s="289">
        <f>商品マスタ[[#This Row],[国内定価
（15％）]]-商品マスタ[[#This Row],[仕入単価+国内送料]]</f>
        <v/>
      </c>
      <c r="Y199" s="139" t="n">
        <v>0.08</v>
      </c>
      <c r="Z199" s="167" t="n"/>
      <c r="AA199" s="167" t="n"/>
      <c r="AB199" s="167" t="n"/>
      <c r="AC199" s="293" t="n"/>
      <c r="AD199" s="167" t="n"/>
      <c r="AE199" s="167" t="n"/>
      <c r="AF199" s="167" t="n"/>
      <c r="AG199" s="144" t="n"/>
    </row>
    <row r="200" ht="18" customHeight="1" s="207">
      <c r="A200" s="166" t="inlineStr">
        <is>
          <t>精肉</t>
        </is>
      </c>
      <c r="B200" s="167" t="inlineStr">
        <is>
          <t>和牛</t>
        </is>
      </c>
      <c r="C200" s="167" t="inlineStr">
        <is>
          <t>GOODGOOD</t>
        </is>
      </c>
      <c r="D200" s="143">
        <f>"PRD_SNJ_"&amp;
_xlfn.XLOOKUP(商品マスタ[[#This Row],[仕入先]],テーブル1[仕入先名],テーブル1[仕入先コード],"XXX",0,1)&amp;
"_"&amp;
商品マスタ[[#This Row],[シリアル]]&amp;
"_"&amp;
TEXT(COUNTIFS(商品マスタ!$C$3:C200,商品マスタ[[#This Row],[仕入先]],商品マスタ!$E$3:E200,商品マスタ[[#This Row],[商品名]]), "00")</f>
        <v/>
      </c>
      <c r="E200" s="167" t="inlineStr">
        <is>
          <t>グラスフェッドビーフ　サーロイン（ストリップロイン）</t>
        </is>
      </c>
      <c r="F200" s="167">
        <f>IF(COUNTIFS($C$3:C200,商品マスタ[[#This Row],[仕入先]],$E$3:E200,商品マスタ[[#This Row],[商品名]]) = 1, 1,0)</f>
        <v/>
      </c>
      <c r="G200" s="133">
        <f>TEXT(SUMIF($C$3:C200,商品マスタ[[#This Row],[仕入先]],$F$3:F200), "0000")</f>
        <v/>
      </c>
      <c r="H200" s="167" t="inlineStr">
        <is>
          <t>kg</t>
        </is>
      </c>
      <c r="I200" s="167" t="inlineStr">
        <is>
          <t>約4.0kg/本</t>
        </is>
      </c>
      <c r="J200" s="167" t="inlineStr">
        <is>
          <t>1本</t>
        </is>
      </c>
      <c r="K200" s="167" t="inlineStr">
        <is>
          <t>ブロック</t>
        </is>
      </c>
      <c r="L200" s="289" t="n">
        <v>4000</v>
      </c>
      <c r="M200" s="157" t="n">
        <v>45834</v>
      </c>
      <c r="N200" s="289" t="n"/>
      <c r="O200" s="290">
        <f>IF(COUNT(商品マスタ[[#This Row],[参考上代
（税込)]]) &gt; 0, (商品マスタ[[#This Row],[参考上代
（税込)]]-商品マスタ[[#This Row],[国内定価
（15％）]])/(商品マスタ[[#This Row],[参考上代
（税込)]]/1.08), "")</f>
        <v/>
      </c>
      <c r="P200" s="136" t="n">
        <v>0.1</v>
      </c>
      <c r="Q200" s="291">
        <f>商品マスタ[[#This Row],[仕入
単価]]*商品マスタ[[#This Row],[標準国内送料率]]</f>
        <v/>
      </c>
      <c r="R200" s="289" t="n"/>
      <c r="S200" s="289">
        <f>IF(ISBLANK(商品マスタ[[#This Row],[実績
国内送料]]),商品マスタ[[#This Row],[標準国内送料]],)</f>
        <v/>
      </c>
      <c r="T200" s="289">
        <f>商品マスタ[[#This Row],[仕入
単価]]+商品マスタ[[#This Row],[国内送料]]</f>
        <v/>
      </c>
      <c r="U200" s="289">
        <f>ROUNDUP(商品マスタ[[#This Row],[仕入単価+国内送料]]/0.8,-1)</f>
        <v/>
      </c>
      <c r="V200" s="289">
        <f>商品マスタ[[#This Row],[海外定価
（20％）]]-商品マスタ[[#This Row],[仕入単価+国内送料]]</f>
        <v/>
      </c>
      <c r="W200" s="167">
        <f>ROUNDUP(商品マスタ[[#This Row],[仕入単価+国内送料]]/0.85,-1)</f>
        <v/>
      </c>
      <c r="X200" s="289">
        <f>商品マスタ[[#This Row],[国内定価
（15％）]]-商品マスタ[[#This Row],[仕入単価+国内送料]]</f>
        <v/>
      </c>
      <c r="Y200" s="139" t="n">
        <v>0.08</v>
      </c>
      <c r="Z200" s="167" t="n"/>
      <c r="AA200" s="167" t="n"/>
      <c r="AB200" s="167" t="n"/>
      <c r="AC200" s="293" t="n"/>
      <c r="AD200" s="167" t="n"/>
      <c r="AE200" s="167" t="n"/>
      <c r="AF200" s="167" t="n"/>
      <c r="AG200" s="144" t="n"/>
    </row>
    <row r="201" ht="18" customHeight="1" s="207">
      <c r="A201" s="166" t="inlineStr">
        <is>
          <t>精肉</t>
        </is>
      </c>
      <c r="B201" s="167" t="inlineStr">
        <is>
          <t>和牛</t>
        </is>
      </c>
      <c r="C201" s="167" t="inlineStr">
        <is>
          <t>GOODGOOD</t>
        </is>
      </c>
      <c r="D201" s="143">
        <f>"PRD_SNJ_"&amp;
_xlfn.XLOOKUP(商品マスタ[[#This Row],[仕入先]],テーブル1[仕入先名],テーブル1[仕入先コード],"XXX",0,1)&amp;
"_"&amp;
商品マスタ[[#This Row],[シリアル]]&amp;
"_"&amp;
TEXT(COUNTIFS(商品マスタ!$C$3:C201,商品マスタ[[#This Row],[仕入先]],商品マスタ!$E$3:E201,商品マスタ[[#This Row],[商品名]]), "00")</f>
        <v/>
      </c>
      <c r="E201" s="167" t="inlineStr">
        <is>
          <t>グラスフェッドビーフ　カイノミ（フィレサイド）</t>
        </is>
      </c>
      <c r="F201" s="167">
        <f>IF(COUNTIFS($C$3:C201,商品マスタ[[#This Row],[仕入先]],$E$3:E201,商品マスタ[[#This Row],[商品名]]) = 1, 1,0)</f>
        <v/>
      </c>
      <c r="G201" s="133">
        <f>TEXT(SUMIF($C$3:C201,商品マスタ[[#This Row],[仕入先]],$F$3:F201), "0000")</f>
        <v/>
      </c>
      <c r="H201" s="167" t="inlineStr">
        <is>
          <t>kg</t>
        </is>
      </c>
      <c r="I201" s="167" t="inlineStr">
        <is>
          <t>約1.5kg/個</t>
        </is>
      </c>
      <c r="J201" s="167" t="inlineStr">
        <is>
          <t>1個</t>
        </is>
      </c>
      <c r="K201" s="167" t="inlineStr">
        <is>
          <t>ブロック</t>
        </is>
      </c>
      <c r="L201" s="289" t="n">
        <v>3200</v>
      </c>
      <c r="M201" s="157" t="n">
        <v>45834</v>
      </c>
      <c r="N201" s="289" t="n"/>
      <c r="O201" s="290">
        <f>IF(COUNT(商品マスタ[[#This Row],[参考上代
（税込)]]) &gt; 0, (商品マスタ[[#This Row],[参考上代
（税込)]]-商品マスタ[[#This Row],[国内定価
（15％）]])/(商品マスタ[[#This Row],[参考上代
（税込)]]/1.08), "")</f>
        <v/>
      </c>
      <c r="P201" s="136" t="n">
        <v>0.1</v>
      </c>
      <c r="Q201" s="291">
        <f>商品マスタ[[#This Row],[仕入
単価]]*商品マスタ[[#This Row],[標準国内送料率]]</f>
        <v/>
      </c>
      <c r="R201" s="289" t="n"/>
      <c r="S201" s="289">
        <f>IF(ISBLANK(商品マスタ[[#This Row],[実績
国内送料]]),商品マスタ[[#This Row],[標準国内送料]],)</f>
        <v/>
      </c>
      <c r="T201" s="289">
        <f>商品マスタ[[#This Row],[仕入
単価]]+商品マスタ[[#This Row],[国内送料]]</f>
        <v/>
      </c>
      <c r="U201" s="289">
        <f>ROUNDUP(商品マスタ[[#This Row],[仕入単価+国内送料]]/0.8,-1)</f>
        <v/>
      </c>
      <c r="V201" s="289">
        <f>商品マスタ[[#This Row],[海外定価
（20％）]]-商品マスタ[[#This Row],[仕入単価+国内送料]]</f>
        <v/>
      </c>
      <c r="W201" s="167">
        <f>ROUNDUP(商品マスタ[[#This Row],[仕入単価+国内送料]]/0.85,-1)</f>
        <v/>
      </c>
      <c r="X201" s="289">
        <f>商品マスタ[[#This Row],[国内定価
（15％）]]-商品マスタ[[#This Row],[仕入単価+国内送料]]</f>
        <v/>
      </c>
      <c r="Y201" s="139" t="n">
        <v>0.08</v>
      </c>
      <c r="Z201" s="167" t="n"/>
      <c r="AA201" s="167" t="n"/>
      <c r="AB201" s="167" t="n"/>
      <c r="AC201" s="293" t="n"/>
      <c r="AD201" s="167" t="n"/>
      <c r="AE201" s="167" t="n"/>
      <c r="AF201" s="167" t="n"/>
      <c r="AG201" s="144" t="n"/>
    </row>
    <row r="202" ht="18" customHeight="1" s="207">
      <c r="A202" s="166" t="inlineStr">
        <is>
          <t>精肉</t>
        </is>
      </c>
      <c r="B202" s="167" t="inlineStr">
        <is>
          <t>和牛</t>
        </is>
      </c>
      <c r="C202" s="167" t="inlineStr">
        <is>
          <t>GOODGOOD</t>
        </is>
      </c>
      <c r="D202" s="143">
        <f>"PRD_SNJ_"&amp;
_xlfn.XLOOKUP(商品マスタ[[#This Row],[仕入先]],テーブル1[仕入先名],テーブル1[仕入先コード],"XXX",0,1)&amp;
"_"&amp;
商品マスタ[[#This Row],[シリアル]]&amp;
"_"&amp;
TEXT(COUNTIFS(商品マスタ!$C$3:C202,商品マスタ[[#This Row],[仕入先]],商品マスタ!$E$3:E202,商品マスタ[[#This Row],[商品名]]), "00")</f>
        <v/>
      </c>
      <c r="E202" s="167" t="inlineStr">
        <is>
          <t>グラスフェッドビーフ　ウワミスジ</t>
        </is>
      </c>
      <c r="F202" s="167">
        <f>IF(COUNTIFS($C$3:C202,商品マスタ[[#This Row],[仕入先]],$E$3:E202,商品マスタ[[#This Row],[商品名]]) = 1, 1,0)</f>
        <v/>
      </c>
      <c r="G202" s="133">
        <f>TEXT(SUMIF($C$3:C202,商品マスタ[[#This Row],[仕入先]],$F$3:F202), "0000")</f>
        <v/>
      </c>
      <c r="H202" s="167" t="inlineStr">
        <is>
          <t>kg</t>
        </is>
      </c>
      <c r="I202" s="167" t="inlineStr">
        <is>
          <t>約1.0kg/個</t>
        </is>
      </c>
      <c r="J202" s="167" t="inlineStr">
        <is>
          <t>1個</t>
        </is>
      </c>
      <c r="K202" s="167" t="inlineStr">
        <is>
          <t>ブロック・4-6本</t>
        </is>
      </c>
      <c r="L202" s="289" t="n">
        <v>3800</v>
      </c>
      <c r="M202" s="157" t="n">
        <v>45834</v>
      </c>
      <c r="N202" s="289" t="n"/>
      <c r="O202" s="290">
        <f>IF(COUNT(商品マスタ[[#This Row],[参考上代
（税込)]]) &gt; 0, (商品マスタ[[#This Row],[参考上代
（税込)]]-商品マスタ[[#This Row],[国内定価
（15％）]])/(商品マスタ[[#This Row],[参考上代
（税込)]]/1.08), "")</f>
        <v/>
      </c>
      <c r="P202" s="136" t="n">
        <v>0.1</v>
      </c>
      <c r="Q202" s="291">
        <f>商品マスタ[[#This Row],[仕入
単価]]*商品マスタ[[#This Row],[標準国内送料率]]</f>
        <v/>
      </c>
      <c r="R202" s="289" t="n"/>
      <c r="S202" s="289">
        <f>IF(ISBLANK(商品マスタ[[#This Row],[実績
国内送料]]),商品マスタ[[#This Row],[標準国内送料]],)</f>
        <v/>
      </c>
      <c r="T202" s="289">
        <f>商品マスタ[[#This Row],[仕入
単価]]+商品マスタ[[#This Row],[国内送料]]</f>
        <v/>
      </c>
      <c r="U202" s="289">
        <f>ROUNDUP(商品マスタ[[#This Row],[仕入単価+国内送料]]/0.8,-1)</f>
        <v/>
      </c>
      <c r="V202" s="289">
        <f>商品マスタ[[#This Row],[海外定価
（20％）]]-商品マスタ[[#This Row],[仕入単価+国内送料]]</f>
        <v/>
      </c>
      <c r="W202" s="167">
        <f>ROUNDUP(商品マスタ[[#This Row],[仕入単価+国内送料]]/0.85,-1)</f>
        <v/>
      </c>
      <c r="X202" s="289">
        <f>商品マスタ[[#This Row],[国内定価
（15％）]]-商品マスタ[[#This Row],[仕入単価+国内送料]]</f>
        <v/>
      </c>
      <c r="Y202" s="139" t="n">
        <v>0.08</v>
      </c>
      <c r="Z202" s="167" t="n"/>
      <c r="AA202" s="167" t="n"/>
      <c r="AB202" s="167" t="n"/>
      <c r="AC202" s="293" t="n"/>
      <c r="AD202" s="167" t="n"/>
      <c r="AE202" s="167" t="n"/>
      <c r="AF202" s="167" t="n"/>
      <c r="AG202" s="144" t="n"/>
    </row>
    <row r="203" ht="18" customHeight="1" s="207">
      <c r="A203" s="166" t="inlineStr">
        <is>
          <t>精肉</t>
        </is>
      </c>
      <c r="B203" s="167" t="inlineStr">
        <is>
          <t>和牛</t>
        </is>
      </c>
      <c r="C203" s="167" t="inlineStr">
        <is>
          <t>GOODGOOD</t>
        </is>
      </c>
      <c r="D203" s="143">
        <f>"PRD_SNJ_"&amp;
_xlfn.XLOOKUP(商品マスタ[[#This Row],[仕入先]],テーブル1[仕入先名],テーブル1[仕入先コード],"XXX",0,1)&amp;
"_"&amp;
商品マスタ[[#This Row],[シリアル]]&amp;
"_"&amp;
TEXT(COUNTIFS(商品マスタ!$C$3:C203,商品マスタ[[#This Row],[仕入先]],商品マスタ!$E$3:E203,商品マスタ[[#This Row],[商品名]]), "00")</f>
        <v/>
      </c>
      <c r="E203" s="167" t="inlineStr">
        <is>
          <t>グラスフェッドビーフ　肩ロース（チャックロール）</t>
        </is>
      </c>
      <c r="F203" s="167">
        <f>IF(COUNTIFS($C$3:C203,商品マスタ[[#This Row],[仕入先]],$E$3:E203,商品マスタ[[#This Row],[商品名]]) = 1, 1,0)</f>
        <v/>
      </c>
      <c r="G203" s="133">
        <f>TEXT(SUMIF($C$3:C203,商品マスタ[[#This Row],[仕入先]],$F$3:F203), "0000")</f>
        <v/>
      </c>
      <c r="H203" s="167" t="inlineStr">
        <is>
          <t>kg</t>
        </is>
      </c>
      <c r="I203" s="167" t="inlineStr">
        <is>
          <t>約5.0kg/本</t>
        </is>
      </c>
      <c r="J203" s="167" t="inlineStr">
        <is>
          <t>1本</t>
        </is>
      </c>
      <c r="K203" s="167" t="inlineStr">
        <is>
          <t>ブロック・希少</t>
        </is>
      </c>
      <c r="L203" s="289" t="n">
        <v>2500</v>
      </c>
      <c r="M203" s="157" t="n">
        <v>45834</v>
      </c>
      <c r="N203" s="289" t="n"/>
      <c r="O203" s="290">
        <f>IF(COUNT(商品マスタ[[#This Row],[参考上代
（税込)]]) &gt; 0, (商品マスタ[[#This Row],[参考上代
（税込)]]-商品マスタ[[#This Row],[国内定価
（15％）]])/(商品マスタ[[#This Row],[参考上代
（税込)]]/1.08), "")</f>
        <v/>
      </c>
      <c r="P203" s="136" t="n">
        <v>0.1</v>
      </c>
      <c r="Q203" s="291">
        <f>商品マスタ[[#This Row],[仕入
単価]]*商品マスタ[[#This Row],[標準国内送料率]]</f>
        <v/>
      </c>
      <c r="R203" s="289" t="n"/>
      <c r="S203" s="289">
        <f>IF(ISBLANK(商品マスタ[[#This Row],[実績
国内送料]]),商品マスタ[[#This Row],[標準国内送料]],)</f>
        <v/>
      </c>
      <c r="T203" s="289">
        <f>商品マスタ[[#This Row],[仕入
単価]]+商品マスタ[[#This Row],[国内送料]]</f>
        <v/>
      </c>
      <c r="U203" s="289">
        <f>ROUNDUP(商品マスタ[[#This Row],[仕入単価+国内送料]]/0.8,-1)</f>
        <v/>
      </c>
      <c r="V203" s="289">
        <f>商品マスタ[[#This Row],[海外定価
（20％）]]-商品マスタ[[#This Row],[仕入単価+国内送料]]</f>
        <v/>
      </c>
      <c r="W203" s="167">
        <f>ROUNDUP(商品マスタ[[#This Row],[仕入単価+国内送料]]/0.85,-1)</f>
        <v/>
      </c>
      <c r="X203" s="289">
        <f>商品マスタ[[#This Row],[国内定価
（15％）]]-商品マスタ[[#This Row],[仕入単価+国内送料]]</f>
        <v/>
      </c>
      <c r="Y203" s="139" t="n">
        <v>0.08</v>
      </c>
      <c r="Z203" s="167" t="n"/>
      <c r="AA203" s="167" t="n"/>
      <c r="AB203" s="167" t="n"/>
      <c r="AC203" s="293" t="n"/>
      <c r="AD203" s="167" t="n"/>
      <c r="AE203" s="167" t="n"/>
      <c r="AF203" s="167" t="n"/>
      <c r="AG203" s="144" t="n"/>
    </row>
    <row r="204" ht="18" customHeight="1" s="207">
      <c r="A204" s="166" t="inlineStr">
        <is>
          <t>精肉</t>
        </is>
      </c>
      <c r="B204" s="167" t="inlineStr">
        <is>
          <t>和牛</t>
        </is>
      </c>
      <c r="C204" s="167" t="inlineStr">
        <is>
          <t>GOODGOOD</t>
        </is>
      </c>
      <c r="D204" s="143">
        <f>"PRD_SNJ_"&amp;
_xlfn.XLOOKUP(商品マスタ[[#This Row],[仕入先]],テーブル1[仕入先名],テーブル1[仕入先コード],"XXX",0,1)&amp;
"_"&amp;
商品マスタ[[#This Row],[シリアル]]&amp;
"_"&amp;
TEXT(COUNTIFS(商品マスタ!$C$3:C204,商品マスタ[[#This Row],[仕入先]],商品マスタ!$E$3:E204,商品マスタ[[#This Row],[商品名]]), "00")</f>
        <v/>
      </c>
      <c r="E204" s="167" t="inlineStr">
        <is>
          <t>グラスフェッドビーフ　内モモ</t>
        </is>
      </c>
      <c r="F204" s="167">
        <f>IF(COUNTIFS($C$3:C204,商品マスタ[[#This Row],[仕入先]],$E$3:E204,商品マスタ[[#This Row],[商品名]]) = 1, 1,0)</f>
        <v/>
      </c>
      <c r="G204" s="133">
        <f>TEXT(SUMIF($C$3:C204,商品マスタ[[#This Row],[仕入先]],$F$3:F204), "0000")</f>
        <v/>
      </c>
      <c r="H204" s="167" t="inlineStr">
        <is>
          <t>kg</t>
        </is>
      </c>
      <c r="I204" s="167" t="inlineStr">
        <is>
          <t>約5.0kg/個</t>
        </is>
      </c>
      <c r="J204" s="167" t="inlineStr">
        <is>
          <t>1個</t>
        </is>
      </c>
      <c r="K204" s="167" t="inlineStr">
        <is>
          <t>ブロック</t>
        </is>
      </c>
      <c r="L204" s="289" t="n">
        <v>2500</v>
      </c>
      <c r="M204" s="157" t="n">
        <v>45834</v>
      </c>
      <c r="N204" s="289" t="n"/>
      <c r="O204" s="290">
        <f>IF(COUNT(商品マスタ[[#This Row],[参考上代
（税込)]]) &gt; 0, (商品マスタ[[#This Row],[参考上代
（税込)]]-商品マスタ[[#This Row],[国内定価
（15％）]])/(商品マスタ[[#This Row],[参考上代
（税込)]]/1.08), "")</f>
        <v/>
      </c>
      <c r="P204" s="136" t="n">
        <v>0.1</v>
      </c>
      <c r="Q204" s="291">
        <f>商品マスタ[[#This Row],[仕入
単価]]*商品マスタ[[#This Row],[標準国内送料率]]</f>
        <v/>
      </c>
      <c r="R204" s="289" t="n"/>
      <c r="S204" s="289">
        <f>IF(ISBLANK(商品マスタ[[#This Row],[実績
国内送料]]),商品マスタ[[#This Row],[標準国内送料]],)</f>
        <v/>
      </c>
      <c r="T204" s="289">
        <f>商品マスタ[[#This Row],[仕入
単価]]+商品マスタ[[#This Row],[国内送料]]</f>
        <v/>
      </c>
      <c r="U204" s="289">
        <f>ROUNDUP(商品マスタ[[#This Row],[仕入単価+国内送料]]/0.8,-1)</f>
        <v/>
      </c>
      <c r="V204" s="289">
        <f>商品マスタ[[#This Row],[海外定価
（20％）]]-商品マスタ[[#This Row],[仕入単価+国内送料]]</f>
        <v/>
      </c>
      <c r="W204" s="167">
        <f>ROUNDUP(商品マスタ[[#This Row],[仕入単価+国内送料]]/0.85,-1)</f>
        <v/>
      </c>
      <c r="X204" s="289">
        <f>商品マスタ[[#This Row],[国内定価
（15％）]]-商品マスタ[[#This Row],[仕入単価+国内送料]]</f>
        <v/>
      </c>
      <c r="Y204" s="139" t="n">
        <v>0.08</v>
      </c>
      <c r="Z204" s="167" t="n"/>
      <c r="AA204" s="167" t="n"/>
      <c r="AB204" s="167" t="n"/>
      <c r="AC204" s="293" t="n"/>
      <c r="AD204" s="167" t="n"/>
      <c r="AE204" s="167" t="n"/>
      <c r="AF204" s="167" t="n"/>
      <c r="AG204" s="144" t="n"/>
    </row>
    <row r="205" ht="18" customHeight="1" s="207">
      <c r="A205" s="166" t="inlineStr">
        <is>
          <t>精肉</t>
        </is>
      </c>
      <c r="B205" s="167" t="inlineStr">
        <is>
          <t>和牛</t>
        </is>
      </c>
      <c r="C205" s="167" t="inlineStr">
        <is>
          <t>GOODGOOD</t>
        </is>
      </c>
      <c r="D205" s="143">
        <f>"PRD_SNJ_"&amp;
_xlfn.XLOOKUP(商品マスタ[[#This Row],[仕入先]],テーブル1[仕入先名],テーブル1[仕入先コード],"XXX",0,1)&amp;
"_"&amp;
商品マスタ[[#This Row],[シリアル]]&amp;
"_"&amp;
TEXT(COUNTIFS(商品マスタ!$C$3:C205,商品マスタ[[#This Row],[仕入先]],商品マスタ!$E$3:E205,商品マスタ[[#This Row],[商品名]]), "00")</f>
        <v/>
      </c>
      <c r="E205" s="167" t="inlineStr">
        <is>
          <t>グラスフェッドビーフ　タン</t>
        </is>
      </c>
      <c r="F205" s="167">
        <f>IF(COUNTIFS($C$3:C205,商品マスタ[[#This Row],[仕入先]],$E$3:E205,商品マスタ[[#This Row],[商品名]]) = 1, 1,0)</f>
        <v/>
      </c>
      <c r="G205" s="133">
        <f>TEXT(SUMIF($C$3:C205,商品マスタ[[#This Row],[仕入先]],$F$3:F205), "0000")</f>
        <v/>
      </c>
      <c r="H205" s="167" t="inlineStr">
        <is>
          <t>kg</t>
        </is>
      </c>
      <c r="I205" s="167" t="inlineStr">
        <is>
          <t>約1.3kg/本</t>
        </is>
      </c>
      <c r="J205" s="167" t="inlineStr">
        <is>
          <t>1本</t>
        </is>
      </c>
      <c r="K205" s="167" t="inlineStr">
        <is>
          <t>ブロック</t>
        </is>
      </c>
      <c r="L205" s="289" t="n">
        <v>3500</v>
      </c>
      <c r="M205" s="157" t="n">
        <v>45834</v>
      </c>
      <c r="N205" s="289" t="n"/>
      <c r="O205" s="290">
        <f>IF(COUNT(商品マスタ[[#This Row],[参考上代
（税込)]]) &gt; 0, (商品マスタ[[#This Row],[参考上代
（税込)]]-商品マスタ[[#This Row],[国内定価
（15％）]])/(商品マスタ[[#This Row],[参考上代
（税込)]]/1.08), "")</f>
        <v/>
      </c>
      <c r="P205" s="136" t="n">
        <v>0.1</v>
      </c>
      <c r="Q205" s="291">
        <f>商品マスタ[[#This Row],[仕入
単価]]*商品マスタ[[#This Row],[標準国内送料率]]</f>
        <v/>
      </c>
      <c r="R205" s="289" t="n"/>
      <c r="S205" s="289">
        <f>IF(ISBLANK(商品マスタ[[#This Row],[実績
国内送料]]),商品マスタ[[#This Row],[標準国内送料]],)</f>
        <v/>
      </c>
      <c r="T205" s="289">
        <f>商品マスタ[[#This Row],[仕入
単価]]+商品マスタ[[#This Row],[国内送料]]</f>
        <v/>
      </c>
      <c r="U205" s="289">
        <f>ROUNDUP(商品マスタ[[#This Row],[仕入単価+国内送料]]/0.8,-1)</f>
        <v/>
      </c>
      <c r="V205" s="289">
        <f>商品マスタ[[#This Row],[海外定価
（20％）]]-商品マスタ[[#This Row],[仕入単価+国内送料]]</f>
        <v/>
      </c>
      <c r="W205" s="167">
        <f>ROUNDUP(商品マスタ[[#This Row],[仕入単価+国内送料]]/0.85,-1)</f>
        <v/>
      </c>
      <c r="X205" s="289">
        <f>商品マスタ[[#This Row],[国内定価
（15％）]]-商品マスタ[[#This Row],[仕入単価+国内送料]]</f>
        <v/>
      </c>
      <c r="Y205" s="139" t="n">
        <v>0.08</v>
      </c>
      <c r="Z205" s="167" t="n"/>
      <c r="AA205" s="167" t="n"/>
      <c r="AB205" s="167" t="n"/>
      <c r="AC205" s="293" t="n"/>
      <c r="AD205" s="167" t="n"/>
      <c r="AE205" s="167" t="n"/>
      <c r="AF205" s="167" t="n"/>
      <c r="AG205" s="144" t="n"/>
    </row>
    <row r="206" ht="18" customHeight="1" s="207">
      <c r="A206" s="166" t="inlineStr">
        <is>
          <t>精肉</t>
        </is>
      </c>
      <c r="B206" s="167" t="inlineStr">
        <is>
          <t>和牛</t>
        </is>
      </c>
      <c r="C206" s="167" t="inlineStr">
        <is>
          <t>GOODGOOD</t>
        </is>
      </c>
      <c r="D206" s="143">
        <f>"PRD_SNJ_"&amp;
_xlfn.XLOOKUP(商品マスタ[[#This Row],[仕入先]],テーブル1[仕入先名],テーブル1[仕入先コード],"XXX",0,1)&amp;
"_"&amp;
商品マスタ[[#This Row],[シリアル]]&amp;
"_"&amp;
TEXT(COUNTIFS(商品マスタ!$C$3:C206,商品マスタ[[#This Row],[仕入先]],商品マスタ!$E$3:E206,商品マスタ[[#This Row],[商品名]]), "00")</f>
        <v/>
      </c>
      <c r="E206" s="167" t="inlineStr">
        <is>
          <t>グラスフェッドビーフ　ハラミ</t>
        </is>
      </c>
      <c r="F206" s="167">
        <f>IF(COUNTIFS($C$3:C206,商品マスタ[[#This Row],[仕入先]],$E$3:E206,商品マスタ[[#This Row],[商品名]]) = 1, 1,0)</f>
        <v/>
      </c>
      <c r="G206" s="133">
        <f>TEXT(SUMIF($C$3:C206,商品マスタ[[#This Row],[仕入先]],$F$3:F206), "0000")</f>
        <v/>
      </c>
      <c r="H206" s="167" t="inlineStr">
        <is>
          <t>kg</t>
        </is>
      </c>
      <c r="I206" s="167" t="inlineStr">
        <is>
          <t>約1.2kg/セット</t>
        </is>
      </c>
      <c r="J206" s="167" t="inlineStr">
        <is>
          <t>1セット</t>
        </is>
      </c>
      <c r="K206" s="167" t="inlineStr">
        <is>
          <t>2枚入（1枚600-700g）</t>
        </is>
      </c>
      <c r="L206" s="289" t="n">
        <v>2400</v>
      </c>
      <c r="M206" s="157" t="n">
        <v>45834</v>
      </c>
      <c r="N206" s="289" t="n"/>
      <c r="O206" s="290">
        <f>IF(COUNT(商品マスタ[[#This Row],[参考上代
（税込)]]) &gt; 0, (商品マスタ[[#This Row],[参考上代
（税込)]]-商品マスタ[[#This Row],[国内定価
（15％）]])/(商品マスタ[[#This Row],[参考上代
（税込)]]/1.08), "")</f>
        <v/>
      </c>
      <c r="P206" s="136" t="n">
        <v>0.1</v>
      </c>
      <c r="Q206" s="291">
        <f>商品マスタ[[#This Row],[仕入
単価]]*商品マスタ[[#This Row],[標準国内送料率]]</f>
        <v/>
      </c>
      <c r="R206" s="289" t="n"/>
      <c r="S206" s="289">
        <f>IF(ISBLANK(商品マスタ[[#This Row],[実績
国内送料]]),商品マスタ[[#This Row],[標準国内送料]],)</f>
        <v/>
      </c>
      <c r="T206" s="289">
        <f>商品マスタ[[#This Row],[仕入
単価]]+商品マスタ[[#This Row],[国内送料]]</f>
        <v/>
      </c>
      <c r="U206" s="289">
        <f>ROUNDUP(商品マスタ[[#This Row],[仕入単価+国内送料]]/0.8,-1)</f>
        <v/>
      </c>
      <c r="V206" s="289">
        <f>商品マスタ[[#This Row],[海外定価
（20％）]]-商品マスタ[[#This Row],[仕入単価+国内送料]]</f>
        <v/>
      </c>
      <c r="W206" s="167">
        <f>ROUNDUP(商品マスタ[[#This Row],[仕入単価+国内送料]]/0.85,-1)</f>
        <v/>
      </c>
      <c r="X206" s="289">
        <f>商品マスタ[[#This Row],[国内定価
（15％）]]-商品マスタ[[#This Row],[仕入単価+国内送料]]</f>
        <v/>
      </c>
      <c r="Y206" s="139" t="n">
        <v>0.08</v>
      </c>
      <c r="Z206" s="167" t="n"/>
      <c r="AA206" s="167" t="n"/>
      <c r="AB206" s="167" t="n"/>
      <c r="AC206" s="293" t="n"/>
      <c r="AD206" s="167" t="n"/>
      <c r="AE206" s="167" t="n"/>
      <c r="AF206" s="167" t="n"/>
      <c r="AG206" s="144" t="n"/>
    </row>
    <row r="207" ht="18" customHeight="1" s="207">
      <c r="A207" s="166" t="inlineStr">
        <is>
          <t>青果</t>
        </is>
      </c>
      <c r="B207" s="167" t="inlineStr">
        <is>
          <t>野菜</t>
        </is>
      </c>
      <c r="C207" s="167" t="inlineStr">
        <is>
          <t>GOODGOOD</t>
        </is>
      </c>
      <c r="D207" s="143">
        <f>"PRD_SNJ_"&amp;
_xlfn.XLOOKUP(商品マスタ[[#This Row],[仕入先]],テーブル1[仕入先名],テーブル1[仕入先コード],"XXX",0,1)&amp;
"_"&amp;
商品マスタ[[#This Row],[シリアル]]&amp;
"_"&amp;
TEXT(COUNTIFS(商品マスタ!$C$3:C207,商品マスタ[[#This Row],[仕入先]],商品マスタ!$E$3:E207,商品マスタ[[#This Row],[商品名]]), "00")</f>
        <v/>
      </c>
      <c r="E207" s="167" t="inlineStr">
        <is>
          <t>北海道放牧豚ZETTON　ヒレ</t>
        </is>
      </c>
      <c r="F207" s="167">
        <f>IF(COUNTIFS($C$3:C207,商品マスタ[[#This Row],[仕入先]],$E$3:E207,商品マスタ[[#This Row],[商品名]]) = 1, 1,0)</f>
        <v/>
      </c>
      <c r="G207" s="133">
        <f>TEXT(SUMIF($C$3:C207,商品マスタ[[#This Row],[仕入先]],$F$3:F207), "0000")</f>
        <v/>
      </c>
      <c r="H207" s="167" t="inlineStr">
        <is>
          <t>kg</t>
        </is>
      </c>
      <c r="I207" s="167" t="inlineStr">
        <is>
          <t>約0.6kg/本</t>
        </is>
      </c>
      <c r="J207" s="167" t="inlineStr">
        <is>
          <t>1本</t>
        </is>
      </c>
      <c r="K207" s="167" t="inlineStr">
        <is>
          <t>ブロック・希少</t>
        </is>
      </c>
      <c r="L207" s="289" t="n">
        <v>3530</v>
      </c>
      <c r="M207" s="157" t="n">
        <v>45834</v>
      </c>
      <c r="N207" s="289" t="n"/>
      <c r="O207" s="290">
        <f>IF(COUNT(商品マスタ[[#This Row],[参考上代
（税込)]]) &gt; 0, (商品マスタ[[#This Row],[参考上代
（税込)]]-商品マスタ[[#This Row],[国内定価
（15％）]])/(商品マスタ[[#This Row],[参考上代
（税込)]]/1.08), "")</f>
        <v/>
      </c>
      <c r="P207" s="136" t="n">
        <v>0.1</v>
      </c>
      <c r="Q207" s="291">
        <f>商品マスタ[[#This Row],[仕入
単価]]*商品マスタ[[#This Row],[標準国内送料率]]</f>
        <v/>
      </c>
      <c r="R207" s="289" t="n"/>
      <c r="S207" s="289">
        <f>IF(ISBLANK(商品マスタ[[#This Row],[実績
国内送料]]),商品マスタ[[#This Row],[標準国内送料]],)</f>
        <v/>
      </c>
      <c r="T207" s="289">
        <f>商品マスタ[[#This Row],[仕入
単価]]+商品マスタ[[#This Row],[国内送料]]</f>
        <v/>
      </c>
      <c r="U207" s="289">
        <f>ROUNDUP(商品マスタ[[#This Row],[仕入単価+国内送料]]/0.8,-1)</f>
        <v/>
      </c>
      <c r="V207" s="289">
        <f>商品マスタ[[#This Row],[海外定価
（20％）]]-商品マスタ[[#This Row],[仕入単価+国内送料]]</f>
        <v/>
      </c>
      <c r="W207" s="167">
        <f>ROUNDUP(商品マスタ[[#This Row],[仕入単価+国内送料]]/0.85,-1)</f>
        <v/>
      </c>
      <c r="X207" s="289">
        <f>商品マスタ[[#This Row],[国内定価
（15％）]]-商品マスタ[[#This Row],[仕入単価+国内送料]]</f>
        <v/>
      </c>
      <c r="Y207" s="139" t="n">
        <v>0.08</v>
      </c>
      <c r="Z207" s="167" t="n"/>
      <c r="AA207" s="167" t="n"/>
      <c r="AB207" s="167" t="n"/>
      <c r="AC207" s="293" t="n"/>
      <c r="AD207" s="167" t="n"/>
      <c r="AE207" s="167" t="n"/>
      <c r="AF207" s="167" t="n"/>
      <c r="AG207" s="144" t="n"/>
    </row>
    <row r="208" ht="18" customHeight="1" s="207">
      <c r="A208" s="166" t="inlineStr">
        <is>
          <t>青果</t>
        </is>
      </c>
      <c r="B208" s="167" t="inlineStr">
        <is>
          <t>野菜</t>
        </is>
      </c>
      <c r="C208" s="167" t="inlineStr">
        <is>
          <t>GOODGOOD</t>
        </is>
      </c>
      <c r="D208" s="143">
        <f>"PRD_SNJ_"&amp;
_xlfn.XLOOKUP(商品マスタ[[#This Row],[仕入先]],テーブル1[仕入先名],テーブル1[仕入先コード],"XXX",0,1)&amp;
"_"&amp;
商品マスタ[[#This Row],[シリアル]]&amp;
"_"&amp;
TEXT(COUNTIFS(商品マスタ!$C$3:C208,商品マスタ[[#This Row],[仕入先]],商品マスタ!$E$3:E208,商品マスタ[[#This Row],[商品名]]), "00")</f>
        <v/>
      </c>
      <c r="E208" s="167" t="inlineStr">
        <is>
          <t>北海道放牧豚ZETTON　ロース</t>
        </is>
      </c>
      <c r="F208" s="167">
        <f>IF(COUNTIFS($C$3:C208,商品マスタ[[#This Row],[仕入先]],$E$3:E208,商品マスタ[[#This Row],[商品名]]) = 1, 1,0)</f>
        <v/>
      </c>
      <c r="G208" s="133">
        <f>TEXT(SUMIF($C$3:C208,商品マスタ[[#This Row],[仕入先]],$F$3:F208), "0000")</f>
        <v/>
      </c>
      <c r="H208" s="167" t="inlineStr">
        <is>
          <t>kg</t>
        </is>
      </c>
      <c r="I208" s="167" t="inlineStr">
        <is>
          <t>約7.0kg/本</t>
        </is>
      </c>
      <c r="J208" s="167" t="inlineStr">
        <is>
          <t>1本</t>
        </is>
      </c>
      <c r="K208" s="167" t="inlineStr">
        <is>
          <t>ブロック・希少</t>
        </is>
      </c>
      <c r="L208" s="289" t="n">
        <v>3800</v>
      </c>
      <c r="M208" s="157" t="n">
        <v>45834</v>
      </c>
      <c r="N208" s="289" t="n"/>
      <c r="O208" s="290">
        <f>IF(COUNT(商品マスタ[[#This Row],[参考上代
（税込)]]) &gt; 0, (商品マスタ[[#This Row],[参考上代
（税込)]]-商品マスタ[[#This Row],[国内定価
（15％）]])/(商品マスタ[[#This Row],[参考上代
（税込)]]/1.08), "")</f>
        <v/>
      </c>
      <c r="P208" s="136" t="n">
        <v>0.1</v>
      </c>
      <c r="Q208" s="291">
        <f>商品マスタ[[#This Row],[仕入
単価]]*商品マスタ[[#This Row],[標準国内送料率]]</f>
        <v/>
      </c>
      <c r="R208" s="289" t="n"/>
      <c r="S208" s="289">
        <f>IF(ISBLANK(商品マスタ[[#This Row],[実績
国内送料]]),商品マスタ[[#This Row],[標準国内送料]],)</f>
        <v/>
      </c>
      <c r="T208" s="289">
        <f>商品マスタ[[#This Row],[仕入
単価]]+商品マスタ[[#This Row],[国内送料]]</f>
        <v/>
      </c>
      <c r="U208" s="289">
        <f>ROUNDUP(商品マスタ[[#This Row],[仕入単価+国内送料]]/0.8,-1)</f>
        <v/>
      </c>
      <c r="V208" s="289">
        <f>商品マスタ[[#This Row],[海外定価
（20％）]]-商品マスタ[[#This Row],[仕入単価+国内送料]]</f>
        <v/>
      </c>
      <c r="W208" s="167">
        <f>ROUNDUP(商品マスタ[[#This Row],[仕入単価+国内送料]]/0.85,-1)</f>
        <v/>
      </c>
      <c r="X208" s="289">
        <f>商品マスタ[[#This Row],[国内定価
（15％）]]-商品マスタ[[#This Row],[仕入単価+国内送料]]</f>
        <v/>
      </c>
      <c r="Y208" s="139" t="n">
        <v>0.08</v>
      </c>
      <c r="Z208" s="167" t="n"/>
      <c r="AA208" s="167" t="n"/>
      <c r="AB208" s="167" t="n"/>
      <c r="AC208" s="293" t="n"/>
      <c r="AD208" s="167" t="n"/>
      <c r="AE208" s="167" t="n"/>
      <c r="AF208" s="167" t="n"/>
      <c r="AG208" s="144" t="n"/>
    </row>
    <row r="209" ht="18" customHeight="1" s="207">
      <c r="A209" s="166" t="inlineStr">
        <is>
          <t>青果</t>
        </is>
      </c>
      <c r="B209" s="167" t="inlineStr">
        <is>
          <t>野菜</t>
        </is>
      </c>
      <c r="C209" s="167" t="inlineStr">
        <is>
          <t>GOODGOOD</t>
        </is>
      </c>
      <c r="D209" s="143">
        <f>"PRD_SNJ_"&amp;
_xlfn.XLOOKUP(商品マスタ[[#This Row],[仕入先]],テーブル1[仕入先名],テーブル1[仕入先コード],"XXX",0,1)&amp;
"_"&amp;
商品マスタ[[#This Row],[シリアル]]&amp;
"_"&amp;
TEXT(COUNTIFS(商品マスタ!$C$3:C209,商品マスタ[[#This Row],[仕入先]],商品マスタ!$E$3:E209,商品マスタ[[#This Row],[商品名]]), "00")</f>
        <v/>
      </c>
      <c r="E209" s="167" t="inlineStr">
        <is>
          <t>北海道放牧豚ZETTON　肩ロース</t>
        </is>
      </c>
      <c r="F209" s="167">
        <f>IF(COUNTIFS($C$3:C209,商品マスタ[[#This Row],[仕入先]],$E$3:E209,商品マスタ[[#This Row],[商品名]]) = 1, 1,0)</f>
        <v/>
      </c>
      <c r="G209" s="133">
        <f>TEXT(SUMIF($C$3:C209,商品マスタ[[#This Row],[仕入先]],$F$3:F209), "0000")</f>
        <v/>
      </c>
      <c r="H209" s="167" t="inlineStr">
        <is>
          <t>kg</t>
        </is>
      </c>
      <c r="I209" s="167" t="inlineStr">
        <is>
          <t>約4.0kg/本</t>
        </is>
      </c>
      <c r="J209" s="167" t="inlineStr">
        <is>
          <t>1本</t>
        </is>
      </c>
      <c r="K209" s="167" t="inlineStr">
        <is>
          <t>ブロック・一番人気</t>
        </is>
      </c>
      <c r="L209" s="289" t="n">
        <v>3550</v>
      </c>
      <c r="M209" s="157" t="n">
        <v>45834</v>
      </c>
      <c r="N209" s="289" t="n"/>
      <c r="O209" s="290">
        <f>IF(COUNT(商品マスタ[[#This Row],[参考上代
（税込)]]) &gt; 0, (商品マスタ[[#This Row],[参考上代
（税込)]]-商品マスタ[[#This Row],[国内定価
（15％）]])/(商品マスタ[[#This Row],[参考上代
（税込)]]/1.08), "")</f>
        <v/>
      </c>
      <c r="P209" s="136" t="n">
        <v>0.1</v>
      </c>
      <c r="Q209" s="291">
        <f>商品マスタ[[#This Row],[仕入
単価]]*商品マスタ[[#This Row],[標準国内送料率]]</f>
        <v/>
      </c>
      <c r="R209" s="289" t="n"/>
      <c r="S209" s="289">
        <f>IF(ISBLANK(商品マスタ[[#This Row],[実績
国内送料]]),商品マスタ[[#This Row],[標準国内送料]],)</f>
        <v/>
      </c>
      <c r="T209" s="289">
        <f>商品マスタ[[#This Row],[仕入
単価]]+商品マスタ[[#This Row],[国内送料]]</f>
        <v/>
      </c>
      <c r="U209" s="289">
        <f>ROUNDUP(商品マスタ[[#This Row],[仕入単価+国内送料]]/0.8,-1)</f>
        <v/>
      </c>
      <c r="V209" s="289">
        <f>商品マスタ[[#This Row],[海外定価
（20％）]]-商品マスタ[[#This Row],[仕入単価+国内送料]]</f>
        <v/>
      </c>
      <c r="W209" s="167">
        <f>ROUNDUP(商品マスタ[[#This Row],[仕入単価+国内送料]]/0.85,-1)</f>
        <v/>
      </c>
      <c r="X209" s="289">
        <f>商品マスタ[[#This Row],[国内定価
（15％）]]-商品マスタ[[#This Row],[仕入単価+国内送料]]</f>
        <v/>
      </c>
      <c r="Y209" s="139" t="n">
        <v>0.08</v>
      </c>
      <c r="Z209" s="167" t="n"/>
      <c r="AA209" s="167" t="n"/>
      <c r="AB209" s="167" t="n"/>
      <c r="AC209" s="293" t="n"/>
      <c r="AD209" s="167" t="n"/>
      <c r="AE209" s="167" t="n"/>
      <c r="AF209" s="167" t="n"/>
      <c r="AG209" s="144" t="n"/>
    </row>
    <row r="210" ht="18" customHeight="1" s="207">
      <c r="A210" s="166" t="inlineStr">
        <is>
          <t>青果</t>
        </is>
      </c>
      <c r="B210" s="167" t="inlineStr">
        <is>
          <t>野菜</t>
        </is>
      </c>
      <c r="C210" s="167" t="inlineStr">
        <is>
          <t>GOODGOOD</t>
        </is>
      </c>
      <c r="D210" s="143">
        <f>"PRD_SNJ_"&amp;
_xlfn.XLOOKUP(商品マスタ[[#This Row],[仕入先]],テーブル1[仕入先名],テーブル1[仕入先コード],"XXX",0,1)&amp;
"_"&amp;
商品マスタ[[#This Row],[シリアル]]&amp;
"_"&amp;
TEXT(COUNTIFS(商品マスタ!$C$3:C210,商品マスタ[[#This Row],[仕入先]],商品マスタ!$E$3:E210,商品マスタ[[#This Row],[商品名]]), "00")</f>
        <v/>
      </c>
      <c r="E210" s="167" t="inlineStr">
        <is>
          <t>北海道放牧豚ZETTON　バラ</t>
        </is>
      </c>
      <c r="F210" s="167">
        <f>IF(COUNTIFS($C$3:C210,商品マスタ[[#This Row],[仕入先]],$E$3:E210,商品マスタ[[#This Row],[商品名]]) = 1, 1,0)</f>
        <v/>
      </c>
      <c r="G210" s="133">
        <f>TEXT(SUMIF($C$3:C210,商品マスタ[[#This Row],[仕入先]],$F$3:F210), "0000")</f>
        <v/>
      </c>
      <c r="H210" s="167" t="inlineStr">
        <is>
          <t>kg</t>
        </is>
      </c>
      <c r="I210" s="167" t="inlineStr">
        <is>
          <t>約6.0kg/枚</t>
        </is>
      </c>
      <c r="J210" s="167" t="inlineStr">
        <is>
          <t>1枚</t>
        </is>
      </c>
      <c r="K210" s="167" t="inlineStr">
        <is>
          <t>ブロック</t>
        </is>
      </c>
      <c r="L210" s="289" t="n">
        <v>3550</v>
      </c>
      <c r="M210" s="157" t="n">
        <v>45834</v>
      </c>
      <c r="N210" s="289" t="n"/>
      <c r="O210" s="290">
        <f>IF(COUNT(商品マスタ[[#This Row],[参考上代
（税込)]]) &gt; 0, (商品マスタ[[#This Row],[参考上代
（税込)]]-商品マスタ[[#This Row],[国内定価
（15％）]])/(商品マスタ[[#This Row],[参考上代
（税込)]]/1.08), "")</f>
        <v/>
      </c>
      <c r="P210" s="136" t="n">
        <v>0.1</v>
      </c>
      <c r="Q210" s="291">
        <f>商品マスタ[[#This Row],[仕入
単価]]*商品マスタ[[#This Row],[標準国内送料率]]</f>
        <v/>
      </c>
      <c r="R210" s="289" t="n"/>
      <c r="S210" s="289">
        <f>IF(ISBLANK(商品マスタ[[#This Row],[実績
国内送料]]),商品マスタ[[#This Row],[標準国内送料]],)</f>
        <v/>
      </c>
      <c r="T210" s="289">
        <f>商品マスタ[[#This Row],[仕入
単価]]+商品マスタ[[#This Row],[国内送料]]</f>
        <v/>
      </c>
      <c r="U210" s="289">
        <f>ROUNDUP(商品マスタ[[#This Row],[仕入単価+国内送料]]/0.8,-1)</f>
        <v/>
      </c>
      <c r="V210" s="289">
        <f>商品マスタ[[#This Row],[海外定価
（20％）]]-商品マスタ[[#This Row],[仕入単価+国内送料]]</f>
        <v/>
      </c>
      <c r="W210" s="167">
        <f>ROUNDUP(商品マスタ[[#This Row],[仕入単価+国内送料]]/0.85,-1)</f>
        <v/>
      </c>
      <c r="X210" s="289">
        <f>商品マスタ[[#This Row],[国内定価
（15％）]]-商品マスタ[[#This Row],[仕入単価+国内送料]]</f>
        <v/>
      </c>
      <c r="Y210" s="139" t="n">
        <v>0.08</v>
      </c>
      <c r="Z210" s="167" t="n"/>
      <c r="AA210" s="167" t="n"/>
      <c r="AB210" s="167" t="n"/>
      <c r="AC210" s="293" t="n"/>
      <c r="AD210" s="167" t="n"/>
      <c r="AE210" s="167" t="n"/>
      <c r="AF210" s="167" t="n"/>
      <c r="AG210" s="144" t="n"/>
    </row>
    <row r="211" ht="18" customHeight="1" s="207">
      <c r="A211" s="166" t="inlineStr">
        <is>
          <t>青果</t>
        </is>
      </c>
      <c r="B211" s="167" t="inlineStr">
        <is>
          <t>野菜</t>
        </is>
      </c>
      <c r="C211" s="167" t="inlineStr">
        <is>
          <t>GOODGOOD</t>
        </is>
      </c>
      <c r="D211" s="143">
        <f>"PRD_SNJ_"&amp;
_xlfn.XLOOKUP(商品マスタ[[#This Row],[仕入先]],テーブル1[仕入先名],テーブル1[仕入先コード],"XXX",0,1)&amp;
"_"&amp;
商品マスタ[[#This Row],[シリアル]]&amp;
"_"&amp;
TEXT(COUNTIFS(商品マスタ!$C$3:C211,商品マスタ[[#This Row],[仕入先]],商品マスタ!$E$3:E211,商品マスタ[[#This Row],[商品名]]), "00")</f>
        <v/>
      </c>
      <c r="E211" s="167" t="inlineStr">
        <is>
          <t>北海道放牧豚ZETTON　ウデ</t>
        </is>
      </c>
      <c r="F211" s="167">
        <f>IF(COUNTIFS($C$3:C211,商品マスタ[[#This Row],[仕入先]],$E$3:E211,商品マスタ[[#This Row],[商品名]]) = 1, 1,0)</f>
        <v/>
      </c>
      <c r="G211" s="133">
        <f>TEXT(SUMIF($C$3:C211,商品マスタ[[#This Row],[仕入先]],$F$3:F211), "0000")</f>
        <v/>
      </c>
      <c r="H211" s="167" t="inlineStr">
        <is>
          <t>kg</t>
        </is>
      </c>
      <c r="I211" s="167" t="inlineStr">
        <is>
          <t>約8.0kg/本</t>
        </is>
      </c>
      <c r="J211" s="167" t="inlineStr">
        <is>
          <t>1本</t>
        </is>
      </c>
      <c r="K211" s="167" t="inlineStr">
        <is>
          <t>ブロック</t>
        </is>
      </c>
      <c r="L211" s="289" t="n">
        <v>1260</v>
      </c>
      <c r="M211" s="157" t="n">
        <v>45834</v>
      </c>
      <c r="N211" s="289" t="n"/>
      <c r="O211" s="290">
        <f>IF(COUNT(商品マスタ[[#This Row],[参考上代
（税込)]]) &gt; 0, (商品マスタ[[#This Row],[参考上代
（税込)]]-商品マスタ[[#This Row],[国内定価
（15％）]])/(商品マスタ[[#This Row],[参考上代
（税込)]]/1.08), "")</f>
        <v/>
      </c>
      <c r="P211" s="136" t="n">
        <v>0.1</v>
      </c>
      <c r="Q211" s="291">
        <f>商品マスタ[[#This Row],[仕入
単価]]*商品マスタ[[#This Row],[標準国内送料率]]</f>
        <v/>
      </c>
      <c r="R211" s="289" t="n"/>
      <c r="S211" s="289">
        <f>IF(ISBLANK(商品マスタ[[#This Row],[実績
国内送料]]),商品マスタ[[#This Row],[標準国内送料]],)</f>
        <v/>
      </c>
      <c r="T211" s="289">
        <f>商品マスタ[[#This Row],[仕入
単価]]+商品マスタ[[#This Row],[国内送料]]</f>
        <v/>
      </c>
      <c r="U211" s="289">
        <f>ROUNDUP(商品マスタ[[#This Row],[仕入単価+国内送料]]/0.8,-1)</f>
        <v/>
      </c>
      <c r="V211" s="289">
        <f>商品マスタ[[#This Row],[海外定価
（20％）]]-商品マスタ[[#This Row],[仕入単価+国内送料]]</f>
        <v/>
      </c>
      <c r="W211" s="167">
        <f>ROUNDUP(商品マスタ[[#This Row],[仕入単価+国内送料]]/0.85,-1)</f>
        <v/>
      </c>
      <c r="X211" s="289">
        <f>商品マスタ[[#This Row],[国内定価
（15％）]]-商品マスタ[[#This Row],[仕入単価+国内送料]]</f>
        <v/>
      </c>
      <c r="Y211" s="139" t="n">
        <v>0.08</v>
      </c>
      <c r="Z211" s="167" t="n"/>
      <c r="AA211" s="167" t="n"/>
      <c r="AB211" s="167" t="n"/>
      <c r="AC211" s="293" t="n"/>
      <c r="AD211" s="167" t="n"/>
      <c r="AE211" s="167" t="n"/>
      <c r="AF211" s="167" t="n"/>
      <c r="AG211" s="144" t="n"/>
    </row>
    <row r="212" ht="18" customHeight="1" s="207">
      <c r="A212" s="166" t="inlineStr">
        <is>
          <t>青果</t>
        </is>
      </c>
      <c r="B212" s="167" t="inlineStr">
        <is>
          <t>野菜</t>
        </is>
      </c>
      <c r="C212" s="167" t="inlineStr">
        <is>
          <t>GOODGOOD</t>
        </is>
      </c>
      <c r="D212" s="143">
        <f>"PRD_SNJ_"&amp;
_xlfn.XLOOKUP(商品マスタ[[#This Row],[仕入先]],テーブル1[仕入先名],テーブル1[仕入先コード],"XXX",0,1)&amp;
"_"&amp;
商品マスタ[[#This Row],[シリアル]]&amp;
"_"&amp;
TEXT(COUNTIFS(商品マスタ!$C$3:C212,商品マスタ[[#This Row],[仕入先]],商品マスタ!$E$3:E212,商品マスタ[[#This Row],[商品名]]), "00")</f>
        <v/>
      </c>
      <c r="E212" s="167" t="inlineStr">
        <is>
          <t>北海道放牧豚ZETTON　モモ</t>
        </is>
      </c>
      <c r="F212" s="167">
        <f>IF(COUNTIFS($C$3:C212,商品マスタ[[#This Row],[仕入先]],$E$3:E212,商品マスタ[[#This Row],[商品名]]) = 1, 1,0)</f>
        <v/>
      </c>
      <c r="G212" s="133">
        <f>TEXT(SUMIF($C$3:C212,商品マスタ[[#This Row],[仕入先]],$F$3:F212), "0000")</f>
        <v/>
      </c>
      <c r="H212" s="167" t="inlineStr">
        <is>
          <t>kg</t>
        </is>
      </c>
      <c r="I212" s="167" t="inlineStr">
        <is>
          <t>約12.0kg/本</t>
        </is>
      </c>
      <c r="J212" s="167" t="inlineStr">
        <is>
          <t>1本</t>
        </is>
      </c>
      <c r="K212" s="167" t="inlineStr">
        <is>
          <t>ブロック</t>
        </is>
      </c>
      <c r="L212" s="289" t="n">
        <v>1260</v>
      </c>
      <c r="M212" s="157" t="n">
        <v>45834</v>
      </c>
      <c r="N212" s="289" t="n"/>
      <c r="O212" s="290">
        <f>IF(COUNT(商品マスタ[[#This Row],[参考上代
（税込)]]) &gt; 0, (商品マスタ[[#This Row],[参考上代
（税込)]]-商品マスタ[[#This Row],[国内定価
（15％）]])/(商品マスタ[[#This Row],[参考上代
（税込)]]/1.08), "")</f>
        <v/>
      </c>
      <c r="P212" s="136" t="n">
        <v>0.1</v>
      </c>
      <c r="Q212" s="291">
        <f>商品マスタ[[#This Row],[仕入
単価]]*商品マスタ[[#This Row],[標準国内送料率]]</f>
        <v/>
      </c>
      <c r="R212" s="289" t="n"/>
      <c r="S212" s="289">
        <f>IF(ISBLANK(商品マスタ[[#This Row],[実績
国内送料]]),商品マスタ[[#This Row],[標準国内送料]],)</f>
        <v/>
      </c>
      <c r="T212" s="289">
        <f>商品マスタ[[#This Row],[仕入
単価]]+商品マスタ[[#This Row],[国内送料]]</f>
        <v/>
      </c>
      <c r="U212" s="289">
        <f>ROUNDUP(商品マスタ[[#This Row],[仕入単価+国内送料]]/0.8,-1)</f>
        <v/>
      </c>
      <c r="V212" s="289">
        <f>商品マスタ[[#This Row],[海外定価
（20％）]]-商品マスタ[[#This Row],[仕入単価+国内送料]]</f>
        <v/>
      </c>
      <c r="W212" s="167">
        <f>ROUNDUP(商品マスタ[[#This Row],[仕入単価+国内送料]]/0.85,-1)</f>
        <v/>
      </c>
      <c r="X212" s="289">
        <f>商品マスタ[[#This Row],[国内定価
（15％）]]-商品マスタ[[#This Row],[仕入単価+国内送料]]</f>
        <v/>
      </c>
      <c r="Y212" s="139" t="n">
        <v>0.08</v>
      </c>
      <c r="Z212" s="167" t="n"/>
      <c r="AA212" s="167" t="n"/>
      <c r="AB212" s="167" t="n"/>
      <c r="AC212" s="293" t="n"/>
      <c r="AD212" s="167" t="n"/>
      <c r="AE212" s="167" t="n"/>
      <c r="AF212" s="167" t="n"/>
      <c r="AG212" s="144" t="n"/>
    </row>
    <row r="213" ht="18" customHeight="1" s="207">
      <c r="A213" s="166" t="inlineStr">
        <is>
          <t>青果</t>
        </is>
      </c>
      <c r="B213" s="167" t="inlineStr">
        <is>
          <t>野菜</t>
        </is>
      </c>
      <c r="C213" s="167" t="inlineStr">
        <is>
          <t>GOODGOOD</t>
        </is>
      </c>
      <c r="D213" s="143">
        <f>"PRD_SNJ_"&amp;
_xlfn.XLOOKUP(商品マスタ[[#This Row],[仕入先]],テーブル1[仕入先名],テーブル1[仕入先コード],"XXX",0,1)&amp;
"_"&amp;
商品マスタ[[#This Row],[シリアル]]&amp;
"_"&amp;
TEXT(COUNTIFS(商品マスタ!$C$3:C213,商品マスタ[[#This Row],[仕入先]],商品マスタ!$E$3:E213,商品マスタ[[#This Row],[商品名]]), "00")</f>
        <v/>
      </c>
      <c r="E213" s="167" t="inlineStr">
        <is>
          <t>北海道放牧豚ZETTON　ミンチ（ウデ）</t>
        </is>
      </c>
      <c r="F213" s="167">
        <f>IF(COUNTIFS($C$3:C213,商品マスタ[[#This Row],[仕入先]],$E$3:E213,商品マスタ[[#This Row],[商品名]]) = 1, 1,0)</f>
        <v/>
      </c>
      <c r="G213" s="133">
        <f>TEXT(SUMIF($C$3:C213,商品マスタ[[#This Row],[仕入先]],$F$3:F213), "0000")</f>
        <v/>
      </c>
      <c r="H213" s="167" t="inlineStr">
        <is>
          <t>kg</t>
        </is>
      </c>
      <c r="I213" s="167" t="inlineStr">
        <is>
          <t>1.0kg/袋</t>
        </is>
      </c>
      <c r="J213" s="167" t="inlineStr">
        <is>
          <t>1袋</t>
        </is>
      </c>
      <c r="K213" s="167" t="inlineStr">
        <is>
          <t>ミンチ</t>
        </is>
      </c>
      <c r="L213" s="289" t="n">
        <v>1500</v>
      </c>
      <c r="M213" s="157" t="n">
        <v>45834</v>
      </c>
      <c r="N213" s="289" t="n"/>
      <c r="O213" s="290">
        <f>IF(COUNT(商品マスタ[[#This Row],[参考上代
（税込)]]) &gt; 0, (商品マスタ[[#This Row],[参考上代
（税込)]]-商品マスタ[[#This Row],[国内定価
（15％）]])/(商品マスタ[[#This Row],[参考上代
（税込)]]/1.08), "")</f>
        <v/>
      </c>
      <c r="P213" s="136" t="n">
        <v>0.1</v>
      </c>
      <c r="Q213" s="291">
        <f>商品マスタ[[#This Row],[仕入
単価]]*商品マスタ[[#This Row],[標準国内送料率]]</f>
        <v/>
      </c>
      <c r="R213" s="289" t="n"/>
      <c r="S213" s="289">
        <f>IF(ISBLANK(商品マスタ[[#This Row],[実績
国内送料]]),商品マスタ[[#This Row],[標準国内送料]],)</f>
        <v/>
      </c>
      <c r="T213" s="289">
        <f>商品マスタ[[#This Row],[仕入
単価]]+商品マスタ[[#This Row],[国内送料]]</f>
        <v/>
      </c>
      <c r="U213" s="289">
        <f>ROUNDUP(商品マスタ[[#This Row],[仕入単価+国内送料]]/0.8,-1)</f>
        <v/>
      </c>
      <c r="V213" s="289">
        <f>商品マスタ[[#This Row],[海外定価
（20％）]]-商品マスタ[[#This Row],[仕入単価+国内送料]]</f>
        <v/>
      </c>
      <c r="W213" s="167">
        <f>ROUNDUP(商品マスタ[[#This Row],[仕入単価+国内送料]]/0.85,-1)</f>
        <v/>
      </c>
      <c r="X213" s="289">
        <f>商品マスタ[[#This Row],[国内定価
（15％）]]-商品マスタ[[#This Row],[仕入単価+国内送料]]</f>
        <v/>
      </c>
      <c r="Y213" s="139" t="n">
        <v>0.08</v>
      </c>
      <c r="Z213" s="167" t="n"/>
      <c r="AA213" s="167" t="n"/>
      <c r="AB213" s="167" t="n"/>
      <c r="AC213" s="293" t="n"/>
      <c r="AD213" s="167" t="n"/>
      <c r="AE213" s="167" t="n"/>
      <c r="AF213" s="167" t="n"/>
      <c r="AG213" s="144" t="n"/>
    </row>
    <row r="214" ht="18" customHeight="1" s="207">
      <c r="A214" s="166" t="inlineStr">
        <is>
          <t>青果</t>
        </is>
      </c>
      <c r="B214" s="167" t="inlineStr">
        <is>
          <t>野菜</t>
        </is>
      </c>
      <c r="C214" s="167" t="inlineStr">
        <is>
          <t>GOODGOOD</t>
        </is>
      </c>
      <c r="D214" s="143">
        <f>"PRD_SNJ_"&amp;
_xlfn.XLOOKUP(商品マスタ[[#This Row],[仕入先]],テーブル1[仕入先名],テーブル1[仕入先コード],"XXX",0,1)&amp;
"_"&amp;
商品マスタ[[#This Row],[シリアル]]&amp;
"_"&amp;
TEXT(COUNTIFS(商品マスタ!$C$3:C214,商品マスタ[[#This Row],[仕入先]],商品マスタ!$E$3:E214,商品マスタ[[#This Row],[商品名]]), "00")</f>
        <v/>
      </c>
      <c r="E214" s="167" t="inlineStr">
        <is>
          <t>北海道放牧豚ZETTON　背脂</t>
        </is>
      </c>
      <c r="F214" s="167">
        <f>IF(COUNTIFS($C$3:C214,商品マスタ[[#This Row],[仕入先]],$E$3:E214,商品マスタ[[#This Row],[商品名]]) = 1, 1,0)</f>
        <v/>
      </c>
      <c r="G214" s="133">
        <f>TEXT(SUMIF($C$3:C214,商品マスタ[[#This Row],[仕入先]],$F$3:F214), "0000")</f>
        <v/>
      </c>
      <c r="H214" s="167" t="inlineStr">
        <is>
          <t>kg</t>
        </is>
      </c>
      <c r="I214" s="167" t="inlineStr">
        <is>
          <t>1.0kg/袋</t>
        </is>
      </c>
      <c r="J214" s="167" t="inlineStr">
        <is>
          <t>1袋</t>
        </is>
      </c>
      <c r="K214" s="167" t="inlineStr">
        <is>
          <t>スープ原料</t>
        </is>
      </c>
      <c r="L214" s="289" t="n">
        <v>300</v>
      </c>
      <c r="M214" s="157" t="n">
        <v>45834</v>
      </c>
      <c r="N214" s="289" t="n"/>
      <c r="O214" s="290">
        <f>IF(COUNT(商品マスタ[[#This Row],[参考上代
（税込)]]) &gt; 0, (商品マスタ[[#This Row],[参考上代
（税込)]]-商品マスタ[[#This Row],[国内定価
（15％）]])/(商品マスタ[[#This Row],[参考上代
（税込)]]/1.08), "")</f>
        <v/>
      </c>
      <c r="P214" s="136" t="n">
        <v>0.1</v>
      </c>
      <c r="Q214" s="291">
        <f>商品マスタ[[#This Row],[仕入
単価]]*商品マスタ[[#This Row],[標準国内送料率]]</f>
        <v/>
      </c>
      <c r="R214" s="289" t="n"/>
      <c r="S214" s="289">
        <f>IF(ISBLANK(商品マスタ[[#This Row],[実績
国内送料]]),商品マスタ[[#This Row],[標準国内送料]],)</f>
        <v/>
      </c>
      <c r="T214" s="289">
        <f>商品マスタ[[#This Row],[仕入
単価]]+商品マスタ[[#This Row],[国内送料]]</f>
        <v/>
      </c>
      <c r="U214" s="289">
        <f>ROUNDUP(商品マスタ[[#This Row],[仕入単価+国内送料]]/0.8,-1)</f>
        <v/>
      </c>
      <c r="V214" s="289">
        <f>商品マスタ[[#This Row],[海外定価
（20％）]]-商品マスタ[[#This Row],[仕入単価+国内送料]]</f>
        <v/>
      </c>
      <c r="W214" s="167">
        <f>ROUNDUP(商品マスタ[[#This Row],[仕入単価+国内送料]]/0.85,-1)</f>
        <v/>
      </c>
      <c r="X214" s="289">
        <f>商品マスタ[[#This Row],[国内定価
（15％）]]-商品マスタ[[#This Row],[仕入単価+国内送料]]</f>
        <v/>
      </c>
      <c r="Y214" s="139" t="n">
        <v>0.08</v>
      </c>
      <c r="Z214" s="167" t="n"/>
      <c r="AA214" s="167" t="n"/>
      <c r="AB214" s="167" t="n"/>
      <c r="AC214" s="293" t="n"/>
      <c r="AD214" s="167" t="n"/>
      <c r="AE214" s="167" t="n"/>
      <c r="AF214" s="167" t="n"/>
      <c r="AG214" s="144" t="n"/>
    </row>
    <row r="215" ht="18" customHeight="1" s="207">
      <c r="A215" s="166" t="inlineStr">
        <is>
          <t>青果</t>
        </is>
      </c>
      <c r="B215" s="167" t="inlineStr">
        <is>
          <t>野菜</t>
        </is>
      </c>
      <c r="C215" s="167" t="inlineStr">
        <is>
          <t>GOODGOOD</t>
        </is>
      </c>
      <c r="D215" s="143">
        <f>"PRD_SNJ_"&amp;
_xlfn.XLOOKUP(商品マスタ[[#This Row],[仕入先]],テーブル1[仕入先名],テーブル1[仕入先コード],"XXX",0,1)&amp;
"_"&amp;
商品マスタ[[#This Row],[シリアル]]&amp;
"_"&amp;
TEXT(COUNTIFS(商品マスタ!$C$3:C215,商品マスタ[[#This Row],[仕入先]],商品マスタ!$E$3:E215,商品マスタ[[#This Row],[商品名]]), "00")</f>
        <v/>
      </c>
      <c r="E215" s="167" t="inlineStr">
        <is>
          <t>北海道放牧豚ZETTON　骨付きモモ</t>
        </is>
      </c>
      <c r="F215" s="167">
        <f>IF(COUNTIFS($C$3:C215,商品マスタ[[#This Row],[仕入先]],$E$3:E215,商品マスタ[[#This Row],[商品名]]) = 1, 1,0)</f>
        <v/>
      </c>
      <c r="G215" s="133">
        <f>TEXT(SUMIF($C$3:C215,商品マスタ[[#This Row],[仕入先]],$F$3:F215), "0000")</f>
        <v/>
      </c>
      <c r="H215" s="167" t="inlineStr">
        <is>
          <t>kg</t>
        </is>
      </c>
      <c r="I215" s="167" t="inlineStr">
        <is>
          <t>約15.0kg/本</t>
        </is>
      </c>
      <c r="J215" s="167" t="inlineStr">
        <is>
          <t>1本</t>
        </is>
      </c>
      <c r="K215" s="167" t="inlineStr">
        <is>
          <t>生ハム用</t>
        </is>
      </c>
      <c r="L215" s="289" t="n">
        <v>1400</v>
      </c>
      <c r="M215" s="157" t="n">
        <v>45834</v>
      </c>
      <c r="N215" s="289" t="n"/>
      <c r="O215" s="290">
        <f>IF(COUNT(商品マスタ[[#This Row],[参考上代
（税込)]]) &gt; 0, (商品マスタ[[#This Row],[参考上代
（税込)]]-商品マスタ[[#This Row],[国内定価
（15％）]])/(商品マスタ[[#This Row],[参考上代
（税込)]]/1.08), "")</f>
        <v/>
      </c>
      <c r="P215" s="136" t="n">
        <v>0.1</v>
      </c>
      <c r="Q215" s="291">
        <f>商品マスタ[[#This Row],[仕入
単価]]*商品マスタ[[#This Row],[標準国内送料率]]</f>
        <v/>
      </c>
      <c r="R215" s="289" t="n"/>
      <c r="S215" s="289">
        <f>IF(ISBLANK(商品マスタ[[#This Row],[実績
国内送料]]),商品マスタ[[#This Row],[標準国内送料]],)</f>
        <v/>
      </c>
      <c r="T215" s="289">
        <f>商品マスタ[[#This Row],[仕入
単価]]+商品マスタ[[#This Row],[国内送料]]</f>
        <v/>
      </c>
      <c r="U215" s="289">
        <f>ROUNDUP(商品マスタ[[#This Row],[仕入単価+国内送料]]/0.8,-1)</f>
        <v/>
      </c>
      <c r="V215" s="289">
        <f>商品マスタ[[#This Row],[海外定価
（20％）]]-商品マスタ[[#This Row],[仕入単価+国内送料]]</f>
        <v/>
      </c>
      <c r="W215" s="167">
        <f>ROUNDUP(商品マスタ[[#This Row],[仕入単価+国内送料]]/0.85,-1)</f>
        <v/>
      </c>
      <c r="X215" s="289">
        <f>商品マスタ[[#This Row],[国内定価
（15％）]]-商品マスタ[[#This Row],[仕入単価+国内送料]]</f>
        <v/>
      </c>
      <c r="Y215" s="139" t="n">
        <v>0.08</v>
      </c>
      <c r="Z215" s="167" t="n"/>
      <c r="AA215" s="167" t="n"/>
      <c r="AB215" s="167" t="n"/>
      <c r="AC215" s="293" t="n"/>
      <c r="AD215" s="167" t="n"/>
      <c r="AE215" s="167" t="n"/>
      <c r="AF215" s="167" t="n"/>
      <c r="AG215" s="144" t="n"/>
    </row>
    <row r="216" ht="18" customHeight="1" s="207">
      <c r="A216" s="166" t="inlineStr">
        <is>
          <t>青果</t>
        </is>
      </c>
      <c r="B216" s="167" t="inlineStr">
        <is>
          <t>野菜</t>
        </is>
      </c>
      <c r="C216" s="167" t="inlineStr">
        <is>
          <t>GOODGOOD</t>
        </is>
      </c>
      <c r="D216" s="143">
        <f>"PRD_SNJ_"&amp;
_xlfn.XLOOKUP(商品マスタ[[#This Row],[仕入先]],テーブル1[仕入先名],テーブル1[仕入先コード],"XXX",0,1)&amp;
"_"&amp;
商品マスタ[[#This Row],[シリアル]]&amp;
"_"&amp;
TEXT(COUNTIFS(商品マスタ!$C$3:C216,商品マスタ[[#This Row],[仕入先]],商品マスタ!$E$3:E216,商品マスタ[[#This Row],[商品名]]), "00")</f>
        <v/>
      </c>
      <c r="E216" s="167" t="inlineStr">
        <is>
          <t>北海道放牧豚ZETTON　スペアーリブ</t>
        </is>
      </c>
      <c r="F216" s="167">
        <f>IF(COUNTIFS($C$3:C216,商品マスタ[[#This Row],[仕入先]],$E$3:E216,商品マスタ[[#This Row],[商品名]]) = 1, 1,0)</f>
        <v/>
      </c>
      <c r="G216" s="133">
        <f>TEXT(SUMIF($C$3:C216,商品マスタ[[#This Row],[仕入先]],$F$3:F216), "0000")</f>
        <v/>
      </c>
      <c r="H216" s="167" t="inlineStr">
        <is>
          <t>kg</t>
        </is>
      </c>
      <c r="I216" s="167" t="inlineStr">
        <is>
          <t>約3.5kg/本</t>
        </is>
      </c>
      <c r="J216" s="167" t="inlineStr">
        <is>
          <t>1本</t>
        </is>
      </c>
      <c r="K216" s="167" t="inlineStr">
        <is>
          <t>人気部位</t>
        </is>
      </c>
      <c r="L216" s="289" t="n">
        <v>1850</v>
      </c>
      <c r="M216" s="157" t="n">
        <v>45834</v>
      </c>
      <c r="N216" s="289" t="n"/>
      <c r="O216" s="290">
        <f>IF(COUNT(商品マスタ[[#This Row],[参考上代
（税込)]]) &gt; 0, (商品マスタ[[#This Row],[参考上代
（税込)]]-商品マスタ[[#This Row],[国内定価
（15％）]])/(商品マスタ[[#This Row],[参考上代
（税込)]]/1.08), "")</f>
        <v/>
      </c>
      <c r="P216" s="136" t="n">
        <v>0.1</v>
      </c>
      <c r="Q216" s="291">
        <f>商品マスタ[[#This Row],[仕入
単価]]*商品マスタ[[#This Row],[標準国内送料率]]</f>
        <v/>
      </c>
      <c r="R216" s="289" t="n"/>
      <c r="S216" s="289">
        <f>IF(ISBLANK(商品マスタ[[#This Row],[実績
国内送料]]),商品マスタ[[#This Row],[標準国内送料]],)</f>
        <v/>
      </c>
      <c r="T216" s="289">
        <f>商品マスタ[[#This Row],[仕入
単価]]+商品マスタ[[#This Row],[国内送料]]</f>
        <v/>
      </c>
      <c r="U216" s="289">
        <f>ROUNDUP(商品マスタ[[#This Row],[仕入単価+国内送料]]/0.8,-1)</f>
        <v/>
      </c>
      <c r="V216" s="289">
        <f>商品マスタ[[#This Row],[海外定価
（20％）]]-商品マスタ[[#This Row],[仕入単価+国内送料]]</f>
        <v/>
      </c>
      <c r="W216" s="167">
        <f>ROUNDUP(商品マスタ[[#This Row],[仕入単価+国内送料]]/0.85,-1)</f>
        <v/>
      </c>
      <c r="X216" s="289">
        <f>商品マスタ[[#This Row],[国内定価
（15％）]]-商品マスタ[[#This Row],[仕入単価+国内送料]]</f>
        <v/>
      </c>
      <c r="Y216" s="139" t="n">
        <v>0.08</v>
      </c>
      <c r="Z216" s="167" t="n"/>
      <c r="AA216" s="167" t="n"/>
      <c r="AB216" s="167" t="n"/>
      <c r="AC216" s="293" t="n"/>
      <c r="AD216" s="167" t="n"/>
      <c r="AE216" s="167" t="n"/>
      <c r="AF216" s="167" t="n"/>
      <c r="AG216" s="144" t="n"/>
    </row>
    <row r="217" ht="18" customHeight="1" s="207">
      <c r="A217" s="166" t="inlineStr">
        <is>
          <t>青果</t>
        </is>
      </c>
      <c r="B217" s="167" t="inlineStr">
        <is>
          <t>野菜</t>
        </is>
      </c>
      <c r="C217" s="167" t="inlineStr">
        <is>
          <t>GOODGOOD</t>
        </is>
      </c>
      <c r="D217" s="143">
        <f>"PRD_SNJ_"&amp;
_xlfn.XLOOKUP(商品マスタ[[#This Row],[仕入先]],テーブル1[仕入先名],テーブル1[仕入先コード],"XXX",0,1)&amp;
"_"&amp;
商品マスタ[[#This Row],[シリアル]]&amp;
"_"&amp;
TEXT(COUNTIFS(商品マスタ!$C$3:C217,商品マスタ[[#This Row],[仕入先]],商品マスタ!$E$3:E217,商品マスタ[[#This Row],[商品名]]), "00")</f>
        <v/>
      </c>
      <c r="E217" s="167" t="inlineStr">
        <is>
          <t>グラスフェッドラム　フレンチラック（背骨なし）</t>
        </is>
      </c>
      <c r="F217" s="167">
        <f>IF(COUNTIFS($C$3:C217,商品マスタ[[#This Row],[仕入先]],$E$3:E217,商品マスタ[[#This Row],[商品名]]) = 1, 1,0)</f>
        <v/>
      </c>
      <c r="G217" s="133">
        <f>TEXT(SUMIF($C$3:C217,商品マスタ[[#This Row],[仕入先]],$F$3:F217), "0000")</f>
        <v/>
      </c>
      <c r="H217" s="167" t="inlineStr">
        <is>
          <t>kg</t>
        </is>
      </c>
      <c r="I217" s="167" t="inlineStr">
        <is>
          <t>約10.0kg/ケース</t>
        </is>
      </c>
      <c r="J217" s="167" t="inlineStr">
        <is>
          <t>1ケース</t>
        </is>
      </c>
      <c r="K217" s="167" t="inlineStr">
        <is>
          <t>NZ産・20-25パック/cs</t>
        </is>
      </c>
      <c r="L217" s="289" t="n">
        <v>5100</v>
      </c>
      <c r="M217" s="157" t="n">
        <v>45834</v>
      </c>
      <c r="N217" s="289" t="n"/>
      <c r="O217" s="290">
        <f>IF(COUNT(商品マスタ[[#This Row],[参考上代
（税込)]]) &gt; 0, (商品マスタ[[#This Row],[参考上代
（税込)]]-商品マスタ[[#This Row],[国内定価
（15％）]])/(商品マスタ[[#This Row],[参考上代
（税込)]]/1.08), "")</f>
        <v/>
      </c>
      <c r="P217" s="136" t="n">
        <v>0.1</v>
      </c>
      <c r="Q217" s="291">
        <f>商品マスタ[[#This Row],[仕入
単価]]*商品マスタ[[#This Row],[標準国内送料率]]</f>
        <v/>
      </c>
      <c r="R217" s="289" t="n"/>
      <c r="S217" s="289">
        <f>IF(ISBLANK(商品マスタ[[#This Row],[実績
国内送料]]),商品マスタ[[#This Row],[標準国内送料]],)</f>
        <v/>
      </c>
      <c r="T217" s="289">
        <f>商品マスタ[[#This Row],[仕入
単価]]+商品マスタ[[#This Row],[国内送料]]</f>
        <v/>
      </c>
      <c r="U217" s="289">
        <f>ROUNDUP(商品マスタ[[#This Row],[仕入単価+国内送料]]/0.8,-1)</f>
        <v/>
      </c>
      <c r="V217" s="289">
        <f>商品マスタ[[#This Row],[海外定価
（20％）]]-商品マスタ[[#This Row],[仕入単価+国内送料]]</f>
        <v/>
      </c>
      <c r="W217" s="167">
        <f>ROUNDUP(商品マスタ[[#This Row],[仕入単価+国内送料]]/0.85,-1)</f>
        <v/>
      </c>
      <c r="X217" s="289">
        <f>商品マスタ[[#This Row],[国内定価
（15％）]]-商品マスタ[[#This Row],[仕入単価+国内送料]]</f>
        <v/>
      </c>
      <c r="Y217" s="139" t="n">
        <v>0.08</v>
      </c>
      <c r="Z217" s="167" t="n"/>
      <c r="AA217" s="167" t="n"/>
      <c r="AB217" s="167" t="n"/>
      <c r="AC217" s="293" t="n"/>
      <c r="AD217" s="167" t="n"/>
      <c r="AE217" s="167" t="n"/>
      <c r="AF217" s="167" t="n"/>
      <c r="AG217" s="144" t="n"/>
    </row>
    <row r="218" ht="18" customHeight="1" s="207">
      <c r="A218" s="166" t="inlineStr">
        <is>
          <t>青果</t>
        </is>
      </c>
      <c r="B218" s="167" t="inlineStr">
        <is>
          <t>野菜</t>
        </is>
      </c>
      <c r="C218" s="167" t="inlineStr">
        <is>
          <t>GOODGOOD</t>
        </is>
      </c>
      <c r="D218" s="143">
        <f>"PRD_SNJ_"&amp;
_xlfn.XLOOKUP(商品マスタ[[#This Row],[仕入先]],テーブル1[仕入先名],テーブル1[仕入先コード],"XXX",0,1)&amp;
"_"&amp;
商品マスタ[[#This Row],[シリアル]]&amp;
"_"&amp;
TEXT(COUNTIFS(商品マスタ!$C$3:C218,商品マスタ[[#This Row],[仕入先]],商品マスタ!$E$3:E218,商品マスタ[[#This Row],[商品名]]), "00")</f>
        <v/>
      </c>
      <c r="E218" s="167" t="inlineStr">
        <is>
          <t>グラスフェッドラム　ラック（背骨あり）</t>
        </is>
      </c>
      <c r="F218" s="167">
        <f>IF(COUNTIFS($C$3:C218,商品マスタ[[#This Row],[仕入先]],$E$3:E218,商品マスタ[[#This Row],[商品名]]) = 1, 1,0)</f>
        <v/>
      </c>
      <c r="G218" s="133">
        <f>TEXT(SUMIF($C$3:C218,商品マスタ[[#This Row],[仕入先]],$F$3:F218), "0000")</f>
        <v/>
      </c>
      <c r="H218" s="167" t="inlineStr">
        <is>
          <t>kg</t>
        </is>
      </c>
      <c r="I218" s="167" t="inlineStr">
        <is>
          <t>約8.0kg/ケース</t>
        </is>
      </c>
      <c r="J218" s="167" t="inlineStr">
        <is>
          <t>1ケース</t>
        </is>
      </c>
      <c r="K218" s="167" t="inlineStr">
        <is>
          <t>AUS産・8パック/cs</t>
        </is>
      </c>
      <c r="L218" s="289" t="n">
        <v>4500</v>
      </c>
      <c r="M218" s="157" t="n">
        <v>45834</v>
      </c>
      <c r="N218" s="289" t="n"/>
      <c r="O218" s="290">
        <f>IF(COUNT(商品マスタ[[#This Row],[参考上代
（税込)]]) &gt; 0, (商品マスタ[[#This Row],[参考上代
（税込)]]-商品マスタ[[#This Row],[国内定価
（15％）]])/(商品マスタ[[#This Row],[参考上代
（税込)]]/1.08), "")</f>
        <v/>
      </c>
      <c r="P218" s="136" t="n">
        <v>0.1</v>
      </c>
      <c r="Q218" s="291">
        <f>商品マスタ[[#This Row],[仕入
単価]]*商品マスタ[[#This Row],[標準国内送料率]]</f>
        <v/>
      </c>
      <c r="R218" s="289" t="n"/>
      <c r="S218" s="289">
        <f>IF(ISBLANK(商品マスタ[[#This Row],[実績
国内送料]]),商品マスタ[[#This Row],[標準国内送料]],)</f>
        <v/>
      </c>
      <c r="T218" s="289">
        <f>商品マスタ[[#This Row],[仕入
単価]]+商品マスタ[[#This Row],[国内送料]]</f>
        <v/>
      </c>
      <c r="U218" s="289">
        <f>ROUNDUP(商品マスタ[[#This Row],[仕入単価+国内送料]]/0.8,-1)</f>
        <v/>
      </c>
      <c r="V218" s="289">
        <f>商品マスタ[[#This Row],[海外定価
（20％）]]-商品マスタ[[#This Row],[仕入単価+国内送料]]</f>
        <v/>
      </c>
      <c r="W218" s="167">
        <f>ROUNDUP(商品マスタ[[#This Row],[仕入単価+国内送料]]/0.85,-1)</f>
        <v/>
      </c>
      <c r="X218" s="289">
        <f>商品マスタ[[#This Row],[国内定価
（15％）]]-商品マスタ[[#This Row],[仕入単価+国内送料]]</f>
        <v/>
      </c>
      <c r="Y218" s="139" t="n">
        <v>0.08</v>
      </c>
      <c r="Z218" s="167" t="n"/>
      <c r="AA218" s="167" t="n"/>
      <c r="AB218" s="167" t="n"/>
      <c r="AC218" s="293" t="n"/>
      <c r="AD218" s="167" t="n"/>
      <c r="AE218" s="167" t="n"/>
      <c r="AF218" s="167" t="n"/>
      <c r="AG218" s="144" t="n"/>
    </row>
    <row r="219" ht="18" customHeight="1" s="207">
      <c r="A219" s="166" t="inlineStr">
        <is>
          <t>青果</t>
        </is>
      </c>
      <c r="B219" s="167" t="inlineStr">
        <is>
          <t>野菜</t>
        </is>
      </c>
      <c r="C219" s="167" t="inlineStr">
        <is>
          <t>GOODGOOD</t>
        </is>
      </c>
      <c r="D219" s="143">
        <f>"PRD_SNJ_"&amp;
_xlfn.XLOOKUP(商品マスタ[[#This Row],[仕入先]],テーブル1[仕入先名],テーブル1[仕入先コード],"XXX",0,1)&amp;
"_"&amp;
商品マスタ[[#This Row],[シリアル]]&amp;
"_"&amp;
TEXT(COUNTIFS(商品マスタ!$C$3:C219,商品マスタ[[#This Row],[仕入先]],商品マスタ!$E$3:E219,商品マスタ[[#This Row],[商品名]]), "00")</f>
        <v/>
      </c>
      <c r="E219" s="167" t="inlineStr">
        <is>
          <t>紀国屋文左衛門鴨　ロース（チルド）</t>
        </is>
      </c>
      <c r="F219" s="167">
        <f>IF(COUNTIFS($C$3:C219,商品マスタ[[#This Row],[仕入先]],$E$3:E219,商品マスタ[[#This Row],[商品名]]) = 1, 1,0)</f>
        <v/>
      </c>
      <c r="G219" s="133">
        <f>TEXT(SUMIF($C$3:C219,商品マスタ[[#This Row],[仕入先]],$F$3:F219), "0000")</f>
        <v/>
      </c>
      <c r="H219" s="167" t="inlineStr">
        <is>
          <t>kg</t>
        </is>
      </c>
      <c r="I219" s="167" t="inlineStr">
        <is>
          <t>約1.0kg/セット</t>
        </is>
      </c>
      <c r="J219" s="167" t="inlineStr">
        <is>
          <t>1セット</t>
        </is>
      </c>
      <c r="K219" s="167" t="inlineStr">
        <is>
          <t>500g×2枚</t>
        </is>
      </c>
      <c r="L219" s="289" t="n">
        <v>7000</v>
      </c>
      <c r="M219" s="157" t="n">
        <v>45834</v>
      </c>
      <c r="N219" s="289" t="n"/>
      <c r="O219" s="290">
        <f>IF(COUNT(商品マスタ[[#This Row],[参考上代
（税込)]]) &gt; 0, (商品マスタ[[#This Row],[参考上代
（税込)]]-商品マスタ[[#This Row],[国内定価
（15％）]])/(商品マスタ[[#This Row],[参考上代
（税込)]]/1.08), "")</f>
        <v/>
      </c>
      <c r="P219" s="136" t="n">
        <v>0.1</v>
      </c>
      <c r="Q219" s="291">
        <f>商品マスタ[[#This Row],[仕入
単価]]*商品マスタ[[#This Row],[標準国内送料率]]</f>
        <v/>
      </c>
      <c r="R219" s="289" t="n"/>
      <c r="S219" s="289">
        <f>IF(ISBLANK(商品マスタ[[#This Row],[実績
国内送料]]),商品マスタ[[#This Row],[標準国内送料]],)</f>
        <v/>
      </c>
      <c r="T219" s="289">
        <f>商品マスタ[[#This Row],[仕入
単価]]+商品マスタ[[#This Row],[国内送料]]</f>
        <v/>
      </c>
      <c r="U219" s="289">
        <f>ROUNDUP(商品マスタ[[#This Row],[仕入単価+国内送料]]/0.8,-1)</f>
        <v/>
      </c>
      <c r="V219" s="289">
        <f>商品マスタ[[#This Row],[海外定価
（20％）]]-商品マスタ[[#This Row],[仕入単価+国内送料]]</f>
        <v/>
      </c>
      <c r="W219" s="167">
        <f>ROUNDUP(商品マスタ[[#This Row],[仕入単価+国内送料]]/0.85,-1)</f>
        <v/>
      </c>
      <c r="X219" s="289">
        <f>商品マスタ[[#This Row],[国内定価
（15％）]]-商品マスタ[[#This Row],[仕入単価+国内送料]]</f>
        <v/>
      </c>
      <c r="Y219" s="139" t="n">
        <v>0.08</v>
      </c>
      <c r="Z219" s="167" t="n"/>
      <c r="AA219" s="167" t="n"/>
      <c r="AB219" s="167" t="n"/>
      <c r="AC219" s="293" t="n"/>
      <c r="AD219" s="167" t="n"/>
      <c r="AE219" s="167" t="n"/>
      <c r="AF219" s="167" t="n"/>
      <c r="AG219" s="144" t="n"/>
    </row>
    <row r="220" ht="18" customHeight="1" s="207">
      <c r="A220" s="166" t="inlineStr">
        <is>
          <t>青果</t>
        </is>
      </c>
      <c r="B220" s="167" t="inlineStr">
        <is>
          <t>野菜</t>
        </is>
      </c>
      <c r="C220" s="167" t="inlineStr">
        <is>
          <t>GOODGOOD</t>
        </is>
      </c>
      <c r="D220" s="143">
        <f>"PRD_SNJ_"&amp;
_xlfn.XLOOKUP(商品マスタ[[#This Row],[仕入先]],テーブル1[仕入先名],テーブル1[仕入先コード],"XXX",0,1)&amp;
"_"&amp;
商品マスタ[[#This Row],[シリアル]]&amp;
"_"&amp;
TEXT(COUNTIFS(商品マスタ!$C$3:C220,商品マスタ[[#This Row],[仕入先]],商品マスタ!$E$3:E220,商品マスタ[[#This Row],[商品名]]), "00")</f>
        <v/>
      </c>
      <c r="E220" s="167" t="inlineStr">
        <is>
          <t>紀国屋文左衛門鴨　ロース（冷凍）</t>
        </is>
      </c>
      <c r="F220" s="167">
        <f>IF(COUNTIFS($C$3:C220,商品マスタ[[#This Row],[仕入先]],$E$3:E220,商品マスタ[[#This Row],[商品名]]) = 1, 1,0)</f>
        <v/>
      </c>
      <c r="G220" s="133">
        <f>TEXT(SUMIF($C$3:C220,商品マスタ[[#This Row],[仕入先]],$F$3:F220), "0000")</f>
        <v/>
      </c>
      <c r="H220" s="167" t="inlineStr">
        <is>
          <t>kg</t>
        </is>
      </c>
      <c r="I220" s="167" t="inlineStr">
        <is>
          <t>約1.0kg/セット</t>
        </is>
      </c>
      <c r="J220" s="167" t="inlineStr">
        <is>
          <t>1セット</t>
        </is>
      </c>
      <c r="K220" s="167" t="inlineStr">
        <is>
          <t>500g×2枚</t>
        </is>
      </c>
      <c r="L220" s="289" t="n">
        <v>6500</v>
      </c>
      <c r="M220" s="157" t="n">
        <v>45834</v>
      </c>
      <c r="N220" s="289" t="n"/>
      <c r="O220" s="290">
        <f>IF(COUNT(商品マスタ[[#This Row],[参考上代
（税込)]]) &gt; 0, (商品マスタ[[#This Row],[参考上代
（税込)]]-商品マスタ[[#This Row],[国内定価
（15％）]])/(商品マスタ[[#This Row],[参考上代
（税込)]]/1.08), "")</f>
        <v/>
      </c>
      <c r="P220" s="136" t="n">
        <v>0.1</v>
      </c>
      <c r="Q220" s="291">
        <f>商品マスタ[[#This Row],[仕入
単価]]*商品マスタ[[#This Row],[標準国内送料率]]</f>
        <v/>
      </c>
      <c r="R220" s="289" t="n"/>
      <c r="S220" s="289">
        <f>IF(ISBLANK(商品マスタ[[#This Row],[実績
国内送料]]),商品マスタ[[#This Row],[標準国内送料]],)</f>
        <v/>
      </c>
      <c r="T220" s="289">
        <f>商品マスタ[[#This Row],[仕入
単価]]+商品マスタ[[#This Row],[国内送料]]</f>
        <v/>
      </c>
      <c r="U220" s="289">
        <f>ROUNDUP(商品マスタ[[#This Row],[仕入単価+国内送料]]/0.8,-1)</f>
        <v/>
      </c>
      <c r="V220" s="289">
        <f>商品マスタ[[#This Row],[海外定価
（20％）]]-商品マスタ[[#This Row],[仕入単価+国内送料]]</f>
        <v/>
      </c>
      <c r="W220" s="167">
        <f>ROUNDUP(商品マスタ[[#This Row],[仕入単価+国内送料]]/0.85,-1)</f>
        <v/>
      </c>
      <c r="X220" s="289">
        <f>商品マスタ[[#This Row],[国内定価
（15％）]]-商品マスタ[[#This Row],[仕入単価+国内送料]]</f>
        <v/>
      </c>
      <c r="Y220" s="139" t="n">
        <v>0.08</v>
      </c>
      <c r="Z220" s="167" t="n"/>
      <c r="AA220" s="167" t="n"/>
      <c r="AB220" s="167" t="n"/>
      <c r="AC220" s="293" t="n"/>
      <c r="AD220" s="167" t="n"/>
      <c r="AE220" s="167" t="n"/>
      <c r="AF220" s="167" t="n"/>
      <c r="AG220" s="144" t="n"/>
    </row>
    <row r="221" ht="18" customHeight="1" s="207">
      <c r="A221" s="166" t="inlineStr">
        <is>
          <t>青果</t>
        </is>
      </c>
      <c r="B221" s="167" t="inlineStr">
        <is>
          <t>野菜</t>
        </is>
      </c>
      <c r="C221" s="167" t="inlineStr">
        <is>
          <t>GOODGOOD</t>
        </is>
      </c>
      <c r="D221" s="143">
        <f>"PRD_SNJ_"&amp;
_xlfn.XLOOKUP(商品マスタ[[#This Row],[仕入先]],テーブル1[仕入先名],テーブル1[仕入先コード],"XXX",0,1)&amp;
"_"&amp;
商品マスタ[[#This Row],[シリアル]]&amp;
"_"&amp;
TEXT(COUNTIFS(商品マスタ!$C$3:C221,商品マスタ[[#This Row],[仕入先]],商品マスタ!$E$3:E221,商品マスタ[[#This Row],[商品名]]), "00")</f>
        <v/>
      </c>
      <c r="E221" s="167" t="inlineStr">
        <is>
          <t>紀国屋文左衛門鴨　モモ（チルド）</t>
        </is>
      </c>
      <c r="F221" s="167">
        <f>IF(COUNTIFS($C$3:C221,商品マスタ[[#This Row],[仕入先]],$E$3:E221,商品マスタ[[#This Row],[商品名]]) = 1, 1,0)</f>
        <v/>
      </c>
      <c r="G221" s="133">
        <f>TEXT(SUMIF($C$3:C221,商品マスタ[[#This Row],[仕入先]],$F$3:F221), "0000")</f>
        <v/>
      </c>
      <c r="H221" s="167" t="inlineStr">
        <is>
          <t>kg</t>
        </is>
      </c>
      <c r="I221" s="167" t="inlineStr">
        <is>
          <t>約0.6kg/個</t>
        </is>
      </c>
      <c r="J221" s="167" t="inlineStr">
        <is>
          <t>1個</t>
        </is>
      </c>
      <c r="K221" s="167" t="inlineStr">
        <is>
          <t>ブロック</t>
        </is>
      </c>
      <c r="L221" s="289" t="n">
        <v>5700</v>
      </c>
      <c r="M221" s="157" t="n">
        <v>45834</v>
      </c>
      <c r="N221" s="289" t="n"/>
      <c r="O221" s="290">
        <f>IF(COUNT(商品マスタ[[#This Row],[参考上代
（税込)]]) &gt; 0, (商品マスタ[[#This Row],[参考上代
（税込)]]-商品マスタ[[#This Row],[国内定価
（15％）]])/(商品マスタ[[#This Row],[参考上代
（税込)]]/1.08), "")</f>
        <v/>
      </c>
      <c r="P221" s="136" t="n">
        <v>0.1</v>
      </c>
      <c r="Q221" s="291">
        <f>商品マスタ[[#This Row],[仕入
単価]]*商品マスタ[[#This Row],[標準国内送料率]]</f>
        <v/>
      </c>
      <c r="R221" s="289" t="n"/>
      <c r="S221" s="289">
        <f>IF(ISBLANK(商品マスタ[[#This Row],[実績
国内送料]]),商品マスタ[[#This Row],[標準国内送料]],)</f>
        <v/>
      </c>
      <c r="T221" s="289">
        <f>商品マスタ[[#This Row],[仕入
単価]]+商品マスタ[[#This Row],[国内送料]]</f>
        <v/>
      </c>
      <c r="U221" s="289">
        <f>ROUNDUP(商品マスタ[[#This Row],[仕入単価+国内送料]]/0.8,-1)</f>
        <v/>
      </c>
      <c r="V221" s="289">
        <f>商品マスタ[[#This Row],[海外定価
（20％）]]-商品マスタ[[#This Row],[仕入単価+国内送料]]</f>
        <v/>
      </c>
      <c r="W221" s="167">
        <f>ROUNDUP(商品マスタ[[#This Row],[仕入単価+国内送料]]/0.85,-1)</f>
        <v/>
      </c>
      <c r="X221" s="289">
        <f>商品マスタ[[#This Row],[国内定価
（15％）]]-商品マスタ[[#This Row],[仕入単価+国内送料]]</f>
        <v/>
      </c>
      <c r="Y221" s="139" t="n">
        <v>0.08</v>
      </c>
      <c r="Z221" s="167" t="n"/>
      <c r="AA221" s="167" t="n"/>
      <c r="AB221" s="167" t="n"/>
      <c r="AC221" s="293" t="n"/>
      <c r="AD221" s="167" t="n"/>
      <c r="AE221" s="167" t="n"/>
      <c r="AF221" s="167" t="n"/>
      <c r="AG221" s="144" t="n"/>
    </row>
    <row r="222" ht="18" customHeight="1" s="207">
      <c r="A222" s="166" t="inlineStr">
        <is>
          <t>青果</t>
        </is>
      </c>
      <c r="B222" s="167" t="inlineStr">
        <is>
          <t>野菜</t>
        </is>
      </c>
      <c r="C222" s="167" t="inlineStr">
        <is>
          <t>GOODGOOD</t>
        </is>
      </c>
      <c r="D222" s="143">
        <f>"PRD_SNJ_"&amp;
_xlfn.XLOOKUP(商品マスタ[[#This Row],[仕入先]],テーブル1[仕入先名],テーブル1[仕入先コード],"XXX",0,1)&amp;
"_"&amp;
商品マスタ[[#This Row],[シリアル]]&amp;
"_"&amp;
TEXT(COUNTIFS(商品マスタ!$C$3:C222,商品マスタ[[#This Row],[仕入先]],商品マスタ!$E$3:E222,商品マスタ[[#This Row],[商品名]]), "00")</f>
        <v/>
      </c>
      <c r="E222" s="167" t="inlineStr">
        <is>
          <t>紀国屋文左衛門鴨　モモ（冷凍）</t>
        </is>
      </c>
      <c r="F222" s="167">
        <f>IF(COUNTIFS($C$3:C222,商品マスタ[[#This Row],[仕入先]],$E$3:E222,商品マスタ[[#This Row],[商品名]]) = 1, 1,0)</f>
        <v/>
      </c>
      <c r="G222" s="133">
        <f>TEXT(SUMIF($C$3:C222,商品マスタ[[#This Row],[仕入先]],$F$3:F222), "0000")</f>
        <v/>
      </c>
      <c r="H222" s="167" t="inlineStr">
        <is>
          <t>kg</t>
        </is>
      </c>
      <c r="I222" s="167" t="inlineStr">
        <is>
          <t>約0.6kg/個</t>
        </is>
      </c>
      <c r="J222" s="167" t="inlineStr">
        <is>
          <t>1個</t>
        </is>
      </c>
      <c r="K222" s="167" t="inlineStr">
        <is>
          <t>ブロック</t>
        </is>
      </c>
      <c r="L222" s="289" t="n">
        <v>5000</v>
      </c>
      <c r="M222" s="157" t="n">
        <v>45834</v>
      </c>
      <c r="N222" s="289" t="n"/>
      <c r="O222" s="290">
        <f>IF(COUNT(商品マスタ[[#This Row],[参考上代
（税込)]]) &gt; 0, (商品マスタ[[#This Row],[参考上代
（税込)]]-商品マスタ[[#This Row],[国内定価
（15％）]])/(商品マスタ[[#This Row],[参考上代
（税込)]]/1.08), "")</f>
        <v/>
      </c>
      <c r="P222" s="136" t="n">
        <v>0.1</v>
      </c>
      <c r="Q222" s="291">
        <f>商品マスタ[[#This Row],[仕入
単価]]*商品マスタ[[#This Row],[標準国内送料率]]</f>
        <v/>
      </c>
      <c r="R222" s="289" t="n"/>
      <c r="S222" s="289">
        <f>IF(ISBLANK(商品マスタ[[#This Row],[実績
国内送料]]),商品マスタ[[#This Row],[標準国内送料]],)</f>
        <v/>
      </c>
      <c r="T222" s="289">
        <f>商品マスタ[[#This Row],[仕入
単価]]+商品マスタ[[#This Row],[国内送料]]</f>
        <v/>
      </c>
      <c r="U222" s="289">
        <f>ROUNDUP(商品マスタ[[#This Row],[仕入単価+国内送料]]/0.8,-1)</f>
        <v/>
      </c>
      <c r="V222" s="289">
        <f>商品マスタ[[#This Row],[海外定価
（20％）]]-商品マスタ[[#This Row],[仕入単価+国内送料]]</f>
        <v/>
      </c>
      <c r="W222" s="167">
        <f>ROUNDUP(商品マスタ[[#This Row],[仕入単価+国内送料]]/0.85,-1)</f>
        <v/>
      </c>
      <c r="X222" s="289">
        <f>商品マスタ[[#This Row],[国内定価
（15％）]]-商品マスタ[[#This Row],[仕入単価+国内送料]]</f>
        <v/>
      </c>
      <c r="Y222" s="139" t="n">
        <v>0.08</v>
      </c>
      <c r="Z222" s="167" t="n"/>
      <c r="AA222" s="167" t="n"/>
      <c r="AB222" s="167" t="n"/>
      <c r="AC222" s="293" t="n"/>
      <c r="AD222" s="167" t="n"/>
      <c r="AE222" s="167" t="n"/>
      <c r="AF222" s="167" t="n"/>
      <c r="AG222" s="144" t="n"/>
    </row>
    <row r="223" ht="18" customHeight="1" s="207">
      <c r="A223" s="166" t="inlineStr">
        <is>
          <t>青果</t>
        </is>
      </c>
      <c r="B223" s="167" t="inlineStr">
        <is>
          <t>野菜</t>
        </is>
      </c>
      <c r="C223" s="167" t="inlineStr">
        <is>
          <t>GOODGOOD</t>
        </is>
      </c>
      <c r="D223" s="143">
        <f>"PRD_SNJ_"&amp;
_xlfn.XLOOKUP(商品マスタ[[#This Row],[仕入先]],テーブル1[仕入先名],テーブル1[仕入先コード],"XXX",0,1)&amp;
"_"&amp;
商品マスタ[[#This Row],[シリアル]]&amp;
"_"&amp;
TEXT(COUNTIFS(商品マスタ!$C$3:C223,商品マスタ[[#This Row],[仕入先]],商品マスタ!$E$3:E223,商品マスタ[[#This Row],[商品名]]), "00")</f>
        <v/>
      </c>
      <c r="E223" s="167" t="inlineStr">
        <is>
          <t>紀国屋文左衛門鴨　と体（チルド）</t>
        </is>
      </c>
      <c r="F223" s="167">
        <f>IF(COUNTIFS($C$3:C223,商品マスタ[[#This Row],[仕入先]],$E$3:E223,商品マスタ[[#This Row],[商品名]]) = 1, 1,0)</f>
        <v/>
      </c>
      <c r="G223" s="133">
        <f>TEXT(SUMIF($C$3:C223,商品マスタ[[#This Row],[仕入先]],$F$3:F223), "0000")</f>
        <v/>
      </c>
      <c r="H223" s="167" t="inlineStr">
        <is>
          <t>kg</t>
        </is>
      </c>
      <c r="I223" s="167" t="inlineStr">
        <is>
          <t>約4.0kg/羽</t>
        </is>
      </c>
      <c r="J223" s="167" t="inlineStr">
        <is>
          <t>1羽</t>
        </is>
      </c>
      <c r="K223" s="167" t="inlineStr">
        <is>
          <t>丸鳥</t>
        </is>
      </c>
      <c r="L223" s="289" t="n">
        <v>1800</v>
      </c>
      <c r="M223" s="157" t="n">
        <v>45834</v>
      </c>
      <c r="N223" s="289" t="n"/>
      <c r="O223" s="290">
        <f>IF(COUNT(商品マスタ[[#This Row],[参考上代
（税込)]]) &gt; 0, (商品マスタ[[#This Row],[参考上代
（税込)]]-商品マスタ[[#This Row],[国内定価
（15％）]])/(商品マスタ[[#This Row],[参考上代
（税込)]]/1.08), "")</f>
        <v/>
      </c>
      <c r="P223" s="136" t="n">
        <v>0.1</v>
      </c>
      <c r="Q223" s="291">
        <f>商品マスタ[[#This Row],[仕入
単価]]*商品マスタ[[#This Row],[標準国内送料率]]</f>
        <v/>
      </c>
      <c r="R223" s="289" t="n"/>
      <c r="S223" s="289">
        <f>IF(ISBLANK(商品マスタ[[#This Row],[実績
国内送料]]),商品マスタ[[#This Row],[標準国内送料]],)</f>
        <v/>
      </c>
      <c r="T223" s="289">
        <f>商品マスタ[[#This Row],[仕入
単価]]+商品マスタ[[#This Row],[国内送料]]</f>
        <v/>
      </c>
      <c r="U223" s="289">
        <f>ROUNDUP(商品マスタ[[#This Row],[仕入単価+国内送料]]/0.8,-1)</f>
        <v/>
      </c>
      <c r="V223" s="289">
        <f>商品マスタ[[#This Row],[海外定価
（20％）]]-商品マスタ[[#This Row],[仕入単価+国内送料]]</f>
        <v/>
      </c>
      <c r="W223" s="167">
        <f>ROUNDUP(商品マスタ[[#This Row],[仕入単価+国内送料]]/0.85,-1)</f>
        <v/>
      </c>
      <c r="X223" s="289">
        <f>商品マスタ[[#This Row],[国内定価
（15％）]]-商品マスタ[[#This Row],[仕入単価+国内送料]]</f>
        <v/>
      </c>
      <c r="Y223" s="139" t="n">
        <v>0.08</v>
      </c>
      <c r="Z223" s="167" t="n"/>
      <c r="AA223" s="167" t="n"/>
      <c r="AB223" s="167" t="n"/>
      <c r="AC223" s="293" t="n"/>
      <c r="AD223" s="167" t="n"/>
      <c r="AE223" s="167" t="n"/>
      <c r="AF223" s="167" t="n"/>
      <c r="AG223" s="144" t="n"/>
    </row>
    <row r="224" ht="18" customHeight="1" s="207">
      <c r="A224" s="166" t="inlineStr">
        <is>
          <t>青果</t>
        </is>
      </c>
      <c r="B224" s="167" t="inlineStr">
        <is>
          <t>野菜</t>
        </is>
      </c>
      <c r="C224" s="167" t="inlineStr">
        <is>
          <t>GOODGOOD</t>
        </is>
      </c>
      <c r="D224" s="143">
        <f>"PRD_SNJ_"&amp;
_xlfn.XLOOKUP(商品マスタ[[#This Row],[仕入先]],テーブル1[仕入先名],テーブル1[仕入先コード],"XXX",0,1)&amp;
"_"&amp;
商品マスタ[[#This Row],[シリアル]]&amp;
"_"&amp;
TEXT(COUNTIFS(商品マスタ!$C$3:C224,商品マスタ[[#This Row],[仕入先]],商品マスタ!$E$3:E224,商品マスタ[[#This Row],[商品名]]), "00")</f>
        <v/>
      </c>
      <c r="E224" s="167" t="inlineStr">
        <is>
          <t>紀国屋文左衛門鴨　なか抜きと体（チルド）</t>
        </is>
      </c>
      <c r="F224" s="167">
        <f>IF(COUNTIFS($C$3:C224,商品マスタ[[#This Row],[仕入先]],$E$3:E224,商品マスタ[[#This Row],[商品名]]) = 1, 1,0)</f>
        <v/>
      </c>
      <c r="G224" s="133">
        <f>TEXT(SUMIF($C$3:C224,商品マスタ[[#This Row],[仕入先]],$F$3:F224), "0000")</f>
        <v/>
      </c>
      <c r="H224" s="167" t="inlineStr">
        <is>
          <t>kg</t>
        </is>
      </c>
      <c r="I224" s="167" t="inlineStr">
        <is>
          <t>約3.5kg/羽</t>
        </is>
      </c>
      <c r="J224" s="167" t="inlineStr">
        <is>
          <t>1羽</t>
        </is>
      </c>
      <c r="K224" s="167" t="inlineStr">
        <is>
          <t>丸鳥</t>
        </is>
      </c>
      <c r="L224" s="289" t="n">
        <v>2000</v>
      </c>
      <c r="M224" s="157" t="n">
        <v>45834</v>
      </c>
      <c r="N224" s="289" t="n"/>
      <c r="O224" s="290">
        <f>IF(COUNT(商品マスタ[[#This Row],[参考上代
（税込)]]) &gt; 0, (商品マスタ[[#This Row],[参考上代
（税込)]]-商品マスタ[[#This Row],[国内定価
（15％）]])/(商品マスタ[[#This Row],[参考上代
（税込)]]/1.08), "")</f>
        <v/>
      </c>
      <c r="P224" s="136" t="n">
        <v>0.1</v>
      </c>
      <c r="Q224" s="291">
        <f>商品マスタ[[#This Row],[仕入
単価]]*商品マスタ[[#This Row],[標準国内送料率]]</f>
        <v/>
      </c>
      <c r="R224" s="289" t="n"/>
      <c r="S224" s="289">
        <f>IF(ISBLANK(商品マスタ[[#This Row],[実績
国内送料]]),商品マスタ[[#This Row],[標準国内送料]],)</f>
        <v/>
      </c>
      <c r="T224" s="289">
        <f>商品マスタ[[#This Row],[仕入
単価]]+商品マスタ[[#This Row],[国内送料]]</f>
        <v/>
      </c>
      <c r="U224" s="289">
        <f>ROUNDUP(商品マスタ[[#This Row],[仕入単価+国内送料]]/0.8,-1)</f>
        <v/>
      </c>
      <c r="V224" s="289">
        <f>商品マスタ[[#This Row],[海外定価
（20％）]]-商品マスタ[[#This Row],[仕入単価+国内送料]]</f>
        <v/>
      </c>
      <c r="W224" s="167">
        <f>ROUNDUP(商品マスタ[[#This Row],[仕入単価+国内送料]]/0.85,-1)</f>
        <v/>
      </c>
      <c r="X224" s="289">
        <f>商品マスタ[[#This Row],[国内定価
（15％）]]-商品マスタ[[#This Row],[仕入単価+国内送料]]</f>
        <v/>
      </c>
      <c r="Y224" s="139" t="n">
        <v>0.08</v>
      </c>
      <c r="Z224" s="167" t="n"/>
      <c r="AA224" s="167" t="n"/>
      <c r="AB224" s="167" t="n"/>
      <c r="AC224" s="293" t="n"/>
      <c r="AD224" s="167" t="n"/>
      <c r="AE224" s="167" t="n"/>
      <c r="AF224" s="167" t="n"/>
      <c r="AG224" s="144" t="n"/>
    </row>
    <row r="225" ht="18" customHeight="1" s="207">
      <c r="A225" s="169" t="inlineStr">
        <is>
          <t>水産</t>
        </is>
      </c>
      <c r="B225" s="168" t="inlineStr">
        <is>
          <t>水産物</t>
        </is>
      </c>
      <c r="C225" s="168" t="inlineStr">
        <is>
          <t>ナチュラルシー</t>
        </is>
      </c>
      <c r="D225" s="143">
        <f>"PRD_SNJ_"&amp;
_xlfn.XLOOKUP(商品マスタ[[#This Row],[仕入先]],テーブル1[仕入先名],テーブル1[仕入先コード],"XXX",0,1)&amp;
"_"&amp;
商品マスタ[[#This Row],[シリアル]]&amp;
"_"&amp;
TEXT(COUNTIFS(商品マスタ!$C$3:C225,商品マスタ[[#This Row],[仕入先]],商品マスタ!$E$3:E225,商品マスタ[[#This Row],[商品名]]), "00")</f>
        <v/>
      </c>
      <c r="E225" s="167" t="inlineStr">
        <is>
          <t>北海道産 ホタテ貝柱 特フレーク</t>
        </is>
      </c>
      <c r="F225" s="167">
        <f>IF(COUNTIFS($C$3:C225,商品マスタ[[#This Row],[仕入先]],$E$3:E225,商品マスタ[[#This Row],[商品名]]) = 1, 1,0)</f>
        <v/>
      </c>
      <c r="G225" s="133">
        <f>TEXT(SUMIF($C$3:C225,商品マスタ[[#This Row],[仕入先]],$F$3:F225), "0000")</f>
        <v/>
      </c>
      <c r="H225" s="167" t="inlineStr">
        <is>
          <t>kg</t>
        </is>
      </c>
      <c r="I225" s="167" t="inlineStr">
        <is>
          <t>1kg/パック</t>
        </is>
      </c>
      <c r="J225" s="167" t="inlineStr">
        <is>
          <t>1ケース</t>
        </is>
      </c>
      <c r="K225" s="167" t="inlineStr">
        <is>
          <t>10パック入　フレーク品（サイズバラつき・割れ・欠けあり）</t>
        </is>
      </c>
      <c r="L225" s="289" t="n">
        <v>4800</v>
      </c>
      <c r="M225" s="157" t="n">
        <v>45912</v>
      </c>
      <c r="N225" s="289" t="n"/>
      <c r="O225" s="290">
        <f>IF(COUNT(商品マスタ[[#This Row],[参考上代
（税込)]]) &gt; 0, (商品マスタ[[#This Row],[参考上代
（税込)]]-商品マスタ[[#This Row],[国内定価
（15％）]])/(商品マスタ[[#This Row],[参考上代
（税込)]]/1.08), "")</f>
        <v/>
      </c>
      <c r="P225" s="136" t="n">
        <v>0.1</v>
      </c>
      <c r="Q225" s="291">
        <f>商品マスタ[[#This Row],[仕入
単価]]*商品マスタ[[#This Row],[標準国内送料率]]</f>
        <v/>
      </c>
      <c r="R225" s="289" t="n"/>
      <c r="S225" s="289">
        <f>IF(ISBLANK(商品マスタ[[#This Row],[実績
国内送料]]),商品マスタ[[#This Row],[標準国内送料]],)</f>
        <v/>
      </c>
      <c r="T225" s="289">
        <f>商品マスタ[[#This Row],[仕入
単価]]+商品マスタ[[#This Row],[国内送料]]</f>
        <v/>
      </c>
      <c r="U225" s="289">
        <f>ROUNDUP(商品マスタ[[#This Row],[仕入単価+国内送料]]/0.8,-1)</f>
        <v/>
      </c>
      <c r="V225" s="289">
        <f>商品マスタ[[#This Row],[海外定価
（20％）]]-商品マスタ[[#This Row],[仕入単価+国内送料]]</f>
        <v/>
      </c>
      <c r="W225" s="167">
        <f>ROUNDUP(商品マスタ[[#This Row],[仕入単価+国内送料]]/0.85,-1)</f>
        <v/>
      </c>
      <c r="X225" s="289">
        <f>商品マスタ[[#This Row],[国内定価
（15％）]]-商品マスタ[[#This Row],[仕入単価+国内送料]]</f>
        <v/>
      </c>
      <c r="Y225" s="139" t="n">
        <v>0.08</v>
      </c>
      <c r="Z225" s="167" t="n"/>
      <c r="AA225" s="167" t="n"/>
      <c r="AB225" s="167" t="n"/>
      <c r="AC225" s="293" t="n"/>
      <c r="AD225" s="167" t="n"/>
      <c r="AE225" s="167" t="n"/>
      <c r="AF225" s="167" t="n"/>
      <c r="AG225" s="144" t="n"/>
    </row>
    <row r="226" ht="18" customHeight="1" s="207">
      <c r="A226" s="169" t="inlineStr">
        <is>
          <t>水産</t>
        </is>
      </c>
      <c r="B226" s="168" t="inlineStr">
        <is>
          <t>水産物</t>
        </is>
      </c>
      <c r="C226" s="168" t="inlineStr">
        <is>
          <t>ナチュラルシー</t>
        </is>
      </c>
      <c r="D226" s="143">
        <f>"PRD_SNJ_"&amp;
_xlfn.XLOOKUP(商品マスタ[[#This Row],[仕入先]],テーブル1[仕入先名],テーブル1[仕入先コード],"XXX",0,1)&amp;
"_"&amp;
商品マスタ[[#This Row],[シリアル]]&amp;
"_"&amp;
TEXT(COUNTIFS(商品マスタ!$C$3:C226,商品マスタ[[#This Row],[仕入先]],商品マスタ!$E$3:E226,商品マスタ[[#This Row],[商品名]]), "00")</f>
        <v/>
      </c>
      <c r="E226" s="167" t="inlineStr">
        <is>
          <t>天然本鱒セミドレス サクラマス</t>
        </is>
      </c>
      <c r="F226" s="167">
        <f>IF(COUNTIFS($C$3:C226,商品マスタ[[#This Row],[仕入先]],$E$3:E226,商品マスタ[[#This Row],[商品名]]) = 1, 1,0)</f>
        <v/>
      </c>
      <c r="G226" s="133">
        <f>TEXT(SUMIF($C$3:C226,商品マスタ[[#This Row],[仕入先]],$F$3:F226), "0000")</f>
        <v/>
      </c>
      <c r="H226" s="167" t="inlineStr">
        <is>
          <t>kg</t>
        </is>
      </c>
      <c r="I226" s="167" t="inlineStr">
        <is>
          <t>約2.5kg UP/尾</t>
        </is>
      </c>
      <c r="J226" s="167" t="inlineStr">
        <is>
          <t>1箱</t>
        </is>
      </c>
      <c r="K226" s="167" t="inlineStr">
        <is>
          <t>4-6本入　セミドレス（真空パック）</t>
        </is>
      </c>
      <c r="L226" s="289" t="n">
        <v>1900</v>
      </c>
      <c r="M226" s="157" t="n">
        <v>45912</v>
      </c>
      <c r="N226" s="289" t="n"/>
      <c r="O226" s="290">
        <f>IF(COUNT(商品マスタ[[#This Row],[参考上代
（税込)]]) &gt; 0, (商品マスタ[[#This Row],[参考上代
（税込)]]-商品マスタ[[#This Row],[国内定価
（15％）]])/(商品マスタ[[#This Row],[参考上代
（税込)]]/1.08), "")</f>
        <v/>
      </c>
      <c r="P226" s="136" t="n">
        <v>0.1</v>
      </c>
      <c r="Q226" s="291">
        <f>商品マスタ[[#This Row],[仕入
単価]]*商品マスタ[[#This Row],[標準国内送料率]]</f>
        <v/>
      </c>
      <c r="R226" s="289" t="n"/>
      <c r="S226" s="289">
        <f>IF(ISBLANK(商品マスタ[[#This Row],[実績
国内送料]]),商品マスタ[[#This Row],[標準国内送料]],)</f>
        <v/>
      </c>
      <c r="T226" s="289">
        <f>商品マスタ[[#This Row],[仕入
単価]]+商品マスタ[[#This Row],[国内送料]]</f>
        <v/>
      </c>
      <c r="U226" s="289">
        <f>ROUNDUP(商品マスタ[[#This Row],[仕入単価+国内送料]]/0.8,-1)</f>
        <v/>
      </c>
      <c r="V226" s="289">
        <f>商品マスタ[[#This Row],[海外定価
（20％）]]-商品マスタ[[#This Row],[仕入単価+国内送料]]</f>
        <v/>
      </c>
      <c r="W226" s="167">
        <f>ROUNDUP(商品マスタ[[#This Row],[仕入単価+国内送料]]/0.85,-1)</f>
        <v/>
      </c>
      <c r="X226" s="289">
        <f>商品マスタ[[#This Row],[国内定価
（15％）]]-商品マスタ[[#This Row],[仕入単価+国内送料]]</f>
        <v/>
      </c>
      <c r="Y226" s="139" t="n">
        <v>0.08</v>
      </c>
      <c r="Z226" s="167" t="n"/>
      <c r="AA226" s="167" t="n"/>
      <c r="AB226" s="167" t="n"/>
      <c r="AC226" s="293" t="n"/>
      <c r="AD226" s="167" t="n"/>
      <c r="AE226" s="167" t="n"/>
      <c r="AF226" s="167" t="n"/>
      <c r="AG226" s="144" t="n"/>
    </row>
    <row r="227" ht="18" customHeight="1" s="207">
      <c r="A227" s="169" t="inlineStr">
        <is>
          <t>水産</t>
        </is>
      </c>
      <c r="B227" s="168" t="inlineStr">
        <is>
          <t>水産物</t>
        </is>
      </c>
      <c r="C227" s="168" t="inlineStr">
        <is>
          <t>ナチュラルシー</t>
        </is>
      </c>
      <c r="D227" s="143">
        <f>"PRD_SNJ_"&amp;
_xlfn.XLOOKUP(商品マスタ[[#This Row],[仕入先]],テーブル1[仕入先名],テーブル1[仕入先コード],"XXX",0,1)&amp;
"_"&amp;
商品マスタ[[#This Row],[シリアル]]&amp;
"_"&amp;
TEXT(COUNTIFS(商品マスタ!$C$3:C227,商品マスタ[[#This Row],[仕入先]],商品マスタ!$E$3:E227,商品マスタ[[#This Row],[商品名]]), "00")</f>
        <v/>
      </c>
      <c r="E227" s="167" t="inlineStr">
        <is>
          <t>天然サクラマスフィーレ（腹骨取り）</t>
        </is>
      </c>
      <c r="F227" s="167">
        <f>IF(COUNTIFS($C$3:C227,商品マスタ[[#This Row],[仕入先]],$E$3:E227,商品マスタ[[#This Row],[商品名]]) = 1, 1,0)</f>
        <v/>
      </c>
      <c r="G227" s="133">
        <f>TEXT(SUMIF($C$3:C227,商品マスタ[[#This Row],[仕入先]],$F$3:F227), "0000")</f>
        <v/>
      </c>
      <c r="H227" s="167" t="inlineStr">
        <is>
          <t>kg</t>
        </is>
      </c>
      <c r="I227" s="167" t="inlineStr">
        <is>
          <t>5kg/合</t>
        </is>
      </c>
      <c r="J227" s="167" t="inlineStr">
        <is>
          <t>1ケース</t>
        </is>
      </c>
      <c r="K227" s="167" t="inlineStr">
        <is>
          <t>2合入　フィーレ（6-10枚/5kg）</t>
        </is>
      </c>
      <c r="L227" s="289" t="n">
        <v>3000</v>
      </c>
      <c r="M227" s="157" t="n">
        <v>45912</v>
      </c>
      <c r="N227" s="289" t="n"/>
      <c r="O227" s="290">
        <f>IF(COUNT(商品マスタ[[#This Row],[参考上代
（税込)]]) &gt; 0, (商品マスタ[[#This Row],[参考上代
（税込)]]-商品マスタ[[#This Row],[国内定価
（15％）]])/(商品マスタ[[#This Row],[参考上代
（税込)]]/1.08), "")</f>
        <v/>
      </c>
      <c r="P227" s="136" t="n">
        <v>0.1</v>
      </c>
      <c r="Q227" s="291">
        <f>商品マスタ[[#This Row],[仕入
単価]]*商品マスタ[[#This Row],[標準国内送料率]]</f>
        <v/>
      </c>
      <c r="R227" s="289" t="n"/>
      <c r="S227" s="289">
        <f>IF(ISBLANK(商品マスタ[[#This Row],[実績
国内送料]]),商品マスタ[[#This Row],[標準国内送料]],)</f>
        <v/>
      </c>
      <c r="T227" s="289">
        <f>商品マスタ[[#This Row],[仕入
単価]]+商品マスタ[[#This Row],[国内送料]]</f>
        <v/>
      </c>
      <c r="U227" s="289">
        <f>ROUNDUP(商品マスタ[[#This Row],[仕入単価+国内送料]]/0.8,-1)</f>
        <v/>
      </c>
      <c r="V227" s="289">
        <f>商品マスタ[[#This Row],[海外定価
（20％）]]-商品マスタ[[#This Row],[仕入単価+国内送料]]</f>
        <v/>
      </c>
      <c r="W227" s="167">
        <f>ROUNDUP(商品マスタ[[#This Row],[仕入単価+国内送料]]/0.85,-1)</f>
        <v/>
      </c>
      <c r="X227" s="289">
        <f>商品マスタ[[#This Row],[国内定価
（15％）]]-商品マスタ[[#This Row],[仕入単価+国内送料]]</f>
        <v/>
      </c>
      <c r="Y227" s="139" t="n">
        <v>0.08</v>
      </c>
      <c r="Z227" s="167" t="n"/>
      <c r="AA227" s="167" t="n"/>
      <c r="AB227" s="167" t="n"/>
      <c r="AC227" s="293" t="n"/>
      <c r="AD227" s="167" t="n"/>
      <c r="AE227" s="167" t="n"/>
      <c r="AF227" s="167" t="n"/>
      <c r="AG227" s="144" t="n"/>
    </row>
    <row r="228" ht="18" customHeight="1" s="207">
      <c r="A228" s="169" t="inlineStr">
        <is>
          <t>水産</t>
        </is>
      </c>
      <c r="B228" s="168" t="inlineStr">
        <is>
          <t>水産物</t>
        </is>
      </c>
      <c r="C228" s="168" t="inlineStr">
        <is>
          <t>ナチュラルシー</t>
        </is>
      </c>
      <c r="D228" s="143">
        <f>"PRD_SNJ_"&amp;
_xlfn.XLOOKUP(商品マスタ[[#This Row],[仕入先]],テーブル1[仕入先名],テーブル1[仕入先コード],"XXX",0,1)&amp;
"_"&amp;
商品マスタ[[#This Row],[シリアル]]&amp;
"_"&amp;
TEXT(COUNTIFS(商品マスタ!$C$3:C228,商品マスタ[[#This Row],[仕入先]],商品マスタ!$E$3:E228,商品マスタ[[#This Row],[商品名]]), "00")</f>
        <v/>
      </c>
      <c r="E228" s="167" t="inlineStr">
        <is>
          <t>噴火湾産 ボタン海老 メス大</t>
        </is>
      </c>
      <c r="F228" s="167">
        <f>IF(COUNTIFS($C$3:C228,商品マスタ[[#This Row],[仕入先]],$E$3:E228,商品マスタ[[#This Row],[商品名]]) = 1, 1,0)</f>
        <v/>
      </c>
      <c r="G228" s="133">
        <f>TEXT(SUMIF($C$3:C228,商品マスタ[[#This Row],[仕入先]],$F$3:F228), "0000")</f>
        <v/>
      </c>
      <c r="H228" s="167" t="inlineStr">
        <is>
          <t>パック</t>
        </is>
      </c>
      <c r="I228" s="167" t="inlineStr">
        <is>
          <t>約500g（10-13尾）/パック</t>
        </is>
      </c>
      <c r="J228" s="167" t="inlineStr">
        <is>
          <t>1ケース</t>
        </is>
      </c>
      <c r="K228" s="167" t="inlineStr">
        <is>
          <t>18パック入　プロトン凍結・メス大</t>
        </is>
      </c>
      <c r="L228" s="289" t="n">
        <v>3500</v>
      </c>
      <c r="M228" s="157" t="n">
        <v>45912</v>
      </c>
      <c r="N228" s="289" t="n"/>
      <c r="O228" s="290">
        <f>IF(COUNT(商品マスタ[[#This Row],[参考上代
（税込)]]) &gt; 0, (商品マスタ[[#This Row],[参考上代
（税込)]]-商品マスタ[[#This Row],[国内定価
（15％）]])/(商品マスタ[[#This Row],[参考上代
（税込)]]/1.08), "")</f>
        <v/>
      </c>
      <c r="P228" s="136" t="n">
        <v>0.1</v>
      </c>
      <c r="Q228" s="291">
        <f>商品マスタ[[#This Row],[仕入
単価]]*商品マスタ[[#This Row],[標準国内送料率]]</f>
        <v/>
      </c>
      <c r="R228" s="289" t="n"/>
      <c r="S228" s="289">
        <f>IF(ISBLANK(商品マスタ[[#This Row],[実績
国内送料]]),商品マスタ[[#This Row],[標準国内送料]],)</f>
        <v/>
      </c>
      <c r="T228" s="289">
        <f>商品マスタ[[#This Row],[仕入
単価]]+商品マスタ[[#This Row],[国内送料]]</f>
        <v/>
      </c>
      <c r="U228" s="289">
        <f>ROUNDUP(商品マスタ[[#This Row],[仕入単価+国内送料]]/0.8,-1)</f>
        <v/>
      </c>
      <c r="V228" s="289">
        <f>商品マスタ[[#This Row],[海外定価
（20％）]]-商品マスタ[[#This Row],[仕入単価+国内送料]]</f>
        <v/>
      </c>
      <c r="W228" s="167">
        <f>ROUNDUP(商品マスタ[[#This Row],[仕入単価+国内送料]]/0.85,-1)</f>
        <v/>
      </c>
      <c r="X228" s="289">
        <f>商品マスタ[[#This Row],[国内定価
（15％）]]-商品マスタ[[#This Row],[仕入単価+国内送料]]</f>
        <v/>
      </c>
      <c r="Y228" s="139" t="n">
        <v>0.08</v>
      </c>
      <c r="Z228" s="167" t="n"/>
      <c r="AA228" s="167" t="n"/>
      <c r="AB228" s="167" t="n"/>
      <c r="AC228" s="293" t="n"/>
      <c r="AD228" s="167" t="n"/>
      <c r="AE228" s="167" t="n"/>
      <c r="AF228" s="167" t="n"/>
      <c r="AG228" s="144" t="n"/>
    </row>
    <row r="229" ht="18" customHeight="1" s="207">
      <c r="A229" s="169" t="inlineStr">
        <is>
          <t>水産</t>
        </is>
      </c>
      <c r="B229" s="168" t="inlineStr">
        <is>
          <t>水産物</t>
        </is>
      </c>
      <c r="C229" s="168" t="inlineStr">
        <is>
          <t>ナチュラルシー</t>
        </is>
      </c>
      <c r="D229" s="143">
        <f>"PRD_SNJ_"&amp;
_xlfn.XLOOKUP(商品マスタ[[#This Row],[仕入先]],テーブル1[仕入先名],テーブル1[仕入先コード],"XXX",0,1)&amp;
"_"&amp;
商品マスタ[[#This Row],[シリアル]]&amp;
"_"&amp;
TEXT(COUNTIFS(商品マスタ!$C$3:C229,商品マスタ[[#This Row],[仕入先]],商品マスタ!$E$3:E229,商品マスタ[[#This Row],[商品名]]), "00")</f>
        <v/>
      </c>
      <c r="E229" s="167" t="inlineStr">
        <is>
          <t>宮城県産 大とろ金華イワシフィーレ（生食）</t>
        </is>
      </c>
      <c r="F229" s="167">
        <f>IF(COUNTIFS($C$3:C229,商品マスタ[[#This Row],[仕入先]],$E$3:E229,商品マスタ[[#This Row],[商品名]]) = 1, 1,0)</f>
        <v/>
      </c>
      <c r="G229" s="133">
        <f>TEXT(SUMIF($C$3:C229,商品マスタ[[#This Row],[仕入先]],$F$3:F229), "0000")</f>
        <v/>
      </c>
      <c r="H229" s="167" t="inlineStr">
        <is>
          <t>パック</t>
        </is>
      </c>
      <c r="I229" s="167" t="inlineStr">
        <is>
          <t>500g（約25枚）/パック</t>
        </is>
      </c>
      <c r="J229" s="167" t="inlineStr">
        <is>
          <t>1ケース</t>
        </is>
      </c>
      <c r="K229" s="167" t="inlineStr">
        <is>
          <t>20パック入　生食用フィーレ</t>
        </is>
      </c>
      <c r="L229" s="289" t="n">
        <v>1400</v>
      </c>
      <c r="M229" s="157" t="n">
        <v>45912</v>
      </c>
      <c r="N229" s="289" t="n"/>
      <c r="O229" s="290">
        <f>IF(COUNT(商品マスタ[[#This Row],[参考上代
（税込)]]) &gt; 0, (商品マスタ[[#This Row],[参考上代
（税込)]]-商品マスタ[[#This Row],[国内定価
（15％）]])/(商品マスタ[[#This Row],[参考上代
（税込)]]/1.08), "")</f>
        <v/>
      </c>
      <c r="P229" s="136" t="n">
        <v>0.1</v>
      </c>
      <c r="Q229" s="291">
        <f>商品マスタ[[#This Row],[仕入
単価]]*商品マスタ[[#This Row],[標準国内送料率]]</f>
        <v/>
      </c>
      <c r="R229" s="289" t="n"/>
      <c r="S229" s="289">
        <f>IF(ISBLANK(商品マスタ[[#This Row],[実績
国内送料]]),商品マスタ[[#This Row],[標準国内送料]],)</f>
        <v/>
      </c>
      <c r="T229" s="289">
        <f>商品マスタ[[#This Row],[仕入
単価]]+商品マスタ[[#This Row],[国内送料]]</f>
        <v/>
      </c>
      <c r="U229" s="289">
        <f>ROUNDUP(商品マスタ[[#This Row],[仕入単価+国内送料]]/0.8,-1)</f>
        <v/>
      </c>
      <c r="V229" s="289">
        <f>商品マスタ[[#This Row],[海外定価
（20％）]]-商品マスタ[[#This Row],[仕入単価+国内送料]]</f>
        <v/>
      </c>
      <c r="W229" s="167">
        <f>ROUNDUP(商品マスタ[[#This Row],[仕入単価+国内送料]]/0.85,-1)</f>
        <v/>
      </c>
      <c r="X229" s="289">
        <f>商品マスタ[[#This Row],[国内定価
（15％）]]-商品マスタ[[#This Row],[仕入単価+国内送料]]</f>
        <v/>
      </c>
      <c r="Y229" s="139" t="n">
        <v>0.08</v>
      </c>
      <c r="Z229" s="167" t="n"/>
      <c r="AA229" s="167" t="n"/>
      <c r="AB229" s="167" t="n"/>
      <c r="AC229" s="293" t="n"/>
      <c r="AD229" s="167" t="n"/>
      <c r="AE229" s="167" t="n"/>
      <c r="AF229" s="167" t="n"/>
      <c r="AG229" s="144" t="n"/>
    </row>
    <row r="230" ht="18" customHeight="1" s="207">
      <c r="A230" s="169" t="inlineStr">
        <is>
          <t>水産</t>
        </is>
      </c>
      <c r="B230" s="168" t="inlineStr">
        <is>
          <t>水産物</t>
        </is>
      </c>
      <c r="C230" s="168" t="inlineStr">
        <is>
          <t>ナチュラルシー</t>
        </is>
      </c>
      <c r="D230" s="143">
        <f>"PRD_SNJ_"&amp;
_xlfn.XLOOKUP(商品マスタ[[#This Row],[仕入先]],テーブル1[仕入先名],テーブル1[仕入先コード],"XXX",0,1)&amp;
"_"&amp;
商品マスタ[[#This Row],[シリアル]]&amp;
"_"&amp;
TEXT(COUNTIFS(商品マスタ!$C$3:C230,商品マスタ[[#This Row],[仕入先]],商品マスタ!$E$3:E230,商品マスタ[[#This Row],[商品名]]), "00")</f>
        <v/>
      </c>
      <c r="E230" s="167" t="inlineStr">
        <is>
          <t>宮城県産 とろ金華いわしフィーレ（生食）</t>
        </is>
      </c>
      <c r="F230" s="167">
        <f>IF(COUNTIFS($C$3:C230,商品マスタ[[#This Row],[仕入先]],$E$3:E230,商品マスタ[[#This Row],[商品名]]) = 1, 1,0)</f>
        <v/>
      </c>
      <c r="G230" s="133">
        <f>TEXT(SUMIF($C$3:C230,商品マスタ[[#This Row],[仕入先]],$F$3:F230), "0000")</f>
        <v/>
      </c>
      <c r="H230" s="167" t="inlineStr">
        <is>
          <t>パック</t>
        </is>
      </c>
      <c r="I230" s="167" t="inlineStr">
        <is>
          <t>500g（約35枚）/パック</t>
        </is>
      </c>
      <c r="J230" s="167" t="inlineStr">
        <is>
          <t>1ケース</t>
        </is>
      </c>
      <c r="K230" s="167" t="inlineStr">
        <is>
          <t>18パック入　生食用フィーレ</t>
        </is>
      </c>
      <c r="L230" s="289" t="n">
        <v>1300</v>
      </c>
      <c r="M230" s="157" t="n">
        <v>45912</v>
      </c>
      <c r="N230" s="289" t="n"/>
      <c r="O230" s="290">
        <f>IF(COUNT(商品マスタ[[#This Row],[参考上代
（税込)]]) &gt; 0, (商品マスタ[[#This Row],[参考上代
（税込)]]-商品マスタ[[#This Row],[国内定価
（15％）]])/(商品マスタ[[#This Row],[参考上代
（税込)]]/1.08), "")</f>
        <v/>
      </c>
      <c r="P230" s="136" t="n">
        <v>0.1</v>
      </c>
      <c r="Q230" s="291">
        <f>商品マスタ[[#This Row],[仕入
単価]]*商品マスタ[[#This Row],[標準国内送料率]]</f>
        <v/>
      </c>
      <c r="R230" s="289" t="n"/>
      <c r="S230" s="289">
        <f>IF(ISBLANK(商品マスタ[[#This Row],[実績
国内送料]]),商品マスタ[[#This Row],[標準国内送料]],)</f>
        <v/>
      </c>
      <c r="T230" s="289">
        <f>商品マスタ[[#This Row],[仕入
単価]]+商品マスタ[[#This Row],[国内送料]]</f>
        <v/>
      </c>
      <c r="U230" s="289">
        <f>ROUNDUP(商品マスタ[[#This Row],[仕入単価+国内送料]]/0.8,-1)</f>
        <v/>
      </c>
      <c r="V230" s="289">
        <f>商品マスタ[[#This Row],[海外定価
（20％）]]-商品マスタ[[#This Row],[仕入単価+国内送料]]</f>
        <v/>
      </c>
      <c r="W230" s="167">
        <f>ROUNDUP(商品マスタ[[#This Row],[仕入単価+国内送料]]/0.85,-1)</f>
        <v/>
      </c>
      <c r="X230" s="289">
        <f>商品マスタ[[#This Row],[国内定価
（15％）]]-商品マスタ[[#This Row],[仕入単価+国内送料]]</f>
        <v/>
      </c>
      <c r="Y230" s="139" t="n">
        <v>0.08</v>
      </c>
      <c r="Z230" s="167" t="n"/>
      <c r="AA230" s="167" t="n"/>
      <c r="AB230" s="167" t="n"/>
      <c r="AC230" s="293" t="n"/>
      <c r="AD230" s="167" t="n"/>
      <c r="AE230" s="167" t="n"/>
      <c r="AF230" s="167" t="n"/>
      <c r="AG230" s="144" t="n"/>
    </row>
    <row r="231" ht="18" customHeight="1" s="207">
      <c r="A231" s="169" t="inlineStr">
        <is>
          <t>水産</t>
        </is>
      </c>
      <c r="B231" s="168" t="inlineStr">
        <is>
          <t>水産物</t>
        </is>
      </c>
      <c r="C231" s="168" t="inlineStr">
        <is>
          <t>ナチュラルシー</t>
        </is>
      </c>
      <c r="D231" s="143">
        <f>"PRD_SNJ_"&amp;
_xlfn.XLOOKUP(商品マスタ[[#This Row],[仕入先]],テーブル1[仕入先名],テーブル1[仕入先コード],"XXX",0,1)&amp;
"_"&amp;
商品マスタ[[#This Row],[シリアル]]&amp;
"_"&amp;
TEXT(COUNTIFS(商品マスタ!$C$3:C231,商品マスタ[[#This Row],[仕入先]],商品マスタ!$E$3:E231,商品マスタ[[#This Row],[商品名]]), "00")</f>
        <v/>
      </c>
      <c r="E231" s="167" t="inlineStr">
        <is>
          <t>宮城県産 お刺身秋刀魚フィーレ（生食）</t>
        </is>
      </c>
      <c r="F231" s="167">
        <f>IF(COUNTIFS($C$3:C231,商品マスタ[[#This Row],[仕入先]],$E$3:E231,商品マスタ[[#This Row],[商品名]]) = 1, 1,0)</f>
        <v/>
      </c>
      <c r="G231" s="133">
        <f>TEXT(SUMIF($C$3:C231,商品マスタ[[#This Row],[仕入先]],$F$3:F231), "0000")</f>
        <v/>
      </c>
      <c r="H231" s="167" t="inlineStr">
        <is>
          <t>パック</t>
        </is>
      </c>
      <c r="I231" s="167" t="inlineStr">
        <is>
          <t>500g（約25枚）/パック</t>
        </is>
      </c>
      <c r="J231" s="167" t="inlineStr">
        <is>
          <t>1ケース</t>
        </is>
      </c>
      <c r="K231" s="167" t="inlineStr">
        <is>
          <t>20パック入　生食用フィーレ</t>
        </is>
      </c>
      <c r="L231" s="289" t="n">
        <v>1950</v>
      </c>
      <c r="M231" s="157" t="n">
        <v>45912</v>
      </c>
      <c r="N231" s="289" t="n"/>
      <c r="O231" s="290">
        <f>IF(COUNT(商品マスタ[[#This Row],[参考上代
（税込)]]) &gt; 0, (商品マスタ[[#This Row],[参考上代
（税込)]]-商品マスタ[[#This Row],[国内定価
（15％）]])/(商品マスタ[[#This Row],[参考上代
（税込)]]/1.08), "")</f>
        <v/>
      </c>
      <c r="P231" s="136" t="n">
        <v>0.1</v>
      </c>
      <c r="Q231" s="291">
        <f>商品マスタ[[#This Row],[仕入
単価]]*商品マスタ[[#This Row],[標準国内送料率]]</f>
        <v/>
      </c>
      <c r="R231" s="289" t="n"/>
      <c r="S231" s="289">
        <f>IF(ISBLANK(商品マスタ[[#This Row],[実績
国内送料]]),商品マスタ[[#This Row],[標準国内送料]],)</f>
        <v/>
      </c>
      <c r="T231" s="289">
        <f>商品マスタ[[#This Row],[仕入
単価]]+商品マスタ[[#This Row],[国内送料]]</f>
        <v/>
      </c>
      <c r="U231" s="289">
        <f>ROUNDUP(商品マスタ[[#This Row],[仕入単価+国内送料]]/0.8,-1)</f>
        <v/>
      </c>
      <c r="V231" s="289">
        <f>商品マスタ[[#This Row],[海外定価
（20％）]]-商品マスタ[[#This Row],[仕入単価+国内送料]]</f>
        <v/>
      </c>
      <c r="W231" s="167">
        <f>ROUNDUP(商品マスタ[[#This Row],[仕入単価+国内送料]]/0.85,-1)</f>
        <v/>
      </c>
      <c r="X231" s="289">
        <f>商品マスタ[[#This Row],[国内定価
（15％）]]-商品マスタ[[#This Row],[仕入単価+国内送料]]</f>
        <v/>
      </c>
      <c r="Y231" s="139" t="n">
        <v>0.08</v>
      </c>
      <c r="Z231" s="167" t="n"/>
      <c r="AA231" s="167" t="n"/>
      <c r="AB231" s="167" t="n"/>
      <c r="AC231" s="293" t="n"/>
      <c r="AD231" s="167" t="n"/>
      <c r="AE231" s="167" t="n"/>
      <c r="AF231" s="167" t="n"/>
      <c r="AG231" s="144" t="n"/>
    </row>
    <row r="232" ht="18" customHeight="1" s="207">
      <c r="A232" s="169" t="inlineStr">
        <is>
          <t>水産</t>
        </is>
      </c>
      <c r="B232" s="168" t="inlineStr">
        <is>
          <t>水産物</t>
        </is>
      </c>
      <c r="C232" s="168" t="inlineStr">
        <is>
          <t>ナチュラルシー</t>
        </is>
      </c>
      <c r="D232" s="143">
        <f>"PRD_SNJ_"&amp;
_xlfn.XLOOKUP(商品マスタ[[#This Row],[仕入先]],テーブル1[仕入先名],テーブル1[仕入先コード],"XXX",0,1)&amp;
"_"&amp;
商品マスタ[[#This Row],[シリアル]]&amp;
"_"&amp;
TEXT(COUNTIFS(商品マスタ!$C$3:C232,商品マスタ[[#This Row],[仕入先]],商品マスタ!$E$3:E232,商品マスタ[[#This Row],[商品名]]), "00")</f>
        <v/>
      </c>
      <c r="E232" s="167" t="inlineStr">
        <is>
          <t>岩手県産 お刺身秋刀魚フィーレ（生食）</t>
        </is>
      </c>
      <c r="F232" s="167">
        <f>IF(COUNTIFS($C$3:C232,商品マスタ[[#This Row],[仕入先]],$E$3:E232,商品マスタ[[#This Row],[商品名]]) = 1, 1,0)</f>
        <v/>
      </c>
      <c r="G232" s="133">
        <f>TEXT(SUMIF($C$3:C232,商品マスタ[[#This Row],[仕入先]],$F$3:F232), "0000")</f>
        <v/>
      </c>
      <c r="H232" s="167" t="inlineStr">
        <is>
          <t>パック</t>
        </is>
      </c>
      <c r="I232" s="167" t="inlineStr">
        <is>
          <t>500g（約26-27枚）/パック</t>
        </is>
      </c>
      <c r="J232" s="167" t="inlineStr">
        <is>
          <t>1ケース</t>
        </is>
      </c>
      <c r="K232" s="167" t="inlineStr">
        <is>
          <t>12パック入×2合　生食用フィーレ</t>
        </is>
      </c>
      <c r="L232" s="289" t="n">
        <v>1950</v>
      </c>
      <c r="M232" s="157" t="n">
        <v>45912</v>
      </c>
      <c r="N232" s="289" t="n"/>
      <c r="O232" s="290">
        <f>IF(COUNT(商品マスタ[[#This Row],[参考上代
（税込)]]) &gt; 0, (商品マスタ[[#This Row],[参考上代
（税込)]]-商品マスタ[[#This Row],[国内定価
（15％）]])/(商品マスタ[[#This Row],[参考上代
（税込)]]/1.08), "")</f>
        <v/>
      </c>
      <c r="P232" s="136" t="n">
        <v>0.1</v>
      </c>
      <c r="Q232" s="291">
        <f>商品マスタ[[#This Row],[仕入
単価]]*商品マスタ[[#This Row],[標準国内送料率]]</f>
        <v/>
      </c>
      <c r="R232" s="289" t="n"/>
      <c r="S232" s="289">
        <f>IF(ISBLANK(商品マスタ[[#This Row],[実績
国内送料]]),商品マスタ[[#This Row],[標準国内送料]],)</f>
        <v/>
      </c>
      <c r="T232" s="289">
        <f>商品マスタ[[#This Row],[仕入
単価]]+商品マスタ[[#This Row],[国内送料]]</f>
        <v/>
      </c>
      <c r="U232" s="289">
        <f>ROUNDUP(商品マスタ[[#This Row],[仕入単価+国内送料]]/0.8,-1)</f>
        <v/>
      </c>
      <c r="V232" s="289">
        <f>商品マスタ[[#This Row],[海外定価
（20％）]]-商品マスタ[[#This Row],[仕入単価+国内送料]]</f>
        <v/>
      </c>
      <c r="W232" s="167">
        <f>ROUNDUP(商品マスタ[[#This Row],[仕入単価+国内送料]]/0.85,-1)</f>
        <v/>
      </c>
      <c r="X232" s="289">
        <f>商品マスタ[[#This Row],[国内定価
（15％）]]-商品マスタ[[#This Row],[仕入単価+国内送料]]</f>
        <v/>
      </c>
      <c r="Y232" s="139" t="n">
        <v>0.08</v>
      </c>
      <c r="Z232" s="167" t="n"/>
      <c r="AA232" s="167" t="n"/>
      <c r="AB232" s="167" t="n"/>
      <c r="AC232" s="293" t="n"/>
      <c r="AD232" s="167" t="n"/>
      <c r="AE232" s="167" t="n"/>
      <c r="AF232" s="167" t="n"/>
      <c r="AG232" s="144" t="n"/>
    </row>
    <row r="233" ht="18" customHeight="1" s="207">
      <c r="A233" s="169" t="inlineStr">
        <is>
          <t>水産</t>
        </is>
      </c>
      <c r="B233" s="168" t="inlineStr">
        <is>
          <t>水産物</t>
        </is>
      </c>
      <c r="C233" s="168" t="inlineStr">
        <is>
          <t>ナチュラルシー</t>
        </is>
      </c>
      <c r="D233" s="143">
        <f>"PRD_SNJ_"&amp;
_xlfn.XLOOKUP(商品マスタ[[#This Row],[仕入先]],テーブル1[仕入先名],テーブル1[仕入先コード],"XXX",0,1)&amp;
"_"&amp;
商品マスタ[[#This Row],[シリアル]]&amp;
"_"&amp;
TEXT(COUNTIFS(商品マスタ!$C$3:C233,商品マスタ[[#This Row],[仕入先]],商品マスタ!$E$3:E233,商品マスタ[[#This Row],[商品名]]), "00")</f>
        <v/>
      </c>
      <c r="E233" s="167" t="inlineStr">
        <is>
          <t>北海道産 お刺身ニシンフィーレ（生食）</t>
        </is>
      </c>
      <c r="F233" s="167">
        <f>IF(COUNTIFS($C$3:C233,商品マスタ[[#This Row],[仕入先]],$E$3:E233,商品マスタ[[#This Row],[商品名]]) = 1, 1,0)</f>
        <v/>
      </c>
      <c r="G233" s="133">
        <f>TEXT(SUMIF($C$3:C233,商品マスタ[[#This Row],[仕入先]],$F$3:F233), "0000")</f>
        <v/>
      </c>
      <c r="H233" s="167" t="inlineStr">
        <is>
          <t>パック</t>
        </is>
      </c>
      <c r="I233" s="167" t="inlineStr">
        <is>
          <t>約200g±50g（4枚）/パック</t>
        </is>
      </c>
      <c r="J233" s="167" t="inlineStr">
        <is>
          <t>1ケース</t>
        </is>
      </c>
      <c r="K233" s="167" t="inlineStr">
        <is>
          <t>25パック入×2合　生食用フィーレ（4枚真空）</t>
        </is>
      </c>
      <c r="L233" s="289" t="n">
        <v>700</v>
      </c>
      <c r="M233" s="157" t="n">
        <v>45912</v>
      </c>
      <c r="N233" s="289" t="n"/>
      <c r="O233" s="290">
        <f>IF(COUNT(商品マスタ[[#This Row],[参考上代
（税込)]]) &gt; 0, (商品マスタ[[#This Row],[参考上代
（税込)]]-商品マスタ[[#This Row],[国内定価
（15％）]])/(商品マスタ[[#This Row],[参考上代
（税込)]]/1.08), "")</f>
        <v/>
      </c>
      <c r="P233" s="136" t="n">
        <v>0.1</v>
      </c>
      <c r="Q233" s="291">
        <f>商品マスタ[[#This Row],[仕入
単価]]*商品マスタ[[#This Row],[標準国内送料率]]</f>
        <v/>
      </c>
      <c r="R233" s="289" t="n"/>
      <c r="S233" s="289">
        <f>IF(ISBLANK(商品マスタ[[#This Row],[実績
国内送料]]),商品マスタ[[#This Row],[標準国内送料]],)</f>
        <v/>
      </c>
      <c r="T233" s="289">
        <f>商品マスタ[[#This Row],[仕入
単価]]+商品マスタ[[#This Row],[国内送料]]</f>
        <v/>
      </c>
      <c r="U233" s="289">
        <f>ROUNDUP(商品マスタ[[#This Row],[仕入単価+国内送料]]/0.8,-1)</f>
        <v/>
      </c>
      <c r="V233" s="289">
        <f>商品マスタ[[#This Row],[海外定価
（20％）]]-商品マスタ[[#This Row],[仕入単価+国内送料]]</f>
        <v/>
      </c>
      <c r="W233" s="167">
        <f>ROUNDUP(商品マスタ[[#This Row],[仕入単価+国内送料]]/0.85,-1)</f>
        <v/>
      </c>
      <c r="X233" s="289">
        <f>商品マスタ[[#This Row],[国内定価
（15％）]]-商品マスタ[[#This Row],[仕入単価+国内送料]]</f>
        <v/>
      </c>
      <c r="Y233" s="139" t="n">
        <v>0.08</v>
      </c>
      <c r="Z233" s="167" t="n"/>
      <c r="AA233" s="167" t="n"/>
      <c r="AB233" s="167" t="n"/>
      <c r="AC233" s="293" t="n"/>
      <c r="AD233" s="167" t="n"/>
      <c r="AE233" s="167" t="n"/>
      <c r="AF233" s="167" t="n"/>
      <c r="AG233" s="144" t="n"/>
    </row>
    <row r="234" ht="18" customHeight="1" s="207">
      <c r="A234" s="169" t="inlineStr">
        <is>
          <t>水産</t>
        </is>
      </c>
      <c r="B234" s="168" t="inlineStr">
        <is>
          <t>水産物</t>
        </is>
      </c>
      <c r="C234" s="168" t="inlineStr">
        <is>
          <t>ナチュラルシー</t>
        </is>
      </c>
      <c r="D234" s="143">
        <f>"PRD_SNJ_"&amp;
_xlfn.XLOOKUP(商品マスタ[[#This Row],[仕入先]],テーブル1[仕入先名],テーブル1[仕入先コード],"XXX",0,1)&amp;
"_"&amp;
商品マスタ[[#This Row],[シリアル]]&amp;
"_"&amp;
TEXT(COUNTIFS(商品マスタ!$C$3:C234,商品マスタ[[#This Row],[仕入先]],商品マスタ!$E$3:E234,商品マスタ[[#This Row],[商品名]]), "00")</f>
        <v/>
      </c>
      <c r="E234" s="167" t="inlineStr">
        <is>
          <t>北海道産 アオソイフィーレ（クロメヌケ 生食）</t>
        </is>
      </c>
      <c r="F234" s="167">
        <f>IF(COUNTIFS($C$3:C234,商品マスタ[[#This Row],[仕入先]],$E$3:E234,商品マスタ[[#This Row],[商品名]]) = 1, 1,0)</f>
        <v/>
      </c>
      <c r="G234" s="133">
        <f>TEXT(SUMIF($C$3:C234,商品マスタ[[#This Row],[仕入先]],$F$3:F234), "0000")</f>
        <v/>
      </c>
      <c r="H234" s="167" t="inlineStr">
        <is>
          <t>kg</t>
        </is>
      </c>
      <c r="I234" s="167" t="inlineStr">
        <is>
          <t>2kg（6-8枚）/袋</t>
        </is>
      </c>
      <c r="J234" s="167" t="inlineStr">
        <is>
          <t>1ケース</t>
        </is>
      </c>
      <c r="K234" s="167" t="inlineStr">
        <is>
          <t>3袋入　生食用フィーレ（1枚真空バラ凍結）</t>
        </is>
      </c>
      <c r="L234" s="289" t="n">
        <v>2200</v>
      </c>
      <c r="M234" s="157" t="n">
        <v>45912</v>
      </c>
      <c r="N234" s="289" t="n"/>
      <c r="O234" s="290">
        <f>IF(COUNT(商品マスタ[[#This Row],[参考上代
（税込)]]) &gt; 0, (商品マスタ[[#This Row],[参考上代
（税込)]]-商品マスタ[[#This Row],[国内定価
（15％）]])/(商品マスタ[[#This Row],[参考上代
（税込)]]/1.08), "")</f>
        <v/>
      </c>
      <c r="P234" s="136" t="n">
        <v>0.1</v>
      </c>
      <c r="Q234" s="291">
        <f>商品マスタ[[#This Row],[仕入
単価]]*商品マスタ[[#This Row],[標準国内送料率]]</f>
        <v/>
      </c>
      <c r="R234" s="289" t="n"/>
      <c r="S234" s="289">
        <f>IF(ISBLANK(商品マスタ[[#This Row],[実績
国内送料]]),商品マスタ[[#This Row],[標準国内送料]],)</f>
        <v/>
      </c>
      <c r="T234" s="289">
        <f>商品マスタ[[#This Row],[仕入
単価]]+商品マスタ[[#This Row],[国内送料]]</f>
        <v/>
      </c>
      <c r="U234" s="289">
        <f>ROUNDUP(商品マスタ[[#This Row],[仕入単価+国内送料]]/0.8,-1)</f>
        <v/>
      </c>
      <c r="V234" s="289">
        <f>商品マスタ[[#This Row],[海外定価
（20％）]]-商品マスタ[[#This Row],[仕入単価+国内送料]]</f>
        <v/>
      </c>
      <c r="W234" s="167">
        <f>ROUNDUP(商品マスタ[[#This Row],[仕入単価+国内送料]]/0.85,-1)</f>
        <v/>
      </c>
      <c r="X234" s="289">
        <f>商品マスタ[[#This Row],[国内定価
（15％）]]-商品マスタ[[#This Row],[仕入単価+国内送料]]</f>
        <v/>
      </c>
      <c r="Y234" s="139" t="n">
        <v>0.08</v>
      </c>
      <c r="Z234" s="167" t="n"/>
      <c r="AA234" s="167" t="n"/>
      <c r="AB234" s="167" t="n"/>
      <c r="AC234" s="293" t="n"/>
      <c r="AD234" s="167" t="n"/>
      <c r="AE234" s="167" t="n"/>
      <c r="AF234" s="167" t="n"/>
      <c r="AG234" s="144" t="n"/>
    </row>
    <row r="235" ht="18" customHeight="1" s="207">
      <c r="A235" s="169" t="inlineStr">
        <is>
          <t>水産</t>
        </is>
      </c>
      <c r="B235" s="168" t="inlineStr">
        <is>
          <t>水産物</t>
        </is>
      </c>
      <c r="C235" s="168" t="inlineStr">
        <is>
          <t>ナチュラルシー</t>
        </is>
      </c>
      <c r="D235" s="143">
        <f>"PRD_SNJ_"&amp;
_xlfn.XLOOKUP(商品マスタ[[#This Row],[仕入先]],テーブル1[仕入先名],テーブル1[仕入先コード],"XXX",0,1)&amp;
"_"&amp;
商品マスタ[[#This Row],[シリアル]]&amp;
"_"&amp;
TEXT(COUNTIFS(商品マスタ!$C$3:C235,商品マスタ[[#This Row],[仕入先]],商品マスタ!$E$3:E235,商品マスタ[[#This Row],[商品名]]), "00")</f>
        <v/>
      </c>
      <c r="E235" s="167" t="inlineStr">
        <is>
          <t>北海道産 クロソイラウンド（クロメバル 生食可） 1.5kg UP</t>
        </is>
      </c>
      <c r="F235" s="167">
        <f>IF(COUNTIFS($C$3:C235,商品マスタ[[#This Row],[仕入先]],$E$3:E235,商品マスタ[[#This Row],[商品名]]) = 1, 1,0)</f>
        <v/>
      </c>
      <c r="G235" s="133">
        <f>TEXT(SUMIF($C$3:C235,商品マスタ[[#This Row],[仕入先]],$F$3:F235), "0000")</f>
        <v/>
      </c>
      <c r="H235" s="167" t="inlineStr">
        <is>
          <t>kg</t>
        </is>
      </c>
      <c r="I235" s="167" t="inlineStr">
        <is>
          <t>約1.5kg UP/尾</t>
        </is>
      </c>
      <c r="J235" s="167" t="inlineStr">
        <is>
          <t>量売り</t>
        </is>
      </c>
      <c r="K235" s="167" t="inlineStr">
        <is>
          <t>ラウンド（バラ凍結）</t>
        </is>
      </c>
      <c r="L235" s="289" t="n">
        <v>750</v>
      </c>
      <c r="M235" s="157" t="n">
        <v>45912</v>
      </c>
      <c r="N235" s="289" t="n"/>
      <c r="O235" s="290">
        <f>IF(COUNT(商品マスタ[[#This Row],[参考上代
（税込)]]) &gt; 0, (商品マスタ[[#This Row],[参考上代
（税込)]]-商品マスタ[[#This Row],[国内定価
（15％）]])/(商品マスタ[[#This Row],[参考上代
（税込)]]/1.08), "")</f>
        <v/>
      </c>
      <c r="P235" s="136" t="n">
        <v>0.1</v>
      </c>
      <c r="Q235" s="291">
        <f>商品マスタ[[#This Row],[仕入
単価]]*商品マスタ[[#This Row],[標準国内送料率]]</f>
        <v/>
      </c>
      <c r="R235" s="289" t="n"/>
      <c r="S235" s="289">
        <f>IF(ISBLANK(商品マスタ[[#This Row],[実績
国内送料]]),商品マスタ[[#This Row],[標準国内送料]],)</f>
        <v/>
      </c>
      <c r="T235" s="289">
        <f>商品マスタ[[#This Row],[仕入
単価]]+商品マスタ[[#This Row],[国内送料]]</f>
        <v/>
      </c>
      <c r="U235" s="289">
        <f>ROUNDUP(商品マスタ[[#This Row],[仕入単価+国内送料]]/0.8,-1)</f>
        <v/>
      </c>
      <c r="V235" s="289">
        <f>商品マスタ[[#This Row],[海外定価
（20％）]]-商品マスタ[[#This Row],[仕入単価+国内送料]]</f>
        <v/>
      </c>
      <c r="W235" s="167">
        <f>ROUNDUP(商品マスタ[[#This Row],[仕入単価+国内送料]]/0.85,-1)</f>
        <v/>
      </c>
      <c r="X235" s="289">
        <f>商品マスタ[[#This Row],[国内定価
（15％）]]-商品マスタ[[#This Row],[仕入単価+国内送料]]</f>
        <v/>
      </c>
      <c r="Y235" s="139" t="n">
        <v>0.08</v>
      </c>
      <c r="Z235" s="167" t="n"/>
      <c r="AA235" s="167" t="n"/>
      <c r="AB235" s="167" t="n"/>
      <c r="AC235" s="293" t="n"/>
      <c r="AD235" s="167" t="n"/>
      <c r="AE235" s="167" t="n"/>
      <c r="AF235" s="167" t="n"/>
      <c r="AG235" s="144" t="n"/>
    </row>
    <row r="236" ht="18" customHeight="1" s="207">
      <c r="A236" s="169" t="inlineStr">
        <is>
          <t>水産</t>
        </is>
      </c>
      <c r="B236" s="168" t="inlineStr">
        <is>
          <t>水産物</t>
        </is>
      </c>
      <c r="C236" s="168" t="inlineStr">
        <is>
          <t>ナチュラルシー</t>
        </is>
      </c>
      <c r="D236" s="143">
        <f>"PRD_SNJ_"&amp;
_xlfn.XLOOKUP(商品マスタ[[#This Row],[仕入先]],テーブル1[仕入先名],テーブル1[仕入先コード],"XXX",0,1)&amp;
"_"&amp;
商品マスタ[[#This Row],[シリアル]]&amp;
"_"&amp;
TEXT(COUNTIFS(商品マスタ!$C$3:C236,商品マスタ[[#This Row],[仕入先]],商品マスタ!$E$3:E236,商品マスタ[[#This Row],[商品名]]), "00")</f>
        <v/>
      </c>
      <c r="E236" s="167" t="inlineStr">
        <is>
          <t>北海道産 クロソイラウンド（クロメバル 生食可） 1-1.5kg</t>
        </is>
      </c>
      <c r="F236" s="167">
        <f>IF(COUNTIFS($C$3:C236,商品マスタ[[#This Row],[仕入先]],$E$3:E236,商品マスタ[[#This Row],[商品名]]) = 1, 1,0)</f>
        <v/>
      </c>
      <c r="G236" s="133">
        <f>TEXT(SUMIF($C$3:C236,商品マスタ[[#This Row],[仕入先]],$F$3:F236), "0000")</f>
        <v/>
      </c>
      <c r="H236" s="167" t="inlineStr">
        <is>
          <t>kg</t>
        </is>
      </c>
      <c r="I236" s="167" t="inlineStr">
        <is>
          <t>約1-1.5kg/尾</t>
        </is>
      </c>
      <c r="J236" s="167" t="inlineStr">
        <is>
          <t>量売り</t>
        </is>
      </c>
      <c r="K236" s="167" t="inlineStr">
        <is>
          <t>ラウンド（バラ凍結）</t>
        </is>
      </c>
      <c r="L236" s="289" t="n">
        <v>1000</v>
      </c>
      <c r="M236" s="157" t="n">
        <v>45912</v>
      </c>
      <c r="N236" s="289" t="n"/>
      <c r="O236" s="290">
        <f>IF(COUNT(商品マスタ[[#This Row],[参考上代
（税込)]]) &gt; 0, (商品マスタ[[#This Row],[参考上代
（税込)]]-商品マスタ[[#This Row],[国内定価
（15％）]])/(商品マスタ[[#This Row],[参考上代
（税込)]]/1.08), "")</f>
        <v/>
      </c>
      <c r="P236" s="136" t="n">
        <v>0.1</v>
      </c>
      <c r="Q236" s="291">
        <f>商品マスタ[[#This Row],[仕入
単価]]*商品マスタ[[#This Row],[標準国内送料率]]</f>
        <v/>
      </c>
      <c r="R236" s="289" t="n"/>
      <c r="S236" s="289">
        <f>IF(ISBLANK(商品マスタ[[#This Row],[実績
国内送料]]),商品マスタ[[#This Row],[標準国内送料]],)</f>
        <v/>
      </c>
      <c r="T236" s="289">
        <f>商品マスタ[[#This Row],[仕入
単価]]+商品マスタ[[#This Row],[国内送料]]</f>
        <v/>
      </c>
      <c r="U236" s="289">
        <f>ROUNDUP(商品マスタ[[#This Row],[仕入単価+国内送料]]/0.8,-1)</f>
        <v/>
      </c>
      <c r="V236" s="289">
        <f>商品マスタ[[#This Row],[海外定価
（20％）]]-商品マスタ[[#This Row],[仕入単価+国内送料]]</f>
        <v/>
      </c>
      <c r="W236" s="167">
        <f>ROUNDUP(商品マスタ[[#This Row],[仕入単価+国内送料]]/0.85,-1)</f>
        <v/>
      </c>
      <c r="X236" s="289">
        <f>商品マスタ[[#This Row],[国内定価
（15％）]]-商品マスタ[[#This Row],[仕入単価+国内送料]]</f>
        <v/>
      </c>
      <c r="Y236" s="139" t="n">
        <v>0.08</v>
      </c>
      <c r="Z236" s="167" t="n"/>
      <c r="AA236" s="167" t="n"/>
      <c r="AB236" s="167" t="n"/>
      <c r="AC236" s="293" t="n"/>
      <c r="AD236" s="167" t="n"/>
      <c r="AE236" s="167" t="n"/>
      <c r="AF236" s="167" t="n"/>
      <c r="AG236" s="144" t="n"/>
    </row>
    <row r="237" ht="18" customHeight="1" s="207">
      <c r="A237" s="169" t="inlineStr">
        <is>
          <t>水産</t>
        </is>
      </c>
      <c r="B237" s="168" t="inlineStr">
        <is>
          <t>水産物</t>
        </is>
      </c>
      <c r="C237" s="168" t="inlineStr">
        <is>
          <t>ナチュラルシー</t>
        </is>
      </c>
      <c r="D237" s="143">
        <f>"PRD_SNJ_"&amp;
_xlfn.XLOOKUP(商品マスタ[[#This Row],[仕入先]],テーブル1[仕入先名],テーブル1[仕入先コード],"XXX",0,1)&amp;
"_"&amp;
商品マスタ[[#This Row],[シリアル]]&amp;
"_"&amp;
TEXT(COUNTIFS(商品マスタ!$C$3:C237,商品マスタ[[#This Row],[仕入先]],商品マスタ!$E$3:E237,商品マスタ[[#This Row],[商品名]]), "00")</f>
        <v/>
      </c>
      <c r="E237" s="167" t="inlineStr">
        <is>
          <t>北海道産 クロソイラウンド（クロメバル 生食可） 0.7-1kg</t>
        </is>
      </c>
      <c r="F237" s="167">
        <f>IF(COUNTIFS($C$3:C237,商品マスタ[[#This Row],[仕入先]],$E$3:E237,商品マスタ[[#This Row],[商品名]]) = 1, 1,0)</f>
        <v/>
      </c>
      <c r="G237" s="133">
        <f>TEXT(SUMIF($C$3:C237,商品マスタ[[#This Row],[仕入先]],$F$3:F237), "0000")</f>
        <v/>
      </c>
      <c r="H237" s="167" t="inlineStr">
        <is>
          <t>kg</t>
        </is>
      </c>
      <c r="I237" s="167" t="inlineStr">
        <is>
          <t>約0.7-1kg/尾</t>
        </is>
      </c>
      <c r="J237" s="167" t="inlineStr">
        <is>
          <t>量売り</t>
        </is>
      </c>
      <c r="K237" s="167" t="inlineStr">
        <is>
          <t>ラウンド（バラ凍結）</t>
        </is>
      </c>
      <c r="L237" s="289" t="n">
        <v>700</v>
      </c>
      <c r="M237" s="157" t="n">
        <v>45912</v>
      </c>
      <c r="N237" s="289" t="n"/>
      <c r="O237" s="290">
        <f>IF(COUNT(商品マスタ[[#This Row],[参考上代
（税込)]]) &gt; 0, (商品マスタ[[#This Row],[参考上代
（税込)]]-商品マスタ[[#This Row],[国内定価
（15％）]])/(商品マスタ[[#This Row],[参考上代
（税込)]]/1.08), "")</f>
        <v/>
      </c>
      <c r="P237" s="136" t="n">
        <v>0.1</v>
      </c>
      <c r="Q237" s="291">
        <f>商品マスタ[[#This Row],[仕入
単価]]*商品マスタ[[#This Row],[標準国内送料率]]</f>
        <v/>
      </c>
      <c r="R237" s="289" t="n"/>
      <c r="S237" s="289">
        <f>IF(ISBLANK(商品マスタ[[#This Row],[実績
国内送料]]),商品マスタ[[#This Row],[標準国内送料]],)</f>
        <v/>
      </c>
      <c r="T237" s="289">
        <f>商品マスタ[[#This Row],[仕入
単価]]+商品マスタ[[#This Row],[国内送料]]</f>
        <v/>
      </c>
      <c r="U237" s="289">
        <f>ROUNDUP(商品マスタ[[#This Row],[仕入単価+国内送料]]/0.8,-1)</f>
        <v/>
      </c>
      <c r="V237" s="289">
        <f>商品マスタ[[#This Row],[海外定価
（20％）]]-商品マスタ[[#This Row],[仕入単価+国内送料]]</f>
        <v/>
      </c>
      <c r="W237" s="167">
        <f>ROUNDUP(商品マスタ[[#This Row],[仕入単価+国内送料]]/0.85,-1)</f>
        <v/>
      </c>
      <c r="X237" s="289">
        <f>商品マスタ[[#This Row],[国内定価
（15％）]]-商品マスタ[[#This Row],[仕入単価+国内送料]]</f>
        <v/>
      </c>
      <c r="Y237" s="139" t="n">
        <v>0.08</v>
      </c>
      <c r="Z237" s="167" t="n"/>
      <c r="AA237" s="167" t="n"/>
      <c r="AB237" s="167" t="n"/>
      <c r="AC237" s="293" t="n"/>
      <c r="AD237" s="167" t="n"/>
      <c r="AE237" s="167" t="n"/>
      <c r="AF237" s="167" t="n"/>
      <c r="AG237" s="144" t="n"/>
    </row>
    <row r="238" ht="18" customHeight="1" s="207">
      <c r="A238" s="169" t="inlineStr">
        <is>
          <t>水産</t>
        </is>
      </c>
      <c r="B238" s="168" t="inlineStr">
        <is>
          <t>水産物</t>
        </is>
      </c>
      <c r="C238" s="168" t="inlineStr">
        <is>
          <t>ナチュラルシー</t>
        </is>
      </c>
      <c r="D238" s="143">
        <f>"PRD_SNJ_"&amp;
_xlfn.XLOOKUP(商品マスタ[[#This Row],[仕入先]],テーブル1[仕入先名],テーブル1[仕入先コード],"XXX",0,1)&amp;
"_"&amp;
商品マスタ[[#This Row],[シリアル]]&amp;
"_"&amp;
TEXT(COUNTIFS(商品マスタ!$C$3:C238,商品マスタ[[#This Row],[仕入先]],商品マスタ!$E$3:E238,商品マスタ[[#This Row],[商品名]]), "00")</f>
        <v/>
      </c>
      <c r="E238" s="167" t="inlineStr">
        <is>
          <t>北海道産 クロソイラウンド（クロメバル 生食可） 0.5-0.7kg</t>
        </is>
      </c>
      <c r="F238" s="167">
        <f>IF(COUNTIFS($C$3:C238,商品マスタ[[#This Row],[仕入先]],$E$3:E238,商品マスタ[[#This Row],[商品名]]) = 1, 1,0)</f>
        <v/>
      </c>
      <c r="G238" s="133">
        <f>TEXT(SUMIF($C$3:C238,商品マスタ[[#This Row],[仕入先]],$F$3:F238), "0000")</f>
        <v/>
      </c>
      <c r="H238" s="167" t="inlineStr">
        <is>
          <t>kg</t>
        </is>
      </c>
      <c r="I238" s="167" t="inlineStr">
        <is>
          <t>約0.5-0.7kg/尾</t>
        </is>
      </c>
      <c r="J238" s="167" t="inlineStr">
        <is>
          <t>量売り</t>
        </is>
      </c>
      <c r="K238" s="167" t="inlineStr">
        <is>
          <t>ラウンド（バラ凍結）</t>
        </is>
      </c>
      <c r="L238" s="289" t="n">
        <v>1000</v>
      </c>
      <c r="M238" s="157" t="n">
        <v>45912</v>
      </c>
      <c r="N238" s="289" t="n"/>
      <c r="O238" s="290">
        <f>IF(COUNT(商品マスタ[[#This Row],[参考上代
（税込)]]) &gt; 0, (商品マスタ[[#This Row],[参考上代
（税込)]]-商品マスタ[[#This Row],[国内定価
（15％）]])/(商品マスタ[[#This Row],[参考上代
（税込)]]/1.08), "")</f>
        <v/>
      </c>
      <c r="P238" s="136" t="n">
        <v>0.1</v>
      </c>
      <c r="Q238" s="291">
        <f>商品マスタ[[#This Row],[仕入
単価]]*商品マスタ[[#This Row],[標準国内送料率]]</f>
        <v/>
      </c>
      <c r="R238" s="289" t="n"/>
      <c r="S238" s="289">
        <f>IF(ISBLANK(商品マスタ[[#This Row],[実績
国内送料]]),商品マスタ[[#This Row],[標準国内送料]],)</f>
        <v/>
      </c>
      <c r="T238" s="289">
        <f>商品マスタ[[#This Row],[仕入
単価]]+商品マスタ[[#This Row],[国内送料]]</f>
        <v/>
      </c>
      <c r="U238" s="289">
        <f>ROUNDUP(商品マスタ[[#This Row],[仕入単価+国内送料]]/0.8,-1)</f>
        <v/>
      </c>
      <c r="V238" s="289">
        <f>商品マスタ[[#This Row],[海外定価
（20％）]]-商品マスタ[[#This Row],[仕入単価+国内送料]]</f>
        <v/>
      </c>
      <c r="W238" s="167">
        <f>ROUNDUP(商品マスタ[[#This Row],[仕入単価+国内送料]]/0.85,-1)</f>
        <v/>
      </c>
      <c r="X238" s="289">
        <f>商品マスタ[[#This Row],[国内定価
（15％）]]-商品マスタ[[#This Row],[仕入単価+国内送料]]</f>
        <v/>
      </c>
      <c r="Y238" s="139" t="n">
        <v>0.08</v>
      </c>
      <c r="Z238" s="167" t="n"/>
      <c r="AA238" s="167" t="n"/>
      <c r="AB238" s="167" t="n"/>
      <c r="AC238" s="293" t="n"/>
      <c r="AD238" s="167" t="n"/>
      <c r="AE238" s="167" t="n"/>
      <c r="AF238" s="167" t="n"/>
      <c r="AG238" s="144" t="n"/>
    </row>
    <row r="239" ht="18" customHeight="1" s="207">
      <c r="A239" s="169" t="inlineStr">
        <is>
          <t>水産</t>
        </is>
      </c>
      <c r="B239" s="168" t="inlineStr">
        <is>
          <t>水産物</t>
        </is>
      </c>
      <c r="C239" s="168" t="inlineStr">
        <is>
          <t>東しゃこたん漁協</t>
        </is>
      </c>
      <c r="D239" s="143">
        <f>"PRD_SNJ_"&amp;
_xlfn.XLOOKUP(商品マスタ[[#This Row],[仕入先]],テーブル1[仕入先名],テーブル1[仕入先コード],"XXX",0,1)&amp;
"_"&amp;
商品マスタ[[#This Row],[シリアル]]&amp;
"_"&amp;
TEXT(COUNTIFS(商品マスタ!$C$3:C239,商品マスタ[[#This Row],[仕入先]],商品マスタ!$E$3:E239,商品マスタ[[#This Row],[商品名]]), "00")</f>
        <v/>
      </c>
      <c r="E239" s="167" t="inlineStr">
        <is>
          <t>ホタテ玉冷 3S</t>
        </is>
      </c>
      <c r="F239" s="167">
        <f>IF(COUNTIFS($C$3:C239,商品マスタ[[#This Row],[仕入先]],$E$3:E239,商品マスタ[[#This Row],[商品名]]) = 1, 1,0)</f>
        <v/>
      </c>
      <c r="G239" s="133">
        <f>TEXT(SUMIF($C$3:C239,商品マスタ[[#This Row],[仕入先]],$F$3:F239), "0000")</f>
        <v/>
      </c>
      <c r="H239" s="167" t="inlineStr">
        <is>
          <t>kg</t>
        </is>
      </c>
      <c r="I239" s="167" t="inlineStr">
        <is>
          <t>1kg/袋</t>
        </is>
      </c>
      <c r="J239" s="167" t="inlineStr">
        <is>
          <t>1箱</t>
        </is>
      </c>
      <c r="K239" s="167" t="inlineStr">
        <is>
          <t>1箱10袋入　玉冷3S（在庫・価格要確認）</t>
        </is>
      </c>
      <c r="L239" s="289" t="n">
        <v>7400</v>
      </c>
      <c r="M239" s="157" t="n">
        <v>45955</v>
      </c>
      <c r="N239" s="289" t="n"/>
      <c r="O239" s="290">
        <f>IF(COUNT(商品マスタ[[#This Row],[参考上代
（税込)]]) &gt; 0, (商品マスタ[[#This Row],[参考上代
（税込)]]-商品マスタ[[#This Row],[国内定価
（15％）]])/(商品マスタ[[#This Row],[参考上代
（税込)]]/1.08), "")</f>
        <v/>
      </c>
      <c r="P239" s="136" t="n">
        <v>0.1</v>
      </c>
      <c r="Q239" s="291">
        <f>商品マスタ[[#This Row],[仕入
単価]]*商品マスタ[[#This Row],[標準国内送料率]]</f>
        <v/>
      </c>
      <c r="R239" s="289" t="n"/>
      <c r="S239" s="289">
        <f>IF(ISBLANK(商品マスタ[[#This Row],[実績
国内送料]]),商品マスタ[[#This Row],[標準国内送料]],)</f>
        <v/>
      </c>
      <c r="T239" s="289">
        <f>商品マスタ[[#This Row],[仕入
単価]]+商品マスタ[[#This Row],[国内送料]]</f>
        <v/>
      </c>
      <c r="U239" s="289">
        <f>ROUNDUP(商品マスタ[[#This Row],[仕入単価+国内送料]]/0.8,-1)</f>
        <v/>
      </c>
      <c r="V239" s="289">
        <f>商品マスタ[[#This Row],[海外定価
（20％）]]-商品マスタ[[#This Row],[仕入単価+国内送料]]</f>
        <v/>
      </c>
      <c r="W239" s="167">
        <f>ROUNDUP(商品マスタ[[#This Row],[仕入単価+国内送料]]/0.85,-1)</f>
        <v/>
      </c>
      <c r="X239" s="289">
        <f>商品マスタ[[#This Row],[国内定価
（15％）]]-商品マスタ[[#This Row],[仕入単価+国内送料]]</f>
        <v/>
      </c>
      <c r="Y239" s="139" t="n">
        <v>0.08</v>
      </c>
      <c r="Z239" s="167" t="n"/>
      <c r="AA239" s="167" t="n"/>
      <c r="AB239" s="167" t="n"/>
      <c r="AC239" s="293" t="n"/>
      <c r="AD239" s="167" t="n"/>
      <c r="AE239" s="167" t="n"/>
      <c r="AF239" s="167" t="n"/>
      <c r="AG239" s="144" t="n"/>
    </row>
    <row r="240" ht="18" customHeight="1" s="207">
      <c r="A240" s="169" t="inlineStr">
        <is>
          <t>水産</t>
        </is>
      </c>
      <c r="B240" s="168" t="inlineStr">
        <is>
          <t>水産物</t>
        </is>
      </c>
      <c r="C240" s="168" t="inlineStr">
        <is>
          <t>東しゃこたん漁協</t>
        </is>
      </c>
      <c r="D240" s="143">
        <f>"PRD_SNJ_"&amp;
_xlfn.XLOOKUP(商品マスタ[[#This Row],[仕入先]],テーブル1[仕入先名],テーブル1[仕入先コード],"XXX",0,1)&amp;
"_"&amp;
商品マスタ[[#This Row],[シリアル]]&amp;
"_"&amp;
TEXT(COUNTIFS(商品マスタ!$C$3:C240,商品マスタ[[#This Row],[仕入先]],商品マスタ!$E$3:E240,商品マスタ[[#This Row],[商品名]]), "00")</f>
        <v/>
      </c>
      <c r="E240" s="167" t="inlineStr">
        <is>
          <t>北海道産お刺身用甘えび 100g（10-14尾）</t>
        </is>
      </c>
      <c r="F240" s="167">
        <f>IF(COUNTIFS($C$3:C240,商品マスタ[[#This Row],[仕入先]],$E$3:E240,商品マスタ[[#This Row],[商品名]]) = 1, 1,0)</f>
        <v/>
      </c>
      <c r="G240" s="133">
        <f>TEXT(SUMIF($C$3:C240,商品マスタ[[#This Row],[仕入先]],$F$3:F240), "0000")</f>
        <v/>
      </c>
      <c r="H240" s="167" t="inlineStr">
        <is>
          <t>パック</t>
        </is>
      </c>
      <c r="I240" s="167" t="inlineStr">
        <is>
          <t>100g（10-14尾）/パック</t>
        </is>
      </c>
      <c r="J240" s="167" t="inlineStr">
        <is>
          <t>2箱</t>
        </is>
      </c>
      <c r="K240" s="167" t="inlineStr">
        <is>
          <t>真空パック・酸化防止剤不使用</t>
        </is>
      </c>
      <c r="L240" s="289" t="n">
        <v>440</v>
      </c>
      <c r="M240" s="157" t="n">
        <v>45955</v>
      </c>
      <c r="N240" s="289" t="n"/>
      <c r="O240" s="290">
        <f>IF(COUNT(商品マスタ[[#This Row],[参考上代
（税込)]]) &gt; 0, (商品マスタ[[#This Row],[参考上代
（税込)]]-商品マスタ[[#This Row],[国内定価
（15％）]])/(商品マスタ[[#This Row],[参考上代
（税込)]]/1.08), "")</f>
        <v/>
      </c>
      <c r="P240" s="136" t="n">
        <v>0.1</v>
      </c>
      <c r="Q240" s="291">
        <f>商品マスタ[[#This Row],[仕入
単価]]*商品マスタ[[#This Row],[標準国内送料率]]</f>
        <v/>
      </c>
      <c r="R240" s="289" t="n"/>
      <c r="S240" s="289">
        <f>IF(ISBLANK(商品マスタ[[#This Row],[実績
国内送料]]),商品マスタ[[#This Row],[標準国内送料]],)</f>
        <v/>
      </c>
      <c r="T240" s="289">
        <f>商品マスタ[[#This Row],[仕入
単価]]+商品マスタ[[#This Row],[国内送料]]</f>
        <v/>
      </c>
      <c r="U240" s="289">
        <f>ROUNDUP(商品マスタ[[#This Row],[仕入単価+国内送料]]/0.8,-1)</f>
        <v/>
      </c>
      <c r="V240" s="289">
        <f>商品マスタ[[#This Row],[海外定価
（20％）]]-商品マスタ[[#This Row],[仕入単価+国内送料]]</f>
        <v/>
      </c>
      <c r="W240" s="167">
        <f>ROUNDUP(商品マスタ[[#This Row],[仕入単価+国内送料]]/0.85,-1)</f>
        <v/>
      </c>
      <c r="X240" s="289">
        <f>商品マスタ[[#This Row],[国内定価
（15％）]]-商品マスタ[[#This Row],[仕入単価+国内送料]]</f>
        <v/>
      </c>
      <c r="Y240" s="139" t="n">
        <v>0.08</v>
      </c>
      <c r="Z240" s="167" t="n"/>
      <c r="AA240" s="167" t="n"/>
      <c r="AB240" s="167" t="n"/>
      <c r="AC240" s="293" t="n"/>
      <c r="AD240" s="167" t="n"/>
      <c r="AE240" s="167" t="n"/>
      <c r="AF240" s="167" t="n"/>
      <c r="AG240" s="144" t="n"/>
    </row>
    <row r="241" ht="18" customHeight="1" s="207">
      <c r="A241" s="169" t="inlineStr">
        <is>
          <t>水産</t>
        </is>
      </c>
      <c r="B241" s="168" t="inlineStr">
        <is>
          <t>水産物</t>
        </is>
      </c>
      <c r="C241" s="168" t="inlineStr">
        <is>
          <t>東しゃこたん漁協</t>
        </is>
      </c>
      <c r="D241" s="143">
        <f>"PRD_SNJ_"&amp;
_xlfn.XLOOKUP(商品マスタ[[#This Row],[仕入先]],テーブル1[仕入先名],テーブル1[仕入先コード],"XXX",0,1)&amp;
"_"&amp;
商品マスタ[[#This Row],[シリアル]]&amp;
"_"&amp;
TEXT(COUNTIFS(商品マスタ!$C$3:C241,商品マスタ[[#This Row],[仕入先]],商品マスタ!$E$3:E241,商品マスタ[[#This Row],[商品名]]), "00")</f>
        <v/>
      </c>
      <c r="E241" s="167" t="inlineStr">
        <is>
          <t>北海道産お刺身用甘えび 100g×2入</t>
        </is>
      </c>
      <c r="F241" s="167">
        <f>IF(COUNTIFS($C$3:C241,商品マスタ[[#This Row],[仕入先]],$E$3:E241,商品マスタ[[#This Row],[商品名]]) = 1, 1,0)</f>
        <v/>
      </c>
      <c r="G241" s="133">
        <f>TEXT(SUMIF($C$3:C241,商品マスタ[[#This Row],[仕入先]],$F$3:F241), "0000")</f>
        <v/>
      </c>
      <c r="H241" s="167" t="inlineStr">
        <is>
          <t>パック</t>
        </is>
      </c>
      <c r="I241" s="167" t="inlineStr">
        <is>
          <t>200g（2パック入）/パック</t>
        </is>
      </c>
      <c r="J241" s="167" t="inlineStr">
        <is>
          <t>2箱</t>
        </is>
      </c>
      <c r="K241" s="167" t="inlineStr">
        <is>
          <t>1箱20パック入　真空パック</t>
        </is>
      </c>
      <c r="L241" s="289" t="n">
        <v>880</v>
      </c>
      <c r="M241" s="157" t="n">
        <v>45955</v>
      </c>
      <c r="N241" s="289" t="n"/>
      <c r="O241" s="290">
        <f>IF(COUNT(商品マスタ[[#This Row],[参考上代
（税込)]]) &gt; 0, (商品マスタ[[#This Row],[参考上代
（税込)]]-商品マスタ[[#This Row],[国内定価
（15％）]])/(商品マスタ[[#This Row],[参考上代
（税込)]]/1.08), "")</f>
        <v/>
      </c>
      <c r="P241" s="136" t="n">
        <v>0.1</v>
      </c>
      <c r="Q241" s="291">
        <f>商品マスタ[[#This Row],[仕入
単価]]*商品マスタ[[#This Row],[標準国内送料率]]</f>
        <v/>
      </c>
      <c r="R241" s="289" t="n"/>
      <c r="S241" s="289">
        <f>IF(ISBLANK(商品マスタ[[#This Row],[実績
国内送料]]),商品マスタ[[#This Row],[標準国内送料]],)</f>
        <v/>
      </c>
      <c r="T241" s="289">
        <f>商品マスタ[[#This Row],[仕入
単価]]+商品マスタ[[#This Row],[国内送料]]</f>
        <v/>
      </c>
      <c r="U241" s="289">
        <f>ROUNDUP(商品マスタ[[#This Row],[仕入単価+国内送料]]/0.8,-1)</f>
        <v/>
      </c>
      <c r="V241" s="289">
        <f>商品マスタ[[#This Row],[海外定価
（20％）]]-商品マスタ[[#This Row],[仕入単価+国内送料]]</f>
        <v/>
      </c>
      <c r="W241" s="167">
        <f>ROUNDUP(商品マスタ[[#This Row],[仕入単価+国内送料]]/0.85,-1)</f>
        <v/>
      </c>
      <c r="X241" s="289">
        <f>商品マスタ[[#This Row],[国内定価
（15％）]]-商品マスタ[[#This Row],[仕入単価+国内送料]]</f>
        <v/>
      </c>
      <c r="Y241" s="139" t="n">
        <v>0.08</v>
      </c>
      <c r="Z241" s="167" t="n"/>
      <c r="AA241" s="167" t="n"/>
      <c r="AB241" s="167" t="n"/>
      <c r="AC241" s="293" t="n"/>
      <c r="AD241" s="167" t="n"/>
      <c r="AE241" s="167" t="n"/>
      <c r="AF241" s="167" t="n"/>
      <c r="AG241" s="144" t="n"/>
    </row>
    <row r="242" ht="18" customHeight="1" s="207">
      <c r="A242" s="169" t="inlineStr">
        <is>
          <t>水産</t>
        </is>
      </c>
      <c r="B242" s="168" t="inlineStr">
        <is>
          <t>水産物</t>
        </is>
      </c>
      <c r="C242" s="168" t="inlineStr">
        <is>
          <t>東しゃこたん漁協</t>
        </is>
      </c>
      <c r="D242" s="143">
        <f>"PRD_SNJ_"&amp;
_xlfn.XLOOKUP(商品マスタ[[#This Row],[仕入先]],テーブル1[仕入先名],テーブル1[仕入先コード],"XXX",0,1)&amp;
"_"&amp;
商品マスタ[[#This Row],[シリアル]]&amp;
"_"&amp;
TEXT(COUNTIFS(商品マスタ!$C$3:C242,商品マスタ[[#This Row],[仕入先]],商品マスタ!$E$3:E242,商品マスタ[[#This Row],[商品名]]), "00")</f>
        <v/>
      </c>
      <c r="E242" s="167" t="inlineStr">
        <is>
          <t>北海道産お刺身用甘えび 200g（14-17尾）</t>
        </is>
      </c>
      <c r="F242" s="167">
        <f>IF(COUNTIFS($C$3:C242,商品マスタ[[#This Row],[仕入先]],$E$3:E242,商品マスタ[[#This Row],[商品名]]) = 1, 1,0)</f>
        <v/>
      </c>
      <c r="G242" s="133">
        <f>TEXT(SUMIF($C$3:C242,商品マスタ[[#This Row],[仕入先]],$F$3:F242), "0000")</f>
        <v/>
      </c>
      <c r="H242" s="167" t="inlineStr">
        <is>
          <t>パック</t>
        </is>
      </c>
      <c r="I242" s="167" t="inlineStr">
        <is>
          <t>200g（14-17尾）/パック</t>
        </is>
      </c>
      <c r="J242" s="167" t="inlineStr">
        <is>
          <t>2箱</t>
        </is>
      </c>
      <c r="K242" s="167" t="inlineStr">
        <is>
          <t>1箱30パック入　真空パック・酸化防止剤不使用</t>
        </is>
      </c>
      <c r="L242" s="289" t="n">
        <v>980</v>
      </c>
      <c r="M242" s="157" t="n">
        <v>45955</v>
      </c>
      <c r="N242" s="289" t="n"/>
      <c r="O242" s="290">
        <f>IF(COUNT(商品マスタ[[#This Row],[参考上代
（税込)]]) &gt; 0, (商品マスタ[[#This Row],[参考上代
（税込)]]-商品マスタ[[#This Row],[国内定価
（15％）]])/(商品マスタ[[#This Row],[参考上代
（税込)]]/1.08), "")</f>
        <v/>
      </c>
      <c r="P242" s="136" t="n">
        <v>0.1</v>
      </c>
      <c r="Q242" s="291">
        <f>商品マスタ[[#This Row],[仕入
単価]]*商品マスタ[[#This Row],[標準国内送料率]]</f>
        <v/>
      </c>
      <c r="R242" s="289" t="n"/>
      <c r="S242" s="289">
        <f>IF(ISBLANK(商品マスタ[[#This Row],[実績
国内送料]]),商品マスタ[[#This Row],[標準国内送料]],)</f>
        <v/>
      </c>
      <c r="T242" s="289">
        <f>商品マスタ[[#This Row],[仕入
単価]]+商品マスタ[[#This Row],[国内送料]]</f>
        <v/>
      </c>
      <c r="U242" s="289">
        <f>ROUNDUP(商品マスタ[[#This Row],[仕入単価+国内送料]]/0.8,-1)</f>
        <v/>
      </c>
      <c r="V242" s="289">
        <f>商品マスタ[[#This Row],[海外定価
（20％）]]-商品マスタ[[#This Row],[仕入単価+国内送料]]</f>
        <v/>
      </c>
      <c r="W242" s="167">
        <f>ROUNDUP(商品マスタ[[#This Row],[仕入単価+国内送料]]/0.85,-1)</f>
        <v/>
      </c>
      <c r="X242" s="289">
        <f>商品マスタ[[#This Row],[国内定価
（15％）]]-商品マスタ[[#This Row],[仕入単価+国内送料]]</f>
        <v/>
      </c>
      <c r="Y242" s="139" t="n">
        <v>0.08</v>
      </c>
      <c r="Z242" s="167" t="n"/>
      <c r="AA242" s="167" t="n"/>
      <c r="AB242" s="167" t="n"/>
      <c r="AC242" s="293" t="n"/>
      <c r="AD242" s="167" t="n"/>
      <c r="AE242" s="167" t="n"/>
      <c r="AF242" s="167" t="n"/>
      <c r="AG242" s="144" t="n"/>
    </row>
    <row r="243" ht="18" customHeight="1" s="207">
      <c r="A243" s="169" t="inlineStr">
        <is>
          <t>水産</t>
        </is>
      </c>
      <c r="B243" s="168" t="inlineStr">
        <is>
          <t>水産物</t>
        </is>
      </c>
      <c r="C243" s="168" t="inlineStr">
        <is>
          <t>東しゃこたん漁協</t>
        </is>
      </c>
      <c r="D243" s="143">
        <f>"PRD_SNJ_"&amp;
_xlfn.XLOOKUP(商品マスタ[[#This Row],[仕入先]],テーブル1[仕入先名],テーブル1[仕入先コード],"XXX",0,1)&amp;
"_"&amp;
商品マスタ[[#This Row],[シリアル]]&amp;
"_"&amp;
TEXT(COUNTIFS(商品マスタ!$C$3:C243,商品マスタ[[#This Row],[仕入先]],商品マスタ!$E$3:E243,商品マスタ[[#This Row],[商品名]]), "00")</f>
        <v/>
      </c>
      <c r="E243" s="167" t="inlineStr">
        <is>
          <t>北海道産お刺身用甘えび 200g×2入</t>
        </is>
      </c>
      <c r="F243" s="167">
        <f>IF(COUNTIFS($C$3:C243,商品マスタ[[#This Row],[仕入先]],$E$3:E243,商品マスタ[[#This Row],[商品名]]) = 1, 1,0)</f>
        <v/>
      </c>
      <c r="G243" s="133">
        <f>TEXT(SUMIF($C$3:C243,商品マスタ[[#This Row],[仕入先]],$F$3:F243), "0000")</f>
        <v/>
      </c>
      <c r="H243" s="167" t="inlineStr">
        <is>
          <t>パック</t>
        </is>
      </c>
      <c r="I243" s="167" t="inlineStr">
        <is>
          <t>400g（2パック入）/パック</t>
        </is>
      </c>
      <c r="J243" s="167" t="inlineStr">
        <is>
          <t>2箱</t>
        </is>
      </c>
      <c r="K243" s="167" t="inlineStr">
        <is>
          <t>1箱12パック入　化粧ケース入・酸化防止剤不使用</t>
        </is>
      </c>
      <c r="L243" s="289" t="n">
        <v>1950</v>
      </c>
      <c r="M243" s="157" t="n">
        <v>45955</v>
      </c>
      <c r="N243" s="289" t="n"/>
      <c r="O243" s="290">
        <f>IF(COUNT(商品マスタ[[#This Row],[参考上代
（税込)]]) &gt; 0, (商品マスタ[[#This Row],[参考上代
（税込)]]-商品マスタ[[#This Row],[国内定価
（15％）]])/(商品マスタ[[#This Row],[参考上代
（税込)]]/1.08), "")</f>
        <v/>
      </c>
      <c r="P243" s="136" t="n">
        <v>0.1</v>
      </c>
      <c r="Q243" s="291">
        <f>商品マスタ[[#This Row],[仕入
単価]]*商品マスタ[[#This Row],[標準国内送料率]]</f>
        <v/>
      </c>
      <c r="R243" s="289" t="n"/>
      <c r="S243" s="289">
        <f>IF(ISBLANK(商品マスタ[[#This Row],[実績
国内送料]]),商品マスタ[[#This Row],[標準国内送料]],)</f>
        <v/>
      </c>
      <c r="T243" s="289">
        <f>商品マスタ[[#This Row],[仕入
単価]]+商品マスタ[[#This Row],[国内送料]]</f>
        <v/>
      </c>
      <c r="U243" s="289">
        <f>ROUNDUP(商品マスタ[[#This Row],[仕入単価+国内送料]]/0.8,-1)</f>
        <v/>
      </c>
      <c r="V243" s="289">
        <f>商品マスタ[[#This Row],[海外定価
（20％）]]-商品マスタ[[#This Row],[仕入単価+国内送料]]</f>
        <v/>
      </c>
      <c r="W243" s="167">
        <f>ROUNDUP(商品マスタ[[#This Row],[仕入単価+国内送料]]/0.85,-1)</f>
        <v/>
      </c>
      <c r="X243" s="289">
        <f>商品マスタ[[#This Row],[国内定価
（15％）]]-商品マスタ[[#This Row],[仕入単価+国内送料]]</f>
        <v/>
      </c>
      <c r="Y243" s="139" t="n">
        <v>0.08</v>
      </c>
      <c r="Z243" s="167" t="n"/>
      <c r="AA243" s="167" t="n"/>
      <c r="AB243" s="167" t="n"/>
      <c r="AC243" s="293" t="n"/>
      <c r="AD243" s="167" t="n"/>
      <c r="AE243" s="167" t="n"/>
      <c r="AF243" s="167" t="n"/>
      <c r="AG243" s="144" t="n"/>
    </row>
    <row r="244" ht="18" customHeight="1" s="207">
      <c r="A244" s="169" t="inlineStr">
        <is>
          <t>水産</t>
        </is>
      </c>
      <c r="B244" s="168" t="inlineStr">
        <is>
          <t>水産物</t>
        </is>
      </c>
      <c r="C244" s="168" t="inlineStr">
        <is>
          <t>東しゃこたん漁協</t>
        </is>
      </c>
      <c r="D244" s="143">
        <f>"PRD_SNJ_"&amp;
_xlfn.XLOOKUP(商品マスタ[[#This Row],[仕入先]],テーブル1[仕入先名],テーブル1[仕入先コード],"XXX",0,1)&amp;
"_"&amp;
商品マスタ[[#This Row],[シリアル]]&amp;
"_"&amp;
TEXT(COUNTIFS(商品マスタ!$C$3:C244,商品マスタ[[#This Row],[仕入先]],商品マスタ!$E$3:E244,商品マスタ[[#This Row],[商品名]]), "00")</f>
        <v/>
      </c>
      <c r="E244" s="167" t="inlineStr">
        <is>
          <t>北海道産お刺身用ぼたん蛯 100g（8-12尾）</t>
        </is>
      </c>
      <c r="F244" s="167">
        <f>IF(COUNTIFS($C$3:C244,商品マスタ[[#This Row],[仕入先]],$E$3:E244,商品マスタ[[#This Row],[商品名]]) = 1, 1,0)</f>
        <v/>
      </c>
      <c r="G244" s="133">
        <f>TEXT(SUMIF($C$3:C244,商品マスタ[[#This Row],[仕入先]],$F$3:F244), "0000")</f>
        <v/>
      </c>
      <c r="H244" s="167" t="inlineStr">
        <is>
          <t>パック</t>
        </is>
      </c>
      <c r="I244" s="167" t="inlineStr">
        <is>
          <t>100g（8-12尾）/パック</t>
        </is>
      </c>
      <c r="J244" s="167" t="inlineStr">
        <is>
          <t>2箱</t>
        </is>
      </c>
      <c r="K244" s="167" t="inlineStr">
        <is>
          <t>1箱40パック入　真空パック・酸化防止剤不使用</t>
        </is>
      </c>
      <c r="L244" s="289" t="n">
        <v>580</v>
      </c>
      <c r="M244" s="157" t="n">
        <v>45955</v>
      </c>
      <c r="N244" s="289" t="n"/>
      <c r="O244" s="290">
        <f>IF(COUNT(商品マスタ[[#This Row],[参考上代
（税込)]]) &gt; 0, (商品マスタ[[#This Row],[参考上代
（税込)]]-商品マスタ[[#This Row],[国内定価
（15％）]])/(商品マスタ[[#This Row],[参考上代
（税込)]]/1.08), "")</f>
        <v/>
      </c>
      <c r="P244" s="136" t="n">
        <v>0.1</v>
      </c>
      <c r="Q244" s="291">
        <f>商品マスタ[[#This Row],[仕入
単価]]*商品マスタ[[#This Row],[標準国内送料率]]</f>
        <v/>
      </c>
      <c r="R244" s="289" t="n"/>
      <c r="S244" s="289">
        <f>IF(ISBLANK(商品マスタ[[#This Row],[実績
国内送料]]),商品マスタ[[#This Row],[標準国内送料]],)</f>
        <v/>
      </c>
      <c r="T244" s="289">
        <f>商品マスタ[[#This Row],[仕入
単価]]+商品マスタ[[#This Row],[国内送料]]</f>
        <v/>
      </c>
      <c r="U244" s="289">
        <f>ROUNDUP(商品マスタ[[#This Row],[仕入単価+国内送料]]/0.8,-1)</f>
        <v/>
      </c>
      <c r="V244" s="289">
        <f>商品マスタ[[#This Row],[海外定価
（20％）]]-商品マスタ[[#This Row],[仕入単価+国内送料]]</f>
        <v/>
      </c>
      <c r="W244" s="167">
        <f>ROUNDUP(商品マスタ[[#This Row],[仕入単価+国内送料]]/0.85,-1)</f>
        <v/>
      </c>
      <c r="X244" s="289">
        <f>商品マスタ[[#This Row],[国内定価
（15％）]]-商品マスタ[[#This Row],[仕入単価+国内送料]]</f>
        <v/>
      </c>
      <c r="Y244" s="139" t="n">
        <v>0.08</v>
      </c>
      <c r="Z244" s="167" t="n"/>
      <c r="AA244" s="167" t="n"/>
      <c r="AB244" s="167" t="n"/>
      <c r="AC244" s="293" t="n"/>
      <c r="AD244" s="167" t="n"/>
      <c r="AE244" s="167" t="n"/>
      <c r="AF244" s="167" t="n"/>
      <c r="AG244" s="144" t="n"/>
    </row>
    <row r="245" ht="18" customHeight="1" s="207">
      <c r="A245" s="169" t="inlineStr">
        <is>
          <t>水産</t>
        </is>
      </c>
      <c r="B245" s="168" t="inlineStr">
        <is>
          <t>水産物</t>
        </is>
      </c>
      <c r="C245" s="168" t="inlineStr">
        <is>
          <t>東しゃこたん漁協</t>
        </is>
      </c>
      <c r="D245" s="143">
        <f>"PRD_SNJ_"&amp;
_xlfn.XLOOKUP(商品マスタ[[#This Row],[仕入先]],テーブル1[仕入先名],テーブル1[仕入先コード],"XXX",0,1)&amp;
"_"&amp;
商品マスタ[[#This Row],[シリアル]]&amp;
"_"&amp;
TEXT(COUNTIFS(商品マスタ!$C$3:C245,商品マスタ[[#This Row],[仕入先]],商品マスタ!$E$3:E245,商品マスタ[[#This Row],[商品名]]), "00")</f>
        <v/>
      </c>
      <c r="E245" s="167" t="inlineStr">
        <is>
          <t>北海道産お刺身用ぼたん蛯 100g×2入</t>
        </is>
      </c>
      <c r="F245" s="167">
        <f>IF(COUNTIFS($C$3:C245,商品マスタ[[#This Row],[仕入先]],$E$3:E245,商品マスタ[[#This Row],[商品名]]) = 1, 1,0)</f>
        <v/>
      </c>
      <c r="G245" s="133">
        <f>TEXT(SUMIF($C$3:C245,商品マスタ[[#This Row],[仕入先]],$F$3:F245), "0000")</f>
        <v/>
      </c>
      <c r="H245" s="167" t="inlineStr">
        <is>
          <t>パック</t>
        </is>
      </c>
      <c r="I245" s="167" t="inlineStr">
        <is>
          <t>200g（2パック入）/パック</t>
        </is>
      </c>
      <c r="J245" s="167" t="inlineStr">
        <is>
          <t>2箱</t>
        </is>
      </c>
      <c r="K245" s="167" t="inlineStr">
        <is>
          <t>1箱20パック入　真空パック</t>
        </is>
      </c>
      <c r="L245" s="289" t="n">
        <v>1160</v>
      </c>
      <c r="M245" s="157" t="n">
        <v>45955</v>
      </c>
      <c r="N245" s="289" t="n"/>
      <c r="O245" s="290">
        <f>IF(COUNT(商品マスタ[[#This Row],[参考上代
（税込)]]) &gt; 0, (商品マスタ[[#This Row],[参考上代
（税込)]]-商品マスタ[[#This Row],[国内定価
（15％）]])/(商品マスタ[[#This Row],[参考上代
（税込)]]/1.08), "")</f>
        <v/>
      </c>
      <c r="P245" s="136" t="n">
        <v>0.1</v>
      </c>
      <c r="Q245" s="291">
        <f>商品マスタ[[#This Row],[仕入
単価]]*商品マスタ[[#This Row],[標準国内送料率]]</f>
        <v/>
      </c>
      <c r="R245" s="289" t="n"/>
      <c r="S245" s="289">
        <f>IF(ISBLANK(商品マスタ[[#This Row],[実績
国内送料]]),商品マスタ[[#This Row],[標準国内送料]],)</f>
        <v/>
      </c>
      <c r="T245" s="289">
        <f>商品マスタ[[#This Row],[仕入
単価]]+商品マスタ[[#This Row],[国内送料]]</f>
        <v/>
      </c>
      <c r="U245" s="289">
        <f>ROUNDUP(商品マスタ[[#This Row],[仕入単価+国内送料]]/0.8,-1)</f>
        <v/>
      </c>
      <c r="V245" s="289">
        <f>商品マスタ[[#This Row],[海外定価
（20％）]]-商品マスタ[[#This Row],[仕入単価+国内送料]]</f>
        <v/>
      </c>
      <c r="W245" s="167">
        <f>ROUNDUP(商品マスタ[[#This Row],[仕入単価+国内送料]]/0.85,-1)</f>
        <v/>
      </c>
      <c r="X245" s="289">
        <f>商品マスタ[[#This Row],[国内定価
（15％）]]-商品マスタ[[#This Row],[仕入単価+国内送料]]</f>
        <v/>
      </c>
      <c r="Y245" s="139" t="n">
        <v>0.08</v>
      </c>
      <c r="Z245" s="167" t="n"/>
      <c r="AA245" s="167" t="n"/>
      <c r="AB245" s="167" t="n"/>
      <c r="AC245" s="293" t="n"/>
      <c r="AD245" s="167" t="n"/>
      <c r="AE245" s="167" t="n"/>
      <c r="AF245" s="167" t="n"/>
      <c r="AG245" s="144" t="n"/>
    </row>
    <row r="246" ht="18" customHeight="1" s="207">
      <c r="A246" s="169" t="inlineStr">
        <is>
          <t>水産</t>
        </is>
      </c>
      <c r="B246" s="168" t="inlineStr">
        <is>
          <t>水産物</t>
        </is>
      </c>
      <c r="C246" s="168" t="inlineStr">
        <is>
          <t>東しゃこたん漁協</t>
        </is>
      </c>
      <c r="D246" s="143">
        <f>"PRD_SNJ_"&amp;
_xlfn.XLOOKUP(商品マスタ[[#This Row],[仕入先]],テーブル1[仕入先名],テーブル1[仕入先コード],"XXX",0,1)&amp;
"_"&amp;
商品マスタ[[#This Row],[シリアル]]&amp;
"_"&amp;
TEXT(COUNTIFS(商品マスタ!$C$3:C246,商品マスタ[[#This Row],[仕入先]],商品マスタ!$E$3:E246,商品マスタ[[#This Row],[商品名]]), "00")</f>
        <v/>
      </c>
      <c r="E246" s="167" t="inlineStr">
        <is>
          <t>北海道産お刺身用ぼたん蛯 160g（7-9尾）</t>
        </is>
      </c>
      <c r="F246" s="167">
        <f>IF(COUNTIFS($C$3:C246,商品マスタ[[#This Row],[仕入先]],$E$3:E246,商品マスタ[[#This Row],[商品名]]) = 1, 1,0)</f>
        <v/>
      </c>
      <c r="G246" s="133">
        <f>TEXT(SUMIF($C$3:C246,商品マスタ[[#This Row],[仕入先]],$F$3:F246), "0000")</f>
        <v/>
      </c>
      <c r="H246" s="167" t="inlineStr">
        <is>
          <t>パック</t>
        </is>
      </c>
      <c r="I246" s="167" t="inlineStr">
        <is>
          <t>160g（7-9尾）/パック</t>
        </is>
      </c>
      <c r="J246" s="167" t="inlineStr">
        <is>
          <t>2箱</t>
        </is>
      </c>
      <c r="K246" s="167" t="inlineStr">
        <is>
          <t>1箱30パック入　真空パック・酸化防止剤不使用</t>
        </is>
      </c>
      <c r="L246" s="289" t="n">
        <v>1290</v>
      </c>
      <c r="M246" s="157" t="n">
        <v>45955</v>
      </c>
      <c r="N246" s="289" t="n"/>
      <c r="O246" s="290">
        <f>IF(COUNT(商品マスタ[[#This Row],[参考上代
（税込)]]) &gt; 0, (商品マスタ[[#This Row],[参考上代
（税込)]]-商品マスタ[[#This Row],[国内定価
（15％）]])/(商品マスタ[[#This Row],[参考上代
（税込)]]/1.08), "")</f>
        <v/>
      </c>
      <c r="P246" s="136" t="n">
        <v>0.1</v>
      </c>
      <c r="Q246" s="291">
        <f>商品マスタ[[#This Row],[仕入
単価]]*商品マスタ[[#This Row],[標準国内送料率]]</f>
        <v/>
      </c>
      <c r="R246" s="289" t="n"/>
      <c r="S246" s="289">
        <f>IF(ISBLANK(商品マスタ[[#This Row],[実績
国内送料]]),商品マスタ[[#This Row],[標準国内送料]],)</f>
        <v/>
      </c>
      <c r="T246" s="289">
        <f>商品マスタ[[#This Row],[仕入
単価]]+商品マスタ[[#This Row],[国内送料]]</f>
        <v/>
      </c>
      <c r="U246" s="289">
        <f>ROUNDUP(商品マスタ[[#This Row],[仕入単価+国内送料]]/0.8,-1)</f>
        <v/>
      </c>
      <c r="V246" s="289">
        <f>商品マスタ[[#This Row],[海外定価
（20％）]]-商品マスタ[[#This Row],[仕入単価+国内送料]]</f>
        <v/>
      </c>
      <c r="W246" s="167">
        <f>ROUNDUP(商品マスタ[[#This Row],[仕入単価+国内送料]]/0.85,-1)</f>
        <v/>
      </c>
      <c r="X246" s="289">
        <f>商品マスタ[[#This Row],[国内定価
（15％）]]-商品マスタ[[#This Row],[仕入単価+国内送料]]</f>
        <v/>
      </c>
      <c r="Y246" s="139" t="n">
        <v>0.08</v>
      </c>
      <c r="Z246" s="167" t="n"/>
      <c r="AA246" s="167" t="n"/>
      <c r="AB246" s="167" t="n"/>
      <c r="AC246" s="293" t="n"/>
      <c r="AD246" s="167" t="n"/>
      <c r="AE246" s="167" t="n"/>
      <c r="AF246" s="167" t="n"/>
      <c r="AG246" s="144" t="n"/>
    </row>
    <row r="247" ht="18" customHeight="1" s="207">
      <c r="A247" s="169" t="inlineStr">
        <is>
          <t>水産</t>
        </is>
      </c>
      <c r="B247" s="168" t="inlineStr">
        <is>
          <t>水産物</t>
        </is>
      </c>
      <c r="C247" s="168" t="inlineStr">
        <is>
          <t>東しゃこたん漁協</t>
        </is>
      </c>
      <c r="D247" s="143">
        <f>"PRD_SNJ_"&amp;
_xlfn.XLOOKUP(商品マスタ[[#This Row],[仕入先]],テーブル1[仕入先名],テーブル1[仕入先コード],"XXX",0,1)&amp;
"_"&amp;
商品マスタ[[#This Row],[シリアル]]&amp;
"_"&amp;
TEXT(COUNTIFS(商品マスタ!$C$3:C247,商品マスタ[[#This Row],[仕入先]],商品マスタ!$E$3:E247,商品マスタ[[#This Row],[商品名]]), "00")</f>
        <v/>
      </c>
      <c r="E247" s="167" t="inlineStr">
        <is>
          <t>北海道産お刺身用ぼたん蛯 160g×2入</t>
        </is>
      </c>
      <c r="F247" s="167">
        <f>IF(COUNTIFS($C$3:C247,商品マスタ[[#This Row],[仕入先]],$E$3:E247,商品マスタ[[#This Row],[商品名]]) = 1, 1,0)</f>
        <v/>
      </c>
      <c r="G247" s="133">
        <f>TEXT(SUMIF($C$3:C247,商品マスタ[[#This Row],[仕入先]],$F$3:F247), "0000")</f>
        <v/>
      </c>
      <c r="H247" s="167" t="inlineStr">
        <is>
          <t>パック</t>
        </is>
      </c>
      <c r="I247" s="167" t="inlineStr">
        <is>
          <t>320g（2パック入）/パック</t>
        </is>
      </c>
      <c r="J247" s="167" t="inlineStr">
        <is>
          <t>2箱</t>
        </is>
      </c>
      <c r="K247" s="167" t="inlineStr">
        <is>
          <t>1箱12パック入　化粧ケース入・酸化防止剤不使用</t>
        </is>
      </c>
      <c r="L247" s="289" t="n">
        <v>2500</v>
      </c>
      <c r="M247" s="157" t="n">
        <v>45955</v>
      </c>
      <c r="N247" s="289" t="n"/>
      <c r="O247" s="290">
        <f>IF(COUNT(商品マスタ[[#This Row],[参考上代
（税込)]]) &gt; 0, (商品マスタ[[#This Row],[参考上代
（税込)]]-商品マスタ[[#This Row],[国内定価
（15％）]])/(商品マスタ[[#This Row],[参考上代
（税込)]]/1.08), "")</f>
        <v/>
      </c>
      <c r="P247" s="136" t="n">
        <v>0.1</v>
      </c>
      <c r="Q247" s="291">
        <f>商品マスタ[[#This Row],[仕入
単価]]*商品マスタ[[#This Row],[標準国内送料率]]</f>
        <v/>
      </c>
      <c r="R247" s="289" t="n"/>
      <c r="S247" s="289">
        <f>IF(ISBLANK(商品マスタ[[#This Row],[実績
国内送料]]),商品マスタ[[#This Row],[標準国内送料]],)</f>
        <v/>
      </c>
      <c r="T247" s="289">
        <f>商品マスタ[[#This Row],[仕入
単価]]+商品マスタ[[#This Row],[国内送料]]</f>
        <v/>
      </c>
      <c r="U247" s="289">
        <f>ROUNDUP(商品マスタ[[#This Row],[仕入単価+国内送料]]/0.8,-1)</f>
        <v/>
      </c>
      <c r="V247" s="289">
        <f>商品マスタ[[#This Row],[海外定価
（20％）]]-商品マスタ[[#This Row],[仕入単価+国内送料]]</f>
        <v/>
      </c>
      <c r="W247" s="167">
        <f>ROUNDUP(商品マスタ[[#This Row],[仕入単価+国内送料]]/0.85,-1)</f>
        <v/>
      </c>
      <c r="X247" s="289">
        <f>商品マスタ[[#This Row],[国内定価
（15％）]]-商品マスタ[[#This Row],[仕入単価+国内送料]]</f>
        <v/>
      </c>
      <c r="Y247" s="139" t="n">
        <v>0.08</v>
      </c>
      <c r="Z247" s="167" t="n"/>
      <c r="AA247" s="167" t="n"/>
      <c r="AB247" s="167" t="n"/>
      <c r="AC247" s="293" t="n"/>
      <c r="AD247" s="167" t="n"/>
      <c r="AE247" s="167" t="n"/>
      <c r="AF247" s="167" t="n"/>
      <c r="AG247" s="144" t="n"/>
    </row>
    <row r="248" ht="18" customHeight="1" s="207">
      <c r="A248" s="169" t="inlineStr">
        <is>
          <t>水産</t>
        </is>
      </c>
      <c r="B248" s="168" t="inlineStr">
        <is>
          <t>水産物</t>
        </is>
      </c>
      <c r="C248" s="168" t="inlineStr">
        <is>
          <t>東しゃこたん漁協</t>
        </is>
      </c>
      <c r="D248" s="143">
        <f>"PRD_SNJ_"&amp;
_xlfn.XLOOKUP(商品マスタ[[#This Row],[仕入先]],テーブル1[仕入先名],テーブル1[仕入先コード],"XXX",0,1)&amp;
"_"&amp;
商品マスタ[[#This Row],[シリアル]]&amp;
"_"&amp;
TEXT(COUNTIFS(商品マスタ!$C$3:C248,商品マスタ[[#This Row],[仕入先]],商品マスタ!$E$3:E248,商品マスタ[[#This Row],[商品名]]), "00")</f>
        <v/>
      </c>
      <c r="E248" s="167" t="inlineStr">
        <is>
          <t>北海道産ぼたんえびと甘えび食べ比べ</t>
        </is>
      </c>
      <c r="F248" s="167">
        <f>IF(COUNTIFS($C$3:C248,商品マスタ[[#This Row],[仕入先]],$E$3:E248,商品マスタ[[#This Row],[商品名]]) = 1, 1,0)</f>
        <v/>
      </c>
      <c r="G248" s="133">
        <f>TEXT(SUMIF($C$3:C248,商品マスタ[[#This Row],[仕入先]],$F$3:F248), "0000")</f>
        <v/>
      </c>
      <c r="H248" s="167" t="inlineStr">
        <is>
          <t>パック</t>
        </is>
      </c>
      <c r="I248" s="167" t="inlineStr">
        <is>
          <t>各100g/パック</t>
        </is>
      </c>
      <c r="J248" s="167" t="inlineStr">
        <is>
          <t>2箱</t>
        </is>
      </c>
      <c r="K248" s="167" t="inlineStr">
        <is>
          <t>1箱20パック入　真空パック</t>
        </is>
      </c>
      <c r="L248" s="289" t="n">
        <v>1020</v>
      </c>
      <c r="M248" s="157" t="n">
        <v>45955</v>
      </c>
      <c r="N248" s="289" t="n"/>
      <c r="O248" s="290">
        <f>IF(COUNT(商品マスタ[[#This Row],[参考上代
（税込)]]) &gt; 0, (商品マスタ[[#This Row],[参考上代
（税込)]]-商品マスタ[[#This Row],[国内定価
（15％）]])/(商品マスタ[[#This Row],[参考上代
（税込)]]/1.08), "")</f>
        <v/>
      </c>
      <c r="P248" s="136" t="n">
        <v>0.1</v>
      </c>
      <c r="Q248" s="291">
        <f>商品マスタ[[#This Row],[仕入
単価]]*商品マスタ[[#This Row],[標準国内送料率]]</f>
        <v/>
      </c>
      <c r="R248" s="289" t="n"/>
      <c r="S248" s="289">
        <f>IF(ISBLANK(商品マスタ[[#This Row],[実績
国内送料]]),商品マスタ[[#This Row],[標準国内送料]],)</f>
        <v/>
      </c>
      <c r="T248" s="289">
        <f>商品マスタ[[#This Row],[仕入
単価]]+商品マスタ[[#This Row],[国内送料]]</f>
        <v/>
      </c>
      <c r="U248" s="289">
        <f>ROUNDUP(商品マスタ[[#This Row],[仕入単価+国内送料]]/0.8,-1)</f>
        <v/>
      </c>
      <c r="V248" s="289">
        <f>商品マスタ[[#This Row],[海外定価
（20％）]]-商品マスタ[[#This Row],[仕入単価+国内送料]]</f>
        <v/>
      </c>
      <c r="W248" s="167">
        <f>ROUNDUP(商品マスタ[[#This Row],[仕入単価+国内送料]]/0.85,-1)</f>
        <v/>
      </c>
      <c r="X248" s="289">
        <f>商品マスタ[[#This Row],[国内定価
（15％）]]-商品マスタ[[#This Row],[仕入単価+国内送料]]</f>
        <v/>
      </c>
      <c r="Y248" s="139" t="n">
        <v>0.08</v>
      </c>
      <c r="Z248" s="167" t="n"/>
      <c r="AA248" s="167" t="n"/>
      <c r="AB248" s="167" t="n"/>
      <c r="AC248" s="293" t="n"/>
      <c r="AD248" s="167" t="n"/>
      <c r="AE248" s="167" t="n"/>
      <c r="AF248" s="167" t="n"/>
      <c r="AG248" s="144" t="n"/>
    </row>
    <row r="249" ht="18" customHeight="1" s="207">
      <c r="A249" s="169" t="inlineStr">
        <is>
          <t>水産</t>
        </is>
      </c>
      <c r="B249" s="168" t="inlineStr">
        <is>
          <t>水産物</t>
        </is>
      </c>
      <c r="C249" s="168" t="inlineStr">
        <is>
          <t>東しゃこたん漁協</t>
        </is>
      </c>
      <c r="D249" s="143">
        <f>"PRD_SNJ_"&amp;
_xlfn.XLOOKUP(商品マスタ[[#This Row],[仕入先]],テーブル1[仕入先名],テーブル1[仕入先コード],"XXX",0,1)&amp;
"_"&amp;
商品マスタ[[#This Row],[シリアル]]&amp;
"_"&amp;
TEXT(COUNTIFS(商品マスタ!$C$3:C249,商品マスタ[[#This Row],[仕入先]],商品マスタ!$E$3:E249,商品マスタ[[#This Row],[商品名]]), "00")</f>
        <v/>
      </c>
      <c r="E249" s="167" t="inlineStr">
        <is>
          <t>北海道産ナンバン蛯グルムキ</t>
        </is>
      </c>
      <c r="F249" s="167">
        <f>IF(COUNTIFS($C$3:C249,商品マスタ[[#This Row],[仕入先]],$E$3:E249,商品マスタ[[#This Row],[商品名]]) = 1, 1,0)</f>
        <v/>
      </c>
      <c r="G249" s="133">
        <f>TEXT(SUMIF($C$3:C249,商品マスタ[[#This Row],[仕入先]],$F$3:F249), "0000")</f>
        <v/>
      </c>
      <c r="H249" s="167" t="inlineStr">
        <is>
          <t>パック</t>
        </is>
      </c>
      <c r="I249" s="167" t="inlineStr">
        <is>
          <t>100g/パック</t>
        </is>
      </c>
      <c r="J249" s="167" t="inlineStr">
        <is>
          <t>1箱</t>
        </is>
      </c>
      <c r="K249" s="167" t="inlineStr">
        <is>
          <t>1箱50パック入　むき身・酸化防止剤不使用</t>
        </is>
      </c>
      <c r="L249" s="289" t="n">
        <v>850</v>
      </c>
      <c r="M249" s="157" t="n">
        <v>45955</v>
      </c>
      <c r="N249" s="289" t="n"/>
      <c r="O249" s="290">
        <f>IF(COUNT(商品マスタ[[#This Row],[参考上代
（税込)]]) &gt; 0, (商品マスタ[[#This Row],[参考上代
（税込)]]-商品マスタ[[#This Row],[国内定価
（15％）]])/(商品マスタ[[#This Row],[参考上代
（税込)]]/1.08), "")</f>
        <v/>
      </c>
      <c r="P249" s="136" t="n">
        <v>0.1</v>
      </c>
      <c r="Q249" s="291">
        <f>商品マスタ[[#This Row],[仕入
単価]]*商品マスタ[[#This Row],[標準国内送料率]]</f>
        <v/>
      </c>
      <c r="R249" s="289" t="n"/>
      <c r="S249" s="289">
        <f>IF(ISBLANK(商品マスタ[[#This Row],[実績
国内送料]]),商品マスタ[[#This Row],[標準国内送料]],)</f>
        <v/>
      </c>
      <c r="T249" s="289">
        <f>商品マスタ[[#This Row],[仕入
単価]]+商品マスタ[[#This Row],[国内送料]]</f>
        <v/>
      </c>
      <c r="U249" s="289">
        <f>ROUNDUP(商品マスタ[[#This Row],[仕入単価+国内送料]]/0.8,-1)</f>
        <v/>
      </c>
      <c r="V249" s="289">
        <f>商品マスタ[[#This Row],[海外定価
（20％）]]-商品マスタ[[#This Row],[仕入単価+国内送料]]</f>
        <v/>
      </c>
      <c r="W249" s="167">
        <f>ROUNDUP(商品マスタ[[#This Row],[仕入単価+国内送料]]/0.85,-1)</f>
        <v/>
      </c>
      <c r="X249" s="289">
        <f>商品マスタ[[#This Row],[国内定価
（15％）]]-商品マスタ[[#This Row],[仕入単価+国内送料]]</f>
        <v/>
      </c>
      <c r="Y249" s="139" t="n">
        <v>0.08</v>
      </c>
      <c r="Z249" s="167" t="n"/>
      <c r="AA249" s="167" t="n"/>
      <c r="AB249" s="167" t="n"/>
      <c r="AC249" s="293" t="n"/>
      <c r="AD249" s="167" t="n"/>
      <c r="AE249" s="167" t="n"/>
      <c r="AF249" s="167" t="n"/>
      <c r="AG249" s="144" t="n"/>
    </row>
    <row r="250" ht="18" customHeight="1" s="207">
      <c r="A250" s="169" t="inlineStr">
        <is>
          <t>水産</t>
        </is>
      </c>
      <c r="B250" s="168" t="inlineStr">
        <is>
          <t>水産物</t>
        </is>
      </c>
      <c r="C250" s="168" t="inlineStr">
        <is>
          <t>東しゃこたん漁協</t>
        </is>
      </c>
      <c r="D250" s="143">
        <f>"PRD_SNJ_"&amp;
_xlfn.XLOOKUP(商品マスタ[[#This Row],[仕入先]],テーブル1[仕入先名],テーブル1[仕入先コード],"XXX",0,1)&amp;
"_"&amp;
商品マスタ[[#This Row],[シリアル]]&amp;
"_"&amp;
TEXT(COUNTIFS(商品マスタ!$C$3:C250,商品マスタ[[#This Row],[仕入先]],商品マスタ!$E$3:E250,商品マスタ[[#This Row],[商品名]]), "00")</f>
        <v/>
      </c>
      <c r="E250" s="167" t="inlineStr">
        <is>
          <t>北海道産ボタン蛯グルムキ</t>
        </is>
      </c>
      <c r="F250" s="167">
        <f>IF(COUNTIFS($C$3:C250,商品マスタ[[#This Row],[仕入先]],$E$3:E250,商品マスタ[[#This Row],[商品名]]) = 1, 1,0)</f>
        <v/>
      </c>
      <c r="G250" s="133">
        <f>TEXT(SUMIF($C$3:C250,商品マスタ[[#This Row],[仕入先]],$F$3:F250), "0000")</f>
        <v/>
      </c>
      <c r="H250" s="167" t="inlineStr">
        <is>
          <t>パック</t>
        </is>
      </c>
      <c r="I250" s="167" t="inlineStr">
        <is>
          <t>100g/パック</t>
        </is>
      </c>
      <c r="J250" s="167" t="inlineStr">
        <is>
          <t>1箱</t>
        </is>
      </c>
      <c r="K250" s="167" t="inlineStr">
        <is>
          <t>1箱50パック入　むき身・酸化防止剤不使用</t>
        </is>
      </c>
      <c r="L250" s="289" t="n">
        <v>850</v>
      </c>
      <c r="M250" s="157" t="n">
        <v>45955</v>
      </c>
      <c r="N250" s="289" t="n"/>
      <c r="O250" s="290">
        <f>IF(COUNT(商品マスタ[[#This Row],[参考上代
（税込)]]) &gt; 0, (商品マスタ[[#This Row],[参考上代
（税込)]]-商品マスタ[[#This Row],[国内定価
（15％）]])/(商品マスタ[[#This Row],[参考上代
（税込)]]/1.08), "")</f>
        <v/>
      </c>
      <c r="P250" s="136" t="n">
        <v>0.1</v>
      </c>
      <c r="Q250" s="291">
        <f>商品マスタ[[#This Row],[仕入
単価]]*商品マスタ[[#This Row],[標準国内送料率]]</f>
        <v/>
      </c>
      <c r="R250" s="289" t="n"/>
      <c r="S250" s="289">
        <f>IF(ISBLANK(商品マスタ[[#This Row],[実績
国内送料]]),商品マスタ[[#This Row],[標準国内送料]],)</f>
        <v/>
      </c>
      <c r="T250" s="289">
        <f>商品マスタ[[#This Row],[仕入
単価]]+商品マスタ[[#This Row],[国内送料]]</f>
        <v/>
      </c>
      <c r="U250" s="289">
        <f>ROUNDUP(商品マスタ[[#This Row],[仕入単価+国内送料]]/0.8,-1)</f>
        <v/>
      </c>
      <c r="V250" s="289">
        <f>商品マスタ[[#This Row],[海外定価
（20％）]]-商品マスタ[[#This Row],[仕入単価+国内送料]]</f>
        <v/>
      </c>
      <c r="W250" s="167">
        <f>ROUNDUP(商品マスタ[[#This Row],[仕入単価+国内送料]]/0.85,-1)</f>
        <v/>
      </c>
      <c r="X250" s="289">
        <f>商品マスタ[[#This Row],[国内定価
（15％）]]-商品マスタ[[#This Row],[仕入単価+国内送料]]</f>
        <v/>
      </c>
      <c r="Y250" s="139" t="n">
        <v>0.08</v>
      </c>
      <c r="Z250" s="167" t="n"/>
      <c r="AA250" s="167" t="n"/>
      <c r="AB250" s="167" t="n"/>
      <c r="AC250" s="293" t="n"/>
      <c r="AD250" s="167" t="n"/>
      <c r="AE250" s="167" t="n"/>
      <c r="AF250" s="167" t="n"/>
      <c r="AG250" s="144" t="n"/>
    </row>
    <row r="251" ht="18" customHeight="1" s="207">
      <c r="A251" s="169" t="inlineStr">
        <is>
          <t>水産</t>
        </is>
      </c>
      <c r="B251" s="168" t="inlineStr">
        <is>
          <t>水産物</t>
        </is>
      </c>
      <c r="C251" s="168" t="inlineStr">
        <is>
          <t>東しゃこたん漁協</t>
        </is>
      </c>
      <c r="D251" s="143">
        <f>"PRD_SNJ_"&amp;
_xlfn.XLOOKUP(商品マスタ[[#This Row],[仕入先]],テーブル1[仕入先名],テーブル1[仕入先コード],"XXX",0,1)&amp;
"_"&amp;
商品マスタ[[#This Row],[シリアル]]&amp;
"_"&amp;
TEXT(COUNTIFS(商品マスタ!$C$3:C251,商品マスタ[[#This Row],[仕入先]],商品マスタ!$E$3:E251,商品マスタ[[#This Row],[商品名]]), "00")</f>
        <v/>
      </c>
      <c r="E251" s="167" t="inlineStr">
        <is>
          <t>ぼたん蛯塩辛 80g</t>
        </is>
      </c>
      <c r="F251" s="167">
        <f>IF(COUNTIFS($C$3:C251,商品マスタ[[#This Row],[仕入先]],$E$3:E251,商品マスタ[[#This Row],[商品名]]) = 1, 1,0)</f>
        <v/>
      </c>
      <c r="G251" s="133">
        <f>TEXT(SUMIF($C$3:C251,商品マスタ[[#This Row],[仕入先]],$F$3:F251), "0000")</f>
        <v/>
      </c>
      <c r="H251" s="167" t="inlineStr">
        <is>
          <t>パック</t>
        </is>
      </c>
      <c r="I251" s="167" t="inlineStr">
        <is>
          <t>80g/パック</t>
        </is>
      </c>
      <c r="J251" s="167" t="inlineStr">
        <is>
          <t>3箱</t>
        </is>
      </c>
      <c r="K251" s="167" t="inlineStr">
        <is>
          <t>1箱24パック入　加工品</t>
        </is>
      </c>
      <c r="L251" s="289" t="n">
        <v>720</v>
      </c>
      <c r="M251" s="157" t="n">
        <v>45955</v>
      </c>
      <c r="N251" s="289" t="n"/>
      <c r="O251" s="290">
        <f>IF(COUNT(商品マスタ[[#This Row],[参考上代
（税込)]]) &gt; 0, (商品マスタ[[#This Row],[参考上代
（税込)]]-商品マスタ[[#This Row],[国内定価
（15％）]])/(商品マスタ[[#This Row],[参考上代
（税込)]]/1.08), "")</f>
        <v/>
      </c>
      <c r="P251" s="136" t="n">
        <v>0.1</v>
      </c>
      <c r="Q251" s="291">
        <f>商品マスタ[[#This Row],[仕入
単価]]*商品マスタ[[#This Row],[標準国内送料率]]</f>
        <v/>
      </c>
      <c r="R251" s="289" t="n"/>
      <c r="S251" s="289">
        <f>IF(ISBLANK(商品マスタ[[#This Row],[実績
国内送料]]),商品マスタ[[#This Row],[標準国内送料]],)</f>
        <v/>
      </c>
      <c r="T251" s="289">
        <f>商品マスタ[[#This Row],[仕入
単価]]+商品マスタ[[#This Row],[国内送料]]</f>
        <v/>
      </c>
      <c r="U251" s="289">
        <f>ROUNDUP(商品マスタ[[#This Row],[仕入単価+国内送料]]/0.8,-1)</f>
        <v/>
      </c>
      <c r="V251" s="289">
        <f>商品マスタ[[#This Row],[海外定価
（20％）]]-商品マスタ[[#This Row],[仕入単価+国内送料]]</f>
        <v/>
      </c>
      <c r="W251" s="167">
        <f>ROUNDUP(商品マスタ[[#This Row],[仕入単価+国内送料]]/0.85,-1)</f>
        <v/>
      </c>
      <c r="X251" s="289">
        <f>商品マスタ[[#This Row],[国内定価
（15％）]]-商品マスタ[[#This Row],[仕入単価+国内送料]]</f>
        <v/>
      </c>
      <c r="Y251" s="139" t="n">
        <v>0.08</v>
      </c>
      <c r="Z251" s="167" t="n"/>
      <c r="AA251" s="167" t="n"/>
      <c r="AB251" s="167" t="n"/>
      <c r="AC251" s="293" t="n"/>
      <c r="AD251" s="167" t="n"/>
      <c r="AE251" s="167" t="n"/>
      <c r="AF251" s="167" t="n"/>
      <c r="AG251" s="144" t="n"/>
    </row>
    <row r="252" ht="18" customHeight="1" s="207">
      <c r="A252" s="169" t="inlineStr">
        <is>
          <t>水産</t>
        </is>
      </c>
      <c r="B252" s="168" t="inlineStr">
        <is>
          <t>水産物</t>
        </is>
      </c>
      <c r="C252" s="168" t="inlineStr">
        <is>
          <t>東しゃこたん漁協</t>
        </is>
      </c>
      <c r="D252" s="143">
        <f>"PRD_SNJ_"&amp;
_xlfn.XLOOKUP(商品マスタ[[#This Row],[仕入先]],テーブル1[仕入先名],テーブル1[仕入先コード],"XXX",0,1)&amp;
"_"&amp;
商品マスタ[[#This Row],[シリアル]]&amp;
"_"&amp;
TEXT(COUNTIFS(商品マスタ!$C$3:C252,商品マスタ[[#This Row],[仕入先]],商品マスタ!$E$3:E252,商品マスタ[[#This Row],[商品名]]), "00")</f>
        <v/>
      </c>
      <c r="E252" s="167" t="inlineStr">
        <is>
          <t>ぼたん蛯塩辛 230g</t>
        </is>
      </c>
      <c r="F252" s="167">
        <f>IF(COUNTIFS($C$3:C252,商品マスタ[[#This Row],[仕入先]],$E$3:E252,商品マスタ[[#This Row],[商品名]]) = 1, 1,0)</f>
        <v/>
      </c>
      <c r="G252" s="133">
        <f>TEXT(SUMIF($C$3:C252,商品マスタ[[#This Row],[仕入先]],$F$3:F252), "0000")</f>
        <v/>
      </c>
      <c r="H252" s="167" t="inlineStr">
        <is>
          <t>パック</t>
        </is>
      </c>
      <c r="I252" s="167" t="inlineStr">
        <is>
          <t>230g/パック</t>
        </is>
      </c>
      <c r="J252" s="167" t="inlineStr">
        <is>
          <t>1箱</t>
        </is>
      </c>
      <c r="K252" s="167" t="inlineStr">
        <is>
          <t>1箱24パック入　加工品</t>
        </is>
      </c>
      <c r="L252" s="289" t="n">
        <v>2060</v>
      </c>
      <c r="M252" s="157" t="n">
        <v>45955</v>
      </c>
      <c r="N252" s="289" t="n"/>
      <c r="O252" s="290">
        <f>IF(COUNT(商品マスタ[[#This Row],[参考上代
（税込)]]) &gt; 0, (商品マスタ[[#This Row],[参考上代
（税込)]]-商品マスタ[[#This Row],[国内定価
（15％）]])/(商品マスタ[[#This Row],[参考上代
（税込)]]/1.08), "")</f>
        <v/>
      </c>
      <c r="P252" s="136" t="n">
        <v>0.1</v>
      </c>
      <c r="Q252" s="291">
        <f>商品マスタ[[#This Row],[仕入
単価]]*商品マスタ[[#This Row],[標準国内送料率]]</f>
        <v/>
      </c>
      <c r="R252" s="289" t="n"/>
      <c r="S252" s="289">
        <f>IF(ISBLANK(商品マスタ[[#This Row],[実績
国内送料]]),商品マスタ[[#This Row],[標準国内送料]],)</f>
        <v/>
      </c>
      <c r="T252" s="289">
        <f>商品マスタ[[#This Row],[仕入
単価]]+商品マスタ[[#This Row],[国内送料]]</f>
        <v/>
      </c>
      <c r="U252" s="289">
        <f>ROUNDUP(商品マスタ[[#This Row],[仕入単価+国内送料]]/0.8,-1)</f>
        <v/>
      </c>
      <c r="V252" s="289">
        <f>商品マスタ[[#This Row],[海外定価
（20％）]]-商品マスタ[[#This Row],[仕入単価+国内送料]]</f>
        <v/>
      </c>
      <c r="W252" s="167">
        <f>ROUNDUP(商品マスタ[[#This Row],[仕入単価+国内送料]]/0.85,-1)</f>
        <v/>
      </c>
      <c r="X252" s="289">
        <f>商品マスタ[[#This Row],[国内定価
（15％）]]-商品マスタ[[#This Row],[仕入単価+国内送料]]</f>
        <v/>
      </c>
      <c r="Y252" s="139" t="n">
        <v>0.08</v>
      </c>
      <c r="Z252" s="167" t="n"/>
      <c r="AA252" s="167" t="n"/>
      <c r="AB252" s="167" t="n"/>
      <c r="AC252" s="293" t="n"/>
      <c r="AD252" s="167" t="n"/>
      <c r="AE252" s="167" t="n"/>
      <c r="AF252" s="167" t="n"/>
      <c r="AG252" s="144" t="n"/>
    </row>
    <row r="253" ht="18" customHeight="1" s="207">
      <c r="A253" s="169" t="inlineStr">
        <is>
          <t>水産</t>
        </is>
      </c>
      <c r="B253" s="168" t="inlineStr">
        <is>
          <t>水産物</t>
        </is>
      </c>
      <c r="C253" s="168" t="inlineStr">
        <is>
          <t>東しゃこたん漁協</t>
        </is>
      </c>
      <c r="D253" s="143">
        <f>"PRD_SNJ_"&amp;
_xlfn.XLOOKUP(商品マスタ[[#This Row],[仕入先]],テーブル1[仕入先名],テーブル1[仕入先コード],"XXX",0,1)&amp;
"_"&amp;
商品マスタ[[#This Row],[シリアル]]&amp;
"_"&amp;
TEXT(COUNTIFS(商品マスタ!$C$3:C253,商品マスタ[[#This Row],[仕入先]],商品マスタ!$E$3:E253,商品マスタ[[#This Row],[商品名]]), "00")</f>
        <v/>
      </c>
      <c r="E253" s="167" t="inlineStr">
        <is>
          <t>ナンバン蛯塩辛 80g</t>
        </is>
      </c>
      <c r="F253" s="167">
        <f>IF(COUNTIFS($C$3:C253,商品マスタ[[#This Row],[仕入先]],$E$3:E253,商品マスタ[[#This Row],[商品名]]) = 1, 1,0)</f>
        <v/>
      </c>
      <c r="G253" s="133">
        <f>TEXT(SUMIF($C$3:C253,商品マスタ[[#This Row],[仕入先]],$F$3:F253), "0000")</f>
        <v/>
      </c>
      <c r="H253" s="167" t="inlineStr">
        <is>
          <t>パック</t>
        </is>
      </c>
      <c r="I253" s="167" t="inlineStr">
        <is>
          <t>80g/パック</t>
        </is>
      </c>
      <c r="J253" s="167" t="inlineStr">
        <is>
          <t>3箱</t>
        </is>
      </c>
      <c r="K253" s="167" t="inlineStr">
        <is>
          <t>1箱24パック入　加工品</t>
        </is>
      </c>
      <c r="L253" s="289" t="n">
        <v>720</v>
      </c>
      <c r="M253" s="157" t="n">
        <v>45955</v>
      </c>
      <c r="N253" s="289" t="n"/>
      <c r="O253" s="290">
        <f>IF(COUNT(商品マスタ[[#This Row],[参考上代
（税込)]]) &gt; 0, (商品マスタ[[#This Row],[参考上代
（税込)]]-商品マスタ[[#This Row],[国内定価
（15％）]])/(商品マスタ[[#This Row],[参考上代
（税込)]]/1.08), "")</f>
        <v/>
      </c>
      <c r="P253" s="136" t="n">
        <v>0.1</v>
      </c>
      <c r="Q253" s="291">
        <f>商品マスタ[[#This Row],[仕入
単価]]*商品マスタ[[#This Row],[標準国内送料率]]</f>
        <v/>
      </c>
      <c r="R253" s="289" t="n"/>
      <c r="S253" s="289">
        <f>IF(ISBLANK(商品マスタ[[#This Row],[実績
国内送料]]),商品マスタ[[#This Row],[標準国内送料]],)</f>
        <v/>
      </c>
      <c r="T253" s="289">
        <f>商品マスタ[[#This Row],[仕入
単価]]+商品マスタ[[#This Row],[国内送料]]</f>
        <v/>
      </c>
      <c r="U253" s="289">
        <f>ROUNDUP(商品マスタ[[#This Row],[仕入単価+国内送料]]/0.8,-1)</f>
        <v/>
      </c>
      <c r="V253" s="289">
        <f>商品マスタ[[#This Row],[海外定価
（20％）]]-商品マスタ[[#This Row],[仕入単価+国内送料]]</f>
        <v/>
      </c>
      <c r="W253" s="167">
        <f>ROUNDUP(商品マスタ[[#This Row],[仕入単価+国内送料]]/0.85,-1)</f>
        <v/>
      </c>
      <c r="X253" s="289">
        <f>商品マスタ[[#This Row],[国内定価
（15％）]]-商品マスタ[[#This Row],[仕入単価+国内送料]]</f>
        <v/>
      </c>
      <c r="Y253" s="139" t="n">
        <v>0.08</v>
      </c>
      <c r="Z253" s="167" t="n"/>
      <c r="AA253" s="167" t="n"/>
      <c r="AB253" s="167" t="n"/>
      <c r="AC253" s="293" t="n"/>
      <c r="AD253" s="167" t="n"/>
      <c r="AE253" s="167" t="n"/>
      <c r="AF253" s="167" t="n"/>
      <c r="AG253" s="144" t="n"/>
    </row>
    <row r="254" ht="18" customHeight="1" s="207">
      <c r="A254" s="169" t="inlineStr">
        <is>
          <t>水産</t>
        </is>
      </c>
      <c r="B254" s="168" t="inlineStr">
        <is>
          <t>水産物</t>
        </is>
      </c>
      <c r="C254" s="168" t="inlineStr">
        <is>
          <t>東しゃこたん漁協</t>
        </is>
      </c>
      <c r="D254" s="143">
        <f>"PRD_SNJ_"&amp;
_xlfn.XLOOKUP(商品マスタ[[#This Row],[仕入先]],テーブル1[仕入先名],テーブル1[仕入先コード],"XXX",0,1)&amp;
"_"&amp;
商品マスタ[[#This Row],[シリアル]]&amp;
"_"&amp;
TEXT(COUNTIFS(商品マスタ!$C$3:C254,商品マスタ[[#This Row],[仕入先]],商品マスタ!$E$3:E254,商品マスタ[[#This Row],[商品名]]), "00")</f>
        <v/>
      </c>
      <c r="E254" s="167" t="inlineStr">
        <is>
          <t>ナンバン蛯塩辛 230g</t>
        </is>
      </c>
      <c r="F254" s="167">
        <f>IF(COUNTIFS($C$3:C254,商品マスタ[[#This Row],[仕入先]],$E$3:E254,商品マスタ[[#This Row],[商品名]]) = 1, 1,0)</f>
        <v/>
      </c>
      <c r="G254" s="133">
        <f>TEXT(SUMIF($C$3:C254,商品マスタ[[#This Row],[仕入先]],$F$3:F254), "0000")</f>
        <v/>
      </c>
      <c r="H254" s="167" t="inlineStr">
        <is>
          <t>パック</t>
        </is>
      </c>
      <c r="I254" s="167" t="inlineStr">
        <is>
          <t>230g/パック</t>
        </is>
      </c>
      <c r="J254" s="167" t="inlineStr">
        <is>
          <t>1箱</t>
        </is>
      </c>
      <c r="K254" s="167" t="inlineStr">
        <is>
          <t>1箱24パック入　加工品</t>
        </is>
      </c>
      <c r="L254" s="289" t="n">
        <v>2060</v>
      </c>
      <c r="M254" s="157" t="n">
        <v>45955</v>
      </c>
      <c r="N254" s="289" t="n"/>
      <c r="O254" s="290">
        <f>IF(COUNT(商品マスタ[[#This Row],[参考上代
（税込)]]) &gt; 0, (商品マスタ[[#This Row],[参考上代
（税込)]]-商品マスタ[[#This Row],[国内定価
（15％）]])/(商品マスタ[[#This Row],[参考上代
（税込)]]/1.08), "")</f>
        <v/>
      </c>
      <c r="P254" s="136" t="n">
        <v>0.1</v>
      </c>
      <c r="Q254" s="291">
        <f>商品マスタ[[#This Row],[仕入
単価]]*商品マスタ[[#This Row],[標準国内送料率]]</f>
        <v/>
      </c>
      <c r="R254" s="289" t="n"/>
      <c r="S254" s="289">
        <f>IF(ISBLANK(商品マスタ[[#This Row],[実績
国内送料]]),商品マスタ[[#This Row],[標準国内送料]],)</f>
        <v/>
      </c>
      <c r="T254" s="289">
        <f>商品マスタ[[#This Row],[仕入
単価]]+商品マスタ[[#This Row],[国内送料]]</f>
        <v/>
      </c>
      <c r="U254" s="289">
        <f>ROUNDUP(商品マスタ[[#This Row],[仕入単価+国内送料]]/0.8,-1)</f>
        <v/>
      </c>
      <c r="V254" s="289">
        <f>商品マスタ[[#This Row],[海外定価
（20％）]]-商品マスタ[[#This Row],[仕入単価+国内送料]]</f>
        <v/>
      </c>
      <c r="W254" s="167">
        <f>ROUNDUP(商品マスタ[[#This Row],[仕入単価+国内送料]]/0.85,-1)</f>
        <v/>
      </c>
      <c r="X254" s="289">
        <f>商品マスタ[[#This Row],[国内定価
（15％）]]-商品マスタ[[#This Row],[仕入単価+国内送料]]</f>
        <v/>
      </c>
      <c r="Y254" s="139" t="n">
        <v>0.08</v>
      </c>
      <c r="Z254" s="167" t="n"/>
      <c r="AA254" s="167" t="n"/>
      <c r="AB254" s="167" t="n"/>
      <c r="AC254" s="293" t="n"/>
      <c r="AD254" s="167" t="n"/>
      <c r="AE254" s="167" t="n"/>
      <c r="AF254" s="167" t="n"/>
      <c r="AG254" s="144" t="n"/>
    </row>
    <row r="255" ht="18" customHeight="1" s="207">
      <c r="A255" s="169" t="inlineStr">
        <is>
          <t>水産</t>
        </is>
      </c>
      <c r="B255" s="168" t="inlineStr">
        <is>
          <t>水産物</t>
        </is>
      </c>
      <c r="C255" s="168" t="inlineStr">
        <is>
          <t>東しゃこたん漁協</t>
        </is>
      </c>
      <c r="D255" s="143">
        <f>"PRD_SNJ_"&amp;
_xlfn.XLOOKUP(商品マスタ[[#This Row],[仕入先]],テーブル1[仕入先名],テーブル1[仕入先コード],"XXX",0,1)&amp;
"_"&amp;
商品マスタ[[#This Row],[シリアル]]&amp;
"_"&amp;
TEXT(COUNTIFS(商品マスタ!$C$3:C255,商品マスタ[[#This Row],[仕入先]],商品マスタ!$E$3:E255,商品マスタ[[#This Row],[商品名]]), "00")</f>
        <v/>
      </c>
      <c r="E255" s="167" t="inlineStr">
        <is>
          <t>えびラーメン 1食入</t>
        </is>
      </c>
      <c r="F255" s="167">
        <f>IF(COUNTIFS($C$3:C255,商品マスタ[[#This Row],[仕入先]],$E$3:E255,商品マスタ[[#This Row],[商品名]]) = 1, 1,0)</f>
        <v/>
      </c>
      <c r="G255" s="133">
        <f>TEXT(SUMIF($C$3:C255,商品マスタ[[#This Row],[仕入先]],$F$3:F255), "0000")</f>
        <v/>
      </c>
      <c r="H255" s="167" t="inlineStr">
        <is>
          <t>パック</t>
        </is>
      </c>
      <c r="I255" s="167" t="inlineStr">
        <is>
          <t>1食/パック</t>
        </is>
      </c>
      <c r="J255" s="167" t="inlineStr">
        <is>
          <t>2箱</t>
        </is>
      </c>
      <c r="K255" s="167" t="inlineStr">
        <is>
          <t>1箱20パック入　加工品</t>
        </is>
      </c>
      <c r="L255" s="289" t="n">
        <v>290</v>
      </c>
      <c r="M255" s="157" t="n">
        <v>45955</v>
      </c>
      <c r="N255" s="289" t="n"/>
      <c r="O255" s="290">
        <f>IF(COUNT(商品マスタ[[#This Row],[参考上代
（税込)]]) &gt; 0, (商品マスタ[[#This Row],[参考上代
（税込)]]-商品マスタ[[#This Row],[国内定価
（15％）]])/(商品マスタ[[#This Row],[参考上代
（税込)]]/1.08), "")</f>
        <v/>
      </c>
      <c r="P255" s="136" t="n">
        <v>0.1</v>
      </c>
      <c r="Q255" s="291">
        <f>商品マスタ[[#This Row],[仕入
単価]]*商品マスタ[[#This Row],[標準国内送料率]]</f>
        <v/>
      </c>
      <c r="R255" s="289" t="n"/>
      <c r="S255" s="289">
        <f>IF(ISBLANK(商品マスタ[[#This Row],[実績
国内送料]]),商品マスタ[[#This Row],[標準国内送料]],)</f>
        <v/>
      </c>
      <c r="T255" s="289">
        <f>商品マスタ[[#This Row],[仕入
単価]]+商品マスタ[[#This Row],[国内送料]]</f>
        <v/>
      </c>
      <c r="U255" s="289">
        <f>ROUNDUP(商品マスタ[[#This Row],[仕入単価+国内送料]]/0.8,-1)</f>
        <v/>
      </c>
      <c r="V255" s="289">
        <f>商品マスタ[[#This Row],[海外定価
（20％）]]-商品マスタ[[#This Row],[仕入単価+国内送料]]</f>
        <v/>
      </c>
      <c r="W255" s="167">
        <f>ROUNDUP(商品マスタ[[#This Row],[仕入単価+国内送料]]/0.85,-1)</f>
        <v/>
      </c>
      <c r="X255" s="289">
        <f>商品マスタ[[#This Row],[国内定価
（15％）]]-商品マスタ[[#This Row],[仕入単価+国内送料]]</f>
        <v/>
      </c>
      <c r="Y255" s="139" t="n">
        <v>0.08</v>
      </c>
      <c r="Z255" s="167" t="n"/>
      <c r="AA255" s="167" t="n"/>
      <c r="AB255" s="167" t="n"/>
      <c r="AC255" s="293" t="n"/>
      <c r="AD255" s="167" t="n"/>
      <c r="AE255" s="167" t="n"/>
      <c r="AF255" s="167" t="n"/>
      <c r="AG255" s="144" t="n"/>
    </row>
    <row r="256" ht="18" customHeight="1" s="207">
      <c r="A256" s="169" t="inlineStr">
        <is>
          <t>水産</t>
        </is>
      </c>
      <c r="B256" s="168" t="inlineStr">
        <is>
          <t>水産物</t>
        </is>
      </c>
      <c r="C256" s="168" t="inlineStr">
        <is>
          <t>東しゃこたん漁協</t>
        </is>
      </c>
      <c r="D256" s="143">
        <f>"PRD_SNJ_"&amp;
_xlfn.XLOOKUP(商品マスタ[[#This Row],[仕入先]],テーブル1[仕入先名],テーブル1[仕入先コード],"XXX",0,1)&amp;
"_"&amp;
商品マスタ[[#This Row],[シリアル]]&amp;
"_"&amp;
TEXT(COUNTIFS(商品マスタ!$C$3:C256,商品マスタ[[#This Row],[仕入先]],商品マスタ!$E$3:E256,商品マスタ[[#This Row],[商品名]]), "00")</f>
        <v/>
      </c>
      <c r="E256" s="167" t="inlineStr">
        <is>
          <t>えびラーメン 2食入</t>
        </is>
      </c>
      <c r="F256" s="167">
        <f>IF(COUNTIFS($C$3:C256,商品マスタ[[#This Row],[仕入先]],$E$3:E256,商品マスタ[[#This Row],[商品名]]) = 1, 1,0)</f>
        <v/>
      </c>
      <c r="G256" s="133">
        <f>TEXT(SUMIF($C$3:C256,商品マスタ[[#This Row],[仕入先]],$F$3:F256), "0000")</f>
        <v/>
      </c>
      <c r="H256" s="167" t="inlineStr">
        <is>
          <t>パック</t>
        </is>
      </c>
      <c r="I256" s="167" t="inlineStr">
        <is>
          <t>2食/パック</t>
        </is>
      </c>
      <c r="J256" s="167" t="inlineStr">
        <is>
          <t>2箱</t>
        </is>
      </c>
      <c r="K256" s="167" t="inlineStr">
        <is>
          <t>1箱12パック入　加工品</t>
        </is>
      </c>
      <c r="L256" s="289" t="n">
        <v>490</v>
      </c>
      <c r="M256" s="157" t="n">
        <v>45955</v>
      </c>
      <c r="N256" s="289" t="n"/>
      <c r="O256" s="290">
        <f>IF(COUNT(商品マスタ[[#This Row],[参考上代
（税込)]]) &gt; 0, (商品マスタ[[#This Row],[参考上代
（税込)]]-商品マスタ[[#This Row],[国内定価
（15％）]])/(商品マスタ[[#This Row],[参考上代
（税込)]]/1.08), "")</f>
        <v/>
      </c>
      <c r="P256" s="136" t="n">
        <v>0.1</v>
      </c>
      <c r="Q256" s="291">
        <f>商品マスタ[[#This Row],[仕入
単価]]*商品マスタ[[#This Row],[標準国内送料率]]</f>
        <v/>
      </c>
      <c r="R256" s="289" t="n"/>
      <c r="S256" s="289">
        <f>IF(ISBLANK(商品マスタ[[#This Row],[実績
国内送料]]),商品マスタ[[#This Row],[標準国内送料]],)</f>
        <v/>
      </c>
      <c r="T256" s="289">
        <f>商品マスタ[[#This Row],[仕入
単価]]+商品マスタ[[#This Row],[国内送料]]</f>
        <v/>
      </c>
      <c r="U256" s="289">
        <f>ROUNDUP(商品マスタ[[#This Row],[仕入単価+国内送料]]/0.8,-1)</f>
        <v/>
      </c>
      <c r="V256" s="289">
        <f>商品マスタ[[#This Row],[海外定価
（20％）]]-商品マスタ[[#This Row],[仕入単価+国内送料]]</f>
        <v/>
      </c>
      <c r="W256" s="167">
        <f>ROUNDUP(商品マスタ[[#This Row],[仕入単価+国内送料]]/0.85,-1)</f>
        <v/>
      </c>
      <c r="X256" s="289">
        <f>商品マスタ[[#This Row],[国内定価
（15％）]]-商品マスタ[[#This Row],[仕入単価+国内送料]]</f>
        <v/>
      </c>
      <c r="Y256" s="139" t="n">
        <v>0.08</v>
      </c>
      <c r="Z256" s="167" t="n"/>
      <c r="AA256" s="167" t="n"/>
      <c r="AB256" s="167" t="n"/>
      <c r="AC256" s="293" t="n"/>
      <c r="AD256" s="167" t="n"/>
      <c r="AE256" s="167" t="n"/>
      <c r="AF256" s="167" t="n"/>
      <c r="AG256" s="144" t="n"/>
    </row>
    <row r="257" ht="18" customHeight="1" s="207">
      <c r="A257" s="169" t="inlineStr">
        <is>
          <t>水産</t>
        </is>
      </c>
      <c r="B257" s="168" t="inlineStr">
        <is>
          <t>水産物</t>
        </is>
      </c>
      <c r="C257" s="168" t="inlineStr">
        <is>
          <t>東しゃこたん漁協</t>
        </is>
      </c>
      <c r="D257" s="143">
        <f>"PRD_SNJ_"&amp;
_xlfn.XLOOKUP(商品マスタ[[#This Row],[仕入先]],テーブル1[仕入先名],テーブル1[仕入先コード],"XXX",0,1)&amp;
"_"&amp;
商品マスタ[[#This Row],[シリアル]]&amp;
"_"&amp;
TEXT(COUNTIFS(商品マスタ!$C$3:C257,商品マスタ[[#This Row],[仕入先]],商品マスタ!$E$3:E257,商品マスタ[[#This Row],[商品名]]), "00")</f>
        <v/>
      </c>
      <c r="E257" s="167" t="inlineStr">
        <is>
          <t>北海道産水タコ酢味噌和え</t>
        </is>
      </c>
      <c r="F257" s="167">
        <f>IF(COUNTIFS($C$3:C257,商品マスタ[[#This Row],[仕入先]],$E$3:E257,商品マスタ[[#This Row],[商品名]]) = 1, 1,0)</f>
        <v/>
      </c>
      <c r="G257" s="133">
        <f>TEXT(SUMIF($C$3:C257,商品マスタ[[#This Row],[仕入先]],$F$3:F257), "0000")</f>
        <v/>
      </c>
      <c r="H257" s="167" t="inlineStr">
        <is>
          <t>パック</t>
        </is>
      </c>
      <c r="I257" s="167" t="inlineStr">
        <is>
          <t>100g/パック</t>
        </is>
      </c>
      <c r="J257" s="167" t="inlineStr">
        <is>
          <t>2箱</t>
        </is>
      </c>
      <c r="K257" s="167" t="inlineStr">
        <is>
          <t>1箱50パック入　加工品・無添加</t>
        </is>
      </c>
      <c r="L257" s="289" t="n">
        <v>405</v>
      </c>
      <c r="M257" s="157" t="n">
        <v>45955</v>
      </c>
      <c r="N257" s="289" t="n"/>
      <c r="O257" s="290">
        <f>IF(COUNT(商品マスタ[[#This Row],[参考上代
（税込)]]) &gt; 0, (商品マスタ[[#This Row],[参考上代
（税込)]]-商品マスタ[[#This Row],[国内定価
（15％）]])/(商品マスタ[[#This Row],[参考上代
（税込)]]/1.08), "")</f>
        <v/>
      </c>
      <c r="P257" s="136" t="n">
        <v>0.1</v>
      </c>
      <c r="Q257" s="291">
        <f>商品マスタ[[#This Row],[仕入
単価]]*商品マスタ[[#This Row],[標準国内送料率]]</f>
        <v/>
      </c>
      <c r="R257" s="289" t="n"/>
      <c r="S257" s="289">
        <f>IF(ISBLANK(商品マスタ[[#This Row],[実績
国内送料]]),商品マスタ[[#This Row],[標準国内送料]],)</f>
        <v/>
      </c>
      <c r="T257" s="289">
        <f>商品マスタ[[#This Row],[仕入
単価]]+商品マスタ[[#This Row],[国内送料]]</f>
        <v/>
      </c>
      <c r="U257" s="289">
        <f>ROUNDUP(商品マスタ[[#This Row],[仕入単価+国内送料]]/0.8,-1)</f>
        <v/>
      </c>
      <c r="V257" s="289">
        <f>商品マスタ[[#This Row],[海外定価
（20％）]]-商品マスタ[[#This Row],[仕入単価+国内送料]]</f>
        <v/>
      </c>
      <c r="W257" s="167">
        <f>ROUNDUP(商品マスタ[[#This Row],[仕入単価+国内送料]]/0.85,-1)</f>
        <v/>
      </c>
      <c r="X257" s="289">
        <f>商品マスタ[[#This Row],[国内定価
（15％）]]-商品マスタ[[#This Row],[仕入単価+国内送料]]</f>
        <v/>
      </c>
      <c r="Y257" s="139" t="n">
        <v>0.08</v>
      </c>
      <c r="Z257" s="167" t="n"/>
      <c r="AA257" s="167" t="n"/>
      <c r="AB257" s="167" t="n"/>
      <c r="AC257" s="293" t="n"/>
      <c r="AD257" s="167" t="n"/>
      <c r="AE257" s="167" t="n"/>
      <c r="AF257" s="167" t="n"/>
      <c r="AG257" s="144" t="n"/>
    </row>
    <row r="258" ht="18" customHeight="1" s="207">
      <c r="A258" s="169" t="inlineStr">
        <is>
          <t>水産</t>
        </is>
      </c>
      <c r="B258" s="168" t="inlineStr">
        <is>
          <t>水産物</t>
        </is>
      </c>
      <c r="C258" s="168" t="inlineStr">
        <is>
          <t>東しゃこたん漁協</t>
        </is>
      </c>
      <c r="D258" s="143">
        <f>"PRD_SNJ_"&amp;
_xlfn.XLOOKUP(商品マスタ[[#This Row],[仕入先]],テーブル1[仕入先名],テーブル1[仕入先コード],"XXX",0,1)&amp;
"_"&amp;
商品マスタ[[#This Row],[シリアル]]&amp;
"_"&amp;
TEXT(COUNTIFS(商品マスタ!$C$3:C258,商品マスタ[[#This Row],[仕入先]],商品マスタ!$E$3:E258,商品マスタ[[#This Row],[商品名]]), "00")</f>
        <v/>
      </c>
      <c r="E258" s="167" t="inlineStr">
        <is>
          <t>たこ柔らか煮</t>
        </is>
      </c>
      <c r="F258" s="167">
        <f>IF(COUNTIFS($C$3:C258,商品マスタ[[#This Row],[仕入先]],$E$3:E258,商品マスタ[[#This Row],[商品名]]) = 1, 1,0)</f>
        <v/>
      </c>
      <c r="G258" s="133">
        <f>TEXT(SUMIF($C$3:C258,商品マスタ[[#This Row],[仕入先]],$F$3:F258), "0000")</f>
        <v/>
      </c>
      <c r="H258" s="167" t="inlineStr">
        <is>
          <t>パック</t>
        </is>
      </c>
      <c r="I258" s="167" t="inlineStr">
        <is>
          <t>120g/パック</t>
        </is>
      </c>
      <c r="J258" s="167" t="inlineStr">
        <is>
          <t>1箱</t>
        </is>
      </c>
      <c r="K258" s="167" t="inlineStr">
        <is>
          <t>1箱60パック入　加工品・無添加</t>
        </is>
      </c>
      <c r="L258" s="289" t="n">
        <v>595</v>
      </c>
      <c r="M258" s="157" t="n">
        <v>45955</v>
      </c>
      <c r="N258" s="289" t="n"/>
      <c r="O258" s="290">
        <f>IF(COUNT(商品マスタ[[#This Row],[参考上代
（税込)]]) &gt; 0, (商品マスタ[[#This Row],[参考上代
（税込)]]-商品マスタ[[#This Row],[国内定価
（15％）]])/(商品マスタ[[#This Row],[参考上代
（税込)]]/1.08), "")</f>
        <v/>
      </c>
      <c r="P258" s="136" t="n">
        <v>0.1</v>
      </c>
      <c r="Q258" s="291">
        <f>商品マスタ[[#This Row],[仕入
単価]]*商品マスタ[[#This Row],[標準国内送料率]]</f>
        <v/>
      </c>
      <c r="R258" s="289" t="n"/>
      <c r="S258" s="289">
        <f>IF(ISBLANK(商品マスタ[[#This Row],[実績
国内送料]]),商品マスタ[[#This Row],[標準国内送料]],)</f>
        <v/>
      </c>
      <c r="T258" s="289">
        <f>商品マスタ[[#This Row],[仕入
単価]]+商品マスタ[[#This Row],[国内送料]]</f>
        <v/>
      </c>
      <c r="U258" s="289">
        <f>ROUNDUP(商品マスタ[[#This Row],[仕入単価+国内送料]]/0.8,-1)</f>
        <v/>
      </c>
      <c r="V258" s="289">
        <f>商品マスタ[[#This Row],[海外定価
（20％）]]-商品マスタ[[#This Row],[仕入単価+国内送料]]</f>
        <v/>
      </c>
      <c r="W258" s="167">
        <f>ROUNDUP(商品マスタ[[#This Row],[仕入単価+国内送料]]/0.85,-1)</f>
        <v/>
      </c>
      <c r="X258" s="289">
        <f>商品マスタ[[#This Row],[国内定価
（15％）]]-商品マスタ[[#This Row],[仕入単価+国内送料]]</f>
        <v/>
      </c>
      <c r="Y258" s="139" t="n">
        <v>0.08</v>
      </c>
      <c r="Z258" s="167" t="n"/>
      <c r="AA258" s="167" t="n"/>
      <c r="AB258" s="167" t="n"/>
      <c r="AC258" s="293" t="n"/>
      <c r="AD258" s="167" t="n"/>
      <c r="AE258" s="167" t="n"/>
      <c r="AF258" s="167" t="n"/>
      <c r="AG258" s="144" t="n"/>
    </row>
    <row r="259" ht="18" customHeight="1" s="207">
      <c r="A259" s="169" t="inlineStr">
        <is>
          <t>水産</t>
        </is>
      </c>
      <c r="B259" s="168" t="inlineStr">
        <is>
          <t>水産物</t>
        </is>
      </c>
      <c r="C259" s="168" t="inlineStr">
        <is>
          <t>東しゃこたん漁協</t>
        </is>
      </c>
      <c r="D259" s="143">
        <f>"PRD_SNJ_"&amp;
_xlfn.XLOOKUP(商品マスタ[[#This Row],[仕入先]],テーブル1[仕入先名],テーブル1[仕入先コード],"XXX",0,1)&amp;
"_"&amp;
商品マスタ[[#This Row],[シリアル]]&amp;
"_"&amp;
TEXT(COUNTIFS(商品マスタ!$C$3:C259,商品マスタ[[#This Row],[仕入先]],商品マスタ!$E$3:E259,商品マスタ[[#This Row],[商品名]]), "00")</f>
        <v/>
      </c>
      <c r="E259" s="167" t="inlineStr">
        <is>
          <t>北海道産お刺身用蝦夷あわび 300g（4-6粒）</t>
        </is>
      </c>
      <c r="F259" s="167">
        <f>IF(COUNTIFS($C$3:C259,商品マスタ[[#This Row],[仕入先]],$E$3:E259,商品マスタ[[#This Row],[商品名]]) = 1, 1,0)</f>
        <v/>
      </c>
      <c r="G259" s="133">
        <f>TEXT(SUMIF($C$3:C259,商品マスタ[[#This Row],[仕入先]],$F$3:F259), "0000")</f>
        <v/>
      </c>
      <c r="H259" s="167" t="inlineStr">
        <is>
          <t>パック</t>
        </is>
      </c>
      <c r="I259" s="167" t="inlineStr">
        <is>
          <t>300g（4-6粒）/パック</t>
        </is>
      </c>
      <c r="J259" s="167" t="inlineStr">
        <is>
          <t>2箱</t>
        </is>
      </c>
      <c r="K259" s="167" t="inlineStr">
        <is>
          <t>1箱12パック入　真空パック・無添加</t>
        </is>
      </c>
      <c r="L259" s="289" t="n">
        <v>2790</v>
      </c>
      <c r="M259" s="157" t="n">
        <v>45955</v>
      </c>
      <c r="N259" s="289" t="n"/>
      <c r="O259" s="290">
        <f>IF(COUNT(商品マスタ[[#This Row],[参考上代
（税込)]]) &gt; 0, (商品マスタ[[#This Row],[参考上代
（税込)]]-商品マスタ[[#This Row],[国内定価
（15％）]])/(商品マスタ[[#This Row],[参考上代
（税込)]]/1.08), "")</f>
        <v/>
      </c>
      <c r="P259" s="136" t="n">
        <v>0.1</v>
      </c>
      <c r="Q259" s="291">
        <f>商品マスタ[[#This Row],[仕入
単価]]*商品マスタ[[#This Row],[標準国内送料率]]</f>
        <v/>
      </c>
      <c r="R259" s="289" t="n"/>
      <c r="S259" s="289">
        <f>IF(ISBLANK(商品マスタ[[#This Row],[実績
国内送料]]),商品マスタ[[#This Row],[標準国内送料]],)</f>
        <v/>
      </c>
      <c r="T259" s="289">
        <f>商品マスタ[[#This Row],[仕入
単価]]+商品マスタ[[#This Row],[国内送料]]</f>
        <v/>
      </c>
      <c r="U259" s="289">
        <f>ROUNDUP(商品マスタ[[#This Row],[仕入単価+国内送料]]/0.8,-1)</f>
        <v/>
      </c>
      <c r="V259" s="289">
        <f>商品マスタ[[#This Row],[海外定価
（20％）]]-商品マスタ[[#This Row],[仕入単価+国内送料]]</f>
        <v/>
      </c>
      <c r="W259" s="167">
        <f>ROUNDUP(商品マスタ[[#This Row],[仕入単価+国内送料]]/0.85,-1)</f>
        <v/>
      </c>
      <c r="X259" s="289">
        <f>商品マスタ[[#This Row],[国内定価
（15％）]]-商品マスタ[[#This Row],[仕入単価+国内送料]]</f>
        <v/>
      </c>
      <c r="Y259" s="139" t="n">
        <v>0.08</v>
      </c>
      <c r="Z259" s="167" t="n"/>
      <c r="AA259" s="167" t="n"/>
      <c r="AB259" s="167" t="n"/>
      <c r="AC259" s="293" t="n"/>
      <c r="AD259" s="167" t="n"/>
      <c r="AE259" s="167" t="n"/>
      <c r="AF259" s="167" t="n"/>
      <c r="AG259" s="144" t="n"/>
    </row>
    <row r="260" ht="18" customHeight="1" s="207">
      <c r="A260" s="169" t="inlineStr">
        <is>
          <t>水産</t>
        </is>
      </c>
      <c r="B260" s="168" t="inlineStr">
        <is>
          <t>水産物</t>
        </is>
      </c>
      <c r="C260" s="168" t="inlineStr">
        <is>
          <t>東しゃこたん漁協</t>
        </is>
      </c>
      <c r="D260" s="143">
        <f>"PRD_SNJ_"&amp;
_xlfn.XLOOKUP(商品マスタ[[#This Row],[仕入先]],テーブル1[仕入先名],テーブル1[仕入先コード],"XXX",0,1)&amp;
"_"&amp;
商品マスタ[[#This Row],[シリアル]]&amp;
"_"&amp;
TEXT(COUNTIFS(商品マスタ!$C$3:C260,商品マスタ[[#This Row],[仕入先]],商品マスタ!$E$3:E260,商品マスタ[[#This Row],[商品名]]), "00")</f>
        <v/>
      </c>
      <c r="E260" s="167" t="inlineStr">
        <is>
          <t>北海道産お刺身用蝦夷あわび 2粒120g</t>
        </is>
      </c>
      <c r="F260" s="167">
        <f>IF(COUNTIFS($C$3:C260,商品マスタ[[#This Row],[仕入先]],$E$3:E260,商品マスタ[[#This Row],[商品名]]) = 1, 1,0)</f>
        <v/>
      </c>
      <c r="G260" s="133">
        <f>TEXT(SUMIF($C$3:C260,商品マスタ[[#This Row],[仕入先]],$F$3:F260), "0000")</f>
        <v/>
      </c>
      <c r="H260" s="167" t="inlineStr">
        <is>
          <t>パック</t>
        </is>
      </c>
      <c r="I260" s="167" t="inlineStr">
        <is>
          <t>約120-140g（2粒）/パック</t>
        </is>
      </c>
      <c r="J260" s="167" t="inlineStr">
        <is>
          <t>3箱</t>
        </is>
      </c>
      <c r="K260" s="167" t="inlineStr">
        <is>
          <t>1箱25パック入　真空パック・無添加</t>
        </is>
      </c>
      <c r="L260" s="289" t="n">
        <v>910</v>
      </c>
      <c r="M260" s="157" t="n">
        <v>45955</v>
      </c>
      <c r="N260" s="289" t="n"/>
      <c r="O260" s="290">
        <f>IF(COUNT(商品マスタ[[#This Row],[参考上代
（税込)]]) &gt; 0, (商品マスタ[[#This Row],[参考上代
（税込)]]-商品マスタ[[#This Row],[国内定価
（15％）]])/(商品マスタ[[#This Row],[参考上代
（税込)]]/1.08), "")</f>
        <v/>
      </c>
      <c r="P260" s="136" t="n">
        <v>0.1</v>
      </c>
      <c r="Q260" s="291">
        <f>商品マスタ[[#This Row],[仕入
単価]]*商品マスタ[[#This Row],[標準国内送料率]]</f>
        <v/>
      </c>
      <c r="R260" s="289" t="n"/>
      <c r="S260" s="289">
        <f>IF(ISBLANK(商品マスタ[[#This Row],[実績
国内送料]]),商品マスタ[[#This Row],[標準国内送料]],)</f>
        <v/>
      </c>
      <c r="T260" s="289">
        <f>商品マスタ[[#This Row],[仕入
単価]]+商品マスタ[[#This Row],[国内送料]]</f>
        <v/>
      </c>
      <c r="U260" s="289">
        <f>ROUNDUP(商品マスタ[[#This Row],[仕入単価+国内送料]]/0.8,-1)</f>
        <v/>
      </c>
      <c r="V260" s="289">
        <f>商品マスタ[[#This Row],[海外定価
（20％）]]-商品マスタ[[#This Row],[仕入単価+国内送料]]</f>
        <v/>
      </c>
      <c r="W260" s="167">
        <f>ROUNDUP(商品マスタ[[#This Row],[仕入単価+国内送料]]/0.85,-1)</f>
        <v/>
      </c>
      <c r="X260" s="289">
        <f>商品マスタ[[#This Row],[国内定価
（15％）]]-商品マスタ[[#This Row],[仕入単価+国内送料]]</f>
        <v/>
      </c>
      <c r="Y260" s="139" t="n">
        <v>0.08</v>
      </c>
      <c r="Z260" s="167" t="n"/>
      <c r="AA260" s="167" t="n"/>
      <c r="AB260" s="167" t="n"/>
      <c r="AC260" s="293" t="n"/>
      <c r="AD260" s="167" t="n"/>
      <c r="AE260" s="167" t="n"/>
      <c r="AF260" s="167" t="n"/>
      <c r="AG260" s="144" t="n"/>
    </row>
    <row r="261" ht="18" customHeight="1" s="207">
      <c r="A261" s="169" t="inlineStr">
        <is>
          <t>水産</t>
        </is>
      </c>
      <c r="B261" s="168" t="inlineStr">
        <is>
          <t>水産物</t>
        </is>
      </c>
      <c r="C261" s="168" t="inlineStr">
        <is>
          <t>東しゃこたん漁協</t>
        </is>
      </c>
      <c r="D261" s="143">
        <f>"PRD_SNJ_"&amp;
_xlfn.XLOOKUP(商品マスタ[[#This Row],[仕入先]],テーブル1[仕入先名],テーブル1[仕入先コード],"XXX",0,1)&amp;
"_"&amp;
商品マスタ[[#This Row],[シリアル]]&amp;
"_"&amp;
TEXT(COUNTIFS(商品マスタ!$C$3:C261,商品マスタ[[#This Row],[仕入先]],商品マスタ!$E$3:E261,商品マスタ[[#This Row],[商品名]]), "00")</f>
        <v/>
      </c>
      <c r="E261" s="167" t="inlineStr">
        <is>
          <t>北海道産お刺身用蝦夷あわび 2粒170g</t>
        </is>
      </c>
      <c r="F261" s="167">
        <f>IF(COUNTIFS($C$3:C261,商品マスタ[[#This Row],[仕入先]],$E$3:E261,商品マスタ[[#This Row],[商品名]]) = 1, 1,0)</f>
        <v/>
      </c>
      <c r="G261" s="133">
        <f>TEXT(SUMIF($C$3:C261,商品マスタ[[#This Row],[仕入先]],$F$3:F261), "0000")</f>
        <v/>
      </c>
      <c r="H261" s="167" t="inlineStr">
        <is>
          <t>パック</t>
        </is>
      </c>
      <c r="I261" s="167" t="inlineStr">
        <is>
          <t>約170-190g（2粒）/パック</t>
        </is>
      </c>
      <c r="J261" s="167" t="inlineStr">
        <is>
          <t>3箱</t>
        </is>
      </c>
      <c r="K261" s="167" t="inlineStr">
        <is>
          <t>1箱20パック入　真空パック・無添加</t>
        </is>
      </c>
      <c r="L261" s="289" t="n">
        <v>1445</v>
      </c>
      <c r="M261" s="157" t="n">
        <v>45955</v>
      </c>
      <c r="N261" s="289" t="n"/>
      <c r="O261" s="290">
        <f>IF(COUNT(商品マスタ[[#This Row],[参考上代
（税込)]]) &gt; 0, (商品マスタ[[#This Row],[参考上代
（税込)]]-商品マスタ[[#This Row],[国内定価
（15％）]])/(商品マスタ[[#This Row],[参考上代
（税込)]]/1.08), "")</f>
        <v/>
      </c>
      <c r="P261" s="136" t="n">
        <v>0.1</v>
      </c>
      <c r="Q261" s="291">
        <f>商品マスタ[[#This Row],[仕入
単価]]*商品マスタ[[#This Row],[標準国内送料率]]</f>
        <v/>
      </c>
      <c r="R261" s="289" t="n"/>
      <c r="S261" s="289">
        <f>IF(ISBLANK(商品マスタ[[#This Row],[実績
国内送料]]),商品マスタ[[#This Row],[標準国内送料]],)</f>
        <v/>
      </c>
      <c r="T261" s="289">
        <f>商品マスタ[[#This Row],[仕入
単価]]+商品マスタ[[#This Row],[国内送料]]</f>
        <v/>
      </c>
      <c r="U261" s="289">
        <f>ROUNDUP(商品マスタ[[#This Row],[仕入単価+国内送料]]/0.8,-1)</f>
        <v/>
      </c>
      <c r="V261" s="289">
        <f>商品マスタ[[#This Row],[海外定価
（20％）]]-商品マスタ[[#This Row],[仕入単価+国内送料]]</f>
        <v/>
      </c>
      <c r="W261" s="167">
        <f>ROUNDUP(商品マスタ[[#This Row],[仕入単価+国内送料]]/0.85,-1)</f>
        <v/>
      </c>
      <c r="X261" s="289">
        <f>商品マスタ[[#This Row],[国内定価
（15％）]]-商品マスタ[[#This Row],[仕入単価+国内送料]]</f>
        <v/>
      </c>
      <c r="Y261" s="139" t="n">
        <v>0.08</v>
      </c>
      <c r="Z261" s="167" t="n"/>
      <c r="AA261" s="167" t="n"/>
      <c r="AB261" s="167" t="n"/>
      <c r="AC261" s="293" t="n"/>
      <c r="AD261" s="167" t="n"/>
      <c r="AE261" s="167" t="n"/>
      <c r="AF261" s="167" t="n"/>
      <c r="AG261" s="144" t="n"/>
    </row>
    <row r="262" ht="18" customHeight="1" s="207">
      <c r="A262" s="169" t="inlineStr">
        <is>
          <t>水産</t>
        </is>
      </c>
      <c r="B262" s="168" t="inlineStr">
        <is>
          <t>水産物</t>
        </is>
      </c>
      <c r="C262" s="168" t="inlineStr">
        <is>
          <t>東しゃこたん漁協</t>
        </is>
      </c>
      <c r="D262" s="143">
        <f>"PRD_SNJ_"&amp;
_xlfn.XLOOKUP(商品マスタ[[#This Row],[仕入先]],テーブル1[仕入先名],テーブル1[仕入先コード],"XXX",0,1)&amp;
"_"&amp;
商品マスタ[[#This Row],[シリアル]]&amp;
"_"&amp;
TEXT(COUNTIFS(商品マスタ!$C$3:C262,商品マスタ[[#This Row],[仕入先]],商品マスタ!$E$3:E262,商品マスタ[[#This Row],[商品名]]), "00")</f>
        <v/>
      </c>
      <c r="E262" s="167" t="inlineStr">
        <is>
          <t>北海道産お刺身用蝦夷あわび 3粒120g</t>
        </is>
      </c>
      <c r="F262" s="167">
        <f>IF(COUNTIFS($C$3:C262,商品マスタ[[#This Row],[仕入先]],$E$3:E262,商品マスタ[[#This Row],[商品名]]) = 1, 1,0)</f>
        <v/>
      </c>
      <c r="G262" s="133">
        <f>TEXT(SUMIF($C$3:C262,商品マスタ[[#This Row],[仕入先]],$F$3:F262), "0000")</f>
        <v/>
      </c>
      <c r="H262" s="167" t="inlineStr">
        <is>
          <t>パック</t>
        </is>
      </c>
      <c r="I262" s="167" t="inlineStr">
        <is>
          <t>約120-140g（3粒）/パック</t>
        </is>
      </c>
      <c r="J262" s="167" t="inlineStr">
        <is>
          <t>3箱</t>
        </is>
      </c>
      <c r="K262" s="167" t="inlineStr">
        <is>
          <t>1箱20パック入　真空パック・無添加</t>
        </is>
      </c>
      <c r="L262" s="289" t="n">
        <v>1045</v>
      </c>
      <c r="M262" s="157" t="n">
        <v>45955</v>
      </c>
      <c r="N262" s="289" t="n"/>
      <c r="O262" s="290">
        <f>IF(COUNT(商品マスタ[[#This Row],[参考上代
（税込)]]) &gt; 0, (商品マスタ[[#This Row],[参考上代
（税込)]]-商品マスタ[[#This Row],[国内定価
（15％）]])/(商品マスタ[[#This Row],[参考上代
（税込)]]/1.08), "")</f>
        <v/>
      </c>
      <c r="P262" s="136" t="n">
        <v>0.1</v>
      </c>
      <c r="Q262" s="291">
        <f>商品マスタ[[#This Row],[仕入
単価]]*商品マスタ[[#This Row],[標準国内送料率]]</f>
        <v/>
      </c>
      <c r="R262" s="289" t="n"/>
      <c r="S262" s="289">
        <f>IF(ISBLANK(商品マスタ[[#This Row],[実績
国内送料]]),商品マスタ[[#This Row],[標準国内送料]],)</f>
        <v/>
      </c>
      <c r="T262" s="289">
        <f>商品マスタ[[#This Row],[仕入
単価]]+商品マスタ[[#This Row],[国内送料]]</f>
        <v/>
      </c>
      <c r="U262" s="289">
        <f>ROUNDUP(商品マスタ[[#This Row],[仕入単価+国内送料]]/0.8,-1)</f>
        <v/>
      </c>
      <c r="V262" s="289">
        <f>商品マスタ[[#This Row],[海外定価
（20％）]]-商品マスタ[[#This Row],[仕入単価+国内送料]]</f>
        <v/>
      </c>
      <c r="W262" s="167">
        <f>ROUNDUP(商品マスタ[[#This Row],[仕入単価+国内送料]]/0.85,-1)</f>
        <v/>
      </c>
      <c r="X262" s="289">
        <f>商品マスタ[[#This Row],[国内定価
（15％）]]-商品マスタ[[#This Row],[仕入単価+国内送料]]</f>
        <v/>
      </c>
      <c r="Y262" s="139" t="n">
        <v>0.08</v>
      </c>
      <c r="Z262" s="167" t="n"/>
      <c r="AA262" s="167" t="n"/>
      <c r="AB262" s="167" t="n"/>
      <c r="AC262" s="293" t="n"/>
      <c r="AD262" s="167" t="n"/>
      <c r="AE262" s="167" t="n"/>
      <c r="AF262" s="167" t="n"/>
      <c r="AG262" s="144" t="n"/>
    </row>
    <row r="263" ht="18" customHeight="1" s="207">
      <c r="A263" s="169" t="inlineStr">
        <is>
          <t>水産</t>
        </is>
      </c>
      <c r="B263" s="168" t="inlineStr">
        <is>
          <t>水産物</t>
        </is>
      </c>
      <c r="C263" s="168" t="inlineStr">
        <is>
          <t>東しゃこたん漁協</t>
        </is>
      </c>
      <c r="D263" s="143">
        <f>"PRD_SNJ_"&amp;
_xlfn.XLOOKUP(商品マスタ[[#This Row],[仕入先]],テーブル1[仕入先名],テーブル1[仕入先コード],"XXX",0,1)&amp;
"_"&amp;
商品マスタ[[#This Row],[シリアル]]&amp;
"_"&amp;
TEXT(COUNTIFS(商品マスタ!$C$3:C263,商品マスタ[[#This Row],[仕入先]],商品マスタ!$E$3:E263,商品マスタ[[#This Row],[商品名]]), "00")</f>
        <v/>
      </c>
      <c r="E263" s="167" t="inlineStr">
        <is>
          <t>北海道産天然煮あわび 1粒100g</t>
        </is>
      </c>
      <c r="F263" s="167">
        <f>IF(COUNTIFS($C$3:C263,商品マスタ[[#This Row],[仕入先]],$E$3:E263,商品マスタ[[#This Row],[商品名]]) = 1, 1,0)</f>
        <v/>
      </c>
      <c r="G263" s="133">
        <f>TEXT(SUMIF($C$3:C263,商品マスタ[[#This Row],[仕入先]],$F$3:F263), "0000")</f>
        <v/>
      </c>
      <c r="H263" s="167" t="inlineStr">
        <is>
          <t>パック</t>
        </is>
      </c>
      <c r="I263" s="167" t="inlineStr">
        <is>
          <t>約100-129g（1粒）/パック</t>
        </is>
      </c>
      <c r="J263" s="167" t="inlineStr">
        <is>
          <t>1箱</t>
        </is>
      </c>
      <c r="K263" s="167" t="inlineStr">
        <is>
          <t>1箱50パック入　煮あわび・無添加</t>
        </is>
      </c>
      <c r="L263" s="289" t="n">
        <v>1410</v>
      </c>
      <c r="M263" s="157" t="n">
        <v>45955</v>
      </c>
      <c r="N263" s="289" t="n"/>
      <c r="O263" s="290">
        <f>IF(COUNT(商品マスタ[[#This Row],[参考上代
（税込)]]) &gt; 0, (商品マスタ[[#This Row],[参考上代
（税込)]]-商品マスタ[[#This Row],[国内定価
（15％）]])/(商品マスタ[[#This Row],[参考上代
（税込)]]/1.08), "")</f>
        <v/>
      </c>
      <c r="P263" s="136" t="n">
        <v>0.1</v>
      </c>
      <c r="Q263" s="291">
        <f>商品マスタ[[#This Row],[仕入
単価]]*商品マスタ[[#This Row],[標準国内送料率]]</f>
        <v/>
      </c>
      <c r="R263" s="289" t="n"/>
      <c r="S263" s="289">
        <f>IF(ISBLANK(商品マスタ[[#This Row],[実績
国内送料]]),商品マスタ[[#This Row],[標準国内送料]],)</f>
        <v/>
      </c>
      <c r="T263" s="289">
        <f>商品マスタ[[#This Row],[仕入
単価]]+商品マスタ[[#This Row],[国内送料]]</f>
        <v/>
      </c>
      <c r="U263" s="289">
        <f>ROUNDUP(商品マスタ[[#This Row],[仕入単価+国内送料]]/0.8,-1)</f>
        <v/>
      </c>
      <c r="V263" s="289">
        <f>商品マスタ[[#This Row],[海外定価
（20％）]]-商品マスタ[[#This Row],[仕入単価+国内送料]]</f>
        <v/>
      </c>
      <c r="W263" s="167">
        <f>ROUNDUP(商品マスタ[[#This Row],[仕入単価+国内送料]]/0.85,-1)</f>
        <v/>
      </c>
      <c r="X263" s="289">
        <f>商品マスタ[[#This Row],[国内定価
（15％）]]-商品マスタ[[#This Row],[仕入単価+国内送料]]</f>
        <v/>
      </c>
      <c r="Y263" s="139" t="n">
        <v>0.08</v>
      </c>
      <c r="Z263" s="167" t="n"/>
      <c r="AA263" s="167" t="n"/>
      <c r="AB263" s="167" t="n"/>
      <c r="AC263" s="293" t="n"/>
      <c r="AD263" s="167" t="n"/>
      <c r="AE263" s="167" t="n"/>
      <c r="AF263" s="167" t="n"/>
      <c r="AG263" s="144" t="n"/>
    </row>
    <row r="264" ht="18" customHeight="1" s="207">
      <c r="A264" s="169" t="inlineStr">
        <is>
          <t>水産</t>
        </is>
      </c>
      <c r="B264" s="168" t="inlineStr">
        <is>
          <t>水産物</t>
        </is>
      </c>
      <c r="C264" s="168" t="inlineStr">
        <is>
          <t>東しゃこたん漁協</t>
        </is>
      </c>
      <c r="D264" s="143">
        <f>"PRD_SNJ_"&amp;
_xlfn.XLOOKUP(商品マスタ[[#This Row],[仕入先]],テーブル1[仕入先名],テーブル1[仕入先コード],"XXX",0,1)&amp;
"_"&amp;
商品マスタ[[#This Row],[シリアル]]&amp;
"_"&amp;
TEXT(COUNTIFS(商品マスタ!$C$3:C264,商品マスタ[[#This Row],[仕入先]],商品マスタ!$E$3:E264,商品マスタ[[#This Row],[商品名]]), "00")</f>
        <v/>
      </c>
      <c r="E264" s="167" t="inlineStr">
        <is>
          <t>北海道産天然煮あわび 1粒80g</t>
        </is>
      </c>
      <c r="F264" s="167">
        <f>IF(COUNTIFS($C$3:C264,商品マスタ[[#This Row],[仕入先]],$E$3:E264,商品マスタ[[#This Row],[商品名]]) = 1, 1,0)</f>
        <v/>
      </c>
      <c r="G264" s="133">
        <f>TEXT(SUMIF($C$3:C264,商品マスタ[[#This Row],[仕入先]],$F$3:F264), "0000")</f>
        <v/>
      </c>
      <c r="H264" s="167" t="inlineStr">
        <is>
          <t>パック</t>
        </is>
      </c>
      <c r="I264" s="167" t="inlineStr">
        <is>
          <t>約80-99g（1粒）/パック</t>
        </is>
      </c>
      <c r="J264" s="167" t="inlineStr">
        <is>
          <t>1箱</t>
        </is>
      </c>
      <c r="K264" s="167" t="inlineStr">
        <is>
          <t>1箱50パック入　煮あわび・無添加</t>
        </is>
      </c>
      <c r="L264" s="289" t="n">
        <v>1210</v>
      </c>
      <c r="M264" s="157" t="n">
        <v>45955</v>
      </c>
      <c r="N264" s="289" t="n"/>
      <c r="O264" s="290">
        <f>IF(COUNT(商品マスタ[[#This Row],[参考上代
（税込)]]) &gt; 0, (商品マスタ[[#This Row],[参考上代
（税込)]]-商品マスタ[[#This Row],[国内定価
（15％）]])/(商品マスタ[[#This Row],[参考上代
（税込)]]/1.08), "")</f>
        <v/>
      </c>
      <c r="P264" s="136" t="n">
        <v>0.1</v>
      </c>
      <c r="Q264" s="291">
        <f>商品マスタ[[#This Row],[仕入
単価]]*商品マスタ[[#This Row],[標準国内送料率]]</f>
        <v/>
      </c>
      <c r="R264" s="289" t="n"/>
      <c r="S264" s="289">
        <f>IF(ISBLANK(商品マスタ[[#This Row],[実績
国内送料]]),商品マスタ[[#This Row],[標準国内送料]],)</f>
        <v/>
      </c>
      <c r="T264" s="289">
        <f>商品マスタ[[#This Row],[仕入
単価]]+商品マスタ[[#This Row],[国内送料]]</f>
        <v/>
      </c>
      <c r="U264" s="289">
        <f>ROUNDUP(商品マスタ[[#This Row],[仕入単価+国内送料]]/0.8,-1)</f>
        <v/>
      </c>
      <c r="V264" s="289">
        <f>商品マスタ[[#This Row],[海外定価
（20％）]]-商品マスタ[[#This Row],[仕入単価+国内送料]]</f>
        <v/>
      </c>
      <c r="W264" s="167">
        <f>ROUNDUP(商品マスタ[[#This Row],[仕入単価+国内送料]]/0.85,-1)</f>
        <v/>
      </c>
      <c r="X264" s="289">
        <f>商品マスタ[[#This Row],[国内定価
（15％）]]-商品マスタ[[#This Row],[仕入単価+国内送料]]</f>
        <v/>
      </c>
      <c r="Y264" s="139" t="n">
        <v>0.08</v>
      </c>
      <c r="Z264" s="167" t="n"/>
      <c r="AA264" s="167" t="n"/>
      <c r="AB264" s="167" t="n"/>
      <c r="AC264" s="293" t="n"/>
      <c r="AD264" s="167" t="n"/>
      <c r="AE264" s="167" t="n"/>
      <c r="AF264" s="167" t="n"/>
      <c r="AG264" s="144" t="n"/>
    </row>
    <row r="265" ht="18" customHeight="1" s="207">
      <c r="A265" s="169" t="inlineStr">
        <is>
          <t>水産</t>
        </is>
      </c>
      <c r="B265" s="168" t="inlineStr">
        <is>
          <t>水産物</t>
        </is>
      </c>
      <c r="C265" s="168" t="inlineStr">
        <is>
          <t>東しゃこたん漁協</t>
        </is>
      </c>
      <c r="D265" s="143">
        <f>"PRD_SNJ_"&amp;
_xlfn.XLOOKUP(商品マスタ[[#This Row],[仕入先]],テーブル1[仕入先名],テーブル1[仕入先コード],"XXX",0,1)&amp;
"_"&amp;
商品マスタ[[#This Row],[シリアル]]&amp;
"_"&amp;
TEXT(COUNTIFS(商品マスタ!$C$3:C265,商品マスタ[[#This Row],[仕入先]],商品マスタ!$E$3:E265,商品マスタ[[#This Row],[商品名]]), "00")</f>
        <v/>
      </c>
      <c r="E265" s="167" t="inlineStr">
        <is>
          <t>北海道産天然美あわび 2粒120g</t>
        </is>
      </c>
      <c r="F265" s="167">
        <f>IF(COUNTIFS($C$3:C265,商品マスタ[[#This Row],[仕入先]],$E$3:E265,商品マスタ[[#This Row],[商品名]]) = 1, 1,0)</f>
        <v/>
      </c>
      <c r="G265" s="133">
        <f>TEXT(SUMIF($C$3:C265,商品マスタ[[#This Row],[仕入先]],$F$3:F265), "0000")</f>
        <v/>
      </c>
      <c r="H265" s="167" t="inlineStr">
        <is>
          <t>パック</t>
        </is>
      </c>
      <c r="I265" s="167" t="inlineStr">
        <is>
          <t>約120-140g（2粒）/パック</t>
        </is>
      </c>
      <c r="J265" s="167" t="inlineStr">
        <is>
          <t>1箱</t>
        </is>
      </c>
      <c r="K265" s="167" t="inlineStr">
        <is>
          <t>1箱50パック入　美あわび・無添加</t>
        </is>
      </c>
      <c r="L265" s="289" t="n">
        <v>1760</v>
      </c>
      <c r="M265" s="157" t="n">
        <v>45955</v>
      </c>
      <c r="N265" s="289" t="n"/>
      <c r="O265" s="290">
        <f>IF(COUNT(商品マスタ[[#This Row],[参考上代
（税込)]]) &gt; 0, (商品マスタ[[#This Row],[参考上代
（税込)]]-商品マスタ[[#This Row],[国内定価
（15％）]])/(商品マスタ[[#This Row],[参考上代
（税込)]]/1.08), "")</f>
        <v/>
      </c>
      <c r="P265" s="136" t="n">
        <v>0.1</v>
      </c>
      <c r="Q265" s="291">
        <f>商品マスタ[[#This Row],[仕入
単価]]*商品マスタ[[#This Row],[標準国内送料率]]</f>
        <v/>
      </c>
      <c r="R265" s="289" t="n"/>
      <c r="S265" s="289">
        <f>IF(ISBLANK(商品マスタ[[#This Row],[実績
国内送料]]),商品マスタ[[#This Row],[標準国内送料]],)</f>
        <v/>
      </c>
      <c r="T265" s="289">
        <f>商品マスタ[[#This Row],[仕入
単価]]+商品マスタ[[#This Row],[国内送料]]</f>
        <v/>
      </c>
      <c r="U265" s="289">
        <f>ROUNDUP(商品マスタ[[#This Row],[仕入単価+国内送料]]/0.8,-1)</f>
        <v/>
      </c>
      <c r="V265" s="289">
        <f>商品マスタ[[#This Row],[海外定価
（20％）]]-商品マスタ[[#This Row],[仕入単価+国内送料]]</f>
        <v/>
      </c>
      <c r="W265" s="167">
        <f>ROUNDUP(商品マスタ[[#This Row],[仕入単価+国内送料]]/0.85,-1)</f>
        <v/>
      </c>
      <c r="X265" s="289">
        <f>商品マスタ[[#This Row],[国内定価
（15％）]]-商品マスタ[[#This Row],[仕入単価+国内送料]]</f>
        <v/>
      </c>
      <c r="Y265" s="139" t="n">
        <v>0.08</v>
      </c>
      <c r="Z265" s="167" t="n"/>
      <c r="AA265" s="167" t="n"/>
      <c r="AB265" s="167" t="n"/>
      <c r="AC265" s="293" t="n"/>
      <c r="AD265" s="167" t="n"/>
      <c r="AE265" s="167" t="n"/>
      <c r="AF265" s="167" t="n"/>
      <c r="AG265" s="144" t="n"/>
    </row>
    <row r="266" ht="18" customHeight="1" s="207">
      <c r="A266" s="169" t="inlineStr">
        <is>
          <t>水産</t>
        </is>
      </c>
      <c r="B266" s="168" t="inlineStr">
        <is>
          <t>水産物</t>
        </is>
      </c>
      <c r="C266" s="168" t="inlineStr">
        <is>
          <t>東しゃこたん漁協</t>
        </is>
      </c>
      <c r="D266" s="143">
        <f>"PRD_SNJ_"&amp;
_xlfn.XLOOKUP(商品マスタ[[#This Row],[仕入先]],テーブル1[仕入先名],テーブル1[仕入先コード],"XXX",0,1)&amp;
"_"&amp;
商品マスタ[[#This Row],[シリアル]]&amp;
"_"&amp;
TEXT(COUNTIFS(商品マスタ!$C$3:C266,商品マスタ[[#This Row],[仕入先]],商品マスタ!$E$3:E266,商品マスタ[[#This Row],[商品名]]), "00")</f>
        <v/>
      </c>
      <c r="E266" s="167" t="inlineStr">
        <is>
          <t>北海道産天然あわび酒蒸し 1粒100g</t>
        </is>
      </c>
      <c r="F266" s="167">
        <f>IF(COUNTIFS($C$3:C266,商品マスタ[[#This Row],[仕入先]],$E$3:E266,商品マスタ[[#This Row],[商品名]]) = 1, 1,0)</f>
        <v/>
      </c>
      <c r="G266" s="133">
        <f>TEXT(SUMIF($C$3:C266,商品マスタ[[#This Row],[仕入先]],$F$3:F266), "0000")</f>
        <v/>
      </c>
      <c r="H266" s="167" t="inlineStr">
        <is>
          <t>パック</t>
        </is>
      </c>
      <c r="I266" s="167" t="inlineStr">
        <is>
          <t>約100-129g（1粒）/パック</t>
        </is>
      </c>
      <c r="J266" s="167" t="inlineStr">
        <is>
          <t>1箱</t>
        </is>
      </c>
      <c r="K266" s="167" t="inlineStr">
        <is>
          <t>1箱50パック入　酒蒸し・無添加</t>
        </is>
      </c>
      <c r="L266" s="289" t="n">
        <v>1410</v>
      </c>
      <c r="M266" s="157" t="n">
        <v>45955</v>
      </c>
      <c r="N266" s="289" t="n"/>
      <c r="O266" s="290">
        <f>IF(COUNT(商品マスタ[[#This Row],[参考上代
（税込)]]) &gt; 0, (商品マスタ[[#This Row],[参考上代
（税込)]]-商品マスタ[[#This Row],[国内定価
（15％）]])/(商品マスタ[[#This Row],[参考上代
（税込)]]/1.08), "")</f>
        <v/>
      </c>
      <c r="P266" s="136" t="n">
        <v>0.1</v>
      </c>
      <c r="Q266" s="291">
        <f>商品マスタ[[#This Row],[仕入
単価]]*商品マスタ[[#This Row],[標準国内送料率]]</f>
        <v/>
      </c>
      <c r="R266" s="289" t="n"/>
      <c r="S266" s="289">
        <f>IF(ISBLANK(商品マスタ[[#This Row],[実績
国内送料]]),商品マスタ[[#This Row],[標準国内送料]],)</f>
        <v/>
      </c>
      <c r="T266" s="289">
        <f>商品マスタ[[#This Row],[仕入
単価]]+商品マスタ[[#This Row],[国内送料]]</f>
        <v/>
      </c>
      <c r="U266" s="289">
        <f>ROUNDUP(商品マスタ[[#This Row],[仕入単価+国内送料]]/0.8,-1)</f>
        <v/>
      </c>
      <c r="V266" s="289">
        <f>商品マスタ[[#This Row],[海外定価
（20％）]]-商品マスタ[[#This Row],[仕入単価+国内送料]]</f>
        <v/>
      </c>
      <c r="W266" s="167">
        <f>ROUNDUP(商品マスタ[[#This Row],[仕入単価+国内送料]]/0.85,-1)</f>
        <v/>
      </c>
      <c r="X266" s="289">
        <f>商品マスタ[[#This Row],[国内定価
（15％）]]-商品マスタ[[#This Row],[仕入単価+国内送料]]</f>
        <v/>
      </c>
      <c r="Y266" s="139" t="n">
        <v>0.08</v>
      </c>
      <c r="Z266" s="167" t="n"/>
      <c r="AA266" s="167" t="n"/>
      <c r="AB266" s="167" t="n"/>
      <c r="AC266" s="293" t="n"/>
      <c r="AD266" s="167" t="n"/>
      <c r="AE266" s="167" t="n"/>
      <c r="AF266" s="167" t="n"/>
      <c r="AG266" s="144" t="n"/>
    </row>
    <row r="267" ht="18" customHeight="1" s="207">
      <c r="A267" s="169" t="inlineStr">
        <is>
          <t>水産</t>
        </is>
      </c>
      <c r="B267" s="168" t="inlineStr">
        <is>
          <t>水産物</t>
        </is>
      </c>
      <c r="C267" s="168" t="inlineStr">
        <is>
          <t>東しゃこたん漁協</t>
        </is>
      </c>
      <c r="D267" s="143">
        <f>"PRD_SNJ_"&amp;
_xlfn.XLOOKUP(商品マスタ[[#This Row],[仕入先]],テーブル1[仕入先名],テーブル1[仕入先コード],"XXX",0,1)&amp;
"_"&amp;
商品マスタ[[#This Row],[シリアル]]&amp;
"_"&amp;
TEXT(COUNTIFS(商品マスタ!$C$3:C267,商品マスタ[[#This Row],[仕入先]],商品マスタ!$E$3:E267,商品マスタ[[#This Row],[商品名]]), "00")</f>
        <v/>
      </c>
      <c r="E267" s="167" t="inlineStr">
        <is>
          <t>北海道産天然あわび酒蒸し 1粒80g</t>
        </is>
      </c>
      <c r="F267" s="167">
        <f>IF(COUNTIFS($C$3:C267,商品マスタ[[#This Row],[仕入先]],$E$3:E267,商品マスタ[[#This Row],[商品名]]) = 1, 1,0)</f>
        <v/>
      </c>
      <c r="G267" s="133">
        <f>TEXT(SUMIF($C$3:C267,商品マスタ[[#This Row],[仕入先]],$F$3:F267), "0000")</f>
        <v/>
      </c>
      <c r="H267" s="167" t="inlineStr">
        <is>
          <t>パック</t>
        </is>
      </c>
      <c r="I267" s="167" t="inlineStr">
        <is>
          <t>約80-99g（1粒）/パック</t>
        </is>
      </c>
      <c r="J267" s="167" t="inlineStr">
        <is>
          <t>1箱</t>
        </is>
      </c>
      <c r="K267" s="167" t="inlineStr">
        <is>
          <t>1箱50パック入　酒蒸し・無添加</t>
        </is>
      </c>
      <c r="L267" s="289" t="n">
        <v>1210</v>
      </c>
      <c r="M267" s="157" t="n">
        <v>45955</v>
      </c>
      <c r="N267" s="289" t="n"/>
      <c r="O267" s="290">
        <f>IF(COUNT(商品マスタ[[#This Row],[参考上代
（税込)]]) &gt; 0, (商品マスタ[[#This Row],[参考上代
（税込)]]-商品マスタ[[#This Row],[国内定価
（15％）]])/(商品マスタ[[#This Row],[参考上代
（税込)]]/1.08), "")</f>
        <v/>
      </c>
      <c r="P267" s="136" t="n">
        <v>0.1</v>
      </c>
      <c r="Q267" s="291">
        <f>商品マスタ[[#This Row],[仕入
単価]]*商品マスタ[[#This Row],[標準国内送料率]]</f>
        <v/>
      </c>
      <c r="R267" s="289" t="n"/>
      <c r="S267" s="289">
        <f>IF(ISBLANK(商品マスタ[[#This Row],[実績
国内送料]]),商品マスタ[[#This Row],[標準国内送料]],)</f>
        <v/>
      </c>
      <c r="T267" s="289">
        <f>商品マスタ[[#This Row],[仕入
単価]]+商品マスタ[[#This Row],[国内送料]]</f>
        <v/>
      </c>
      <c r="U267" s="289">
        <f>ROUNDUP(商品マスタ[[#This Row],[仕入単価+国内送料]]/0.8,-1)</f>
        <v/>
      </c>
      <c r="V267" s="289">
        <f>商品マスタ[[#This Row],[海外定価
（20％）]]-商品マスタ[[#This Row],[仕入単価+国内送料]]</f>
        <v/>
      </c>
      <c r="W267" s="167">
        <f>ROUNDUP(商品マスタ[[#This Row],[仕入単価+国内送料]]/0.85,-1)</f>
        <v/>
      </c>
      <c r="X267" s="289">
        <f>商品マスタ[[#This Row],[国内定価
（15％）]]-商品マスタ[[#This Row],[仕入単価+国内送料]]</f>
        <v/>
      </c>
      <c r="Y267" s="139" t="n">
        <v>0.08</v>
      </c>
      <c r="Z267" s="167" t="n"/>
      <c r="AA267" s="167" t="n"/>
      <c r="AB267" s="167" t="n"/>
      <c r="AC267" s="293" t="n"/>
      <c r="AD267" s="167" t="n"/>
      <c r="AE267" s="167" t="n"/>
      <c r="AF267" s="167" t="n"/>
      <c r="AG267" s="144" t="n"/>
    </row>
    <row r="268" ht="18" customHeight="1" s="207">
      <c r="A268" s="169" t="inlineStr">
        <is>
          <t>水産</t>
        </is>
      </c>
      <c r="B268" s="168" t="inlineStr">
        <is>
          <t>水産物</t>
        </is>
      </c>
      <c r="C268" s="168" t="inlineStr">
        <is>
          <t>東しゃこたん漁協</t>
        </is>
      </c>
      <c r="D268" s="143">
        <f>"PRD_SNJ_"&amp;
_xlfn.XLOOKUP(商品マスタ[[#This Row],[仕入先]],テーブル1[仕入先名],テーブル1[仕入先コード],"XXX",0,1)&amp;
"_"&amp;
商品マスタ[[#This Row],[シリアル]]&amp;
"_"&amp;
TEXT(COUNTIFS(商品マスタ!$C$3:C268,商品マスタ[[#This Row],[仕入先]],商品マスタ!$E$3:E268,商品マスタ[[#This Row],[商品名]]), "00")</f>
        <v/>
      </c>
      <c r="E268" s="167" t="inlineStr">
        <is>
          <t>つぶ塩辛 80g</t>
        </is>
      </c>
      <c r="F268" s="167">
        <f>IF(COUNTIFS($C$3:C268,商品マスタ[[#This Row],[仕入先]],$E$3:E268,商品マスタ[[#This Row],[商品名]]) = 1, 1,0)</f>
        <v/>
      </c>
      <c r="G268" s="133">
        <f>TEXT(SUMIF($C$3:C268,商品マスタ[[#This Row],[仕入先]],$F$3:F268), "0000")</f>
        <v/>
      </c>
      <c r="H268" s="167" t="inlineStr">
        <is>
          <t>パック</t>
        </is>
      </c>
      <c r="I268" s="167" t="inlineStr">
        <is>
          <t>80g/パック</t>
        </is>
      </c>
      <c r="J268" s="167" t="inlineStr">
        <is>
          <t>2箱</t>
        </is>
      </c>
      <c r="K268" s="167" t="inlineStr">
        <is>
          <t>1箱24パック入　加工品</t>
        </is>
      </c>
      <c r="L268" s="289" t="n">
        <v>480</v>
      </c>
      <c r="M268" s="157" t="n">
        <v>45955</v>
      </c>
      <c r="N268" s="289" t="n"/>
      <c r="O268" s="290">
        <f>IF(COUNT(商品マスタ[[#This Row],[参考上代
（税込)]]) &gt; 0, (商品マスタ[[#This Row],[参考上代
（税込)]]-商品マスタ[[#This Row],[国内定価
（15％）]])/(商品マスタ[[#This Row],[参考上代
（税込)]]/1.08), "")</f>
        <v/>
      </c>
      <c r="P268" s="136" t="n">
        <v>0.1</v>
      </c>
      <c r="Q268" s="291">
        <f>商品マスタ[[#This Row],[仕入
単価]]*商品マスタ[[#This Row],[標準国内送料率]]</f>
        <v/>
      </c>
      <c r="R268" s="289" t="n"/>
      <c r="S268" s="289">
        <f>IF(ISBLANK(商品マスタ[[#This Row],[実績
国内送料]]),商品マスタ[[#This Row],[標準国内送料]],)</f>
        <v/>
      </c>
      <c r="T268" s="289">
        <f>商品マスタ[[#This Row],[仕入
単価]]+商品マスタ[[#This Row],[国内送料]]</f>
        <v/>
      </c>
      <c r="U268" s="289">
        <f>ROUNDUP(商品マスタ[[#This Row],[仕入単価+国内送料]]/0.8,-1)</f>
        <v/>
      </c>
      <c r="V268" s="289">
        <f>商品マスタ[[#This Row],[海外定価
（20％）]]-商品マスタ[[#This Row],[仕入単価+国内送料]]</f>
        <v/>
      </c>
      <c r="W268" s="167">
        <f>ROUNDUP(商品マスタ[[#This Row],[仕入単価+国内送料]]/0.85,-1)</f>
        <v/>
      </c>
      <c r="X268" s="289">
        <f>商品マスタ[[#This Row],[国内定価
（15％）]]-商品マスタ[[#This Row],[仕入単価+国内送料]]</f>
        <v/>
      </c>
      <c r="Y268" s="139" t="n">
        <v>0.08</v>
      </c>
      <c r="Z268" s="167" t="n"/>
      <c r="AA268" s="167" t="n"/>
      <c r="AB268" s="167" t="n"/>
      <c r="AC268" s="293" t="n"/>
      <c r="AD268" s="167" t="n"/>
      <c r="AE268" s="167" t="n"/>
      <c r="AF268" s="167" t="n"/>
      <c r="AG268" s="144" t="n"/>
    </row>
    <row r="269" ht="18" customHeight="1" s="207">
      <c r="A269" s="169" t="inlineStr">
        <is>
          <t>水産</t>
        </is>
      </c>
      <c r="B269" s="168" t="inlineStr">
        <is>
          <t>水産物</t>
        </is>
      </c>
      <c r="C269" s="168" t="inlineStr">
        <is>
          <t>東しゃこたん漁協</t>
        </is>
      </c>
      <c r="D269" s="143">
        <f>"PRD_SNJ_"&amp;
_xlfn.XLOOKUP(商品マスタ[[#This Row],[仕入先]],テーブル1[仕入先名],テーブル1[仕入先コード],"XXX",0,1)&amp;
"_"&amp;
商品マスタ[[#This Row],[シリアル]]&amp;
"_"&amp;
TEXT(COUNTIFS(商品マスタ!$C$3:C269,商品マスタ[[#This Row],[仕入先]],商品マスタ!$E$3:E269,商品マスタ[[#This Row],[商品名]]), "00")</f>
        <v/>
      </c>
      <c r="E269" s="167" t="inlineStr">
        <is>
          <t>つぶ塩辛 160g</t>
        </is>
      </c>
      <c r="F269" s="167">
        <f>IF(COUNTIFS($C$3:C269,商品マスタ[[#This Row],[仕入先]],$E$3:E269,商品マスタ[[#This Row],[商品名]]) = 1, 1,0)</f>
        <v/>
      </c>
      <c r="G269" s="133">
        <f>TEXT(SUMIF($C$3:C269,商品マスタ[[#This Row],[仕入先]],$F$3:F269), "0000")</f>
        <v/>
      </c>
      <c r="H269" s="167" t="inlineStr">
        <is>
          <t>パック</t>
        </is>
      </c>
      <c r="I269" s="167" t="inlineStr">
        <is>
          <t>160g/パック</t>
        </is>
      </c>
      <c r="J269" s="167" t="inlineStr">
        <is>
          <t>2箱</t>
        </is>
      </c>
      <c r="K269" s="167" t="inlineStr">
        <is>
          <t>1箱24パック入　加工品</t>
        </is>
      </c>
      <c r="L269" s="289" t="n">
        <v>780</v>
      </c>
      <c r="M269" s="157" t="n">
        <v>45955</v>
      </c>
      <c r="N269" s="289" t="n"/>
      <c r="O269" s="290">
        <f>IF(COUNT(商品マスタ[[#This Row],[参考上代
（税込)]]) &gt; 0, (商品マスタ[[#This Row],[参考上代
（税込)]]-商品マスタ[[#This Row],[国内定価
（15％）]])/(商品マスタ[[#This Row],[参考上代
（税込)]]/1.08), "")</f>
        <v/>
      </c>
      <c r="P269" s="136" t="n">
        <v>0.1</v>
      </c>
      <c r="Q269" s="291">
        <f>商品マスタ[[#This Row],[仕入
単価]]*商品マスタ[[#This Row],[標準国内送料率]]</f>
        <v/>
      </c>
      <c r="R269" s="289" t="n"/>
      <c r="S269" s="289">
        <f>IF(ISBLANK(商品マスタ[[#This Row],[実績
国内送料]]),商品マスタ[[#This Row],[標準国内送料]],)</f>
        <v/>
      </c>
      <c r="T269" s="289">
        <f>商品マスタ[[#This Row],[仕入
単価]]+商品マスタ[[#This Row],[国内送料]]</f>
        <v/>
      </c>
      <c r="U269" s="289">
        <f>ROUNDUP(商品マスタ[[#This Row],[仕入単価+国内送料]]/0.8,-1)</f>
        <v/>
      </c>
      <c r="V269" s="289">
        <f>商品マスタ[[#This Row],[海外定価
（20％）]]-商品マスタ[[#This Row],[仕入単価+国内送料]]</f>
        <v/>
      </c>
      <c r="W269" s="167">
        <f>ROUNDUP(商品マスタ[[#This Row],[仕入単価+国内送料]]/0.85,-1)</f>
        <v/>
      </c>
      <c r="X269" s="289">
        <f>商品マスタ[[#This Row],[国内定価
（15％）]]-商品マスタ[[#This Row],[仕入単価+国内送料]]</f>
        <v/>
      </c>
      <c r="Y269" s="139" t="n">
        <v>0.08</v>
      </c>
      <c r="Z269" s="167" t="n"/>
      <c r="AA269" s="167" t="n"/>
      <c r="AB269" s="167" t="n"/>
      <c r="AC269" s="293" t="n"/>
      <c r="AD269" s="167" t="n"/>
      <c r="AE269" s="167" t="n"/>
      <c r="AF269" s="167" t="n"/>
      <c r="AG269" s="144" t="n"/>
    </row>
    <row r="270" ht="18" customHeight="1" s="207">
      <c r="A270" s="169" t="inlineStr">
        <is>
          <t>水産</t>
        </is>
      </c>
      <c r="B270" s="168" t="inlineStr">
        <is>
          <t>水産物</t>
        </is>
      </c>
      <c r="C270" s="168" t="inlineStr">
        <is>
          <t>東しゃこたん漁協</t>
        </is>
      </c>
      <c r="D270" s="143">
        <f>"PRD_SNJ_"&amp;
_xlfn.XLOOKUP(商品マスタ[[#This Row],[仕入先]],テーブル1[仕入先名],テーブル1[仕入先コード],"XXX",0,1)&amp;
"_"&amp;
商品マスタ[[#This Row],[シリアル]]&amp;
"_"&amp;
TEXT(COUNTIFS(商品マスタ!$C$3:C270,商品マスタ[[#This Row],[仕入先]],商品マスタ!$E$3:E270,商品マスタ[[#This Row],[商品名]]), "00")</f>
        <v/>
      </c>
      <c r="E270" s="167" t="inlineStr">
        <is>
          <t>つぶ塩辛明太風味 80g</t>
        </is>
      </c>
      <c r="F270" s="167">
        <f>IF(COUNTIFS($C$3:C270,商品マスタ[[#This Row],[仕入先]],$E$3:E270,商品マスタ[[#This Row],[商品名]]) = 1, 1,0)</f>
        <v/>
      </c>
      <c r="G270" s="133">
        <f>TEXT(SUMIF($C$3:C270,商品マスタ[[#This Row],[仕入先]],$F$3:F270), "0000")</f>
        <v/>
      </c>
      <c r="H270" s="167" t="inlineStr">
        <is>
          <t>パック</t>
        </is>
      </c>
      <c r="I270" s="167" t="inlineStr">
        <is>
          <t>80g/パック</t>
        </is>
      </c>
      <c r="J270" s="167" t="inlineStr">
        <is>
          <t>2箱</t>
        </is>
      </c>
      <c r="K270" s="167" t="inlineStr">
        <is>
          <t>1箱24パック入　加工品</t>
        </is>
      </c>
      <c r="L270" s="289" t="n">
        <v>480</v>
      </c>
      <c r="M270" s="157" t="n">
        <v>45955</v>
      </c>
      <c r="N270" s="289" t="n"/>
      <c r="O270" s="290">
        <f>IF(COUNT(商品マスタ[[#This Row],[参考上代
（税込)]]) &gt; 0, (商品マスタ[[#This Row],[参考上代
（税込)]]-商品マスタ[[#This Row],[国内定価
（15％）]])/(商品マスタ[[#This Row],[参考上代
（税込)]]/1.08), "")</f>
        <v/>
      </c>
      <c r="P270" s="136" t="n">
        <v>0.1</v>
      </c>
      <c r="Q270" s="291">
        <f>商品マスタ[[#This Row],[仕入
単価]]*商品マスタ[[#This Row],[標準国内送料率]]</f>
        <v/>
      </c>
      <c r="R270" s="289" t="n"/>
      <c r="S270" s="289">
        <f>IF(ISBLANK(商品マスタ[[#This Row],[実績
国内送料]]),商品マスタ[[#This Row],[標準国内送料]],)</f>
        <v/>
      </c>
      <c r="T270" s="289">
        <f>商品マスタ[[#This Row],[仕入
単価]]+商品マスタ[[#This Row],[国内送料]]</f>
        <v/>
      </c>
      <c r="U270" s="289">
        <f>ROUNDUP(商品マスタ[[#This Row],[仕入単価+国内送料]]/0.8,-1)</f>
        <v/>
      </c>
      <c r="V270" s="289">
        <f>商品マスタ[[#This Row],[海外定価
（20％）]]-商品マスタ[[#This Row],[仕入単価+国内送料]]</f>
        <v/>
      </c>
      <c r="W270" s="167">
        <f>ROUNDUP(商品マスタ[[#This Row],[仕入単価+国内送料]]/0.85,-1)</f>
        <v/>
      </c>
      <c r="X270" s="289">
        <f>商品マスタ[[#This Row],[国内定価
（15％）]]-商品マスタ[[#This Row],[仕入単価+国内送料]]</f>
        <v/>
      </c>
      <c r="Y270" s="139" t="n">
        <v>0.08</v>
      </c>
      <c r="Z270" s="167" t="n"/>
      <c r="AA270" s="167" t="n"/>
      <c r="AB270" s="167" t="n"/>
      <c r="AC270" s="293" t="n"/>
      <c r="AD270" s="167" t="n"/>
      <c r="AE270" s="167" t="n"/>
      <c r="AF270" s="167" t="n"/>
      <c r="AG270" s="144" t="n"/>
    </row>
    <row r="271" ht="18" customHeight="1" s="207">
      <c r="A271" s="169" t="inlineStr">
        <is>
          <t>水産</t>
        </is>
      </c>
      <c r="B271" s="168" t="inlineStr">
        <is>
          <t>水産物</t>
        </is>
      </c>
      <c r="C271" s="168" t="inlineStr">
        <is>
          <t>東しゃこたん漁協</t>
        </is>
      </c>
      <c r="D271" s="143">
        <f>"PRD_SNJ_"&amp;
_xlfn.XLOOKUP(商品マスタ[[#This Row],[仕入先]],テーブル1[仕入先名],テーブル1[仕入先コード],"XXX",0,1)&amp;
"_"&amp;
商品マスタ[[#This Row],[シリアル]]&amp;
"_"&amp;
TEXT(COUNTIFS(商品マスタ!$C$3:C271,商品マスタ[[#This Row],[仕入先]],商品マスタ!$E$3:E271,商品マスタ[[#This Row],[商品名]]), "00")</f>
        <v/>
      </c>
      <c r="E271" s="167" t="inlineStr">
        <is>
          <t>つぶ塩辛明太風味 160g</t>
        </is>
      </c>
      <c r="F271" s="167">
        <f>IF(COUNTIFS($C$3:C271,商品マスタ[[#This Row],[仕入先]],$E$3:E271,商品マスタ[[#This Row],[商品名]]) = 1, 1,0)</f>
        <v/>
      </c>
      <c r="G271" s="133">
        <f>TEXT(SUMIF($C$3:C271,商品マスタ[[#This Row],[仕入先]],$F$3:F271), "0000")</f>
        <v/>
      </c>
      <c r="H271" s="167" t="inlineStr">
        <is>
          <t>パック</t>
        </is>
      </c>
      <c r="I271" s="167" t="inlineStr">
        <is>
          <t>160g/パック</t>
        </is>
      </c>
      <c r="J271" s="167" t="inlineStr">
        <is>
          <t>2箱</t>
        </is>
      </c>
      <c r="K271" s="167" t="inlineStr">
        <is>
          <t>1箱24パック入　加工品</t>
        </is>
      </c>
      <c r="L271" s="289" t="n">
        <v>780</v>
      </c>
      <c r="M271" s="157" t="n">
        <v>45955</v>
      </c>
      <c r="N271" s="289" t="n"/>
      <c r="O271" s="290">
        <f>IF(COUNT(商品マスタ[[#This Row],[参考上代
（税込)]]) &gt; 0, (商品マスタ[[#This Row],[参考上代
（税込)]]-商品マスタ[[#This Row],[国内定価
（15％）]])/(商品マスタ[[#This Row],[参考上代
（税込)]]/1.08), "")</f>
        <v/>
      </c>
      <c r="P271" s="136" t="n">
        <v>0.1</v>
      </c>
      <c r="Q271" s="291">
        <f>商品マスタ[[#This Row],[仕入
単価]]*商品マスタ[[#This Row],[標準国内送料率]]</f>
        <v/>
      </c>
      <c r="R271" s="289" t="n"/>
      <c r="S271" s="289">
        <f>IF(ISBLANK(商品マスタ[[#This Row],[実績
国内送料]]),商品マスタ[[#This Row],[標準国内送料]],)</f>
        <v/>
      </c>
      <c r="T271" s="289">
        <f>商品マスタ[[#This Row],[仕入
単価]]+商品マスタ[[#This Row],[国内送料]]</f>
        <v/>
      </c>
      <c r="U271" s="289">
        <f>ROUNDUP(商品マスタ[[#This Row],[仕入単価+国内送料]]/0.8,-1)</f>
        <v/>
      </c>
      <c r="V271" s="289">
        <f>商品マスタ[[#This Row],[海外定価
（20％）]]-商品マスタ[[#This Row],[仕入単価+国内送料]]</f>
        <v/>
      </c>
      <c r="W271" s="167">
        <f>ROUNDUP(商品マスタ[[#This Row],[仕入単価+国内送料]]/0.85,-1)</f>
        <v/>
      </c>
      <c r="X271" s="289">
        <f>商品マスタ[[#This Row],[国内定価
（15％）]]-商品マスタ[[#This Row],[仕入単価+国内送料]]</f>
        <v/>
      </c>
      <c r="Y271" s="139" t="n">
        <v>0.08</v>
      </c>
      <c r="Z271" s="167" t="n"/>
      <c r="AA271" s="167" t="n"/>
      <c r="AB271" s="167" t="n"/>
      <c r="AC271" s="293" t="n"/>
      <c r="AD271" s="167" t="n"/>
      <c r="AE271" s="167" t="n"/>
      <c r="AF271" s="167" t="n"/>
      <c r="AG271" s="144" t="n"/>
    </row>
    <row r="272" ht="18" customHeight="1" s="207">
      <c r="A272" s="169" t="inlineStr">
        <is>
          <t>水産</t>
        </is>
      </c>
      <c r="B272" s="168" t="inlineStr">
        <is>
          <t>水産物</t>
        </is>
      </c>
      <c r="C272" s="168" t="inlineStr">
        <is>
          <t>東しゃこたん漁協</t>
        </is>
      </c>
      <c r="D272" s="143">
        <f>"PRD_SNJ_"&amp;
_xlfn.XLOOKUP(商品マスタ[[#This Row],[仕入先]],テーブル1[仕入先名],テーブル1[仕入先コード],"XXX",0,1)&amp;
"_"&amp;
商品マスタ[[#This Row],[シリアル]]&amp;
"_"&amp;
TEXT(COUNTIFS(商品マスタ!$C$3:C272,商品マスタ[[#This Row],[仕入先]],商品マスタ!$E$3:E272,商品マスタ[[#This Row],[商品名]]), "00")</f>
        <v/>
      </c>
      <c r="E272" s="167" t="inlineStr">
        <is>
          <t>えびアイス</t>
        </is>
      </c>
      <c r="F272" s="167">
        <f>IF(COUNTIFS($C$3:C272,商品マスタ[[#This Row],[仕入先]],$E$3:E272,商品マスタ[[#This Row],[商品名]]) = 1, 1,0)</f>
        <v/>
      </c>
      <c r="G272" s="133">
        <f>TEXT(SUMIF($C$3:C272,商品マスタ[[#This Row],[仕入先]],$F$3:F272), "0000")</f>
        <v/>
      </c>
      <c r="H272" s="167" t="inlineStr">
        <is>
          <t>パック</t>
        </is>
      </c>
      <c r="I272" s="167" t="inlineStr">
        <is>
          <t>120ml/パック</t>
        </is>
      </c>
      <c r="J272" s="167" t="inlineStr">
        <is>
          <t>2箱</t>
        </is>
      </c>
      <c r="K272" s="167" t="inlineStr">
        <is>
          <t>1箱24パック入　アイスクリーム</t>
        </is>
      </c>
      <c r="L272" s="289" t="n">
        <v>280</v>
      </c>
      <c r="M272" s="157" t="n">
        <v>45955</v>
      </c>
      <c r="N272" s="289" t="n"/>
      <c r="O272" s="290">
        <f>IF(COUNT(商品マスタ[[#This Row],[参考上代
（税込)]]) &gt; 0, (商品マスタ[[#This Row],[参考上代
（税込)]]-商品マスタ[[#This Row],[国内定価
（15％）]])/(商品マスタ[[#This Row],[参考上代
（税込)]]/1.08), "")</f>
        <v/>
      </c>
      <c r="P272" s="136" t="n">
        <v>0.1</v>
      </c>
      <c r="Q272" s="291">
        <f>商品マスタ[[#This Row],[仕入
単価]]*商品マスタ[[#This Row],[標準国内送料率]]</f>
        <v/>
      </c>
      <c r="R272" s="289" t="n"/>
      <c r="S272" s="289">
        <f>IF(ISBLANK(商品マスタ[[#This Row],[実績
国内送料]]),商品マスタ[[#This Row],[標準国内送料]],)</f>
        <v/>
      </c>
      <c r="T272" s="289">
        <f>商品マスタ[[#This Row],[仕入
単価]]+商品マスタ[[#This Row],[国内送料]]</f>
        <v/>
      </c>
      <c r="U272" s="289">
        <f>ROUNDUP(商品マスタ[[#This Row],[仕入単価+国内送料]]/0.8,-1)</f>
        <v/>
      </c>
      <c r="V272" s="289">
        <f>商品マスタ[[#This Row],[海外定価
（20％）]]-商品マスタ[[#This Row],[仕入単価+国内送料]]</f>
        <v/>
      </c>
      <c r="W272" s="167">
        <f>ROUNDUP(商品マスタ[[#This Row],[仕入単価+国内送料]]/0.85,-1)</f>
        <v/>
      </c>
      <c r="X272" s="289">
        <f>商品マスタ[[#This Row],[国内定価
（15％）]]-商品マスタ[[#This Row],[仕入単価+国内送料]]</f>
        <v/>
      </c>
      <c r="Y272" s="139" t="n">
        <v>0.08</v>
      </c>
      <c r="Z272" s="167" t="n"/>
      <c r="AA272" s="167" t="n"/>
      <c r="AB272" s="167" t="n"/>
      <c r="AC272" s="293" t="n"/>
      <c r="AD272" s="167" t="n"/>
      <c r="AE272" s="167" t="n"/>
      <c r="AF272" s="167" t="n"/>
      <c r="AG272" s="144" t="n"/>
    </row>
    <row r="273" ht="18" customHeight="1" s="207">
      <c r="A273" s="166" t="inlineStr">
        <is>
          <t>水産</t>
        </is>
      </c>
      <c r="B273" s="167" t="inlineStr">
        <is>
          <t>水産物</t>
        </is>
      </c>
      <c r="C273" s="167" t="inlineStr">
        <is>
          <t>三海幸</t>
        </is>
      </c>
      <c r="D273" s="143">
        <f>"PRD_SNJ_"&amp;
_xlfn.XLOOKUP(商品マスタ[[#This Row],[仕入先]],テーブル1[仕入先名],テーブル1[仕入先コード],"XXX",0,1)&amp;
"_"&amp;
商品マスタ[[#This Row],[シリアル]]&amp;
"_"&amp;
TEXT(COUNTIFS(商品マスタ!$C$3:C273,商品マスタ[[#This Row],[仕入先]],商品マスタ!$E$3:E273,商品マスタ[[#This Row],[商品名]]), "00")</f>
        <v/>
      </c>
      <c r="E273" s="167" t="inlineStr">
        <is>
          <t>がっつりタコ風味のおつまみイカ</t>
        </is>
      </c>
      <c r="F273" s="167">
        <f>IF(COUNTIFS($C$3:C273,商品マスタ[[#This Row],[仕入先]],$E$3:E273,商品マスタ[[#This Row],[商品名]]) = 1, 1,0)</f>
        <v/>
      </c>
      <c r="G273" s="133">
        <f>TEXT(SUMIF($C$3:C273,商品マスタ[[#This Row],[仕入先]],$F$3:F273), "0000")</f>
        <v/>
      </c>
      <c r="H273" s="167" t="inlineStr">
        <is>
          <t>個</t>
        </is>
      </c>
      <c r="I273" s="167" t="n"/>
      <c r="J273" s="167" t="n"/>
      <c r="K273" s="167" t="n"/>
      <c r="L273" s="289" t="n">
        <v>300</v>
      </c>
      <c r="M273" s="157" t="n"/>
      <c r="N273" s="289" t="n"/>
      <c r="O273" s="290">
        <f>IF(COUNT(商品マスタ[[#This Row],[参考上代
（税込)]]) &gt; 0, (商品マスタ[[#This Row],[参考上代
（税込)]]-商品マスタ[[#This Row],[国内定価
（15％）]])/(商品マスタ[[#This Row],[参考上代
（税込)]]/1.08), "")</f>
        <v/>
      </c>
      <c r="P273" s="136" t="n">
        <v>0.1</v>
      </c>
      <c r="Q273" s="291">
        <f>商品マスタ[[#This Row],[仕入
単価]]*商品マスタ[[#This Row],[標準国内送料率]]</f>
        <v/>
      </c>
      <c r="R273" s="289" t="n"/>
      <c r="S273" s="289">
        <f>IF(ISBLANK(商品マスタ[[#This Row],[実績
国内送料]]),商品マスタ[[#This Row],[標準国内送料]],)</f>
        <v/>
      </c>
      <c r="T273" s="289">
        <f>商品マスタ[[#This Row],[仕入
単価]]+商品マスタ[[#This Row],[国内送料]]</f>
        <v/>
      </c>
      <c r="U273" s="289">
        <f>ROUNDUP(商品マスタ[[#This Row],[仕入単価+国内送料]]/0.8,-1)</f>
        <v/>
      </c>
      <c r="V273" s="289">
        <f>商品マスタ[[#This Row],[海外定価
（20％）]]-商品マスタ[[#This Row],[仕入単価+国内送料]]</f>
        <v/>
      </c>
      <c r="W273" s="167">
        <f>ROUNDUP(商品マスタ[[#This Row],[仕入単価+国内送料]]/0.85,-1)</f>
        <v/>
      </c>
      <c r="X273" s="289">
        <f>商品マスタ[[#This Row],[国内定価
（15％）]]-商品マスタ[[#This Row],[仕入単価+国内送料]]</f>
        <v/>
      </c>
      <c r="Y273" s="139" t="n">
        <v>0.08</v>
      </c>
      <c r="Z273" s="167" t="n"/>
      <c r="AA273" s="167" t="n"/>
      <c r="AB273" s="167" t="n"/>
      <c r="AC273" s="293" t="n"/>
      <c r="AD273" s="167" t="n"/>
      <c r="AE273" s="167" t="n"/>
      <c r="AF273" s="167" t="n"/>
      <c r="AG273" s="144" t="n"/>
    </row>
    <row r="274" ht="18" customHeight="1" s="207">
      <c r="A274" s="166" t="inlineStr">
        <is>
          <t>水産</t>
        </is>
      </c>
      <c r="B274" s="167" t="inlineStr">
        <is>
          <t>水産物</t>
        </is>
      </c>
      <c r="C274" s="167" t="inlineStr">
        <is>
          <t>三海幸</t>
        </is>
      </c>
      <c r="D274" s="143">
        <f>"PRD_SNJ_"&amp;
_xlfn.XLOOKUP(商品マスタ[[#This Row],[仕入先]],テーブル1[仕入先名],テーブル1[仕入先コード],"XXX",0,1)&amp;
"_"&amp;
商品マスタ[[#This Row],[シリアル]]&amp;
"_"&amp;
TEXT(COUNTIFS(商品マスタ!$C$3:C274,商品マスタ[[#This Row],[仕入先]],商品マスタ!$E$3:E274,商品マスタ[[#This Row],[商品名]]), "00")</f>
        <v/>
      </c>
      <c r="E274" s="167" t="inlineStr">
        <is>
          <t>がっつり黒胡椒の北海道鮭とば</t>
        </is>
      </c>
      <c r="F274" s="167">
        <f>IF(COUNTIFS($C$3:C274,商品マスタ[[#This Row],[仕入先]],$E$3:E274,商品マスタ[[#This Row],[商品名]]) = 1, 1,0)</f>
        <v/>
      </c>
      <c r="G274" s="133">
        <f>TEXT(SUMIF($C$3:C274,商品マスタ[[#This Row],[仕入先]],$F$3:F274), "0000")</f>
        <v/>
      </c>
      <c r="H274" s="167" t="inlineStr">
        <is>
          <t>個</t>
        </is>
      </c>
      <c r="I274" s="167" t="n"/>
      <c r="J274" s="167" t="n"/>
      <c r="K274" s="167" t="n"/>
      <c r="L274" s="289" t="n">
        <v>360</v>
      </c>
      <c r="M274" s="157" t="n"/>
      <c r="N274" s="289" t="n"/>
      <c r="O274" s="290">
        <f>IF(COUNT(商品マスタ[[#This Row],[参考上代
（税込)]]) &gt; 0, (商品マスタ[[#This Row],[参考上代
（税込)]]-商品マスタ[[#This Row],[国内定価
（15％）]])/(商品マスタ[[#This Row],[参考上代
（税込)]]/1.08), "")</f>
        <v/>
      </c>
      <c r="P274" s="136" t="n">
        <v>0.1</v>
      </c>
      <c r="Q274" s="291">
        <f>商品マスタ[[#This Row],[仕入
単価]]*商品マスタ[[#This Row],[標準国内送料率]]</f>
        <v/>
      </c>
      <c r="R274" s="289" t="n"/>
      <c r="S274" s="289">
        <f>IF(ISBLANK(商品マスタ[[#This Row],[実績
国内送料]]),商品マスタ[[#This Row],[標準国内送料]],)</f>
        <v/>
      </c>
      <c r="T274" s="289">
        <f>商品マスタ[[#This Row],[仕入
単価]]+商品マスタ[[#This Row],[国内送料]]</f>
        <v/>
      </c>
      <c r="U274" s="289">
        <f>ROUNDUP(商品マスタ[[#This Row],[仕入単価+国内送料]]/0.8,-1)</f>
        <v/>
      </c>
      <c r="V274" s="289">
        <f>商品マスタ[[#This Row],[海外定価
（20％）]]-商品マスタ[[#This Row],[仕入単価+国内送料]]</f>
        <v/>
      </c>
      <c r="W274" s="167">
        <f>ROUNDUP(商品マスタ[[#This Row],[仕入単価+国内送料]]/0.85,-1)</f>
        <v/>
      </c>
      <c r="X274" s="289">
        <f>商品マスタ[[#This Row],[国内定価
（15％）]]-商品マスタ[[#This Row],[仕入単価+国内送料]]</f>
        <v/>
      </c>
      <c r="Y274" s="139" t="n">
        <v>0.08</v>
      </c>
      <c r="Z274" s="167" t="n"/>
      <c r="AA274" s="167" t="n"/>
      <c r="AB274" s="167" t="n"/>
      <c r="AC274" s="293" t="n"/>
      <c r="AD274" s="167" t="n"/>
      <c r="AE274" s="167" t="n"/>
      <c r="AF274" s="167" t="n"/>
      <c r="AG274" s="144" t="n"/>
    </row>
    <row r="275" ht="18" customHeight="1" s="207">
      <c r="A275" s="166" t="inlineStr">
        <is>
          <t>水産</t>
        </is>
      </c>
      <c r="B275" s="167" t="inlineStr">
        <is>
          <t>水産物</t>
        </is>
      </c>
      <c r="C275" s="167" t="inlineStr">
        <is>
          <t>三海幸</t>
        </is>
      </c>
      <c r="D275" s="143">
        <f>"PRD_SNJ_"&amp;
_xlfn.XLOOKUP(商品マスタ[[#This Row],[仕入先]],テーブル1[仕入先名],テーブル1[仕入先コード],"XXX",0,1)&amp;
"_"&amp;
商品マスタ[[#This Row],[シリアル]]&amp;
"_"&amp;
TEXT(COUNTIFS(商品マスタ!$C$3:C275,商品マスタ[[#This Row],[仕入先]],商品マスタ!$E$3:E275,商品マスタ[[#This Row],[商品名]]), "00")</f>
        <v/>
      </c>
      <c r="E275" s="167" t="inlineStr">
        <is>
          <t>がっつりチーズのやわらかイカ</t>
        </is>
      </c>
      <c r="F275" s="167">
        <f>IF(COUNTIFS($C$3:C275,商品マスタ[[#This Row],[仕入先]],$E$3:E275,商品マスタ[[#This Row],[商品名]]) = 1, 1,0)</f>
        <v/>
      </c>
      <c r="G275" s="133">
        <f>TEXT(SUMIF($C$3:C275,商品マスタ[[#This Row],[仕入先]],$F$3:F275), "0000")</f>
        <v/>
      </c>
      <c r="H275" s="167" t="inlineStr">
        <is>
          <t>個</t>
        </is>
      </c>
      <c r="I275" s="167" t="n"/>
      <c r="J275" s="167" t="n"/>
      <c r="K275" s="167" t="n"/>
      <c r="L275" s="289" t="n">
        <v>300</v>
      </c>
      <c r="M275" s="157" t="n"/>
      <c r="N275" s="289" t="n"/>
      <c r="O275" s="290">
        <f>IF(COUNT(商品マスタ[[#This Row],[参考上代
（税込)]]) &gt; 0, (商品マスタ[[#This Row],[参考上代
（税込)]]-商品マスタ[[#This Row],[国内定価
（15％）]])/(商品マスタ[[#This Row],[参考上代
（税込)]]/1.08), "")</f>
        <v/>
      </c>
      <c r="P275" s="136" t="n">
        <v>0.1</v>
      </c>
      <c r="Q275" s="291">
        <f>商品マスタ[[#This Row],[仕入
単価]]*商品マスタ[[#This Row],[標準国内送料率]]</f>
        <v/>
      </c>
      <c r="R275" s="289" t="n"/>
      <c r="S275" s="289">
        <f>IF(ISBLANK(商品マスタ[[#This Row],[実績
国内送料]]),商品マスタ[[#This Row],[標準国内送料]],)</f>
        <v/>
      </c>
      <c r="T275" s="289">
        <f>商品マスタ[[#This Row],[仕入
単価]]+商品マスタ[[#This Row],[国内送料]]</f>
        <v/>
      </c>
      <c r="U275" s="289">
        <f>ROUNDUP(商品マスタ[[#This Row],[仕入単価+国内送料]]/0.8,-1)</f>
        <v/>
      </c>
      <c r="V275" s="289">
        <f>商品マスタ[[#This Row],[海外定価
（20％）]]-商品マスタ[[#This Row],[仕入単価+国内送料]]</f>
        <v/>
      </c>
      <c r="W275" s="167">
        <f>ROUNDUP(商品マスタ[[#This Row],[仕入単価+国内送料]]/0.85,-1)</f>
        <v/>
      </c>
      <c r="X275" s="289">
        <f>商品マスタ[[#This Row],[国内定価
（15％）]]-商品マスタ[[#This Row],[仕入単価+国内送料]]</f>
        <v/>
      </c>
      <c r="Y275" s="139" t="n">
        <v>0.08</v>
      </c>
      <c r="Z275" s="167" t="n"/>
      <c r="AA275" s="167" t="n"/>
      <c r="AB275" s="167" t="n"/>
      <c r="AC275" s="293" t="n"/>
      <c r="AD275" s="167" t="n"/>
      <c r="AE275" s="167" t="n"/>
      <c r="AF275" s="167" t="n"/>
      <c r="AG275" s="144" t="n"/>
    </row>
    <row r="276" ht="18" customHeight="1" s="207">
      <c r="A276" s="166" t="inlineStr">
        <is>
          <t>水産</t>
        </is>
      </c>
      <c r="B276" s="167" t="inlineStr">
        <is>
          <t>水産物</t>
        </is>
      </c>
      <c r="C276" s="167" t="inlineStr">
        <is>
          <t>佐藤水産</t>
        </is>
      </c>
      <c r="D276" s="143">
        <f>"PRD_SNJ_"&amp;
_xlfn.XLOOKUP(商品マスタ[[#This Row],[仕入先]],テーブル1[仕入先名],テーブル1[仕入先コード],"XXX",0,1)&amp;
"_"&amp;
商品マスタ[[#This Row],[シリアル]]&amp;
"_"&amp;
TEXT(COUNTIFS(商品マスタ!$C$3:C276,商品マスタ[[#This Row],[仕入先]],商品マスタ!$E$3:E276,商品マスタ[[#This Row],[商品名]]), "00")</f>
        <v/>
      </c>
      <c r="E276" s="167" t="inlineStr">
        <is>
          <t>サーモンソーセージ</t>
        </is>
      </c>
      <c r="F276" s="167">
        <f>IF(COUNTIFS($C$3:C276,商品マスタ[[#This Row],[仕入先]],$E$3:E276,商品マスタ[[#This Row],[商品名]]) = 1, 1,0)</f>
        <v/>
      </c>
      <c r="G276" s="133">
        <f>TEXT(SUMIF($C$3:C276,商品マスタ[[#This Row],[仕入先]],$F$3:F276), "0000")</f>
        <v/>
      </c>
      <c r="H276" s="167" t="inlineStr">
        <is>
          <t>個</t>
        </is>
      </c>
      <c r="I276" s="167" t="n"/>
      <c r="J276" s="167" t="n"/>
      <c r="K276" s="167" t="n"/>
      <c r="L276" s="289" t="n">
        <v>120</v>
      </c>
      <c r="M276" s="157" t="n"/>
      <c r="N276" s="289" t="n"/>
      <c r="O276" s="290">
        <f>IF(COUNT(商品マスタ[[#This Row],[参考上代
（税込)]]) &gt; 0, (商品マスタ[[#This Row],[参考上代
（税込)]]-商品マスタ[[#This Row],[国内定価
（15％）]])/(商品マスタ[[#This Row],[参考上代
（税込)]]/1.08), "")</f>
        <v/>
      </c>
      <c r="P276" s="136" t="n">
        <v>0.1</v>
      </c>
      <c r="Q276" s="291">
        <f>商品マスタ[[#This Row],[仕入
単価]]*商品マスタ[[#This Row],[標準国内送料率]]</f>
        <v/>
      </c>
      <c r="R276" s="289" t="n"/>
      <c r="S276" s="289">
        <f>IF(ISBLANK(商品マスタ[[#This Row],[実績
国内送料]]),商品マスタ[[#This Row],[標準国内送料]],)</f>
        <v/>
      </c>
      <c r="T276" s="289">
        <f>商品マスタ[[#This Row],[仕入
単価]]+商品マスタ[[#This Row],[国内送料]]</f>
        <v/>
      </c>
      <c r="U276" s="289">
        <f>ROUNDUP(商品マスタ[[#This Row],[仕入単価+国内送料]]/0.8,-1)</f>
        <v/>
      </c>
      <c r="V276" s="289">
        <f>商品マスタ[[#This Row],[海外定価
（20％）]]-商品マスタ[[#This Row],[仕入単価+国内送料]]</f>
        <v/>
      </c>
      <c r="W276" s="167">
        <f>ROUNDUP(商品マスタ[[#This Row],[仕入単価+国内送料]]/0.85,-1)</f>
        <v/>
      </c>
      <c r="X276" s="289">
        <f>商品マスタ[[#This Row],[国内定価
（15％）]]-商品マスタ[[#This Row],[仕入単価+国内送料]]</f>
        <v/>
      </c>
      <c r="Y276" s="139" t="n">
        <v>0.08</v>
      </c>
      <c r="Z276" s="167" t="n"/>
      <c r="AA276" s="167" t="n"/>
      <c r="AB276" s="167" t="n"/>
      <c r="AC276" s="293" t="n"/>
      <c r="AD276" s="167" t="n"/>
      <c r="AE276" s="167" t="n"/>
      <c r="AF276" s="167" t="n"/>
      <c r="AG276" s="144" t="n"/>
    </row>
    <row r="277" ht="18" customHeight="1" s="207">
      <c r="A277" s="166" t="inlineStr">
        <is>
          <t>水産</t>
        </is>
      </c>
      <c r="B277" s="167" t="inlineStr">
        <is>
          <t>水産物</t>
        </is>
      </c>
      <c r="C277" s="167" t="inlineStr">
        <is>
          <t>佐藤水産</t>
        </is>
      </c>
      <c r="D277" s="143">
        <f>"PRD_SNJ_"&amp;
_xlfn.XLOOKUP(商品マスタ[[#This Row],[仕入先]],テーブル1[仕入先名],テーブル1[仕入先コード],"XXX",0,1)&amp;
"_"&amp;
商品マスタ[[#This Row],[シリアル]]&amp;
"_"&amp;
TEXT(COUNTIFS(商品マスタ!$C$3:C277,商品マスタ[[#This Row],[仕入先]],商品マスタ!$E$3:E277,商品マスタ[[#This Row],[商品名]]), "00")</f>
        <v/>
      </c>
      <c r="E277" s="167" t="inlineStr">
        <is>
          <t>酒の肴シリーズ鮭ちっぷ</t>
        </is>
      </c>
      <c r="F277" s="167">
        <f>IF(COUNTIFS($C$3:C277,商品マスタ[[#This Row],[仕入先]],$E$3:E277,商品マスタ[[#This Row],[商品名]]) = 1, 1,0)</f>
        <v/>
      </c>
      <c r="G277" s="133">
        <f>TEXT(SUMIF($C$3:C277,商品マスタ[[#This Row],[仕入先]],$F$3:F277), "0000")</f>
        <v/>
      </c>
      <c r="H277" s="167" t="inlineStr">
        <is>
          <t>個</t>
        </is>
      </c>
      <c r="I277" s="167" t="n"/>
      <c r="J277" s="167" t="n"/>
      <c r="K277" s="167" t="n"/>
      <c r="L277" s="289" t="n">
        <v>300</v>
      </c>
      <c r="M277" s="157" t="n"/>
      <c r="N277" s="289" t="n"/>
      <c r="O277" s="290">
        <f>IF(COUNT(商品マスタ[[#This Row],[参考上代
（税込)]]) &gt; 0, (商品マスタ[[#This Row],[参考上代
（税込)]]-商品マスタ[[#This Row],[国内定価
（15％）]])/(商品マスタ[[#This Row],[参考上代
（税込)]]/1.08), "")</f>
        <v/>
      </c>
      <c r="P277" s="136" t="n">
        <v>0.1</v>
      </c>
      <c r="Q277" s="291">
        <f>商品マスタ[[#This Row],[仕入
単価]]*商品マスタ[[#This Row],[標準国内送料率]]</f>
        <v/>
      </c>
      <c r="R277" s="289" t="n"/>
      <c r="S277" s="289">
        <f>IF(ISBLANK(商品マスタ[[#This Row],[実績
国内送料]]),商品マスタ[[#This Row],[標準国内送料]],)</f>
        <v/>
      </c>
      <c r="T277" s="289">
        <f>商品マスタ[[#This Row],[仕入
単価]]+商品マスタ[[#This Row],[国内送料]]</f>
        <v/>
      </c>
      <c r="U277" s="289">
        <f>ROUNDUP(商品マスタ[[#This Row],[仕入単価+国内送料]]/0.8,-1)</f>
        <v/>
      </c>
      <c r="V277" s="289">
        <f>商品マスタ[[#This Row],[海外定価
（20％）]]-商品マスタ[[#This Row],[仕入単価+国内送料]]</f>
        <v/>
      </c>
      <c r="W277" s="167">
        <f>ROUNDUP(商品マスタ[[#This Row],[仕入単価+国内送料]]/0.85,-1)</f>
        <v/>
      </c>
      <c r="X277" s="289">
        <f>商品マスタ[[#This Row],[国内定価
（15％）]]-商品マスタ[[#This Row],[仕入単価+国内送料]]</f>
        <v/>
      </c>
      <c r="Y277" s="139" t="n">
        <v>0.08</v>
      </c>
      <c r="Z277" s="167" t="n"/>
      <c r="AA277" s="167" t="n"/>
      <c r="AB277" s="167" t="n"/>
      <c r="AC277" s="293" t="n"/>
      <c r="AD277" s="167" t="n"/>
      <c r="AE277" s="167" t="n"/>
      <c r="AF277" s="167" t="n"/>
      <c r="AG277" s="144" t="n"/>
    </row>
    <row r="278" ht="18" customHeight="1" s="207">
      <c r="A278" s="166" t="inlineStr">
        <is>
          <t>水産</t>
        </is>
      </c>
      <c r="B278" s="167" t="inlineStr">
        <is>
          <t>水産物</t>
        </is>
      </c>
      <c r="C278" s="167" t="inlineStr">
        <is>
          <t>佐藤水産</t>
        </is>
      </c>
      <c r="D278" s="143">
        <f>"PRD_SNJ_"&amp;
_xlfn.XLOOKUP(商品マスタ[[#This Row],[仕入先]],テーブル1[仕入先名],テーブル1[仕入先コード],"XXX",0,1)&amp;
"_"&amp;
商品マスタ[[#This Row],[シリアル]]&amp;
"_"&amp;
TEXT(COUNTIFS(商品マスタ!$C$3:C278,商品マスタ[[#This Row],[仕入先]],商品マスタ!$E$3:E278,商品マスタ[[#This Row],[商品名]]), "00")</f>
        <v/>
      </c>
      <c r="E278" s="167" t="inlineStr">
        <is>
          <t>酒の肴シリーズ鮭ジャーキー</t>
        </is>
      </c>
      <c r="F278" s="167">
        <f>IF(COUNTIFS($C$3:C278,商品マスタ[[#This Row],[仕入先]],$E$3:E278,商品マスタ[[#This Row],[商品名]]) = 1, 1,0)</f>
        <v/>
      </c>
      <c r="G278" s="133">
        <f>TEXT(SUMIF($C$3:C278,商品マスタ[[#This Row],[仕入先]],$F$3:F278), "0000")</f>
        <v/>
      </c>
      <c r="H278" s="167" t="inlineStr">
        <is>
          <t>個</t>
        </is>
      </c>
      <c r="I278" s="167" t="n"/>
      <c r="J278" s="167" t="n"/>
      <c r="K278" s="167" t="n"/>
      <c r="L278" s="289" t="n">
        <v>300</v>
      </c>
      <c r="M278" s="157" t="n"/>
      <c r="N278" s="289" t="n"/>
      <c r="O278" s="290">
        <f>IF(COUNT(商品マスタ[[#This Row],[参考上代
（税込)]]) &gt; 0, (商品マスタ[[#This Row],[参考上代
（税込)]]-商品マスタ[[#This Row],[国内定価
（15％）]])/(商品マスタ[[#This Row],[参考上代
（税込)]]/1.08), "")</f>
        <v/>
      </c>
      <c r="P278" s="136" t="n">
        <v>0.1</v>
      </c>
      <c r="Q278" s="291">
        <f>商品マスタ[[#This Row],[仕入
単価]]*商品マスタ[[#This Row],[標準国内送料率]]</f>
        <v/>
      </c>
      <c r="R278" s="289" t="n"/>
      <c r="S278" s="289">
        <f>IF(ISBLANK(商品マスタ[[#This Row],[実績
国内送料]]),商品マスタ[[#This Row],[標準国内送料]],)</f>
        <v/>
      </c>
      <c r="T278" s="289">
        <f>商品マスタ[[#This Row],[仕入
単価]]+商品マスタ[[#This Row],[国内送料]]</f>
        <v/>
      </c>
      <c r="U278" s="289">
        <f>ROUNDUP(商品マスタ[[#This Row],[仕入単価+国内送料]]/0.8,-1)</f>
        <v/>
      </c>
      <c r="V278" s="289">
        <f>商品マスタ[[#This Row],[海外定価
（20％）]]-商品マスタ[[#This Row],[仕入単価+国内送料]]</f>
        <v/>
      </c>
      <c r="W278" s="167">
        <f>ROUNDUP(商品マスタ[[#This Row],[仕入単価+国内送料]]/0.85,-1)</f>
        <v/>
      </c>
      <c r="X278" s="289">
        <f>商品マスタ[[#This Row],[国内定価
（15％）]]-商品マスタ[[#This Row],[仕入単価+国内送料]]</f>
        <v/>
      </c>
      <c r="Y278" s="139" t="n">
        <v>0.08</v>
      </c>
      <c r="Z278" s="167" t="n"/>
      <c r="AA278" s="167" t="n"/>
      <c r="AB278" s="167" t="n"/>
      <c r="AC278" s="293" t="n"/>
      <c r="AD278" s="167" t="n"/>
      <c r="AE278" s="167" t="n"/>
      <c r="AF278" s="167" t="n"/>
      <c r="AG278" s="144" t="n"/>
    </row>
    <row r="279" ht="18" customHeight="1" s="207">
      <c r="A279" s="166" t="inlineStr">
        <is>
          <t>水産</t>
        </is>
      </c>
      <c r="B279" s="167" t="inlineStr">
        <is>
          <t>水産物</t>
        </is>
      </c>
      <c r="C279" s="167" t="inlineStr">
        <is>
          <t>マルトシ吉野商店</t>
        </is>
      </c>
      <c r="D279" s="143">
        <f>"PRD_SNJ_"&amp;
_xlfn.XLOOKUP(商品マスタ[[#This Row],[仕入先]],テーブル1[仕入先名],テーブル1[仕入先コード],"XXX",0,1)&amp;
"_"&amp;
商品マスタ[[#This Row],[シリアル]]&amp;
"_"&amp;
TEXT(COUNTIFS(商品マスタ!$C$3:C279,商品マスタ[[#This Row],[仕入先]],商品マスタ!$E$3:E279,商品マスタ[[#This Row],[商品名]]), "00")</f>
        <v/>
      </c>
      <c r="E279" s="167" t="inlineStr">
        <is>
          <t>鮭寿荒ほぐし100ｇ</t>
        </is>
      </c>
      <c r="F279" s="167">
        <f>IF(COUNTIFS($C$3:C279,商品マスタ[[#This Row],[仕入先]],$E$3:E279,商品マスタ[[#This Row],[商品名]]) = 1, 1,0)</f>
        <v/>
      </c>
      <c r="G279" s="133">
        <f>TEXT(SUMIF($C$3:C279,商品マスタ[[#This Row],[仕入先]],$F$3:F279), "0000")</f>
        <v/>
      </c>
      <c r="H279" s="167" t="inlineStr">
        <is>
          <t>個</t>
        </is>
      </c>
      <c r="I279" s="167" t="n"/>
      <c r="J279" s="167" t="n"/>
      <c r="K279" s="167" t="n"/>
      <c r="L279" s="289" t="n">
        <v>780</v>
      </c>
      <c r="M279" s="157" t="n"/>
      <c r="N279" s="289" t="n"/>
      <c r="O279" s="290">
        <f>IF(COUNT(商品マスタ[[#This Row],[参考上代
（税込)]]) &gt; 0, (商品マスタ[[#This Row],[参考上代
（税込)]]-商品マスタ[[#This Row],[国内定価
（15％）]])/(商品マスタ[[#This Row],[参考上代
（税込)]]/1.08), "")</f>
        <v/>
      </c>
      <c r="P279" s="136" t="n">
        <v>0.1</v>
      </c>
      <c r="Q279" s="291">
        <f>商品マスタ[[#This Row],[仕入
単価]]*商品マスタ[[#This Row],[標準国内送料率]]</f>
        <v/>
      </c>
      <c r="R279" s="289" t="n"/>
      <c r="S279" s="289">
        <f>IF(ISBLANK(商品マスタ[[#This Row],[実績
国内送料]]),商品マスタ[[#This Row],[標準国内送料]],)</f>
        <v/>
      </c>
      <c r="T279" s="289">
        <f>商品マスタ[[#This Row],[仕入
単価]]+商品マスタ[[#This Row],[国内送料]]</f>
        <v/>
      </c>
      <c r="U279" s="289">
        <f>ROUNDUP(商品マスタ[[#This Row],[仕入単価+国内送料]]/0.8,-1)</f>
        <v/>
      </c>
      <c r="V279" s="289">
        <f>商品マスタ[[#This Row],[海外定価
（20％）]]-商品マスタ[[#This Row],[仕入単価+国内送料]]</f>
        <v/>
      </c>
      <c r="W279" s="167">
        <f>ROUNDUP(商品マスタ[[#This Row],[仕入単価+国内送料]]/0.85,-1)</f>
        <v/>
      </c>
      <c r="X279" s="289">
        <f>商品マスタ[[#This Row],[国内定価
（15％）]]-商品マスタ[[#This Row],[仕入単価+国内送料]]</f>
        <v/>
      </c>
      <c r="Y279" s="139" t="n">
        <v>0.08</v>
      </c>
      <c r="Z279" s="167" t="n"/>
      <c r="AA279" s="167" t="n"/>
      <c r="AB279" s="167" t="n"/>
      <c r="AC279" s="293" t="n"/>
      <c r="AD279" s="167" t="n"/>
      <c r="AE279" s="167" t="n"/>
      <c r="AF279" s="167" t="n"/>
      <c r="AG279" s="144" t="n"/>
    </row>
    <row r="280" ht="18" customHeight="1" s="207">
      <c r="A280" s="166" t="inlineStr">
        <is>
          <t>水産</t>
        </is>
      </c>
      <c r="B280" s="167" t="inlineStr">
        <is>
          <t>水産物</t>
        </is>
      </c>
      <c r="C280" s="167" t="inlineStr">
        <is>
          <t>マルトシ吉野商店</t>
        </is>
      </c>
      <c r="D280" s="143">
        <f>"PRD_SNJ_"&amp;
_xlfn.XLOOKUP(商品マスタ[[#This Row],[仕入先]],テーブル1[仕入先名],テーブル1[仕入先コード],"XXX",0,1)&amp;
"_"&amp;
商品マスタ[[#This Row],[シリアル]]&amp;
"_"&amp;
TEXT(COUNTIFS(商品マスタ!$C$3:C280,商品マスタ[[#This Row],[仕入先]],商品マスタ!$E$3:E280,商品マスタ[[#This Row],[商品名]]), "00")</f>
        <v/>
      </c>
      <c r="E280" s="167" t="inlineStr">
        <is>
          <t>送料差額</t>
        </is>
      </c>
      <c r="F280" s="167">
        <f>IF(COUNTIFS($C$3:C280,商品マスタ[[#This Row],[仕入先]],$E$3:E280,商品マスタ[[#This Row],[商品名]]) = 1, 1,0)</f>
        <v/>
      </c>
      <c r="G280" s="133">
        <f>TEXT(SUMIF($C$3:C280,商品マスタ[[#This Row],[仕入先]],$F$3:F280), "0000")</f>
        <v/>
      </c>
      <c r="H280" s="167" t="inlineStr">
        <is>
          <t>式</t>
        </is>
      </c>
      <c r="I280" s="167" t="n"/>
      <c r="J280" s="167" t="n"/>
      <c r="K280" s="167" t="n"/>
      <c r="L280" s="289" t="n"/>
      <c r="M280" s="157" t="n"/>
      <c r="N280" s="289" t="n"/>
      <c r="O280" s="290">
        <f>IF(COUNT(商品マスタ[[#This Row],[参考上代
（税込)]]) &gt; 0, (商品マスタ[[#This Row],[参考上代
（税込)]]-商品マスタ[[#This Row],[国内定価
（15％）]])/(商品マスタ[[#This Row],[参考上代
（税込)]]/1.08), "")</f>
        <v/>
      </c>
      <c r="P280" s="136" t="n">
        <v>0.1</v>
      </c>
      <c r="Q280" s="291">
        <f>商品マスタ[[#This Row],[仕入
単価]]*商品マスタ[[#This Row],[標準国内送料率]]</f>
        <v/>
      </c>
      <c r="R280" s="289" t="n"/>
      <c r="S280" s="289">
        <f>IF(ISBLANK(商品マスタ[[#This Row],[実績
国内送料]]),商品マスタ[[#This Row],[標準国内送料]],)</f>
        <v/>
      </c>
      <c r="T280" s="289">
        <f>商品マスタ[[#This Row],[仕入
単価]]+商品マスタ[[#This Row],[国内送料]]</f>
        <v/>
      </c>
      <c r="U280" s="289">
        <f>ROUNDUP(商品マスタ[[#This Row],[仕入単価+国内送料]]/0.8,-1)</f>
        <v/>
      </c>
      <c r="V280" s="289">
        <f>商品マスタ[[#This Row],[海外定価
（20％）]]-商品マスタ[[#This Row],[仕入単価+国内送料]]</f>
        <v/>
      </c>
      <c r="W280" s="167">
        <f>ROUNDUP(商品マスタ[[#This Row],[仕入単価+国内送料]]/0.85,-1)</f>
        <v/>
      </c>
      <c r="X280" s="289">
        <f>商品マスタ[[#This Row],[国内定価
（15％）]]-商品マスタ[[#This Row],[仕入単価+国内送料]]</f>
        <v/>
      </c>
      <c r="Y280" s="139" t="n">
        <v>0.08</v>
      </c>
      <c r="Z280" s="167" t="n"/>
      <c r="AA280" s="167" t="n"/>
      <c r="AB280" s="167" t="n"/>
      <c r="AC280" s="293" t="n"/>
      <c r="AD280" s="167" t="n"/>
      <c r="AE280" s="167" t="n"/>
      <c r="AF280" s="167" t="n"/>
      <c r="AG280" s="144" t="n"/>
    </row>
    <row r="281" ht="18" customHeight="1" s="207">
      <c r="A281" s="166" t="inlineStr">
        <is>
          <t>青果</t>
        </is>
      </c>
      <c r="B281" s="167" t="inlineStr">
        <is>
          <t>野菜</t>
        </is>
      </c>
      <c r="C281" s="167" t="inlineStr">
        <is>
          <t>にんにく種蔵</t>
        </is>
      </c>
      <c r="D281" s="143">
        <f>"PRD_SNJ_"&amp;
_xlfn.XLOOKUP(商品マスタ[[#This Row],[仕入先]],テーブル1[仕入先名],テーブル1[仕入先コード],"XXX",0,1)&amp;
"_"&amp;
商品マスタ[[#This Row],[シリアル]]&amp;
"_"&amp;
TEXT(COUNTIFS(商品マスタ!$C$3:C281,商品マスタ[[#This Row],[仕入先]],商品マスタ!$E$3:E281,商品マスタ[[#This Row],[商品名]]), "00")</f>
        <v/>
      </c>
      <c r="E281" s="167" t="inlineStr">
        <is>
          <t>にんスコ</t>
        </is>
      </c>
      <c r="F281" s="167">
        <f>IF(COUNTIFS($C$3:C281,商品マスタ[[#This Row],[仕入先]],$E$3:E281,商品マスタ[[#This Row],[商品名]]) = 1, 1,0)</f>
        <v/>
      </c>
      <c r="G281" s="133">
        <f>TEXT(SUMIF($C$3:C281,商品マスタ[[#This Row],[仕入先]],$F$3:F281), "0000")</f>
        <v/>
      </c>
      <c r="H281" s="167" t="inlineStr">
        <is>
          <t>瓶</t>
        </is>
      </c>
      <c r="I281" s="167" t="n"/>
      <c r="J281" s="167" t="n"/>
      <c r="K281" s="167" t="n"/>
      <c r="L281" s="289" t="n">
        <v>456</v>
      </c>
      <c r="M281" s="157" t="n"/>
      <c r="N281" s="289" t="n"/>
      <c r="O281" s="290">
        <f>IF(COUNT(商品マスタ[[#This Row],[参考上代
（税込)]]) &gt; 0, (商品マスタ[[#This Row],[参考上代
（税込)]]-商品マスタ[[#This Row],[国内定価
（15％）]])/(商品マスタ[[#This Row],[参考上代
（税込)]]/1.08), "")</f>
        <v/>
      </c>
      <c r="P281" s="136" t="n">
        <v>0.1</v>
      </c>
      <c r="Q281" s="291">
        <f>商品マスタ[[#This Row],[仕入
単価]]*商品マスタ[[#This Row],[標準国内送料率]]</f>
        <v/>
      </c>
      <c r="R281" s="289" t="n"/>
      <c r="S281" s="289">
        <f>IF(ISBLANK(商品マスタ[[#This Row],[実績
国内送料]]),商品マスタ[[#This Row],[標準国内送料]],)</f>
        <v/>
      </c>
      <c r="T281" s="289">
        <f>商品マスタ[[#This Row],[仕入
単価]]+商品マスタ[[#This Row],[国内送料]]</f>
        <v/>
      </c>
      <c r="U281" s="289">
        <f>ROUNDUP(商品マスタ[[#This Row],[仕入単価+国内送料]]/0.8,-1)</f>
        <v/>
      </c>
      <c r="V281" s="289">
        <f>商品マスタ[[#This Row],[海外定価
（20％）]]-商品マスタ[[#This Row],[仕入単価+国内送料]]</f>
        <v/>
      </c>
      <c r="W281" s="167">
        <f>ROUNDUP(商品マスタ[[#This Row],[仕入単価+国内送料]]/0.85,-1)</f>
        <v/>
      </c>
      <c r="X281" s="289">
        <f>商品マスタ[[#This Row],[国内定価
（15％）]]-商品マスタ[[#This Row],[仕入単価+国内送料]]</f>
        <v/>
      </c>
      <c r="Y281" s="139" t="n">
        <v>0.08</v>
      </c>
      <c r="Z281" s="167" t="n"/>
      <c r="AA281" s="167" t="n"/>
      <c r="AB281" s="167" t="n"/>
      <c r="AC281" s="293" t="n"/>
      <c r="AD281" s="167" t="n"/>
      <c r="AE281" s="167" t="n"/>
      <c r="AF281" s="167" t="n"/>
      <c r="AG281" s="144" t="n"/>
    </row>
    <row r="282" ht="18" customHeight="1" s="207">
      <c r="A282" s="166" t="inlineStr">
        <is>
          <t>精肉</t>
        </is>
      </c>
      <c r="B282" s="167" t="inlineStr">
        <is>
          <t>和牛</t>
        </is>
      </c>
      <c r="C282" s="167" t="inlineStr">
        <is>
          <t>GOODGOOD</t>
        </is>
      </c>
      <c r="D282" s="143">
        <f>"PRD_SNJ_"&amp;
_xlfn.XLOOKUP(商品マスタ[[#This Row],[仕入先]],テーブル1[仕入先名],テーブル1[仕入先コード],"XXX",0,1)&amp;
"_"&amp;
商品マスタ[[#This Row],[シリアル]]&amp;
"_"&amp;
TEXT(COUNTIFS(商品マスタ!$C$3:C282,商品マスタ[[#This Row],[仕入先]],商品マスタ!$E$3:E282,商品マスタ[[#This Row],[商品名]]), "00")</f>
        <v/>
      </c>
      <c r="E282" s="167" t="inlineStr">
        <is>
          <t>牧草あか牛　牛脂（チチカブ）</t>
        </is>
      </c>
      <c r="F282" s="167">
        <f>IF(COUNTIFS($C$3:C282,商品マスタ[[#This Row],[仕入先]],$E$3:E282,商品マスタ[[#This Row],[商品名]]) = 1, 1,0)</f>
        <v/>
      </c>
      <c r="G282" s="133">
        <f>TEXT(SUMIF($C$3:C282,商品マスタ[[#This Row],[仕入先]],$F$3:F282), "0000")</f>
        <v/>
      </c>
      <c r="H282" s="167" t="inlineStr">
        <is>
          <t>セット</t>
        </is>
      </c>
      <c r="I282" s="167" t="inlineStr">
        <is>
          <t>4kg</t>
        </is>
      </c>
      <c r="J282" s="167" t="n">
        <v>1</v>
      </c>
      <c r="K282" s="167" t="n"/>
      <c r="L282" s="289" t="n">
        <v>2000</v>
      </c>
      <c r="M282" s="157" t="n"/>
      <c r="N282" s="289" t="n"/>
      <c r="O282" s="290">
        <f>IF(COUNT(商品マスタ[[#This Row],[参考上代
（税込)]]) &gt; 0, (商品マスタ[[#This Row],[参考上代
（税込)]]-商品マスタ[[#This Row],[国内定価
（15％）]])/(商品マスタ[[#This Row],[参考上代
（税込)]]/1.08), "")</f>
        <v/>
      </c>
      <c r="P282" s="136" t="n">
        <v>0.1</v>
      </c>
      <c r="Q282" s="291">
        <f>商品マスタ[[#This Row],[仕入
単価]]*商品マスタ[[#This Row],[標準国内送料率]]</f>
        <v/>
      </c>
      <c r="R282" s="289" t="n">
        <v>0</v>
      </c>
      <c r="S282" s="289">
        <f>IF(ISBLANK(商品マスタ[[#This Row],[実績
国内送料]]),商品マスタ[[#This Row],[標準国内送料]],)</f>
        <v/>
      </c>
      <c r="T282" s="289">
        <f>商品マスタ[[#This Row],[仕入
単価]]+商品マスタ[[#This Row],[国内送料]]</f>
        <v/>
      </c>
      <c r="U282" s="289">
        <f>ROUNDUP(商品マスタ[[#This Row],[仕入単価+国内送料]]/0.8,-1)</f>
        <v/>
      </c>
      <c r="V282" s="289">
        <f>商品マスタ[[#This Row],[海外定価
（20％）]]-商品マスタ[[#This Row],[仕入単価+国内送料]]</f>
        <v/>
      </c>
      <c r="W282" s="167">
        <f>ROUNDUP(商品マスタ[[#This Row],[仕入単価+国内送料]]/0.85,-1)</f>
        <v/>
      </c>
      <c r="X282" s="289">
        <f>商品マスタ[[#This Row],[国内定価
（15％）]]-商品マスタ[[#This Row],[仕入単価+国内送料]]</f>
        <v/>
      </c>
      <c r="Y282" s="139" t="n">
        <v>0.08</v>
      </c>
      <c r="Z282" s="167" t="n"/>
      <c r="AA282" s="167" t="n"/>
      <c r="AB282" s="167" t="n"/>
      <c r="AC282" s="293" t="n"/>
      <c r="AD282" s="167" t="n"/>
      <c r="AE282" s="167" t="n"/>
      <c r="AF282" s="167" t="n"/>
      <c r="AG282" s="144" t="n"/>
    </row>
    <row r="283" ht="18" customHeight="1" s="207">
      <c r="A283" s="166" t="inlineStr">
        <is>
          <t>菓子</t>
        </is>
      </c>
      <c r="B283" s="167" t="inlineStr">
        <is>
          <t>洋菓子</t>
        </is>
      </c>
      <c r="C283" s="167" t="inlineStr">
        <is>
          <t>コットンクラブ</t>
        </is>
      </c>
      <c r="D283" s="143">
        <f>"PRD_SNJ_"&amp;
_xlfn.XLOOKUP(商品マスタ[[#This Row],[仕入先]],テーブル1[仕入先名],テーブル1[仕入先コード],"XXX",0,1)&amp;
"_"&amp;
商品マスタ[[#This Row],[シリアル]]&amp;
"_"&amp;
TEXT(COUNTIFS(商品マスタ!$C$3:C283,商品マスタ[[#This Row],[仕入先]],商品マスタ!$E$3:E283,商品マスタ[[#This Row],[商品名]]), "00")</f>
        <v/>
      </c>
      <c r="E283" s="167" t="inlineStr">
        <is>
          <t>和歌山のほんまもんの炭　紀州備長炭　中丸</t>
        </is>
      </c>
      <c r="F283" s="167">
        <f>IF(COUNTIFS($C$3:C283,商品マスタ[[#This Row],[仕入先]],$E$3:E283,商品マスタ[[#This Row],[商品名]]) = 1, 1,0)</f>
        <v/>
      </c>
      <c r="G283" s="133">
        <f>TEXT(SUMIF($C$3:C283,商品マスタ[[#This Row],[仕入先]],$F$3:F283), "0000")</f>
        <v/>
      </c>
      <c r="H283" s="167" t="inlineStr">
        <is>
          <t>kg</t>
        </is>
      </c>
      <c r="I283" s="167" t="n"/>
      <c r="J283" s="167" t="n"/>
      <c r="K283" s="167" t="n"/>
      <c r="L283" s="289" t="n">
        <v>1767</v>
      </c>
      <c r="M283" s="157" t="n"/>
      <c r="N283" s="289" t="n"/>
      <c r="O283" s="290">
        <f>IF(COUNT(商品マスタ[[#This Row],[参考上代
（税込)]]) &gt; 0, (商品マスタ[[#This Row],[参考上代
（税込)]]-商品マスタ[[#This Row],[国内定価
（15％）]])/(商品マスタ[[#This Row],[参考上代
（税込)]]/1.08), "")</f>
        <v/>
      </c>
      <c r="P283" s="136" t="n">
        <v>0.1</v>
      </c>
      <c r="Q283" s="289">
        <f>商品マスタ[[#This Row],[仕入
単価]]*商品マスタ[[#This Row],[標準国内送料率]]</f>
        <v/>
      </c>
      <c r="R283" s="289" t="n"/>
      <c r="S283" s="289">
        <f>IF(ISBLANK(商品マスタ[[#This Row],[実績
国内送料]]),商品マスタ[[#This Row],[標準国内送料]],)</f>
        <v/>
      </c>
      <c r="T283" s="289">
        <f>商品マスタ[[#This Row],[仕入
単価]]+商品マスタ[[#This Row],[国内送料]]</f>
        <v/>
      </c>
      <c r="U283" s="289">
        <f>ROUNDUP(商品マスタ[[#This Row],[仕入単価+国内送料]]/0.8,-1)</f>
        <v/>
      </c>
      <c r="V283" s="289">
        <f>商品マスタ[[#This Row],[海外定価
（20％）]]-商品マスタ[[#This Row],[仕入単価+国内送料]]</f>
        <v/>
      </c>
      <c r="W283" s="167">
        <f>ROUNDUP(商品マスタ[[#This Row],[仕入単価+国内送料]]/0.85,-1)</f>
        <v/>
      </c>
      <c r="X283" s="289">
        <f>商品マスタ[[#This Row],[国内定価
（15％）]]-商品マスタ[[#This Row],[仕入単価+国内送料]]</f>
        <v/>
      </c>
      <c r="Y283" s="139" t="n">
        <v>0.1</v>
      </c>
      <c r="Z283" s="167" t="n"/>
      <c r="AA283" s="167" t="n"/>
      <c r="AB283" s="167" t="n"/>
      <c r="AC283" s="293" t="n"/>
      <c r="AD283" s="167" t="n"/>
      <c r="AE283" s="167" t="n"/>
      <c r="AF283" s="167" t="n"/>
      <c r="AG283" s="144" t="n"/>
    </row>
    <row r="284" ht="18" customHeight="1" s="207">
      <c r="A284" s="166" t="inlineStr">
        <is>
          <t>加工品</t>
        </is>
      </c>
      <c r="B284" s="167" t="inlineStr">
        <is>
          <t>その他</t>
        </is>
      </c>
      <c r="C284" s="167" t="inlineStr">
        <is>
          <t>ヤマト運輸</t>
        </is>
      </c>
      <c r="D284" s="143">
        <f>"PRD_SNJ_"&amp;
_xlfn.XLOOKUP(商品マスタ[[#This Row],[仕入先]],テーブル1[仕入先名],テーブル1[仕入先コード],"XXX",0,1)&amp;
"_"&amp;
商品マスタ[[#This Row],[シリアル]]&amp;
"_"&amp;
TEXT(COUNTIFS(商品マスタ!$C$3:C284,商品マスタ[[#This Row],[仕入先]],商品マスタ!$E$3:E284,商品マスタ[[#This Row],[商品名]]), "00")</f>
        <v/>
      </c>
      <c r="E284" s="167" t="inlineStr">
        <is>
          <t>送料（120サイズ　関西→北海道）</t>
        </is>
      </c>
      <c r="F284" s="167">
        <f>IF(COUNTIFS($C$3:C284,商品マスタ[[#This Row],[仕入先]],$E$3:E284,商品マスタ[[#This Row],[商品名]]) = 1, 1,0)</f>
        <v/>
      </c>
      <c r="G284" s="133">
        <f>TEXT(SUMIF($C$3:C284,商品マスタ[[#This Row],[仕入先]],$F$3:F284), "0000")</f>
        <v/>
      </c>
      <c r="H284" s="167" t="inlineStr">
        <is>
          <t>式</t>
        </is>
      </c>
      <c r="I284" s="167" t="n"/>
      <c r="J284" s="167" t="n"/>
      <c r="K284" s="167" t="n"/>
      <c r="L284" s="289" t="n">
        <v>2110</v>
      </c>
      <c r="M284" s="157" t="n"/>
      <c r="N284" s="289" t="n"/>
      <c r="O284" s="290">
        <f>IF(COUNT(商品マスタ[[#This Row],[参考上代
（税込)]]) &gt; 0, (商品マスタ[[#This Row],[参考上代
（税込)]]-商品マスタ[[#This Row],[国内定価
（15％）]])/(商品マスタ[[#This Row],[参考上代
（税込)]]/1.08), "")</f>
        <v/>
      </c>
      <c r="P284" s="136" t="n">
        <v>0.1</v>
      </c>
      <c r="Q284" s="289">
        <f>商品マスタ[[#This Row],[仕入
単価]]*商品マスタ[[#This Row],[標準国内送料率]]</f>
        <v/>
      </c>
      <c r="R284" s="289" t="n"/>
      <c r="S284" s="289">
        <f>IF(ISBLANK(商品マスタ[[#This Row],[実績
国内送料]]),商品マスタ[[#This Row],[標準国内送料]],)</f>
        <v/>
      </c>
      <c r="T284" s="289">
        <f>商品マスタ[[#This Row],[仕入
単価]]+商品マスタ[[#This Row],[国内送料]]</f>
        <v/>
      </c>
      <c r="U284" s="289">
        <f>ROUNDUP(商品マスタ[[#This Row],[仕入単価+国内送料]]/0.8,-1)</f>
        <v/>
      </c>
      <c r="V284" s="289">
        <f>商品マスタ[[#This Row],[海外定価
（20％）]]-商品マスタ[[#This Row],[仕入単価+国内送料]]</f>
        <v/>
      </c>
      <c r="W284" s="167">
        <f>ROUNDUP(商品マスタ[[#This Row],[仕入単価+国内送料]]/0.85,-1)</f>
        <v/>
      </c>
      <c r="X284" s="289">
        <f>商品マスタ[[#This Row],[国内定価
（15％）]]-商品マスタ[[#This Row],[仕入単価+国内送料]]</f>
        <v/>
      </c>
      <c r="Y284" s="139" t="n">
        <v>0.1</v>
      </c>
      <c r="Z284" s="167" t="n"/>
      <c r="AA284" s="167" t="n"/>
      <c r="AB284" s="167" t="n"/>
      <c r="AC284" s="293" t="n"/>
      <c r="AD284" s="167" t="n"/>
      <c r="AE284" s="167" t="n"/>
      <c r="AF284" s="167" t="n"/>
      <c r="AG284" s="144" t="n"/>
    </row>
    <row r="285" ht="18" customHeight="1" s="207">
      <c r="A285" s="166" t="inlineStr">
        <is>
          <t>水産</t>
        </is>
      </c>
      <c r="B285" s="167" t="inlineStr">
        <is>
          <t>水産物</t>
        </is>
      </c>
      <c r="C285" s="167" t="inlineStr">
        <is>
          <t>五洋物産</t>
        </is>
      </c>
      <c r="D285" s="143">
        <f>"PRD_SNJ_"&amp;
_xlfn.XLOOKUP(商品マスタ[[#This Row],[仕入先]],テーブル1[仕入先名],テーブル1[仕入先コード],"XXX",0,1)&amp;
"_"&amp;
商品マスタ[[#This Row],[シリアル]]&amp;
"_"&amp;
TEXT(COUNTIFS(商品マスタ!$C$3:C285,商品マスタ[[#This Row],[仕入先]],商品マスタ!$E$3:E285,商品マスタ[[#This Row],[商品名]]), "00")</f>
        <v/>
      </c>
      <c r="E285" s="167" t="inlineStr">
        <is>
          <t xml:space="preserve">じゃがもっち　かに　</t>
        </is>
      </c>
      <c r="F285" s="167">
        <f>IF(COUNTIFS($C$3:C285,商品マスタ[[#This Row],[仕入先]],$E$3:E285,商品マスタ[[#This Row],[商品名]]) = 1, 1,0)</f>
        <v/>
      </c>
      <c r="G285" s="133">
        <f>TEXT(SUMIF($C$3:C285,商品マスタ[[#This Row],[仕入先]],$F$3:F285), "0000")</f>
        <v/>
      </c>
      <c r="H285" s="167" t="inlineStr">
        <is>
          <t>袋</t>
        </is>
      </c>
      <c r="I285" s="167" t="inlineStr">
        <is>
          <t>50個×12袋</t>
        </is>
      </c>
      <c r="J285" s="167" t="n">
        <v>600</v>
      </c>
      <c r="K285" s="167" t="n"/>
      <c r="L285" s="295" t="n">
        <v>42000</v>
      </c>
      <c r="M285" s="157" t="n"/>
      <c r="N285" s="295" t="n"/>
      <c r="O285" s="290">
        <f>IF(COUNT(商品マスタ[[#This Row],[参考上代
（税込)]]) &gt; 0, (商品マスタ[[#This Row],[参考上代
（税込)]]-商品マスタ[[#This Row],[国内定価
（15％）]])/(商品マスタ[[#This Row],[参考上代
（税込)]]/1.08), "")</f>
        <v/>
      </c>
      <c r="P285" s="136" t="n">
        <v>0.1</v>
      </c>
      <c r="Q285" s="289">
        <f>商品マスタ[[#This Row],[仕入
単価]]*商品マスタ[[#This Row],[標準国内送料率]]</f>
        <v/>
      </c>
      <c r="R285" s="289" t="n"/>
      <c r="S285" s="289">
        <f>IF(ISBLANK(商品マスタ[[#This Row],[実績
国内送料]]),商品マスタ[[#This Row],[標準国内送料]],)</f>
        <v/>
      </c>
      <c r="T285" s="289">
        <f>商品マスタ[[#This Row],[仕入
単価]]+商品マスタ[[#This Row],[国内送料]]</f>
        <v/>
      </c>
      <c r="U285" s="289">
        <f>ROUNDUP(商品マスタ[[#This Row],[仕入単価+国内送料]]/0.8,-1)</f>
        <v/>
      </c>
      <c r="V285" s="289">
        <f>商品マスタ[[#This Row],[海外定価
（20％）]]-商品マスタ[[#This Row],[仕入単価+国内送料]]</f>
        <v/>
      </c>
      <c r="W285" s="167">
        <f>ROUNDUP(商品マスタ[[#This Row],[仕入単価+国内送料]]/0.85,-1)</f>
        <v/>
      </c>
      <c r="X285" s="289">
        <f>商品マスタ[[#This Row],[国内定価
（15％）]]-商品マスタ[[#This Row],[仕入単価+国内送料]]</f>
        <v/>
      </c>
      <c r="Y285" s="139" t="n">
        <v>0.08</v>
      </c>
      <c r="Z285" s="167" t="inlineStr">
        <is>
          <t>12ヶ月</t>
        </is>
      </c>
      <c r="AA285" s="167" t="inlineStr">
        <is>
          <t>冷凍</t>
        </is>
      </c>
      <c r="AB285" s="167" t="n"/>
      <c r="AC285" s="293" t="n"/>
      <c r="AD285" s="167" t="n"/>
      <c r="AE285" s="167" t="n"/>
      <c r="AF285" s="167" t="n"/>
      <c r="AG285" s="144" t="n"/>
    </row>
    <row r="286" ht="18" customHeight="1" s="207">
      <c r="A286" s="166" t="inlineStr">
        <is>
          <t>水産</t>
        </is>
      </c>
      <c r="B286" s="167" t="inlineStr">
        <is>
          <t>水産物</t>
        </is>
      </c>
      <c r="C286" s="167" t="inlineStr">
        <is>
          <t>五洋物産</t>
        </is>
      </c>
      <c r="D286" s="143">
        <f>"PRD_SNJ_"&amp;
_xlfn.XLOOKUP(商品マスタ[[#This Row],[仕入先]],テーブル1[仕入先名],テーブル1[仕入先コード],"XXX",0,1)&amp;
"_"&amp;
商品マスタ[[#This Row],[シリアル]]&amp;
"_"&amp;
TEXT(COUNTIFS(商品マスタ!$C$3:C286,商品マスタ[[#This Row],[仕入先]],商品マスタ!$E$3:E286,商品マスタ[[#This Row],[商品名]]), "00")</f>
        <v/>
      </c>
      <c r="E286" s="167" t="inlineStr">
        <is>
          <t>じゃがもっち　ホタテ</t>
        </is>
      </c>
      <c r="F286" s="167">
        <f>IF(COUNTIFS($C$3:C286,商品マスタ[[#This Row],[仕入先]],$E$3:E286,商品マスタ[[#This Row],[商品名]]) = 1, 1,0)</f>
        <v/>
      </c>
      <c r="G286" s="133">
        <f>TEXT(SUMIF($C$3:C286,商品マスタ[[#This Row],[仕入先]],$F$3:F286), "0000")</f>
        <v/>
      </c>
      <c r="H286" s="167" t="inlineStr">
        <is>
          <t>袋</t>
        </is>
      </c>
      <c r="I286" s="167" t="inlineStr">
        <is>
          <t>50個×12袋</t>
        </is>
      </c>
      <c r="J286" s="167" t="n">
        <v>600</v>
      </c>
      <c r="K286" s="167" t="n"/>
      <c r="L286" s="295" t="n">
        <v>42000</v>
      </c>
      <c r="M286" s="157" t="n"/>
      <c r="N286" s="295" t="n"/>
      <c r="O286" s="290">
        <f>IF(COUNT(商品マスタ[[#This Row],[参考上代
（税込)]]) &gt; 0, (商品マスタ[[#This Row],[参考上代
（税込)]]-商品マスタ[[#This Row],[国内定価
（15％）]])/(商品マスタ[[#This Row],[参考上代
（税込)]]/1.08), "")</f>
        <v/>
      </c>
      <c r="P286" s="136" t="n">
        <v>0.1</v>
      </c>
      <c r="Q286" s="289">
        <f>商品マスタ[[#This Row],[仕入
単価]]*商品マスタ[[#This Row],[標準国内送料率]]</f>
        <v/>
      </c>
      <c r="R286" s="289" t="n"/>
      <c r="S286" s="289">
        <f>IF(ISBLANK(商品マスタ[[#This Row],[実績
国内送料]]),商品マスタ[[#This Row],[標準国内送料]],)</f>
        <v/>
      </c>
      <c r="T286" s="289">
        <f>商品マスタ[[#This Row],[仕入
単価]]+商品マスタ[[#This Row],[国内送料]]</f>
        <v/>
      </c>
      <c r="U286" s="289">
        <f>ROUNDUP(商品マスタ[[#This Row],[仕入単価+国内送料]]/0.8,-1)</f>
        <v/>
      </c>
      <c r="V286" s="289">
        <f>商品マスタ[[#This Row],[海外定価
（20％）]]-商品マスタ[[#This Row],[仕入単価+国内送料]]</f>
        <v/>
      </c>
      <c r="W286" s="167">
        <f>ROUNDUP(商品マスタ[[#This Row],[仕入単価+国内送料]]/0.85,-1)</f>
        <v/>
      </c>
      <c r="X286" s="289">
        <f>商品マスタ[[#This Row],[国内定価
（15％）]]-商品マスタ[[#This Row],[仕入単価+国内送料]]</f>
        <v/>
      </c>
      <c r="Y286" s="139" t="n">
        <v>0.08</v>
      </c>
      <c r="Z286" s="167" t="inlineStr">
        <is>
          <t>12ヶ月</t>
        </is>
      </c>
      <c r="AA286" s="167" t="inlineStr">
        <is>
          <t>冷凍</t>
        </is>
      </c>
      <c r="AB286" s="167" t="n"/>
      <c r="AC286" s="293" t="n"/>
      <c r="AD286" s="167" t="n"/>
      <c r="AE286" s="167" t="n"/>
      <c r="AF286" s="167" t="n"/>
      <c r="AG286" s="144" t="n"/>
    </row>
    <row r="287" ht="18" customHeight="1" s="207">
      <c r="A287" s="166" t="inlineStr">
        <is>
          <t>加工品</t>
        </is>
      </c>
      <c r="B287" s="167" t="inlineStr">
        <is>
          <t>その他</t>
        </is>
      </c>
      <c r="C287" s="167" t="inlineStr">
        <is>
          <t>五洋物産</t>
        </is>
      </c>
      <c r="D287" s="143">
        <f>"PRD_SNJ_"&amp;
_xlfn.XLOOKUP(商品マスタ[[#This Row],[仕入先]],テーブル1[仕入先名],テーブル1[仕入先コード],"XXX",0,1)&amp;
"_"&amp;
商品マスタ[[#This Row],[シリアル]]&amp;
"_"&amp;
TEXT(COUNTIFS(商品マスタ!$C$3:C287,商品マスタ[[#This Row],[仕入先]],商品マスタ!$E$3:E287,商品マスタ[[#This Row],[商品名]]), "00")</f>
        <v/>
      </c>
      <c r="E287" s="167" t="inlineStr">
        <is>
          <t xml:space="preserve">じゃがもっち　パンプキン　</t>
        </is>
      </c>
      <c r="F287" s="167">
        <f>IF(COUNTIFS($C$3:C287,商品マスタ[[#This Row],[仕入先]],$E$3:E287,商品マスタ[[#This Row],[商品名]]) = 1, 1,0)</f>
        <v/>
      </c>
      <c r="G287" s="133">
        <f>TEXT(SUMIF($C$3:C287,商品マスタ[[#This Row],[仕入先]],$F$3:F287), "0000")</f>
        <v/>
      </c>
      <c r="H287" s="167" t="inlineStr">
        <is>
          <t>袋</t>
        </is>
      </c>
      <c r="I287" s="167" t="inlineStr">
        <is>
          <t>50個×12袋</t>
        </is>
      </c>
      <c r="J287" s="167" t="n">
        <v>600</v>
      </c>
      <c r="K287" s="167" t="n"/>
      <c r="L287" s="295" t="n">
        <v>25200</v>
      </c>
      <c r="M287" s="157" t="n"/>
      <c r="N287" s="295" t="n"/>
      <c r="O287" s="290">
        <f>IF(COUNT(商品マスタ[[#This Row],[参考上代
（税込)]]) &gt; 0, (商品マスタ[[#This Row],[参考上代
（税込)]]-商品マスタ[[#This Row],[国内定価
（15％）]])/(商品マスタ[[#This Row],[参考上代
（税込)]]/1.08), "")</f>
        <v/>
      </c>
      <c r="P287" s="136" t="n">
        <v>0.1</v>
      </c>
      <c r="Q287" s="289">
        <f>商品マスタ[[#This Row],[仕入
単価]]*商品マスタ[[#This Row],[標準国内送料率]]</f>
        <v/>
      </c>
      <c r="R287" s="289" t="n"/>
      <c r="S287" s="289">
        <f>IF(ISBLANK(商品マスタ[[#This Row],[実績
国内送料]]),商品マスタ[[#This Row],[標準国内送料]],)</f>
        <v/>
      </c>
      <c r="T287" s="289">
        <f>商品マスタ[[#This Row],[仕入
単価]]+商品マスタ[[#This Row],[国内送料]]</f>
        <v/>
      </c>
      <c r="U287" s="289">
        <f>ROUNDUP(商品マスタ[[#This Row],[仕入単価+国内送料]]/0.8,-1)</f>
        <v/>
      </c>
      <c r="V287" s="289">
        <f>商品マスタ[[#This Row],[海外定価
（20％）]]-商品マスタ[[#This Row],[仕入単価+国内送料]]</f>
        <v/>
      </c>
      <c r="W287" s="167">
        <f>ROUNDUP(商品マスタ[[#This Row],[仕入単価+国内送料]]/0.85,-1)</f>
        <v/>
      </c>
      <c r="X287" s="289">
        <f>商品マスタ[[#This Row],[国内定価
（15％）]]-商品マスタ[[#This Row],[仕入単価+国内送料]]</f>
        <v/>
      </c>
      <c r="Y287" s="139" t="n">
        <v>0.08</v>
      </c>
      <c r="Z287" s="167" t="inlineStr">
        <is>
          <t>12ヶ月</t>
        </is>
      </c>
      <c r="AA287" s="167" t="inlineStr">
        <is>
          <t>冷凍</t>
        </is>
      </c>
      <c r="AB287" s="167" t="n"/>
      <c r="AC287" s="293" t="n"/>
      <c r="AD287" s="167" t="n"/>
      <c r="AE287" s="167" t="n"/>
      <c r="AF287" s="167" t="n"/>
      <c r="AG287" s="144" t="n"/>
    </row>
    <row r="288" ht="18" customHeight="1" s="207">
      <c r="A288" s="166" t="inlineStr">
        <is>
          <t>加工品</t>
        </is>
      </c>
      <c r="B288" s="167" t="inlineStr">
        <is>
          <t>その他</t>
        </is>
      </c>
      <c r="C288" s="167" t="inlineStr">
        <is>
          <t>五洋物産</t>
        </is>
      </c>
      <c r="D288" s="143">
        <f>"PRD_SNJ_"&amp;
_xlfn.XLOOKUP(商品マスタ[[#This Row],[仕入先]],テーブル1[仕入先名],テーブル1[仕入先コード],"XXX",0,1)&amp;
"_"&amp;
商品マスタ[[#This Row],[シリアル]]&amp;
"_"&amp;
TEXT(COUNTIFS(商品マスタ!$C$3:C288,商品マスタ[[#This Row],[仕入先]],商品マスタ!$E$3:E288,商品マスタ[[#This Row],[商品名]]), "00")</f>
        <v/>
      </c>
      <c r="E288" s="167" t="inlineStr">
        <is>
          <t xml:space="preserve">じゃがもっち　雪そだち　</t>
        </is>
      </c>
      <c r="F288" s="167">
        <f>IF(COUNTIFS($C$3:C288,商品マスタ[[#This Row],[仕入先]],$E$3:E288,商品マスタ[[#This Row],[商品名]]) = 1, 1,0)</f>
        <v/>
      </c>
      <c r="G288" s="133">
        <f>TEXT(SUMIF($C$3:C288,商品マスタ[[#This Row],[仕入先]],$F$3:F288), "0000")</f>
        <v/>
      </c>
      <c r="H288" s="167" t="inlineStr">
        <is>
          <t>袋</t>
        </is>
      </c>
      <c r="I288" s="167" t="inlineStr">
        <is>
          <t>50個×12袋</t>
        </is>
      </c>
      <c r="J288" s="167" t="n">
        <v>600</v>
      </c>
      <c r="K288" s="167" t="n"/>
      <c r="L288" s="295" t="n">
        <v>27000</v>
      </c>
      <c r="M288" s="157" t="n"/>
      <c r="N288" s="295" t="n"/>
      <c r="O288" s="290">
        <f>IF(COUNT(商品マスタ[[#This Row],[参考上代
（税込)]]) &gt; 0, (商品マスタ[[#This Row],[参考上代
（税込)]]-商品マスタ[[#This Row],[国内定価
（15％）]])/(商品マスタ[[#This Row],[参考上代
（税込)]]/1.08), "")</f>
        <v/>
      </c>
      <c r="P288" s="136" t="n">
        <v>0.1</v>
      </c>
      <c r="Q288" s="289">
        <f>商品マスタ[[#This Row],[仕入
単価]]*商品マスタ[[#This Row],[標準国内送料率]]</f>
        <v/>
      </c>
      <c r="R288" s="289" t="n"/>
      <c r="S288" s="289">
        <f>IF(ISBLANK(商品マスタ[[#This Row],[実績
国内送料]]),商品マスタ[[#This Row],[標準国内送料]],)</f>
        <v/>
      </c>
      <c r="T288" s="289">
        <f>商品マスタ[[#This Row],[仕入
単価]]+商品マスタ[[#This Row],[国内送料]]</f>
        <v/>
      </c>
      <c r="U288" s="289">
        <f>ROUNDUP(商品マスタ[[#This Row],[仕入単価+国内送料]]/0.8,-1)</f>
        <v/>
      </c>
      <c r="V288" s="289">
        <f>商品マスタ[[#This Row],[海外定価
（20％）]]-商品マスタ[[#This Row],[仕入単価+国内送料]]</f>
        <v/>
      </c>
      <c r="W288" s="167">
        <f>ROUNDUP(商品マスタ[[#This Row],[仕入単価+国内送料]]/0.85,-1)</f>
        <v/>
      </c>
      <c r="X288" s="289">
        <f>商品マスタ[[#This Row],[国内定価
（15％）]]-商品マスタ[[#This Row],[仕入単価+国内送料]]</f>
        <v/>
      </c>
      <c r="Y288" s="139" t="n">
        <v>0.08</v>
      </c>
      <c r="Z288" s="167" t="inlineStr">
        <is>
          <t>12ヶ月</t>
        </is>
      </c>
      <c r="AA288" s="167" t="inlineStr">
        <is>
          <t>冷凍</t>
        </is>
      </c>
      <c r="AB288" s="167" t="n"/>
      <c r="AC288" s="293" t="n"/>
      <c r="AD288" s="167" t="n"/>
      <c r="AE288" s="167" t="n"/>
      <c r="AF288" s="167" t="n"/>
      <c r="AG288" s="144" t="n"/>
    </row>
    <row r="289" ht="18" customHeight="1" s="207">
      <c r="A289" s="166" t="inlineStr">
        <is>
          <t>加工品</t>
        </is>
      </c>
      <c r="B289" s="167" t="inlineStr">
        <is>
          <t>その他</t>
        </is>
      </c>
      <c r="C289" s="167" t="inlineStr">
        <is>
          <t>五洋物産</t>
        </is>
      </c>
      <c r="D289" s="143">
        <f>"PRD_SNJ_"&amp;
_xlfn.XLOOKUP(商品マスタ[[#This Row],[仕入先]],テーブル1[仕入先名],テーブル1[仕入先コード],"XXX",0,1)&amp;
"_"&amp;
商品マスタ[[#This Row],[シリアル]]&amp;
"_"&amp;
TEXT(COUNTIFS(商品マスタ!$C$3:C289,商品マスタ[[#This Row],[仕入先]],商品マスタ!$E$3:E289,商品マスタ[[#This Row],[商品名]]), "00")</f>
        <v/>
      </c>
      <c r="E289" s="167" t="inlineStr">
        <is>
          <t xml:space="preserve">じゃがもっち　ハスカップ　</t>
        </is>
      </c>
      <c r="F289" s="167">
        <f>IF(COUNTIFS($C$3:C289,商品マスタ[[#This Row],[仕入先]],$E$3:E289,商品マスタ[[#This Row],[商品名]]) = 1, 1,0)</f>
        <v/>
      </c>
      <c r="G289" s="133">
        <f>TEXT(SUMIF($C$3:C289,商品マスタ[[#This Row],[仕入先]],$F$3:F289), "0000")</f>
        <v/>
      </c>
      <c r="H289" s="167" t="inlineStr">
        <is>
          <t>袋</t>
        </is>
      </c>
      <c r="I289" s="167" t="inlineStr">
        <is>
          <t>50個×12袋</t>
        </is>
      </c>
      <c r="J289" s="167" t="n">
        <v>600</v>
      </c>
      <c r="K289" s="167" t="n"/>
      <c r="L289" s="295" t="n">
        <v>27000</v>
      </c>
      <c r="M289" s="157" t="n"/>
      <c r="N289" s="295" t="n"/>
      <c r="O289" s="290">
        <f>IF(COUNT(商品マスタ[[#This Row],[参考上代
（税込)]]) &gt; 0, (商品マスタ[[#This Row],[参考上代
（税込)]]-商品マスタ[[#This Row],[国内定価
（15％）]])/(商品マスタ[[#This Row],[参考上代
（税込)]]/1.08), "")</f>
        <v/>
      </c>
      <c r="P289" s="136" t="n">
        <v>0.1</v>
      </c>
      <c r="Q289" s="289">
        <f>商品マスタ[[#This Row],[仕入
単価]]*商品マスタ[[#This Row],[標準国内送料率]]</f>
        <v/>
      </c>
      <c r="R289" s="289" t="n"/>
      <c r="S289" s="289">
        <f>IF(ISBLANK(商品マスタ[[#This Row],[実績
国内送料]]),商品マスタ[[#This Row],[標準国内送料]],)</f>
        <v/>
      </c>
      <c r="T289" s="289">
        <f>商品マスタ[[#This Row],[仕入
単価]]+商品マスタ[[#This Row],[国内送料]]</f>
        <v/>
      </c>
      <c r="U289" s="289">
        <f>ROUNDUP(商品マスタ[[#This Row],[仕入単価+国内送料]]/0.8,-1)</f>
        <v/>
      </c>
      <c r="V289" s="289">
        <f>商品マスタ[[#This Row],[海外定価
（20％）]]-商品マスタ[[#This Row],[仕入単価+国内送料]]</f>
        <v/>
      </c>
      <c r="W289" s="167">
        <f>ROUNDUP(商品マスタ[[#This Row],[仕入単価+国内送料]]/0.85,-1)</f>
        <v/>
      </c>
      <c r="X289" s="289">
        <f>商品マスタ[[#This Row],[国内定価
（15％）]]-商品マスタ[[#This Row],[仕入単価+国内送料]]</f>
        <v/>
      </c>
      <c r="Y289" s="139" t="n">
        <v>0.08</v>
      </c>
      <c r="Z289" s="167" t="inlineStr">
        <is>
          <t>12ヶ月</t>
        </is>
      </c>
      <c r="AA289" s="167" t="inlineStr">
        <is>
          <t>冷凍</t>
        </is>
      </c>
      <c r="AB289" s="167" t="n"/>
      <c r="AC289" s="293" t="n"/>
      <c r="AD289" s="167" t="n"/>
      <c r="AE289" s="167" t="n"/>
      <c r="AF289" s="167" t="n"/>
      <c r="AG289" s="144" t="n"/>
    </row>
    <row r="290" ht="18" customHeight="1" s="207">
      <c r="A290" s="166" t="inlineStr">
        <is>
          <t>青果</t>
        </is>
      </c>
      <c r="B290" s="167" t="inlineStr">
        <is>
          <t>野菜</t>
        </is>
      </c>
      <c r="C290" s="167" t="inlineStr">
        <is>
          <t>五洋物産</t>
        </is>
      </c>
      <c r="D290" s="143">
        <f>"PRD_SNJ_"&amp;
_xlfn.XLOOKUP(商品マスタ[[#This Row],[仕入先]],テーブル1[仕入先名],テーブル1[仕入先コード],"XXX",0,1)&amp;
"_"&amp;
商品マスタ[[#This Row],[シリアル]]&amp;
"_"&amp;
TEXT(COUNTIFS(商品マスタ!$C$3:C290,商品マスタ[[#This Row],[仕入先]],商品マスタ!$E$3:E290,商品マスタ[[#This Row],[商品名]]), "00")</f>
        <v/>
      </c>
      <c r="E290" s="167" t="inlineStr">
        <is>
          <t>じゃがもっち　メロン</t>
        </is>
      </c>
      <c r="F290" s="167">
        <f>IF(COUNTIFS($C$3:C290,商品マスタ[[#This Row],[仕入先]],$E$3:E290,商品マスタ[[#This Row],[商品名]]) = 1, 1,0)</f>
        <v/>
      </c>
      <c r="G290" s="133">
        <f>TEXT(SUMIF($C$3:C290,商品マスタ[[#This Row],[仕入先]],$F$3:F290), "0000")</f>
        <v/>
      </c>
      <c r="H290" s="167" t="inlineStr">
        <is>
          <t>袋</t>
        </is>
      </c>
      <c r="I290" s="167" t="inlineStr">
        <is>
          <t>50個×12袋</t>
        </is>
      </c>
      <c r="J290" s="167" t="n">
        <v>600</v>
      </c>
      <c r="K290" s="167" t="n"/>
      <c r="L290" s="295" t="n">
        <v>27000</v>
      </c>
      <c r="M290" s="157" t="n"/>
      <c r="N290" s="295" t="n"/>
      <c r="O290" s="290">
        <f>IF(COUNT(商品マスタ[[#This Row],[参考上代
（税込)]]) &gt; 0, (商品マスタ[[#This Row],[参考上代
（税込)]]-商品マスタ[[#This Row],[国内定価
（15％）]])/(商品マスタ[[#This Row],[参考上代
（税込)]]/1.08), "")</f>
        <v/>
      </c>
      <c r="P290" s="136" t="n">
        <v>0.1</v>
      </c>
      <c r="Q290" s="289">
        <f>商品マスタ[[#This Row],[仕入
単価]]*商品マスタ[[#This Row],[標準国内送料率]]</f>
        <v/>
      </c>
      <c r="R290" s="289" t="n"/>
      <c r="S290" s="289">
        <f>IF(ISBLANK(商品マスタ[[#This Row],[実績
国内送料]]),商品マスタ[[#This Row],[標準国内送料]],)</f>
        <v/>
      </c>
      <c r="T290" s="289">
        <f>商品マスタ[[#This Row],[仕入
単価]]+商品マスタ[[#This Row],[国内送料]]</f>
        <v/>
      </c>
      <c r="U290" s="289">
        <f>ROUNDUP(商品マスタ[[#This Row],[仕入単価+国内送料]]/0.8,-1)</f>
        <v/>
      </c>
      <c r="V290" s="289">
        <f>商品マスタ[[#This Row],[海外定価
（20％）]]-商品マスタ[[#This Row],[仕入単価+国内送料]]</f>
        <v/>
      </c>
      <c r="W290" s="167">
        <f>ROUNDUP(商品マスタ[[#This Row],[仕入単価+国内送料]]/0.85,-1)</f>
        <v/>
      </c>
      <c r="X290" s="289">
        <f>商品マスタ[[#This Row],[国内定価
（15％）]]-商品マスタ[[#This Row],[仕入単価+国内送料]]</f>
        <v/>
      </c>
      <c r="Y290" s="139" t="n">
        <v>0.08</v>
      </c>
      <c r="Z290" s="167" t="inlineStr">
        <is>
          <t>12ヶ月</t>
        </is>
      </c>
      <c r="AA290" s="167" t="inlineStr">
        <is>
          <t>冷凍</t>
        </is>
      </c>
      <c r="AB290" s="167" t="n"/>
      <c r="AC290" s="293" t="n"/>
      <c r="AD290" s="167" t="n"/>
      <c r="AE290" s="167" t="n"/>
      <c r="AF290" s="167" t="n"/>
      <c r="AG290" s="144" t="n"/>
    </row>
    <row r="291" ht="18" customHeight="1" s="207">
      <c r="A291" s="166" t="inlineStr">
        <is>
          <t>加工品</t>
        </is>
      </c>
      <c r="B291" s="167" t="inlineStr">
        <is>
          <t>その他</t>
        </is>
      </c>
      <c r="C291" s="167" t="inlineStr">
        <is>
          <t>五洋物産</t>
        </is>
      </c>
      <c r="D291" s="143">
        <f>"PRD_SNJ_"&amp;
_xlfn.XLOOKUP(商品マスタ[[#This Row],[仕入先]],テーブル1[仕入先名],テーブル1[仕入先コード],"XXX",0,1)&amp;
"_"&amp;
商品マスタ[[#This Row],[シリアル]]&amp;
"_"&amp;
TEXT(COUNTIFS(商品マスタ!$C$3:C291,商品マスタ[[#This Row],[仕入先]],商品マスタ!$E$3:E291,商品マスタ[[#This Row],[商品名]]), "00")</f>
        <v/>
      </c>
      <c r="E291" s="167" t="inlineStr">
        <is>
          <t xml:space="preserve">じゃがもっち　コラーゲン　</t>
        </is>
      </c>
      <c r="F291" s="167">
        <f>IF(COUNTIFS($C$3:C291,商品マスタ[[#This Row],[仕入先]],$E$3:E291,商品マスタ[[#This Row],[商品名]]) = 1, 1,0)</f>
        <v/>
      </c>
      <c r="G291" s="133">
        <f>TEXT(SUMIF($C$3:C291,商品マスタ[[#This Row],[仕入先]],$F$3:F291), "0000")</f>
        <v/>
      </c>
      <c r="H291" s="167" t="inlineStr">
        <is>
          <t>袋</t>
        </is>
      </c>
      <c r="I291" s="167" t="inlineStr">
        <is>
          <t>50個×12袋</t>
        </is>
      </c>
      <c r="J291" s="167" t="n">
        <v>600</v>
      </c>
      <c r="K291" s="167" t="n"/>
      <c r="L291" s="295" t="n">
        <v>24000</v>
      </c>
      <c r="M291" s="157" t="n"/>
      <c r="N291" s="295" t="n"/>
      <c r="O291" s="290">
        <f>IF(COUNT(商品マスタ[[#This Row],[参考上代
（税込)]]) &gt; 0, (商品マスタ[[#This Row],[参考上代
（税込)]]-商品マスタ[[#This Row],[国内定価
（15％）]])/(商品マスタ[[#This Row],[参考上代
（税込)]]/1.08), "")</f>
        <v/>
      </c>
      <c r="P291" s="136" t="n">
        <v>0.1</v>
      </c>
      <c r="Q291" s="289">
        <f>商品マスタ[[#This Row],[仕入
単価]]*商品マスタ[[#This Row],[標準国内送料率]]</f>
        <v/>
      </c>
      <c r="R291" s="289" t="n"/>
      <c r="S291" s="289">
        <f>IF(ISBLANK(商品マスタ[[#This Row],[実績
国内送料]]),商品マスタ[[#This Row],[標準国内送料]],)</f>
        <v/>
      </c>
      <c r="T291" s="289">
        <f>商品マスタ[[#This Row],[仕入
単価]]+商品マスタ[[#This Row],[国内送料]]</f>
        <v/>
      </c>
      <c r="U291" s="289">
        <f>ROUNDUP(商品マスタ[[#This Row],[仕入単価+国内送料]]/0.8,-1)</f>
        <v/>
      </c>
      <c r="V291" s="289">
        <f>商品マスタ[[#This Row],[海外定価
（20％）]]-商品マスタ[[#This Row],[仕入単価+国内送料]]</f>
        <v/>
      </c>
      <c r="W291" s="167">
        <f>ROUNDUP(商品マスタ[[#This Row],[仕入単価+国内送料]]/0.85,-1)</f>
        <v/>
      </c>
      <c r="X291" s="289">
        <f>商品マスタ[[#This Row],[国内定価
（15％）]]-商品マスタ[[#This Row],[仕入単価+国内送料]]</f>
        <v/>
      </c>
      <c r="Y291" s="139" t="n">
        <v>0.08</v>
      </c>
      <c r="Z291" s="167" t="inlineStr">
        <is>
          <t>12ヶ月</t>
        </is>
      </c>
      <c r="AA291" s="167" t="inlineStr">
        <is>
          <t>冷凍</t>
        </is>
      </c>
      <c r="AB291" s="167" t="n"/>
      <c r="AC291" s="293" t="n"/>
      <c r="AD291" s="167" t="n"/>
      <c r="AE291" s="167" t="n"/>
      <c r="AF291" s="167" t="n"/>
      <c r="AG291" s="144" t="n"/>
    </row>
    <row r="292" ht="18" customHeight="1" s="207">
      <c r="A292" s="166" t="inlineStr">
        <is>
          <t>加工品</t>
        </is>
      </c>
      <c r="B292" s="167" t="inlineStr">
        <is>
          <t>その他</t>
        </is>
      </c>
      <c r="C292" s="167" t="inlineStr">
        <is>
          <t>五洋物産</t>
        </is>
      </c>
      <c r="D292" s="143">
        <f>"PRD_SNJ_"&amp;
_xlfn.XLOOKUP(商品マスタ[[#This Row],[仕入先]],テーブル1[仕入先名],テーブル1[仕入先コード],"XXX",0,1)&amp;
"_"&amp;
商品マスタ[[#This Row],[シリアル]]&amp;
"_"&amp;
TEXT(COUNTIFS(商品マスタ!$C$3:C292,商品マスタ[[#This Row],[仕入先]],商品マスタ!$E$3:E292,商品マスタ[[#This Row],[商品名]]), "00")</f>
        <v/>
      </c>
      <c r="E292" s="167" t="inlineStr">
        <is>
          <t xml:space="preserve">じゃがもっち　ピリ辛　</t>
        </is>
      </c>
      <c r="F292" s="167">
        <f>IF(COUNTIFS($C$3:C292,商品マスタ[[#This Row],[仕入先]],$E$3:E292,商品マスタ[[#This Row],[商品名]]) = 1, 1,0)</f>
        <v/>
      </c>
      <c r="G292" s="133">
        <f>TEXT(SUMIF($C$3:C292,商品マスタ[[#This Row],[仕入先]],$F$3:F292), "0000")</f>
        <v/>
      </c>
      <c r="H292" s="167" t="inlineStr">
        <is>
          <t>袋</t>
        </is>
      </c>
      <c r="I292" s="167" t="inlineStr">
        <is>
          <t>50個×12袋</t>
        </is>
      </c>
      <c r="J292" s="167" t="n">
        <v>600</v>
      </c>
      <c r="K292" s="167" t="n"/>
      <c r="L292" s="295" t="n">
        <v>27000</v>
      </c>
      <c r="M292" s="157" t="n"/>
      <c r="N292" s="295" t="n"/>
      <c r="O292" s="290">
        <f>IF(COUNT(商品マスタ[[#This Row],[参考上代
（税込)]]) &gt; 0, (商品マスタ[[#This Row],[参考上代
（税込)]]-商品マスタ[[#This Row],[国内定価
（15％）]])/(商品マスタ[[#This Row],[参考上代
（税込)]]/1.08), "")</f>
        <v/>
      </c>
      <c r="P292" s="136" t="n">
        <v>0.1</v>
      </c>
      <c r="Q292" s="289">
        <f>商品マスタ[[#This Row],[仕入
単価]]*商品マスタ[[#This Row],[標準国内送料率]]</f>
        <v/>
      </c>
      <c r="R292" s="289" t="n"/>
      <c r="S292" s="289">
        <f>IF(ISBLANK(商品マスタ[[#This Row],[実績
国内送料]]),商品マスタ[[#This Row],[標準国内送料]],)</f>
        <v/>
      </c>
      <c r="T292" s="289">
        <f>商品マスタ[[#This Row],[仕入
単価]]+商品マスタ[[#This Row],[国内送料]]</f>
        <v/>
      </c>
      <c r="U292" s="289">
        <f>ROUNDUP(商品マスタ[[#This Row],[仕入単価+国内送料]]/0.8,-1)</f>
        <v/>
      </c>
      <c r="V292" s="289">
        <f>商品マスタ[[#This Row],[海外定価
（20％）]]-商品マスタ[[#This Row],[仕入単価+国内送料]]</f>
        <v/>
      </c>
      <c r="W292" s="167">
        <f>ROUNDUP(商品マスタ[[#This Row],[仕入単価+国内送料]]/0.85,-1)</f>
        <v/>
      </c>
      <c r="X292" s="289">
        <f>商品マスタ[[#This Row],[国内定価
（15％）]]-商品マスタ[[#This Row],[仕入単価+国内送料]]</f>
        <v/>
      </c>
      <c r="Y292" s="139" t="n">
        <v>0.08</v>
      </c>
      <c r="Z292" s="167" t="inlineStr">
        <is>
          <t>12ヶ月</t>
        </is>
      </c>
      <c r="AA292" s="167" t="inlineStr">
        <is>
          <t>冷凍</t>
        </is>
      </c>
      <c r="AB292" s="167" t="n"/>
      <c r="AC292" s="293" t="n"/>
      <c r="AD292" s="167" t="n"/>
      <c r="AE292" s="167" t="n"/>
      <c r="AF292" s="167" t="n"/>
      <c r="AG292" s="144" t="n"/>
    </row>
    <row r="293" ht="18" customHeight="1" s="207">
      <c r="A293" s="166" t="inlineStr">
        <is>
          <t>チーズ</t>
        </is>
      </c>
      <c r="B293" s="167" t="inlineStr">
        <is>
          <t>チーズ</t>
        </is>
      </c>
      <c r="C293" s="167" t="inlineStr">
        <is>
          <t>五洋物産</t>
        </is>
      </c>
      <c r="D293" s="143">
        <f>"PRD_SNJ_"&amp;
_xlfn.XLOOKUP(商品マスタ[[#This Row],[仕入先]],テーブル1[仕入先名],テーブル1[仕入先コード],"XXX",0,1)&amp;
"_"&amp;
商品マスタ[[#This Row],[シリアル]]&amp;
"_"&amp;
TEXT(COUNTIFS(商品マスタ!$C$3:C293,商品マスタ[[#This Row],[仕入先]],商品マスタ!$E$3:E293,商品マスタ[[#This Row],[商品名]]), "00")</f>
        <v/>
      </c>
      <c r="E293" s="167" t="inlineStr">
        <is>
          <t>じゃがもっち　ぶた＆チーズ</t>
        </is>
      </c>
      <c r="F293" s="167">
        <f>IF(COUNTIFS($C$3:C293,商品マスタ[[#This Row],[仕入先]],$E$3:E293,商品マスタ[[#This Row],[商品名]]) = 1, 1,0)</f>
        <v/>
      </c>
      <c r="G293" s="133">
        <f>TEXT(SUMIF($C$3:C293,商品マスタ[[#This Row],[仕入先]],$F$3:F293), "0000")</f>
        <v/>
      </c>
      <c r="H293" s="167" t="inlineStr">
        <is>
          <t>袋</t>
        </is>
      </c>
      <c r="I293" s="167" t="inlineStr">
        <is>
          <t>50個×12袋</t>
        </is>
      </c>
      <c r="J293" s="167" t="n">
        <v>600</v>
      </c>
      <c r="K293" s="167" t="n"/>
      <c r="L293" s="295" t="n">
        <v>36000</v>
      </c>
      <c r="M293" s="157" t="n"/>
      <c r="N293" s="295" t="n"/>
      <c r="O293" s="290">
        <f>IF(COUNT(商品マスタ[[#This Row],[参考上代
（税込)]]) &gt; 0, (商品マスタ[[#This Row],[参考上代
（税込)]]-商品マスタ[[#This Row],[国内定価
（15％）]])/(商品マスタ[[#This Row],[参考上代
（税込)]]/1.08), "")</f>
        <v/>
      </c>
      <c r="P293" s="136" t="n">
        <v>0.1</v>
      </c>
      <c r="Q293" s="289">
        <f>商品マスタ[[#This Row],[仕入
単価]]*商品マスタ[[#This Row],[標準国内送料率]]</f>
        <v/>
      </c>
      <c r="R293" s="289" t="n"/>
      <c r="S293" s="289">
        <f>IF(ISBLANK(商品マスタ[[#This Row],[実績
国内送料]]),商品マスタ[[#This Row],[標準国内送料]],)</f>
        <v/>
      </c>
      <c r="T293" s="289">
        <f>商品マスタ[[#This Row],[仕入
単価]]+商品マスタ[[#This Row],[国内送料]]</f>
        <v/>
      </c>
      <c r="U293" s="289">
        <f>ROUNDUP(商品マスタ[[#This Row],[仕入単価+国内送料]]/0.8,-1)</f>
        <v/>
      </c>
      <c r="V293" s="289">
        <f>商品マスタ[[#This Row],[海外定価
（20％）]]-商品マスタ[[#This Row],[仕入単価+国内送料]]</f>
        <v/>
      </c>
      <c r="W293" s="167">
        <f>ROUNDUP(商品マスタ[[#This Row],[仕入単価+国内送料]]/0.85,-1)</f>
        <v/>
      </c>
      <c r="X293" s="289">
        <f>商品マスタ[[#This Row],[国内定価
（15％）]]-商品マスタ[[#This Row],[仕入単価+国内送料]]</f>
        <v/>
      </c>
      <c r="Y293" s="139" t="n">
        <v>0.08</v>
      </c>
      <c r="Z293" s="167" t="inlineStr">
        <is>
          <t>12ヶ月</t>
        </is>
      </c>
      <c r="AA293" s="167" t="inlineStr">
        <is>
          <t>冷凍</t>
        </is>
      </c>
      <c r="AB293" s="167" t="n"/>
      <c r="AC293" s="293" t="n"/>
      <c r="AD293" s="167" t="n"/>
      <c r="AE293" s="167" t="n"/>
      <c r="AF293" s="167" t="n"/>
      <c r="AG293" s="144" t="n"/>
    </row>
    <row r="294" ht="18" customHeight="1" s="207">
      <c r="A294" s="166" t="inlineStr">
        <is>
          <t>チーズ</t>
        </is>
      </c>
      <c r="B294" s="167" t="inlineStr">
        <is>
          <t>チーズ</t>
        </is>
      </c>
      <c r="C294" s="167" t="inlineStr">
        <is>
          <t>五洋物産</t>
        </is>
      </c>
      <c r="D294" s="143">
        <f>"PRD_SNJ_"&amp;
_xlfn.XLOOKUP(商品マスタ[[#This Row],[仕入先]],テーブル1[仕入先名],テーブル1[仕入先コード],"XXX",0,1)&amp;
"_"&amp;
商品マスタ[[#This Row],[シリアル]]&amp;
"_"&amp;
TEXT(COUNTIFS(商品マスタ!$C$3:C294,商品マスタ[[#This Row],[仕入先]],商品マスタ!$E$3:E294,商品マスタ[[#This Row],[商品名]]), "00")</f>
        <v/>
      </c>
      <c r="E294" s="167" t="inlineStr">
        <is>
          <t>じゃがもっち　チーズ</t>
        </is>
      </c>
      <c r="F294" s="167">
        <f>IF(COUNTIFS($C$3:C294,商品マスタ[[#This Row],[仕入先]],$E$3:E294,商品マスタ[[#This Row],[商品名]]) = 1, 1,0)</f>
        <v/>
      </c>
      <c r="G294" s="133">
        <f>TEXT(SUMIF($C$3:C294,商品マスタ[[#This Row],[仕入先]],$F$3:F294), "0000")</f>
        <v/>
      </c>
      <c r="H294" s="167" t="inlineStr">
        <is>
          <t>袋</t>
        </is>
      </c>
      <c r="I294" s="167" t="inlineStr">
        <is>
          <t>50個×12袋</t>
        </is>
      </c>
      <c r="J294" s="167" t="n">
        <v>600</v>
      </c>
      <c r="K294" s="167" t="n"/>
      <c r="L294" s="295" t="n">
        <v>36000</v>
      </c>
      <c r="M294" s="157" t="n"/>
      <c r="N294" s="295" t="n"/>
      <c r="O294" s="290">
        <f>IF(COUNT(商品マスタ[[#This Row],[参考上代
（税込)]]) &gt; 0, (商品マスタ[[#This Row],[参考上代
（税込)]]-商品マスタ[[#This Row],[国内定価
（15％）]])/(商品マスタ[[#This Row],[参考上代
（税込)]]/1.08), "")</f>
        <v/>
      </c>
      <c r="P294" s="136" t="n">
        <v>0.1</v>
      </c>
      <c r="Q294" s="289">
        <f>商品マスタ[[#This Row],[仕入
単価]]*商品マスタ[[#This Row],[標準国内送料率]]</f>
        <v/>
      </c>
      <c r="R294" s="289" t="n"/>
      <c r="S294" s="289">
        <f>IF(ISBLANK(商品マスタ[[#This Row],[実績
国内送料]]),商品マスタ[[#This Row],[標準国内送料]],)</f>
        <v/>
      </c>
      <c r="T294" s="289">
        <f>商品マスタ[[#This Row],[仕入
単価]]+商品マスタ[[#This Row],[国内送料]]</f>
        <v/>
      </c>
      <c r="U294" s="289">
        <f>ROUNDUP(商品マスタ[[#This Row],[仕入単価+国内送料]]/0.8,-1)</f>
        <v/>
      </c>
      <c r="V294" s="289">
        <f>商品マスタ[[#This Row],[海外定価
（20％）]]-商品マスタ[[#This Row],[仕入単価+国内送料]]</f>
        <v/>
      </c>
      <c r="W294" s="167">
        <f>ROUNDUP(商品マスタ[[#This Row],[仕入単価+国内送料]]/0.85,-1)</f>
        <v/>
      </c>
      <c r="X294" s="289">
        <f>商品マスタ[[#This Row],[国内定価
（15％）]]-商品マスタ[[#This Row],[仕入単価+国内送料]]</f>
        <v/>
      </c>
      <c r="Y294" s="139" t="n">
        <v>0.08</v>
      </c>
      <c r="Z294" s="167" t="inlineStr">
        <is>
          <t>12ヶ月</t>
        </is>
      </c>
      <c r="AA294" s="167" t="inlineStr">
        <is>
          <t>冷凍</t>
        </is>
      </c>
      <c r="AB294" s="167" t="n"/>
      <c r="AC294" s="293" t="n"/>
      <c r="AD294" s="167" t="n"/>
      <c r="AE294" s="167" t="n"/>
      <c r="AF294" s="167" t="n"/>
      <c r="AG294" s="144" t="n"/>
    </row>
    <row r="295" ht="18" customHeight="1" s="207">
      <c r="A295" s="166" t="inlineStr">
        <is>
          <t>菓子</t>
        </is>
      </c>
      <c r="B295" s="167" t="inlineStr">
        <is>
          <t>洋菓子</t>
        </is>
      </c>
      <c r="C295" s="167" t="inlineStr">
        <is>
          <t>Nao-buns</t>
        </is>
      </c>
      <c r="D295" s="143">
        <f>"PRD_SNJ_"&amp;
_xlfn.XLOOKUP(商品マスタ[[#This Row],[仕入先]],テーブル1[仕入先名],テーブル1[仕入先コード],"XXX",0,1)&amp;
"_"&amp;
商品マスタ[[#This Row],[シリアル]]&amp;
"_"&amp;
TEXT(COUNTIFS(商品マスタ!$C$3:C295,商品マスタ[[#This Row],[仕入先]],商品マスタ!$E$3:E295,商品マスタ[[#This Row],[商品名]]), "00")</f>
        <v/>
      </c>
      <c r="E295" s="167" t="inlineStr">
        <is>
          <t>パウンド詰め合わせＳ</t>
        </is>
      </c>
      <c r="F295" s="167">
        <f>IF(COUNTIFS($C$3:C295,商品マスタ[[#This Row],[仕入先]],$E$3:E295,商品マスタ[[#This Row],[商品名]]) = 1, 1,0)</f>
        <v/>
      </c>
      <c r="G295" s="133">
        <f>TEXT(SUMIF($C$3:C295,商品マスタ[[#This Row],[仕入先]],$F$3:F295), "0000")</f>
        <v/>
      </c>
      <c r="H295" s="167" t="inlineStr">
        <is>
          <t>個</t>
        </is>
      </c>
      <c r="I295" s="167" t="n"/>
      <c r="J295" s="167" t="n">
        <v>1</v>
      </c>
      <c r="K295" s="167" t="inlineStr">
        <is>
          <t>内寸:240×80×H58mm</t>
        </is>
      </c>
      <c r="L295" s="295" t="n">
        <v>1060</v>
      </c>
      <c r="M295" s="157" t="n"/>
      <c r="N295" s="295" t="n">
        <v>1630.769230769231</v>
      </c>
      <c r="O295" s="290">
        <f>IF(COUNT(商品マスタ[[#This Row],[参考上代
（税込)]]) &gt; 0, (商品マスタ[[#This Row],[参考上代
（税込)]]-商品マスタ[[#This Row],[国内定価
（15％）]])/(商品マスタ[[#This Row],[参考上代
（税込)]]/1.08), "")</f>
        <v/>
      </c>
      <c r="P295" s="136" t="n">
        <v>0.1</v>
      </c>
      <c r="Q295" s="289">
        <f>商品マスタ[[#This Row],[仕入
単価]]*商品マスタ[[#This Row],[標準国内送料率]]</f>
        <v/>
      </c>
      <c r="R295" s="289" t="n"/>
      <c r="S295" s="289">
        <f>IF(ISBLANK(商品マスタ[[#This Row],[実績
国内送料]]),商品マスタ[[#This Row],[標準国内送料]],)</f>
        <v/>
      </c>
      <c r="T295" s="289">
        <f>商品マスタ[[#This Row],[仕入
単価]]+商品マスタ[[#This Row],[国内送料]]</f>
        <v/>
      </c>
      <c r="U295" s="289">
        <f>ROUNDUP(商品マスタ[[#This Row],[仕入単価+国内送料]]/0.8,-1)</f>
        <v/>
      </c>
      <c r="V295" s="289">
        <f>商品マスタ[[#This Row],[海外定価
（20％）]]-商品マスタ[[#This Row],[仕入単価+国内送料]]</f>
        <v/>
      </c>
      <c r="W295" s="167">
        <f>ROUNDUP(商品マスタ[[#This Row],[仕入単価+国内送料]]/0.85,-1)</f>
        <v/>
      </c>
      <c r="X295" s="289">
        <f>商品マスタ[[#This Row],[国内定価
（15％）]]-商品マスタ[[#This Row],[仕入単価+国内送料]]</f>
        <v/>
      </c>
      <c r="Y295" s="139" t="n">
        <v>0.08</v>
      </c>
      <c r="Z295" s="167" t="inlineStr">
        <is>
          <t>３１日</t>
        </is>
      </c>
      <c r="AA295" s="167" t="inlineStr">
        <is>
          <t>常温</t>
        </is>
      </c>
      <c r="AB295" s="167" t="inlineStr">
        <is>
          <t>8日</t>
        </is>
      </c>
      <c r="AC295" s="293" t="n"/>
      <c r="AD295" s="167" t="n"/>
      <c r="AE295" s="167" t="n"/>
      <c r="AF295" s="167" t="inlineStr">
        <is>
          <t>〇</t>
        </is>
      </c>
      <c r="AG295" s="144" t="n"/>
    </row>
    <row r="296" ht="18" customHeight="1" s="207">
      <c r="A296" s="166" t="inlineStr">
        <is>
          <t>菓子</t>
        </is>
      </c>
      <c r="B296" s="167" t="inlineStr">
        <is>
          <t>洋菓子</t>
        </is>
      </c>
      <c r="C296" s="167" t="inlineStr">
        <is>
          <t>Nao-buns</t>
        </is>
      </c>
      <c r="D296" s="143">
        <f>"PRD_SNJ_"&amp;
_xlfn.XLOOKUP(商品マスタ[[#This Row],[仕入先]],テーブル1[仕入先名],テーブル1[仕入先コード],"XXX",0,1)&amp;
"_"&amp;
商品マスタ[[#This Row],[シリアル]]&amp;
"_"&amp;
TEXT(COUNTIFS(商品マスタ!$C$3:C296,商品マスタ[[#This Row],[仕入先]],商品マスタ!$E$3:E296,商品マスタ[[#This Row],[商品名]]), "00")</f>
        <v/>
      </c>
      <c r="E296" s="167" t="inlineStr">
        <is>
          <t>焼き菓子詰め合わせＭ</t>
        </is>
      </c>
      <c r="F296" s="167">
        <f>IF(COUNTIFS($C$3:C296,商品マスタ[[#This Row],[仕入先]],$E$3:E296,商品マスタ[[#This Row],[商品名]]) = 1, 1,0)</f>
        <v/>
      </c>
      <c r="G296" s="133">
        <f>TEXT(SUMIF($C$3:C296,商品マスタ[[#This Row],[仕入先]],$F$3:F296), "0000")</f>
        <v/>
      </c>
      <c r="H296" s="167" t="inlineStr">
        <is>
          <t>個</t>
        </is>
      </c>
      <c r="I296" s="167" t="n"/>
      <c r="J296" s="167" t="n">
        <v>1</v>
      </c>
      <c r="K296" s="167" t="inlineStr">
        <is>
          <t>212×222×H57mm</t>
        </is>
      </c>
      <c r="L296" s="295" t="n">
        <v>2500</v>
      </c>
      <c r="M296" s="157" t="n"/>
      <c r="N296" s="295" t="n">
        <v>3846.153846153846</v>
      </c>
      <c r="O296" s="290">
        <f>IF(COUNT(商品マスタ[[#This Row],[参考上代
（税込)]]) &gt; 0, (商品マスタ[[#This Row],[参考上代
（税込)]]-商品マスタ[[#This Row],[国内定価
（15％）]])/(商品マスタ[[#This Row],[参考上代
（税込)]]/1.08), "")</f>
        <v/>
      </c>
      <c r="P296" s="136" t="n">
        <v>0.1</v>
      </c>
      <c r="Q296" s="289">
        <f>商品マスタ[[#This Row],[仕入
単価]]*商品マスタ[[#This Row],[標準国内送料率]]</f>
        <v/>
      </c>
      <c r="R296" s="289" t="n"/>
      <c r="S296" s="289">
        <f>IF(ISBLANK(商品マスタ[[#This Row],[実績
国内送料]]),商品マスタ[[#This Row],[標準国内送料]],)</f>
        <v/>
      </c>
      <c r="T296" s="289">
        <f>商品マスタ[[#This Row],[仕入
単価]]+商品マスタ[[#This Row],[国内送料]]</f>
        <v/>
      </c>
      <c r="U296" s="289">
        <f>ROUNDUP(商品マスタ[[#This Row],[仕入単価+国内送料]]/0.8,-1)</f>
        <v/>
      </c>
      <c r="V296" s="289">
        <f>商品マスタ[[#This Row],[海外定価
（20％）]]-商品マスタ[[#This Row],[仕入単価+国内送料]]</f>
        <v/>
      </c>
      <c r="W296" s="167">
        <f>ROUNDUP(商品マスタ[[#This Row],[仕入単価+国内送料]]/0.85,-1)</f>
        <v/>
      </c>
      <c r="X296" s="289">
        <f>商品マスタ[[#This Row],[国内定価
（15％）]]-商品マスタ[[#This Row],[仕入単価+国内送料]]</f>
        <v/>
      </c>
      <c r="Y296" s="139" t="n">
        <v>0.08</v>
      </c>
      <c r="Z296" s="167" t="inlineStr">
        <is>
          <t>31日</t>
        </is>
      </c>
      <c r="AA296" s="167" t="inlineStr">
        <is>
          <t>常温</t>
        </is>
      </c>
      <c r="AB296" s="167" t="inlineStr">
        <is>
          <t>8日</t>
        </is>
      </c>
      <c r="AC296" s="293" t="n"/>
      <c r="AD296" s="167" t="n"/>
      <c r="AE296" s="167" t="n"/>
      <c r="AF296" s="167" t="inlineStr">
        <is>
          <t>〇</t>
        </is>
      </c>
      <c r="AG296" s="144" t="n"/>
    </row>
    <row r="297" ht="18" customHeight="1" s="207">
      <c r="A297" s="166" t="inlineStr">
        <is>
          <t>菓子</t>
        </is>
      </c>
      <c r="B297" s="167" t="inlineStr">
        <is>
          <t>洋菓子</t>
        </is>
      </c>
      <c r="C297" s="167" t="inlineStr">
        <is>
          <t>Nao-buns</t>
        </is>
      </c>
      <c r="D297" s="143">
        <f>"PRD_SNJ_"&amp;
_xlfn.XLOOKUP(商品マスタ[[#This Row],[仕入先]],テーブル1[仕入先名],テーブル1[仕入先コード],"XXX",0,1)&amp;
"_"&amp;
商品マスタ[[#This Row],[シリアル]]&amp;
"_"&amp;
TEXT(COUNTIFS(商品マスタ!$C$3:C297,商品マスタ[[#This Row],[仕入先]],商品マスタ!$E$3:E297,商品マスタ[[#This Row],[商品名]]), "00")</f>
        <v/>
      </c>
      <c r="E297" s="167" t="inlineStr">
        <is>
          <t>焼き菓子詰め合わせL</t>
        </is>
      </c>
      <c r="F297" s="167">
        <f>IF(COUNTIFS($C$3:C297,商品マスタ[[#This Row],[仕入先]],$E$3:E297,商品マスタ[[#This Row],[商品名]]) = 1, 1,0)</f>
        <v/>
      </c>
      <c r="G297" s="133">
        <f>TEXT(SUMIF($C$3:C297,商品マスタ[[#This Row],[仕入先]],$F$3:F297), "0000")</f>
        <v/>
      </c>
      <c r="H297" s="167" t="inlineStr">
        <is>
          <t>個</t>
        </is>
      </c>
      <c r="I297" s="167" t="n"/>
      <c r="J297" s="167" t="n">
        <v>1</v>
      </c>
      <c r="K297" s="167" t="inlineStr">
        <is>
          <t>222×312×H57mm　約1200g</t>
        </is>
      </c>
      <c r="L297" s="295" t="n">
        <v>3470</v>
      </c>
      <c r="M297" s="157" t="n"/>
      <c r="N297" s="295" t="n">
        <v>5338.461538461538</v>
      </c>
      <c r="O297" s="290">
        <f>IF(COUNT(商品マスタ[[#This Row],[参考上代
（税込)]]) &gt; 0, (商品マスタ[[#This Row],[参考上代
（税込)]]-商品マスタ[[#This Row],[国内定価
（15％）]])/(商品マスタ[[#This Row],[参考上代
（税込)]]/1.08), "")</f>
        <v/>
      </c>
      <c r="P297" s="136" t="n">
        <v>0.1</v>
      </c>
      <c r="Q297" s="289">
        <f>商品マスタ[[#This Row],[仕入
単価]]*商品マスタ[[#This Row],[標準国内送料率]]</f>
        <v/>
      </c>
      <c r="R297" s="289" t="n"/>
      <c r="S297" s="289">
        <f>IF(ISBLANK(商品マスタ[[#This Row],[実績
国内送料]]),商品マスタ[[#This Row],[標準国内送料]],)</f>
        <v/>
      </c>
      <c r="T297" s="289">
        <f>商品マスタ[[#This Row],[仕入
単価]]+商品マスタ[[#This Row],[国内送料]]</f>
        <v/>
      </c>
      <c r="U297" s="289">
        <f>ROUNDUP(商品マスタ[[#This Row],[仕入単価+国内送料]]/0.8,-1)</f>
        <v/>
      </c>
      <c r="V297" s="289">
        <f>商品マスタ[[#This Row],[海外定価
（20％）]]-商品マスタ[[#This Row],[仕入単価+国内送料]]</f>
        <v/>
      </c>
      <c r="W297" s="167">
        <f>ROUNDUP(商品マスタ[[#This Row],[仕入単価+国内送料]]/0.85,-1)</f>
        <v/>
      </c>
      <c r="X297" s="289">
        <f>商品マスタ[[#This Row],[国内定価
（15％）]]-商品マスタ[[#This Row],[仕入単価+国内送料]]</f>
        <v/>
      </c>
      <c r="Y297" s="139" t="n">
        <v>0.08</v>
      </c>
      <c r="Z297" s="167" t="inlineStr">
        <is>
          <t>パウンド31日、クッキー45日、あんこパイ28日</t>
        </is>
      </c>
      <c r="AA297" s="167" t="inlineStr">
        <is>
          <t>常温</t>
        </is>
      </c>
      <c r="AB297" s="167" t="inlineStr">
        <is>
          <t>8日</t>
        </is>
      </c>
      <c r="AC297" s="293" t="n"/>
      <c r="AD297" s="167" t="n"/>
      <c r="AE297" s="167" t="n"/>
      <c r="AF297" s="167" t="inlineStr">
        <is>
          <t>〇</t>
        </is>
      </c>
      <c r="AG297" s="144" t="n"/>
    </row>
    <row r="298" ht="18" customHeight="1" s="207">
      <c r="A298" s="166" t="inlineStr">
        <is>
          <t>菓子</t>
        </is>
      </c>
      <c r="B298" s="167" t="inlineStr">
        <is>
          <t>洋菓子</t>
        </is>
      </c>
      <c r="C298" s="167" t="inlineStr">
        <is>
          <t>Nao-buns</t>
        </is>
      </c>
      <c r="D298" s="143">
        <f>"PRD_SNJ_"&amp;
_xlfn.XLOOKUP(商品マスタ[[#This Row],[仕入先]],テーブル1[仕入先名],テーブル1[仕入先コード],"XXX",0,1)&amp;
"_"&amp;
商品マスタ[[#This Row],[シリアル]]&amp;
"_"&amp;
TEXT(COUNTIFS(商品マスタ!$C$3:C298,商品マスタ[[#This Row],[仕入先]],商品マスタ!$E$3:E298,商品マスタ[[#This Row],[商品名]]), "00")</f>
        <v/>
      </c>
      <c r="E298" s="167" t="inlineStr">
        <is>
          <t>パウンドケーキ詰め合わせ１２個入り</t>
        </is>
      </c>
      <c r="F298" s="167">
        <f>IF(COUNTIFS($C$3:C298,商品マスタ[[#This Row],[仕入先]],$E$3:E298,商品マスタ[[#This Row],[商品名]]) = 1, 1,0)</f>
        <v/>
      </c>
      <c r="G298" s="133">
        <f>TEXT(SUMIF($C$3:C298,商品マスタ[[#This Row],[仕入先]],$F$3:F298), "0000")</f>
        <v/>
      </c>
      <c r="H298" s="167" t="inlineStr">
        <is>
          <t>個</t>
        </is>
      </c>
      <c r="I298" s="167" t="n"/>
      <c r="J298" s="167" t="n">
        <v>1</v>
      </c>
      <c r="K298" s="167" t="inlineStr">
        <is>
          <t>195*255*70
約680g</t>
        </is>
      </c>
      <c r="L298" s="295" t="n">
        <v>2414</v>
      </c>
      <c r="M298" s="157" t="n"/>
      <c r="N298" s="295" t="n">
        <v>3713.846153846154</v>
      </c>
      <c r="O298" s="290">
        <f>IF(COUNT(商品マスタ[[#This Row],[参考上代
（税込)]]) &gt; 0, (商品マスタ[[#This Row],[参考上代
（税込)]]-商品マスタ[[#This Row],[国内定価
（15％）]])/(商品マスタ[[#This Row],[参考上代
（税込)]]/1.08), "")</f>
        <v/>
      </c>
      <c r="P298" s="136" t="n">
        <v>0.1</v>
      </c>
      <c r="Q298" s="289">
        <f>商品マスタ[[#This Row],[仕入
単価]]*商品マスタ[[#This Row],[標準国内送料率]]</f>
        <v/>
      </c>
      <c r="R298" s="289" t="n"/>
      <c r="S298" s="289">
        <f>IF(ISBLANK(商品マスタ[[#This Row],[実績
国内送料]]),商品マスタ[[#This Row],[標準国内送料]],)</f>
        <v/>
      </c>
      <c r="T298" s="289">
        <f>商品マスタ[[#This Row],[仕入
単価]]+商品マスタ[[#This Row],[国内送料]]</f>
        <v/>
      </c>
      <c r="U298" s="289">
        <f>ROUNDUP(商品マスタ[[#This Row],[仕入単価+国内送料]]/0.8,-1)</f>
        <v/>
      </c>
      <c r="V298" s="289">
        <f>商品マスタ[[#This Row],[海外定価
（20％）]]-商品マスタ[[#This Row],[仕入単価+国内送料]]</f>
        <v/>
      </c>
      <c r="W298" s="167">
        <f>ROUNDUP(商品マスタ[[#This Row],[仕入単価+国内送料]]/0.85,-1)</f>
        <v/>
      </c>
      <c r="X298" s="289">
        <f>商品マスタ[[#This Row],[国内定価
（15％）]]-商品マスタ[[#This Row],[仕入単価+国内送料]]</f>
        <v/>
      </c>
      <c r="Y298" s="139" t="n">
        <v>0.08</v>
      </c>
      <c r="Z298" s="167" t="inlineStr">
        <is>
          <t>31日</t>
        </is>
      </c>
      <c r="AA298" s="167" t="inlineStr">
        <is>
          <t>常温</t>
        </is>
      </c>
      <c r="AB298" s="167" t="inlineStr">
        <is>
          <t>8日</t>
        </is>
      </c>
      <c r="AC298" s="293" t="n"/>
      <c r="AD298" s="167" t="n"/>
      <c r="AE298" s="167" t="n"/>
      <c r="AF298" s="167" t="inlineStr">
        <is>
          <t>〇</t>
        </is>
      </c>
      <c r="AG298" s="144" t="n"/>
    </row>
    <row r="299" ht="18" customHeight="1" s="207">
      <c r="A299" s="166" t="inlineStr">
        <is>
          <t>菓子</t>
        </is>
      </c>
      <c r="B299" s="167" t="inlineStr">
        <is>
          <t>洋菓子</t>
        </is>
      </c>
      <c r="C299" s="167" t="inlineStr">
        <is>
          <t>Nao-buns</t>
        </is>
      </c>
      <c r="D299" s="143">
        <f>"PRD_SNJ_"&amp;
_xlfn.XLOOKUP(商品マスタ[[#This Row],[仕入先]],テーブル1[仕入先名],テーブル1[仕入先コード],"XXX",0,1)&amp;
"_"&amp;
商品マスタ[[#This Row],[シリアル]]&amp;
"_"&amp;
TEXT(COUNTIFS(商品マスタ!$C$3:C299,商品マスタ[[#This Row],[仕入先]],商品マスタ!$E$3:E299,商品マスタ[[#This Row],[商品名]]), "00")</f>
        <v/>
      </c>
      <c r="E299" s="167" t="inlineStr">
        <is>
          <t>【期間限定】クリスマス焼き菓子セット</t>
        </is>
      </c>
      <c r="F299" s="167">
        <f>IF(COUNTIFS($C$3:C299,商品マスタ[[#This Row],[仕入先]],$E$3:E299,商品マスタ[[#This Row],[商品名]]) = 1, 1,0)</f>
        <v/>
      </c>
      <c r="G299" s="133">
        <f>TEXT(SUMIF($C$3:C299,商品マスタ[[#This Row],[仕入先]],$F$3:F299), "0000")</f>
        <v/>
      </c>
      <c r="H299" s="167" t="inlineStr">
        <is>
          <t>個</t>
        </is>
      </c>
      <c r="I299" s="167" t="n"/>
      <c r="J299" s="167" t="n">
        <v>1</v>
      </c>
      <c r="K299" s="167" t="inlineStr">
        <is>
          <t>60サイズ箱ｘ１</t>
        </is>
      </c>
      <c r="L299" s="295" t="n">
        <v>4875</v>
      </c>
      <c r="M299" s="157" t="n"/>
      <c r="N299" s="295" t="n">
        <v>7500</v>
      </c>
      <c r="O299" s="290">
        <f>IF(COUNT(商品マスタ[[#This Row],[参考上代
（税込)]]) &gt; 0, (商品マスタ[[#This Row],[参考上代
（税込)]]-商品マスタ[[#This Row],[国内定価
（15％）]])/(商品マスタ[[#This Row],[参考上代
（税込)]]/1.08), "")</f>
        <v/>
      </c>
      <c r="P299" s="136" t="n">
        <v>0.1</v>
      </c>
      <c r="Q299" s="289">
        <f>商品マスタ[[#This Row],[仕入
単価]]*商品マスタ[[#This Row],[標準国内送料率]]</f>
        <v/>
      </c>
      <c r="R299" s="289" t="n"/>
      <c r="S299" s="289">
        <f>IF(ISBLANK(商品マスタ[[#This Row],[実績
国内送料]]),商品マスタ[[#This Row],[標準国内送料]],)</f>
        <v/>
      </c>
      <c r="T299" s="289">
        <f>商品マスタ[[#This Row],[仕入
単価]]+商品マスタ[[#This Row],[国内送料]]</f>
        <v/>
      </c>
      <c r="U299" s="289">
        <f>ROUNDUP(商品マスタ[[#This Row],[仕入単価+国内送料]]/0.8,-1)</f>
        <v/>
      </c>
      <c r="V299" s="289">
        <f>商品マスタ[[#This Row],[海外定価
（20％）]]-商品マスタ[[#This Row],[仕入単価+国内送料]]</f>
        <v/>
      </c>
      <c r="W299" s="167">
        <f>ROUNDUP(商品マスタ[[#This Row],[仕入単価+国内送料]]/0.85,-1)</f>
        <v/>
      </c>
      <c r="X299" s="289">
        <f>商品マスタ[[#This Row],[国内定価
（15％）]]-商品マスタ[[#This Row],[仕入単価+国内送料]]</f>
        <v/>
      </c>
      <c r="Y299" s="139" t="n">
        <v>0.08</v>
      </c>
      <c r="Z299" s="167" t="inlineStr">
        <is>
          <t>45日</t>
        </is>
      </c>
      <c r="AA299" s="167" t="inlineStr">
        <is>
          <t>常温</t>
        </is>
      </c>
      <c r="AB299" s="167" t="inlineStr">
        <is>
          <t>10日</t>
        </is>
      </c>
      <c r="AC299" s="293" t="n"/>
      <c r="AD299" s="167" t="n"/>
      <c r="AE299" s="167" t="n"/>
      <c r="AF299" s="167" t="inlineStr">
        <is>
          <t>〇</t>
        </is>
      </c>
      <c r="AG299" s="144" t="n"/>
    </row>
    <row r="300" ht="18" customHeight="1" s="207">
      <c r="A300" s="166" t="inlineStr">
        <is>
          <t>菓子</t>
        </is>
      </c>
      <c r="B300" s="167" t="inlineStr">
        <is>
          <t>洋菓子</t>
        </is>
      </c>
      <c r="C300" s="167" t="inlineStr">
        <is>
          <t>Nao-buns</t>
        </is>
      </c>
      <c r="D300" s="143">
        <f>"PRD_SNJ_"&amp;
_xlfn.XLOOKUP(商品マスタ[[#This Row],[仕入先]],テーブル1[仕入先名],テーブル1[仕入先コード],"XXX",0,1)&amp;
"_"&amp;
商品マスタ[[#This Row],[シリアル]]&amp;
"_"&amp;
TEXT(COUNTIFS(商品マスタ!$C$3:C300,商品マスタ[[#This Row],[仕入先]],商品マスタ!$E$3:E300,商品マスタ[[#This Row],[商品名]]), "00")</f>
        <v/>
      </c>
      <c r="E300" s="167" t="inlineStr">
        <is>
          <t>【期間限定】クリスマスシュトーレン2本セット</t>
        </is>
      </c>
      <c r="F300" s="167">
        <f>IF(COUNTIFS($C$3:C300,商品マスタ[[#This Row],[仕入先]],$E$3:E300,商品マスタ[[#This Row],[商品名]]) = 1, 1,0)</f>
        <v/>
      </c>
      <c r="G300" s="133">
        <f>TEXT(SUMIF($C$3:C300,商品マスタ[[#This Row],[仕入先]],$F$3:F300), "0000")</f>
        <v/>
      </c>
      <c r="H300" s="167" t="inlineStr">
        <is>
          <t>個</t>
        </is>
      </c>
      <c r="I300" s="167" t="n"/>
      <c r="J300" s="167" t="n">
        <v>1</v>
      </c>
      <c r="K300" s="167" t="inlineStr">
        <is>
          <t>195*255*70
約680g</t>
        </is>
      </c>
      <c r="L300" s="295" t="n">
        <v>2729</v>
      </c>
      <c r="M300" s="157" t="n"/>
      <c r="N300" s="295" t="n">
        <v>4198.461538461538</v>
      </c>
      <c r="O300" s="290">
        <f>IF(COUNT(商品マスタ[[#This Row],[参考上代
（税込)]]) &gt; 0, (商品マスタ[[#This Row],[参考上代
（税込)]]-商品マスタ[[#This Row],[国内定価
（15％）]])/(商品マスタ[[#This Row],[参考上代
（税込)]]/1.08), "")</f>
        <v/>
      </c>
      <c r="P300" s="136" t="n">
        <v>0.1</v>
      </c>
      <c r="Q300" s="289">
        <f>商品マスタ[[#This Row],[仕入
単価]]*商品マスタ[[#This Row],[標準国内送料率]]</f>
        <v/>
      </c>
      <c r="R300" s="289" t="n"/>
      <c r="S300" s="289">
        <f>IF(ISBLANK(商品マスタ[[#This Row],[実績
国内送料]]),商品マスタ[[#This Row],[標準国内送料]],)</f>
        <v/>
      </c>
      <c r="T300" s="289">
        <f>商品マスタ[[#This Row],[仕入
単価]]+商品マスタ[[#This Row],[国内送料]]</f>
        <v/>
      </c>
      <c r="U300" s="289">
        <f>ROUNDUP(商品マスタ[[#This Row],[仕入単価+国内送料]]/0.8,-1)</f>
        <v/>
      </c>
      <c r="V300" s="289">
        <f>商品マスタ[[#This Row],[海外定価
（20％）]]-商品マスタ[[#This Row],[仕入単価+国内送料]]</f>
        <v/>
      </c>
      <c r="W300" s="167">
        <f>ROUNDUP(商品マスタ[[#This Row],[仕入単価+国内送料]]/0.85,-1)</f>
        <v/>
      </c>
      <c r="X300" s="289">
        <f>商品マスタ[[#This Row],[国内定価
（15％）]]-商品マスタ[[#This Row],[仕入単価+国内送料]]</f>
        <v/>
      </c>
      <c r="Y300" s="139" t="n">
        <v>0.08</v>
      </c>
      <c r="Z300" s="167" t="inlineStr">
        <is>
          <t>45日</t>
        </is>
      </c>
      <c r="AA300" s="167" t="inlineStr">
        <is>
          <t>常温</t>
        </is>
      </c>
      <c r="AB300" s="167" t="inlineStr">
        <is>
          <t>10日</t>
        </is>
      </c>
      <c r="AC300" s="293" t="n"/>
      <c r="AD300" s="167" t="n"/>
      <c r="AE300" s="167" t="n"/>
      <c r="AF300" s="167" t="inlineStr">
        <is>
          <t>〇</t>
        </is>
      </c>
      <c r="AG300" s="144" t="n"/>
    </row>
    <row r="301" ht="18" customHeight="1" s="207">
      <c r="A301" s="166" t="inlineStr">
        <is>
          <t>水産</t>
        </is>
      </c>
      <c r="B301" s="167" t="inlineStr">
        <is>
          <t>水産物</t>
        </is>
      </c>
      <c r="C301" s="167" t="inlineStr">
        <is>
          <t>知床工房</t>
        </is>
      </c>
      <c r="D301" s="143">
        <f>"PRD_SNJ_"&amp;
_xlfn.XLOOKUP(商品マスタ[[#This Row],[仕入先]],テーブル1[仕入先名],テーブル1[仕入先コード],"XXX",0,1)&amp;
"_"&amp;
商品マスタ[[#This Row],[シリアル]]&amp;
"_"&amp;
TEXT(COUNTIFS(商品マスタ!$C$3:C301,商品マスタ[[#This Row],[仕入先]],商品マスタ!$E$3:E301,商品マスタ[[#This Row],[商品名]]), "00")</f>
        <v/>
      </c>
      <c r="E301" s="167" t="inlineStr">
        <is>
          <t>純粋知床産　きんき一夜干し２４０ℊ1枚と開きホッケ２４０ℊ１枚　つるし干しセット</t>
        </is>
      </c>
      <c r="F301" s="167">
        <f>IF(COUNTIFS($C$3:C301,商品マスタ[[#This Row],[仕入先]],$E$3:E301,商品マスタ[[#This Row],[商品名]]) = 1, 1,0)</f>
        <v/>
      </c>
      <c r="G301" s="133">
        <f>TEXT(SUMIF($C$3:C301,商品マスタ[[#This Row],[仕入先]],$F$3:F301), "0000")</f>
        <v/>
      </c>
      <c r="H301" s="167" t="inlineStr">
        <is>
          <t>セット</t>
        </is>
      </c>
      <c r="I301" s="167" t="n"/>
      <c r="J301" s="167" t="n">
        <v>1</v>
      </c>
      <c r="K301" s="167" t="n"/>
      <c r="L301" s="295" t="n">
        <v>4440</v>
      </c>
      <c r="M301" s="157" t="n"/>
      <c r="N301" s="295" t="n">
        <v>6343</v>
      </c>
      <c r="O301" s="290">
        <f>IF(COUNT(商品マスタ[[#This Row],[参考上代
（税込)]]) &gt; 0, (商品マスタ[[#This Row],[参考上代
（税込)]]-商品マスタ[[#This Row],[国内定価
（15％）]])/(商品マスタ[[#This Row],[参考上代
（税込)]]/1.08), "")</f>
        <v/>
      </c>
      <c r="P301" s="136" t="n">
        <v>0.1</v>
      </c>
      <c r="Q301" s="289">
        <f>商品マスタ[[#This Row],[仕入
単価]]*商品マスタ[[#This Row],[標準国内送料率]]</f>
        <v/>
      </c>
      <c r="R301" s="289" t="n">
        <v>0</v>
      </c>
      <c r="S301" s="289">
        <f>IF(ISBLANK(商品マスタ[[#This Row],[実績
国内送料]]),商品マスタ[[#This Row],[標準国内送料]],)</f>
        <v/>
      </c>
      <c r="T301" s="289">
        <f>商品マスタ[[#This Row],[仕入
単価]]+商品マスタ[[#This Row],[国内送料]]</f>
        <v/>
      </c>
      <c r="U301" s="289">
        <f>ROUNDUP(商品マスタ[[#This Row],[仕入単価+国内送料]]/0.8,-1)</f>
        <v/>
      </c>
      <c r="V301" s="289">
        <f>商品マスタ[[#This Row],[海外定価
（20％）]]-商品マスタ[[#This Row],[仕入単価+国内送料]]</f>
        <v/>
      </c>
      <c r="W301" s="167">
        <f>ROUNDUP(商品マスタ[[#This Row],[仕入単価+国内送料]]/0.85,-1)</f>
        <v/>
      </c>
      <c r="X301" s="289">
        <f>商品マスタ[[#This Row],[国内定価
（15％）]]-商品マスタ[[#This Row],[仕入単価+国内送料]]</f>
        <v/>
      </c>
      <c r="Y301" s="139" t="n">
        <v>0.08</v>
      </c>
      <c r="Z301" s="167" t="n"/>
      <c r="AA301" s="167" t="inlineStr">
        <is>
          <t>到着後冷凍保存していただき、冷蔵庫で数時間自然解凍後、焼き魚でお召し上がりください。
・開封後は一度に食べきってください。</t>
        </is>
      </c>
      <c r="AB301" s="167" t="n"/>
      <c r="AC301" s="293" t="n"/>
      <c r="AD301" s="167" t="n"/>
      <c r="AE301" s="167" t="n"/>
      <c r="AF301" s="167" t="inlineStr">
        <is>
          <t>〇</t>
        </is>
      </c>
      <c r="AG301" s="144" t="n"/>
    </row>
    <row r="302" ht="18" customHeight="1" s="207">
      <c r="A302" s="166" t="inlineStr">
        <is>
          <t>水産</t>
        </is>
      </c>
      <c r="B302" s="167" t="inlineStr">
        <is>
          <t>水産物</t>
        </is>
      </c>
      <c r="C302" s="167" t="inlineStr">
        <is>
          <t>知床工房</t>
        </is>
      </c>
      <c r="D302" s="143">
        <f>"PRD_SNJ_"&amp;
_xlfn.XLOOKUP(商品マスタ[[#This Row],[仕入先]],テーブル1[仕入先名],テーブル1[仕入先コード],"XXX",0,1)&amp;
"_"&amp;
商品マスタ[[#This Row],[シリアル]]&amp;
"_"&amp;
TEXT(COUNTIFS(商品マスタ!$C$3:C302,商品マスタ[[#This Row],[仕入先]],商品マスタ!$E$3:E302,商品マスタ[[#This Row],[商品名]]), "00")</f>
        <v/>
      </c>
      <c r="E302" s="167" t="inlineStr">
        <is>
          <t>知床ブランド認証セット３品種詰合せ</t>
        </is>
      </c>
      <c r="F302" s="167">
        <f>IF(COUNTIFS($C$3:C302,商品マスタ[[#This Row],[仕入先]],$E$3:E302,商品マスタ[[#This Row],[商品名]]) = 1, 1,0)</f>
        <v/>
      </c>
      <c r="G302" s="133">
        <f>TEXT(SUMIF($C$3:C302,商品マスタ[[#This Row],[仕入先]],$F$3:F302), "0000")</f>
        <v/>
      </c>
      <c r="H302" s="167" t="inlineStr">
        <is>
          <t>セット</t>
        </is>
      </c>
      <c r="I302" s="167" t="n"/>
      <c r="J302" s="167" t="n">
        <v>1</v>
      </c>
      <c r="K302" s="167" t="n"/>
      <c r="L302" s="295" t="n">
        <v>5445</v>
      </c>
      <c r="M302" s="157" t="n"/>
      <c r="N302" s="295" t="n">
        <v>7778</v>
      </c>
      <c r="O302" s="290">
        <f>IF(COUNT(商品マスタ[[#This Row],[参考上代
（税込)]]) &gt; 0, (商品マスタ[[#This Row],[参考上代
（税込)]]-商品マスタ[[#This Row],[国内定価
（15％）]])/(商品マスタ[[#This Row],[参考上代
（税込)]]/1.08), "")</f>
        <v/>
      </c>
      <c r="P302" s="136" t="n">
        <v>0.1</v>
      </c>
      <c r="Q302" s="289">
        <f>商品マスタ[[#This Row],[仕入
単価]]*商品マスタ[[#This Row],[標準国内送料率]]</f>
        <v/>
      </c>
      <c r="R302" s="289" t="n">
        <v>0</v>
      </c>
      <c r="S302" s="289">
        <f>IF(ISBLANK(商品マスタ[[#This Row],[実績
国内送料]]),商品マスタ[[#This Row],[標準国内送料]],)</f>
        <v/>
      </c>
      <c r="T302" s="289">
        <f>商品マスタ[[#This Row],[仕入
単価]]+商品マスタ[[#This Row],[国内送料]]</f>
        <v/>
      </c>
      <c r="U302" s="289">
        <f>ROUNDUP(商品マスタ[[#This Row],[仕入単価+国内送料]]/0.8,-1)</f>
        <v/>
      </c>
      <c r="V302" s="289">
        <f>商品マスタ[[#This Row],[海外定価
（20％）]]-商品マスタ[[#This Row],[仕入単価+国内送料]]</f>
        <v/>
      </c>
      <c r="W302" s="167">
        <f>ROUNDUP(商品マスタ[[#This Row],[仕入単価+国内送料]]/0.85,-1)</f>
        <v/>
      </c>
      <c r="X302" s="289">
        <f>商品マスタ[[#This Row],[国内定価
（15％）]]-商品マスタ[[#This Row],[仕入単価+国内送料]]</f>
        <v/>
      </c>
      <c r="Y302" s="139" t="n">
        <v>0.08</v>
      </c>
      <c r="Z302" s="167" t="n"/>
      <c r="AA302" s="167" t="inlineStr">
        <is>
          <t>到着後は冷凍保存をしていただき、お召し上がりになるときに冷蔵解凍して開封後は早めにお召し上がりください。</t>
        </is>
      </c>
      <c r="AB302" s="167" t="n"/>
      <c r="AC302" s="293" t="n"/>
      <c r="AD302" s="167" t="n"/>
      <c r="AE302" s="167" t="n"/>
      <c r="AF302" s="167" t="inlineStr">
        <is>
          <t>〇</t>
        </is>
      </c>
      <c r="AG302" s="144" t="n"/>
    </row>
    <row r="303" ht="18" customHeight="1" s="207">
      <c r="A303" s="166" t="inlineStr">
        <is>
          <t>水産</t>
        </is>
      </c>
      <c r="B303" s="167" t="inlineStr">
        <is>
          <t>水産物</t>
        </is>
      </c>
      <c r="C303" s="167" t="inlineStr">
        <is>
          <t>知床工房</t>
        </is>
      </c>
      <c r="D303" s="143">
        <f>"PRD_SNJ_"&amp;
_xlfn.XLOOKUP(商品マスタ[[#This Row],[仕入先]],テーブル1[仕入先名],テーブル1[仕入先コード],"XXX",0,1)&amp;
"_"&amp;
商品マスタ[[#This Row],[シリアル]]&amp;
"_"&amp;
TEXT(COUNTIFS(商品マスタ!$C$3:C303,商品マスタ[[#This Row],[仕入先]],商品マスタ!$E$3:E303,商品マスタ[[#This Row],[商品名]]), "00")</f>
        <v/>
      </c>
      <c r="E303" s="167" t="inlineStr">
        <is>
          <t>純粋知床産　人気の吊るし干しセット　ほっけ.宗八かれい.銀がれい</t>
        </is>
      </c>
      <c r="F303" s="167">
        <f>IF(COUNTIFS($C$3:C303,商品マスタ[[#This Row],[仕入先]],$E$3:E303,商品マスタ[[#This Row],[商品名]]) = 1, 1,0)</f>
        <v/>
      </c>
      <c r="G303" s="133">
        <f>TEXT(SUMIF($C$3:C303,商品マスタ[[#This Row],[仕入先]],$F$3:F303), "0000")</f>
        <v/>
      </c>
      <c r="H303" s="167" t="inlineStr">
        <is>
          <t>セット</t>
        </is>
      </c>
      <c r="I303" s="167" t="n"/>
      <c r="J303" s="167" t="n">
        <v>1</v>
      </c>
      <c r="K303" s="167" t="n"/>
      <c r="L303" s="295" t="n">
        <v>3040</v>
      </c>
      <c r="M303" s="157" t="n"/>
      <c r="N303" s="295" t="n">
        <v>4343</v>
      </c>
      <c r="O303" s="290">
        <f>IF(COUNT(商品マスタ[[#This Row],[参考上代
（税込)]]) &gt; 0, (商品マスタ[[#This Row],[参考上代
（税込)]]-商品マスタ[[#This Row],[国内定価
（15％）]])/(商品マスタ[[#This Row],[参考上代
（税込)]]/1.08), "")</f>
        <v/>
      </c>
      <c r="P303" s="136" t="n">
        <v>0.1</v>
      </c>
      <c r="Q303" s="289">
        <f>商品マスタ[[#This Row],[仕入
単価]]*商品マスタ[[#This Row],[標準国内送料率]]</f>
        <v/>
      </c>
      <c r="R303" s="289" t="n">
        <v>0</v>
      </c>
      <c r="S303" s="289">
        <f>IF(ISBLANK(商品マスタ[[#This Row],[実績
国内送料]]),商品マスタ[[#This Row],[標準国内送料]],)</f>
        <v/>
      </c>
      <c r="T303" s="289">
        <f>商品マスタ[[#This Row],[仕入
単価]]+商品マスタ[[#This Row],[国内送料]]</f>
        <v/>
      </c>
      <c r="U303" s="289">
        <f>ROUNDUP(商品マスタ[[#This Row],[仕入単価+国内送料]]/0.8,-1)</f>
        <v/>
      </c>
      <c r="V303" s="289">
        <f>商品マスタ[[#This Row],[海外定価
（20％）]]-商品マスタ[[#This Row],[仕入単価+国内送料]]</f>
        <v/>
      </c>
      <c r="W303" s="167">
        <f>ROUNDUP(商品マスタ[[#This Row],[仕入単価+国内送料]]/0.85,-1)</f>
        <v/>
      </c>
      <c r="X303" s="289">
        <f>商品マスタ[[#This Row],[国内定価
（15％）]]-商品マスタ[[#This Row],[仕入単価+国内送料]]</f>
        <v/>
      </c>
      <c r="Y303" s="139" t="n">
        <v>0.08</v>
      </c>
      <c r="Z303" s="167" t="n"/>
      <c r="AA303" s="167" t="inlineStr">
        <is>
          <t>到着後は冷凍保存ををお願いいたします。冷蔵解凍後、お早めにお召し上がりください。</t>
        </is>
      </c>
      <c r="AB303" s="167" t="n"/>
      <c r="AC303" s="293" t="n"/>
      <c r="AD303" s="167" t="n"/>
      <c r="AE303" s="167" t="n"/>
      <c r="AF303" s="167" t="inlineStr">
        <is>
          <t>〇</t>
        </is>
      </c>
      <c r="AG303" s="144" t="n"/>
    </row>
    <row r="304" ht="18" customHeight="1" s="207">
      <c r="A304" s="166" t="inlineStr">
        <is>
          <t>水産</t>
        </is>
      </c>
      <c r="B304" s="167" t="inlineStr">
        <is>
          <t>水産物</t>
        </is>
      </c>
      <c r="C304" s="167" t="inlineStr">
        <is>
          <t>知床工房</t>
        </is>
      </c>
      <c r="D304" s="143">
        <f>"PRD_SNJ_"&amp;
_xlfn.XLOOKUP(商品マスタ[[#This Row],[仕入先]],テーブル1[仕入先名],テーブル1[仕入先コード],"XXX",0,1)&amp;
"_"&amp;
商品マスタ[[#This Row],[シリアル]]&amp;
"_"&amp;
TEXT(COUNTIFS(商品マスタ!$C$3:C304,商品マスタ[[#This Row],[仕入先]],商品マスタ!$E$3:E304,商品マスタ[[#This Row],[商品名]]), "00")</f>
        <v/>
      </c>
      <c r="E304" s="167" t="inlineStr">
        <is>
          <t>純粋知床産　低温長時間微風乾燥　開きほっけと宗八がれいとなめたかれいとさくらます一夜干しのセット</t>
        </is>
      </c>
      <c r="F304" s="167">
        <f>IF(COUNTIFS($C$3:C304,商品マスタ[[#This Row],[仕入先]],$E$3:E304,商品マスタ[[#This Row],[商品名]]) = 1, 1,0)</f>
        <v/>
      </c>
      <c r="G304" s="133">
        <f>TEXT(SUMIF($C$3:C304,商品マスタ[[#This Row],[仕入先]],$F$3:F304), "0000")</f>
        <v/>
      </c>
      <c r="H304" s="167" t="inlineStr">
        <is>
          <t>セット</t>
        </is>
      </c>
      <c r="I304" s="167" t="n"/>
      <c r="J304" s="167" t="n">
        <v>1</v>
      </c>
      <c r="K304" s="167" t="n"/>
      <c r="L304" s="295" t="n">
        <v>3610</v>
      </c>
      <c r="M304" s="157" t="n"/>
      <c r="N304" s="295" t="n">
        <v>5157</v>
      </c>
      <c r="O304" s="290">
        <f>IF(COUNT(商品マスタ[[#This Row],[参考上代
（税込)]]) &gt; 0, (商品マスタ[[#This Row],[参考上代
（税込)]]-商品マスタ[[#This Row],[国内定価
（15％）]])/(商品マスタ[[#This Row],[参考上代
（税込)]]/1.08), "")</f>
        <v/>
      </c>
      <c r="P304" s="136" t="n">
        <v>0.1</v>
      </c>
      <c r="Q304" s="289">
        <f>商品マスタ[[#This Row],[仕入
単価]]*商品マスタ[[#This Row],[標準国内送料率]]</f>
        <v/>
      </c>
      <c r="R304" s="289" t="n">
        <v>0</v>
      </c>
      <c r="S304" s="289">
        <f>IF(ISBLANK(商品マスタ[[#This Row],[実績
国内送料]]),商品マスタ[[#This Row],[標準国内送料]],)</f>
        <v/>
      </c>
      <c r="T304" s="289">
        <f>商品マスタ[[#This Row],[仕入
単価]]+商品マスタ[[#This Row],[国内送料]]</f>
        <v/>
      </c>
      <c r="U304" s="289">
        <f>ROUNDUP(商品マスタ[[#This Row],[仕入単価+国内送料]]/0.8,-1)</f>
        <v/>
      </c>
      <c r="V304" s="289">
        <f>商品マスタ[[#This Row],[海外定価
（20％）]]-商品マスタ[[#This Row],[仕入単価+国内送料]]</f>
        <v/>
      </c>
      <c r="W304" s="167">
        <f>ROUNDUP(商品マスタ[[#This Row],[仕入単価+国内送料]]/0.85,-1)</f>
        <v/>
      </c>
      <c r="X304" s="289">
        <f>商品マスタ[[#This Row],[国内定価
（15％）]]-商品マスタ[[#This Row],[仕入単価+国内送料]]</f>
        <v/>
      </c>
      <c r="Y304" s="139" t="n">
        <v>0.08</v>
      </c>
      <c r="Z304" s="167" t="n"/>
      <c r="AA304" s="167" t="inlineStr">
        <is>
          <t>到着後は冷凍保管　冷蔵解凍してください。開封後は早めにお召し上がりください。</t>
        </is>
      </c>
      <c r="AB304" s="167" t="n"/>
      <c r="AC304" s="293" t="n"/>
      <c r="AD304" s="167" t="n"/>
      <c r="AE304" s="167" t="n"/>
      <c r="AF304" s="167" t="inlineStr">
        <is>
          <t>〇</t>
        </is>
      </c>
      <c r="AG304" s="144" t="n"/>
    </row>
    <row r="305" ht="18" customHeight="1" s="207">
      <c r="A305" s="166" t="inlineStr">
        <is>
          <t>水産</t>
        </is>
      </c>
      <c r="B305" s="167" t="inlineStr">
        <is>
          <t>水産物</t>
        </is>
      </c>
      <c r="C305" s="167" t="inlineStr">
        <is>
          <t>知床工房</t>
        </is>
      </c>
      <c r="D305" s="143">
        <f>"PRD_SNJ_"&amp;
_xlfn.XLOOKUP(商品マスタ[[#This Row],[仕入先]],テーブル1[仕入先名],テーブル1[仕入先コード],"XXX",0,1)&amp;
"_"&amp;
商品マスタ[[#This Row],[シリアル]]&amp;
"_"&amp;
TEXT(COUNTIFS(商品マスタ!$C$3:C305,商品マスタ[[#This Row],[仕入先]],商品マスタ!$E$3:E305,商品マスタ[[#This Row],[商品名]]), "00")</f>
        <v/>
      </c>
      <c r="E305" s="167" t="inlineStr">
        <is>
          <t>知床低温熟成味噌仕込み　ぶり．さくらます．銀がれい</t>
        </is>
      </c>
      <c r="F305" s="167">
        <f>IF(COUNTIFS($C$3:C305,商品マスタ[[#This Row],[仕入先]],$E$3:E305,商品マスタ[[#This Row],[商品名]]) = 1, 1,0)</f>
        <v/>
      </c>
      <c r="G305" s="133">
        <f>TEXT(SUMIF($C$3:C305,商品マスタ[[#This Row],[仕入先]],$F$3:F305), "0000")</f>
        <v/>
      </c>
      <c r="H305" s="167" t="inlineStr">
        <is>
          <t>セット</t>
        </is>
      </c>
      <c r="I305" s="167" t="n"/>
      <c r="J305" s="167" t="n">
        <v>1</v>
      </c>
      <c r="K305" s="167" t="n"/>
      <c r="L305" s="295" t="n">
        <v>3786</v>
      </c>
      <c r="M305" s="157" t="n"/>
      <c r="N305" s="295" t="n">
        <v>5408</v>
      </c>
      <c r="O305" s="290">
        <f>IF(COUNT(商品マスタ[[#This Row],[参考上代
（税込)]]) &gt; 0, (商品マスタ[[#This Row],[参考上代
（税込)]]-商品マスタ[[#This Row],[国内定価
（15％）]])/(商品マスタ[[#This Row],[参考上代
（税込)]]/1.08), "")</f>
        <v/>
      </c>
      <c r="P305" s="136" t="n">
        <v>0.1</v>
      </c>
      <c r="Q305" s="289">
        <f>商品マスタ[[#This Row],[仕入
単価]]*商品マスタ[[#This Row],[標準国内送料率]]</f>
        <v/>
      </c>
      <c r="R305" s="289" t="n">
        <v>0</v>
      </c>
      <c r="S305" s="289">
        <f>IF(ISBLANK(商品マスタ[[#This Row],[実績
国内送料]]),商品マスタ[[#This Row],[標準国内送料]],)</f>
        <v/>
      </c>
      <c r="T305" s="289">
        <f>商品マスタ[[#This Row],[仕入
単価]]+商品マスタ[[#This Row],[国内送料]]</f>
        <v/>
      </c>
      <c r="U305" s="289">
        <f>ROUNDUP(商品マスタ[[#This Row],[仕入単価+国内送料]]/0.8,-1)</f>
        <v/>
      </c>
      <c r="V305" s="289">
        <f>商品マスタ[[#This Row],[海外定価
（20％）]]-商品マスタ[[#This Row],[仕入単価+国内送料]]</f>
        <v/>
      </c>
      <c r="W305" s="167">
        <f>ROUNDUP(商品マスタ[[#This Row],[仕入単価+国内送料]]/0.85,-1)</f>
        <v/>
      </c>
      <c r="X305" s="289">
        <f>商品マスタ[[#This Row],[国内定価
（15％）]]-商品マスタ[[#This Row],[仕入単価+国内送料]]</f>
        <v/>
      </c>
      <c r="Y305" s="139" t="n">
        <v>0.08</v>
      </c>
      <c r="Z305" s="167" t="n"/>
      <c r="AA305" s="167" t="n"/>
      <c r="AB305" s="167" t="n"/>
      <c r="AC305" s="293" t="n"/>
      <c r="AD305" s="167" t="n"/>
      <c r="AE305" s="167" t="n"/>
      <c r="AF305" s="167" t="inlineStr">
        <is>
          <t>〇</t>
        </is>
      </c>
      <c r="AG305" s="144" t="n"/>
    </row>
    <row r="306" ht="18" customHeight="1" s="207">
      <c r="A306" s="166" t="inlineStr">
        <is>
          <t>水産</t>
        </is>
      </c>
      <c r="B306" s="167" t="inlineStr">
        <is>
          <t>水産物</t>
        </is>
      </c>
      <c r="C306" s="167" t="inlineStr">
        <is>
          <t>知床工房</t>
        </is>
      </c>
      <c r="D306" s="143">
        <f>"PRD_SNJ_"&amp;
_xlfn.XLOOKUP(商品マスタ[[#This Row],[仕入先]],テーブル1[仕入先名],テーブル1[仕入先コード],"XXX",0,1)&amp;
"_"&amp;
商品マスタ[[#This Row],[シリアル]]&amp;
"_"&amp;
TEXT(COUNTIFS(商品マスタ!$C$3:C306,商品マスタ[[#This Row],[仕入先]],商品マスタ!$E$3:E306,商品マスタ[[#This Row],[商品名]]), "00")</f>
        <v/>
      </c>
      <c r="E306" s="167" t="inlineStr">
        <is>
          <t xml:space="preserve">知床低温熟成味噌仕込み・ほっけ・さくらます・銀がれい・さめがれい4種　</t>
        </is>
      </c>
      <c r="F306" s="167">
        <f>IF(COUNTIFS($C$3:C306,商品マスタ[[#This Row],[仕入先]],$E$3:E306,商品マスタ[[#This Row],[商品名]]) = 1, 1,0)</f>
        <v/>
      </c>
      <c r="G306" s="133">
        <f>TEXT(SUMIF($C$3:C306,商品マスタ[[#This Row],[仕入先]],$F$3:F306), "0000")</f>
        <v/>
      </c>
      <c r="H306" s="167" t="inlineStr">
        <is>
          <t>セット</t>
        </is>
      </c>
      <c r="I306" s="167" t="n"/>
      <c r="J306" s="167" t="n">
        <v>1</v>
      </c>
      <c r="K306" s="167" t="n"/>
      <c r="L306" s="295" t="n">
        <v>3889</v>
      </c>
      <c r="M306" s="157" t="n"/>
      <c r="N306" s="295" t="n">
        <v>5556</v>
      </c>
      <c r="O306" s="290">
        <f>IF(COUNT(商品マスタ[[#This Row],[参考上代
（税込)]]) &gt; 0, (商品マスタ[[#This Row],[参考上代
（税込)]]-商品マスタ[[#This Row],[国内定価
（15％）]])/(商品マスタ[[#This Row],[参考上代
（税込)]]/1.08), "")</f>
        <v/>
      </c>
      <c r="P306" s="136" t="n">
        <v>0.1</v>
      </c>
      <c r="Q306" s="289">
        <f>商品マスタ[[#This Row],[仕入
単価]]*商品マスタ[[#This Row],[標準国内送料率]]</f>
        <v/>
      </c>
      <c r="R306" s="289" t="n">
        <v>0</v>
      </c>
      <c r="S306" s="289">
        <f>IF(ISBLANK(商品マスタ[[#This Row],[実績
国内送料]]),商品マスタ[[#This Row],[標準国内送料]],)</f>
        <v/>
      </c>
      <c r="T306" s="289">
        <f>商品マスタ[[#This Row],[仕入
単価]]+商品マスタ[[#This Row],[国内送料]]</f>
        <v/>
      </c>
      <c r="U306" s="289">
        <f>ROUNDUP(商品マスタ[[#This Row],[仕入単価+国内送料]]/0.8,-1)</f>
        <v/>
      </c>
      <c r="V306" s="289">
        <f>商品マスタ[[#This Row],[海外定価
（20％）]]-商品マスタ[[#This Row],[仕入単価+国内送料]]</f>
        <v/>
      </c>
      <c r="W306" s="167">
        <f>ROUNDUP(商品マスタ[[#This Row],[仕入単価+国内送料]]/0.85,-1)</f>
        <v/>
      </c>
      <c r="X306" s="289">
        <f>商品マスタ[[#This Row],[国内定価
（15％）]]-商品マスタ[[#This Row],[仕入単価+国内送料]]</f>
        <v/>
      </c>
      <c r="Y306" s="139" t="n">
        <v>0.08</v>
      </c>
      <c r="Z306" s="167" t="n"/>
      <c r="AA306" s="167" t="n"/>
      <c r="AB306" s="167" t="n"/>
      <c r="AC306" s="293" t="n"/>
      <c r="AD306" s="167" t="n"/>
      <c r="AE306" s="167" t="n"/>
      <c r="AF306" s="167" t="inlineStr">
        <is>
          <t>〇</t>
        </is>
      </c>
      <c r="AG306" s="144" t="n"/>
    </row>
    <row r="307" ht="18" customHeight="1" s="207">
      <c r="A307" s="166" t="inlineStr">
        <is>
          <t>水産</t>
        </is>
      </c>
      <c r="B307" s="167" t="inlineStr">
        <is>
          <t>水産物</t>
        </is>
      </c>
      <c r="C307" s="167" t="inlineStr">
        <is>
          <t>知床工房</t>
        </is>
      </c>
      <c r="D307" s="143">
        <f>"PRD_SNJ_"&amp;
_xlfn.XLOOKUP(商品マスタ[[#This Row],[仕入先]],テーブル1[仕入先名],テーブル1[仕入先コード],"XXX",0,1)&amp;
"_"&amp;
商品マスタ[[#This Row],[シリアル]]&amp;
"_"&amp;
TEXT(COUNTIFS(商品マスタ!$C$3:C307,商品マスタ[[#This Row],[仕入先]],商品マスタ!$E$3:E307,商品マスタ[[#This Row],[商品名]]), "00")</f>
        <v/>
      </c>
      <c r="E307" s="167" t="inlineStr">
        <is>
          <t xml:space="preserve">純粋知床産　低温長時間微風乾燥　開きほっけ・宗八がれい・銀がれい・さくらます・こまい一夜干しのセット　</t>
        </is>
      </c>
      <c r="F307" s="167">
        <f>IF(COUNTIFS($C$3:C307,商品マスタ[[#This Row],[仕入先]],$E$3:E307,商品マスタ[[#This Row],[商品名]]) = 1, 1,0)</f>
        <v/>
      </c>
      <c r="G307" s="133">
        <f>TEXT(SUMIF($C$3:C307,商品マスタ[[#This Row],[仕入先]],$F$3:F307), "0000")</f>
        <v/>
      </c>
      <c r="H307" s="167" t="inlineStr">
        <is>
          <t>セット</t>
        </is>
      </c>
      <c r="I307" s="167" t="n"/>
      <c r="J307" s="167" t="n">
        <v>1</v>
      </c>
      <c r="K307" s="167" t="n"/>
      <c r="L307" s="295" t="n">
        <v>4537</v>
      </c>
      <c r="M307" s="157" t="n"/>
      <c r="N307" s="295" t="n">
        <v>6481</v>
      </c>
      <c r="O307" s="290">
        <f>IF(COUNT(商品マスタ[[#This Row],[参考上代
（税込)]]) &gt; 0, (商品マスタ[[#This Row],[参考上代
（税込)]]-商品マスタ[[#This Row],[国内定価
（15％）]])/(商品マスタ[[#This Row],[参考上代
（税込)]]/1.08), "")</f>
        <v/>
      </c>
      <c r="P307" s="136" t="n">
        <v>0.1</v>
      </c>
      <c r="Q307" s="289">
        <f>商品マスタ[[#This Row],[仕入
単価]]*商品マスタ[[#This Row],[標準国内送料率]]</f>
        <v/>
      </c>
      <c r="R307" s="289" t="n">
        <v>0</v>
      </c>
      <c r="S307" s="289">
        <f>IF(ISBLANK(商品マスタ[[#This Row],[実績
国内送料]]),商品マスタ[[#This Row],[標準国内送料]],)</f>
        <v/>
      </c>
      <c r="T307" s="289">
        <f>商品マスタ[[#This Row],[仕入
単価]]+商品マスタ[[#This Row],[国内送料]]</f>
        <v/>
      </c>
      <c r="U307" s="289">
        <f>ROUNDUP(商品マスタ[[#This Row],[仕入単価+国内送料]]/0.8,-1)</f>
        <v/>
      </c>
      <c r="V307" s="289">
        <f>商品マスタ[[#This Row],[海外定価
（20％）]]-商品マスタ[[#This Row],[仕入単価+国内送料]]</f>
        <v/>
      </c>
      <c r="W307" s="167">
        <f>ROUNDUP(商品マスタ[[#This Row],[仕入単価+国内送料]]/0.85,-1)</f>
        <v/>
      </c>
      <c r="X307" s="289">
        <f>商品マスタ[[#This Row],[国内定価
（15％）]]-商品マスタ[[#This Row],[仕入単価+国内送料]]</f>
        <v/>
      </c>
      <c r="Y307" s="139" t="n">
        <v>0.08</v>
      </c>
      <c r="Z307" s="167" t="n"/>
      <c r="AA307" s="167" t="n"/>
      <c r="AB307" s="167" t="n"/>
      <c r="AC307" s="293" t="n"/>
      <c r="AD307" s="167" t="n"/>
      <c r="AE307" s="167" t="n"/>
      <c r="AF307" s="167" t="inlineStr">
        <is>
          <t>〇</t>
        </is>
      </c>
      <c r="AG307" s="144" t="n"/>
    </row>
    <row r="308" ht="18" customHeight="1" s="207">
      <c r="A308" s="166" t="inlineStr">
        <is>
          <t>加工品</t>
        </is>
      </c>
      <c r="B308" s="167" t="inlineStr">
        <is>
          <t>その他</t>
        </is>
      </c>
      <c r="C308" s="167" t="inlineStr">
        <is>
          <t>オーセントホテル小樽</t>
        </is>
      </c>
      <c r="D308" s="143">
        <f>"PRD_SNJ_"&amp;
_xlfn.XLOOKUP(商品マスタ[[#This Row],[仕入先]],テーブル1[仕入先名],テーブル1[仕入先コード],"XXX",0,1)&amp;
"_"&amp;
商品マスタ[[#This Row],[シリアル]]&amp;
"_"&amp;
TEXT(COUNTIFS(商品マスタ!$C$3:C308,商品マスタ[[#This Row],[仕入先]],商品マスタ!$E$3:E308,商品マスタ[[#This Row],[商品名]]), "00")</f>
        <v/>
      </c>
      <c r="E308" s="167" t="inlineStr">
        <is>
          <t>オーセントホテル小樽　【期間限定受付中!12/10まで】 数量限定!!オリジナルシュトーレン※11/1～順次発送</t>
        </is>
      </c>
      <c r="F308" s="167">
        <f>IF(COUNTIFS($C$3:C308,商品マスタ[[#This Row],[仕入先]],$E$3:E308,商品マスタ[[#This Row],[商品名]]) = 1, 1,0)</f>
        <v/>
      </c>
      <c r="G308" s="133">
        <f>TEXT(SUMIF($C$3:C308,商品マスタ[[#This Row],[仕入先]],$F$3:F308), "0000")</f>
        <v/>
      </c>
      <c r="H308" s="167" t="inlineStr">
        <is>
          <t>個</t>
        </is>
      </c>
      <c r="I308" s="153" t="inlineStr">
        <is>
          <t>1本（長さ約22cm,重さ約380g)</t>
        </is>
      </c>
      <c r="J308" s="167" t="n">
        <v>1</v>
      </c>
      <c r="K308" s="167" t="n"/>
      <c r="L308" s="289" t="n">
        <v>3139</v>
      </c>
      <c r="M308" s="157" t="n"/>
      <c r="N308" s="289" t="n">
        <v>3950</v>
      </c>
      <c r="O308" s="290">
        <f>IF(COUNT(商品マスタ[[#This Row],[参考上代
（税込)]]) &gt; 0, (商品マスタ[[#This Row],[参考上代
（税込)]]-商品マスタ[[#This Row],[国内定価
（15％）]])/(商品マスタ[[#This Row],[参考上代
（税込)]]/1.08), "")</f>
        <v/>
      </c>
      <c r="P308" s="136" t="n">
        <v>0.1</v>
      </c>
      <c r="Q308" s="289">
        <f>商品マスタ[[#This Row],[仕入
単価]]*商品マスタ[[#This Row],[標準国内送料率]]</f>
        <v/>
      </c>
      <c r="R308" s="289" t="n">
        <v>0</v>
      </c>
      <c r="S308" s="289">
        <f>IF(ISBLANK(商品マスタ[[#This Row],[実績
国内送料]]),商品マスタ[[#This Row],[標準国内送料]],)</f>
        <v/>
      </c>
      <c r="T308" s="289">
        <f>商品マスタ[[#This Row],[仕入
単価]]+商品マスタ[[#This Row],[国内送料]]</f>
        <v/>
      </c>
      <c r="U308" s="289">
        <f>ROUNDUP(商品マスタ[[#This Row],[仕入単価+国内送料]]/0.8,-1)</f>
        <v/>
      </c>
      <c r="V308" s="289">
        <f>商品マスタ[[#This Row],[海外定価
（20％）]]-商品マスタ[[#This Row],[仕入単価+国内送料]]</f>
        <v/>
      </c>
      <c r="W308" s="167">
        <f>ROUNDUP(商品マスタ[[#This Row],[仕入単価+国内送料]]/0.85,-1)</f>
        <v/>
      </c>
      <c r="X308" s="289">
        <f>商品マスタ[[#This Row],[国内定価
（15％）]]-商品マスタ[[#This Row],[仕入単価+国内送料]]</f>
        <v/>
      </c>
      <c r="Y308" s="139" t="n">
        <v>0.08</v>
      </c>
      <c r="Z308" s="167" t="n"/>
      <c r="AA308" s="167" t="inlineStr">
        <is>
          <t>冷蔵</t>
        </is>
      </c>
      <c r="AB308" s="167" t="inlineStr">
        <is>
          <t>7日</t>
        </is>
      </c>
      <c r="AC308" s="293" t="n"/>
      <c r="AD308" s="167" t="n"/>
      <c r="AE308" s="167" t="n"/>
      <c r="AF308" s="167" t="inlineStr">
        <is>
          <t>〇</t>
        </is>
      </c>
      <c r="AG308" s="144" t="n"/>
    </row>
    <row r="309" ht="18" customHeight="1" s="207">
      <c r="A309" s="166" t="inlineStr">
        <is>
          <t>加工品</t>
        </is>
      </c>
      <c r="B309" s="167" t="inlineStr">
        <is>
          <t>その他</t>
        </is>
      </c>
      <c r="C309" s="167" t="inlineStr">
        <is>
          <t>オーセントホテル小樽</t>
        </is>
      </c>
      <c r="D309" s="143">
        <f>"PRD_SNJ_"&amp;
_xlfn.XLOOKUP(商品マスタ[[#This Row],[仕入先]],テーブル1[仕入先名],テーブル1[仕入先コード],"XXX",0,1)&amp;
"_"&amp;
商品マスタ[[#This Row],[シリアル]]&amp;
"_"&amp;
TEXT(COUNTIFS(商品マスタ!$C$3:C309,商品マスタ[[#This Row],[仕入先]],商品マスタ!$E$3:E309,商品マスタ[[#This Row],[商品名]]), "00")</f>
        <v/>
      </c>
      <c r="E309" s="167" t="inlineStr">
        <is>
          <t>オーセントホテル小樽　【期間限定受付中!12/10まで】 数量限定!!プレミアムシュトーレン※11/1～順次発送</t>
        </is>
      </c>
      <c r="F309" s="167">
        <f>IF(COUNTIFS($C$3:C309,商品マスタ[[#This Row],[仕入先]],$E$3:E309,商品マスタ[[#This Row],[商品名]]) = 1, 1,0)</f>
        <v/>
      </c>
      <c r="G309" s="133">
        <f>TEXT(SUMIF($C$3:C309,商品マスタ[[#This Row],[仕入先]],$F$3:F309), "0000")</f>
        <v/>
      </c>
      <c r="H309" s="167" t="inlineStr">
        <is>
          <t>個</t>
        </is>
      </c>
      <c r="I309" s="153" t="inlineStr">
        <is>
          <t>1本　約900g</t>
        </is>
      </c>
      <c r="J309" s="167" t="n">
        <v>1</v>
      </c>
      <c r="K309" s="167" t="n"/>
      <c r="L309" s="289" t="n">
        <v>6760</v>
      </c>
      <c r="M309" s="157" t="n"/>
      <c r="N309" s="289" t="n">
        <v>8800</v>
      </c>
      <c r="O309" s="290">
        <f>IF(COUNT(商品マスタ[[#This Row],[参考上代
（税込)]]) &gt; 0, (商品マスタ[[#This Row],[参考上代
（税込)]]-商品マスタ[[#This Row],[国内定価
（15％）]])/(商品マスタ[[#This Row],[参考上代
（税込)]]/1.08), "")</f>
        <v/>
      </c>
      <c r="P309" s="136" t="n">
        <v>0.1</v>
      </c>
      <c r="Q309" s="289">
        <f>商品マスタ[[#This Row],[仕入
単価]]*商品マスタ[[#This Row],[標準国内送料率]]</f>
        <v/>
      </c>
      <c r="R309" s="289" t="n">
        <v>0</v>
      </c>
      <c r="S309" s="289">
        <f>IF(ISBLANK(商品マスタ[[#This Row],[実績
国内送料]]),商品マスタ[[#This Row],[標準国内送料]],)</f>
        <v/>
      </c>
      <c r="T309" s="289">
        <f>商品マスタ[[#This Row],[仕入
単価]]+商品マスタ[[#This Row],[国内送料]]</f>
        <v/>
      </c>
      <c r="U309" s="289">
        <f>ROUNDUP(商品マスタ[[#This Row],[仕入単価+国内送料]]/0.8,-1)</f>
        <v/>
      </c>
      <c r="V309" s="289">
        <f>商品マスタ[[#This Row],[海外定価
（20％）]]-商品マスタ[[#This Row],[仕入単価+国内送料]]</f>
        <v/>
      </c>
      <c r="W309" s="167">
        <f>ROUNDUP(商品マスタ[[#This Row],[仕入単価+国内送料]]/0.85,-1)</f>
        <v/>
      </c>
      <c r="X309" s="289">
        <f>商品マスタ[[#This Row],[国内定価
（15％）]]-商品マスタ[[#This Row],[仕入単価+国内送料]]</f>
        <v/>
      </c>
      <c r="Y309" s="139" t="n">
        <v>0.08</v>
      </c>
      <c r="Z309" s="167" t="n"/>
      <c r="AA309" s="167" t="inlineStr">
        <is>
          <t>冷蔵</t>
        </is>
      </c>
      <c r="AB309" s="167" t="inlineStr">
        <is>
          <t>7日</t>
        </is>
      </c>
      <c r="AC309" s="293" t="n"/>
      <c r="AD309" s="167" t="n"/>
      <c r="AE309" s="167" t="n"/>
      <c r="AF309" s="167" t="inlineStr">
        <is>
          <t>〇</t>
        </is>
      </c>
      <c r="AG309" s="144" t="n"/>
    </row>
    <row r="310" ht="18" customHeight="1" s="207">
      <c r="A310" s="166" t="inlineStr">
        <is>
          <t>水産</t>
        </is>
      </c>
      <c r="B310" s="167" t="inlineStr">
        <is>
          <t>水産物</t>
        </is>
      </c>
      <c r="C310" s="167" t="inlineStr">
        <is>
          <t>ベターデイズ</t>
        </is>
      </c>
      <c r="D310" s="143">
        <f>"PRD_SNJ_"&amp;
_xlfn.XLOOKUP(商品マスタ[[#This Row],[仕入先]],テーブル1[仕入先名],テーブル1[仕入先コード],"XXX",0,1)&amp;
"_"&amp;
商品マスタ[[#This Row],[シリアル]]&amp;
"_"&amp;
TEXT(COUNTIFS(商品マスタ!$C$3:C310,商品マスタ[[#This Row],[仕入先]],商品マスタ!$E$3:E310,商品マスタ[[#This Row],[商品名]]), "00")</f>
        <v/>
      </c>
      <c r="E310" s="167" t="inlineStr">
        <is>
          <t>【EEZO年末】行者ニンニクみそ豚まん：5個・十勝チーズまん：5個/セット</t>
        </is>
      </c>
      <c r="F310" s="167">
        <f>IF(COUNTIFS($C$3:C310,商品マスタ[[#This Row],[仕入先]],$E$3:E310,商品マスタ[[#This Row],[商品名]]) = 1, 1,0)</f>
        <v/>
      </c>
      <c r="G310" s="133">
        <f>TEXT(SUMIF($C$3:C310,商品マスタ[[#This Row],[仕入先]],$F$3:F310), "0000")</f>
        <v/>
      </c>
      <c r="H310" s="167" t="inlineStr">
        <is>
          <t>１セット</t>
        </is>
      </c>
      <c r="I310" s="167" t="inlineStr">
        <is>
          <t>150g/個</t>
        </is>
      </c>
      <c r="J310" s="167" t="n">
        <v>1</v>
      </c>
      <c r="K310" s="167" t="inlineStr">
        <is>
          <t>箱</t>
        </is>
      </c>
      <c r="L310" s="289" t="n">
        <v>2700</v>
      </c>
      <c r="M310" s="179" t="n">
        <v>45982</v>
      </c>
      <c r="N310" s="289" t="n"/>
      <c r="O310" s="290">
        <f>IF(COUNT(商品マスタ[[#This Row],[参考上代
（税込)]]) &gt; 0, (商品マスタ[[#This Row],[参考上代
（税込)]]-商品マスタ[[#This Row],[国内定価
（15％）]])/(商品マスタ[[#This Row],[参考上代
（税込)]]/1.08), "")</f>
        <v/>
      </c>
      <c r="P310" s="136" t="n">
        <v>0.1</v>
      </c>
      <c r="Q310" s="289">
        <f>商品マスタ[[#This Row],[仕入
単価]]*商品マスタ[[#This Row],[標準国内送料率]]</f>
        <v/>
      </c>
      <c r="R310" s="289" t="n">
        <v>1280</v>
      </c>
      <c r="S310" s="289">
        <f>IF(ISBLANK(商品マスタ[[#This Row],[実績
国内送料]]),商品マスタ[[#This Row],[標準国内送料]],)</f>
        <v/>
      </c>
      <c r="T310" s="289">
        <f>商品マスタ[[#This Row],[仕入
単価]]+商品マスタ[[#This Row],[国内送料]]</f>
        <v/>
      </c>
      <c r="U310" s="289">
        <f>ROUNDUP(商品マスタ[[#This Row],[仕入単価+国内送料]]/0.8,-1)</f>
        <v/>
      </c>
      <c r="V310" s="289">
        <f>商品マスタ[[#This Row],[海外定価
（20％）]]-商品マスタ[[#This Row],[仕入単価+国内送料]]</f>
        <v/>
      </c>
      <c r="W310" s="167">
        <f>ROUNDUP(商品マスタ[[#This Row],[仕入単価+国内送料]]/0.85,-1)</f>
        <v/>
      </c>
      <c r="X310" s="289">
        <f>商品マスタ[[#This Row],[国内定価
（15％）]]-商品マスタ[[#This Row],[仕入単価+国内送料]]</f>
        <v/>
      </c>
      <c r="Y310" s="139" t="n">
        <v>0.08</v>
      </c>
      <c r="Z310" s="167" t="n"/>
      <c r="AA310" s="167" t="inlineStr">
        <is>
          <t>冷凍</t>
        </is>
      </c>
      <c r="AB310" s="167" t="inlineStr">
        <is>
          <t>5日</t>
        </is>
      </c>
      <c r="AC310" s="293" t="n"/>
      <c r="AD310" s="209" t="inlineStr">
        <is>
          <t>ふるさと納税でも大人気。主原料はすべて北海道産を使用した｢北海道中華まん｣シリーズ。●餡の行者ニンニクは幕別町産、皮の小麦は十勝産”きたほなみを使用しています。行者ニンニクと言えば好きな方でも醤油漬けか焼き肉・ジンギスカンと一緒に焼いて食べるものというのが一般的ですが、生産者様から｢もっと多くの消費者に食べてもらうためにはどうすれば良いか？｣というテーマをいただいて開発したのがこの商品です。ブラッシュアップを重ねて、現在は皮の小麦粉にきめの細かい｢きたほなみ｣を使用してモッチリした食感を目指しました。味付けには甘味もあるオリジナルの｢チャンチャン焼きのタレ｣を使用していますので、行者ニンニクの香りがマイルドになり、お子様でも食べ易くなっています。●餡にチーズ入る中華まんは多くの企業様が製造・販売されていますが、弊社は可能な限り北海道産・十勝産の原料にこだわった商品を目指しました。また、使用するチーズはSNS映えする｢伸びる｣ことも意識しましたが、何よりも本音で『美味しい！』と感じられる食感と、生地の甘味にマッチした程よい塩味を重視してモッツァレラとカチョカヴァロの２種類を選定しました。皮の小麦粉にはきめの細かい｢きたほなみ｣を使用してモッチリした食感になりました。</t>
        </is>
      </c>
      <c r="AE310" s="167" t="n"/>
      <c r="AF310" s="167" t="inlineStr">
        <is>
          <t>〇</t>
        </is>
      </c>
      <c r="AG310" s="144" t="n"/>
    </row>
    <row r="311" ht="18" customHeight="1" s="207">
      <c r="A311" s="166" t="inlineStr">
        <is>
          <t>チーズ</t>
        </is>
      </c>
      <c r="B311" s="167" t="inlineStr">
        <is>
          <t>チーズ</t>
        </is>
      </c>
      <c r="C311" s="167" t="inlineStr">
        <is>
          <t>ベターデイズ</t>
        </is>
      </c>
      <c r="D311" s="143">
        <f>"PRD_SNJ_"&amp;
_xlfn.XLOOKUP(商品マスタ[[#This Row],[仕入先]],テーブル1[仕入先名],テーブル1[仕入先コード],"XXX",0,1)&amp;
"_"&amp;
商品マスタ[[#This Row],[シリアル]]&amp;
"_"&amp;
TEXT(COUNTIFS(商品マスタ!$C$3:C311,商品マスタ[[#This Row],[仕入先]],商品マスタ!$E$3:E311,商品マスタ[[#This Row],[商品名]]), "00")</f>
        <v/>
      </c>
      <c r="E311" s="167" t="inlineStr">
        <is>
          <t xml:space="preserve">【EEZO年末】十勝チーズまん：10個/セット </t>
        </is>
      </c>
      <c r="F311" s="167">
        <f>IF(COUNTIFS($C$3:C311,商品マスタ[[#This Row],[仕入先]],$E$3:E311,商品マスタ[[#This Row],[商品名]]) = 1, 1,0)</f>
        <v/>
      </c>
      <c r="G311" s="133">
        <f>TEXT(SUMIF($C$3:C311,商品マスタ[[#This Row],[仕入先]],$F$3:F311), "0000")</f>
        <v/>
      </c>
      <c r="H311" s="167" t="inlineStr">
        <is>
          <t>１セット</t>
        </is>
      </c>
      <c r="I311" s="167" t="inlineStr">
        <is>
          <t>150g/個</t>
        </is>
      </c>
      <c r="J311" s="167" t="n">
        <v>1</v>
      </c>
      <c r="K311" s="167" t="inlineStr">
        <is>
          <t>箱</t>
        </is>
      </c>
      <c r="L311" s="289" t="n">
        <v>2950</v>
      </c>
      <c r="M311" s="179" t="n">
        <v>45982</v>
      </c>
      <c r="N311" s="289" t="n"/>
      <c r="O311" s="290">
        <f>IF(COUNT(商品マスタ[[#This Row],[参考上代
（税込)]]) &gt; 0, (商品マスタ[[#This Row],[参考上代
（税込)]]-商品マスタ[[#This Row],[国内定価
（15％）]])/(商品マスタ[[#This Row],[参考上代
（税込)]]/1.08), "")</f>
        <v/>
      </c>
      <c r="P311" s="136" t="n">
        <v>0.1</v>
      </c>
      <c r="Q311" s="289">
        <f>商品マスタ[[#This Row],[仕入
単価]]*商品マスタ[[#This Row],[標準国内送料率]]</f>
        <v/>
      </c>
      <c r="R311" s="289" t="n">
        <v>1280</v>
      </c>
      <c r="S311" s="289">
        <f>IF(ISBLANK(商品マスタ[[#This Row],[実績
国内送料]]),商品マスタ[[#This Row],[標準国内送料]],)</f>
        <v/>
      </c>
      <c r="T311" s="289">
        <f>商品マスタ[[#This Row],[仕入
単価]]+商品マスタ[[#This Row],[国内送料]]</f>
        <v/>
      </c>
      <c r="U311" s="289">
        <f>ROUNDUP(商品マスタ[[#This Row],[仕入単価+国内送料]]/0.8,-1)</f>
        <v/>
      </c>
      <c r="V311" s="289">
        <f>商品マスタ[[#This Row],[海外定価
（20％）]]-商品マスタ[[#This Row],[仕入単価+国内送料]]</f>
        <v/>
      </c>
      <c r="W311" s="167">
        <f>ROUNDUP(商品マスタ[[#This Row],[仕入単価+国内送料]]/0.85,-1)</f>
        <v/>
      </c>
      <c r="X311" s="289">
        <f>商品マスタ[[#This Row],[国内定価
（15％）]]-商品マスタ[[#This Row],[仕入単価+国内送料]]</f>
        <v/>
      </c>
      <c r="Y311" s="139" t="n">
        <v>0.08</v>
      </c>
      <c r="Z311" s="167" t="n"/>
      <c r="AA311" s="167" t="inlineStr">
        <is>
          <t>冷凍</t>
        </is>
      </c>
      <c r="AB311" s="167" t="inlineStr">
        <is>
          <t>5日</t>
        </is>
      </c>
      <c r="AC311" s="293" t="n"/>
      <c r="AD311" s="209" t="inlineStr">
        <is>
          <t>餡にチーズが入る中華まんは多くの企業様が製造・販売されていますが、弊社は可能な限り北海道産・十勝産の原料にこだわった商品を目指しました。また、使用するチーズはSNS映えする｢伸びる｣ことも意識しましたが、何よりも本音で『美味しい！』と感じられる食感と、生地の甘味にマッチした程よい塩味を重視してモッツァレラとカチョカヴァロの２種類を選定しました。皮の小麦粉にはきめの細かい｢きたほなみ｣を使用してモッチリした食感になりました。</t>
        </is>
      </c>
      <c r="AE311" s="167" t="n"/>
      <c r="AF311" s="167" t="inlineStr">
        <is>
          <t>〇</t>
        </is>
      </c>
      <c r="AG311" s="144" t="n"/>
    </row>
    <row r="312" ht="18" customHeight="1" s="207">
      <c r="A312" s="166" t="inlineStr">
        <is>
          <t>水産</t>
        </is>
      </c>
      <c r="B312" s="167" t="inlineStr">
        <is>
          <t>水産物</t>
        </is>
      </c>
      <c r="C312" s="167" t="inlineStr">
        <is>
          <t>ベターデイズ</t>
        </is>
      </c>
      <c r="D312" s="143">
        <f>"PRD_SNJ_"&amp;
_xlfn.XLOOKUP(商品マスタ[[#This Row],[仕入先]],テーブル1[仕入先名],テーブル1[仕入先コード],"XXX",0,1)&amp;
"_"&amp;
商品マスタ[[#This Row],[シリアル]]&amp;
"_"&amp;
TEXT(COUNTIFS(商品マスタ!$C$3:C312,商品マスタ[[#This Row],[仕入先]],商品マスタ!$E$3:E312,商品マスタ[[#This Row],[商品名]]), "00")</f>
        <v/>
      </c>
      <c r="E312" s="167" t="inlineStr">
        <is>
          <t>北海道中華まんシリーズ 行者ニンニクみそ豚まん 150g　40個</t>
        </is>
      </c>
      <c r="F312" s="167">
        <f>IF(COUNTIFS($C$3:C312,商品マスタ[[#This Row],[仕入先]],$E$3:E312,商品マスタ[[#This Row],[商品名]]) = 1, 1,0)</f>
        <v/>
      </c>
      <c r="G312" s="133">
        <f>TEXT(SUMIF($C$3:C312,商品マスタ[[#This Row],[仕入先]],$F$3:F312), "0000")</f>
        <v/>
      </c>
      <c r="H312" s="167" t="inlineStr">
        <is>
          <t>1ケース</t>
        </is>
      </c>
      <c r="I312" s="167" t="inlineStr">
        <is>
          <t>150g/個</t>
        </is>
      </c>
      <c r="J312" s="167" t="n">
        <v>40</v>
      </c>
      <c r="K312" s="167" t="inlineStr">
        <is>
          <t>箱</t>
        </is>
      </c>
      <c r="L312" s="289" t="n">
        <v>9800</v>
      </c>
      <c r="M312" s="179" t="n">
        <v>45982</v>
      </c>
      <c r="N312" s="289" t="n"/>
      <c r="O312" s="290">
        <f>IF(COUNT(商品マスタ[[#This Row],[参考上代
（税込)]]) &gt; 0, (商品マスタ[[#This Row],[参考上代
（税込)]]-商品マスタ[[#This Row],[国内定価
（15％）]])/(商品マスタ[[#This Row],[参考上代
（税込)]]/1.08), "")</f>
        <v/>
      </c>
      <c r="P312" s="136" t="n">
        <v>0.1</v>
      </c>
      <c r="Q312" s="289">
        <f>商品マスタ[[#This Row],[仕入
単価]]*商品マスタ[[#This Row],[標準国内送料率]]</f>
        <v/>
      </c>
      <c r="R312" s="289" t="n">
        <v>1700</v>
      </c>
      <c r="S312" s="289">
        <f>IF(ISBLANK(商品マスタ[[#This Row],[実績
国内送料]]),商品マスタ[[#This Row],[標準国内送料]],)</f>
        <v/>
      </c>
      <c r="T312" s="289">
        <f>商品マスタ[[#This Row],[仕入
単価]]+商品マスタ[[#This Row],[国内送料]]</f>
        <v/>
      </c>
      <c r="U312" s="289">
        <f>ROUNDUP(商品マスタ[[#This Row],[仕入単価+国内送料]]/0.8,-1)</f>
        <v/>
      </c>
      <c r="V312" s="289">
        <f>商品マスタ[[#This Row],[海外定価
（20％）]]-商品マスタ[[#This Row],[仕入単価+国内送料]]</f>
        <v/>
      </c>
      <c r="W312" s="167">
        <f>ROUNDUP(商品マスタ[[#This Row],[仕入単価+国内送料]]/0.85,-1)</f>
        <v/>
      </c>
      <c r="X312" s="289">
        <f>商品マスタ[[#This Row],[国内定価
（15％）]]-商品マスタ[[#This Row],[仕入単価+国内送料]]</f>
        <v/>
      </c>
      <c r="Y312" s="139" t="n">
        <v>0.08</v>
      </c>
      <c r="Z312" s="167" t="n"/>
      <c r="AA312" s="167" t="inlineStr">
        <is>
          <t>冷凍</t>
        </is>
      </c>
      <c r="AB312" s="167" t="inlineStr">
        <is>
          <t>5日</t>
        </is>
      </c>
      <c r="AC312" s="293" t="n"/>
      <c r="AD312" s="209" t="inlineStr">
        <is>
          <t>餡の行者ニンニクは幕別町産、皮の小麦は十勝産”きたほなみを使用しています。行者ニンニクと言えば好きな方でも醤油漬けか焼き肉・ジンギスカンと一緒に焼いて食べるものというのが一般的ですが、生産者様から｢もっと多くの消費者に食べてもらうためにはどうすれば良いか？｣というテーマをいただいて開発したのがこの商品です。ブラッシュアップを重ねて、現在は皮の小麦粉にきめの細かい｢きたほなみ｣を使用してモッチリした食感を目指しました。味付けには甘味もあるオリジナルの｢チャンチャン焼きのタレ｣を使用していますので、行者ニンニクの香りがマイルドになり、お子様でも食べ易くなっています。</t>
        </is>
      </c>
      <c r="AE312" s="167" t="n"/>
      <c r="AF312" s="167" t="inlineStr">
        <is>
          <t>〇</t>
        </is>
      </c>
      <c r="AG312" s="144" t="n"/>
    </row>
    <row r="313" ht="18" customHeight="1" s="207">
      <c r="A313" s="166" t="inlineStr">
        <is>
          <t>水産</t>
        </is>
      </c>
      <c r="B313" s="167" t="inlineStr">
        <is>
          <t>水産物</t>
        </is>
      </c>
      <c r="C313" s="167" t="inlineStr">
        <is>
          <t>ベターデイズ</t>
        </is>
      </c>
      <c r="D313" s="143">
        <f>"PRD_SNJ_"&amp;
_xlfn.XLOOKUP(商品マスタ[[#This Row],[仕入先]],テーブル1[仕入先名],テーブル1[仕入先コード],"XXX",0,1)&amp;
"_"&amp;
商品マスタ[[#This Row],[シリアル]]&amp;
"_"&amp;
TEXT(COUNTIFS(商品マスタ!$C$3:C313,商品マスタ[[#This Row],[仕入先]],商品マスタ!$E$3:E313,商品マスタ[[#This Row],[商品名]]), "00")</f>
        <v/>
      </c>
      <c r="E313" s="167" t="inlineStr">
        <is>
          <t>北海道中華まんシリーズ 行者ニンニクみそ豚まん 150g　80個</t>
        </is>
      </c>
      <c r="F313" s="167">
        <f>IF(COUNTIFS($C$3:C313,商品マスタ[[#This Row],[仕入先]],$E$3:E313,商品マスタ[[#This Row],[商品名]]) = 1, 1,0)</f>
        <v/>
      </c>
      <c r="G313" s="133">
        <f>TEXT(SUMIF($C$3:C313,商品マスタ[[#This Row],[仕入先]],$F$3:F313), "0000")</f>
        <v/>
      </c>
      <c r="H313" s="167" t="inlineStr">
        <is>
          <t>2ケース</t>
        </is>
      </c>
      <c r="I313" s="167" t="inlineStr">
        <is>
          <t>150g/個</t>
        </is>
      </c>
      <c r="J313" s="167" t="n">
        <v>40</v>
      </c>
      <c r="K313" s="167" t="inlineStr">
        <is>
          <t>箱</t>
        </is>
      </c>
      <c r="L313" s="289" t="n">
        <v>19600</v>
      </c>
      <c r="M313" s="179" t="n">
        <v>45982</v>
      </c>
      <c r="N313" s="289" t="n"/>
      <c r="O313" s="290">
        <f>IF(COUNT(商品マスタ[[#This Row],[参考上代
（税込)]]) &gt; 0, (商品マスタ[[#This Row],[参考上代
（税込)]]-商品マスタ[[#This Row],[国内定価
（15％）]])/(商品マスタ[[#This Row],[参考上代
（税込)]]/1.08), "")</f>
        <v/>
      </c>
      <c r="P313" s="136" t="n">
        <v>0.1</v>
      </c>
      <c r="Q313" s="289">
        <f>商品マスタ[[#This Row],[仕入
単価]]*商品マスタ[[#This Row],[標準国内送料率]]</f>
        <v/>
      </c>
      <c r="R313" s="289" t="n">
        <v>1700</v>
      </c>
      <c r="S313" s="289">
        <f>IF(ISBLANK(商品マスタ[[#This Row],[実績
国内送料]]),商品マスタ[[#This Row],[標準国内送料]],)</f>
        <v/>
      </c>
      <c r="T313" s="289">
        <f>商品マスタ[[#This Row],[仕入
単価]]+商品マスタ[[#This Row],[国内送料]]</f>
        <v/>
      </c>
      <c r="U313" s="289">
        <f>ROUNDUP(商品マスタ[[#This Row],[仕入単価+国内送料]]/0.8,-1)</f>
        <v/>
      </c>
      <c r="V313" s="289">
        <f>商品マスタ[[#This Row],[海外定価
（20％）]]-商品マスタ[[#This Row],[仕入単価+国内送料]]</f>
        <v/>
      </c>
      <c r="W313" s="167">
        <f>ROUNDUP(商品マスタ[[#This Row],[仕入単価+国内送料]]/0.85,-1)</f>
        <v/>
      </c>
      <c r="X313" s="289">
        <f>商品マスタ[[#This Row],[国内定価
（15％）]]-商品マスタ[[#This Row],[仕入単価+国内送料]]</f>
        <v/>
      </c>
      <c r="Y313" s="139" t="n">
        <v>0.08</v>
      </c>
      <c r="Z313" s="167" t="n"/>
      <c r="AA313" s="167" t="inlineStr">
        <is>
          <t>冷凍</t>
        </is>
      </c>
      <c r="AB313" s="167" t="inlineStr">
        <is>
          <t>5日</t>
        </is>
      </c>
      <c r="AC313" s="293" t="n"/>
      <c r="AD313" s="209" t="inlineStr">
        <is>
          <t>餡の行者ニンニクは幕別町産、皮の小麦は十勝産”きたほなみを使用しています。行者ニンニクと言えば好きな方でも醤油漬けか焼き肉・ジンギスカンと一緒に焼いて食べるものというのが一般的ですが、生産者様から｢もっと多くの消費者に食べてもらうためにはどうすれば良いか？｣というテーマをいただいて開発したのがこの商品です。ブラッシュアップを重ねて、現在は皮の小麦粉にきめの細かい｢きたほなみ｣を使用してモッチリした食感を目指しました。味付けには甘味もあるオリジナルの｢チャンチャン焼きのタレ｣を使用していますので、行者ニンニクの香りがマイルドになり、お子様でも食べ易くなっています。</t>
        </is>
      </c>
      <c r="AE313" s="167" t="n"/>
      <c r="AF313" s="167" t="inlineStr">
        <is>
          <t>〇</t>
        </is>
      </c>
      <c r="AG313" s="144" t="n"/>
    </row>
    <row r="314" ht="18" customHeight="1" s="207">
      <c r="A314" s="166" t="inlineStr">
        <is>
          <t>チーズ</t>
        </is>
      </c>
      <c r="B314" s="167" t="inlineStr">
        <is>
          <t>チーズ</t>
        </is>
      </c>
      <c r="C314" s="167" t="inlineStr">
        <is>
          <t>ベターデイズ</t>
        </is>
      </c>
      <c r="D314" s="143">
        <f>"PRD_SNJ_"&amp;
_xlfn.XLOOKUP(商品マスタ[[#This Row],[仕入先]],テーブル1[仕入先名],テーブル1[仕入先コード],"XXX",0,1)&amp;
"_"&amp;
商品マスタ[[#This Row],[シリアル]]&amp;
"_"&amp;
TEXT(COUNTIFS(商品マスタ!$C$3:C314,商品マスタ[[#This Row],[仕入先]],商品マスタ!$E$3:E314,商品マスタ[[#This Row],[商品名]]), "00")</f>
        <v/>
      </c>
      <c r="E314" s="167" t="inlineStr">
        <is>
          <t>北海道中華まんシリーズ 十勝チーズまん 150g　44個</t>
        </is>
      </c>
      <c r="F314" s="167">
        <f>IF(COUNTIFS($C$3:C314,商品マスタ[[#This Row],[仕入先]],$E$3:E314,商品マスタ[[#This Row],[商品名]]) = 1, 1,0)</f>
        <v/>
      </c>
      <c r="G314" s="133">
        <f>TEXT(SUMIF($C$3:C314,商品マスタ[[#This Row],[仕入先]],$F$3:F314), "0000")</f>
        <v/>
      </c>
      <c r="H314" s="167" t="inlineStr">
        <is>
          <t>1ケース</t>
        </is>
      </c>
      <c r="I314" s="167" t="inlineStr">
        <is>
          <t>150g/個</t>
        </is>
      </c>
      <c r="J314" s="167" t="n">
        <v>44</v>
      </c>
      <c r="K314" s="167" t="inlineStr">
        <is>
          <t>箱</t>
        </is>
      </c>
      <c r="L314" s="289" t="n">
        <v>12980</v>
      </c>
      <c r="M314" s="179" t="n">
        <v>45982</v>
      </c>
      <c r="N314" s="289" t="n"/>
      <c r="O314" s="290">
        <f>IF(COUNT(商品マスタ[[#This Row],[参考上代
（税込)]]) &gt; 0, (商品マスタ[[#This Row],[参考上代
（税込)]]-商品マスタ[[#This Row],[国内定価
（15％）]])/(商品マスタ[[#This Row],[参考上代
（税込)]]/1.08), "")</f>
        <v/>
      </c>
      <c r="P314" s="136" t="n">
        <v>0.1</v>
      </c>
      <c r="Q314" s="289">
        <f>商品マスタ[[#This Row],[仕入
単価]]*商品マスタ[[#This Row],[標準国内送料率]]</f>
        <v/>
      </c>
      <c r="R314" s="289" t="n">
        <v>1700</v>
      </c>
      <c r="S314" s="289">
        <f>IF(ISBLANK(商品マスタ[[#This Row],[実績
国内送料]]),商品マスタ[[#This Row],[標準国内送料]],)</f>
        <v/>
      </c>
      <c r="T314" s="289">
        <f>商品マスタ[[#This Row],[仕入
単価]]+商品マスタ[[#This Row],[国内送料]]</f>
        <v/>
      </c>
      <c r="U314" s="289">
        <f>ROUNDUP(商品マスタ[[#This Row],[仕入単価+国内送料]]/0.8,-1)</f>
        <v/>
      </c>
      <c r="V314" s="289">
        <f>商品マスタ[[#This Row],[海外定価
（20％）]]-商品マスタ[[#This Row],[仕入単価+国内送料]]</f>
        <v/>
      </c>
      <c r="W314" s="167">
        <f>ROUNDUP(商品マスタ[[#This Row],[仕入単価+国内送料]]/0.85,-1)</f>
        <v/>
      </c>
      <c r="X314" s="289">
        <f>商品マスタ[[#This Row],[国内定価
（15％）]]-商品マスタ[[#This Row],[仕入単価+国内送料]]</f>
        <v/>
      </c>
      <c r="Y314" s="139" t="n">
        <v>0.08</v>
      </c>
      <c r="Z314" s="167" t="n"/>
      <c r="AA314" s="167" t="inlineStr">
        <is>
          <t>冷凍</t>
        </is>
      </c>
      <c r="AB314" s="167" t="inlineStr">
        <is>
          <t>5日</t>
        </is>
      </c>
      <c r="AC314" s="293" t="n"/>
      <c r="AD314" s="209" t="inlineStr">
        <is>
          <t>餡にチーズが入る中華まんは多くの企業様が製造・販売されていますが、弊社は可能な限り北海道産・十勝産の原料にこだわった商品を目指しました。また、使用するチーズはSNS映えする｢伸びる｣ことも意識しましたが、何よりも本音で『美味しい！』と感じられる食感と、生地の甘味にマッチした程よい塩味を重視してモッツァレラとカチョカヴァロの２種類を選定しました。皮の小麦粉にはきめの細かい｢きたほなみ｣を使用してモッチリした食感になりました。</t>
        </is>
      </c>
      <c r="AE314" s="167" t="n"/>
      <c r="AF314" s="167" t="inlineStr">
        <is>
          <t>〇</t>
        </is>
      </c>
      <c r="AG314" s="144" t="n"/>
    </row>
    <row r="315" ht="18" customHeight="1" s="207">
      <c r="A315" s="166" t="inlineStr">
        <is>
          <t>チーズ</t>
        </is>
      </c>
      <c r="B315" s="167" t="inlineStr">
        <is>
          <t>チーズ</t>
        </is>
      </c>
      <c r="C315" s="167" t="inlineStr">
        <is>
          <t>ベターデイズ</t>
        </is>
      </c>
      <c r="D315" s="143">
        <f>"PRD_SNJ_"&amp;
_xlfn.XLOOKUP(商品マスタ[[#This Row],[仕入先]],テーブル1[仕入先名],テーブル1[仕入先コード],"XXX",0,1)&amp;
"_"&amp;
商品マスタ[[#This Row],[シリアル]]&amp;
"_"&amp;
TEXT(COUNTIFS(商品マスタ!$C$3:C315,商品マスタ[[#This Row],[仕入先]],商品マスタ!$E$3:E315,商品マスタ[[#This Row],[商品名]]), "00")</f>
        <v/>
      </c>
      <c r="E315" s="167" t="inlineStr">
        <is>
          <t>北海道中華まんシリーズ 十勝チーズまん 150g　88個</t>
        </is>
      </c>
      <c r="F315" s="167">
        <f>IF(COUNTIFS($C$3:C315,商品マスタ[[#This Row],[仕入先]],$E$3:E315,商品マスタ[[#This Row],[商品名]]) = 1, 1,0)</f>
        <v/>
      </c>
      <c r="G315" s="133">
        <f>TEXT(SUMIF($C$3:C315,商品マスタ[[#This Row],[仕入先]],$F$3:F315), "0000")</f>
        <v/>
      </c>
      <c r="H315" s="167" t="inlineStr">
        <is>
          <t>2ケース</t>
        </is>
      </c>
      <c r="I315" s="167" t="inlineStr">
        <is>
          <t>150g/個</t>
        </is>
      </c>
      <c r="J315" s="167" t="n">
        <v>88</v>
      </c>
      <c r="K315" s="167" t="inlineStr">
        <is>
          <t>箱</t>
        </is>
      </c>
      <c r="L315" s="289" t="n">
        <v>25960</v>
      </c>
      <c r="M315" s="179" t="n">
        <v>45982</v>
      </c>
      <c r="N315" s="289" t="n"/>
      <c r="O315" s="290">
        <f>IF(COUNT(商品マスタ[[#This Row],[参考上代
（税込)]]) &gt; 0, (商品マスタ[[#This Row],[参考上代
（税込)]]-商品マスタ[[#This Row],[国内定価
（15％）]])/(商品マスタ[[#This Row],[参考上代
（税込)]]/1.08), "")</f>
        <v/>
      </c>
      <c r="P315" s="136" t="n">
        <v>0.1</v>
      </c>
      <c r="Q315" s="289">
        <f>商品マスタ[[#This Row],[仕入
単価]]*商品マスタ[[#This Row],[標準国内送料率]]</f>
        <v/>
      </c>
      <c r="R315" s="289" t="n">
        <v>1700</v>
      </c>
      <c r="S315" s="289">
        <f>IF(ISBLANK(商品マスタ[[#This Row],[実績
国内送料]]),商品マスタ[[#This Row],[標準国内送料]],)</f>
        <v/>
      </c>
      <c r="T315" s="289">
        <f>商品マスタ[[#This Row],[仕入
単価]]+商品マスタ[[#This Row],[国内送料]]</f>
        <v/>
      </c>
      <c r="U315" s="289">
        <f>ROUNDUP(商品マスタ[[#This Row],[仕入単価+国内送料]]/0.8,-1)</f>
        <v/>
      </c>
      <c r="V315" s="289">
        <f>商品マスタ[[#This Row],[海外定価
（20％）]]-商品マスタ[[#This Row],[仕入単価+国内送料]]</f>
        <v/>
      </c>
      <c r="W315" s="167">
        <f>ROUNDUP(商品マスタ[[#This Row],[仕入単価+国内送料]]/0.85,-1)</f>
        <v/>
      </c>
      <c r="X315" s="289">
        <f>商品マスタ[[#This Row],[国内定価
（15％）]]-商品マスタ[[#This Row],[仕入単価+国内送料]]</f>
        <v/>
      </c>
      <c r="Y315" s="139" t="n">
        <v>0.08</v>
      </c>
      <c r="Z315" s="167" t="n"/>
      <c r="AA315" s="167" t="inlineStr">
        <is>
          <t>冷凍</t>
        </is>
      </c>
      <c r="AB315" s="167" t="inlineStr">
        <is>
          <t>5日</t>
        </is>
      </c>
      <c r="AC315" s="293" t="n"/>
      <c r="AD315" s="209" t="inlineStr">
        <is>
          <t>餡にチーズが入る中華まんは多くの企業様が製造・販売されていますが、弊社は可能な限り北海道産・十勝産の原料にこだわった商品を目指しました。また、使用するチーズはSNS映えする｢伸びる｣ことも意識しましたが、何よりも本音で『美味しい！』と感じられる食感と、生地の甘味にマッチした程よい塩味を重視してモッツァレラとカチョカヴァロの２種類を選定しました。皮の小麦粉にはきめの細かい｢きたほなみ｣を使用してモッチリした食感になりました。</t>
        </is>
      </c>
      <c r="AE315" s="167" t="n"/>
      <c r="AF315" s="167" t="inlineStr">
        <is>
          <t>〇</t>
        </is>
      </c>
      <c r="AG315" s="144" t="n"/>
    </row>
    <row r="316" ht="18" customHeight="1" s="207">
      <c r="A316" s="166" t="inlineStr">
        <is>
          <t>精肉</t>
        </is>
      </c>
      <c r="B316" s="167" t="inlineStr">
        <is>
          <t>和牛</t>
        </is>
      </c>
      <c r="C316" s="167" t="inlineStr">
        <is>
          <t>ベターデイズ</t>
        </is>
      </c>
      <c r="D316" s="143">
        <f>"PRD_SNJ_"&amp;
_xlfn.XLOOKUP(商品マスタ[[#This Row],[仕入先]],テーブル1[仕入先名],テーブル1[仕入先コード],"XXX",0,1)&amp;
"_"&amp;
商品マスタ[[#This Row],[シリアル]]&amp;
"_"&amp;
TEXT(COUNTIFS(商品マスタ!$C$3:C316,商品マスタ[[#This Row],[仕入先]],商品マスタ!$E$3:E316,商品マスタ[[#This Row],[商品名]]), "00")</f>
        <v/>
      </c>
      <c r="E316" s="167" t="inlineStr">
        <is>
          <t xml:space="preserve">十勝ハーブ牛ビーフジャーキー 30g </t>
        </is>
      </c>
      <c r="F316" s="167">
        <f>IF(COUNTIFS($C$3:C316,商品マスタ[[#This Row],[仕入先]],$E$3:E316,商品マスタ[[#This Row],[商品名]]) = 1, 1,0)</f>
        <v/>
      </c>
      <c r="G316" s="133">
        <f>TEXT(SUMIF($C$3:C316,商品マスタ[[#This Row],[仕入先]],$F$3:F316), "0000")</f>
        <v/>
      </c>
      <c r="H316" s="167" t="inlineStr">
        <is>
          <t>袋</t>
        </is>
      </c>
      <c r="I316" s="167" t="n"/>
      <c r="J316" s="167" t="n">
        <v>1</v>
      </c>
      <c r="K316" s="167" t="n"/>
      <c r="L316" s="296" t="n">
        <v>540</v>
      </c>
      <c r="M316" s="179" t="n">
        <v>45982</v>
      </c>
      <c r="N316" s="289" t="n"/>
      <c r="O316" s="290">
        <f>IF(COUNT(商品マスタ[[#This Row],[参考上代
（税込)]]) &gt; 0, (商品マスタ[[#This Row],[参考上代
（税込)]]-商品マスタ[[#This Row],[国内定価
（15％）]])/(商品マスタ[[#This Row],[参考上代
（税込)]]/1.08), "")</f>
        <v/>
      </c>
      <c r="P316" s="136" t="n">
        <v>0.1</v>
      </c>
      <c r="Q316" s="289">
        <f>商品マスタ[[#This Row],[仕入
単価]]*商品マスタ[[#This Row],[標準国内送料率]]</f>
        <v/>
      </c>
      <c r="R316" s="289" t="n"/>
      <c r="S316" s="289">
        <f>IF(ISBLANK(商品マスタ[[#This Row],[実績
国内送料]]),商品マスタ[[#This Row],[標準国内送料]],)</f>
        <v/>
      </c>
      <c r="T316" s="289">
        <f>商品マスタ[[#This Row],[仕入
単価]]+商品マスタ[[#This Row],[国内送料]]</f>
        <v/>
      </c>
      <c r="U316" s="289">
        <f>ROUNDUP(商品マスタ[[#This Row],[仕入単価+国内送料]]/0.8,-1)</f>
        <v/>
      </c>
      <c r="V316" s="289">
        <f>商品マスタ[[#This Row],[海外定価
（20％）]]-商品マスタ[[#This Row],[仕入単価+国内送料]]</f>
        <v/>
      </c>
      <c r="W316" s="167">
        <f>ROUNDUP(商品マスタ[[#This Row],[仕入単価+国内送料]]/0.85,-1)</f>
        <v/>
      </c>
      <c r="X316" s="289">
        <f>商品マスタ[[#This Row],[国内定価
（15％）]]-商品マスタ[[#This Row],[仕入単価+国内送料]]</f>
        <v/>
      </c>
      <c r="Y316" s="139" t="n">
        <v>0.08</v>
      </c>
      <c r="Z316" s="167" t="n"/>
      <c r="AA316" s="167" t="n"/>
      <c r="AB316" s="167" t="n"/>
      <c r="AC316" s="293" t="n"/>
      <c r="AD316" s="167" t="n"/>
      <c r="AE316" s="167" t="n"/>
      <c r="AF316" s="167" t="n"/>
      <c r="AG316" s="144" t="n"/>
    </row>
    <row r="317" ht="18" customHeight="1" s="207">
      <c r="A317" s="166" t="inlineStr">
        <is>
          <t>青果</t>
        </is>
      </c>
      <c r="B317" s="167" t="inlineStr">
        <is>
          <t>野菜</t>
        </is>
      </c>
      <c r="C317" s="167" t="inlineStr">
        <is>
          <t>ニセコビュープラザ</t>
        </is>
      </c>
      <c r="D317" s="143">
        <f>"PRD_SNJ_"&amp;
_xlfn.XLOOKUP(商品マスタ[[#This Row],[仕入先]],テーブル1[仕入先名],テーブル1[仕入先コード],"XXX",0,1)&amp;
"_"&amp;
商品マスタ[[#This Row],[シリアル]]&amp;
"_"&amp;
TEXT(COUNTIFS(商品マスタ!$C$3:C317,商品マスタ[[#This Row],[仕入先]],商品マスタ!$E$3:E317,商品マスタ[[#This Row],[商品名]]), "00")</f>
        <v/>
      </c>
      <c r="E317" s="167" t="inlineStr">
        <is>
          <t>EEZOお歳暮パック 旬の野菜Ｓサイズ</t>
        </is>
      </c>
      <c r="F317" s="167">
        <f>IF(COUNTIFS($C$3:C317,商品マスタ[[#This Row],[仕入先]],$E$3:E317,商品マスタ[[#This Row],[商品名]]) = 1, 1,0)</f>
        <v/>
      </c>
      <c r="G317" s="133">
        <f>TEXT(SUMIF($C$3:C317,商品マスタ[[#This Row],[仕入先]],$F$3:F317), "0000")</f>
        <v/>
      </c>
      <c r="H317" s="167" t="inlineStr">
        <is>
          <t>箱</t>
        </is>
      </c>
      <c r="I317" s="167" t="n"/>
      <c r="J317" s="167" t="n">
        <v>1</v>
      </c>
      <c r="K317" s="167" t="inlineStr">
        <is>
          <t>80cmサイズの箱</t>
        </is>
      </c>
      <c r="L317" s="289" t="n">
        <v>2778</v>
      </c>
      <c r="M317" s="157" t="n"/>
      <c r="N317" s="289" t="n">
        <v>5600</v>
      </c>
      <c r="O317" s="297" t="inlineStr"/>
      <c r="P317" s="156" t="n">
        <v>0.1</v>
      </c>
      <c r="Q317" s="289">
        <f>商品マスタ[[#This Row],[仕入
単価]]*商品マスタ[[#This Row],[標準国内送料率]]</f>
        <v/>
      </c>
      <c r="R317" s="167" t="n">
        <v>1272</v>
      </c>
      <c r="S317" s="289">
        <f>IF(ISBLANK(商品マスタ[[#This Row],[実績
国内送料]]),商品マスタ[[#This Row],[標準国内送料]],)</f>
        <v/>
      </c>
      <c r="T317" s="289">
        <f>商品マスタ[[#This Row],[仕入
単価]]+商品マスタ[[#This Row],[国内送料]]</f>
        <v/>
      </c>
      <c r="U317" s="289">
        <f>ROUNDUP(商品マスタ[[#This Row],[仕入単価+国内送料]]/0.8,-1)</f>
        <v/>
      </c>
      <c r="V317" s="289">
        <f>商品マスタ[[#This Row],[海外定価
（20％）]]-商品マスタ[[#This Row],[仕入単価+国内送料]]</f>
        <v/>
      </c>
      <c r="W317" s="167">
        <f>ROUNDUP(商品マスタ[[#This Row],[仕入単価+国内送料]]/0.85,-1)</f>
        <v/>
      </c>
      <c r="X317" s="289">
        <f>商品マスタ[[#This Row],[国内定価
（15％）]]-商品マスタ[[#This Row],[仕入単価+国内送料]]</f>
        <v/>
      </c>
      <c r="Y317" s="139" t="n">
        <v>0.08</v>
      </c>
      <c r="Z317" s="167" t="inlineStr">
        <is>
          <t>なし</t>
        </is>
      </c>
      <c r="AA317" s="167" t="inlineStr">
        <is>
          <t>常温</t>
        </is>
      </c>
      <c r="AB317" s="167" t="inlineStr">
        <is>
          <t>5日</t>
        </is>
      </c>
      <c r="AC317" s="293" t="inlineStr">
        <is>
          <t>なし</t>
        </is>
      </c>
      <c r="AD317" s="167" t="inlineStr">
        <is>
          <t>ニセコ産の旬の野菜をお届けします●米　2キロ（ゆめぴりか）●ゆり根2株程度：ゆりねは古くから薬用として使用されるなど、その高い栄養価がうかがえます。
カリウムの含有量が高く、鉄・リン等も豊富。
良質なでん粉・食物繊維を多く含み、加熱によるビタミンCの損失が少ないのも特徴で、高級野菜として重宝されています。
また、最近では妊婦・授乳している方に必要な葉酸も多く含まれ、近年注目を集めています。●じゃがいも　1袋（約１kg）：昼夜の寒暖の差が激しいニセコの気候と豊かな自然が味のいいじゃがいもの産地として高く評価されています。</t>
        </is>
      </c>
      <c r="AE317" s="167" t="n"/>
      <c r="AF317" s="167" t="inlineStr">
        <is>
          <t>〇</t>
        </is>
      </c>
      <c r="AG317" s="144" t="n"/>
    </row>
    <row r="318" ht="18" customHeight="1" s="207">
      <c r="A318" s="166" t="inlineStr">
        <is>
          <t>水産</t>
        </is>
      </c>
      <c r="B318" s="167" t="inlineStr">
        <is>
          <t>水産物</t>
        </is>
      </c>
      <c r="C318" s="209" t="inlineStr">
        <is>
          <t>京樽</t>
        </is>
      </c>
      <c r="D318" s="143">
        <f>"PRD_SNJ_"&amp;
_xlfn.XLOOKUP(商品マスタ[[#This Row],[仕入先]],テーブル1[仕入先名],テーブル1[仕入先コード],"XXX",0,1)&amp;
"_"&amp;
商品マスタ[[#This Row],[シリアル]]&amp;
"_"&amp;
TEXT(COUNTIFS(商品マスタ!$C$3:C318,商品マスタ[[#This Row],[仕入先]],商品マスタ!$E$3:E318,商品マスタ[[#This Row],[商品名]]), "00")</f>
        <v/>
      </c>
      <c r="E318" s="167" t="inlineStr">
        <is>
          <t>冷凍 上方鮨セット（姫茶きん・穴子鮨・焼鯖鮨）</t>
        </is>
      </c>
      <c r="F318" s="167">
        <f>IF(COUNTIFS($C$3:C318,商品マスタ[[#This Row],[仕入先]],$E$3:E318,商品マスタ[[#This Row],[商品名]]) = 1, 1,0)</f>
        <v/>
      </c>
      <c r="G318" s="133">
        <f>TEXT(SUMIF($C$3:C318,商品マスタ[[#This Row],[仕入先]],$F$3:F318), "0000")</f>
        <v/>
      </c>
      <c r="H318" s="167" t="inlineStr">
        <is>
          <t>セット</t>
        </is>
      </c>
      <c r="I318" s="167" t="inlineStr">
        <is>
          <t>姫茶きん鮨321g+穴子鮨255g+焼鯖鮨295g</t>
        </is>
      </c>
      <c r="J318" s="167" t="n">
        <v>1</v>
      </c>
      <c r="K318" s="167" t="inlineStr">
        <is>
          <t>80cm段ボール</t>
        </is>
      </c>
      <c r="L318" s="289" t="n">
        <v>4200</v>
      </c>
      <c r="M318" s="157" t="n"/>
      <c r="N318" s="289" t="n"/>
      <c r="O318" s="297" t="inlineStr"/>
      <c r="P318" s="156" t="n">
        <v>0.1</v>
      </c>
      <c r="Q318" s="289">
        <f>商品マスタ[[#This Row],[仕入
単価]]*商品マスタ[[#This Row],[標準国内送料率]]</f>
        <v/>
      </c>
      <c r="R318" s="289" t="n">
        <v>0</v>
      </c>
      <c r="S318" s="289">
        <f>IF(ISBLANK(商品マスタ[[#This Row],[実績
国内送料]]),商品マスタ[[#This Row],[標準国内送料]],)</f>
        <v/>
      </c>
      <c r="T318" s="289">
        <f>商品マスタ[[#This Row],[仕入
単価]]+商品マスタ[[#This Row],[国内送料]]</f>
        <v/>
      </c>
      <c r="U318" s="289">
        <f>ROUNDUP(商品マスタ[[#This Row],[仕入単価+国内送料]]/0.8,-1)</f>
        <v/>
      </c>
      <c r="V318" s="289">
        <f>商品マスタ[[#This Row],[海外定価
（20％）]]-商品マスタ[[#This Row],[仕入単価+国内送料]]</f>
        <v/>
      </c>
      <c r="W318" s="167">
        <f>ROUNDUP(商品マスタ[[#This Row],[仕入単価+国内送料]]/0.85,-1)</f>
        <v/>
      </c>
      <c r="X318" s="289">
        <f>商品マスタ[[#This Row],[国内定価
（15％）]]-商品マスタ[[#This Row],[仕入単価+国内送料]]</f>
        <v/>
      </c>
      <c r="Y318" s="139" t="n">
        <v>0.08</v>
      </c>
      <c r="Z318" s="167" t="inlineStr">
        <is>
          <t>製造日より1年</t>
        </is>
      </c>
      <c r="AA318" s="167" t="inlineStr">
        <is>
          <t>冷凍</t>
        </is>
      </c>
      <c r="AB318" s="167" t="inlineStr">
        <is>
          <t>入金確認後1～2週間</t>
        </is>
      </c>
      <c r="AC318" s="293" t="n"/>
      <c r="AD318" s="167" t="inlineStr">
        <is>
          <t>姫茶きん鮨・穴子鮨・焼鯖鮨の3個セット。京樽看板商品の茶きん鮨を食べやすいサイズに。上方鮨定番の押し鮨。電子レンジ調理。</t>
        </is>
      </c>
      <c r="AE318" s="167" t="n"/>
      <c r="AF318" s="167" t="n"/>
      <c r="AG318" s="144" t="n"/>
    </row>
    <row r="319" ht="18" customHeight="1" s="207">
      <c r="A319" s="166" t="inlineStr">
        <is>
          <t>水産</t>
        </is>
      </c>
      <c r="B319" s="167" t="inlineStr">
        <is>
          <t>水産物</t>
        </is>
      </c>
      <c r="C319" s="209" t="inlineStr">
        <is>
          <t>京樽</t>
        </is>
      </c>
      <c r="D319" s="143">
        <f>"PRD_SNJ_"&amp;
_xlfn.XLOOKUP(商品マスタ[[#This Row],[仕入先]],テーブル1[仕入先名],テーブル1[仕入先コード],"XXX",0,1)&amp;
"_"&amp;
商品マスタ[[#This Row],[シリアル]]&amp;
"_"&amp;
TEXT(COUNTIFS(商品マスタ!$C$3:C319,商品マスタ[[#This Row],[仕入先]],商品マスタ!$E$3:E319,商品マスタ[[#This Row],[商品名]]), "00")</f>
        <v/>
      </c>
      <c r="E319" s="167" t="inlineStr">
        <is>
          <t>冷凍 押し寿司3種セット</t>
        </is>
      </c>
      <c r="F319" s="167">
        <f>IF(COUNTIFS($C$3:C319,商品マスタ[[#This Row],[仕入先]],$E$3:E319,商品マスタ[[#This Row],[商品名]]) = 1, 1,0)</f>
        <v/>
      </c>
      <c r="G319" s="133">
        <f>TEXT(SUMIF($C$3:C319,商品マスタ[[#This Row],[仕入先]],$F$3:F319), "0000")</f>
        <v/>
      </c>
      <c r="H319" s="167" t="inlineStr">
        <is>
          <t>セット</t>
        </is>
      </c>
      <c r="I319" s="167" t="inlineStr">
        <is>
          <t>穴子鮨255g+焼鯖鮨295g+うなぎ鮨245g</t>
        </is>
      </c>
      <c r="J319" s="167" t="n">
        <v>1</v>
      </c>
      <c r="K319" s="167" t="inlineStr">
        <is>
          <t>80cm段ボール</t>
        </is>
      </c>
      <c r="L319" s="289" t="n">
        <v>3950</v>
      </c>
      <c r="M319" s="157" t="n"/>
      <c r="N319" s="289" t="n"/>
      <c r="O319" s="297" t="inlineStr"/>
      <c r="P319" s="156" t="n">
        <v>0.1</v>
      </c>
      <c r="Q319" s="289">
        <f>商品マスタ[[#This Row],[仕入
単価]]*商品マスタ[[#This Row],[標準国内送料率]]</f>
        <v/>
      </c>
      <c r="R319" s="289" t="n">
        <v>0</v>
      </c>
      <c r="S319" s="289">
        <f>IF(ISBLANK(商品マスタ[[#This Row],[実績
国内送料]]),商品マスタ[[#This Row],[標準国内送料]],)</f>
        <v/>
      </c>
      <c r="T319" s="289">
        <f>商品マスタ[[#This Row],[仕入
単価]]+商品マスタ[[#This Row],[国内送料]]</f>
        <v/>
      </c>
      <c r="U319" s="289">
        <f>ROUNDUP(商品マスタ[[#This Row],[仕入単価+国内送料]]/0.8,-1)</f>
        <v/>
      </c>
      <c r="V319" s="289">
        <f>商品マスタ[[#This Row],[海外定価
（20％）]]-商品マスタ[[#This Row],[仕入単価+国内送料]]</f>
        <v/>
      </c>
      <c r="W319" s="167">
        <f>ROUNDUP(商品マスタ[[#This Row],[仕入単価+国内送料]]/0.85,-1)</f>
        <v/>
      </c>
      <c r="X319" s="289">
        <f>商品マスタ[[#This Row],[国内定価
（15％）]]-商品マスタ[[#This Row],[仕入単価+国内送料]]</f>
        <v/>
      </c>
      <c r="Y319" s="139" t="n">
        <v>0.08</v>
      </c>
      <c r="Z319" s="167" t="inlineStr">
        <is>
          <t>製造日より1年</t>
        </is>
      </c>
      <c r="AA319" s="167" t="inlineStr">
        <is>
          <t>冷凍</t>
        </is>
      </c>
      <c r="AB319" s="167" t="inlineStr">
        <is>
          <t>入金確認後1～2週間</t>
        </is>
      </c>
      <c r="AC319" s="293" t="n"/>
      <c r="AD319" s="167" t="inlineStr">
        <is>
          <t>穴子鮨・焼鯖鮨・うなぎ鮨の押し寿司3パックセット。こだわりのタレで丁寧に焼き上げた具材を贅沢に使用。電子レンジ調理。</t>
        </is>
      </c>
      <c r="AE319" s="167" t="n"/>
      <c r="AF319" s="167" t="n"/>
      <c r="AG319" s="144" t="n"/>
    </row>
    <row r="320" ht="18" customHeight="1" s="207">
      <c r="A320" s="166" t="inlineStr">
        <is>
          <t>水産</t>
        </is>
      </c>
      <c r="B320" s="167" t="inlineStr">
        <is>
          <t>水産物</t>
        </is>
      </c>
      <c r="C320" s="209" t="inlineStr">
        <is>
          <t>京樽</t>
        </is>
      </c>
      <c r="D320" s="143">
        <f>"PRD_SNJ_"&amp;
_xlfn.XLOOKUP(商品マスタ[[#This Row],[仕入先]],テーブル1[仕入先名],テーブル1[仕入先コード],"XXX",0,1)&amp;
"_"&amp;
商品マスタ[[#This Row],[シリアル]]&amp;
"_"&amp;
TEXT(COUNTIFS(商品マスタ!$C$3:C320,商品マスタ[[#This Row],[仕入先]],商品マスタ!$E$3:E320,商品マスタ[[#This Row],[商品名]]), "00")</f>
        <v/>
      </c>
      <c r="E320" s="167" t="inlineStr">
        <is>
          <t>冷凍 上方鮨20貫 1個＋姫茶きん鮨 2個セット</t>
        </is>
      </c>
      <c r="F320" s="167">
        <f>IF(COUNTIFS($C$3:C320,商品マスタ[[#This Row],[仕入先]],$E$3:E320,商品マスタ[[#This Row],[商品名]]) = 1, 1,0)</f>
        <v/>
      </c>
      <c r="G320" s="133">
        <f>TEXT(SUMIF($C$3:C320,商品マスタ[[#This Row],[仕入先]],$F$3:F320), "0000")</f>
        <v/>
      </c>
      <c r="H320" s="167" t="inlineStr">
        <is>
          <t>セット</t>
        </is>
      </c>
      <c r="I320" s="167" t="inlineStr">
        <is>
          <t>上方鮨20貫350g×1+姫茶きん鮨321g×2</t>
        </is>
      </c>
      <c r="J320" s="167" t="n">
        <v>1</v>
      </c>
      <c r="K320" s="167" t="inlineStr">
        <is>
          <t>80cm段ボール</t>
        </is>
      </c>
      <c r="L320" s="289" t="n">
        <v>4700</v>
      </c>
      <c r="M320" s="157" t="n"/>
      <c r="N320" s="289" t="n"/>
      <c r="O320" s="297" t="inlineStr"/>
      <c r="P320" s="156" t="n">
        <v>0.1</v>
      </c>
      <c r="Q320" s="289">
        <f>商品マスタ[[#This Row],[仕入
単価]]*商品マスタ[[#This Row],[標準国内送料率]]</f>
        <v/>
      </c>
      <c r="R320" s="289" t="n">
        <v>0</v>
      </c>
      <c r="S320" s="289">
        <f>IF(ISBLANK(商品マスタ[[#This Row],[実績
国内送料]]),商品マスタ[[#This Row],[標準国内送料]],)</f>
        <v/>
      </c>
      <c r="T320" s="289">
        <f>商品マスタ[[#This Row],[仕入
単価]]+商品マスタ[[#This Row],[国内送料]]</f>
        <v/>
      </c>
      <c r="U320" s="289">
        <f>ROUNDUP(商品マスタ[[#This Row],[仕入単価+国内送料]]/0.8,-1)</f>
        <v/>
      </c>
      <c r="V320" s="289">
        <f>商品マスタ[[#This Row],[海外定価
（20％）]]-商品マスタ[[#This Row],[仕入単価+国内送料]]</f>
        <v/>
      </c>
      <c r="W320" s="167">
        <f>ROUNDUP(商品マスタ[[#This Row],[仕入単価+国内送料]]/0.85,-1)</f>
        <v/>
      </c>
      <c r="X320" s="289">
        <f>商品マスタ[[#This Row],[国内定価
（15％）]]-商品マスタ[[#This Row],[仕入単価+国内送料]]</f>
        <v/>
      </c>
      <c r="Y320" s="139" t="n">
        <v>0.08</v>
      </c>
      <c r="Z320" s="167" t="inlineStr">
        <is>
          <t>製造日より1年</t>
        </is>
      </c>
      <c r="AA320" s="167" t="inlineStr">
        <is>
          <t>冷凍</t>
        </is>
      </c>
      <c r="AB320" s="167" t="inlineStr">
        <is>
          <t>入金確認後1～2週間</t>
        </is>
      </c>
      <c r="AC320" s="293" t="n"/>
      <c r="AD320" s="167" t="inlineStr">
        <is>
          <t>姫茶きん鮨と彩り鮮やかな箱寿司「上方鮨20貫」のセット。かに・酢〆真鯛・ます・〆さば・穴子・漬け真いか・酢〆えび・厚焼き玉子・高菜・焼鯖の10種。電子レンジ調理。</t>
        </is>
      </c>
      <c r="AE320" s="167" t="n"/>
      <c r="AF320" s="167" t="n"/>
      <c r="AG320" s="144" t="n"/>
    </row>
    <row r="321" ht="18" customHeight="1" s="207">
      <c r="A321" s="166" t="inlineStr">
        <is>
          <t>加工品</t>
        </is>
      </c>
      <c r="B321" s="167" t="inlineStr">
        <is>
          <t>その他</t>
        </is>
      </c>
      <c r="C321" s="209" t="inlineStr">
        <is>
          <t>京樽</t>
        </is>
      </c>
      <c r="D321" s="143">
        <f>"PRD_SNJ_"&amp;
_xlfn.XLOOKUP(商品マスタ[[#This Row],[仕入先]],テーブル1[仕入先名],テーブル1[仕入先コード],"XXX",0,1)&amp;
"_"&amp;
商品マスタ[[#This Row],[シリアル]]&amp;
"_"&amp;
TEXT(COUNTIFS(商品マスタ!$C$3:C321,商品マスタ[[#This Row],[仕入先]],商品マスタ!$E$3:E321,商品マスタ[[#This Row],[商品名]]), "00")</f>
        <v/>
      </c>
      <c r="E321" s="167" t="inlineStr">
        <is>
          <t>冷凍 姫茶きん鮨(6個) 3個セット</t>
        </is>
      </c>
      <c r="F321" s="167">
        <f>IF(COUNTIFS($C$3:C321,商品マスタ[[#This Row],[仕入先]],$E$3:E321,商品マスタ[[#This Row],[商品名]]) = 1, 1,0)</f>
        <v/>
      </c>
      <c r="G321" s="133">
        <f>TEXT(SUMIF($C$3:C321,商品マスタ[[#This Row],[仕入先]],$F$3:F321), "0000")</f>
        <v/>
      </c>
      <c r="H321" s="167" t="inlineStr">
        <is>
          <t>セット</t>
        </is>
      </c>
      <c r="I321" s="167" t="inlineStr">
        <is>
          <t>姫茶きん鮨321g×3</t>
        </is>
      </c>
      <c r="J321" s="167" t="n">
        <v>1</v>
      </c>
      <c r="K321" s="167" t="inlineStr">
        <is>
          <t>80cm段ボール</t>
        </is>
      </c>
      <c r="L321" s="289" t="n">
        <v>4500</v>
      </c>
      <c r="M321" s="157" t="n"/>
      <c r="N321" s="289" t="n"/>
      <c r="O321" s="297" t="inlineStr"/>
      <c r="P321" s="156" t="n">
        <v>0.1</v>
      </c>
      <c r="Q321" s="289">
        <f>商品マスタ[[#This Row],[仕入
単価]]*商品マスタ[[#This Row],[標準国内送料率]]</f>
        <v/>
      </c>
      <c r="R321" s="289" t="n">
        <v>0</v>
      </c>
      <c r="S321" s="289">
        <f>IF(ISBLANK(商品マスタ[[#This Row],[実績
国内送料]]),商品マスタ[[#This Row],[標準国内送料]],)</f>
        <v/>
      </c>
      <c r="T321" s="289">
        <f>商品マスタ[[#This Row],[仕入
単価]]+商品マスタ[[#This Row],[国内送料]]</f>
        <v/>
      </c>
      <c r="U321" s="289">
        <f>ROUNDUP(商品マスタ[[#This Row],[仕入単価+国内送料]]/0.8,-1)</f>
        <v/>
      </c>
      <c r="V321" s="289">
        <f>商品マスタ[[#This Row],[海外定価
（20％）]]-商品マスタ[[#This Row],[仕入単価+国内送料]]</f>
        <v/>
      </c>
      <c r="W321" s="167">
        <f>ROUNDUP(商品マスタ[[#This Row],[仕入単価+国内送料]]/0.85,-1)</f>
        <v/>
      </c>
      <c r="X321" s="289">
        <f>商品マスタ[[#This Row],[国内定価
（15％）]]-商品マスタ[[#This Row],[仕入単価+国内送料]]</f>
        <v/>
      </c>
      <c r="Y321" s="139" t="n">
        <v>0.08</v>
      </c>
      <c r="Z321" s="167" t="inlineStr">
        <is>
          <t>製造日より1年</t>
        </is>
      </c>
      <c r="AA321" s="167" t="inlineStr">
        <is>
          <t>冷凍</t>
        </is>
      </c>
      <c r="AB321" s="167" t="inlineStr">
        <is>
          <t>入金確認後1～2週間</t>
        </is>
      </c>
      <c r="AC321" s="293" t="n"/>
      <c r="AD321" s="167" t="inlineStr">
        <is>
          <t>京樽看板商品を一回り小さく食べやすいサイズに。焼穴子・かんぴょう・椎茸・きくらげ・深煎りゴマ・柚子・海苔が香る混ぜシャリを薄焼き玉子で包んだお寿司。電子レンジ調理。</t>
        </is>
      </c>
      <c r="AE321" s="167" t="n"/>
      <c r="AF321" s="167" t="n"/>
      <c r="AG321" s="144" t="n"/>
    </row>
    <row r="322" ht="18" customHeight="1" s="207">
      <c r="A322" s="166" t="inlineStr">
        <is>
          <t>その他</t>
        </is>
      </c>
      <c r="B322" s="167" t="inlineStr">
        <is>
          <t>調味料</t>
        </is>
      </c>
      <c r="C322" s="209" t="inlineStr">
        <is>
          <t>京樽</t>
        </is>
      </c>
      <c r="D322" s="143">
        <f>"PRD_SNJ_"&amp;
_xlfn.XLOOKUP(商品マスタ[[#This Row],[仕入先]],テーブル1[仕入先名],テーブル1[仕入先コード],"XXX",0,1)&amp;
"_"&amp;
商品マスタ[[#This Row],[シリアル]]&amp;
"_"&amp;
TEXT(COUNTIFS(商品マスタ!$C$3:C322,商品マスタ[[#This Row],[仕入先]],商品マスタ!$E$3:E322,商品マスタ[[#This Row],[商品名]]), "00")</f>
        <v/>
      </c>
      <c r="E322" s="167" t="inlineStr">
        <is>
          <t>冷凍 穴子鮨 3個セット</t>
        </is>
      </c>
      <c r="F322" s="167">
        <f>IF(COUNTIFS($C$3:C322,商品マスタ[[#This Row],[仕入先]],$E$3:E322,商品マスタ[[#This Row],[商品名]]) = 1, 1,0)</f>
        <v/>
      </c>
      <c r="G322" s="133">
        <f>TEXT(SUMIF($C$3:C322,商品マスタ[[#This Row],[仕入先]],$F$3:F322), "0000")</f>
        <v/>
      </c>
      <c r="H322" s="167" t="inlineStr">
        <is>
          <t>セット</t>
        </is>
      </c>
      <c r="I322" s="167" t="inlineStr">
        <is>
          <t>穴子鮨6貫255g×3</t>
        </is>
      </c>
      <c r="J322" s="167" t="n">
        <v>1</v>
      </c>
      <c r="K322" s="167" t="inlineStr">
        <is>
          <t>80cm段ボール</t>
        </is>
      </c>
      <c r="L322" s="289" t="n">
        <v>4300</v>
      </c>
      <c r="M322" s="157" t="n"/>
      <c r="N322" s="289" t="n"/>
      <c r="O322" s="297" t="inlineStr"/>
      <c r="P322" s="156" t="n">
        <v>0.1</v>
      </c>
      <c r="Q322" s="289">
        <f>商品マスタ[[#This Row],[仕入
単価]]*商品マスタ[[#This Row],[標準国内送料率]]</f>
        <v/>
      </c>
      <c r="R322" s="289" t="n">
        <v>0</v>
      </c>
      <c r="S322" s="289">
        <f>IF(ISBLANK(商品マスタ[[#This Row],[実績
国内送料]]),商品マスタ[[#This Row],[標準国内送料]],)</f>
        <v/>
      </c>
      <c r="T322" s="289">
        <f>商品マスタ[[#This Row],[仕入
単価]]+商品マスタ[[#This Row],[国内送料]]</f>
        <v/>
      </c>
      <c r="U322" s="289">
        <f>ROUNDUP(商品マスタ[[#This Row],[仕入単価+国内送料]]/0.8,-1)</f>
        <v/>
      </c>
      <c r="V322" s="289">
        <f>商品マスタ[[#This Row],[海外定価
（20％）]]-商品マスタ[[#This Row],[仕入単価+国内送料]]</f>
        <v/>
      </c>
      <c r="W322" s="167">
        <f>ROUNDUP(商品マスタ[[#This Row],[仕入単価+国内送料]]/0.85,-1)</f>
        <v/>
      </c>
      <c r="X322" s="289">
        <f>商品マスタ[[#This Row],[国内定価
（15％）]]-商品マスタ[[#This Row],[仕入単価+国内送料]]</f>
        <v/>
      </c>
      <c r="Y322" s="139" t="n">
        <v>0.08</v>
      </c>
      <c r="Z322" s="167" t="inlineStr">
        <is>
          <t>製造日より1年</t>
        </is>
      </c>
      <c r="AA322" s="167" t="inlineStr">
        <is>
          <t>冷凍</t>
        </is>
      </c>
      <c r="AB322" s="167" t="inlineStr">
        <is>
          <t>入金確認後1～2週間</t>
        </is>
      </c>
      <c r="AC322" s="293" t="n"/>
      <c r="AD322" s="167" t="inlineStr">
        <is>
          <t>京樽特製タレで香ばしく焼き上げた穴子を使った押し寿司。上方鮨定番の押し鮨。電子レンジ調理。</t>
        </is>
      </c>
      <c r="AE322" s="167" t="n"/>
      <c r="AF322" s="167" t="n"/>
      <c r="AG322" s="144" t="n"/>
    </row>
    <row r="323" ht="18" customHeight="1" s="207">
      <c r="A323" s="166" t="inlineStr">
        <is>
          <t>水産</t>
        </is>
      </c>
      <c r="B323" s="167" t="inlineStr">
        <is>
          <t>水産物</t>
        </is>
      </c>
      <c r="C323" s="209" t="inlineStr">
        <is>
          <t>京樽</t>
        </is>
      </c>
      <c r="D323" s="143">
        <f>"PRD_SNJ_"&amp;
_xlfn.XLOOKUP(商品マスタ[[#This Row],[仕入先]],テーブル1[仕入先名],テーブル1[仕入先コード],"XXX",0,1)&amp;
"_"&amp;
商品マスタ[[#This Row],[シリアル]]&amp;
"_"&amp;
TEXT(COUNTIFS(商品マスタ!$C$3:C323,商品マスタ[[#This Row],[仕入先]],商品マスタ!$E$3:E323,商品マスタ[[#This Row],[商品名]]), "00")</f>
        <v/>
      </c>
      <c r="E323" s="167" t="inlineStr">
        <is>
          <t>冷凍 焼鯖鮨 3個セット</t>
        </is>
      </c>
      <c r="F323" s="167">
        <f>IF(COUNTIFS($C$3:C323,商品マスタ[[#This Row],[仕入先]],$E$3:E323,商品マスタ[[#This Row],[商品名]]) = 1, 1,0)</f>
        <v/>
      </c>
      <c r="G323" s="133">
        <f>TEXT(SUMIF($C$3:C323,商品マスタ[[#This Row],[仕入先]],$F$3:F323), "0000")</f>
        <v/>
      </c>
      <c r="H323" s="167" t="inlineStr">
        <is>
          <t>セット</t>
        </is>
      </c>
      <c r="I323" s="167" t="inlineStr">
        <is>
          <t>焼鯖鮨6貫295g×3</t>
        </is>
      </c>
      <c r="J323" s="167" t="n">
        <v>1</v>
      </c>
      <c r="K323" s="167" t="inlineStr">
        <is>
          <t>80cm段ボール</t>
        </is>
      </c>
      <c r="L323" s="289" t="n">
        <v>3700</v>
      </c>
      <c r="M323" s="157" t="n"/>
      <c r="N323" s="289" t="n"/>
      <c r="O323" s="297" t="inlineStr"/>
      <c r="P323" s="156" t="n">
        <v>0.1</v>
      </c>
      <c r="Q323" s="289">
        <f>商品マスタ[[#This Row],[仕入
単価]]*商品マスタ[[#This Row],[標準国内送料率]]</f>
        <v/>
      </c>
      <c r="R323" s="289" t="n">
        <v>0</v>
      </c>
      <c r="S323" s="289">
        <f>IF(ISBLANK(商品マスタ[[#This Row],[実績
国内送料]]),商品マスタ[[#This Row],[標準国内送料]],)</f>
        <v/>
      </c>
      <c r="T323" s="289">
        <f>商品マスタ[[#This Row],[仕入
単価]]+商品マスタ[[#This Row],[国内送料]]</f>
        <v/>
      </c>
      <c r="U323" s="289">
        <f>ROUNDUP(商品マスタ[[#This Row],[仕入単価+国内送料]]/0.8,-1)</f>
        <v/>
      </c>
      <c r="V323" s="289">
        <f>商品マスタ[[#This Row],[海外定価
（20％）]]-商品マスタ[[#This Row],[仕入単価+国内送料]]</f>
        <v/>
      </c>
      <c r="W323" s="167">
        <f>ROUNDUP(商品マスタ[[#This Row],[仕入単価+国内送料]]/0.85,-1)</f>
        <v/>
      </c>
      <c r="X323" s="289">
        <f>商品マスタ[[#This Row],[国内定価
（15％）]]-商品マスタ[[#This Row],[仕入単価+国内送料]]</f>
        <v/>
      </c>
      <c r="Y323" s="139" t="n">
        <v>0.08</v>
      </c>
      <c r="Z323" s="167" t="inlineStr">
        <is>
          <t>製造日より1年</t>
        </is>
      </c>
      <c r="AA323" s="167" t="inlineStr">
        <is>
          <t>冷凍</t>
        </is>
      </c>
      <c r="AB323" s="167" t="inlineStr">
        <is>
          <t>入金確認後1～2週間</t>
        </is>
      </c>
      <c r="AC323" s="293" t="n"/>
      <c r="AD323" s="167" t="inlineStr">
        <is>
          <t>こだわりのタレで丁寧に香ばしく焼き上げた鯖を贅沢に使った押し寿司。混ぜシャリで押した創作押し寿司。第1回「日本全国！ご当地冷凍食品大賞2024-2025」優秀賞受賞。電子レンジ調理。</t>
        </is>
      </c>
      <c r="AE323" s="167" t="n"/>
      <c r="AF323" s="167" t="n"/>
      <c r="AG323" s="144" t="n"/>
    </row>
    <row r="324" ht="18" customHeight="1" s="207">
      <c r="A324" s="166" t="inlineStr">
        <is>
          <t>その他</t>
        </is>
      </c>
      <c r="B324" s="167" t="inlineStr">
        <is>
          <t>調味料</t>
        </is>
      </c>
      <c r="C324" s="209" t="inlineStr">
        <is>
          <t>京樽</t>
        </is>
      </c>
      <c r="D324" s="143">
        <f>"PRD_SNJ_"&amp;
_xlfn.XLOOKUP(商品マスタ[[#This Row],[仕入先]],テーブル1[仕入先名],テーブル1[仕入先コード],"XXX",0,1)&amp;
"_"&amp;
商品マスタ[[#This Row],[シリアル]]&amp;
"_"&amp;
TEXT(COUNTIFS(商品マスタ!$C$3:C324,商品マスタ[[#This Row],[仕入先]],商品マスタ!$E$3:E324,商品マスタ[[#This Row],[商品名]]), "00")</f>
        <v/>
      </c>
      <c r="E324" s="167" t="inlineStr">
        <is>
          <t>冷凍 うなぎ鮨 3個セット</t>
        </is>
      </c>
      <c r="F324" s="167">
        <f>IF(COUNTIFS($C$3:C324,商品マスタ[[#This Row],[仕入先]],$E$3:E324,商品マスタ[[#This Row],[商品名]]) = 1, 1,0)</f>
        <v/>
      </c>
      <c r="G324" s="133">
        <f>TEXT(SUMIF($C$3:C324,商品マスタ[[#This Row],[仕入先]],$F$3:F324), "0000")</f>
        <v/>
      </c>
      <c r="H324" s="167" t="inlineStr">
        <is>
          <t>セット</t>
        </is>
      </c>
      <c r="I324" s="167" t="inlineStr">
        <is>
          <t>うなぎ鮨6貫245g×3</t>
        </is>
      </c>
      <c r="J324" s="167" t="n">
        <v>1</v>
      </c>
      <c r="K324" s="167" t="inlineStr">
        <is>
          <t>80cm段ボール</t>
        </is>
      </c>
      <c r="L324" s="289" t="n">
        <v>3900</v>
      </c>
      <c r="M324" s="157" t="n"/>
      <c r="N324" s="289" t="n"/>
      <c r="O324" s="297" t="inlineStr"/>
      <c r="P324" s="156" t="n">
        <v>0.1</v>
      </c>
      <c r="Q324" s="289">
        <f>商品マスタ[[#This Row],[仕入
単価]]*商品マスタ[[#This Row],[標準国内送料率]]</f>
        <v/>
      </c>
      <c r="R324" s="289" t="n">
        <v>0</v>
      </c>
      <c r="S324" s="289">
        <f>IF(ISBLANK(商品マスタ[[#This Row],[実績
国内送料]]),商品マスタ[[#This Row],[標準国内送料]],)</f>
        <v/>
      </c>
      <c r="T324" s="289">
        <f>商品マスタ[[#This Row],[仕入
単価]]+商品マスタ[[#This Row],[国内送料]]</f>
        <v/>
      </c>
      <c r="U324" s="289">
        <f>ROUNDUP(商品マスタ[[#This Row],[仕入単価+国内送料]]/0.8,-1)</f>
        <v/>
      </c>
      <c r="V324" s="289">
        <f>商品マスタ[[#This Row],[海外定価
（20％）]]-商品マスタ[[#This Row],[仕入単価+国内送料]]</f>
        <v/>
      </c>
      <c r="W324" s="167">
        <f>ROUNDUP(商品マスタ[[#This Row],[仕入単価+国内送料]]/0.85,-1)</f>
        <v/>
      </c>
      <c r="X324" s="289">
        <f>商品マスタ[[#This Row],[国内定価
（15％）]]-商品マスタ[[#This Row],[仕入単価+国内送料]]</f>
        <v/>
      </c>
      <c r="Y324" s="139" t="n">
        <v>0.08</v>
      </c>
      <c r="Z324" s="167" t="inlineStr">
        <is>
          <t>製造日より1年</t>
        </is>
      </c>
      <c r="AA324" s="167" t="inlineStr">
        <is>
          <t>冷凍</t>
        </is>
      </c>
      <c r="AB324" s="167" t="inlineStr">
        <is>
          <t>入金確認後1～2週間</t>
        </is>
      </c>
      <c r="AC324" s="293" t="n"/>
      <c r="AD324" s="167" t="inlineStr">
        <is>
          <t>焼き方やタレにこだわり。伝統的な上方鮨の技術で作り上げたうなぎの長焼を贅沢に使った押し寿司。椎茸とかんぴょうの旨味がうなぎを引き立てる。電子レンジ調理。</t>
        </is>
      </c>
      <c r="AE324" s="167" t="n"/>
      <c r="AF324" s="167" t="n"/>
      <c r="AG324" s="144" t="n"/>
    </row>
    <row r="325" ht="18" customHeight="1" s="207">
      <c r="A325" s="166" t="inlineStr">
        <is>
          <t>加工品</t>
        </is>
      </c>
      <c r="B325" s="167" t="inlineStr">
        <is>
          <t>その他</t>
        </is>
      </c>
      <c r="C325" s="209" t="inlineStr">
        <is>
          <t>京樽</t>
        </is>
      </c>
      <c r="D325" s="143">
        <f>"PRD_SNJ_"&amp;
_xlfn.XLOOKUP(商品マスタ[[#This Row],[仕入先]],テーブル1[仕入先名],テーブル1[仕入先コード],"XXX",0,1)&amp;
"_"&amp;
商品マスタ[[#This Row],[シリアル]]&amp;
"_"&amp;
TEXT(COUNTIFS(商品マスタ!$C$3:C325,商品マスタ[[#This Row],[仕入先]],商品マスタ!$E$3:E325,商品マスタ[[#This Row],[商品名]]), "00")</f>
        <v/>
      </c>
      <c r="E325" s="167" t="inlineStr">
        <is>
          <t>冷凍 五目ちらし 3個セット</t>
        </is>
      </c>
      <c r="F325" s="167">
        <f>IF(COUNTIFS($C$3:C325,商品マスタ[[#This Row],[仕入先]],$E$3:E325,商品マスタ[[#This Row],[商品名]]) = 1, 1,0)</f>
        <v/>
      </c>
      <c r="G325" s="133">
        <f>TEXT(SUMIF($C$3:C325,商品マスタ[[#This Row],[仕入先]],$F$3:F325), "0000")</f>
        <v/>
      </c>
      <c r="H325" s="167" t="inlineStr">
        <is>
          <t>セット</t>
        </is>
      </c>
      <c r="I325" s="167" t="inlineStr">
        <is>
          <t>五目ちらし240g×3</t>
        </is>
      </c>
      <c r="J325" s="167" t="n">
        <v>1</v>
      </c>
      <c r="K325" s="167" t="inlineStr">
        <is>
          <t>80cm段ボール</t>
        </is>
      </c>
      <c r="L325" s="289" t="n">
        <v>3400</v>
      </c>
      <c r="M325" s="157" t="n"/>
      <c r="N325" s="289" t="n"/>
      <c r="O325" s="297" t="inlineStr"/>
      <c r="P325" s="156" t="n">
        <v>0.1</v>
      </c>
      <c r="Q325" s="289">
        <f>商品マスタ[[#This Row],[仕入
単価]]*商品マスタ[[#This Row],[標準国内送料率]]</f>
        <v/>
      </c>
      <c r="R325" s="289" t="n">
        <v>0</v>
      </c>
      <c r="S325" s="289">
        <f>IF(ISBLANK(商品マスタ[[#This Row],[実績
国内送料]]),商品マスタ[[#This Row],[標準国内送料]],)</f>
        <v/>
      </c>
      <c r="T325" s="289">
        <f>商品マスタ[[#This Row],[仕入
単価]]+商品マスタ[[#This Row],[国内送料]]</f>
        <v/>
      </c>
      <c r="U325" s="289">
        <f>ROUNDUP(商品マスタ[[#This Row],[仕入単価+国内送料]]/0.8,-1)</f>
        <v/>
      </c>
      <c r="V325" s="289">
        <f>商品マスタ[[#This Row],[海外定価
（20％）]]-商品マスタ[[#This Row],[仕入単価+国内送料]]</f>
        <v/>
      </c>
      <c r="W325" s="167">
        <f>ROUNDUP(商品マスタ[[#This Row],[仕入単価+国内送料]]/0.85,-1)</f>
        <v/>
      </c>
      <c r="X325" s="289">
        <f>商品マスタ[[#This Row],[国内定価
（15％）]]-商品マスタ[[#This Row],[仕入単価+国内送料]]</f>
        <v/>
      </c>
      <c r="Y325" s="139" t="n">
        <v>0.08</v>
      </c>
      <c r="Z325" s="167" t="inlineStr">
        <is>
          <t>製造日より1年</t>
        </is>
      </c>
      <c r="AA325" s="167" t="inlineStr">
        <is>
          <t>冷凍</t>
        </is>
      </c>
      <c r="AB325" s="167" t="inlineStr">
        <is>
          <t>入金確認後1～2週間</t>
        </is>
      </c>
      <c r="AC325" s="293" t="n"/>
      <c r="AD325" s="167" t="inlineStr">
        <is>
          <t>混ぜシャリで食べる定番の上方ちらし鮨。優しい味付けで仕上げた、どこか懐かしいちらし鮨。電子レンジ調理。</t>
        </is>
      </c>
      <c r="AE325" s="167" t="n"/>
      <c r="AF325" s="167" t="n"/>
      <c r="AG325" s="144" t="n"/>
    </row>
    <row r="326" ht="18" customHeight="1" s="207">
      <c r="A326" s="166" t="inlineStr">
        <is>
          <t>その他</t>
        </is>
      </c>
      <c r="B326" s="167" t="inlineStr">
        <is>
          <t>調味料</t>
        </is>
      </c>
      <c r="C326" s="209" t="inlineStr">
        <is>
          <t>京樽</t>
        </is>
      </c>
      <c r="D326" s="143">
        <f>"PRD_SNJ_"&amp;
_xlfn.XLOOKUP(商品マスタ[[#This Row],[仕入先]],テーブル1[仕入先名],テーブル1[仕入先コード],"XXX",0,1)&amp;
"_"&amp;
商品マスタ[[#This Row],[シリアル]]&amp;
"_"&amp;
TEXT(COUNTIFS(商品マスタ!$C$3:C326,商品マスタ[[#This Row],[仕入先]],商品マスタ!$E$3:E326,商品マスタ[[#This Row],[商品名]]), "00")</f>
        <v/>
      </c>
      <c r="E326" s="167" t="inlineStr">
        <is>
          <t>冷凍 うなぎちらし 3個セット</t>
        </is>
      </c>
      <c r="F326" s="167">
        <f>IF(COUNTIFS($C$3:C326,商品マスタ[[#This Row],[仕入先]],$E$3:E326,商品マスタ[[#This Row],[商品名]]) = 1, 1,0)</f>
        <v/>
      </c>
      <c r="G326" s="133">
        <f>TEXT(SUMIF($C$3:C326,商品マスタ[[#This Row],[仕入先]],$F$3:F326), "0000")</f>
        <v/>
      </c>
      <c r="H326" s="167" t="inlineStr">
        <is>
          <t>セット</t>
        </is>
      </c>
      <c r="I326" s="167" t="inlineStr">
        <is>
          <t>うなぎちらし287g×3</t>
        </is>
      </c>
      <c r="J326" s="167" t="n">
        <v>1</v>
      </c>
      <c r="K326" s="167" t="inlineStr">
        <is>
          <t>80cm段ボール</t>
        </is>
      </c>
      <c r="L326" s="289" t="n">
        <v>4300</v>
      </c>
      <c r="M326" s="157" t="n"/>
      <c r="N326" s="289" t="n"/>
      <c r="O326" s="297" t="inlineStr"/>
      <c r="P326" s="156" t="n">
        <v>0.1</v>
      </c>
      <c r="Q326" s="289">
        <f>商品マスタ[[#This Row],[仕入
単価]]*商品マスタ[[#This Row],[標準国内送料率]]</f>
        <v/>
      </c>
      <c r="R326" s="289" t="n">
        <v>0</v>
      </c>
      <c r="S326" s="289">
        <f>IF(ISBLANK(商品マスタ[[#This Row],[実績
国内送料]]),商品マスタ[[#This Row],[標準国内送料]],)</f>
        <v/>
      </c>
      <c r="T326" s="289">
        <f>商品マスタ[[#This Row],[仕入
単価]]+商品マスタ[[#This Row],[国内送料]]</f>
        <v/>
      </c>
      <c r="U326" s="289">
        <f>ROUNDUP(商品マスタ[[#This Row],[仕入単価+国内送料]]/0.8,-1)</f>
        <v/>
      </c>
      <c r="V326" s="289">
        <f>商品マスタ[[#This Row],[海外定価
（20％）]]-商品マスタ[[#This Row],[仕入単価+国内送料]]</f>
        <v/>
      </c>
      <c r="W326" s="167">
        <f>ROUNDUP(商品マスタ[[#This Row],[仕入単価+国内送料]]/0.85,-1)</f>
        <v/>
      </c>
      <c r="X326" s="289">
        <f>商品マスタ[[#This Row],[国内定価
（15％）]]-商品マスタ[[#This Row],[仕入単価+国内送料]]</f>
        <v/>
      </c>
      <c r="Y326" s="139" t="n">
        <v>0.08</v>
      </c>
      <c r="Z326" s="167" t="inlineStr">
        <is>
          <t>製造日より1年</t>
        </is>
      </c>
      <c r="AA326" s="167" t="inlineStr">
        <is>
          <t>冷凍</t>
        </is>
      </c>
      <c r="AB326" s="167" t="inlineStr">
        <is>
          <t>入金確認後1～2週間</t>
        </is>
      </c>
      <c r="AC326" s="293" t="n"/>
      <c r="AD326" s="167" t="inlineStr">
        <is>
          <t>焼き方やタレにこだわったうなぎの長焼を贅沢に使用。2種類の切り方（細かく刻んだうなぎとそぎ切り）で異なる食感を楽しめる。電子レンジ調理。</t>
        </is>
      </c>
      <c r="AE326" s="167" t="n"/>
      <c r="AF326" s="167" t="n"/>
      <c r="AG326" s="144" t="n"/>
    </row>
    <row r="327" ht="18" customHeight="1" s="207">
      <c r="A327" s="166" t="inlineStr">
        <is>
          <t>加工品</t>
        </is>
      </c>
      <c r="B327" s="167" t="inlineStr">
        <is>
          <t>その他</t>
        </is>
      </c>
      <c r="C327" s="209" t="inlineStr">
        <is>
          <t>京樽</t>
        </is>
      </c>
      <c r="D327" s="143">
        <f>"PRD_SNJ_"&amp;
_xlfn.XLOOKUP(商品マスタ[[#This Row],[仕入先]],テーブル1[仕入先名],テーブル1[仕入先コード],"XXX",0,1)&amp;
"_"&amp;
商品マスタ[[#This Row],[シリアル]]&amp;
"_"&amp;
TEXT(COUNTIFS(商品マスタ!$C$3:C327,商品マスタ[[#This Row],[仕入先]],商品マスタ!$E$3:E327,商品マスタ[[#This Row],[商品名]]), "00")</f>
        <v/>
      </c>
      <c r="E327" s="167" t="inlineStr">
        <is>
          <t>冷凍 わさびいなり(3個) 6個セット</t>
        </is>
      </c>
      <c r="F327" s="167">
        <f>IF(COUNTIFS($C$3:C327,商品マスタ[[#This Row],[仕入先]],$E$3:E327,商品マスタ[[#This Row],[商品名]]) = 1, 1,0)</f>
        <v/>
      </c>
      <c r="G327" s="133">
        <f>TEXT(SUMIF($C$3:C327,商品マスタ[[#This Row],[仕入先]],$F$3:F327), "0000")</f>
        <v/>
      </c>
      <c r="H327" s="167" t="inlineStr">
        <is>
          <t>セット</t>
        </is>
      </c>
      <c r="I327" s="167" t="inlineStr">
        <is>
          <t>わさびいなり3個×6</t>
        </is>
      </c>
      <c r="J327" s="167" t="n">
        <v>1</v>
      </c>
      <c r="K327" s="167" t="inlineStr">
        <is>
          <t>80cm段ボール</t>
        </is>
      </c>
      <c r="L327" s="289" t="n">
        <v>3500</v>
      </c>
      <c r="M327" s="157" t="n"/>
      <c r="N327" s="289" t="n"/>
      <c r="O327" s="297" t="inlineStr"/>
      <c r="P327" s="156" t="n">
        <v>0.1</v>
      </c>
      <c r="Q327" s="289">
        <f>商品マスタ[[#This Row],[仕入
単価]]*商品マスタ[[#This Row],[標準国内送料率]]</f>
        <v/>
      </c>
      <c r="R327" s="289" t="n">
        <v>0</v>
      </c>
      <c r="S327" s="289">
        <f>IF(ISBLANK(商品マスタ[[#This Row],[実績
国内送料]]),商品マスタ[[#This Row],[標準国内送料]],)</f>
        <v/>
      </c>
      <c r="T327" s="289">
        <f>商品マスタ[[#This Row],[仕入
単価]]+商品マスタ[[#This Row],[国内送料]]</f>
        <v/>
      </c>
      <c r="U327" s="289">
        <f>ROUNDUP(商品マスタ[[#This Row],[仕入単価+国内送料]]/0.8,-1)</f>
        <v/>
      </c>
      <c r="V327" s="289">
        <f>商品マスタ[[#This Row],[海外定価
（20％）]]-商品マスタ[[#This Row],[仕入単価+国内送料]]</f>
        <v/>
      </c>
      <c r="W327" s="167">
        <f>ROUNDUP(商品マスタ[[#This Row],[仕入単価+国内送料]]/0.85,-1)</f>
        <v/>
      </c>
      <c r="X327" s="289">
        <f>商品マスタ[[#This Row],[国内定価
（15％）]]-商品マスタ[[#This Row],[仕入単価+国内送料]]</f>
        <v/>
      </c>
      <c r="Y327" s="139" t="n">
        <v>0.08</v>
      </c>
      <c r="Z327" s="167" t="inlineStr">
        <is>
          <t>製造日より1年</t>
        </is>
      </c>
      <c r="AA327" s="167" t="inlineStr">
        <is>
          <t>冷凍</t>
        </is>
      </c>
      <c r="AB327" s="167" t="inlineStr">
        <is>
          <t>入金確認後1～2週間</t>
        </is>
      </c>
      <c r="AC327" s="293" t="n"/>
      <c r="AD327" s="167" t="inlineStr">
        <is>
          <t>ワサビの香りが鼻を抜ける、甘さと辛さのバランスが取れたいなりずし。あら切りのわさびを使用し食感も楽しい一品。電子レンジ調理。</t>
        </is>
      </c>
      <c r="AE327" s="167" t="n"/>
      <c r="AF327" s="167" t="n"/>
      <c r="AG327" s="144" t="n"/>
    </row>
    <row r="328" ht="18" customHeight="1" s="207">
      <c r="A328" s="166" t="inlineStr">
        <is>
          <t>水産</t>
        </is>
      </c>
      <c r="B328" s="167" t="inlineStr">
        <is>
          <t>水産物</t>
        </is>
      </c>
      <c r="C328" s="209" t="inlineStr">
        <is>
          <t>小樽水産加工業協同組合</t>
        </is>
      </c>
      <c r="D328" s="143">
        <f>"PRD_SNJ_"&amp;
_xlfn.XLOOKUP(商品マスタ[[#This Row],[仕入先]],テーブル1[仕入先名],テーブル1[仕入先コード],"XXX",0,1)&amp;
"_"&amp;
商品マスタ[[#This Row],[シリアル]]&amp;
"_"&amp;
TEXT(COUNTIFS(商品マスタ!$C$3:C328,商品マスタ[[#This Row],[仕入先]],商品マスタ!$E$3:E328,商品マスタ[[#This Row],[商品名]]), "00")</f>
        <v/>
      </c>
      <c r="E328" s="167" t="inlineStr">
        <is>
          <t>2025.お歳暮セットA-1（常温）</t>
        </is>
      </c>
      <c r="F328" s="167">
        <f>IF(COUNTIFS($C$3:C328,商品マスタ[[#This Row],[仕入先]],$E$3:E328,商品マスタ[[#This Row],[商品名]]) = 1, 1,0)</f>
        <v/>
      </c>
      <c r="G328" s="133">
        <f>TEXT(SUMIF($C$3:C328,商品マスタ[[#This Row],[仕入先]],$F$3:F328), "0000")</f>
        <v/>
      </c>
      <c r="H328" s="167" t="inlineStr">
        <is>
          <t>セット</t>
        </is>
      </c>
      <c r="I328" s="167" t="inlineStr">
        <is>
          <t>9品入り</t>
        </is>
      </c>
      <c r="J328" s="167" t="n">
        <v>1</v>
      </c>
      <c r="K328" s="167" t="n"/>
      <c r="L328" s="289" t="n">
        <v>4440</v>
      </c>
      <c r="M328" s="157" t="n"/>
      <c r="N328" s="289" t="n"/>
      <c r="O328" s="290">
        <f>IF(COUNT(商品マスタ[[#This Row],[参考上代
（税込)]]) &gt; 0, (商品マスタ[[#This Row],[参考上代
（税込)]]-商品マスタ[[#This Row],[国内定価
（15％）]])/(商品マスタ[[#This Row],[参考上代
（税込)]]/1.08), "")</f>
        <v/>
      </c>
      <c r="P328" s="136" t="n">
        <v>0.15</v>
      </c>
      <c r="Q328" s="289">
        <f>商品マスタ[[#This Row],[仕入
単価]]*商品マスタ[[#This Row],[標準国内送料率]]</f>
        <v/>
      </c>
      <c r="R328" s="289" t="n"/>
      <c r="S328" s="289">
        <f>IF(ISBLANK(商品マスタ[[#This Row],[実績
国内送料]]),商品マスタ[[#This Row],[標準国内送料]],)</f>
        <v/>
      </c>
      <c r="T328" s="289">
        <f>商品マスタ[[#This Row],[仕入
単価]]+商品マスタ[[#This Row],[国内送料]]</f>
        <v/>
      </c>
      <c r="U328" s="289">
        <f>ROUNDUP(商品マスタ[[#This Row],[仕入単価+国内送料]]/0.8,-1)</f>
        <v/>
      </c>
      <c r="V328" s="289">
        <f>商品マスタ[[#This Row],[海外定価
（20％）]]-商品マスタ[[#This Row],[仕入単価+国内送料]]</f>
        <v/>
      </c>
      <c r="W328" s="167">
        <f>ROUNDUP(商品マスタ[[#This Row],[仕入単価+国内送料]]/0.85,-1)</f>
        <v/>
      </c>
      <c r="X328" s="289">
        <f>商品マスタ[[#This Row],[国内定価
（15％）]]-商品マスタ[[#This Row],[仕入単価+国内送料]]</f>
        <v/>
      </c>
      <c r="Y328" s="139" t="n">
        <v>0.08</v>
      </c>
      <c r="Z328" s="167" t="inlineStr">
        <is>
          <t>120～180日</t>
        </is>
      </c>
      <c r="AA328" s="167" t="inlineStr">
        <is>
          <t>常温</t>
        </is>
      </c>
      <c r="AB328" s="167" t="n"/>
      <c r="AC328" s="293" t="n"/>
      <c r="AD328" s="167" t="n"/>
      <c r="AE328" s="167" t="n"/>
      <c r="AF328" s="167" t="n"/>
      <c r="AG328" s="144" t="n"/>
    </row>
    <row r="329" ht="18" customHeight="1" s="207">
      <c r="A329" s="166" t="inlineStr">
        <is>
          <t>水産</t>
        </is>
      </c>
      <c r="B329" s="167" t="inlineStr">
        <is>
          <t>水産物</t>
        </is>
      </c>
      <c r="C329" s="209" t="inlineStr">
        <is>
          <t>小樽水産加工業協同組合</t>
        </is>
      </c>
      <c r="D329" s="143">
        <f>"PRD_SNJ_"&amp;
_xlfn.XLOOKUP(商品マスタ[[#This Row],[仕入先]],テーブル1[仕入先名],テーブル1[仕入先コード],"XXX",0,1)&amp;
"_"&amp;
商品マスタ[[#This Row],[シリアル]]&amp;
"_"&amp;
TEXT(COUNTIFS(商品マスタ!$C$3:C329,商品マスタ[[#This Row],[仕入先]],商品マスタ!$E$3:E329,商品マスタ[[#This Row],[商品名]]), "00")</f>
        <v/>
      </c>
      <c r="E329" s="167" t="inlineStr">
        <is>
          <t>2025.お歳暮セットA-2（常温）</t>
        </is>
      </c>
      <c r="F329" s="167">
        <f>IF(COUNTIFS($C$3:C329,商品マスタ[[#This Row],[仕入先]],$E$3:E329,商品マスタ[[#This Row],[商品名]]) = 1, 1,0)</f>
        <v/>
      </c>
      <c r="G329" s="133">
        <f>TEXT(SUMIF($C$3:C329,商品マスタ[[#This Row],[仕入先]],$F$3:F329), "0000")</f>
        <v/>
      </c>
      <c r="H329" s="167" t="inlineStr">
        <is>
          <t>セット</t>
        </is>
      </c>
      <c r="I329" s="167" t="inlineStr">
        <is>
          <t>7品入り</t>
        </is>
      </c>
      <c r="J329" s="167" t="n">
        <v>1</v>
      </c>
      <c r="K329" s="167" t="n"/>
      <c r="L329" s="289" t="n">
        <v>3080</v>
      </c>
      <c r="M329" s="157" t="n"/>
      <c r="N329" s="289" t="n"/>
      <c r="O329" s="290">
        <f>IF(COUNT(商品マスタ[[#This Row],[参考上代
（税込)]]) &gt; 0, (商品マスタ[[#This Row],[参考上代
（税込)]]-商品マスタ[[#This Row],[国内定価
（15％）]])/(商品マスタ[[#This Row],[参考上代
（税込)]]/1.08), "")</f>
        <v/>
      </c>
      <c r="P329" s="136" t="n">
        <v>0.15</v>
      </c>
      <c r="Q329" s="289">
        <f>商品マスタ[[#This Row],[仕入
単価]]*商品マスタ[[#This Row],[標準国内送料率]]</f>
        <v/>
      </c>
      <c r="R329" s="289" t="n"/>
      <c r="S329" s="289">
        <f>IF(ISBLANK(商品マスタ[[#This Row],[実績
国内送料]]),商品マスタ[[#This Row],[標準国内送料]],)</f>
        <v/>
      </c>
      <c r="T329" s="289">
        <f>商品マスタ[[#This Row],[仕入
単価]]+商品マスタ[[#This Row],[国内送料]]</f>
        <v/>
      </c>
      <c r="U329" s="289">
        <f>ROUNDUP(商品マスタ[[#This Row],[仕入単価+国内送料]]/0.8,-1)</f>
        <v/>
      </c>
      <c r="V329" s="289">
        <f>商品マスタ[[#This Row],[海外定価
（20％）]]-商品マスタ[[#This Row],[仕入単価+国内送料]]</f>
        <v/>
      </c>
      <c r="W329" s="167">
        <f>ROUNDUP(商品マスタ[[#This Row],[仕入単価+国内送料]]/0.85,-1)</f>
        <v/>
      </c>
      <c r="X329" s="289">
        <f>商品マスタ[[#This Row],[国内定価
（15％）]]-商品マスタ[[#This Row],[仕入単価+国内送料]]</f>
        <v/>
      </c>
      <c r="Y329" s="139" t="n">
        <v>0.08</v>
      </c>
      <c r="Z329" s="167" t="inlineStr">
        <is>
          <t>120～180日</t>
        </is>
      </c>
      <c r="AA329" s="167" t="inlineStr">
        <is>
          <t>常温</t>
        </is>
      </c>
      <c r="AB329" s="167" t="n"/>
      <c r="AC329" s="293" t="n"/>
      <c r="AD329" s="167" t="n"/>
      <c r="AE329" s="167" t="n"/>
      <c r="AF329" s="167" t="n"/>
      <c r="AG329" s="144" t="n"/>
    </row>
    <row r="330" ht="18" customHeight="1" s="207">
      <c r="A330" s="166" t="inlineStr">
        <is>
          <t>水産</t>
        </is>
      </c>
      <c r="B330" s="167" t="inlineStr">
        <is>
          <t>水産物</t>
        </is>
      </c>
      <c r="C330" s="209" t="inlineStr">
        <is>
          <t>小樽水産加工業協同組合</t>
        </is>
      </c>
      <c r="D330" s="143">
        <f>"PRD_SNJ_"&amp;
_xlfn.XLOOKUP(商品マスタ[[#This Row],[仕入先]],テーブル1[仕入先名],テーブル1[仕入先コード],"XXX",0,1)&amp;
"_"&amp;
商品マスタ[[#This Row],[シリアル]]&amp;
"_"&amp;
TEXT(COUNTIFS(商品マスタ!$C$3:C330,商品マスタ[[#This Row],[仕入先]],商品マスタ!$E$3:E330,商品マスタ[[#This Row],[商品名]]), "00")</f>
        <v/>
      </c>
      <c r="E330" s="167" t="inlineStr">
        <is>
          <t>2025.お歳暮セットB-1（冷凍）</t>
        </is>
      </c>
      <c r="F330" s="167">
        <f>IF(COUNTIFS($C$3:C330,商品マスタ[[#This Row],[仕入先]],$E$3:E330,商品マスタ[[#This Row],[商品名]]) = 1, 1,0)</f>
        <v/>
      </c>
      <c r="G330" s="133">
        <f>TEXT(SUMIF($C$3:C330,商品マスタ[[#This Row],[仕入先]],$F$3:F330), "0000")</f>
        <v/>
      </c>
      <c r="H330" s="167" t="inlineStr">
        <is>
          <t>セット</t>
        </is>
      </c>
      <c r="I330" s="167" t="inlineStr">
        <is>
          <t>5品入り</t>
        </is>
      </c>
      <c r="J330" s="167" t="n">
        <v>1</v>
      </c>
      <c r="K330" s="167" t="n"/>
      <c r="L330" s="289" t="n">
        <v>5240</v>
      </c>
      <c r="M330" s="157" t="n"/>
      <c r="N330" s="289" t="n"/>
      <c r="O330" s="290">
        <f>IF(COUNT(商品マスタ[[#This Row],[参考上代
（税込)]]) &gt; 0, (商品マスタ[[#This Row],[参考上代
（税込)]]-商品マスタ[[#This Row],[国内定価
（15％）]])/(商品マスタ[[#This Row],[参考上代
（税込)]]/1.08), "")</f>
        <v/>
      </c>
      <c r="P330" s="136" t="n">
        <v>0.15</v>
      </c>
      <c r="Q330" s="289">
        <f>商品マスタ[[#This Row],[仕入
単価]]*商品マスタ[[#This Row],[標準国内送料率]]</f>
        <v/>
      </c>
      <c r="R330" s="289" t="n"/>
      <c r="S330" s="289">
        <f>IF(ISBLANK(商品マスタ[[#This Row],[実績
国内送料]]),商品マスタ[[#This Row],[標準国内送料]],)</f>
        <v/>
      </c>
      <c r="T330" s="289">
        <f>商品マスタ[[#This Row],[仕入
単価]]+商品マスタ[[#This Row],[国内送料]]</f>
        <v/>
      </c>
      <c r="U330" s="289">
        <f>ROUNDUP(商品マスタ[[#This Row],[仕入単価+国内送料]]/0.8,-1)</f>
        <v/>
      </c>
      <c r="V330" s="289">
        <f>商品マスタ[[#This Row],[海外定価
（20％）]]-商品マスタ[[#This Row],[仕入単価+国内送料]]</f>
        <v/>
      </c>
      <c r="W330" s="167">
        <f>ROUNDUP(商品マスタ[[#This Row],[仕入単価+国内送料]]/0.85,-1)</f>
        <v/>
      </c>
      <c r="X330" s="289">
        <f>商品マスタ[[#This Row],[国内定価
（15％）]]-商品マスタ[[#This Row],[仕入単価+国内送料]]</f>
        <v/>
      </c>
      <c r="Y330" s="139" t="n">
        <v>0.08</v>
      </c>
      <c r="Z330" s="167" t="inlineStr">
        <is>
          <t>120～180日</t>
        </is>
      </c>
      <c r="AA330" s="167" t="inlineStr">
        <is>
          <t>冷凍</t>
        </is>
      </c>
      <c r="AB330" s="167" t="n"/>
      <c r="AC330" s="293" t="n"/>
      <c r="AD330" s="167" t="n"/>
      <c r="AE330" s="167" t="n"/>
      <c r="AF330" s="167" t="n"/>
      <c r="AG330" s="144" t="n"/>
    </row>
    <row r="331" ht="18" customHeight="1" s="207">
      <c r="A331" s="166" t="inlineStr">
        <is>
          <t>水産</t>
        </is>
      </c>
      <c r="B331" s="167" t="inlineStr">
        <is>
          <t>水産物</t>
        </is>
      </c>
      <c r="C331" s="209" t="inlineStr">
        <is>
          <t>小樽水産加工業協同組合</t>
        </is>
      </c>
      <c r="D331" s="143">
        <f>"PRD_SNJ_"&amp;
_xlfn.XLOOKUP(商品マスタ[[#This Row],[仕入先]],テーブル1[仕入先名],テーブル1[仕入先コード],"XXX",0,1)&amp;
"_"&amp;
商品マスタ[[#This Row],[シリアル]]&amp;
"_"&amp;
TEXT(COUNTIFS(商品マスタ!$C$3:C331,商品マスタ[[#This Row],[仕入先]],商品マスタ!$E$3:E331,商品マスタ[[#This Row],[商品名]]), "00")</f>
        <v/>
      </c>
      <c r="E331" s="167" t="inlineStr">
        <is>
          <t>2025.お歳暮セットB-2（冷凍）</t>
        </is>
      </c>
      <c r="F331" s="167">
        <f>IF(COUNTIFS($C$3:C331,商品マスタ[[#This Row],[仕入先]],$E$3:E331,商品マスタ[[#This Row],[商品名]]) = 1, 1,0)</f>
        <v/>
      </c>
      <c r="G331" s="133">
        <f>TEXT(SUMIF($C$3:C331,商品マスタ[[#This Row],[仕入先]],$F$3:F331), "0000")</f>
        <v/>
      </c>
      <c r="H331" s="167" t="inlineStr">
        <is>
          <t>セット</t>
        </is>
      </c>
      <c r="I331" s="167" t="inlineStr">
        <is>
          <t>5品入り</t>
        </is>
      </c>
      <c r="J331" s="167" t="n">
        <v>1</v>
      </c>
      <c r="K331" s="167" t="n"/>
      <c r="L331" s="289" t="n">
        <v>3452</v>
      </c>
      <c r="M331" s="157" t="n"/>
      <c r="N331" s="289" t="n"/>
      <c r="O331" s="290">
        <f>IF(COUNT(商品マスタ[[#This Row],[参考上代
（税込)]]) &gt; 0, (商品マスタ[[#This Row],[参考上代
（税込)]]-商品マスタ[[#This Row],[国内定価
（15％）]])/(商品マスタ[[#This Row],[参考上代
（税込)]]/1.08), "")</f>
        <v/>
      </c>
      <c r="P331" s="136" t="n">
        <v>0.15</v>
      </c>
      <c r="Q331" s="289">
        <f>商品マスタ[[#This Row],[仕入
単価]]*商品マスタ[[#This Row],[標準国内送料率]]</f>
        <v/>
      </c>
      <c r="R331" s="289" t="n"/>
      <c r="S331" s="289">
        <f>IF(ISBLANK(商品マスタ[[#This Row],[実績
国内送料]]),商品マスタ[[#This Row],[標準国内送料]],)</f>
        <v/>
      </c>
      <c r="T331" s="289">
        <f>商品マスタ[[#This Row],[仕入
単価]]+商品マスタ[[#This Row],[国内送料]]</f>
        <v/>
      </c>
      <c r="U331" s="289">
        <f>ROUNDUP(商品マスタ[[#This Row],[仕入単価+国内送料]]/0.8,-1)</f>
        <v/>
      </c>
      <c r="V331" s="289">
        <f>商品マスタ[[#This Row],[海外定価
（20％）]]-商品マスタ[[#This Row],[仕入単価+国内送料]]</f>
        <v/>
      </c>
      <c r="W331" s="167">
        <f>ROUNDUP(商品マスタ[[#This Row],[仕入単価+国内送料]]/0.85,-1)</f>
        <v/>
      </c>
      <c r="X331" s="289">
        <f>商品マスタ[[#This Row],[国内定価
（15％）]]-商品マスタ[[#This Row],[仕入単価+国内送料]]</f>
        <v/>
      </c>
      <c r="Y331" s="139" t="n">
        <v>0.08</v>
      </c>
      <c r="Z331" s="167" t="inlineStr">
        <is>
          <t>120～180日</t>
        </is>
      </c>
      <c r="AA331" s="167" t="inlineStr">
        <is>
          <t>冷凍</t>
        </is>
      </c>
      <c r="AB331" s="167" t="n"/>
      <c r="AC331" s="293" t="n"/>
      <c r="AD331" s="167" t="n"/>
      <c r="AE331" s="167" t="n"/>
      <c r="AF331" s="167" t="n"/>
      <c r="AG331" s="144" t="n"/>
    </row>
    <row r="332" ht="18" customHeight="1" s="207">
      <c r="A332" s="166" t="inlineStr">
        <is>
          <t>精肉</t>
        </is>
      </c>
      <c r="B332" s="167" t="inlineStr">
        <is>
          <t>和牛</t>
        </is>
      </c>
      <c r="C332" s="167" t="inlineStr">
        <is>
          <t>GOODGOOD</t>
        </is>
      </c>
      <c r="D332" s="143">
        <f>"PRD_SNJ_"&amp;
_xlfn.XLOOKUP(商品マスタ[[#This Row],[仕入先]],テーブル1[仕入先名],テーブル1[仕入先コード],"XXX",0,1)&amp;
"_"&amp;
商品マスタ[[#This Row],[シリアル]]&amp;
"_"&amp;
TEXT(COUNTIFS(商品マスタ!$C$3:C332,商品マスタ[[#This Row],[仕入先]],商品マスタ!$E$3:E332,商品マスタ[[#This Row],[商品名]]), "00")</f>
        <v/>
      </c>
      <c r="E332" s="167" t="inlineStr">
        <is>
          <t>冷凍あか牛リブロース（サンプル用）</t>
        </is>
      </c>
      <c r="F332" s="167">
        <f>IF(COUNTIFS($C$3:C332,商品マスタ[[#This Row],[仕入先]],$E$3:E332,商品マスタ[[#This Row],[商品名]]) = 1, 1,0)</f>
        <v/>
      </c>
      <c r="G332" s="133">
        <f>TEXT(SUMIF($C$3:C332,商品マスタ[[#This Row],[仕入先]],$F$3:F332), "0000")</f>
        <v/>
      </c>
      <c r="H332" s="167" t="inlineStr">
        <is>
          <t>個</t>
        </is>
      </c>
      <c r="I332" s="167" t="inlineStr">
        <is>
          <t>150g</t>
        </is>
      </c>
      <c r="J332" s="167" t="n">
        <v>1</v>
      </c>
      <c r="K332" s="167" t="n"/>
      <c r="L332" s="289" t="n">
        <v>1500</v>
      </c>
      <c r="M332" s="157" t="n">
        <v>45957</v>
      </c>
      <c r="N332" s="289" t="n"/>
      <c r="O332" s="290">
        <f>IF(COUNT(商品マスタ[[#This Row],[参考上代
（税込)]]) &gt; 0, (商品マスタ[[#This Row],[参考上代
（税込)]]-商品マスタ[[#This Row],[国内定価
（15％）]])/(商品マスタ[[#This Row],[参考上代
（税込)]]/1.08), "")</f>
        <v/>
      </c>
      <c r="P332" s="136" t="n">
        <v>0.15</v>
      </c>
      <c r="Q332" s="289">
        <f>商品マスタ[[#This Row],[仕入
単価]]*商品マスタ[[#This Row],[標準国内送料率]]</f>
        <v/>
      </c>
      <c r="R332" s="289" t="n"/>
      <c r="S332" s="289">
        <f>IF(ISBLANK(商品マスタ[[#This Row],[実績
国内送料]]),商品マスタ[[#This Row],[標準国内送料]],)</f>
        <v/>
      </c>
      <c r="T332" s="289">
        <f>商品マスタ[[#This Row],[仕入
単価]]+商品マスタ[[#This Row],[国内送料]]</f>
        <v/>
      </c>
      <c r="U332" s="289">
        <f>ROUNDUP(商品マスタ[[#This Row],[仕入単価+国内送料]]/0.8,-1)</f>
        <v/>
      </c>
      <c r="V332" s="289">
        <f>商品マスタ[[#This Row],[海外定価
（20％）]]-商品マスタ[[#This Row],[仕入単価+国内送料]]</f>
        <v/>
      </c>
      <c r="W332" s="167">
        <f>ROUNDUP(商品マスタ[[#This Row],[仕入単価+国内送料]]/0.85,-1)</f>
        <v/>
      </c>
      <c r="X332" s="289">
        <f>商品マスタ[[#This Row],[国内定価
（15％）]]-商品マスタ[[#This Row],[仕入単価+国内送料]]</f>
        <v/>
      </c>
      <c r="Y332" s="139" t="n">
        <v>0.08</v>
      </c>
      <c r="Z332" s="167" t="n"/>
      <c r="AA332" s="167" t="inlineStr">
        <is>
          <t>冷凍</t>
        </is>
      </c>
      <c r="AB332" s="167" t="n"/>
      <c r="AC332" s="293" t="n"/>
      <c r="AD332" s="167" t="n"/>
      <c r="AE332" s="167" t="n"/>
      <c r="AF332" s="167" t="n"/>
      <c r="AG332" s="144" t="n"/>
    </row>
    <row r="333" ht="18" customHeight="1" s="207">
      <c r="A333" s="166" t="inlineStr">
        <is>
          <t>その他</t>
        </is>
      </c>
      <c r="B333" s="167" t="inlineStr">
        <is>
          <t>調味料</t>
        </is>
      </c>
      <c r="C333" s="167" t="inlineStr">
        <is>
          <t>湯浅醤油</t>
        </is>
      </c>
      <c r="D333" s="143">
        <f>"PRD_SNJ_"&amp;
_xlfn.XLOOKUP(商品マスタ[[#This Row],[仕入先]],テーブル1[仕入先名],テーブル1[仕入先コード],"XXX",0,1)&amp;
"_"&amp;
商品マスタ[[#This Row],[シリアル]]&amp;
"_"&amp;
TEXT(COUNTIFS(商品マスタ!$C$3:C333,商品マスタ[[#This Row],[仕入先]],商品マスタ!$E$3:E333,商品マスタ[[#This Row],[商品名]]), "00")</f>
        <v/>
      </c>
      <c r="E333" s="167" t="inlineStr">
        <is>
          <t>蔵匠　樽仕込み 200ml</t>
        </is>
      </c>
      <c r="F333" s="167">
        <f>IF(COUNTIFS($C$3:C333,商品マスタ[[#This Row],[仕入先]],$E$3:E333,商品マスタ[[#This Row],[商品名]]) = 1, 1,0)</f>
        <v/>
      </c>
      <c r="G333" s="133">
        <f>TEXT(SUMIF($C$3:C333,商品マスタ[[#This Row],[仕入先]],$F$3:F333), "0000")</f>
        <v/>
      </c>
      <c r="H333" s="167" t="inlineStr">
        <is>
          <t>本</t>
        </is>
      </c>
      <c r="I333" s="167" t="inlineStr">
        <is>
          <t>200ml×30本/ケース</t>
        </is>
      </c>
      <c r="J333" s="167" t="n">
        <v>180</v>
      </c>
      <c r="K333" s="167" t="inlineStr">
        <is>
          <t>6ケース(180本）</t>
        </is>
      </c>
      <c r="L333" s="289" t="n">
        <v>420</v>
      </c>
      <c r="M333" s="157" t="n">
        <v>45992</v>
      </c>
      <c r="N333" s="289" t="n"/>
      <c r="O333" s="290">
        <f>IF(COUNT(商品マスタ[[#This Row],[参考上代
（税込)]]) &gt; 0, (商品マスタ[[#This Row],[参考上代
（税込)]]-商品マスタ[[#This Row],[国内定価
（15％）]])/(商品マスタ[[#This Row],[参考上代
（税込)]]/1.08), "")</f>
        <v/>
      </c>
      <c r="P333" s="136" t="n">
        <v>0.1</v>
      </c>
      <c r="Q333" s="289">
        <f>商品マスタ[[#This Row],[仕入
単価]]*商品マスタ[[#This Row],[標準国内送料率]]</f>
        <v/>
      </c>
      <c r="R333" s="289" t="n">
        <v>0</v>
      </c>
      <c r="S333" s="289">
        <f>IF(ISBLANK(商品マスタ[[#This Row],[実績
国内送料]]),商品マスタ[[#This Row],[標準国内送料]],)</f>
        <v/>
      </c>
      <c r="T333" s="289">
        <f>商品マスタ[[#This Row],[仕入
単価]]+商品マスタ[[#This Row],[国内送料]]</f>
        <v/>
      </c>
      <c r="U333" s="289">
        <f>ROUNDUP(商品マスタ[[#This Row],[仕入単価+国内送料]]/0.8,-1)</f>
        <v/>
      </c>
      <c r="V333" s="289">
        <f>商品マスタ[[#This Row],[海外定価
（20％）]]-商品マスタ[[#This Row],[仕入単価+国内送料]]</f>
        <v/>
      </c>
      <c r="W333" s="167">
        <f>ROUNDUP(商品マスタ[[#This Row],[仕入単価+国内送料]]/0.85,-1)</f>
        <v/>
      </c>
      <c r="X333" s="289">
        <f>商品マスタ[[#This Row],[国内定価
（15％）]]-商品マスタ[[#This Row],[仕入単価+国内送料]]</f>
        <v/>
      </c>
      <c r="Y333" s="139" t="n">
        <v>0.08</v>
      </c>
      <c r="Z333" s="167" t="inlineStr">
        <is>
          <t>2年</t>
        </is>
      </c>
      <c r="AA333" s="167" t="inlineStr">
        <is>
          <t>常温</t>
        </is>
      </c>
      <c r="AB333" s="167" t="n"/>
      <c r="AC333" s="293" t="n"/>
      <c r="AD333" s="167" t="n"/>
      <c r="AE333" s="167" t="n"/>
      <c r="AF333" s="167" t="n"/>
      <c r="AG333" s="144" t="n"/>
    </row>
    <row r="334" ht="18" customHeight="1" s="207">
      <c r="A334" s="166" t="inlineStr">
        <is>
          <t>その他</t>
        </is>
      </c>
      <c r="B334" s="167" t="inlineStr">
        <is>
          <t>調味料</t>
        </is>
      </c>
      <c r="C334" s="167" t="inlineStr">
        <is>
          <t>湯浅醤油</t>
        </is>
      </c>
      <c r="D334" s="143">
        <f>"PRD_SNJ_"&amp;
_xlfn.XLOOKUP(商品マスタ[[#This Row],[仕入先]],テーブル1[仕入先名],テーブル1[仕入先コード],"XXX",0,1)&amp;
"_"&amp;
商品マスタ[[#This Row],[シリアル]]&amp;
"_"&amp;
TEXT(COUNTIFS(商品マスタ!$C$3:C334,商品マスタ[[#This Row],[仕入先]],商品マスタ!$E$3:E334,商品マスタ[[#This Row],[商品名]]), "00")</f>
        <v/>
      </c>
      <c r="E334" s="167" t="inlineStr">
        <is>
          <t>蔵匠　樽仕込み 720ml</t>
        </is>
      </c>
      <c r="F334" s="167">
        <f>IF(COUNTIFS($C$3:C334,商品マスタ[[#This Row],[仕入先]],$E$3:E334,商品マスタ[[#This Row],[商品名]]) = 1, 1,0)</f>
        <v/>
      </c>
      <c r="G334" s="133">
        <f>TEXT(SUMIF($C$3:C334,商品マスタ[[#This Row],[仕入先]],$F$3:F334), "0000")</f>
        <v/>
      </c>
      <c r="H334" s="167" t="inlineStr">
        <is>
          <t>本</t>
        </is>
      </c>
      <c r="I334" s="167" t="inlineStr">
        <is>
          <t>720ml×12本/ケース</t>
        </is>
      </c>
      <c r="J334" s="167" t="n">
        <v>72</v>
      </c>
      <c r="K334" s="167" t="inlineStr">
        <is>
          <t>6ケース（72本）</t>
        </is>
      </c>
      <c r="L334" s="289" t="n">
        <v>945</v>
      </c>
      <c r="M334" s="157" t="n">
        <v>45992</v>
      </c>
      <c r="N334" s="289" t="n"/>
      <c r="O334" s="290">
        <f>IF(COUNT(商品マスタ[[#This Row],[参考上代
（税込)]]) &gt; 0, (商品マスタ[[#This Row],[参考上代
（税込)]]-商品マスタ[[#This Row],[国内定価
（15％）]])/(商品マスタ[[#This Row],[参考上代
（税込)]]/1.08), "")</f>
        <v/>
      </c>
      <c r="P334" s="136" t="n">
        <v>0.1</v>
      </c>
      <c r="Q334" s="289">
        <f>商品マスタ[[#This Row],[仕入
単価]]*商品マスタ[[#This Row],[標準国内送料率]]</f>
        <v/>
      </c>
      <c r="R334" s="289" t="n">
        <v>0</v>
      </c>
      <c r="S334" s="289">
        <f>IF(ISBLANK(商品マスタ[[#This Row],[実績
国内送料]]),商品マスタ[[#This Row],[標準国内送料]],)</f>
        <v/>
      </c>
      <c r="T334" s="289">
        <f>商品マスタ[[#This Row],[仕入
単価]]+商品マスタ[[#This Row],[国内送料]]</f>
        <v/>
      </c>
      <c r="U334" s="289">
        <f>ROUNDUP(商品マスタ[[#This Row],[仕入単価+国内送料]]/0.8,-1)</f>
        <v/>
      </c>
      <c r="V334" s="289">
        <f>商品マスタ[[#This Row],[海外定価
（20％）]]-商品マスタ[[#This Row],[仕入単価+国内送料]]</f>
        <v/>
      </c>
      <c r="W334" s="167">
        <f>ROUNDUP(商品マスタ[[#This Row],[仕入単価+国内送料]]/0.85,-1)</f>
        <v/>
      </c>
      <c r="X334" s="289">
        <f>商品マスタ[[#This Row],[国内定価
（15％）]]-商品マスタ[[#This Row],[仕入単価+国内送料]]</f>
        <v/>
      </c>
      <c r="Y334" s="139" t="n">
        <v>0.08</v>
      </c>
      <c r="Z334" s="167" t="inlineStr">
        <is>
          <t>2年</t>
        </is>
      </c>
      <c r="AA334" s="167" t="inlineStr">
        <is>
          <t>常温</t>
        </is>
      </c>
      <c r="AB334" s="167" t="n"/>
      <c r="AC334" s="293" t="n"/>
      <c r="AD334" s="167" t="n"/>
      <c r="AE334" s="167" t="n"/>
      <c r="AF334" s="167" t="n"/>
      <c r="AG334" s="144" t="n"/>
    </row>
    <row r="335" ht="18" customHeight="1" s="207">
      <c r="A335" s="166" t="inlineStr">
        <is>
          <t>その他</t>
        </is>
      </c>
      <c r="B335" s="167" t="inlineStr">
        <is>
          <t>調味料</t>
        </is>
      </c>
      <c r="C335" s="167" t="inlineStr">
        <is>
          <t>湯浅醤油</t>
        </is>
      </c>
      <c r="D335" s="143">
        <f>"PRD_SNJ_"&amp;
_xlfn.XLOOKUP(商品マスタ[[#This Row],[仕入先]],テーブル1[仕入先名],テーブル1[仕入先コード],"XXX",0,1)&amp;
"_"&amp;
商品マスタ[[#This Row],[シリアル]]&amp;
"_"&amp;
TEXT(COUNTIFS(商品マスタ!$C$3:C335,商品マスタ[[#This Row],[仕入先]],商品マスタ!$E$3:E335,商品マスタ[[#This Row],[商品名]]), "00")</f>
        <v/>
      </c>
      <c r="E335" s="167" t="inlineStr">
        <is>
          <t>蔵匠 白搾り 200ml</t>
        </is>
      </c>
      <c r="F335" s="167">
        <f>IF(COUNTIFS($C$3:C335,商品マスタ[[#This Row],[仕入先]],$E$3:E335,商品マスタ[[#This Row],[商品名]]) = 1, 1,0)</f>
        <v/>
      </c>
      <c r="G335" s="133">
        <f>TEXT(SUMIF($C$3:C335,商品マスタ[[#This Row],[仕入先]],$F$3:F335), "0000")</f>
        <v/>
      </c>
      <c r="H335" s="167" t="inlineStr">
        <is>
          <t>本</t>
        </is>
      </c>
      <c r="I335" s="167" t="inlineStr">
        <is>
          <t>200ml×30本/ケース</t>
        </is>
      </c>
      <c r="J335" s="167" t="n">
        <v>180</v>
      </c>
      <c r="K335" s="167" t="inlineStr">
        <is>
          <t>6ケース(180本）</t>
        </is>
      </c>
      <c r="L335" s="289" t="n">
        <v>385</v>
      </c>
      <c r="M335" s="157" t="n">
        <v>45992</v>
      </c>
      <c r="N335" s="289" t="n"/>
      <c r="O335" s="290">
        <f>IF(COUNT(商品マスタ[[#This Row],[参考上代
（税込)]]) &gt; 0, (商品マスタ[[#This Row],[参考上代
（税込)]]-商品マスタ[[#This Row],[国内定価
（15％）]])/(商品マスタ[[#This Row],[参考上代
（税込)]]/1.08), "")</f>
        <v/>
      </c>
      <c r="P335" s="136" t="n">
        <v>0.1</v>
      </c>
      <c r="Q335" s="289">
        <f>商品マスタ[[#This Row],[仕入
単価]]*商品マスタ[[#This Row],[標準国内送料率]]</f>
        <v/>
      </c>
      <c r="R335" s="289" t="n">
        <v>0</v>
      </c>
      <c r="S335" s="289">
        <f>IF(ISBLANK(商品マスタ[[#This Row],[実績
国内送料]]),商品マスタ[[#This Row],[標準国内送料]],)</f>
        <v/>
      </c>
      <c r="T335" s="289">
        <f>商品マスタ[[#This Row],[仕入
単価]]+商品マスタ[[#This Row],[国内送料]]</f>
        <v/>
      </c>
      <c r="U335" s="289">
        <f>ROUNDUP(商品マスタ[[#This Row],[仕入単価+国内送料]]/0.8,-1)</f>
        <v/>
      </c>
      <c r="V335" s="289">
        <f>商品マスタ[[#This Row],[海外定価
（20％）]]-商品マスタ[[#This Row],[仕入単価+国内送料]]</f>
        <v/>
      </c>
      <c r="W335" s="167">
        <f>ROUNDUP(商品マスタ[[#This Row],[仕入単価+国内送料]]/0.85,-1)</f>
        <v/>
      </c>
      <c r="X335" s="289">
        <f>商品マスタ[[#This Row],[国内定価
（15％）]]-商品マスタ[[#This Row],[仕入単価+国内送料]]</f>
        <v/>
      </c>
      <c r="Y335" s="139" t="n">
        <v>0.08</v>
      </c>
      <c r="Z335" s="167" t="inlineStr">
        <is>
          <t>1年</t>
        </is>
      </c>
      <c r="AA335" s="167" t="inlineStr">
        <is>
          <t>常温</t>
        </is>
      </c>
      <c r="AB335" s="167" t="n"/>
      <c r="AC335" s="293" t="n"/>
      <c r="AD335" s="167" t="n"/>
      <c r="AE335" s="167" t="n"/>
      <c r="AF335" s="167" t="n"/>
      <c r="AG335" s="144" t="n"/>
    </row>
    <row r="336" ht="18" customHeight="1" s="207">
      <c r="A336" s="166" t="inlineStr">
        <is>
          <t>その他</t>
        </is>
      </c>
      <c r="B336" s="167" t="inlineStr">
        <is>
          <t>調味料</t>
        </is>
      </c>
      <c r="C336" s="167" t="inlineStr">
        <is>
          <t>湯浅醤油</t>
        </is>
      </c>
      <c r="D336" s="143">
        <f>"PRD_SNJ_"&amp;
_xlfn.XLOOKUP(商品マスタ[[#This Row],[仕入先]],テーブル1[仕入先名],テーブル1[仕入先コード],"XXX",0,1)&amp;
"_"&amp;
商品マスタ[[#This Row],[シリアル]]&amp;
"_"&amp;
TEXT(COUNTIFS(商品マスタ!$C$3:C336,商品マスタ[[#This Row],[仕入先]],商品マスタ!$E$3:E336,商品マスタ[[#This Row],[商品名]]), "00")</f>
        <v/>
      </c>
      <c r="E336" s="167" t="inlineStr">
        <is>
          <t>蔵匠 白搾り 720ml</t>
        </is>
      </c>
      <c r="F336" s="167">
        <f>IF(COUNTIFS($C$3:C336,商品マスタ[[#This Row],[仕入先]],$E$3:E336,商品マスタ[[#This Row],[商品名]]) = 1, 1,0)</f>
        <v/>
      </c>
      <c r="G336" s="133">
        <f>TEXT(SUMIF($C$3:C336,商品マスタ[[#This Row],[仕入先]],$F$3:F336), "0000")</f>
        <v/>
      </c>
      <c r="H336" s="167" t="inlineStr">
        <is>
          <t>本</t>
        </is>
      </c>
      <c r="I336" s="167" t="inlineStr">
        <is>
          <t>720ml×12本/ケース</t>
        </is>
      </c>
      <c r="J336" s="167" t="n">
        <v>72</v>
      </c>
      <c r="K336" s="167" t="inlineStr">
        <is>
          <t>6ケース（72本）</t>
        </is>
      </c>
      <c r="L336" s="289" t="n">
        <v>840</v>
      </c>
      <c r="M336" s="157" t="n">
        <v>45992</v>
      </c>
      <c r="N336" s="289" t="n"/>
      <c r="O336" s="290">
        <f>IF(COUNT(商品マスタ[[#This Row],[参考上代
（税込)]]) &gt; 0, (商品マスタ[[#This Row],[参考上代
（税込)]]-商品マスタ[[#This Row],[国内定価
（15％）]])/(商品マスタ[[#This Row],[参考上代
（税込)]]/1.08), "")</f>
        <v/>
      </c>
      <c r="P336" s="136" t="n">
        <v>0.1</v>
      </c>
      <c r="Q336" s="289">
        <f>商品マスタ[[#This Row],[仕入
単価]]*商品マスタ[[#This Row],[標準国内送料率]]</f>
        <v/>
      </c>
      <c r="R336" s="289" t="n">
        <v>0</v>
      </c>
      <c r="S336" s="289">
        <f>IF(ISBLANK(商品マスタ[[#This Row],[実績
国内送料]]),商品マスタ[[#This Row],[標準国内送料]],)</f>
        <v/>
      </c>
      <c r="T336" s="289">
        <f>商品マスタ[[#This Row],[仕入
単価]]+商品マスタ[[#This Row],[国内送料]]</f>
        <v/>
      </c>
      <c r="U336" s="289">
        <f>ROUNDUP(商品マスタ[[#This Row],[仕入単価+国内送料]]/0.8,-1)</f>
        <v/>
      </c>
      <c r="V336" s="289">
        <f>商品マスタ[[#This Row],[海外定価
（20％）]]-商品マスタ[[#This Row],[仕入単価+国内送料]]</f>
        <v/>
      </c>
      <c r="W336" s="167">
        <f>ROUNDUP(商品マスタ[[#This Row],[仕入単価+国内送料]]/0.85,-1)</f>
        <v/>
      </c>
      <c r="X336" s="289">
        <f>商品マスタ[[#This Row],[国内定価
（15％）]]-商品マスタ[[#This Row],[仕入単価+国内送料]]</f>
        <v/>
      </c>
      <c r="Y336" s="139" t="n">
        <v>0.08</v>
      </c>
      <c r="Z336" s="167" t="inlineStr">
        <is>
          <t>1年</t>
        </is>
      </c>
      <c r="AA336" s="167" t="inlineStr">
        <is>
          <t>常温</t>
        </is>
      </c>
      <c r="AB336" s="167" t="n"/>
      <c r="AC336" s="293" t="n"/>
      <c r="AD336" s="167" t="n"/>
      <c r="AE336" s="167" t="n"/>
      <c r="AF336" s="167" t="n"/>
      <c r="AG336" s="144" t="n"/>
    </row>
    <row r="337" ht="18" customHeight="1" s="207">
      <c r="A337" s="166" t="inlineStr">
        <is>
          <t>その他</t>
        </is>
      </c>
      <c r="B337" s="167" t="inlineStr">
        <is>
          <t>調味料</t>
        </is>
      </c>
      <c r="C337" s="167" t="inlineStr">
        <is>
          <t>湯浅醤油</t>
        </is>
      </c>
      <c r="D337" s="143">
        <f>"PRD_SNJ_"&amp;
_xlfn.XLOOKUP(商品マスタ[[#This Row],[仕入先]],テーブル1[仕入先名],テーブル1[仕入先コード],"XXX",0,1)&amp;
"_"&amp;
商品マスタ[[#This Row],[シリアル]]&amp;
"_"&amp;
TEXT(COUNTIFS(商品マスタ!$C$3:C337,商品マスタ[[#This Row],[仕入先]],商品マスタ!$E$3:E337,商品マスタ[[#This Row],[商品名]]), "00")</f>
        <v/>
      </c>
      <c r="E337" s="167" t="inlineStr">
        <is>
          <t>カカオ醤 ペースト</t>
        </is>
      </c>
      <c r="F337" s="167">
        <f>IF(COUNTIFS($C$3:C337,商品マスタ[[#This Row],[仕入先]],$E$3:E337,商品マスタ[[#This Row],[商品名]]) = 1, 1,0)</f>
        <v/>
      </c>
      <c r="G337" s="133">
        <f>TEXT(SUMIF($C$3:C337,商品マスタ[[#This Row],[仕入先]],$F$3:F337), "0000")</f>
        <v/>
      </c>
      <c r="H337" s="167" t="inlineStr">
        <is>
          <t>瓶</t>
        </is>
      </c>
      <c r="I337" s="167" t="inlineStr">
        <is>
          <t>140g</t>
        </is>
      </c>
      <c r="J337" s="167" t="inlineStr">
        <is>
          <t>確認</t>
        </is>
      </c>
      <c r="K337" s="167" t="n"/>
      <c r="L337" s="289" t="n">
        <v>1239</v>
      </c>
      <c r="M337" s="157" t="n"/>
      <c r="N337" s="289" t="n"/>
      <c r="O337" s="290">
        <f>IF(COUNT(商品マスタ[[#This Row],[参考上代
（税込)]]) &gt; 0, (商品マスタ[[#This Row],[参考上代
（税込)]]-商品マスタ[[#This Row],[国内定価
（15％）]])/(商品マスタ[[#This Row],[参考上代
（税込)]]/1.08), "")</f>
        <v/>
      </c>
      <c r="P337" s="136" t="n">
        <v>0.1</v>
      </c>
      <c r="Q337" s="289">
        <f>商品マスタ[[#This Row],[仕入
単価]]*商品マスタ[[#This Row],[標準国内送料率]]</f>
        <v/>
      </c>
      <c r="R337" s="289" t="n">
        <v>0</v>
      </c>
      <c r="S337" s="289">
        <f>IF(ISBLANK(商品マスタ[[#This Row],[実績
国内送料]]),商品マスタ[[#This Row],[標準国内送料]],)</f>
        <v/>
      </c>
      <c r="T337" s="289">
        <f>商品マスタ[[#This Row],[仕入
単価]]+商品マスタ[[#This Row],[国内送料]]</f>
        <v/>
      </c>
      <c r="U337" s="289">
        <f>ROUNDUP(商品マスタ[[#This Row],[仕入単価+国内送料]]/0.8,-1)</f>
        <v/>
      </c>
      <c r="V337" s="289">
        <f>商品マスタ[[#This Row],[海外定価
（20％）]]-商品マスタ[[#This Row],[仕入単価+国内送料]]</f>
        <v/>
      </c>
      <c r="W337" s="167">
        <f>ROUNDUP(商品マスタ[[#This Row],[仕入単価+国内送料]]/0.85,-1)</f>
        <v/>
      </c>
      <c r="X337" s="289">
        <f>商品マスタ[[#This Row],[国内定価
（15％）]]-商品マスタ[[#This Row],[仕入単価+国内送料]]</f>
        <v/>
      </c>
      <c r="Y337" s="139" t="n">
        <v>0.08</v>
      </c>
      <c r="Z337" s="167" t="n"/>
      <c r="AA337" s="167" t="n"/>
      <c r="AB337" s="167" t="n"/>
      <c r="AC337" s="293" t="n"/>
      <c r="AD337" s="167" t="n"/>
      <c r="AE337" s="167" t="n"/>
      <c r="AF337" s="167" t="n"/>
      <c r="AG337" s="144" t="n"/>
    </row>
    <row r="338" ht="18" customHeight="1" s="207">
      <c r="A338" s="166" t="inlineStr">
        <is>
          <t>その他</t>
        </is>
      </c>
      <c r="B338" s="167" t="inlineStr">
        <is>
          <t>調味料</t>
        </is>
      </c>
      <c r="C338" s="167" t="inlineStr">
        <is>
          <t>湯浅醤油</t>
        </is>
      </c>
      <c r="D338" s="143">
        <f>"PRD_SNJ_"&amp;
_xlfn.XLOOKUP(商品マスタ[[#This Row],[仕入先]],テーブル1[仕入先名],テーブル1[仕入先コード],"XXX",0,1)&amp;
"_"&amp;
商品マスタ[[#This Row],[シリアル]]&amp;
"_"&amp;
TEXT(COUNTIFS(商品マスタ!$C$3:C338,商品マスタ[[#This Row],[仕入先]],商品マスタ!$E$3:E338,商品マスタ[[#This Row],[商品名]]), "00")</f>
        <v/>
      </c>
      <c r="E338" s="167" t="inlineStr">
        <is>
          <t xml:space="preserve">蔵匠 樽仕込み 1.8L </t>
        </is>
      </c>
      <c r="F338" s="167">
        <f>IF(COUNTIFS($C$3:C338,商品マスタ[[#This Row],[仕入先]],$E$3:E338,商品マスタ[[#This Row],[商品名]]) = 1, 1,0)</f>
        <v/>
      </c>
      <c r="G338" s="133">
        <f>TEXT(SUMIF($C$3:C338,商品マスタ[[#This Row],[仕入先]],$F$3:F338), "0000")</f>
        <v/>
      </c>
      <c r="H338" s="167" t="inlineStr">
        <is>
          <t>本</t>
        </is>
      </c>
      <c r="I338" s="167" t="inlineStr">
        <is>
          <t>1.8L×6本/ケース</t>
        </is>
      </c>
      <c r="J338" s="167" t="inlineStr">
        <is>
          <t>6ケース（36本）</t>
        </is>
      </c>
      <c r="K338" s="167" t="n"/>
      <c r="L338" s="289" t="n">
        <v>2030</v>
      </c>
      <c r="M338" s="157" t="n"/>
      <c r="N338" s="289" t="n"/>
      <c r="O338" s="290">
        <f>IF(COUNT(商品マスタ[[#This Row],[参考上代
（税込)]]) &gt; 0, (商品マスタ[[#This Row],[参考上代
（税込)]]-商品マスタ[[#This Row],[国内定価
（15％）]])/(商品マスタ[[#This Row],[参考上代
（税込)]]/1.08), "")</f>
        <v/>
      </c>
      <c r="P338" s="136" t="n">
        <v>0.1</v>
      </c>
      <c r="Q338" s="289">
        <f>商品マスタ[[#This Row],[仕入
単価]]*商品マスタ[[#This Row],[標準国内送料率]]</f>
        <v/>
      </c>
      <c r="R338" s="289" t="n">
        <v>0</v>
      </c>
      <c r="S338" s="289">
        <f>IF(ISBLANK(商品マスタ[[#This Row],[実績
国内送料]]),商品マスタ[[#This Row],[標準国内送料]],)</f>
        <v/>
      </c>
      <c r="T338" s="289">
        <f>商品マスタ[[#This Row],[仕入
単価]]+商品マスタ[[#This Row],[国内送料]]</f>
        <v/>
      </c>
      <c r="U338" s="289">
        <f>ROUNDUP(商品マスタ[[#This Row],[仕入単価+国内送料]]/0.8,-1)</f>
        <v/>
      </c>
      <c r="V338" s="289">
        <f>商品マスタ[[#This Row],[海外定価
（20％）]]-商品マスタ[[#This Row],[仕入単価+国内送料]]</f>
        <v/>
      </c>
      <c r="W338" s="167">
        <f>ROUNDUP(商品マスタ[[#This Row],[仕入単価+国内送料]]/0.85,-1)</f>
        <v/>
      </c>
      <c r="X338" s="289">
        <f>商品マスタ[[#This Row],[国内定価
（15％）]]-商品マスタ[[#This Row],[仕入単価+国内送料]]</f>
        <v/>
      </c>
      <c r="Y338" s="139" t="n">
        <v>0.08</v>
      </c>
      <c r="Z338" s="167" t="n"/>
      <c r="AA338" s="167" t="n"/>
      <c r="AB338" s="167" t="n"/>
      <c r="AC338" s="293" t="n"/>
      <c r="AD338" s="167" t="n"/>
      <c r="AE338" s="167" t="n"/>
      <c r="AF338" s="167" t="n"/>
      <c r="AG338" s="144" t="n"/>
    </row>
    <row r="339" ht="18" customHeight="1" s="207">
      <c r="A339" s="166" t="inlineStr">
        <is>
          <t>青果</t>
        </is>
      </c>
      <c r="B339" s="167" t="inlineStr">
        <is>
          <t>みかん</t>
        </is>
      </c>
      <c r="C339" s="167" t="inlineStr">
        <is>
          <t>藤岡 睦夫</t>
        </is>
      </c>
      <c r="D339" s="143">
        <f>"PRD_SNJ_"&amp;
_xlfn.XLOOKUP(商品マスタ[[#This Row],[仕入先]],テーブル1[仕入先名],テーブル1[仕入先コード],"XXX",0,1)&amp;
"_"&amp;
商品マスタ[[#This Row],[シリアル]]&amp;
"_"&amp;
TEXT(COUNTIFS(商品マスタ!$C$3:C339,商品マスタ[[#This Row],[仕入先]],商品マスタ!$E$3:E339,商品マスタ[[#This Row],[商品名]]), "00")</f>
        <v/>
      </c>
      <c r="E339" s="167" t="inlineStr">
        <is>
          <t>有田みかん　田口早生5キロ　Mサイズ</t>
        </is>
      </c>
      <c r="F339" s="167">
        <f>IF(COUNTIFS($C$3:C339,商品マスタ[[#This Row],[仕入先]],$E$3:E339,商品マスタ[[#This Row],[商品名]]) = 1, 1,0)</f>
        <v/>
      </c>
      <c r="G339" s="133">
        <f>TEXT(SUMIF($C$3:C339,商品マスタ[[#This Row],[仕入先]],$F$3:F339), "0000")</f>
        <v/>
      </c>
      <c r="H339" s="167" t="inlineStr">
        <is>
          <t>箱</t>
        </is>
      </c>
      <c r="I339" s="167" t="inlineStr">
        <is>
          <t>5kg入/箱</t>
        </is>
      </c>
      <c r="J339" s="167" t="n">
        <v>1</v>
      </c>
      <c r="K339" s="167" t="inlineStr">
        <is>
          <t>段ボール</t>
        </is>
      </c>
      <c r="L339" s="289" t="n">
        <v>3000</v>
      </c>
      <c r="M339" s="157" t="n">
        <v>46002</v>
      </c>
      <c r="N339" s="289" t="n"/>
      <c r="O339" s="290">
        <f>IF(COUNT(商品マスタ[[#This Row],[参考上代
（税込)]]) &gt; 0, (商品マスタ[[#This Row],[参考上代
（税込)]]-商品マスタ[[#This Row],[国内定価
（15％）]])/(商品マスタ[[#This Row],[参考上代
（税込)]]/1.08), "")</f>
        <v/>
      </c>
      <c r="P339" s="136" t="n">
        <v>0.1</v>
      </c>
      <c r="Q339" s="289">
        <f>商品マスタ[[#This Row],[仕入
単価]]*商品マスタ[[#This Row],[標準国内送料率]]</f>
        <v/>
      </c>
      <c r="R339" s="289" t="n">
        <v>0</v>
      </c>
      <c r="S339" s="289">
        <f>IF(ISBLANK(商品マスタ[[#This Row],[実績
国内送料]]),商品マスタ[[#This Row],[標準国内送料]],)</f>
        <v/>
      </c>
      <c r="T339" s="289">
        <f>商品マスタ[[#This Row],[仕入
単価]]+商品マスタ[[#This Row],[国内送料]]</f>
        <v/>
      </c>
      <c r="U339" s="289">
        <f>ROUNDUP(商品マスタ[[#This Row],[仕入単価+国内送料]]/0.8,-1)</f>
        <v/>
      </c>
      <c r="V339" s="289">
        <f>商品マスタ[[#This Row],[海外定価
（20％）]]-商品マスタ[[#This Row],[仕入単価+国内送料]]</f>
        <v/>
      </c>
      <c r="W339" s="167">
        <f>ROUNDUP(商品マスタ[[#This Row],[仕入単価+国内送料]]/0.85,-1)</f>
        <v/>
      </c>
      <c r="X339" s="289">
        <f>商品マスタ[[#This Row],[国内定価
（15％）]]-商品マスタ[[#This Row],[仕入単価+国内送料]]</f>
        <v/>
      </c>
      <c r="Y339" s="139" t="n">
        <v>0.08</v>
      </c>
      <c r="Z339" s="167" t="inlineStr">
        <is>
          <t>ー</t>
        </is>
      </c>
      <c r="AA339" s="167" t="inlineStr">
        <is>
          <t>常温</t>
        </is>
      </c>
      <c r="AB339" s="167" t="n"/>
      <c r="AC339" s="293" t="n"/>
      <c r="AD339" s="167" t="n"/>
      <c r="AE339" s="167" t="n"/>
      <c r="AF339" s="167" t="n"/>
      <c r="AG339" s="144" t="n"/>
    </row>
    <row r="340" ht="18" customHeight="1" s="207">
      <c r="A340" s="166" t="inlineStr">
        <is>
          <t>その他</t>
        </is>
      </c>
      <c r="B340" s="167" t="inlineStr">
        <is>
          <t>胡蝶蘭</t>
        </is>
      </c>
      <c r="C340" s="167" t="inlineStr">
        <is>
          <t>直商</t>
        </is>
      </c>
      <c r="D340" s="143">
        <f>"PRD_SNJ_"&amp;
_xlfn.XLOOKUP(商品マスタ[[#This Row],[仕入先]],テーブル1[仕入先名],テーブル1[仕入先コード],"XXX",0,1)&amp;
"_"&amp;
商品マスタ[[#This Row],[シリアル]]&amp;
"_"&amp;
TEXT(COUNTIFS(商品マスタ!$C$3:C340,商品マスタ[[#This Row],[仕入先]],商品マスタ!$E$3:E340,商品マスタ[[#This Row],[商品名]]), "00")</f>
        <v/>
      </c>
      <c r="E340" s="167" t="inlineStr">
        <is>
          <t>小口便　5kg(1ケース)</t>
        </is>
      </c>
      <c r="F340" s="167">
        <f>IF(COUNTIFS($C$3:C340,商品マスタ[[#This Row],[仕入先]],$E$3:E340,商品マスタ[[#This Row],[商品名]]) = 1, 1,0)</f>
        <v/>
      </c>
      <c r="G340" s="133">
        <f>TEXT(SUMIF($C$3:C340,商品マスタ[[#This Row],[仕入先]],$F$3:F340), "0000")</f>
        <v/>
      </c>
      <c r="H340" s="167" t="inlineStr">
        <is>
          <t>式</t>
        </is>
      </c>
      <c r="I340" s="167" t="n"/>
      <c r="J340" s="167" t="n">
        <v>1</v>
      </c>
      <c r="K340" s="167" t="n"/>
      <c r="L340" s="289" t="n">
        <v>375</v>
      </c>
      <c r="M340" s="157" t="n">
        <v>46002</v>
      </c>
      <c r="N340" s="289" t="n"/>
      <c r="O340" s="290">
        <f>IF(COUNT(商品マスタ[[#This Row],[参考上代
（税込)]]) &gt; 0, (商品マスタ[[#This Row],[参考上代
（税込)]]-商品マスタ[[#This Row],[国内定価
（15％）]])/(商品マスタ[[#This Row],[参考上代
（税込)]]/1.08), "")</f>
        <v/>
      </c>
      <c r="P340" s="136" t="n">
        <v>0.1</v>
      </c>
      <c r="Q340" s="289">
        <f>商品マスタ[[#This Row],[仕入
単価]]*商品マスタ[[#This Row],[標準国内送料率]]</f>
        <v/>
      </c>
      <c r="R340" s="289" t="n">
        <v>0</v>
      </c>
      <c r="S340" s="289">
        <f>IF(ISBLANK(商品マスタ[[#This Row],[実績
国内送料]]),商品マスタ[[#This Row],[標準国内送料]],)</f>
        <v/>
      </c>
      <c r="T340" s="289">
        <f>商品マスタ[[#This Row],[仕入
単価]]+商品マスタ[[#This Row],[国内送料]]</f>
        <v/>
      </c>
      <c r="U340" s="289">
        <f>ROUNDUP(商品マスタ[[#This Row],[仕入単価+国内送料]]/0.8,-1)</f>
        <v/>
      </c>
      <c r="V340" s="289">
        <f>商品マスタ[[#This Row],[海外定価
（20％）]]-商品マスタ[[#This Row],[仕入単価+国内送料]]</f>
        <v/>
      </c>
      <c r="W340" s="167">
        <f>ROUNDUP(商品マスタ[[#This Row],[仕入単価+国内送料]]/0.85,-1)</f>
        <v/>
      </c>
      <c r="X340" s="289">
        <f>商品マスタ[[#This Row],[国内定価
（15％）]]-商品マスタ[[#This Row],[仕入単価+国内送料]]</f>
        <v/>
      </c>
      <c r="Y340" s="139" t="n">
        <v>0.1</v>
      </c>
      <c r="Z340" s="167" t="n"/>
      <c r="AA340" s="167" t="n"/>
      <c r="AB340" s="167" t="n"/>
      <c r="AC340" s="293" t="n"/>
      <c r="AD340" s="167" t="n"/>
      <c r="AE340" s="167" t="n"/>
      <c r="AF340" s="167" t="n"/>
      <c r="AG340" s="144" t="n"/>
    </row>
    <row r="341" ht="18" customHeight="1" s="207">
      <c r="A341" s="166" t="inlineStr">
        <is>
          <t>その他</t>
        </is>
      </c>
      <c r="B341" s="167" t="inlineStr">
        <is>
          <t>胡蝶蘭</t>
        </is>
      </c>
      <c r="C341" s="167" t="inlineStr">
        <is>
          <t>直商</t>
        </is>
      </c>
      <c r="D341" s="143">
        <f>"PRD_SNJ_"&amp;
_xlfn.XLOOKUP(商品マスタ[[#This Row],[仕入先]],テーブル1[仕入先名],テーブル1[仕入先コード],"XXX",0,1)&amp;
"_"&amp;
商品マスタ[[#This Row],[シリアル]]&amp;
"_"&amp;
TEXT(COUNTIFS(商品マスタ!$C$3:C341,商品マスタ[[#This Row],[仕入先]],商品マスタ!$E$3:E341,商品マスタ[[#This Row],[商品名]]), "00")</f>
        <v/>
      </c>
      <c r="E341" s="167" t="inlineStr">
        <is>
          <t>小口便　10kg(1ケース)</t>
        </is>
      </c>
      <c r="F341" s="167">
        <f>IF(COUNTIFS($C$3:C341,商品マスタ[[#This Row],[仕入先]],$E$3:E341,商品マスタ[[#This Row],[商品名]]) = 1, 1,0)</f>
        <v/>
      </c>
      <c r="G341" s="133">
        <f>TEXT(SUMIF($C$3:C341,商品マスタ[[#This Row],[仕入先]],$F$3:F341), "0000")</f>
        <v/>
      </c>
      <c r="H341" s="167" t="inlineStr">
        <is>
          <t>式</t>
        </is>
      </c>
      <c r="I341" s="167" t="n"/>
      <c r="J341" s="167" t="n">
        <v>1</v>
      </c>
      <c r="K341" s="167" t="n"/>
      <c r="L341" s="289" t="n">
        <v>750</v>
      </c>
      <c r="M341" s="157" t="n">
        <v>46002</v>
      </c>
      <c r="N341" s="289" t="n"/>
      <c r="O341" s="290">
        <f>IF(COUNT(商品マスタ[[#This Row],[参考上代
（税込)]]) &gt; 0, (商品マスタ[[#This Row],[参考上代
（税込)]]-商品マスタ[[#This Row],[国内定価
（15％）]])/(商品マスタ[[#This Row],[参考上代
（税込)]]/1.08), "")</f>
        <v/>
      </c>
      <c r="P341" s="136" t="n">
        <v>0.1</v>
      </c>
      <c r="Q341" s="289">
        <f>商品マスタ[[#This Row],[仕入
単価]]*商品マスタ[[#This Row],[標準国内送料率]]</f>
        <v/>
      </c>
      <c r="R341" s="289" t="n">
        <v>0</v>
      </c>
      <c r="S341" s="289">
        <f>IF(ISBLANK(商品マスタ[[#This Row],[実績
国内送料]]),商品マスタ[[#This Row],[標準国内送料]],)</f>
        <v/>
      </c>
      <c r="T341" s="289">
        <f>商品マスタ[[#This Row],[仕入
単価]]+商品マスタ[[#This Row],[国内送料]]</f>
        <v/>
      </c>
      <c r="U341" s="289">
        <f>ROUNDUP(商品マスタ[[#This Row],[仕入単価+国内送料]]/0.8,-1)</f>
        <v/>
      </c>
      <c r="V341" s="289">
        <f>商品マスタ[[#This Row],[海外定価
（20％）]]-商品マスタ[[#This Row],[仕入単価+国内送料]]</f>
        <v/>
      </c>
      <c r="W341" s="167">
        <f>ROUNDUP(商品マスタ[[#This Row],[仕入単価+国内送料]]/0.85,-1)</f>
        <v/>
      </c>
      <c r="X341" s="289">
        <f>商品マスタ[[#This Row],[国内定価
（15％）]]-商品マスタ[[#This Row],[仕入単価+国内送料]]</f>
        <v/>
      </c>
      <c r="Y341" s="139" t="n">
        <v>0.1</v>
      </c>
      <c r="Z341" s="167" t="n"/>
      <c r="AA341" s="167" t="n"/>
      <c r="AB341" s="167" t="n"/>
      <c r="AC341" s="293" t="n"/>
      <c r="AD341" s="167" t="n"/>
      <c r="AE341" s="167" t="n"/>
      <c r="AF341" s="167" t="n"/>
      <c r="AG341" s="144" t="n"/>
    </row>
    <row r="342" ht="18" customHeight="1" s="207">
      <c r="A342" s="166" t="inlineStr">
        <is>
          <t>食品加工機械</t>
        </is>
      </c>
      <c r="B342" s="167" t="inlineStr">
        <is>
          <t>DENBA</t>
        </is>
      </c>
      <c r="C342" s="167" t="inlineStr">
        <is>
          <t>DENBA JAPAN</t>
        </is>
      </c>
      <c r="D342" s="143">
        <f>"PRD_SNJ_"&amp;
_xlfn.XLOOKUP(商品マスタ[[#This Row],[仕入先]],テーブル1[仕入先名],テーブル1[仕入先コード],"XXX",0,1)&amp;
"_"&amp;
商品マスタ[[#This Row],[シリアル]]&amp;
"_"&amp;
TEXT(COUNTIFS(商品マスタ!$C$3:C342,商品マスタ[[#This Row],[仕入先]],商品マスタ!$E$3:E342,商品マスタ[[#This Row],[商品名]]), "00")</f>
        <v/>
      </c>
      <c r="E342" s="167" t="inlineStr">
        <is>
          <t>DENBA+ 3.0</t>
        </is>
      </c>
      <c r="F342" s="167">
        <f>IF(COUNTIFS($C$3:C342,商品マスタ[[#This Row],[仕入先]],$E$3:E342,商品マスタ[[#This Row],[商品名]]) = 1, 1,0)</f>
        <v/>
      </c>
      <c r="G342" s="133">
        <f>TEXT(SUMIF($C$3:C342,商品マスタ[[#This Row],[仕入先]],$F$3:F342), "0000")</f>
        <v/>
      </c>
      <c r="H342" s="167" t="inlineStr">
        <is>
          <t>台</t>
        </is>
      </c>
      <c r="I342" s="167" t="n"/>
      <c r="J342" s="167" t="n">
        <v>1</v>
      </c>
      <c r="K342" s="167" t="n"/>
      <c r="L342" s="289" t="n">
        <v>686000</v>
      </c>
      <c r="M342" s="157" t="n">
        <v>46010</v>
      </c>
      <c r="N342" s="289" t="n"/>
      <c r="O342" s="290">
        <f>IF(COUNT(商品マスタ[[#This Row],[参考上代
（税込)]]) &gt; 0, (商品マスタ[[#This Row],[参考上代
（税込)]]-商品マスタ[[#This Row],[国内定価
（15％）]])/(商品マスタ[[#This Row],[参考上代
（税込)]]/1.08), "")</f>
        <v/>
      </c>
      <c r="P342" s="136" t="n">
        <v>0.1</v>
      </c>
      <c r="Q342" s="289">
        <f>商品マスタ[[#This Row],[仕入
単価]]*商品マスタ[[#This Row],[標準国内送料率]]</f>
        <v/>
      </c>
      <c r="R342" s="289" t="n">
        <v>0</v>
      </c>
      <c r="S342" s="289">
        <f>IF(ISBLANK(商品マスタ[[#This Row],[実績
国内送料]]),商品マスタ[[#This Row],[標準国内送料]],)</f>
        <v/>
      </c>
      <c r="T342" s="289">
        <f>商品マスタ[[#This Row],[仕入
単価]]+商品マスタ[[#This Row],[国内送料]]</f>
        <v/>
      </c>
      <c r="U342" s="289">
        <f>ROUNDUP(商品マスタ[[#This Row],[仕入単価+国内送料]]/0.8,-1)</f>
        <v/>
      </c>
      <c r="V342" s="289">
        <f>商品マスタ[[#This Row],[海外定価
（20％）]]-商品マスタ[[#This Row],[仕入単価+国内送料]]</f>
        <v/>
      </c>
      <c r="W342" s="167">
        <f>ROUNDUP(商品マスタ[[#This Row],[仕入単価+国内送料]]/0.85,-1)</f>
        <v/>
      </c>
      <c r="X342" s="289">
        <f>商品マスタ[[#This Row],[国内定価
（15％）]]-商品マスタ[[#This Row],[仕入単価+国内送料]]</f>
        <v/>
      </c>
      <c r="Y342" s="139" t="n">
        <v>0.1</v>
      </c>
      <c r="Z342" s="167" t="inlineStr">
        <is>
          <t>-</t>
        </is>
      </c>
      <c r="AA342" s="167" t="inlineStr">
        <is>
          <t>-</t>
        </is>
      </c>
      <c r="AB342" s="167" t="n"/>
      <c r="AC342" s="293" t="n"/>
      <c r="AD342" s="167" t="n"/>
      <c r="AE342" s="167" t="n"/>
      <c r="AF342" s="167" t="n"/>
      <c r="AG342" s="144" t="n"/>
    </row>
    <row r="343" ht="18" customHeight="1" s="207">
      <c r="A343" s="166" t="inlineStr">
        <is>
          <t>食品加工機械</t>
        </is>
      </c>
      <c r="B343" s="167" t="inlineStr">
        <is>
          <t>DENBA</t>
        </is>
      </c>
      <c r="C343" s="167" t="inlineStr">
        <is>
          <t>DENBA JAPAN</t>
        </is>
      </c>
      <c r="D343" s="143">
        <f>"PRD_SNJ_"&amp;
_xlfn.XLOOKUP(商品マスタ[[#This Row],[仕入先]],テーブル1[仕入先名],テーブル1[仕入先コード],"XXX",0,1)&amp;
"_"&amp;
商品マスタ[[#This Row],[シリアル]]&amp;
"_"&amp;
TEXT(COUNTIFS(商品マスタ!$C$3:C343,商品マスタ[[#This Row],[仕入先]],商品マスタ!$E$3:E343,商品マスタ[[#This Row],[商品名]]), "00")</f>
        <v/>
      </c>
      <c r="E343" s="167" t="inlineStr">
        <is>
          <t>DENBA+ 2.0</t>
        </is>
      </c>
      <c r="F343" s="167">
        <f>IF(COUNTIFS($C$3:C343,商品マスタ[[#This Row],[仕入先]],$E$3:E343,商品マスタ[[#This Row],[商品名]]) = 1, 1,0)</f>
        <v/>
      </c>
      <c r="G343" s="133">
        <f>TEXT(SUMIF($C$3:C343,商品マスタ[[#This Row],[仕入先]],$F$3:F343), "0000")</f>
        <v/>
      </c>
      <c r="H343" s="167" t="inlineStr">
        <is>
          <t>台</t>
        </is>
      </c>
      <c r="I343" s="167" t="n"/>
      <c r="J343" s="167" t="n">
        <v>1</v>
      </c>
      <c r="K343" s="167" t="n"/>
      <c r="L343" s="289" t="n">
        <v>476000</v>
      </c>
      <c r="M343" s="157" t="n">
        <v>46010</v>
      </c>
      <c r="N343" s="289" t="n"/>
      <c r="O343" s="290">
        <f>IF(COUNT(商品マスタ[[#This Row],[参考上代
（税込)]]) &gt; 0, (商品マスタ[[#This Row],[参考上代
（税込)]]-商品マスタ[[#This Row],[国内定価
（15％）]])/(商品マスタ[[#This Row],[参考上代
（税込)]]/1.08), "")</f>
        <v/>
      </c>
      <c r="P343" s="136" t="n">
        <v>0.1</v>
      </c>
      <c r="Q343" s="289">
        <f>商品マスタ[[#This Row],[仕入
単価]]*商品マスタ[[#This Row],[標準国内送料率]]</f>
        <v/>
      </c>
      <c r="R343" s="289" t="n">
        <v>0</v>
      </c>
      <c r="S343" s="289">
        <f>IF(ISBLANK(商品マスタ[[#This Row],[実績
国内送料]]),商品マスタ[[#This Row],[標準国内送料]],)</f>
        <v/>
      </c>
      <c r="T343" s="289">
        <f>商品マスタ[[#This Row],[仕入
単価]]+商品マスタ[[#This Row],[国内送料]]</f>
        <v/>
      </c>
      <c r="U343" s="289">
        <f>ROUNDUP(商品マスタ[[#This Row],[仕入単価+国内送料]]/0.8,-1)</f>
        <v/>
      </c>
      <c r="V343" s="289">
        <f>商品マスタ[[#This Row],[海外定価
（20％）]]-商品マスタ[[#This Row],[仕入単価+国内送料]]</f>
        <v/>
      </c>
      <c r="W343" s="167">
        <f>ROUNDUP(商品マスタ[[#This Row],[仕入単価+国内送料]]/0.85,-1)</f>
        <v/>
      </c>
      <c r="X343" s="289">
        <f>商品マスタ[[#This Row],[国内定価
（15％）]]-商品マスタ[[#This Row],[仕入単価+国内送料]]</f>
        <v/>
      </c>
      <c r="Y343" s="139" t="n">
        <v>0.1</v>
      </c>
      <c r="Z343" s="167" t="n"/>
      <c r="AA343" s="167" t="n"/>
      <c r="AB343" s="167" t="n"/>
      <c r="AC343" s="293" t="n"/>
      <c r="AD343" s="167" t="n"/>
      <c r="AE343" s="167" t="n"/>
      <c r="AF343" s="167" t="n"/>
      <c r="AG343" s="144" t="n"/>
    </row>
    <row r="344" ht="18" customHeight="1" s="207">
      <c r="A344" s="166" t="inlineStr">
        <is>
          <t>食品加工機械</t>
        </is>
      </c>
      <c r="B344" s="167" t="inlineStr">
        <is>
          <t>DENBA</t>
        </is>
      </c>
      <c r="C344" s="167" t="inlineStr">
        <is>
          <t>DENBA JAPAN</t>
        </is>
      </c>
      <c r="D344" s="143">
        <f>"PRD_SNJ_"&amp;
_xlfn.XLOOKUP(商品マスタ[[#This Row],[仕入先]],テーブル1[仕入先名],テーブル1[仕入先コード],"XXX",0,1)&amp;
"_"&amp;
商品マスタ[[#This Row],[シリアル]]&amp;
"_"&amp;
TEXT(COUNTIFS(商品マスタ!$C$3:C344,商品マスタ[[#This Row],[仕入先]],商品マスタ!$E$3:E344,商品マスタ[[#This Row],[商品名]]), "00")</f>
        <v/>
      </c>
      <c r="E344" s="167" t="inlineStr">
        <is>
          <t>DENBA+ Fresh Pro</t>
        </is>
      </c>
      <c r="F344" s="167">
        <f>IF(COUNTIFS($C$3:C344,商品マスタ[[#This Row],[仕入先]],$E$3:E344,商品マスタ[[#This Row],[商品名]]) = 1, 1,0)</f>
        <v/>
      </c>
      <c r="G344" s="133">
        <f>TEXT(SUMIF($C$3:C344,商品マスタ[[#This Row],[仕入先]],$F$3:F344), "0000")</f>
        <v/>
      </c>
      <c r="H344" s="167" t="inlineStr">
        <is>
          <t>台</t>
        </is>
      </c>
      <c r="I344" s="167" t="n"/>
      <c r="J344" s="167" t="n">
        <v>1</v>
      </c>
      <c r="K344" s="167" t="n"/>
      <c r="L344" s="289" t="n">
        <v>266000</v>
      </c>
      <c r="M344" s="157" t="n">
        <v>46010</v>
      </c>
      <c r="N344" s="289" t="n"/>
      <c r="O344" s="290">
        <f>IF(COUNT(商品マスタ[[#This Row],[参考上代
（税込)]]) &gt; 0, (商品マスタ[[#This Row],[参考上代
（税込)]]-商品マスタ[[#This Row],[国内定価
（15％）]])/(商品マスタ[[#This Row],[参考上代
（税込)]]/1.08), "")</f>
        <v/>
      </c>
      <c r="P344" s="136" t="n">
        <v>0.1</v>
      </c>
      <c r="Q344" s="289">
        <f>商品マスタ[[#This Row],[仕入
単価]]*商品マスタ[[#This Row],[標準国内送料率]]</f>
        <v/>
      </c>
      <c r="R344" s="289" t="n">
        <v>0</v>
      </c>
      <c r="S344" s="289">
        <f>IF(ISBLANK(商品マスタ[[#This Row],[実績
国内送料]]),商品マスタ[[#This Row],[標準国内送料]],)</f>
        <v/>
      </c>
      <c r="T344" s="289">
        <f>商品マスタ[[#This Row],[仕入
単価]]+商品マスタ[[#This Row],[国内送料]]</f>
        <v/>
      </c>
      <c r="U344" s="289">
        <f>ROUNDUP(商品マスタ[[#This Row],[仕入単価+国内送料]]/0.8,-1)</f>
        <v/>
      </c>
      <c r="V344" s="289">
        <f>商品マスタ[[#This Row],[海外定価
（20％）]]-商品マスタ[[#This Row],[仕入単価+国内送料]]</f>
        <v/>
      </c>
      <c r="W344" s="167">
        <f>ROUNDUP(商品マスタ[[#This Row],[仕入単価+国内送料]]/0.85,-1)</f>
        <v/>
      </c>
      <c r="X344" s="289">
        <f>商品マスタ[[#This Row],[国内定価
（15％）]]-商品マスタ[[#This Row],[仕入単価+国内送料]]</f>
        <v/>
      </c>
      <c r="Y344" s="139" t="n">
        <v>0.1</v>
      </c>
      <c r="Z344" s="167" t="n"/>
      <c r="AA344" s="167" t="n"/>
      <c r="AB344" s="167" t="n"/>
      <c r="AC344" s="293" t="n"/>
      <c r="AD344" s="167" t="n"/>
      <c r="AE344" s="167" t="n"/>
      <c r="AF344" s="167" t="n"/>
      <c r="AG344" s="144" t="n"/>
    </row>
    <row r="345" ht="18" customHeight="1" s="207">
      <c r="A345" s="166" t="inlineStr">
        <is>
          <t>食品加工機械</t>
        </is>
      </c>
      <c r="B345" s="167" t="inlineStr">
        <is>
          <t>DENBA</t>
        </is>
      </c>
      <c r="C345" s="167" t="inlineStr">
        <is>
          <t>DENBA JAPAN</t>
        </is>
      </c>
      <c r="D345" s="143">
        <f>"PRD_SNJ_"&amp;
_xlfn.XLOOKUP(商品マスタ[[#This Row],[仕入先]],テーブル1[仕入先名],テーブル1[仕入先コード],"XXX",0,1)&amp;
"_"&amp;
商品マスタ[[#This Row],[シリアル]]&amp;
"_"&amp;
TEXT(COUNTIFS(商品マスタ!$C$3:C345,商品マスタ[[#This Row],[仕入先]],商品マスタ!$E$3:E345,商品マスタ[[#This Row],[商品名]]), "00")</f>
        <v/>
      </c>
      <c r="E345" s="167" t="inlineStr">
        <is>
          <t>DENBA+Land(本体,放電棒 4 本)</t>
        </is>
      </c>
      <c r="F345" s="167">
        <f>IF(COUNTIFS($C$3:C345,商品マスタ[[#This Row],[仕入先]],$E$3:E345,商品マスタ[[#This Row],[商品名]]) = 1, 1,0)</f>
        <v/>
      </c>
      <c r="G345" s="133">
        <f>TEXT(SUMIF($C$3:C345,商品マスタ[[#This Row],[仕入先]],$F$3:F345), "0000")</f>
        <v/>
      </c>
      <c r="H345" s="167" t="inlineStr">
        <is>
          <t>台</t>
        </is>
      </c>
      <c r="I345" s="167" t="n"/>
      <c r="J345" s="167" t="n">
        <v>1</v>
      </c>
      <c r="K345" s="167" t="n"/>
      <c r="L345" s="289" t="n">
        <v>686000</v>
      </c>
      <c r="M345" s="157" t="n">
        <v>46010</v>
      </c>
      <c r="N345" s="289" t="n"/>
      <c r="O345" s="290">
        <f>IF(COUNT(商品マスタ[[#This Row],[参考上代
（税込)]]) &gt; 0, (商品マスタ[[#This Row],[参考上代
（税込)]]-商品マスタ[[#This Row],[国内定価
（15％）]])/(商品マスタ[[#This Row],[参考上代
（税込)]]/1.08), "")</f>
        <v/>
      </c>
      <c r="P345" s="136" t="n">
        <v>0.1</v>
      </c>
      <c r="Q345" s="289">
        <f>商品マスタ[[#This Row],[仕入
単価]]*商品マスタ[[#This Row],[標準国内送料率]]</f>
        <v/>
      </c>
      <c r="R345" s="289" t="n">
        <v>0</v>
      </c>
      <c r="S345" s="289">
        <f>IF(ISBLANK(商品マスタ[[#This Row],[実績
国内送料]]),商品マスタ[[#This Row],[標準国内送料]],)</f>
        <v/>
      </c>
      <c r="T345" s="289">
        <f>商品マスタ[[#This Row],[仕入
単価]]+商品マスタ[[#This Row],[国内送料]]</f>
        <v/>
      </c>
      <c r="U345" s="289">
        <f>ROUNDUP(商品マスタ[[#This Row],[仕入単価+国内送料]]/0.8,-1)</f>
        <v/>
      </c>
      <c r="V345" s="289">
        <f>商品マスタ[[#This Row],[海外定価
（20％）]]-商品マスタ[[#This Row],[仕入単価+国内送料]]</f>
        <v/>
      </c>
      <c r="W345" s="167">
        <f>ROUNDUP(商品マスタ[[#This Row],[仕入単価+国内送料]]/0.85,-1)</f>
        <v/>
      </c>
      <c r="X345" s="289">
        <f>商品マスタ[[#This Row],[国内定価
（15％）]]-商品マスタ[[#This Row],[仕入単価+国内送料]]</f>
        <v/>
      </c>
      <c r="Y345" s="139" t="n">
        <v>0.1</v>
      </c>
      <c r="Z345" s="167" t="n"/>
      <c r="AA345" s="167" t="n"/>
      <c r="AB345" s="167" t="n"/>
      <c r="AC345" s="293" t="n"/>
      <c r="AD345" s="167" t="n"/>
      <c r="AE345" s="167" t="n"/>
      <c r="AF345" s="167" t="n"/>
      <c r="AG345" s="144" t="n"/>
    </row>
    <row r="346" ht="18" customHeight="1" s="207">
      <c r="A346" s="166" t="inlineStr">
        <is>
          <t>食品加工機械</t>
        </is>
      </c>
      <c r="B346" s="167" t="inlineStr">
        <is>
          <t>DENBA</t>
        </is>
      </c>
      <c r="C346" s="167" t="inlineStr">
        <is>
          <t>DENBA JAPAN</t>
        </is>
      </c>
      <c r="D346" s="143">
        <f>"PRD_SNJ_"&amp;
_xlfn.XLOOKUP(商品マスタ[[#This Row],[仕入先]],テーブル1[仕入先名],テーブル1[仕入先コード],"XXX",0,1)&amp;
"_"&amp;
商品マスタ[[#This Row],[シリアル]]&amp;
"_"&amp;
TEXT(COUNTIFS(商品マスタ!$C$3:C346,商品マスタ[[#This Row],[仕入先]],商品マスタ!$E$3:E346,商品マスタ[[#This Row],[商品名]]), "00")</f>
        <v/>
      </c>
      <c r="E346" s="167" t="inlineStr">
        <is>
          <t>DENBA+Land(本体,放電棒 2 本)</t>
        </is>
      </c>
      <c r="F346" s="167">
        <f>IF(COUNTIFS($C$3:C346,商品マスタ[[#This Row],[仕入先]],$E$3:E346,商品マスタ[[#This Row],[商品名]]) = 1, 1,0)</f>
        <v/>
      </c>
      <c r="G346" s="133">
        <f>TEXT(SUMIF($C$3:C346,商品マスタ[[#This Row],[仕入先]],$F$3:F346), "0000")</f>
        <v/>
      </c>
      <c r="H346" s="167" t="inlineStr">
        <is>
          <t>台</t>
        </is>
      </c>
      <c r="I346" s="167" t="n"/>
      <c r="J346" s="167" t="n">
        <v>1</v>
      </c>
      <c r="K346" s="167" t="n"/>
      <c r="L346" s="289" t="n">
        <v>546000</v>
      </c>
      <c r="M346" s="157" t="n">
        <v>46010</v>
      </c>
      <c r="N346" s="289" t="n"/>
      <c r="O346" s="290">
        <f>IF(COUNT(商品マスタ[[#This Row],[参考上代
（税込)]]) &gt; 0, (商品マスタ[[#This Row],[参考上代
（税込)]]-商品マスタ[[#This Row],[国内定価
（15％）]])/(商品マスタ[[#This Row],[参考上代
（税込)]]/1.08), "")</f>
        <v/>
      </c>
      <c r="P346" s="136" t="n">
        <v>0.1</v>
      </c>
      <c r="Q346" s="289">
        <f>商品マスタ[[#This Row],[仕入
単価]]*商品マスタ[[#This Row],[標準国内送料率]]</f>
        <v/>
      </c>
      <c r="R346" s="289" t="n">
        <v>0</v>
      </c>
      <c r="S346" s="289">
        <f>IF(ISBLANK(商品マスタ[[#This Row],[実績
国内送料]]),商品マスタ[[#This Row],[標準国内送料]],)</f>
        <v/>
      </c>
      <c r="T346" s="289">
        <f>商品マスタ[[#This Row],[仕入
単価]]+商品マスタ[[#This Row],[国内送料]]</f>
        <v/>
      </c>
      <c r="U346" s="289">
        <f>ROUNDUP(商品マスタ[[#This Row],[仕入単価+国内送料]]/0.8,-1)</f>
        <v/>
      </c>
      <c r="V346" s="289">
        <f>商品マスタ[[#This Row],[海外定価
（20％）]]-商品マスタ[[#This Row],[仕入単価+国内送料]]</f>
        <v/>
      </c>
      <c r="W346" s="167">
        <f>ROUNDUP(商品マスタ[[#This Row],[仕入単価+国内送料]]/0.85,-1)</f>
        <v/>
      </c>
      <c r="X346" s="289">
        <f>商品マスタ[[#This Row],[国内定価
（15％）]]-商品マスタ[[#This Row],[仕入単価+国内送料]]</f>
        <v/>
      </c>
      <c r="Y346" s="139" t="n">
        <v>0.1</v>
      </c>
      <c r="Z346" s="167" t="n"/>
      <c r="AA346" s="167" t="n"/>
      <c r="AB346" s="167" t="n"/>
      <c r="AC346" s="293" t="n"/>
      <c r="AD346" s="167" t="n"/>
      <c r="AE346" s="167" t="n"/>
      <c r="AF346" s="167" t="n"/>
      <c r="AG346" s="144" t="n"/>
    </row>
    <row r="347" ht="18" customHeight="1" s="207">
      <c r="A347" s="166" t="inlineStr">
        <is>
          <t>食品加工機械</t>
        </is>
      </c>
      <c r="B347" s="167" t="inlineStr">
        <is>
          <t>DENBA</t>
        </is>
      </c>
      <c r="C347" s="167" t="inlineStr">
        <is>
          <t>DENBA JAPAN</t>
        </is>
      </c>
      <c r="D347" s="143">
        <f>"PRD_SNJ_"&amp;
_xlfn.XLOOKUP(商品マスタ[[#This Row],[仕入先]],テーブル1[仕入先名],テーブル1[仕入先コード],"XXX",0,1)&amp;
"_"&amp;
商品マスタ[[#This Row],[シリアル]]&amp;
"_"&amp;
TEXT(COUNTIFS(商品マスタ!$C$3:C347,商品マスタ[[#This Row],[仕入先]],商品マスタ!$E$3:E347,商品マスタ[[#This Row],[商品名]]), "00")</f>
        <v/>
      </c>
      <c r="E347" s="167" t="inlineStr">
        <is>
          <t>DENBA FRYER</t>
        </is>
      </c>
      <c r="F347" s="167">
        <f>IF(COUNTIFS($C$3:C347,商品マスタ[[#This Row],[仕入先]],$E$3:E347,商品マスタ[[#This Row],[商品名]]) = 1, 1,0)</f>
        <v/>
      </c>
      <c r="G347" s="133">
        <f>TEXT(SUMIF($C$3:C347,商品マスタ[[#This Row],[仕入先]],$F$3:F347), "0000")</f>
        <v/>
      </c>
      <c r="H347" s="167" t="inlineStr">
        <is>
          <t>台</t>
        </is>
      </c>
      <c r="I347" s="167" t="n"/>
      <c r="J347" s="167" t="n">
        <v>1</v>
      </c>
      <c r="K347" s="167" t="n"/>
      <c r="L347" s="289" t="n">
        <v>245000</v>
      </c>
      <c r="M347" s="157" t="n">
        <v>46010</v>
      </c>
      <c r="N347" s="289" t="n"/>
      <c r="O347" s="290">
        <f>IF(COUNT(商品マスタ[[#This Row],[参考上代
（税込)]]) &gt; 0, (商品マスタ[[#This Row],[参考上代
（税込)]]-商品マスタ[[#This Row],[国内定価
（15％）]])/(商品マスタ[[#This Row],[参考上代
（税込)]]/1.08), "")</f>
        <v/>
      </c>
      <c r="P347" s="136" t="n">
        <v>0.1</v>
      </c>
      <c r="Q347" s="289">
        <f>商品マスタ[[#This Row],[仕入
単価]]*商品マスタ[[#This Row],[標準国内送料率]]</f>
        <v/>
      </c>
      <c r="R347" s="289" t="n">
        <v>0</v>
      </c>
      <c r="S347" s="289">
        <f>IF(ISBLANK(商品マスタ[[#This Row],[実績
国内送料]]),商品マスタ[[#This Row],[標準国内送料]],)</f>
        <v/>
      </c>
      <c r="T347" s="289">
        <f>商品マスタ[[#This Row],[仕入
単価]]+商品マスタ[[#This Row],[国内送料]]</f>
        <v/>
      </c>
      <c r="U347" s="289">
        <f>ROUNDUP(商品マスタ[[#This Row],[仕入単価+国内送料]]/0.8,-1)</f>
        <v/>
      </c>
      <c r="V347" s="289">
        <f>商品マスタ[[#This Row],[海外定価
（20％）]]-商品マスタ[[#This Row],[仕入単価+国内送料]]</f>
        <v/>
      </c>
      <c r="W347" s="167">
        <f>ROUNDUP(商品マスタ[[#This Row],[仕入単価+国内送料]]/0.85,-1)</f>
        <v/>
      </c>
      <c r="X347" s="289">
        <f>商品マスタ[[#This Row],[国内定価
（15％）]]-商品マスタ[[#This Row],[仕入単価+国内送料]]</f>
        <v/>
      </c>
      <c r="Y347" s="139" t="n">
        <v>0.1</v>
      </c>
      <c r="Z347" s="167" t="n"/>
      <c r="AA347" s="167" t="n"/>
      <c r="AB347" s="167" t="n"/>
      <c r="AC347" s="293" t="n"/>
      <c r="AD347" s="167" t="n"/>
      <c r="AE347" s="167" t="n"/>
      <c r="AF347" s="167" t="n"/>
      <c r="AG347" s="144" t="n"/>
    </row>
    <row r="348" ht="18" customHeight="1" s="207">
      <c r="A348" s="166" t="inlineStr">
        <is>
          <t>食品加工機械</t>
        </is>
      </c>
      <c r="B348" s="167" t="inlineStr">
        <is>
          <t>DENBA</t>
        </is>
      </c>
      <c r="C348" s="167" t="inlineStr">
        <is>
          <t>DENBA JAPAN</t>
        </is>
      </c>
      <c r="D348" s="143">
        <f>"PRD_SNJ_"&amp;
_xlfn.XLOOKUP(商品マスタ[[#This Row],[仕入先]],テーブル1[仕入先名],テーブル1[仕入先コード],"XXX",0,1)&amp;
"_"&amp;
商品マスタ[[#This Row],[シリアル]]&amp;
"_"&amp;
TEXT(COUNTIFS(商品マスタ!$C$3:C348,商品マスタ[[#This Row],[仕入先]],商品マスタ!$E$3:E348,商品マスタ[[#This Row],[商品名]]), "00")</f>
        <v/>
      </c>
      <c r="E348" s="167" t="inlineStr">
        <is>
          <t>DENBA Health High Grade</t>
        </is>
      </c>
      <c r="F348" s="167">
        <f>IF(COUNTIFS($C$3:C348,商品マスタ[[#This Row],[仕入先]],$E$3:E348,商品マスタ[[#This Row],[商品名]]) = 1, 1,0)</f>
        <v/>
      </c>
      <c r="G348" s="133">
        <f>TEXT(SUMIF($C$3:C348,商品マスタ[[#This Row],[仕入先]],$F$3:F348), "0000")</f>
        <v/>
      </c>
      <c r="H348" s="167" t="inlineStr">
        <is>
          <t>台</t>
        </is>
      </c>
      <c r="I348" s="167" t="n"/>
      <c r="J348" s="167" t="n">
        <v>1</v>
      </c>
      <c r="K348" s="167" t="n"/>
      <c r="L348" s="289" t="n">
        <v>572727</v>
      </c>
      <c r="M348" s="157" t="n">
        <v>46010</v>
      </c>
      <c r="N348" s="289" t="n"/>
      <c r="O348" s="290">
        <f>IF(COUNT(商品マスタ[[#This Row],[参考上代
（税込)]]) &gt; 0, (商品マスタ[[#This Row],[参考上代
（税込)]]-商品マスタ[[#This Row],[国内定価
（15％）]])/(商品マスタ[[#This Row],[参考上代
（税込)]]/1.08), "")</f>
        <v/>
      </c>
      <c r="P348" s="136" t="n">
        <v>0.1</v>
      </c>
      <c r="Q348" s="289">
        <f>商品マスタ[[#This Row],[仕入
単価]]*商品マスタ[[#This Row],[標準国内送料率]]</f>
        <v/>
      </c>
      <c r="R348" s="289" t="n">
        <v>0</v>
      </c>
      <c r="S348" s="289">
        <f>IF(ISBLANK(商品マスタ[[#This Row],[実績
国内送料]]),商品マスタ[[#This Row],[標準国内送料]],)</f>
        <v/>
      </c>
      <c r="T348" s="289">
        <f>商品マスタ[[#This Row],[仕入
単価]]+商品マスタ[[#This Row],[国内送料]]</f>
        <v/>
      </c>
      <c r="U348" s="289">
        <f>ROUNDUP(商品マスタ[[#This Row],[仕入単価+国内送料]]/0.8,-1)</f>
        <v/>
      </c>
      <c r="V348" s="289">
        <f>商品マスタ[[#This Row],[海外定価
（20％）]]-商品マスタ[[#This Row],[仕入単価+国内送料]]</f>
        <v/>
      </c>
      <c r="W348" s="167">
        <f>ROUNDUP(商品マスタ[[#This Row],[仕入単価+国内送料]]/0.85,-1)</f>
        <v/>
      </c>
      <c r="X348" s="289">
        <f>商品マスタ[[#This Row],[国内定価
（15％）]]-商品マスタ[[#This Row],[仕入単価+国内送料]]</f>
        <v/>
      </c>
      <c r="Y348" s="139" t="n">
        <v>0.1</v>
      </c>
      <c r="Z348" s="167" t="n"/>
      <c r="AA348" s="167" t="n"/>
      <c r="AB348" s="167" t="n"/>
      <c r="AC348" s="293" t="n"/>
      <c r="AD348" s="167" t="n"/>
      <c r="AE348" s="167" t="n"/>
      <c r="AF348" s="167" t="n"/>
      <c r="AG348" s="144" t="n"/>
    </row>
    <row r="349" ht="18" customHeight="1" s="207">
      <c r="A349" s="166" t="inlineStr">
        <is>
          <t>食品加工機械</t>
        </is>
      </c>
      <c r="B349" s="167" t="inlineStr">
        <is>
          <t>DENBA</t>
        </is>
      </c>
      <c r="C349" s="167" t="inlineStr">
        <is>
          <t>DENBA JAPAN</t>
        </is>
      </c>
      <c r="D349" s="143">
        <f>"PRD_SNJ_"&amp;
_xlfn.XLOOKUP(商品マスタ[[#This Row],[仕入先]],テーブル1[仕入先名],テーブル1[仕入先コード],"XXX",0,1)&amp;
"_"&amp;
商品マスタ[[#This Row],[シリアル]]&amp;
"_"&amp;
TEXT(COUNTIFS(商品マスタ!$C$3:C349,商品マスタ[[#This Row],[仕入先]],商品マスタ!$E$3:E349,商品マスタ[[#This Row],[商品名]]), "00")</f>
        <v/>
      </c>
      <c r="E349" s="167" t="inlineStr">
        <is>
          <t>DENBA Health Standard</t>
        </is>
      </c>
      <c r="F349" s="167">
        <f>IF(COUNTIFS($C$3:C349,商品マスタ[[#This Row],[仕入先]],$E$3:E349,商品マスタ[[#This Row],[商品名]]) = 1, 1,0)</f>
        <v/>
      </c>
      <c r="G349" s="133">
        <f>TEXT(SUMIF($C$3:C349,商品マスタ[[#This Row],[仕入先]],$F$3:F349), "0000")</f>
        <v/>
      </c>
      <c r="H349" s="167" t="inlineStr">
        <is>
          <t>台</t>
        </is>
      </c>
      <c r="I349" s="167" t="n"/>
      <c r="J349" s="167" t="n">
        <v>1</v>
      </c>
      <c r="K349" s="167" t="n"/>
      <c r="L349" s="289" t="n">
        <v>350000</v>
      </c>
      <c r="M349" s="157" t="n">
        <v>46010</v>
      </c>
      <c r="N349" s="289" t="n"/>
      <c r="O349" s="290">
        <f>IF(COUNT(商品マスタ[[#This Row],[参考上代
（税込)]]) &gt; 0, (商品マスタ[[#This Row],[参考上代
（税込)]]-商品マスタ[[#This Row],[国内定価
（15％）]])/(商品マスタ[[#This Row],[参考上代
（税込)]]/1.08), "")</f>
        <v/>
      </c>
      <c r="P349" s="136" t="n">
        <v>0.1</v>
      </c>
      <c r="Q349" s="289">
        <f>商品マスタ[[#This Row],[仕入
単価]]*商品マスタ[[#This Row],[標準国内送料率]]</f>
        <v/>
      </c>
      <c r="R349" s="289" t="n">
        <v>0</v>
      </c>
      <c r="S349" s="289">
        <f>IF(ISBLANK(商品マスタ[[#This Row],[実績
国内送料]]),商品マスタ[[#This Row],[標準国内送料]],)</f>
        <v/>
      </c>
      <c r="T349" s="289">
        <f>商品マスタ[[#This Row],[仕入
単価]]+商品マスタ[[#This Row],[国内送料]]</f>
        <v/>
      </c>
      <c r="U349" s="289">
        <f>ROUNDUP(商品マスタ[[#This Row],[仕入単価+国内送料]]/0.8,-1)</f>
        <v/>
      </c>
      <c r="V349" s="289">
        <f>商品マスタ[[#This Row],[海外定価
（20％）]]-商品マスタ[[#This Row],[仕入単価+国内送料]]</f>
        <v/>
      </c>
      <c r="W349" s="167">
        <f>ROUNDUP(商品マスタ[[#This Row],[仕入単価+国内送料]]/0.85,-1)</f>
        <v/>
      </c>
      <c r="X349" s="289">
        <f>商品マスタ[[#This Row],[国内定価
（15％）]]-商品マスタ[[#This Row],[仕入単価+国内送料]]</f>
        <v/>
      </c>
      <c r="Y349" s="139" t="n">
        <v>0.1</v>
      </c>
      <c r="Z349" s="167" t="n"/>
      <c r="AA349" s="167" t="n"/>
      <c r="AB349" s="167" t="n"/>
      <c r="AC349" s="293" t="n"/>
      <c r="AD349" s="167" t="n"/>
      <c r="AE349" s="167" t="n"/>
      <c r="AF349" s="167" t="n"/>
      <c r="AG349" s="144" t="n"/>
    </row>
    <row r="350" ht="18" customHeight="1" s="207">
      <c r="A350" s="166" t="inlineStr">
        <is>
          <t>食品加工機械</t>
        </is>
      </c>
      <c r="B350" s="167" t="inlineStr">
        <is>
          <t>DENBA</t>
        </is>
      </c>
      <c r="C350" s="167" t="inlineStr">
        <is>
          <t>DENBA JAPAN</t>
        </is>
      </c>
      <c r="D350" s="143">
        <f>"PRD_SNJ_"&amp;
_xlfn.XLOOKUP(商品マスタ[[#This Row],[仕入先]],テーブル1[仕入先名],テーブル1[仕入先コード],"XXX",0,1)&amp;
"_"&amp;
商品マスタ[[#This Row],[シリアル]]&amp;
"_"&amp;
TEXT(COUNTIFS(商品マスタ!$C$3:C350,商品マスタ[[#This Row],[仕入先]],商品マスタ!$E$3:E350,商品マスタ[[#This Row],[商品名]]), "00")</f>
        <v/>
      </c>
      <c r="E350" s="167" t="inlineStr">
        <is>
          <t>DENBA Health Charge</t>
        </is>
      </c>
      <c r="F350" s="167">
        <f>IF(COUNTIFS($C$3:C350,商品マスタ[[#This Row],[仕入先]],$E$3:E350,商品マスタ[[#This Row],[商品名]]) = 1, 1,0)</f>
        <v/>
      </c>
      <c r="G350" s="133">
        <f>TEXT(SUMIF($C$3:C350,商品マスタ[[#This Row],[仕入先]],$F$3:F350), "0000")</f>
        <v/>
      </c>
      <c r="H350" s="167" t="inlineStr">
        <is>
          <t>台</t>
        </is>
      </c>
      <c r="I350" s="167" t="n"/>
      <c r="J350" s="167" t="n">
        <v>1</v>
      </c>
      <c r="K350" s="167" t="n"/>
      <c r="L350" s="289" t="n">
        <v>252000</v>
      </c>
      <c r="M350" s="157" t="n">
        <v>46010</v>
      </c>
      <c r="N350" s="289" t="n"/>
      <c r="O350" s="290">
        <f>IF(COUNT(商品マスタ[[#This Row],[参考上代
（税込)]]) &gt; 0, (商品マスタ[[#This Row],[参考上代
（税込)]]-商品マスタ[[#This Row],[国内定価
（15％）]])/(商品マスタ[[#This Row],[参考上代
（税込)]]/1.08), "")</f>
        <v/>
      </c>
      <c r="P350" s="136" t="n">
        <v>0.1</v>
      </c>
      <c r="Q350" s="289">
        <f>商品マスタ[[#This Row],[仕入
単価]]*商品マスタ[[#This Row],[標準国内送料率]]</f>
        <v/>
      </c>
      <c r="R350" s="289" t="n">
        <v>0</v>
      </c>
      <c r="S350" s="289">
        <f>IF(ISBLANK(商品マスタ[[#This Row],[実績
国内送料]]),商品マスタ[[#This Row],[標準国内送料]],)</f>
        <v/>
      </c>
      <c r="T350" s="289">
        <f>商品マスタ[[#This Row],[仕入
単価]]+商品マスタ[[#This Row],[国内送料]]</f>
        <v/>
      </c>
      <c r="U350" s="289">
        <f>ROUNDUP(商品マスタ[[#This Row],[仕入単価+国内送料]]/0.8,-1)</f>
        <v/>
      </c>
      <c r="V350" s="289">
        <f>商品マスタ[[#This Row],[海外定価
（20％）]]-商品マスタ[[#This Row],[仕入単価+国内送料]]</f>
        <v/>
      </c>
      <c r="W350" s="167">
        <f>ROUNDUP(商品マスタ[[#This Row],[仕入単価+国内送料]]/0.85,-1)</f>
        <v/>
      </c>
      <c r="X350" s="289">
        <f>商品マスタ[[#This Row],[国内定価
（15％）]]-商品マスタ[[#This Row],[仕入単価+国内送料]]</f>
        <v/>
      </c>
      <c r="Y350" s="139" t="n">
        <v>0.1</v>
      </c>
      <c r="Z350" s="167" t="n"/>
      <c r="AA350" s="167" t="n"/>
      <c r="AB350" s="167" t="n"/>
      <c r="AC350" s="293" t="n"/>
      <c r="AD350" s="167" t="n"/>
      <c r="AE350" s="167" t="n"/>
      <c r="AF350" s="167" t="n"/>
      <c r="AG350" s="144" t="n"/>
    </row>
    <row r="351" ht="18" customHeight="1" s="207">
      <c r="A351" s="166" t="inlineStr">
        <is>
          <t>精肉</t>
        </is>
      </c>
      <c r="B351" s="176" t="inlineStr">
        <is>
          <t>エゾシカ</t>
        </is>
      </c>
      <c r="C351" s="167" t="inlineStr">
        <is>
          <t>あぷかの森</t>
        </is>
      </c>
      <c r="D351" s="143">
        <f>"PRD_SNJ_"&amp;
_xlfn.XLOOKUP(商品マスタ[[#This Row],[仕入先]],テーブル1[仕入先名],テーブル1[仕入先コード],"XXX",0,1)&amp;
"_"&amp;
商品マスタ[[#This Row],[シリアル]]&amp;
"_"&amp;
TEXT(COUNTIFS(商品マスタ!$C$3:C351,商品マスタ[[#This Row],[仕入先]],商品マスタ!$E$3:E351,商品マスタ[[#This Row],[商品名]]), "00")</f>
        <v/>
      </c>
      <c r="E351" s="167" t="inlineStr">
        <is>
          <t>エゾシカ　肩ロース</t>
        </is>
      </c>
      <c r="F351" s="167">
        <f>IF(COUNTIFS($C$3:C351,商品マスタ[[#This Row],[仕入先]],$E$3:E351,商品マスタ[[#This Row],[商品名]]) = 1, 1,0)</f>
        <v/>
      </c>
      <c r="G351" s="133">
        <f>TEXT(SUMIF($C$3:C351,商品マスタ[[#This Row],[仕入先]],$F$3:F351), "0000")</f>
        <v/>
      </c>
      <c r="H351" s="167" t="inlineStr">
        <is>
          <t>kg</t>
        </is>
      </c>
      <c r="I351" s="167" t="n"/>
      <c r="J351" s="167" t="n">
        <v>1</v>
      </c>
      <c r="K351" s="167" t="n"/>
      <c r="L351" s="289" t="n">
        <v>3850</v>
      </c>
      <c r="M351" s="157" t="n">
        <v>45971</v>
      </c>
      <c r="N351" s="289" t="n"/>
      <c r="O351" s="290">
        <f>IF(COUNT(商品マスタ[[#This Row],[参考上代
（税込)]]) &gt; 0, (商品マスタ[[#This Row],[参考上代
（税込)]]-商品マスタ[[#This Row],[国内定価
（15％）]])/(商品マスタ[[#This Row],[参考上代
（税込)]]/1.08), "")</f>
        <v/>
      </c>
      <c r="P351" s="136" t="n">
        <v>0.1</v>
      </c>
      <c r="Q351" s="289">
        <f>商品マスタ[[#This Row],[仕入
単価]]*商品マスタ[[#This Row],[標準国内送料率]]</f>
        <v/>
      </c>
      <c r="R351" s="289" t="n"/>
      <c r="S351" s="289">
        <f>IF(ISBLANK(商品マスタ[[#This Row],[実績
国内送料]]),商品マスタ[[#This Row],[標準国内送料]],)</f>
        <v/>
      </c>
      <c r="T351" s="289">
        <f>商品マスタ[[#This Row],[仕入
単価]]+商品マスタ[[#This Row],[国内送料]]</f>
        <v/>
      </c>
      <c r="U351" s="289">
        <f>ROUNDUP(商品マスタ[[#This Row],[仕入単価+国内送料]]/0.8,-1)</f>
        <v/>
      </c>
      <c r="V351" s="289">
        <f>商品マスタ[[#This Row],[海外定価
（20％）]]-商品マスタ[[#This Row],[仕入単価+国内送料]]</f>
        <v/>
      </c>
      <c r="W351" s="167">
        <f>ROUNDUP(商品マスタ[[#This Row],[仕入単価+国内送料]]/0.85,-1)</f>
        <v/>
      </c>
      <c r="X351" s="289">
        <f>商品マスタ[[#This Row],[国内定価
（15％）]]-商品マスタ[[#This Row],[仕入単価+国内送料]]</f>
        <v/>
      </c>
      <c r="Y351" s="139" t="n">
        <v>0.08</v>
      </c>
      <c r="Z351" s="167" t="n"/>
      <c r="AA351" s="167" t="n"/>
      <c r="AB351" s="167" t="n"/>
      <c r="AC351" s="293" t="n"/>
      <c r="AD351" s="167" t="n"/>
      <c r="AE351" s="167" t="n"/>
      <c r="AF351" s="167" t="n"/>
      <c r="AG351" s="144" t="n"/>
    </row>
    <row r="352" ht="18" customHeight="1" s="207">
      <c r="A352" s="166" t="inlineStr">
        <is>
          <t>精肉</t>
        </is>
      </c>
      <c r="B352" s="176" t="inlineStr">
        <is>
          <t>エゾシカ</t>
        </is>
      </c>
      <c r="C352" s="167" t="inlineStr">
        <is>
          <t>あぷかの森</t>
        </is>
      </c>
      <c r="D352" s="143">
        <f>"PRD_SNJ_"&amp;
_xlfn.XLOOKUP(商品マスタ[[#This Row],[仕入先]],テーブル1[仕入先名],テーブル1[仕入先コード],"XXX",0,1)&amp;
"_"&amp;
商品マスタ[[#This Row],[シリアル]]&amp;
"_"&amp;
TEXT(COUNTIFS(商品マスタ!$C$3:C352,商品マスタ[[#This Row],[仕入先]],商品マスタ!$E$3:E352,商品マスタ[[#This Row],[商品名]]), "00")</f>
        <v/>
      </c>
      <c r="E352" s="167" t="inlineStr">
        <is>
          <t>エゾシカ　ロース</t>
        </is>
      </c>
      <c r="F352" s="167">
        <f>IF(COUNTIFS($C$3:C352,商品マスタ[[#This Row],[仕入先]],$E$3:E352,商品マスタ[[#This Row],[商品名]]) = 1, 1,0)</f>
        <v/>
      </c>
      <c r="G352" s="133">
        <f>TEXT(SUMIF($C$3:C352,商品マスタ[[#This Row],[仕入先]],$F$3:F352), "0000")</f>
        <v/>
      </c>
      <c r="H352" s="167" t="inlineStr">
        <is>
          <t>kg</t>
        </is>
      </c>
      <c r="I352" s="167" t="n"/>
      <c r="J352" s="167" t="n">
        <v>1</v>
      </c>
      <c r="K352" s="167" t="n"/>
      <c r="L352" s="289" t="n">
        <v>4400</v>
      </c>
      <c r="M352" s="157" t="n">
        <v>45971</v>
      </c>
      <c r="N352" s="289" t="n"/>
      <c r="O352" s="290">
        <f>IF(COUNT(商品マスタ[[#This Row],[参考上代
（税込)]]) &gt; 0, (商品マスタ[[#This Row],[参考上代
（税込)]]-商品マスタ[[#This Row],[国内定価
（15％）]])/(商品マスタ[[#This Row],[参考上代
（税込)]]/1.08), "")</f>
        <v/>
      </c>
      <c r="P352" s="136" t="n">
        <v>0.1</v>
      </c>
      <c r="Q352" s="289">
        <f>商品マスタ[[#This Row],[仕入
単価]]*商品マスタ[[#This Row],[標準国内送料率]]</f>
        <v/>
      </c>
      <c r="R352" s="289" t="n">
        <v>0</v>
      </c>
      <c r="S352" s="289">
        <f>IF(ISBLANK(商品マスタ[[#This Row],[実績
国内送料]]),商品マスタ[[#This Row],[標準国内送料]],)</f>
        <v/>
      </c>
      <c r="T352" s="289">
        <f>商品マスタ[[#This Row],[仕入
単価]]+商品マスタ[[#This Row],[国内送料]]</f>
        <v/>
      </c>
      <c r="U352" s="289">
        <f>ROUNDUP(商品マスタ[[#This Row],[仕入単価+国内送料]]/0.8,-1)</f>
        <v/>
      </c>
      <c r="V352" s="289">
        <f>商品マスタ[[#This Row],[海外定価
（20％）]]-商品マスタ[[#This Row],[仕入単価+国内送料]]</f>
        <v/>
      </c>
      <c r="W352" s="167">
        <f>ROUNDUP(商品マスタ[[#This Row],[仕入単価+国内送料]]/0.85,-1)</f>
        <v/>
      </c>
      <c r="X352" s="289">
        <f>商品マスタ[[#This Row],[国内定価
（15％）]]-商品マスタ[[#This Row],[仕入単価+国内送料]]</f>
        <v/>
      </c>
      <c r="Y352" s="139" t="n">
        <v>0.08</v>
      </c>
      <c r="Z352" s="167" t="n"/>
      <c r="AA352" s="167" t="n"/>
      <c r="AB352" s="167" t="n"/>
      <c r="AC352" s="293" t="n"/>
      <c r="AD352" s="167" t="n"/>
      <c r="AE352" s="167" t="n"/>
      <c r="AF352" s="167" t="n"/>
      <c r="AG352" s="144" t="n"/>
    </row>
    <row r="353" ht="18" customHeight="1" s="207">
      <c r="A353" s="166" t="inlineStr">
        <is>
          <t>精肉</t>
        </is>
      </c>
      <c r="B353" s="176" t="inlineStr">
        <is>
          <t>エゾシカ</t>
        </is>
      </c>
      <c r="C353" s="167" t="inlineStr">
        <is>
          <t>あぷかの森</t>
        </is>
      </c>
      <c r="D353" s="143">
        <f>"PRD_SNJ_"&amp;
_xlfn.XLOOKUP(商品マスタ[[#This Row],[仕入先]],テーブル1[仕入先名],テーブル1[仕入先コード],"XXX",0,1)&amp;
"_"&amp;
商品マスタ[[#This Row],[シリアル]]&amp;
"_"&amp;
TEXT(COUNTIFS(商品マスタ!$C$3:C353,商品マスタ[[#This Row],[仕入先]],商品マスタ!$E$3:E353,商品マスタ[[#This Row],[商品名]]), "00")</f>
        <v/>
      </c>
      <c r="E353" s="167" t="inlineStr">
        <is>
          <t>エゾシカ　内もも</t>
        </is>
      </c>
      <c r="F353" s="167">
        <f>IF(COUNTIFS($C$3:C353,商品マスタ[[#This Row],[仕入先]],$E$3:E353,商品マスタ[[#This Row],[商品名]]) = 1, 1,0)</f>
        <v/>
      </c>
      <c r="G353" s="133">
        <f>TEXT(SUMIF($C$3:C353,商品マスタ[[#This Row],[仕入先]],$F$3:F353), "0000")</f>
        <v/>
      </c>
      <c r="H353" s="167" t="inlineStr">
        <is>
          <t>kg</t>
        </is>
      </c>
      <c r="I353" s="167" t="n"/>
      <c r="J353" s="167" t="n">
        <v>1</v>
      </c>
      <c r="K353" s="167" t="n"/>
      <c r="L353" s="289" t="n">
        <v>2800</v>
      </c>
      <c r="M353" s="157" t="n">
        <v>45971</v>
      </c>
      <c r="N353" s="289" t="n"/>
      <c r="O353" s="290">
        <f>IF(COUNT(商品マスタ[[#This Row],[参考上代
（税込)]]) &gt; 0, (商品マスタ[[#This Row],[参考上代
（税込)]]-商品マスタ[[#This Row],[国内定価
（15％）]])/(商品マスタ[[#This Row],[参考上代
（税込)]]/1.08), "")</f>
        <v/>
      </c>
      <c r="P353" s="136" t="n">
        <v>0.1</v>
      </c>
      <c r="Q353" s="289">
        <f>商品マスタ[[#This Row],[仕入
単価]]*商品マスタ[[#This Row],[標準国内送料率]]</f>
        <v/>
      </c>
      <c r="R353" s="289" t="n"/>
      <c r="S353" s="289">
        <f>IF(ISBLANK(商品マスタ[[#This Row],[実績
国内送料]]),商品マスタ[[#This Row],[標準国内送料]],)</f>
        <v/>
      </c>
      <c r="T353" s="289">
        <f>商品マスタ[[#This Row],[仕入
単価]]+商品マスタ[[#This Row],[国内送料]]</f>
        <v/>
      </c>
      <c r="U353" s="289">
        <f>ROUNDUP(商品マスタ[[#This Row],[仕入単価+国内送料]]/0.8,-1)</f>
        <v/>
      </c>
      <c r="V353" s="289">
        <f>商品マスタ[[#This Row],[海外定価
（20％）]]-商品マスタ[[#This Row],[仕入単価+国内送料]]</f>
        <v/>
      </c>
      <c r="W353" s="167">
        <f>ROUNDUP(商品マスタ[[#This Row],[仕入単価+国内送料]]/0.85,-1)</f>
        <v/>
      </c>
      <c r="X353" s="289">
        <f>商品マスタ[[#This Row],[国内定価
（15％）]]-商品マスタ[[#This Row],[仕入単価+国内送料]]</f>
        <v/>
      </c>
      <c r="Y353" s="139" t="n">
        <v>0.08</v>
      </c>
      <c r="Z353" s="167" t="n"/>
      <c r="AA353" s="167" t="n"/>
      <c r="AB353" s="167" t="n"/>
      <c r="AC353" s="293" t="n"/>
      <c r="AD353" s="167" t="n"/>
      <c r="AE353" s="167" t="n"/>
      <c r="AF353" s="167" t="n"/>
      <c r="AG353" s="144" t="n"/>
    </row>
    <row r="354" ht="18" customHeight="1" s="207">
      <c r="A354" s="166" t="inlineStr">
        <is>
          <t>精肉</t>
        </is>
      </c>
      <c r="B354" s="176" t="inlineStr">
        <is>
          <t>エゾシカ</t>
        </is>
      </c>
      <c r="C354" s="167" t="inlineStr">
        <is>
          <t>あぷかの森</t>
        </is>
      </c>
      <c r="D354" s="143">
        <f>"PRD_SNJ_"&amp;
_xlfn.XLOOKUP(商品マスタ[[#This Row],[仕入先]],テーブル1[仕入先名],テーブル1[仕入先コード],"XXX",0,1)&amp;
"_"&amp;
商品マスタ[[#This Row],[シリアル]]&amp;
"_"&amp;
TEXT(COUNTIFS(商品マスタ!$C$3:C354,商品マスタ[[#This Row],[仕入先]],商品マスタ!$E$3:E354,商品マスタ[[#This Row],[商品名]]), "00")</f>
        <v/>
      </c>
      <c r="E354" s="167" t="inlineStr">
        <is>
          <t>エゾシカ　外もも</t>
        </is>
      </c>
      <c r="F354" s="167">
        <f>IF(COUNTIFS($C$3:C354,商品マスタ[[#This Row],[仕入先]],$E$3:E354,商品マスタ[[#This Row],[商品名]]) = 1, 1,0)</f>
        <v/>
      </c>
      <c r="G354" s="133">
        <f>TEXT(SUMIF($C$3:C354,商品マスタ[[#This Row],[仕入先]],$F$3:F354), "0000")</f>
        <v/>
      </c>
      <c r="H354" s="167" t="inlineStr">
        <is>
          <t>kg</t>
        </is>
      </c>
      <c r="I354" s="167" t="n"/>
      <c r="J354" s="167" t="n">
        <v>1</v>
      </c>
      <c r="K354" s="167" t="n"/>
      <c r="L354" s="289" t="n">
        <v>2350</v>
      </c>
      <c r="M354" s="157" t="n">
        <v>45971</v>
      </c>
      <c r="N354" s="289" t="n"/>
      <c r="O354" s="290">
        <f>IF(COUNT(商品マスタ[[#This Row],[参考上代
（税込)]]) &gt; 0, (商品マスタ[[#This Row],[参考上代
（税込)]]-商品マスタ[[#This Row],[国内定価
（15％）]])/(商品マスタ[[#This Row],[参考上代
（税込)]]/1.08), "")</f>
        <v/>
      </c>
      <c r="P354" s="136" t="n">
        <v>0.1</v>
      </c>
      <c r="Q354" s="289">
        <f>商品マスタ[[#This Row],[仕入
単価]]*商品マスタ[[#This Row],[標準国内送料率]]</f>
        <v/>
      </c>
      <c r="R354" s="289" t="n"/>
      <c r="S354" s="289">
        <f>IF(ISBLANK(商品マスタ[[#This Row],[実績
国内送料]]),商品マスタ[[#This Row],[標準国内送料]],)</f>
        <v/>
      </c>
      <c r="T354" s="289">
        <f>商品マスタ[[#This Row],[仕入
単価]]+商品マスタ[[#This Row],[国内送料]]</f>
        <v/>
      </c>
      <c r="U354" s="289">
        <f>ROUNDUP(商品マスタ[[#This Row],[仕入単価+国内送料]]/0.8,-1)</f>
        <v/>
      </c>
      <c r="V354" s="289">
        <f>商品マスタ[[#This Row],[海外定価
（20％）]]-商品マスタ[[#This Row],[仕入単価+国内送料]]</f>
        <v/>
      </c>
      <c r="W354" s="167">
        <f>ROUNDUP(商品マスタ[[#This Row],[仕入単価+国内送料]]/0.85,-1)</f>
        <v/>
      </c>
      <c r="X354" s="289">
        <f>商品マスタ[[#This Row],[国内定価
（15％）]]-商品マスタ[[#This Row],[仕入単価+国内送料]]</f>
        <v/>
      </c>
      <c r="Y354" s="139" t="n">
        <v>0.08</v>
      </c>
      <c r="Z354" s="167" t="n"/>
      <c r="AA354" s="167" t="n"/>
      <c r="AB354" s="167" t="n"/>
      <c r="AC354" s="293" t="n"/>
      <c r="AD354" s="167" t="n"/>
      <c r="AE354" s="167" t="n"/>
      <c r="AF354" s="167" t="n"/>
      <c r="AG354" s="144" t="n"/>
    </row>
    <row r="355" ht="18" customHeight="1" s="207">
      <c r="A355" s="166" t="inlineStr">
        <is>
          <t>精肉</t>
        </is>
      </c>
      <c r="B355" s="176" t="inlineStr">
        <is>
          <t>エゾシカ</t>
        </is>
      </c>
      <c r="C355" s="167" t="inlineStr">
        <is>
          <t>あぷかの森</t>
        </is>
      </c>
      <c r="D355" s="143">
        <f>"PRD_SNJ_"&amp;
_xlfn.XLOOKUP(商品マスタ[[#This Row],[仕入先]],テーブル1[仕入先名],テーブル1[仕入先コード],"XXX",0,1)&amp;
"_"&amp;
商品マスタ[[#This Row],[シリアル]]&amp;
"_"&amp;
TEXT(COUNTIFS(商品マスタ!$C$3:C355,商品マスタ[[#This Row],[仕入先]],商品マスタ!$E$3:E355,商品マスタ[[#This Row],[商品名]]), "00")</f>
        <v/>
      </c>
      <c r="E355" s="167" t="inlineStr">
        <is>
          <t>エゾシカ　シンタマ</t>
        </is>
      </c>
      <c r="F355" s="167">
        <f>IF(COUNTIFS($C$3:C355,商品マスタ[[#This Row],[仕入先]],$E$3:E355,商品マスタ[[#This Row],[商品名]]) = 1, 1,0)</f>
        <v/>
      </c>
      <c r="G355" s="133">
        <f>TEXT(SUMIF($C$3:C355,商品マスタ[[#This Row],[仕入先]],$F$3:F355), "0000")</f>
        <v/>
      </c>
      <c r="H355" s="167" t="inlineStr">
        <is>
          <t>kg</t>
        </is>
      </c>
      <c r="I355" s="167" t="n"/>
      <c r="J355" s="167" t="n">
        <v>1</v>
      </c>
      <c r="K355" s="167" t="n"/>
      <c r="L355" s="289" t="n">
        <v>2573</v>
      </c>
      <c r="M355" s="157" t="n">
        <v>45971</v>
      </c>
      <c r="N355" s="289" t="n"/>
      <c r="O355" s="290">
        <f>IF(COUNT(商品マスタ[[#This Row],[参考上代
（税込)]]) &gt; 0, (商品マスタ[[#This Row],[参考上代
（税込)]]-商品マスタ[[#This Row],[国内定価
（15％）]])/(商品マスタ[[#This Row],[参考上代
（税込)]]/1.08), "")</f>
        <v/>
      </c>
      <c r="P355" s="136" t="n">
        <v>0.1</v>
      </c>
      <c r="Q355" s="289">
        <f>商品マスタ[[#This Row],[仕入
単価]]*商品マスタ[[#This Row],[標準国内送料率]]</f>
        <v/>
      </c>
      <c r="R355" s="289" t="n"/>
      <c r="S355" s="289">
        <f>IF(ISBLANK(商品マスタ[[#This Row],[実績
国内送料]]),商品マスタ[[#This Row],[標準国内送料]],)</f>
        <v/>
      </c>
      <c r="T355" s="289">
        <f>商品マスタ[[#This Row],[仕入
単価]]+商品マスタ[[#This Row],[国内送料]]</f>
        <v/>
      </c>
      <c r="U355" s="289">
        <f>ROUNDUP(商品マスタ[[#This Row],[仕入単価+国内送料]]/0.8,-1)</f>
        <v/>
      </c>
      <c r="V355" s="289">
        <f>商品マスタ[[#This Row],[海外定価
（20％）]]-商品マスタ[[#This Row],[仕入単価+国内送料]]</f>
        <v/>
      </c>
      <c r="W355" s="167">
        <f>ROUNDUP(商品マスタ[[#This Row],[仕入単価+国内送料]]/0.85,-1)</f>
        <v/>
      </c>
      <c r="X355" s="289">
        <f>商品マスタ[[#This Row],[国内定価
（15％）]]-商品マスタ[[#This Row],[仕入単価+国内送料]]</f>
        <v/>
      </c>
      <c r="Y355" s="139" t="n">
        <v>0.08</v>
      </c>
      <c r="Z355" s="167" t="n"/>
      <c r="AA355" s="167" t="n"/>
      <c r="AB355" s="167" t="n"/>
      <c r="AC355" s="293" t="n"/>
      <c r="AD355" s="167" t="n"/>
      <c r="AE355" s="167" t="n"/>
      <c r="AF355" s="167" t="n"/>
      <c r="AG355" s="144" t="n"/>
    </row>
    <row r="356" ht="18" customHeight="1" s="207">
      <c r="A356" s="166" t="inlineStr">
        <is>
          <t>精肉</t>
        </is>
      </c>
      <c r="B356" s="176" t="inlineStr">
        <is>
          <t>エゾシカ</t>
        </is>
      </c>
      <c r="C356" s="167" t="inlineStr">
        <is>
          <t>あぷかの森</t>
        </is>
      </c>
      <c r="D356" s="143">
        <f>"PRD_SNJ_"&amp;
_xlfn.XLOOKUP(商品マスタ[[#This Row],[仕入先]],テーブル1[仕入先名],テーブル1[仕入先コード],"XXX",0,1)&amp;
"_"&amp;
商品マスタ[[#This Row],[シリアル]]&amp;
"_"&amp;
TEXT(COUNTIFS(商品マスタ!$C$3:C356,商品マスタ[[#This Row],[仕入先]],商品マスタ!$E$3:E356,商品マスタ[[#This Row],[商品名]]), "00")</f>
        <v/>
      </c>
      <c r="E356" s="167" t="inlineStr">
        <is>
          <t>エゾシカ　カタ</t>
        </is>
      </c>
      <c r="F356" s="167">
        <f>IF(COUNTIFS($C$3:C356,商品マスタ[[#This Row],[仕入先]],$E$3:E356,商品マスタ[[#This Row],[商品名]]) = 1, 1,0)</f>
        <v/>
      </c>
      <c r="G356" s="133">
        <f>TEXT(SUMIF($C$3:C356,商品マスタ[[#This Row],[仕入先]],$F$3:F356), "0000")</f>
        <v/>
      </c>
      <c r="H356" s="167" t="inlineStr">
        <is>
          <t>kg</t>
        </is>
      </c>
      <c r="I356" s="167" t="n"/>
      <c r="J356" s="167" t="n">
        <v>1</v>
      </c>
      <c r="K356" s="167" t="n"/>
      <c r="L356" s="289" t="n">
        <v>2350</v>
      </c>
      <c r="M356" s="157" t="n">
        <v>45971</v>
      </c>
      <c r="N356" s="289" t="n"/>
      <c r="O356" s="290">
        <f>IF(COUNT(商品マスタ[[#This Row],[参考上代
（税込)]]) &gt; 0, (商品マスタ[[#This Row],[参考上代
（税込)]]-商品マスタ[[#This Row],[国内定価
（15％）]])/(商品マスタ[[#This Row],[参考上代
（税込)]]/1.08), "")</f>
        <v/>
      </c>
      <c r="P356" s="136" t="n">
        <v>0.1</v>
      </c>
      <c r="Q356" s="289">
        <f>商品マスタ[[#This Row],[仕入
単価]]*商品マスタ[[#This Row],[標準国内送料率]]</f>
        <v/>
      </c>
      <c r="R356" s="289" t="n"/>
      <c r="S356" s="289">
        <f>IF(ISBLANK(商品マスタ[[#This Row],[実績
国内送料]]),商品マスタ[[#This Row],[標準国内送料]],)</f>
        <v/>
      </c>
      <c r="T356" s="289">
        <f>商品マスタ[[#This Row],[仕入
単価]]+商品マスタ[[#This Row],[国内送料]]</f>
        <v/>
      </c>
      <c r="U356" s="289">
        <f>ROUNDUP(商品マスタ[[#This Row],[仕入単価+国内送料]]/0.8,-1)</f>
        <v/>
      </c>
      <c r="V356" s="289">
        <f>商品マスタ[[#This Row],[海外定価
（20％）]]-商品マスタ[[#This Row],[仕入単価+国内送料]]</f>
        <v/>
      </c>
      <c r="W356" s="167">
        <f>ROUNDUP(商品マスタ[[#This Row],[仕入単価+国内送料]]/0.85,-1)</f>
        <v/>
      </c>
      <c r="X356" s="289">
        <f>商品マスタ[[#This Row],[国内定価
（15％）]]-商品マスタ[[#This Row],[仕入単価+国内送料]]</f>
        <v/>
      </c>
      <c r="Y356" s="139" t="n">
        <v>0.08</v>
      </c>
      <c r="Z356" s="167" t="n"/>
      <c r="AA356" s="167" t="n"/>
      <c r="AB356" s="167" t="n"/>
      <c r="AC356" s="293" t="n"/>
      <c r="AD356" s="167" t="n"/>
      <c r="AE356" s="167" t="n"/>
      <c r="AF356" s="167" t="n"/>
      <c r="AG356" s="144" t="n"/>
    </row>
    <row r="357" ht="18" customHeight="1" s="207">
      <c r="A357" s="166" t="inlineStr">
        <is>
          <t>精肉</t>
        </is>
      </c>
      <c r="B357" s="176" t="inlineStr">
        <is>
          <t>エゾシカ</t>
        </is>
      </c>
      <c r="C357" s="167" t="inlineStr">
        <is>
          <t>あぷかの森</t>
        </is>
      </c>
      <c r="D357" s="143">
        <f>"PRD_SNJ_"&amp;
_xlfn.XLOOKUP(商品マスタ[[#This Row],[仕入先]],テーブル1[仕入先名],テーブル1[仕入先コード],"XXX",0,1)&amp;
"_"&amp;
商品マスタ[[#This Row],[シリアル]]&amp;
"_"&amp;
TEXT(COUNTIFS(商品マスタ!$C$3:C357,商品マスタ[[#This Row],[仕入先]],商品マスタ!$E$3:E357,商品マスタ[[#This Row],[商品名]]), "00")</f>
        <v/>
      </c>
      <c r="E357" s="167" t="inlineStr">
        <is>
          <t>エゾシカ　バラ</t>
        </is>
      </c>
      <c r="F357" s="167">
        <f>IF(COUNTIFS($C$3:C357,商品マスタ[[#This Row],[仕入先]],$E$3:E357,商品マスタ[[#This Row],[商品名]]) = 1, 1,0)</f>
        <v/>
      </c>
      <c r="G357" s="133">
        <f>TEXT(SUMIF($C$3:C357,商品マスタ[[#This Row],[仕入先]],$F$3:F357), "0000")</f>
        <v/>
      </c>
      <c r="H357" s="167" t="inlineStr">
        <is>
          <t>kg</t>
        </is>
      </c>
      <c r="I357" s="167" t="n"/>
      <c r="J357" s="167" t="n">
        <v>1</v>
      </c>
      <c r="K357" s="167" t="n"/>
      <c r="L357" s="289" t="n">
        <v>1705</v>
      </c>
      <c r="M357" s="157" t="n">
        <v>45971</v>
      </c>
      <c r="N357" s="289" t="n"/>
      <c r="O357" s="290">
        <f>IF(COUNT(商品マスタ[[#This Row],[参考上代
（税込)]]) &gt; 0, (商品マスタ[[#This Row],[参考上代
（税込)]]-商品マスタ[[#This Row],[国内定価
（15％）]])/(商品マスタ[[#This Row],[参考上代
（税込)]]/1.08), "")</f>
        <v/>
      </c>
      <c r="P357" s="136" t="n">
        <v>0.1</v>
      </c>
      <c r="Q357" s="289">
        <f>商品マスタ[[#This Row],[仕入
単価]]*商品マスタ[[#This Row],[標準国内送料率]]</f>
        <v/>
      </c>
      <c r="R357" s="289" t="n"/>
      <c r="S357" s="289">
        <f>IF(ISBLANK(商品マスタ[[#This Row],[実績
国内送料]]),商品マスタ[[#This Row],[標準国内送料]],)</f>
        <v/>
      </c>
      <c r="T357" s="289">
        <f>商品マスタ[[#This Row],[仕入
単価]]+商品マスタ[[#This Row],[国内送料]]</f>
        <v/>
      </c>
      <c r="U357" s="289">
        <f>ROUNDUP(商品マスタ[[#This Row],[仕入単価+国内送料]]/0.8,-1)</f>
        <v/>
      </c>
      <c r="V357" s="289">
        <f>商品マスタ[[#This Row],[海外定価
（20％）]]-商品マスタ[[#This Row],[仕入単価+国内送料]]</f>
        <v/>
      </c>
      <c r="W357" s="167">
        <f>ROUNDUP(商品マスタ[[#This Row],[仕入単価+国内送料]]/0.85,-1)</f>
        <v/>
      </c>
      <c r="X357" s="289">
        <f>商品マスタ[[#This Row],[国内定価
（15％）]]-商品マスタ[[#This Row],[仕入単価+国内送料]]</f>
        <v/>
      </c>
      <c r="Y357" s="139" t="n">
        <v>0.08</v>
      </c>
      <c r="Z357" s="167" t="n"/>
      <c r="AA357" s="167" t="n"/>
      <c r="AB357" s="167" t="n"/>
      <c r="AC357" s="293" t="n"/>
      <c r="AD357" s="167" t="n"/>
      <c r="AE357" s="167" t="n"/>
      <c r="AF357" s="167" t="n"/>
      <c r="AG357" s="144" t="n"/>
    </row>
    <row r="358" ht="18" customHeight="1" s="207">
      <c r="A358" s="166" t="inlineStr">
        <is>
          <t>精肉</t>
        </is>
      </c>
      <c r="B358" s="176" t="inlineStr">
        <is>
          <t>エゾシカ</t>
        </is>
      </c>
      <c r="C358" s="167" t="inlineStr">
        <is>
          <t>あぷかの森</t>
        </is>
      </c>
      <c r="D358" s="143">
        <f>"PRD_SNJ_"&amp;
_xlfn.XLOOKUP(商品マスタ[[#This Row],[仕入先]],テーブル1[仕入先名],テーブル1[仕入先コード],"XXX",0,1)&amp;
"_"&amp;
商品マスタ[[#This Row],[シリアル]]&amp;
"_"&amp;
TEXT(COUNTIFS(商品マスタ!$C$3:C358,商品マスタ[[#This Row],[仕入先]],商品マスタ!$E$3:E358,商品マスタ[[#This Row],[商品名]]), "00")</f>
        <v/>
      </c>
      <c r="E358" s="167" t="inlineStr">
        <is>
          <t>エゾシカ　スネ</t>
        </is>
      </c>
      <c r="F358" s="167">
        <f>IF(COUNTIFS($C$3:C358,商品マスタ[[#This Row],[仕入先]],$E$3:E358,商品マスタ[[#This Row],[商品名]]) = 1, 1,0)</f>
        <v/>
      </c>
      <c r="G358" s="133">
        <f>TEXT(SUMIF($C$3:C358,商品マスタ[[#This Row],[仕入先]],$F$3:F358), "0000")</f>
        <v/>
      </c>
      <c r="H358" s="167" t="inlineStr">
        <is>
          <t>kg</t>
        </is>
      </c>
      <c r="I358" s="167" t="n"/>
      <c r="J358" s="167" t="n">
        <v>1</v>
      </c>
      <c r="K358" s="167" t="n"/>
      <c r="L358" s="289" t="n">
        <v>1705</v>
      </c>
      <c r="M358" s="157" t="n">
        <v>45971</v>
      </c>
      <c r="N358" s="289" t="n"/>
      <c r="O358" s="290">
        <f>IF(COUNT(商品マスタ[[#This Row],[参考上代
（税込)]]) &gt; 0, (商品マスタ[[#This Row],[参考上代
（税込)]]-商品マスタ[[#This Row],[国内定価
（15％）]])/(商品マスタ[[#This Row],[参考上代
（税込)]]/1.08), "")</f>
        <v/>
      </c>
      <c r="P358" s="136" t="n">
        <v>0.1</v>
      </c>
      <c r="Q358" s="289">
        <f>商品マスタ[[#This Row],[仕入
単価]]*商品マスタ[[#This Row],[標準国内送料率]]</f>
        <v/>
      </c>
      <c r="R358" s="289" t="n"/>
      <c r="S358" s="289">
        <f>IF(ISBLANK(商品マスタ[[#This Row],[実績
国内送料]]),商品マスタ[[#This Row],[標準国内送料]],)</f>
        <v/>
      </c>
      <c r="T358" s="289">
        <f>商品マスタ[[#This Row],[仕入
単価]]+商品マスタ[[#This Row],[国内送料]]</f>
        <v/>
      </c>
      <c r="U358" s="289">
        <f>ROUNDUP(商品マスタ[[#This Row],[仕入単価+国内送料]]/0.8,-1)</f>
        <v/>
      </c>
      <c r="V358" s="289">
        <f>商品マスタ[[#This Row],[海外定価
（20％）]]-商品マスタ[[#This Row],[仕入単価+国内送料]]</f>
        <v/>
      </c>
      <c r="W358" s="167">
        <f>ROUNDUP(商品マスタ[[#This Row],[仕入単価+国内送料]]/0.85,-1)</f>
        <v/>
      </c>
      <c r="X358" s="289">
        <f>商品マスタ[[#This Row],[国内定価
（15％）]]-商品マスタ[[#This Row],[仕入単価+国内送料]]</f>
        <v/>
      </c>
      <c r="Y358" s="139" t="n">
        <v>0.08</v>
      </c>
      <c r="Z358" s="167" t="n"/>
      <c r="AA358" s="167" t="n"/>
      <c r="AB358" s="167" t="n"/>
      <c r="AC358" s="293" t="n"/>
      <c r="AD358" s="167" t="n"/>
      <c r="AE358" s="167" t="n"/>
      <c r="AF358" s="167" t="n"/>
      <c r="AG358" s="144" t="n"/>
    </row>
    <row r="359" ht="18" customHeight="1" s="207">
      <c r="A359" s="166" t="inlineStr">
        <is>
          <t>精肉</t>
        </is>
      </c>
      <c r="B359" s="176" t="inlineStr">
        <is>
          <t>エゾシカ</t>
        </is>
      </c>
      <c r="C359" s="167" t="inlineStr">
        <is>
          <t>あぷかの森</t>
        </is>
      </c>
      <c r="D359" s="143">
        <f>"PRD_SNJ_"&amp;
_xlfn.XLOOKUP(商品マスタ[[#This Row],[仕入先]],テーブル1[仕入先名],テーブル1[仕入先コード],"XXX",0,1)&amp;
"_"&amp;
商品マスタ[[#This Row],[シリアル]]&amp;
"_"&amp;
TEXT(COUNTIFS(商品マスタ!$C$3:C359,商品マスタ[[#This Row],[仕入先]],商品マスタ!$E$3:E359,商品マスタ[[#This Row],[商品名]]), "00")</f>
        <v/>
      </c>
      <c r="E359" s="167" t="inlineStr">
        <is>
          <t>エゾシカ　ミンチ</t>
        </is>
      </c>
      <c r="F359" s="167">
        <f>IF(COUNTIFS($C$3:C359,商品マスタ[[#This Row],[仕入先]],$E$3:E359,商品マスタ[[#This Row],[商品名]]) = 1, 1,0)</f>
        <v/>
      </c>
      <c r="G359" s="133">
        <f>TEXT(SUMIF($C$3:C359,商品マスタ[[#This Row],[仕入先]],$F$3:F359), "0000")</f>
        <v/>
      </c>
      <c r="H359" s="167" t="inlineStr">
        <is>
          <t>kg</t>
        </is>
      </c>
      <c r="I359" s="167" t="n"/>
      <c r="J359" s="167" t="n">
        <v>1</v>
      </c>
      <c r="K359" s="167" t="n"/>
      <c r="L359" s="289" t="n">
        <v>1760</v>
      </c>
      <c r="M359" s="157" t="n">
        <v>45971</v>
      </c>
      <c r="N359" s="289" t="n"/>
      <c r="O359" s="290">
        <f>IF(COUNT(商品マスタ[[#This Row],[参考上代
（税込)]]) &gt; 0, (商品マスタ[[#This Row],[参考上代
（税込)]]-商品マスタ[[#This Row],[国内定価
（15％）]])/(商品マスタ[[#This Row],[参考上代
（税込)]]/1.08), "")</f>
        <v/>
      </c>
      <c r="P359" s="136" t="n">
        <v>0.1</v>
      </c>
      <c r="Q359" s="289">
        <f>商品マスタ[[#This Row],[仕入
単価]]*商品マスタ[[#This Row],[標準国内送料率]]</f>
        <v/>
      </c>
      <c r="R359" s="289" t="n"/>
      <c r="S359" s="289">
        <f>IF(ISBLANK(商品マスタ[[#This Row],[実績
国内送料]]),商品マスタ[[#This Row],[標準国内送料]],)</f>
        <v/>
      </c>
      <c r="T359" s="289">
        <f>商品マスタ[[#This Row],[仕入
単価]]+商品マスタ[[#This Row],[国内送料]]</f>
        <v/>
      </c>
      <c r="U359" s="289">
        <f>ROUNDUP(商品マスタ[[#This Row],[仕入単価+国内送料]]/0.8,-1)</f>
        <v/>
      </c>
      <c r="V359" s="289">
        <f>商品マスタ[[#This Row],[海外定価
（20％）]]-商品マスタ[[#This Row],[仕入単価+国内送料]]</f>
        <v/>
      </c>
      <c r="W359" s="167">
        <f>ROUNDUP(商品マスタ[[#This Row],[仕入単価+国内送料]]/0.85,-1)</f>
        <v/>
      </c>
      <c r="X359" s="289">
        <f>商品マスタ[[#This Row],[国内定価
（15％）]]-商品マスタ[[#This Row],[仕入単価+国内送料]]</f>
        <v/>
      </c>
      <c r="Y359" s="139" t="n">
        <v>0.08</v>
      </c>
      <c r="Z359" s="167" t="n"/>
      <c r="AA359" s="167" t="n"/>
      <c r="AB359" s="167" t="n"/>
      <c r="AC359" s="293" t="n"/>
      <c r="AD359" s="167" t="n"/>
      <c r="AE359" s="167" t="n"/>
      <c r="AF359" s="167" t="n"/>
      <c r="AG359" s="144" t="n"/>
    </row>
    <row r="360" ht="18" customHeight="1" s="207">
      <c r="A360" s="166" t="inlineStr">
        <is>
          <t>精肉</t>
        </is>
      </c>
      <c r="B360" s="176" t="inlineStr">
        <is>
          <t>エゾシカ</t>
        </is>
      </c>
      <c r="C360" s="171" t="inlineStr">
        <is>
          <t>ソバージュド函館</t>
        </is>
      </c>
      <c r="D360" s="143">
        <f>"PRD_SNJ_"&amp;
_xlfn.XLOOKUP(商品マスタ[[#This Row],[仕入先]],テーブル1[仕入先名],テーブル1[仕入先コード],"XXX",0,1)&amp;
"_"&amp;
商品マスタ[[#This Row],[シリアル]]&amp;
"_"&amp;
TEXT(COUNTIFS(商品マスタ!$C$3:C360,商品マスタ[[#This Row],[仕入先]],商品マスタ!$E$3:E360,商品マスタ[[#This Row],[商品名]]), "00")</f>
        <v/>
      </c>
      <c r="E360" s="171" t="inlineStr">
        <is>
          <t>エゾシカ　ヒレ</t>
        </is>
      </c>
      <c r="F360" s="167">
        <f>IF(COUNTIFS($C$3:C360,商品マスタ[[#This Row],[仕入先]],$E$3:E360,商品マスタ[[#This Row],[商品名]]) = 1, 1,0)</f>
        <v/>
      </c>
      <c r="G360" s="133">
        <f>TEXT(SUMIF($C$3:C360,商品マスタ[[#This Row],[仕入先]],$F$3:F360), "0000")</f>
        <v/>
      </c>
      <c r="H360" s="167" t="inlineStr">
        <is>
          <t>kg</t>
        </is>
      </c>
      <c r="I360" s="167" t="n"/>
      <c r="J360" s="167" t="n">
        <v>1</v>
      </c>
      <c r="K360" s="167" t="n"/>
      <c r="L360" s="289" t="n">
        <v>3800</v>
      </c>
      <c r="M360" s="157" t="n"/>
      <c r="N360" s="289" t="n"/>
      <c r="O360" s="290">
        <f>IF(COUNT(商品マスタ[[#This Row],[参考上代
（税込)]]) &gt; 0, (商品マスタ[[#This Row],[参考上代
（税込)]]-商品マスタ[[#This Row],[国内定価
（15％）]])/(商品マスタ[[#This Row],[参考上代
（税込)]]/1.08), "")</f>
        <v/>
      </c>
      <c r="P360" s="136" t="n">
        <v>0.1</v>
      </c>
      <c r="Q360" s="289">
        <f>商品マスタ[[#This Row],[仕入
単価]]*商品マスタ[[#This Row],[標準国内送料率]]</f>
        <v/>
      </c>
      <c r="R360" s="289" t="n"/>
      <c r="S360" s="289">
        <f>IF(ISBLANK(商品マスタ[[#This Row],[実績
国内送料]]),商品マスタ[[#This Row],[標準国内送料]],)</f>
        <v/>
      </c>
      <c r="T360" s="289">
        <f>商品マスタ[[#This Row],[仕入
単価]]+商品マスタ[[#This Row],[国内送料]]</f>
        <v/>
      </c>
      <c r="U360" s="289">
        <f>ROUNDUP(商品マスタ[[#This Row],[仕入単価+国内送料]]/0.8,-1)</f>
        <v/>
      </c>
      <c r="V360" s="289">
        <f>商品マスタ[[#This Row],[海外定価
（20％）]]-商品マスタ[[#This Row],[仕入単価+国内送料]]</f>
        <v/>
      </c>
      <c r="W360" s="167">
        <f>ROUNDUP(商品マスタ[[#This Row],[仕入単価+国内送料]]/0.85,-1)</f>
        <v/>
      </c>
      <c r="X360" s="289">
        <f>商品マスタ[[#This Row],[国内定価
（15％）]]-商品マスタ[[#This Row],[仕入単価+国内送料]]</f>
        <v/>
      </c>
      <c r="Y360" s="139" t="n"/>
      <c r="Z360" s="167" t="n"/>
      <c r="AA360" s="167" t="n"/>
      <c r="AB360" s="167" t="n"/>
      <c r="AC360" s="293" t="n"/>
      <c r="AD360" s="167" t="n"/>
      <c r="AE360" s="167" t="n"/>
      <c r="AF360" s="167" t="n"/>
      <c r="AG360" s="144" t="n"/>
    </row>
    <row r="361" ht="18" customHeight="1" s="207">
      <c r="A361" s="166" t="inlineStr">
        <is>
          <t>精肉</t>
        </is>
      </c>
      <c r="B361" s="176" t="inlineStr">
        <is>
          <t>エゾシカ</t>
        </is>
      </c>
      <c r="C361" s="171" t="inlineStr">
        <is>
          <t>ソバージュド函館</t>
        </is>
      </c>
      <c r="D361" s="143">
        <f>"PRD_SNJ_"&amp;
_xlfn.XLOOKUP(商品マスタ[[#This Row],[仕入先]],テーブル1[仕入先名],テーブル1[仕入先コード],"XXX",0,1)&amp;
"_"&amp;
商品マスタ[[#This Row],[シリアル]]&amp;
"_"&amp;
TEXT(COUNTIFS(商品マスタ!$C$3:C361,商品マスタ[[#This Row],[仕入先]],商品マスタ!$E$3:E361,商品マスタ[[#This Row],[商品名]]), "00")</f>
        <v/>
      </c>
      <c r="E361" s="171" t="inlineStr">
        <is>
          <t>エゾシカ　脂ロース</t>
        </is>
      </c>
      <c r="F361" s="167">
        <f>IF(COUNTIFS($C$3:C361,商品マスタ[[#This Row],[仕入先]],$E$3:E361,商品マスタ[[#This Row],[商品名]]) = 1, 1,0)</f>
        <v/>
      </c>
      <c r="G361" s="133">
        <f>TEXT(SUMIF($C$3:C361,商品マスタ[[#This Row],[仕入先]],$F$3:F361), "0000")</f>
        <v/>
      </c>
      <c r="H361" s="167" t="inlineStr">
        <is>
          <t>kg</t>
        </is>
      </c>
      <c r="I361" s="167" t="n"/>
      <c r="J361" s="167" t="n">
        <v>1</v>
      </c>
      <c r="K361" s="167" t="n"/>
      <c r="L361" s="289" t="n">
        <v>4250</v>
      </c>
      <c r="M361" s="157" t="n"/>
      <c r="N361" s="289" t="n"/>
      <c r="O361" s="290">
        <f>IF(COUNT(商品マスタ[[#This Row],[参考上代
（税込)]]) &gt; 0, (商品マスタ[[#This Row],[参考上代
（税込)]]-商品マスタ[[#This Row],[国内定価
（15％）]])/(商品マスタ[[#This Row],[参考上代
（税込)]]/1.08), "")</f>
        <v/>
      </c>
      <c r="P361" s="136" t="n">
        <v>0.1</v>
      </c>
      <c r="Q361" s="289">
        <f>商品マスタ[[#This Row],[仕入
単価]]*商品マスタ[[#This Row],[標準国内送料率]]</f>
        <v/>
      </c>
      <c r="R361" s="289" t="n"/>
      <c r="S361" s="289">
        <f>IF(ISBLANK(商品マスタ[[#This Row],[実績
国内送料]]),商品マスタ[[#This Row],[標準国内送料]],)</f>
        <v/>
      </c>
      <c r="T361" s="289">
        <f>商品マスタ[[#This Row],[仕入
単価]]+商品マスタ[[#This Row],[国内送料]]</f>
        <v/>
      </c>
      <c r="U361" s="289">
        <f>ROUNDUP(商品マスタ[[#This Row],[仕入単価+国内送料]]/0.8,-1)</f>
        <v/>
      </c>
      <c r="V361" s="289">
        <f>商品マスタ[[#This Row],[海外定価
（20％）]]-商品マスタ[[#This Row],[仕入単価+国内送料]]</f>
        <v/>
      </c>
      <c r="W361" s="167">
        <f>ROUNDUP(商品マスタ[[#This Row],[仕入単価+国内送料]]/0.85,-1)</f>
        <v/>
      </c>
      <c r="X361" s="289">
        <f>商品マスタ[[#This Row],[国内定価
（15％）]]-商品マスタ[[#This Row],[仕入単価+国内送料]]</f>
        <v/>
      </c>
      <c r="Y361" s="139" t="n"/>
      <c r="Z361" s="167" t="n"/>
      <c r="AA361" s="167" t="n"/>
      <c r="AB361" s="167" t="n"/>
      <c r="AC361" s="293" t="n"/>
      <c r="AD361" s="167" t="n"/>
      <c r="AE361" s="167" t="n"/>
      <c r="AF361" s="167" t="n"/>
      <c r="AG361" s="144" t="n"/>
    </row>
    <row r="362" ht="18" customHeight="1" s="207">
      <c r="A362" s="166" t="inlineStr">
        <is>
          <t>精肉</t>
        </is>
      </c>
      <c r="B362" s="176" t="inlineStr">
        <is>
          <t>エゾシカ</t>
        </is>
      </c>
      <c r="C362" s="171" t="inlineStr">
        <is>
          <t>ソバージュド函館</t>
        </is>
      </c>
      <c r="D362" s="143">
        <f>"PRD_SNJ_"&amp;
_xlfn.XLOOKUP(商品マスタ[[#This Row],[仕入先]],テーブル1[仕入先名],テーブル1[仕入先コード],"XXX",0,1)&amp;
"_"&amp;
商品マスタ[[#This Row],[シリアル]]&amp;
"_"&amp;
TEXT(COUNTIFS(商品マスタ!$C$3:C362,商品マスタ[[#This Row],[仕入先]],商品マスタ!$E$3:E362,商品マスタ[[#This Row],[商品名]]), "00")</f>
        <v/>
      </c>
      <c r="E362" s="171" t="inlineStr">
        <is>
          <t>エゾシカ　ロース（ストリップ）</t>
        </is>
      </c>
      <c r="F362" s="167">
        <f>IF(COUNTIFS($C$3:C362,商品マスタ[[#This Row],[仕入先]],$E$3:E362,商品マスタ[[#This Row],[商品名]]) = 1, 1,0)</f>
        <v/>
      </c>
      <c r="G362" s="133">
        <f>TEXT(SUMIF($C$3:C362,商品マスタ[[#This Row],[仕入先]],$F$3:F362), "0000")</f>
        <v/>
      </c>
      <c r="H362" s="167" t="inlineStr">
        <is>
          <t>kg</t>
        </is>
      </c>
      <c r="I362" s="167" t="n"/>
      <c r="J362" s="167" t="n">
        <v>1</v>
      </c>
      <c r="K362" s="167" t="n"/>
      <c r="L362" s="289" t="n">
        <v>4350</v>
      </c>
      <c r="M362" s="157" t="n"/>
      <c r="N362" s="289" t="n"/>
      <c r="O362" s="290">
        <f>IF(COUNT(商品マスタ[[#This Row],[参考上代
（税込)]]) &gt; 0, (商品マスタ[[#This Row],[参考上代
（税込)]]-商品マスタ[[#This Row],[国内定価
（15％）]])/(商品マスタ[[#This Row],[参考上代
（税込)]]/1.08), "")</f>
        <v/>
      </c>
      <c r="P362" s="136" t="n">
        <v>0.1</v>
      </c>
      <c r="Q362" s="289">
        <f>商品マスタ[[#This Row],[仕入
単価]]*商品マスタ[[#This Row],[標準国内送料率]]</f>
        <v/>
      </c>
      <c r="R362" s="289" t="n"/>
      <c r="S362" s="289">
        <f>IF(ISBLANK(商品マスタ[[#This Row],[実績
国内送料]]),商品マスタ[[#This Row],[標準国内送料]],)</f>
        <v/>
      </c>
      <c r="T362" s="289">
        <f>商品マスタ[[#This Row],[仕入
単価]]+商品マスタ[[#This Row],[国内送料]]</f>
        <v/>
      </c>
      <c r="U362" s="289">
        <f>ROUNDUP(商品マスタ[[#This Row],[仕入単価+国内送料]]/0.8,-1)</f>
        <v/>
      </c>
      <c r="V362" s="289">
        <f>商品マスタ[[#This Row],[海外定価
（20％）]]-商品マスタ[[#This Row],[仕入単価+国内送料]]</f>
        <v/>
      </c>
      <c r="W362" s="167">
        <f>ROUNDUP(商品マスタ[[#This Row],[仕入単価+国内送料]]/0.85,-1)</f>
        <v/>
      </c>
      <c r="X362" s="289">
        <f>商品マスタ[[#This Row],[国内定価
（15％）]]-商品マスタ[[#This Row],[仕入単価+国内送料]]</f>
        <v/>
      </c>
      <c r="Y362" s="139" t="n"/>
      <c r="Z362" s="167" t="n"/>
      <c r="AA362" s="167" t="n"/>
      <c r="AB362" s="167" t="n"/>
      <c r="AC362" s="293" t="n"/>
      <c r="AD362" s="167" t="n"/>
      <c r="AE362" s="167" t="n"/>
      <c r="AF362" s="167" t="n"/>
      <c r="AG362" s="144" t="n"/>
    </row>
    <row r="363" ht="18" customHeight="1" s="207">
      <c r="A363" s="166" t="inlineStr">
        <is>
          <t>精肉</t>
        </is>
      </c>
      <c r="B363" s="176" t="inlineStr">
        <is>
          <t>エゾシカ</t>
        </is>
      </c>
      <c r="C363" s="171" t="inlineStr">
        <is>
          <t>ソバージュド函館</t>
        </is>
      </c>
      <c r="D363" s="143">
        <f>"PRD_SNJ_"&amp;
_xlfn.XLOOKUP(商品マスタ[[#This Row],[仕入先]],テーブル1[仕入先名],テーブル1[仕入先コード],"XXX",0,1)&amp;
"_"&amp;
商品マスタ[[#This Row],[シリアル]]&amp;
"_"&amp;
TEXT(COUNTIFS(商品マスタ!$C$3:C363,商品マスタ[[#This Row],[仕入先]],商品マスタ!$E$3:E363,商品マスタ[[#This Row],[商品名]]), "00")</f>
        <v/>
      </c>
      <c r="E363" s="171" t="inlineStr">
        <is>
          <t>エゾシカ　肩ロース</t>
        </is>
      </c>
      <c r="F363" s="167">
        <f>IF(COUNTIFS($C$3:C363,商品マスタ[[#This Row],[仕入先]],$E$3:E363,商品マスタ[[#This Row],[商品名]]) = 1, 1,0)</f>
        <v/>
      </c>
      <c r="G363" s="133">
        <f>TEXT(SUMIF($C$3:C363,商品マスタ[[#This Row],[仕入先]],$F$3:F363), "0000")</f>
        <v/>
      </c>
      <c r="H363" s="167" t="inlineStr">
        <is>
          <t>kg</t>
        </is>
      </c>
      <c r="I363" s="167" t="n"/>
      <c r="J363" s="167" t="n">
        <v>1</v>
      </c>
      <c r="K363" s="167" t="n"/>
      <c r="L363" s="289" t="n">
        <v>3580</v>
      </c>
      <c r="M363" s="157" t="n"/>
      <c r="N363" s="289" t="n"/>
      <c r="O363" s="290">
        <f>IF(COUNT(商品マスタ[[#This Row],[参考上代
（税込)]]) &gt; 0, (商品マスタ[[#This Row],[参考上代
（税込)]]-商品マスタ[[#This Row],[国内定価
（15％）]])/(商品マスタ[[#This Row],[参考上代
（税込)]]/1.08), "")</f>
        <v/>
      </c>
      <c r="P363" s="136" t="n">
        <v>0.1</v>
      </c>
      <c r="Q363" s="289">
        <f>商品マスタ[[#This Row],[仕入
単価]]*商品マスタ[[#This Row],[標準国内送料率]]</f>
        <v/>
      </c>
      <c r="R363" s="289" t="n"/>
      <c r="S363" s="289">
        <f>IF(ISBLANK(商品マスタ[[#This Row],[実績
国内送料]]),商品マスタ[[#This Row],[標準国内送料]],)</f>
        <v/>
      </c>
      <c r="T363" s="289">
        <f>商品マスタ[[#This Row],[仕入
単価]]+商品マスタ[[#This Row],[国内送料]]</f>
        <v/>
      </c>
      <c r="U363" s="289">
        <f>ROUNDUP(商品マスタ[[#This Row],[仕入単価+国内送料]]/0.8,-1)</f>
        <v/>
      </c>
      <c r="V363" s="289">
        <f>商品マスタ[[#This Row],[海外定価
（20％）]]-商品マスタ[[#This Row],[仕入単価+国内送料]]</f>
        <v/>
      </c>
      <c r="W363" s="167">
        <f>ROUNDUP(商品マスタ[[#This Row],[仕入単価+国内送料]]/0.85,-1)</f>
        <v/>
      </c>
      <c r="X363" s="289">
        <f>商品マスタ[[#This Row],[国内定価
（15％）]]-商品マスタ[[#This Row],[仕入単価+国内送料]]</f>
        <v/>
      </c>
      <c r="Y363" s="139" t="n"/>
      <c r="Z363" s="167" t="n"/>
      <c r="AA363" s="167" t="n"/>
      <c r="AB363" s="167" t="n"/>
      <c r="AC363" s="293" t="n"/>
      <c r="AD363" s="167" t="n"/>
      <c r="AE363" s="167" t="n"/>
      <c r="AF363" s="167" t="n"/>
      <c r="AG363" s="144" t="n"/>
    </row>
    <row r="364" ht="18" customHeight="1" s="207">
      <c r="A364" s="166" t="inlineStr">
        <is>
          <t>精肉</t>
        </is>
      </c>
      <c r="B364" s="176" t="inlineStr">
        <is>
          <t>エゾシカ</t>
        </is>
      </c>
      <c r="C364" s="171" t="inlineStr">
        <is>
          <t>ソバージュド函館</t>
        </is>
      </c>
      <c r="D364" s="143">
        <f>"PRD_SNJ_"&amp;
_xlfn.XLOOKUP(商品マスタ[[#This Row],[仕入先]],テーブル1[仕入先名],テーブル1[仕入先コード],"XXX",0,1)&amp;
"_"&amp;
商品マスタ[[#This Row],[シリアル]]&amp;
"_"&amp;
TEXT(COUNTIFS(商品マスタ!$C$3:C364,商品マスタ[[#This Row],[仕入先]],商品マスタ!$E$3:E364,商品マスタ[[#This Row],[商品名]]), "00")</f>
        <v/>
      </c>
      <c r="E364" s="171" t="inlineStr">
        <is>
          <t>エゾシカ　内モモ</t>
        </is>
      </c>
      <c r="F364" s="167">
        <f>IF(COUNTIFS($C$3:C364,商品マスタ[[#This Row],[仕入先]],$E$3:E364,商品マスタ[[#This Row],[商品名]]) = 1, 1,0)</f>
        <v/>
      </c>
      <c r="G364" s="133">
        <f>TEXT(SUMIF($C$3:C364,商品マスタ[[#This Row],[仕入先]],$F$3:F364), "0000")</f>
        <v/>
      </c>
      <c r="H364" s="167" t="inlineStr">
        <is>
          <t>kg</t>
        </is>
      </c>
      <c r="I364" s="167" t="n"/>
      <c r="J364" s="167" t="n">
        <v>1</v>
      </c>
      <c r="K364" s="167" t="n"/>
      <c r="L364" s="289" t="n">
        <v>3250</v>
      </c>
      <c r="M364" s="157" t="n"/>
      <c r="N364" s="289" t="n"/>
      <c r="O364" s="290">
        <f>IF(COUNT(商品マスタ[[#This Row],[参考上代
（税込)]]) &gt; 0, (商品マスタ[[#This Row],[参考上代
（税込)]]-商品マスタ[[#This Row],[国内定価
（15％）]])/(商品マスタ[[#This Row],[参考上代
（税込)]]/1.08), "")</f>
        <v/>
      </c>
      <c r="P364" s="136" t="n">
        <v>0.1</v>
      </c>
      <c r="Q364" s="289">
        <f>商品マスタ[[#This Row],[仕入
単価]]*商品マスタ[[#This Row],[標準国内送料率]]</f>
        <v/>
      </c>
      <c r="R364" s="289" t="n"/>
      <c r="S364" s="289">
        <f>IF(ISBLANK(商品マスタ[[#This Row],[実績
国内送料]]),商品マスタ[[#This Row],[標準国内送料]],)</f>
        <v/>
      </c>
      <c r="T364" s="289">
        <f>商品マスタ[[#This Row],[仕入
単価]]+商品マスタ[[#This Row],[国内送料]]</f>
        <v/>
      </c>
      <c r="U364" s="289">
        <f>ROUNDUP(商品マスタ[[#This Row],[仕入単価+国内送料]]/0.8,-1)</f>
        <v/>
      </c>
      <c r="V364" s="289">
        <f>商品マスタ[[#This Row],[海外定価
（20％）]]-商品マスタ[[#This Row],[仕入単価+国内送料]]</f>
        <v/>
      </c>
      <c r="W364" s="167">
        <f>ROUNDUP(商品マスタ[[#This Row],[仕入単価+国内送料]]/0.85,-1)</f>
        <v/>
      </c>
      <c r="X364" s="289">
        <f>商品マスタ[[#This Row],[国内定価
（15％）]]-商品マスタ[[#This Row],[仕入単価+国内送料]]</f>
        <v/>
      </c>
      <c r="Y364" s="139" t="n"/>
      <c r="Z364" s="167" t="n"/>
      <c r="AA364" s="167" t="n"/>
      <c r="AB364" s="167" t="n"/>
      <c r="AC364" s="293" t="n"/>
      <c r="AD364" s="167" t="n"/>
      <c r="AE364" s="167" t="n"/>
      <c r="AF364" s="167" t="n"/>
      <c r="AG364" s="144" t="n"/>
    </row>
    <row r="365" ht="18" customHeight="1" s="207">
      <c r="A365" s="166" t="inlineStr">
        <is>
          <t>精肉</t>
        </is>
      </c>
      <c r="B365" s="176" t="inlineStr">
        <is>
          <t>エゾシカ</t>
        </is>
      </c>
      <c r="C365" s="171" t="inlineStr">
        <is>
          <t>ソバージュド函館</t>
        </is>
      </c>
      <c r="D365" s="143">
        <f>"PRD_SNJ_"&amp;
_xlfn.XLOOKUP(商品マスタ[[#This Row],[仕入先]],テーブル1[仕入先名],テーブル1[仕入先コード],"XXX",0,1)&amp;
"_"&amp;
商品マスタ[[#This Row],[シリアル]]&amp;
"_"&amp;
TEXT(COUNTIFS(商品マスタ!$C$3:C365,商品マスタ[[#This Row],[仕入先]],商品マスタ!$E$3:E365,商品マスタ[[#This Row],[商品名]]), "00")</f>
        <v/>
      </c>
      <c r="E365" s="171" t="inlineStr">
        <is>
          <t>エゾシカ　シキンボ</t>
        </is>
      </c>
      <c r="F365" s="167">
        <f>IF(COUNTIFS($C$3:C365,商品マスタ[[#This Row],[仕入先]],$E$3:E365,商品マスタ[[#This Row],[商品名]]) = 1, 1,0)</f>
        <v/>
      </c>
      <c r="G365" s="133">
        <f>TEXT(SUMIF($C$3:C365,商品マスタ[[#This Row],[仕入先]],$F$3:F365), "0000")</f>
        <v/>
      </c>
      <c r="H365" s="167" t="inlineStr">
        <is>
          <t>kg</t>
        </is>
      </c>
      <c r="I365" s="167" t="n"/>
      <c r="J365" s="167" t="n">
        <v>1</v>
      </c>
      <c r="K365" s="167" t="n"/>
      <c r="L365" s="289" t="n">
        <v>3000</v>
      </c>
      <c r="M365" s="157" t="n"/>
      <c r="N365" s="289" t="n"/>
      <c r="O365" s="290">
        <f>IF(COUNT(商品マスタ[[#This Row],[参考上代
（税込)]]) &gt; 0, (商品マスタ[[#This Row],[参考上代
（税込)]]-商品マスタ[[#This Row],[国内定価
（15％）]])/(商品マスタ[[#This Row],[参考上代
（税込)]]/1.08), "")</f>
        <v/>
      </c>
      <c r="P365" s="136" t="n">
        <v>0.1</v>
      </c>
      <c r="Q365" s="289">
        <f>商品マスタ[[#This Row],[仕入
単価]]*商品マスタ[[#This Row],[標準国内送料率]]</f>
        <v/>
      </c>
      <c r="R365" s="289" t="n"/>
      <c r="S365" s="289">
        <f>IF(ISBLANK(商品マスタ[[#This Row],[実績
国内送料]]),商品マスタ[[#This Row],[標準国内送料]],)</f>
        <v/>
      </c>
      <c r="T365" s="289">
        <f>商品マスタ[[#This Row],[仕入
単価]]+商品マスタ[[#This Row],[国内送料]]</f>
        <v/>
      </c>
      <c r="U365" s="289">
        <f>ROUNDUP(商品マスタ[[#This Row],[仕入単価+国内送料]]/0.8,-1)</f>
        <v/>
      </c>
      <c r="V365" s="289">
        <f>商品マスタ[[#This Row],[海外定価
（20％）]]-商品マスタ[[#This Row],[仕入単価+国内送料]]</f>
        <v/>
      </c>
      <c r="W365" s="167">
        <f>ROUNDUP(商品マスタ[[#This Row],[仕入単価+国内送料]]/0.85,-1)</f>
        <v/>
      </c>
      <c r="X365" s="289">
        <f>商品マスタ[[#This Row],[国内定価
（15％）]]-商品マスタ[[#This Row],[仕入単価+国内送料]]</f>
        <v/>
      </c>
      <c r="Y365" s="139" t="n"/>
      <c r="Z365" s="167" t="n"/>
      <c r="AA365" s="167" t="n"/>
      <c r="AB365" s="167" t="n"/>
      <c r="AC365" s="293" t="n"/>
      <c r="AD365" s="167" t="n"/>
      <c r="AE365" s="167" t="n"/>
      <c r="AF365" s="167" t="n"/>
      <c r="AG365" s="144" t="n"/>
    </row>
    <row r="366" ht="18" customHeight="1" s="207">
      <c r="A366" s="166" t="inlineStr">
        <is>
          <t>精肉</t>
        </is>
      </c>
      <c r="B366" s="176" t="inlineStr">
        <is>
          <t>エゾシカ</t>
        </is>
      </c>
      <c r="C366" s="171" t="inlineStr">
        <is>
          <t>ソバージュド函館</t>
        </is>
      </c>
      <c r="D366" s="143">
        <f>"PRD_SNJ_"&amp;
_xlfn.XLOOKUP(商品マスタ[[#This Row],[仕入先]],テーブル1[仕入先名],テーブル1[仕入先コード],"XXX",0,1)&amp;
"_"&amp;
商品マスタ[[#This Row],[シリアル]]&amp;
"_"&amp;
TEXT(COUNTIFS(商品マスタ!$C$3:C366,商品マスタ[[#This Row],[仕入先]],商品マスタ!$E$3:E366,商品マスタ[[#This Row],[商品名]]), "00")</f>
        <v/>
      </c>
      <c r="E366" s="171" t="inlineStr">
        <is>
          <t>エゾシカ　シンタマ</t>
        </is>
      </c>
      <c r="F366" s="167">
        <f>IF(COUNTIFS($C$3:C366,商品マスタ[[#This Row],[仕入先]],$E$3:E366,商品マスタ[[#This Row],[商品名]]) = 1, 1,0)</f>
        <v/>
      </c>
      <c r="G366" s="133">
        <f>TEXT(SUMIF($C$3:C366,商品マスタ[[#This Row],[仕入先]],$F$3:F366), "0000")</f>
        <v/>
      </c>
      <c r="H366" s="167" t="inlineStr">
        <is>
          <t>kg</t>
        </is>
      </c>
      <c r="I366" s="167" t="n"/>
      <c r="J366" s="167" t="n">
        <v>1</v>
      </c>
      <c r="K366" s="167" t="n"/>
      <c r="L366" s="289" t="n">
        <v>3050</v>
      </c>
      <c r="M366" s="157" t="n"/>
      <c r="N366" s="289" t="n"/>
      <c r="O366" s="290">
        <f>IF(COUNT(商品マスタ[[#This Row],[参考上代
（税込)]]) &gt; 0, (商品マスタ[[#This Row],[参考上代
（税込)]]-商品マスタ[[#This Row],[国内定価
（15％）]])/(商品マスタ[[#This Row],[参考上代
（税込)]]/1.08), "")</f>
        <v/>
      </c>
      <c r="P366" s="136" t="n">
        <v>0.1</v>
      </c>
      <c r="Q366" s="289">
        <f>商品マスタ[[#This Row],[仕入
単価]]*商品マスタ[[#This Row],[標準国内送料率]]</f>
        <v/>
      </c>
      <c r="R366" s="289" t="n"/>
      <c r="S366" s="289">
        <f>IF(ISBLANK(商品マスタ[[#This Row],[実績
国内送料]]),商品マスタ[[#This Row],[標準国内送料]],)</f>
        <v/>
      </c>
      <c r="T366" s="289">
        <f>商品マスタ[[#This Row],[仕入
単価]]+商品マスタ[[#This Row],[国内送料]]</f>
        <v/>
      </c>
      <c r="U366" s="289">
        <f>ROUNDUP(商品マスタ[[#This Row],[仕入単価+国内送料]]/0.8,-1)</f>
        <v/>
      </c>
      <c r="V366" s="289">
        <f>商品マスタ[[#This Row],[海外定価
（20％）]]-商品マスタ[[#This Row],[仕入単価+国内送料]]</f>
        <v/>
      </c>
      <c r="W366" s="167">
        <f>ROUNDUP(商品マスタ[[#This Row],[仕入単価+国内送料]]/0.85,-1)</f>
        <v/>
      </c>
      <c r="X366" s="289">
        <f>商品マスタ[[#This Row],[国内定価
（15％）]]-商品マスタ[[#This Row],[仕入単価+国内送料]]</f>
        <v/>
      </c>
      <c r="Y366" s="139" t="n"/>
      <c r="Z366" s="167" t="n"/>
      <c r="AA366" s="167" t="n"/>
      <c r="AB366" s="167" t="n"/>
      <c r="AC366" s="293" t="n"/>
      <c r="AD366" s="167" t="n"/>
      <c r="AE366" s="167" t="n"/>
      <c r="AF366" s="167" t="n"/>
      <c r="AG366" s="144" t="n"/>
    </row>
    <row r="367" ht="18" customHeight="1" s="207">
      <c r="A367" s="166" t="inlineStr">
        <is>
          <t>精肉</t>
        </is>
      </c>
      <c r="B367" s="176" t="inlineStr">
        <is>
          <t>エゾシカ</t>
        </is>
      </c>
      <c r="C367" s="171" t="inlineStr">
        <is>
          <t>ソバージュド函館</t>
        </is>
      </c>
      <c r="D367" s="143">
        <f>"PRD_SNJ_"&amp;
_xlfn.XLOOKUP(商品マスタ[[#This Row],[仕入先]],テーブル1[仕入先名],テーブル1[仕入先コード],"XXX",0,1)&amp;
"_"&amp;
商品マスタ[[#This Row],[シリアル]]&amp;
"_"&amp;
TEXT(COUNTIFS(商品マスタ!$C$3:C367,商品マスタ[[#This Row],[仕入先]],商品マスタ!$E$3:E367,商品マスタ[[#This Row],[商品名]]), "00")</f>
        <v/>
      </c>
      <c r="E367" s="171" t="inlineStr">
        <is>
          <t>エゾシカ　外モモ</t>
        </is>
      </c>
      <c r="F367" s="167">
        <f>IF(COUNTIFS($C$3:C367,商品マスタ[[#This Row],[仕入先]],$E$3:E367,商品マスタ[[#This Row],[商品名]]) = 1, 1,0)</f>
        <v/>
      </c>
      <c r="G367" s="133">
        <f>TEXT(SUMIF($C$3:C367,商品マスタ[[#This Row],[仕入先]],$F$3:F367), "0000")</f>
        <v/>
      </c>
      <c r="H367" s="167" t="inlineStr">
        <is>
          <t>kg</t>
        </is>
      </c>
      <c r="I367" s="167" t="n"/>
      <c r="J367" s="167" t="n">
        <v>1</v>
      </c>
      <c r="K367" s="167" t="n"/>
      <c r="L367" s="289" t="n">
        <v>2660</v>
      </c>
      <c r="M367" s="157" t="n"/>
      <c r="N367" s="289" t="n"/>
      <c r="O367" s="290">
        <f>IF(COUNT(商品マスタ[[#This Row],[参考上代
（税込)]]) &gt; 0, (商品マスタ[[#This Row],[参考上代
（税込)]]-商品マスタ[[#This Row],[国内定価
（15％）]])/(商品マスタ[[#This Row],[参考上代
（税込)]]/1.08), "")</f>
        <v/>
      </c>
      <c r="P367" s="136" t="n">
        <v>0.1</v>
      </c>
      <c r="Q367" s="289">
        <f>商品マスタ[[#This Row],[仕入
単価]]*商品マスタ[[#This Row],[標準国内送料率]]</f>
        <v/>
      </c>
      <c r="R367" s="289" t="n"/>
      <c r="S367" s="289">
        <f>IF(ISBLANK(商品マスタ[[#This Row],[実績
国内送料]]),商品マスタ[[#This Row],[標準国内送料]],)</f>
        <v/>
      </c>
      <c r="T367" s="289">
        <f>商品マスタ[[#This Row],[仕入
単価]]+商品マスタ[[#This Row],[国内送料]]</f>
        <v/>
      </c>
      <c r="U367" s="289">
        <f>ROUNDUP(商品マスタ[[#This Row],[仕入単価+国内送料]]/0.8,-1)</f>
        <v/>
      </c>
      <c r="V367" s="289">
        <f>商品マスタ[[#This Row],[海外定価
（20％）]]-商品マスタ[[#This Row],[仕入単価+国内送料]]</f>
        <v/>
      </c>
      <c r="W367" s="167">
        <f>ROUNDUP(商品マスタ[[#This Row],[仕入単価+国内送料]]/0.85,-1)</f>
        <v/>
      </c>
      <c r="X367" s="289">
        <f>商品マスタ[[#This Row],[国内定価
（15％）]]-商品マスタ[[#This Row],[仕入単価+国内送料]]</f>
        <v/>
      </c>
      <c r="Y367" s="139" t="n"/>
      <c r="Z367" s="167" t="n"/>
      <c r="AA367" s="167" t="n"/>
      <c r="AB367" s="167" t="n"/>
      <c r="AC367" s="293" t="n"/>
      <c r="AD367" s="167" t="n"/>
      <c r="AE367" s="167" t="n"/>
      <c r="AF367" s="167" t="n"/>
      <c r="AG367" s="144" t="n"/>
    </row>
    <row r="368" ht="18" customHeight="1" s="207">
      <c r="A368" s="166" t="inlineStr">
        <is>
          <t>精肉</t>
        </is>
      </c>
      <c r="B368" s="176" t="inlineStr">
        <is>
          <t>エゾシカ</t>
        </is>
      </c>
      <c r="C368" s="171" t="inlineStr">
        <is>
          <t>ソバージュド函館</t>
        </is>
      </c>
      <c r="D368" s="143">
        <f>"PRD_SNJ_"&amp;
_xlfn.XLOOKUP(商品マスタ[[#This Row],[仕入先]],テーブル1[仕入先名],テーブル1[仕入先コード],"XXX",0,1)&amp;
"_"&amp;
商品マスタ[[#This Row],[シリアル]]&amp;
"_"&amp;
TEXT(COUNTIFS(商品マスタ!$C$3:C368,商品マスタ[[#This Row],[仕入先]],商品マスタ!$E$3:E368,商品マスタ[[#This Row],[商品名]]), "00")</f>
        <v/>
      </c>
      <c r="E368" s="171" t="inlineStr">
        <is>
          <t>エゾシカ　ランプ</t>
        </is>
      </c>
      <c r="F368" s="167">
        <f>IF(COUNTIFS($C$3:C368,商品マスタ[[#This Row],[仕入先]],$E$3:E368,商品マスタ[[#This Row],[商品名]]) = 1, 1,0)</f>
        <v/>
      </c>
      <c r="G368" s="133">
        <f>TEXT(SUMIF($C$3:C368,商品マスタ[[#This Row],[仕入先]],$F$3:F368), "0000")</f>
        <v/>
      </c>
      <c r="H368" s="167" t="inlineStr">
        <is>
          <t>kg</t>
        </is>
      </c>
      <c r="I368" s="167" t="n"/>
      <c r="J368" s="167" t="n">
        <v>1</v>
      </c>
      <c r="K368" s="167" t="n"/>
      <c r="L368" s="289" t="n">
        <v>2750</v>
      </c>
      <c r="M368" s="157" t="n"/>
      <c r="N368" s="289" t="n"/>
      <c r="O368" s="290">
        <f>IF(COUNT(商品マスタ[[#This Row],[参考上代
（税込)]]) &gt; 0, (商品マスタ[[#This Row],[参考上代
（税込)]]-商品マスタ[[#This Row],[国内定価
（15％）]])/(商品マスタ[[#This Row],[参考上代
（税込)]]/1.08), "")</f>
        <v/>
      </c>
      <c r="P368" s="136" t="n">
        <v>0.1</v>
      </c>
      <c r="Q368" s="289">
        <f>商品マスタ[[#This Row],[仕入
単価]]*商品マスタ[[#This Row],[標準国内送料率]]</f>
        <v/>
      </c>
      <c r="R368" s="289" t="n"/>
      <c r="S368" s="289">
        <f>IF(ISBLANK(商品マスタ[[#This Row],[実績
国内送料]]),商品マスタ[[#This Row],[標準国内送料]],)</f>
        <v/>
      </c>
      <c r="T368" s="289">
        <f>商品マスタ[[#This Row],[仕入
単価]]+商品マスタ[[#This Row],[国内送料]]</f>
        <v/>
      </c>
      <c r="U368" s="289">
        <f>ROUNDUP(商品マスタ[[#This Row],[仕入単価+国内送料]]/0.8,-1)</f>
        <v/>
      </c>
      <c r="V368" s="289">
        <f>商品マスタ[[#This Row],[海外定価
（20％）]]-商品マスタ[[#This Row],[仕入単価+国内送料]]</f>
        <v/>
      </c>
      <c r="W368" s="167">
        <f>ROUNDUP(商品マスタ[[#This Row],[仕入単価+国内送料]]/0.85,-1)</f>
        <v/>
      </c>
      <c r="X368" s="289">
        <f>商品マスタ[[#This Row],[国内定価
（15％）]]-商品マスタ[[#This Row],[仕入単価+国内送料]]</f>
        <v/>
      </c>
      <c r="Y368" s="139" t="n"/>
      <c r="Z368" s="167" t="n"/>
      <c r="AA368" s="167" t="n"/>
      <c r="AB368" s="167" t="n"/>
      <c r="AC368" s="293" t="n"/>
      <c r="AD368" s="167" t="n"/>
      <c r="AE368" s="167" t="n"/>
      <c r="AF368" s="167" t="n"/>
      <c r="AG368" s="144" t="n"/>
    </row>
    <row r="369" ht="18" customHeight="1" s="207">
      <c r="A369" s="166" t="inlineStr">
        <is>
          <t>精肉</t>
        </is>
      </c>
      <c r="B369" s="176" t="inlineStr">
        <is>
          <t>エゾシカ</t>
        </is>
      </c>
      <c r="C369" s="171" t="inlineStr">
        <is>
          <t>ソバージュド函館</t>
        </is>
      </c>
      <c r="D369" s="143">
        <f>"PRD_SNJ_"&amp;
_xlfn.XLOOKUP(商品マスタ[[#This Row],[仕入先]],テーブル1[仕入先名],テーブル1[仕入先コード],"XXX",0,1)&amp;
"_"&amp;
商品マスタ[[#This Row],[シリアル]]&amp;
"_"&amp;
TEXT(COUNTIFS(商品マスタ!$C$3:C369,商品マスタ[[#This Row],[仕入先]],商品マスタ!$E$3:E369,商品マスタ[[#This Row],[商品名]]), "00")</f>
        <v/>
      </c>
      <c r="E369" s="171" t="inlineStr">
        <is>
          <t>エゾシカ　肩肉</t>
        </is>
      </c>
      <c r="F369" s="167">
        <f>IF(COUNTIFS($C$3:C369,商品マスタ[[#This Row],[仕入先]],$E$3:E369,商品マスタ[[#This Row],[商品名]]) = 1, 1,0)</f>
        <v/>
      </c>
      <c r="G369" s="133">
        <f>TEXT(SUMIF($C$3:C369,商品マスタ[[#This Row],[仕入先]],$F$3:F369), "0000")</f>
        <v/>
      </c>
      <c r="H369" s="167" t="inlineStr">
        <is>
          <t>kg</t>
        </is>
      </c>
      <c r="I369" s="167" t="n"/>
      <c r="J369" s="167" t="n">
        <v>1</v>
      </c>
      <c r="K369" s="167" t="n"/>
      <c r="L369" s="289" t="n">
        <v>1250</v>
      </c>
      <c r="M369" s="157" t="n"/>
      <c r="N369" s="289" t="n"/>
      <c r="O369" s="290">
        <f>IF(COUNT(商品マスタ[[#This Row],[参考上代
（税込)]]) &gt; 0, (商品マスタ[[#This Row],[参考上代
（税込)]]-商品マスタ[[#This Row],[国内定価
（15％）]])/(商品マスタ[[#This Row],[参考上代
（税込)]]/1.08), "")</f>
        <v/>
      </c>
      <c r="P369" s="136" t="n">
        <v>0.1</v>
      </c>
      <c r="Q369" s="289">
        <f>商品マスタ[[#This Row],[仕入
単価]]*商品マスタ[[#This Row],[標準国内送料率]]</f>
        <v/>
      </c>
      <c r="R369" s="289" t="n"/>
      <c r="S369" s="289">
        <f>IF(ISBLANK(商品マスタ[[#This Row],[実績
国内送料]]),商品マスタ[[#This Row],[標準国内送料]],)</f>
        <v/>
      </c>
      <c r="T369" s="289">
        <f>商品マスタ[[#This Row],[仕入
単価]]+商品マスタ[[#This Row],[国内送料]]</f>
        <v/>
      </c>
      <c r="U369" s="289">
        <f>ROUNDUP(商品マスタ[[#This Row],[仕入単価+国内送料]]/0.8,-1)</f>
        <v/>
      </c>
      <c r="V369" s="289">
        <f>商品マスタ[[#This Row],[海外定価
（20％）]]-商品マスタ[[#This Row],[仕入単価+国内送料]]</f>
        <v/>
      </c>
      <c r="W369" s="167">
        <f>ROUNDUP(商品マスタ[[#This Row],[仕入単価+国内送料]]/0.85,-1)</f>
        <v/>
      </c>
      <c r="X369" s="289">
        <f>商品マスタ[[#This Row],[国内定価
（15％）]]-商品マスタ[[#This Row],[仕入単価+国内送料]]</f>
        <v/>
      </c>
      <c r="Y369" s="139" t="n"/>
      <c r="Z369" s="167" t="n"/>
      <c r="AA369" s="167" t="n"/>
      <c r="AB369" s="167" t="n"/>
      <c r="AC369" s="293" t="n"/>
      <c r="AD369" s="167" t="n"/>
      <c r="AE369" s="167" t="n"/>
      <c r="AF369" s="167" t="n"/>
      <c r="AG369" s="144" t="n"/>
    </row>
    <row r="370" ht="18" customHeight="1" s="207">
      <c r="A370" s="166" t="inlineStr">
        <is>
          <t>精肉</t>
        </is>
      </c>
      <c r="B370" s="176" t="inlineStr">
        <is>
          <t>エゾシカ</t>
        </is>
      </c>
      <c r="C370" s="171" t="inlineStr">
        <is>
          <t>ソバージュド函館</t>
        </is>
      </c>
      <c r="D370" s="143">
        <f>"PRD_SNJ_"&amp;
_xlfn.XLOOKUP(商品マスタ[[#This Row],[仕入先]],テーブル1[仕入先名],テーブル1[仕入先コード],"XXX",0,1)&amp;
"_"&amp;
商品マスタ[[#This Row],[シリアル]]&amp;
"_"&amp;
TEXT(COUNTIFS(商品マスタ!$C$3:C370,商品マスタ[[#This Row],[仕入先]],商品マスタ!$E$3:E370,商品マスタ[[#This Row],[商品名]]), "00")</f>
        <v/>
      </c>
      <c r="E370" s="171" t="inlineStr">
        <is>
          <t>エゾシカ　バラ（秋以降限定）</t>
        </is>
      </c>
      <c r="F370" s="167">
        <f>IF(COUNTIFS($C$3:C370,商品マスタ[[#This Row],[仕入先]],$E$3:E370,商品マスタ[[#This Row],[商品名]]) = 1, 1,0)</f>
        <v/>
      </c>
      <c r="G370" s="133">
        <f>TEXT(SUMIF($C$3:C370,商品マスタ[[#This Row],[仕入先]],$F$3:F370), "0000")</f>
        <v/>
      </c>
      <c r="H370" s="167" t="inlineStr">
        <is>
          <t>kg</t>
        </is>
      </c>
      <c r="I370" s="167" t="n"/>
      <c r="J370" s="167" t="n">
        <v>1</v>
      </c>
      <c r="K370" s="167" t="n"/>
      <c r="L370" s="289" t="n">
        <v>1000</v>
      </c>
      <c r="M370" s="157" t="n"/>
      <c r="N370" s="289" t="n"/>
      <c r="O370" s="290">
        <f>IF(COUNT(商品マスタ[[#This Row],[参考上代
（税込)]]) &gt; 0, (商品マスタ[[#This Row],[参考上代
（税込)]]-商品マスタ[[#This Row],[国内定価
（15％）]])/(商品マスタ[[#This Row],[参考上代
（税込)]]/1.08), "")</f>
        <v/>
      </c>
      <c r="P370" s="136" t="n">
        <v>0.1</v>
      </c>
      <c r="Q370" s="289">
        <f>商品マスタ[[#This Row],[仕入
単価]]*商品マスタ[[#This Row],[標準国内送料率]]</f>
        <v/>
      </c>
      <c r="R370" s="289" t="n"/>
      <c r="S370" s="289">
        <f>IF(ISBLANK(商品マスタ[[#This Row],[実績
国内送料]]),商品マスタ[[#This Row],[標準国内送料]],)</f>
        <v/>
      </c>
      <c r="T370" s="289">
        <f>商品マスタ[[#This Row],[仕入
単価]]+商品マスタ[[#This Row],[国内送料]]</f>
        <v/>
      </c>
      <c r="U370" s="289">
        <f>ROUNDUP(商品マスタ[[#This Row],[仕入単価+国内送料]]/0.8,-1)</f>
        <v/>
      </c>
      <c r="V370" s="289">
        <f>商品マスタ[[#This Row],[海外定価
（20％）]]-商品マスタ[[#This Row],[仕入単価+国内送料]]</f>
        <v/>
      </c>
      <c r="W370" s="167">
        <f>ROUNDUP(商品マスタ[[#This Row],[仕入単価+国内送料]]/0.85,-1)</f>
        <v/>
      </c>
      <c r="X370" s="289">
        <f>商品マスタ[[#This Row],[国内定価
（15％）]]-商品マスタ[[#This Row],[仕入単価+国内送料]]</f>
        <v/>
      </c>
      <c r="Y370" s="139" t="n"/>
      <c r="Z370" s="167" t="n"/>
      <c r="AA370" s="167" t="n"/>
      <c r="AB370" s="167" t="n"/>
      <c r="AC370" s="293" t="n"/>
      <c r="AD370" s="167" t="n"/>
      <c r="AE370" s="167" t="n"/>
      <c r="AF370" s="167" t="n"/>
      <c r="AG370" s="144" t="n"/>
    </row>
    <row r="371" ht="18" customHeight="1" s="207">
      <c r="A371" s="166" t="inlineStr">
        <is>
          <t>精肉</t>
        </is>
      </c>
      <c r="B371" s="176" t="inlineStr">
        <is>
          <t>エゾシカ</t>
        </is>
      </c>
      <c r="C371" s="171" t="inlineStr">
        <is>
          <t>ソバージュド函館</t>
        </is>
      </c>
      <c r="D371" s="143">
        <f>"PRD_SNJ_"&amp;
_xlfn.XLOOKUP(商品マスタ[[#This Row],[仕入先]],テーブル1[仕入先名],テーブル1[仕入先コード],"XXX",0,1)&amp;
"_"&amp;
商品マスタ[[#This Row],[シリアル]]&amp;
"_"&amp;
TEXT(COUNTIFS(商品マスタ!$C$3:C371,商品マスタ[[#This Row],[仕入先]],商品マスタ!$E$3:E371,商品マスタ[[#This Row],[商品名]]), "00")</f>
        <v/>
      </c>
      <c r="E371" s="171" t="inlineStr">
        <is>
          <t>エゾシカ　スペアリブ（秋以降限定）</t>
        </is>
      </c>
      <c r="F371" s="167">
        <f>IF(COUNTIFS($C$3:C371,商品マスタ[[#This Row],[仕入先]],$E$3:E371,商品マスタ[[#This Row],[商品名]]) = 1, 1,0)</f>
        <v/>
      </c>
      <c r="G371" s="133">
        <f>TEXT(SUMIF($C$3:C371,商品マスタ[[#This Row],[仕入先]],$F$3:F371), "0000")</f>
        <v/>
      </c>
      <c r="H371" s="167" t="inlineStr">
        <is>
          <t>kg</t>
        </is>
      </c>
      <c r="I371" s="167" t="n"/>
      <c r="J371" s="167" t="n">
        <v>1</v>
      </c>
      <c r="K371" s="167" t="n"/>
      <c r="L371" s="289" t="n">
        <v>1000</v>
      </c>
      <c r="M371" s="157" t="n"/>
      <c r="N371" s="289" t="n"/>
      <c r="O371" s="290">
        <f>IF(COUNT(商品マスタ[[#This Row],[参考上代
（税込)]]) &gt; 0, (商品マスタ[[#This Row],[参考上代
（税込)]]-商品マスタ[[#This Row],[国内定価
（15％）]])/(商品マスタ[[#This Row],[参考上代
（税込)]]/1.08), "")</f>
        <v/>
      </c>
      <c r="P371" s="136" t="n">
        <v>0.1</v>
      </c>
      <c r="Q371" s="289">
        <f>商品マスタ[[#This Row],[仕入
単価]]*商品マスタ[[#This Row],[標準国内送料率]]</f>
        <v/>
      </c>
      <c r="R371" s="289" t="n"/>
      <c r="S371" s="289">
        <f>IF(ISBLANK(商品マスタ[[#This Row],[実績
国内送料]]),商品マスタ[[#This Row],[標準国内送料]],)</f>
        <v/>
      </c>
      <c r="T371" s="289">
        <f>商品マスタ[[#This Row],[仕入
単価]]+商品マスタ[[#This Row],[国内送料]]</f>
        <v/>
      </c>
      <c r="U371" s="289">
        <f>ROUNDUP(商品マスタ[[#This Row],[仕入単価+国内送料]]/0.8,-1)</f>
        <v/>
      </c>
      <c r="V371" s="289">
        <f>商品マスタ[[#This Row],[海外定価
（20％）]]-商品マスタ[[#This Row],[仕入単価+国内送料]]</f>
        <v/>
      </c>
      <c r="W371" s="167">
        <f>ROUNDUP(商品マスタ[[#This Row],[仕入単価+国内送料]]/0.85,-1)</f>
        <v/>
      </c>
      <c r="X371" s="289">
        <f>商品マスタ[[#This Row],[国内定価
（15％）]]-商品マスタ[[#This Row],[仕入単価+国内送料]]</f>
        <v/>
      </c>
      <c r="Y371" s="139" t="n"/>
      <c r="Z371" s="167" t="n"/>
      <c r="AA371" s="167" t="n"/>
      <c r="AB371" s="167" t="n"/>
      <c r="AC371" s="293" t="n"/>
      <c r="AD371" s="167" t="n"/>
      <c r="AE371" s="167" t="n"/>
      <c r="AF371" s="167" t="n"/>
      <c r="AG371" s="144" t="n"/>
    </row>
    <row r="372" ht="18" customHeight="1" s="207">
      <c r="A372" s="166" t="inlineStr">
        <is>
          <t>精肉</t>
        </is>
      </c>
      <c r="B372" s="176" t="inlineStr">
        <is>
          <t>エゾシカ</t>
        </is>
      </c>
      <c r="C372" s="171" t="inlineStr">
        <is>
          <t>ソバージュド函館</t>
        </is>
      </c>
      <c r="D372" s="143">
        <f>"PRD_SNJ_"&amp;
_xlfn.XLOOKUP(商品マスタ[[#This Row],[仕入先]],テーブル1[仕入先名],テーブル1[仕入先コード],"XXX",0,1)&amp;
"_"&amp;
商品マスタ[[#This Row],[シリアル]]&amp;
"_"&amp;
TEXT(COUNTIFS(商品マスタ!$C$3:C372,商品マスタ[[#This Row],[仕入先]],商品マスタ!$E$3:E372,商品マスタ[[#This Row],[商品名]]), "00")</f>
        <v/>
      </c>
      <c r="E372" s="171" t="inlineStr">
        <is>
          <t>エゾシカ　スネ</t>
        </is>
      </c>
      <c r="F372" s="167">
        <f>IF(COUNTIFS($C$3:C372,商品マスタ[[#This Row],[仕入先]],$E$3:E372,商品マスタ[[#This Row],[商品名]]) = 1, 1,0)</f>
        <v/>
      </c>
      <c r="G372" s="133">
        <f>TEXT(SUMIF($C$3:C372,商品マスタ[[#This Row],[仕入先]],$F$3:F372), "0000")</f>
        <v/>
      </c>
      <c r="H372" s="167" t="inlineStr">
        <is>
          <t>kg</t>
        </is>
      </c>
      <c r="I372" s="167" t="n"/>
      <c r="J372" s="167" t="n">
        <v>1</v>
      </c>
      <c r="K372" s="167" t="n"/>
      <c r="L372" s="289" t="n">
        <v>1300</v>
      </c>
      <c r="M372" s="157" t="n"/>
      <c r="N372" s="289" t="n"/>
      <c r="O372" s="290">
        <f>IF(COUNT(商品マスタ[[#This Row],[参考上代
（税込)]]) &gt; 0, (商品マスタ[[#This Row],[参考上代
（税込)]]-商品マスタ[[#This Row],[国内定価
（15％）]])/(商品マスタ[[#This Row],[参考上代
（税込)]]/1.08), "")</f>
        <v/>
      </c>
      <c r="P372" s="136" t="n">
        <v>0.1</v>
      </c>
      <c r="Q372" s="289">
        <f>商品マスタ[[#This Row],[仕入
単価]]*商品マスタ[[#This Row],[標準国内送料率]]</f>
        <v/>
      </c>
      <c r="R372" s="289" t="n"/>
      <c r="S372" s="289">
        <f>IF(ISBLANK(商品マスタ[[#This Row],[実績
国内送料]]),商品マスタ[[#This Row],[標準国内送料]],)</f>
        <v/>
      </c>
      <c r="T372" s="289">
        <f>商品マスタ[[#This Row],[仕入
単価]]+商品マスタ[[#This Row],[国内送料]]</f>
        <v/>
      </c>
      <c r="U372" s="289">
        <f>ROUNDUP(商品マスタ[[#This Row],[仕入単価+国内送料]]/0.8,-1)</f>
        <v/>
      </c>
      <c r="V372" s="289">
        <f>商品マスタ[[#This Row],[海外定価
（20％）]]-商品マスタ[[#This Row],[仕入単価+国内送料]]</f>
        <v/>
      </c>
      <c r="W372" s="167">
        <f>ROUNDUP(商品マスタ[[#This Row],[仕入単価+国内送料]]/0.85,-1)</f>
        <v/>
      </c>
      <c r="X372" s="289">
        <f>商品マスタ[[#This Row],[国内定価
（15％）]]-商品マスタ[[#This Row],[仕入単価+国内送料]]</f>
        <v/>
      </c>
      <c r="Y372" s="139" t="n"/>
      <c r="Z372" s="167" t="n"/>
      <c r="AA372" s="167" t="n"/>
      <c r="AB372" s="167" t="n"/>
      <c r="AC372" s="293" t="n"/>
      <c r="AD372" s="167" t="n"/>
      <c r="AE372" s="167" t="n"/>
      <c r="AF372" s="167" t="n"/>
      <c r="AG372" s="144" t="n"/>
    </row>
    <row r="373" ht="18" customHeight="1" s="207">
      <c r="A373" s="166" t="inlineStr">
        <is>
          <t>精肉</t>
        </is>
      </c>
      <c r="B373" s="176" t="inlineStr">
        <is>
          <t>エゾシカ</t>
        </is>
      </c>
      <c r="C373" s="171" t="inlineStr">
        <is>
          <t>ソバージュド函館</t>
        </is>
      </c>
      <c r="D373" s="143">
        <f>"PRD_SNJ_"&amp;
_xlfn.XLOOKUP(商品マスタ[[#This Row],[仕入先]],テーブル1[仕入先名],テーブル1[仕入先コード],"XXX",0,1)&amp;
"_"&amp;
商品マスタ[[#This Row],[シリアル]]&amp;
"_"&amp;
TEXT(COUNTIFS(商品マスタ!$C$3:C373,商品マスタ[[#This Row],[仕入先]],商品マスタ!$E$3:E373,商品マスタ[[#This Row],[商品名]]), "00")</f>
        <v/>
      </c>
      <c r="E373" s="171" t="inlineStr">
        <is>
          <t>エゾシカ　ネック</t>
        </is>
      </c>
      <c r="F373" s="167">
        <f>IF(COUNTIFS($C$3:C373,商品マスタ[[#This Row],[仕入先]],$E$3:E373,商品マスタ[[#This Row],[商品名]]) = 1, 1,0)</f>
        <v/>
      </c>
      <c r="G373" s="133">
        <f>TEXT(SUMIF($C$3:C373,商品マスタ[[#This Row],[仕入先]],$F$3:F373), "0000")</f>
        <v/>
      </c>
      <c r="H373" s="167" t="inlineStr">
        <is>
          <t>kg</t>
        </is>
      </c>
      <c r="I373" s="167" t="n"/>
      <c r="J373" s="167" t="n">
        <v>1</v>
      </c>
      <c r="K373" s="167" t="n"/>
      <c r="L373" s="289" t="n">
        <v>1400</v>
      </c>
      <c r="M373" s="157" t="n"/>
      <c r="N373" s="289" t="n"/>
      <c r="O373" s="290">
        <f>IF(COUNT(商品マスタ[[#This Row],[参考上代
（税込)]]) &gt; 0, (商品マスタ[[#This Row],[参考上代
（税込)]]-商品マスタ[[#This Row],[国内定価
（15％）]])/(商品マスタ[[#This Row],[参考上代
（税込)]]/1.08), "")</f>
        <v/>
      </c>
      <c r="P373" s="136" t="n">
        <v>0.1</v>
      </c>
      <c r="Q373" s="289">
        <f>商品マスタ[[#This Row],[仕入
単価]]*商品マスタ[[#This Row],[標準国内送料率]]</f>
        <v/>
      </c>
      <c r="R373" s="289" t="n"/>
      <c r="S373" s="289">
        <f>IF(ISBLANK(商品マスタ[[#This Row],[実績
国内送料]]),商品マスタ[[#This Row],[標準国内送料]],)</f>
        <v/>
      </c>
      <c r="T373" s="289">
        <f>商品マスタ[[#This Row],[仕入
単価]]+商品マスタ[[#This Row],[国内送料]]</f>
        <v/>
      </c>
      <c r="U373" s="289">
        <f>ROUNDUP(商品マスタ[[#This Row],[仕入単価+国内送料]]/0.8,-1)</f>
        <v/>
      </c>
      <c r="V373" s="289">
        <f>商品マスタ[[#This Row],[海外定価
（20％）]]-商品マスタ[[#This Row],[仕入単価+国内送料]]</f>
        <v/>
      </c>
      <c r="W373" s="167">
        <f>ROUNDUP(商品マスタ[[#This Row],[仕入単価+国内送料]]/0.85,-1)</f>
        <v/>
      </c>
      <c r="X373" s="289">
        <f>商品マスタ[[#This Row],[国内定価
（15％）]]-商品マスタ[[#This Row],[仕入単価+国内送料]]</f>
        <v/>
      </c>
      <c r="Y373" s="139" t="n"/>
      <c r="Z373" s="167" t="n"/>
      <c r="AA373" s="167" t="n"/>
      <c r="AB373" s="167" t="n"/>
      <c r="AC373" s="293" t="n"/>
      <c r="AD373" s="167" t="n"/>
      <c r="AE373" s="167" t="n"/>
      <c r="AF373" s="167" t="n"/>
      <c r="AG373" s="144" t="n"/>
    </row>
    <row r="374" ht="18" customHeight="1" s="207">
      <c r="A374" s="166" t="inlineStr">
        <is>
          <t>精肉</t>
        </is>
      </c>
      <c r="B374" s="176" t="inlineStr">
        <is>
          <t>エゾシカ</t>
        </is>
      </c>
      <c r="C374" s="171" t="inlineStr">
        <is>
          <t>ソバージュド函館</t>
        </is>
      </c>
      <c r="D374" s="143">
        <f>"PRD_SNJ_"&amp;
_xlfn.XLOOKUP(商品マスタ[[#This Row],[仕入先]],テーブル1[仕入先名],テーブル1[仕入先コード],"XXX",0,1)&amp;
"_"&amp;
商品マスタ[[#This Row],[シリアル]]&amp;
"_"&amp;
TEXT(COUNTIFS(商品マスタ!$C$3:C374,商品マスタ[[#This Row],[仕入先]],商品マスタ!$E$3:E374,商品マスタ[[#This Row],[商品名]]), "00")</f>
        <v/>
      </c>
      <c r="E374" s="171" t="inlineStr">
        <is>
          <t>エゾシカ　ミンチ 3mm/5mm/12mm挽</t>
        </is>
      </c>
      <c r="F374" s="167">
        <f>IF(COUNTIFS($C$3:C374,商品マスタ[[#This Row],[仕入先]],$E$3:E374,商品マスタ[[#This Row],[商品名]]) = 1, 1,0)</f>
        <v/>
      </c>
      <c r="G374" s="133">
        <f>TEXT(SUMIF($C$3:C374,商品マスタ[[#This Row],[仕入先]],$F$3:F374), "0000")</f>
        <v/>
      </c>
      <c r="H374" s="167" t="inlineStr">
        <is>
          <t>kg</t>
        </is>
      </c>
      <c r="I374" s="167" t="n"/>
      <c r="J374" s="167" t="n">
        <v>1</v>
      </c>
      <c r="K374" s="167" t="n"/>
      <c r="L374" s="289" t="n">
        <v>1750</v>
      </c>
      <c r="M374" s="157" t="n"/>
      <c r="N374" s="289" t="n"/>
      <c r="O374" s="290">
        <f>IF(COUNT(商品マスタ[[#This Row],[参考上代
（税込)]]) &gt; 0, (商品マスタ[[#This Row],[参考上代
（税込)]]-商品マスタ[[#This Row],[国内定価
（15％）]])/(商品マスタ[[#This Row],[参考上代
（税込)]]/1.08), "")</f>
        <v/>
      </c>
      <c r="P374" s="136" t="n">
        <v>0.1</v>
      </c>
      <c r="Q374" s="289">
        <f>商品マスタ[[#This Row],[仕入
単価]]*商品マスタ[[#This Row],[標準国内送料率]]</f>
        <v/>
      </c>
      <c r="R374" s="289" t="n"/>
      <c r="S374" s="289">
        <f>IF(ISBLANK(商品マスタ[[#This Row],[実績
国内送料]]),商品マスタ[[#This Row],[標準国内送料]],)</f>
        <v/>
      </c>
      <c r="T374" s="289">
        <f>商品マスタ[[#This Row],[仕入
単価]]+商品マスタ[[#This Row],[国内送料]]</f>
        <v/>
      </c>
      <c r="U374" s="289">
        <f>ROUNDUP(商品マスタ[[#This Row],[仕入単価+国内送料]]/0.8,-1)</f>
        <v/>
      </c>
      <c r="V374" s="289">
        <f>商品マスタ[[#This Row],[海外定価
（20％）]]-商品マスタ[[#This Row],[仕入単価+国内送料]]</f>
        <v/>
      </c>
      <c r="W374" s="167">
        <f>ROUNDUP(商品マスタ[[#This Row],[仕入単価+国内送料]]/0.85,-1)</f>
        <v/>
      </c>
      <c r="X374" s="289">
        <f>商品マスタ[[#This Row],[国内定価
（15％）]]-商品マスタ[[#This Row],[仕入単価+国内送料]]</f>
        <v/>
      </c>
      <c r="Y374" s="139" t="n"/>
      <c r="Z374" s="167" t="n"/>
      <c r="AA374" s="167" t="n"/>
      <c r="AB374" s="167" t="n"/>
      <c r="AC374" s="293" t="n"/>
      <c r="AD374" s="167" t="n"/>
      <c r="AE374" s="167" t="n"/>
      <c r="AF374" s="167" t="n"/>
      <c r="AG374" s="144" t="n"/>
    </row>
    <row r="375" ht="18" customHeight="1" s="207">
      <c r="A375" s="166" t="inlineStr">
        <is>
          <t>精肉</t>
        </is>
      </c>
      <c r="B375" s="176" t="inlineStr">
        <is>
          <t>エゾシカ</t>
        </is>
      </c>
      <c r="C375" s="171" t="inlineStr">
        <is>
          <t>ユック</t>
        </is>
      </c>
      <c r="D375" s="143">
        <f>"PRD_SNJ_"&amp;
_xlfn.XLOOKUP(商品マスタ[[#This Row],[仕入先]],テーブル1[仕入先名],テーブル1[仕入先コード],"XXX",0,1)&amp;
"_"&amp;
商品マスタ[[#This Row],[シリアル]]&amp;
"_"&amp;
TEXT(COUNTIFS(商品マスタ!$C$3:C375,商品マスタ[[#This Row],[仕入先]],商品マスタ!$E$3:E375,商品マスタ[[#This Row],[商品名]]), "00")</f>
        <v/>
      </c>
      <c r="E375" s="171" t="inlineStr">
        <is>
          <t>エゾシカ　バラ</t>
        </is>
      </c>
      <c r="F375" s="167">
        <f>IF(COUNTIFS($C$3:C375,商品マスタ[[#This Row],[仕入先]],$E$3:E375,商品マスタ[[#This Row],[商品名]]) = 1, 1,0)</f>
        <v/>
      </c>
      <c r="G375" s="133">
        <f>TEXT(SUMIF($C$3:C375,商品マスタ[[#This Row],[仕入先]],$F$3:F375), "0000")</f>
        <v/>
      </c>
      <c r="H375" s="167" t="inlineStr">
        <is>
          <t>kg</t>
        </is>
      </c>
      <c r="I375" s="167" t="n"/>
      <c r="J375" s="167" t="n"/>
      <c r="K375" s="167" t="n"/>
      <c r="L375" s="289" t="n">
        <v>1450</v>
      </c>
      <c r="M375" s="157" t="n"/>
      <c r="N375" s="289" t="n"/>
      <c r="O375" s="290">
        <f>IF(COUNT(商品マスタ[[#This Row],[参考上代
（税込)]]) &gt; 0, (商品マスタ[[#This Row],[参考上代
（税込)]]-商品マスタ[[#This Row],[国内定価
（15％）]])/(商品マスタ[[#This Row],[参考上代
（税込)]]/1.08), "")</f>
        <v/>
      </c>
      <c r="P375" s="136" t="n">
        <v>0.1</v>
      </c>
      <c r="Q375" s="289">
        <f>商品マスタ[[#This Row],[仕入
単価]]*商品マスタ[[#This Row],[標準国内送料率]]</f>
        <v/>
      </c>
      <c r="R375" s="289" t="n"/>
      <c r="S375" s="289">
        <f>IF(ISBLANK(商品マスタ[[#This Row],[実績
国内送料]]),商品マスタ[[#This Row],[標準国内送料]],)</f>
        <v/>
      </c>
      <c r="T375" s="289">
        <f>商品マスタ[[#This Row],[仕入
単価]]+商品マスタ[[#This Row],[国内送料]]</f>
        <v/>
      </c>
      <c r="U375" s="289">
        <f>ROUNDUP(商品マスタ[[#This Row],[仕入単価+国内送料]]/0.8,-1)</f>
        <v/>
      </c>
      <c r="V375" s="289">
        <f>商品マスタ[[#This Row],[海外定価
（20％）]]-商品マスタ[[#This Row],[仕入単価+国内送料]]</f>
        <v/>
      </c>
      <c r="W375" s="167">
        <f>ROUNDUP(商品マスタ[[#This Row],[仕入単価+国内送料]]/0.85,-1)</f>
        <v/>
      </c>
      <c r="X375" s="289">
        <f>商品マスタ[[#This Row],[国内定価
（15％）]]-商品マスタ[[#This Row],[仕入単価+国内送料]]</f>
        <v/>
      </c>
      <c r="Y375" s="139" t="n"/>
      <c r="Z375" s="167" t="n"/>
      <c r="AA375" s="167" t="n"/>
      <c r="AB375" s="167" t="n"/>
      <c r="AC375" s="293" t="n"/>
      <c r="AD375" s="167" t="n"/>
      <c r="AE375" s="167" t="n"/>
      <c r="AF375" s="167" t="n"/>
      <c r="AG375" s="144" t="n"/>
    </row>
    <row r="376" ht="18" customHeight="1" s="207">
      <c r="A376" s="166" t="inlineStr">
        <is>
          <t>精肉</t>
        </is>
      </c>
      <c r="B376" s="176" t="inlineStr">
        <is>
          <t>エゾシカ</t>
        </is>
      </c>
      <c r="C376" s="171" t="inlineStr">
        <is>
          <t>ユック</t>
        </is>
      </c>
      <c r="D376" s="143">
        <f>"PRD_SNJ_"&amp;
_xlfn.XLOOKUP(商品マスタ[[#This Row],[仕入先]],テーブル1[仕入先名],テーブル1[仕入先コード],"XXX",0,1)&amp;
"_"&amp;
商品マスタ[[#This Row],[シリアル]]&amp;
"_"&amp;
TEXT(COUNTIFS(商品マスタ!$C$3:C376,商品マスタ[[#This Row],[仕入先]],商品マスタ!$E$3:E376,商品マスタ[[#This Row],[商品名]]), "00")</f>
        <v/>
      </c>
      <c r="E376" s="171" t="inlineStr">
        <is>
          <t>エゾシカ　ロース</t>
        </is>
      </c>
      <c r="F376" s="167">
        <f>IF(COUNTIFS($C$3:C376,商品マスタ[[#This Row],[仕入先]],$E$3:E376,商品マスタ[[#This Row],[商品名]]) = 1, 1,0)</f>
        <v/>
      </c>
      <c r="G376" s="133">
        <f>TEXT(SUMIF($C$3:C376,商品マスタ[[#This Row],[仕入先]],$F$3:F376), "0000")</f>
        <v/>
      </c>
      <c r="H376" s="167" t="inlineStr">
        <is>
          <t>kg</t>
        </is>
      </c>
      <c r="I376" s="167" t="n"/>
      <c r="J376" s="167" t="n"/>
      <c r="K376" s="167" t="n"/>
      <c r="L376" s="289" t="n">
        <v>4000</v>
      </c>
      <c r="M376" s="157" t="n"/>
      <c r="N376" s="289" t="n"/>
      <c r="O376" s="290">
        <f>IF(COUNT(商品マスタ[[#This Row],[参考上代
（税込)]]) &gt; 0, (商品マスタ[[#This Row],[参考上代
（税込)]]-商品マスタ[[#This Row],[国内定価
（15％）]])/(商品マスタ[[#This Row],[参考上代
（税込)]]/1.08), "")</f>
        <v/>
      </c>
      <c r="P376" s="136" t="n">
        <v>0.1</v>
      </c>
      <c r="Q376" s="289">
        <f>商品マスタ[[#This Row],[仕入
単価]]*商品マスタ[[#This Row],[標準国内送料率]]</f>
        <v/>
      </c>
      <c r="R376" s="289" t="n"/>
      <c r="S376" s="289">
        <f>IF(ISBLANK(商品マスタ[[#This Row],[実績
国内送料]]),商品マスタ[[#This Row],[標準国内送料]],)</f>
        <v/>
      </c>
      <c r="T376" s="289">
        <f>商品マスタ[[#This Row],[仕入
単価]]+商品マスタ[[#This Row],[国内送料]]</f>
        <v/>
      </c>
      <c r="U376" s="289">
        <f>ROUNDUP(商品マスタ[[#This Row],[仕入単価+国内送料]]/0.8,-1)</f>
        <v/>
      </c>
      <c r="V376" s="289">
        <f>商品マスタ[[#This Row],[海外定価
（20％）]]-商品マスタ[[#This Row],[仕入単価+国内送料]]</f>
        <v/>
      </c>
      <c r="W376" s="167">
        <f>ROUNDUP(商品マスタ[[#This Row],[仕入単価+国内送料]]/0.85,-1)</f>
        <v/>
      </c>
      <c r="X376" s="289">
        <f>商品マスタ[[#This Row],[国内定価
（15％）]]-商品マスタ[[#This Row],[仕入単価+国内送料]]</f>
        <v/>
      </c>
      <c r="Y376" s="139" t="n"/>
      <c r="Z376" s="167" t="n"/>
      <c r="AA376" s="167" t="n"/>
      <c r="AB376" s="167" t="n"/>
      <c r="AC376" s="293" t="n"/>
      <c r="AD376" s="167" t="n"/>
      <c r="AE376" s="167" t="n"/>
      <c r="AF376" s="167" t="n"/>
      <c r="AG376" s="144" t="n"/>
    </row>
    <row r="377" ht="18" customHeight="1" s="207">
      <c r="A377" s="166" t="inlineStr">
        <is>
          <t>精肉</t>
        </is>
      </c>
      <c r="B377" s="176" t="inlineStr">
        <is>
          <t>エゾシカ</t>
        </is>
      </c>
      <c r="C377" s="171" t="inlineStr">
        <is>
          <t>ユック</t>
        </is>
      </c>
      <c r="D377" s="143">
        <f>"PRD_SNJ_"&amp;
_xlfn.XLOOKUP(商品マスタ[[#This Row],[仕入先]],テーブル1[仕入先名],テーブル1[仕入先コード],"XXX",0,1)&amp;
"_"&amp;
商品マスタ[[#This Row],[シリアル]]&amp;
"_"&amp;
TEXT(COUNTIFS(商品マスタ!$C$3:C377,商品マスタ[[#This Row],[仕入先]],商品マスタ!$E$3:E377,商品マスタ[[#This Row],[商品名]]), "00")</f>
        <v/>
      </c>
      <c r="E377" s="171" t="inlineStr">
        <is>
          <t>エゾシカ　ヒレ</t>
        </is>
      </c>
      <c r="F377" s="167">
        <f>IF(COUNTIFS($C$3:C377,商品マスタ[[#This Row],[仕入先]],$E$3:E377,商品マスタ[[#This Row],[商品名]]) = 1, 1,0)</f>
        <v/>
      </c>
      <c r="G377" s="133">
        <f>TEXT(SUMIF($C$3:C377,商品マスタ[[#This Row],[仕入先]],$F$3:F377), "0000")</f>
        <v/>
      </c>
      <c r="H377" s="167" t="inlineStr">
        <is>
          <t>kg</t>
        </is>
      </c>
      <c r="I377" s="167" t="n"/>
      <c r="J377" s="167" t="n"/>
      <c r="K377" s="167" t="n"/>
      <c r="L377" s="289" t="n">
        <v>4000</v>
      </c>
      <c r="M377" s="157" t="n"/>
      <c r="N377" s="289" t="n"/>
      <c r="O377" s="290">
        <f>IF(COUNT(商品マスタ[[#This Row],[参考上代
（税込)]]) &gt; 0, (商品マスタ[[#This Row],[参考上代
（税込)]]-商品マスタ[[#This Row],[国内定価
（15％）]])/(商品マスタ[[#This Row],[参考上代
（税込)]]/1.08), "")</f>
        <v/>
      </c>
      <c r="P377" s="136" t="n">
        <v>0.1</v>
      </c>
      <c r="Q377" s="289">
        <f>商品マスタ[[#This Row],[仕入
単価]]*商品マスタ[[#This Row],[標準国内送料率]]</f>
        <v/>
      </c>
      <c r="R377" s="289" t="n"/>
      <c r="S377" s="289">
        <f>IF(ISBLANK(商品マスタ[[#This Row],[実績
国内送料]]),商品マスタ[[#This Row],[標準国内送料]],)</f>
        <v/>
      </c>
      <c r="T377" s="289">
        <f>商品マスタ[[#This Row],[仕入
単価]]+商品マスタ[[#This Row],[国内送料]]</f>
        <v/>
      </c>
      <c r="U377" s="289">
        <f>ROUNDUP(商品マスタ[[#This Row],[仕入単価+国内送料]]/0.8,-1)</f>
        <v/>
      </c>
      <c r="V377" s="289">
        <f>商品マスタ[[#This Row],[海外定価
（20％）]]-商品マスタ[[#This Row],[仕入単価+国内送料]]</f>
        <v/>
      </c>
      <c r="W377" s="167">
        <f>ROUNDUP(商品マスタ[[#This Row],[仕入単価+国内送料]]/0.85,-1)</f>
        <v/>
      </c>
      <c r="X377" s="289">
        <f>商品マスタ[[#This Row],[国内定価
（15％）]]-商品マスタ[[#This Row],[仕入単価+国内送料]]</f>
        <v/>
      </c>
      <c r="Y377" s="139" t="n"/>
      <c r="Z377" s="167" t="n"/>
      <c r="AA377" s="167" t="n"/>
      <c r="AB377" s="167" t="n"/>
      <c r="AC377" s="293" t="n"/>
      <c r="AD377" s="167" t="n"/>
      <c r="AE377" s="167" t="n"/>
      <c r="AF377" s="167" t="n"/>
      <c r="AG377" s="144" t="n"/>
    </row>
    <row r="378" ht="18" customHeight="1" s="207">
      <c r="A378" s="166" t="inlineStr">
        <is>
          <t>精肉</t>
        </is>
      </c>
      <c r="B378" s="176" t="inlineStr">
        <is>
          <t>エゾシカ</t>
        </is>
      </c>
      <c r="C378" s="171" t="inlineStr">
        <is>
          <t>ユック</t>
        </is>
      </c>
      <c r="D378" s="143">
        <f>"PRD_SNJ_"&amp;
_xlfn.XLOOKUP(商品マスタ[[#This Row],[仕入先]],テーブル1[仕入先名],テーブル1[仕入先コード],"XXX",0,1)&amp;
"_"&amp;
商品マスタ[[#This Row],[シリアル]]&amp;
"_"&amp;
TEXT(COUNTIFS(商品マスタ!$C$3:C378,商品マスタ[[#This Row],[仕入先]],商品マスタ!$E$3:E378,商品マスタ[[#This Row],[商品名]]), "00")</f>
        <v/>
      </c>
      <c r="E378" s="171" t="inlineStr">
        <is>
          <t>エゾシカ　モモ</t>
        </is>
      </c>
      <c r="F378" s="167">
        <f>IF(COUNTIFS($C$3:C378,商品マスタ[[#This Row],[仕入先]],$E$3:E378,商品マスタ[[#This Row],[商品名]]) = 1, 1,0)</f>
        <v/>
      </c>
      <c r="G378" s="133">
        <f>TEXT(SUMIF($C$3:C378,商品マスタ[[#This Row],[仕入先]],$F$3:F378), "0000")</f>
        <v/>
      </c>
      <c r="H378" s="167" t="inlineStr">
        <is>
          <t>kg</t>
        </is>
      </c>
      <c r="I378" s="167" t="n"/>
      <c r="J378" s="167" t="n"/>
      <c r="K378" s="167" t="n"/>
      <c r="L378" s="289" t="n">
        <v>2650</v>
      </c>
      <c r="M378" s="157" t="n"/>
      <c r="N378" s="289" t="n"/>
      <c r="O378" s="290">
        <f>IF(COUNT(商品マスタ[[#This Row],[参考上代
（税込)]]) &gt; 0, (商品マスタ[[#This Row],[参考上代
（税込)]]-商品マスタ[[#This Row],[国内定価
（15％）]])/(商品マスタ[[#This Row],[参考上代
（税込)]]/1.08), "")</f>
        <v/>
      </c>
      <c r="P378" s="136" t="n">
        <v>0.1</v>
      </c>
      <c r="Q378" s="289">
        <f>商品マスタ[[#This Row],[仕入
単価]]*商品マスタ[[#This Row],[標準国内送料率]]</f>
        <v/>
      </c>
      <c r="R378" s="289" t="n"/>
      <c r="S378" s="289">
        <f>IF(ISBLANK(商品マスタ[[#This Row],[実績
国内送料]]),商品マスタ[[#This Row],[標準国内送料]],)</f>
        <v/>
      </c>
      <c r="T378" s="289">
        <f>商品マスタ[[#This Row],[仕入
単価]]+商品マスタ[[#This Row],[国内送料]]</f>
        <v/>
      </c>
      <c r="U378" s="289">
        <f>ROUNDUP(商品マスタ[[#This Row],[仕入単価+国内送料]]/0.8,-1)</f>
        <v/>
      </c>
      <c r="V378" s="289">
        <f>商品マスタ[[#This Row],[海外定価
（20％）]]-商品マスタ[[#This Row],[仕入単価+国内送料]]</f>
        <v/>
      </c>
      <c r="W378" s="167">
        <f>ROUNDUP(商品マスタ[[#This Row],[仕入単価+国内送料]]/0.85,-1)</f>
        <v/>
      </c>
      <c r="X378" s="289">
        <f>商品マスタ[[#This Row],[国内定価
（15％）]]-商品マスタ[[#This Row],[仕入単価+国内送料]]</f>
        <v/>
      </c>
      <c r="Y378" s="139" t="n"/>
      <c r="Z378" s="167" t="n"/>
      <c r="AA378" s="167" t="n"/>
      <c r="AB378" s="167" t="n"/>
      <c r="AC378" s="293" t="n"/>
      <c r="AD378" s="167" t="n"/>
      <c r="AE378" s="167" t="n"/>
      <c r="AF378" s="167" t="n"/>
      <c r="AG378" s="144" t="n"/>
    </row>
    <row r="379" ht="18" customHeight="1" s="207">
      <c r="A379" s="166" t="inlineStr">
        <is>
          <t>精肉</t>
        </is>
      </c>
      <c r="B379" s="176" t="inlineStr">
        <is>
          <t>エゾシカ</t>
        </is>
      </c>
      <c r="C379" s="171" t="inlineStr">
        <is>
          <t>ユック</t>
        </is>
      </c>
      <c r="D379" s="143">
        <f>"PRD_SNJ_"&amp;
_xlfn.XLOOKUP(商品マスタ[[#This Row],[仕入先]],テーブル1[仕入先名],テーブル1[仕入先コード],"XXX",0,1)&amp;
"_"&amp;
商品マスタ[[#This Row],[シリアル]]&amp;
"_"&amp;
TEXT(COUNTIFS(商品マスタ!$C$3:C379,商品マスタ[[#This Row],[仕入先]],商品マスタ!$E$3:E379,商品マスタ[[#This Row],[商品名]]), "00")</f>
        <v/>
      </c>
      <c r="E379" s="171" t="inlineStr">
        <is>
          <t>エゾシカ　肩肉</t>
        </is>
      </c>
      <c r="F379" s="167">
        <f>IF(COUNTIFS($C$3:C379,商品マスタ[[#This Row],[仕入先]],$E$3:E379,商品マスタ[[#This Row],[商品名]]) = 1, 1,0)</f>
        <v/>
      </c>
      <c r="G379" s="133">
        <f>TEXT(SUMIF($C$3:C379,商品マスタ[[#This Row],[仕入先]],$F$3:F379), "0000")</f>
        <v/>
      </c>
      <c r="H379" s="167" t="inlineStr">
        <is>
          <t>kg</t>
        </is>
      </c>
      <c r="I379" s="167" t="n"/>
      <c r="J379" s="167" t="n"/>
      <c r="K379" s="167" t="n"/>
      <c r="L379" s="289" t="n">
        <v>1450</v>
      </c>
      <c r="M379" s="157" t="n"/>
      <c r="N379" s="289" t="n"/>
      <c r="O379" s="290">
        <f>IF(COUNT(商品マスタ[[#This Row],[参考上代
（税込)]]) &gt; 0, (商品マスタ[[#This Row],[参考上代
（税込)]]-商品マスタ[[#This Row],[国内定価
（15％）]])/(商品マスタ[[#This Row],[参考上代
（税込)]]/1.08), "")</f>
        <v/>
      </c>
      <c r="P379" s="136" t="n">
        <v>0.1</v>
      </c>
      <c r="Q379" s="289">
        <f>商品マスタ[[#This Row],[仕入
単価]]*商品マスタ[[#This Row],[標準国内送料率]]</f>
        <v/>
      </c>
      <c r="R379" s="289" t="n"/>
      <c r="S379" s="289">
        <f>IF(ISBLANK(商品マスタ[[#This Row],[実績
国内送料]]),商品マスタ[[#This Row],[標準国内送料]],)</f>
        <v/>
      </c>
      <c r="T379" s="289">
        <f>商品マスタ[[#This Row],[仕入
単価]]+商品マスタ[[#This Row],[国内送料]]</f>
        <v/>
      </c>
      <c r="U379" s="289">
        <f>ROUNDUP(商品マスタ[[#This Row],[仕入単価+国内送料]]/0.8,-1)</f>
        <v/>
      </c>
      <c r="V379" s="289">
        <f>商品マスタ[[#This Row],[海外定価
（20％）]]-商品マスタ[[#This Row],[仕入単価+国内送料]]</f>
        <v/>
      </c>
      <c r="W379" s="167">
        <f>ROUNDUP(商品マスタ[[#This Row],[仕入単価+国内送料]]/0.85,-1)</f>
        <v/>
      </c>
      <c r="X379" s="289">
        <f>商品マスタ[[#This Row],[国内定価
（15％）]]-商品マスタ[[#This Row],[仕入単価+国内送料]]</f>
        <v/>
      </c>
      <c r="Y379" s="139" t="n"/>
      <c r="Z379" s="167" t="n"/>
      <c r="AA379" s="167" t="n"/>
      <c r="AB379" s="167" t="n"/>
      <c r="AC379" s="293" t="n"/>
      <c r="AD379" s="167" t="n"/>
      <c r="AE379" s="167" t="n"/>
      <c r="AF379" s="167" t="n"/>
      <c r="AG379" s="144" t="n"/>
    </row>
    <row r="380" ht="18" customHeight="1" s="207">
      <c r="A380" s="166" t="inlineStr">
        <is>
          <t>精肉</t>
        </is>
      </c>
      <c r="B380" s="176" t="inlineStr">
        <is>
          <t>エゾシカ</t>
        </is>
      </c>
      <c r="C380" s="171" t="inlineStr">
        <is>
          <t>ユック</t>
        </is>
      </c>
      <c r="D380" s="143">
        <f>"PRD_SNJ_"&amp;
_xlfn.XLOOKUP(商品マスタ[[#This Row],[仕入先]],テーブル1[仕入先名],テーブル1[仕入先コード],"XXX",0,1)&amp;
"_"&amp;
商品マスタ[[#This Row],[シリアル]]&amp;
"_"&amp;
TEXT(COUNTIFS(商品マスタ!$C$3:C380,商品マスタ[[#This Row],[仕入先]],商品マスタ!$E$3:E380,商品マスタ[[#This Row],[商品名]]), "00")</f>
        <v/>
      </c>
      <c r="E380" s="171" t="inlineStr">
        <is>
          <t>エゾシカ　スネ</t>
        </is>
      </c>
      <c r="F380" s="167">
        <f>IF(COUNTIFS($C$3:C380,商品マスタ[[#This Row],[仕入先]],$E$3:E380,商品マスタ[[#This Row],[商品名]]) = 1, 1,0)</f>
        <v/>
      </c>
      <c r="G380" s="133">
        <f>TEXT(SUMIF($C$3:C380,商品マスタ[[#This Row],[仕入先]],$F$3:F380), "0000")</f>
        <v/>
      </c>
      <c r="H380" s="167" t="inlineStr">
        <is>
          <t>kg</t>
        </is>
      </c>
      <c r="I380" s="167" t="n"/>
      <c r="J380" s="167" t="n"/>
      <c r="K380" s="167" t="n"/>
      <c r="L380" s="289" t="n">
        <v>1250</v>
      </c>
      <c r="M380" s="157" t="n"/>
      <c r="N380" s="289" t="n"/>
      <c r="O380" s="290">
        <f>IF(COUNT(商品マスタ[[#This Row],[参考上代
（税込)]]) &gt; 0, (商品マスタ[[#This Row],[参考上代
（税込)]]-商品マスタ[[#This Row],[国内定価
（15％）]])/(商品マスタ[[#This Row],[参考上代
（税込)]]/1.08), "")</f>
        <v/>
      </c>
      <c r="P380" s="136" t="n">
        <v>0.1</v>
      </c>
      <c r="Q380" s="289">
        <f>商品マスタ[[#This Row],[仕入
単価]]*商品マスタ[[#This Row],[標準国内送料率]]</f>
        <v/>
      </c>
      <c r="R380" s="289" t="n"/>
      <c r="S380" s="289">
        <f>IF(ISBLANK(商品マスタ[[#This Row],[実績
国内送料]]),商品マスタ[[#This Row],[標準国内送料]],)</f>
        <v/>
      </c>
      <c r="T380" s="289">
        <f>商品マスタ[[#This Row],[仕入
単価]]+商品マスタ[[#This Row],[国内送料]]</f>
        <v/>
      </c>
      <c r="U380" s="289">
        <f>ROUNDUP(商品マスタ[[#This Row],[仕入単価+国内送料]]/0.8,-1)</f>
        <v/>
      </c>
      <c r="V380" s="289">
        <f>商品マスタ[[#This Row],[海外定価
（20％）]]-商品マスタ[[#This Row],[仕入単価+国内送料]]</f>
        <v/>
      </c>
      <c r="W380" s="167">
        <f>ROUNDUP(商品マスタ[[#This Row],[仕入単価+国内送料]]/0.85,-1)</f>
        <v/>
      </c>
      <c r="X380" s="289">
        <f>商品マスタ[[#This Row],[国内定価
（15％）]]-商品マスタ[[#This Row],[仕入単価+国内送料]]</f>
        <v/>
      </c>
      <c r="Y380" s="139" t="n"/>
      <c r="Z380" s="167" t="n"/>
      <c r="AA380" s="167" t="n"/>
      <c r="AB380" s="167" t="n"/>
      <c r="AC380" s="293" t="n"/>
      <c r="AD380" s="167" t="n"/>
      <c r="AE380" s="167" t="n"/>
      <c r="AF380" s="167" t="n"/>
      <c r="AG380" s="144" t="n"/>
    </row>
    <row r="381" ht="18" customHeight="1" s="207">
      <c r="A381" s="166" t="inlineStr">
        <is>
          <t>精肉</t>
        </is>
      </c>
      <c r="B381" s="176" t="inlineStr">
        <is>
          <t>エゾシカ</t>
        </is>
      </c>
      <c r="C381" s="171" t="inlineStr">
        <is>
          <t>ユック</t>
        </is>
      </c>
      <c r="D381" s="143">
        <f>"PRD_SNJ_"&amp;
_xlfn.XLOOKUP(商品マスタ[[#This Row],[仕入先]],テーブル1[仕入先名],テーブル1[仕入先コード],"XXX",0,1)&amp;
"_"&amp;
商品マスタ[[#This Row],[シリアル]]&amp;
"_"&amp;
TEXT(COUNTIFS(商品マスタ!$C$3:C381,商品マスタ[[#This Row],[仕入先]],商品マスタ!$E$3:E381,商品マスタ[[#This Row],[商品名]]), "00")</f>
        <v/>
      </c>
      <c r="E381" s="171" t="inlineStr">
        <is>
          <t>エゾシカ　ミンチ</t>
        </is>
      </c>
      <c r="F381" s="167">
        <f>IF(COUNTIFS($C$3:C381,商品マスタ[[#This Row],[仕入先]],$E$3:E381,商品マスタ[[#This Row],[商品名]]) = 1, 1,0)</f>
        <v/>
      </c>
      <c r="G381" s="133">
        <f>TEXT(SUMIF($C$3:C381,商品マスタ[[#This Row],[仕入先]],$F$3:F381), "0000")</f>
        <v/>
      </c>
      <c r="H381" s="167" t="inlineStr">
        <is>
          <t>kg</t>
        </is>
      </c>
      <c r="I381" s="167" t="n"/>
      <c r="J381" s="167" t="n"/>
      <c r="K381" s="167" t="n"/>
      <c r="L381" s="289" t="n">
        <v>1250</v>
      </c>
      <c r="M381" s="157" t="n"/>
      <c r="N381" s="289" t="n"/>
      <c r="O381" s="290">
        <f>IF(COUNT(商品マスタ[[#This Row],[参考上代
（税込)]]) &gt; 0, (商品マスタ[[#This Row],[参考上代
（税込)]]-商品マスタ[[#This Row],[国内定価
（15％）]])/(商品マスタ[[#This Row],[参考上代
（税込)]]/1.08), "")</f>
        <v/>
      </c>
      <c r="P381" s="136" t="n">
        <v>0.1</v>
      </c>
      <c r="Q381" s="289">
        <f>商品マスタ[[#This Row],[仕入
単価]]*商品マスタ[[#This Row],[標準国内送料率]]</f>
        <v/>
      </c>
      <c r="R381" s="289" t="n"/>
      <c r="S381" s="289">
        <f>IF(ISBLANK(商品マスタ[[#This Row],[実績
国内送料]]),商品マスタ[[#This Row],[標準国内送料]],)</f>
        <v/>
      </c>
      <c r="T381" s="289">
        <f>商品マスタ[[#This Row],[仕入
単価]]+商品マスタ[[#This Row],[国内送料]]</f>
        <v/>
      </c>
      <c r="U381" s="289">
        <f>ROUNDUP(商品マスタ[[#This Row],[仕入単価+国内送料]]/0.8,-1)</f>
        <v/>
      </c>
      <c r="V381" s="289">
        <f>商品マスタ[[#This Row],[海外定価
（20％）]]-商品マスタ[[#This Row],[仕入単価+国内送料]]</f>
        <v/>
      </c>
      <c r="W381" s="167">
        <f>ROUNDUP(商品マスタ[[#This Row],[仕入単価+国内送料]]/0.85,-1)</f>
        <v/>
      </c>
      <c r="X381" s="289">
        <f>商品マスタ[[#This Row],[国内定価
（15％）]]-商品マスタ[[#This Row],[仕入単価+国内送料]]</f>
        <v/>
      </c>
      <c r="Y381" s="139" t="n"/>
      <c r="Z381" s="167" t="n"/>
      <c r="AA381" s="167" t="n"/>
      <c r="AB381" s="167" t="n"/>
      <c r="AC381" s="293" t="n"/>
      <c r="AD381" s="167" t="n"/>
      <c r="AE381" s="167" t="n"/>
      <c r="AF381" s="167" t="n"/>
      <c r="AG381" s="144" t="n"/>
    </row>
    <row r="382" ht="18" customHeight="1" s="207">
      <c r="A382" s="166" t="inlineStr">
        <is>
          <t>水産</t>
        </is>
      </c>
      <c r="B382" s="167" t="inlineStr">
        <is>
          <t>水産物</t>
        </is>
      </c>
      <c r="C382" s="167" t="inlineStr">
        <is>
          <t>NORTH BOAT</t>
        </is>
      </c>
      <c r="D382" s="143">
        <f>"PRD_SNJ_"&amp;
_xlfn.XLOOKUP(商品マスタ[[#This Row],[仕入先]],テーブル1[仕入先名],テーブル1[仕入先コード],"XXX",0,1)&amp;
"_"&amp;
商品マスタ[[#This Row],[シリアル]]&amp;
"_"&amp;
TEXT(COUNTIFS(商品マスタ!$C$3:C382,商品マスタ[[#This Row],[仕入先]],商品マスタ!$E$3:E382,商品マスタ[[#This Row],[商品名]]), "00")</f>
        <v/>
      </c>
      <c r="E382" s="167" t="inlineStr">
        <is>
          <t>利尻昆布ラーメン</t>
        </is>
      </c>
      <c r="F382" s="167">
        <f>IF(COUNTIFS($C$3:C382,商品マスタ[[#This Row],[仕入先]],$E$3:E382,商品マスタ[[#This Row],[商品名]]) = 1, 1,0)</f>
        <v/>
      </c>
      <c r="G382" s="133">
        <f>TEXT(SUMIF($C$3:C382,商品マスタ[[#This Row],[仕入先]],$F$3:F382), "0000")</f>
        <v/>
      </c>
      <c r="H382" s="167" t="inlineStr">
        <is>
          <t>個</t>
        </is>
      </c>
      <c r="I382" s="167" t="n"/>
      <c r="J382" s="167" t="n">
        <v>60</v>
      </c>
      <c r="K382" s="167" t="n"/>
      <c r="L382" s="289" t="n">
        <v>220</v>
      </c>
      <c r="M382" s="157" t="n"/>
      <c r="N382" s="289" t="n"/>
      <c r="O382" s="290">
        <f>IF(COUNT(商品マスタ[[#This Row],[参考上代
（税込)]]) &gt; 0, (商品マスタ[[#This Row],[参考上代
（税込)]]-商品マスタ[[#This Row],[国内定価
（15％）]])/(商品マスタ[[#This Row],[参考上代
（税込)]]/1.08), "")</f>
        <v/>
      </c>
      <c r="P382" s="136" t="n">
        <v>0.1</v>
      </c>
      <c r="Q382" s="289">
        <f>商品マスタ[[#This Row],[仕入
単価]]*商品マスタ[[#This Row],[標準国内送料率]]</f>
        <v/>
      </c>
      <c r="R382" s="289" t="n">
        <v>1940</v>
      </c>
      <c r="S382" s="289">
        <f>IF(ISBLANK(商品マスタ[[#This Row],[実績
国内送料]]),商品マスタ[[#This Row],[標準国内送料]],)</f>
        <v/>
      </c>
      <c r="T382" s="289">
        <f>商品マスタ[[#This Row],[仕入
単価]]+商品マスタ[[#This Row],[国内送料]]</f>
        <v/>
      </c>
      <c r="U382" s="289">
        <f>ROUNDUP(商品マスタ[[#This Row],[仕入単価+国内送料]]/0.8,-1)</f>
        <v/>
      </c>
      <c r="V382" s="289">
        <f>商品マスタ[[#This Row],[海外定価
（20％）]]-商品マスタ[[#This Row],[仕入単価+国内送料]]</f>
        <v/>
      </c>
      <c r="W382" s="167">
        <f>ROUNDUP(商品マスタ[[#This Row],[仕入単価+国内送料]]/0.85,-1)</f>
        <v/>
      </c>
      <c r="X382" s="289">
        <f>商品マスタ[[#This Row],[国内定価
（15％）]]-商品マスタ[[#This Row],[仕入単価+国内送料]]</f>
        <v/>
      </c>
      <c r="Y382" s="139" t="n">
        <v>0.08</v>
      </c>
      <c r="Z382" s="167" t="n"/>
      <c r="AA382" s="167" t="n"/>
      <c r="AB382" s="167" t="n"/>
      <c r="AC382" s="293" t="n"/>
      <c r="AD382" s="167" t="n"/>
      <c r="AE382" s="167" t="n"/>
      <c r="AF382" s="167" t="n"/>
      <c r="AG382" s="144" t="n"/>
    </row>
    <row r="383" ht="18" customHeight="1" s="207">
      <c r="A383" s="166" t="inlineStr">
        <is>
          <t>加工品</t>
        </is>
      </c>
      <c r="B383" s="170" t="inlineStr">
        <is>
          <t>肉加工品</t>
        </is>
      </c>
      <c r="C383" s="171" t="inlineStr">
        <is>
          <t>ソバージュド函館</t>
        </is>
      </c>
      <c r="D383" s="143">
        <f>"PRD_SNJ_"&amp;
_xlfn.XLOOKUP(商品マスタ[[#This Row],[仕入先]],テーブル1[仕入先名],テーブル1[仕入先コード],"XXX",0,1)&amp;
"_"&amp;
商品マスタ[[#This Row],[シリアル]]&amp;
"_"&amp;
TEXT(COUNTIFS(商品マスタ!$C$3:C383,商品マスタ[[#This Row],[仕入先]],商品マスタ!$E$3:E383,商品マスタ[[#This Row],[商品名]]), "00")</f>
        <v/>
      </c>
      <c r="E383" s="167" t="inlineStr">
        <is>
          <t>熊掌（後脚）</t>
        </is>
      </c>
      <c r="F383" s="167">
        <f>IF(COUNTIFS($C$3:C383,商品マスタ[[#This Row],[仕入先]],$E$3:E383,商品マスタ[[#This Row],[商品名]]) = 1, 1,0)</f>
        <v/>
      </c>
      <c r="G383" s="133">
        <f>TEXT(SUMIF($C$3:C383,商品マスタ[[#This Row],[仕入先]],$F$3:F383), "0000")</f>
        <v/>
      </c>
      <c r="H383" s="167" t="inlineStr">
        <is>
          <t>kg</t>
        </is>
      </c>
      <c r="I383" s="167" t="n"/>
      <c r="J383" s="167" t="n">
        <v>1</v>
      </c>
      <c r="K383" s="167" t="n"/>
      <c r="L383" s="289" t="n">
        <v>15000</v>
      </c>
      <c r="M383" s="157" t="n"/>
      <c r="N383" s="289" t="n"/>
      <c r="O383" s="290">
        <f>IF(COUNT(商品マスタ[[#This Row],[参考上代
（税込)]]) &gt; 0, (商品マスタ[[#This Row],[参考上代
（税込)]]-商品マスタ[[#This Row],[国内定価
（15％）]])/(商品マスタ[[#This Row],[参考上代
（税込)]]/1.08), "")</f>
        <v/>
      </c>
      <c r="P383" s="136" t="n">
        <v>0.1</v>
      </c>
      <c r="Q383" s="289">
        <f>商品マスタ[[#This Row],[仕入
単価]]*商品マスタ[[#This Row],[標準国内送料率]]</f>
        <v/>
      </c>
      <c r="R383" s="289" t="n">
        <v>0</v>
      </c>
      <c r="S383" s="289">
        <f>IF(ISBLANK(商品マスタ[[#This Row],[実績
国内送料]]),商品マスタ[[#This Row],[標準国内送料]],)</f>
        <v/>
      </c>
      <c r="T383" s="289">
        <f>商品マスタ[[#This Row],[仕入
単価]]+商品マスタ[[#This Row],[国内送料]]</f>
        <v/>
      </c>
      <c r="U383" s="289">
        <f>ROUNDUP(商品マスタ[[#This Row],[仕入単価+国内送料]]/0.8,-1)</f>
        <v/>
      </c>
      <c r="V383" s="289">
        <f>商品マスタ[[#This Row],[海外定価
（20％）]]-商品マスタ[[#This Row],[仕入単価+国内送料]]</f>
        <v/>
      </c>
      <c r="W383" s="167">
        <f>ROUNDUP(商品マスタ[[#This Row],[仕入単価+国内送料]]/0.85,-1)</f>
        <v/>
      </c>
      <c r="X383" s="289">
        <f>商品マスタ[[#This Row],[国内定価
（15％）]]-商品マスタ[[#This Row],[仕入単価+国内送料]]</f>
        <v/>
      </c>
      <c r="Y383" s="139" t="n">
        <v>0.08</v>
      </c>
      <c r="Z383" s="167" t="n"/>
      <c r="AA383" s="167" t="n"/>
      <c r="AB383" s="167" t="n"/>
      <c r="AC383" s="293" t="n"/>
      <c r="AD383" s="167" t="n"/>
      <c r="AE383" s="167" t="n"/>
      <c r="AF383" s="167" t="n"/>
      <c r="AG383" s="144" t="n"/>
    </row>
    <row r="384" ht="18" customHeight="1" s="207">
      <c r="A384" s="166" t="inlineStr">
        <is>
          <t>精肉</t>
        </is>
      </c>
      <c r="B384" s="170" t="inlineStr">
        <is>
          <t>エゾシカ</t>
        </is>
      </c>
      <c r="C384" s="167" t="inlineStr">
        <is>
          <t>狩人の蔵</t>
        </is>
      </c>
      <c r="D384" s="143">
        <f>"PRD_SNJ_"&amp;
_xlfn.XLOOKUP(商品マスタ[[#This Row],[仕入先]],テーブル1[仕入先名],テーブル1[仕入先コード],"XXX",0,1)&amp;
"_"&amp;
商品マスタ[[#This Row],[シリアル]]&amp;
"_"&amp;
TEXT(COUNTIFS(商品マスタ!$C$3:C384,商品マスタ[[#This Row],[仕入先]],商品マスタ!$E$3:E384,商品マスタ[[#This Row],[商品名]]), "00")</f>
        <v/>
      </c>
      <c r="E384" s="171" t="inlineStr">
        <is>
          <t>熊掌（前脚）</t>
        </is>
      </c>
      <c r="F384" s="167">
        <f>IF(COUNTIFS($C$3:C384,商品マスタ[[#This Row],[仕入先]],$E$3:E384,商品マスタ[[#This Row],[商品名]]) = 1, 1,0)</f>
        <v/>
      </c>
      <c r="G384" s="133">
        <f>TEXT(SUMIF($C$3:C384,商品マスタ[[#This Row],[仕入先]],$F$3:F384), "0000")</f>
        <v/>
      </c>
      <c r="H384" s="167" t="inlineStr">
        <is>
          <t>kg</t>
        </is>
      </c>
      <c r="I384" s="167" t="n"/>
      <c r="J384" s="167" t="n">
        <v>1</v>
      </c>
      <c r="K384" s="167" t="n"/>
      <c r="L384" s="289" t="n">
        <v>11000</v>
      </c>
      <c r="M384" s="157" t="n"/>
      <c r="N384" s="289" t="n"/>
      <c r="O384" s="290">
        <f>IF(COUNT(商品マスタ[[#This Row],[参考上代
（税込)]]) &gt; 0, (商品マスタ[[#This Row],[参考上代
（税込)]]-商品マスタ[[#This Row],[国内定価
（15％）]])/(商品マスタ[[#This Row],[参考上代
（税込)]]/1.08), "")</f>
        <v/>
      </c>
      <c r="P384" s="136" t="n">
        <v>0.1</v>
      </c>
      <c r="Q384" s="289">
        <f>商品マスタ[[#This Row],[仕入
単価]]*商品マスタ[[#This Row],[標準国内送料率]]</f>
        <v/>
      </c>
      <c r="R384" s="289" t="n"/>
      <c r="S384" s="289">
        <f>IF(ISBLANK(商品マスタ[[#This Row],[実績
国内送料]]),商品マスタ[[#This Row],[標準国内送料]],)</f>
        <v/>
      </c>
      <c r="T384" s="289">
        <f>商品マスタ[[#This Row],[仕入
単価]]+商品マスタ[[#This Row],[国内送料]]</f>
        <v/>
      </c>
      <c r="U384" s="289">
        <f>ROUNDUP(商品マスタ[[#This Row],[仕入単価+国内送料]]/0.8,-1)</f>
        <v/>
      </c>
      <c r="V384" s="289">
        <f>商品マスタ[[#This Row],[海外定価
（20％）]]-商品マスタ[[#This Row],[仕入単価+国内送料]]</f>
        <v/>
      </c>
      <c r="W384" s="167">
        <f>ROUNDUP(商品マスタ[[#This Row],[仕入単価+国内送料]]/0.85,-1)</f>
        <v/>
      </c>
      <c r="X384" s="289">
        <f>商品マスタ[[#This Row],[国内定価
（15％）]]-商品マスタ[[#This Row],[仕入単価+国内送料]]</f>
        <v/>
      </c>
      <c r="Y384" s="139" t="n">
        <v>0.08</v>
      </c>
      <c r="Z384" s="167" t="n"/>
      <c r="AA384" s="167" t="n"/>
      <c r="AB384" s="167" t="n"/>
      <c r="AC384" s="293" t="n"/>
      <c r="AD384" s="167" t="n"/>
      <c r="AE384" s="167" t="n"/>
      <c r="AF384" s="167" t="n"/>
      <c r="AG384" s="144" t="n"/>
    </row>
    <row r="385" ht="18" customHeight="1" s="207">
      <c r="A385" s="166" t="inlineStr">
        <is>
          <t>精肉</t>
        </is>
      </c>
      <c r="B385" s="170" t="inlineStr">
        <is>
          <t>エゾシカ</t>
        </is>
      </c>
      <c r="C385" s="167" t="inlineStr">
        <is>
          <t>狩人の蔵</t>
        </is>
      </c>
      <c r="D385" s="143">
        <f>"PRD_SNJ_"&amp;
_xlfn.XLOOKUP(商品マスタ[[#This Row],[仕入先]],テーブル1[仕入先名],テーブル1[仕入先コード],"XXX",0,1)&amp;
"_"&amp;
商品マスタ[[#This Row],[シリアル]]&amp;
"_"&amp;
TEXT(COUNTIFS(商品マスタ!$C$3:C385,商品マスタ[[#This Row],[仕入先]],商品マスタ!$E$3:E385,商品マスタ[[#This Row],[商品名]]), "00")</f>
        <v/>
      </c>
      <c r="E385" s="171" t="inlineStr">
        <is>
          <t>熊掌（後脚）</t>
        </is>
      </c>
      <c r="F385" s="167">
        <f>IF(COUNTIFS($C$3:C385,商品マスタ[[#This Row],[仕入先]],$E$3:E385,商品マスタ[[#This Row],[商品名]]) = 1, 1,0)</f>
        <v/>
      </c>
      <c r="G385" s="133">
        <f>TEXT(SUMIF($C$3:C385,商品マスタ[[#This Row],[仕入先]],$F$3:F385), "0000")</f>
        <v/>
      </c>
      <c r="H385" s="167" t="inlineStr">
        <is>
          <t>kg</t>
        </is>
      </c>
      <c r="I385" s="167" t="n"/>
      <c r="J385" s="167" t="n">
        <v>1</v>
      </c>
      <c r="K385" s="167" t="n"/>
      <c r="L385" s="289" t="n">
        <v>8000</v>
      </c>
      <c r="M385" s="157" t="n"/>
      <c r="N385" s="289" t="n"/>
      <c r="O385" s="290">
        <f>IF(COUNT(商品マスタ[[#This Row],[参考上代
（税込)]]) &gt; 0, (商品マスタ[[#This Row],[参考上代
（税込)]]-商品マスタ[[#This Row],[国内定価
（15％）]])/(商品マスタ[[#This Row],[参考上代
（税込)]]/1.08), "")</f>
        <v/>
      </c>
      <c r="P385" s="136" t="n">
        <v>0.1</v>
      </c>
      <c r="Q385" s="289">
        <f>商品マスタ[[#This Row],[仕入
単価]]*商品マスタ[[#This Row],[標準国内送料率]]</f>
        <v/>
      </c>
      <c r="R385" s="289" t="n"/>
      <c r="S385" s="289">
        <f>IF(ISBLANK(商品マスタ[[#This Row],[実績
国内送料]]),商品マスタ[[#This Row],[標準国内送料]],)</f>
        <v/>
      </c>
      <c r="T385" s="289">
        <f>商品マスタ[[#This Row],[仕入
単価]]+商品マスタ[[#This Row],[国内送料]]</f>
        <v/>
      </c>
      <c r="U385" s="289">
        <f>ROUNDUP(商品マスタ[[#This Row],[仕入単価+国内送料]]/0.8,-1)</f>
        <v/>
      </c>
      <c r="V385" s="289">
        <f>商品マスタ[[#This Row],[海外定価
（20％）]]-商品マスタ[[#This Row],[仕入単価+国内送料]]</f>
        <v/>
      </c>
      <c r="W385" s="167">
        <f>ROUNDUP(商品マスタ[[#This Row],[仕入単価+国内送料]]/0.85,-1)</f>
        <v/>
      </c>
      <c r="X385" s="289">
        <f>商品マスタ[[#This Row],[国内定価
（15％）]]-商品マスタ[[#This Row],[仕入単価+国内送料]]</f>
        <v/>
      </c>
      <c r="Y385" s="139" t="n">
        <v>0.08</v>
      </c>
      <c r="Z385" s="167" t="n"/>
      <c r="AA385" s="167" t="n"/>
      <c r="AB385" s="167" t="n"/>
      <c r="AC385" s="293" t="n"/>
      <c r="AD385" s="167" t="n"/>
      <c r="AE385" s="167" t="n"/>
      <c r="AF385" s="167" t="n"/>
      <c r="AG385" s="144" t="n"/>
    </row>
    <row r="386" ht="18" customHeight="1" s="207">
      <c r="A386" s="166" t="inlineStr">
        <is>
          <t>精肉</t>
        </is>
      </c>
      <c r="B386" s="167" t="inlineStr">
        <is>
          <t>和牛</t>
        </is>
      </c>
      <c r="C386" s="167" t="inlineStr">
        <is>
          <t>GOODGOOD</t>
        </is>
      </c>
      <c r="D386" s="143">
        <f>"PRD_SNJ_"&amp;
_xlfn.XLOOKUP(商品マスタ[[#This Row],[仕入先]],テーブル1[仕入先名],テーブル1[仕入先コード],"XXX",0,1)&amp;
"_"&amp;
商品マスタ[[#This Row],[シリアル]]&amp;
"_"&amp;
TEXT(COUNTIFS(商品マスタ!$C$3:C386,商品マスタ[[#This Row],[仕入先]],商品マスタ!$E$3:E386,商品マスタ[[#This Row],[商品名]]), "00")</f>
        <v/>
      </c>
      <c r="E386" s="167" t="inlineStr">
        <is>
          <t>阿蘇赤身和牛　ミンチ（部位指定なし）</t>
        </is>
      </c>
      <c r="F386" s="167">
        <f>IF(COUNTIFS($C$3:C386,商品マスタ[[#This Row],[仕入先]],$E$3:E386,商品マスタ[[#This Row],[商品名]]) = 1, 1,0)</f>
        <v/>
      </c>
      <c r="G386" s="133">
        <f>TEXT(SUMIF($C$3:C386,商品マスタ[[#This Row],[仕入先]],$F$3:F386), "0000")</f>
        <v/>
      </c>
      <c r="H386" s="167" t="inlineStr">
        <is>
          <t>kg</t>
        </is>
      </c>
      <c r="I386" s="167" t="inlineStr">
        <is>
          <t>1kgブロック</t>
        </is>
      </c>
      <c r="J386" s="167" t="n">
        <v>1</v>
      </c>
      <c r="K386" s="167" t="inlineStr">
        <is>
          <t>ブロック凍結</t>
        </is>
      </c>
      <c r="L386" s="289" t="n">
        <v>4000</v>
      </c>
      <c r="M386" s="157" t="n">
        <v>46080</v>
      </c>
      <c r="N386" s="289" t="n"/>
      <c r="O386" s="290">
        <f>IF(COUNT(商品マスタ[[#This Row],[参考上代
（税込)]]) &gt; 0, (商品マスタ[[#This Row],[参考上代
（税込)]]-商品マスタ[[#This Row],[国内定価
（15％）]])/(商品マスタ[[#This Row],[参考上代
（税込)]]/1.08), "")</f>
        <v/>
      </c>
      <c r="P386" s="136" t="n">
        <v>0.1</v>
      </c>
      <c r="Q386" s="289">
        <f>商品マスタ[[#This Row],[仕入
単価]]*商品マスタ[[#This Row],[標準国内送料率]]</f>
        <v/>
      </c>
      <c r="R386" s="289" t="n">
        <v>0</v>
      </c>
      <c r="S386" s="289">
        <f>IF(ISBLANK(商品マスタ[[#This Row],[実績
国内送料]]),商品マスタ[[#This Row],[標準国内送料]],)</f>
        <v/>
      </c>
      <c r="T386" s="289">
        <f>商品マスタ[[#This Row],[仕入
単価]]+商品マスタ[[#This Row],[国内送料]]</f>
        <v/>
      </c>
      <c r="U386" s="289">
        <f>ROUNDUP(商品マスタ[[#This Row],[仕入単価+国内送料]]/0.8,-1)</f>
        <v/>
      </c>
      <c r="V386" s="289">
        <f>商品マスタ[[#This Row],[海外定価
（20％）]]-商品マスタ[[#This Row],[仕入単価+国内送料]]</f>
        <v/>
      </c>
      <c r="W386" s="167">
        <f>ROUNDUP(商品マスタ[[#This Row],[仕入単価+国内送料]]/0.85,-1)</f>
        <v/>
      </c>
      <c r="X386" s="289">
        <f>商品マスタ[[#This Row],[国内定価
（15％）]]-商品マスタ[[#This Row],[仕入単価+国内送料]]</f>
        <v/>
      </c>
      <c r="Y386" s="139" t="n">
        <v>0.08</v>
      </c>
      <c r="Z386" s="167" t="inlineStr">
        <is>
          <t>2年</t>
        </is>
      </c>
      <c r="AA386" s="167" t="inlineStr">
        <is>
          <t>冷凍</t>
        </is>
      </c>
      <c r="AB386" s="167" t="n"/>
      <c r="AC386" s="293" t="n"/>
      <c r="AD386" s="167" t="n"/>
      <c r="AE386" s="167" t="n"/>
      <c r="AF386" s="167" t="n"/>
      <c r="AG386" s="144" t="n"/>
    </row>
    <row r="387" ht="18" customHeight="1" s="207">
      <c r="A387" s="166" t="inlineStr">
        <is>
          <t>飲料アルコール</t>
        </is>
      </c>
      <c r="B387" s="167" t="inlineStr">
        <is>
          <t>茶</t>
        </is>
      </c>
      <c r="C387" s="167" t="inlineStr">
        <is>
          <t>協栄製茶　壱之庄</t>
        </is>
      </c>
      <c r="D387" s="143">
        <f>"PRD_SNJ_"&amp;
_xlfn.XLOOKUP(商品マスタ[[#This Row],[仕入先]],テーブル1[仕入先名],テーブル1[仕入先コード],"XXX",0,1)&amp;
"_"&amp;
商品マスタ[[#This Row],[シリアル]]&amp;
"_"&amp;
TEXT(COUNTIFS(商品マスタ!$C$3:C387,商品マスタ[[#This Row],[仕入先]],商品マスタ!$E$3:E387,商品マスタ[[#This Row],[商品名]]), "00")</f>
        <v/>
      </c>
      <c r="E387" s="167" t="inlineStr">
        <is>
          <t>雁の音ほうじ茶壱之棒（ティーバッグ） 45袋</t>
        </is>
      </c>
      <c r="F387" s="167">
        <f>IF(COUNTIFS($C$3:C387,商品マスタ[[#This Row],[仕入先]],$E$3:E387,商品マスタ[[#This Row],[商品名]]) = 1, 1,0)</f>
        <v/>
      </c>
      <c r="G387" s="133">
        <f>TEXT(SUMIF($C$3:C387,商品マスタ[[#This Row],[仕入先]],$F$3:F387), "0000")</f>
        <v/>
      </c>
      <c r="H387" s="167" t="inlineStr">
        <is>
          <t>パック</t>
        </is>
      </c>
      <c r="I387" s="167" t="inlineStr">
        <is>
          <t>3g×45袋</t>
        </is>
      </c>
      <c r="J387" s="167" t="n">
        <v>1</v>
      </c>
      <c r="K387" s="167" t="n"/>
      <c r="L387" s="289" t="n">
        <v>1041</v>
      </c>
      <c r="M387" s="157" t="n">
        <v>46002</v>
      </c>
      <c r="N387" s="289" t="n"/>
      <c r="O387" s="290">
        <f>IF(COUNT(商品マスタ[[#This Row],[参考上代
（税込)]]) &gt; 0, (商品マスタ[[#This Row],[参考上代
（税込)]]-商品マスタ[[#This Row],[国内定価
（15％）]])/(商品マスタ[[#This Row],[参考上代
（税込)]]/1.08), "")</f>
        <v/>
      </c>
      <c r="P387" s="136" t="n">
        <v>0.1</v>
      </c>
      <c r="Q387" s="289">
        <f>商品マスタ[[#This Row],[仕入
単価]]*商品マスタ[[#This Row],[標準国内送料率]]</f>
        <v/>
      </c>
      <c r="R387" s="289" t="n">
        <v>0</v>
      </c>
      <c r="S387" s="289">
        <f>IF(ISBLANK(商品マスタ[[#This Row],[実績
国内送料]]),商品マスタ[[#This Row],[標準国内送料]],)</f>
        <v/>
      </c>
      <c r="T387" s="289">
        <f>商品マスタ[[#This Row],[仕入
単価]]+商品マスタ[[#This Row],[国内送料]]</f>
        <v/>
      </c>
      <c r="U387" s="289">
        <f>ROUNDUP(商品マスタ[[#This Row],[仕入単価+国内送料]]/0.8,-1)</f>
        <v/>
      </c>
      <c r="V387" s="289">
        <f>商品マスタ[[#This Row],[海外定価
（20％）]]-商品マスタ[[#This Row],[仕入単価+国内送料]]</f>
        <v/>
      </c>
      <c r="W387" s="167">
        <f>ROUNDUP(商品マスタ[[#This Row],[仕入単価+国内送料]]/0.85,-1)</f>
        <v/>
      </c>
      <c r="X387" s="289">
        <f>商品マスタ[[#This Row],[国内定価
（15％）]]-商品マスタ[[#This Row],[仕入単価+国内送料]]</f>
        <v/>
      </c>
      <c r="Y387" s="139" t="n">
        <v>0.08</v>
      </c>
      <c r="Z387" s="167" t="n"/>
      <c r="AA387" s="167" t="n"/>
      <c r="AB387" s="167" t="n"/>
      <c r="AC387" s="293" t="n"/>
      <c r="AD387" s="167" t="n"/>
      <c r="AE387" s="167" t="n"/>
      <c r="AF387" s="167" t="n"/>
      <c r="AG387" s="144" t="n"/>
    </row>
    <row r="388" ht="18" customHeight="1" s="207">
      <c r="A388" s="166" t="inlineStr">
        <is>
          <t>飲料アルコール</t>
        </is>
      </c>
      <c r="B388" s="167" t="inlineStr">
        <is>
          <t>茶</t>
        </is>
      </c>
      <c r="C388" s="167" t="inlineStr">
        <is>
          <t>協栄製茶　壱之庄</t>
        </is>
      </c>
      <c r="D388" s="143">
        <f>"PRD_SNJ_"&amp;
_xlfn.XLOOKUP(商品マスタ[[#This Row],[仕入先]],テーブル1[仕入先名],テーブル1[仕入先コード],"XXX",0,1)&amp;
"_"&amp;
商品マスタ[[#This Row],[シリアル]]&amp;
"_"&amp;
TEXT(COUNTIFS(商品マスタ!$C$3:C388,商品マスタ[[#This Row],[仕入先]],商品マスタ!$E$3:E388,商品マスタ[[#This Row],[商品名]]), "00")</f>
        <v/>
      </c>
      <c r="E388" s="167" t="inlineStr">
        <is>
          <t>雁の音ほうじ茶壱之棒（ティーバッグ） 20袋</t>
        </is>
      </c>
      <c r="F388" s="167">
        <f>IF(COUNTIFS($C$3:C388,商品マスタ[[#This Row],[仕入先]],$E$3:E388,商品マスタ[[#This Row],[商品名]]) = 1, 1,0)</f>
        <v/>
      </c>
      <c r="G388" s="133">
        <f>TEXT(SUMIF($C$3:C388,商品マスタ[[#This Row],[仕入先]],$F$3:F388), "0000")</f>
        <v/>
      </c>
      <c r="H388" s="167" t="inlineStr">
        <is>
          <t>パック</t>
        </is>
      </c>
      <c r="I388" s="167" t="inlineStr">
        <is>
          <t>3g×20袋</t>
        </is>
      </c>
      <c r="J388" s="167" t="n">
        <v>1</v>
      </c>
      <c r="K388" s="167" t="n"/>
      <c r="L388" s="289" t="n">
        <v>561</v>
      </c>
      <c r="M388" s="157" t="n">
        <v>46002</v>
      </c>
      <c r="N388" s="289" t="n"/>
      <c r="O388" s="290">
        <f>IF(COUNT(商品マスタ[[#This Row],[参考上代
（税込)]]) &gt; 0, (商品マスタ[[#This Row],[参考上代
（税込)]]-商品マスタ[[#This Row],[国内定価
（15％）]])/(商品マスタ[[#This Row],[参考上代
（税込)]]/1.08), "")</f>
        <v/>
      </c>
      <c r="P388" s="136" t="n">
        <v>0.1</v>
      </c>
      <c r="Q388" s="289">
        <f>商品マスタ[[#This Row],[仕入
単価]]*商品マスタ[[#This Row],[標準国内送料率]]</f>
        <v/>
      </c>
      <c r="R388" s="289" t="n">
        <v>0</v>
      </c>
      <c r="S388" s="289">
        <f>IF(ISBLANK(商品マスタ[[#This Row],[実績
国内送料]]),商品マスタ[[#This Row],[標準国内送料]],)</f>
        <v/>
      </c>
      <c r="T388" s="289">
        <f>商品マスタ[[#This Row],[仕入
単価]]+商品マスタ[[#This Row],[国内送料]]</f>
        <v/>
      </c>
      <c r="U388" s="289">
        <f>ROUNDUP(商品マスタ[[#This Row],[仕入単価+国内送料]]/0.8,-1)</f>
        <v/>
      </c>
      <c r="V388" s="289">
        <f>商品マスタ[[#This Row],[海外定価
（20％）]]-商品マスタ[[#This Row],[仕入単価+国内送料]]</f>
        <v/>
      </c>
      <c r="W388" s="167">
        <f>ROUNDUP(商品マスタ[[#This Row],[仕入単価+国内送料]]/0.85,-1)</f>
        <v/>
      </c>
      <c r="X388" s="289">
        <f>商品マスタ[[#This Row],[国内定価
（15％）]]-商品マスタ[[#This Row],[仕入単価+国内送料]]</f>
        <v/>
      </c>
      <c r="Y388" s="139" t="n">
        <v>0.08</v>
      </c>
      <c r="Z388" s="167" t="n"/>
      <c r="AA388" s="167" t="n"/>
      <c r="AB388" s="167" t="n"/>
      <c r="AC388" s="293" t="n"/>
      <c r="AD388" s="167" t="n"/>
      <c r="AE388" s="167" t="n"/>
      <c r="AF388" s="167" t="n"/>
      <c r="AG388" s="144" t="n"/>
    </row>
    <row r="389" ht="18" customHeight="1" s="207">
      <c r="A389" s="166" t="inlineStr">
        <is>
          <t>飲料アルコール</t>
        </is>
      </c>
      <c r="B389" s="167" t="inlineStr">
        <is>
          <t>茶</t>
        </is>
      </c>
      <c r="C389" s="167" t="inlineStr">
        <is>
          <t>協栄製茶　壱之庄</t>
        </is>
      </c>
      <c r="D389" s="143">
        <f>"PRD_SNJ_"&amp;
_xlfn.XLOOKUP(商品マスタ[[#This Row],[仕入先]],テーブル1[仕入先名],テーブル1[仕入先コード],"XXX",0,1)&amp;
"_"&amp;
商品マスタ[[#This Row],[シリアル]]&amp;
"_"&amp;
TEXT(COUNTIFS(商品マスタ!$C$3:C389,商品マスタ[[#This Row],[仕入先]],商品マスタ!$E$3:E389,商品マスタ[[#This Row],[商品名]]), "00")</f>
        <v/>
      </c>
      <c r="E389" s="167" t="inlineStr">
        <is>
          <t>雁の音ほうじ茶壱之棒（茶葉） 50g</t>
        </is>
      </c>
      <c r="F389" s="167">
        <f>IF(COUNTIFS($C$3:C389,商品マスタ[[#This Row],[仕入先]],$E$3:E389,商品マスタ[[#This Row],[商品名]]) = 1, 1,0)</f>
        <v/>
      </c>
      <c r="G389" s="133">
        <f>TEXT(SUMIF($C$3:C389,商品マスタ[[#This Row],[仕入先]],$F$3:F389), "0000")</f>
        <v/>
      </c>
      <c r="H389" s="167" t="inlineStr">
        <is>
          <t>袋</t>
        </is>
      </c>
      <c r="I389" s="167" t="inlineStr">
        <is>
          <t>50g</t>
        </is>
      </c>
      <c r="J389" s="167" t="n">
        <v>1</v>
      </c>
      <c r="K389" s="167" t="n"/>
      <c r="L389" s="289" t="n">
        <v>320</v>
      </c>
      <c r="M389" s="157" t="n">
        <v>46002</v>
      </c>
      <c r="N389" s="289" t="n"/>
      <c r="O389" s="290">
        <f>IF(COUNT(商品マスタ[[#This Row],[参考上代
（税込)]]) &gt; 0, (商品マスタ[[#This Row],[参考上代
（税込)]]-商品マスタ[[#This Row],[国内定価
（15％）]])/(商品マスタ[[#This Row],[参考上代
（税込)]]/1.08), "")</f>
        <v/>
      </c>
      <c r="P389" s="136" t="n">
        <v>0.1</v>
      </c>
      <c r="Q389" s="289">
        <f>商品マスタ[[#This Row],[仕入
単価]]*商品マスタ[[#This Row],[標準国内送料率]]</f>
        <v/>
      </c>
      <c r="R389" s="289" t="n">
        <v>0</v>
      </c>
      <c r="S389" s="289">
        <f>IF(ISBLANK(商品マスタ[[#This Row],[実績
国内送料]]),商品マスタ[[#This Row],[標準国内送料]],)</f>
        <v/>
      </c>
      <c r="T389" s="289">
        <f>商品マスタ[[#This Row],[仕入
単価]]+商品マスタ[[#This Row],[国内送料]]</f>
        <v/>
      </c>
      <c r="U389" s="289">
        <f>ROUNDUP(商品マスタ[[#This Row],[仕入単価+国内送料]]/0.8,-1)</f>
        <v/>
      </c>
      <c r="V389" s="289">
        <f>商品マスタ[[#This Row],[海外定価
（20％）]]-商品マスタ[[#This Row],[仕入単価+国内送料]]</f>
        <v/>
      </c>
      <c r="W389" s="167">
        <f>ROUNDUP(商品マスタ[[#This Row],[仕入単価+国内送料]]/0.85,-1)</f>
        <v/>
      </c>
      <c r="X389" s="289">
        <f>商品マスタ[[#This Row],[国内定価
（15％）]]-商品マスタ[[#This Row],[仕入単価+国内送料]]</f>
        <v/>
      </c>
      <c r="Y389" s="139" t="n">
        <v>0.08</v>
      </c>
      <c r="Z389" s="167" t="n"/>
      <c r="AA389" s="167" t="n"/>
      <c r="AB389" s="167" t="n"/>
      <c r="AC389" s="293" t="n"/>
      <c r="AD389" s="167" t="n"/>
      <c r="AE389" s="167" t="n"/>
      <c r="AF389" s="167" t="n"/>
      <c r="AG389" s="144" t="n"/>
    </row>
    <row r="390" ht="18" customHeight="1" s="207">
      <c r="A390" s="166" t="inlineStr">
        <is>
          <t>飲料アルコール</t>
        </is>
      </c>
      <c r="B390" s="167" t="inlineStr">
        <is>
          <t>茶</t>
        </is>
      </c>
      <c r="C390" s="167" t="inlineStr">
        <is>
          <t>協栄製茶　壱之庄</t>
        </is>
      </c>
      <c r="D390" s="143">
        <f>"PRD_SNJ_"&amp;
_xlfn.XLOOKUP(商品マスタ[[#This Row],[仕入先]],テーブル1[仕入先名],テーブル1[仕入先コード],"XXX",0,1)&amp;
"_"&amp;
商品マスタ[[#This Row],[シリアル]]&amp;
"_"&amp;
TEXT(COUNTIFS(商品マスタ!$C$3:C390,商品マスタ[[#This Row],[仕入先]],商品マスタ!$E$3:E390,商品マスタ[[#This Row],[商品名]]), "00")</f>
        <v/>
      </c>
      <c r="E390" s="167" t="inlineStr">
        <is>
          <t>雁の音ほうじ茶壱之棒（茶葉） 150g</t>
        </is>
      </c>
      <c r="F390" s="167">
        <f>IF(COUNTIFS($C$3:C390,商品マスタ[[#This Row],[仕入先]],$E$3:E390,商品マスタ[[#This Row],[商品名]]) = 1, 1,0)</f>
        <v/>
      </c>
      <c r="G390" s="133">
        <f>TEXT(SUMIF($C$3:C390,商品マスタ[[#This Row],[仕入先]],$F$3:F390), "0000")</f>
        <v/>
      </c>
      <c r="H390" s="167" t="inlineStr">
        <is>
          <t>袋</t>
        </is>
      </c>
      <c r="I390" s="167" t="inlineStr">
        <is>
          <t>150g</t>
        </is>
      </c>
      <c r="J390" s="167" t="n">
        <v>1</v>
      </c>
      <c r="K390" s="167" t="n"/>
      <c r="L390" s="289" t="n">
        <v>560</v>
      </c>
      <c r="M390" s="157" t="n">
        <v>46002</v>
      </c>
      <c r="N390" s="289" t="n"/>
      <c r="O390" s="290">
        <f>IF(COUNT(商品マスタ[[#This Row],[参考上代
（税込)]]) &gt; 0, (商品マスタ[[#This Row],[参考上代
（税込)]]-商品マスタ[[#This Row],[国内定価
（15％）]])/(商品マスタ[[#This Row],[参考上代
（税込)]]/1.08), "")</f>
        <v/>
      </c>
      <c r="P390" s="136" t="n">
        <v>0.1</v>
      </c>
      <c r="Q390" s="289">
        <f>商品マスタ[[#This Row],[仕入
単価]]*商品マスタ[[#This Row],[標準国内送料率]]</f>
        <v/>
      </c>
      <c r="R390" s="289" t="n">
        <v>0</v>
      </c>
      <c r="S390" s="289">
        <f>IF(ISBLANK(商品マスタ[[#This Row],[実績
国内送料]]),商品マスタ[[#This Row],[標準国内送料]],)</f>
        <v/>
      </c>
      <c r="T390" s="289">
        <f>商品マスタ[[#This Row],[仕入
単価]]+商品マスタ[[#This Row],[国内送料]]</f>
        <v/>
      </c>
      <c r="U390" s="289">
        <f>ROUNDUP(商品マスタ[[#This Row],[仕入単価+国内送料]]/0.8,-1)</f>
        <v/>
      </c>
      <c r="V390" s="289">
        <f>商品マスタ[[#This Row],[海外定価
（20％）]]-商品マスタ[[#This Row],[仕入単価+国内送料]]</f>
        <v/>
      </c>
      <c r="W390" s="167">
        <f>ROUNDUP(商品マスタ[[#This Row],[仕入単価+国内送料]]/0.85,-1)</f>
        <v/>
      </c>
      <c r="X390" s="289">
        <f>商品マスタ[[#This Row],[国内定価
（15％）]]-商品マスタ[[#This Row],[仕入単価+国内送料]]</f>
        <v/>
      </c>
      <c r="Y390" s="139" t="n">
        <v>0.08</v>
      </c>
      <c r="Z390" s="167" t="n"/>
      <c r="AA390" s="167" t="n"/>
      <c r="AB390" s="167" t="n"/>
      <c r="AC390" s="293" t="n"/>
      <c r="AD390" s="167" t="n"/>
      <c r="AE390" s="167" t="n"/>
      <c r="AF390" s="167" t="n"/>
      <c r="AG390" s="144" t="n"/>
    </row>
    <row r="391" ht="18" customHeight="1" s="207">
      <c r="A391" s="166" t="inlineStr">
        <is>
          <t>飲料アルコール</t>
        </is>
      </c>
      <c r="B391" s="167" t="inlineStr">
        <is>
          <t>茶</t>
        </is>
      </c>
      <c r="C391" s="167" t="inlineStr">
        <is>
          <t>協栄製茶　壱之庄</t>
        </is>
      </c>
      <c r="D391" s="143">
        <f>"PRD_SNJ_"&amp;
_xlfn.XLOOKUP(商品マスタ[[#This Row],[仕入先]],テーブル1[仕入先名],テーブル1[仕入先コード],"XXX",0,1)&amp;
"_"&amp;
商品マスタ[[#This Row],[シリアル]]&amp;
"_"&amp;
TEXT(COUNTIFS(商品マスタ!$C$3:C391,商品マスタ[[#This Row],[仕入先]],商品マスタ!$E$3:E391,商品マスタ[[#This Row],[商品名]]), "00")</f>
        <v/>
      </c>
      <c r="E391" s="167" t="inlineStr">
        <is>
          <t>雁の音ほうじ茶壱之棒（茶葉） 500g</t>
        </is>
      </c>
      <c r="F391" s="167">
        <f>IF(COUNTIFS($C$3:C391,商品マスタ[[#This Row],[仕入先]],$E$3:E391,商品マスタ[[#This Row],[商品名]]) = 1, 1,0)</f>
        <v/>
      </c>
      <c r="G391" s="133">
        <f>TEXT(SUMIF($C$3:C391,商品マスタ[[#This Row],[仕入先]],$F$3:F391), "0000")</f>
        <v/>
      </c>
      <c r="H391" s="167" t="inlineStr">
        <is>
          <t>袋</t>
        </is>
      </c>
      <c r="I391" s="167" t="inlineStr">
        <is>
          <t>500g</t>
        </is>
      </c>
      <c r="J391" s="167" t="n">
        <v>1</v>
      </c>
      <c r="K391" s="167" t="n"/>
      <c r="L391" s="289" t="n">
        <v>1527</v>
      </c>
      <c r="M391" s="157" t="n">
        <v>46002</v>
      </c>
      <c r="N391" s="289" t="n"/>
      <c r="O391" s="290">
        <f>IF(COUNT(商品マスタ[[#This Row],[参考上代
（税込)]]) &gt; 0, (商品マスタ[[#This Row],[参考上代
（税込)]]-商品マスタ[[#This Row],[国内定価
（15％）]])/(商品マスタ[[#This Row],[参考上代
（税込)]]/1.08), "")</f>
        <v/>
      </c>
      <c r="P391" s="136" t="n">
        <v>0.1</v>
      </c>
      <c r="Q391" s="289">
        <f>商品マスタ[[#This Row],[仕入
単価]]*商品マスタ[[#This Row],[標準国内送料率]]</f>
        <v/>
      </c>
      <c r="R391" s="289" t="n">
        <v>0</v>
      </c>
      <c r="S391" s="289">
        <f>IF(ISBLANK(商品マスタ[[#This Row],[実績
国内送料]]),商品マスタ[[#This Row],[標準国内送料]],)</f>
        <v/>
      </c>
      <c r="T391" s="289">
        <f>商品マスタ[[#This Row],[仕入
単価]]+商品マスタ[[#This Row],[国内送料]]</f>
        <v/>
      </c>
      <c r="U391" s="289">
        <f>ROUNDUP(商品マスタ[[#This Row],[仕入単価+国内送料]]/0.8,-1)</f>
        <v/>
      </c>
      <c r="V391" s="289">
        <f>商品マスタ[[#This Row],[海外定価
（20％）]]-商品マスタ[[#This Row],[仕入単価+国内送料]]</f>
        <v/>
      </c>
      <c r="W391" s="167">
        <f>ROUNDUP(商品マスタ[[#This Row],[仕入単価+国内送料]]/0.85,-1)</f>
        <v/>
      </c>
      <c r="X391" s="289">
        <f>商品マスタ[[#This Row],[国内定価
（15％）]]-商品マスタ[[#This Row],[仕入単価+国内送料]]</f>
        <v/>
      </c>
      <c r="Y391" s="139" t="n">
        <v>0.08</v>
      </c>
      <c r="Z391" s="167" t="n"/>
      <c r="AA391" s="167" t="n"/>
      <c r="AB391" s="167" t="n"/>
      <c r="AC391" s="293" t="n"/>
      <c r="AD391" s="167" t="n"/>
      <c r="AE391" s="167" t="n"/>
      <c r="AF391" s="167" t="n"/>
      <c r="AG391" s="144" t="n"/>
    </row>
    <row r="392" ht="18" customHeight="1" s="207">
      <c r="A392" s="166" t="inlineStr">
        <is>
          <t>飲料アルコール</t>
        </is>
      </c>
      <c r="B392" s="167" t="inlineStr">
        <is>
          <t>茶</t>
        </is>
      </c>
      <c r="C392" s="167" t="inlineStr">
        <is>
          <t>協栄製茶　壱之庄</t>
        </is>
      </c>
      <c r="D392" s="143">
        <f>"PRD_SNJ_"&amp;
_xlfn.XLOOKUP(商品マスタ[[#This Row],[仕入先]],テーブル1[仕入先名],テーブル1[仕入先コード],"XXX",0,1)&amp;
"_"&amp;
商品マスタ[[#This Row],[シリアル]]&amp;
"_"&amp;
TEXT(COUNTIFS(商品マスタ!$C$3:C392,商品マスタ[[#This Row],[仕入先]],商品マスタ!$E$3:E392,商品マスタ[[#This Row],[商品名]]), "00")</f>
        <v/>
      </c>
      <c r="E392" s="167" t="inlineStr">
        <is>
          <t>抹茶A　40g缶</t>
        </is>
      </c>
      <c r="F392" s="167">
        <f>IF(COUNTIFS($C$3:C392,商品マスタ[[#This Row],[仕入先]],$E$3:E392,商品マスタ[[#This Row],[商品名]]) = 1, 1,0)</f>
        <v/>
      </c>
      <c r="G392" s="133">
        <f>TEXT(SUMIF($C$3:C392,商品マスタ[[#This Row],[仕入先]],$F$3:F392), "0000")</f>
        <v/>
      </c>
      <c r="H392" s="167" t="inlineStr">
        <is>
          <t>缶</t>
        </is>
      </c>
      <c r="I392" s="167" t="inlineStr">
        <is>
          <t>40g</t>
        </is>
      </c>
      <c r="J392" s="167" t="n">
        <v>1</v>
      </c>
      <c r="K392" s="167" t="n"/>
      <c r="L392" s="289" t="n">
        <v>4760</v>
      </c>
      <c r="M392" s="157" t="n">
        <v>46048</v>
      </c>
      <c r="N392" s="289" t="n"/>
      <c r="O392" s="290">
        <f>IF(COUNT(商品マスタ[[#This Row],[参考上代
（税込)]]) &gt; 0, (商品マスタ[[#This Row],[参考上代
（税込)]]-商品マスタ[[#This Row],[国内定価
（15％）]])/(商品マスタ[[#This Row],[参考上代
（税込)]]/1.08), "")</f>
        <v/>
      </c>
      <c r="P392" s="136" t="n">
        <v>0.1</v>
      </c>
      <c r="Q392" s="289">
        <f>商品マスタ[[#This Row],[仕入
単価]]*商品マスタ[[#This Row],[標準国内送料率]]</f>
        <v/>
      </c>
      <c r="R392" s="289" t="n">
        <v>0</v>
      </c>
      <c r="S392" s="289">
        <f>IF(ISBLANK(商品マスタ[[#This Row],[実績
国内送料]]),商品マスタ[[#This Row],[標準国内送料]],)</f>
        <v/>
      </c>
      <c r="T392" s="289">
        <f>商品マスタ[[#This Row],[仕入
単価]]+商品マスタ[[#This Row],[国内送料]]</f>
        <v/>
      </c>
      <c r="U392" s="289">
        <f>ROUNDUP(商品マスタ[[#This Row],[仕入単価+国内送料]]/0.8,-1)</f>
        <v/>
      </c>
      <c r="V392" s="289">
        <f>商品マスタ[[#This Row],[海外定価
（20％）]]-商品マスタ[[#This Row],[仕入単価+国内送料]]</f>
        <v/>
      </c>
      <c r="W392" s="167">
        <f>ROUNDUP(商品マスタ[[#This Row],[仕入単価+国内送料]]/0.85,-1)</f>
        <v/>
      </c>
      <c r="X392" s="289">
        <f>商品マスタ[[#This Row],[国内定価
（15％）]]-商品マスタ[[#This Row],[仕入単価+国内送料]]</f>
        <v/>
      </c>
      <c r="Y392" s="139" t="n">
        <v>0.08</v>
      </c>
      <c r="Z392" s="167" t="n"/>
      <c r="AA392" s="167" t="inlineStr">
        <is>
          <t>常温</t>
        </is>
      </c>
      <c r="AB392" s="167" t="n"/>
      <c r="AC392" s="293" t="n"/>
      <c r="AD392" s="167" t="n"/>
      <c r="AE392" s="167" t="n"/>
      <c r="AF392" s="167" t="n"/>
      <c r="AG392" s="144" t="n"/>
    </row>
    <row r="393" ht="18" customHeight="1" s="207">
      <c r="A393" s="166" t="inlineStr">
        <is>
          <t>飲料アルコール</t>
        </is>
      </c>
      <c r="B393" s="167" t="inlineStr">
        <is>
          <t>茶</t>
        </is>
      </c>
      <c r="C393" s="167" t="inlineStr">
        <is>
          <t>協栄製茶　壱之庄</t>
        </is>
      </c>
      <c r="D393" s="143">
        <f>"PRD_SNJ_"&amp;
_xlfn.XLOOKUP(商品マスタ[[#This Row],[仕入先]],テーブル1[仕入先名],テーブル1[仕入先コード],"XXX",0,1)&amp;
"_"&amp;
商品マスタ[[#This Row],[シリアル]]&amp;
"_"&amp;
TEXT(COUNTIFS(商品マスタ!$C$3:C393,商品マスタ[[#This Row],[仕入先]],商品マスタ!$E$3:E393,商品マスタ[[#This Row],[商品名]]), "00")</f>
        <v/>
      </c>
      <c r="E393" s="167" t="inlineStr">
        <is>
          <t>抹茶B　40g缶</t>
        </is>
      </c>
      <c r="F393" s="167">
        <f>IF(COUNTIFS($C$3:C393,商品マスタ[[#This Row],[仕入先]],$E$3:E393,商品マスタ[[#This Row],[商品名]]) = 1, 1,0)</f>
        <v/>
      </c>
      <c r="G393" s="133">
        <f>TEXT(SUMIF($C$3:C393,商品マスタ[[#This Row],[仕入先]],$F$3:F393), "0000")</f>
        <v/>
      </c>
      <c r="H393" s="167" t="inlineStr">
        <is>
          <t>缶</t>
        </is>
      </c>
      <c r="I393" s="167" t="inlineStr">
        <is>
          <t>40g</t>
        </is>
      </c>
      <c r="J393" s="167" t="n">
        <v>1</v>
      </c>
      <c r="K393" s="167" t="n"/>
      <c r="L393" s="289" t="n">
        <v>3740</v>
      </c>
      <c r="M393" s="157" t="n">
        <v>46048</v>
      </c>
      <c r="N393" s="289" t="n"/>
      <c r="O393" s="290">
        <f>IF(COUNT(商品マスタ[[#This Row],[参考上代
（税込)]]) &gt; 0, (商品マスタ[[#This Row],[参考上代
（税込)]]-商品マスタ[[#This Row],[国内定価
（15％）]])/(商品マスタ[[#This Row],[参考上代
（税込)]]/1.08), "")</f>
        <v/>
      </c>
      <c r="P393" s="136" t="n">
        <v>0.1</v>
      </c>
      <c r="Q393" s="289">
        <f>商品マスタ[[#This Row],[仕入
単価]]*商品マスタ[[#This Row],[標準国内送料率]]</f>
        <v/>
      </c>
      <c r="R393" s="289" t="n">
        <v>0</v>
      </c>
      <c r="S393" s="289">
        <f>IF(ISBLANK(商品マスタ[[#This Row],[実績
国内送料]]),商品マスタ[[#This Row],[標準国内送料]],)</f>
        <v/>
      </c>
      <c r="T393" s="289">
        <f>商品マスタ[[#This Row],[仕入
単価]]+商品マスタ[[#This Row],[国内送料]]</f>
        <v/>
      </c>
      <c r="U393" s="289">
        <f>ROUNDUP(商品マスタ[[#This Row],[仕入単価+国内送料]]/0.8,-1)</f>
        <v/>
      </c>
      <c r="V393" s="289">
        <f>商品マスタ[[#This Row],[海外定価
（20％）]]-商品マスタ[[#This Row],[仕入単価+国内送料]]</f>
        <v/>
      </c>
      <c r="W393" s="167">
        <f>ROUNDUP(商品マスタ[[#This Row],[仕入単価+国内送料]]/0.85,-1)</f>
        <v/>
      </c>
      <c r="X393" s="289">
        <f>商品マスタ[[#This Row],[国内定価
（15％）]]-商品マスタ[[#This Row],[仕入単価+国内送料]]</f>
        <v/>
      </c>
      <c r="Y393" s="139" t="n">
        <v>0.08</v>
      </c>
      <c r="Z393" s="167" t="n"/>
      <c r="AA393" s="167" t="inlineStr">
        <is>
          <t>常温</t>
        </is>
      </c>
      <c r="AB393" s="167" t="n"/>
      <c r="AC393" s="293" t="n"/>
      <c r="AD393" s="167" t="n"/>
      <c r="AE393" s="167" t="n"/>
      <c r="AF393" s="167" t="n"/>
      <c r="AG393" s="144" t="n"/>
    </row>
    <row r="394" ht="18" customHeight="1" s="207">
      <c r="A394" s="166" t="inlineStr">
        <is>
          <t>飲料アルコール</t>
        </is>
      </c>
      <c r="B394" s="167" t="inlineStr">
        <is>
          <t>茶</t>
        </is>
      </c>
      <c r="C394" s="167" t="inlineStr">
        <is>
          <t>協栄製茶　壱之庄</t>
        </is>
      </c>
      <c r="D394" s="143">
        <f>"PRD_SNJ_"&amp;
_xlfn.XLOOKUP(商品マスタ[[#This Row],[仕入先]],テーブル1[仕入先名],テーブル1[仕入先コード],"XXX",0,1)&amp;
"_"&amp;
商品マスタ[[#This Row],[シリアル]]&amp;
"_"&amp;
TEXT(COUNTIFS(商品マスタ!$C$3:C394,商品マスタ[[#This Row],[仕入先]],商品マスタ!$E$3:E394,商品マスタ[[#This Row],[商品名]]), "00")</f>
        <v/>
      </c>
      <c r="E394" s="167" t="inlineStr">
        <is>
          <t>抹茶C　40g缶</t>
        </is>
      </c>
      <c r="F394" s="167">
        <f>IF(COUNTIFS($C$3:C394,商品マスタ[[#This Row],[仕入先]],$E$3:E394,商品マスタ[[#This Row],[商品名]]) = 1, 1,0)</f>
        <v/>
      </c>
      <c r="G394" s="133">
        <f>TEXT(SUMIF($C$3:C394,商品マスタ[[#This Row],[仕入先]],$F$3:F394), "0000")</f>
        <v/>
      </c>
      <c r="H394" s="167" t="inlineStr">
        <is>
          <t>缶</t>
        </is>
      </c>
      <c r="I394" s="167" t="inlineStr">
        <is>
          <t>40g</t>
        </is>
      </c>
      <c r="J394" s="167" t="n">
        <v>1</v>
      </c>
      <c r="K394" s="167" t="n"/>
      <c r="L394" s="289" t="n">
        <v>3060</v>
      </c>
      <c r="M394" s="157" t="n">
        <v>46048</v>
      </c>
      <c r="N394" s="289" t="n"/>
      <c r="O394" s="290">
        <f>IF(COUNT(商品マスタ[[#This Row],[参考上代
（税込)]]) &gt; 0, (商品マスタ[[#This Row],[参考上代
（税込)]]-商品マスタ[[#This Row],[国内定価
（15％）]])/(商品マスタ[[#This Row],[参考上代
（税込)]]/1.08), "")</f>
        <v/>
      </c>
      <c r="P394" s="136" t="n">
        <v>0.1</v>
      </c>
      <c r="Q394" s="289">
        <f>商品マスタ[[#This Row],[仕入
単価]]*商品マスタ[[#This Row],[標準国内送料率]]</f>
        <v/>
      </c>
      <c r="R394" s="289" t="n">
        <v>0</v>
      </c>
      <c r="S394" s="289">
        <f>IF(ISBLANK(商品マスタ[[#This Row],[実績
国内送料]]),商品マスタ[[#This Row],[標準国内送料]],)</f>
        <v/>
      </c>
      <c r="T394" s="289">
        <f>商品マスタ[[#This Row],[仕入
単価]]+商品マスタ[[#This Row],[国内送料]]</f>
        <v/>
      </c>
      <c r="U394" s="289">
        <f>ROUNDUP(商品マスタ[[#This Row],[仕入単価+国内送料]]/0.8,-1)</f>
        <v/>
      </c>
      <c r="V394" s="289">
        <f>商品マスタ[[#This Row],[海外定価
（20％）]]-商品マスタ[[#This Row],[仕入単価+国内送料]]</f>
        <v/>
      </c>
      <c r="W394" s="167">
        <f>ROUNDUP(商品マスタ[[#This Row],[仕入単価+国内送料]]/0.85,-1)</f>
        <v/>
      </c>
      <c r="X394" s="289">
        <f>商品マスタ[[#This Row],[国内定価
（15％）]]-商品マスタ[[#This Row],[仕入単価+国内送料]]</f>
        <v/>
      </c>
      <c r="Y394" s="139" t="n">
        <v>0.08</v>
      </c>
      <c r="Z394" s="167" t="n"/>
      <c r="AA394" s="167" t="inlineStr">
        <is>
          <t>常温</t>
        </is>
      </c>
      <c r="AB394" s="167" t="n"/>
      <c r="AC394" s="293" t="n"/>
      <c r="AD394" s="167" t="n"/>
      <c r="AE394" s="167" t="n"/>
      <c r="AF394" s="167" t="n"/>
      <c r="AG394" s="144" t="n"/>
    </row>
    <row r="395" ht="18" customHeight="1" s="207">
      <c r="A395" s="166" t="inlineStr">
        <is>
          <t>精肉</t>
        </is>
      </c>
      <c r="B395" s="167" t="inlineStr">
        <is>
          <t>和牛</t>
        </is>
      </c>
      <c r="C395" s="167" t="inlineStr">
        <is>
          <t>エスフーズ</t>
        </is>
      </c>
      <c r="D395" s="143">
        <f>"PRD_SNJ_"&amp;
_xlfn.XLOOKUP(商品マスタ[[#This Row],[仕入先]],テーブル1[仕入先名],テーブル1[仕入先コード],"XXX",0,1)&amp;
"_"&amp;
商品マスタ[[#This Row],[シリアル]]&amp;
"_"&amp;
TEXT(COUNTIFS(商品マスタ!$C$3:C395,商品マスタ[[#This Row],[仕入先]],商品マスタ!$E$3:E395,商品マスタ[[#This Row],[商品名]]), "00")</f>
        <v/>
      </c>
      <c r="E395" s="167" t="inlineStr">
        <is>
          <t>BMS8-9国産和牛 ロース（サーロイン、リブロースかぶり付き）</t>
        </is>
      </c>
      <c r="F395" s="167">
        <f>IF(COUNTIFS($C$3:C395,商品マスタ[[#This Row],[仕入先]],$E$3:E395,商品マスタ[[#This Row],[商品名]]) = 1, 1,0)</f>
        <v/>
      </c>
      <c r="G395" s="133">
        <f>TEXT(SUMIF($C$3:C395,商品マスタ[[#This Row],[仕入先]],$F$3:F395), "0000")</f>
        <v/>
      </c>
      <c r="H395" s="167" t="inlineStr">
        <is>
          <t>kg</t>
        </is>
      </c>
      <c r="I395" s="167" t="inlineStr">
        <is>
          <t>40kg/ブロック</t>
        </is>
      </c>
      <c r="J395" s="167" t="inlineStr">
        <is>
          <t>1頭分</t>
        </is>
      </c>
      <c r="K395" s="167" t="n"/>
      <c r="L395" s="289" t="n">
        <v>8700</v>
      </c>
      <c r="M395" s="157" t="n">
        <v>46037</v>
      </c>
      <c r="N395" s="289" t="n"/>
      <c r="O395" s="290">
        <f>IF(COUNT(商品マスタ[[#This Row],[参考上代
（税込)]]) &gt; 0, (商品マスタ[[#This Row],[参考上代
（税込)]]-商品マスタ[[#This Row],[国内定価
（15％）]])/(商品マスタ[[#This Row],[参考上代
（税込)]]/1.08), "")</f>
        <v/>
      </c>
      <c r="P395" s="136" t="n">
        <v>0.1</v>
      </c>
      <c r="Q395" s="289">
        <f>商品マスタ[[#This Row],[仕入
単価]]*商品マスタ[[#This Row],[標準国内送料率]]</f>
        <v/>
      </c>
      <c r="R395" s="289" t="n">
        <v>0</v>
      </c>
      <c r="S395" s="289">
        <f>IF(ISBLANK(商品マスタ[[#This Row],[実績
国内送料]]),商品マスタ[[#This Row],[標準国内送料]],)</f>
        <v/>
      </c>
      <c r="T395" s="289">
        <f>商品マスタ[[#This Row],[仕入
単価]]+商品マスタ[[#This Row],[国内送料]]</f>
        <v/>
      </c>
      <c r="U395" s="289">
        <f>ROUNDUP(商品マスタ[[#This Row],[仕入単価+国内送料]]/0.8,-1)</f>
        <v/>
      </c>
      <c r="V395" s="289">
        <f>商品マスタ[[#This Row],[海外定価
（20％）]]-商品マスタ[[#This Row],[仕入単価+国内送料]]</f>
        <v/>
      </c>
      <c r="W395" s="167">
        <f>ROUNDUP(商品マスタ[[#This Row],[仕入単価+国内送料]]/0.85,-1)</f>
        <v/>
      </c>
      <c r="X395" s="289">
        <f>商品マスタ[[#This Row],[国内定価
（15％）]]-商品マスタ[[#This Row],[仕入単価+国内送料]]</f>
        <v/>
      </c>
      <c r="Y395" s="139" t="n">
        <v>0.08</v>
      </c>
      <c r="Z395" s="167" t="n"/>
      <c r="AA395" s="167" t="n"/>
      <c r="AB395" s="167" t="n"/>
      <c r="AC395" s="293" t="n"/>
      <c r="AD395" s="167" t="n"/>
      <c r="AE395" s="167" t="n"/>
      <c r="AF395" s="167" t="n"/>
      <c r="AG395" s="144" t="inlineStr">
        <is>
          <t>香港向け</t>
        </is>
      </c>
    </row>
    <row r="396" ht="18" customHeight="1" s="207">
      <c r="A396" s="166" t="inlineStr">
        <is>
          <t>精肉</t>
        </is>
      </c>
      <c r="B396" s="167" t="inlineStr">
        <is>
          <t>和牛</t>
        </is>
      </c>
      <c r="C396" s="167" t="inlineStr">
        <is>
          <t>エスフーズ</t>
        </is>
      </c>
      <c r="D396" s="143">
        <f>"PRD_SNJ_"&amp;
_xlfn.XLOOKUP(商品マスタ[[#This Row],[仕入先]],テーブル1[仕入先名],テーブル1[仕入先コード],"XXX",0,1)&amp;
"_"&amp;
商品マスタ[[#This Row],[シリアル]]&amp;
"_"&amp;
TEXT(COUNTIFS(商品マスタ!$C$3:C396,商品マスタ[[#This Row],[仕入先]],商品マスタ!$E$3:E396,商品マスタ[[#This Row],[商品名]]), "00")</f>
        <v/>
      </c>
      <c r="E396" s="167" t="inlineStr">
        <is>
          <t>BMS8-9国産和牛 ヒレ</t>
        </is>
      </c>
      <c r="F396" s="167">
        <f>IF(COUNTIFS($C$3:C396,商品マスタ[[#This Row],[仕入先]],$E$3:E396,商品マスタ[[#This Row],[商品名]]) = 1, 1,0)</f>
        <v/>
      </c>
      <c r="G396" s="133">
        <f>TEXT(SUMIF($C$3:C396,商品マスタ[[#This Row],[仕入先]],$F$3:F396), "0000")</f>
        <v/>
      </c>
      <c r="H396" s="167" t="inlineStr">
        <is>
          <t>kg</t>
        </is>
      </c>
      <c r="I396" s="167" t="inlineStr">
        <is>
          <t>10kg/ブロック</t>
        </is>
      </c>
      <c r="J396" s="167" t="inlineStr">
        <is>
          <t>1頭分</t>
        </is>
      </c>
      <c r="K396" s="167" t="n"/>
      <c r="L396" s="289" t="n">
        <v>10800</v>
      </c>
      <c r="M396" s="157" t="n">
        <v>46037</v>
      </c>
      <c r="N396" s="289" t="n"/>
      <c r="O396" s="290">
        <f>IF(COUNT(商品マスタ[[#This Row],[参考上代
（税込)]]) &gt; 0, (商品マスタ[[#This Row],[参考上代
（税込)]]-商品マスタ[[#This Row],[国内定価
（15％）]])/(商品マスタ[[#This Row],[参考上代
（税込)]]/1.08), "")</f>
        <v/>
      </c>
      <c r="P396" s="136" t="n">
        <v>0.1</v>
      </c>
      <c r="Q396" s="289">
        <f>商品マスタ[[#This Row],[仕入
単価]]*商品マスタ[[#This Row],[標準国内送料率]]</f>
        <v/>
      </c>
      <c r="R396" s="289" t="n">
        <v>0</v>
      </c>
      <c r="S396" s="289">
        <f>IF(ISBLANK(商品マスタ[[#This Row],[実績
国内送料]]),商品マスタ[[#This Row],[標準国内送料]],)</f>
        <v/>
      </c>
      <c r="T396" s="289">
        <f>商品マスタ[[#This Row],[仕入
単価]]+商品マスタ[[#This Row],[国内送料]]</f>
        <v/>
      </c>
      <c r="U396" s="289">
        <f>ROUNDUP(商品マスタ[[#This Row],[仕入単価+国内送料]]/0.8,-1)</f>
        <v/>
      </c>
      <c r="V396" s="289">
        <f>商品マスタ[[#This Row],[海外定価
（20％）]]-商品マスタ[[#This Row],[仕入単価+国内送料]]</f>
        <v/>
      </c>
      <c r="W396" s="167">
        <f>ROUNDUP(商品マスタ[[#This Row],[仕入単価+国内送料]]/0.85,-1)</f>
        <v/>
      </c>
      <c r="X396" s="289">
        <f>商品マスタ[[#This Row],[国内定価
（15％）]]-商品マスタ[[#This Row],[仕入単価+国内送料]]</f>
        <v/>
      </c>
      <c r="Y396" s="139" t="n">
        <v>0.08</v>
      </c>
      <c r="Z396" s="167" t="n"/>
      <c r="AA396" s="167" t="n"/>
      <c r="AB396" s="167" t="n"/>
      <c r="AC396" s="293" t="n"/>
      <c r="AD396" s="167" t="n"/>
      <c r="AE396" s="167" t="n"/>
      <c r="AF396" s="167" t="n"/>
      <c r="AG396" s="144" t="inlineStr">
        <is>
          <t>香港向け</t>
        </is>
      </c>
    </row>
    <row r="397" ht="18" customHeight="1" s="207">
      <c r="A397" s="166" t="inlineStr">
        <is>
          <t>精肉</t>
        </is>
      </c>
      <c r="B397" s="167" t="inlineStr">
        <is>
          <t>和牛</t>
        </is>
      </c>
      <c r="C397" s="167" t="inlineStr">
        <is>
          <t>エスフーズ</t>
        </is>
      </c>
      <c r="D397" s="143">
        <f>"PRD_SNJ_"&amp;
_xlfn.XLOOKUP(商品マスタ[[#This Row],[仕入先]],テーブル1[仕入先名],テーブル1[仕入先コード],"XXX",0,1)&amp;
"_"&amp;
商品マスタ[[#This Row],[シリアル]]&amp;
"_"&amp;
TEXT(COUNTIFS(商品マスタ!$C$3:C397,商品マスタ[[#This Row],[仕入先]],商品マスタ!$E$3:E397,商品マスタ[[#This Row],[商品名]]), "00")</f>
        <v/>
      </c>
      <c r="E397" s="167" t="inlineStr">
        <is>
          <t>BMS8-9国産和牛 肩ロース（ネック有）</t>
        </is>
      </c>
      <c r="F397" s="167">
        <f>IF(COUNTIFS($C$3:C397,商品マスタ[[#This Row],[仕入先]],$E$3:E397,商品マスタ[[#This Row],[商品名]]) = 1, 1,0)</f>
        <v/>
      </c>
      <c r="G397" s="133">
        <f>TEXT(SUMIF($C$3:C397,商品マスタ[[#This Row],[仕入先]],$F$3:F397), "0000")</f>
        <v/>
      </c>
      <c r="H397" s="167" t="inlineStr">
        <is>
          <t>kg</t>
        </is>
      </c>
      <c r="I397" s="167" t="inlineStr">
        <is>
          <t>50kg/ブロック</t>
        </is>
      </c>
      <c r="J397" s="167" t="inlineStr">
        <is>
          <t>1頭分</t>
        </is>
      </c>
      <c r="K397" s="167" t="n"/>
      <c r="L397" s="289" t="n">
        <v>4100</v>
      </c>
      <c r="M397" s="157" t="n">
        <v>46037</v>
      </c>
      <c r="N397" s="289" t="n"/>
      <c r="O397" s="290">
        <f>IF(COUNT(商品マスタ[[#This Row],[参考上代
（税込)]]) &gt; 0, (商品マスタ[[#This Row],[参考上代
（税込)]]-商品マスタ[[#This Row],[国内定価
（15％）]])/(商品マスタ[[#This Row],[参考上代
（税込)]]/1.08), "")</f>
        <v/>
      </c>
      <c r="P397" s="136" t="n">
        <v>0.1</v>
      </c>
      <c r="Q397" s="289">
        <f>商品マスタ[[#This Row],[仕入
単価]]*商品マスタ[[#This Row],[標準国内送料率]]</f>
        <v/>
      </c>
      <c r="R397" s="289" t="n">
        <v>0</v>
      </c>
      <c r="S397" s="289">
        <f>IF(ISBLANK(商品マスタ[[#This Row],[実績
国内送料]]),商品マスタ[[#This Row],[標準国内送料]],)</f>
        <v/>
      </c>
      <c r="T397" s="289">
        <f>商品マスタ[[#This Row],[仕入
単価]]+商品マスタ[[#This Row],[国内送料]]</f>
        <v/>
      </c>
      <c r="U397" s="289">
        <f>ROUNDUP(商品マスタ[[#This Row],[仕入単価+国内送料]]/0.8,-1)</f>
        <v/>
      </c>
      <c r="V397" s="289">
        <f>商品マスタ[[#This Row],[海外定価
（20％）]]-商品マスタ[[#This Row],[仕入単価+国内送料]]</f>
        <v/>
      </c>
      <c r="W397" s="167">
        <f>ROUNDUP(商品マスタ[[#This Row],[仕入単価+国内送料]]/0.85,-1)</f>
        <v/>
      </c>
      <c r="X397" s="289">
        <f>商品マスタ[[#This Row],[国内定価
（15％）]]-商品マスタ[[#This Row],[仕入単価+国内送料]]</f>
        <v/>
      </c>
      <c r="Y397" s="139" t="n">
        <v>0.08</v>
      </c>
      <c r="Z397" s="167" t="n"/>
      <c r="AA397" s="167" t="n"/>
      <c r="AB397" s="167" t="n"/>
      <c r="AC397" s="293" t="n"/>
      <c r="AD397" s="167" t="n"/>
      <c r="AE397" s="167" t="n"/>
      <c r="AF397" s="167" t="n"/>
      <c r="AG397" s="144" t="inlineStr">
        <is>
          <t>香港向け</t>
        </is>
      </c>
    </row>
    <row r="398" ht="18" customHeight="1" s="207">
      <c r="A398" s="166" t="inlineStr">
        <is>
          <t>精肉</t>
        </is>
      </c>
      <c r="B398" s="167" t="inlineStr">
        <is>
          <t>和牛</t>
        </is>
      </c>
      <c r="C398" s="167" t="inlineStr">
        <is>
          <t>エスフーズ</t>
        </is>
      </c>
      <c r="D398" s="143">
        <f>"PRD_SNJ_"&amp;
_xlfn.XLOOKUP(商品マスタ[[#This Row],[仕入先]],テーブル1[仕入先名],テーブル1[仕入先コード],"XXX",0,1)&amp;
"_"&amp;
商品マスタ[[#This Row],[シリアル]]&amp;
"_"&amp;
TEXT(COUNTIFS(商品マスタ!$C$3:C398,商品マスタ[[#This Row],[仕入先]],商品マスタ!$E$3:E398,商品マスタ[[#This Row],[商品名]]), "00")</f>
        <v/>
      </c>
      <c r="E398" s="167" t="inlineStr">
        <is>
          <t>BMS8-9国産和牛 ウデ</t>
        </is>
      </c>
      <c r="F398" s="167">
        <f>IF(COUNTIFS($C$3:C398,商品マスタ[[#This Row],[仕入先]],$E$3:E398,商品マスタ[[#This Row],[商品名]]) = 1, 1,0)</f>
        <v/>
      </c>
      <c r="G398" s="133">
        <f>TEXT(SUMIF($C$3:C398,商品マスタ[[#This Row],[仕入先]],$F$3:F398), "0000")</f>
        <v/>
      </c>
      <c r="H398" s="167" t="inlineStr">
        <is>
          <t>kg</t>
        </is>
      </c>
      <c r="I398" s="167" t="inlineStr">
        <is>
          <t>35kg/ブロック</t>
        </is>
      </c>
      <c r="J398" s="167" t="inlineStr">
        <is>
          <t>1頭分</t>
        </is>
      </c>
      <c r="K398" s="167" t="n"/>
      <c r="L398" s="289" t="n">
        <v>4300</v>
      </c>
      <c r="M398" s="157" t="n">
        <v>46037</v>
      </c>
      <c r="N398" s="289" t="n"/>
      <c r="O398" s="290">
        <f>IF(COUNT(商品マスタ[[#This Row],[参考上代
（税込)]]) &gt; 0, (商品マスタ[[#This Row],[参考上代
（税込)]]-商品マスタ[[#This Row],[国内定価
（15％）]])/(商品マスタ[[#This Row],[参考上代
（税込)]]/1.08), "")</f>
        <v/>
      </c>
      <c r="P398" s="136" t="n">
        <v>0.1</v>
      </c>
      <c r="Q398" s="289">
        <f>商品マスタ[[#This Row],[仕入
単価]]*商品マスタ[[#This Row],[標準国内送料率]]</f>
        <v/>
      </c>
      <c r="R398" s="289" t="n">
        <v>0</v>
      </c>
      <c r="S398" s="289">
        <f>IF(ISBLANK(商品マスタ[[#This Row],[実績
国内送料]]),商品マスタ[[#This Row],[標準国内送料]],)</f>
        <v/>
      </c>
      <c r="T398" s="289">
        <f>商品マスタ[[#This Row],[仕入
単価]]+商品マスタ[[#This Row],[国内送料]]</f>
        <v/>
      </c>
      <c r="U398" s="289">
        <f>ROUNDUP(商品マスタ[[#This Row],[仕入単価+国内送料]]/0.8,-1)</f>
        <v/>
      </c>
      <c r="V398" s="289">
        <f>商品マスタ[[#This Row],[海外定価
（20％）]]-商品マスタ[[#This Row],[仕入単価+国内送料]]</f>
        <v/>
      </c>
      <c r="W398" s="167">
        <f>ROUNDUP(商品マスタ[[#This Row],[仕入単価+国内送料]]/0.85,-1)</f>
        <v/>
      </c>
      <c r="X398" s="289">
        <f>商品マスタ[[#This Row],[国内定価
（15％）]]-商品マスタ[[#This Row],[仕入単価+国内送料]]</f>
        <v/>
      </c>
      <c r="Y398" s="139" t="n">
        <v>0.08</v>
      </c>
      <c r="Z398" s="167" t="n"/>
      <c r="AA398" s="167" t="n"/>
      <c r="AB398" s="167" t="n"/>
      <c r="AC398" s="293" t="n"/>
      <c r="AD398" s="167" t="n"/>
      <c r="AE398" s="167" t="n"/>
      <c r="AF398" s="167" t="n"/>
      <c r="AG398" s="144" t="inlineStr">
        <is>
          <t>香港向け</t>
        </is>
      </c>
    </row>
    <row r="399" ht="18" customHeight="1" s="207">
      <c r="A399" s="166" t="inlineStr">
        <is>
          <t>精肉</t>
        </is>
      </c>
      <c r="B399" s="167" t="inlineStr">
        <is>
          <t>和牛</t>
        </is>
      </c>
      <c r="C399" s="167" t="inlineStr">
        <is>
          <t>エスフーズ</t>
        </is>
      </c>
      <c r="D399" s="143">
        <f>"PRD_SNJ_"&amp;
_xlfn.XLOOKUP(商品マスタ[[#This Row],[仕入先]],テーブル1[仕入先名],テーブル1[仕入先コード],"XXX",0,1)&amp;
"_"&amp;
商品マスタ[[#This Row],[シリアル]]&amp;
"_"&amp;
TEXT(COUNTIFS(商品マスタ!$C$3:C399,商品マスタ[[#This Row],[仕入先]],商品マスタ!$E$3:E399,商品マスタ[[#This Row],[商品名]]), "00")</f>
        <v/>
      </c>
      <c r="E399" s="167" t="inlineStr">
        <is>
          <t>BMS8-9国産和牛 ウチモモ</t>
        </is>
      </c>
      <c r="F399" s="167">
        <f>IF(COUNTIFS($C$3:C399,商品マスタ[[#This Row],[仕入先]],$E$3:E399,商品マスタ[[#This Row],[商品名]]) = 1, 1,0)</f>
        <v/>
      </c>
      <c r="G399" s="133">
        <f>TEXT(SUMIF($C$3:C399,商品マスタ[[#This Row],[仕入先]],$F$3:F399), "0000")</f>
        <v/>
      </c>
      <c r="H399" s="167" t="inlineStr">
        <is>
          <t>kg</t>
        </is>
      </c>
      <c r="I399" s="167" t="inlineStr">
        <is>
          <t>22kg/ブロック</t>
        </is>
      </c>
      <c r="J399" s="167" t="inlineStr">
        <is>
          <t>1頭分</t>
        </is>
      </c>
      <c r="K399" s="167" t="n"/>
      <c r="L399" s="289" t="n">
        <v>4750</v>
      </c>
      <c r="M399" s="157" t="n">
        <v>46037</v>
      </c>
      <c r="N399" s="289" t="n"/>
      <c r="O399" s="290">
        <f>IF(COUNT(商品マスタ[[#This Row],[参考上代
（税込)]]) &gt; 0, (商品マスタ[[#This Row],[参考上代
（税込)]]-商品マスタ[[#This Row],[国内定価
（15％）]])/(商品マスタ[[#This Row],[参考上代
（税込)]]/1.08), "")</f>
        <v/>
      </c>
      <c r="P399" s="136" t="n">
        <v>0.1</v>
      </c>
      <c r="Q399" s="289">
        <f>商品マスタ[[#This Row],[仕入
単価]]*商品マスタ[[#This Row],[標準国内送料率]]</f>
        <v/>
      </c>
      <c r="R399" s="289" t="n">
        <v>0</v>
      </c>
      <c r="S399" s="289">
        <f>IF(ISBLANK(商品マスタ[[#This Row],[実績
国内送料]]),商品マスタ[[#This Row],[標準国内送料]],)</f>
        <v/>
      </c>
      <c r="T399" s="289">
        <f>商品マスタ[[#This Row],[仕入
単価]]+商品マスタ[[#This Row],[国内送料]]</f>
        <v/>
      </c>
      <c r="U399" s="289">
        <f>ROUNDUP(商品マスタ[[#This Row],[仕入単価+国内送料]]/0.8,-1)</f>
        <v/>
      </c>
      <c r="V399" s="289">
        <f>商品マスタ[[#This Row],[海外定価
（20％）]]-商品マスタ[[#This Row],[仕入単価+国内送料]]</f>
        <v/>
      </c>
      <c r="W399" s="167">
        <f>ROUNDUP(商品マスタ[[#This Row],[仕入単価+国内送料]]/0.85,-1)</f>
        <v/>
      </c>
      <c r="X399" s="289">
        <f>商品マスタ[[#This Row],[国内定価
（15％）]]-商品マスタ[[#This Row],[仕入単価+国内送料]]</f>
        <v/>
      </c>
      <c r="Y399" s="139" t="n">
        <v>0.08</v>
      </c>
      <c r="Z399" s="167" t="n"/>
      <c r="AA399" s="167" t="n"/>
      <c r="AB399" s="167" t="n"/>
      <c r="AC399" s="293" t="n"/>
      <c r="AD399" s="167" t="n"/>
      <c r="AE399" s="167" t="n"/>
      <c r="AF399" s="167" t="n"/>
      <c r="AG399" s="144" t="inlineStr">
        <is>
          <t>香港向け</t>
        </is>
      </c>
    </row>
    <row r="400" ht="18" customHeight="1" s="207">
      <c r="A400" s="166" t="inlineStr">
        <is>
          <t>精肉</t>
        </is>
      </c>
      <c r="B400" s="167" t="inlineStr">
        <is>
          <t>和牛</t>
        </is>
      </c>
      <c r="C400" s="167" t="inlineStr">
        <is>
          <t>エスフーズ</t>
        </is>
      </c>
      <c r="D400" s="143">
        <f>"PRD_SNJ_"&amp;
_xlfn.XLOOKUP(商品マスタ[[#This Row],[仕入先]],テーブル1[仕入先名],テーブル1[仕入先コード],"XXX",0,1)&amp;
"_"&amp;
商品マスタ[[#This Row],[シリアル]]&amp;
"_"&amp;
TEXT(COUNTIFS(商品マスタ!$C$3:C400,商品マスタ[[#This Row],[仕入先]],商品マスタ!$E$3:E400,商品マスタ[[#This Row],[商品名]]), "00")</f>
        <v/>
      </c>
      <c r="E400" s="167" t="inlineStr">
        <is>
          <t>BMS10-11国産和牛 ロース（サーロイン、リブロースかぶり付き）</t>
        </is>
      </c>
      <c r="F400" s="167">
        <f>IF(COUNTIFS($C$3:C400,商品マスタ[[#This Row],[仕入先]],$E$3:E400,商品マスタ[[#This Row],[商品名]]) = 1, 1,0)</f>
        <v/>
      </c>
      <c r="G400" s="133">
        <f>TEXT(SUMIF($C$3:C400,商品マスタ[[#This Row],[仕入先]],$F$3:F400), "0000")</f>
        <v/>
      </c>
      <c r="H400" s="167" t="inlineStr">
        <is>
          <t>kg</t>
        </is>
      </c>
      <c r="I400" s="167" t="inlineStr">
        <is>
          <t>40kg/ブロック</t>
        </is>
      </c>
      <c r="J400" s="167" t="inlineStr">
        <is>
          <t>1頭分</t>
        </is>
      </c>
      <c r="K400" s="167" t="n"/>
      <c r="L400" s="289" t="n">
        <v>8900</v>
      </c>
      <c r="M400" s="157" t="n">
        <v>46037</v>
      </c>
      <c r="N400" s="289" t="n"/>
      <c r="O400" s="290">
        <f>IF(COUNT(商品マスタ[[#This Row],[参考上代
（税込)]]) &gt; 0, (商品マスタ[[#This Row],[参考上代
（税込)]]-商品マスタ[[#This Row],[国内定価
（15％）]])/(商品マスタ[[#This Row],[参考上代
（税込)]]/1.08), "")</f>
        <v/>
      </c>
      <c r="P400" s="136" t="n">
        <v>0.1</v>
      </c>
      <c r="Q400" s="289">
        <f>商品マスタ[[#This Row],[仕入
単価]]*商品マスタ[[#This Row],[標準国内送料率]]</f>
        <v/>
      </c>
      <c r="R400" s="289" t="n">
        <v>0</v>
      </c>
      <c r="S400" s="289">
        <f>IF(ISBLANK(商品マスタ[[#This Row],[実績
国内送料]]),商品マスタ[[#This Row],[標準国内送料]],)</f>
        <v/>
      </c>
      <c r="T400" s="289">
        <f>商品マスタ[[#This Row],[仕入
単価]]+商品マスタ[[#This Row],[国内送料]]</f>
        <v/>
      </c>
      <c r="U400" s="289">
        <f>ROUNDUP(商品マスタ[[#This Row],[仕入単価+国内送料]]/0.8,-1)</f>
        <v/>
      </c>
      <c r="V400" s="289">
        <f>商品マスタ[[#This Row],[海外定価
（20％）]]-商品マスタ[[#This Row],[仕入単価+国内送料]]</f>
        <v/>
      </c>
      <c r="W400" s="167">
        <f>ROUNDUP(商品マスタ[[#This Row],[仕入単価+国内送料]]/0.85,-1)</f>
        <v/>
      </c>
      <c r="X400" s="289">
        <f>商品マスタ[[#This Row],[国内定価
（15％）]]-商品マスタ[[#This Row],[仕入単価+国内送料]]</f>
        <v/>
      </c>
      <c r="Y400" s="139" t="n">
        <v>0.08</v>
      </c>
      <c r="Z400" s="167" t="n"/>
      <c r="AA400" s="167" t="n"/>
      <c r="AB400" s="167" t="n"/>
      <c r="AC400" s="293" t="n"/>
      <c r="AD400" s="167" t="n"/>
      <c r="AE400" s="167" t="n"/>
      <c r="AF400" s="167" t="n"/>
      <c r="AG400" s="144" t="inlineStr">
        <is>
          <t>香港向け</t>
        </is>
      </c>
    </row>
    <row r="401" ht="18" customHeight="1" s="207">
      <c r="A401" s="166" t="inlineStr">
        <is>
          <t>精肉</t>
        </is>
      </c>
      <c r="B401" s="167" t="inlineStr">
        <is>
          <t>和牛</t>
        </is>
      </c>
      <c r="C401" s="167" t="inlineStr">
        <is>
          <t>エスフーズ</t>
        </is>
      </c>
      <c r="D401" s="143">
        <f>"PRD_SNJ_"&amp;
_xlfn.XLOOKUP(商品マスタ[[#This Row],[仕入先]],テーブル1[仕入先名],テーブル1[仕入先コード],"XXX",0,1)&amp;
"_"&amp;
商品マスタ[[#This Row],[シリアル]]&amp;
"_"&amp;
TEXT(COUNTIFS(商品マスタ!$C$3:C401,商品マスタ[[#This Row],[仕入先]],商品マスタ!$E$3:E401,商品マスタ[[#This Row],[商品名]]), "00")</f>
        <v/>
      </c>
      <c r="E401" s="167" t="inlineStr">
        <is>
          <t>BMS10-11国産和牛 ヒレ</t>
        </is>
      </c>
      <c r="F401" s="167">
        <f>IF(COUNTIFS($C$3:C401,商品マスタ[[#This Row],[仕入先]],$E$3:E401,商品マスタ[[#This Row],[商品名]]) = 1, 1,0)</f>
        <v/>
      </c>
      <c r="G401" s="133">
        <f>TEXT(SUMIF($C$3:C401,商品マスタ[[#This Row],[仕入先]],$F$3:F401), "0000")</f>
        <v/>
      </c>
      <c r="H401" s="167" t="inlineStr">
        <is>
          <t>kg</t>
        </is>
      </c>
      <c r="I401" s="167" t="inlineStr">
        <is>
          <t>10kg/ブロック</t>
        </is>
      </c>
      <c r="J401" s="167" t="inlineStr">
        <is>
          <t>1頭分</t>
        </is>
      </c>
      <c r="K401" s="167" t="n"/>
      <c r="L401" s="289" t="n">
        <v>11600</v>
      </c>
      <c r="M401" s="157" t="n">
        <v>46037</v>
      </c>
      <c r="N401" s="289" t="n"/>
      <c r="O401" s="290">
        <f>IF(COUNT(商品マスタ[[#This Row],[参考上代
（税込)]]) &gt; 0, (商品マスタ[[#This Row],[参考上代
（税込)]]-商品マスタ[[#This Row],[国内定価
（15％）]])/(商品マスタ[[#This Row],[参考上代
（税込)]]/1.08), "")</f>
        <v/>
      </c>
      <c r="P401" s="136" t="n">
        <v>0.1</v>
      </c>
      <c r="Q401" s="289">
        <f>商品マスタ[[#This Row],[仕入
単価]]*商品マスタ[[#This Row],[標準国内送料率]]</f>
        <v/>
      </c>
      <c r="R401" s="289" t="n">
        <v>0</v>
      </c>
      <c r="S401" s="289">
        <f>IF(ISBLANK(商品マスタ[[#This Row],[実績
国内送料]]),商品マスタ[[#This Row],[標準国内送料]],)</f>
        <v/>
      </c>
      <c r="T401" s="289">
        <f>商品マスタ[[#This Row],[仕入
単価]]+商品マスタ[[#This Row],[国内送料]]</f>
        <v/>
      </c>
      <c r="U401" s="289">
        <f>ROUNDUP(商品マスタ[[#This Row],[仕入単価+国内送料]]/0.8,-1)</f>
        <v/>
      </c>
      <c r="V401" s="289">
        <f>商品マスタ[[#This Row],[海外定価
（20％）]]-商品マスタ[[#This Row],[仕入単価+国内送料]]</f>
        <v/>
      </c>
      <c r="W401" s="167">
        <f>ROUNDUP(商品マスタ[[#This Row],[仕入単価+国内送料]]/0.85,-1)</f>
        <v/>
      </c>
      <c r="X401" s="289">
        <f>商品マスタ[[#This Row],[国内定価
（15％）]]-商品マスタ[[#This Row],[仕入単価+国内送料]]</f>
        <v/>
      </c>
      <c r="Y401" s="139" t="n">
        <v>0.08</v>
      </c>
      <c r="Z401" s="167" t="n"/>
      <c r="AA401" s="167" t="n"/>
      <c r="AB401" s="167" t="n"/>
      <c r="AC401" s="293" t="n"/>
      <c r="AD401" s="167" t="n"/>
      <c r="AE401" s="167" t="n"/>
      <c r="AF401" s="167" t="n"/>
      <c r="AG401" s="144" t="inlineStr">
        <is>
          <t>香港向け</t>
        </is>
      </c>
    </row>
    <row r="402" ht="18" customHeight="1" s="207">
      <c r="A402" s="166" t="inlineStr">
        <is>
          <t>精肉</t>
        </is>
      </c>
      <c r="B402" s="167" t="inlineStr">
        <is>
          <t>和牛</t>
        </is>
      </c>
      <c r="C402" s="167" t="inlineStr">
        <is>
          <t>エスフーズ</t>
        </is>
      </c>
      <c r="D402" s="143">
        <f>"PRD_SNJ_"&amp;
_xlfn.XLOOKUP(商品マスタ[[#This Row],[仕入先]],テーブル1[仕入先名],テーブル1[仕入先コード],"XXX",0,1)&amp;
"_"&amp;
商品マスタ[[#This Row],[シリアル]]&amp;
"_"&amp;
TEXT(COUNTIFS(商品マスタ!$C$3:C402,商品マスタ[[#This Row],[仕入先]],商品マスタ!$E$3:E402,商品マスタ[[#This Row],[商品名]]), "00")</f>
        <v/>
      </c>
      <c r="E402" s="167" t="inlineStr">
        <is>
          <t>BMS10-11国産和牛 肩ロース（ネック有）</t>
        </is>
      </c>
      <c r="F402" s="167">
        <f>IF(COUNTIFS($C$3:C402,商品マスタ[[#This Row],[仕入先]],$E$3:E402,商品マスタ[[#This Row],[商品名]]) = 1, 1,0)</f>
        <v/>
      </c>
      <c r="G402" s="133">
        <f>TEXT(SUMIF($C$3:C402,商品マスタ[[#This Row],[仕入先]],$F$3:F402), "0000")</f>
        <v/>
      </c>
      <c r="H402" s="167" t="inlineStr">
        <is>
          <t>kg</t>
        </is>
      </c>
      <c r="I402" s="167" t="inlineStr">
        <is>
          <t>50kg/ブロック</t>
        </is>
      </c>
      <c r="J402" s="167" t="inlineStr">
        <is>
          <t>1頭分</t>
        </is>
      </c>
      <c r="K402" s="167" t="n"/>
      <c r="L402" s="289" t="n">
        <v>4400</v>
      </c>
      <c r="M402" s="157" t="n">
        <v>46037</v>
      </c>
      <c r="N402" s="289" t="n"/>
      <c r="O402" s="290">
        <f>IF(COUNT(商品マスタ[[#This Row],[参考上代
（税込)]]) &gt; 0, (商品マスタ[[#This Row],[参考上代
（税込)]]-商品マスタ[[#This Row],[国内定価
（15％）]])/(商品マスタ[[#This Row],[参考上代
（税込)]]/1.08), "")</f>
        <v/>
      </c>
      <c r="P402" s="136" t="n">
        <v>0.1</v>
      </c>
      <c r="Q402" s="289">
        <f>商品マスタ[[#This Row],[仕入
単価]]*商品マスタ[[#This Row],[標準国内送料率]]</f>
        <v/>
      </c>
      <c r="R402" s="289" t="n">
        <v>0</v>
      </c>
      <c r="S402" s="289">
        <f>IF(ISBLANK(商品マスタ[[#This Row],[実績
国内送料]]),商品マスタ[[#This Row],[標準国内送料]],)</f>
        <v/>
      </c>
      <c r="T402" s="289">
        <f>商品マスタ[[#This Row],[仕入
単価]]+商品マスタ[[#This Row],[国内送料]]</f>
        <v/>
      </c>
      <c r="U402" s="289">
        <f>ROUNDUP(商品マスタ[[#This Row],[仕入単価+国内送料]]/0.8,-1)</f>
        <v/>
      </c>
      <c r="V402" s="289">
        <f>商品マスタ[[#This Row],[海外定価
（20％）]]-商品マスタ[[#This Row],[仕入単価+国内送料]]</f>
        <v/>
      </c>
      <c r="W402" s="167">
        <f>ROUNDUP(商品マスタ[[#This Row],[仕入単価+国内送料]]/0.85,-1)</f>
        <v/>
      </c>
      <c r="X402" s="289">
        <f>商品マスタ[[#This Row],[国内定価
（15％）]]-商品マスタ[[#This Row],[仕入単価+国内送料]]</f>
        <v/>
      </c>
      <c r="Y402" s="139" t="n">
        <v>0.08</v>
      </c>
      <c r="Z402" s="167" t="n"/>
      <c r="AA402" s="167" t="n"/>
      <c r="AB402" s="167" t="n"/>
      <c r="AC402" s="293" t="n"/>
      <c r="AD402" s="167" t="n"/>
      <c r="AE402" s="167" t="n"/>
      <c r="AF402" s="167" t="n"/>
      <c r="AG402" s="144" t="inlineStr">
        <is>
          <t>香港向け</t>
        </is>
      </c>
    </row>
    <row r="403" ht="18" customHeight="1" s="207">
      <c r="A403" s="166" t="inlineStr">
        <is>
          <t>精肉</t>
        </is>
      </c>
      <c r="B403" s="167" t="inlineStr">
        <is>
          <t>和牛</t>
        </is>
      </c>
      <c r="C403" s="167" t="inlineStr">
        <is>
          <t>エスフーズ</t>
        </is>
      </c>
      <c r="D403" s="143">
        <f>"PRD_SNJ_"&amp;
_xlfn.XLOOKUP(商品マスタ[[#This Row],[仕入先]],テーブル1[仕入先名],テーブル1[仕入先コード],"XXX",0,1)&amp;
"_"&amp;
商品マスタ[[#This Row],[シリアル]]&amp;
"_"&amp;
TEXT(COUNTIFS(商品マスタ!$C$3:C403,商品マスタ[[#This Row],[仕入先]],商品マスタ!$E$3:E403,商品マスタ[[#This Row],[商品名]]), "00")</f>
        <v/>
      </c>
      <c r="E403" s="167" t="inlineStr">
        <is>
          <t>BMS10-11国産和牛 ウデ</t>
        </is>
      </c>
      <c r="F403" s="167">
        <f>IF(COUNTIFS($C$3:C403,商品マスタ[[#This Row],[仕入先]],$E$3:E403,商品マスタ[[#This Row],[商品名]]) = 1, 1,0)</f>
        <v/>
      </c>
      <c r="G403" s="133">
        <f>TEXT(SUMIF($C$3:C403,商品マスタ[[#This Row],[仕入先]],$F$3:F403), "0000")</f>
        <v/>
      </c>
      <c r="H403" s="167" t="inlineStr">
        <is>
          <t>kg</t>
        </is>
      </c>
      <c r="I403" s="167" t="inlineStr">
        <is>
          <t>35kg/ブロック</t>
        </is>
      </c>
      <c r="J403" s="167" t="inlineStr">
        <is>
          <t>1頭分</t>
        </is>
      </c>
      <c r="K403" s="167" t="n"/>
      <c r="L403" s="289" t="n">
        <v>4600</v>
      </c>
      <c r="M403" s="157" t="n">
        <v>46037</v>
      </c>
      <c r="N403" s="289" t="n"/>
      <c r="O403" s="290">
        <f>IF(COUNT(商品マスタ[[#This Row],[参考上代
（税込)]]) &gt; 0, (商品マスタ[[#This Row],[参考上代
（税込)]]-商品マスタ[[#This Row],[国内定価
（15％）]])/(商品マスタ[[#This Row],[参考上代
（税込)]]/1.08), "")</f>
        <v/>
      </c>
      <c r="P403" s="136" t="n">
        <v>0.1</v>
      </c>
      <c r="Q403" s="289">
        <f>商品マスタ[[#This Row],[仕入
単価]]*商品マスタ[[#This Row],[標準国内送料率]]</f>
        <v/>
      </c>
      <c r="R403" s="289" t="n">
        <v>0</v>
      </c>
      <c r="S403" s="289">
        <f>IF(ISBLANK(商品マスタ[[#This Row],[実績
国内送料]]),商品マスタ[[#This Row],[標準国内送料]],)</f>
        <v/>
      </c>
      <c r="T403" s="289">
        <f>商品マスタ[[#This Row],[仕入
単価]]+商品マスタ[[#This Row],[国内送料]]</f>
        <v/>
      </c>
      <c r="U403" s="289">
        <f>ROUNDUP(商品マスタ[[#This Row],[仕入単価+国内送料]]/0.8,-1)</f>
        <v/>
      </c>
      <c r="V403" s="289">
        <f>商品マスタ[[#This Row],[海外定価
（20％）]]-商品マスタ[[#This Row],[仕入単価+国内送料]]</f>
        <v/>
      </c>
      <c r="W403" s="167">
        <f>ROUNDUP(商品マスタ[[#This Row],[仕入単価+国内送料]]/0.85,-1)</f>
        <v/>
      </c>
      <c r="X403" s="289">
        <f>商品マスタ[[#This Row],[国内定価
（15％）]]-商品マスタ[[#This Row],[仕入単価+国内送料]]</f>
        <v/>
      </c>
      <c r="Y403" s="139" t="n">
        <v>0.08</v>
      </c>
      <c r="Z403" s="167" t="n"/>
      <c r="AA403" s="167" t="n"/>
      <c r="AB403" s="167" t="n"/>
      <c r="AC403" s="293" t="n"/>
      <c r="AD403" s="167" t="n"/>
      <c r="AE403" s="167" t="n"/>
      <c r="AF403" s="167" t="n"/>
      <c r="AG403" s="144" t="inlineStr">
        <is>
          <t>香港向け</t>
        </is>
      </c>
    </row>
    <row r="404" ht="18" customHeight="1" s="207">
      <c r="A404" s="166" t="inlineStr">
        <is>
          <t>精肉</t>
        </is>
      </c>
      <c r="B404" s="167" t="inlineStr">
        <is>
          <t>和牛</t>
        </is>
      </c>
      <c r="C404" s="167" t="inlineStr">
        <is>
          <t>エスフーズ</t>
        </is>
      </c>
      <c r="D404" s="143">
        <f>"PRD_SNJ_"&amp;
_xlfn.XLOOKUP(商品マスタ[[#This Row],[仕入先]],テーブル1[仕入先名],テーブル1[仕入先コード],"XXX",0,1)&amp;
"_"&amp;
商品マスタ[[#This Row],[シリアル]]&amp;
"_"&amp;
TEXT(COUNTIFS(商品マスタ!$C$3:C404,商品マスタ[[#This Row],[仕入先]],商品マスタ!$E$3:E404,商品マスタ[[#This Row],[商品名]]), "00")</f>
        <v/>
      </c>
      <c r="E404" s="167" t="inlineStr">
        <is>
          <t>BMS10-11国産和牛 ウチモモ</t>
        </is>
      </c>
      <c r="F404" s="167">
        <f>IF(COUNTIFS($C$3:C404,商品マスタ[[#This Row],[仕入先]],$E$3:E404,商品マスタ[[#This Row],[商品名]]) = 1, 1,0)</f>
        <v/>
      </c>
      <c r="G404" s="133">
        <f>TEXT(SUMIF($C$3:C404,商品マスタ[[#This Row],[仕入先]],$F$3:F404), "0000")</f>
        <v/>
      </c>
      <c r="H404" s="167" t="inlineStr">
        <is>
          <t>kg</t>
        </is>
      </c>
      <c r="I404" s="167" t="inlineStr">
        <is>
          <t>22kg/ブロック</t>
        </is>
      </c>
      <c r="J404" s="167" t="inlineStr">
        <is>
          <t>1頭分</t>
        </is>
      </c>
      <c r="K404" s="167" t="n"/>
      <c r="L404" s="289" t="n">
        <v>4870</v>
      </c>
      <c r="M404" s="157" t="n">
        <v>46037</v>
      </c>
      <c r="N404" s="289" t="n"/>
      <c r="O404" s="290">
        <f>IF(COUNT(商品マスタ[[#This Row],[参考上代
（税込)]]) &gt; 0, (商品マスタ[[#This Row],[参考上代
（税込)]]-商品マスタ[[#This Row],[国内定価
（15％）]])/(商品マスタ[[#This Row],[参考上代
（税込)]]/1.08), "")</f>
        <v/>
      </c>
      <c r="P404" s="136" t="n">
        <v>0.1</v>
      </c>
      <c r="Q404" s="289">
        <f>商品マスタ[[#This Row],[仕入
単価]]*商品マスタ[[#This Row],[標準国内送料率]]</f>
        <v/>
      </c>
      <c r="R404" s="289" t="n">
        <v>0</v>
      </c>
      <c r="S404" s="289">
        <f>IF(ISBLANK(商品マスタ[[#This Row],[実績
国内送料]]),商品マスタ[[#This Row],[標準国内送料]],)</f>
        <v/>
      </c>
      <c r="T404" s="289">
        <f>商品マスタ[[#This Row],[仕入
単価]]+商品マスタ[[#This Row],[国内送料]]</f>
        <v/>
      </c>
      <c r="U404" s="289">
        <f>ROUNDUP(商品マスタ[[#This Row],[仕入単価+国内送料]]/0.8,-1)</f>
        <v/>
      </c>
      <c r="V404" s="289">
        <f>商品マスタ[[#This Row],[海外定価
（20％）]]-商品マスタ[[#This Row],[仕入単価+国内送料]]</f>
        <v/>
      </c>
      <c r="W404" s="167">
        <f>ROUNDUP(商品マスタ[[#This Row],[仕入単価+国内送料]]/0.85,-1)</f>
        <v/>
      </c>
      <c r="X404" s="289">
        <f>商品マスタ[[#This Row],[国内定価
（15％）]]-商品マスタ[[#This Row],[仕入単価+国内送料]]</f>
        <v/>
      </c>
      <c r="Y404" s="139" t="n">
        <v>0.08</v>
      </c>
      <c r="Z404" s="167" t="n"/>
      <c r="AA404" s="167" t="n"/>
      <c r="AB404" s="167" t="n"/>
      <c r="AC404" s="293" t="n"/>
      <c r="AD404" s="167" t="n"/>
      <c r="AE404" s="167" t="n"/>
      <c r="AF404" s="167" t="n"/>
      <c r="AG404" s="144" t="inlineStr">
        <is>
          <t>香港向け</t>
        </is>
      </c>
    </row>
    <row r="405" ht="18" customHeight="1" s="207">
      <c r="A405" s="166" t="inlineStr">
        <is>
          <t>精肉</t>
        </is>
      </c>
      <c r="B405" s="167" t="inlineStr">
        <is>
          <t>和牛</t>
        </is>
      </c>
      <c r="C405" s="167" t="inlineStr">
        <is>
          <t>エスフーズ</t>
        </is>
      </c>
      <c r="D405" s="143">
        <f>"PRD_SNJ_"&amp;
_xlfn.XLOOKUP(商品マスタ[[#This Row],[仕入先]],テーブル1[仕入先名],テーブル1[仕入先コード],"XXX",0,1)&amp;
"_"&amp;
商品マスタ[[#This Row],[シリアル]]&amp;
"_"&amp;
TEXT(COUNTIFS(商品マスタ!$C$3:C405,商品マスタ[[#This Row],[仕入先]],商品マスタ!$E$3:E405,商品マスタ[[#This Row],[商品名]]), "00")</f>
        <v/>
      </c>
      <c r="E405" s="167" t="inlineStr">
        <is>
          <t>BMS12国産和牛 ロース（サーロイン、リブロースかぶり付き）</t>
        </is>
      </c>
      <c r="F405" s="167">
        <f>IF(COUNTIFS($C$3:C405,商品マスタ[[#This Row],[仕入先]],$E$3:E405,商品マスタ[[#This Row],[商品名]]) = 1, 1,0)</f>
        <v/>
      </c>
      <c r="G405" s="133">
        <f>TEXT(SUMIF($C$3:C405,商品マスタ[[#This Row],[仕入先]],$F$3:F405), "0000")</f>
        <v/>
      </c>
      <c r="H405" s="167" t="inlineStr">
        <is>
          <t>kg</t>
        </is>
      </c>
      <c r="I405" s="167" t="inlineStr">
        <is>
          <t>40kg/ブロック</t>
        </is>
      </c>
      <c r="J405" s="167" t="inlineStr">
        <is>
          <t>1頭分</t>
        </is>
      </c>
      <c r="K405" s="167" t="n"/>
      <c r="L405" s="289" t="n">
        <v>9000</v>
      </c>
      <c r="M405" s="157" t="n">
        <v>46037</v>
      </c>
      <c r="N405" s="289" t="n"/>
      <c r="O405" s="290">
        <f>IF(COUNT(商品マスタ[[#This Row],[参考上代
（税込)]]) &gt; 0, (商品マスタ[[#This Row],[参考上代
（税込)]]-商品マスタ[[#This Row],[国内定価
（15％）]])/(商品マスタ[[#This Row],[参考上代
（税込)]]/1.08), "")</f>
        <v/>
      </c>
      <c r="P405" s="136" t="n">
        <v>0.1</v>
      </c>
      <c r="Q405" s="289">
        <f>商品マスタ[[#This Row],[仕入
単価]]*商品マスタ[[#This Row],[標準国内送料率]]</f>
        <v/>
      </c>
      <c r="R405" s="289" t="n">
        <v>0</v>
      </c>
      <c r="S405" s="289">
        <f>IF(ISBLANK(商品マスタ[[#This Row],[実績
国内送料]]),商品マスタ[[#This Row],[標準国内送料]],)</f>
        <v/>
      </c>
      <c r="T405" s="289">
        <f>商品マスタ[[#This Row],[仕入
単価]]+商品マスタ[[#This Row],[国内送料]]</f>
        <v/>
      </c>
      <c r="U405" s="289">
        <f>ROUNDUP(商品マスタ[[#This Row],[仕入単価+国内送料]]/0.8,-1)</f>
        <v/>
      </c>
      <c r="V405" s="289">
        <f>商品マスタ[[#This Row],[海外定価
（20％）]]-商品マスタ[[#This Row],[仕入単価+国内送料]]</f>
        <v/>
      </c>
      <c r="W405" s="167">
        <f>ROUNDUP(商品マスタ[[#This Row],[仕入単価+国内送料]]/0.85,-1)</f>
        <v/>
      </c>
      <c r="X405" s="289">
        <f>商品マスタ[[#This Row],[国内定価
（15％）]]-商品マスタ[[#This Row],[仕入単価+国内送料]]</f>
        <v/>
      </c>
      <c r="Y405" s="139" t="n">
        <v>0.08</v>
      </c>
      <c r="Z405" s="167" t="n"/>
      <c r="AA405" s="167" t="n"/>
      <c r="AB405" s="167" t="n"/>
      <c r="AC405" s="293" t="n"/>
      <c r="AD405" s="167" t="n"/>
      <c r="AE405" s="167" t="n"/>
      <c r="AF405" s="167" t="n"/>
      <c r="AG405" s="144" t="inlineStr">
        <is>
          <t>香港向け</t>
        </is>
      </c>
    </row>
    <row r="406" ht="18" customHeight="1" s="207">
      <c r="A406" s="166" t="inlineStr">
        <is>
          <t>精肉</t>
        </is>
      </c>
      <c r="B406" s="167" t="inlineStr">
        <is>
          <t>和牛</t>
        </is>
      </c>
      <c r="C406" s="167" t="inlineStr">
        <is>
          <t>エスフーズ</t>
        </is>
      </c>
      <c r="D406" s="143">
        <f>"PRD_SNJ_"&amp;
_xlfn.XLOOKUP(商品マスタ[[#This Row],[仕入先]],テーブル1[仕入先名],テーブル1[仕入先コード],"XXX",0,1)&amp;
"_"&amp;
商品マスタ[[#This Row],[シリアル]]&amp;
"_"&amp;
TEXT(COUNTIFS(商品マスタ!$C$3:C406,商品マスタ[[#This Row],[仕入先]],商品マスタ!$E$3:E406,商品マスタ[[#This Row],[商品名]]), "00")</f>
        <v/>
      </c>
      <c r="E406" s="167" t="inlineStr">
        <is>
          <t>BMS12国産和牛 ヒレ</t>
        </is>
      </c>
      <c r="F406" s="167">
        <f>IF(COUNTIFS($C$3:C406,商品マスタ[[#This Row],[仕入先]],$E$3:E406,商品マスタ[[#This Row],[商品名]]) = 1, 1,0)</f>
        <v/>
      </c>
      <c r="G406" s="133">
        <f>TEXT(SUMIF($C$3:C406,商品マスタ[[#This Row],[仕入先]],$F$3:F406), "0000")</f>
        <v/>
      </c>
      <c r="H406" s="167" t="inlineStr">
        <is>
          <t>kg</t>
        </is>
      </c>
      <c r="I406" s="167" t="inlineStr">
        <is>
          <t>10kg/ブロック</t>
        </is>
      </c>
      <c r="J406" s="167" t="inlineStr">
        <is>
          <t>1頭分</t>
        </is>
      </c>
      <c r="K406" s="167" t="n"/>
      <c r="L406" s="289" t="n">
        <v>12100</v>
      </c>
      <c r="M406" s="157" t="n">
        <v>46037</v>
      </c>
      <c r="N406" s="289" t="n"/>
      <c r="O406" s="290">
        <f>IF(COUNT(商品マスタ[[#This Row],[参考上代
（税込)]]) &gt; 0, (商品マスタ[[#This Row],[参考上代
（税込)]]-商品マスタ[[#This Row],[国内定価
（15％）]])/(商品マスタ[[#This Row],[参考上代
（税込)]]/1.08), "")</f>
        <v/>
      </c>
      <c r="P406" s="136" t="n">
        <v>0.1</v>
      </c>
      <c r="Q406" s="289">
        <f>商品マスタ[[#This Row],[仕入
単価]]*商品マスタ[[#This Row],[標準国内送料率]]</f>
        <v/>
      </c>
      <c r="R406" s="289" t="n">
        <v>0</v>
      </c>
      <c r="S406" s="289">
        <f>IF(ISBLANK(商品マスタ[[#This Row],[実績
国内送料]]),商品マスタ[[#This Row],[標準国内送料]],)</f>
        <v/>
      </c>
      <c r="T406" s="289">
        <f>商品マスタ[[#This Row],[仕入
単価]]+商品マスタ[[#This Row],[国内送料]]</f>
        <v/>
      </c>
      <c r="U406" s="289">
        <f>ROUNDUP(商品マスタ[[#This Row],[仕入単価+国内送料]]/0.8,-1)</f>
        <v/>
      </c>
      <c r="V406" s="289">
        <f>商品マスタ[[#This Row],[海外定価
（20％）]]-商品マスタ[[#This Row],[仕入単価+国内送料]]</f>
        <v/>
      </c>
      <c r="W406" s="167">
        <f>ROUNDUP(商品マスタ[[#This Row],[仕入単価+国内送料]]/0.85,-1)</f>
        <v/>
      </c>
      <c r="X406" s="289">
        <f>商品マスタ[[#This Row],[国内定価
（15％）]]-商品マスタ[[#This Row],[仕入単価+国内送料]]</f>
        <v/>
      </c>
      <c r="Y406" s="139" t="n">
        <v>0.08</v>
      </c>
      <c r="Z406" s="167" t="n"/>
      <c r="AA406" s="167" t="n"/>
      <c r="AB406" s="167" t="n"/>
      <c r="AC406" s="293" t="n"/>
      <c r="AD406" s="167" t="n"/>
      <c r="AE406" s="167" t="n"/>
      <c r="AF406" s="167" t="n"/>
      <c r="AG406" s="144" t="inlineStr">
        <is>
          <t>香港向け</t>
        </is>
      </c>
    </row>
    <row r="407" ht="18" customHeight="1" s="207">
      <c r="A407" s="166" t="inlineStr">
        <is>
          <t>精肉</t>
        </is>
      </c>
      <c r="B407" s="167" t="inlineStr">
        <is>
          <t>和牛</t>
        </is>
      </c>
      <c r="C407" s="167" t="inlineStr">
        <is>
          <t>エスフーズ</t>
        </is>
      </c>
      <c r="D407" s="143">
        <f>"PRD_SNJ_"&amp;
_xlfn.XLOOKUP(商品マスタ[[#This Row],[仕入先]],テーブル1[仕入先名],テーブル1[仕入先コード],"XXX",0,1)&amp;
"_"&amp;
商品マスタ[[#This Row],[シリアル]]&amp;
"_"&amp;
TEXT(COUNTIFS(商品マスタ!$C$3:C407,商品マスタ[[#This Row],[仕入先]],商品マスタ!$E$3:E407,商品マスタ[[#This Row],[商品名]]), "00")</f>
        <v/>
      </c>
      <c r="E407" s="167" t="inlineStr">
        <is>
          <t>BMS12国産和牛 肩ロース（ネック有）</t>
        </is>
      </c>
      <c r="F407" s="167">
        <f>IF(COUNTIFS($C$3:C407,商品マスタ[[#This Row],[仕入先]],$E$3:E407,商品マスタ[[#This Row],[商品名]]) = 1, 1,0)</f>
        <v/>
      </c>
      <c r="G407" s="133">
        <f>TEXT(SUMIF($C$3:C407,商品マスタ[[#This Row],[仕入先]],$F$3:F407), "0000")</f>
        <v/>
      </c>
      <c r="H407" s="167" t="inlineStr">
        <is>
          <t>kg</t>
        </is>
      </c>
      <c r="I407" s="167" t="inlineStr">
        <is>
          <t>50kg/ブロック</t>
        </is>
      </c>
      <c r="J407" s="167" t="inlineStr">
        <is>
          <t>1頭分</t>
        </is>
      </c>
      <c r="K407" s="167" t="n"/>
      <c r="L407" s="289" t="n">
        <v>4500</v>
      </c>
      <c r="M407" s="157" t="n">
        <v>46037</v>
      </c>
      <c r="N407" s="289" t="n"/>
      <c r="O407" s="290">
        <f>IF(COUNT(商品マスタ[[#This Row],[参考上代
（税込)]]) &gt; 0, (商品マスタ[[#This Row],[参考上代
（税込)]]-商品マスタ[[#This Row],[国内定価
（15％）]])/(商品マスタ[[#This Row],[参考上代
（税込)]]/1.08), "")</f>
        <v/>
      </c>
      <c r="P407" s="136" t="n">
        <v>0.1</v>
      </c>
      <c r="Q407" s="289">
        <f>商品マスタ[[#This Row],[仕入
単価]]*商品マスタ[[#This Row],[標準国内送料率]]</f>
        <v/>
      </c>
      <c r="R407" s="289" t="n">
        <v>0</v>
      </c>
      <c r="S407" s="289">
        <f>IF(ISBLANK(商品マスタ[[#This Row],[実績
国内送料]]),商品マスタ[[#This Row],[標準国内送料]],)</f>
        <v/>
      </c>
      <c r="T407" s="289">
        <f>商品マスタ[[#This Row],[仕入
単価]]+商品マスタ[[#This Row],[国内送料]]</f>
        <v/>
      </c>
      <c r="U407" s="289">
        <f>ROUNDUP(商品マスタ[[#This Row],[仕入単価+国内送料]]/0.8,-1)</f>
        <v/>
      </c>
      <c r="V407" s="289">
        <f>商品マスタ[[#This Row],[海外定価
（20％）]]-商品マスタ[[#This Row],[仕入単価+国内送料]]</f>
        <v/>
      </c>
      <c r="W407" s="167">
        <f>ROUNDUP(商品マスタ[[#This Row],[仕入単価+国内送料]]/0.85,-1)</f>
        <v/>
      </c>
      <c r="X407" s="289">
        <f>商品マスタ[[#This Row],[国内定価
（15％）]]-商品マスタ[[#This Row],[仕入単価+国内送料]]</f>
        <v/>
      </c>
      <c r="Y407" s="139" t="n">
        <v>0.08</v>
      </c>
      <c r="Z407" s="167" t="n"/>
      <c r="AA407" s="167" t="n"/>
      <c r="AB407" s="167" t="n"/>
      <c r="AC407" s="293" t="n"/>
      <c r="AD407" s="167" t="n"/>
      <c r="AE407" s="167" t="n"/>
      <c r="AF407" s="167" t="n"/>
      <c r="AG407" s="144" t="inlineStr">
        <is>
          <t>香港向け</t>
        </is>
      </c>
    </row>
    <row r="408" ht="18" customHeight="1" s="207">
      <c r="A408" s="166" t="inlineStr">
        <is>
          <t>精肉</t>
        </is>
      </c>
      <c r="B408" s="167" t="inlineStr">
        <is>
          <t>和牛</t>
        </is>
      </c>
      <c r="C408" s="167" t="inlineStr">
        <is>
          <t>エスフーズ</t>
        </is>
      </c>
      <c r="D408" s="143">
        <f>"PRD_SNJ_"&amp;
_xlfn.XLOOKUP(商品マスタ[[#This Row],[仕入先]],テーブル1[仕入先名],テーブル1[仕入先コード],"XXX",0,1)&amp;
"_"&amp;
商品マスタ[[#This Row],[シリアル]]&amp;
"_"&amp;
TEXT(COUNTIFS(商品マスタ!$C$3:C408,商品マスタ[[#This Row],[仕入先]],商品マスタ!$E$3:E408,商品マスタ[[#This Row],[商品名]]), "00")</f>
        <v/>
      </c>
      <c r="E408" s="167" t="inlineStr">
        <is>
          <t>BMS12国産和牛 ウデ</t>
        </is>
      </c>
      <c r="F408" s="167">
        <f>IF(COUNTIFS($C$3:C408,商品マスタ[[#This Row],[仕入先]],$E$3:E408,商品マスタ[[#This Row],[商品名]]) = 1, 1,0)</f>
        <v/>
      </c>
      <c r="G408" s="133">
        <f>TEXT(SUMIF($C$3:C408,商品マスタ[[#This Row],[仕入先]],$F$3:F408), "0000")</f>
        <v/>
      </c>
      <c r="H408" s="167" t="inlineStr">
        <is>
          <t>kg</t>
        </is>
      </c>
      <c r="I408" s="167" t="inlineStr">
        <is>
          <t>35kg/ブロック</t>
        </is>
      </c>
      <c r="J408" s="167" t="inlineStr">
        <is>
          <t>1頭分</t>
        </is>
      </c>
      <c r="K408" s="167" t="n"/>
      <c r="L408" s="289" t="n">
        <v>4800</v>
      </c>
      <c r="M408" s="157" t="n">
        <v>46037</v>
      </c>
      <c r="N408" s="289" t="n"/>
      <c r="O408" s="290">
        <f>IF(COUNT(商品マスタ[[#This Row],[参考上代
（税込)]]) &gt; 0, (商品マスタ[[#This Row],[参考上代
（税込)]]-商品マスタ[[#This Row],[国内定価
（15％）]])/(商品マスタ[[#This Row],[参考上代
（税込)]]/1.08), "")</f>
        <v/>
      </c>
      <c r="P408" s="136" t="n">
        <v>0.1</v>
      </c>
      <c r="Q408" s="289">
        <f>商品マスタ[[#This Row],[仕入
単価]]*商品マスタ[[#This Row],[標準国内送料率]]</f>
        <v/>
      </c>
      <c r="R408" s="289" t="n">
        <v>0</v>
      </c>
      <c r="S408" s="289">
        <f>IF(ISBLANK(商品マスタ[[#This Row],[実績
国内送料]]),商品マスタ[[#This Row],[標準国内送料]],)</f>
        <v/>
      </c>
      <c r="T408" s="289">
        <f>商品マスタ[[#This Row],[仕入
単価]]+商品マスタ[[#This Row],[国内送料]]</f>
        <v/>
      </c>
      <c r="U408" s="289">
        <f>ROUNDUP(商品マスタ[[#This Row],[仕入単価+国内送料]]/0.8,-1)</f>
        <v/>
      </c>
      <c r="V408" s="289">
        <f>商品マスタ[[#This Row],[海外定価
（20％）]]-商品マスタ[[#This Row],[仕入単価+国内送料]]</f>
        <v/>
      </c>
      <c r="W408" s="167">
        <f>ROUNDUP(商品マスタ[[#This Row],[仕入単価+国内送料]]/0.85,-1)</f>
        <v/>
      </c>
      <c r="X408" s="289">
        <f>商品マスタ[[#This Row],[国内定価
（15％）]]-商品マスタ[[#This Row],[仕入単価+国内送料]]</f>
        <v/>
      </c>
      <c r="Y408" s="139" t="n">
        <v>0.08</v>
      </c>
      <c r="Z408" s="167" t="n"/>
      <c r="AA408" s="167" t="n"/>
      <c r="AB408" s="167" t="n"/>
      <c r="AC408" s="293" t="n"/>
      <c r="AD408" s="167" t="n"/>
      <c r="AE408" s="167" t="n"/>
      <c r="AF408" s="167" t="n"/>
      <c r="AG408" s="144" t="inlineStr">
        <is>
          <t>香港向け</t>
        </is>
      </c>
    </row>
    <row r="409" ht="18" customHeight="1" s="207">
      <c r="A409" s="166" t="inlineStr">
        <is>
          <t>精肉</t>
        </is>
      </c>
      <c r="B409" s="167" t="inlineStr">
        <is>
          <t>和牛</t>
        </is>
      </c>
      <c r="C409" s="167" t="inlineStr">
        <is>
          <t>エスフーズ</t>
        </is>
      </c>
      <c r="D409" s="143">
        <f>"PRD_SNJ_"&amp;
_xlfn.XLOOKUP(商品マスタ[[#This Row],[仕入先]],テーブル1[仕入先名],テーブル1[仕入先コード],"XXX",0,1)&amp;
"_"&amp;
商品マスタ[[#This Row],[シリアル]]&amp;
"_"&amp;
TEXT(COUNTIFS(商品マスタ!$C$3:C409,商品マスタ[[#This Row],[仕入先]],商品マスタ!$E$3:E409,商品マスタ[[#This Row],[商品名]]), "00")</f>
        <v/>
      </c>
      <c r="E409" s="167" t="inlineStr">
        <is>
          <t>BMS12国産和牛 ウチモモ</t>
        </is>
      </c>
      <c r="F409" s="167">
        <f>IF(COUNTIFS($C$3:C409,商品マスタ[[#This Row],[仕入先]],$E$3:E409,商品マスタ[[#This Row],[商品名]]) = 1, 1,0)</f>
        <v/>
      </c>
      <c r="G409" s="133">
        <f>TEXT(SUMIF($C$3:C409,商品マスタ[[#This Row],[仕入先]],$F$3:F409), "0000")</f>
        <v/>
      </c>
      <c r="H409" s="167" t="inlineStr">
        <is>
          <t>kg</t>
        </is>
      </c>
      <c r="I409" s="167" t="inlineStr">
        <is>
          <t>22kg/ブロック</t>
        </is>
      </c>
      <c r="J409" s="167" t="inlineStr">
        <is>
          <t>1頭分</t>
        </is>
      </c>
      <c r="K409" s="167" t="n"/>
      <c r="L409" s="289" t="n">
        <v>5170</v>
      </c>
      <c r="M409" s="157" t="n">
        <v>46037</v>
      </c>
      <c r="N409" s="289" t="n"/>
      <c r="O409" s="290">
        <f>IF(COUNT(商品マスタ[[#This Row],[参考上代
（税込)]]) &gt; 0, (商品マスタ[[#This Row],[参考上代
（税込)]]-商品マスタ[[#This Row],[国内定価
（15％）]])/(商品マスタ[[#This Row],[参考上代
（税込)]]/1.08), "")</f>
        <v/>
      </c>
      <c r="P409" s="136" t="n">
        <v>0.1</v>
      </c>
      <c r="Q409" s="289">
        <f>商品マスタ[[#This Row],[仕入
単価]]*商品マスタ[[#This Row],[標準国内送料率]]</f>
        <v/>
      </c>
      <c r="R409" s="289" t="n">
        <v>0</v>
      </c>
      <c r="S409" s="289">
        <f>IF(ISBLANK(商品マスタ[[#This Row],[実績
国内送料]]),商品マスタ[[#This Row],[標準国内送料]],)</f>
        <v/>
      </c>
      <c r="T409" s="289">
        <f>商品マスタ[[#This Row],[仕入
単価]]+商品マスタ[[#This Row],[国内送料]]</f>
        <v/>
      </c>
      <c r="U409" s="289">
        <f>ROUNDUP(商品マスタ[[#This Row],[仕入単価+国内送料]]/0.8,-1)</f>
        <v/>
      </c>
      <c r="V409" s="289">
        <f>商品マスタ[[#This Row],[海外定価
（20％）]]-商品マスタ[[#This Row],[仕入単価+国内送料]]</f>
        <v/>
      </c>
      <c r="W409" s="167">
        <f>ROUNDUP(商品マスタ[[#This Row],[仕入単価+国内送料]]/0.85,-1)</f>
        <v/>
      </c>
      <c r="X409" s="289">
        <f>商品マスタ[[#This Row],[国内定価
（15％）]]-商品マスタ[[#This Row],[仕入単価+国内送料]]</f>
        <v/>
      </c>
      <c r="Y409" s="139" t="n">
        <v>0.08</v>
      </c>
      <c r="Z409" s="167" t="n"/>
      <c r="AA409" s="167" t="n"/>
      <c r="AB409" s="167" t="n"/>
      <c r="AC409" s="293" t="n"/>
      <c r="AD409" s="167" t="n"/>
      <c r="AE409" s="167" t="n"/>
      <c r="AF409" s="167" t="n"/>
      <c r="AG409" s="144" t="inlineStr">
        <is>
          <t>香港向け</t>
        </is>
      </c>
    </row>
    <row r="410" ht="18" customHeight="1" s="207">
      <c r="A410" s="166" t="inlineStr">
        <is>
          <t>精肉</t>
        </is>
      </c>
      <c r="B410" s="167" t="inlineStr">
        <is>
          <t>和牛</t>
        </is>
      </c>
      <c r="C410" s="167" t="inlineStr">
        <is>
          <t>エスフーズ</t>
        </is>
      </c>
      <c r="D410" s="143">
        <f>"PRD_SNJ_"&amp;
_xlfn.XLOOKUP(商品マスタ[[#This Row],[仕入先]],テーブル1[仕入先名],テーブル1[仕入先コード],"XXX",0,1)&amp;
"_"&amp;
商品マスタ[[#This Row],[シリアル]]&amp;
"_"&amp;
TEXT(COUNTIFS(商品マスタ!$C$3:C410,商品マスタ[[#This Row],[仕入先]],商品マスタ!$E$3:E410,商品マスタ[[#This Row],[商品名]]), "00")</f>
        <v/>
      </c>
      <c r="E410" s="167" t="inlineStr">
        <is>
          <t>BMS3-4国産F1 ロース（サーロイン、リブロースかぶり付き）</t>
        </is>
      </c>
      <c r="F410" s="167">
        <f>IF(COUNTIFS($C$3:C410,商品マスタ[[#This Row],[仕入先]],$E$3:E410,商品マスタ[[#This Row],[商品名]]) = 1, 1,0)</f>
        <v/>
      </c>
      <c r="G410" s="133">
        <f>TEXT(SUMIF($C$3:C410,商品マスタ[[#This Row],[仕入先]],$F$3:F410), "0000")</f>
        <v/>
      </c>
      <c r="H410" s="167" t="inlineStr">
        <is>
          <t>kg</t>
        </is>
      </c>
      <c r="I410" s="167" t="inlineStr">
        <is>
          <t>40kg/ブロック</t>
        </is>
      </c>
      <c r="J410" s="167" t="inlineStr">
        <is>
          <t>1頭分</t>
        </is>
      </c>
      <c r="K410" s="167" t="n"/>
      <c r="L410" s="289" t="n">
        <v>5650</v>
      </c>
      <c r="M410" s="157" t="n">
        <v>46037</v>
      </c>
      <c r="N410" s="289" t="n"/>
      <c r="O410" s="290">
        <f>IF(COUNT(商品マスタ[[#This Row],[参考上代
（税込)]]) &gt; 0, (商品マスタ[[#This Row],[参考上代
（税込)]]-商品マスタ[[#This Row],[国内定価
（15％）]])/(商品マスタ[[#This Row],[参考上代
（税込)]]/1.08), "")</f>
        <v/>
      </c>
      <c r="P410" s="136" t="n">
        <v>0.1</v>
      </c>
      <c r="Q410" s="289">
        <f>商品マスタ[[#This Row],[仕入
単価]]*商品マスタ[[#This Row],[標準国内送料率]]</f>
        <v/>
      </c>
      <c r="R410" s="289" t="n">
        <v>0</v>
      </c>
      <c r="S410" s="289">
        <f>IF(ISBLANK(商品マスタ[[#This Row],[実績
国内送料]]),商品マスタ[[#This Row],[標準国内送料]],)</f>
        <v/>
      </c>
      <c r="T410" s="289">
        <f>商品マスタ[[#This Row],[仕入
単価]]+商品マスタ[[#This Row],[国内送料]]</f>
        <v/>
      </c>
      <c r="U410" s="289">
        <f>ROUNDUP(商品マスタ[[#This Row],[仕入単価+国内送料]]/0.8,-1)</f>
        <v/>
      </c>
      <c r="V410" s="289">
        <f>商品マスタ[[#This Row],[海外定価
（20％）]]-商品マスタ[[#This Row],[仕入単価+国内送料]]</f>
        <v/>
      </c>
      <c r="W410" s="167">
        <f>ROUNDUP(商品マスタ[[#This Row],[仕入単価+国内送料]]/0.85,-1)</f>
        <v/>
      </c>
      <c r="X410" s="289">
        <f>商品マスタ[[#This Row],[国内定価
（15％）]]-商品マスタ[[#This Row],[仕入単価+国内送料]]</f>
        <v/>
      </c>
      <c r="Y410" s="139" t="n">
        <v>0.08</v>
      </c>
      <c r="Z410" s="167" t="n"/>
      <c r="AA410" s="167" t="n"/>
      <c r="AB410" s="167" t="n"/>
      <c r="AC410" s="293" t="n"/>
      <c r="AD410" s="167" t="n"/>
      <c r="AE410" s="167" t="n"/>
      <c r="AF410" s="167" t="n"/>
      <c r="AG410" s="144" t="inlineStr">
        <is>
          <t>香港向け</t>
        </is>
      </c>
    </row>
    <row r="411" ht="18" customHeight="1" s="207">
      <c r="A411" s="166" t="inlineStr">
        <is>
          <t>精肉</t>
        </is>
      </c>
      <c r="B411" s="167" t="inlineStr">
        <is>
          <t>和牛</t>
        </is>
      </c>
      <c r="C411" s="167" t="inlineStr">
        <is>
          <t>エスフーズ</t>
        </is>
      </c>
      <c r="D411" s="143">
        <f>"PRD_SNJ_"&amp;
_xlfn.XLOOKUP(商品マスタ[[#This Row],[仕入先]],テーブル1[仕入先名],テーブル1[仕入先コード],"XXX",0,1)&amp;
"_"&amp;
商品マスタ[[#This Row],[シリアル]]&amp;
"_"&amp;
TEXT(COUNTIFS(商品マスタ!$C$3:C411,商品マスタ[[#This Row],[仕入先]],商品マスタ!$E$3:E411,商品マスタ[[#This Row],[商品名]]), "00")</f>
        <v/>
      </c>
      <c r="E411" s="167" t="inlineStr">
        <is>
          <t>BMS3-4国産F1 ヒレ</t>
        </is>
      </c>
      <c r="F411" s="167">
        <f>IF(COUNTIFS($C$3:C411,商品マスタ[[#This Row],[仕入先]],$E$3:E411,商品マスタ[[#This Row],[商品名]]) = 1, 1,0)</f>
        <v/>
      </c>
      <c r="G411" s="133">
        <f>TEXT(SUMIF($C$3:C411,商品マスタ[[#This Row],[仕入先]],$F$3:F411), "0000")</f>
        <v/>
      </c>
      <c r="H411" s="167" t="inlineStr">
        <is>
          <t>kg</t>
        </is>
      </c>
      <c r="I411" s="167" t="inlineStr">
        <is>
          <t>10kg/ブロック</t>
        </is>
      </c>
      <c r="J411" s="167" t="inlineStr">
        <is>
          <t>1頭分</t>
        </is>
      </c>
      <c r="K411" s="167" t="n"/>
      <c r="L411" s="289" t="n">
        <v>7250</v>
      </c>
      <c r="M411" s="157" t="n">
        <v>46037</v>
      </c>
      <c r="N411" s="289" t="n"/>
      <c r="O411" s="290">
        <f>IF(COUNT(商品マスタ[[#This Row],[参考上代
（税込)]]) &gt; 0, (商品マスタ[[#This Row],[参考上代
（税込)]]-商品マスタ[[#This Row],[国内定価
（15％）]])/(商品マスタ[[#This Row],[参考上代
（税込)]]/1.08), "")</f>
        <v/>
      </c>
      <c r="P411" s="136" t="n">
        <v>0.1</v>
      </c>
      <c r="Q411" s="289">
        <f>商品マスタ[[#This Row],[仕入
単価]]*商品マスタ[[#This Row],[標準国内送料率]]</f>
        <v/>
      </c>
      <c r="R411" s="289" t="n">
        <v>0</v>
      </c>
      <c r="S411" s="289">
        <f>IF(ISBLANK(商品マスタ[[#This Row],[実績
国内送料]]),商品マスタ[[#This Row],[標準国内送料]],)</f>
        <v/>
      </c>
      <c r="T411" s="289">
        <f>商品マスタ[[#This Row],[仕入
単価]]+商品マスタ[[#This Row],[国内送料]]</f>
        <v/>
      </c>
      <c r="U411" s="289">
        <f>ROUNDUP(商品マスタ[[#This Row],[仕入単価+国内送料]]/0.8,-1)</f>
        <v/>
      </c>
      <c r="V411" s="289">
        <f>商品マスタ[[#This Row],[海外定価
（20％）]]-商品マスタ[[#This Row],[仕入単価+国内送料]]</f>
        <v/>
      </c>
      <c r="W411" s="167">
        <f>ROUNDUP(商品マスタ[[#This Row],[仕入単価+国内送料]]/0.85,-1)</f>
        <v/>
      </c>
      <c r="X411" s="289">
        <f>商品マスタ[[#This Row],[国内定価
（15％）]]-商品マスタ[[#This Row],[仕入単価+国内送料]]</f>
        <v/>
      </c>
      <c r="Y411" s="139" t="n">
        <v>0.08</v>
      </c>
      <c r="Z411" s="167" t="n"/>
      <c r="AA411" s="167" t="n"/>
      <c r="AB411" s="167" t="n"/>
      <c r="AC411" s="293" t="n"/>
      <c r="AD411" s="167" t="n"/>
      <c r="AE411" s="167" t="n"/>
      <c r="AF411" s="167" t="n"/>
      <c r="AG411" s="144" t="inlineStr">
        <is>
          <t>香港向け</t>
        </is>
      </c>
    </row>
    <row r="412" ht="18" customHeight="1" s="207">
      <c r="A412" s="166" t="inlineStr">
        <is>
          <t>精肉</t>
        </is>
      </c>
      <c r="B412" s="167" t="inlineStr">
        <is>
          <t>和牛</t>
        </is>
      </c>
      <c r="C412" s="167" t="inlineStr">
        <is>
          <t>エスフーズ</t>
        </is>
      </c>
      <c r="D412" s="143">
        <f>"PRD_SNJ_"&amp;
_xlfn.XLOOKUP(商品マスタ[[#This Row],[仕入先]],テーブル1[仕入先名],テーブル1[仕入先コード],"XXX",0,1)&amp;
"_"&amp;
商品マスタ[[#This Row],[シリアル]]&amp;
"_"&amp;
TEXT(COUNTIFS(商品マスタ!$C$3:C412,商品マスタ[[#This Row],[仕入先]],商品マスタ!$E$3:E412,商品マスタ[[#This Row],[商品名]]), "00")</f>
        <v/>
      </c>
      <c r="E412" s="167" t="inlineStr">
        <is>
          <t>BMS3-4国産F1 肩ロース（ネック有）</t>
        </is>
      </c>
      <c r="F412" s="167">
        <f>IF(COUNTIFS($C$3:C412,商品マスタ[[#This Row],[仕入先]],$E$3:E412,商品マスタ[[#This Row],[商品名]]) = 1, 1,0)</f>
        <v/>
      </c>
      <c r="G412" s="133">
        <f>TEXT(SUMIF($C$3:C412,商品マスタ[[#This Row],[仕入先]],$F$3:F412), "0000")</f>
        <v/>
      </c>
      <c r="H412" s="167" t="inlineStr">
        <is>
          <t>kg</t>
        </is>
      </c>
      <c r="I412" s="167" t="inlineStr">
        <is>
          <t>50kg/ブロック</t>
        </is>
      </c>
      <c r="J412" s="167" t="inlineStr">
        <is>
          <t>1頭分</t>
        </is>
      </c>
      <c r="K412" s="167" t="n"/>
      <c r="L412" s="289" t="n">
        <v>3300</v>
      </c>
      <c r="M412" s="157" t="n">
        <v>46037</v>
      </c>
      <c r="N412" s="289" t="n"/>
      <c r="O412" s="290">
        <f>IF(COUNT(商品マスタ[[#This Row],[参考上代
（税込)]]) &gt; 0, (商品マスタ[[#This Row],[参考上代
（税込)]]-商品マスタ[[#This Row],[国内定価
（15％）]])/(商品マスタ[[#This Row],[参考上代
（税込)]]/1.08), "")</f>
        <v/>
      </c>
      <c r="P412" s="136" t="n">
        <v>0.1</v>
      </c>
      <c r="Q412" s="289">
        <f>商品マスタ[[#This Row],[仕入
単価]]*商品マスタ[[#This Row],[標準国内送料率]]</f>
        <v/>
      </c>
      <c r="R412" s="289" t="n">
        <v>0</v>
      </c>
      <c r="S412" s="289">
        <f>IF(ISBLANK(商品マスタ[[#This Row],[実績
国内送料]]),商品マスタ[[#This Row],[標準国内送料]],)</f>
        <v/>
      </c>
      <c r="T412" s="289">
        <f>商品マスタ[[#This Row],[仕入
単価]]+商品マスタ[[#This Row],[国内送料]]</f>
        <v/>
      </c>
      <c r="U412" s="289">
        <f>ROUNDUP(商品マスタ[[#This Row],[仕入単価+国内送料]]/0.8,-1)</f>
        <v/>
      </c>
      <c r="V412" s="289">
        <f>商品マスタ[[#This Row],[海外定価
（20％）]]-商品マスタ[[#This Row],[仕入単価+国内送料]]</f>
        <v/>
      </c>
      <c r="W412" s="167">
        <f>ROUNDUP(商品マスタ[[#This Row],[仕入単価+国内送料]]/0.85,-1)</f>
        <v/>
      </c>
      <c r="X412" s="289">
        <f>商品マスタ[[#This Row],[国内定価
（15％）]]-商品マスタ[[#This Row],[仕入単価+国内送料]]</f>
        <v/>
      </c>
      <c r="Y412" s="139" t="n">
        <v>0.08</v>
      </c>
      <c r="Z412" s="167" t="n"/>
      <c r="AA412" s="167" t="n"/>
      <c r="AB412" s="167" t="n"/>
      <c r="AC412" s="293" t="n"/>
      <c r="AD412" s="167" t="n"/>
      <c r="AE412" s="167" t="n"/>
      <c r="AF412" s="167" t="n"/>
      <c r="AG412" s="144" t="inlineStr">
        <is>
          <t>香港向け</t>
        </is>
      </c>
    </row>
    <row r="413" ht="18" customHeight="1" s="207">
      <c r="A413" s="166" t="inlineStr">
        <is>
          <t>精肉</t>
        </is>
      </c>
      <c r="B413" s="167" t="inlineStr">
        <is>
          <t>和牛</t>
        </is>
      </c>
      <c r="C413" s="167" t="inlineStr">
        <is>
          <t>エスフーズ</t>
        </is>
      </c>
      <c r="D413" s="143">
        <f>"PRD_SNJ_"&amp;
_xlfn.XLOOKUP(商品マスタ[[#This Row],[仕入先]],テーブル1[仕入先名],テーブル1[仕入先コード],"XXX",0,1)&amp;
"_"&amp;
商品マスタ[[#This Row],[シリアル]]&amp;
"_"&amp;
TEXT(COUNTIFS(商品マスタ!$C$3:C413,商品マスタ[[#This Row],[仕入先]],商品マスタ!$E$3:E413,商品マスタ[[#This Row],[商品名]]), "00")</f>
        <v/>
      </c>
      <c r="E413" s="167" t="inlineStr">
        <is>
          <t>BMS3-4国産F1 ウデ</t>
        </is>
      </c>
      <c r="F413" s="167">
        <f>IF(COUNTIFS($C$3:C413,商品マスタ[[#This Row],[仕入先]],$E$3:E413,商品マスタ[[#This Row],[商品名]]) = 1, 1,0)</f>
        <v/>
      </c>
      <c r="G413" s="133">
        <f>TEXT(SUMIF($C$3:C413,商品マスタ[[#This Row],[仕入先]],$F$3:F413), "0000")</f>
        <v/>
      </c>
      <c r="H413" s="167" t="inlineStr">
        <is>
          <t>kg</t>
        </is>
      </c>
      <c r="I413" s="167" t="inlineStr">
        <is>
          <t>35kg/ブロック</t>
        </is>
      </c>
      <c r="J413" s="167" t="inlineStr">
        <is>
          <t>1頭分</t>
        </is>
      </c>
      <c r="K413" s="167" t="n"/>
      <c r="L413" s="289" t="n">
        <v>3300</v>
      </c>
      <c r="M413" s="157" t="n">
        <v>46037</v>
      </c>
      <c r="N413" s="289" t="n"/>
      <c r="O413" s="290">
        <f>IF(COUNT(商品マスタ[[#This Row],[参考上代
（税込)]]) &gt; 0, (商品マスタ[[#This Row],[参考上代
（税込)]]-商品マスタ[[#This Row],[国内定価
（15％）]])/(商品マスタ[[#This Row],[参考上代
（税込)]]/1.08), "")</f>
        <v/>
      </c>
      <c r="P413" s="136" t="n">
        <v>0.1</v>
      </c>
      <c r="Q413" s="289">
        <f>商品マスタ[[#This Row],[仕入
単価]]*商品マスタ[[#This Row],[標準国内送料率]]</f>
        <v/>
      </c>
      <c r="R413" s="289" t="n">
        <v>0</v>
      </c>
      <c r="S413" s="289">
        <f>IF(ISBLANK(商品マスタ[[#This Row],[実績
国内送料]]),商品マスタ[[#This Row],[標準国内送料]],)</f>
        <v/>
      </c>
      <c r="T413" s="289">
        <f>商品マスタ[[#This Row],[仕入
単価]]+商品マスタ[[#This Row],[国内送料]]</f>
        <v/>
      </c>
      <c r="U413" s="289">
        <f>ROUNDUP(商品マスタ[[#This Row],[仕入単価+国内送料]]/0.8,-1)</f>
        <v/>
      </c>
      <c r="V413" s="289">
        <f>商品マスタ[[#This Row],[海外定価
（20％）]]-商品マスタ[[#This Row],[仕入単価+国内送料]]</f>
        <v/>
      </c>
      <c r="W413" s="167">
        <f>ROUNDUP(商品マスタ[[#This Row],[仕入単価+国内送料]]/0.85,-1)</f>
        <v/>
      </c>
      <c r="X413" s="289">
        <f>商品マスタ[[#This Row],[国内定価
（15％）]]-商品マスタ[[#This Row],[仕入単価+国内送料]]</f>
        <v/>
      </c>
      <c r="Y413" s="139" t="n">
        <v>0.08</v>
      </c>
      <c r="Z413" s="167" t="n"/>
      <c r="AA413" s="167" t="n"/>
      <c r="AB413" s="167" t="n"/>
      <c r="AC413" s="293" t="n"/>
      <c r="AD413" s="167" t="n"/>
      <c r="AE413" s="167" t="n"/>
      <c r="AF413" s="167" t="n"/>
      <c r="AG413" s="144" t="inlineStr">
        <is>
          <t>香港向け</t>
        </is>
      </c>
    </row>
    <row r="414" ht="18" customHeight="1" s="207">
      <c r="A414" s="166" t="inlineStr">
        <is>
          <t>精肉</t>
        </is>
      </c>
      <c r="B414" s="167" t="inlineStr">
        <is>
          <t>和牛</t>
        </is>
      </c>
      <c r="C414" s="167" t="inlineStr">
        <is>
          <t>エスフーズ</t>
        </is>
      </c>
      <c r="D414" s="143">
        <f>"PRD_SNJ_"&amp;
_xlfn.XLOOKUP(商品マスタ[[#This Row],[仕入先]],テーブル1[仕入先名],テーブル1[仕入先コード],"XXX",0,1)&amp;
"_"&amp;
商品マスタ[[#This Row],[シリアル]]&amp;
"_"&amp;
TEXT(COUNTIFS(商品マスタ!$C$3:C414,商品マスタ[[#This Row],[仕入先]],商品マスタ!$E$3:E414,商品マスタ[[#This Row],[商品名]]), "00")</f>
        <v/>
      </c>
      <c r="E414" s="167" t="inlineStr">
        <is>
          <t>BMS3-4国産F1 ウチモモ</t>
        </is>
      </c>
      <c r="F414" s="167">
        <f>IF(COUNTIFS($C$3:C414,商品マスタ[[#This Row],[仕入先]],$E$3:E414,商品マスタ[[#This Row],[商品名]]) = 1, 1,0)</f>
        <v/>
      </c>
      <c r="G414" s="133">
        <f>TEXT(SUMIF($C$3:C414,商品マスタ[[#This Row],[仕入先]],$F$3:F414), "0000")</f>
        <v/>
      </c>
      <c r="H414" s="167" t="inlineStr">
        <is>
          <t>kg</t>
        </is>
      </c>
      <c r="I414" s="167" t="inlineStr">
        <is>
          <t>22kg/ブロック</t>
        </is>
      </c>
      <c r="J414" s="167" t="inlineStr">
        <is>
          <t>1頭分</t>
        </is>
      </c>
      <c r="K414" s="167" t="n"/>
      <c r="L414" s="289" t="n">
        <v>3350</v>
      </c>
      <c r="M414" s="157" t="n">
        <v>46037</v>
      </c>
      <c r="N414" s="289" t="n"/>
      <c r="O414" s="290">
        <f>IF(COUNT(商品マスタ[[#This Row],[参考上代
（税込)]]) &gt; 0, (商品マスタ[[#This Row],[参考上代
（税込)]]-商品マスタ[[#This Row],[国内定価
（15％）]])/(商品マスタ[[#This Row],[参考上代
（税込)]]/1.08), "")</f>
        <v/>
      </c>
      <c r="P414" s="136" t="n">
        <v>0.1</v>
      </c>
      <c r="Q414" s="289">
        <f>商品マスタ[[#This Row],[仕入
単価]]*商品マスタ[[#This Row],[標準国内送料率]]</f>
        <v/>
      </c>
      <c r="R414" s="289" t="n">
        <v>0</v>
      </c>
      <c r="S414" s="289">
        <f>IF(ISBLANK(商品マスタ[[#This Row],[実績
国内送料]]),商品マスタ[[#This Row],[標準国内送料]],)</f>
        <v/>
      </c>
      <c r="T414" s="289">
        <f>商品マスタ[[#This Row],[仕入
単価]]+商品マスタ[[#This Row],[国内送料]]</f>
        <v/>
      </c>
      <c r="U414" s="289">
        <f>ROUNDUP(商品マスタ[[#This Row],[仕入単価+国内送料]]/0.8,-1)</f>
        <v/>
      </c>
      <c r="V414" s="289">
        <f>商品マスタ[[#This Row],[海外定価
（20％）]]-商品マスタ[[#This Row],[仕入単価+国内送料]]</f>
        <v/>
      </c>
      <c r="W414" s="167">
        <f>ROUNDUP(商品マスタ[[#This Row],[仕入単価+国内送料]]/0.85,-1)</f>
        <v/>
      </c>
      <c r="X414" s="289">
        <f>商品マスタ[[#This Row],[国内定価
（15％）]]-商品マスタ[[#This Row],[仕入単価+国内送料]]</f>
        <v/>
      </c>
      <c r="Y414" s="139" t="n">
        <v>0.08</v>
      </c>
      <c r="Z414" s="167" t="n"/>
      <c r="AA414" s="167" t="n"/>
      <c r="AB414" s="167" t="n"/>
      <c r="AC414" s="293" t="n"/>
      <c r="AD414" s="167" t="n"/>
      <c r="AE414" s="167" t="n"/>
      <c r="AF414" s="167" t="n"/>
      <c r="AG414" s="144" t="inlineStr">
        <is>
          <t>香港向け</t>
        </is>
      </c>
    </row>
    <row r="415" ht="18" customHeight="1" s="207">
      <c r="A415" s="166" t="inlineStr">
        <is>
          <t>精肉</t>
        </is>
      </c>
      <c r="B415" s="167" t="inlineStr">
        <is>
          <t>和牛</t>
        </is>
      </c>
      <c r="C415" s="167" t="inlineStr">
        <is>
          <t>エスフーズ</t>
        </is>
      </c>
      <c r="D415" s="143">
        <f>"PRD_SNJ_"&amp;
_xlfn.XLOOKUP(商品マスタ[[#This Row],[仕入先]],テーブル1[仕入先名],テーブル1[仕入先コード],"XXX",0,1)&amp;
"_"&amp;
商品マスタ[[#This Row],[シリアル]]&amp;
"_"&amp;
TEXT(COUNTIFS(商品マスタ!$C$3:C415,商品マスタ[[#This Row],[仕入先]],商品マスタ!$E$3:E415,商品マスタ[[#This Row],[商品名]]), "00")</f>
        <v/>
      </c>
      <c r="E415" s="167" t="inlineStr">
        <is>
          <t>BMS5-7国産F1 ロース（サーロイン、リブロースかぶり付き）</t>
        </is>
      </c>
      <c r="F415" s="167">
        <f>IF(COUNTIFS($C$3:C415,商品マスタ[[#This Row],[仕入先]],$E$3:E415,商品マスタ[[#This Row],[商品名]]) = 1, 1,0)</f>
        <v/>
      </c>
      <c r="G415" s="133">
        <f>TEXT(SUMIF($C$3:C415,商品マスタ[[#This Row],[仕入先]],$F$3:F415), "0000")</f>
        <v/>
      </c>
      <c r="H415" s="167" t="inlineStr">
        <is>
          <t>kg</t>
        </is>
      </c>
      <c r="I415" s="167" t="inlineStr">
        <is>
          <t>40kg/ブロック</t>
        </is>
      </c>
      <c r="J415" s="167" t="inlineStr">
        <is>
          <t>1頭分</t>
        </is>
      </c>
      <c r="K415" s="167" t="n"/>
      <c r="L415" s="289" t="n">
        <v>5950</v>
      </c>
      <c r="M415" s="157" t="n">
        <v>46037</v>
      </c>
      <c r="N415" s="289" t="n"/>
      <c r="O415" s="290">
        <f>IF(COUNT(商品マスタ[[#This Row],[参考上代
（税込)]]) &gt; 0, (商品マスタ[[#This Row],[参考上代
（税込)]]-商品マスタ[[#This Row],[国内定価
（15％）]])/(商品マスタ[[#This Row],[参考上代
（税込)]]/1.08), "")</f>
        <v/>
      </c>
      <c r="P415" s="136" t="n">
        <v>0.1</v>
      </c>
      <c r="Q415" s="289">
        <f>商品マスタ[[#This Row],[仕入
単価]]*商品マスタ[[#This Row],[標準国内送料率]]</f>
        <v/>
      </c>
      <c r="R415" s="289" t="n">
        <v>0</v>
      </c>
      <c r="S415" s="289">
        <f>IF(ISBLANK(商品マスタ[[#This Row],[実績
国内送料]]),商品マスタ[[#This Row],[標準国内送料]],)</f>
        <v/>
      </c>
      <c r="T415" s="289">
        <f>商品マスタ[[#This Row],[仕入
単価]]+商品マスタ[[#This Row],[国内送料]]</f>
        <v/>
      </c>
      <c r="U415" s="289">
        <f>ROUNDUP(商品マスタ[[#This Row],[仕入単価+国内送料]]/0.8,-1)</f>
        <v/>
      </c>
      <c r="V415" s="289">
        <f>商品マスタ[[#This Row],[海外定価
（20％）]]-商品マスタ[[#This Row],[仕入単価+国内送料]]</f>
        <v/>
      </c>
      <c r="W415" s="167">
        <f>ROUNDUP(商品マスタ[[#This Row],[仕入単価+国内送料]]/0.85,-1)</f>
        <v/>
      </c>
      <c r="X415" s="289">
        <f>商品マスタ[[#This Row],[国内定価
（15％）]]-商品マスタ[[#This Row],[仕入単価+国内送料]]</f>
        <v/>
      </c>
      <c r="Y415" s="139" t="n">
        <v>0.08</v>
      </c>
      <c r="Z415" s="167" t="n"/>
      <c r="AA415" s="167" t="n"/>
      <c r="AB415" s="167" t="n"/>
      <c r="AC415" s="293" t="n"/>
      <c r="AD415" s="167" t="n"/>
      <c r="AE415" s="167" t="n"/>
      <c r="AF415" s="167" t="n"/>
      <c r="AG415" s="144" t="inlineStr">
        <is>
          <t>香港向け</t>
        </is>
      </c>
    </row>
    <row r="416" ht="18" customHeight="1" s="207">
      <c r="A416" s="166" t="inlineStr">
        <is>
          <t>精肉</t>
        </is>
      </c>
      <c r="B416" s="167" t="inlineStr">
        <is>
          <t>和牛</t>
        </is>
      </c>
      <c r="C416" s="167" t="inlineStr">
        <is>
          <t>エスフーズ</t>
        </is>
      </c>
      <c r="D416" s="143">
        <f>"PRD_SNJ_"&amp;
_xlfn.XLOOKUP(商品マスタ[[#This Row],[仕入先]],テーブル1[仕入先名],テーブル1[仕入先コード],"XXX",0,1)&amp;
"_"&amp;
商品マスタ[[#This Row],[シリアル]]&amp;
"_"&amp;
TEXT(COUNTIFS(商品マスタ!$C$3:C416,商品マスタ[[#This Row],[仕入先]],商品マスタ!$E$3:E416,商品マスタ[[#This Row],[商品名]]), "00")</f>
        <v/>
      </c>
      <c r="E416" s="167" t="inlineStr">
        <is>
          <t>BMS5-7国産F1 ヒレ</t>
        </is>
      </c>
      <c r="F416" s="167">
        <f>IF(COUNTIFS($C$3:C416,商品マスタ[[#This Row],[仕入先]],$E$3:E416,商品マスタ[[#This Row],[商品名]]) = 1, 1,0)</f>
        <v/>
      </c>
      <c r="G416" s="133">
        <f>TEXT(SUMIF($C$3:C416,商品マスタ[[#This Row],[仕入先]],$F$3:F416), "0000")</f>
        <v/>
      </c>
      <c r="H416" s="167" t="inlineStr">
        <is>
          <t>kg</t>
        </is>
      </c>
      <c r="I416" s="167" t="inlineStr">
        <is>
          <t>10kg/ブロック</t>
        </is>
      </c>
      <c r="J416" s="167" t="inlineStr">
        <is>
          <t>1頭分</t>
        </is>
      </c>
      <c r="K416" s="167" t="n"/>
      <c r="L416" s="289" t="n">
        <v>7250</v>
      </c>
      <c r="M416" s="157" t="n">
        <v>46037</v>
      </c>
      <c r="N416" s="289" t="n"/>
      <c r="O416" s="290">
        <f>IF(COUNT(商品マスタ[[#This Row],[参考上代
（税込)]]) &gt; 0, (商品マスタ[[#This Row],[参考上代
（税込)]]-商品マスタ[[#This Row],[国内定価
（15％）]])/(商品マスタ[[#This Row],[参考上代
（税込)]]/1.08), "")</f>
        <v/>
      </c>
      <c r="P416" s="136" t="n">
        <v>0.1</v>
      </c>
      <c r="Q416" s="289">
        <f>商品マスタ[[#This Row],[仕入
単価]]*商品マスタ[[#This Row],[標準国内送料率]]</f>
        <v/>
      </c>
      <c r="R416" s="289" t="n">
        <v>0</v>
      </c>
      <c r="S416" s="289">
        <f>IF(ISBLANK(商品マスタ[[#This Row],[実績
国内送料]]),商品マスタ[[#This Row],[標準国内送料]],)</f>
        <v/>
      </c>
      <c r="T416" s="289">
        <f>商品マスタ[[#This Row],[仕入
単価]]+商品マスタ[[#This Row],[国内送料]]</f>
        <v/>
      </c>
      <c r="U416" s="289">
        <f>ROUNDUP(商品マスタ[[#This Row],[仕入単価+国内送料]]/0.8,-1)</f>
        <v/>
      </c>
      <c r="V416" s="289">
        <f>商品マスタ[[#This Row],[海外定価
（20％）]]-商品マスタ[[#This Row],[仕入単価+国内送料]]</f>
        <v/>
      </c>
      <c r="W416" s="167">
        <f>ROUNDUP(商品マスタ[[#This Row],[仕入単価+国内送料]]/0.85,-1)</f>
        <v/>
      </c>
      <c r="X416" s="289">
        <f>商品マスタ[[#This Row],[国内定価
（15％）]]-商品マスタ[[#This Row],[仕入単価+国内送料]]</f>
        <v/>
      </c>
      <c r="Y416" s="139" t="n">
        <v>0.08</v>
      </c>
      <c r="Z416" s="167" t="n"/>
      <c r="AA416" s="167" t="n"/>
      <c r="AB416" s="167" t="n"/>
      <c r="AC416" s="293" t="n"/>
      <c r="AD416" s="167" t="n"/>
      <c r="AE416" s="167" t="n"/>
      <c r="AF416" s="167" t="n"/>
      <c r="AG416" s="144" t="inlineStr">
        <is>
          <t>香港向け</t>
        </is>
      </c>
    </row>
    <row r="417" ht="18" customHeight="1" s="207">
      <c r="A417" s="166" t="inlineStr">
        <is>
          <t>精肉</t>
        </is>
      </c>
      <c r="B417" s="167" t="inlineStr">
        <is>
          <t>和牛</t>
        </is>
      </c>
      <c r="C417" s="167" t="inlineStr">
        <is>
          <t>エスフーズ</t>
        </is>
      </c>
      <c r="D417" s="143">
        <f>"PRD_SNJ_"&amp;
_xlfn.XLOOKUP(商品マスタ[[#This Row],[仕入先]],テーブル1[仕入先名],テーブル1[仕入先コード],"XXX",0,1)&amp;
"_"&amp;
商品マスタ[[#This Row],[シリアル]]&amp;
"_"&amp;
TEXT(COUNTIFS(商品マスタ!$C$3:C417,商品マスタ[[#This Row],[仕入先]],商品マスタ!$E$3:E417,商品マスタ[[#This Row],[商品名]]), "00")</f>
        <v/>
      </c>
      <c r="E417" s="167" t="inlineStr">
        <is>
          <t>BMS5-7国産F1 肩ロース（ネック有）</t>
        </is>
      </c>
      <c r="F417" s="167">
        <f>IF(COUNTIFS($C$3:C417,商品マスタ[[#This Row],[仕入先]],$E$3:E417,商品マスタ[[#This Row],[商品名]]) = 1, 1,0)</f>
        <v/>
      </c>
      <c r="G417" s="133">
        <f>TEXT(SUMIF($C$3:C417,商品マスタ[[#This Row],[仕入先]],$F$3:F417), "0000")</f>
        <v/>
      </c>
      <c r="H417" s="167" t="inlineStr">
        <is>
          <t>kg</t>
        </is>
      </c>
      <c r="I417" s="167" t="inlineStr">
        <is>
          <t>50kg/ブロック</t>
        </is>
      </c>
      <c r="J417" s="167" t="inlineStr">
        <is>
          <t>1頭分</t>
        </is>
      </c>
      <c r="K417" s="167" t="n"/>
      <c r="L417" s="289" t="n">
        <v>3300</v>
      </c>
      <c r="M417" s="157" t="n">
        <v>46037</v>
      </c>
      <c r="N417" s="289" t="n"/>
      <c r="O417" s="290">
        <f>IF(COUNT(商品マスタ[[#This Row],[参考上代
（税込)]]) &gt; 0, (商品マスタ[[#This Row],[参考上代
（税込)]]-商品マスタ[[#This Row],[国内定価
（15％）]])/(商品マスタ[[#This Row],[参考上代
（税込)]]/1.08), "")</f>
        <v/>
      </c>
      <c r="P417" s="136" t="n">
        <v>0.1</v>
      </c>
      <c r="Q417" s="289">
        <f>商品マスタ[[#This Row],[仕入
単価]]*商品マスタ[[#This Row],[標準国内送料率]]</f>
        <v/>
      </c>
      <c r="R417" s="289" t="n">
        <v>0</v>
      </c>
      <c r="S417" s="289">
        <f>IF(ISBLANK(商品マスタ[[#This Row],[実績
国内送料]]),商品マスタ[[#This Row],[標準国内送料]],)</f>
        <v/>
      </c>
      <c r="T417" s="289">
        <f>商品マスタ[[#This Row],[仕入
単価]]+商品マスタ[[#This Row],[国内送料]]</f>
        <v/>
      </c>
      <c r="U417" s="289">
        <f>ROUNDUP(商品マスタ[[#This Row],[仕入単価+国内送料]]/0.8,-1)</f>
        <v/>
      </c>
      <c r="V417" s="289">
        <f>商品マスタ[[#This Row],[海外定価
（20％）]]-商品マスタ[[#This Row],[仕入単価+国内送料]]</f>
        <v/>
      </c>
      <c r="W417" s="167">
        <f>ROUNDUP(商品マスタ[[#This Row],[仕入単価+国内送料]]/0.85,-1)</f>
        <v/>
      </c>
      <c r="X417" s="289">
        <f>商品マスタ[[#This Row],[国内定価
（15％）]]-商品マスタ[[#This Row],[仕入単価+国内送料]]</f>
        <v/>
      </c>
      <c r="Y417" s="139" t="n">
        <v>0.08</v>
      </c>
      <c r="Z417" s="167" t="n"/>
      <c r="AA417" s="167" t="n"/>
      <c r="AB417" s="167" t="n"/>
      <c r="AC417" s="293" t="n"/>
      <c r="AD417" s="167" t="n"/>
      <c r="AE417" s="167" t="n"/>
      <c r="AF417" s="167" t="n"/>
      <c r="AG417" s="144" t="inlineStr">
        <is>
          <t>香港向け</t>
        </is>
      </c>
    </row>
    <row r="418" ht="18" customHeight="1" s="207">
      <c r="A418" s="166" t="inlineStr">
        <is>
          <t>精肉</t>
        </is>
      </c>
      <c r="B418" s="167" t="inlineStr">
        <is>
          <t>和牛</t>
        </is>
      </c>
      <c r="C418" s="167" t="inlineStr">
        <is>
          <t>エスフーズ</t>
        </is>
      </c>
      <c r="D418" s="143">
        <f>"PRD_SNJ_"&amp;
_xlfn.XLOOKUP(商品マスタ[[#This Row],[仕入先]],テーブル1[仕入先名],テーブル1[仕入先コード],"XXX",0,1)&amp;
"_"&amp;
商品マスタ[[#This Row],[シリアル]]&amp;
"_"&amp;
TEXT(COUNTIFS(商品マスタ!$C$3:C418,商品マスタ[[#This Row],[仕入先]],商品マスタ!$E$3:E418,商品マスタ[[#This Row],[商品名]]), "00")</f>
        <v/>
      </c>
      <c r="E418" s="167" t="inlineStr">
        <is>
          <t>BMS5-7国産F1 ウデ</t>
        </is>
      </c>
      <c r="F418" s="167">
        <f>IF(COUNTIFS($C$3:C418,商品マスタ[[#This Row],[仕入先]],$E$3:E418,商品マスタ[[#This Row],[商品名]]) = 1, 1,0)</f>
        <v/>
      </c>
      <c r="G418" s="133">
        <f>TEXT(SUMIF($C$3:C418,商品マスタ[[#This Row],[仕入先]],$F$3:F418), "0000")</f>
        <v/>
      </c>
      <c r="H418" s="167" t="inlineStr">
        <is>
          <t>kg</t>
        </is>
      </c>
      <c r="I418" s="167" t="inlineStr">
        <is>
          <t>35kg/ブロック</t>
        </is>
      </c>
      <c r="J418" s="167" t="inlineStr">
        <is>
          <t>1頭分</t>
        </is>
      </c>
      <c r="K418" s="167" t="n"/>
      <c r="L418" s="289" t="n">
        <v>3300</v>
      </c>
      <c r="M418" s="157" t="n">
        <v>46037</v>
      </c>
      <c r="N418" s="289" t="n"/>
      <c r="O418" s="290">
        <f>IF(COUNT(商品マスタ[[#This Row],[参考上代
（税込)]]) &gt; 0, (商品マスタ[[#This Row],[参考上代
（税込)]]-商品マスタ[[#This Row],[国内定価
（15％）]])/(商品マスタ[[#This Row],[参考上代
（税込)]]/1.08), "")</f>
        <v/>
      </c>
      <c r="P418" s="136" t="n">
        <v>0.1</v>
      </c>
      <c r="Q418" s="289">
        <f>商品マスタ[[#This Row],[仕入
単価]]*商品マスタ[[#This Row],[標準国内送料率]]</f>
        <v/>
      </c>
      <c r="R418" s="289" t="n">
        <v>0</v>
      </c>
      <c r="S418" s="289">
        <f>IF(ISBLANK(商品マスタ[[#This Row],[実績
国内送料]]),商品マスタ[[#This Row],[標準国内送料]],)</f>
        <v/>
      </c>
      <c r="T418" s="289">
        <f>商品マスタ[[#This Row],[仕入
単価]]+商品マスタ[[#This Row],[国内送料]]</f>
        <v/>
      </c>
      <c r="U418" s="289">
        <f>ROUNDUP(商品マスタ[[#This Row],[仕入単価+国内送料]]/0.8,-1)</f>
        <v/>
      </c>
      <c r="V418" s="289">
        <f>商品マスタ[[#This Row],[海外定価
（20％）]]-商品マスタ[[#This Row],[仕入単価+国内送料]]</f>
        <v/>
      </c>
      <c r="W418" s="167">
        <f>ROUNDUP(商品マスタ[[#This Row],[仕入単価+国内送料]]/0.85,-1)</f>
        <v/>
      </c>
      <c r="X418" s="289">
        <f>商品マスタ[[#This Row],[国内定価
（15％）]]-商品マスタ[[#This Row],[仕入単価+国内送料]]</f>
        <v/>
      </c>
      <c r="Y418" s="139" t="n">
        <v>0.08</v>
      </c>
      <c r="Z418" s="167" t="n"/>
      <c r="AA418" s="167" t="n"/>
      <c r="AB418" s="167" t="n"/>
      <c r="AC418" s="293" t="n"/>
      <c r="AD418" s="167" t="n"/>
      <c r="AE418" s="167" t="n"/>
      <c r="AF418" s="167" t="n"/>
      <c r="AG418" s="144" t="inlineStr">
        <is>
          <t>香港向け</t>
        </is>
      </c>
    </row>
    <row r="419" ht="18" customHeight="1" s="207">
      <c r="A419" s="166" t="inlineStr">
        <is>
          <t>精肉</t>
        </is>
      </c>
      <c r="B419" s="167" t="inlineStr">
        <is>
          <t>和牛</t>
        </is>
      </c>
      <c r="C419" s="167" t="inlineStr">
        <is>
          <t>エスフーズ</t>
        </is>
      </c>
      <c r="D419" s="143">
        <f>"PRD_SNJ_"&amp;
_xlfn.XLOOKUP(商品マスタ[[#This Row],[仕入先]],テーブル1[仕入先名],テーブル1[仕入先コード],"XXX",0,1)&amp;
"_"&amp;
商品マスタ[[#This Row],[シリアル]]&amp;
"_"&amp;
TEXT(COUNTIFS(商品マスタ!$C$3:C419,商品マスタ[[#This Row],[仕入先]],商品マスタ!$E$3:E419,商品マスタ[[#This Row],[商品名]]), "00")</f>
        <v/>
      </c>
      <c r="E419" s="167" t="inlineStr">
        <is>
          <t>BMS5-7国産F1 ウチモモ</t>
        </is>
      </c>
      <c r="F419" s="167">
        <f>IF(COUNTIFS($C$3:C419,商品マスタ[[#This Row],[仕入先]],$E$3:E419,商品マスタ[[#This Row],[商品名]]) = 1, 1,0)</f>
        <v/>
      </c>
      <c r="G419" s="133">
        <f>TEXT(SUMIF($C$3:C419,商品マスタ[[#This Row],[仕入先]],$F$3:F419), "0000")</f>
        <v/>
      </c>
      <c r="H419" s="167" t="inlineStr">
        <is>
          <t>kg</t>
        </is>
      </c>
      <c r="I419" s="167" t="inlineStr">
        <is>
          <t>22kg/ブロック</t>
        </is>
      </c>
      <c r="J419" s="167" t="inlineStr">
        <is>
          <t>1頭分</t>
        </is>
      </c>
      <c r="K419" s="167" t="n"/>
      <c r="L419" s="289" t="n">
        <v>3350</v>
      </c>
      <c r="M419" s="157" t="n">
        <v>46037</v>
      </c>
      <c r="N419" s="289" t="n"/>
      <c r="O419" s="290">
        <f>IF(COUNT(商品マスタ[[#This Row],[参考上代
（税込)]]) &gt; 0, (商品マスタ[[#This Row],[参考上代
（税込)]]-商品マスタ[[#This Row],[国内定価
（15％）]])/(商品マスタ[[#This Row],[参考上代
（税込)]]/1.08), "")</f>
        <v/>
      </c>
      <c r="P419" s="136" t="n">
        <v>0.1</v>
      </c>
      <c r="Q419" s="289">
        <f>商品マスタ[[#This Row],[仕入
単価]]*商品マスタ[[#This Row],[標準国内送料率]]</f>
        <v/>
      </c>
      <c r="R419" s="289" t="n">
        <v>0</v>
      </c>
      <c r="S419" s="289">
        <f>IF(ISBLANK(商品マスタ[[#This Row],[実績
国内送料]]),商品マスタ[[#This Row],[標準国内送料]],)</f>
        <v/>
      </c>
      <c r="T419" s="289">
        <f>商品マスタ[[#This Row],[仕入
単価]]+商品マスタ[[#This Row],[国内送料]]</f>
        <v/>
      </c>
      <c r="U419" s="289">
        <f>ROUNDUP(商品マスタ[[#This Row],[仕入単価+国内送料]]/0.8,-1)</f>
        <v/>
      </c>
      <c r="V419" s="289">
        <f>商品マスタ[[#This Row],[海外定価
（20％）]]-商品マスタ[[#This Row],[仕入単価+国内送料]]</f>
        <v/>
      </c>
      <c r="W419" s="167">
        <f>ROUNDUP(商品マスタ[[#This Row],[仕入単価+国内送料]]/0.85,-1)</f>
        <v/>
      </c>
      <c r="X419" s="289">
        <f>商品マスタ[[#This Row],[国内定価
（15％）]]-商品マスタ[[#This Row],[仕入単価+国内送料]]</f>
        <v/>
      </c>
      <c r="Y419" s="139" t="n">
        <v>0.08</v>
      </c>
      <c r="Z419" s="167" t="n"/>
      <c r="AA419" s="167" t="n"/>
      <c r="AB419" s="167" t="n"/>
      <c r="AC419" s="293" t="n"/>
      <c r="AD419" s="167" t="n"/>
      <c r="AE419" s="167" t="n"/>
      <c r="AF419" s="167" t="n"/>
      <c r="AG419" s="144" t="n"/>
    </row>
    <row r="420" ht="18" customHeight="1" s="207">
      <c r="A420" s="166" t="inlineStr">
        <is>
          <t>水産</t>
        </is>
      </c>
      <c r="B420" s="167" t="inlineStr">
        <is>
          <t>水産物</t>
        </is>
      </c>
      <c r="C420" s="167" t="inlineStr">
        <is>
          <t>ヤマニ野口水産</t>
        </is>
      </c>
      <c r="D420" s="143">
        <f>"PRD_SNJ_"&amp;
_xlfn.XLOOKUP(商品マスタ[[#This Row],[仕入先]],テーブル1[仕入先名],テーブル1[仕入先コード],"XXX",0,1)&amp;
"_"&amp;
商品マスタ[[#This Row],[シリアル]]&amp;
"_"&amp;
TEXT(COUNTIFS(商品マスタ!$C$3:C420,商品マスタ[[#This Row],[仕入先]],商品マスタ!$E$3:E420,商品マスタ[[#This Row],[商品名]]), "00")</f>
        <v/>
      </c>
      <c r="E420" s="167" t="inlineStr">
        <is>
          <t>鮭とば一口サイズ（やん衆）</t>
        </is>
      </c>
      <c r="F420" s="167">
        <f>IF(COUNTIFS($C$3:C420,商品マスタ[[#This Row],[仕入先]],$E$3:E420,商品マスタ[[#This Row],[商品名]]) = 1, 1,0)</f>
        <v/>
      </c>
      <c r="G420" s="133">
        <f>TEXT(SUMIF($C$3:C420,商品マスタ[[#This Row],[仕入先]],$F$3:F420), "0000")</f>
        <v/>
      </c>
      <c r="H420" s="167" t="inlineStr">
        <is>
          <t>袋</t>
        </is>
      </c>
      <c r="I420" s="167" t="inlineStr">
        <is>
          <t>80g</t>
        </is>
      </c>
      <c r="J420" s="167" t="inlineStr">
        <is>
          <t>10袋</t>
        </is>
      </c>
      <c r="K420" s="167" t="n"/>
      <c r="L420" s="289" t="n">
        <v>700</v>
      </c>
      <c r="M420" s="157" t="n"/>
      <c r="N420" s="289" t="n"/>
      <c r="O420" s="290">
        <f>IF(COUNT(商品マスタ[[#This Row],[参考上代
（税込)]]) &gt; 0, (商品マスタ[[#This Row],[参考上代
（税込)]]-商品マスタ[[#This Row],[国内定価
（15％）]])/(商品マスタ[[#This Row],[参考上代
（税込)]]/1.08), "")</f>
        <v/>
      </c>
      <c r="P420" s="136" t="n">
        <v>0.1</v>
      </c>
      <c r="Q420" s="289">
        <f>商品マスタ[[#This Row],[仕入
単価]]*商品マスタ[[#This Row],[標準国内送料率]]</f>
        <v/>
      </c>
      <c r="R420" s="289" t="n">
        <v>0</v>
      </c>
      <c r="S420" s="289">
        <f>IF(ISBLANK(商品マスタ[[#This Row],[実績
国内送料]]),商品マスタ[[#This Row],[標準国内送料]],)</f>
        <v/>
      </c>
      <c r="T420" s="289">
        <f>商品マスタ[[#This Row],[仕入
単価]]+商品マスタ[[#This Row],[国内送料]]</f>
        <v/>
      </c>
      <c r="U420" s="289">
        <f>ROUNDUP(商品マスタ[[#This Row],[仕入単価+国内送料]]/0.8,-1)</f>
        <v/>
      </c>
      <c r="V420" s="289">
        <f>商品マスタ[[#This Row],[海外定価
（20％）]]-商品マスタ[[#This Row],[仕入単価+国内送料]]</f>
        <v/>
      </c>
      <c r="W420" s="167">
        <f>ROUNDUP(商品マスタ[[#This Row],[仕入単価+国内送料]]/0.85,-1)</f>
        <v/>
      </c>
      <c r="X420" s="289">
        <f>商品マスタ[[#This Row],[国内定価
（15％）]]-商品マスタ[[#This Row],[仕入単価+国内送料]]</f>
        <v/>
      </c>
      <c r="Y420" s="139" t="n">
        <v>0.08</v>
      </c>
      <c r="Z420" s="167" t="n"/>
      <c r="AA420" s="167" t="n"/>
      <c r="AB420" s="167" t="n"/>
      <c r="AC420" s="293" t="n"/>
      <c r="AD420" s="167" t="n"/>
      <c r="AE420" s="167" t="n"/>
      <c r="AF420" s="167" t="n"/>
      <c r="AG420" s="144" t="n"/>
    </row>
    <row r="421" ht="18" customHeight="1" s="207">
      <c r="A421" s="166" t="inlineStr">
        <is>
          <t>水産</t>
        </is>
      </c>
      <c r="B421" s="167" t="inlineStr">
        <is>
          <t>水産物</t>
        </is>
      </c>
      <c r="C421" s="167" t="inlineStr">
        <is>
          <t>ヤマニ野口水産</t>
        </is>
      </c>
      <c r="D421" s="143">
        <f>"PRD_SNJ_"&amp;
_xlfn.XLOOKUP(商品マスタ[[#This Row],[仕入先]],テーブル1[仕入先名],テーブル1[仕入先コード],"XXX",0,1)&amp;
"_"&amp;
商品マスタ[[#This Row],[シリアル]]&amp;
"_"&amp;
TEXT(COUNTIFS(商品マスタ!$C$3:C421,商品マスタ[[#This Row],[仕入先]],商品マスタ!$E$3:E421,商品マスタ[[#This Row],[商品名]]), "00")</f>
        <v/>
      </c>
      <c r="E421" s="167" t="inlineStr">
        <is>
          <t>鮭とば一口サイズ（やん衆）</t>
        </is>
      </c>
      <c r="F421" s="167">
        <f>IF(COUNTIFS($C$3:C421,商品マスタ[[#This Row],[仕入先]],$E$3:E421,商品マスタ[[#This Row],[商品名]]) = 1, 1,0)</f>
        <v/>
      </c>
      <c r="G421" s="133">
        <f>TEXT(SUMIF($C$3:C421,商品マスタ[[#This Row],[仕入先]],$F$3:F421), "0000")</f>
        <v/>
      </c>
      <c r="H421" s="167" t="inlineStr">
        <is>
          <t>袋</t>
        </is>
      </c>
      <c r="I421" s="167" t="inlineStr">
        <is>
          <t>40g</t>
        </is>
      </c>
      <c r="J421" s="167" t="inlineStr">
        <is>
          <t>10袋</t>
        </is>
      </c>
      <c r="K421" s="167" t="n"/>
      <c r="L421" s="289" t="n">
        <v>380</v>
      </c>
      <c r="M421" s="157" t="n"/>
      <c r="N421" s="289" t="n"/>
      <c r="O421" s="290">
        <f>IF(COUNT(商品マスタ[[#This Row],[参考上代
（税込)]]) &gt; 0, (商品マスタ[[#This Row],[参考上代
（税込)]]-商品マスタ[[#This Row],[国内定価
（15％）]])/(商品マスタ[[#This Row],[参考上代
（税込)]]/1.08), "")</f>
        <v/>
      </c>
      <c r="P421" s="136" t="n">
        <v>0.1</v>
      </c>
      <c r="Q421" s="289">
        <f>商品マスタ[[#This Row],[仕入
単価]]*商品マスタ[[#This Row],[標準国内送料率]]</f>
        <v/>
      </c>
      <c r="R421" s="289" t="n">
        <v>0</v>
      </c>
      <c r="S421" s="289">
        <f>IF(ISBLANK(商品マスタ[[#This Row],[実績
国内送料]]),商品マスタ[[#This Row],[標準国内送料]],)</f>
        <v/>
      </c>
      <c r="T421" s="289">
        <f>商品マスタ[[#This Row],[仕入
単価]]+商品マスタ[[#This Row],[国内送料]]</f>
        <v/>
      </c>
      <c r="U421" s="289">
        <f>ROUNDUP(商品マスタ[[#This Row],[仕入単価+国内送料]]/0.8,-1)</f>
        <v/>
      </c>
      <c r="V421" s="289">
        <f>商品マスタ[[#This Row],[海外定価
（20％）]]-商品マスタ[[#This Row],[仕入単価+国内送料]]</f>
        <v/>
      </c>
      <c r="W421" s="167">
        <f>ROUNDUP(商品マスタ[[#This Row],[仕入単価+国内送料]]/0.85,-1)</f>
        <v/>
      </c>
      <c r="X421" s="289">
        <f>商品マスタ[[#This Row],[国内定価
（15％）]]-商品マスタ[[#This Row],[仕入単価+国内送料]]</f>
        <v/>
      </c>
      <c r="Y421" s="139" t="n">
        <v>0.08</v>
      </c>
      <c r="Z421" s="167" t="n"/>
      <c r="AA421" s="167" t="n"/>
      <c r="AB421" s="167" t="n"/>
      <c r="AC421" s="293" t="n"/>
      <c r="AD421" s="167" t="n"/>
      <c r="AE421" s="167" t="n"/>
      <c r="AF421" s="167" t="n"/>
      <c r="AG421" s="144" t="n"/>
    </row>
    <row r="422" ht="18" customHeight="1" s="207">
      <c r="A422" s="166" t="inlineStr">
        <is>
          <t>水産</t>
        </is>
      </c>
      <c r="B422" s="167" t="inlineStr">
        <is>
          <t>水産物</t>
        </is>
      </c>
      <c r="C422" s="167" t="inlineStr">
        <is>
          <t>ヤマニ野口水産</t>
        </is>
      </c>
      <c r="D422" s="143">
        <f>"PRD_SNJ_"&amp;
_xlfn.XLOOKUP(商品マスタ[[#This Row],[仕入先]],テーブル1[仕入先名],テーブル1[仕入先コード],"XXX",0,1)&amp;
"_"&amp;
商品マスタ[[#This Row],[シリアル]]&amp;
"_"&amp;
TEXT(COUNTIFS(商品マスタ!$C$3:C422,商品マスタ[[#This Row],[仕入先]],商品マスタ!$E$3:E422,商品マスタ[[#This Row],[商品名]]), "00")</f>
        <v/>
      </c>
      <c r="E422" s="167" t="inlineStr">
        <is>
          <t>カットサーモン・プレミアム</t>
        </is>
      </c>
      <c r="F422" s="167">
        <f>IF(COUNTIFS($C$3:C422,商品マスタ[[#This Row],[仕入先]],$E$3:E422,商品マスタ[[#This Row],[商品名]]) = 1, 1,0)</f>
        <v/>
      </c>
      <c r="G422" s="133">
        <f>TEXT(SUMIF($C$3:C422,商品マスタ[[#This Row],[仕入先]],$F$3:F422), "0000")</f>
        <v/>
      </c>
      <c r="H422" s="167" t="inlineStr">
        <is>
          <t>袋</t>
        </is>
      </c>
      <c r="I422" s="167" t="inlineStr">
        <is>
          <t>52g</t>
        </is>
      </c>
      <c r="J422" s="167" t="inlineStr">
        <is>
          <t>10袋</t>
        </is>
      </c>
      <c r="K422" s="167" t="n"/>
      <c r="L422" s="289" t="n">
        <v>470</v>
      </c>
      <c r="M422" s="157" t="n"/>
      <c r="N422" s="289" t="n"/>
      <c r="O422" s="290">
        <f>IF(COUNT(商品マスタ[[#This Row],[参考上代
（税込)]]) &gt; 0, (商品マスタ[[#This Row],[参考上代
（税込)]]-商品マスタ[[#This Row],[国内定価
（15％）]])/(商品マスタ[[#This Row],[参考上代
（税込)]]/1.08), "")</f>
        <v/>
      </c>
      <c r="P422" s="136" t="n">
        <v>0.1</v>
      </c>
      <c r="Q422" s="289">
        <f>商品マスタ[[#This Row],[仕入
単価]]*商品マスタ[[#This Row],[標準国内送料率]]</f>
        <v/>
      </c>
      <c r="R422" s="289" t="n">
        <v>0</v>
      </c>
      <c r="S422" s="289">
        <f>IF(ISBLANK(商品マスタ[[#This Row],[実績
国内送料]]),商品マスタ[[#This Row],[標準国内送料]],)</f>
        <v/>
      </c>
      <c r="T422" s="289">
        <f>商品マスタ[[#This Row],[仕入
単価]]+商品マスタ[[#This Row],[国内送料]]</f>
        <v/>
      </c>
      <c r="U422" s="289">
        <f>ROUNDUP(商品マスタ[[#This Row],[仕入単価+国内送料]]/0.8,-1)</f>
        <v/>
      </c>
      <c r="V422" s="289">
        <f>商品マスタ[[#This Row],[海外定価
（20％）]]-商品マスタ[[#This Row],[仕入単価+国内送料]]</f>
        <v/>
      </c>
      <c r="W422" s="167">
        <f>ROUNDUP(商品マスタ[[#This Row],[仕入単価+国内送料]]/0.85,-1)</f>
        <v/>
      </c>
      <c r="X422" s="289">
        <f>商品マスタ[[#This Row],[国内定価
（15％）]]-商品マスタ[[#This Row],[仕入単価+国内送料]]</f>
        <v/>
      </c>
      <c r="Y422" s="139" t="n">
        <v>0.08</v>
      </c>
      <c r="Z422" s="167" t="n"/>
      <c r="AA422" s="167" t="n"/>
      <c r="AB422" s="167" t="n"/>
      <c r="AC422" s="293" t="n"/>
      <c r="AD422" s="167" t="n"/>
      <c r="AE422" s="167" t="n"/>
      <c r="AF422" s="167" t="n"/>
      <c r="AG422" s="144" t="n"/>
    </row>
    <row r="423" ht="18" customHeight="1" s="207">
      <c r="A423" s="166" t="inlineStr">
        <is>
          <t>水産</t>
        </is>
      </c>
      <c r="B423" s="167" t="inlineStr">
        <is>
          <t>水産物</t>
        </is>
      </c>
      <c r="C423" s="167" t="inlineStr">
        <is>
          <t>ヤマニ野口水産</t>
        </is>
      </c>
      <c r="D423" s="143">
        <f>"PRD_SNJ_"&amp;
_xlfn.XLOOKUP(商品マスタ[[#This Row],[仕入先]],テーブル1[仕入先名],テーブル1[仕入先コード],"XXX",0,1)&amp;
"_"&amp;
商品マスタ[[#This Row],[シリアル]]&amp;
"_"&amp;
TEXT(COUNTIFS(商品マスタ!$C$3:C423,商品マスタ[[#This Row],[仕入先]],商品マスタ!$E$3:E423,商品マスタ[[#This Row],[商品名]]), "00")</f>
        <v/>
      </c>
      <c r="E423" s="167" t="inlineStr">
        <is>
          <t>鮭とばスライス本燻</t>
        </is>
      </c>
      <c r="F423" s="167">
        <f>IF(COUNTIFS($C$3:C423,商品マスタ[[#This Row],[仕入先]],$E$3:E423,商品マスタ[[#This Row],[商品名]]) = 1, 1,0)</f>
        <v/>
      </c>
      <c r="G423" s="133">
        <f>TEXT(SUMIF($C$3:C423,商品マスタ[[#This Row],[仕入先]],$F$3:F423), "0000")</f>
        <v/>
      </c>
      <c r="H423" s="167" t="inlineStr">
        <is>
          <t>袋</t>
        </is>
      </c>
      <c r="I423" s="167" t="inlineStr">
        <is>
          <t>30g</t>
        </is>
      </c>
      <c r="J423" s="167" t="inlineStr">
        <is>
          <t>10袋</t>
        </is>
      </c>
      <c r="K423" s="167" t="n"/>
      <c r="L423" s="289" t="n">
        <v>430</v>
      </c>
      <c r="M423" s="157" t="n"/>
      <c r="N423" s="289" t="n"/>
      <c r="O423" s="290">
        <f>IF(COUNT(商品マスタ[[#This Row],[参考上代
（税込)]]) &gt; 0, (商品マスタ[[#This Row],[参考上代
（税込)]]-商品マスタ[[#This Row],[国内定価
（15％）]])/(商品マスタ[[#This Row],[参考上代
（税込)]]/1.08), "")</f>
        <v/>
      </c>
      <c r="P423" s="136" t="n">
        <v>0.1</v>
      </c>
      <c r="Q423" s="289">
        <f>商品マスタ[[#This Row],[仕入
単価]]*商品マスタ[[#This Row],[標準国内送料率]]</f>
        <v/>
      </c>
      <c r="R423" s="289" t="n">
        <v>0</v>
      </c>
      <c r="S423" s="289">
        <f>IF(ISBLANK(商品マスタ[[#This Row],[実績
国内送料]]),商品マスタ[[#This Row],[標準国内送料]],)</f>
        <v/>
      </c>
      <c r="T423" s="289">
        <f>商品マスタ[[#This Row],[仕入
単価]]+商品マスタ[[#This Row],[国内送料]]</f>
        <v/>
      </c>
      <c r="U423" s="289">
        <f>ROUNDUP(商品マスタ[[#This Row],[仕入単価+国内送料]]/0.8,-1)</f>
        <v/>
      </c>
      <c r="V423" s="289">
        <f>商品マスタ[[#This Row],[海外定価
（20％）]]-商品マスタ[[#This Row],[仕入単価+国内送料]]</f>
        <v/>
      </c>
      <c r="W423" s="167">
        <f>ROUNDUP(商品マスタ[[#This Row],[仕入単価+国内送料]]/0.85,-1)</f>
        <v/>
      </c>
      <c r="X423" s="289">
        <f>商品マスタ[[#This Row],[国内定価
（15％）]]-商品マスタ[[#This Row],[仕入単価+国内送料]]</f>
        <v/>
      </c>
      <c r="Y423" s="139" t="n">
        <v>0.08</v>
      </c>
      <c r="Z423" s="167" t="n"/>
      <c r="AA423" s="167" t="n"/>
      <c r="AB423" s="167" t="n"/>
      <c r="AC423" s="293" t="n"/>
      <c r="AD423" s="167" t="n"/>
      <c r="AE423" s="167" t="n"/>
      <c r="AF423" s="167" t="n"/>
      <c r="AG423" s="144" t="n"/>
    </row>
    <row r="424" ht="18" customHeight="1" s="207">
      <c r="A424" s="166" t="inlineStr">
        <is>
          <t>水産</t>
        </is>
      </c>
      <c r="B424" s="167" t="inlineStr">
        <is>
          <t>水産物</t>
        </is>
      </c>
      <c r="C424" s="167" t="inlineStr">
        <is>
          <t>ヤマニ野口水産</t>
        </is>
      </c>
      <c r="D424" s="143">
        <f>"PRD_SNJ_"&amp;
_xlfn.XLOOKUP(商品マスタ[[#This Row],[仕入先]],テーブル1[仕入先名],テーブル1[仕入先コード],"XXX",0,1)&amp;
"_"&amp;
商品マスタ[[#This Row],[シリアル]]&amp;
"_"&amp;
TEXT(COUNTIFS(商品マスタ!$C$3:C424,商品マスタ[[#This Row],[仕入先]],商品マスタ!$E$3:E424,商品マスタ[[#This Row],[商品名]]), "00")</f>
        <v/>
      </c>
      <c r="E424" s="167" t="inlineStr">
        <is>
          <t>天然塩とば</t>
        </is>
      </c>
      <c r="F424" s="167">
        <f>IF(COUNTIFS($C$3:C424,商品マスタ[[#This Row],[仕入先]],$E$3:E424,商品マスタ[[#This Row],[商品名]]) = 1, 1,0)</f>
        <v/>
      </c>
      <c r="G424" s="133">
        <f>TEXT(SUMIF($C$3:C424,商品マスタ[[#This Row],[仕入先]],$F$3:F424), "0000")</f>
        <v/>
      </c>
      <c r="H424" s="167" t="inlineStr">
        <is>
          <t>袋</t>
        </is>
      </c>
      <c r="I424" s="167" t="inlineStr">
        <is>
          <t>35g</t>
        </is>
      </c>
      <c r="J424" s="167" t="inlineStr">
        <is>
          <t>10袋</t>
        </is>
      </c>
      <c r="K424" s="167" t="n"/>
      <c r="L424" s="289" t="n">
        <v>420</v>
      </c>
      <c r="M424" s="157" t="n"/>
      <c r="N424" s="289" t="n"/>
      <c r="O424" s="290">
        <f>IF(COUNT(商品マスタ[[#This Row],[参考上代
（税込)]]) &gt; 0, (商品マスタ[[#This Row],[参考上代
（税込)]]-商品マスタ[[#This Row],[国内定価
（15％）]])/(商品マスタ[[#This Row],[参考上代
（税込)]]/1.08), "")</f>
        <v/>
      </c>
      <c r="P424" s="136" t="n">
        <v>0.1</v>
      </c>
      <c r="Q424" s="289">
        <f>商品マスタ[[#This Row],[仕入
単価]]*商品マスタ[[#This Row],[標準国内送料率]]</f>
        <v/>
      </c>
      <c r="R424" s="289" t="n">
        <v>0</v>
      </c>
      <c r="S424" s="289">
        <f>IF(ISBLANK(商品マスタ[[#This Row],[実績
国内送料]]),商品マスタ[[#This Row],[標準国内送料]],)</f>
        <v/>
      </c>
      <c r="T424" s="289">
        <f>商品マスタ[[#This Row],[仕入
単価]]+商品マスタ[[#This Row],[国内送料]]</f>
        <v/>
      </c>
      <c r="U424" s="289">
        <f>ROUNDUP(商品マスタ[[#This Row],[仕入単価+国内送料]]/0.8,-1)</f>
        <v/>
      </c>
      <c r="V424" s="289">
        <f>商品マスタ[[#This Row],[海外定価
（20％）]]-商品マスタ[[#This Row],[仕入単価+国内送料]]</f>
        <v/>
      </c>
      <c r="W424" s="167">
        <f>ROUNDUP(商品マスタ[[#This Row],[仕入単価+国内送料]]/0.85,-1)</f>
        <v/>
      </c>
      <c r="X424" s="289">
        <f>商品マスタ[[#This Row],[国内定価
（15％）]]-商品マスタ[[#This Row],[仕入単価+国内送料]]</f>
        <v/>
      </c>
      <c r="Y424" s="139" t="n">
        <v>0.08</v>
      </c>
      <c r="Z424" s="167" t="n"/>
      <c r="AA424" s="167" t="n"/>
      <c r="AB424" s="167" t="n"/>
      <c r="AC424" s="293" t="n"/>
      <c r="AD424" s="167" t="n"/>
      <c r="AE424" s="167" t="n"/>
      <c r="AF424" s="167" t="n"/>
      <c r="AG424" s="144" t="n"/>
    </row>
    <row r="425" ht="18" customHeight="1" s="207">
      <c r="A425" s="166" t="inlineStr">
        <is>
          <t>水産</t>
        </is>
      </c>
      <c r="B425" s="167" t="inlineStr">
        <is>
          <t>水産物</t>
        </is>
      </c>
      <c r="C425" s="167" t="inlineStr">
        <is>
          <t>ヤマニ野口水産</t>
        </is>
      </c>
      <c r="D425" s="143">
        <f>"PRD_SNJ_"&amp;
_xlfn.XLOOKUP(商品マスタ[[#This Row],[仕入先]],テーブル1[仕入先名],テーブル1[仕入先コード],"XXX",0,1)&amp;
"_"&amp;
商品マスタ[[#This Row],[シリアル]]&amp;
"_"&amp;
TEXT(COUNTIFS(商品マスタ!$C$3:C425,商品マスタ[[#This Row],[仕入先]],商品マスタ!$E$3:E425,商品マスタ[[#This Row],[商品名]]), "00")</f>
        <v/>
      </c>
      <c r="E425" s="167" t="inlineStr">
        <is>
          <t>ナチュラルサーモンジャーキー</t>
        </is>
      </c>
      <c r="F425" s="167">
        <f>IF(COUNTIFS($C$3:C425,商品マスタ[[#This Row],[仕入先]],$E$3:E425,商品マスタ[[#This Row],[商品名]]) = 1, 1,0)</f>
        <v/>
      </c>
      <c r="G425" s="133">
        <f>TEXT(SUMIF($C$3:C425,商品マスタ[[#This Row],[仕入先]],$F$3:F425), "0000")</f>
        <v/>
      </c>
      <c r="H425" s="167" t="inlineStr">
        <is>
          <t>袋</t>
        </is>
      </c>
      <c r="I425" s="167" t="inlineStr">
        <is>
          <t>50g</t>
        </is>
      </c>
      <c r="J425" s="167" t="inlineStr">
        <is>
          <t>10袋</t>
        </is>
      </c>
      <c r="K425" s="167" t="n"/>
      <c r="L425" s="289" t="n">
        <v>340</v>
      </c>
      <c r="M425" s="157" t="n"/>
      <c r="N425" s="289" t="n"/>
      <c r="O425" s="290">
        <f>IF(COUNT(商品マスタ[[#This Row],[参考上代
（税込)]]) &gt; 0, (商品マスタ[[#This Row],[参考上代
（税込)]]-商品マスタ[[#This Row],[国内定価
（15％）]])/(商品マスタ[[#This Row],[参考上代
（税込)]]/1.08), "")</f>
        <v/>
      </c>
      <c r="P425" s="136" t="n">
        <v>0.1</v>
      </c>
      <c r="Q425" s="289">
        <f>商品マスタ[[#This Row],[仕入
単価]]*商品マスタ[[#This Row],[標準国内送料率]]</f>
        <v/>
      </c>
      <c r="R425" s="289" t="n">
        <v>0</v>
      </c>
      <c r="S425" s="289">
        <f>IF(ISBLANK(商品マスタ[[#This Row],[実績
国内送料]]),商品マスタ[[#This Row],[標準国内送料]],)</f>
        <v/>
      </c>
      <c r="T425" s="289">
        <f>商品マスタ[[#This Row],[仕入
単価]]+商品マスタ[[#This Row],[国内送料]]</f>
        <v/>
      </c>
      <c r="U425" s="289">
        <f>ROUNDUP(商品マスタ[[#This Row],[仕入単価+国内送料]]/0.8,-1)</f>
        <v/>
      </c>
      <c r="V425" s="289">
        <f>商品マスタ[[#This Row],[海外定価
（20％）]]-商品マスタ[[#This Row],[仕入単価+国内送料]]</f>
        <v/>
      </c>
      <c r="W425" s="167">
        <f>ROUNDUP(商品マスタ[[#This Row],[仕入単価+国内送料]]/0.85,-1)</f>
        <v/>
      </c>
      <c r="X425" s="289">
        <f>商品マスタ[[#This Row],[国内定価
（15％）]]-商品マスタ[[#This Row],[仕入単価+国内送料]]</f>
        <v/>
      </c>
      <c r="Y425" s="139" t="n">
        <v>0.08</v>
      </c>
      <c r="Z425" s="167" t="n"/>
      <c r="AA425" s="167" t="n"/>
      <c r="AB425" s="167" t="n"/>
      <c r="AC425" s="293" t="n"/>
      <c r="AD425" s="167" t="n"/>
      <c r="AE425" s="167" t="n"/>
      <c r="AF425" s="167" t="n"/>
      <c r="AG425" s="144" t="n"/>
    </row>
    <row r="426" ht="18" customHeight="1" s="207">
      <c r="A426" s="166" t="inlineStr">
        <is>
          <t>水産</t>
        </is>
      </c>
      <c r="B426" s="167" t="inlineStr">
        <is>
          <t>水産物</t>
        </is>
      </c>
      <c r="C426" s="167" t="inlineStr">
        <is>
          <t>ヤマニ野口水産</t>
        </is>
      </c>
      <c r="D426" s="143">
        <f>"PRD_SNJ_"&amp;
_xlfn.XLOOKUP(商品マスタ[[#This Row],[仕入先]],テーブル1[仕入先名],テーブル1[仕入先コード],"XXX",0,1)&amp;
"_"&amp;
商品マスタ[[#This Row],[シリアル]]&amp;
"_"&amp;
TEXT(COUNTIFS(商品マスタ!$C$3:C426,商品マスタ[[#This Row],[仕入先]],商品マスタ!$E$3:E426,商品マスタ[[#This Row],[商品名]]), "00")</f>
        <v/>
      </c>
      <c r="E426" s="167" t="inlineStr">
        <is>
          <t>鮭ジャーキー×ブラックペッパー</t>
        </is>
      </c>
      <c r="F426" s="167">
        <f>IF(COUNTIFS($C$3:C426,商品マスタ[[#This Row],[仕入先]],$E$3:E426,商品マスタ[[#This Row],[商品名]]) = 1, 1,0)</f>
        <v/>
      </c>
      <c r="G426" s="133">
        <f>TEXT(SUMIF($C$3:C426,商品マスタ[[#This Row],[仕入先]],$F$3:F426), "0000")</f>
        <v/>
      </c>
      <c r="H426" s="167" t="inlineStr">
        <is>
          <t>袋</t>
        </is>
      </c>
      <c r="I426" s="167" t="inlineStr">
        <is>
          <t>28g</t>
        </is>
      </c>
      <c r="J426" s="167" t="inlineStr">
        <is>
          <t>10袋</t>
        </is>
      </c>
      <c r="K426" s="167" t="n"/>
      <c r="L426" s="289" t="n">
        <v>340</v>
      </c>
      <c r="M426" s="157" t="n"/>
      <c r="N426" s="289" t="n"/>
      <c r="O426" s="290">
        <f>IF(COUNT(商品マスタ[[#This Row],[参考上代
（税込)]]) &gt; 0, (商品マスタ[[#This Row],[参考上代
（税込)]]-商品マスタ[[#This Row],[国内定価
（15％）]])/(商品マスタ[[#This Row],[参考上代
（税込)]]/1.08), "")</f>
        <v/>
      </c>
      <c r="P426" s="136" t="n">
        <v>0.1</v>
      </c>
      <c r="Q426" s="289">
        <f>商品マスタ[[#This Row],[仕入
単価]]*商品マスタ[[#This Row],[標準国内送料率]]</f>
        <v/>
      </c>
      <c r="R426" s="289" t="n">
        <v>0</v>
      </c>
      <c r="S426" s="289">
        <f>IF(ISBLANK(商品マスタ[[#This Row],[実績
国内送料]]),商品マスタ[[#This Row],[標準国内送料]],)</f>
        <v/>
      </c>
      <c r="T426" s="289">
        <f>商品マスタ[[#This Row],[仕入
単価]]+商品マスタ[[#This Row],[国内送料]]</f>
        <v/>
      </c>
      <c r="U426" s="289">
        <f>ROUNDUP(商品マスタ[[#This Row],[仕入単価+国内送料]]/0.8,-1)</f>
        <v/>
      </c>
      <c r="V426" s="289">
        <f>商品マスタ[[#This Row],[海外定価
（20％）]]-商品マスタ[[#This Row],[仕入単価+国内送料]]</f>
        <v/>
      </c>
      <c r="W426" s="167">
        <f>ROUNDUP(商品マスタ[[#This Row],[仕入単価+国内送料]]/0.85,-1)</f>
        <v/>
      </c>
      <c r="X426" s="289">
        <f>商品マスタ[[#This Row],[国内定価
（15％）]]-商品マスタ[[#This Row],[仕入単価+国内送料]]</f>
        <v/>
      </c>
      <c r="Y426" s="139" t="n">
        <v>0.08</v>
      </c>
      <c r="Z426" s="167" t="n"/>
      <c r="AA426" s="167" t="n"/>
      <c r="AB426" s="167" t="n"/>
      <c r="AC426" s="293" t="n"/>
      <c r="AD426" s="167" t="n"/>
      <c r="AE426" s="167" t="n"/>
      <c r="AF426" s="167" t="n"/>
      <c r="AG426" s="144" t="n"/>
    </row>
    <row r="427" ht="18" customHeight="1" s="207">
      <c r="A427" s="166" t="inlineStr">
        <is>
          <t>水産</t>
        </is>
      </c>
      <c r="B427" s="167" t="inlineStr">
        <is>
          <t>水産物</t>
        </is>
      </c>
      <c r="C427" s="167" t="inlineStr">
        <is>
          <t>ヤマニ野口水産</t>
        </is>
      </c>
      <c r="D427" s="143">
        <f>"PRD_SNJ_"&amp;
_xlfn.XLOOKUP(商品マスタ[[#This Row],[仕入先]],テーブル1[仕入先名],テーブル1[仕入先コード],"XXX",0,1)&amp;
"_"&amp;
商品マスタ[[#This Row],[シリアル]]&amp;
"_"&amp;
TEXT(COUNTIFS(商品マスタ!$C$3:C427,商品マスタ[[#This Row],[仕入先]],商品マスタ!$E$3:E427,商品マスタ[[#This Row],[商品名]]), "00")</f>
        <v/>
      </c>
      <c r="E427" s="167" t="inlineStr">
        <is>
          <t>鮭ジャーキー×ピり辛明太</t>
        </is>
      </c>
      <c r="F427" s="167">
        <f>IF(COUNTIFS($C$3:C427,商品マスタ[[#This Row],[仕入先]],$E$3:E427,商品マスタ[[#This Row],[商品名]]) = 1, 1,0)</f>
        <v/>
      </c>
      <c r="G427" s="133">
        <f>TEXT(SUMIF($C$3:C427,商品マスタ[[#This Row],[仕入先]],$F$3:F427), "0000")</f>
        <v/>
      </c>
      <c r="H427" s="167" t="inlineStr">
        <is>
          <t>袋</t>
        </is>
      </c>
      <c r="I427" s="167" t="inlineStr">
        <is>
          <t>28g</t>
        </is>
      </c>
      <c r="J427" s="167" t="inlineStr">
        <is>
          <t>10袋</t>
        </is>
      </c>
      <c r="K427" s="167" t="n"/>
      <c r="L427" s="289" t="n">
        <v>340</v>
      </c>
      <c r="M427" s="157" t="n"/>
      <c r="N427" s="289" t="n"/>
      <c r="O427" s="290">
        <f>IF(COUNT(商品マスタ[[#This Row],[参考上代
（税込)]]) &gt; 0, (商品マスタ[[#This Row],[参考上代
（税込)]]-商品マスタ[[#This Row],[国内定価
（15％）]])/(商品マスタ[[#This Row],[参考上代
（税込)]]/1.08), "")</f>
        <v/>
      </c>
      <c r="P427" s="136" t="n">
        <v>0.1</v>
      </c>
      <c r="Q427" s="289">
        <f>商品マスタ[[#This Row],[仕入
単価]]*商品マスタ[[#This Row],[標準国内送料率]]</f>
        <v/>
      </c>
      <c r="R427" s="289" t="n">
        <v>0</v>
      </c>
      <c r="S427" s="289">
        <f>IF(ISBLANK(商品マスタ[[#This Row],[実績
国内送料]]),商品マスタ[[#This Row],[標準国内送料]],)</f>
        <v/>
      </c>
      <c r="T427" s="289">
        <f>商品マスタ[[#This Row],[仕入
単価]]+商品マスタ[[#This Row],[国内送料]]</f>
        <v/>
      </c>
      <c r="U427" s="289">
        <f>ROUNDUP(商品マスタ[[#This Row],[仕入単価+国内送料]]/0.8,-1)</f>
        <v/>
      </c>
      <c r="V427" s="289">
        <f>商品マスタ[[#This Row],[海外定価
（20％）]]-商品マスタ[[#This Row],[仕入単価+国内送料]]</f>
        <v/>
      </c>
      <c r="W427" s="167">
        <f>ROUNDUP(商品マスタ[[#This Row],[仕入単価+国内送料]]/0.85,-1)</f>
        <v/>
      </c>
      <c r="X427" s="289">
        <f>商品マスタ[[#This Row],[国内定価
（15％）]]-商品マスタ[[#This Row],[仕入単価+国内送料]]</f>
        <v/>
      </c>
      <c r="Y427" s="139" t="n">
        <v>0.08</v>
      </c>
      <c r="Z427" s="167" t="n"/>
      <c r="AA427" s="167" t="n"/>
      <c r="AB427" s="167" t="n"/>
      <c r="AC427" s="293" t="n"/>
      <c r="AD427" s="167" t="n"/>
      <c r="AE427" s="167" t="n"/>
      <c r="AF427" s="167" t="n"/>
      <c r="AG427" s="144" t="n"/>
    </row>
    <row r="428" ht="18" customHeight="1" s="207">
      <c r="A428" s="166" t="inlineStr">
        <is>
          <t>水産</t>
        </is>
      </c>
      <c r="B428" s="167" t="inlineStr">
        <is>
          <t>水産物</t>
        </is>
      </c>
      <c r="C428" s="167" t="inlineStr">
        <is>
          <t>ヤマニ野口水産</t>
        </is>
      </c>
      <c r="D428" s="143">
        <f>"PRD_SNJ_"&amp;
_xlfn.XLOOKUP(商品マスタ[[#This Row],[仕入先]],テーブル1[仕入先名],テーブル1[仕入先コード],"XXX",0,1)&amp;
"_"&amp;
商品マスタ[[#This Row],[シリアル]]&amp;
"_"&amp;
TEXT(COUNTIFS(商品マスタ!$C$3:C428,商品マスタ[[#This Row],[仕入先]],商品マスタ!$E$3:E428,商品マスタ[[#This Row],[商品名]]), "00")</f>
        <v/>
      </c>
      <c r="E428" s="167" t="inlineStr">
        <is>
          <t>鮭ジャーキー×プレーン</t>
        </is>
      </c>
      <c r="F428" s="167">
        <f>IF(COUNTIFS($C$3:C428,商品マスタ[[#This Row],[仕入先]],$E$3:E428,商品マスタ[[#This Row],[商品名]]) = 1, 1,0)</f>
        <v/>
      </c>
      <c r="G428" s="133">
        <f>TEXT(SUMIF($C$3:C428,商品マスタ[[#This Row],[仕入先]],$F$3:F428), "0000")</f>
        <v/>
      </c>
      <c r="H428" s="167" t="inlineStr">
        <is>
          <t>袋</t>
        </is>
      </c>
      <c r="I428" s="167" t="inlineStr">
        <is>
          <t>28g</t>
        </is>
      </c>
      <c r="J428" s="167" t="inlineStr">
        <is>
          <t>10袋</t>
        </is>
      </c>
      <c r="K428" s="167" t="n"/>
      <c r="L428" s="289" t="n">
        <v>340</v>
      </c>
      <c r="M428" s="157" t="n"/>
      <c r="N428" s="289" t="n"/>
      <c r="O428" s="290">
        <f>IF(COUNT(商品マスタ[[#This Row],[参考上代
（税込)]]) &gt; 0, (商品マスタ[[#This Row],[参考上代
（税込)]]-商品マスタ[[#This Row],[国内定価
（15％）]])/(商品マスタ[[#This Row],[参考上代
（税込)]]/1.08), "")</f>
        <v/>
      </c>
      <c r="P428" s="136" t="n">
        <v>0.1</v>
      </c>
      <c r="Q428" s="289">
        <f>商品マスタ[[#This Row],[仕入
単価]]*商品マスタ[[#This Row],[標準国内送料率]]</f>
        <v/>
      </c>
      <c r="R428" s="289" t="n">
        <v>0</v>
      </c>
      <c r="S428" s="289">
        <f>IF(ISBLANK(商品マスタ[[#This Row],[実績
国内送料]]),商品マスタ[[#This Row],[標準国内送料]],)</f>
        <v/>
      </c>
      <c r="T428" s="289">
        <f>商品マスタ[[#This Row],[仕入
単価]]+商品マスタ[[#This Row],[国内送料]]</f>
        <v/>
      </c>
      <c r="U428" s="289">
        <f>ROUNDUP(商品マスタ[[#This Row],[仕入単価+国内送料]]/0.8,-1)</f>
        <v/>
      </c>
      <c r="V428" s="289">
        <f>商品マスタ[[#This Row],[海外定価
（20％）]]-商品マスタ[[#This Row],[仕入単価+国内送料]]</f>
        <v/>
      </c>
      <c r="W428" s="167">
        <f>ROUNDUP(商品マスタ[[#This Row],[仕入単価+国内送料]]/0.85,-1)</f>
        <v/>
      </c>
      <c r="X428" s="289">
        <f>商品マスタ[[#This Row],[国内定価
（15％）]]-商品マスタ[[#This Row],[仕入単価+国内送料]]</f>
        <v/>
      </c>
      <c r="Y428" s="139" t="n">
        <v>0.08</v>
      </c>
      <c r="Z428" s="167" t="n"/>
      <c r="AA428" s="167" t="n"/>
      <c r="AB428" s="167" t="n"/>
      <c r="AC428" s="293" t="n"/>
      <c r="AD428" s="167" t="n"/>
      <c r="AE428" s="167" t="n"/>
      <c r="AF428" s="167" t="n"/>
      <c r="AG428" s="144" t="n"/>
    </row>
    <row r="429" ht="18" customHeight="1" s="207">
      <c r="A429" s="166" t="inlineStr">
        <is>
          <t>水産</t>
        </is>
      </c>
      <c r="B429" s="167" t="inlineStr">
        <is>
          <t>水産物</t>
        </is>
      </c>
      <c r="C429" s="167" t="inlineStr">
        <is>
          <t>ヤマニ野口水産</t>
        </is>
      </c>
      <c r="D429" s="143">
        <f>"PRD_SNJ_"&amp;
_xlfn.XLOOKUP(商品マスタ[[#This Row],[仕入先]],テーブル1[仕入先名],テーブル1[仕入先コード],"XXX",0,1)&amp;
"_"&amp;
商品マスタ[[#This Row],[シリアル]]&amp;
"_"&amp;
TEXT(COUNTIFS(商品マスタ!$C$3:C429,商品マスタ[[#This Row],[仕入先]],商品マスタ!$E$3:E429,商品マスタ[[#This Row],[商品名]]), "00")</f>
        <v/>
      </c>
      <c r="E429" s="167" t="inlineStr">
        <is>
          <t>鮭ジャーキー×バジル</t>
        </is>
      </c>
      <c r="F429" s="167">
        <f>IF(COUNTIFS($C$3:C429,商品マスタ[[#This Row],[仕入先]],$E$3:E429,商品マスタ[[#This Row],[商品名]]) = 1, 1,0)</f>
        <v/>
      </c>
      <c r="G429" s="133">
        <f>TEXT(SUMIF($C$3:C429,商品マスタ[[#This Row],[仕入先]],$F$3:F429), "0000")</f>
        <v/>
      </c>
      <c r="H429" s="167" t="inlineStr">
        <is>
          <t>袋</t>
        </is>
      </c>
      <c r="I429" s="167" t="inlineStr">
        <is>
          <t>50g</t>
        </is>
      </c>
      <c r="J429" s="167" t="inlineStr">
        <is>
          <t>10袋</t>
        </is>
      </c>
      <c r="K429" s="167" t="n"/>
      <c r="L429" s="289" t="n">
        <v>340</v>
      </c>
      <c r="M429" s="157" t="n"/>
      <c r="N429" s="289" t="n"/>
      <c r="O429" s="290">
        <f>IF(COUNT(商品マスタ[[#This Row],[参考上代
（税込)]]) &gt; 0, (商品マスタ[[#This Row],[参考上代
（税込)]]-商品マスタ[[#This Row],[国内定価
（15％）]])/(商品マスタ[[#This Row],[参考上代
（税込)]]/1.08), "")</f>
        <v/>
      </c>
      <c r="P429" s="136" t="n">
        <v>0.1</v>
      </c>
      <c r="Q429" s="289">
        <f>商品マスタ[[#This Row],[仕入
単価]]*商品マスタ[[#This Row],[標準国内送料率]]</f>
        <v/>
      </c>
      <c r="R429" s="289" t="n">
        <v>0</v>
      </c>
      <c r="S429" s="289">
        <f>IF(ISBLANK(商品マスタ[[#This Row],[実績
国内送料]]),商品マスタ[[#This Row],[標準国内送料]],)</f>
        <v/>
      </c>
      <c r="T429" s="289">
        <f>商品マスタ[[#This Row],[仕入
単価]]+商品マスタ[[#This Row],[国内送料]]</f>
        <v/>
      </c>
      <c r="U429" s="289">
        <f>ROUNDUP(商品マスタ[[#This Row],[仕入単価+国内送料]]/0.8,-1)</f>
        <v/>
      </c>
      <c r="V429" s="289">
        <f>商品マスタ[[#This Row],[海外定価
（20％）]]-商品マスタ[[#This Row],[仕入単価+国内送料]]</f>
        <v/>
      </c>
      <c r="W429" s="167">
        <f>ROUNDUP(商品マスタ[[#This Row],[仕入単価+国内送料]]/0.85,-1)</f>
        <v/>
      </c>
      <c r="X429" s="289">
        <f>商品マスタ[[#This Row],[国内定価
（15％）]]-商品マスタ[[#This Row],[仕入単価+国内送料]]</f>
        <v/>
      </c>
      <c r="Y429" s="139" t="n">
        <v>0.08</v>
      </c>
      <c r="Z429" s="167" t="n"/>
      <c r="AA429" s="167" t="n"/>
      <c r="AB429" s="167" t="n"/>
      <c r="AC429" s="293" t="n"/>
      <c r="AD429" s="167" t="n"/>
      <c r="AE429" s="167" t="n"/>
      <c r="AF429" s="167" t="n"/>
      <c r="AG429" s="144" t="n"/>
    </row>
    <row r="430" ht="18" customHeight="1" s="207">
      <c r="A430" s="166" t="inlineStr">
        <is>
          <t>水産</t>
        </is>
      </c>
      <c r="B430" s="167" t="inlineStr">
        <is>
          <t>水産物</t>
        </is>
      </c>
      <c r="C430" s="167" t="inlineStr">
        <is>
          <t>ヤマニ野口水産</t>
        </is>
      </c>
      <c r="D430" s="143">
        <f>"PRD_SNJ_"&amp;
_xlfn.XLOOKUP(商品マスタ[[#This Row],[仕入先]],テーブル1[仕入先名],テーブル1[仕入先コード],"XXX",0,1)&amp;
"_"&amp;
商品マスタ[[#This Row],[シリアル]]&amp;
"_"&amp;
TEXT(COUNTIFS(商品マスタ!$C$3:C430,商品マスタ[[#This Row],[仕入先]],商品マスタ!$E$3:E430,商品マスタ[[#This Row],[商品名]]), "00")</f>
        <v/>
      </c>
      <c r="E430" s="167" t="inlineStr">
        <is>
          <t>鮭ジャーキー×魚醤</t>
        </is>
      </c>
      <c r="F430" s="167">
        <f>IF(COUNTIFS($C$3:C430,商品マスタ[[#This Row],[仕入先]],$E$3:E430,商品マスタ[[#This Row],[商品名]]) = 1, 1,0)</f>
        <v/>
      </c>
      <c r="G430" s="133">
        <f>TEXT(SUMIF($C$3:C430,商品マスタ[[#This Row],[仕入先]],$F$3:F430), "0000")</f>
        <v/>
      </c>
      <c r="H430" s="167" t="inlineStr">
        <is>
          <t>袋</t>
        </is>
      </c>
      <c r="I430" s="167" t="inlineStr">
        <is>
          <t>50g</t>
        </is>
      </c>
      <c r="J430" s="167" t="inlineStr">
        <is>
          <t>10袋</t>
        </is>
      </c>
      <c r="K430" s="167" t="n"/>
      <c r="L430" s="289" t="n">
        <v>340</v>
      </c>
      <c r="M430" s="157" t="n"/>
      <c r="N430" s="289" t="n"/>
      <c r="O430" s="290">
        <f>IF(COUNT(商品マスタ[[#This Row],[参考上代
（税込)]]) &gt; 0, (商品マスタ[[#This Row],[参考上代
（税込)]]-商品マスタ[[#This Row],[国内定価
（15％）]])/(商品マスタ[[#This Row],[参考上代
（税込)]]/1.08), "")</f>
        <v/>
      </c>
      <c r="P430" s="136" t="n">
        <v>0.1</v>
      </c>
      <c r="Q430" s="289">
        <f>商品マスタ[[#This Row],[仕入
単価]]*商品マスタ[[#This Row],[標準国内送料率]]</f>
        <v/>
      </c>
      <c r="R430" s="289" t="n">
        <v>0</v>
      </c>
      <c r="S430" s="289">
        <f>IF(ISBLANK(商品マスタ[[#This Row],[実績
国内送料]]),商品マスタ[[#This Row],[標準国内送料]],)</f>
        <v/>
      </c>
      <c r="T430" s="289">
        <f>商品マスタ[[#This Row],[仕入
単価]]+商品マスタ[[#This Row],[国内送料]]</f>
        <v/>
      </c>
      <c r="U430" s="289">
        <f>ROUNDUP(商品マスタ[[#This Row],[仕入単価+国内送料]]/0.8,-1)</f>
        <v/>
      </c>
      <c r="V430" s="289">
        <f>商品マスタ[[#This Row],[海外定価
（20％）]]-商品マスタ[[#This Row],[仕入単価+国内送料]]</f>
        <v/>
      </c>
      <c r="W430" s="167">
        <f>ROUNDUP(商品マスタ[[#This Row],[仕入単価+国内送料]]/0.85,-1)</f>
        <v/>
      </c>
      <c r="X430" s="289">
        <f>商品マスタ[[#This Row],[国内定価
（15％）]]-商品マスタ[[#This Row],[仕入単価+国内送料]]</f>
        <v/>
      </c>
      <c r="Y430" s="139" t="n">
        <v>0.08</v>
      </c>
      <c r="Z430" s="167" t="n"/>
      <c r="AA430" s="167" t="n"/>
      <c r="AB430" s="167" t="n"/>
      <c r="AC430" s="293" t="n"/>
      <c r="AD430" s="167" t="n"/>
      <c r="AE430" s="167" t="n"/>
      <c r="AF430" s="167" t="n"/>
      <c r="AG430" s="144" t="n"/>
    </row>
    <row r="431" ht="18" customHeight="1" s="207">
      <c r="A431" s="166" t="inlineStr">
        <is>
          <t>飲料アルコール</t>
        </is>
      </c>
      <c r="B431" s="167" t="inlineStr">
        <is>
          <t>日本酒</t>
        </is>
      </c>
      <c r="C431" s="167" t="inlineStr">
        <is>
          <t>ヤマニ野口水産</t>
        </is>
      </c>
      <c r="D431" s="143">
        <f>"PRD_SNJ_"&amp;
_xlfn.XLOOKUP(商品マスタ[[#This Row],[仕入先]],テーブル1[仕入先名],テーブル1[仕入先コード],"XXX",0,1)&amp;
"_"&amp;
商品マスタ[[#This Row],[シリアル]]&amp;
"_"&amp;
TEXT(COUNTIFS(商品マスタ!$C$3:C431,商品マスタ[[#This Row],[仕入先]],商品マスタ!$E$3:E431,商品マスタ[[#This Row],[商品名]]), "00")</f>
        <v/>
      </c>
      <c r="E431" s="167" t="inlineStr">
        <is>
          <t>酒粕鮭ジャーキー×高砂酒造</t>
        </is>
      </c>
      <c r="F431" s="167">
        <f>IF(COUNTIFS($C$3:C431,商品マスタ[[#This Row],[仕入先]],$E$3:E431,商品マスタ[[#This Row],[商品名]]) = 1, 1,0)</f>
        <v/>
      </c>
      <c r="G431" s="133">
        <f>TEXT(SUMIF($C$3:C431,商品マスタ[[#This Row],[仕入先]],$F$3:F431), "0000")</f>
        <v/>
      </c>
      <c r="H431" s="167" t="inlineStr">
        <is>
          <t>袋</t>
        </is>
      </c>
      <c r="I431" s="167" t="inlineStr">
        <is>
          <t>50g</t>
        </is>
      </c>
      <c r="J431" s="167" t="inlineStr">
        <is>
          <t>10袋</t>
        </is>
      </c>
      <c r="K431" s="167" t="n"/>
      <c r="L431" s="289" t="n">
        <v>340</v>
      </c>
      <c r="M431" s="157" t="n"/>
      <c r="N431" s="289" t="n"/>
      <c r="O431" s="290">
        <f>IF(COUNT(商品マスタ[[#This Row],[参考上代
（税込)]]) &gt; 0, (商品マスタ[[#This Row],[参考上代
（税込)]]-商品マスタ[[#This Row],[国内定価
（15％）]])/(商品マスタ[[#This Row],[参考上代
（税込)]]/1.08), "")</f>
        <v/>
      </c>
      <c r="P431" s="136" t="n">
        <v>0.1</v>
      </c>
      <c r="Q431" s="289">
        <f>商品マスタ[[#This Row],[仕入
単価]]*商品マスタ[[#This Row],[標準国内送料率]]</f>
        <v/>
      </c>
      <c r="R431" s="289" t="n">
        <v>0</v>
      </c>
      <c r="S431" s="289">
        <f>IF(ISBLANK(商品マスタ[[#This Row],[実績
国内送料]]),商品マスタ[[#This Row],[標準国内送料]],)</f>
        <v/>
      </c>
      <c r="T431" s="289">
        <f>商品マスタ[[#This Row],[仕入
単価]]+商品マスタ[[#This Row],[国内送料]]</f>
        <v/>
      </c>
      <c r="U431" s="289">
        <f>ROUNDUP(商品マスタ[[#This Row],[仕入単価+国内送料]]/0.8,-1)</f>
        <v/>
      </c>
      <c r="V431" s="289">
        <f>商品マスタ[[#This Row],[海外定価
（20％）]]-商品マスタ[[#This Row],[仕入単価+国内送料]]</f>
        <v/>
      </c>
      <c r="W431" s="167">
        <f>ROUNDUP(商品マスタ[[#This Row],[仕入単価+国内送料]]/0.85,-1)</f>
        <v/>
      </c>
      <c r="X431" s="289">
        <f>商品マスタ[[#This Row],[国内定価
（15％）]]-商品マスタ[[#This Row],[仕入単価+国内送料]]</f>
        <v/>
      </c>
      <c r="Y431" s="139" t="n">
        <v>0.08</v>
      </c>
      <c r="Z431" s="167" t="n"/>
      <c r="AA431" s="167" t="n"/>
      <c r="AB431" s="167" t="n"/>
      <c r="AC431" s="293" t="n"/>
      <c r="AD431" s="167" t="n"/>
      <c r="AE431" s="167" t="n"/>
      <c r="AF431" s="167" t="n"/>
      <c r="AG431" s="144" t="n"/>
    </row>
    <row r="432" ht="18" customHeight="1" s="207">
      <c r="A432" s="166" t="inlineStr">
        <is>
          <t>飲料アルコール</t>
        </is>
      </c>
      <c r="B432" s="167" t="inlineStr">
        <is>
          <t>日本酒</t>
        </is>
      </c>
      <c r="C432" s="167" t="inlineStr">
        <is>
          <t>ヤマニ野口水産</t>
        </is>
      </c>
      <c r="D432" s="143">
        <f>"PRD_SNJ_"&amp;
_xlfn.XLOOKUP(商品マスタ[[#This Row],[仕入先]],テーブル1[仕入先名],テーブル1[仕入先コード],"XXX",0,1)&amp;
"_"&amp;
商品マスタ[[#This Row],[シリアル]]&amp;
"_"&amp;
TEXT(COUNTIFS(商品マスタ!$C$3:C432,商品マスタ[[#This Row],[仕入先]],商品マスタ!$E$3:E432,商品マスタ[[#This Row],[商品名]]), "00")</f>
        <v/>
      </c>
      <c r="E432" s="167" t="inlineStr">
        <is>
          <t>酒粕鮭ジャーキー×國稀酒造</t>
        </is>
      </c>
      <c r="F432" s="167">
        <f>IF(COUNTIFS($C$3:C432,商品マスタ[[#This Row],[仕入先]],$E$3:E432,商品マスタ[[#This Row],[商品名]]) = 1, 1,0)</f>
        <v/>
      </c>
      <c r="G432" s="133">
        <f>TEXT(SUMIF($C$3:C432,商品マスタ[[#This Row],[仕入先]],$F$3:F432), "0000")</f>
        <v/>
      </c>
      <c r="H432" s="167" t="inlineStr">
        <is>
          <t>袋</t>
        </is>
      </c>
      <c r="I432" s="167" t="inlineStr">
        <is>
          <t>50g</t>
        </is>
      </c>
      <c r="J432" s="167" t="inlineStr">
        <is>
          <t>10袋</t>
        </is>
      </c>
      <c r="K432" s="167" t="n"/>
      <c r="L432" s="289" t="n">
        <v>340</v>
      </c>
      <c r="M432" s="157" t="n"/>
      <c r="N432" s="289" t="n"/>
      <c r="O432" s="290">
        <f>IF(COUNT(商品マスタ[[#This Row],[参考上代
（税込)]]) &gt; 0, (商品マスタ[[#This Row],[参考上代
（税込)]]-商品マスタ[[#This Row],[国内定価
（15％）]])/(商品マスタ[[#This Row],[参考上代
（税込)]]/1.08), "")</f>
        <v/>
      </c>
      <c r="P432" s="136" t="n">
        <v>0.1</v>
      </c>
      <c r="Q432" s="289">
        <f>商品マスタ[[#This Row],[仕入
単価]]*商品マスタ[[#This Row],[標準国内送料率]]</f>
        <v/>
      </c>
      <c r="R432" s="289" t="n">
        <v>0</v>
      </c>
      <c r="S432" s="289">
        <f>IF(ISBLANK(商品マスタ[[#This Row],[実績
国内送料]]),商品マスタ[[#This Row],[標準国内送料]],)</f>
        <v/>
      </c>
      <c r="T432" s="289">
        <f>商品マスタ[[#This Row],[仕入
単価]]+商品マスタ[[#This Row],[国内送料]]</f>
        <v/>
      </c>
      <c r="U432" s="289">
        <f>ROUNDUP(商品マスタ[[#This Row],[仕入単価+国内送料]]/0.8,-1)</f>
        <v/>
      </c>
      <c r="V432" s="289">
        <f>商品マスタ[[#This Row],[海外定価
（20％）]]-商品マスタ[[#This Row],[仕入単価+国内送料]]</f>
        <v/>
      </c>
      <c r="W432" s="167">
        <f>ROUNDUP(商品マスタ[[#This Row],[仕入単価+国内送料]]/0.85,-1)</f>
        <v/>
      </c>
      <c r="X432" s="289">
        <f>商品マスタ[[#This Row],[国内定価
（15％）]]-商品マスタ[[#This Row],[仕入単価+国内送料]]</f>
        <v/>
      </c>
      <c r="Y432" s="139" t="n">
        <v>0.08</v>
      </c>
      <c r="Z432" s="167" t="n"/>
      <c r="AA432" s="167" t="n"/>
      <c r="AB432" s="167" t="n"/>
      <c r="AC432" s="293" t="n"/>
      <c r="AD432" s="167" t="n"/>
      <c r="AE432" s="167" t="n"/>
      <c r="AF432" s="167" t="n"/>
      <c r="AG432" s="144" t="n"/>
    </row>
    <row r="433" ht="18" customHeight="1" s="207">
      <c r="A433" s="166" t="inlineStr">
        <is>
          <t>飲料アルコール</t>
        </is>
      </c>
      <c r="B433" s="167" t="inlineStr">
        <is>
          <t>日本酒</t>
        </is>
      </c>
      <c r="C433" s="167" t="inlineStr">
        <is>
          <t>ヤマニ野口水産</t>
        </is>
      </c>
      <c r="D433" s="143">
        <f>"PRD_SNJ_"&amp;
_xlfn.XLOOKUP(商品マスタ[[#This Row],[仕入先]],テーブル1[仕入先名],テーブル1[仕入先コード],"XXX",0,1)&amp;
"_"&amp;
商品マスタ[[#This Row],[シリアル]]&amp;
"_"&amp;
TEXT(COUNTIFS(商品マスタ!$C$3:C433,商品マスタ[[#This Row],[仕入先]],商品マスタ!$E$3:E433,商品マスタ[[#This Row],[商品名]]), "00")</f>
        <v/>
      </c>
      <c r="E433" s="167" t="inlineStr">
        <is>
          <t>酒粕鮭ジャーキー×上川大雪酒造</t>
        </is>
      </c>
      <c r="F433" s="167">
        <f>IF(COUNTIFS($C$3:C433,商品マスタ[[#This Row],[仕入先]],$E$3:E433,商品マスタ[[#This Row],[商品名]]) = 1, 1,0)</f>
        <v/>
      </c>
      <c r="G433" s="133">
        <f>TEXT(SUMIF($C$3:C433,商品マスタ[[#This Row],[仕入先]],$F$3:F433), "0000")</f>
        <v/>
      </c>
      <c r="H433" s="167" t="inlineStr">
        <is>
          <t>袋</t>
        </is>
      </c>
      <c r="I433" s="167" t="inlineStr">
        <is>
          <t>50g</t>
        </is>
      </c>
      <c r="J433" s="167" t="inlineStr">
        <is>
          <t>10袋</t>
        </is>
      </c>
      <c r="K433" s="167" t="n"/>
      <c r="L433" s="289" t="n">
        <v>340</v>
      </c>
      <c r="M433" s="157" t="n"/>
      <c r="N433" s="289" t="n"/>
      <c r="O433" s="290">
        <f>IF(COUNT(商品マスタ[[#This Row],[参考上代
（税込)]]) &gt; 0, (商品マスタ[[#This Row],[参考上代
（税込)]]-商品マスタ[[#This Row],[国内定価
（15％）]])/(商品マスタ[[#This Row],[参考上代
（税込)]]/1.08), "")</f>
        <v/>
      </c>
      <c r="P433" s="136" t="n">
        <v>0.1</v>
      </c>
      <c r="Q433" s="289">
        <f>商品マスタ[[#This Row],[仕入
単価]]*商品マスタ[[#This Row],[標準国内送料率]]</f>
        <v/>
      </c>
      <c r="R433" s="289" t="n">
        <v>0</v>
      </c>
      <c r="S433" s="289">
        <f>IF(ISBLANK(商品マスタ[[#This Row],[実績
国内送料]]),商品マスタ[[#This Row],[標準国内送料]],)</f>
        <v/>
      </c>
      <c r="T433" s="289">
        <f>商品マスタ[[#This Row],[仕入
単価]]+商品マスタ[[#This Row],[国内送料]]</f>
        <v/>
      </c>
      <c r="U433" s="289">
        <f>ROUNDUP(商品マスタ[[#This Row],[仕入単価+国内送料]]/0.8,-1)</f>
        <v/>
      </c>
      <c r="V433" s="289">
        <f>商品マスタ[[#This Row],[海外定価
（20％）]]-商品マスタ[[#This Row],[仕入単価+国内送料]]</f>
        <v/>
      </c>
      <c r="W433" s="167">
        <f>ROUNDUP(商品マスタ[[#This Row],[仕入単価+国内送料]]/0.85,-1)</f>
        <v/>
      </c>
      <c r="X433" s="289">
        <f>商品マスタ[[#This Row],[国内定価
（15％）]]-商品マスタ[[#This Row],[仕入単価+国内送料]]</f>
        <v/>
      </c>
      <c r="Y433" s="139" t="n">
        <v>0.08</v>
      </c>
      <c r="Z433" s="167" t="n"/>
      <c r="AA433" s="167" t="n"/>
      <c r="AB433" s="167" t="n"/>
      <c r="AC433" s="293" t="n"/>
      <c r="AD433" s="167" t="n"/>
      <c r="AE433" s="167" t="n"/>
      <c r="AF433" s="167" t="n"/>
      <c r="AG433" s="144" t="n"/>
    </row>
    <row r="434" ht="18" customHeight="1" s="207">
      <c r="A434" s="166" t="inlineStr">
        <is>
          <t>水産</t>
        </is>
      </c>
      <c r="B434" s="167" t="inlineStr">
        <is>
          <t>水産物</t>
        </is>
      </c>
      <c r="C434" s="167" t="inlineStr">
        <is>
          <t>ヤマニ野口水産</t>
        </is>
      </c>
      <c r="D434" s="143">
        <f>"PRD_SNJ_"&amp;
_xlfn.XLOOKUP(商品マスタ[[#This Row],[仕入先]],テーブル1[仕入先名],テーブル1[仕入先コード],"XXX",0,1)&amp;
"_"&amp;
商品マスタ[[#This Row],[シリアル]]&amp;
"_"&amp;
TEXT(COUNTIFS(商品マスタ!$C$3:C434,商品マスタ[[#This Row],[仕入先]],商品マスタ!$E$3:E434,商品マスタ[[#This Row],[商品名]]), "00")</f>
        <v/>
      </c>
      <c r="E434" s="167" t="inlineStr">
        <is>
          <t>酒粕鮭ジャーキー×五稜乃蔵</t>
        </is>
      </c>
      <c r="F434" s="167">
        <f>IF(COUNTIFS($C$3:C434,商品マスタ[[#This Row],[仕入先]],$E$3:E434,商品マスタ[[#This Row],[商品名]]) = 1, 1,0)</f>
        <v/>
      </c>
      <c r="G434" s="133">
        <f>TEXT(SUMIF($C$3:C434,商品マスタ[[#This Row],[仕入先]],$F$3:F434), "0000")</f>
        <v/>
      </c>
      <c r="H434" s="167" t="inlineStr">
        <is>
          <t>袋</t>
        </is>
      </c>
      <c r="I434" s="167" t="inlineStr">
        <is>
          <t>50g</t>
        </is>
      </c>
      <c r="J434" s="167" t="inlineStr">
        <is>
          <t>10袋</t>
        </is>
      </c>
      <c r="K434" s="167" t="n"/>
      <c r="L434" s="289" t="n">
        <v>340</v>
      </c>
      <c r="M434" s="157" t="n"/>
      <c r="N434" s="289" t="n"/>
      <c r="O434" s="290">
        <f>IF(COUNT(商品マスタ[[#This Row],[参考上代
（税込)]]) &gt; 0, (商品マスタ[[#This Row],[参考上代
（税込)]]-商品マスタ[[#This Row],[国内定価
（15％）]])/(商品マスタ[[#This Row],[参考上代
（税込)]]/1.08), "")</f>
        <v/>
      </c>
      <c r="P434" s="136" t="n">
        <v>0.1</v>
      </c>
      <c r="Q434" s="289">
        <f>商品マスタ[[#This Row],[仕入
単価]]*商品マスタ[[#This Row],[標準国内送料率]]</f>
        <v/>
      </c>
      <c r="R434" s="289" t="n">
        <v>0</v>
      </c>
      <c r="S434" s="289">
        <f>IF(ISBLANK(商品マスタ[[#This Row],[実績
国内送料]]),商品マスタ[[#This Row],[標準国内送料]],)</f>
        <v/>
      </c>
      <c r="T434" s="289">
        <f>商品マスタ[[#This Row],[仕入
単価]]+商品マスタ[[#This Row],[国内送料]]</f>
        <v/>
      </c>
      <c r="U434" s="289">
        <f>ROUNDUP(商品マスタ[[#This Row],[仕入単価+国内送料]]/0.8,-1)</f>
        <v/>
      </c>
      <c r="V434" s="289">
        <f>商品マスタ[[#This Row],[海外定価
（20％）]]-商品マスタ[[#This Row],[仕入単価+国内送料]]</f>
        <v/>
      </c>
      <c r="W434" s="167">
        <f>ROUNDUP(商品マスタ[[#This Row],[仕入単価+国内送料]]/0.85,-1)</f>
        <v/>
      </c>
      <c r="X434" s="289">
        <f>商品マスタ[[#This Row],[国内定価
（15％）]]-商品マスタ[[#This Row],[仕入単価+国内送料]]</f>
        <v/>
      </c>
      <c r="Y434" s="139" t="n">
        <v>0.08</v>
      </c>
      <c r="Z434" s="167" t="n"/>
      <c r="AA434" s="167" t="n"/>
      <c r="AB434" s="167" t="n"/>
      <c r="AC434" s="293" t="n"/>
      <c r="AD434" s="167" t="n"/>
      <c r="AE434" s="167" t="n"/>
      <c r="AF434" s="167" t="n"/>
      <c r="AG434" s="144" t="n"/>
    </row>
    <row r="435" ht="18" customHeight="1" s="207">
      <c r="A435" s="166" t="inlineStr">
        <is>
          <t>水産</t>
        </is>
      </c>
      <c r="B435" s="167" t="inlineStr">
        <is>
          <t>水産物</t>
        </is>
      </c>
      <c r="C435" s="167" t="inlineStr">
        <is>
          <t>ヤマニ野口水産</t>
        </is>
      </c>
      <c r="D435" s="143">
        <f>"PRD_SNJ_"&amp;
_xlfn.XLOOKUP(商品マスタ[[#This Row],[仕入先]],テーブル1[仕入先名],テーブル1[仕入先コード],"XXX",0,1)&amp;
"_"&amp;
商品マスタ[[#This Row],[シリアル]]&amp;
"_"&amp;
TEXT(COUNTIFS(商品マスタ!$C$3:C435,商品マスタ[[#This Row],[仕入先]],商品マスタ!$E$3:E435,商品マスタ[[#This Row],[商品名]]), "00")</f>
        <v/>
      </c>
      <c r="E435" s="167" t="inlineStr">
        <is>
          <t>鮭ジャーキー×ブラックペッパー</t>
        </is>
      </c>
      <c r="F435" s="167">
        <f>IF(COUNTIFS($C$3:C435,商品マスタ[[#This Row],[仕入先]],$E$3:E435,商品マスタ[[#This Row],[商品名]]) = 1, 1,0)</f>
        <v/>
      </c>
      <c r="G435" s="133">
        <f>TEXT(SUMIF($C$3:C435,商品マスタ[[#This Row],[仕入先]],$F$3:F435), "0000")</f>
        <v/>
      </c>
      <c r="H435" s="167" t="inlineStr">
        <is>
          <t>袋</t>
        </is>
      </c>
      <c r="I435" s="167" t="inlineStr">
        <is>
          <t>90g</t>
        </is>
      </c>
      <c r="J435" s="167" t="inlineStr">
        <is>
          <t>10袋</t>
        </is>
      </c>
      <c r="K435" s="167" t="n"/>
      <c r="L435" s="289" t="n">
        <v>500</v>
      </c>
      <c r="M435" s="157" t="n"/>
      <c r="N435" s="289" t="n"/>
      <c r="O435" s="290">
        <f>IF(COUNT(商品マスタ[[#This Row],[参考上代
（税込)]]) &gt; 0, (商品マスタ[[#This Row],[参考上代
（税込)]]-商品マスタ[[#This Row],[国内定価
（15％）]])/(商品マスタ[[#This Row],[参考上代
（税込)]]/1.08), "")</f>
        <v/>
      </c>
      <c r="P435" s="136" t="n">
        <v>0.1</v>
      </c>
      <c r="Q435" s="289">
        <f>商品マスタ[[#This Row],[仕入
単価]]*商品マスタ[[#This Row],[標準国内送料率]]</f>
        <v/>
      </c>
      <c r="R435" s="289" t="n">
        <v>0</v>
      </c>
      <c r="S435" s="289">
        <f>IF(ISBLANK(商品マスタ[[#This Row],[実績
国内送料]]),商品マスタ[[#This Row],[標準国内送料]],)</f>
        <v/>
      </c>
      <c r="T435" s="289">
        <f>商品マスタ[[#This Row],[仕入
単価]]+商品マスタ[[#This Row],[国内送料]]</f>
        <v/>
      </c>
      <c r="U435" s="289">
        <f>ROUNDUP(商品マスタ[[#This Row],[仕入単価+国内送料]]/0.8,-1)</f>
        <v/>
      </c>
      <c r="V435" s="289">
        <f>商品マスタ[[#This Row],[海外定価
（20％）]]-商品マスタ[[#This Row],[仕入単価+国内送料]]</f>
        <v/>
      </c>
      <c r="W435" s="167">
        <f>ROUNDUP(商品マスタ[[#This Row],[仕入単価+国内送料]]/0.85,-1)</f>
        <v/>
      </c>
      <c r="X435" s="289">
        <f>商品マスタ[[#This Row],[国内定価
（15％）]]-商品マスタ[[#This Row],[仕入単価+国内送料]]</f>
        <v/>
      </c>
      <c r="Y435" s="139" t="n">
        <v>0.08</v>
      </c>
      <c r="Z435" s="167" t="n"/>
      <c r="AA435" s="167" t="n"/>
      <c r="AB435" s="167" t="n"/>
      <c r="AC435" s="293" t="n"/>
      <c r="AD435" s="167" t="n"/>
      <c r="AE435" s="167" t="n"/>
      <c r="AF435" s="167" t="n"/>
      <c r="AG435" s="144" t="n"/>
    </row>
    <row r="436" ht="18" customHeight="1" s="207">
      <c r="A436" s="166" t="inlineStr">
        <is>
          <t>水産</t>
        </is>
      </c>
      <c r="B436" s="167" t="inlineStr">
        <is>
          <t>水産物</t>
        </is>
      </c>
      <c r="C436" s="167" t="inlineStr">
        <is>
          <t>ヤマニ野口水産</t>
        </is>
      </c>
      <c r="D436" s="143">
        <f>"PRD_SNJ_"&amp;
_xlfn.XLOOKUP(商品マスタ[[#This Row],[仕入先]],テーブル1[仕入先名],テーブル1[仕入先コード],"XXX",0,1)&amp;
"_"&amp;
商品マスタ[[#This Row],[シリアル]]&amp;
"_"&amp;
TEXT(COUNTIFS(商品マスタ!$C$3:C436,商品マスタ[[#This Row],[仕入先]],商品マスタ!$E$3:E436,商品マスタ[[#This Row],[商品名]]), "00")</f>
        <v/>
      </c>
      <c r="E436" s="167" t="inlineStr">
        <is>
          <t>鮭ジャーキー×ピり辛明太</t>
        </is>
      </c>
      <c r="F436" s="167">
        <f>IF(COUNTIFS($C$3:C436,商品マスタ[[#This Row],[仕入先]],$E$3:E436,商品マスタ[[#This Row],[商品名]]) = 1, 1,0)</f>
        <v/>
      </c>
      <c r="G436" s="133">
        <f>TEXT(SUMIF($C$3:C436,商品マスタ[[#This Row],[仕入先]],$F$3:F436), "0000")</f>
        <v/>
      </c>
      <c r="H436" s="167" t="inlineStr">
        <is>
          <t>袋</t>
        </is>
      </c>
      <c r="I436" s="167" t="inlineStr">
        <is>
          <t>90g</t>
        </is>
      </c>
      <c r="J436" s="167" t="inlineStr">
        <is>
          <t>10袋</t>
        </is>
      </c>
      <c r="K436" s="167" t="n"/>
      <c r="L436" s="289" t="n">
        <v>500</v>
      </c>
      <c r="M436" s="157" t="n"/>
      <c r="N436" s="289" t="n"/>
      <c r="O436" s="290">
        <f>IF(COUNT(商品マスタ[[#This Row],[参考上代
（税込)]]) &gt; 0, (商品マスタ[[#This Row],[参考上代
（税込)]]-商品マスタ[[#This Row],[国内定価
（15％）]])/(商品マスタ[[#This Row],[参考上代
（税込)]]/1.08), "")</f>
        <v/>
      </c>
      <c r="P436" s="136" t="n">
        <v>0.1</v>
      </c>
      <c r="Q436" s="289">
        <f>商品マスタ[[#This Row],[仕入
単価]]*商品マスタ[[#This Row],[標準国内送料率]]</f>
        <v/>
      </c>
      <c r="R436" s="289" t="n">
        <v>0</v>
      </c>
      <c r="S436" s="289">
        <f>IF(ISBLANK(商品マスタ[[#This Row],[実績
国内送料]]),商品マスタ[[#This Row],[標準国内送料]],)</f>
        <v/>
      </c>
      <c r="T436" s="289">
        <f>商品マスタ[[#This Row],[仕入
単価]]+商品マスタ[[#This Row],[国内送料]]</f>
        <v/>
      </c>
      <c r="U436" s="289">
        <f>ROUNDUP(商品マスタ[[#This Row],[仕入単価+国内送料]]/0.8,-1)</f>
        <v/>
      </c>
      <c r="V436" s="289">
        <f>商品マスタ[[#This Row],[海外定価
（20％）]]-商品マスタ[[#This Row],[仕入単価+国内送料]]</f>
        <v/>
      </c>
      <c r="W436" s="167">
        <f>ROUNDUP(商品マスタ[[#This Row],[仕入単価+国内送料]]/0.85,-1)</f>
        <v/>
      </c>
      <c r="X436" s="289">
        <f>商品マスタ[[#This Row],[国内定価
（15％）]]-商品マスタ[[#This Row],[仕入単価+国内送料]]</f>
        <v/>
      </c>
      <c r="Y436" s="139" t="n">
        <v>0.08</v>
      </c>
      <c r="Z436" s="167" t="n"/>
      <c r="AA436" s="167" t="n"/>
      <c r="AB436" s="167" t="n"/>
      <c r="AC436" s="293" t="n"/>
      <c r="AD436" s="167" t="n"/>
      <c r="AE436" s="167" t="n"/>
      <c r="AF436" s="167" t="n"/>
      <c r="AG436" s="144" t="n"/>
    </row>
    <row r="437" ht="18" customHeight="1" s="207">
      <c r="A437" s="166" t="inlineStr">
        <is>
          <t>水産</t>
        </is>
      </c>
      <c r="B437" s="167" t="inlineStr">
        <is>
          <t>水産物</t>
        </is>
      </c>
      <c r="C437" s="167" t="inlineStr">
        <is>
          <t>ヤマニ野口水産</t>
        </is>
      </c>
      <c r="D437" s="143">
        <f>"PRD_SNJ_"&amp;
_xlfn.XLOOKUP(商品マスタ[[#This Row],[仕入先]],テーブル1[仕入先名],テーブル1[仕入先コード],"XXX",0,1)&amp;
"_"&amp;
商品マスタ[[#This Row],[シリアル]]&amp;
"_"&amp;
TEXT(COUNTIFS(商品マスタ!$C$3:C437,商品マスタ[[#This Row],[仕入先]],商品マスタ!$E$3:E437,商品マスタ[[#This Row],[商品名]]), "00")</f>
        <v/>
      </c>
      <c r="E437" s="167" t="inlineStr">
        <is>
          <t>鮭ジャーキー×プレーン</t>
        </is>
      </c>
      <c r="F437" s="167">
        <f>IF(COUNTIFS($C$3:C437,商品マスタ[[#This Row],[仕入先]],$E$3:E437,商品マスタ[[#This Row],[商品名]]) = 1, 1,0)</f>
        <v/>
      </c>
      <c r="G437" s="133">
        <f>TEXT(SUMIF($C$3:C437,商品マスタ[[#This Row],[仕入先]],$F$3:F437), "0000")</f>
        <v/>
      </c>
      <c r="H437" s="167" t="inlineStr">
        <is>
          <t>袋</t>
        </is>
      </c>
      <c r="I437" s="167" t="inlineStr">
        <is>
          <t>90g</t>
        </is>
      </c>
      <c r="J437" s="167" t="inlineStr">
        <is>
          <t>10袋</t>
        </is>
      </c>
      <c r="K437" s="167" t="n"/>
      <c r="L437" s="289" t="n">
        <v>500</v>
      </c>
      <c r="M437" s="157" t="n"/>
      <c r="N437" s="289" t="n"/>
      <c r="O437" s="290">
        <f>IF(COUNT(商品マスタ[[#This Row],[参考上代
（税込)]]) &gt; 0, (商品マスタ[[#This Row],[参考上代
（税込)]]-商品マスタ[[#This Row],[国内定価
（15％）]])/(商品マスタ[[#This Row],[参考上代
（税込)]]/1.08), "")</f>
        <v/>
      </c>
      <c r="P437" s="136" t="n">
        <v>0.1</v>
      </c>
      <c r="Q437" s="289">
        <f>商品マスタ[[#This Row],[仕入
単価]]*商品マスタ[[#This Row],[標準国内送料率]]</f>
        <v/>
      </c>
      <c r="R437" s="289" t="n">
        <v>0</v>
      </c>
      <c r="S437" s="289">
        <f>IF(ISBLANK(商品マスタ[[#This Row],[実績
国内送料]]),商品マスタ[[#This Row],[標準国内送料]],)</f>
        <v/>
      </c>
      <c r="T437" s="289">
        <f>商品マスタ[[#This Row],[仕入
単価]]+商品マスタ[[#This Row],[国内送料]]</f>
        <v/>
      </c>
      <c r="U437" s="289">
        <f>ROUNDUP(商品マスタ[[#This Row],[仕入単価+国内送料]]/0.8,-1)</f>
        <v/>
      </c>
      <c r="V437" s="289">
        <f>商品マスタ[[#This Row],[海外定価
（20％）]]-商品マスタ[[#This Row],[仕入単価+国内送料]]</f>
        <v/>
      </c>
      <c r="W437" s="167">
        <f>ROUNDUP(商品マスタ[[#This Row],[仕入単価+国内送料]]/0.85,-1)</f>
        <v/>
      </c>
      <c r="X437" s="289">
        <f>商品マスタ[[#This Row],[国内定価
（15％）]]-商品マスタ[[#This Row],[仕入単価+国内送料]]</f>
        <v/>
      </c>
      <c r="Y437" s="139" t="n">
        <v>0.08</v>
      </c>
      <c r="Z437" s="167" t="n"/>
      <c r="AA437" s="167" t="n"/>
      <c r="AB437" s="167" t="n"/>
      <c r="AC437" s="293" t="n"/>
      <c r="AD437" s="167" t="n"/>
      <c r="AE437" s="167" t="n"/>
      <c r="AF437" s="167" t="n"/>
      <c r="AG437" s="144" t="n"/>
    </row>
    <row r="438" ht="18" customHeight="1" s="207">
      <c r="A438" s="166" t="inlineStr">
        <is>
          <t>水産</t>
        </is>
      </c>
      <c r="B438" s="167" t="inlineStr">
        <is>
          <t>水産物</t>
        </is>
      </c>
      <c r="C438" s="167" t="inlineStr">
        <is>
          <t>ヤマニ野口水産</t>
        </is>
      </c>
      <c r="D438" s="143">
        <f>"PRD_SNJ_"&amp;
_xlfn.XLOOKUP(商品マスタ[[#This Row],[仕入先]],テーブル1[仕入先名],テーブル1[仕入先コード],"XXX",0,1)&amp;
"_"&amp;
商品マスタ[[#This Row],[シリアル]]&amp;
"_"&amp;
TEXT(COUNTIFS(商品マスタ!$C$3:C438,商品マスタ[[#This Row],[仕入先]],商品マスタ!$E$3:E438,商品マスタ[[#This Row],[商品名]]), "00")</f>
        <v/>
      </c>
      <c r="E438" s="167" t="inlineStr">
        <is>
          <t>鮭ジャーキー×魚醤</t>
        </is>
      </c>
      <c r="F438" s="167">
        <f>IF(COUNTIFS($C$3:C438,商品マスタ[[#This Row],[仕入先]],$E$3:E438,商品マスタ[[#This Row],[商品名]]) = 1, 1,0)</f>
        <v/>
      </c>
      <c r="G438" s="133">
        <f>TEXT(SUMIF($C$3:C438,商品マスタ[[#This Row],[仕入先]],$F$3:F438), "0000")</f>
        <v/>
      </c>
      <c r="H438" s="167" t="inlineStr">
        <is>
          <t>袋</t>
        </is>
      </c>
      <c r="I438" s="167" t="inlineStr">
        <is>
          <t>90g</t>
        </is>
      </c>
      <c r="J438" s="167" t="inlineStr">
        <is>
          <t>10袋</t>
        </is>
      </c>
      <c r="K438" s="167" t="n"/>
      <c r="L438" s="289" t="n">
        <v>500</v>
      </c>
      <c r="M438" s="157" t="n"/>
      <c r="N438" s="289" t="n"/>
      <c r="O438" s="290">
        <f>IF(COUNT(商品マスタ[[#This Row],[参考上代
（税込)]]) &gt; 0, (商品マスタ[[#This Row],[参考上代
（税込)]]-商品マスタ[[#This Row],[国内定価
（15％）]])/(商品マスタ[[#This Row],[参考上代
（税込)]]/1.08), "")</f>
        <v/>
      </c>
      <c r="P438" s="136" t="n">
        <v>0.1</v>
      </c>
      <c r="Q438" s="289">
        <f>商品マスタ[[#This Row],[仕入
単価]]*商品マスタ[[#This Row],[標準国内送料率]]</f>
        <v/>
      </c>
      <c r="R438" s="289" t="n">
        <v>0</v>
      </c>
      <c r="S438" s="289">
        <f>IF(ISBLANK(商品マスタ[[#This Row],[実績
国内送料]]),商品マスタ[[#This Row],[標準国内送料]],)</f>
        <v/>
      </c>
      <c r="T438" s="289">
        <f>商品マスタ[[#This Row],[仕入
単価]]+商品マスタ[[#This Row],[国内送料]]</f>
        <v/>
      </c>
      <c r="U438" s="289">
        <f>ROUNDUP(商品マスタ[[#This Row],[仕入単価+国内送料]]/0.8,-1)</f>
        <v/>
      </c>
      <c r="V438" s="289">
        <f>商品マスタ[[#This Row],[海外定価
（20％）]]-商品マスタ[[#This Row],[仕入単価+国内送料]]</f>
        <v/>
      </c>
      <c r="W438" s="167">
        <f>ROUNDUP(商品マスタ[[#This Row],[仕入単価+国内送料]]/0.85,-1)</f>
        <v/>
      </c>
      <c r="X438" s="289">
        <f>商品マスタ[[#This Row],[国内定価
（15％）]]-商品マスタ[[#This Row],[仕入単価+国内送料]]</f>
        <v/>
      </c>
      <c r="Y438" s="139" t="n">
        <v>0.08</v>
      </c>
      <c r="Z438" s="167" t="n"/>
      <c r="AA438" s="167" t="n"/>
      <c r="AB438" s="167" t="n"/>
      <c r="AC438" s="293" t="n"/>
      <c r="AD438" s="167" t="n"/>
      <c r="AE438" s="167" t="n"/>
      <c r="AF438" s="167" t="n"/>
      <c r="AG438" s="144" t="n"/>
    </row>
    <row r="439" ht="18" customHeight="1" s="207">
      <c r="A439" s="166" t="inlineStr">
        <is>
          <t>水産</t>
        </is>
      </c>
      <c r="B439" s="167" t="inlineStr">
        <is>
          <t>水産物</t>
        </is>
      </c>
      <c r="C439" s="167" t="inlineStr">
        <is>
          <t>ヤマニ野口水産</t>
        </is>
      </c>
      <c r="D439" s="143">
        <f>"PRD_SNJ_"&amp;
_xlfn.XLOOKUP(商品マスタ[[#This Row],[仕入先]],テーブル1[仕入先名],テーブル1[仕入先コード],"XXX",0,1)&amp;
"_"&amp;
商品マスタ[[#This Row],[シリアル]]&amp;
"_"&amp;
TEXT(COUNTIFS(商品マスタ!$C$3:C439,商品マスタ[[#This Row],[仕入先]],商品マスタ!$E$3:E439,商品マスタ[[#This Row],[商品名]]), "00")</f>
        <v/>
      </c>
      <c r="E439" s="167" t="inlineStr">
        <is>
          <t>ほっけジャーキースモーク</t>
        </is>
      </c>
      <c r="F439" s="167">
        <f>IF(COUNTIFS($C$3:C439,商品マスタ[[#This Row],[仕入先]],$E$3:E439,商品マスタ[[#This Row],[商品名]]) = 1, 1,0)</f>
        <v/>
      </c>
      <c r="G439" s="133">
        <f>TEXT(SUMIF($C$3:C439,商品マスタ[[#This Row],[仕入先]],$F$3:F439), "0000")</f>
        <v/>
      </c>
      <c r="H439" s="167" t="inlineStr">
        <is>
          <t>袋</t>
        </is>
      </c>
      <c r="I439" s="167" t="inlineStr">
        <is>
          <t>36g</t>
        </is>
      </c>
      <c r="J439" s="167" t="inlineStr">
        <is>
          <t>10袋</t>
        </is>
      </c>
      <c r="K439" s="167" t="n"/>
      <c r="L439" s="289" t="n">
        <v>270</v>
      </c>
      <c r="M439" s="157" t="n"/>
      <c r="N439" s="289" t="n"/>
      <c r="O439" s="290">
        <f>IF(COUNT(商品マスタ[[#This Row],[参考上代
（税込)]]) &gt; 0, (商品マスタ[[#This Row],[参考上代
（税込)]]-商品マスタ[[#This Row],[国内定価
（15％）]])/(商品マスタ[[#This Row],[参考上代
（税込)]]/1.08), "")</f>
        <v/>
      </c>
      <c r="P439" s="136" t="n">
        <v>0.1</v>
      </c>
      <c r="Q439" s="289">
        <f>商品マスタ[[#This Row],[仕入
単価]]*商品マスタ[[#This Row],[標準国内送料率]]</f>
        <v/>
      </c>
      <c r="R439" s="289" t="n">
        <v>0</v>
      </c>
      <c r="S439" s="289">
        <f>IF(ISBLANK(商品マスタ[[#This Row],[実績
国内送料]]),商品マスタ[[#This Row],[標準国内送料]],)</f>
        <v/>
      </c>
      <c r="T439" s="289">
        <f>商品マスタ[[#This Row],[仕入
単価]]+商品マスタ[[#This Row],[国内送料]]</f>
        <v/>
      </c>
      <c r="U439" s="289">
        <f>ROUNDUP(商品マスタ[[#This Row],[仕入単価+国内送料]]/0.8,-1)</f>
        <v/>
      </c>
      <c r="V439" s="289">
        <f>商品マスタ[[#This Row],[海外定価
（20％）]]-商品マスタ[[#This Row],[仕入単価+国内送料]]</f>
        <v/>
      </c>
      <c r="W439" s="167">
        <f>ROUNDUP(商品マスタ[[#This Row],[仕入単価+国内送料]]/0.85,-1)</f>
        <v/>
      </c>
      <c r="X439" s="289">
        <f>商品マスタ[[#This Row],[国内定価
（15％）]]-商品マスタ[[#This Row],[仕入単価+国内送料]]</f>
        <v/>
      </c>
      <c r="Y439" s="139" t="n">
        <v>0.08</v>
      </c>
      <c r="Z439" s="167" t="n"/>
      <c r="AA439" s="167" t="n"/>
      <c r="AB439" s="167" t="n"/>
      <c r="AC439" s="293" t="n"/>
      <c r="AD439" s="167" t="n"/>
      <c r="AE439" s="167" t="n"/>
      <c r="AF439" s="167" t="n"/>
      <c r="AG439" s="144" t="n"/>
    </row>
    <row r="440" ht="18" customHeight="1" s="207">
      <c r="A440" s="166" t="inlineStr">
        <is>
          <t>水産</t>
        </is>
      </c>
      <c r="B440" s="167" t="inlineStr">
        <is>
          <t>水産物</t>
        </is>
      </c>
      <c r="C440" s="167" t="inlineStr">
        <is>
          <t>ヤマニ野口水産</t>
        </is>
      </c>
      <c r="D440" s="143">
        <f>"PRD_SNJ_"&amp;
_xlfn.XLOOKUP(商品マスタ[[#This Row],[仕入先]],テーブル1[仕入先名],テーブル1[仕入先コード],"XXX",0,1)&amp;
"_"&amp;
商品マスタ[[#This Row],[シリアル]]&amp;
"_"&amp;
TEXT(COUNTIFS(商品マスタ!$C$3:C440,商品マスタ[[#This Row],[仕入先]],商品マスタ!$E$3:E440,商品マスタ[[#This Row],[商品名]]), "00")</f>
        <v/>
      </c>
      <c r="E440" s="167" t="inlineStr">
        <is>
          <t>ほっけ燻製（赤袋）</t>
        </is>
      </c>
      <c r="F440" s="167">
        <f>IF(COUNTIFS($C$3:C440,商品マスタ[[#This Row],[仕入先]],$E$3:E440,商品マスタ[[#This Row],[商品名]]) = 1, 1,0)</f>
        <v/>
      </c>
      <c r="G440" s="133">
        <f>TEXT(SUMIF($C$3:C440,商品マスタ[[#This Row],[仕入先]],$F$3:F440), "0000")</f>
        <v/>
      </c>
      <c r="H440" s="167" t="inlineStr">
        <is>
          <t>袋</t>
        </is>
      </c>
      <c r="I440" s="167" t="inlineStr">
        <is>
          <t>160g</t>
        </is>
      </c>
      <c r="J440" s="167" t="inlineStr">
        <is>
          <t>10袋</t>
        </is>
      </c>
      <c r="K440" s="167" t="n"/>
      <c r="L440" s="289" t="n">
        <v>660</v>
      </c>
      <c r="M440" s="157" t="n"/>
      <c r="N440" s="289" t="n"/>
      <c r="O440" s="290">
        <f>IF(COUNT(商品マスタ[[#This Row],[参考上代
（税込)]]) &gt; 0, (商品マスタ[[#This Row],[参考上代
（税込)]]-商品マスタ[[#This Row],[国内定価
（15％）]])/(商品マスタ[[#This Row],[参考上代
（税込)]]/1.08), "")</f>
        <v/>
      </c>
      <c r="P440" s="136" t="n">
        <v>0.1</v>
      </c>
      <c r="Q440" s="289">
        <f>商品マスタ[[#This Row],[仕入
単価]]*商品マスタ[[#This Row],[標準国内送料率]]</f>
        <v/>
      </c>
      <c r="R440" s="289" t="n">
        <v>0</v>
      </c>
      <c r="S440" s="289">
        <f>IF(ISBLANK(商品マスタ[[#This Row],[実績
国内送料]]),商品マスタ[[#This Row],[標準国内送料]],)</f>
        <v/>
      </c>
      <c r="T440" s="289">
        <f>商品マスタ[[#This Row],[仕入
単価]]+商品マスタ[[#This Row],[国内送料]]</f>
        <v/>
      </c>
      <c r="U440" s="289">
        <f>ROUNDUP(商品マスタ[[#This Row],[仕入単価+国内送料]]/0.8,-1)</f>
        <v/>
      </c>
      <c r="V440" s="289">
        <f>商品マスタ[[#This Row],[海外定価
（20％）]]-商品マスタ[[#This Row],[仕入単価+国内送料]]</f>
        <v/>
      </c>
      <c r="W440" s="167">
        <f>ROUNDUP(商品マスタ[[#This Row],[仕入単価+国内送料]]/0.85,-1)</f>
        <v/>
      </c>
      <c r="X440" s="289">
        <f>商品マスタ[[#This Row],[国内定価
（15％）]]-商品マスタ[[#This Row],[仕入単価+国内送料]]</f>
        <v/>
      </c>
      <c r="Y440" s="139" t="n">
        <v>0.08</v>
      </c>
      <c r="Z440" s="167" t="n"/>
      <c r="AA440" s="167" t="n"/>
      <c r="AB440" s="167" t="n"/>
      <c r="AC440" s="293" t="n"/>
      <c r="AD440" s="167" t="n"/>
      <c r="AE440" s="167" t="n"/>
      <c r="AF440" s="167" t="n"/>
      <c r="AG440" s="144" t="n"/>
    </row>
    <row r="441" ht="18" customHeight="1" s="207">
      <c r="A441" s="166" t="inlineStr">
        <is>
          <t>水産</t>
        </is>
      </c>
      <c r="B441" s="167" t="inlineStr">
        <is>
          <t>水産物</t>
        </is>
      </c>
      <c r="C441" s="167" t="inlineStr">
        <is>
          <t>ヤマニ野口水産</t>
        </is>
      </c>
      <c r="D441" s="143">
        <f>"PRD_SNJ_"&amp;
_xlfn.XLOOKUP(商品マスタ[[#This Row],[仕入先]],テーブル1[仕入先名],テーブル1[仕入先コード],"XXX",0,1)&amp;
"_"&amp;
商品マスタ[[#This Row],[シリアル]]&amp;
"_"&amp;
TEXT(COUNTIFS(商品マスタ!$C$3:C441,商品マスタ[[#This Row],[仕入先]],商品マスタ!$E$3:E441,商品マスタ[[#This Row],[商品名]]), "00")</f>
        <v/>
      </c>
      <c r="E441" s="167" t="inlineStr">
        <is>
          <t>ホッケの燻製（クラフト）</t>
        </is>
      </c>
      <c r="F441" s="167">
        <f>IF(COUNTIFS($C$3:C441,商品マスタ[[#This Row],[仕入先]],$E$3:E441,商品マスタ[[#This Row],[商品名]]) = 1, 1,0)</f>
        <v/>
      </c>
      <c r="G441" s="133">
        <f>TEXT(SUMIF($C$3:C441,商品マスタ[[#This Row],[仕入先]],$F$3:F441), "0000")</f>
        <v/>
      </c>
      <c r="H441" s="167" t="inlineStr">
        <is>
          <t>袋</t>
        </is>
      </c>
      <c r="I441" s="167" t="inlineStr">
        <is>
          <t>140g</t>
        </is>
      </c>
      <c r="J441" s="167" t="inlineStr">
        <is>
          <t>10袋</t>
        </is>
      </c>
      <c r="K441" s="167" t="n"/>
      <c r="L441" s="289" t="n">
        <v>660</v>
      </c>
      <c r="M441" s="157" t="n"/>
      <c r="N441" s="289" t="n"/>
      <c r="O441" s="290">
        <f>IF(COUNT(商品マスタ[[#This Row],[参考上代
（税込)]]) &gt; 0, (商品マスタ[[#This Row],[参考上代
（税込)]]-商品マスタ[[#This Row],[国内定価
（15％）]])/(商品マスタ[[#This Row],[参考上代
（税込)]]/1.08), "")</f>
        <v/>
      </c>
      <c r="P441" s="136" t="n">
        <v>0.1</v>
      </c>
      <c r="Q441" s="289">
        <f>商品マスタ[[#This Row],[仕入
単価]]*商品マスタ[[#This Row],[標準国内送料率]]</f>
        <v/>
      </c>
      <c r="R441" s="289" t="n">
        <v>0</v>
      </c>
      <c r="S441" s="289">
        <f>IF(ISBLANK(商品マスタ[[#This Row],[実績
国内送料]]),商品マスタ[[#This Row],[標準国内送料]],)</f>
        <v/>
      </c>
      <c r="T441" s="289">
        <f>商品マスタ[[#This Row],[仕入
単価]]+商品マスタ[[#This Row],[国内送料]]</f>
        <v/>
      </c>
      <c r="U441" s="289">
        <f>ROUNDUP(商品マスタ[[#This Row],[仕入単価+国内送料]]/0.8,-1)</f>
        <v/>
      </c>
      <c r="V441" s="289">
        <f>商品マスタ[[#This Row],[海外定価
（20％）]]-商品マスタ[[#This Row],[仕入単価+国内送料]]</f>
        <v/>
      </c>
      <c r="W441" s="167">
        <f>ROUNDUP(商品マスタ[[#This Row],[仕入単価+国内送料]]/0.85,-1)</f>
        <v/>
      </c>
      <c r="X441" s="289">
        <f>商品マスタ[[#This Row],[国内定価
（15％）]]-商品マスタ[[#This Row],[仕入単価+国内送料]]</f>
        <v/>
      </c>
      <c r="Y441" s="139" t="n">
        <v>0.08</v>
      </c>
      <c r="Z441" s="167" t="n"/>
      <c r="AA441" s="167" t="n"/>
      <c r="AB441" s="167" t="n"/>
      <c r="AC441" s="293" t="n"/>
      <c r="AD441" s="167" t="n"/>
      <c r="AE441" s="167" t="n"/>
      <c r="AF441" s="167" t="n"/>
      <c r="AG441" s="144" t="n"/>
    </row>
    <row r="442" ht="18" customHeight="1" s="207">
      <c r="A442" s="166" t="inlineStr">
        <is>
          <t>水産</t>
        </is>
      </c>
      <c r="B442" s="167" t="inlineStr">
        <is>
          <t>水産物</t>
        </is>
      </c>
      <c r="C442" s="167" t="inlineStr">
        <is>
          <t>ヤマニ野口水産</t>
        </is>
      </c>
      <c r="D442" s="143">
        <f>"PRD_SNJ_"&amp;
_xlfn.XLOOKUP(商品マスタ[[#This Row],[仕入先]],テーブル1[仕入先名],テーブル1[仕入先コード],"XXX",0,1)&amp;
"_"&amp;
商品マスタ[[#This Row],[シリアル]]&amp;
"_"&amp;
TEXT(COUNTIFS(商品マスタ!$C$3:C442,商品マスタ[[#This Row],[仕入先]],商品マスタ!$E$3:E442,商品マスタ[[#This Row],[商品名]]), "00")</f>
        <v/>
      </c>
      <c r="E442" s="167" t="inlineStr">
        <is>
          <t>にしん本燻</t>
        </is>
      </c>
      <c r="F442" s="167">
        <f>IF(COUNTIFS($C$3:C442,商品マスタ[[#This Row],[仕入先]],$E$3:E442,商品マスタ[[#This Row],[商品名]]) = 1, 1,0)</f>
        <v/>
      </c>
      <c r="G442" s="133">
        <f>TEXT(SUMIF($C$3:C442,商品マスタ[[#This Row],[仕入先]],$F$3:F442), "0000")</f>
        <v/>
      </c>
      <c r="H442" s="167" t="inlineStr">
        <is>
          <t>袋</t>
        </is>
      </c>
      <c r="I442" s="167" t="inlineStr">
        <is>
          <t>200g</t>
        </is>
      </c>
      <c r="J442" s="167" t="inlineStr">
        <is>
          <t>10袋</t>
        </is>
      </c>
      <c r="K442" s="167" t="n"/>
      <c r="L442" s="289" t="n">
        <v>700</v>
      </c>
      <c r="M442" s="157" t="n"/>
      <c r="N442" s="289" t="n"/>
      <c r="O442" s="290">
        <f>IF(COUNT(商品マスタ[[#This Row],[参考上代
（税込)]]) &gt; 0, (商品マスタ[[#This Row],[参考上代
（税込)]]-商品マスタ[[#This Row],[国内定価
（15％）]])/(商品マスタ[[#This Row],[参考上代
（税込)]]/1.08), "")</f>
        <v/>
      </c>
      <c r="P442" s="136" t="n">
        <v>0.1</v>
      </c>
      <c r="Q442" s="289">
        <f>商品マスタ[[#This Row],[仕入
単価]]*商品マスタ[[#This Row],[標準国内送料率]]</f>
        <v/>
      </c>
      <c r="R442" s="289" t="n">
        <v>0</v>
      </c>
      <c r="S442" s="289">
        <f>IF(ISBLANK(商品マスタ[[#This Row],[実績
国内送料]]),商品マスタ[[#This Row],[標準国内送料]],)</f>
        <v/>
      </c>
      <c r="T442" s="289">
        <f>商品マスタ[[#This Row],[仕入
単価]]+商品マスタ[[#This Row],[国内送料]]</f>
        <v/>
      </c>
      <c r="U442" s="289">
        <f>ROUNDUP(商品マスタ[[#This Row],[仕入単価+国内送料]]/0.8,-1)</f>
        <v/>
      </c>
      <c r="V442" s="289">
        <f>商品マスタ[[#This Row],[海外定価
（20％）]]-商品マスタ[[#This Row],[仕入単価+国内送料]]</f>
        <v/>
      </c>
      <c r="W442" s="167">
        <f>ROUNDUP(商品マスタ[[#This Row],[仕入単価+国内送料]]/0.85,-1)</f>
        <v/>
      </c>
      <c r="X442" s="289">
        <f>商品マスタ[[#This Row],[国内定価
（15％）]]-商品マスタ[[#This Row],[仕入単価+国内送料]]</f>
        <v/>
      </c>
      <c r="Y442" s="139" t="n">
        <v>0.08</v>
      </c>
      <c r="Z442" s="167" t="n"/>
      <c r="AA442" s="167" t="n"/>
      <c r="AB442" s="167" t="n"/>
      <c r="AC442" s="293" t="n"/>
      <c r="AD442" s="167" t="n"/>
      <c r="AE442" s="167" t="n"/>
      <c r="AF442" s="167" t="n"/>
      <c r="AG442" s="144" t="n"/>
    </row>
    <row r="443" ht="18" customHeight="1" s="207">
      <c r="A443" s="166" t="inlineStr">
        <is>
          <t>水産</t>
        </is>
      </c>
      <c r="B443" s="167" t="inlineStr">
        <is>
          <t>水産物</t>
        </is>
      </c>
      <c r="C443" s="167" t="inlineStr">
        <is>
          <t>ヤマニ野口水産</t>
        </is>
      </c>
      <c r="D443" s="143">
        <f>"PRD_SNJ_"&amp;
_xlfn.XLOOKUP(商品マスタ[[#This Row],[仕入先]],テーブル1[仕入先名],テーブル1[仕入先コード],"XXX",0,1)&amp;
"_"&amp;
商品マスタ[[#This Row],[シリアル]]&amp;
"_"&amp;
TEXT(COUNTIFS(商品マスタ!$C$3:C443,商品マスタ[[#This Row],[仕入先]],商品マスタ!$E$3:E443,商品マスタ[[#This Row],[商品名]]), "00")</f>
        <v/>
      </c>
      <c r="E443" s="167" t="inlineStr">
        <is>
          <t>にしん燻製一口サイズ（やん衆）</t>
        </is>
      </c>
      <c r="F443" s="167">
        <f>IF(COUNTIFS($C$3:C443,商品マスタ[[#This Row],[仕入先]],$E$3:E443,商品マスタ[[#This Row],[商品名]]) = 1, 1,0)</f>
        <v/>
      </c>
      <c r="G443" s="133">
        <f>TEXT(SUMIF($C$3:C443,商品マスタ[[#This Row],[仕入先]],$F$3:F443), "0000")</f>
        <v/>
      </c>
      <c r="H443" s="167" t="inlineStr">
        <is>
          <t>袋</t>
        </is>
      </c>
      <c r="I443" s="167" t="inlineStr">
        <is>
          <t>100g</t>
        </is>
      </c>
      <c r="J443" s="167" t="inlineStr">
        <is>
          <t>10袋</t>
        </is>
      </c>
      <c r="K443" s="167" t="n"/>
      <c r="L443" s="289" t="n">
        <v>440</v>
      </c>
      <c r="M443" s="157" t="n"/>
      <c r="N443" s="289" t="n"/>
      <c r="O443" s="290">
        <f>IF(COUNT(商品マスタ[[#This Row],[参考上代
（税込)]]) &gt; 0, (商品マスタ[[#This Row],[参考上代
（税込)]]-商品マスタ[[#This Row],[国内定価
（15％）]])/(商品マスタ[[#This Row],[参考上代
（税込)]]/1.08), "")</f>
        <v/>
      </c>
      <c r="P443" s="136" t="n">
        <v>0.1</v>
      </c>
      <c r="Q443" s="289">
        <f>商品マスタ[[#This Row],[仕入
単価]]*商品マスタ[[#This Row],[標準国内送料率]]</f>
        <v/>
      </c>
      <c r="R443" s="289" t="n">
        <v>0</v>
      </c>
      <c r="S443" s="289">
        <f>IF(ISBLANK(商品マスタ[[#This Row],[実績
国内送料]]),商品マスタ[[#This Row],[標準国内送料]],)</f>
        <v/>
      </c>
      <c r="T443" s="289">
        <f>商品マスタ[[#This Row],[仕入
単価]]+商品マスタ[[#This Row],[国内送料]]</f>
        <v/>
      </c>
      <c r="U443" s="289">
        <f>ROUNDUP(商品マスタ[[#This Row],[仕入単価+国内送料]]/0.8,-1)</f>
        <v/>
      </c>
      <c r="V443" s="289">
        <f>商品マスタ[[#This Row],[海外定価
（20％）]]-商品マスタ[[#This Row],[仕入単価+国内送料]]</f>
        <v/>
      </c>
      <c r="W443" s="167">
        <f>ROUNDUP(商品マスタ[[#This Row],[仕入単価+国内送料]]/0.85,-1)</f>
        <v/>
      </c>
      <c r="X443" s="289">
        <f>商品マスタ[[#This Row],[国内定価
（15％）]]-商品マスタ[[#This Row],[仕入単価+国内送料]]</f>
        <v/>
      </c>
      <c r="Y443" s="139" t="n">
        <v>0.08</v>
      </c>
      <c r="Z443" s="167" t="n"/>
      <c r="AA443" s="167" t="n"/>
      <c r="AB443" s="167" t="n"/>
      <c r="AC443" s="293" t="n"/>
      <c r="AD443" s="167" t="n"/>
      <c r="AE443" s="167" t="n"/>
      <c r="AF443" s="167" t="n"/>
      <c r="AG443" s="144" t="n"/>
    </row>
    <row r="444" ht="18" customHeight="1" s="207">
      <c r="A444" s="166" t="inlineStr">
        <is>
          <t>水産</t>
        </is>
      </c>
      <c r="B444" s="167" t="inlineStr">
        <is>
          <t>水産物</t>
        </is>
      </c>
      <c r="C444" s="167" t="inlineStr">
        <is>
          <t>ヤマニ野口水産</t>
        </is>
      </c>
      <c r="D444" s="143">
        <f>"PRD_SNJ_"&amp;
_xlfn.XLOOKUP(商品マスタ[[#This Row],[仕入先]],テーブル1[仕入先名],テーブル1[仕入先コード],"XXX",0,1)&amp;
"_"&amp;
商品マスタ[[#This Row],[シリアル]]&amp;
"_"&amp;
TEXT(COUNTIFS(商品マスタ!$C$3:C444,商品マスタ[[#This Row],[仕入先]],商品マスタ!$E$3:E444,商品マスタ[[#This Row],[商品名]]), "00")</f>
        <v/>
      </c>
      <c r="E444" s="167" t="inlineStr">
        <is>
          <t>にしん燻製一口サイズ（やん衆）</t>
        </is>
      </c>
      <c r="F444" s="167">
        <f>IF(COUNTIFS($C$3:C444,商品マスタ[[#This Row],[仕入先]],$E$3:E444,商品マスタ[[#This Row],[商品名]]) = 1, 1,0)</f>
        <v/>
      </c>
      <c r="G444" s="133">
        <f>TEXT(SUMIF($C$3:C444,商品マスタ[[#This Row],[仕入先]],$F$3:F444), "0000")</f>
        <v/>
      </c>
      <c r="H444" s="167" t="inlineStr">
        <is>
          <t>袋</t>
        </is>
      </c>
      <c r="I444" s="167" t="inlineStr">
        <is>
          <t>50g</t>
        </is>
      </c>
      <c r="J444" s="167" t="inlineStr">
        <is>
          <t>10袋</t>
        </is>
      </c>
      <c r="K444" s="167" t="n"/>
      <c r="L444" s="289" t="n">
        <v>280</v>
      </c>
      <c r="M444" s="157" t="n"/>
      <c r="N444" s="289" t="n"/>
      <c r="O444" s="290">
        <f>IF(COUNT(商品マスタ[[#This Row],[参考上代
（税込)]]) &gt; 0, (商品マスタ[[#This Row],[参考上代
（税込)]]-商品マスタ[[#This Row],[国内定価
（15％）]])/(商品マスタ[[#This Row],[参考上代
（税込)]]/1.08), "")</f>
        <v/>
      </c>
      <c r="P444" s="136" t="n">
        <v>0.1</v>
      </c>
      <c r="Q444" s="289">
        <f>商品マスタ[[#This Row],[仕入
単価]]*商品マスタ[[#This Row],[標準国内送料率]]</f>
        <v/>
      </c>
      <c r="R444" s="289" t="n">
        <v>0</v>
      </c>
      <c r="S444" s="289">
        <f>IF(ISBLANK(商品マスタ[[#This Row],[実績
国内送料]]),商品マスタ[[#This Row],[標準国内送料]],)</f>
        <v/>
      </c>
      <c r="T444" s="289">
        <f>商品マスタ[[#This Row],[仕入
単価]]+商品マスタ[[#This Row],[国内送料]]</f>
        <v/>
      </c>
      <c r="U444" s="289">
        <f>ROUNDUP(商品マスタ[[#This Row],[仕入単価+国内送料]]/0.8,-1)</f>
        <v/>
      </c>
      <c r="V444" s="289">
        <f>商品マスタ[[#This Row],[海外定価
（20％）]]-商品マスタ[[#This Row],[仕入単価+国内送料]]</f>
        <v/>
      </c>
      <c r="W444" s="167">
        <f>ROUNDUP(商品マスタ[[#This Row],[仕入単価+国内送料]]/0.85,-1)</f>
        <v/>
      </c>
      <c r="X444" s="289">
        <f>商品マスタ[[#This Row],[国内定価
（15％）]]-商品マスタ[[#This Row],[仕入単価+国内送料]]</f>
        <v/>
      </c>
      <c r="Y444" s="139" t="n">
        <v>0.08</v>
      </c>
      <c r="Z444" s="167" t="n"/>
      <c r="AA444" s="167" t="n"/>
      <c r="AB444" s="167" t="n"/>
      <c r="AC444" s="293" t="n"/>
      <c r="AD444" s="167" t="n"/>
      <c r="AE444" s="167" t="n"/>
      <c r="AF444" s="167" t="n"/>
      <c r="AG444" s="144" t="n"/>
    </row>
    <row r="445" ht="18" customHeight="1" s="207">
      <c r="A445" s="166" t="inlineStr">
        <is>
          <t>水産</t>
        </is>
      </c>
      <c r="B445" s="167" t="inlineStr">
        <is>
          <t>水産物</t>
        </is>
      </c>
      <c r="C445" s="167" t="inlineStr">
        <is>
          <t>ヤマニ野口水産</t>
        </is>
      </c>
      <c r="D445" s="143">
        <f>"PRD_SNJ_"&amp;
_xlfn.XLOOKUP(商品マスタ[[#This Row],[仕入先]],テーブル1[仕入先名],テーブル1[仕入先コード],"XXX",0,1)&amp;
"_"&amp;
商品マスタ[[#This Row],[シリアル]]&amp;
"_"&amp;
TEXT(COUNTIFS(商品マスタ!$C$3:C445,商品マスタ[[#This Row],[仕入先]],商品マスタ!$E$3:E445,商品マスタ[[#This Row],[商品名]]), "00")</f>
        <v/>
      </c>
      <c r="E445" s="167" t="inlineStr">
        <is>
          <t>こぼれ数の子燻製</t>
        </is>
      </c>
      <c r="F445" s="167">
        <f>IF(COUNTIFS($C$3:C445,商品マスタ[[#This Row],[仕入先]],$E$3:E445,商品マスタ[[#This Row],[商品名]]) = 1, 1,0)</f>
        <v/>
      </c>
      <c r="G445" s="133">
        <f>TEXT(SUMIF($C$3:C445,商品マスタ[[#This Row],[仕入先]],$F$3:F445), "0000")</f>
        <v/>
      </c>
      <c r="H445" s="167" t="inlineStr">
        <is>
          <t>袋</t>
        </is>
      </c>
      <c r="I445" s="167" t="inlineStr">
        <is>
          <t>20g</t>
        </is>
      </c>
      <c r="J445" s="167" t="inlineStr">
        <is>
          <t>10袋</t>
        </is>
      </c>
      <c r="K445" s="167" t="n"/>
      <c r="L445" s="289" t="n">
        <v>320</v>
      </c>
      <c r="M445" s="157" t="n"/>
      <c r="N445" s="289" t="n"/>
      <c r="O445" s="290">
        <f>IF(COUNT(商品マスタ[[#This Row],[参考上代
（税込)]]) &gt; 0, (商品マスタ[[#This Row],[参考上代
（税込)]]-商品マスタ[[#This Row],[国内定価
（15％）]])/(商品マスタ[[#This Row],[参考上代
（税込)]]/1.08), "")</f>
        <v/>
      </c>
      <c r="P445" s="136" t="n">
        <v>0.1</v>
      </c>
      <c r="Q445" s="289">
        <f>商品マスタ[[#This Row],[仕入
単価]]*商品マスタ[[#This Row],[標準国内送料率]]</f>
        <v/>
      </c>
      <c r="R445" s="289" t="n">
        <v>0</v>
      </c>
      <c r="S445" s="289">
        <f>IF(ISBLANK(商品マスタ[[#This Row],[実績
国内送料]]),商品マスタ[[#This Row],[標準国内送料]],)</f>
        <v/>
      </c>
      <c r="T445" s="289">
        <f>商品マスタ[[#This Row],[仕入
単価]]+商品マスタ[[#This Row],[国内送料]]</f>
        <v/>
      </c>
      <c r="U445" s="289">
        <f>ROUNDUP(商品マスタ[[#This Row],[仕入単価+国内送料]]/0.8,-1)</f>
        <v/>
      </c>
      <c r="V445" s="289">
        <f>商品マスタ[[#This Row],[海外定価
（20％）]]-商品マスタ[[#This Row],[仕入単価+国内送料]]</f>
        <v/>
      </c>
      <c r="W445" s="167">
        <f>ROUNDUP(商品マスタ[[#This Row],[仕入単価+国内送料]]/0.85,-1)</f>
        <v/>
      </c>
      <c r="X445" s="289">
        <f>商品マスタ[[#This Row],[国内定価
（15％）]]-商品マスタ[[#This Row],[仕入単価+国内送料]]</f>
        <v/>
      </c>
      <c r="Y445" s="139" t="n">
        <v>0.08</v>
      </c>
      <c r="Z445" s="167" t="n"/>
      <c r="AA445" s="167" t="n"/>
      <c r="AB445" s="167" t="n"/>
      <c r="AC445" s="293" t="n"/>
      <c r="AD445" s="167" t="n"/>
      <c r="AE445" s="167" t="n"/>
      <c r="AF445" s="167" t="n"/>
      <c r="AG445" s="144" t="n"/>
    </row>
    <row r="446" ht="18" customHeight="1" s="207">
      <c r="A446" s="166" t="inlineStr">
        <is>
          <t>水産</t>
        </is>
      </c>
      <c r="B446" s="167" t="inlineStr">
        <is>
          <t>水産物</t>
        </is>
      </c>
      <c r="C446" s="167" t="inlineStr">
        <is>
          <t>ヤマニ野口水産</t>
        </is>
      </c>
      <c r="D446" s="143">
        <f>"PRD_SNJ_"&amp;
_xlfn.XLOOKUP(商品マスタ[[#This Row],[仕入先]],テーブル1[仕入先名],テーブル1[仕入先コード],"XXX",0,1)&amp;
"_"&amp;
商品マスタ[[#This Row],[シリアル]]&amp;
"_"&amp;
TEXT(COUNTIFS(商品マスタ!$C$3:C446,商品マスタ[[#This Row],[仕入先]],商品マスタ!$E$3:E446,商品マスタ[[#This Row],[商品名]]), "00")</f>
        <v/>
      </c>
      <c r="E446" s="167" t="inlineStr">
        <is>
          <t>鮭皮チップス プレーン</t>
        </is>
      </c>
      <c r="F446" s="167">
        <f>IF(COUNTIFS($C$3:C446,商品マスタ[[#This Row],[仕入先]],$E$3:E446,商品マスタ[[#This Row],[商品名]]) = 1, 1,0)</f>
        <v/>
      </c>
      <c r="G446" s="133">
        <f>TEXT(SUMIF($C$3:C446,商品マスタ[[#This Row],[仕入先]],$F$3:F446), "0000")</f>
        <v/>
      </c>
      <c r="H446" s="167" t="inlineStr">
        <is>
          <t>袋</t>
        </is>
      </c>
      <c r="I446" s="167" t="inlineStr">
        <is>
          <t>27g</t>
        </is>
      </c>
      <c r="J446" s="167" t="inlineStr">
        <is>
          <t>10袋</t>
        </is>
      </c>
      <c r="K446" s="167" t="n"/>
      <c r="L446" s="289" t="n">
        <v>310</v>
      </c>
      <c r="M446" s="157" t="n"/>
      <c r="N446" s="289" t="n"/>
      <c r="O446" s="290">
        <f>IF(COUNT(商品マスタ[[#This Row],[参考上代
（税込)]]) &gt; 0, (商品マスタ[[#This Row],[参考上代
（税込)]]-商品マスタ[[#This Row],[国内定価
（15％）]])/(商品マスタ[[#This Row],[参考上代
（税込)]]/1.08), "")</f>
        <v/>
      </c>
      <c r="P446" s="136" t="n">
        <v>0.1</v>
      </c>
      <c r="Q446" s="289">
        <f>商品マスタ[[#This Row],[仕入
単価]]*商品マスタ[[#This Row],[標準国内送料率]]</f>
        <v/>
      </c>
      <c r="R446" s="289" t="n">
        <v>0</v>
      </c>
      <c r="S446" s="289">
        <f>IF(ISBLANK(商品マスタ[[#This Row],[実績
国内送料]]),商品マスタ[[#This Row],[標準国内送料]],)</f>
        <v/>
      </c>
      <c r="T446" s="289">
        <f>商品マスタ[[#This Row],[仕入
単価]]+商品マスタ[[#This Row],[国内送料]]</f>
        <v/>
      </c>
      <c r="U446" s="289">
        <f>ROUNDUP(商品マスタ[[#This Row],[仕入単価+国内送料]]/0.8,-1)</f>
        <v/>
      </c>
      <c r="V446" s="289">
        <f>商品マスタ[[#This Row],[海外定価
（20％）]]-商品マスタ[[#This Row],[仕入単価+国内送料]]</f>
        <v/>
      </c>
      <c r="W446" s="167">
        <f>ROUNDUP(商品マスタ[[#This Row],[仕入単価+国内送料]]/0.85,-1)</f>
        <v/>
      </c>
      <c r="X446" s="289">
        <f>商品マスタ[[#This Row],[国内定価
（15％）]]-商品マスタ[[#This Row],[仕入単価+国内送料]]</f>
        <v/>
      </c>
      <c r="Y446" s="139" t="n">
        <v>0.08</v>
      </c>
      <c r="Z446" s="167" t="n"/>
      <c r="AA446" s="167" t="n"/>
      <c r="AB446" s="167" t="n"/>
      <c r="AC446" s="293" t="n"/>
      <c r="AD446" s="167" t="n"/>
      <c r="AE446" s="167" t="n"/>
      <c r="AF446" s="167" t="n"/>
      <c r="AG446" s="144" t="n"/>
    </row>
    <row r="447" ht="18" customHeight="1" s="207">
      <c r="A447" s="166" t="inlineStr">
        <is>
          <t>水産</t>
        </is>
      </c>
      <c r="B447" s="167" t="inlineStr">
        <is>
          <t>水産物</t>
        </is>
      </c>
      <c r="C447" s="167" t="inlineStr">
        <is>
          <t>ヤマニ野口水産</t>
        </is>
      </c>
      <c r="D447" s="143">
        <f>"PRD_SNJ_"&amp;
_xlfn.XLOOKUP(商品マスタ[[#This Row],[仕入先]],テーブル1[仕入先名],テーブル1[仕入先コード],"XXX",0,1)&amp;
"_"&amp;
商品マスタ[[#This Row],[シリアル]]&amp;
"_"&amp;
TEXT(COUNTIFS(商品マスタ!$C$3:C447,商品マスタ[[#This Row],[仕入先]],商品マスタ!$E$3:E447,商品マスタ[[#This Row],[商品名]]), "00")</f>
        <v/>
      </c>
      <c r="E447" s="167" t="inlineStr">
        <is>
          <t>鮭皮チップス ブラックペッパー</t>
        </is>
      </c>
      <c r="F447" s="167">
        <f>IF(COUNTIFS($C$3:C447,商品マスタ[[#This Row],[仕入先]],$E$3:E447,商品マスタ[[#This Row],[商品名]]) = 1, 1,0)</f>
        <v/>
      </c>
      <c r="G447" s="133">
        <f>TEXT(SUMIF($C$3:C447,商品マスタ[[#This Row],[仕入先]],$F$3:F447), "0000")</f>
        <v/>
      </c>
      <c r="H447" s="167" t="inlineStr">
        <is>
          <t>袋</t>
        </is>
      </c>
      <c r="I447" s="167" t="inlineStr">
        <is>
          <t>27g</t>
        </is>
      </c>
      <c r="J447" s="167" t="inlineStr">
        <is>
          <t>10袋</t>
        </is>
      </c>
      <c r="K447" s="167" t="n"/>
      <c r="L447" s="289" t="n">
        <v>310</v>
      </c>
      <c r="M447" s="157" t="n"/>
      <c r="N447" s="289" t="n"/>
      <c r="O447" s="290">
        <f>IF(COUNT(商品マスタ[[#This Row],[参考上代
（税込)]]) &gt; 0, (商品マスタ[[#This Row],[参考上代
（税込)]]-商品マスタ[[#This Row],[国内定価
（15％）]])/(商品マスタ[[#This Row],[参考上代
（税込)]]/1.08), "")</f>
        <v/>
      </c>
      <c r="P447" s="136" t="n">
        <v>0.1</v>
      </c>
      <c r="Q447" s="289">
        <f>商品マスタ[[#This Row],[仕入
単価]]*商品マスタ[[#This Row],[標準国内送料率]]</f>
        <v/>
      </c>
      <c r="R447" s="289" t="n">
        <v>0</v>
      </c>
      <c r="S447" s="289">
        <f>IF(ISBLANK(商品マスタ[[#This Row],[実績
国内送料]]),商品マスタ[[#This Row],[標準国内送料]],)</f>
        <v/>
      </c>
      <c r="T447" s="289">
        <f>商品マスタ[[#This Row],[仕入
単価]]+商品マスタ[[#This Row],[国内送料]]</f>
        <v/>
      </c>
      <c r="U447" s="289">
        <f>ROUNDUP(商品マスタ[[#This Row],[仕入単価+国内送料]]/0.8,-1)</f>
        <v/>
      </c>
      <c r="V447" s="289">
        <f>商品マスタ[[#This Row],[海外定価
（20％）]]-商品マスタ[[#This Row],[仕入単価+国内送料]]</f>
        <v/>
      </c>
      <c r="W447" s="167">
        <f>ROUNDUP(商品マスタ[[#This Row],[仕入単価+国内送料]]/0.85,-1)</f>
        <v/>
      </c>
      <c r="X447" s="289">
        <f>商品マスタ[[#This Row],[国内定価
（15％）]]-商品マスタ[[#This Row],[仕入単価+国内送料]]</f>
        <v/>
      </c>
      <c r="Y447" s="139" t="n">
        <v>0.08</v>
      </c>
      <c r="Z447" s="167" t="n"/>
      <c r="AA447" s="167" t="n"/>
      <c r="AB447" s="167" t="n"/>
      <c r="AC447" s="293" t="n"/>
      <c r="AD447" s="167" t="n"/>
      <c r="AE447" s="167" t="n"/>
      <c r="AF447" s="167" t="n"/>
      <c r="AG447" s="144" t="n"/>
    </row>
    <row r="448" ht="18" customHeight="1" s="207">
      <c r="A448" s="166" t="inlineStr">
        <is>
          <t>水産</t>
        </is>
      </c>
      <c r="B448" s="167" t="inlineStr">
        <is>
          <t>水産物</t>
        </is>
      </c>
      <c r="C448" s="167" t="inlineStr">
        <is>
          <t>ヤマニ野口水産</t>
        </is>
      </c>
      <c r="D448" s="143">
        <f>"PRD_SNJ_"&amp;
_xlfn.XLOOKUP(商品マスタ[[#This Row],[仕入先]],テーブル1[仕入先名],テーブル1[仕入先コード],"XXX",0,1)&amp;
"_"&amp;
商品マスタ[[#This Row],[シリアル]]&amp;
"_"&amp;
TEXT(COUNTIFS(商品マスタ!$C$3:C448,商品マスタ[[#This Row],[仕入先]],商品マスタ!$E$3:E448,商品マスタ[[#This Row],[商品名]]), "00")</f>
        <v/>
      </c>
      <c r="E448" s="167" t="inlineStr">
        <is>
          <t>鮭皮チップス ハラス</t>
        </is>
      </c>
      <c r="F448" s="167">
        <f>IF(COUNTIFS($C$3:C448,商品マスタ[[#This Row],[仕入先]],$E$3:E448,商品マスタ[[#This Row],[商品名]]) = 1, 1,0)</f>
        <v/>
      </c>
      <c r="G448" s="133">
        <f>TEXT(SUMIF($C$3:C448,商品マスタ[[#This Row],[仕入先]],$F$3:F448), "0000")</f>
        <v/>
      </c>
      <c r="H448" s="167" t="inlineStr">
        <is>
          <t>袋</t>
        </is>
      </c>
      <c r="I448" s="167" t="inlineStr">
        <is>
          <t>20g</t>
        </is>
      </c>
      <c r="J448" s="167" t="inlineStr">
        <is>
          <t>10袋</t>
        </is>
      </c>
      <c r="K448" s="167" t="n"/>
      <c r="L448" s="289" t="n">
        <v>310</v>
      </c>
      <c r="M448" s="157" t="n"/>
      <c r="N448" s="289" t="n"/>
      <c r="O448" s="290">
        <f>IF(COUNT(商品マスタ[[#This Row],[参考上代
（税込)]]) &gt; 0, (商品マスタ[[#This Row],[参考上代
（税込)]]-商品マスタ[[#This Row],[国内定価
（15％）]])/(商品マスタ[[#This Row],[参考上代
（税込)]]/1.08), "")</f>
        <v/>
      </c>
      <c r="P448" s="136" t="n">
        <v>0.1</v>
      </c>
      <c r="Q448" s="289">
        <f>商品マスタ[[#This Row],[仕入
単価]]*商品マスタ[[#This Row],[標準国内送料率]]</f>
        <v/>
      </c>
      <c r="R448" s="289" t="n">
        <v>0</v>
      </c>
      <c r="S448" s="289">
        <f>IF(ISBLANK(商品マスタ[[#This Row],[実績
国内送料]]),商品マスタ[[#This Row],[標準国内送料]],)</f>
        <v/>
      </c>
      <c r="T448" s="289">
        <f>商品マスタ[[#This Row],[仕入
単価]]+商品マスタ[[#This Row],[国内送料]]</f>
        <v/>
      </c>
      <c r="U448" s="289">
        <f>ROUNDUP(商品マスタ[[#This Row],[仕入単価+国内送料]]/0.8,-1)</f>
        <v/>
      </c>
      <c r="V448" s="289">
        <f>商品マスタ[[#This Row],[海外定価
（20％）]]-商品マスタ[[#This Row],[仕入単価+国内送料]]</f>
        <v/>
      </c>
      <c r="W448" s="167">
        <f>ROUNDUP(商品マスタ[[#This Row],[仕入単価+国内送料]]/0.85,-1)</f>
        <v/>
      </c>
      <c r="X448" s="289">
        <f>商品マスタ[[#This Row],[国内定価
（15％）]]-商品マスタ[[#This Row],[仕入単価+国内送料]]</f>
        <v/>
      </c>
      <c r="Y448" s="139" t="n">
        <v>0.08</v>
      </c>
      <c r="Z448" s="167" t="n"/>
      <c r="AA448" s="167" t="n"/>
      <c r="AB448" s="167" t="n"/>
      <c r="AC448" s="293" t="n"/>
      <c r="AD448" s="167" t="n"/>
      <c r="AE448" s="167" t="n"/>
      <c r="AF448" s="167" t="n"/>
      <c r="AG448" s="144" t="n"/>
    </row>
    <row r="449" ht="18" customHeight="1" s="207">
      <c r="A449" s="166" t="inlineStr">
        <is>
          <t>水産</t>
        </is>
      </c>
      <c r="B449" s="167" t="inlineStr">
        <is>
          <t>水産物</t>
        </is>
      </c>
      <c r="C449" s="167" t="inlineStr">
        <is>
          <t>ヤマニ野口水産</t>
        </is>
      </c>
      <c r="D449" s="143">
        <f>"PRD_SNJ_"&amp;
_xlfn.XLOOKUP(商品マスタ[[#This Row],[仕入先]],テーブル1[仕入先名],テーブル1[仕入先コード],"XXX",0,1)&amp;
"_"&amp;
商品マスタ[[#This Row],[シリアル]]&amp;
"_"&amp;
TEXT(COUNTIFS(商品マスタ!$C$3:C449,商品マスタ[[#This Row],[仕入先]],商品マスタ!$E$3:E449,商品マスタ[[#This Row],[商品名]]), "00")</f>
        <v/>
      </c>
      <c r="E449" s="167" t="inlineStr">
        <is>
          <t>たら皮チップス プレーン</t>
        </is>
      </c>
      <c r="F449" s="167">
        <f>IF(COUNTIFS($C$3:C449,商品マスタ[[#This Row],[仕入先]],$E$3:E449,商品マスタ[[#This Row],[商品名]]) = 1, 1,0)</f>
        <v/>
      </c>
      <c r="G449" s="133">
        <f>TEXT(SUMIF($C$3:C449,商品マスタ[[#This Row],[仕入先]],$F$3:F449), "0000")</f>
        <v/>
      </c>
      <c r="H449" s="167" t="inlineStr">
        <is>
          <t>袋</t>
        </is>
      </c>
      <c r="I449" s="167" t="inlineStr">
        <is>
          <t>15g</t>
        </is>
      </c>
      <c r="J449" s="167" t="inlineStr">
        <is>
          <t>10袋</t>
        </is>
      </c>
      <c r="K449" s="167" t="n"/>
      <c r="L449" s="289" t="n">
        <v>260</v>
      </c>
      <c r="M449" s="157" t="n"/>
      <c r="N449" s="289" t="n"/>
      <c r="O449" s="290">
        <f>IF(COUNT(商品マスタ[[#This Row],[参考上代
（税込)]]) &gt; 0, (商品マスタ[[#This Row],[参考上代
（税込)]]-商品マスタ[[#This Row],[国内定価
（15％）]])/(商品マスタ[[#This Row],[参考上代
（税込)]]/1.08), "")</f>
        <v/>
      </c>
      <c r="P449" s="136" t="n">
        <v>0.1</v>
      </c>
      <c r="Q449" s="289">
        <f>商品マスタ[[#This Row],[仕入
単価]]*商品マスタ[[#This Row],[標準国内送料率]]</f>
        <v/>
      </c>
      <c r="R449" s="289" t="n">
        <v>0</v>
      </c>
      <c r="S449" s="289">
        <f>IF(ISBLANK(商品マスタ[[#This Row],[実績
国内送料]]),商品マスタ[[#This Row],[標準国内送料]],)</f>
        <v/>
      </c>
      <c r="T449" s="289">
        <f>商品マスタ[[#This Row],[仕入
単価]]+商品マスタ[[#This Row],[国内送料]]</f>
        <v/>
      </c>
      <c r="U449" s="289">
        <f>ROUNDUP(商品マスタ[[#This Row],[仕入単価+国内送料]]/0.8,-1)</f>
        <v/>
      </c>
      <c r="V449" s="289">
        <f>商品マスタ[[#This Row],[海外定価
（20％）]]-商品マスタ[[#This Row],[仕入単価+国内送料]]</f>
        <v/>
      </c>
      <c r="W449" s="167">
        <f>ROUNDUP(商品マスタ[[#This Row],[仕入単価+国内送料]]/0.85,-1)</f>
        <v/>
      </c>
      <c r="X449" s="289">
        <f>商品マスタ[[#This Row],[国内定価
（15％）]]-商品マスタ[[#This Row],[仕入単価+国内送料]]</f>
        <v/>
      </c>
      <c r="Y449" s="139" t="n">
        <v>0.08</v>
      </c>
      <c r="Z449" s="167" t="n"/>
      <c r="AA449" s="167" t="n"/>
      <c r="AB449" s="167" t="n"/>
      <c r="AC449" s="293" t="n"/>
      <c r="AD449" s="167" t="n"/>
      <c r="AE449" s="167" t="n"/>
      <c r="AF449" s="167" t="n"/>
      <c r="AG449" s="144" t="n"/>
    </row>
    <row r="450" ht="18" customHeight="1" s="207">
      <c r="A450" s="166" t="inlineStr">
        <is>
          <t>水産</t>
        </is>
      </c>
      <c r="B450" s="167" t="inlineStr">
        <is>
          <t>水産物</t>
        </is>
      </c>
      <c r="C450" s="167" t="inlineStr">
        <is>
          <t>ヤマニ野口水産</t>
        </is>
      </c>
      <c r="D450" s="143">
        <f>"PRD_SNJ_"&amp;
_xlfn.XLOOKUP(商品マスタ[[#This Row],[仕入先]],テーブル1[仕入先名],テーブル1[仕入先コード],"XXX",0,1)&amp;
"_"&amp;
商品マスタ[[#This Row],[シリアル]]&amp;
"_"&amp;
TEXT(COUNTIFS(商品マスタ!$C$3:C450,商品マスタ[[#This Row],[仕入先]],商品マスタ!$E$3:E450,商品マスタ[[#This Row],[商品名]]), "00")</f>
        <v/>
      </c>
      <c r="E450" s="167" t="inlineStr">
        <is>
          <t>鮭フレーク</t>
        </is>
      </c>
      <c r="F450" s="167">
        <f>IF(COUNTIFS($C$3:C450,商品マスタ[[#This Row],[仕入先]],$E$3:E450,商品マスタ[[#This Row],[商品名]]) = 1, 1,0)</f>
        <v/>
      </c>
      <c r="G450" s="133">
        <f>TEXT(SUMIF($C$3:C450,商品マスタ[[#This Row],[仕入先]],$F$3:F450), "0000")</f>
        <v/>
      </c>
      <c r="H450" s="167" t="inlineStr">
        <is>
          <t>袋</t>
        </is>
      </c>
      <c r="I450" s="167" t="inlineStr">
        <is>
          <t>70g</t>
        </is>
      </c>
      <c r="J450" s="167" t="inlineStr">
        <is>
          <t>10袋</t>
        </is>
      </c>
      <c r="K450" s="167" t="n"/>
      <c r="L450" s="289" t="n">
        <v>330</v>
      </c>
      <c r="M450" s="157" t="n"/>
      <c r="N450" s="289" t="n"/>
      <c r="O450" s="290">
        <f>IF(COUNT(商品マスタ[[#This Row],[参考上代
（税込)]]) &gt; 0, (商品マスタ[[#This Row],[参考上代
（税込)]]-商品マスタ[[#This Row],[国内定価
（15％）]])/(商品マスタ[[#This Row],[参考上代
（税込)]]/1.08), "")</f>
        <v/>
      </c>
      <c r="P450" s="136" t="n">
        <v>0.1</v>
      </c>
      <c r="Q450" s="289">
        <f>商品マスタ[[#This Row],[仕入
単価]]*商品マスタ[[#This Row],[標準国内送料率]]</f>
        <v/>
      </c>
      <c r="R450" s="289" t="n">
        <v>0</v>
      </c>
      <c r="S450" s="289">
        <f>IF(ISBLANK(商品マスタ[[#This Row],[実績
国内送料]]),商品マスタ[[#This Row],[標準国内送料]],)</f>
        <v/>
      </c>
      <c r="T450" s="289">
        <f>商品マスタ[[#This Row],[仕入
単価]]+商品マスタ[[#This Row],[国内送料]]</f>
        <v/>
      </c>
      <c r="U450" s="289">
        <f>ROUNDUP(商品マスタ[[#This Row],[仕入単価+国内送料]]/0.8,-1)</f>
        <v/>
      </c>
      <c r="V450" s="289">
        <f>商品マスタ[[#This Row],[海外定価
（20％）]]-商品マスタ[[#This Row],[仕入単価+国内送料]]</f>
        <v/>
      </c>
      <c r="W450" s="167">
        <f>ROUNDUP(商品マスタ[[#This Row],[仕入単価+国内送料]]/0.85,-1)</f>
        <v/>
      </c>
      <c r="X450" s="289">
        <f>商品マスタ[[#This Row],[国内定価
（15％）]]-商品マスタ[[#This Row],[仕入単価+国内送料]]</f>
        <v/>
      </c>
      <c r="Y450" s="139" t="n">
        <v>0.08</v>
      </c>
      <c r="Z450" s="167" t="n"/>
      <c r="AA450" s="167" t="n"/>
      <c r="AB450" s="167" t="n"/>
      <c r="AC450" s="293" t="n"/>
      <c r="AD450" s="167" t="n"/>
      <c r="AE450" s="167" t="n"/>
      <c r="AF450" s="167" t="n"/>
      <c r="AG450" s="144" t="n"/>
    </row>
    <row r="451" ht="18" customHeight="1" s="207">
      <c r="A451" s="166" t="inlineStr">
        <is>
          <t>水産</t>
        </is>
      </c>
      <c r="B451" s="167" t="inlineStr">
        <is>
          <t>水産物</t>
        </is>
      </c>
      <c r="C451" s="167" t="inlineStr">
        <is>
          <t>ヤマニ野口水産</t>
        </is>
      </c>
      <c r="D451" s="143">
        <f>"PRD_SNJ_"&amp;
_xlfn.XLOOKUP(商品マスタ[[#This Row],[仕入先]],テーブル1[仕入先名],テーブル1[仕入先コード],"XXX",0,1)&amp;
"_"&amp;
商品マスタ[[#This Row],[シリアル]]&amp;
"_"&amp;
TEXT(COUNTIFS(商品マスタ!$C$3:C451,商品マスタ[[#This Row],[仕入先]],商品マスタ!$E$3:E451,商品マスタ[[#This Row],[商品名]]), "00")</f>
        <v/>
      </c>
      <c r="E451" s="167" t="inlineStr">
        <is>
          <t>ワイルドサーモン</t>
        </is>
      </c>
      <c r="F451" s="167">
        <f>IF(COUNTIFS($C$3:C451,商品マスタ[[#This Row],[仕入先]],$E$3:E451,商品マスタ[[#This Row],[商品名]]) = 1, 1,0)</f>
        <v/>
      </c>
      <c r="G451" s="133">
        <f>TEXT(SUMIF($C$3:C451,商品マスタ[[#This Row],[仕入先]],$F$3:F451), "0000")</f>
        <v/>
      </c>
      <c r="H451" s="167" t="inlineStr">
        <is>
          <t>袋</t>
        </is>
      </c>
      <c r="I451" s="167" t="inlineStr">
        <is>
          <t>38g</t>
        </is>
      </c>
      <c r="J451" s="167" t="inlineStr">
        <is>
          <t>10袋</t>
        </is>
      </c>
      <c r="K451" s="167" t="n"/>
      <c r="L451" s="289" t="n">
        <v>420</v>
      </c>
      <c r="M451" s="157" t="n"/>
      <c r="N451" s="289" t="n"/>
      <c r="O451" s="290">
        <f>IF(COUNT(商品マスタ[[#This Row],[参考上代
（税込)]]) &gt; 0, (商品マスタ[[#This Row],[参考上代
（税込)]]-商品マスタ[[#This Row],[国内定価
（15％）]])/(商品マスタ[[#This Row],[参考上代
（税込)]]/1.08), "")</f>
        <v/>
      </c>
      <c r="P451" s="136" t="n">
        <v>0.1</v>
      </c>
      <c r="Q451" s="289">
        <f>商品マスタ[[#This Row],[仕入
単価]]*商品マスタ[[#This Row],[標準国内送料率]]</f>
        <v/>
      </c>
      <c r="R451" s="289" t="n">
        <v>0</v>
      </c>
      <c r="S451" s="289">
        <f>IF(ISBLANK(商品マスタ[[#This Row],[実績
国内送料]]),商品マスタ[[#This Row],[標準国内送料]],)</f>
        <v/>
      </c>
      <c r="T451" s="289">
        <f>商品マスタ[[#This Row],[仕入
単価]]+商品マスタ[[#This Row],[国内送料]]</f>
        <v/>
      </c>
      <c r="U451" s="289">
        <f>ROUNDUP(商品マスタ[[#This Row],[仕入単価+国内送料]]/0.8,-1)</f>
        <v/>
      </c>
      <c r="V451" s="289">
        <f>商品マスタ[[#This Row],[海外定価
（20％）]]-商品マスタ[[#This Row],[仕入単価+国内送料]]</f>
        <v/>
      </c>
      <c r="W451" s="167">
        <f>ROUNDUP(商品マスタ[[#This Row],[仕入単価+国内送料]]/0.85,-1)</f>
        <v/>
      </c>
      <c r="X451" s="289">
        <f>商品マスタ[[#This Row],[国内定価
（15％）]]-商品マスタ[[#This Row],[仕入単価+国内送料]]</f>
        <v/>
      </c>
      <c r="Y451" s="139" t="n">
        <v>0.08</v>
      </c>
      <c r="Z451" s="167" t="n"/>
      <c r="AA451" s="167" t="n"/>
      <c r="AB451" s="167" t="n"/>
      <c r="AC451" s="293" t="n"/>
      <c r="AD451" s="167" t="n"/>
      <c r="AE451" s="167" t="n"/>
      <c r="AF451" s="167" t="n"/>
      <c r="AG451" s="144" t="n"/>
    </row>
    <row r="452" ht="18" customHeight="1" s="207">
      <c r="A452" s="166" t="inlineStr">
        <is>
          <t>水産</t>
        </is>
      </c>
      <c r="B452" s="167" t="inlineStr">
        <is>
          <t>水産物</t>
        </is>
      </c>
      <c r="C452" s="167" t="inlineStr">
        <is>
          <t>ヤマニ野口水産</t>
        </is>
      </c>
      <c r="D452" s="143">
        <f>"PRD_SNJ_"&amp;
_xlfn.XLOOKUP(商品マスタ[[#This Row],[仕入先]],テーブル1[仕入先名],テーブル1[仕入先コード],"XXX",0,1)&amp;
"_"&amp;
商品マスタ[[#This Row],[シリアル]]&amp;
"_"&amp;
TEXT(COUNTIFS(商品マスタ!$C$3:C452,商品マスタ[[#This Row],[仕入先]],商品マスタ!$E$3:E452,商品マスタ[[#This Row],[商品名]]), "00")</f>
        <v/>
      </c>
      <c r="E452" s="167" t="inlineStr">
        <is>
          <t>鮭とばの華</t>
        </is>
      </c>
      <c r="F452" s="167">
        <f>IF(COUNTIFS($C$3:C452,商品マスタ[[#This Row],[仕入先]],$E$3:E452,商品マスタ[[#This Row],[商品名]]) = 1, 1,0)</f>
        <v/>
      </c>
      <c r="G452" s="133">
        <f>TEXT(SUMIF($C$3:C452,商品マスタ[[#This Row],[仕入先]],$F$3:F452), "0000")</f>
        <v/>
      </c>
      <c r="H452" s="167" t="inlineStr">
        <is>
          <t>袋</t>
        </is>
      </c>
      <c r="I452" s="167" t="inlineStr">
        <is>
          <t>20g</t>
        </is>
      </c>
      <c r="J452" s="167" t="inlineStr">
        <is>
          <t>10袋</t>
        </is>
      </c>
      <c r="K452" s="167" t="n"/>
      <c r="L452" s="289" t="n">
        <v>350</v>
      </c>
      <c r="M452" s="157" t="n"/>
      <c r="N452" s="289" t="n"/>
      <c r="O452" s="290">
        <f>IF(COUNT(商品マスタ[[#This Row],[参考上代
（税込)]]) &gt; 0, (商品マスタ[[#This Row],[参考上代
（税込)]]-商品マスタ[[#This Row],[国内定価
（15％）]])/(商品マスタ[[#This Row],[参考上代
（税込)]]/1.08), "")</f>
        <v/>
      </c>
      <c r="P452" s="136" t="n">
        <v>0.1</v>
      </c>
      <c r="Q452" s="289">
        <f>商品マスタ[[#This Row],[仕入
単価]]*商品マスタ[[#This Row],[標準国内送料率]]</f>
        <v/>
      </c>
      <c r="R452" s="289" t="n">
        <v>0</v>
      </c>
      <c r="S452" s="289">
        <f>IF(ISBLANK(商品マスタ[[#This Row],[実績
国内送料]]),商品マスタ[[#This Row],[標準国内送料]],)</f>
        <v/>
      </c>
      <c r="T452" s="289">
        <f>商品マスタ[[#This Row],[仕入
単価]]+商品マスタ[[#This Row],[国内送料]]</f>
        <v/>
      </c>
      <c r="U452" s="289">
        <f>ROUNDUP(商品マスタ[[#This Row],[仕入単価+国内送料]]/0.8,-1)</f>
        <v/>
      </c>
      <c r="V452" s="289">
        <f>商品マスタ[[#This Row],[海外定価
（20％）]]-商品マスタ[[#This Row],[仕入単価+国内送料]]</f>
        <v/>
      </c>
      <c r="W452" s="167">
        <f>ROUNDUP(商品マスタ[[#This Row],[仕入単価+国内送料]]/0.85,-1)</f>
        <v/>
      </c>
      <c r="X452" s="289">
        <f>商品マスタ[[#This Row],[国内定価
（15％）]]-商品マスタ[[#This Row],[仕入単価+国内送料]]</f>
        <v/>
      </c>
      <c r="Y452" s="139" t="n">
        <v>0.08</v>
      </c>
      <c r="Z452" s="167" t="n"/>
      <c r="AA452" s="167" t="n"/>
      <c r="AB452" s="167" t="n"/>
      <c r="AC452" s="293" t="n"/>
      <c r="AD452" s="167" t="n"/>
      <c r="AE452" s="167" t="n"/>
      <c r="AF452" s="167" t="n"/>
      <c r="AG452" s="144" t="n"/>
    </row>
    <row r="453" ht="18" customHeight="1" s="207">
      <c r="A453" s="166" t="inlineStr">
        <is>
          <t>水産</t>
        </is>
      </c>
      <c r="B453" s="167" t="inlineStr">
        <is>
          <t>水産物</t>
        </is>
      </c>
      <c r="C453" s="167" t="inlineStr">
        <is>
          <t>ヤマニ野口水産</t>
        </is>
      </c>
      <c r="D453" s="143">
        <f>"PRD_SNJ_"&amp;
_xlfn.XLOOKUP(商品マスタ[[#This Row],[仕入先]],テーブル1[仕入先名],テーブル1[仕入先コード],"XXX",0,1)&amp;
"_"&amp;
商品マスタ[[#This Row],[シリアル]]&amp;
"_"&amp;
TEXT(COUNTIFS(商品マスタ!$C$3:C453,商品マスタ[[#This Row],[仕入先]],商品マスタ!$E$3:E453,商品マスタ[[#This Row],[商品名]]), "00")</f>
        <v/>
      </c>
      <c r="E453" s="167" t="inlineStr">
        <is>
          <t>鮭とばスモークジャーキー</t>
        </is>
      </c>
      <c r="F453" s="167">
        <f>IF(COUNTIFS($C$3:C453,商品マスタ[[#This Row],[仕入先]],$E$3:E453,商品マスタ[[#This Row],[商品名]]) = 1, 1,0)</f>
        <v/>
      </c>
      <c r="G453" s="133">
        <f>TEXT(SUMIF($C$3:C453,商品マスタ[[#This Row],[仕入先]],$F$3:F453), "0000")</f>
        <v/>
      </c>
      <c r="H453" s="167" t="inlineStr">
        <is>
          <t>袋</t>
        </is>
      </c>
      <c r="I453" s="167" t="inlineStr">
        <is>
          <t>28g</t>
        </is>
      </c>
      <c r="J453" s="167" t="inlineStr">
        <is>
          <t>10袋</t>
        </is>
      </c>
      <c r="K453" s="167" t="n"/>
      <c r="L453" s="289" t="n">
        <v>280</v>
      </c>
      <c r="M453" s="157" t="n"/>
      <c r="N453" s="289" t="n"/>
      <c r="O453" s="290">
        <f>IF(COUNT(商品マスタ[[#This Row],[参考上代
（税込)]]) &gt; 0, (商品マスタ[[#This Row],[参考上代
（税込)]]-商品マスタ[[#This Row],[国内定価
（15％）]])/(商品マスタ[[#This Row],[参考上代
（税込)]]/1.08), "")</f>
        <v/>
      </c>
      <c r="P453" s="136" t="n">
        <v>0.1</v>
      </c>
      <c r="Q453" s="289">
        <f>商品マスタ[[#This Row],[仕入
単価]]*商品マスタ[[#This Row],[標準国内送料率]]</f>
        <v/>
      </c>
      <c r="R453" s="289" t="n">
        <v>0</v>
      </c>
      <c r="S453" s="289">
        <f>IF(ISBLANK(商品マスタ[[#This Row],[実績
国内送料]]),商品マスタ[[#This Row],[標準国内送料]],)</f>
        <v/>
      </c>
      <c r="T453" s="289">
        <f>商品マスタ[[#This Row],[仕入
単価]]+商品マスタ[[#This Row],[国内送料]]</f>
        <v/>
      </c>
      <c r="U453" s="289">
        <f>ROUNDUP(商品マスタ[[#This Row],[仕入単価+国内送料]]/0.8,-1)</f>
        <v/>
      </c>
      <c r="V453" s="289">
        <f>商品マスタ[[#This Row],[海外定価
（20％）]]-商品マスタ[[#This Row],[仕入単価+国内送料]]</f>
        <v/>
      </c>
      <c r="W453" s="167">
        <f>ROUNDUP(商品マスタ[[#This Row],[仕入単価+国内送料]]/0.85,-1)</f>
        <v/>
      </c>
      <c r="X453" s="289">
        <f>商品マスタ[[#This Row],[国内定価
（15％）]]-商品マスタ[[#This Row],[仕入単価+国内送料]]</f>
        <v/>
      </c>
      <c r="Y453" s="139" t="n">
        <v>0.08</v>
      </c>
      <c r="Z453" s="167" t="n"/>
      <c r="AA453" s="167" t="n"/>
      <c r="AB453" s="167" t="n"/>
      <c r="AC453" s="293" t="n"/>
      <c r="AD453" s="167" t="n"/>
      <c r="AE453" s="167" t="n"/>
      <c r="AF453" s="167" t="n"/>
      <c r="AG453" s="144" t="n"/>
    </row>
    <row r="454" ht="18" customHeight="1" s="207">
      <c r="A454" s="166" t="inlineStr">
        <is>
          <t>水産</t>
        </is>
      </c>
      <c r="B454" s="167" t="inlineStr">
        <is>
          <t>水産物</t>
        </is>
      </c>
      <c r="C454" s="167" t="inlineStr">
        <is>
          <t>小樽水産加工業協同組合</t>
        </is>
      </c>
      <c r="D454" s="143">
        <f>"PRD_SNJ_"&amp;
_xlfn.XLOOKUP(商品マスタ[[#This Row],[仕入先]],テーブル1[仕入先名],テーブル1[仕入先コード],"XXX",0,1)&amp;
"_"&amp;
商品マスタ[[#This Row],[シリアル]]&amp;
"_"&amp;
TEXT(COUNTIFS(商品マスタ!$C$3:C454,商品マスタ[[#This Row],[仕入先]],商品マスタ!$E$3:E454,商品マスタ[[#This Row],[商品名]]), "00")</f>
        <v/>
      </c>
      <c r="E454" s="167" t="inlineStr">
        <is>
          <t>にしん甘露煮</t>
        </is>
      </c>
      <c r="F454" s="167">
        <f>IF(COUNTIFS($C$3:C454,商品マスタ[[#This Row],[仕入先]],$E$3:E454,商品マスタ[[#This Row],[商品名]]) = 1, 1,0)</f>
        <v/>
      </c>
      <c r="G454" s="133">
        <f>TEXT(SUMIF($C$3:C454,商品マスタ[[#This Row],[仕入先]],$F$3:F454), "0000")</f>
        <v/>
      </c>
      <c r="H454" s="167" t="inlineStr">
        <is>
          <t>袋</t>
        </is>
      </c>
      <c r="I454" s="167" t="inlineStr">
        <is>
          <t>110g</t>
        </is>
      </c>
      <c r="J454" s="167" t="inlineStr">
        <is>
          <t>10入/ケース</t>
        </is>
      </c>
      <c r="K454" s="167" t="n"/>
      <c r="L454" s="289" t="n">
        <v>365</v>
      </c>
      <c r="M454" s="157" t="n"/>
      <c r="N454" s="289" t="n"/>
      <c r="O454" s="290">
        <f>IF(COUNT(商品マスタ[[#This Row],[参考上代
（税込)]]) &gt; 0, (商品マスタ[[#This Row],[参考上代
（税込)]]-商品マスタ[[#This Row],[国内定価
（15％）]])/(商品マスタ[[#This Row],[参考上代
（税込)]]/1.08), "")</f>
        <v/>
      </c>
      <c r="P454" s="136" t="n">
        <v>0.1</v>
      </c>
      <c r="Q454" s="289">
        <f>商品マスタ[[#This Row],[仕入
単価]]*商品マスタ[[#This Row],[標準国内送料率]]</f>
        <v/>
      </c>
      <c r="R454" s="289" t="n">
        <v>0</v>
      </c>
      <c r="S454" s="289">
        <f>IF(ISBLANK(商品マスタ[[#This Row],[実績
国内送料]]),商品マスタ[[#This Row],[標準国内送料]],)</f>
        <v/>
      </c>
      <c r="T454" s="289">
        <f>商品マスタ[[#This Row],[仕入
単価]]+商品マスタ[[#This Row],[国内送料]]</f>
        <v/>
      </c>
      <c r="U454" s="289">
        <f>ROUNDUP(商品マスタ[[#This Row],[仕入単価+国内送料]]/0.8,-1)</f>
        <v/>
      </c>
      <c r="V454" s="289">
        <f>商品マスタ[[#This Row],[海外定価
（20％）]]-商品マスタ[[#This Row],[仕入単価+国内送料]]</f>
        <v/>
      </c>
      <c r="W454" s="167">
        <f>ROUNDUP(商品マスタ[[#This Row],[仕入単価+国内送料]]/0.85,-1)</f>
        <v/>
      </c>
      <c r="X454" s="289">
        <f>商品マスタ[[#This Row],[国内定価
（15％）]]-商品マスタ[[#This Row],[仕入単価+国内送料]]</f>
        <v/>
      </c>
      <c r="Y454" s="139" t="n">
        <v>0.08</v>
      </c>
      <c r="Z454" s="167" t="n"/>
      <c r="AA454" s="167" t="n"/>
      <c r="AB454" s="167" t="n"/>
      <c r="AC454" s="293" t="n"/>
      <c r="AD454" s="167" t="n"/>
      <c r="AE454" s="167" t="n"/>
      <c r="AF454" s="167" t="n"/>
      <c r="AG454" s="144" t="n"/>
    </row>
    <row r="455" ht="18" customHeight="1" s="207">
      <c r="A455" s="166" t="inlineStr">
        <is>
          <t>水産</t>
        </is>
      </c>
      <c r="B455" s="167" t="inlineStr">
        <is>
          <t>水産物</t>
        </is>
      </c>
      <c r="C455" s="167" t="inlineStr">
        <is>
          <t>小樽水産加工業協同組合</t>
        </is>
      </c>
      <c r="D455" s="143">
        <f>"PRD_SNJ_"&amp;
_xlfn.XLOOKUP(商品マスタ[[#This Row],[仕入先]],テーブル1[仕入先名],テーブル1[仕入先コード],"XXX",0,1)&amp;
"_"&amp;
商品マスタ[[#This Row],[シリアル]]&amp;
"_"&amp;
TEXT(COUNTIFS(商品マスタ!$C$3:C455,商品マスタ[[#This Row],[仕入先]],商品マスタ!$E$3:E455,商品マスタ[[#This Row],[商品名]]), "00")</f>
        <v/>
      </c>
      <c r="E455" s="167" t="inlineStr">
        <is>
          <t>春にしんマリネ</t>
        </is>
      </c>
      <c r="F455" s="167">
        <f>IF(COUNTIFS($C$3:C455,商品マスタ[[#This Row],[仕入先]],$E$3:E455,商品マスタ[[#This Row],[商品名]]) = 1, 1,0)</f>
        <v/>
      </c>
      <c r="G455" s="133">
        <f>TEXT(SUMIF($C$3:C455,商品マスタ[[#This Row],[仕入先]],$F$3:F455), "0000")</f>
        <v/>
      </c>
      <c r="H455" s="167" t="inlineStr">
        <is>
          <t>パック</t>
        </is>
      </c>
      <c r="I455" s="167" t="inlineStr">
        <is>
          <t>300g</t>
        </is>
      </c>
      <c r="J455" s="167" t="inlineStr">
        <is>
          <t>10入/ケース</t>
        </is>
      </c>
      <c r="K455" s="167" t="n"/>
      <c r="L455" s="289" t="inlineStr">
        <is>
          <t>　</t>
        </is>
      </c>
      <c r="M455" s="157" t="n"/>
      <c r="N455" s="289" t="n"/>
      <c r="O455" s="290">
        <f>IF(COUNT(商品マスタ[[#This Row],[参考上代
（税込)]]) &gt; 0, (商品マスタ[[#This Row],[参考上代
（税込)]]-商品マスタ[[#This Row],[国内定価
（15％）]])/(商品マスタ[[#This Row],[参考上代
（税込)]]/1.08), "")</f>
        <v/>
      </c>
      <c r="P455" s="136" t="n">
        <v>0.1</v>
      </c>
      <c r="Q455" s="289">
        <f>商品マスタ[[#This Row],[仕入
単価]]*商品マスタ[[#This Row],[標準国内送料率]]</f>
        <v/>
      </c>
      <c r="R455" s="289" t="n">
        <v>0</v>
      </c>
      <c r="S455" s="289">
        <f>IF(ISBLANK(商品マスタ[[#This Row],[実績
国内送料]]),商品マスタ[[#This Row],[標準国内送料]],)</f>
        <v/>
      </c>
      <c r="T455" s="289">
        <f>商品マスタ[[#This Row],[仕入
単価]]+商品マスタ[[#This Row],[国内送料]]</f>
        <v/>
      </c>
      <c r="U455" s="289">
        <f>ROUNDUP(商品マスタ[[#This Row],[仕入単価+国内送料]]/0.8,-1)</f>
        <v/>
      </c>
      <c r="V455" s="289">
        <f>商品マスタ[[#This Row],[海外定価
（20％）]]-商品マスタ[[#This Row],[仕入単価+国内送料]]</f>
        <v/>
      </c>
      <c r="W455" s="167">
        <f>ROUNDUP(商品マスタ[[#This Row],[仕入単価+国内送料]]/0.85,-1)</f>
        <v/>
      </c>
      <c r="X455" s="289">
        <f>商品マスタ[[#This Row],[国内定価
（15％）]]-商品マスタ[[#This Row],[仕入単価+国内送料]]</f>
        <v/>
      </c>
      <c r="Y455" s="139" t="n">
        <v>0.08</v>
      </c>
      <c r="Z455" s="167" t="n"/>
      <c r="AA455" s="167" t="n"/>
      <c r="AB455" s="167" t="n"/>
      <c r="AC455" s="293" t="n"/>
      <c r="AD455" s="167" t="n"/>
      <c r="AE455" s="167" t="n"/>
      <c r="AF455" s="167" t="n"/>
      <c r="AG455" s="144" t="n"/>
    </row>
    <row r="456" ht="18" customHeight="1" s="207">
      <c r="A456" s="166" t="inlineStr">
        <is>
          <t>水産</t>
        </is>
      </c>
      <c r="B456" s="167" t="inlineStr">
        <is>
          <t>水産物</t>
        </is>
      </c>
      <c r="C456" s="167" t="inlineStr">
        <is>
          <t>小樽水産加工業協同組合</t>
        </is>
      </c>
      <c r="D456" s="143">
        <f>"PRD_SNJ_"&amp;
_xlfn.XLOOKUP(商品マスタ[[#This Row],[仕入先]],テーブル1[仕入先名],テーブル1[仕入先コード],"XXX",0,1)&amp;
"_"&amp;
商品マスタ[[#This Row],[シリアル]]&amp;
"_"&amp;
TEXT(COUNTIFS(商品マスタ!$C$3:C456,商品マスタ[[#This Row],[仕入先]],商品マスタ!$E$3:E456,商品マスタ[[#This Row],[商品名]]), "00")</f>
        <v/>
      </c>
      <c r="E456" s="167" t="inlineStr">
        <is>
          <t>小樽の小鍋「かに鍋」</t>
        </is>
      </c>
      <c r="F456" s="167">
        <f>IF(COUNTIFS($C$3:C456,商品マスタ[[#This Row],[仕入先]],$E$3:E456,商品マスタ[[#This Row],[商品名]]) = 1, 1,0)</f>
        <v/>
      </c>
      <c r="G456" s="133">
        <f>TEXT(SUMIF($C$3:C456,商品マスタ[[#This Row],[仕入先]],$F$3:F456), "0000")</f>
        <v/>
      </c>
      <c r="H456" s="167" t="inlineStr">
        <is>
          <t>個</t>
        </is>
      </c>
      <c r="I456" s="167" t="inlineStr">
        <is>
          <t>280g</t>
        </is>
      </c>
      <c r="J456" s="167" t="inlineStr">
        <is>
          <t>36入/ケース</t>
        </is>
      </c>
      <c r="K456" s="167" t="n"/>
      <c r="L456" s="289" t="inlineStr">
        <is>
          <t>　</t>
        </is>
      </c>
      <c r="M456" s="157" t="n"/>
      <c r="N456" s="289" t="n"/>
      <c r="O456" s="290">
        <f>IF(COUNT(商品マスタ[[#This Row],[参考上代
（税込)]]) &gt; 0, (商品マスタ[[#This Row],[参考上代
（税込)]]-商品マスタ[[#This Row],[国内定価
（15％）]])/(商品マスタ[[#This Row],[参考上代
（税込)]]/1.08), "")</f>
        <v/>
      </c>
      <c r="P456" s="136" t="n">
        <v>0.1</v>
      </c>
      <c r="Q456" s="289">
        <f>商品マスタ[[#This Row],[仕入
単価]]*商品マスタ[[#This Row],[標準国内送料率]]</f>
        <v/>
      </c>
      <c r="R456" s="289" t="n">
        <v>0</v>
      </c>
      <c r="S456" s="289">
        <f>IF(ISBLANK(商品マスタ[[#This Row],[実績
国内送料]]),商品マスタ[[#This Row],[標準国内送料]],)</f>
        <v/>
      </c>
      <c r="T456" s="289">
        <f>商品マスタ[[#This Row],[仕入
単価]]+商品マスタ[[#This Row],[国内送料]]</f>
        <v/>
      </c>
      <c r="U456" s="289">
        <f>ROUNDUP(商品マスタ[[#This Row],[仕入単価+国内送料]]/0.8,-1)</f>
        <v/>
      </c>
      <c r="V456" s="289">
        <f>商品マスタ[[#This Row],[海外定価
（20％）]]-商品マスタ[[#This Row],[仕入単価+国内送料]]</f>
        <v/>
      </c>
      <c r="W456" s="167">
        <f>ROUNDUP(商品マスタ[[#This Row],[仕入単価+国内送料]]/0.85,-1)</f>
        <v/>
      </c>
      <c r="X456" s="289">
        <f>商品マスタ[[#This Row],[国内定価
（15％）]]-商品マスタ[[#This Row],[仕入単価+国内送料]]</f>
        <v/>
      </c>
      <c r="Y456" s="139" t="n">
        <v>0.08</v>
      </c>
      <c r="Z456" s="167" t="n"/>
      <c r="AA456" s="167" t="n"/>
      <c r="AB456" s="167" t="n"/>
      <c r="AC456" s="293" t="n"/>
      <c r="AD456" s="167" t="n"/>
      <c r="AE456" s="167" t="n"/>
      <c r="AF456" s="167" t="n"/>
      <c r="AG456" s="144" t="n"/>
    </row>
    <row r="457" ht="18" customHeight="1" s="207">
      <c r="A457" s="166" t="inlineStr">
        <is>
          <t>水産</t>
        </is>
      </c>
      <c r="B457" s="167" t="inlineStr">
        <is>
          <t>水産物</t>
        </is>
      </c>
      <c r="C457" s="167" t="inlineStr">
        <is>
          <t>小樽水産加工業協同組合</t>
        </is>
      </c>
      <c r="D457" s="143">
        <f>"PRD_SNJ_"&amp;
_xlfn.XLOOKUP(商品マスタ[[#This Row],[仕入先]],テーブル1[仕入先名],テーブル1[仕入先コード],"XXX",0,1)&amp;
"_"&amp;
商品マスタ[[#This Row],[シリアル]]&amp;
"_"&amp;
TEXT(COUNTIFS(商品マスタ!$C$3:C457,商品マスタ[[#This Row],[仕入先]],商品マスタ!$E$3:E457,商品マスタ[[#This Row],[商品名]]), "00")</f>
        <v/>
      </c>
      <c r="E457" s="167" t="inlineStr">
        <is>
          <t>小樽の小鍋「石狩鍋」</t>
        </is>
      </c>
      <c r="F457" s="167">
        <f>IF(COUNTIFS($C$3:C457,商品マスタ[[#This Row],[仕入先]],$E$3:E457,商品マスタ[[#This Row],[商品名]]) = 1, 1,0)</f>
        <v/>
      </c>
      <c r="G457" s="133">
        <f>TEXT(SUMIF($C$3:C457,商品マスタ[[#This Row],[仕入先]],$F$3:F457), "0000")</f>
        <v/>
      </c>
      <c r="H457" s="167" t="inlineStr">
        <is>
          <t>個</t>
        </is>
      </c>
      <c r="I457" s="167" t="inlineStr">
        <is>
          <t>280g</t>
        </is>
      </c>
      <c r="J457" s="167" t="inlineStr">
        <is>
          <t>36入/ケース</t>
        </is>
      </c>
      <c r="K457" s="167" t="n"/>
      <c r="L457" s="289" t="inlineStr">
        <is>
          <t>　</t>
        </is>
      </c>
      <c r="M457" s="157" t="n"/>
      <c r="N457" s="289" t="n"/>
      <c r="O457" s="290">
        <f>IF(COUNT(商品マスタ[[#This Row],[参考上代
（税込)]]) &gt; 0, (商品マスタ[[#This Row],[参考上代
（税込)]]-商品マスタ[[#This Row],[国内定価
（15％）]])/(商品マスタ[[#This Row],[参考上代
（税込)]]/1.08), "")</f>
        <v/>
      </c>
      <c r="P457" s="136" t="n">
        <v>0.1</v>
      </c>
      <c r="Q457" s="289">
        <f>商品マスタ[[#This Row],[仕入
単価]]*商品マスタ[[#This Row],[標準国内送料率]]</f>
        <v/>
      </c>
      <c r="R457" s="289" t="n">
        <v>0</v>
      </c>
      <c r="S457" s="289">
        <f>IF(ISBLANK(商品マスタ[[#This Row],[実績
国内送料]]),商品マスタ[[#This Row],[標準国内送料]],)</f>
        <v/>
      </c>
      <c r="T457" s="289">
        <f>商品マスタ[[#This Row],[仕入
単価]]+商品マスタ[[#This Row],[国内送料]]</f>
        <v/>
      </c>
      <c r="U457" s="289">
        <f>ROUNDUP(商品マスタ[[#This Row],[仕入単価+国内送料]]/0.8,-1)</f>
        <v/>
      </c>
      <c r="V457" s="289">
        <f>商品マスタ[[#This Row],[海外定価
（20％）]]-商品マスタ[[#This Row],[仕入単価+国内送料]]</f>
        <v/>
      </c>
      <c r="W457" s="167">
        <f>ROUNDUP(商品マスタ[[#This Row],[仕入単価+国内送料]]/0.85,-1)</f>
        <v/>
      </c>
      <c r="X457" s="289">
        <f>商品マスタ[[#This Row],[国内定価
（15％）]]-商品マスタ[[#This Row],[仕入単価+国内送料]]</f>
        <v/>
      </c>
      <c r="Y457" s="139" t="n">
        <v>0.08</v>
      </c>
      <c r="Z457" s="167" t="n"/>
      <c r="AA457" s="167" t="n"/>
      <c r="AB457" s="167" t="n"/>
      <c r="AC457" s="293" t="n"/>
      <c r="AD457" s="167" t="n"/>
      <c r="AE457" s="167" t="n"/>
      <c r="AF457" s="167" t="n"/>
      <c r="AG457" s="144" t="n"/>
    </row>
    <row r="458" ht="18" customHeight="1" s="207">
      <c r="A458" s="166" t="inlineStr">
        <is>
          <t>水産</t>
        </is>
      </c>
      <c r="B458" s="167" t="inlineStr">
        <is>
          <t>水産物</t>
        </is>
      </c>
      <c r="C458" s="167" t="inlineStr">
        <is>
          <t>小樽水産加工業協同組合</t>
        </is>
      </c>
      <c r="D458" s="143">
        <f>"PRD_SNJ_"&amp;
_xlfn.XLOOKUP(商品マスタ[[#This Row],[仕入先]],テーブル1[仕入先名],テーブル1[仕入先コード],"XXX",0,1)&amp;
"_"&amp;
商品マスタ[[#This Row],[シリアル]]&amp;
"_"&amp;
TEXT(COUNTIFS(商品マスタ!$C$3:C458,商品マスタ[[#This Row],[仕入先]],商品マスタ!$E$3:E458,商品マスタ[[#This Row],[商品名]]), "00")</f>
        <v/>
      </c>
      <c r="E458" s="167" t="inlineStr">
        <is>
          <t>北海道スープカレー【シーフード】</t>
        </is>
      </c>
      <c r="F458" s="167">
        <f>IF(COUNTIFS($C$3:C458,商品マスタ[[#This Row],[仕入先]],$E$3:E458,商品マスタ[[#This Row],[商品名]]) = 1, 1,0)</f>
        <v/>
      </c>
      <c r="G458" s="133">
        <f>TEXT(SUMIF($C$3:C458,商品マスタ[[#This Row],[仕入先]],$F$3:F458), "0000")</f>
        <v/>
      </c>
      <c r="H458" s="167" t="inlineStr">
        <is>
          <t>個</t>
        </is>
      </c>
      <c r="I458" s="167" t="inlineStr">
        <is>
          <t>300g</t>
        </is>
      </c>
      <c r="J458" s="167" t="inlineStr">
        <is>
          <t>36入/ケース</t>
        </is>
      </c>
      <c r="K458" s="167" t="n"/>
      <c r="L458" s="289" t="inlineStr">
        <is>
          <t>　</t>
        </is>
      </c>
      <c r="M458" s="157" t="n"/>
      <c r="N458" s="289" t="n"/>
      <c r="O458" s="290">
        <f>IF(COUNT(商品マスタ[[#This Row],[参考上代
（税込)]]) &gt; 0, (商品マスタ[[#This Row],[参考上代
（税込)]]-商品マスタ[[#This Row],[国内定価
（15％）]])/(商品マスタ[[#This Row],[参考上代
（税込)]]/1.08), "")</f>
        <v/>
      </c>
      <c r="P458" s="136" t="n">
        <v>0.1</v>
      </c>
      <c r="Q458" s="289">
        <f>商品マスタ[[#This Row],[仕入
単価]]*商品マスタ[[#This Row],[標準国内送料率]]</f>
        <v/>
      </c>
      <c r="R458" s="289" t="n">
        <v>0</v>
      </c>
      <c r="S458" s="289">
        <f>IF(ISBLANK(商品マスタ[[#This Row],[実績
国内送料]]),商品マスタ[[#This Row],[標準国内送料]],)</f>
        <v/>
      </c>
      <c r="T458" s="289">
        <f>商品マスタ[[#This Row],[仕入
単価]]+商品マスタ[[#This Row],[国内送料]]</f>
        <v/>
      </c>
      <c r="U458" s="289">
        <f>ROUNDUP(商品マスタ[[#This Row],[仕入単価+国内送料]]/0.8,-1)</f>
        <v/>
      </c>
      <c r="V458" s="289">
        <f>商品マスタ[[#This Row],[海外定価
（20％）]]-商品マスタ[[#This Row],[仕入単価+国内送料]]</f>
        <v/>
      </c>
      <c r="W458" s="167">
        <f>ROUNDUP(商品マスタ[[#This Row],[仕入単価+国内送料]]/0.85,-1)</f>
        <v/>
      </c>
      <c r="X458" s="289">
        <f>商品マスタ[[#This Row],[国内定価
（15％）]]-商品マスタ[[#This Row],[仕入単価+国内送料]]</f>
        <v/>
      </c>
      <c r="Y458" s="139" t="n">
        <v>0.08</v>
      </c>
      <c r="Z458" s="167" t="n"/>
      <c r="AA458" s="167" t="n"/>
      <c r="AB458" s="167" t="n"/>
      <c r="AC458" s="293" t="n"/>
      <c r="AD458" s="167" t="n"/>
      <c r="AE458" s="167" t="n"/>
      <c r="AF458" s="167" t="n"/>
      <c r="AG458" s="144" t="n"/>
    </row>
    <row r="459" ht="18" customHeight="1" s="207">
      <c r="A459" s="166" t="inlineStr">
        <is>
          <t>水産</t>
        </is>
      </c>
      <c r="B459" s="167" t="inlineStr">
        <is>
          <t>水産物</t>
        </is>
      </c>
      <c r="C459" s="167" t="inlineStr">
        <is>
          <t>小樽水産加工業協同組合</t>
        </is>
      </c>
      <c r="D459" s="143">
        <f>"PRD_SNJ_"&amp;
_xlfn.XLOOKUP(商品マスタ[[#This Row],[仕入先]],テーブル1[仕入先名],テーブル1[仕入先コード],"XXX",0,1)&amp;
"_"&amp;
商品マスタ[[#This Row],[シリアル]]&amp;
"_"&amp;
TEXT(COUNTIFS(商品マスタ!$C$3:C459,商品マスタ[[#This Row],[仕入先]],商品マスタ!$E$3:E459,商品マスタ[[#This Row],[商品名]]), "00")</f>
        <v/>
      </c>
      <c r="E459" s="167" t="inlineStr">
        <is>
          <t>さばスモークスライス</t>
        </is>
      </c>
      <c r="F459" s="167">
        <f>IF(COUNTIFS($C$3:C459,商品マスタ[[#This Row],[仕入先]],$E$3:E459,商品マスタ[[#This Row],[商品名]]) = 1, 1,0)</f>
        <v/>
      </c>
      <c r="G459" s="133">
        <f>TEXT(SUMIF($C$3:C459,商品マスタ[[#This Row],[仕入先]],$F$3:F459), "0000")</f>
        <v/>
      </c>
      <c r="H459" s="167" t="inlineStr">
        <is>
          <t>袋</t>
        </is>
      </c>
      <c r="I459" s="167" t="inlineStr">
        <is>
          <t>80g</t>
        </is>
      </c>
      <c r="J459" s="167" t="inlineStr">
        <is>
          <t>50入/ケース</t>
        </is>
      </c>
      <c r="K459" s="167" t="n"/>
      <c r="L459" s="289" t="inlineStr">
        <is>
          <t>　</t>
        </is>
      </c>
      <c r="M459" s="157" t="n"/>
      <c r="N459" s="289" t="n"/>
      <c r="O459" s="290">
        <f>IF(COUNT(商品マスタ[[#This Row],[参考上代
（税込)]]) &gt; 0, (商品マスタ[[#This Row],[参考上代
（税込)]]-商品マスタ[[#This Row],[国内定価
（15％）]])/(商品マスタ[[#This Row],[参考上代
（税込)]]/1.08), "")</f>
        <v/>
      </c>
      <c r="P459" s="136" t="n">
        <v>0.1</v>
      </c>
      <c r="Q459" s="289">
        <f>商品マスタ[[#This Row],[仕入
単価]]*商品マスタ[[#This Row],[標準国内送料率]]</f>
        <v/>
      </c>
      <c r="R459" s="289" t="n">
        <v>0</v>
      </c>
      <c r="S459" s="289">
        <f>IF(ISBLANK(商品マスタ[[#This Row],[実績
国内送料]]),商品マスタ[[#This Row],[標準国内送料]],)</f>
        <v/>
      </c>
      <c r="T459" s="289">
        <f>商品マスタ[[#This Row],[仕入
単価]]+商品マスタ[[#This Row],[国内送料]]</f>
        <v/>
      </c>
      <c r="U459" s="289">
        <f>ROUNDUP(商品マスタ[[#This Row],[仕入単価+国内送料]]/0.8,-1)</f>
        <v/>
      </c>
      <c r="V459" s="289">
        <f>商品マスタ[[#This Row],[海外定価
（20％）]]-商品マスタ[[#This Row],[仕入単価+国内送料]]</f>
        <v/>
      </c>
      <c r="W459" s="167">
        <f>ROUNDUP(商品マスタ[[#This Row],[仕入単価+国内送料]]/0.85,-1)</f>
        <v/>
      </c>
      <c r="X459" s="289">
        <f>商品マスタ[[#This Row],[国内定価
（15％）]]-商品マスタ[[#This Row],[仕入単価+国内送料]]</f>
        <v/>
      </c>
      <c r="Y459" s="139" t="n">
        <v>0.08</v>
      </c>
      <c r="Z459" s="167" t="n"/>
      <c r="AA459" s="167" t="n"/>
      <c r="AB459" s="167" t="n"/>
      <c r="AC459" s="293" t="n"/>
      <c r="AD459" s="167" t="n"/>
      <c r="AE459" s="167" t="n"/>
      <c r="AF459" s="167" t="n"/>
      <c r="AG459" s="144" t="n"/>
    </row>
    <row r="460" ht="18" customHeight="1" s="207">
      <c r="A460" s="166" t="inlineStr">
        <is>
          <t>水産</t>
        </is>
      </c>
      <c r="B460" s="167" t="inlineStr">
        <is>
          <t>水産物</t>
        </is>
      </c>
      <c r="C460" s="167" t="inlineStr">
        <is>
          <t>小樽水産加工業協同組合</t>
        </is>
      </c>
      <c r="D460" s="143">
        <f>"PRD_SNJ_"&amp;
_xlfn.XLOOKUP(商品マスタ[[#This Row],[仕入先]],テーブル1[仕入先名],テーブル1[仕入先コード],"XXX",0,1)&amp;
"_"&amp;
商品マスタ[[#This Row],[シリアル]]&amp;
"_"&amp;
TEXT(COUNTIFS(商品マスタ!$C$3:C460,商品マスタ[[#This Row],[仕入先]],商品マスタ!$E$3:E460,商品マスタ[[#This Row],[商品名]]), "00")</f>
        <v/>
      </c>
      <c r="E460" s="167" t="inlineStr">
        <is>
          <t>ほたてコンフィ</t>
        </is>
      </c>
      <c r="F460" s="167">
        <f>IF(COUNTIFS($C$3:C460,商品マスタ[[#This Row],[仕入先]],$E$3:E460,商品マスタ[[#This Row],[商品名]]) = 1, 1,0)</f>
        <v/>
      </c>
      <c r="G460" s="133">
        <f>TEXT(SUMIF($C$3:C460,商品マスタ[[#This Row],[仕入先]],$F$3:F460), "0000")</f>
        <v/>
      </c>
      <c r="H460" s="167" t="inlineStr">
        <is>
          <t>袋</t>
        </is>
      </c>
      <c r="I460" s="167" t="inlineStr">
        <is>
          <t>100g</t>
        </is>
      </c>
      <c r="J460" s="167" t="inlineStr">
        <is>
          <t>50入/ケース</t>
        </is>
      </c>
      <c r="K460" s="167" t="n"/>
      <c r="L460" s="289" t="inlineStr">
        <is>
          <t>　</t>
        </is>
      </c>
      <c r="M460" s="157" t="n"/>
      <c r="N460" s="289" t="n"/>
      <c r="O460" s="290">
        <f>IF(COUNT(商品マスタ[[#This Row],[参考上代
（税込)]]) &gt; 0, (商品マスタ[[#This Row],[参考上代
（税込)]]-商品マスタ[[#This Row],[国内定価
（15％）]])/(商品マスタ[[#This Row],[参考上代
（税込)]]/1.08), "")</f>
        <v/>
      </c>
      <c r="P460" s="136" t="n">
        <v>0.1</v>
      </c>
      <c r="Q460" s="289">
        <f>商品マスタ[[#This Row],[仕入
単価]]*商品マスタ[[#This Row],[標準国内送料率]]</f>
        <v/>
      </c>
      <c r="R460" s="289" t="n">
        <v>0</v>
      </c>
      <c r="S460" s="289">
        <f>IF(ISBLANK(商品マスタ[[#This Row],[実績
国内送料]]),商品マスタ[[#This Row],[標準国内送料]],)</f>
        <v/>
      </c>
      <c r="T460" s="289">
        <f>商品マスタ[[#This Row],[仕入
単価]]+商品マスタ[[#This Row],[国内送料]]</f>
        <v/>
      </c>
      <c r="U460" s="289">
        <f>ROUNDUP(商品マスタ[[#This Row],[仕入単価+国内送料]]/0.8,-1)</f>
        <v/>
      </c>
      <c r="V460" s="289">
        <f>商品マスタ[[#This Row],[海外定価
（20％）]]-商品マスタ[[#This Row],[仕入単価+国内送料]]</f>
        <v/>
      </c>
      <c r="W460" s="167">
        <f>ROUNDUP(商品マスタ[[#This Row],[仕入単価+国内送料]]/0.85,-1)</f>
        <v/>
      </c>
      <c r="X460" s="289">
        <f>商品マスタ[[#This Row],[国内定価
（15％）]]-商品マスタ[[#This Row],[仕入単価+国内送料]]</f>
        <v/>
      </c>
      <c r="Y460" s="139" t="n">
        <v>0.08</v>
      </c>
      <c r="Z460" s="167" t="n"/>
      <c r="AA460" s="167" t="n"/>
      <c r="AB460" s="167" t="n"/>
      <c r="AC460" s="293" t="n"/>
      <c r="AD460" s="167" t="n"/>
      <c r="AE460" s="167" t="n"/>
      <c r="AF460" s="167" t="n"/>
      <c r="AG460" s="144" t="n"/>
    </row>
    <row r="461" ht="18" customHeight="1" s="207">
      <c r="A461" s="166" t="inlineStr">
        <is>
          <t>水産</t>
        </is>
      </c>
      <c r="B461" s="167" t="inlineStr">
        <is>
          <t>水産物</t>
        </is>
      </c>
      <c r="C461" s="167" t="inlineStr">
        <is>
          <t>小樽水産加工業協同組合</t>
        </is>
      </c>
      <c r="D461" s="143">
        <f>"PRD_SNJ_"&amp;
_xlfn.XLOOKUP(商品マスタ[[#This Row],[仕入先]],テーブル1[仕入先名],テーブル1[仕入先コード],"XXX",0,1)&amp;
"_"&amp;
商品マスタ[[#This Row],[シリアル]]&amp;
"_"&amp;
TEXT(COUNTIFS(商品マスタ!$C$3:C461,商品マスタ[[#This Row],[仕入先]],商品マスタ!$E$3:E461,商品マスタ[[#This Row],[商品名]]), "00")</f>
        <v/>
      </c>
      <c r="E461" s="167" t="inlineStr">
        <is>
          <t>珍味三昧 ソフトチーズ帆立</t>
        </is>
      </c>
      <c r="F461" s="167">
        <f>IF(COUNTIFS($C$3:C461,商品マスタ[[#This Row],[仕入先]],$E$3:E461,商品マスタ[[#This Row],[商品名]]) = 1, 1,0)</f>
        <v/>
      </c>
      <c r="G461" s="133">
        <f>TEXT(SUMIF($C$3:C461,商品マスタ[[#This Row],[仕入先]],$F$3:F461), "0000")</f>
        <v/>
      </c>
      <c r="H461" s="167" t="inlineStr">
        <is>
          <t>個</t>
        </is>
      </c>
      <c r="I461" s="167" t="inlineStr">
        <is>
          <t>40g</t>
        </is>
      </c>
      <c r="J461" s="167" t="inlineStr">
        <is>
          <t>100入/ケース</t>
        </is>
      </c>
      <c r="K461" s="167" t="n"/>
      <c r="L461" s="289" t="inlineStr">
        <is>
          <t>　</t>
        </is>
      </c>
      <c r="M461" s="157" t="n"/>
      <c r="N461" s="289" t="n"/>
      <c r="O461" s="290">
        <f>IF(COUNT(商品マスタ[[#This Row],[参考上代
（税込)]]) &gt; 0, (商品マスタ[[#This Row],[参考上代
（税込)]]-商品マスタ[[#This Row],[国内定価
（15％）]])/(商品マスタ[[#This Row],[参考上代
（税込)]]/1.08), "")</f>
        <v/>
      </c>
      <c r="P461" s="136" t="n">
        <v>0.1</v>
      </c>
      <c r="Q461" s="289">
        <f>商品マスタ[[#This Row],[仕入
単価]]*商品マスタ[[#This Row],[標準国内送料率]]</f>
        <v/>
      </c>
      <c r="R461" s="289" t="n">
        <v>0</v>
      </c>
      <c r="S461" s="289">
        <f>IF(ISBLANK(商品マスタ[[#This Row],[実績
国内送料]]),商品マスタ[[#This Row],[標準国内送料]],)</f>
        <v/>
      </c>
      <c r="T461" s="289">
        <f>商品マスタ[[#This Row],[仕入
単価]]+商品マスタ[[#This Row],[国内送料]]</f>
        <v/>
      </c>
      <c r="U461" s="289">
        <f>ROUNDUP(商品マスタ[[#This Row],[仕入単価+国内送料]]/0.8,-1)</f>
        <v/>
      </c>
      <c r="V461" s="289">
        <f>商品マスタ[[#This Row],[海外定価
（20％）]]-商品マスタ[[#This Row],[仕入単価+国内送料]]</f>
        <v/>
      </c>
      <c r="W461" s="167">
        <f>ROUNDUP(商品マスタ[[#This Row],[仕入単価+国内送料]]/0.85,-1)</f>
        <v/>
      </c>
      <c r="X461" s="289">
        <f>商品マスタ[[#This Row],[国内定価
（15％）]]-商品マスタ[[#This Row],[仕入単価+国内送料]]</f>
        <v/>
      </c>
      <c r="Y461" s="139" t="n">
        <v>0.08</v>
      </c>
      <c r="Z461" s="167" t="n"/>
      <c r="AA461" s="167" t="n"/>
      <c r="AB461" s="167" t="n"/>
      <c r="AC461" s="293" t="n"/>
      <c r="AD461" s="167" t="n"/>
      <c r="AE461" s="167" t="n"/>
      <c r="AF461" s="167" t="n"/>
      <c r="AG461" s="144" t="n"/>
    </row>
    <row r="462" ht="18" customHeight="1" s="207">
      <c r="A462" s="166" t="inlineStr">
        <is>
          <t>水産</t>
        </is>
      </c>
      <c r="B462" s="167" t="inlineStr">
        <is>
          <t>水産物</t>
        </is>
      </c>
      <c r="C462" s="167" t="inlineStr">
        <is>
          <t>小樽水産加工業協同組合</t>
        </is>
      </c>
      <c r="D462" s="143">
        <f>"PRD_SNJ_"&amp;
_xlfn.XLOOKUP(商品マスタ[[#This Row],[仕入先]],テーブル1[仕入先名],テーブル1[仕入先コード],"XXX",0,1)&amp;
"_"&amp;
商品マスタ[[#This Row],[シリアル]]&amp;
"_"&amp;
TEXT(COUNTIFS(商品マスタ!$C$3:C462,商品マスタ[[#This Row],[仕入先]],商品マスタ!$E$3:E462,商品マスタ[[#This Row],[商品名]]), "00")</f>
        <v/>
      </c>
      <c r="E462" s="167" t="inlineStr">
        <is>
          <t>味付帆立貝</t>
        </is>
      </c>
      <c r="F462" s="167">
        <f>IF(COUNTIFS($C$3:C462,商品マスタ[[#This Row],[仕入先]],$E$3:E462,商品マスタ[[#This Row],[商品名]]) = 1, 1,0)</f>
        <v/>
      </c>
      <c r="G462" s="133">
        <f>TEXT(SUMIF($C$3:C462,商品マスタ[[#This Row],[仕入先]],$F$3:F462), "0000")</f>
        <v/>
      </c>
      <c r="H462" s="167" t="inlineStr">
        <is>
          <t>袋</t>
        </is>
      </c>
      <c r="I462" s="167" t="inlineStr">
        <is>
          <t>150g</t>
        </is>
      </c>
      <c r="J462" s="167" t="inlineStr">
        <is>
          <t>20包×2ケース</t>
        </is>
      </c>
      <c r="K462" s="167" t="n"/>
      <c r="L462" s="289" t="inlineStr">
        <is>
          <t>　</t>
        </is>
      </c>
      <c r="M462" s="157" t="n"/>
      <c r="N462" s="289" t="n"/>
      <c r="O462" s="290">
        <f>IF(COUNT(商品マスタ[[#This Row],[参考上代
（税込)]]) &gt; 0, (商品マスタ[[#This Row],[参考上代
（税込)]]-商品マスタ[[#This Row],[国内定価
（15％）]])/(商品マスタ[[#This Row],[参考上代
（税込)]]/1.08), "")</f>
        <v/>
      </c>
      <c r="P462" s="136" t="n">
        <v>0.1</v>
      </c>
      <c r="Q462" s="289">
        <f>商品マスタ[[#This Row],[仕入
単価]]*商品マスタ[[#This Row],[標準国内送料率]]</f>
        <v/>
      </c>
      <c r="R462" s="289" t="n">
        <v>0</v>
      </c>
      <c r="S462" s="289">
        <f>IF(ISBLANK(商品マスタ[[#This Row],[実績
国内送料]]),商品マスタ[[#This Row],[標準国内送料]],)</f>
        <v/>
      </c>
      <c r="T462" s="289">
        <f>商品マスタ[[#This Row],[仕入
単価]]+商品マスタ[[#This Row],[国内送料]]</f>
        <v/>
      </c>
      <c r="U462" s="289">
        <f>ROUNDUP(商品マスタ[[#This Row],[仕入単価+国内送料]]/0.8,-1)</f>
        <v/>
      </c>
      <c r="V462" s="289">
        <f>商品マスタ[[#This Row],[海外定価
（20％）]]-商品マスタ[[#This Row],[仕入単価+国内送料]]</f>
        <v/>
      </c>
      <c r="W462" s="167">
        <f>ROUNDUP(商品マスタ[[#This Row],[仕入単価+国内送料]]/0.85,-1)</f>
        <v/>
      </c>
      <c r="X462" s="289">
        <f>商品マスタ[[#This Row],[国内定価
（15％）]]-商品マスタ[[#This Row],[仕入単価+国内送料]]</f>
        <v/>
      </c>
      <c r="Y462" s="139" t="n">
        <v>0.08</v>
      </c>
      <c r="Z462" s="167" t="n"/>
      <c r="AA462" s="167" t="n"/>
      <c r="AB462" s="167" t="n"/>
      <c r="AC462" s="293" t="n"/>
      <c r="AD462" s="167" t="n"/>
      <c r="AE462" s="167" t="n"/>
      <c r="AF462" s="167" t="n"/>
      <c r="AG462" s="144" t="n"/>
    </row>
    <row r="463" ht="18" customHeight="1" s="207">
      <c r="A463" s="166" t="inlineStr">
        <is>
          <t>水産</t>
        </is>
      </c>
      <c r="B463" s="167" t="inlineStr">
        <is>
          <t>水産物</t>
        </is>
      </c>
      <c r="C463" s="167" t="inlineStr">
        <is>
          <t>三海幸</t>
        </is>
      </c>
      <c r="D463" s="143">
        <f>"PRD_SNJ_"&amp;
_xlfn.XLOOKUP(商品マスタ[[#This Row],[仕入先]],テーブル1[仕入先名],テーブル1[仕入先コード],"XXX",0,1)&amp;
"_"&amp;
商品マスタ[[#This Row],[シリアル]]&amp;
"_"&amp;
TEXT(COUNTIFS(商品マスタ!$C$3:C463,商品マスタ[[#This Row],[仕入先]],商品マスタ!$E$3:E463,商品マスタ[[#This Row],[商品名]]), "00")</f>
        <v/>
      </c>
      <c r="E463" s="167" t="inlineStr">
        <is>
          <t>Ori-Ori パリポリ焼き昆布</t>
        </is>
      </c>
      <c r="F463" s="167">
        <f>IF(COUNTIFS($C$3:C463,商品マスタ[[#This Row],[仕入先]],$E$3:E463,商品マスタ[[#This Row],[商品名]]) = 1, 1,0)</f>
        <v/>
      </c>
      <c r="G463" s="133">
        <f>TEXT(SUMIF($C$3:C463,商品マスタ[[#This Row],[仕入先]],$F$3:F463), "0000")</f>
        <v/>
      </c>
      <c r="H463" s="167" t="inlineStr">
        <is>
          <t>袋</t>
        </is>
      </c>
      <c r="I463" s="167" t="inlineStr">
        <is>
          <t>5g</t>
        </is>
      </c>
      <c r="J463" s="167" t="inlineStr">
        <is>
          <t>10ボール（100個）</t>
        </is>
      </c>
      <c r="K463" s="167" t="n"/>
      <c r="L463" s="289" t="n">
        <v>61</v>
      </c>
      <c r="M463" s="157" t="n"/>
      <c r="N463" s="289" t="n"/>
      <c r="O463" s="290">
        <f>IF(COUNT(商品マスタ[[#This Row],[参考上代
（税込)]]) &gt; 0, (商品マスタ[[#This Row],[参考上代
（税込)]]-商品マスタ[[#This Row],[国内定価
（15％）]])/(商品マスタ[[#This Row],[参考上代
（税込)]]/1.08), "")</f>
        <v/>
      </c>
      <c r="P463" s="136" t="n">
        <v>0.1</v>
      </c>
      <c r="Q463" s="289">
        <f>商品マスタ[[#This Row],[仕入
単価]]*商品マスタ[[#This Row],[標準国内送料率]]</f>
        <v/>
      </c>
      <c r="R463" s="289" t="n">
        <v>0</v>
      </c>
      <c r="S463" s="289">
        <f>IF(ISBLANK(商品マスタ[[#This Row],[実績
国内送料]]),商品マスタ[[#This Row],[標準国内送料]],)</f>
        <v/>
      </c>
      <c r="T463" s="289">
        <f>商品マスタ[[#This Row],[仕入
単価]]+商品マスタ[[#This Row],[国内送料]]</f>
        <v/>
      </c>
      <c r="U463" s="289">
        <f>ROUNDUP(商品マスタ[[#This Row],[仕入単価+国内送料]]/0.8,-1)</f>
        <v/>
      </c>
      <c r="V463" s="289">
        <f>商品マスタ[[#This Row],[海外定価
（20％）]]-商品マスタ[[#This Row],[仕入単価+国内送料]]</f>
        <v/>
      </c>
      <c r="W463" s="167">
        <f>ROUNDUP(商品マスタ[[#This Row],[仕入単価+国内送料]]/0.85,-1)</f>
        <v/>
      </c>
      <c r="X463" s="289">
        <f>商品マスタ[[#This Row],[国内定価
（15％）]]-商品マスタ[[#This Row],[仕入単価+国内送料]]</f>
        <v/>
      </c>
      <c r="Y463" s="139" t="n">
        <v>0.08</v>
      </c>
      <c r="Z463" s="167" t="n"/>
      <c r="AA463" s="167" t="n"/>
      <c r="AB463" s="167" t="n"/>
      <c r="AC463" s="293" t="n"/>
      <c r="AD463" s="167" t="n"/>
      <c r="AE463" s="167" t="n"/>
      <c r="AF463" s="167" t="n"/>
      <c r="AG463" s="144" t="n"/>
    </row>
    <row r="464" ht="18" customHeight="1" s="207">
      <c r="A464" s="166" t="inlineStr">
        <is>
          <t>水産</t>
        </is>
      </c>
      <c r="B464" s="167" t="inlineStr">
        <is>
          <t>水産物</t>
        </is>
      </c>
      <c r="C464" s="167" t="inlineStr">
        <is>
          <t>三海幸</t>
        </is>
      </c>
      <c r="D464" s="143">
        <f>"PRD_SNJ_"&amp;
_xlfn.XLOOKUP(商品マスタ[[#This Row],[仕入先]],テーブル1[仕入先名],テーブル1[仕入先コード],"XXX",0,1)&amp;
"_"&amp;
商品マスタ[[#This Row],[シリアル]]&amp;
"_"&amp;
TEXT(COUNTIFS(商品マスタ!$C$3:C464,商品マスタ[[#This Row],[仕入先]],商品マスタ!$E$3:E464,商品マスタ[[#This Row],[商品名]]), "00")</f>
        <v/>
      </c>
      <c r="E464" s="167" t="inlineStr">
        <is>
          <t>Ori-Ori あずき甘納豆おちちまめ</t>
        </is>
      </c>
      <c r="F464" s="167">
        <f>IF(COUNTIFS($C$3:C464,商品マスタ[[#This Row],[仕入先]],$E$3:E464,商品マスタ[[#This Row],[商品名]]) = 1, 1,0)</f>
        <v/>
      </c>
      <c r="G464" s="133">
        <f>TEXT(SUMIF($C$3:C464,商品マスタ[[#This Row],[仕入先]],$F$3:F464), "0000")</f>
        <v/>
      </c>
      <c r="H464" s="167" t="inlineStr">
        <is>
          <t>袋</t>
        </is>
      </c>
      <c r="I464" s="167" t="inlineStr">
        <is>
          <t>15g</t>
        </is>
      </c>
      <c r="J464" s="167" t="inlineStr">
        <is>
          <t>10ボール（100個）</t>
        </is>
      </c>
      <c r="K464" s="167" t="n"/>
      <c r="L464" s="289" t="n">
        <v>61</v>
      </c>
      <c r="M464" s="157" t="n"/>
      <c r="N464" s="289" t="n"/>
      <c r="O464" s="290">
        <f>IF(COUNT(商品マスタ[[#This Row],[参考上代
（税込)]]) &gt; 0, (商品マスタ[[#This Row],[参考上代
（税込)]]-商品マスタ[[#This Row],[国内定価
（15％）]])/(商品マスタ[[#This Row],[参考上代
（税込)]]/1.08), "")</f>
        <v/>
      </c>
      <c r="P464" s="136" t="n">
        <v>0.1</v>
      </c>
      <c r="Q464" s="289">
        <f>商品マスタ[[#This Row],[仕入
単価]]*商品マスタ[[#This Row],[標準国内送料率]]</f>
        <v/>
      </c>
      <c r="R464" s="289" t="n">
        <v>0</v>
      </c>
      <c r="S464" s="289">
        <f>IF(ISBLANK(商品マスタ[[#This Row],[実績
国内送料]]),商品マスタ[[#This Row],[標準国内送料]],)</f>
        <v/>
      </c>
      <c r="T464" s="289">
        <f>商品マスタ[[#This Row],[仕入
単価]]+商品マスタ[[#This Row],[国内送料]]</f>
        <v/>
      </c>
      <c r="U464" s="289">
        <f>ROUNDUP(商品マスタ[[#This Row],[仕入単価+国内送料]]/0.8,-1)</f>
        <v/>
      </c>
      <c r="V464" s="289">
        <f>商品マスタ[[#This Row],[海外定価
（20％）]]-商品マスタ[[#This Row],[仕入単価+国内送料]]</f>
        <v/>
      </c>
      <c r="W464" s="167">
        <f>ROUNDUP(商品マスタ[[#This Row],[仕入単価+国内送料]]/0.85,-1)</f>
        <v/>
      </c>
      <c r="X464" s="289">
        <f>商品マスタ[[#This Row],[国内定価
（15％）]]-商品マスタ[[#This Row],[仕入単価+国内送料]]</f>
        <v/>
      </c>
      <c r="Y464" s="139" t="n">
        <v>0.08</v>
      </c>
      <c r="Z464" s="167" t="n"/>
      <c r="AA464" s="167" t="n"/>
      <c r="AB464" s="167" t="n"/>
      <c r="AC464" s="293" t="n"/>
      <c r="AD464" s="167" t="n"/>
      <c r="AE464" s="167" t="n"/>
      <c r="AF464" s="167" t="n"/>
      <c r="AG464" s="144" t="n"/>
    </row>
    <row r="465" ht="18" customHeight="1" s="207">
      <c r="A465" s="166" t="inlineStr">
        <is>
          <t>水産</t>
        </is>
      </c>
      <c r="B465" s="167" t="inlineStr">
        <is>
          <t>水産物</t>
        </is>
      </c>
      <c r="C465" s="167" t="inlineStr">
        <is>
          <t>三海幸</t>
        </is>
      </c>
      <c r="D465" s="143">
        <f>"PRD_SNJ_"&amp;
_xlfn.XLOOKUP(商品マスタ[[#This Row],[仕入先]],テーブル1[仕入先名],テーブル1[仕入先コード],"XXX",0,1)&amp;
"_"&amp;
商品マスタ[[#This Row],[シリアル]]&amp;
"_"&amp;
TEXT(COUNTIFS(商品マスタ!$C$3:C465,商品マスタ[[#This Row],[仕入先]],商品マスタ!$E$3:E465,商品マスタ[[#This Row],[商品名]]), "00")</f>
        <v/>
      </c>
      <c r="E465" s="167" t="inlineStr">
        <is>
          <t>Ori-Ori おちちくるみ</t>
        </is>
      </c>
      <c r="F465" s="167">
        <f>IF(COUNTIFS($C$3:C465,商品マスタ[[#This Row],[仕入先]],$E$3:E465,商品マスタ[[#This Row],[商品名]]) = 1, 1,0)</f>
        <v/>
      </c>
      <c r="G465" s="133">
        <f>TEXT(SUMIF($C$3:C465,商品マスタ[[#This Row],[仕入先]],$F$3:F465), "0000")</f>
        <v/>
      </c>
      <c r="H465" s="167" t="inlineStr">
        <is>
          <t>袋</t>
        </is>
      </c>
      <c r="I465" s="167" t="inlineStr">
        <is>
          <t>11g</t>
        </is>
      </c>
      <c r="J465" s="167" t="inlineStr">
        <is>
          <t>10ボール（100個）</t>
        </is>
      </c>
      <c r="K465" s="167" t="n"/>
      <c r="L465" s="289" t="n">
        <v>61</v>
      </c>
      <c r="M465" s="157" t="n"/>
      <c r="N465" s="289" t="n"/>
      <c r="O465" s="290">
        <f>IF(COUNT(商品マスタ[[#This Row],[参考上代
（税込)]]) &gt; 0, (商品マスタ[[#This Row],[参考上代
（税込)]]-商品マスタ[[#This Row],[国内定価
（15％）]])/(商品マスタ[[#This Row],[参考上代
（税込)]]/1.08), "")</f>
        <v/>
      </c>
      <c r="P465" s="136" t="n">
        <v>0.1</v>
      </c>
      <c r="Q465" s="289">
        <f>商品マスタ[[#This Row],[仕入
単価]]*商品マスタ[[#This Row],[標準国内送料率]]</f>
        <v/>
      </c>
      <c r="R465" s="289" t="n">
        <v>0</v>
      </c>
      <c r="S465" s="289">
        <f>IF(ISBLANK(商品マスタ[[#This Row],[実績
国内送料]]),商品マスタ[[#This Row],[標準国内送料]],)</f>
        <v/>
      </c>
      <c r="T465" s="289">
        <f>商品マスタ[[#This Row],[仕入
単価]]+商品マスタ[[#This Row],[国内送料]]</f>
        <v/>
      </c>
      <c r="U465" s="289">
        <f>ROUNDUP(商品マスタ[[#This Row],[仕入単価+国内送料]]/0.8,-1)</f>
        <v/>
      </c>
      <c r="V465" s="289">
        <f>商品マスタ[[#This Row],[海外定価
（20％）]]-商品マスタ[[#This Row],[仕入単価+国内送料]]</f>
        <v/>
      </c>
      <c r="W465" s="167">
        <f>ROUNDUP(商品マスタ[[#This Row],[仕入単価+国内送料]]/0.85,-1)</f>
        <v/>
      </c>
      <c r="X465" s="289">
        <f>商品マスタ[[#This Row],[国内定価
（15％）]]-商品マスタ[[#This Row],[仕入単価+国内送料]]</f>
        <v/>
      </c>
      <c r="Y465" s="139" t="n">
        <v>0.08</v>
      </c>
      <c r="Z465" s="167" t="n"/>
      <c r="AA465" s="167" t="n"/>
      <c r="AB465" s="167" t="n"/>
      <c r="AC465" s="293" t="n"/>
      <c r="AD465" s="167" t="n"/>
      <c r="AE465" s="167" t="n"/>
      <c r="AF465" s="167" t="n"/>
      <c r="AG465" s="144" t="n"/>
    </row>
    <row r="466" ht="18" customHeight="1" s="207">
      <c r="A466" s="166" t="inlineStr">
        <is>
          <t>水産</t>
        </is>
      </c>
      <c r="B466" s="167" t="inlineStr">
        <is>
          <t>水産物</t>
        </is>
      </c>
      <c r="C466" s="167" t="inlineStr">
        <is>
          <t>三海幸</t>
        </is>
      </c>
      <c r="D466" s="143">
        <f>"PRD_SNJ_"&amp;
_xlfn.XLOOKUP(商品マスタ[[#This Row],[仕入先]],テーブル1[仕入先名],テーブル1[仕入先コード],"XXX",0,1)&amp;
"_"&amp;
商品マスタ[[#This Row],[シリアル]]&amp;
"_"&amp;
TEXT(COUNTIFS(商品マスタ!$C$3:C466,商品マスタ[[#This Row],[仕入先]],商品マスタ!$E$3:E466,商品マスタ[[#This Row],[商品名]]), "00")</f>
        <v/>
      </c>
      <c r="E466" s="167" t="inlineStr">
        <is>
          <t>Ori-Ori きなこくるみ</t>
        </is>
      </c>
      <c r="F466" s="167">
        <f>IF(COUNTIFS($C$3:C466,商品マスタ[[#This Row],[仕入先]],$E$3:E466,商品マスタ[[#This Row],[商品名]]) = 1, 1,0)</f>
        <v/>
      </c>
      <c r="G466" s="133">
        <f>TEXT(SUMIF($C$3:C466,商品マスタ[[#This Row],[仕入先]],$F$3:F466), "0000")</f>
        <v/>
      </c>
      <c r="H466" s="167" t="inlineStr">
        <is>
          <t>袋</t>
        </is>
      </c>
      <c r="I466" s="167" t="inlineStr">
        <is>
          <t>15g</t>
        </is>
      </c>
      <c r="J466" s="167" t="inlineStr">
        <is>
          <t>10ボール（100個）</t>
        </is>
      </c>
      <c r="K466" s="167" t="n"/>
      <c r="L466" s="289" t="n">
        <v>61</v>
      </c>
      <c r="M466" s="157" t="n"/>
      <c r="N466" s="289" t="n"/>
      <c r="O466" s="290">
        <f>IF(COUNT(商品マスタ[[#This Row],[参考上代
（税込)]]) &gt; 0, (商品マスタ[[#This Row],[参考上代
（税込)]]-商品マスタ[[#This Row],[国内定価
（15％）]])/(商品マスタ[[#This Row],[参考上代
（税込)]]/1.08), "")</f>
        <v/>
      </c>
      <c r="P466" s="136" t="n">
        <v>0.1</v>
      </c>
      <c r="Q466" s="289">
        <f>商品マスタ[[#This Row],[仕入
単価]]*商品マスタ[[#This Row],[標準国内送料率]]</f>
        <v/>
      </c>
      <c r="R466" s="289" t="n">
        <v>0</v>
      </c>
      <c r="S466" s="289">
        <f>IF(ISBLANK(商品マスタ[[#This Row],[実績
国内送料]]),商品マスタ[[#This Row],[標準国内送料]],)</f>
        <v/>
      </c>
      <c r="T466" s="289">
        <f>商品マスタ[[#This Row],[仕入
単価]]+商品マスタ[[#This Row],[国内送料]]</f>
        <v/>
      </c>
      <c r="U466" s="289">
        <f>ROUNDUP(商品マスタ[[#This Row],[仕入単価+国内送料]]/0.8,-1)</f>
        <v/>
      </c>
      <c r="V466" s="289">
        <f>商品マスタ[[#This Row],[海外定価
（20％）]]-商品マスタ[[#This Row],[仕入単価+国内送料]]</f>
        <v/>
      </c>
      <c r="W466" s="167">
        <f>ROUNDUP(商品マスタ[[#This Row],[仕入単価+国内送料]]/0.85,-1)</f>
        <v/>
      </c>
      <c r="X466" s="289">
        <f>商品マスタ[[#This Row],[国内定価
（15％）]]-商品マスタ[[#This Row],[仕入単価+国内送料]]</f>
        <v/>
      </c>
      <c r="Y466" s="139" t="n">
        <v>0.08</v>
      </c>
      <c r="Z466" s="167" t="n"/>
      <c r="AA466" s="167" t="n"/>
      <c r="AB466" s="167" t="n"/>
      <c r="AC466" s="293" t="n"/>
      <c r="AD466" s="167" t="n"/>
      <c r="AE466" s="167" t="n"/>
      <c r="AF466" s="167" t="n"/>
      <c r="AG466" s="144" t="n"/>
    </row>
    <row r="467" ht="18" customHeight="1" s="207">
      <c r="A467" s="166" t="inlineStr">
        <is>
          <t>水産</t>
        </is>
      </c>
      <c r="B467" s="167" t="inlineStr">
        <is>
          <t>水産物</t>
        </is>
      </c>
      <c r="C467" s="167" t="inlineStr">
        <is>
          <t>三海幸</t>
        </is>
      </c>
      <c r="D467" s="143">
        <f>"PRD_SNJ_"&amp;
_xlfn.XLOOKUP(商品マスタ[[#This Row],[仕入先]],テーブル1[仕入先名],テーブル1[仕入先コード],"XXX",0,1)&amp;
"_"&amp;
商品マスタ[[#This Row],[シリアル]]&amp;
"_"&amp;
TEXT(COUNTIFS(商品マスタ!$C$3:C467,商品マスタ[[#This Row],[仕入先]],商品マスタ!$E$3:E467,商品マスタ[[#This Row],[商品名]]), "00")</f>
        <v/>
      </c>
      <c r="E467" s="167" t="inlineStr">
        <is>
          <t>Ori-Ori 黒胡椒味カリカリ大豆アーモンド</t>
        </is>
      </c>
      <c r="F467" s="167">
        <f>IF(COUNTIFS($C$3:C467,商品マスタ[[#This Row],[仕入先]],$E$3:E467,商品マスタ[[#This Row],[商品名]]) = 1, 1,0)</f>
        <v/>
      </c>
      <c r="G467" s="133">
        <f>TEXT(SUMIF($C$3:C467,商品マスタ[[#This Row],[仕入先]],$F$3:F467), "0000")</f>
        <v/>
      </c>
      <c r="H467" s="167" t="inlineStr">
        <is>
          <t>袋</t>
        </is>
      </c>
      <c r="I467" s="167" t="inlineStr">
        <is>
          <t>18g</t>
        </is>
      </c>
      <c r="J467" s="167" t="inlineStr">
        <is>
          <t>10ボール（100個）</t>
        </is>
      </c>
      <c r="K467" s="167" t="n"/>
      <c r="L467" s="289" t="n">
        <v>61</v>
      </c>
      <c r="M467" s="157" t="n"/>
      <c r="N467" s="289" t="n"/>
      <c r="O467" s="290">
        <f>IF(COUNT(商品マスタ[[#This Row],[参考上代
（税込)]]) &gt; 0, (商品マスタ[[#This Row],[参考上代
（税込)]]-商品マスタ[[#This Row],[国内定価
（15％）]])/(商品マスタ[[#This Row],[参考上代
（税込)]]/1.08), "")</f>
        <v/>
      </c>
      <c r="P467" s="136" t="n">
        <v>0.1</v>
      </c>
      <c r="Q467" s="289">
        <f>商品マスタ[[#This Row],[仕入
単価]]*商品マスタ[[#This Row],[標準国内送料率]]</f>
        <v/>
      </c>
      <c r="R467" s="289" t="n">
        <v>0</v>
      </c>
      <c r="S467" s="289">
        <f>IF(ISBLANK(商品マスタ[[#This Row],[実績
国内送料]]),商品マスタ[[#This Row],[標準国内送料]],)</f>
        <v/>
      </c>
      <c r="T467" s="289">
        <f>商品マスタ[[#This Row],[仕入
単価]]+商品マスタ[[#This Row],[国内送料]]</f>
        <v/>
      </c>
      <c r="U467" s="289">
        <f>ROUNDUP(商品マスタ[[#This Row],[仕入単価+国内送料]]/0.8,-1)</f>
        <v/>
      </c>
      <c r="V467" s="289">
        <f>商品マスタ[[#This Row],[海外定価
（20％）]]-商品マスタ[[#This Row],[仕入単価+国内送料]]</f>
        <v/>
      </c>
      <c r="W467" s="167">
        <f>ROUNDUP(商品マスタ[[#This Row],[仕入単価+国内送料]]/0.85,-1)</f>
        <v/>
      </c>
      <c r="X467" s="289">
        <f>商品マスタ[[#This Row],[国内定価
（15％）]]-商品マスタ[[#This Row],[仕入単価+国内送料]]</f>
        <v/>
      </c>
      <c r="Y467" s="139" t="n">
        <v>0.08</v>
      </c>
      <c r="Z467" s="167" t="n"/>
      <c r="AA467" s="167" t="n"/>
      <c r="AB467" s="167" t="n"/>
      <c r="AC467" s="293" t="n"/>
      <c r="AD467" s="167" t="n"/>
      <c r="AE467" s="167" t="n"/>
      <c r="AF467" s="167" t="n"/>
      <c r="AG467" s="144" t="n"/>
    </row>
    <row r="468" ht="18" customHeight="1" s="207">
      <c r="A468" s="166" t="inlineStr">
        <is>
          <t>水産</t>
        </is>
      </c>
      <c r="B468" s="167" t="inlineStr">
        <is>
          <t>水産物</t>
        </is>
      </c>
      <c r="C468" s="167" t="inlineStr">
        <is>
          <t>三海幸</t>
        </is>
      </c>
      <c r="D468" s="143">
        <f>"PRD_SNJ_"&amp;
_xlfn.XLOOKUP(商品マスタ[[#This Row],[仕入先]],テーブル1[仕入先名],テーブル1[仕入先コード],"XXX",0,1)&amp;
"_"&amp;
商品マスタ[[#This Row],[シリアル]]&amp;
"_"&amp;
TEXT(COUNTIFS(商品マスタ!$C$3:C468,商品マスタ[[#This Row],[仕入先]],商品マスタ!$E$3:E468,商品マスタ[[#This Row],[商品名]]), "00")</f>
        <v/>
      </c>
      <c r="E468" s="167" t="inlineStr">
        <is>
          <t>Ori-Ori 黒胡椒味カリカリ大豆くるみ</t>
        </is>
      </c>
      <c r="F468" s="167">
        <f>IF(COUNTIFS($C$3:C468,商品マスタ[[#This Row],[仕入先]],$E$3:E468,商品マスタ[[#This Row],[商品名]]) = 1, 1,0)</f>
        <v/>
      </c>
      <c r="G468" s="133">
        <f>TEXT(SUMIF($C$3:C468,商品マスタ[[#This Row],[仕入先]],$F$3:F468), "0000")</f>
        <v/>
      </c>
      <c r="H468" s="167" t="inlineStr">
        <is>
          <t>袋</t>
        </is>
      </c>
      <c r="I468" s="167" t="inlineStr">
        <is>
          <t>18g</t>
        </is>
      </c>
      <c r="J468" s="167" t="inlineStr">
        <is>
          <t>10ボール（100個）</t>
        </is>
      </c>
      <c r="K468" s="167" t="n"/>
      <c r="L468" s="289" t="n">
        <v>61</v>
      </c>
      <c r="M468" s="157" t="n"/>
      <c r="N468" s="289" t="n"/>
      <c r="O468" s="290">
        <f>IF(COUNT(商品マスタ[[#This Row],[参考上代
（税込)]]) &gt; 0, (商品マスタ[[#This Row],[参考上代
（税込)]]-商品マスタ[[#This Row],[国内定価
（15％）]])/(商品マスタ[[#This Row],[参考上代
（税込)]]/1.08), "")</f>
        <v/>
      </c>
      <c r="P468" s="136" t="n">
        <v>0.1</v>
      </c>
      <c r="Q468" s="289">
        <f>商品マスタ[[#This Row],[仕入
単価]]*商品マスタ[[#This Row],[標準国内送料率]]</f>
        <v/>
      </c>
      <c r="R468" s="289" t="n">
        <v>0</v>
      </c>
      <c r="S468" s="289">
        <f>IF(ISBLANK(商品マスタ[[#This Row],[実績
国内送料]]),商品マスタ[[#This Row],[標準国内送料]],)</f>
        <v/>
      </c>
      <c r="T468" s="289">
        <f>商品マスタ[[#This Row],[仕入
単価]]+商品マスタ[[#This Row],[国内送料]]</f>
        <v/>
      </c>
      <c r="U468" s="289">
        <f>ROUNDUP(商品マスタ[[#This Row],[仕入単価+国内送料]]/0.8,-1)</f>
        <v/>
      </c>
      <c r="V468" s="289">
        <f>商品マスタ[[#This Row],[海外定価
（20％）]]-商品マスタ[[#This Row],[仕入単価+国内送料]]</f>
        <v/>
      </c>
      <c r="W468" s="167">
        <f>ROUNDUP(商品マスタ[[#This Row],[仕入単価+国内送料]]/0.85,-1)</f>
        <v/>
      </c>
      <c r="X468" s="289">
        <f>商品マスタ[[#This Row],[国内定価
（15％）]]-商品マスタ[[#This Row],[仕入単価+国内送料]]</f>
        <v/>
      </c>
      <c r="Y468" s="139" t="n">
        <v>0.08</v>
      </c>
      <c r="Z468" s="167" t="n"/>
      <c r="AA468" s="167" t="n"/>
      <c r="AB468" s="167" t="n"/>
      <c r="AC468" s="293" t="n"/>
      <c r="AD468" s="167" t="n"/>
      <c r="AE468" s="167" t="n"/>
      <c r="AF468" s="167" t="n"/>
      <c r="AG468" s="144" t="n"/>
    </row>
    <row r="469" ht="18" customHeight="1" s="207">
      <c r="A469" s="166" t="inlineStr">
        <is>
          <t>水産</t>
        </is>
      </c>
      <c r="B469" s="167" t="inlineStr">
        <is>
          <t>水産物</t>
        </is>
      </c>
      <c r="C469" s="167" t="inlineStr">
        <is>
          <t>三海幸</t>
        </is>
      </c>
      <c r="D469" s="143">
        <f>"PRD_SNJ_"&amp;
_xlfn.XLOOKUP(商品マスタ[[#This Row],[仕入先]],テーブル1[仕入先名],テーブル1[仕入先コード],"XXX",0,1)&amp;
"_"&amp;
商品マスタ[[#This Row],[シリアル]]&amp;
"_"&amp;
TEXT(COUNTIFS(商品マスタ!$C$3:C469,商品マスタ[[#This Row],[仕入先]],商品マスタ!$E$3:E469,商品マスタ[[#This Row],[商品名]]), "00")</f>
        <v/>
      </c>
      <c r="E469" s="167" t="inlineStr">
        <is>
          <t>Ori-Ori 辛味噌味カリカリ大豆アーモンド・くるみ</t>
        </is>
      </c>
      <c r="F469" s="167">
        <f>IF(COUNTIFS($C$3:C469,商品マスタ[[#This Row],[仕入先]],$E$3:E469,商品マスタ[[#This Row],[商品名]]) = 1, 1,0)</f>
        <v/>
      </c>
      <c r="G469" s="133">
        <f>TEXT(SUMIF($C$3:C469,商品マスタ[[#This Row],[仕入先]],$F$3:F469), "0000")</f>
        <v/>
      </c>
      <c r="H469" s="167" t="inlineStr">
        <is>
          <t>袋</t>
        </is>
      </c>
      <c r="I469" s="167" t="inlineStr">
        <is>
          <t>20g</t>
        </is>
      </c>
      <c r="J469" s="167" t="inlineStr">
        <is>
          <t>10ボール（100個）</t>
        </is>
      </c>
      <c r="K469" s="167" t="n"/>
      <c r="L469" s="289" t="n">
        <v>61</v>
      </c>
      <c r="M469" s="157" t="n"/>
      <c r="N469" s="289" t="n"/>
      <c r="O469" s="290">
        <f>IF(COUNT(商品マスタ[[#This Row],[参考上代
（税込)]]) &gt; 0, (商品マスタ[[#This Row],[参考上代
（税込)]]-商品マスタ[[#This Row],[国内定価
（15％）]])/(商品マスタ[[#This Row],[参考上代
（税込)]]/1.08), "")</f>
        <v/>
      </c>
      <c r="P469" s="136" t="n">
        <v>0.1</v>
      </c>
      <c r="Q469" s="289">
        <f>商品マスタ[[#This Row],[仕入
単価]]*商品マスタ[[#This Row],[標準国内送料率]]</f>
        <v/>
      </c>
      <c r="R469" s="289" t="n">
        <v>0</v>
      </c>
      <c r="S469" s="289">
        <f>IF(ISBLANK(商品マスタ[[#This Row],[実績
国内送料]]),商品マスタ[[#This Row],[標準国内送料]],)</f>
        <v/>
      </c>
      <c r="T469" s="289">
        <f>商品マスタ[[#This Row],[仕入
単価]]+商品マスタ[[#This Row],[国内送料]]</f>
        <v/>
      </c>
      <c r="U469" s="289">
        <f>ROUNDUP(商品マスタ[[#This Row],[仕入単価+国内送料]]/0.8,-1)</f>
        <v/>
      </c>
      <c r="V469" s="289">
        <f>商品マスタ[[#This Row],[海外定価
（20％）]]-商品マスタ[[#This Row],[仕入単価+国内送料]]</f>
        <v/>
      </c>
      <c r="W469" s="167">
        <f>ROUNDUP(商品マスタ[[#This Row],[仕入単価+国内送料]]/0.85,-1)</f>
        <v/>
      </c>
      <c r="X469" s="289">
        <f>商品マスタ[[#This Row],[国内定価
（15％）]]-商品マスタ[[#This Row],[仕入単価+国内送料]]</f>
        <v/>
      </c>
      <c r="Y469" s="139" t="n">
        <v>0.08</v>
      </c>
      <c r="Z469" s="167" t="n"/>
      <c r="AA469" s="167" t="n"/>
      <c r="AB469" s="167" t="n"/>
      <c r="AC469" s="293" t="n"/>
      <c r="AD469" s="167" t="n"/>
      <c r="AE469" s="167" t="n"/>
      <c r="AF469" s="167" t="n"/>
      <c r="AG469" s="144" t="n"/>
    </row>
    <row r="470" ht="18" customHeight="1" s="207">
      <c r="A470" s="166" t="inlineStr">
        <is>
          <t>水産</t>
        </is>
      </c>
      <c r="B470" s="167" t="inlineStr">
        <is>
          <t>水産物</t>
        </is>
      </c>
      <c r="C470" s="167" t="inlineStr">
        <is>
          <t>三海幸</t>
        </is>
      </c>
      <c r="D470" s="143">
        <f>"PRD_SNJ_"&amp;
_xlfn.XLOOKUP(商品マスタ[[#This Row],[仕入先]],テーブル1[仕入先名],テーブル1[仕入先コード],"XXX",0,1)&amp;
"_"&amp;
商品マスタ[[#This Row],[シリアル]]&amp;
"_"&amp;
TEXT(COUNTIFS(商品マスタ!$C$3:C470,商品マスタ[[#This Row],[仕入先]],商品マスタ!$E$3:E470,商品マスタ[[#This Row],[商品名]]), "00")</f>
        <v/>
      </c>
      <c r="E470" s="167" t="inlineStr">
        <is>
          <t>がっつりタコ風味のおつまみイカ</t>
        </is>
      </c>
      <c r="F470" s="167">
        <f>IF(COUNTIFS($C$3:C470,商品マスタ[[#This Row],[仕入先]],$E$3:E470,商品マスタ[[#This Row],[商品名]]) = 1, 1,0)</f>
        <v/>
      </c>
      <c r="G470" s="133">
        <f>TEXT(SUMIF($C$3:C470,商品マスタ[[#This Row],[仕入先]],$F$3:F470), "0000")</f>
        <v/>
      </c>
      <c r="H470" s="167" t="inlineStr">
        <is>
          <t>袋</t>
        </is>
      </c>
      <c r="I470" s="167" t="inlineStr">
        <is>
          <t>50g</t>
        </is>
      </c>
      <c r="J470" s="167" t="inlineStr">
        <is>
          <t>3ケース（180袋）</t>
        </is>
      </c>
      <c r="K470" s="167" t="n"/>
      <c r="L470" s="289" t="n">
        <v>300</v>
      </c>
      <c r="M470" s="157" t="n"/>
      <c r="N470" s="289" t="n"/>
      <c r="O470" s="290">
        <f>IF(COUNT(商品マスタ[[#This Row],[参考上代
（税込)]]) &gt; 0, (商品マスタ[[#This Row],[参考上代
（税込)]]-商品マスタ[[#This Row],[国内定価
（15％）]])/(商品マスタ[[#This Row],[参考上代
（税込)]]/1.08), "")</f>
        <v/>
      </c>
      <c r="P470" s="136" t="n">
        <v>0.1</v>
      </c>
      <c r="Q470" s="289">
        <f>商品マスタ[[#This Row],[仕入
単価]]*商品マスタ[[#This Row],[標準国内送料率]]</f>
        <v/>
      </c>
      <c r="R470" s="289" t="n">
        <v>0</v>
      </c>
      <c r="S470" s="289">
        <f>IF(ISBLANK(商品マスタ[[#This Row],[実績
国内送料]]),商品マスタ[[#This Row],[標準国内送料]],)</f>
        <v/>
      </c>
      <c r="T470" s="289">
        <f>商品マスタ[[#This Row],[仕入
単価]]+商品マスタ[[#This Row],[国内送料]]</f>
        <v/>
      </c>
      <c r="U470" s="289">
        <f>ROUNDUP(商品マスタ[[#This Row],[仕入単価+国内送料]]/0.8,-1)</f>
        <v/>
      </c>
      <c r="V470" s="289">
        <f>商品マスタ[[#This Row],[海外定価
（20％）]]-商品マスタ[[#This Row],[仕入単価+国内送料]]</f>
        <v/>
      </c>
      <c r="W470" s="167">
        <f>ROUNDUP(商品マスタ[[#This Row],[仕入単価+国内送料]]/0.85,-1)</f>
        <v/>
      </c>
      <c r="X470" s="289">
        <f>商品マスタ[[#This Row],[国内定価
（15％）]]-商品マスタ[[#This Row],[仕入単価+国内送料]]</f>
        <v/>
      </c>
      <c r="Y470" s="139" t="n">
        <v>0.08</v>
      </c>
      <c r="Z470" s="167" t="n"/>
      <c r="AA470" s="167" t="n"/>
      <c r="AB470" s="167" t="n"/>
      <c r="AC470" s="293" t="n"/>
      <c r="AD470" s="167" t="n"/>
      <c r="AE470" s="167" t="n"/>
      <c r="AF470" s="167" t="n"/>
      <c r="AG470" s="144" t="n"/>
    </row>
    <row r="471" ht="18" customHeight="1" s="207">
      <c r="A471" s="166" t="inlineStr">
        <is>
          <t>水産</t>
        </is>
      </c>
      <c r="B471" s="167" t="inlineStr">
        <is>
          <t>水産物</t>
        </is>
      </c>
      <c r="C471" s="167" t="inlineStr">
        <is>
          <t>三海幸</t>
        </is>
      </c>
      <c r="D471" s="143">
        <f>"PRD_SNJ_"&amp;
_xlfn.XLOOKUP(商品マスタ[[#This Row],[仕入先]],テーブル1[仕入先名],テーブル1[仕入先コード],"XXX",0,1)&amp;
"_"&amp;
商品マスタ[[#This Row],[シリアル]]&amp;
"_"&amp;
TEXT(COUNTIFS(商品マスタ!$C$3:C471,商品マスタ[[#This Row],[仕入先]],商品マスタ!$E$3:E471,商品マスタ[[#This Row],[商品名]]), "00")</f>
        <v/>
      </c>
      <c r="E471" s="167" t="inlineStr">
        <is>
          <t>がっつり黒胡椒の北海道鮭とば</t>
        </is>
      </c>
      <c r="F471" s="167">
        <f>IF(COUNTIFS($C$3:C471,商品マスタ[[#This Row],[仕入先]],$E$3:E471,商品マスタ[[#This Row],[商品名]]) = 1, 1,0)</f>
        <v/>
      </c>
      <c r="G471" s="133">
        <f>TEXT(SUMIF($C$3:C471,商品マスタ[[#This Row],[仕入先]],$F$3:F471), "0000")</f>
        <v/>
      </c>
      <c r="H471" s="167" t="inlineStr">
        <is>
          <t>袋</t>
        </is>
      </c>
      <c r="I471" s="167" t="inlineStr">
        <is>
          <t>35g</t>
        </is>
      </c>
      <c r="J471" s="167" t="inlineStr">
        <is>
          <t>3ケース（180袋）</t>
        </is>
      </c>
      <c r="K471" s="167" t="n"/>
      <c r="L471" s="289" t="n">
        <v>360</v>
      </c>
      <c r="M471" s="157" t="n"/>
      <c r="N471" s="289" t="n"/>
      <c r="O471" s="290">
        <f>IF(COUNT(商品マスタ[[#This Row],[参考上代
（税込)]]) &gt; 0, (商品マスタ[[#This Row],[参考上代
（税込)]]-商品マスタ[[#This Row],[国内定価
（15％）]])/(商品マスタ[[#This Row],[参考上代
（税込)]]/1.08), "")</f>
        <v/>
      </c>
      <c r="P471" s="136" t="n">
        <v>0.1</v>
      </c>
      <c r="Q471" s="289">
        <f>商品マスタ[[#This Row],[仕入
単価]]*商品マスタ[[#This Row],[標準国内送料率]]</f>
        <v/>
      </c>
      <c r="R471" s="289" t="n">
        <v>0</v>
      </c>
      <c r="S471" s="289">
        <f>IF(ISBLANK(商品マスタ[[#This Row],[実績
国内送料]]),商品マスタ[[#This Row],[標準国内送料]],)</f>
        <v/>
      </c>
      <c r="T471" s="289">
        <f>商品マスタ[[#This Row],[仕入
単価]]+商品マスタ[[#This Row],[国内送料]]</f>
        <v/>
      </c>
      <c r="U471" s="289">
        <f>ROUNDUP(商品マスタ[[#This Row],[仕入単価+国内送料]]/0.8,-1)</f>
        <v/>
      </c>
      <c r="V471" s="289">
        <f>商品マスタ[[#This Row],[海外定価
（20％）]]-商品マスタ[[#This Row],[仕入単価+国内送料]]</f>
        <v/>
      </c>
      <c r="W471" s="167">
        <f>ROUNDUP(商品マスタ[[#This Row],[仕入単価+国内送料]]/0.85,-1)</f>
        <v/>
      </c>
      <c r="X471" s="289">
        <f>商品マスタ[[#This Row],[国内定価
（15％）]]-商品マスタ[[#This Row],[仕入単価+国内送料]]</f>
        <v/>
      </c>
      <c r="Y471" s="139" t="n">
        <v>0.08</v>
      </c>
      <c r="Z471" s="167" t="n"/>
      <c r="AA471" s="167" t="n"/>
      <c r="AB471" s="167" t="n"/>
      <c r="AC471" s="293" t="n"/>
      <c r="AD471" s="167" t="n"/>
      <c r="AE471" s="167" t="n"/>
      <c r="AF471" s="167" t="n"/>
      <c r="AG471" s="144" t="n"/>
    </row>
    <row r="472" ht="18" customHeight="1" s="207">
      <c r="A472" s="166" t="inlineStr">
        <is>
          <t>水産</t>
        </is>
      </c>
      <c r="B472" s="167" t="inlineStr">
        <is>
          <t>水産物</t>
        </is>
      </c>
      <c r="C472" s="167" t="inlineStr">
        <is>
          <t>三海幸</t>
        </is>
      </c>
      <c r="D472" s="143">
        <f>"PRD_SNJ_"&amp;
_xlfn.XLOOKUP(商品マスタ[[#This Row],[仕入先]],テーブル1[仕入先名],テーブル1[仕入先コード],"XXX",0,1)&amp;
"_"&amp;
商品マスタ[[#This Row],[シリアル]]&amp;
"_"&amp;
TEXT(COUNTIFS(商品マスタ!$C$3:C472,商品マスタ[[#This Row],[仕入先]],商品マスタ!$E$3:E472,商品マスタ[[#This Row],[商品名]]), "00")</f>
        <v/>
      </c>
      <c r="E472" s="167" t="inlineStr">
        <is>
          <t>がっつりチーズのやわらかイカ</t>
        </is>
      </c>
      <c r="F472" s="167">
        <f>IF(COUNTIFS($C$3:C472,商品マスタ[[#This Row],[仕入先]],$E$3:E472,商品マスタ[[#This Row],[商品名]]) = 1, 1,0)</f>
        <v/>
      </c>
      <c r="G472" s="133">
        <f>TEXT(SUMIF($C$3:C472,商品マスタ[[#This Row],[仕入先]],$F$3:F472), "0000")</f>
        <v/>
      </c>
      <c r="H472" s="167" t="inlineStr">
        <is>
          <t>袋</t>
        </is>
      </c>
      <c r="I472" s="167" t="inlineStr">
        <is>
          <t>45g</t>
        </is>
      </c>
      <c r="J472" s="167" t="inlineStr">
        <is>
          <t>3ケース（180袋）</t>
        </is>
      </c>
      <c r="K472" s="167" t="n"/>
      <c r="L472" s="289" t="n">
        <v>300</v>
      </c>
      <c r="M472" s="157" t="n"/>
      <c r="N472" s="289" t="n"/>
      <c r="O472" s="290">
        <f>IF(COUNT(商品マスタ[[#This Row],[参考上代
（税込)]]) &gt; 0, (商品マスタ[[#This Row],[参考上代
（税込)]]-商品マスタ[[#This Row],[国内定価
（15％）]])/(商品マスタ[[#This Row],[参考上代
（税込)]]/1.08), "")</f>
        <v/>
      </c>
      <c r="P472" s="136" t="n">
        <v>0.1</v>
      </c>
      <c r="Q472" s="289">
        <f>商品マスタ[[#This Row],[仕入
単価]]*商品マスタ[[#This Row],[標準国内送料率]]</f>
        <v/>
      </c>
      <c r="R472" s="289" t="n">
        <v>0</v>
      </c>
      <c r="S472" s="289">
        <f>IF(ISBLANK(商品マスタ[[#This Row],[実績
国内送料]]),商品マスタ[[#This Row],[標準国内送料]],)</f>
        <v/>
      </c>
      <c r="T472" s="289">
        <f>商品マスタ[[#This Row],[仕入
単価]]+商品マスタ[[#This Row],[国内送料]]</f>
        <v/>
      </c>
      <c r="U472" s="289">
        <f>ROUNDUP(商品マスタ[[#This Row],[仕入単価+国内送料]]/0.8,-1)</f>
        <v/>
      </c>
      <c r="V472" s="289">
        <f>商品マスタ[[#This Row],[海外定価
（20％）]]-商品マスタ[[#This Row],[仕入単価+国内送料]]</f>
        <v/>
      </c>
      <c r="W472" s="167">
        <f>ROUNDUP(商品マスタ[[#This Row],[仕入単価+国内送料]]/0.85,-1)</f>
        <v/>
      </c>
      <c r="X472" s="289">
        <f>商品マスタ[[#This Row],[国内定価
（15％）]]-商品マスタ[[#This Row],[仕入単価+国内送料]]</f>
        <v/>
      </c>
      <c r="Y472" s="139" t="n">
        <v>0.08</v>
      </c>
      <c r="Z472" s="167" t="n"/>
      <c r="AA472" s="167" t="n"/>
      <c r="AB472" s="167" t="n"/>
      <c r="AC472" s="293" t="n"/>
      <c r="AD472" s="167" t="n"/>
      <c r="AE472" s="167" t="n"/>
      <c r="AF472" s="167" t="n"/>
      <c r="AG472" s="144" t="n"/>
    </row>
    <row r="473" ht="18" customHeight="1" s="207">
      <c r="A473" s="166" t="inlineStr">
        <is>
          <t>水産</t>
        </is>
      </c>
      <c r="B473" s="167" t="inlineStr">
        <is>
          <t>水産物</t>
        </is>
      </c>
      <c r="C473" s="167" t="inlineStr">
        <is>
          <t>三海幸</t>
        </is>
      </c>
      <c r="D473" s="143">
        <f>"PRD_SNJ_"&amp;
_xlfn.XLOOKUP(商品マスタ[[#This Row],[仕入先]],テーブル1[仕入先名],テーブル1[仕入先コード],"XXX",0,1)&amp;
"_"&amp;
商品マスタ[[#This Row],[シリアル]]&amp;
"_"&amp;
TEXT(COUNTIFS(商品マスタ!$C$3:C473,商品マスタ[[#This Row],[仕入先]],商品マスタ!$E$3:E473,商品マスタ[[#This Row],[商品名]]), "00")</f>
        <v/>
      </c>
      <c r="E473" s="167" t="inlineStr">
        <is>
          <t>パリポリ焼き昆布（大袋）</t>
        </is>
      </c>
      <c r="F473" s="167">
        <f>IF(COUNTIFS($C$3:C473,商品マスタ[[#This Row],[仕入先]],$E$3:E473,商品マスタ[[#This Row],[商品名]]) = 1, 1,0)</f>
        <v/>
      </c>
      <c r="G473" s="133">
        <f>TEXT(SUMIF($C$3:C473,商品マスタ[[#This Row],[仕入先]],$F$3:F473), "0000")</f>
        <v/>
      </c>
      <c r="H473" s="167" t="inlineStr">
        <is>
          <t>袋</t>
        </is>
      </c>
      <c r="I473" s="167" t="inlineStr">
        <is>
          <t>23g</t>
        </is>
      </c>
      <c r="J473" s="167" t="inlineStr">
        <is>
          <t>3ケース（150袋）</t>
        </is>
      </c>
      <c r="K473" s="167" t="n"/>
      <c r="L473" s="289" t="n">
        <v>237</v>
      </c>
      <c r="M473" s="157" t="n"/>
      <c r="N473" s="289" t="n"/>
      <c r="O473" s="290">
        <f>IF(COUNT(商品マスタ[[#This Row],[参考上代
（税込)]]) &gt; 0, (商品マスタ[[#This Row],[参考上代
（税込)]]-商品マスタ[[#This Row],[国内定価
（15％）]])/(商品マスタ[[#This Row],[参考上代
（税込)]]/1.08), "")</f>
        <v/>
      </c>
      <c r="P473" s="136" t="n">
        <v>0.1</v>
      </c>
      <c r="Q473" s="289">
        <f>商品マスタ[[#This Row],[仕入
単価]]*商品マスタ[[#This Row],[標準国内送料率]]</f>
        <v/>
      </c>
      <c r="R473" s="289" t="n">
        <v>0</v>
      </c>
      <c r="S473" s="289">
        <f>IF(ISBLANK(商品マスタ[[#This Row],[実績
国内送料]]),商品マスタ[[#This Row],[標準国内送料]],)</f>
        <v/>
      </c>
      <c r="T473" s="289">
        <f>商品マスタ[[#This Row],[仕入
単価]]+商品マスタ[[#This Row],[国内送料]]</f>
        <v/>
      </c>
      <c r="U473" s="289">
        <f>ROUNDUP(商品マスタ[[#This Row],[仕入単価+国内送料]]/0.8,-1)</f>
        <v/>
      </c>
      <c r="V473" s="289">
        <f>商品マスタ[[#This Row],[海外定価
（20％）]]-商品マスタ[[#This Row],[仕入単価+国内送料]]</f>
        <v/>
      </c>
      <c r="W473" s="167">
        <f>ROUNDUP(商品マスタ[[#This Row],[仕入単価+国内送料]]/0.85,-1)</f>
        <v/>
      </c>
      <c r="X473" s="289">
        <f>商品マスタ[[#This Row],[国内定価
（15％）]]-商品マスタ[[#This Row],[仕入単価+国内送料]]</f>
        <v/>
      </c>
      <c r="Y473" s="139" t="n">
        <v>0.08</v>
      </c>
      <c r="Z473" s="167" t="n"/>
      <c r="AA473" s="167" t="n"/>
      <c r="AB473" s="167" t="n"/>
      <c r="AC473" s="293" t="n"/>
      <c r="AD473" s="167" t="n"/>
      <c r="AE473" s="167" t="n"/>
      <c r="AF473" s="167" t="n"/>
      <c r="AG473" s="144" t="n"/>
    </row>
    <row r="474" ht="18" customHeight="1" s="207">
      <c r="A474" s="166" t="inlineStr">
        <is>
          <t>水産</t>
        </is>
      </c>
      <c r="B474" s="167" t="inlineStr">
        <is>
          <t>水産物</t>
        </is>
      </c>
      <c r="C474" s="167" t="inlineStr">
        <is>
          <t>三海幸</t>
        </is>
      </c>
      <c r="D474" s="143">
        <f>"PRD_SNJ_"&amp;
_xlfn.XLOOKUP(商品マスタ[[#This Row],[仕入先]],テーブル1[仕入先名],テーブル1[仕入先コード],"XXX",0,1)&amp;
"_"&amp;
商品マスタ[[#This Row],[シリアル]]&amp;
"_"&amp;
TEXT(COUNTIFS(商品マスタ!$C$3:C474,商品マスタ[[#This Row],[仕入先]],商品マスタ!$E$3:E474,商品マスタ[[#This Row],[商品名]]), "00")</f>
        <v/>
      </c>
      <c r="E474" s="167" t="inlineStr">
        <is>
          <t>ひとくちサーモン</t>
        </is>
      </c>
      <c r="F474" s="167">
        <f>IF(COUNTIFS($C$3:C474,商品マスタ[[#This Row],[仕入先]],$E$3:E474,商品マスタ[[#This Row],[商品名]]) = 1, 1,0)</f>
        <v/>
      </c>
      <c r="G474" s="133">
        <f>TEXT(SUMIF($C$3:C474,商品マスタ[[#This Row],[仕入先]],$F$3:F474), "0000")</f>
        <v/>
      </c>
      <c r="H474" s="167" t="inlineStr">
        <is>
          <t>袋</t>
        </is>
      </c>
      <c r="I474" s="167" t="inlineStr">
        <is>
          <t>25g</t>
        </is>
      </c>
      <c r="J474" s="167" t="inlineStr">
        <is>
          <t>3ケース（300袋）</t>
        </is>
      </c>
      <c r="K474" s="167" t="n"/>
      <c r="L474" s="289" t="n">
        <v>270</v>
      </c>
      <c r="M474" s="157" t="n"/>
      <c r="N474" s="289" t="n"/>
      <c r="O474" s="290">
        <f>IF(COUNT(商品マスタ[[#This Row],[参考上代
（税込)]]) &gt; 0, (商品マスタ[[#This Row],[参考上代
（税込)]]-商品マスタ[[#This Row],[国内定価
（15％）]])/(商品マスタ[[#This Row],[参考上代
（税込)]]/1.08), "")</f>
        <v/>
      </c>
      <c r="P474" s="136" t="n">
        <v>0.1</v>
      </c>
      <c r="Q474" s="289">
        <f>商品マスタ[[#This Row],[仕入
単価]]*商品マスタ[[#This Row],[標準国内送料率]]</f>
        <v/>
      </c>
      <c r="R474" s="289" t="n">
        <v>0</v>
      </c>
      <c r="S474" s="289">
        <f>IF(ISBLANK(商品マスタ[[#This Row],[実績
国内送料]]),商品マスタ[[#This Row],[標準国内送料]],)</f>
        <v/>
      </c>
      <c r="T474" s="289">
        <f>商品マスタ[[#This Row],[仕入
単価]]+商品マスタ[[#This Row],[国内送料]]</f>
        <v/>
      </c>
      <c r="U474" s="289">
        <f>ROUNDUP(商品マスタ[[#This Row],[仕入単価+国内送料]]/0.8,-1)</f>
        <v/>
      </c>
      <c r="V474" s="289">
        <f>商品マスタ[[#This Row],[海外定価
（20％）]]-商品マスタ[[#This Row],[仕入単価+国内送料]]</f>
        <v/>
      </c>
      <c r="W474" s="167">
        <f>ROUNDUP(商品マスタ[[#This Row],[仕入単価+国内送料]]/0.85,-1)</f>
        <v/>
      </c>
      <c r="X474" s="289">
        <f>商品マスタ[[#This Row],[国内定価
（15％）]]-商品マスタ[[#This Row],[仕入単価+国内送料]]</f>
        <v/>
      </c>
      <c r="Y474" s="139" t="n">
        <v>0.08</v>
      </c>
      <c r="Z474" s="167" t="n"/>
      <c r="AA474" s="167" t="n"/>
      <c r="AB474" s="167" t="n"/>
      <c r="AC474" s="293" t="n"/>
      <c r="AD474" s="167" t="n"/>
      <c r="AE474" s="167" t="n"/>
      <c r="AF474" s="167" t="n"/>
      <c r="AG474" s="144" t="n"/>
    </row>
    <row r="475" ht="18" customHeight="1" s="207">
      <c r="A475" s="166" t="inlineStr">
        <is>
          <t>水産</t>
        </is>
      </c>
      <c r="B475" s="167" t="inlineStr">
        <is>
          <t>水産物</t>
        </is>
      </c>
      <c r="C475" s="167" t="inlineStr">
        <is>
          <t>三海幸</t>
        </is>
      </c>
      <c r="D475" s="143">
        <f>"PRD_SNJ_"&amp;
_xlfn.XLOOKUP(商品マスタ[[#This Row],[仕入先]],テーブル1[仕入先名],テーブル1[仕入先コード],"XXX",0,1)&amp;
"_"&amp;
商品マスタ[[#This Row],[シリアル]]&amp;
"_"&amp;
TEXT(COUNTIFS(商品マスタ!$C$3:C475,商品マスタ[[#This Row],[仕入先]],商品マスタ!$E$3:E475,商品マスタ[[#This Row],[商品名]]), "00")</f>
        <v/>
      </c>
      <c r="E475" s="167" t="inlineStr">
        <is>
          <t>北海道ミルクといちご</t>
        </is>
      </c>
      <c r="F475" s="167">
        <f>IF(COUNTIFS($C$3:C475,商品マスタ[[#This Row],[仕入先]],$E$3:E475,商品マスタ[[#This Row],[商品名]]) = 1, 1,0)</f>
        <v/>
      </c>
      <c r="G475" s="133">
        <f>TEXT(SUMIF($C$3:C475,商品マスタ[[#This Row],[仕入先]],$F$3:F475), "0000")</f>
        <v/>
      </c>
      <c r="H475" s="167" t="inlineStr">
        <is>
          <t>袋</t>
        </is>
      </c>
      <c r="I475" s="167" t="inlineStr">
        <is>
          <t>38g</t>
        </is>
      </c>
      <c r="J475" s="167" t="inlineStr">
        <is>
          <t>3ケース（240袋）</t>
        </is>
      </c>
      <c r="K475" s="167" t="n"/>
      <c r="L475" s="289" t="n">
        <v>174</v>
      </c>
      <c r="M475" s="157" t="n"/>
      <c r="N475" s="289" t="n"/>
      <c r="O475" s="290">
        <f>IF(COUNT(商品マスタ[[#This Row],[参考上代
（税込)]]) &gt; 0, (商品マスタ[[#This Row],[参考上代
（税込)]]-商品マスタ[[#This Row],[国内定価
（15％）]])/(商品マスタ[[#This Row],[参考上代
（税込)]]/1.08), "")</f>
        <v/>
      </c>
      <c r="P475" s="136" t="n">
        <v>0.1</v>
      </c>
      <c r="Q475" s="289">
        <f>商品マスタ[[#This Row],[仕入
単価]]*商品マスタ[[#This Row],[標準国内送料率]]</f>
        <v/>
      </c>
      <c r="R475" s="289" t="n">
        <v>0</v>
      </c>
      <c r="S475" s="289">
        <f>IF(ISBLANK(商品マスタ[[#This Row],[実績
国内送料]]),商品マスタ[[#This Row],[標準国内送料]],)</f>
        <v/>
      </c>
      <c r="T475" s="289">
        <f>商品マスタ[[#This Row],[仕入
単価]]+商品マスタ[[#This Row],[国内送料]]</f>
        <v/>
      </c>
      <c r="U475" s="289">
        <f>ROUNDUP(商品マスタ[[#This Row],[仕入単価+国内送料]]/0.8,-1)</f>
        <v/>
      </c>
      <c r="V475" s="289">
        <f>商品マスタ[[#This Row],[海外定価
（20％）]]-商品マスタ[[#This Row],[仕入単価+国内送料]]</f>
        <v/>
      </c>
      <c r="W475" s="167">
        <f>ROUNDUP(商品マスタ[[#This Row],[仕入単価+国内送料]]/0.85,-1)</f>
        <v/>
      </c>
      <c r="X475" s="289">
        <f>商品マスタ[[#This Row],[国内定価
（15％）]]-商品マスタ[[#This Row],[仕入単価+国内送料]]</f>
        <v/>
      </c>
      <c r="Y475" s="139" t="n">
        <v>0.08</v>
      </c>
      <c r="Z475" s="167" t="n"/>
      <c r="AA475" s="167" t="n"/>
      <c r="AB475" s="167" t="n"/>
      <c r="AC475" s="293" t="n"/>
      <c r="AD475" s="167" t="n"/>
      <c r="AE475" s="167" t="n"/>
      <c r="AF475" s="167" t="n"/>
      <c r="AG475" s="144" t="n"/>
    </row>
    <row r="476" ht="18" customHeight="1" s="207">
      <c r="A476" s="166" t="inlineStr">
        <is>
          <t>水産</t>
        </is>
      </c>
      <c r="B476" s="167" t="inlineStr">
        <is>
          <t>水産物</t>
        </is>
      </c>
      <c r="C476" s="167" t="inlineStr">
        <is>
          <t>三海幸</t>
        </is>
      </c>
      <c r="D476" s="143">
        <f>"PRD_SNJ_"&amp;
_xlfn.XLOOKUP(商品マスタ[[#This Row],[仕入先]],テーブル1[仕入先名],テーブル1[仕入先コード],"XXX",0,1)&amp;
"_"&amp;
商品マスタ[[#This Row],[シリアル]]&amp;
"_"&amp;
TEXT(COUNTIFS(商品マスタ!$C$3:C476,商品マスタ[[#This Row],[仕入先]],商品マスタ!$E$3:E476,商品マスタ[[#This Row],[商品名]]), "00")</f>
        <v/>
      </c>
      <c r="E476" s="167" t="inlineStr">
        <is>
          <t>北海道ミルクとれもん</t>
        </is>
      </c>
      <c r="F476" s="167">
        <f>IF(COUNTIFS($C$3:C476,商品マスタ[[#This Row],[仕入先]],$E$3:E476,商品マスタ[[#This Row],[商品名]]) = 1, 1,0)</f>
        <v/>
      </c>
      <c r="G476" s="133">
        <f>TEXT(SUMIF($C$3:C476,商品マスタ[[#This Row],[仕入先]],$F$3:F476), "0000")</f>
        <v/>
      </c>
      <c r="H476" s="167" t="inlineStr">
        <is>
          <t>袋</t>
        </is>
      </c>
      <c r="I476" s="167" t="inlineStr">
        <is>
          <t>28g</t>
        </is>
      </c>
      <c r="J476" s="167" t="inlineStr">
        <is>
          <t>3ケース（240袋）</t>
        </is>
      </c>
      <c r="K476" s="167" t="n"/>
      <c r="L476" s="289" t="n">
        <v>174</v>
      </c>
      <c r="M476" s="157" t="n"/>
      <c r="N476" s="289" t="n"/>
      <c r="O476" s="290">
        <f>IF(COUNT(商品マスタ[[#This Row],[参考上代
（税込)]]) &gt; 0, (商品マスタ[[#This Row],[参考上代
（税込)]]-商品マスタ[[#This Row],[国内定価
（15％）]])/(商品マスタ[[#This Row],[参考上代
（税込)]]/1.08), "")</f>
        <v/>
      </c>
      <c r="P476" s="136" t="n">
        <v>0.1</v>
      </c>
      <c r="Q476" s="289">
        <f>商品マスタ[[#This Row],[仕入
単価]]*商品マスタ[[#This Row],[標準国内送料率]]</f>
        <v/>
      </c>
      <c r="R476" s="289" t="n">
        <v>0</v>
      </c>
      <c r="S476" s="289">
        <f>IF(ISBLANK(商品マスタ[[#This Row],[実績
国内送料]]),商品マスタ[[#This Row],[標準国内送料]],)</f>
        <v/>
      </c>
      <c r="T476" s="289">
        <f>商品マスタ[[#This Row],[仕入
単価]]+商品マスタ[[#This Row],[国内送料]]</f>
        <v/>
      </c>
      <c r="U476" s="289">
        <f>ROUNDUP(商品マスタ[[#This Row],[仕入単価+国内送料]]/0.8,-1)</f>
        <v/>
      </c>
      <c r="V476" s="289">
        <f>商品マスタ[[#This Row],[海外定価
（20％）]]-商品マスタ[[#This Row],[仕入単価+国内送料]]</f>
        <v/>
      </c>
      <c r="W476" s="167">
        <f>ROUNDUP(商品マスタ[[#This Row],[仕入単価+国内送料]]/0.85,-1)</f>
        <v/>
      </c>
      <c r="X476" s="289">
        <f>商品マスタ[[#This Row],[国内定価
（15％）]]-商品マスタ[[#This Row],[仕入単価+国内送料]]</f>
        <v/>
      </c>
      <c r="Y476" s="139" t="n">
        <v>0.08</v>
      </c>
      <c r="Z476" s="167" t="n"/>
      <c r="AA476" s="167" t="n"/>
      <c r="AB476" s="167" t="n"/>
      <c r="AC476" s="293" t="n"/>
      <c r="AD476" s="167" t="n"/>
      <c r="AE476" s="167" t="n"/>
      <c r="AF476" s="167" t="n"/>
      <c r="AG476" s="144" t="n"/>
    </row>
    <row r="477" ht="18" customHeight="1" s="207">
      <c r="A477" s="166" t="inlineStr">
        <is>
          <t>水産</t>
        </is>
      </c>
      <c r="B477" s="167" t="inlineStr">
        <is>
          <t>水産物</t>
        </is>
      </c>
      <c r="C477" s="167" t="inlineStr">
        <is>
          <t>三海幸</t>
        </is>
      </c>
      <c r="D477" s="143">
        <f>"PRD_SNJ_"&amp;
_xlfn.XLOOKUP(商品マスタ[[#This Row],[仕入先]],テーブル1[仕入先名],テーブル1[仕入先コード],"XXX",0,1)&amp;
"_"&amp;
商品マスタ[[#This Row],[シリアル]]&amp;
"_"&amp;
TEXT(COUNTIFS(商品マスタ!$C$3:C477,商品マスタ[[#This Row],[仕入先]],商品マスタ!$E$3:E477,商品マスタ[[#This Row],[商品名]]), "00")</f>
        <v/>
      </c>
      <c r="E477" s="167" t="inlineStr">
        <is>
          <t>あずき甘納豆おちちまめ（大袋）</t>
        </is>
      </c>
      <c r="F477" s="167">
        <f>IF(COUNTIFS($C$3:C477,商品マスタ[[#This Row],[仕入先]],$E$3:E477,商品マスタ[[#This Row],[商品名]]) = 1, 1,0)</f>
        <v/>
      </c>
      <c r="G477" s="133">
        <f>TEXT(SUMIF($C$3:C477,商品マスタ[[#This Row],[仕入先]],$F$3:F477), "0000")</f>
        <v/>
      </c>
      <c r="H477" s="167" t="inlineStr">
        <is>
          <t>袋</t>
        </is>
      </c>
      <c r="I477" s="167" t="inlineStr">
        <is>
          <t>37g</t>
        </is>
      </c>
      <c r="J477" s="167" t="inlineStr">
        <is>
          <t>3ケース（240袋）</t>
        </is>
      </c>
      <c r="K477" s="167" t="n"/>
      <c r="L477" s="289" t="n">
        <v>156</v>
      </c>
      <c r="M477" s="157" t="n"/>
      <c r="N477" s="289" t="n"/>
      <c r="O477" s="290">
        <f>IF(COUNT(商品マスタ[[#This Row],[参考上代
（税込)]]) &gt; 0, (商品マスタ[[#This Row],[参考上代
（税込)]]-商品マスタ[[#This Row],[国内定価
（15％）]])/(商品マスタ[[#This Row],[参考上代
（税込)]]/1.08), "")</f>
        <v/>
      </c>
      <c r="P477" s="136" t="n">
        <v>0.1</v>
      </c>
      <c r="Q477" s="289">
        <f>商品マスタ[[#This Row],[仕入
単価]]*商品マスタ[[#This Row],[標準国内送料率]]</f>
        <v/>
      </c>
      <c r="R477" s="289" t="n">
        <v>0</v>
      </c>
      <c r="S477" s="289">
        <f>IF(ISBLANK(商品マスタ[[#This Row],[実績
国内送料]]),商品マスタ[[#This Row],[標準国内送料]],)</f>
        <v/>
      </c>
      <c r="T477" s="289">
        <f>商品マスタ[[#This Row],[仕入
単価]]+商品マスタ[[#This Row],[国内送料]]</f>
        <v/>
      </c>
      <c r="U477" s="289">
        <f>ROUNDUP(商品マスタ[[#This Row],[仕入単価+国内送料]]/0.8,-1)</f>
        <v/>
      </c>
      <c r="V477" s="289">
        <f>商品マスタ[[#This Row],[海外定価
（20％）]]-商品マスタ[[#This Row],[仕入単価+国内送料]]</f>
        <v/>
      </c>
      <c r="W477" s="167">
        <f>ROUNDUP(商品マスタ[[#This Row],[仕入単価+国内送料]]/0.85,-1)</f>
        <v/>
      </c>
      <c r="X477" s="289">
        <f>商品マスタ[[#This Row],[国内定価
（15％）]]-商品マスタ[[#This Row],[仕入単価+国内送料]]</f>
        <v/>
      </c>
      <c r="Y477" s="139" t="n">
        <v>0.08</v>
      </c>
      <c r="Z477" s="167" t="n"/>
      <c r="AA477" s="167" t="n"/>
      <c r="AB477" s="167" t="n"/>
      <c r="AC477" s="293" t="n"/>
      <c r="AD477" s="167" t="n"/>
      <c r="AE477" s="167" t="n"/>
      <c r="AF477" s="167" t="n"/>
      <c r="AG477" s="144" t="n"/>
    </row>
    <row r="478" ht="18" customHeight="1" s="207">
      <c r="A478" s="166" t="inlineStr">
        <is>
          <t>水産</t>
        </is>
      </c>
      <c r="B478" s="167" t="inlineStr">
        <is>
          <t>水産物</t>
        </is>
      </c>
      <c r="C478" s="167" t="inlineStr">
        <is>
          <t>三海幸</t>
        </is>
      </c>
      <c r="D478" s="143">
        <f>"PRD_SNJ_"&amp;
_xlfn.XLOOKUP(商品マスタ[[#This Row],[仕入先]],テーブル1[仕入先名],テーブル1[仕入先コード],"XXX",0,1)&amp;
"_"&amp;
商品マスタ[[#This Row],[シリアル]]&amp;
"_"&amp;
TEXT(COUNTIFS(商品マスタ!$C$3:C478,商品マスタ[[#This Row],[仕入先]],商品マスタ!$E$3:E478,商品マスタ[[#This Row],[商品名]]), "00")</f>
        <v/>
      </c>
      <c r="E478" s="167" t="inlineStr">
        <is>
          <t>おちちくるみ（大袋）</t>
        </is>
      </c>
      <c r="F478" s="167">
        <f>IF(COUNTIFS($C$3:C478,商品マスタ[[#This Row],[仕入先]],$E$3:E478,商品マスタ[[#This Row],[商品名]]) = 1, 1,0)</f>
        <v/>
      </c>
      <c r="G478" s="133">
        <f>TEXT(SUMIF($C$3:C478,商品マスタ[[#This Row],[仕入先]],$F$3:F478), "0000")</f>
        <v/>
      </c>
      <c r="H478" s="167" t="inlineStr">
        <is>
          <t>袋</t>
        </is>
      </c>
      <c r="I478" s="167" t="inlineStr">
        <is>
          <t>32g</t>
        </is>
      </c>
      <c r="J478" s="167" t="inlineStr">
        <is>
          <t>3ケース（240袋）</t>
        </is>
      </c>
      <c r="K478" s="167" t="n"/>
      <c r="L478" s="289" t="n">
        <v>156</v>
      </c>
      <c r="M478" s="157" t="n"/>
      <c r="N478" s="289" t="n"/>
      <c r="O478" s="290">
        <f>IF(COUNT(商品マスタ[[#This Row],[参考上代
（税込)]]) &gt; 0, (商品マスタ[[#This Row],[参考上代
（税込)]]-商品マスタ[[#This Row],[国内定価
（15％）]])/(商品マスタ[[#This Row],[参考上代
（税込)]]/1.08), "")</f>
        <v/>
      </c>
      <c r="P478" s="136" t="n">
        <v>0.1</v>
      </c>
      <c r="Q478" s="289">
        <f>商品マスタ[[#This Row],[仕入
単価]]*商品マスタ[[#This Row],[標準国内送料率]]</f>
        <v/>
      </c>
      <c r="R478" s="289" t="n">
        <v>0</v>
      </c>
      <c r="S478" s="289">
        <f>IF(ISBLANK(商品マスタ[[#This Row],[実績
国内送料]]),商品マスタ[[#This Row],[標準国内送料]],)</f>
        <v/>
      </c>
      <c r="T478" s="289">
        <f>商品マスタ[[#This Row],[仕入
単価]]+商品マスタ[[#This Row],[国内送料]]</f>
        <v/>
      </c>
      <c r="U478" s="289">
        <f>ROUNDUP(商品マスタ[[#This Row],[仕入単価+国内送料]]/0.8,-1)</f>
        <v/>
      </c>
      <c r="V478" s="289">
        <f>商品マスタ[[#This Row],[海外定価
（20％）]]-商品マスタ[[#This Row],[仕入単価+国内送料]]</f>
        <v/>
      </c>
      <c r="W478" s="167">
        <f>ROUNDUP(商品マスタ[[#This Row],[仕入単価+国内送料]]/0.85,-1)</f>
        <v/>
      </c>
      <c r="X478" s="289">
        <f>商品マスタ[[#This Row],[国内定価
（15％）]]-商品マスタ[[#This Row],[仕入単価+国内送料]]</f>
        <v/>
      </c>
      <c r="Y478" s="139" t="n">
        <v>0.08</v>
      </c>
      <c r="Z478" s="167" t="n"/>
      <c r="AA478" s="167" t="n"/>
      <c r="AB478" s="167" t="n"/>
      <c r="AC478" s="293" t="n"/>
      <c r="AD478" s="167" t="n"/>
      <c r="AE478" s="167" t="n"/>
      <c r="AF478" s="167" t="n"/>
      <c r="AG478" s="144" t="n"/>
    </row>
    <row r="479" ht="18" customHeight="1" s="207">
      <c r="A479" s="166" t="inlineStr">
        <is>
          <t>飲料アルコール</t>
        </is>
      </c>
      <c r="B479" s="167" t="inlineStr">
        <is>
          <t>日本酒</t>
        </is>
      </c>
      <c r="C479" s="167" t="inlineStr">
        <is>
          <t>佐々木酒造</t>
        </is>
      </c>
      <c r="D479" s="143">
        <f>"PRD_SNJ_"&amp;
_xlfn.XLOOKUP(商品マスタ[[#This Row],[仕入先]],テーブル1[仕入先名],テーブル1[仕入先コード],"XXX",0,1)&amp;
"_"&amp;
商品マスタ[[#This Row],[シリアル]]&amp;
"_"&amp;
TEXT(COUNTIFS(商品マスタ!$C$3:C479,商品マスタ[[#This Row],[仕入先]],商品マスタ!$E$3:E479,商品マスタ[[#This Row],[商品名]]), "00")</f>
        <v/>
      </c>
      <c r="E479" s="167" t="inlineStr">
        <is>
          <t>「佐々木」　極　純米大吟醸</t>
        </is>
      </c>
      <c r="F479" s="167">
        <f>IF(COUNTIFS($C$3:C479,商品マスタ[[#This Row],[仕入先]],$E$3:E479,商品マスタ[[#This Row],[商品名]]) = 1, 1,0)</f>
        <v/>
      </c>
      <c r="G479" s="133">
        <f>TEXT(SUMIF($C$3:C479,商品マスタ[[#This Row],[仕入先]],$F$3:F479), "0000")</f>
        <v/>
      </c>
      <c r="H479" s="167" t="inlineStr">
        <is>
          <t>本</t>
        </is>
      </c>
      <c r="I479" s="167" t="inlineStr">
        <is>
          <t>720ml×12本/ケース</t>
        </is>
      </c>
      <c r="J479" s="167" t="inlineStr">
        <is>
          <t>5ケース</t>
        </is>
      </c>
      <c r="K479" s="167" t="n"/>
      <c r="L479" s="289" t="n">
        <v>3000</v>
      </c>
      <c r="M479" s="157" t="n"/>
      <c r="N479" s="289" t="n"/>
      <c r="O479" s="290">
        <f>IF(COUNT(商品マスタ[[#This Row],[参考上代
（税込)]]) &gt; 0, (商品マスタ[[#This Row],[参考上代
（税込)]]-商品マスタ[[#This Row],[国内定価
（15％）]])/(商品マスタ[[#This Row],[参考上代
（税込)]]/1.08), "")</f>
        <v/>
      </c>
      <c r="P479" s="136" t="n">
        <v>0.1</v>
      </c>
      <c r="Q479" s="289">
        <f>商品マスタ[[#This Row],[仕入
単価]]*商品マスタ[[#This Row],[標準国内送料率]]</f>
        <v/>
      </c>
      <c r="R479" s="289" t="n">
        <v>0</v>
      </c>
      <c r="S479" s="289">
        <f>IF(ISBLANK(商品マスタ[[#This Row],[実績
国内送料]]),商品マスタ[[#This Row],[標準国内送料]],)</f>
        <v/>
      </c>
      <c r="T479" s="289">
        <f>商品マスタ[[#This Row],[仕入
単価]]+商品マスタ[[#This Row],[国内送料]]</f>
        <v/>
      </c>
      <c r="U479" s="289">
        <f>ROUNDUP(商品マスタ[[#This Row],[仕入単価+国内送料]]/0.8,-1)</f>
        <v/>
      </c>
      <c r="V479" s="289">
        <f>商品マスタ[[#This Row],[海外定価
（20％）]]-商品マスタ[[#This Row],[仕入単価+国内送料]]</f>
        <v/>
      </c>
      <c r="W479" s="167">
        <f>ROUNDUP(商品マスタ[[#This Row],[仕入単価+国内送料]]/0.85,-1)</f>
        <v/>
      </c>
      <c r="X479" s="289">
        <f>商品マスタ[[#This Row],[国内定価
（15％）]]-商品マスタ[[#This Row],[仕入単価+国内送料]]</f>
        <v/>
      </c>
      <c r="Y479" s="139" t="n">
        <v>0.1</v>
      </c>
      <c r="Z479" s="167" t="n"/>
      <c r="AA479" s="167" t="n"/>
      <c r="AB479" s="167" t="n"/>
      <c r="AC479" s="293" t="n"/>
      <c r="AD479" s="167" t="n"/>
      <c r="AE479" s="167" t="n"/>
      <c r="AF479" s="167" t="n"/>
      <c r="AG479" s="144" t="n"/>
    </row>
    <row r="480" ht="18" customHeight="1" s="207">
      <c r="A480" s="166" t="inlineStr">
        <is>
          <t>飲料アルコール</t>
        </is>
      </c>
      <c r="B480" s="167" t="inlineStr">
        <is>
          <t>日本酒</t>
        </is>
      </c>
      <c r="C480" s="167" t="inlineStr">
        <is>
          <t>佐々木酒造</t>
        </is>
      </c>
      <c r="D480" s="143">
        <f>"PRD_SNJ_"&amp;
_xlfn.XLOOKUP(商品マスタ[[#This Row],[仕入先]],テーブル1[仕入先名],テーブル1[仕入先コード],"XXX",0,1)&amp;
"_"&amp;
商品マスタ[[#This Row],[シリアル]]&amp;
"_"&amp;
TEXT(COUNTIFS(商品マスタ!$C$3:C480,商品マスタ[[#This Row],[仕入先]],商品マスタ!$E$3:E480,商品マスタ[[#This Row],[商品名]]), "00")</f>
        <v/>
      </c>
      <c r="E480" s="167" t="inlineStr">
        <is>
          <t>「佐々木」純米吟醸</t>
        </is>
      </c>
      <c r="F480" s="167">
        <f>IF(COUNTIFS($C$3:C480,商品マスタ[[#This Row],[仕入先]],$E$3:E480,商品マスタ[[#This Row],[商品名]]) = 1, 1,0)</f>
        <v/>
      </c>
      <c r="G480" s="133">
        <f>TEXT(SUMIF($C$3:C480,商品マスタ[[#This Row],[仕入先]],$F$3:F480), "0000")</f>
        <v/>
      </c>
      <c r="H480" s="167" t="inlineStr">
        <is>
          <t>本</t>
        </is>
      </c>
      <c r="I480" s="167" t="inlineStr">
        <is>
          <t>720ml×12本/ケース</t>
        </is>
      </c>
      <c r="J480" s="167" t="inlineStr">
        <is>
          <t>5ケース</t>
        </is>
      </c>
      <c r="K480" s="167" t="n"/>
      <c r="L480" s="289" t="n">
        <v>2000</v>
      </c>
      <c r="M480" s="157" t="n"/>
      <c r="N480" s="289" t="n"/>
      <c r="O480" s="290">
        <f>IF(COUNT(商品マスタ[[#This Row],[参考上代
（税込)]]) &gt; 0, (商品マスタ[[#This Row],[参考上代
（税込)]]-商品マスタ[[#This Row],[国内定価
（15％）]])/(商品マスタ[[#This Row],[参考上代
（税込)]]/1.08), "")</f>
        <v/>
      </c>
      <c r="P480" s="136" t="n">
        <v>0.1</v>
      </c>
      <c r="Q480" s="289">
        <f>商品マスタ[[#This Row],[仕入
単価]]*商品マスタ[[#This Row],[標準国内送料率]]</f>
        <v/>
      </c>
      <c r="R480" s="289" t="n">
        <v>0</v>
      </c>
      <c r="S480" s="289">
        <f>IF(ISBLANK(商品マスタ[[#This Row],[実績
国内送料]]),商品マスタ[[#This Row],[標準国内送料]],)</f>
        <v/>
      </c>
      <c r="T480" s="289">
        <f>商品マスタ[[#This Row],[仕入
単価]]+商品マスタ[[#This Row],[国内送料]]</f>
        <v/>
      </c>
      <c r="U480" s="289">
        <f>ROUNDUP(商品マスタ[[#This Row],[仕入単価+国内送料]]/0.8,-1)</f>
        <v/>
      </c>
      <c r="V480" s="289">
        <f>商品マスタ[[#This Row],[海外定価
（20％）]]-商品マスタ[[#This Row],[仕入単価+国内送料]]</f>
        <v/>
      </c>
      <c r="W480" s="167">
        <f>ROUNDUP(商品マスタ[[#This Row],[仕入単価+国内送料]]/0.85,-1)</f>
        <v/>
      </c>
      <c r="X480" s="289">
        <f>商品マスタ[[#This Row],[国内定価
（15％）]]-商品マスタ[[#This Row],[仕入単価+国内送料]]</f>
        <v/>
      </c>
      <c r="Y480" s="139" t="n">
        <v>0.1</v>
      </c>
      <c r="Z480" s="167" t="n"/>
      <c r="AA480" s="167" t="n"/>
      <c r="AB480" s="167" t="n"/>
      <c r="AC480" s="293" t="n"/>
      <c r="AD480" s="167" t="n"/>
      <c r="AE480" s="167" t="n"/>
      <c r="AF480" s="167" t="n"/>
      <c r="AG480" s="144" t="n"/>
    </row>
    <row r="481" ht="18" customHeight="1" s="207">
      <c r="A481" s="166" t="inlineStr">
        <is>
          <t>飲料アルコール</t>
        </is>
      </c>
      <c r="B481" s="167" t="inlineStr">
        <is>
          <t>日本酒</t>
        </is>
      </c>
      <c r="C481" s="167" t="inlineStr">
        <is>
          <t>佐々木酒造</t>
        </is>
      </c>
      <c r="D481" s="143">
        <f>"PRD_SNJ_"&amp;
_xlfn.XLOOKUP(商品マスタ[[#This Row],[仕入先]],テーブル1[仕入先名],テーブル1[仕入先コード],"XXX",0,1)&amp;
"_"&amp;
商品マスタ[[#This Row],[シリアル]]&amp;
"_"&amp;
TEXT(COUNTIFS(商品マスタ!$C$3:C481,商品マスタ[[#This Row],[仕入先]],商品マスタ!$E$3:E481,商品マスタ[[#This Row],[商品名]]), "00")</f>
        <v/>
      </c>
      <c r="E481" s="167" t="inlineStr">
        <is>
          <t>聚楽第 純米吟醸</t>
        </is>
      </c>
      <c r="F481" s="167">
        <f>IF(COUNTIFS($C$3:C481,商品マスタ[[#This Row],[仕入先]],$E$3:E481,商品マスタ[[#This Row],[商品名]]) = 1, 1,0)</f>
        <v/>
      </c>
      <c r="G481" s="133">
        <f>TEXT(SUMIF($C$3:C481,商品マスタ[[#This Row],[仕入先]],$F$3:F481), "0000")</f>
        <v/>
      </c>
      <c r="H481" s="167" t="inlineStr">
        <is>
          <t>本</t>
        </is>
      </c>
      <c r="I481" s="167" t="inlineStr">
        <is>
          <t>720ml×12本/ケース</t>
        </is>
      </c>
      <c r="J481" s="167" t="inlineStr">
        <is>
          <t>5ケース</t>
        </is>
      </c>
      <c r="K481" s="167" t="n"/>
      <c r="L481" s="289" t="n">
        <v>1255</v>
      </c>
      <c r="M481" s="157" t="n"/>
      <c r="N481" s="289" t="n"/>
      <c r="O481" s="290">
        <f>IF(COUNT(商品マスタ[[#This Row],[参考上代
（税込)]]) &gt; 0, (商品マスタ[[#This Row],[参考上代
（税込)]]-商品マスタ[[#This Row],[国内定価
（15％）]])/(商品マスタ[[#This Row],[参考上代
（税込)]]/1.08), "")</f>
        <v/>
      </c>
      <c r="P481" s="136" t="n">
        <v>0.1</v>
      </c>
      <c r="Q481" s="289">
        <f>商品マスタ[[#This Row],[仕入
単価]]*商品マスタ[[#This Row],[標準国内送料率]]</f>
        <v/>
      </c>
      <c r="R481" s="289" t="n">
        <v>0</v>
      </c>
      <c r="S481" s="289">
        <f>IF(ISBLANK(商品マスタ[[#This Row],[実績
国内送料]]),商品マスタ[[#This Row],[標準国内送料]],)</f>
        <v/>
      </c>
      <c r="T481" s="289">
        <f>商品マスタ[[#This Row],[仕入
単価]]+商品マスタ[[#This Row],[国内送料]]</f>
        <v/>
      </c>
      <c r="U481" s="289">
        <f>ROUNDUP(商品マスタ[[#This Row],[仕入単価+国内送料]]/0.8,-1)</f>
        <v/>
      </c>
      <c r="V481" s="289">
        <f>商品マスタ[[#This Row],[海外定価
（20％）]]-商品マスタ[[#This Row],[仕入単価+国内送料]]</f>
        <v/>
      </c>
      <c r="W481" s="167">
        <f>ROUNDUP(商品マスタ[[#This Row],[仕入単価+国内送料]]/0.85,-1)</f>
        <v/>
      </c>
      <c r="X481" s="289">
        <f>商品マスタ[[#This Row],[国内定価
（15％）]]-商品マスタ[[#This Row],[仕入単価+国内送料]]</f>
        <v/>
      </c>
      <c r="Y481" s="139" t="n">
        <v>0.1</v>
      </c>
      <c r="Z481" s="167" t="n"/>
      <c r="AA481" s="167" t="n"/>
      <c r="AB481" s="167" t="n"/>
      <c r="AC481" s="293" t="n"/>
      <c r="AD481" s="167" t="n"/>
      <c r="AE481" s="167" t="n"/>
      <c r="AF481" s="167" t="n"/>
      <c r="AG481" s="144" t="n"/>
    </row>
    <row r="482" ht="18" customHeight="1" s="207">
      <c r="A482" s="166" t="inlineStr">
        <is>
          <t>飲料アルコール</t>
        </is>
      </c>
      <c r="B482" s="167" t="inlineStr">
        <is>
          <t>日本酒</t>
        </is>
      </c>
      <c r="C482" s="167" t="inlineStr">
        <is>
          <t>佐々木酒造</t>
        </is>
      </c>
      <c r="D482" s="143">
        <f>"PRD_SNJ_"&amp;
_xlfn.XLOOKUP(商品マスタ[[#This Row],[仕入先]],テーブル1[仕入先名],テーブル1[仕入先コード],"XXX",0,1)&amp;
"_"&amp;
商品マスタ[[#This Row],[シリアル]]&amp;
"_"&amp;
TEXT(COUNTIFS(商品マスタ!$C$3:C482,商品マスタ[[#This Row],[仕入先]],商品マスタ!$E$3:E482,商品マスタ[[#This Row],[商品名]]), "00")</f>
        <v/>
      </c>
      <c r="E482" s="167" t="inlineStr">
        <is>
          <t>古都 大吟醸</t>
        </is>
      </c>
      <c r="F482" s="167">
        <f>IF(COUNTIFS($C$3:C482,商品マスタ[[#This Row],[仕入先]],$E$3:E482,商品マスタ[[#This Row],[商品名]]) = 1, 1,0)</f>
        <v/>
      </c>
      <c r="G482" s="133">
        <f>TEXT(SUMIF($C$3:C482,商品マスタ[[#This Row],[仕入先]],$F$3:F482), "0000")</f>
        <v/>
      </c>
      <c r="H482" s="167" t="inlineStr">
        <is>
          <t>本</t>
        </is>
      </c>
      <c r="I482" s="167" t="inlineStr">
        <is>
          <t>720ml×12本/ケース</t>
        </is>
      </c>
      <c r="J482" s="167" t="inlineStr">
        <is>
          <t>5ケース</t>
        </is>
      </c>
      <c r="K482" s="167" t="n"/>
      <c r="L482" s="289" t="n">
        <v>1817</v>
      </c>
      <c r="M482" s="157" t="n"/>
      <c r="N482" s="289" t="n"/>
      <c r="O482" s="290">
        <f>IF(COUNT(商品マスタ[[#This Row],[参考上代
（税込)]]) &gt; 0, (商品マスタ[[#This Row],[参考上代
（税込)]]-商品マスタ[[#This Row],[国内定価
（15％）]])/(商品マスタ[[#This Row],[参考上代
（税込)]]/1.08), "")</f>
        <v/>
      </c>
      <c r="P482" s="136" t="n">
        <v>0.1</v>
      </c>
      <c r="Q482" s="289">
        <f>商品マスタ[[#This Row],[仕入
単価]]*商品マスタ[[#This Row],[標準国内送料率]]</f>
        <v/>
      </c>
      <c r="R482" s="289" t="n">
        <v>0</v>
      </c>
      <c r="S482" s="289">
        <f>IF(ISBLANK(商品マスタ[[#This Row],[実績
国内送料]]),商品マスタ[[#This Row],[標準国内送料]],)</f>
        <v/>
      </c>
      <c r="T482" s="289">
        <f>商品マスタ[[#This Row],[仕入
単価]]+商品マスタ[[#This Row],[国内送料]]</f>
        <v/>
      </c>
      <c r="U482" s="289">
        <f>ROUNDUP(商品マスタ[[#This Row],[仕入単価+国内送料]]/0.8,-1)</f>
        <v/>
      </c>
      <c r="V482" s="289">
        <f>商品マスタ[[#This Row],[海外定価
（20％）]]-商品マスタ[[#This Row],[仕入単価+国内送料]]</f>
        <v/>
      </c>
      <c r="W482" s="167">
        <f>ROUNDUP(商品マスタ[[#This Row],[仕入単価+国内送料]]/0.85,-1)</f>
        <v/>
      </c>
      <c r="X482" s="289">
        <f>商品マスタ[[#This Row],[国内定価
（15％）]]-商品マスタ[[#This Row],[仕入単価+国内送料]]</f>
        <v/>
      </c>
      <c r="Y482" s="139" t="n">
        <v>0.1</v>
      </c>
      <c r="Z482" s="167" t="n"/>
      <c r="AA482" s="167" t="n"/>
      <c r="AB482" s="167" t="n"/>
      <c r="AC482" s="293" t="n"/>
      <c r="AD482" s="167" t="n"/>
      <c r="AE482" s="167" t="n"/>
      <c r="AF482" s="167" t="n"/>
      <c r="AG482" s="144" t="n"/>
    </row>
    <row r="483" ht="18" customHeight="1" s="207">
      <c r="A483" s="166" t="inlineStr">
        <is>
          <t>飲料アルコール</t>
        </is>
      </c>
      <c r="B483" s="167" t="inlineStr">
        <is>
          <t>日本酒</t>
        </is>
      </c>
      <c r="C483" s="167" t="inlineStr">
        <is>
          <t>ほまれ酒造</t>
        </is>
      </c>
      <c r="D483" s="143">
        <f>"PRD_SNJ_"&amp;
_xlfn.XLOOKUP(商品マスタ[[#This Row],[仕入先]],テーブル1[仕入先名],テーブル1[仕入先コード],"XXX",0,1)&amp;
"_"&amp;
商品マスタ[[#This Row],[シリアル]]&amp;
"_"&amp;
TEXT(COUNTIFS(商品マスタ!$C$3:C483,商品マスタ[[#This Row],[仕入先]],商品マスタ!$E$3:E483,商品マスタ[[#This Row],[商品名]]), "00")</f>
        <v/>
      </c>
      <c r="E483" s="167" t="inlineStr">
        <is>
          <t>播州産山田錦仕込 純米大吟醸酒</t>
        </is>
      </c>
      <c r="F483" s="167">
        <f>IF(COUNTIFS($C$3:C483,商品マスタ[[#This Row],[仕入先]],$E$3:E483,商品マスタ[[#This Row],[商品名]]) = 1, 1,0)</f>
        <v/>
      </c>
      <c r="G483" s="133">
        <f>TEXT(SUMIF($C$3:C483,商品マスタ[[#This Row],[仕入先]],$F$3:F483), "0000")</f>
        <v/>
      </c>
      <c r="H483" s="167" t="inlineStr">
        <is>
          <t>本</t>
        </is>
      </c>
      <c r="I483" s="167" t="inlineStr">
        <is>
          <t>720ml×12本/ケース</t>
        </is>
      </c>
      <c r="J483" s="167" t="inlineStr">
        <is>
          <t>5ケース</t>
        </is>
      </c>
      <c r="K483" s="167" t="n"/>
      <c r="L483" s="289" t="n">
        <v>2376</v>
      </c>
      <c r="M483" s="157" t="n"/>
      <c r="N483" s="289" t="n"/>
      <c r="O483" s="290">
        <f>IF(COUNT(商品マスタ[[#This Row],[参考上代
（税込)]]) &gt; 0, (商品マスタ[[#This Row],[参考上代
（税込)]]-商品マスタ[[#This Row],[国内定価
（15％）]])/(商品マスタ[[#This Row],[参考上代
（税込)]]/1.08), "")</f>
        <v/>
      </c>
      <c r="P483" s="136" t="n">
        <v>0.1</v>
      </c>
      <c r="Q483" s="289">
        <f>商品マスタ[[#This Row],[仕入
単価]]*商品マスタ[[#This Row],[標準国内送料率]]</f>
        <v/>
      </c>
      <c r="R483" s="289" t="n">
        <v>0</v>
      </c>
      <c r="S483" s="289">
        <f>IF(ISBLANK(商品マスタ[[#This Row],[実績
国内送料]]),商品マスタ[[#This Row],[標準国内送料]],)</f>
        <v/>
      </c>
      <c r="T483" s="289">
        <f>商品マスタ[[#This Row],[仕入
単価]]+商品マスタ[[#This Row],[国内送料]]</f>
        <v/>
      </c>
      <c r="U483" s="289">
        <f>ROUNDUP(商品マスタ[[#This Row],[仕入単価+国内送料]]/0.8,-1)</f>
        <v/>
      </c>
      <c r="V483" s="289">
        <f>商品マスタ[[#This Row],[海外定価
（20％）]]-商品マスタ[[#This Row],[仕入単価+国内送料]]</f>
        <v/>
      </c>
      <c r="W483" s="167">
        <f>ROUNDUP(商品マスタ[[#This Row],[仕入単価+国内送料]]/0.85,-1)</f>
        <v/>
      </c>
      <c r="X483" s="289">
        <f>商品マスタ[[#This Row],[国内定価
（15％）]]-商品マスタ[[#This Row],[仕入単価+国内送料]]</f>
        <v/>
      </c>
      <c r="Y483" s="139" t="n">
        <v>0.1</v>
      </c>
      <c r="Z483" s="167" t="n"/>
      <c r="AA483" s="167" t="n"/>
      <c r="AB483" s="167" t="n"/>
      <c r="AC483" s="293" t="n"/>
      <c r="AD483" s="167" t="n"/>
      <c r="AE483" s="167" t="n"/>
      <c r="AF483" s="167" t="n"/>
      <c r="AG483" s="144" t="n"/>
    </row>
    <row r="484" ht="18" customHeight="1" s="207">
      <c r="A484" s="166" t="inlineStr">
        <is>
          <t>飲料アルコール</t>
        </is>
      </c>
      <c r="B484" s="167" t="inlineStr">
        <is>
          <t>日本酒</t>
        </is>
      </c>
      <c r="C484" s="167" t="inlineStr">
        <is>
          <t>ほまれ酒造</t>
        </is>
      </c>
      <c r="D484" s="143">
        <f>"PRD_SNJ_"&amp;
_xlfn.XLOOKUP(商品マスタ[[#This Row],[仕入先]],テーブル1[仕入先名],テーブル1[仕入先コード],"XXX",0,1)&amp;
"_"&amp;
商品マスタ[[#This Row],[シリアル]]&amp;
"_"&amp;
TEXT(COUNTIFS(商品マスタ!$C$3:C484,商品マスタ[[#This Row],[仕入先]],商品マスタ!$E$3:E484,商品マスタ[[#This Row],[商品名]]), "00")</f>
        <v/>
      </c>
      <c r="E484" s="167" t="inlineStr">
        <is>
          <t>純米大吟醸　極</t>
        </is>
      </c>
      <c r="F484" s="167">
        <f>IF(COUNTIFS($C$3:C484,商品マスタ[[#This Row],[仕入先]],$E$3:E484,商品マスタ[[#This Row],[商品名]]) = 1, 1,0)</f>
        <v/>
      </c>
      <c r="G484" s="133">
        <f>TEXT(SUMIF($C$3:C484,商品マスタ[[#This Row],[仕入先]],$F$3:F484), "0000")</f>
        <v/>
      </c>
      <c r="H484" s="167" t="inlineStr">
        <is>
          <t>本</t>
        </is>
      </c>
      <c r="I484" s="167" t="inlineStr">
        <is>
          <t>720ml×12本/ケース</t>
        </is>
      </c>
      <c r="J484" s="167" t="inlineStr">
        <is>
          <t>5ケース</t>
        </is>
      </c>
      <c r="K484" s="167" t="n"/>
      <c r="L484" s="289" t="n">
        <v>865</v>
      </c>
      <c r="M484" s="157" t="n"/>
      <c r="N484" s="289" t="n"/>
      <c r="O484" s="290">
        <f>IF(COUNT(商品マスタ[[#This Row],[参考上代
（税込)]]) &gt; 0, (商品マスタ[[#This Row],[参考上代
（税込)]]-商品マスタ[[#This Row],[国内定価
（15％）]])/(商品マスタ[[#This Row],[参考上代
（税込)]]/1.08), "")</f>
        <v/>
      </c>
      <c r="P484" s="136" t="n">
        <v>0.1</v>
      </c>
      <c r="Q484" s="289">
        <f>商品マスタ[[#This Row],[仕入
単価]]*商品マスタ[[#This Row],[標準国内送料率]]</f>
        <v/>
      </c>
      <c r="R484" s="289" t="n">
        <v>0</v>
      </c>
      <c r="S484" s="289">
        <f>IF(ISBLANK(商品マスタ[[#This Row],[実績
国内送料]]),商品マスタ[[#This Row],[標準国内送料]],)</f>
        <v/>
      </c>
      <c r="T484" s="289">
        <f>商品マスタ[[#This Row],[仕入
単価]]+商品マスタ[[#This Row],[国内送料]]</f>
        <v/>
      </c>
      <c r="U484" s="289">
        <f>ROUNDUP(商品マスタ[[#This Row],[仕入単価+国内送料]]/0.8,-1)</f>
        <v/>
      </c>
      <c r="V484" s="289">
        <f>商品マスタ[[#This Row],[海外定価
（20％）]]-商品マスタ[[#This Row],[仕入単価+国内送料]]</f>
        <v/>
      </c>
      <c r="W484" s="167">
        <f>ROUNDUP(商品マスタ[[#This Row],[仕入単価+国内送料]]/0.85,-1)</f>
        <v/>
      </c>
      <c r="X484" s="289">
        <f>商品マスタ[[#This Row],[国内定価
（15％）]]-商品マスタ[[#This Row],[仕入単価+国内送料]]</f>
        <v/>
      </c>
      <c r="Y484" s="139" t="n">
        <v>0.1</v>
      </c>
      <c r="Z484" s="167" t="n"/>
      <c r="AA484" s="167" t="n"/>
      <c r="AB484" s="167" t="n"/>
      <c r="AC484" s="293" t="n"/>
      <c r="AD484" s="167" t="n"/>
      <c r="AE484" s="167" t="n"/>
      <c r="AF484" s="167" t="n"/>
      <c r="AG484" s="144" t="n"/>
    </row>
    <row r="485" ht="18" customHeight="1" s="207">
      <c r="A485" s="166" t="inlineStr">
        <is>
          <t>飲料アルコール</t>
        </is>
      </c>
      <c r="B485" s="167" t="inlineStr">
        <is>
          <t>日本酒</t>
        </is>
      </c>
      <c r="C485" s="167" t="inlineStr">
        <is>
          <t>ほまれ酒造</t>
        </is>
      </c>
      <c r="D485" s="143">
        <f>"PRD_SNJ_"&amp;
_xlfn.XLOOKUP(商品マスタ[[#This Row],[仕入先]],テーブル1[仕入先名],テーブル1[仕入先コード],"XXX",0,1)&amp;
"_"&amp;
商品マスタ[[#This Row],[シリアル]]&amp;
"_"&amp;
TEXT(COUNTIFS(商品マスタ!$C$3:C485,商品マスタ[[#This Row],[仕入先]],商品マスタ!$E$3:E485,商品マスタ[[#This Row],[商品名]]), "00")</f>
        <v/>
      </c>
      <c r="E485" s="167" t="inlineStr">
        <is>
          <t>造り酒屋のゆず酒  アラジンボトル</t>
        </is>
      </c>
      <c r="F485" s="167">
        <f>IF(COUNTIFS($C$3:C485,商品マスタ[[#This Row],[仕入先]],$E$3:E485,商品マスタ[[#This Row],[商品名]]) = 1, 1,0)</f>
        <v/>
      </c>
      <c r="G485" s="133">
        <f>TEXT(SUMIF($C$3:C485,商品マスタ[[#This Row],[仕入先]],$F$3:F485), "0000")</f>
        <v/>
      </c>
      <c r="H485" s="167" t="inlineStr">
        <is>
          <t>本</t>
        </is>
      </c>
      <c r="I485" s="167" t="inlineStr">
        <is>
          <t>720ml×12本/ケース</t>
        </is>
      </c>
      <c r="J485" s="167" t="inlineStr">
        <is>
          <t>5ケース</t>
        </is>
      </c>
      <c r="K485" s="167" t="n"/>
      <c r="L485" s="289" t="n">
        <v>562</v>
      </c>
      <c r="M485" s="157" t="n"/>
      <c r="N485" s="289" t="n"/>
      <c r="O485" s="290">
        <f>IF(COUNT(商品マスタ[[#This Row],[参考上代
（税込)]]) &gt; 0, (商品マスタ[[#This Row],[参考上代
（税込)]]-商品マスタ[[#This Row],[国内定価
（15％）]])/(商品マスタ[[#This Row],[参考上代
（税込)]]/1.08), "")</f>
        <v/>
      </c>
      <c r="P485" s="136" t="n">
        <v>0.1</v>
      </c>
      <c r="Q485" s="289">
        <f>商品マスタ[[#This Row],[仕入
単価]]*商品マスタ[[#This Row],[標準国内送料率]]</f>
        <v/>
      </c>
      <c r="R485" s="289" t="n">
        <v>0</v>
      </c>
      <c r="S485" s="289">
        <f>IF(ISBLANK(商品マスタ[[#This Row],[実績
国内送料]]),商品マスタ[[#This Row],[標準国内送料]],)</f>
        <v/>
      </c>
      <c r="T485" s="289">
        <f>商品マスタ[[#This Row],[仕入
単価]]+商品マスタ[[#This Row],[国内送料]]</f>
        <v/>
      </c>
      <c r="U485" s="289">
        <f>ROUNDUP(商品マスタ[[#This Row],[仕入単価+国内送料]]/0.8,-1)</f>
        <v/>
      </c>
      <c r="V485" s="289">
        <f>商品マスタ[[#This Row],[海外定価
（20％）]]-商品マスタ[[#This Row],[仕入単価+国内送料]]</f>
        <v/>
      </c>
      <c r="W485" s="167">
        <f>ROUNDUP(商品マスタ[[#This Row],[仕入単価+国内送料]]/0.85,-1)</f>
        <v/>
      </c>
      <c r="X485" s="289">
        <f>商品マスタ[[#This Row],[国内定価
（15％）]]-商品マスタ[[#This Row],[仕入単価+国内送料]]</f>
        <v/>
      </c>
      <c r="Y485" s="139" t="n">
        <v>0.1</v>
      </c>
      <c r="Z485" s="167" t="n"/>
      <c r="AA485" s="167" t="n"/>
      <c r="AB485" s="167" t="n"/>
      <c r="AC485" s="293" t="n"/>
      <c r="AD485" s="167" t="n"/>
      <c r="AE485" s="167" t="n"/>
      <c r="AF485" s="167" t="n"/>
      <c r="AG485" s="144" t="n"/>
    </row>
    <row r="486" ht="18" customHeight="1" s="207">
      <c r="A486" s="166" t="inlineStr">
        <is>
          <t>飲料アルコール</t>
        </is>
      </c>
      <c r="B486" s="167" t="inlineStr">
        <is>
          <t>日本酒</t>
        </is>
      </c>
      <c r="C486" s="167" t="inlineStr">
        <is>
          <t>ほまれ酒造</t>
        </is>
      </c>
      <c r="D486" s="143">
        <f>"PRD_SNJ_"&amp;
_xlfn.XLOOKUP(商品マスタ[[#This Row],[仕入先]],テーブル1[仕入先名],テーブル1[仕入先コード],"XXX",0,1)&amp;
"_"&amp;
商品マスタ[[#This Row],[シリアル]]&amp;
"_"&amp;
TEXT(COUNTIFS(商品マスタ!$C$3:C486,商品マスタ[[#This Row],[仕入先]],商品マスタ!$E$3:E486,商品マスタ[[#This Row],[商品名]]), "00")</f>
        <v/>
      </c>
      <c r="E486" s="167" t="inlineStr">
        <is>
          <t>造り酒屋のゆず酒 300ml</t>
        </is>
      </c>
      <c r="F486" s="167">
        <f>IF(COUNTIFS($C$3:C486,商品マスタ[[#This Row],[仕入先]],$E$3:E486,商品マスタ[[#This Row],[商品名]]) = 1, 1,0)</f>
        <v/>
      </c>
      <c r="G486" s="133">
        <f>TEXT(SUMIF($C$3:C486,商品マスタ[[#This Row],[仕入先]],$F$3:F486), "0000")</f>
        <v/>
      </c>
      <c r="H486" s="167" t="inlineStr">
        <is>
          <t>本</t>
        </is>
      </c>
      <c r="I486" s="167" t="inlineStr">
        <is>
          <t>720ml×12本/ケース</t>
        </is>
      </c>
      <c r="J486" s="167" t="inlineStr">
        <is>
          <t>5ケース</t>
        </is>
      </c>
      <c r="K486" s="167" t="n"/>
      <c r="L486" s="289" t="n">
        <v>524</v>
      </c>
      <c r="M486" s="157" t="n"/>
      <c r="N486" s="289" t="n"/>
      <c r="O486" s="290">
        <f>IF(COUNT(商品マスタ[[#This Row],[参考上代
（税込)]]) &gt; 0, (商品マスタ[[#This Row],[参考上代
（税込)]]-商品マスタ[[#This Row],[国内定価
（15％）]])/(商品マスタ[[#This Row],[参考上代
（税込)]]/1.08), "")</f>
        <v/>
      </c>
      <c r="P486" s="136" t="n">
        <v>0.1</v>
      </c>
      <c r="Q486" s="289">
        <f>商品マスタ[[#This Row],[仕入
単価]]*商品マスタ[[#This Row],[標準国内送料率]]</f>
        <v/>
      </c>
      <c r="R486" s="289" t="n">
        <v>0</v>
      </c>
      <c r="S486" s="289">
        <f>IF(ISBLANK(商品マスタ[[#This Row],[実績
国内送料]]),商品マスタ[[#This Row],[標準国内送料]],)</f>
        <v/>
      </c>
      <c r="T486" s="289">
        <f>商品マスタ[[#This Row],[仕入
単価]]+商品マスタ[[#This Row],[国内送料]]</f>
        <v/>
      </c>
      <c r="U486" s="289">
        <f>ROUNDUP(商品マスタ[[#This Row],[仕入単価+国内送料]]/0.8,-1)</f>
        <v/>
      </c>
      <c r="V486" s="289">
        <f>商品マスタ[[#This Row],[海外定価
（20％）]]-商品マスタ[[#This Row],[仕入単価+国内送料]]</f>
        <v/>
      </c>
      <c r="W486" s="167">
        <f>ROUNDUP(商品マスタ[[#This Row],[仕入単価+国内送料]]/0.85,-1)</f>
        <v/>
      </c>
      <c r="X486" s="289">
        <f>商品マスタ[[#This Row],[国内定価
（15％）]]-商品マスタ[[#This Row],[仕入単価+国内送料]]</f>
        <v/>
      </c>
      <c r="Y486" s="139" t="n">
        <v>0.1</v>
      </c>
      <c r="Z486" s="167" t="n"/>
      <c r="AA486" s="167" t="n"/>
      <c r="AB486" s="167" t="n"/>
      <c r="AC486" s="293" t="n"/>
      <c r="AD486" s="167" t="n"/>
      <c r="AE486" s="167" t="n"/>
      <c r="AF486" s="167" t="n"/>
      <c r="AG486" s="144" t="n"/>
    </row>
    <row r="487" ht="18" customHeight="1" s="207">
      <c r="A487" s="166" t="inlineStr">
        <is>
          <t>飲料アルコール</t>
        </is>
      </c>
      <c r="B487" s="167" t="inlineStr">
        <is>
          <t>日本酒</t>
        </is>
      </c>
      <c r="C487" s="167" t="inlineStr">
        <is>
          <t>大和川酒造</t>
        </is>
      </c>
      <c r="D487" s="143">
        <f>"PRD_SNJ_"&amp;
_xlfn.XLOOKUP(商品マスタ[[#This Row],[仕入先]],テーブル1[仕入先名],テーブル1[仕入先コード],"XXX",0,1)&amp;
"_"&amp;
商品マスタ[[#This Row],[シリアル]]&amp;
"_"&amp;
TEXT(COUNTIFS(商品マスタ!$C$3:C487,商品マスタ[[#This Row],[仕入先]],商品マスタ!$E$3:E487,商品マスタ[[#This Row],[商品名]]), "00")</f>
        <v/>
      </c>
      <c r="E487" s="167" t="inlineStr">
        <is>
          <t>大吟醸辛口　弥右衛門</t>
        </is>
      </c>
      <c r="F487" s="167">
        <f>IF(COUNTIFS($C$3:C487,商品マスタ[[#This Row],[仕入先]],$E$3:E487,商品マスタ[[#This Row],[商品名]]) = 1, 1,0)</f>
        <v/>
      </c>
      <c r="G487" s="133">
        <f>TEXT(SUMIF($C$3:C487,商品マスタ[[#This Row],[仕入先]],$F$3:F487), "0000")</f>
        <v/>
      </c>
      <c r="H487" s="167" t="inlineStr">
        <is>
          <t>本</t>
        </is>
      </c>
      <c r="I487" s="167" t="inlineStr">
        <is>
          <t>720ml×12本/ケース</t>
        </is>
      </c>
      <c r="J487" s="167" t="inlineStr">
        <is>
          <t>5ケース</t>
        </is>
      </c>
      <c r="K487" s="167" t="n"/>
      <c r="L487" s="289" t="n">
        <v>1134</v>
      </c>
      <c r="M487" s="157" t="n"/>
      <c r="N487" s="289" t="n"/>
      <c r="O487" s="290">
        <f>IF(COUNT(商品マスタ[[#This Row],[参考上代
（税込)]]) &gt; 0, (商品マスタ[[#This Row],[参考上代
（税込)]]-商品マスタ[[#This Row],[国内定価
（15％）]])/(商品マスタ[[#This Row],[参考上代
（税込)]]/1.08), "")</f>
        <v/>
      </c>
      <c r="P487" s="136" t="n">
        <v>0.1</v>
      </c>
      <c r="Q487" s="289">
        <f>商品マスタ[[#This Row],[仕入
単価]]*商品マスタ[[#This Row],[標準国内送料率]]</f>
        <v/>
      </c>
      <c r="R487" s="289" t="n">
        <v>0</v>
      </c>
      <c r="S487" s="289">
        <f>IF(ISBLANK(商品マスタ[[#This Row],[実績
国内送料]]),商品マスタ[[#This Row],[標準国内送料]],)</f>
        <v/>
      </c>
      <c r="T487" s="289">
        <f>商品マスタ[[#This Row],[仕入
単価]]+商品マスタ[[#This Row],[国内送料]]</f>
        <v/>
      </c>
      <c r="U487" s="289">
        <f>ROUNDUP(商品マスタ[[#This Row],[仕入単価+国内送料]]/0.8,-1)</f>
        <v/>
      </c>
      <c r="V487" s="289">
        <f>商品マスタ[[#This Row],[海外定価
（20％）]]-商品マスタ[[#This Row],[仕入単価+国内送料]]</f>
        <v/>
      </c>
      <c r="W487" s="167">
        <f>ROUNDUP(商品マスタ[[#This Row],[仕入単価+国内送料]]/0.85,-1)</f>
        <v/>
      </c>
      <c r="X487" s="289">
        <f>商品マスタ[[#This Row],[国内定価
（15％）]]-商品マスタ[[#This Row],[仕入単価+国内送料]]</f>
        <v/>
      </c>
      <c r="Y487" s="139" t="n">
        <v>0.1</v>
      </c>
      <c r="Z487" s="167" t="n"/>
      <c r="AA487" s="167" t="n"/>
      <c r="AB487" s="167" t="n"/>
      <c r="AC487" s="293" t="n"/>
      <c r="AD487" s="167" t="n"/>
      <c r="AE487" s="167" t="n"/>
      <c r="AF487" s="167" t="n"/>
      <c r="AG487" s="144" t="n"/>
    </row>
    <row r="488" ht="18" customHeight="1" s="207">
      <c r="A488" s="166" t="inlineStr">
        <is>
          <t>飲料アルコール</t>
        </is>
      </c>
      <c r="B488" s="167" t="inlineStr">
        <is>
          <t>日本酒</t>
        </is>
      </c>
      <c r="C488" s="167" t="inlineStr">
        <is>
          <t>大和川酒造</t>
        </is>
      </c>
      <c r="D488" s="143">
        <f>"PRD_SNJ_"&amp;
_xlfn.XLOOKUP(商品マスタ[[#This Row],[仕入先]],テーブル1[仕入先名],テーブル1[仕入先コード],"XXX",0,1)&amp;
"_"&amp;
商品マスタ[[#This Row],[シリアル]]&amp;
"_"&amp;
TEXT(COUNTIFS(商品マスタ!$C$3:C488,商品マスタ[[#This Row],[仕入先]],商品マスタ!$E$3:E488,商品マスタ[[#This Row],[商品名]]), "00")</f>
        <v/>
      </c>
      <c r="E488" s="167" t="inlineStr">
        <is>
          <t>純米辛口　弥右衛門</t>
        </is>
      </c>
      <c r="F488" s="167">
        <f>IF(COUNTIFS($C$3:C488,商品マスタ[[#This Row],[仕入先]],$E$3:E488,商品マスタ[[#This Row],[商品名]]) = 1, 1,0)</f>
        <v/>
      </c>
      <c r="G488" s="133">
        <f>TEXT(SUMIF($C$3:C488,商品マスタ[[#This Row],[仕入先]],$F$3:F488), "0000")</f>
        <v/>
      </c>
      <c r="H488" s="167" t="inlineStr">
        <is>
          <t>本</t>
        </is>
      </c>
      <c r="I488" s="167" t="inlineStr">
        <is>
          <t>720ml×12本/ケース</t>
        </is>
      </c>
      <c r="J488" s="167" t="inlineStr">
        <is>
          <t>5ケース</t>
        </is>
      </c>
      <c r="K488" s="167" t="n"/>
      <c r="L488" s="289" t="n">
        <v>799</v>
      </c>
      <c r="M488" s="157" t="n"/>
      <c r="N488" s="289" t="n"/>
      <c r="O488" s="290">
        <f>IF(COUNT(商品マスタ[[#This Row],[参考上代
（税込)]]) &gt; 0, (商品マスタ[[#This Row],[参考上代
（税込)]]-商品マスタ[[#This Row],[国内定価
（15％）]])/(商品マスタ[[#This Row],[参考上代
（税込)]]/1.08), "")</f>
        <v/>
      </c>
      <c r="P488" s="136" t="n">
        <v>0.1</v>
      </c>
      <c r="Q488" s="289">
        <f>商品マスタ[[#This Row],[仕入
単価]]*商品マスタ[[#This Row],[標準国内送料率]]</f>
        <v/>
      </c>
      <c r="R488" s="289" t="n">
        <v>0</v>
      </c>
      <c r="S488" s="289">
        <f>IF(ISBLANK(商品マスタ[[#This Row],[実績
国内送料]]),商品マスタ[[#This Row],[標準国内送料]],)</f>
        <v/>
      </c>
      <c r="T488" s="289">
        <f>商品マスタ[[#This Row],[仕入
単価]]+商品マスタ[[#This Row],[国内送料]]</f>
        <v/>
      </c>
      <c r="U488" s="289">
        <f>ROUNDUP(商品マスタ[[#This Row],[仕入単価+国内送料]]/0.8,-1)</f>
        <v/>
      </c>
      <c r="V488" s="289">
        <f>商品マスタ[[#This Row],[海外定価
（20％）]]-商品マスタ[[#This Row],[仕入単価+国内送料]]</f>
        <v/>
      </c>
      <c r="W488" s="167">
        <f>ROUNDUP(商品マスタ[[#This Row],[仕入単価+国内送料]]/0.85,-1)</f>
        <v/>
      </c>
      <c r="X488" s="289">
        <f>商品マスタ[[#This Row],[国内定価
（15％）]]-商品マスタ[[#This Row],[仕入単価+国内送料]]</f>
        <v/>
      </c>
      <c r="Y488" s="139" t="n">
        <v>0.1</v>
      </c>
      <c r="Z488" s="167" t="n"/>
      <c r="AA488" s="167" t="n"/>
      <c r="AB488" s="167" t="n"/>
      <c r="AC488" s="293" t="n"/>
      <c r="AD488" s="167" t="n"/>
      <c r="AE488" s="167" t="n"/>
      <c r="AF488" s="167" t="n"/>
      <c r="AG488" s="144" t="n"/>
    </row>
    <row r="489" ht="18" customHeight="1" s="207">
      <c r="A489" s="166" t="inlineStr">
        <is>
          <t>飲料アルコール</t>
        </is>
      </c>
      <c r="B489" s="167" t="inlineStr">
        <is>
          <t>日本酒</t>
        </is>
      </c>
      <c r="C489" s="167" t="inlineStr">
        <is>
          <t>大和川酒造</t>
        </is>
      </c>
      <c r="D489" s="143">
        <f>"PRD_SNJ_"&amp;
_xlfn.XLOOKUP(商品マスタ[[#This Row],[仕入先]],テーブル1[仕入先名],テーブル1[仕入先コード],"XXX",0,1)&amp;
"_"&amp;
商品マスタ[[#This Row],[シリアル]]&amp;
"_"&amp;
TEXT(COUNTIFS(商品マスタ!$C$3:C489,商品マスタ[[#This Row],[仕入先]],商品マスタ!$E$3:E489,商品マスタ[[#This Row],[商品名]]), "00")</f>
        <v/>
      </c>
      <c r="E489" s="167" t="inlineStr">
        <is>
          <t>本醸造　寒造り　弥右衛門</t>
        </is>
      </c>
      <c r="F489" s="167">
        <f>IF(COUNTIFS($C$3:C489,商品マスタ[[#This Row],[仕入先]],$E$3:E489,商品マスタ[[#This Row],[商品名]]) = 1, 1,0)</f>
        <v/>
      </c>
      <c r="G489" s="133">
        <f>TEXT(SUMIF($C$3:C489,商品マスタ[[#This Row],[仕入先]],$F$3:F489), "0000")</f>
        <v/>
      </c>
      <c r="H489" s="167" t="inlineStr">
        <is>
          <t>本</t>
        </is>
      </c>
      <c r="I489" s="167" t="inlineStr">
        <is>
          <t>720ml×12本/ケース</t>
        </is>
      </c>
      <c r="J489" s="167" t="inlineStr">
        <is>
          <t>5ケース</t>
        </is>
      </c>
      <c r="K489" s="167" t="n"/>
      <c r="L489" s="289" t="n">
        <v>665</v>
      </c>
      <c r="M489" s="157" t="n"/>
      <c r="N489" s="289" t="n"/>
      <c r="O489" s="290">
        <f>IF(COUNT(商品マスタ[[#This Row],[参考上代
（税込)]]) &gt; 0, (商品マスタ[[#This Row],[参考上代
（税込)]]-商品マスタ[[#This Row],[国内定価
（15％）]])/(商品マスタ[[#This Row],[参考上代
（税込)]]/1.08), "")</f>
        <v/>
      </c>
      <c r="P489" s="136" t="n">
        <v>0.1</v>
      </c>
      <c r="Q489" s="289">
        <f>商品マスタ[[#This Row],[仕入
単価]]*商品マスタ[[#This Row],[標準国内送料率]]</f>
        <v/>
      </c>
      <c r="R489" s="289" t="n">
        <v>0</v>
      </c>
      <c r="S489" s="289">
        <f>IF(ISBLANK(商品マスタ[[#This Row],[実績
国内送料]]),商品マスタ[[#This Row],[標準国内送料]],)</f>
        <v/>
      </c>
      <c r="T489" s="289">
        <f>商品マスタ[[#This Row],[仕入
単価]]+商品マスタ[[#This Row],[国内送料]]</f>
        <v/>
      </c>
      <c r="U489" s="289">
        <f>ROUNDUP(商品マスタ[[#This Row],[仕入単価+国内送料]]/0.8,-1)</f>
        <v/>
      </c>
      <c r="V489" s="289">
        <f>商品マスタ[[#This Row],[海外定価
（20％）]]-商品マスタ[[#This Row],[仕入単価+国内送料]]</f>
        <v/>
      </c>
      <c r="W489" s="167">
        <f>ROUNDUP(商品マスタ[[#This Row],[仕入単価+国内送料]]/0.85,-1)</f>
        <v/>
      </c>
      <c r="X489" s="289">
        <f>商品マスタ[[#This Row],[国内定価
（15％）]]-商品マスタ[[#This Row],[仕入単価+国内送料]]</f>
        <v/>
      </c>
      <c r="Y489" s="139" t="n">
        <v>0.1</v>
      </c>
      <c r="Z489" s="167" t="n"/>
      <c r="AA489" s="167" t="n"/>
      <c r="AB489" s="167" t="n"/>
      <c r="AC489" s="293" t="n"/>
      <c r="AD489" s="167" t="n"/>
      <c r="AE489" s="167" t="n"/>
      <c r="AF489" s="167" t="n"/>
      <c r="AG489" s="144" t="n"/>
    </row>
    <row r="490" ht="18" customHeight="1" s="207">
      <c r="A490" s="166" t="inlineStr">
        <is>
          <t>飲料アルコール</t>
        </is>
      </c>
      <c r="B490" s="167" t="inlineStr">
        <is>
          <t>日本酒</t>
        </is>
      </c>
      <c r="C490" s="167" t="inlineStr">
        <is>
          <t>榮川酒造</t>
        </is>
      </c>
      <c r="D490" s="143">
        <f>"PRD_SNJ_"&amp;
_xlfn.XLOOKUP(商品マスタ[[#This Row],[仕入先]],テーブル1[仕入先名],テーブル1[仕入先コード],"XXX",0,1)&amp;
"_"&amp;
商品マスタ[[#This Row],[シリアル]]&amp;
"_"&amp;
TEXT(COUNTIFS(商品マスタ!$C$3:C490,商品マスタ[[#This Row],[仕入先]],商品マスタ!$E$3:E490,商品マスタ[[#This Row],[商品名]]), "00")</f>
        <v/>
      </c>
      <c r="E490" s="167" t="inlineStr">
        <is>
          <t>純米吟醸</t>
        </is>
      </c>
      <c r="F490" s="167">
        <f>IF(COUNTIFS($C$3:C490,商品マスタ[[#This Row],[仕入先]],$E$3:E490,商品マスタ[[#This Row],[商品名]]) = 1, 1,0)</f>
        <v/>
      </c>
      <c r="G490" s="133">
        <f>TEXT(SUMIF($C$3:C490,商品マスタ[[#This Row],[仕入先]],$F$3:F490), "0000")</f>
        <v/>
      </c>
      <c r="H490" s="167" t="inlineStr">
        <is>
          <t>本</t>
        </is>
      </c>
      <c r="I490" s="167" t="inlineStr">
        <is>
          <t>720ml×12本/ケース</t>
        </is>
      </c>
      <c r="J490" s="167" t="inlineStr">
        <is>
          <t>5ケース</t>
        </is>
      </c>
      <c r="K490" s="167" t="n"/>
      <c r="L490" s="289" t="n">
        <v>1300</v>
      </c>
      <c r="M490" s="157" t="n"/>
      <c r="N490" s="289" t="n"/>
      <c r="O490" s="290">
        <f>IF(COUNT(商品マスタ[[#This Row],[参考上代
（税込)]]) &gt; 0, (商品マスタ[[#This Row],[参考上代
（税込)]]-商品マスタ[[#This Row],[国内定価
（15％）]])/(商品マスタ[[#This Row],[参考上代
（税込)]]/1.08), "")</f>
        <v/>
      </c>
      <c r="P490" s="136" t="n">
        <v>0.1</v>
      </c>
      <c r="Q490" s="289">
        <f>商品マスタ[[#This Row],[仕入
単価]]*商品マスタ[[#This Row],[標準国内送料率]]</f>
        <v/>
      </c>
      <c r="R490" s="289" t="n">
        <v>0</v>
      </c>
      <c r="S490" s="289">
        <f>IF(ISBLANK(商品マスタ[[#This Row],[実績
国内送料]]),商品マスタ[[#This Row],[標準国内送料]],)</f>
        <v/>
      </c>
      <c r="T490" s="289">
        <f>商品マスタ[[#This Row],[仕入
単価]]+商品マスタ[[#This Row],[国内送料]]</f>
        <v/>
      </c>
      <c r="U490" s="289">
        <f>ROUNDUP(商品マスタ[[#This Row],[仕入単価+国内送料]]/0.8,-1)</f>
        <v/>
      </c>
      <c r="V490" s="289">
        <f>商品マスタ[[#This Row],[海外定価
（20％）]]-商品マスタ[[#This Row],[仕入単価+国内送料]]</f>
        <v/>
      </c>
      <c r="W490" s="167">
        <f>ROUNDUP(商品マスタ[[#This Row],[仕入単価+国内送料]]/0.85,-1)</f>
        <v/>
      </c>
      <c r="X490" s="289">
        <f>商品マスタ[[#This Row],[国内定価
（15％）]]-商品マスタ[[#This Row],[仕入単価+国内送料]]</f>
        <v/>
      </c>
      <c r="Y490" s="139" t="n">
        <v>0.1</v>
      </c>
      <c r="Z490" s="167" t="n"/>
      <c r="AA490" s="167" t="n"/>
      <c r="AB490" s="167" t="n"/>
      <c r="AC490" s="293" t="n"/>
      <c r="AD490" s="167" t="n"/>
      <c r="AE490" s="167" t="n"/>
      <c r="AF490" s="167" t="n"/>
      <c r="AG490" s="144" t="n"/>
    </row>
    <row r="491" ht="18" customHeight="1" s="207">
      <c r="A491" s="166" t="inlineStr">
        <is>
          <t>飲料アルコール</t>
        </is>
      </c>
      <c r="B491" s="167" t="inlineStr">
        <is>
          <t>日本酒</t>
        </is>
      </c>
      <c r="C491" s="167" t="inlineStr">
        <is>
          <t>榮川酒造</t>
        </is>
      </c>
      <c r="D491" s="143">
        <f>"PRD_SNJ_"&amp;
_xlfn.XLOOKUP(商品マスタ[[#This Row],[仕入先]],テーブル1[仕入先名],テーブル1[仕入先コード],"XXX",0,1)&amp;
"_"&amp;
商品マスタ[[#This Row],[シリアル]]&amp;
"_"&amp;
TEXT(COUNTIFS(商品マスタ!$C$3:C491,商品マスタ[[#This Row],[仕入先]],商品マスタ!$E$3:E491,商品マスタ[[#This Row],[商品名]]), "00")</f>
        <v/>
      </c>
      <c r="E491" s="167" t="inlineStr">
        <is>
          <t>純米大吟醸</t>
        </is>
      </c>
      <c r="F491" s="167">
        <f>IF(COUNTIFS($C$3:C491,商品マスタ[[#This Row],[仕入先]],$E$3:E491,商品マスタ[[#This Row],[商品名]]) = 1, 1,0)</f>
        <v/>
      </c>
      <c r="G491" s="133">
        <f>TEXT(SUMIF($C$3:C491,商品マスタ[[#This Row],[仕入先]],$F$3:F491), "0000")</f>
        <v/>
      </c>
      <c r="H491" s="167" t="inlineStr">
        <is>
          <t>本</t>
        </is>
      </c>
      <c r="I491" s="167" t="inlineStr">
        <is>
          <t>720ml×12本/ケース</t>
        </is>
      </c>
      <c r="J491" s="167" t="inlineStr">
        <is>
          <t>5ケース</t>
        </is>
      </c>
      <c r="K491" s="167" t="n"/>
      <c r="L491" s="289" t="n">
        <v>2000</v>
      </c>
      <c r="M491" s="157" t="n"/>
      <c r="N491" s="289" t="n"/>
      <c r="O491" s="290">
        <f>IF(COUNT(商品マスタ[[#This Row],[参考上代
（税込)]]) &gt; 0, (商品マスタ[[#This Row],[参考上代
（税込)]]-商品マスタ[[#This Row],[国内定価
（15％）]])/(商品マスタ[[#This Row],[参考上代
（税込)]]/1.08), "")</f>
        <v/>
      </c>
      <c r="P491" s="136" t="n">
        <v>0.1</v>
      </c>
      <c r="Q491" s="289">
        <f>商品マスタ[[#This Row],[仕入
単価]]*商品マスタ[[#This Row],[標準国内送料率]]</f>
        <v/>
      </c>
      <c r="R491" s="289" t="n">
        <v>0</v>
      </c>
      <c r="S491" s="289">
        <f>IF(ISBLANK(商品マスタ[[#This Row],[実績
国内送料]]),商品マスタ[[#This Row],[標準国内送料]],)</f>
        <v/>
      </c>
      <c r="T491" s="289">
        <f>商品マスタ[[#This Row],[仕入
単価]]+商品マスタ[[#This Row],[国内送料]]</f>
        <v/>
      </c>
      <c r="U491" s="289">
        <f>ROUNDUP(商品マスタ[[#This Row],[仕入単価+国内送料]]/0.8,-1)</f>
        <v/>
      </c>
      <c r="V491" s="289">
        <f>商品マスタ[[#This Row],[海外定価
（20％）]]-商品マスタ[[#This Row],[仕入単価+国内送料]]</f>
        <v/>
      </c>
      <c r="W491" s="167">
        <f>ROUNDUP(商品マスタ[[#This Row],[仕入単価+国内送料]]/0.85,-1)</f>
        <v/>
      </c>
      <c r="X491" s="289">
        <f>商品マスタ[[#This Row],[国内定価
（15％）]]-商品マスタ[[#This Row],[仕入単価+国内送料]]</f>
        <v/>
      </c>
      <c r="Y491" s="139" t="n">
        <v>0.1</v>
      </c>
      <c r="Z491" s="167" t="n"/>
      <c r="AA491" s="167" t="n"/>
      <c r="AB491" s="167" t="n"/>
      <c r="AC491" s="293" t="n"/>
      <c r="AD491" s="167" t="n"/>
      <c r="AE491" s="167" t="n"/>
      <c r="AF491" s="167" t="n"/>
      <c r="AG491" s="144" t="n"/>
    </row>
    <row r="492" ht="18" customHeight="1" s="207">
      <c r="A492" s="166" t="inlineStr">
        <is>
          <t>飲料アルコール</t>
        </is>
      </c>
      <c r="B492" s="167" t="inlineStr">
        <is>
          <t>日本酒</t>
        </is>
      </c>
      <c r="C492" s="167" t="inlineStr">
        <is>
          <t>榮川酒造</t>
        </is>
      </c>
      <c r="D492" s="143">
        <f>"PRD_SNJ_"&amp;
_xlfn.XLOOKUP(商品マスタ[[#This Row],[仕入先]],テーブル1[仕入先名],テーブル1[仕入先コード],"XXX",0,1)&amp;
"_"&amp;
商品マスタ[[#This Row],[シリアル]]&amp;
"_"&amp;
TEXT(COUNTIFS(商品マスタ!$C$3:C492,商品マスタ[[#This Row],[仕入先]],商品マスタ!$E$3:E492,商品マスタ[[#This Row],[商品名]]), "00")</f>
        <v/>
      </c>
      <c r="E492" s="167" t="inlineStr">
        <is>
          <t>特別純米酒</t>
        </is>
      </c>
      <c r="F492" s="167">
        <f>IF(COUNTIFS($C$3:C492,商品マスタ[[#This Row],[仕入先]],$E$3:E492,商品マスタ[[#This Row],[商品名]]) = 1, 1,0)</f>
        <v/>
      </c>
      <c r="G492" s="133">
        <f>TEXT(SUMIF($C$3:C492,商品マスタ[[#This Row],[仕入先]],$F$3:F492), "0000")</f>
        <v/>
      </c>
      <c r="H492" s="167" t="inlineStr">
        <is>
          <t>本</t>
        </is>
      </c>
      <c r="I492" s="167" t="inlineStr">
        <is>
          <t>720ml×12本/ケース</t>
        </is>
      </c>
      <c r="J492" s="167" t="inlineStr">
        <is>
          <t>5ケース</t>
        </is>
      </c>
      <c r="K492" s="167" t="n"/>
      <c r="L492" s="289" t="n">
        <v>1200</v>
      </c>
      <c r="M492" s="157" t="n"/>
      <c r="N492" s="289" t="n"/>
      <c r="O492" s="290">
        <f>IF(COUNT(商品マスタ[[#This Row],[参考上代
（税込)]]) &gt; 0, (商品マスタ[[#This Row],[参考上代
（税込)]]-商品マスタ[[#This Row],[国内定価
（15％）]])/(商品マスタ[[#This Row],[参考上代
（税込)]]/1.08), "")</f>
        <v/>
      </c>
      <c r="P492" s="136" t="n">
        <v>0.1</v>
      </c>
      <c r="Q492" s="289">
        <f>商品マスタ[[#This Row],[仕入
単価]]*商品マスタ[[#This Row],[標準国内送料率]]</f>
        <v/>
      </c>
      <c r="R492" s="289" t="n">
        <v>0</v>
      </c>
      <c r="S492" s="289">
        <f>IF(ISBLANK(商品マスタ[[#This Row],[実績
国内送料]]),商品マスタ[[#This Row],[標準国内送料]],)</f>
        <v/>
      </c>
      <c r="T492" s="289">
        <f>商品マスタ[[#This Row],[仕入
単価]]+商品マスタ[[#This Row],[国内送料]]</f>
        <v/>
      </c>
      <c r="U492" s="289">
        <f>ROUNDUP(商品マスタ[[#This Row],[仕入単価+国内送料]]/0.8,-1)</f>
        <v/>
      </c>
      <c r="V492" s="289">
        <f>商品マスタ[[#This Row],[海外定価
（20％）]]-商品マスタ[[#This Row],[仕入単価+国内送料]]</f>
        <v/>
      </c>
      <c r="W492" s="167">
        <f>ROUNDUP(商品マスタ[[#This Row],[仕入単価+国内送料]]/0.85,-1)</f>
        <v/>
      </c>
      <c r="X492" s="289">
        <f>商品マスタ[[#This Row],[国内定価
（15％）]]-商品マスタ[[#This Row],[仕入単価+国内送料]]</f>
        <v/>
      </c>
      <c r="Y492" s="139" t="n">
        <v>0.1</v>
      </c>
      <c r="Z492" s="167" t="n"/>
      <c r="AA492" s="167" t="n"/>
      <c r="AB492" s="167" t="n"/>
      <c r="AC492" s="293" t="n"/>
      <c r="AD492" s="167" t="n"/>
      <c r="AE492" s="167" t="n"/>
      <c r="AF492" s="167" t="n"/>
      <c r="AG492" s="144" t="n"/>
    </row>
    <row r="493" ht="18" customHeight="1" s="207">
      <c r="A493" s="166" t="inlineStr">
        <is>
          <t>飲料アルコール</t>
        </is>
      </c>
      <c r="B493" s="167" t="inlineStr">
        <is>
          <t>日本酒</t>
        </is>
      </c>
      <c r="C493" s="167" t="inlineStr">
        <is>
          <t>名倉山酒造</t>
        </is>
      </c>
      <c r="D493" s="143">
        <f>"PRD_SNJ_"&amp;
_xlfn.XLOOKUP(商品マスタ[[#This Row],[仕入先]],テーブル1[仕入先名],テーブル1[仕入先コード],"XXX",0,1)&amp;
"_"&amp;
商品マスタ[[#This Row],[シリアル]]&amp;
"_"&amp;
TEXT(COUNTIFS(商品マスタ!$C$3:C493,商品マスタ[[#This Row],[仕入先]],商品マスタ!$E$3:E493,商品マスタ[[#This Row],[商品名]]), "00")</f>
        <v/>
      </c>
      <c r="E493" s="167" t="inlineStr">
        <is>
          <t>純米酒　月弓</t>
        </is>
      </c>
      <c r="F493" s="167">
        <f>IF(COUNTIFS($C$3:C493,商品マスタ[[#This Row],[仕入先]],$E$3:E493,商品マスタ[[#This Row],[商品名]]) = 1, 1,0)</f>
        <v/>
      </c>
      <c r="G493" s="133">
        <f>TEXT(SUMIF($C$3:C493,商品マスタ[[#This Row],[仕入先]],$F$3:F493), "0000")</f>
        <v/>
      </c>
      <c r="H493" s="167" t="inlineStr">
        <is>
          <t>本</t>
        </is>
      </c>
      <c r="I493" s="167" t="inlineStr">
        <is>
          <t>720ml×12本/ケース</t>
        </is>
      </c>
      <c r="J493" s="167" t="inlineStr">
        <is>
          <t>5ケース</t>
        </is>
      </c>
      <c r="K493" s="167" t="n"/>
      <c r="L493" s="289" t="n">
        <v>861</v>
      </c>
      <c r="M493" s="157" t="n"/>
      <c r="N493" s="289" t="n"/>
      <c r="O493" s="290">
        <f>IF(COUNT(商品マスタ[[#This Row],[参考上代
（税込)]]) &gt; 0, (商品マスタ[[#This Row],[参考上代
（税込)]]-商品マスタ[[#This Row],[国内定価
（15％）]])/(商品マスタ[[#This Row],[参考上代
（税込)]]/1.08), "")</f>
        <v/>
      </c>
      <c r="P493" s="136" t="n">
        <v>0.1</v>
      </c>
      <c r="Q493" s="289">
        <f>商品マスタ[[#This Row],[仕入
単価]]*商品マスタ[[#This Row],[標準国内送料率]]</f>
        <v/>
      </c>
      <c r="R493" s="289" t="n">
        <v>0</v>
      </c>
      <c r="S493" s="289">
        <f>IF(ISBLANK(商品マスタ[[#This Row],[実績
国内送料]]),商品マスタ[[#This Row],[標準国内送料]],)</f>
        <v/>
      </c>
      <c r="T493" s="289">
        <f>商品マスタ[[#This Row],[仕入
単価]]+商品マスタ[[#This Row],[国内送料]]</f>
        <v/>
      </c>
      <c r="U493" s="289">
        <f>ROUNDUP(商品マスタ[[#This Row],[仕入単価+国内送料]]/0.8,-1)</f>
        <v/>
      </c>
      <c r="V493" s="289">
        <f>商品マスタ[[#This Row],[海外定価
（20％）]]-商品マスタ[[#This Row],[仕入単価+国内送料]]</f>
        <v/>
      </c>
      <c r="W493" s="167">
        <f>ROUNDUP(商品マスタ[[#This Row],[仕入単価+国内送料]]/0.85,-1)</f>
        <v/>
      </c>
      <c r="X493" s="289">
        <f>商品マスタ[[#This Row],[国内定価
（15％）]]-商品マスタ[[#This Row],[仕入単価+国内送料]]</f>
        <v/>
      </c>
      <c r="Y493" s="139" t="n">
        <v>0.1</v>
      </c>
      <c r="Z493" s="167" t="n"/>
      <c r="AA493" s="167" t="n"/>
      <c r="AB493" s="167" t="n"/>
      <c r="AC493" s="293" t="n"/>
      <c r="AD493" s="167" t="n"/>
      <c r="AE493" s="167" t="n"/>
      <c r="AF493" s="167" t="n"/>
      <c r="AG493" s="144" t="n"/>
    </row>
    <row r="494" ht="18" customHeight="1" s="207">
      <c r="A494" s="166" t="inlineStr">
        <is>
          <t>飲料アルコール</t>
        </is>
      </c>
      <c r="B494" s="167" t="inlineStr">
        <is>
          <t>日本酒</t>
        </is>
      </c>
      <c r="C494" s="167" t="inlineStr">
        <is>
          <t>名倉山酒造</t>
        </is>
      </c>
      <c r="D494" s="143">
        <f>"PRD_SNJ_"&amp;
_xlfn.XLOOKUP(商品マスタ[[#This Row],[仕入先]],テーブル1[仕入先名],テーブル1[仕入先コード],"XXX",0,1)&amp;
"_"&amp;
商品マスタ[[#This Row],[シリアル]]&amp;
"_"&amp;
TEXT(COUNTIFS(商品マスタ!$C$3:C494,商品マスタ[[#This Row],[仕入先]],商品マスタ!$E$3:E494,商品マスタ[[#This Row],[商品名]]), "00")</f>
        <v/>
      </c>
      <c r="E494" s="167" t="inlineStr">
        <is>
          <t>純米吟醸　善き哉</t>
        </is>
      </c>
      <c r="F494" s="167">
        <f>IF(COUNTIFS($C$3:C494,商品マスタ[[#This Row],[仕入先]],$E$3:E494,商品マスタ[[#This Row],[商品名]]) = 1, 1,0)</f>
        <v/>
      </c>
      <c r="G494" s="133">
        <f>TEXT(SUMIF($C$3:C494,商品マスタ[[#This Row],[仕入先]],$F$3:F494), "0000")</f>
        <v/>
      </c>
      <c r="H494" s="167" t="inlineStr">
        <is>
          <t>本</t>
        </is>
      </c>
      <c r="I494" s="167" t="inlineStr">
        <is>
          <t>720ml×12本/ケース</t>
        </is>
      </c>
      <c r="J494" s="167" t="inlineStr">
        <is>
          <t>5ケース</t>
        </is>
      </c>
      <c r="K494" s="167" t="n"/>
      <c r="L494" s="289" t="n">
        <v>1224</v>
      </c>
      <c r="M494" s="157" t="n"/>
      <c r="N494" s="289" t="n"/>
      <c r="O494" s="290">
        <f>IF(COUNT(商品マスタ[[#This Row],[参考上代
（税込)]]) &gt; 0, (商品マスタ[[#This Row],[参考上代
（税込)]]-商品マスタ[[#This Row],[国内定価
（15％）]])/(商品マスタ[[#This Row],[参考上代
（税込)]]/1.08), "")</f>
        <v/>
      </c>
      <c r="P494" s="136" t="n">
        <v>0.1</v>
      </c>
      <c r="Q494" s="289">
        <f>商品マスタ[[#This Row],[仕入
単価]]*商品マスタ[[#This Row],[標準国内送料率]]</f>
        <v/>
      </c>
      <c r="R494" s="289" t="n">
        <v>0</v>
      </c>
      <c r="S494" s="289">
        <f>IF(ISBLANK(商品マスタ[[#This Row],[実績
国内送料]]),商品マスタ[[#This Row],[標準国内送料]],)</f>
        <v/>
      </c>
      <c r="T494" s="289">
        <f>商品マスタ[[#This Row],[仕入
単価]]+商品マスタ[[#This Row],[国内送料]]</f>
        <v/>
      </c>
      <c r="U494" s="289">
        <f>ROUNDUP(商品マスタ[[#This Row],[仕入単価+国内送料]]/0.8,-1)</f>
        <v/>
      </c>
      <c r="V494" s="289">
        <f>商品マスタ[[#This Row],[海外定価
（20％）]]-商品マスタ[[#This Row],[仕入単価+国内送料]]</f>
        <v/>
      </c>
      <c r="W494" s="167">
        <f>ROUNDUP(商品マスタ[[#This Row],[仕入単価+国内送料]]/0.85,-1)</f>
        <v/>
      </c>
      <c r="X494" s="289">
        <f>商品マスタ[[#This Row],[国内定価
（15％）]]-商品マスタ[[#This Row],[仕入単価+国内送料]]</f>
        <v/>
      </c>
      <c r="Y494" s="139" t="n">
        <v>0.1</v>
      </c>
      <c r="Z494" s="167" t="n"/>
      <c r="AA494" s="167" t="n"/>
      <c r="AB494" s="167" t="n"/>
      <c r="AC494" s="293" t="n"/>
      <c r="AD494" s="167" t="n"/>
      <c r="AE494" s="167" t="n"/>
      <c r="AF494" s="167" t="n"/>
      <c r="AG494" s="144" t="n"/>
    </row>
    <row r="495" ht="18" customHeight="1" s="207">
      <c r="A495" s="166" t="inlineStr">
        <is>
          <t>飲料アルコール</t>
        </is>
      </c>
      <c r="B495" s="167" t="inlineStr">
        <is>
          <t>日本酒</t>
        </is>
      </c>
      <c r="C495" s="167" t="inlineStr">
        <is>
          <t>近藤酒造</t>
        </is>
      </c>
      <c r="D495" s="143">
        <f>"PRD_SNJ_"&amp;
_xlfn.XLOOKUP(商品マスタ[[#This Row],[仕入先]],テーブル1[仕入先名],テーブル1[仕入先コード],"XXX",0,1)&amp;
"_"&amp;
商品マスタ[[#This Row],[シリアル]]&amp;
"_"&amp;
TEXT(COUNTIFS(商品マスタ!$C$3:C495,商品マスタ[[#This Row],[仕入先]],商品マスタ!$E$3:E495,商品マスタ[[#This Row],[商品名]]), "00")</f>
        <v/>
      </c>
      <c r="E495" s="167" t="inlineStr">
        <is>
          <t>赤城山　大吟醸</t>
        </is>
      </c>
      <c r="F495" s="167">
        <f>IF(COUNTIFS($C$3:C495,商品マスタ[[#This Row],[仕入先]],$E$3:E495,商品マスタ[[#This Row],[商品名]]) = 1, 1,0)</f>
        <v/>
      </c>
      <c r="G495" s="133">
        <f>TEXT(SUMIF($C$3:C495,商品マスタ[[#This Row],[仕入先]],$F$3:F495), "0000")</f>
        <v/>
      </c>
      <c r="H495" s="167" t="inlineStr">
        <is>
          <t>本</t>
        </is>
      </c>
      <c r="I495" s="167" t="inlineStr">
        <is>
          <t>720ml×12本/ケース</t>
        </is>
      </c>
      <c r="J495" s="167" t="inlineStr">
        <is>
          <t>5ケース</t>
        </is>
      </c>
      <c r="K495" s="167" t="n"/>
      <c r="L495" s="289" t="n">
        <v>2670</v>
      </c>
      <c r="M495" s="157" t="n"/>
      <c r="N495" s="289" t="n"/>
      <c r="O495" s="290">
        <f>IF(COUNT(商品マスタ[[#This Row],[参考上代
（税込)]]) &gt; 0, (商品マスタ[[#This Row],[参考上代
（税込)]]-商品マスタ[[#This Row],[国内定価
（15％）]])/(商品マスタ[[#This Row],[参考上代
（税込)]]/1.08), "")</f>
        <v/>
      </c>
      <c r="P495" s="136" t="n">
        <v>0.1</v>
      </c>
      <c r="Q495" s="289">
        <f>商品マスタ[[#This Row],[仕入
単価]]*商品マスタ[[#This Row],[標準国内送料率]]</f>
        <v/>
      </c>
      <c r="R495" s="289" t="n">
        <v>0</v>
      </c>
      <c r="S495" s="289">
        <f>IF(ISBLANK(商品マスタ[[#This Row],[実績
国内送料]]),商品マスタ[[#This Row],[標準国内送料]],)</f>
        <v/>
      </c>
      <c r="T495" s="289">
        <f>商品マスタ[[#This Row],[仕入
単価]]+商品マスタ[[#This Row],[国内送料]]</f>
        <v/>
      </c>
      <c r="U495" s="289">
        <f>ROUNDUP(商品マスタ[[#This Row],[仕入単価+国内送料]]/0.8,-1)</f>
        <v/>
      </c>
      <c r="V495" s="289">
        <f>商品マスタ[[#This Row],[海外定価
（20％）]]-商品マスタ[[#This Row],[仕入単価+国内送料]]</f>
        <v/>
      </c>
      <c r="W495" s="167">
        <f>ROUNDUP(商品マスタ[[#This Row],[仕入単価+国内送料]]/0.85,-1)</f>
        <v/>
      </c>
      <c r="X495" s="289">
        <f>商品マスタ[[#This Row],[国内定価
（15％）]]-商品マスタ[[#This Row],[仕入単価+国内送料]]</f>
        <v/>
      </c>
      <c r="Y495" s="139" t="n">
        <v>0.1</v>
      </c>
      <c r="Z495" s="167" t="n"/>
      <c r="AA495" s="167" t="n"/>
      <c r="AB495" s="167" t="n"/>
      <c r="AC495" s="293" t="n"/>
      <c r="AD495" s="167" t="n"/>
      <c r="AE495" s="167" t="n"/>
      <c r="AF495" s="167" t="n"/>
      <c r="AG495" s="144" t="n"/>
    </row>
    <row r="496" ht="18" customHeight="1" s="207">
      <c r="A496" s="166" t="inlineStr">
        <is>
          <t>飲料アルコール</t>
        </is>
      </c>
      <c r="B496" s="167" t="inlineStr">
        <is>
          <t>日本酒</t>
        </is>
      </c>
      <c r="C496" s="167" t="inlineStr">
        <is>
          <t>近藤酒造</t>
        </is>
      </c>
      <c r="D496" s="143">
        <f>"PRD_SNJ_"&amp;
_xlfn.XLOOKUP(商品マスタ[[#This Row],[仕入先]],テーブル1[仕入先名],テーブル1[仕入先コード],"XXX",0,1)&amp;
"_"&amp;
商品マスタ[[#This Row],[シリアル]]&amp;
"_"&amp;
TEXT(COUNTIFS(商品マスタ!$C$3:C496,商品マスタ[[#This Row],[仕入先]],商品マスタ!$E$3:E496,商品マスタ[[#This Row],[商品名]]), "00")</f>
        <v/>
      </c>
      <c r="E496" s="167" t="inlineStr">
        <is>
          <t>赤城山　純米吟醸</t>
        </is>
      </c>
      <c r="F496" s="167">
        <f>IF(COUNTIFS($C$3:C496,商品マスタ[[#This Row],[仕入先]],$E$3:E496,商品マスタ[[#This Row],[商品名]]) = 1, 1,0)</f>
        <v/>
      </c>
      <c r="G496" s="133">
        <f>TEXT(SUMIF($C$3:C496,商品マスタ[[#This Row],[仕入先]],$F$3:F496), "0000")</f>
        <v/>
      </c>
      <c r="H496" s="167" t="inlineStr">
        <is>
          <t>本</t>
        </is>
      </c>
      <c r="I496" s="167" t="inlineStr">
        <is>
          <t>720ml×12本/ケース</t>
        </is>
      </c>
      <c r="J496" s="167" t="inlineStr">
        <is>
          <t>5ケース</t>
        </is>
      </c>
      <c r="K496" s="167" t="n"/>
      <c r="L496" s="289" t="n">
        <v>1400</v>
      </c>
      <c r="M496" s="157" t="n"/>
      <c r="N496" s="289" t="n"/>
      <c r="O496" s="290">
        <f>IF(COUNT(商品マスタ[[#This Row],[参考上代
（税込)]]) &gt; 0, (商品マスタ[[#This Row],[参考上代
（税込)]]-商品マスタ[[#This Row],[国内定価
（15％）]])/(商品マスタ[[#This Row],[参考上代
（税込)]]/1.08), "")</f>
        <v/>
      </c>
      <c r="P496" s="136" t="n">
        <v>0.1</v>
      </c>
      <c r="Q496" s="289">
        <f>商品マスタ[[#This Row],[仕入
単価]]*商品マスタ[[#This Row],[標準国内送料率]]</f>
        <v/>
      </c>
      <c r="R496" s="289" t="n">
        <v>0</v>
      </c>
      <c r="S496" s="289">
        <f>IF(ISBLANK(商品マスタ[[#This Row],[実績
国内送料]]),商品マスタ[[#This Row],[標準国内送料]],)</f>
        <v/>
      </c>
      <c r="T496" s="289">
        <f>商品マスタ[[#This Row],[仕入
単価]]+商品マスタ[[#This Row],[国内送料]]</f>
        <v/>
      </c>
      <c r="U496" s="289">
        <f>ROUNDUP(商品マスタ[[#This Row],[仕入単価+国内送料]]/0.8,-1)</f>
        <v/>
      </c>
      <c r="V496" s="289">
        <f>商品マスタ[[#This Row],[海外定価
（20％）]]-商品マスタ[[#This Row],[仕入単価+国内送料]]</f>
        <v/>
      </c>
      <c r="W496" s="167">
        <f>ROUNDUP(商品マスタ[[#This Row],[仕入単価+国内送料]]/0.85,-1)</f>
        <v/>
      </c>
      <c r="X496" s="289">
        <f>商品マスタ[[#This Row],[国内定価
（15％）]]-商品マスタ[[#This Row],[仕入単価+国内送料]]</f>
        <v/>
      </c>
      <c r="Y496" s="139" t="n">
        <v>0.1</v>
      </c>
      <c r="Z496" s="167" t="n"/>
      <c r="AA496" s="167" t="n"/>
      <c r="AB496" s="167" t="n"/>
      <c r="AC496" s="293" t="n"/>
      <c r="AD496" s="167" t="n"/>
      <c r="AE496" s="167" t="n"/>
      <c r="AF496" s="167" t="n"/>
      <c r="AG496" s="144" t="n"/>
    </row>
    <row r="497" ht="18" customHeight="1" s="207">
      <c r="A497" s="166" t="inlineStr">
        <is>
          <t>飲料アルコール</t>
        </is>
      </c>
      <c r="B497" s="167" t="inlineStr">
        <is>
          <t>日本酒</t>
        </is>
      </c>
      <c r="C497" s="167" t="inlineStr">
        <is>
          <t>梅ヶ枝酒造</t>
        </is>
      </c>
      <c r="D497" s="143">
        <f>"PRD_SNJ_"&amp;
_xlfn.XLOOKUP(商品マスタ[[#This Row],[仕入先]],テーブル1[仕入先名],テーブル1[仕入先コード],"XXX",0,1)&amp;
"_"&amp;
商品マスタ[[#This Row],[シリアル]]&amp;
"_"&amp;
TEXT(COUNTIFS(商品マスタ!$C$3:C497,商品マスタ[[#This Row],[仕入先]],商品マスタ!$E$3:E497,商品マスタ[[#This Row],[商品名]]), "00")</f>
        <v/>
      </c>
      <c r="E497" s="167" t="inlineStr">
        <is>
          <t>純米大吟醸</t>
        </is>
      </c>
      <c r="F497" s="167">
        <f>IF(COUNTIFS($C$3:C497,商品マスタ[[#This Row],[仕入先]],$E$3:E497,商品マスタ[[#This Row],[商品名]]) = 1, 1,0)</f>
        <v/>
      </c>
      <c r="G497" s="133">
        <f>TEXT(SUMIF($C$3:C497,商品マスタ[[#This Row],[仕入先]],$F$3:F497), "0000")</f>
        <v/>
      </c>
      <c r="H497" s="167" t="inlineStr">
        <is>
          <t>本</t>
        </is>
      </c>
      <c r="I497" s="167" t="inlineStr">
        <is>
          <t>720ml×12本/ケース</t>
        </is>
      </c>
      <c r="J497" s="167" t="inlineStr">
        <is>
          <t>5ケース</t>
        </is>
      </c>
      <c r="K497" s="167" t="n"/>
      <c r="L497" s="289" t="n">
        <v>2120</v>
      </c>
      <c r="M497" s="157" t="n"/>
      <c r="N497" s="289" t="n"/>
      <c r="O497" s="290">
        <f>IF(COUNT(商品マスタ[[#This Row],[参考上代
（税込)]]) &gt; 0, (商品マスタ[[#This Row],[参考上代
（税込)]]-商品マスタ[[#This Row],[国内定価
（15％）]])/(商品マスタ[[#This Row],[参考上代
（税込)]]/1.08), "")</f>
        <v/>
      </c>
      <c r="P497" s="136" t="n">
        <v>0.1</v>
      </c>
      <c r="Q497" s="289">
        <f>商品マスタ[[#This Row],[仕入
単価]]*商品マスタ[[#This Row],[標準国内送料率]]</f>
        <v/>
      </c>
      <c r="R497" s="289" t="n">
        <v>0</v>
      </c>
      <c r="S497" s="289">
        <f>IF(ISBLANK(商品マスタ[[#This Row],[実績
国内送料]]),商品マスタ[[#This Row],[標準国内送料]],)</f>
        <v/>
      </c>
      <c r="T497" s="289">
        <f>商品マスタ[[#This Row],[仕入
単価]]+商品マスタ[[#This Row],[国内送料]]</f>
        <v/>
      </c>
      <c r="U497" s="289">
        <f>ROUNDUP(商品マスタ[[#This Row],[仕入単価+国内送料]]/0.8,-1)</f>
        <v/>
      </c>
      <c r="V497" s="289">
        <f>商品マスタ[[#This Row],[海外定価
（20％）]]-商品マスタ[[#This Row],[仕入単価+国内送料]]</f>
        <v/>
      </c>
      <c r="W497" s="167">
        <f>ROUNDUP(商品マスタ[[#This Row],[仕入単価+国内送料]]/0.85,-1)</f>
        <v/>
      </c>
      <c r="X497" s="289">
        <f>商品マスタ[[#This Row],[国内定価
（15％）]]-商品マスタ[[#This Row],[仕入単価+国内送料]]</f>
        <v/>
      </c>
      <c r="Y497" s="139" t="n">
        <v>0.1</v>
      </c>
      <c r="Z497" s="167" t="n"/>
      <c r="AA497" s="167" t="n"/>
      <c r="AB497" s="167" t="n"/>
      <c r="AC497" s="293" t="n"/>
      <c r="AD497" s="167" t="n"/>
      <c r="AE497" s="167" t="n"/>
      <c r="AF497" s="167" t="n"/>
      <c r="AG497" s="144" t="n"/>
    </row>
    <row r="498" ht="18" customHeight="1" s="207">
      <c r="A498" s="166" t="inlineStr">
        <is>
          <t>飲料アルコール</t>
        </is>
      </c>
      <c r="B498" s="167" t="inlineStr">
        <is>
          <t>日本酒</t>
        </is>
      </c>
      <c r="C498" s="167" t="inlineStr">
        <is>
          <t>梅ヶ枝酒造</t>
        </is>
      </c>
      <c r="D498" s="143">
        <f>"PRD_SNJ_"&amp;
_xlfn.XLOOKUP(商品マスタ[[#This Row],[仕入先]],テーブル1[仕入先名],テーブル1[仕入先コード],"XXX",0,1)&amp;
"_"&amp;
商品マスタ[[#This Row],[シリアル]]&amp;
"_"&amp;
TEXT(COUNTIFS(商品マスタ!$C$3:C498,商品マスタ[[#This Row],[仕入先]],商品マスタ!$E$3:E498,商品マスタ[[#This Row],[商品名]]), "00")</f>
        <v/>
      </c>
      <c r="E498" s="167" t="inlineStr">
        <is>
          <t>純米吟醸</t>
        </is>
      </c>
      <c r="F498" s="167">
        <f>IF(COUNTIFS($C$3:C498,商品マスタ[[#This Row],[仕入先]],$E$3:E498,商品マスタ[[#This Row],[商品名]]) = 1, 1,0)</f>
        <v/>
      </c>
      <c r="G498" s="133">
        <f>TEXT(SUMIF($C$3:C498,商品マスタ[[#This Row],[仕入先]],$F$3:F498), "0000")</f>
        <v/>
      </c>
      <c r="H498" s="167" t="inlineStr">
        <is>
          <t>本</t>
        </is>
      </c>
      <c r="I498" s="167" t="inlineStr">
        <is>
          <t>720ml×12本/ケース</t>
        </is>
      </c>
      <c r="J498" s="167" t="inlineStr">
        <is>
          <t>5ケース</t>
        </is>
      </c>
      <c r="K498" s="167" t="n"/>
      <c r="L498" s="289" t="n">
        <v>1120</v>
      </c>
      <c r="M498" s="157" t="n"/>
      <c r="N498" s="289" t="n"/>
      <c r="O498" s="290">
        <f>IF(COUNT(商品マスタ[[#This Row],[参考上代
（税込)]]) &gt; 0, (商品マスタ[[#This Row],[参考上代
（税込)]]-商品マスタ[[#This Row],[国内定価
（15％）]])/(商品マスタ[[#This Row],[参考上代
（税込)]]/1.08), "")</f>
        <v/>
      </c>
      <c r="P498" s="136" t="n">
        <v>0.1</v>
      </c>
      <c r="Q498" s="289">
        <f>商品マスタ[[#This Row],[仕入
単価]]*商品マスタ[[#This Row],[標準国内送料率]]</f>
        <v/>
      </c>
      <c r="R498" s="289" t="n">
        <v>0</v>
      </c>
      <c r="S498" s="289">
        <f>IF(ISBLANK(商品マスタ[[#This Row],[実績
国内送料]]),商品マスタ[[#This Row],[標準国内送料]],)</f>
        <v/>
      </c>
      <c r="T498" s="289">
        <f>商品マスタ[[#This Row],[仕入
単価]]+商品マスタ[[#This Row],[国内送料]]</f>
        <v/>
      </c>
      <c r="U498" s="289">
        <f>ROUNDUP(商品マスタ[[#This Row],[仕入単価+国内送料]]/0.8,-1)</f>
        <v/>
      </c>
      <c r="V498" s="289">
        <f>商品マスタ[[#This Row],[海外定価
（20％）]]-商品マスタ[[#This Row],[仕入単価+国内送料]]</f>
        <v/>
      </c>
      <c r="W498" s="167">
        <f>ROUNDUP(商品マスタ[[#This Row],[仕入単価+国内送料]]/0.85,-1)</f>
        <v/>
      </c>
      <c r="X498" s="289">
        <f>商品マスタ[[#This Row],[国内定価
（15％）]]-商品マスタ[[#This Row],[仕入単価+国内送料]]</f>
        <v/>
      </c>
      <c r="Y498" s="139" t="n">
        <v>0.1</v>
      </c>
      <c r="Z498" s="167" t="n"/>
      <c r="AA498" s="167" t="n"/>
      <c r="AB498" s="167" t="n"/>
      <c r="AC498" s="293" t="n"/>
      <c r="AD498" s="167" t="n"/>
      <c r="AE498" s="167" t="n"/>
      <c r="AF498" s="167" t="n"/>
      <c r="AG498" s="144" t="n"/>
    </row>
    <row r="499" ht="18" customHeight="1" s="207">
      <c r="A499" s="166" t="inlineStr">
        <is>
          <t>飲料アルコール</t>
        </is>
      </c>
      <c r="B499" s="167" t="inlineStr">
        <is>
          <t>日本酒</t>
        </is>
      </c>
      <c r="C499" s="167" t="inlineStr">
        <is>
          <t>梅ヶ枝酒造</t>
        </is>
      </c>
      <c r="D499" s="143">
        <f>"PRD_SNJ_"&amp;
_xlfn.XLOOKUP(商品マスタ[[#This Row],[仕入先]],テーブル1[仕入先名],テーブル1[仕入先コード],"XXX",0,1)&amp;
"_"&amp;
商品マスタ[[#This Row],[シリアル]]&amp;
"_"&amp;
TEXT(COUNTIFS(商品マスタ!$C$3:C499,商品マスタ[[#This Row],[仕入先]],商品マスタ!$E$3:E499,商品マスタ[[#This Row],[商品名]]), "00")</f>
        <v/>
      </c>
      <c r="E499" s="167" t="inlineStr">
        <is>
          <t>よきつき－令月－ 「Japanese Premium Craft Gin」</t>
        </is>
      </c>
      <c r="F499" s="167">
        <f>IF(COUNTIFS($C$3:C499,商品マスタ[[#This Row],[仕入先]],$E$3:E499,商品マスタ[[#This Row],[商品名]]) = 1, 1,0)</f>
        <v/>
      </c>
      <c r="G499" s="133">
        <f>TEXT(SUMIF($C$3:C499,商品マスタ[[#This Row],[仕入先]],$F$3:F499), "0000")</f>
        <v/>
      </c>
      <c r="H499" s="167" t="inlineStr">
        <is>
          <t>本</t>
        </is>
      </c>
      <c r="I499" s="167" t="inlineStr">
        <is>
          <t>720ml×12本/ケース</t>
        </is>
      </c>
      <c r="J499" s="167" t="inlineStr">
        <is>
          <t>5ケース</t>
        </is>
      </c>
      <c r="K499" s="167" t="n"/>
      <c r="L499" s="289" t="n">
        <v>1990</v>
      </c>
      <c r="M499" s="157" t="n"/>
      <c r="N499" s="289" t="n"/>
      <c r="O499" s="290">
        <f>IF(COUNT(商品マスタ[[#This Row],[参考上代
（税込)]]) &gt; 0, (商品マスタ[[#This Row],[参考上代
（税込)]]-商品マスタ[[#This Row],[国内定価
（15％）]])/(商品マスタ[[#This Row],[参考上代
（税込)]]/1.08), "")</f>
        <v/>
      </c>
      <c r="P499" s="136" t="n">
        <v>0.1</v>
      </c>
      <c r="Q499" s="289">
        <f>商品マスタ[[#This Row],[仕入
単価]]*商品マスタ[[#This Row],[標準国内送料率]]</f>
        <v/>
      </c>
      <c r="R499" s="289" t="n">
        <v>0</v>
      </c>
      <c r="S499" s="289">
        <f>IF(ISBLANK(商品マスタ[[#This Row],[実績
国内送料]]),商品マスタ[[#This Row],[標準国内送料]],)</f>
        <v/>
      </c>
      <c r="T499" s="289">
        <f>商品マスタ[[#This Row],[仕入
単価]]+商品マスタ[[#This Row],[国内送料]]</f>
        <v/>
      </c>
      <c r="U499" s="289">
        <f>ROUNDUP(商品マスタ[[#This Row],[仕入単価+国内送料]]/0.8,-1)</f>
        <v/>
      </c>
      <c r="V499" s="289">
        <f>商品マスタ[[#This Row],[海外定価
（20％）]]-商品マスタ[[#This Row],[仕入単価+国内送料]]</f>
        <v/>
      </c>
      <c r="W499" s="167">
        <f>ROUNDUP(商品マスタ[[#This Row],[仕入単価+国内送料]]/0.85,-1)</f>
        <v/>
      </c>
      <c r="X499" s="289">
        <f>商品マスタ[[#This Row],[国内定価
（15％）]]-商品マスタ[[#This Row],[仕入単価+国内送料]]</f>
        <v/>
      </c>
      <c r="Y499" s="139" t="n">
        <v>0.1</v>
      </c>
      <c r="Z499" s="167" t="n"/>
      <c r="AA499" s="167" t="n"/>
      <c r="AB499" s="167" t="n"/>
      <c r="AC499" s="293" t="n"/>
      <c r="AD499" s="167" t="n"/>
      <c r="AE499" s="167" t="n"/>
      <c r="AF499" s="167" t="n"/>
      <c r="AG499" s="144" t="n"/>
    </row>
    <row r="500" ht="18" customHeight="1" s="207">
      <c r="A500" s="166" t="inlineStr">
        <is>
          <t>飲料アルコール</t>
        </is>
      </c>
      <c r="B500" s="167" t="inlineStr">
        <is>
          <t>日本酒</t>
        </is>
      </c>
      <c r="C500" s="167" t="inlineStr">
        <is>
          <t>梅ヶ枝酒造</t>
        </is>
      </c>
      <c r="D500" s="143">
        <f>"PRD_SNJ_"&amp;
_xlfn.XLOOKUP(商品マスタ[[#This Row],[仕入先]],テーブル1[仕入先名],テーブル1[仕入先コード],"XXX",0,1)&amp;
"_"&amp;
商品マスタ[[#This Row],[シリアル]]&amp;
"_"&amp;
TEXT(COUNTIFS(商品マスタ!$C$3:C500,商品マスタ[[#This Row],[仕入先]],商品マスタ!$E$3:E500,商品マスタ[[#This Row],[商品名]]), "00")</f>
        <v/>
      </c>
      <c r="E500" s="167" t="inlineStr">
        <is>
          <t>美人びわ酒</t>
        </is>
      </c>
      <c r="F500" s="167">
        <f>IF(COUNTIFS($C$3:C500,商品マスタ[[#This Row],[仕入先]],$E$3:E500,商品マスタ[[#This Row],[商品名]]) = 1, 1,0)</f>
        <v/>
      </c>
      <c r="G500" s="133">
        <f>TEXT(SUMIF($C$3:C500,商品マスタ[[#This Row],[仕入先]],$F$3:F500), "0000")</f>
        <v/>
      </c>
      <c r="H500" s="167" t="inlineStr">
        <is>
          <t>本</t>
        </is>
      </c>
      <c r="I500" s="167" t="inlineStr">
        <is>
          <t>720ml×12本/ケース</t>
        </is>
      </c>
      <c r="J500" s="167" t="inlineStr">
        <is>
          <t>5ケース</t>
        </is>
      </c>
      <c r="K500" s="167" t="n"/>
      <c r="L500" s="289" t="n">
        <v>765</v>
      </c>
      <c r="M500" s="157" t="n"/>
      <c r="N500" s="289" t="n"/>
      <c r="O500" s="290">
        <f>IF(COUNT(商品マスタ[[#This Row],[参考上代
（税込)]]) &gt; 0, (商品マスタ[[#This Row],[参考上代
（税込)]]-商品マスタ[[#This Row],[国内定価
（15％）]])/(商品マスタ[[#This Row],[参考上代
（税込)]]/1.08), "")</f>
        <v/>
      </c>
      <c r="P500" s="136" t="n">
        <v>0.1</v>
      </c>
      <c r="Q500" s="289">
        <f>商品マスタ[[#This Row],[仕入
単価]]*商品マスタ[[#This Row],[標準国内送料率]]</f>
        <v/>
      </c>
      <c r="R500" s="289" t="n">
        <v>0</v>
      </c>
      <c r="S500" s="289">
        <f>IF(ISBLANK(商品マスタ[[#This Row],[実績
国内送料]]),商品マスタ[[#This Row],[標準国内送料]],)</f>
        <v/>
      </c>
      <c r="T500" s="289">
        <f>商品マスタ[[#This Row],[仕入
単価]]+商品マスタ[[#This Row],[国内送料]]</f>
        <v/>
      </c>
      <c r="U500" s="289">
        <f>ROUNDUP(商品マスタ[[#This Row],[仕入単価+国内送料]]/0.8,-1)</f>
        <v/>
      </c>
      <c r="V500" s="289">
        <f>商品マスタ[[#This Row],[海外定価
（20％）]]-商品マスタ[[#This Row],[仕入単価+国内送料]]</f>
        <v/>
      </c>
      <c r="W500" s="167">
        <f>ROUNDUP(商品マスタ[[#This Row],[仕入単価+国内送料]]/0.85,-1)</f>
        <v/>
      </c>
      <c r="X500" s="289">
        <f>商品マスタ[[#This Row],[国内定価
（15％）]]-商品マスタ[[#This Row],[仕入単価+国内送料]]</f>
        <v/>
      </c>
      <c r="Y500" s="139" t="n">
        <v>0.1</v>
      </c>
      <c r="Z500" s="167" t="n"/>
      <c r="AA500" s="167" t="n"/>
      <c r="AB500" s="167" t="n"/>
      <c r="AC500" s="293" t="n"/>
      <c r="AD500" s="167" t="n"/>
      <c r="AE500" s="167" t="n"/>
      <c r="AF500" s="167" t="n"/>
      <c r="AG500" s="144" t="n"/>
    </row>
    <row r="501" ht="18" customHeight="1" s="207">
      <c r="A501" s="166" t="inlineStr">
        <is>
          <t>飲料アルコール</t>
        </is>
      </c>
      <c r="B501" s="167" t="inlineStr">
        <is>
          <t>日本酒</t>
        </is>
      </c>
      <c r="C501" s="167" t="inlineStr">
        <is>
          <t>五島列島酒造</t>
        </is>
      </c>
      <c r="D501" s="143">
        <f>"PRD_SNJ_"&amp;
_xlfn.XLOOKUP(商品マスタ[[#This Row],[仕入先]],テーブル1[仕入先名],テーブル1[仕入先コード],"XXX",0,1)&amp;
"_"&amp;
商品マスタ[[#This Row],[シリアル]]&amp;
"_"&amp;
TEXT(COUNTIFS(商品マスタ!$C$3:C501,商品マスタ[[#This Row],[仕入先]],商品マスタ!$E$3:E501,商品マスタ[[#This Row],[商品名]]), "00")</f>
        <v/>
      </c>
      <c r="E501" s="167" t="inlineStr">
        <is>
          <t>五島芋</t>
        </is>
      </c>
      <c r="F501" s="167">
        <f>IF(COUNTIFS($C$3:C501,商品マスタ[[#This Row],[仕入先]],$E$3:E501,商品マスタ[[#This Row],[商品名]]) = 1, 1,0)</f>
        <v/>
      </c>
      <c r="G501" s="133">
        <f>TEXT(SUMIF($C$3:C501,商品マスタ[[#This Row],[仕入先]],$F$3:F501), "0000")</f>
        <v/>
      </c>
      <c r="H501" s="167" t="inlineStr">
        <is>
          <t>本</t>
        </is>
      </c>
      <c r="I501" s="167" t="inlineStr">
        <is>
          <t>720ml×12本/ケース</t>
        </is>
      </c>
      <c r="J501" s="167" t="inlineStr">
        <is>
          <t>5ケース</t>
        </is>
      </c>
      <c r="K501" s="167" t="n"/>
      <c r="L501" s="289" t="n">
        <v>998</v>
      </c>
      <c r="M501" s="157" t="n"/>
      <c r="N501" s="289" t="n"/>
      <c r="O501" s="290">
        <f>IF(COUNT(商品マスタ[[#This Row],[参考上代
（税込)]]) &gt; 0, (商品マスタ[[#This Row],[参考上代
（税込)]]-商品マスタ[[#This Row],[国内定価
（15％）]])/(商品マスタ[[#This Row],[参考上代
（税込)]]/1.08), "")</f>
        <v/>
      </c>
      <c r="P501" s="136" t="n">
        <v>0.1</v>
      </c>
      <c r="Q501" s="289">
        <f>商品マスタ[[#This Row],[仕入
単価]]*商品マスタ[[#This Row],[標準国内送料率]]</f>
        <v/>
      </c>
      <c r="R501" s="289" t="n">
        <v>0</v>
      </c>
      <c r="S501" s="289">
        <f>IF(ISBLANK(商品マスタ[[#This Row],[実績
国内送料]]),商品マスタ[[#This Row],[標準国内送料]],)</f>
        <v/>
      </c>
      <c r="T501" s="289">
        <f>商品マスタ[[#This Row],[仕入
単価]]+商品マスタ[[#This Row],[国内送料]]</f>
        <v/>
      </c>
      <c r="U501" s="289">
        <f>ROUNDUP(商品マスタ[[#This Row],[仕入単価+国内送料]]/0.8,-1)</f>
        <v/>
      </c>
      <c r="V501" s="289">
        <f>商品マスタ[[#This Row],[海外定価
（20％）]]-商品マスタ[[#This Row],[仕入単価+国内送料]]</f>
        <v/>
      </c>
      <c r="W501" s="167">
        <f>ROUNDUP(商品マスタ[[#This Row],[仕入単価+国内送料]]/0.85,-1)</f>
        <v/>
      </c>
      <c r="X501" s="289">
        <f>商品マスタ[[#This Row],[国内定価
（15％）]]-商品マスタ[[#This Row],[仕入単価+国内送料]]</f>
        <v/>
      </c>
      <c r="Y501" s="139" t="n">
        <v>0.1</v>
      </c>
      <c r="Z501" s="167" t="n"/>
      <c r="AA501" s="167" t="n"/>
      <c r="AB501" s="167" t="n"/>
      <c r="AC501" s="293" t="n"/>
      <c r="AD501" s="167" t="n"/>
      <c r="AE501" s="167" t="n"/>
      <c r="AF501" s="167" t="n"/>
      <c r="AG501" s="144" t="n"/>
    </row>
    <row r="502" ht="18" customHeight="1" s="207">
      <c r="A502" s="166" t="inlineStr">
        <is>
          <t>飲料アルコール</t>
        </is>
      </c>
      <c r="B502" s="167" t="inlineStr">
        <is>
          <t>日本酒</t>
        </is>
      </c>
      <c r="C502" s="167" t="inlineStr">
        <is>
          <t>五島列島酒造</t>
        </is>
      </c>
      <c r="D502" s="143">
        <f>"PRD_SNJ_"&amp;
_xlfn.XLOOKUP(商品マスタ[[#This Row],[仕入先]],テーブル1[仕入先名],テーブル1[仕入先コード],"XXX",0,1)&amp;
"_"&amp;
商品マスタ[[#This Row],[シリアル]]&amp;
"_"&amp;
TEXT(COUNTIFS(商品マスタ!$C$3:C502,商品マスタ[[#This Row],[仕入先]],商品マスタ!$E$3:E502,商品マスタ[[#This Row],[商品名]]), "00")</f>
        <v/>
      </c>
      <c r="E502" s="167" t="inlineStr">
        <is>
          <t>五島麦</t>
        </is>
      </c>
      <c r="F502" s="167">
        <f>IF(COUNTIFS($C$3:C502,商品マスタ[[#This Row],[仕入先]],$E$3:E502,商品マスタ[[#This Row],[商品名]]) = 1, 1,0)</f>
        <v/>
      </c>
      <c r="G502" s="133">
        <f>TEXT(SUMIF($C$3:C502,商品マスタ[[#This Row],[仕入先]],$F$3:F502), "0000")</f>
        <v/>
      </c>
      <c r="H502" s="167" t="inlineStr">
        <is>
          <t>本</t>
        </is>
      </c>
      <c r="I502" s="167" t="inlineStr">
        <is>
          <t>720ml×12本/ケース</t>
        </is>
      </c>
      <c r="J502" s="167" t="inlineStr">
        <is>
          <t>5ケース</t>
        </is>
      </c>
      <c r="K502" s="167" t="n"/>
      <c r="L502" s="289" t="n">
        <v>867</v>
      </c>
      <c r="M502" s="157" t="n"/>
      <c r="N502" s="289" t="n"/>
      <c r="O502" s="290">
        <f>IF(COUNT(商品マスタ[[#This Row],[参考上代
（税込)]]) &gt; 0, (商品マスタ[[#This Row],[参考上代
（税込)]]-商品マスタ[[#This Row],[国内定価
（15％）]])/(商品マスタ[[#This Row],[参考上代
（税込)]]/1.08), "")</f>
        <v/>
      </c>
      <c r="P502" s="136" t="n">
        <v>0.1</v>
      </c>
      <c r="Q502" s="289">
        <f>商品マスタ[[#This Row],[仕入
単価]]*商品マスタ[[#This Row],[標準国内送料率]]</f>
        <v/>
      </c>
      <c r="R502" s="289" t="n">
        <v>0</v>
      </c>
      <c r="S502" s="289">
        <f>IF(ISBLANK(商品マスタ[[#This Row],[実績
国内送料]]),商品マスタ[[#This Row],[標準国内送料]],)</f>
        <v/>
      </c>
      <c r="T502" s="289">
        <f>商品マスタ[[#This Row],[仕入
単価]]+商品マスタ[[#This Row],[国内送料]]</f>
        <v/>
      </c>
      <c r="U502" s="289">
        <f>ROUNDUP(商品マスタ[[#This Row],[仕入単価+国内送料]]/0.8,-1)</f>
        <v/>
      </c>
      <c r="V502" s="289">
        <f>商品マスタ[[#This Row],[海外定価
（20％）]]-商品マスタ[[#This Row],[仕入単価+国内送料]]</f>
        <v/>
      </c>
      <c r="W502" s="167">
        <f>ROUNDUP(商品マスタ[[#This Row],[仕入単価+国内送料]]/0.85,-1)</f>
        <v/>
      </c>
      <c r="X502" s="289">
        <f>商品マスタ[[#This Row],[国内定価
（15％）]]-商品マスタ[[#This Row],[仕入単価+国内送料]]</f>
        <v/>
      </c>
      <c r="Y502" s="139" t="n">
        <v>0.1</v>
      </c>
      <c r="Z502" s="167" t="n"/>
      <c r="AA502" s="167" t="n"/>
      <c r="AB502" s="167" t="n"/>
      <c r="AC502" s="293" t="n"/>
      <c r="AD502" s="167" t="n"/>
      <c r="AE502" s="167" t="n"/>
      <c r="AF502" s="167" t="n"/>
      <c r="AG502" s="144" t="n"/>
    </row>
    <row r="503" ht="18" customHeight="1" s="207">
      <c r="A503" s="166" t="inlineStr">
        <is>
          <t>飲料アルコール</t>
        </is>
      </c>
      <c r="B503" s="167" t="inlineStr">
        <is>
          <t>日本酒</t>
        </is>
      </c>
      <c r="C503" s="167" t="inlineStr">
        <is>
          <t>五島列島酒造</t>
        </is>
      </c>
      <c r="D503" s="143">
        <f>"PRD_SNJ_"&amp;
_xlfn.XLOOKUP(商品マスタ[[#This Row],[仕入先]],テーブル1[仕入先名],テーブル1[仕入先コード],"XXX",0,1)&amp;
"_"&amp;
商品マスタ[[#This Row],[シリアル]]&amp;
"_"&amp;
TEXT(COUNTIFS(商品マスタ!$C$3:C503,商品マスタ[[#This Row],[仕入先]],商品マスタ!$E$3:E503,商品マスタ[[#This Row],[商品名]]), "00")</f>
        <v/>
      </c>
      <c r="E503" s="167" t="inlineStr">
        <is>
          <t>五島芋40</t>
        </is>
      </c>
      <c r="F503" s="167">
        <f>IF(COUNTIFS($C$3:C503,商品マスタ[[#This Row],[仕入先]],$E$3:E503,商品マスタ[[#This Row],[商品名]]) = 1, 1,0)</f>
        <v/>
      </c>
      <c r="G503" s="133">
        <f>TEXT(SUMIF($C$3:C503,商品マスタ[[#This Row],[仕入先]],$F$3:F503), "0000")</f>
        <v/>
      </c>
      <c r="H503" s="167" t="inlineStr">
        <is>
          <t>本</t>
        </is>
      </c>
      <c r="I503" s="167" t="inlineStr">
        <is>
          <t>720ml×12本/ケース</t>
        </is>
      </c>
      <c r="J503" s="167" t="inlineStr">
        <is>
          <t>5ケース</t>
        </is>
      </c>
      <c r="K503" s="167" t="n"/>
      <c r="L503" s="289" t="n">
        <v>1962</v>
      </c>
      <c r="M503" s="157" t="n"/>
      <c r="N503" s="289" t="n"/>
      <c r="O503" s="290">
        <f>IF(COUNT(商品マスタ[[#This Row],[参考上代
（税込)]]) &gt; 0, (商品マスタ[[#This Row],[参考上代
（税込)]]-商品マスタ[[#This Row],[国内定価
（15％）]])/(商品マスタ[[#This Row],[参考上代
（税込)]]/1.08), "")</f>
        <v/>
      </c>
      <c r="P503" s="136" t="n">
        <v>0.1</v>
      </c>
      <c r="Q503" s="289">
        <f>商品マスタ[[#This Row],[仕入
単価]]*商品マスタ[[#This Row],[標準国内送料率]]</f>
        <v/>
      </c>
      <c r="R503" s="289" t="n">
        <v>0</v>
      </c>
      <c r="S503" s="289">
        <f>IF(ISBLANK(商品マスタ[[#This Row],[実績
国内送料]]),商品マスタ[[#This Row],[標準国内送料]],)</f>
        <v/>
      </c>
      <c r="T503" s="289">
        <f>商品マスタ[[#This Row],[仕入
単価]]+商品マスタ[[#This Row],[国内送料]]</f>
        <v/>
      </c>
      <c r="U503" s="289">
        <f>ROUNDUP(商品マスタ[[#This Row],[仕入単価+国内送料]]/0.8,-1)</f>
        <v/>
      </c>
      <c r="V503" s="289">
        <f>商品マスタ[[#This Row],[海外定価
（20％）]]-商品マスタ[[#This Row],[仕入単価+国内送料]]</f>
        <v/>
      </c>
      <c r="W503" s="167">
        <f>ROUNDUP(商品マスタ[[#This Row],[仕入単価+国内送料]]/0.85,-1)</f>
        <v/>
      </c>
      <c r="X503" s="289">
        <f>商品マスタ[[#This Row],[国内定価
（15％）]]-商品マスタ[[#This Row],[仕入単価+国内送料]]</f>
        <v/>
      </c>
      <c r="Y503" s="139" t="n">
        <v>0.1</v>
      </c>
      <c r="Z503" s="167" t="n"/>
      <c r="AA503" s="167" t="n"/>
      <c r="AB503" s="167" t="n"/>
      <c r="AC503" s="293" t="n"/>
      <c r="AD503" s="167" t="n"/>
      <c r="AE503" s="167" t="n"/>
      <c r="AF503" s="167" t="n"/>
      <c r="AG503" s="144" t="n"/>
    </row>
    <row r="504" ht="18" customHeight="1" s="207">
      <c r="A504" s="166" t="inlineStr">
        <is>
          <t>飲料アルコール</t>
        </is>
      </c>
      <c r="B504" s="167" t="inlineStr">
        <is>
          <t>日本酒</t>
        </is>
      </c>
      <c r="C504" s="167" t="inlineStr">
        <is>
          <t>五島列島酒造</t>
        </is>
      </c>
      <c r="D504" s="143">
        <f>"PRD_SNJ_"&amp;
_xlfn.XLOOKUP(商品マスタ[[#This Row],[仕入先]],テーブル1[仕入先名],テーブル1[仕入先コード],"XXX",0,1)&amp;
"_"&amp;
商品マスタ[[#This Row],[シリアル]]&amp;
"_"&amp;
TEXT(COUNTIFS(商品マスタ!$C$3:C504,商品マスタ[[#This Row],[仕入先]],商品マスタ!$E$3:E504,商品マスタ[[#This Row],[商品名]]), "00")</f>
        <v/>
      </c>
      <c r="E504" s="167" t="inlineStr">
        <is>
          <t>五島芋　紅はるか　樽熟成</t>
        </is>
      </c>
      <c r="F504" s="167">
        <f>IF(COUNTIFS($C$3:C504,商品マスタ[[#This Row],[仕入先]],$E$3:E504,商品マスタ[[#This Row],[商品名]]) = 1, 1,0)</f>
        <v/>
      </c>
      <c r="G504" s="133">
        <f>TEXT(SUMIF($C$3:C504,商品マスタ[[#This Row],[仕入先]],$F$3:F504), "0000")</f>
        <v/>
      </c>
      <c r="H504" s="167" t="inlineStr">
        <is>
          <t>本</t>
        </is>
      </c>
      <c r="I504" s="167" t="inlineStr">
        <is>
          <t>720ml×12本/ケース</t>
        </is>
      </c>
      <c r="J504" s="167" t="inlineStr">
        <is>
          <t>5ケース</t>
        </is>
      </c>
      <c r="K504" s="167" t="n"/>
      <c r="L504" s="289" t="n">
        <v>1147</v>
      </c>
      <c r="M504" s="157" t="n"/>
      <c r="N504" s="289" t="n"/>
      <c r="O504" s="290">
        <f>IF(COUNT(商品マスタ[[#This Row],[参考上代
（税込)]]) &gt; 0, (商品マスタ[[#This Row],[参考上代
（税込)]]-商品マスタ[[#This Row],[国内定価
（15％）]])/(商品マスタ[[#This Row],[参考上代
（税込)]]/1.08), "")</f>
        <v/>
      </c>
      <c r="P504" s="136" t="n">
        <v>0.1</v>
      </c>
      <c r="Q504" s="289">
        <f>商品マスタ[[#This Row],[仕入
単価]]*商品マスタ[[#This Row],[標準国内送料率]]</f>
        <v/>
      </c>
      <c r="R504" s="289" t="n">
        <v>0</v>
      </c>
      <c r="S504" s="289">
        <f>IF(ISBLANK(商品マスタ[[#This Row],[実績
国内送料]]),商品マスタ[[#This Row],[標準国内送料]],)</f>
        <v/>
      </c>
      <c r="T504" s="289">
        <f>商品マスタ[[#This Row],[仕入
単価]]+商品マスタ[[#This Row],[国内送料]]</f>
        <v/>
      </c>
      <c r="U504" s="289">
        <f>ROUNDUP(商品マスタ[[#This Row],[仕入単価+国内送料]]/0.8,-1)</f>
        <v/>
      </c>
      <c r="V504" s="289">
        <f>商品マスタ[[#This Row],[海外定価
（20％）]]-商品マスタ[[#This Row],[仕入単価+国内送料]]</f>
        <v/>
      </c>
      <c r="W504" s="167">
        <f>ROUNDUP(商品マスタ[[#This Row],[仕入単価+国内送料]]/0.85,-1)</f>
        <v/>
      </c>
      <c r="X504" s="289">
        <f>商品マスタ[[#This Row],[国内定価
（15％）]]-商品マスタ[[#This Row],[仕入単価+国内送料]]</f>
        <v/>
      </c>
      <c r="Y504" s="139" t="n">
        <v>0.1</v>
      </c>
      <c r="Z504" s="167" t="n"/>
      <c r="AA504" s="167" t="n"/>
      <c r="AB504" s="167" t="n"/>
      <c r="AC504" s="293" t="n"/>
      <c r="AD504" s="167" t="n"/>
      <c r="AE504" s="167" t="n"/>
      <c r="AF504" s="167" t="n"/>
      <c r="AG504" s="144" t="n"/>
    </row>
    <row r="505" ht="18" customHeight="1" s="207">
      <c r="A505" s="166" t="inlineStr">
        <is>
          <t>飲料アルコール</t>
        </is>
      </c>
      <c r="B505" s="167" t="inlineStr">
        <is>
          <t>日本酒</t>
        </is>
      </c>
      <c r="C505" s="167" t="inlineStr">
        <is>
          <t>稲見酒造</t>
        </is>
      </c>
      <c r="D505" s="143">
        <f>"PRD_SNJ_"&amp;
_xlfn.XLOOKUP(商品マスタ[[#This Row],[仕入先]],テーブル1[仕入先名],テーブル1[仕入先コード],"XXX",0,1)&amp;
"_"&amp;
商品マスタ[[#This Row],[シリアル]]&amp;
"_"&amp;
TEXT(COUNTIFS(商品マスタ!$C$3:C505,商品マスタ[[#This Row],[仕入先]],商品マスタ!$E$3:E505,商品マスタ[[#This Row],[商品名]]), "00")</f>
        <v/>
      </c>
      <c r="E505" s="167" t="inlineStr">
        <is>
          <t>純米大吟醸　酒壺</t>
        </is>
      </c>
      <c r="F505" s="167">
        <f>IF(COUNTIFS($C$3:C505,商品マスタ[[#This Row],[仕入先]],$E$3:E505,商品マスタ[[#This Row],[商品名]]) = 1, 1,0)</f>
        <v/>
      </c>
      <c r="G505" s="133">
        <f>TEXT(SUMIF($C$3:C505,商品マスタ[[#This Row],[仕入先]],$F$3:F505), "0000")</f>
        <v/>
      </c>
      <c r="H505" s="167" t="inlineStr">
        <is>
          <t>本</t>
        </is>
      </c>
      <c r="I505" s="167" t="inlineStr">
        <is>
          <t>720ml×12本/ケース</t>
        </is>
      </c>
      <c r="J505" s="167" t="inlineStr">
        <is>
          <t>5ケース</t>
        </is>
      </c>
      <c r="K505" s="167" t="n"/>
      <c r="L505" s="289" t="n">
        <v>2808</v>
      </c>
      <c r="M505" s="157" t="n"/>
      <c r="N505" s="289" t="n"/>
      <c r="O505" s="290">
        <f>IF(COUNT(商品マスタ[[#This Row],[参考上代
（税込)]]) &gt; 0, (商品マスタ[[#This Row],[参考上代
（税込)]]-商品マスタ[[#This Row],[国内定価
（15％）]])/(商品マスタ[[#This Row],[参考上代
（税込)]]/1.08), "")</f>
        <v/>
      </c>
      <c r="P505" s="136" t="n">
        <v>0.1</v>
      </c>
      <c r="Q505" s="289">
        <f>商品マスタ[[#This Row],[仕入
単価]]*商品マスタ[[#This Row],[標準国内送料率]]</f>
        <v/>
      </c>
      <c r="R505" s="289" t="n">
        <v>0</v>
      </c>
      <c r="S505" s="289">
        <f>IF(ISBLANK(商品マスタ[[#This Row],[実績
国内送料]]),商品マスタ[[#This Row],[標準国内送料]],)</f>
        <v/>
      </c>
      <c r="T505" s="289">
        <f>商品マスタ[[#This Row],[仕入
単価]]+商品マスタ[[#This Row],[国内送料]]</f>
        <v/>
      </c>
      <c r="U505" s="289">
        <f>ROUNDUP(商品マスタ[[#This Row],[仕入単価+国内送料]]/0.8,-1)</f>
        <v/>
      </c>
      <c r="V505" s="289">
        <f>商品マスタ[[#This Row],[海外定価
（20％）]]-商品マスタ[[#This Row],[仕入単価+国内送料]]</f>
        <v/>
      </c>
      <c r="W505" s="167">
        <f>ROUNDUP(商品マスタ[[#This Row],[仕入単価+国内送料]]/0.85,-1)</f>
        <v/>
      </c>
      <c r="X505" s="289">
        <f>商品マスタ[[#This Row],[国内定価
（15％）]]-商品マスタ[[#This Row],[仕入単価+国内送料]]</f>
        <v/>
      </c>
      <c r="Y505" s="139" t="n">
        <v>0.1</v>
      </c>
      <c r="Z505" s="167" t="n"/>
      <c r="AA505" s="167" t="n"/>
      <c r="AB505" s="167" t="n"/>
      <c r="AC505" s="293" t="n"/>
      <c r="AD505" s="167" t="n"/>
      <c r="AE505" s="167" t="n"/>
      <c r="AF505" s="167" t="n"/>
      <c r="AG505" s="144" t="n"/>
    </row>
    <row r="506" ht="18" customHeight="1" s="207">
      <c r="A506" s="166" t="inlineStr">
        <is>
          <t>飲料アルコール</t>
        </is>
      </c>
      <c r="B506" s="167" t="inlineStr">
        <is>
          <t>日本酒</t>
        </is>
      </c>
      <c r="C506" s="167" t="inlineStr">
        <is>
          <t>稲見酒造</t>
        </is>
      </c>
      <c r="D506" s="143">
        <f>"PRD_SNJ_"&amp;
_xlfn.XLOOKUP(商品マスタ[[#This Row],[仕入先]],テーブル1[仕入先名],テーブル1[仕入先コード],"XXX",0,1)&amp;
"_"&amp;
商品マスタ[[#This Row],[シリアル]]&amp;
"_"&amp;
TEXT(COUNTIFS(商品マスタ!$C$3:C506,商品マスタ[[#This Row],[仕入先]],商品マスタ!$E$3:E506,商品マスタ[[#This Row],[商品名]]), "00")</f>
        <v/>
      </c>
      <c r="E506" s="167" t="inlineStr">
        <is>
          <t>大吟古酒</t>
        </is>
      </c>
      <c r="F506" s="167">
        <f>IF(COUNTIFS($C$3:C506,商品マスタ[[#This Row],[仕入先]],$E$3:E506,商品マスタ[[#This Row],[商品名]]) = 1, 1,0)</f>
        <v/>
      </c>
      <c r="G506" s="133">
        <f>TEXT(SUMIF($C$3:C506,商品マスタ[[#This Row],[仕入先]],$F$3:F506), "0000")</f>
        <v/>
      </c>
      <c r="H506" s="167" t="inlineStr">
        <is>
          <t>本</t>
        </is>
      </c>
      <c r="I506" s="167" t="inlineStr">
        <is>
          <t>720ml×12本/ケース</t>
        </is>
      </c>
      <c r="J506" s="167" t="inlineStr">
        <is>
          <t>5ケース</t>
        </is>
      </c>
      <c r="K506" s="167" t="n"/>
      <c r="L506" s="289" t="n">
        <v>2872</v>
      </c>
      <c r="M506" s="157" t="n"/>
      <c r="N506" s="289" t="n"/>
      <c r="O506" s="290">
        <f>IF(COUNT(商品マスタ[[#This Row],[参考上代
（税込)]]) &gt; 0, (商品マスタ[[#This Row],[参考上代
（税込)]]-商品マスタ[[#This Row],[国内定価
（15％）]])/(商品マスタ[[#This Row],[参考上代
（税込)]]/1.08), "")</f>
        <v/>
      </c>
      <c r="P506" s="136" t="n">
        <v>0.1</v>
      </c>
      <c r="Q506" s="289">
        <f>商品マスタ[[#This Row],[仕入
単価]]*商品マスタ[[#This Row],[標準国内送料率]]</f>
        <v/>
      </c>
      <c r="R506" s="289" t="n">
        <v>0</v>
      </c>
      <c r="S506" s="289">
        <f>IF(ISBLANK(商品マスタ[[#This Row],[実績
国内送料]]),商品マスタ[[#This Row],[標準国内送料]],)</f>
        <v/>
      </c>
      <c r="T506" s="289">
        <f>商品マスタ[[#This Row],[仕入
単価]]+商品マスタ[[#This Row],[国内送料]]</f>
        <v/>
      </c>
      <c r="U506" s="289">
        <f>ROUNDUP(商品マスタ[[#This Row],[仕入単価+国内送料]]/0.8,-1)</f>
        <v/>
      </c>
      <c r="V506" s="289">
        <f>商品マスタ[[#This Row],[海外定価
（20％）]]-商品マスタ[[#This Row],[仕入単価+国内送料]]</f>
        <v/>
      </c>
      <c r="W506" s="167">
        <f>ROUNDUP(商品マスタ[[#This Row],[仕入単価+国内送料]]/0.85,-1)</f>
        <v/>
      </c>
      <c r="X506" s="289">
        <f>商品マスタ[[#This Row],[国内定価
（15％）]]-商品マスタ[[#This Row],[仕入単価+国内送料]]</f>
        <v/>
      </c>
      <c r="Y506" s="139" t="n">
        <v>0.1</v>
      </c>
      <c r="Z506" s="167" t="n"/>
      <c r="AA506" s="167" t="n"/>
      <c r="AB506" s="167" t="n"/>
      <c r="AC506" s="293" t="n"/>
      <c r="AD506" s="167" t="n"/>
      <c r="AE506" s="167" t="n"/>
      <c r="AF506" s="167" t="n"/>
      <c r="AG506" s="144" t="n"/>
    </row>
    <row r="507" ht="18" customHeight="1" s="207">
      <c r="A507" s="166" t="inlineStr">
        <is>
          <t>飲料アルコール</t>
        </is>
      </c>
      <c r="B507" s="167" t="inlineStr">
        <is>
          <t>日本酒</t>
        </is>
      </c>
      <c r="C507" s="167" t="inlineStr">
        <is>
          <t>小浜酒造</t>
        </is>
      </c>
      <c r="D507" s="143">
        <f>"PRD_SNJ_"&amp;
_xlfn.XLOOKUP(商品マスタ[[#This Row],[仕入先]],テーブル1[仕入先名],テーブル1[仕入先コード],"XXX",0,1)&amp;
"_"&amp;
商品マスタ[[#This Row],[シリアル]]&amp;
"_"&amp;
TEXT(COUNTIFS(商品マスタ!$C$3:C507,商品マスタ[[#This Row],[仕入先]],商品マスタ!$E$3:E507,商品マスタ[[#This Row],[商品名]]), "00")</f>
        <v/>
      </c>
      <c r="E507" s="167" t="inlineStr">
        <is>
          <t>純米吟醸わかさ</t>
        </is>
      </c>
      <c r="F507" s="167">
        <f>IF(COUNTIFS($C$3:C507,商品マスタ[[#This Row],[仕入先]],$E$3:E507,商品マスタ[[#This Row],[商品名]]) = 1, 1,0)</f>
        <v/>
      </c>
      <c r="G507" s="133">
        <f>TEXT(SUMIF($C$3:C507,商品マスタ[[#This Row],[仕入先]],$F$3:F507), "0000")</f>
        <v/>
      </c>
      <c r="H507" s="167" t="inlineStr">
        <is>
          <t>本</t>
        </is>
      </c>
      <c r="I507" s="167" t="inlineStr">
        <is>
          <t>720ml×12本/ケース</t>
        </is>
      </c>
      <c r="J507" s="167" t="inlineStr">
        <is>
          <t>5ケース</t>
        </is>
      </c>
      <c r="K507" s="167" t="n"/>
      <c r="L507" s="289" t="n">
        <v>1540</v>
      </c>
      <c r="M507" s="157" t="n"/>
      <c r="N507" s="289" t="n"/>
      <c r="O507" s="290">
        <f>IF(COUNT(商品マスタ[[#This Row],[参考上代
（税込)]]) &gt; 0, (商品マスタ[[#This Row],[参考上代
（税込)]]-商品マスタ[[#This Row],[国内定価
（15％）]])/(商品マスタ[[#This Row],[参考上代
（税込)]]/1.08), "")</f>
        <v/>
      </c>
      <c r="P507" s="136" t="n">
        <v>0.1</v>
      </c>
      <c r="Q507" s="289">
        <f>商品マスタ[[#This Row],[仕入
単価]]*商品マスタ[[#This Row],[標準国内送料率]]</f>
        <v/>
      </c>
      <c r="R507" s="289" t="n">
        <v>0</v>
      </c>
      <c r="S507" s="289">
        <f>IF(ISBLANK(商品マスタ[[#This Row],[実績
国内送料]]),商品マスタ[[#This Row],[標準国内送料]],)</f>
        <v/>
      </c>
      <c r="T507" s="289">
        <f>商品マスタ[[#This Row],[仕入
単価]]+商品マスタ[[#This Row],[国内送料]]</f>
        <v/>
      </c>
      <c r="U507" s="289">
        <f>ROUNDUP(商品マスタ[[#This Row],[仕入単価+国内送料]]/0.8,-1)</f>
        <v/>
      </c>
      <c r="V507" s="289">
        <f>商品マスタ[[#This Row],[海外定価
（20％）]]-商品マスタ[[#This Row],[仕入単価+国内送料]]</f>
        <v/>
      </c>
      <c r="W507" s="167">
        <f>ROUNDUP(商品マスタ[[#This Row],[仕入単価+国内送料]]/0.85,-1)</f>
        <v/>
      </c>
      <c r="X507" s="289">
        <f>商品マスタ[[#This Row],[国内定価
（15％）]]-商品マスタ[[#This Row],[仕入単価+国内送料]]</f>
        <v/>
      </c>
      <c r="Y507" s="139" t="n">
        <v>0.1</v>
      </c>
      <c r="Z507" s="167" t="n"/>
      <c r="AA507" s="167" t="n"/>
      <c r="AB507" s="167" t="n"/>
      <c r="AC507" s="293" t="n"/>
      <c r="AD507" s="167" t="n"/>
      <c r="AE507" s="167" t="n"/>
      <c r="AF507" s="167" t="n"/>
      <c r="AG507" s="144" t="n"/>
    </row>
    <row r="508" ht="18" customHeight="1" s="207">
      <c r="A508" s="166" t="inlineStr">
        <is>
          <t>飲料アルコール</t>
        </is>
      </c>
      <c r="B508" s="167" t="inlineStr">
        <is>
          <t>日本酒</t>
        </is>
      </c>
      <c r="C508" s="167" t="inlineStr">
        <is>
          <t>小浜酒造</t>
        </is>
      </c>
      <c r="D508" s="143">
        <f>"PRD_SNJ_"&amp;
_xlfn.XLOOKUP(商品マスタ[[#This Row],[仕入先]],テーブル1[仕入先名],テーブル1[仕入先コード],"XXX",0,1)&amp;
"_"&amp;
商品マスタ[[#This Row],[シリアル]]&amp;
"_"&amp;
TEXT(COUNTIFS(商品マスタ!$C$3:C508,商品マスタ[[#This Row],[仕入先]],商品マスタ!$E$3:E508,商品マスタ[[#This Row],[商品名]]), "00")</f>
        <v/>
      </c>
      <c r="E508" s="167" t="inlineStr">
        <is>
          <t>五芒星</t>
        </is>
      </c>
      <c r="F508" s="167">
        <f>IF(COUNTIFS($C$3:C508,商品マスタ[[#This Row],[仕入先]],$E$3:E508,商品マスタ[[#This Row],[商品名]]) = 1, 1,0)</f>
        <v/>
      </c>
      <c r="G508" s="133">
        <f>TEXT(SUMIF($C$3:C508,商品マスタ[[#This Row],[仕入先]],$F$3:F508), "0000")</f>
        <v/>
      </c>
      <c r="H508" s="167" t="inlineStr">
        <is>
          <t>本</t>
        </is>
      </c>
      <c r="I508" s="167" t="inlineStr">
        <is>
          <t>720ml×12本/ケース</t>
        </is>
      </c>
      <c r="J508" s="167" t="inlineStr">
        <is>
          <t>5ケース</t>
        </is>
      </c>
      <c r="K508" s="167" t="n"/>
      <c r="L508" s="289" t="n">
        <v>10800</v>
      </c>
      <c r="M508" s="157" t="n"/>
      <c r="N508" s="289" t="n"/>
      <c r="O508" s="290">
        <f>IF(COUNT(商品マスタ[[#This Row],[参考上代
（税込)]]) &gt; 0, (商品マスタ[[#This Row],[参考上代
（税込)]]-商品マスタ[[#This Row],[国内定価
（15％）]])/(商品マスタ[[#This Row],[参考上代
（税込)]]/1.08), "")</f>
        <v/>
      </c>
      <c r="P508" s="136" t="n">
        <v>0.1</v>
      </c>
      <c r="Q508" s="289">
        <f>商品マスタ[[#This Row],[仕入
単価]]*商品マスタ[[#This Row],[標準国内送料率]]</f>
        <v/>
      </c>
      <c r="R508" s="289" t="n">
        <v>0</v>
      </c>
      <c r="S508" s="289">
        <f>IF(ISBLANK(商品マスタ[[#This Row],[実績
国内送料]]),商品マスタ[[#This Row],[標準国内送料]],)</f>
        <v/>
      </c>
      <c r="T508" s="289">
        <f>商品マスタ[[#This Row],[仕入
単価]]+商品マスタ[[#This Row],[国内送料]]</f>
        <v/>
      </c>
      <c r="U508" s="289">
        <f>ROUNDUP(商品マスタ[[#This Row],[仕入単価+国内送料]]/0.8,-1)</f>
        <v/>
      </c>
      <c r="V508" s="289">
        <f>商品マスタ[[#This Row],[海外定価
（20％）]]-商品マスタ[[#This Row],[仕入単価+国内送料]]</f>
        <v/>
      </c>
      <c r="W508" s="167">
        <f>ROUNDUP(商品マスタ[[#This Row],[仕入単価+国内送料]]/0.85,-1)</f>
        <v/>
      </c>
      <c r="X508" s="289">
        <f>商品マスタ[[#This Row],[国内定価
（15％）]]-商品マスタ[[#This Row],[仕入単価+国内送料]]</f>
        <v/>
      </c>
      <c r="Y508" s="139" t="n">
        <v>0.1</v>
      </c>
      <c r="Z508" s="167" t="n"/>
      <c r="AA508" s="167" t="n"/>
      <c r="AB508" s="167" t="n"/>
      <c r="AC508" s="293" t="n"/>
      <c r="AD508" s="167" t="n"/>
      <c r="AE508" s="167" t="n"/>
      <c r="AF508" s="167" t="n"/>
      <c r="AG508" s="144" t="n"/>
    </row>
    <row r="509" ht="18" customHeight="1" s="207">
      <c r="A509" s="166" t="inlineStr">
        <is>
          <t>飲料アルコール</t>
        </is>
      </c>
      <c r="B509" s="167" t="inlineStr">
        <is>
          <t>日本酒</t>
        </is>
      </c>
      <c r="C509" s="167" t="inlineStr">
        <is>
          <t>小浜酒造</t>
        </is>
      </c>
      <c r="D509" s="143">
        <f>"PRD_SNJ_"&amp;
_xlfn.XLOOKUP(商品マスタ[[#This Row],[仕入先]],テーブル1[仕入先名],テーブル1[仕入先コード],"XXX",0,1)&amp;
"_"&amp;
商品マスタ[[#This Row],[シリアル]]&amp;
"_"&amp;
TEXT(COUNTIFS(商品マスタ!$C$3:C509,商品マスタ[[#This Row],[仕入先]],商品マスタ!$E$3:E509,商品マスタ[[#This Row],[商品名]]), "00")</f>
        <v/>
      </c>
      <c r="E509" s="167" t="inlineStr">
        <is>
          <t>熊川宿</t>
        </is>
      </c>
      <c r="F509" s="167">
        <f>IF(COUNTIFS($C$3:C509,商品マスタ[[#This Row],[仕入先]],$E$3:E509,商品マスタ[[#This Row],[商品名]]) = 1, 1,0)</f>
        <v/>
      </c>
      <c r="G509" s="133">
        <f>TEXT(SUMIF($C$3:C509,商品マスタ[[#This Row],[仕入先]],$F$3:F509), "0000")</f>
        <v/>
      </c>
      <c r="H509" s="167" t="inlineStr">
        <is>
          <t>本</t>
        </is>
      </c>
      <c r="I509" s="167" t="inlineStr">
        <is>
          <t>720ml×12本/ケース</t>
        </is>
      </c>
      <c r="J509" s="167" t="inlineStr">
        <is>
          <t>5ケース</t>
        </is>
      </c>
      <c r="K509" s="167" t="n"/>
      <c r="L509" s="289" t="n">
        <v>1382</v>
      </c>
      <c r="M509" s="157" t="n"/>
      <c r="N509" s="289" t="n"/>
      <c r="O509" s="290">
        <f>IF(COUNT(商品マスタ[[#This Row],[参考上代
（税込)]]) &gt; 0, (商品マスタ[[#This Row],[参考上代
（税込)]]-商品マスタ[[#This Row],[国内定価
（15％）]])/(商品マスタ[[#This Row],[参考上代
（税込)]]/1.08), "")</f>
        <v/>
      </c>
      <c r="P509" s="136" t="n">
        <v>0.1</v>
      </c>
      <c r="Q509" s="289">
        <f>商品マスタ[[#This Row],[仕入
単価]]*商品マスタ[[#This Row],[標準国内送料率]]</f>
        <v/>
      </c>
      <c r="R509" s="289" t="n">
        <v>0</v>
      </c>
      <c r="S509" s="289">
        <f>IF(ISBLANK(商品マスタ[[#This Row],[実績
国内送料]]),商品マスタ[[#This Row],[標準国内送料]],)</f>
        <v/>
      </c>
      <c r="T509" s="289">
        <f>商品マスタ[[#This Row],[仕入
単価]]+商品マスタ[[#This Row],[国内送料]]</f>
        <v/>
      </c>
      <c r="U509" s="289">
        <f>ROUNDUP(商品マスタ[[#This Row],[仕入単価+国内送料]]/0.8,-1)</f>
        <v/>
      </c>
      <c r="V509" s="289">
        <f>商品マスタ[[#This Row],[海外定価
（20％）]]-商品マスタ[[#This Row],[仕入単価+国内送料]]</f>
        <v/>
      </c>
      <c r="W509" s="167">
        <f>ROUNDUP(商品マスタ[[#This Row],[仕入単価+国内送料]]/0.85,-1)</f>
        <v/>
      </c>
      <c r="X509" s="289">
        <f>商品マスタ[[#This Row],[国内定価
（15％）]]-商品マスタ[[#This Row],[仕入単価+国内送料]]</f>
        <v/>
      </c>
      <c r="Y509" s="139" t="n">
        <v>0.1</v>
      </c>
      <c r="Z509" s="167" t="n"/>
      <c r="AA509" s="167" t="n"/>
      <c r="AB509" s="167" t="n"/>
      <c r="AC509" s="293" t="n"/>
      <c r="AD509" s="167" t="n"/>
      <c r="AE509" s="167" t="n"/>
      <c r="AF509" s="167" t="n"/>
      <c r="AG509" s="144" t="n"/>
    </row>
    <row r="510" ht="18" customHeight="1" s="207">
      <c r="A510" s="166" t="inlineStr">
        <is>
          <t>飲料アルコール</t>
        </is>
      </c>
      <c r="B510" s="167" t="inlineStr">
        <is>
          <t>リキュール</t>
        </is>
      </c>
      <c r="C510" s="167" t="inlineStr">
        <is>
          <t>中野BC</t>
        </is>
      </c>
      <c r="D510" s="143">
        <f>"PRD_SNJ_"&amp;
_xlfn.XLOOKUP(商品マスタ[[#This Row],[仕入先]],テーブル1[仕入先名],テーブル1[仕入先コード],"XXX",0,1)&amp;
"_"&amp;
商品マスタ[[#This Row],[シリアル]]&amp;
"_"&amp;
TEXT(COUNTIFS(商品マスタ!$C$3:C510,商品マスタ[[#This Row],[仕入先]],商品マスタ!$E$3:E510,商品マスタ[[#This Row],[商品名]]), "00")</f>
        <v/>
      </c>
      <c r="E510" s="167" t="inlineStr">
        <is>
          <t>梅酒　紀州【実入り】</t>
        </is>
      </c>
      <c r="F510" s="167">
        <f>IF(COUNTIFS($C$3:C510,商品マスタ[[#This Row],[仕入先]],$E$3:E510,商品マスタ[[#This Row],[商品名]]) = 1, 1,0)</f>
        <v/>
      </c>
      <c r="G510" s="133">
        <f>TEXT(SUMIF($C$3:C510,商品マスタ[[#This Row],[仕入先]],$F$3:F510), "0000")</f>
        <v/>
      </c>
      <c r="H510" s="167" t="inlineStr">
        <is>
          <t>本</t>
        </is>
      </c>
      <c r="I510" s="167" t="inlineStr">
        <is>
          <t>720ml×12本/ケース</t>
        </is>
      </c>
      <c r="J510" s="167" t="inlineStr">
        <is>
          <t>5ケース</t>
        </is>
      </c>
      <c r="K510" s="167" t="n"/>
      <c r="L510" s="289" t="n">
        <v>720</v>
      </c>
      <c r="M510" s="157" t="n"/>
      <c r="N510" s="289" t="n"/>
      <c r="O510" s="290">
        <f>IF(COUNT(商品マスタ[[#This Row],[参考上代
（税込)]]) &gt; 0, (商品マスタ[[#This Row],[参考上代
（税込)]]-商品マスタ[[#This Row],[国内定価
（15％）]])/(商品マスタ[[#This Row],[参考上代
（税込)]]/1.08), "")</f>
        <v/>
      </c>
      <c r="P510" s="136" t="n">
        <v>0.1</v>
      </c>
      <c r="Q510" s="289">
        <f>商品マスタ[[#This Row],[仕入
単価]]*商品マスタ[[#This Row],[標準国内送料率]]</f>
        <v/>
      </c>
      <c r="R510" s="289" t="n">
        <v>0</v>
      </c>
      <c r="S510" s="289">
        <f>IF(ISBLANK(商品マスタ[[#This Row],[実績
国内送料]]),商品マスタ[[#This Row],[標準国内送料]],)</f>
        <v/>
      </c>
      <c r="T510" s="289">
        <f>商品マスタ[[#This Row],[仕入
単価]]+商品マスタ[[#This Row],[国内送料]]</f>
        <v/>
      </c>
      <c r="U510" s="289">
        <f>ROUNDUP(商品マスタ[[#This Row],[仕入単価+国内送料]]/0.8,-1)</f>
        <v/>
      </c>
      <c r="V510" s="289">
        <f>商品マスタ[[#This Row],[海外定価
（20％）]]-商品マスタ[[#This Row],[仕入単価+国内送料]]</f>
        <v/>
      </c>
      <c r="W510" s="167">
        <f>ROUNDUP(商品マスタ[[#This Row],[仕入単価+国内送料]]/0.85,-1)</f>
        <v/>
      </c>
      <c r="X510" s="289">
        <f>商品マスタ[[#This Row],[国内定価
（15％）]]-商品マスタ[[#This Row],[仕入単価+国内送料]]</f>
        <v/>
      </c>
      <c r="Y510" s="139" t="n">
        <v>0.1</v>
      </c>
      <c r="Z510" s="167" t="n"/>
      <c r="AA510" s="167" t="n"/>
      <c r="AB510" s="167" t="n"/>
      <c r="AC510" s="293" t="n"/>
      <c r="AD510" s="167" t="n"/>
      <c r="AE510" s="167" t="n"/>
      <c r="AF510" s="167" t="n"/>
      <c r="AG510" s="144" t="n"/>
    </row>
    <row r="511" ht="18" customHeight="1" s="207">
      <c r="A511" s="166" t="inlineStr">
        <is>
          <t>飲料アルコール</t>
        </is>
      </c>
      <c r="B511" s="167" t="inlineStr">
        <is>
          <t>リキュール</t>
        </is>
      </c>
      <c r="C511" s="167" t="inlineStr">
        <is>
          <t>中野BC</t>
        </is>
      </c>
      <c r="D511" s="143">
        <f>"PRD_SNJ_"&amp;
_xlfn.XLOOKUP(商品マスタ[[#This Row],[仕入先]],テーブル1[仕入先名],テーブル1[仕入先コード],"XXX",0,1)&amp;
"_"&amp;
商品マスタ[[#This Row],[シリアル]]&amp;
"_"&amp;
TEXT(COUNTIFS(商品マスタ!$C$3:C511,商品マスタ[[#This Row],[仕入先]],商品マスタ!$E$3:E511,商品マスタ[[#This Row],[商品名]]), "00")</f>
        <v/>
      </c>
      <c r="E511" s="167" t="inlineStr">
        <is>
          <t>蜂蜜の梅酒</t>
        </is>
      </c>
      <c r="F511" s="167">
        <f>IF(COUNTIFS($C$3:C511,商品マスタ[[#This Row],[仕入先]],$E$3:E511,商品マスタ[[#This Row],[商品名]]) = 1, 1,0)</f>
        <v/>
      </c>
      <c r="G511" s="133">
        <f>TEXT(SUMIF($C$3:C511,商品マスタ[[#This Row],[仕入先]],$F$3:F511), "0000")</f>
        <v/>
      </c>
      <c r="H511" s="167" t="inlineStr">
        <is>
          <t>本</t>
        </is>
      </c>
      <c r="I511" s="167" t="inlineStr">
        <is>
          <t>720ml×12本/ケース</t>
        </is>
      </c>
      <c r="J511" s="167" t="inlineStr">
        <is>
          <t>5ケース</t>
        </is>
      </c>
      <c r="K511" s="167" t="n"/>
      <c r="L511" s="289" t="n">
        <v>672</v>
      </c>
      <c r="M511" s="157" t="n"/>
      <c r="N511" s="289" t="n"/>
      <c r="O511" s="290">
        <f>IF(COUNT(商品マスタ[[#This Row],[参考上代
（税込)]]) &gt; 0, (商品マスタ[[#This Row],[参考上代
（税込)]]-商品マスタ[[#This Row],[国内定価
（15％）]])/(商品マスタ[[#This Row],[参考上代
（税込)]]/1.08), "")</f>
        <v/>
      </c>
      <c r="P511" s="136" t="n">
        <v>0.1</v>
      </c>
      <c r="Q511" s="289">
        <f>商品マスタ[[#This Row],[仕入
単価]]*商品マスタ[[#This Row],[標準国内送料率]]</f>
        <v/>
      </c>
      <c r="R511" s="289" t="n">
        <v>0</v>
      </c>
      <c r="S511" s="289">
        <f>IF(ISBLANK(商品マスタ[[#This Row],[実績
国内送料]]),商品マスタ[[#This Row],[標準国内送料]],)</f>
        <v/>
      </c>
      <c r="T511" s="289">
        <f>商品マスタ[[#This Row],[仕入
単価]]+商品マスタ[[#This Row],[国内送料]]</f>
        <v/>
      </c>
      <c r="U511" s="289">
        <f>ROUNDUP(商品マスタ[[#This Row],[仕入単価+国内送料]]/0.8,-1)</f>
        <v/>
      </c>
      <c r="V511" s="289">
        <f>商品マスタ[[#This Row],[海外定価
（20％）]]-商品マスタ[[#This Row],[仕入単価+国内送料]]</f>
        <v/>
      </c>
      <c r="W511" s="167">
        <f>ROUNDUP(商品マスタ[[#This Row],[仕入単価+国内送料]]/0.85,-1)</f>
        <v/>
      </c>
      <c r="X511" s="289">
        <f>商品マスタ[[#This Row],[国内定価
（15％）]]-商品マスタ[[#This Row],[仕入単価+国内送料]]</f>
        <v/>
      </c>
      <c r="Y511" s="139" t="n">
        <v>0.1</v>
      </c>
      <c r="Z511" s="167" t="n"/>
      <c r="AA511" s="167" t="n"/>
      <c r="AB511" s="167" t="n"/>
      <c r="AC511" s="293" t="n"/>
      <c r="AD511" s="167" t="n"/>
      <c r="AE511" s="167" t="n"/>
      <c r="AF511" s="167" t="n"/>
      <c r="AG511" s="144" t="n"/>
    </row>
    <row r="512" ht="18" customHeight="1" s="207">
      <c r="A512" s="166" t="inlineStr">
        <is>
          <t>飲料アルコール</t>
        </is>
      </c>
      <c r="B512" s="167" t="inlineStr">
        <is>
          <t>リキュール</t>
        </is>
      </c>
      <c r="C512" s="167" t="inlineStr">
        <is>
          <t>中野BC</t>
        </is>
      </c>
      <c r="D512" s="143">
        <f>"PRD_SNJ_"&amp;
_xlfn.XLOOKUP(商品マスタ[[#This Row],[仕入先]],テーブル1[仕入先名],テーブル1[仕入先コード],"XXX",0,1)&amp;
"_"&amp;
商品マスタ[[#This Row],[シリアル]]&amp;
"_"&amp;
TEXT(COUNTIFS(商品マスタ!$C$3:C512,商品マスタ[[#This Row],[仕入先]],商品マスタ!$E$3:E512,商品マスタ[[#This Row],[商品名]]), "00")</f>
        <v/>
      </c>
      <c r="E512" s="167" t="inlineStr">
        <is>
          <t>赤紫蘇の梅酒</t>
        </is>
      </c>
      <c r="F512" s="167">
        <f>IF(COUNTIFS($C$3:C512,商品マスタ[[#This Row],[仕入先]],$E$3:E512,商品マスタ[[#This Row],[商品名]]) = 1, 1,0)</f>
        <v/>
      </c>
      <c r="G512" s="133">
        <f>TEXT(SUMIF($C$3:C512,商品マスタ[[#This Row],[仕入先]],$F$3:F512), "0000")</f>
        <v/>
      </c>
      <c r="H512" s="167" t="inlineStr">
        <is>
          <t>本</t>
        </is>
      </c>
      <c r="I512" s="167" t="inlineStr">
        <is>
          <t>720ml×12本/ケース</t>
        </is>
      </c>
      <c r="J512" s="167" t="inlineStr">
        <is>
          <t>5ケース</t>
        </is>
      </c>
      <c r="K512" s="167" t="n"/>
      <c r="L512" s="289" t="n">
        <v>672</v>
      </c>
      <c r="M512" s="157" t="n"/>
      <c r="N512" s="289" t="n"/>
      <c r="O512" s="290">
        <f>IF(COUNT(商品マスタ[[#This Row],[参考上代
（税込)]]) &gt; 0, (商品マスタ[[#This Row],[参考上代
（税込)]]-商品マスタ[[#This Row],[国内定価
（15％）]])/(商品マスタ[[#This Row],[参考上代
（税込)]]/1.08), "")</f>
        <v/>
      </c>
      <c r="P512" s="136" t="n">
        <v>0.1</v>
      </c>
      <c r="Q512" s="289">
        <f>商品マスタ[[#This Row],[仕入
単価]]*商品マスタ[[#This Row],[標準国内送料率]]</f>
        <v/>
      </c>
      <c r="R512" s="289" t="n">
        <v>0</v>
      </c>
      <c r="S512" s="289">
        <f>IF(ISBLANK(商品マスタ[[#This Row],[実績
国内送料]]),商品マスタ[[#This Row],[標準国内送料]],)</f>
        <v/>
      </c>
      <c r="T512" s="289">
        <f>商品マスタ[[#This Row],[仕入
単価]]+商品マスタ[[#This Row],[国内送料]]</f>
        <v/>
      </c>
      <c r="U512" s="289">
        <f>ROUNDUP(商品マスタ[[#This Row],[仕入単価+国内送料]]/0.8,-1)</f>
        <v/>
      </c>
      <c r="V512" s="289">
        <f>商品マスタ[[#This Row],[海外定価
（20％）]]-商品マスタ[[#This Row],[仕入単価+国内送料]]</f>
        <v/>
      </c>
      <c r="W512" s="167">
        <f>ROUNDUP(商品マスタ[[#This Row],[仕入単価+国内送料]]/0.85,-1)</f>
        <v/>
      </c>
      <c r="X512" s="289">
        <f>商品マスタ[[#This Row],[国内定価
（15％）]]-商品マスタ[[#This Row],[仕入単価+国内送料]]</f>
        <v/>
      </c>
      <c r="Y512" s="139" t="n">
        <v>0.1</v>
      </c>
      <c r="Z512" s="167" t="n"/>
      <c r="AA512" s="167" t="n"/>
      <c r="AB512" s="167" t="n"/>
      <c r="AC512" s="293" t="n"/>
      <c r="AD512" s="167" t="n"/>
      <c r="AE512" s="167" t="n"/>
      <c r="AF512" s="167" t="n"/>
      <c r="AG512" s="144" t="n"/>
    </row>
    <row r="513" ht="18" customHeight="1" s="207">
      <c r="A513" s="166" t="inlineStr">
        <is>
          <t>飲料アルコール</t>
        </is>
      </c>
      <c r="B513" s="167" t="inlineStr">
        <is>
          <t>リキュール</t>
        </is>
      </c>
      <c r="C513" s="167" t="inlineStr">
        <is>
          <t>中野BC</t>
        </is>
      </c>
      <c r="D513" s="143">
        <f>"PRD_SNJ_"&amp;
_xlfn.XLOOKUP(商品マスタ[[#This Row],[仕入先]],テーブル1[仕入先名],テーブル1[仕入先コード],"XXX",0,1)&amp;
"_"&amp;
商品マスタ[[#This Row],[シリアル]]&amp;
"_"&amp;
TEXT(COUNTIFS(商品マスタ!$C$3:C513,商品マスタ[[#This Row],[仕入先]],商品マスタ!$E$3:E513,商品マスタ[[#This Row],[商品名]]), "00")</f>
        <v/>
      </c>
      <c r="E513" s="167" t="inlineStr">
        <is>
          <t>緑茶の梅酒</t>
        </is>
      </c>
      <c r="F513" s="167">
        <f>IF(COUNTIFS($C$3:C513,商品マスタ[[#This Row],[仕入先]],$E$3:E513,商品マスタ[[#This Row],[商品名]]) = 1, 1,0)</f>
        <v/>
      </c>
      <c r="G513" s="133">
        <f>TEXT(SUMIF($C$3:C513,商品マスタ[[#This Row],[仕入先]],$F$3:F513), "0000")</f>
        <v/>
      </c>
      <c r="H513" s="167" t="inlineStr">
        <is>
          <t>本</t>
        </is>
      </c>
      <c r="I513" s="167" t="inlineStr">
        <is>
          <t>720ml×12本/ケース</t>
        </is>
      </c>
      <c r="J513" s="167" t="inlineStr">
        <is>
          <t>5ケース</t>
        </is>
      </c>
      <c r="K513" s="167" t="n"/>
      <c r="L513" s="289" t="n">
        <v>672</v>
      </c>
      <c r="M513" s="157" t="n"/>
      <c r="N513" s="289" t="n"/>
      <c r="O513" s="290">
        <f>IF(COUNT(商品マスタ[[#This Row],[参考上代
（税込)]]) &gt; 0, (商品マスタ[[#This Row],[参考上代
（税込)]]-商品マスタ[[#This Row],[国内定価
（15％）]])/(商品マスタ[[#This Row],[参考上代
（税込)]]/1.08), "")</f>
        <v/>
      </c>
      <c r="P513" s="136" t="n">
        <v>0.1</v>
      </c>
      <c r="Q513" s="289">
        <f>商品マスタ[[#This Row],[仕入
単価]]*商品マスタ[[#This Row],[標準国内送料率]]</f>
        <v/>
      </c>
      <c r="R513" s="289" t="n">
        <v>0</v>
      </c>
      <c r="S513" s="289">
        <f>IF(ISBLANK(商品マスタ[[#This Row],[実績
国内送料]]),商品マスタ[[#This Row],[標準国内送料]],)</f>
        <v/>
      </c>
      <c r="T513" s="289">
        <f>商品マスタ[[#This Row],[仕入
単価]]+商品マスタ[[#This Row],[国内送料]]</f>
        <v/>
      </c>
      <c r="U513" s="289">
        <f>ROUNDUP(商品マスタ[[#This Row],[仕入単価+国内送料]]/0.8,-1)</f>
        <v/>
      </c>
      <c r="V513" s="289">
        <f>商品マスタ[[#This Row],[海外定価
（20％）]]-商品マスタ[[#This Row],[仕入単価+国内送料]]</f>
        <v/>
      </c>
      <c r="W513" s="167">
        <f>ROUNDUP(商品マスタ[[#This Row],[仕入単価+国内送料]]/0.85,-1)</f>
        <v/>
      </c>
      <c r="X513" s="289">
        <f>商品マスタ[[#This Row],[国内定価
（15％）]]-商品マスタ[[#This Row],[仕入単価+国内送料]]</f>
        <v/>
      </c>
      <c r="Y513" s="139" t="n">
        <v>0.1</v>
      </c>
      <c r="Z513" s="167" t="n"/>
      <c r="AA513" s="167" t="n"/>
      <c r="AB513" s="167" t="n"/>
      <c r="AC513" s="293" t="n"/>
      <c r="AD513" s="167" t="n"/>
      <c r="AE513" s="167" t="n"/>
      <c r="AF513" s="167" t="n"/>
      <c r="AG513" s="144" t="n"/>
    </row>
    <row r="514" ht="18" customHeight="1" s="207">
      <c r="A514" s="166" t="inlineStr">
        <is>
          <t>飲料アルコール</t>
        </is>
      </c>
      <c r="B514" s="167" t="inlineStr">
        <is>
          <t>日本酒</t>
        </is>
      </c>
      <c r="C514" s="167" t="inlineStr">
        <is>
          <t>小堀酒造店</t>
        </is>
      </c>
      <c r="D514" s="143">
        <f>"PRD_SNJ_"&amp;
_xlfn.XLOOKUP(商品マスタ[[#This Row],[仕入先]],テーブル1[仕入先名],テーブル1[仕入先コード],"XXX",0,1)&amp;
"_"&amp;
商品マスタ[[#This Row],[シリアル]]&amp;
"_"&amp;
TEXT(COUNTIFS(商品マスタ!$C$3:C514,商品マスタ[[#This Row],[仕入先]],商品マスタ!$E$3:E514,商品マスタ[[#This Row],[商品名]]), "00")</f>
        <v/>
      </c>
      <c r="E514" s="167" t="inlineStr">
        <is>
          <t>萬歳楽　加賀梅酒</t>
        </is>
      </c>
      <c r="F514" s="167">
        <f>IF(COUNTIFS($C$3:C514,商品マスタ[[#This Row],[仕入先]],$E$3:E514,商品マスタ[[#This Row],[商品名]]) = 1, 1,0)</f>
        <v/>
      </c>
      <c r="G514" s="133">
        <f>TEXT(SUMIF($C$3:C514,商品マスタ[[#This Row],[仕入先]],$F$3:F514), "0000")</f>
        <v/>
      </c>
      <c r="H514" s="167" t="inlineStr">
        <is>
          <t>本</t>
        </is>
      </c>
      <c r="I514" s="167" t="inlineStr">
        <is>
          <t>720ml×12本/ケース</t>
        </is>
      </c>
      <c r="J514" s="167" t="inlineStr">
        <is>
          <t>5ケース</t>
        </is>
      </c>
      <c r="K514" s="167" t="n"/>
      <c r="L514" s="289" t="n">
        <v>1188</v>
      </c>
      <c r="M514" s="157" t="n"/>
      <c r="N514" s="289" t="n"/>
      <c r="O514" s="290">
        <f>IF(COUNT(商品マスタ[[#This Row],[参考上代
（税込)]]) &gt; 0, (商品マスタ[[#This Row],[参考上代
（税込)]]-商品マスタ[[#This Row],[国内定価
（15％）]])/(商品マスタ[[#This Row],[参考上代
（税込)]]/1.08), "")</f>
        <v/>
      </c>
      <c r="P514" s="136" t="n">
        <v>0.1</v>
      </c>
      <c r="Q514" s="289">
        <f>商品マスタ[[#This Row],[仕入
単価]]*商品マスタ[[#This Row],[標準国内送料率]]</f>
        <v/>
      </c>
      <c r="R514" s="289" t="n">
        <v>0</v>
      </c>
      <c r="S514" s="289">
        <f>IF(ISBLANK(商品マスタ[[#This Row],[実績
国内送料]]),商品マスタ[[#This Row],[標準国内送料]],)</f>
        <v/>
      </c>
      <c r="T514" s="289">
        <f>商品マスタ[[#This Row],[仕入
単価]]+商品マスタ[[#This Row],[国内送料]]</f>
        <v/>
      </c>
      <c r="U514" s="289">
        <f>ROUNDUP(商品マスタ[[#This Row],[仕入単価+国内送料]]/0.8,-1)</f>
        <v/>
      </c>
      <c r="V514" s="289">
        <f>商品マスタ[[#This Row],[海外定価
（20％）]]-商品マスタ[[#This Row],[仕入単価+国内送料]]</f>
        <v/>
      </c>
      <c r="W514" s="167">
        <f>ROUNDUP(商品マスタ[[#This Row],[仕入単価+国内送料]]/0.85,-1)</f>
        <v/>
      </c>
      <c r="X514" s="289">
        <f>商品マスタ[[#This Row],[国内定価
（15％）]]-商品マスタ[[#This Row],[仕入単価+国内送料]]</f>
        <v/>
      </c>
      <c r="Y514" s="139" t="n">
        <v>0.1</v>
      </c>
      <c r="Z514" s="167" t="n"/>
      <c r="AA514" s="167" t="n"/>
      <c r="AB514" s="167" t="n"/>
      <c r="AC514" s="293" t="n"/>
      <c r="AD514" s="167" t="n"/>
      <c r="AE514" s="167" t="n"/>
      <c r="AF514" s="167" t="n"/>
      <c r="AG514" s="144" t="n"/>
    </row>
    <row r="515" ht="18" customHeight="1" s="207">
      <c r="A515" s="166" t="inlineStr">
        <is>
          <t>飲料アルコール</t>
        </is>
      </c>
      <c r="B515" s="167" t="inlineStr">
        <is>
          <t>日本酒</t>
        </is>
      </c>
      <c r="C515" s="167" t="inlineStr">
        <is>
          <t>小堀酒造店</t>
        </is>
      </c>
      <c r="D515" s="143">
        <f>"PRD_SNJ_"&amp;
_xlfn.XLOOKUP(商品マスタ[[#This Row],[仕入先]],テーブル1[仕入先名],テーブル1[仕入先コード],"XXX",0,1)&amp;
"_"&amp;
商品マスタ[[#This Row],[シリアル]]&amp;
"_"&amp;
TEXT(COUNTIFS(商品マスタ!$C$3:C515,商品マスタ[[#This Row],[仕入先]],商品マスタ!$E$3:E515,商品マスタ[[#This Row],[商品名]]), "00")</f>
        <v/>
      </c>
      <c r="E515" s="167" t="inlineStr">
        <is>
          <t>萬歳楽　加賀梅酒　 スパークリング</t>
        </is>
      </c>
      <c r="F515" s="167">
        <f>IF(COUNTIFS($C$3:C515,商品マスタ[[#This Row],[仕入先]],$E$3:E515,商品マスタ[[#This Row],[商品名]]) = 1, 1,0)</f>
        <v/>
      </c>
      <c r="G515" s="133">
        <f>TEXT(SUMIF($C$3:C515,商品マスタ[[#This Row],[仕入先]],$F$3:F515), "0000")</f>
        <v/>
      </c>
      <c r="H515" s="167" t="inlineStr">
        <is>
          <t>本</t>
        </is>
      </c>
      <c r="I515" s="167" t="inlineStr">
        <is>
          <t>500ml×12本/ケース</t>
        </is>
      </c>
      <c r="J515" s="167" t="inlineStr">
        <is>
          <t>5ケース</t>
        </is>
      </c>
      <c r="K515" s="167" t="n"/>
      <c r="L515" s="289" t="n">
        <v>558</v>
      </c>
      <c r="M515" s="157" t="n"/>
      <c r="N515" s="289" t="n"/>
      <c r="O515" s="290">
        <f>IF(COUNT(商品マスタ[[#This Row],[参考上代
（税込)]]) &gt; 0, (商品マスタ[[#This Row],[参考上代
（税込)]]-商品マスタ[[#This Row],[国内定価
（15％）]])/(商品マスタ[[#This Row],[参考上代
（税込)]]/1.08), "")</f>
        <v/>
      </c>
      <c r="P515" s="136" t="n">
        <v>0.1</v>
      </c>
      <c r="Q515" s="289">
        <f>商品マスタ[[#This Row],[仕入
単価]]*商品マスタ[[#This Row],[標準国内送料率]]</f>
        <v/>
      </c>
      <c r="R515" s="289" t="n">
        <v>0</v>
      </c>
      <c r="S515" s="289">
        <f>IF(ISBLANK(商品マスタ[[#This Row],[実績
国内送料]]),商品マスタ[[#This Row],[標準国内送料]],)</f>
        <v/>
      </c>
      <c r="T515" s="289">
        <f>商品マスタ[[#This Row],[仕入
単価]]+商品マスタ[[#This Row],[国内送料]]</f>
        <v/>
      </c>
      <c r="U515" s="289">
        <f>ROUNDUP(商品マスタ[[#This Row],[仕入単価+国内送料]]/0.8,-1)</f>
        <v/>
      </c>
      <c r="V515" s="289">
        <f>商品マスタ[[#This Row],[海外定価
（20％）]]-商品マスタ[[#This Row],[仕入単価+国内送料]]</f>
        <v/>
      </c>
      <c r="W515" s="167">
        <f>ROUNDUP(商品マスタ[[#This Row],[仕入単価+国内送料]]/0.85,-1)</f>
        <v/>
      </c>
      <c r="X515" s="289">
        <f>商品マスタ[[#This Row],[国内定価
（15％）]]-商品マスタ[[#This Row],[仕入単価+国内送料]]</f>
        <v/>
      </c>
      <c r="Y515" s="139" t="n">
        <v>0.1</v>
      </c>
      <c r="Z515" s="167" t="n"/>
      <c r="AA515" s="167" t="n"/>
      <c r="AB515" s="167" t="n"/>
      <c r="AC515" s="293" t="n"/>
      <c r="AD515" s="167" t="n"/>
      <c r="AE515" s="167" t="n"/>
      <c r="AF515" s="167" t="n"/>
      <c r="AG515" s="144" t="n"/>
    </row>
    <row r="516" ht="18" customHeight="1" s="207">
      <c r="A516" s="166" t="inlineStr">
        <is>
          <t>飲料アルコール</t>
        </is>
      </c>
      <c r="B516" s="167" t="inlineStr">
        <is>
          <t>日本酒</t>
        </is>
      </c>
      <c r="C516" s="167" t="inlineStr">
        <is>
          <t>小堀酒造店</t>
        </is>
      </c>
      <c r="D516" s="143">
        <f>"PRD_SNJ_"&amp;
_xlfn.XLOOKUP(商品マスタ[[#This Row],[仕入先]],テーブル1[仕入先名],テーブル1[仕入先コード],"XXX",0,1)&amp;
"_"&amp;
商品マスタ[[#This Row],[シリアル]]&amp;
"_"&amp;
TEXT(COUNTIFS(商品マスタ!$C$3:C516,商品マスタ[[#This Row],[仕入先]],商品マスタ!$E$3:E516,商品マスタ[[#This Row],[商品名]]), "00")</f>
        <v/>
      </c>
      <c r="E516" s="167" t="inlineStr">
        <is>
          <t>萬歳楽　加賀梅酒　 12年熟成</t>
        </is>
      </c>
      <c r="F516" s="167">
        <f>IF(COUNTIFS($C$3:C516,商品マスタ[[#This Row],[仕入先]],$E$3:E516,商品マスタ[[#This Row],[商品名]]) = 1, 1,0)</f>
        <v/>
      </c>
      <c r="G516" s="133">
        <f>TEXT(SUMIF($C$3:C516,商品マスタ[[#This Row],[仕入先]],$F$3:F516), "0000")</f>
        <v/>
      </c>
      <c r="H516" s="167" t="inlineStr">
        <is>
          <t>本</t>
        </is>
      </c>
      <c r="I516" s="167" t="inlineStr">
        <is>
          <t>750ml×3本/ケース</t>
        </is>
      </c>
      <c r="J516" s="167" t="inlineStr">
        <is>
          <t>5ケース</t>
        </is>
      </c>
      <c r="K516" s="167" t="n"/>
      <c r="L516" s="289" t="n">
        <v>5610</v>
      </c>
      <c r="M516" s="157" t="n"/>
      <c r="N516" s="289" t="n"/>
      <c r="O516" s="290">
        <f>IF(COUNT(商品マスタ[[#This Row],[参考上代
（税込)]]) &gt; 0, (商品マスタ[[#This Row],[参考上代
（税込)]]-商品マスタ[[#This Row],[国内定価
（15％）]])/(商品マスタ[[#This Row],[参考上代
（税込)]]/1.08), "")</f>
        <v/>
      </c>
      <c r="P516" s="136" t="n">
        <v>0.1</v>
      </c>
      <c r="Q516" s="289">
        <f>商品マスタ[[#This Row],[仕入
単価]]*商品マスタ[[#This Row],[標準国内送料率]]</f>
        <v/>
      </c>
      <c r="R516" s="289" t="n">
        <v>0</v>
      </c>
      <c r="S516" s="289">
        <f>IF(ISBLANK(商品マスタ[[#This Row],[実績
国内送料]]),商品マスタ[[#This Row],[標準国内送料]],)</f>
        <v/>
      </c>
      <c r="T516" s="289">
        <f>商品マスタ[[#This Row],[仕入
単価]]+商品マスタ[[#This Row],[国内送料]]</f>
        <v/>
      </c>
      <c r="U516" s="289">
        <f>ROUNDUP(商品マスタ[[#This Row],[仕入単価+国内送料]]/0.8,-1)</f>
        <v/>
      </c>
      <c r="V516" s="289">
        <f>商品マスタ[[#This Row],[海外定価
（20％）]]-商品マスタ[[#This Row],[仕入単価+国内送料]]</f>
        <v/>
      </c>
      <c r="W516" s="167">
        <f>ROUNDUP(商品マスタ[[#This Row],[仕入単価+国内送料]]/0.85,-1)</f>
        <v/>
      </c>
      <c r="X516" s="289">
        <f>商品マスタ[[#This Row],[国内定価
（15％）]]-商品マスタ[[#This Row],[仕入単価+国内送料]]</f>
        <v/>
      </c>
      <c r="Y516" s="139" t="n">
        <v>0.1</v>
      </c>
      <c r="Z516" s="167" t="n"/>
      <c r="AA516" s="167" t="n"/>
      <c r="AB516" s="167" t="n"/>
      <c r="AC516" s="293" t="n"/>
      <c r="AD516" s="167" t="n"/>
      <c r="AE516" s="167" t="n"/>
      <c r="AF516" s="167" t="n"/>
      <c r="AG516" s="144" t="n"/>
    </row>
    <row r="517" ht="18" customHeight="1" s="207">
      <c r="A517" s="166" t="inlineStr">
        <is>
          <t>飲料アルコール</t>
        </is>
      </c>
      <c r="B517" s="167" t="inlineStr">
        <is>
          <t>日本酒</t>
        </is>
      </c>
      <c r="C517" s="167" t="inlineStr">
        <is>
          <t>小堀酒造店</t>
        </is>
      </c>
      <c r="D517" s="143">
        <f>"PRD_SNJ_"&amp;
_xlfn.XLOOKUP(商品マスタ[[#This Row],[仕入先]],テーブル1[仕入先名],テーブル1[仕入先コード],"XXX",0,1)&amp;
"_"&amp;
商品マスタ[[#This Row],[シリアル]]&amp;
"_"&amp;
TEXT(COUNTIFS(商品マスタ!$C$3:C517,商品マスタ[[#This Row],[仕入先]],商品マスタ!$E$3:E517,商品マスタ[[#This Row],[商品名]]), "00")</f>
        <v/>
      </c>
      <c r="E517" s="167" t="inlineStr">
        <is>
          <t>萬歳楽　加賀梅酒　 15年熟成原酒</t>
        </is>
      </c>
      <c r="F517" s="167">
        <f>IF(COUNTIFS($C$3:C517,商品マスタ[[#This Row],[仕入先]],$E$3:E517,商品マスタ[[#This Row],[商品名]]) = 1, 1,0)</f>
        <v/>
      </c>
      <c r="G517" s="133">
        <f>TEXT(SUMIF($C$3:C517,商品マスタ[[#This Row],[仕入先]],$F$3:F517), "0000")</f>
        <v/>
      </c>
      <c r="H517" s="167" t="inlineStr">
        <is>
          <t>本</t>
        </is>
      </c>
      <c r="I517" s="167" t="inlineStr">
        <is>
          <t>720ml×3本/ケース</t>
        </is>
      </c>
      <c r="J517" s="167" t="inlineStr">
        <is>
          <t>5ケース</t>
        </is>
      </c>
      <c r="K517" s="167" t="n"/>
      <c r="L517" s="289" t="n">
        <v>10800</v>
      </c>
      <c r="M517" s="157" t="n"/>
      <c r="N517" s="289" t="n"/>
      <c r="O517" s="290">
        <f>IF(COUNT(商品マスタ[[#This Row],[参考上代
（税込)]]) &gt; 0, (商品マスタ[[#This Row],[参考上代
（税込)]]-商品マスタ[[#This Row],[国内定価
（15％）]])/(商品マスタ[[#This Row],[参考上代
（税込)]]/1.08), "")</f>
        <v/>
      </c>
      <c r="P517" s="136" t="n">
        <v>0.1</v>
      </c>
      <c r="Q517" s="289">
        <f>商品マスタ[[#This Row],[仕入
単価]]*商品マスタ[[#This Row],[標準国内送料率]]</f>
        <v/>
      </c>
      <c r="R517" s="289" t="n">
        <v>0</v>
      </c>
      <c r="S517" s="289">
        <f>IF(ISBLANK(商品マスタ[[#This Row],[実績
国内送料]]),商品マスタ[[#This Row],[標準国内送料]],)</f>
        <v/>
      </c>
      <c r="T517" s="289">
        <f>商品マスタ[[#This Row],[仕入
単価]]+商品マスタ[[#This Row],[国内送料]]</f>
        <v/>
      </c>
      <c r="U517" s="289">
        <f>ROUNDUP(商品マスタ[[#This Row],[仕入単価+国内送料]]/0.8,-1)</f>
        <v/>
      </c>
      <c r="V517" s="289">
        <f>商品マスタ[[#This Row],[海外定価
（20％）]]-商品マスタ[[#This Row],[仕入単価+国内送料]]</f>
        <v/>
      </c>
      <c r="W517" s="167">
        <f>ROUNDUP(商品マスタ[[#This Row],[仕入単価+国内送料]]/0.85,-1)</f>
        <v/>
      </c>
      <c r="X517" s="289">
        <f>商品マスタ[[#This Row],[国内定価
（15％）]]-商品マスタ[[#This Row],[仕入単価+国内送料]]</f>
        <v/>
      </c>
      <c r="Y517" s="139" t="n">
        <v>0.1</v>
      </c>
      <c r="Z517" s="167" t="n"/>
      <c r="AA517" s="167" t="n"/>
      <c r="AB517" s="167" t="n"/>
      <c r="AC517" s="293" t="n"/>
      <c r="AD517" s="167" t="n"/>
      <c r="AE517" s="167" t="n"/>
      <c r="AF517" s="167" t="n"/>
      <c r="AG517" s="144" t="n"/>
    </row>
    <row r="518" ht="18" customHeight="1" s="207">
      <c r="A518" s="166" t="inlineStr">
        <is>
          <t>飲料アルコール</t>
        </is>
      </c>
      <c r="B518" s="167" t="inlineStr">
        <is>
          <t>ワイン</t>
        </is>
      </c>
      <c r="C518" s="167" t="inlineStr">
        <is>
          <t>NIKI HILLS</t>
        </is>
      </c>
      <c r="D518" s="143">
        <f>"PRD_SNJ_"&amp;
_xlfn.XLOOKUP(商品マスタ[[#This Row],[仕入先]],テーブル1[仕入先名],テーブル1[仕入先コード],"XXX",0,1)&amp;
"_"&amp;
商品マスタ[[#This Row],[シリアル]]&amp;
"_"&amp;
TEXT(COUNTIFS(商品マスタ!$C$3:C518,商品マスタ[[#This Row],[仕入先]],商品マスタ!$E$3:E518,商品マスタ[[#This Row],[商品名]]), "00")</f>
        <v/>
      </c>
      <c r="E518" s="167" t="inlineStr">
        <is>
          <t>HATSUYUKI 2024</t>
        </is>
      </c>
      <c r="F518" s="167">
        <f>IF(COUNTIFS($C$3:C518,商品マスタ[[#This Row],[仕入先]],$E$3:E518,商品マスタ[[#This Row],[商品名]]) = 1, 1,0)</f>
        <v/>
      </c>
      <c r="G518" s="133">
        <f>TEXT(SUMIF($C$3:C518,商品マスタ[[#This Row],[仕入先]],$F$3:F518), "0000")</f>
        <v/>
      </c>
      <c r="H518" s="167" t="inlineStr">
        <is>
          <t>本</t>
        </is>
      </c>
      <c r="I518" s="167" t="inlineStr">
        <is>
          <t>720ml×12本/ケース</t>
        </is>
      </c>
      <c r="J518" s="167" t="inlineStr">
        <is>
          <t>5ケース</t>
        </is>
      </c>
      <c r="K518" s="167" t="n"/>
      <c r="L518" s="289" t="n">
        <v>3850</v>
      </c>
      <c r="M518" s="157" t="n"/>
      <c r="N518" s="289" t="n"/>
      <c r="O518" s="290">
        <f>IF(COUNT(商品マスタ[[#This Row],[参考上代
（税込)]]) &gt; 0, (商品マスタ[[#This Row],[参考上代
（税込)]]-商品マスタ[[#This Row],[国内定価
（15％）]])/(商品マスタ[[#This Row],[参考上代
（税込)]]/1.08), "")</f>
        <v/>
      </c>
      <c r="P518" s="136" t="n">
        <v>0.1</v>
      </c>
      <c r="Q518" s="289">
        <f>商品マスタ[[#This Row],[仕入
単価]]*商品マスタ[[#This Row],[標準国内送料率]]</f>
        <v/>
      </c>
      <c r="R518" s="289" t="n">
        <v>0</v>
      </c>
      <c r="S518" s="289">
        <f>IF(ISBLANK(商品マスタ[[#This Row],[実績
国内送料]]),商品マスタ[[#This Row],[標準国内送料]],)</f>
        <v/>
      </c>
      <c r="T518" s="289">
        <f>商品マスタ[[#This Row],[仕入
単価]]+商品マスタ[[#This Row],[国内送料]]</f>
        <v/>
      </c>
      <c r="U518" s="289">
        <f>ROUNDUP(商品マスタ[[#This Row],[仕入単価+国内送料]]/0.8,-1)</f>
        <v/>
      </c>
      <c r="V518" s="289">
        <f>商品マスタ[[#This Row],[海外定価
（20％）]]-商品マスタ[[#This Row],[仕入単価+国内送料]]</f>
        <v/>
      </c>
      <c r="W518" s="167">
        <f>ROUNDUP(商品マスタ[[#This Row],[仕入単価+国内送料]]/0.85,-1)</f>
        <v/>
      </c>
      <c r="X518" s="289">
        <f>商品マスタ[[#This Row],[国内定価
（15％）]]-商品マスタ[[#This Row],[仕入単価+国内送料]]</f>
        <v/>
      </c>
      <c r="Y518" s="139" t="n">
        <v>0.1</v>
      </c>
      <c r="Z518" s="167" t="n"/>
      <c r="AA518" s="167" t="n"/>
      <c r="AB518" s="167" t="n"/>
      <c r="AC518" s="293" t="n"/>
      <c r="AD518" s="167" t="n"/>
      <c r="AE518" s="167" t="n"/>
      <c r="AF518" s="167" t="n"/>
      <c r="AG518" s="144" t="n"/>
    </row>
    <row r="519" ht="18" customHeight="1" s="207">
      <c r="A519" s="166" t="inlineStr">
        <is>
          <t>飲料アルコール</t>
        </is>
      </c>
      <c r="B519" s="167" t="inlineStr">
        <is>
          <t>日本酒</t>
        </is>
      </c>
      <c r="C519" s="167" t="inlineStr">
        <is>
          <t>若鶴酒造株式会社</t>
        </is>
      </c>
      <c r="D519" s="143">
        <f>"PRD_SNJ_"&amp;
_xlfn.XLOOKUP(商品マスタ[[#This Row],[仕入先]],テーブル1[仕入先名],テーブル1[仕入先コード],"XXX",0,1)&amp;
"_"&amp;
商品マスタ[[#This Row],[シリアル]]&amp;
"_"&amp;
TEXT(COUNTIFS(商品マスタ!$C$3:C519,商品マスタ[[#This Row],[仕入先]],商品マスタ!$E$3:E519,商品マスタ[[#This Row],[商品名]]), "00")</f>
        <v/>
      </c>
      <c r="E519" s="167" t="inlineStr">
        <is>
          <t>SAB. SUNSET RED　700ml</t>
        </is>
      </c>
      <c r="F519" s="167">
        <f>IF(COUNTIFS($C$3:C519,商品マスタ[[#This Row],[仕入先]],$E$3:E519,商品マスタ[[#This Row],[商品名]]) = 1, 1,0)</f>
        <v/>
      </c>
      <c r="G519" s="133">
        <f>TEXT(SUMIF($C$3:C519,商品マスタ[[#This Row],[仕入先]],$F$3:F519), "0000")</f>
        <v/>
      </c>
      <c r="H519" s="167" t="inlineStr">
        <is>
          <t>本</t>
        </is>
      </c>
      <c r="I519" s="167" t="inlineStr">
        <is>
          <t>700ml×6本/ケース</t>
        </is>
      </c>
      <c r="J519" s="167" t="inlineStr">
        <is>
          <t>5ケース</t>
        </is>
      </c>
      <c r="K519" s="167" t="n"/>
      <c r="L519" s="289" t="n">
        <v>1810</v>
      </c>
      <c r="M519" s="157" t="n"/>
      <c r="N519" s="289" t="n"/>
      <c r="O519" s="290">
        <f>IF(COUNT(商品マスタ[[#This Row],[参考上代
（税込)]]) &gt; 0, (商品マスタ[[#This Row],[参考上代
（税込)]]-商品マスタ[[#This Row],[国内定価
（15％）]])/(商品マスタ[[#This Row],[参考上代
（税込)]]/1.08), "")</f>
        <v/>
      </c>
      <c r="P519" s="136" t="n">
        <v>0.1</v>
      </c>
      <c r="Q519" s="289">
        <f>商品マスタ[[#This Row],[仕入
単価]]*商品マスタ[[#This Row],[標準国内送料率]]</f>
        <v/>
      </c>
      <c r="R519" s="289" t="n">
        <v>0</v>
      </c>
      <c r="S519" s="289">
        <f>IF(ISBLANK(商品マスタ[[#This Row],[実績
国内送料]]),商品マスタ[[#This Row],[標準国内送料]],)</f>
        <v/>
      </c>
      <c r="T519" s="289">
        <f>商品マスタ[[#This Row],[仕入
単価]]+商品マスタ[[#This Row],[国内送料]]</f>
        <v/>
      </c>
      <c r="U519" s="289">
        <f>ROUNDUP(商品マスタ[[#This Row],[仕入単価+国内送料]]/0.8,-1)</f>
        <v/>
      </c>
      <c r="V519" s="289">
        <f>商品マスタ[[#This Row],[海外定価
（20％）]]-商品マスタ[[#This Row],[仕入単価+国内送料]]</f>
        <v/>
      </c>
      <c r="W519" s="167">
        <f>ROUNDUP(商品マスタ[[#This Row],[仕入単価+国内送料]]/0.85,-1)</f>
        <v/>
      </c>
      <c r="X519" s="289">
        <f>商品マスタ[[#This Row],[国内定価
（15％）]]-商品マスタ[[#This Row],[仕入単価+国内送料]]</f>
        <v/>
      </c>
      <c r="Y519" s="139" t="n">
        <v>0.1</v>
      </c>
      <c r="Z519" s="167" t="n"/>
      <c r="AA519" s="167" t="n"/>
      <c r="AB519" s="167" t="n"/>
      <c r="AC519" s="293" t="n"/>
      <c r="AD519" s="167" t="n"/>
      <c r="AE519" s="167" t="n"/>
      <c r="AF519" s="167" t="n"/>
      <c r="AG519" s="144" t="n"/>
    </row>
    <row r="520" ht="18" customHeight="1" s="207">
      <c r="A520" s="166" t="inlineStr">
        <is>
          <t>飲料アルコール</t>
        </is>
      </c>
      <c r="B520" s="167" t="inlineStr">
        <is>
          <t>日本酒</t>
        </is>
      </c>
      <c r="C520" s="167" t="inlineStr">
        <is>
          <t>若鶴酒造株式会社</t>
        </is>
      </c>
      <c r="D520" s="143">
        <f>"PRD_SNJ_"&amp;
_xlfn.XLOOKUP(商品マスタ[[#This Row],[仕入先]],テーブル1[仕入先名],テーブル1[仕入先コード],"XXX",0,1)&amp;
"_"&amp;
商品マスタ[[#This Row],[シリアル]]&amp;
"_"&amp;
TEXT(COUNTIFS(商品マスタ!$C$3:C520,商品マスタ[[#This Row],[仕入先]],商品マスタ!$E$3:E520,商品マスタ[[#This Row],[商品名]]), "00")</f>
        <v/>
      </c>
      <c r="E520" s="167" t="inlineStr">
        <is>
          <t>UMESKY</t>
        </is>
      </c>
      <c r="F520" s="167">
        <f>IF(COUNTIFS($C$3:C520,商品マスタ[[#This Row],[仕入先]],$E$3:E520,商品マスタ[[#This Row],[商品名]]) = 1, 1,0)</f>
        <v/>
      </c>
      <c r="G520" s="133">
        <f>TEXT(SUMIF($C$3:C520,商品マスタ[[#This Row],[仕入先]],$F$3:F520), "0000")</f>
        <v/>
      </c>
      <c r="H520" s="167" t="inlineStr">
        <is>
          <t>本</t>
        </is>
      </c>
      <c r="I520" s="167" t="inlineStr">
        <is>
          <t>720ml×6本/ケース</t>
        </is>
      </c>
      <c r="J520" s="167" t="inlineStr">
        <is>
          <t>5ケース</t>
        </is>
      </c>
      <c r="K520" s="167" t="n"/>
      <c r="L520" s="289" t="n">
        <v>1170</v>
      </c>
      <c r="M520" s="157" t="n"/>
      <c r="N520" s="289" t="n"/>
      <c r="O520" s="290">
        <f>IF(COUNT(商品マスタ[[#This Row],[参考上代
（税込)]]) &gt; 0, (商品マスタ[[#This Row],[参考上代
（税込)]]-商品マスタ[[#This Row],[国内定価
（15％）]])/(商品マスタ[[#This Row],[参考上代
（税込)]]/1.08), "")</f>
        <v/>
      </c>
      <c r="P520" s="136" t="n">
        <v>0.1</v>
      </c>
      <c r="Q520" s="289">
        <f>商品マスタ[[#This Row],[仕入
単価]]*商品マスタ[[#This Row],[標準国内送料率]]</f>
        <v/>
      </c>
      <c r="R520" s="289" t="n">
        <v>0</v>
      </c>
      <c r="S520" s="289">
        <f>IF(ISBLANK(商品マスタ[[#This Row],[実績
国内送料]]),商品マスタ[[#This Row],[標準国内送料]],)</f>
        <v/>
      </c>
      <c r="T520" s="289">
        <f>商品マスタ[[#This Row],[仕入
単価]]+商品マスタ[[#This Row],[国内送料]]</f>
        <v/>
      </c>
      <c r="U520" s="289">
        <f>ROUNDUP(商品マスタ[[#This Row],[仕入単価+国内送料]]/0.8,-1)</f>
        <v/>
      </c>
      <c r="V520" s="289">
        <f>商品マスタ[[#This Row],[海外定価
（20％）]]-商品マスタ[[#This Row],[仕入単価+国内送料]]</f>
        <v/>
      </c>
      <c r="W520" s="167">
        <f>ROUNDUP(商品マスタ[[#This Row],[仕入単価+国内送料]]/0.85,-1)</f>
        <v/>
      </c>
      <c r="X520" s="289">
        <f>商品マスタ[[#This Row],[国内定価
（15％）]]-商品マスタ[[#This Row],[仕入単価+国内送料]]</f>
        <v/>
      </c>
      <c r="Y520" s="139" t="n">
        <v>0.1</v>
      </c>
      <c r="Z520" s="167" t="n"/>
      <c r="AA520" s="167" t="n"/>
      <c r="AB520" s="167" t="n"/>
      <c r="AC520" s="293" t="n"/>
      <c r="AD520" s="167" t="n"/>
      <c r="AE520" s="167" t="n"/>
      <c r="AF520" s="167" t="n"/>
      <c r="AG520" s="144" t="n"/>
    </row>
    <row r="521" ht="18" customHeight="1" s="207">
      <c r="A521" s="166" t="inlineStr">
        <is>
          <t>飲料アルコール</t>
        </is>
      </c>
      <c r="B521" s="167" t="inlineStr">
        <is>
          <t>日本酒</t>
        </is>
      </c>
      <c r="C521" s="167" t="inlineStr">
        <is>
          <t>若鶴酒造株式会社</t>
        </is>
      </c>
      <c r="D521" s="143">
        <f>"PRD_SNJ_"&amp;
_xlfn.XLOOKUP(商品マスタ[[#This Row],[仕入先]],テーブル1[仕入先名],テーブル1[仕入先コード],"XXX",0,1)&amp;
"_"&amp;
商品マスタ[[#This Row],[シリアル]]&amp;
"_"&amp;
TEXT(COUNTIFS(商品マスタ!$C$3:C521,商品マスタ[[#This Row],[仕入先]],商品マスタ!$E$3:E521,商品マスタ[[#This Row],[商品名]]), "00")</f>
        <v/>
      </c>
      <c r="E521" s="167" t="inlineStr">
        <is>
          <t>苗加屋 富山雄山錦 純米吟醸</t>
        </is>
      </c>
      <c r="F521" s="167">
        <f>IF(COUNTIFS($C$3:C521,商品マスタ[[#This Row],[仕入先]],$E$3:E521,商品マスタ[[#This Row],[商品名]]) = 1, 1,0)</f>
        <v/>
      </c>
      <c r="G521" s="133">
        <f>TEXT(SUMIF($C$3:C521,商品マスタ[[#This Row],[仕入先]],$F$3:F521), "0000")</f>
        <v/>
      </c>
      <c r="H521" s="167" t="inlineStr">
        <is>
          <t>本</t>
        </is>
      </c>
      <c r="I521" s="167" t="inlineStr">
        <is>
          <t>720ml×12本/ケース</t>
        </is>
      </c>
      <c r="J521" s="167" t="inlineStr">
        <is>
          <t>5ケース</t>
        </is>
      </c>
      <c r="K521" s="167" t="n"/>
      <c r="L521" s="289" t="n">
        <v>1110</v>
      </c>
      <c r="M521" s="157" t="n"/>
      <c r="N521" s="289" t="n"/>
      <c r="O521" s="290">
        <f>IF(COUNT(商品マスタ[[#This Row],[参考上代
（税込)]]) &gt; 0, (商品マスタ[[#This Row],[参考上代
（税込)]]-商品マスタ[[#This Row],[国内定価
（15％）]])/(商品マスタ[[#This Row],[参考上代
（税込)]]/1.08), "")</f>
        <v/>
      </c>
      <c r="P521" s="136" t="n">
        <v>0.1</v>
      </c>
      <c r="Q521" s="289">
        <f>商品マスタ[[#This Row],[仕入
単価]]*商品マスタ[[#This Row],[標準国内送料率]]</f>
        <v/>
      </c>
      <c r="R521" s="289" t="n">
        <v>0</v>
      </c>
      <c r="S521" s="289">
        <f>IF(ISBLANK(商品マスタ[[#This Row],[実績
国内送料]]),商品マスタ[[#This Row],[標準国内送料]],)</f>
        <v/>
      </c>
      <c r="T521" s="289">
        <f>商品マスタ[[#This Row],[仕入
単価]]+商品マスタ[[#This Row],[国内送料]]</f>
        <v/>
      </c>
      <c r="U521" s="289">
        <f>ROUNDUP(商品マスタ[[#This Row],[仕入単価+国内送料]]/0.8,-1)</f>
        <v/>
      </c>
      <c r="V521" s="289">
        <f>商品マスタ[[#This Row],[海外定価
（20％）]]-商品マスタ[[#This Row],[仕入単価+国内送料]]</f>
        <v/>
      </c>
      <c r="W521" s="167">
        <f>ROUNDUP(商品マスタ[[#This Row],[仕入単価+国内送料]]/0.85,-1)</f>
        <v/>
      </c>
      <c r="X521" s="289">
        <f>商品マスタ[[#This Row],[国内定価
（15％）]]-商品マスタ[[#This Row],[仕入単価+国内送料]]</f>
        <v/>
      </c>
      <c r="Y521" s="139" t="n">
        <v>0.1</v>
      </c>
      <c r="Z521" s="167" t="n"/>
      <c r="AA521" s="167" t="n"/>
      <c r="AB521" s="167" t="n"/>
      <c r="AC521" s="293" t="n"/>
      <c r="AD521" s="167" t="n"/>
      <c r="AE521" s="167" t="n"/>
      <c r="AF521" s="167" t="n"/>
      <c r="AG521" s="144" t="n"/>
    </row>
    <row r="522" ht="18" customHeight="1" s="207">
      <c r="A522" s="166" t="inlineStr">
        <is>
          <t>飲料アルコール</t>
        </is>
      </c>
      <c r="B522" s="167" t="inlineStr">
        <is>
          <t>茶</t>
        </is>
      </c>
      <c r="C522" s="167" t="inlineStr">
        <is>
          <t>協栄製茶　壱之庄</t>
        </is>
      </c>
      <c r="D522" s="143">
        <f>"PRD_SNJ_"&amp;
_xlfn.XLOOKUP(商品マスタ[[#This Row],[仕入先]],テーブル1[仕入先名],テーブル1[仕入先コード],"XXX",0,1)&amp;
"_"&amp;
商品マスタ[[#This Row],[シリアル]]&amp;
"_"&amp;
TEXT(COUNTIFS(商品マスタ!$C$3:C522,商品マスタ[[#This Row],[仕入先]],商品マスタ!$E$3:E522,商品マスタ[[#This Row],[商品名]]), "00")</f>
        <v/>
      </c>
      <c r="E522" s="167" t="inlineStr">
        <is>
          <t>雁の音ほうじ茶壱之棒（ティーバッグ）</t>
        </is>
      </c>
      <c r="F522" s="167">
        <f>IF(COUNTIFS($C$3:C522,商品マスタ[[#This Row],[仕入先]],$E$3:E522,商品マスタ[[#This Row],[商品名]]) = 1, 1,0)</f>
        <v/>
      </c>
      <c r="G522" s="133">
        <f>TEXT(SUMIF($C$3:C522,商品マスタ[[#This Row],[仕入先]],$F$3:F522), "0000")</f>
        <v/>
      </c>
      <c r="H522" s="167" t="inlineStr">
        <is>
          <t>パック</t>
        </is>
      </c>
      <c r="I522" s="167" t="inlineStr">
        <is>
          <t>3g×45袋</t>
        </is>
      </c>
      <c r="J522" s="167" t="inlineStr">
        <is>
          <t>1パック</t>
        </is>
      </c>
      <c r="K522" s="167" t="n"/>
      <c r="L522" s="289" t="n">
        <v>1124</v>
      </c>
      <c r="M522" s="157" t="n"/>
      <c r="N522" s="289" t="n"/>
      <c r="O522" s="290">
        <f>IF(COUNT(商品マスタ[[#This Row],[参考上代
（税込)]]) &gt; 0, (商品マスタ[[#This Row],[参考上代
（税込)]]-商品マスタ[[#This Row],[国内定価
（15％）]])/(商品マスタ[[#This Row],[参考上代
（税込)]]/1.08), "")</f>
        <v/>
      </c>
      <c r="P522" s="136" t="n">
        <v>0.1</v>
      </c>
      <c r="Q522" s="289">
        <f>商品マスタ[[#This Row],[仕入
単価]]*商品マスタ[[#This Row],[標準国内送料率]]</f>
        <v/>
      </c>
      <c r="R522" s="289" t="n">
        <v>0</v>
      </c>
      <c r="S522" s="289">
        <f>IF(ISBLANK(商品マスタ[[#This Row],[実績
国内送料]]),商品マスタ[[#This Row],[標準国内送料]],)</f>
        <v/>
      </c>
      <c r="T522" s="289">
        <f>商品マスタ[[#This Row],[仕入
単価]]+商品マスタ[[#This Row],[国内送料]]</f>
        <v/>
      </c>
      <c r="U522" s="289">
        <f>ROUNDUP(商品マスタ[[#This Row],[仕入単価+国内送料]]/0.8,-1)</f>
        <v/>
      </c>
      <c r="V522" s="289">
        <f>商品マスタ[[#This Row],[海外定価
（20％）]]-商品マスタ[[#This Row],[仕入単価+国内送料]]</f>
        <v/>
      </c>
      <c r="W522" s="167">
        <f>ROUNDUP(商品マスタ[[#This Row],[仕入単価+国内送料]]/0.85,-1)</f>
        <v/>
      </c>
      <c r="X522" s="289">
        <f>商品マスタ[[#This Row],[国内定価
（15％）]]-商品マスタ[[#This Row],[仕入単価+国内送料]]</f>
        <v/>
      </c>
      <c r="Y522" s="139" t="n">
        <v>0.08</v>
      </c>
      <c r="Z522" s="167" t="n"/>
      <c r="AA522" s="167" t="n"/>
      <c r="AB522" s="167" t="n"/>
      <c r="AC522" s="293" t="n"/>
      <c r="AD522" s="167" t="n"/>
      <c r="AE522" s="167" t="n"/>
      <c r="AF522" s="167" t="n"/>
      <c r="AG522" s="144" t="n"/>
    </row>
    <row r="523" ht="18" customHeight="1" s="207">
      <c r="A523" s="166" t="inlineStr">
        <is>
          <t>飲料アルコール</t>
        </is>
      </c>
      <c r="B523" s="167" t="inlineStr">
        <is>
          <t>茶</t>
        </is>
      </c>
      <c r="C523" s="167" t="inlineStr">
        <is>
          <t>協栄製茶　壱之庄</t>
        </is>
      </c>
      <c r="D523" s="143">
        <f>"PRD_SNJ_"&amp;
_xlfn.XLOOKUP(商品マスタ[[#This Row],[仕入先]],テーブル1[仕入先名],テーブル1[仕入先コード],"XXX",0,1)&amp;
"_"&amp;
商品マスタ[[#This Row],[シリアル]]&amp;
"_"&amp;
TEXT(COUNTIFS(商品マスタ!$C$3:C523,商品マスタ[[#This Row],[仕入先]],商品マスタ!$E$3:E523,商品マスタ[[#This Row],[商品名]]), "00")</f>
        <v/>
      </c>
      <c r="E523" s="167" t="inlineStr">
        <is>
          <t>雁の音ほうじ茶壱之棒（ティーバッグ）</t>
        </is>
      </c>
      <c r="F523" s="167">
        <f>IF(COUNTIFS($C$3:C523,商品マスタ[[#This Row],[仕入先]],$E$3:E523,商品マスタ[[#This Row],[商品名]]) = 1, 1,0)</f>
        <v/>
      </c>
      <c r="G523" s="133">
        <f>TEXT(SUMIF($C$3:C523,商品マスタ[[#This Row],[仕入先]],$F$3:F523), "0000")</f>
        <v/>
      </c>
      <c r="H523" s="167" t="inlineStr">
        <is>
          <t>パック</t>
        </is>
      </c>
      <c r="I523" s="167" t="inlineStr">
        <is>
          <t>3g×20袋</t>
        </is>
      </c>
      <c r="J523" s="167" t="inlineStr">
        <is>
          <t>1パック</t>
        </is>
      </c>
      <c r="K523" s="167" t="n"/>
      <c r="L523" s="289" t="n">
        <v>605</v>
      </c>
      <c r="M523" s="157" t="n"/>
      <c r="N523" s="289" t="n"/>
      <c r="O523" s="290">
        <f>IF(COUNT(商品マスタ[[#This Row],[参考上代
（税込)]]) &gt; 0, (商品マスタ[[#This Row],[参考上代
（税込)]]-商品マスタ[[#This Row],[国内定価
（15％）]])/(商品マスタ[[#This Row],[参考上代
（税込)]]/1.08), "")</f>
        <v/>
      </c>
      <c r="P523" s="136" t="n">
        <v>0.1</v>
      </c>
      <c r="Q523" s="289">
        <f>商品マスタ[[#This Row],[仕入
単価]]*商品マスタ[[#This Row],[標準国内送料率]]</f>
        <v/>
      </c>
      <c r="R523" s="289" t="n">
        <v>0</v>
      </c>
      <c r="S523" s="289">
        <f>IF(ISBLANK(商品マスタ[[#This Row],[実績
国内送料]]),商品マスタ[[#This Row],[標準国内送料]],)</f>
        <v/>
      </c>
      <c r="T523" s="289">
        <f>商品マスタ[[#This Row],[仕入
単価]]+商品マスタ[[#This Row],[国内送料]]</f>
        <v/>
      </c>
      <c r="U523" s="289">
        <f>ROUNDUP(商品マスタ[[#This Row],[仕入単価+国内送料]]/0.8,-1)</f>
        <v/>
      </c>
      <c r="V523" s="289">
        <f>商品マスタ[[#This Row],[海外定価
（20％）]]-商品マスタ[[#This Row],[仕入単価+国内送料]]</f>
        <v/>
      </c>
      <c r="W523" s="167">
        <f>ROUNDUP(商品マスタ[[#This Row],[仕入単価+国内送料]]/0.85,-1)</f>
        <v/>
      </c>
      <c r="X523" s="289">
        <f>商品マスタ[[#This Row],[国内定価
（15％）]]-商品マスタ[[#This Row],[仕入単価+国内送料]]</f>
        <v/>
      </c>
      <c r="Y523" s="139" t="n">
        <v>0.08</v>
      </c>
      <c r="Z523" s="167" t="n"/>
      <c r="AA523" s="167" t="n"/>
      <c r="AB523" s="167" t="n"/>
      <c r="AC523" s="293" t="n"/>
      <c r="AD523" s="167" t="n"/>
      <c r="AE523" s="167" t="n"/>
      <c r="AF523" s="167" t="n"/>
      <c r="AG523" s="144" t="n"/>
    </row>
    <row r="524" ht="18" customHeight="1" s="207">
      <c r="A524" s="166" t="inlineStr">
        <is>
          <t>飲料アルコール</t>
        </is>
      </c>
      <c r="B524" s="167" t="inlineStr">
        <is>
          <t>茶</t>
        </is>
      </c>
      <c r="C524" s="167" t="inlineStr">
        <is>
          <t>協栄製茶　壱之庄</t>
        </is>
      </c>
      <c r="D524" s="143">
        <f>"PRD_SNJ_"&amp;
_xlfn.XLOOKUP(商品マスタ[[#This Row],[仕入先]],テーブル1[仕入先名],テーブル1[仕入先コード],"XXX",0,1)&amp;
"_"&amp;
商品マスタ[[#This Row],[シリアル]]&amp;
"_"&amp;
TEXT(COUNTIFS(商品マスタ!$C$3:C524,商品マスタ[[#This Row],[仕入先]],商品マスタ!$E$3:E524,商品マスタ[[#This Row],[商品名]]), "00")</f>
        <v/>
      </c>
      <c r="E524" s="167" t="inlineStr">
        <is>
          <t>雁の音ほうじ茶壱之棒（茶葉）</t>
        </is>
      </c>
      <c r="F524" s="167">
        <f>IF(COUNTIFS($C$3:C524,商品マスタ[[#This Row],[仕入先]],$E$3:E524,商品マスタ[[#This Row],[商品名]]) = 1, 1,0)</f>
        <v/>
      </c>
      <c r="G524" s="133">
        <f>TEXT(SUMIF($C$3:C524,商品マスタ[[#This Row],[仕入先]],$F$3:F524), "0000")</f>
        <v/>
      </c>
      <c r="H524" s="167" t="inlineStr">
        <is>
          <t>袋</t>
        </is>
      </c>
      <c r="I524" s="167" t="inlineStr">
        <is>
          <t>50g</t>
        </is>
      </c>
      <c r="J524" s="167" t="inlineStr">
        <is>
          <t>1袋</t>
        </is>
      </c>
      <c r="K524" s="167" t="n"/>
      <c r="L524" s="289" t="n">
        <v>345</v>
      </c>
      <c r="M524" s="157" t="n"/>
      <c r="N524" s="289" t="n"/>
      <c r="O524" s="290">
        <f>IF(COUNT(商品マスタ[[#This Row],[参考上代
（税込)]]) &gt; 0, (商品マスタ[[#This Row],[参考上代
（税込)]]-商品マスタ[[#This Row],[国内定価
（15％）]])/(商品マスタ[[#This Row],[参考上代
（税込)]]/1.08), "")</f>
        <v/>
      </c>
      <c r="P524" s="136" t="n">
        <v>0.1</v>
      </c>
      <c r="Q524" s="289">
        <f>商品マスタ[[#This Row],[仕入
単価]]*商品マスタ[[#This Row],[標準国内送料率]]</f>
        <v/>
      </c>
      <c r="R524" s="289" t="n">
        <v>0</v>
      </c>
      <c r="S524" s="289">
        <f>IF(ISBLANK(商品マスタ[[#This Row],[実績
国内送料]]),商品マスタ[[#This Row],[標準国内送料]],)</f>
        <v/>
      </c>
      <c r="T524" s="289">
        <f>商品マスタ[[#This Row],[仕入
単価]]+商品マスタ[[#This Row],[国内送料]]</f>
        <v/>
      </c>
      <c r="U524" s="289">
        <f>ROUNDUP(商品マスタ[[#This Row],[仕入単価+国内送料]]/0.8,-1)</f>
        <v/>
      </c>
      <c r="V524" s="289">
        <f>商品マスタ[[#This Row],[海外定価
（20％）]]-商品マスタ[[#This Row],[仕入単価+国内送料]]</f>
        <v/>
      </c>
      <c r="W524" s="167">
        <f>ROUNDUP(商品マスタ[[#This Row],[仕入単価+国内送料]]/0.85,-1)</f>
        <v/>
      </c>
      <c r="X524" s="289">
        <f>商品マスタ[[#This Row],[国内定価
（15％）]]-商品マスタ[[#This Row],[仕入単価+国内送料]]</f>
        <v/>
      </c>
      <c r="Y524" s="139" t="n">
        <v>0.08</v>
      </c>
      <c r="Z524" s="167" t="n"/>
      <c r="AA524" s="167" t="n"/>
      <c r="AB524" s="167" t="n"/>
      <c r="AC524" s="293" t="n"/>
      <c r="AD524" s="167" t="n"/>
      <c r="AE524" s="167" t="n"/>
      <c r="AF524" s="167" t="n"/>
      <c r="AG524" s="144" t="n"/>
    </row>
    <row r="525" ht="18" customHeight="1" s="207">
      <c r="A525" s="166" t="inlineStr">
        <is>
          <t>飲料アルコール</t>
        </is>
      </c>
      <c r="B525" s="167" t="inlineStr">
        <is>
          <t>茶</t>
        </is>
      </c>
      <c r="C525" s="167" t="inlineStr">
        <is>
          <t>協栄製茶　壱之庄</t>
        </is>
      </c>
      <c r="D525" s="143">
        <f>"PRD_SNJ_"&amp;
_xlfn.XLOOKUP(商品マスタ[[#This Row],[仕入先]],テーブル1[仕入先名],テーブル1[仕入先コード],"XXX",0,1)&amp;
"_"&amp;
商品マスタ[[#This Row],[シリアル]]&amp;
"_"&amp;
TEXT(COUNTIFS(商品マスタ!$C$3:C525,商品マスタ[[#This Row],[仕入先]],商品マスタ!$E$3:E525,商品マスタ[[#This Row],[商品名]]), "00")</f>
        <v/>
      </c>
      <c r="E525" s="167" t="inlineStr">
        <is>
          <t>雁の音ほうじ茶壱之棒（茶葉）</t>
        </is>
      </c>
      <c r="F525" s="167">
        <f>IF(COUNTIFS($C$3:C525,商品マスタ[[#This Row],[仕入先]],$E$3:E525,商品マスタ[[#This Row],[商品名]]) = 1, 1,0)</f>
        <v/>
      </c>
      <c r="G525" s="133">
        <f>TEXT(SUMIF($C$3:C525,商品マスタ[[#This Row],[仕入先]],$F$3:F525), "0000")</f>
        <v/>
      </c>
      <c r="H525" s="167" t="inlineStr">
        <is>
          <t>袋</t>
        </is>
      </c>
      <c r="I525" s="167" t="inlineStr">
        <is>
          <t>150g</t>
        </is>
      </c>
      <c r="J525" s="167" t="inlineStr">
        <is>
          <t>1袋</t>
        </is>
      </c>
      <c r="K525" s="167" t="n"/>
      <c r="L525" s="289" t="n">
        <v>604</v>
      </c>
      <c r="M525" s="157" t="n"/>
      <c r="N525" s="289" t="n"/>
      <c r="O525" s="290">
        <f>IF(COUNT(商品マスタ[[#This Row],[参考上代
（税込)]]) &gt; 0, (商品マスタ[[#This Row],[参考上代
（税込)]]-商品マスタ[[#This Row],[国内定価
（15％）]])/(商品マスタ[[#This Row],[参考上代
（税込)]]/1.08), "")</f>
        <v/>
      </c>
      <c r="P525" s="136" t="n">
        <v>0.1</v>
      </c>
      <c r="Q525" s="289">
        <f>商品マスタ[[#This Row],[仕入
単価]]*商品マスタ[[#This Row],[標準国内送料率]]</f>
        <v/>
      </c>
      <c r="R525" s="289" t="n">
        <v>0</v>
      </c>
      <c r="S525" s="289">
        <f>IF(ISBLANK(商品マスタ[[#This Row],[実績
国内送料]]),商品マスタ[[#This Row],[標準国内送料]],)</f>
        <v/>
      </c>
      <c r="T525" s="289">
        <f>商品マスタ[[#This Row],[仕入
単価]]+商品マスタ[[#This Row],[国内送料]]</f>
        <v/>
      </c>
      <c r="U525" s="289">
        <f>ROUNDUP(商品マスタ[[#This Row],[仕入単価+国内送料]]/0.8,-1)</f>
        <v/>
      </c>
      <c r="V525" s="289">
        <f>商品マスタ[[#This Row],[海外定価
（20％）]]-商品マスタ[[#This Row],[仕入単価+国内送料]]</f>
        <v/>
      </c>
      <c r="W525" s="167">
        <f>ROUNDUP(商品マスタ[[#This Row],[仕入単価+国内送料]]/0.85,-1)</f>
        <v/>
      </c>
      <c r="X525" s="289">
        <f>商品マスタ[[#This Row],[国内定価
（15％）]]-商品マスタ[[#This Row],[仕入単価+国内送料]]</f>
        <v/>
      </c>
      <c r="Y525" s="139" t="n">
        <v>0.08</v>
      </c>
      <c r="Z525" s="167" t="n"/>
      <c r="AA525" s="167" t="n"/>
      <c r="AB525" s="167" t="n"/>
      <c r="AC525" s="293" t="n"/>
      <c r="AD525" s="167" t="n"/>
      <c r="AE525" s="167" t="n"/>
      <c r="AF525" s="167" t="n"/>
      <c r="AG525" s="144" t="n"/>
    </row>
    <row r="526" ht="18" customHeight="1" s="207">
      <c r="A526" s="166" t="inlineStr">
        <is>
          <t>飲料アルコール</t>
        </is>
      </c>
      <c r="B526" s="167" t="inlineStr">
        <is>
          <t>茶</t>
        </is>
      </c>
      <c r="C526" s="167" t="inlineStr">
        <is>
          <t>協栄製茶　壱之庄</t>
        </is>
      </c>
      <c r="D526" s="143">
        <f>"PRD_SNJ_"&amp;
_xlfn.XLOOKUP(商品マスタ[[#This Row],[仕入先]],テーブル1[仕入先名],テーブル1[仕入先コード],"XXX",0,1)&amp;
"_"&amp;
商品マスタ[[#This Row],[シリアル]]&amp;
"_"&amp;
TEXT(COUNTIFS(商品マスタ!$C$3:C526,商品マスタ[[#This Row],[仕入先]],商品マスタ!$E$3:E526,商品マスタ[[#This Row],[商品名]]), "00")</f>
        <v/>
      </c>
      <c r="E526" s="167" t="inlineStr">
        <is>
          <t>雁の音ほうじ茶壱之棒（茶葉）</t>
        </is>
      </c>
      <c r="F526" s="167">
        <f>IF(COUNTIFS($C$3:C526,商品マスタ[[#This Row],[仕入先]],$E$3:E526,商品マスタ[[#This Row],[商品名]]) = 1, 1,0)</f>
        <v/>
      </c>
      <c r="G526" s="133">
        <f>TEXT(SUMIF($C$3:C526,商品マスタ[[#This Row],[仕入先]],$F$3:F526), "0000")</f>
        <v/>
      </c>
      <c r="H526" s="167" t="inlineStr">
        <is>
          <t>袋</t>
        </is>
      </c>
      <c r="I526" s="167" t="inlineStr">
        <is>
          <t>500g</t>
        </is>
      </c>
      <c r="J526" s="167" t="inlineStr">
        <is>
          <t>1袋</t>
        </is>
      </c>
      <c r="K526" s="167" t="n"/>
      <c r="L526" s="289" t="n">
        <v>1649</v>
      </c>
      <c r="M526" s="157" t="n"/>
      <c r="N526" s="289" t="n"/>
      <c r="O526" s="290">
        <f>IF(COUNT(商品マスタ[[#This Row],[参考上代
（税込)]]) &gt; 0, (商品マスタ[[#This Row],[参考上代
（税込)]]-商品マスタ[[#This Row],[国内定価
（15％）]])/(商品マスタ[[#This Row],[参考上代
（税込)]]/1.08), "")</f>
        <v/>
      </c>
      <c r="P526" s="136" t="n">
        <v>0.1</v>
      </c>
      <c r="Q526" s="289">
        <f>商品マスタ[[#This Row],[仕入
単価]]*商品マスタ[[#This Row],[標準国内送料率]]</f>
        <v/>
      </c>
      <c r="R526" s="289" t="n">
        <v>0</v>
      </c>
      <c r="S526" s="289">
        <f>IF(ISBLANK(商品マスタ[[#This Row],[実績
国内送料]]),商品マスタ[[#This Row],[標準国内送料]],)</f>
        <v/>
      </c>
      <c r="T526" s="289">
        <f>商品マスタ[[#This Row],[仕入
単価]]+商品マスタ[[#This Row],[国内送料]]</f>
        <v/>
      </c>
      <c r="U526" s="289">
        <f>ROUNDUP(商品マスタ[[#This Row],[仕入単価+国内送料]]/0.8,-1)</f>
        <v/>
      </c>
      <c r="V526" s="289">
        <f>商品マスタ[[#This Row],[海外定価
（20％）]]-商品マスタ[[#This Row],[仕入単価+国内送料]]</f>
        <v/>
      </c>
      <c r="W526" s="167">
        <f>ROUNDUP(商品マスタ[[#This Row],[仕入単価+国内送料]]/0.85,-1)</f>
        <v/>
      </c>
      <c r="X526" s="289">
        <f>商品マスタ[[#This Row],[国内定価
（15％）]]-商品マスタ[[#This Row],[仕入単価+国内送料]]</f>
        <v/>
      </c>
      <c r="Y526" s="139" t="n">
        <v>0.08</v>
      </c>
      <c r="Z526" s="167" t="n"/>
      <c r="AA526" s="167" t="n"/>
      <c r="AB526" s="167" t="n"/>
      <c r="AC526" s="293" t="n"/>
      <c r="AD526" s="167" t="n"/>
      <c r="AE526" s="167" t="n"/>
      <c r="AF526" s="167" t="n"/>
      <c r="AG526" s="144" t="n"/>
    </row>
    <row r="527" ht="18" customHeight="1" s="207">
      <c r="A527" s="166" t="inlineStr">
        <is>
          <t>飲料アルコール</t>
        </is>
      </c>
      <c r="B527" s="167" t="inlineStr">
        <is>
          <t>茶</t>
        </is>
      </c>
      <c r="C527" s="167" t="inlineStr">
        <is>
          <t>協栄製茶　壱之庄</t>
        </is>
      </c>
      <c r="D527" s="143">
        <f>"PRD_SNJ_"&amp;
_xlfn.XLOOKUP(商品マスタ[[#This Row],[仕入先]],テーブル1[仕入先名],テーブル1[仕入先コード],"XXX",0,1)&amp;
"_"&amp;
商品マスタ[[#This Row],[シリアル]]&amp;
"_"&amp;
TEXT(COUNTIFS(商品マスタ!$C$3:C527,商品マスタ[[#This Row],[仕入先]],商品マスタ!$E$3:E527,商品マスタ[[#This Row],[商品名]]), "00")</f>
        <v/>
      </c>
      <c r="E527" s="167" t="inlineStr">
        <is>
          <t>煎茶すっきり　「空」</t>
        </is>
      </c>
      <c r="F527" s="167">
        <f>IF(COUNTIFS($C$3:C527,商品マスタ[[#This Row],[仕入先]],$E$3:E527,商品マスタ[[#This Row],[商品名]]) = 1, 1,0)</f>
        <v/>
      </c>
      <c r="G527" s="133">
        <f>TEXT(SUMIF($C$3:C527,商品マスタ[[#This Row],[仕入先]],$F$3:F527), "0000")</f>
        <v/>
      </c>
      <c r="H527" s="167" t="inlineStr">
        <is>
          <t>袋</t>
        </is>
      </c>
      <c r="I527" s="167" t="inlineStr">
        <is>
          <t>100g</t>
        </is>
      </c>
      <c r="J527" s="167" t="inlineStr">
        <is>
          <t>1袋</t>
        </is>
      </c>
      <c r="K527" s="167" t="n"/>
      <c r="L527" s="289" t="inlineStr">
        <is>
          <t>価格変動激しいため未定</t>
        </is>
      </c>
      <c r="M527" s="157" t="n"/>
      <c r="N527" s="289" t="n"/>
      <c r="O527" s="290">
        <f>IF(COUNT(商品マスタ[[#This Row],[参考上代
（税込)]]) &gt; 0, (商品マスタ[[#This Row],[参考上代
（税込)]]-商品マスタ[[#This Row],[国内定価
（15％）]])/(商品マスタ[[#This Row],[参考上代
（税込)]]/1.08), "")</f>
        <v/>
      </c>
      <c r="P527" s="136" t="n">
        <v>0.1</v>
      </c>
      <c r="Q527" s="289">
        <f>商品マスタ[[#This Row],[仕入
単価]]*商品マスタ[[#This Row],[標準国内送料率]]</f>
        <v/>
      </c>
      <c r="R527" s="289" t="n">
        <v>0</v>
      </c>
      <c r="S527" s="289">
        <f>IF(ISBLANK(商品マスタ[[#This Row],[実績
国内送料]]),商品マスタ[[#This Row],[標準国内送料]],)</f>
        <v/>
      </c>
      <c r="T527" s="289">
        <f>商品マスタ[[#This Row],[仕入
単価]]+商品マスタ[[#This Row],[国内送料]]</f>
        <v/>
      </c>
      <c r="U527" s="289">
        <f>ROUNDUP(商品マスタ[[#This Row],[仕入単価+国内送料]]/0.8,-1)</f>
        <v/>
      </c>
      <c r="V527" s="289">
        <f>商品マスタ[[#This Row],[海外定価
（20％）]]-商品マスタ[[#This Row],[仕入単価+国内送料]]</f>
        <v/>
      </c>
      <c r="W527" s="167">
        <f>ROUNDUP(商品マスタ[[#This Row],[仕入単価+国内送料]]/0.85,-1)</f>
        <v/>
      </c>
      <c r="X527" s="289">
        <f>商品マスタ[[#This Row],[国内定価
（15％）]]-商品マスタ[[#This Row],[仕入単価+国内送料]]</f>
        <v/>
      </c>
      <c r="Y527" s="139" t="n">
        <v>0.08</v>
      </c>
      <c r="Z527" s="167" t="n"/>
      <c r="AA527" s="167" t="n"/>
      <c r="AB527" s="167" t="n"/>
      <c r="AC527" s="293" t="n"/>
      <c r="AD527" s="167" t="n"/>
      <c r="AE527" s="167" t="n"/>
      <c r="AF527" s="167" t="n"/>
      <c r="AG527" s="144" t="n"/>
    </row>
    <row r="528" ht="18" customHeight="1" s="207">
      <c r="A528" s="166" t="inlineStr">
        <is>
          <t>飲料アルコール</t>
        </is>
      </c>
      <c r="B528" s="167" t="inlineStr">
        <is>
          <t>茶</t>
        </is>
      </c>
      <c r="C528" s="167" t="inlineStr">
        <is>
          <t>協栄製茶　壱之庄</t>
        </is>
      </c>
      <c r="D528" s="143">
        <f>"PRD_SNJ_"&amp;
_xlfn.XLOOKUP(商品マスタ[[#This Row],[仕入先]],テーブル1[仕入先名],テーブル1[仕入先コード],"XXX",0,1)&amp;
"_"&amp;
商品マスタ[[#This Row],[シリアル]]&amp;
"_"&amp;
TEXT(COUNTIFS(商品マスタ!$C$3:C528,商品マスタ[[#This Row],[仕入先]],商品マスタ!$E$3:E528,商品マスタ[[#This Row],[商品名]]), "00")</f>
        <v/>
      </c>
      <c r="E528" s="167" t="inlineStr">
        <is>
          <t>煎茶まろやか　「星」</t>
        </is>
      </c>
      <c r="F528" s="167">
        <f>IF(COUNTIFS($C$3:C528,商品マスタ[[#This Row],[仕入先]],$E$3:E528,商品マスタ[[#This Row],[商品名]]) = 1, 1,0)</f>
        <v/>
      </c>
      <c r="G528" s="133">
        <f>TEXT(SUMIF($C$3:C528,商品マスタ[[#This Row],[仕入先]],$F$3:F528), "0000")</f>
        <v/>
      </c>
      <c r="H528" s="167" t="inlineStr">
        <is>
          <t>袋</t>
        </is>
      </c>
      <c r="I528" s="167" t="inlineStr">
        <is>
          <t>100g</t>
        </is>
      </c>
      <c r="J528" s="167" t="inlineStr">
        <is>
          <t>1袋</t>
        </is>
      </c>
      <c r="K528" s="167" t="n"/>
      <c r="L528" s="289" t="inlineStr">
        <is>
          <t>価格変動激しいため未定</t>
        </is>
      </c>
      <c r="M528" s="157" t="n"/>
      <c r="N528" s="289" t="n"/>
      <c r="O528" s="290">
        <f>IF(COUNT(商品マスタ[[#This Row],[参考上代
（税込)]]) &gt; 0, (商品マスタ[[#This Row],[参考上代
（税込)]]-商品マスタ[[#This Row],[国内定価
（15％）]])/(商品マスタ[[#This Row],[参考上代
（税込)]]/1.08), "")</f>
        <v/>
      </c>
      <c r="P528" s="136" t="n">
        <v>0.1</v>
      </c>
      <c r="Q528" s="289">
        <f>商品マスタ[[#This Row],[仕入
単価]]*商品マスタ[[#This Row],[標準国内送料率]]</f>
        <v/>
      </c>
      <c r="R528" s="289" t="n">
        <v>0</v>
      </c>
      <c r="S528" s="289">
        <f>IF(ISBLANK(商品マスタ[[#This Row],[実績
国内送料]]),商品マスタ[[#This Row],[標準国内送料]],)</f>
        <v/>
      </c>
      <c r="T528" s="289">
        <f>商品マスタ[[#This Row],[仕入
単価]]+商品マスタ[[#This Row],[国内送料]]</f>
        <v/>
      </c>
      <c r="U528" s="289">
        <f>ROUNDUP(商品マスタ[[#This Row],[仕入単価+国内送料]]/0.8,-1)</f>
        <v/>
      </c>
      <c r="V528" s="289">
        <f>商品マスタ[[#This Row],[海外定価
（20％）]]-商品マスタ[[#This Row],[仕入単価+国内送料]]</f>
        <v/>
      </c>
      <c r="W528" s="167">
        <f>ROUNDUP(商品マスタ[[#This Row],[仕入単価+国内送料]]/0.85,-1)</f>
        <v/>
      </c>
      <c r="X528" s="289">
        <f>商品マスタ[[#This Row],[国内定価
（15％）]]-商品マスタ[[#This Row],[仕入単価+国内送料]]</f>
        <v/>
      </c>
      <c r="Y528" s="139" t="n">
        <v>0.08</v>
      </c>
      <c r="Z528" s="167" t="n"/>
      <c r="AA528" s="167" t="n"/>
      <c r="AB528" s="167" t="n"/>
      <c r="AC528" s="293" t="n"/>
      <c r="AD528" s="167" t="n"/>
      <c r="AE528" s="167" t="n"/>
      <c r="AF528" s="167" t="n"/>
      <c r="AG528" s="144" t="n"/>
    </row>
    <row r="529" ht="18" customHeight="1" s="207">
      <c r="A529" s="166" t="inlineStr">
        <is>
          <t>飲料アルコール</t>
        </is>
      </c>
      <c r="B529" s="167" t="inlineStr">
        <is>
          <t>リキュール</t>
        </is>
      </c>
      <c r="C529" s="167" t="inlineStr">
        <is>
          <t>中野BC</t>
        </is>
      </c>
      <c r="D529" s="143">
        <f>"PRD_SNJ_"&amp;
_xlfn.XLOOKUP(商品マスタ[[#This Row],[仕入先]],テーブル1[仕入先名],テーブル1[仕入先コード],"XXX",0,1)&amp;
"_"&amp;
商品マスタ[[#This Row],[シリアル]]&amp;
"_"&amp;
TEXT(COUNTIFS(商品マスタ!$C$3:C529,商品マスタ[[#This Row],[仕入先]],商品マスタ!$E$3:E529,商品マスタ[[#This Row],[商品名]]), "00")</f>
        <v/>
      </c>
      <c r="E529" s="167" t="inlineStr">
        <is>
          <t xml:space="preserve">なでしこのお酒「てまり」緑茶梅酒 </t>
        </is>
      </c>
      <c r="F529" s="167">
        <f>IF(COUNTIFS($C$3:C529,商品マスタ[[#This Row],[仕入先]],$E$3:E529,商品マスタ[[#This Row],[商品名]]) = 1, 1,0)</f>
        <v/>
      </c>
      <c r="G529" s="133">
        <f>TEXT(SUMIF($C$3:C529,商品マスタ[[#This Row],[仕入先]],$F$3:F529), "0000")</f>
        <v/>
      </c>
      <c r="H529" s="167" t="inlineStr">
        <is>
          <t>本</t>
        </is>
      </c>
      <c r="I529" s="167" t="inlineStr">
        <is>
          <t>180ml×12本/ケース</t>
        </is>
      </c>
      <c r="J529" s="167" t="inlineStr">
        <is>
          <t>10ケース</t>
        </is>
      </c>
      <c r="K529" s="167" t="n"/>
      <c r="L529" s="289" t="n">
        <v>256</v>
      </c>
      <c r="M529" s="157" t="n"/>
      <c r="N529" s="289" t="n"/>
      <c r="O529" s="290">
        <f>IF(COUNT(商品マスタ[[#This Row],[参考上代
（税込)]]) &gt; 0, (商品マスタ[[#This Row],[参考上代
（税込)]]-商品マスタ[[#This Row],[国内定価
（15％）]])/(商品マスタ[[#This Row],[参考上代
（税込)]]/1.08), "")</f>
        <v/>
      </c>
      <c r="P529" s="136" t="n">
        <v>0.1</v>
      </c>
      <c r="Q529" s="289">
        <f>商品マスタ[[#This Row],[仕入
単価]]*商品マスタ[[#This Row],[標準国内送料率]]</f>
        <v/>
      </c>
      <c r="R529" s="289" t="n">
        <v>0</v>
      </c>
      <c r="S529" s="289">
        <f>IF(ISBLANK(商品マスタ[[#This Row],[実績
国内送料]]),商品マスタ[[#This Row],[標準国内送料]],)</f>
        <v/>
      </c>
      <c r="T529" s="289">
        <f>商品マスタ[[#This Row],[仕入
単価]]+商品マスタ[[#This Row],[国内送料]]</f>
        <v/>
      </c>
      <c r="U529" s="289">
        <f>ROUNDUP(商品マスタ[[#This Row],[仕入単価+国内送料]]/0.8,-1)</f>
        <v/>
      </c>
      <c r="V529" s="289">
        <f>商品マスタ[[#This Row],[海外定価
（20％）]]-商品マスタ[[#This Row],[仕入単価+国内送料]]</f>
        <v/>
      </c>
      <c r="W529" s="167">
        <f>ROUNDUP(商品マスタ[[#This Row],[仕入単価+国内送料]]/0.85,-1)</f>
        <v/>
      </c>
      <c r="X529" s="289">
        <f>商品マスタ[[#This Row],[国内定価
（15％）]]-商品マスタ[[#This Row],[仕入単価+国内送料]]</f>
        <v/>
      </c>
      <c r="Y529" s="139" t="n">
        <v>0.1</v>
      </c>
      <c r="Z529" s="167" t="n"/>
      <c r="AA529" s="167" t="n"/>
      <c r="AB529" s="167" t="n"/>
      <c r="AC529" s="293" t="n"/>
      <c r="AD529" s="167" t="n"/>
      <c r="AE529" s="167" t="n"/>
      <c r="AF529" s="167" t="n"/>
      <c r="AG529" s="144" t="n"/>
    </row>
    <row r="530" ht="18" customHeight="1" s="207">
      <c r="A530" s="166" t="inlineStr">
        <is>
          <t>飲料アルコール</t>
        </is>
      </c>
      <c r="B530" s="167" t="inlineStr">
        <is>
          <t>リキュール</t>
        </is>
      </c>
      <c r="C530" s="167" t="inlineStr">
        <is>
          <t>中野BC</t>
        </is>
      </c>
      <c r="D530" s="143">
        <f>"PRD_SNJ_"&amp;
_xlfn.XLOOKUP(商品マスタ[[#This Row],[仕入先]],テーブル1[仕入先名],テーブル1[仕入先コード],"XXX",0,1)&amp;
"_"&amp;
商品マスタ[[#This Row],[シリアル]]&amp;
"_"&amp;
TEXT(COUNTIFS(商品マスタ!$C$3:C530,商品マスタ[[#This Row],[仕入先]],商品マスタ!$E$3:E530,商品マスタ[[#This Row],[商品名]]), "00")</f>
        <v/>
      </c>
      <c r="E530" s="167" t="inlineStr">
        <is>
          <t xml:space="preserve">なでしこのお酒「てまり」赤しそ梅酒 </t>
        </is>
      </c>
      <c r="F530" s="167">
        <f>IF(COUNTIFS($C$3:C530,商品マスタ[[#This Row],[仕入先]],$E$3:E530,商品マスタ[[#This Row],[商品名]]) = 1, 1,0)</f>
        <v/>
      </c>
      <c r="G530" s="133">
        <f>TEXT(SUMIF($C$3:C530,商品マスタ[[#This Row],[仕入先]],$F$3:F530), "0000")</f>
        <v/>
      </c>
      <c r="H530" s="167" t="inlineStr">
        <is>
          <t>本</t>
        </is>
      </c>
      <c r="I530" s="167" t="inlineStr">
        <is>
          <t>180ml×12本/ケース</t>
        </is>
      </c>
      <c r="J530" s="167" t="inlineStr">
        <is>
          <t>10ケース</t>
        </is>
      </c>
      <c r="K530" s="167" t="n"/>
      <c r="L530" s="289" t="n">
        <v>256</v>
      </c>
      <c r="M530" s="157" t="n"/>
      <c r="N530" s="289" t="n"/>
      <c r="O530" s="290">
        <f>IF(COUNT(商品マスタ[[#This Row],[参考上代
（税込)]]) &gt; 0, (商品マスタ[[#This Row],[参考上代
（税込)]]-商品マスタ[[#This Row],[国内定価
（15％）]])/(商品マスタ[[#This Row],[参考上代
（税込)]]/1.08), "")</f>
        <v/>
      </c>
      <c r="P530" s="136" t="n">
        <v>0.1</v>
      </c>
      <c r="Q530" s="289">
        <f>商品マスタ[[#This Row],[仕入
単価]]*商品マスタ[[#This Row],[標準国内送料率]]</f>
        <v/>
      </c>
      <c r="R530" s="289" t="n">
        <v>0</v>
      </c>
      <c r="S530" s="289">
        <f>IF(ISBLANK(商品マスタ[[#This Row],[実績
国内送料]]),商品マスタ[[#This Row],[標準国内送料]],)</f>
        <v/>
      </c>
      <c r="T530" s="289">
        <f>商品マスタ[[#This Row],[仕入
単価]]+商品マスタ[[#This Row],[国内送料]]</f>
        <v/>
      </c>
      <c r="U530" s="289">
        <f>ROUNDUP(商品マスタ[[#This Row],[仕入単価+国内送料]]/0.8,-1)</f>
        <v/>
      </c>
      <c r="V530" s="289">
        <f>商品マスタ[[#This Row],[海外定価
（20％）]]-商品マスタ[[#This Row],[仕入単価+国内送料]]</f>
        <v/>
      </c>
      <c r="W530" s="167">
        <f>ROUNDUP(商品マスタ[[#This Row],[仕入単価+国内送料]]/0.85,-1)</f>
        <v/>
      </c>
      <c r="X530" s="289">
        <f>商品マスタ[[#This Row],[国内定価
（15％）]]-商品マスタ[[#This Row],[仕入単価+国内送料]]</f>
        <v/>
      </c>
      <c r="Y530" s="139" t="n">
        <v>0.1</v>
      </c>
      <c r="Z530" s="167" t="n"/>
      <c r="AA530" s="167" t="n"/>
      <c r="AB530" s="167" t="n"/>
      <c r="AC530" s="293" t="n"/>
      <c r="AD530" s="167" t="n"/>
      <c r="AE530" s="167" t="n"/>
      <c r="AF530" s="167" t="n"/>
      <c r="AG530" s="144" t="n"/>
    </row>
    <row r="531" ht="18" customHeight="1" s="207">
      <c r="A531" s="166" t="inlineStr">
        <is>
          <t>飲料アルコール</t>
        </is>
      </c>
      <c r="B531" s="167" t="inlineStr">
        <is>
          <t>リキュール</t>
        </is>
      </c>
      <c r="C531" s="167" t="inlineStr">
        <is>
          <t>中野BC</t>
        </is>
      </c>
      <c r="D531" s="143">
        <f>"PRD_SNJ_"&amp;
_xlfn.XLOOKUP(商品マスタ[[#This Row],[仕入先]],テーブル1[仕入先名],テーブル1[仕入先コード],"XXX",0,1)&amp;
"_"&amp;
商品マスタ[[#This Row],[シリアル]]&amp;
"_"&amp;
TEXT(COUNTIFS(商品マスタ!$C$3:C531,商品マスタ[[#This Row],[仕入先]],商品マスタ!$E$3:E531,商品マスタ[[#This Row],[商品名]]), "00")</f>
        <v/>
      </c>
      <c r="E531" s="167" t="inlineStr">
        <is>
          <t xml:space="preserve">なでしこのお酒「てまり」蜂蜜梅酒 </t>
        </is>
      </c>
      <c r="F531" s="167">
        <f>IF(COUNTIFS($C$3:C531,商品マスタ[[#This Row],[仕入先]],$E$3:E531,商品マスタ[[#This Row],[商品名]]) = 1, 1,0)</f>
        <v/>
      </c>
      <c r="G531" s="133">
        <f>TEXT(SUMIF($C$3:C531,商品マスタ[[#This Row],[仕入先]],$F$3:F531), "0000")</f>
        <v/>
      </c>
      <c r="H531" s="167" t="inlineStr">
        <is>
          <t>本</t>
        </is>
      </c>
      <c r="I531" s="167" t="inlineStr">
        <is>
          <t>180ml×12本/ケース</t>
        </is>
      </c>
      <c r="J531" s="167" t="inlineStr">
        <is>
          <t>10ケース</t>
        </is>
      </c>
      <c r="K531" s="167" t="n"/>
      <c r="L531" s="289" t="n">
        <v>256</v>
      </c>
      <c r="M531" s="157" t="n"/>
      <c r="N531" s="289" t="n"/>
      <c r="O531" s="290">
        <f>IF(COUNT(商品マスタ[[#This Row],[参考上代
（税込)]]) &gt; 0, (商品マスタ[[#This Row],[参考上代
（税込)]]-商品マスタ[[#This Row],[国内定価
（15％）]])/(商品マスタ[[#This Row],[参考上代
（税込)]]/1.08), "")</f>
        <v/>
      </c>
      <c r="P531" s="136" t="n">
        <v>0.1</v>
      </c>
      <c r="Q531" s="289">
        <f>商品マスタ[[#This Row],[仕入
単価]]*商品マスタ[[#This Row],[標準国内送料率]]</f>
        <v/>
      </c>
      <c r="R531" s="289" t="n">
        <v>0</v>
      </c>
      <c r="S531" s="289">
        <f>IF(ISBLANK(商品マスタ[[#This Row],[実績
国内送料]]),商品マスタ[[#This Row],[標準国内送料]],)</f>
        <v/>
      </c>
      <c r="T531" s="289">
        <f>商品マスタ[[#This Row],[仕入
単価]]+商品マスタ[[#This Row],[国内送料]]</f>
        <v/>
      </c>
      <c r="U531" s="289">
        <f>ROUNDUP(商品マスタ[[#This Row],[仕入単価+国内送料]]/0.8,-1)</f>
        <v/>
      </c>
      <c r="V531" s="289">
        <f>商品マスタ[[#This Row],[海外定価
（20％）]]-商品マスタ[[#This Row],[仕入単価+国内送料]]</f>
        <v/>
      </c>
      <c r="W531" s="167">
        <f>ROUNDUP(商品マスタ[[#This Row],[仕入単価+国内送料]]/0.85,-1)</f>
        <v/>
      </c>
      <c r="X531" s="289">
        <f>商品マスタ[[#This Row],[国内定価
（15％）]]-商品マスタ[[#This Row],[仕入単価+国内送料]]</f>
        <v/>
      </c>
      <c r="Y531" s="139" t="n">
        <v>0.1</v>
      </c>
      <c r="Z531" s="167" t="n"/>
      <c r="AA531" s="167" t="n"/>
      <c r="AB531" s="167" t="n"/>
      <c r="AC531" s="293" t="n"/>
      <c r="AD531" s="167" t="n"/>
      <c r="AE531" s="167" t="n"/>
      <c r="AF531" s="167" t="n"/>
      <c r="AG531" s="144" t="n"/>
    </row>
    <row r="532" ht="18" customHeight="1" s="207">
      <c r="A532" s="166" t="inlineStr">
        <is>
          <t>飲料アルコール</t>
        </is>
      </c>
      <c r="B532" s="167" t="inlineStr">
        <is>
          <t>リキュール</t>
        </is>
      </c>
      <c r="C532" s="167" t="inlineStr">
        <is>
          <t>中野BC</t>
        </is>
      </c>
      <c r="D532" s="143">
        <f>"PRD_SNJ_"&amp;
_xlfn.XLOOKUP(商品マスタ[[#This Row],[仕入先]],テーブル1[仕入先名],テーブル1[仕入先コード],"XXX",0,1)&amp;
"_"&amp;
商品マスタ[[#This Row],[シリアル]]&amp;
"_"&amp;
TEXT(COUNTIFS(商品マスタ!$C$3:C532,商品マスタ[[#This Row],[仕入先]],商品マスタ!$E$3:E532,商品マスタ[[#This Row],[商品名]]), "00")</f>
        <v/>
      </c>
      <c r="E532" s="167" t="inlineStr">
        <is>
          <t xml:space="preserve">なでしこのお酒「てまり」ゆず梅酒 </t>
        </is>
      </c>
      <c r="F532" s="167">
        <f>IF(COUNTIFS($C$3:C532,商品マスタ[[#This Row],[仕入先]],$E$3:E532,商品マスタ[[#This Row],[商品名]]) = 1, 1,0)</f>
        <v/>
      </c>
      <c r="G532" s="133">
        <f>TEXT(SUMIF($C$3:C532,商品マスタ[[#This Row],[仕入先]],$F$3:F532), "0000")</f>
        <v/>
      </c>
      <c r="H532" s="167" t="inlineStr">
        <is>
          <t>本</t>
        </is>
      </c>
      <c r="I532" s="167" t="inlineStr">
        <is>
          <t>180ml×12本/ケース</t>
        </is>
      </c>
      <c r="J532" s="167" t="inlineStr">
        <is>
          <t>10ケース</t>
        </is>
      </c>
      <c r="K532" s="167" t="n"/>
      <c r="L532" s="289" t="n">
        <v>256</v>
      </c>
      <c r="M532" s="157" t="n"/>
      <c r="N532" s="289" t="n"/>
      <c r="O532" s="290">
        <f>IF(COUNT(商品マスタ[[#This Row],[参考上代
（税込)]]) &gt; 0, (商品マスタ[[#This Row],[参考上代
（税込)]]-商品マスタ[[#This Row],[国内定価
（15％）]])/(商品マスタ[[#This Row],[参考上代
（税込)]]/1.08), "")</f>
        <v/>
      </c>
      <c r="P532" s="136" t="n">
        <v>0.1</v>
      </c>
      <c r="Q532" s="289">
        <f>商品マスタ[[#This Row],[仕入
単価]]*商品マスタ[[#This Row],[標準国内送料率]]</f>
        <v/>
      </c>
      <c r="R532" s="289" t="n">
        <v>0</v>
      </c>
      <c r="S532" s="289">
        <f>IF(ISBLANK(商品マスタ[[#This Row],[実績
国内送料]]),商品マスタ[[#This Row],[標準国内送料]],)</f>
        <v/>
      </c>
      <c r="T532" s="289">
        <f>商品マスタ[[#This Row],[仕入
単価]]+商品マスタ[[#This Row],[国内送料]]</f>
        <v/>
      </c>
      <c r="U532" s="289">
        <f>ROUNDUP(商品マスタ[[#This Row],[仕入単価+国内送料]]/0.8,-1)</f>
        <v/>
      </c>
      <c r="V532" s="289">
        <f>商品マスタ[[#This Row],[海外定価
（20％）]]-商品マスタ[[#This Row],[仕入単価+国内送料]]</f>
        <v/>
      </c>
      <c r="W532" s="167">
        <f>ROUNDUP(商品マスタ[[#This Row],[仕入単価+国内送料]]/0.85,-1)</f>
        <v/>
      </c>
      <c r="X532" s="289">
        <f>商品マスタ[[#This Row],[国内定価
（15％）]]-商品マスタ[[#This Row],[仕入単価+国内送料]]</f>
        <v/>
      </c>
      <c r="Y532" s="139" t="n">
        <v>0.1</v>
      </c>
      <c r="Z532" s="167" t="n"/>
      <c r="AA532" s="167" t="n"/>
      <c r="AB532" s="167" t="n"/>
      <c r="AC532" s="293" t="n"/>
      <c r="AD532" s="167" t="n"/>
      <c r="AE532" s="167" t="n"/>
      <c r="AF532" s="167" t="n"/>
      <c r="AG532" s="144" t="n"/>
    </row>
    <row r="533" ht="18" customHeight="1" s="207">
      <c r="A533" s="166" t="inlineStr">
        <is>
          <t>飲料アルコール</t>
        </is>
      </c>
      <c r="B533" s="167" t="inlineStr">
        <is>
          <t>リキュール</t>
        </is>
      </c>
      <c r="C533" s="167" t="inlineStr">
        <is>
          <t>中野BC</t>
        </is>
      </c>
      <c r="D533" s="143">
        <f>"PRD_SNJ_"&amp;
_xlfn.XLOOKUP(商品マスタ[[#This Row],[仕入先]],テーブル1[仕入先名],テーブル1[仕入先コード],"XXX",0,1)&amp;
"_"&amp;
商品マスタ[[#This Row],[シリアル]]&amp;
"_"&amp;
TEXT(COUNTIFS(商品マスタ!$C$3:C533,商品マスタ[[#This Row],[仕入先]],商品マスタ!$E$3:E533,商品マスタ[[#This Row],[商品名]]), "00")</f>
        <v/>
      </c>
      <c r="E533" s="167" t="inlineStr">
        <is>
          <t xml:space="preserve">なでしこのお酒「てまり」みかん梅酒 </t>
        </is>
      </c>
      <c r="F533" s="167">
        <f>IF(COUNTIFS($C$3:C533,商品マスタ[[#This Row],[仕入先]],$E$3:E533,商品マスタ[[#This Row],[商品名]]) = 1, 1,0)</f>
        <v/>
      </c>
      <c r="G533" s="133">
        <f>TEXT(SUMIF($C$3:C533,商品マスタ[[#This Row],[仕入先]],$F$3:F533), "0000")</f>
        <v/>
      </c>
      <c r="H533" s="167" t="inlineStr">
        <is>
          <t>本</t>
        </is>
      </c>
      <c r="I533" s="167" t="inlineStr">
        <is>
          <t>180ml×12本/ケース</t>
        </is>
      </c>
      <c r="J533" s="167" t="inlineStr">
        <is>
          <t>10ケース</t>
        </is>
      </c>
      <c r="K533" s="167" t="n"/>
      <c r="L533" s="289" t="n">
        <v>256</v>
      </c>
      <c r="M533" s="157" t="n"/>
      <c r="N533" s="289" t="n"/>
      <c r="O533" s="290">
        <f>IF(COUNT(商品マスタ[[#This Row],[参考上代
（税込)]]) &gt; 0, (商品マスタ[[#This Row],[参考上代
（税込)]]-商品マスタ[[#This Row],[国内定価
（15％）]])/(商品マスタ[[#This Row],[参考上代
（税込)]]/1.08), "")</f>
        <v/>
      </c>
      <c r="P533" s="136" t="n">
        <v>0.1</v>
      </c>
      <c r="Q533" s="289">
        <f>商品マスタ[[#This Row],[仕入
単価]]*商品マスタ[[#This Row],[標準国内送料率]]</f>
        <v/>
      </c>
      <c r="R533" s="289" t="n">
        <v>0</v>
      </c>
      <c r="S533" s="289">
        <f>IF(ISBLANK(商品マスタ[[#This Row],[実績
国内送料]]),商品マスタ[[#This Row],[標準国内送料]],)</f>
        <v/>
      </c>
      <c r="T533" s="289">
        <f>商品マスタ[[#This Row],[仕入
単価]]+商品マスタ[[#This Row],[国内送料]]</f>
        <v/>
      </c>
      <c r="U533" s="289">
        <f>ROUNDUP(商品マスタ[[#This Row],[仕入単価+国内送料]]/0.8,-1)</f>
        <v/>
      </c>
      <c r="V533" s="289">
        <f>商品マスタ[[#This Row],[海外定価
（20％）]]-商品マスタ[[#This Row],[仕入単価+国内送料]]</f>
        <v/>
      </c>
      <c r="W533" s="167">
        <f>ROUNDUP(商品マスタ[[#This Row],[仕入単価+国内送料]]/0.85,-1)</f>
        <v/>
      </c>
      <c r="X533" s="289">
        <f>商品マスタ[[#This Row],[国内定価
（15％）]]-商品マスタ[[#This Row],[仕入単価+国内送料]]</f>
        <v/>
      </c>
      <c r="Y533" s="139" t="n">
        <v>0.1</v>
      </c>
      <c r="Z533" s="167" t="n"/>
      <c r="AA533" s="167" t="n"/>
      <c r="AB533" s="167" t="n"/>
      <c r="AC533" s="293" t="n"/>
      <c r="AD533" s="167" t="n"/>
      <c r="AE533" s="167" t="n"/>
      <c r="AF533" s="167" t="n"/>
      <c r="AG533" s="144" t="n"/>
    </row>
    <row r="534" ht="18" customHeight="1" s="207">
      <c r="A534" s="166" t="inlineStr">
        <is>
          <t>飲料アルコール</t>
        </is>
      </c>
      <c r="B534" s="167" t="inlineStr">
        <is>
          <t>リキュール</t>
        </is>
      </c>
      <c r="C534" s="167" t="inlineStr">
        <is>
          <t>中野BC</t>
        </is>
      </c>
      <c r="D534" s="143">
        <f>"PRD_SNJ_"&amp;
_xlfn.XLOOKUP(商品マスタ[[#This Row],[仕入先]],テーブル1[仕入先名],テーブル1[仕入先コード],"XXX",0,1)&amp;
"_"&amp;
商品マスタ[[#This Row],[シリアル]]&amp;
"_"&amp;
TEXT(COUNTIFS(商品マスタ!$C$3:C534,商品マスタ[[#This Row],[仕入先]],商品マスタ!$E$3:E534,商品マスタ[[#This Row],[商品名]]), "00")</f>
        <v/>
      </c>
      <c r="E534" s="167" t="inlineStr">
        <is>
          <t xml:space="preserve">なでしこのお酒「てまり」紀州梅酒 </t>
        </is>
      </c>
      <c r="F534" s="167">
        <f>IF(COUNTIFS($C$3:C534,商品マスタ[[#This Row],[仕入先]],$E$3:E534,商品マスタ[[#This Row],[商品名]]) = 1, 1,0)</f>
        <v/>
      </c>
      <c r="G534" s="133">
        <f>TEXT(SUMIF($C$3:C534,商品マスタ[[#This Row],[仕入先]],$F$3:F534), "0000")</f>
        <v/>
      </c>
      <c r="H534" s="167" t="inlineStr">
        <is>
          <t>本</t>
        </is>
      </c>
      <c r="I534" s="167" t="inlineStr">
        <is>
          <t>180ml×12本/ケース</t>
        </is>
      </c>
      <c r="J534" s="167" t="inlineStr">
        <is>
          <t>10ケース</t>
        </is>
      </c>
      <c r="K534" s="167" t="n"/>
      <c r="L534" s="289" t="n">
        <v>252</v>
      </c>
      <c r="M534" s="157" t="n"/>
      <c r="N534" s="289" t="n"/>
      <c r="O534" s="290">
        <f>IF(COUNT(商品マスタ[[#This Row],[参考上代
（税込)]]) &gt; 0, (商品マスタ[[#This Row],[参考上代
（税込)]]-商品マスタ[[#This Row],[国内定価
（15％）]])/(商品マスタ[[#This Row],[参考上代
（税込)]]/1.08), "")</f>
        <v/>
      </c>
      <c r="P534" s="136" t="n">
        <v>0.1</v>
      </c>
      <c r="Q534" s="289">
        <f>商品マスタ[[#This Row],[仕入
単価]]*商品マスタ[[#This Row],[標準国内送料率]]</f>
        <v/>
      </c>
      <c r="R534" s="289" t="n">
        <v>0</v>
      </c>
      <c r="S534" s="289">
        <f>IF(ISBLANK(商品マスタ[[#This Row],[実績
国内送料]]),商品マスタ[[#This Row],[標準国内送料]],)</f>
        <v/>
      </c>
      <c r="T534" s="289">
        <f>商品マスタ[[#This Row],[仕入
単価]]+商品マスタ[[#This Row],[国内送料]]</f>
        <v/>
      </c>
      <c r="U534" s="289">
        <f>ROUNDUP(商品マスタ[[#This Row],[仕入単価+国内送料]]/0.8,-1)</f>
        <v/>
      </c>
      <c r="V534" s="289">
        <f>商品マスタ[[#This Row],[海外定価
（20％）]]-商品マスタ[[#This Row],[仕入単価+国内送料]]</f>
        <v/>
      </c>
      <c r="W534" s="167">
        <f>ROUNDUP(商品マスタ[[#This Row],[仕入単価+国内送料]]/0.85,-1)</f>
        <v/>
      </c>
      <c r="X534" s="289">
        <f>商品マスタ[[#This Row],[国内定価
（15％）]]-商品マスタ[[#This Row],[仕入単価+国内送料]]</f>
        <v/>
      </c>
      <c r="Y534" s="139" t="n">
        <v>0.1</v>
      </c>
      <c r="Z534" s="167" t="n"/>
      <c r="AA534" s="167" t="n"/>
      <c r="AB534" s="167" t="n"/>
      <c r="AC534" s="293" t="n"/>
      <c r="AD534" s="167" t="n"/>
      <c r="AE534" s="167" t="n"/>
      <c r="AF534" s="167" t="n"/>
      <c r="AG534" s="144" t="n"/>
    </row>
    <row r="535" ht="18" customHeight="1" s="207">
      <c r="A535" s="166" t="inlineStr">
        <is>
          <t>加工品</t>
        </is>
      </c>
      <c r="B535" s="167" t="inlineStr">
        <is>
          <t>その他</t>
        </is>
      </c>
      <c r="C535" s="167" t="inlineStr">
        <is>
          <t>ボンド商会</t>
        </is>
      </c>
      <c r="D535" s="143">
        <f>"PRD_SNJ_"&amp;
_xlfn.XLOOKUP(商品マスタ[[#This Row],[仕入先]],テーブル1[仕入先名],テーブル1[仕入先コード],"XXX",0,1)&amp;
"_"&amp;
商品マスタ[[#This Row],[シリアル]]&amp;
"_"&amp;
TEXT(COUNTIFS(商品マスタ!$C$3:C535,商品マスタ[[#This Row],[仕入先]],商品マスタ!$E$3:E535,商品マスタ[[#This Row],[商品名]]), "00")</f>
        <v/>
      </c>
      <c r="E535" s="167" t="inlineStr">
        <is>
          <t>アサヒ生ビールマルエフ　缶350</t>
        </is>
      </c>
      <c r="F535" s="167">
        <f>IF(COUNTIFS($C$3:C535,商品マスタ[[#This Row],[仕入先]],$E$3:E535,商品マスタ[[#This Row],[商品名]]) = 1, 1,0)</f>
        <v/>
      </c>
      <c r="G535" s="133">
        <f>TEXT(SUMIF($C$3:C535,商品マスタ[[#This Row],[仕入先]],$F$3:F535), "0000")</f>
        <v/>
      </c>
      <c r="H535" s="167" t="inlineStr">
        <is>
          <t>ケース</t>
        </is>
      </c>
      <c r="I535" s="167" t="inlineStr">
        <is>
          <t>350ml×24本/ケース</t>
        </is>
      </c>
      <c r="J535" s="167" t="inlineStr">
        <is>
          <t>1ケース</t>
        </is>
      </c>
      <c r="K535" s="167" t="n"/>
      <c r="L535" s="289" t="n">
        <v>2780</v>
      </c>
      <c r="M535" s="157" t="n"/>
      <c r="N535" s="289" t="n"/>
      <c r="O535" s="290">
        <f>IF(COUNT(商品マスタ[[#This Row],[参考上代
（税込)]]) &gt; 0, (商品マスタ[[#This Row],[参考上代
（税込)]]-商品マスタ[[#This Row],[国内定価
（15％）]])/(商品マスタ[[#This Row],[参考上代
（税込)]]/1.08), "")</f>
        <v/>
      </c>
      <c r="P535" s="136" t="n">
        <v>0.1</v>
      </c>
      <c r="Q535" s="289">
        <f>商品マスタ[[#This Row],[仕入
単価]]*商品マスタ[[#This Row],[標準国内送料率]]</f>
        <v/>
      </c>
      <c r="R535" s="289" t="n"/>
      <c r="S535" s="289">
        <f>IF(ISBLANK(商品マスタ[[#This Row],[実績
国内送料]]),商品マスタ[[#This Row],[標準国内送料]],)</f>
        <v/>
      </c>
      <c r="T535" s="289">
        <f>商品マスタ[[#This Row],[仕入
単価]]+商品マスタ[[#This Row],[国内送料]]</f>
        <v/>
      </c>
      <c r="U535" s="289">
        <f>ROUNDUP(商品マスタ[[#This Row],[仕入単価+国内送料]]/0.8,-1)</f>
        <v/>
      </c>
      <c r="V535" s="289">
        <f>商品マスタ[[#This Row],[海外定価
（20％）]]-商品マスタ[[#This Row],[仕入単価+国内送料]]</f>
        <v/>
      </c>
      <c r="W535" s="167">
        <f>ROUNDUP(商品マスタ[[#This Row],[仕入単価+国内送料]]/0.85,-1)</f>
        <v/>
      </c>
      <c r="X535" s="289">
        <f>商品マスタ[[#This Row],[国内定価
（15％）]]-商品マスタ[[#This Row],[仕入単価+国内送料]]</f>
        <v/>
      </c>
      <c r="Y535" s="139" t="n">
        <v>0.1</v>
      </c>
      <c r="Z535" s="167" t="n"/>
      <c r="AA535" s="167" t="n"/>
      <c r="AB535" s="167" t="n"/>
      <c r="AC535" s="293" t="n"/>
      <c r="AD535" s="167" t="n"/>
      <c r="AE535" s="167" t="n"/>
      <c r="AF535" s="167" t="n"/>
      <c r="AG535" s="144" t="n"/>
    </row>
    <row r="536" ht="18" customHeight="1" s="207">
      <c r="A536" s="166" t="inlineStr">
        <is>
          <t>加工品</t>
        </is>
      </c>
      <c r="B536" s="167" t="inlineStr">
        <is>
          <t>その他</t>
        </is>
      </c>
      <c r="C536" s="167" t="inlineStr">
        <is>
          <t>ボンド商会</t>
        </is>
      </c>
      <c r="D536" s="143">
        <f>"PRD_SNJ_"&amp;
_xlfn.XLOOKUP(商品マスタ[[#This Row],[仕入先]],テーブル1[仕入先名],テーブル1[仕入先コード],"XXX",0,1)&amp;
"_"&amp;
商品マスタ[[#This Row],[シリアル]]&amp;
"_"&amp;
TEXT(COUNTIFS(商品マスタ!$C$3:C536,商品マスタ[[#This Row],[仕入先]],商品マスタ!$E$3:E536,商品マスタ[[#This Row],[商品名]]), "00")</f>
        <v/>
      </c>
      <c r="E536" s="167" t="inlineStr">
        <is>
          <t>アサヒ生ビールマルエフ黒生　缶500</t>
        </is>
      </c>
      <c r="F536" s="167">
        <f>IF(COUNTIFS($C$3:C536,商品マスタ[[#This Row],[仕入先]],$E$3:E536,商品マスタ[[#This Row],[商品名]]) = 1, 1,0)</f>
        <v/>
      </c>
      <c r="G536" s="133">
        <f>TEXT(SUMIF($C$3:C536,商品マスタ[[#This Row],[仕入先]],$F$3:F536), "0000")</f>
        <v/>
      </c>
      <c r="H536" s="167" t="inlineStr">
        <is>
          <t>ケース</t>
        </is>
      </c>
      <c r="I536" s="167" t="inlineStr">
        <is>
          <t>500ml×24本/ケース</t>
        </is>
      </c>
      <c r="J536" s="167" t="inlineStr">
        <is>
          <t>1ケース</t>
        </is>
      </c>
      <c r="K536" s="167" t="n"/>
      <c r="L536" s="289" t="n">
        <v>3580</v>
      </c>
      <c r="M536" s="157" t="n"/>
      <c r="N536" s="289" t="n"/>
      <c r="O536" s="290">
        <f>IF(COUNT(商品マスタ[[#This Row],[参考上代
（税込)]]) &gt; 0, (商品マスタ[[#This Row],[参考上代
（税込)]]-商品マスタ[[#This Row],[国内定価
（15％）]])/(商品マスタ[[#This Row],[参考上代
（税込)]]/1.08), "")</f>
        <v/>
      </c>
      <c r="P536" s="136" t="n">
        <v>0.1</v>
      </c>
      <c r="Q536" s="289">
        <f>商品マスタ[[#This Row],[仕入
単価]]*商品マスタ[[#This Row],[標準国内送料率]]</f>
        <v/>
      </c>
      <c r="R536" s="289" t="n"/>
      <c r="S536" s="289">
        <f>IF(ISBLANK(商品マスタ[[#This Row],[実績
国内送料]]),商品マスタ[[#This Row],[標準国内送料]],)</f>
        <v/>
      </c>
      <c r="T536" s="289">
        <f>商品マスタ[[#This Row],[仕入
単価]]+商品マスタ[[#This Row],[国内送料]]</f>
        <v/>
      </c>
      <c r="U536" s="289">
        <f>ROUNDUP(商品マスタ[[#This Row],[仕入単価+国内送料]]/0.8,-1)</f>
        <v/>
      </c>
      <c r="V536" s="289">
        <f>商品マスタ[[#This Row],[海外定価
（20％）]]-商品マスタ[[#This Row],[仕入単価+国内送料]]</f>
        <v/>
      </c>
      <c r="W536" s="167">
        <f>ROUNDUP(商品マスタ[[#This Row],[仕入単価+国内送料]]/0.85,-1)</f>
        <v/>
      </c>
      <c r="X536" s="289">
        <f>商品マスタ[[#This Row],[国内定価
（15％）]]-商品マスタ[[#This Row],[仕入単価+国内送料]]</f>
        <v/>
      </c>
      <c r="Y536" s="139" t="n">
        <v>0.1</v>
      </c>
      <c r="Z536" s="167" t="n"/>
      <c r="AA536" s="167" t="n"/>
      <c r="AB536" s="167" t="n"/>
      <c r="AC536" s="293" t="n"/>
      <c r="AD536" s="167" t="n"/>
      <c r="AE536" s="167" t="n"/>
      <c r="AF536" s="167" t="n"/>
      <c r="AG536" s="144" t="n"/>
    </row>
    <row r="537" ht="18" customHeight="1" s="207">
      <c r="A537" s="166" t="inlineStr">
        <is>
          <t>加工品</t>
        </is>
      </c>
      <c r="B537" s="167" t="inlineStr">
        <is>
          <t>その他</t>
        </is>
      </c>
      <c r="C537" s="167" t="inlineStr">
        <is>
          <t>ボンド商会</t>
        </is>
      </c>
      <c r="D537" s="143">
        <f>"PRD_SNJ_"&amp;
_xlfn.XLOOKUP(商品マスタ[[#This Row],[仕入先]],テーブル1[仕入先名],テーブル1[仕入先コード],"XXX",0,1)&amp;
"_"&amp;
商品マスタ[[#This Row],[シリアル]]&amp;
"_"&amp;
TEXT(COUNTIFS(商品マスタ!$C$3:C537,商品マスタ[[#This Row],[仕入先]],商品マスタ!$E$3:E537,商品マスタ[[#This Row],[商品名]]), "00")</f>
        <v/>
      </c>
      <c r="E537" s="167" t="inlineStr">
        <is>
          <t>アサヒ生ビールマルエフ黒生　缶350</t>
        </is>
      </c>
      <c r="F537" s="167">
        <f>IF(COUNTIFS($C$3:C537,商品マスタ[[#This Row],[仕入先]],$E$3:E537,商品マスタ[[#This Row],[商品名]]) = 1, 1,0)</f>
        <v/>
      </c>
      <c r="G537" s="133">
        <f>TEXT(SUMIF($C$3:C537,商品マスタ[[#This Row],[仕入先]],$F$3:F537), "0000")</f>
        <v/>
      </c>
      <c r="H537" s="167" t="inlineStr">
        <is>
          <t>ケース</t>
        </is>
      </c>
      <c r="I537" s="167" t="inlineStr">
        <is>
          <t>350ml×24本/ケース</t>
        </is>
      </c>
      <c r="J537" s="167" t="inlineStr">
        <is>
          <t>1ケース</t>
        </is>
      </c>
      <c r="K537" s="167" t="n"/>
      <c r="L537" s="289" t="n">
        <v>2780</v>
      </c>
      <c r="M537" s="157" t="n"/>
      <c r="N537" s="289" t="n"/>
      <c r="O537" s="290">
        <f>IF(COUNT(商品マスタ[[#This Row],[参考上代
（税込)]]) &gt; 0, (商品マスタ[[#This Row],[参考上代
（税込)]]-商品マスタ[[#This Row],[国内定価
（15％）]])/(商品マスタ[[#This Row],[参考上代
（税込)]]/1.08), "")</f>
        <v/>
      </c>
      <c r="P537" s="136" t="n">
        <v>0.1</v>
      </c>
      <c r="Q537" s="289">
        <f>商品マスタ[[#This Row],[仕入
単価]]*商品マスタ[[#This Row],[標準国内送料率]]</f>
        <v/>
      </c>
      <c r="R537" s="289" t="n"/>
      <c r="S537" s="289">
        <f>IF(ISBLANK(商品マスタ[[#This Row],[実績
国内送料]]),商品マスタ[[#This Row],[標準国内送料]],)</f>
        <v/>
      </c>
      <c r="T537" s="289">
        <f>商品マスタ[[#This Row],[仕入
単価]]+商品マスタ[[#This Row],[国内送料]]</f>
        <v/>
      </c>
      <c r="U537" s="289">
        <f>ROUNDUP(商品マスタ[[#This Row],[仕入単価+国内送料]]/0.8,-1)</f>
        <v/>
      </c>
      <c r="V537" s="289">
        <f>商品マスタ[[#This Row],[海外定価
（20％）]]-商品マスタ[[#This Row],[仕入単価+国内送料]]</f>
        <v/>
      </c>
      <c r="W537" s="167">
        <f>ROUNDUP(商品マスタ[[#This Row],[仕入単価+国内送料]]/0.85,-1)</f>
        <v/>
      </c>
      <c r="X537" s="289">
        <f>商品マスタ[[#This Row],[国内定価
（15％）]]-商品マスタ[[#This Row],[仕入単価+国内送料]]</f>
        <v/>
      </c>
      <c r="Y537" s="139" t="n">
        <v>0.1</v>
      </c>
      <c r="Z537" s="167" t="n"/>
      <c r="AA537" s="167" t="n"/>
      <c r="AB537" s="167" t="n"/>
      <c r="AC537" s="293" t="n"/>
      <c r="AD537" s="167" t="n"/>
      <c r="AE537" s="167" t="n"/>
      <c r="AF537" s="167" t="n"/>
      <c r="AG537" s="144" t="n"/>
    </row>
    <row r="538" ht="18" customHeight="1" s="207">
      <c r="A538" s="166" t="inlineStr">
        <is>
          <t>加工品</t>
        </is>
      </c>
      <c r="B538" s="167" t="inlineStr">
        <is>
          <t>その他</t>
        </is>
      </c>
      <c r="C538" s="167" t="inlineStr">
        <is>
          <t>ボンド商会</t>
        </is>
      </c>
      <c r="D538" s="143">
        <f>"PRD_SNJ_"&amp;
_xlfn.XLOOKUP(商品マスタ[[#This Row],[仕入先]],テーブル1[仕入先名],テーブル1[仕入先コード],"XXX",0,1)&amp;
"_"&amp;
商品マスタ[[#This Row],[シリアル]]&amp;
"_"&amp;
TEXT(COUNTIFS(商品マスタ!$C$3:C538,商品マスタ[[#This Row],[仕入先]],商品マスタ!$E$3:E538,商品マスタ[[#This Row],[商品名]]), "00")</f>
        <v/>
      </c>
      <c r="E538" s="167" t="inlineStr">
        <is>
          <t>サントリープレミアムモルツ　缶500</t>
        </is>
      </c>
      <c r="F538" s="167">
        <f>IF(COUNTIFS($C$3:C538,商品マスタ[[#This Row],[仕入先]],$E$3:E538,商品マスタ[[#This Row],[商品名]]) = 1, 1,0)</f>
        <v/>
      </c>
      <c r="G538" s="133">
        <f>TEXT(SUMIF($C$3:C538,商品マスタ[[#This Row],[仕入先]],$F$3:F538), "0000")</f>
        <v/>
      </c>
      <c r="H538" s="167" t="inlineStr">
        <is>
          <t>ケース</t>
        </is>
      </c>
      <c r="I538" s="167" t="inlineStr">
        <is>
          <t>500ml×24本/ケース</t>
        </is>
      </c>
      <c r="J538" s="167" t="inlineStr">
        <is>
          <t>1ケース</t>
        </is>
      </c>
      <c r="K538" s="167" t="n"/>
      <c r="L538" s="289" t="n">
        <v>4820</v>
      </c>
      <c r="M538" s="157" t="n"/>
      <c r="N538" s="289" t="n"/>
      <c r="O538" s="290">
        <f>IF(COUNT(商品マスタ[[#This Row],[参考上代
（税込)]]) &gt; 0, (商品マスタ[[#This Row],[参考上代
（税込)]]-商品マスタ[[#This Row],[国内定価
（15％）]])/(商品マスタ[[#This Row],[参考上代
（税込)]]/1.08), "")</f>
        <v/>
      </c>
      <c r="P538" s="136" t="n">
        <v>0.1</v>
      </c>
      <c r="Q538" s="289">
        <f>商品マスタ[[#This Row],[仕入
単価]]*商品マスタ[[#This Row],[標準国内送料率]]</f>
        <v/>
      </c>
      <c r="R538" s="289" t="n"/>
      <c r="S538" s="289">
        <f>IF(ISBLANK(商品マスタ[[#This Row],[実績
国内送料]]),商品マスタ[[#This Row],[標準国内送料]],)</f>
        <v/>
      </c>
      <c r="T538" s="289">
        <f>商品マスタ[[#This Row],[仕入
単価]]+商品マスタ[[#This Row],[国内送料]]</f>
        <v/>
      </c>
      <c r="U538" s="289">
        <f>ROUNDUP(商品マスタ[[#This Row],[仕入単価+国内送料]]/0.8,-1)</f>
        <v/>
      </c>
      <c r="V538" s="289">
        <f>商品マスタ[[#This Row],[海外定価
（20％）]]-商品マスタ[[#This Row],[仕入単価+国内送料]]</f>
        <v/>
      </c>
      <c r="W538" s="167">
        <f>ROUNDUP(商品マスタ[[#This Row],[仕入単価+国内送料]]/0.85,-1)</f>
        <v/>
      </c>
      <c r="X538" s="289">
        <f>商品マスタ[[#This Row],[国内定価
（15％）]]-商品マスタ[[#This Row],[仕入単価+国内送料]]</f>
        <v/>
      </c>
      <c r="Y538" s="139" t="n">
        <v>0.1</v>
      </c>
      <c r="Z538" s="167" t="n"/>
      <c r="AA538" s="167" t="n"/>
      <c r="AB538" s="167" t="n"/>
      <c r="AC538" s="293" t="n"/>
      <c r="AD538" s="167" t="n"/>
      <c r="AE538" s="167" t="n"/>
      <c r="AF538" s="167" t="n"/>
      <c r="AG538" s="144" t="n"/>
    </row>
    <row r="539" ht="18" customHeight="1" s="207">
      <c r="A539" s="166" t="inlineStr">
        <is>
          <t>加工品</t>
        </is>
      </c>
      <c r="B539" s="167" t="inlineStr">
        <is>
          <t>その他</t>
        </is>
      </c>
      <c r="C539" s="167" t="inlineStr">
        <is>
          <t>ボンド商会</t>
        </is>
      </c>
      <c r="D539" s="143">
        <f>"PRD_SNJ_"&amp;
_xlfn.XLOOKUP(商品マスタ[[#This Row],[仕入先]],テーブル1[仕入先名],テーブル1[仕入先コード],"XXX",0,1)&amp;
"_"&amp;
商品マスタ[[#This Row],[シリアル]]&amp;
"_"&amp;
TEXT(COUNTIFS(商品マスタ!$C$3:C539,商品マスタ[[#This Row],[仕入先]],商品マスタ!$E$3:E539,商品マスタ[[#This Row],[商品名]]), "00")</f>
        <v/>
      </c>
      <c r="E539" s="167" t="inlineStr">
        <is>
          <t>サントリープレミアムモルツ　缶350</t>
        </is>
      </c>
      <c r="F539" s="167">
        <f>IF(COUNTIFS($C$3:C539,商品マスタ[[#This Row],[仕入先]],$E$3:E539,商品マスタ[[#This Row],[商品名]]) = 1, 1,0)</f>
        <v/>
      </c>
      <c r="G539" s="133">
        <f>TEXT(SUMIF($C$3:C539,商品マスタ[[#This Row],[仕入先]],$F$3:F539), "0000")</f>
        <v/>
      </c>
      <c r="H539" s="167" t="inlineStr">
        <is>
          <t>ケース</t>
        </is>
      </c>
      <c r="I539" s="167" t="inlineStr">
        <is>
          <t>350ml×24本/ケース</t>
        </is>
      </c>
      <c r="J539" s="167" t="inlineStr">
        <is>
          <t>1ケース</t>
        </is>
      </c>
      <c r="K539" s="167" t="n"/>
      <c r="L539" s="289" t="n">
        <v>3910</v>
      </c>
      <c r="M539" s="157" t="n"/>
      <c r="N539" s="289" t="n"/>
      <c r="O539" s="290">
        <f>IF(COUNT(商品マスタ[[#This Row],[参考上代
（税込)]]) &gt; 0, (商品マスタ[[#This Row],[参考上代
（税込)]]-商品マスタ[[#This Row],[国内定価
（15％）]])/(商品マスタ[[#This Row],[参考上代
（税込)]]/1.08), "")</f>
        <v/>
      </c>
      <c r="P539" s="136" t="n">
        <v>0.1</v>
      </c>
      <c r="Q539" s="289">
        <f>商品マスタ[[#This Row],[仕入
単価]]*商品マスタ[[#This Row],[標準国内送料率]]</f>
        <v/>
      </c>
      <c r="R539" s="289" t="n"/>
      <c r="S539" s="289">
        <f>IF(ISBLANK(商品マスタ[[#This Row],[実績
国内送料]]),商品マスタ[[#This Row],[標準国内送料]],)</f>
        <v/>
      </c>
      <c r="T539" s="289">
        <f>商品マスタ[[#This Row],[仕入
単価]]+商品マスタ[[#This Row],[国内送料]]</f>
        <v/>
      </c>
      <c r="U539" s="289">
        <f>ROUNDUP(商品マスタ[[#This Row],[仕入単価+国内送料]]/0.8,-1)</f>
        <v/>
      </c>
      <c r="V539" s="289">
        <f>商品マスタ[[#This Row],[海外定価
（20％）]]-商品マスタ[[#This Row],[仕入単価+国内送料]]</f>
        <v/>
      </c>
      <c r="W539" s="167">
        <f>ROUNDUP(商品マスタ[[#This Row],[仕入単価+国内送料]]/0.85,-1)</f>
        <v/>
      </c>
      <c r="X539" s="289">
        <f>商品マスタ[[#This Row],[国内定価
（15％）]]-商品マスタ[[#This Row],[仕入単価+国内送料]]</f>
        <v/>
      </c>
      <c r="Y539" s="139" t="n">
        <v>0.1</v>
      </c>
      <c r="Z539" s="167" t="n"/>
      <c r="AA539" s="167" t="n"/>
      <c r="AB539" s="167" t="n"/>
      <c r="AC539" s="293" t="n"/>
      <c r="AD539" s="167" t="n"/>
      <c r="AE539" s="167" t="n"/>
      <c r="AF539" s="167" t="n"/>
      <c r="AG539" s="144" t="n"/>
    </row>
    <row r="540" ht="18" customHeight="1" s="207">
      <c r="A540" s="166" t="inlineStr">
        <is>
          <t>加工品</t>
        </is>
      </c>
      <c r="B540" s="167" t="inlineStr">
        <is>
          <t>その他</t>
        </is>
      </c>
      <c r="C540" s="167" t="inlineStr">
        <is>
          <t>ボンド商会</t>
        </is>
      </c>
      <c r="D540" s="143">
        <f>"PRD_SNJ_"&amp;
_xlfn.XLOOKUP(商品マスタ[[#This Row],[仕入先]],テーブル1[仕入先名],テーブル1[仕入先コード],"XXX",0,1)&amp;
"_"&amp;
商品マスタ[[#This Row],[シリアル]]&amp;
"_"&amp;
TEXT(COUNTIFS(商品マスタ!$C$3:C540,商品マスタ[[#This Row],[仕入先]],商品マスタ!$E$3:E540,商品マスタ[[#This Row],[商品名]]), "00")</f>
        <v/>
      </c>
      <c r="E540" s="167" t="inlineStr">
        <is>
          <t>サントリープレミアムモルツ香るエール　缶350</t>
        </is>
      </c>
      <c r="F540" s="167">
        <f>IF(COUNTIFS($C$3:C540,商品マスタ[[#This Row],[仕入先]],$E$3:E540,商品マスタ[[#This Row],[商品名]]) = 1, 1,0)</f>
        <v/>
      </c>
      <c r="G540" s="133">
        <f>TEXT(SUMIF($C$3:C540,商品マスタ[[#This Row],[仕入先]],$F$3:F540), "0000")</f>
        <v/>
      </c>
      <c r="H540" s="167" t="inlineStr">
        <is>
          <t>ケース</t>
        </is>
      </c>
      <c r="I540" s="167" t="inlineStr">
        <is>
          <t>350ml×24本/ケース</t>
        </is>
      </c>
      <c r="J540" s="167" t="inlineStr">
        <is>
          <t>1ケース</t>
        </is>
      </c>
      <c r="K540" s="167" t="n"/>
      <c r="L540" s="289" t="n">
        <v>3910</v>
      </c>
      <c r="M540" s="157" t="n"/>
      <c r="N540" s="289" t="n"/>
      <c r="O540" s="290">
        <f>IF(COUNT(商品マスタ[[#This Row],[参考上代
（税込)]]) &gt; 0, (商品マスタ[[#This Row],[参考上代
（税込)]]-商品マスタ[[#This Row],[国内定価
（15％）]])/(商品マスタ[[#This Row],[参考上代
（税込)]]/1.08), "")</f>
        <v/>
      </c>
      <c r="P540" s="136" t="n">
        <v>0.1</v>
      </c>
      <c r="Q540" s="289">
        <f>商品マスタ[[#This Row],[仕入
単価]]*商品マスタ[[#This Row],[標準国内送料率]]</f>
        <v/>
      </c>
      <c r="R540" s="289" t="n"/>
      <c r="S540" s="289">
        <f>IF(ISBLANK(商品マスタ[[#This Row],[実績
国内送料]]),商品マスタ[[#This Row],[標準国内送料]],)</f>
        <v/>
      </c>
      <c r="T540" s="289">
        <f>商品マスタ[[#This Row],[仕入
単価]]+商品マスタ[[#This Row],[国内送料]]</f>
        <v/>
      </c>
      <c r="U540" s="289">
        <f>ROUNDUP(商品マスタ[[#This Row],[仕入単価+国内送料]]/0.8,-1)</f>
        <v/>
      </c>
      <c r="V540" s="289">
        <f>商品マスタ[[#This Row],[海外定価
（20％）]]-商品マスタ[[#This Row],[仕入単価+国内送料]]</f>
        <v/>
      </c>
      <c r="W540" s="167">
        <f>ROUNDUP(商品マスタ[[#This Row],[仕入単価+国内送料]]/0.85,-1)</f>
        <v/>
      </c>
      <c r="X540" s="289">
        <f>商品マスタ[[#This Row],[国内定価
（15％）]]-商品マスタ[[#This Row],[仕入単価+国内送料]]</f>
        <v/>
      </c>
      <c r="Y540" s="139" t="n">
        <v>0.1</v>
      </c>
      <c r="Z540" s="167" t="n"/>
      <c r="AA540" s="167" t="n"/>
      <c r="AB540" s="167" t="n"/>
      <c r="AC540" s="293" t="n"/>
      <c r="AD540" s="167" t="n"/>
      <c r="AE540" s="167" t="n"/>
      <c r="AF540" s="167" t="n"/>
      <c r="AG540" s="144" t="n"/>
    </row>
    <row r="541" ht="18" customHeight="1" s="207">
      <c r="A541" s="166" t="inlineStr">
        <is>
          <t>加工品</t>
        </is>
      </c>
      <c r="B541" s="167" t="inlineStr">
        <is>
          <t>その他</t>
        </is>
      </c>
      <c r="C541" s="167" t="inlineStr">
        <is>
          <t>ボンド商会</t>
        </is>
      </c>
      <c r="D541" s="143">
        <f>"PRD_SNJ_"&amp;
_xlfn.XLOOKUP(商品マスタ[[#This Row],[仕入先]],テーブル1[仕入先名],テーブル1[仕入先コード],"XXX",0,1)&amp;
"_"&amp;
商品マスタ[[#This Row],[シリアル]]&amp;
"_"&amp;
TEXT(COUNTIFS(商品マスタ!$C$3:C541,商品マスタ[[#This Row],[仕入先]],商品マスタ!$E$3:E541,商品マスタ[[#This Row],[商品名]]), "00")</f>
        <v/>
      </c>
      <c r="E541" s="167" t="inlineStr">
        <is>
          <t>サントリー生ビール　缶350</t>
        </is>
      </c>
      <c r="F541" s="167">
        <f>IF(COUNTIFS($C$3:C541,商品マスタ[[#This Row],[仕入先]],$E$3:E541,商品マスタ[[#This Row],[商品名]]) = 1, 1,0)</f>
        <v/>
      </c>
      <c r="G541" s="133">
        <f>TEXT(SUMIF($C$3:C541,商品マスタ[[#This Row],[仕入先]],$F$3:F541), "0000")</f>
        <v/>
      </c>
      <c r="H541" s="167" t="inlineStr">
        <is>
          <t>ケース</t>
        </is>
      </c>
      <c r="I541" s="167" t="inlineStr">
        <is>
          <t>350ml×24本/ケース</t>
        </is>
      </c>
      <c r="J541" s="167" t="inlineStr">
        <is>
          <t>1ケース</t>
        </is>
      </c>
      <c r="K541" s="167" t="n"/>
      <c r="L541" s="289" t="n">
        <v>3070</v>
      </c>
      <c r="M541" s="157" t="n"/>
      <c r="N541" s="289" t="n"/>
      <c r="O541" s="290">
        <f>IF(COUNT(商品マスタ[[#This Row],[参考上代
（税込)]]) &gt; 0, (商品マスタ[[#This Row],[参考上代
（税込)]]-商品マスタ[[#This Row],[国内定価
（15％）]])/(商品マスタ[[#This Row],[参考上代
（税込)]]/1.08), "")</f>
        <v/>
      </c>
      <c r="P541" s="136" t="n">
        <v>0.1</v>
      </c>
      <c r="Q541" s="289">
        <f>商品マスタ[[#This Row],[仕入
単価]]*商品マスタ[[#This Row],[標準国内送料率]]</f>
        <v/>
      </c>
      <c r="R541" s="289" t="n"/>
      <c r="S541" s="289">
        <f>IF(ISBLANK(商品マスタ[[#This Row],[実績
国内送料]]),商品マスタ[[#This Row],[標準国内送料]],)</f>
        <v/>
      </c>
      <c r="T541" s="289">
        <f>商品マスタ[[#This Row],[仕入
単価]]+商品マスタ[[#This Row],[国内送料]]</f>
        <v/>
      </c>
      <c r="U541" s="289">
        <f>ROUNDUP(商品マスタ[[#This Row],[仕入単価+国内送料]]/0.8,-1)</f>
        <v/>
      </c>
      <c r="V541" s="289">
        <f>商品マスタ[[#This Row],[海外定価
（20％）]]-商品マスタ[[#This Row],[仕入単価+国内送料]]</f>
        <v/>
      </c>
      <c r="W541" s="167">
        <f>ROUNDUP(商品マスタ[[#This Row],[仕入単価+国内送料]]/0.85,-1)</f>
        <v/>
      </c>
      <c r="X541" s="289">
        <f>商品マスタ[[#This Row],[国内定価
（15％）]]-商品マスタ[[#This Row],[仕入単価+国内送料]]</f>
        <v/>
      </c>
      <c r="Y541" s="139" t="n">
        <v>0.1</v>
      </c>
      <c r="Z541" s="167" t="n"/>
      <c r="AA541" s="167" t="n"/>
      <c r="AB541" s="167" t="n"/>
      <c r="AC541" s="293" t="n"/>
      <c r="AD541" s="167" t="n"/>
      <c r="AE541" s="167" t="n"/>
      <c r="AF541" s="167" t="n"/>
      <c r="AG541" s="144" t="n"/>
    </row>
    <row r="542" ht="18" customHeight="1" s="207">
      <c r="A542" s="166" t="inlineStr">
        <is>
          <t>加工品</t>
        </is>
      </c>
      <c r="B542" s="167" t="inlineStr">
        <is>
          <t>その他</t>
        </is>
      </c>
      <c r="C542" s="167" t="inlineStr">
        <is>
          <t>ボンド商会</t>
        </is>
      </c>
      <c r="D542" s="143">
        <f>"PRD_SNJ_"&amp;
_xlfn.XLOOKUP(商品マスタ[[#This Row],[仕入先]],テーブル1[仕入先名],テーブル1[仕入先コード],"XXX",0,1)&amp;
"_"&amp;
商品マスタ[[#This Row],[シリアル]]&amp;
"_"&amp;
TEXT(COUNTIFS(商品マスタ!$C$3:C542,商品マスタ[[#This Row],[仕入先]],商品マスタ!$E$3:E542,商品マスタ[[#This Row],[商品名]]), "00")</f>
        <v/>
      </c>
      <c r="E542" s="167" t="inlineStr">
        <is>
          <t>サントリー生ビール　缶500</t>
        </is>
      </c>
      <c r="F542" s="167">
        <f>IF(COUNTIFS($C$3:C542,商品マスタ[[#This Row],[仕入先]],$E$3:E542,商品マスタ[[#This Row],[商品名]]) = 1, 1,0)</f>
        <v/>
      </c>
      <c r="G542" s="133">
        <f>TEXT(SUMIF($C$3:C542,商品マスタ[[#This Row],[仕入先]],$F$3:F542), "0000")</f>
        <v/>
      </c>
      <c r="H542" s="167" t="inlineStr">
        <is>
          <t>ケース</t>
        </is>
      </c>
      <c r="I542" s="167" t="inlineStr">
        <is>
          <t>350ml×24本/ケース</t>
        </is>
      </c>
      <c r="J542" s="167" t="inlineStr">
        <is>
          <t>1ケース</t>
        </is>
      </c>
      <c r="K542" s="167" t="n"/>
      <c r="L542" s="289" t="n">
        <v>3740</v>
      </c>
      <c r="M542" s="157" t="n"/>
      <c r="N542" s="289" t="n"/>
      <c r="O542" s="290">
        <f>IF(COUNT(商品マスタ[[#This Row],[参考上代
（税込)]]) &gt; 0, (商品マスタ[[#This Row],[参考上代
（税込)]]-商品マスタ[[#This Row],[国内定価
（15％）]])/(商品マスタ[[#This Row],[参考上代
（税込)]]/1.08), "")</f>
        <v/>
      </c>
      <c r="P542" s="136" t="n">
        <v>0.1</v>
      </c>
      <c r="Q542" s="289">
        <f>商品マスタ[[#This Row],[仕入
単価]]*商品マスタ[[#This Row],[標準国内送料率]]</f>
        <v/>
      </c>
      <c r="R542" s="289" t="n"/>
      <c r="S542" s="289">
        <f>IF(ISBLANK(商品マスタ[[#This Row],[実績
国内送料]]),商品マスタ[[#This Row],[標準国内送料]],)</f>
        <v/>
      </c>
      <c r="T542" s="289">
        <f>商品マスタ[[#This Row],[仕入
単価]]+商品マスタ[[#This Row],[国内送料]]</f>
        <v/>
      </c>
      <c r="U542" s="289">
        <f>ROUNDUP(商品マスタ[[#This Row],[仕入単価+国内送料]]/0.8,-1)</f>
        <v/>
      </c>
      <c r="V542" s="289">
        <f>商品マスタ[[#This Row],[海外定価
（20％）]]-商品マスタ[[#This Row],[仕入単価+国内送料]]</f>
        <v/>
      </c>
      <c r="W542" s="167">
        <f>ROUNDUP(商品マスタ[[#This Row],[仕入単価+国内送料]]/0.85,-1)</f>
        <v/>
      </c>
      <c r="X542" s="289">
        <f>商品マスタ[[#This Row],[国内定価
（15％）]]-商品マスタ[[#This Row],[仕入単価+国内送料]]</f>
        <v/>
      </c>
      <c r="Y542" s="139" t="n">
        <v>0.1</v>
      </c>
      <c r="Z542" s="167" t="n"/>
      <c r="AA542" s="167" t="n"/>
      <c r="AB542" s="167" t="n"/>
      <c r="AC542" s="293" t="n"/>
      <c r="AD542" s="167" t="n"/>
      <c r="AE542" s="167" t="n"/>
      <c r="AF542" s="167" t="n"/>
      <c r="AG542" s="144" t="n"/>
    </row>
    <row r="543" ht="18" customHeight="1" s="207">
      <c r="A543" s="166" t="inlineStr">
        <is>
          <t>加工品</t>
        </is>
      </c>
      <c r="B543" s="167" t="inlineStr">
        <is>
          <t>その他</t>
        </is>
      </c>
      <c r="C543" s="167" t="inlineStr">
        <is>
          <t>ボンド商会</t>
        </is>
      </c>
      <c r="D543" s="143">
        <f>"PRD_SNJ_"&amp;
_xlfn.XLOOKUP(商品マスタ[[#This Row],[仕入先]],テーブル1[仕入先名],テーブル1[仕入先コード],"XXX",0,1)&amp;
"_"&amp;
商品マスタ[[#This Row],[シリアル]]&amp;
"_"&amp;
TEXT(COUNTIFS(商品マスタ!$C$3:C543,商品マスタ[[#This Row],[仕入先]],商品マスタ!$E$3:E543,商品マスタ[[#This Row],[商品名]]), "00")</f>
        <v/>
      </c>
      <c r="E543" s="167" t="inlineStr">
        <is>
          <t>キリンラガー生　缶500</t>
        </is>
      </c>
      <c r="F543" s="167">
        <f>IF(COUNTIFS($C$3:C543,商品マスタ[[#This Row],[仕入先]],$E$3:E543,商品マスタ[[#This Row],[商品名]]) = 1, 1,0)</f>
        <v/>
      </c>
      <c r="G543" s="133">
        <f>TEXT(SUMIF($C$3:C543,商品マスタ[[#This Row],[仕入先]],$F$3:F543), "0000")</f>
        <v/>
      </c>
      <c r="H543" s="167" t="inlineStr">
        <is>
          <t>ケース</t>
        </is>
      </c>
      <c r="I543" s="167" t="inlineStr">
        <is>
          <t>350ml×24本/ケース</t>
        </is>
      </c>
      <c r="J543" s="167" t="inlineStr">
        <is>
          <t>1ケース</t>
        </is>
      </c>
      <c r="K543" s="167" t="n"/>
      <c r="L543" s="289" t="n">
        <v>3580</v>
      </c>
      <c r="M543" s="157" t="n"/>
      <c r="N543" s="289" t="n"/>
      <c r="O543" s="290">
        <f>IF(COUNT(商品マスタ[[#This Row],[参考上代
（税込)]]) &gt; 0, (商品マスタ[[#This Row],[参考上代
（税込)]]-商品マスタ[[#This Row],[国内定価
（15％）]])/(商品マスタ[[#This Row],[参考上代
（税込)]]/1.08), "")</f>
        <v/>
      </c>
      <c r="P543" s="136" t="n">
        <v>0.1</v>
      </c>
      <c r="Q543" s="289">
        <f>商品マスタ[[#This Row],[仕入
単価]]*商品マスタ[[#This Row],[標準国内送料率]]</f>
        <v/>
      </c>
      <c r="R543" s="289" t="n"/>
      <c r="S543" s="289">
        <f>IF(ISBLANK(商品マスタ[[#This Row],[実績
国内送料]]),商品マスタ[[#This Row],[標準国内送料]],)</f>
        <v/>
      </c>
      <c r="T543" s="289">
        <f>商品マスタ[[#This Row],[仕入
単価]]+商品マスタ[[#This Row],[国内送料]]</f>
        <v/>
      </c>
      <c r="U543" s="289">
        <f>ROUNDUP(商品マスタ[[#This Row],[仕入単価+国内送料]]/0.8,-1)</f>
        <v/>
      </c>
      <c r="V543" s="289">
        <f>商品マスタ[[#This Row],[海外定価
（20％）]]-商品マスタ[[#This Row],[仕入単価+国内送料]]</f>
        <v/>
      </c>
      <c r="W543" s="167">
        <f>ROUNDUP(商品マスタ[[#This Row],[仕入単価+国内送料]]/0.85,-1)</f>
        <v/>
      </c>
      <c r="X543" s="289">
        <f>商品マスタ[[#This Row],[国内定価
（15％）]]-商品マスタ[[#This Row],[仕入単価+国内送料]]</f>
        <v/>
      </c>
      <c r="Y543" s="139" t="n">
        <v>0.1</v>
      </c>
      <c r="Z543" s="167" t="n"/>
      <c r="AA543" s="167" t="n"/>
      <c r="AB543" s="167" t="n"/>
      <c r="AC543" s="293" t="n"/>
      <c r="AD543" s="167" t="n"/>
      <c r="AE543" s="167" t="n"/>
      <c r="AF543" s="167" t="n"/>
      <c r="AG543" s="144" t="n"/>
    </row>
    <row r="544" ht="18" customHeight="1" s="207">
      <c r="A544" s="166" t="inlineStr">
        <is>
          <t>加工品</t>
        </is>
      </c>
      <c r="B544" s="167" t="inlineStr">
        <is>
          <t>その他</t>
        </is>
      </c>
      <c r="C544" s="167" t="inlineStr">
        <is>
          <t>ボンド商会</t>
        </is>
      </c>
      <c r="D544" s="143">
        <f>"PRD_SNJ_"&amp;
_xlfn.XLOOKUP(商品マスタ[[#This Row],[仕入先]],テーブル1[仕入先名],テーブル1[仕入先コード],"XXX",0,1)&amp;
"_"&amp;
商品マスタ[[#This Row],[シリアル]]&amp;
"_"&amp;
TEXT(COUNTIFS(商品マスタ!$C$3:C544,商品マスタ[[#This Row],[仕入先]],商品マスタ!$E$3:E544,商品マスタ[[#This Row],[商品名]]), "00")</f>
        <v/>
      </c>
      <c r="E544" s="167" t="inlineStr">
        <is>
          <t>キリンラガー生　缶350</t>
        </is>
      </c>
      <c r="F544" s="167">
        <f>IF(COUNTIFS($C$3:C544,商品マスタ[[#This Row],[仕入先]],$E$3:E544,商品マスタ[[#This Row],[商品名]]) = 1, 1,0)</f>
        <v/>
      </c>
      <c r="G544" s="133">
        <f>TEXT(SUMIF($C$3:C544,商品マスタ[[#This Row],[仕入先]],$F$3:F544), "0000")</f>
        <v/>
      </c>
      <c r="H544" s="167" t="inlineStr">
        <is>
          <t>ケース</t>
        </is>
      </c>
      <c r="I544" s="167" t="inlineStr">
        <is>
          <t>350ml×24本/ケース</t>
        </is>
      </c>
      <c r="J544" s="167" t="inlineStr">
        <is>
          <t>1ケース</t>
        </is>
      </c>
      <c r="K544" s="167" t="n"/>
      <c r="L544" s="289" t="n">
        <v>2780</v>
      </c>
      <c r="M544" s="157" t="n"/>
      <c r="N544" s="289" t="n"/>
      <c r="O544" s="290">
        <f>IF(COUNT(商品マスタ[[#This Row],[参考上代
（税込)]]) &gt; 0, (商品マスタ[[#This Row],[参考上代
（税込)]]-商品マスタ[[#This Row],[国内定価
（15％）]])/(商品マスタ[[#This Row],[参考上代
（税込)]]/1.08), "")</f>
        <v/>
      </c>
      <c r="P544" s="136" t="n">
        <v>0.1</v>
      </c>
      <c r="Q544" s="289">
        <f>商品マスタ[[#This Row],[仕入
単価]]*商品マスタ[[#This Row],[標準国内送料率]]</f>
        <v/>
      </c>
      <c r="R544" s="289" t="n"/>
      <c r="S544" s="289">
        <f>IF(ISBLANK(商品マスタ[[#This Row],[実績
国内送料]]),商品マスタ[[#This Row],[標準国内送料]],)</f>
        <v/>
      </c>
      <c r="T544" s="289">
        <f>商品マスタ[[#This Row],[仕入
単価]]+商品マスタ[[#This Row],[国内送料]]</f>
        <v/>
      </c>
      <c r="U544" s="289">
        <f>ROUNDUP(商品マスタ[[#This Row],[仕入単価+国内送料]]/0.8,-1)</f>
        <v/>
      </c>
      <c r="V544" s="289">
        <f>商品マスタ[[#This Row],[海外定価
（20％）]]-商品マスタ[[#This Row],[仕入単価+国内送料]]</f>
        <v/>
      </c>
      <c r="W544" s="167">
        <f>ROUNDUP(商品マスタ[[#This Row],[仕入単価+国内送料]]/0.85,-1)</f>
        <v/>
      </c>
      <c r="X544" s="289">
        <f>商品マスタ[[#This Row],[国内定価
（15％）]]-商品マスタ[[#This Row],[仕入単価+国内送料]]</f>
        <v/>
      </c>
      <c r="Y544" s="139" t="n">
        <v>0.1</v>
      </c>
      <c r="Z544" s="167" t="n"/>
      <c r="AA544" s="167" t="n"/>
      <c r="AB544" s="167" t="n"/>
      <c r="AC544" s="293" t="n"/>
      <c r="AD544" s="167" t="n"/>
      <c r="AE544" s="167" t="n"/>
      <c r="AF544" s="167" t="n"/>
      <c r="AG544" s="144" t="n"/>
    </row>
    <row r="545" ht="18" customHeight="1" s="207">
      <c r="A545" s="166" t="inlineStr">
        <is>
          <t>飲料アルコール</t>
        </is>
      </c>
      <c r="B545" s="167" t="inlineStr">
        <is>
          <t>日本酒</t>
        </is>
      </c>
      <c r="C545" s="167" t="inlineStr">
        <is>
          <t>紀の司酒造</t>
        </is>
      </c>
      <c r="D545" s="143">
        <f>"PRD_SNJ_"&amp;
_xlfn.XLOOKUP(商品マスタ[[#This Row],[仕入先]],テーブル1[仕入先名],テーブル1[仕入先コード],"XXX",0,1)&amp;
"_"&amp;
商品マスタ[[#This Row],[シリアル]]&amp;
"_"&amp;
TEXT(COUNTIFS(商品マスタ!$C$3:C545,商品マスタ[[#This Row],[仕入先]],商品マスタ!$E$3:E545,商品マスタ[[#This Row],[商品名]]), "00")</f>
        <v/>
      </c>
      <c r="E545" s="167" t="inlineStr">
        <is>
          <t>和歌山産直梅酒</t>
        </is>
      </c>
      <c r="F545" s="167">
        <f>IF(COUNTIFS($C$3:C545,商品マスタ[[#This Row],[仕入先]],$E$3:E545,商品マスタ[[#This Row],[商品名]]) = 1, 1,0)</f>
        <v/>
      </c>
      <c r="G545" s="133">
        <f>TEXT(SUMIF($C$3:C545,商品マスタ[[#This Row],[仕入先]],$F$3:F545), "0000")</f>
        <v/>
      </c>
      <c r="H545" s="167" t="inlineStr">
        <is>
          <t>ケース</t>
        </is>
      </c>
      <c r="I545" s="167" t="inlineStr">
        <is>
          <t>2000ml×6本/ケース</t>
        </is>
      </c>
      <c r="J545" s="167" t="inlineStr">
        <is>
          <t>1ケース</t>
        </is>
      </c>
      <c r="K545" s="167" t="n"/>
      <c r="L545" s="289" t="n">
        <v>600</v>
      </c>
      <c r="M545" s="157" t="n"/>
      <c r="N545" s="289" t="n"/>
      <c r="O545" s="290">
        <f>IF(COUNT(商品マスタ[[#This Row],[参考上代
（税込)]]) &gt; 0, (商品マスタ[[#This Row],[参考上代
（税込)]]-商品マスタ[[#This Row],[国内定価
（15％）]])/(商品マスタ[[#This Row],[参考上代
（税込)]]/1.08), "")</f>
        <v/>
      </c>
      <c r="P545" s="136" t="n">
        <v>0.1</v>
      </c>
      <c r="Q545" s="289">
        <f>商品マスタ[[#This Row],[仕入
単価]]*商品マスタ[[#This Row],[標準国内送料率]]</f>
        <v/>
      </c>
      <c r="R545" s="289" t="n"/>
      <c r="S545" s="289">
        <f>IF(ISBLANK(商品マスタ[[#This Row],[実績
国内送料]]),商品マスタ[[#This Row],[標準国内送料]],)</f>
        <v/>
      </c>
      <c r="T545" s="289">
        <f>商品マスタ[[#This Row],[仕入
単価]]+商品マスタ[[#This Row],[国内送料]]</f>
        <v/>
      </c>
      <c r="U545" s="289">
        <f>ROUNDUP(商品マスタ[[#This Row],[仕入単価+国内送料]]/0.8,-1)</f>
        <v/>
      </c>
      <c r="V545" s="289">
        <f>商品マスタ[[#This Row],[海外定価
（20％）]]-商品マスタ[[#This Row],[仕入単価+国内送料]]</f>
        <v/>
      </c>
      <c r="W545" s="167">
        <f>ROUNDUP(商品マスタ[[#This Row],[仕入単価+国内送料]]/0.85,-1)</f>
        <v/>
      </c>
      <c r="X545" s="289">
        <f>商品マスタ[[#This Row],[国内定価
（15％）]]-商品マスタ[[#This Row],[仕入単価+国内送料]]</f>
        <v/>
      </c>
      <c r="Y545" s="139" t="n">
        <v>0.1</v>
      </c>
      <c r="Z545" s="167" t="n"/>
      <c r="AA545" s="167" t="n"/>
      <c r="AB545" s="167" t="n"/>
      <c r="AC545" s="293" t="n"/>
      <c r="AD545" s="167" t="n"/>
      <c r="AE545" s="167" t="n"/>
      <c r="AF545" s="167" t="n"/>
      <c r="AG545" s="144" t="n"/>
    </row>
    <row r="546" ht="18" customHeight="1" s="207">
      <c r="A546" s="166" t="inlineStr">
        <is>
          <t>飲料アルコール</t>
        </is>
      </c>
      <c r="B546" s="167" t="inlineStr">
        <is>
          <t>日本酒</t>
        </is>
      </c>
      <c r="C546" s="167" t="inlineStr">
        <is>
          <t>紀の司酒造</t>
        </is>
      </c>
      <c r="D546" s="143">
        <f>"PRD_SNJ_"&amp;
_xlfn.XLOOKUP(商品マスタ[[#This Row],[仕入先]],テーブル1[仕入先名],テーブル1[仕入先コード],"XXX",0,1)&amp;
"_"&amp;
商品マスタ[[#This Row],[シリアル]]&amp;
"_"&amp;
TEXT(COUNTIFS(商品マスタ!$C$3:C546,商品マスタ[[#This Row],[仕入先]],商品マスタ!$E$3:E546,商品マスタ[[#This Row],[商品名]]), "00")</f>
        <v/>
      </c>
      <c r="E546" s="167" t="inlineStr">
        <is>
          <t>紀州産直梅酒</t>
        </is>
      </c>
      <c r="F546" s="167">
        <f>IF(COUNTIFS($C$3:C546,商品マスタ[[#This Row],[仕入先]],$E$3:E546,商品マスタ[[#This Row],[商品名]]) = 1, 1,0)</f>
        <v/>
      </c>
      <c r="G546" s="133">
        <f>TEXT(SUMIF($C$3:C546,商品マスタ[[#This Row],[仕入先]],$F$3:F546), "0000")</f>
        <v/>
      </c>
      <c r="H546" s="167" t="inlineStr">
        <is>
          <t>ケース</t>
        </is>
      </c>
      <c r="I546" s="167" t="inlineStr">
        <is>
          <t>2000ml×6本/ケース</t>
        </is>
      </c>
      <c r="J546" s="167" t="inlineStr">
        <is>
          <t>1ケース</t>
        </is>
      </c>
      <c r="K546" s="167" t="n"/>
      <c r="L546" s="289" t="n">
        <v>600</v>
      </c>
      <c r="M546" s="157" t="n"/>
      <c r="N546" s="289" t="n"/>
      <c r="O546" s="290">
        <f>IF(COUNT(商品マスタ[[#This Row],[参考上代
（税込)]]) &gt; 0, (商品マスタ[[#This Row],[参考上代
（税込)]]-商品マスタ[[#This Row],[国内定価
（15％）]])/(商品マスタ[[#This Row],[参考上代
（税込)]]/1.08), "")</f>
        <v/>
      </c>
      <c r="P546" s="136" t="n">
        <v>0.1</v>
      </c>
      <c r="Q546" s="289">
        <f>商品マスタ[[#This Row],[仕入
単価]]*商品マスタ[[#This Row],[標準国内送料率]]</f>
        <v/>
      </c>
      <c r="R546" s="289" t="n"/>
      <c r="S546" s="289">
        <f>IF(ISBLANK(商品マスタ[[#This Row],[実績
国内送料]]),商品マスタ[[#This Row],[標準国内送料]],)</f>
        <v/>
      </c>
      <c r="T546" s="289">
        <f>商品マスタ[[#This Row],[仕入
単価]]+商品マスタ[[#This Row],[国内送料]]</f>
        <v/>
      </c>
      <c r="U546" s="289">
        <f>ROUNDUP(商品マスタ[[#This Row],[仕入単価+国内送料]]/0.8,-1)</f>
        <v/>
      </c>
      <c r="V546" s="289">
        <f>商品マスタ[[#This Row],[海外定価
（20％）]]-商品マスタ[[#This Row],[仕入単価+国内送料]]</f>
        <v/>
      </c>
      <c r="W546" s="167">
        <f>ROUNDUP(商品マスタ[[#This Row],[仕入単価+国内送料]]/0.85,-1)</f>
        <v/>
      </c>
      <c r="X546" s="289">
        <f>商品マスタ[[#This Row],[国内定価
（15％）]]-商品マスタ[[#This Row],[仕入単価+国内送料]]</f>
        <v/>
      </c>
      <c r="Y546" s="139" t="n">
        <v>0.1</v>
      </c>
      <c r="Z546" s="167" t="n"/>
      <c r="AA546" s="167" t="n"/>
      <c r="AB546" s="167" t="n"/>
      <c r="AC546" s="293" t="n"/>
      <c r="AD546" s="167" t="n"/>
      <c r="AE546" s="167" t="n"/>
      <c r="AF546" s="167" t="n"/>
      <c r="AG546" s="144" t="n"/>
    </row>
    <row r="547" ht="18" customHeight="1" s="207">
      <c r="A547" s="166" t="inlineStr">
        <is>
          <t>水産</t>
        </is>
      </c>
      <c r="B547" s="167" t="inlineStr">
        <is>
          <t>水産物</t>
        </is>
      </c>
      <c r="C547" s="167" t="inlineStr">
        <is>
          <t>サンマルコ食品（株）</t>
        </is>
      </c>
      <c r="D547" s="143">
        <f>"PRD_SNJ_"&amp;
_xlfn.XLOOKUP(商品マスタ[[#This Row],[仕入先]],テーブル1[仕入先名],テーブル1[仕入先コード],"XXX",0,1)&amp;
"_"&amp;
商品マスタ[[#This Row],[シリアル]]&amp;
"_"&amp;
TEXT(COUNTIFS(商品マスタ!$C$3:C547,商品マスタ[[#This Row],[仕入先]],商品マスタ!$E$3:E547,商品マスタ[[#This Row],[商品名]]), "00")</f>
        <v/>
      </c>
      <c r="E547" s="167" t="inlineStr">
        <is>
          <t>コロッケ倶楽部
だし香る牛肉じゃが</t>
        </is>
      </c>
      <c r="F547" s="167">
        <f>IF(COUNTIFS($C$3:C547,商品マスタ[[#This Row],[仕入先]],$E$3:E547,商品マスタ[[#This Row],[商品名]]) = 1, 1,0)</f>
        <v/>
      </c>
      <c r="G547" s="133">
        <f>TEXT(SUMIF($C$3:C547,商品マスタ[[#This Row],[仕入先]],$F$3:F547), "0000")</f>
        <v/>
      </c>
      <c r="H547" s="167" t="inlineStr">
        <is>
          <t>個</t>
        </is>
      </c>
      <c r="I547" s="167" t="inlineStr">
        <is>
          <t>75g×8個×３合</t>
        </is>
      </c>
      <c r="J547" s="167" t="inlineStr">
        <is>
          <t>120個</t>
        </is>
      </c>
      <c r="K547" s="167" t="inlineStr">
        <is>
          <t>425×185×360</t>
        </is>
      </c>
      <c r="L547" s="289" t="n">
        <v>8400</v>
      </c>
      <c r="M547" s="157" t="n">
        <v>46052</v>
      </c>
      <c r="N547" s="289" t="n"/>
      <c r="O547" s="290">
        <f>IF(COUNT(商品マスタ[[#This Row],[参考上代
（税込)]]) &gt; 0, (商品マスタ[[#This Row],[参考上代
（税込)]]-商品マスタ[[#This Row],[国内定価
（15％）]])/(商品マスタ[[#This Row],[参考上代
（税込)]]/1.08), "")</f>
        <v/>
      </c>
      <c r="P547" s="136" t="n">
        <v>0.1</v>
      </c>
      <c r="Q547" s="289">
        <f>商品マスタ[[#This Row],[仕入
単価]]*商品マスタ[[#This Row],[標準国内送料率]]</f>
        <v/>
      </c>
      <c r="R547" s="289" t="n"/>
      <c r="S547" s="289">
        <f>IF(ISBLANK(商品マスタ[[#This Row],[実績
国内送料]]),商品マスタ[[#This Row],[標準国内送料]],)</f>
        <v/>
      </c>
      <c r="T547" s="289">
        <f>商品マスタ[[#This Row],[仕入
単価]]+商品マスタ[[#This Row],[国内送料]]</f>
        <v/>
      </c>
      <c r="U547" s="289">
        <f>ROUNDUP(商品マスタ[[#This Row],[仕入単価+国内送料]]/0.8,-1)</f>
        <v/>
      </c>
      <c r="V547" s="289">
        <f>商品マスタ[[#This Row],[海外定価
（20％）]]-商品マスタ[[#This Row],[仕入単価+国内送料]]</f>
        <v/>
      </c>
      <c r="W547" s="167">
        <f>ROUNDUP(商品マスタ[[#This Row],[仕入単価+国内送料]]/0.85,-1)</f>
        <v/>
      </c>
      <c r="X547" s="289">
        <f>商品マスタ[[#This Row],[国内定価
（15％）]]-商品マスタ[[#This Row],[仕入単価+国内送料]]</f>
        <v/>
      </c>
      <c r="Y547" s="139" t="n">
        <v>0.08</v>
      </c>
      <c r="Z547" s="167" t="inlineStr">
        <is>
          <t>12ヶ月</t>
        </is>
      </c>
      <c r="AA547" s="167" t="inlineStr">
        <is>
          <t>冷凍</t>
        </is>
      </c>
      <c r="AB547" s="167" t="inlineStr">
        <is>
          <t>2日</t>
        </is>
      </c>
      <c r="AC547" s="293" t="n">
        <v>4974037709280</v>
      </c>
      <c r="AD547" s="167" t="inlineStr">
        <is>
          <t>化学調味料不使用。まるごとペーストにした日高産根昆布の昆布だしと 、かつお,いわし,あじからとった4種のだしを使用本みりんを配合することで、深いコクとまろやかな甘みを出しました。北海道食材使用。</t>
        </is>
      </c>
      <c r="AE547" s="167" t="n"/>
      <c r="AF547" s="167" t="n"/>
      <c r="AG547" s="144" t="n"/>
    </row>
    <row r="548" ht="18" customHeight="1" s="207">
      <c r="A548" s="166" t="inlineStr">
        <is>
          <t>加工品</t>
        </is>
      </c>
      <c r="B548" s="167" t="inlineStr">
        <is>
          <t>その他</t>
        </is>
      </c>
      <c r="C548" s="167" t="inlineStr">
        <is>
          <t>サンマルコ食品（株）</t>
        </is>
      </c>
      <c r="D548" s="143">
        <f>"PRD_SNJ_"&amp;
_xlfn.XLOOKUP(商品マスタ[[#This Row],[仕入先]],テーブル1[仕入先名],テーブル1[仕入先コード],"XXX",0,1)&amp;
"_"&amp;
商品マスタ[[#This Row],[シリアル]]&amp;
"_"&amp;
TEXT(COUNTIFS(商品マスタ!$C$3:C548,商品マスタ[[#This Row],[仕入先]],商品マスタ!$E$3:E548,商品マスタ[[#This Row],[商品名]]), "00")</f>
        <v/>
      </c>
      <c r="E548" s="167" t="inlineStr">
        <is>
          <t>コロッケ倶楽部
30種の香ばしスパイスカレー</t>
        </is>
      </c>
      <c r="F548" s="167">
        <f>IF(COUNTIFS($C$3:C548,商品マスタ[[#This Row],[仕入先]],$E$3:E548,商品マスタ[[#This Row],[商品名]]) = 1, 1,0)</f>
        <v/>
      </c>
      <c r="G548" s="133">
        <f>TEXT(SUMIF($C$3:C548,商品マスタ[[#This Row],[仕入先]],$F$3:F548), "0000")</f>
        <v/>
      </c>
      <c r="H548" s="167" t="inlineStr">
        <is>
          <t>個</t>
        </is>
      </c>
      <c r="I548" s="167" t="inlineStr">
        <is>
          <t>75g×8個×３合</t>
        </is>
      </c>
      <c r="J548" s="167" t="inlineStr">
        <is>
          <t>120個</t>
        </is>
      </c>
      <c r="K548" s="167" t="inlineStr">
        <is>
          <t>425×185×360</t>
        </is>
      </c>
      <c r="L548" s="289" t="n">
        <v>8400</v>
      </c>
      <c r="M548" s="157" t="n">
        <v>46052</v>
      </c>
      <c r="N548" s="289" t="n"/>
      <c r="O548" s="290">
        <f>IF(COUNT(商品マスタ[[#This Row],[参考上代
（税込)]]) &gt; 0, (商品マスタ[[#This Row],[参考上代
（税込)]]-商品マスタ[[#This Row],[国内定価
（15％）]])/(商品マスタ[[#This Row],[参考上代
（税込)]]/1.08), "")</f>
        <v/>
      </c>
      <c r="P548" s="136" t="n">
        <v>0.1</v>
      </c>
      <c r="Q548" s="289">
        <f>商品マスタ[[#This Row],[仕入
単価]]*商品マスタ[[#This Row],[標準国内送料率]]</f>
        <v/>
      </c>
      <c r="R548" s="289" t="n"/>
      <c r="S548" s="289">
        <f>IF(ISBLANK(商品マスタ[[#This Row],[実績
国内送料]]),商品マスタ[[#This Row],[標準国内送料]],)</f>
        <v/>
      </c>
      <c r="T548" s="289">
        <f>商品マスタ[[#This Row],[仕入
単価]]+商品マスタ[[#This Row],[国内送料]]</f>
        <v/>
      </c>
      <c r="U548" s="289">
        <f>ROUNDUP(商品マスタ[[#This Row],[仕入単価+国内送料]]/0.8,-1)</f>
        <v/>
      </c>
      <c r="V548" s="289">
        <f>商品マスタ[[#This Row],[海外定価
（20％）]]-商品マスタ[[#This Row],[仕入単価+国内送料]]</f>
        <v/>
      </c>
      <c r="W548" s="167">
        <f>ROUNDUP(商品マスタ[[#This Row],[仕入単価+国内送料]]/0.85,-1)</f>
        <v/>
      </c>
      <c r="X548" s="289">
        <f>商品マスタ[[#This Row],[国内定価
（15％）]]-商品マスタ[[#This Row],[仕入単価+国内送料]]</f>
        <v/>
      </c>
      <c r="Y548" s="139" t="n">
        <v>0.08</v>
      </c>
      <c r="Z548" s="167" t="inlineStr">
        <is>
          <t>12ヶ月</t>
        </is>
      </c>
      <c r="AA548" s="167" t="inlineStr">
        <is>
          <t>冷凍</t>
        </is>
      </c>
      <c r="AB548" s="167" t="inlineStr">
        <is>
          <t>2日</t>
        </is>
      </c>
      <c r="AC548" s="293" t="n">
        <v>4974037505325</v>
      </c>
      <c r="AD548" s="167" t="inlineStr">
        <is>
          <t>カレーのコクと風味にこだわり、数種類のスパイスを配合しました。スパイシーな味の中に、まろやかさとコクを演出するため、隠し味に北海道産ゴーダチーズと北海道産牛乳を使用しています。</t>
        </is>
      </c>
      <c r="AE548" s="167" t="n"/>
      <c r="AF548" s="167" t="n"/>
      <c r="AG548" s="144" t="n"/>
    </row>
    <row r="549" ht="18" customHeight="1" s="207">
      <c r="A549" s="166" t="inlineStr">
        <is>
          <t>水産</t>
        </is>
      </c>
      <c r="B549" s="167" t="inlineStr">
        <is>
          <t>水産物</t>
        </is>
      </c>
      <c r="C549" s="167" t="inlineStr">
        <is>
          <t>サンマルコ食品（株）</t>
        </is>
      </c>
      <c r="D549" s="143">
        <f>"PRD_SNJ_"&amp;
_xlfn.XLOOKUP(商品マスタ[[#This Row],[仕入先]],テーブル1[仕入先名],テーブル1[仕入先コード],"XXX",0,1)&amp;
"_"&amp;
商品マスタ[[#This Row],[シリアル]]&amp;
"_"&amp;
TEXT(COUNTIFS(商品マスタ!$C$3:C549,商品マスタ[[#This Row],[仕入先]],商品マスタ!$E$3:E549,商品マスタ[[#This Row],[商品名]]), "00")</f>
        <v/>
      </c>
      <c r="E549" s="167" t="inlineStr">
        <is>
          <t>コロッケ倶楽部
3種のとろ～りチーズ</t>
        </is>
      </c>
      <c r="F549" s="167">
        <f>IF(COUNTIFS($C$3:C549,商品マスタ[[#This Row],[仕入先]],$E$3:E549,商品マスタ[[#This Row],[商品名]]) = 1, 1,0)</f>
        <v/>
      </c>
      <c r="G549" s="133">
        <f>TEXT(SUMIF($C$3:C549,商品マスタ[[#This Row],[仕入先]],$F$3:F549), "0000")</f>
        <v/>
      </c>
      <c r="H549" s="167" t="inlineStr">
        <is>
          <t>個</t>
        </is>
      </c>
      <c r="I549" s="167" t="inlineStr">
        <is>
          <t>75g×8個×３合</t>
        </is>
      </c>
      <c r="J549" s="167" t="inlineStr">
        <is>
          <t>120個</t>
        </is>
      </c>
      <c r="K549" s="167" t="inlineStr">
        <is>
          <t>425×185×360</t>
        </is>
      </c>
      <c r="L549" s="289" t="n">
        <v>8400</v>
      </c>
      <c r="M549" s="157" t="n">
        <v>46052</v>
      </c>
      <c r="N549" s="289" t="n"/>
      <c r="O549" s="290">
        <f>IF(COUNT(商品マスタ[[#This Row],[参考上代
（税込)]]) &gt; 0, (商品マスタ[[#This Row],[参考上代
（税込)]]-商品マスタ[[#This Row],[国内定価
（15％）]])/(商品マスタ[[#This Row],[参考上代
（税込)]]/1.08), "")</f>
        <v/>
      </c>
      <c r="P549" s="136" t="n">
        <v>0.1</v>
      </c>
      <c r="Q549" s="289">
        <f>商品マスタ[[#This Row],[仕入
単価]]*商品マスタ[[#This Row],[標準国内送料率]]</f>
        <v/>
      </c>
      <c r="R549" s="289" t="n"/>
      <c r="S549" s="289">
        <f>IF(ISBLANK(商品マスタ[[#This Row],[実績
国内送料]]),商品マスタ[[#This Row],[標準国内送料]],)</f>
        <v/>
      </c>
      <c r="T549" s="289">
        <f>商品マスタ[[#This Row],[仕入
単価]]+商品マスタ[[#This Row],[国内送料]]</f>
        <v/>
      </c>
      <c r="U549" s="289">
        <f>ROUNDUP(商品マスタ[[#This Row],[仕入単価+国内送料]]/0.8,-1)</f>
        <v/>
      </c>
      <c r="V549" s="289">
        <f>商品マスタ[[#This Row],[海外定価
（20％）]]-商品マスタ[[#This Row],[仕入単価+国内送料]]</f>
        <v/>
      </c>
      <c r="W549" s="167">
        <f>ROUNDUP(商品マスタ[[#This Row],[仕入単価+国内送料]]/0.85,-1)</f>
        <v/>
      </c>
      <c r="X549" s="289">
        <f>商品マスタ[[#This Row],[国内定価
（15％）]]-商品マスタ[[#This Row],[仕入単価+国内送料]]</f>
        <v/>
      </c>
      <c r="Y549" s="139" t="n">
        <v>0.08</v>
      </c>
      <c r="Z549" s="167" t="inlineStr">
        <is>
          <t>12ヶ月</t>
        </is>
      </c>
      <c r="AA549" s="167" t="inlineStr">
        <is>
          <t>冷凍</t>
        </is>
      </c>
      <c r="AB549" s="167" t="inlineStr">
        <is>
          <t>2日</t>
        </is>
      </c>
      <c r="AC549" s="293" t="n">
        <v>4974037806675</v>
      </c>
      <c r="AD549" s="167" t="inlineStr">
        <is>
          <t>【2020年コロッケグランプリ金賞受賞】チーズをより味わえるよう、コクと風味のバランスにこだわり、
舌の上でなめらかに溶けていく北海道産の3種類のチーズをまるごと北海道産男爵いもで包みました。北海道産チーズと化学調味料不使用がこだわりです。</t>
        </is>
      </c>
      <c r="AE549" s="167" t="n"/>
      <c r="AF549" s="167" t="n"/>
      <c r="AG549" s="144" t="n"/>
    </row>
    <row r="550" ht="18" customHeight="1" s="207">
      <c r="A550" s="166" t="inlineStr">
        <is>
          <t>水産</t>
        </is>
      </c>
      <c r="B550" s="167" t="inlineStr">
        <is>
          <t>水産物</t>
        </is>
      </c>
      <c r="C550" s="167" t="inlineStr">
        <is>
          <t>王子サーモン（株）</t>
        </is>
      </c>
      <c r="D550" s="143">
        <f>"PRD_SNJ_"&amp;
_xlfn.XLOOKUP(商品マスタ[[#This Row],[仕入先]],テーブル1[仕入先名],テーブル1[仕入先コード],"XXX",0,1)&amp;
"_"&amp;
商品マスタ[[#This Row],[シリアル]]&amp;
"_"&amp;
TEXT(COUNTIFS(商品マスタ!$C$3:C550,商品マスタ[[#This Row],[仕入先]],商品マスタ!$E$3:E550,商品マスタ[[#This Row],[商品名]]), "00")</f>
        <v/>
      </c>
      <c r="E550" s="167" t="inlineStr">
        <is>
          <t>トラウトスモーク切落しSP(500g)</t>
        </is>
      </c>
      <c r="F550" s="167">
        <f>IF(COUNTIFS($C$3:C550,商品マスタ[[#This Row],[仕入先]],$E$3:E550,商品マスタ[[#This Row],[商品名]]) = 1, 1,0)</f>
        <v/>
      </c>
      <c r="G550" s="133">
        <f>TEXT(SUMIF($C$3:C550,商品マスタ[[#This Row],[仕入先]],$F$3:F550), "0000")</f>
        <v/>
      </c>
      <c r="H550" s="167" t="inlineStr">
        <is>
          <t>甲</t>
        </is>
      </c>
      <c r="I550" s="167" t="inlineStr">
        <is>
          <t>500g</t>
        </is>
      </c>
      <c r="J550" s="167" t="inlineStr">
        <is>
          <t>20パック</t>
        </is>
      </c>
      <c r="K550" s="167" t="inlineStr">
        <is>
          <t>2合（甲)</t>
        </is>
      </c>
      <c r="L550" s="289" t="n">
        <v>40000</v>
      </c>
      <c r="M550" s="157" t="n">
        <v>46052</v>
      </c>
      <c r="N550" s="289" t="n"/>
      <c r="O550" s="290">
        <f>IF(COUNT(商品マスタ[[#This Row],[参考上代
（税込)]]) &gt; 0, (商品マスタ[[#This Row],[参考上代
（税込)]]-商品マスタ[[#This Row],[国内定価
（15％）]])/(商品マスタ[[#This Row],[参考上代
（税込)]]/1.08), "")</f>
        <v/>
      </c>
      <c r="P550" s="136" t="n">
        <v>0.1</v>
      </c>
      <c r="Q550" s="289">
        <f>商品マスタ[[#This Row],[仕入
単価]]*商品マスタ[[#This Row],[標準国内送料率]]</f>
        <v/>
      </c>
      <c r="R550" s="289" t="n"/>
      <c r="S550" s="289">
        <f>IF(ISBLANK(商品マスタ[[#This Row],[実績
国内送料]]),商品マスタ[[#This Row],[標準国内送料]],)</f>
        <v/>
      </c>
      <c r="T550" s="289">
        <f>商品マスタ[[#This Row],[仕入
単価]]+商品マスタ[[#This Row],[国内送料]]</f>
        <v/>
      </c>
      <c r="U550" s="289">
        <f>ROUNDUP(商品マスタ[[#This Row],[仕入単価+国内送料]]/0.8,-1)</f>
        <v/>
      </c>
      <c r="V550" s="289">
        <f>商品マスタ[[#This Row],[海外定価
（20％）]]-商品マスタ[[#This Row],[仕入単価+国内送料]]</f>
        <v/>
      </c>
      <c r="W550" s="167">
        <f>ROUNDUP(商品マスタ[[#This Row],[仕入単価+国内送料]]/0.85,-1)</f>
        <v/>
      </c>
      <c r="X550" s="289">
        <f>商品マスタ[[#This Row],[国内定価
（15％）]]-商品マスタ[[#This Row],[仕入単価+国内送料]]</f>
        <v/>
      </c>
      <c r="Y550" s="139" t="n">
        <v>0.08</v>
      </c>
      <c r="Z550" s="167" t="inlineStr">
        <is>
          <t>2年</t>
        </is>
      </c>
      <c r="AA550" s="167" t="inlineStr">
        <is>
          <t>冷凍</t>
        </is>
      </c>
      <c r="AB550" s="167" t="inlineStr">
        <is>
          <t>6日</t>
        </is>
      </c>
      <c r="AC550" s="293" t="n"/>
      <c r="AD550" s="167" t="inlineStr">
        <is>
          <t>商談時聞く</t>
        </is>
      </c>
      <c r="AE550" s="167" t="n"/>
      <c r="AF550" s="167" t="n"/>
      <c r="AG550" s="144" t="n"/>
    </row>
    <row r="551" ht="18" customHeight="1" s="207">
      <c r="A551" s="166" t="inlineStr">
        <is>
          <t>水産</t>
        </is>
      </c>
      <c r="B551" s="167" t="inlineStr">
        <is>
          <t>水産物</t>
        </is>
      </c>
      <c r="C551" s="167" t="inlineStr">
        <is>
          <t>王子サーモン（株）</t>
        </is>
      </c>
      <c r="D551" s="143">
        <f>"PRD_SNJ_"&amp;
_xlfn.XLOOKUP(商品マスタ[[#This Row],[仕入先]],テーブル1[仕入先名],テーブル1[仕入先コード],"XXX",0,1)&amp;
"_"&amp;
商品マスタ[[#This Row],[シリアル]]&amp;
"_"&amp;
TEXT(COUNTIFS(商品マスタ!$C$3:C551,商品マスタ[[#This Row],[仕入先]],商品マスタ!$E$3:E551,商品マスタ[[#This Row],[商品名]]), "00")</f>
        <v/>
      </c>
      <c r="E551" s="167" t="inlineStr">
        <is>
          <t>秋鮭チョップサーモン(500g)</t>
        </is>
      </c>
      <c r="F551" s="167">
        <f>IF(COUNTIFS($C$3:C551,商品マスタ[[#This Row],[仕入先]],$E$3:E551,商品マスタ[[#This Row],[商品名]]) = 1, 1,0)</f>
        <v/>
      </c>
      <c r="G551" s="133">
        <f>TEXT(SUMIF($C$3:C551,商品マスタ[[#This Row],[仕入先]],$F$3:F551), "0000")</f>
        <v/>
      </c>
      <c r="H551" s="167" t="inlineStr">
        <is>
          <t>甲</t>
        </is>
      </c>
      <c r="I551" s="167" t="inlineStr">
        <is>
          <t>500g</t>
        </is>
      </c>
      <c r="J551" s="167" t="inlineStr">
        <is>
          <t>20パック</t>
        </is>
      </c>
      <c r="K551" s="167" t="inlineStr">
        <is>
          <t>2合（甲)</t>
        </is>
      </c>
      <c r="L551" s="289" t="n">
        <v>40000</v>
      </c>
      <c r="M551" s="157" t="n">
        <v>46052</v>
      </c>
      <c r="N551" s="289" t="n"/>
      <c r="O551" s="290">
        <f>IF(COUNT(商品マスタ[[#This Row],[参考上代
（税込)]]) &gt; 0, (商品マスタ[[#This Row],[参考上代
（税込)]]-商品マスタ[[#This Row],[国内定価
（15％）]])/(商品マスタ[[#This Row],[参考上代
（税込)]]/1.08), "")</f>
        <v/>
      </c>
      <c r="P551" s="136" t="n">
        <v>0.1</v>
      </c>
      <c r="Q551" s="289">
        <f>商品マスタ[[#This Row],[仕入
単価]]*商品マスタ[[#This Row],[標準国内送料率]]</f>
        <v/>
      </c>
      <c r="R551" s="289" t="n"/>
      <c r="S551" s="289">
        <f>IF(ISBLANK(商品マスタ[[#This Row],[実績
国内送料]]),商品マスタ[[#This Row],[標準国内送料]],)</f>
        <v/>
      </c>
      <c r="T551" s="289">
        <f>商品マスタ[[#This Row],[仕入
単価]]+商品マスタ[[#This Row],[国内送料]]</f>
        <v/>
      </c>
      <c r="U551" s="289">
        <f>ROUNDUP(商品マスタ[[#This Row],[仕入単価+国内送料]]/0.8,-1)</f>
        <v/>
      </c>
      <c r="V551" s="289">
        <f>商品マスタ[[#This Row],[海外定価
（20％）]]-商品マスタ[[#This Row],[仕入単価+国内送料]]</f>
        <v/>
      </c>
      <c r="W551" s="167">
        <f>ROUNDUP(商品マスタ[[#This Row],[仕入単価+国内送料]]/0.85,-1)</f>
        <v/>
      </c>
      <c r="X551" s="289">
        <f>商品マスタ[[#This Row],[国内定価
（15％）]]-商品マスタ[[#This Row],[仕入単価+国内送料]]</f>
        <v/>
      </c>
      <c r="Y551" s="139" t="n">
        <v>0.08</v>
      </c>
      <c r="Z551" s="167" t="inlineStr">
        <is>
          <t>2年</t>
        </is>
      </c>
      <c r="AA551" s="167" t="inlineStr">
        <is>
          <t>冷凍</t>
        </is>
      </c>
      <c r="AB551" s="167" t="inlineStr">
        <is>
          <t>6日</t>
        </is>
      </c>
      <c r="AC551" s="293" t="n"/>
      <c r="AD551" s="167" t="n"/>
      <c r="AE551" s="167" t="n"/>
      <c r="AF551" s="167" t="n"/>
      <c r="AG551" s="144" t="n"/>
    </row>
    <row r="552" ht="18" customHeight="1" s="207">
      <c r="A552" s="166" t="inlineStr">
        <is>
          <t>水産</t>
        </is>
      </c>
      <c r="B552" s="167" t="inlineStr">
        <is>
          <t>水産物</t>
        </is>
      </c>
      <c r="C552" s="167" t="inlineStr">
        <is>
          <t>王子サーモン（株）</t>
        </is>
      </c>
      <c r="D552" s="143">
        <f>"PRD_SNJ_"&amp;
_xlfn.XLOOKUP(商品マスタ[[#This Row],[仕入先]],テーブル1[仕入先名],テーブル1[仕入先コード],"XXX",0,1)&amp;
"_"&amp;
商品マスタ[[#This Row],[シリアル]]&amp;
"_"&amp;
TEXT(COUNTIFS(商品マスタ!$C$3:C552,商品マスタ[[#This Row],[仕入先]],商品マスタ!$E$3:E552,商品マスタ[[#This Row],[商品名]]), "00")</f>
        <v/>
      </c>
      <c r="E552" s="167" t="inlineStr">
        <is>
          <t>紅鮭スモーク切落し厚切り(500g)</t>
        </is>
      </c>
      <c r="F552" s="167">
        <f>IF(COUNTIFS($C$3:C552,商品マスタ[[#This Row],[仕入先]],$E$3:E552,商品マスタ[[#This Row],[商品名]]) = 1, 1,0)</f>
        <v/>
      </c>
      <c r="G552" s="133">
        <f>TEXT(SUMIF($C$3:C552,商品マスタ[[#This Row],[仕入先]],$F$3:F552), "0000")</f>
        <v/>
      </c>
      <c r="H552" s="167" t="inlineStr">
        <is>
          <t>甲</t>
        </is>
      </c>
      <c r="I552" s="167" t="inlineStr">
        <is>
          <t>500g</t>
        </is>
      </c>
      <c r="J552" s="167" t="inlineStr">
        <is>
          <t>20パック</t>
        </is>
      </c>
      <c r="K552" s="167" t="inlineStr">
        <is>
          <t>2合（甲)</t>
        </is>
      </c>
      <c r="L552" s="289" t="n">
        <v>49000</v>
      </c>
      <c r="M552" s="157" t="n">
        <v>46052</v>
      </c>
      <c r="N552" s="289" t="n"/>
      <c r="O552" s="290">
        <f>IF(COUNT(商品マスタ[[#This Row],[参考上代
（税込)]]) &gt; 0, (商品マスタ[[#This Row],[参考上代
（税込)]]-商品マスタ[[#This Row],[国内定価
（15％）]])/(商品マスタ[[#This Row],[参考上代
（税込)]]/1.08), "")</f>
        <v/>
      </c>
      <c r="P552" s="136" t="n">
        <v>0.1</v>
      </c>
      <c r="Q552" s="289">
        <f>商品マスタ[[#This Row],[仕入
単価]]*商品マスタ[[#This Row],[標準国内送料率]]</f>
        <v/>
      </c>
      <c r="R552" s="289" t="n"/>
      <c r="S552" s="289">
        <f>IF(ISBLANK(商品マスタ[[#This Row],[実績
国内送料]]),商品マスタ[[#This Row],[標準国内送料]],)</f>
        <v/>
      </c>
      <c r="T552" s="289">
        <f>商品マスタ[[#This Row],[仕入
単価]]+商品マスタ[[#This Row],[国内送料]]</f>
        <v/>
      </c>
      <c r="U552" s="289">
        <f>ROUNDUP(商品マスタ[[#This Row],[仕入単価+国内送料]]/0.8,-1)</f>
        <v/>
      </c>
      <c r="V552" s="289">
        <f>商品マスタ[[#This Row],[海外定価
（20％）]]-商品マスタ[[#This Row],[仕入単価+国内送料]]</f>
        <v/>
      </c>
      <c r="W552" s="167">
        <f>ROUNDUP(商品マスタ[[#This Row],[仕入単価+国内送料]]/0.85,-1)</f>
        <v/>
      </c>
      <c r="X552" s="289">
        <f>商品マスタ[[#This Row],[国内定価
（15％）]]-商品マスタ[[#This Row],[仕入単価+国内送料]]</f>
        <v/>
      </c>
      <c r="Y552" s="139" t="n">
        <v>0.08</v>
      </c>
      <c r="Z552" s="167" t="inlineStr">
        <is>
          <t>2年</t>
        </is>
      </c>
      <c r="AA552" s="167" t="inlineStr">
        <is>
          <t>冷凍</t>
        </is>
      </c>
      <c r="AB552" s="167" t="inlineStr">
        <is>
          <t>6日</t>
        </is>
      </c>
      <c r="AC552" s="293" t="n"/>
      <c r="AD552" s="167" t="n"/>
      <c r="AE552" s="167" t="n"/>
      <c r="AF552" s="167" t="n"/>
      <c r="AG552" s="144" t="n"/>
    </row>
    <row r="553" ht="18" customHeight="1" s="207">
      <c r="A553" s="166" t="inlineStr">
        <is>
          <t>水産</t>
        </is>
      </c>
      <c r="B553" s="167" t="inlineStr">
        <is>
          <t>水産物</t>
        </is>
      </c>
      <c r="C553" s="167" t="inlineStr">
        <is>
          <t>王子サーモン（株）</t>
        </is>
      </c>
      <c r="D553" s="143">
        <f>"PRD_SNJ_"&amp;
_xlfn.XLOOKUP(商品マスタ[[#This Row],[仕入先]],テーブル1[仕入先名],テーブル1[仕入先コード],"XXX",0,1)&amp;
"_"&amp;
商品マスタ[[#This Row],[シリアル]]&amp;
"_"&amp;
TEXT(COUNTIFS(商品マスタ!$C$3:C553,商品マスタ[[#This Row],[仕入先]],商品マスタ!$E$3:E553,商品マスタ[[#This Row],[商品名]]), "00")</f>
        <v/>
      </c>
      <c r="E553" s="167" t="inlineStr">
        <is>
          <t>NR業STスライス500g</t>
        </is>
      </c>
      <c r="F553" s="167">
        <f>IF(COUNTIFS($C$3:C553,商品マスタ[[#This Row],[仕入先]],$E$3:E553,商品マスタ[[#This Row],[商品名]]) = 1, 1,0)</f>
        <v/>
      </c>
      <c r="G553" s="133">
        <f>TEXT(SUMIF($C$3:C553,商品マスタ[[#This Row],[仕入先]],$F$3:F553), "0000")</f>
        <v/>
      </c>
      <c r="H553" s="167" t="inlineStr">
        <is>
          <t>甲</t>
        </is>
      </c>
      <c r="I553" s="167" t="inlineStr">
        <is>
          <t>500g</t>
        </is>
      </c>
      <c r="J553" s="167" t="inlineStr">
        <is>
          <t>20パック</t>
        </is>
      </c>
      <c r="K553" s="167" t="inlineStr">
        <is>
          <t>2合（甲)</t>
        </is>
      </c>
      <c r="L553" s="289" t="n">
        <v>54000</v>
      </c>
      <c r="M553" s="157" t="n">
        <v>46052</v>
      </c>
      <c r="N553" s="289" t="n"/>
      <c r="O553" s="290">
        <f>IF(COUNT(商品マスタ[[#This Row],[参考上代
（税込)]]) &gt; 0, (商品マスタ[[#This Row],[参考上代
（税込)]]-商品マスタ[[#This Row],[国内定価
（15％）]])/(商品マスタ[[#This Row],[参考上代
（税込)]]/1.08), "")</f>
        <v/>
      </c>
      <c r="P553" s="136" t="n">
        <v>0.1</v>
      </c>
      <c r="Q553" s="289">
        <f>商品マスタ[[#This Row],[仕入
単価]]*商品マスタ[[#This Row],[標準国内送料率]]</f>
        <v/>
      </c>
      <c r="R553" s="289" t="n"/>
      <c r="S553" s="289">
        <f>IF(ISBLANK(商品マスタ[[#This Row],[実績
国内送料]]),商品マスタ[[#This Row],[標準国内送料]],)</f>
        <v/>
      </c>
      <c r="T553" s="289">
        <f>商品マスタ[[#This Row],[仕入
単価]]+商品マスタ[[#This Row],[国内送料]]</f>
        <v/>
      </c>
      <c r="U553" s="289">
        <f>ROUNDUP(商品マスタ[[#This Row],[仕入単価+国内送料]]/0.8,-1)</f>
        <v/>
      </c>
      <c r="V553" s="289">
        <f>商品マスタ[[#This Row],[海外定価
（20％）]]-商品マスタ[[#This Row],[仕入単価+国内送料]]</f>
        <v/>
      </c>
      <c r="W553" s="167">
        <f>ROUNDUP(商品マスタ[[#This Row],[仕入単価+国内送料]]/0.85,-1)</f>
        <v/>
      </c>
      <c r="X553" s="289">
        <f>商品マスタ[[#This Row],[国内定価
（15％）]]-商品マスタ[[#This Row],[仕入単価+国内送料]]</f>
        <v/>
      </c>
      <c r="Y553" s="139" t="n">
        <v>0.08</v>
      </c>
      <c r="Z553" s="167" t="inlineStr">
        <is>
          <t>1年半</t>
        </is>
      </c>
      <c r="AA553" s="167" t="inlineStr">
        <is>
          <t>冷凍</t>
        </is>
      </c>
      <c r="AB553" s="167" t="inlineStr">
        <is>
          <t>6日</t>
        </is>
      </c>
      <c r="AC553" s="293" t="n"/>
      <c r="AD553" s="167" t="n"/>
      <c r="AE553" s="167" t="n"/>
      <c r="AF553" s="167" t="n"/>
      <c r="AG553" s="144" t="n"/>
    </row>
    <row r="554" ht="18" customHeight="1" s="207">
      <c r="A554" s="166" t="inlineStr">
        <is>
          <t>水産</t>
        </is>
      </c>
      <c r="B554" s="167" t="inlineStr">
        <is>
          <t>水産物</t>
        </is>
      </c>
      <c r="C554" s="167" t="inlineStr">
        <is>
          <t>王子サーモン（株）</t>
        </is>
      </c>
      <c r="D554" s="143">
        <f>"PRD_SNJ_"&amp;
_xlfn.XLOOKUP(商品マスタ[[#This Row],[仕入先]],テーブル1[仕入先名],テーブル1[仕入先コード],"XXX",0,1)&amp;
"_"&amp;
商品マスタ[[#This Row],[シリアル]]&amp;
"_"&amp;
TEXT(COUNTIFS(商品マスタ!$C$3:C554,商品マスタ[[#This Row],[仕入先]],商品マスタ!$E$3:E554,商品マスタ[[#This Row],[商品名]]), "00")</f>
        <v/>
      </c>
      <c r="E554" s="167" t="inlineStr">
        <is>
          <t>燻製とろサバ(500g)</t>
        </is>
      </c>
      <c r="F554" s="167">
        <f>IF(COUNTIFS($C$3:C554,商品マスタ[[#This Row],[仕入先]],$E$3:E554,商品マスタ[[#This Row],[商品名]]) = 1, 1,0)</f>
        <v/>
      </c>
      <c r="G554" s="133">
        <f>TEXT(SUMIF($C$3:C554,商品マスタ[[#This Row],[仕入先]],$F$3:F554), "0000")</f>
        <v/>
      </c>
      <c r="H554" s="167" t="inlineStr">
        <is>
          <t>甲</t>
        </is>
      </c>
      <c r="I554" s="167" t="inlineStr">
        <is>
          <t>500g</t>
        </is>
      </c>
      <c r="J554" s="167" t="inlineStr">
        <is>
          <t>20パック</t>
        </is>
      </c>
      <c r="K554" s="167" t="inlineStr">
        <is>
          <t>2合（甲)</t>
        </is>
      </c>
      <c r="L554" s="289" t="n">
        <v>35000</v>
      </c>
      <c r="M554" s="157" t="n">
        <v>46052</v>
      </c>
      <c r="N554" s="289" t="n"/>
      <c r="O554" s="290">
        <f>IF(COUNT(商品マスタ[[#This Row],[参考上代
（税込)]]) &gt; 0, (商品マスタ[[#This Row],[参考上代
（税込)]]-商品マスタ[[#This Row],[国内定価
（15％）]])/(商品マスタ[[#This Row],[参考上代
（税込)]]/1.08), "")</f>
        <v/>
      </c>
      <c r="P554" s="136" t="n">
        <v>0.1</v>
      </c>
      <c r="Q554" s="289">
        <f>商品マスタ[[#This Row],[仕入
単価]]*商品マスタ[[#This Row],[標準国内送料率]]</f>
        <v/>
      </c>
      <c r="R554" s="289" t="n"/>
      <c r="S554" s="289">
        <f>IF(ISBLANK(商品マスタ[[#This Row],[実績
国内送料]]),商品マスタ[[#This Row],[標準国内送料]],)</f>
        <v/>
      </c>
      <c r="T554" s="289">
        <f>商品マスタ[[#This Row],[仕入
単価]]+商品マスタ[[#This Row],[国内送料]]</f>
        <v/>
      </c>
      <c r="U554" s="289">
        <f>ROUNDUP(商品マスタ[[#This Row],[仕入単価+国内送料]]/0.8,-1)</f>
        <v/>
      </c>
      <c r="V554" s="289">
        <f>商品マスタ[[#This Row],[海外定価
（20％）]]-商品マスタ[[#This Row],[仕入単価+国内送料]]</f>
        <v/>
      </c>
      <c r="W554" s="167">
        <f>ROUNDUP(商品マスタ[[#This Row],[仕入単価+国内送料]]/0.85,-1)</f>
        <v/>
      </c>
      <c r="X554" s="289">
        <f>商品マスタ[[#This Row],[国内定価
（15％）]]-商品マスタ[[#This Row],[仕入単価+国内送料]]</f>
        <v/>
      </c>
      <c r="Y554" s="139" t="n">
        <v>0.08</v>
      </c>
      <c r="Z554" s="167" t="inlineStr">
        <is>
          <t>2年</t>
        </is>
      </c>
      <c r="AA554" s="167" t="inlineStr">
        <is>
          <t>冷凍</t>
        </is>
      </c>
      <c r="AB554" s="167" t="inlineStr">
        <is>
          <t>6日</t>
        </is>
      </c>
      <c r="AC554" s="293" t="n"/>
      <c r="AD554" s="167" t="n"/>
      <c r="AE554" s="167" t="n"/>
      <c r="AF554" s="167" t="n"/>
      <c r="AG554" s="144" t="n"/>
    </row>
    <row r="555" ht="18" customHeight="1" s="207">
      <c r="A555" s="166" t="inlineStr">
        <is>
          <t>水産</t>
        </is>
      </c>
      <c r="B555" s="167" t="inlineStr">
        <is>
          <t>水産物</t>
        </is>
      </c>
      <c r="C555" s="167" t="inlineStr">
        <is>
          <t>王子サーモン（株）</t>
        </is>
      </c>
      <c r="D555" s="143">
        <f>"PRD_SNJ_"&amp;
_xlfn.XLOOKUP(商品マスタ[[#This Row],[仕入先]],テーブル1[仕入先名],テーブル1[仕入先コード],"XXX",0,1)&amp;
"_"&amp;
商品マスタ[[#This Row],[シリアル]]&amp;
"_"&amp;
TEXT(COUNTIFS(商品マスタ!$C$3:C555,商品マスタ[[#This Row],[仕入先]],商品マスタ!$E$3:E555,商品マスタ[[#This Row],[商品名]]), "00")</f>
        <v/>
      </c>
      <c r="E555" s="167" t="inlineStr">
        <is>
          <t>ホタテ温燻製(300g)</t>
        </is>
      </c>
      <c r="F555" s="167">
        <f>IF(COUNTIFS($C$3:C555,商品マスタ[[#This Row],[仕入先]],$E$3:E555,商品マスタ[[#This Row],[商品名]]) = 1, 1,0)</f>
        <v/>
      </c>
      <c r="G555" s="133">
        <f>TEXT(SUMIF($C$3:C555,商品マスタ[[#This Row],[仕入先]],$F$3:F555), "0000")</f>
        <v/>
      </c>
      <c r="H555" s="167" t="inlineStr">
        <is>
          <t>甲</t>
        </is>
      </c>
      <c r="I555" s="167" t="inlineStr">
        <is>
          <t>300g</t>
        </is>
      </c>
      <c r="J555" s="167" t="inlineStr">
        <is>
          <t>20パック</t>
        </is>
      </c>
      <c r="K555" s="167" t="inlineStr">
        <is>
          <t>2合（甲)</t>
        </is>
      </c>
      <c r="L555" s="289" t="n">
        <v>36000</v>
      </c>
      <c r="M555" s="157" t="n">
        <v>46052</v>
      </c>
      <c r="N555" s="289" t="n"/>
      <c r="O555" s="290">
        <f>IF(COUNT(商品マスタ[[#This Row],[参考上代
（税込)]]) &gt; 0, (商品マスタ[[#This Row],[参考上代
（税込)]]-商品マスタ[[#This Row],[国内定価
（15％）]])/(商品マスタ[[#This Row],[参考上代
（税込)]]/1.08), "")</f>
        <v/>
      </c>
      <c r="P555" s="136" t="n">
        <v>0.1</v>
      </c>
      <c r="Q555" s="289">
        <f>商品マスタ[[#This Row],[仕入
単価]]*商品マスタ[[#This Row],[標準国内送料率]]</f>
        <v/>
      </c>
      <c r="R555" s="289" t="n"/>
      <c r="S555" s="289">
        <f>IF(ISBLANK(商品マスタ[[#This Row],[実績
国内送料]]),商品マスタ[[#This Row],[標準国内送料]],)</f>
        <v/>
      </c>
      <c r="T555" s="289">
        <f>商品マスタ[[#This Row],[仕入
単価]]+商品マスタ[[#This Row],[国内送料]]</f>
        <v/>
      </c>
      <c r="U555" s="289">
        <f>ROUNDUP(商品マスタ[[#This Row],[仕入単価+国内送料]]/0.8,-1)</f>
        <v/>
      </c>
      <c r="V555" s="289">
        <f>商品マスタ[[#This Row],[海外定価
（20％）]]-商品マスタ[[#This Row],[仕入単価+国内送料]]</f>
        <v/>
      </c>
      <c r="W555" s="167">
        <f>ROUNDUP(商品マスタ[[#This Row],[仕入単価+国内送料]]/0.85,-1)</f>
        <v/>
      </c>
      <c r="X555" s="289">
        <f>商品マスタ[[#This Row],[国内定価
（15％）]]-商品マスタ[[#This Row],[仕入単価+国内送料]]</f>
        <v/>
      </c>
      <c r="Y555" s="139" t="n">
        <v>0.08</v>
      </c>
      <c r="Z555" s="167" t="inlineStr">
        <is>
          <t>1年半</t>
        </is>
      </c>
      <c r="AA555" s="167" t="inlineStr">
        <is>
          <t>冷凍</t>
        </is>
      </c>
      <c r="AB555" s="167" t="inlineStr">
        <is>
          <t>6日</t>
        </is>
      </c>
      <c r="AC555" s="293" t="n"/>
      <c r="AD555" s="167" t="n"/>
      <c r="AE555" s="167" t="n"/>
      <c r="AF555" s="167" t="n"/>
      <c r="AG555" s="144" t="n"/>
    </row>
    <row r="556" ht="18" customHeight="1" s="207">
      <c r="A556" s="166" t="inlineStr">
        <is>
          <t>水産</t>
        </is>
      </c>
      <c r="B556" s="167" t="inlineStr">
        <is>
          <t>水産物</t>
        </is>
      </c>
      <c r="C556" s="167" t="inlineStr">
        <is>
          <t>王子サーモン（株）</t>
        </is>
      </c>
      <c r="D556" s="143">
        <f>"PRD_SNJ_"&amp;
_xlfn.XLOOKUP(商品マスタ[[#This Row],[仕入先]],テーブル1[仕入先名],テーブル1[仕入先コード],"XXX",0,1)&amp;
"_"&amp;
商品マスタ[[#This Row],[シリアル]]&amp;
"_"&amp;
TEXT(COUNTIFS(商品マスタ!$C$3:C556,商品マスタ[[#This Row],[仕入先]],商品マスタ!$E$3:E556,商品マスタ[[#This Row],[商品名]]), "00")</f>
        <v/>
      </c>
      <c r="E556" s="167" t="inlineStr">
        <is>
          <t>牡蠣温燻製(300g)</t>
        </is>
      </c>
      <c r="F556" s="167">
        <f>IF(COUNTIFS($C$3:C556,商品マスタ[[#This Row],[仕入先]],$E$3:E556,商品マスタ[[#This Row],[商品名]]) = 1, 1,0)</f>
        <v/>
      </c>
      <c r="G556" s="133">
        <f>TEXT(SUMIF($C$3:C556,商品マスタ[[#This Row],[仕入先]],$F$3:F556), "0000")</f>
        <v/>
      </c>
      <c r="H556" s="167" t="inlineStr">
        <is>
          <t>甲</t>
        </is>
      </c>
      <c r="I556" s="167" t="inlineStr">
        <is>
          <t>300g</t>
        </is>
      </c>
      <c r="J556" s="167" t="inlineStr">
        <is>
          <t>20パック</t>
        </is>
      </c>
      <c r="K556" s="167" t="inlineStr">
        <is>
          <t>2合（甲)</t>
        </is>
      </c>
      <c r="L556" s="289" t="n">
        <v>48600</v>
      </c>
      <c r="M556" s="157" t="n">
        <v>46052</v>
      </c>
      <c r="N556" s="289" t="n"/>
      <c r="O556" s="290">
        <f>IF(COUNT(商品マスタ[[#This Row],[参考上代
（税込)]]) &gt; 0, (商品マスタ[[#This Row],[参考上代
（税込)]]-商品マスタ[[#This Row],[国内定価
（15％）]])/(商品マスタ[[#This Row],[参考上代
（税込)]]/1.08), "")</f>
        <v/>
      </c>
      <c r="P556" s="136" t="n">
        <v>0.1</v>
      </c>
      <c r="Q556" s="289">
        <f>商品マスタ[[#This Row],[仕入
単価]]*商品マスタ[[#This Row],[標準国内送料率]]</f>
        <v/>
      </c>
      <c r="R556" s="289" t="n"/>
      <c r="S556" s="289">
        <f>IF(ISBLANK(商品マスタ[[#This Row],[実績
国内送料]]),商品マスタ[[#This Row],[標準国内送料]],)</f>
        <v/>
      </c>
      <c r="T556" s="289">
        <f>商品マスタ[[#This Row],[仕入
単価]]+商品マスタ[[#This Row],[国内送料]]</f>
        <v/>
      </c>
      <c r="U556" s="289">
        <f>ROUNDUP(商品マスタ[[#This Row],[仕入単価+国内送料]]/0.8,-1)</f>
        <v/>
      </c>
      <c r="V556" s="289">
        <f>商品マスタ[[#This Row],[海外定価
（20％）]]-商品マスタ[[#This Row],[仕入単価+国内送料]]</f>
        <v/>
      </c>
      <c r="W556" s="167">
        <f>ROUNDUP(商品マスタ[[#This Row],[仕入単価+国内送料]]/0.85,-1)</f>
        <v/>
      </c>
      <c r="X556" s="289">
        <f>商品マスタ[[#This Row],[国内定価
（15％）]]-商品マスタ[[#This Row],[仕入単価+国内送料]]</f>
        <v/>
      </c>
      <c r="Y556" s="139" t="n">
        <v>0.08</v>
      </c>
      <c r="Z556" s="167" t="inlineStr">
        <is>
          <t>1年半</t>
        </is>
      </c>
      <c r="AA556" s="167" t="inlineStr">
        <is>
          <t>冷凍</t>
        </is>
      </c>
      <c r="AB556" s="167" t="inlineStr">
        <is>
          <t>6日</t>
        </is>
      </c>
      <c r="AC556" s="293" t="n"/>
      <c r="AD556" s="167" t="n"/>
      <c r="AE556" s="167" t="n"/>
      <c r="AF556" s="167" t="n"/>
      <c r="AG556" s="144" t="n"/>
    </row>
    <row r="557" ht="18" customHeight="1" s="207">
      <c r="A557" s="166" t="inlineStr">
        <is>
          <t>水産</t>
        </is>
      </c>
      <c r="B557" s="167" t="inlineStr">
        <is>
          <t>水産物</t>
        </is>
      </c>
      <c r="C557" s="167" t="inlineStr">
        <is>
          <t>王子サーモン（株）</t>
        </is>
      </c>
      <c r="D557" s="143">
        <f>"PRD_SNJ_"&amp;
_xlfn.XLOOKUP(商品マスタ[[#This Row],[仕入先]],テーブル1[仕入先名],テーブル1[仕入先コード],"XXX",0,1)&amp;
"_"&amp;
商品マスタ[[#This Row],[シリアル]]&amp;
"_"&amp;
TEXT(COUNTIFS(商品マスタ!$C$3:C557,商品マスタ[[#This Row],[仕入先]],商品マスタ!$E$3:E557,商品マスタ[[#This Row],[商品名]]), "00")</f>
        <v/>
      </c>
      <c r="E557" s="167" t="inlineStr">
        <is>
          <t>タコ温燻製(300g)</t>
        </is>
      </c>
      <c r="F557" s="167">
        <f>IF(COUNTIFS($C$3:C557,商品マスタ[[#This Row],[仕入先]],$E$3:E557,商品マスタ[[#This Row],[商品名]]) = 1, 1,0)</f>
        <v/>
      </c>
      <c r="G557" s="133">
        <f>TEXT(SUMIF($C$3:C557,商品マスタ[[#This Row],[仕入先]],$F$3:F557), "0000")</f>
        <v/>
      </c>
      <c r="H557" s="167" t="inlineStr">
        <is>
          <t>甲</t>
        </is>
      </c>
      <c r="I557" s="167" t="inlineStr">
        <is>
          <t>300g</t>
        </is>
      </c>
      <c r="J557" s="167" t="inlineStr">
        <is>
          <t>20パック</t>
        </is>
      </c>
      <c r="K557" s="167" t="inlineStr">
        <is>
          <t>2合（甲)</t>
        </is>
      </c>
      <c r="L557" s="289" t="n">
        <v>48600</v>
      </c>
      <c r="M557" s="157" t="n">
        <v>46052</v>
      </c>
      <c r="N557" s="289" t="n"/>
      <c r="O557" s="290">
        <f>IF(COUNT(商品マスタ[[#This Row],[参考上代
（税込)]]) &gt; 0, (商品マスタ[[#This Row],[参考上代
（税込)]]-商品マスタ[[#This Row],[国内定価
（15％）]])/(商品マスタ[[#This Row],[参考上代
（税込)]]/1.08), "")</f>
        <v/>
      </c>
      <c r="P557" s="136" t="n">
        <v>0.1</v>
      </c>
      <c r="Q557" s="289">
        <f>商品マスタ[[#This Row],[仕入
単価]]*商品マスタ[[#This Row],[標準国内送料率]]</f>
        <v/>
      </c>
      <c r="R557" s="289" t="n"/>
      <c r="S557" s="289">
        <f>IF(ISBLANK(商品マスタ[[#This Row],[実績
国内送料]]),商品マスタ[[#This Row],[標準国内送料]],)</f>
        <v/>
      </c>
      <c r="T557" s="289">
        <f>商品マスタ[[#This Row],[仕入
単価]]+商品マスタ[[#This Row],[国内送料]]</f>
        <v/>
      </c>
      <c r="U557" s="289">
        <f>ROUNDUP(商品マスタ[[#This Row],[仕入単価+国内送料]]/0.8,-1)</f>
        <v/>
      </c>
      <c r="V557" s="289">
        <f>商品マスタ[[#This Row],[海外定価
（20％）]]-商品マスタ[[#This Row],[仕入単価+国内送料]]</f>
        <v/>
      </c>
      <c r="W557" s="167">
        <f>ROUNDUP(商品マスタ[[#This Row],[仕入単価+国内送料]]/0.85,-1)</f>
        <v/>
      </c>
      <c r="X557" s="289">
        <f>商品マスタ[[#This Row],[国内定価
（15％）]]-商品マスタ[[#This Row],[仕入単価+国内送料]]</f>
        <v/>
      </c>
      <c r="Y557" s="139" t="n">
        <v>0.08</v>
      </c>
      <c r="Z557" s="167" t="inlineStr">
        <is>
          <t>1年半</t>
        </is>
      </c>
      <c r="AA557" s="167" t="inlineStr">
        <is>
          <t>冷凍</t>
        </is>
      </c>
      <c r="AB557" s="167" t="inlineStr">
        <is>
          <t>6日</t>
        </is>
      </c>
      <c r="AC557" s="293" t="n"/>
      <c r="AD557" s="167" t="n"/>
      <c r="AE557" s="167" t="n"/>
      <c r="AF557" s="167" t="n"/>
      <c r="AG557" s="144" t="n"/>
    </row>
    <row r="558" ht="18" customHeight="1" s="207">
      <c r="A558" s="166" t="inlineStr">
        <is>
          <t>水産</t>
        </is>
      </c>
      <c r="B558" s="167" t="inlineStr">
        <is>
          <t>水産物</t>
        </is>
      </c>
      <c r="C558" s="167" t="inlineStr">
        <is>
          <t>王子サーモン（株）</t>
        </is>
      </c>
      <c r="D558" s="143">
        <f>"PRD_SNJ_"&amp;
_xlfn.XLOOKUP(商品マスタ[[#This Row],[仕入先]],テーブル1[仕入先名],テーブル1[仕入先コード],"XXX",0,1)&amp;
"_"&amp;
商品マスタ[[#This Row],[シリアル]]&amp;
"_"&amp;
TEXT(COUNTIFS(商品マスタ!$C$3:C558,商品マスタ[[#This Row],[仕入先]],商品マスタ!$E$3:E558,商品マスタ[[#This Row],[商品名]]), "00")</f>
        <v/>
      </c>
      <c r="E558" s="167" t="inlineStr">
        <is>
          <t>燻製ムール貝(200g)</t>
        </is>
      </c>
      <c r="F558" s="167">
        <f>IF(COUNTIFS($C$3:C558,商品マスタ[[#This Row],[仕入先]],$E$3:E558,商品マスタ[[#This Row],[商品名]]) = 1, 1,0)</f>
        <v/>
      </c>
      <c r="G558" s="133">
        <f>TEXT(SUMIF($C$3:C558,商品マスタ[[#This Row],[仕入先]],$F$3:F558), "0000")</f>
        <v/>
      </c>
      <c r="H558" s="167" t="inlineStr">
        <is>
          <t>甲</t>
        </is>
      </c>
      <c r="I558" s="167" t="inlineStr">
        <is>
          <t>200g</t>
        </is>
      </c>
      <c r="J558" s="167" t="inlineStr">
        <is>
          <t>20パック</t>
        </is>
      </c>
      <c r="K558" s="167" t="inlineStr">
        <is>
          <t>2合（甲)</t>
        </is>
      </c>
      <c r="L558" s="289" t="n">
        <v>29760</v>
      </c>
      <c r="M558" s="157" t="n">
        <v>46052</v>
      </c>
      <c r="N558" s="289" t="n"/>
      <c r="O558" s="290">
        <f>IF(COUNT(商品マスタ[[#This Row],[参考上代
（税込)]]) &gt; 0, (商品マスタ[[#This Row],[参考上代
（税込)]]-商品マスタ[[#This Row],[国内定価
（15％）]])/(商品マスタ[[#This Row],[参考上代
（税込)]]/1.08), "")</f>
        <v/>
      </c>
      <c r="P558" s="136" t="n">
        <v>0.1</v>
      </c>
      <c r="Q558" s="289">
        <f>商品マスタ[[#This Row],[仕入
単価]]*商品マスタ[[#This Row],[標準国内送料率]]</f>
        <v/>
      </c>
      <c r="R558" s="289" t="n"/>
      <c r="S558" s="289">
        <f>IF(ISBLANK(商品マスタ[[#This Row],[実績
国内送料]]),商品マスタ[[#This Row],[標準国内送料]],)</f>
        <v/>
      </c>
      <c r="T558" s="289">
        <f>商品マスタ[[#This Row],[仕入
単価]]+商品マスタ[[#This Row],[国内送料]]</f>
        <v/>
      </c>
      <c r="U558" s="289">
        <f>ROUNDUP(商品マスタ[[#This Row],[仕入単価+国内送料]]/0.8,-1)</f>
        <v/>
      </c>
      <c r="V558" s="289">
        <f>商品マスタ[[#This Row],[海外定価
（20％）]]-商品マスタ[[#This Row],[仕入単価+国内送料]]</f>
        <v/>
      </c>
      <c r="W558" s="167">
        <f>ROUNDUP(商品マスタ[[#This Row],[仕入単価+国内送料]]/0.85,-1)</f>
        <v/>
      </c>
      <c r="X558" s="289">
        <f>商品マスタ[[#This Row],[国内定価
（15％）]]-商品マスタ[[#This Row],[仕入単価+国内送料]]</f>
        <v/>
      </c>
      <c r="Y558" s="139" t="n">
        <v>0.08</v>
      </c>
      <c r="Z558" s="167" t="inlineStr">
        <is>
          <t>1年半</t>
        </is>
      </c>
      <c r="AA558" s="167" t="inlineStr">
        <is>
          <t>冷凍</t>
        </is>
      </c>
      <c r="AB558" s="167" t="inlineStr">
        <is>
          <t>6日</t>
        </is>
      </c>
      <c r="AC558" s="293" t="n"/>
      <c r="AD558" s="167" t="n"/>
      <c r="AE558" s="167" t="n"/>
      <c r="AF558" s="167" t="n"/>
      <c r="AG558" s="144" t="n"/>
    </row>
    <row r="559" ht="18" customHeight="1" s="207">
      <c r="A559" s="166" t="inlineStr">
        <is>
          <t>水産</t>
        </is>
      </c>
      <c r="B559" s="167" t="inlineStr">
        <is>
          <t>水産物</t>
        </is>
      </c>
      <c r="C559" s="167" t="inlineStr">
        <is>
          <t>王子サーモン（株）</t>
        </is>
      </c>
      <c r="D559" s="143">
        <f>"PRD_SNJ_"&amp;
_xlfn.XLOOKUP(商品マスタ[[#This Row],[仕入先]],テーブル1[仕入先名],テーブル1[仕入先コード],"XXX",0,1)&amp;
"_"&amp;
商品マスタ[[#This Row],[シリアル]]&amp;
"_"&amp;
TEXT(COUNTIFS(商品マスタ!$C$3:C559,商品マスタ[[#This Row],[仕入先]],商品マスタ!$E$3:E559,商品マスタ[[#This Row],[商品名]]), "00")</f>
        <v/>
      </c>
      <c r="E559" s="167" t="inlineStr">
        <is>
          <t>北海道とろニシンスモーク(200g)</t>
        </is>
      </c>
      <c r="F559" s="167">
        <f>IF(COUNTIFS($C$3:C559,商品マスタ[[#This Row],[仕入先]],$E$3:E559,商品マスタ[[#This Row],[商品名]]) = 1, 1,0)</f>
        <v/>
      </c>
      <c r="G559" s="133">
        <f>TEXT(SUMIF($C$3:C559,商品マスタ[[#This Row],[仕入先]],$F$3:F559), "0000")</f>
        <v/>
      </c>
      <c r="H559" s="167" t="inlineStr">
        <is>
          <t>甲</t>
        </is>
      </c>
      <c r="I559" s="167" t="inlineStr">
        <is>
          <t>200g</t>
        </is>
      </c>
      <c r="J559" s="167" t="inlineStr">
        <is>
          <t>20パック</t>
        </is>
      </c>
      <c r="K559" s="167" t="inlineStr">
        <is>
          <t>2合（甲)</t>
        </is>
      </c>
      <c r="L559" s="289" t="n">
        <v>29760</v>
      </c>
      <c r="M559" s="157" t="n">
        <v>46052</v>
      </c>
      <c r="N559" s="289" t="n"/>
      <c r="O559" s="290">
        <f>IF(COUNT(商品マスタ[[#This Row],[参考上代
（税込)]]) &gt; 0, (商品マスタ[[#This Row],[参考上代
（税込)]]-商品マスタ[[#This Row],[国内定価
（15％）]])/(商品マスタ[[#This Row],[参考上代
（税込)]]/1.08), "")</f>
        <v/>
      </c>
      <c r="P559" s="136" t="n">
        <v>0.1</v>
      </c>
      <c r="Q559" s="289">
        <f>商品マスタ[[#This Row],[仕入
単価]]*商品マスタ[[#This Row],[標準国内送料率]]</f>
        <v/>
      </c>
      <c r="R559" s="289" t="n"/>
      <c r="S559" s="289">
        <f>IF(ISBLANK(商品マスタ[[#This Row],[実績
国内送料]]),商品マスタ[[#This Row],[標準国内送料]],)</f>
        <v/>
      </c>
      <c r="T559" s="289">
        <f>商品マスタ[[#This Row],[仕入
単価]]+商品マスタ[[#This Row],[国内送料]]</f>
        <v/>
      </c>
      <c r="U559" s="289">
        <f>ROUNDUP(商品マスタ[[#This Row],[仕入単価+国内送料]]/0.8,-1)</f>
        <v/>
      </c>
      <c r="V559" s="289">
        <f>商品マスタ[[#This Row],[海外定価
（20％）]]-商品マスタ[[#This Row],[仕入単価+国内送料]]</f>
        <v/>
      </c>
      <c r="W559" s="167">
        <f>ROUNDUP(商品マスタ[[#This Row],[仕入単価+国内送料]]/0.85,-1)</f>
        <v/>
      </c>
      <c r="X559" s="289">
        <f>商品マスタ[[#This Row],[国内定価
（15％）]]-商品マスタ[[#This Row],[仕入単価+国内送料]]</f>
        <v/>
      </c>
      <c r="Y559" s="139" t="n">
        <v>0.08</v>
      </c>
      <c r="Z559" s="167" t="inlineStr">
        <is>
          <t>1年半</t>
        </is>
      </c>
      <c r="AA559" s="167" t="inlineStr">
        <is>
          <t>冷凍</t>
        </is>
      </c>
      <c r="AB559" s="167" t="inlineStr">
        <is>
          <t>6日</t>
        </is>
      </c>
      <c r="AC559" s="293" t="n"/>
      <c r="AD559" s="167" t="n"/>
      <c r="AE559" s="167" t="n"/>
      <c r="AF559" s="167" t="n"/>
      <c r="AG559" s="144" t="n"/>
    </row>
    <row r="560" ht="18" customHeight="1" s="207">
      <c r="A560" s="166" t="inlineStr">
        <is>
          <t>チーズ</t>
        </is>
      </c>
      <c r="B560" s="167" t="inlineStr">
        <is>
          <t>チーズ</t>
        </is>
      </c>
      <c r="C560" s="167" t="inlineStr">
        <is>
          <t>(有)十勝しんむら牧場</t>
        </is>
      </c>
      <c r="D560" s="143">
        <f>"PRD_SNJ_"&amp;
_xlfn.XLOOKUP(商品マスタ[[#This Row],[仕入先]],テーブル1[仕入先名],テーブル1[仕入先コード],"XXX",0,1)&amp;
"_"&amp;
商品マスタ[[#This Row],[シリアル]]&amp;
"_"&amp;
TEXT(COUNTIFS(商品マスタ!$C$3:C560,商品マスタ[[#This Row],[仕入先]],商品マスタ!$E$3:E560,商品マスタ[[#This Row],[商品名]]), "00")</f>
        <v/>
      </c>
      <c r="E560" s="167" t="inlineStr">
        <is>
          <t>ミルクジャムプレーン</t>
        </is>
      </c>
      <c r="F560" s="167">
        <f>IF(COUNTIFS($C$3:C560,商品マスタ[[#This Row],[仕入先]],$E$3:E560,商品マスタ[[#This Row],[商品名]]) = 1, 1,0)</f>
        <v/>
      </c>
      <c r="G560" s="133">
        <f>TEXT(SUMIF($C$3:C560,商品マスタ[[#This Row],[仕入先]],$F$3:F560), "0000")</f>
        <v/>
      </c>
      <c r="H560" s="167" t="inlineStr">
        <is>
          <t>ケース</t>
        </is>
      </c>
      <c r="I560" s="167" t="inlineStr">
        <is>
          <t>140ｇ</t>
        </is>
      </c>
      <c r="J560" s="167" t="inlineStr">
        <is>
          <t>24個</t>
        </is>
      </c>
      <c r="K560" s="167" t="inlineStr">
        <is>
          <t>ケース</t>
        </is>
      </c>
      <c r="L560" s="289" t="n">
        <v>15120</v>
      </c>
      <c r="M560" s="157" t="n">
        <v>46052</v>
      </c>
      <c r="N560" s="289" t="n">
        <v>20000</v>
      </c>
      <c r="O560" s="290">
        <f>IF(COUNT(商品マスタ[[#This Row],[参考上代
（税込)]]) &gt; 0, (商品マスタ[[#This Row],[参考上代
（税込)]]-商品マスタ[[#This Row],[国内定価
（15％）]])/(商品マスタ[[#This Row],[参考上代
（税込)]]/1.08), "")</f>
        <v/>
      </c>
      <c r="P560" s="136" t="n">
        <v>0.1</v>
      </c>
      <c r="Q560" s="289">
        <f>商品マスタ[[#This Row],[仕入
単価]]*商品マスタ[[#This Row],[標準国内送料率]]</f>
        <v/>
      </c>
      <c r="R560" s="289" t="n"/>
      <c r="S560" s="289">
        <f>IF(ISBLANK(商品マスタ[[#This Row],[実績
国内送料]]),商品マスタ[[#This Row],[標準国内送料]],)</f>
        <v/>
      </c>
      <c r="T560" s="289">
        <f>商品マスタ[[#This Row],[仕入
単価]]+商品マスタ[[#This Row],[国内送料]]</f>
        <v/>
      </c>
      <c r="U560" s="289">
        <f>ROUNDUP(商品マスタ[[#This Row],[仕入単価+国内送料]]/0.8,-1)</f>
        <v/>
      </c>
      <c r="V560" s="289">
        <f>商品マスタ[[#This Row],[海外定価
（20％）]]-商品マスタ[[#This Row],[仕入単価+国内送料]]</f>
        <v/>
      </c>
      <c r="W560" s="167">
        <f>ROUNDUP(商品マスタ[[#This Row],[仕入単価+国内送料]]/0.85,-1)</f>
        <v/>
      </c>
      <c r="X560" s="289">
        <f>商品マスタ[[#This Row],[国内定価
（15％）]]-商品マスタ[[#This Row],[仕入単価+国内送料]]</f>
        <v/>
      </c>
      <c r="Y560" s="139" t="n">
        <v>0.08</v>
      </c>
      <c r="Z560" s="167" t="inlineStr">
        <is>
          <t>90日</t>
        </is>
      </c>
      <c r="AA560" s="167" t="inlineStr">
        <is>
          <t>常温</t>
        </is>
      </c>
      <c r="AB560" s="167" t="inlineStr">
        <is>
          <t>7日</t>
        </is>
      </c>
      <c r="AC560" s="293" t="n">
        <v>4541290200030</v>
      </c>
      <c r="AD560" s="167" t="n"/>
      <c r="AE560" s="167" t="n"/>
      <c r="AF560" s="167" t="n"/>
      <c r="AG560" s="144" t="inlineStr">
        <is>
          <t>2ケース以上送料無料混載可</t>
        </is>
      </c>
    </row>
    <row r="561" ht="18" customHeight="1" s="207">
      <c r="A561" s="166" t="inlineStr">
        <is>
          <t>チーズ</t>
        </is>
      </c>
      <c r="B561" s="167" t="inlineStr">
        <is>
          <t>チーズ</t>
        </is>
      </c>
      <c r="C561" s="167" t="inlineStr">
        <is>
          <t>(有)十勝しんむら牧場</t>
        </is>
      </c>
      <c r="D561" s="143">
        <f>"PRD_SNJ_"&amp;
_xlfn.XLOOKUP(商品マスタ[[#This Row],[仕入先]],テーブル1[仕入先名],テーブル1[仕入先コード],"XXX",0,1)&amp;
"_"&amp;
商品マスタ[[#This Row],[シリアル]]&amp;
"_"&amp;
TEXT(COUNTIFS(商品マスタ!$C$3:C561,商品マスタ[[#This Row],[仕入先]],商品マスタ!$E$3:E561,商品マスタ[[#This Row],[商品名]]), "00")</f>
        <v/>
      </c>
      <c r="E561" s="167" t="inlineStr">
        <is>
          <t xml:space="preserve">ミルクジャムバニラ
</t>
        </is>
      </c>
      <c r="F561" s="167">
        <f>IF(COUNTIFS($C$3:C561,商品マスタ[[#This Row],[仕入先]],$E$3:E561,商品マスタ[[#This Row],[商品名]]) = 1, 1,0)</f>
        <v/>
      </c>
      <c r="G561" s="133">
        <f>TEXT(SUMIF($C$3:C561,商品マスタ[[#This Row],[仕入先]],$F$3:F561), "0000")</f>
        <v/>
      </c>
      <c r="H561" s="167" t="inlineStr">
        <is>
          <t>ケース</t>
        </is>
      </c>
      <c r="I561" s="167" t="inlineStr">
        <is>
          <t>140ｇ</t>
        </is>
      </c>
      <c r="J561" s="167" t="inlineStr">
        <is>
          <t>24個</t>
        </is>
      </c>
      <c r="K561" s="167" t="inlineStr">
        <is>
          <t>ケース</t>
        </is>
      </c>
      <c r="L561" s="289" t="n">
        <v>15120</v>
      </c>
      <c r="M561" s="157" t="n">
        <v>46052</v>
      </c>
      <c r="N561" s="289" t="n">
        <v>20000</v>
      </c>
      <c r="O561" s="290">
        <f>IF(COUNT(商品マスタ[[#This Row],[参考上代
（税込)]]) &gt; 0, (商品マスタ[[#This Row],[参考上代
（税込)]]-商品マスタ[[#This Row],[国内定価
（15％）]])/(商品マスタ[[#This Row],[参考上代
（税込)]]/1.08), "")</f>
        <v/>
      </c>
      <c r="P561" s="136" t="n">
        <v>0.1</v>
      </c>
      <c r="Q561" s="289">
        <f>商品マスタ[[#This Row],[仕入
単価]]*商品マスタ[[#This Row],[標準国内送料率]]</f>
        <v/>
      </c>
      <c r="R561" s="289" t="n"/>
      <c r="S561" s="289">
        <f>IF(ISBLANK(商品マスタ[[#This Row],[実績
国内送料]]),商品マスタ[[#This Row],[標準国内送料]],)</f>
        <v/>
      </c>
      <c r="T561" s="289">
        <f>商品マスタ[[#This Row],[仕入
単価]]+商品マスタ[[#This Row],[国内送料]]</f>
        <v/>
      </c>
      <c r="U561" s="289">
        <f>ROUNDUP(商品マスタ[[#This Row],[仕入単価+国内送料]]/0.8,-1)</f>
        <v/>
      </c>
      <c r="V561" s="289">
        <f>商品マスタ[[#This Row],[海外定価
（20％）]]-商品マスタ[[#This Row],[仕入単価+国内送料]]</f>
        <v/>
      </c>
      <c r="W561" s="167">
        <f>ROUNDUP(商品マスタ[[#This Row],[仕入単価+国内送料]]/0.85,-1)</f>
        <v/>
      </c>
      <c r="X561" s="289">
        <f>商品マスタ[[#This Row],[国内定価
（15％）]]-商品マスタ[[#This Row],[仕入単価+国内送料]]</f>
        <v/>
      </c>
      <c r="Y561" s="139" t="n">
        <v>0.08</v>
      </c>
      <c r="Z561" s="167" t="inlineStr">
        <is>
          <t>90日</t>
        </is>
      </c>
      <c r="AA561" s="167" t="inlineStr">
        <is>
          <t>常温</t>
        </is>
      </c>
      <c r="AB561" s="167" t="inlineStr">
        <is>
          <t>7日</t>
        </is>
      </c>
      <c r="AC561" s="293" t="n">
        <v>4541290200047</v>
      </c>
      <c r="AD561" s="167" t="n"/>
      <c r="AE561" s="167" t="n"/>
      <c r="AF561" s="167" t="n"/>
      <c r="AG561" s="144" t="inlineStr">
        <is>
          <t>2ケース以上送料無料混載可</t>
        </is>
      </c>
    </row>
    <row r="562" ht="18" customHeight="1" s="207">
      <c r="A562" s="166" t="inlineStr">
        <is>
          <t>チーズ</t>
        </is>
      </c>
      <c r="B562" s="167" t="inlineStr">
        <is>
          <t>チーズ</t>
        </is>
      </c>
      <c r="C562" s="167" t="inlineStr">
        <is>
          <t>(有)十勝しんむら牧場</t>
        </is>
      </c>
      <c r="D562" s="143">
        <f>"PRD_SNJ_"&amp;
_xlfn.XLOOKUP(商品マスタ[[#This Row],[仕入先]],テーブル1[仕入先名],テーブル1[仕入先コード],"XXX",0,1)&amp;
"_"&amp;
商品マスタ[[#This Row],[シリアル]]&amp;
"_"&amp;
TEXT(COUNTIFS(商品マスタ!$C$3:C562,商品マスタ[[#This Row],[仕入先]],商品マスタ!$E$3:E562,商品マスタ[[#This Row],[商品名]]), "00")</f>
        <v/>
      </c>
      <c r="E562" s="167" t="inlineStr">
        <is>
          <t xml:space="preserve">ミルクジャムシナモン
</t>
        </is>
      </c>
      <c r="F562" s="167">
        <f>IF(COUNTIFS($C$3:C562,商品マスタ[[#This Row],[仕入先]],$E$3:E562,商品マスタ[[#This Row],[商品名]]) = 1, 1,0)</f>
        <v/>
      </c>
      <c r="G562" s="133">
        <f>TEXT(SUMIF($C$3:C562,商品マスタ[[#This Row],[仕入先]],$F$3:F562), "0000")</f>
        <v/>
      </c>
      <c r="H562" s="167" t="inlineStr">
        <is>
          <t>ケース</t>
        </is>
      </c>
      <c r="I562" s="167" t="inlineStr">
        <is>
          <t>140ｇ</t>
        </is>
      </c>
      <c r="J562" s="167" t="inlineStr">
        <is>
          <t>24個</t>
        </is>
      </c>
      <c r="K562" s="167" t="inlineStr">
        <is>
          <t>ケース</t>
        </is>
      </c>
      <c r="L562" s="289" t="n">
        <v>15120</v>
      </c>
      <c r="M562" s="157" t="n">
        <v>46052</v>
      </c>
      <c r="N562" s="289" t="n">
        <v>20000</v>
      </c>
      <c r="O562" s="290">
        <f>IF(COUNT(商品マスタ[[#This Row],[参考上代
（税込)]]) &gt; 0, (商品マスタ[[#This Row],[参考上代
（税込)]]-商品マスタ[[#This Row],[国内定価
（15％）]])/(商品マスタ[[#This Row],[参考上代
（税込)]]/1.08), "")</f>
        <v/>
      </c>
      <c r="P562" s="136" t="n">
        <v>0.1</v>
      </c>
      <c r="Q562" s="289">
        <f>商品マスタ[[#This Row],[仕入
単価]]*商品マスタ[[#This Row],[標準国内送料率]]</f>
        <v/>
      </c>
      <c r="R562" s="289" t="n"/>
      <c r="S562" s="289">
        <f>IF(ISBLANK(商品マスタ[[#This Row],[実績
国内送料]]),商品マスタ[[#This Row],[標準国内送料]],)</f>
        <v/>
      </c>
      <c r="T562" s="289">
        <f>商品マスタ[[#This Row],[仕入
単価]]+商品マスタ[[#This Row],[国内送料]]</f>
        <v/>
      </c>
      <c r="U562" s="289">
        <f>ROUNDUP(商品マスタ[[#This Row],[仕入単価+国内送料]]/0.8,-1)</f>
        <v/>
      </c>
      <c r="V562" s="289">
        <f>商品マスタ[[#This Row],[海外定価
（20％）]]-商品マスタ[[#This Row],[仕入単価+国内送料]]</f>
        <v/>
      </c>
      <c r="W562" s="167">
        <f>ROUNDUP(商品マスタ[[#This Row],[仕入単価+国内送料]]/0.85,-1)</f>
        <v/>
      </c>
      <c r="X562" s="289">
        <f>商品マスタ[[#This Row],[国内定価
（15％）]]-商品マスタ[[#This Row],[仕入単価+国内送料]]</f>
        <v/>
      </c>
      <c r="Y562" s="139" t="n">
        <v>0.08</v>
      </c>
      <c r="Z562" s="167" t="inlineStr">
        <is>
          <t>90日</t>
        </is>
      </c>
      <c r="AA562" s="167" t="inlineStr">
        <is>
          <t>常温</t>
        </is>
      </c>
      <c r="AB562" s="167" t="inlineStr">
        <is>
          <t>7日</t>
        </is>
      </c>
      <c r="AC562" s="293" t="n">
        <v>4541290200061</v>
      </c>
      <c r="AD562" s="167" t="n"/>
      <c r="AE562" s="167" t="n"/>
      <c r="AF562" s="167" t="n"/>
      <c r="AG562" s="144" t="inlineStr">
        <is>
          <t>2ケース以上送料無料混載可</t>
        </is>
      </c>
    </row>
    <row r="563" ht="18" customHeight="1" s="207">
      <c r="A563" s="166" t="inlineStr">
        <is>
          <t>飲料アルコール</t>
        </is>
      </c>
      <c r="B563" s="167" t="inlineStr">
        <is>
          <t>茶</t>
        </is>
      </c>
      <c r="C563" s="167" t="inlineStr">
        <is>
          <t>(有)十勝しんむら牧場</t>
        </is>
      </c>
      <c r="D563" s="143">
        <f>"PRD_SNJ_"&amp;
_xlfn.XLOOKUP(商品マスタ[[#This Row],[仕入先]],テーブル1[仕入先名],テーブル1[仕入先コード],"XXX",0,1)&amp;
"_"&amp;
商品マスタ[[#This Row],[シリアル]]&amp;
"_"&amp;
TEXT(COUNTIFS(商品マスタ!$C$3:C563,商品マスタ[[#This Row],[仕入先]],商品マスタ!$E$3:E563,商品マスタ[[#This Row],[商品名]]), "00")</f>
        <v/>
      </c>
      <c r="E563" s="167" t="inlineStr">
        <is>
          <t xml:space="preserve">ミルクジャムジャワティー
</t>
        </is>
      </c>
      <c r="F563" s="167">
        <f>IF(COUNTIFS($C$3:C563,商品マスタ[[#This Row],[仕入先]],$E$3:E563,商品マスタ[[#This Row],[商品名]]) = 1, 1,0)</f>
        <v/>
      </c>
      <c r="G563" s="133">
        <f>TEXT(SUMIF($C$3:C563,商品マスタ[[#This Row],[仕入先]],$F$3:F563), "0000")</f>
        <v/>
      </c>
      <c r="H563" s="167" t="inlineStr">
        <is>
          <t>ケース</t>
        </is>
      </c>
      <c r="I563" s="167" t="inlineStr">
        <is>
          <t>140ｇ</t>
        </is>
      </c>
      <c r="J563" s="167" t="inlineStr">
        <is>
          <t>24個</t>
        </is>
      </c>
      <c r="K563" s="167" t="inlineStr">
        <is>
          <t>ケース</t>
        </is>
      </c>
      <c r="L563" s="289" t="n">
        <v>15120</v>
      </c>
      <c r="M563" s="157" t="n">
        <v>46052</v>
      </c>
      <c r="N563" s="289" t="n">
        <v>20000</v>
      </c>
      <c r="O563" s="290">
        <f>IF(COUNT(商品マスタ[[#This Row],[参考上代
（税込)]]) &gt; 0, (商品マスタ[[#This Row],[参考上代
（税込)]]-商品マスタ[[#This Row],[国内定価
（15％）]])/(商品マスタ[[#This Row],[参考上代
（税込)]]/1.08), "")</f>
        <v/>
      </c>
      <c r="P563" s="136" t="n">
        <v>0.1</v>
      </c>
      <c r="Q563" s="289">
        <f>商品マスタ[[#This Row],[仕入
単価]]*商品マスタ[[#This Row],[標準国内送料率]]</f>
        <v/>
      </c>
      <c r="R563" s="289" t="n"/>
      <c r="S563" s="289">
        <f>IF(ISBLANK(商品マスタ[[#This Row],[実績
国内送料]]),商品マスタ[[#This Row],[標準国内送料]],)</f>
        <v/>
      </c>
      <c r="T563" s="289">
        <f>商品マスタ[[#This Row],[仕入
単価]]+商品マスタ[[#This Row],[国内送料]]</f>
        <v/>
      </c>
      <c r="U563" s="289">
        <f>ROUNDUP(商品マスタ[[#This Row],[仕入単価+国内送料]]/0.8,-1)</f>
        <v/>
      </c>
      <c r="V563" s="289">
        <f>商品マスタ[[#This Row],[海外定価
（20％）]]-商品マスタ[[#This Row],[仕入単価+国内送料]]</f>
        <v/>
      </c>
      <c r="W563" s="167">
        <f>ROUNDUP(商品マスタ[[#This Row],[仕入単価+国内送料]]/0.85,-1)</f>
        <v/>
      </c>
      <c r="X563" s="289">
        <f>商品マスタ[[#This Row],[国内定価
（15％）]]-商品マスタ[[#This Row],[仕入単価+国内送料]]</f>
        <v/>
      </c>
      <c r="Y563" s="139" t="n">
        <v>0.08</v>
      </c>
      <c r="Z563" s="167" t="inlineStr">
        <is>
          <t>90日</t>
        </is>
      </c>
      <c r="AA563" s="167" t="inlineStr">
        <is>
          <t>常温</t>
        </is>
      </c>
      <c r="AB563" s="167" t="inlineStr">
        <is>
          <t>7日</t>
        </is>
      </c>
      <c r="AC563" s="293" t="n">
        <v>4541290200153</v>
      </c>
      <c r="AD563" s="167" t="n"/>
      <c r="AE563" s="167" t="n"/>
      <c r="AF563" s="167" t="n"/>
      <c r="AG563" s="144" t="inlineStr">
        <is>
          <t>2ケース以上送料無料混載可</t>
        </is>
      </c>
    </row>
    <row r="564" ht="18" customHeight="1" s="207">
      <c r="A564" s="166" t="inlineStr">
        <is>
          <t>チーズ</t>
        </is>
      </c>
      <c r="B564" s="167" t="inlineStr">
        <is>
          <t>チーズ</t>
        </is>
      </c>
      <c r="C564" s="167" t="inlineStr">
        <is>
          <t>(有)十勝しんむら牧場</t>
        </is>
      </c>
      <c r="D564" s="143">
        <f>"PRD_SNJ_"&amp;
_xlfn.XLOOKUP(商品マスタ[[#This Row],[仕入先]],テーブル1[仕入先名],テーブル1[仕入先コード],"XXX",0,1)&amp;
"_"&amp;
商品マスタ[[#This Row],[シリアル]]&amp;
"_"&amp;
TEXT(COUNTIFS(商品マスタ!$C$3:C564,商品マスタ[[#This Row],[仕入先]],商品マスタ!$E$3:E564,商品マスタ[[#This Row],[商品名]]), "00")</f>
        <v/>
      </c>
      <c r="E564" s="167" t="inlineStr">
        <is>
          <t>ミルクジャムモカ</t>
        </is>
      </c>
      <c r="F564" s="167">
        <f>IF(COUNTIFS($C$3:C564,商品マスタ[[#This Row],[仕入先]],$E$3:E564,商品マスタ[[#This Row],[商品名]]) = 1, 1,0)</f>
        <v/>
      </c>
      <c r="G564" s="133">
        <f>TEXT(SUMIF($C$3:C564,商品マスタ[[#This Row],[仕入先]],$F$3:F564), "0000")</f>
        <v/>
      </c>
      <c r="H564" s="167" t="inlineStr">
        <is>
          <t>ケース</t>
        </is>
      </c>
      <c r="I564" s="167" t="inlineStr">
        <is>
          <t>140ｇ</t>
        </is>
      </c>
      <c r="J564" s="167" t="inlineStr">
        <is>
          <t>24個</t>
        </is>
      </c>
      <c r="K564" s="167" t="inlineStr">
        <is>
          <t>ケース</t>
        </is>
      </c>
      <c r="L564" s="289" t="n">
        <v>15120</v>
      </c>
      <c r="M564" s="157" t="n">
        <v>46052</v>
      </c>
      <c r="N564" s="289" t="n">
        <v>20000</v>
      </c>
      <c r="O564" s="290">
        <f>IF(COUNT(商品マスタ[[#This Row],[参考上代
（税込)]]) &gt; 0, (商品マスタ[[#This Row],[参考上代
（税込)]]-商品マスタ[[#This Row],[国内定価
（15％）]])/(商品マスタ[[#This Row],[参考上代
（税込)]]/1.08), "")</f>
        <v/>
      </c>
      <c r="P564" s="136" t="n">
        <v>0.1</v>
      </c>
      <c r="Q564" s="289">
        <f>商品マスタ[[#This Row],[仕入
単価]]*商品マスタ[[#This Row],[標準国内送料率]]</f>
        <v/>
      </c>
      <c r="R564" s="289" t="n"/>
      <c r="S564" s="289">
        <f>IF(ISBLANK(商品マスタ[[#This Row],[実績
国内送料]]),商品マスタ[[#This Row],[標準国内送料]],)</f>
        <v/>
      </c>
      <c r="T564" s="289">
        <f>商品マスタ[[#This Row],[仕入
単価]]+商品マスタ[[#This Row],[国内送料]]</f>
        <v/>
      </c>
      <c r="U564" s="289">
        <f>ROUNDUP(商品マスタ[[#This Row],[仕入単価+国内送料]]/0.8,-1)</f>
        <v/>
      </c>
      <c r="V564" s="289">
        <f>商品マスタ[[#This Row],[海外定価
（20％）]]-商品マスタ[[#This Row],[仕入単価+国内送料]]</f>
        <v/>
      </c>
      <c r="W564" s="167">
        <f>ROUNDUP(商品マスタ[[#This Row],[仕入単価+国内送料]]/0.85,-1)</f>
        <v/>
      </c>
      <c r="X564" s="289">
        <f>商品マスタ[[#This Row],[国内定価
（15％）]]-商品マスタ[[#This Row],[仕入単価+国内送料]]</f>
        <v/>
      </c>
      <c r="Y564" s="139" t="n">
        <v>0.08</v>
      </c>
      <c r="Z564" s="167" t="inlineStr">
        <is>
          <t>90日</t>
        </is>
      </c>
      <c r="AA564" s="167" t="inlineStr">
        <is>
          <t>常温</t>
        </is>
      </c>
      <c r="AB564" s="167" t="inlineStr">
        <is>
          <t>7日</t>
        </is>
      </c>
      <c r="AC564" s="293" t="n">
        <v>4541290200160</v>
      </c>
      <c r="AD564" s="167" t="n"/>
      <c r="AE564" s="167" t="n"/>
      <c r="AF564" s="167" t="n"/>
      <c r="AG564" s="144" t="inlineStr">
        <is>
          <t>2ケース以上送料無料混載可</t>
        </is>
      </c>
    </row>
    <row r="565" ht="18" customHeight="1" s="207">
      <c r="A565" s="166" t="inlineStr">
        <is>
          <t>チーズ</t>
        </is>
      </c>
      <c r="B565" s="167" t="inlineStr">
        <is>
          <t>チーズ</t>
        </is>
      </c>
      <c r="C565" s="167" t="inlineStr">
        <is>
          <t>(有)十勝しんむら牧場</t>
        </is>
      </c>
      <c r="D565" s="143">
        <f>"PRD_SNJ_"&amp;
_xlfn.XLOOKUP(商品マスタ[[#This Row],[仕入先]],テーブル1[仕入先名],テーブル1[仕入先コード],"XXX",0,1)&amp;
"_"&amp;
商品マスタ[[#This Row],[シリアル]]&amp;
"_"&amp;
TEXT(COUNTIFS(商品マスタ!$C$3:C565,商品マスタ[[#This Row],[仕入先]],商品マスタ!$E$3:E565,商品マスタ[[#This Row],[商品名]]), "00")</f>
        <v/>
      </c>
      <c r="E565" s="167" t="inlineStr">
        <is>
          <t>ミルクジャムラムレーズン</t>
        </is>
      </c>
      <c r="F565" s="167">
        <f>IF(COUNTIFS($C$3:C565,商品マスタ[[#This Row],[仕入先]],$E$3:E565,商品マスタ[[#This Row],[商品名]]) = 1, 1,0)</f>
        <v/>
      </c>
      <c r="G565" s="133">
        <f>TEXT(SUMIF($C$3:C565,商品マスタ[[#This Row],[仕入先]],$F$3:F565), "0000")</f>
        <v/>
      </c>
      <c r="H565" s="167" t="inlineStr">
        <is>
          <t>ケース</t>
        </is>
      </c>
      <c r="I565" s="167" t="inlineStr">
        <is>
          <t>140ｇ</t>
        </is>
      </c>
      <c r="J565" s="167" t="inlineStr">
        <is>
          <t>24個</t>
        </is>
      </c>
      <c r="K565" s="167" t="inlineStr">
        <is>
          <t>ケース</t>
        </is>
      </c>
      <c r="L565" s="289" t="n">
        <v>15960</v>
      </c>
      <c r="M565" s="157" t="n">
        <v>46052</v>
      </c>
      <c r="N565" s="289" t="n">
        <v>21111.11</v>
      </c>
      <c r="O565" s="290">
        <f>IF(COUNT(商品マスタ[[#This Row],[参考上代
（税込)]]) &gt; 0, (商品マスタ[[#This Row],[参考上代
（税込)]]-商品マスタ[[#This Row],[国内定価
（15％）]])/(商品マスタ[[#This Row],[参考上代
（税込)]]/1.08), "")</f>
        <v/>
      </c>
      <c r="P565" s="136" t="n">
        <v>0.1</v>
      </c>
      <c r="Q565" s="289">
        <f>商品マスタ[[#This Row],[仕入
単価]]*商品マスタ[[#This Row],[標準国内送料率]]</f>
        <v/>
      </c>
      <c r="R565" s="289" t="n"/>
      <c r="S565" s="289">
        <f>IF(ISBLANK(商品マスタ[[#This Row],[実績
国内送料]]),商品マスタ[[#This Row],[標準国内送料]],)</f>
        <v/>
      </c>
      <c r="T565" s="289">
        <f>商品マスタ[[#This Row],[仕入
単価]]+商品マスタ[[#This Row],[国内送料]]</f>
        <v/>
      </c>
      <c r="U565" s="289">
        <f>ROUNDUP(商品マスタ[[#This Row],[仕入単価+国内送料]]/0.8,-1)</f>
        <v/>
      </c>
      <c r="V565" s="289">
        <f>商品マスタ[[#This Row],[海外定価
（20％）]]-商品マスタ[[#This Row],[仕入単価+国内送料]]</f>
        <v/>
      </c>
      <c r="W565" s="167">
        <f>ROUNDUP(商品マスタ[[#This Row],[仕入単価+国内送料]]/0.85,-1)</f>
        <v/>
      </c>
      <c r="X565" s="289">
        <f>商品マスタ[[#This Row],[国内定価
（15％）]]-商品マスタ[[#This Row],[仕入単価+国内送料]]</f>
        <v/>
      </c>
      <c r="Y565" s="139" t="n">
        <v>0.08</v>
      </c>
      <c r="Z565" s="167" t="inlineStr">
        <is>
          <t>90日</t>
        </is>
      </c>
      <c r="AA565" s="167" t="inlineStr">
        <is>
          <t>常温</t>
        </is>
      </c>
      <c r="AB565" s="167" t="inlineStr">
        <is>
          <t>7日</t>
        </is>
      </c>
      <c r="AC565" s="293" t="n">
        <v>4541290200184</v>
      </c>
      <c r="AD565" s="167" t="n"/>
      <c r="AE565" s="167" t="n"/>
      <c r="AF565" s="167" t="n"/>
      <c r="AG565" s="144" t="inlineStr">
        <is>
          <t>2ケース以上送料無料混載可</t>
        </is>
      </c>
    </row>
    <row r="566" ht="18" customHeight="1" s="207">
      <c r="A566" s="166" t="inlineStr">
        <is>
          <t>チーズ</t>
        </is>
      </c>
      <c r="B566" s="167" t="inlineStr">
        <is>
          <t>チーズ</t>
        </is>
      </c>
      <c r="C566" s="167" t="inlineStr">
        <is>
          <t>(有)十勝しんむら牧場</t>
        </is>
      </c>
      <c r="D566" s="143">
        <f>"PRD_SNJ_"&amp;
_xlfn.XLOOKUP(商品マスタ[[#This Row],[仕入先]],テーブル1[仕入先名],テーブル1[仕入先コード],"XXX",0,1)&amp;
"_"&amp;
商品マスタ[[#This Row],[シリアル]]&amp;
"_"&amp;
TEXT(COUNTIFS(商品マスタ!$C$3:C566,商品マスタ[[#This Row],[仕入先]],商品マスタ!$E$3:E566,商品マスタ[[#This Row],[商品名]]), "00")</f>
        <v/>
      </c>
      <c r="E566" s="167" t="inlineStr">
        <is>
          <t>ミルクジャムショコラ</t>
        </is>
      </c>
      <c r="F566" s="167">
        <f>IF(COUNTIFS($C$3:C566,商品マスタ[[#This Row],[仕入先]],$E$3:E566,商品マスタ[[#This Row],[商品名]]) = 1, 1,0)</f>
        <v/>
      </c>
      <c r="G566" s="133">
        <f>TEXT(SUMIF($C$3:C566,商品マスタ[[#This Row],[仕入先]],$F$3:F566), "0000")</f>
        <v/>
      </c>
      <c r="H566" s="167" t="inlineStr">
        <is>
          <t>ケース</t>
        </is>
      </c>
      <c r="I566" s="167" t="inlineStr">
        <is>
          <t>140ｇ</t>
        </is>
      </c>
      <c r="J566" s="167" t="inlineStr">
        <is>
          <t>24個</t>
        </is>
      </c>
      <c r="K566" s="167" t="inlineStr">
        <is>
          <t>ケース</t>
        </is>
      </c>
      <c r="L566" s="289" t="n">
        <v>15960</v>
      </c>
      <c r="M566" s="157" t="n">
        <v>46052</v>
      </c>
      <c r="N566" s="289" t="n">
        <v>21111.11</v>
      </c>
      <c r="O566" s="290">
        <f>IF(COUNT(商品マスタ[[#This Row],[参考上代
（税込)]]) &gt; 0, (商品マスタ[[#This Row],[参考上代
（税込)]]-商品マスタ[[#This Row],[国内定価
（15％）]])/(商品マスタ[[#This Row],[参考上代
（税込)]]/1.08), "")</f>
        <v/>
      </c>
      <c r="P566" s="136" t="n">
        <v>0.1</v>
      </c>
      <c r="Q566" s="289">
        <f>商品マスタ[[#This Row],[仕入
単価]]*商品マスタ[[#This Row],[標準国内送料率]]</f>
        <v/>
      </c>
      <c r="R566" s="289" t="n"/>
      <c r="S566" s="289">
        <f>IF(ISBLANK(商品マスタ[[#This Row],[実績
国内送料]]),商品マスタ[[#This Row],[標準国内送料]],)</f>
        <v/>
      </c>
      <c r="T566" s="289">
        <f>商品マスタ[[#This Row],[仕入
単価]]+商品マスタ[[#This Row],[国内送料]]</f>
        <v/>
      </c>
      <c r="U566" s="289">
        <f>ROUNDUP(商品マスタ[[#This Row],[仕入単価+国内送料]]/0.8,-1)</f>
        <v/>
      </c>
      <c r="V566" s="289">
        <f>商品マスタ[[#This Row],[海外定価
（20％）]]-商品マスタ[[#This Row],[仕入単価+国内送料]]</f>
        <v/>
      </c>
      <c r="W566" s="167">
        <f>ROUNDUP(商品マスタ[[#This Row],[仕入単価+国内送料]]/0.85,-1)</f>
        <v/>
      </c>
      <c r="X566" s="289">
        <f>商品マスタ[[#This Row],[国内定価
（15％）]]-商品マスタ[[#This Row],[仕入単価+国内送料]]</f>
        <v/>
      </c>
      <c r="Y566" s="139" t="n">
        <v>0.08</v>
      </c>
      <c r="Z566" s="167" t="inlineStr">
        <is>
          <t>90日</t>
        </is>
      </c>
      <c r="AA566" s="167" t="inlineStr">
        <is>
          <t>常温</t>
        </is>
      </c>
      <c r="AB566" s="167" t="inlineStr">
        <is>
          <t>7日</t>
        </is>
      </c>
      <c r="AC566" s="293" t="n">
        <v>4541290200191</v>
      </c>
      <c r="AD566" s="167" t="n"/>
      <c r="AE566" s="167" t="n"/>
      <c r="AF566" s="167" t="n"/>
      <c r="AG566" s="144" t="inlineStr">
        <is>
          <t>2ケース以上送料無料混載可</t>
        </is>
      </c>
    </row>
    <row r="567" ht="18" customHeight="1" s="207">
      <c r="A567" s="166" t="inlineStr">
        <is>
          <t>飲料アルコール</t>
        </is>
      </c>
      <c r="B567" s="167" t="inlineStr">
        <is>
          <t>茶</t>
        </is>
      </c>
      <c r="C567" s="167" t="inlineStr">
        <is>
          <t>(有)十勝しんむら牧場</t>
        </is>
      </c>
      <c r="D567" s="143">
        <f>"PRD_SNJ_"&amp;
_xlfn.XLOOKUP(商品マスタ[[#This Row],[仕入先]],テーブル1[仕入先名],テーブル1[仕入先コード],"XXX",0,1)&amp;
"_"&amp;
商品マスタ[[#This Row],[シリアル]]&amp;
"_"&amp;
TEXT(COUNTIFS(商品マスタ!$C$3:C567,商品マスタ[[#This Row],[仕入先]],商品マスタ!$E$3:E567,商品マスタ[[#This Row],[商品名]]), "00")</f>
        <v/>
      </c>
      <c r="E567" s="167" t="inlineStr">
        <is>
          <t>ミルクジャム抹茶</t>
        </is>
      </c>
      <c r="F567" s="167">
        <f>IF(COUNTIFS($C$3:C567,商品マスタ[[#This Row],[仕入先]],$E$3:E567,商品マスタ[[#This Row],[商品名]]) = 1, 1,0)</f>
        <v/>
      </c>
      <c r="G567" s="133">
        <f>TEXT(SUMIF($C$3:C567,商品マスタ[[#This Row],[仕入先]],$F$3:F567), "0000")</f>
        <v/>
      </c>
      <c r="H567" s="167" t="inlineStr">
        <is>
          <t>ケース</t>
        </is>
      </c>
      <c r="I567" s="167" t="inlineStr">
        <is>
          <t>140ｇ</t>
        </is>
      </c>
      <c r="J567" s="167" t="inlineStr">
        <is>
          <t>24個</t>
        </is>
      </c>
      <c r="K567" s="167" t="inlineStr">
        <is>
          <t>ケース</t>
        </is>
      </c>
      <c r="L567" s="289" t="n">
        <v>15960</v>
      </c>
      <c r="M567" s="157" t="n">
        <v>46052</v>
      </c>
      <c r="N567" s="289" t="n">
        <v>21111.11</v>
      </c>
      <c r="O567" s="290">
        <f>IF(COUNT(商品マスタ[[#This Row],[参考上代
（税込)]]) &gt; 0, (商品マスタ[[#This Row],[参考上代
（税込)]]-商品マスタ[[#This Row],[国内定価
（15％）]])/(商品マスタ[[#This Row],[参考上代
（税込)]]/1.08), "")</f>
        <v/>
      </c>
      <c r="P567" s="136" t="n">
        <v>0.1</v>
      </c>
      <c r="Q567" s="289">
        <f>商品マスタ[[#This Row],[仕入
単価]]*商品マスタ[[#This Row],[標準国内送料率]]</f>
        <v/>
      </c>
      <c r="R567" s="289" t="n"/>
      <c r="S567" s="289">
        <f>IF(ISBLANK(商品マスタ[[#This Row],[実績
国内送料]]),商品マスタ[[#This Row],[標準国内送料]],)</f>
        <v/>
      </c>
      <c r="T567" s="289">
        <f>商品マスタ[[#This Row],[仕入
単価]]+商品マスタ[[#This Row],[国内送料]]</f>
        <v/>
      </c>
      <c r="U567" s="289">
        <f>ROUNDUP(商品マスタ[[#This Row],[仕入単価+国内送料]]/0.8,-1)</f>
        <v/>
      </c>
      <c r="V567" s="289">
        <f>商品マスタ[[#This Row],[海外定価
（20％）]]-商品マスタ[[#This Row],[仕入単価+国内送料]]</f>
        <v/>
      </c>
      <c r="W567" s="167">
        <f>ROUNDUP(商品マスタ[[#This Row],[仕入単価+国内送料]]/0.85,-1)</f>
        <v/>
      </c>
      <c r="X567" s="289">
        <f>商品マスタ[[#This Row],[国内定価
（15％）]]-商品マスタ[[#This Row],[仕入単価+国内送料]]</f>
        <v/>
      </c>
      <c r="Y567" s="139" t="n">
        <v>0.08</v>
      </c>
      <c r="Z567" s="167" t="inlineStr">
        <is>
          <t>90日</t>
        </is>
      </c>
      <c r="AA567" s="167" t="inlineStr">
        <is>
          <t>常温</t>
        </is>
      </c>
      <c r="AB567" s="167" t="inlineStr">
        <is>
          <t>7日</t>
        </is>
      </c>
      <c r="AC567" s="293" t="n">
        <v>4541290200214</v>
      </c>
      <c r="AD567" s="167" t="n"/>
      <c r="AE567" s="167" t="n"/>
      <c r="AF567" s="167" t="n"/>
      <c r="AG567" s="144" t="inlineStr">
        <is>
          <t>2ケース以上送料無料混載可</t>
        </is>
      </c>
    </row>
    <row r="568" ht="18" customHeight="1" s="207">
      <c r="A568" s="166" t="inlineStr">
        <is>
          <t>チーズ</t>
        </is>
      </c>
      <c r="B568" s="167" t="inlineStr">
        <is>
          <t>チーズ</t>
        </is>
      </c>
      <c r="C568" s="167" t="inlineStr">
        <is>
          <t>(有)十勝しんむら牧場</t>
        </is>
      </c>
      <c r="D568" s="143">
        <f>"PRD_SNJ_"&amp;
_xlfn.XLOOKUP(商品マスタ[[#This Row],[仕入先]],テーブル1[仕入先名],テーブル1[仕入先コード],"XXX",0,1)&amp;
"_"&amp;
商品マスタ[[#This Row],[シリアル]]&amp;
"_"&amp;
TEXT(COUNTIFS(商品マスタ!$C$3:C568,商品マスタ[[#This Row],[仕入先]],商品マスタ!$E$3:E568,商品マスタ[[#This Row],[商品名]]), "00")</f>
        <v/>
      </c>
      <c r="E568" s="167" t="inlineStr">
        <is>
          <t>ミルクジャムメープル</t>
        </is>
      </c>
      <c r="F568" s="167">
        <f>IF(COUNTIFS($C$3:C568,商品マスタ[[#This Row],[仕入先]],$E$3:E568,商品マスタ[[#This Row],[商品名]]) = 1, 1,0)</f>
        <v/>
      </c>
      <c r="G568" s="133">
        <f>TEXT(SUMIF($C$3:C568,商品マスタ[[#This Row],[仕入先]],$F$3:F568), "0000")</f>
        <v/>
      </c>
      <c r="H568" s="167" t="inlineStr">
        <is>
          <t>ケース</t>
        </is>
      </c>
      <c r="I568" s="167" t="inlineStr">
        <is>
          <t>140ｇ</t>
        </is>
      </c>
      <c r="J568" s="167" t="inlineStr">
        <is>
          <t>24個</t>
        </is>
      </c>
      <c r="K568" s="167" t="inlineStr">
        <is>
          <t>ケース</t>
        </is>
      </c>
      <c r="L568" s="289" t="n">
        <v>17640</v>
      </c>
      <c r="M568" s="157" t="n">
        <v>46052</v>
      </c>
      <c r="N568" s="289" t="n">
        <v>23333.33</v>
      </c>
      <c r="O568" s="290">
        <f>IF(COUNT(商品マスタ[[#This Row],[参考上代
（税込)]]) &gt; 0, (商品マスタ[[#This Row],[参考上代
（税込)]]-商品マスタ[[#This Row],[国内定価
（15％）]])/(商品マスタ[[#This Row],[参考上代
（税込)]]/1.08), "")</f>
        <v/>
      </c>
      <c r="P568" s="136" t="n">
        <v>0.1</v>
      </c>
      <c r="Q568" s="289">
        <f>商品マスタ[[#This Row],[仕入
単価]]*商品マスタ[[#This Row],[標準国内送料率]]</f>
        <v/>
      </c>
      <c r="R568" s="289" t="n"/>
      <c r="S568" s="289">
        <f>IF(ISBLANK(商品マスタ[[#This Row],[実績
国内送料]]),商品マスタ[[#This Row],[標準国内送料]],)</f>
        <v/>
      </c>
      <c r="T568" s="289">
        <f>商品マスタ[[#This Row],[仕入
単価]]+商品マスタ[[#This Row],[国内送料]]</f>
        <v/>
      </c>
      <c r="U568" s="289">
        <f>ROUNDUP(商品マスタ[[#This Row],[仕入単価+国内送料]]/0.8,-1)</f>
        <v/>
      </c>
      <c r="V568" s="289">
        <f>商品マスタ[[#This Row],[海外定価
（20％）]]-商品マスタ[[#This Row],[仕入単価+国内送料]]</f>
        <v/>
      </c>
      <c r="W568" s="167">
        <f>ROUNDUP(商品マスタ[[#This Row],[仕入単価+国内送料]]/0.85,-1)</f>
        <v/>
      </c>
      <c r="X568" s="289">
        <f>商品マスタ[[#This Row],[国内定価
（15％）]]-商品マスタ[[#This Row],[仕入単価+国内送料]]</f>
        <v/>
      </c>
      <c r="Y568" s="139" t="n">
        <v>0.08</v>
      </c>
      <c r="Z568" s="167" t="inlineStr">
        <is>
          <t>90日</t>
        </is>
      </c>
      <c r="AA568" s="167" t="inlineStr">
        <is>
          <t>常温</t>
        </is>
      </c>
      <c r="AB568" s="167" t="inlineStr">
        <is>
          <t>7日</t>
        </is>
      </c>
      <c r="AC568" s="293" t="n">
        <v>4541290200238</v>
      </c>
      <c r="AD568" s="167" t="n"/>
      <c r="AE568" s="167" t="n"/>
      <c r="AF568" s="167" t="n"/>
      <c r="AG568" s="144" t="inlineStr">
        <is>
          <t>2ケース以上送料無料混載可</t>
        </is>
      </c>
    </row>
    <row r="569" ht="18" customHeight="1" s="207">
      <c r="A569" s="166" t="inlineStr">
        <is>
          <t>チーズ</t>
        </is>
      </c>
      <c r="B569" s="167" t="inlineStr">
        <is>
          <t>チーズ</t>
        </is>
      </c>
      <c r="C569" s="167" t="inlineStr">
        <is>
          <t>(有)十勝しんむら牧場</t>
        </is>
      </c>
      <c r="D569" s="143">
        <f>"PRD_SNJ_"&amp;
_xlfn.XLOOKUP(商品マスタ[[#This Row],[仕入先]],テーブル1[仕入先名],テーブル1[仕入先コード],"XXX",0,1)&amp;
"_"&amp;
商品マスタ[[#This Row],[シリアル]]&amp;
"_"&amp;
TEXT(COUNTIFS(商品マスタ!$C$3:C569,商品マスタ[[#This Row],[仕入先]],商品マスタ!$E$3:E569,商品マスタ[[#This Row],[商品名]]), "00")</f>
        <v/>
      </c>
      <c r="E569" s="167" t="inlineStr">
        <is>
          <t>はちみつミルクジャム</t>
        </is>
      </c>
      <c r="F569" s="167">
        <f>IF(COUNTIFS($C$3:C569,商品マスタ[[#This Row],[仕入先]],$E$3:E569,商品マスタ[[#This Row],[商品名]]) = 1, 1,0)</f>
        <v/>
      </c>
      <c r="G569" s="133">
        <f>TEXT(SUMIF($C$3:C569,商品マスタ[[#This Row],[仕入先]],$F$3:F569), "0000")</f>
        <v/>
      </c>
      <c r="H569" s="167" t="inlineStr">
        <is>
          <t>個</t>
        </is>
      </c>
      <c r="I569" s="167" t="inlineStr">
        <is>
          <t>140ｇ</t>
        </is>
      </c>
      <c r="J569" s="167" t="inlineStr">
        <is>
          <t>24個</t>
        </is>
      </c>
      <c r="K569" s="167" t="n"/>
      <c r="L569" s="289" t="n">
        <v>17640</v>
      </c>
      <c r="M569" s="157" t="n">
        <v>46052</v>
      </c>
      <c r="N569" s="289" t="n">
        <v>23333.33</v>
      </c>
      <c r="O569" s="290">
        <f>IF(COUNT(商品マスタ[[#This Row],[参考上代
（税込)]]) &gt; 0, (商品マスタ[[#This Row],[参考上代
（税込)]]-商品マスタ[[#This Row],[国内定価
（15％）]])/(商品マスタ[[#This Row],[参考上代
（税込)]]/1.08), "")</f>
        <v/>
      </c>
      <c r="P569" s="136" t="n">
        <v>0.1</v>
      </c>
      <c r="Q569" s="289">
        <f>商品マスタ[[#This Row],[仕入
単価]]*商品マスタ[[#This Row],[標準国内送料率]]</f>
        <v/>
      </c>
      <c r="R569" s="289" t="n"/>
      <c r="S569" s="289">
        <f>IF(ISBLANK(商品マスタ[[#This Row],[実績
国内送料]]),商品マスタ[[#This Row],[標準国内送料]],)</f>
        <v/>
      </c>
      <c r="T569" s="289">
        <f>商品マスタ[[#This Row],[仕入
単価]]+商品マスタ[[#This Row],[国内送料]]</f>
        <v/>
      </c>
      <c r="U569" s="289">
        <f>ROUNDUP(商品マスタ[[#This Row],[仕入単価+国内送料]]/0.8,-1)</f>
        <v/>
      </c>
      <c r="V569" s="289">
        <f>商品マスタ[[#This Row],[海外定価
（20％）]]-商品マスタ[[#This Row],[仕入単価+国内送料]]</f>
        <v/>
      </c>
      <c r="W569" s="167">
        <f>ROUNDUP(商品マスタ[[#This Row],[仕入単価+国内送料]]/0.85,-1)</f>
        <v/>
      </c>
      <c r="X569" s="289">
        <f>商品マスタ[[#This Row],[国内定価
（15％）]]-商品マスタ[[#This Row],[仕入単価+国内送料]]</f>
        <v/>
      </c>
      <c r="Y569" s="139" t="n">
        <v>0.08</v>
      </c>
      <c r="Z569" s="167" t="inlineStr">
        <is>
          <t>90日</t>
        </is>
      </c>
      <c r="AA569" s="167" t="inlineStr">
        <is>
          <t>常温</t>
        </is>
      </c>
      <c r="AB569" s="167" t="inlineStr">
        <is>
          <t>7日</t>
        </is>
      </c>
      <c r="AC569" s="293" t="n">
        <v>4541290200252</v>
      </c>
      <c r="AD569" s="167" t="n"/>
      <c r="AE569" s="167" t="n"/>
      <c r="AF569" s="167" t="n"/>
      <c r="AG569" s="144" t="inlineStr">
        <is>
          <t>2ケース以上送料無料混載可</t>
        </is>
      </c>
    </row>
    <row r="570" ht="18" customHeight="1" s="207">
      <c r="A570" s="166" t="inlineStr">
        <is>
          <t>チーズ</t>
        </is>
      </c>
      <c r="B570" s="167" t="inlineStr">
        <is>
          <t>チーズ</t>
        </is>
      </c>
      <c r="C570" s="167" t="inlineStr">
        <is>
          <t>(有)十勝しんむら牧場</t>
        </is>
      </c>
      <c r="D570" s="143">
        <f>"PRD_SNJ_"&amp;
_xlfn.XLOOKUP(商品マスタ[[#This Row],[仕入先]],テーブル1[仕入先名],テーブル1[仕入先コード],"XXX",0,1)&amp;
"_"&amp;
商品マスタ[[#This Row],[シリアル]]&amp;
"_"&amp;
TEXT(COUNTIFS(商品マスタ!$C$3:C570,商品マスタ[[#This Row],[仕入先]],商品マスタ!$E$3:E570,商品マスタ[[#This Row],[商品名]]), "00")</f>
        <v/>
      </c>
      <c r="E570" s="167" t="inlineStr">
        <is>
          <t>クロテッドクリーム</t>
        </is>
      </c>
      <c r="F570" s="167">
        <f>IF(COUNTIFS($C$3:C570,商品マスタ[[#This Row],[仕入先]],$E$3:E570,商品マスタ[[#This Row],[商品名]]) = 1, 1,0)</f>
        <v/>
      </c>
      <c r="G570" s="133">
        <f>TEXT(SUMIF($C$3:C570,商品マスタ[[#This Row],[仕入先]],$F$3:F570), "0000")</f>
        <v/>
      </c>
      <c r="H570" s="167" t="inlineStr">
        <is>
          <t>個</t>
        </is>
      </c>
      <c r="I570" s="167" t="inlineStr">
        <is>
          <t>100g</t>
        </is>
      </c>
      <c r="J570" s="167" t="inlineStr">
        <is>
          <t>24個</t>
        </is>
      </c>
      <c r="K570" s="167" t="n"/>
      <c r="L570" s="289" t="n">
        <v>26880</v>
      </c>
      <c r="M570" s="157" t="n">
        <v>46052</v>
      </c>
      <c r="N570" s="289" t="n">
        <v>35555.56</v>
      </c>
      <c r="O570" s="290">
        <f>IF(COUNT(商品マスタ[[#This Row],[参考上代
（税込)]]) &gt; 0, (商品マスタ[[#This Row],[参考上代
（税込)]]-商品マスタ[[#This Row],[国内定価
（15％）]])/(商品マスタ[[#This Row],[参考上代
（税込)]]/1.08), "")</f>
        <v/>
      </c>
      <c r="P570" s="136" t="n">
        <v>0.1</v>
      </c>
      <c r="Q570" s="289">
        <f>商品マスタ[[#This Row],[仕入
単価]]*商品マスタ[[#This Row],[標準国内送料率]]</f>
        <v/>
      </c>
      <c r="R570" s="289" t="n"/>
      <c r="S570" s="289">
        <f>IF(ISBLANK(商品マスタ[[#This Row],[実績
国内送料]]),商品マスタ[[#This Row],[標準国内送料]],)</f>
        <v/>
      </c>
      <c r="T570" s="289">
        <f>商品マスタ[[#This Row],[仕入
単価]]+商品マスタ[[#This Row],[国内送料]]</f>
        <v/>
      </c>
      <c r="U570" s="289">
        <f>ROUNDUP(商品マスタ[[#This Row],[仕入単価+国内送料]]/0.8,-1)</f>
        <v/>
      </c>
      <c r="V570" s="289">
        <f>商品マスタ[[#This Row],[海外定価
（20％）]]-商品マスタ[[#This Row],[仕入単価+国内送料]]</f>
        <v/>
      </c>
      <c r="W570" s="167">
        <f>ROUNDUP(商品マスタ[[#This Row],[仕入単価+国内送料]]/0.85,-1)</f>
        <v/>
      </c>
      <c r="X570" s="289">
        <f>商品マスタ[[#This Row],[国内定価
（15％）]]-商品マスタ[[#This Row],[仕入単価+国内送料]]</f>
        <v/>
      </c>
      <c r="Y570" s="139" t="n">
        <v>0.08</v>
      </c>
      <c r="Z570" s="167" t="inlineStr">
        <is>
          <t>21日</t>
        </is>
      </c>
      <c r="AA570" s="167" t="inlineStr">
        <is>
          <t>冷蔵</t>
        </is>
      </c>
      <c r="AB570" s="167" t="inlineStr">
        <is>
          <t>7日</t>
        </is>
      </c>
      <c r="AC570" s="293" t="n">
        <v>4541290300013</v>
      </c>
      <c r="AD570" s="167" t="n"/>
      <c r="AE570" s="167" t="n"/>
      <c r="AF570" s="167" t="n"/>
      <c r="AG570" s="144" t="n"/>
    </row>
    <row r="571" ht="18" customHeight="1" s="207">
      <c r="A571" s="166" t="inlineStr">
        <is>
          <t>チーズ</t>
        </is>
      </c>
      <c r="B571" s="167" t="inlineStr">
        <is>
          <t>チーズ</t>
        </is>
      </c>
      <c r="C571" s="167" t="inlineStr">
        <is>
          <t>(有)十勝しんむら牧場</t>
        </is>
      </c>
      <c r="D571" s="143">
        <f>"PRD_SNJ_"&amp;
_xlfn.XLOOKUP(商品マスタ[[#This Row],[仕入先]],テーブル1[仕入先名],テーブル1[仕入先コード],"XXX",0,1)&amp;
"_"&amp;
商品マスタ[[#This Row],[シリアル]]&amp;
"_"&amp;
TEXT(COUNTIFS(商品マスタ!$C$3:C571,商品マスタ[[#This Row],[仕入先]],商品マスタ!$E$3:E571,商品マスタ[[#This Row],[商品名]]), "00")</f>
        <v/>
      </c>
      <c r="E571" s="167" t="inlineStr">
        <is>
          <t>スコーン</t>
        </is>
      </c>
      <c r="F571" s="167">
        <f>IF(COUNTIFS($C$3:C571,商品マスタ[[#This Row],[仕入先]],$E$3:E571,商品マスタ[[#This Row],[商品名]]) = 1, 1,0)</f>
        <v/>
      </c>
      <c r="G571" s="133">
        <f>TEXT(SUMIF($C$3:C571,商品マスタ[[#This Row],[仕入先]],$F$3:F571), "0000")</f>
        <v/>
      </c>
      <c r="H571" s="167" t="inlineStr">
        <is>
          <t>個</t>
        </is>
      </c>
      <c r="I571" s="167" t="inlineStr">
        <is>
          <t>3個</t>
        </is>
      </c>
      <c r="J571" s="167" t="inlineStr">
        <is>
          <t>40個</t>
        </is>
      </c>
      <c r="K571" s="167" t="n"/>
      <c r="L571" s="289" t="n">
        <v>21000</v>
      </c>
      <c r="M571" s="157" t="n">
        <v>46052</v>
      </c>
      <c r="N571" s="289" t="n">
        <v>27777.78</v>
      </c>
      <c r="O571" s="290">
        <f>IF(COUNT(商品マスタ[[#This Row],[参考上代
（税込)]]) &gt; 0, (商品マスタ[[#This Row],[参考上代
（税込)]]-商品マスタ[[#This Row],[国内定価
（15％）]])/(商品マスタ[[#This Row],[参考上代
（税込)]]/1.08), "")</f>
        <v/>
      </c>
      <c r="P571" s="136" t="n">
        <v>0.1</v>
      </c>
      <c r="Q571" s="289">
        <f>商品マスタ[[#This Row],[仕入
単価]]*商品マスタ[[#This Row],[標準国内送料率]]</f>
        <v/>
      </c>
      <c r="R571" s="289" t="n"/>
      <c r="S571" s="289">
        <f>IF(ISBLANK(商品マスタ[[#This Row],[実績
国内送料]]),商品マスタ[[#This Row],[標準国内送料]],)</f>
        <v/>
      </c>
      <c r="T571" s="289">
        <f>商品マスタ[[#This Row],[仕入
単価]]+商品マスタ[[#This Row],[国内送料]]</f>
        <v/>
      </c>
      <c r="U571" s="289">
        <f>ROUNDUP(商品マスタ[[#This Row],[仕入単価+国内送料]]/0.8,-1)</f>
        <v/>
      </c>
      <c r="V571" s="289">
        <f>商品マスタ[[#This Row],[海外定価
（20％）]]-商品マスタ[[#This Row],[仕入単価+国内送料]]</f>
        <v/>
      </c>
      <c r="W571" s="167">
        <f>ROUNDUP(商品マスタ[[#This Row],[仕入単価+国内送料]]/0.85,-1)</f>
        <v/>
      </c>
      <c r="X571" s="289">
        <f>商品マスタ[[#This Row],[国内定価
（15％）]]-商品マスタ[[#This Row],[仕入単価+国内送料]]</f>
        <v/>
      </c>
      <c r="Y571" s="139" t="n">
        <v>0.08</v>
      </c>
      <c r="Z571" s="167" t="inlineStr">
        <is>
          <t>14日</t>
        </is>
      </c>
      <c r="AA571" s="167" t="inlineStr">
        <is>
          <t>常温</t>
        </is>
      </c>
      <c r="AB571" s="167" t="inlineStr">
        <is>
          <t>7日</t>
        </is>
      </c>
      <c r="AC571" s="293" t="n">
        <v>4541290400003</v>
      </c>
      <c r="AD571" s="167" t="n"/>
      <c r="AE571" s="167" t="n"/>
      <c r="AF571" s="167" t="n"/>
      <c r="AG571" s="144" t="n"/>
    </row>
    <row r="572" ht="18" customHeight="1" s="207">
      <c r="A572" s="166" t="inlineStr">
        <is>
          <t>水産</t>
        </is>
      </c>
      <c r="B572" s="167" t="inlineStr">
        <is>
          <t>水産物</t>
        </is>
      </c>
      <c r="C572" s="167" t="inlineStr">
        <is>
          <t>川口水産株式会社</t>
        </is>
      </c>
      <c r="D572" s="143">
        <f>"PRD_SNJ_"&amp;
_xlfn.XLOOKUP(商品マスタ[[#This Row],[仕入先]],テーブル1[仕入先名],テーブル1[仕入先コード],"XXX",0,1)&amp;
"_"&amp;
商品マスタ[[#This Row],[シリアル]]&amp;
"_"&amp;
TEXT(COUNTIFS(商品マスタ!$C$3:C572,商品マスタ[[#This Row],[仕入先]],商品マスタ!$E$3:E572,商品マスタ[[#This Row],[商品名]]), "00")</f>
        <v/>
      </c>
      <c r="E572" s="167" t="inlineStr">
        <is>
          <t xml:space="preserve">【常温ﾀｲﾌﾟ】国産うなぎ蒲焼カット </t>
        </is>
      </c>
      <c r="F572" s="167">
        <f>IF(COUNTIFS($C$3:C572,商品マスタ[[#This Row],[仕入先]],$E$3:E572,商品マスタ[[#This Row],[商品名]]) = 1, 1,0)</f>
        <v/>
      </c>
      <c r="G572" s="133">
        <f>TEXT(SUMIF($C$3:C572,商品マスタ[[#This Row],[仕入先]],$F$3:F572), "0000")</f>
        <v/>
      </c>
      <c r="H572" s="167" t="inlineStr">
        <is>
          <t>個</t>
        </is>
      </c>
      <c r="I572" s="167" t="n">
        <v>10</v>
      </c>
      <c r="J572" s="167" t="inlineStr">
        <is>
          <t xml:space="preserve">100g×10 入 </t>
        </is>
      </c>
      <c r="K572" s="167" t="n"/>
      <c r="L572" s="289" t="n">
        <v>1300</v>
      </c>
      <c r="M572" s="157" t="n">
        <v>46052</v>
      </c>
      <c r="N572" s="289" t="n"/>
      <c r="O572" s="290">
        <f>IF(COUNT(商品マスタ[[#This Row],[参考上代
（税込)]]) &gt; 0, (商品マスタ[[#This Row],[参考上代
（税込)]]-商品マスタ[[#This Row],[国内定価
（15％）]])/(商品マスタ[[#This Row],[参考上代
（税込)]]/1.08), "")</f>
        <v/>
      </c>
      <c r="P572" s="136" t="n">
        <v>0.1</v>
      </c>
      <c r="Q572" s="289">
        <f>商品マスタ[[#This Row],[仕入
単価]]*商品マスタ[[#This Row],[標準国内送料率]]</f>
        <v/>
      </c>
      <c r="R572" s="289" t="n"/>
      <c r="S572" s="289">
        <f>IF(ISBLANK(商品マスタ[[#This Row],[実績
国内送料]]),商品マスタ[[#This Row],[標準国内送料]],)</f>
        <v/>
      </c>
      <c r="T572" s="289">
        <f>商品マスタ[[#This Row],[仕入
単価]]+商品マスタ[[#This Row],[国内送料]]</f>
        <v/>
      </c>
      <c r="U572" s="289">
        <f>ROUNDUP(商品マスタ[[#This Row],[仕入単価+国内送料]]/0.8,-1)</f>
        <v/>
      </c>
      <c r="V572" s="289">
        <f>商品マスタ[[#This Row],[海外定価
（20％）]]-商品マスタ[[#This Row],[仕入単価+国内送料]]</f>
        <v/>
      </c>
      <c r="W572" s="167">
        <f>ROUNDUP(商品マスタ[[#This Row],[仕入単価+国内送料]]/0.85,-1)</f>
        <v/>
      </c>
      <c r="X572" s="289">
        <f>商品マスタ[[#This Row],[国内定価
（15％）]]-商品マスタ[[#This Row],[仕入単価+国内送料]]</f>
        <v/>
      </c>
      <c r="Y572" s="139" t="n">
        <v>0.08</v>
      </c>
      <c r="Z572" s="167" t="inlineStr">
        <is>
          <t>半年</t>
        </is>
      </c>
      <c r="AA572" s="167" t="inlineStr">
        <is>
          <t>常温</t>
        </is>
      </c>
      <c r="AB572" s="167" t="inlineStr">
        <is>
          <t>7日</t>
        </is>
      </c>
      <c r="AC572" s="293" t="n"/>
      <c r="AD572" s="167" t="inlineStr">
        <is>
          <t>常温輸送に成功。泥臭さは徹底的に排除し、美味しさを閉じ込めました。</t>
        </is>
      </c>
      <c r="AE572" s="167" t="n"/>
      <c r="AF572" s="167" t="n"/>
      <c r="AG572" s="144" t="n"/>
    </row>
    <row r="573" ht="18" customHeight="1" s="207">
      <c r="A573" s="166" t="inlineStr">
        <is>
          <t>水産</t>
        </is>
      </c>
      <c r="B573" s="167" t="inlineStr">
        <is>
          <t>水産物</t>
        </is>
      </c>
      <c r="C573" s="167" t="inlineStr">
        <is>
          <t>川口水産株式会社</t>
        </is>
      </c>
      <c r="D573" s="143">
        <f>"PRD_SNJ_"&amp;
_xlfn.XLOOKUP(商品マスタ[[#This Row],[仕入先]],テーブル1[仕入先名],テーブル1[仕入先コード],"XXX",0,1)&amp;
"_"&amp;
商品マスタ[[#This Row],[シリアル]]&amp;
"_"&amp;
TEXT(COUNTIFS(商品マスタ!$C$3:C573,商品マスタ[[#This Row],[仕入先]],商品マスタ!$E$3:E573,商品マスタ[[#This Row],[商品名]]), "00")</f>
        <v/>
      </c>
      <c r="E573" s="167" t="inlineStr">
        <is>
          <t xml:space="preserve">【常温ﾀｲﾌﾟ】国産うなぎ蒲焼カット </t>
        </is>
      </c>
      <c r="F573" s="167">
        <f>IF(COUNTIFS($C$3:C573,商品マスタ[[#This Row],[仕入先]],$E$3:E573,商品マスタ[[#This Row],[商品名]]) = 1, 1,0)</f>
        <v/>
      </c>
      <c r="G573" s="133">
        <f>TEXT(SUMIF($C$3:C573,商品マスタ[[#This Row],[仕入先]],$F$3:F573), "0000")</f>
        <v/>
      </c>
      <c r="H573" s="167" t="inlineStr">
        <is>
          <t>個</t>
        </is>
      </c>
      <c r="I573" s="167" t="n">
        <v>20</v>
      </c>
      <c r="J573" s="167" t="inlineStr">
        <is>
          <t xml:space="preserve">100g×20 入 </t>
        </is>
      </c>
      <c r="K573" s="167" t="n"/>
      <c r="L573" s="289" t="n">
        <v>1200</v>
      </c>
      <c r="M573" s="157" t="n">
        <v>46052</v>
      </c>
      <c r="N573" s="289" t="n"/>
      <c r="O573" s="290">
        <f>IF(COUNT(商品マスタ[[#This Row],[参考上代
（税込)]]) &gt; 0, (商品マスタ[[#This Row],[参考上代
（税込)]]-商品マスタ[[#This Row],[国内定価
（15％）]])/(商品マスタ[[#This Row],[参考上代
（税込)]]/1.08), "")</f>
        <v/>
      </c>
      <c r="P573" s="136" t="n">
        <v>0.1</v>
      </c>
      <c r="Q573" s="289">
        <f>商品マスタ[[#This Row],[仕入
単価]]*商品マスタ[[#This Row],[標準国内送料率]]</f>
        <v/>
      </c>
      <c r="R573" s="289" t="n"/>
      <c r="S573" s="289">
        <f>IF(ISBLANK(商品マスタ[[#This Row],[実績
国内送料]]),商品マスタ[[#This Row],[標準国内送料]],)</f>
        <v/>
      </c>
      <c r="T573" s="289">
        <f>商品マスタ[[#This Row],[仕入
単価]]+商品マスタ[[#This Row],[国内送料]]</f>
        <v/>
      </c>
      <c r="U573" s="289">
        <f>ROUNDUP(商品マスタ[[#This Row],[仕入単価+国内送料]]/0.8,-1)</f>
        <v/>
      </c>
      <c r="V573" s="289">
        <f>商品マスタ[[#This Row],[海外定価
（20％）]]-商品マスタ[[#This Row],[仕入単価+国内送料]]</f>
        <v/>
      </c>
      <c r="W573" s="167">
        <f>ROUNDUP(商品マスタ[[#This Row],[仕入単価+国内送料]]/0.85,-1)</f>
        <v/>
      </c>
      <c r="X573" s="289">
        <f>商品マスタ[[#This Row],[国内定価
（15％）]]-商品マスタ[[#This Row],[仕入単価+国内送料]]</f>
        <v/>
      </c>
      <c r="Y573" s="139" t="n">
        <v>0.08</v>
      </c>
      <c r="Z573" s="167" t="inlineStr">
        <is>
          <t>半年</t>
        </is>
      </c>
      <c r="AA573" s="167" t="inlineStr">
        <is>
          <t>常温</t>
        </is>
      </c>
      <c r="AB573" s="167" t="inlineStr">
        <is>
          <t>7日</t>
        </is>
      </c>
      <c r="AC573" s="293" t="n"/>
      <c r="AD573" s="167" t="inlineStr">
        <is>
          <t>常温輸送に成功。泥臭さは徹底的に排除し、美味しさを閉じ込めました。</t>
        </is>
      </c>
      <c r="AE573" s="167" t="n"/>
      <c r="AF573" s="167" t="n"/>
      <c r="AG573" s="144" t="n"/>
    </row>
    <row r="574" ht="18" customHeight="1" s="207">
      <c r="A574" s="166" t="inlineStr">
        <is>
          <t>水産</t>
        </is>
      </c>
      <c r="B574" s="167" t="inlineStr">
        <is>
          <t>水産物</t>
        </is>
      </c>
      <c r="C574" s="167" t="inlineStr">
        <is>
          <t>株式会社フジタコーポレーション</t>
        </is>
      </c>
      <c r="D574" s="143">
        <f>"PRD_SNJ_"&amp;
_xlfn.XLOOKUP(商品マスタ[[#This Row],[仕入先]],テーブル1[仕入先名],テーブル1[仕入先コード],"XXX",0,1)&amp;
"_"&amp;
商品マスタ[[#This Row],[シリアル]]&amp;
"_"&amp;
TEXT(COUNTIFS(商品マスタ!$C$3:C574,商品マスタ[[#This Row],[仕入先]],商品マスタ!$E$3:E574,商品マスタ[[#This Row],[商品名]]), "00")</f>
        <v/>
      </c>
      <c r="E574" s="167" t="inlineStr">
        <is>
          <t>くろまつない
カマンベールチーズ</t>
        </is>
      </c>
      <c r="F574" s="167">
        <f>IF(COUNTIFS($C$3:C574,商品マスタ[[#This Row],[仕入先]],$E$3:E574,商品マスタ[[#This Row],[商品名]]) = 1, 1,0)</f>
        <v/>
      </c>
      <c r="G574" s="133">
        <f>TEXT(SUMIF($C$3:C574,商品マスタ[[#This Row],[仕入先]],$F$3:F574), "0000")</f>
        <v/>
      </c>
      <c r="H574" s="167" t="inlineStr">
        <is>
          <t>個</t>
        </is>
      </c>
      <c r="I574" s="167" t="n">
        <v>60</v>
      </c>
      <c r="J574" s="167" t="n">
        <v>60</v>
      </c>
      <c r="K574" s="167" t="n"/>
      <c r="L574" s="289" t="n">
        <v>700</v>
      </c>
      <c r="M574" s="157" t="n">
        <v>46052</v>
      </c>
      <c r="N574" s="289" t="n">
        <v>833.33</v>
      </c>
      <c r="O574" s="290">
        <f>IF(COUNT(商品マスタ[[#This Row],[参考上代
（税込)]]) &gt; 0, (商品マスタ[[#This Row],[参考上代
（税込)]]-商品マスタ[[#This Row],[国内定価
（15％）]])/(商品マスタ[[#This Row],[参考上代
（税込)]]/1.08), "")</f>
        <v/>
      </c>
      <c r="P574" s="136" t="n">
        <v>0.1</v>
      </c>
      <c r="Q574" s="289">
        <f>商品マスタ[[#This Row],[仕入
単価]]*商品マスタ[[#This Row],[標準国内送料率]]</f>
        <v/>
      </c>
      <c r="R574" s="289" t="n"/>
      <c r="S574" s="289">
        <f>IF(ISBLANK(商品マスタ[[#This Row],[実績
国内送料]]),商品マスタ[[#This Row],[標準国内送料]],)</f>
        <v/>
      </c>
      <c r="T574" s="289">
        <f>商品マスタ[[#This Row],[仕入
単価]]+商品マスタ[[#This Row],[国内送料]]</f>
        <v/>
      </c>
      <c r="U574" s="289">
        <f>ROUNDUP(商品マスタ[[#This Row],[仕入単価+国内送料]]/0.8,-1)</f>
        <v/>
      </c>
      <c r="V574" s="289">
        <f>商品マスタ[[#This Row],[海外定価
（20％）]]-商品マスタ[[#This Row],[仕入単価+国内送料]]</f>
        <v/>
      </c>
      <c r="W574" s="167">
        <f>ROUNDUP(商品マスタ[[#This Row],[仕入単価+国内送料]]/0.85,-1)</f>
        <v/>
      </c>
      <c r="X574" s="289">
        <f>商品マスタ[[#This Row],[国内定価
（15％）]]-商品マスタ[[#This Row],[仕入単価+国内送料]]</f>
        <v/>
      </c>
      <c r="Y574" s="139" t="n">
        <v>0.08</v>
      </c>
      <c r="Z574" s="167" t="inlineStr">
        <is>
          <t>180日</t>
        </is>
      </c>
      <c r="AA574" s="167" t="inlineStr">
        <is>
          <t>冷蔵</t>
        </is>
      </c>
      <c r="AB574" s="167" t="inlineStr">
        <is>
          <t>3日</t>
        </is>
      </c>
      <c r="AC574" s="293" t="n">
        <v>4539297310401</v>
      </c>
      <c r="AD574" s="167" t="inlineStr">
        <is>
          <t>成分無調整の生乳を使い深いコクとなめらかさにもこだ
わったカマンベールチーズ。2012年JAL国際線ファーストク
ラス機内食に採用。</t>
        </is>
      </c>
      <c r="AE574" s="167" t="n"/>
      <c r="AF574" s="167" t="n"/>
      <c r="AG574" s="144" t="inlineStr">
        <is>
          <t>価格は関西着設定の送料込ロット割れの場合送料＋1500円</t>
        </is>
      </c>
    </row>
    <row r="575" ht="18" customHeight="1" s="207">
      <c r="A575" s="166" t="inlineStr">
        <is>
          <t>水産</t>
        </is>
      </c>
      <c r="B575" s="167" t="inlineStr">
        <is>
          <t>水産物</t>
        </is>
      </c>
      <c r="C575" s="167" t="inlineStr">
        <is>
          <t>株式会社フジタコーポレーション</t>
        </is>
      </c>
      <c r="D575" s="143">
        <f>"PRD_SNJ_"&amp;
_xlfn.XLOOKUP(商品マスタ[[#This Row],[仕入先]],テーブル1[仕入先名],テーブル1[仕入先コード],"XXX",0,1)&amp;
"_"&amp;
商品マスタ[[#This Row],[シリアル]]&amp;
"_"&amp;
TEXT(COUNTIFS(商品マスタ!$C$3:C575,商品マスタ[[#This Row],[仕入先]],商品マスタ!$E$3:E575,商品マスタ[[#This Row],[商品名]]), "00")</f>
        <v/>
      </c>
      <c r="E575" s="167" t="inlineStr">
        <is>
          <t>くろまつない
カマンベールチーズ
（生タイプ）</t>
        </is>
      </c>
      <c r="F575" s="167">
        <f>IF(COUNTIFS($C$3:C575,商品マスタ[[#This Row],[仕入先]],$E$3:E575,商品マスタ[[#This Row],[商品名]]) = 1, 1,0)</f>
        <v/>
      </c>
      <c r="G575" s="133">
        <f>TEXT(SUMIF($C$3:C575,商品マスタ[[#This Row],[仕入先]],$F$3:F575), "0000")</f>
        <v/>
      </c>
      <c r="H575" s="167" t="inlineStr">
        <is>
          <t>個</t>
        </is>
      </c>
      <c r="I575" s="167" t="n">
        <v>60</v>
      </c>
      <c r="J575" s="167" t="n">
        <v>60</v>
      </c>
      <c r="K575" s="167" t="n"/>
      <c r="L575" s="289" t="n">
        <v>700</v>
      </c>
      <c r="M575" s="157" t="n">
        <v>46052</v>
      </c>
      <c r="N575" s="289" t="n">
        <v>833.33</v>
      </c>
      <c r="O575" s="290">
        <f>IF(COUNT(商品マスタ[[#This Row],[参考上代
（税込)]]) &gt; 0, (商品マスタ[[#This Row],[参考上代
（税込)]]-商品マスタ[[#This Row],[国内定価
（15％）]])/(商品マスタ[[#This Row],[参考上代
（税込)]]/1.08), "")</f>
        <v/>
      </c>
      <c r="P575" s="136" t="n">
        <v>0.1</v>
      </c>
      <c r="Q575" s="289">
        <f>商品マスタ[[#This Row],[仕入
単価]]*商品マスタ[[#This Row],[標準国内送料率]]</f>
        <v/>
      </c>
      <c r="R575" s="289" t="n"/>
      <c r="S575" s="289">
        <f>IF(ISBLANK(商品マスタ[[#This Row],[実績
国内送料]]),商品マスタ[[#This Row],[標準国内送料]],)</f>
        <v/>
      </c>
      <c r="T575" s="289">
        <f>商品マスタ[[#This Row],[仕入
単価]]+商品マスタ[[#This Row],[国内送料]]</f>
        <v/>
      </c>
      <c r="U575" s="289">
        <f>ROUNDUP(商品マスタ[[#This Row],[仕入単価+国内送料]]/0.8,-1)</f>
        <v/>
      </c>
      <c r="V575" s="289">
        <f>商品マスタ[[#This Row],[海外定価
（20％）]]-商品マスタ[[#This Row],[仕入単価+国内送料]]</f>
        <v/>
      </c>
      <c r="W575" s="167">
        <f>ROUNDUP(商品マスタ[[#This Row],[仕入単価+国内送料]]/0.85,-1)</f>
        <v/>
      </c>
      <c r="X575" s="289">
        <f>商品マスタ[[#This Row],[国内定価
（15％）]]-商品マスタ[[#This Row],[仕入単価+国内送料]]</f>
        <v/>
      </c>
      <c r="Y575" s="139" t="n">
        <v>0.08</v>
      </c>
      <c r="Z575" s="167" t="inlineStr">
        <is>
          <t>30日</t>
        </is>
      </c>
      <c r="AA575" s="167" t="inlineStr">
        <is>
          <t>冷蔵</t>
        </is>
      </c>
      <c r="AB575" s="167" t="inlineStr">
        <is>
          <t>3日</t>
        </is>
      </c>
      <c r="AC575" s="293" t="n">
        <v>4539297310302</v>
      </c>
      <c r="AD575" s="167" t="inlineStr">
        <is>
          <t>成分無調整の生乳を使い深いコクとなめらかさにもこだ
わったカマンベールチーズ。2012年JAL国際線ファーストク
ラス機内食に採用。</t>
        </is>
      </c>
      <c r="AE575" s="167" t="n"/>
      <c r="AF575" s="167" t="n"/>
      <c r="AG575" s="144" t="inlineStr">
        <is>
          <t>価格は関西着設定の送料込ロット割れの場合送料＋1500円</t>
        </is>
      </c>
    </row>
    <row r="576" ht="18" customHeight="1" s="207">
      <c r="A576" s="166" t="inlineStr">
        <is>
          <t>水産</t>
        </is>
      </c>
      <c r="B576" s="167" t="inlineStr">
        <is>
          <t>水産物</t>
        </is>
      </c>
      <c r="C576" s="167" t="inlineStr">
        <is>
          <t>株式会社フジタコーポレーション</t>
        </is>
      </c>
      <c r="D576" s="143">
        <f>"PRD_SNJ_"&amp;
_xlfn.XLOOKUP(商品マスタ[[#This Row],[仕入先]],テーブル1[仕入先名],テーブル1[仕入先コード],"XXX",0,1)&amp;
"_"&amp;
商品マスタ[[#This Row],[シリアル]]&amp;
"_"&amp;
TEXT(COUNTIFS(商品マスタ!$C$3:C576,商品マスタ[[#This Row],[仕入先]],商品マスタ!$E$3:E576,商品マスタ[[#This Row],[商品名]]), "00")</f>
        <v/>
      </c>
      <c r="E576" s="167" t="inlineStr">
        <is>
          <t>くろまつない
ホワイトブルーチーズ</t>
        </is>
      </c>
      <c r="F576" s="167">
        <f>IF(COUNTIFS($C$3:C576,商品マスタ[[#This Row],[仕入先]],$E$3:E576,商品マスタ[[#This Row],[商品名]]) = 1, 1,0)</f>
        <v/>
      </c>
      <c r="G576" s="133">
        <f>TEXT(SUMIF($C$3:C576,商品マスタ[[#This Row],[仕入先]],$F$3:F576), "0000")</f>
        <v/>
      </c>
      <c r="H576" s="167" t="inlineStr">
        <is>
          <t>個</t>
        </is>
      </c>
      <c r="I576" s="167" t="n">
        <v>60</v>
      </c>
      <c r="J576" s="167" t="n">
        <v>60</v>
      </c>
      <c r="K576" s="167" t="n"/>
      <c r="L576" s="289" t="n">
        <v>700</v>
      </c>
      <c r="M576" s="157" t="n">
        <v>46052</v>
      </c>
      <c r="N576" s="289" t="n">
        <v>833.33</v>
      </c>
      <c r="O576" s="290">
        <f>IF(COUNT(商品マスタ[[#This Row],[参考上代
（税込)]]) &gt; 0, (商品マスタ[[#This Row],[参考上代
（税込)]]-商品マスタ[[#This Row],[国内定価
（15％）]])/(商品マスタ[[#This Row],[参考上代
（税込)]]/1.08), "")</f>
        <v/>
      </c>
      <c r="P576" s="136" t="n">
        <v>0.1</v>
      </c>
      <c r="Q576" s="289">
        <f>商品マスタ[[#This Row],[仕入
単価]]*商品マスタ[[#This Row],[標準国内送料率]]</f>
        <v/>
      </c>
      <c r="R576" s="289" t="n"/>
      <c r="S576" s="289">
        <f>IF(ISBLANK(商品マスタ[[#This Row],[実績
国内送料]]),商品マスタ[[#This Row],[標準国内送料]],)</f>
        <v/>
      </c>
      <c r="T576" s="289">
        <f>商品マスタ[[#This Row],[仕入
単価]]+商品マスタ[[#This Row],[国内送料]]</f>
        <v/>
      </c>
      <c r="U576" s="289">
        <f>ROUNDUP(商品マスタ[[#This Row],[仕入単価+国内送料]]/0.8,-1)</f>
        <v/>
      </c>
      <c r="V576" s="289">
        <f>商品マスタ[[#This Row],[海外定価
（20％）]]-商品マスタ[[#This Row],[仕入単価+国内送料]]</f>
        <v/>
      </c>
      <c r="W576" s="167">
        <f>ROUNDUP(商品マスタ[[#This Row],[仕入単価+国内送料]]/0.85,-1)</f>
        <v/>
      </c>
      <c r="X576" s="289">
        <f>商品マスタ[[#This Row],[国内定価
（15％）]]-商品マスタ[[#This Row],[仕入単価+国内送料]]</f>
        <v/>
      </c>
      <c r="Y576" s="139" t="n">
        <v>0.08</v>
      </c>
      <c r="Z576" s="167" t="inlineStr">
        <is>
          <t>180日</t>
        </is>
      </c>
      <c r="AA576" s="167" t="inlineStr">
        <is>
          <t>冷蔵</t>
        </is>
      </c>
      <c r="AB576" s="167" t="inlineStr">
        <is>
          <t>3日</t>
        </is>
      </c>
      <c r="AC576" s="293" t="n">
        <v>4539297310203</v>
      </c>
      <c r="AD576" s="167" t="inlineStr">
        <is>
          <t>内部は青カビ・外部は白カビの力を借りて熟成させることに
よりクリーミーで食べやすいブルーチーズに仕上げていま
す。第１回ALL JAPAN ナチュラルチーズコンテスト優秀賞
受賞。</t>
        </is>
      </c>
      <c r="AE576" s="167" t="n"/>
      <c r="AF576" s="167" t="n"/>
      <c r="AG576" s="144" t="inlineStr">
        <is>
          <t>価格は関西着設定の送料込ロット割れの場合送料＋1500円</t>
        </is>
      </c>
    </row>
    <row r="577" ht="18" customHeight="1" s="207">
      <c r="A577" s="166" t="inlineStr">
        <is>
          <t>水産</t>
        </is>
      </c>
      <c r="B577" s="167" t="inlineStr">
        <is>
          <t>水産物</t>
        </is>
      </c>
      <c r="C577" s="167" t="inlineStr">
        <is>
          <t>株式会社フジタコーポレーション</t>
        </is>
      </c>
      <c r="D577" s="143">
        <f>"PRD_SNJ_"&amp;
_xlfn.XLOOKUP(商品マスタ[[#This Row],[仕入先]],テーブル1[仕入先名],テーブル1[仕入先コード],"XXX",0,1)&amp;
"_"&amp;
商品マスタ[[#This Row],[シリアル]]&amp;
"_"&amp;
TEXT(COUNTIFS(商品マスタ!$C$3:C577,商品マスタ[[#This Row],[仕入先]],商品マスタ!$E$3:E577,商品マスタ[[#This Row],[商品名]]), "00")</f>
        <v/>
      </c>
      <c r="E577" s="167" t="inlineStr">
        <is>
          <t>くろまつない
ホワイトブルーチーズ
（生タイプ）</t>
        </is>
      </c>
      <c r="F577" s="167">
        <f>IF(COUNTIFS($C$3:C577,商品マスタ[[#This Row],[仕入先]],$E$3:E577,商品マスタ[[#This Row],[商品名]]) = 1, 1,0)</f>
        <v/>
      </c>
      <c r="G577" s="133">
        <f>TEXT(SUMIF($C$3:C577,商品マスタ[[#This Row],[仕入先]],$F$3:F577), "0000")</f>
        <v/>
      </c>
      <c r="H577" s="167" t="inlineStr">
        <is>
          <t>個</t>
        </is>
      </c>
      <c r="I577" s="167" t="n">
        <v>60</v>
      </c>
      <c r="J577" s="167" t="n">
        <v>60</v>
      </c>
      <c r="K577" s="167" t="n"/>
      <c r="L577" s="289" t="n">
        <v>700</v>
      </c>
      <c r="M577" s="157" t="n">
        <v>46052</v>
      </c>
      <c r="N577" s="289" t="n">
        <v>833.33</v>
      </c>
      <c r="O577" s="290">
        <f>IF(COUNT(商品マスタ[[#This Row],[参考上代
（税込)]]) &gt; 0, (商品マスタ[[#This Row],[参考上代
（税込)]]-商品マスタ[[#This Row],[国内定価
（15％）]])/(商品マスタ[[#This Row],[参考上代
（税込)]]/1.08), "")</f>
        <v/>
      </c>
      <c r="P577" s="136" t="n">
        <v>0.1</v>
      </c>
      <c r="Q577" s="289">
        <f>商品マスタ[[#This Row],[仕入
単価]]*商品マスタ[[#This Row],[標準国内送料率]]</f>
        <v/>
      </c>
      <c r="R577" s="289" t="n"/>
      <c r="S577" s="289">
        <f>IF(ISBLANK(商品マスタ[[#This Row],[実績
国内送料]]),商品マスタ[[#This Row],[標準国内送料]],)</f>
        <v/>
      </c>
      <c r="T577" s="289">
        <f>商品マスタ[[#This Row],[仕入
単価]]+商品マスタ[[#This Row],[国内送料]]</f>
        <v/>
      </c>
      <c r="U577" s="289">
        <f>ROUNDUP(商品マスタ[[#This Row],[仕入単価+国内送料]]/0.8,-1)</f>
        <v/>
      </c>
      <c r="V577" s="289">
        <f>商品マスタ[[#This Row],[海外定価
（20％）]]-商品マスタ[[#This Row],[仕入単価+国内送料]]</f>
        <v/>
      </c>
      <c r="W577" s="167">
        <f>ROUNDUP(商品マスタ[[#This Row],[仕入単価+国内送料]]/0.85,-1)</f>
        <v/>
      </c>
      <c r="X577" s="289">
        <f>商品マスタ[[#This Row],[国内定価
（15％）]]-商品マスタ[[#This Row],[仕入単価+国内送料]]</f>
        <v/>
      </c>
      <c r="Y577" s="139" t="n">
        <v>0.08</v>
      </c>
      <c r="Z577" s="167" t="inlineStr">
        <is>
          <t>40日</t>
        </is>
      </c>
      <c r="AA577" s="167" t="inlineStr">
        <is>
          <t>冷蔵</t>
        </is>
      </c>
      <c r="AB577" s="167" t="inlineStr">
        <is>
          <t>3日</t>
        </is>
      </c>
      <c r="AC577" s="293" t="n">
        <v>4539297310104</v>
      </c>
      <c r="AD577" s="167" t="inlineStr">
        <is>
          <t>内部は青カビ・外部は白カビの力を借りて熟成させることに
よりクリーミーで食べやすいブルーチーズに仕上げていま
す。第１回ALL JAPAN ナチュラルチーズコンテスト優秀賞
受賞。</t>
        </is>
      </c>
      <c r="AE577" s="167" t="n"/>
      <c r="AF577" s="167" t="n"/>
      <c r="AG577" s="144" t="inlineStr">
        <is>
          <t>価格は関西着設定の送料込ロット割れの場合送料＋1500円</t>
        </is>
      </c>
    </row>
    <row r="578" ht="18" customHeight="1" s="207">
      <c r="A578" s="166" t="inlineStr">
        <is>
          <t>水産</t>
        </is>
      </c>
      <c r="B578" s="167" t="inlineStr">
        <is>
          <t>水産物</t>
        </is>
      </c>
      <c r="C578" s="167" t="inlineStr">
        <is>
          <t>株式会社フジタコーポレーション</t>
        </is>
      </c>
      <c r="D578" s="143">
        <f>"PRD_SNJ_"&amp;
_xlfn.XLOOKUP(商品マスタ[[#This Row],[仕入先]],テーブル1[仕入先名],テーブル1[仕入先コード],"XXX",0,1)&amp;
"_"&amp;
商品マスタ[[#This Row],[シリアル]]&amp;
"_"&amp;
TEXT(COUNTIFS(商品マスタ!$C$3:C578,商品マスタ[[#This Row],[仕入先]],商品マスタ!$E$3:E578,商品マスタ[[#This Row],[商品名]]), "00")</f>
        <v/>
      </c>
      <c r="E578" s="167" t="inlineStr">
        <is>
          <t>くろまつない
ブルーチーズ</t>
        </is>
      </c>
      <c r="F578" s="167">
        <f>IF(COUNTIFS($C$3:C578,商品マスタ[[#This Row],[仕入先]],$E$3:E578,商品マスタ[[#This Row],[商品名]]) = 1, 1,0)</f>
        <v/>
      </c>
      <c r="G578" s="133">
        <f>TEXT(SUMIF($C$3:C578,商品マスタ[[#This Row],[仕入先]],$F$3:F578), "0000")</f>
        <v/>
      </c>
      <c r="H578" s="167" t="inlineStr">
        <is>
          <t>個</t>
        </is>
      </c>
      <c r="I578" s="167" t="n">
        <v>40</v>
      </c>
      <c r="J578" s="167" t="n">
        <v>40</v>
      </c>
      <c r="K578" s="167" t="n"/>
      <c r="L578" s="289" t="n">
        <v>1375</v>
      </c>
      <c r="M578" s="157" t="n">
        <v>46052</v>
      </c>
      <c r="N578" s="289" t="n">
        <v>1666.67</v>
      </c>
      <c r="O578" s="290">
        <f>IF(COUNT(商品マスタ[[#This Row],[参考上代
（税込)]]) &gt; 0, (商品マスタ[[#This Row],[参考上代
（税込)]]-商品マスタ[[#This Row],[国内定価
（15％）]])/(商品マスタ[[#This Row],[参考上代
（税込)]]/1.08), "")</f>
        <v/>
      </c>
      <c r="P578" s="136" t="n">
        <v>0.1</v>
      </c>
      <c r="Q578" s="289">
        <f>商品マスタ[[#This Row],[仕入
単価]]*商品マスタ[[#This Row],[標準国内送料率]]</f>
        <v/>
      </c>
      <c r="R578" s="289" t="n"/>
      <c r="S578" s="289">
        <f>IF(ISBLANK(商品マスタ[[#This Row],[実績
国内送料]]),商品マスタ[[#This Row],[標準国内送料]],)</f>
        <v/>
      </c>
      <c r="T578" s="289">
        <f>商品マスタ[[#This Row],[仕入
単価]]+商品マスタ[[#This Row],[国内送料]]</f>
        <v/>
      </c>
      <c r="U578" s="289">
        <f>ROUNDUP(商品マスタ[[#This Row],[仕入単価+国内送料]]/0.8,-1)</f>
        <v/>
      </c>
      <c r="V578" s="289">
        <f>商品マスタ[[#This Row],[海外定価
（20％）]]-商品マスタ[[#This Row],[仕入単価+国内送料]]</f>
        <v/>
      </c>
      <c r="W578" s="167">
        <f>ROUNDUP(商品マスタ[[#This Row],[仕入単価+国内送料]]/0.85,-1)</f>
        <v/>
      </c>
      <c r="X578" s="289">
        <f>商品マスタ[[#This Row],[国内定価
（15％）]]-商品マスタ[[#This Row],[仕入単価+国内送料]]</f>
        <v/>
      </c>
      <c r="Y578" s="139" t="n">
        <v>0.08</v>
      </c>
      <c r="Z578" s="167" t="inlineStr">
        <is>
          <t>75日</t>
        </is>
      </c>
      <c r="AA578" s="167" t="inlineStr">
        <is>
          <t>冷蔵</t>
        </is>
      </c>
      <c r="AB578" s="167" t="inlineStr">
        <is>
          <t>3日</t>
        </is>
      </c>
      <c r="AC578" s="293" t="n">
        <v>4539297110704</v>
      </c>
      <c r="AD578" s="167" t="inlineStr">
        <is>
          <t>約２カ月熟成させ、青カビ特有の風味を抑え、塩分も控えて
食べやすく仕上げた商品です。2013年･2014年JAL国際線
ファーストクラス機内食に採用。</t>
        </is>
      </c>
      <c r="AE578" s="167" t="n"/>
      <c r="AF578" s="167" t="n"/>
      <c r="AG578" s="144" t="inlineStr">
        <is>
          <t>価格は関西着設定の送料込ロット割れの場合送料＋1500円</t>
        </is>
      </c>
    </row>
    <row r="579" ht="18" customHeight="1" s="207">
      <c r="A579" s="166" t="inlineStr">
        <is>
          <t>水産</t>
        </is>
      </c>
      <c r="B579" s="167" t="inlineStr">
        <is>
          <t>水産物</t>
        </is>
      </c>
      <c r="C579" s="167" t="inlineStr">
        <is>
          <t>株式会社フジタコーポレーション</t>
        </is>
      </c>
      <c r="D579" s="143">
        <f>"PRD_SNJ_"&amp;
_xlfn.XLOOKUP(商品マスタ[[#This Row],[仕入先]],テーブル1[仕入先名],テーブル1[仕入先コード],"XXX",0,1)&amp;
"_"&amp;
商品マスタ[[#This Row],[シリアル]]&amp;
"_"&amp;
TEXT(COUNTIFS(商品マスタ!$C$3:C579,商品マスタ[[#This Row],[仕入先]],商品マスタ!$E$3:E579,商品マスタ[[#This Row],[商品名]]), "00")</f>
        <v/>
      </c>
      <c r="E579" s="167" t="inlineStr">
        <is>
          <t>くろまつないのゴーダ（長期熟成）</t>
        </is>
      </c>
      <c r="F579" s="167">
        <f>IF(COUNTIFS($C$3:C579,商品マスタ[[#This Row],[仕入先]],$E$3:E579,商品マスタ[[#This Row],[商品名]]) = 1, 1,0)</f>
        <v/>
      </c>
      <c r="G579" s="133">
        <f>TEXT(SUMIF($C$3:C579,商品マスタ[[#This Row],[仕入先]],$F$3:F579), "0000")</f>
        <v/>
      </c>
      <c r="H579" s="167" t="inlineStr">
        <is>
          <t>個</t>
        </is>
      </c>
      <c r="I579" s="167" t="n">
        <v>60</v>
      </c>
      <c r="J579" s="167" t="n">
        <v>60</v>
      </c>
      <c r="K579" s="167" t="n"/>
      <c r="L579" s="289" t="n">
        <v>775</v>
      </c>
      <c r="M579" s="157" t="n">
        <v>46052</v>
      </c>
      <c r="N579" s="289" t="n">
        <v>925.9299999999999</v>
      </c>
      <c r="O579" s="290">
        <f>IF(COUNT(商品マスタ[[#This Row],[参考上代
（税込)]]) &gt; 0, (商品マスタ[[#This Row],[参考上代
（税込)]]-商品マスタ[[#This Row],[国内定価
（15％）]])/(商品マスタ[[#This Row],[参考上代
（税込)]]/1.08), "")</f>
        <v/>
      </c>
      <c r="P579" s="136" t="n">
        <v>0.1</v>
      </c>
      <c r="Q579" s="289">
        <f>商品マスタ[[#This Row],[仕入
単価]]*商品マスタ[[#This Row],[標準国内送料率]]</f>
        <v/>
      </c>
      <c r="R579" s="289" t="n"/>
      <c r="S579" s="289">
        <f>IF(ISBLANK(商品マスタ[[#This Row],[実績
国内送料]]),商品マスタ[[#This Row],[標準国内送料]],)</f>
        <v/>
      </c>
      <c r="T579" s="289">
        <f>商品マスタ[[#This Row],[仕入
単価]]+商品マスタ[[#This Row],[国内送料]]</f>
        <v/>
      </c>
      <c r="U579" s="289">
        <f>ROUNDUP(商品マスタ[[#This Row],[仕入単価+国内送料]]/0.8,-1)</f>
        <v/>
      </c>
      <c r="V579" s="289">
        <f>商品マスタ[[#This Row],[海外定価
（20％）]]-商品マスタ[[#This Row],[仕入単価+国内送料]]</f>
        <v/>
      </c>
      <c r="W579" s="167">
        <f>ROUNDUP(商品マスタ[[#This Row],[仕入単価+国内送料]]/0.85,-1)</f>
        <v/>
      </c>
      <c r="X579" s="289">
        <f>商品マスタ[[#This Row],[国内定価
（15％）]]-商品マスタ[[#This Row],[仕入単価+国内送料]]</f>
        <v/>
      </c>
      <c r="Y579" s="139" t="n">
        <v>0.08</v>
      </c>
      <c r="Z579" s="167" t="inlineStr">
        <is>
          <t>75日</t>
        </is>
      </c>
      <c r="AA579" s="167" t="inlineStr">
        <is>
          <t>冷蔵</t>
        </is>
      </c>
      <c r="AB579" s="167" t="inlineStr">
        <is>
          <t>3日</t>
        </is>
      </c>
      <c r="AC579" s="293" t="n">
        <v>4539297310807</v>
      </c>
      <c r="AD579" s="167" t="inlineStr">
        <is>
          <t>１年以上熟成させた長期熟成のゴーダは、独特の風味とコ
クのある旨みを感じながら楽しめる商品です。そのままで
も、焼いても、溶かしても、野菜につけても良いです。2023
ワールドチーズアワード銀賞受賞。</t>
        </is>
      </c>
      <c r="AE579" s="167" t="n"/>
      <c r="AF579" s="167" t="n"/>
      <c r="AG579" s="144" t="inlineStr">
        <is>
          <t>価格は関西着設定の送料込ロット割れの場合送料＋1500円</t>
        </is>
      </c>
    </row>
    <row r="580" ht="18" customHeight="1" s="207">
      <c r="A580" s="166" t="inlineStr">
        <is>
          <t>水産</t>
        </is>
      </c>
      <c r="B580" s="167" t="inlineStr">
        <is>
          <t>水産物</t>
        </is>
      </c>
      <c r="C580" s="167" t="inlineStr">
        <is>
          <t>株式会社フジタコーポレーション</t>
        </is>
      </c>
      <c r="D580" s="143">
        <f>"PRD_SNJ_"&amp;
_xlfn.XLOOKUP(商品マスタ[[#This Row],[仕入先]],テーブル1[仕入先名],テーブル1[仕入先コード],"XXX",0,1)&amp;
"_"&amp;
商品マスタ[[#This Row],[シリアル]]&amp;
"_"&amp;
TEXT(COUNTIFS(商品マスタ!$C$3:C580,商品マスタ[[#This Row],[仕入先]],商品マスタ!$E$3:E580,商品マスタ[[#This Row],[商品名]]), "00")</f>
        <v/>
      </c>
      <c r="E580" s="167" t="inlineStr">
        <is>
          <t>くろまつないのゴーダ（キューブカット）</t>
        </is>
      </c>
      <c r="F580" s="167">
        <f>IF(COUNTIFS($C$3:C580,商品マスタ[[#This Row],[仕入先]],$E$3:E580,商品マスタ[[#This Row],[商品名]]) = 1, 1,0)</f>
        <v/>
      </c>
      <c r="G580" s="133">
        <f>TEXT(SUMIF($C$3:C580,商品マスタ[[#This Row],[仕入先]],$F$3:F580), "0000")</f>
        <v/>
      </c>
      <c r="H580" s="167" t="inlineStr">
        <is>
          <t>個</t>
        </is>
      </c>
      <c r="I580" s="167" t="n">
        <v>60</v>
      </c>
      <c r="J580" s="167" t="n">
        <v>60</v>
      </c>
      <c r="K580" s="167" t="n"/>
      <c r="L580" s="289" t="n">
        <v>625</v>
      </c>
      <c r="M580" s="157" t="n">
        <v>46052</v>
      </c>
      <c r="N580" s="289" t="n">
        <v>740.74</v>
      </c>
      <c r="O580" s="290">
        <f>IF(COUNT(商品マスタ[[#This Row],[参考上代
（税込)]]) &gt; 0, (商品マスタ[[#This Row],[参考上代
（税込)]]-商品マスタ[[#This Row],[国内定価
（15％）]])/(商品マスタ[[#This Row],[参考上代
（税込)]]/1.08), "")</f>
        <v/>
      </c>
      <c r="P580" s="136" t="n">
        <v>0.1</v>
      </c>
      <c r="Q580" s="289">
        <f>商品マスタ[[#This Row],[仕入
単価]]*商品マスタ[[#This Row],[標準国内送料率]]</f>
        <v/>
      </c>
      <c r="R580" s="289" t="n"/>
      <c r="S580" s="289">
        <f>IF(ISBLANK(商品マスタ[[#This Row],[実績
国内送料]]),商品マスタ[[#This Row],[標準国内送料]],)</f>
        <v/>
      </c>
      <c r="T580" s="289">
        <f>商品マスタ[[#This Row],[仕入
単価]]+商品マスタ[[#This Row],[国内送料]]</f>
        <v/>
      </c>
      <c r="U580" s="289">
        <f>ROUNDUP(商品マスタ[[#This Row],[仕入単価+国内送料]]/0.8,-1)</f>
        <v/>
      </c>
      <c r="V580" s="289">
        <f>商品マスタ[[#This Row],[海外定価
（20％）]]-商品マスタ[[#This Row],[仕入単価+国内送料]]</f>
        <v/>
      </c>
      <c r="W580" s="167">
        <f>ROUNDUP(商品マスタ[[#This Row],[仕入単価+国内送料]]/0.85,-1)</f>
        <v/>
      </c>
      <c r="X580" s="289">
        <f>商品マスタ[[#This Row],[国内定価
（15％）]]-商品マスタ[[#This Row],[仕入単価+国内送料]]</f>
        <v/>
      </c>
      <c r="Y580" s="139" t="n">
        <v>0.08</v>
      </c>
      <c r="Z580" s="167" t="inlineStr">
        <is>
          <t>75日</t>
        </is>
      </c>
      <c r="AA580" s="167" t="inlineStr">
        <is>
          <t>冷蔵</t>
        </is>
      </c>
      <c r="AB580" s="167" t="inlineStr">
        <is>
          <t>3日</t>
        </is>
      </c>
      <c r="AC580" s="293" t="n">
        <v>4539297310739</v>
      </c>
      <c r="AD580" s="167" t="inlineStr">
        <is>
          <t>4ヶ月以上じっくりと熟成させることで、クリーミーで風味豊
かなチーズが生まれ、熟成が進むほどに増す奥深い味わ
いが特徴です。</t>
        </is>
      </c>
      <c r="AE580" s="167" t="n"/>
      <c r="AF580" s="167" t="n"/>
      <c r="AG580" s="144" t="inlineStr">
        <is>
          <t>価格は関西着設定の送料込ロット割れの場合送料＋1500円</t>
        </is>
      </c>
    </row>
    <row r="581" ht="18" customHeight="1" s="207">
      <c r="A581" s="166" t="inlineStr">
        <is>
          <t>水産</t>
        </is>
      </c>
      <c r="B581" s="167" t="inlineStr">
        <is>
          <t>水産物</t>
        </is>
      </c>
      <c r="C581" s="167" t="inlineStr">
        <is>
          <t>株式会社フジタコーポレーション</t>
        </is>
      </c>
      <c r="D581" s="143">
        <f>"PRD_SNJ_"&amp;
_xlfn.XLOOKUP(商品マスタ[[#This Row],[仕入先]],テーブル1[仕入先名],テーブル1[仕入先コード],"XXX",0,1)&amp;
"_"&amp;
商品マスタ[[#This Row],[シリアル]]&amp;
"_"&amp;
TEXT(COUNTIFS(商品マスタ!$C$3:C581,商品マスタ[[#This Row],[仕入先]],商品マスタ!$E$3:E581,商品マスタ[[#This Row],[商品名]]), "00")</f>
        <v/>
      </c>
      <c r="E581" s="167" t="inlineStr">
        <is>
          <t>くろまつない
ブルーチーズ（キュー
ブカット）</t>
        </is>
      </c>
      <c r="F581" s="167">
        <f>IF(COUNTIFS($C$3:C581,商品マスタ[[#This Row],[仕入先]],$E$3:E581,商品マスタ[[#This Row],[商品名]]) = 1, 1,0)</f>
        <v/>
      </c>
      <c r="G581" s="133">
        <f>TEXT(SUMIF($C$3:C581,商品マスタ[[#This Row],[仕入先]],$F$3:F581), "0000")</f>
        <v/>
      </c>
      <c r="H581" s="167" t="inlineStr">
        <is>
          <t>個</t>
        </is>
      </c>
      <c r="I581" s="167" t="n">
        <v>60</v>
      </c>
      <c r="J581" s="167" t="n">
        <v>60</v>
      </c>
      <c r="K581" s="167" t="n"/>
      <c r="L581" s="289" t="n">
        <v>550</v>
      </c>
      <c r="M581" s="157" t="n">
        <v>46052</v>
      </c>
      <c r="N581" s="289" t="n">
        <v>648.15</v>
      </c>
      <c r="O581" s="290">
        <f>IF(COUNT(商品マスタ[[#This Row],[参考上代
（税込)]]) &gt; 0, (商品マスタ[[#This Row],[参考上代
（税込)]]-商品マスタ[[#This Row],[国内定価
（15％）]])/(商品マスタ[[#This Row],[参考上代
（税込)]]/1.08), "")</f>
        <v/>
      </c>
      <c r="P581" s="136" t="n">
        <v>0.1</v>
      </c>
      <c r="Q581" s="289">
        <f>商品マスタ[[#This Row],[仕入
単価]]*商品マスタ[[#This Row],[標準国内送料率]]</f>
        <v/>
      </c>
      <c r="R581" s="289" t="n"/>
      <c r="S581" s="289">
        <f>IF(ISBLANK(商品マスタ[[#This Row],[実績
国内送料]]),商品マスタ[[#This Row],[標準国内送料]],)</f>
        <v/>
      </c>
      <c r="T581" s="289">
        <f>商品マスタ[[#This Row],[仕入
単価]]+商品マスタ[[#This Row],[国内送料]]</f>
        <v/>
      </c>
      <c r="U581" s="289">
        <f>ROUNDUP(商品マスタ[[#This Row],[仕入単価+国内送料]]/0.8,-1)</f>
        <v/>
      </c>
      <c r="V581" s="289">
        <f>商品マスタ[[#This Row],[海外定価
（20％）]]-商品マスタ[[#This Row],[仕入単価+国内送料]]</f>
        <v/>
      </c>
      <c r="W581" s="167">
        <f>ROUNDUP(商品マスタ[[#This Row],[仕入単価+国内送料]]/0.85,-1)</f>
        <v/>
      </c>
      <c r="X581" s="289">
        <f>商品マスタ[[#This Row],[国内定価
（15％）]]-商品マスタ[[#This Row],[仕入単価+国内送料]]</f>
        <v/>
      </c>
      <c r="Y581" s="139" t="n">
        <v>0.08</v>
      </c>
      <c r="Z581" s="167" t="inlineStr">
        <is>
          <t>75日</t>
        </is>
      </c>
      <c r="AA581" s="167" t="inlineStr">
        <is>
          <t>冷蔵</t>
        </is>
      </c>
      <c r="AB581" s="167" t="inlineStr">
        <is>
          <t>3日</t>
        </is>
      </c>
      <c r="AC581" s="293" t="n">
        <v>4539297310616</v>
      </c>
      <c r="AD581" s="167" t="inlineStr">
        <is>
          <t>約２カ月熟成させ、青カビ特有の風味を抑え、塩分も控えて
食べやすく仕上げた商品です。2013年･2014年JAL国際線
ファーストクラス機内食に採用。2022年JAPAN　CHEESE
AWARD　銅賞受賞のブルーチーズを食べやすくカットして
います。</t>
        </is>
      </c>
      <c r="AE581" s="167" t="n"/>
      <c r="AF581" s="167" t="n"/>
      <c r="AG581" s="144" t="inlineStr">
        <is>
          <t>価格は関西着設定の送料込ロット割れの場合送料＋1500円</t>
        </is>
      </c>
    </row>
    <row r="582" ht="18" customHeight="1" s="207">
      <c r="A582" s="166" t="inlineStr">
        <is>
          <t>水産</t>
        </is>
      </c>
      <c r="B582" s="167" t="inlineStr">
        <is>
          <t>水産物</t>
        </is>
      </c>
      <c r="C582" s="167" t="inlineStr">
        <is>
          <t>株式会社フジタコーポレーション</t>
        </is>
      </c>
      <c r="D582" s="143">
        <f>"PRD_SNJ_"&amp;
_xlfn.XLOOKUP(商品マスタ[[#This Row],[仕入先]],テーブル1[仕入先名],テーブル1[仕入先コード],"XXX",0,1)&amp;
"_"&amp;
商品マスタ[[#This Row],[シリアル]]&amp;
"_"&amp;
TEXT(COUNTIFS(商品マスタ!$C$3:C582,商品マスタ[[#This Row],[仕入先]],商品マスタ!$E$3:E582,商品マスタ[[#This Row],[商品名]]), "00")</f>
        <v/>
      </c>
      <c r="E582" s="167" t="inlineStr">
        <is>
          <t>くろまつないクリームチーズ</t>
        </is>
      </c>
      <c r="F582" s="167">
        <f>IF(COUNTIFS($C$3:C582,商品マスタ[[#This Row],[仕入先]],$E$3:E582,商品マスタ[[#This Row],[商品名]]) = 1, 1,0)</f>
        <v/>
      </c>
      <c r="G582" s="133">
        <f>TEXT(SUMIF($C$3:C582,商品マスタ[[#This Row],[仕入先]],$F$3:F582), "0000")</f>
        <v/>
      </c>
      <c r="H582" s="167" t="inlineStr">
        <is>
          <t>個</t>
        </is>
      </c>
      <c r="I582" s="167" t="n">
        <v>60</v>
      </c>
      <c r="J582" s="167" t="n">
        <v>60</v>
      </c>
      <c r="K582" s="167" t="n"/>
      <c r="L582" s="289" t="n">
        <v>475</v>
      </c>
      <c r="M582" s="157" t="n">
        <v>46052</v>
      </c>
      <c r="N582" s="289" t="n">
        <v>555.5599999999999</v>
      </c>
      <c r="O582" s="290">
        <f>IF(COUNT(商品マスタ[[#This Row],[参考上代
（税込)]]) &gt; 0, (商品マスタ[[#This Row],[参考上代
（税込)]]-商品マスタ[[#This Row],[国内定価
（15％）]])/(商品マスタ[[#This Row],[参考上代
（税込)]]/1.08), "")</f>
        <v/>
      </c>
      <c r="P582" s="136" t="n">
        <v>0.1</v>
      </c>
      <c r="Q582" s="289">
        <f>商品マスタ[[#This Row],[仕入
単価]]*商品マスタ[[#This Row],[標準国内送料率]]</f>
        <v/>
      </c>
      <c r="R582" s="289" t="n"/>
      <c r="S582" s="289">
        <f>IF(ISBLANK(商品マスタ[[#This Row],[実績
国内送料]]),商品マスタ[[#This Row],[標準国内送料]],)</f>
        <v/>
      </c>
      <c r="T582" s="289">
        <f>商品マスタ[[#This Row],[仕入
単価]]+商品マスタ[[#This Row],[国内送料]]</f>
        <v/>
      </c>
      <c r="U582" s="289">
        <f>ROUNDUP(商品マスタ[[#This Row],[仕入単価+国内送料]]/0.8,-1)</f>
        <v/>
      </c>
      <c r="V582" s="289">
        <f>商品マスタ[[#This Row],[海外定価
（20％）]]-商品マスタ[[#This Row],[仕入単価+国内送料]]</f>
        <v/>
      </c>
      <c r="W582" s="167">
        <f>ROUNDUP(商品マスタ[[#This Row],[仕入単価+国内送料]]/0.85,-1)</f>
        <v/>
      </c>
      <c r="X582" s="289">
        <f>商品マスタ[[#This Row],[国内定価
（15％）]]-商品マスタ[[#This Row],[仕入単価+国内送料]]</f>
        <v/>
      </c>
      <c r="Y582" s="139" t="n">
        <v>0.08</v>
      </c>
      <c r="Z582" s="167" t="inlineStr">
        <is>
          <t>90日</t>
        </is>
      </c>
      <c r="AA582" s="167" t="inlineStr">
        <is>
          <t>冷蔵</t>
        </is>
      </c>
      <c r="AB582" s="167" t="inlineStr">
        <is>
          <t>3日</t>
        </is>
      </c>
      <c r="AC582" s="293" t="n">
        <v>4539297310500</v>
      </c>
      <c r="AD582" s="167" t="inlineStr">
        <is>
          <t>程よい酸味の中にほのかな甘みがあり、滑らかな口当りが
特長です。第５回ALL JAPAN ナチュラルチーズコンテスト
優秀賞受賞。2022年JAPAN　CHEESE　AWARD　銅賞受
賞、2022年北海道地チーズ博（ソフト/フレッシュ部門）第1
位獲得。2024年北のハイグレード食品選定。</t>
        </is>
      </c>
      <c r="AE582" s="167" t="n"/>
      <c r="AF582" s="167" t="n"/>
      <c r="AG582" s="144" t="inlineStr">
        <is>
          <t>価格は関西着設定の送料込ロット割れの場合送料＋1500円</t>
        </is>
      </c>
    </row>
    <row r="583" ht="18" customHeight="1" s="207">
      <c r="A583" s="166" t="inlineStr">
        <is>
          <t>水産</t>
        </is>
      </c>
      <c r="B583" s="167" t="inlineStr">
        <is>
          <t>水産物</t>
        </is>
      </c>
      <c r="C583" s="167" t="inlineStr">
        <is>
          <t>株式会社フジタコーポレーション</t>
        </is>
      </c>
      <c r="D583" s="143">
        <f>"PRD_SNJ_"&amp;
_xlfn.XLOOKUP(商品マスタ[[#This Row],[仕入先]],テーブル1[仕入先名],テーブル1[仕入先コード],"XXX",0,1)&amp;
"_"&amp;
商品マスタ[[#This Row],[シリアル]]&amp;
"_"&amp;
TEXT(COUNTIFS(商品マスタ!$C$3:C583,商品マスタ[[#This Row],[仕入先]],商品マスタ!$E$3:E583,商品マスタ[[#This Row],[商品名]]), "00")</f>
        <v/>
      </c>
      <c r="E583" s="167" t="inlineStr">
        <is>
          <t>クリームチーズスプレッ
ド
（プレーン）</t>
        </is>
      </c>
      <c r="F583" s="167">
        <f>IF(COUNTIFS($C$3:C583,商品マスタ[[#This Row],[仕入先]],$E$3:E583,商品マスタ[[#This Row],[商品名]]) = 1, 1,0)</f>
        <v/>
      </c>
      <c r="G583" s="133">
        <f>TEXT(SUMIF($C$3:C583,商品マスタ[[#This Row],[仕入先]],$F$3:F583), "0000")</f>
        <v/>
      </c>
      <c r="H583" s="167" t="inlineStr">
        <is>
          <t>個</t>
        </is>
      </c>
      <c r="I583" s="167" t="n">
        <v>48</v>
      </c>
      <c r="J583" s="167" t="n">
        <v>48</v>
      </c>
      <c r="K583" s="167" t="n"/>
      <c r="L583" s="289" t="n">
        <v>705</v>
      </c>
      <c r="M583" s="157" t="n">
        <v>46052</v>
      </c>
      <c r="N583" s="289" t="n">
        <v>833.33</v>
      </c>
      <c r="O583" s="290">
        <f>IF(COUNT(商品マスタ[[#This Row],[参考上代
（税込)]]) &gt; 0, (商品マスタ[[#This Row],[参考上代
（税込)]]-商品マスタ[[#This Row],[国内定価
（15％）]])/(商品マスタ[[#This Row],[参考上代
（税込)]]/1.08), "")</f>
        <v/>
      </c>
      <c r="P583" s="136" t="n">
        <v>0.1</v>
      </c>
      <c r="Q583" s="289">
        <f>商品マスタ[[#This Row],[仕入
単価]]*商品マスタ[[#This Row],[標準国内送料率]]</f>
        <v/>
      </c>
      <c r="R583" s="289" t="n"/>
      <c r="S583" s="289">
        <f>IF(ISBLANK(商品マスタ[[#This Row],[実績
国内送料]]),商品マスタ[[#This Row],[標準国内送料]],)</f>
        <v/>
      </c>
      <c r="T583" s="289">
        <f>商品マスタ[[#This Row],[仕入
単価]]+商品マスタ[[#This Row],[国内送料]]</f>
        <v/>
      </c>
      <c r="U583" s="289">
        <f>ROUNDUP(商品マスタ[[#This Row],[仕入単価+国内送料]]/0.8,-1)</f>
        <v/>
      </c>
      <c r="V583" s="289">
        <f>商品マスタ[[#This Row],[海外定価
（20％）]]-商品マスタ[[#This Row],[仕入単価+国内送料]]</f>
        <v/>
      </c>
      <c r="W583" s="167">
        <f>ROUNDUP(商品マスタ[[#This Row],[仕入単価+国内送料]]/0.85,-1)</f>
        <v/>
      </c>
      <c r="X583" s="289">
        <f>商品マスタ[[#This Row],[国内定価
（15％）]]-商品マスタ[[#This Row],[仕入単価+国内送料]]</f>
        <v/>
      </c>
      <c r="Y583" s="139" t="n">
        <v>0.08</v>
      </c>
      <c r="Z583" s="167" t="inlineStr">
        <is>
          <t>90日</t>
        </is>
      </c>
      <c r="AA583" s="167" t="inlineStr">
        <is>
          <t>冷蔵</t>
        </is>
      </c>
      <c r="AB583" s="167" t="inlineStr">
        <is>
          <t>3日</t>
        </is>
      </c>
      <c r="AC583" s="293" t="n">
        <v>4539297310906</v>
      </c>
      <c r="AD583" s="167" t="inlineStr">
        <is>
          <t>黒松内町の酪農家さんの搾りたて生乳を使用し、程よい酸
味とほのかな甘みがある塗るタイプのクリームチーズで
す。</t>
        </is>
      </c>
      <c r="AE583" s="167" t="n"/>
      <c r="AF583" s="167" t="n"/>
      <c r="AG583" s="144" t="inlineStr">
        <is>
          <t>価格は関西着設定の送料込ロット割れの場合送料＋1500円</t>
        </is>
      </c>
    </row>
    <row r="584" ht="18" customHeight="1" s="207">
      <c r="A584" s="166" t="inlineStr">
        <is>
          <t>水産</t>
        </is>
      </c>
      <c r="B584" s="167" t="inlineStr">
        <is>
          <t>水産物</t>
        </is>
      </c>
      <c r="C584" s="167" t="inlineStr">
        <is>
          <t>株式会社フジタコーポレーション</t>
        </is>
      </c>
      <c r="D584" s="143">
        <f>"PRD_SNJ_"&amp;
_xlfn.XLOOKUP(商品マスタ[[#This Row],[仕入先]],テーブル1[仕入先名],テーブル1[仕入先コード],"XXX",0,1)&amp;
"_"&amp;
商品マスタ[[#This Row],[シリアル]]&amp;
"_"&amp;
TEXT(COUNTIFS(商品マスタ!$C$3:C584,商品マスタ[[#This Row],[仕入先]],商品マスタ!$E$3:E584,商品マスタ[[#This Row],[商品名]]), "00")</f>
        <v/>
      </c>
      <c r="E584" s="167" t="inlineStr">
        <is>
          <t>クリームチーズスプレッ
ド（カシス）</t>
        </is>
      </c>
      <c r="F584" s="167">
        <f>IF(COUNTIFS($C$3:C584,商品マスタ[[#This Row],[仕入先]],$E$3:E584,商品マスタ[[#This Row],[商品名]]) = 1, 1,0)</f>
        <v/>
      </c>
      <c r="G584" s="133">
        <f>TEXT(SUMIF($C$3:C584,商品マスタ[[#This Row],[仕入先]],$F$3:F584), "0000")</f>
        <v/>
      </c>
      <c r="H584" s="167" t="inlineStr">
        <is>
          <t>個</t>
        </is>
      </c>
      <c r="I584" s="167" t="n">
        <v>48</v>
      </c>
      <c r="J584" s="167" t="n">
        <v>48</v>
      </c>
      <c r="K584" s="167" t="n"/>
      <c r="L584" s="289" t="n">
        <v>705</v>
      </c>
      <c r="M584" s="157" t="n">
        <v>46052</v>
      </c>
      <c r="N584" s="289" t="n">
        <v>833.33</v>
      </c>
      <c r="O584" s="290">
        <f>IF(COUNT(商品マスタ[[#This Row],[参考上代
（税込)]]) &gt; 0, (商品マスタ[[#This Row],[参考上代
（税込)]]-商品マスタ[[#This Row],[国内定価
（15％）]])/(商品マスタ[[#This Row],[参考上代
（税込)]]/1.08), "")</f>
        <v/>
      </c>
      <c r="P584" s="136" t="n">
        <v>0.1</v>
      </c>
      <c r="Q584" s="289">
        <f>商品マスタ[[#This Row],[仕入
単価]]*商品マスタ[[#This Row],[標準国内送料率]]</f>
        <v/>
      </c>
      <c r="R584" s="289" t="n"/>
      <c r="S584" s="289">
        <f>IF(ISBLANK(商品マスタ[[#This Row],[実績
国内送料]]),商品マスタ[[#This Row],[標準国内送料]],)</f>
        <v/>
      </c>
      <c r="T584" s="289">
        <f>商品マスタ[[#This Row],[仕入
単価]]+商品マスタ[[#This Row],[国内送料]]</f>
        <v/>
      </c>
      <c r="U584" s="289">
        <f>ROUNDUP(商品マスタ[[#This Row],[仕入単価+国内送料]]/0.8,-1)</f>
        <v/>
      </c>
      <c r="V584" s="289">
        <f>商品マスタ[[#This Row],[海外定価
（20％）]]-商品マスタ[[#This Row],[仕入単価+国内送料]]</f>
        <v/>
      </c>
      <c r="W584" s="167">
        <f>ROUNDUP(商品マスタ[[#This Row],[仕入単価+国内送料]]/0.85,-1)</f>
        <v/>
      </c>
      <c r="X584" s="289">
        <f>商品マスタ[[#This Row],[国内定価
（15％）]]-商品マスタ[[#This Row],[仕入単価+国内送料]]</f>
        <v/>
      </c>
      <c r="Y584" s="139" t="n">
        <v>0.08</v>
      </c>
      <c r="Z584" s="167" t="inlineStr">
        <is>
          <t>90日</t>
        </is>
      </c>
      <c r="AA584" s="167" t="inlineStr">
        <is>
          <t>冷蔵</t>
        </is>
      </c>
      <c r="AB584" s="167" t="inlineStr">
        <is>
          <t>3日</t>
        </is>
      </c>
      <c r="AC584" s="293" t="n">
        <v>4539297310913</v>
      </c>
      <c r="AD584" s="167" t="inlineStr">
        <is>
          <t>黒松内町 酪農家の搾りたて生乳を使用し、程よい酸味と
ほのかな甘みがある塗るタイプのクリームチーズに自社農
園で手摘みしたカシスを使用しています。</t>
        </is>
      </c>
      <c r="AE584" s="167" t="n"/>
      <c r="AF584" s="167" t="n"/>
      <c r="AG584" s="144" t="inlineStr">
        <is>
          <t>価格は関西着設定の送料込ロット割れの場合送料＋1500円</t>
        </is>
      </c>
    </row>
    <row r="585" ht="18" customHeight="1" s="207">
      <c r="A585" s="166" t="inlineStr">
        <is>
          <t>水産</t>
        </is>
      </c>
      <c r="B585" s="167" t="inlineStr">
        <is>
          <t>水産物</t>
        </is>
      </c>
      <c r="C585" s="167" t="inlineStr">
        <is>
          <t>株式会社フジタコーポレーション</t>
        </is>
      </c>
      <c r="D585" s="143">
        <f>"PRD_SNJ_"&amp;
_xlfn.XLOOKUP(商品マスタ[[#This Row],[仕入先]],テーブル1[仕入先名],テーブル1[仕入先コード],"XXX",0,1)&amp;
"_"&amp;
商品マスタ[[#This Row],[シリアル]]&amp;
"_"&amp;
TEXT(COUNTIFS(商品マスタ!$C$3:C585,商品マスタ[[#This Row],[仕入先]],商品マスタ!$E$3:E585,商品マスタ[[#This Row],[商品名]]), "00")</f>
        <v/>
      </c>
      <c r="E585" s="167" t="inlineStr">
        <is>
          <t>クリームチーズスプレッ
ド（バジル）</t>
        </is>
      </c>
      <c r="F585" s="167">
        <f>IF(COUNTIFS($C$3:C585,商品マスタ[[#This Row],[仕入先]],$E$3:E585,商品マスタ[[#This Row],[商品名]]) = 1, 1,0)</f>
        <v/>
      </c>
      <c r="G585" s="133">
        <f>TEXT(SUMIF($C$3:C585,商品マスタ[[#This Row],[仕入先]],$F$3:F585), "0000")</f>
        <v/>
      </c>
      <c r="H585" s="167" t="inlineStr">
        <is>
          <t>個</t>
        </is>
      </c>
      <c r="I585" s="167" t="n">
        <v>48</v>
      </c>
      <c r="J585" s="167" t="n">
        <v>48</v>
      </c>
      <c r="K585" s="167" t="n"/>
      <c r="L585" s="289" t="n">
        <v>705</v>
      </c>
      <c r="M585" s="157" t="n">
        <v>46052</v>
      </c>
      <c r="N585" s="289" t="n">
        <v>833.33</v>
      </c>
      <c r="O585" s="290">
        <f>IF(COUNT(商品マスタ[[#This Row],[参考上代
（税込)]]) &gt; 0, (商品マスタ[[#This Row],[参考上代
（税込)]]-商品マスタ[[#This Row],[国内定価
（15％）]])/(商品マスタ[[#This Row],[参考上代
（税込)]]/1.08), "")</f>
        <v/>
      </c>
      <c r="P585" s="136" t="n">
        <v>0.1</v>
      </c>
      <c r="Q585" s="289">
        <f>商品マスタ[[#This Row],[仕入
単価]]*商品マスタ[[#This Row],[標準国内送料率]]</f>
        <v/>
      </c>
      <c r="R585" s="289" t="n"/>
      <c r="S585" s="289">
        <f>IF(ISBLANK(商品マスタ[[#This Row],[実績
国内送料]]),商品マスタ[[#This Row],[標準国内送料]],)</f>
        <v/>
      </c>
      <c r="T585" s="289">
        <f>商品マスタ[[#This Row],[仕入
単価]]+商品マスタ[[#This Row],[国内送料]]</f>
        <v/>
      </c>
      <c r="U585" s="289">
        <f>ROUNDUP(商品マスタ[[#This Row],[仕入単価+国内送料]]/0.8,-1)</f>
        <v/>
      </c>
      <c r="V585" s="289">
        <f>商品マスタ[[#This Row],[海外定価
（20％）]]-商品マスタ[[#This Row],[仕入単価+国内送料]]</f>
        <v/>
      </c>
      <c r="W585" s="167">
        <f>ROUNDUP(商品マスタ[[#This Row],[仕入単価+国内送料]]/0.85,-1)</f>
        <v/>
      </c>
      <c r="X585" s="289">
        <f>商品マスタ[[#This Row],[国内定価
（15％）]]-商品マスタ[[#This Row],[仕入単価+国内送料]]</f>
        <v/>
      </c>
      <c r="Y585" s="139" t="n">
        <v>0.08</v>
      </c>
      <c r="Z585" s="167" t="inlineStr">
        <is>
          <t>90日</t>
        </is>
      </c>
      <c r="AA585" s="167" t="inlineStr">
        <is>
          <t>冷蔵</t>
        </is>
      </c>
      <c r="AB585" s="167" t="inlineStr">
        <is>
          <t>3日</t>
        </is>
      </c>
      <c r="AC585" s="293" t="n">
        <v>4539297310920</v>
      </c>
      <c r="AD585" s="167" t="inlineStr">
        <is>
          <t>黒松内町 酪農家の搾りたて生乳を使用し、程よい酸味と
ほのかな甘みがある塗るタイプのクリームチーズに寿都町
特産「風のバジル」を使用しています。</t>
        </is>
      </c>
      <c r="AE585" s="167" t="n"/>
      <c r="AF585" s="167" t="n"/>
      <c r="AG585" s="144" t="inlineStr">
        <is>
          <t>価格は関西着設定の送料込ロット割れの場合送料＋1500円</t>
        </is>
      </c>
    </row>
    <row r="586" ht="18" customHeight="1" s="207">
      <c r="A586" s="166" t="inlineStr">
        <is>
          <t>水産</t>
        </is>
      </c>
      <c r="B586" s="167" t="inlineStr">
        <is>
          <t>水産物</t>
        </is>
      </c>
      <c r="C586" s="167" t="inlineStr">
        <is>
          <t>株式会社フジタコーポレーション</t>
        </is>
      </c>
      <c r="D586" s="143">
        <f>"PRD_SNJ_"&amp;
_xlfn.XLOOKUP(商品マスタ[[#This Row],[仕入先]],テーブル1[仕入先名],テーブル1[仕入先コード],"XXX",0,1)&amp;
"_"&amp;
商品マスタ[[#This Row],[シリアル]]&amp;
"_"&amp;
TEXT(COUNTIFS(商品マスタ!$C$3:C586,商品マスタ[[#This Row],[仕入先]],商品マスタ!$E$3:E586,商品マスタ[[#This Row],[商品名]]), "00")</f>
        <v/>
      </c>
      <c r="E586" s="167" t="inlineStr">
        <is>
          <t>荒挽きウインナー</t>
        </is>
      </c>
      <c r="F586" s="167">
        <f>IF(COUNTIFS($C$3:C586,商品マスタ[[#This Row],[仕入先]],$E$3:E586,商品マスタ[[#This Row],[商品名]]) = 1, 1,0)</f>
        <v/>
      </c>
      <c r="G586" s="133">
        <f>TEXT(SUMIF($C$3:C586,商品マスタ[[#This Row],[仕入先]],$F$3:F586), "0000")</f>
        <v/>
      </c>
      <c r="H586" s="167" t="inlineStr">
        <is>
          <t>個</t>
        </is>
      </c>
      <c r="I586" s="167" t="n">
        <v>100</v>
      </c>
      <c r="J586" s="167" t="n">
        <v>100</v>
      </c>
      <c r="K586" s="167" t="n"/>
      <c r="L586" s="289" t="n">
        <v>445</v>
      </c>
      <c r="M586" s="157" t="n">
        <v>46052</v>
      </c>
      <c r="N586" s="289" t="n">
        <v>518.52</v>
      </c>
      <c r="O586" s="290">
        <f>IF(COUNT(商品マスタ[[#This Row],[参考上代
（税込)]]) &gt; 0, (商品マスタ[[#This Row],[参考上代
（税込)]]-商品マスタ[[#This Row],[国内定価
（15％）]])/(商品マスタ[[#This Row],[参考上代
（税込)]]/1.08), "")</f>
        <v/>
      </c>
      <c r="P586" s="136" t="n">
        <v>0.1</v>
      </c>
      <c r="Q586" s="289">
        <f>商品マスタ[[#This Row],[仕入
単価]]*商品マスタ[[#This Row],[標準国内送料率]]</f>
        <v/>
      </c>
      <c r="R586" s="289" t="n"/>
      <c r="S586" s="289">
        <f>IF(ISBLANK(商品マスタ[[#This Row],[実績
国内送料]]),商品マスタ[[#This Row],[標準国内送料]],)</f>
        <v/>
      </c>
      <c r="T586" s="289">
        <f>商品マスタ[[#This Row],[仕入
単価]]+商品マスタ[[#This Row],[国内送料]]</f>
        <v/>
      </c>
      <c r="U586" s="289">
        <f>ROUNDUP(商品マスタ[[#This Row],[仕入単価+国内送料]]/0.8,-1)</f>
        <v/>
      </c>
      <c r="V586" s="289">
        <f>商品マスタ[[#This Row],[海外定価
（20％）]]-商品マスタ[[#This Row],[仕入単価+国内送料]]</f>
        <v/>
      </c>
      <c r="W586" s="167">
        <f>ROUNDUP(商品マスタ[[#This Row],[仕入単価+国内送料]]/0.85,-1)</f>
        <v/>
      </c>
      <c r="X586" s="289">
        <f>商品マスタ[[#This Row],[国内定価
（15％）]]-商品マスタ[[#This Row],[仕入単価+国内送料]]</f>
        <v/>
      </c>
      <c r="Y586" s="139" t="n">
        <v>0.08</v>
      </c>
      <c r="Z586" s="167" t="inlineStr">
        <is>
          <t>55日</t>
        </is>
      </c>
      <c r="AA586" s="167" t="inlineStr">
        <is>
          <t>冷蔵</t>
        </is>
      </c>
      <c r="AB586" s="167" t="inlineStr">
        <is>
          <t>3日</t>
        </is>
      </c>
      <c r="AC586" s="293" t="n">
        <v>4539297340309</v>
      </c>
      <c r="AD586" s="167" t="inlineStr">
        <is>
          <t>北海道産の良質な豚肉を挽き肉にしてから、３日から５日
間塩漬し羊腸に詰めて、桜のチップで燻製した荒挽き仕込
みのウインナーです。</t>
        </is>
      </c>
      <c r="AE586" s="167" t="n"/>
      <c r="AF586" s="167" t="n"/>
      <c r="AG586" s="144" t="inlineStr">
        <is>
          <t>価格は関西着設定の送料込ロット割れの場合送料＋1500円</t>
        </is>
      </c>
    </row>
    <row r="587" ht="18" customHeight="1" s="207">
      <c r="A587" s="166" t="inlineStr">
        <is>
          <t>水産</t>
        </is>
      </c>
      <c r="B587" s="167" t="inlineStr">
        <is>
          <t>水産物</t>
        </is>
      </c>
      <c r="C587" s="167" t="inlineStr">
        <is>
          <t>株式会社フジタコーポレーション</t>
        </is>
      </c>
      <c r="D587" s="143">
        <f>"PRD_SNJ_"&amp;
_xlfn.XLOOKUP(商品マスタ[[#This Row],[仕入先]],テーブル1[仕入先名],テーブル1[仕入先コード],"XXX",0,1)&amp;
"_"&amp;
商品マスタ[[#This Row],[シリアル]]&amp;
"_"&amp;
TEXT(COUNTIFS(商品マスタ!$C$3:C587,商品マスタ[[#This Row],[仕入先]],商品マスタ!$E$3:E587,商品マスタ[[#This Row],[商品名]]), "00")</f>
        <v/>
      </c>
      <c r="E587" s="167" t="inlineStr">
        <is>
          <t>行者にんにくウインナー</t>
        </is>
      </c>
      <c r="F587" s="167">
        <f>IF(COUNTIFS($C$3:C587,商品マスタ[[#This Row],[仕入先]],$E$3:E587,商品マスタ[[#This Row],[商品名]]) = 1, 1,0)</f>
        <v/>
      </c>
      <c r="G587" s="133">
        <f>TEXT(SUMIF($C$3:C587,商品マスタ[[#This Row],[仕入先]],$F$3:F587), "0000")</f>
        <v/>
      </c>
      <c r="H587" s="167" t="inlineStr">
        <is>
          <t>個</t>
        </is>
      </c>
      <c r="I587" s="167" t="n">
        <v>100</v>
      </c>
      <c r="J587" s="167" t="n">
        <v>100</v>
      </c>
      <c r="K587" s="167" t="n"/>
      <c r="L587" s="289" t="n">
        <v>445</v>
      </c>
      <c r="M587" s="157" t="n">
        <v>46052</v>
      </c>
      <c r="N587" s="289" t="n">
        <v>518.52</v>
      </c>
      <c r="O587" s="290">
        <f>IF(COUNT(商品マスタ[[#This Row],[参考上代
（税込)]]) &gt; 0, (商品マスタ[[#This Row],[参考上代
（税込)]]-商品マスタ[[#This Row],[国内定価
（15％）]])/(商品マスタ[[#This Row],[参考上代
（税込)]]/1.08), "")</f>
        <v/>
      </c>
      <c r="P587" s="136" t="n">
        <v>0.1</v>
      </c>
      <c r="Q587" s="289">
        <f>商品マスタ[[#This Row],[仕入
単価]]*商品マスタ[[#This Row],[標準国内送料率]]</f>
        <v/>
      </c>
      <c r="R587" s="289" t="n"/>
      <c r="S587" s="289">
        <f>IF(ISBLANK(商品マスタ[[#This Row],[実績
国内送料]]),商品マスタ[[#This Row],[標準国内送料]],)</f>
        <v/>
      </c>
      <c r="T587" s="289">
        <f>商品マスタ[[#This Row],[仕入
単価]]+商品マスタ[[#This Row],[国内送料]]</f>
        <v/>
      </c>
      <c r="U587" s="289">
        <f>ROUNDUP(商品マスタ[[#This Row],[仕入単価+国内送料]]/0.8,-1)</f>
        <v/>
      </c>
      <c r="V587" s="289">
        <f>商品マスタ[[#This Row],[海外定価
（20％）]]-商品マスタ[[#This Row],[仕入単価+国内送料]]</f>
        <v/>
      </c>
      <c r="W587" s="167">
        <f>ROUNDUP(商品マスタ[[#This Row],[仕入単価+国内送料]]/0.85,-1)</f>
        <v/>
      </c>
      <c r="X587" s="289">
        <f>商品マスタ[[#This Row],[国内定価
（15％）]]-商品マスタ[[#This Row],[仕入単価+国内送料]]</f>
        <v/>
      </c>
      <c r="Y587" s="139" t="n">
        <v>0.08</v>
      </c>
      <c r="Z587" s="167" t="inlineStr">
        <is>
          <t>55日</t>
        </is>
      </c>
      <c r="AA587" s="167" t="inlineStr">
        <is>
          <t>冷蔵</t>
        </is>
      </c>
      <c r="AB587" s="167" t="inlineStr">
        <is>
          <t>3日</t>
        </is>
      </c>
      <c r="AC587" s="293" t="n">
        <v>4539297340408</v>
      </c>
      <c r="AD587" s="167" t="inlineStr">
        <is>
          <t>北海道産の良質な豚肉を挽き肉にしてから、３日から５日
間塩漬し羊腸に詰めて、北海道の山菜「行者にんにく」を
ミックスしました。</t>
        </is>
      </c>
      <c r="AE587" s="167" t="n"/>
      <c r="AF587" s="167" t="n"/>
      <c r="AG587" s="144" t="inlineStr">
        <is>
          <t>価格は関西着設定の送料込ロット割れの場合送料＋1500円</t>
        </is>
      </c>
    </row>
    <row r="588" ht="18" customHeight="1" s="207">
      <c r="A588" s="166" t="inlineStr">
        <is>
          <t>水産</t>
        </is>
      </c>
      <c r="B588" s="167" t="inlineStr">
        <is>
          <t>水産物</t>
        </is>
      </c>
      <c r="C588" s="167" t="inlineStr">
        <is>
          <t>株式会社フジタコーポレーション</t>
        </is>
      </c>
      <c r="D588" s="143">
        <f>"PRD_SNJ_"&amp;
_xlfn.XLOOKUP(商品マスタ[[#This Row],[仕入先]],テーブル1[仕入先名],テーブル1[仕入先コード],"XXX",0,1)&amp;
"_"&amp;
商品マスタ[[#This Row],[シリアル]]&amp;
"_"&amp;
TEXT(COUNTIFS(商品マスタ!$C$3:C588,商品マスタ[[#This Row],[仕入先]],商品マスタ!$E$3:E588,商品マスタ[[#This Row],[商品名]]), "00")</f>
        <v/>
      </c>
      <c r="E588" s="167" t="inlineStr">
        <is>
          <t>プレーンウインナー</t>
        </is>
      </c>
      <c r="F588" s="167">
        <f>IF(COUNTIFS($C$3:C588,商品マスタ[[#This Row],[仕入先]],$E$3:E588,商品マスタ[[#This Row],[商品名]]) = 1, 1,0)</f>
        <v/>
      </c>
      <c r="G588" s="133">
        <f>TEXT(SUMIF($C$3:C588,商品マスタ[[#This Row],[仕入先]],$F$3:F588), "0000")</f>
        <v/>
      </c>
      <c r="H588" s="167" t="inlineStr">
        <is>
          <t>個</t>
        </is>
      </c>
      <c r="I588" s="167" t="n">
        <v>100</v>
      </c>
      <c r="J588" s="167" t="n">
        <v>100</v>
      </c>
      <c r="K588" s="167" t="n"/>
      <c r="L588" s="289" t="n">
        <v>445</v>
      </c>
      <c r="M588" s="157" t="n">
        <v>46052</v>
      </c>
      <c r="N588" s="289" t="n">
        <v>518.52</v>
      </c>
      <c r="O588" s="290">
        <f>IF(COUNT(商品マスタ[[#This Row],[参考上代
（税込)]]) &gt; 0, (商品マスタ[[#This Row],[参考上代
（税込)]]-商品マスタ[[#This Row],[国内定価
（15％）]])/(商品マスタ[[#This Row],[参考上代
（税込)]]/1.08), "")</f>
        <v/>
      </c>
      <c r="P588" s="136" t="n">
        <v>0.1</v>
      </c>
      <c r="Q588" s="289">
        <f>商品マスタ[[#This Row],[仕入
単価]]*商品マスタ[[#This Row],[標準国内送料率]]</f>
        <v/>
      </c>
      <c r="R588" s="289" t="n"/>
      <c r="S588" s="289">
        <f>IF(ISBLANK(商品マスタ[[#This Row],[実績
国内送料]]),商品マスタ[[#This Row],[標準国内送料]],)</f>
        <v/>
      </c>
      <c r="T588" s="289">
        <f>商品マスタ[[#This Row],[仕入
単価]]+商品マスタ[[#This Row],[国内送料]]</f>
        <v/>
      </c>
      <c r="U588" s="289">
        <f>ROUNDUP(商品マスタ[[#This Row],[仕入単価+国内送料]]/0.8,-1)</f>
        <v/>
      </c>
      <c r="V588" s="289">
        <f>商品マスタ[[#This Row],[海外定価
（20％）]]-商品マスタ[[#This Row],[仕入単価+国内送料]]</f>
        <v/>
      </c>
      <c r="W588" s="167">
        <f>ROUNDUP(商品マスタ[[#This Row],[仕入単価+国内送料]]/0.85,-1)</f>
        <v/>
      </c>
      <c r="X588" s="289">
        <f>商品マスタ[[#This Row],[国内定価
（15％）]]-商品マスタ[[#This Row],[仕入単価+国内送料]]</f>
        <v/>
      </c>
      <c r="Y588" s="139" t="n">
        <v>0.08</v>
      </c>
      <c r="Z588" s="167" t="inlineStr">
        <is>
          <t>55日</t>
        </is>
      </c>
      <c r="AA588" s="167" t="inlineStr">
        <is>
          <t>冷蔵</t>
        </is>
      </c>
      <c r="AB588" s="167" t="inlineStr">
        <is>
          <t>3日</t>
        </is>
      </c>
      <c r="AC588" s="293" t="n">
        <v>4539297340507</v>
      </c>
      <c r="AD588" s="167" t="inlineStr">
        <is>
          <t>北海道産の良質な豚肉を挽き肉にしてから、３日から５日
間塩漬し、素材の良さがわかる辛さ控えめのプレーンは、
スモークを軽めに肉の旨みを引き出しました。</t>
        </is>
      </c>
      <c r="AE588" s="167" t="n"/>
      <c r="AF588" s="167" t="n"/>
      <c r="AG588" s="144" t="inlineStr">
        <is>
          <t>価格は関西着設定の送料込ロット割れの場合送料＋1500円</t>
        </is>
      </c>
    </row>
    <row r="589" ht="18" customHeight="1" s="207">
      <c r="A589" s="166" t="inlineStr">
        <is>
          <t>水産</t>
        </is>
      </c>
      <c r="B589" s="167" t="inlineStr">
        <is>
          <t>水産物</t>
        </is>
      </c>
      <c r="C589" s="167" t="inlineStr">
        <is>
          <t>株式会社フジタコーポレーション</t>
        </is>
      </c>
      <c r="D589" s="143">
        <f>"PRD_SNJ_"&amp;
_xlfn.XLOOKUP(商品マスタ[[#This Row],[仕入先]],テーブル1[仕入先名],テーブル1[仕入先コード],"XXX",0,1)&amp;
"_"&amp;
商品マスタ[[#This Row],[シリアル]]&amp;
"_"&amp;
TEXT(COUNTIFS(商品マスタ!$C$3:C589,商品マスタ[[#This Row],[仕入先]],商品マスタ!$E$3:E589,商品マスタ[[#This Row],[商品名]]), "00")</f>
        <v/>
      </c>
      <c r="E589" s="167" t="inlineStr">
        <is>
          <t>チーズウインナー</t>
        </is>
      </c>
      <c r="F589" s="167">
        <f>IF(COUNTIFS($C$3:C589,商品マスタ[[#This Row],[仕入先]],$E$3:E589,商品マスタ[[#This Row],[商品名]]) = 1, 1,0)</f>
        <v/>
      </c>
      <c r="G589" s="133">
        <f>TEXT(SUMIF($C$3:C589,商品マスタ[[#This Row],[仕入先]],$F$3:F589), "0000")</f>
        <v/>
      </c>
      <c r="H589" s="167" t="inlineStr">
        <is>
          <t>個</t>
        </is>
      </c>
      <c r="I589" s="167" t="n">
        <v>100</v>
      </c>
      <c r="J589" s="167" t="n">
        <v>100</v>
      </c>
      <c r="K589" s="167" t="n"/>
      <c r="L589" s="289" t="n">
        <v>445</v>
      </c>
      <c r="M589" s="157" t="n">
        <v>46052</v>
      </c>
      <c r="N589" s="289" t="n">
        <v>518.52</v>
      </c>
      <c r="O589" s="290">
        <f>IF(COUNT(商品マスタ[[#This Row],[参考上代
（税込)]]) &gt; 0, (商品マスタ[[#This Row],[参考上代
（税込)]]-商品マスタ[[#This Row],[国内定価
（15％）]])/(商品マスタ[[#This Row],[参考上代
（税込)]]/1.08), "")</f>
        <v/>
      </c>
      <c r="P589" s="136" t="n">
        <v>0.1</v>
      </c>
      <c r="Q589" s="289">
        <f>商品マスタ[[#This Row],[仕入
単価]]*商品マスタ[[#This Row],[標準国内送料率]]</f>
        <v/>
      </c>
      <c r="R589" s="289" t="n"/>
      <c r="S589" s="289">
        <f>IF(ISBLANK(商品マスタ[[#This Row],[実績
国内送料]]),商品マスタ[[#This Row],[標準国内送料]],)</f>
        <v/>
      </c>
      <c r="T589" s="289">
        <f>商品マスタ[[#This Row],[仕入
単価]]+商品マスタ[[#This Row],[国内送料]]</f>
        <v/>
      </c>
      <c r="U589" s="289">
        <f>ROUNDUP(商品マスタ[[#This Row],[仕入単価+国内送料]]/0.8,-1)</f>
        <v/>
      </c>
      <c r="V589" s="289">
        <f>商品マスタ[[#This Row],[海外定価
（20％）]]-商品マスタ[[#This Row],[仕入単価+国内送料]]</f>
        <v/>
      </c>
      <c r="W589" s="167">
        <f>ROUNDUP(商品マスタ[[#This Row],[仕入単価+国内送料]]/0.85,-1)</f>
        <v/>
      </c>
      <c r="X589" s="289">
        <f>商品マスタ[[#This Row],[国内定価
（15％）]]-商品マスタ[[#This Row],[仕入単価+国内送料]]</f>
        <v/>
      </c>
      <c r="Y589" s="139" t="n">
        <v>0.08</v>
      </c>
      <c r="Z589" s="167" t="inlineStr">
        <is>
          <t>55日</t>
        </is>
      </c>
      <c r="AA589" s="167" t="inlineStr">
        <is>
          <t>冷蔵</t>
        </is>
      </c>
      <c r="AB589" s="167" t="inlineStr">
        <is>
          <t>3日</t>
        </is>
      </c>
      <c r="AC589" s="293" t="n">
        <v>4539297340606</v>
      </c>
      <c r="AD589" s="167" t="inlineStr">
        <is>
          <t>北海道産の良質な豚肉を挽き肉にしてから、３日から５日
間塩漬し、レッドチェダーチーズのコクと豚肉のバランスが
絶妙なウインナーです。</t>
        </is>
      </c>
      <c r="AE589" s="167" t="n"/>
      <c r="AF589" s="167" t="n"/>
      <c r="AG589" s="144" t="inlineStr">
        <is>
          <t>価格は関西着設定の送料込ロット割れの場合送料＋1500円</t>
        </is>
      </c>
    </row>
    <row r="590" ht="18" customHeight="1" s="207">
      <c r="A590" s="166" t="inlineStr">
        <is>
          <t>水産</t>
        </is>
      </c>
      <c r="B590" s="167" t="inlineStr">
        <is>
          <t>水産物</t>
        </is>
      </c>
      <c r="C590" s="167" t="inlineStr">
        <is>
          <t>株式会社フジタコーポレーション</t>
        </is>
      </c>
      <c r="D590" s="143">
        <f>"PRD_SNJ_"&amp;
_xlfn.XLOOKUP(商品マスタ[[#This Row],[仕入先]],テーブル1[仕入先名],テーブル1[仕入先コード],"XXX",0,1)&amp;
"_"&amp;
商品マスタ[[#This Row],[シリアル]]&amp;
"_"&amp;
TEXT(COUNTIFS(商品マスタ!$C$3:C590,商品マスタ[[#This Row],[仕入先]],商品マスタ!$E$3:E590,商品マスタ[[#This Row],[商品名]]), "00")</f>
        <v/>
      </c>
      <c r="E590" s="167" t="inlineStr">
        <is>
          <t>フランクフルト</t>
        </is>
      </c>
      <c r="F590" s="167">
        <f>IF(COUNTIFS($C$3:C590,商品マスタ[[#This Row],[仕入先]],$E$3:E590,商品マスタ[[#This Row],[商品名]]) = 1, 1,0)</f>
        <v/>
      </c>
      <c r="G590" s="133">
        <f>TEXT(SUMIF($C$3:C590,商品マスタ[[#This Row],[仕入先]],$F$3:F590), "0000")</f>
        <v/>
      </c>
      <c r="H590" s="167" t="inlineStr">
        <is>
          <t>個</t>
        </is>
      </c>
      <c r="I590" s="167" t="n">
        <v>60</v>
      </c>
      <c r="J590" s="167" t="n">
        <v>60</v>
      </c>
      <c r="K590" s="167" t="n"/>
      <c r="L590" s="289" t="n">
        <v>588</v>
      </c>
      <c r="M590" s="157" t="n">
        <v>46052</v>
      </c>
      <c r="N590" s="289" t="n">
        <v>694.4400000000001</v>
      </c>
      <c r="O590" s="290">
        <f>IF(COUNT(商品マスタ[[#This Row],[参考上代
（税込)]]) &gt; 0, (商品マスタ[[#This Row],[参考上代
（税込)]]-商品マスタ[[#This Row],[国内定価
（15％）]])/(商品マスタ[[#This Row],[参考上代
（税込)]]/1.08), "")</f>
        <v/>
      </c>
      <c r="P590" s="136" t="n">
        <v>0.1</v>
      </c>
      <c r="Q590" s="289">
        <f>商品マスタ[[#This Row],[仕入
単価]]*商品マスタ[[#This Row],[標準国内送料率]]</f>
        <v/>
      </c>
      <c r="R590" s="289" t="n"/>
      <c r="S590" s="289">
        <f>IF(ISBLANK(商品マスタ[[#This Row],[実績
国内送料]]),商品マスタ[[#This Row],[標準国内送料]],)</f>
        <v/>
      </c>
      <c r="T590" s="289">
        <f>商品マスタ[[#This Row],[仕入
単価]]+商品マスタ[[#This Row],[国内送料]]</f>
        <v/>
      </c>
      <c r="U590" s="289">
        <f>ROUNDUP(商品マスタ[[#This Row],[仕入単価+国内送料]]/0.8,-1)</f>
        <v/>
      </c>
      <c r="V590" s="289">
        <f>商品マスタ[[#This Row],[海外定価
（20％）]]-商品マスタ[[#This Row],[仕入単価+国内送料]]</f>
        <v/>
      </c>
      <c r="W590" s="167">
        <f>ROUNDUP(商品マスタ[[#This Row],[仕入単価+国内送料]]/0.85,-1)</f>
        <v/>
      </c>
      <c r="X590" s="289">
        <f>商品マスタ[[#This Row],[国内定価
（15％）]]-商品マスタ[[#This Row],[仕入単価+国内送料]]</f>
        <v/>
      </c>
      <c r="Y590" s="139" t="n">
        <v>0.08</v>
      </c>
      <c r="Z590" s="167" t="inlineStr">
        <is>
          <t>48日</t>
        </is>
      </c>
      <c r="AA590" s="167" t="inlineStr">
        <is>
          <t>冷蔵</t>
        </is>
      </c>
      <c r="AB590" s="167" t="inlineStr">
        <is>
          <t>3日</t>
        </is>
      </c>
      <c r="AC590" s="293" t="n">
        <v>4539297141104</v>
      </c>
      <c r="AD590" s="167" t="inlineStr">
        <is>
          <t>北海道産の良質な豚肉を挽き肉にしてから、３日から５日
間塩漬し、パリッとした食感が魅力の豚腸を使用したオー
ルポークのフランクフルト。</t>
        </is>
      </c>
      <c r="AE590" s="167" t="n"/>
      <c r="AF590" s="167" t="n"/>
      <c r="AG590" s="144" t="inlineStr">
        <is>
          <t>価格は関西着設定の送料込ロット割れの場合送料＋1500円</t>
        </is>
      </c>
    </row>
    <row r="591" ht="18" customHeight="1" s="207">
      <c r="A591" s="166" t="inlineStr">
        <is>
          <t>水産</t>
        </is>
      </c>
      <c r="B591" s="167" t="inlineStr">
        <is>
          <t>水産物</t>
        </is>
      </c>
      <c r="C591" s="167" t="inlineStr">
        <is>
          <t>株式会社フジタコーポレーション</t>
        </is>
      </c>
      <c r="D591" s="143">
        <f>"PRD_SNJ_"&amp;
_xlfn.XLOOKUP(商品マスタ[[#This Row],[仕入先]],テーブル1[仕入先名],テーブル1[仕入先コード],"XXX",0,1)&amp;
"_"&amp;
商品マスタ[[#This Row],[シリアル]]&amp;
"_"&amp;
TEXT(COUNTIFS(商品マスタ!$C$3:C591,商品マスタ[[#This Row],[仕入先]],商品マスタ!$E$3:E591,商品マスタ[[#This Row],[商品名]]), "00")</f>
        <v/>
      </c>
      <c r="E591" s="167" t="inlineStr">
        <is>
          <t>荒挽きポークソーセージ</t>
        </is>
      </c>
      <c r="F591" s="167">
        <f>IF(COUNTIFS($C$3:C591,商品マスタ[[#This Row],[仕入先]],$E$3:E591,商品マスタ[[#This Row],[商品名]]) = 1, 1,0)</f>
        <v/>
      </c>
      <c r="G591" s="133">
        <f>TEXT(SUMIF($C$3:C591,商品マスタ[[#This Row],[仕入先]],$F$3:F591), "0000")</f>
        <v/>
      </c>
      <c r="H591" s="167" t="inlineStr">
        <is>
          <t>個</t>
        </is>
      </c>
      <c r="I591" s="167" t="n">
        <v>40</v>
      </c>
      <c r="J591" s="167" t="n">
        <v>40</v>
      </c>
      <c r="K591" s="167" t="n"/>
      <c r="L591" s="289" t="n">
        <v>1000</v>
      </c>
      <c r="M591" s="157" t="n">
        <v>46052</v>
      </c>
      <c r="N591" s="289" t="n">
        <v>1203.7</v>
      </c>
      <c r="O591" s="290">
        <f>IF(COUNT(商品マスタ[[#This Row],[参考上代
（税込)]]) &gt; 0, (商品マスタ[[#This Row],[参考上代
（税込)]]-商品マスタ[[#This Row],[国内定価
（15％）]])/(商品マスタ[[#This Row],[参考上代
（税込)]]/1.08), "")</f>
        <v/>
      </c>
      <c r="P591" s="136" t="n">
        <v>0.1</v>
      </c>
      <c r="Q591" s="289">
        <f>商品マスタ[[#This Row],[仕入
単価]]*商品マスタ[[#This Row],[標準国内送料率]]</f>
        <v/>
      </c>
      <c r="R591" s="289" t="n"/>
      <c r="S591" s="289">
        <f>IF(ISBLANK(商品マスタ[[#This Row],[実績
国内送料]]),商品マスタ[[#This Row],[標準国内送料]],)</f>
        <v/>
      </c>
      <c r="T591" s="289">
        <f>商品マスタ[[#This Row],[仕入
単価]]+商品マスタ[[#This Row],[国内送料]]</f>
        <v/>
      </c>
      <c r="U591" s="289">
        <f>ROUNDUP(商品マスタ[[#This Row],[仕入単価+国内送料]]/0.8,-1)</f>
        <v/>
      </c>
      <c r="V591" s="289">
        <f>商品マスタ[[#This Row],[海外定価
（20％）]]-商品マスタ[[#This Row],[仕入単価+国内送料]]</f>
        <v/>
      </c>
      <c r="W591" s="167">
        <f>ROUNDUP(商品マスタ[[#This Row],[仕入単価+国内送料]]/0.85,-1)</f>
        <v/>
      </c>
      <c r="X591" s="289">
        <f>商品マスタ[[#This Row],[国内定価
（15％）]]-商品マスタ[[#This Row],[仕入単価+国内送料]]</f>
        <v/>
      </c>
      <c r="Y591" s="139" t="n">
        <v>0.08</v>
      </c>
      <c r="Z591" s="167" t="inlineStr">
        <is>
          <t>55日</t>
        </is>
      </c>
      <c r="AA591" s="167" t="inlineStr">
        <is>
          <t>冷蔵</t>
        </is>
      </c>
      <c r="AB591" s="167" t="inlineStr">
        <is>
          <t>3日</t>
        </is>
      </c>
      <c r="AC591" s="293" t="n">
        <v>4539297140305</v>
      </c>
      <c r="AD591" s="167" t="inlineStr">
        <is>
          <t>北海道産の良質な豚肉を挽き肉にしてから、３日から５日
間塩漬したソーセージ。そのままスライスして食べたり、厚
切りにして両面を焼くとジューシーでより旨みがにじみ出て
きます。</t>
        </is>
      </c>
      <c r="AE591" s="167" t="n"/>
      <c r="AF591" s="167" t="n"/>
      <c r="AG591" s="144" t="inlineStr">
        <is>
          <t>価格は関西着設定の送料込ロット割れの場合送料＋1500円</t>
        </is>
      </c>
    </row>
    <row r="592" ht="18" customHeight="1" s="207">
      <c r="A592" s="166" t="inlineStr">
        <is>
          <t>水産</t>
        </is>
      </c>
      <c r="B592" s="167" t="inlineStr">
        <is>
          <t>水産物</t>
        </is>
      </c>
      <c r="C592" s="167" t="inlineStr">
        <is>
          <t>株式会社フジタコーポレーション</t>
        </is>
      </c>
      <c r="D592" s="143">
        <f>"PRD_SNJ_"&amp;
_xlfn.XLOOKUP(商品マスタ[[#This Row],[仕入先]],テーブル1[仕入先名],テーブル1[仕入先コード],"XXX",0,1)&amp;
"_"&amp;
商品マスタ[[#This Row],[シリアル]]&amp;
"_"&amp;
TEXT(COUNTIFS(商品マスタ!$C$3:C592,商品マスタ[[#This Row],[仕入先]],商品マスタ!$E$3:E592,商品マスタ[[#This Row],[商品名]]), "00")</f>
        <v/>
      </c>
      <c r="E592" s="167" t="inlineStr">
        <is>
          <t>ボンレスハムスライス</t>
        </is>
      </c>
      <c r="F592" s="167">
        <f>IF(COUNTIFS($C$3:C592,商品マスタ[[#This Row],[仕入先]],$E$3:E592,商品マスタ[[#This Row],[商品名]]) = 1, 1,0)</f>
        <v/>
      </c>
      <c r="G592" s="133">
        <f>TEXT(SUMIF($C$3:C592,商品マスタ[[#This Row],[仕入先]],$F$3:F592), "0000")</f>
        <v/>
      </c>
      <c r="H592" s="167" t="inlineStr">
        <is>
          <t>個</t>
        </is>
      </c>
      <c r="I592" s="167" t="n">
        <v>60</v>
      </c>
      <c r="J592" s="167" t="n">
        <v>60</v>
      </c>
      <c r="K592" s="167" t="n"/>
      <c r="L592" s="289" t="n">
        <v>573</v>
      </c>
      <c r="M592" s="157" t="n">
        <v>46052</v>
      </c>
      <c r="N592" s="289" t="n">
        <v>675.9299999999999</v>
      </c>
      <c r="O592" s="290">
        <f>IF(COUNT(商品マスタ[[#This Row],[参考上代
（税込)]]) &gt; 0, (商品マスタ[[#This Row],[参考上代
（税込)]]-商品マスタ[[#This Row],[国内定価
（15％）]])/(商品マスタ[[#This Row],[参考上代
（税込)]]/1.08), "")</f>
        <v/>
      </c>
      <c r="P592" s="136" t="n">
        <v>0.1</v>
      </c>
      <c r="Q592" s="289">
        <f>商品マスタ[[#This Row],[仕入
単価]]*商品マスタ[[#This Row],[標準国内送料率]]</f>
        <v/>
      </c>
      <c r="R592" s="289" t="n"/>
      <c r="S592" s="289">
        <f>IF(ISBLANK(商品マスタ[[#This Row],[実績
国内送料]]),商品マスタ[[#This Row],[標準国内送料]],)</f>
        <v/>
      </c>
      <c r="T592" s="289">
        <f>商品マスタ[[#This Row],[仕入
単価]]+商品マスタ[[#This Row],[国内送料]]</f>
        <v/>
      </c>
      <c r="U592" s="289">
        <f>ROUNDUP(商品マスタ[[#This Row],[仕入単価+国内送料]]/0.8,-1)</f>
        <v/>
      </c>
      <c r="V592" s="289">
        <f>商品マスタ[[#This Row],[海外定価
（20％）]]-商品マスタ[[#This Row],[仕入単価+国内送料]]</f>
        <v/>
      </c>
      <c r="W592" s="167">
        <f>ROUNDUP(商品マスタ[[#This Row],[仕入単価+国内送料]]/0.85,-1)</f>
        <v/>
      </c>
      <c r="X592" s="289">
        <f>商品マスタ[[#This Row],[国内定価
（15％）]]-商品マスタ[[#This Row],[仕入単価+国内送料]]</f>
        <v/>
      </c>
      <c r="Y592" s="139" t="n">
        <v>0.08</v>
      </c>
      <c r="Z592" s="167" t="inlineStr">
        <is>
          <t>40日</t>
        </is>
      </c>
      <c r="AA592" s="167" t="inlineStr">
        <is>
          <t>冷蔵</t>
        </is>
      </c>
      <c r="AB592" s="167" t="inlineStr">
        <is>
          <t>3日</t>
        </is>
      </c>
      <c r="AC592" s="293" t="n">
        <v>4539297131006</v>
      </c>
      <c r="AD592" s="167" t="inlineStr">
        <is>
          <t>北海道産の良質な豚モモ肉を１本丸ごと塩漬し、約１週間
熟成させます。運動量の多いもも肉は、赤身肉に旨みがあ
り、柔らかくジューシーな食感が魅力です。</t>
        </is>
      </c>
      <c r="AE592" s="167" t="n"/>
      <c r="AF592" s="167" t="n"/>
      <c r="AG592" s="144" t="inlineStr">
        <is>
          <t>価格は関西着設定の送料込ロット割れの場合送料＋1500円</t>
        </is>
      </c>
    </row>
    <row r="593" ht="18" customHeight="1" s="207">
      <c r="A593" s="166" t="inlineStr">
        <is>
          <t>水産</t>
        </is>
      </c>
      <c r="B593" s="167" t="inlineStr">
        <is>
          <t>水産物</t>
        </is>
      </c>
      <c r="C593" s="167" t="inlineStr">
        <is>
          <t>株式会社フジタコーポレーション</t>
        </is>
      </c>
      <c r="D593" s="143">
        <f>"PRD_SNJ_"&amp;
_xlfn.XLOOKUP(商品マスタ[[#This Row],[仕入先]],テーブル1[仕入先名],テーブル1[仕入先コード],"XXX",0,1)&amp;
"_"&amp;
商品マスタ[[#This Row],[シリアル]]&amp;
"_"&amp;
TEXT(COUNTIFS(商品マスタ!$C$3:C593,商品マスタ[[#This Row],[仕入先]],商品マスタ!$E$3:E593,商品マスタ[[#This Row],[商品名]]), "00")</f>
        <v/>
      </c>
      <c r="E593" s="167" t="inlineStr">
        <is>
          <t>スモークチキン</t>
        </is>
      </c>
      <c r="F593" s="167">
        <f>IF(COUNTIFS($C$3:C593,商品マスタ[[#This Row],[仕入先]],$E$3:E593,商品マスタ[[#This Row],[商品名]]) = 1, 1,0)</f>
        <v/>
      </c>
      <c r="G593" s="133">
        <f>TEXT(SUMIF($C$3:C593,商品マスタ[[#This Row],[仕入先]],$F$3:F593), "0000")</f>
        <v/>
      </c>
      <c r="H593" s="167" t="inlineStr">
        <is>
          <t>個</t>
        </is>
      </c>
      <c r="I593" s="167" t="n">
        <v>45</v>
      </c>
      <c r="J593" s="167" t="n">
        <v>45</v>
      </c>
      <c r="K593" s="167" t="n"/>
      <c r="L593" s="289" t="n">
        <v>775</v>
      </c>
      <c r="M593" s="157" t="n">
        <v>46052</v>
      </c>
      <c r="N593" s="289" t="n">
        <v>925.9299999999999</v>
      </c>
      <c r="O593" s="290">
        <f>IF(COUNT(商品マスタ[[#This Row],[参考上代
（税込)]]) &gt; 0, (商品マスタ[[#This Row],[参考上代
（税込)]]-商品マスタ[[#This Row],[国内定価
（15％）]])/(商品マスタ[[#This Row],[参考上代
（税込)]]/1.08), "")</f>
        <v/>
      </c>
      <c r="P593" s="136" t="n">
        <v>0.1</v>
      </c>
      <c r="Q593" s="289">
        <f>商品マスタ[[#This Row],[仕入
単価]]*商品マスタ[[#This Row],[標準国内送料率]]</f>
        <v/>
      </c>
      <c r="R593" s="289" t="n"/>
      <c r="S593" s="289">
        <f>IF(ISBLANK(商品マスタ[[#This Row],[実績
国内送料]]),商品マスタ[[#This Row],[標準国内送料]],)</f>
        <v/>
      </c>
      <c r="T593" s="289">
        <f>商品マスタ[[#This Row],[仕入
単価]]+商品マスタ[[#This Row],[国内送料]]</f>
        <v/>
      </c>
      <c r="U593" s="289">
        <f>ROUNDUP(商品マスタ[[#This Row],[仕入単価+国内送料]]/0.8,-1)</f>
        <v/>
      </c>
      <c r="V593" s="289">
        <f>商品マスタ[[#This Row],[海外定価
（20％）]]-商品マスタ[[#This Row],[仕入単価+国内送料]]</f>
        <v/>
      </c>
      <c r="W593" s="167">
        <f>ROUNDUP(商品マスタ[[#This Row],[仕入単価+国内送料]]/0.85,-1)</f>
        <v/>
      </c>
      <c r="X593" s="289">
        <f>商品マスタ[[#This Row],[国内定価
（15％）]]-商品マスタ[[#This Row],[仕入単価+国内送料]]</f>
        <v/>
      </c>
      <c r="Y593" s="139" t="n">
        <v>0.08</v>
      </c>
      <c r="Z593" s="167" t="inlineStr">
        <is>
          <t>40日</t>
        </is>
      </c>
      <c r="AA593" s="167" t="inlineStr">
        <is>
          <t>冷蔵</t>
        </is>
      </c>
      <c r="AB593" s="167" t="inlineStr">
        <is>
          <t>3日</t>
        </is>
      </c>
      <c r="AC593" s="293" t="n">
        <v>4539297159987</v>
      </c>
      <c r="AD593" s="167" t="inlineStr">
        <is>
          <t>北海道産の鶏肉を使用し、昔ながらの塩と香辛料を手で擦
り込む乾塩法により時間をかけて作っています。そのまま
スライスしてサラダやサンドイッチに入れ召しあがれます。</t>
        </is>
      </c>
      <c r="AE593" s="167" t="n"/>
      <c r="AF593" s="167" t="n"/>
      <c r="AG593" s="144" t="inlineStr">
        <is>
          <t>価格は関西着設定の送料込ロット割れの場合送料＋1500円</t>
        </is>
      </c>
    </row>
    <row r="594" ht="18" customHeight="1" s="207">
      <c r="A594" s="166" t="inlineStr">
        <is>
          <t>水産</t>
        </is>
      </c>
      <c r="B594" s="167" t="inlineStr">
        <is>
          <t>水産物</t>
        </is>
      </c>
      <c r="C594" s="167" t="inlineStr">
        <is>
          <t>株式会社フジタコーポレーション</t>
        </is>
      </c>
      <c r="D594" s="143">
        <f>"PRD_SNJ_"&amp;
_xlfn.XLOOKUP(商品マスタ[[#This Row],[仕入先]],テーブル1[仕入先名],テーブル1[仕入先コード],"XXX",0,1)&amp;
"_"&amp;
商品マスタ[[#This Row],[シリアル]]&amp;
"_"&amp;
TEXT(COUNTIFS(商品マスタ!$C$3:C594,商品マスタ[[#This Row],[仕入先]],商品マスタ!$E$3:E594,商品マスタ[[#This Row],[商品名]]), "00")</f>
        <v/>
      </c>
      <c r="E594" s="167" t="inlineStr">
        <is>
          <t>ビーフバイツ</t>
        </is>
      </c>
      <c r="F594" s="167">
        <f>IF(COUNTIFS($C$3:C594,商品マスタ[[#This Row],[仕入先]],$E$3:E594,商品マスタ[[#This Row],[商品名]]) = 1, 1,0)</f>
        <v/>
      </c>
      <c r="G594" s="133">
        <f>TEXT(SUMIF($C$3:C594,商品マスタ[[#This Row],[仕入先]],$F$3:F594), "0000")</f>
        <v/>
      </c>
      <c r="H594" s="167" t="inlineStr">
        <is>
          <t>個</t>
        </is>
      </c>
      <c r="I594" s="167" t="n">
        <v>60</v>
      </c>
      <c r="J594" s="167" t="n">
        <v>60</v>
      </c>
      <c r="K594" s="167" t="n"/>
      <c r="L594" s="289" t="n">
        <v>690</v>
      </c>
      <c r="M594" s="157" t="n">
        <v>46052</v>
      </c>
      <c r="N594" s="289" t="n">
        <v>833.33</v>
      </c>
      <c r="O594" s="290">
        <f>IF(COUNT(商品マスタ[[#This Row],[参考上代
（税込)]]) &gt; 0, (商品マスタ[[#This Row],[参考上代
（税込)]]-商品マスタ[[#This Row],[国内定価
（15％）]])/(商品マスタ[[#This Row],[参考上代
（税込)]]/1.08), "")</f>
        <v/>
      </c>
      <c r="P594" s="136" t="n">
        <v>0.1</v>
      </c>
      <c r="Q594" s="289">
        <f>商品マスタ[[#This Row],[仕入
単価]]*商品マスタ[[#This Row],[標準国内送料率]]</f>
        <v/>
      </c>
      <c r="R594" s="289" t="n"/>
      <c r="S594" s="289">
        <f>IF(ISBLANK(商品マスタ[[#This Row],[実績
国内送料]]),商品マスタ[[#This Row],[標準国内送料]],)</f>
        <v/>
      </c>
      <c r="T594" s="289">
        <f>商品マスタ[[#This Row],[仕入
単価]]+商品マスタ[[#This Row],[国内送料]]</f>
        <v/>
      </c>
      <c r="U594" s="289">
        <f>ROUNDUP(商品マスタ[[#This Row],[仕入単価+国内送料]]/0.8,-1)</f>
        <v/>
      </c>
      <c r="V594" s="289">
        <f>商品マスタ[[#This Row],[海外定価
（20％）]]-商品マスタ[[#This Row],[仕入単価+国内送料]]</f>
        <v/>
      </c>
      <c r="W594" s="167">
        <f>ROUNDUP(商品マスタ[[#This Row],[仕入単価+国内送料]]/0.85,-1)</f>
        <v/>
      </c>
      <c r="X594" s="289">
        <f>商品マスタ[[#This Row],[国内定価
（15％）]]-商品マスタ[[#This Row],[仕入単価+国内送料]]</f>
        <v/>
      </c>
      <c r="Y594" s="139" t="n">
        <v>0.08</v>
      </c>
      <c r="Z594" s="167" t="inlineStr">
        <is>
          <t>60日</t>
        </is>
      </c>
      <c r="AA594" s="167" t="inlineStr">
        <is>
          <t>冷蔵</t>
        </is>
      </c>
      <c r="AB594" s="167" t="inlineStr">
        <is>
          <t>3日</t>
        </is>
      </c>
      <c r="AC594" s="293" t="n">
        <v>4539297350308</v>
      </c>
      <c r="AD594" s="167" t="inlineStr">
        <is>
          <t>北海道産の安心安全な牛肉を使用し肉厚なのにソフトな歯
応えで噛めば噛むほどスパイシーで深い味わをお楽しみ頂
けます。お酒のお供に最適です。職人が時間をかけてゆっ
くり熟成させて作っています。</t>
        </is>
      </c>
      <c r="AE594" s="167" t="n"/>
      <c r="AF594" s="167" t="n"/>
      <c r="AG594" s="144" t="inlineStr">
        <is>
          <t>価格は関西着設定の送料込ロット割れの場合送料＋1500円</t>
        </is>
      </c>
    </row>
    <row r="595" ht="18" customHeight="1" s="207">
      <c r="A595" s="166" t="inlineStr">
        <is>
          <t>水産</t>
        </is>
      </c>
      <c r="B595" s="167" t="inlineStr">
        <is>
          <t>水産物</t>
        </is>
      </c>
      <c r="C595" s="167" t="inlineStr">
        <is>
          <t>株式会社フジタコーポレーション</t>
        </is>
      </c>
      <c r="D595" s="143">
        <f>"PRD_SNJ_"&amp;
_xlfn.XLOOKUP(商品マスタ[[#This Row],[仕入先]],テーブル1[仕入先名],テーブル1[仕入先コード],"XXX",0,1)&amp;
"_"&amp;
商品マスタ[[#This Row],[シリアル]]&amp;
"_"&amp;
TEXT(COUNTIFS(商品マスタ!$C$3:C595,商品マスタ[[#This Row],[仕入先]],商品マスタ!$E$3:E595,商品マスタ[[#This Row],[商品名]]), "00")</f>
        <v/>
      </c>
      <c r="E595" s="167" t="inlineStr">
        <is>
          <t>スモーク生ベーコン</t>
        </is>
      </c>
      <c r="F595" s="167">
        <f>IF(COUNTIFS($C$3:C595,商品マスタ[[#This Row],[仕入先]],$E$3:E595,商品マスタ[[#This Row],[商品名]]) = 1, 1,0)</f>
        <v/>
      </c>
      <c r="G595" s="133">
        <f>TEXT(SUMIF($C$3:C595,商品マスタ[[#This Row],[仕入先]],$F$3:F595), "0000")</f>
        <v/>
      </c>
      <c r="H595" s="167" t="inlineStr">
        <is>
          <t>個</t>
        </is>
      </c>
      <c r="I595" s="167" t="n">
        <v>50</v>
      </c>
      <c r="J595" s="167" t="n">
        <v>50</v>
      </c>
      <c r="K595" s="167" t="n"/>
      <c r="L595" s="289" t="n">
        <v>1049</v>
      </c>
      <c r="M595" s="157" t="n">
        <v>46052</v>
      </c>
      <c r="N595" s="289" t="n">
        <v>1263.89</v>
      </c>
      <c r="O595" s="290">
        <f>IF(COUNT(商品マスタ[[#This Row],[参考上代
（税込)]]) &gt; 0, (商品マスタ[[#This Row],[参考上代
（税込)]]-商品マスタ[[#This Row],[国内定価
（15％）]])/(商品マスタ[[#This Row],[参考上代
（税込)]]/1.08), "")</f>
        <v/>
      </c>
      <c r="P595" s="136" t="n">
        <v>0.1</v>
      </c>
      <c r="Q595" s="289">
        <f>商品マスタ[[#This Row],[仕入
単価]]*商品マスタ[[#This Row],[標準国内送料率]]</f>
        <v/>
      </c>
      <c r="R595" s="289" t="n"/>
      <c r="S595" s="289">
        <f>IF(ISBLANK(商品マスタ[[#This Row],[実績
国内送料]]),商品マスタ[[#This Row],[標準国内送料]],)</f>
        <v/>
      </c>
      <c r="T595" s="289">
        <f>商品マスタ[[#This Row],[仕入
単価]]+商品マスタ[[#This Row],[国内送料]]</f>
        <v/>
      </c>
      <c r="U595" s="289">
        <f>ROUNDUP(商品マスタ[[#This Row],[仕入単価+国内送料]]/0.8,-1)</f>
        <v/>
      </c>
      <c r="V595" s="289">
        <f>商品マスタ[[#This Row],[海外定価
（20％）]]-商品マスタ[[#This Row],[仕入単価+国内送料]]</f>
        <v/>
      </c>
      <c r="W595" s="167">
        <f>ROUNDUP(商品マスタ[[#This Row],[仕入単価+国内送料]]/0.85,-1)</f>
        <v/>
      </c>
      <c r="X595" s="289">
        <f>商品マスタ[[#This Row],[国内定価
（15％）]]-商品マスタ[[#This Row],[仕入単価+国内送料]]</f>
        <v/>
      </c>
      <c r="Y595" s="139" t="n">
        <v>0.08</v>
      </c>
      <c r="Z595" s="167" t="inlineStr">
        <is>
          <t>48日</t>
        </is>
      </c>
      <c r="AA595" s="167" t="inlineStr">
        <is>
          <t>冷蔵</t>
        </is>
      </c>
      <c r="AB595" s="167" t="inlineStr">
        <is>
          <t>3日</t>
        </is>
      </c>
      <c r="AC595" s="293" t="n">
        <v>4539297130306</v>
      </c>
      <c r="AD595" s="167" t="inlineStr">
        <is>
          <t>北海道産の良質な豚肉を使用し、昔ながらの塩と香辛料を
手で擦り込む乾塩法により時間をかけてゆっくり熟成させて
作っています。野菜炒めやパスタに入れるとひと味違いま
す。</t>
        </is>
      </c>
      <c r="AE595" s="167" t="n"/>
      <c r="AF595" s="167" t="n"/>
      <c r="AG595" s="144" t="inlineStr">
        <is>
          <t>価格は関西着設定の送料込ロット割れの場合送料＋1500円</t>
        </is>
      </c>
    </row>
    <row r="596" ht="18" customHeight="1" s="207">
      <c r="A596" s="166" t="inlineStr">
        <is>
          <t>水産</t>
        </is>
      </c>
      <c r="B596" s="167" t="inlineStr">
        <is>
          <t>水産物</t>
        </is>
      </c>
      <c r="C596" s="167" t="inlineStr">
        <is>
          <t>株式会社フジタコーポレーション</t>
        </is>
      </c>
      <c r="D596" s="143">
        <f>"PRD_SNJ_"&amp;
_xlfn.XLOOKUP(商品マスタ[[#This Row],[仕入先]],テーブル1[仕入先名],テーブル1[仕入先コード],"XXX",0,1)&amp;
"_"&amp;
商品マスタ[[#This Row],[シリアル]]&amp;
"_"&amp;
TEXT(COUNTIFS(商品マスタ!$C$3:C596,商品マスタ[[#This Row],[仕入先]],商品マスタ!$E$3:E596,商品マスタ[[#This Row],[商品名]]), "00")</f>
        <v/>
      </c>
      <c r="E596" s="167" t="inlineStr">
        <is>
          <t>スモーク生ベーコンスライス</t>
        </is>
      </c>
      <c r="F596" s="167">
        <f>IF(COUNTIFS($C$3:C596,商品マスタ[[#This Row],[仕入先]],$E$3:E596,商品マスタ[[#This Row],[商品名]]) = 1, 1,0)</f>
        <v/>
      </c>
      <c r="G596" s="133">
        <f>TEXT(SUMIF($C$3:C596,商品マスタ[[#This Row],[仕入先]],$F$3:F596), "0000")</f>
        <v/>
      </c>
      <c r="H596" s="167" t="inlineStr">
        <is>
          <t>個</t>
        </is>
      </c>
      <c r="I596" s="167" t="n">
        <v>60</v>
      </c>
      <c r="J596" s="167" t="n">
        <v>60</v>
      </c>
      <c r="K596" s="167" t="n"/>
      <c r="L596" s="289" t="n">
        <v>625</v>
      </c>
      <c r="M596" s="157" t="n">
        <v>46052</v>
      </c>
      <c r="N596" s="289" t="n">
        <v>740.74</v>
      </c>
      <c r="O596" s="290">
        <f>IF(COUNT(商品マスタ[[#This Row],[参考上代
（税込)]]) &gt; 0, (商品マスタ[[#This Row],[参考上代
（税込)]]-商品マスタ[[#This Row],[国内定価
（15％）]])/(商品マスタ[[#This Row],[参考上代
（税込)]]/1.08), "")</f>
        <v/>
      </c>
      <c r="P596" s="136" t="n">
        <v>0.1</v>
      </c>
      <c r="Q596" s="289">
        <f>商品マスタ[[#This Row],[仕入
単価]]*商品マスタ[[#This Row],[標準国内送料率]]</f>
        <v/>
      </c>
      <c r="R596" s="289" t="n"/>
      <c r="S596" s="289">
        <f>IF(ISBLANK(商品マスタ[[#This Row],[実績
国内送料]]),商品マスタ[[#This Row],[標準国内送料]],)</f>
        <v/>
      </c>
      <c r="T596" s="289">
        <f>商品マスタ[[#This Row],[仕入
単価]]+商品マスタ[[#This Row],[国内送料]]</f>
        <v/>
      </c>
      <c r="U596" s="289">
        <f>ROUNDUP(商品マスタ[[#This Row],[仕入単価+国内送料]]/0.8,-1)</f>
        <v/>
      </c>
      <c r="V596" s="289">
        <f>商品マスタ[[#This Row],[海外定価
（20％）]]-商品マスタ[[#This Row],[仕入単価+国内送料]]</f>
        <v/>
      </c>
      <c r="W596" s="167">
        <f>ROUNDUP(商品マスタ[[#This Row],[仕入単価+国内送料]]/0.85,-1)</f>
        <v/>
      </c>
      <c r="X596" s="289">
        <f>商品マスタ[[#This Row],[国内定価
（15％）]]-商品マスタ[[#This Row],[仕入単価+国内送料]]</f>
        <v/>
      </c>
      <c r="Y596" s="139" t="n">
        <v>0.08</v>
      </c>
      <c r="Z596" s="167" t="inlineStr">
        <is>
          <t>48日</t>
        </is>
      </c>
      <c r="AA596" s="167" t="inlineStr">
        <is>
          <t>冷蔵</t>
        </is>
      </c>
      <c r="AB596" s="167" t="inlineStr">
        <is>
          <t>3日</t>
        </is>
      </c>
      <c r="AC596" s="293" t="n">
        <v>4539297350407</v>
      </c>
      <c r="AD596" s="167" t="inlineStr">
        <is>
          <t>北海道産の良質な豚肉を使用し、昔ながらの塩と香辛料を
手で擦り込む乾塩法により時間をかけてゆっくり熟成させて
作っています。野菜炒めやパスタに入れるとひと味違いま
す。使いやすいスライスタイプ。ジャパンフードセレクション
グランプリ受賞</t>
        </is>
      </c>
      <c r="AE596" s="167" t="n"/>
      <c r="AF596" s="167" t="n"/>
      <c r="AG596" s="144" t="inlineStr">
        <is>
          <t>価格は関西着設定の送料込ロット割れの場合送料＋1500円</t>
        </is>
      </c>
    </row>
    <row r="597" ht="18" customHeight="1" s="207">
      <c r="A597" s="166" t="inlineStr">
        <is>
          <t>水産</t>
        </is>
      </c>
      <c r="B597" s="167" t="inlineStr">
        <is>
          <t>水産物</t>
        </is>
      </c>
      <c r="C597" s="167" t="inlineStr">
        <is>
          <t>株式会社フジタコーポレーション</t>
        </is>
      </c>
      <c r="D597" s="143">
        <f>"PRD_SNJ_"&amp;
_xlfn.XLOOKUP(商品マスタ[[#This Row],[仕入先]],テーブル1[仕入先名],テーブル1[仕入先コード],"XXX",0,1)&amp;
"_"&amp;
商品マスタ[[#This Row],[シリアル]]&amp;
"_"&amp;
TEXT(COUNTIFS(商品マスタ!$C$3:C597,商品マスタ[[#This Row],[仕入先]],商品マスタ!$E$3:E597,商品マスタ[[#This Row],[商品名]]), "00")</f>
        <v/>
      </c>
      <c r="E597" s="167" t="inlineStr">
        <is>
          <t>北海道いちごのカッサータ</t>
        </is>
      </c>
      <c r="F597" s="167">
        <f>IF(COUNTIFS($C$3:C597,商品マスタ[[#This Row],[仕入先]],$E$3:E597,商品マスタ[[#This Row],[商品名]]) = 1, 1,0)</f>
        <v/>
      </c>
      <c r="G597" s="133">
        <f>TEXT(SUMIF($C$3:C597,商品マスタ[[#This Row],[仕入先]],$F$3:F597), "0000")</f>
        <v/>
      </c>
      <c r="H597" s="167" t="inlineStr">
        <is>
          <t>個</t>
        </is>
      </c>
      <c r="I597" s="167" t="inlineStr">
        <is>
          <t>200ｇ×24個</t>
        </is>
      </c>
      <c r="J597" s="167" t="inlineStr">
        <is>
          <t>48個</t>
        </is>
      </c>
      <c r="K597" s="167" t="n"/>
      <c r="L597" s="289" t="n">
        <v>1275</v>
      </c>
      <c r="M597" s="157" t="n">
        <v>46052</v>
      </c>
      <c r="N597" s="289" t="n">
        <v>1543.52</v>
      </c>
      <c r="O597" s="290">
        <f>IF(COUNT(商品マスタ[[#This Row],[参考上代
（税込)]]) &gt; 0, (商品マスタ[[#This Row],[参考上代
（税込)]]-商品マスタ[[#This Row],[国内定価
（15％）]])/(商品マスタ[[#This Row],[参考上代
（税込)]]/1.08), "")</f>
        <v/>
      </c>
      <c r="P597" s="136" t="n">
        <v>0.1</v>
      </c>
      <c r="Q597" s="289">
        <f>商品マスタ[[#This Row],[仕入
単価]]*商品マスタ[[#This Row],[標準国内送料率]]</f>
        <v/>
      </c>
      <c r="R597" s="289" t="n"/>
      <c r="S597" s="289">
        <f>IF(ISBLANK(商品マスタ[[#This Row],[実績
国内送料]]),商品マスタ[[#This Row],[標準国内送料]],)</f>
        <v/>
      </c>
      <c r="T597" s="289">
        <f>商品マスタ[[#This Row],[仕入
単価]]+商品マスタ[[#This Row],[国内送料]]</f>
        <v/>
      </c>
      <c r="U597" s="289">
        <f>ROUNDUP(商品マスタ[[#This Row],[仕入単価+国内送料]]/0.8,-1)</f>
        <v/>
      </c>
      <c r="V597" s="289">
        <f>商品マスタ[[#This Row],[海外定価
（20％）]]-商品マスタ[[#This Row],[仕入単価+国内送料]]</f>
        <v/>
      </c>
      <c r="W597" s="167">
        <f>ROUNDUP(商品マスタ[[#This Row],[仕入単価+国内送料]]/0.85,-1)</f>
        <v/>
      </c>
      <c r="X597" s="289">
        <f>商品マスタ[[#This Row],[国内定価
（15％）]]-商品マスタ[[#This Row],[仕入単価+国内送料]]</f>
        <v/>
      </c>
      <c r="Y597" s="139" t="n">
        <v>0.08</v>
      </c>
      <c r="Z597" s="167" t="inlineStr">
        <is>
          <t>365日</t>
        </is>
      </c>
      <c r="AA597" s="167" t="inlineStr">
        <is>
          <t>冷凍</t>
        </is>
      </c>
      <c r="AB597" s="167" t="inlineStr">
        <is>
          <t>3日</t>
        </is>
      </c>
      <c r="AC597" s="293" t="n">
        <v>4560136800319</v>
      </c>
      <c r="AD597" s="167" t="inlineStr">
        <is>
          <t>北海道日高産のいちごがふんだんにちりばめられており、
トワ・ヴェール製の濃厚なクリームチーズと生クリームの組
合せによりいちごの酸味との相性が抜群です。濃厚かつ
さっぱりとした後味のアイスチーズケーキです。</t>
        </is>
      </c>
      <c r="AE597" s="167" t="n"/>
      <c r="AF597" s="167" t="n"/>
      <c r="AG597" s="144" t="n"/>
    </row>
    <row r="598" ht="18" customHeight="1" s="207">
      <c r="A598" s="166" t="inlineStr">
        <is>
          <t>水産</t>
        </is>
      </c>
      <c r="B598" s="167" t="inlineStr">
        <is>
          <t>水産物</t>
        </is>
      </c>
      <c r="C598" s="167" t="inlineStr">
        <is>
          <t>株式会社フジタコーポレーション</t>
        </is>
      </c>
      <c r="D598" s="143">
        <f>"PRD_SNJ_"&amp;
_xlfn.XLOOKUP(商品マスタ[[#This Row],[仕入先]],テーブル1[仕入先名],テーブル1[仕入先コード],"XXX",0,1)&amp;
"_"&amp;
商品マスタ[[#This Row],[シリアル]]&amp;
"_"&amp;
TEXT(COUNTIFS(商品マスタ!$C$3:C598,商品マスタ[[#This Row],[仕入先]],商品マスタ!$E$3:E598,商品マスタ[[#This Row],[商品名]]), "00")</f>
        <v/>
      </c>
      <c r="E598" s="167" t="inlineStr">
        <is>
          <t>北海道黒豆のカッサータ</t>
        </is>
      </c>
      <c r="F598" s="167">
        <f>IF(COUNTIFS($C$3:C598,商品マスタ[[#This Row],[仕入先]],$E$3:E598,商品マスタ[[#This Row],[商品名]]) = 1, 1,0)</f>
        <v/>
      </c>
      <c r="G598" s="133">
        <f>TEXT(SUMIF($C$3:C598,商品マスタ[[#This Row],[仕入先]],$F$3:F598), "0000")</f>
        <v/>
      </c>
      <c r="H598" s="167" t="inlineStr">
        <is>
          <t>個</t>
        </is>
      </c>
      <c r="I598" s="167" t="inlineStr">
        <is>
          <t>200ｇ×24個</t>
        </is>
      </c>
      <c r="J598" s="167" t="inlineStr">
        <is>
          <t>48個</t>
        </is>
      </c>
      <c r="K598" s="167" t="n"/>
      <c r="L598" s="289" t="n">
        <v>1275</v>
      </c>
      <c r="M598" s="157" t="n">
        <v>46052</v>
      </c>
      <c r="N598" s="289" t="n">
        <v>1543.52</v>
      </c>
      <c r="O598" s="290">
        <f>IF(COUNT(商品マスタ[[#This Row],[参考上代
（税込)]]) &gt; 0, (商品マスタ[[#This Row],[参考上代
（税込)]]-商品マスタ[[#This Row],[国内定価
（15％）]])/(商品マスタ[[#This Row],[参考上代
（税込)]]/1.08), "")</f>
        <v/>
      </c>
      <c r="P598" s="136" t="n">
        <v>0.1</v>
      </c>
      <c r="Q598" s="289">
        <f>商品マスタ[[#This Row],[仕入
単価]]*商品マスタ[[#This Row],[標準国内送料率]]</f>
        <v/>
      </c>
      <c r="R598" s="289" t="n"/>
      <c r="S598" s="289">
        <f>IF(ISBLANK(商品マスタ[[#This Row],[実績
国内送料]]),商品マスタ[[#This Row],[標準国内送料]],)</f>
        <v/>
      </c>
      <c r="T598" s="289">
        <f>商品マスタ[[#This Row],[仕入
単価]]+商品マスタ[[#This Row],[国内送料]]</f>
        <v/>
      </c>
      <c r="U598" s="289">
        <f>ROUNDUP(商品マスタ[[#This Row],[仕入単価+国内送料]]/0.8,-1)</f>
        <v/>
      </c>
      <c r="V598" s="289">
        <f>商品マスタ[[#This Row],[海外定価
（20％）]]-商品マスタ[[#This Row],[仕入単価+国内送料]]</f>
        <v/>
      </c>
      <c r="W598" s="167">
        <f>ROUNDUP(商品マスタ[[#This Row],[仕入単価+国内送料]]/0.85,-1)</f>
        <v/>
      </c>
      <c r="X598" s="289">
        <f>商品マスタ[[#This Row],[国内定価
（15％）]]-商品マスタ[[#This Row],[仕入単価+国内送料]]</f>
        <v/>
      </c>
      <c r="Y598" s="139" t="n">
        <v>0.08</v>
      </c>
      <c r="Z598" s="167" t="inlineStr">
        <is>
          <t>365日</t>
        </is>
      </c>
      <c r="AA598" s="167" t="inlineStr">
        <is>
          <t>冷凍</t>
        </is>
      </c>
      <c r="AB598" s="167" t="inlineStr">
        <is>
          <t>3日</t>
        </is>
      </c>
      <c r="AC598" s="293" t="n">
        <v>4560136800302</v>
      </c>
      <c r="AD598" s="167" t="inlineStr">
        <is>
          <t>北海道産黒豆をふんだんに使用、トワ・ヴェール製の濃厚
なクリームチーズと生クリームの組合せにより、濃厚かつ
黒豆の風味、食感が感じられる和風のスイーツに仕上げま
した。</t>
        </is>
      </c>
      <c r="AE598" s="167" t="n"/>
      <c r="AF598" s="167" t="n"/>
      <c r="AG598" s="144" t="n"/>
    </row>
    <row r="599" ht="18" customHeight="1" s="207">
      <c r="A599" s="166" t="inlineStr">
        <is>
          <t>水産</t>
        </is>
      </c>
      <c r="B599" s="167" t="inlineStr">
        <is>
          <t>水産物</t>
        </is>
      </c>
      <c r="C599" s="167" t="inlineStr">
        <is>
          <t>株式会社フジタコーポレーション</t>
        </is>
      </c>
      <c r="D599" s="143">
        <f>"PRD_SNJ_"&amp;
_xlfn.XLOOKUP(商品マスタ[[#This Row],[仕入先]],テーブル1[仕入先名],テーブル1[仕入先コード],"XXX",0,1)&amp;
"_"&amp;
商品マスタ[[#This Row],[シリアル]]&amp;
"_"&amp;
TEXT(COUNTIFS(商品マスタ!$C$3:C599,商品マスタ[[#This Row],[仕入先]],商品マスタ!$E$3:E599,商品マスタ[[#This Row],[商品名]]), "00")</f>
        <v/>
      </c>
      <c r="E599" s="167" t="inlineStr">
        <is>
          <t>フルーツとナッツのカッ
サータ</t>
        </is>
      </c>
      <c r="F599" s="167">
        <f>IF(COUNTIFS($C$3:C599,商品マスタ[[#This Row],[仕入先]],$E$3:E599,商品マスタ[[#This Row],[商品名]]) = 1, 1,0)</f>
        <v/>
      </c>
      <c r="G599" s="133">
        <f>TEXT(SUMIF($C$3:C599,商品マスタ[[#This Row],[仕入先]],$F$3:F599), "0000")</f>
        <v/>
      </c>
      <c r="H599" s="167" t="inlineStr">
        <is>
          <t>個</t>
        </is>
      </c>
      <c r="I599" s="167" t="inlineStr">
        <is>
          <t>200ｇ×24個</t>
        </is>
      </c>
      <c r="J599" s="167" t="inlineStr">
        <is>
          <t>48個</t>
        </is>
      </c>
      <c r="K599" s="167" t="n"/>
      <c r="L599" s="289" t="n">
        <v>1275</v>
      </c>
      <c r="M599" s="157" t="n">
        <v>46052</v>
      </c>
      <c r="N599" s="289" t="n">
        <v>1543.52</v>
      </c>
      <c r="O599" s="290">
        <f>IF(COUNT(商品マスタ[[#This Row],[参考上代
（税込)]]) &gt; 0, (商品マスタ[[#This Row],[参考上代
（税込)]]-商品マスタ[[#This Row],[国内定価
（15％）]])/(商品マスタ[[#This Row],[参考上代
（税込)]]/1.08), "")</f>
        <v/>
      </c>
      <c r="P599" s="136" t="n">
        <v>0.1</v>
      </c>
      <c r="Q599" s="289">
        <f>商品マスタ[[#This Row],[仕入
単価]]*商品マスタ[[#This Row],[標準国内送料率]]</f>
        <v/>
      </c>
      <c r="R599" s="289" t="n"/>
      <c r="S599" s="289">
        <f>IF(ISBLANK(商品マスタ[[#This Row],[実績
国内送料]]),商品マスタ[[#This Row],[標準国内送料]],)</f>
        <v/>
      </c>
      <c r="T599" s="289">
        <f>商品マスタ[[#This Row],[仕入
単価]]+商品マスタ[[#This Row],[国内送料]]</f>
        <v/>
      </c>
      <c r="U599" s="289">
        <f>ROUNDUP(商品マスタ[[#This Row],[仕入単価+国内送料]]/0.8,-1)</f>
        <v/>
      </c>
      <c r="V599" s="289">
        <f>商品マスタ[[#This Row],[海外定価
（20％）]]-商品マスタ[[#This Row],[仕入単価+国内送料]]</f>
        <v/>
      </c>
      <c r="W599" s="167">
        <f>ROUNDUP(商品マスタ[[#This Row],[仕入単価+国内送料]]/0.85,-1)</f>
        <v/>
      </c>
      <c r="X599" s="289">
        <f>商品マスタ[[#This Row],[国内定価
（15％）]]-商品マスタ[[#This Row],[仕入単価+国内送料]]</f>
        <v/>
      </c>
      <c r="Y599" s="139" t="n">
        <v>0.08</v>
      </c>
      <c r="Z599" s="167" t="inlineStr">
        <is>
          <t>365日</t>
        </is>
      </c>
      <c r="AA599" s="167" t="inlineStr">
        <is>
          <t>冷凍</t>
        </is>
      </c>
      <c r="AB599" s="167" t="inlineStr">
        <is>
          <t>3日</t>
        </is>
      </c>
      <c r="AC599" s="293" t="n">
        <v>4560136800296</v>
      </c>
      <c r="AD599" s="167" t="inlineStr">
        <is>
          <t>断面にドライフルーツとナッツがふんだんにちりばめられて
おり、トワ・ヴェール製のクリームチーズと生クリームを組み
合わせて濃厚なのに軽い食感のアイスチーズケーキです。</t>
        </is>
      </c>
      <c r="AE599" s="167" t="n"/>
      <c r="AF599" s="167" t="n"/>
      <c r="AG599" s="144" t="n"/>
    </row>
    <row r="600" ht="18" customHeight="1" s="207">
      <c r="A600" s="166" t="inlineStr">
        <is>
          <t>水産</t>
        </is>
      </c>
      <c r="B600" s="167" t="inlineStr">
        <is>
          <t>水産物</t>
        </is>
      </c>
      <c r="C600" s="167" t="inlineStr">
        <is>
          <t>株式会社フジタコーポレーション</t>
        </is>
      </c>
      <c r="D600" s="143">
        <f>"PRD_SNJ_"&amp;
_xlfn.XLOOKUP(商品マスタ[[#This Row],[仕入先]],テーブル1[仕入先名],テーブル1[仕入先コード],"XXX",0,1)&amp;
"_"&amp;
商品マスタ[[#This Row],[シリアル]]&amp;
"_"&amp;
TEXT(COUNTIFS(商品マスタ!$C$3:C600,商品マスタ[[#This Row],[仕入先]],商品マスタ!$E$3:E600,商品マスタ[[#This Row],[商品名]]), "00")</f>
        <v/>
      </c>
      <c r="E600" s="167" t="inlineStr">
        <is>
          <t>トワ・ヴェール
ムース・フロマージュ
（クリームチーズ）</t>
        </is>
      </c>
      <c r="F600" s="167">
        <f>IF(COUNTIFS($C$3:C600,商品マスタ[[#This Row],[仕入先]],$E$3:E600,商品マスタ[[#This Row],[商品名]]) = 1, 1,0)</f>
        <v/>
      </c>
      <c r="G600" s="133">
        <f>TEXT(SUMIF($C$3:C600,商品マスタ[[#This Row],[仕入先]],$F$3:F600), "0000")</f>
        <v/>
      </c>
      <c r="H600" s="167" t="inlineStr">
        <is>
          <t>個</t>
        </is>
      </c>
      <c r="I600" s="167" t="inlineStr">
        <is>
          <t>180ｇ×12個</t>
        </is>
      </c>
      <c r="J600" s="167" t="inlineStr">
        <is>
          <t>36個</t>
        </is>
      </c>
      <c r="K600" s="167" t="n"/>
      <c r="L600" s="289" t="n">
        <v>1150</v>
      </c>
      <c r="M600" s="157" t="n">
        <v>46052</v>
      </c>
      <c r="N600" s="289" t="n">
        <v>1388.89</v>
      </c>
      <c r="O600" s="290">
        <f>IF(COUNT(商品マスタ[[#This Row],[参考上代
（税込)]]) &gt; 0, (商品マスタ[[#This Row],[参考上代
（税込)]]-商品マスタ[[#This Row],[国内定価
（15％）]])/(商品マスタ[[#This Row],[参考上代
（税込)]]/1.08), "")</f>
        <v/>
      </c>
      <c r="P600" s="136" t="n">
        <v>0.1</v>
      </c>
      <c r="Q600" s="289">
        <f>商品マスタ[[#This Row],[仕入
単価]]*商品マスタ[[#This Row],[標準国内送料率]]</f>
        <v/>
      </c>
      <c r="R600" s="289" t="n"/>
      <c r="S600" s="289">
        <f>IF(ISBLANK(商品マスタ[[#This Row],[実績
国内送料]]),商品マスタ[[#This Row],[標準国内送料]],)</f>
        <v/>
      </c>
      <c r="T600" s="289">
        <f>商品マスタ[[#This Row],[仕入
単価]]+商品マスタ[[#This Row],[国内送料]]</f>
        <v/>
      </c>
      <c r="U600" s="289">
        <f>ROUNDUP(商品マスタ[[#This Row],[仕入単価+国内送料]]/0.8,-1)</f>
        <v/>
      </c>
      <c r="V600" s="289">
        <f>商品マスタ[[#This Row],[海外定価
（20％）]]-商品マスタ[[#This Row],[仕入単価+国内送料]]</f>
        <v/>
      </c>
      <c r="W600" s="167">
        <f>ROUNDUP(商品マスタ[[#This Row],[仕入単価+国内送料]]/0.85,-1)</f>
        <v/>
      </c>
      <c r="X600" s="289">
        <f>商品マスタ[[#This Row],[国内定価
（15％）]]-商品マスタ[[#This Row],[仕入単価+国内送料]]</f>
        <v/>
      </c>
      <c r="Y600" s="139" t="n">
        <v>0.08</v>
      </c>
      <c r="Z600" s="167" t="inlineStr">
        <is>
          <t>冷凍：365日　冷蔵：5日</t>
        </is>
      </c>
      <c r="AA600" s="167" t="inlineStr">
        <is>
          <t>冷凍・冷蔵</t>
        </is>
      </c>
      <c r="AB600" s="167" t="inlineStr">
        <is>
          <t>3日</t>
        </is>
      </c>
      <c r="AC600" s="293" t="n">
        <v>4589683736889</v>
      </c>
      <c r="AD600" s="167" t="inlineStr">
        <is>
          <t>2022年北海道地チーズ博（フレッシュ/ソフト部門）第1位に
輝いたクリームチーズをたっぷりと使用した、濃厚でふわト
ロ食感のレアチーズケーキです。</t>
        </is>
      </c>
      <c r="AE600" s="167" t="n"/>
      <c r="AF600" s="167" t="n"/>
      <c r="AG600" s="144" t="n"/>
    </row>
    <row r="601" ht="18" customHeight="1" s="207">
      <c r="A601" s="166" t="inlineStr">
        <is>
          <t>水産</t>
        </is>
      </c>
      <c r="B601" s="167" t="inlineStr">
        <is>
          <t>水産物</t>
        </is>
      </c>
      <c r="C601" s="167" t="inlineStr">
        <is>
          <t>株式会社フジタコーポレーション</t>
        </is>
      </c>
      <c r="D601" s="143">
        <f>"PRD_SNJ_"&amp;
_xlfn.XLOOKUP(商品マスタ[[#This Row],[仕入先]],テーブル1[仕入先名],テーブル1[仕入先コード],"XXX",0,1)&amp;
"_"&amp;
商品マスタ[[#This Row],[シリアル]]&amp;
"_"&amp;
TEXT(COUNTIFS(商品マスタ!$C$3:C601,商品マスタ[[#This Row],[仕入先]],商品マスタ!$E$3:E601,商品マスタ[[#This Row],[商品名]]), "00")</f>
        <v/>
      </c>
      <c r="E601" s="167" t="inlineStr">
        <is>
          <t>トワ・ヴェール
ブルーチーズケーキ</t>
        </is>
      </c>
      <c r="F601" s="167">
        <f>IF(COUNTIFS($C$3:C601,商品マスタ[[#This Row],[仕入先]],$E$3:E601,商品マスタ[[#This Row],[商品名]]) = 1, 1,0)</f>
        <v/>
      </c>
      <c r="G601" s="133">
        <f>TEXT(SUMIF($C$3:C601,商品マスタ[[#This Row],[仕入先]],$F$3:F601), "0000")</f>
        <v/>
      </c>
      <c r="H601" s="167" t="inlineStr">
        <is>
          <t>個</t>
        </is>
      </c>
      <c r="I601" s="167" t="inlineStr">
        <is>
          <t>200ｇ×30個</t>
        </is>
      </c>
      <c r="J601" s="167" t="inlineStr">
        <is>
          <t>30個</t>
        </is>
      </c>
      <c r="K601" s="167" t="n"/>
      <c r="L601" s="289" t="n">
        <v>1900</v>
      </c>
      <c r="M601" s="157" t="n">
        <v>46052</v>
      </c>
      <c r="N601" s="289" t="n">
        <v>2314.81</v>
      </c>
      <c r="O601" s="290">
        <f>IF(COUNT(商品マスタ[[#This Row],[参考上代
（税込)]]) &gt; 0, (商品マスタ[[#This Row],[参考上代
（税込)]]-商品マスタ[[#This Row],[国内定価
（15％）]])/(商品マスタ[[#This Row],[参考上代
（税込)]]/1.08), "")</f>
        <v/>
      </c>
      <c r="P601" s="136" t="n">
        <v>0.1</v>
      </c>
      <c r="Q601" s="289">
        <f>商品マスタ[[#This Row],[仕入
単価]]*商品マスタ[[#This Row],[標準国内送料率]]</f>
        <v/>
      </c>
      <c r="R601" s="289" t="n"/>
      <c r="S601" s="289">
        <f>IF(ISBLANK(商品マスタ[[#This Row],[実績
国内送料]]),商品マスタ[[#This Row],[標準国内送料]],)</f>
        <v/>
      </c>
      <c r="T601" s="289">
        <f>商品マスタ[[#This Row],[仕入
単価]]+商品マスタ[[#This Row],[国内送料]]</f>
        <v/>
      </c>
      <c r="U601" s="289">
        <f>ROUNDUP(商品マスタ[[#This Row],[仕入単価+国内送料]]/0.8,-1)</f>
        <v/>
      </c>
      <c r="V601" s="289">
        <f>商品マスタ[[#This Row],[海外定価
（20％）]]-商品マスタ[[#This Row],[仕入単価+国内送料]]</f>
        <v/>
      </c>
      <c r="W601" s="167">
        <f>ROUNDUP(商品マスタ[[#This Row],[仕入単価+国内送料]]/0.85,-1)</f>
        <v/>
      </c>
      <c r="X601" s="289">
        <f>商品マスタ[[#This Row],[国内定価
（15％）]]-商品マスタ[[#This Row],[仕入単価+国内送料]]</f>
        <v/>
      </c>
      <c r="Y601" s="139" t="n">
        <v>0.08</v>
      </c>
      <c r="Z601" s="167" t="inlineStr">
        <is>
          <t>冷凍：365日　冷蔵：5日</t>
        </is>
      </c>
      <c r="AA601" s="167" t="inlineStr">
        <is>
          <t>冷凍・冷蔵</t>
        </is>
      </c>
      <c r="AB601" s="167" t="inlineStr">
        <is>
          <t>3日</t>
        </is>
      </c>
      <c r="AC601" s="293" t="n">
        <v>4589683736933</v>
      </c>
      <c r="AD601" s="167" t="inlineStr">
        <is>
          <t>トワ・ヴェール人気NO1ブルーチーズを贅沢に使用した、バ
スクチーズケーキ。自信の逸品でブルーチーズの香りが癖
になる味わいです。</t>
        </is>
      </c>
      <c r="AE601" s="167" t="n"/>
      <c r="AF601" s="167" t="n"/>
      <c r="AG601" s="144" t="n"/>
    </row>
    <row r="602" ht="18" customHeight="1" s="207">
      <c r="A602" s="166" t="inlineStr">
        <is>
          <t>水産</t>
        </is>
      </c>
      <c r="B602" s="167" t="inlineStr">
        <is>
          <t>水産物</t>
        </is>
      </c>
      <c r="C602" s="167" t="inlineStr">
        <is>
          <t>株式会社フジタコーポレーション</t>
        </is>
      </c>
      <c r="D602" s="143">
        <f>"PRD_SNJ_"&amp;
_xlfn.XLOOKUP(商品マスタ[[#This Row],[仕入先]],テーブル1[仕入先名],テーブル1[仕入先コード],"XXX",0,1)&amp;
"_"&amp;
商品マスタ[[#This Row],[シリアル]]&amp;
"_"&amp;
TEXT(COUNTIFS(商品マスタ!$C$3:C602,商品マスタ[[#This Row],[仕入先]],商品マスタ!$E$3:E602,商品マスタ[[#This Row],[商品名]]), "00")</f>
        <v/>
      </c>
      <c r="E602" s="167" t="inlineStr">
        <is>
          <t>２層仕立てのプチフロマージュ</t>
        </is>
      </c>
      <c r="F602" s="167">
        <f>IF(COUNTIFS($C$3:C602,商品マスタ[[#This Row],[仕入先]],$E$3:E602,商品マスタ[[#This Row],[商品名]]) = 1, 1,0)</f>
        <v/>
      </c>
      <c r="G602" s="133">
        <f>TEXT(SUMIF($C$3:C602,商品マスタ[[#This Row],[仕入先]],$F$3:F602), "0000")</f>
        <v/>
      </c>
      <c r="H602" s="167" t="inlineStr">
        <is>
          <t>個</t>
        </is>
      </c>
      <c r="I602" s="167" t="inlineStr">
        <is>
          <t>24×２合</t>
        </is>
      </c>
      <c r="J602" s="167" t="inlineStr">
        <is>
          <t>48個</t>
        </is>
      </c>
      <c r="K602" s="167" t="n"/>
      <c r="L602" s="289" t="n">
        <v>775</v>
      </c>
      <c r="M602" s="157" t="n">
        <v>46052</v>
      </c>
      <c r="N602" s="289" t="n">
        <v>925.9299999999999</v>
      </c>
      <c r="O602" s="290">
        <f>IF(COUNT(商品マスタ[[#This Row],[参考上代
（税込)]]) &gt; 0, (商品マスタ[[#This Row],[参考上代
（税込)]]-商品マスタ[[#This Row],[国内定価
（15％）]])/(商品マスタ[[#This Row],[参考上代
（税込)]]/1.08), "")</f>
        <v/>
      </c>
      <c r="P602" s="136" t="n">
        <v>0.1</v>
      </c>
      <c r="Q602" s="289">
        <f>商品マスタ[[#This Row],[仕入
単価]]*商品マスタ[[#This Row],[標準国内送料率]]</f>
        <v/>
      </c>
      <c r="R602" s="289" t="n"/>
      <c r="S602" s="289">
        <f>IF(ISBLANK(商品マスタ[[#This Row],[実績
国内送料]]),商品マスタ[[#This Row],[標準国内送料]],)</f>
        <v/>
      </c>
      <c r="T602" s="289">
        <f>商品マスタ[[#This Row],[仕入
単価]]+商品マスタ[[#This Row],[国内送料]]</f>
        <v/>
      </c>
      <c r="U602" s="289">
        <f>ROUNDUP(商品マスタ[[#This Row],[仕入単価+国内送料]]/0.8,-1)</f>
        <v/>
      </c>
      <c r="V602" s="289">
        <f>商品マスタ[[#This Row],[海外定価
（20％）]]-商品マスタ[[#This Row],[仕入単価+国内送料]]</f>
        <v/>
      </c>
      <c r="W602" s="167">
        <f>ROUNDUP(商品マスタ[[#This Row],[仕入単価+国内送料]]/0.85,-1)</f>
        <v/>
      </c>
      <c r="X602" s="289">
        <f>商品マスタ[[#This Row],[国内定価
（15％）]]-商品マスタ[[#This Row],[仕入単価+国内送料]]</f>
        <v/>
      </c>
      <c r="Y602" s="139" t="n">
        <v>0.08</v>
      </c>
      <c r="Z602" s="167" t="inlineStr">
        <is>
          <t>365日</t>
        </is>
      </c>
      <c r="AA602" s="167" t="inlineStr">
        <is>
          <t>冷凍</t>
        </is>
      </c>
      <c r="AB602" s="167" t="inlineStr">
        <is>
          <t>3日</t>
        </is>
      </c>
      <c r="AC602" s="293" t="n">
        <v>4562216373782</v>
      </c>
      <c r="AD602" s="167" t="inlineStr">
        <is>
          <t>少な黒松内産カシスの甘酸っぱい「カシス味」、濃厚チー
ズとホイップがとろける「プレーン味」、ホエイとキャラメルが
香る「ホエイキャラメル味」。3種の贅沢な味わいを楽しめる
チーズケーキです。</t>
        </is>
      </c>
      <c r="AE602" s="167" t="n"/>
      <c r="AF602" s="167" t="n"/>
      <c r="AG602" s="144" t="n"/>
    </row>
    <row r="603" ht="18" customHeight="1" s="207">
      <c r="A603" s="166" t="inlineStr">
        <is>
          <t>水産</t>
        </is>
      </c>
      <c r="B603" s="167" t="inlineStr">
        <is>
          <t>水産物</t>
        </is>
      </c>
      <c r="C603" s="167" t="inlineStr">
        <is>
          <t>株式会社フジタコーポレーション</t>
        </is>
      </c>
      <c r="D603" s="143">
        <f>"PRD_SNJ_"&amp;
_xlfn.XLOOKUP(商品マスタ[[#This Row],[仕入先]],テーブル1[仕入先名],テーブル1[仕入先コード],"XXX",0,1)&amp;
"_"&amp;
商品マスタ[[#This Row],[シリアル]]&amp;
"_"&amp;
TEXT(COUNTIFS(商品マスタ!$C$3:C603,商品マスタ[[#This Row],[仕入先]],商品マスタ!$E$3:E603,商品マスタ[[#This Row],[商品名]]), "00")</f>
        <v/>
      </c>
      <c r="E603" s="167" t="inlineStr">
        <is>
          <t>トワ・ヴェール　リッチア
イスクリーム
（しあわせミルク）</t>
        </is>
      </c>
      <c r="F603" s="167">
        <f>IF(COUNTIFS($C$3:C603,商品マスタ[[#This Row],[仕入先]],$E$3:E603,商品マスタ[[#This Row],[商品名]]) = 1, 1,0)</f>
        <v/>
      </c>
      <c r="G603" s="133">
        <f>TEXT(SUMIF($C$3:C603,商品マスタ[[#This Row],[仕入先]],$F$3:F603), "0000")</f>
        <v/>
      </c>
      <c r="H603" s="167" t="inlineStr">
        <is>
          <t>個</t>
        </is>
      </c>
      <c r="I603" s="167" t="inlineStr">
        <is>
          <t>120個</t>
        </is>
      </c>
      <c r="J603" s="167" t="inlineStr">
        <is>
          <t>120個</t>
        </is>
      </c>
      <c r="K603" s="167" t="n"/>
      <c r="L603" s="289" t="n">
        <v>272</v>
      </c>
      <c r="M603" s="157" t="n">
        <v>46052</v>
      </c>
      <c r="N603" s="289" t="n">
        <v>324.07</v>
      </c>
      <c r="O603" s="290">
        <f>IF(COUNT(商品マスタ[[#This Row],[参考上代
（税込)]]) &gt; 0, (商品マスタ[[#This Row],[参考上代
（税込)]]-商品マスタ[[#This Row],[国内定価
（15％）]])/(商品マスタ[[#This Row],[参考上代
（税込)]]/1.08), "")</f>
        <v/>
      </c>
      <c r="P603" s="136" t="n">
        <v>0.1</v>
      </c>
      <c r="Q603" s="289">
        <f>商品マスタ[[#This Row],[仕入
単価]]*商品マスタ[[#This Row],[標準国内送料率]]</f>
        <v/>
      </c>
      <c r="R603" s="289" t="n"/>
      <c r="S603" s="289">
        <f>IF(ISBLANK(商品マスタ[[#This Row],[実績
国内送料]]),商品マスタ[[#This Row],[標準国内送料]],)</f>
        <v/>
      </c>
      <c r="T603" s="289">
        <f>商品マスタ[[#This Row],[仕入
単価]]+商品マスタ[[#This Row],[国内送料]]</f>
        <v/>
      </c>
      <c r="U603" s="289">
        <f>ROUNDUP(商品マスタ[[#This Row],[仕入単価+国内送料]]/0.8,-1)</f>
        <v/>
      </c>
      <c r="V603" s="289">
        <f>商品マスタ[[#This Row],[海外定価
（20％）]]-商品マスタ[[#This Row],[仕入単価+国内送料]]</f>
        <v/>
      </c>
      <c r="W603" s="167">
        <f>ROUNDUP(商品マスタ[[#This Row],[仕入単価+国内送料]]/0.85,-1)</f>
        <v/>
      </c>
      <c r="X603" s="289">
        <f>商品マスタ[[#This Row],[国内定価
（15％）]]-商品マスタ[[#This Row],[仕入単価+国内送料]]</f>
        <v/>
      </c>
      <c r="Y603" s="139" t="n">
        <v>0.08</v>
      </c>
      <c r="Z603" s="167" t="inlineStr">
        <is>
          <t>なし</t>
        </is>
      </c>
      <c r="AA603" s="167" t="inlineStr">
        <is>
          <t>冷凍</t>
        </is>
      </c>
      <c r="AB603" s="167" t="inlineStr">
        <is>
          <t>3日</t>
        </is>
      </c>
      <c r="AC603" s="293" t="n">
        <v>4539297320707</v>
      </c>
      <c r="AD603" s="167" t="inlineStr">
        <is>
          <t>水のキレイな清流の地で健康に育った牛たちのしぼりたて
生乳の味わいをそのまま感じられる逸品です。北海道の大
自然に育まれたミルクアイスは召し上がられる方々に”しあ
わせ”をご提供いたします。</t>
        </is>
      </c>
      <c r="AE603" s="167" t="n"/>
      <c r="AF603" s="167" t="n"/>
      <c r="AG603" s="144" t="n"/>
    </row>
    <row r="604" ht="18" customHeight="1" s="207">
      <c r="A604" s="166" t="inlineStr">
        <is>
          <t>水産</t>
        </is>
      </c>
      <c r="B604" s="167" t="inlineStr">
        <is>
          <t>水産物</t>
        </is>
      </c>
      <c r="C604" s="167" t="inlineStr">
        <is>
          <t>株式会社フジタコーポレーション</t>
        </is>
      </c>
      <c r="D604" s="143">
        <f>"PRD_SNJ_"&amp;
_xlfn.XLOOKUP(商品マスタ[[#This Row],[仕入先]],テーブル1[仕入先名],テーブル1[仕入先コード],"XXX",0,1)&amp;
"_"&amp;
商品マスタ[[#This Row],[シリアル]]&amp;
"_"&amp;
TEXT(COUNTIFS(商品マスタ!$C$3:C604,商品マスタ[[#This Row],[仕入先]],商品マスタ!$E$3:E604,商品マスタ[[#This Row],[商品名]]), "00")</f>
        <v/>
      </c>
      <c r="E604" s="167" t="inlineStr">
        <is>
          <t>トワ・ヴェール　リッチアイスク
リーム（カカオ香るほどよい甘
さのチョコレート）</t>
        </is>
      </c>
      <c r="F604" s="167">
        <f>IF(COUNTIFS($C$3:C604,商品マスタ[[#This Row],[仕入先]],$E$3:E604,商品マスタ[[#This Row],[商品名]]) = 1, 1,0)</f>
        <v/>
      </c>
      <c r="G604" s="133">
        <f>TEXT(SUMIF($C$3:C604,商品マスタ[[#This Row],[仕入先]],$F$3:F604), "0000")</f>
        <v/>
      </c>
      <c r="H604" s="167" t="inlineStr">
        <is>
          <t>個</t>
        </is>
      </c>
      <c r="I604" s="167" t="inlineStr">
        <is>
          <t>120個</t>
        </is>
      </c>
      <c r="J604" s="167" t="inlineStr">
        <is>
          <t>120個</t>
        </is>
      </c>
      <c r="K604" s="167" t="n"/>
      <c r="L604" s="289" t="n">
        <v>272</v>
      </c>
      <c r="M604" s="157" t="n">
        <v>46052</v>
      </c>
      <c r="N604" s="289" t="n">
        <v>324.07</v>
      </c>
      <c r="O604" s="290">
        <f>IF(COUNT(商品マスタ[[#This Row],[参考上代
（税込)]]) &gt; 0, (商品マスタ[[#This Row],[参考上代
（税込)]]-商品マスタ[[#This Row],[国内定価
（15％）]])/(商品マスタ[[#This Row],[参考上代
（税込)]]/1.08), "")</f>
        <v/>
      </c>
      <c r="P604" s="136" t="n">
        <v>0.1</v>
      </c>
      <c r="Q604" s="289">
        <f>商品マスタ[[#This Row],[仕入
単価]]*商品マスタ[[#This Row],[標準国内送料率]]</f>
        <v/>
      </c>
      <c r="R604" s="289" t="n"/>
      <c r="S604" s="289">
        <f>IF(ISBLANK(商品マスタ[[#This Row],[実績
国内送料]]),商品マスタ[[#This Row],[標準国内送料]],)</f>
        <v/>
      </c>
      <c r="T604" s="289">
        <f>商品マスタ[[#This Row],[仕入
単価]]+商品マスタ[[#This Row],[国内送料]]</f>
        <v/>
      </c>
      <c r="U604" s="289">
        <f>ROUNDUP(商品マスタ[[#This Row],[仕入単価+国内送料]]/0.8,-1)</f>
        <v/>
      </c>
      <c r="V604" s="289">
        <f>商品マスタ[[#This Row],[海外定価
（20％）]]-商品マスタ[[#This Row],[仕入単価+国内送料]]</f>
        <v/>
      </c>
      <c r="W604" s="167">
        <f>ROUNDUP(商品マスタ[[#This Row],[仕入単価+国内送料]]/0.85,-1)</f>
        <v/>
      </c>
      <c r="X604" s="289">
        <f>商品マスタ[[#This Row],[国内定価
（15％）]]-商品マスタ[[#This Row],[仕入単価+国内送料]]</f>
        <v/>
      </c>
      <c r="Y604" s="139" t="n">
        <v>0.08</v>
      </c>
      <c r="Z604" s="167" t="inlineStr">
        <is>
          <t>なし</t>
        </is>
      </c>
      <c r="AA604" s="167" t="inlineStr">
        <is>
          <t>冷凍</t>
        </is>
      </c>
      <c r="AB604" s="167" t="inlineStr">
        <is>
          <t>3日</t>
        </is>
      </c>
      <c r="AC604" s="293" t="n">
        <v>4539297320806</v>
      </c>
      <c r="AD604" s="167" t="inlineStr">
        <is>
          <t>国内有数のチョコレートメーカーとの出逢いにより、厳選し
た香り高いカカオを使用し、敢えて程良い甘さに仕上げ、濃
厚な生乳との絶妙なバランスを実現しました。</t>
        </is>
      </c>
      <c r="AE604" s="167" t="n"/>
      <c r="AF604" s="167" t="n"/>
      <c r="AG604" s="144" t="n"/>
    </row>
    <row r="605" ht="18" customHeight="1" s="207">
      <c r="A605" s="166" t="inlineStr">
        <is>
          <t>水産</t>
        </is>
      </c>
      <c r="B605" s="167" t="inlineStr">
        <is>
          <t>水産物</t>
        </is>
      </c>
      <c r="C605" s="167" t="inlineStr">
        <is>
          <t>株式会社フジタコーポレーション</t>
        </is>
      </c>
      <c r="D605" s="143">
        <f>"PRD_SNJ_"&amp;
_xlfn.XLOOKUP(商品マスタ[[#This Row],[仕入先]],テーブル1[仕入先名],テーブル1[仕入先コード],"XXX",0,1)&amp;
"_"&amp;
商品マスタ[[#This Row],[シリアル]]&amp;
"_"&amp;
TEXT(COUNTIFS(商品マスタ!$C$3:C605,商品マスタ[[#This Row],[仕入先]],商品マスタ!$E$3:E605,商品マスタ[[#This Row],[商品名]]), "00")</f>
        <v/>
      </c>
      <c r="E605" s="167" t="inlineStr">
        <is>
          <t>ｄ</t>
        </is>
      </c>
      <c r="F605" s="167">
        <f>IF(COUNTIFS($C$3:C605,商品マスタ[[#This Row],[仕入先]],$E$3:E605,商品マスタ[[#This Row],[商品名]]) = 1, 1,0)</f>
        <v/>
      </c>
      <c r="G605" s="133">
        <f>TEXT(SUMIF($C$3:C605,商品マスタ[[#This Row],[仕入先]],$F$3:F605), "0000")</f>
        <v/>
      </c>
      <c r="H605" s="167" t="inlineStr">
        <is>
          <t>個</t>
        </is>
      </c>
      <c r="I605" s="167" t="inlineStr">
        <is>
          <t>120個</t>
        </is>
      </c>
      <c r="J605" s="167" t="inlineStr">
        <is>
          <t>120個</t>
        </is>
      </c>
      <c r="K605" s="167" t="n"/>
      <c r="L605" s="289" t="n">
        <v>272</v>
      </c>
      <c r="M605" s="157" t="n">
        <v>46052</v>
      </c>
      <c r="N605" s="289" t="n">
        <v>324.07</v>
      </c>
      <c r="O605" s="290">
        <f>IF(COUNT(商品マスタ[[#This Row],[参考上代
（税込)]]) &gt; 0, (商品マスタ[[#This Row],[参考上代
（税込)]]-商品マスタ[[#This Row],[国内定価
（15％）]])/(商品マスタ[[#This Row],[参考上代
（税込)]]/1.08), "")</f>
        <v/>
      </c>
      <c r="P605" s="136" t="n">
        <v>0.1</v>
      </c>
      <c r="Q605" s="289">
        <f>商品マスタ[[#This Row],[仕入
単価]]*商品マスタ[[#This Row],[標準国内送料率]]</f>
        <v/>
      </c>
      <c r="R605" s="289" t="n"/>
      <c r="S605" s="289">
        <f>IF(ISBLANK(商品マスタ[[#This Row],[実績
国内送料]]),商品マスタ[[#This Row],[標準国内送料]],)</f>
        <v/>
      </c>
      <c r="T605" s="289">
        <f>商品マスタ[[#This Row],[仕入
単価]]+商品マスタ[[#This Row],[国内送料]]</f>
        <v/>
      </c>
      <c r="U605" s="289">
        <f>ROUNDUP(商品マスタ[[#This Row],[仕入単価+国内送料]]/0.8,-1)</f>
        <v/>
      </c>
      <c r="V605" s="289">
        <f>商品マスタ[[#This Row],[海外定価
（20％）]]-商品マスタ[[#This Row],[仕入単価+国内送料]]</f>
        <v/>
      </c>
      <c r="W605" s="167">
        <f>ROUNDUP(商品マスタ[[#This Row],[仕入単価+国内送料]]/0.85,-1)</f>
        <v/>
      </c>
      <c r="X605" s="289">
        <f>商品マスタ[[#This Row],[国内定価
（15％）]]-商品マスタ[[#This Row],[仕入単価+国内送料]]</f>
        <v/>
      </c>
      <c r="Y605" s="139" t="n">
        <v>0.08</v>
      </c>
      <c r="Z605" s="167" t="inlineStr">
        <is>
          <t>なし</t>
        </is>
      </c>
      <c r="AA605" s="167" t="inlineStr">
        <is>
          <t>冷凍</t>
        </is>
      </c>
      <c r="AB605" s="167" t="inlineStr">
        <is>
          <t>3日</t>
        </is>
      </c>
      <c r="AC605" s="293" t="n">
        <v>4539297320905</v>
      </c>
      <c r="AD605" s="167" t="inlineStr">
        <is>
          <t>北海道地アイスの中でも珍しいラムレーズンフレーバー。
理想のラムレーズンフレーバーを追い求め、実現した味わ
いを是非お試しください。</t>
        </is>
      </c>
      <c r="AE605" s="167" t="n"/>
      <c r="AF605" s="167" t="n"/>
      <c r="AG605" s="144" t="n"/>
    </row>
    <row r="606" ht="18" customHeight="1" s="207">
      <c r="A606" s="166" t="inlineStr">
        <is>
          <t>水産</t>
        </is>
      </c>
      <c r="B606" s="167" t="inlineStr">
        <is>
          <t>水産物</t>
        </is>
      </c>
      <c r="C606" s="167" t="inlineStr">
        <is>
          <t>株式会社フジタコーポレーション</t>
        </is>
      </c>
      <c r="D606" s="143">
        <f>"PRD_SNJ_"&amp;
_xlfn.XLOOKUP(商品マスタ[[#This Row],[仕入先]],テーブル1[仕入先名],テーブル1[仕入先コード],"XXX",0,1)&amp;
"_"&amp;
商品マスタ[[#This Row],[シリアル]]&amp;
"_"&amp;
TEXT(COUNTIFS(商品マスタ!$C$3:C606,商品マスタ[[#This Row],[仕入先]],商品マスタ!$E$3:E606,商品マスタ[[#This Row],[商品名]]), "00")</f>
        <v/>
      </c>
      <c r="E606" s="167" t="inlineStr">
        <is>
          <t>トワ・ヴェール　リッチアイスク
リーム（手摘みカシスとクリー
ムチーズ）</t>
        </is>
      </c>
      <c r="F606" s="167">
        <f>IF(COUNTIFS($C$3:C606,商品マスタ[[#This Row],[仕入先]],$E$3:E606,商品マスタ[[#This Row],[商品名]]) = 1, 1,0)</f>
        <v/>
      </c>
      <c r="G606" s="133">
        <f>TEXT(SUMIF($C$3:C606,商品マスタ[[#This Row],[仕入先]],$F$3:F606), "0000")</f>
        <v/>
      </c>
      <c r="H606" s="167" t="inlineStr">
        <is>
          <t>個</t>
        </is>
      </c>
      <c r="I606" s="167" t="inlineStr">
        <is>
          <t>120個</t>
        </is>
      </c>
      <c r="J606" s="167" t="inlineStr">
        <is>
          <t>120個</t>
        </is>
      </c>
      <c r="K606" s="167" t="n"/>
      <c r="L606" s="289" t="n">
        <v>272</v>
      </c>
      <c r="M606" s="157" t="n">
        <v>46052</v>
      </c>
      <c r="N606" s="289" t="n">
        <v>324.07</v>
      </c>
      <c r="O606" s="290">
        <f>IF(COUNT(商品マスタ[[#This Row],[参考上代
（税込)]]) &gt; 0, (商品マスタ[[#This Row],[参考上代
（税込)]]-商品マスタ[[#This Row],[国内定価
（15％）]])/(商品マスタ[[#This Row],[参考上代
（税込)]]/1.08), "")</f>
        <v/>
      </c>
      <c r="P606" s="136" t="n">
        <v>0.1</v>
      </c>
      <c r="Q606" s="289">
        <f>商品マスタ[[#This Row],[仕入
単価]]*商品マスタ[[#This Row],[標準国内送料率]]</f>
        <v/>
      </c>
      <c r="R606" s="289" t="n"/>
      <c r="S606" s="289">
        <f>IF(ISBLANK(商品マスタ[[#This Row],[実績
国内送料]]),商品マスタ[[#This Row],[標準国内送料]],)</f>
        <v/>
      </c>
      <c r="T606" s="289">
        <f>商品マスタ[[#This Row],[仕入
単価]]+商品マスタ[[#This Row],[国内送料]]</f>
        <v/>
      </c>
      <c r="U606" s="289">
        <f>ROUNDUP(商品マスタ[[#This Row],[仕入単価+国内送料]]/0.8,-1)</f>
        <v/>
      </c>
      <c r="V606" s="289">
        <f>商品マスタ[[#This Row],[海外定価
（20％）]]-商品マスタ[[#This Row],[仕入単価+国内送料]]</f>
        <v/>
      </c>
      <c r="W606" s="167">
        <f>ROUNDUP(商品マスタ[[#This Row],[仕入単価+国内送料]]/0.85,-1)</f>
        <v/>
      </c>
      <c r="X606" s="289">
        <f>商品マスタ[[#This Row],[国内定価
（15％）]]-商品マスタ[[#This Row],[仕入単価+国内送料]]</f>
        <v/>
      </c>
      <c r="Y606" s="139" t="n">
        <v>0.08</v>
      </c>
      <c r="Z606" s="167" t="inlineStr">
        <is>
          <t>なし</t>
        </is>
      </c>
      <c r="AA606" s="167" t="inlineStr">
        <is>
          <t>冷凍</t>
        </is>
      </c>
      <c r="AB606" s="167" t="inlineStr">
        <is>
          <t>3日</t>
        </is>
      </c>
      <c r="AC606" s="293" t="n">
        <v>4539297321001</v>
      </c>
      <c r="AD606" s="167" t="inlineStr">
        <is>
          <t>自社農園で1粒1粒丁寧に手摘みしたカシスは希少価値が
高く栄養効果に優れています。クリームチーズと合わせる
ことにより、爽やかで濃厚な贅沢な味わいを実現しました</t>
        </is>
      </c>
      <c r="AE606" s="167" t="n"/>
      <c r="AF606" s="167" t="n"/>
      <c r="AG606" s="144" t="n"/>
    </row>
    <row r="607" ht="18" customHeight="1" s="207">
      <c r="A607" s="166" t="inlineStr">
        <is>
          <t>水産</t>
        </is>
      </c>
      <c r="B607" s="167" t="inlineStr">
        <is>
          <t>水産物</t>
        </is>
      </c>
      <c r="C607" s="167" t="inlineStr">
        <is>
          <t>株式会社フジタコーポレーション</t>
        </is>
      </c>
      <c r="D607" s="143">
        <f>"PRD_SNJ_"&amp;
_xlfn.XLOOKUP(商品マスタ[[#This Row],[仕入先]],テーブル1[仕入先名],テーブル1[仕入先コード],"XXX",0,1)&amp;
"_"&amp;
商品マスタ[[#This Row],[シリアル]]&amp;
"_"&amp;
TEXT(COUNTIFS(商品マスタ!$C$3:C607,商品マスタ[[#This Row],[仕入先]],商品マスタ!$E$3:E607,商品マスタ[[#This Row],[商品名]]), "00")</f>
        <v/>
      </c>
      <c r="E607" s="167" t="inlineStr">
        <is>
          <t>お肉ごろごろチーズインビーフシチュー</t>
        </is>
      </c>
      <c r="F607" s="167">
        <f>IF(COUNTIFS($C$3:C607,商品マスタ[[#This Row],[仕入先]],$E$3:E607,商品マスタ[[#This Row],[商品名]]) = 1, 1,0)</f>
        <v/>
      </c>
      <c r="G607" s="133">
        <f>TEXT(SUMIF($C$3:C607,商品マスタ[[#This Row],[仕入先]],$F$3:F607), "0000")</f>
        <v/>
      </c>
      <c r="H607" s="167" t="inlineStr">
        <is>
          <t>個</t>
        </is>
      </c>
      <c r="I607" s="167" t="inlineStr">
        <is>
          <t>40個</t>
        </is>
      </c>
      <c r="J607" s="167" t="inlineStr">
        <is>
          <t>40個</t>
        </is>
      </c>
      <c r="K607" s="167" t="n"/>
      <c r="L607" s="289" t="n">
        <v>705</v>
      </c>
      <c r="M607" s="157" t="n">
        <v>46052</v>
      </c>
      <c r="N607" s="289" t="n">
        <v>839.8099999999999</v>
      </c>
      <c r="O607" s="290">
        <f>IF(COUNT(商品マスタ[[#This Row],[参考上代
（税込)]]) &gt; 0, (商品マスタ[[#This Row],[参考上代
（税込)]]-商品マスタ[[#This Row],[国内定価
（15％）]])/(商品マスタ[[#This Row],[参考上代
（税込)]]/1.08), "")</f>
        <v/>
      </c>
      <c r="P607" s="136" t="n">
        <v>0.1</v>
      </c>
      <c r="Q607" s="289">
        <f>商品マスタ[[#This Row],[仕入
単価]]*商品マスタ[[#This Row],[標準国内送料率]]</f>
        <v/>
      </c>
      <c r="R607" s="289" t="n"/>
      <c r="S607" s="289">
        <f>IF(ISBLANK(商品マスタ[[#This Row],[実績
国内送料]]),商品マスタ[[#This Row],[標準国内送料]],)</f>
        <v/>
      </c>
      <c r="T607" s="289">
        <f>商品マスタ[[#This Row],[仕入
単価]]+商品マスタ[[#This Row],[国内送料]]</f>
        <v/>
      </c>
      <c r="U607" s="289">
        <f>ROUNDUP(商品マスタ[[#This Row],[仕入単価+国内送料]]/0.8,-1)</f>
        <v/>
      </c>
      <c r="V607" s="289">
        <f>商品マスタ[[#This Row],[海外定価
（20％）]]-商品マスタ[[#This Row],[仕入単価+国内送料]]</f>
        <v/>
      </c>
      <c r="W607" s="167">
        <f>ROUNDUP(商品マスタ[[#This Row],[仕入単価+国内送料]]/0.85,-1)</f>
        <v/>
      </c>
      <c r="X607" s="289">
        <f>商品マスタ[[#This Row],[国内定価
（15％）]]-商品マスタ[[#This Row],[仕入単価+国内送料]]</f>
        <v/>
      </c>
      <c r="Y607" s="139" t="n">
        <v>0.08</v>
      </c>
      <c r="Z607" s="167" t="inlineStr">
        <is>
          <t>179日</t>
        </is>
      </c>
      <c r="AA607" s="167" t="inlineStr">
        <is>
          <t>常温</t>
        </is>
      </c>
      <c r="AB607" s="167" t="inlineStr">
        <is>
          <t>3日</t>
        </is>
      </c>
      <c r="AC607" s="293" t="n">
        <v>4580470180809</v>
      </c>
      <c r="AD607" s="167" t="inlineStr">
        <is>
          <t>北海道黒松内町産の牛肉を中心に使用し、柔らかい部位
を選別して煮込み、トワ・ヴェールのチーズをエッセンスとし
て加えることで、濃厚かつ深みのある味わいの本格派、デ
ミグラス仕込みのビーフシチューです</t>
        </is>
      </c>
      <c r="AE607" s="167" t="n"/>
      <c r="AF607" s="167" t="n"/>
      <c r="AG607" s="144" t="n"/>
    </row>
    <row r="608" ht="18" customHeight="1" s="207">
      <c r="A608" s="166" t="inlineStr">
        <is>
          <t>水産</t>
        </is>
      </c>
      <c r="B608" s="167" t="inlineStr">
        <is>
          <t>水産物</t>
        </is>
      </c>
      <c r="C608" s="167" t="inlineStr">
        <is>
          <t>株式会社フジタコーポレーション</t>
        </is>
      </c>
      <c r="D608" s="143">
        <f>"PRD_SNJ_"&amp;
_xlfn.XLOOKUP(商品マスタ[[#This Row],[仕入先]],テーブル1[仕入先名],テーブル1[仕入先コード],"XXX",0,1)&amp;
"_"&amp;
商品マスタ[[#This Row],[シリアル]]&amp;
"_"&amp;
TEXT(COUNTIFS(商品マスタ!$C$3:C608,商品マスタ[[#This Row],[仕入先]],商品マスタ!$E$3:E608,商品マスタ[[#This Row],[商品名]]), "00")</f>
        <v/>
      </c>
      <c r="E608" s="167" t="inlineStr">
        <is>
          <t>黒松内カシスジャム</t>
        </is>
      </c>
      <c r="F608" s="167">
        <f>IF(COUNTIFS($C$3:C608,商品マスタ[[#This Row],[仕入先]],$E$3:E608,商品マスタ[[#This Row],[商品名]]) = 1, 1,0)</f>
        <v/>
      </c>
      <c r="G608" s="133">
        <f>TEXT(SUMIF($C$3:C608,商品マスタ[[#This Row],[仕入先]],$F$3:F608), "0000")</f>
        <v/>
      </c>
      <c r="H608" s="167" t="inlineStr">
        <is>
          <t>個</t>
        </is>
      </c>
      <c r="I608" s="167" t="inlineStr">
        <is>
          <t>50個/袋</t>
        </is>
      </c>
      <c r="J608" s="167" t="inlineStr">
        <is>
          <t>50個/袋</t>
        </is>
      </c>
      <c r="K608" s="167" t="n"/>
      <c r="L608" s="289" t="n">
        <v>588</v>
      </c>
      <c r="M608" s="157" t="n">
        <v>46052</v>
      </c>
      <c r="N608" s="289" t="n">
        <v>694.4400000000001</v>
      </c>
      <c r="O608" s="290">
        <f>IF(COUNT(商品マスタ[[#This Row],[参考上代
（税込)]]) &gt; 0, (商品マスタ[[#This Row],[参考上代
（税込)]]-商品マスタ[[#This Row],[国内定価
（15％）]])/(商品マスタ[[#This Row],[参考上代
（税込)]]/1.08), "")</f>
        <v/>
      </c>
      <c r="P608" s="136" t="n">
        <v>0.1</v>
      </c>
      <c r="Q608" s="289">
        <f>商品マスタ[[#This Row],[仕入
単価]]*商品マスタ[[#This Row],[標準国内送料率]]</f>
        <v/>
      </c>
      <c r="R608" s="289" t="n"/>
      <c r="S608" s="289">
        <f>IF(ISBLANK(商品マスタ[[#This Row],[実績
国内送料]]),商品マスタ[[#This Row],[標準国内送料]],)</f>
        <v/>
      </c>
      <c r="T608" s="289">
        <f>商品マスタ[[#This Row],[仕入
単価]]+商品マスタ[[#This Row],[国内送料]]</f>
        <v/>
      </c>
      <c r="U608" s="289">
        <f>ROUNDUP(商品マスタ[[#This Row],[仕入単価+国内送料]]/0.8,-1)</f>
        <v/>
      </c>
      <c r="V608" s="289">
        <f>商品マスタ[[#This Row],[海外定価
（20％）]]-商品マスタ[[#This Row],[仕入単価+国内送料]]</f>
        <v/>
      </c>
      <c r="W608" s="167">
        <f>ROUNDUP(商品マスタ[[#This Row],[仕入単価+国内送料]]/0.85,-1)</f>
        <v/>
      </c>
      <c r="X608" s="289">
        <f>商品マスタ[[#This Row],[国内定価
（15％）]]-商品マスタ[[#This Row],[仕入単価+国内送料]]</f>
        <v/>
      </c>
      <c r="Y608" s="139" t="n">
        <v>0.08</v>
      </c>
      <c r="Z608" s="167" t="inlineStr">
        <is>
          <t>180日</t>
        </is>
      </c>
      <c r="AA608" s="167" t="inlineStr">
        <is>
          <t>常温</t>
        </is>
      </c>
      <c r="AB608" s="167" t="inlineStr">
        <is>
          <t>3日</t>
        </is>
      </c>
      <c r="AC608" s="293" t="n">
        <v>4595988686019</v>
      </c>
      <c r="AD608" s="167" t="inlineStr">
        <is>
          <t>黒松内町の自社農園で無施肥無農薬栽培した希少なカシ
スを一粒一粒丁寧に手摘みしています。シンプルに砂糖と
カシスだけで作っています。カシス本来の味わいをお楽し
みください。</t>
        </is>
      </c>
      <c r="AE608" s="167" t="n"/>
      <c r="AF608" s="167" t="n"/>
      <c r="AG608" s="144" t="n"/>
    </row>
    <row r="609" ht="18" customHeight="1" s="207">
      <c r="A609" s="166" t="inlineStr">
        <is>
          <t>飲料アルコール</t>
        </is>
      </c>
      <c r="B609" s="167" t="inlineStr">
        <is>
          <t>リキュール</t>
        </is>
      </c>
      <c r="C609" s="167" t="inlineStr">
        <is>
          <t>株式会社フジタコーポレーション</t>
        </is>
      </c>
      <c r="D609" s="143">
        <f>"PRD_SNJ_"&amp;
_xlfn.XLOOKUP(商品マスタ[[#This Row],[仕入先]],テーブル1[仕入先名],テーブル1[仕入先コード],"XXX",0,1)&amp;
"_"&amp;
商品マスタ[[#This Row],[シリアル]]&amp;
"_"&amp;
TEXT(COUNTIFS(商品マスタ!$C$3:C609,商品マスタ[[#This Row],[仕入先]],商品マスタ!$E$3:E609,商品マスタ[[#This Row],[商品名]]), "00")</f>
        <v/>
      </c>
      <c r="E609" s="167" t="inlineStr">
        <is>
          <t>カシスリキュール</t>
        </is>
      </c>
      <c r="F609" s="167">
        <f>IF(COUNTIFS($C$3:C609,商品マスタ[[#This Row],[仕入先]],$E$3:E609,商品マスタ[[#This Row],[商品名]]) = 1, 1,0)</f>
        <v/>
      </c>
      <c r="G609" s="133">
        <f>TEXT(SUMIF($C$3:C609,商品マスタ[[#This Row],[仕入先]],$F$3:F609), "0000")</f>
        <v/>
      </c>
      <c r="H609" s="167" t="inlineStr">
        <is>
          <t>本</t>
        </is>
      </c>
      <c r="I609" s="167" t="inlineStr">
        <is>
          <t>12本</t>
        </is>
      </c>
      <c r="J609" s="167" t="inlineStr">
        <is>
          <t>12本</t>
        </is>
      </c>
      <c r="K609" s="167" t="n"/>
      <c r="L609" s="289" t="n">
        <v>1375</v>
      </c>
      <c r="M609" s="157" t="n">
        <v>46052</v>
      </c>
      <c r="N609" s="289" t="n">
        <v>1666.67</v>
      </c>
      <c r="O609" s="290">
        <f>IF(COUNT(商品マスタ[[#This Row],[参考上代
（税込)]]) &gt; 0, (商品マスタ[[#This Row],[参考上代
（税込)]]-商品マスタ[[#This Row],[国内定価
（15％）]])/(商品マスタ[[#This Row],[参考上代
（税込)]]/1.08), "")</f>
        <v/>
      </c>
      <c r="P609" s="136" t="n">
        <v>0.1</v>
      </c>
      <c r="Q609" s="289">
        <f>商品マスタ[[#This Row],[仕入
単価]]*商品マスタ[[#This Row],[標準国内送料率]]</f>
        <v/>
      </c>
      <c r="R609" s="289" t="n"/>
      <c r="S609" s="289">
        <f>IF(ISBLANK(商品マスタ[[#This Row],[実績
国内送料]]),商品マスタ[[#This Row],[標準国内送料]],)</f>
        <v/>
      </c>
      <c r="T609" s="289">
        <f>商品マスタ[[#This Row],[仕入
単価]]+商品マスタ[[#This Row],[国内送料]]</f>
        <v/>
      </c>
      <c r="U609" s="289">
        <f>ROUNDUP(商品マスタ[[#This Row],[仕入単価+国内送料]]/0.8,-1)</f>
        <v/>
      </c>
      <c r="V609" s="289">
        <f>商品マスタ[[#This Row],[海外定価
（20％）]]-商品マスタ[[#This Row],[仕入単価+国内送料]]</f>
        <v/>
      </c>
      <c r="W609" s="167">
        <f>ROUNDUP(商品マスタ[[#This Row],[仕入単価+国内送料]]/0.85,-1)</f>
        <v/>
      </c>
      <c r="X609" s="289">
        <f>商品マスタ[[#This Row],[国内定価
（15％）]]-商品マスタ[[#This Row],[仕入単価+国内送料]]</f>
        <v/>
      </c>
      <c r="Y609" s="139" t="n">
        <v>0.1</v>
      </c>
      <c r="Z609" s="167" t="n"/>
      <c r="AA609" s="167" t="inlineStr">
        <is>
          <t>常温</t>
        </is>
      </c>
      <c r="AB609" s="167" t="inlineStr">
        <is>
          <t>3日</t>
        </is>
      </c>
      <c r="AC609" s="293" t="n">
        <v>4562205661586</v>
      </c>
      <c r="AD609" s="167" t="inlineStr">
        <is>
          <t>黒松内町の自社農園で無施肥無農薬栽培した希少なカシ
スのリキュールです。カクテルやロックでお楽しみください。
※アルコール分25%。黒松内カシス3.2％含有。</t>
        </is>
      </c>
      <c r="AE609" s="167" t="n"/>
      <c r="AF609" s="167" t="n"/>
      <c r="AG609" s="144" t="n"/>
    </row>
    <row r="610" ht="18" customHeight="1" s="207">
      <c r="A610" s="166" t="inlineStr">
        <is>
          <t>水産</t>
        </is>
      </c>
      <c r="B610" s="167" t="inlineStr">
        <is>
          <t>水産物</t>
        </is>
      </c>
      <c r="C610" s="167" t="inlineStr">
        <is>
          <t>株式会社フジタコーポレーション</t>
        </is>
      </c>
      <c r="D610" s="143">
        <f>"PRD_SNJ_"&amp;
_xlfn.XLOOKUP(商品マスタ[[#This Row],[仕入先]],テーブル1[仕入先名],テーブル1[仕入先コード],"XXX",0,1)&amp;
"_"&amp;
商品マスタ[[#This Row],[シリアル]]&amp;
"_"&amp;
TEXT(COUNTIFS(商品マスタ!$C$3:C610,商品マスタ[[#This Row],[仕入先]],商品マスタ!$E$3:E610,商品マスタ[[#This Row],[商品名]]), "00")</f>
        <v/>
      </c>
      <c r="E610" s="167" t="inlineStr">
        <is>
          <t>カシスエール</t>
        </is>
      </c>
      <c r="F610" s="167">
        <f>IF(COUNTIFS($C$3:C610,商品マスタ[[#This Row],[仕入先]],$E$3:E610,商品マスタ[[#This Row],[商品名]]) = 1, 1,0)</f>
        <v/>
      </c>
      <c r="G610" s="133">
        <f>TEXT(SUMIF($C$3:C610,商品マスタ[[#This Row],[仕入先]],$F$3:F610), "0000")</f>
        <v/>
      </c>
      <c r="H610" s="167" t="inlineStr">
        <is>
          <t>本</t>
        </is>
      </c>
      <c r="I610" s="167" t="inlineStr">
        <is>
          <t>24本</t>
        </is>
      </c>
      <c r="J610" s="167" t="inlineStr">
        <is>
          <t>24本</t>
        </is>
      </c>
      <c r="K610" s="167" t="n"/>
      <c r="L610" s="289" t="n">
        <v>625</v>
      </c>
      <c r="M610" s="157" t="n">
        <v>46052</v>
      </c>
      <c r="N610" s="289" t="n">
        <v>740.74</v>
      </c>
      <c r="O610" s="290">
        <f>IF(COUNT(商品マスタ[[#This Row],[参考上代
（税込)]]) &gt; 0, (商品マスタ[[#This Row],[参考上代
（税込)]]-商品マスタ[[#This Row],[国内定価
（15％）]])/(商品マスタ[[#This Row],[参考上代
（税込)]]/1.08), "")</f>
        <v/>
      </c>
      <c r="P610" s="136" t="n">
        <v>0.1</v>
      </c>
      <c r="Q610" s="289">
        <f>商品マスタ[[#This Row],[仕入
単価]]*商品マスタ[[#This Row],[標準国内送料率]]</f>
        <v/>
      </c>
      <c r="R610" s="289" t="n"/>
      <c r="S610" s="289">
        <f>IF(ISBLANK(商品マスタ[[#This Row],[実績
国内送料]]),商品マスタ[[#This Row],[標準国内送料]],)</f>
        <v/>
      </c>
      <c r="T610" s="289">
        <f>商品マスタ[[#This Row],[仕入
単価]]+商品マスタ[[#This Row],[国内送料]]</f>
        <v/>
      </c>
      <c r="U610" s="289">
        <f>ROUNDUP(商品マスタ[[#This Row],[仕入単価+国内送料]]/0.8,-1)</f>
        <v/>
      </c>
      <c r="V610" s="289">
        <f>商品マスタ[[#This Row],[海外定価
（20％）]]-商品マスタ[[#This Row],[仕入単価+国内送料]]</f>
        <v/>
      </c>
      <c r="W610" s="167">
        <f>ROUNDUP(商品マスタ[[#This Row],[仕入単価+国内送料]]/0.85,-1)</f>
        <v/>
      </c>
      <c r="X610" s="289">
        <f>商品マスタ[[#This Row],[国内定価
（15％）]]-商品マスタ[[#This Row],[仕入単価+国内送料]]</f>
        <v/>
      </c>
      <c r="Y610" s="139" t="n">
        <v>0.08</v>
      </c>
      <c r="Z610" s="167" t="inlineStr">
        <is>
          <t>270日</t>
        </is>
      </c>
      <c r="AA610" s="167" t="inlineStr">
        <is>
          <t>常温</t>
        </is>
      </c>
      <c r="AB610" s="167" t="inlineStr">
        <is>
          <t>3日</t>
        </is>
      </c>
      <c r="AC610" s="293" t="n">
        <v>4562205661593</v>
      </c>
      <c r="AD610" s="167" t="inlineStr">
        <is>
          <t>北海道黒松内町で化学肥料を使用せずに育て 、ひとつひ
とつ丁寧に手摘みしたカシスのため、希少価値が非常に高
く生産数も限りがある果実です。グラスに注ぐと、見た目に
もとても美しい深 紅色はもちろんのこと、泡までやわらかな
カシス色をしているのが 特徴。</t>
        </is>
      </c>
      <c r="AE610" s="167" t="n"/>
      <c r="AF610" s="167" t="n"/>
      <c r="AG610" s="144" t="n"/>
    </row>
    <row r="611" ht="18" customHeight="1" s="207">
      <c r="A611" s="166" t="inlineStr">
        <is>
          <t>水産</t>
        </is>
      </c>
      <c r="B611" s="167" t="inlineStr">
        <is>
          <t>水産物</t>
        </is>
      </c>
      <c r="C611" s="167" t="inlineStr">
        <is>
          <t>山下水産</t>
        </is>
      </c>
      <c r="D611" s="143">
        <f>"PRD_SNJ_"&amp;
_xlfn.XLOOKUP(商品マスタ[[#This Row],[仕入先]],テーブル1[仕入先名],テーブル1[仕入先コード],"XXX",0,1)&amp;
"_"&amp;
商品マスタ[[#This Row],[シリアル]]&amp;
"_"&amp;
TEXT(COUNTIFS(商品マスタ!$C$3:C611,商品マスタ[[#This Row],[仕入先]],商品マスタ!$E$3:E611,商品マスタ[[#This Row],[商品名]]), "00")</f>
        <v/>
      </c>
      <c r="E611" s="167" t="inlineStr">
        <is>
          <t xml:space="preserve">くるみしらす佃煮 </t>
        </is>
      </c>
      <c r="F611" s="167">
        <f>IF(COUNTIFS($C$3:C611,商品マスタ[[#This Row],[仕入先]],$E$3:E611,商品マスタ[[#This Row],[商品名]]) = 1, 1,0)</f>
        <v/>
      </c>
      <c r="G611" s="133">
        <f>TEXT(SUMIF($C$3:C611,商品マスタ[[#This Row],[仕入先]],$F$3:F611), "0000")</f>
        <v/>
      </c>
      <c r="H611" s="167" t="inlineStr">
        <is>
          <t>パック</t>
        </is>
      </c>
      <c r="I611" s="167" t="inlineStr">
        <is>
          <t>60g/パック</t>
        </is>
      </c>
      <c r="J611" s="167" t="n">
        <v>54</v>
      </c>
      <c r="K611" s="167" t="n"/>
      <c r="L611" s="289" t="n">
        <v>300</v>
      </c>
      <c r="M611" s="157" t="n">
        <v>46052</v>
      </c>
      <c r="N611" s="289" t="n"/>
      <c r="O611" s="290">
        <f>IF(COUNT(商品マスタ[[#This Row],[参考上代
（税込)]]) &gt; 0, (商品マスタ[[#This Row],[参考上代
（税込)]]-商品マスタ[[#This Row],[国内定価
（15％）]])/(商品マスタ[[#This Row],[参考上代
（税込)]]/1.08), "")</f>
        <v/>
      </c>
      <c r="P611" s="136" t="n">
        <v>0.1</v>
      </c>
      <c r="Q611" s="289">
        <f>商品マスタ[[#This Row],[仕入
単価]]*商品マスタ[[#This Row],[標準国内送料率]]</f>
        <v/>
      </c>
      <c r="R611" s="289" t="n"/>
      <c r="S611" s="289">
        <f>IF(ISBLANK(商品マスタ[[#This Row],[実績
国内送料]]),商品マスタ[[#This Row],[標準国内送料]],)</f>
        <v/>
      </c>
      <c r="T611" s="289">
        <f>商品マスタ[[#This Row],[仕入
単価]]+商品マスタ[[#This Row],[国内送料]]</f>
        <v/>
      </c>
      <c r="U611" s="289">
        <f>ROUNDUP(商品マスタ[[#This Row],[仕入単価+国内送料]]/0.8,-1)</f>
        <v/>
      </c>
      <c r="V611" s="289">
        <f>商品マスタ[[#This Row],[海外定価
（20％）]]-商品マスタ[[#This Row],[仕入単価+国内送料]]</f>
        <v/>
      </c>
      <c r="W611" s="167">
        <f>ROUNDUP(商品マスタ[[#This Row],[仕入単価+国内送料]]/0.85,-1)</f>
        <v/>
      </c>
      <c r="X611" s="289">
        <f>商品マスタ[[#This Row],[国内定価
（15％）]]-商品マスタ[[#This Row],[仕入単価+国内送料]]</f>
        <v/>
      </c>
      <c r="Y611" s="139" t="n">
        <v>0.08</v>
      </c>
      <c r="Z611" s="167" t="inlineStr">
        <is>
          <t>60日</t>
        </is>
      </c>
      <c r="AA611" s="167" t="inlineStr">
        <is>
          <t>冷蔵</t>
        </is>
      </c>
      <c r="AB611" s="167" t="inlineStr">
        <is>
          <t>14日</t>
        </is>
      </c>
      <c r="AC611" s="293" t="n">
        <v>4931063042644</v>
      </c>
      <c r="AD611" s="167" t="inlineStr">
        <is>
          <t>国産のしらす（イワシの稚魚）を、山下水産秘伝の旨みが凝縮した生たき佃煮のタレでやわらかく炊き上げました。カリフォルニア産くるみとの相性も良く、旨みが程よく調和されています。</t>
        </is>
      </c>
      <c r="AE611" s="167" t="n"/>
      <c r="AF611" s="167" t="n"/>
      <c r="AG611" s="144" t="n"/>
    </row>
    <row r="612" ht="18" customHeight="1" s="207">
      <c r="A612" s="166" t="inlineStr">
        <is>
          <t>水産</t>
        </is>
      </c>
      <c r="B612" s="167" t="inlineStr">
        <is>
          <t>水産物</t>
        </is>
      </c>
      <c r="C612" s="167" t="inlineStr">
        <is>
          <t>山下水産</t>
        </is>
      </c>
      <c r="D612" s="143">
        <f>"PRD_SNJ_"&amp;
_xlfn.XLOOKUP(商品マスタ[[#This Row],[仕入先]],テーブル1[仕入先名],テーブル1[仕入先コード],"XXX",0,1)&amp;
"_"&amp;
商品マスタ[[#This Row],[シリアル]]&amp;
"_"&amp;
TEXT(COUNTIFS(商品マスタ!$C$3:C612,商品マスタ[[#This Row],[仕入先]],商品マスタ!$E$3:E612,商品マスタ[[#This Row],[商品名]]), "00")</f>
        <v/>
      </c>
      <c r="E612" s="167" t="inlineStr">
        <is>
          <t>生たきほたて貝柱</t>
        </is>
      </c>
      <c r="F612" s="167">
        <f>IF(COUNTIFS($C$3:C612,商品マスタ[[#This Row],[仕入先]],$E$3:E612,商品マスタ[[#This Row],[商品名]]) = 1, 1,0)</f>
        <v/>
      </c>
      <c r="G612" s="133">
        <f>TEXT(SUMIF($C$3:C612,商品マスタ[[#This Row],[仕入先]],$F$3:F612), "0000")</f>
        <v/>
      </c>
      <c r="H612" s="167" t="inlineStr">
        <is>
          <t>袋</t>
        </is>
      </c>
      <c r="I612" s="167" t="inlineStr">
        <is>
          <t>8粒/
袋</t>
        </is>
      </c>
      <c r="J612" s="167" t="n">
        <v>50</v>
      </c>
      <c r="K612" s="167" t="n"/>
      <c r="L612" s="289" t="n">
        <v>950</v>
      </c>
      <c r="M612" s="157" t="n">
        <v>46052</v>
      </c>
      <c r="N612" s="289" t="n">
        <v>1034.26</v>
      </c>
      <c r="O612" s="290">
        <f>IF(COUNT(商品マスタ[[#This Row],[参考上代
（税込)]]) &gt; 0, (商品マスタ[[#This Row],[参考上代
（税込)]]-商品マスタ[[#This Row],[国内定価
（15％）]])/(商品マスタ[[#This Row],[参考上代
（税込)]]/1.08), "")</f>
        <v/>
      </c>
      <c r="P612" s="136" t="n">
        <v>0.1</v>
      </c>
      <c r="Q612" s="289">
        <f>商品マスタ[[#This Row],[仕入
単価]]*商品マスタ[[#This Row],[標準国内送料率]]</f>
        <v/>
      </c>
      <c r="R612" s="289" t="n"/>
      <c r="S612" s="289">
        <f>IF(ISBLANK(商品マスタ[[#This Row],[実績
国内送料]]),商品マスタ[[#This Row],[標準国内送料]],)</f>
        <v/>
      </c>
      <c r="T612" s="289">
        <f>商品マスタ[[#This Row],[仕入
単価]]+商品マスタ[[#This Row],[国内送料]]</f>
        <v/>
      </c>
      <c r="U612" s="289">
        <f>ROUNDUP(商品マスタ[[#This Row],[仕入単価+国内送料]]/0.8,-1)</f>
        <v/>
      </c>
      <c r="V612" s="289">
        <f>商品マスタ[[#This Row],[海外定価
（20％）]]-商品マスタ[[#This Row],[仕入単価+国内送料]]</f>
        <v/>
      </c>
      <c r="W612" s="167">
        <f>ROUNDUP(商品マスタ[[#This Row],[仕入単価+国内送料]]/0.85,-1)</f>
        <v/>
      </c>
      <c r="X612" s="289">
        <f>商品マスタ[[#This Row],[国内定価
（15％）]]-商品マスタ[[#This Row],[仕入単価+国内送料]]</f>
        <v/>
      </c>
      <c r="Y612" s="139" t="n">
        <v>0.08</v>
      </c>
      <c r="Z612" s="167" t="inlineStr">
        <is>
          <t>45日</t>
        </is>
      </c>
      <c r="AA612" s="167" t="inlineStr">
        <is>
          <t>常温</t>
        </is>
      </c>
      <c r="AB612" s="167" t="inlineStr">
        <is>
          <t>14日</t>
        </is>
      </c>
      <c r="AC612" s="293" t="n">
        <v>4931063050441</v>
      </c>
      <c r="AD612" s="167" t="inlineStr">
        <is>
          <t>全国有数の帆立の産地、オホーツク海で獲れた天然帆立の貝柱を使用しています。天然の帆立貝は自由に動きまわれる分、身が締まっているのが特徴です。
この帆立貝柱を鮮度が落ちないうちに「生たき製法｣で帆立本来の旨みを逃さず、形が崩れないよう丹念に炊き上げました。</t>
        </is>
      </c>
      <c r="AE612" s="167" t="n"/>
      <c r="AF612" s="167" t="n"/>
      <c r="AG612" s="144" t="n"/>
    </row>
    <row r="613" ht="18" customHeight="1" s="207">
      <c r="A613" s="166" t="inlineStr">
        <is>
          <t>水産</t>
        </is>
      </c>
      <c r="B613" s="167" t="inlineStr">
        <is>
          <t>水産物</t>
        </is>
      </c>
      <c r="C613" s="167" t="inlineStr">
        <is>
          <t>山下水産</t>
        </is>
      </c>
      <c r="D613" s="143">
        <f>"PRD_SNJ_"&amp;
_xlfn.XLOOKUP(商品マスタ[[#This Row],[仕入先]],テーブル1[仕入先名],テーブル1[仕入先コード],"XXX",0,1)&amp;
"_"&amp;
商品マスタ[[#This Row],[シリアル]]&amp;
"_"&amp;
TEXT(COUNTIFS(商品マスタ!$C$3:C613,商品マスタ[[#This Row],[仕入先]],商品マスタ!$E$3:E613,商品マスタ[[#This Row],[商品名]]), "00")</f>
        <v/>
      </c>
      <c r="E613" s="167" t="inlineStr">
        <is>
          <t>生たきほたて貝柱</t>
        </is>
      </c>
      <c r="F613" s="167">
        <f>IF(COUNTIFS($C$3:C613,商品マスタ[[#This Row],[仕入先]],$E$3:E613,商品マスタ[[#This Row],[商品名]]) = 1, 1,0)</f>
        <v/>
      </c>
      <c r="G613" s="133">
        <f>TEXT(SUMIF($C$3:C613,商品マスタ[[#This Row],[仕入先]],$F$3:F613), "0000")</f>
        <v/>
      </c>
      <c r="H613" s="167" t="inlineStr">
        <is>
          <t>ケース</t>
        </is>
      </c>
      <c r="I613" s="167" t="inlineStr">
        <is>
          <t>10粒/
ﾌﾟﾗｽﾁｯｸｹｰｽ</t>
        </is>
      </c>
      <c r="J613" s="167" t="n">
        <v>28</v>
      </c>
      <c r="K613" s="167" t="n"/>
      <c r="L613" s="289" t="n">
        <v>2100</v>
      </c>
      <c r="M613" s="157" t="n">
        <v>46052</v>
      </c>
      <c r="N613" s="289" t="n">
        <v>2937.04</v>
      </c>
      <c r="O613" s="290">
        <f>IF(COUNT(商品マスタ[[#This Row],[参考上代
（税込)]]) &gt; 0, (商品マスタ[[#This Row],[参考上代
（税込)]]-商品マスタ[[#This Row],[国内定価
（15％）]])/(商品マスタ[[#This Row],[参考上代
（税込)]]/1.08), "")</f>
        <v/>
      </c>
      <c r="P613" s="136" t="n">
        <v>0.1</v>
      </c>
      <c r="Q613" s="289">
        <f>商品マスタ[[#This Row],[仕入
単価]]*商品マスタ[[#This Row],[標準国内送料率]]</f>
        <v/>
      </c>
      <c r="R613" s="289" t="n"/>
      <c r="S613" s="289">
        <f>IF(ISBLANK(商品マスタ[[#This Row],[実績
国内送料]]),商品マスタ[[#This Row],[標準国内送料]],)</f>
        <v/>
      </c>
      <c r="T613" s="289">
        <f>商品マスタ[[#This Row],[仕入
単価]]+商品マスタ[[#This Row],[国内送料]]</f>
        <v/>
      </c>
      <c r="U613" s="289">
        <f>ROUNDUP(商品マスタ[[#This Row],[仕入単価+国内送料]]/0.8,-1)</f>
        <v/>
      </c>
      <c r="V613" s="289">
        <f>商品マスタ[[#This Row],[海外定価
（20％）]]-商品マスタ[[#This Row],[仕入単価+国内送料]]</f>
        <v/>
      </c>
      <c r="W613" s="167">
        <f>ROUNDUP(商品マスタ[[#This Row],[仕入単価+国内送料]]/0.85,-1)</f>
        <v/>
      </c>
      <c r="X613" s="289">
        <f>商品マスタ[[#This Row],[国内定価
（15％）]]-商品マスタ[[#This Row],[仕入単価+国内送料]]</f>
        <v/>
      </c>
      <c r="Y613" s="139" t="n">
        <v>0.08</v>
      </c>
      <c r="Z613" s="167" t="inlineStr">
        <is>
          <t>45日</t>
        </is>
      </c>
      <c r="AA613" s="167" t="inlineStr">
        <is>
          <t>常温</t>
        </is>
      </c>
      <c r="AB613" s="167" t="inlineStr">
        <is>
          <t>14日</t>
        </is>
      </c>
      <c r="AC613" s="293" t="n">
        <v>4931063050359</v>
      </c>
      <c r="AD613" s="167" t="inlineStr">
        <is>
          <t>全国有数の帆立の産地、オホーツク海で獲れた天然帆立の貝柱を使用しています。天然の帆立貝は自由に動きまわれる分、身が締まっているのが特徴です。
この帆立貝柱を鮮度が落ちないうちに「生たき製法｣で帆立本来の旨みを逃さず、形が崩れないよう丹念に炊き上げました。</t>
        </is>
      </c>
      <c r="AE613" s="167" t="n"/>
      <c r="AF613" s="167" t="n"/>
      <c r="AG613" s="144" t="n"/>
    </row>
    <row r="614" ht="18" customHeight="1" s="207">
      <c r="A614" s="166" t="inlineStr">
        <is>
          <t>水産</t>
        </is>
      </c>
      <c r="B614" s="167" t="inlineStr">
        <is>
          <t>水産物</t>
        </is>
      </c>
      <c r="C614" s="167" t="inlineStr">
        <is>
          <t>山下水産</t>
        </is>
      </c>
      <c r="D614" s="143">
        <f>"PRD_SNJ_"&amp;
_xlfn.XLOOKUP(商品マスタ[[#This Row],[仕入先]],テーブル1[仕入先名],テーブル1[仕入先コード],"XXX",0,1)&amp;
"_"&amp;
商品マスタ[[#This Row],[シリアル]]&amp;
"_"&amp;
TEXT(COUNTIFS(商品マスタ!$C$3:C614,商品マスタ[[#This Row],[仕入先]],商品マスタ!$E$3:E614,商品マスタ[[#This Row],[商品名]]), "00")</f>
        <v/>
      </c>
      <c r="E614" s="167" t="inlineStr">
        <is>
          <t>生たきほたて貝柱チーズ</t>
        </is>
      </c>
      <c r="F614" s="167">
        <f>IF(COUNTIFS($C$3:C614,商品マスタ[[#This Row],[仕入先]],$E$3:E614,商品マスタ[[#This Row],[商品名]]) = 1, 1,0)</f>
        <v/>
      </c>
      <c r="G614" s="133">
        <f>TEXT(SUMIF($C$3:C614,商品マスタ[[#This Row],[仕入先]],$F$3:F614), "0000")</f>
        <v/>
      </c>
      <c r="H614" s="167" t="inlineStr">
        <is>
          <t>袋</t>
        </is>
      </c>
      <c r="I614" s="167" t="inlineStr">
        <is>
          <t>4粒/
袋</t>
        </is>
      </c>
      <c r="J614" s="167" t="n">
        <v>50</v>
      </c>
      <c r="K614" s="167" t="n"/>
      <c r="L614" s="289" t="n">
        <v>670</v>
      </c>
      <c r="M614" s="157" t="n">
        <v>46052</v>
      </c>
      <c r="N614" s="289" t="n">
        <v>907.41</v>
      </c>
      <c r="O614" s="290">
        <f>IF(COUNT(商品マスタ[[#This Row],[参考上代
（税込)]]) &gt; 0, (商品マスタ[[#This Row],[参考上代
（税込)]]-商品マスタ[[#This Row],[国内定価
（15％）]])/(商品マスタ[[#This Row],[参考上代
（税込)]]/1.08), "")</f>
        <v/>
      </c>
      <c r="P614" s="136" t="n">
        <v>0.1</v>
      </c>
      <c r="Q614" s="289">
        <f>商品マスタ[[#This Row],[仕入
単価]]*商品マスタ[[#This Row],[標準国内送料率]]</f>
        <v/>
      </c>
      <c r="R614" s="289" t="n"/>
      <c r="S614" s="289">
        <f>IF(ISBLANK(商品マスタ[[#This Row],[実績
国内送料]]),商品マスタ[[#This Row],[標準国内送料]],)</f>
        <v/>
      </c>
      <c r="T614" s="289">
        <f>商品マスタ[[#This Row],[仕入
単価]]+商品マスタ[[#This Row],[国内送料]]</f>
        <v/>
      </c>
      <c r="U614" s="289">
        <f>ROUNDUP(商品マスタ[[#This Row],[仕入単価+国内送料]]/0.8,-1)</f>
        <v/>
      </c>
      <c r="V614" s="289">
        <f>商品マスタ[[#This Row],[海外定価
（20％）]]-商品マスタ[[#This Row],[仕入単価+国内送料]]</f>
        <v/>
      </c>
      <c r="W614" s="167">
        <f>ROUNDUP(商品マスタ[[#This Row],[仕入単価+国内送料]]/0.85,-1)</f>
        <v/>
      </c>
      <c r="X614" s="289">
        <f>商品マスタ[[#This Row],[国内定価
（15％）]]-商品マスタ[[#This Row],[仕入単価+国内送料]]</f>
        <v/>
      </c>
      <c r="Y614" s="139" t="n">
        <v>0.08</v>
      </c>
      <c r="Z614" s="167" t="inlineStr">
        <is>
          <t>180日</t>
        </is>
      </c>
      <c r="AA614" s="167" t="inlineStr">
        <is>
          <t>常温</t>
        </is>
      </c>
      <c r="AB614" s="167" t="inlineStr">
        <is>
          <t>14日</t>
        </is>
      </c>
      <c r="AC614" s="293" t="n">
        <v>4931063050519</v>
      </c>
      <c r="AD614" s="167" t="inlineStr">
        <is>
          <t>全国有数の帆立の産地、オホーツク海で獲れた天然帆立の貝柱を使用しています。天然の帆立貝は自由に動きまわれる分、身が締まっているのが特徴です。
この帆立貝柱を鮮度が落ちないうちに「生たき製法｣で帆立本来の旨みを逃さず、形が崩れないよう丹念に炊き上げました。</t>
        </is>
      </c>
      <c r="AE614" s="167" t="n"/>
      <c r="AF614" s="167" t="n"/>
      <c r="AG614" s="144" t="n"/>
    </row>
    <row r="615" ht="18" customHeight="1" s="207">
      <c r="A615" s="166" t="inlineStr">
        <is>
          <t>水産</t>
        </is>
      </c>
      <c r="B615" s="167" t="inlineStr">
        <is>
          <t>水産物</t>
        </is>
      </c>
      <c r="C615" s="167" t="inlineStr">
        <is>
          <t>山下水産</t>
        </is>
      </c>
      <c r="D615" s="143">
        <f>"PRD_SNJ_"&amp;
_xlfn.XLOOKUP(商品マスタ[[#This Row],[仕入先]],テーブル1[仕入先名],テーブル1[仕入先コード],"XXX",0,1)&amp;
"_"&amp;
商品マスタ[[#This Row],[シリアル]]&amp;
"_"&amp;
TEXT(COUNTIFS(商品マスタ!$C$3:C615,商品マスタ[[#This Row],[仕入先]],商品マスタ!$E$3:E615,商品マスタ[[#This Row],[商品名]]), "00")</f>
        <v/>
      </c>
      <c r="E615" s="167" t="inlineStr">
        <is>
          <t xml:space="preserve">お煮しめ </t>
        </is>
      </c>
      <c r="F615" s="167">
        <f>IF(COUNTIFS($C$3:C615,商品マスタ[[#This Row],[仕入先]],$E$3:E615,商品マスタ[[#This Row],[商品名]]) = 1, 1,0)</f>
        <v/>
      </c>
      <c r="G615" s="133">
        <f>TEXT(SUMIF($C$3:C615,商品マスタ[[#This Row],[仕入先]],$F$3:F615), "0000")</f>
        <v/>
      </c>
      <c r="H615" s="167" t="inlineStr">
        <is>
          <t>袋</t>
        </is>
      </c>
      <c r="I615" s="167" t="inlineStr">
        <is>
          <t>130g/
袋</t>
        </is>
      </c>
      <c r="J615" s="167" t="n">
        <v>40</v>
      </c>
      <c r="K615" s="167" t="n"/>
      <c r="L615" s="289" t="n">
        <v>400</v>
      </c>
      <c r="M615" s="157" t="n">
        <v>46052</v>
      </c>
      <c r="N615" s="289" t="n"/>
      <c r="O615" s="290">
        <f>IF(COUNT(商品マスタ[[#This Row],[参考上代
（税込)]]) &gt; 0, (商品マスタ[[#This Row],[参考上代
（税込)]]-商品マスタ[[#This Row],[国内定価
（15％）]])/(商品マスタ[[#This Row],[参考上代
（税込)]]/1.08), "")</f>
        <v/>
      </c>
      <c r="P615" s="136" t="n">
        <v>0.1</v>
      </c>
      <c r="Q615" s="289">
        <f>商品マスタ[[#This Row],[仕入
単価]]*商品マスタ[[#This Row],[標準国内送料率]]</f>
        <v/>
      </c>
      <c r="R615" s="289" t="n"/>
      <c r="S615" s="289">
        <f>IF(ISBLANK(商品マスタ[[#This Row],[実績
国内送料]]),商品マスタ[[#This Row],[標準国内送料]],)</f>
        <v/>
      </c>
      <c r="T615" s="289">
        <f>商品マスタ[[#This Row],[仕入
単価]]+商品マスタ[[#This Row],[国内送料]]</f>
        <v/>
      </c>
      <c r="U615" s="289">
        <f>ROUNDUP(商品マスタ[[#This Row],[仕入単価+国内送料]]/0.8,-1)</f>
        <v/>
      </c>
      <c r="V615" s="289">
        <f>商品マスタ[[#This Row],[海外定価
（20％）]]-商品マスタ[[#This Row],[仕入単価+国内送料]]</f>
        <v/>
      </c>
      <c r="W615" s="167">
        <f>ROUNDUP(商品マスタ[[#This Row],[仕入単価+国内送料]]/0.85,-1)</f>
        <v/>
      </c>
      <c r="X615" s="289">
        <f>商品マスタ[[#This Row],[国内定価
（15％）]]-商品マスタ[[#This Row],[仕入単価+国内送料]]</f>
        <v/>
      </c>
      <c r="Y615" s="139" t="n">
        <v>0.08</v>
      </c>
      <c r="Z615" s="167" t="inlineStr">
        <is>
          <t>60日</t>
        </is>
      </c>
      <c r="AA615" s="167" t="inlineStr">
        <is>
          <t>常温</t>
        </is>
      </c>
      <c r="AB615" s="167" t="inlineStr">
        <is>
          <t>14日</t>
        </is>
      </c>
      <c r="AC615" s="293" t="n">
        <v>4931063443083</v>
      </c>
      <c r="AD615" s="167" t="inlineStr">
        <is>
          <t>北海道産の原料にこだわったやさしい味わいのお煮しめです。にしん、たけのこ、ふき、昆布が北海道産。あっさりとしたやさしくお上品な味付けで、にしんもふっくらとした食感に仕上がっております。</t>
        </is>
      </c>
      <c r="AE615" s="167" t="n"/>
      <c r="AF615" s="167" t="n"/>
      <c r="AG615" s="144" t="n"/>
    </row>
    <row r="616" ht="18" customHeight="1" s="207">
      <c r="A616" s="166" t="inlineStr">
        <is>
          <t>水産</t>
        </is>
      </c>
      <c r="B616" s="167" t="inlineStr">
        <is>
          <t>水産物</t>
        </is>
      </c>
      <c r="C616" s="167" t="inlineStr">
        <is>
          <t>山下水産</t>
        </is>
      </c>
      <c r="D616" s="143">
        <f>"PRD_SNJ_"&amp;
_xlfn.XLOOKUP(商品マスタ[[#This Row],[仕入先]],テーブル1[仕入先名],テーブル1[仕入先コード],"XXX",0,1)&amp;
"_"&amp;
商品マスタ[[#This Row],[シリアル]]&amp;
"_"&amp;
TEXT(COUNTIFS(商品マスタ!$C$3:C616,商品マスタ[[#This Row],[仕入先]],商品マスタ!$E$3:E616,商品マスタ[[#This Row],[商品名]]), "00")</f>
        <v/>
      </c>
      <c r="E616" s="167" t="inlineStr">
        <is>
          <t xml:space="preserve">秋鮭燻とば </t>
        </is>
      </c>
      <c r="F616" s="167">
        <f>IF(COUNTIFS($C$3:C616,商品マスタ[[#This Row],[仕入先]],$E$3:E616,商品マスタ[[#This Row],[商品名]]) = 1, 1,0)</f>
        <v/>
      </c>
      <c r="G616" s="133">
        <f>TEXT(SUMIF($C$3:C616,商品マスタ[[#This Row],[仕入先]],$F$3:F616), "0000")</f>
        <v/>
      </c>
      <c r="H616" s="167" t="inlineStr">
        <is>
          <t>袋</t>
        </is>
      </c>
      <c r="I616" s="167" t="inlineStr">
        <is>
          <t>100g/
袋</t>
        </is>
      </c>
      <c r="J616" s="167" t="n">
        <v>40</v>
      </c>
      <c r="K616" s="167" t="n"/>
      <c r="L616" s="289" t="n">
        <v>550</v>
      </c>
      <c r="M616" s="157" t="n">
        <v>46052</v>
      </c>
      <c r="N616" s="289" t="n">
        <v>760.1900000000001</v>
      </c>
      <c r="O616" s="290">
        <f>IF(COUNT(商品マスタ[[#This Row],[参考上代
（税込)]]) &gt; 0, (商品マスタ[[#This Row],[参考上代
（税込)]]-商品マスタ[[#This Row],[国内定価
（15％）]])/(商品マスタ[[#This Row],[参考上代
（税込)]]/1.08), "")</f>
        <v/>
      </c>
      <c r="P616" s="136" t="n">
        <v>0.1</v>
      </c>
      <c r="Q616" s="289">
        <f>商品マスタ[[#This Row],[仕入
単価]]*商品マスタ[[#This Row],[標準国内送料率]]</f>
        <v/>
      </c>
      <c r="R616" s="289" t="n"/>
      <c r="S616" s="289">
        <f>IF(ISBLANK(商品マスタ[[#This Row],[実績
国内送料]]),商品マスタ[[#This Row],[標準国内送料]],)</f>
        <v/>
      </c>
      <c r="T616" s="289">
        <f>商品マスタ[[#This Row],[仕入
単価]]+商品マスタ[[#This Row],[国内送料]]</f>
        <v/>
      </c>
      <c r="U616" s="289">
        <f>ROUNDUP(商品マスタ[[#This Row],[仕入単価+国内送料]]/0.8,-1)</f>
        <v/>
      </c>
      <c r="V616" s="289">
        <f>商品マスタ[[#This Row],[海外定価
（20％）]]-商品マスタ[[#This Row],[仕入単価+国内送料]]</f>
        <v/>
      </c>
      <c r="W616" s="167">
        <f>ROUNDUP(商品マスタ[[#This Row],[仕入単価+国内送料]]/0.85,-1)</f>
        <v/>
      </c>
      <c r="X616" s="289">
        <f>商品マスタ[[#This Row],[国内定価
（15％）]]-商品マスタ[[#This Row],[仕入単価+国内送料]]</f>
        <v/>
      </c>
      <c r="Y616" s="139" t="n">
        <v>0.08</v>
      </c>
      <c r="Z616" s="167" t="inlineStr">
        <is>
          <t>60日</t>
        </is>
      </c>
      <c r="AA616" s="167" t="inlineStr">
        <is>
          <t>冷蔵</t>
        </is>
      </c>
      <c r="AB616" s="167" t="inlineStr">
        <is>
          <t>14日</t>
        </is>
      </c>
      <c r="AC616" s="293" t="n">
        <v>4931063500045</v>
      </c>
      <c r="AD616" s="167" t="inlineStr">
        <is>
          <t>北海道産の脂の乗った秋鮭を手作業でスライスし調味液に一晩漬け低温乾燥させました。
魚の生臭さを抑え旨味だけを残し、程良い柔らかさに仕上げています。</t>
        </is>
      </c>
      <c r="AE616" s="167" t="n"/>
      <c r="AF616" s="167" t="n"/>
      <c r="AG616" s="144" t="n"/>
    </row>
    <row r="617" ht="18" customHeight="1" s="207">
      <c r="A617" s="166" t="inlineStr">
        <is>
          <t>水産</t>
        </is>
      </c>
      <c r="B617" s="167" t="inlineStr">
        <is>
          <t>水産物</t>
        </is>
      </c>
      <c r="C617" s="167" t="inlineStr">
        <is>
          <t>山下水産</t>
        </is>
      </c>
      <c r="D617" s="143">
        <f>"PRD_SNJ_"&amp;
_xlfn.XLOOKUP(商品マスタ[[#This Row],[仕入先]],テーブル1[仕入先名],テーブル1[仕入先コード],"XXX",0,1)&amp;
"_"&amp;
商品マスタ[[#This Row],[シリアル]]&amp;
"_"&amp;
TEXT(COUNTIFS(商品マスタ!$C$3:C617,商品マスタ[[#This Row],[仕入先]],商品マスタ!$E$3:E617,商品マスタ[[#This Row],[商品名]]), "00")</f>
        <v/>
      </c>
      <c r="E617" s="167" t="inlineStr">
        <is>
          <t xml:space="preserve">さんま生姜煮 </t>
        </is>
      </c>
      <c r="F617" s="167">
        <f>IF(COUNTIFS($C$3:C617,商品マスタ[[#This Row],[仕入先]],$E$3:E617,商品マスタ[[#This Row],[商品名]]) = 1, 1,0)</f>
        <v/>
      </c>
      <c r="G617" s="133">
        <f>TEXT(SUMIF($C$3:C617,商品マスタ[[#This Row],[仕入先]],$F$3:F617), "0000")</f>
        <v/>
      </c>
      <c r="H617" s="167" t="inlineStr">
        <is>
          <t>袋</t>
        </is>
      </c>
      <c r="I617" s="167" t="inlineStr">
        <is>
          <t>100g/
袋</t>
        </is>
      </c>
      <c r="J617" s="167" t="n">
        <v>40</v>
      </c>
      <c r="K617" s="167" t="n"/>
      <c r="L617" s="289" t="n">
        <v>330</v>
      </c>
      <c r="M617" s="157" t="n">
        <v>46052</v>
      </c>
      <c r="N617" s="289" t="n">
        <v>420.37</v>
      </c>
      <c r="O617" s="290">
        <f>IF(COUNT(商品マスタ[[#This Row],[参考上代
（税込)]]) &gt; 0, (商品マスタ[[#This Row],[参考上代
（税込)]]-商品マスタ[[#This Row],[国内定価
（15％）]])/(商品マスタ[[#This Row],[参考上代
（税込)]]/1.08), "")</f>
        <v/>
      </c>
      <c r="P617" s="136" t="n">
        <v>0.1</v>
      </c>
      <c r="Q617" s="289">
        <f>商品マスタ[[#This Row],[仕入
単価]]*商品マスタ[[#This Row],[標準国内送料率]]</f>
        <v/>
      </c>
      <c r="R617" s="289" t="n"/>
      <c r="S617" s="289">
        <f>IF(ISBLANK(商品マスタ[[#This Row],[実績
国内送料]]),商品マスタ[[#This Row],[標準国内送料]],)</f>
        <v/>
      </c>
      <c r="T617" s="289">
        <f>商品マスタ[[#This Row],[仕入
単価]]+商品マスタ[[#This Row],[国内送料]]</f>
        <v/>
      </c>
      <c r="U617" s="289">
        <f>ROUNDUP(商品マスタ[[#This Row],[仕入単価+国内送料]]/0.8,-1)</f>
        <v/>
      </c>
      <c r="V617" s="289">
        <f>商品マスタ[[#This Row],[海外定価
（20％）]]-商品マスタ[[#This Row],[仕入単価+国内送料]]</f>
        <v/>
      </c>
      <c r="W617" s="167">
        <f>ROUNDUP(商品マスタ[[#This Row],[仕入単価+国内送料]]/0.85,-1)</f>
        <v/>
      </c>
      <c r="X617" s="289">
        <f>商品マスタ[[#This Row],[国内定価
（15％）]]-商品マスタ[[#This Row],[仕入単価+国内送料]]</f>
        <v/>
      </c>
      <c r="Y617" s="139" t="n">
        <v>0.08</v>
      </c>
      <c r="Z617" s="167" t="inlineStr">
        <is>
          <t>90日</t>
        </is>
      </c>
      <c r="AA617" s="167" t="inlineStr">
        <is>
          <t>常温</t>
        </is>
      </c>
      <c r="AB617" s="167" t="inlineStr">
        <is>
          <t>14日</t>
        </is>
      </c>
      <c r="AC617" s="293" t="n">
        <v>4931063060242</v>
      </c>
      <c r="AD617" s="167" t="inlineStr">
        <is>
          <t>北海道根室産の、食べやすい小さめのさんまを生姜を加え骨までやわらかく炊き上げました。</t>
        </is>
      </c>
      <c r="AE617" s="167" t="n"/>
      <c r="AF617" s="167" t="n"/>
      <c r="AG617" s="144" t="n"/>
    </row>
    <row r="618" ht="18" customHeight="1" s="207">
      <c r="A618" s="166" t="inlineStr">
        <is>
          <t>水産</t>
        </is>
      </c>
      <c r="B618" s="167" t="inlineStr">
        <is>
          <t>水産物</t>
        </is>
      </c>
      <c r="C618" s="167" t="inlineStr">
        <is>
          <t>山下水産</t>
        </is>
      </c>
      <c r="D618" s="143">
        <f>"PRD_SNJ_"&amp;
_xlfn.XLOOKUP(商品マスタ[[#This Row],[仕入先]],テーブル1[仕入先名],テーブル1[仕入先コード],"XXX",0,1)&amp;
"_"&amp;
商品マスタ[[#This Row],[シリアル]]&amp;
"_"&amp;
TEXT(COUNTIFS(商品マスタ!$C$3:C618,商品マスタ[[#This Row],[仕入先]],商品マスタ!$E$3:E618,商品マスタ[[#This Row],[商品名]]), "00")</f>
        <v/>
      </c>
      <c r="E618" s="167" t="inlineStr">
        <is>
          <t>たこふっくら煮</t>
        </is>
      </c>
      <c r="F618" s="167">
        <f>IF(COUNTIFS($C$3:C618,商品マスタ[[#This Row],[仕入先]],$E$3:E618,商品マスタ[[#This Row],[商品名]]) = 1, 1,0)</f>
        <v/>
      </c>
      <c r="G618" s="133">
        <f>TEXT(SUMIF($C$3:C618,商品マスタ[[#This Row],[仕入先]],$F$3:F618), "0000")</f>
        <v/>
      </c>
      <c r="H618" s="167" t="inlineStr">
        <is>
          <t>袋</t>
        </is>
      </c>
      <c r="I618" s="167" t="inlineStr">
        <is>
          <t>100g/
袋</t>
        </is>
      </c>
      <c r="J618" s="167" t="n">
        <v>60</v>
      </c>
      <c r="K618" s="167" t="n"/>
      <c r="L618" s="289" t="n">
        <v>730</v>
      </c>
      <c r="M618" s="157" t="n">
        <v>46052</v>
      </c>
      <c r="N618" s="289" t="n">
        <v>914.8099999999999</v>
      </c>
      <c r="O618" s="290">
        <f>IF(COUNT(商品マスタ[[#This Row],[参考上代
（税込)]]) &gt; 0, (商品マスタ[[#This Row],[参考上代
（税込)]]-商品マスタ[[#This Row],[国内定価
（15％）]])/(商品マスタ[[#This Row],[参考上代
（税込)]]/1.08), "")</f>
        <v/>
      </c>
      <c r="P618" s="136" t="n">
        <v>0.1</v>
      </c>
      <c r="Q618" s="289">
        <f>商品マスタ[[#This Row],[仕入
単価]]*商品マスタ[[#This Row],[標準国内送料率]]</f>
        <v/>
      </c>
      <c r="R618" s="289" t="n"/>
      <c r="S618" s="289">
        <f>IF(ISBLANK(商品マスタ[[#This Row],[実績
国内送料]]),商品マスタ[[#This Row],[標準国内送料]],)</f>
        <v/>
      </c>
      <c r="T618" s="289">
        <f>商品マスタ[[#This Row],[仕入
単価]]+商品マスタ[[#This Row],[国内送料]]</f>
        <v/>
      </c>
      <c r="U618" s="289">
        <f>ROUNDUP(商品マスタ[[#This Row],[仕入単価+国内送料]]/0.8,-1)</f>
        <v/>
      </c>
      <c r="V618" s="289">
        <f>商品マスタ[[#This Row],[海外定価
（20％）]]-商品マスタ[[#This Row],[仕入単価+国内送料]]</f>
        <v/>
      </c>
      <c r="W618" s="167">
        <f>ROUNDUP(商品マスタ[[#This Row],[仕入単価+国内送料]]/0.85,-1)</f>
        <v/>
      </c>
      <c r="X618" s="289">
        <f>商品マスタ[[#This Row],[国内定価
（15％）]]-商品マスタ[[#This Row],[仕入単価+国内送料]]</f>
        <v/>
      </c>
      <c r="Y618" s="139" t="n">
        <v>0.08</v>
      </c>
      <c r="Z618" s="167" t="inlineStr">
        <is>
          <t>60日</t>
        </is>
      </c>
      <c r="AA618" s="167" t="inlineStr">
        <is>
          <t>冷蔵</t>
        </is>
      </c>
      <c r="AB618" s="167" t="inlineStr">
        <is>
          <t>14日</t>
        </is>
      </c>
      <c r="AC618" s="293" t="n">
        <v>4931063430113</v>
      </c>
      <c r="AD618" s="167" t="inlineStr">
        <is>
          <t>北海道産の柳たこを程よい歯ごたえを残しふっくらやわらかく炊き上げました。お醤油ベースのご飯に合う味付けです。</t>
        </is>
      </c>
      <c r="AE618" s="167" t="n"/>
      <c r="AF618" s="167" t="n"/>
      <c r="AG618" s="144" t="n"/>
    </row>
    <row r="619" ht="18" customHeight="1" s="207">
      <c r="A619" s="166" t="inlineStr">
        <is>
          <t>加工品</t>
        </is>
      </c>
      <c r="B619" s="167" t="inlineStr">
        <is>
          <t>その他</t>
        </is>
      </c>
      <c r="C619" s="167" t="inlineStr">
        <is>
          <t>（株）旭川食品</t>
        </is>
      </c>
      <c r="D619" s="143">
        <f>"PRD_SNJ_"&amp;
_xlfn.XLOOKUP(商品マスタ[[#This Row],[仕入先]],テーブル1[仕入先名],テーブル1[仕入先コード],"XXX",0,1)&amp;
"_"&amp;
商品マスタ[[#This Row],[シリアル]]&amp;
"_"&amp;
TEXT(COUNTIFS(商品マスタ!$C$3:C619,商品マスタ[[#This Row],[仕入先]],商品マスタ!$E$3:E619,商品マスタ[[#This Row],[商品名]]), "00")</f>
        <v/>
      </c>
      <c r="E619" s="167" t="inlineStr">
        <is>
          <t>黒豆甘納豆</t>
        </is>
      </c>
      <c r="F619" s="167">
        <f>IF(COUNTIFS($C$3:C619,商品マスタ[[#This Row],[仕入先]],$E$3:E619,商品マスタ[[#This Row],[商品名]]) = 1, 1,0)</f>
        <v/>
      </c>
      <c r="G619" s="133">
        <f>TEXT(SUMIF($C$3:C619,商品マスタ[[#This Row],[仕入先]],$F$3:F619), "0000")</f>
        <v/>
      </c>
      <c r="H619" s="167" t="inlineStr">
        <is>
          <t>袋</t>
        </is>
      </c>
      <c r="I619" s="167" t="inlineStr">
        <is>
          <t>170g/袋</t>
        </is>
      </c>
      <c r="J619" s="167" t="inlineStr">
        <is>
          <t>20×3ケース</t>
        </is>
      </c>
      <c r="K619" s="167" t="n"/>
      <c r="L619" s="289" t="n">
        <v>340</v>
      </c>
      <c r="M619" s="157" t="n">
        <v>46052</v>
      </c>
      <c r="N619" s="289" t="n">
        <v>500</v>
      </c>
      <c r="O619" s="290">
        <f>IF(COUNT(商品マスタ[[#This Row],[参考上代
（税込)]]) &gt; 0, (商品マスタ[[#This Row],[参考上代
（税込)]]-商品マスタ[[#This Row],[国内定価
（15％）]])/(商品マスタ[[#This Row],[参考上代
（税込)]]/1.08), "")</f>
        <v/>
      </c>
      <c r="P619" s="136" t="n">
        <v>0.1</v>
      </c>
      <c r="Q619" s="289">
        <f>商品マスタ[[#This Row],[仕入
単価]]*商品マスタ[[#This Row],[標準国内送料率]]</f>
        <v/>
      </c>
      <c r="R619" s="289" t="n"/>
      <c r="S619" s="289">
        <f>IF(ISBLANK(商品マスタ[[#This Row],[実績
国内送料]]),商品マスタ[[#This Row],[標準国内送料]],)</f>
        <v/>
      </c>
      <c r="T619" s="289">
        <f>商品マスタ[[#This Row],[仕入
単価]]+商品マスタ[[#This Row],[国内送料]]</f>
        <v/>
      </c>
      <c r="U619" s="289">
        <f>ROUNDUP(商品マスタ[[#This Row],[仕入単価+国内送料]]/0.8,-1)</f>
        <v/>
      </c>
      <c r="V619" s="289">
        <f>商品マスタ[[#This Row],[海外定価
（20％）]]-商品マスタ[[#This Row],[仕入単価+国内送料]]</f>
        <v/>
      </c>
      <c r="W619" s="167">
        <f>ROUNDUP(商品マスタ[[#This Row],[仕入単価+国内送料]]/0.85,-1)</f>
        <v/>
      </c>
      <c r="X619" s="289">
        <f>商品マスタ[[#This Row],[国内定価
（15％）]]-商品マスタ[[#This Row],[仕入単価+国内送料]]</f>
        <v/>
      </c>
      <c r="Y619" s="139" t="n">
        <v>0.08</v>
      </c>
      <c r="Z619" s="167" t="inlineStr">
        <is>
          <t>90日</t>
        </is>
      </c>
      <c r="AA619" s="167" t="inlineStr">
        <is>
          <t>常温</t>
        </is>
      </c>
      <c r="AB619" s="167" t="inlineStr">
        <is>
          <t>5日</t>
        </is>
      </c>
      <c r="AC619" s="293" t="n">
        <v>4580223790026</v>
      </c>
      <c r="AD619" s="167" t="inlineStr">
        <is>
          <t xml:space="preserve">
北海道産大粒黒大豆（祝黒）を契約栽培農家より農協で選別合格したものを使用し、整腸効果に大きく役立ち、製品自体の保湿性も高まるガラクトオリゴ糖を使用し加工した黒豆甘納豆です。
てん菜糖を使用していますので上品な甘さで柔らかくしっとりと仕上げました。</t>
        </is>
      </c>
      <c r="AE619" s="167" t="n"/>
      <c r="AF619" s="167" t="n"/>
      <c r="AG619" s="144" t="n"/>
    </row>
    <row r="620" ht="18" customHeight="1" s="207">
      <c r="A620" s="166" t="inlineStr">
        <is>
          <t>加工品</t>
        </is>
      </c>
      <c r="B620" s="167" t="inlineStr">
        <is>
          <t>その他</t>
        </is>
      </c>
      <c r="C620" s="167" t="inlineStr">
        <is>
          <t>（株）旭川食品</t>
        </is>
      </c>
      <c r="D620" s="143">
        <f>"PRD_SNJ_"&amp;
_xlfn.XLOOKUP(商品マスタ[[#This Row],[仕入先]],テーブル1[仕入先名],テーブル1[仕入先コード],"XXX",0,1)&amp;
"_"&amp;
商品マスタ[[#This Row],[シリアル]]&amp;
"_"&amp;
TEXT(COUNTIFS(商品マスタ!$C$3:C620,商品マスタ[[#This Row],[仕入先]],商品マスタ!$E$3:E620,商品マスタ[[#This Row],[商品名]]), "00")</f>
        <v/>
      </c>
      <c r="E620" s="167" t="inlineStr">
        <is>
          <t>旭川産黒豆甘納豆</t>
        </is>
      </c>
      <c r="F620" s="167">
        <f>IF(COUNTIFS($C$3:C620,商品マスタ[[#This Row],[仕入先]],$E$3:E620,商品マスタ[[#This Row],[商品名]]) = 1, 1,0)</f>
        <v/>
      </c>
      <c r="G620" s="133">
        <f>TEXT(SUMIF($C$3:C620,商品マスタ[[#This Row],[仕入先]],$F$3:F620), "0000")</f>
        <v/>
      </c>
      <c r="H620" s="167" t="inlineStr">
        <is>
          <t>袋</t>
        </is>
      </c>
      <c r="I620" s="167" t="inlineStr">
        <is>
          <t>120g/袋</t>
        </is>
      </c>
      <c r="J620" s="167" t="inlineStr">
        <is>
          <t>30×３ケース</t>
        </is>
      </c>
      <c r="K620" s="167" t="n"/>
      <c r="L620" s="289" t="n">
        <v>240</v>
      </c>
      <c r="M620" s="157" t="n">
        <v>46052</v>
      </c>
      <c r="N620" s="289" t="n">
        <v>370.37</v>
      </c>
      <c r="O620" s="290">
        <f>IF(COUNT(商品マスタ[[#This Row],[参考上代
（税込)]]) &gt; 0, (商品マスタ[[#This Row],[参考上代
（税込)]]-商品マスタ[[#This Row],[国内定価
（15％）]])/(商品マスタ[[#This Row],[参考上代
（税込)]]/1.08), "")</f>
        <v/>
      </c>
      <c r="P620" s="136" t="n">
        <v>0.1</v>
      </c>
      <c r="Q620" s="289">
        <f>商品マスタ[[#This Row],[仕入
単価]]*商品マスタ[[#This Row],[標準国内送料率]]</f>
        <v/>
      </c>
      <c r="R620" s="289" t="n"/>
      <c r="S620" s="289">
        <f>IF(ISBLANK(商品マスタ[[#This Row],[実績
国内送料]]),商品マスタ[[#This Row],[標準国内送料]],)</f>
        <v/>
      </c>
      <c r="T620" s="289">
        <f>商品マスタ[[#This Row],[仕入
単価]]+商品マスタ[[#This Row],[国内送料]]</f>
        <v/>
      </c>
      <c r="U620" s="289">
        <f>ROUNDUP(商品マスタ[[#This Row],[仕入単価+国内送料]]/0.8,-1)</f>
        <v/>
      </c>
      <c r="V620" s="289">
        <f>商品マスタ[[#This Row],[海外定価
（20％）]]-商品マスタ[[#This Row],[仕入単価+国内送料]]</f>
        <v/>
      </c>
      <c r="W620" s="167">
        <f>ROUNDUP(商品マスタ[[#This Row],[仕入単価+国内送料]]/0.85,-1)</f>
        <v/>
      </c>
      <c r="X620" s="289">
        <f>商品マスタ[[#This Row],[国内定価
（15％）]]-商品マスタ[[#This Row],[仕入単価+国内送料]]</f>
        <v/>
      </c>
      <c r="Y620" s="139" t="n">
        <v>0.08</v>
      </c>
      <c r="Z620" s="167" t="inlineStr">
        <is>
          <t>90日</t>
        </is>
      </c>
      <c r="AA620" s="167" t="inlineStr">
        <is>
          <t>常温</t>
        </is>
      </c>
      <c r="AB620" s="167" t="inlineStr">
        <is>
          <t>5日</t>
        </is>
      </c>
      <c r="AC620" s="293" t="n">
        <v>4580223792716</v>
      </c>
      <c r="AD620" s="167" t="inlineStr">
        <is>
          <t>旭川産黒豆甘納豆を使用した甘さ控えめの甘納豆です。</t>
        </is>
      </c>
      <c r="AE620" s="167" t="n"/>
      <c r="AF620" s="167" t="n"/>
      <c r="AG620" s="144" t="n"/>
    </row>
    <row r="621" ht="18" customHeight="1" s="207">
      <c r="A621" s="166" t="inlineStr">
        <is>
          <t>飲料アルコール</t>
        </is>
      </c>
      <c r="B621" s="167" t="inlineStr">
        <is>
          <t>茶</t>
        </is>
      </c>
      <c r="C621" s="167" t="inlineStr">
        <is>
          <t>（株）旭川食品</t>
        </is>
      </c>
      <c r="D621" s="143">
        <f>"PRD_SNJ_"&amp;
_xlfn.XLOOKUP(商品マスタ[[#This Row],[仕入先]],テーブル1[仕入先名],テーブル1[仕入先コード],"XXX",0,1)&amp;
"_"&amp;
商品マスタ[[#This Row],[シリアル]]&amp;
"_"&amp;
TEXT(COUNTIFS(商品マスタ!$C$3:C621,商品マスタ[[#This Row],[仕入先]],商品マスタ!$E$3:E621,商品マスタ[[#This Row],[商品名]]), "00")</f>
        <v/>
      </c>
      <c r="E621" s="167" t="inlineStr">
        <is>
          <t>塩ようかん小豆</t>
        </is>
      </c>
      <c r="F621" s="167">
        <f>IF(COUNTIFS($C$3:C621,商品マスタ[[#This Row],[仕入先]],$E$3:E621,商品マスタ[[#This Row],[商品名]]) = 1, 1,0)</f>
        <v/>
      </c>
      <c r="G621" s="133">
        <f>TEXT(SUMIF($C$3:C621,商品マスタ[[#This Row],[仕入先]],$F$3:F621), "0000")</f>
        <v/>
      </c>
      <c r="H621" s="167" t="inlineStr">
        <is>
          <t>本</t>
        </is>
      </c>
      <c r="I621" s="167" t="inlineStr">
        <is>
          <t>120g/本</t>
        </is>
      </c>
      <c r="J621" s="167" t="inlineStr">
        <is>
          <t>30×３ケース</t>
        </is>
      </c>
      <c r="K621" s="167" t="n"/>
      <c r="L621" s="289" t="n">
        <v>204</v>
      </c>
      <c r="M621" s="157" t="n">
        <v>46052</v>
      </c>
      <c r="N621" s="289" t="n">
        <v>300</v>
      </c>
      <c r="O621" s="290">
        <f>IF(COUNT(商品マスタ[[#This Row],[参考上代
（税込)]]) &gt; 0, (商品マスタ[[#This Row],[参考上代
（税込)]]-商品マスタ[[#This Row],[国内定価
（15％）]])/(商品マスタ[[#This Row],[参考上代
（税込)]]/1.08), "")</f>
        <v/>
      </c>
      <c r="P621" s="136" t="n">
        <v>0.1</v>
      </c>
      <c r="Q621" s="289">
        <f>商品マスタ[[#This Row],[仕入
単価]]*商品マスタ[[#This Row],[標準国内送料率]]</f>
        <v/>
      </c>
      <c r="R621" s="289" t="n"/>
      <c r="S621" s="289">
        <f>IF(ISBLANK(商品マスタ[[#This Row],[実績
国内送料]]),商品マスタ[[#This Row],[標準国内送料]],)</f>
        <v/>
      </c>
      <c r="T621" s="289">
        <f>商品マスタ[[#This Row],[仕入
単価]]+商品マスタ[[#This Row],[国内送料]]</f>
        <v/>
      </c>
      <c r="U621" s="289">
        <f>ROUNDUP(商品マスタ[[#This Row],[仕入単価+国内送料]]/0.8,-1)</f>
        <v/>
      </c>
      <c r="V621" s="289">
        <f>商品マスタ[[#This Row],[海外定価
（20％）]]-商品マスタ[[#This Row],[仕入単価+国内送料]]</f>
        <v/>
      </c>
      <c r="W621" s="167">
        <f>ROUNDUP(商品マスタ[[#This Row],[仕入単価+国内送料]]/0.85,-1)</f>
        <v/>
      </c>
      <c r="X621" s="289">
        <f>商品マスタ[[#This Row],[国内定価
（15％）]]-商品マスタ[[#This Row],[仕入単価+国内送料]]</f>
        <v/>
      </c>
      <c r="Y621" s="139" t="n">
        <v>0.08</v>
      </c>
      <c r="Z621" s="167" t="inlineStr">
        <is>
          <t>180日</t>
        </is>
      </c>
      <c r="AA621" s="167" t="inlineStr">
        <is>
          <t>常温</t>
        </is>
      </c>
      <c r="AB621" s="167" t="inlineStr">
        <is>
          <t>5日</t>
        </is>
      </c>
      <c r="AC621" s="293" t="n">
        <v>4580223790262</v>
      </c>
      <c r="AD621" s="167" t="inlineStr">
        <is>
          <t>北海道優良品種認定の「しゅまり小豆」を使用し丹精込めて練り上げ、オホーツクの塩で仕上ました。甘さ控えめの美味しい羊羹です。お茶請けにぴったりです。</t>
        </is>
      </c>
      <c r="AE621" s="167" t="n"/>
      <c r="AF621" s="167" t="n"/>
      <c r="AG621" s="144" t="n"/>
    </row>
    <row r="622" ht="18" customHeight="1" s="207">
      <c r="A622" s="166" t="inlineStr">
        <is>
          <t>菓子</t>
        </is>
      </c>
      <c r="B622" s="167" t="inlineStr">
        <is>
          <t>和菓子</t>
        </is>
      </c>
      <c r="C622" s="167" t="inlineStr">
        <is>
          <t>（株）旭川食品</t>
        </is>
      </c>
      <c r="D622" s="143">
        <f>"PRD_SNJ_"&amp;
_xlfn.XLOOKUP(商品マスタ[[#This Row],[仕入先]],テーブル1[仕入先名],テーブル1[仕入先コード],"XXX",0,1)&amp;
"_"&amp;
商品マスタ[[#This Row],[シリアル]]&amp;
"_"&amp;
TEXT(COUNTIFS(商品マスタ!$C$3:C622,商品マスタ[[#This Row],[仕入先]],商品マスタ!$E$3:E622,商品マスタ[[#This Row],[商品名]]), "00")</f>
        <v/>
      </c>
      <c r="E622" s="167" t="inlineStr">
        <is>
          <t>塩ようかん小倉</t>
        </is>
      </c>
      <c r="F622" s="167">
        <f>IF(COUNTIFS($C$3:C622,商品マスタ[[#This Row],[仕入先]],$E$3:E622,商品マスタ[[#This Row],[商品名]]) = 1, 1,0)</f>
        <v/>
      </c>
      <c r="G622" s="133">
        <f>TEXT(SUMIF($C$3:C622,商品マスタ[[#This Row],[仕入先]],$F$3:F622), "0000")</f>
        <v/>
      </c>
      <c r="H622" s="167" t="inlineStr">
        <is>
          <t>本</t>
        </is>
      </c>
      <c r="I622" s="167" t="inlineStr">
        <is>
          <t>120g/本</t>
        </is>
      </c>
      <c r="J622" s="167" t="inlineStr">
        <is>
          <t>30×３ケース</t>
        </is>
      </c>
      <c r="K622" s="167" t="n"/>
      <c r="L622" s="289" t="n">
        <v>204</v>
      </c>
      <c r="M622" s="157" t="n">
        <v>46052</v>
      </c>
      <c r="N622" s="289" t="n">
        <v>300</v>
      </c>
      <c r="O622" s="290">
        <f>IF(COUNT(商品マスタ[[#This Row],[参考上代
（税込)]]) &gt; 0, (商品マスタ[[#This Row],[参考上代
（税込)]]-商品マスタ[[#This Row],[国内定価
（15％）]])/(商品マスタ[[#This Row],[参考上代
（税込)]]/1.08), "")</f>
        <v/>
      </c>
      <c r="P622" s="136" t="n">
        <v>0.1</v>
      </c>
      <c r="Q622" s="289">
        <f>商品マスタ[[#This Row],[仕入
単価]]*商品マスタ[[#This Row],[標準国内送料率]]</f>
        <v/>
      </c>
      <c r="R622" s="289" t="n"/>
      <c r="S622" s="289">
        <f>IF(ISBLANK(商品マスタ[[#This Row],[実績
国内送料]]),商品マスタ[[#This Row],[標準国内送料]],)</f>
        <v/>
      </c>
      <c r="T622" s="289">
        <f>商品マスタ[[#This Row],[仕入
単価]]+商品マスタ[[#This Row],[国内送料]]</f>
        <v/>
      </c>
      <c r="U622" s="289">
        <f>ROUNDUP(商品マスタ[[#This Row],[仕入単価+国内送料]]/0.8,-1)</f>
        <v/>
      </c>
      <c r="V622" s="289">
        <f>商品マスタ[[#This Row],[海外定価
（20％）]]-商品マスタ[[#This Row],[仕入単価+国内送料]]</f>
        <v/>
      </c>
      <c r="W622" s="167">
        <f>ROUNDUP(商品マスタ[[#This Row],[仕入単価+国内送料]]/0.85,-1)</f>
        <v/>
      </c>
      <c r="X622" s="289">
        <f>商品マスタ[[#This Row],[国内定価
（15％）]]-商品マスタ[[#This Row],[仕入単価+国内送料]]</f>
        <v/>
      </c>
      <c r="Y622" s="139" t="n">
        <v>0.08</v>
      </c>
      <c r="Z622" s="167" t="inlineStr">
        <is>
          <t>180日</t>
        </is>
      </c>
      <c r="AA622" s="167" t="inlineStr">
        <is>
          <t>常温</t>
        </is>
      </c>
      <c r="AB622" s="167" t="inlineStr">
        <is>
          <t>5日</t>
        </is>
      </c>
      <c r="AC622" s="293" t="n">
        <v>4580223790279</v>
      </c>
      <c r="AD622" s="167" t="inlineStr">
        <is>
          <t>北海道優良品種認定の「しゅまり小豆」を使用し丹精込めて練り上げ、
オホーツクの塩で仕上ました。
甘さ控えめの美味しい羊羹です。
粒あんの食感と合わせてお楽しみ下さい。</t>
        </is>
      </c>
      <c r="AE622" s="167" t="n"/>
      <c r="AF622" s="167" t="n"/>
      <c r="AG622" s="144" t="n"/>
    </row>
    <row r="623" ht="18" customHeight="1" s="207">
      <c r="A623" s="166" t="inlineStr">
        <is>
          <t>菓子</t>
        </is>
      </c>
      <c r="B623" s="167" t="inlineStr">
        <is>
          <t>和菓子</t>
        </is>
      </c>
      <c r="C623" s="167" t="inlineStr">
        <is>
          <t>（株）旭川食品</t>
        </is>
      </c>
      <c r="D623" s="143">
        <f>"PRD_SNJ_"&amp;
_xlfn.XLOOKUP(商品マスタ[[#This Row],[仕入先]],テーブル1[仕入先名],テーブル1[仕入先コード],"XXX",0,1)&amp;
"_"&amp;
商品マスタ[[#This Row],[シリアル]]&amp;
"_"&amp;
TEXT(COUNTIFS(商品マスタ!$C$3:C623,商品マスタ[[#This Row],[仕入先]],商品マスタ!$E$3:E623,商品マスタ[[#This Row],[商品名]]), "00")</f>
        <v/>
      </c>
      <c r="E623" s="167" t="inlineStr">
        <is>
          <t>塩ようかんよもぎ</t>
        </is>
      </c>
      <c r="F623" s="167">
        <f>IF(COUNTIFS($C$3:C623,商品マスタ[[#This Row],[仕入先]],$E$3:E623,商品マスタ[[#This Row],[商品名]]) = 1, 1,0)</f>
        <v/>
      </c>
      <c r="G623" s="133">
        <f>TEXT(SUMIF($C$3:C623,商品マスタ[[#This Row],[仕入先]],$F$3:F623), "0000")</f>
        <v/>
      </c>
      <c r="H623" s="167" t="inlineStr">
        <is>
          <t>本</t>
        </is>
      </c>
      <c r="I623" s="167" t="inlineStr">
        <is>
          <t>120g/本</t>
        </is>
      </c>
      <c r="J623" s="167" t="inlineStr">
        <is>
          <t>30×３ケース</t>
        </is>
      </c>
      <c r="K623" s="167" t="n"/>
      <c r="L623" s="289" t="n">
        <v>204</v>
      </c>
      <c r="M623" s="157" t="n">
        <v>46052</v>
      </c>
      <c r="N623" s="289" t="n">
        <v>300</v>
      </c>
      <c r="O623" s="290">
        <f>IF(COUNT(商品マスタ[[#This Row],[参考上代
（税込)]]) &gt; 0, (商品マスタ[[#This Row],[参考上代
（税込)]]-商品マスタ[[#This Row],[国内定価
（15％）]])/(商品マスタ[[#This Row],[参考上代
（税込)]]/1.08), "")</f>
        <v/>
      </c>
      <c r="P623" s="136" t="n">
        <v>0.1</v>
      </c>
      <c r="Q623" s="289">
        <f>商品マスタ[[#This Row],[仕入
単価]]*商品マスタ[[#This Row],[標準国内送料率]]</f>
        <v/>
      </c>
      <c r="R623" s="289" t="n"/>
      <c r="S623" s="289">
        <f>IF(ISBLANK(商品マスタ[[#This Row],[実績
国内送料]]),商品マスタ[[#This Row],[標準国内送料]],)</f>
        <v/>
      </c>
      <c r="T623" s="289">
        <f>商品マスタ[[#This Row],[仕入
単価]]+商品マスタ[[#This Row],[国内送料]]</f>
        <v/>
      </c>
      <c r="U623" s="289">
        <f>ROUNDUP(商品マスタ[[#This Row],[仕入単価+国内送料]]/0.8,-1)</f>
        <v/>
      </c>
      <c r="V623" s="289">
        <f>商品マスタ[[#This Row],[海外定価
（20％）]]-商品マスタ[[#This Row],[仕入単価+国内送料]]</f>
        <v/>
      </c>
      <c r="W623" s="167">
        <f>ROUNDUP(商品マスタ[[#This Row],[仕入単価+国内送料]]/0.85,-1)</f>
        <v/>
      </c>
      <c r="X623" s="289">
        <f>商品マスタ[[#This Row],[国内定価
（15％）]]-商品マスタ[[#This Row],[仕入単価+国内送料]]</f>
        <v/>
      </c>
      <c r="Y623" s="139" t="n">
        <v>0.08</v>
      </c>
      <c r="Z623" s="167" t="inlineStr">
        <is>
          <t>180日</t>
        </is>
      </c>
      <c r="AA623" s="167" t="inlineStr">
        <is>
          <t>常温</t>
        </is>
      </c>
      <c r="AB623" s="167" t="inlineStr">
        <is>
          <t>5日</t>
        </is>
      </c>
      <c r="AC623" s="293" t="n">
        <v>4580223790972</v>
      </c>
      <c r="AD623" s="167" t="inlineStr">
        <is>
          <t>白花豆とよもぎを原料に、オホーツク海の海水塩で仕上げました。
あっさりとした甘さとよもぎ色が鮮やかな羊羹です。</t>
        </is>
      </c>
      <c r="AE623" s="167" t="n"/>
      <c r="AF623" s="167" t="n"/>
      <c r="AG623" s="144" t="n"/>
    </row>
    <row r="624" ht="18" customHeight="1" s="207">
      <c r="A624" s="166" t="inlineStr">
        <is>
          <t>加工品</t>
        </is>
      </c>
      <c r="B624" s="167" t="inlineStr">
        <is>
          <t>その他</t>
        </is>
      </c>
      <c r="C624" s="167" t="inlineStr">
        <is>
          <t>丸一大西食品（ベル食品）</t>
        </is>
      </c>
      <c r="D624" s="143">
        <f>"PRD_SNJ_"&amp;
_xlfn.XLOOKUP(商品マスタ[[#This Row],[仕入先]],テーブル1[仕入先名],テーブル1[仕入先コード],"XXX",0,1)&amp;
"_"&amp;
商品マスタ[[#This Row],[シリアル]]&amp;
"_"&amp;
TEXT(COUNTIFS(商品マスタ!$C$3:C624,商品マスタ[[#This Row],[仕入先]],商品マスタ!$E$3:E624,商品マスタ[[#This Row],[商品名]]), "00")</f>
        <v/>
      </c>
      <c r="E624" s="167" t="inlineStr">
        <is>
          <t>札幌スープカレー中辛</t>
        </is>
      </c>
      <c r="F624" s="167">
        <f>IF(COUNTIFS($C$3:C624,商品マスタ[[#This Row],[仕入先]],$E$3:E624,商品マスタ[[#This Row],[商品名]]) = 1, 1,0)</f>
        <v/>
      </c>
      <c r="G624" s="133">
        <f>TEXT(SUMIF($C$3:C624,商品マスタ[[#This Row],[仕入先]],$F$3:F624), "0000")</f>
        <v/>
      </c>
      <c r="H624" s="167" t="inlineStr">
        <is>
          <t>個</t>
        </is>
      </c>
      <c r="I624" s="167" t="inlineStr">
        <is>
          <t>200ｇ</t>
        </is>
      </c>
      <c r="J624" s="167" t="inlineStr">
        <is>
          <t>200ｇ×20箱×2合</t>
        </is>
      </c>
      <c r="K624" s="167" t="n"/>
      <c r="L624" s="289" t="n">
        <v>385</v>
      </c>
      <c r="M624" s="157" t="n">
        <v>46052</v>
      </c>
      <c r="N624" s="289" t="n"/>
      <c r="O624" s="290">
        <f>IF(COUNT(商品マスタ[[#This Row],[参考上代
（税込)]]) &gt; 0, (商品マスタ[[#This Row],[参考上代
（税込)]]-商品マスタ[[#This Row],[国内定価
（15％）]])/(商品マスタ[[#This Row],[参考上代
（税込)]]/1.08), "")</f>
        <v/>
      </c>
      <c r="P624" s="136" t="n">
        <v>0.1</v>
      </c>
      <c r="Q624" s="289">
        <f>商品マスタ[[#This Row],[仕入
単価]]*商品マスタ[[#This Row],[標準国内送料率]]</f>
        <v/>
      </c>
      <c r="R624" s="289" t="n"/>
      <c r="S624" s="289">
        <f>IF(ISBLANK(商品マスタ[[#This Row],[実績
国内送料]]),商品マスタ[[#This Row],[標準国内送料]],)</f>
        <v/>
      </c>
      <c r="T624" s="289">
        <f>商品マスタ[[#This Row],[仕入
単価]]+商品マスタ[[#This Row],[国内送料]]</f>
        <v/>
      </c>
      <c r="U624" s="289">
        <f>ROUNDUP(商品マスタ[[#This Row],[仕入単価+国内送料]]/0.8,-1)</f>
        <v/>
      </c>
      <c r="V624" s="289">
        <f>商品マスタ[[#This Row],[海外定価
（20％）]]-商品マスタ[[#This Row],[仕入単価+国内送料]]</f>
        <v/>
      </c>
      <c r="W624" s="167">
        <f>ROUNDUP(商品マスタ[[#This Row],[仕入単価+国内送料]]/0.85,-1)</f>
        <v/>
      </c>
      <c r="X624" s="289">
        <f>商品マスタ[[#This Row],[国内定価
（15％）]]-商品マスタ[[#This Row],[仕入単価+国内送料]]</f>
        <v/>
      </c>
      <c r="Y624" s="139" t="n">
        <v>0.08</v>
      </c>
      <c r="Z624" s="167" t="n"/>
      <c r="AA624" s="167" t="n"/>
      <c r="AB624" s="167" t="n"/>
      <c r="AC624" s="293" t="n"/>
      <c r="AD624" s="167" t="n"/>
      <c r="AE624" s="167" t="n"/>
      <c r="AF624" s="167" t="n"/>
      <c r="AG624" s="144" t="n"/>
    </row>
    <row r="625" ht="18" customHeight="1" s="207">
      <c r="A625" s="166" t="inlineStr">
        <is>
          <t>加工品</t>
        </is>
      </c>
      <c r="B625" s="167" t="inlineStr">
        <is>
          <t>その他</t>
        </is>
      </c>
      <c r="C625" s="167" t="inlineStr">
        <is>
          <t>丸一大西食品（ベル食品）</t>
        </is>
      </c>
      <c r="D625" s="143">
        <f>"PRD_SNJ_"&amp;
_xlfn.XLOOKUP(商品マスタ[[#This Row],[仕入先]],テーブル1[仕入先名],テーブル1[仕入先コード],"XXX",0,1)&amp;
"_"&amp;
商品マスタ[[#This Row],[シリアル]]&amp;
"_"&amp;
TEXT(COUNTIFS(商品マスタ!$C$3:C625,商品マスタ[[#This Row],[仕入先]],商品マスタ!$E$3:E625,商品マスタ[[#This Row],[商品名]]), "00")</f>
        <v/>
      </c>
      <c r="E625" s="167" t="inlineStr">
        <is>
          <t>札幌スープカレー辛口</t>
        </is>
      </c>
      <c r="F625" s="167">
        <f>IF(COUNTIFS($C$3:C625,商品マスタ[[#This Row],[仕入先]],$E$3:E625,商品マスタ[[#This Row],[商品名]]) = 1, 1,0)</f>
        <v/>
      </c>
      <c r="G625" s="133">
        <f>TEXT(SUMIF($C$3:C625,商品マスタ[[#This Row],[仕入先]],$F$3:F625), "0000")</f>
        <v/>
      </c>
      <c r="H625" s="167" t="inlineStr">
        <is>
          <t>個</t>
        </is>
      </c>
      <c r="I625" s="167" t="inlineStr">
        <is>
          <t>200ｇ</t>
        </is>
      </c>
      <c r="J625" s="167" t="inlineStr">
        <is>
          <t>200ｇ×20箱×2合</t>
        </is>
      </c>
      <c r="K625" s="167" t="n"/>
      <c r="L625" s="289" t="n">
        <v>385</v>
      </c>
      <c r="M625" s="157" t="n">
        <v>46052</v>
      </c>
      <c r="N625" s="289" t="n"/>
      <c r="O625" s="290">
        <f>IF(COUNT(商品マスタ[[#This Row],[参考上代
（税込)]]) &gt; 0, (商品マスタ[[#This Row],[参考上代
（税込)]]-商品マスタ[[#This Row],[国内定価
（15％）]])/(商品マスタ[[#This Row],[参考上代
（税込)]]/1.08), "")</f>
        <v/>
      </c>
      <c r="P625" s="136" t="n">
        <v>0.1</v>
      </c>
      <c r="Q625" s="289">
        <f>商品マスタ[[#This Row],[仕入
単価]]*商品マスタ[[#This Row],[標準国内送料率]]</f>
        <v/>
      </c>
      <c r="R625" s="289" t="n"/>
      <c r="S625" s="289">
        <f>IF(ISBLANK(商品マスタ[[#This Row],[実績
国内送料]]),商品マスタ[[#This Row],[標準国内送料]],)</f>
        <v/>
      </c>
      <c r="T625" s="289">
        <f>商品マスタ[[#This Row],[仕入
単価]]+商品マスタ[[#This Row],[国内送料]]</f>
        <v/>
      </c>
      <c r="U625" s="289">
        <f>ROUNDUP(商品マスタ[[#This Row],[仕入単価+国内送料]]/0.8,-1)</f>
        <v/>
      </c>
      <c r="V625" s="289">
        <f>商品マスタ[[#This Row],[海外定価
（20％）]]-商品マスタ[[#This Row],[仕入単価+国内送料]]</f>
        <v/>
      </c>
      <c r="W625" s="167">
        <f>ROUNDUP(商品マスタ[[#This Row],[仕入単価+国内送料]]/0.85,-1)</f>
        <v/>
      </c>
      <c r="X625" s="289">
        <f>商品マスタ[[#This Row],[国内定価
（15％）]]-商品マスタ[[#This Row],[仕入単価+国内送料]]</f>
        <v/>
      </c>
      <c r="Y625" s="139" t="n">
        <v>0.08</v>
      </c>
      <c r="Z625" s="167" t="n"/>
      <c r="AA625" s="167" t="n"/>
      <c r="AB625" s="167" t="n"/>
      <c r="AC625" s="293" t="n"/>
      <c r="AD625" s="167" t="n"/>
      <c r="AE625" s="167" t="n"/>
      <c r="AF625" s="167" t="n"/>
      <c r="AG625" s="144" t="n"/>
    </row>
    <row r="626" ht="18" customHeight="1" s="207">
      <c r="A626" s="166" t="inlineStr">
        <is>
          <t>加工品</t>
        </is>
      </c>
      <c r="B626" s="167" t="inlineStr">
        <is>
          <t>その他</t>
        </is>
      </c>
      <c r="C626" s="167" t="inlineStr">
        <is>
          <t>丸一大西食品（ベル食品）</t>
        </is>
      </c>
      <c r="D626" s="143">
        <f>"PRD_SNJ_"&amp;
_xlfn.XLOOKUP(商品マスタ[[#This Row],[仕入先]],テーブル1[仕入先名],テーブル1[仕入先コード],"XXX",0,1)&amp;
"_"&amp;
商品マスタ[[#This Row],[シリアル]]&amp;
"_"&amp;
TEXT(COUNTIFS(商品マスタ!$C$3:C626,商品マスタ[[#This Row],[仕入先]],商品マスタ!$E$3:E626,商品マスタ[[#This Row],[商品名]]), "00")</f>
        <v/>
      </c>
      <c r="E626" s="167" t="inlineStr">
        <is>
          <t>札幌スープカレーマイルド</t>
        </is>
      </c>
      <c r="F626" s="167">
        <f>IF(COUNTIFS($C$3:C626,商品マスタ[[#This Row],[仕入先]],$E$3:E626,商品マスタ[[#This Row],[商品名]]) = 1, 1,0)</f>
        <v/>
      </c>
      <c r="G626" s="133">
        <f>TEXT(SUMIF($C$3:C626,商品マスタ[[#This Row],[仕入先]],$F$3:F626), "0000")</f>
        <v/>
      </c>
      <c r="H626" s="167" t="inlineStr">
        <is>
          <t>個</t>
        </is>
      </c>
      <c r="I626" s="167" t="inlineStr">
        <is>
          <t>200ｇ</t>
        </is>
      </c>
      <c r="J626" s="167" t="inlineStr">
        <is>
          <t>200ｇ×20箱×2合</t>
        </is>
      </c>
      <c r="K626" s="167" t="n"/>
      <c r="L626" s="289" t="n">
        <v>385</v>
      </c>
      <c r="M626" s="157" t="n">
        <v>46052</v>
      </c>
      <c r="N626" s="289" t="n"/>
      <c r="O626" s="290">
        <f>IF(COUNT(商品マスタ[[#This Row],[参考上代
（税込)]]) &gt; 0, (商品マスタ[[#This Row],[参考上代
（税込)]]-商品マスタ[[#This Row],[国内定価
（15％）]])/(商品マスタ[[#This Row],[参考上代
（税込)]]/1.08), "")</f>
        <v/>
      </c>
      <c r="P626" s="136" t="n">
        <v>0.1</v>
      </c>
      <c r="Q626" s="289">
        <f>商品マスタ[[#This Row],[仕入
単価]]*商品マスタ[[#This Row],[標準国内送料率]]</f>
        <v/>
      </c>
      <c r="R626" s="289" t="n"/>
      <c r="S626" s="289">
        <f>IF(ISBLANK(商品マスタ[[#This Row],[実績
国内送料]]),商品マスタ[[#This Row],[標準国内送料]],)</f>
        <v/>
      </c>
      <c r="T626" s="289">
        <f>商品マスタ[[#This Row],[仕入
単価]]+商品マスタ[[#This Row],[国内送料]]</f>
        <v/>
      </c>
      <c r="U626" s="289">
        <f>ROUNDUP(商品マスタ[[#This Row],[仕入単価+国内送料]]/0.8,-1)</f>
        <v/>
      </c>
      <c r="V626" s="289">
        <f>商品マスタ[[#This Row],[海外定価
（20％）]]-商品マスタ[[#This Row],[仕入単価+国内送料]]</f>
        <v/>
      </c>
      <c r="W626" s="167">
        <f>ROUNDUP(商品マスタ[[#This Row],[仕入単価+国内送料]]/0.85,-1)</f>
        <v/>
      </c>
      <c r="X626" s="289">
        <f>商品マスタ[[#This Row],[国内定価
（15％）]]-商品マスタ[[#This Row],[仕入単価+国内送料]]</f>
        <v/>
      </c>
      <c r="Y626" s="139" t="n">
        <v>0.08</v>
      </c>
      <c r="Z626" s="167" t="n"/>
      <c r="AA626" s="167" t="n"/>
      <c r="AB626" s="167" t="n"/>
      <c r="AC626" s="293" t="n"/>
      <c r="AD626" s="167" t="n"/>
      <c r="AE626" s="167" t="n"/>
      <c r="AF626" s="167" t="n"/>
      <c r="AG626" s="144" t="n"/>
    </row>
    <row r="627" ht="18" customHeight="1" s="207">
      <c r="A627" s="166" t="inlineStr">
        <is>
          <t>加工品</t>
        </is>
      </c>
      <c r="B627" s="167" t="inlineStr">
        <is>
          <t>その他</t>
        </is>
      </c>
      <c r="C627" s="167" t="inlineStr">
        <is>
          <t>丸一大西食品（ベル食品）</t>
        </is>
      </c>
      <c r="D627" s="143">
        <f>"PRD_SNJ_"&amp;
_xlfn.XLOOKUP(商品マスタ[[#This Row],[仕入先]],テーブル1[仕入先名],テーブル1[仕入先コード],"XXX",0,1)&amp;
"_"&amp;
商品マスタ[[#This Row],[シリアル]]&amp;
"_"&amp;
TEXT(COUNTIFS(商品マスタ!$C$3:C627,商品マスタ[[#This Row],[仕入先]],商品マスタ!$E$3:E627,商品マスタ[[#This Row],[商品名]]), "00")</f>
        <v/>
      </c>
      <c r="E627" s="167" t="inlineStr">
        <is>
          <t>本場札幌スープカレーチキン</t>
        </is>
      </c>
      <c r="F627" s="167">
        <f>IF(COUNTIFS($C$3:C627,商品マスタ[[#This Row],[仕入先]],$E$3:E627,商品マスタ[[#This Row],[商品名]]) = 1, 1,0)</f>
        <v/>
      </c>
      <c r="G627" s="133">
        <f>TEXT(SUMIF($C$3:C627,商品マスタ[[#This Row],[仕入先]],$F$3:F627), "0000")</f>
        <v/>
      </c>
      <c r="H627" s="167" t="inlineStr">
        <is>
          <t>個</t>
        </is>
      </c>
      <c r="I627" s="167" t="inlineStr">
        <is>
          <t>350ｇ</t>
        </is>
      </c>
      <c r="J627" s="167" t="inlineStr">
        <is>
          <t>350ｇ×20箱×2合</t>
        </is>
      </c>
      <c r="K627" s="167" t="n"/>
      <c r="L627" s="289" t="n">
        <v>655</v>
      </c>
      <c r="M627" s="157" t="n">
        <v>46052</v>
      </c>
      <c r="N627" s="289" t="n"/>
      <c r="O627" s="290">
        <f>IF(COUNT(商品マスタ[[#This Row],[参考上代
（税込)]]) &gt; 0, (商品マスタ[[#This Row],[参考上代
（税込)]]-商品マスタ[[#This Row],[国内定価
（15％）]])/(商品マスタ[[#This Row],[参考上代
（税込)]]/1.08), "")</f>
        <v/>
      </c>
      <c r="P627" s="136" t="n">
        <v>0.1</v>
      </c>
      <c r="Q627" s="289">
        <f>商品マスタ[[#This Row],[仕入
単価]]*商品マスタ[[#This Row],[標準国内送料率]]</f>
        <v/>
      </c>
      <c r="R627" s="289" t="n"/>
      <c r="S627" s="289">
        <f>IF(ISBLANK(商品マスタ[[#This Row],[実績
国内送料]]),商品マスタ[[#This Row],[標準国内送料]],)</f>
        <v/>
      </c>
      <c r="T627" s="289">
        <f>商品マスタ[[#This Row],[仕入
単価]]+商品マスタ[[#This Row],[国内送料]]</f>
        <v/>
      </c>
      <c r="U627" s="289">
        <f>ROUNDUP(商品マスタ[[#This Row],[仕入単価+国内送料]]/0.8,-1)</f>
        <v/>
      </c>
      <c r="V627" s="289">
        <f>商品マスタ[[#This Row],[海外定価
（20％）]]-商品マスタ[[#This Row],[仕入単価+国内送料]]</f>
        <v/>
      </c>
      <c r="W627" s="167">
        <f>ROUNDUP(商品マスタ[[#This Row],[仕入単価+国内送料]]/0.85,-1)</f>
        <v/>
      </c>
      <c r="X627" s="289">
        <f>商品マスタ[[#This Row],[国内定価
（15％）]]-商品マスタ[[#This Row],[仕入単価+国内送料]]</f>
        <v/>
      </c>
      <c r="Y627" s="139" t="n">
        <v>0.08</v>
      </c>
      <c r="Z627" s="167" t="n"/>
      <c r="AA627" s="167" t="n"/>
      <c r="AB627" s="167" t="n"/>
      <c r="AC627" s="293" t="n"/>
      <c r="AD627" s="167" t="n"/>
      <c r="AE627" s="167" t="n"/>
      <c r="AF627" s="167" t="n"/>
      <c r="AG627" s="144" t="n"/>
    </row>
    <row r="628" ht="18" customHeight="1" s="207">
      <c r="A628" s="166" t="inlineStr">
        <is>
          <t>加工品</t>
        </is>
      </c>
      <c r="B628" s="167" t="inlineStr">
        <is>
          <t>その他</t>
        </is>
      </c>
      <c r="C628" s="167" t="inlineStr">
        <is>
          <t>丸一大西食品（ベル食品）</t>
        </is>
      </c>
      <c r="D628" s="143">
        <f>"PRD_SNJ_"&amp;
_xlfn.XLOOKUP(商品マスタ[[#This Row],[仕入先]],テーブル1[仕入先名],テーブル1[仕入先コード],"XXX",0,1)&amp;
"_"&amp;
商品マスタ[[#This Row],[シリアル]]&amp;
"_"&amp;
TEXT(COUNTIFS(商品マスタ!$C$3:C628,商品マスタ[[#This Row],[仕入先]],商品マスタ!$E$3:E628,商品マスタ[[#This Row],[商品名]]), "00")</f>
        <v/>
      </c>
      <c r="E628" s="167" t="inlineStr">
        <is>
          <t>札幌スープカリー木多郎ハンバーグ</t>
        </is>
      </c>
      <c r="F628" s="167">
        <f>IF(COUNTIFS($C$3:C628,商品マスタ[[#This Row],[仕入先]],$E$3:E628,商品マスタ[[#This Row],[商品名]]) = 1, 1,0)</f>
        <v/>
      </c>
      <c r="G628" s="133">
        <f>TEXT(SUMIF($C$3:C628,商品マスタ[[#This Row],[仕入先]],$F$3:F628), "0000")</f>
        <v/>
      </c>
      <c r="H628" s="167" t="inlineStr">
        <is>
          <t>個</t>
        </is>
      </c>
      <c r="I628" s="167" t="inlineStr">
        <is>
          <t>310ｇ</t>
        </is>
      </c>
      <c r="J628" s="167" t="inlineStr">
        <is>
          <t>310ｇ×20箱×2合</t>
        </is>
      </c>
      <c r="K628" s="167" t="n"/>
      <c r="L628" s="289" t="n">
        <v>655</v>
      </c>
      <c r="M628" s="157" t="n">
        <v>46052</v>
      </c>
      <c r="N628" s="289" t="n"/>
      <c r="O628" s="290">
        <f>IF(COUNT(商品マスタ[[#This Row],[参考上代
（税込)]]) &gt; 0, (商品マスタ[[#This Row],[参考上代
（税込)]]-商品マスタ[[#This Row],[国内定価
（15％）]])/(商品マスタ[[#This Row],[参考上代
（税込)]]/1.08), "")</f>
        <v/>
      </c>
      <c r="P628" s="136" t="n">
        <v>0.1</v>
      </c>
      <c r="Q628" s="289">
        <f>商品マスタ[[#This Row],[仕入
単価]]*商品マスタ[[#This Row],[標準国内送料率]]</f>
        <v/>
      </c>
      <c r="R628" s="289" t="n"/>
      <c r="S628" s="289">
        <f>IF(ISBLANK(商品マスタ[[#This Row],[実績
国内送料]]),商品マスタ[[#This Row],[標準国内送料]],)</f>
        <v/>
      </c>
      <c r="T628" s="289">
        <f>商品マスタ[[#This Row],[仕入
単価]]+商品マスタ[[#This Row],[国内送料]]</f>
        <v/>
      </c>
      <c r="U628" s="289">
        <f>ROUNDUP(商品マスタ[[#This Row],[仕入単価+国内送料]]/0.8,-1)</f>
        <v/>
      </c>
      <c r="V628" s="289">
        <f>商品マスタ[[#This Row],[海外定価
（20％）]]-商品マスタ[[#This Row],[仕入単価+国内送料]]</f>
        <v/>
      </c>
      <c r="W628" s="167">
        <f>ROUNDUP(商品マスタ[[#This Row],[仕入単価+国内送料]]/0.85,-1)</f>
        <v/>
      </c>
      <c r="X628" s="289">
        <f>商品マスタ[[#This Row],[国内定価
（15％）]]-商品マスタ[[#This Row],[仕入単価+国内送料]]</f>
        <v/>
      </c>
      <c r="Y628" s="139" t="n">
        <v>0.08</v>
      </c>
      <c r="Z628" s="167" t="n"/>
      <c r="AA628" s="167" t="n"/>
      <c r="AB628" s="167" t="n"/>
      <c r="AC628" s="293" t="n"/>
      <c r="AD628" s="167" t="n"/>
      <c r="AE628" s="167" t="n"/>
      <c r="AF628" s="167" t="n"/>
      <c r="AG628" s="144" t="n"/>
    </row>
    <row r="629" ht="18" customHeight="1" s="207">
      <c r="A629" s="166" t="inlineStr">
        <is>
          <t>加工品</t>
        </is>
      </c>
      <c r="B629" s="167" t="inlineStr">
        <is>
          <t>その他</t>
        </is>
      </c>
      <c r="C629" s="167" t="inlineStr">
        <is>
          <t>丸一大西食品（ベル食品）</t>
        </is>
      </c>
      <c r="D629" s="143">
        <f>"PRD_SNJ_"&amp;
_xlfn.XLOOKUP(商品マスタ[[#This Row],[仕入先]],テーブル1[仕入先名],テーブル1[仕入先コード],"XXX",0,1)&amp;
"_"&amp;
商品マスタ[[#This Row],[シリアル]]&amp;
"_"&amp;
TEXT(COUNTIFS(商品マスタ!$C$3:C629,商品マスタ[[#This Row],[仕入先]],商品マスタ!$E$3:E629,商品マスタ[[#This Row],[商品名]]), "00")</f>
        <v/>
      </c>
      <c r="E629" s="167" t="inlineStr">
        <is>
          <t>本日のスープカレーのスープ</t>
        </is>
      </c>
      <c r="F629" s="167">
        <f>IF(COUNTIFS($C$3:C629,商品マスタ[[#This Row],[仕入先]],$E$3:E629,商品マスタ[[#This Row],[商品名]]) = 1, 1,0)</f>
        <v/>
      </c>
      <c r="G629" s="133">
        <f>TEXT(SUMIF($C$3:C629,商品マスタ[[#This Row],[仕入先]],$F$3:F629), "0000")</f>
        <v/>
      </c>
      <c r="H629" s="167" t="inlineStr">
        <is>
          <t>個</t>
        </is>
      </c>
      <c r="I629" s="167" t="inlineStr">
        <is>
          <t>201ｇ</t>
        </is>
      </c>
      <c r="J629" s="167" t="inlineStr">
        <is>
          <t>201ｇ×20箱×2合</t>
        </is>
      </c>
      <c r="K629" s="167" t="n"/>
      <c r="L629" s="289" t="n">
        <v>450</v>
      </c>
      <c r="M629" s="157" t="n">
        <v>46052</v>
      </c>
      <c r="N629" s="289" t="n"/>
      <c r="O629" s="290">
        <f>IF(COUNT(商品マスタ[[#This Row],[参考上代
（税込)]]) &gt; 0, (商品マスタ[[#This Row],[参考上代
（税込)]]-商品マスタ[[#This Row],[国内定価
（15％）]])/(商品マスタ[[#This Row],[参考上代
（税込)]]/1.08), "")</f>
        <v/>
      </c>
      <c r="P629" s="136" t="n">
        <v>0.1</v>
      </c>
      <c r="Q629" s="289">
        <f>商品マスタ[[#This Row],[仕入
単価]]*商品マスタ[[#This Row],[標準国内送料率]]</f>
        <v/>
      </c>
      <c r="R629" s="289" t="n"/>
      <c r="S629" s="289">
        <f>IF(ISBLANK(商品マスタ[[#This Row],[実績
国内送料]]),商品マスタ[[#This Row],[標準国内送料]],)</f>
        <v/>
      </c>
      <c r="T629" s="289">
        <f>商品マスタ[[#This Row],[仕入
単価]]+商品マスタ[[#This Row],[国内送料]]</f>
        <v/>
      </c>
      <c r="U629" s="289">
        <f>ROUNDUP(商品マスタ[[#This Row],[仕入単価+国内送料]]/0.8,-1)</f>
        <v/>
      </c>
      <c r="V629" s="289">
        <f>商品マスタ[[#This Row],[海外定価
（20％）]]-商品マスタ[[#This Row],[仕入単価+国内送料]]</f>
        <v/>
      </c>
      <c r="W629" s="167">
        <f>ROUNDUP(商品マスタ[[#This Row],[仕入単価+国内送料]]/0.85,-1)</f>
        <v/>
      </c>
      <c r="X629" s="289">
        <f>商品マスタ[[#This Row],[国内定価
（15％）]]-商品マスタ[[#This Row],[仕入単価+国内送料]]</f>
        <v/>
      </c>
      <c r="Y629" s="139" t="n">
        <v>0.08</v>
      </c>
      <c r="Z629" s="167" t="n"/>
      <c r="AA629" s="167" t="n"/>
      <c r="AB629" s="167" t="n"/>
      <c r="AC629" s="293" t="n"/>
      <c r="AD629" s="167" t="n"/>
      <c r="AE629" s="167" t="n"/>
      <c r="AF629" s="167" t="n"/>
      <c r="AG629" s="144" t="n"/>
    </row>
    <row r="630" ht="18" customHeight="1" s="207">
      <c r="A630" s="166" t="inlineStr">
        <is>
          <t>青果</t>
        </is>
      </c>
      <c r="B630" s="167" t="inlineStr">
        <is>
          <t>野菜</t>
        </is>
      </c>
      <c r="C630" s="167" t="inlineStr">
        <is>
          <t>有限会社水戸青果</t>
        </is>
      </c>
      <c r="D630" s="143">
        <f>"PRD_SNJ_"&amp;
_xlfn.XLOOKUP(商品マスタ[[#This Row],[仕入先]],テーブル1[仕入先名],テーブル1[仕入先コード],"XXX",0,1)&amp;
"_"&amp;
商品マスタ[[#This Row],[シリアル]]&amp;
"_"&amp;
TEXT(COUNTIFS(商品マスタ!$C$3:C630,商品マスタ[[#This Row],[仕入先]],商品マスタ!$E$3:E630,商品マスタ[[#This Row],[商品名]]), "00")</f>
        <v/>
      </c>
      <c r="E630" s="167" t="inlineStr">
        <is>
          <t>アスパラガスGR・Lサイズ</t>
        </is>
      </c>
      <c r="F630" s="167">
        <f>IF(COUNTIFS($C$3:C630,商品マスタ[[#This Row],[仕入先]],$E$3:E630,商品マスタ[[#This Row],[商品名]]) = 1, 1,0)</f>
        <v/>
      </c>
      <c r="G630" s="133">
        <f>TEXT(SUMIF($C$3:C630,商品マスタ[[#This Row],[仕入先]],$F$3:F630), "0000")</f>
        <v/>
      </c>
      <c r="H630" s="167" t="inlineStr">
        <is>
          <t>束</t>
        </is>
      </c>
      <c r="I630" s="167" t="inlineStr">
        <is>
          <t>150g</t>
        </is>
      </c>
      <c r="J630" s="167" t="n"/>
      <c r="K630" s="167" t="n"/>
      <c r="L630" s="289" t="n">
        <v>500</v>
      </c>
      <c r="M630" s="157" t="n">
        <v>46056</v>
      </c>
      <c r="N630" s="289" t="n"/>
      <c r="O630" s="290">
        <f>IF(COUNT(商品マスタ[[#This Row],[参考上代
（税込)]]) &gt; 0, (商品マスタ[[#This Row],[参考上代
（税込)]]-商品マスタ[[#This Row],[国内定価
（15％）]])/(商品マスタ[[#This Row],[参考上代
（税込)]]/1.08), "")</f>
        <v/>
      </c>
      <c r="P630" s="136" t="n">
        <v>0.1</v>
      </c>
      <c r="Q630" s="289">
        <f>商品マスタ[[#This Row],[仕入
単価]]*商品マスタ[[#This Row],[標準国内送料率]]</f>
        <v/>
      </c>
      <c r="R630" s="289" t="n"/>
      <c r="S630" s="289">
        <f>IF(ISBLANK(商品マスタ[[#This Row],[実績
国内送料]]),商品マスタ[[#This Row],[標準国内送料]],)</f>
        <v/>
      </c>
      <c r="T630" s="289">
        <f>商品マスタ[[#This Row],[仕入
単価]]+商品マスタ[[#This Row],[国内送料]]</f>
        <v/>
      </c>
      <c r="U630" s="289">
        <f>ROUNDUP(商品マスタ[[#This Row],[仕入単価+国内送料]]/0.8,-1)</f>
        <v/>
      </c>
      <c r="V630" s="289">
        <f>商品マスタ[[#This Row],[海外定価
（20％）]]-商品マスタ[[#This Row],[仕入単価+国内送料]]</f>
        <v/>
      </c>
      <c r="W630" s="167">
        <f>ROUNDUP(商品マスタ[[#This Row],[仕入単価+国内送料]]/0.85,-1)</f>
        <v/>
      </c>
      <c r="X630" s="289">
        <f>商品マスタ[[#This Row],[国内定価
（15％）]]-商品マスタ[[#This Row],[仕入単価+国内送料]]</f>
        <v/>
      </c>
      <c r="Y630" s="139" t="n">
        <v>0.08</v>
      </c>
      <c r="Z630" s="167" t="n"/>
      <c r="AA630" s="167" t="inlineStr">
        <is>
          <t>冷蔵</t>
        </is>
      </c>
      <c r="AB630" s="167" t="n"/>
      <c r="AC630" s="293" t="n"/>
      <c r="AD630" s="167" t="inlineStr">
        <is>
          <t>グリーンアスパラ Lサイズ 1束150g</t>
        </is>
      </c>
      <c r="AE630" s="167" t="n"/>
      <c r="AF630" s="167" t="n"/>
      <c r="AG630" s="144" t="n"/>
    </row>
    <row r="631" ht="18" customHeight="1" s="207">
      <c r="A631" s="166" t="inlineStr">
        <is>
          <t>青果</t>
        </is>
      </c>
      <c r="B631" s="167" t="inlineStr">
        <is>
          <t>野菜</t>
        </is>
      </c>
      <c r="C631" s="167" t="inlineStr">
        <is>
          <t>有限会社水戸青果</t>
        </is>
      </c>
      <c r="D631" s="143">
        <f>"PRD_SNJ_"&amp;
_xlfn.XLOOKUP(商品マスタ[[#This Row],[仕入先]],テーブル1[仕入先名],テーブル1[仕入先コード],"XXX",0,1)&amp;
"_"&amp;
商品マスタ[[#This Row],[シリアル]]&amp;
"_"&amp;
TEXT(COUNTIFS(商品マスタ!$C$3:C631,商品マスタ[[#This Row],[仕入先]],商品マスタ!$E$3:E631,商品マスタ[[#This Row],[商品名]]), "00")</f>
        <v/>
      </c>
      <c r="E631" s="167" t="inlineStr">
        <is>
          <t>熟成じゃが芋（北海黄金・男爵・北あかり）</t>
        </is>
      </c>
      <c r="F631" s="167">
        <f>IF(COUNTIFS($C$3:C631,商品マスタ[[#This Row],[仕入先]],$E$3:E631,商品マスタ[[#This Row],[商品名]]) = 1, 1,0)</f>
        <v/>
      </c>
      <c r="G631" s="133">
        <f>TEXT(SUMIF($C$3:C631,商品マスタ[[#This Row],[仕入先]],$F$3:F631), "0000")</f>
        <v/>
      </c>
      <c r="H631" s="167" t="inlineStr">
        <is>
          <t>kg</t>
        </is>
      </c>
      <c r="I631" s="167" t="inlineStr">
        <is>
          <t>1kg</t>
        </is>
      </c>
      <c r="J631" s="167" t="n"/>
      <c r="K631" s="167" t="n"/>
      <c r="L631" s="289" t="n">
        <v>550</v>
      </c>
      <c r="M631" s="157" t="n">
        <v>46056</v>
      </c>
      <c r="N631" s="289" t="n"/>
      <c r="O631" s="290">
        <f>IF(COUNT(商品マスタ[[#This Row],[参考上代
（税込)]]) &gt; 0, (商品マスタ[[#This Row],[参考上代
（税込)]]-商品マスタ[[#This Row],[国内定価
（15％）]])/(商品マスタ[[#This Row],[参考上代
（税込)]]/1.08), "")</f>
        <v/>
      </c>
      <c r="P631" s="136" t="n">
        <v>0.1</v>
      </c>
      <c r="Q631" s="289">
        <f>商品マスタ[[#This Row],[仕入
単価]]*商品マスタ[[#This Row],[標準国内送料率]]</f>
        <v/>
      </c>
      <c r="R631" s="289" t="n"/>
      <c r="S631" s="289">
        <f>IF(ISBLANK(商品マスタ[[#This Row],[実績
国内送料]]),商品マスタ[[#This Row],[標準国内送料]],)</f>
        <v/>
      </c>
      <c r="T631" s="289">
        <f>商品マスタ[[#This Row],[仕入
単価]]+商品マスタ[[#This Row],[国内送料]]</f>
        <v/>
      </c>
      <c r="U631" s="289">
        <f>ROUNDUP(商品マスタ[[#This Row],[仕入単価+国内送料]]/0.8,-1)</f>
        <v/>
      </c>
      <c r="V631" s="289">
        <f>商品マスタ[[#This Row],[海外定価
（20％）]]-商品マスタ[[#This Row],[仕入単価+国内送料]]</f>
        <v/>
      </c>
      <c r="W631" s="167">
        <f>ROUNDUP(商品マスタ[[#This Row],[仕入単価+国内送料]]/0.85,-1)</f>
        <v/>
      </c>
      <c r="X631" s="289">
        <f>商品マスタ[[#This Row],[国内定価
（15％）]]-商品マスタ[[#This Row],[仕入単価+国内送料]]</f>
        <v/>
      </c>
      <c r="Y631" s="139" t="n">
        <v>0.08</v>
      </c>
      <c r="Z631" s="167" t="n"/>
      <c r="AA631" s="167" t="inlineStr">
        <is>
          <t>冷蔵</t>
        </is>
      </c>
      <c r="AB631" s="167" t="n"/>
      <c r="AC631" s="293" t="n"/>
      <c r="AD631" s="167" t="inlineStr">
        <is>
          <t>3品種（北海黄金・男爵・北あかり）から選択</t>
        </is>
      </c>
      <c r="AE631" s="167" t="n"/>
      <c r="AF631" s="167" t="n"/>
      <c r="AG631" s="144" t="n"/>
    </row>
    <row r="632" ht="18" customHeight="1" s="207">
      <c r="A632" s="166" t="inlineStr">
        <is>
          <t>青果</t>
        </is>
      </c>
      <c r="B632" s="167" t="inlineStr">
        <is>
          <t>野菜</t>
        </is>
      </c>
      <c r="C632" s="167" t="inlineStr">
        <is>
          <t>有限会社水戸青果</t>
        </is>
      </c>
      <c r="D632" s="143">
        <f>"PRD_SNJ_"&amp;
_xlfn.XLOOKUP(商品マスタ[[#This Row],[仕入先]],テーブル1[仕入先名],テーブル1[仕入先コード],"XXX",0,1)&amp;
"_"&amp;
商品マスタ[[#This Row],[シリアル]]&amp;
"_"&amp;
TEXT(COUNTIFS(商品マスタ!$C$3:C632,商品マスタ[[#This Row],[仕入先]],商品マスタ!$E$3:E632,商品マスタ[[#This Row],[商品名]]), "00")</f>
        <v/>
      </c>
      <c r="E632" s="167" t="inlineStr">
        <is>
          <t>あつまいも</t>
        </is>
      </c>
      <c r="F632" s="167">
        <f>IF(COUNTIFS($C$3:C632,商品マスタ[[#This Row],[仕入先]],$E$3:E632,商品マスタ[[#This Row],[商品名]]) = 1, 1,0)</f>
        <v/>
      </c>
      <c r="G632" s="133">
        <f>TEXT(SUMIF($C$3:C632,商品マスタ[[#This Row],[仕入先]],$F$3:F632), "0000")</f>
        <v/>
      </c>
      <c r="H632" s="167" t="inlineStr">
        <is>
          <t>kg</t>
        </is>
      </c>
      <c r="I632" s="167" t="inlineStr">
        <is>
          <t>1kg</t>
        </is>
      </c>
      <c r="J632" s="167" t="n"/>
      <c r="K632" s="167" t="n"/>
      <c r="L632" s="289" t="n">
        <v>440</v>
      </c>
      <c r="M632" s="157" t="n">
        <v>46092</v>
      </c>
      <c r="N632" s="289" t="n"/>
      <c r="O632" s="290">
        <f>IF(COUNT(商品マスタ[[#This Row],[参考上代
（税込)]]) &gt; 0, (商品マスタ[[#This Row],[参考上代
（税込)]]-商品マスタ[[#This Row],[国内定価
（15％）]])/(商品マスタ[[#This Row],[参考上代
（税込)]]/1.08), "")</f>
        <v/>
      </c>
      <c r="P632" s="136" t="n">
        <v>0.1</v>
      </c>
      <c r="Q632" s="289">
        <f>商品マスタ[[#This Row],[仕入
単価]]*商品マスタ[[#This Row],[標準国内送料率]]</f>
        <v/>
      </c>
      <c r="R632" s="289" t="n"/>
      <c r="S632" s="289">
        <f>IF(ISBLANK(商品マスタ[[#This Row],[実績
国内送料]]),商品マスタ[[#This Row],[標準国内送料]],)</f>
        <v/>
      </c>
      <c r="T632" s="289">
        <f>商品マスタ[[#This Row],[仕入
単価]]+商品マスタ[[#This Row],[国内送料]]</f>
        <v/>
      </c>
      <c r="U632" s="289">
        <f>ROUNDUP(商品マスタ[[#This Row],[仕入単価+国内送料]]/0.8,-1)</f>
        <v/>
      </c>
      <c r="V632" s="289">
        <f>商品マスタ[[#This Row],[海外定価
（20％）]]-商品マスタ[[#This Row],[仕入単価+国内送料]]</f>
        <v/>
      </c>
      <c r="W632" s="167">
        <f>ROUNDUP(商品マスタ[[#This Row],[仕入単価+国内送料]]/0.85,-1)</f>
        <v/>
      </c>
      <c r="X632" s="289">
        <f>商品マスタ[[#This Row],[国内定価
（15％）]]-商品マスタ[[#This Row],[仕入単価+国内送料]]</f>
        <v/>
      </c>
      <c r="Y632" s="139" t="n">
        <v>0.08</v>
      </c>
      <c r="Z632" s="167" t="n"/>
      <c r="AA632" s="167" t="n"/>
      <c r="AB632" s="167" t="n"/>
      <c r="AC632" s="293" t="n"/>
      <c r="AD632" s="167" t="n"/>
      <c r="AE632" s="167" t="n"/>
      <c r="AF632" s="167" t="n"/>
      <c r="AG632" s="144" t="n"/>
    </row>
    <row r="633" ht="18" customHeight="1" s="207">
      <c r="A633" s="166" t="inlineStr">
        <is>
          <t>加工品</t>
        </is>
      </c>
      <c r="B633" s="167" t="inlineStr">
        <is>
          <t>その他</t>
        </is>
      </c>
      <c r="C633" s="167" t="inlineStr">
        <is>
          <t>有限会社水戸青果</t>
        </is>
      </c>
      <c r="D633" s="143">
        <f>"PRD_SNJ_"&amp;
_xlfn.XLOOKUP(商品マスタ[[#This Row],[仕入先]],テーブル1[仕入先名],テーブル1[仕入先コード],"XXX",0,1)&amp;
"_"&amp;
商品マスタ[[#This Row],[シリアル]]&amp;
"_"&amp;
TEXT(COUNTIFS(商品マスタ!$C$3:C633,商品マスタ[[#This Row],[仕入先]],商品マスタ!$E$3:E633,商品マスタ[[#This Row],[商品名]]), "00")</f>
        <v/>
      </c>
      <c r="E633" s="167" t="inlineStr">
        <is>
          <t>ホワイトアスパラピクルス</t>
        </is>
      </c>
      <c r="F633" s="167">
        <f>IF(COUNTIFS($C$3:C633,商品マスタ[[#This Row],[仕入先]],$E$3:E633,商品マスタ[[#This Row],[商品名]]) = 1, 1,0)</f>
        <v/>
      </c>
      <c r="G633" s="133">
        <f>TEXT(SUMIF($C$3:C633,商品マスタ[[#This Row],[仕入先]],$F$3:F633), "0000")</f>
        <v/>
      </c>
      <c r="H633" s="167" t="inlineStr">
        <is>
          <t>缶</t>
        </is>
      </c>
      <c r="I633" s="167" t="inlineStr">
        <is>
          <t>120g</t>
        </is>
      </c>
      <c r="J633" s="167" t="n"/>
      <c r="K633" s="167" t="n"/>
      <c r="L633" s="289" t="n">
        <v>900</v>
      </c>
      <c r="M633" s="157" t="n">
        <v>46056</v>
      </c>
      <c r="N633" s="289" t="n"/>
      <c r="O633" s="290">
        <f>IF(COUNT(商品マスタ[[#This Row],[参考上代
（税込)]]) &gt; 0, (商品マスタ[[#This Row],[参考上代
（税込)]]-商品マスタ[[#This Row],[国内定価
（15％）]])/(商品マスタ[[#This Row],[参考上代
（税込)]]/1.08), "")</f>
        <v/>
      </c>
      <c r="P633" s="136" t="n">
        <v>0.1</v>
      </c>
      <c r="Q633" s="289">
        <f>商品マスタ[[#This Row],[仕入
単価]]*商品マスタ[[#This Row],[標準国内送料率]]</f>
        <v/>
      </c>
      <c r="R633" s="289" t="n"/>
      <c r="S633" s="289">
        <f>IF(ISBLANK(商品マスタ[[#This Row],[実績
国内送料]]),商品マスタ[[#This Row],[標準国内送料]],)</f>
        <v/>
      </c>
      <c r="T633" s="289">
        <f>商品マスタ[[#This Row],[仕入
単価]]+商品マスタ[[#This Row],[国内送料]]</f>
        <v/>
      </c>
      <c r="U633" s="289">
        <f>ROUNDUP(商品マスタ[[#This Row],[仕入単価+国内送料]]/0.8,-1)</f>
        <v/>
      </c>
      <c r="V633" s="289">
        <f>商品マスタ[[#This Row],[海外定価
（20％）]]-商品マスタ[[#This Row],[仕入単価+国内送料]]</f>
        <v/>
      </c>
      <c r="W633" s="167">
        <f>ROUNDUP(商品マスタ[[#This Row],[仕入単価+国内送料]]/0.85,-1)</f>
        <v/>
      </c>
      <c r="X633" s="289">
        <f>商品マスタ[[#This Row],[国内定価
（15％）]]-商品マスタ[[#This Row],[仕入単価+国内送料]]</f>
        <v/>
      </c>
      <c r="Y633" s="139" t="n">
        <v>0.08</v>
      </c>
      <c r="Z633" s="167" t="n"/>
      <c r="AA633" s="167" t="inlineStr">
        <is>
          <t>常温</t>
        </is>
      </c>
      <c r="AB633" s="167" t="n"/>
      <c r="AC633" s="293" t="n"/>
      <c r="AD633" s="167" t="inlineStr">
        <is>
          <t>缶詰タイプ</t>
        </is>
      </c>
      <c r="AE633" s="167" t="n"/>
      <c r="AF633" s="167" t="n"/>
      <c r="AG633" s="144" t="n"/>
    </row>
    <row r="634" ht="18" customHeight="1" s="207">
      <c r="A634" s="166" t="inlineStr">
        <is>
          <t>加工品</t>
        </is>
      </c>
      <c r="B634" s="167" t="inlineStr">
        <is>
          <t>その他</t>
        </is>
      </c>
      <c r="C634" s="167" t="inlineStr">
        <is>
          <t>有限会社水戸青果</t>
        </is>
      </c>
      <c r="D634" s="143">
        <f>"PRD_SNJ_"&amp;
_xlfn.XLOOKUP(商品マスタ[[#This Row],[仕入先]],テーブル1[仕入先名],テーブル1[仕入先コード],"XXX",0,1)&amp;
"_"&amp;
商品マスタ[[#This Row],[シリアル]]&amp;
"_"&amp;
TEXT(COUNTIFS(商品マスタ!$C$3:C634,商品マスタ[[#This Row],[仕入先]],商品マスタ!$E$3:E634,商品マスタ[[#This Row],[商品名]]), "00")</f>
        <v/>
      </c>
      <c r="E634" s="167" t="inlineStr">
        <is>
          <t>レトルトかぼちゃスープ</t>
        </is>
      </c>
      <c r="F634" s="167">
        <f>IF(COUNTIFS($C$3:C634,商品マスタ[[#This Row],[仕入先]],$E$3:E634,商品マスタ[[#This Row],[商品名]]) = 1, 1,0)</f>
        <v/>
      </c>
      <c r="G634" s="133">
        <f>TEXT(SUMIF($C$3:C634,商品マスタ[[#This Row],[仕入先]],$F$3:F634), "0000")</f>
        <v/>
      </c>
      <c r="H634" s="167" t="inlineStr">
        <is>
          <t>パック</t>
        </is>
      </c>
      <c r="I634" s="167" t="n"/>
      <c r="J634" s="167" t="n"/>
      <c r="K634" s="167" t="n"/>
      <c r="L634" s="289" t="n">
        <v>800</v>
      </c>
      <c r="M634" s="157" t="n">
        <v>46056</v>
      </c>
      <c r="N634" s="289" t="n"/>
      <c r="O634" s="290">
        <f>IF(COUNT(商品マスタ[[#This Row],[参考上代
（税込)]]) &gt; 0, (商品マスタ[[#This Row],[参考上代
（税込)]]-商品マスタ[[#This Row],[国内定価
（15％）]])/(商品マスタ[[#This Row],[参考上代
（税込)]]/1.08), "")</f>
        <v/>
      </c>
      <c r="P634" s="136" t="n">
        <v>0.1</v>
      </c>
      <c r="Q634" s="289">
        <f>商品マスタ[[#This Row],[仕入
単価]]*商品マスタ[[#This Row],[標準国内送料率]]</f>
        <v/>
      </c>
      <c r="R634" s="289" t="n"/>
      <c r="S634" s="289">
        <f>IF(ISBLANK(商品マスタ[[#This Row],[実績
国内送料]]),商品マスタ[[#This Row],[標準国内送料]],)</f>
        <v/>
      </c>
      <c r="T634" s="289">
        <f>商品マスタ[[#This Row],[仕入
単価]]+商品マスタ[[#This Row],[国内送料]]</f>
        <v/>
      </c>
      <c r="U634" s="289">
        <f>ROUNDUP(商品マスタ[[#This Row],[仕入単価+国内送料]]/0.8,-1)</f>
        <v/>
      </c>
      <c r="V634" s="289">
        <f>商品マスタ[[#This Row],[海外定価
（20％）]]-商品マスタ[[#This Row],[仕入単価+国内送料]]</f>
        <v/>
      </c>
      <c r="W634" s="167">
        <f>ROUNDUP(商品マスタ[[#This Row],[仕入単価+国内送料]]/0.85,-1)</f>
        <v/>
      </c>
      <c r="X634" s="289">
        <f>商品マスタ[[#This Row],[国内定価
（15％）]]-商品マスタ[[#This Row],[仕入単価+国内送料]]</f>
        <v/>
      </c>
      <c r="Y634" s="139" t="n">
        <v>0.08</v>
      </c>
      <c r="Z634" s="167" t="n"/>
      <c r="AA634" s="167" t="inlineStr">
        <is>
          <t>常温</t>
        </is>
      </c>
      <c r="AB634" s="167" t="n"/>
      <c r="AC634" s="293" t="n"/>
      <c r="AD634" s="167" t="n"/>
      <c r="AE634" s="167" t="n"/>
      <c r="AF634" s="167" t="n"/>
      <c r="AG634" s="144" t="n"/>
    </row>
    <row r="635" ht="18" customHeight="1" s="207">
      <c r="A635" s="166" t="inlineStr">
        <is>
          <t>加工品</t>
        </is>
      </c>
      <c r="B635" s="167" t="inlineStr">
        <is>
          <t>その他</t>
        </is>
      </c>
      <c r="C635" s="167" t="inlineStr">
        <is>
          <t>有限会社水戸青果</t>
        </is>
      </c>
      <c r="D635" s="143">
        <f>"PRD_SNJ_"&amp;
_xlfn.XLOOKUP(商品マスタ[[#This Row],[仕入先]],テーブル1[仕入先名],テーブル1[仕入先コード],"XXX",0,1)&amp;
"_"&amp;
商品マスタ[[#This Row],[シリアル]]&amp;
"_"&amp;
TEXT(COUNTIFS(商品マスタ!$C$3:C635,商品マスタ[[#This Row],[仕入先]],商品マスタ!$E$3:E635,商品マスタ[[#This Row],[商品名]]), "00")</f>
        <v/>
      </c>
      <c r="E635" s="167" t="inlineStr">
        <is>
          <t>レトルト大根スープ</t>
        </is>
      </c>
      <c r="F635" s="167">
        <f>IF(COUNTIFS($C$3:C635,商品マスタ[[#This Row],[仕入先]],$E$3:E635,商品マスタ[[#This Row],[商品名]]) = 1, 1,0)</f>
        <v/>
      </c>
      <c r="G635" s="133">
        <f>TEXT(SUMIF($C$3:C635,商品マスタ[[#This Row],[仕入先]],$F$3:F635), "0000")</f>
        <v/>
      </c>
      <c r="H635" s="167" t="inlineStr">
        <is>
          <t>パック</t>
        </is>
      </c>
      <c r="I635" s="167" t="n"/>
      <c r="J635" s="167" t="n"/>
      <c r="K635" s="167" t="n"/>
      <c r="L635" s="289" t="n">
        <v>800</v>
      </c>
      <c r="M635" s="157" t="n">
        <v>46056</v>
      </c>
      <c r="N635" s="289" t="n"/>
      <c r="O635" s="290">
        <f>IF(COUNT(商品マスタ[[#This Row],[参考上代
（税込)]]) &gt; 0, (商品マスタ[[#This Row],[参考上代
（税込)]]-商品マスタ[[#This Row],[国内定価
（15％）]])/(商品マスタ[[#This Row],[参考上代
（税込)]]/1.08), "")</f>
        <v/>
      </c>
      <c r="P635" s="136" t="n">
        <v>0.1</v>
      </c>
      <c r="Q635" s="289">
        <f>商品マスタ[[#This Row],[仕入
単価]]*商品マスタ[[#This Row],[標準国内送料率]]</f>
        <v/>
      </c>
      <c r="R635" s="289" t="n"/>
      <c r="S635" s="289">
        <f>IF(ISBLANK(商品マスタ[[#This Row],[実績
国内送料]]),商品マスタ[[#This Row],[標準国内送料]],)</f>
        <v/>
      </c>
      <c r="T635" s="289">
        <f>商品マスタ[[#This Row],[仕入
単価]]+商品マスタ[[#This Row],[国内送料]]</f>
        <v/>
      </c>
      <c r="U635" s="289">
        <f>ROUNDUP(商品マスタ[[#This Row],[仕入単価+国内送料]]/0.8,-1)</f>
        <v/>
      </c>
      <c r="V635" s="289">
        <f>商品マスタ[[#This Row],[海外定価
（20％）]]-商品マスタ[[#This Row],[仕入単価+国内送料]]</f>
        <v/>
      </c>
      <c r="W635" s="167">
        <f>ROUNDUP(商品マスタ[[#This Row],[仕入単価+国内送料]]/0.85,-1)</f>
        <v/>
      </c>
      <c r="X635" s="289">
        <f>商品マスタ[[#This Row],[国内定価
（15％）]]-商品マスタ[[#This Row],[仕入単価+国内送料]]</f>
        <v/>
      </c>
      <c r="Y635" s="139" t="n">
        <v>0.08</v>
      </c>
      <c r="Z635" s="167" t="n"/>
      <c r="AA635" s="167" t="inlineStr">
        <is>
          <t>常温</t>
        </is>
      </c>
      <c r="AB635" s="167" t="n"/>
      <c r="AC635" s="293" t="n"/>
      <c r="AD635" s="167" t="n"/>
      <c r="AE635" s="167" t="n"/>
      <c r="AF635" s="167" t="n"/>
      <c r="AG635" s="144" t="n"/>
    </row>
    <row r="636" ht="18" customHeight="1" s="207">
      <c r="A636" s="166" t="inlineStr">
        <is>
          <t>加工品</t>
        </is>
      </c>
      <c r="B636" s="167" t="inlineStr">
        <is>
          <t>その他</t>
        </is>
      </c>
      <c r="C636" s="167" t="inlineStr">
        <is>
          <t>有限会社水戸青果</t>
        </is>
      </c>
      <c r="D636" s="143">
        <f>"PRD_SNJ_"&amp;
_xlfn.XLOOKUP(商品マスタ[[#This Row],[仕入先]],テーブル1[仕入先名],テーブル1[仕入先コード],"XXX",0,1)&amp;
"_"&amp;
商品マスタ[[#This Row],[シリアル]]&amp;
"_"&amp;
TEXT(COUNTIFS(商品マスタ!$C$3:C636,商品マスタ[[#This Row],[仕入先]],商品マスタ!$E$3:E636,商品マスタ[[#This Row],[商品名]]), "00")</f>
        <v/>
      </c>
      <c r="E636" s="167" t="inlineStr">
        <is>
          <t>レトルトインカのめざめスープ</t>
        </is>
      </c>
      <c r="F636" s="167">
        <f>IF(COUNTIFS($C$3:C636,商品マスタ[[#This Row],[仕入先]],$E$3:E636,商品マスタ[[#This Row],[商品名]]) = 1, 1,0)</f>
        <v/>
      </c>
      <c r="G636" s="133">
        <f>TEXT(SUMIF($C$3:C636,商品マスタ[[#This Row],[仕入先]],$F$3:F636), "0000")</f>
        <v/>
      </c>
      <c r="H636" s="167" t="inlineStr">
        <is>
          <t>パック</t>
        </is>
      </c>
      <c r="I636" s="167" t="n"/>
      <c r="J636" s="167" t="n"/>
      <c r="K636" s="167" t="n"/>
      <c r="L636" s="289" t="n">
        <v>800</v>
      </c>
      <c r="M636" s="157" t="n">
        <v>46056</v>
      </c>
      <c r="N636" s="289" t="n"/>
      <c r="O636" s="290">
        <f>IF(COUNT(商品マスタ[[#This Row],[参考上代
（税込)]]) &gt; 0, (商品マスタ[[#This Row],[参考上代
（税込)]]-商品マスタ[[#This Row],[国内定価
（15％）]])/(商品マスタ[[#This Row],[参考上代
（税込)]]/1.08), "")</f>
        <v/>
      </c>
      <c r="P636" s="136" t="n">
        <v>0.1</v>
      </c>
      <c r="Q636" s="289">
        <f>商品マスタ[[#This Row],[仕入
単価]]*商品マスタ[[#This Row],[標準国内送料率]]</f>
        <v/>
      </c>
      <c r="R636" s="289" t="n"/>
      <c r="S636" s="289">
        <f>IF(ISBLANK(商品マスタ[[#This Row],[実績
国内送料]]),商品マスタ[[#This Row],[標準国内送料]],)</f>
        <v/>
      </c>
      <c r="T636" s="289">
        <f>商品マスタ[[#This Row],[仕入
単価]]+商品マスタ[[#This Row],[国内送料]]</f>
        <v/>
      </c>
      <c r="U636" s="289">
        <f>ROUNDUP(商品マスタ[[#This Row],[仕入単価+国内送料]]/0.8,-1)</f>
        <v/>
      </c>
      <c r="V636" s="289">
        <f>商品マスタ[[#This Row],[海外定価
（20％）]]-商品マスタ[[#This Row],[仕入単価+国内送料]]</f>
        <v/>
      </c>
      <c r="W636" s="167">
        <f>ROUNDUP(商品マスタ[[#This Row],[仕入単価+国内送料]]/0.85,-1)</f>
        <v/>
      </c>
      <c r="X636" s="289">
        <f>商品マスタ[[#This Row],[国内定価
（15％）]]-商品マスタ[[#This Row],[仕入単価+国内送料]]</f>
        <v/>
      </c>
      <c r="Y636" s="139" t="n">
        <v>0.08</v>
      </c>
      <c r="Z636" s="167" t="n"/>
      <c r="AA636" s="167" t="inlineStr">
        <is>
          <t>常温</t>
        </is>
      </c>
      <c r="AB636" s="167" t="n"/>
      <c r="AC636" s="293" t="n"/>
      <c r="AD636" s="167" t="inlineStr">
        <is>
          <t>インカのめざめ（じゃがいも品種）使用</t>
        </is>
      </c>
      <c r="AE636" s="167" t="n"/>
      <c r="AF636" s="167" t="n"/>
      <c r="AG636" s="144" t="n"/>
    </row>
    <row r="637" ht="18" customHeight="1" s="207">
      <c r="A637" s="166" t="inlineStr">
        <is>
          <t>飲料アルコール</t>
        </is>
      </c>
      <c r="B637" s="167" t="inlineStr">
        <is>
          <t>その他飲料</t>
        </is>
      </c>
      <c r="C637" s="167" t="inlineStr">
        <is>
          <t>有限会社水戸青果</t>
        </is>
      </c>
      <c r="D637" s="143">
        <f>"PRD_SNJ_"&amp;
_xlfn.XLOOKUP(商品マスタ[[#This Row],[仕入先]],テーブル1[仕入先名],テーブル1[仕入先コード],"XXX",0,1)&amp;
"_"&amp;
商品マスタ[[#This Row],[シリアル]]&amp;
"_"&amp;
TEXT(COUNTIFS(商品マスタ!$C$3:C637,商品マスタ[[#This Row],[仕入先]],商品マスタ!$E$3:E637,商品マスタ[[#This Row],[商品名]]), "00")</f>
        <v/>
      </c>
      <c r="E637" s="167" t="inlineStr">
        <is>
          <t>トマトジュース</t>
        </is>
      </c>
      <c r="F637" s="167">
        <f>IF(COUNTIFS($C$3:C637,商品マスタ[[#This Row],[仕入先]],$E$3:E637,商品マスタ[[#This Row],[商品名]]) = 1, 1,0)</f>
        <v/>
      </c>
      <c r="G637" s="133">
        <f>TEXT(SUMIF($C$3:C637,商品マスタ[[#This Row],[仕入先]],$F$3:F637), "0000")</f>
        <v/>
      </c>
      <c r="H637" s="167" t="inlineStr">
        <is>
          <t>本</t>
        </is>
      </c>
      <c r="I637" s="167" t="inlineStr">
        <is>
          <t>180ml</t>
        </is>
      </c>
      <c r="J637" s="167" t="n"/>
      <c r="K637" s="167" t="n"/>
      <c r="L637" s="289" t="n">
        <v>700</v>
      </c>
      <c r="M637" s="157" t="n">
        <v>46056</v>
      </c>
      <c r="N637" s="289" t="n"/>
      <c r="O637" s="290">
        <f>IF(COUNT(商品マスタ[[#This Row],[参考上代
（税込)]]) &gt; 0, (商品マスタ[[#This Row],[参考上代
（税込)]]-商品マスタ[[#This Row],[国内定価
（15％）]])/(商品マスタ[[#This Row],[参考上代
（税込)]]/1.08), "")</f>
        <v/>
      </c>
      <c r="P637" s="136" t="n">
        <v>0.1</v>
      </c>
      <c r="Q637" s="289">
        <f>商品マスタ[[#This Row],[仕入
単価]]*商品マスタ[[#This Row],[標準国内送料率]]</f>
        <v/>
      </c>
      <c r="R637" s="289" t="n"/>
      <c r="S637" s="289">
        <f>IF(ISBLANK(商品マスタ[[#This Row],[実績
国内送料]]),商品マスタ[[#This Row],[標準国内送料]],)</f>
        <v/>
      </c>
      <c r="T637" s="289">
        <f>商品マスタ[[#This Row],[仕入
単価]]+商品マスタ[[#This Row],[国内送料]]</f>
        <v/>
      </c>
      <c r="U637" s="289">
        <f>ROUNDUP(商品マスタ[[#This Row],[仕入単価+国内送料]]/0.8,-1)</f>
        <v/>
      </c>
      <c r="V637" s="289">
        <f>商品マスタ[[#This Row],[海外定価
（20％）]]-商品マスタ[[#This Row],[仕入単価+国内送料]]</f>
        <v/>
      </c>
      <c r="W637" s="167">
        <f>ROUNDUP(商品マスタ[[#This Row],[仕入単価+国内送料]]/0.85,-1)</f>
        <v/>
      </c>
      <c r="X637" s="289">
        <f>商品マスタ[[#This Row],[国内定価
（15％）]]-商品マスタ[[#This Row],[仕入単価+国内送料]]</f>
        <v/>
      </c>
      <c r="Y637" s="139" t="n">
        <v>0.08</v>
      </c>
      <c r="Z637" s="167" t="n"/>
      <c r="AA637" s="167" t="inlineStr">
        <is>
          <t>常温</t>
        </is>
      </c>
      <c r="AB637" s="167" t="n"/>
      <c r="AC637" s="293" t="n"/>
      <c r="AD637" s="167" t="n"/>
      <c r="AE637" s="167" t="n"/>
      <c r="AF637" s="167" t="n"/>
      <c r="AG637" s="144" t="n"/>
    </row>
    <row r="638" ht="18" customHeight="1" s="207">
      <c r="A638" s="166" t="inlineStr">
        <is>
          <t>加工品</t>
        </is>
      </c>
      <c r="B638" s="167" t="inlineStr">
        <is>
          <t>その他</t>
        </is>
      </c>
      <c r="C638" s="167" t="inlineStr">
        <is>
          <t>ベジタブルワークス</t>
        </is>
      </c>
      <c r="D638" s="143">
        <f>"PRD_SNJ_"&amp;
_xlfn.XLOOKUP(商品マスタ[[#This Row],[仕入先]],テーブル1[仕入先名],テーブル1[仕入先コード],"XXX",0,1)&amp;
"_"&amp;
商品マスタ[[#This Row],[シリアル]]&amp;
"_"&amp;
TEXT(COUNTIFS(商品マスタ!$C$3:C638,商品マスタ[[#This Row],[仕入先]],商品マスタ!$E$3:E638,商品マスタ[[#This Row],[商品名]]), "00")</f>
        <v/>
      </c>
      <c r="E638" s="167" t="inlineStr">
        <is>
          <t>レトルトコーン</t>
        </is>
      </c>
      <c r="F638" s="167">
        <f>IF(COUNTIFS($C$3:C638,商品マスタ[[#This Row],[仕入先]],$E$3:E638,商品マスタ[[#This Row],[商品名]]) = 1, 1,0)</f>
        <v/>
      </c>
      <c r="G638" s="133">
        <f>TEXT(SUMIF($C$3:C638,商品マスタ[[#This Row],[仕入先]],$F$3:F638), "0000")</f>
        <v/>
      </c>
      <c r="H638" s="167" t="inlineStr">
        <is>
          <t>本</t>
        </is>
      </c>
      <c r="I638" s="167" t="inlineStr">
        <is>
          <t>1本</t>
        </is>
      </c>
      <c r="J638" s="167" t="inlineStr">
        <is>
          <t>30本/箱</t>
        </is>
      </c>
      <c r="K638" s="167" t="inlineStr">
        <is>
          <t>30本/箱</t>
        </is>
      </c>
      <c r="L638" s="289" t="n">
        <v>310</v>
      </c>
      <c r="M638" s="157" t="n">
        <v>45663</v>
      </c>
      <c r="N638" s="289" t="n"/>
      <c r="O638" s="290">
        <f>IF(COUNT(商品マスタ[[#This Row],[参考上代
（税込)]]) &gt; 0, (商品マスタ[[#This Row],[参考上代
（税込)]]-商品マスタ[[#This Row],[国内定価
（15％）]])/(商品マスタ[[#This Row],[参考上代
（税込)]]/1.08), "")</f>
        <v/>
      </c>
      <c r="P638" s="136" t="n">
        <v>0.1</v>
      </c>
      <c r="Q638" s="289">
        <f>商品マスタ[[#This Row],[仕入
単価]]*商品マスタ[[#This Row],[標準国内送料率]]</f>
        <v/>
      </c>
      <c r="R638" s="289" t="n"/>
      <c r="S638" s="289">
        <f>IF(ISBLANK(商品マスタ[[#This Row],[実績
国内送料]]),商品マスタ[[#This Row],[標準国内送料]],)</f>
        <v/>
      </c>
      <c r="T638" s="289">
        <f>商品マスタ[[#This Row],[仕入
単価]]+商品マスタ[[#This Row],[国内送料]]</f>
        <v/>
      </c>
      <c r="U638" s="289">
        <f>ROUNDUP(商品マスタ[[#This Row],[仕入単価+国内送料]]/0.8,-1)</f>
        <v/>
      </c>
      <c r="V638" s="289">
        <f>商品マスタ[[#This Row],[海外定価
（20％）]]-商品マスタ[[#This Row],[仕入単価+国内送料]]</f>
        <v/>
      </c>
      <c r="W638" s="167">
        <f>ROUNDUP(商品マスタ[[#This Row],[仕入単価+国内送料]]/0.85,-1)</f>
        <v/>
      </c>
      <c r="X638" s="289">
        <f>商品マスタ[[#This Row],[国内定価
（15％）]]-商品マスタ[[#This Row],[仕入単価+国内送料]]</f>
        <v/>
      </c>
      <c r="Y638" s="139" t="n">
        <v>0.08</v>
      </c>
      <c r="Z638" s="167" t="n"/>
      <c r="AA638" s="167" t="inlineStr">
        <is>
          <t>常温</t>
        </is>
      </c>
      <c r="AB638" s="167" t="n"/>
      <c r="AC638" s="293" t="n"/>
      <c r="AD638" s="167" t="inlineStr">
        <is>
          <t>北海道真狩村産のレトルトコーン</t>
        </is>
      </c>
      <c r="AE638" s="167" t="n"/>
      <c r="AF638" s="167" t="n"/>
      <c r="AG638" s="144" t="inlineStr">
        <is>
          <t>運賃別/関西送料1300円（1箱あたり）/箱単価9300円</t>
        </is>
      </c>
    </row>
    <row r="639" ht="18" customHeight="1" s="207">
      <c r="A639" s="166" t="inlineStr">
        <is>
          <t>加工品</t>
        </is>
      </c>
      <c r="B639" s="167" t="inlineStr">
        <is>
          <t>その他</t>
        </is>
      </c>
      <c r="C639" s="167" t="inlineStr">
        <is>
          <t>ベジタブルワークス</t>
        </is>
      </c>
      <c r="D639" s="143">
        <f>"PRD_SNJ_"&amp;
_xlfn.XLOOKUP(商品マスタ[[#This Row],[仕入先]],テーブル1[仕入先名],テーブル1[仕入先コード],"XXX",0,1)&amp;
"_"&amp;
商品マスタ[[#This Row],[シリアル]]&amp;
"_"&amp;
TEXT(COUNTIFS(商品マスタ!$C$3:C639,商品マスタ[[#This Row],[仕入先]],商品マスタ!$E$3:E639,商品マスタ[[#This Row],[商品名]]), "00")</f>
        <v/>
      </c>
      <c r="E639" s="167" t="inlineStr">
        <is>
          <t>ゆりの結晶</t>
        </is>
      </c>
      <c r="F639" s="167">
        <f>IF(COUNTIFS($C$3:C639,商品マスタ[[#This Row],[仕入先]],$E$3:E639,商品マスタ[[#This Row],[商品名]]) = 1, 1,0)</f>
        <v/>
      </c>
      <c r="G639" s="133">
        <f>TEXT(SUMIF($C$3:C639,商品マスタ[[#This Row],[仕入先]],$F$3:F639), "0000")</f>
        <v/>
      </c>
      <c r="H639" s="167" t="inlineStr">
        <is>
          <t>袋</t>
        </is>
      </c>
      <c r="I639" s="167" t="inlineStr">
        <is>
          <t>1袋</t>
        </is>
      </c>
      <c r="J639" s="167" t="inlineStr">
        <is>
          <t>40袋/箱</t>
        </is>
      </c>
      <c r="K639" s="167" t="inlineStr">
        <is>
          <t>40袋/箱</t>
        </is>
      </c>
      <c r="L639" s="289" t="n">
        <v>340</v>
      </c>
      <c r="M639" s="157" t="n">
        <v>45663</v>
      </c>
      <c r="N639" s="289" t="n"/>
      <c r="O639" s="290">
        <f>IF(COUNT(商品マスタ[[#This Row],[参考上代
（税込)]]) &gt; 0, (商品マスタ[[#This Row],[参考上代
（税込)]]-商品マスタ[[#This Row],[国内定価
（15％）]])/(商品マスタ[[#This Row],[参考上代
（税込)]]/1.08), "")</f>
        <v/>
      </c>
      <c r="P639" s="136" t="n">
        <v>0.1</v>
      </c>
      <c r="Q639" s="289">
        <f>商品マスタ[[#This Row],[仕入
単価]]*商品マスタ[[#This Row],[標準国内送料率]]</f>
        <v/>
      </c>
      <c r="R639" s="289" t="n"/>
      <c r="S639" s="289">
        <f>IF(ISBLANK(商品マスタ[[#This Row],[実績
国内送料]]),商品マスタ[[#This Row],[標準国内送料]],)</f>
        <v/>
      </c>
      <c r="T639" s="289">
        <f>商品マスタ[[#This Row],[仕入
単価]]+商品マスタ[[#This Row],[国内送料]]</f>
        <v/>
      </c>
      <c r="U639" s="289">
        <f>ROUNDUP(商品マスタ[[#This Row],[仕入単価+国内送料]]/0.8,-1)</f>
        <v/>
      </c>
      <c r="V639" s="289">
        <f>商品マスタ[[#This Row],[海外定価
（20％）]]-商品マスタ[[#This Row],[仕入単価+国内送料]]</f>
        <v/>
      </c>
      <c r="W639" s="167">
        <f>ROUNDUP(商品マスタ[[#This Row],[仕入単価+国内送料]]/0.85,-1)</f>
        <v/>
      </c>
      <c r="X639" s="289">
        <f>商品マスタ[[#This Row],[国内定価
（15％）]]-商品マスタ[[#This Row],[仕入単価+国内送料]]</f>
        <v/>
      </c>
      <c r="Y639" s="139" t="n">
        <v>0.08</v>
      </c>
      <c r="Z639" s="167" t="n"/>
      <c r="AA639" s="167" t="inlineStr">
        <is>
          <t>常温</t>
        </is>
      </c>
      <c r="AB639" s="167" t="n"/>
      <c r="AC639" s="293" t="n"/>
      <c r="AD639" s="167" t="inlineStr">
        <is>
          <t>北海道真狩村産のゆり根加工品</t>
        </is>
      </c>
      <c r="AE639" s="167" t="n"/>
      <c r="AF639" s="167" t="n"/>
      <c r="AG639" s="144" t="inlineStr">
        <is>
          <t>運賃別/関西送料1300円（1箱あたり）/箱単価13600円</t>
        </is>
      </c>
    </row>
    <row r="640" ht="18" customHeight="1" s="207">
      <c r="A640" s="166" t="inlineStr">
        <is>
          <t>飲料アルコール</t>
        </is>
      </c>
      <c r="B640" s="167" t="inlineStr">
        <is>
          <t>その他飲料</t>
        </is>
      </c>
      <c r="C640" s="167" t="inlineStr">
        <is>
          <t>ベジタブルワークス</t>
        </is>
      </c>
      <c r="D640" s="143">
        <f>"PRD_SNJ_"&amp;
_xlfn.XLOOKUP(商品マスタ[[#This Row],[仕入先]],テーブル1[仕入先名],テーブル1[仕入先コード],"XXX",0,1)&amp;
"_"&amp;
商品マスタ[[#This Row],[シリアル]]&amp;
"_"&amp;
TEXT(COUNTIFS(商品マスタ!$C$3:C640,商品マスタ[[#This Row],[仕入先]],商品マスタ!$E$3:E640,商品マスタ[[#This Row],[商品名]]), "00")</f>
        <v/>
      </c>
      <c r="E640" s="167" t="inlineStr">
        <is>
          <t>雪下人参ジュース</t>
        </is>
      </c>
      <c r="F640" s="167">
        <f>IF(COUNTIFS($C$3:C640,商品マスタ[[#This Row],[仕入先]],$E$3:E640,商品マスタ[[#This Row],[商品名]]) = 1, 1,0)</f>
        <v/>
      </c>
      <c r="G640" s="133">
        <f>TEXT(SUMIF($C$3:C640,商品マスタ[[#This Row],[仕入先]],$F$3:F640), "0000")</f>
        <v/>
      </c>
      <c r="H640" s="167" t="inlineStr">
        <is>
          <t>本</t>
        </is>
      </c>
      <c r="I640" s="167" t="inlineStr">
        <is>
          <t>1本</t>
        </is>
      </c>
      <c r="J640" s="167" t="inlineStr">
        <is>
          <t>40本/箱</t>
        </is>
      </c>
      <c r="K640" s="167" t="inlineStr">
        <is>
          <t>40本/箱</t>
        </is>
      </c>
      <c r="L640" s="289" t="n">
        <v>205</v>
      </c>
      <c r="M640" s="157" t="n">
        <v>45663</v>
      </c>
      <c r="N640" s="289" t="n"/>
      <c r="O640" s="290">
        <f>IF(COUNT(商品マスタ[[#This Row],[参考上代
（税込)]]) &gt; 0, (商品マスタ[[#This Row],[参考上代
（税込)]]-商品マスタ[[#This Row],[国内定価
（15％）]])/(商品マスタ[[#This Row],[参考上代
（税込)]]/1.08), "")</f>
        <v/>
      </c>
      <c r="P640" s="136" t="n">
        <v>0.1</v>
      </c>
      <c r="Q640" s="289">
        <f>商品マスタ[[#This Row],[仕入
単価]]*商品マスタ[[#This Row],[標準国内送料率]]</f>
        <v/>
      </c>
      <c r="R640" s="289" t="n"/>
      <c r="S640" s="289">
        <f>IF(ISBLANK(商品マスタ[[#This Row],[実績
国内送料]]),商品マスタ[[#This Row],[標準国内送料]],)</f>
        <v/>
      </c>
      <c r="T640" s="289">
        <f>商品マスタ[[#This Row],[仕入
単価]]+商品マスタ[[#This Row],[国内送料]]</f>
        <v/>
      </c>
      <c r="U640" s="289">
        <f>ROUNDUP(商品マスタ[[#This Row],[仕入単価+国内送料]]/0.8,-1)</f>
        <v/>
      </c>
      <c r="V640" s="289">
        <f>商品マスタ[[#This Row],[海外定価
（20％）]]-商品マスタ[[#This Row],[仕入単価+国内送料]]</f>
        <v/>
      </c>
      <c r="W640" s="167">
        <f>ROUNDUP(商品マスタ[[#This Row],[仕入単価+国内送料]]/0.85,-1)</f>
        <v/>
      </c>
      <c r="X640" s="289">
        <f>商品マスタ[[#This Row],[国内定価
（15％）]]-商品マスタ[[#This Row],[仕入単価+国内送料]]</f>
        <v/>
      </c>
      <c r="Y640" s="139" t="n">
        <v>0.08</v>
      </c>
      <c r="Z640" s="167" t="n"/>
      <c r="AA640" s="167" t="inlineStr">
        <is>
          <t>常温</t>
        </is>
      </c>
      <c r="AB640" s="167" t="n"/>
      <c r="AC640" s="293" t="n"/>
      <c r="AD640" s="167" t="inlineStr">
        <is>
          <t>北海道真狩村産の雪下人参使用ジュース</t>
        </is>
      </c>
      <c r="AE640" s="167" t="n"/>
      <c r="AF640" s="167" t="n"/>
      <c r="AG640" s="144" t="inlineStr">
        <is>
          <t>運賃別/関西送料1300円（1箱あたり）/箱単価8200円</t>
        </is>
      </c>
    </row>
    <row r="641" ht="18" customHeight="1" s="207">
      <c r="A641" s="166" t="inlineStr">
        <is>
          <t>加工品</t>
        </is>
      </c>
      <c r="B641" s="167" t="inlineStr">
        <is>
          <t>その他</t>
        </is>
      </c>
      <c r="C641" s="167" t="inlineStr">
        <is>
          <t>ニセコビュープラザ</t>
        </is>
      </c>
      <c r="D641" s="143">
        <f>"PRD_SNJ_"&amp;
_xlfn.XLOOKUP(商品マスタ[[#This Row],[仕入先]],テーブル1[仕入先名],テーブル1[仕入先コード],"XXX",0,1)&amp;
"_"&amp;
商品マスタ[[#This Row],[シリアル]]&amp;
"_"&amp;
TEXT(COUNTIFS(商品マスタ!$C$3:C641,商品マスタ[[#This Row],[仕入先]],商品マスタ!$E$3:E641,商品マスタ[[#This Row],[商品名]]), "00")</f>
        <v/>
      </c>
      <c r="E641" s="167" t="inlineStr">
        <is>
          <t>ほしいも（紅はるか・シルクスイート）</t>
        </is>
      </c>
      <c r="F641" s="167">
        <f>IF(COUNTIFS($C$3:C641,商品マスタ[[#This Row],[仕入先]],$E$3:E641,商品マスタ[[#This Row],[商品名]]) = 1, 1,0)</f>
        <v/>
      </c>
      <c r="G641" s="133">
        <f>TEXT(SUMIF($C$3:C641,商品マスタ[[#This Row],[仕入先]],$F$3:F641), "0000")</f>
        <v/>
      </c>
      <c r="H641" s="167" t="inlineStr">
        <is>
          <t>袋</t>
        </is>
      </c>
      <c r="I641" s="167" t="inlineStr">
        <is>
          <t>100g</t>
        </is>
      </c>
      <c r="J641" s="167" t="inlineStr">
        <is>
          <t>200袋（紅はるか・シルクスイート各100袋）</t>
        </is>
      </c>
      <c r="K641" s="167" t="n"/>
      <c r="L641" s="289">
        <f>498/1.08</f>
        <v/>
      </c>
      <c r="M641" s="157" t="n">
        <v>46059</v>
      </c>
      <c r="N641" s="289" t="n">
        <v>690</v>
      </c>
      <c r="O641" s="290">
        <f>IF(COUNT(商品マスタ[[#This Row],[参考上代
（税込)]]) &gt; 0, (商品マスタ[[#This Row],[参考上代
（税込)]]-商品マスタ[[#This Row],[国内定価
（15％）]])/(商品マスタ[[#This Row],[参考上代
（税込)]]/1.08), "")</f>
        <v/>
      </c>
      <c r="P641" s="136" t="n">
        <v>0.1</v>
      </c>
      <c r="Q641" s="289">
        <f>商品マスタ[[#This Row],[仕入
単価]]*商品マスタ[[#This Row],[標準国内送料率]]</f>
        <v/>
      </c>
      <c r="R641" s="289" t="n">
        <v>0</v>
      </c>
      <c r="S641" s="289">
        <f>IF(ISBLANK(商品マスタ[[#This Row],[実績
国内送料]]),商品マスタ[[#This Row],[標準国内送料]],)</f>
        <v/>
      </c>
      <c r="T641" s="289">
        <f>商品マスタ[[#This Row],[仕入
単価]]+商品マスタ[[#This Row],[国内送料]]</f>
        <v/>
      </c>
      <c r="U641" s="289">
        <f>ROUNDUP(商品マスタ[[#This Row],[仕入単価+国内送料]]/0.8,-1)</f>
        <v/>
      </c>
      <c r="V641" s="289">
        <f>商品マスタ[[#This Row],[海外定価
（20％）]]-商品マスタ[[#This Row],[仕入単価+国内送料]]</f>
        <v/>
      </c>
      <c r="W641" s="167">
        <f>ROUNDUP(商品マスタ[[#This Row],[仕入単価+国内送料]]/0.85,-1)</f>
        <v/>
      </c>
      <c r="X641" s="289">
        <f>商品マスタ[[#This Row],[国内定価
（15％）]]-商品マスタ[[#This Row],[仕入単価+国内送料]]</f>
        <v/>
      </c>
      <c r="Y641" s="139" t="n">
        <v>0.08</v>
      </c>
      <c r="Z641" s="167" t="inlineStr">
        <is>
          <t>3ヶ月</t>
        </is>
      </c>
      <c r="AA641" s="167" t="inlineStr">
        <is>
          <t>常温</t>
        </is>
      </c>
      <c r="AB641" s="167" t="n"/>
      <c r="AC641" s="293" t="n"/>
      <c r="AD641" s="167" t="inlineStr">
        <is>
          <t>農家が作ったほしいもです。強い甘さが魅力の「べにはるか」優しい甘さとしっとりした食感が魅力の「シルクスイート」。この商品は、厳選されたサツマイモを使用した半生タイプのほしいもです。まるでデザートのような甘さで、子供から大人まで幅広い年齢層に愛される逸品です。しっかりとした噛みごたえながらも、口の中でとろけるような食感が特徴。おやつや間食はもちろん、お茶うけに、ワインとともに！豊かな風味と形状は、見た目にも楽しませてくれます。</t>
        </is>
      </c>
      <c r="AE641" s="167" t="n"/>
      <c r="AF641" s="167" t="n"/>
      <c r="AG641" s="144" t="inlineStr">
        <is>
          <t>ヤマトヤシキ向け（限定？）</t>
        </is>
      </c>
    </row>
    <row r="642" ht="18" customHeight="1" s="207">
      <c r="A642" s="166" t="n"/>
      <c r="B642" s="167" t="n"/>
      <c r="C642" s="167" t="n"/>
      <c r="D642" s="143">
        <f>"PRD_SNJ_"&amp;
_xlfn.XLOOKUP(商品マスタ[[#This Row],[仕入先]],テーブル1[仕入先名],テーブル1[仕入先コード],"XXX",0,1)&amp;
"_"&amp;
商品マスタ[[#This Row],[シリアル]]&amp;
"_"&amp;
TEXT(COUNTIFS(商品マスタ!$C$3:C642,商品マスタ[[#This Row],[仕入先]],商品マスタ!$E$3:E642,商品マスタ[[#This Row],[商品名]]), "00")</f>
        <v/>
      </c>
      <c r="E642" s="167" t="n"/>
      <c r="F642" s="167">
        <f>IF(COUNTIFS($C$3:C642,商品マスタ[[#This Row],[仕入先]],$E$3:E642,商品マスタ[[#This Row],[商品名]]) = 1, 1,0)</f>
        <v/>
      </c>
      <c r="G642" s="133">
        <f>TEXT(SUMIF($C$3:C642,商品マスタ[[#This Row],[仕入先]],$F$3:F642), "0000")</f>
        <v/>
      </c>
      <c r="H642" s="167" t="n"/>
      <c r="I642" s="167" t="n"/>
      <c r="J642" s="167" t="n"/>
      <c r="K642" s="167" t="n"/>
      <c r="L642" s="289" t="n"/>
      <c r="M642" s="157" t="n"/>
      <c r="N642" s="289" t="n"/>
      <c r="O642" s="290">
        <f>IF(COUNT(商品マスタ[[#This Row],[参考上代
（税込)]]) &gt; 0, (商品マスタ[[#This Row],[参考上代
（税込)]]-商品マスタ[[#This Row],[国内定価
（15％）]])/(商品マスタ[[#This Row],[参考上代
（税込)]]/1.08), "")</f>
        <v/>
      </c>
      <c r="P642" s="136" t="n">
        <v>0.1</v>
      </c>
      <c r="Q642" s="289">
        <f>商品マスタ[[#This Row],[仕入
単価]]*商品マスタ[[#This Row],[標準国内送料率]]</f>
        <v/>
      </c>
      <c r="R642" s="289" t="n"/>
      <c r="S642" s="289">
        <f>IF(ISBLANK(商品マスタ[[#This Row],[実績
国内送料]]),商品マスタ[[#This Row],[標準国内送料]],)</f>
        <v/>
      </c>
      <c r="T642" s="289">
        <f>商品マスタ[[#This Row],[仕入
単価]]+商品マスタ[[#This Row],[国内送料]]</f>
        <v/>
      </c>
      <c r="U642" s="289">
        <f>ROUNDUP(商品マスタ[[#This Row],[仕入単価+国内送料]]/0.8,-1)</f>
        <v/>
      </c>
      <c r="V642" s="289">
        <f>商品マスタ[[#This Row],[海外定価
（20％）]]-商品マスタ[[#This Row],[仕入単価+国内送料]]</f>
        <v/>
      </c>
      <c r="W642" s="167">
        <f>ROUNDUP(商品マスタ[[#This Row],[仕入単価+国内送料]]/0.85,-1)</f>
        <v/>
      </c>
      <c r="X642" s="289">
        <f>商品マスタ[[#This Row],[国内定価
（15％）]]-商品マスタ[[#This Row],[仕入単価+国内送料]]</f>
        <v/>
      </c>
      <c r="Y642" s="139" t="n"/>
      <c r="Z642" s="167" t="n"/>
      <c r="AA642" s="167" t="n"/>
      <c r="AB642" s="167" t="n"/>
      <c r="AC642" s="293" t="n"/>
      <c r="AD642" s="167" t="n"/>
      <c r="AE642" s="167" t="n"/>
      <c r="AF642" s="167" t="n"/>
      <c r="AG642" s="144" t="n"/>
    </row>
    <row r="643" ht="18" customHeight="1" s="207">
      <c r="A643" s="166" t="n"/>
      <c r="B643" s="167" t="n"/>
      <c r="C643" s="167" t="n"/>
      <c r="D643" s="143">
        <f>"PRD_SNJ_"&amp;
_xlfn.XLOOKUP(商品マスタ[[#This Row],[仕入先]],テーブル1[仕入先名],テーブル1[仕入先コード],"XXX",0,1)&amp;
"_"&amp;
商品マスタ[[#This Row],[シリアル]]&amp;
"_"&amp;
TEXT(COUNTIFS(商品マスタ!$C$3:C643,商品マスタ[[#This Row],[仕入先]],商品マスタ!$E$3:E643,商品マスタ[[#This Row],[商品名]]), "00")</f>
        <v/>
      </c>
      <c r="E643" s="167" t="n"/>
      <c r="F643" s="167">
        <f>IF(COUNTIFS($C$3:C643,商品マスタ[[#This Row],[仕入先]],$E$3:E643,商品マスタ[[#This Row],[商品名]]) = 1, 1,0)</f>
        <v/>
      </c>
      <c r="G643" s="133">
        <f>TEXT(SUMIF($C$3:C643,商品マスタ[[#This Row],[仕入先]],$F$3:F643), "0000")</f>
        <v/>
      </c>
      <c r="H643" s="167" t="n"/>
      <c r="I643" s="167" t="n"/>
      <c r="J643" s="167" t="n"/>
      <c r="K643" s="167" t="n"/>
      <c r="L643" s="289" t="n"/>
      <c r="M643" s="157" t="n"/>
      <c r="N643" s="289" t="n"/>
      <c r="O643" s="290">
        <f>IF(COUNT(商品マスタ[[#This Row],[参考上代
（税込)]]) &gt; 0, (商品マスタ[[#This Row],[参考上代
（税込)]]-商品マスタ[[#This Row],[国内定価
（15％）]])/(商品マスタ[[#This Row],[参考上代
（税込)]]/1.08), "")</f>
        <v/>
      </c>
      <c r="P643" s="136" t="n">
        <v>0.1</v>
      </c>
      <c r="Q643" s="289">
        <f>商品マスタ[[#This Row],[仕入
単価]]*商品マスタ[[#This Row],[標準国内送料率]]</f>
        <v/>
      </c>
      <c r="R643" s="289" t="n"/>
      <c r="S643" s="289">
        <f>IF(ISBLANK(商品マスタ[[#This Row],[実績
国内送料]]),商品マスタ[[#This Row],[標準国内送料]],)</f>
        <v/>
      </c>
      <c r="T643" s="289">
        <f>商品マスタ[[#This Row],[仕入
単価]]+商品マスタ[[#This Row],[国内送料]]</f>
        <v/>
      </c>
      <c r="U643" s="289">
        <f>ROUNDUP(商品マスタ[[#This Row],[仕入単価+国内送料]]/0.8,-1)</f>
        <v/>
      </c>
      <c r="V643" s="289">
        <f>商品マスタ[[#This Row],[海外定価
（20％）]]-商品マスタ[[#This Row],[仕入単価+国内送料]]</f>
        <v/>
      </c>
      <c r="W643" s="167">
        <f>ROUNDUP(商品マスタ[[#This Row],[仕入単価+国内送料]]/0.85,-1)</f>
        <v/>
      </c>
      <c r="X643" s="289">
        <f>商品マスタ[[#This Row],[国内定価
（15％）]]-商品マスタ[[#This Row],[仕入単価+国内送料]]</f>
        <v/>
      </c>
      <c r="Y643" s="139" t="n"/>
      <c r="Z643" s="167" t="n"/>
      <c r="AA643" s="167" t="n"/>
      <c r="AB643" s="167" t="n"/>
      <c r="AC643" s="293" t="n"/>
      <c r="AD643" s="167" t="n"/>
      <c r="AE643" s="167" t="n"/>
      <c r="AF643" s="167" t="n"/>
      <c r="AG643" s="144" t="n"/>
    </row>
    <row r="644" ht="18" customHeight="1" s="207">
      <c r="A644" s="166" t="n"/>
      <c r="B644" s="167" t="n"/>
      <c r="C644" s="167" t="n"/>
      <c r="D644" s="143">
        <f>"PRD_SNJ_"&amp;
_xlfn.XLOOKUP(商品マスタ[[#This Row],[仕入先]],テーブル1[仕入先名],テーブル1[仕入先コード],"XXX",0,1)&amp;
"_"&amp;
商品マスタ[[#This Row],[シリアル]]&amp;
"_"&amp;
TEXT(COUNTIFS(商品マスタ!$C$3:C644,商品マスタ[[#This Row],[仕入先]],商品マスタ!$E$3:E644,商品マスタ[[#This Row],[商品名]]), "00")</f>
        <v/>
      </c>
      <c r="E644" s="167" t="n"/>
      <c r="F644" s="167">
        <f>IF(COUNTIFS($C$3:C644,商品マスタ[[#This Row],[仕入先]],$E$3:E644,商品マスタ[[#This Row],[商品名]]) = 1, 1,0)</f>
        <v/>
      </c>
      <c r="G644" s="133">
        <f>TEXT(SUMIF($C$3:C644,商品マスタ[[#This Row],[仕入先]],$F$3:F644), "0000")</f>
        <v/>
      </c>
      <c r="H644" s="167" t="n"/>
      <c r="I644" s="167" t="n"/>
      <c r="J644" s="167" t="n"/>
      <c r="K644" s="167" t="n"/>
      <c r="L644" s="289" t="n"/>
      <c r="M644" s="157" t="n"/>
      <c r="N644" s="289" t="n"/>
      <c r="O644" s="290">
        <f>IF(COUNT(商品マスタ[[#This Row],[参考上代
（税込)]]) &gt; 0, (商品マスタ[[#This Row],[参考上代
（税込)]]-商品マスタ[[#This Row],[国内定価
（15％）]])/(商品マスタ[[#This Row],[参考上代
（税込)]]/1.08), "")</f>
        <v/>
      </c>
      <c r="P644" s="136" t="n">
        <v>0.1</v>
      </c>
      <c r="Q644" s="289">
        <f>商品マスタ[[#This Row],[仕入
単価]]*商品マスタ[[#This Row],[標準国内送料率]]</f>
        <v/>
      </c>
      <c r="R644" s="289" t="n"/>
      <c r="S644" s="289">
        <f>IF(ISBLANK(商品マスタ[[#This Row],[実績
国内送料]]),商品マスタ[[#This Row],[標準国内送料]],)</f>
        <v/>
      </c>
      <c r="T644" s="289">
        <f>商品マスタ[[#This Row],[仕入
単価]]+商品マスタ[[#This Row],[国内送料]]</f>
        <v/>
      </c>
      <c r="U644" s="289">
        <f>ROUNDUP(商品マスタ[[#This Row],[仕入単価+国内送料]]/0.8,-1)</f>
        <v/>
      </c>
      <c r="V644" s="289">
        <f>商品マスタ[[#This Row],[海外定価
（20％）]]-商品マスタ[[#This Row],[仕入単価+国内送料]]</f>
        <v/>
      </c>
      <c r="W644" s="167">
        <f>ROUNDUP(商品マスタ[[#This Row],[仕入単価+国内送料]]/0.85,-1)</f>
        <v/>
      </c>
      <c r="X644" s="289">
        <f>商品マスタ[[#This Row],[国内定価
（15％）]]-商品マスタ[[#This Row],[仕入単価+国内送料]]</f>
        <v/>
      </c>
      <c r="Y644" s="139" t="n"/>
      <c r="Z644" s="167" t="n"/>
      <c r="AA644" s="167" t="n"/>
      <c r="AB644" s="167" t="n"/>
      <c r="AC644" s="293" t="n"/>
      <c r="AD644" s="167" t="n"/>
      <c r="AE644" s="167" t="n"/>
      <c r="AF644" s="167" t="n"/>
      <c r="AG644" s="144" t="n"/>
    </row>
    <row r="645" ht="18" customHeight="1" s="207">
      <c r="A645" s="166" t="n"/>
      <c r="B645" s="167" t="n"/>
      <c r="C645" s="167" t="n"/>
      <c r="D645" s="143">
        <f>"PRD_SNJ_"&amp;
_xlfn.XLOOKUP(商品マスタ[[#This Row],[仕入先]],テーブル1[仕入先名],テーブル1[仕入先コード],"XXX",0,1)&amp;
"_"&amp;
商品マスタ[[#This Row],[シリアル]]&amp;
"_"&amp;
TEXT(COUNTIFS(商品マスタ!$C$3:C645,商品マスタ[[#This Row],[仕入先]],商品マスタ!$E$3:E645,商品マスタ[[#This Row],[商品名]]), "00")</f>
        <v/>
      </c>
      <c r="E645" s="167" t="n"/>
      <c r="F645" s="167">
        <f>IF(COUNTIFS($C$3:C645,商品マスタ[[#This Row],[仕入先]],$E$3:E645,商品マスタ[[#This Row],[商品名]]) = 1, 1,0)</f>
        <v/>
      </c>
      <c r="G645" s="133">
        <f>TEXT(SUMIF($C$3:C645,商品マスタ[[#This Row],[仕入先]],$F$3:F645), "0000")</f>
        <v/>
      </c>
      <c r="H645" s="167" t="n"/>
      <c r="I645" s="167" t="n"/>
      <c r="J645" s="167" t="n"/>
      <c r="K645" s="167" t="n"/>
      <c r="L645" s="289" t="n"/>
      <c r="M645" s="157" t="n"/>
      <c r="N645" s="289" t="n"/>
      <c r="O645" s="290">
        <f>IF(COUNT(商品マスタ[[#This Row],[参考上代
（税込)]]) &gt; 0, (商品マスタ[[#This Row],[参考上代
（税込)]]-商品マスタ[[#This Row],[国内定価
（15％）]])/(商品マスタ[[#This Row],[参考上代
（税込)]]/1.08), "")</f>
        <v/>
      </c>
      <c r="P645" s="136" t="n">
        <v>0.1</v>
      </c>
      <c r="Q645" s="289">
        <f>商品マスタ[[#This Row],[仕入
単価]]*商品マスタ[[#This Row],[標準国内送料率]]</f>
        <v/>
      </c>
      <c r="R645" s="289" t="n"/>
      <c r="S645" s="289">
        <f>IF(ISBLANK(商品マスタ[[#This Row],[実績
国内送料]]),商品マスタ[[#This Row],[標準国内送料]],)</f>
        <v/>
      </c>
      <c r="T645" s="289">
        <f>商品マスタ[[#This Row],[仕入
単価]]+商品マスタ[[#This Row],[国内送料]]</f>
        <v/>
      </c>
      <c r="U645" s="289">
        <f>ROUNDUP(商品マスタ[[#This Row],[仕入単価+国内送料]]/0.8,-1)</f>
        <v/>
      </c>
      <c r="V645" s="289">
        <f>商品マスタ[[#This Row],[海外定価
（20％）]]-商品マスタ[[#This Row],[仕入単価+国内送料]]</f>
        <v/>
      </c>
      <c r="W645" s="167">
        <f>ROUNDUP(商品マスタ[[#This Row],[仕入単価+国内送料]]/0.85,-1)</f>
        <v/>
      </c>
      <c r="X645" s="289">
        <f>商品マスタ[[#This Row],[国内定価
（15％）]]-商品マスタ[[#This Row],[仕入単価+国内送料]]</f>
        <v/>
      </c>
      <c r="Y645" s="139" t="n"/>
      <c r="Z645" s="167" t="n"/>
      <c r="AA645" s="167" t="n"/>
      <c r="AB645" s="167" t="n"/>
      <c r="AC645" s="293" t="n"/>
      <c r="AD645" s="167" t="n"/>
      <c r="AE645" s="167" t="n"/>
      <c r="AF645" s="167" t="n"/>
      <c r="AG645" s="144" t="n"/>
    </row>
    <row r="646" ht="18" customHeight="1" s="207">
      <c r="A646" s="166" t="n"/>
      <c r="B646" s="167" t="n"/>
      <c r="C646" s="167" t="n"/>
      <c r="D646" s="143">
        <f>"PRD_SNJ_"&amp;
_xlfn.XLOOKUP(商品マスタ[[#This Row],[仕入先]],テーブル1[仕入先名],テーブル1[仕入先コード],"XXX",0,1)&amp;
"_"&amp;
商品マスタ[[#This Row],[シリアル]]&amp;
"_"&amp;
TEXT(COUNTIFS(商品マスタ!$C$3:C646,商品マスタ[[#This Row],[仕入先]],商品マスタ!$E$3:E646,商品マスタ[[#This Row],[商品名]]), "00")</f>
        <v/>
      </c>
      <c r="E646" s="167" t="n"/>
      <c r="F646" s="167">
        <f>IF(COUNTIFS($C$3:C646,商品マスタ[[#This Row],[仕入先]],$E$3:E646,商品マスタ[[#This Row],[商品名]]) = 1, 1,0)</f>
        <v/>
      </c>
      <c r="G646" s="133">
        <f>TEXT(SUMIF($C$3:C646,商品マスタ[[#This Row],[仕入先]],$F$3:F646), "0000")</f>
        <v/>
      </c>
      <c r="H646" s="167" t="n"/>
      <c r="I646" s="167" t="n"/>
      <c r="J646" s="167" t="n"/>
      <c r="K646" s="167" t="n"/>
      <c r="L646" s="289" t="n"/>
      <c r="M646" s="157" t="n"/>
      <c r="N646" s="289" t="n"/>
      <c r="O646" s="290">
        <f>IF(COUNT(商品マスタ[[#This Row],[参考上代
（税込)]]) &gt; 0, (商品マスタ[[#This Row],[参考上代
（税込)]]-商品マスタ[[#This Row],[国内定価
（15％）]])/(商品マスタ[[#This Row],[参考上代
（税込)]]/1.08), "")</f>
        <v/>
      </c>
      <c r="P646" s="136" t="n">
        <v>0.1</v>
      </c>
      <c r="Q646" s="289">
        <f>商品マスタ[[#This Row],[仕入
単価]]*商品マスタ[[#This Row],[標準国内送料率]]</f>
        <v/>
      </c>
      <c r="R646" s="289" t="n"/>
      <c r="S646" s="289">
        <f>IF(ISBLANK(商品マスタ[[#This Row],[実績
国内送料]]),商品マスタ[[#This Row],[標準国内送料]],)</f>
        <v/>
      </c>
      <c r="T646" s="289">
        <f>商品マスタ[[#This Row],[仕入
単価]]+商品マスタ[[#This Row],[国内送料]]</f>
        <v/>
      </c>
      <c r="U646" s="289">
        <f>ROUNDUP(商品マスタ[[#This Row],[仕入単価+国内送料]]/0.8,-1)</f>
        <v/>
      </c>
      <c r="V646" s="289">
        <f>商品マスタ[[#This Row],[海外定価
（20％）]]-商品マスタ[[#This Row],[仕入単価+国内送料]]</f>
        <v/>
      </c>
      <c r="W646" s="167">
        <f>ROUNDUP(商品マスタ[[#This Row],[仕入単価+国内送料]]/0.85,-1)</f>
        <v/>
      </c>
      <c r="X646" s="289">
        <f>商品マスタ[[#This Row],[国内定価
（15％）]]-商品マスタ[[#This Row],[仕入単価+国内送料]]</f>
        <v/>
      </c>
      <c r="Y646" s="139" t="n"/>
      <c r="Z646" s="167" t="n"/>
      <c r="AA646" s="167" t="n"/>
      <c r="AB646" s="167" t="n"/>
      <c r="AC646" s="293" t="n"/>
      <c r="AD646" s="167" t="n"/>
      <c r="AE646" s="167" t="n"/>
      <c r="AF646" s="167" t="n"/>
      <c r="AG646" s="144" t="n"/>
    </row>
    <row r="647" ht="18" customHeight="1" s="207">
      <c r="A647" s="166" t="n"/>
      <c r="B647" s="167" t="n"/>
      <c r="C647" s="167" t="n"/>
      <c r="D647" s="143">
        <f>"PRD_SNJ_"&amp;
_xlfn.XLOOKUP(商品マスタ[[#This Row],[仕入先]],テーブル1[仕入先名],テーブル1[仕入先コード],"XXX",0,1)&amp;
"_"&amp;
商品マスタ[[#This Row],[シリアル]]&amp;
"_"&amp;
TEXT(COUNTIFS(商品マスタ!$C$3:C647,商品マスタ[[#This Row],[仕入先]],商品マスタ!$E$3:E647,商品マスタ[[#This Row],[商品名]]), "00")</f>
        <v/>
      </c>
      <c r="E647" s="167" t="n"/>
      <c r="F647" s="167">
        <f>IF(COUNTIFS($C$3:C647,商品マスタ[[#This Row],[仕入先]],$E$3:E647,商品マスタ[[#This Row],[商品名]]) = 1, 1,0)</f>
        <v/>
      </c>
      <c r="G647" s="133">
        <f>TEXT(SUMIF($C$3:C647,商品マスタ[[#This Row],[仕入先]],$F$3:F647), "0000")</f>
        <v/>
      </c>
      <c r="H647" s="167" t="n"/>
      <c r="I647" s="167" t="n"/>
      <c r="J647" s="167" t="n"/>
      <c r="K647" s="167" t="n"/>
      <c r="L647" s="289" t="n"/>
      <c r="M647" s="157" t="n"/>
      <c r="N647" s="289" t="n"/>
      <c r="O647" s="290">
        <f>IF(COUNT(商品マスタ[[#This Row],[参考上代
（税込)]]) &gt; 0, (商品マスタ[[#This Row],[参考上代
（税込)]]-商品マスタ[[#This Row],[国内定価
（15％）]])/(商品マスタ[[#This Row],[参考上代
（税込)]]/1.08), "")</f>
        <v/>
      </c>
      <c r="P647" s="136" t="n">
        <v>0.1</v>
      </c>
      <c r="Q647" s="289">
        <f>商品マスタ[[#This Row],[仕入
単価]]*商品マスタ[[#This Row],[標準国内送料率]]</f>
        <v/>
      </c>
      <c r="R647" s="289" t="n"/>
      <c r="S647" s="289">
        <f>IF(ISBLANK(商品マスタ[[#This Row],[実績
国内送料]]),商品マスタ[[#This Row],[標準国内送料]],)</f>
        <v/>
      </c>
      <c r="T647" s="289">
        <f>商品マスタ[[#This Row],[仕入
単価]]+商品マスタ[[#This Row],[国内送料]]</f>
        <v/>
      </c>
      <c r="U647" s="289">
        <f>ROUNDUP(商品マスタ[[#This Row],[仕入単価+国内送料]]/0.8,-1)</f>
        <v/>
      </c>
      <c r="V647" s="289">
        <f>商品マスタ[[#This Row],[海外定価
（20％）]]-商品マスタ[[#This Row],[仕入単価+国内送料]]</f>
        <v/>
      </c>
      <c r="W647" s="167">
        <f>ROUNDUP(商品マスタ[[#This Row],[仕入単価+国内送料]]/0.85,-1)</f>
        <v/>
      </c>
      <c r="X647" s="289">
        <f>商品マスタ[[#This Row],[国内定価
（15％）]]-商品マスタ[[#This Row],[仕入単価+国内送料]]</f>
        <v/>
      </c>
      <c r="Y647" s="139" t="n"/>
      <c r="Z647" s="167" t="n"/>
      <c r="AA647" s="167" t="n"/>
      <c r="AB647" s="167" t="n"/>
      <c r="AC647" s="293" t="n"/>
      <c r="AD647" s="167" t="n"/>
      <c r="AE647" s="167" t="n"/>
      <c r="AF647" s="167" t="n"/>
      <c r="AG647" s="144" t="n"/>
    </row>
    <row r="648" ht="18" customHeight="1" s="207">
      <c r="A648" s="166" t="n"/>
      <c r="B648" s="167" t="n"/>
      <c r="C648" s="167" t="n"/>
      <c r="D648" s="143">
        <f>"PRD_SNJ_"&amp;
_xlfn.XLOOKUP(商品マスタ[[#This Row],[仕入先]],テーブル1[仕入先名],テーブル1[仕入先コード],"XXX",0,1)&amp;
"_"&amp;
商品マスタ[[#This Row],[シリアル]]&amp;
"_"&amp;
TEXT(COUNTIFS(商品マスタ!$C$3:C648,商品マスタ[[#This Row],[仕入先]],商品マスタ!$E$3:E648,商品マスタ[[#This Row],[商品名]]), "00")</f>
        <v/>
      </c>
      <c r="E648" s="167" t="n"/>
      <c r="F648" s="167">
        <f>IF(COUNTIFS($C$3:C648,商品マスタ[[#This Row],[仕入先]],$E$3:E648,商品マスタ[[#This Row],[商品名]]) = 1, 1,0)</f>
        <v/>
      </c>
      <c r="G648" s="133">
        <f>TEXT(SUMIF($C$3:C648,商品マスタ[[#This Row],[仕入先]],$F$3:F648), "0000")</f>
        <v/>
      </c>
      <c r="H648" s="167" t="n"/>
      <c r="I648" s="167" t="n"/>
      <c r="J648" s="167" t="n"/>
      <c r="K648" s="167" t="n"/>
      <c r="L648" s="289" t="n"/>
      <c r="M648" s="157" t="n"/>
      <c r="N648" s="289" t="n"/>
      <c r="O648" s="290">
        <f>IF(COUNT(商品マスタ[[#This Row],[参考上代
（税込)]]) &gt; 0, (商品マスタ[[#This Row],[参考上代
（税込)]]-商品マスタ[[#This Row],[国内定価
（15％）]])/(商品マスタ[[#This Row],[参考上代
（税込)]]/1.08), "")</f>
        <v/>
      </c>
      <c r="P648" s="136" t="n">
        <v>0.1</v>
      </c>
      <c r="Q648" s="289">
        <f>商品マスタ[[#This Row],[仕入
単価]]*商品マスタ[[#This Row],[標準国内送料率]]</f>
        <v/>
      </c>
      <c r="R648" s="289" t="n"/>
      <c r="S648" s="289">
        <f>IF(ISBLANK(商品マスタ[[#This Row],[実績
国内送料]]),商品マスタ[[#This Row],[標準国内送料]],)</f>
        <v/>
      </c>
      <c r="T648" s="289">
        <f>商品マスタ[[#This Row],[仕入
単価]]+商品マスタ[[#This Row],[国内送料]]</f>
        <v/>
      </c>
      <c r="U648" s="289">
        <f>ROUNDUP(商品マスタ[[#This Row],[仕入単価+国内送料]]/0.8,-1)</f>
        <v/>
      </c>
      <c r="V648" s="289">
        <f>商品マスタ[[#This Row],[海外定価
（20％）]]-商品マスタ[[#This Row],[仕入単価+国内送料]]</f>
        <v/>
      </c>
      <c r="W648" s="167">
        <f>ROUNDUP(商品マスタ[[#This Row],[仕入単価+国内送料]]/0.85,-1)</f>
        <v/>
      </c>
      <c r="X648" s="289">
        <f>商品マスタ[[#This Row],[国内定価
（15％）]]-商品マスタ[[#This Row],[仕入単価+国内送料]]</f>
        <v/>
      </c>
      <c r="Y648" s="139" t="n"/>
      <c r="Z648" s="167" t="n"/>
      <c r="AA648" s="167" t="n"/>
      <c r="AB648" s="167" t="n"/>
      <c r="AC648" s="293" t="n"/>
      <c r="AD648" s="167" t="n"/>
      <c r="AE648" s="167" t="n"/>
      <c r="AF648" s="167" t="n"/>
      <c r="AG648" s="144" t="n"/>
    </row>
    <row r="649" ht="18" customHeight="1" s="207">
      <c r="A649" s="166" t="n"/>
      <c r="B649" s="167" t="n"/>
      <c r="C649" s="167" t="n"/>
      <c r="D649" s="143">
        <f>"PRD_SNJ_"&amp;
_xlfn.XLOOKUP(商品マスタ[[#This Row],[仕入先]],テーブル1[仕入先名],テーブル1[仕入先コード],"XXX",0,1)&amp;
"_"&amp;
商品マスタ[[#This Row],[シリアル]]&amp;
"_"&amp;
TEXT(COUNTIFS(商品マスタ!$C$3:C649,商品マスタ[[#This Row],[仕入先]],商品マスタ!$E$3:E649,商品マスタ[[#This Row],[商品名]]), "00")</f>
        <v/>
      </c>
      <c r="E649" s="167" t="n"/>
      <c r="F649" s="167">
        <f>IF(COUNTIFS($C$3:C649,商品マスタ[[#This Row],[仕入先]],$E$3:E649,商品マスタ[[#This Row],[商品名]]) = 1, 1,0)</f>
        <v/>
      </c>
      <c r="G649" s="133">
        <f>TEXT(SUMIF($C$3:C649,商品マスタ[[#This Row],[仕入先]],$F$3:F649), "0000")</f>
        <v/>
      </c>
      <c r="H649" s="167" t="n"/>
      <c r="I649" s="167" t="n"/>
      <c r="J649" s="167" t="n"/>
      <c r="K649" s="167" t="n"/>
      <c r="L649" s="289" t="n"/>
      <c r="M649" s="157" t="n"/>
      <c r="N649" s="289" t="n"/>
      <c r="O649" s="290">
        <f>IF(COUNT(商品マスタ[[#This Row],[参考上代
（税込)]]) &gt; 0, (商品マスタ[[#This Row],[参考上代
（税込)]]-商品マスタ[[#This Row],[国内定価
（15％）]])/(商品マスタ[[#This Row],[参考上代
（税込)]]/1.08), "")</f>
        <v/>
      </c>
      <c r="P649" s="136" t="n">
        <v>0.1</v>
      </c>
      <c r="Q649" s="289">
        <f>商品マスタ[[#This Row],[仕入
単価]]*商品マスタ[[#This Row],[標準国内送料率]]</f>
        <v/>
      </c>
      <c r="R649" s="289" t="n"/>
      <c r="S649" s="289">
        <f>IF(ISBLANK(商品マスタ[[#This Row],[実績
国内送料]]),商品マスタ[[#This Row],[標準国内送料]],)</f>
        <v/>
      </c>
      <c r="T649" s="289">
        <f>商品マスタ[[#This Row],[仕入
単価]]+商品マスタ[[#This Row],[国内送料]]</f>
        <v/>
      </c>
      <c r="U649" s="289">
        <f>ROUNDUP(商品マスタ[[#This Row],[仕入単価+国内送料]]/0.8,-1)</f>
        <v/>
      </c>
      <c r="V649" s="289">
        <f>商品マスタ[[#This Row],[海外定価
（20％）]]-商品マスタ[[#This Row],[仕入単価+国内送料]]</f>
        <v/>
      </c>
      <c r="W649" s="167">
        <f>ROUNDUP(商品マスタ[[#This Row],[仕入単価+国内送料]]/0.85,-1)</f>
        <v/>
      </c>
      <c r="X649" s="289">
        <f>商品マスタ[[#This Row],[国内定価
（15％）]]-商品マスタ[[#This Row],[仕入単価+国内送料]]</f>
        <v/>
      </c>
      <c r="Y649" s="139" t="n"/>
      <c r="Z649" s="167" t="n"/>
      <c r="AA649" s="167" t="n"/>
      <c r="AB649" s="167" t="n"/>
      <c r="AC649" s="293" t="n"/>
      <c r="AD649" s="167" t="n"/>
      <c r="AE649" s="167" t="n"/>
      <c r="AF649" s="167" t="n"/>
      <c r="AG649" s="144" t="n"/>
    </row>
    <row r="650" ht="18" customHeight="1" s="207">
      <c r="A650" s="166" t="n"/>
      <c r="B650" s="167" t="n"/>
      <c r="C650" s="167" t="n"/>
      <c r="D650" s="143">
        <f>"PRD_SNJ_"&amp;
_xlfn.XLOOKUP(商品マスタ[[#This Row],[仕入先]],テーブル1[仕入先名],テーブル1[仕入先コード],"XXX",0,1)&amp;
"_"&amp;
商品マスタ[[#This Row],[シリアル]]&amp;
"_"&amp;
TEXT(COUNTIFS(商品マスタ!$C$3:C650,商品マスタ[[#This Row],[仕入先]],商品マスタ!$E$3:E650,商品マスタ[[#This Row],[商品名]]), "00")</f>
        <v/>
      </c>
      <c r="E650" s="167" t="n"/>
      <c r="F650" s="167">
        <f>IF(COUNTIFS($C$3:C650,商品マスタ[[#This Row],[仕入先]],$E$3:E650,商品マスタ[[#This Row],[商品名]]) = 1, 1,0)</f>
        <v/>
      </c>
      <c r="G650" s="133">
        <f>TEXT(SUMIF($C$3:C650,商品マスタ[[#This Row],[仕入先]],$F$3:F650), "0000")</f>
        <v/>
      </c>
      <c r="H650" s="167" t="n"/>
      <c r="I650" s="167" t="n"/>
      <c r="J650" s="167" t="n"/>
      <c r="K650" s="167" t="n"/>
      <c r="L650" s="289" t="n"/>
      <c r="M650" s="157" t="n"/>
      <c r="N650" s="289" t="n"/>
      <c r="O650" s="290">
        <f>IF(COUNT(商品マスタ[[#This Row],[参考上代
（税込)]]) &gt; 0, (商品マスタ[[#This Row],[参考上代
（税込)]]-商品マスタ[[#This Row],[国内定価
（15％）]])/(商品マスタ[[#This Row],[参考上代
（税込)]]/1.08), "")</f>
        <v/>
      </c>
      <c r="P650" s="136" t="n">
        <v>0.1</v>
      </c>
      <c r="Q650" s="289">
        <f>商品マスタ[[#This Row],[仕入
単価]]*商品マスタ[[#This Row],[標準国内送料率]]</f>
        <v/>
      </c>
      <c r="R650" s="289" t="n"/>
      <c r="S650" s="289">
        <f>IF(ISBLANK(商品マスタ[[#This Row],[実績
国内送料]]),商品マスタ[[#This Row],[標準国内送料]],)</f>
        <v/>
      </c>
      <c r="T650" s="289">
        <f>商品マスタ[[#This Row],[仕入
単価]]+商品マスタ[[#This Row],[国内送料]]</f>
        <v/>
      </c>
      <c r="U650" s="289">
        <f>ROUNDUP(商品マスタ[[#This Row],[仕入単価+国内送料]]/0.8,-1)</f>
        <v/>
      </c>
      <c r="V650" s="289">
        <f>商品マスタ[[#This Row],[海外定価
（20％）]]-商品マスタ[[#This Row],[仕入単価+国内送料]]</f>
        <v/>
      </c>
      <c r="W650" s="167">
        <f>ROUNDUP(商品マスタ[[#This Row],[仕入単価+国内送料]]/0.85,-1)</f>
        <v/>
      </c>
      <c r="X650" s="289">
        <f>商品マスタ[[#This Row],[国内定価
（15％）]]-商品マスタ[[#This Row],[仕入単価+国内送料]]</f>
        <v/>
      </c>
      <c r="Y650" s="139" t="n"/>
      <c r="Z650" s="167" t="n"/>
      <c r="AA650" s="167" t="n"/>
      <c r="AB650" s="167" t="n"/>
      <c r="AC650" s="293" t="n"/>
      <c r="AD650" s="167" t="n"/>
      <c r="AE650" s="167" t="n"/>
      <c r="AF650" s="167" t="n"/>
      <c r="AG650" s="144" t="n"/>
    </row>
    <row r="651" ht="18" customHeight="1" s="207">
      <c r="A651" s="166" t="n"/>
      <c r="B651" s="167" t="n"/>
      <c r="C651" s="167" t="n"/>
      <c r="D651" s="143">
        <f>"PRD_SNJ_"&amp;
_xlfn.XLOOKUP(商品マスタ[[#This Row],[仕入先]],テーブル1[仕入先名],テーブル1[仕入先コード],"XXX",0,1)&amp;
"_"&amp;
商品マスタ[[#This Row],[シリアル]]&amp;
"_"&amp;
TEXT(COUNTIFS(商品マスタ!$C$3:C651,商品マスタ[[#This Row],[仕入先]],商品マスタ!$E$3:E651,商品マスタ[[#This Row],[商品名]]), "00")</f>
        <v/>
      </c>
      <c r="E651" s="167" t="n"/>
      <c r="F651" s="167">
        <f>IF(COUNTIFS($C$3:C651,商品マスタ[[#This Row],[仕入先]],$E$3:E651,商品マスタ[[#This Row],[商品名]]) = 1, 1,0)</f>
        <v/>
      </c>
      <c r="G651" s="133">
        <f>TEXT(SUMIF($C$3:C651,商品マスタ[[#This Row],[仕入先]],$F$3:F651), "0000")</f>
        <v/>
      </c>
      <c r="H651" s="167" t="n"/>
      <c r="I651" s="167" t="n"/>
      <c r="J651" s="167" t="n"/>
      <c r="K651" s="167" t="n"/>
      <c r="L651" s="289" t="n"/>
      <c r="M651" s="157" t="n"/>
      <c r="N651" s="289" t="n"/>
      <c r="O651" s="290">
        <f>IF(COUNT(商品マスタ[[#This Row],[参考上代
（税込)]]) &gt; 0, (商品マスタ[[#This Row],[参考上代
（税込)]]-商品マスタ[[#This Row],[国内定価
（15％）]])/(商品マスタ[[#This Row],[参考上代
（税込)]]/1.08), "")</f>
        <v/>
      </c>
      <c r="P651" s="136" t="n">
        <v>0.1</v>
      </c>
      <c r="Q651" s="289">
        <f>商品マスタ[[#This Row],[仕入
単価]]*商品マスタ[[#This Row],[標準国内送料率]]</f>
        <v/>
      </c>
      <c r="R651" s="289" t="n"/>
      <c r="S651" s="289">
        <f>IF(ISBLANK(商品マスタ[[#This Row],[実績
国内送料]]),商品マスタ[[#This Row],[標準国内送料]],)</f>
        <v/>
      </c>
      <c r="T651" s="289">
        <f>商品マスタ[[#This Row],[仕入
単価]]+商品マスタ[[#This Row],[国内送料]]</f>
        <v/>
      </c>
      <c r="U651" s="289">
        <f>ROUNDUP(商品マスタ[[#This Row],[仕入単価+国内送料]]/0.8,-1)</f>
        <v/>
      </c>
      <c r="V651" s="289">
        <f>商品マスタ[[#This Row],[海外定価
（20％）]]-商品マスタ[[#This Row],[仕入単価+国内送料]]</f>
        <v/>
      </c>
      <c r="W651" s="167">
        <f>ROUNDUP(商品マスタ[[#This Row],[仕入単価+国内送料]]/0.85,-1)</f>
        <v/>
      </c>
      <c r="X651" s="289">
        <f>商品マスタ[[#This Row],[国内定価
（15％）]]-商品マスタ[[#This Row],[仕入単価+国内送料]]</f>
        <v/>
      </c>
      <c r="Y651" s="139" t="n"/>
      <c r="Z651" s="167" t="n"/>
      <c r="AA651" s="167" t="n"/>
      <c r="AB651" s="167" t="n"/>
      <c r="AC651" s="293" t="n"/>
      <c r="AD651" s="167" t="n"/>
      <c r="AE651" s="167" t="n"/>
      <c r="AF651" s="167" t="n"/>
      <c r="AG651" s="144" t="n"/>
    </row>
    <row r="652" ht="18" customHeight="1" s="207">
      <c r="A652" s="166" t="n"/>
      <c r="B652" s="167" t="n"/>
      <c r="C652" s="167" t="n"/>
      <c r="D652" s="143">
        <f>"PRD_SNJ_"&amp;
_xlfn.XLOOKUP(商品マスタ[[#This Row],[仕入先]],テーブル1[仕入先名],テーブル1[仕入先コード],"XXX",0,1)&amp;
"_"&amp;
商品マスタ[[#This Row],[シリアル]]&amp;
"_"&amp;
TEXT(COUNTIFS(商品マスタ!$C$3:C652,商品マスタ[[#This Row],[仕入先]],商品マスタ!$E$3:E652,商品マスタ[[#This Row],[商品名]]), "00")</f>
        <v/>
      </c>
      <c r="E652" s="167" t="n"/>
      <c r="F652" s="167">
        <f>IF(COUNTIFS($C$3:C652,商品マスタ[[#This Row],[仕入先]],$E$3:E652,商品マスタ[[#This Row],[商品名]]) = 1, 1,0)</f>
        <v/>
      </c>
      <c r="G652" s="133">
        <f>TEXT(SUMIF($C$3:C652,商品マスタ[[#This Row],[仕入先]],$F$3:F652), "0000")</f>
        <v/>
      </c>
      <c r="H652" s="167" t="n"/>
      <c r="I652" s="167" t="n"/>
      <c r="J652" s="167" t="n"/>
      <c r="K652" s="167" t="n"/>
      <c r="L652" s="289" t="n"/>
      <c r="M652" s="157" t="n"/>
      <c r="N652" s="289" t="n"/>
      <c r="O652" s="290">
        <f>IF(COUNT(商品マスタ[[#This Row],[参考上代
（税込)]]) &gt; 0, (商品マスタ[[#This Row],[参考上代
（税込)]]-商品マスタ[[#This Row],[国内定価
（15％）]])/(商品マスタ[[#This Row],[参考上代
（税込)]]/1.08), "")</f>
        <v/>
      </c>
      <c r="P652" s="136" t="n">
        <v>0.1</v>
      </c>
      <c r="Q652" s="289">
        <f>商品マスタ[[#This Row],[仕入
単価]]*商品マスタ[[#This Row],[標準国内送料率]]</f>
        <v/>
      </c>
      <c r="R652" s="289" t="n"/>
      <c r="S652" s="289">
        <f>IF(ISBLANK(商品マスタ[[#This Row],[実績
国内送料]]),商品マスタ[[#This Row],[標準国内送料]],)</f>
        <v/>
      </c>
      <c r="T652" s="289">
        <f>商品マスタ[[#This Row],[仕入
単価]]+商品マスタ[[#This Row],[国内送料]]</f>
        <v/>
      </c>
      <c r="U652" s="289">
        <f>ROUNDUP(商品マスタ[[#This Row],[仕入単価+国内送料]]/0.8,-1)</f>
        <v/>
      </c>
      <c r="V652" s="289">
        <f>商品マスタ[[#This Row],[海外定価
（20％）]]-商品マスタ[[#This Row],[仕入単価+国内送料]]</f>
        <v/>
      </c>
      <c r="W652" s="167">
        <f>ROUNDUP(商品マスタ[[#This Row],[仕入単価+国内送料]]/0.85,-1)</f>
        <v/>
      </c>
      <c r="X652" s="289">
        <f>商品マスタ[[#This Row],[国内定価
（15％）]]-商品マスタ[[#This Row],[仕入単価+国内送料]]</f>
        <v/>
      </c>
      <c r="Y652" s="139" t="n"/>
      <c r="Z652" s="167" t="n"/>
      <c r="AA652" s="167" t="n"/>
      <c r="AB652" s="167" t="n"/>
      <c r="AC652" s="293" t="n"/>
      <c r="AD652" s="167" t="n"/>
      <c r="AE652" s="167" t="n"/>
      <c r="AF652" s="167" t="n"/>
      <c r="AG652" s="144" t="n"/>
    </row>
    <row r="653" ht="18" customHeight="1" s="207">
      <c r="A653" s="166" t="n"/>
      <c r="B653" s="167" t="n"/>
      <c r="C653" s="167" t="n"/>
      <c r="D653" s="143">
        <f>"PRD_SNJ_"&amp;
_xlfn.XLOOKUP(商品マスタ[[#This Row],[仕入先]],テーブル1[仕入先名],テーブル1[仕入先コード],"XXX",0,1)&amp;
"_"&amp;
商品マスタ[[#This Row],[シリアル]]&amp;
"_"&amp;
TEXT(COUNTIFS(商品マスタ!$C$3:C653,商品マスタ[[#This Row],[仕入先]],商品マスタ!$E$3:E653,商品マスタ[[#This Row],[商品名]]), "00")</f>
        <v/>
      </c>
      <c r="E653" s="167" t="n"/>
      <c r="F653" s="167">
        <f>IF(COUNTIFS($C$3:C653,商品マスタ[[#This Row],[仕入先]],$E$3:E653,商品マスタ[[#This Row],[商品名]]) = 1, 1,0)</f>
        <v/>
      </c>
      <c r="G653" s="133">
        <f>TEXT(SUMIF($C$3:C653,商品マスタ[[#This Row],[仕入先]],$F$3:F653), "0000")</f>
        <v/>
      </c>
      <c r="H653" s="167" t="n"/>
      <c r="I653" s="167" t="n"/>
      <c r="J653" s="167" t="n"/>
      <c r="K653" s="167" t="n"/>
      <c r="L653" s="289" t="n"/>
      <c r="M653" s="157" t="n"/>
      <c r="N653" s="289" t="n"/>
      <c r="O653" s="290">
        <f>IF(COUNT(商品マスタ[[#This Row],[参考上代
（税込)]]) &gt; 0, (商品マスタ[[#This Row],[参考上代
（税込)]]-商品マスタ[[#This Row],[国内定価
（15％）]])/(商品マスタ[[#This Row],[参考上代
（税込)]]/1.08), "")</f>
        <v/>
      </c>
      <c r="P653" s="136" t="n">
        <v>0.1</v>
      </c>
      <c r="Q653" s="289">
        <f>商品マスタ[[#This Row],[仕入
単価]]*商品マスタ[[#This Row],[標準国内送料率]]</f>
        <v/>
      </c>
      <c r="R653" s="289" t="n"/>
      <c r="S653" s="289">
        <f>IF(ISBLANK(商品マスタ[[#This Row],[実績
国内送料]]),商品マスタ[[#This Row],[標準国内送料]],)</f>
        <v/>
      </c>
      <c r="T653" s="289">
        <f>商品マスタ[[#This Row],[仕入
単価]]+商品マスタ[[#This Row],[国内送料]]</f>
        <v/>
      </c>
      <c r="U653" s="289">
        <f>ROUNDUP(商品マスタ[[#This Row],[仕入単価+国内送料]]/0.8,-1)</f>
        <v/>
      </c>
      <c r="V653" s="289">
        <f>商品マスタ[[#This Row],[海外定価
（20％）]]-商品マスタ[[#This Row],[仕入単価+国内送料]]</f>
        <v/>
      </c>
      <c r="W653" s="167">
        <f>ROUNDUP(商品マスタ[[#This Row],[仕入単価+国内送料]]/0.85,-1)</f>
        <v/>
      </c>
      <c r="X653" s="289">
        <f>商品マスタ[[#This Row],[国内定価
（15％）]]-商品マスタ[[#This Row],[仕入単価+国内送料]]</f>
        <v/>
      </c>
      <c r="Y653" s="139" t="n"/>
      <c r="Z653" s="167" t="n"/>
      <c r="AA653" s="167" t="n"/>
      <c r="AB653" s="167" t="n"/>
      <c r="AC653" s="293" t="n"/>
      <c r="AD653" s="167" t="n"/>
      <c r="AE653" s="167" t="n"/>
      <c r="AF653" s="167" t="n"/>
      <c r="AG653" s="144" t="n"/>
    </row>
    <row r="654" ht="18" customHeight="1" s="207">
      <c r="A654" s="166" t="n"/>
      <c r="B654" s="167" t="n"/>
      <c r="C654" s="167" t="n"/>
      <c r="D654" s="143">
        <f>"PRD_SNJ_"&amp;
_xlfn.XLOOKUP(商品マスタ[[#This Row],[仕入先]],テーブル1[仕入先名],テーブル1[仕入先コード],"XXX",0,1)&amp;
"_"&amp;
商品マスタ[[#This Row],[シリアル]]&amp;
"_"&amp;
TEXT(COUNTIFS(商品マスタ!$C$3:C654,商品マスタ[[#This Row],[仕入先]],商品マスタ!$E$3:E654,商品マスタ[[#This Row],[商品名]]), "00")</f>
        <v/>
      </c>
      <c r="E654" s="167" t="n"/>
      <c r="F654" s="167">
        <f>IF(COUNTIFS($C$3:C654,商品マスタ[[#This Row],[仕入先]],$E$3:E654,商品マスタ[[#This Row],[商品名]]) = 1, 1,0)</f>
        <v/>
      </c>
      <c r="G654" s="133">
        <f>TEXT(SUMIF($C$3:C654,商品マスタ[[#This Row],[仕入先]],$F$3:F654), "0000")</f>
        <v/>
      </c>
      <c r="H654" s="167" t="n"/>
      <c r="I654" s="167" t="n"/>
      <c r="J654" s="167" t="n"/>
      <c r="K654" s="167" t="n"/>
      <c r="L654" s="289" t="n"/>
      <c r="M654" s="157" t="n"/>
      <c r="N654" s="289" t="n"/>
      <c r="O654" s="290">
        <f>IF(COUNT(商品マスタ[[#This Row],[参考上代
（税込)]]) &gt; 0, (商品マスタ[[#This Row],[参考上代
（税込)]]-商品マスタ[[#This Row],[国内定価
（15％）]])/(商品マスタ[[#This Row],[参考上代
（税込)]]/1.08), "")</f>
        <v/>
      </c>
      <c r="P654" s="136" t="n">
        <v>0.1</v>
      </c>
      <c r="Q654" s="289">
        <f>商品マスタ[[#This Row],[仕入
単価]]*商品マスタ[[#This Row],[標準国内送料率]]</f>
        <v/>
      </c>
      <c r="R654" s="289" t="n"/>
      <c r="S654" s="289">
        <f>IF(ISBLANK(商品マスタ[[#This Row],[実績
国内送料]]),商品マスタ[[#This Row],[標準国内送料]],)</f>
        <v/>
      </c>
      <c r="T654" s="289">
        <f>商品マスタ[[#This Row],[仕入
単価]]+商品マスタ[[#This Row],[国内送料]]</f>
        <v/>
      </c>
      <c r="U654" s="289">
        <f>ROUNDUP(商品マスタ[[#This Row],[仕入単価+国内送料]]/0.8,-1)</f>
        <v/>
      </c>
      <c r="V654" s="289">
        <f>商品マスタ[[#This Row],[海外定価
（20％）]]-商品マスタ[[#This Row],[仕入単価+国内送料]]</f>
        <v/>
      </c>
      <c r="W654" s="167">
        <f>ROUNDUP(商品マスタ[[#This Row],[仕入単価+国内送料]]/0.85,-1)</f>
        <v/>
      </c>
      <c r="X654" s="289">
        <f>商品マスタ[[#This Row],[国内定価
（15％）]]-商品マスタ[[#This Row],[仕入単価+国内送料]]</f>
        <v/>
      </c>
      <c r="Y654" s="139" t="n"/>
      <c r="Z654" s="167" t="n"/>
      <c r="AA654" s="167" t="n"/>
      <c r="AB654" s="167" t="n"/>
      <c r="AC654" s="293" t="n"/>
      <c r="AD654" s="167" t="n"/>
      <c r="AE654" s="167" t="n"/>
      <c r="AF654" s="167" t="n"/>
      <c r="AG654" s="144" t="n"/>
    </row>
    <row r="655" ht="18" customHeight="1" s="207">
      <c r="A655" s="166" t="n"/>
      <c r="B655" s="167" t="n"/>
      <c r="C655" s="167" t="n"/>
      <c r="D655" s="143">
        <f>"PRD_SNJ_"&amp;
_xlfn.XLOOKUP(商品マスタ[[#This Row],[仕入先]],テーブル1[仕入先名],テーブル1[仕入先コード],"XXX",0,1)&amp;
"_"&amp;
商品マスタ[[#This Row],[シリアル]]&amp;
"_"&amp;
TEXT(COUNTIFS(商品マスタ!$C$3:C655,商品マスタ[[#This Row],[仕入先]],商品マスタ!$E$3:E655,商品マスタ[[#This Row],[商品名]]), "00")</f>
        <v/>
      </c>
      <c r="E655" s="167" t="n"/>
      <c r="F655" s="167">
        <f>IF(COUNTIFS($C$3:C655,商品マスタ[[#This Row],[仕入先]],$E$3:E655,商品マスタ[[#This Row],[商品名]]) = 1, 1,0)</f>
        <v/>
      </c>
      <c r="G655" s="133">
        <f>TEXT(SUMIF($C$3:C655,商品マスタ[[#This Row],[仕入先]],$F$3:F655), "0000")</f>
        <v/>
      </c>
      <c r="H655" s="167" t="n"/>
      <c r="I655" s="167" t="n"/>
      <c r="J655" s="167" t="n"/>
      <c r="K655" s="167" t="n"/>
      <c r="L655" s="289" t="n"/>
      <c r="M655" s="157" t="n"/>
      <c r="N655" s="289" t="n"/>
      <c r="O655" s="290">
        <f>IF(COUNT(商品マスタ[[#This Row],[参考上代
（税込)]]) &gt; 0, (商品マスタ[[#This Row],[参考上代
（税込)]]-商品マスタ[[#This Row],[国内定価
（15％）]])/(商品マスタ[[#This Row],[参考上代
（税込)]]/1.08), "")</f>
        <v/>
      </c>
      <c r="P655" s="136" t="n">
        <v>0.1</v>
      </c>
      <c r="Q655" s="289">
        <f>商品マスタ[[#This Row],[仕入
単価]]*商品マスタ[[#This Row],[標準国内送料率]]</f>
        <v/>
      </c>
      <c r="R655" s="289" t="n"/>
      <c r="S655" s="289">
        <f>IF(ISBLANK(商品マスタ[[#This Row],[実績
国内送料]]),商品マスタ[[#This Row],[標準国内送料]],)</f>
        <v/>
      </c>
      <c r="T655" s="289">
        <f>商品マスタ[[#This Row],[仕入
単価]]+商品マスタ[[#This Row],[国内送料]]</f>
        <v/>
      </c>
      <c r="U655" s="289">
        <f>ROUNDUP(商品マスタ[[#This Row],[仕入単価+国内送料]]/0.8,-1)</f>
        <v/>
      </c>
      <c r="V655" s="289">
        <f>商品マスタ[[#This Row],[海外定価
（20％）]]-商品マスタ[[#This Row],[仕入単価+国内送料]]</f>
        <v/>
      </c>
      <c r="W655" s="167">
        <f>ROUNDUP(商品マスタ[[#This Row],[仕入単価+国内送料]]/0.85,-1)</f>
        <v/>
      </c>
      <c r="X655" s="289">
        <f>商品マスタ[[#This Row],[国内定価
（15％）]]-商品マスタ[[#This Row],[仕入単価+国内送料]]</f>
        <v/>
      </c>
      <c r="Y655" s="139" t="n"/>
      <c r="Z655" s="167" t="n"/>
      <c r="AA655" s="167" t="n"/>
      <c r="AB655" s="167" t="n"/>
      <c r="AC655" s="293" t="n"/>
      <c r="AD655" s="167" t="n"/>
      <c r="AE655" s="167" t="n"/>
      <c r="AF655" s="167" t="n"/>
      <c r="AG655" s="144" t="n"/>
    </row>
    <row r="656" ht="18" customHeight="1" s="207">
      <c r="A656" s="166" t="n"/>
      <c r="B656" s="167" t="n"/>
      <c r="C656" s="167" t="n"/>
      <c r="D656" s="143">
        <f>"PRD_SNJ_"&amp;
_xlfn.XLOOKUP(商品マスタ[[#This Row],[仕入先]],テーブル1[仕入先名],テーブル1[仕入先コード],"XXX",0,1)&amp;
"_"&amp;
商品マスタ[[#This Row],[シリアル]]&amp;
"_"&amp;
TEXT(COUNTIFS(商品マスタ!$C$3:C656,商品マスタ[[#This Row],[仕入先]],商品マスタ!$E$3:E656,商品マスタ[[#This Row],[商品名]]), "00")</f>
        <v/>
      </c>
      <c r="E656" s="167" t="n"/>
      <c r="F656" s="167">
        <f>IF(COUNTIFS($C$3:C656,商品マスタ[[#This Row],[仕入先]],$E$3:E656,商品マスタ[[#This Row],[商品名]]) = 1, 1,0)</f>
        <v/>
      </c>
      <c r="G656" s="133">
        <f>TEXT(SUMIF($C$3:C656,商品マスタ[[#This Row],[仕入先]],$F$3:F656), "0000")</f>
        <v/>
      </c>
      <c r="H656" s="167" t="n"/>
      <c r="I656" s="167" t="n"/>
      <c r="J656" s="167" t="n"/>
      <c r="K656" s="167" t="n"/>
      <c r="L656" s="289" t="n"/>
      <c r="M656" s="157" t="n"/>
      <c r="N656" s="289" t="n"/>
      <c r="O656" s="290">
        <f>IF(COUNT(商品マスタ[[#This Row],[参考上代
（税込)]]) &gt; 0, (商品マスタ[[#This Row],[参考上代
（税込)]]-商品マスタ[[#This Row],[国内定価
（15％）]])/(商品マスタ[[#This Row],[参考上代
（税込)]]/1.08), "")</f>
        <v/>
      </c>
      <c r="P656" s="136" t="n">
        <v>0.1</v>
      </c>
      <c r="Q656" s="289">
        <f>商品マスタ[[#This Row],[仕入
単価]]*商品マスタ[[#This Row],[標準国内送料率]]</f>
        <v/>
      </c>
      <c r="R656" s="289" t="n"/>
      <c r="S656" s="289">
        <f>IF(ISBLANK(商品マスタ[[#This Row],[実績
国内送料]]),商品マスタ[[#This Row],[標準国内送料]],)</f>
        <v/>
      </c>
      <c r="T656" s="289">
        <f>商品マスタ[[#This Row],[仕入
単価]]+商品マスタ[[#This Row],[国内送料]]</f>
        <v/>
      </c>
      <c r="U656" s="289">
        <f>ROUNDUP(商品マスタ[[#This Row],[仕入単価+国内送料]]/0.8,-1)</f>
        <v/>
      </c>
      <c r="V656" s="289">
        <f>商品マスタ[[#This Row],[海外定価
（20％）]]-商品マスタ[[#This Row],[仕入単価+国内送料]]</f>
        <v/>
      </c>
      <c r="W656" s="167">
        <f>ROUNDUP(商品マスタ[[#This Row],[仕入単価+国内送料]]/0.85,-1)</f>
        <v/>
      </c>
      <c r="X656" s="289">
        <f>商品マスタ[[#This Row],[国内定価
（15％）]]-商品マスタ[[#This Row],[仕入単価+国内送料]]</f>
        <v/>
      </c>
      <c r="Y656" s="139" t="n"/>
      <c r="Z656" s="167" t="n"/>
      <c r="AA656" s="167" t="n"/>
      <c r="AB656" s="167" t="n"/>
      <c r="AC656" s="293" t="n"/>
      <c r="AD656" s="167" t="n"/>
      <c r="AE656" s="167" t="n"/>
      <c r="AF656" s="167" t="n"/>
      <c r="AG656" s="144" t="n"/>
    </row>
    <row r="657" ht="18" customHeight="1" s="207">
      <c r="A657" s="166" t="n"/>
      <c r="B657" s="167" t="n"/>
      <c r="C657" s="167" t="n"/>
      <c r="D657" s="143">
        <f>"PRD_SNJ_"&amp;
_xlfn.XLOOKUP(商品マスタ[[#This Row],[仕入先]],テーブル1[仕入先名],テーブル1[仕入先コード],"XXX",0,1)&amp;
"_"&amp;
商品マスタ[[#This Row],[シリアル]]&amp;
"_"&amp;
TEXT(COUNTIFS(商品マスタ!$C$3:C657,商品マスタ[[#This Row],[仕入先]],商品マスタ!$E$3:E657,商品マスタ[[#This Row],[商品名]]), "00")</f>
        <v/>
      </c>
      <c r="E657" s="167" t="n"/>
      <c r="F657" s="167">
        <f>IF(COUNTIFS($C$3:C657,商品マスタ[[#This Row],[仕入先]],$E$3:E657,商品マスタ[[#This Row],[商品名]]) = 1, 1,0)</f>
        <v/>
      </c>
      <c r="G657" s="133">
        <f>TEXT(SUMIF($C$3:C657,商品マスタ[[#This Row],[仕入先]],$F$3:F657), "0000")</f>
        <v/>
      </c>
      <c r="H657" s="167" t="n"/>
      <c r="I657" s="167" t="n"/>
      <c r="J657" s="167" t="n"/>
      <c r="K657" s="167" t="n"/>
      <c r="L657" s="289" t="n"/>
      <c r="M657" s="157" t="n"/>
      <c r="N657" s="289" t="n"/>
      <c r="O657" s="290">
        <f>IF(COUNT(商品マスタ[[#This Row],[参考上代
（税込)]]) &gt; 0, (商品マスタ[[#This Row],[参考上代
（税込)]]-商品マスタ[[#This Row],[国内定価
（15％）]])/(商品マスタ[[#This Row],[参考上代
（税込)]]/1.08), "")</f>
        <v/>
      </c>
      <c r="P657" s="136" t="n">
        <v>0.1</v>
      </c>
      <c r="Q657" s="289">
        <f>商品マスタ[[#This Row],[仕入
単価]]*商品マスタ[[#This Row],[標準国内送料率]]</f>
        <v/>
      </c>
      <c r="R657" s="289" t="n"/>
      <c r="S657" s="289">
        <f>IF(ISBLANK(商品マスタ[[#This Row],[実績
国内送料]]),商品マスタ[[#This Row],[標準国内送料]],)</f>
        <v/>
      </c>
      <c r="T657" s="289">
        <f>商品マスタ[[#This Row],[仕入
単価]]+商品マスタ[[#This Row],[国内送料]]</f>
        <v/>
      </c>
      <c r="U657" s="289">
        <f>ROUNDUP(商品マスタ[[#This Row],[仕入単価+国内送料]]/0.8,-1)</f>
        <v/>
      </c>
      <c r="V657" s="289">
        <f>商品マスタ[[#This Row],[海外定価
（20％）]]-商品マスタ[[#This Row],[仕入単価+国内送料]]</f>
        <v/>
      </c>
      <c r="W657" s="167">
        <f>ROUNDUP(商品マスタ[[#This Row],[仕入単価+国内送料]]/0.85,-1)</f>
        <v/>
      </c>
      <c r="X657" s="289">
        <f>商品マスタ[[#This Row],[国内定価
（15％）]]-商品マスタ[[#This Row],[仕入単価+国内送料]]</f>
        <v/>
      </c>
      <c r="Y657" s="139" t="n"/>
      <c r="Z657" s="167" t="n"/>
      <c r="AA657" s="167" t="n"/>
      <c r="AB657" s="167" t="n"/>
      <c r="AC657" s="293" t="n"/>
      <c r="AD657" s="167" t="n"/>
      <c r="AE657" s="167" t="n"/>
      <c r="AF657" s="167" t="n"/>
      <c r="AG657" s="144" t="n"/>
    </row>
    <row r="658" ht="18" customHeight="1" s="207">
      <c r="A658" s="166" t="n"/>
      <c r="B658" s="167" t="n"/>
      <c r="C658" s="167" t="n"/>
      <c r="D658" s="143">
        <f>"PRD_SNJ_"&amp;
_xlfn.XLOOKUP(商品マスタ[[#This Row],[仕入先]],テーブル1[仕入先名],テーブル1[仕入先コード],"XXX",0,1)&amp;
"_"&amp;
商品マスタ[[#This Row],[シリアル]]&amp;
"_"&amp;
TEXT(COUNTIFS(商品マスタ!$C$3:C658,商品マスタ[[#This Row],[仕入先]],商品マスタ!$E$3:E658,商品マスタ[[#This Row],[商品名]]), "00")</f>
        <v/>
      </c>
      <c r="E658" s="167" t="n"/>
      <c r="F658" s="167">
        <f>IF(COUNTIFS($C$3:C658,商品マスタ[[#This Row],[仕入先]],$E$3:E658,商品マスタ[[#This Row],[商品名]]) = 1, 1,0)</f>
        <v/>
      </c>
      <c r="G658" s="133">
        <f>TEXT(SUMIF($C$3:C658,商品マスタ[[#This Row],[仕入先]],$F$3:F658), "0000")</f>
        <v/>
      </c>
      <c r="H658" s="167" t="n"/>
      <c r="I658" s="167" t="n"/>
      <c r="J658" s="167" t="n"/>
      <c r="K658" s="167" t="n"/>
      <c r="L658" s="289" t="n"/>
      <c r="M658" s="157" t="n"/>
      <c r="N658" s="289" t="n"/>
      <c r="O658" s="290">
        <f>IF(COUNT(商品マスタ[[#This Row],[参考上代
（税込)]]) &gt; 0, (商品マスタ[[#This Row],[参考上代
（税込)]]-商品マスタ[[#This Row],[国内定価
（15％）]])/(商品マスタ[[#This Row],[参考上代
（税込)]]/1.08), "")</f>
        <v/>
      </c>
      <c r="P658" s="136" t="n">
        <v>0.1</v>
      </c>
      <c r="Q658" s="289">
        <f>商品マスタ[[#This Row],[仕入
単価]]*商品マスタ[[#This Row],[標準国内送料率]]</f>
        <v/>
      </c>
      <c r="R658" s="289" t="n"/>
      <c r="S658" s="289">
        <f>IF(ISBLANK(商品マスタ[[#This Row],[実績
国内送料]]),商品マスタ[[#This Row],[標準国内送料]],)</f>
        <v/>
      </c>
      <c r="T658" s="289">
        <f>商品マスタ[[#This Row],[仕入
単価]]+商品マスタ[[#This Row],[国内送料]]</f>
        <v/>
      </c>
      <c r="U658" s="289">
        <f>ROUNDUP(商品マスタ[[#This Row],[仕入単価+国内送料]]/0.8,-1)</f>
        <v/>
      </c>
      <c r="V658" s="289">
        <f>商品マスタ[[#This Row],[海外定価
（20％）]]-商品マスタ[[#This Row],[仕入単価+国内送料]]</f>
        <v/>
      </c>
      <c r="W658" s="167">
        <f>ROUNDUP(商品マスタ[[#This Row],[仕入単価+国内送料]]/0.85,-1)</f>
        <v/>
      </c>
      <c r="X658" s="289">
        <f>商品マスタ[[#This Row],[国内定価
（15％）]]-商品マスタ[[#This Row],[仕入単価+国内送料]]</f>
        <v/>
      </c>
      <c r="Y658" s="139" t="n"/>
      <c r="Z658" s="167" t="n"/>
      <c r="AA658" s="167" t="n"/>
      <c r="AB658" s="167" t="n"/>
      <c r="AC658" s="293" t="n"/>
      <c r="AD658" s="167" t="n"/>
      <c r="AE658" s="167" t="n"/>
      <c r="AF658" s="167" t="n"/>
      <c r="AG658" s="144" t="n"/>
    </row>
    <row r="659" ht="18" customHeight="1" s="207">
      <c r="A659" s="166" t="n"/>
      <c r="B659" s="167" t="n"/>
      <c r="C659" s="167" t="n"/>
      <c r="D659" s="143">
        <f>"PRD_SNJ_"&amp;
_xlfn.XLOOKUP(商品マスタ[[#This Row],[仕入先]],テーブル1[仕入先名],テーブル1[仕入先コード],"XXX",0,1)&amp;
"_"&amp;
商品マスタ[[#This Row],[シリアル]]&amp;
"_"&amp;
TEXT(COUNTIFS(商品マスタ!$C$3:C659,商品マスタ[[#This Row],[仕入先]],商品マスタ!$E$3:E659,商品マスタ[[#This Row],[商品名]]), "00")</f>
        <v/>
      </c>
      <c r="E659" s="167" t="n"/>
      <c r="F659" s="167">
        <f>IF(COUNTIFS($C$3:C659,商品マスタ[[#This Row],[仕入先]],$E$3:E659,商品マスタ[[#This Row],[商品名]]) = 1, 1,0)</f>
        <v/>
      </c>
      <c r="G659" s="133">
        <f>TEXT(SUMIF($C$3:C659,商品マスタ[[#This Row],[仕入先]],$F$3:F659), "0000")</f>
        <v/>
      </c>
      <c r="H659" s="167" t="n"/>
      <c r="I659" s="167" t="n"/>
      <c r="J659" s="167" t="n"/>
      <c r="K659" s="167" t="n"/>
      <c r="L659" s="289" t="n"/>
      <c r="M659" s="157" t="n"/>
      <c r="N659" s="289" t="n"/>
      <c r="O659" s="290">
        <f>IF(COUNT(商品マスタ[[#This Row],[参考上代
（税込)]]) &gt; 0, (商品マスタ[[#This Row],[参考上代
（税込)]]-商品マスタ[[#This Row],[国内定価
（15％）]])/(商品マスタ[[#This Row],[参考上代
（税込)]]/1.08), "")</f>
        <v/>
      </c>
      <c r="P659" s="136" t="n">
        <v>0.1</v>
      </c>
      <c r="Q659" s="289">
        <f>商品マスタ[[#This Row],[仕入
単価]]*商品マスタ[[#This Row],[標準国内送料率]]</f>
        <v/>
      </c>
      <c r="R659" s="289" t="n"/>
      <c r="S659" s="289">
        <f>IF(ISBLANK(商品マスタ[[#This Row],[実績
国内送料]]),商品マスタ[[#This Row],[標準国内送料]],)</f>
        <v/>
      </c>
      <c r="T659" s="289">
        <f>商品マスタ[[#This Row],[仕入
単価]]+商品マスタ[[#This Row],[国内送料]]</f>
        <v/>
      </c>
      <c r="U659" s="289">
        <f>ROUNDUP(商品マスタ[[#This Row],[仕入単価+国内送料]]/0.8,-1)</f>
        <v/>
      </c>
      <c r="V659" s="289">
        <f>商品マスタ[[#This Row],[海外定価
（20％）]]-商品マスタ[[#This Row],[仕入単価+国内送料]]</f>
        <v/>
      </c>
      <c r="W659" s="167">
        <f>ROUNDUP(商品マスタ[[#This Row],[仕入単価+国内送料]]/0.85,-1)</f>
        <v/>
      </c>
      <c r="X659" s="289">
        <f>商品マスタ[[#This Row],[国内定価
（15％）]]-商品マスタ[[#This Row],[仕入単価+国内送料]]</f>
        <v/>
      </c>
      <c r="Y659" s="139" t="n"/>
      <c r="Z659" s="167" t="n"/>
      <c r="AA659" s="167" t="n"/>
      <c r="AB659" s="167" t="n"/>
      <c r="AC659" s="293" t="n"/>
      <c r="AD659" s="167" t="n"/>
      <c r="AE659" s="167" t="n"/>
      <c r="AF659" s="167" t="n"/>
      <c r="AG659" s="144" t="n"/>
    </row>
    <row r="660" ht="18" customHeight="1" s="207">
      <c r="A660" s="166" t="n"/>
      <c r="B660" s="167" t="n"/>
      <c r="C660" s="167" t="n"/>
      <c r="D660" s="143">
        <f>"PRD_SNJ_"&amp;
_xlfn.XLOOKUP(商品マスタ[[#This Row],[仕入先]],テーブル1[仕入先名],テーブル1[仕入先コード],"XXX",0,1)&amp;
"_"&amp;
商品マスタ[[#This Row],[シリアル]]&amp;
"_"&amp;
TEXT(COUNTIFS(商品マスタ!$C$3:C660,商品マスタ[[#This Row],[仕入先]],商品マスタ!$E$3:E660,商品マスタ[[#This Row],[商品名]]), "00")</f>
        <v/>
      </c>
      <c r="E660" s="167" t="n"/>
      <c r="F660" s="167">
        <f>IF(COUNTIFS($C$3:C660,商品マスタ[[#This Row],[仕入先]],$E$3:E660,商品マスタ[[#This Row],[商品名]]) = 1, 1,0)</f>
        <v/>
      </c>
      <c r="G660" s="133">
        <f>TEXT(SUMIF($C$3:C660,商品マスタ[[#This Row],[仕入先]],$F$3:F660), "0000")</f>
        <v/>
      </c>
      <c r="H660" s="167" t="n"/>
      <c r="I660" s="167" t="n"/>
      <c r="J660" s="167" t="n"/>
      <c r="K660" s="167" t="n"/>
      <c r="L660" s="289" t="n"/>
      <c r="M660" s="157" t="n"/>
      <c r="N660" s="289" t="n"/>
      <c r="O660" s="290">
        <f>IF(COUNT(商品マスタ[[#This Row],[参考上代
（税込)]]) &gt; 0, (商品マスタ[[#This Row],[参考上代
（税込)]]-商品マスタ[[#This Row],[国内定価
（15％）]])/(商品マスタ[[#This Row],[参考上代
（税込)]]/1.08), "")</f>
        <v/>
      </c>
      <c r="P660" s="136" t="n">
        <v>0.1</v>
      </c>
      <c r="Q660" s="289">
        <f>商品マスタ[[#This Row],[仕入
単価]]*商品マスタ[[#This Row],[標準国内送料率]]</f>
        <v/>
      </c>
      <c r="R660" s="289" t="n"/>
      <c r="S660" s="289">
        <f>IF(ISBLANK(商品マスタ[[#This Row],[実績
国内送料]]),商品マスタ[[#This Row],[標準国内送料]],)</f>
        <v/>
      </c>
      <c r="T660" s="289">
        <f>商品マスタ[[#This Row],[仕入
単価]]+商品マスタ[[#This Row],[国内送料]]</f>
        <v/>
      </c>
      <c r="U660" s="289">
        <f>ROUNDUP(商品マスタ[[#This Row],[仕入単価+国内送料]]/0.8,-1)</f>
        <v/>
      </c>
      <c r="V660" s="289">
        <f>商品マスタ[[#This Row],[海外定価
（20％）]]-商品マスタ[[#This Row],[仕入単価+国内送料]]</f>
        <v/>
      </c>
      <c r="W660" s="167">
        <f>ROUNDUP(商品マスタ[[#This Row],[仕入単価+国内送料]]/0.85,-1)</f>
        <v/>
      </c>
      <c r="X660" s="289">
        <f>商品マスタ[[#This Row],[国内定価
（15％）]]-商品マスタ[[#This Row],[仕入単価+国内送料]]</f>
        <v/>
      </c>
      <c r="Y660" s="139" t="n"/>
      <c r="Z660" s="167" t="n"/>
      <c r="AA660" s="167" t="n"/>
      <c r="AB660" s="167" t="n"/>
      <c r="AC660" s="293" t="n"/>
      <c r="AD660" s="167" t="n"/>
      <c r="AE660" s="167" t="n"/>
      <c r="AF660" s="167" t="n"/>
      <c r="AG660" s="144" t="n"/>
    </row>
    <row r="661" ht="18" customHeight="1" s="207">
      <c r="A661" s="166" t="n"/>
      <c r="B661" s="167" t="n"/>
      <c r="C661" s="167" t="n"/>
      <c r="D661" s="143">
        <f>"PRD_SNJ_"&amp;
_xlfn.XLOOKUP(商品マスタ[[#This Row],[仕入先]],テーブル1[仕入先名],テーブル1[仕入先コード],"XXX",0,1)&amp;
"_"&amp;
商品マスタ[[#This Row],[シリアル]]&amp;
"_"&amp;
TEXT(COUNTIFS(商品マスタ!$C$3:C661,商品マスタ[[#This Row],[仕入先]],商品マスタ!$E$3:E661,商品マスタ[[#This Row],[商品名]]), "00")</f>
        <v/>
      </c>
      <c r="E661" s="167" t="n"/>
      <c r="F661" s="167">
        <f>IF(COUNTIFS($C$3:C661,商品マスタ[[#This Row],[仕入先]],$E$3:E661,商品マスタ[[#This Row],[商品名]]) = 1, 1,0)</f>
        <v/>
      </c>
      <c r="G661" s="133">
        <f>TEXT(SUMIF($C$3:C661,商品マスタ[[#This Row],[仕入先]],$F$3:F661), "0000")</f>
        <v/>
      </c>
      <c r="H661" s="167" t="n"/>
      <c r="I661" s="167" t="n"/>
      <c r="J661" s="167" t="n"/>
      <c r="K661" s="167" t="n"/>
      <c r="L661" s="289" t="n"/>
      <c r="M661" s="157" t="n"/>
      <c r="N661" s="289" t="n"/>
      <c r="O661" s="290">
        <f>IF(COUNT(商品マスタ[[#This Row],[参考上代
（税込)]]) &gt; 0, (商品マスタ[[#This Row],[参考上代
（税込)]]-商品マスタ[[#This Row],[国内定価
（15％）]])/(商品マスタ[[#This Row],[参考上代
（税込)]]/1.08), "")</f>
        <v/>
      </c>
      <c r="P661" s="136" t="n">
        <v>0.1</v>
      </c>
      <c r="Q661" s="289">
        <f>商品マスタ[[#This Row],[仕入
単価]]*商品マスタ[[#This Row],[標準国内送料率]]</f>
        <v/>
      </c>
      <c r="R661" s="289" t="n"/>
      <c r="S661" s="289">
        <f>IF(ISBLANK(商品マスタ[[#This Row],[実績
国内送料]]),商品マスタ[[#This Row],[標準国内送料]],)</f>
        <v/>
      </c>
      <c r="T661" s="289">
        <f>商品マスタ[[#This Row],[仕入
単価]]+商品マスタ[[#This Row],[国内送料]]</f>
        <v/>
      </c>
      <c r="U661" s="289">
        <f>ROUNDUP(商品マスタ[[#This Row],[仕入単価+国内送料]]/0.8,-1)</f>
        <v/>
      </c>
      <c r="V661" s="289">
        <f>商品マスタ[[#This Row],[海外定価
（20％）]]-商品マスタ[[#This Row],[仕入単価+国内送料]]</f>
        <v/>
      </c>
      <c r="W661" s="167">
        <f>ROUNDUP(商品マスタ[[#This Row],[仕入単価+国内送料]]/0.85,-1)</f>
        <v/>
      </c>
      <c r="X661" s="289">
        <f>商品マスタ[[#This Row],[国内定価
（15％）]]-商品マスタ[[#This Row],[仕入単価+国内送料]]</f>
        <v/>
      </c>
      <c r="Y661" s="139" t="n"/>
      <c r="Z661" s="167" t="n"/>
      <c r="AA661" s="167" t="n"/>
      <c r="AB661" s="167" t="n"/>
      <c r="AC661" s="293" t="n"/>
      <c r="AD661" s="167" t="n"/>
      <c r="AE661" s="167" t="n"/>
      <c r="AF661" s="167" t="n"/>
      <c r="AG661" s="144" t="n"/>
    </row>
    <row r="662" ht="18" customHeight="1" s="207">
      <c r="A662" s="166" t="n"/>
      <c r="B662" s="167" t="n"/>
      <c r="C662" s="167" t="n"/>
      <c r="D662" s="143">
        <f>"PRD_SNJ_"&amp;
_xlfn.XLOOKUP(商品マスタ[[#This Row],[仕入先]],テーブル1[仕入先名],テーブル1[仕入先コード],"XXX",0,1)&amp;
"_"&amp;
商品マスタ[[#This Row],[シリアル]]&amp;
"_"&amp;
TEXT(COUNTIFS(商品マスタ!$C$3:C662,商品マスタ[[#This Row],[仕入先]],商品マスタ!$E$3:E662,商品マスタ[[#This Row],[商品名]]), "00")</f>
        <v/>
      </c>
      <c r="E662" s="167" t="n"/>
      <c r="F662" s="167">
        <f>IF(COUNTIFS($C$3:C662,商品マスタ[[#This Row],[仕入先]],$E$3:E662,商品マスタ[[#This Row],[商品名]]) = 1, 1,0)</f>
        <v/>
      </c>
      <c r="G662" s="133">
        <f>TEXT(SUMIF($C$3:C662,商品マスタ[[#This Row],[仕入先]],$F$3:F662), "0000")</f>
        <v/>
      </c>
      <c r="H662" s="167" t="n"/>
      <c r="I662" s="167" t="n"/>
      <c r="J662" s="167" t="n"/>
      <c r="K662" s="167" t="n"/>
      <c r="L662" s="289" t="n"/>
      <c r="M662" s="157" t="n"/>
      <c r="N662" s="289" t="n"/>
      <c r="O662" s="290">
        <f>IF(COUNT(商品マスタ[[#This Row],[参考上代
（税込)]]) &gt; 0, (商品マスタ[[#This Row],[参考上代
（税込)]]-商品マスタ[[#This Row],[国内定価
（15％）]])/(商品マスタ[[#This Row],[参考上代
（税込)]]/1.08), "")</f>
        <v/>
      </c>
      <c r="P662" s="136" t="n">
        <v>0.1</v>
      </c>
      <c r="Q662" s="289">
        <f>商品マスタ[[#This Row],[仕入
単価]]*商品マスタ[[#This Row],[標準国内送料率]]</f>
        <v/>
      </c>
      <c r="R662" s="289" t="n"/>
      <c r="S662" s="289">
        <f>IF(ISBLANK(商品マスタ[[#This Row],[実績
国内送料]]),商品マスタ[[#This Row],[標準国内送料]],)</f>
        <v/>
      </c>
      <c r="T662" s="289">
        <f>商品マスタ[[#This Row],[仕入
単価]]+商品マスタ[[#This Row],[国内送料]]</f>
        <v/>
      </c>
      <c r="U662" s="289">
        <f>ROUNDUP(商品マスタ[[#This Row],[仕入単価+国内送料]]/0.8,-1)</f>
        <v/>
      </c>
      <c r="V662" s="289">
        <f>商品マスタ[[#This Row],[海外定価
（20％）]]-商品マスタ[[#This Row],[仕入単価+国内送料]]</f>
        <v/>
      </c>
      <c r="W662" s="167">
        <f>ROUNDUP(商品マスタ[[#This Row],[仕入単価+国内送料]]/0.85,-1)</f>
        <v/>
      </c>
      <c r="X662" s="289">
        <f>商品マスタ[[#This Row],[国内定価
（15％）]]-商品マスタ[[#This Row],[仕入単価+国内送料]]</f>
        <v/>
      </c>
      <c r="Y662" s="139" t="n"/>
      <c r="Z662" s="167" t="n"/>
      <c r="AA662" s="167" t="n"/>
      <c r="AB662" s="167" t="n"/>
      <c r="AC662" s="293" t="n"/>
      <c r="AD662" s="167" t="n"/>
      <c r="AE662" s="167" t="n"/>
      <c r="AF662" s="167" t="n"/>
      <c r="AG662" s="144" t="n"/>
    </row>
    <row r="663" ht="18" customHeight="1" s="207">
      <c r="A663" s="166" t="n"/>
      <c r="B663" s="167" t="n"/>
      <c r="C663" s="167" t="n"/>
      <c r="D663" s="143">
        <f>"PRD_SNJ_"&amp;
_xlfn.XLOOKUP(商品マスタ[[#This Row],[仕入先]],テーブル1[仕入先名],テーブル1[仕入先コード],"XXX",0,1)&amp;
"_"&amp;
商品マスタ[[#This Row],[シリアル]]&amp;
"_"&amp;
TEXT(COUNTIFS(商品マスタ!$C$3:C663,商品マスタ[[#This Row],[仕入先]],商品マスタ!$E$3:E663,商品マスタ[[#This Row],[商品名]]), "00")</f>
        <v/>
      </c>
      <c r="E663" s="167" t="n"/>
      <c r="F663" s="167">
        <f>IF(COUNTIFS($C$3:C663,商品マスタ[[#This Row],[仕入先]],$E$3:E663,商品マスタ[[#This Row],[商品名]]) = 1, 1,0)</f>
        <v/>
      </c>
      <c r="G663" s="133">
        <f>TEXT(SUMIF($C$3:C663,商品マスタ[[#This Row],[仕入先]],$F$3:F663), "0000")</f>
        <v/>
      </c>
      <c r="H663" s="167" t="n"/>
      <c r="I663" s="167" t="n"/>
      <c r="J663" s="167" t="n"/>
      <c r="K663" s="167" t="n"/>
      <c r="L663" s="289" t="n"/>
      <c r="M663" s="157" t="n"/>
      <c r="N663" s="289" t="n"/>
      <c r="O663" s="290">
        <f>IF(COUNT(商品マスタ[[#This Row],[参考上代
（税込)]]) &gt; 0, (商品マスタ[[#This Row],[参考上代
（税込)]]-商品マスタ[[#This Row],[国内定価
（15％）]])/(商品マスタ[[#This Row],[参考上代
（税込)]]/1.08), "")</f>
        <v/>
      </c>
      <c r="P663" s="136" t="n">
        <v>0.1</v>
      </c>
      <c r="Q663" s="289">
        <f>商品マスタ[[#This Row],[仕入
単価]]*商品マスタ[[#This Row],[標準国内送料率]]</f>
        <v/>
      </c>
      <c r="R663" s="289" t="n"/>
      <c r="S663" s="289">
        <f>IF(ISBLANK(商品マスタ[[#This Row],[実績
国内送料]]),商品マスタ[[#This Row],[標準国内送料]],)</f>
        <v/>
      </c>
      <c r="T663" s="289">
        <f>商品マスタ[[#This Row],[仕入
単価]]+商品マスタ[[#This Row],[国内送料]]</f>
        <v/>
      </c>
      <c r="U663" s="289">
        <f>ROUNDUP(商品マスタ[[#This Row],[仕入単価+国内送料]]/0.8,-1)</f>
        <v/>
      </c>
      <c r="V663" s="289">
        <f>商品マスタ[[#This Row],[海外定価
（20％）]]-商品マスタ[[#This Row],[仕入単価+国内送料]]</f>
        <v/>
      </c>
      <c r="W663" s="167">
        <f>ROUNDUP(商品マスタ[[#This Row],[仕入単価+国内送料]]/0.85,-1)</f>
        <v/>
      </c>
      <c r="X663" s="289">
        <f>商品マスタ[[#This Row],[国内定価
（15％）]]-商品マスタ[[#This Row],[仕入単価+国内送料]]</f>
        <v/>
      </c>
      <c r="Y663" s="139" t="n"/>
      <c r="Z663" s="167" t="n"/>
      <c r="AA663" s="167" t="n"/>
      <c r="AB663" s="167" t="n"/>
      <c r="AC663" s="293" t="n"/>
      <c r="AD663" s="167" t="n"/>
      <c r="AE663" s="167" t="n"/>
      <c r="AF663" s="167" t="n"/>
      <c r="AG663" s="144" t="n"/>
    </row>
    <row r="664" ht="18" customHeight="1" s="207">
      <c r="A664" s="166" t="n"/>
      <c r="B664" s="167" t="n"/>
      <c r="C664" s="167" t="n"/>
      <c r="D664" s="143">
        <f>"PRD_SNJ_"&amp;
_xlfn.XLOOKUP(商品マスタ[[#This Row],[仕入先]],テーブル1[仕入先名],テーブル1[仕入先コード],"XXX",0,1)&amp;
"_"&amp;
商品マスタ[[#This Row],[シリアル]]&amp;
"_"&amp;
TEXT(COUNTIFS(商品マスタ!$C$3:C664,商品マスタ[[#This Row],[仕入先]],商品マスタ!$E$3:E664,商品マスタ[[#This Row],[商品名]]), "00")</f>
        <v/>
      </c>
      <c r="E664" s="167" t="n"/>
      <c r="F664" s="167">
        <f>IF(COUNTIFS($C$3:C664,商品マスタ[[#This Row],[仕入先]],$E$3:E664,商品マスタ[[#This Row],[商品名]]) = 1, 1,0)</f>
        <v/>
      </c>
      <c r="G664" s="133">
        <f>TEXT(SUMIF($C$3:C664,商品マスタ[[#This Row],[仕入先]],$F$3:F664), "0000")</f>
        <v/>
      </c>
      <c r="H664" s="167" t="n"/>
      <c r="I664" s="167" t="n"/>
      <c r="J664" s="167" t="n"/>
      <c r="K664" s="167" t="n"/>
      <c r="L664" s="289" t="n"/>
      <c r="M664" s="157" t="n"/>
      <c r="N664" s="289" t="n"/>
      <c r="O664" s="290">
        <f>IF(COUNT(商品マスタ[[#This Row],[参考上代
（税込)]]) &gt; 0, (商品マスタ[[#This Row],[参考上代
（税込)]]-商品マスタ[[#This Row],[国内定価
（15％）]])/(商品マスタ[[#This Row],[参考上代
（税込)]]/1.08), "")</f>
        <v/>
      </c>
      <c r="P664" s="136" t="n">
        <v>0.1</v>
      </c>
      <c r="Q664" s="289">
        <f>商品マスタ[[#This Row],[仕入
単価]]*商品マスタ[[#This Row],[標準国内送料率]]</f>
        <v/>
      </c>
      <c r="R664" s="289" t="n"/>
      <c r="S664" s="289">
        <f>IF(ISBLANK(商品マスタ[[#This Row],[実績
国内送料]]),商品マスタ[[#This Row],[標準国内送料]],)</f>
        <v/>
      </c>
      <c r="T664" s="289">
        <f>商品マスタ[[#This Row],[仕入
単価]]+商品マスタ[[#This Row],[国内送料]]</f>
        <v/>
      </c>
      <c r="U664" s="289">
        <f>ROUNDUP(商品マスタ[[#This Row],[仕入単価+国内送料]]/0.8,-1)</f>
        <v/>
      </c>
      <c r="V664" s="289">
        <f>商品マスタ[[#This Row],[海外定価
（20％）]]-商品マスタ[[#This Row],[仕入単価+国内送料]]</f>
        <v/>
      </c>
      <c r="W664" s="167">
        <f>ROUNDUP(商品マスタ[[#This Row],[仕入単価+国内送料]]/0.85,-1)</f>
        <v/>
      </c>
      <c r="X664" s="289">
        <f>商品マスタ[[#This Row],[国内定価
（15％）]]-商品マスタ[[#This Row],[仕入単価+国内送料]]</f>
        <v/>
      </c>
      <c r="Y664" s="139" t="n"/>
      <c r="Z664" s="167" t="n"/>
      <c r="AA664" s="167" t="n"/>
      <c r="AB664" s="167" t="n"/>
      <c r="AC664" s="293" t="n"/>
      <c r="AD664" s="167" t="n"/>
      <c r="AE664" s="167" t="n"/>
      <c r="AF664" s="167" t="n"/>
      <c r="AG664" s="144" t="n"/>
    </row>
    <row r="665" ht="18" customHeight="1" s="207">
      <c r="A665" s="166" t="n"/>
      <c r="B665" s="167" t="n"/>
      <c r="C665" s="167" t="n"/>
      <c r="D665" s="143">
        <f>"PRD_SNJ_"&amp;
_xlfn.XLOOKUP(商品マスタ[[#This Row],[仕入先]],テーブル1[仕入先名],テーブル1[仕入先コード],"XXX",0,1)&amp;
"_"&amp;
商品マスタ[[#This Row],[シリアル]]&amp;
"_"&amp;
TEXT(COUNTIFS(商品マスタ!$C$3:C665,商品マスタ[[#This Row],[仕入先]],商品マスタ!$E$3:E665,商品マスタ[[#This Row],[商品名]]), "00")</f>
        <v/>
      </c>
      <c r="E665" s="167" t="n"/>
      <c r="F665" s="167">
        <f>IF(COUNTIFS($C$3:C665,商品マスタ[[#This Row],[仕入先]],$E$3:E665,商品マスタ[[#This Row],[商品名]]) = 1, 1,0)</f>
        <v/>
      </c>
      <c r="G665" s="133">
        <f>TEXT(SUMIF($C$3:C665,商品マスタ[[#This Row],[仕入先]],$F$3:F665), "0000")</f>
        <v/>
      </c>
      <c r="H665" s="167" t="n"/>
      <c r="I665" s="167" t="n"/>
      <c r="J665" s="167" t="n"/>
      <c r="K665" s="167" t="n"/>
      <c r="L665" s="289" t="n"/>
      <c r="M665" s="157" t="n"/>
      <c r="N665" s="289" t="n"/>
      <c r="O665" s="290">
        <f>IF(COUNT(商品マスタ[[#This Row],[参考上代
（税込)]]) &gt; 0, (商品マスタ[[#This Row],[参考上代
（税込)]]-商品マスタ[[#This Row],[国内定価
（15％）]])/(商品マスタ[[#This Row],[参考上代
（税込)]]/1.08), "")</f>
        <v/>
      </c>
      <c r="P665" s="136" t="n">
        <v>0.1</v>
      </c>
      <c r="Q665" s="289">
        <f>商品マスタ[[#This Row],[仕入
単価]]*商品マスタ[[#This Row],[標準国内送料率]]</f>
        <v/>
      </c>
      <c r="R665" s="289" t="n"/>
      <c r="S665" s="289">
        <f>IF(ISBLANK(商品マスタ[[#This Row],[実績
国内送料]]),商品マスタ[[#This Row],[標準国内送料]],)</f>
        <v/>
      </c>
      <c r="T665" s="289">
        <f>商品マスタ[[#This Row],[仕入
単価]]+商品マスタ[[#This Row],[国内送料]]</f>
        <v/>
      </c>
      <c r="U665" s="289">
        <f>ROUNDUP(商品マスタ[[#This Row],[仕入単価+国内送料]]/0.8,-1)</f>
        <v/>
      </c>
      <c r="V665" s="289">
        <f>商品マスタ[[#This Row],[海外定価
（20％）]]-商品マスタ[[#This Row],[仕入単価+国内送料]]</f>
        <v/>
      </c>
      <c r="W665" s="167">
        <f>ROUNDUP(商品マスタ[[#This Row],[仕入単価+国内送料]]/0.85,-1)</f>
        <v/>
      </c>
      <c r="X665" s="289">
        <f>商品マスタ[[#This Row],[国内定価
（15％）]]-商品マスタ[[#This Row],[仕入単価+国内送料]]</f>
        <v/>
      </c>
      <c r="Y665" s="139" t="n"/>
      <c r="Z665" s="167" t="n"/>
      <c r="AA665" s="167" t="n"/>
      <c r="AB665" s="167" t="n"/>
      <c r="AC665" s="293" t="n"/>
      <c r="AD665" s="167" t="n"/>
      <c r="AE665" s="167" t="n"/>
      <c r="AF665" s="167" t="n"/>
      <c r="AG665" s="144" t="n"/>
    </row>
    <row r="666" ht="18" customHeight="1" s="207">
      <c r="A666" s="166" t="n"/>
      <c r="B666" s="167" t="n"/>
      <c r="C666" s="167" t="n"/>
      <c r="D666" s="143">
        <f>"PRD_SNJ_"&amp;
_xlfn.XLOOKUP(商品マスタ[[#This Row],[仕入先]],テーブル1[仕入先名],テーブル1[仕入先コード],"XXX",0,1)&amp;
"_"&amp;
商品マスタ[[#This Row],[シリアル]]&amp;
"_"&amp;
TEXT(COUNTIFS(商品マスタ!$C$3:C666,商品マスタ[[#This Row],[仕入先]],商品マスタ!$E$3:E666,商品マスタ[[#This Row],[商品名]]), "00")</f>
        <v/>
      </c>
      <c r="E666" s="167" t="n"/>
      <c r="F666" s="167">
        <f>IF(COUNTIFS($C$3:C666,商品マスタ[[#This Row],[仕入先]],$E$3:E666,商品マスタ[[#This Row],[商品名]]) = 1, 1,0)</f>
        <v/>
      </c>
      <c r="G666" s="133">
        <f>TEXT(SUMIF($C$3:C666,商品マスタ[[#This Row],[仕入先]],$F$3:F666), "0000")</f>
        <v/>
      </c>
      <c r="H666" s="167" t="n"/>
      <c r="I666" s="167" t="n"/>
      <c r="J666" s="167" t="n"/>
      <c r="K666" s="167" t="n"/>
      <c r="L666" s="289" t="n"/>
      <c r="M666" s="157" t="n"/>
      <c r="N666" s="289" t="n"/>
      <c r="O666" s="290">
        <f>IF(COUNT(商品マスタ[[#This Row],[参考上代
（税込)]]) &gt; 0, (商品マスタ[[#This Row],[参考上代
（税込)]]-商品マスタ[[#This Row],[国内定価
（15％）]])/(商品マスタ[[#This Row],[参考上代
（税込)]]/1.08), "")</f>
        <v/>
      </c>
      <c r="P666" s="136" t="n">
        <v>0.1</v>
      </c>
      <c r="Q666" s="289">
        <f>商品マスタ[[#This Row],[仕入
単価]]*商品マスタ[[#This Row],[標準国内送料率]]</f>
        <v/>
      </c>
      <c r="R666" s="289" t="n"/>
      <c r="S666" s="289">
        <f>IF(ISBLANK(商品マスタ[[#This Row],[実績
国内送料]]),商品マスタ[[#This Row],[標準国内送料]],)</f>
        <v/>
      </c>
      <c r="T666" s="289">
        <f>商品マスタ[[#This Row],[仕入
単価]]+商品マスタ[[#This Row],[国内送料]]</f>
        <v/>
      </c>
      <c r="U666" s="289">
        <f>ROUNDUP(商品マスタ[[#This Row],[仕入単価+国内送料]]/0.8,-1)</f>
        <v/>
      </c>
      <c r="V666" s="289">
        <f>商品マスタ[[#This Row],[海外定価
（20％）]]-商品マスタ[[#This Row],[仕入単価+国内送料]]</f>
        <v/>
      </c>
      <c r="W666" s="167">
        <f>ROUNDUP(商品マスタ[[#This Row],[仕入単価+国内送料]]/0.85,-1)</f>
        <v/>
      </c>
      <c r="X666" s="289">
        <f>商品マスタ[[#This Row],[国内定価
（15％）]]-商品マスタ[[#This Row],[仕入単価+国内送料]]</f>
        <v/>
      </c>
      <c r="Y666" s="139" t="n"/>
      <c r="Z666" s="167" t="n"/>
      <c r="AA666" s="167" t="n"/>
      <c r="AB666" s="167" t="n"/>
      <c r="AC666" s="293" t="n"/>
      <c r="AD666" s="167" t="n"/>
      <c r="AE666" s="167" t="n"/>
      <c r="AF666" s="167" t="n"/>
      <c r="AG666" s="144" t="n"/>
    </row>
    <row r="667" ht="18" customHeight="1" s="207">
      <c r="A667" s="166" t="n"/>
      <c r="B667" s="167" t="n"/>
      <c r="C667" s="167" t="n"/>
      <c r="D667" s="143">
        <f>"PRD_SNJ_"&amp;
_xlfn.XLOOKUP(商品マスタ[[#This Row],[仕入先]],テーブル1[仕入先名],テーブル1[仕入先コード],"XXX",0,1)&amp;
"_"&amp;
商品マスタ[[#This Row],[シリアル]]&amp;
"_"&amp;
TEXT(COUNTIFS(商品マスタ!$C$3:C667,商品マスタ[[#This Row],[仕入先]],商品マスタ!$E$3:E667,商品マスタ[[#This Row],[商品名]]), "00")</f>
        <v/>
      </c>
      <c r="E667" s="167" t="n"/>
      <c r="F667" s="167">
        <f>IF(COUNTIFS($C$3:C667,商品マスタ[[#This Row],[仕入先]],$E$3:E667,商品マスタ[[#This Row],[商品名]]) = 1, 1,0)</f>
        <v/>
      </c>
      <c r="G667" s="133">
        <f>TEXT(SUMIF($C$3:C667,商品マスタ[[#This Row],[仕入先]],$F$3:F667), "0000")</f>
        <v/>
      </c>
      <c r="H667" s="167" t="n"/>
      <c r="I667" s="167" t="n"/>
      <c r="J667" s="167" t="n"/>
      <c r="K667" s="167" t="n"/>
      <c r="L667" s="289" t="n"/>
      <c r="M667" s="157" t="n"/>
      <c r="N667" s="289" t="n"/>
      <c r="O667" s="290">
        <f>IF(COUNT(商品マスタ[[#This Row],[参考上代
（税込)]]) &gt; 0, (商品マスタ[[#This Row],[参考上代
（税込)]]-商品マスタ[[#This Row],[国内定価
（15％）]])/(商品マスタ[[#This Row],[参考上代
（税込)]]/1.08), "")</f>
        <v/>
      </c>
      <c r="P667" s="136" t="n">
        <v>0.1</v>
      </c>
      <c r="Q667" s="289">
        <f>商品マスタ[[#This Row],[仕入
単価]]*商品マスタ[[#This Row],[標準国内送料率]]</f>
        <v/>
      </c>
      <c r="R667" s="289" t="n"/>
      <c r="S667" s="289">
        <f>IF(ISBLANK(商品マスタ[[#This Row],[実績
国内送料]]),商品マスタ[[#This Row],[標準国内送料]],)</f>
        <v/>
      </c>
      <c r="T667" s="289">
        <f>商品マスタ[[#This Row],[仕入
単価]]+商品マスタ[[#This Row],[国内送料]]</f>
        <v/>
      </c>
      <c r="U667" s="289">
        <f>ROUNDUP(商品マスタ[[#This Row],[仕入単価+国内送料]]/0.8,-1)</f>
        <v/>
      </c>
      <c r="V667" s="289">
        <f>商品マスタ[[#This Row],[海外定価
（20％）]]-商品マスタ[[#This Row],[仕入単価+国内送料]]</f>
        <v/>
      </c>
      <c r="W667" s="167">
        <f>ROUNDUP(商品マスタ[[#This Row],[仕入単価+国内送料]]/0.85,-1)</f>
        <v/>
      </c>
      <c r="X667" s="289">
        <f>商品マスタ[[#This Row],[国内定価
（15％）]]-商品マスタ[[#This Row],[仕入単価+国内送料]]</f>
        <v/>
      </c>
      <c r="Y667" s="139" t="n"/>
      <c r="Z667" s="167" t="n"/>
      <c r="AA667" s="167" t="n"/>
      <c r="AB667" s="167" t="n"/>
      <c r="AC667" s="293" t="n"/>
      <c r="AD667" s="167" t="n"/>
      <c r="AE667" s="167" t="n"/>
      <c r="AF667" s="167" t="n"/>
      <c r="AG667" s="144" t="n"/>
    </row>
    <row r="668" ht="18" customHeight="1" s="207">
      <c r="A668" s="166" t="n"/>
      <c r="B668" s="167" t="n"/>
      <c r="C668" s="167" t="n"/>
      <c r="D668" s="143">
        <f>"PRD_SNJ_"&amp;
_xlfn.XLOOKUP(商品マスタ[[#This Row],[仕入先]],テーブル1[仕入先名],テーブル1[仕入先コード],"XXX",0,1)&amp;
"_"&amp;
商品マスタ[[#This Row],[シリアル]]&amp;
"_"&amp;
TEXT(COUNTIFS(商品マスタ!$C$3:C668,商品マスタ[[#This Row],[仕入先]],商品マスタ!$E$3:E668,商品マスタ[[#This Row],[商品名]]), "00")</f>
        <v/>
      </c>
      <c r="E668" s="167" t="n"/>
      <c r="F668" s="167">
        <f>IF(COUNTIFS($C$3:C668,商品マスタ[[#This Row],[仕入先]],$E$3:E668,商品マスタ[[#This Row],[商品名]]) = 1, 1,0)</f>
        <v/>
      </c>
      <c r="G668" s="133">
        <f>TEXT(SUMIF($C$3:C668,商品マスタ[[#This Row],[仕入先]],$F$3:F668), "0000")</f>
        <v/>
      </c>
      <c r="H668" s="167" t="n"/>
      <c r="I668" s="167" t="n"/>
      <c r="J668" s="167" t="n"/>
      <c r="K668" s="167" t="n"/>
      <c r="L668" s="289" t="n"/>
      <c r="M668" s="157" t="n"/>
      <c r="N668" s="289" t="n"/>
      <c r="O668" s="290">
        <f>IF(COUNT(商品マスタ[[#This Row],[参考上代
（税込)]]) &gt; 0, (商品マスタ[[#This Row],[参考上代
（税込)]]-商品マスタ[[#This Row],[国内定価
（15％）]])/(商品マスタ[[#This Row],[参考上代
（税込)]]/1.08), "")</f>
        <v/>
      </c>
      <c r="P668" s="136" t="n">
        <v>0.1</v>
      </c>
      <c r="Q668" s="289">
        <f>商品マスタ[[#This Row],[仕入
単価]]*商品マスタ[[#This Row],[標準国内送料率]]</f>
        <v/>
      </c>
      <c r="R668" s="289" t="n"/>
      <c r="S668" s="289">
        <f>IF(ISBLANK(商品マスタ[[#This Row],[実績
国内送料]]),商品マスタ[[#This Row],[標準国内送料]],)</f>
        <v/>
      </c>
      <c r="T668" s="289">
        <f>商品マスタ[[#This Row],[仕入
単価]]+商品マスタ[[#This Row],[国内送料]]</f>
        <v/>
      </c>
      <c r="U668" s="289">
        <f>ROUNDUP(商品マスタ[[#This Row],[仕入単価+国内送料]]/0.8,-1)</f>
        <v/>
      </c>
      <c r="V668" s="289">
        <f>商品マスタ[[#This Row],[海外定価
（20％）]]-商品マスタ[[#This Row],[仕入単価+国内送料]]</f>
        <v/>
      </c>
      <c r="W668" s="167">
        <f>ROUNDUP(商品マスタ[[#This Row],[仕入単価+国内送料]]/0.85,-1)</f>
        <v/>
      </c>
      <c r="X668" s="289">
        <f>商品マスタ[[#This Row],[国内定価
（15％）]]-商品マスタ[[#This Row],[仕入単価+国内送料]]</f>
        <v/>
      </c>
      <c r="Y668" s="139" t="n"/>
      <c r="Z668" s="167" t="n"/>
      <c r="AA668" s="167" t="n"/>
      <c r="AB668" s="167" t="n"/>
      <c r="AC668" s="293" t="n"/>
      <c r="AD668" s="167" t="n"/>
      <c r="AE668" s="167" t="n"/>
      <c r="AF668" s="167" t="n"/>
      <c r="AG668" s="144" t="n"/>
    </row>
    <row r="669" ht="18" customHeight="1" s="207">
      <c r="A669" s="166" t="n"/>
      <c r="B669" s="167" t="n"/>
      <c r="C669" s="167" t="n"/>
      <c r="D669" s="143">
        <f>"PRD_SNJ_"&amp;
_xlfn.XLOOKUP(商品マスタ[[#This Row],[仕入先]],テーブル1[仕入先名],テーブル1[仕入先コード],"XXX",0,1)&amp;
"_"&amp;
商品マスタ[[#This Row],[シリアル]]&amp;
"_"&amp;
TEXT(COUNTIFS(商品マスタ!$C$3:C669,商品マスタ[[#This Row],[仕入先]],商品マスタ!$E$3:E669,商品マスタ[[#This Row],[商品名]]), "00")</f>
        <v/>
      </c>
      <c r="E669" s="167" t="n"/>
      <c r="F669" s="167">
        <f>IF(COUNTIFS($C$3:C669,商品マスタ[[#This Row],[仕入先]],$E$3:E669,商品マスタ[[#This Row],[商品名]]) = 1, 1,0)</f>
        <v/>
      </c>
      <c r="G669" s="133">
        <f>TEXT(SUMIF($C$3:C669,商品マスタ[[#This Row],[仕入先]],$F$3:F669), "0000")</f>
        <v/>
      </c>
      <c r="H669" s="167" t="n"/>
      <c r="I669" s="167" t="n"/>
      <c r="J669" s="167" t="n"/>
      <c r="K669" s="167" t="n"/>
      <c r="L669" s="289" t="n"/>
      <c r="M669" s="157" t="n"/>
      <c r="N669" s="289" t="n"/>
      <c r="O669" s="290">
        <f>IF(COUNT(商品マスタ[[#This Row],[参考上代
（税込)]]) &gt; 0, (商品マスタ[[#This Row],[参考上代
（税込)]]-商品マスタ[[#This Row],[国内定価
（15％）]])/(商品マスタ[[#This Row],[参考上代
（税込)]]/1.08), "")</f>
        <v/>
      </c>
      <c r="P669" s="136" t="n">
        <v>0.1</v>
      </c>
      <c r="Q669" s="289">
        <f>商品マスタ[[#This Row],[仕入
単価]]*商品マスタ[[#This Row],[標準国内送料率]]</f>
        <v/>
      </c>
      <c r="R669" s="289" t="n"/>
      <c r="S669" s="289">
        <f>IF(ISBLANK(商品マスタ[[#This Row],[実績
国内送料]]),商品マスタ[[#This Row],[標準国内送料]],)</f>
        <v/>
      </c>
      <c r="T669" s="289">
        <f>商品マスタ[[#This Row],[仕入
単価]]+商品マスタ[[#This Row],[国内送料]]</f>
        <v/>
      </c>
      <c r="U669" s="289">
        <f>ROUNDUP(商品マスタ[[#This Row],[仕入単価+国内送料]]/0.8,-1)</f>
        <v/>
      </c>
      <c r="V669" s="289">
        <f>商品マスタ[[#This Row],[海外定価
（20％）]]-商品マスタ[[#This Row],[仕入単価+国内送料]]</f>
        <v/>
      </c>
      <c r="W669" s="167">
        <f>ROUNDUP(商品マスタ[[#This Row],[仕入単価+国内送料]]/0.85,-1)</f>
        <v/>
      </c>
      <c r="X669" s="289">
        <f>商品マスタ[[#This Row],[国内定価
（15％）]]-商品マスタ[[#This Row],[仕入単価+国内送料]]</f>
        <v/>
      </c>
      <c r="Y669" s="139" t="n"/>
      <c r="Z669" s="167" t="n"/>
      <c r="AA669" s="167" t="n"/>
      <c r="AB669" s="167" t="n"/>
      <c r="AC669" s="293" t="n"/>
      <c r="AD669" s="167" t="n"/>
      <c r="AE669" s="167" t="n"/>
      <c r="AF669" s="167" t="n"/>
      <c r="AG669" s="144" t="n"/>
    </row>
    <row r="670" ht="18" customHeight="1" s="207">
      <c r="A670" s="166" t="n"/>
      <c r="B670" s="167" t="n"/>
      <c r="C670" s="167" t="n"/>
      <c r="D670" s="143">
        <f>"PRD_SNJ_"&amp;
_xlfn.XLOOKUP(商品マスタ[[#This Row],[仕入先]],テーブル1[仕入先名],テーブル1[仕入先コード],"XXX",0,1)&amp;
"_"&amp;
商品マスタ[[#This Row],[シリアル]]&amp;
"_"&amp;
TEXT(COUNTIFS(商品マスタ!$C$3:C670,商品マスタ[[#This Row],[仕入先]],商品マスタ!$E$3:E670,商品マスタ[[#This Row],[商品名]]), "00")</f>
        <v/>
      </c>
      <c r="E670" s="167" t="n"/>
      <c r="F670" s="167">
        <f>IF(COUNTIFS($C$3:C670,商品マスタ[[#This Row],[仕入先]],$E$3:E670,商品マスタ[[#This Row],[商品名]]) = 1, 1,0)</f>
        <v/>
      </c>
      <c r="G670" s="133">
        <f>TEXT(SUMIF($C$3:C670,商品マスタ[[#This Row],[仕入先]],$F$3:F670), "0000")</f>
        <v/>
      </c>
      <c r="H670" s="167" t="n"/>
      <c r="I670" s="167" t="n"/>
      <c r="J670" s="167" t="n"/>
      <c r="K670" s="167" t="n"/>
      <c r="L670" s="289" t="n"/>
      <c r="M670" s="157" t="n"/>
      <c r="N670" s="289" t="n"/>
      <c r="O670" s="290">
        <f>IF(COUNT(商品マスタ[[#This Row],[参考上代
（税込)]]) &gt; 0, (商品マスタ[[#This Row],[参考上代
（税込)]]-商品マスタ[[#This Row],[国内定価
（15％）]])/(商品マスタ[[#This Row],[参考上代
（税込)]]/1.08), "")</f>
        <v/>
      </c>
      <c r="P670" s="136" t="n">
        <v>0.1</v>
      </c>
      <c r="Q670" s="289">
        <f>商品マスタ[[#This Row],[仕入
単価]]*商品マスタ[[#This Row],[標準国内送料率]]</f>
        <v/>
      </c>
      <c r="R670" s="289" t="n"/>
      <c r="S670" s="289">
        <f>IF(ISBLANK(商品マスタ[[#This Row],[実績
国内送料]]),商品マスタ[[#This Row],[標準国内送料]],)</f>
        <v/>
      </c>
      <c r="T670" s="289">
        <f>商品マスタ[[#This Row],[仕入
単価]]+商品マスタ[[#This Row],[国内送料]]</f>
        <v/>
      </c>
      <c r="U670" s="289">
        <f>ROUNDUP(商品マスタ[[#This Row],[仕入単価+国内送料]]/0.8,-1)</f>
        <v/>
      </c>
      <c r="V670" s="289">
        <f>商品マスタ[[#This Row],[海外定価
（20％）]]-商品マスタ[[#This Row],[仕入単価+国内送料]]</f>
        <v/>
      </c>
      <c r="W670" s="167">
        <f>ROUNDUP(商品マスタ[[#This Row],[仕入単価+国内送料]]/0.85,-1)</f>
        <v/>
      </c>
      <c r="X670" s="289">
        <f>商品マスタ[[#This Row],[国内定価
（15％）]]-商品マスタ[[#This Row],[仕入単価+国内送料]]</f>
        <v/>
      </c>
      <c r="Y670" s="139" t="n"/>
      <c r="Z670" s="167" t="n"/>
      <c r="AA670" s="167" t="n"/>
      <c r="AB670" s="167" t="n"/>
      <c r="AC670" s="293" t="n"/>
      <c r="AD670" s="167" t="n"/>
      <c r="AE670" s="167" t="n"/>
      <c r="AF670" s="167" t="n"/>
      <c r="AG670" s="144" t="n"/>
    </row>
    <row r="671" ht="18" customHeight="1" s="207">
      <c r="A671" s="166" t="n"/>
      <c r="B671" s="167" t="n"/>
      <c r="C671" s="167" t="n"/>
      <c r="D671" s="143">
        <f>"PRD_SNJ_"&amp;
_xlfn.XLOOKUP(商品マスタ[[#This Row],[仕入先]],テーブル1[仕入先名],テーブル1[仕入先コード],"XXX",0,1)&amp;
"_"&amp;
商品マスタ[[#This Row],[シリアル]]&amp;
"_"&amp;
TEXT(COUNTIFS(商品マスタ!$C$3:C671,商品マスタ[[#This Row],[仕入先]],商品マスタ!$E$3:E671,商品マスタ[[#This Row],[商品名]]), "00")</f>
        <v/>
      </c>
      <c r="E671" s="167" t="n"/>
      <c r="F671" s="167">
        <f>IF(COUNTIFS($C$3:C671,商品マスタ[[#This Row],[仕入先]],$E$3:E671,商品マスタ[[#This Row],[商品名]]) = 1, 1,0)</f>
        <v/>
      </c>
      <c r="G671" s="133">
        <f>TEXT(SUMIF($C$3:C671,商品マスタ[[#This Row],[仕入先]],$F$3:F671), "0000")</f>
        <v/>
      </c>
      <c r="H671" s="167" t="n"/>
      <c r="I671" s="167" t="n"/>
      <c r="J671" s="167" t="n"/>
      <c r="K671" s="167" t="n"/>
      <c r="L671" s="289" t="n"/>
      <c r="M671" s="157" t="n"/>
      <c r="N671" s="289" t="n"/>
      <c r="O671" s="290">
        <f>IF(COUNT(商品マスタ[[#This Row],[参考上代
（税込)]]) &gt; 0, (商品マスタ[[#This Row],[参考上代
（税込)]]-商品マスタ[[#This Row],[国内定価
（15％）]])/(商品マスタ[[#This Row],[参考上代
（税込)]]/1.08), "")</f>
        <v/>
      </c>
      <c r="P671" s="136" t="n">
        <v>0.1</v>
      </c>
      <c r="Q671" s="289">
        <f>商品マスタ[[#This Row],[仕入
単価]]*商品マスタ[[#This Row],[標準国内送料率]]</f>
        <v/>
      </c>
      <c r="R671" s="289" t="n"/>
      <c r="S671" s="289">
        <f>IF(ISBLANK(商品マスタ[[#This Row],[実績
国内送料]]),商品マスタ[[#This Row],[標準国内送料]],)</f>
        <v/>
      </c>
      <c r="T671" s="289">
        <f>商品マスタ[[#This Row],[仕入
単価]]+商品マスタ[[#This Row],[国内送料]]</f>
        <v/>
      </c>
      <c r="U671" s="289">
        <f>ROUNDUP(商品マスタ[[#This Row],[仕入単価+国内送料]]/0.8,-1)</f>
        <v/>
      </c>
      <c r="V671" s="289">
        <f>商品マスタ[[#This Row],[海外定価
（20％）]]-商品マスタ[[#This Row],[仕入単価+国内送料]]</f>
        <v/>
      </c>
      <c r="W671" s="167">
        <f>ROUNDUP(商品マスタ[[#This Row],[仕入単価+国内送料]]/0.85,-1)</f>
        <v/>
      </c>
      <c r="X671" s="289">
        <f>商品マスタ[[#This Row],[国内定価
（15％）]]-商品マスタ[[#This Row],[仕入単価+国内送料]]</f>
        <v/>
      </c>
      <c r="Y671" s="139" t="n"/>
      <c r="Z671" s="167" t="n"/>
      <c r="AA671" s="167" t="n"/>
      <c r="AB671" s="167" t="n"/>
      <c r="AC671" s="293" t="n"/>
      <c r="AD671" s="167" t="n"/>
      <c r="AE671" s="167" t="n"/>
      <c r="AF671" s="167" t="n"/>
      <c r="AG671" s="144" t="n"/>
    </row>
    <row r="672" ht="18" customHeight="1" s="207">
      <c r="A672" s="166" t="n"/>
      <c r="B672" s="167" t="n"/>
      <c r="C672" s="167" t="n"/>
      <c r="D672" s="143">
        <f>"PRD_SNJ_"&amp;
_xlfn.XLOOKUP(商品マスタ[[#This Row],[仕入先]],テーブル1[仕入先名],テーブル1[仕入先コード],"XXX",0,1)&amp;
"_"&amp;
商品マスタ[[#This Row],[シリアル]]&amp;
"_"&amp;
TEXT(COUNTIFS(商品マスタ!$C$3:C672,商品マスタ[[#This Row],[仕入先]],商品マスタ!$E$3:E672,商品マスタ[[#This Row],[商品名]]), "00")</f>
        <v/>
      </c>
      <c r="E672" s="167" t="n"/>
      <c r="F672" s="167">
        <f>IF(COUNTIFS($C$3:C672,商品マスタ[[#This Row],[仕入先]],$E$3:E672,商品マスタ[[#This Row],[商品名]]) = 1, 1,0)</f>
        <v/>
      </c>
      <c r="G672" s="133">
        <f>TEXT(SUMIF($C$3:C672,商品マスタ[[#This Row],[仕入先]],$F$3:F672), "0000")</f>
        <v/>
      </c>
      <c r="H672" s="167" t="n"/>
      <c r="I672" s="167" t="n"/>
      <c r="J672" s="167" t="n"/>
      <c r="K672" s="167" t="n"/>
      <c r="L672" s="289" t="n"/>
      <c r="M672" s="157" t="n"/>
      <c r="N672" s="289" t="n"/>
      <c r="O672" s="290">
        <f>IF(COUNT(商品マスタ[[#This Row],[参考上代
（税込)]]) &gt; 0, (商品マスタ[[#This Row],[参考上代
（税込)]]-商品マスタ[[#This Row],[国内定価
（15％）]])/(商品マスタ[[#This Row],[参考上代
（税込)]]/1.08), "")</f>
        <v/>
      </c>
      <c r="P672" s="136" t="n">
        <v>0.1</v>
      </c>
      <c r="Q672" s="289">
        <f>商品マスタ[[#This Row],[仕入
単価]]*商品マスタ[[#This Row],[標準国内送料率]]</f>
        <v/>
      </c>
      <c r="R672" s="289" t="n"/>
      <c r="S672" s="289">
        <f>IF(ISBLANK(商品マスタ[[#This Row],[実績
国内送料]]),商品マスタ[[#This Row],[標準国内送料]],)</f>
        <v/>
      </c>
      <c r="T672" s="289">
        <f>商品マスタ[[#This Row],[仕入
単価]]+商品マスタ[[#This Row],[国内送料]]</f>
        <v/>
      </c>
      <c r="U672" s="289">
        <f>ROUNDUP(商品マスタ[[#This Row],[仕入単価+国内送料]]/0.8,-1)</f>
        <v/>
      </c>
      <c r="V672" s="289">
        <f>商品マスタ[[#This Row],[海外定価
（20％）]]-商品マスタ[[#This Row],[仕入単価+国内送料]]</f>
        <v/>
      </c>
      <c r="W672" s="167">
        <f>ROUNDUP(商品マスタ[[#This Row],[仕入単価+国内送料]]/0.85,-1)</f>
        <v/>
      </c>
      <c r="X672" s="289">
        <f>商品マスタ[[#This Row],[国内定価
（15％）]]-商品マスタ[[#This Row],[仕入単価+国内送料]]</f>
        <v/>
      </c>
      <c r="Y672" s="139" t="n"/>
      <c r="Z672" s="167" t="n"/>
      <c r="AA672" s="167" t="n"/>
      <c r="AB672" s="167" t="n"/>
      <c r="AC672" s="293" t="n"/>
      <c r="AD672" s="167" t="n"/>
      <c r="AE672" s="167" t="n"/>
      <c r="AF672" s="167" t="n"/>
      <c r="AG672" s="144" t="n"/>
    </row>
    <row r="673" ht="18" customHeight="1" s="207">
      <c r="A673" s="166" t="n"/>
      <c r="B673" s="167" t="n"/>
      <c r="C673" s="167" t="n"/>
      <c r="D673" s="143">
        <f>"PRD_SNJ_"&amp;
_xlfn.XLOOKUP(商品マスタ[[#This Row],[仕入先]],テーブル1[仕入先名],テーブル1[仕入先コード],"XXX",0,1)&amp;
"_"&amp;
商品マスタ[[#This Row],[シリアル]]&amp;
"_"&amp;
TEXT(COUNTIFS(商品マスタ!$C$3:C673,商品マスタ[[#This Row],[仕入先]],商品マスタ!$E$3:E673,商品マスタ[[#This Row],[商品名]]), "00")</f>
        <v/>
      </c>
      <c r="E673" s="167" t="n"/>
      <c r="F673" s="167">
        <f>IF(COUNTIFS($C$3:C673,商品マスタ[[#This Row],[仕入先]],$E$3:E673,商品マスタ[[#This Row],[商品名]]) = 1, 1,0)</f>
        <v/>
      </c>
      <c r="G673" s="133">
        <f>TEXT(SUMIF($C$3:C673,商品マスタ[[#This Row],[仕入先]],$F$3:F673), "0000")</f>
        <v/>
      </c>
      <c r="H673" s="167" t="n"/>
      <c r="I673" s="167" t="n"/>
      <c r="J673" s="167" t="n"/>
      <c r="K673" s="167" t="n"/>
      <c r="L673" s="289" t="n"/>
      <c r="M673" s="157" t="n"/>
      <c r="N673" s="289" t="n"/>
      <c r="O673" s="290">
        <f>IF(COUNT(商品マスタ[[#This Row],[参考上代
（税込)]]) &gt; 0, (商品マスタ[[#This Row],[参考上代
（税込)]]-商品マスタ[[#This Row],[国内定価
（15％）]])/(商品マスタ[[#This Row],[参考上代
（税込)]]/1.08), "")</f>
        <v/>
      </c>
      <c r="P673" s="136" t="n">
        <v>0.1</v>
      </c>
      <c r="Q673" s="289">
        <f>商品マスタ[[#This Row],[仕入
単価]]*商品マスタ[[#This Row],[標準国内送料率]]</f>
        <v/>
      </c>
      <c r="R673" s="289" t="n"/>
      <c r="S673" s="289">
        <f>IF(ISBLANK(商品マスタ[[#This Row],[実績
国内送料]]),商品マスタ[[#This Row],[標準国内送料]],)</f>
        <v/>
      </c>
      <c r="T673" s="289">
        <f>商品マスタ[[#This Row],[仕入
単価]]+商品マスタ[[#This Row],[国内送料]]</f>
        <v/>
      </c>
      <c r="U673" s="289">
        <f>ROUNDUP(商品マスタ[[#This Row],[仕入単価+国内送料]]/0.8,-1)</f>
        <v/>
      </c>
      <c r="V673" s="289">
        <f>商品マスタ[[#This Row],[海外定価
（20％）]]-商品マスタ[[#This Row],[仕入単価+国内送料]]</f>
        <v/>
      </c>
      <c r="W673" s="167">
        <f>ROUNDUP(商品マスタ[[#This Row],[仕入単価+国内送料]]/0.85,-1)</f>
        <v/>
      </c>
      <c r="X673" s="289">
        <f>商品マスタ[[#This Row],[国内定価
（15％）]]-商品マスタ[[#This Row],[仕入単価+国内送料]]</f>
        <v/>
      </c>
      <c r="Y673" s="139" t="n"/>
      <c r="Z673" s="167" t="n"/>
      <c r="AA673" s="167" t="n"/>
      <c r="AB673" s="167" t="n"/>
      <c r="AC673" s="293" t="n"/>
      <c r="AD673" s="167" t="n"/>
      <c r="AE673" s="167" t="n"/>
      <c r="AF673" s="167" t="n"/>
      <c r="AG673" s="144" t="n"/>
    </row>
    <row r="674" ht="18" customHeight="1" s="207">
      <c r="A674" s="166" t="n"/>
      <c r="B674" s="167" t="n"/>
      <c r="C674" s="167" t="n"/>
      <c r="D674" s="143">
        <f>"PRD_SNJ_"&amp;
_xlfn.XLOOKUP(商品マスタ[[#This Row],[仕入先]],テーブル1[仕入先名],テーブル1[仕入先コード],"XXX",0,1)&amp;
"_"&amp;
商品マスタ[[#This Row],[シリアル]]&amp;
"_"&amp;
TEXT(COUNTIFS(商品マスタ!$C$3:C674,商品マスタ[[#This Row],[仕入先]],商品マスタ!$E$3:E674,商品マスタ[[#This Row],[商品名]]), "00")</f>
        <v/>
      </c>
      <c r="E674" s="167" t="n"/>
      <c r="F674" s="167">
        <f>IF(COUNTIFS($C$3:C674,商品マスタ[[#This Row],[仕入先]],$E$3:E674,商品マスタ[[#This Row],[商品名]]) = 1, 1,0)</f>
        <v/>
      </c>
      <c r="G674" s="133">
        <f>TEXT(SUMIF($C$3:C674,商品マスタ[[#This Row],[仕入先]],$F$3:F674), "0000")</f>
        <v/>
      </c>
      <c r="H674" s="167" t="n"/>
      <c r="I674" s="167" t="n"/>
      <c r="J674" s="167" t="n"/>
      <c r="K674" s="167" t="n"/>
      <c r="L674" s="289" t="n"/>
      <c r="M674" s="157" t="n"/>
      <c r="N674" s="289" t="n"/>
      <c r="O674" s="290">
        <f>IF(COUNT(商品マスタ[[#This Row],[参考上代
（税込)]]) &gt; 0, (商品マスタ[[#This Row],[参考上代
（税込)]]-商品マスタ[[#This Row],[国内定価
（15％）]])/(商品マスタ[[#This Row],[参考上代
（税込)]]/1.08), "")</f>
        <v/>
      </c>
      <c r="P674" s="136" t="n">
        <v>0.1</v>
      </c>
      <c r="Q674" s="289">
        <f>商品マスタ[[#This Row],[仕入
単価]]*商品マスタ[[#This Row],[標準国内送料率]]</f>
        <v/>
      </c>
      <c r="R674" s="289" t="n"/>
      <c r="S674" s="289">
        <f>IF(ISBLANK(商品マスタ[[#This Row],[実績
国内送料]]),商品マスタ[[#This Row],[標準国内送料]],)</f>
        <v/>
      </c>
      <c r="T674" s="289">
        <f>商品マスタ[[#This Row],[仕入
単価]]+商品マスタ[[#This Row],[国内送料]]</f>
        <v/>
      </c>
      <c r="U674" s="289">
        <f>ROUNDUP(商品マスタ[[#This Row],[仕入単価+国内送料]]/0.8,-1)</f>
        <v/>
      </c>
      <c r="V674" s="289">
        <f>商品マスタ[[#This Row],[海外定価
（20％）]]-商品マスタ[[#This Row],[仕入単価+国内送料]]</f>
        <v/>
      </c>
      <c r="W674" s="167">
        <f>ROUNDUP(商品マスタ[[#This Row],[仕入単価+国内送料]]/0.85,-1)</f>
        <v/>
      </c>
      <c r="X674" s="289">
        <f>商品マスタ[[#This Row],[国内定価
（15％）]]-商品マスタ[[#This Row],[仕入単価+国内送料]]</f>
        <v/>
      </c>
      <c r="Y674" s="139" t="n"/>
      <c r="Z674" s="167" t="n"/>
      <c r="AA674" s="167" t="n"/>
      <c r="AB674" s="167" t="n"/>
      <c r="AC674" s="293" t="n"/>
      <c r="AD674" s="167" t="n"/>
      <c r="AE674" s="167" t="n"/>
      <c r="AF674" s="167" t="n"/>
      <c r="AG674" s="144" t="n"/>
    </row>
    <row r="675" ht="18" customHeight="1" s="207">
      <c r="A675" s="166" t="n"/>
      <c r="B675" s="167" t="n"/>
      <c r="C675" s="167" t="n"/>
      <c r="D675" s="143">
        <f>"PRD_SNJ_"&amp;
_xlfn.XLOOKUP(商品マスタ[[#This Row],[仕入先]],テーブル1[仕入先名],テーブル1[仕入先コード],"XXX",0,1)&amp;
"_"&amp;
商品マスタ[[#This Row],[シリアル]]&amp;
"_"&amp;
TEXT(COUNTIFS(商品マスタ!$C$3:C675,商品マスタ[[#This Row],[仕入先]],商品マスタ!$E$3:E675,商品マスタ[[#This Row],[商品名]]), "00")</f>
        <v/>
      </c>
      <c r="E675" s="167" t="n"/>
      <c r="F675" s="167">
        <f>IF(COUNTIFS($C$3:C675,商品マスタ[[#This Row],[仕入先]],$E$3:E675,商品マスタ[[#This Row],[商品名]]) = 1, 1,0)</f>
        <v/>
      </c>
      <c r="G675" s="133">
        <f>TEXT(SUMIF($C$3:C675,商品マスタ[[#This Row],[仕入先]],$F$3:F675), "0000")</f>
        <v/>
      </c>
      <c r="H675" s="167" t="n"/>
      <c r="I675" s="167" t="n"/>
      <c r="J675" s="167" t="n"/>
      <c r="K675" s="167" t="n"/>
      <c r="L675" s="289" t="n"/>
      <c r="M675" s="157" t="n"/>
      <c r="N675" s="289" t="n"/>
      <c r="O675" s="290">
        <f>IF(COUNT(商品マスタ[[#This Row],[参考上代
（税込)]]) &gt; 0, (商品マスタ[[#This Row],[参考上代
（税込)]]-商品マスタ[[#This Row],[国内定価
（15％）]])/(商品マスタ[[#This Row],[参考上代
（税込)]]/1.08), "")</f>
        <v/>
      </c>
      <c r="P675" s="136" t="n">
        <v>0.1</v>
      </c>
      <c r="Q675" s="289">
        <f>商品マスタ[[#This Row],[仕入
単価]]*商品マスタ[[#This Row],[標準国内送料率]]</f>
        <v/>
      </c>
      <c r="R675" s="289" t="n"/>
      <c r="S675" s="289">
        <f>IF(ISBLANK(商品マスタ[[#This Row],[実績
国内送料]]),商品マスタ[[#This Row],[標準国内送料]],)</f>
        <v/>
      </c>
      <c r="T675" s="289">
        <f>商品マスタ[[#This Row],[仕入
単価]]+商品マスタ[[#This Row],[国内送料]]</f>
        <v/>
      </c>
      <c r="U675" s="289">
        <f>ROUNDUP(商品マスタ[[#This Row],[仕入単価+国内送料]]/0.8,-1)</f>
        <v/>
      </c>
      <c r="V675" s="289">
        <f>商品マスタ[[#This Row],[海外定価
（20％）]]-商品マスタ[[#This Row],[仕入単価+国内送料]]</f>
        <v/>
      </c>
      <c r="W675" s="167">
        <f>ROUNDUP(商品マスタ[[#This Row],[仕入単価+国内送料]]/0.85,-1)</f>
        <v/>
      </c>
      <c r="X675" s="289">
        <f>商品マスタ[[#This Row],[国内定価
（15％）]]-商品マスタ[[#This Row],[仕入単価+国内送料]]</f>
        <v/>
      </c>
      <c r="Y675" s="139" t="n"/>
      <c r="Z675" s="167" t="n"/>
      <c r="AA675" s="167" t="n"/>
      <c r="AB675" s="167" t="n"/>
      <c r="AC675" s="293" t="n"/>
      <c r="AD675" s="167" t="n"/>
      <c r="AE675" s="167" t="n"/>
      <c r="AF675" s="167" t="n"/>
      <c r="AG675" s="144" t="n"/>
    </row>
    <row r="676" ht="18" customHeight="1" s="207">
      <c r="A676" s="166" t="n"/>
      <c r="B676" s="167" t="n"/>
      <c r="C676" s="167" t="n"/>
      <c r="D676" s="143">
        <f>"PRD_SNJ_"&amp;
_xlfn.XLOOKUP(商品マスタ[[#This Row],[仕入先]],テーブル1[仕入先名],テーブル1[仕入先コード],"XXX",0,1)&amp;
"_"&amp;
商品マスタ[[#This Row],[シリアル]]&amp;
"_"&amp;
TEXT(COUNTIFS(商品マスタ!$C$3:C676,商品マスタ[[#This Row],[仕入先]],商品マスタ!$E$3:E676,商品マスタ[[#This Row],[商品名]]), "00")</f>
        <v/>
      </c>
      <c r="E676" s="167" t="n"/>
      <c r="F676" s="167">
        <f>IF(COUNTIFS($C$3:C676,商品マスタ[[#This Row],[仕入先]],$E$3:E676,商品マスタ[[#This Row],[商品名]]) = 1, 1,0)</f>
        <v/>
      </c>
      <c r="G676" s="133">
        <f>TEXT(SUMIF($C$3:C676,商品マスタ[[#This Row],[仕入先]],$F$3:F676), "0000")</f>
        <v/>
      </c>
      <c r="H676" s="167" t="n"/>
      <c r="I676" s="167" t="n"/>
      <c r="J676" s="167" t="n"/>
      <c r="K676" s="167" t="n"/>
      <c r="L676" s="289" t="n"/>
      <c r="M676" s="157" t="n"/>
      <c r="N676" s="289" t="n"/>
      <c r="O676" s="290">
        <f>IF(COUNT(商品マスタ[[#This Row],[参考上代
（税込)]]) &gt; 0, (商品マスタ[[#This Row],[参考上代
（税込)]]-商品マスタ[[#This Row],[国内定価
（15％）]])/(商品マスタ[[#This Row],[参考上代
（税込)]]/1.08), "")</f>
        <v/>
      </c>
      <c r="P676" s="136" t="n">
        <v>0.1</v>
      </c>
      <c r="Q676" s="289">
        <f>商品マスタ[[#This Row],[仕入
単価]]*商品マスタ[[#This Row],[標準国内送料率]]</f>
        <v/>
      </c>
      <c r="R676" s="289" t="n"/>
      <c r="S676" s="289">
        <f>IF(ISBLANK(商品マスタ[[#This Row],[実績
国内送料]]),商品マスタ[[#This Row],[標準国内送料]],)</f>
        <v/>
      </c>
      <c r="T676" s="289">
        <f>商品マスタ[[#This Row],[仕入
単価]]+商品マスタ[[#This Row],[国内送料]]</f>
        <v/>
      </c>
      <c r="U676" s="289">
        <f>ROUNDUP(商品マスタ[[#This Row],[仕入単価+国内送料]]/0.8,-1)</f>
        <v/>
      </c>
      <c r="V676" s="289">
        <f>商品マスタ[[#This Row],[海外定価
（20％）]]-商品マスタ[[#This Row],[仕入単価+国内送料]]</f>
        <v/>
      </c>
      <c r="W676" s="167">
        <f>ROUNDUP(商品マスタ[[#This Row],[仕入単価+国内送料]]/0.85,-1)</f>
        <v/>
      </c>
      <c r="X676" s="289">
        <f>商品マスタ[[#This Row],[国内定価
（15％）]]-商品マスタ[[#This Row],[仕入単価+国内送料]]</f>
        <v/>
      </c>
      <c r="Y676" s="139" t="n"/>
      <c r="Z676" s="167" t="n"/>
      <c r="AA676" s="167" t="n"/>
      <c r="AB676" s="167" t="n"/>
      <c r="AC676" s="293" t="n"/>
      <c r="AD676" s="167" t="n"/>
      <c r="AE676" s="167" t="n"/>
      <c r="AF676" s="167" t="n"/>
      <c r="AG676" s="144" t="n"/>
    </row>
    <row r="677" ht="18" customHeight="1" s="207">
      <c r="A677" s="166" t="n"/>
      <c r="B677" s="167" t="n"/>
      <c r="C677" s="167" t="n"/>
      <c r="D677" s="143">
        <f>"PRD_SNJ_"&amp;
_xlfn.XLOOKUP(商品マスタ[[#This Row],[仕入先]],テーブル1[仕入先名],テーブル1[仕入先コード],"XXX",0,1)&amp;
"_"&amp;
商品マスタ[[#This Row],[シリアル]]&amp;
"_"&amp;
TEXT(COUNTIFS(商品マスタ!$C$3:C677,商品マスタ[[#This Row],[仕入先]],商品マスタ!$E$3:E677,商品マスタ[[#This Row],[商品名]]), "00")</f>
        <v/>
      </c>
      <c r="E677" s="167" t="n"/>
      <c r="F677" s="167">
        <f>IF(COUNTIFS($C$3:C677,商品マスタ[[#This Row],[仕入先]],$E$3:E677,商品マスタ[[#This Row],[商品名]]) = 1, 1,0)</f>
        <v/>
      </c>
      <c r="G677" s="133">
        <f>TEXT(SUMIF($C$3:C677,商品マスタ[[#This Row],[仕入先]],$F$3:F677), "0000")</f>
        <v/>
      </c>
      <c r="H677" s="167" t="n"/>
      <c r="I677" s="167" t="n"/>
      <c r="J677" s="167" t="n"/>
      <c r="K677" s="167" t="n"/>
      <c r="L677" s="289" t="n"/>
      <c r="M677" s="157" t="n"/>
      <c r="N677" s="289" t="n"/>
      <c r="O677" s="290">
        <f>IF(COUNT(商品マスタ[[#This Row],[参考上代
（税込)]]) &gt; 0, (商品マスタ[[#This Row],[参考上代
（税込)]]-商品マスタ[[#This Row],[国内定価
（15％）]])/(商品マスタ[[#This Row],[参考上代
（税込)]]/1.08), "")</f>
        <v/>
      </c>
      <c r="P677" s="136" t="n">
        <v>0.1</v>
      </c>
      <c r="Q677" s="289">
        <f>商品マスタ[[#This Row],[仕入
単価]]*商品マスタ[[#This Row],[標準国内送料率]]</f>
        <v/>
      </c>
      <c r="R677" s="289" t="n"/>
      <c r="S677" s="289">
        <f>IF(ISBLANK(商品マスタ[[#This Row],[実績
国内送料]]),商品マスタ[[#This Row],[標準国内送料]],)</f>
        <v/>
      </c>
      <c r="T677" s="289">
        <f>商品マスタ[[#This Row],[仕入
単価]]+商品マスタ[[#This Row],[国内送料]]</f>
        <v/>
      </c>
      <c r="U677" s="289">
        <f>ROUNDUP(商品マスタ[[#This Row],[仕入単価+国内送料]]/0.8,-1)</f>
        <v/>
      </c>
      <c r="V677" s="289">
        <f>商品マスタ[[#This Row],[海外定価
（20％）]]-商品マスタ[[#This Row],[仕入単価+国内送料]]</f>
        <v/>
      </c>
      <c r="W677" s="167">
        <f>ROUNDUP(商品マスタ[[#This Row],[仕入単価+国内送料]]/0.85,-1)</f>
        <v/>
      </c>
      <c r="X677" s="289">
        <f>商品マスタ[[#This Row],[国内定価
（15％）]]-商品マスタ[[#This Row],[仕入単価+国内送料]]</f>
        <v/>
      </c>
      <c r="Y677" s="139" t="n"/>
      <c r="Z677" s="167" t="n"/>
      <c r="AA677" s="167" t="n"/>
      <c r="AB677" s="167" t="n"/>
      <c r="AC677" s="293" t="n"/>
      <c r="AD677" s="167" t="n"/>
      <c r="AE677" s="167" t="n"/>
      <c r="AF677" s="167" t="n"/>
      <c r="AG677" s="144" t="n"/>
    </row>
    <row r="678" ht="18" customHeight="1" s="207">
      <c r="A678" s="166" t="n"/>
      <c r="B678" s="167" t="n"/>
      <c r="C678" s="167" t="n"/>
      <c r="D678" s="143">
        <f>"PRD_SNJ_"&amp;
_xlfn.XLOOKUP(商品マスタ[[#This Row],[仕入先]],テーブル1[仕入先名],テーブル1[仕入先コード],"XXX",0,1)&amp;
"_"&amp;
商品マスタ[[#This Row],[シリアル]]&amp;
"_"&amp;
TEXT(COUNTIFS(商品マスタ!$C$3:C678,商品マスタ[[#This Row],[仕入先]],商品マスタ!$E$3:E678,商品マスタ[[#This Row],[商品名]]), "00")</f>
        <v/>
      </c>
      <c r="E678" s="167" t="n"/>
      <c r="F678" s="167">
        <f>IF(COUNTIFS($C$3:C678,商品マスタ[[#This Row],[仕入先]],$E$3:E678,商品マスタ[[#This Row],[商品名]]) = 1, 1,0)</f>
        <v/>
      </c>
      <c r="G678" s="133">
        <f>TEXT(SUMIF($C$3:C678,商品マスタ[[#This Row],[仕入先]],$F$3:F678), "0000")</f>
        <v/>
      </c>
      <c r="H678" s="167" t="n"/>
      <c r="I678" s="167" t="n"/>
      <c r="J678" s="167" t="n"/>
      <c r="K678" s="167" t="n"/>
      <c r="L678" s="289" t="n"/>
      <c r="M678" s="157" t="n"/>
      <c r="N678" s="289" t="n"/>
      <c r="O678" s="290">
        <f>IF(COUNT(商品マスタ[[#This Row],[参考上代
（税込)]]) &gt; 0, (商品マスタ[[#This Row],[参考上代
（税込)]]-商品マスタ[[#This Row],[国内定価
（15％）]])/(商品マスタ[[#This Row],[参考上代
（税込)]]/1.08), "")</f>
        <v/>
      </c>
      <c r="P678" s="136" t="n">
        <v>0.1</v>
      </c>
      <c r="Q678" s="289">
        <f>商品マスタ[[#This Row],[仕入
単価]]*商品マスタ[[#This Row],[標準国内送料率]]</f>
        <v/>
      </c>
      <c r="R678" s="289" t="n"/>
      <c r="S678" s="289">
        <f>IF(ISBLANK(商品マスタ[[#This Row],[実績
国内送料]]),商品マスタ[[#This Row],[標準国内送料]],)</f>
        <v/>
      </c>
      <c r="T678" s="289">
        <f>商品マスタ[[#This Row],[仕入
単価]]+商品マスタ[[#This Row],[国内送料]]</f>
        <v/>
      </c>
      <c r="U678" s="289">
        <f>ROUNDUP(商品マスタ[[#This Row],[仕入単価+国内送料]]/0.8,-1)</f>
        <v/>
      </c>
      <c r="V678" s="289">
        <f>商品マスタ[[#This Row],[海外定価
（20％）]]-商品マスタ[[#This Row],[仕入単価+国内送料]]</f>
        <v/>
      </c>
      <c r="W678" s="167">
        <f>ROUNDUP(商品マスタ[[#This Row],[仕入単価+国内送料]]/0.85,-1)</f>
        <v/>
      </c>
      <c r="X678" s="289">
        <f>商品マスタ[[#This Row],[国内定価
（15％）]]-商品マスタ[[#This Row],[仕入単価+国内送料]]</f>
        <v/>
      </c>
      <c r="Y678" s="139" t="n"/>
      <c r="Z678" s="167" t="n"/>
      <c r="AA678" s="167" t="n"/>
      <c r="AB678" s="167" t="n"/>
      <c r="AC678" s="293" t="n"/>
      <c r="AD678" s="167" t="n"/>
      <c r="AE678" s="167" t="n"/>
      <c r="AF678" s="167" t="n"/>
      <c r="AG678" s="144" t="n"/>
    </row>
    <row r="679" ht="18" customHeight="1" s="207">
      <c r="A679" s="166" t="n"/>
      <c r="B679" s="167" t="n"/>
      <c r="C679" s="167" t="n"/>
      <c r="D679" s="143">
        <f>"PRD_SNJ_"&amp;
_xlfn.XLOOKUP(商品マスタ[[#This Row],[仕入先]],テーブル1[仕入先名],テーブル1[仕入先コード],"XXX",0,1)&amp;
"_"&amp;
商品マスタ[[#This Row],[シリアル]]&amp;
"_"&amp;
TEXT(COUNTIFS(商品マスタ!$C$3:C679,商品マスタ[[#This Row],[仕入先]],商品マスタ!$E$3:E679,商品マスタ[[#This Row],[商品名]]), "00")</f>
        <v/>
      </c>
      <c r="E679" s="167" t="n"/>
      <c r="F679" s="167">
        <f>IF(COUNTIFS($C$3:C679,商品マスタ[[#This Row],[仕入先]],$E$3:E679,商品マスタ[[#This Row],[商品名]]) = 1, 1,0)</f>
        <v/>
      </c>
      <c r="G679" s="133">
        <f>TEXT(SUMIF($C$3:C679,商品マスタ[[#This Row],[仕入先]],$F$3:F679), "0000")</f>
        <v/>
      </c>
      <c r="H679" s="167" t="n"/>
      <c r="I679" s="167" t="n"/>
      <c r="J679" s="167" t="n"/>
      <c r="K679" s="167" t="n"/>
      <c r="L679" s="289" t="n"/>
      <c r="M679" s="157" t="n"/>
      <c r="N679" s="289" t="n"/>
      <c r="O679" s="290">
        <f>IF(COUNT(商品マスタ[[#This Row],[参考上代
（税込)]]) &gt; 0, (商品マスタ[[#This Row],[参考上代
（税込)]]-商品マスタ[[#This Row],[国内定価
（15％）]])/(商品マスタ[[#This Row],[参考上代
（税込)]]/1.08), "")</f>
        <v/>
      </c>
      <c r="P679" s="136" t="n">
        <v>0.1</v>
      </c>
      <c r="Q679" s="289">
        <f>商品マスタ[[#This Row],[仕入
単価]]*商品マスタ[[#This Row],[標準国内送料率]]</f>
        <v/>
      </c>
      <c r="R679" s="289" t="n"/>
      <c r="S679" s="289">
        <f>IF(ISBLANK(商品マスタ[[#This Row],[実績
国内送料]]),商品マスタ[[#This Row],[標準国内送料]],)</f>
        <v/>
      </c>
      <c r="T679" s="289">
        <f>商品マスタ[[#This Row],[仕入
単価]]+商品マスタ[[#This Row],[国内送料]]</f>
        <v/>
      </c>
      <c r="U679" s="289">
        <f>ROUNDUP(商品マスタ[[#This Row],[仕入単価+国内送料]]/0.8,-1)</f>
        <v/>
      </c>
      <c r="V679" s="289">
        <f>商品マスタ[[#This Row],[海外定価
（20％）]]-商品マスタ[[#This Row],[仕入単価+国内送料]]</f>
        <v/>
      </c>
      <c r="W679" s="167">
        <f>ROUNDUP(商品マスタ[[#This Row],[仕入単価+国内送料]]/0.85,-1)</f>
        <v/>
      </c>
      <c r="X679" s="289">
        <f>商品マスタ[[#This Row],[国内定価
（15％）]]-商品マスタ[[#This Row],[仕入単価+国内送料]]</f>
        <v/>
      </c>
      <c r="Y679" s="139" t="n"/>
      <c r="Z679" s="167" t="n"/>
      <c r="AA679" s="167" t="n"/>
      <c r="AB679" s="167" t="n"/>
      <c r="AC679" s="293" t="n"/>
      <c r="AD679" s="167" t="n"/>
      <c r="AE679" s="167" t="n"/>
      <c r="AF679" s="167" t="n"/>
      <c r="AG679" s="144" t="n"/>
    </row>
    <row r="680" ht="18" customHeight="1" s="207">
      <c r="A680" s="166" t="n"/>
      <c r="B680" s="167" t="n"/>
      <c r="C680" s="167" t="n"/>
      <c r="D680" s="143">
        <f>"PRD_SNJ_"&amp;
_xlfn.XLOOKUP(商品マスタ[[#This Row],[仕入先]],テーブル1[仕入先名],テーブル1[仕入先コード],"XXX",0,1)&amp;
"_"&amp;
商品マスタ[[#This Row],[シリアル]]&amp;
"_"&amp;
TEXT(COUNTIFS(商品マスタ!$C$3:C680,商品マスタ[[#This Row],[仕入先]],商品マスタ!$E$3:E680,商品マスタ[[#This Row],[商品名]]), "00")</f>
        <v/>
      </c>
      <c r="E680" s="167" t="n"/>
      <c r="F680" s="167">
        <f>IF(COUNTIFS($C$3:C680,商品マスタ[[#This Row],[仕入先]],$E$3:E680,商品マスタ[[#This Row],[商品名]]) = 1, 1,0)</f>
        <v/>
      </c>
      <c r="G680" s="133">
        <f>TEXT(SUMIF($C$3:C680,商品マスタ[[#This Row],[仕入先]],$F$3:F680), "0000")</f>
        <v/>
      </c>
      <c r="H680" s="167" t="n"/>
      <c r="I680" s="167" t="n"/>
      <c r="J680" s="167" t="n"/>
      <c r="K680" s="167" t="n"/>
      <c r="L680" s="289" t="n"/>
      <c r="M680" s="157" t="n"/>
      <c r="N680" s="289" t="n"/>
      <c r="O680" s="290">
        <f>IF(COUNT(商品マスタ[[#This Row],[参考上代
（税込)]]) &gt; 0, (商品マスタ[[#This Row],[参考上代
（税込)]]-商品マスタ[[#This Row],[国内定価
（15％）]])/(商品マスタ[[#This Row],[参考上代
（税込)]]/1.08), "")</f>
        <v/>
      </c>
      <c r="P680" s="136" t="n">
        <v>0.1</v>
      </c>
      <c r="Q680" s="289">
        <f>商品マスタ[[#This Row],[仕入
単価]]*商品マスタ[[#This Row],[標準国内送料率]]</f>
        <v/>
      </c>
      <c r="R680" s="289" t="n"/>
      <c r="S680" s="289">
        <f>IF(ISBLANK(商品マスタ[[#This Row],[実績
国内送料]]),商品マスタ[[#This Row],[標準国内送料]],)</f>
        <v/>
      </c>
      <c r="T680" s="289">
        <f>商品マスタ[[#This Row],[仕入
単価]]+商品マスタ[[#This Row],[国内送料]]</f>
        <v/>
      </c>
      <c r="U680" s="289">
        <f>ROUNDUP(商品マスタ[[#This Row],[仕入単価+国内送料]]/0.8,-1)</f>
        <v/>
      </c>
      <c r="V680" s="289">
        <f>商品マスタ[[#This Row],[海外定価
（20％）]]-商品マスタ[[#This Row],[仕入単価+国内送料]]</f>
        <v/>
      </c>
      <c r="W680" s="167">
        <f>ROUNDUP(商品マスタ[[#This Row],[仕入単価+国内送料]]/0.85,-1)</f>
        <v/>
      </c>
      <c r="X680" s="289">
        <f>商品マスタ[[#This Row],[国内定価
（15％）]]-商品マスタ[[#This Row],[仕入単価+国内送料]]</f>
        <v/>
      </c>
      <c r="Y680" s="139" t="n"/>
      <c r="Z680" s="167" t="n"/>
      <c r="AA680" s="167" t="n"/>
      <c r="AB680" s="167" t="n"/>
      <c r="AC680" s="293" t="n"/>
      <c r="AD680" s="167" t="n"/>
      <c r="AE680" s="167" t="n"/>
      <c r="AF680" s="167" t="n"/>
      <c r="AG680" s="144" t="n"/>
    </row>
    <row r="681" ht="18" customHeight="1" s="207">
      <c r="A681" s="166" t="n"/>
      <c r="B681" s="167" t="n"/>
      <c r="C681" s="167" t="n"/>
      <c r="D681" s="143">
        <f>"PRD_SNJ_"&amp;
_xlfn.XLOOKUP(商品マスタ[[#This Row],[仕入先]],テーブル1[仕入先名],テーブル1[仕入先コード],"XXX",0,1)&amp;
"_"&amp;
商品マスタ[[#This Row],[シリアル]]&amp;
"_"&amp;
TEXT(COUNTIFS(商品マスタ!$C$3:C681,商品マスタ[[#This Row],[仕入先]],商品マスタ!$E$3:E681,商品マスタ[[#This Row],[商品名]]), "00")</f>
        <v/>
      </c>
      <c r="E681" s="167" t="n"/>
      <c r="F681" s="167">
        <f>IF(COUNTIFS($C$3:C681,商品マスタ[[#This Row],[仕入先]],$E$3:E681,商品マスタ[[#This Row],[商品名]]) = 1, 1,0)</f>
        <v/>
      </c>
      <c r="G681" s="133">
        <f>TEXT(SUMIF($C$3:C681,商品マスタ[[#This Row],[仕入先]],$F$3:F681), "0000")</f>
        <v/>
      </c>
      <c r="H681" s="167" t="n"/>
      <c r="I681" s="167" t="n"/>
      <c r="J681" s="167" t="n"/>
      <c r="K681" s="167" t="n"/>
      <c r="L681" s="289" t="n"/>
      <c r="M681" s="157" t="n"/>
      <c r="N681" s="289" t="n"/>
      <c r="O681" s="290">
        <f>IF(COUNT(商品マスタ[[#This Row],[参考上代
（税込)]]) &gt; 0, (商品マスタ[[#This Row],[参考上代
（税込)]]-商品マスタ[[#This Row],[国内定価
（15％）]])/(商品マスタ[[#This Row],[参考上代
（税込)]]/1.08), "")</f>
        <v/>
      </c>
      <c r="P681" s="136" t="n">
        <v>0.1</v>
      </c>
      <c r="Q681" s="289">
        <f>商品マスタ[[#This Row],[仕入
単価]]*商品マスタ[[#This Row],[標準国内送料率]]</f>
        <v/>
      </c>
      <c r="R681" s="289" t="n"/>
      <c r="S681" s="289">
        <f>IF(ISBLANK(商品マスタ[[#This Row],[実績
国内送料]]),商品マスタ[[#This Row],[標準国内送料]],)</f>
        <v/>
      </c>
      <c r="T681" s="289">
        <f>商品マスタ[[#This Row],[仕入
単価]]+商品マスタ[[#This Row],[国内送料]]</f>
        <v/>
      </c>
      <c r="U681" s="289">
        <f>ROUNDUP(商品マスタ[[#This Row],[仕入単価+国内送料]]/0.8,-1)</f>
        <v/>
      </c>
      <c r="V681" s="289">
        <f>商品マスタ[[#This Row],[海外定価
（20％）]]-商品マスタ[[#This Row],[仕入単価+国内送料]]</f>
        <v/>
      </c>
      <c r="W681" s="167">
        <f>ROUNDUP(商品マスタ[[#This Row],[仕入単価+国内送料]]/0.85,-1)</f>
        <v/>
      </c>
      <c r="X681" s="289">
        <f>商品マスタ[[#This Row],[国内定価
（15％）]]-商品マスタ[[#This Row],[仕入単価+国内送料]]</f>
        <v/>
      </c>
      <c r="Y681" s="139" t="n"/>
      <c r="Z681" s="167" t="n"/>
      <c r="AA681" s="167" t="n"/>
      <c r="AB681" s="167" t="n"/>
      <c r="AC681" s="293" t="n"/>
      <c r="AD681" s="167" t="n"/>
      <c r="AE681" s="167" t="n"/>
      <c r="AF681" s="167" t="n"/>
      <c r="AG681" s="144" t="n"/>
    </row>
    <row r="682" ht="18" customHeight="1" s="207">
      <c r="A682" s="166" t="n"/>
      <c r="B682" s="167" t="n"/>
      <c r="C682" s="167" t="n"/>
      <c r="D682" s="143">
        <f>"PRD_SNJ_"&amp;
_xlfn.XLOOKUP(商品マスタ[[#This Row],[仕入先]],テーブル1[仕入先名],テーブル1[仕入先コード],"XXX",0,1)&amp;
"_"&amp;
商品マスタ[[#This Row],[シリアル]]&amp;
"_"&amp;
TEXT(COUNTIFS(商品マスタ!$C$3:C682,商品マスタ[[#This Row],[仕入先]],商品マスタ!$E$3:E682,商品マスタ[[#This Row],[商品名]]), "00")</f>
        <v/>
      </c>
      <c r="E682" s="167" t="n"/>
      <c r="F682" s="167">
        <f>IF(COUNTIFS($C$3:C682,商品マスタ[[#This Row],[仕入先]],$E$3:E682,商品マスタ[[#This Row],[商品名]]) = 1, 1,0)</f>
        <v/>
      </c>
      <c r="G682" s="133">
        <f>TEXT(SUMIF($C$3:C682,商品マスタ[[#This Row],[仕入先]],$F$3:F682), "0000")</f>
        <v/>
      </c>
      <c r="H682" s="167" t="n"/>
      <c r="I682" s="167" t="n"/>
      <c r="J682" s="167" t="n"/>
      <c r="K682" s="167" t="n"/>
      <c r="L682" s="289" t="n"/>
      <c r="M682" s="157" t="n"/>
      <c r="N682" s="289" t="n"/>
      <c r="O682" s="290">
        <f>IF(COUNT(商品マスタ[[#This Row],[参考上代
（税込)]]) &gt; 0, (商品マスタ[[#This Row],[参考上代
（税込)]]-商品マスタ[[#This Row],[国内定価
（15％）]])/(商品マスタ[[#This Row],[参考上代
（税込)]]/1.08), "")</f>
        <v/>
      </c>
      <c r="P682" s="136" t="n">
        <v>0.1</v>
      </c>
      <c r="Q682" s="289">
        <f>商品マスタ[[#This Row],[仕入
単価]]*商品マスタ[[#This Row],[標準国内送料率]]</f>
        <v/>
      </c>
      <c r="R682" s="289" t="n"/>
      <c r="S682" s="289">
        <f>IF(ISBLANK(商品マスタ[[#This Row],[実績
国内送料]]),商品マスタ[[#This Row],[標準国内送料]],)</f>
        <v/>
      </c>
      <c r="T682" s="289">
        <f>商品マスタ[[#This Row],[仕入
単価]]+商品マスタ[[#This Row],[国内送料]]</f>
        <v/>
      </c>
      <c r="U682" s="289">
        <f>ROUNDUP(商品マスタ[[#This Row],[仕入単価+国内送料]]/0.8,-1)</f>
        <v/>
      </c>
      <c r="V682" s="289">
        <f>商品マスタ[[#This Row],[海外定価
（20％）]]-商品マスタ[[#This Row],[仕入単価+国内送料]]</f>
        <v/>
      </c>
      <c r="W682" s="167">
        <f>ROUNDUP(商品マスタ[[#This Row],[仕入単価+国内送料]]/0.85,-1)</f>
        <v/>
      </c>
      <c r="X682" s="289">
        <f>商品マスタ[[#This Row],[国内定価
（15％）]]-商品マスタ[[#This Row],[仕入単価+国内送料]]</f>
        <v/>
      </c>
      <c r="Y682" s="139" t="n"/>
      <c r="Z682" s="167" t="n"/>
      <c r="AA682" s="167" t="n"/>
      <c r="AB682" s="167" t="n"/>
      <c r="AC682" s="293" t="n"/>
      <c r="AD682" s="167" t="n"/>
      <c r="AE682" s="167" t="n"/>
      <c r="AF682" s="167" t="n"/>
      <c r="AG682" s="144" t="n"/>
    </row>
    <row r="683" ht="18" customHeight="1" s="207">
      <c r="A683" s="166" t="n"/>
      <c r="B683" s="167" t="n"/>
      <c r="C683" s="167" t="n"/>
      <c r="D683" s="143">
        <f>"PRD_SNJ_"&amp;
_xlfn.XLOOKUP(商品マスタ[[#This Row],[仕入先]],テーブル1[仕入先名],テーブル1[仕入先コード],"XXX",0,1)&amp;
"_"&amp;
商品マスタ[[#This Row],[シリアル]]&amp;
"_"&amp;
TEXT(COUNTIFS(商品マスタ!$C$3:C683,商品マスタ[[#This Row],[仕入先]],商品マスタ!$E$3:E683,商品マスタ[[#This Row],[商品名]]), "00")</f>
        <v/>
      </c>
      <c r="E683" s="167" t="n"/>
      <c r="F683" s="167">
        <f>IF(COUNTIFS($C$3:C683,商品マスタ[[#This Row],[仕入先]],$E$3:E683,商品マスタ[[#This Row],[商品名]]) = 1, 1,0)</f>
        <v/>
      </c>
      <c r="G683" s="133">
        <f>TEXT(SUMIF($C$3:C683,商品マスタ[[#This Row],[仕入先]],$F$3:F683), "0000")</f>
        <v/>
      </c>
      <c r="H683" s="167" t="n"/>
      <c r="I683" s="167" t="n"/>
      <c r="J683" s="167" t="n"/>
      <c r="K683" s="167" t="n"/>
      <c r="L683" s="289" t="n"/>
      <c r="M683" s="157" t="n"/>
      <c r="N683" s="289" t="n"/>
      <c r="O683" s="290">
        <f>IF(COUNT(商品マスタ[[#This Row],[参考上代
（税込)]]) &gt; 0, (商品マスタ[[#This Row],[参考上代
（税込)]]-商品マスタ[[#This Row],[国内定価
（15％）]])/(商品マスタ[[#This Row],[参考上代
（税込)]]/1.08), "")</f>
        <v/>
      </c>
      <c r="P683" s="136" t="n">
        <v>0.1</v>
      </c>
      <c r="Q683" s="289">
        <f>商品マスタ[[#This Row],[仕入
単価]]*商品マスタ[[#This Row],[標準国内送料率]]</f>
        <v/>
      </c>
      <c r="R683" s="289" t="n"/>
      <c r="S683" s="289">
        <f>IF(ISBLANK(商品マスタ[[#This Row],[実績
国内送料]]),商品マスタ[[#This Row],[標準国内送料]],)</f>
        <v/>
      </c>
      <c r="T683" s="289">
        <f>商品マスタ[[#This Row],[仕入
単価]]+商品マスタ[[#This Row],[国内送料]]</f>
        <v/>
      </c>
      <c r="U683" s="289">
        <f>ROUNDUP(商品マスタ[[#This Row],[仕入単価+国内送料]]/0.8,-1)</f>
        <v/>
      </c>
      <c r="V683" s="289">
        <f>商品マスタ[[#This Row],[海外定価
（20％）]]-商品マスタ[[#This Row],[仕入単価+国内送料]]</f>
        <v/>
      </c>
      <c r="W683" s="167">
        <f>ROUNDUP(商品マスタ[[#This Row],[仕入単価+国内送料]]/0.85,-1)</f>
        <v/>
      </c>
      <c r="X683" s="289">
        <f>商品マスタ[[#This Row],[国内定価
（15％）]]-商品マスタ[[#This Row],[仕入単価+国内送料]]</f>
        <v/>
      </c>
      <c r="Y683" s="139" t="n"/>
      <c r="Z683" s="167" t="n"/>
      <c r="AA683" s="167" t="n"/>
      <c r="AB683" s="167" t="n"/>
      <c r="AC683" s="293" t="n"/>
      <c r="AD683" s="167" t="n"/>
      <c r="AE683" s="167" t="n"/>
      <c r="AF683" s="167" t="n"/>
      <c r="AG683" s="144" t="n"/>
    </row>
    <row r="684" ht="18" customHeight="1" s="207">
      <c r="A684" s="166" t="n"/>
      <c r="B684" s="167" t="n"/>
      <c r="C684" s="167" t="n"/>
      <c r="D684" s="143">
        <f>"PRD_SNJ_"&amp;
_xlfn.XLOOKUP(商品マスタ[[#This Row],[仕入先]],テーブル1[仕入先名],テーブル1[仕入先コード],"XXX",0,1)&amp;
"_"&amp;
商品マスタ[[#This Row],[シリアル]]&amp;
"_"&amp;
TEXT(COUNTIFS(商品マスタ!$C$3:C684,商品マスタ[[#This Row],[仕入先]],商品マスタ!$E$3:E684,商品マスタ[[#This Row],[商品名]]), "00")</f>
        <v/>
      </c>
      <c r="E684" s="167" t="n"/>
      <c r="F684" s="167">
        <f>IF(COUNTIFS($C$3:C684,商品マスタ[[#This Row],[仕入先]],$E$3:E684,商品マスタ[[#This Row],[商品名]]) = 1, 1,0)</f>
        <v/>
      </c>
      <c r="G684" s="133">
        <f>TEXT(SUMIF($C$3:C684,商品マスタ[[#This Row],[仕入先]],$F$3:F684), "0000")</f>
        <v/>
      </c>
      <c r="H684" s="167" t="n"/>
      <c r="I684" s="167" t="n"/>
      <c r="J684" s="167" t="n"/>
      <c r="K684" s="167" t="n"/>
      <c r="L684" s="289" t="n"/>
      <c r="M684" s="157" t="n"/>
      <c r="N684" s="289" t="n"/>
      <c r="O684" s="290">
        <f>IF(COUNT(商品マスタ[[#This Row],[参考上代
（税込)]]) &gt; 0, (商品マスタ[[#This Row],[参考上代
（税込)]]-商品マスタ[[#This Row],[国内定価
（15％）]])/(商品マスタ[[#This Row],[参考上代
（税込)]]/1.08), "")</f>
        <v/>
      </c>
      <c r="P684" s="136" t="n">
        <v>0.1</v>
      </c>
      <c r="Q684" s="289">
        <f>商品マスタ[[#This Row],[仕入
単価]]*商品マスタ[[#This Row],[標準国内送料率]]</f>
        <v/>
      </c>
      <c r="R684" s="289" t="n"/>
      <c r="S684" s="289">
        <f>IF(ISBLANK(商品マスタ[[#This Row],[実績
国内送料]]),商品マスタ[[#This Row],[標準国内送料]],)</f>
        <v/>
      </c>
      <c r="T684" s="289">
        <f>商品マスタ[[#This Row],[仕入
単価]]+商品マスタ[[#This Row],[国内送料]]</f>
        <v/>
      </c>
      <c r="U684" s="289">
        <f>ROUNDUP(商品マスタ[[#This Row],[仕入単価+国内送料]]/0.8,-1)</f>
        <v/>
      </c>
      <c r="V684" s="289">
        <f>商品マスタ[[#This Row],[海外定価
（20％）]]-商品マスタ[[#This Row],[仕入単価+国内送料]]</f>
        <v/>
      </c>
      <c r="W684" s="167">
        <f>ROUNDUP(商品マスタ[[#This Row],[仕入単価+国内送料]]/0.85,-1)</f>
        <v/>
      </c>
      <c r="X684" s="289">
        <f>商品マスタ[[#This Row],[国内定価
（15％）]]-商品マスタ[[#This Row],[仕入単価+国内送料]]</f>
        <v/>
      </c>
      <c r="Y684" s="139" t="n"/>
      <c r="Z684" s="167" t="n"/>
      <c r="AA684" s="167" t="n"/>
      <c r="AB684" s="167" t="n"/>
      <c r="AC684" s="293" t="n"/>
      <c r="AD684" s="167" t="n"/>
      <c r="AE684" s="167" t="n"/>
      <c r="AF684" s="167" t="n"/>
      <c r="AG684" s="144" t="n"/>
    </row>
    <row r="685" ht="18" customHeight="1" s="207">
      <c r="A685" s="166" t="n"/>
      <c r="B685" s="167" t="n"/>
      <c r="C685" s="167" t="n"/>
      <c r="D685" s="143">
        <f>"PRD_SNJ_"&amp;
_xlfn.XLOOKUP(商品マスタ[[#This Row],[仕入先]],テーブル1[仕入先名],テーブル1[仕入先コード],"XXX",0,1)&amp;
"_"&amp;
商品マスタ[[#This Row],[シリアル]]&amp;
"_"&amp;
TEXT(COUNTIFS(商品マスタ!$C$3:C685,商品マスタ[[#This Row],[仕入先]],商品マスタ!$E$3:E685,商品マスタ[[#This Row],[商品名]]), "00")</f>
        <v/>
      </c>
      <c r="E685" s="167" t="n"/>
      <c r="F685" s="167">
        <f>IF(COUNTIFS($C$3:C685,商品マスタ[[#This Row],[仕入先]],$E$3:E685,商品マスタ[[#This Row],[商品名]]) = 1, 1,0)</f>
        <v/>
      </c>
      <c r="G685" s="133">
        <f>TEXT(SUMIF($C$3:C685,商品マスタ[[#This Row],[仕入先]],$F$3:F685), "0000")</f>
        <v/>
      </c>
      <c r="H685" s="167" t="n"/>
      <c r="I685" s="167" t="n"/>
      <c r="J685" s="167" t="n"/>
      <c r="K685" s="167" t="n"/>
      <c r="L685" s="289" t="n"/>
      <c r="M685" s="157" t="n"/>
      <c r="N685" s="289" t="n"/>
      <c r="O685" s="290">
        <f>IF(COUNT(商品マスタ[[#This Row],[参考上代
（税込)]]) &gt; 0, (商品マスタ[[#This Row],[参考上代
（税込)]]-商品マスタ[[#This Row],[国内定価
（15％）]])/(商品マスタ[[#This Row],[参考上代
（税込)]]/1.08), "")</f>
        <v/>
      </c>
      <c r="P685" s="136" t="n">
        <v>0.1</v>
      </c>
      <c r="Q685" s="289">
        <f>商品マスタ[[#This Row],[仕入
単価]]*商品マスタ[[#This Row],[標準国内送料率]]</f>
        <v/>
      </c>
      <c r="R685" s="289" t="n"/>
      <c r="S685" s="289">
        <f>IF(ISBLANK(商品マスタ[[#This Row],[実績
国内送料]]),商品マスタ[[#This Row],[標準国内送料]],)</f>
        <v/>
      </c>
      <c r="T685" s="289">
        <f>商品マスタ[[#This Row],[仕入
単価]]+商品マスタ[[#This Row],[国内送料]]</f>
        <v/>
      </c>
      <c r="U685" s="289">
        <f>ROUNDUP(商品マスタ[[#This Row],[仕入単価+国内送料]]/0.8,-1)</f>
        <v/>
      </c>
      <c r="V685" s="289">
        <f>商品マスタ[[#This Row],[海外定価
（20％）]]-商品マスタ[[#This Row],[仕入単価+国内送料]]</f>
        <v/>
      </c>
      <c r="W685" s="167">
        <f>ROUNDUP(商品マスタ[[#This Row],[仕入単価+国内送料]]/0.85,-1)</f>
        <v/>
      </c>
      <c r="X685" s="289">
        <f>商品マスタ[[#This Row],[国内定価
（15％）]]-商品マスタ[[#This Row],[仕入単価+国内送料]]</f>
        <v/>
      </c>
      <c r="Y685" s="139" t="n"/>
      <c r="Z685" s="167" t="n"/>
      <c r="AA685" s="167" t="n"/>
      <c r="AB685" s="167" t="n"/>
      <c r="AC685" s="293" t="n"/>
      <c r="AD685" s="167" t="n"/>
      <c r="AE685" s="167" t="n"/>
      <c r="AF685" s="167" t="n"/>
      <c r="AG685" s="144" t="n"/>
    </row>
    <row r="686" ht="18" customHeight="1" s="207">
      <c r="A686" s="166" t="n"/>
      <c r="B686" s="167" t="n"/>
      <c r="C686" s="167" t="n"/>
      <c r="D686" s="143">
        <f>"PRD_SNJ_"&amp;
_xlfn.XLOOKUP(商品マスタ[[#This Row],[仕入先]],テーブル1[仕入先名],テーブル1[仕入先コード],"XXX",0,1)&amp;
"_"&amp;
商品マスタ[[#This Row],[シリアル]]&amp;
"_"&amp;
TEXT(COUNTIFS(商品マスタ!$C$3:C686,商品マスタ[[#This Row],[仕入先]],商品マスタ!$E$3:E686,商品マスタ[[#This Row],[商品名]]), "00")</f>
        <v/>
      </c>
      <c r="E686" s="167" t="n"/>
      <c r="F686" s="167">
        <f>IF(COUNTIFS($C$3:C686,商品マスタ[[#This Row],[仕入先]],$E$3:E686,商品マスタ[[#This Row],[商品名]]) = 1, 1,0)</f>
        <v/>
      </c>
      <c r="G686" s="133">
        <f>TEXT(SUMIF($C$3:C686,商品マスタ[[#This Row],[仕入先]],$F$3:F686), "0000")</f>
        <v/>
      </c>
      <c r="H686" s="167" t="n"/>
      <c r="I686" s="167" t="n"/>
      <c r="J686" s="167" t="n"/>
      <c r="K686" s="167" t="n"/>
      <c r="L686" s="289" t="n"/>
      <c r="M686" s="157" t="n"/>
      <c r="N686" s="289" t="n"/>
      <c r="O686" s="290">
        <f>IF(COUNT(商品マスタ[[#This Row],[参考上代
（税込)]]) &gt; 0, (商品マスタ[[#This Row],[参考上代
（税込)]]-商品マスタ[[#This Row],[国内定価
（15％）]])/(商品マスタ[[#This Row],[参考上代
（税込)]]/1.08), "")</f>
        <v/>
      </c>
      <c r="P686" s="136" t="n">
        <v>0.1</v>
      </c>
      <c r="Q686" s="289">
        <f>商品マスタ[[#This Row],[仕入
単価]]*商品マスタ[[#This Row],[標準国内送料率]]</f>
        <v/>
      </c>
      <c r="R686" s="289" t="n"/>
      <c r="S686" s="289">
        <f>IF(ISBLANK(商品マスタ[[#This Row],[実績
国内送料]]),商品マスタ[[#This Row],[標準国内送料]],)</f>
        <v/>
      </c>
      <c r="T686" s="289">
        <f>商品マスタ[[#This Row],[仕入
単価]]+商品マスタ[[#This Row],[国内送料]]</f>
        <v/>
      </c>
      <c r="U686" s="289">
        <f>ROUNDUP(商品マスタ[[#This Row],[仕入単価+国内送料]]/0.8,-1)</f>
        <v/>
      </c>
      <c r="V686" s="289">
        <f>商品マスタ[[#This Row],[海外定価
（20％）]]-商品マスタ[[#This Row],[仕入単価+国内送料]]</f>
        <v/>
      </c>
      <c r="W686" s="167">
        <f>ROUNDUP(商品マスタ[[#This Row],[仕入単価+国内送料]]/0.85,-1)</f>
        <v/>
      </c>
      <c r="X686" s="289">
        <f>商品マスタ[[#This Row],[国内定価
（15％）]]-商品マスタ[[#This Row],[仕入単価+国内送料]]</f>
        <v/>
      </c>
      <c r="Y686" s="139" t="n"/>
      <c r="Z686" s="167" t="n"/>
      <c r="AA686" s="167" t="n"/>
      <c r="AB686" s="167" t="n"/>
      <c r="AC686" s="293" t="n"/>
      <c r="AD686" s="167" t="n"/>
      <c r="AE686" s="167" t="n"/>
      <c r="AF686" s="167" t="n"/>
      <c r="AG686" s="144" t="n"/>
    </row>
    <row r="687" ht="18" customHeight="1" s="207">
      <c r="A687" s="166" t="n"/>
      <c r="B687" s="167" t="n"/>
      <c r="C687" s="167" t="n"/>
      <c r="D687" s="143">
        <f>"PRD_SNJ_"&amp;
_xlfn.XLOOKUP(商品マスタ[[#This Row],[仕入先]],テーブル1[仕入先名],テーブル1[仕入先コード],"XXX",0,1)&amp;
"_"&amp;
商品マスタ[[#This Row],[シリアル]]&amp;
"_"&amp;
TEXT(COUNTIFS(商品マスタ!$C$3:C687,商品マスタ[[#This Row],[仕入先]],商品マスタ!$E$3:E687,商品マスタ[[#This Row],[商品名]]), "00")</f>
        <v/>
      </c>
      <c r="E687" s="167" t="n"/>
      <c r="F687" s="167">
        <f>IF(COUNTIFS($C$3:C687,商品マスタ[[#This Row],[仕入先]],$E$3:E687,商品マスタ[[#This Row],[商品名]]) = 1, 1,0)</f>
        <v/>
      </c>
      <c r="G687" s="133">
        <f>TEXT(SUMIF($C$3:C687,商品マスタ[[#This Row],[仕入先]],$F$3:F687), "0000")</f>
        <v/>
      </c>
      <c r="H687" s="167" t="n"/>
      <c r="I687" s="167" t="n"/>
      <c r="J687" s="167" t="n"/>
      <c r="K687" s="167" t="n"/>
      <c r="L687" s="289" t="n"/>
      <c r="M687" s="157" t="n"/>
      <c r="N687" s="289" t="n"/>
      <c r="O687" s="290">
        <f>IF(COUNT(商品マスタ[[#This Row],[参考上代
（税込)]]) &gt; 0, (商品マスタ[[#This Row],[参考上代
（税込)]]-商品マスタ[[#This Row],[国内定価
（15％）]])/(商品マスタ[[#This Row],[参考上代
（税込)]]/1.08), "")</f>
        <v/>
      </c>
      <c r="P687" s="136" t="n">
        <v>0.1</v>
      </c>
      <c r="Q687" s="289">
        <f>商品マスタ[[#This Row],[仕入
単価]]*商品マスタ[[#This Row],[標準国内送料率]]</f>
        <v/>
      </c>
      <c r="R687" s="289" t="n"/>
      <c r="S687" s="289">
        <f>IF(ISBLANK(商品マスタ[[#This Row],[実績
国内送料]]),商品マスタ[[#This Row],[標準国内送料]],)</f>
        <v/>
      </c>
      <c r="T687" s="289">
        <f>商品マスタ[[#This Row],[仕入
単価]]+商品マスタ[[#This Row],[国内送料]]</f>
        <v/>
      </c>
      <c r="U687" s="289">
        <f>ROUNDUP(商品マスタ[[#This Row],[仕入単価+国内送料]]/0.8,-1)</f>
        <v/>
      </c>
      <c r="V687" s="289">
        <f>商品マスタ[[#This Row],[海外定価
（20％）]]-商品マスタ[[#This Row],[仕入単価+国内送料]]</f>
        <v/>
      </c>
      <c r="W687" s="167">
        <f>ROUNDUP(商品マスタ[[#This Row],[仕入単価+国内送料]]/0.85,-1)</f>
        <v/>
      </c>
      <c r="X687" s="289">
        <f>商品マスタ[[#This Row],[国内定価
（15％）]]-商品マスタ[[#This Row],[仕入単価+国内送料]]</f>
        <v/>
      </c>
      <c r="Y687" s="139" t="n"/>
      <c r="Z687" s="167" t="n"/>
      <c r="AA687" s="167" t="n"/>
      <c r="AB687" s="167" t="n"/>
      <c r="AC687" s="293" t="n"/>
      <c r="AD687" s="167" t="n"/>
      <c r="AE687" s="167" t="n"/>
      <c r="AF687" s="167" t="n"/>
      <c r="AG687" s="144" t="n"/>
    </row>
    <row r="688" ht="18" customHeight="1" s="207">
      <c r="A688" s="166" t="n"/>
      <c r="B688" s="167" t="n"/>
      <c r="C688" s="167" t="n"/>
      <c r="D688" s="143">
        <f>"PRD_SNJ_"&amp;
_xlfn.XLOOKUP(商品マスタ[[#This Row],[仕入先]],テーブル1[仕入先名],テーブル1[仕入先コード],"XXX",0,1)&amp;
"_"&amp;
商品マスタ[[#This Row],[シリアル]]&amp;
"_"&amp;
TEXT(COUNTIFS(商品マスタ!$C$3:C688,商品マスタ[[#This Row],[仕入先]],商品マスタ!$E$3:E688,商品マスタ[[#This Row],[商品名]]), "00")</f>
        <v/>
      </c>
      <c r="E688" s="167" t="n"/>
      <c r="F688" s="167">
        <f>IF(COUNTIFS($C$3:C688,商品マスタ[[#This Row],[仕入先]],$E$3:E688,商品マスタ[[#This Row],[商品名]]) = 1, 1,0)</f>
        <v/>
      </c>
      <c r="G688" s="133">
        <f>TEXT(SUMIF($C$3:C688,商品マスタ[[#This Row],[仕入先]],$F$3:F688), "0000")</f>
        <v/>
      </c>
      <c r="H688" s="167" t="n"/>
      <c r="I688" s="167" t="n"/>
      <c r="J688" s="167" t="n"/>
      <c r="K688" s="167" t="n"/>
      <c r="L688" s="289" t="n"/>
      <c r="M688" s="157" t="n"/>
      <c r="N688" s="289" t="n"/>
      <c r="O688" s="290">
        <f>IF(COUNT(商品マスタ[[#This Row],[参考上代
（税込)]]) &gt; 0, (商品マスタ[[#This Row],[参考上代
（税込)]]-商品マスタ[[#This Row],[国内定価
（15％）]])/(商品マスタ[[#This Row],[参考上代
（税込)]]/1.08), "")</f>
        <v/>
      </c>
      <c r="P688" s="136" t="n">
        <v>0.1</v>
      </c>
      <c r="Q688" s="289">
        <f>商品マスタ[[#This Row],[仕入
単価]]*商品マスタ[[#This Row],[標準国内送料率]]</f>
        <v/>
      </c>
      <c r="R688" s="289" t="n"/>
      <c r="S688" s="289">
        <f>IF(ISBLANK(商品マスタ[[#This Row],[実績
国内送料]]),商品マスタ[[#This Row],[標準国内送料]],)</f>
        <v/>
      </c>
      <c r="T688" s="289">
        <f>商品マスタ[[#This Row],[仕入
単価]]+商品マスタ[[#This Row],[国内送料]]</f>
        <v/>
      </c>
      <c r="U688" s="289">
        <f>ROUNDUP(商品マスタ[[#This Row],[仕入単価+国内送料]]/0.8,-1)</f>
        <v/>
      </c>
      <c r="V688" s="289">
        <f>商品マスタ[[#This Row],[海外定価
（20％）]]-商品マスタ[[#This Row],[仕入単価+国内送料]]</f>
        <v/>
      </c>
      <c r="W688" s="167">
        <f>ROUNDUP(商品マスタ[[#This Row],[仕入単価+国内送料]]/0.85,-1)</f>
        <v/>
      </c>
      <c r="X688" s="289">
        <f>商品マスタ[[#This Row],[国内定価
（15％）]]-商品マスタ[[#This Row],[仕入単価+国内送料]]</f>
        <v/>
      </c>
      <c r="Y688" s="139" t="n"/>
      <c r="Z688" s="167" t="n"/>
      <c r="AA688" s="167" t="n"/>
      <c r="AB688" s="167" t="n"/>
      <c r="AC688" s="293" t="n"/>
      <c r="AD688" s="167" t="n"/>
      <c r="AE688" s="167" t="n"/>
      <c r="AF688" s="167" t="n"/>
      <c r="AG688" s="144" t="n"/>
    </row>
    <row r="689" ht="18" customHeight="1" s="207">
      <c r="A689" s="166" t="n"/>
      <c r="B689" s="167" t="n"/>
      <c r="C689" s="167" t="n"/>
      <c r="D689" s="143">
        <f>"PRD_SNJ_"&amp;
_xlfn.XLOOKUP(商品マスタ[[#This Row],[仕入先]],テーブル1[仕入先名],テーブル1[仕入先コード],"XXX",0,1)&amp;
"_"&amp;
商品マスタ[[#This Row],[シリアル]]&amp;
"_"&amp;
TEXT(COUNTIFS(商品マスタ!$C$3:C689,商品マスタ[[#This Row],[仕入先]],商品マスタ!$E$3:E689,商品マスタ[[#This Row],[商品名]]), "00")</f>
        <v/>
      </c>
      <c r="E689" s="167" t="n"/>
      <c r="F689" s="167">
        <f>IF(COUNTIFS($C$3:C689,商品マスタ[[#This Row],[仕入先]],$E$3:E689,商品マスタ[[#This Row],[商品名]]) = 1, 1,0)</f>
        <v/>
      </c>
      <c r="G689" s="133">
        <f>TEXT(SUMIF($C$3:C689,商品マスタ[[#This Row],[仕入先]],$F$3:F689), "0000")</f>
        <v/>
      </c>
      <c r="H689" s="167" t="n"/>
      <c r="I689" s="167" t="n"/>
      <c r="J689" s="167" t="n"/>
      <c r="K689" s="167" t="n"/>
      <c r="L689" s="289" t="n"/>
      <c r="M689" s="157" t="n"/>
      <c r="N689" s="289" t="n"/>
      <c r="O689" s="290">
        <f>IF(COUNT(商品マスタ[[#This Row],[参考上代
（税込)]]) &gt; 0, (商品マスタ[[#This Row],[参考上代
（税込)]]-商品マスタ[[#This Row],[国内定価
（15％）]])/(商品マスタ[[#This Row],[参考上代
（税込)]]/1.08), "")</f>
        <v/>
      </c>
      <c r="P689" s="136" t="n">
        <v>0.1</v>
      </c>
      <c r="Q689" s="289">
        <f>商品マスタ[[#This Row],[仕入
単価]]*商品マスタ[[#This Row],[標準国内送料率]]</f>
        <v/>
      </c>
      <c r="R689" s="289" t="n"/>
      <c r="S689" s="289">
        <f>IF(ISBLANK(商品マスタ[[#This Row],[実績
国内送料]]),商品マスタ[[#This Row],[標準国内送料]],)</f>
        <v/>
      </c>
      <c r="T689" s="289">
        <f>商品マスタ[[#This Row],[仕入
単価]]+商品マスタ[[#This Row],[国内送料]]</f>
        <v/>
      </c>
      <c r="U689" s="289">
        <f>ROUNDUP(商品マスタ[[#This Row],[仕入単価+国内送料]]/0.8,-1)</f>
        <v/>
      </c>
      <c r="V689" s="289">
        <f>商品マスタ[[#This Row],[海外定価
（20％）]]-商品マスタ[[#This Row],[仕入単価+国内送料]]</f>
        <v/>
      </c>
      <c r="W689" s="167">
        <f>ROUNDUP(商品マスタ[[#This Row],[仕入単価+国内送料]]/0.85,-1)</f>
        <v/>
      </c>
      <c r="X689" s="289">
        <f>商品マスタ[[#This Row],[国内定価
（15％）]]-商品マスタ[[#This Row],[仕入単価+国内送料]]</f>
        <v/>
      </c>
      <c r="Y689" s="139" t="n"/>
      <c r="Z689" s="167" t="n"/>
      <c r="AA689" s="167" t="n"/>
      <c r="AB689" s="167" t="n"/>
      <c r="AC689" s="293" t="n"/>
      <c r="AD689" s="167" t="n"/>
      <c r="AE689" s="167" t="n"/>
      <c r="AF689" s="167" t="n"/>
      <c r="AG689" s="144" t="n"/>
    </row>
    <row r="690" ht="18" customHeight="1" s="207">
      <c r="A690" s="166" t="n"/>
      <c r="B690" s="167" t="n"/>
      <c r="C690" s="167" t="n"/>
      <c r="D690" s="143">
        <f>"PRD_SNJ_"&amp;
_xlfn.XLOOKUP(商品マスタ[[#This Row],[仕入先]],テーブル1[仕入先名],テーブル1[仕入先コード],"XXX",0,1)&amp;
"_"&amp;
商品マスタ[[#This Row],[シリアル]]&amp;
"_"&amp;
TEXT(COUNTIFS(商品マスタ!$C$3:C690,商品マスタ[[#This Row],[仕入先]],商品マスタ!$E$3:E690,商品マスタ[[#This Row],[商品名]]), "00")</f>
        <v/>
      </c>
      <c r="E690" s="167" t="n"/>
      <c r="F690" s="167">
        <f>IF(COUNTIFS($C$3:C690,商品マスタ[[#This Row],[仕入先]],$E$3:E690,商品マスタ[[#This Row],[商品名]]) = 1, 1,0)</f>
        <v/>
      </c>
      <c r="G690" s="133">
        <f>TEXT(SUMIF($C$3:C690,商品マスタ[[#This Row],[仕入先]],$F$3:F690), "0000")</f>
        <v/>
      </c>
      <c r="H690" s="167" t="n"/>
      <c r="I690" s="167" t="n"/>
      <c r="J690" s="167" t="n"/>
      <c r="K690" s="167" t="n"/>
      <c r="L690" s="289" t="n"/>
      <c r="M690" s="157" t="n"/>
      <c r="N690" s="289" t="n"/>
      <c r="O690" s="290">
        <f>IF(COUNT(商品マスタ[[#This Row],[参考上代
（税込)]]) &gt; 0, (商品マスタ[[#This Row],[参考上代
（税込)]]-商品マスタ[[#This Row],[国内定価
（15％）]])/(商品マスタ[[#This Row],[参考上代
（税込)]]/1.08), "")</f>
        <v/>
      </c>
      <c r="P690" s="136" t="n">
        <v>0.1</v>
      </c>
      <c r="Q690" s="289">
        <f>商品マスタ[[#This Row],[仕入
単価]]*商品マスタ[[#This Row],[標準国内送料率]]</f>
        <v/>
      </c>
      <c r="R690" s="289" t="n"/>
      <c r="S690" s="289">
        <f>IF(ISBLANK(商品マスタ[[#This Row],[実績
国内送料]]),商品マスタ[[#This Row],[標準国内送料]],)</f>
        <v/>
      </c>
      <c r="T690" s="289">
        <f>商品マスタ[[#This Row],[仕入
単価]]+商品マスタ[[#This Row],[国内送料]]</f>
        <v/>
      </c>
      <c r="U690" s="289">
        <f>ROUNDUP(商品マスタ[[#This Row],[仕入単価+国内送料]]/0.8,-1)</f>
        <v/>
      </c>
      <c r="V690" s="289">
        <f>商品マスタ[[#This Row],[海外定価
（20％）]]-商品マスタ[[#This Row],[仕入単価+国内送料]]</f>
        <v/>
      </c>
      <c r="W690" s="167">
        <f>ROUNDUP(商品マスタ[[#This Row],[仕入単価+国内送料]]/0.85,-1)</f>
        <v/>
      </c>
      <c r="X690" s="289">
        <f>商品マスタ[[#This Row],[国内定価
（15％）]]-商品マスタ[[#This Row],[仕入単価+国内送料]]</f>
        <v/>
      </c>
      <c r="Y690" s="139" t="n"/>
      <c r="Z690" s="167" t="n"/>
      <c r="AA690" s="167" t="n"/>
      <c r="AB690" s="167" t="n"/>
      <c r="AC690" s="293" t="n"/>
      <c r="AD690" s="167" t="n"/>
      <c r="AE690" s="167" t="n"/>
      <c r="AF690" s="167" t="n"/>
      <c r="AG690" s="144" t="n"/>
    </row>
    <row r="691" ht="18" customHeight="1" s="207">
      <c r="A691" s="166" t="n"/>
      <c r="B691" s="167" t="n"/>
      <c r="C691" s="167" t="n"/>
      <c r="D691" s="143">
        <f>"PRD_SNJ_"&amp;
_xlfn.XLOOKUP(商品マスタ[[#This Row],[仕入先]],テーブル1[仕入先名],テーブル1[仕入先コード],"XXX",0,1)&amp;
"_"&amp;
商品マスタ[[#This Row],[シリアル]]&amp;
"_"&amp;
TEXT(COUNTIFS(商品マスタ!$C$3:C691,商品マスタ[[#This Row],[仕入先]],商品マスタ!$E$3:E691,商品マスタ[[#This Row],[商品名]]), "00")</f>
        <v/>
      </c>
      <c r="E691" s="167" t="n"/>
      <c r="F691" s="167">
        <f>IF(COUNTIFS($C$3:C691,商品マスタ[[#This Row],[仕入先]],$E$3:E691,商品マスタ[[#This Row],[商品名]]) = 1, 1,0)</f>
        <v/>
      </c>
      <c r="G691" s="133">
        <f>TEXT(SUMIF($C$3:C691,商品マスタ[[#This Row],[仕入先]],$F$3:F691), "0000")</f>
        <v/>
      </c>
      <c r="H691" s="167" t="n"/>
      <c r="I691" s="167" t="n"/>
      <c r="J691" s="167" t="n"/>
      <c r="K691" s="167" t="n"/>
      <c r="L691" s="289" t="n"/>
      <c r="M691" s="157" t="n"/>
      <c r="N691" s="289" t="n"/>
      <c r="O691" s="290">
        <f>IF(COUNT(商品マスタ[[#This Row],[参考上代
（税込)]]) &gt; 0, (商品マスタ[[#This Row],[参考上代
（税込)]]-商品マスタ[[#This Row],[国内定価
（15％）]])/(商品マスタ[[#This Row],[参考上代
（税込)]]/1.08), "")</f>
        <v/>
      </c>
      <c r="P691" s="136" t="n">
        <v>0.1</v>
      </c>
      <c r="Q691" s="289">
        <f>商品マスタ[[#This Row],[仕入
単価]]*商品マスタ[[#This Row],[標準国内送料率]]</f>
        <v/>
      </c>
      <c r="R691" s="289" t="n"/>
      <c r="S691" s="289">
        <f>IF(ISBLANK(商品マスタ[[#This Row],[実績
国内送料]]),商品マスタ[[#This Row],[標準国内送料]],)</f>
        <v/>
      </c>
      <c r="T691" s="289">
        <f>商品マスタ[[#This Row],[仕入
単価]]+商品マスタ[[#This Row],[国内送料]]</f>
        <v/>
      </c>
      <c r="U691" s="289">
        <f>ROUNDUP(商品マスタ[[#This Row],[仕入単価+国内送料]]/0.8,-1)</f>
        <v/>
      </c>
      <c r="V691" s="289">
        <f>商品マスタ[[#This Row],[海外定価
（20％）]]-商品マスタ[[#This Row],[仕入単価+国内送料]]</f>
        <v/>
      </c>
      <c r="W691" s="167">
        <f>ROUNDUP(商品マスタ[[#This Row],[仕入単価+国内送料]]/0.85,-1)</f>
        <v/>
      </c>
      <c r="X691" s="289">
        <f>商品マスタ[[#This Row],[国内定価
（15％）]]-商品マスタ[[#This Row],[仕入単価+国内送料]]</f>
        <v/>
      </c>
      <c r="Y691" s="139" t="n"/>
      <c r="Z691" s="167" t="n"/>
      <c r="AA691" s="167" t="n"/>
      <c r="AB691" s="167" t="n"/>
      <c r="AC691" s="293" t="n"/>
      <c r="AD691" s="167" t="n"/>
      <c r="AE691" s="167" t="n"/>
      <c r="AF691" s="167" t="n"/>
      <c r="AG691" s="144" t="n"/>
    </row>
    <row r="692" ht="18" customHeight="1" s="207">
      <c r="A692" s="166" t="n"/>
      <c r="B692" s="167" t="n"/>
      <c r="C692" s="167" t="n"/>
      <c r="D692" s="143">
        <f>"PRD_SNJ_"&amp;
_xlfn.XLOOKUP(商品マスタ[[#This Row],[仕入先]],テーブル1[仕入先名],テーブル1[仕入先コード],"XXX",0,1)&amp;
"_"&amp;
商品マスタ[[#This Row],[シリアル]]&amp;
"_"&amp;
TEXT(COUNTIFS(商品マスタ!$C$3:C692,商品マスタ[[#This Row],[仕入先]],商品マスタ!$E$3:E692,商品マスタ[[#This Row],[商品名]]), "00")</f>
        <v/>
      </c>
      <c r="E692" s="167" t="n"/>
      <c r="F692" s="167">
        <f>IF(COUNTIFS($C$3:C692,商品マスタ[[#This Row],[仕入先]],$E$3:E692,商品マスタ[[#This Row],[商品名]]) = 1, 1,0)</f>
        <v/>
      </c>
      <c r="G692" s="133">
        <f>TEXT(SUMIF($C$3:C692,商品マスタ[[#This Row],[仕入先]],$F$3:F692), "0000")</f>
        <v/>
      </c>
      <c r="H692" s="167" t="n"/>
      <c r="I692" s="167" t="n"/>
      <c r="J692" s="167" t="n"/>
      <c r="K692" s="167" t="n"/>
      <c r="L692" s="289" t="n"/>
      <c r="M692" s="157" t="n"/>
      <c r="N692" s="289" t="n"/>
      <c r="O692" s="290">
        <f>IF(COUNT(商品マスタ[[#This Row],[参考上代
（税込)]]) &gt; 0, (商品マスタ[[#This Row],[参考上代
（税込)]]-商品マスタ[[#This Row],[国内定価
（15％）]])/(商品マスタ[[#This Row],[参考上代
（税込)]]/1.08), "")</f>
        <v/>
      </c>
      <c r="P692" s="136" t="n">
        <v>0.1</v>
      </c>
      <c r="Q692" s="289">
        <f>商品マスタ[[#This Row],[仕入
単価]]*商品マスタ[[#This Row],[標準国内送料率]]</f>
        <v/>
      </c>
      <c r="R692" s="289" t="n"/>
      <c r="S692" s="289">
        <f>IF(ISBLANK(商品マスタ[[#This Row],[実績
国内送料]]),商品マスタ[[#This Row],[標準国内送料]],)</f>
        <v/>
      </c>
      <c r="T692" s="289">
        <f>商品マスタ[[#This Row],[仕入
単価]]+商品マスタ[[#This Row],[国内送料]]</f>
        <v/>
      </c>
      <c r="U692" s="289">
        <f>ROUNDUP(商品マスタ[[#This Row],[仕入単価+国内送料]]/0.8,-1)</f>
        <v/>
      </c>
      <c r="V692" s="289">
        <f>商品マスタ[[#This Row],[海外定価
（20％）]]-商品マスタ[[#This Row],[仕入単価+国内送料]]</f>
        <v/>
      </c>
      <c r="W692" s="167">
        <f>ROUNDUP(商品マスタ[[#This Row],[仕入単価+国内送料]]/0.85,-1)</f>
        <v/>
      </c>
      <c r="X692" s="289">
        <f>商品マスタ[[#This Row],[国内定価
（15％）]]-商品マスタ[[#This Row],[仕入単価+国内送料]]</f>
        <v/>
      </c>
      <c r="Y692" s="139" t="n"/>
      <c r="Z692" s="167" t="n"/>
      <c r="AA692" s="167" t="n"/>
      <c r="AB692" s="167" t="n"/>
      <c r="AC692" s="293" t="n"/>
      <c r="AD692" s="167" t="n"/>
      <c r="AE692" s="167" t="n"/>
      <c r="AF692" s="167" t="n"/>
      <c r="AG692" s="144" t="n"/>
    </row>
    <row r="693" ht="18" customHeight="1" s="207">
      <c r="A693" s="166" t="n"/>
      <c r="B693" s="167" t="n"/>
      <c r="C693" s="167" t="n"/>
      <c r="D693" s="143">
        <f>"PRD_SNJ_"&amp;
_xlfn.XLOOKUP(商品マスタ[[#This Row],[仕入先]],テーブル1[仕入先名],テーブル1[仕入先コード],"XXX",0,1)&amp;
"_"&amp;
商品マスタ[[#This Row],[シリアル]]&amp;
"_"&amp;
TEXT(COUNTIFS(商品マスタ!$C$3:C693,商品マスタ[[#This Row],[仕入先]],商品マスタ!$E$3:E693,商品マスタ[[#This Row],[商品名]]), "00")</f>
        <v/>
      </c>
      <c r="E693" s="167" t="n"/>
      <c r="F693" s="167">
        <f>IF(COUNTIFS($C$3:C693,商品マスタ[[#This Row],[仕入先]],$E$3:E693,商品マスタ[[#This Row],[商品名]]) = 1, 1,0)</f>
        <v/>
      </c>
      <c r="G693" s="133">
        <f>TEXT(SUMIF($C$3:C693,商品マスタ[[#This Row],[仕入先]],$F$3:F693), "0000")</f>
        <v/>
      </c>
      <c r="H693" s="167" t="n"/>
      <c r="I693" s="167" t="n"/>
      <c r="J693" s="167" t="n"/>
      <c r="K693" s="167" t="n"/>
      <c r="L693" s="289" t="n"/>
      <c r="M693" s="157" t="n"/>
      <c r="N693" s="289" t="n"/>
      <c r="O693" s="290">
        <f>IF(COUNT(商品マスタ[[#This Row],[参考上代
（税込)]]) &gt; 0, (商品マスタ[[#This Row],[参考上代
（税込)]]-商品マスタ[[#This Row],[国内定価
（15％）]])/(商品マスタ[[#This Row],[参考上代
（税込)]]/1.08), "")</f>
        <v/>
      </c>
      <c r="P693" s="136" t="n">
        <v>0.1</v>
      </c>
      <c r="Q693" s="289">
        <f>商品マスタ[[#This Row],[仕入
単価]]*商品マスタ[[#This Row],[標準国内送料率]]</f>
        <v/>
      </c>
      <c r="R693" s="289" t="n"/>
      <c r="S693" s="289">
        <f>IF(ISBLANK(商品マスタ[[#This Row],[実績
国内送料]]),商品マスタ[[#This Row],[標準国内送料]],)</f>
        <v/>
      </c>
      <c r="T693" s="289">
        <f>商品マスタ[[#This Row],[仕入
単価]]+商品マスタ[[#This Row],[国内送料]]</f>
        <v/>
      </c>
      <c r="U693" s="289">
        <f>ROUNDUP(商品マスタ[[#This Row],[仕入単価+国内送料]]/0.8,-1)</f>
        <v/>
      </c>
      <c r="V693" s="289">
        <f>商品マスタ[[#This Row],[海外定価
（20％）]]-商品マスタ[[#This Row],[仕入単価+国内送料]]</f>
        <v/>
      </c>
      <c r="W693" s="167">
        <f>ROUNDUP(商品マスタ[[#This Row],[仕入単価+国内送料]]/0.85,-1)</f>
        <v/>
      </c>
      <c r="X693" s="289">
        <f>商品マスタ[[#This Row],[国内定価
（15％）]]-商品マスタ[[#This Row],[仕入単価+国内送料]]</f>
        <v/>
      </c>
      <c r="Y693" s="139" t="n"/>
      <c r="Z693" s="167" t="n"/>
      <c r="AA693" s="167" t="n"/>
      <c r="AB693" s="167" t="n"/>
      <c r="AC693" s="293" t="n"/>
      <c r="AD693" s="167" t="n"/>
      <c r="AE693" s="167" t="n"/>
      <c r="AF693" s="167" t="n"/>
      <c r="AG693" s="144" t="n"/>
    </row>
    <row r="694" ht="18" customHeight="1" s="207">
      <c r="A694" s="166" t="n"/>
      <c r="B694" s="167" t="n"/>
      <c r="C694" s="167" t="n"/>
      <c r="D694" s="143">
        <f>"PRD_SNJ_"&amp;
_xlfn.XLOOKUP(商品マスタ[[#This Row],[仕入先]],テーブル1[仕入先名],テーブル1[仕入先コード],"XXX",0,1)&amp;
"_"&amp;
商品マスタ[[#This Row],[シリアル]]&amp;
"_"&amp;
TEXT(COUNTIFS(商品マスタ!$C$3:C694,商品マスタ[[#This Row],[仕入先]],商品マスタ!$E$3:E694,商品マスタ[[#This Row],[商品名]]), "00")</f>
        <v/>
      </c>
      <c r="E694" s="167" t="n"/>
      <c r="F694" s="167">
        <f>IF(COUNTIFS($C$3:C694,商品マスタ[[#This Row],[仕入先]],$E$3:E694,商品マスタ[[#This Row],[商品名]]) = 1, 1,0)</f>
        <v/>
      </c>
      <c r="G694" s="133">
        <f>TEXT(SUMIF($C$3:C694,商品マスタ[[#This Row],[仕入先]],$F$3:F694), "0000")</f>
        <v/>
      </c>
      <c r="H694" s="167" t="n"/>
      <c r="I694" s="167" t="n"/>
      <c r="J694" s="167" t="n"/>
      <c r="K694" s="167" t="n"/>
      <c r="L694" s="289" t="n"/>
      <c r="M694" s="157" t="n"/>
      <c r="N694" s="289" t="n"/>
      <c r="O694" s="290">
        <f>IF(COUNT(商品マスタ[[#This Row],[参考上代
（税込)]]) &gt; 0, (商品マスタ[[#This Row],[参考上代
（税込)]]-商品マスタ[[#This Row],[国内定価
（15％）]])/(商品マスタ[[#This Row],[参考上代
（税込)]]/1.08), "")</f>
        <v/>
      </c>
      <c r="P694" s="136" t="n">
        <v>0.1</v>
      </c>
      <c r="Q694" s="289">
        <f>商品マスタ[[#This Row],[仕入
単価]]*商品マスタ[[#This Row],[標準国内送料率]]</f>
        <v/>
      </c>
      <c r="R694" s="289" t="n"/>
      <c r="S694" s="289">
        <f>IF(ISBLANK(商品マスタ[[#This Row],[実績
国内送料]]),商品マスタ[[#This Row],[標準国内送料]],)</f>
        <v/>
      </c>
      <c r="T694" s="289">
        <f>商品マスタ[[#This Row],[仕入
単価]]+商品マスタ[[#This Row],[国内送料]]</f>
        <v/>
      </c>
      <c r="U694" s="289">
        <f>ROUNDUP(商品マスタ[[#This Row],[仕入単価+国内送料]]/0.8,-1)</f>
        <v/>
      </c>
      <c r="V694" s="289">
        <f>商品マスタ[[#This Row],[海外定価
（20％）]]-商品マスタ[[#This Row],[仕入単価+国内送料]]</f>
        <v/>
      </c>
      <c r="W694" s="167">
        <f>ROUNDUP(商品マスタ[[#This Row],[仕入単価+国内送料]]/0.85,-1)</f>
        <v/>
      </c>
      <c r="X694" s="289">
        <f>商品マスタ[[#This Row],[国内定価
（15％）]]-商品マスタ[[#This Row],[仕入単価+国内送料]]</f>
        <v/>
      </c>
      <c r="Y694" s="139" t="n"/>
      <c r="Z694" s="167" t="n"/>
      <c r="AA694" s="167" t="n"/>
      <c r="AB694" s="167" t="n"/>
      <c r="AC694" s="293" t="n"/>
      <c r="AD694" s="167" t="n"/>
      <c r="AE694" s="167" t="n"/>
      <c r="AF694" s="167" t="n"/>
      <c r="AG694" s="144" t="n"/>
    </row>
    <row r="695" ht="18" customHeight="1" s="207">
      <c r="A695" s="166" t="n"/>
      <c r="B695" s="167" t="n"/>
      <c r="C695" s="167" t="n"/>
      <c r="D695" s="143">
        <f>"PRD_SNJ_"&amp;
_xlfn.XLOOKUP(商品マスタ[[#This Row],[仕入先]],テーブル1[仕入先名],テーブル1[仕入先コード],"XXX",0,1)&amp;
"_"&amp;
商品マスタ[[#This Row],[シリアル]]&amp;
"_"&amp;
TEXT(COUNTIFS(商品マスタ!$C$3:C695,商品マスタ[[#This Row],[仕入先]],商品マスタ!$E$3:E695,商品マスタ[[#This Row],[商品名]]), "00")</f>
        <v/>
      </c>
      <c r="E695" s="167" t="n"/>
      <c r="F695" s="167">
        <f>IF(COUNTIFS($C$3:C695,商品マスタ[[#This Row],[仕入先]],$E$3:E695,商品マスタ[[#This Row],[商品名]]) = 1, 1,0)</f>
        <v/>
      </c>
      <c r="G695" s="133">
        <f>TEXT(SUMIF($C$3:C695,商品マスタ[[#This Row],[仕入先]],$F$3:F695), "0000")</f>
        <v/>
      </c>
      <c r="H695" s="167" t="n"/>
      <c r="I695" s="167" t="n"/>
      <c r="J695" s="167" t="n"/>
      <c r="K695" s="167" t="n"/>
      <c r="L695" s="289" t="n"/>
      <c r="M695" s="157" t="n"/>
      <c r="N695" s="289" t="n"/>
      <c r="O695" s="290">
        <f>IF(COUNT(商品マスタ[[#This Row],[参考上代
（税込)]]) &gt; 0, (商品マスタ[[#This Row],[参考上代
（税込)]]-商品マスタ[[#This Row],[国内定価
（15％）]])/(商品マスタ[[#This Row],[参考上代
（税込)]]/1.08), "")</f>
        <v/>
      </c>
      <c r="P695" s="136" t="n">
        <v>0.1</v>
      </c>
      <c r="Q695" s="289">
        <f>商品マスタ[[#This Row],[仕入
単価]]*商品マスタ[[#This Row],[標準国内送料率]]</f>
        <v/>
      </c>
      <c r="R695" s="289" t="n"/>
      <c r="S695" s="289">
        <f>IF(ISBLANK(商品マスタ[[#This Row],[実績
国内送料]]),商品マスタ[[#This Row],[標準国内送料]],)</f>
        <v/>
      </c>
      <c r="T695" s="289">
        <f>商品マスタ[[#This Row],[仕入
単価]]+商品マスタ[[#This Row],[国内送料]]</f>
        <v/>
      </c>
      <c r="U695" s="289">
        <f>ROUNDUP(商品マスタ[[#This Row],[仕入単価+国内送料]]/0.8,-1)</f>
        <v/>
      </c>
      <c r="V695" s="289">
        <f>商品マスタ[[#This Row],[海外定価
（20％）]]-商品マスタ[[#This Row],[仕入単価+国内送料]]</f>
        <v/>
      </c>
      <c r="W695" s="167">
        <f>ROUNDUP(商品マスタ[[#This Row],[仕入単価+国内送料]]/0.85,-1)</f>
        <v/>
      </c>
      <c r="X695" s="289">
        <f>商品マスタ[[#This Row],[国内定価
（15％）]]-商品マスタ[[#This Row],[仕入単価+国内送料]]</f>
        <v/>
      </c>
      <c r="Y695" s="139" t="n"/>
      <c r="Z695" s="167" t="n"/>
      <c r="AA695" s="167" t="n"/>
      <c r="AB695" s="167" t="n"/>
      <c r="AC695" s="293" t="n"/>
      <c r="AD695" s="167" t="n"/>
      <c r="AE695" s="167" t="n"/>
      <c r="AF695" s="167" t="n"/>
      <c r="AG695" s="144" t="n"/>
    </row>
    <row r="696" ht="18" customHeight="1" s="207">
      <c r="A696" s="166" t="n"/>
      <c r="B696" s="167" t="n"/>
      <c r="C696" s="167" t="n"/>
      <c r="D696" s="143">
        <f>"PRD_SNJ_"&amp;
_xlfn.XLOOKUP(商品マスタ[[#This Row],[仕入先]],テーブル1[仕入先名],テーブル1[仕入先コード],"XXX",0,1)&amp;
"_"&amp;
商品マスタ[[#This Row],[シリアル]]&amp;
"_"&amp;
TEXT(COUNTIFS(商品マスタ!$C$3:C696,商品マスタ[[#This Row],[仕入先]],商品マスタ!$E$3:E696,商品マスタ[[#This Row],[商品名]]), "00")</f>
        <v/>
      </c>
      <c r="E696" s="167" t="n"/>
      <c r="F696" s="167">
        <f>IF(COUNTIFS($C$3:C696,商品マスタ[[#This Row],[仕入先]],$E$3:E696,商品マスタ[[#This Row],[商品名]]) = 1, 1,0)</f>
        <v/>
      </c>
      <c r="G696" s="133">
        <f>TEXT(SUMIF($C$3:C696,商品マスタ[[#This Row],[仕入先]],$F$3:F696), "0000")</f>
        <v/>
      </c>
      <c r="H696" s="167" t="n"/>
      <c r="I696" s="167" t="n"/>
      <c r="J696" s="167" t="n"/>
      <c r="K696" s="167" t="n"/>
      <c r="L696" s="289" t="n"/>
      <c r="M696" s="157" t="n"/>
      <c r="N696" s="289" t="n"/>
      <c r="O696" s="290">
        <f>IF(COUNT(商品マスタ[[#This Row],[参考上代
（税込)]]) &gt; 0, (商品マスタ[[#This Row],[参考上代
（税込)]]-商品マスタ[[#This Row],[国内定価
（15％）]])/(商品マスタ[[#This Row],[参考上代
（税込)]]/1.08), "")</f>
        <v/>
      </c>
      <c r="P696" s="136" t="n">
        <v>0.1</v>
      </c>
      <c r="Q696" s="289">
        <f>商品マスタ[[#This Row],[仕入
単価]]*商品マスタ[[#This Row],[標準国内送料率]]</f>
        <v/>
      </c>
      <c r="R696" s="289" t="n"/>
      <c r="S696" s="289">
        <f>IF(ISBLANK(商品マスタ[[#This Row],[実績
国内送料]]),商品マスタ[[#This Row],[標準国内送料]],)</f>
        <v/>
      </c>
      <c r="T696" s="289">
        <f>商品マスタ[[#This Row],[仕入
単価]]+商品マスタ[[#This Row],[国内送料]]</f>
        <v/>
      </c>
      <c r="U696" s="289">
        <f>ROUNDUP(商品マスタ[[#This Row],[仕入単価+国内送料]]/0.8,-1)</f>
        <v/>
      </c>
      <c r="V696" s="289">
        <f>商品マスタ[[#This Row],[海外定価
（20％）]]-商品マスタ[[#This Row],[仕入単価+国内送料]]</f>
        <v/>
      </c>
      <c r="W696" s="167">
        <f>ROUNDUP(商品マスタ[[#This Row],[仕入単価+国内送料]]/0.85,-1)</f>
        <v/>
      </c>
      <c r="X696" s="289">
        <f>商品マスタ[[#This Row],[国内定価
（15％）]]-商品マスタ[[#This Row],[仕入単価+国内送料]]</f>
        <v/>
      </c>
      <c r="Y696" s="139" t="n"/>
      <c r="Z696" s="167" t="n"/>
      <c r="AA696" s="167" t="n"/>
      <c r="AB696" s="167" t="n"/>
      <c r="AC696" s="293" t="n"/>
      <c r="AD696" s="167" t="n"/>
      <c r="AE696" s="167" t="n"/>
      <c r="AF696" s="167" t="n"/>
      <c r="AG696" s="144" t="n"/>
    </row>
    <row r="697" ht="18" customHeight="1" s="207">
      <c r="A697" s="166" t="n"/>
      <c r="B697" s="167" t="n"/>
      <c r="C697" s="167" t="n"/>
      <c r="D697" s="143">
        <f>"PRD_SNJ_"&amp;
_xlfn.XLOOKUP(商品マスタ[[#This Row],[仕入先]],テーブル1[仕入先名],テーブル1[仕入先コード],"XXX",0,1)&amp;
"_"&amp;
商品マスタ[[#This Row],[シリアル]]&amp;
"_"&amp;
TEXT(COUNTIFS(商品マスタ!$C$3:C697,商品マスタ[[#This Row],[仕入先]],商品マスタ!$E$3:E697,商品マスタ[[#This Row],[商品名]]), "00")</f>
        <v/>
      </c>
      <c r="E697" s="167" t="n"/>
      <c r="F697" s="167">
        <f>IF(COUNTIFS($C$3:C697,商品マスタ[[#This Row],[仕入先]],$E$3:E697,商品マスタ[[#This Row],[商品名]]) = 1, 1,0)</f>
        <v/>
      </c>
      <c r="G697" s="133">
        <f>TEXT(SUMIF($C$3:C697,商品マスタ[[#This Row],[仕入先]],$F$3:F697), "0000")</f>
        <v/>
      </c>
      <c r="H697" s="167" t="n"/>
      <c r="I697" s="167" t="n"/>
      <c r="J697" s="167" t="n"/>
      <c r="K697" s="167" t="n"/>
      <c r="L697" s="289" t="n"/>
      <c r="M697" s="157" t="n"/>
      <c r="N697" s="289" t="n"/>
      <c r="O697" s="290">
        <f>IF(COUNT(商品マスタ[[#This Row],[参考上代
（税込)]]) &gt; 0, (商品マスタ[[#This Row],[参考上代
（税込)]]-商品マスタ[[#This Row],[国内定価
（15％）]])/(商品マスタ[[#This Row],[参考上代
（税込)]]/1.08), "")</f>
        <v/>
      </c>
      <c r="P697" s="136" t="n">
        <v>0.1</v>
      </c>
      <c r="Q697" s="289">
        <f>商品マスタ[[#This Row],[仕入
単価]]*商品マスタ[[#This Row],[標準国内送料率]]</f>
        <v/>
      </c>
      <c r="R697" s="289" t="n"/>
      <c r="S697" s="289">
        <f>IF(ISBLANK(商品マスタ[[#This Row],[実績
国内送料]]),商品マスタ[[#This Row],[標準国内送料]],)</f>
        <v/>
      </c>
      <c r="T697" s="289">
        <f>商品マスタ[[#This Row],[仕入
単価]]+商品マスタ[[#This Row],[国内送料]]</f>
        <v/>
      </c>
      <c r="U697" s="289">
        <f>ROUNDUP(商品マスタ[[#This Row],[仕入単価+国内送料]]/0.8,-1)</f>
        <v/>
      </c>
      <c r="V697" s="289">
        <f>商品マスタ[[#This Row],[海外定価
（20％）]]-商品マスタ[[#This Row],[仕入単価+国内送料]]</f>
        <v/>
      </c>
      <c r="W697" s="167">
        <f>ROUNDUP(商品マスタ[[#This Row],[仕入単価+国内送料]]/0.85,-1)</f>
        <v/>
      </c>
      <c r="X697" s="289">
        <f>商品マスタ[[#This Row],[国内定価
（15％）]]-商品マスタ[[#This Row],[仕入単価+国内送料]]</f>
        <v/>
      </c>
      <c r="Y697" s="139" t="n"/>
      <c r="Z697" s="167" t="n"/>
      <c r="AA697" s="167" t="n"/>
      <c r="AB697" s="167" t="n"/>
      <c r="AC697" s="293" t="n"/>
      <c r="AD697" s="167" t="n"/>
      <c r="AE697" s="167" t="n"/>
      <c r="AF697" s="167" t="n"/>
      <c r="AG697" s="144" t="n"/>
    </row>
    <row r="698" ht="18" customHeight="1" s="207">
      <c r="A698" s="166" t="n"/>
      <c r="B698" s="167" t="n"/>
      <c r="C698" s="167" t="n"/>
      <c r="D698" s="143">
        <f>"PRD_SNJ_"&amp;
_xlfn.XLOOKUP(商品マスタ[[#This Row],[仕入先]],テーブル1[仕入先名],テーブル1[仕入先コード],"XXX",0,1)&amp;
"_"&amp;
商品マスタ[[#This Row],[シリアル]]&amp;
"_"&amp;
TEXT(COUNTIFS(商品マスタ!$C$3:C698,商品マスタ[[#This Row],[仕入先]],商品マスタ!$E$3:E698,商品マスタ[[#This Row],[商品名]]), "00")</f>
        <v/>
      </c>
      <c r="E698" s="167" t="n"/>
      <c r="F698" s="167">
        <f>IF(COUNTIFS($C$3:C698,商品マスタ[[#This Row],[仕入先]],$E$3:E698,商品マスタ[[#This Row],[商品名]]) = 1, 1,0)</f>
        <v/>
      </c>
      <c r="G698" s="133">
        <f>TEXT(SUMIF($C$3:C698,商品マスタ[[#This Row],[仕入先]],$F$3:F698), "0000")</f>
        <v/>
      </c>
      <c r="H698" s="167" t="n"/>
      <c r="I698" s="167" t="n"/>
      <c r="J698" s="167" t="n"/>
      <c r="K698" s="167" t="n"/>
      <c r="L698" s="289" t="n"/>
      <c r="M698" s="157" t="n"/>
      <c r="N698" s="289" t="n"/>
      <c r="O698" s="290">
        <f>IF(COUNT(商品マスタ[[#This Row],[参考上代
（税込)]]) &gt; 0, (商品マスタ[[#This Row],[参考上代
（税込)]]-商品マスタ[[#This Row],[国内定価
（15％）]])/(商品マスタ[[#This Row],[参考上代
（税込)]]/1.08), "")</f>
        <v/>
      </c>
      <c r="P698" s="136" t="n">
        <v>0.1</v>
      </c>
      <c r="Q698" s="289">
        <f>商品マスタ[[#This Row],[仕入
単価]]*商品マスタ[[#This Row],[標準国内送料率]]</f>
        <v/>
      </c>
      <c r="R698" s="289" t="n"/>
      <c r="S698" s="289">
        <f>IF(ISBLANK(商品マスタ[[#This Row],[実績
国内送料]]),商品マスタ[[#This Row],[標準国内送料]],)</f>
        <v/>
      </c>
      <c r="T698" s="289">
        <f>商品マスタ[[#This Row],[仕入
単価]]+商品マスタ[[#This Row],[国内送料]]</f>
        <v/>
      </c>
      <c r="U698" s="289">
        <f>ROUNDUP(商品マスタ[[#This Row],[仕入単価+国内送料]]/0.8,-1)</f>
        <v/>
      </c>
      <c r="V698" s="289">
        <f>商品マスタ[[#This Row],[海外定価
（20％）]]-商品マスタ[[#This Row],[仕入単価+国内送料]]</f>
        <v/>
      </c>
      <c r="W698" s="167">
        <f>ROUNDUP(商品マスタ[[#This Row],[仕入単価+国内送料]]/0.85,-1)</f>
        <v/>
      </c>
      <c r="X698" s="289">
        <f>商品マスタ[[#This Row],[国内定価
（15％）]]-商品マスタ[[#This Row],[仕入単価+国内送料]]</f>
        <v/>
      </c>
      <c r="Y698" s="139" t="n"/>
      <c r="Z698" s="167" t="n"/>
      <c r="AA698" s="167" t="n"/>
      <c r="AB698" s="167" t="n"/>
      <c r="AC698" s="293" t="n"/>
      <c r="AD698" s="167" t="n"/>
      <c r="AE698" s="167" t="n"/>
      <c r="AF698" s="167" t="n"/>
      <c r="AG698" s="144" t="n"/>
    </row>
    <row r="699" ht="18" customHeight="1" s="207">
      <c r="A699" s="166" t="n"/>
      <c r="B699" s="167" t="n"/>
      <c r="C699" s="167" t="n"/>
      <c r="D699" s="143">
        <f>"PRD_SNJ_"&amp;
_xlfn.XLOOKUP(商品マスタ[[#This Row],[仕入先]],テーブル1[仕入先名],テーブル1[仕入先コード],"XXX",0,1)&amp;
"_"&amp;
商品マスタ[[#This Row],[シリアル]]&amp;
"_"&amp;
TEXT(COUNTIFS(商品マスタ!$C$3:C699,商品マスタ[[#This Row],[仕入先]],商品マスタ!$E$3:E699,商品マスタ[[#This Row],[商品名]]), "00")</f>
        <v/>
      </c>
      <c r="E699" s="167" t="n"/>
      <c r="F699" s="167">
        <f>IF(COUNTIFS($C$3:C699,商品マスタ[[#This Row],[仕入先]],$E$3:E699,商品マスタ[[#This Row],[商品名]]) = 1, 1,0)</f>
        <v/>
      </c>
      <c r="G699" s="133">
        <f>TEXT(SUMIF($C$3:C699,商品マスタ[[#This Row],[仕入先]],$F$3:F699), "0000")</f>
        <v/>
      </c>
      <c r="H699" s="167" t="n"/>
      <c r="I699" s="167" t="n"/>
      <c r="J699" s="167" t="n"/>
      <c r="K699" s="167" t="n"/>
      <c r="L699" s="289" t="n"/>
      <c r="M699" s="157" t="n"/>
      <c r="N699" s="289" t="n"/>
      <c r="O699" s="290">
        <f>IF(COUNT(商品マスタ[[#This Row],[参考上代
（税込)]]) &gt; 0, (商品マスタ[[#This Row],[参考上代
（税込)]]-商品マスタ[[#This Row],[国内定価
（15％）]])/(商品マスタ[[#This Row],[参考上代
（税込)]]/1.08), "")</f>
        <v/>
      </c>
      <c r="P699" s="136" t="n">
        <v>0.1</v>
      </c>
      <c r="Q699" s="289">
        <f>商品マスタ[[#This Row],[仕入
単価]]*商品マスタ[[#This Row],[標準国内送料率]]</f>
        <v/>
      </c>
      <c r="R699" s="289" t="n"/>
      <c r="S699" s="289">
        <f>IF(ISBLANK(商品マスタ[[#This Row],[実績
国内送料]]),商品マスタ[[#This Row],[標準国内送料]],)</f>
        <v/>
      </c>
      <c r="T699" s="289">
        <f>商品マスタ[[#This Row],[仕入
単価]]+商品マスタ[[#This Row],[国内送料]]</f>
        <v/>
      </c>
      <c r="U699" s="289">
        <f>ROUNDUP(商品マスタ[[#This Row],[仕入単価+国内送料]]/0.8,-1)</f>
        <v/>
      </c>
      <c r="V699" s="289">
        <f>商品マスタ[[#This Row],[海外定価
（20％）]]-商品マスタ[[#This Row],[仕入単価+国内送料]]</f>
        <v/>
      </c>
      <c r="W699" s="167">
        <f>ROUNDUP(商品マスタ[[#This Row],[仕入単価+国内送料]]/0.85,-1)</f>
        <v/>
      </c>
      <c r="X699" s="289">
        <f>商品マスタ[[#This Row],[国内定価
（15％）]]-商品マスタ[[#This Row],[仕入単価+国内送料]]</f>
        <v/>
      </c>
      <c r="Y699" s="139" t="n"/>
      <c r="Z699" s="167" t="n"/>
      <c r="AA699" s="167" t="n"/>
      <c r="AB699" s="167" t="n"/>
      <c r="AC699" s="293" t="n"/>
      <c r="AD699" s="167" t="n"/>
      <c r="AE699" s="167" t="n"/>
      <c r="AF699" s="167" t="n"/>
      <c r="AG699" s="144" t="n"/>
    </row>
    <row r="700" ht="18" customHeight="1" s="207">
      <c r="A700" s="166" t="n"/>
      <c r="B700" s="167" t="n"/>
      <c r="C700" s="167" t="n"/>
      <c r="D700" s="143">
        <f>"PRD_SNJ_"&amp;
_xlfn.XLOOKUP(商品マスタ[[#This Row],[仕入先]],テーブル1[仕入先名],テーブル1[仕入先コード],"XXX",0,1)&amp;
"_"&amp;
商品マスタ[[#This Row],[シリアル]]&amp;
"_"&amp;
TEXT(COUNTIFS(商品マスタ!$C$3:C700,商品マスタ[[#This Row],[仕入先]],商品マスタ!$E$3:E700,商品マスタ[[#This Row],[商品名]]), "00")</f>
        <v/>
      </c>
      <c r="E700" s="167" t="n"/>
      <c r="F700" s="167">
        <f>IF(COUNTIFS($C$3:C700,商品マスタ[[#This Row],[仕入先]],$E$3:E700,商品マスタ[[#This Row],[商品名]]) = 1, 1,0)</f>
        <v/>
      </c>
      <c r="G700" s="133">
        <f>TEXT(SUMIF($C$3:C700,商品マスタ[[#This Row],[仕入先]],$F$3:F700), "0000")</f>
        <v/>
      </c>
      <c r="H700" s="167" t="n"/>
      <c r="I700" s="167" t="n"/>
      <c r="J700" s="167" t="n"/>
      <c r="K700" s="167" t="n"/>
      <c r="L700" s="289" t="n"/>
      <c r="M700" s="157" t="n"/>
      <c r="N700" s="289" t="n"/>
      <c r="O700" s="290">
        <f>IF(COUNT(商品マスタ[[#This Row],[参考上代
（税込)]]) &gt; 0, (商品マスタ[[#This Row],[参考上代
（税込)]]-商品マスタ[[#This Row],[国内定価
（15％）]])/(商品マスタ[[#This Row],[参考上代
（税込)]]/1.08), "")</f>
        <v/>
      </c>
      <c r="P700" s="136" t="n">
        <v>0.1</v>
      </c>
      <c r="Q700" s="289">
        <f>商品マスタ[[#This Row],[仕入
単価]]*商品マスタ[[#This Row],[標準国内送料率]]</f>
        <v/>
      </c>
      <c r="R700" s="289" t="n"/>
      <c r="S700" s="289">
        <f>IF(ISBLANK(商品マスタ[[#This Row],[実績
国内送料]]),商品マスタ[[#This Row],[標準国内送料]],)</f>
        <v/>
      </c>
      <c r="T700" s="289">
        <f>商品マスタ[[#This Row],[仕入
単価]]+商品マスタ[[#This Row],[国内送料]]</f>
        <v/>
      </c>
      <c r="U700" s="289">
        <f>ROUNDUP(商品マスタ[[#This Row],[仕入単価+国内送料]]/0.8,-1)</f>
        <v/>
      </c>
      <c r="V700" s="289">
        <f>商品マスタ[[#This Row],[海外定価
（20％）]]-商品マスタ[[#This Row],[仕入単価+国内送料]]</f>
        <v/>
      </c>
      <c r="W700" s="167">
        <f>ROUNDUP(商品マスタ[[#This Row],[仕入単価+国内送料]]/0.85,-1)</f>
        <v/>
      </c>
      <c r="X700" s="289">
        <f>商品マスタ[[#This Row],[国内定価
（15％）]]-商品マスタ[[#This Row],[仕入単価+国内送料]]</f>
        <v/>
      </c>
      <c r="Y700" s="139" t="n"/>
      <c r="Z700" s="167" t="n"/>
      <c r="AA700" s="167" t="n"/>
      <c r="AB700" s="167" t="n"/>
      <c r="AC700" s="293" t="n"/>
      <c r="AD700" s="167" t="n"/>
      <c r="AE700" s="167" t="n"/>
      <c r="AF700" s="167" t="n"/>
      <c r="AG700" s="144" t="n"/>
    </row>
    <row r="701" ht="18" customHeight="1" s="207">
      <c r="A701" s="166" t="n"/>
      <c r="B701" s="167" t="n"/>
      <c r="C701" s="167" t="n"/>
      <c r="D701" s="143">
        <f>"PRD_SNJ_"&amp;
_xlfn.XLOOKUP(商品マスタ[[#This Row],[仕入先]],テーブル1[仕入先名],テーブル1[仕入先コード],"XXX",0,1)&amp;
"_"&amp;
商品マスタ[[#This Row],[シリアル]]&amp;
"_"&amp;
TEXT(COUNTIFS(商品マスタ!$C$3:C701,商品マスタ[[#This Row],[仕入先]],商品マスタ!$E$3:E701,商品マスタ[[#This Row],[商品名]]), "00")</f>
        <v/>
      </c>
      <c r="E701" s="167" t="n"/>
      <c r="F701" s="167">
        <f>IF(COUNTIFS($C$3:C701,商品マスタ[[#This Row],[仕入先]],$E$3:E701,商品マスタ[[#This Row],[商品名]]) = 1, 1,0)</f>
        <v/>
      </c>
      <c r="G701" s="133">
        <f>TEXT(SUMIF($C$3:C701,商品マスタ[[#This Row],[仕入先]],$F$3:F701), "0000")</f>
        <v/>
      </c>
      <c r="H701" s="167" t="n"/>
      <c r="I701" s="167" t="n"/>
      <c r="J701" s="167" t="n"/>
      <c r="K701" s="167" t="n"/>
      <c r="L701" s="289" t="n"/>
      <c r="M701" s="157" t="n"/>
      <c r="N701" s="289" t="n"/>
      <c r="O701" s="290">
        <f>IF(COUNT(商品マスタ[[#This Row],[参考上代
（税込)]]) &gt; 0, (商品マスタ[[#This Row],[参考上代
（税込)]]-商品マスタ[[#This Row],[国内定価
（15％）]])/(商品マスタ[[#This Row],[参考上代
（税込)]]/1.08), "")</f>
        <v/>
      </c>
      <c r="P701" s="136" t="n">
        <v>0.1</v>
      </c>
      <c r="Q701" s="289">
        <f>商品マスタ[[#This Row],[仕入
単価]]*商品マスタ[[#This Row],[標準国内送料率]]</f>
        <v/>
      </c>
      <c r="R701" s="289" t="n"/>
      <c r="S701" s="289">
        <f>IF(ISBLANK(商品マスタ[[#This Row],[実績
国内送料]]),商品マスタ[[#This Row],[標準国内送料]],)</f>
        <v/>
      </c>
      <c r="T701" s="289">
        <f>商品マスタ[[#This Row],[仕入
単価]]+商品マスタ[[#This Row],[国内送料]]</f>
        <v/>
      </c>
      <c r="U701" s="289">
        <f>ROUNDUP(商品マスタ[[#This Row],[仕入単価+国内送料]]/0.8,-1)</f>
        <v/>
      </c>
      <c r="V701" s="289">
        <f>商品マスタ[[#This Row],[海外定価
（20％）]]-商品マスタ[[#This Row],[仕入単価+国内送料]]</f>
        <v/>
      </c>
      <c r="W701" s="167">
        <f>ROUNDUP(商品マスタ[[#This Row],[仕入単価+国内送料]]/0.85,-1)</f>
        <v/>
      </c>
      <c r="X701" s="289">
        <f>商品マスタ[[#This Row],[国内定価
（15％）]]-商品マスタ[[#This Row],[仕入単価+国内送料]]</f>
        <v/>
      </c>
      <c r="Y701" s="139" t="n"/>
      <c r="Z701" s="167" t="n"/>
      <c r="AA701" s="167" t="n"/>
      <c r="AB701" s="167" t="n"/>
      <c r="AC701" s="293" t="n"/>
      <c r="AD701" s="167" t="n"/>
      <c r="AE701" s="167" t="n"/>
      <c r="AF701" s="167" t="n"/>
      <c r="AG701" s="144" t="n"/>
    </row>
    <row r="702" ht="18" customHeight="1" s="207">
      <c r="A702" s="166" t="n"/>
      <c r="B702" s="167" t="n"/>
      <c r="C702" s="167" t="n"/>
      <c r="D702" s="143">
        <f>"PRD_SNJ_"&amp;
_xlfn.XLOOKUP(商品マスタ[[#This Row],[仕入先]],テーブル1[仕入先名],テーブル1[仕入先コード],"XXX",0,1)&amp;
"_"&amp;
商品マスタ[[#This Row],[シリアル]]&amp;
"_"&amp;
TEXT(COUNTIFS(商品マスタ!$C$3:C702,商品マスタ[[#This Row],[仕入先]],商品マスタ!$E$3:E702,商品マスタ[[#This Row],[商品名]]), "00")</f>
        <v/>
      </c>
      <c r="E702" s="167" t="n"/>
      <c r="F702" s="167">
        <f>IF(COUNTIFS($C$3:C702,商品マスタ[[#This Row],[仕入先]],$E$3:E702,商品マスタ[[#This Row],[商品名]]) = 1, 1,0)</f>
        <v/>
      </c>
      <c r="G702" s="133">
        <f>TEXT(SUMIF($C$3:C702,商品マスタ[[#This Row],[仕入先]],$F$3:F702), "0000")</f>
        <v/>
      </c>
      <c r="H702" s="167" t="n"/>
      <c r="I702" s="167" t="n"/>
      <c r="J702" s="167" t="n"/>
      <c r="K702" s="167" t="n"/>
      <c r="L702" s="289" t="n"/>
      <c r="M702" s="157" t="n"/>
      <c r="N702" s="289" t="n"/>
      <c r="O702" s="290">
        <f>IF(COUNT(商品マスタ[[#This Row],[参考上代
（税込)]]) &gt; 0, (商品マスタ[[#This Row],[参考上代
（税込)]]-商品マスタ[[#This Row],[国内定価
（15％）]])/(商品マスタ[[#This Row],[参考上代
（税込)]]/1.08), "")</f>
        <v/>
      </c>
      <c r="P702" s="136" t="n">
        <v>0.1</v>
      </c>
      <c r="Q702" s="289">
        <f>商品マスタ[[#This Row],[仕入
単価]]*商品マスタ[[#This Row],[標準国内送料率]]</f>
        <v/>
      </c>
      <c r="R702" s="289" t="n"/>
      <c r="S702" s="289">
        <f>IF(ISBLANK(商品マスタ[[#This Row],[実績
国内送料]]),商品マスタ[[#This Row],[標準国内送料]],)</f>
        <v/>
      </c>
      <c r="T702" s="289">
        <f>商品マスタ[[#This Row],[仕入
単価]]+商品マスタ[[#This Row],[国内送料]]</f>
        <v/>
      </c>
      <c r="U702" s="289">
        <f>ROUNDUP(商品マスタ[[#This Row],[仕入単価+国内送料]]/0.8,-1)</f>
        <v/>
      </c>
      <c r="V702" s="289">
        <f>商品マスタ[[#This Row],[海外定価
（20％）]]-商品マスタ[[#This Row],[仕入単価+国内送料]]</f>
        <v/>
      </c>
      <c r="W702" s="167">
        <f>ROUNDUP(商品マスタ[[#This Row],[仕入単価+国内送料]]/0.85,-1)</f>
        <v/>
      </c>
      <c r="X702" s="289">
        <f>商品マスタ[[#This Row],[国内定価
（15％）]]-商品マスタ[[#This Row],[仕入単価+国内送料]]</f>
        <v/>
      </c>
      <c r="Y702" s="139" t="n"/>
      <c r="Z702" s="167" t="n"/>
      <c r="AA702" s="167" t="n"/>
      <c r="AB702" s="167" t="n"/>
      <c r="AC702" s="293" t="n"/>
      <c r="AD702" s="167" t="n"/>
      <c r="AE702" s="167" t="n"/>
      <c r="AF702" s="167" t="n"/>
      <c r="AG702" s="144" t="n"/>
    </row>
    <row r="703" ht="18" customHeight="1" s="207">
      <c r="A703" s="166" t="n"/>
      <c r="B703" s="167" t="n"/>
      <c r="C703" s="167" t="n"/>
      <c r="D703" s="143">
        <f>"PRD_SNJ_"&amp;
_xlfn.XLOOKUP(商品マスタ[[#This Row],[仕入先]],テーブル1[仕入先名],テーブル1[仕入先コード],"XXX",0,1)&amp;
"_"&amp;
商品マスタ[[#This Row],[シリアル]]&amp;
"_"&amp;
TEXT(COUNTIFS(商品マスタ!$C$3:C703,商品マスタ[[#This Row],[仕入先]],商品マスタ!$E$3:E703,商品マスタ[[#This Row],[商品名]]), "00")</f>
        <v/>
      </c>
      <c r="E703" s="167" t="n"/>
      <c r="F703" s="167">
        <f>IF(COUNTIFS($C$3:C703,商品マスタ[[#This Row],[仕入先]],$E$3:E703,商品マスタ[[#This Row],[商品名]]) = 1, 1,0)</f>
        <v/>
      </c>
      <c r="G703" s="133">
        <f>TEXT(SUMIF($C$3:C703,商品マスタ[[#This Row],[仕入先]],$F$3:F703), "0000")</f>
        <v/>
      </c>
      <c r="H703" s="167" t="n"/>
      <c r="I703" s="167" t="n"/>
      <c r="J703" s="167" t="n"/>
      <c r="K703" s="167" t="n"/>
      <c r="L703" s="289" t="n"/>
      <c r="M703" s="157" t="n"/>
      <c r="N703" s="289" t="n"/>
      <c r="O703" s="290">
        <f>IF(COUNT(商品マスタ[[#This Row],[参考上代
（税込)]]) &gt; 0, (商品マスタ[[#This Row],[参考上代
（税込)]]-商品マスタ[[#This Row],[国内定価
（15％）]])/(商品マスタ[[#This Row],[参考上代
（税込)]]/1.08), "")</f>
        <v/>
      </c>
      <c r="P703" s="136" t="n">
        <v>0.1</v>
      </c>
      <c r="Q703" s="289">
        <f>商品マスタ[[#This Row],[仕入
単価]]*商品マスタ[[#This Row],[標準国内送料率]]</f>
        <v/>
      </c>
      <c r="R703" s="289" t="n"/>
      <c r="S703" s="289">
        <f>IF(ISBLANK(商品マスタ[[#This Row],[実績
国内送料]]),商品マスタ[[#This Row],[標準国内送料]],)</f>
        <v/>
      </c>
      <c r="T703" s="289">
        <f>商品マスタ[[#This Row],[仕入
単価]]+商品マスタ[[#This Row],[国内送料]]</f>
        <v/>
      </c>
      <c r="U703" s="289">
        <f>ROUNDUP(商品マスタ[[#This Row],[仕入単価+国内送料]]/0.8,-1)</f>
        <v/>
      </c>
      <c r="V703" s="289">
        <f>商品マスタ[[#This Row],[海外定価
（20％）]]-商品マスタ[[#This Row],[仕入単価+国内送料]]</f>
        <v/>
      </c>
      <c r="W703" s="167">
        <f>ROUNDUP(商品マスタ[[#This Row],[仕入単価+国内送料]]/0.85,-1)</f>
        <v/>
      </c>
      <c r="X703" s="289">
        <f>商品マスタ[[#This Row],[国内定価
（15％）]]-商品マスタ[[#This Row],[仕入単価+国内送料]]</f>
        <v/>
      </c>
      <c r="Y703" s="139" t="n"/>
      <c r="Z703" s="167" t="n"/>
      <c r="AA703" s="167" t="n"/>
      <c r="AB703" s="167" t="n"/>
      <c r="AC703" s="293" t="n"/>
      <c r="AD703" s="167" t="n"/>
      <c r="AE703" s="167" t="n"/>
      <c r="AF703" s="167" t="n"/>
      <c r="AG703" s="144" t="n"/>
    </row>
    <row r="704" ht="18" customHeight="1" s="207">
      <c r="A704" s="166" t="n"/>
      <c r="B704" s="167" t="n"/>
      <c r="C704" s="167" t="n"/>
      <c r="D704" s="143">
        <f>"PRD_SNJ_"&amp;
_xlfn.XLOOKUP(商品マスタ[[#This Row],[仕入先]],テーブル1[仕入先名],テーブル1[仕入先コード],"XXX",0,1)&amp;
"_"&amp;
商品マスタ[[#This Row],[シリアル]]&amp;
"_"&amp;
TEXT(COUNTIFS(商品マスタ!$C$3:C704,商品マスタ[[#This Row],[仕入先]],商品マスタ!$E$3:E704,商品マスタ[[#This Row],[商品名]]), "00")</f>
        <v/>
      </c>
      <c r="E704" s="167" t="n"/>
      <c r="F704" s="167">
        <f>IF(COUNTIFS($C$3:C704,商品マスタ[[#This Row],[仕入先]],$E$3:E704,商品マスタ[[#This Row],[商品名]]) = 1, 1,0)</f>
        <v/>
      </c>
      <c r="G704" s="133">
        <f>TEXT(SUMIF($C$3:C704,商品マスタ[[#This Row],[仕入先]],$F$3:F704), "0000")</f>
        <v/>
      </c>
      <c r="H704" s="167" t="n"/>
      <c r="I704" s="167" t="n"/>
      <c r="J704" s="167" t="n"/>
      <c r="K704" s="167" t="n"/>
      <c r="L704" s="289" t="n"/>
      <c r="M704" s="157" t="n"/>
      <c r="N704" s="289" t="n"/>
      <c r="O704" s="290">
        <f>IF(COUNT(商品マスタ[[#This Row],[参考上代
（税込)]]) &gt; 0, (商品マスタ[[#This Row],[参考上代
（税込)]]-商品マスタ[[#This Row],[国内定価
（15％）]])/(商品マスタ[[#This Row],[参考上代
（税込)]]/1.08), "")</f>
        <v/>
      </c>
      <c r="P704" s="136" t="n">
        <v>0.1</v>
      </c>
      <c r="Q704" s="289">
        <f>商品マスタ[[#This Row],[仕入
単価]]*商品マスタ[[#This Row],[標準国内送料率]]</f>
        <v/>
      </c>
      <c r="R704" s="289" t="n"/>
      <c r="S704" s="289">
        <f>IF(ISBLANK(商品マスタ[[#This Row],[実績
国内送料]]),商品マスタ[[#This Row],[標準国内送料]],)</f>
        <v/>
      </c>
      <c r="T704" s="289">
        <f>商品マスタ[[#This Row],[仕入
単価]]+商品マスタ[[#This Row],[国内送料]]</f>
        <v/>
      </c>
      <c r="U704" s="289">
        <f>ROUNDUP(商品マスタ[[#This Row],[仕入単価+国内送料]]/0.8,-1)</f>
        <v/>
      </c>
      <c r="V704" s="289">
        <f>商品マスタ[[#This Row],[海外定価
（20％）]]-商品マスタ[[#This Row],[仕入単価+国内送料]]</f>
        <v/>
      </c>
      <c r="W704" s="167">
        <f>ROUNDUP(商品マスタ[[#This Row],[仕入単価+国内送料]]/0.85,-1)</f>
        <v/>
      </c>
      <c r="X704" s="289">
        <f>商品マスタ[[#This Row],[国内定価
（15％）]]-商品マスタ[[#This Row],[仕入単価+国内送料]]</f>
        <v/>
      </c>
      <c r="Y704" s="139" t="n"/>
      <c r="Z704" s="167" t="n"/>
      <c r="AA704" s="167" t="n"/>
      <c r="AB704" s="167" t="n"/>
      <c r="AC704" s="293" t="n"/>
      <c r="AD704" s="167" t="n"/>
      <c r="AE704" s="167" t="n"/>
      <c r="AF704" s="167" t="n"/>
      <c r="AG704" s="144" t="n"/>
    </row>
    <row r="705" ht="18" customHeight="1" s="207">
      <c r="A705" s="166" t="n"/>
      <c r="B705" s="167" t="n"/>
      <c r="C705" s="167" t="n"/>
      <c r="D705" s="143">
        <f>"PRD_SNJ_"&amp;
_xlfn.XLOOKUP(商品マスタ[[#This Row],[仕入先]],テーブル1[仕入先名],テーブル1[仕入先コード],"XXX",0,1)&amp;
"_"&amp;
商品マスタ[[#This Row],[シリアル]]&amp;
"_"&amp;
TEXT(COUNTIFS(商品マスタ!$C$3:C705,商品マスタ[[#This Row],[仕入先]],商品マスタ!$E$3:E705,商品マスタ[[#This Row],[商品名]]), "00")</f>
        <v/>
      </c>
      <c r="E705" s="167" t="n"/>
      <c r="F705" s="167">
        <f>IF(COUNTIFS($C$3:C705,商品マスタ[[#This Row],[仕入先]],$E$3:E705,商品マスタ[[#This Row],[商品名]]) = 1, 1,0)</f>
        <v/>
      </c>
      <c r="G705" s="133">
        <f>TEXT(SUMIF($C$3:C705,商品マスタ[[#This Row],[仕入先]],$F$3:F705), "0000")</f>
        <v/>
      </c>
      <c r="H705" s="167" t="n"/>
      <c r="I705" s="167" t="n"/>
      <c r="J705" s="167" t="n"/>
      <c r="K705" s="167" t="n"/>
      <c r="L705" s="289" t="n"/>
      <c r="M705" s="157" t="n"/>
      <c r="N705" s="289" t="n"/>
      <c r="O705" s="290">
        <f>IF(COUNT(商品マスタ[[#This Row],[参考上代
（税込)]]) &gt; 0, (商品マスタ[[#This Row],[参考上代
（税込)]]-商品マスタ[[#This Row],[国内定価
（15％）]])/(商品マスタ[[#This Row],[参考上代
（税込)]]/1.08), "")</f>
        <v/>
      </c>
      <c r="P705" s="136" t="n">
        <v>0.1</v>
      </c>
      <c r="Q705" s="289">
        <f>商品マスタ[[#This Row],[仕入
単価]]*商品マスタ[[#This Row],[標準国内送料率]]</f>
        <v/>
      </c>
      <c r="R705" s="289" t="n"/>
      <c r="S705" s="289">
        <f>IF(ISBLANK(商品マスタ[[#This Row],[実績
国内送料]]),商品マスタ[[#This Row],[標準国内送料]],)</f>
        <v/>
      </c>
      <c r="T705" s="289">
        <f>商品マスタ[[#This Row],[仕入
単価]]+商品マスタ[[#This Row],[国内送料]]</f>
        <v/>
      </c>
      <c r="U705" s="289">
        <f>ROUNDUP(商品マスタ[[#This Row],[仕入単価+国内送料]]/0.8,-1)</f>
        <v/>
      </c>
      <c r="V705" s="289">
        <f>商品マスタ[[#This Row],[海外定価
（20％）]]-商品マスタ[[#This Row],[仕入単価+国内送料]]</f>
        <v/>
      </c>
      <c r="W705" s="167">
        <f>ROUNDUP(商品マスタ[[#This Row],[仕入単価+国内送料]]/0.85,-1)</f>
        <v/>
      </c>
      <c r="X705" s="289">
        <f>商品マスタ[[#This Row],[国内定価
（15％）]]-商品マスタ[[#This Row],[仕入単価+国内送料]]</f>
        <v/>
      </c>
      <c r="Y705" s="139" t="n"/>
      <c r="Z705" s="167" t="n"/>
      <c r="AA705" s="167" t="n"/>
      <c r="AB705" s="167" t="n"/>
      <c r="AC705" s="293" t="n"/>
      <c r="AD705" s="167" t="n"/>
      <c r="AE705" s="167" t="n"/>
      <c r="AF705" s="167" t="n"/>
      <c r="AG705" s="144" t="n"/>
    </row>
    <row r="706" ht="18" customHeight="1" s="207">
      <c r="A706" s="166" t="n"/>
      <c r="B706" s="167" t="n"/>
      <c r="C706" s="167" t="n"/>
      <c r="D706" s="143">
        <f>"PRD_SNJ_"&amp;
_xlfn.XLOOKUP(商品マスタ[[#This Row],[仕入先]],テーブル1[仕入先名],テーブル1[仕入先コード],"XXX",0,1)&amp;
"_"&amp;
商品マスタ[[#This Row],[シリアル]]&amp;
"_"&amp;
TEXT(COUNTIFS(商品マスタ!$C$3:C706,商品マスタ[[#This Row],[仕入先]],商品マスタ!$E$3:E706,商品マスタ[[#This Row],[商品名]]), "00")</f>
        <v/>
      </c>
      <c r="E706" s="167" t="n"/>
      <c r="F706" s="167">
        <f>IF(COUNTIFS($C$3:C706,商品マスタ[[#This Row],[仕入先]],$E$3:E706,商品マスタ[[#This Row],[商品名]]) = 1, 1,0)</f>
        <v/>
      </c>
      <c r="G706" s="133">
        <f>TEXT(SUMIF($C$3:C706,商品マスタ[[#This Row],[仕入先]],$F$3:F706), "0000")</f>
        <v/>
      </c>
      <c r="H706" s="167" t="n"/>
      <c r="I706" s="167" t="n"/>
      <c r="J706" s="167" t="n"/>
      <c r="K706" s="167" t="n"/>
      <c r="L706" s="289" t="n"/>
      <c r="M706" s="157" t="n"/>
      <c r="N706" s="289" t="n"/>
      <c r="O706" s="290">
        <f>IF(COUNT(商品マスタ[[#This Row],[参考上代
（税込)]]) &gt; 0, (商品マスタ[[#This Row],[参考上代
（税込)]]-商品マスタ[[#This Row],[国内定価
（15％）]])/(商品マスタ[[#This Row],[参考上代
（税込)]]/1.08), "")</f>
        <v/>
      </c>
      <c r="P706" s="136" t="n">
        <v>0.1</v>
      </c>
      <c r="Q706" s="289">
        <f>商品マスタ[[#This Row],[仕入
単価]]*商品マスタ[[#This Row],[標準国内送料率]]</f>
        <v/>
      </c>
      <c r="R706" s="289" t="n"/>
      <c r="S706" s="289">
        <f>IF(ISBLANK(商品マスタ[[#This Row],[実績
国内送料]]),商品マスタ[[#This Row],[標準国内送料]],)</f>
        <v/>
      </c>
      <c r="T706" s="289">
        <f>商品マスタ[[#This Row],[仕入
単価]]+商品マスタ[[#This Row],[国内送料]]</f>
        <v/>
      </c>
      <c r="U706" s="289">
        <f>ROUNDUP(商品マスタ[[#This Row],[仕入単価+国内送料]]/0.8,-1)</f>
        <v/>
      </c>
      <c r="V706" s="289">
        <f>商品マスタ[[#This Row],[海外定価
（20％）]]-商品マスタ[[#This Row],[仕入単価+国内送料]]</f>
        <v/>
      </c>
      <c r="W706" s="167">
        <f>ROUNDUP(商品マスタ[[#This Row],[仕入単価+国内送料]]/0.85,-1)</f>
        <v/>
      </c>
      <c r="X706" s="289">
        <f>商品マスタ[[#This Row],[国内定価
（15％）]]-商品マスタ[[#This Row],[仕入単価+国内送料]]</f>
        <v/>
      </c>
      <c r="Y706" s="139" t="n"/>
      <c r="Z706" s="167" t="n"/>
      <c r="AA706" s="167" t="n"/>
      <c r="AB706" s="167" t="n"/>
      <c r="AC706" s="293" t="n"/>
      <c r="AD706" s="167" t="n"/>
      <c r="AE706" s="167" t="n"/>
      <c r="AF706" s="167" t="n"/>
      <c r="AG706" s="144" t="n"/>
    </row>
    <row r="707" ht="18" customHeight="1" s="207">
      <c r="A707" s="166" t="n"/>
      <c r="B707" s="167" t="n"/>
      <c r="C707" s="167" t="n"/>
      <c r="D707" s="143">
        <f>"PRD_SNJ_"&amp;
_xlfn.XLOOKUP(商品マスタ[[#This Row],[仕入先]],テーブル1[仕入先名],テーブル1[仕入先コード],"XXX",0,1)&amp;
"_"&amp;
商品マスタ[[#This Row],[シリアル]]&amp;
"_"&amp;
TEXT(COUNTIFS(商品マスタ!$C$3:C707,商品マスタ[[#This Row],[仕入先]],商品マスタ!$E$3:E707,商品マスタ[[#This Row],[商品名]]), "00")</f>
        <v/>
      </c>
      <c r="E707" s="167" t="n"/>
      <c r="F707" s="167">
        <f>IF(COUNTIFS($C$3:C707,商品マスタ[[#This Row],[仕入先]],$E$3:E707,商品マスタ[[#This Row],[商品名]]) = 1, 1,0)</f>
        <v/>
      </c>
      <c r="G707" s="133">
        <f>TEXT(SUMIF($C$3:C707,商品マスタ[[#This Row],[仕入先]],$F$3:F707), "0000")</f>
        <v/>
      </c>
      <c r="H707" s="167" t="n"/>
      <c r="I707" s="167" t="n"/>
      <c r="J707" s="167" t="n"/>
      <c r="K707" s="167" t="n"/>
      <c r="L707" s="289" t="n"/>
      <c r="M707" s="157" t="n"/>
      <c r="N707" s="289" t="n"/>
      <c r="O707" s="290">
        <f>IF(COUNT(商品マスタ[[#This Row],[参考上代
（税込)]]) &gt; 0, (商品マスタ[[#This Row],[参考上代
（税込)]]-商品マスタ[[#This Row],[国内定価
（15％）]])/(商品マスタ[[#This Row],[参考上代
（税込)]]/1.08), "")</f>
        <v/>
      </c>
      <c r="P707" s="136" t="n">
        <v>0.1</v>
      </c>
      <c r="Q707" s="289">
        <f>商品マスタ[[#This Row],[仕入
単価]]*商品マスタ[[#This Row],[標準国内送料率]]</f>
        <v/>
      </c>
      <c r="R707" s="289" t="n"/>
      <c r="S707" s="289">
        <f>IF(ISBLANK(商品マスタ[[#This Row],[実績
国内送料]]),商品マスタ[[#This Row],[標準国内送料]],)</f>
        <v/>
      </c>
      <c r="T707" s="289">
        <f>商品マスタ[[#This Row],[仕入
単価]]+商品マスタ[[#This Row],[国内送料]]</f>
        <v/>
      </c>
      <c r="U707" s="289">
        <f>ROUNDUP(商品マスタ[[#This Row],[仕入単価+国内送料]]/0.8,-1)</f>
        <v/>
      </c>
      <c r="V707" s="289">
        <f>商品マスタ[[#This Row],[海外定価
（20％）]]-商品マスタ[[#This Row],[仕入単価+国内送料]]</f>
        <v/>
      </c>
      <c r="W707" s="167">
        <f>ROUNDUP(商品マスタ[[#This Row],[仕入単価+国内送料]]/0.85,-1)</f>
        <v/>
      </c>
      <c r="X707" s="289">
        <f>商品マスタ[[#This Row],[国内定価
（15％）]]-商品マスタ[[#This Row],[仕入単価+国内送料]]</f>
        <v/>
      </c>
      <c r="Y707" s="139" t="n"/>
      <c r="Z707" s="167" t="n"/>
      <c r="AA707" s="167" t="n"/>
      <c r="AB707" s="167" t="n"/>
      <c r="AC707" s="293" t="n"/>
      <c r="AD707" s="167" t="n"/>
      <c r="AE707" s="167" t="n"/>
      <c r="AF707" s="167" t="n"/>
      <c r="AG707" s="144" t="n"/>
    </row>
    <row r="708" ht="18" customHeight="1" s="207">
      <c r="A708" s="166" t="n"/>
      <c r="B708" s="167" t="n"/>
      <c r="C708" s="167" t="n"/>
      <c r="D708" s="143">
        <f>"PRD_SNJ_"&amp;
_xlfn.XLOOKUP(商品マスタ[[#This Row],[仕入先]],テーブル1[仕入先名],テーブル1[仕入先コード],"XXX",0,1)&amp;
"_"&amp;
商品マスタ[[#This Row],[シリアル]]&amp;
"_"&amp;
TEXT(COUNTIFS(商品マスタ!$C$3:C708,商品マスタ[[#This Row],[仕入先]],商品マスタ!$E$3:E708,商品マスタ[[#This Row],[商品名]]), "00")</f>
        <v/>
      </c>
      <c r="E708" s="167" t="n"/>
      <c r="F708" s="167">
        <f>IF(COUNTIFS($C$3:C708,商品マスタ[[#This Row],[仕入先]],$E$3:E708,商品マスタ[[#This Row],[商品名]]) = 1, 1,0)</f>
        <v/>
      </c>
      <c r="G708" s="133">
        <f>TEXT(SUMIF($C$3:C708,商品マスタ[[#This Row],[仕入先]],$F$3:F708), "0000")</f>
        <v/>
      </c>
      <c r="H708" s="167" t="n"/>
      <c r="I708" s="167" t="n"/>
      <c r="J708" s="167" t="n"/>
      <c r="K708" s="167" t="n"/>
      <c r="L708" s="289" t="n"/>
      <c r="M708" s="157" t="n"/>
      <c r="N708" s="289" t="n"/>
      <c r="O708" s="290">
        <f>IF(COUNT(商品マスタ[[#This Row],[参考上代
（税込)]]) &gt; 0, (商品マスタ[[#This Row],[参考上代
（税込)]]-商品マスタ[[#This Row],[国内定価
（15％）]])/(商品マスタ[[#This Row],[参考上代
（税込)]]/1.08), "")</f>
        <v/>
      </c>
      <c r="P708" s="136" t="n">
        <v>0.1</v>
      </c>
      <c r="Q708" s="289">
        <f>商品マスタ[[#This Row],[仕入
単価]]*商品マスタ[[#This Row],[標準国内送料率]]</f>
        <v/>
      </c>
      <c r="R708" s="289" t="n"/>
      <c r="S708" s="289">
        <f>IF(ISBLANK(商品マスタ[[#This Row],[実績
国内送料]]),商品マスタ[[#This Row],[標準国内送料]],)</f>
        <v/>
      </c>
      <c r="T708" s="289">
        <f>商品マスタ[[#This Row],[仕入
単価]]+商品マスタ[[#This Row],[国内送料]]</f>
        <v/>
      </c>
      <c r="U708" s="289">
        <f>ROUNDUP(商品マスタ[[#This Row],[仕入単価+国内送料]]/0.8,-1)</f>
        <v/>
      </c>
      <c r="V708" s="289">
        <f>商品マスタ[[#This Row],[海外定価
（20％）]]-商品マスタ[[#This Row],[仕入単価+国内送料]]</f>
        <v/>
      </c>
      <c r="W708" s="167">
        <f>ROUNDUP(商品マスタ[[#This Row],[仕入単価+国内送料]]/0.85,-1)</f>
        <v/>
      </c>
      <c r="X708" s="289">
        <f>商品マスタ[[#This Row],[国内定価
（15％）]]-商品マスタ[[#This Row],[仕入単価+国内送料]]</f>
        <v/>
      </c>
      <c r="Y708" s="139" t="n"/>
      <c r="Z708" s="167" t="n"/>
      <c r="AA708" s="167" t="n"/>
      <c r="AB708" s="167" t="n"/>
      <c r="AC708" s="293" t="n"/>
      <c r="AD708" s="167" t="n"/>
      <c r="AE708" s="167" t="n"/>
      <c r="AF708" s="167" t="n"/>
      <c r="AG708" s="144" t="n"/>
    </row>
    <row r="709" ht="18" customHeight="1" s="207">
      <c r="A709" s="166" t="n"/>
      <c r="B709" s="167" t="n"/>
      <c r="C709" s="167" t="n"/>
      <c r="D709" s="143">
        <f>"PRD_SNJ_"&amp;
_xlfn.XLOOKUP(商品マスタ[[#This Row],[仕入先]],テーブル1[仕入先名],テーブル1[仕入先コード],"XXX",0,1)&amp;
"_"&amp;
商品マスタ[[#This Row],[シリアル]]&amp;
"_"&amp;
TEXT(COUNTIFS(商品マスタ!$C$3:C709,商品マスタ[[#This Row],[仕入先]],商品マスタ!$E$3:E709,商品マスタ[[#This Row],[商品名]]), "00")</f>
        <v/>
      </c>
      <c r="E709" s="167" t="n"/>
      <c r="F709" s="167">
        <f>IF(COUNTIFS($C$3:C709,商品マスタ[[#This Row],[仕入先]],$E$3:E709,商品マスタ[[#This Row],[商品名]]) = 1, 1,0)</f>
        <v/>
      </c>
      <c r="G709" s="133">
        <f>TEXT(SUMIF($C$3:C709,商品マスタ[[#This Row],[仕入先]],$F$3:F709), "0000")</f>
        <v/>
      </c>
      <c r="H709" s="167" t="n"/>
      <c r="I709" s="167" t="n"/>
      <c r="J709" s="167" t="n"/>
      <c r="K709" s="167" t="n"/>
      <c r="L709" s="289" t="n"/>
      <c r="M709" s="157" t="n"/>
      <c r="N709" s="289" t="n"/>
      <c r="O709" s="290">
        <f>IF(COUNT(商品マスタ[[#This Row],[参考上代
（税込)]]) &gt; 0, (商品マスタ[[#This Row],[参考上代
（税込)]]-商品マスタ[[#This Row],[国内定価
（15％）]])/(商品マスタ[[#This Row],[参考上代
（税込)]]/1.08), "")</f>
        <v/>
      </c>
      <c r="P709" s="136" t="n">
        <v>0.1</v>
      </c>
      <c r="Q709" s="289">
        <f>商品マスタ[[#This Row],[仕入
単価]]*商品マスタ[[#This Row],[標準国内送料率]]</f>
        <v/>
      </c>
      <c r="R709" s="289" t="n"/>
      <c r="S709" s="289">
        <f>IF(ISBLANK(商品マスタ[[#This Row],[実績
国内送料]]),商品マスタ[[#This Row],[標準国内送料]],)</f>
        <v/>
      </c>
      <c r="T709" s="289">
        <f>商品マスタ[[#This Row],[仕入
単価]]+商品マスタ[[#This Row],[国内送料]]</f>
        <v/>
      </c>
      <c r="U709" s="289">
        <f>ROUNDUP(商品マスタ[[#This Row],[仕入単価+国内送料]]/0.8,-1)</f>
        <v/>
      </c>
      <c r="V709" s="289">
        <f>商品マスタ[[#This Row],[海外定価
（20％）]]-商品マスタ[[#This Row],[仕入単価+国内送料]]</f>
        <v/>
      </c>
      <c r="W709" s="167">
        <f>ROUNDUP(商品マスタ[[#This Row],[仕入単価+国内送料]]/0.85,-1)</f>
        <v/>
      </c>
      <c r="X709" s="289">
        <f>商品マスタ[[#This Row],[国内定価
（15％）]]-商品マスタ[[#This Row],[仕入単価+国内送料]]</f>
        <v/>
      </c>
      <c r="Y709" s="139" t="n"/>
      <c r="Z709" s="167" t="n"/>
      <c r="AA709" s="167" t="n"/>
      <c r="AB709" s="167" t="n"/>
      <c r="AC709" s="293" t="n"/>
      <c r="AD709" s="167" t="n"/>
      <c r="AE709" s="167" t="n"/>
      <c r="AF709" s="167" t="n"/>
      <c r="AG709" s="144" t="n"/>
    </row>
    <row r="710" ht="18" customHeight="1" s="207">
      <c r="A710" s="166" t="n"/>
      <c r="B710" s="167" t="n"/>
      <c r="C710" s="167" t="n"/>
      <c r="D710" s="143">
        <f>"PRD_SNJ_"&amp;
_xlfn.XLOOKUP(商品マスタ[[#This Row],[仕入先]],テーブル1[仕入先名],テーブル1[仕入先コード],"XXX",0,1)&amp;
"_"&amp;
商品マスタ[[#This Row],[シリアル]]&amp;
"_"&amp;
TEXT(COUNTIFS(商品マスタ!$C$3:C710,商品マスタ[[#This Row],[仕入先]],商品マスタ!$E$3:E710,商品マスタ[[#This Row],[商品名]]), "00")</f>
        <v/>
      </c>
      <c r="E710" s="167" t="n"/>
      <c r="F710" s="167">
        <f>IF(COUNTIFS($C$3:C710,商品マスタ[[#This Row],[仕入先]],$E$3:E710,商品マスタ[[#This Row],[商品名]]) = 1, 1,0)</f>
        <v/>
      </c>
      <c r="G710" s="133">
        <f>TEXT(SUMIF($C$3:C710,商品マスタ[[#This Row],[仕入先]],$F$3:F710), "0000")</f>
        <v/>
      </c>
      <c r="H710" s="167" t="n"/>
      <c r="I710" s="167" t="n"/>
      <c r="J710" s="167" t="n"/>
      <c r="K710" s="167" t="n"/>
      <c r="L710" s="289" t="n"/>
      <c r="M710" s="157" t="n"/>
      <c r="N710" s="289" t="n"/>
      <c r="O710" s="290">
        <f>IF(COUNT(商品マスタ[[#This Row],[参考上代
（税込)]]) &gt; 0, (商品マスタ[[#This Row],[参考上代
（税込)]]-商品マスタ[[#This Row],[国内定価
（15％）]])/(商品マスタ[[#This Row],[参考上代
（税込)]]/1.08), "")</f>
        <v/>
      </c>
      <c r="P710" s="136" t="n">
        <v>0.1</v>
      </c>
      <c r="Q710" s="289">
        <f>商品マスタ[[#This Row],[仕入
単価]]*商品マスタ[[#This Row],[標準国内送料率]]</f>
        <v/>
      </c>
      <c r="R710" s="289" t="n"/>
      <c r="S710" s="289">
        <f>IF(ISBLANK(商品マスタ[[#This Row],[実績
国内送料]]),商品マスタ[[#This Row],[標準国内送料]],)</f>
        <v/>
      </c>
      <c r="T710" s="289">
        <f>商品マスタ[[#This Row],[仕入
単価]]+商品マスタ[[#This Row],[国内送料]]</f>
        <v/>
      </c>
      <c r="U710" s="289">
        <f>ROUNDUP(商品マスタ[[#This Row],[仕入単価+国内送料]]/0.8,-1)</f>
        <v/>
      </c>
      <c r="V710" s="289">
        <f>商品マスタ[[#This Row],[海外定価
（20％）]]-商品マスタ[[#This Row],[仕入単価+国内送料]]</f>
        <v/>
      </c>
      <c r="W710" s="167">
        <f>ROUNDUP(商品マスタ[[#This Row],[仕入単価+国内送料]]/0.85,-1)</f>
        <v/>
      </c>
      <c r="X710" s="289">
        <f>商品マスタ[[#This Row],[国内定価
（15％）]]-商品マスタ[[#This Row],[仕入単価+国内送料]]</f>
        <v/>
      </c>
      <c r="Y710" s="139" t="n"/>
      <c r="Z710" s="167" t="n"/>
      <c r="AA710" s="167" t="n"/>
      <c r="AB710" s="167" t="n"/>
      <c r="AC710" s="293" t="n"/>
      <c r="AD710" s="167" t="n"/>
      <c r="AE710" s="167" t="n"/>
      <c r="AF710" s="167" t="n"/>
      <c r="AG710" s="144" t="n"/>
    </row>
    <row r="711" ht="18" customHeight="1" s="207">
      <c r="A711" s="166" t="n"/>
      <c r="B711" s="167" t="n"/>
      <c r="C711" s="167" t="n"/>
      <c r="D711" s="143">
        <f>"PRD_SNJ_"&amp;
_xlfn.XLOOKUP(商品マスタ[[#This Row],[仕入先]],テーブル1[仕入先名],テーブル1[仕入先コード],"XXX",0,1)&amp;
"_"&amp;
商品マスタ[[#This Row],[シリアル]]&amp;
"_"&amp;
TEXT(COUNTIFS(商品マスタ!$C$3:C711,商品マスタ[[#This Row],[仕入先]],商品マスタ!$E$3:E711,商品マスタ[[#This Row],[商品名]]), "00")</f>
        <v/>
      </c>
      <c r="E711" s="167" t="n"/>
      <c r="F711" s="167">
        <f>IF(COUNTIFS($C$3:C711,商品マスタ[[#This Row],[仕入先]],$E$3:E711,商品マスタ[[#This Row],[商品名]]) = 1, 1,0)</f>
        <v/>
      </c>
      <c r="G711" s="133">
        <f>TEXT(SUMIF($C$3:C711,商品マスタ[[#This Row],[仕入先]],$F$3:F711), "0000")</f>
        <v/>
      </c>
      <c r="H711" s="167" t="n"/>
      <c r="I711" s="167" t="n"/>
      <c r="J711" s="167" t="n"/>
      <c r="K711" s="167" t="n"/>
      <c r="L711" s="289" t="n"/>
      <c r="M711" s="157" t="n"/>
      <c r="N711" s="289" t="n"/>
      <c r="O711" s="290">
        <f>IF(COUNT(商品マスタ[[#This Row],[参考上代
（税込)]]) &gt; 0, (商品マスタ[[#This Row],[参考上代
（税込)]]-商品マスタ[[#This Row],[国内定価
（15％）]])/(商品マスタ[[#This Row],[参考上代
（税込)]]/1.08), "")</f>
        <v/>
      </c>
      <c r="P711" s="136" t="n">
        <v>0.1</v>
      </c>
      <c r="Q711" s="289">
        <f>商品マスタ[[#This Row],[仕入
単価]]*商品マスタ[[#This Row],[標準国内送料率]]</f>
        <v/>
      </c>
      <c r="R711" s="289" t="n"/>
      <c r="S711" s="289">
        <f>IF(ISBLANK(商品マスタ[[#This Row],[実績
国内送料]]),商品マスタ[[#This Row],[標準国内送料]],)</f>
        <v/>
      </c>
      <c r="T711" s="289">
        <f>商品マスタ[[#This Row],[仕入
単価]]+商品マスタ[[#This Row],[国内送料]]</f>
        <v/>
      </c>
      <c r="U711" s="289">
        <f>ROUNDUP(商品マスタ[[#This Row],[仕入単価+国内送料]]/0.8,-1)</f>
        <v/>
      </c>
      <c r="V711" s="289">
        <f>商品マスタ[[#This Row],[海外定価
（20％）]]-商品マスタ[[#This Row],[仕入単価+国内送料]]</f>
        <v/>
      </c>
      <c r="W711" s="167">
        <f>ROUNDUP(商品マスタ[[#This Row],[仕入単価+国内送料]]/0.85,-1)</f>
        <v/>
      </c>
      <c r="X711" s="289">
        <f>商品マスタ[[#This Row],[国内定価
（15％）]]-商品マスタ[[#This Row],[仕入単価+国内送料]]</f>
        <v/>
      </c>
      <c r="Y711" s="139" t="n"/>
      <c r="Z711" s="167" t="n"/>
      <c r="AA711" s="167" t="n"/>
      <c r="AB711" s="167" t="n"/>
      <c r="AC711" s="293" t="n"/>
      <c r="AD711" s="167" t="n"/>
      <c r="AE711" s="167" t="n"/>
      <c r="AF711" s="167" t="n"/>
      <c r="AG711" s="144" t="n"/>
    </row>
    <row r="712" ht="18" customHeight="1" s="207">
      <c r="A712" s="166" t="n"/>
      <c r="B712" s="167" t="n"/>
      <c r="C712" s="167" t="n"/>
      <c r="D712" s="143">
        <f>"PRD_SNJ_"&amp;
_xlfn.XLOOKUP(商品マスタ[[#This Row],[仕入先]],テーブル1[仕入先名],テーブル1[仕入先コード],"XXX",0,1)&amp;
"_"&amp;
商品マスタ[[#This Row],[シリアル]]&amp;
"_"&amp;
TEXT(COUNTIFS(商品マスタ!$C$3:C712,商品マスタ[[#This Row],[仕入先]],商品マスタ!$E$3:E712,商品マスタ[[#This Row],[商品名]]), "00")</f>
        <v/>
      </c>
      <c r="E712" s="167" t="n"/>
      <c r="F712" s="167">
        <f>IF(COUNTIFS($C$3:C712,商品マスタ[[#This Row],[仕入先]],$E$3:E712,商品マスタ[[#This Row],[商品名]]) = 1, 1,0)</f>
        <v/>
      </c>
      <c r="G712" s="133">
        <f>TEXT(SUMIF($C$3:C712,商品マスタ[[#This Row],[仕入先]],$F$3:F712), "0000")</f>
        <v/>
      </c>
      <c r="H712" s="167" t="n"/>
      <c r="I712" s="167" t="n"/>
      <c r="J712" s="167" t="n"/>
      <c r="K712" s="167" t="n"/>
      <c r="L712" s="289" t="n"/>
      <c r="M712" s="157" t="n"/>
      <c r="N712" s="289" t="n"/>
      <c r="O712" s="290">
        <f>IF(COUNT(商品マスタ[[#This Row],[参考上代
（税込)]]) &gt; 0, (商品マスタ[[#This Row],[参考上代
（税込)]]-商品マスタ[[#This Row],[国内定価
（15％）]])/(商品マスタ[[#This Row],[参考上代
（税込)]]/1.08), "")</f>
        <v/>
      </c>
      <c r="P712" s="136" t="n">
        <v>0.1</v>
      </c>
      <c r="Q712" s="289">
        <f>商品マスタ[[#This Row],[仕入
単価]]*商品マスタ[[#This Row],[標準国内送料率]]</f>
        <v/>
      </c>
      <c r="R712" s="289" t="n"/>
      <c r="S712" s="289">
        <f>IF(ISBLANK(商品マスタ[[#This Row],[実績
国内送料]]),商品マスタ[[#This Row],[標準国内送料]],)</f>
        <v/>
      </c>
      <c r="T712" s="289">
        <f>商品マスタ[[#This Row],[仕入
単価]]+商品マスタ[[#This Row],[国内送料]]</f>
        <v/>
      </c>
      <c r="U712" s="289">
        <f>ROUNDUP(商品マスタ[[#This Row],[仕入単価+国内送料]]/0.8,-1)</f>
        <v/>
      </c>
      <c r="V712" s="289">
        <f>商品マスタ[[#This Row],[海外定価
（20％）]]-商品マスタ[[#This Row],[仕入単価+国内送料]]</f>
        <v/>
      </c>
      <c r="W712" s="167">
        <f>ROUNDUP(商品マスタ[[#This Row],[仕入単価+国内送料]]/0.85,-1)</f>
        <v/>
      </c>
      <c r="X712" s="289">
        <f>商品マスタ[[#This Row],[国内定価
（15％）]]-商品マスタ[[#This Row],[仕入単価+国内送料]]</f>
        <v/>
      </c>
      <c r="Y712" s="139" t="n"/>
      <c r="Z712" s="167" t="n"/>
      <c r="AA712" s="167" t="n"/>
      <c r="AB712" s="167" t="n"/>
      <c r="AC712" s="293" t="n"/>
      <c r="AD712" s="167" t="n"/>
      <c r="AE712" s="167" t="n"/>
      <c r="AF712" s="167" t="n"/>
      <c r="AG712" s="144" t="n"/>
    </row>
    <row r="713" ht="18" customHeight="1" s="207">
      <c r="A713" s="166" t="n"/>
      <c r="B713" s="167" t="n"/>
      <c r="C713" s="167" t="n"/>
      <c r="D713" s="143">
        <f>"PRD_SNJ_"&amp;
_xlfn.XLOOKUP(商品マスタ[[#This Row],[仕入先]],テーブル1[仕入先名],テーブル1[仕入先コード],"XXX",0,1)&amp;
"_"&amp;
商品マスタ[[#This Row],[シリアル]]&amp;
"_"&amp;
TEXT(COUNTIFS(商品マスタ!$C$3:C713,商品マスタ[[#This Row],[仕入先]],商品マスタ!$E$3:E713,商品マスタ[[#This Row],[商品名]]), "00")</f>
        <v/>
      </c>
      <c r="E713" s="167" t="n"/>
      <c r="F713" s="167">
        <f>IF(COUNTIFS($C$3:C713,商品マスタ[[#This Row],[仕入先]],$E$3:E713,商品マスタ[[#This Row],[商品名]]) = 1, 1,0)</f>
        <v/>
      </c>
      <c r="G713" s="133">
        <f>TEXT(SUMIF($C$3:C713,商品マスタ[[#This Row],[仕入先]],$F$3:F713), "0000")</f>
        <v/>
      </c>
      <c r="H713" s="167" t="n"/>
      <c r="I713" s="167" t="n"/>
      <c r="J713" s="167" t="n"/>
      <c r="K713" s="167" t="n"/>
      <c r="L713" s="289" t="n"/>
      <c r="M713" s="157" t="n"/>
      <c r="N713" s="289" t="n"/>
      <c r="O713" s="290">
        <f>IF(COUNT(商品マスタ[[#This Row],[参考上代
（税込)]]) &gt; 0, (商品マスタ[[#This Row],[参考上代
（税込)]]-商品マスタ[[#This Row],[国内定価
（15％）]])/(商品マスタ[[#This Row],[参考上代
（税込)]]/1.08), "")</f>
        <v/>
      </c>
      <c r="P713" s="136" t="n">
        <v>0.1</v>
      </c>
      <c r="Q713" s="289">
        <f>商品マスタ[[#This Row],[仕入
単価]]*商品マスタ[[#This Row],[標準国内送料率]]</f>
        <v/>
      </c>
      <c r="R713" s="289" t="n"/>
      <c r="S713" s="289">
        <f>IF(ISBLANK(商品マスタ[[#This Row],[実績
国内送料]]),商品マスタ[[#This Row],[標準国内送料]],)</f>
        <v/>
      </c>
      <c r="T713" s="289">
        <f>商品マスタ[[#This Row],[仕入
単価]]+商品マスタ[[#This Row],[国内送料]]</f>
        <v/>
      </c>
      <c r="U713" s="289">
        <f>ROUNDUP(商品マスタ[[#This Row],[仕入単価+国内送料]]/0.8,-1)</f>
        <v/>
      </c>
      <c r="V713" s="289">
        <f>商品マスタ[[#This Row],[海外定価
（20％）]]-商品マスタ[[#This Row],[仕入単価+国内送料]]</f>
        <v/>
      </c>
      <c r="W713" s="167">
        <f>ROUNDUP(商品マスタ[[#This Row],[仕入単価+国内送料]]/0.85,-1)</f>
        <v/>
      </c>
      <c r="X713" s="289">
        <f>商品マスタ[[#This Row],[国内定価
（15％）]]-商品マスタ[[#This Row],[仕入単価+国内送料]]</f>
        <v/>
      </c>
      <c r="Y713" s="139" t="n"/>
      <c r="Z713" s="167" t="n"/>
      <c r="AA713" s="167" t="n"/>
      <c r="AB713" s="167" t="n"/>
      <c r="AC713" s="293" t="n"/>
      <c r="AD713" s="167" t="n"/>
      <c r="AE713" s="167" t="n"/>
      <c r="AF713" s="167" t="n"/>
      <c r="AG713" s="144" t="n"/>
    </row>
    <row r="714" ht="18" customHeight="1" s="207">
      <c r="A714" s="166" t="n"/>
      <c r="B714" s="167" t="n"/>
      <c r="C714" s="167" t="n"/>
      <c r="D714" s="143">
        <f>"PRD_SNJ_"&amp;
_xlfn.XLOOKUP(商品マスタ[[#This Row],[仕入先]],テーブル1[仕入先名],テーブル1[仕入先コード],"XXX",0,1)&amp;
"_"&amp;
商品マスタ[[#This Row],[シリアル]]&amp;
"_"&amp;
TEXT(COUNTIFS(商品マスタ!$C$3:C714,商品マスタ[[#This Row],[仕入先]],商品マスタ!$E$3:E714,商品マスタ[[#This Row],[商品名]]), "00")</f>
        <v/>
      </c>
      <c r="E714" s="167" t="n"/>
      <c r="F714" s="167">
        <f>IF(COUNTIFS($C$3:C714,商品マスタ[[#This Row],[仕入先]],$E$3:E714,商品マスタ[[#This Row],[商品名]]) = 1, 1,0)</f>
        <v/>
      </c>
      <c r="G714" s="133">
        <f>TEXT(SUMIF($C$3:C714,商品マスタ[[#This Row],[仕入先]],$F$3:F714), "0000")</f>
        <v/>
      </c>
      <c r="H714" s="167" t="n"/>
      <c r="I714" s="167" t="n"/>
      <c r="J714" s="167" t="n"/>
      <c r="K714" s="167" t="n"/>
      <c r="L714" s="289" t="n"/>
      <c r="M714" s="157" t="n"/>
      <c r="N714" s="289" t="n"/>
      <c r="O714" s="290">
        <f>IF(COUNT(商品マスタ[[#This Row],[参考上代
（税込)]]) &gt; 0, (商品マスタ[[#This Row],[参考上代
（税込)]]-商品マスタ[[#This Row],[国内定価
（15％）]])/(商品マスタ[[#This Row],[参考上代
（税込)]]/1.08), "")</f>
        <v/>
      </c>
      <c r="P714" s="136" t="n">
        <v>0.1</v>
      </c>
      <c r="Q714" s="289">
        <f>商品マスタ[[#This Row],[仕入
単価]]*商品マスタ[[#This Row],[標準国内送料率]]</f>
        <v/>
      </c>
      <c r="R714" s="289" t="n"/>
      <c r="S714" s="289">
        <f>IF(ISBLANK(商品マスタ[[#This Row],[実績
国内送料]]),商品マスタ[[#This Row],[標準国内送料]],)</f>
        <v/>
      </c>
      <c r="T714" s="289">
        <f>商品マスタ[[#This Row],[仕入
単価]]+商品マスタ[[#This Row],[国内送料]]</f>
        <v/>
      </c>
      <c r="U714" s="289">
        <f>ROUNDUP(商品マスタ[[#This Row],[仕入単価+国内送料]]/0.8,-1)</f>
        <v/>
      </c>
      <c r="V714" s="289">
        <f>商品マスタ[[#This Row],[海外定価
（20％）]]-商品マスタ[[#This Row],[仕入単価+国内送料]]</f>
        <v/>
      </c>
      <c r="W714" s="167">
        <f>ROUNDUP(商品マスタ[[#This Row],[仕入単価+国内送料]]/0.85,-1)</f>
        <v/>
      </c>
      <c r="X714" s="289">
        <f>商品マスタ[[#This Row],[国内定価
（15％）]]-商品マスタ[[#This Row],[仕入単価+国内送料]]</f>
        <v/>
      </c>
      <c r="Y714" s="139" t="n"/>
      <c r="Z714" s="167" t="n"/>
      <c r="AA714" s="167" t="n"/>
      <c r="AB714" s="167" t="n"/>
      <c r="AC714" s="293" t="n"/>
      <c r="AD714" s="167" t="n"/>
      <c r="AE714" s="167" t="n"/>
      <c r="AF714" s="167" t="n"/>
      <c r="AG714" s="144" t="n"/>
    </row>
    <row r="715" ht="18" customHeight="1" s="207">
      <c r="A715" s="166" t="n"/>
      <c r="B715" s="167" t="n"/>
      <c r="C715" s="167" t="n"/>
      <c r="D715" s="143">
        <f>"PRD_SNJ_"&amp;
_xlfn.XLOOKUP(商品マスタ[[#This Row],[仕入先]],テーブル1[仕入先名],テーブル1[仕入先コード],"XXX",0,1)&amp;
"_"&amp;
商品マスタ[[#This Row],[シリアル]]&amp;
"_"&amp;
TEXT(COUNTIFS(商品マスタ!$C$3:C715,商品マスタ[[#This Row],[仕入先]],商品マスタ!$E$3:E715,商品マスタ[[#This Row],[商品名]]), "00")</f>
        <v/>
      </c>
      <c r="E715" s="167" t="n"/>
      <c r="F715" s="167">
        <f>IF(COUNTIFS($C$3:C715,商品マスタ[[#This Row],[仕入先]],$E$3:E715,商品マスタ[[#This Row],[商品名]]) = 1, 1,0)</f>
        <v/>
      </c>
      <c r="G715" s="133">
        <f>TEXT(SUMIF($C$3:C715,商品マスタ[[#This Row],[仕入先]],$F$3:F715), "0000")</f>
        <v/>
      </c>
      <c r="H715" s="167" t="n"/>
      <c r="I715" s="167" t="n"/>
      <c r="J715" s="167" t="n"/>
      <c r="K715" s="167" t="n"/>
      <c r="L715" s="289" t="n"/>
      <c r="M715" s="157" t="n"/>
      <c r="N715" s="289" t="n"/>
      <c r="O715" s="290">
        <f>IF(COUNT(商品マスタ[[#This Row],[参考上代
（税込)]]) &gt; 0, (商品マスタ[[#This Row],[参考上代
（税込)]]-商品マスタ[[#This Row],[国内定価
（15％）]])/(商品マスタ[[#This Row],[参考上代
（税込)]]/1.08), "")</f>
        <v/>
      </c>
      <c r="P715" s="136" t="n">
        <v>0.1</v>
      </c>
      <c r="Q715" s="289">
        <f>商品マスタ[[#This Row],[仕入
単価]]*商品マスタ[[#This Row],[標準国内送料率]]</f>
        <v/>
      </c>
      <c r="R715" s="289" t="n"/>
      <c r="S715" s="289">
        <f>IF(ISBLANK(商品マスタ[[#This Row],[実績
国内送料]]),商品マスタ[[#This Row],[標準国内送料]],)</f>
        <v/>
      </c>
      <c r="T715" s="289">
        <f>商品マスタ[[#This Row],[仕入
単価]]+商品マスタ[[#This Row],[国内送料]]</f>
        <v/>
      </c>
      <c r="U715" s="289">
        <f>ROUNDUP(商品マスタ[[#This Row],[仕入単価+国内送料]]/0.8,-1)</f>
        <v/>
      </c>
      <c r="V715" s="289">
        <f>商品マスタ[[#This Row],[海外定価
（20％）]]-商品マスタ[[#This Row],[仕入単価+国内送料]]</f>
        <v/>
      </c>
      <c r="W715" s="167">
        <f>ROUNDUP(商品マスタ[[#This Row],[仕入単価+国内送料]]/0.85,-1)</f>
        <v/>
      </c>
      <c r="X715" s="289">
        <f>商品マスタ[[#This Row],[国内定価
（15％）]]-商品マスタ[[#This Row],[仕入単価+国内送料]]</f>
        <v/>
      </c>
      <c r="Y715" s="139" t="n"/>
      <c r="Z715" s="167" t="n"/>
      <c r="AA715" s="167" t="n"/>
      <c r="AB715" s="167" t="n"/>
      <c r="AC715" s="293" t="n"/>
      <c r="AD715" s="167" t="n"/>
      <c r="AE715" s="167" t="n"/>
      <c r="AF715" s="167" t="n"/>
      <c r="AG715" s="144" t="n"/>
    </row>
    <row r="716" ht="18" customHeight="1" s="207">
      <c r="A716" s="166" t="n"/>
      <c r="B716" s="167" t="n"/>
      <c r="C716" s="167" t="n"/>
      <c r="D716" s="143">
        <f>"PRD_SNJ_"&amp;
_xlfn.XLOOKUP(商品マスタ[[#This Row],[仕入先]],テーブル1[仕入先名],テーブル1[仕入先コード],"XXX",0,1)&amp;
"_"&amp;
商品マスタ[[#This Row],[シリアル]]&amp;
"_"&amp;
TEXT(COUNTIFS(商品マスタ!$C$3:C716,商品マスタ[[#This Row],[仕入先]],商品マスタ!$E$3:E716,商品マスタ[[#This Row],[商品名]]), "00")</f>
        <v/>
      </c>
      <c r="E716" s="167" t="n"/>
      <c r="F716" s="167">
        <f>IF(COUNTIFS($C$3:C716,商品マスタ[[#This Row],[仕入先]],$E$3:E716,商品マスタ[[#This Row],[商品名]]) = 1, 1,0)</f>
        <v/>
      </c>
      <c r="G716" s="133">
        <f>TEXT(SUMIF($C$3:C716,商品マスタ[[#This Row],[仕入先]],$F$3:F716), "0000")</f>
        <v/>
      </c>
      <c r="H716" s="167" t="n"/>
      <c r="I716" s="167" t="n"/>
      <c r="J716" s="167" t="n"/>
      <c r="K716" s="167" t="n"/>
      <c r="L716" s="289" t="n"/>
      <c r="M716" s="157" t="n"/>
      <c r="N716" s="289" t="n"/>
      <c r="O716" s="290">
        <f>IF(COUNT(商品マスタ[[#This Row],[参考上代
（税込)]]) &gt; 0, (商品マスタ[[#This Row],[参考上代
（税込)]]-商品マスタ[[#This Row],[国内定価
（15％）]])/(商品マスタ[[#This Row],[参考上代
（税込)]]/1.08), "")</f>
        <v/>
      </c>
      <c r="P716" s="136" t="n">
        <v>0.1</v>
      </c>
      <c r="Q716" s="289">
        <f>商品マスタ[[#This Row],[仕入
単価]]*商品マスタ[[#This Row],[標準国内送料率]]</f>
        <v/>
      </c>
      <c r="R716" s="289" t="n"/>
      <c r="S716" s="289">
        <f>IF(ISBLANK(商品マスタ[[#This Row],[実績
国内送料]]),商品マスタ[[#This Row],[標準国内送料]],)</f>
        <v/>
      </c>
      <c r="T716" s="289">
        <f>商品マスタ[[#This Row],[仕入
単価]]+商品マスタ[[#This Row],[国内送料]]</f>
        <v/>
      </c>
      <c r="U716" s="289">
        <f>ROUNDUP(商品マスタ[[#This Row],[仕入単価+国内送料]]/0.8,-1)</f>
        <v/>
      </c>
      <c r="V716" s="289">
        <f>商品マスタ[[#This Row],[海外定価
（20％）]]-商品マスタ[[#This Row],[仕入単価+国内送料]]</f>
        <v/>
      </c>
      <c r="W716" s="167">
        <f>ROUNDUP(商品マスタ[[#This Row],[仕入単価+国内送料]]/0.85,-1)</f>
        <v/>
      </c>
      <c r="X716" s="289">
        <f>商品マスタ[[#This Row],[国内定価
（15％）]]-商品マスタ[[#This Row],[仕入単価+国内送料]]</f>
        <v/>
      </c>
      <c r="Y716" s="139" t="n"/>
      <c r="Z716" s="167" t="n"/>
      <c r="AA716" s="167" t="n"/>
      <c r="AB716" s="167" t="n"/>
      <c r="AC716" s="293" t="n"/>
      <c r="AD716" s="167" t="n"/>
      <c r="AE716" s="167" t="n"/>
      <c r="AF716" s="167" t="n"/>
      <c r="AG716" s="144" t="n"/>
    </row>
    <row r="717" ht="18" customHeight="1" s="207">
      <c r="A717" s="166" t="n"/>
      <c r="B717" s="167" t="n"/>
      <c r="C717" s="167" t="n"/>
      <c r="D717" s="143">
        <f>"PRD_SNJ_"&amp;
_xlfn.XLOOKUP(商品マスタ[[#This Row],[仕入先]],テーブル1[仕入先名],テーブル1[仕入先コード],"XXX",0,1)&amp;
"_"&amp;
商品マスタ[[#This Row],[シリアル]]&amp;
"_"&amp;
TEXT(COUNTIFS(商品マスタ!$C$3:C717,商品マスタ[[#This Row],[仕入先]],商品マスタ!$E$3:E717,商品マスタ[[#This Row],[商品名]]), "00")</f>
        <v/>
      </c>
      <c r="E717" s="167" t="n"/>
      <c r="F717" s="167">
        <f>IF(COUNTIFS($C$3:C717,商品マスタ[[#This Row],[仕入先]],$E$3:E717,商品マスタ[[#This Row],[商品名]]) = 1, 1,0)</f>
        <v/>
      </c>
      <c r="G717" s="133">
        <f>TEXT(SUMIF($C$3:C717,商品マスタ[[#This Row],[仕入先]],$F$3:F717), "0000")</f>
        <v/>
      </c>
      <c r="H717" s="167" t="n"/>
      <c r="I717" s="167" t="n"/>
      <c r="J717" s="167" t="n"/>
      <c r="K717" s="167" t="n"/>
      <c r="L717" s="289" t="n"/>
      <c r="M717" s="157" t="n"/>
      <c r="N717" s="289" t="n"/>
      <c r="O717" s="290">
        <f>IF(COUNT(商品マスタ[[#This Row],[参考上代
（税込)]]) &gt; 0, (商品マスタ[[#This Row],[参考上代
（税込)]]-商品マスタ[[#This Row],[国内定価
（15％）]])/(商品マスタ[[#This Row],[参考上代
（税込)]]/1.08), "")</f>
        <v/>
      </c>
      <c r="P717" s="136" t="n">
        <v>0.1</v>
      </c>
      <c r="Q717" s="289">
        <f>商品マスタ[[#This Row],[仕入
単価]]*商品マスタ[[#This Row],[標準国内送料率]]</f>
        <v/>
      </c>
      <c r="R717" s="289" t="n"/>
      <c r="S717" s="289">
        <f>IF(ISBLANK(商品マスタ[[#This Row],[実績
国内送料]]),商品マスタ[[#This Row],[標準国内送料]],)</f>
        <v/>
      </c>
      <c r="T717" s="289">
        <f>商品マスタ[[#This Row],[仕入
単価]]+商品マスタ[[#This Row],[国内送料]]</f>
        <v/>
      </c>
      <c r="U717" s="289">
        <f>ROUNDUP(商品マスタ[[#This Row],[仕入単価+国内送料]]/0.8,-1)</f>
        <v/>
      </c>
      <c r="V717" s="289">
        <f>商品マスタ[[#This Row],[海外定価
（20％）]]-商品マスタ[[#This Row],[仕入単価+国内送料]]</f>
        <v/>
      </c>
      <c r="W717" s="167">
        <f>ROUNDUP(商品マスタ[[#This Row],[仕入単価+国内送料]]/0.85,-1)</f>
        <v/>
      </c>
      <c r="X717" s="289">
        <f>商品マスタ[[#This Row],[国内定価
（15％）]]-商品マスタ[[#This Row],[仕入単価+国内送料]]</f>
        <v/>
      </c>
      <c r="Y717" s="139" t="n"/>
      <c r="Z717" s="167" t="n"/>
      <c r="AA717" s="167" t="n"/>
      <c r="AB717" s="167" t="n"/>
      <c r="AC717" s="293" t="n"/>
      <c r="AD717" s="167" t="n"/>
      <c r="AE717" s="167" t="n"/>
      <c r="AF717" s="167" t="n"/>
      <c r="AG717" s="144" t="n"/>
    </row>
    <row r="718" ht="18" customHeight="1" s="207">
      <c r="A718" s="166" t="n"/>
      <c r="B718" s="167" t="n"/>
      <c r="C718" s="167" t="n"/>
      <c r="D718" s="143">
        <f>"PRD_SNJ_"&amp;
_xlfn.XLOOKUP(商品マスタ[[#This Row],[仕入先]],テーブル1[仕入先名],テーブル1[仕入先コード],"XXX",0,1)&amp;
"_"&amp;
商品マスタ[[#This Row],[シリアル]]&amp;
"_"&amp;
TEXT(COUNTIFS(商品マスタ!$C$3:C718,商品マスタ[[#This Row],[仕入先]],商品マスタ!$E$3:E718,商品マスタ[[#This Row],[商品名]]), "00")</f>
        <v/>
      </c>
      <c r="E718" s="167" t="n"/>
      <c r="F718" s="167">
        <f>IF(COUNTIFS($C$3:C718,商品マスタ[[#This Row],[仕入先]],$E$3:E718,商品マスタ[[#This Row],[商品名]]) = 1, 1,0)</f>
        <v/>
      </c>
      <c r="G718" s="133">
        <f>TEXT(SUMIF($C$3:C718,商品マスタ[[#This Row],[仕入先]],$F$3:F718), "0000")</f>
        <v/>
      </c>
      <c r="H718" s="167" t="n"/>
      <c r="I718" s="167" t="n"/>
      <c r="J718" s="167" t="n"/>
      <c r="K718" s="167" t="n"/>
      <c r="L718" s="289" t="n"/>
      <c r="M718" s="157" t="n"/>
      <c r="N718" s="289" t="n"/>
      <c r="O718" s="290">
        <f>IF(COUNT(商品マスタ[[#This Row],[参考上代
（税込)]]) &gt; 0, (商品マスタ[[#This Row],[参考上代
（税込)]]-商品マスタ[[#This Row],[国内定価
（15％）]])/(商品マスタ[[#This Row],[参考上代
（税込)]]/1.08), "")</f>
        <v/>
      </c>
      <c r="P718" s="136" t="n">
        <v>0.1</v>
      </c>
      <c r="Q718" s="289">
        <f>商品マスタ[[#This Row],[仕入
単価]]*商品マスタ[[#This Row],[標準国内送料率]]</f>
        <v/>
      </c>
      <c r="R718" s="289" t="n"/>
      <c r="S718" s="289">
        <f>IF(ISBLANK(商品マスタ[[#This Row],[実績
国内送料]]),商品マスタ[[#This Row],[標準国内送料]],)</f>
        <v/>
      </c>
      <c r="T718" s="289">
        <f>商品マスタ[[#This Row],[仕入
単価]]+商品マスタ[[#This Row],[国内送料]]</f>
        <v/>
      </c>
      <c r="U718" s="289">
        <f>ROUNDUP(商品マスタ[[#This Row],[仕入単価+国内送料]]/0.8,-1)</f>
        <v/>
      </c>
      <c r="V718" s="289">
        <f>商品マスタ[[#This Row],[海外定価
（20％）]]-商品マスタ[[#This Row],[仕入単価+国内送料]]</f>
        <v/>
      </c>
      <c r="W718" s="167">
        <f>ROUNDUP(商品マスタ[[#This Row],[仕入単価+国内送料]]/0.85,-1)</f>
        <v/>
      </c>
      <c r="X718" s="289">
        <f>商品マスタ[[#This Row],[国内定価
（15％）]]-商品マスタ[[#This Row],[仕入単価+国内送料]]</f>
        <v/>
      </c>
      <c r="Y718" s="139" t="n"/>
      <c r="Z718" s="167" t="n"/>
      <c r="AA718" s="167" t="n"/>
      <c r="AB718" s="167" t="n"/>
      <c r="AC718" s="293" t="n"/>
      <c r="AD718" s="167" t="n"/>
      <c r="AE718" s="167" t="n"/>
      <c r="AF718" s="167" t="n"/>
      <c r="AG718" s="144" t="n"/>
    </row>
    <row r="719" ht="18" customHeight="1" s="207">
      <c r="A719" s="166" t="n"/>
      <c r="B719" s="167" t="n"/>
      <c r="C719" s="167" t="n"/>
      <c r="D719" s="143">
        <f>"PRD_SNJ_"&amp;
_xlfn.XLOOKUP(商品マスタ[[#This Row],[仕入先]],テーブル1[仕入先名],テーブル1[仕入先コード],"XXX",0,1)&amp;
"_"&amp;
商品マスタ[[#This Row],[シリアル]]&amp;
"_"&amp;
TEXT(COUNTIFS(商品マスタ!$C$3:C719,商品マスタ[[#This Row],[仕入先]],商品マスタ!$E$3:E719,商品マスタ[[#This Row],[商品名]]), "00")</f>
        <v/>
      </c>
      <c r="E719" s="167" t="n"/>
      <c r="F719" s="167">
        <f>IF(COUNTIFS($C$3:C719,商品マスタ[[#This Row],[仕入先]],$E$3:E719,商品マスタ[[#This Row],[商品名]]) = 1, 1,0)</f>
        <v/>
      </c>
      <c r="G719" s="133">
        <f>TEXT(SUMIF($C$3:C719,商品マスタ[[#This Row],[仕入先]],$F$3:F719), "0000")</f>
        <v/>
      </c>
      <c r="H719" s="167" t="n"/>
      <c r="I719" s="167" t="n"/>
      <c r="J719" s="167" t="n"/>
      <c r="K719" s="167" t="n"/>
      <c r="L719" s="289" t="n"/>
      <c r="M719" s="157" t="n"/>
      <c r="N719" s="289" t="n"/>
      <c r="O719" s="290">
        <f>IF(COUNT(商品マスタ[[#This Row],[参考上代
（税込)]]) &gt; 0, (商品マスタ[[#This Row],[参考上代
（税込)]]-商品マスタ[[#This Row],[国内定価
（15％）]])/(商品マスタ[[#This Row],[参考上代
（税込)]]/1.08), "")</f>
        <v/>
      </c>
      <c r="P719" s="136" t="n">
        <v>0.1</v>
      </c>
      <c r="Q719" s="289">
        <f>商品マスタ[[#This Row],[仕入
単価]]*商品マスタ[[#This Row],[標準国内送料率]]</f>
        <v/>
      </c>
      <c r="R719" s="289" t="n"/>
      <c r="S719" s="289">
        <f>IF(ISBLANK(商品マスタ[[#This Row],[実績
国内送料]]),商品マスタ[[#This Row],[標準国内送料]],)</f>
        <v/>
      </c>
      <c r="T719" s="289">
        <f>商品マスタ[[#This Row],[仕入
単価]]+商品マスタ[[#This Row],[国内送料]]</f>
        <v/>
      </c>
      <c r="U719" s="289">
        <f>ROUNDUP(商品マスタ[[#This Row],[仕入単価+国内送料]]/0.8,-1)</f>
        <v/>
      </c>
      <c r="V719" s="289">
        <f>商品マスタ[[#This Row],[海外定価
（20％）]]-商品マスタ[[#This Row],[仕入単価+国内送料]]</f>
        <v/>
      </c>
      <c r="W719" s="167">
        <f>ROUNDUP(商品マスタ[[#This Row],[仕入単価+国内送料]]/0.85,-1)</f>
        <v/>
      </c>
      <c r="X719" s="289">
        <f>商品マスタ[[#This Row],[国内定価
（15％）]]-商品マスタ[[#This Row],[仕入単価+国内送料]]</f>
        <v/>
      </c>
      <c r="Y719" s="139" t="n"/>
      <c r="Z719" s="167" t="n"/>
      <c r="AA719" s="167" t="n"/>
      <c r="AB719" s="167" t="n"/>
      <c r="AC719" s="293" t="n"/>
      <c r="AD719" s="167" t="n"/>
      <c r="AE719" s="167" t="n"/>
      <c r="AF719" s="167" t="n"/>
      <c r="AG719" s="144" t="n"/>
    </row>
    <row r="720" ht="18" customHeight="1" s="207">
      <c r="A720" s="166" t="n"/>
      <c r="B720" s="167" t="n"/>
      <c r="C720" s="167" t="n"/>
      <c r="D720" s="143">
        <f>"PRD_SNJ_"&amp;
_xlfn.XLOOKUP(商品マスタ[[#This Row],[仕入先]],テーブル1[仕入先名],テーブル1[仕入先コード],"XXX",0,1)&amp;
"_"&amp;
商品マスタ[[#This Row],[シリアル]]&amp;
"_"&amp;
TEXT(COUNTIFS(商品マスタ!$C$3:C720,商品マスタ[[#This Row],[仕入先]],商品マスタ!$E$3:E720,商品マスタ[[#This Row],[商品名]]), "00")</f>
        <v/>
      </c>
      <c r="E720" s="167" t="n"/>
      <c r="F720" s="167">
        <f>IF(COUNTIFS($C$3:C720,商品マスタ[[#This Row],[仕入先]],$E$3:E720,商品マスタ[[#This Row],[商品名]]) = 1, 1,0)</f>
        <v/>
      </c>
      <c r="G720" s="133">
        <f>TEXT(SUMIF($C$3:C720,商品マスタ[[#This Row],[仕入先]],$F$3:F720), "0000")</f>
        <v/>
      </c>
      <c r="H720" s="167" t="n"/>
      <c r="I720" s="167" t="n"/>
      <c r="J720" s="167" t="n"/>
      <c r="K720" s="167" t="n"/>
      <c r="L720" s="289" t="n"/>
      <c r="M720" s="157" t="n"/>
      <c r="N720" s="289" t="n"/>
      <c r="O720" s="290">
        <f>IF(COUNT(商品マスタ[[#This Row],[参考上代
（税込)]]) &gt; 0, (商品マスタ[[#This Row],[参考上代
（税込)]]-商品マスタ[[#This Row],[国内定価
（15％）]])/(商品マスタ[[#This Row],[参考上代
（税込)]]/1.08), "")</f>
        <v/>
      </c>
      <c r="P720" s="136" t="n">
        <v>0.1</v>
      </c>
      <c r="Q720" s="289">
        <f>商品マスタ[[#This Row],[仕入
単価]]*商品マスタ[[#This Row],[標準国内送料率]]</f>
        <v/>
      </c>
      <c r="R720" s="289" t="n"/>
      <c r="S720" s="289">
        <f>IF(ISBLANK(商品マスタ[[#This Row],[実績
国内送料]]),商品マスタ[[#This Row],[標準国内送料]],)</f>
        <v/>
      </c>
      <c r="T720" s="289">
        <f>商品マスタ[[#This Row],[仕入
単価]]+商品マスタ[[#This Row],[国内送料]]</f>
        <v/>
      </c>
      <c r="U720" s="289">
        <f>ROUNDUP(商品マスタ[[#This Row],[仕入単価+国内送料]]/0.8,-1)</f>
        <v/>
      </c>
      <c r="V720" s="289">
        <f>商品マスタ[[#This Row],[海外定価
（20％）]]-商品マスタ[[#This Row],[仕入単価+国内送料]]</f>
        <v/>
      </c>
      <c r="W720" s="167">
        <f>ROUNDUP(商品マスタ[[#This Row],[仕入単価+国内送料]]/0.85,-1)</f>
        <v/>
      </c>
      <c r="X720" s="289">
        <f>商品マスタ[[#This Row],[国内定価
（15％）]]-商品マスタ[[#This Row],[仕入単価+国内送料]]</f>
        <v/>
      </c>
      <c r="Y720" s="139" t="n"/>
      <c r="Z720" s="167" t="n"/>
      <c r="AA720" s="167" t="n"/>
      <c r="AB720" s="167" t="n"/>
      <c r="AC720" s="293" t="n"/>
      <c r="AD720" s="167" t="n"/>
      <c r="AE720" s="167" t="n"/>
      <c r="AF720" s="167" t="n"/>
      <c r="AG720" s="144" t="n"/>
    </row>
    <row r="721" ht="18" customHeight="1" s="207">
      <c r="A721" s="166" t="n"/>
      <c r="B721" s="167" t="n"/>
      <c r="C721" s="167" t="n"/>
      <c r="D721" s="143">
        <f>"PRD_SNJ_"&amp;
_xlfn.XLOOKUP(商品マスタ[[#This Row],[仕入先]],テーブル1[仕入先名],テーブル1[仕入先コード],"XXX",0,1)&amp;
"_"&amp;
商品マスタ[[#This Row],[シリアル]]&amp;
"_"&amp;
TEXT(COUNTIFS(商品マスタ!$C$3:C721,商品マスタ[[#This Row],[仕入先]],商品マスタ!$E$3:E721,商品マスタ[[#This Row],[商品名]]), "00")</f>
        <v/>
      </c>
      <c r="E721" s="167" t="n"/>
      <c r="F721" s="167">
        <f>IF(COUNTIFS($C$3:C721,商品マスタ[[#This Row],[仕入先]],$E$3:E721,商品マスタ[[#This Row],[商品名]]) = 1, 1,0)</f>
        <v/>
      </c>
      <c r="G721" s="133">
        <f>TEXT(SUMIF($C$3:C721,商品マスタ[[#This Row],[仕入先]],$F$3:F721), "0000")</f>
        <v/>
      </c>
      <c r="H721" s="167" t="n"/>
      <c r="I721" s="167" t="n"/>
      <c r="J721" s="167" t="n"/>
      <c r="K721" s="167" t="n"/>
      <c r="L721" s="289" t="n"/>
      <c r="M721" s="157" t="n"/>
      <c r="N721" s="289" t="n"/>
      <c r="O721" s="290">
        <f>IF(COUNT(商品マスタ[[#This Row],[参考上代
（税込)]]) &gt; 0, (商品マスタ[[#This Row],[参考上代
（税込)]]-商品マスタ[[#This Row],[国内定価
（15％）]])/(商品マスタ[[#This Row],[参考上代
（税込)]]/1.08), "")</f>
        <v/>
      </c>
      <c r="P721" s="136" t="n">
        <v>0.1</v>
      </c>
      <c r="Q721" s="289">
        <f>商品マスタ[[#This Row],[仕入
単価]]*商品マスタ[[#This Row],[標準国内送料率]]</f>
        <v/>
      </c>
      <c r="R721" s="289" t="n"/>
      <c r="S721" s="289">
        <f>IF(ISBLANK(商品マスタ[[#This Row],[実績
国内送料]]),商品マスタ[[#This Row],[標準国内送料]],)</f>
        <v/>
      </c>
      <c r="T721" s="289">
        <f>商品マスタ[[#This Row],[仕入
単価]]+商品マスタ[[#This Row],[国内送料]]</f>
        <v/>
      </c>
      <c r="U721" s="289">
        <f>ROUNDUP(商品マスタ[[#This Row],[仕入単価+国内送料]]/0.8,-1)</f>
        <v/>
      </c>
      <c r="V721" s="289">
        <f>商品マスタ[[#This Row],[海外定価
（20％）]]-商品マスタ[[#This Row],[仕入単価+国内送料]]</f>
        <v/>
      </c>
      <c r="W721" s="167">
        <f>ROUNDUP(商品マスタ[[#This Row],[仕入単価+国内送料]]/0.85,-1)</f>
        <v/>
      </c>
      <c r="X721" s="289">
        <f>商品マスタ[[#This Row],[国内定価
（15％）]]-商品マスタ[[#This Row],[仕入単価+国内送料]]</f>
        <v/>
      </c>
      <c r="Y721" s="139" t="n"/>
      <c r="Z721" s="167" t="n"/>
      <c r="AA721" s="167" t="n"/>
      <c r="AB721" s="167" t="n"/>
      <c r="AC721" s="293" t="n"/>
      <c r="AD721" s="167" t="n"/>
      <c r="AE721" s="167" t="n"/>
      <c r="AF721" s="167" t="n"/>
      <c r="AG721" s="144" t="n"/>
    </row>
    <row r="722" ht="18" customHeight="1" s="207">
      <c r="A722" s="166" t="n"/>
      <c r="B722" s="167" t="n"/>
      <c r="C722" s="167" t="n"/>
      <c r="D722" s="143">
        <f>"PRD_SNJ_"&amp;
_xlfn.XLOOKUP(商品マスタ[[#This Row],[仕入先]],テーブル1[仕入先名],テーブル1[仕入先コード],"XXX",0,1)&amp;
"_"&amp;
商品マスタ[[#This Row],[シリアル]]&amp;
"_"&amp;
TEXT(COUNTIFS(商品マスタ!$C$3:C722,商品マスタ[[#This Row],[仕入先]],商品マスタ!$E$3:E722,商品マスタ[[#This Row],[商品名]]), "00")</f>
        <v/>
      </c>
      <c r="E722" s="167" t="n"/>
      <c r="F722" s="167">
        <f>IF(COUNTIFS($C$3:C722,商品マスタ[[#This Row],[仕入先]],$E$3:E722,商品マスタ[[#This Row],[商品名]]) = 1, 1,0)</f>
        <v/>
      </c>
      <c r="G722" s="133">
        <f>TEXT(SUMIF($C$3:C722,商品マスタ[[#This Row],[仕入先]],$F$3:F722), "0000")</f>
        <v/>
      </c>
      <c r="H722" s="167" t="n"/>
      <c r="I722" s="167" t="n"/>
      <c r="J722" s="167" t="n"/>
      <c r="K722" s="167" t="n"/>
      <c r="L722" s="289" t="n"/>
      <c r="M722" s="157" t="n"/>
      <c r="N722" s="289" t="n"/>
      <c r="O722" s="290">
        <f>IF(COUNT(商品マスタ[[#This Row],[参考上代
（税込)]]) &gt; 0, (商品マスタ[[#This Row],[参考上代
（税込)]]-商品マスタ[[#This Row],[国内定価
（15％）]])/(商品マスタ[[#This Row],[参考上代
（税込)]]/1.08), "")</f>
        <v/>
      </c>
      <c r="P722" s="136" t="n">
        <v>0.1</v>
      </c>
      <c r="Q722" s="289">
        <f>商品マスタ[[#This Row],[仕入
単価]]*商品マスタ[[#This Row],[標準国内送料率]]</f>
        <v/>
      </c>
      <c r="R722" s="289" t="n"/>
      <c r="S722" s="289">
        <f>IF(ISBLANK(商品マスタ[[#This Row],[実績
国内送料]]),商品マスタ[[#This Row],[標準国内送料]],)</f>
        <v/>
      </c>
      <c r="T722" s="289">
        <f>商品マスタ[[#This Row],[仕入
単価]]+商品マスタ[[#This Row],[国内送料]]</f>
        <v/>
      </c>
      <c r="U722" s="289">
        <f>ROUNDUP(商品マスタ[[#This Row],[仕入単価+国内送料]]/0.8,-1)</f>
        <v/>
      </c>
      <c r="V722" s="289">
        <f>商品マスタ[[#This Row],[海外定価
（20％）]]-商品マスタ[[#This Row],[仕入単価+国内送料]]</f>
        <v/>
      </c>
      <c r="W722" s="167">
        <f>ROUNDUP(商品マスタ[[#This Row],[仕入単価+国内送料]]/0.85,-1)</f>
        <v/>
      </c>
      <c r="X722" s="289">
        <f>商品マスタ[[#This Row],[国内定価
（15％）]]-商品マスタ[[#This Row],[仕入単価+国内送料]]</f>
        <v/>
      </c>
      <c r="Y722" s="139" t="n"/>
      <c r="Z722" s="167" t="n"/>
      <c r="AA722" s="167" t="n"/>
      <c r="AB722" s="167" t="n"/>
      <c r="AC722" s="293" t="n"/>
      <c r="AD722" s="167" t="n"/>
      <c r="AE722" s="167" t="n"/>
      <c r="AF722" s="167" t="n"/>
      <c r="AG722" s="144" t="n"/>
    </row>
    <row r="723" ht="18" customHeight="1" s="207">
      <c r="A723" s="166" t="n"/>
      <c r="B723" s="167" t="n"/>
      <c r="C723" s="167" t="n"/>
      <c r="D723" s="143">
        <f>"PRD_SNJ_"&amp;
_xlfn.XLOOKUP(商品マスタ[[#This Row],[仕入先]],テーブル1[仕入先名],テーブル1[仕入先コード],"XXX",0,1)&amp;
"_"&amp;
商品マスタ[[#This Row],[シリアル]]&amp;
"_"&amp;
TEXT(COUNTIFS(商品マスタ!$C$3:C723,商品マスタ[[#This Row],[仕入先]],商品マスタ!$E$3:E723,商品マスタ[[#This Row],[商品名]]), "00")</f>
        <v/>
      </c>
      <c r="E723" s="167" t="n"/>
      <c r="F723" s="167">
        <f>IF(COUNTIFS($C$3:C723,商品マスタ[[#This Row],[仕入先]],$E$3:E723,商品マスタ[[#This Row],[商品名]]) = 1, 1,0)</f>
        <v/>
      </c>
      <c r="G723" s="133">
        <f>TEXT(SUMIF($C$3:C723,商品マスタ[[#This Row],[仕入先]],$F$3:F723), "0000")</f>
        <v/>
      </c>
      <c r="H723" s="167" t="n"/>
      <c r="I723" s="167" t="n"/>
      <c r="J723" s="167" t="n"/>
      <c r="K723" s="167" t="n"/>
      <c r="L723" s="289" t="n"/>
      <c r="M723" s="157" t="n"/>
      <c r="N723" s="289" t="n"/>
      <c r="O723" s="290">
        <f>IF(COUNT(商品マスタ[[#This Row],[参考上代
（税込)]]) &gt; 0, (商品マスタ[[#This Row],[参考上代
（税込)]]-商品マスタ[[#This Row],[国内定価
（15％）]])/(商品マスタ[[#This Row],[参考上代
（税込)]]/1.08), "")</f>
        <v/>
      </c>
      <c r="P723" s="136" t="n">
        <v>0.1</v>
      </c>
      <c r="Q723" s="289">
        <f>商品マスタ[[#This Row],[仕入
単価]]*商品マスタ[[#This Row],[標準国内送料率]]</f>
        <v/>
      </c>
      <c r="R723" s="289" t="n"/>
      <c r="S723" s="289">
        <f>IF(ISBLANK(商品マスタ[[#This Row],[実績
国内送料]]),商品マスタ[[#This Row],[標準国内送料]],)</f>
        <v/>
      </c>
      <c r="T723" s="289">
        <f>商品マスタ[[#This Row],[仕入
単価]]+商品マスタ[[#This Row],[国内送料]]</f>
        <v/>
      </c>
      <c r="U723" s="289">
        <f>ROUNDUP(商品マスタ[[#This Row],[仕入単価+国内送料]]/0.8,-1)</f>
        <v/>
      </c>
      <c r="V723" s="289">
        <f>商品マスタ[[#This Row],[海外定価
（20％）]]-商品マスタ[[#This Row],[仕入単価+国内送料]]</f>
        <v/>
      </c>
      <c r="W723" s="167">
        <f>ROUNDUP(商品マスタ[[#This Row],[仕入単価+国内送料]]/0.85,-1)</f>
        <v/>
      </c>
      <c r="X723" s="289">
        <f>商品マスタ[[#This Row],[国内定価
（15％）]]-商品マスタ[[#This Row],[仕入単価+国内送料]]</f>
        <v/>
      </c>
      <c r="Y723" s="139" t="n"/>
      <c r="Z723" s="167" t="n"/>
      <c r="AA723" s="167" t="n"/>
      <c r="AB723" s="167" t="n"/>
      <c r="AC723" s="293" t="n"/>
      <c r="AD723" s="167" t="n"/>
      <c r="AE723" s="167" t="n"/>
      <c r="AF723" s="167" t="n"/>
      <c r="AG723" s="144" t="n"/>
    </row>
    <row r="724" ht="18" customHeight="1" s="207">
      <c r="A724" s="166" t="n"/>
      <c r="B724" s="167" t="n"/>
      <c r="C724" s="167" t="n"/>
      <c r="D724" s="143">
        <f>"PRD_SNJ_"&amp;
_xlfn.XLOOKUP(商品マスタ[[#This Row],[仕入先]],テーブル1[仕入先名],テーブル1[仕入先コード],"XXX",0,1)&amp;
"_"&amp;
商品マスタ[[#This Row],[シリアル]]&amp;
"_"&amp;
TEXT(COUNTIFS(商品マスタ!$C$3:C724,商品マスタ[[#This Row],[仕入先]],商品マスタ!$E$3:E724,商品マスタ[[#This Row],[商品名]]), "00")</f>
        <v/>
      </c>
      <c r="E724" s="167" t="n"/>
      <c r="F724" s="167">
        <f>IF(COUNTIFS($C$3:C724,商品マスタ[[#This Row],[仕入先]],$E$3:E724,商品マスタ[[#This Row],[商品名]]) = 1, 1,0)</f>
        <v/>
      </c>
      <c r="G724" s="133">
        <f>TEXT(SUMIF($C$3:C724,商品マスタ[[#This Row],[仕入先]],$F$3:F724), "0000")</f>
        <v/>
      </c>
      <c r="H724" s="167" t="n"/>
      <c r="I724" s="167" t="n"/>
      <c r="J724" s="167" t="n"/>
      <c r="K724" s="167" t="n"/>
      <c r="L724" s="289" t="n"/>
      <c r="M724" s="157" t="n"/>
      <c r="N724" s="289" t="n"/>
      <c r="O724" s="290">
        <f>IF(COUNT(商品マスタ[[#This Row],[参考上代
（税込)]]) &gt; 0, (商品マスタ[[#This Row],[参考上代
（税込)]]-商品マスタ[[#This Row],[国内定価
（15％）]])/(商品マスタ[[#This Row],[参考上代
（税込)]]/1.08), "")</f>
        <v/>
      </c>
      <c r="P724" s="136" t="n">
        <v>0.1</v>
      </c>
      <c r="Q724" s="289">
        <f>商品マスタ[[#This Row],[仕入
単価]]*商品マスタ[[#This Row],[標準国内送料率]]</f>
        <v/>
      </c>
      <c r="R724" s="289" t="n"/>
      <c r="S724" s="289">
        <f>IF(ISBLANK(商品マスタ[[#This Row],[実績
国内送料]]),商品マスタ[[#This Row],[標準国内送料]],)</f>
        <v/>
      </c>
      <c r="T724" s="289">
        <f>商品マスタ[[#This Row],[仕入
単価]]+商品マスタ[[#This Row],[国内送料]]</f>
        <v/>
      </c>
      <c r="U724" s="289">
        <f>ROUNDUP(商品マスタ[[#This Row],[仕入単価+国内送料]]/0.8,-1)</f>
        <v/>
      </c>
      <c r="V724" s="289">
        <f>商品マスタ[[#This Row],[海外定価
（20％）]]-商品マスタ[[#This Row],[仕入単価+国内送料]]</f>
        <v/>
      </c>
      <c r="W724" s="167">
        <f>ROUNDUP(商品マスタ[[#This Row],[仕入単価+国内送料]]/0.85,-1)</f>
        <v/>
      </c>
      <c r="X724" s="289">
        <f>商品マスタ[[#This Row],[国内定価
（15％）]]-商品マスタ[[#This Row],[仕入単価+国内送料]]</f>
        <v/>
      </c>
      <c r="Y724" s="139" t="n"/>
      <c r="Z724" s="167" t="n"/>
      <c r="AA724" s="167" t="n"/>
      <c r="AB724" s="167" t="n"/>
      <c r="AC724" s="293" t="n"/>
      <c r="AD724" s="167" t="n"/>
      <c r="AE724" s="167" t="n"/>
      <c r="AF724" s="167" t="n"/>
      <c r="AG724" s="144" t="n"/>
    </row>
    <row r="725" ht="18" customHeight="1" s="207">
      <c r="A725" s="166" t="n"/>
      <c r="B725" s="167" t="n"/>
      <c r="C725" s="167" t="n"/>
      <c r="D725" s="143">
        <f>"PRD_SNJ_"&amp;
_xlfn.XLOOKUP(商品マスタ[[#This Row],[仕入先]],テーブル1[仕入先名],テーブル1[仕入先コード],"XXX",0,1)&amp;
"_"&amp;
商品マスタ[[#This Row],[シリアル]]&amp;
"_"&amp;
TEXT(COUNTIFS(商品マスタ!$C$3:C725,商品マスタ[[#This Row],[仕入先]],商品マスタ!$E$3:E725,商品マスタ[[#This Row],[商品名]]), "00")</f>
        <v/>
      </c>
      <c r="E725" s="167" t="n"/>
      <c r="F725" s="167">
        <f>IF(COUNTIFS($C$3:C725,商品マスタ[[#This Row],[仕入先]],$E$3:E725,商品マスタ[[#This Row],[商品名]]) = 1, 1,0)</f>
        <v/>
      </c>
      <c r="G725" s="133">
        <f>TEXT(SUMIF($C$3:C725,商品マスタ[[#This Row],[仕入先]],$F$3:F725), "0000")</f>
        <v/>
      </c>
      <c r="H725" s="167" t="n"/>
      <c r="I725" s="167" t="n"/>
      <c r="J725" s="167" t="n"/>
      <c r="K725" s="167" t="n"/>
      <c r="L725" s="289" t="n"/>
      <c r="M725" s="157" t="n"/>
      <c r="N725" s="289" t="n"/>
      <c r="O725" s="290">
        <f>IF(COUNT(商品マスタ[[#This Row],[参考上代
（税込)]]) &gt; 0, (商品マスタ[[#This Row],[参考上代
（税込)]]-商品マスタ[[#This Row],[国内定価
（15％）]])/(商品マスタ[[#This Row],[参考上代
（税込)]]/1.08), "")</f>
        <v/>
      </c>
      <c r="P725" s="136" t="n">
        <v>0.1</v>
      </c>
      <c r="Q725" s="289">
        <f>商品マスタ[[#This Row],[仕入
単価]]*商品マスタ[[#This Row],[標準国内送料率]]</f>
        <v/>
      </c>
      <c r="R725" s="289" t="n"/>
      <c r="S725" s="289">
        <f>IF(ISBLANK(商品マスタ[[#This Row],[実績
国内送料]]),商品マスタ[[#This Row],[標準国内送料]],)</f>
        <v/>
      </c>
      <c r="T725" s="289">
        <f>商品マスタ[[#This Row],[仕入
単価]]+商品マスタ[[#This Row],[国内送料]]</f>
        <v/>
      </c>
      <c r="U725" s="289">
        <f>ROUNDUP(商品マスタ[[#This Row],[仕入単価+国内送料]]/0.8,-1)</f>
        <v/>
      </c>
      <c r="V725" s="289">
        <f>商品マスタ[[#This Row],[海外定価
（20％）]]-商品マスタ[[#This Row],[仕入単価+国内送料]]</f>
        <v/>
      </c>
      <c r="W725" s="167">
        <f>ROUNDUP(商品マスタ[[#This Row],[仕入単価+国内送料]]/0.85,-1)</f>
        <v/>
      </c>
      <c r="X725" s="289">
        <f>商品マスタ[[#This Row],[国内定価
（15％）]]-商品マスタ[[#This Row],[仕入単価+国内送料]]</f>
        <v/>
      </c>
      <c r="Y725" s="139" t="n"/>
      <c r="Z725" s="167" t="n"/>
      <c r="AA725" s="167" t="n"/>
      <c r="AB725" s="167" t="n"/>
      <c r="AC725" s="293" t="n"/>
      <c r="AD725" s="167" t="n"/>
      <c r="AE725" s="167" t="n"/>
      <c r="AF725" s="167" t="n"/>
      <c r="AG725" s="144" t="n"/>
    </row>
    <row r="726" ht="18" customHeight="1" s="207">
      <c r="A726" s="166" t="n"/>
      <c r="B726" s="167" t="n"/>
      <c r="C726" s="167" t="n"/>
      <c r="D726" s="143">
        <f>"PRD_SNJ_"&amp;
_xlfn.XLOOKUP(商品マスタ[[#This Row],[仕入先]],テーブル1[仕入先名],テーブル1[仕入先コード],"XXX",0,1)&amp;
"_"&amp;
商品マスタ[[#This Row],[シリアル]]&amp;
"_"&amp;
TEXT(COUNTIFS(商品マスタ!$C$3:C726,商品マスタ[[#This Row],[仕入先]],商品マスタ!$E$3:E726,商品マスタ[[#This Row],[商品名]]), "00")</f>
        <v/>
      </c>
      <c r="E726" s="167" t="n"/>
      <c r="F726" s="167">
        <f>IF(COUNTIFS($C$3:C726,商品マスタ[[#This Row],[仕入先]],$E$3:E726,商品マスタ[[#This Row],[商品名]]) = 1, 1,0)</f>
        <v/>
      </c>
      <c r="G726" s="133">
        <f>TEXT(SUMIF($C$3:C726,商品マスタ[[#This Row],[仕入先]],$F$3:F726), "0000")</f>
        <v/>
      </c>
      <c r="H726" s="167" t="n"/>
      <c r="I726" s="167" t="n"/>
      <c r="J726" s="167" t="n"/>
      <c r="K726" s="167" t="n"/>
      <c r="L726" s="289" t="n"/>
      <c r="M726" s="157" t="n"/>
      <c r="N726" s="289" t="n"/>
      <c r="O726" s="290">
        <f>IF(COUNT(商品マスタ[[#This Row],[参考上代
（税込)]]) &gt; 0, (商品マスタ[[#This Row],[参考上代
（税込)]]-商品マスタ[[#This Row],[国内定価
（15％）]])/(商品マスタ[[#This Row],[参考上代
（税込)]]/1.08), "")</f>
        <v/>
      </c>
      <c r="P726" s="136" t="n">
        <v>0.1</v>
      </c>
      <c r="Q726" s="289">
        <f>商品マスタ[[#This Row],[仕入
単価]]*商品マスタ[[#This Row],[標準国内送料率]]</f>
        <v/>
      </c>
      <c r="R726" s="289" t="n"/>
      <c r="S726" s="289">
        <f>IF(ISBLANK(商品マスタ[[#This Row],[実績
国内送料]]),商品マスタ[[#This Row],[標準国内送料]],)</f>
        <v/>
      </c>
      <c r="T726" s="289">
        <f>商品マスタ[[#This Row],[仕入
単価]]+商品マスタ[[#This Row],[国内送料]]</f>
        <v/>
      </c>
      <c r="U726" s="289">
        <f>ROUNDUP(商品マスタ[[#This Row],[仕入単価+国内送料]]/0.8,-1)</f>
        <v/>
      </c>
      <c r="V726" s="289">
        <f>商品マスタ[[#This Row],[海外定価
（20％）]]-商品マスタ[[#This Row],[仕入単価+国内送料]]</f>
        <v/>
      </c>
      <c r="W726" s="167">
        <f>ROUNDUP(商品マスタ[[#This Row],[仕入単価+国内送料]]/0.85,-1)</f>
        <v/>
      </c>
      <c r="X726" s="289">
        <f>商品マスタ[[#This Row],[国内定価
（15％）]]-商品マスタ[[#This Row],[仕入単価+国内送料]]</f>
        <v/>
      </c>
      <c r="Y726" s="139" t="n"/>
      <c r="Z726" s="167" t="n"/>
      <c r="AA726" s="167" t="n"/>
      <c r="AB726" s="167" t="n"/>
      <c r="AC726" s="293" t="n"/>
      <c r="AD726" s="167" t="n"/>
      <c r="AE726" s="167" t="n"/>
      <c r="AF726" s="167" t="n"/>
      <c r="AG726" s="144" t="n"/>
    </row>
    <row r="727" ht="18" customHeight="1" s="207">
      <c r="A727" s="166" t="n"/>
      <c r="B727" s="167" t="n"/>
      <c r="C727" s="167" t="n"/>
      <c r="D727" s="143">
        <f>"PRD_SNJ_"&amp;
_xlfn.XLOOKUP(商品マスタ[[#This Row],[仕入先]],テーブル1[仕入先名],テーブル1[仕入先コード],"XXX",0,1)&amp;
"_"&amp;
商品マスタ[[#This Row],[シリアル]]&amp;
"_"&amp;
TEXT(COUNTIFS(商品マスタ!$C$3:C727,商品マスタ[[#This Row],[仕入先]],商品マスタ!$E$3:E727,商品マスタ[[#This Row],[商品名]]), "00")</f>
        <v/>
      </c>
      <c r="E727" s="167" t="n"/>
      <c r="F727" s="167">
        <f>IF(COUNTIFS($C$3:C727,商品マスタ[[#This Row],[仕入先]],$E$3:E727,商品マスタ[[#This Row],[商品名]]) = 1, 1,0)</f>
        <v/>
      </c>
      <c r="G727" s="133">
        <f>TEXT(SUMIF($C$3:C727,商品マスタ[[#This Row],[仕入先]],$F$3:F727), "0000")</f>
        <v/>
      </c>
      <c r="H727" s="167" t="n"/>
      <c r="I727" s="167" t="n"/>
      <c r="J727" s="167" t="n"/>
      <c r="K727" s="167" t="n"/>
      <c r="L727" s="289" t="n"/>
      <c r="M727" s="157" t="n"/>
      <c r="N727" s="289" t="n"/>
      <c r="O727" s="290">
        <f>IF(COUNT(商品マスタ[[#This Row],[参考上代
（税込)]]) &gt; 0, (商品マスタ[[#This Row],[参考上代
（税込)]]-商品マスタ[[#This Row],[国内定価
（15％）]])/(商品マスタ[[#This Row],[参考上代
（税込)]]/1.08), "")</f>
        <v/>
      </c>
      <c r="P727" s="136" t="n">
        <v>0.1</v>
      </c>
      <c r="Q727" s="289">
        <f>商品マスタ[[#This Row],[仕入
単価]]*商品マスタ[[#This Row],[標準国内送料率]]</f>
        <v/>
      </c>
      <c r="R727" s="289" t="n"/>
      <c r="S727" s="289">
        <f>IF(ISBLANK(商品マスタ[[#This Row],[実績
国内送料]]),商品マスタ[[#This Row],[標準国内送料]],)</f>
        <v/>
      </c>
      <c r="T727" s="289">
        <f>商品マスタ[[#This Row],[仕入
単価]]+商品マスタ[[#This Row],[国内送料]]</f>
        <v/>
      </c>
      <c r="U727" s="289">
        <f>ROUNDUP(商品マスタ[[#This Row],[仕入単価+国内送料]]/0.8,-1)</f>
        <v/>
      </c>
      <c r="V727" s="289">
        <f>商品マスタ[[#This Row],[海外定価
（20％）]]-商品マスタ[[#This Row],[仕入単価+国内送料]]</f>
        <v/>
      </c>
      <c r="W727" s="167">
        <f>ROUNDUP(商品マスタ[[#This Row],[仕入単価+国内送料]]/0.85,-1)</f>
        <v/>
      </c>
      <c r="X727" s="289">
        <f>商品マスタ[[#This Row],[国内定価
（15％）]]-商品マスタ[[#This Row],[仕入単価+国内送料]]</f>
        <v/>
      </c>
      <c r="Y727" s="139" t="n"/>
      <c r="Z727" s="167" t="n"/>
      <c r="AA727" s="167" t="n"/>
      <c r="AB727" s="167" t="n"/>
      <c r="AC727" s="293" t="n"/>
      <c r="AD727" s="167" t="n"/>
      <c r="AE727" s="167" t="n"/>
      <c r="AF727" s="167" t="n"/>
      <c r="AG727" s="144" t="n"/>
    </row>
    <row r="728" ht="18" customHeight="1" s="207">
      <c r="A728" s="166" t="n"/>
      <c r="B728" s="167" t="n"/>
      <c r="C728" s="167" t="n"/>
      <c r="D728" s="143">
        <f>"PRD_SNJ_"&amp;
_xlfn.XLOOKUP(商品マスタ[[#This Row],[仕入先]],テーブル1[仕入先名],テーブル1[仕入先コード],"XXX",0,1)&amp;
"_"&amp;
商品マスタ[[#This Row],[シリアル]]&amp;
"_"&amp;
TEXT(COUNTIFS(商品マスタ!$C$3:C728,商品マスタ[[#This Row],[仕入先]],商品マスタ!$E$3:E728,商品マスタ[[#This Row],[商品名]]), "00")</f>
        <v/>
      </c>
      <c r="E728" s="167" t="n"/>
      <c r="F728" s="167">
        <f>IF(COUNTIFS($C$3:C728,商品マスタ[[#This Row],[仕入先]],$E$3:E728,商品マスタ[[#This Row],[商品名]]) = 1, 1,0)</f>
        <v/>
      </c>
      <c r="G728" s="133">
        <f>TEXT(SUMIF($C$3:C728,商品マスタ[[#This Row],[仕入先]],$F$3:F728), "0000")</f>
        <v/>
      </c>
      <c r="H728" s="167" t="n"/>
      <c r="I728" s="167" t="n"/>
      <c r="J728" s="167" t="n"/>
      <c r="K728" s="167" t="n"/>
      <c r="L728" s="289" t="n"/>
      <c r="M728" s="157" t="n"/>
      <c r="N728" s="289" t="n"/>
      <c r="O728" s="290">
        <f>IF(COUNT(商品マスタ[[#This Row],[参考上代
（税込)]]) &gt; 0, (商品マスタ[[#This Row],[参考上代
（税込)]]-商品マスタ[[#This Row],[国内定価
（15％）]])/(商品マスタ[[#This Row],[参考上代
（税込)]]/1.08), "")</f>
        <v/>
      </c>
      <c r="P728" s="136" t="n">
        <v>0.1</v>
      </c>
      <c r="Q728" s="289">
        <f>商品マスタ[[#This Row],[仕入
単価]]*商品マスタ[[#This Row],[標準国内送料率]]</f>
        <v/>
      </c>
      <c r="R728" s="289" t="n"/>
      <c r="S728" s="289">
        <f>IF(ISBLANK(商品マスタ[[#This Row],[実績
国内送料]]),商品マスタ[[#This Row],[標準国内送料]],)</f>
        <v/>
      </c>
      <c r="T728" s="289">
        <f>商品マスタ[[#This Row],[仕入
単価]]+商品マスタ[[#This Row],[国内送料]]</f>
        <v/>
      </c>
      <c r="U728" s="289">
        <f>ROUNDUP(商品マスタ[[#This Row],[仕入単価+国内送料]]/0.8,-1)</f>
        <v/>
      </c>
      <c r="V728" s="289">
        <f>商品マスタ[[#This Row],[海外定価
（20％）]]-商品マスタ[[#This Row],[仕入単価+国内送料]]</f>
        <v/>
      </c>
      <c r="W728" s="167">
        <f>ROUNDUP(商品マスタ[[#This Row],[仕入単価+国内送料]]/0.85,-1)</f>
        <v/>
      </c>
      <c r="X728" s="289">
        <f>商品マスタ[[#This Row],[国内定価
（15％）]]-商品マスタ[[#This Row],[仕入単価+国内送料]]</f>
        <v/>
      </c>
      <c r="Y728" s="139" t="n"/>
      <c r="Z728" s="167" t="n"/>
      <c r="AA728" s="167" t="n"/>
      <c r="AB728" s="167" t="n"/>
      <c r="AC728" s="293" t="n"/>
      <c r="AD728" s="167" t="n"/>
      <c r="AE728" s="167" t="n"/>
      <c r="AF728" s="167" t="n"/>
      <c r="AG728" s="144" t="n"/>
    </row>
    <row r="729" ht="18" customHeight="1" s="207">
      <c r="A729" s="166" t="n"/>
      <c r="B729" s="167" t="n"/>
      <c r="C729" s="167" t="n"/>
      <c r="D729" s="143">
        <f>"PRD_SNJ_"&amp;
_xlfn.XLOOKUP(商品マスタ[[#This Row],[仕入先]],テーブル1[仕入先名],テーブル1[仕入先コード],"XXX",0,1)&amp;
"_"&amp;
商品マスタ[[#This Row],[シリアル]]&amp;
"_"&amp;
TEXT(COUNTIFS(商品マスタ!$C$3:C729,商品マスタ[[#This Row],[仕入先]],商品マスタ!$E$3:E729,商品マスタ[[#This Row],[商品名]]), "00")</f>
        <v/>
      </c>
      <c r="E729" s="167" t="n"/>
      <c r="F729" s="167">
        <f>IF(COUNTIFS($C$3:C729,商品マスタ[[#This Row],[仕入先]],$E$3:E729,商品マスタ[[#This Row],[商品名]]) = 1, 1,0)</f>
        <v/>
      </c>
      <c r="G729" s="133">
        <f>TEXT(SUMIF($C$3:C729,商品マスタ[[#This Row],[仕入先]],$F$3:F729), "0000")</f>
        <v/>
      </c>
      <c r="H729" s="167" t="n"/>
      <c r="I729" s="167" t="n"/>
      <c r="J729" s="167" t="n"/>
      <c r="K729" s="167" t="n"/>
      <c r="L729" s="289" t="n"/>
      <c r="M729" s="157" t="n"/>
      <c r="N729" s="289" t="n"/>
      <c r="O729" s="290">
        <f>IF(COUNT(商品マスタ[[#This Row],[参考上代
（税込)]]) &gt; 0, (商品マスタ[[#This Row],[参考上代
（税込)]]-商品マスタ[[#This Row],[国内定価
（15％）]])/(商品マスタ[[#This Row],[参考上代
（税込)]]/1.08), "")</f>
        <v/>
      </c>
      <c r="P729" s="136" t="n">
        <v>0.1</v>
      </c>
      <c r="Q729" s="289">
        <f>商品マスタ[[#This Row],[仕入
単価]]*商品マスタ[[#This Row],[標準国内送料率]]</f>
        <v/>
      </c>
      <c r="R729" s="289" t="n"/>
      <c r="S729" s="289">
        <f>IF(ISBLANK(商品マスタ[[#This Row],[実績
国内送料]]),商品マスタ[[#This Row],[標準国内送料]],)</f>
        <v/>
      </c>
      <c r="T729" s="289">
        <f>商品マスタ[[#This Row],[仕入
単価]]+商品マスタ[[#This Row],[国内送料]]</f>
        <v/>
      </c>
      <c r="U729" s="289">
        <f>ROUNDUP(商品マスタ[[#This Row],[仕入単価+国内送料]]/0.8,-1)</f>
        <v/>
      </c>
      <c r="V729" s="289">
        <f>商品マスタ[[#This Row],[海外定価
（20％）]]-商品マスタ[[#This Row],[仕入単価+国内送料]]</f>
        <v/>
      </c>
      <c r="W729" s="167">
        <f>ROUNDUP(商品マスタ[[#This Row],[仕入単価+国内送料]]/0.85,-1)</f>
        <v/>
      </c>
      <c r="X729" s="289">
        <f>商品マスタ[[#This Row],[国内定価
（15％）]]-商品マスタ[[#This Row],[仕入単価+国内送料]]</f>
        <v/>
      </c>
      <c r="Y729" s="139" t="n"/>
      <c r="Z729" s="167" t="n"/>
      <c r="AA729" s="167" t="n"/>
      <c r="AB729" s="167" t="n"/>
      <c r="AC729" s="293" t="n"/>
      <c r="AD729" s="167" t="n"/>
      <c r="AE729" s="167" t="n"/>
      <c r="AF729" s="167" t="n"/>
      <c r="AG729" s="144" t="n"/>
    </row>
    <row r="730" ht="18" customHeight="1" s="207">
      <c r="A730" s="166" t="n"/>
      <c r="B730" s="167" t="n"/>
      <c r="C730" s="167" t="n"/>
      <c r="D730" s="143">
        <f>"PRD_SNJ_"&amp;
_xlfn.XLOOKUP(商品マスタ[[#This Row],[仕入先]],テーブル1[仕入先名],テーブル1[仕入先コード],"XXX",0,1)&amp;
"_"&amp;
商品マスタ[[#This Row],[シリアル]]&amp;
"_"&amp;
TEXT(COUNTIFS(商品マスタ!$C$3:C730,商品マスタ[[#This Row],[仕入先]],商品マスタ!$E$3:E730,商品マスタ[[#This Row],[商品名]]), "00")</f>
        <v/>
      </c>
      <c r="E730" s="167" t="n"/>
      <c r="F730" s="167">
        <f>IF(COUNTIFS($C$3:C730,商品マスタ[[#This Row],[仕入先]],$E$3:E730,商品マスタ[[#This Row],[商品名]]) = 1, 1,0)</f>
        <v/>
      </c>
      <c r="G730" s="133">
        <f>TEXT(SUMIF($C$3:C730,商品マスタ[[#This Row],[仕入先]],$F$3:F730), "0000")</f>
        <v/>
      </c>
      <c r="H730" s="167" t="n"/>
      <c r="I730" s="167" t="n"/>
      <c r="J730" s="167" t="n"/>
      <c r="K730" s="167" t="n"/>
      <c r="L730" s="289" t="n"/>
      <c r="M730" s="157" t="n"/>
      <c r="N730" s="289" t="n"/>
      <c r="O730" s="290">
        <f>IF(COUNT(商品マスタ[[#This Row],[参考上代
（税込)]]) &gt; 0, (商品マスタ[[#This Row],[参考上代
（税込)]]-商品マスタ[[#This Row],[国内定価
（15％）]])/(商品マスタ[[#This Row],[参考上代
（税込)]]/1.08), "")</f>
        <v/>
      </c>
      <c r="P730" s="136" t="n">
        <v>0.1</v>
      </c>
      <c r="Q730" s="289">
        <f>商品マスタ[[#This Row],[仕入
単価]]*商品マスタ[[#This Row],[標準国内送料率]]</f>
        <v/>
      </c>
      <c r="R730" s="289" t="n"/>
      <c r="S730" s="289">
        <f>IF(ISBLANK(商品マスタ[[#This Row],[実績
国内送料]]),商品マスタ[[#This Row],[標準国内送料]],)</f>
        <v/>
      </c>
      <c r="T730" s="289">
        <f>商品マスタ[[#This Row],[仕入
単価]]+商品マスタ[[#This Row],[国内送料]]</f>
        <v/>
      </c>
      <c r="U730" s="289">
        <f>ROUNDUP(商品マスタ[[#This Row],[仕入単価+国内送料]]/0.8,-1)</f>
        <v/>
      </c>
      <c r="V730" s="289">
        <f>商品マスタ[[#This Row],[海外定価
（20％）]]-商品マスタ[[#This Row],[仕入単価+国内送料]]</f>
        <v/>
      </c>
      <c r="W730" s="167">
        <f>ROUNDUP(商品マスタ[[#This Row],[仕入単価+国内送料]]/0.85,-1)</f>
        <v/>
      </c>
      <c r="X730" s="289">
        <f>商品マスタ[[#This Row],[国内定価
（15％）]]-商品マスタ[[#This Row],[仕入単価+国内送料]]</f>
        <v/>
      </c>
      <c r="Y730" s="139" t="n"/>
      <c r="Z730" s="167" t="n"/>
      <c r="AA730" s="167" t="n"/>
      <c r="AB730" s="167" t="n"/>
      <c r="AC730" s="293" t="n"/>
      <c r="AD730" s="167" t="n"/>
      <c r="AE730" s="167" t="n"/>
      <c r="AF730" s="167" t="n"/>
      <c r="AG730" s="144" t="n"/>
    </row>
    <row r="731" ht="18" customHeight="1" s="207">
      <c r="A731" s="166" t="n"/>
      <c r="B731" s="167" t="n"/>
      <c r="C731" s="167" t="n"/>
      <c r="D731" s="143">
        <f>"PRD_SNJ_"&amp;
_xlfn.XLOOKUP(商品マスタ[[#This Row],[仕入先]],テーブル1[仕入先名],テーブル1[仕入先コード],"XXX",0,1)&amp;
"_"&amp;
商品マスタ[[#This Row],[シリアル]]&amp;
"_"&amp;
TEXT(COUNTIFS(商品マスタ!$C$3:C731,商品マスタ[[#This Row],[仕入先]],商品マスタ!$E$3:E731,商品マスタ[[#This Row],[商品名]]), "00")</f>
        <v/>
      </c>
      <c r="E731" s="167" t="n"/>
      <c r="F731" s="167">
        <f>IF(COUNTIFS($C$3:C731,商品マスタ[[#This Row],[仕入先]],$E$3:E731,商品マスタ[[#This Row],[商品名]]) = 1, 1,0)</f>
        <v/>
      </c>
      <c r="G731" s="133">
        <f>TEXT(SUMIF($C$3:C731,商品マスタ[[#This Row],[仕入先]],$F$3:F731), "0000")</f>
        <v/>
      </c>
      <c r="H731" s="167" t="n"/>
      <c r="I731" s="167" t="n"/>
      <c r="J731" s="167" t="n"/>
      <c r="K731" s="167" t="n"/>
      <c r="L731" s="289" t="n"/>
      <c r="M731" s="157" t="n"/>
      <c r="N731" s="289" t="n"/>
      <c r="O731" s="290">
        <f>IF(COUNT(商品マスタ[[#This Row],[参考上代
（税込)]]) &gt; 0, (商品マスタ[[#This Row],[参考上代
（税込)]]-商品マスタ[[#This Row],[国内定価
（15％）]])/(商品マスタ[[#This Row],[参考上代
（税込)]]/1.08), "")</f>
        <v/>
      </c>
      <c r="P731" s="136" t="n">
        <v>0.1</v>
      </c>
      <c r="Q731" s="289">
        <f>商品マスタ[[#This Row],[仕入
単価]]*商品マスタ[[#This Row],[標準国内送料率]]</f>
        <v/>
      </c>
      <c r="R731" s="289" t="n"/>
      <c r="S731" s="289">
        <f>IF(ISBLANK(商品マスタ[[#This Row],[実績
国内送料]]),商品マスタ[[#This Row],[標準国内送料]],)</f>
        <v/>
      </c>
      <c r="T731" s="289">
        <f>商品マスタ[[#This Row],[仕入
単価]]+商品マスタ[[#This Row],[国内送料]]</f>
        <v/>
      </c>
      <c r="U731" s="289">
        <f>ROUNDUP(商品マスタ[[#This Row],[仕入単価+国内送料]]/0.8,-1)</f>
        <v/>
      </c>
      <c r="V731" s="289">
        <f>商品マスタ[[#This Row],[海外定価
（20％）]]-商品マスタ[[#This Row],[仕入単価+国内送料]]</f>
        <v/>
      </c>
      <c r="W731" s="167">
        <f>ROUNDUP(商品マスタ[[#This Row],[仕入単価+国内送料]]/0.85,-1)</f>
        <v/>
      </c>
      <c r="X731" s="289">
        <f>商品マスタ[[#This Row],[国内定価
（15％）]]-商品マスタ[[#This Row],[仕入単価+国内送料]]</f>
        <v/>
      </c>
      <c r="Y731" s="139" t="n"/>
      <c r="Z731" s="167" t="n"/>
      <c r="AA731" s="167" t="n"/>
      <c r="AB731" s="167" t="n"/>
      <c r="AC731" s="293" t="n"/>
      <c r="AD731" s="167" t="n"/>
      <c r="AE731" s="167" t="n"/>
      <c r="AF731" s="167" t="n"/>
      <c r="AG731" s="144" t="n"/>
    </row>
    <row r="732" ht="18" customHeight="1" s="207">
      <c r="A732" s="166" t="n"/>
      <c r="B732" s="167" t="n"/>
      <c r="C732" s="167" t="n"/>
      <c r="D732" s="143">
        <f>"PRD_SNJ_"&amp;
_xlfn.XLOOKUP(商品マスタ[[#This Row],[仕入先]],テーブル1[仕入先名],テーブル1[仕入先コード],"XXX",0,1)&amp;
"_"&amp;
商品マスタ[[#This Row],[シリアル]]&amp;
"_"&amp;
TEXT(COUNTIFS(商品マスタ!$C$3:C732,商品マスタ[[#This Row],[仕入先]],商品マスタ!$E$3:E732,商品マスタ[[#This Row],[商品名]]), "00")</f>
        <v/>
      </c>
      <c r="E732" s="167" t="n"/>
      <c r="F732" s="167">
        <f>IF(COUNTIFS($C$3:C732,商品マスタ[[#This Row],[仕入先]],$E$3:E732,商品マスタ[[#This Row],[商品名]]) = 1, 1,0)</f>
        <v/>
      </c>
      <c r="G732" s="133">
        <f>TEXT(SUMIF($C$3:C732,商品マスタ[[#This Row],[仕入先]],$F$3:F732), "0000")</f>
        <v/>
      </c>
      <c r="H732" s="167" t="n"/>
      <c r="I732" s="167" t="n"/>
      <c r="J732" s="167" t="n"/>
      <c r="K732" s="167" t="n"/>
      <c r="L732" s="289" t="n"/>
      <c r="M732" s="157" t="n"/>
      <c r="N732" s="289" t="n"/>
      <c r="O732" s="290">
        <f>IF(COUNT(商品マスタ[[#This Row],[参考上代
（税込)]]) &gt; 0, (商品マスタ[[#This Row],[参考上代
（税込)]]-商品マスタ[[#This Row],[国内定価
（15％）]])/(商品マスタ[[#This Row],[参考上代
（税込)]]/1.08), "")</f>
        <v/>
      </c>
      <c r="P732" s="136" t="n">
        <v>0.1</v>
      </c>
      <c r="Q732" s="289">
        <f>商品マスタ[[#This Row],[仕入
単価]]*商品マスタ[[#This Row],[標準国内送料率]]</f>
        <v/>
      </c>
      <c r="R732" s="289" t="n"/>
      <c r="S732" s="289">
        <f>IF(ISBLANK(商品マスタ[[#This Row],[実績
国内送料]]),商品マスタ[[#This Row],[標準国内送料]],)</f>
        <v/>
      </c>
      <c r="T732" s="289">
        <f>商品マスタ[[#This Row],[仕入
単価]]+商品マスタ[[#This Row],[国内送料]]</f>
        <v/>
      </c>
      <c r="U732" s="289">
        <f>ROUNDUP(商品マスタ[[#This Row],[仕入単価+国内送料]]/0.8,-1)</f>
        <v/>
      </c>
      <c r="V732" s="289">
        <f>商品マスタ[[#This Row],[海外定価
（20％）]]-商品マスタ[[#This Row],[仕入単価+国内送料]]</f>
        <v/>
      </c>
      <c r="W732" s="167">
        <f>ROUNDUP(商品マスタ[[#This Row],[仕入単価+国内送料]]/0.85,-1)</f>
        <v/>
      </c>
      <c r="X732" s="289">
        <f>商品マスタ[[#This Row],[国内定価
（15％）]]-商品マスタ[[#This Row],[仕入単価+国内送料]]</f>
        <v/>
      </c>
      <c r="Y732" s="139" t="n"/>
      <c r="Z732" s="167" t="n"/>
      <c r="AA732" s="167" t="n"/>
      <c r="AB732" s="167" t="n"/>
      <c r="AC732" s="293" t="n"/>
      <c r="AD732" s="167" t="n"/>
      <c r="AE732" s="167" t="n"/>
      <c r="AF732" s="167" t="n"/>
      <c r="AG732" s="144" t="n"/>
    </row>
    <row r="733" ht="18" customHeight="1" s="207">
      <c r="A733" s="166" t="n"/>
      <c r="B733" s="167" t="n"/>
      <c r="C733" s="167" t="n"/>
      <c r="D733" s="143">
        <f>"PRD_SNJ_"&amp;
_xlfn.XLOOKUP(商品マスタ[[#This Row],[仕入先]],テーブル1[仕入先名],テーブル1[仕入先コード],"XXX",0,1)&amp;
"_"&amp;
商品マスタ[[#This Row],[シリアル]]&amp;
"_"&amp;
TEXT(COUNTIFS(商品マスタ!$C$3:C733,商品マスタ[[#This Row],[仕入先]],商品マスタ!$E$3:E733,商品マスタ[[#This Row],[商品名]]), "00")</f>
        <v/>
      </c>
      <c r="E733" s="167" t="n"/>
      <c r="F733" s="167">
        <f>IF(COUNTIFS($C$3:C733,商品マスタ[[#This Row],[仕入先]],$E$3:E733,商品マスタ[[#This Row],[商品名]]) = 1, 1,0)</f>
        <v/>
      </c>
      <c r="G733" s="133">
        <f>TEXT(SUMIF($C$3:C733,商品マスタ[[#This Row],[仕入先]],$F$3:F733), "0000")</f>
        <v/>
      </c>
      <c r="H733" s="167" t="n"/>
      <c r="I733" s="167" t="n"/>
      <c r="J733" s="167" t="n"/>
      <c r="K733" s="167" t="n"/>
      <c r="L733" s="289" t="n"/>
      <c r="M733" s="157" t="n"/>
      <c r="N733" s="289" t="n"/>
      <c r="O733" s="290">
        <f>IF(COUNT(商品マスタ[[#This Row],[参考上代
（税込)]]) &gt; 0, (商品マスタ[[#This Row],[参考上代
（税込)]]-商品マスタ[[#This Row],[国内定価
（15％）]])/(商品マスタ[[#This Row],[参考上代
（税込)]]/1.08), "")</f>
        <v/>
      </c>
      <c r="P733" s="136" t="n">
        <v>0.1</v>
      </c>
      <c r="Q733" s="289">
        <f>商品マスタ[[#This Row],[仕入
単価]]*商品マスタ[[#This Row],[標準国内送料率]]</f>
        <v/>
      </c>
      <c r="R733" s="289" t="n"/>
      <c r="S733" s="289">
        <f>IF(ISBLANK(商品マスタ[[#This Row],[実績
国内送料]]),商品マスタ[[#This Row],[標準国内送料]],)</f>
        <v/>
      </c>
      <c r="T733" s="289">
        <f>商品マスタ[[#This Row],[仕入
単価]]+商品マスタ[[#This Row],[国内送料]]</f>
        <v/>
      </c>
      <c r="U733" s="289">
        <f>ROUNDUP(商品マスタ[[#This Row],[仕入単価+国内送料]]/0.8,-1)</f>
        <v/>
      </c>
      <c r="V733" s="289">
        <f>商品マスタ[[#This Row],[海外定価
（20％）]]-商品マスタ[[#This Row],[仕入単価+国内送料]]</f>
        <v/>
      </c>
      <c r="W733" s="167">
        <f>ROUNDUP(商品マスタ[[#This Row],[仕入単価+国内送料]]/0.85,-1)</f>
        <v/>
      </c>
      <c r="X733" s="289">
        <f>商品マスタ[[#This Row],[国内定価
（15％）]]-商品マスタ[[#This Row],[仕入単価+国内送料]]</f>
        <v/>
      </c>
      <c r="Y733" s="139" t="n"/>
      <c r="Z733" s="167" t="n"/>
      <c r="AA733" s="167" t="n"/>
      <c r="AB733" s="167" t="n"/>
      <c r="AC733" s="293" t="n"/>
      <c r="AD733" s="167" t="n"/>
      <c r="AE733" s="167" t="n"/>
      <c r="AF733" s="167" t="n"/>
      <c r="AG733" s="144" t="n"/>
    </row>
    <row r="734" ht="18" customHeight="1" s="207">
      <c r="A734" s="166" t="n"/>
      <c r="B734" s="167" t="n"/>
      <c r="C734" s="167" t="n"/>
      <c r="D734" s="143">
        <f>"PRD_SNJ_"&amp;
_xlfn.XLOOKUP(商品マスタ[[#This Row],[仕入先]],テーブル1[仕入先名],テーブル1[仕入先コード],"XXX",0,1)&amp;
"_"&amp;
商品マスタ[[#This Row],[シリアル]]&amp;
"_"&amp;
TEXT(COUNTIFS(商品マスタ!$C$3:C734,商品マスタ[[#This Row],[仕入先]],商品マスタ!$E$3:E734,商品マスタ[[#This Row],[商品名]]), "00")</f>
        <v/>
      </c>
      <c r="E734" s="167" t="n"/>
      <c r="F734" s="167">
        <f>IF(COUNTIFS($C$3:C734,商品マスタ[[#This Row],[仕入先]],$E$3:E734,商品マスタ[[#This Row],[商品名]]) = 1, 1,0)</f>
        <v/>
      </c>
      <c r="G734" s="133">
        <f>TEXT(SUMIF($C$3:C734,商品マスタ[[#This Row],[仕入先]],$F$3:F734), "0000")</f>
        <v/>
      </c>
      <c r="H734" s="167" t="n"/>
      <c r="I734" s="167" t="n"/>
      <c r="J734" s="167" t="n"/>
      <c r="K734" s="167" t="n"/>
      <c r="L734" s="289" t="n"/>
      <c r="M734" s="157" t="n"/>
      <c r="N734" s="289" t="n"/>
      <c r="O734" s="290">
        <f>IF(COUNT(商品マスタ[[#This Row],[参考上代
（税込)]]) &gt; 0, (商品マスタ[[#This Row],[参考上代
（税込)]]-商品マスタ[[#This Row],[国内定価
（15％）]])/(商品マスタ[[#This Row],[参考上代
（税込)]]/1.08), "")</f>
        <v/>
      </c>
      <c r="P734" s="136" t="n">
        <v>0.1</v>
      </c>
      <c r="Q734" s="289">
        <f>商品マスタ[[#This Row],[仕入
単価]]*商品マスタ[[#This Row],[標準国内送料率]]</f>
        <v/>
      </c>
      <c r="R734" s="289" t="n"/>
      <c r="S734" s="289">
        <f>IF(ISBLANK(商品マスタ[[#This Row],[実績
国内送料]]),商品マスタ[[#This Row],[標準国内送料]],)</f>
        <v/>
      </c>
      <c r="T734" s="289">
        <f>商品マスタ[[#This Row],[仕入
単価]]+商品マスタ[[#This Row],[国内送料]]</f>
        <v/>
      </c>
      <c r="U734" s="289">
        <f>ROUNDUP(商品マスタ[[#This Row],[仕入単価+国内送料]]/0.8,-1)</f>
        <v/>
      </c>
      <c r="V734" s="289">
        <f>商品マスタ[[#This Row],[海外定価
（20％）]]-商品マスタ[[#This Row],[仕入単価+国内送料]]</f>
        <v/>
      </c>
      <c r="W734" s="167">
        <f>ROUNDUP(商品マスタ[[#This Row],[仕入単価+国内送料]]/0.85,-1)</f>
        <v/>
      </c>
      <c r="X734" s="289">
        <f>商品マスタ[[#This Row],[国内定価
（15％）]]-商品マスタ[[#This Row],[仕入単価+国内送料]]</f>
        <v/>
      </c>
      <c r="Y734" s="139" t="n"/>
      <c r="Z734" s="167" t="n"/>
      <c r="AA734" s="167" t="n"/>
      <c r="AB734" s="167" t="n"/>
      <c r="AC734" s="293" t="n"/>
      <c r="AD734" s="167" t="n"/>
      <c r="AE734" s="167" t="n"/>
      <c r="AF734" s="167" t="n"/>
      <c r="AG734" s="144" t="n"/>
    </row>
    <row r="735" ht="18" customHeight="1" s="207">
      <c r="A735" s="166" t="n"/>
      <c r="B735" s="167" t="n"/>
      <c r="C735" s="167" t="n"/>
      <c r="D735" s="143">
        <f>"PRD_SNJ_"&amp;
_xlfn.XLOOKUP(商品マスタ[[#This Row],[仕入先]],テーブル1[仕入先名],テーブル1[仕入先コード],"XXX",0,1)&amp;
"_"&amp;
商品マスタ[[#This Row],[シリアル]]&amp;
"_"&amp;
TEXT(COUNTIFS(商品マスタ!$C$3:C735,商品マスタ[[#This Row],[仕入先]],商品マスタ!$E$3:E735,商品マスタ[[#This Row],[商品名]]), "00")</f>
        <v/>
      </c>
      <c r="E735" s="167" t="n"/>
      <c r="F735" s="167">
        <f>IF(COUNTIFS($C$3:C735,商品マスタ[[#This Row],[仕入先]],$E$3:E735,商品マスタ[[#This Row],[商品名]]) = 1, 1,0)</f>
        <v/>
      </c>
      <c r="G735" s="133">
        <f>TEXT(SUMIF($C$3:C735,商品マスタ[[#This Row],[仕入先]],$F$3:F735), "0000")</f>
        <v/>
      </c>
      <c r="H735" s="167" t="n"/>
      <c r="I735" s="167" t="n"/>
      <c r="J735" s="167" t="n"/>
      <c r="K735" s="167" t="n"/>
      <c r="L735" s="289" t="n"/>
      <c r="M735" s="157" t="n"/>
      <c r="N735" s="289" t="n"/>
      <c r="O735" s="290">
        <f>IF(COUNT(商品マスタ[[#This Row],[参考上代
（税込)]]) &gt; 0, (商品マスタ[[#This Row],[参考上代
（税込)]]-商品マスタ[[#This Row],[国内定価
（15％）]])/(商品マスタ[[#This Row],[参考上代
（税込)]]/1.08), "")</f>
        <v/>
      </c>
      <c r="P735" s="136" t="n">
        <v>0.1</v>
      </c>
      <c r="Q735" s="289">
        <f>商品マスタ[[#This Row],[仕入
単価]]*商品マスタ[[#This Row],[標準国内送料率]]</f>
        <v/>
      </c>
      <c r="R735" s="289" t="n"/>
      <c r="S735" s="289">
        <f>IF(ISBLANK(商品マスタ[[#This Row],[実績
国内送料]]),商品マスタ[[#This Row],[標準国内送料]],)</f>
        <v/>
      </c>
      <c r="T735" s="289">
        <f>商品マスタ[[#This Row],[仕入
単価]]+商品マスタ[[#This Row],[国内送料]]</f>
        <v/>
      </c>
      <c r="U735" s="289">
        <f>ROUNDUP(商品マスタ[[#This Row],[仕入単価+国内送料]]/0.8,-1)</f>
        <v/>
      </c>
      <c r="V735" s="289">
        <f>商品マスタ[[#This Row],[海外定価
（20％）]]-商品マスタ[[#This Row],[仕入単価+国内送料]]</f>
        <v/>
      </c>
      <c r="W735" s="167">
        <f>ROUNDUP(商品マスタ[[#This Row],[仕入単価+国内送料]]/0.85,-1)</f>
        <v/>
      </c>
      <c r="X735" s="289">
        <f>商品マスタ[[#This Row],[国内定価
（15％）]]-商品マスタ[[#This Row],[仕入単価+国内送料]]</f>
        <v/>
      </c>
      <c r="Y735" s="139" t="n"/>
      <c r="Z735" s="167" t="n"/>
      <c r="AA735" s="167" t="n"/>
      <c r="AB735" s="167" t="n"/>
      <c r="AC735" s="293" t="n"/>
      <c r="AD735" s="167" t="n"/>
      <c r="AE735" s="167" t="n"/>
      <c r="AF735" s="167" t="n"/>
      <c r="AG735" s="144" t="n"/>
    </row>
    <row r="736" ht="18" customHeight="1" s="207">
      <c r="A736" s="166" t="n"/>
      <c r="B736" s="167" t="n"/>
      <c r="C736" s="167" t="n"/>
      <c r="D736" s="143">
        <f>"PRD_SNJ_"&amp;
_xlfn.XLOOKUP(商品マスタ[[#This Row],[仕入先]],テーブル1[仕入先名],テーブル1[仕入先コード],"XXX",0,1)&amp;
"_"&amp;
商品マスタ[[#This Row],[シリアル]]&amp;
"_"&amp;
TEXT(COUNTIFS(商品マスタ!$C$3:C736,商品マスタ[[#This Row],[仕入先]],商品マスタ!$E$3:E736,商品マスタ[[#This Row],[商品名]]), "00")</f>
        <v/>
      </c>
      <c r="E736" s="167" t="n"/>
      <c r="F736" s="167">
        <f>IF(COUNTIFS($C$3:C736,商品マスタ[[#This Row],[仕入先]],$E$3:E736,商品マスタ[[#This Row],[商品名]]) = 1, 1,0)</f>
        <v/>
      </c>
      <c r="G736" s="133">
        <f>TEXT(SUMIF($C$3:C736,商品マスタ[[#This Row],[仕入先]],$F$3:F736), "0000")</f>
        <v/>
      </c>
      <c r="H736" s="167" t="n"/>
      <c r="I736" s="167" t="n"/>
      <c r="J736" s="167" t="n"/>
      <c r="K736" s="167" t="n"/>
      <c r="L736" s="289" t="n"/>
      <c r="M736" s="157" t="n"/>
      <c r="N736" s="289" t="n"/>
      <c r="O736" s="290">
        <f>IF(COUNT(商品マスタ[[#This Row],[参考上代
（税込)]]) &gt; 0, (商品マスタ[[#This Row],[参考上代
（税込)]]-商品マスタ[[#This Row],[国内定価
（15％）]])/(商品マスタ[[#This Row],[参考上代
（税込)]]/1.08), "")</f>
        <v/>
      </c>
      <c r="P736" s="136" t="n">
        <v>0.1</v>
      </c>
      <c r="Q736" s="289">
        <f>商品マスタ[[#This Row],[仕入
単価]]*商品マスタ[[#This Row],[標準国内送料率]]</f>
        <v/>
      </c>
      <c r="R736" s="289" t="n"/>
      <c r="S736" s="289">
        <f>IF(ISBLANK(商品マスタ[[#This Row],[実績
国内送料]]),商品マスタ[[#This Row],[標準国内送料]],)</f>
        <v/>
      </c>
      <c r="T736" s="289">
        <f>商品マスタ[[#This Row],[仕入
単価]]+商品マスタ[[#This Row],[国内送料]]</f>
        <v/>
      </c>
      <c r="U736" s="289">
        <f>ROUNDUP(商品マスタ[[#This Row],[仕入単価+国内送料]]/0.8,-1)</f>
        <v/>
      </c>
      <c r="V736" s="289">
        <f>商品マスタ[[#This Row],[海外定価
（20％）]]-商品マスタ[[#This Row],[仕入単価+国内送料]]</f>
        <v/>
      </c>
      <c r="W736" s="167">
        <f>ROUNDUP(商品マスタ[[#This Row],[仕入単価+国内送料]]/0.85,-1)</f>
        <v/>
      </c>
      <c r="X736" s="289">
        <f>商品マスタ[[#This Row],[国内定価
（15％）]]-商品マスタ[[#This Row],[仕入単価+国内送料]]</f>
        <v/>
      </c>
      <c r="Y736" s="139" t="n"/>
      <c r="Z736" s="167" t="n"/>
      <c r="AA736" s="167" t="n"/>
      <c r="AB736" s="167" t="n"/>
      <c r="AC736" s="293" t="n"/>
      <c r="AD736" s="167" t="n"/>
      <c r="AE736" s="167" t="n"/>
      <c r="AF736" s="167" t="n"/>
      <c r="AG736" s="144" t="n"/>
    </row>
    <row r="737" ht="18" customHeight="1" s="207">
      <c r="A737" s="166" t="n"/>
      <c r="B737" s="167" t="n"/>
      <c r="C737" s="167" t="n"/>
      <c r="D737" s="143">
        <f>"PRD_SNJ_"&amp;
_xlfn.XLOOKUP(商品マスタ[[#This Row],[仕入先]],テーブル1[仕入先名],テーブル1[仕入先コード],"XXX",0,1)&amp;
"_"&amp;
商品マスタ[[#This Row],[シリアル]]&amp;
"_"&amp;
TEXT(COUNTIFS(商品マスタ!$C$3:C737,商品マスタ[[#This Row],[仕入先]],商品マスタ!$E$3:E737,商品マスタ[[#This Row],[商品名]]), "00")</f>
        <v/>
      </c>
      <c r="E737" s="167" t="n"/>
      <c r="F737" s="167">
        <f>IF(COUNTIFS($C$3:C737,商品マスタ[[#This Row],[仕入先]],$E$3:E737,商品マスタ[[#This Row],[商品名]]) = 1, 1,0)</f>
        <v/>
      </c>
      <c r="G737" s="133">
        <f>TEXT(SUMIF($C$3:C737,商品マスタ[[#This Row],[仕入先]],$F$3:F737), "0000")</f>
        <v/>
      </c>
      <c r="H737" s="167" t="n"/>
      <c r="I737" s="167" t="n"/>
      <c r="J737" s="167" t="n"/>
      <c r="K737" s="167" t="n"/>
      <c r="L737" s="289" t="n"/>
      <c r="M737" s="157" t="n"/>
      <c r="N737" s="289" t="n"/>
      <c r="O737" s="290">
        <f>IF(COUNT(商品マスタ[[#This Row],[参考上代
（税込)]]) &gt; 0, (商品マスタ[[#This Row],[参考上代
（税込)]]-商品マスタ[[#This Row],[国内定価
（15％）]])/(商品マスタ[[#This Row],[参考上代
（税込)]]/1.08), "")</f>
        <v/>
      </c>
      <c r="P737" s="136" t="n">
        <v>0.1</v>
      </c>
      <c r="Q737" s="289">
        <f>商品マスタ[[#This Row],[仕入
単価]]*商品マスタ[[#This Row],[標準国内送料率]]</f>
        <v/>
      </c>
      <c r="R737" s="289" t="n"/>
      <c r="S737" s="289">
        <f>IF(ISBLANK(商品マスタ[[#This Row],[実績
国内送料]]),商品マスタ[[#This Row],[標準国内送料]],)</f>
        <v/>
      </c>
      <c r="T737" s="289">
        <f>商品マスタ[[#This Row],[仕入
単価]]+商品マスタ[[#This Row],[国内送料]]</f>
        <v/>
      </c>
      <c r="U737" s="289">
        <f>ROUNDUP(商品マスタ[[#This Row],[仕入単価+国内送料]]/0.8,-1)</f>
        <v/>
      </c>
      <c r="V737" s="289">
        <f>商品マスタ[[#This Row],[海外定価
（20％）]]-商品マスタ[[#This Row],[仕入単価+国内送料]]</f>
        <v/>
      </c>
      <c r="W737" s="167">
        <f>ROUNDUP(商品マスタ[[#This Row],[仕入単価+国内送料]]/0.85,-1)</f>
        <v/>
      </c>
      <c r="X737" s="289">
        <f>商品マスタ[[#This Row],[国内定価
（15％）]]-商品マスタ[[#This Row],[仕入単価+国内送料]]</f>
        <v/>
      </c>
      <c r="Y737" s="139" t="n"/>
      <c r="Z737" s="167" t="n"/>
      <c r="AA737" s="167" t="n"/>
      <c r="AB737" s="167" t="n"/>
      <c r="AC737" s="293" t="n"/>
      <c r="AD737" s="167" t="n"/>
      <c r="AE737" s="167" t="n"/>
      <c r="AF737" s="167" t="n"/>
      <c r="AG737" s="144" t="n"/>
    </row>
    <row r="738" ht="18" customHeight="1" s="207">
      <c r="A738" s="166" t="n"/>
      <c r="B738" s="167" t="n"/>
      <c r="C738" s="167" t="n"/>
      <c r="D738" s="143">
        <f>"PRD_SNJ_"&amp;
_xlfn.XLOOKUP(商品マスタ[[#This Row],[仕入先]],テーブル1[仕入先名],テーブル1[仕入先コード],"XXX",0,1)&amp;
"_"&amp;
商品マスタ[[#This Row],[シリアル]]&amp;
"_"&amp;
TEXT(COUNTIFS(商品マスタ!$C$3:C738,商品マスタ[[#This Row],[仕入先]],商品マスタ!$E$3:E738,商品マスタ[[#This Row],[商品名]]), "00")</f>
        <v/>
      </c>
      <c r="E738" s="167" t="n"/>
      <c r="F738" s="167">
        <f>IF(COUNTIFS($C$3:C738,商品マスタ[[#This Row],[仕入先]],$E$3:E738,商品マスタ[[#This Row],[商品名]]) = 1, 1,0)</f>
        <v/>
      </c>
      <c r="G738" s="133">
        <f>TEXT(SUMIF($C$3:C738,商品マスタ[[#This Row],[仕入先]],$F$3:F738), "0000")</f>
        <v/>
      </c>
      <c r="H738" s="167" t="n"/>
      <c r="I738" s="167" t="n"/>
      <c r="J738" s="167" t="n"/>
      <c r="K738" s="167" t="n"/>
      <c r="L738" s="289" t="n"/>
      <c r="M738" s="157" t="n"/>
      <c r="N738" s="289" t="n"/>
      <c r="O738" s="290">
        <f>IF(COUNT(商品マスタ[[#This Row],[参考上代
（税込)]]) &gt; 0, (商品マスタ[[#This Row],[参考上代
（税込)]]-商品マスタ[[#This Row],[国内定価
（15％）]])/(商品マスタ[[#This Row],[参考上代
（税込)]]/1.08), "")</f>
        <v/>
      </c>
      <c r="P738" s="136" t="n">
        <v>0.1</v>
      </c>
      <c r="Q738" s="289">
        <f>商品マスタ[[#This Row],[仕入
単価]]*商品マスタ[[#This Row],[標準国内送料率]]</f>
        <v/>
      </c>
      <c r="R738" s="289" t="n"/>
      <c r="S738" s="289">
        <f>IF(ISBLANK(商品マスタ[[#This Row],[実績
国内送料]]),商品マスタ[[#This Row],[標準国内送料]],)</f>
        <v/>
      </c>
      <c r="T738" s="289">
        <f>商品マスタ[[#This Row],[仕入
単価]]+商品マスタ[[#This Row],[国内送料]]</f>
        <v/>
      </c>
      <c r="U738" s="289">
        <f>ROUNDUP(商品マスタ[[#This Row],[仕入単価+国内送料]]/0.8,-1)</f>
        <v/>
      </c>
      <c r="V738" s="289">
        <f>商品マスタ[[#This Row],[海外定価
（20％）]]-商品マスタ[[#This Row],[仕入単価+国内送料]]</f>
        <v/>
      </c>
      <c r="W738" s="167">
        <f>ROUNDUP(商品マスタ[[#This Row],[仕入単価+国内送料]]/0.85,-1)</f>
        <v/>
      </c>
      <c r="X738" s="289">
        <f>商品マスタ[[#This Row],[国内定価
（15％）]]-商品マスタ[[#This Row],[仕入単価+国内送料]]</f>
        <v/>
      </c>
      <c r="Y738" s="139" t="n"/>
      <c r="Z738" s="167" t="n"/>
      <c r="AA738" s="167" t="n"/>
      <c r="AB738" s="167" t="n"/>
      <c r="AC738" s="293" t="n"/>
      <c r="AD738" s="167" t="n"/>
      <c r="AE738" s="167" t="n"/>
      <c r="AF738" s="167" t="n"/>
      <c r="AG738" s="144" t="n"/>
    </row>
    <row r="739" ht="18" customHeight="1" s="207">
      <c r="A739" s="166" t="n"/>
      <c r="B739" s="167" t="n"/>
      <c r="C739" s="167" t="n"/>
      <c r="D739" s="143">
        <f>"PRD_SNJ_"&amp;
_xlfn.XLOOKUP(商品マスタ[[#This Row],[仕入先]],テーブル1[仕入先名],テーブル1[仕入先コード],"XXX",0,1)&amp;
"_"&amp;
商品マスタ[[#This Row],[シリアル]]&amp;
"_"&amp;
TEXT(COUNTIFS(商品マスタ!$C$3:C739,商品マスタ[[#This Row],[仕入先]],商品マスタ!$E$3:E739,商品マスタ[[#This Row],[商品名]]), "00")</f>
        <v/>
      </c>
      <c r="E739" s="167" t="n"/>
      <c r="F739" s="167">
        <f>IF(COUNTIFS($C$3:C739,商品マスタ[[#This Row],[仕入先]],$E$3:E739,商品マスタ[[#This Row],[商品名]]) = 1, 1,0)</f>
        <v/>
      </c>
      <c r="G739" s="133">
        <f>TEXT(SUMIF($C$3:C739,商品マスタ[[#This Row],[仕入先]],$F$3:F739), "0000")</f>
        <v/>
      </c>
      <c r="H739" s="167" t="n"/>
      <c r="I739" s="167" t="n"/>
      <c r="J739" s="167" t="n"/>
      <c r="K739" s="167" t="n"/>
      <c r="L739" s="289" t="n"/>
      <c r="M739" s="157" t="n"/>
      <c r="N739" s="289" t="n"/>
      <c r="O739" s="290">
        <f>IF(COUNT(商品マスタ[[#This Row],[参考上代
（税込)]]) &gt; 0, (商品マスタ[[#This Row],[参考上代
（税込)]]-商品マスタ[[#This Row],[国内定価
（15％）]])/(商品マスタ[[#This Row],[参考上代
（税込)]]/1.08), "")</f>
        <v/>
      </c>
      <c r="P739" s="136" t="n">
        <v>0.1</v>
      </c>
      <c r="Q739" s="289">
        <f>商品マスタ[[#This Row],[仕入
単価]]*商品マスタ[[#This Row],[標準国内送料率]]</f>
        <v/>
      </c>
      <c r="R739" s="289" t="n"/>
      <c r="S739" s="289">
        <f>IF(ISBLANK(商品マスタ[[#This Row],[実績
国内送料]]),商品マスタ[[#This Row],[標準国内送料]],)</f>
        <v/>
      </c>
      <c r="T739" s="289">
        <f>商品マスタ[[#This Row],[仕入
単価]]+商品マスタ[[#This Row],[国内送料]]</f>
        <v/>
      </c>
      <c r="U739" s="289">
        <f>ROUNDUP(商品マスタ[[#This Row],[仕入単価+国内送料]]/0.8,-1)</f>
        <v/>
      </c>
      <c r="V739" s="289">
        <f>商品マスタ[[#This Row],[海外定価
（20％）]]-商品マスタ[[#This Row],[仕入単価+国内送料]]</f>
        <v/>
      </c>
      <c r="W739" s="167">
        <f>ROUNDUP(商品マスタ[[#This Row],[仕入単価+国内送料]]/0.85,-1)</f>
        <v/>
      </c>
      <c r="X739" s="289">
        <f>商品マスタ[[#This Row],[国内定価
（15％）]]-商品マスタ[[#This Row],[仕入単価+国内送料]]</f>
        <v/>
      </c>
      <c r="Y739" s="139" t="n"/>
      <c r="Z739" s="167" t="n"/>
      <c r="AA739" s="167" t="n"/>
      <c r="AB739" s="167" t="n"/>
      <c r="AC739" s="293" t="n"/>
      <c r="AD739" s="167" t="n"/>
      <c r="AE739" s="167" t="n"/>
      <c r="AF739" s="167" t="n"/>
      <c r="AG739" s="144" t="n"/>
    </row>
    <row r="740" ht="18" customHeight="1" s="207">
      <c r="A740" s="166" t="n"/>
      <c r="B740" s="167" t="n"/>
      <c r="C740" s="167" t="n"/>
      <c r="D740" s="143">
        <f>"PRD_SNJ_"&amp;
_xlfn.XLOOKUP(商品マスタ[[#This Row],[仕入先]],テーブル1[仕入先名],テーブル1[仕入先コード],"XXX",0,1)&amp;
"_"&amp;
商品マスタ[[#This Row],[シリアル]]&amp;
"_"&amp;
TEXT(COUNTIFS(商品マスタ!$C$3:C740,商品マスタ[[#This Row],[仕入先]],商品マスタ!$E$3:E740,商品マスタ[[#This Row],[商品名]]), "00")</f>
        <v/>
      </c>
      <c r="E740" s="167" t="n"/>
      <c r="F740" s="167">
        <f>IF(COUNTIFS($C$3:C740,商品マスタ[[#This Row],[仕入先]],$E$3:E740,商品マスタ[[#This Row],[商品名]]) = 1, 1,0)</f>
        <v/>
      </c>
      <c r="G740" s="133">
        <f>TEXT(SUMIF($C$3:C740,商品マスタ[[#This Row],[仕入先]],$F$3:F740), "0000")</f>
        <v/>
      </c>
      <c r="H740" s="167" t="n"/>
      <c r="I740" s="167" t="n"/>
      <c r="J740" s="167" t="n"/>
      <c r="K740" s="167" t="n"/>
      <c r="L740" s="289" t="n"/>
      <c r="M740" s="157" t="n"/>
      <c r="N740" s="289" t="n"/>
      <c r="O740" s="290">
        <f>IF(COUNT(商品マスタ[[#This Row],[参考上代
（税込)]]) &gt; 0, (商品マスタ[[#This Row],[参考上代
（税込)]]-商品マスタ[[#This Row],[国内定価
（15％）]])/(商品マスタ[[#This Row],[参考上代
（税込)]]/1.08), "")</f>
        <v/>
      </c>
      <c r="P740" s="136" t="n">
        <v>0.1</v>
      </c>
      <c r="Q740" s="289">
        <f>商品マスタ[[#This Row],[仕入
単価]]*商品マスタ[[#This Row],[標準国内送料率]]</f>
        <v/>
      </c>
      <c r="R740" s="289" t="n"/>
      <c r="S740" s="289">
        <f>IF(ISBLANK(商品マスタ[[#This Row],[実績
国内送料]]),商品マスタ[[#This Row],[標準国内送料]],)</f>
        <v/>
      </c>
      <c r="T740" s="289">
        <f>商品マスタ[[#This Row],[仕入
単価]]+商品マスタ[[#This Row],[国内送料]]</f>
        <v/>
      </c>
      <c r="U740" s="289">
        <f>ROUNDUP(商品マスタ[[#This Row],[仕入単価+国内送料]]/0.8,-1)</f>
        <v/>
      </c>
      <c r="V740" s="289">
        <f>商品マスタ[[#This Row],[海外定価
（20％）]]-商品マスタ[[#This Row],[仕入単価+国内送料]]</f>
        <v/>
      </c>
      <c r="W740" s="167">
        <f>ROUNDUP(商品マスタ[[#This Row],[仕入単価+国内送料]]/0.85,-1)</f>
        <v/>
      </c>
      <c r="X740" s="289">
        <f>商品マスタ[[#This Row],[国内定価
（15％）]]-商品マスタ[[#This Row],[仕入単価+国内送料]]</f>
        <v/>
      </c>
      <c r="Y740" s="139" t="n"/>
      <c r="Z740" s="167" t="n"/>
      <c r="AA740" s="167" t="n"/>
      <c r="AB740" s="167" t="n"/>
      <c r="AC740" s="293" t="n"/>
      <c r="AD740" s="167" t="n"/>
      <c r="AE740" s="167" t="n"/>
      <c r="AF740" s="167" t="n"/>
      <c r="AG740" s="144" t="n"/>
    </row>
    <row r="741" ht="18" customHeight="1" s="207">
      <c r="A741" s="166" t="n"/>
      <c r="B741" s="167" t="n"/>
      <c r="C741" s="167" t="n"/>
      <c r="D741" s="143">
        <f>"PRD_SNJ_"&amp;
_xlfn.XLOOKUP(商品マスタ[[#This Row],[仕入先]],テーブル1[仕入先名],テーブル1[仕入先コード],"XXX",0,1)&amp;
"_"&amp;
商品マスタ[[#This Row],[シリアル]]&amp;
"_"&amp;
TEXT(COUNTIFS(商品マスタ!$C$3:C741,商品マスタ[[#This Row],[仕入先]],商品マスタ!$E$3:E741,商品マスタ[[#This Row],[商品名]]), "00")</f>
        <v/>
      </c>
      <c r="E741" s="167" t="n"/>
      <c r="F741" s="167">
        <f>IF(COUNTIFS($C$3:C741,商品マスタ[[#This Row],[仕入先]],$E$3:E741,商品マスタ[[#This Row],[商品名]]) = 1, 1,0)</f>
        <v/>
      </c>
      <c r="G741" s="133">
        <f>TEXT(SUMIF($C$3:C741,商品マスタ[[#This Row],[仕入先]],$F$3:F741), "0000")</f>
        <v/>
      </c>
      <c r="H741" s="167" t="n"/>
      <c r="I741" s="167" t="n"/>
      <c r="J741" s="167" t="n"/>
      <c r="K741" s="167" t="n"/>
      <c r="L741" s="289" t="n"/>
      <c r="M741" s="157" t="n"/>
      <c r="N741" s="289" t="n"/>
      <c r="O741" s="290">
        <f>IF(COUNT(商品マスタ[[#This Row],[参考上代
（税込)]]) &gt; 0, (商品マスタ[[#This Row],[参考上代
（税込)]]-商品マスタ[[#This Row],[国内定価
（15％）]])/(商品マスタ[[#This Row],[参考上代
（税込)]]/1.08), "")</f>
        <v/>
      </c>
      <c r="P741" s="136" t="n">
        <v>0.1</v>
      </c>
      <c r="Q741" s="289">
        <f>商品マスタ[[#This Row],[仕入
単価]]*商品マスタ[[#This Row],[標準国内送料率]]</f>
        <v/>
      </c>
      <c r="R741" s="289" t="n"/>
      <c r="S741" s="289">
        <f>IF(ISBLANK(商品マスタ[[#This Row],[実績
国内送料]]),商品マスタ[[#This Row],[標準国内送料]],)</f>
        <v/>
      </c>
      <c r="T741" s="289">
        <f>商品マスタ[[#This Row],[仕入
単価]]+商品マスタ[[#This Row],[国内送料]]</f>
        <v/>
      </c>
      <c r="U741" s="289">
        <f>ROUNDUP(商品マスタ[[#This Row],[仕入単価+国内送料]]/0.8,-1)</f>
        <v/>
      </c>
      <c r="V741" s="289">
        <f>商品マスタ[[#This Row],[海外定価
（20％）]]-商品マスタ[[#This Row],[仕入単価+国内送料]]</f>
        <v/>
      </c>
      <c r="W741" s="167">
        <f>ROUNDUP(商品マスタ[[#This Row],[仕入単価+国内送料]]/0.85,-1)</f>
        <v/>
      </c>
      <c r="X741" s="289">
        <f>商品マスタ[[#This Row],[国内定価
（15％）]]-商品マスタ[[#This Row],[仕入単価+国内送料]]</f>
        <v/>
      </c>
      <c r="Y741" s="139" t="n"/>
      <c r="Z741" s="167" t="n"/>
      <c r="AA741" s="167" t="n"/>
      <c r="AB741" s="167" t="n"/>
      <c r="AC741" s="293" t="n"/>
      <c r="AD741" s="167" t="n"/>
      <c r="AE741" s="167" t="n"/>
      <c r="AF741" s="167" t="n"/>
      <c r="AG741" s="144" t="n"/>
    </row>
    <row r="742" ht="18" customHeight="1" s="207">
      <c r="A742" s="166" t="n"/>
      <c r="B742" s="167" t="n"/>
      <c r="C742" s="167" t="n"/>
      <c r="D742" s="143">
        <f>"PRD_SNJ_"&amp;
_xlfn.XLOOKUP(商品マスタ[[#This Row],[仕入先]],テーブル1[仕入先名],テーブル1[仕入先コード],"XXX",0,1)&amp;
"_"&amp;
商品マスタ[[#This Row],[シリアル]]&amp;
"_"&amp;
TEXT(COUNTIFS(商品マスタ!$C$3:C742,商品マスタ[[#This Row],[仕入先]],商品マスタ!$E$3:E742,商品マスタ[[#This Row],[商品名]]), "00")</f>
        <v/>
      </c>
      <c r="E742" s="167" t="n"/>
      <c r="F742" s="167">
        <f>IF(COUNTIFS($C$3:C742,商品マスタ[[#This Row],[仕入先]],$E$3:E742,商品マスタ[[#This Row],[商品名]]) = 1, 1,0)</f>
        <v/>
      </c>
      <c r="G742" s="133">
        <f>TEXT(SUMIF($C$3:C742,商品マスタ[[#This Row],[仕入先]],$F$3:F742), "0000")</f>
        <v/>
      </c>
      <c r="H742" s="167" t="n"/>
      <c r="I742" s="167" t="n"/>
      <c r="J742" s="167" t="n"/>
      <c r="K742" s="167" t="n"/>
      <c r="L742" s="289" t="n"/>
      <c r="M742" s="157" t="n"/>
      <c r="N742" s="289" t="n"/>
      <c r="O742" s="290">
        <f>IF(COUNT(商品マスタ[[#This Row],[参考上代
（税込)]]) &gt; 0, (商品マスタ[[#This Row],[参考上代
（税込)]]-商品マスタ[[#This Row],[国内定価
（15％）]])/(商品マスタ[[#This Row],[参考上代
（税込)]]/1.08), "")</f>
        <v/>
      </c>
      <c r="P742" s="136" t="n">
        <v>0.1</v>
      </c>
      <c r="Q742" s="289">
        <f>商品マスタ[[#This Row],[仕入
単価]]*商品マスタ[[#This Row],[標準国内送料率]]</f>
        <v/>
      </c>
      <c r="R742" s="289" t="n"/>
      <c r="S742" s="289">
        <f>IF(ISBLANK(商品マスタ[[#This Row],[実績
国内送料]]),商品マスタ[[#This Row],[標準国内送料]],)</f>
        <v/>
      </c>
      <c r="T742" s="289">
        <f>商品マスタ[[#This Row],[仕入
単価]]+商品マスタ[[#This Row],[国内送料]]</f>
        <v/>
      </c>
      <c r="U742" s="289">
        <f>ROUNDUP(商品マスタ[[#This Row],[仕入単価+国内送料]]/0.8,-1)</f>
        <v/>
      </c>
      <c r="V742" s="289">
        <f>商品マスタ[[#This Row],[海外定価
（20％）]]-商品マスタ[[#This Row],[仕入単価+国内送料]]</f>
        <v/>
      </c>
      <c r="W742" s="167">
        <f>ROUNDUP(商品マスタ[[#This Row],[仕入単価+国内送料]]/0.85,-1)</f>
        <v/>
      </c>
      <c r="X742" s="289">
        <f>商品マスタ[[#This Row],[国内定価
（15％）]]-商品マスタ[[#This Row],[仕入単価+国内送料]]</f>
        <v/>
      </c>
      <c r="Y742" s="139" t="n"/>
      <c r="Z742" s="167" t="n"/>
      <c r="AA742" s="167" t="n"/>
      <c r="AB742" s="167" t="n"/>
      <c r="AC742" s="293" t="n"/>
      <c r="AD742" s="167" t="n"/>
      <c r="AE742" s="167" t="n"/>
      <c r="AF742" s="167" t="n"/>
      <c r="AG742" s="144" t="n"/>
    </row>
    <row r="743" ht="18" customHeight="1" s="207">
      <c r="A743" s="166" t="n"/>
      <c r="B743" s="167" t="n"/>
      <c r="C743" s="167" t="n"/>
      <c r="D743" s="143">
        <f>"PRD_SNJ_"&amp;
_xlfn.XLOOKUP(商品マスタ[[#This Row],[仕入先]],テーブル1[仕入先名],テーブル1[仕入先コード],"XXX",0,1)&amp;
"_"&amp;
商品マスタ[[#This Row],[シリアル]]&amp;
"_"&amp;
TEXT(COUNTIFS(商品マスタ!$C$3:C743,商品マスタ[[#This Row],[仕入先]],商品マスタ!$E$3:E743,商品マスタ[[#This Row],[商品名]]), "00")</f>
        <v/>
      </c>
      <c r="E743" s="167" t="n"/>
      <c r="F743" s="167">
        <f>IF(COUNTIFS($C$3:C743,商品マスタ[[#This Row],[仕入先]],$E$3:E743,商品マスタ[[#This Row],[商品名]]) = 1, 1,0)</f>
        <v/>
      </c>
      <c r="G743" s="133">
        <f>TEXT(SUMIF($C$3:C743,商品マスタ[[#This Row],[仕入先]],$F$3:F743), "0000")</f>
        <v/>
      </c>
      <c r="H743" s="167" t="n"/>
      <c r="I743" s="167" t="n"/>
      <c r="J743" s="167" t="n"/>
      <c r="K743" s="167" t="n"/>
      <c r="L743" s="289" t="n"/>
      <c r="M743" s="157" t="n"/>
      <c r="N743" s="289" t="n"/>
      <c r="O743" s="290">
        <f>IF(COUNT(商品マスタ[[#This Row],[参考上代
（税込)]]) &gt; 0, (商品マスタ[[#This Row],[参考上代
（税込)]]-商品マスタ[[#This Row],[国内定価
（15％）]])/(商品マスタ[[#This Row],[参考上代
（税込)]]/1.08), "")</f>
        <v/>
      </c>
      <c r="P743" s="136" t="n">
        <v>0.1</v>
      </c>
      <c r="Q743" s="289">
        <f>商品マスタ[[#This Row],[仕入
単価]]*商品マスタ[[#This Row],[標準国内送料率]]</f>
        <v/>
      </c>
      <c r="R743" s="289" t="n"/>
      <c r="S743" s="289">
        <f>IF(ISBLANK(商品マスタ[[#This Row],[実績
国内送料]]),商品マスタ[[#This Row],[標準国内送料]],)</f>
        <v/>
      </c>
      <c r="T743" s="289">
        <f>商品マスタ[[#This Row],[仕入
単価]]+商品マスタ[[#This Row],[国内送料]]</f>
        <v/>
      </c>
      <c r="U743" s="289">
        <f>ROUNDUP(商品マスタ[[#This Row],[仕入単価+国内送料]]/0.8,-1)</f>
        <v/>
      </c>
      <c r="V743" s="289">
        <f>商品マスタ[[#This Row],[海外定価
（20％）]]-商品マスタ[[#This Row],[仕入単価+国内送料]]</f>
        <v/>
      </c>
      <c r="W743" s="167">
        <f>ROUNDUP(商品マスタ[[#This Row],[仕入単価+国内送料]]/0.85,-1)</f>
        <v/>
      </c>
      <c r="X743" s="289">
        <f>商品マスタ[[#This Row],[国内定価
（15％）]]-商品マスタ[[#This Row],[仕入単価+国内送料]]</f>
        <v/>
      </c>
      <c r="Y743" s="139" t="n"/>
      <c r="Z743" s="167" t="n"/>
      <c r="AA743" s="167" t="n"/>
      <c r="AB743" s="167" t="n"/>
      <c r="AC743" s="293" t="n"/>
      <c r="AD743" s="167" t="n"/>
      <c r="AE743" s="167" t="n"/>
      <c r="AF743" s="167" t="n"/>
      <c r="AG743" s="144" t="n"/>
    </row>
    <row r="744" ht="18" customHeight="1" s="207">
      <c r="A744" s="166" t="n"/>
      <c r="B744" s="167" t="n"/>
      <c r="C744" s="167" t="n"/>
      <c r="D744" s="143">
        <f>"PRD_SNJ_"&amp;
_xlfn.XLOOKUP(商品マスタ[[#This Row],[仕入先]],テーブル1[仕入先名],テーブル1[仕入先コード],"XXX",0,1)&amp;
"_"&amp;
商品マスタ[[#This Row],[シリアル]]&amp;
"_"&amp;
TEXT(COUNTIFS(商品マスタ!$C$3:C744,商品マスタ[[#This Row],[仕入先]],商品マスタ!$E$3:E744,商品マスタ[[#This Row],[商品名]]), "00")</f>
        <v/>
      </c>
      <c r="E744" s="167" t="n"/>
      <c r="F744" s="167">
        <f>IF(COUNTIFS($C$3:C744,商品マスタ[[#This Row],[仕入先]],$E$3:E744,商品マスタ[[#This Row],[商品名]]) = 1, 1,0)</f>
        <v/>
      </c>
      <c r="G744" s="133">
        <f>TEXT(SUMIF($C$3:C744,商品マスタ[[#This Row],[仕入先]],$F$3:F744), "0000")</f>
        <v/>
      </c>
      <c r="H744" s="167" t="n"/>
      <c r="I744" s="167" t="n"/>
      <c r="J744" s="167" t="n"/>
      <c r="K744" s="167" t="n"/>
      <c r="L744" s="289" t="n"/>
      <c r="M744" s="157" t="n"/>
      <c r="N744" s="289" t="n"/>
      <c r="O744" s="290">
        <f>IF(COUNT(商品マスタ[[#This Row],[参考上代
（税込)]]) &gt; 0, (商品マスタ[[#This Row],[参考上代
（税込)]]-商品マスタ[[#This Row],[国内定価
（15％）]])/(商品マスタ[[#This Row],[参考上代
（税込)]]/1.08), "")</f>
        <v/>
      </c>
      <c r="P744" s="136" t="n">
        <v>0.1</v>
      </c>
      <c r="Q744" s="289">
        <f>商品マスタ[[#This Row],[仕入
単価]]*商品マスタ[[#This Row],[標準国内送料率]]</f>
        <v/>
      </c>
      <c r="R744" s="289" t="n"/>
      <c r="S744" s="289">
        <f>IF(ISBLANK(商品マスタ[[#This Row],[実績
国内送料]]),商品マスタ[[#This Row],[標準国内送料]],)</f>
        <v/>
      </c>
      <c r="T744" s="289">
        <f>商品マスタ[[#This Row],[仕入
単価]]+商品マスタ[[#This Row],[国内送料]]</f>
        <v/>
      </c>
      <c r="U744" s="289">
        <f>ROUNDUP(商品マスタ[[#This Row],[仕入単価+国内送料]]/0.8,-1)</f>
        <v/>
      </c>
      <c r="V744" s="289">
        <f>商品マスタ[[#This Row],[海外定価
（20％）]]-商品マスタ[[#This Row],[仕入単価+国内送料]]</f>
        <v/>
      </c>
      <c r="W744" s="167">
        <f>ROUNDUP(商品マスタ[[#This Row],[仕入単価+国内送料]]/0.85,-1)</f>
        <v/>
      </c>
      <c r="X744" s="289">
        <f>商品マスタ[[#This Row],[国内定価
（15％）]]-商品マスタ[[#This Row],[仕入単価+国内送料]]</f>
        <v/>
      </c>
      <c r="Y744" s="139" t="n"/>
      <c r="Z744" s="167" t="n"/>
      <c r="AA744" s="167" t="n"/>
      <c r="AB744" s="167" t="n"/>
      <c r="AC744" s="293" t="n"/>
      <c r="AD744" s="167" t="n"/>
      <c r="AE744" s="167" t="n"/>
      <c r="AF744" s="167" t="n"/>
      <c r="AG744" s="144" t="n"/>
    </row>
    <row r="745" ht="18" customHeight="1" s="207">
      <c r="A745" s="166" t="n"/>
      <c r="B745" s="167" t="n"/>
      <c r="C745" s="167" t="n"/>
      <c r="D745" s="143">
        <f>"PRD_SNJ_"&amp;
_xlfn.XLOOKUP(商品マスタ[[#This Row],[仕入先]],テーブル1[仕入先名],テーブル1[仕入先コード],"XXX",0,1)&amp;
"_"&amp;
商品マスタ[[#This Row],[シリアル]]&amp;
"_"&amp;
TEXT(COUNTIFS(商品マスタ!$C$3:C745,商品マスタ[[#This Row],[仕入先]],商品マスタ!$E$3:E745,商品マスタ[[#This Row],[商品名]]), "00")</f>
        <v/>
      </c>
      <c r="E745" s="167" t="n"/>
      <c r="F745" s="167">
        <f>IF(COUNTIFS($C$3:C745,商品マスタ[[#This Row],[仕入先]],$E$3:E745,商品マスタ[[#This Row],[商品名]]) = 1, 1,0)</f>
        <v/>
      </c>
      <c r="G745" s="133">
        <f>TEXT(SUMIF($C$3:C745,商品マスタ[[#This Row],[仕入先]],$F$3:F745), "0000")</f>
        <v/>
      </c>
      <c r="H745" s="167" t="n"/>
      <c r="I745" s="167" t="n"/>
      <c r="J745" s="167" t="n"/>
      <c r="K745" s="167" t="n"/>
      <c r="L745" s="289" t="n"/>
      <c r="M745" s="157" t="n"/>
      <c r="N745" s="289" t="n"/>
      <c r="O745" s="290">
        <f>IF(COUNT(商品マスタ[[#This Row],[参考上代
（税込)]]) &gt; 0, (商品マスタ[[#This Row],[参考上代
（税込)]]-商品マスタ[[#This Row],[国内定価
（15％）]])/(商品マスタ[[#This Row],[参考上代
（税込)]]/1.08), "")</f>
        <v/>
      </c>
      <c r="P745" s="136" t="n">
        <v>0.1</v>
      </c>
      <c r="Q745" s="289">
        <f>商品マスタ[[#This Row],[仕入
単価]]*商品マスタ[[#This Row],[標準国内送料率]]</f>
        <v/>
      </c>
      <c r="R745" s="289" t="n"/>
      <c r="S745" s="289">
        <f>IF(ISBLANK(商品マスタ[[#This Row],[実績
国内送料]]),商品マスタ[[#This Row],[標準国内送料]],)</f>
        <v/>
      </c>
      <c r="T745" s="289">
        <f>商品マスタ[[#This Row],[仕入
単価]]+商品マスタ[[#This Row],[国内送料]]</f>
        <v/>
      </c>
      <c r="U745" s="289">
        <f>ROUNDUP(商品マスタ[[#This Row],[仕入単価+国内送料]]/0.8,-1)</f>
        <v/>
      </c>
      <c r="V745" s="289">
        <f>商品マスタ[[#This Row],[海外定価
（20％）]]-商品マスタ[[#This Row],[仕入単価+国内送料]]</f>
        <v/>
      </c>
      <c r="W745" s="167">
        <f>ROUNDUP(商品マスタ[[#This Row],[仕入単価+国内送料]]/0.85,-1)</f>
        <v/>
      </c>
      <c r="X745" s="289">
        <f>商品マスタ[[#This Row],[国内定価
（15％）]]-商品マスタ[[#This Row],[仕入単価+国内送料]]</f>
        <v/>
      </c>
      <c r="Y745" s="139" t="n"/>
      <c r="Z745" s="167" t="n"/>
      <c r="AA745" s="167" t="n"/>
      <c r="AB745" s="167" t="n"/>
      <c r="AC745" s="293" t="n"/>
      <c r="AD745" s="167" t="n"/>
      <c r="AE745" s="167" t="n"/>
      <c r="AF745" s="167" t="n"/>
      <c r="AG745" s="144" t="n"/>
    </row>
    <row r="746" ht="18" customHeight="1" s="207">
      <c r="A746" s="166" t="n"/>
      <c r="B746" s="167" t="n"/>
      <c r="C746" s="167" t="n"/>
      <c r="D746" s="143">
        <f>"PRD_SNJ_"&amp;
_xlfn.XLOOKUP(商品マスタ[[#This Row],[仕入先]],テーブル1[仕入先名],テーブル1[仕入先コード],"XXX",0,1)&amp;
"_"&amp;
商品マスタ[[#This Row],[シリアル]]&amp;
"_"&amp;
TEXT(COUNTIFS(商品マスタ!$C$3:C746,商品マスタ[[#This Row],[仕入先]],商品マスタ!$E$3:E746,商品マスタ[[#This Row],[商品名]]), "00")</f>
        <v/>
      </c>
      <c r="E746" s="167" t="n"/>
      <c r="F746" s="167">
        <f>IF(COUNTIFS($C$3:C746,商品マスタ[[#This Row],[仕入先]],$E$3:E746,商品マスタ[[#This Row],[商品名]]) = 1, 1,0)</f>
        <v/>
      </c>
      <c r="G746" s="133">
        <f>TEXT(SUMIF($C$3:C746,商品マスタ[[#This Row],[仕入先]],$F$3:F746), "0000")</f>
        <v/>
      </c>
      <c r="H746" s="167" t="n"/>
      <c r="I746" s="167" t="n"/>
      <c r="J746" s="167" t="n"/>
      <c r="K746" s="167" t="n"/>
      <c r="L746" s="289" t="n"/>
      <c r="M746" s="157" t="n"/>
      <c r="N746" s="289" t="n"/>
      <c r="O746" s="290">
        <f>IF(COUNT(商品マスタ[[#This Row],[参考上代
（税込)]]) &gt; 0, (商品マスタ[[#This Row],[参考上代
（税込)]]-商品マスタ[[#This Row],[国内定価
（15％）]])/(商品マスタ[[#This Row],[参考上代
（税込)]]/1.08), "")</f>
        <v/>
      </c>
      <c r="P746" s="136" t="n">
        <v>0.1</v>
      </c>
      <c r="Q746" s="289">
        <f>商品マスタ[[#This Row],[仕入
単価]]*商品マスタ[[#This Row],[標準国内送料率]]</f>
        <v/>
      </c>
      <c r="R746" s="289" t="n"/>
      <c r="S746" s="289">
        <f>IF(ISBLANK(商品マスタ[[#This Row],[実績
国内送料]]),商品マスタ[[#This Row],[標準国内送料]],)</f>
        <v/>
      </c>
      <c r="T746" s="289">
        <f>商品マスタ[[#This Row],[仕入
単価]]+商品マスタ[[#This Row],[国内送料]]</f>
        <v/>
      </c>
      <c r="U746" s="289">
        <f>ROUNDUP(商品マスタ[[#This Row],[仕入単価+国内送料]]/0.8,-1)</f>
        <v/>
      </c>
      <c r="V746" s="289">
        <f>商品マスタ[[#This Row],[海外定価
（20％）]]-商品マスタ[[#This Row],[仕入単価+国内送料]]</f>
        <v/>
      </c>
      <c r="W746" s="167">
        <f>ROUNDUP(商品マスタ[[#This Row],[仕入単価+国内送料]]/0.85,-1)</f>
        <v/>
      </c>
      <c r="X746" s="289">
        <f>商品マスタ[[#This Row],[国内定価
（15％）]]-商品マスタ[[#This Row],[仕入単価+国内送料]]</f>
        <v/>
      </c>
      <c r="Y746" s="139" t="n"/>
      <c r="Z746" s="167" t="n"/>
      <c r="AA746" s="167" t="n"/>
      <c r="AB746" s="167" t="n"/>
      <c r="AC746" s="293" t="n"/>
      <c r="AD746" s="167" t="n"/>
      <c r="AE746" s="167" t="n"/>
      <c r="AF746" s="167" t="n"/>
      <c r="AG746" s="144" t="n"/>
    </row>
    <row r="747" ht="18" customHeight="1" s="207">
      <c r="A747" s="166" t="n"/>
      <c r="B747" s="167" t="n"/>
      <c r="C747" s="167" t="n"/>
      <c r="D747" s="143">
        <f>"PRD_SNJ_"&amp;
_xlfn.XLOOKUP(商品マスタ[[#This Row],[仕入先]],テーブル1[仕入先名],テーブル1[仕入先コード],"XXX",0,1)&amp;
"_"&amp;
商品マスタ[[#This Row],[シリアル]]&amp;
"_"&amp;
TEXT(COUNTIFS(商品マスタ!$C$3:C747,商品マスタ[[#This Row],[仕入先]],商品マスタ!$E$3:E747,商品マスタ[[#This Row],[商品名]]), "00")</f>
        <v/>
      </c>
      <c r="E747" s="167" t="n"/>
      <c r="F747" s="167">
        <f>IF(COUNTIFS($C$3:C747,商品マスタ[[#This Row],[仕入先]],$E$3:E747,商品マスタ[[#This Row],[商品名]]) = 1, 1,0)</f>
        <v/>
      </c>
      <c r="G747" s="133">
        <f>TEXT(SUMIF($C$3:C747,商品マスタ[[#This Row],[仕入先]],$F$3:F747), "0000")</f>
        <v/>
      </c>
      <c r="H747" s="167" t="n"/>
      <c r="I747" s="167" t="n"/>
      <c r="J747" s="167" t="n"/>
      <c r="K747" s="167" t="n"/>
      <c r="L747" s="289" t="n"/>
      <c r="M747" s="157" t="n"/>
      <c r="N747" s="289" t="n"/>
      <c r="O747" s="290">
        <f>IF(COUNT(商品マスタ[[#This Row],[参考上代
（税込)]]) &gt; 0, (商品マスタ[[#This Row],[参考上代
（税込)]]-商品マスタ[[#This Row],[国内定価
（15％）]])/(商品マスタ[[#This Row],[参考上代
（税込)]]/1.08), "")</f>
        <v/>
      </c>
      <c r="P747" s="136" t="n">
        <v>0.1</v>
      </c>
      <c r="Q747" s="289">
        <f>商品マスタ[[#This Row],[仕入
単価]]*商品マスタ[[#This Row],[標準国内送料率]]</f>
        <v/>
      </c>
      <c r="R747" s="289" t="n"/>
      <c r="S747" s="289">
        <f>IF(ISBLANK(商品マスタ[[#This Row],[実績
国内送料]]),商品マスタ[[#This Row],[標準国内送料]],)</f>
        <v/>
      </c>
      <c r="T747" s="289">
        <f>商品マスタ[[#This Row],[仕入
単価]]+商品マスタ[[#This Row],[国内送料]]</f>
        <v/>
      </c>
      <c r="U747" s="289">
        <f>ROUNDUP(商品マスタ[[#This Row],[仕入単価+国内送料]]/0.8,-1)</f>
        <v/>
      </c>
      <c r="V747" s="289">
        <f>商品マスタ[[#This Row],[海外定価
（20％）]]-商品マスタ[[#This Row],[仕入単価+国内送料]]</f>
        <v/>
      </c>
      <c r="W747" s="167">
        <f>ROUNDUP(商品マスタ[[#This Row],[仕入単価+国内送料]]/0.85,-1)</f>
        <v/>
      </c>
      <c r="X747" s="289">
        <f>商品マスタ[[#This Row],[国内定価
（15％）]]-商品マスタ[[#This Row],[仕入単価+国内送料]]</f>
        <v/>
      </c>
      <c r="Y747" s="139" t="n"/>
      <c r="Z747" s="167" t="n"/>
      <c r="AA747" s="167" t="n"/>
      <c r="AB747" s="167" t="n"/>
      <c r="AC747" s="293" t="n"/>
      <c r="AD747" s="167" t="n"/>
      <c r="AE747" s="167" t="n"/>
      <c r="AF747" s="167" t="n"/>
      <c r="AG747" s="144" t="n"/>
    </row>
    <row r="748" ht="18" customHeight="1" s="207">
      <c r="A748" s="166" t="n"/>
      <c r="B748" s="167" t="n"/>
      <c r="C748" s="167" t="n"/>
      <c r="D748" s="143">
        <f>"PRD_SNJ_"&amp;
_xlfn.XLOOKUP(商品マスタ[[#This Row],[仕入先]],テーブル1[仕入先名],テーブル1[仕入先コード],"XXX",0,1)&amp;
"_"&amp;
商品マスタ[[#This Row],[シリアル]]&amp;
"_"&amp;
TEXT(COUNTIFS(商品マスタ!$C$3:C748,商品マスタ[[#This Row],[仕入先]],商品マスタ!$E$3:E748,商品マスタ[[#This Row],[商品名]]), "00")</f>
        <v/>
      </c>
      <c r="E748" s="167" t="n"/>
      <c r="F748" s="167">
        <f>IF(COUNTIFS($C$3:C748,商品マスタ[[#This Row],[仕入先]],$E$3:E748,商品マスタ[[#This Row],[商品名]]) = 1, 1,0)</f>
        <v/>
      </c>
      <c r="G748" s="133">
        <f>TEXT(SUMIF($C$3:C748,商品マスタ[[#This Row],[仕入先]],$F$3:F748), "0000")</f>
        <v/>
      </c>
      <c r="H748" s="167" t="n"/>
      <c r="I748" s="167" t="n"/>
      <c r="J748" s="167" t="n"/>
      <c r="K748" s="167" t="n"/>
      <c r="L748" s="289" t="n"/>
      <c r="M748" s="157" t="n"/>
      <c r="N748" s="289" t="n"/>
      <c r="O748" s="290">
        <f>IF(COUNT(商品マスタ[[#This Row],[参考上代
（税込)]]) &gt; 0, (商品マスタ[[#This Row],[参考上代
（税込)]]-商品マスタ[[#This Row],[国内定価
（15％）]])/(商品マスタ[[#This Row],[参考上代
（税込)]]/1.08), "")</f>
        <v/>
      </c>
      <c r="P748" s="136" t="n">
        <v>0.1</v>
      </c>
      <c r="Q748" s="289">
        <f>商品マスタ[[#This Row],[仕入
単価]]*商品マスタ[[#This Row],[標準国内送料率]]</f>
        <v/>
      </c>
      <c r="R748" s="289" t="n"/>
      <c r="S748" s="289">
        <f>IF(ISBLANK(商品マスタ[[#This Row],[実績
国内送料]]),商品マスタ[[#This Row],[標準国内送料]],)</f>
        <v/>
      </c>
      <c r="T748" s="289">
        <f>商品マスタ[[#This Row],[仕入
単価]]+商品マスタ[[#This Row],[国内送料]]</f>
        <v/>
      </c>
      <c r="U748" s="289">
        <f>ROUNDUP(商品マスタ[[#This Row],[仕入単価+国内送料]]/0.8,-1)</f>
        <v/>
      </c>
      <c r="V748" s="289">
        <f>商品マスタ[[#This Row],[海外定価
（20％）]]-商品マスタ[[#This Row],[仕入単価+国内送料]]</f>
        <v/>
      </c>
      <c r="W748" s="167">
        <f>ROUNDUP(商品マスタ[[#This Row],[仕入単価+国内送料]]/0.85,-1)</f>
        <v/>
      </c>
      <c r="X748" s="289">
        <f>商品マスタ[[#This Row],[国内定価
（15％）]]-商品マスタ[[#This Row],[仕入単価+国内送料]]</f>
        <v/>
      </c>
      <c r="Y748" s="139" t="n"/>
      <c r="Z748" s="167" t="n"/>
      <c r="AA748" s="167" t="n"/>
      <c r="AB748" s="167" t="n"/>
      <c r="AC748" s="293" t="n"/>
      <c r="AD748" s="167" t="n"/>
      <c r="AE748" s="167" t="n"/>
      <c r="AF748" s="167" t="n"/>
      <c r="AG748" s="144" t="n"/>
    </row>
    <row r="749" ht="18" customHeight="1" s="207">
      <c r="A749" s="166" t="n"/>
      <c r="B749" s="167" t="n"/>
      <c r="C749" s="167" t="n"/>
      <c r="D749" s="143">
        <f>"PRD_SNJ_"&amp;
_xlfn.XLOOKUP(商品マスタ[[#This Row],[仕入先]],テーブル1[仕入先名],テーブル1[仕入先コード],"XXX",0,1)&amp;
"_"&amp;
商品マスタ[[#This Row],[シリアル]]&amp;
"_"&amp;
TEXT(COUNTIFS(商品マスタ!$C$3:C749,商品マスタ[[#This Row],[仕入先]],商品マスタ!$E$3:E749,商品マスタ[[#This Row],[商品名]]), "00")</f>
        <v/>
      </c>
      <c r="E749" s="167" t="n"/>
      <c r="F749" s="167">
        <f>IF(COUNTIFS($C$3:C749,商品マスタ[[#This Row],[仕入先]],$E$3:E749,商品マスタ[[#This Row],[商品名]]) = 1, 1,0)</f>
        <v/>
      </c>
      <c r="G749" s="133">
        <f>TEXT(SUMIF($C$3:C749,商品マスタ[[#This Row],[仕入先]],$F$3:F749), "0000")</f>
        <v/>
      </c>
      <c r="H749" s="167" t="n"/>
      <c r="I749" s="167" t="n"/>
      <c r="J749" s="167" t="n"/>
      <c r="K749" s="167" t="n"/>
      <c r="L749" s="289" t="n"/>
      <c r="M749" s="157" t="n"/>
      <c r="N749" s="289" t="n"/>
      <c r="O749" s="290">
        <f>IF(COUNT(商品マスタ[[#This Row],[参考上代
（税込)]]) &gt; 0, (商品マスタ[[#This Row],[参考上代
（税込)]]-商品マスタ[[#This Row],[国内定価
（15％）]])/(商品マスタ[[#This Row],[参考上代
（税込)]]/1.08), "")</f>
        <v/>
      </c>
      <c r="P749" s="136" t="n">
        <v>0.1</v>
      </c>
      <c r="Q749" s="289">
        <f>商品マスタ[[#This Row],[仕入
単価]]*商品マスタ[[#This Row],[標準国内送料率]]</f>
        <v/>
      </c>
      <c r="R749" s="289" t="n"/>
      <c r="S749" s="289">
        <f>IF(ISBLANK(商品マスタ[[#This Row],[実績
国内送料]]),商品マスタ[[#This Row],[標準国内送料]],)</f>
        <v/>
      </c>
      <c r="T749" s="289">
        <f>商品マスタ[[#This Row],[仕入
単価]]+商品マスタ[[#This Row],[国内送料]]</f>
        <v/>
      </c>
      <c r="U749" s="289">
        <f>ROUNDUP(商品マスタ[[#This Row],[仕入単価+国内送料]]/0.8,-1)</f>
        <v/>
      </c>
      <c r="V749" s="289">
        <f>商品マスタ[[#This Row],[海外定価
（20％）]]-商品マスタ[[#This Row],[仕入単価+国内送料]]</f>
        <v/>
      </c>
      <c r="W749" s="167">
        <f>ROUNDUP(商品マスタ[[#This Row],[仕入単価+国内送料]]/0.85,-1)</f>
        <v/>
      </c>
      <c r="X749" s="289">
        <f>商品マスタ[[#This Row],[国内定価
（15％）]]-商品マスタ[[#This Row],[仕入単価+国内送料]]</f>
        <v/>
      </c>
      <c r="Y749" s="139" t="n"/>
      <c r="Z749" s="167" t="n"/>
      <c r="AA749" s="167" t="n"/>
      <c r="AB749" s="167" t="n"/>
      <c r="AC749" s="293" t="n"/>
      <c r="AD749" s="167" t="n"/>
      <c r="AE749" s="167" t="n"/>
      <c r="AF749" s="167" t="n"/>
      <c r="AG749" s="144" t="n"/>
    </row>
    <row r="750" ht="18" customHeight="1" s="207">
      <c r="A750" s="166" t="n"/>
      <c r="B750" s="167" t="n"/>
      <c r="C750" s="167" t="n"/>
      <c r="D750" s="143">
        <f>"PRD_SNJ_"&amp;
_xlfn.XLOOKUP(商品マスタ[[#This Row],[仕入先]],テーブル1[仕入先名],テーブル1[仕入先コード],"XXX",0,1)&amp;
"_"&amp;
商品マスタ[[#This Row],[シリアル]]&amp;
"_"&amp;
TEXT(COUNTIFS(商品マスタ!$C$3:C750,商品マスタ[[#This Row],[仕入先]],商品マスタ!$E$3:E750,商品マスタ[[#This Row],[商品名]]), "00")</f>
        <v/>
      </c>
      <c r="E750" s="167" t="n"/>
      <c r="F750" s="167">
        <f>IF(COUNTIFS($C$3:C750,商品マスタ[[#This Row],[仕入先]],$E$3:E750,商品マスタ[[#This Row],[商品名]]) = 1, 1,0)</f>
        <v/>
      </c>
      <c r="G750" s="133">
        <f>TEXT(SUMIF($C$3:C750,商品マスタ[[#This Row],[仕入先]],$F$3:F750), "0000")</f>
        <v/>
      </c>
      <c r="H750" s="167" t="n"/>
      <c r="I750" s="167" t="n"/>
      <c r="J750" s="167" t="n"/>
      <c r="K750" s="167" t="n"/>
      <c r="L750" s="289" t="n"/>
      <c r="M750" s="157" t="n"/>
      <c r="N750" s="289" t="n"/>
      <c r="O750" s="290">
        <f>IF(COUNT(商品マスタ[[#This Row],[参考上代
（税込)]]) &gt; 0, (商品マスタ[[#This Row],[参考上代
（税込)]]-商品マスタ[[#This Row],[国内定価
（15％）]])/(商品マスタ[[#This Row],[参考上代
（税込)]]/1.08), "")</f>
        <v/>
      </c>
      <c r="P750" s="136" t="n">
        <v>0.1</v>
      </c>
      <c r="Q750" s="289">
        <f>商品マスタ[[#This Row],[仕入
単価]]*商品マスタ[[#This Row],[標準国内送料率]]</f>
        <v/>
      </c>
      <c r="R750" s="289" t="n"/>
      <c r="S750" s="289">
        <f>IF(ISBLANK(商品マスタ[[#This Row],[実績
国内送料]]),商品マスタ[[#This Row],[標準国内送料]],)</f>
        <v/>
      </c>
      <c r="T750" s="289">
        <f>商品マスタ[[#This Row],[仕入
単価]]+商品マスタ[[#This Row],[国内送料]]</f>
        <v/>
      </c>
      <c r="U750" s="289">
        <f>ROUNDUP(商品マスタ[[#This Row],[仕入単価+国内送料]]/0.8,-1)</f>
        <v/>
      </c>
      <c r="V750" s="289">
        <f>商品マスタ[[#This Row],[海外定価
（20％）]]-商品マスタ[[#This Row],[仕入単価+国内送料]]</f>
        <v/>
      </c>
      <c r="W750" s="167">
        <f>ROUNDUP(商品マスタ[[#This Row],[仕入単価+国内送料]]/0.85,-1)</f>
        <v/>
      </c>
      <c r="X750" s="289">
        <f>商品マスタ[[#This Row],[国内定価
（15％）]]-商品マスタ[[#This Row],[仕入単価+国内送料]]</f>
        <v/>
      </c>
      <c r="Y750" s="139" t="n"/>
      <c r="Z750" s="167" t="n"/>
      <c r="AA750" s="167" t="n"/>
      <c r="AB750" s="167" t="n"/>
      <c r="AC750" s="293" t="n"/>
      <c r="AD750" s="167" t="n"/>
      <c r="AE750" s="167" t="n"/>
      <c r="AF750" s="167" t="n"/>
      <c r="AG750" s="144" t="n"/>
    </row>
    <row r="751" ht="18" customHeight="1" s="207">
      <c r="A751" s="166" t="n"/>
      <c r="B751" s="167" t="n"/>
      <c r="C751" s="167" t="n"/>
      <c r="D751" s="143">
        <f>"PRD_SNJ_"&amp;
_xlfn.XLOOKUP(商品マスタ[[#This Row],[仕入先]],テーブル1[仕入先名],テーブル1[仕入先コード],"XXX",0,1)&amp;
"_"&amp;
商品マスタ[[#This Row],[シリアル]]&amp;
"_"&amp;
TEXT(COUNTIFS(商品マスタ!$C$3:C751,商品マスタ[[#This Row],[仕入先]],商品マスタ!$E$3:E751,商品マスタ[[#This Row],[商品名]]), "00")</f>
        <v/>
      </c>
      <c r="E751" s="167" t="n"/>
      <c r="F751" s="167">
        <f>IF(COUNTIFS($C$3:C751,商品マスタ[[#This Row],[仕入先]],$E$3:E751,商品マスタ[[#This Row],[商品名]]) = 1, 1,0)</f>
        <v/>
      </c>
      <c r="G751" s="133">
        <f>TEXT(SUMIF($C$3:C751,商品マスタ[[#This Row],[仕入先]],$F$3:F751), "0000")</f>
        <v/>
      </c>
      <c r="H751" s="167" t="n"/>
      <c r="I751" s="167" t="n"/>
      <c r="J751" s="167" t="n"/>
      <c r="K751" s="167" t="n"/>
      <c r="L751" s="289" t="n"/>
      <c r="M751" s="157" t="n"/>
      <c r="N751" s="289" t="n"/>
      <c r="O751" s="290">
        <f>IF(COUNT(商品マスタ[[#This Row],[参考上代
（税込)]]) &gt; 0, (商品マスタ[[#This Row],[参考上代
（税込)]]-商品マスタ[[#This Row],[国内定価
（15％）]])/(商品マスタ[[#This Row],[参考上代
（税込)]]/1.08), "")</f>
        <v/>
      </c>
      <c r="P751" s="136" t="n">
        <v>0.1</v>
      </c>
      <c r="Q751" s="289">
        <f>商品マスタ[[#This Row],[仕入
単価]]*商品マスタ[[#This Row],[標準国内送料率]]</f>
        <v/>
      </c>
      <c r="R751" s="289" t="n"/>
      <c r="S751" s="289">
        <f>IF(ISBLANK(商品マスタ[[#This Row],[実績
国内送料]]),商品マスタ[[#This Row],[標準国内送料]],)</f>
        <v/>
      </c>
      <c r="T751" s="289">
        <f>商品マスタ[[#This Row],[仕入
単価]]+商品マスタ[[#This Row],[国内送料]]</f>
        <v/>
      </c>
      <c r="U751" s="289">
        <f>ROUNDUP(商品マスタ[[#This Row],[仕入単価+国内送料]]/0.8,-1)</f>
        <v/>
      </c>
      <c r="V751" s="289">
        <f>商品マスタ[[#This Row],[海外定価
（20％）]]-商品マスタ[[#This Row],[仕入単価+国内送料]]</f>
        <v/>
      </c>
      <c r="W751" s="167">
        <f>ROUNDUP(商品マスタ[[#This Row],[仕入単価+国内送料]]/0.85,-1)</f>
        <v/>
      </c>
      <c r="X751" s="289">
        <f>商品マスタ[[#This Row],[国内定価
（15％）]]-商品マスタ[[#This Row],[仕入単価+国内送料]]</f>
        <v/>
      </c>
      <c r="Y751" s="139" t="n"/>
      <c r="Z751" s="167" t="n"/>
      <c r="AA751" s="167" t="n"/>
      <c r="AB751" s="167" t="n"/>
      <c r="AC751" s="293" t="n"/>
      <c r="AD751" s="167" t="n"/>
      <c r="AE751" s="167" t="n"/>
      <c r="AF751" s="167" t="n"/>
      <c r="AG751" s="144" t="n"/>
    </row>
    <row r="752" ht="18" customHeight="1" s="207">
      <c r="A752" s="166" t="n"/>
      <c r="B752" s="167" t="n"/>
      <c r="C752" s="167" t="n"/>
      <c r="D752" s="143">
        <f>"PRD_SNJ_"&amp;
_xlfn.XLOOKUP(商品マスタ[[#This Row],[仕入先]],テーブル1[仕入先名],テーブル1[仕入先コード],"XXX",0,1)&amp;
"_"&amp;
商品マスタ[[#This Row],[シリアル]]&amp;
"_"&amp;
TEXT(COUNTIFS(商品マスタ!$C$3:C752,商品マスタ[[#This Row],[仕入先]],商品マスタ!$E$3:E752,商品マスタ[[#This Row],[商品名]]), "00")</f>
        <v/>
      </c>
      <c r="E752" s="167" t="n"/>
      <c r="F752" s="167">
        <f>IF(COUNTIFS($C$3:C752,商品マスタ[[#This Row],[仕入先]],$E$3:E752,商品マスタ[[#This Row],[商品名]]) = 1, 1,0)</f>
        <v/>
      </c>
      <c r="G752" s="133">
        <f>TEXT(SUMIF($C$3:C752,商品マスタ[[#This Row],[仕入先]],$F$3:F752), "0000")</f>
        <v/>
      </c>
      <c r="H752" s="167" t="n"/>
      <c r="I752" s="167" t="n"/>
      <c r="J752" s="167" t="n"/>
      <c r="K752" s="167" t="n"/>
      <c r="L752" s="289" t="n"/>
      <c r="M752" s="157" t="n"/>
      <c r="N752" s="289" t="n"/>
      <c r="O752" s="290">
        <f>IF(COUNT(商品マスタ[[#This Row],[参考上代
（税込)]]) &gt; 0, (商品マスタ[[#This Row],[参考上代
（税込)]]-商品マスタ[[#This Row],[国内定価
（15％）]])/(商品マスタ[[#This Row],[参考上代
（税込)]]/1.08), "")</f>
        <v/>
      </c>
      <c r="P752" s="136" t="n">
        <v>0.1</v>
      </c>
      <c r="Q752" s="289">
        <f>商品マスタ[[#This Row],[仕入
単価]]*商品マスタ[[#This Row],[標準国内送料率]]</f>
        <v/>
      </c>
      <c r="R752" s="289" t="n"/>
      <c r="S752" s="289">
        <f>IF(ISBLANK(商品マスタ[[#This Row],[実績
国内送料]]),商品マスタ[[#This Row],[標準国内送料]],)</f>
        <v/>
      </c>
      <c r="T752" s="289">
        <f>商品マスタ[[#This Row],[仕入
単価]]+商品マスタ[[#This Row],[国内送料]]</f>
        <v/>
      </c>
      <c r="U752" s="289">
        <f>ROUNDUP(商品マスタ[[#This Row],[仕入単価+国内送料]]/0.8,-1)</f>
        <v/>
      </c>
      <c r="V752" s="289">
        <f>商品マスタ[[#This Row],[海外定価
（20％）]]-商品マスタ[[#This Row],[仕入単価+国内送料]]</f>
        <v/>
      </c>
      <c r="W752" s="167">
        <f>ROUNDUP(商品マスタ[[#This Row],[仕入単価+国内送料]]/0.85,-1)</f>
        <v/>
      </c>
      <c r="X752" s="289">
        <f>商品マスタ[[#This Row],[国内定価
（15％）]]-商品マスタ[[#This Row],[仕入単価+国内送料]]</f>
        <v/>
      </c>
      <c r="Y752" s="139" t="n"/>
      <c r="Z752" s="167" t="n"/>
      <c r="AA752" s="167" t="n"/>
      <c r="AB752" s="167" t="n"/>
      <c r="AC752" s="293" t="n"/>
      <c r="AD752" s="167" t="n"/>
      <c r="AE752" s="167" t="n"/>
      <c r="AF752" s="167" t="n"/>
      <c r="AG752" s="144" t="n"/>
    </row>
    <row r="753" ht="18" customHeight="1" s="207">
      <c r="A753" s="166" t="n"/>
      <c r="B753" s="167" t="n"/>
      <c r="C753" s="167" t="n"/>
      <c r="D753" s="143">
        <f>"PRD_SNJ_"&amp;
_xlfn.XLOOKUP(商品マスタ[[#This Row],[仕入先]],テーブル1[仕入先名],テーブル1[仕入先コード],"XXX",0,1)&amp;
"_"&amp;
商品マスタ[[#This Row],[シリアル]]&amp;
"_"&amp;
TEXT(COUNTIFS(商品マスタ!$C$3:C753,商品マスタ[[#This Row],[仕入先]],商品マスタ!$E$3:E753,商品マスタ[[#This Row],[商品名]]), "00")</f>
        <v/>
      </c>
      <c r="E753" s="167" t="n"/>
      <c r="F753" s="167">
        <f>IF(COUNTIFS($C$3:C753,商品マスタ[[#This Row],[仕入先]],$E$3:E753,商品マスタ[[#This Row],[商品名]]) = 1, 1,0)</f>
        <v/>
      </c>
      <c r="G753" s="133">
        <f>TEXT(SUMIF($C$3:C753,商品マスタ[[#This Row],[仕入先]],$F$3:F753), "0000")</f>
        <v/>
      </c>
      <c r="H753" s="167" t="n"/>
      <c r="I753" s="167" t="n"/>
      <c r="J753" s="167" t="n"/>
      <c r="K753" s="167" t="n"/>
      <c r="L753" s="289" t="n"/>
      <c r="M753" s="157" t="n"/>
      <c r="N753" s="289" t="n"/>
      <c r="O753" s="290">
        <f>IF(COUNT(商品マスタ[[#This Row],[参考上代
（税込)]]) &gt; 0, (商品マスタ[[#This Row],[参考上代
（税込)]]-商品マスタ[[#This Row],[国内定価
（15％）]])/(商品マスタ[[#This Row],[参考上代
（税込)]]/1.08), "")</f>
        <v/>
      </c>
      <c r="P753" s="136" t="n">
        <v>0.1</v>
      </c>
      <c r="Q753" s="289">
        <f>商品マスタ[[#This Row],[仕入
単価]]*商品マスタ[[#This Row],[標準国内送料率]]</f>
        <v/>
      </c>
      <c r="R753" s="289" t="n"/>
      <c r="S753" s="289">
        <f>IF(ISBLANK(商品マスタ[[#This Row],[実績
国内送料]]),商品マスタ[[#This Row],[標準国内送料]],)</f>
        <v/>
      </c>
      <c r="T753" s="289">
        <f>商品マスタ[[#This Row],[仕入
単価]]+商品マスタ[[#This Row],[国内送料]]</f>
        <v/>
      </c>
      <c r="U753" s="289">
        <f>ROUNDUP(商品マスタ[[#This Row],[仕入単価+国内送料]]/0.8,-1)</f>
        <v/>
      </c>
      <c r="V753" s="289">
        <f>商品マスタ[[#This Row],[海外定価
（20％）]]-商品マスタ[[#This Row],[仕入単価+国内送料]]</f>
        <v/>
      </c>
      <c r="W753" s="167">
        <f>ROUNDUP(商品マスタ[[#This Row],[仕入単価+国内送料]]/0.85,-1)</f>
        <v/>
      </c>
      <c r="X753" s="289">
        <f>商品マスタ[[#This Row],[国内定価
（15％）]]-商品マスタ[[#This Row],[仕入単価+国内送料]]</f>
        <v/>
      </c>
      <c r="Y753" s="139" t="n"/>
      <c r="Z753" s="167" t="n"/>
      <c r="AA753" s="167" t="n"/>
      <c r="AB753" s="167" t="n"/>
      <c r="AC753" s="293" t="n"/>
      <c r="AD753" s="167" t="n"/>
      <c r="AE753" s="167" t="n"/>
      <c r="AF753" s="167" t="n"/>
      <c r="AG753" s="144" t="n"/>
    </row>
    <row r="754" ht="18" customHeight="1" s="207">
      <c r="A754" s="166" t="n"/>
      <c r="B754" s="167" t="n"/>
      <c r="C754" s="167" t="n"/>
      <c r="D754" s="143">
        <f>"PRD_SNJ_"&amp;
_xlfn.XLOOKUP(商品マスタ[[#This Row],[仕入先]],テーブル1[仕入先名],テーブル1[仕入先コード],"XXX",0,1)&amp;
"_"&amp;
商品マスタ[[#This Row],[シリアル]]&amp;
"_"&amp;
TEXT(COUNTIFS(商品マスタ!$C$3:C754,商品マスタ[[#This Row],[仕入先]],商品マスタ!$E$3:E754,商品マスタ[[#This Row],[商品名]]), "00")</f>
        <v/>
      </c>
      <c r="E754" s="167" t="n"/>
      <c r="F754" s="167">
        <f>IF(COUNTIFS($C$3:C754,商品マスタ[[#This Row],[仕入先]],$E$3:E754,商品マスタ[[#This Row],[商品名]]) = 1, 1,0)</f>
        <v/>
      </c>
      <c r="G754" s="133">
        <f>TEXT(SUMIF($C$3:C754,商品マスタ[[#This Row],[仕入先]],$F$3:F754), "0000")</f>
        <v/>
      </c>
      <c r="H754" s="167" t="n"/>
      <c r="I754" s="167" t="n"/>
      <c r="J754" s="167" t="n"/>
      <c r="K754" s="167" t="n"/>
      <c r="L754" s="289" t="n"/>
      <c r="M754" s="157" t="n"/>
      <c r="N754" s="289" t="n"/>
      <c r="O754" s="290">
        <f>IF(COUNT(商品マスタ[[#This Row],[参考上代
（税込)]]) &gt; 0, (商品マスタ[[#This Row],[参考上代
（税込)]]-商品マスタ[[#This Row],[国内定価
（15％）]])/(商品マスタ[[#This Row],[参考上代
（税込)]]/1.08), "")</f>
        <v/>
      </c>
      <c r="P754" s="136" t="n">
        <v>0.1</v>
      </c>
      <c r="Q754" s="289">
        <f>商品マスタ[[#This Row],[仕入
単価]]*商品マスタ[[#This Row],[標準国内送料率]]</f>
        <v/>
      </c>
      <c r="R754" s="289" t="n"/>
      <c r="S754" s="289">
        <f>IF(ISBLANK(商品マスタ[[#This Row],[実績
国内送料]]),商品マスタ[[#This Row],[標準国内送料]],)</f>
        <v/>
      </c>
      <c r="T754" s="289">
        <f>商品マスタ[[#This Row],[仕入
単価]]+商品マスタ[[#This Row],[国内送料]]</f>
        <v/>
      </c>
      <c r="U754" s="289">
        <f>ROUNDUP(商品マスタ[[#This Row],[仕入単価+国内送料]]/0.8,-1)</f>
        <v/>
      </c>
      <c r="V754" s="289">
        <f>商品マスタ[[#This Row],[海外定価
（20％）]]-商品マスタ[[#This Row],[仕入単価+国内送料]]</f>
        <v/>
      </c>
      <c r="W754" s="167">
        <f>ROUNDUP(商品マスタ[[#This Row],[仕入単価+国内送料]]/0.85,-1)</f>
        <v/>
      </c>
      <c r="X754" s="289">
        <f>商品マスタ[[#This Row],[国内定価
（15％）]]-商品マスタ[[#This Row],[仕入単価+国内送料]]</f>
        <v/>
      </c>
      <c r="Y754" s="139" t="n"/>
      <c r="Z754" s="167" t="n"/>
      <c r="AA754" s="167" t="n"/>
      <c r="AB754" s="167" t="n"/>
      <c r="AC754" s="293" t="n"/>
      <c r="AD754" s="167" t="n"/>
      <c r="AE754" s="167" t="n"/>
      <c r="AF754" s="167" t="n"/>
      <c r="AG754" s="144" t="n"/>
    </row>
    <row r="755" ht="18" customHeight="1" s="207">
      <c r="A755" s="166" t="n"/>
      <c r="B755" s="167" t="n"/>
      <c r="C755" s="167" t="n"/>
      <c r="D755" s="143">
        <f>"PRD_SNJ_"&amp;
_xlfn.XLOOKUP(商品マスタ[[#This Row],[仕入先]],テーブル1[仕入先名],テーブル1[仕入先コード],"XXX",0,1)&amp;
"_"&amp;
商品マスタ[[#This Row],[シリアル]]&amp;
"_"&amp;
TEXT(COUNTIFS(商品マスタ!$C$3:C755,商品マスタ[[#This Row],[仕入先]],商品マスタ!$E$3:E755,商品マスタ[[#This Row],[商品名]]), "00")</f>
        <v/>
      </c>
      <c r="E755" s="167" t="n"/>
      <c r="F755" s="167">
        <f>IF(COUNTIFS($C$3:C755,商品マスタ[[#This Row],[仕入先]],$E$3:E755,商品マスタ[[#This Row],[商品名]]) = 1, 1,0)</f>
        <v/>
      </c>
      <c r="G755" s="133">
        <f>TEXT(SUMIF($C$3:C755,商品マスタ[[#This Row],[仕入先]],$F$3:F755), "0000")</f>
        <v/>
      </c>
      <c r="H755" s="167" t="n"/>
      <c r="I755" s="167" t="n"/>
      <c r="J755" s="167" t="n"/>
      <c r="K755" s="167" t="n"/>
      <c r="L755" s="289" t="n"/>
      <c r="M755" s="157" t="n"/>
      <c r="N755" s="289" t="n"/>
      <c r="O755" s="290">
        <f>IF(COUNT(商品マスタ[[#This Row],[参考上代
（税込)]]) &gt; 0, (商品マスタ[[#This Row],[参考上代
（税込)]]-商品マスタ[[#This Row],[国内定価
（15％）]])/(商品マスタ[[#This Row],[参考上代
（税込)]]/1.08), "")</f>
        <v/>
      </c>
      <c r="P755" s="136" t="n">
        <v>0.1</v>
      </c>
      <c r="Q755" s="289">
        <f>商品マスタ[[#This Row],[仕入
単価]]*商品マスタ[[#This Row],[標準国内送料率]]</f>
        <v/>
      </c>
      <c r="R755" s="289" t="n"/>
      <c r="S755" s="289">
        <f>IF(ISBLANK(商品マスタ[[#This Row],[実績
国内送料]]),商品マスタ[[#This Row],[標準国内送料]],)</f>
        <v/>
      </c>
      <c r="T755" s="289">
        <f>商品マスタ[[#This Row],[仕入
単価]]+商品マスタ[[#This Row],[国内送料]]</f>
        <v/>
      </c>
      <c r="U755" s="289">
        <f>ROUNDUP(商品マスタ[[#This Row],[仕入単価+国内送料]]/0.8,-1)</f>
        <v/>
      </c>
      <c r="V755" s="289">
        <f>商品マスタ[[#This Row],[海外定価
（20％）]]-商品マスタ[[#This Row],[仕入単価+国内送料]]</f>
        <v/>
      </c>
      <c r="W755" s="167">
        <f>ROUNDUP(商品マスタ[[#This Row],[仕入単価+国内送料]]/0.85,-1)</f>
        <v/>
      </c>
      <c r="X755" s="289">
        <f>商品マスタ[[#This Row],[国内定価
（15％）]]-商品マスタ[[#This Row],[仕入単価+国内送料]]</f>
        <v/>
      </c>
      <c r="Y755" s="139" t="n"/>
      <c r="Z755" s="167" t="n"/>
      <c r="AA755" s="167" t="n"/>
      <c r="AB755" s="167" t="n"/>
      <c r="AC755" s="293" t="n"/>
      <c r="AD755" s="167" t="n"/>
      <c r="AE755" s="167" t="n"/>
      <c r="AF755" s="167" t="n"/>
      <c r="AG755" s="144" t="n"/>
    </row>
    <row r="756" ht="18" customHeight="1" s="207">
      <c r="A756" s="166" t="n"/>
      <c r="B756" s="167" t="n"/>
      <c r="C756" s="167" t="n"/>
      <c r="D756" s="143">
        <f>"PRD_SNJ_"&amp;
_xlfn.XLOOKUP(商品マスタ[[#This Row],[仕入先]],テーブル1[仕入先名],テーブル1[仕入先コード],"XXX",0,1)&amp;
"_"&amp;
商品マスタ[[#This Row],[シリアル]]&amp;
"_"&amp;
TEXT(COUNTIFS(商品マスタ!$C$3:C756,商品マスタ[[#This Row],[仕入先]],商品マスタ!$E$3:E756,商品マスタ[[#This Row],[商品名]]), "00")</f>
        <v/>
      </c>
      <c r="E756" s="167" t="n"/>
      <c r="F756" s="167">
        <f>IF(COUNTIFS($C$3:C756,商品マスタ[[#This Row],[仕入先]],$E$3:E756,商品マスタ[[#This Row],[商品名]]) = 1, 1,0)</f>
        <v/>
      </c>
      <c r="G756" s="133">
        <f>TEXT(SUMIF($C$3:C756,商品マスタ[[#This Row],[仕入先]],$F$3:F756), "0000")</f>
        <v/>
      </c>
      <c r="H756" s="167" t="n"/>
      <c r="I756" s="167" t="n"/>
      <c r="J756" s="167" t="n"/>
      <c r="K756" s="167" t="n"/>
      <c r="L756" s="289" t="n"/>
      <c r="M756" s="157" t="n"/>
      <c r="N756" s="289" t="n"/>
      <c r="O756" s="290">
        <f>IF(COUNT(商品マスタ[[#This Row],[参考上代
（税込)]]) &gt; 0, (商品マスタ[[#This Row],[参考上代
（税込)]]-商品マスタ[[#This Row],[国内定価
（15％）]])/(商品マスタ[[#This Row],[参考上代
（税込)]]/1.08), "")</f>
        <v/>
      </c>
      <c r="P756" s="136" t="n">
        <v>0.1</v>
      </c>
      <c r="Q756" s="289">
        <f>商品マスタ[[#This Row],[仕入
単価]]*商品マスタ[[#This Row],[標準国内送料率]]</f>
        <v/>
      </c>
      <c r="R756" s="289" t="n"/>
      <c r="S756" s="289">
        <f>IF(ISBLANK(商品マスタ[[#This Row],[実績
国内送料]]),商品マスタ[[#This Row],[標準国内送料]],)</f>
        <v/>
      </c>
      <c r="T756" s="289">
        <f>商品マスタ[[#This Row],[仕入
単価]]+商品マスタ[[#This Row],[国内送料]]</f>
        <v/>
      </c>
      <c r="U756" s="289">
        <f>ROUNDUP(商品マスタ[[#This Row],[仕入単価+国内送料]]/0.8,-1)</f>
        <v/>
      </c>
      <c r="V756" s="289">
        <f>商品マスタ[[#This Row],[海外定価
（20％）]]-商品マスタ[[#This Row],[仕入単価+国内送料]]</f>
        <v/>
      </c>
      <c r="W756" s="167">
        <f>ROUNDUP(商品マスタ[[#This Row],[仕入単価+国内送料]]/0.85,-1)</f>
        <v/>
      </c>
      <c r="X756" s="289">
        <f>商品マスタ[[#This Row],[国内定価
（15％）]]-商品マスタ[[#This Row],[仕入単価+国内送料]]</f>
        <v/>
      </c>
      <c r="Y756" s="139" t="n"/>
      <c r="Z756" s="167" t="n"/>
      <c r="AA756" s="167" t="n"/>
      <c r="AB756" s="167" t="n"/>
      <c r="AC756" s="293" t="n"/>
      <c r="AD756" s="167" t="n"/>
      <c r="AE756" s="167" t="n"/>
      <c r="AF756" s="167" t="n"/>
      <c r="AG756" s="144" t="n"/>
    </row>
    <row r="757" ht="18" customHeight="1" s="207">
      <c r="A757" s="166" t="n"/>
      <c r="B757" s="167" t="n"/>
      <c r="C757" s="167" t="n"/>
      <c r="D757" s="143">
        <f>"PRD_SNJ_"&amp;
_xlfn.XLOOKUP(商品マスタ[[#This Row],[仕入先]],テーブル1[仕入先名],テーブル1[仕入先コード],"XXX",0,1)&amp;
"_"&amp;
商品マスタ[[#This Row],[シリアル]]&amp;
"_"&amp;
TEXT(COUNTIFS(商品マスタ!$C$3:C757,商品マスタ[[#This Row],[仕入先]],商品マスタ!$E$3:E757,商品マスタ[[#This Row],[商品名]]), "00")</f>
        <v/>
      </c>
      <c r="E757" s="167" t="n"/>
      <c r="F757" s="167">
        <f>IF(COUNTIFS($C$3:C757,商品マスタ[[#This Row],[仕入先]],$E$3:E757,商品マスタ[[#This Row],[商品名]]) = 1, 1,0)</f>
        <v/>
      </c>
      <c r="G757" s="133">
        <f>TEXT(SUMIF($C$3:C757,商品マスタ[[#This Row],[仕入先]],$F$3:F757), "0000")</f>
        <v/>
      </c>
      <c r="H757" s="167" t="n"/>
      <c r="I757" s="167" t="n"/>
      <c r="J757" s="167" t="n"/>
      <c r="K757" s="167" t="n"/>
      <c r="L757" s="289" t="n"/>
      <c r="M757" s="157" t="n"/>
      <c r="N757" s="289" t="n"/>
      <c r="O757" s="290">
        <f>IF(COUNT(商品マスタ[[#This Row],[参考上代
（税込)]]) &gt; 0, (商品マスタ[[#This Row],[参考上代
（税込)]]-商品マスタ[[#This Row],[国内定価
（15％）]])/(商品マスタ[[#This Row],[参考上代
（税込)]]/1.08), "")</f>
        <v/>
      </c>
      <c r="P757" s="136" t="n">
        <v>0.1</v>
      </c>
      <c r="Q757" s="289">
        <f>商品マスタ[[#This Row],[仕入
単価]]*商品マスタ[[#This Row],[標準国内送料率]]</f>
        <v/>
      </c>
      <c r="R757" s="289" t="n"/>
      <c r="S757" s="289">
        <f>IF(ISBLANK(商品マスタ[[#This Row],[実績
国内送料]]),商品マスタ[[#This Row],[標準国内送料]],)</f>
        <v/>
      </c>
      <c r="T757" s="289">
        <f>商品マスタ[[#This Row],[仕入
単価]]+商品マスタ[[#This Row],[国内送料]]</f>
        <v/>
      </c>
      <c r="U757" s="289">
        <f>ROUNDUP(商品マスタ[[#This Row],[仕入単価+国内送料]]/0.8,-1)</f>
        <v/>
      </c>
      <c r="V757" s="289">
        <f>商品マスタ[[#This Row],[海外定価
（20％）]]-商品マスタ[[#This Row],[仕入単価+国内送料]]</f>
        <v/>
      </c>
      <c r="W757" s="167">
        <f>ROUNDUP(商品マスタ[[#This Row],[仕入単価+国内送料]]/0.85,-1)</f>
        <v/>
      </c>
      <c r="X757" s="289">
        <f>商品マスタ[[#This Row],[国内定価
（15％）]]-商品マスタ[[#This Row],[仕入単価+国内送料]]</f>
        <v/>
      </c>
      <c r="Y757" s="139" t="n"/>
      <c r="Z757" s="167" t="n"/>
      <c r="AA757" s="167" t="n"/>
      <c r="AB757" s="167" t="n"/>
      <c r="AC757" s="293" t="n"/>
      <c r="AD757" s="167" t="n"/>
      <c r="AE757" s="167" t="n"/>
      <c r="AF757" s="167" t="n"/>
      <c r="AG757" s="144" t="n"/>
    </row>
    <row r="758" ht="18" customHeight="1" s="207">
      <c r="A758" s="166" t="n"/>
      <c r="B758" s="167" t="n"/>
      <c r="C758" s="167" t="n"/>
      <c r="D758" s="143">
        <f>"PRD_SNJ_"&amp;
_xlfn.XLOOKUP(商品マスタ[[#This Row],[仕入先]],テーブル1[仕入先名],テーブル1[仕入先コード],"XXX",0,1)&amp;
"_"&amp;
商品マスタ[[#This Row],[シリアル]]&amp;
"_"&amp;
TEXT(COUNTIFS(商品マスタ!$C$3:C758,商品マスタ[[#This Row],[仕入先]],商品マスタ!$E$3:E758,商品マスタ[[#This Row],[商品名]]), "00")</f>
        <v/>
      </c>
      <c r="E758" s="167" t="n"/>
      <c r="F758" s="167">
        <f>IF(COUNTIFS($C$3:C758,商品マスタ[[#This Row],[仕入先]],$E$3:E758,商品マスタ[[#This Row],[商品名]]) = 1, 1,0)</f>
        <v/>
      </c>
      <c r="G758" s="133">
        <f>TEXT(SUMIF($C$3:C758,商品マスタ[[#This Row],[仕入先]],$F$3:F758), "0000")</f>
        <v/>
      </c>
      <c r="H758" s="167" t="n"/>
      <c r="I758" s="167" t="n"/>
      <c r="J758" s="167" t="n"/>
      <c r="K758" s="167" t="n"/>
      <c r="L758" s="289" t="n"/>
      <c r="M758" s="157" t="n"/>
      <c r="N758" s="289" t="n"/>
      <c r="O758" s="290">
        <f>IF(COUNT(商品マスタ[[#This Row],[参考上代
（税込)]]) &gt; 0, (商品マスタ[[#This Row],[参考上代
（税込)]]-商品マスタ[[#This Row],[国内定価
（15％）]])/(商品マスタ[[#This Row],[参考上代
（税込)]]/1.08), "")</f>
        <v/>
      </c>
      <c r="P758" s="136" t="n">
        <v>0.1</v>
      </c>
      <c r="Q758" s="289">
        <f>商品マスタ[[#This Row],[仕入
単価]]*商品マスタ[[#This Row],[標準国内送料率]]</f>
        <v/>
      </c>
      <c r="R758" s="289" t="n"/>
      <c r="S758" s="289">
        <f>IF(ISBLANK(商品マスタ[[#This Row],[実績
国内送料]]),商品マスタ[[#This Row],[標準国内送料]],)</f>
        <v/>
      </c>
      <c r="T758" s="289">
        <f>商品マスタ[[#This Row],[仕入
単価]]+商品マスタ[[#This Row],[国内送料]]</f>
        <v/>
      </c>
      <c r="U758" s="289">
        <f>ROUNDUP(商品マスタ[[#This Row],[仕入単価+国内送料]]/0.8,-1)</f>
        <v/>
      </c>
      <c r="V758" s="289">
        <f>商品マスタ[[#This Row],[海外定価
（20％）]]-商品マスタ[[#This Row],[仕入単価+国内送料]]</f>
        <v/>
      </c>
      <c r="W758" s="167">
        <f>ROUNDUP(商品マスタ[[#This Row],[仕入単価+国内送料]]/0.85,-1)</f>
        <v/>
      </c>
      <c r="X758" s="289">
        <f>商品マスタ[[#This Row],[国内定価
（15％）]]-商品マスタ[[#This Row],[仕入単価+国内送料]]</f>
        <v/>
      </c>
      <c r="Y758" s="139" t="n"/>
      <c r="Z758" s="167" t="n"/>
      <c r="AA758" s="167" t="n"/>
      <c r="AB758" s="167" t="n"/>
      <c r="AC758" s="293" t="n"/>
      <c r="AD758" s="167" t="n"/>
      <c r="AE758" s="167" t="n"/>
      <c r="AF758" s="167" t="n"/>
      <c r="AG758" s="144" t="n"/>
    </row>
    <row r="759" ht="18" customHeight="1" s="207">
      <c r="A759" s="166" t="n"/>
      <c r="B759" s="167" t="n"/>
      <c r="C759" s="167" t="n"/>
      <c r="D759" s="143">
        <f>"PRD_SNJ_"&amp;
_xlfn.XLOOKUP(商品マスタ[[#This Row],[仕入先]],テーブル1[仕入先名],テーブル1[仕入先コード],"XXX",0,1)&amp;
"_"&amp;
商品マスタ[[#This Row],[シリアル]]&amp;
"_"&amp;
TEXT(COUNTIFS(商品マスタ!$C$3:C759,商品マスタ[[#This Row],[仕入先]],商品マスタ!$E$3:E759,商品マスタ[[#This Row],[商品名]]), "00")</f>
        <v/>
      </c>
      <c r="E759" s="167" t="n"/>
      <c r="F759" s="167">
        <f>IF(COUNTIFS($C$3:C759,商品マスタ[[#This Row],[仕入先]],$E$3:E759,商品マスタ[[#This Row],[商品名]]) = 1, 1,0)</f>
        <v/>
      </c>
      <c r="G759" s="133">
        <f>TEXT(SUMIF($C$3:C759,商品マスタ[[#This Row],[仕入先]],$F$3:F759), "0000")</f>
        <v/>
      </c>
      <c r="H759" s="167" t="n"/>
      <c r="I759" s="167" t="n"/>
      <c r="J759" s="167" t="n"/>
      <c r="K759" s="167" t="n"/>
      <c r="L759" s="289" t="n"/>
      <c r="M759" s="157" t="n"/>
      <c r="N759" s="289" t="n"/>
      <c r="O759" s="290">
        <f>IF(COUNT(商品マスタ[[#This Row],[参考上代
（税込)]]) &gt; 0, (商品マスタ[[#This Row],[参考上代
（税込)]]-商品マスタ[[#This Row],[国内定価
（15％）]])/(商品マスタ[[#This Row],[参考上代
（税込)]]/1.08), "")</f>
        <v/>
      </c>
      <c r="P759" s="136" t="n">
        <v>0.1</v>
      </c>
      <c r="Q759" s="289">
        <f>商品マスタ[[#This Row],[仕入
単価]]*商品マスタ[[#This Row],[標準国内送料率]]</f>
        <v/>
      </c>
      <c r="R759" s="289" t="n"/>
      <c r="S759" s="289">
        <f>IF(ISBLANK(商品マスタ[[#This Row],[実績
国内送料]]),商品マスタ[[#This Row],[標準国内送料]],)</f>
        <v/>
      </c>
      <c r="T759" s="289">
        <f>商品マスタ[[#This Row],[仕入
単価]]+商品マスタ[[#This Row],[国内送料]]</f>
        <v/>
      </c>
      <c r="U759" s="289">
        <f>ROUNDUP(商品マスタ[[#This Row],[仕入単価+国内送料]]/0.8,-1)</f>
        <v/>
      </c>
      <c r="V759" s="289">
        <f>商品マスタ[[#This Row],[海外定価
（20％）]]-商品マスタ[[#This Row],[仕入単価+国内送料]]</f>
        <v/>
      </c>
      <c r="W759" s="167">
        <f>ROUNDUP(商品マスタ[[#This Row],[仕入単価+国内送料]]/0.85,-1)</f>
        <v/>
      </c>
      <c r="X759" s="289">
        <f>商品マスタ[[#This Row],[国内定価
（15％）]]-商品マスタ[[#This Row],[仕入単価+国内送料]]</f>
        <v/>
      </c>
      <c r="Y759" s="139" t="n"/>
      <c r="Z759" s="167" t="n"/>
      <c r="AA759" s="167" t="n"/>
      <c r="AB759" s="167" t="n"/>
      <c r="AC759" s="293" t="n"/>
      <c r="AD759" s="167" t="n"/>
      <c r="AE759" s="167" t="n"/>
      <c r="AF759" s="167" t="n"/>
      <c r="AG759" s="144" t="n"/>
    </row>
    <row r="760" ht="18" customHeight="1" s="207">
      <c r="A760" s="166" t="n"/>
      <c r="B760" s="167" t="n"/>
      <c r="C760" s="167" t="n"/>
      <c r="D760" s="143">
        <f>"PRD_SNJ_"&amp;
_xlfn.XLOOKUP(商品マスタ[[#This Row],[仕入先]],テーブル1[仕入先名],テーブル1[仕入先コード],"XXX",0,1)&amp;
"_"&amp;
商品マスタ[[#This Row],[シリアル]]&amp;
"_"&amp;
TEXT(COUNTIFS(商品マスタ!$C$3:C760,商品マスタ[[#This Row],[仕入先]],商品マスタ!$E$3:E760,商品マスタ[[#This Row],[商品名]]), "00")</f>
        <v/>
      </c>
      <c r="E760" s="167" t="n"/>
      <c r="F760" s="167">
        <f>IF(COUNTIFS($C$3:C760,商品マスタ[[#This Row],[仕入先]],$E$3:E760,商品マスタ[[#This Row],[商品名]]) = 1, 1,0)</f>
        <v/>
      </c>
      <c r="G760" s="133">
        <f>TEXT(SUMIF($C$3:C760,商品マスタ[[#This Row],[仕入先]],$F$3:F760), "0000")</f>
        <v/>
      </c>
      <c r="H760" s="167" t="n"/>
      <c r="I760" s="167" t="n"/>
      <c r="J760" s="167" t="n"/>
      <c r="K760" s="167" t="n"/>
      <c r="L760" s="289" t="n"/>
      <c r="M760" s="157" t="n"/>
      <c r="N760" s="289" t="n"/>
      <c r="O760" s="290">
        <f>IF(COUNT(商品マスタ[[#This Row],[参考上代
（税込)]]) &gt; 0, (商品マスタ[[#This Row],[参考上代
（税込)]]-商品マスタ[[#This Row],[国内定価
（15％）]])/(商品マスタ[[#This Row],[参考上代
（税込)]]/1.08), "")</f>
        <v/>
      </c>
      <c r="P760" s="136" t="n">
        <v>0.1</v>
      </c>
      <c r="Q760" s="289">
        <f>商品マスタ[[#This Row],[仕入
単価]]*商品マスタ[[#This Row],[標準国内送料率]]</f>
        <v/>
      </c>
      <c r="R760" s="289" t="n"/>
      <c r="S760" s="289">
        <f>IF(ISBLANK(商品マスタ[[#This Row],[実績
国内送料]]),商品マスタ[[#This Row],[標準国内送料]],)</f>
        <v/>
      </c>
      <c r="T760" s="289">
        <f>商品マスタ[[#This Row],[仕入
単価]]+商品マスタ[[#This Row],[国内送料]]</f>
        <v/>
      </c>
      <c r="U760" s="289">
        <f>ROUNDUP(商品マスタ[[#This Row],[仕入単価+国内送料]]/0.8,-1)</f>
        <v/>
      </c>
      <c r="V760" s="289">
        <f>商品マスタ[[#This Row],[海外定価
（20％）]]-商品マスタ[[#This Row],[仕入単価+国内送料]]</f>
        <v/>
      </c>
      <c r="W760" s="167">
        <f>ROUNDUP(商品マスタ[[#This Row],[仕入単価+国内送料]]/0.85,-1)</f>
        <v/>
      </c>
      <c r="X760" s="289">
        <f>商品マスタ[[#This Row],[国内定価
（15％）]]-商品マスタ[[#This Row],[仕入単価+国内送料]]</f>
        <v/>
      </c>
      <c r="Y760" s="139" t="n"/>
      <c r="Z760" s="167" t="n"/>
      <c r="AA760" s="167" t="n"/>
      <c r="AB760" s="167" t="n"/>
      <c r="AC760" s="293" t="n"/>
      <c r="AD760" s="167" t="n"/>
      <c r="AE760" s="167" t="n"/>
      <c r="AF760" s="167" t="n"/>
      <c r="AG760" s="144" t="n"/>
    </row>
    <row r="761" ht="18" customHeight="1" s="207">
      <c r="A761" s="166" t="n"/>
      <c r="B761" s="167" t="n"/>
      <c r="C761" s="167" t="n"/>
      <c r="D761" s="143">
        <f>"PRD_SNJ_"&amp;
_xlfn.XLOOKUP(商品マスタ[[#This Row],[仕入先]],テーブル1[仕入先名],テーブル1[仕入先コード],"XXX",0,1)&amp;
"_"&amp;
商品マスタ[[#This Row],[シリアル]]&amp;
"_"&amp;
TEXT(COUNTIFS(商品マスタ!$C$3:C761,商品マスタ[[#This Row],[仕入先]],商品マスタ!$E$3:E761,商品マスタ[[#This Row],[商品名]]), "00")</f>
        <v/>
      </c>
      <c r="E761" s="167" t="n"/>
      <c r="F761" s="167">
        <f>IF(COUNTIFS($C$3:C761,商品マスタ[[#This Row],[仕入先]],$E$3:E761,商品マスタ[[#This Row],[商品名]]) = 1, 1,0)</f>
        <v/>
      </c>
      <c r="G761" s="133">
        <f>TEXT(SUMIF($C$3:C761,商品マスタ[[#This Row],[仕入先]],$F$3:F761), "0000")</f>
        <v/>
      </c>
      <c r="H761" s="167" t="n"/>
      <c r="I761" s="167" t="n"/>
      <c r="J761" s="167" t="n"/>
      <c r="K761" s="167" t="n"/>
      <c r="L761" s="289" t="n"/>
      <c r="M761" s="157" t="n"/>
      <c r="N761" s="289" t="n"/>
      <c r="O761" s="290">
        <f>IF(COUNT(商品マスタ[[#This Row],[参考上代
（税込)]]) &gt; 0, (商品マスタ[[#This Row],[参考上代
（税込)]]-商品マスタ[[#This Row],[国内定価
（15％）]])/(商品マスタ[[#This Row],[参考上代
（税込)]]/1.08), "")</f>
        <v/>
      </c>
      <c r="P761" s="136" t="n">
        <v>0.1</v>
      </c>
      <c r="Q761" s="289">
        <f>商品マスタ[[#This Row],[仕入
単価]]*商品マスタ[[#This Row],[標準国内送料率]]</f>
        <v/>
      </c>
      <c r="R761" s="289" t="n"/>
      <c r="S761" s="289">
        <f>IF(ISBLANK(商品マスタ[[#This Row],[実績
国内送料]]),商品マスタ[[#This Row],[標準国内送料]],)</f>
        <v/>
      </c>
      <c r="T761" s="289">
        <f>商品マスタ[[#This Row],[仕入
単価]]+商品マスタ[[#This Row],[国内送料]]</f>
        <v/>
      </c>
      <c r="U761" s="289">
        <f>ROUNDUP(商品マスタ[[#This Row],[仕入単価+国内送料]]/0.8,-1)</f>
        <v/>
      </c>
      <c r="V761" s="289">
        <f>商品マスタ[[#This Row],[海外定価
（20％）]]-商品マスタ[[#This Row],[仕入単価+国内送料]]</f>
        <v/>
      </c>
      <c r="W761" s="167">
        <f>ROUNDUP(商品マスタ[[#This Row],[仕入単価+国内送料]]/0.85,-1)</f>
        <v/>
      </c>
      <c r="X761" s="289">
        <f>商品マスタ[[#This Row],[国内定価
（15％）]]-商品マスタ[[#This Row],[仕入単価+国内送料]]</f>
        <v/>
      </c>
      <c r="Y761" s="139" t="n"/>
      <c r="Z761" s="167" t="n"/>
      <c r="AA761" s="167" t="n"/>
      <c r="AB761" s="167" t="n"/>
      <c r="AC761" s="293" t="n"/>
      <c r="AD761" s="167" t="n"/>
      <c r="AE761" s="167" t="n"/>
      <c r="AF761" s="167" t="n"/>
      <c r="AG761" s="144" t="n"/>
    </row>
    <row r="762" ht="18" customHeight="1" s="207">
      <c r="A762" s="166" t="n"/>
      <c r="B762" s="167" t="n"/>
      <c r="C762" s="167" t="n"/>
      <c r="D762" s="143">
        <f>"PRD_SNJ_"&amp;
_xlfn.XLOOKUP(商品マスタ[[#This Row],[仕入先]],テーブル1[仕入先名],テーブル1[仕入先コード],"XXX",0,1)&amp;
"_"&amp;
商品マスタ[[#This Row],[シリアル]]&amp;
"_"&amp;
TEXT(COUNTIFS(商品マスタ!$C$3:C762,商品マスタ[[#This Row],[仕入先]],商品マスタ!$E$3:E762,商品マスタ[[#This Row],[商品名]]), "00")</f>
        <v/>
      </c>
      <c r="E762" s="167" t="n"/>
      <c r="F762" s="167">
        <f>IF(COUNTIFS($C$3:C762,商品マスタ[[#This Row],[仕入先]],$E$3:E762,商品マスタ[[#This Row],[商品名]]) = 1, 1,0)</f>
        <v/>
      </c>
      <c r="G762" s="133">
        <f>TEXT(SUMIF($C$3:C762,商品マスタ[[#This Row],[仕入先]],$F$3:F762), "0000")</f>
        <v/>
      </c>
      <c r="H762" s="167" t="n"/>
      <c r="I762" s="167" t="n"/>
      <c r="J762" s="167" t="n"/>
      <c r="K762" s="167" t="n"/>
      <c r="L762" s="289" t="n"/>
      <c r="M762" s="157" t="n"/>
      <c r="N762" s="289" t="n"/>
      <c r="O762" s="290">
        <f>IF(COUNT(商品マスタ[[#This Row],[参考上代
（税込)]]) &gt; 0, (商品マスタ[[#This Row],[参考上代
（税込)]]-商品マスタ[[#This Row],[国内定価
（15％）]])/(商品マスタ[[#This Row],[参考上代
（税込)]]/1.08), "")</f>
        <v/>
      </c>
      <c r="P762" s="136" t="n">
        <v>0.1</v>
      </c>
      <c r="Q762" s="289">
        <f>商品マスタ[[#This Row],[仕入
単価]]*商品マスタ[[#This Row],[標準国内送料率]]</f>
        <v/>
      </c>
      <c r="R762" s="289" t="n"/>
      <c r="S762" s="289">
        <f>IF(ISBLANK(商品マスタ[[#This Row],[実績
国内送料]]),商品マスタ[[#This Row],[標準国内送料]],)</f>
        <v/>
      </c>
      <c r="T762" s="289">
        <f>商品マスタ[[#This Row],[仕入
単価]]+商品マスタ[[#This Row],[国内送料]]</f>
        <v/>
      </c>
      <c r="U762" s="289">
        <f>ROUNDUP(商品マスタ[[#This Row],[仕入単価+国内送料]]/0.8,-1)</f>
        <v/>
      </c>
      <c r="V762" s="289">
        <f>商品マスタ[[#This Row],[海外定価
（20％）]]-商品マスタ[[#This Row],[仕入単価+国内送料]]</f>
        <v/>
      </c>
      <c r="W762" s="167">
        <f>ROUNDUP(商品マスタ[[#This Row],[仕入単価+国内送料]]/0.85,-1)</f>
        <v/>
      </c>
      <c r="X762" s="289">
        <f>商品マスタ[[#This Row],[国内定価
（15％）]]-商品マスタ[[#This Row],[仕入単価+国内送料]]</f>
        <v/>
      </c>
      <c r="Y762" s="139" t="n"/>
      <c r="Z762" s="167" t="n"/>
      <c r="AA762" s="167" t="n"/>
      <c r="AB762" s="167" t="n"/>
      <c r="AC762" s="293" t="n"/>
      <c r="AD762" s="167" t="n"/>
      <c r="AE762" s="167" t="n"/>
      <c r="AF762" s="167" t="n"/>
      <c r="AG762" s="144" t="n"/>
    </row>
    <row r="763" ht="18" customHeight="1" s="207">
      <c r="A763" s="166" t="n"/>
      <c r="B763" s="167" t="n"/>
      <c r="C763" s="167" t="n"/>
      <c r="D763" s="143">
        <f>"PRD_SNJ_"&amp;
_xlfn.XLOOKUP(商品マスタ[[#This Row],[仕入先]],テーブル1[仕入先名],テーブル1[仕入先コード],"XXX",0,1)&amp;
"_"&amp;
商品マスタ[[#This Row],[シリアル]]&amp;
"_"&amp;
TEXT(COUNTIFS(商品マスタ!$C$3:C763,商品マスタ[[#This Row],[仕入先]],商品マスタ!$E$3:E763,商品マスタ[[#This Row],[商品名]]), "00")</f>
        <v/>
      </c>
      <c r="E763" s="167" t="n"/>
      <c r="F763" s="167">
        <f>IF(COUNTIFS($C$3:C763,商品マスタ[[#This Row],[仕入先]],$E$3:E763,商品マスタ[[#This Row],[商品名]]) = 1, 1,0)</f>
        <v/>
      </c>
      <c r="G763" s="133">
        <f>TEXT(SUMIF($C$3:C763,商品マスタ[[#This Row],[仕入先]],$F$3:F763), "0000")</f>
        <v/>
      </c>
      <c r="H763" s="167" t="n"/>
      <c r="I763" s="167" t="n"/>
      <c r="J763" s="167" t="n"/>
      <c r="K763" s="167" t="n"/>
      <c r="L763" s="289" t="n"/>
      <c r="M763" s="157" t="n"/>
      <c r="N763" s="289" t="n"/>
      <c r="O763" s="290">
        <f>IF(COUNT(商品マスタ[[#This Row],[参考上代
（税込)]]) &gt; 0, (商品マスタ[[#This Row],[参考上代
（税込)]]-商品マスタ[[#This Row],[国内定価
（15％）]])/(商品マスタ[[#This Row],[参考上代
（税込)]]/1.08), "")</f>
        <v/>
      </c>
      <c r="P763" s="136" t="n">
        <v>0.1</v>
      </c>
      <c r="Q763" s="289">
        <f>商品マスタ[[#This Row],[仕入
単価]]*商品マスタ[[#This Row],[標準国内送料率]]</f>
        <v/>
      </c>
      <c r="R763" s="289" t="n"/>
      <c r="S763" s="289">
        <f>IF(ISBLANK(商品マスタ[[#This Row],[実績
国内送料]]),商品マスタ[[#This Row],[標準国内送料]],)</f>
        <v/>
      </c>
      <c r="T763" s="289">
        <f>商品マスタ[[#This Row],[仕入
単価]]+商品マスタ[[#This Row],[国内送料]]</f>
        <v/>
      </c>
      <c r="U763" s="289">
        <f>ROUNDUP(商品マスタ[[#This Row],[仕入単価+国内送料]]/0.8,-1)</f>
        <v/>
      </c>
      <c r="V763" s="289">
        <f>商品マスタ[[#This Row],[海外定価
（20％）]]-商品マスタ[[#This Row],[仕入単価+国内送料]]</f>
        <v/>
      </c>
      <c r="W763" s="167">
        <f>ROUNDUP(商品マスタ[[#This Row],[仕入単価+国内送料]]/0.85,-1)</f>
        <v/>
      </c>
      <c r="X763" s="289">
        <f>商品マスタ[[#This Row],[国内定価
（15％）]]-商品マスタ[[#This Row],[仕入単価+国内送料]]</f>
        <v/>
      </c>
      <c r="Y763" s="139" t="n"/>
      <c r="Z763" s="167" t="n"/>
      <c r="AA763" s="167" t="n"/>
      <c r="AB763" s="167" t="n"/>
      <c r="AC763" s="293" t="n"/>
      <c r="AD763" s="167" t="n"/>
      <c r="AE763" s="167" t="n"/>
      <c r="AF763" s="167" t="n"/>
      <c r="AG763" s="144" t="n"/>
    </row>
    <row r="764" ht="18" customHeight="1" s="207">
      <c r="A764" s="166" t="n"/>
      <c r="B764" s="167" t="n"/>
      <c r="C764" s="167" t="n"/>
      <c r="D764" s="143">
        <f>"PRD_SNJ_"&amp;
_xlfn.XLOOKUP(商品マスタ[[#This Row],[仕入先]],テーブル1[仕入先名],テーブル1[仕入先コード],"XXX",0,1)&amp;
"_"&amp;
商品マスタ[[#This Row],[シリアル]]&amp;
"_"&amp;
TEXT(COUNTIFS(商品マスタ!$C$3:C764,商品マスタ[[#This Row],[仕入先]],商品マスタ!$E$3:E764,商品マスタ[[#This Row],[商品名]]), "00")</f>
        <v/>
      </c>
      <c r="E764" s="167" t="n"/>
      <c r="F764" s="167">
        <f>IF(COUNTIFS($C$3:C764,商品マスタ[[#This Row],[仕入先]],$E$3:E764,商品マスタ[[#This Row],[商品名]]) = 1, 1,0)</f>
        <v/>
      </c>
      <c r="G764" s="133">
        <f>TEXT(SUMIF($C$3:C764,商品マスタ[[#This Row],[仕入先]],$F$3:F764), "0000")</f>
        <v/>
      </c>
      <c r="H764" s="167" t="n"/>
      <c r="I764" s="167" t="n"/>
      <c r="J764" s="167" t="n"/>
      <c r="K764" s="167" t="n"/>
      <c r="L764" s="289" t="n"/>
      <c r="M764" s="157" t="n"/>
      <c r="N764" s="289" t="n"/>
      <c r="O764" s="290">
        <f>IF(COUNT(商品マスタ[[#This Row],[参考上代
（税込)]]) &gt; 0, (商品マスタ[[#This Row],[参考上代
（税込)]]-商品マスタ[[#This Row],[国内定価
（15％）]])/(商品マスタ[[#This Row],[参考上代
（税込)]]/1.08), "")</f>
        <v/>
      </c>
      <c r="P764" s="136" t="n">
        <v>0.1</v>
      </c>
      <c r="Q764" s="289">
        <f>商品マスタ[[#This Row],[仕入
単価]]*商品マスタ[[#This Row],[標準国内送料率]]</f>
        <v/>
      </c>
      <c r="R764" s="289" t="n"/>
      <c r="S764" s="289">
        <f>IF(ISBLANK(商品マスタ[[#This Row],[実績
国内送料]]),商品マスタ[[#This Row],[標準国内送料]],)</f>
        <v/>
      </c>
      <c r="T764" s="289">
        <f>商品マスタ[[#This Row],[仕入
単価]]+商品マスタ[[#This Row],[国内送料]]</f>
        <v/>
      </c>
      <c r="U764" s="289">
        <f>ROUNDUP(商品マスタ[[#This Row],[仕入単価+国内送料]]/0.8,-1)</f>
        <v/>
      </c>
      <c r="V764" s="289">
        <f>商品マスタ[[#This Row],[海外定価
（20％）]]-商品マスタ[[#This Row],[仕入単価+国内送料]]</f>
        <v/>
      </c>
      <c r="W764" s="167">
        <f>ROUNDUP(商品マスタ[[#This Row],[仕入単価+国内送料]]/0.85,-1)</f>
        <v/>
      </c>
      <c r="X764" s="289">
        <f>商品マスタ[[#This Row],[国内定価
（15％）]]-商品マスタ[[#This Row],[仕入単価+国内送料]]</f>
        <v/>
      </c>
      <c r="Y764" s="139" t="n"/>
      <c r="Z764" s="167" t="n"/>
      <c r="AA764" s="167" t="n"/>
      <c r="AB764" s="167" t="n"/>
      <c r="AC764" s="293" t="n"/>
      <c r="AD764" s="167" t="n"/>
      <c r="AE764" s="167" t="n"/>
      <c r="AF764" s="167" t="n"/>
      <c r="AG764" s="144" t="n"/>
    </row>
    <row r="765" ht="18" customHeight="1" s="207">
      <c r="A765" s="166" t="n"/>
      <c r="B765" s="167" t="n"/>
      <c r="C765" s="167" t="n"/>
      <c r="D765" s="143">
        <f>"PRD_SNJ_"&amp;
_xlfn.XLOOKUP(商品マスタ[[#This Row],[仕入先]],テーブル1[仕入先名],テーブル1[仕入先コード],"XXX",0,1)&amp;
"_"&amp;
商品マスタ[[#This Row],[シリアル]]&amp;
"_"&amp;
TEXT(COUNTIFS(商品マスタ!$C$3:C765,商品マスタ[[#This Row],[仕入先]],商品マスタ!$E$3:E765,商品マスタ[[#This Row],[商品名]]), "00")</f>
        <v/>
      </c>
      <c r="E765" s="167" t="n"/>
      <c r="F765" s="167">
        <f>IF(COUNTIFS($C$3:C765,商品マスタ[[#This Row],[仕入先]],$E$3:E765,商品マスタ[[#This Row],[商品名]]) = 1, 1,0)</f>
        <v/>
      </c>
      <c r="G765" s="133">
        <f>TEXT(SUMIF($C$3:C765,商品マスタ[[#This Row],[仕入先]],$F$3:F765), "0000")</f>
        <v/>
      </c>
      <c r="H765" s="167" t="n"/>
      <c r="I765" s="167" t="n"/>
      <c r="J765" s="167" t="n"/>
      <c r="K765" s="167" t="n"/>
      <c r="L765" s="289" t="n"/>
      <c r="M765" s="157" t="n"/>
      <c r="N765" s="289" t="n"/>
      <c r="O765" s="290">
        <f>IF(COUNT(商品マスタ[[#This Row],[参考上代
（税込)]]) &gt; 0, (商品マスタ[[#This Row],[参考上代
（税込)]]-商品マスタ[[#This Row],[国内定価
（15％）]])/(商品マスタ[[#This Row],[参考上代
（税込)]]/1.08), "")</f>
        <v/>
      </c>
      <c r="P765" s="136" t="n">
        <v>0.1</v>
      </c>
      <c r="Q765" s="289">
        <f>商品マスタ[[#This Row],[仕入
単価]]*商品マスタ[[#This Row],[標準国内送料率]]</f>
        <v/>
      </c>
      <c r="R765" s="289" t="n"/>
      <c r="S765" s="289">
        <f>IF(ISBLANK(商品マスタ[[#This Row],[実績
国内送料]]),商品マスタ[[#This Row],[標準国内送料]],)</f>
        <v/>
      </c>
      <c r="T765" s="289">
        <f>商品マスタ[[#This Row],[仕入
単価]]+商品マスタ[[#This Row],[国内送料]]</f>
        <v/>
      </c>
      <c r="U765" s="289">
        <f>ROUNDUP(商品マスタ[[#This Row],[仕入単価+国内送料]]/0.8,-1)</f>
        <v/>
      </c>
      <c r="V765" s="289">
        <f>商品マスタ[[#This Row],[海外定価
（20％）]]-商品マスタ[[#This Row],[仕入単価+国内送料]]</f>
        <v/>
      </c>
      <c r="W765" s="167">
        <f>ROUNDUP(商品マスタ[[#This Row],[仕入単価+国内送料]]/0.85,-1)</f>
        <v/>
      </c>
      <c r="X765" s="289">
        <f>商品マスタ[[#This Row],[国内定価
（15％）]]-商品マスタ[[#This Row],[仕入単価+国内送料]]</f>
        <v/>
      </c>
      <c r="Y765" s="139" t="n"/>
      <c r="Z765" s="167" t="n"/>
      <c r="AA765" s="167" t="n"/>
      <c r="AB765" s="167" t="n"/>
      <c r="AC765" s="293" t="n"/>
      <c r="AD765" s="167" t="n"/>
      <c r="AE765" s="167" t="n"/>
      <c r="AF765" s="167" t="n"/>
      <c r="AG765" s="144" t="n"/>
    </row>
    <row r="766" ht="18" customHeight="1" s="207">
      <c r="A766" s="166" t="n"/>
      <c r="B766" s="167" t="n"/>
      <c r="C766" s="167" t="n"/>
      <c r="D766" s="143">
        <f>"PRD_SNJ_"&amp;
_xlfn.XLOOKUP(商品マスタ[[#This Row],[仕入先]],テーブル1[仕入先名],テーブル1[仕入先コード],"XXX",0,1)&amp;
"_"&amp;
商品マスタ[[#This Row],[シリアル]]&amp;
"_"&amp;
TEXT(COUNTIFS(商品マスタ!$C$3:C766,商品マスタ[[#This Row],[仕入先]],商品マスタ!$E$3:E766,商品マスタ[[#This Row],[商品名]]), "00")</f>
        <v/>
      </c>
      <c r="E766" s="167" t="n"/>
      <c r="F766" s="167">
        <f>IF(COUNTIFS($C$3:C766,商品マスタ[[#This Row],[仕入先]],$E$3:E766,商品マスタ[[#This Row],[商品名]]) = 1, 1,0)</f>
        <v/>
      </c>
      <c r="G766" s="133">
        <f>TEXT(SUMIF($C$3:C766,商品マスタ[[#This Row],[仕入先]],$F$3:F766), "0000")</f>
        <v/>
      </c>
      <c r="H766" s="167" t="n"/>
      <c r="I766" s="167" t="n"/>
      <c r="J766" s="167" t="n"/>
      <c r="K766" s="167" t="n"/>
      <c r="L766" s="289" t="n"/>
      <c r="M766" s="157" t="n"/>
      <c r="N766" s="289" t="n"/>
      <c r="O766" s="290">
        <f>IF(COUNT(商品マスタ[[#This Row],[参考上代
（税込)]]) &gt; 0, (商品マスタ[[#This Row],[参考上代
（税込)]]-商品マスタ[[#This Row],[国内定価
（15％）]])/(商品マスタ[[#This Row],[参考上代
（税込)]]/1.08), "")</f>
        <v/>
      </c>
      <c r="P766" s="136" t="n">
        <v>0.1</v>
      </c>
      <c r="Q766" s="289">
        <f>商品マスタ[[#This Row],[仕入
単価]]*商品マスタ[[#This Row],[標準国内送料率]]</f>
        <v/>
      </c>
      <c r="R766" s="289" t="n"/>
      <c r="S766" s="289">
        <f>IF(ISBLANK(商品マスタ[[#This Row],[実績
国内送料]]),商品マスタ[[#This Row],[標準国内送料]],)</f>
        <v/>
      </c>
      <c r="T766" s="289">
        <f>商品マスタ[[#This Row],[仕入
単価]]+商品マスタ[[#This Row],[国内送料]]</f>
        <v/>
      </c>
      <c r="U766" s="289">
        <f>ROUNDUP(商品マスタ[[#This Row],[仕入単価+国内送料]]/0.8,-1)</f>
        <v/>
      </c>
      <c r="V766" s="289">
        <f>商品マスタ[[#This Row],[海外定価
（20％）]]-商品マスタ[[#This Row],[仕入単価+国内送料]]</f>
        <v/>
      </c>
      <c r="W766" s="167">
        <f>ROUNDUP(商品マスタ[[#This Row],[仕入単価+国内送料]]/0.85,-1)</f>
        <v/>
      </c>
      <c r="X766" s="289">
        <f>商品マスタ[[#This Row],[国内定価
（15％）]]-商品マスタ[[#This Row],[仕入単価+国内送料]]</f>
        <v/>
      </c>
      <c r="Y766" s="139" t="n"/>
      <c r="Z766" s="167" t="n"/>
      <c r="AA766" s="167" t="n"/>
      <c r="AB766" s="167" t="n"/>
      <c r="AC766" s="293" t="n"/>
      <c r="AD766" s="167" t="n"/>
      <c r="AE766" s="167" t="n"/>
      <c r="AF766" s="167" t="n"/>
      <c r="AG766" s="144" t="n"/>
    </row>
    <row r="767" ht="18" customHeight="1" s="207">
      <c r="A767" s="166" t="n"/>
      <c r="B767" s="167" t="n"/>
      <c r="C767" s="167" t="n"/>
      <c r="D767" s="143">
        <f>"PRD_SNJ_"&amp;
_xlfn.XLOOKUP(商品マスタ[[#This Row],[仕入先]],テーブル1[仕入先名],テーブル1[仕入先コード],"XXX",0,1)&amp;
"_"&amp;
商品マスタ[[#This Row],[シリアル]]&amp;
"_"&amp;
TEXT(COUNTIFS(商品マスタ!$C$3:C767,商品マスタ[[#This Row],[仕入先]],商品マスタ!$E$3:E767,商品マスタ[[#This Row],[商品名]]), "00")</f>
        <v/>
      </c>
      <c r="E767" s="167" t="n"/>
      <c r="F767" s="167">
        <f>IF(COUNTIFS($C$3:C767,商品マスタ[[#This Row],[仕入先]],$E$3:E767,商品マスタ[[#This Row],[商品名]]) = 1, 1,0)</f>
        <v/>
      </c>
      <c r="G767" s="133">
        <f>TEXT(SUMIF($C$3:C767,商品マスタ[[#This Row],[仕入先]],$F$3:F767), "0000")</f>
        <v/>
      </c>
      <c r="H767" s="167" t="n"/>
      <c r="I767" s="167" t="n"/>
      <c r="J767" s="167" t="n"/>
      <c r="K767" s="167" t="n"/>
      <c r="L767" s="289" t="n"/>
      <c r="M767" s="157" t="n"/>
      <c r="N767" s="289" t="n"/>
      <c r="O767" s="290">
        <f>IF(COUNT(商品マスタ[[#This Row],[参考上代
（税込)]]) &gt; 0, (商品マスタ[[#This Row],[参考上代
（税込)]]-商品マスタ[[#This Row],[国内定価
（15％）]])/(商品マスタ[[#This Row],[参考上代
（税込)]]/1.08), "")</f>
        <v/>
      </c>
      <c r="P767" s="136" t="n">
        <v>0.1</v>
      </c>
      <c r="Q767" s="289">
        <f>商品マスタ[[#This Row],[仕入
単価]]*商品マスタ[[#This Row],[標準国内送料率]]</f>
        <v/>
      </c>
      <c r="R767" s="289" t="n"/>
      <c r="S767" s="289">
        <f>IF(ISBLANK(商品マスタ[[#This Row],[実績
国内送料]]),商品マスタ[[#This Row],[標準国内送料]],)</f>
        <v/>
      </c>
      <c r="T767" s="289">
        <f>商品マスタ[[#This Row],[仕入
単価]]+商品マスタ[[#This Row],[国内送料]]</f>
        <v/>
      </c>
      <c r="U767" s="289">
        <f>ROUNDUP(商品マスタ[[#This Row],[仕入単価+国内送料]]/0.8,-1)</f>
        <v/>
      </c>
      <c r="V767" s="289">
        <f>商品マスタ[[#This Row],[海外定価
（20％）]]-商品マスタ[[#This Row],[仕入単価+国内送料]]</f>
        <v/>
      </c>
      <c r="W767" s="167">
        <f>ROUNDUP(商品マスタ[[#This Row],[仕入単価+国内送料]]/0.85,-1)</f>
        <v/>
      </c>
      <c r="X767" s="289">
        <f>商品マスタ[[#This Row],[国内定価
（15％）]]-商品マスタ[[#This Row],[仕入単価+国内送料]]</f>
        <v/>
      </c>
      <c r="Y767" s="139" t="n"/>
      <c r="Z767" s="167" t="n"/>
      <c r="AA767" s="167" t="n"/>
      <c r="AB767" s="167" t="n"/>
      <c r="AC767" s="293" t="n"/>
      <c r="AD767" s="167" t="n"/>
      <c r="AE767" s="167" t="n"/>
      <c r="AF767" s="167" t="n"/>
      <c r="AG767" s="144" t="n"/>
    </row>
    <row r="768" ht="18" customHeight="1" s="207">
      <c r="A768" s="166" t="n"/>
      <c r="B768" s="167" t="n"/>
      <c r="C768" s="167" t="n"/>
      <c r="D768" s="143">
        <f>"PRD_SNJ_"&amp;
_xlfn.XLOOKUP(商品マスタ[[#This Row],[仕入先]],テーブル1[仕入先名],テーブル1[仕入先コード],"XXX",0,1)&amp;
"_"&amp;
商品マスタ[[#This Row],[シリアル]]&amp;
"_"&amp;
TEXT(COUNTIFS(商品マスタ!$C$3:C768,商品マスタ[[#This Row],[仕入先]],商品マスタ!$E$3:E768,商品マスタ[[#This Row],[商品名]]), "00")</f>
        <v/>
      </c>
      <c r="E768" s="167" t="n"/>
      <c r="F768" s="167">
        <f>IF(COUNTIFS($C$3:C768,商品マスタ[[#This Row],[仕入先]],$E$3:E768,商品マスタ[[#This Row],[商品名]]) = 1, 1,0)</f>
        <v/>
      </c>
      <c r="G768" s="133">
        <f>TEXT(SUMIF($C$3:C768,商品マスタ[[#This Row],[仕入先]],$F$3:F768), "0000")</f>
        <v/>
      </c>
      <c r="H768" s="167" t="n"/>
      <c r="I768" s="167" t="n"/>
      <c r="J768" s="167" t="n"/>
      <c r="K768" s="167" t="n"/>
      <c r="L768" s="289" t="n"/>
      <c r="M768" s="157" t="n"/>
      <c r="N768" s="289" t="n"/>
      <c r="O768" s="290">
        <f>IF(COUNT(商品マスタ[[#This Row],[参考上代
（税込)]]) &gt; 0, (商品マスタ[[#This Row],[参考上代
（税込)]]-商品マスタ[[#This Row],[国内定価
（15％）]])/(商品マスタ[[#This Row],[参考上代
（税込)]]/1.08), "")</f>
        <v/>
      </c>
      <c r="P768" s="136" t="n">
        <v>0.1</v>
      </c>
      <c r="Q768" s="289">
        <f>商品マスタ[[#This Row],[仕入
単価]]*商品マスタ[[#This Row],[標準国内送料率]]</f>
        <v/>
      </c>
      <c r="R768" s="289" t="n"/>
      <c r="S768" s="289">
        <f>IF(ISBLANK(商品マスタ[[#This Row],[実績
国内送料]]),商品マスタ[[#This Row],[標準国内送料]],)</f>
        <v/>
      </c>
      <c r="T768" s="289">
        <f>商品マスタ[[#This Row],[仕入
単価]]+商品マスタ[[#This Row],[国内送料]]</f>
        <v/>
      </c>
      <c r="U768" s="289">
        <f>ROUNDUP(商品マスタ[[#This Row],[仕入単価+国内送料]]/0.8,-1)</f>
        <v/>
      </c>
      <c r="V768" s="289">
        <f>商品マスタ[[#This Row],[海外定価
（20％）]]-商品マスタ[[#This Row],[仕入単価+国内送料]]</f>
        <v/>
      </c>
      <c r="W768" s="167">
        <f>ROUNDUP(商品マスタ[[#This Row],[仕入単価+国内送料]]/0.85,-1)</f>
        <v/>
      </c>
      <c r="X768" s="289">
        <f>商品マスタ[[#This Row],[国内定価
（15％）]]-商品マスタ[[#This Row],[仕入単価+国内送料]]</f>
        <v/>
      </c>
      <c r="Y768" s="139" t="n"/>
      <c r="Z768" s="167" t="n"/>
      <c r="AA768" s="167" t="n"/>
      <c r="AB768" s="167" t="n"/>
      <c r="AC768" s="293" t="n"/>
      <c r="AD768" s="167" t="n"/>
      <c r="AE768" s="167" t="n"/>
      <c r="AF768" s="167" t="n"/>
      <c r="AG768" s="144" t="n"/>
    </row>
    <row r="769" ht="18" customHeight="1" s="207">
      <c r="A769" s="166" t="n"/>
      <c r="B769" s="167" t="n"/>
      <c r="C769" s="167" t="n"/>
      <c r="D769" s="143">
        <f>"PRD_SNJ_"&amp;
_xlfn.XLOOKUP(商品マスタ[[#This Row],[仕入先]],テーブル1[仕入先名],テーブル1[仕入先コード],"XXX",0,1)&amp;
"_"&amp;
商品マスタ[[#This Row],[シリアル]]&amp;
"_"&amp;
TEXT(COUNTIFS(商品マスタ!$C$3:C769,商品マスタ[[#This Row],[仕入先]],商品マスタ!$E$3:E769,商品マスタ[[#This Row],[商品名]]), "00")</f>
        <v/>
      </c>
      <c r="E769" s="167" t="n"/>
      <c r="F769" s="167">
        <f>IF(COUNTIFS($C$3:C769,商品マスタ[[#This Row],[仕入先]],$E$3:E769,商品マスタ[[#This Row],[商品名]]) = 1, 1,0)</f>
        <v/>
      </c>
      <c r="G769" s="133">
        <f>TEXT(SUMIF($C$3:C769,商品マスタ[[#This Row],[仕入先]],$F$3:F769), "0000")</f>
        <v/>
      </c>
      <c r="H769" s="167" t="n"/>
      <c r="I769" s="167" t="n"/>
      <c r="J769" s="167" t="n"/>
      <c r="K769" s="167" t="n"/>
      <c r="L769" s="289" t="n"/>
      <c r="M769" s="157" t="n"/>
      <c r="N769" s="289" t="n"/>
      <c r="O769" s="290">
        <f>IF(COUNT(商品マスタ[[#This Row],[参考上代
（税込)]]) &gt; 0, (商品マスタ[[#This Row],[参考上代
（税込)]]-商品マスタ[[#This Row],[国内定価
（15％）]])/(商品マスタ[[#This Row],[参考上代
（税込)]]/1.08), "")</f>
        <v/>
      </c>
      <c r="P769" s="136" t="n">
        <v>0.1</v>
      </c>
      <c r="Q769" s="289">
        <f>商品マスタ[[#This Row],[仕入
単価]]*商品マスタ[[#This Row],[標準国内送料率]]</f>
        <v/>
      </c>
      <c r="R769" s="289" t="n"/>
      <c r="S769" s="289">
        <f>IF(ISBLANK(商品マスタ[[#This Row],[実績
国内送料]]),商品マスタ[[#This Row],[標準国内送料]],)</f>
        <v/>
      </c>
      <c r="T769" s="289">
        <f>商品マスタ[[#This Row],[仕入
単価]]+商品マスタ[[#This Row],[国内送料]]</f>
        <v/>
      </c>
      <c r="U769" s="289">
        <f>ROUNDUP(商品マスタ[[#This Row],[仕入単価+国内送料]]/0.8,-1)</f>
        <v/>
      </c>
      <c r="V769" s="289">
        <f>商品マスタ[[#This Row],[海外定価
（20％）]]-商品マスタ[[#This Row],[仕入単価+国内送料]]</f>
        <v/>
      </c>
      <c r="W769" s="167">
        <f>ROUNDUP(商品マスタ[[#This Row],[仕入単価+国内送料]]/0.85,-1)</f>
        <v/>
      </c>
      <c r="X769" s="289">
        <f>商品マスタ[[#This Row],[国内定価
（15％）]]-商品マスタ[[#This Row],[仕入単価+国内送料]]</f>
        <v/>
      </c>
      <c r="Y769" s="139" t="n"/>
      <c r="Z769" s="167" t="n"/>
      <c r="AA769" s="167" t="n"/>
      <c r="AB769" s="167" t="n"/>
      <c r="AC769" s="293" t="n"/>
      <c r="AD769" s="167" t="n"/>
      <c r="AE769" s="167" t="n"/>
      <c r="AF769" s="167" t="n"/>
      <c r="AG769" s="144" t="n"/>
    </row>
    <row r="770" ht="18" customHeight="1" s="207">
      <c r="A770" s="166" t="n"/>
      <c r="B770" s="167" t="n"/>
      <c r="C770" s="167" t="n"/>
      <c r="D770" s="143">
        <f>"PRD_SNJ_"&amp;
_xlfn.XLOOKUP(商品マスタ[[#This Row],[仕入先]],テーブル1[仕入先名],テーブル1[仕入先コード],"XXX",0,1)&amp;
"_"&amp;
商品マスタ[[#This Row],[シリアル]]&amp;
"_"&amp;
TEXT(COUNTIFS(商品マスタ!$C$3:C770,商品マスタ[[#This Row],[仕入先]],商品マスタ!$E$3:E770,商品マスタ[[#This Row],[商品名]]), "00")</f>
        <v/>
      </c>
      <c r="E770" s="167" t="n"/>
      <c r="F770" s="167">
        <f>IF(COUNTIFS($C$3:C770,商品マスタ[[#This Row],[仕入先]],$E$3:E770,商品マスタ[[#This Row],[商品名]]) = 1, 1,0)</f>
        <v/>
      </c>
      <c r="G770" s="133">
        <f>TEXT(SUMIF($C$3:C770,商品マスタ[[#This Row],[仕入先]],$F$3:F770), "0000")</f>
        <v/>
      </c>
      <c r="H770" s="167" t="n"/>
      <c r="I770" s="167" t="n"/>
      <c r="J770" s="167" t="n"/>
      <c r="K770" s="167" t="n"/>
      <c r="L770" s="289" t="n"/>
      <c r="M770" s="157" t="n"/>
      <c r="N770" s="289" t="n"/>
      <c r="O770" s="290">
        <f>IF(COUNT(商品マスタ[[#This Row],[参考上代
（税込)]]) &gt; 0, (商品マスタ[[#This Row],[参考上代
（税込)]]-商品マスタ[[#This Row],[国内定価
（15％）]])/(商品マスタ[[#This Row],[参考上代
（税込)]]/1.08), "")</f>
        <v/>
      </c>
      <c r="P770" s="136" t="n">
        <v>0.1</v>
      </c>
      <c r="Q770" s="289">
        <f>商品マスタ[[#This Row],[仕入
単価]]*商品マスタ[[#This Row],[標準国内送料率]]</f>
        <v/>
      </c>
      <c r="R770" s="289" t="n"/>
      <c r="S770" s="289">
        <f>IF(ISBLANK(商品マスタ[[#This Row],[実績
国内送料]]),商品マスタ[[#This Row],[標準国内送料]],)</f>
        <v/>
      </c>
      <c r="T770" s="289">
        <f>商品マスタ[[#This Row],[仕入
単価]]+商品マスタ[[#This Row],[国内送料]]</f>
        <v/>
      </c>
      <c r="U770" s="289">
        <f>ROUNDUP(商品マスタ[[#This Row],[仕入単価+国内送料]]/0.8,-1)</f>
        <v/>
      </c>
      <c r="V770" s="289">
        <f>商品マスタ[[#This Row],[海外定価
（20％）]]-商品マスタ[[#This Row],[仕入単価+国内送料]]</f>
        <v/>
      </c>
      <c r="W770" s="167">
        <f>ROUNDUP(商品マスタ[[#This Row],[仕入単価+国内送料]]/0.85,-1)</f>
        <v/>
      </c>
      <c r="X770" s="289">
        <f>商品マスタ[[#This Row],[国内定価
（15％）]]-商品マスタ[[#This Row],[仕入単価+国内送料]]</f>
        <v/>
      </c>
      <c r="Y770" s="139" t="n"/>
      <c r="Z770" s="167" t="n"/>
      <c r="AA770" s="167" t="n"/>
      <c r="AB770" s="167" t="n"/>
      <c r="AC770" s="293" t="n"/>
      <c r="AD770" s="167" t="n"/>
      <c r="AE770" s="167" t="n"/>
      <c r="AF770" s="167" t="n"/>
      <c r="AG770" s="144" t="n"/>
    </row>
    <row r="771" ht="18" customHeight="1" s="207">
      <c r="A771" s="166" t="n"/>
      <c r="B771" s="167" t="n"/>
      <c r="C771" s="167" t="n"/>
      <c r="D771" s="143">
        <f>"PRD_SNJ_"&amp;
_xlfn.XLOOKUP(商品マスタ[[#This Row],[仕入先]],テーブル1[仕入先名],テーブル1[仕入先コード],"XXX",0,1)&amp;
"_"&amp;
商品マスタ[[#This Row],[シリアル]]&amp;
"_"&amp;
TEXT(COUNTIFS(商品マスタ!$C$3:C771,商品マスタ[[#This Row],[仕入先]],商品マスタ!$E$3:E771,商品マスタ[[#This Row],[商品名]]), "00")</f>
        <v/>
      </c>
      <c r="E771" s="167" t="n"/>
      <c r="F771" s="167">
        <f>IF(COUNTIFS($C$3:C771,商品マスタ[[#This Row],[仕入先]],$E$3:E771,商品マスタ[[#This Row],[商品名]]) = 1, 1,0)</f>
        <v/>
      </c>
      <c r="G771" s="133">
        <f>TEXT(SUMIF($C$3:C771,商品マスタ[[#This Row],[仕入先]],$F$3:F771), "0000")</f>
        <v/>
      </c>
      <c r="H771" s="167" t="n"/>
      <c r="I771" s="167" t="n"/>
      <c r="J771" s="167" t="n"/>
      <c r="K771" s="167" t="n"/>
      <c r="L771" s="289" t="n"/>
      <c r="M771" s="157" t="n"/>
      <c r="N771" s="289" t="n"/>
      <c r="O771" s="290">
        <f>IF(COUNT(商品マスタ[[#This Row],[参考上代
（税込)]]) &gt; 0, (商品マスタ[[#This Row],[参考上代
（税込)]]-商品マスタ[[#This Row],[国内定価
（15％）]])/(商品マスタ[[#This Row],[参考上代
（税込)]]/1.08), "")</f>
        <v/>
      </c>
      <c r="P771" s="136" t="n">
        <v>0.1</v>
      </c>
      <c r="Q771" s="289">
        <f>商品マスタ[[#This Row],[仕入
単価]]*商品マスタ[[#This Row],[標準国内送料率]]</f>
        <v/>
      </c>
      <c r="R771" s="289" t="n"/>
      <c r="S771" s="289">
        <f>IF(ISBLANK(商品マスタ[[#This Row],[実績
国内送料]]),商品マスタ[[#This Row],[標準国内送料]],)</f>
        <v/>
      </c>
      <c r="T771" s="289">
        <f>商品マスタ[[#This Row],[仕入
単価]]+商品マスタ[[#This Row],[国内送料]]</f>
        <v/>
      </c>
      <c r="U771" s="289">
        <f>ROUNDUP(商品マスタ[[#This Row],[仕入単価+国内送料]]/0.8,-1)</f>
        <v/>
      </c>
      <c r="V771" s="289">
        <f>商品マスタ[[#This Row],[海外定価
（20％）]]-商品マスタ[[#This Row],[仕入単価+国内送料]]</f>
        <v/>
      </c>
      <c r="W771" s="167">
        <f>ROUNDUP(商品マスタ[[#This Row],[仕入単価+国内送料]]/0.85,-1)</f>
        <v/>
      </c>
      <c r="X771" s="289">
        <f>商品マスタ[[#This Row],[国内定価
（15％）]]-商品マスタ[[#This Row],[仕入単価+国内送料]]</f>
        <v/>
      </c>
      <c r="Y771" s="139" t="n"/>
      <c r="Z771" s="167" t="n"/>
      <c r="AA771" s="167" t="n"/>
      <c r="AB771" s="167" t="n"/>
      <c r="AC771" s="293" t="n"/>
      <c r="AD771" s="167" t="n"/>
      <c r="AE771" s="167" t="n"/>
      <c r="AF771" s="167" t="n"/>
      <c r="AG771" s="144" t="n"/>
    </row>
    <row r="772" ht="18" customHeight="1" s="207">
      <c r="A772" s="166" t="n"/>
      <c r="B772" s="167" t="n"/>
      <c r="C772" s="167" t="n"/>
      <c r="D772" s="143">
        <f>"PRD_SNJ_"&amp;
_xlfn.XLOOKUP(商品マスタ[[#This Row],[仕入先]],テーブル1[仕入先名],テーブル1[仕入先コード],"XXX",0,1)&amp;
"_"&amp;
商品マスタ[[#This Row],[シリアル]]&amp;
"_"&amp;
TEXT(COUNTIFS(商品マスタ!$C$3:C772,商品マスタ[[#This Row],[仕入先]],商品マスタ!$E$3:E772,商品マスタ[[#This Row],[商品名]]), "00")</f>
        <v/>
      </c>
      <c r="E772" s="167" t="n"/>
      <c r="F772" s="167">
        <f>IF(COUNTIFS($C$3:C772,商品マスタ[[#This Row],[仕入先]],$E$3:E772,商品マスタ[[#This Row],[商品名]]) = 1, 1,0)</f>
        <v/>
      </c>
      <c r="G772" s="133">
        <f>TEXT(SUMIF($C$3:C772,商品マスタ[[#This Row],[仕入先]],$F$3:F772), "0000")</f>
        <v/>
      </c>
      <c r="H772" s="167" t="n"/>
      <c r="I772" s="167" t="n"/>
      <c r="J772" s="167" t="n"/>
      <c r="K772" s="167" t="n"/>
      <c r="L772" s="289" t="n"/>
      <c r="M772" s="157" t="n"/>
      <c r="N772" s="289" t="n"/>
      <c r="O772" s="290">
        <f>IF(COUNT(商品マスタ[[#This Row],[参考上代
（税込)]]) &gt; 0, (商品マスタ[[#This Row],[参考上代
（税込)]]-商品マスタ[[#This Row],[国内定価
（15％）]])/(商品マスタ[[#This Row],[参考上代
（税込)]]/1.08), "")</f>
        <v/>
      </c>
      <c r="P772" s="136" t="n">
        <v>0.1</v>
      </c>
      <c r="Q772" s="289">
        <f>商品マスタ[[#This Row],[仕入
単価]]*商品マスタ[[#This Row],[標準国内送料率]]</f>
        <v/>
      </c>
      <c r="R772" s="289" t="n"/>
      <c r="S772" s="289">
        <f>IF(ISBLANK(商品マスタ[[#This Row],[実績
国内送料]]),商品マスタ[[#This Row],[標準国内送料]],)</f>
        <v/>
      </c>
      <c r="T772" s="289">
        <f>商品マスタ[[#This Row],[仕入
単価]]+商品マスタ[[#This Row],[国内送料]]</f>
        <v/>
      </c>
      <c r="U772" s="289">
        <f>ROUNDUP(商品マスタ[[#This Row],[仕入単価+国内送料]]/0.8,-1)</f>
        <v/>
      </c>
      <c r="V772" s="289">
        <f>商品マスタ[[#This Row],[海外定価
（20％）]]-商品マスタ[[#This Row],[仕入単価+国内送料]]</f>
        <v/>
      </c>
      <c r="W772" s="167">
        <f>ROUNDUP(商品マスタ[[#This Row],[仕入単価+国内送料]]/0.85,-1)</f>
        <v/>
      </c>
      <c r="X772" s="289">
        <f>商品マスタ[[#This Row],[国内定価
（15％）]]-商品マスタ[[#This Row],[仕入単価+国内送料]]</f>
        <v/>
      </c>
      <c r="Y772" s="139" t="n"/>
      <c r="Z772" s="167" t="n"/>
      <c r="AA772" s="167" t="n"/>
      <c r="AB772" s="167" t="n"/>
      <c r="AC772" s="293" t="n"/>
      <c r="AD772" s="167" t="n"/>
      <c r="AE772" s="167" t="n"/>
      <c r="AF772" s="167" t="n"/>
      <c r="AG772" s="144" t="n"/>
    </row>
    <row r="773" ht="18" customHeight="1" s="207">
      <c r="A773" s="166" t="n"/>
      <c r="B773" s="167" t="n"/>
      <c r="C773" s="167" t="n"/>
      <c r="D773" s="143">
        <f>"PRD_SNJ_"&amp;
_xlfn.XLOOKUP(商品マスタ[[#This Row],[仕入先]],テーブル1[仕入先名],テーブル1[仕入先コード],"XXX",0,1)&amp;
"_"&amp;
商品マスタ[[#This Row],[シリアル]]&amp;
"_"&amp;
TEXT(COUNTIFS(商品マスタ!$C$3:C773,商品マスタ[[#This Row],[仕入先]],商品マスタ!$E$3:E773,商品マスタ[[#This Row],[商品名]]), "00")</f>
        <v/>
      </c>
      <c r="E773" s="167" t="n"/>
      <c r="F773" s="167">
        <f>IF(COUNTIFS($C$3:C773,商品マスタ[[#This Row],[仕入先]],$E$3:E773,商品マスタ[[#This Row],[商品名]]) = 1, 1,0)</f>
        <v/>
      </c>
      <c r="G773" s="133">
        <f>TEXT(SUMIF($C$3:C773,商品マスタ[[#This Row],[仕入先]],$F$3:F773), "0000")</f>
        <v/>
      </c>
      <c r="H773" s="167" t="n"/>
      <c r="I773" s="167" t="n"/>
      <c r="J773" s="167" t="n"/>
      <c r="K773" s="167" t="n"/>
      <c r="L773" s="289" t="n"/>
      <c r="M773" s="157" t="n"/>
      <c r="N773" s="289" t="n"/>
      <c r="O773" s="290">
        <f>IF(COUNT(商品マスタ[[#This Row],[参考上代
（税込)]]) &gt; 0, (商品マスタ[[#This Row],[参考上代
（税込)]]-商品マスタ[[#This Row],[国内定価
（15％）]])/(商品マスタ[[#This Row],[参考上代
（税込)]]/1.08), "")</f>
        <v/>
      </c>
      <c r="P773" s="136" t="n">
        <v>0.1</v>
      </c>
      <c r="Q773" s="289">
        <f>商品マスタ[[#This Row],[仕入
単価]]*商品マスタ[[#This Row],[標準国内送料率]]</f>
        <v/>
      </c>
      <c r="R773" s="289" t="n"/>
      <c r="S773" s="289">
        <f>IF(ISBLANK(商品マスタ[[#This Row],[実績
国内送料]]),商品マスタ[[#This Row],[標準国内送料]],)</f>
        <v/>
      </c>
      <c r="T773" s="289">
        <f>商品マスタ[[#This Row],[仕入
単価]]+商品マスタ[[#This Row],[国内送料]]</f>
        <v/>
      </c>
      <c r="U773" s="289">
        <f>ROUNDUP(商品マスタ[[#This Row],[仕入単価+国内送料]]/0.8,-1)</f>
        <v/>
      </c>
      <c r="V773" s="289">
        <f>商品マスタ[[#This Row],[海外定価
（20％）]]-商品マスタ[[#This Row],[仕入単価+国内送料]]</f>
        <v/>
      </c>
      <c r="W773" s="167">
        <f>ROUNDUP(商品マスタ[[#This Row],[仕入単価+国内送料]]/0.85,-1)</f>
        <v/>
      </c>
      <c r="X773" s="289">
        <f>商品マスタ[[#This Row],[国内定価
（15％）]]-商品マスタ[[#This Row],[仕入単価+国内送料]]</f>
        <v/>
      </c>
      <c r="Y773" s="139" t="n"/>
      <c r="Z773" s="167" t="n"/>
      <c r="AA773" s="167" t="n"/>
      <c r="AB773" s="167" t="n"/>
      <c r="AC773" s="293" t="n"/>
      <c r="AD773" s="167" t="n"/>
      <c r="AE773" s="167" t="n"/>
      <c r="AF773" s="167" t="n"/>
      <c r="AG773" s="144" t="n"/>
    </row>
    <row r="774" ht="18" customHeight="1" s="207">
      <c r="A774" s="166" t="n"/>
      <c r="B774" s="167" t="n"/>
      <c r="C774" s="167" t="n"/>
      <c r="D774" s="143">
        <f>"PRD_SNJ_"&amp;
_xlfn.XLOOKUP(商品マスタ[[#This Row],[仕入先]],テーブル1[仕入先名],テーブル1[仕入先コード],"XXX",0,1)&amp;
"_"&amp;
商品マスタ[[#This Row],[シリアル]]&amp;
"_"&amp;
TEXT(COUNTIFS(商品マスタ!$C$3:C774,商品マスタ[[#This Row],[仕入先]],商品マスタ!$E$3:E774,商品マスタ[[#This Row],[商品名]]), "00")</f>
        <v/>
      </c>
      <c r="E774" s="167" t="n"/>
      <c r="F774" s="167">
        <f>IF(COUNTIFS($C$3:C774,商品マスタ[[#This Row],[仕入先]],$E$3:E774,商品マスタ[[#This Row],[商品名]]) = 1, 1,0)</f>
        <v/>
      </c>
      <c r="G774" s="133">
        <f>TEXT(SUMIF($C$3:C774,商品マスタ[[#This Row],[仕入先]],$F$3:F774), "0000")</f>
        <v/>
      </c>
      <c r="H774" s="167" t="n"/>
      <c r="I774" s="167" t="n"/>
      <c r="J774" s="167" t="n"/>
      <c r="K774" s="167" t="n"/>
      <c r="L774" s="289" t="n"/>
      <c r="M774" s="157" t="n"/>
      <c r="N774" s="289" t="n"/>
      <c r="O774" s="290">
        <f>IF(COUNT(商品マスタ[[#This Row],[参考上代
（税込)]]) &gt; 0, (商品マスタ[[#This Row],[参考上代
（税込)]]-商品マスタ[[#This Row],[国内定価
（15％）]])/(商品マスタ[[#This Row],[参考上代
（税込)]]/1.08), "")</f>
        <v/>
      </c>
      <c r="P774" s="136" t="n">
        <v>0.1</v>
      </c>
      <c r="Q774" s="289">
        <f>商品マスタ[[#This Row],[仕入
単価]]*商品マスタ[[#This Row],[標準国内送料率]]</f>
        <v/>
      </c>
      <c r="R774" s="289" t="n"/>
      <c r="S774" s="289">
        <f>IF(ISBLANK(商品マスタ[[#This Row],[実績
国内送料]]),商品マスタ[[#This Row],[標準国内送料]],)</f>
        <v/>
      </c>
      <c r="T774" s="289">
        <f>商品マスタ[[#This Row],[仕入
単価]]+商品マスタ[[#This Row],[国内送料]]</f>
        <v/>
      </c>
      <c r="U774" s="289">
        <f>ROUNDUP(商品マスタ[[#This Row],[仕入単価+国内送料]]/0.8,-1)</f>
        <v/>
      </c>
      <c r="V774" s="289">
        <f>商品マスタ[[#This Row],[海外定価
（20％）]]-商品マスタ[[#This Row],[仕入単価+国内送料]]</f>
        <v/>
      </c>
      <c r="W774" s="167">
        <f>ROUNDUP(商品マスタ[[#This Row],[仕入単価+国内送料]]/0.85,-1)</f>
        <v/>
      </c>
      <c r="X774" s="289">
        <f>商品マスタ[[#This Row],[国内定価
（15％）]]-商品マスタ[[#This Row],[仕入単価+国内送料]]</f>
        <v/>
      </c>
      <c r="Y774" s="139" t="n"/>
      <c r="Z774" s="167" t="n"/>
      <c r="AA774" s="167" t="n"/>
      <c r="AB774" s="167" t="n"/>
      <c r="AC774" s="293" t="n"/>
      <c r="AD774" s="167" t="n"/>
      <c r="AE774" s="167" t="n"/>
      <c r="AF774" s="167" t="n"/>
      <c r="AG774" s="144" t="n"/>
    </row>
    <row r="775" ht="18" customHeight="1" s="207">
      <c r="A775" s="166" t="n"/>
      <c r="B775" s="167" t="n"/>
      <c r="C775" s="167" t="n"/>
      <c r="D775" s="143">
        <f>"PRD_SNJ_"&amp;
_xlfn.XLOOKUP(商品マスタ[[#This Row],[仕入先]],テーブル1[仕入先名],テーブル1[仕入先コード],"XXX",0,1)&amp;
"_"&amp;
商品マスタ[[#This Row],[シリアル]]&amp;
"_"&amp;
TEXT(COUNTIFS(商品マスタ!$C$3:C775,商品マスタ[[#This Row],[仕入先]],商品マスタ!$E$3:E775,商品マスタ[[#This Row],[商品名]]), "00")</f>
        <v/>
      </c>
      <c r="E775" s="167" t="n"/>
      <c r="F775" s="167">
        <f>IF(COUNTIFS($C$3:C775,商品マスタ[[#This Row],[仕入先]],$E$3:E775,商品マスタ[[#This Row],[商品名]]) = 1, 1,0)</f>
        <v/>
      </c>
      <c r="G775" s="133">
        <f>TEXT(SUMIF($C$3:C775,商品マスタ[[#This Row],[仕入先]],$F$3:F775), "0000")</f>
        <v/>
      </c>
      <c r="H775" s="167" t="n"/>
      <c r="I775" s="167" t="n"/>
      <c r="J775" s="167" t="n"/>
      <c r="K775" s="167" t="n"/>
      <c r="L775" s="289" t="n"/>
      <c r="M775" s="157" t="n"/>
      <c r="N775" s="289" t="n"/>
      <c r="O775" s="290">
        <f>IF(COUNT(商品マスタ[[#This Row],[参考上代
（税込)]]) &gt; 0, (商品マスタ[[#This Row],[参考上代
（税込)]]-商品マスタ[[#This Row],[国内定価
（15％）]])/(商品マスタ[[#This Row],[参考上代
（税込)]]/1.08), "")</f>
        <v/>
      </c>
      <c r="P775" s="136" t="n">
        <v>0.1</v>
      </c>
      <c r="Q775" s="289">
        <f>商品マスタ[[#This Row],[仕入
単価]]*商品マスタ[[#This Row],[標準国内送料率]]</f>
        <v/>
      </c>
      <c r="R775" s="289" t="n"/>
      <c r="S775" s="289">
        <f>IF(ISBLANK(商品マスタ[[#This Row],[実績
国内送料]]),商品マスタ[[#This Row],[標準国内送料]],)</f>
        <v/>
      </c>
      <c r="T775" s="289">
        <f>商品マスタ[[#This Row],[仕入
単価]]+商品マスタ[[#This Row],[国内送料]]</f>
        <v/>
      </c>
      <c r="U775" s="289">
        <f>ROUNDUP(商品マスタ[[#This Row],[仕入単価+国内送料]]/0.8,-1)</f>
        <v/>
      </c>
      <c r="V775" s="289">
        <f>商品マスタ[[#This Row],[海外定価
（20％）]]-商品マスタ[[#This Row],[仕入単価+国内送料]]</f>
        <v/>
      </c>
      <c r="W775" s="167">
        <f>ROUNDUP(商品マスタ[[#This Row],[仕入単価+国内送料]]/0.85,-1)</f>
        <v/>
      </c>
      <c r="X775" s="289">
        <f>商品マスタ[[#This Row],[国内定価
（15％）]]-商品マスタ[[#This Row],[仕入単価+国内送料]]</f>
        <v/>
      </c>
      <c r="Y775" s="139" t="n"/>
      <c r="Z775" s="167" t="n"/>
      <c r="AA775" s="167" t="n"/>
      <c r="AB775" s="167" t="n"/>
      <c r="AC775" s="293" t="n"/>
      <c r="AD775" s="167" t="n"/>
      <c r="AE775" s="167" t="n"/>
      <c r="AF775" s="167" t="n"/>
      <c r="AG775" s="144" t="n"/>
    </row>
    <row r="776" ht="18" customHeight="1" s="207">
      <c r="A776" s="166" t="n"/>
      <c r="B776" s="167" t="n"/>
      <c r="C776" s="167" t="n"/>
      <c r="D776" s="143">
        <f>"PRD_SNJ_"&amp;
_xlfn.XLOOKUP(商品マスタ[[#This Row],[仕入先]],テーブル1[仕入先名],テーブル1[仕入先コード],"XXX",0,1)&amp;
"_"&amp;
商品マスタ[[#This Row],[シリアル]]&amp;
"_"&amp;
TEXT(COUNTIFS(商品マスタ!$C$3:C776,商品マスタ[[#This Row],[仕入先]],商品マスタ!$E$3:E776,商品マスタ[[#This Row],[商品名]]), "00")</f>
        <v/>
      </c>
      <c r="E776" s="167" t="n"/>
      <c r="F776" s="167">
        <f>IF(COUNTIFS($C$3:C776,商品マスタ[[#This Row],[仕入先]],$E$3:E776,商品マスタ[[#This Row],[商品名]]) = 1, 1,0)</f>
        <v/>
      </c>
      <c r="G776" s="133">
        <f>TEXT(SUMIF($C$3:C776,商品マスタ[[#This Row],[仕入先]],$F$3:F776), "0000")</f>
        <v/>
      </c>
      <c r="H776" s="167" t="n"/>
      <c r="I776" s="167" t="n"/>
      <c r="J776" s="167" t="n"/>
      <c r="K776" s="167" t="n"/>
      <c r="L776" s="289" t="n"/>
      <c r="M776" s="157" t="n"/>
      <c r="N776" s="289" t="n"/>
      <c r="O776" s="290">
        <f>IF(COUNT(商品マスタ[[#This Row],[参考上代
（税込)]]) &gt; 0, (商品マスタ[[#This Row],[参考上代
（税込)]]-商品マスタ[[#This Row],[国内定価
（15％）]])/(商品マスタ[[#This Row],[参考上代
（税込)]]/1.08), "")</f>
        <v/>
      </c>
      <c r="P776" s="136" t="n">
        <v>0.1</v>
      </c>
      <c r="Q776" s="289">
        <f>商品マスタ[[#This Row],[仕入
単価]]*商品マスタ[[#This Row],[標準国内送料率]]</f>
        <v/>
      </c>
      <c r="R776" s="289" t="n"/>
      <c r="S776" s="289">
        <f>IF(ISBLANK(商品マスタ[[#This Row],[実績
国内送料]]),商品マスタ[[#This Row],[標準国内送料]],)</f>
        <v/>
      </c>
      <c r="T776" s="289">
        <f>商品マスタ[[#This Row],[仕入
単価]]+商品マスタ[[#This Row],[国内送料]]</f>
        <v/>
      </c>
      <c r="U776" s="289">
        <f>ROUNDUP(商品マスタ[[#This Row],[仕入単価+国内送料]]/0.8,-1)</f>
        <v/>
      </c>
      <c r="V776" s="289">
        <f>商品マスタ[[#This Row],[海外定価
（20％）]]-商品マスタ[[#This Row],[仕入単価+国内送料]]</f>
        <v/>
      </c>
      <c r="W776" s="167">
        <f>ROUNDUP(商品マスタ[[#This Row],[仕入単価+国内送料]]/0.85,-1)</f>
        <v/>
      </c>
      <c r="X776" s="289">
        <f>商品マスタ[[#This Row],[国内定価
（15％）]]-商品マスタ[[#This Row],[仕入単価+国内送料]]</f>
        <v/>
      </c>
      <c r="Y776" s="139" t="n"/>
      <c r="Z776" s="167" t="n"/>
      <c r="AA776" s="167" t="n"/>
      <c r="AB776" s="167" t="n"/>
      <c r="AC776" s="293" t="n"/>
      <c r="AD776" s="167" t="n"/>
      <c r="AE776" s="167" t="n"/>
      <c r="AF776" s="167" t="n"/>
      <c r="AG776" s="144" t="n"/>
    </row>
    <row r="777" ht="18" customHeight="1" s="207">
      <c r="A777" s="166" t="n"/>
      <c r="B777" s="167" t="n"/>
      <c r="C777" s="167" t="n"/>
      <c r="D777" s="143">
        <f>"PRD_SNJ_"&amp;
_xlfn.XLOOKUP(商品マスタ[[#This Row],[仕入先]],テーブル1[仕入先名],テーブル1[仕入先コード],"XXX",0,1)&amp;
"_"&amp;
商品マスタ[[#This Row],[シリアル]]&amp;
"_"&amp;
TEXT(COUNTIFS(商品マスタ!$C$3:C777,商品マスタ[[#This Row],[仕入先]],商品マスタ!$E$3:E777,商品マスタ[[#This Row],[商品名]]), "00")</f>
        <v/>
      </c>
      <c r="E777" s="167" t="n"/>
      <c r="F777" s="167">
        <f>IF(COUNTIFS($C$3:C777,商品マスタ[[#This Row],[仕入先]],$E$3:E777,商品マスタ[[#This Row],[商品名]]) = 1, 1,0)</f>
        <v/>
      </c>
      <c r="G777" s="133">
        <f>TEXT(SUMIF($C$3:C777,商品マスタ[[#This Row],[仕入先]],$F$3:F777), "0000")</f>
        <v/>
      </c>
      <c r="H777" s="167" t="n"/>
      <c r="I777" s="167" t="n"/>
      <c r="J777" s="167" t="n"/>
      <c r="K777" s="167" t="n"/>
      <c r="L777" s="289" t="n"/>
      <c r="M777" s="157" t="n"/>
      <c r="N777" s="289" t="n"/>
      <c r="O777" s="290">
        <f>IF(COUNT(商品マスタ[[#This Row],[参考上代
（税込)]]) &gt; 0, (商品マスタ[[#This Row],[参考上代
（税込)]]-商品マスタ[[#This Row],[国内定価
（15％）]])/(商品マスタ[[#This Row],[参考上代
（税込)]]/1.08), "")</f>
        <v/>
      </c>
      <c r="P777" s="136" t="n">
        <v>0.1</v>
      </c>
      <c r="Q777" s="289">
        <f>商品マスタ[[#This Row],[仕入
単価]]*商品マスタ[[#This Row],[標準国内送料率]]</f>
        <v/>
      </c>
      <c r="R777" s="289" t="n"/>
      <c r="S777" s="289">
        <f>IF(ISBLANK(商品マスタ[[#This Row],[実績
国内送料]]),商品マスタ[[#This Row],[標準国内送料]],)</f>
        <v/>
      </c>
      <c r="T777" s="289">
        <f>商品マスタ[[#This Row],[仕入
単価]]+商品マスタ[[#This Row],[国内送料]]</f>
        <v/>
      </c>
      <c r="U777" s="289">
        <f>ROUNDUP(商品マスタ[[#This Row],[仕入単価+国内送料]]/0.8,-1)</f>
        <v/>
      </c>
      <c r="V777" s="289">
        <f>商品マスタ[[#This Row],[海外定価
（20％）]]-商品マスタ[[#This Row],[仕入単価+国内送料]]</f>
        <v/>
      </c>
      <c r="W777" s="167">
        <f>ROUNDUP(商品マスタ[[#This Row],[仕入単価+国内送料]]/0.85,-1)</f>
        <v/>
      </c>
      <c r="X777" s="289">
        <f>商品マスタ[[#This Row],[国内定価
（15％）]]-商品マスタ[[#This Row],[仕入単価+国内送料]]</f>
        <v/>
      </c>
      <c r="Y777" s="139" t="n"/>
      <c r="Z777" s="167" t="n"/>
      <c r="AA777" s="167" t="n"/>
      <c r="AB777" s="167" t="n"/>
      <c r="AC777" s="293" t="n"/>
      <c r="AD777" s="167" t="n"/>
      <c r="AE777" s="167" t="n"/>
      <c r="AF777" s="167" t="n"/>
      <c r="AG777" s="144" t="n"/>
    </row>
    <row r="778" ht="18" customHeight="1" s="207">
      <c r="A778" s="166" t="n"/>
      <c r="B778" s="167" t="n"/>
      <c r="C778" s="167" t="n"/>
      <c r="D778" s="143">
        <f>"PRD_SNJ_"&amp;
_xlfn.XLOOKUP(商品マスタ[[#This Row],[仕入先]],テーブル1[仕入先名],テーブル1[仕入先コード],"XXX",0,1)&amp;
"_"&amp;
商品マスタ[[#This Row],[シリアル]]&amp;
"_"&amp;
TEXT(COUNTIFS(商品マスタ!$C$3:C778,商品マスタ[[#This Row],[仕入先]],商品マスタ!$E$3:E778,商品マスタ[[#This Row],[商品名]]), "00")</f>
        <v/>
      </c>
      <c r="E778" s="167" t="n"/>
      <c r="F778" s="167">
        <f>IF(COUNTIFS($C$3:C778,商品マスタ[[#This Row],[仕入先]],$E$3:E778,商品マスタ[[#This Row],[商品名]]) = 1, 1,0)</f>
        <v/>
      </c>
      <c r="G778" s="133">
        <f>TEXT(SUMIF($C$3:C778,商品マスタ[[#This Row],[仕入先]],$F$3:F778), "0000")</f>
        <v/>
      </c>
      <c r="H778" s="167" t="n"/>
      <c r="I778" s="167" t="n"/>
      <c r="J778" s="167" t="n"/>
      <c r="K778" s="167" t="n"/>
      <c r="L778" s="289" t="n"/>
      <c r="M778" s="157" t="n"/>
      <c r="N778" s="289" t="n"/>
      <c r="O778" s="290">
        <f>IF(COUNT(商品マスタ[[#This Row],[参考上代
（税込)]]) &gt; 0, (商品マスタ[[#This Row],[参考上代
（税込)]]-商品マスタ[[#This Row],[国内定価
（15％）]])/(商品マスタ[[#This Row],[参考上代
（税込)]]/1.08), "")</f>
        <v/>
      </c>
      <c r="P778" s="136" t="n">
        <v>0.1</v>
      </c>
      <c r="Q778" s="289">
        <f>商品マスタ[[#This Row],[仕入
単価]]*商品マスタ[[#This Row],[標準国内送料率]]</f>
        <v/>
      </c>
      <c r="R778" s="289" t="n"/>
      <c r="S778" s="289">
        <f>IF(ISBLANK(商品マスタ[[#This Row],[実績
国内送料]]),商品マスタ[[#This Row],[標準国内送料]],)</f>
        <v/>
      </c>
      <c r="T778" s="289">
        <f>商品マスタ[[#This Row],[仕入
単価]]+商品マスタ[[#This Row],[国内送料]]</f>
        <v/>
      </c>
      <c r="U778" s="289">
        <f>ROUNDUP(商品マスタ[[#This Row],[仕入単価+国内送料]]/0.8,-1)</f>
        <v/>
      </c>
      <c r="V778" s="289">
        <f>商品マスタ[[#This Row],[海外定価
（20％）]]-商品マスタ[[#This Row],[仕入単価+国内送料]]</f>
        <v/>
      </c>
      <c r="W778" s="167">
        <f>ROUNDUP(商品マスタ[[#This Row],[仕入単価+国内送料]]/0.85,-1)</f>
        <v/>
      </c>
      <c r="X778" s="289">
        <f>商品マスタ[[#This Row],[国内定価
（15％）]]-商品マスタ[[#This Row],[仕入単価+国内送料]]</f>
        <v/>
      </c>
      <c r="Y778" s="139" t="n"/>
      <c r="Z778" s="167" t="n"/>
      <c r="AA778" s="167" t="n"/>
      <c r="AB778" s="167" t="n"/>
      <c r="AC778" s="293" t="n"/>
      <c r="AD778" s="167" t="n"/>
      <c r="AE778" s="167" t="n"/>
      <c r="AF778" s="167" t="n"/>
      <c r="AG778" s="144" t="n"/>
    </row>
    <row r="779" ht="18" customHeight="1" s="207">
      <c r="A779" s="166" t="n"/>
      <c r="B779" s="167" t="n"/>
      <c r="C779" s="167" t="n"/>
      <c r="D779" s="143">
        <f>"PRD_SNJ_"&amp;
_xlfn.XLOOKUP(商品マスタ[[#This Row],[仕入先]],テーブル1[仕入先名],テーブル1[仕入先コード],"XXX",0,1)&amp;
"_"&amp;
商品マスタ[[#This Row],[シリアル]]&amp;
"_"&amp;
TEXT(COUNTIFS(商品マスタ!$C$3:C779,商品マスタ[[#This Row],[仕入先]],商品マスタ!$E$3:E779,商品マスタ[[#This Row],[商品名]]), "00")</f>
        <v/>
      </c>
      <c r="E779" s="167" t="n"/>
      <c r="F779" s="167">
        <f>IF(COUNTIFS($C$3:C779,商品マスタ[[#This Row],[仕入先]],$E$3:E779,商品マスタ[[#This Row],[商品名]]) = 1, 1,0)</f>
        <v/>
      </c>
      <c r="G779" s="133">
        <f>TEXT(SUMIF($C$3:C779,商品マスタ[[#This Row],[仕入先]],$F$3:F779), "0000")</f>
        <v/>
      </c>
      <c r="H779" s="167" t="n"/>
      <c r="I779" s="167" t="n"/>
      <c r="J779" s="167" t="n"/>
      <c r="K779" s="167" t="n"/>
      <c r="L779" s="289" t="n"/>
      <c r="M779" s="157" t="n"/>
      <c r="N779" s="289" t="n"/>
      <c r="O779" s="290">
        <f>IF(COUNT(商品マスタ[[#This Row],[参考上代
（税込)]]) &gt; 0, (商品マスタ[[#This Row],[参考上代
（税込)]]-商品マスタ[[#This Row],[国内定価
（15％）]])/(商品マスタ[[#This Row],[参考上代
（税込)]]/1.08), "")</f>
        <v/>
      </c>
      <c r="P779" s="136" t="n">
        <v>0.1</v>
      </c>
      <c r="Q779" s="289">
        <f>商品マスタ[[#This Row],[仕入
単価]]*商品マスタ[[#This Row],[標準国内送料率]]</f>
        <v/>
      </c>
      <c r="R779" s="289" t="n"/>
      <c r="S779" s="289">
        <f>IF(ISBLANK(商品マスタ[[#This Row],[実績
国内送料]]),商品マスタ[[#This Row],[標準国内送料]],)</f>
        <v/>
      </c>
      <c r="T779" s="289">
        <f>商品マスタ[[#This Row],[仕入
単価]]+商品マスタ[[#This Row],[国内送料]]</f>
        <v/>
      </c>
      <c r="U779" s="289">
        <f>ROUNDUP(商品マスタ[[#This Row],[仕入単価+国内送料]]/0.8,-1)</f>
        <v/>
      </c>
      <c r="V779" s="289">
        <f>商品マスタ[[#This Row],[海外定価
（20％）]]-商品マスタ[[#This Row],[仕入単価+国内送料]]</f>
        <v/>
      </c>
      <c r="W779" s="167">
        <f>ROUNDUP(商品マスタ[[#This Row],[仕入単価+国内送料]]/0.85,-1)</f>
        <v/>
      </c>
      <c r="X779" s="289">
        <f>商品マスタ[[#This Row],[国内定価
（15％）]]-商品マスタ[[#This Row],[仕入単価+国内送料]]</f>
        <v/>
      </c>
      <c r="Y779" s="139" t="n"/>
      <c r="Z779" s="167" t="n"/>
      <c r="AA779" s="167" t="n"/>
      <c r="AB779" s="167" t="n"/>
      <c r="AC779" s="293" t="n"/>
      <c r="AD779" s="167" t="n"/>
      <c r="AE779" s="167" t="n"/>
      <c r="AF779" s="167" t="n"/>
      <c r="AG779" s="144" t="n"/>
    </row>
    <row r="780" ht="18" customHeight="1" s="207">
      <c r="A780" s="166" t="n"/>
      <c r="B780" s="167" t="n"/>
      <c r="C780" s="167" t="n"/>
      <c r="D780" s="143">
        <f>"PRD_SNJ_"&amp;
_xlfn.XLOOKUP(商品マスタ[[#This Row],[仕入先]],テーブル1[仕入先名],テーブル1[仕入先コード],"XXX",0,1)&amp;
"_"&amp;
商品マスタ[[#This Row],[シリアル]]&amp;
"_"&amp;
TEXT(COUNTIFS(商品マスタ!$C$3:C780,商品マスタ[[#This Row],[仕入先]],商品マスタ!$E$3:E780,商品マスタ[[#This Row],[商品名]]), "00")</f>
        <v/>
      </c>
      <c r="E780" s="167" t="n"/>
      <c r="F780" s="167">
        <f>IF(COUNTIFS($C$3:C780,商品マスタ[[#This Row],[仕入先]],$E$3:E780,商品マスタ[[#This Row],[商品名]]) = 1, 1,0)</f>
        <v/>
      </c>
      <c r="G780" s="133">
        <f>TEXT(SUMIF($C$3:C780,商品マスタ[[#This Row],[仕入先]],$F$3:F780), "0000")</f>
        <v/>
      </c>
      <c r="H780" s="167" t="n"/>
      <c r="I780" s="167" t="n"/>
      <c r="J780" s="167" t="n"/>
      <c r="K780" s="167" t="n"/>
      <c r="L780" s="289" t="n"/>
      <c r="M780" s="157" t="n"/>
      <c r="N780" s="289" t="n"/>
      <c r="O780" s="290">
        <f>IF(COUNT(商品マスタ[[#This Row],[参考上代
（税込)]]) &gt; 0, (商品マスタ[[#This Row],[参考上代
（税込)]]-商品マスタ[[#This Row],[国内定価
（15％）]])/(商品マスタ[[#This Row],[参考上代
（税込)]]/1.08), "")</f>
        <v/>
      </c>
      <c r="P780" s="136" t="n">
        <v>0.1</v>
      </c>
      <c r="Q780" s="289">
        <f>商品マスタ[[#This Row],[仕入
単価]]*商品マスタ[[#This Row],[標準国内送料率]]</f>
        <v/>
      </c>
      <c r="R780" s="289" t="n"/>
      <c r="S780" s="289">
        <f>IF(ISBLANK(商品マスタ[[#This Row],[実績
国内送料]]),商品マスタ[[#This Row],[標準国内送料]],)</f>
        <v/>
      </c>
      <c r="T780" s="289">
        <f>商品マスタ[[#This Row],[仕入
単価]]+商品マスタ[[#This Row],[国内送料]]</f>
        <v/>
      </c>
      <c r="U780" s="289">
        <f>ROUNDUP(商品マスタ[[#This Row],[仕入単価+国内送料]]/0.8,-1)</f>
        <v/>
      </c>
      <c r="V780" s="289">
        <f>商品マスタ[[#This Row],[海外定価
（20％）]]-商品マスタ[[#This Row],[仕入単価+国内送料]]</f>
        <v/>
      </c>
      <c r="W780" s="167">
        <f>ROUNDUP(商品マスタ[[#This Row],[仕入単価+国内送料]]/0.85,-1)</f>
        <v/>
      </c>
      <c r="X780" s="289">
        <f>商品マスタ[[#This Row],[国内定価
（15％）]]-商品マスタ[[#This Row],[仕入単価+国内送料]]</f>
        <v/>
      </c>
      <c r="Y780" s="139" t="n"/>
      <c r="Z780" s="167" t="n"/>
      <c r="AA780" s="167" t="n"/>
      <c r="AB780" s="167" t="n"/>
      <c r="AC780" s="293" t="n"/>
      <c r="AD780" s="167" t="n"/>
      <c r="AE780" s="167" t="n"/>
      <c r="AF780" s="167" t="n"/>
      <c r="AG780" s="144" t="n"/>
    </row>
    <row r="781" ht="18" customHeight="1" s="207">
      <c r="A781" s="166" t="n"/>
      <c r="B781" s="167" t="n"/>
      <c r="C781" s="167" t="n"/>
      <c r="D781" s="143">
        <f>"PRD_SNJ_"&amp;
_xlfn.XLOOKUP(商品マスタ[[#This Row],[仕入先]],テーブル1[仕入先名],テーブル1[仕入先コード],"XXX",0,1)&amp;
"_"&amp;
商品マスタ[[#This Row],[シリアル]]&amp;
"_"&amp;
TEXT(COUNTIFS(商品マスタ!$C$3:C781,商品マスタ[[#This Row],[仕入先]],商品マスタ!$E$3:E781,商品マスタ[[#This Row],[商品名]]), "00")</f>
        <v/>
      </c>
      <c r="E781" s="167" t="n"/>
      <c r="F781" s="167">
        <f>IF(COUNTIFS($C$3:C781,商品マスタ[[#This Row],[仕入先]],$E$3:E781,商品マスタ[[#This Row],[商品名]]) = 1, 1,0)</f>
        <v/>
      </c>
      <c r="G781" s="133">
        <f>TEXT(SUMIF($C$3:C781,商品マスタ[[#This Row],[仕入先]],$F$3:F781), "0000")</f>
        <v/>
      </c>
      <c r="H781" s="167" t="n"/>
      <c r="I781" s="167" t="n"/>
      <c r="J781" s="167" t="n"/>
      <c r="K781" s="167" t="n"/>
      <c r="L781" s="289" t="n"/>
      <c r="M781" s="157" t="n"/>
      <c r="N781" s="289" t="n"/>
      <c r="O781" s="290">
        <f>IF(COUNT(商品マスタ[[#This Row],[参考上代
（税込)]]) &gt; 0, (商品マスタ[[#This Row],[参考上代
（税込)]]-商品マスタ[[#This Row],[国内定価
（15％）]])/(商品マスタ[[#This Row],[参考上代
（税込)]]/1.08), "")</f>
        <v/>
      </c>
      <c r="P781" s="136" t="n">
        <v>0.1</v>
      </c>
      <c r="Q781" s="289">
        <f>商品マスタ[[#This Row],[仕入
単価]]*商品マスタ[[#This Row],[標準国内送料率]]</f>
        <v/>
      </c>
      <c r="R781" s="289" t="n"/>
      <c r="S781" s="289">
        <f>IF(ISBLANK(商品マスタ[[#This Row],[実績
国内送料]]),商品マスタ[[#This Row],[標準国内送料]],)</f>
        <v/>
      </c>
      <c r="T781" s="289">
        <f>商品マスタ[[#This Row],[仕入
単価]]+商品マスタ[[#This Row],[国内送料]]</f>
        <v/>
      </c>
      <c r="U781" s="289">
        <f>ROUNDUP(商品マスタ[[#This Row],[仕入単価+国内送料]]/0.8,-1)</f>
        <v/>
      </c>
      <c r="V781" s="289">
        <f>商品マスタ[[#This Row],[海外定価
（20％）]]-商品マスタ[[#This Row],[仕入単価+国内送料]]</f>
        <v/>
      </c>
      <c r="W781" s="167">
        <f>ROUNDUP(商品マスタ[[#This Row],[仕入単価+国内送料]]/0.85,-1)</f>
        <v/>
      </c>
      <c r="X781" s="289">
        <f>商品マスタ[[#This Row],[国内定価
（15％）]]-商品マスタ[[#This Row],[仕入単価+国内送料]]</f>
        <v/>
      </c>
      <c r="Y781" s="139" t="n"/>
      <c r="Z781" s="167" t="n"/>
      <c r="AA781" s="167" t="n"/>
      <c r="AB781" s="167" t="n"/>
      <c r="AC781" s="293" t="n"/>
      <c r="AD781" s="167" t="n"/>
      <c r="AE781" s="167" t="n"/>
      <c r="AF781" s="167" t="n"/>
      <c r="AG781" s="144" t="n"/>
    </row>
    <row r="782" ht="18" customHeight="1" s="207">
      <c r="A782" s="166" t="n"/>
      <c r="B782" s="167" t="n"/>
      <c r="C782" s="167" t="n"/>
      <c r="D782" s="143">
        <f>"PRD_SNJ_"&amp;
_xlfn.XLOOKUP(商品マスタ[[#This Row],[仕入先]],テーブル1[仕入先名],テーブル1[仕入先コード],"XXX",0,1)&amp;
"_"&amp;
商品マスタ[[#This Row],[シリアル]]&amp;
"_"&amp;
TEXT(COUNTIFS(商品マスタ!$C$3:C782,商品マスタ[[#This Row],[仕入先]],商品マスタ!$E$3:E782,商品マスタ[[#This Row],[商品名]]), "00")</f>
        <v/>
      </c>
      <c r="E782" s="167" t="n"/>
      <c r="F782" s="167">
        <f>IF(COUNTIFS($C$3:C782,商品マスタ[[#This Row],[仕入先]],$E$3:E782,商品マスタ[[#This Row],[商品名]]) = 1, 1,0)</f>
        <v/>
      </c>
      <c r="G782" s="133">
        <f>TEXT(SUMIF($C$3:C782,商品マスタ[[#This Row],[仕入先]],$F$3:F782), "0000")</f>
        <v/>
      </c>
      <c r="H782" s="167" t="n"/>
      <c r="I782" s="167" t="n"/>
      <c r="J782" s="167" t="n"/>
      <c r="K782" s="167" t="n"/>
      <c r="L782" s="289" t="n"/>
      <c r="M782" s="157" t="n"/>
      <c r="N782" s="289" t="n"/>
      <c r="O782" s="290">
        <f>IF(COUNT(商品マスタ[[#This Row],[参考上代
（税込)]]) &gt; 0, (商品マスタ[[#This Row],[参考上代
（税込)]]-商品マスタ[[#This Row],[国内定価
（15％）]])/(商品マスタ[[#This Row],[参考上代
（税込)]]/1.08), "")</f>
        <v/>
      </c>
      <c r="P782" s="136" t="n">
        <v>0.1</v>
      </c>
      <c r="Q782" s="289">
        <f>商品マスタ[[#This Row],[仕入
単価]]*商品マスタ[[#This Row],[標準国内送料率]]</f>
        <v/>
      </c>
      <c r="R782" s="289" t="n"/>
      <c r="S782" s="289">
        <f>IF(ISBLANK(商品マスタ[[#This Row],[実績
国内送料]]),商品マスタ[[#This Row],[標準国内送料]],)</f>
        <v/>
      </c>
      <c r="T782" s="289">
        <f>商品マスタ[[#This Row],[仕入
単価]]+商品マスタ[[#This Row],[国内送料]]</f>
        <v/>
      </c>
      <c r="U782" s="289">
        <f>ROUNDUP(商品マスタ[[#This Row],[仕入単価+国内送料]]/0.8,-1)</f>
        <v/>
      </c>
      <c r="V782" s="289">
        <f>商品マスタ[[#This Row],[海外定価
（20％）]]-商品マスタ[[#This Row],[仕入単価+国内送料]]</f>
        <v/>
      </c>
      <c r="W782" s="167">
        <f>ROUNDUP(商品マスタ[[#This Row],[仕入単価+国内送料]]/0.85,-1)</f>
        <v/>
      </c>
      <c r="X782" s="289">
        <f>商品マスタ[[#This Row],[国内定価
（15％）]]-商品マスタ[[#This Row],[仕入単価+国内送料]]</f>
        <v/>
      </c>
      <c r="Y782" s="139" t="n"/>
      <c r="Z782" s="167" t="n"/>
      <c r="AA782" s="167" t="n"/>
      <c r="AB782" s="167" t="n"/>
      <c r="AC782" s="293" t="n"/>
      <c r="AD782" s="167" t="n"/>
      <c r="AE782" s="167" t="n"/>
      <c r="AF782" s="167" t="n"/>
      <c r="AG782" s="144" t="n"/>
    </row>
    <row r="783" ht="18" customHeight="1" s="207">
      <c r="A783" s="166" t="n"/>
      <c r="B783" s="167" t="n"/>
      <c r="C783" s="167" t="n"/>
      <c r="D783" s="143">
        <f>"PRD_SNJ_"&amp;
_xlfn.XLOOKUP(商品マスタ[[#This Row],[仕入先]],テーブル1[仕入先名],テーブル1[仕入先コード],"XXX",0,1)&amp;
"_"&amp;
商品マスタ[[#This Row],[シリアル]]&amp;
"_"&amp;
TEXT(COUNTIFS(商品マスタ!$C$3:C783,商品マスタ[[#This Row],[仕入先]],商品マスタ!$E$3:E783,商品マスタ[[#This Row],[商品名]]), "00")</f>
        <v/>
      </c>
      <c r="E783" s="167" t="n"/>
      <c r="F783" s="167">
        <f>IF(COUNTIFS($C$3:C783,商品マスタ[[#This Row],[仕入先]],$E$3:E783,商品マスタ[[#This Row],[商品名]]) = 1, 1,0)</f>
        <v/>
      </c>
      <c r="G783" s="133">
        <f>TEXT(SUMIF($C$3:C783,商品マスタ[[#This Row],[仕入先]],$F$3:F783), "0000")</f>
        <v/>
      </c>
      <c r="H783" s="167" t="n"/>
      <c r="I783" s="167" t="n"/>
      <c r="J783" s="167" t="n"/>
      <c r="K783" s="167" t="n"/>
      <c r="L783" s="289" t="n"/>
      <c r="M783" s="157" t="n"/>
      <c r="N783" s="289" t="n"/>
      <c r="O783" s="290">
        <f>IF(COUNT(商品マスタ[[#This Row],[参考上代
（税込)]]) &gt; 0, (商品マスタ[[#This Row],[参考上代
（税込)]]-商品マスタ[[#This Row],[国内定価
（15％）]])/(商品マスタ[[#This Row],[参考上代
（税込)]]/1.08), "")</f>
        <v/>
      </c>
      <c r="P783" s="136" t="n">
        <v>0.1</v>
      </c>
      <c r="Q783" s="289">
        <f>商品マスタ[[#This Row],[仕入
単価]]*商品マスタ[[#This Row],[標準国内送料率]]</f>
        <v/>
      </c>
      <c r="R783" s="289" t="n"/>
      <c r="S783" s="289">
        <f>IF(ISBLANK(商品マスタ[[#This Row],[実績
国内送料]]),商品マスタ[[#This Row],[標準国内送料]],)</f>
        <v/>
      </c>
      <c r="T783" s="289">
        <f>商品マスタ[[#This Row],[仕入
単価]]+商品マスタ[[#This Row],[国内送料]]</f>
        <v/>
      </c>
      <c r="U783" s="289">
        <f>ROUNDUP(商品マスタ[[#This Row],[仕入単価+国内送料]]/0.8,-1)</f>
        <v/>
      </c>
      <c r="V783" s="289">
        <f>商品マスタ[[#This Row],[海外定価
（20％）]]-商品マスタ[[#This Row],[仕入単価+国内送料]]</f>
        <v/>
      </c>
      <c r="W783" s="167">
        <f>ROUNDUP(商品マスタ[[#This Row],[仕入単価+国内送料]]/0.85,-1)</f>
        <v/>
      </c>
      <c r="X783" s="289">
        <f>商品マスタ[[#This Row],[国内定価
（15％）]]-商品マスタ[[#This Row],[仕入単価+国内送料]]</f>
        <v/>
      </c>
      <c r="Y783" s="139" t="n"/>
      <c r="Z783" s="167" t="n"/>
      <c r="AA783" s="167" t="n"/>
      <c r="AB783" s="167" t="n"/>
      <c r="AC783" s="293" t="n"/>
      <c r="AD783" s="167" t="n"/>
      <c r="AE783" s="167" t="n"/>
      <c r="AF783" s="167" t="n"/>
      <c r="AG783" s="144" t="n"/>
    </row>
    <row r="784" ht="18" customHeight="1" s="207">
      <c r="A784" s="166" t="n"/>
      <c r="B784" s="167" t="n"/>
      <c r="C784" s="167" t="n"/>
      <c r="D784" s="143">
        <f>"PRD_SNJ_"&amp;
_xlfn.XLOOKUP(商品マスタ[[#This Row],[仕入先]],テーブル1[仕入先名],テーブル1[仕入先コード],"XXX",0,1)&amp;
"_"&amp;
商品マスタ[[#This Row],[シリアル]]&amp;
"_"&amp;
TEXT(COUNTIFS(商品マスタ!$C$3:C784,商品マスタ[[#This Row],[仕入先]],商品マスタ!$E$3:E784,商品マスタ[[#This Row],[商品名]]), "00")</f>
        <v/>
      </c>
      <c r="E784" s="167" t="n"/>
      <c r="F784" s="167">
        <f>IF(COUNTIFS($C$3:C784,商品マスタ[[#This Row],[仕入先]],$E$3:E784,商品マスタ[[#This Row],[商品名]]) = 1, 1,0)</f>
        <v/>
      </c>
      <c r="G784" s="133">
        <f>TEXT(SUMIF($C$3:C784,商品マスタ[[#This Row],[仕入先]],$F$3:F784), "0000")</f>
        <v/>
      </c>
      <c r="H784" s="167" t="n"/>
      <c r="I784" s="167" t="n"/>
      <c r="J784" s="167" t="n"/>
      <c r="K784" s="167" t="n"/>
      <c r="L784" s="289" t="n"/>
      <c r="M784" s="157" t="n"/>
      <c r="N784" s="289" t="n"/>
      <c r="O784" s="290">
        <f>IF(COUNT(商品マスタ[[#This Row],[参考上代
（税込)]]) &gt; 0, (商品マスタ[[#This Row],[参考上代
（税込)]]-商品マスタ[[#This Row],[国内定価
（15％）]])/(商品マスタ[[#This Row],[参考上代
（税込)]]/1.08), "")</f>
        <v/>
      </c>
      <c r="P784" s="136" t="n">
        <v>0.1</v>
      </c>
      <c r="Q784" s="289">
        <f>商品マスタ[[#This Row],[仕入
単価]]*商品マスタ[[#This Row],[標準国内送料率]]</f>
        <v/>
      </c>
      <c r="R784" s="289" t="n"/>
      <c r="S784" s="289">
        <f>IF(ISBLANK(商品マスタ[[#This Row],[実績
国内送料]]),商品マスタ[[#This Row],[標準国内送料]],)</f>
        <v/>
      </c>
      <c r="T784" s="289">
        <f>商品マスタ[[#This Row],[仕入
単価]]+商品マスタ[[#This Row],[国内送料]]</f>
        <v/>
      </c>
      <c r="U784" s="289">
        <f>ROUNDUP(商品マスタ[[#This Row],[仕入単価+国内送料]]/0.8,-1)</f>
        <v/>
      </c>
      <c r="V784" s="289">
        <f>商品マスタ[[#This Row],[海外定価
（20％）]]-商品マスタ[[#This Row],[仕入単価+国内送料]]</f>
        <v/>
      </c>
      <c r="W784" s="167">
        <f>ROUNDUP(商品マスタ[[#This Row],[仕入単価+国内送料]]/0.85,-1)</f>
        <v/>
      </c>
      <c r="X784" s="289">
        <f>商品マスタ[[#This Row],[国内定価
（15％）]]-商品マスタ[[#This Row],[仕入単価+国内送料]]</f>
        <v/>
      </c>
      <c r="Y784" s="139" t="n"/>
      <c r="Z784" s="167" t="n"/>
      <c r="AA784" s="167" t="n"/>
      <c r="AB784" s="167" t="n"/>
      <c r="AC784" s="293" t="n"/>
      <c r="AD784" s="167" t="n"/>
      <c r="AE784" s="167" t="n"/>
      <c r="AF784" s="167" t="n"/>
      <c r="AG784" s="144" t="n"/>
    </row>
    <row r="785" ht="18" customHeight="1" s="207">
      <c r="A785" s="166" t="n"/>
      <c r="B785" s="167" t="n"/>
      <c r="C785" s="167" t="n"/>
      <c r="D785" s="143">
        <f>"PRD_SNJ_"&amp;
_xlfn.XLOOKUP(商品マスタ[[#This Row],[仕入先]],テーブル1[仕入先名],テーブル1[仕入先コード],"XXX",0,1)&amp;
"_"&amp;
商品マスタ[[#This Row],[シリアル]]&amp;
"_"&amp;
TEXT(COUNTIFS(商品マスタ!$C$3:C785,商品マスタ[[#This Row],[仕入先]],商品マスタ!$E$3:E785,商品マスタ[[#This Row],[商品名]]), "00")</f>
        <v/>
      </c>
      <c r="E785" s="167" t="n"/>
      <c r="F785" s="167">
        <f>IF(COUNTIFS($C$3:C785,商品マスタ[[#This Row],[仕入先]],$E$3:E785,商品マスタ[[#This Row],[商品名]]) = 1, 1,0)</f>
        <v/>
      </c>
      <c r="G785" s="133">
        <f>TEXT(SUMIF($C$3:C785,商品マスタ[[#This Row],[仕入先]],$F$3:F785), "0000")</f>
        <v/>
      </c>
      <c r="H785" s="167" t="n"/>
      <c r="I785" s="167" t="n"/>
      <c r="J785" s="167" t="n"/>
      <c r="K785" s="167" t="n"/>
      <c r="L785" s="289" t="n"/>
      <c r="M785" s="157" t="n"/>
      <c r="N785" s="289" t="n"/>
      <c r="O785" s="290">
        <f>IF(COUNT(商品マスタ[[#This Row],[参考上代
（税込)]]) &gt; 0, (商品マスタ[[#This Row],[参考上代
（税込)]]-商品マスタ[[#This Row],[国内定価
（15％）]])/(商品マスタ[[#This Row],[参考上代
（税込)]]/1.08), "")</f>
        <v/>
      </c>
      <c r="P785" s="136" t="n">
        <v>0.1</v>
      </c>
      <c r="Q785" s="289">
        <f>商品マスタ[[#This Row],[仕入
単価]]*商品マスタ[[#This Row],[標準国内送料率]]</f>
        <v/>
      </c>
      <c r="R785" s="289" t="n"/>
      <c r="S785" s="289">
        <f>IF(ISBLANK(商品マスタ[[#This Row],[実績
国内送料]]),商品マスタ[[#This Row],[標準国内送料]],)</f>
        <v/>
      </c>
      <c r="T785" s="289">
        <f>商品マスタ[[#This Row],[仕入
単価]]+商品マスタ[[#This Row],[国内送料]]</f>
        <v/>
      </c>
      <c r="U785" s="289">
        <f>ROUNDUP(商品マスタ[[#This Row],[仕入単価+国内送料]]/0.8,-1)</f>
        <v/>
      </c>
      <c r="V785" s="289">
        <f>商品マスタ[[#This Row],[海外定価
（20％）]]-商品マスタ[[#This Row],[仕入単価+国内送料]]</f>
        <v/>
      </c>
      <c r="W785" s="167">
        <f>ROUNDUP(商品マスタ[[#This Row],[仕入単価+国内送料]]/0.85,-1)</f>
        <v/>
      </c>
      <c r="X785" s="289">
        <f>商品マスタ[[#This Row],[国内定価
（15％）]]-商品マスタ[[#This Row],[仕入単価+国内送料]]</f>
        <v/>
      </c>
      <c r="Y785" s="139" t="n"/>
      <c r="Z785" s="167" t="n"/>
      <c r="AA785" s="167" t="n"/>
      <c r="AB785" s="167" t="n"/>
      <c r="AC785" s="293" t="n"/>
      <c r="AD785" s="167" t="n"/>
      <c r="AE785" s="167" t="n"/>
      <c r="AF785" s="167" t="n"/>
      <c r="AG785" s="144" t="n"/>
    </row>
    <row r="786" ht="18" customHeight="1" s="207">
      <c r="A786" s="166" t="n"/>
      <c r="B786" s="167" t="n"/>
      <c r="C786" s="167" t="n"/>
      <c r="D786" s="143">
        <f>"PRD_SNJ_"&amp;
_xlfn.XLOOKUP(商品マスタ[[#This Row],[仕入先]],テーブル1[仕入先名],テーブル1[仕入先コード],"XXX",0,1)&amp;
"_"&amp;
商品マスタ[[#This Row],[シリアル]]&amp;
"_"&amp;
TEXT(COUNTIFS(商品マスタ!$C$3:C786,商品マスタ[[#This Row],[仕入先]],商品マスタ!$E$3:E786,商品マスタ[[#This Row],[商品名]]), "00")</f>
        <v/>
      </c>
      <c r="E786" s="167" t="n"/>
      <c r="F786" s="167">
        <f>IF(COUNTIFS($C$3:C786,商品マスタ[[#This Row],[仕入先]],$E$3:E786,商品マスタ[[#This Row],[商品名]]) = 1, 1,0)</f>
        <v/>
      </c>
      <c r="G786" s="133">
        <f>TEXT(SUMIF($C$3:C786,商品マスタ[[#This Row],[仕入先]],$F$3:F786), "0000")</f>
        <v/>
      </c>
      <c r="H786" s="167" t="n"/>
      <c r="I786" s="167" t="n"/>
      <c r="J786" s="167" t="n"/>
      <c r="K786" s="167" t="n"/>
      <c r="L786" s="289" t="n"/>
      <c r="M786" s="157" t="n"/>
      <c r="N786" s="289" t="n"/>
      <c r="O786" s="290">
        <f>IF(COUNT(商品マスタ[[#This Row],[参考上代
（税込)]]) &gt; 0, (商品マスタ[[#This Row],[参考上代
（税込)]]-商品マスタ[[#This Row],[国内定価
（15％）]])/(商品マスタ[[#This Row],[参考上代
（税込)]]/1.08), "")</f>
        <v/>
      </c>
      <c r="P786" s="136" t="n">
        <v>0.1</v>
      </c>
      <c r="Q786" s="289">
        <f>商品マスタ[[#This Row],[仕入
単価]]*商品マスタ[[#This Row],[標準国内送料率]]</f>
        <v/>
      </c>
      <c r="R786" s="289" t="n"/>
      <c r="S786" s="289">
        <f>IF(ISBLANK(商品マスタ[[#This Row],[実績
国内送料]]),商品マスタ[[#This Row],[標準国内送料]],)</f>
        <v/>
      </c>
      <c r="T786" s="289">
        <f>商品マスタ[[#This Row],[仕入
単価]]+商品マスタ[[#This Row],[国内送料]]</f>
        <v/>
      </c>
      <c r="U786" s="289">
        <f>ROUNDUP(商品マスタ[[#This Row],[仕入単価+国内送料]]/0.8,-1)</f>
        <v/>
      </c>
      <c r="V786" s="289">
        <f>商品マスタ[[#This Row],[海外定価
（20％）]]-商品マスタ[[#This Row],[仕入単価+国内送料]]</f>
        <v/>
      </c>
      <c r="W786" s="167">
        <f>ROUNDUP(商品マスタ[[#This Row],[仕入単価+国内送料]]/0.85,-1)</f>
        <v/>
      </c>
      <c r="X786" s="289">
        <f>商品マスタ[[#This Row],[国内定価
（15％）]]-商品マスタ[[#This Row],[仕入単価+国内送料]]</f>
        <v/>
      </c>
      <c r="Y786" s="139" t="n"/>
      <c r="Z786" s="167" t="n"/>
      <c r="AA786" s="167" t="n"/>
      <c r="AB786" s="167" t="n"/>
      <c r="AC786" s="293" t="n"/>
      <c r="AD786" s="167" t="n"/>
      <c r="AE786" s="167" t="n"/>
      <c r="AF786" s="167" t="n"/>
      <c r="AG786" s="144" t="n"/>
    </row>
    <row r="787" ht="18" customHeight="1" s="207">
      <c r="A787" s="166" t="n"/>
      <c r="B787" s="167" t="n"/>
      <c r="C787" s="167" t="n"/>
      <c r="D787" s="143">
        <f>"PRD_SNJ_"&amp;
_xlfn.XLOOKUP(商品マスタ[[#This Row],[仕入先]],テーブル1[仕入先名],テーブル1[仕入先コード],"XXX",0,1)&amp;
"_"&amp;
商品マスタ[[#This Row],[シリアル]]&amp;
"_"&amp;
TEXT(COUNTIFS(商品マスタ!$C$3:C787,商品マスタ[[#This Row],[仕入先]],商品マスタ!$E$3:E787,商品マスタ[[#This Row],[商品名]]), "00")</f>
        <v/>
      </c>
      <c r="E787" s="167" t="n"/>
      <c r="F787" s="167">
        <f>IF(COUNTIFS($C$3:C787,商品マスタ[[#This Row],[仕入先]],$E$3:E787,商品マスタ[[#This Row],[商品名]]) = 1, 1,0)</f>
        <v/>
      </c>
      <c r="G787" s="133">
        <f>TEXT(SUMIF($C$3:C787,商品マスタ[[#This Row],[仕入先]],$F$3:F787), "0000")</f>
        <v/>
      </c>
      <c r="H787" s="167" t="n"/>
      <c r="I787" s="167" t="n"/>
      <c r="J787" s="167" t="n"/>
      <c r="K787" s="167" t="n"/>
      <c r="L787" s="289" t="n"/>
      <c r="M787" s="157" t="n"/>
      <c r="N787" s="289" t="n"/>
      <c r="O787" s="290">
        <f>IF(COUNT(商品マスタ[[#This Row],[参考上代
（税込)]]) &gt; 0, (商品マスタ[[#This Row],[参考上代
（税込)]]-商品マスタ[[#This Row],[国内定価
（15％）]])/(商品マスタ[[#This Row],[参考上代
（税込)]]/1.08), "")</f>
        <v/>
      </c>
      <c r="P787" s="136" t="n">
        <v>0.1</v>
      </c>
      <c r="Q787" s="289">
        <f>商品マスタ[[#This Row],[仕入
単価]]*商品マスタ[[#This Row],[標準国内送料率]]</f>
        <v/>
      </c>
      <c r="R787" s="289" t="n"/>
      <c r="S787" s="289">
        <f>IF(ISBLANK(商品マスタ[[#This Row],[実績
国内送料]]),商品マスタ[[#This Row],[標準国内送料]],)</f>
        <v/>
      </c>
      <c r="T787" s="289">
        <f>商品マスタ[[#This Row],[仕入
単価]]+商品マスタ[[#This Row],[国内送料]]</f>
        <v/>
      </c>
      <c r="U787" s="289">
        <f>ROUNDUP(商品マスタ[[#This Row],[仕入単価+国内送料]]/0.8,-1)</f>
        <v/>
      </c>
      <c r="V787" s="289">
        <f>商品マスタ[[#This Row],[海外定価
（20％）]]-商品マスタ[[#This Row],[仕入単価+国内送料]]</f>
        <v/>
      </c>
      <c r="W787" s="167">
        <f>ROUNDUP(商品マスタ[[#This Row],[仕入単価+国内送料]]/0.85,-1)</f>
        <v/>
      </c>
      <c r="X787" s="289">
        <f>商品マスタ[[#This Row],[国内定価
（15％）]]-商品マスタ[[#This Row],[仕入単価+国内送料]]</f>
        <v/>
      </c>
      <c r="Y787" s="139" t="n"/>
      <c r="Z787" s="167" t="n"/>
      <c r="AA787" s="167" t="n"/>
      <c r="AB787" s="167" t="n"/>
      <c r="AC787" s="293" t="n"/>
      <c r="AD787" s="167" t="n"/>
      <c r="AE787" s="167" t="n"/>
      <c r="AF787" s="167" t="n"/>
      <c r="AG787" s="144" t="n"/>
    </row>
    <row r="788" ht="18" customHeight="1" s="207">
      <c r="A788" s="166" t="n"/>
      <c r="B788" s="167" t="n"/>
      <c r="C788" s="167" t="n"/>
      <c r="D788" s="143">
        <f>"PRD_SNJ_"&amp;
_xlfn.XLOOKUP(商品マスタ[[#This Row],[仕入先]],テーブル1[仕入先名],テーブル1[仕入先コード],"XXX",0,1)&amp;
"_"&amp;
商品マスタ[[#This Row],[シリアル]]&amp;
"_"&amp;
TEXT(COUNTIFS(商品マスタ!$C$3:C788,商品マスタ[[#This Row],[仕入先]],商品マスタ!$E$3:E788,商品マスタ[[#This Row],[商品名]]), "00")</f>
        <v/>
      </c>
      <c r="E788" s="167" t="n"/>
      <c r="F788" s="167">
        <f>IF(COUNTIFS($C$3:C788,商品マスタ[[#This Row],[仕入先]],$E$3:E788,商品マスタ[[#This Row],[商品名]]) = 1, 1,0)</f>
        <v/>
      </c>
      <c r="G788" s="133">
        <f>TEXT(SUMIF($C$3:C788,商品マスタ[[#This Row],[仕入先]],$F$3:F788), "0000")</f>
        <v/>
      </c>
      <c r="H788" s="167" t="n"/>
      <c r="I788" s="167" t="n"/>
      <c r="J788" s="167" t="n"/>
      <c r="K788" s="167" t="n"/>
      <c r="L788" s="289" t="n"/>
      <c r="M788" s="157" t="n"/>
      <c r="N788" s="289" t="n"/>
      <c r="O788" s="290">
        <f>IF(COUNT(商品マスタ[[#This Row],[参考上代
（税込)]]) &gt; 0, (商品マスタ[[#This Row],[参考上代
（税込)]]-商品マスタ[[#This Row],[国内定価
（15％）]])/(商品マスタ[[#This Row],[参考上代
（税込)]]/1.08), "")</f>
        <v/>
      </c>
      <c r="P788" s="136" t="n">
        <v>0.1</v>
      </c>
      <c r="Q788" s="289">
        <f>商品マスタ[[#This Row],[仕入
単価]]*商品マスタ[[#This Row],[標準国内送料率]]</f>
        <v/>
      </c>
      <c r="R788" s="289" t="n"/>
      <c r="S788" s="289">
        <f>IF(ISBLANK(商品マスタ[[#This Row],[実績
国内送料]]),商品マスタ[[#This Row],[標準国内送料]],)</f>
        <v/>
      </c>
      <c r="T788" s="289">
        <f>商品マスタ[[#This Row],[仕入
単価]]+商品マスタ[[#This Row],[国内送料]]</f>
        <v/>
      </c>
      <c r="U788" s="289">
        <f>ROUNDUP(商品マスタ[[#This Row],[仕入単価+国内送料]]/0.8,-1)</f>
        <v/>
      </c>
      <c r="V788" s="289">
        <f>商品マスタ[[#This Row],[海外定価
（20％）]]-商品マスタ[[#This Row],[仕入単価+国内送料]]</f>
        <v/>
      </c>
      <c r="W788" s="167">
        <f>ROUNDUP(商品マスタ[[#This Row],[仕入単価+国内送料]]/0.85,-1)</f>
        <v/>
      </c>
      <c r="X788" s="289">
        <f>商品マスタ[[#This Row],[国内定価
（15％）]]-商品マスタ[[#This Row],[仕入単価+国内送料]]</f>
        <v/>
      </c>
      <c r="Y788" s="139" t="n"/>
      <c r="Z788" s="167" t="n"/>
      <c r="AA788" s="167" t="n"/>
      <c r="AB788" s="167" t="n"/>
      <c r="AC788" s="293" t="n"/>
      <c r="AD788" s="167" t="n"/>
      <c r="AE788" s="167" t="n"/>
      <c r="AF788" s="167" t="n"/>
      <c r="AG788" s="144" t="n"/>
    </row>
    <row r="789" ht="18" customHeight="1" s="207">
      <c r="A789" s="166" t="n"/>
      <c r="B789" s="167" t="n"/>
      <c r="C789" s="167" t="n"/>
      <c r="D789" s="143">
        <f>"PRD_SNJ_"&amp;
_xlfn.XLOOKUP(商品マスタ[[#This Row],[仕入先]],テーブル1[仕入先名],テーブル1[仕入先コード],"XXX",0,1)&amp;
"_"&amp;
商品マスタ[[#This Row],[シリアル]]&amp;
"_"&amp;
TEXT(COUNTIFS(商品マスタ!$C$3:C789,商品マスタ[[#This Row],[仕入先]],商品マスタ!$E$3:E789,商品マスタ[[#This Row],[商品名]]), "00")</f>
        <v/>
      </c>
      <c r="E789" s="167" t="n"/>
      <c r="F789" s="167">
        <f>IF(COUNTIFS($C$3:C789,商品マスタ[[#This Row],[仕入先]],$E$3:E789,商品マスタ[[#This Row],[商品名]]) = 1, 1,0)</f>
        <v/>
      </c>
      <c r="G789" s="133">
        <f>TEXT(SUMIF($C$3:C789,商品マスタ[[#This Row],[仕入先]],$F$3:F789), "0000")</f>
        <v/>
      </c>
      <c r="H789" s="167" t="n"/>
      <c r="I789" s="167" t="n"/>
      <c r="J789" s="167" t="n"/>
      <c r="K789" s="167" t="n"/>
      <c r="L789" s="289" t="n"/>
      <c r="M789" s="157" t="n"/>
      <c r="N789" s="289" t="n"/>
      <c r="O789" s="290">
        <f>IF(COUNT(商品マスタ[[#This Row],[参考上代
（税込)]]) &gt; 0, (商品マスタ[[#This Row],[参考上代
（税込)]]-商品マスタ[[#This Row],[国内定価
（15％）]])/(商品マスタ[[#This Row],[参考上代
（税込)]]/1.08), "")</f>
        <v/>
      </c>
      <c r="P789" s="136" t="n">
        <v>0.1</v>
      </c>
      <c r="Q789" s="289">
        <f>商品マスタ[[#This Row],[仕入
単価]]*商品マスタ[[#This Row],[標準国内送料率]]</f>
        <v/>
      </c>
      <c r="R789" s="289" t="n"/>
      <c r="S789" s="289">
        <f>IF(ISBLANK(商品マスタ[[#This Row],[実績
国内送料]]),商品マスタ[[#This Row],[標準国内送料]],)</f>
        <v/>
      </c>
      <c r="T789" s="289">
        <f>商品マスタ[[#This Row],[仕入
単価]]+商品マスタ[[#This Row],[国内送料]]</f>
        <v/>
      </c>
      <c r="U789" s="289">
        <f>ROUNDUP(商品マスタ[[#This Row],[仕入単価+国内送料]]/0.8,-1)</f>
        <v/>
      </c>
      <c r="V789" s="289">
        <f>商品マスタ[[#This Row],[海外定価
（20％）]]-商品マスタ[[#This Row],[仕入単価+国内送料]]</f>
        <v/>
      </c>
      <c r="W789" s="167">
        <f>ROUNDUP(商品マスタ[[#This Row],[仕入単価+国内送料]]/0.85,-1)</f>
        <v/>
      </c>
      <c r="X789" s="289">
        <f>商品マスタ[[#This Row],[国内定価
（15％）]]-商品マスタ[[#This Row],[仕入単価+国内送料]]</f>
        <v/>
      </c>
      <c r="Y789" s="139" t="n"/>
      <c r="Z789" s="167" t="n"/>
      <c r="AA789" s="167" t="n"/>
      <c r="AB789" s="167" t="n"/>
      <c r="AC789" s="293" t="n"/>
      <c r="AD789" s="167" t="n"/>
      <c r="AE789" s="167" t="n"/>
      <c r="AF789" s="167" t="n"/>
      <c r="AG789" s="144" t="n"/>
    </row>
    <row r="790" ht="18" customHeight="1" s="207">
      <c r="A790" s="166" t="n"/>
      <c r="B790" s="167" t="n"/>
      <c r="C790" s="167" t="n"/>
      <c r="D790" s="143">
        <f>"PRD_SNJ_"&amp;
_xlfn.XLOOKUP(商品マスタ[[#This Row],[仕入先]],テーブル1[仕入先名],テーブル1[仕入先コード],"XXX",0,1)&amp;
"_"&amp;
商品マスタ[[#This Row],[シリアル]]&amp;
"_"&amp;
TEXT(COUNTIFS(商品マスタ!$C$3:C790,商品マスタ[[#This Row],[仕入先]],商品マスタ!$E$3:E790,商品マスタ[[#This Row],[商品名]]), "00")</f>
        <v/>
      </c>
      <c r="E790" s="167" t="n"/>
      <c r="F790" s="167">
        <f>IF(COUNTIFS($C$3:C790,商品マスタ[[#This Row],[仕入先]],$E$3:E790,商品マスタ[[#This Row],[商品名]]) = 1, 1,0)</f>
        <v/>
      </c>
      <c r="G790" s="133">
        <f>TEXT(SUMIF($C$3:C790,商品マスタ[[#This Row],[仕入先]],$F$3:F790), "0000")</f>
        <v/>
      </c>
      <c r="H790" s="167" t="n"/>
      <c r="I790" s="167" t="n"/>
      <c r="J790" s="167" t="n"/>
      <c r="K790" s="167" t="n"/>
      <c r="L790" s="289" t="n"/>
      <c r="M790" s="157" t="n"/>
      <c r="N790" s="289" t="n"/>
      <c r="O790" s="290">
        <f>IF(COUNT(商品マスタ[[#This Row],[参考上代
（税込)]]) &gt; 0, (商品マスタ[[#This Row],[参考上代
（税込)]]-商品マスタ[[#This Row],[国内定価
（15％）]])/(商品マスタ[[#This Row],[参考上代
（税込)]]/1.08), "")</f>
        <v/>
      </c>
      <c r="P790" s="136" t="n">
        <v>0.1</v>
      </c>
      <c r="Q790" s="289">
        <f>商品マスタ[[#This Row],[仕入
単価]]*商品マスタ[[#This Row],[標準国内送料率]]</f>
        <v/>
      </c>
      <c r="R790" s="289" t="n"/>
      <c r="S790" s="289">
        <f>IF(ISBLANK(商品マスタ[[#This Row],[実績
国内送料]]),商品マスタ[[#This Row],[標準国内送料]],)</f>
        <v/>
      </c>
      <c r="T790" s="289">
        <f>商品マスタ[[#This Row],[仕入
単価]]+商品マスタ[[#This Row],[国内送料]]</f>
        <v/>
      </c>
      <c r="U790" s="289">
        <f>ROUNDUP(商品マスタ[[#This Row],[仕入単価+国内送料]]/0.8,-1)</f>
        <v/>
      </c>
      <c r="V790" s="289">
        <f>商品マスタ[[#This Row],[海外定価
（20％）]]-商品マスタ[[#This Row],[仕入単価+国内送料]]</f>
        <v/>
      </c>
      <c r="W790" s="167">
        <f>ROUNDUP(商品マスタ[[#This Row],[仕入単価+国内送料]]/0.85,-1)</f>
        <v/>
      </c>
      <c r="X790" s="289">
        <f>商品マスタ[[#This Row],[国内定価
（15％）]]-商品マスタ[[#This Row],[仕入単価+国内送料]]</f>
        <v/>
      </c>
      <c r="Y790" s="139" t="n"/>
      <c r="Z790" s="167" t="n"/>
      <c r="AA790" s="167" t="n"/>
      <c r="AB790" s="167" t="n"/>
      <c r="AC790" s="293" t="n"/>
      <c r="AD790" s="167" t="n"/>
      <c r="AE790" s="167" t="n"/>
      <c r="AF790" s="167" t="n"/>
      <c r="AG790" s="144" t="n"/>
    </row>
    <row r="791" ht="18" customHeight="1" s="207">
      <c r="A791" s="166" t="n"/>
      <c r="B791" s="167" t="n"/>
      <c r="C791" s="167" t="n"/>
      <c r="D791" s="143">
        <f>"PRD_SNJ_"&amp;
_xlfn.XLOOKUP(商品マスタ[[#This Row],[仕入先]],テーブル1[仕入先名],テーブル1[仕入先コード],"XXX",0,1)&amp;
"_"&amp;
商品マスタ[[#This Row],[シリアル]]&amp;
"_"&amp;
TEXT(COUNTIFS(商品マスタ!$C$3:C791,商品マスタ[[#This Row],[仕入先]],商品マスタ!$E$3:E791,商品マスタ[[#This Row],[商品名]]), "00")</f>
        <v/>
      </c>
      <c r="E791" s="167" t="n"/>
      <c r="F791" s="167">
        <f>IF(COUNTIFS($C$3:C791,商品マスタ[[#This Row],[仕入先]],$E$3:E791,商品マスタ[[#This Row],[商品名]]) = 1, 1,0)</f>
        <v/>
      </c>
      <c r="G791" s="133">
        <f>TEXT(SUMIF($C$3:C791,商品マスタ[[#This Row],[仕入先]],$F$3:F791), "0000")</f>
        <v/>
      </c>
      <c r="H791" s="167" t="n"/>
      <c r="I791" s="167" t="n"/>
      <c r="J791" s="167" t="n"/>
      <c r="K791" s="167" t="n"/>
      <c r="L791" s="289" t="n"/>
      <c r="M791" s="157" t="n"/>
      <c r="N791" s="289" t="n"/>
      <c r="O791" s="290">
        <f>IF(COUNT(商品マスタ[[#This Row],[参考上代
（税込)]]) &gt; 0, (商品マスタ[[#This Row],[参考上代
（税込)]]-商品マスタ[[#This Row],[国内定価
（15％）]])/(商品マスタ[[#This Row],[参考上代
（税込)]]/1.08), "")</f>
        <v/>
      </c>
      <c r="P791" s="136" t="n">
        <v>0.1</v>
      </c>
      <c r="Q791" s="289">
        <f>商品マスタ[[#This Row],[仕入
単価]]*商品マスタ[[#This Row],[標準国内送料率]]</f>
        <v/>
      </c>
      <c r="R791" s="289" t="n"/>
      <c r="S791" s="289">
        <f>IF(ISBLANK(商品マスタ[[#This Row],[実績
国内送料]]),商品マスタ[[#This Row],[標準国内送料]],)</f>
        <v/>
      </c>
      <c r="T791" s="289">
        <f>商品マスタ[[#This Row],[仕入
単価]]+商品マスタ[[#This Row],[国内送料]]</f>
        <v/>
      </c>
      <c r="U791" s="289">
        <f>ROUNDUP(商品マスタ[[#This Row],[仕入単価+国内送料]]/0.8,-1)</f>
        <v/>
      </c>
      <c r="V791" s="289">
        <f>商品マスタ[[#This Row],[海外定価
（20％）]]-商品マスタ[[#This Row],[仕入単価+国内送料]]</f>
        <v/>
      </c>
      <c r="W791" s="167">
        <f>ROUNDUP(商品マスタ[[#This Row],[仕入単価+国内送料]]/0.85,-1)</f>
        <v/>
      </c>
      <c r="X791" s="289">
        <f>商品マスタ[[#This Row],[国内定価
（15％）]]-商品マスタ[[#This Row],[仕入単価+国内送料]]</f>
        <v/>
      </c>
      <c r="Y791" s="139" t="n"/>
      <c r="Z791" s="167" t="n"/>
      <c r="AA791" s="167" t="n"/>
      <c r="AB791" s="167" t="n"/>
      <c r="AC791" s="293" t="n"/>
      <c r="AD791" s="167" t="n"/>
      <c r="AE791" s="167" t="n"/>
      <c r="AF791" s="167" t="n"/>
      <c r="AG791" s="144" t="n"/>
    </row>
    <row r="792" ht="18" customHeight="1" s="207">
      <c r="A792" s="166" t="n"/>
      <c r="B792" s="167" t="n"/>
      <c r="C792" s="167" t="n"/>
      <c r="D792" s="143">
        <f>"PRD_SNJ_"&amp;
_xlfn.XLOOKUP(商品マスタ[[#This Row],[仕入先]],テーブル1[仕入先名],テーブル1[仕入先コード],"XXX",0,1)&amp;
"_"&amp;
商品マスタ[[#This Row],[シリアル]]&amp;
"_"&amp;
TEXT(COUNTIFS(商品マスタ!$C$3:C792,商品マスタ[[#This Row],[仕入先]],商品マスタ!$E$3:E792,商品マスタ[[#This Row],[商品名]]), "00")</f>
        <v/>
      </c>
      <c r="E792" s="167" t="n"/>
      <c r="F792" s="167">
        <f>IF(COUNTIFS($C$3:C792,商品マスタ[[#This Row],[仕入先]],$E$3:E792,商品マスタ[[#This Row],[商品名]]) = 1, 1,0)</f>
        <v/>
      </c>
      <c r="G792" s="133">
        <f>TEXT(SUMIF($C$3:C792,商品マスタ[[#This Row],[仕入先]],$F$3:F792), "0000")</f>
        <v/>
      </c>
      <c r="H792" s="167" t="n"/>
      <c r="I792" s="167" t="n"/>
      <c r="J792" s="167" t="n"/>
      <c r="K792" s="167" t="n"/>
      <c r="L792" s="289" t="n"/>
      <c r="M792" s="157" t="n"/>
      <c r="N792" s="289" t="n"/>
      <c r="O792" s="290">
        <f>IF(COUNT(商品マスタ[[#This Row],[参考上代
（税込)]]) &gt; 0, (商品マスタ[[#This Row],[参考上代
（税込)]]-商品マスタ[[#This Row],[国内定価
（15％）]])/(商品マスタ[[#This Row],[参考上代
（税込)]]/1.08), "")</f>
        <v/>
      </c>
      <c r="P792" s="136" t="n">
        <v>0.1</v>
      </c>
      <c r="Q792" s="289">
        <f>商品マスタ[[#This Row],[仕入
単価]]*商品マスタ[[#This Row],[標準国内送料率]]</f>
        <v/>
      </c>
      <c r="R792" s="289" t="n"/>
      <c r="S792" s="289">
        <f>IF(ISBLANK(商品マスタ[[#This Row],[実績
国内送料]]),商品マスタ[[#This Row],[標準国内送料]],)</f>
        <v/>
      </c>
      <c r="T792" s="289">
        <f>商品マスタ[[#This Row],[仕入
単価]]+商品マスタ[[#This Row],[国内送料]]</f>
        <v/>
      </c>
      <c r="U792" s="289">
        <f>ROUNDUP(商品マスタ[[#This Row],[仕入単価+国内送料]]/0.8,-1)</f>
        <v/>
      </c>
      <c r="V792" s="289">
        <f>商品マスタ[[#This Row],[海外定価
（20％）]]-商品マスタ[[#This Row],[仕入単価+国内送料]]</f>
        <v/>
      </c>
      <c r="W792" s="167">
        <f>ROUNDUP(商品マスタ[[#This Row],[仕入単価+国内送料]]/0.85,-1)</f>
        <v/>
      </c>
      <c r="X792" s="289">
        <f>商品マスタ[[#This Row],[国内定価
（15％）]]-商品マスタ[[#This Row],[仕入単価+国内送料]]</f>
        <v/>
      </c>
      <c r="Y792" s="139" t="n"/>
      <c r="Z792" s="167" t="n"/>
      <c r="AA792" s="167" t="n"/>
      <c r="AB792" s="167" t="n"/>
      <c r="AC792" s="293" t="n"/>
      <c r="AD792" s="167" t="n"/>
      <c r="AE792" s="167" t="n"/>
      <c r="AF792" s="167" t="n"/>
      <c r="AG792" s="144" t="n"/>
    </row>
    <row r="793" ht="18" customHeight="1" s="207">
      <c r="A793" s="166" t="n"/>
      <c r="B793" s="167" t="n"/>
      <c r="C793" s="167" t="n"/>
      <c r="D793" s="143">
        <f>"PRD_SNJ_"&amp;
_xlfn.XLOOKUP(商品マスタ[[#This Row],[仕入先]],テーブル1[仕入先名],テーブル1[仕入先コード],"XXX",0,1)&amp;
"_"&amp;
商品マスタ[[#This Row],[シリアル]]&amp;
"_"&amp;
TEXT(COUNTIFS(商品マスタ!$C$3:C793,商品マスタ[[#This Row],[仕入先]],商品マスタ!$E$3:E793,商品マスタ[[#This Row],[商品名]]), "00")</f>
        <v/>
      </c>
      <c r="E793" s="167" t="n"/>
      <c r="F793" s="167">
        <f>IF(COUNTIFS($C$3:C793,商品マスタ[[#This Row],[仕入先]],$E$3:E793,商品マスタ[[#This Row],[商品名]]) = 1, 1,0)</f>
        <v/>
      </c>
      <c r="G793" s="133">
        <f>TEXT(SUMIF($C$3:C793,商品マスタ[[#This Row],[仕入先]],$F$3:F793), "0000")</f>
        <v/>
      </c>
      <c r="H793" s="167" t="n"/>
      <c r="I793" s="167" t="n"/>
      <c r="J793" s="167" t="n"/>
      <c r="K793" s="167" t="n"/>
      <c r="L793" s="289" t="n"/>
      <c r="M793" s="157" t="n"/>
      <c r="N793" s="289" t="n"/>
      <c r="O793" s="290">
        <f>IF(COUNT(商品マスタ[[#This Row],[参考上代
（税込)]]) &gt; 0, (商品マスタ[[#This Row],[参考上代
（税込)]]-商品マスタ[[#This Row],[国内定価
（15％）]])/(商品マスタ[[#This Row],[参考上代
（税込)]]/1.08), "")</f>
        <v/>
      </c>
      <c r="P793" s="136" t="n">
        <v>0.1</v>
      </c>
      <c r="Q793" s="289">
        <f>商品マスタ[[#This Row],[仕入
単価]]*商品マスタ[[#This Row],[標準国内送料率]]</f>
        <v/>
      </c>
      <c r="R793" s="289" t="n"/>
      <c r="S793" s="289">
        <f>IF(ISBLANK(商品マスタ[[#This Row],[実績
国内送料]]),商品マスタ[[#This Row],[標準国内送料]],)</f>
        <v/>
      </c>
      <c r="T793" s="289">
        <f>商品マスタ[[#This Row],[仕入
単価]]+商品マスタ[[#This Row],[国内送料]]</f>
        <v/>
      </c>
      <c r="U793" s="289">
        <f>ROUNDUP(商品マスタ[[#This Row],[仕入単価+国内送料]]/0.8,-1)</f>
        <v/>
      </c>
      <c r="V793" s="289">
        <f>商品マスタ[[#This Row],[海外定価
（20％）]]-商品マスタ[[#This Row],[仕入単価+国内送料]]</f>
        <v/>
      </c>
      <c r="W793" s="167">
        <f>ROUNDUP(商品マスタ[[#This Row],[仕入単価+国内送料]]/0.85,-1)</f>
        <v/>
      </c>
      <c r="X793" s="289">
        <f>商品マスタ[[#This Row],[国内定価
（15％）]]-商品マスタ[[#This Row],[仕入単価+国内送料]]</f>
        <v/>
      </c>
      <c r="Y793" s="139" t="n"/>
      <c r="Z793" s="167" t="n"/>
      <c r="AA793" s="167" t="n"/>
      <c r="AB793" s="167" t="n"/>
      <c r="AC793" s="293" t="n"/>
      <c r="AD793" s="167" t="n"/>
      <c r="AE793" s="167" t="n"/>
      <c r="AF793" s="167" t="n"/>
      <c r="AG793" s="144" t="n"/>
    </row>
    <row r="794" ht="18" customHeight="1" s="207">
      <c r="A794" s="166" t="n"/>
      <c r="B794" s="167" t="n"/>
      <c r="C794" s="167" t="n"/>
      <c r="D794" s="143">
        <f>"PRD_SNJ_"&amp;
_xlfn.XLOOKUP(商品マスタ[[#This Row],[仕入先]],テーブル1[仕入先名],テーブル1[仕入先コード],"XXX",0,1)&amp;
"_"&amp;
商品マスタ[[#This Row],[シリアル]]&amp;
"_"&amp;
TEXT(COUNTIFS(商品マスタ!$C$3:C794,商品マスタ[[#This Row],[仕入先]],商品マスタ!$E$3:E794,商品マスタ[[#This Row],[商品名]]), "00")</f>
        <v/>
      </c>
      <c r="E794" s="167" t="n"/>
      <c r="F794" s="167">
        <f>IF(COUNTIFS($C$3:C794,商品マスタ[[#This Row],[仕入先]],$E$3:E794,商品マスタ[[#This Row],[商品名]]) = 1, 1,0)</f>
        <v/>
      </c>
      <c r="G794" s="133">
        <f>TEXT(SUMIF($C$3:C794,商品マスタ[[#This Row],[仕入先]],$F$3:F794), "0000")</f>
        <v/>
      </c>
      <c r="H794" s="167" t="n"/>
      <c r="I794" s="167" t="n"/>
      <c r="J794" s="167" t="n"/>
      <c r="K794" s="167" t="n"/>
      <c r="L794" s="289" t="n"/>
      <c r="M794" s="157" t="n"/>
      <c r="N794" s="289" t="n"/>
      <c r="O794" s="290">
        <f>IF(COUNT(商品マスタ[[#This Row],[参考上代
（税込)]]) &gt; 0, (商品マスタ[[#This Row],[参考上代
（税込)]]-商品マスタ[[#This Row],[国内定価
（15％）]])/(商品マスタ[[#This Row],[参考上代
（税込)]]/1.08), "")</f>
        <v/>
      </c>
      <c r="P794" s="136" t="n">
        <v>0.1</v>
      </c>
      <c r="Q794" s="289">
        <f>商品マスタ[[#This Row],[仕入
単価]]*商品マスタ[[#This Row],[標準国内送料率]]</f>
        <v/>
      </c>
      <c r="R794" s="289" t="n"/>
      <c r="S794" s="289">
        <f>IF(ISBLANK(商品マスタ[[#This Row],[実績
国内送料]]),商品マスタ[[#This Row],[標準国内送料]],)</f>
        <v/>
      </c>
      <c r="T794" s="289">
        <f>商品マスタ[[#This Row],[仕入
単価]]+商品マスタ[[#This Row],[国内送料]]</f>
        <v/>
      </c>
      <c r="U794" s="289">
        <f>ROUNDUP(商品マスタ[[#This Row],[仕入単価+国内送料]]/0.8,-1)</f>
        <v/>
      </c>
      <c r="V794" s="289">
        <f>商品マスタ[[#This Row],[海外定価
（20％）]]-商品マスタ[[#This Row],[仕入単価+国内送料]]</f>
        <v/>
      </c>
      <c r="W794" s="167">
        <f>ROUNDUP(商品マスタ[[#This Row],[仕入単価+国内送料]]/0.85,-1)</f>
        <v/>
      </c>
      <c r="X794" s="289">
        <f>商品マスタ[[#This Row],[国内定価
（15％）]]-商品マスタ[[#This Row],[仕入単価+国内送料]]</f>
        <v/>
      </c>
      <c r="Y794" s="139" t="n"/>
      <c r="Z794" s="167" t="n"/>
      <c r="AA794" s="167" t="n"/>
      <c r="AB794" s="167" t="n"/>
      <c r="AC794" s="293" t="n"/>
      <c r="AD794" s="167" t="n"/>
      <c r="AE794" s="167" t="n"/>
      <c r="AF794" s="167" t="n"/>
      <c r="AG794" s="144" t="n"/>
    </row>
    <row r="795" ht="18" customHeight="1" s="207">
      <c r="A795" s="166" t="n"/>
      <c r="B795" s="167" t="n"/>
      <c r="C795" s="167" t="n"/>
      <c r="D795" s="143">
        <f>"PRD_SNJ_"&amp;
_xlfn.XLOOKUP(商品マスタ[[#This Row],[仕入先]],テーブル1[仕入先名],テーブル1[仕入先コード],"XXX",0,1)&amp;
"_"&amp;
商品マスタ[[#This Row],[シリアル]]&amp;
"_"&amp;
TEXT(COUNTIFS(商品マスタ!$C$3:C795,商品マスタ[[#This Row],[仕入先]],商品マスタ!$E$3:E795,商品マスタ[[#This Row],[商品名]]), "00")</f>
        <v/>
      </c>
      <c r="E795" s="167" t="n"/>
      <c r="F795" s="167">
        <f>IF(COUNTIFS($C$3:C795,商品マスタ[[#This Row],[仕入先]],$E$3:E795,商品マスタ[[#This Row],[商品名]]) = 1, 1,0)</f>
        <v/>
      </c>
      <c r="G795" s="133">
        <f>TEXT(SUMIF($C$3:C795,商品マスタ[[#This Row],[仕入先]],$F$3:F795), "0000")</f>
        <v/>
      </c>
      <c r="H795" s="167" t="n"/>
      <c r="I795" s="167" t="n"/>
      <c r="J795" s="167" t="n"/>
      <c r="K795" s="167" t="n"/>
      <c r="L795" s="289" t="n"/>
      <c r="M795" s="157" t="n"/>
      <c r="N795" s="289" t="n"/>
      <c r="O795" s="290">
        <f>IF(COUNT(商品マスタ[[#This Row],[参考上代
（税込)]]) &gt; 0, (商品マスタ[[#This Row],[参考上代
（税込)]]-商品マスタ[[#This Row],[国内定価
（15％）]])/(商品マスタ[[#This Row],[参考上代
（税込)]]/1.08), "")</f>
        <v/>
      </c>
      <c r="P795" s="136" t="n">
        <v>0.1</v>
      </c>
      <c r="Q795" s="289">
        <f>商品マスタ[[#This Row],[仕入
単価]]*商品マスタ[[#This Row],[標準国内送料率]]</f>
        <v/>
      </c>
      <c r="R795" s="289" t="n"/>
      <c r="S795" s="289">
        <f>IF(ISBLANK(商品マスタ[[#This Row],[実績
国内送料]]),商品マスタ[[#This Row],[標準国内送料]],)</f>
        <v/>
      </c>
      <c r="T795" s="289">
        <f>商品マスタ[[#This Row],[仕入
単価]]+商品マスタ[[#This Row],[国内送料]]</f>
        <v/>
      </c>
      <c r="U795" s="289">
        <f>ROUNDUP(商品マスタ[[#This Row],[仕入単価+国内送料]]/0.8,-1)</f>
        <v/>
      </c>
      <c r="V795" s="289">
        <f>商品マスタ[[#This Row],[海外定価
（20％）]]-商品マスタ[[#This Row],[仕入単価+国内送料]]</f>
        <v/>
      </c>
      <c r="W795" s="167">
        <f>ROUNDUP(商品マスタ[[#This Row],[仕入単価+国内送料]]/0.85,-1)</f>
        <v/>
      </c>
      <c r="X795" s="289">
        <f>商品マスタ[[#This Row],[国内定価
（15％）]]-商品マスタ[[#This Row],[仕入単価+国内送料]]</f>
        <v/>
      </c>
      <c r="Y795" s="139" t="n"/>
      <c r="Z795" s="167" t="n"/>
      <c r="AA795" s="167" t="n"/>
      <c r="AB795" s="167" t="n"/>
      <c r="AC795" s="293" t="n"/>
      <c r="AD795" s="167" t="n"/>
      <c r="AE795" s="167" t="n"/>
      <c r="AF795" s="167" t="n"/>
      <c r="AG795" s="144" t="n"/>
    </row>
    <row r="796" ht="18" customHeight="1" s="207">
      <c r="A796" s="166" t="n"/>
      <c r="B796" s="167" t="n"/>
      <c r="C796" s="167" t="n"/>
      <c r="D796" s="143">
        <f>"PRD_SNJ_"&amp;
_xlfn.XLOOKUP(商品マスタ[[#This Row],[仕入先]],テーブル1[仕入先名],テーブル1[仕入先コード],"XXX",0,1)&amp;
"_"&amp;
商品マスタ[[#This Row],[シリアル]]&amp;
"_"&amp;
TEXT(COUNTIFS(商品マスタ!$C$3:C796,商品マスタ[[#This Row],[仕入先]],商品マスタ!$E$3:E796,商品マスタ[[#This Row],[商品名]]), "00")</f>
        <v/>
      </c>
      <c r="E796" s="167" t="n"/>
      <c r="F796" s="167">
        <f>IF(COUNTIFS($C$3:C796,商品マスタ[[#This Row],[仕入先]],$E$3:E796,商品マスタ[[#This Row],[商品名]]) = 1, 1,0)</f>
        <v/>
      </c>
      <c r="G796" s="133">
        <f>TEXT(SUMIF($C$3:C796,商品マスタ[[#This Row],[仕入先]],$F$3:F796), "0000")</f>
        <v/>
      </c>
      <c r="H796" s="167" t="n"/>
      <c r="I796" s="167" t="n"/>
      <c r="J796" s="167" t="n"/>
      <c r="K796" s="167" t="n"/>
      <c r="L796" s="289" t="n"/>
      <c r="M796" s="157" t="n"/>
      <c r="N796" s="289" t="n"/>
      <c r="O796" s="290">
        <f>IF(COUNT(商品マスタ[[#This Row],[参考上代
（税込)]]) &gt; 0, (商品マスタ[[#This Row],[参考上代
（税込)]]-商品マスタ[[#This Row],[国内定価
（15％）]])/(商品マスタ[[#This Row],[参考上代
（税込)]]/1.08), "")</f>
        <v/>
      </c>
      <c r="P796" s="136" t="n">
        <v>0.1</v>
      </c>
      <c r="Q796" s="289">
        <f>商品マスタ[[#This Row],[仕入
単価]]*商品マスタ[[#This Row],[標準国内送料率]]</f>
        <v/>
      </c>
      <c r="R796" s="289" t="n"/>
      <c r="S796" s="289">
        <f>IF(ISBLANK(商品マスタ[[#This Row],[実績
国内送料]]),商品マスタ[[#This Row],[標準国内送料]],)</f>
        <v/>
      </c>
      <c r="T796" s="289">
        <f>商品マスタ[[#This Row],[仕入
単価]]+商品マスタ[[#This Row],[国内送料]]</f>
        <v/>
      </c>
      <c r="U796" s="289">
        <f>ROUNDUP(商品マスタ[[#This Row],[仕入単価+国内送料]]/0.8,-1)</f>
        <v/>
      </c>
      <c r="V796" s="289">
        <f>商品マスタ[[#This Row],[海外定価
（20％）]]-商品マスタ[[#This Row],[仕入単価+国内送料]]</f>
        <v/>
      </c>
      <c r="W796" s="167">
        <f>ROUNDUP(商品マスタ[[#This Row],[仕入単価+国内送料]]/0.85,-1)</f>
        <v/>
      </c>
      <c r="X796" s="289">
        <f>商品マスタ[[#This Row],[国内定価
（15％）]]-商品マスタ[[#This Row],[仕入単価+国内送料]]</f>
        <v/>
      </c>
      <c r="Y796" s="139" t="n"/>
      <c r="Z796" s="167" t="n"/>
      <c r="AA796" s="167" t="n"/>
      <c r="AB796" s="167" t="n"/>
      <c r="AC796" s="293" t="n"/>
      <c r="AD796" s="167" t="n"/>
      <c r="AE796" s="167" t="n"/>
      <c r="AF796" s="167" t="n"/>
      <c r="AG796" s="144" t="n"/>
    </row>
    <row r="797" ht="18" customHeight="1" s="207">
      <c r="A797" s="166" t="n"/>
      <c r="B797" s="167" t="n"/>
      <c r="C797" s="167" t="n"/>
      <c r="D797" s="143">
        <f>"PRD_SNJ_"&amp;
_xlfn.XLOOKUP(商品マスタ[[#This Row],[仕入先]],テーブル1[仕入先名],テーブル1[仕入先コード],"XXX",0,1)&amp;
"_"&amp;
商品マスタ[[#This Row],[シリアル]]&amp;
"_"&amp;
TEXT(COUNTIFS(商品マスタ!$C$3:C797,商品マスタ[[#This Row],[仕入先]],商品マスタ!$E$3:E797,商品マスタ[[#This Row],[商品名]]), "00")</f>
        <v/>
      </c>
      <c r="E797" s="167" t="n"/>
      <c r="F797" s="167">
        <f>IF(COUNTIFS($C$3:C797,商品マスタ[[#This Row],[仕入先]],$E$3:E797,商品マスタ[[#This Row],[商品名]]) = 1, 1,0)</f>
        <v/>
      </c>
      <c r="G797" s="133">
        <f>TEXT(SUMIF($C$3:C797,商品マスタ[[#This Row],[仕入先]],$F$3:F797), "0000")</f>
        <v/>
      </c>
      <c r="H797" s="167" t="n"/>
      <c r="I797" s="167" t="n"/>
      <c r="J797" s="167" t="n"/>
      <c r="K797" s="167" t="n"/>
      <c r="L797" s="289" t="n"/>
      <c r="M797" s="157" t="n"/>
      <c r="N797" s="289" t="n"/>
      <c r="O797" s="290">
        <f>IF(COUNT(商品マスタ[[#This Row],[参考上代
（税込)]]) &gt; 0, (商品マスタ[[#This Row],[参考上代
（税込)]]-商品マスタ[[#This Row],[国内定価
（15％）]])/(商品マスタ[[#This Row],[参考上代
（税込)]]/1.08), "")</f>
        <v/>
      </c>
      <c r="P797" s="136" t="n">
        <v>0.1</v>
      </c>
      <c r="Q797" s="289">
        <f>商品マスタ[[#This Row],[仕入
単価]]*商品マスタ[[#This Row],[標準国内送料率]]</f>
        <v/>
      </c>
      <c r="R797" s="289" t="n"/>
      <c r="S797" s="289">
        <f>IF(ISBLANK(商品マスタ[[#This Row],[実績
国内送料]]),商品マスタ[[#This Row],[標準国内送料]],)</f>
        <v/>
      </c>
      <c r="T797" s="289">
        <f>商品マスタ[[#This Row],[仕入
単価]]+商品マスタ[[#This Row],[国内送料]]</f>
        <v/>
      </c>
      <c r="U797" s="289">
        <f>ROUNDUP(商品マスタ[[#This Row],[仕入単価+国内送料]]/0.8,-1)</f>
        <v/>
      </c>
      <c r="V797" s="289">
        <f>商品マスタ[[#This Row],[海外定価
（20％）]]-商品マスタ[[#This Row],[仕入単価+国内送料]]</f>
        <v/>
      </c>
      <c r="W797" s="167">
        <f>ROUNDUP(商品マスタ[[#This Row],[仕入単価+国内送料]]/0.85,-1)</f>
        <v/>
      </c>
      <c r="X797" s="289">
        <f>商品マスタ[[#This Row],[国内定価
（15％）]]-商品マスタ[[#This Row],[仕入単価+国内送料]]</f>
        <v/>
      </c>
      <c r="Y797" s="139" t="n"/>
      <c r="Z797" s="167" t="n"/>
      <c r="AA797" s="167" t="n"/>
      <c r="AB797" s="167" t="n"/>
      <c r="AC797" s="293" t="n"/>
      <c r="AD797" s="167" t="n"/>
      <c r="AE797" s="167" t="n"/>
      <c r="AF797" s="167" t="n"/>
      <c r="AG797" s="144" t="n"/>
    </row>
    <row r="798" ht="18" customHeight="1" s="207">
      <c r="A798" s="166" t="n"/>
      <c r="B798" s="167" t="n"/>
      <c r="C798" s="167" t="n"/>
      <c r="D798" s="143">
        <f>"PRD_SNJ_"&amp;
_xlfn.XLOOKUP(商品マスタ[[#This Row],[仕入先]],テーブル1[仕入先名],テーブル1[仕入先コード],"XXX",0,1)&amp;
"_"&amp;
商品マスタ[[#This Row],[シリアル]]&amp;
"_"&amp;
TEXT(COUNTIFS(商品マスタ!$C$3:C798,商品マスタ[[#This Row],[仕入先]],商品マスタ!$E$3:E798,商品マスタ[[#This Row],[商品名]]), "00")</f>
        <v/>
      </c>
      <c r="E798" s="167" t="n"/>
      <c r="F798" s="167">
        <f>IF(COUNTIFS($C$3:C798,商品マスタ[[#This Row],[仕入先]],$E$3:E798,商品マスタ[[#This Row],[商品名]]) = 1, 1,0)</f>
        <v/>
      </c>
      <c r="G798" s="133">
        <f>TEXT(SUMIF($C$3:C798,商品マスタ[[#This Row],[仕入先]],$F$3:F798), "0000")</f>
        <v/>
      </c>
      <c r="H798" s="167" t="n"/>
      <c r="I798" s="167" t="n"/>
      <c r="J798" s="167" t="n"/>
      <c r="K798" s="167" t="n"/>
      <c r="L798" s="289" t="n"/>
      <c r="M798" s="157" t="n"/>
      <c r="N798" s="289" t="n"/>
      <c r="O798" s="290">
        <f>IF(COUNT(商品マスタ[[#This Row],[参考上代
（税込)]]) &gt; 0, (商品マスタ[[#This Row],[参考上代
（税込)]]-商品マスタ[[#This Row],[国内定価
（15％）]])/(商品マスタ[[#This Row],[参考上代
（税込)]]/1.08), "")</f>
        <v/>
      </c>
      <c r="P798" s="136" t="n">
        <v>0.1</v>
      </c>
      <c r="Q798" s="289">
        <f>商品マスタ[[#This Row],[仕入
単価]]*商品マスタ[[#This Row],[標準国内送料率]]</f>
        <v/>
      </c>
      <c r="R798" s="289" t="n"/>
      <c r="S798" s="289">
        <f>IF(ISBLANK(商品マスタ[[#This Row],[実績
国内送料]]),商品マスタ[[#This Row],[標準国内送料]],)</f>
        <v/>
      </c>
      <c r="T798" s="289">
        <f>商品マスタ[[#This Row],[仕入
単価]]+商品マスタ[[#This Row],[国内送料]]</f>
        <v/>
      </c>
      <c r="U798" s="289">
        <f>ROUNDUP(商品マスタ[[#This Row],[仕入単価+国内送料]]/0.8,-1)</f>
        <v/>
      </c>
      <c r="V798" s="289">
        <f>商品マスタ[[#This Row],[海外定価
（20％）]]-商品マスタ[[#This Row],[仕入単価+国内送料]]</f>
        <v/>
      </c>
      <c r="W798" s="167">
        <f>ROUNDUP(商品マスタ[[#This Row],[仕入単価+国内送料]]/0.85,-1)</f>
        <v/>
      </c>
      <c r="X798" s="289">
        <f>商品マスタ[[#This Row],[国内定価
（15％）]]-商品マスタ[[#This Row],[仕入単価+国内送料]]</f>
        <v/>
      </c>
      <c r="Y798" s="139" t="n"/>
      <c r="Z798" s="167" t="n"/>
      <c r="AA798" s="167" t="n"/>
      <c r="AB798" s="167" t="n"/>
      <c r="AC798" s="293" t="n"/>
      <c r="AD798" s="167" t="n"/>
      <c r="AE798" s="167" t="n"/>
      <c r="AF798" s="167" t="n"/>
      <c r="AG798" s="144" t="n"/>
    </row>
    <row r="799" ht="18" customHeight="1" s="207">
      <c r="A799" s="166" t="n"/>
      <c r="B799" s="167" t="n"/>
      <c r="C799" s="167" t="n"/>
      <c r="D799" s="143">
        <f>"PRD_SNJ_"&amp;
_xlfn.XLOOKUP(商品マスタ[[#This Row],[仕入先]],テーブル1[仕入先名],テーブル1[仕入先コード],"XXX",0,1)&amp;
"_"&amp;
商品マスタ[[#This Row],[シリアル]]&amp;
"_"&amp;
TEXT(COUNTIFS(商品マスタ!$C$3:C799,商品マスタ[[#This Row],[仕入先]],商品マスタ!$E$3:E799,商品マスタ[[#This Row],[商品名]]), "00")</f>
        <v/>
      </c>
      <c r="E799" s="167" t="n"/>
      <c r="F799" s="167">
        <f>IF(COUNTIFS($C$3:C799,商品マスタ[[#This Row],[仕入先]],$E$3:E799,商品マスタ[[#This Row],[商品名]]) = 1, 1,0)</f>
        <v/>
      </c>
      <c r="G799" s="133">
        <f>TEXT(SUMIF($C$3:C799,商品マスタ[[#This Row],[仕入先]],$F$3:F799), "0000")</f>
        <v/>
      </c>
      <c r="H799" s="167" t="n"/>
      <c r="I799" s="167" t="n"/>
      <c r="J799" s="167" t="n"/>
      <c r="K799" s="167" t="n"/>
      <c r="L799" s="289" t="n"/>
      <c r="M799" s="157" t="n"/>
      <c r="N799" s="289" t="n"/>
      <c r="O799" s="290">
        <f>IF(COUNT(商品マスタ[[#This Row],[参考上代
（税込)]]) &gt; 0, (商品マスタ[[#This Row],[参考上代
（税込)]]-商品マスタ[[#This Row],[国内定価
（15％）]])/(商品マスタ[[#This Row],[参考上代
（税込)]]/1.08), "")</f>
        <v/>
      </c>
      <c r="P799" s="136" t="n">
        <v>0.1</v>
      </c>
      <c r="Q799" s="289">
        <f>商品マスタ[[#This Row],[仕入
単価]]*商品マスタ[[#This Row],[標準国内送料率]]</f>
        <v/>
      </c>
      <c r="R799" s="289" t="n"/>
      <c r="S799" s="289">
        <f>IF(ISBLANK(商品マスタ[[#This Row],[実績
国内送料]]),商品マスタ[[#This Row],[標準国内送料]],)</f>
        <v/>
      </c>
      <c r="T799" s="289">
        <f>商品マスタ[[#This Row],[仕入
単価]]+商品マスタ[[#This Row],[国内送料]]</f>
        <v/>
      </c>
      <c r="U799" s="289">
        <f>ROUNDUP(商品マスタ[[#This Row],[仕入単価+国内送料]]/0.8,-1)</f>
        <v/>
      </c>
      <c r="V799" s="289">
        <f>商品マスタ[[#This Row],[海外定価
（20％）]]-商品マスタ[[#This Row],[仕入単価+国内送料]]</f>
        <v/>
      </c>
      <c r="W799" s="167">
        <f>ROUNDUP(商品マスタ[[#This Row],[仕入単価+国内送料]]/0.85,-1)</f>
        <v/>
      </c>
      <c r="X799" s="289">
        <f>商品マスタ[[#This Row],[国内定価
（15％）]]-商品マスタ[[#This Row],[仕入単価+国内送料]]</f>
        <v/>
      </c>
      <c r="Y799" s="139" t="n"/>
      <c r="Z799" s="167" t="n"/>
      <c r="AA799" s="167" t="n"/>
      <c r="AB799" s="167" t="n"/>
      <c r="AC799" s="293" t="n"/>
      <c r="AD799" s="167" t="n"/>
      <c r="AE799" s="167" t="n"/>
      <c r="AF799" s="167" t="n"/>
      <c r="AG799" s="144" t="n"/>
    </row>
    <row r="800" ht="18" customHeight="1" s="207">
      <c r="A800" s="166" t="n"/>
      <c r="B800" s="167" t="n"/>
      <c r="C800" s="167" t="n"/>
      <c r="D800" s="143">
        <f>"PRD_SNJ_"&amp;
_xlfn.XLOOKUP(商品マスタ[[#This Row],[仕入先]],テーブル1[仕入先名],テーブル1[仕入先コード],"XXX",0,1)&amp;
"_"&amp;
商品マスタ[[#This Row],[シリアル]]&amp;
"_"&amp;
TEXT(COUNTIFS(商品マスタ!$C$3:C800,商品マスタ[[#This Row],[仕入先]],商品マスタ!$E$3:E800,商品マスタ[[#This Row],[商品名]]), "00")</f>
        <v/>
      </c>
      <c r="E800" s="167" t="n"/>
      <c r="F800" s="167">
        <f>IF(COUNTIFS($C$3:C800,商品マスタ[[#This Row],[仕入先]],$E$3:E800,商品マスタ[[#This Row],[商品名]]) = 1, 1,0)</f>
        <v/>
      </c>
      <c r="G800" s="133">
        <f>TEXT(SUMIF($C$3:C800,商品マスタ[[#This Row],[仕入先]],$F$3:F800), "0000")</f>
        <v/>
      </c>
      <c r="H800" s="167" t="n"/>
      <c r="I800" s="167" t="n"/>
      <c r="J800" s="167" t="n"/>
      <c r="K800" s="167" t="n"/>
      <c r="L800" s="289" t="n"/>
      <c r="M800" s="157" t="n"/>
      <c r="N800" s="289" t="n"/>
      <c r="O800" s="290">
        <f>IF(COUNT(商品マスタ[[#This Row],[参考上代
（税込)]]) &gt; 0, (商品マスタ[[#This Row],[参考上代
（税込)]]-商品マスタ[[#This Row],[国内定価
（15％）]])/(商品マスタ[[#This Row],[参考上代
（税込)]]/1.08), "")</f>
        <v/>
      </c>
      <c r="P800" s="136" t="n">
        <v>0.1</v>
      </c>
      <c r="Q800" s="289">
        <f>商品マスタ[[#This Row],[仕入
単価]]*商品マスタ[[#This Row],[標準国内送料率]]</f>
        <v/>
      </c>
      <c r="R800" s="289" t="n"/>
      <c r="S800" s="289">
        <f>IF(ISBLANK(商品マスタ[[#This Row],[実績
国内送料]]),商品マスタ[[#This Row],[標準国内送料]],)</f>
        <v/>
      </c>
      <c r="T800" s="289">
        <f>商品マスタ[[#This Row],[仕入
単価]]+商品マスタ[[#This Row],[国内送料]]</f>
        <v/>
      </c>
      <c r="U800" s="289">
        <f>ROUNDUP(商品マスタ[[#This Row],[仕入単価+国内送料]]/0.8,-1)</f>
        <v/>
      </c>
      <c r="V800" s="289">
        <f>商品マスタ[[#This Row],[海外定価
（20％）]]-商品マスタ[[#This Row],[仕入単価+国内送料]]</f>
        <v/>
      </c>
      <c r="W800" s="167">
        <f>ROUNDUP(商品マスタ[[#This Row],[仕入単価+国内送料]]/0.85,-1)</f>
        <v/>
      </c>
      <c r="X800" s="289">
        <f>商品マスタ[[#This Row],[国内定価
（15％）]]-商品マスタ[[#This Row],[仕入単価+国内送料]]</f>
        <v/>
      </c>
      <c r="Y800" s="139" t="n"/>
      <c r="Z800" s="167" t="n"/>
      <c r="AA800" s="167" t="n"/>
      <c r="AB800" s="167" t="n"/>
      <c r="AC800" s="293" t="n"/>
      <c r="AD800" s="167" t="n"/>
      <c r="AE800" s="167" t="n"/>
      <c r="AF800" s="167" t="n"/>
      <c r="AG800" s="144" t="n"/>
    </row>
    <row r="801" ht="18" customHeight="1" s="207">
      <c r="A801" s="166" t="n"/>
      <c r="B801" s="167" t="n"/>
      <c r="C801" s="167" t="n"/>
      <c r="D801" s="143">
        <f>"PRD_SNJ_"&amp;
_xlfn.XLOOKUP(商品マスタ[[#This Row],[仕入先]],テーブル1[仕入先名],テーブル1[仕入先コード],"XXX",0,1)&amp;
"_"&amp;
商品マスタ[[#This Row],[シリアル]]&amp;
"_"&amp;
TEXT(COUNTIFS(商品マスタ!$C$3:C801,商品マスタ[[#This Row],[仕入先]],商品マスタ!$E$3:E801,商品マスタ[[#This Row],[商品名]]), "00")</f>
        <v/>
      </c>
      <c r="E801" s="167" t="n"/>
      <c r="F801" s="167">
        <f>IF(COUNTIFS($C$3:C801,商品マスタ[[#This Row],[仕入先]],$E$3:E801,商品マスタ[[#This Row],[商品名]]) = 1, 1,0)</f>
        <v/>
      </c>
      <c r="G801" s="133">
        <f>TEXT(SUMIF($C$3:C801,商品マスタ[[#This Row],[仕入先]],$F$3:F801), "0000")</f>
        <v/>
      </c>
      <c r="H801" s="167" t="n"/>
      <c r="I801" s="167" t="n"/>
      <c r="J801" s="167" t="n"/>
      <c r="K801" s="167" t="n"/>
      <c r="L801" s="289" t="n"/>
      <c r="M801" s="157" t="n"/>
      <c r="N801" s="289" t="n"/>
      <c r="O801" s="290">
        <f>IF(COUNT(商品マスタ[[#This Row],[参考上代
（税込)]]) &gt; 0, (商品マスタ[[#This Row],[参考上代
（税込)]]-商品マスタ[[#This Row],[国内定価
（15％）]])/(商品マスタ[[#This Row],[参考上代
（税込)]]/1.08), "")</f>
        <v/>
      </c>
      <c r="P801" s="136" t="n">
        <v>0.1</v>
      </c>
      <c r="Q801" s="289">
        <f>商品マスタ[[#This Row],[仕入
単価]]*商品マスタ[[#This Row],[標準国内送料率]]</f>
        <v/>
      </c>
      <c r="R801" s="289" t="n"/>
      <c r="S801" s="289">
        <f>IF(ISBLANK(商品マスタ[[#This Row],[実績
国内送料]]),商品マスタ[[#This Row],[標準国内送料]],)</f>
        <v/>
      </c>
      <c r="T801" s="289">
        <f>商品マスタ[[#This Row],[仕入
単価]]+商品マスタ[[#This Row],[国内送料]]</f>
        <v/>
      </c>
      <c r="U801" s="289">
        <f>ROUNDUP(商品マスタ[[#This Row],[仕入単価+国内送料]]/0.8,-1)</f>
        <v/>
      </c>
      <c r="V801" s="289">
        <f>商品マスタ[[#This Row],[海外定価
（20％）]]-商品マスタ[[#This Row],[仕入単価+国内送料]]</f>
        <v/>
      </c>
      <c r="W801" s="167">
        <f>ROUNDUP(商品マスタ[[#This Row],[仕入単価+国内送料]]/0.85,-1)</f>
        <v/>
      </c>
      <c r="X801" s="289">
        <f>商品マスタ[[#This Row],[国内定価
（15％）]]-商品マスタ[[#This Row],[仕入単価+国内送料]]</f>
        <v/>
      </c>
      <c r="Y801" s="139" t="n"/>
      <c r="Z801" s="167" t="n"/>
      <c r="AA801" s="167" t="n"/>
      <c r="AB801" s="167" t="n"/>
      <c r="AC801" s="293" t="n"/>
      <c r="AD801" s="167" t="n"/>
      <c r="AE801" s="167" t="n"/>
      <c r="AF801" s="167" t="n"/>
      <c r="AG801" s="144" t="n"/>
    </row>
    <row r="802" ht="18" customHeight="1" s="207">
      <c r="A802" s="166" t="n"/>
      <c r="B802" s="167" t="n"/>
      <c r="C802" s="167" t="n"/>
      <c r="D802" s="143">
        <f>"PRD_SNJ_"&amp;
_xlfn.XLOOKUP(商品マスタ[[#This Row],[仕入先]],テーブル1[仕入先名],テーブル1[仕入先コード],"XXX",0,1)&amp;
"_"&amp;
商品マスタ[[#This Row],[シリアル]]&amp;
"_"&amp;
TEXT(COUNTIFS(商品マスタ!$C$3:C802,商品マスタ[[#This Row],[仕入先]],商品マスタ!$E$3:E802,商品マスタ[[#This Row],[商品名]]), "00")</f>
        <v/>
      </c>
      <c r="E802" s="167" t="n"/>
      <c r="F802" s="167">
        <f>IF(COUNTIFS($C$3:C802,商品マスタ[[#This Row],[仕入先]],$E$3:E802,商品マスタ[[#This Row],[商品名]]) = 1, 1,0)</f>
        <v/>
      </c>
      <c r="G802" s="133">
        <f>TEXT(SUMIF($C$3:C802,商品マスタ[[#This Row],[仕入先]],$F$3:F802), "0000")</f>
        <v/>
      </c>
      <c r="H802" s="167" t="n"/>
      <c r="I802" s="167" t="n"/>
      <c r="J802" s="167" t="n"/>
      <c r="K802" s="167" t="n"/>
      <c r="L802" s="289" t="n"/>
      <c r="M802" s="157" t="n"/>
      <c r="N802" s="289" t="n"/>
      <c r="O802" s="290">
        <f>IF(COUNT(商品マスタ[[#This Row],[参考上代
（税込)]]) &gt; 0, (商品マスタ[[#This Row],[参考上代
（税込)]]-商品マスタ[[#This Row],[国内定価
（15％）]])/(商品マスタ[[#This Row],[参考上代
（税込)]]/1.08), "")</f>
        <v/>
      </c>
      <c r="P802" s="136" t="n">
        <v>0.1</v>
      </c>
      <c r="Q802" s="289">
        <f>商品マスタ[[#This Row],[仕入
単価]]*商品マスタ[[#This Row],[標準国内送料率]]</f>
        <v/>
      </c>
      <c r="R802" s="289" t="n"/>
      <c r="S802" s="289">
        <f>IF(ISBLANK(商品マスタ[[#This Row],[実績
国内送料]]),商品マスタ[[#This Row],[標準国内送料]],)</f>
        <v/>
      </c>
      <c r="T802" s="289">
        <f>商品マスタ[[#This Row],[仕入
単価]]+商品マスタ[[#This Row],[国内送料]]</f>
        <v/>
      </c>
      <c r="U802" s="289">
        <f>ROUNDUP(商品マスタ[[#This Row],[仕入単価+国内送料]]/0.8,-1)</f>
        <v/>
      </c>
      <c r="V802" s="289">
        <f>商品マスタ[[#This Row],[海外定価
（20％）]]-商品マスタ[[#This Row],[仕入単価+国内送料]]</f>
        <v/>
      </c>
      <c r="W802" s="167">
        <f>ROUNDUP(商品マスタ[[#This Row],[仕入単価+国内送料]]/0.85,-1)</f>
        <v/>
      </c>
      <c r="X802" s="289">
        <f>商品マスタ[[#This Row],[国内定価
（15％）]]-商品マスタ[[#This Row],[仕入単価+国内送料]]</f>
        <v/>
      </c>
      <c r="Y802" s="139" t="n"/>
      <c r="Z802" s="167" t="n"/>
      <c r="AA802" s="167" t="n"/>
      <c r="AB802" s="167" t="n"/>
      <c r="AC802" s="293" t="n"/>
      <c r="AD802" s="167" t="n"/>
      <c r="AE802" s="167" t="n"/>
      <c r="AF802" s="167" t="n"/>
      <c r="AG802" s="144" t="n"/>
    </row>
    <row r="803" ht="18" customHeight="1" s="207">
      <c r="A803" s="166" t="n"/>
      <c r="B803" s="167" t="n"/>
      <c r="C803" s="167" t="n"/>
      <c r="D803" s="143">
        <f>"PRD_SNJ_"&amp;
_xlfn.XLOOKUP(商品マスタ[[#This Row],[仕入先]],テーブル1[仕入先名],テーブル1[仕入先コード],"XXX",0,1)&amp;
"_"&amp;
商品マスタ[[#This Row],[シリアル]]&amp;
"_"&amp;
TEXT(COUNTIFS(商品マスタ!$C$3:C803,商品マスタ[[#This Row],[仕入先]],商品マスタ!$E$3:E803,商品マスタ[[#This Row],[商品名]]), "00")</f>
        <v/>
      </c>
      <c r="E803" s="167" t="n"/>
      <c r="F803" s="167">
        <f>IF(COUNTIFS($C$3:C803,商品マスタ[[#This Row],[仕入先]],$E$3:E803,商品マスタ[[#This Row],[商品名]]) = 1, 1,0)</f>
        <v/>
      </c>
      <c r="G803" s="133">
        <f>TEXT(SUMIF($C$3:C803,商品マスタ[[#This Row],[仕入先]],$F$3:F803), "0000")</f>
        <v/>
      </c>
      <c r="H803" s="167" t="n"/>
      <c r="I803" s="167" t="n"/>
      <c r="J803" s="167" t="n"/>
      <c r="K803" s="167" t="n"/>
      <c r="L803" s="289" t="n"/>
      <c r="M803" s="157" t="n"/>
      <c r="N803" s="289" t="n"/>
      <c r="O803" s="290">
        <f>IF(COUNT(商品マスタ[[#This Row],[参考上代
（税込)]]) &gt; 0, (商品マスタ[[#This Row],[参考上代
（税込)]]-商品マスタ[[#This Row],[国内定価
（15％）]])/(商品マスタ[[#This Row],[参考上代
（税込)]]/1.08), "")</f>
        <v/>
      </c>
      <c r="P803" s="136" t="n">
        <v>0.1</v>
      </c>
      <c r="Q803" s="289">
        <f>商品マスタ[[#This Row],[仕入
単価]]*商品マスタ[[#This Row],[標準国内送料率]]</f>
        <v/>
      </c>
      <c r="R803" s="289" t="n"/>
      <c r="S803" s="289">
        <f>IF(ISBLANK(商品マスタ[[#This Row],[実績
国内送料]]),商品マスタ[[#This Row],[標準国内送料]],)</f>
        <v/>
      </c>
      <c r="T803" s="289">
        <f>商品マスタ[[#This Row],[仕入
単価]]+商品マスタ[[#This Row],[国内送料]]</f>
        <v/>
      </c>
      <c r="U803" s="289">
        <f>ROUNDUP(商品マスタ[[#This Row],[仕入単価+国内送料]]/0.8,-1)</f>
        <v/>
      </c>
      <c r="V803" s="289">
        <f>商品マスタ[[#This Row],[海外定価
（20％）]]-商品マスタ[[#This Row],[仕入単価+国内送料]]</f>
        <v/>
      </c>
      <c r="W803" s="167">
        <f>ROUNDUP(商品マスタ[[#This Row],[仕入単価+国内送料]]/0.85,-1)</f>
        <v/>
      </c>
      <c r="X803" s="289">
        <f>商品マスタ[[#This Row],[国内定価
（15％）]]-商品マスタ[[#This Row],[仕入単価+国内送料]]</f>
        <v/>
      </c>
      <c r="Y803" s="139" t="n"/>
      <c r="Z803" s="167" t="n"/>
      <c r="AA803" s="167" t="n"/>
      <c r="AB803" s="167" t="n"/>
      <c r="AC803" s="293" t="n"/>
      <c r="AD803" s="167" t="n"/>
      <c r="AE803" s="167" t="n"/>
      <c r="AF803" s="167" t="n"/>
      <c r="AG803" s="144" t="n"/>
    </row>
    <row r="804" ht="18" customHeight="1" s="207">
      <c r="A804" s="166" t="n"/>
      <c r="B804" s="167" t="n"/>
      <c r="C804" s="167" t="n"/>
      <c r="D804" s="143">
        <f>"PRD_SNJ_"&amp;
_xlfn.XLOOKUP(商品マスタ[[#This Row],[仕入先]],テーブル1[仕入先名],テーブル1[仕入先コード],"XXX",0,1)&amp;
"_"&amp;
商品マスタ[[#This Row],[シリアル]]&amp;
"_"&amp;
TEXT(COUNTIFS(商品マスタ!$C$3:C804,商品マスタ[[#This Row],[仕入先]],商品マスタ!$E$3:E804,商品マスタ[[#This Row],[商品名]]), "00")</f>
        <v/>
      </c>
      <c r="E804" s="167" t="n"/>
      <c r="F804" s="167">
        <f>IF(COUNTIFS($C$3:C804,商品マスタ[[#This Row],[仕入先]],$E$3:E804,商品マスタ[[#This Row],[商品名]]) = 1, 1,0)</f>
        <v/>
      </c>
      <c r="G804" s="133">
        <f>TEXT(SUMIF($C$3:C804,商品マスタ[[#This Row],[仕入先]],$F$3:F804), "0000")</f>
        <v/>
      </c>
      <c r="H804" s="167" t="n"/>
      <c r="I804" s="167" t="n"/>
      <c r="J804" s="167" t="n"/>
      <c r="K804" s="167" t="n"/>
      <c r="L804" s="289" t="n"/>
      <c r="M804" s="157" t="n"/>
      <c r="N804" s="289" t="n"/>
      <c r="O804" s="290">
        <f>IF(COUNT(商品マスタ[[#This Row],[参考上代
（税込)]]) &gt; 0, (商品マスタ[[#This Row],[参考上代
（税込)]]-商品マスタ[[#This Row],[国内定価
（15％）]])/(商品マスタ[[#This Row],[参考上代
（税込)]]/1.08), "")</f>
        <v/>
      </c>
      <c r="P804" s="136" t="n">
        <v>0.1</v>
      </c>
      <c r="Q804" s="289">
        <f>商品マスタ[[#This Row],[仕入
単価]]*商品マスタ[[#This Row],[標準国内送料率]]</f>
        <v/>
      </c>
      <c r="R804" s="289" t="n"/>
      <c r="S804" s="289">
        <f>IF(ISBLANK(商品マスタ[[#This Row],[実績
国内送料]]),商品マスタ[[#This Row],[標準国内送料]],)</f>
        <v/>
      </c>
      <c r="T804" s="289">
        <f>商品マスタ[[#This Row],[仕入
単価]]+商品マスタ[[#This Row],[国内送料]]</f>
        <v/>
      </c>
      <c r="U804" s="289">
        <f>ROUNDUP(商品マスタ[[#This Row],[仕入単価+国内送料]]/0.8,-1)</f>
        <v/>
      </c>
      <c r="V804" s="289">
        <f>商品マスタ[[#This Row],[海外定価
（20％）]]-商品マスタ[[#This Row],[仕入単価+国内送料]]</f>
        <v/>
      </c>
      <c r="W804" s="167">
        <f>ROUNDUP(商品マスタ[[#This Row],[仕入単価+国内送料]]/0.85,-1)</f>
        <v/>
      </c>
      <c r="X804" s="289">
        <f>商品マスタ[[#This Row],[国内定価
（15％）]]-商品マスタ[[#This Row],[仕入単価+国内送料]]</f>
        <v/>
      </c>
      <c r="Y804" s="139" t="n"/>
      <c r="Z804" s="167" t="n"/>
      <c r="AA804" s="167" t="n"/>
      <c r="AB804" s="167" t="n"/>
      <c r="AC804" s="293" t="n"/>
      <c r="AD804" s="167" t="n"/>
      <c r="AE804" s="167" t="n"/>
      <c r="AF804" s="167" t="n"/>
      <c r="AG804" s="144" t="n"/>
    </row>
    <row r="805" ht="18" customHeight="1" s="207">
      <c r="A805" s="166" t="n"/>
      <c r="B805" s="167" t="n"/>
      <c r="C805" s="167" t="n"/>
      <c r="D805" s="143">
        <f>"PRD_SNJ_"&amp;
_xlfn.XLOOKUP(商品マスタ[[#This Row],[仕入先]],テーブル1[仕入先名],テーブル1[仕入先コード],"XXX",0,1)&amp;
"_"&amp;
商品マスタ[[#This Row],[シリアル]]&amp;
"_"&amp;
TEXT(COUNTIFS(商品マスタ!$C$3:C805,商品マスタ[[#This Row],[仕入先]],商品マスタ!$E$3:E805,商品マスタ[[#This Row],[商品名]]), "00")</f>
        <v/>
      </c>
      <c r="E805" s="167" t="n"/>
      <c r="F805" s="167">
        <f>IF(COUNTIFS($C$3:C805,商品マスタ[[#This Row],[仕入先]],$E$3:E805,商品マスタ[[#This Row],[商品名]]) = 1, 1,0)</f>
        <v/>
      </c>
      <c r="G805" s="133">
        <f>TEXT(SUMIF($C$3:C805,商品マスタ[[#This Row],[仕入先]],$F$3:F805), "0000")</f>
        <v/>
      </c>
      <c r="H805" s="167" t="n"/>
      <c r="I805" s="167" t="n"/>
      <c r="J805" s="167" t="n"/>
      <c r="K805" s="167" t="n"/>
      <c r="L805" s="289" t="n"/>
      <c r="M805" s="157" t="n"/>
      <c r="N805" s="289" t="n"/>
      <c r="O805" s="290">
        <f>IF(COUNT(商品マスタ[[#This Row],[参考上代
（税込)]]) &gt; 0, (商品マスタ[[#This Row],[参考上代
（税込)]]-商品マスタ[[#This Row],[国内定価
（15％）]])/(商品マスタ[[#This Row],[参考上代
（税込)]]/1.08), "")</f>
        <v/>
      </c>
      <c r="P805" s="136" t="n">
        <v>0.1</v>
      </c>
      <c r="Q805" s="289">
        <f>商品マスタ[[#This Row],[仕入
単価]]*商品マスタ[[#This Row],[標準国内送料率]]</f>
        <v/>
      </c>
      <c r="R805" s="289" t="n"/>
      <c r="S805" s="289">
        <f>IF(ISBLANK(商品マスタ[[#This Row],[実績
国内送料]]),商品マスタ[[#This Row],[標準国内送料]],)</f>
        <v/>
      </c>
      <c r="T805" s="289">
        <f>商品マスタ[[#This Row],[仕入
単価]]+商品マスタ[[#This Row],[国内送料]]</f>
        <v/>
      </c>
      <c r="U805" s="289">
        <f>ROUNDUP(商品マスタ[[#This Row],[仕入単価+国内送料]]/0.8,-1)</f>
        <v/>
      </c>
      <c r="V805" s="289">
        <f>商品マスタ[[#This Row],[海外定価
（20％）]]-商品マスタ[[#This Row],[仕入単価+国内送料]]</f>
        <v/>
      </c>
      <c r="W805" s="167">
        <f>ROUNDUP(商品マスタ[[#This Row],[仕入単価+国内送料]]/0.85,-1)</f>
        <v/>
      </c>
      <c r="X805" s="289">
        <f>商品マスタ[[#This Row],[国内定価
（15％）]]-商品マスタ[[#This Row],[仕入単価+国内送料]]</f>
        <v/>
      </c>
      <c r="Y805" s="139" t="n"/>
      <c r="Z805" s="167" t="n"/>
      <c r="AA805" s="167" t="n"/>
      <c r="AB805" s="167" t="n"/>
      <c r="AC805" s="293" t="n"/>
      <c r="AD805" s="167" t="n"/>
      <c r="AE805" s="167" t="n"/>
      <c r="AF805" s="167" t="n"/>
      <c r="AG805" s="144" t="n"/>
    </row>
    <row r="806" ht="18" customHeight="1" s="207">
      <c r="A806" s="166" t="n"/>
      <c r="B806" s="167" t="n"/>
      <c r="C806" s="167" t="n"/>
      <c r="D806" s="143">
        <f>"PRD_SNJ_"&amp;
_xlfn.XLOOKUP(商品マスタ[[#This Row],[仕入先]],テーブル1[仕入先名],テーブル1[仕入先コード],"XXX",0,1)&amp;
"_"&amp;
商品マスタ[[#This Row],[シリアル]]&amp;
"_"&amp;
TEXT(COUNTIFS(商品マスタ!$C$3:C806,商品マスタ[[#This Row],[仕入先]],商品マスタ!$E$3:E806,商品マスタ[[#This Row],[商品名]]), "00")</f>
        <v/>
      </c>
      <c r="E806" s="167" t="n"/>
      <c r="F806" s="167">
        <f>IF(COUNTIFS($C$3:C806,商品マスタ[[#This Row],[仕入先]],$E$3:E806,商品マスタ[[#This Row],[商品名]]) = 1, 1,0)</f>
        <v/>
      </c>
      <c r="G806" s="133">
        <f>TEXT(SUMIF($C$3:C806,商品マスタ[[#This Row],[仕入先]],$F$3:F806), "0000")</f>
        <v/>
      </c>
      <c r="H806" s="167" t="n"/>
      <c r="I806" s="167" t="n"/>
      <c r="J806" s="167" t="n"/>
      <c r="K806" s="167" t="n"/>
      <c r="L806" s="289" t="n"/>
      <c r="M806" s="157" t="n"/>
      <c r="N806" s="289" t="n"/>
      <c r="O806" s="290">
        <f>IF(COUNT(商品マスタ[[#This Row],[参考上代
（税込)]]) &gt; 0, (商品マスタ[[#This Row],[参考上代
（税込)]]-商品マスタ[[#This Row],[国内定価
（15％）]])/(商品マスタ[[#This Row],[参考上代
（税込)]]/1.08), "")</f>
        <v/>
      </c>
      <c r="P806" s="136" t="n">
        <v>0.1</v>
      </c>
      <c r="Q806" s="289">
        <f>商品マスタ[[#This Row],[仕入
単価]]*商品マスタ[[#This Row],[標準国内送料率]]</f>
        <v/>
      </c>
      <c r="R806" s="289" t="n"/>
      <c r="S806" s="289">
        <f>IF(ISBLANK(商品マスタ[[#This Row],[実績
国内送料]]),商品マスタ[[#This Row],[標準国内送料]],)</f>
        <v/>
      </c>
      <c r="T806" s="289">
        <f>商品マスタ[[#This Row],[仕入
単価]]+商品マスタ[[#This Row],[国内送料]]</f>
        <v/>
      </c>
      <c r="U806" s="289">
        <f>ROUNDUP(商品マスタ[[#This Row],[仕入単価+国内送料]]/0.8,-1)</f>
        <v/>
      </c>
      <c r="V806" s="289">
        <f>商品マスタ[[#This Row],[海外定価
（20％）]]-商品マスタ[[#This Row],[仕入単価+国内送料]]</f>
        <v/>
      </c>
      <c r="W806" s="167">
        <f>ROUNDUP(商品マスタ[[#This Row],[仕入単価+国内送料]]/0.85,-1)</f>
        <v/>
      </c>
      <c r="X806" s="289">
        <f>商品マスタ[[#This Row],[国内定価
（15％）]]-商品マスタ[[#This Row],[仕入単価+国内送料]]</f>
        <v/>
      </c>
      <c r="Y806" s="139" t="n"/>
      <c r="Z806" s="167" t="n"/>
      <c r="AA806" s="167" t="n"/>
      <c r="AB806" s="167" t="n"/>
      <c r="AC806" s="293" t="n"/>
      <c r="AD806" s="167" t="n"/>
      <c r="AE806" s="167" t="n"/>
      <c r="AF806" s="167" t="n"/>
      <c r="AG806" s="144" t="n"/>
    </row>
    <row r="807" ht="18" customHeight="1" s="207">
      <c r="A807" s="166" t="n"/>
      <c r="B807" s="167" t="n"/>
      <c r="C807" s="167" t="n"/>
      <c r="D807" s="143">
        <f>"PRD_SNJ_"&amp;
_xlfn.XLOOKUP(商品マスタ[[#This Row],[仕入先]],テーブル1[仕入先名],テーブル1[仕入先コード],"XXX",0,1)&amp;
"_"&amp;
商品マスタ[[#This Row],[シリアル]]&amp;
"_"&amp;
TEXT(COUNTIFS(商品マスタ!$C$3:C807,商品マスタ[[#This Row],[仕入先]],商品マスタ!$E$3:E807,商品マスタ[[#This Row],[商品名]]), "00")</f>
        <v/>
      </c>
      <c r="E807" s="167" t="n"/>
      <c r="F807" s="167">
        <f>IF(COUNTIFS($C$3:C807,商品マスタ[[#This Row],[仕入先]],$E$3:E807,商品マスタ[[#This Row],[商品名]]) = 1, 1,0)</f>
        <v/>
      </c>
      <c r="G807" s="133">
        <f>TEXT(SUMIF($C$3:C807,商品マスタ[[#This Row],[仕入先]],$F$3:F807), "0000")</f>
        <v/>
      </c>
      <c r="H807" s="167" t="n"/>
      <c r="I807" s="167" t="n"/>
      <c r="J807" s="167" t="n"/>
      <c r="K807" s="167" t="n"/>
      <c r="L807" s="289" t="n"/>
      <c r="M807" s="157" t="n"/>
      <c r="N807" s="289" t="n"/>
      <c r="O807" s="290">
        <f>IF(COUNT(商品マスタ[[#This Row],[参考上代
（税込)]]) &gt; 0, (商品マスタ[[#This Row],[参考上代
（税込)]]-商品マスタ[[#This Row],[国内定価
（15％）]])/(商品マスタ[[#This Row],[参考上代
（税込)]]/1.08), "")</f>
        <v/>
      </c>
      <c r="P807" s="136" t="n">
        <v>0.1</v>
      </c>
      <c r="Q807" s="289">
        <f>商品マスタ[[#This Row],[仕入
単価]]*商品マスタ[[#This Row],[標準国内送料率]]</f>
        <v/>
      </c>
      <c r="R807" s="289" t="n"/>
      <c r="S807" s="289">
        <f>IF(ISBLANK(商品マスタ[[#This Row],[実績
国内送料]]),商品マスタ[[#This Row],[標準国内送料]],)</f>
        <v/>
      </c>
      <c r="T807" s="289">
        <f>商品マスタ[[#This Row],[仕入
単価]]+商品マスタ[[#This Row],[国内送料]]</f>
        <v/>
      </c>
      <c r="U807" s="289">
        <f>ROUNDUP(商品マスタ[[#This Row],[仕入単価+国内送料]]/0.8,-1)</f>
        <v/>
      </c>
      <c r="V807" s="289">
        <f>商品マスタ[[#This Row],[海外定価
（20％）]]-商品マスタ[[#This Row],[仕入単価+国内送料]]</f>
        <v/>
      </c>
      <c r="W807" s="167">
        <f>ROUNDUP(商品マスタ[[#This Row],[仕入単価+国内送料]]/0.85,-1)</f>
        <v/>
      </c>
      <c r="X807" s="289">
        <f>商品マスタ[[#This Row],[国内定価
（15％）]]-商品マスタ[[#This Row],[仕入単価+国内送料]]</f>
        <v/>
      </c>
      <c r="Y807" s="139" t="n"/>
      <c r="Z807" s="167" t="n"/>
      <c r="AA807" s="167" t="n"/>
      <c r="AB807" s="167" t="n"/>
      <c r="AC807" s="293" t="n"/>
      <c r="AD807" s="167" t="n"/>
      <c r="AE807" s="167" t="n"/>
      <c r="AF807" s="167" t="n"/>
      <c r="AG807" s="144" t="n"/>
    </row>
    <row r="808" ht="18" customHeight="1" s="207">
      <c r="A808" s="166" t="n"/>
      <c r="B808" s="167" t="n"/>
      <c r="C808" s="167" t="n"/>
      <c r="D808" s="143">
        <f>"PRD_SNJ_"&amp;
_xlfn.XLOOKUP(商品マスタ[[#This Row],[仕入先]],テーブル1[仕入先名],テーブル1[仕入先コード],"XXX",0,1)&amp;
"_"&amp;
商品マスタ[[#This Row],[シリアル]]&amp;
"_"&amp;
TEXT(COUNTIFS(商品マスタ!$C$3:C808,商品マスタ[[#This Row],[仕入先]],商品マスタ!$E$3:E808,商品マスタ[[#This Row],[商品名]]), "00")</f>
        <v/>
      </c>
      <c r="E808" s="167" t="n"/>
      <c r="F808" s="167">
        <f>IF(COUNTIFS($C$3:C808,商品マスタ[[#This Row],[仕入先]],$E$3:E808,商品マスタ[[#This Row],[商品名]]) = 1, 1,0)</f>
        <v/>
      </c>
      <c r="G808" s="133">
        <f>TEXT(SUMIF($C$3:C808,商品マスタ[[#This Row],[仕入先]],$F$3:F808), "0000")</f>
        <v/>
      </c>
      <c r="H808" s="167" t="n"/>
      <c r="I808" s="167" t="n"/>
      <c r="J808" s="167" t="n"/>
      <c r="K808" s="167" t="n"/>
      <c r="L808" s="289" t="n"/>
      <c r="M808" s="157" t="n"/>
      <c r="N808" s="289" t="n"/>
      <c r="O808" s="290">
        <f>IF(COUNT(商品マスタ[[#This Row],[参考上代
（税込)]]) &gt; 0, (商品マスタ[[#This Row],[参考上代
（税込)]]-商品マスタ[[#This Row],[国内定価
（15％）]])/(商品マスタ[[#This Row],[参考上代
（税込)]]/1.08), "")</f>
        <v/>
      </c>
      <c r="P808" s="136" t="n">
        <v>0.1</v>
      </c>
      <c r="Q808" s="289">
        <f>商品マスタ[[#This Row],[仕入
単価]]*商品マスタ[[#This Row],[標準国内送料率]]</f>
        <v/>
      </c>
      <c r="R808" s="289" t="n"/>
      <c r="S808" s="289">
        <f>IF(ISBLANK(商品マスタ[[#This Row],[実績
国内送料]]),商品マスタ[[#This Row],[標準国内送料]],)</f>
        <v/>
      </c>
      <c r="T808" s="289">
        <f>商品マスタ[[#This Row],[仕入
単価]]+商品マスタ[[#This Row],[国内送料]]</f>
        <v/>
      </c>
      <c r="U808" s="289">
        <f>ROUNDUP(商品マスタ[[#This Row],[仕入単価+国内送料]]/0.8,-1)</f>
        <v/>
      </c>
      <c r="V808" s="289">
        <f>商品マスタ[[#This Row],[海外定価
（20％）]]-商品マスタ[[#This Row],[仕入単価+国内送料]]</f>
        <v/>
      </c>
      <c r="W808" s="167">
        <f>ROUNDUP(商品マスタ[[#This Row],[仕入単価+国内送料]]/0.85,-1)</f>
        <v/>
      </c>
      <c r="X808" s="289">
        <f>商品マスタ[[#This Row],[国内定価
（15％）]]-商品マスタ[[#This Row],[仕入単価+国内送料]]</f>
        <v/>
      </c>
      <c r="Y808" s="139" t="n"/>
      <c r="Z808" s="167" t="n"/>
      <c r="AA808" s="167" t="n"/>
      <c r="AB808" s="167" t="n"/>
      <c r="AC808" s="293" t="n"/>
      <c r="AD808" s="167" t="n"/>
      <c r="AE808" s="167" t="n"/>
      <c r="AF808" s="167" t="n"/>
      <c r="AG808" s="144" t="n"/>
    </row>
    <row r="809" ht="18" customHeight="1" s="207">
      <c r="A809" s="166" t="n"/>
      <c r="B809" s="167" t="n"/>
      <c r="C809" s="167" t="n"/>
      <c r="D809" s="143">
        <f>"PRD_SNJ_"&amp;
_xlfn.XLOOKUP(商品マスタ[[#This Row],[仕入先]],テーブル1[仕入先名],テーブル1[仕入先コード],"XXX",0,1)&amp;
"_"&amp;
商品マスタ[[#This Row],[シリアル]]&amp;
"_"&amp;
TEXT(COUNTIFS(商品マスタ!$C$3:C809,商品マスタ[[#This Row],[仕入先]],商品マスタ!$E$3:E809,商品マスタ[[#This Row],[商品名]]), "00")</f>
        <v/>
      </c>
      <c r="E809" s="167" t="n"/>
      <c r="F809" s="167">
        <f>IF(COUNTIFS($C$3:C809,商品マスタ[[#This Row],[仕入先]],$E$3:E809,商品マスタ[[#This Row],[商品名]]) = 1, 1,0)</f>
        <v/>
      </c>
      <c r="G809" s="133">
        <f>TEXT(SUMIF($C$3:C809,商品マスタ[[#This Row],[仕入先]],$F$3:F809), "0000")</f>
        <v/>
      </c>
      <c r="H809" s="167" t="n"/>
      <c r="I809" s="167" t="n"/>
      <c r="J809" s="167" t="n"/>
      <c r="K809" s="167" t="n"/>
      <c r="L809" s="289" t="n"/>
      <c r="M809" s="157" t="n"/>
      <c r="N809" s="289" t="n"/>
      <c r="O809" s="290">
        <f>IF(COUNT(商品マスタ[[#This Row],[参考上代
（税込)]]) &gt; 0, (商品マスタ[[#This Row],[参考上代
（税込)]]-商品マスタ[[#This Row],[国内定価
（15％）]])/(商品マスタ[[#This Row],[参考上代
（税込)]]/1.08), "")</f>
        <v/>
      </c>
      <c r="P809" s="136" t="n">
        <v>0.1</v>
      </c>
      <c r="Q809" s="289">
        <f>商品マスタ[[#This Row],[仕入
単価]]*商品マスタ[[#This Row],[標準国内送料率]]</f>
        <v/>
      </c>
      <c r="R809" s="289" t="n"/>
      <c r="S809" s="289">
        <f>IF(ISBLANK(商品マスタ[[#This Row],[実績
国内送料]]),商品マスタ[[#This Row],[標準国内送料]],)</f>
        <v/>
      </c>
      <c r="T809" s="289">
        <f>商品マスタ[[#This Row],[仕入
単価]]+商品マスタ[[#This Row],[国内送料]]</f>
        <v/>
      </c>
      <c r="U809" s="289">
        <f>ROUNDUP(商品マスタ[[#This Row],[仕入単価+国内送料]]/0.8,-1)</f>
        <v/>
      </c>
      <c r="V809" s="289">
        <f>商品マスタ[[#This Row],[海外定価
（20％）]]-商品マスタ[[#This Row],[仕入単価+国内送料]]</f>
        <v/>
      </c>
      <c r="W809" s="167">
        <f>ROUNDUP(商品マスタ[[#This Row],[仕入単価+国内送料]]/0.85,-1)</f>
        <v/>
      </c>
      <c r="X809" s="289">
        <f>商品マスタ[[#This Row],[国内定価
（15％）]]-商品マスタ[[#This Row],[仕入単価+国内送料]]</f>
        <v/>
      </c>
      <c r="Y809" s="139" t="n"/>
      <c r="Z809" s="167" t="n"/>
      <c r="AA809" s="167" t="n"/>
      <c r="AB809" s="167" t="n"/>
      <c r="AC809" s="293" t="n"/>
      <c r="AD809" s="167" t="n"/>
      <c r="AE809" s="167" t="n"/>
      <c r="AF809" s="167" t="n"/>
      <c r="AG809" s="144" t="n"/>
    </row>
    <row r="810" ht="18" customHeight="1" s="207">
      <c r="A810" s="166" t="n"/>
      <c r="B810" s="167" t="n"/>
      <c r="C810" s="167" t="n"/>
      <c r="D810" s="143">
        <f>"PRD_SNJ_"&amp;
_xlfn.XLOOKUP(商品マスタ[[#This Row],[仕入先]],テーブル1[仕入先名],テーブル1[仕入先コード],"XXX",0,1)&amp;
"_"&amp;
商品マスタ[[#This Row],[シリアル]]&amp;
"_"&amp;
TEXT(COUNTIFS(商品マスタ!$C$3:C810,商品マスタ[[#This Row],[仕入先]],商品マスタ!$E$3:E810,商品マスタ[[#This Row],[商品名]]), "00")</f>
        <v/>
      </c>
      <c r="E810" s="167" t="n"/>
      <c r="F810" s="167">
        <f>IF(COUNTIFS($C$3:C810,商品マスタ[[#This Row],[仕入先]],$E$3:E810,商品マスタ[[#This Row],[商品名]]) = 1, 1,0)</f>
        <v/>
      </c>
      <c r="G810" s="133">
        <f>TEXT(SUMIF($C$3:C810,商品マスタ[[#This Row],[仕入先]],$F$3:F810), "0000")</f>
        <v/>
      </c>
      <c r="H810" s="167" t="n"/>
      <c r="I810" s="167" t="n"/>
      <c r="J810" s="167" t="n"/>
      <c r="K810" s="167" t="n"/>
      <c r="L810" s="289" t="n"/>
      <c r="M810" s="157" t="n"/>
      <c r="N810" s="289" t="n"/>
      <c r="O810" s="290">
        <f>IF(COUNT(商品マスタ[[#This Row],[参考上代
（税込)]]) &gt; 0, (商品マスタ[[#This Row],[参考上代
（税込)]]-商品マスタ[[#This Row],[国内定価
（15％）]])/(商品マスタ[[#This Row],[参考上代
（税込)]]/1.08), "")</f>
        <v/>
      </c>
      <c r="P810" s="136" t="n">
        <v>0.1</v>
      </c>
      <c r="Q810" s="289">
        <f>商品マスタ[[#This Row],[仕入
単価]]*商品マスタ[[#This Row],[標準国内送料率]]</f>
        <v/>
      </c>
      <c r="R810" s="289" t="n"/>
      <c r="S810" s="289">
        <f>IF(ISBLANK(商品マスタ[[#This Row],[実績
国内送料]]),商品マスタ[[#This Row],[標準国内送料]],)</f>
        <v/>
      </c>
      <c r="T810" s="289">
        <f>商品マスタ[[#This Row],[仕入
単価]]+商品マスタ[[#This Row],[国内送料]]</f>
        <v/>
      </c>
      <c r="U810" s="289">
        <f>ROUNDUP(商品マスタ[[#This Row],[仕入単価+国内送料]]/0.8,-1)</f>
        <v/>
      </c>
      <c r="V810" s="289">
        <f>商品マスタ[[#This Row],[海外定価
（20％）]]-商品マスタ[[#This Row],[仕入単価+国内送料]]</f>
        <v/>
      </c>
      <c r="W810" s="167">
        <f>ROUNDUP(商品マスタ[[#This Row],[仕入単価+国内送料]]/0.85,-1)</f>
        <v/>
      </c>
      <c r="X810" s="289">
        <f>商品マスタ[[#This Row],[国内定価
（15％）]]-商品マスタ[[#This Row],[仕入単価+国内送料]]</f>
        <v/>
      </c>
      <c r="Y810" s="139" t="n"/>
      <c r="Z810" s="167" t="n"/>
      <c r="AA810" s="167" t="n"/>
      <c r="AB810" s="167" t="n"/>
      <c r="AC810" s="293" t="n"/>
      <c r="AD810" s="167" t="n"/>
      <c r="AE810" s="167" t="n"/>
      <c r="AF810" s="167" t="n"/>
      <c r="AG810" s="144" t="n"/>
    </row>
    <row r="811" ht="18" customHeight="1" s="207">
      <c r="A811" s="166" t="n"/>
      <c r="B811" s="167" t="n"/>
      <c r="C811" s="167" t="n"/>
      <c r="D811" s="143">
        <f>"PRD_SNJ_"&amp;
_xlfn.XLOOKUP(商品マスタ[[#This Row],[仕入先]],テーブル1[仕入先名],テーブル1[仕入先コード],"XXX",0,1)&amp;
"_"&amp;
商品マスタ[[#This Row],[シリアル]]&amp;
"_"&amp;
TEXT(COUNTIFS(商品マスタ!$C$3:C811,商品マスタ[[#This Row],[仕入先]],商品マスタ!$E$3:E811,商品マスタ[[#This Row],[商品名]]), "00")</f>
        <v/>
      </c>
      <c r="E811" s="167" t="n"/>
      <c r="F811" s="167">
        <f>IF(COUNTIFS($C$3:C811,商品マスタ[[#This Row],[仕入先]],$E$3:E811,商品マスタ[[#This Row],[商品名]]) = 1, 1,0)</f>
        <v/>
      </c>
      <c r="G811" s="133">
        <f>TEXT(SUMIF($C$3:C811,商品マスタ[[#This Row],[仕入先]],$F$3:F811), "0000")</f>
        <v/>
      </c>
      <c r="H811" s="167" t="n"/>
      <c r="I811" s="167" t="n"/>
      <c r="J811" s="167" t="n"/>
      <c r="K811" s="167" t="n"/>
      <c r="L811" s="289" t="n"/>
      <c r="M811" s="157" t="n"/>
      <c r="N811" s="289" t="n"/>
      <c r="O811" s="290">
        <f>IF(COUNT(商品マスタ[[#This Row],[参考上代
（税込)]]) &gt; 0, (商品マスタ[[#This Row],[参考上代
（税込)]]-商品マスタ[[#This Row],[国内定価
（15％）]])/(商品マスタ[[#This Row],[参考上代
（税込)]]/1.08), "")</f>
        <v/>
      </c>
      <c r="P811" s="136" t="n">
        <v>0.1</v>
      </c>
      <c r="Q811" s="289">
        <f>商品マスタ[[#This Row],[仕入
単価]]*商品マスタ[[#This Row],[標準国内送料率]]</f>
        <v/>
      </c>
      <c r="R811" s="289" t="n"/>
      <c r="S811" s="289">
        <f>IF(ISBLANK(商品マスタ[[#This Row],[実績
国内送料]]),商品マスタ[[#This Row],[標準国内送料]],)</f>
        <v/>
      </c>
      <c r="T811" s="289">
        <f>商品マスタ[[#This Row],[仕入
単価]]+商品マスタ[[#This Row],[国内送料]]</f>
        <v/>
      </c>
      <c r="U811" s="289">
        <f>ROUNDUP(商品マスタ[[#This Row],[仕入単価+国内送料]]/0.8,-1)</f>
        <v/>
      </c>
      <c r="V811" s="289">
        <f>商品マスタ[[#This Row],[海外定価
（20％）]]-商品マスタ[[#This Row],[仕入単価+国内送料]]</f>
        <v/>
      </c>
      <c r="W811" s="167">
        <f>ROUNDUP(商品マスタ[[#This Row],[仕入単価+国内送料]]/0.85,-1)</f>
        <v/>
      </c>
      <c r="X811" s="289">
        <f>商品マスタ[[#This Row],[国内定価
（15％）]]-商品マスタ[[#This Row],[仕入単価+国内送料]]</f>
        <v/>
      </c>
      <c r="Y811" s="139" t="n"/>
      <c r="Z811" s="167" t="n"/>
      <c r="AA811" s="167" t="n"/>
      <c r="AB811" s="167" t="n"/>
      <c r="AC811" s="293" t="n"/>
      <c r="AD811" s="167" t="n"/>
      <c r="AE811" s="167" t="n"/>
      <c r="AF811" s="167" t="n"/>
      <c r="AG811" s="144" t="n"/>
    </row>
    <row r="812" ht="18" customHeight="1" s="207">
      <c r="A812" s="166" t="n"/>
      <c r="B812" s="167" t="n"/>
      <c r="C812" s="167" t="n"/>
      <c r="D812" s="143">
        <f>"PRD_SNJ_"&amp;
_xlfn.XLOOKUP(商品マスタ[[#This Row],[仕入先]],テーブル1[仕入先名],テーブル1[仕入先コード],"XXX",0,1)&amp;
"_"&amp;
商品マスタ[[#This Row],[シリアル]]&amp;
"_"&amp;
TEXT(COUNTIFS(商品マスタ!$C$3:C812,商品マスタ[[#This Row],[仕入先]],商品マスタ!$E$3:E812,商品マスタ[[#This Row],[商品名]]), "00")</f>
        <v/>
      </c>
      <c r="E812" s="167" t="n"/>
      <c r="F812" s="167">
        <f>IF(COUNTIFS($C$3:C812,商品マスタ[[#This Row],[仕入先]],$E$3:E812,商品マスタ[[#This Row],[商品名]]) = 1, 1,0)</f>
        <v/>
      </c>
      <c r="G812" s="133">
        <f>TEXT(SUMIF($C$3:C812,商品マスタ[[#This Row],[仕入先]],$F$3:F812), "0000")</f>
        <v/>
      </c>
      <c r="H812" s="167" t="n"/>
      <c r="I812" s="167" t="n"/>
      <c r="J812" s="167" t="n"/>
      <c r="K812" s="167" t="n"/>
      <c r="L812" s="289" t="n"/>
      <c r="M812" s="157" t="n"/>
      <c r="N812" s="289" t="n"/>
      <c r="O812" s="290">
        <f>IF(COUNT(商品マスタ[[#This Row],[参考上代
（税込)]]) &gt; 0, (商品マスタ[[#This Row],[参考上代
（税込)]]-商品マスタ[[#This Row],[国内定価
（15％）]])/(商品マスタ[[#This Row],[参考上代
（税込)]]/1.08), "")</f>
        <v/>
      </c>
      <c r="P812" s="136" t="n">
        <v>0.1</v>
      </c>
      <c r="Q812" s="289">
        <f>商品マスタ[[#This Row],[仕入
単価]]*商品マスタ[[#This Row],[標準国内送料率]]</f>
        <v/>
      </c>
      <c r="R812" s="289" t="n"/>
      <c r="S812" s="289">
        <f>IF(ISBLANK(商品マスタ[[#This Row],[実績
国内送料]]),商品マスタ[[#This Row],[標準国内送料]],)</f>
        <v/>
      </c>
      <c r="T812" s="289">
        <f>商品マスタ[[#This Row],[仕入
単価]]+商品マスタ[[#This Row],[国内送料]]</f>
        <v/>
      </c>
      <c r="U812" s="289">
        <f>ROUNDUP(商品マスタ[[#This Row],[仕入単価+国内送料]]/0.8,-1)</f>
        <v/>
      </c>
      <c r="V812" s="289">
        <f>商品マスタ[[#This Row],[海外定価
（20％）]]-商品マスタ[[#This Row],[仕入単価+国内送料]]</f>
        <v/>
      </c>
      <c r="W812" s="167">
        <f>ROUNDUP(商品マスタ[[#This Row],[仕入単価+国内送料]]/0.85,-1)</f>
        <v/>
      </c>
      <c r="X812" s="289">
        <f>商品マスタ[[#This Row],[国内定価
（15％）]]-商品マスタ[[#This Row],[仕入単価+国内送料]]</f>
        <v/>
      </c>
      <c r="Y812" s="139" t="n"/>
      <c r="Z812" s="167" t="n"/>
      <c r="AA812" s="167" t="n"/>
      <c r="AB812" s="167" t="n"/>
      <c r="AC812" s="293" t="n"/>
      <c r="AD812" s="167" t="n"/>
      <c r="AE812" s="167" t="n"/>
      <c r="AF812" s="167" t="n"/>
      <c r="AG812" s="144" t="n"/>
    </row>
    <row r="813" ht="18" customHeight="1" s="207">
      <c r="A813" s="166" t="n"/>
      <c r="B813" s="167" t="n"/>
      <c r="C813" s="167" t="n"/>
      <c r="D813" s="143">
        <f>"PRD_SNJ_"&amp;
_xlfn.XLOOKUP(商品マスタ[[#This Row],[仕入先]],テーブル1[仕入先名],テーブル1[仕入先コード],"XXX",0,1)&amp;
"_"&amp;
商品マスタ[[#This Row],[シリアル]]&amp;
"_"&amp;
TEXT(COUNTIFS(商品マスタ!$C$3:C813,商品マスタ[[#This Row],[仕入先]],商品マスタ!$E$3:E813,商品マスタ[[#This Row],[商品名]]), "00")</f>
        <v/>
      </c>
      <c r="E813" s="167" t="n"/>
      <c r="F813" s="167">
        <f>IF(COUNTIFS($C$3:C813,商品マスタ[[#This Row],[仕入先]],$E$3:E813,商品マスタ[[#This Row],[商品名]]) = 1, 1,0)</f>
        <v/>
      </c>
      <c r="G813" s="133">
        <f>TEXT(SUMIF($C$3:C813,商品マスタ[[#This Row],[仕入先]],$F$3:F813), "0000")</f>
        <v/>
      </c>
      <c r="H813" s="167" t="n"/>
      <c r="I813" s="167" t="n"/>
      <c r="J813" s="167" t="n"/>
      <c r="K813" s="167" t="n"/>
      <c r="L813" s="289" t="n"/>
      <c r="M813" s="157" t="n"/>
      <c r="N813" s="289" t="n"/>
      <c r="O813" s="290">
        <f>IF(COUNT(商品マスタ[[#This Row],[参考上代
（税込)]]) &gt; 0, (商品マスタ[[#This Row],[参考上代
（税込)]]-商品マスタ[[#This Row],[国内定価
（15％）]])/(商品マスタ[[#This Row],[参考上代
（税込)]]/1.08), "")</f>
        <v/>
      </c>
      <c r="P813" s="136" t="n">
        <v>0.1</v>
      </c>
      <c r="Q813" s="289">
        <f>商品マスタ[[#This Row],[仕入
単価]]*商品マスタ[[#This Row],[標準国内送料率]]</f>
        <v/>
      </c>
      <c r="R813" s="289" t="n"/>
      <c r="S813" s="289">
        <f>IF(ISBLANK(商品マスタ[[#This Row],[実績
国内送料]]),商品マスタ[[#This Row],[標準国内送料]],)</f>
        <v/>
      </c>
      <c r="T813" s="289">
        <f>商品マスタ[[#This Row],[仕入
単価]]+商品マスタ[[#This Row],[国内送料]]</f>
        <v/>
      </c>
      <c r="U813" s="289">
        <f>ROUNDUP(商品マスタ[[#This Row],[仕入単価+国内送料]]/0.8,-1)</f>
        <v/>
      </c>
      <c r="V813" s="289">
        <f>商品マスタ[[#This Row],[海外定価
（20％）]]-商品マスタ[[#This Row],[仕入単価+国内送料]]</f>
        <v/>
      </c>
      <c r="W813" s="167">
        <f>ROUNDUP(商品マスタ[[#This Row],[仕入単価+国内送料]]/0.85,-1)</f>
        <v/>
      </c>
      <c r="X813" s="289">
        <f>商品マスタ[[#This Row],[国内定価
（15％）]]-商品マスタ[[#This Row],[仕入単価+国内送料]]</f>
        <v/>
      </c>
      <c r="Y813" s="139" t="n"/>
      <c r="Z813" s="167" t="n"/>
      <c r="AA813" s="167" t="n"/>
      <c r="AB813" s="167" t="n"/>
      <c r="AC813" s="293" t="n"/>
      <c r="AD813" s="167" t="n"/>
      <c r="AE813" s="167" t="n"/>
      <c r="AF813" s="167" t="n"/>
      <c r="AG813" s="144" t="n"/>
    </row>
    <row r="814" ht="18" customHeight="1" s="207">
      <c r="A814" s="166" t="n"/>
      <c r="B814" s="167" t="n"/>
      <c r="C814" s="167" t="n"/>
      <c r="D814" s="143">
        <f>"PRD_SNJ_"&amp;
_xlfn.XLOOKUP(商品マスタ[[#This Row],[仕入先]],テーブル1[仕入先名],テーブル1[仕入先コード],"XXX",0,1)&amp;
"_"&amp;
商品マスタ[[#This Row],[シリアル]]&amp;
"_"&amp;
TEXT(COUNTIFS(商品マスタ!$C$3:C814,商品マスタ[[#This Row],[仕入先]],商品マスタ!$E$3:E814,商品マスタ[[#This Row],[商品名]]), "00")</f>
        <v/>
      </c>
      <c r="E814" s="167" t="n"/>
      <c r="F814" s="167">
        <f>IF(COUNTIFS($C$3:C814,商品マスタ[[#This Row],[仕入先]],$E$3:E814,商品マスタ[[#This Row],[商品名]]) = 1, 1,0)</f>
        <v/>
      </c>
      <c r="G814" s="133">
        <f>TEXT(SUMIF($C$3:C814,商品マスタ[[#This Row],[仕入先]],$F$3:F814), "0000")</f>
        <v/>
      </c>
      <c r="H814" s="167" t="n"/>
      <c r="I814" s="167" t="n"/>
      <c r="J814" s="167" t="n"/>
      <c r="K814" s="167" t="n"/>
      <c r="L814" s="289" t="n"/>
      <c r="M814" s="157" t="n"/>
      <c r="N814" s="289" t="n"/>
      <c r="O814" s="290">
        <f>IF(COUNT(商品マスタ[[#This Row],[参考上代
（税込)]]) &gt; 0, (商品マスタ[[#This Row],[参考上代
（税込)]]-商品マスタ[[#This Row],[国内定価
（15％）]])/(商品マスタ[[#This Row],[参考上代
（税込)]]/1.08), "")</f>
        <v/>
      </c>
      <c r="P814" s="136" t="n">
        <v>0.1</v>
      </c>
      <c r="Q814" s="289">
        <f>商品マスタ[[#This Row],[仕入
単価]]*商品マスタ[[#This Row],[標準国内送料率]]</f>
        <v/>
      </c>
      <c r="R814" s="289" t="n"/>
      <c r="S814" s="289">
        <f>IF(ISBLANK(商品マスタ[[#This Row],[実績
国内送料]]),商品マスタ[[#This Row],[標準国内送料]],)</f>
        <v/>
      </c>
      <c r="T814" s="289">
        <f>商品マスタ[[#This Row],[仕入
単価]]+商品マスタ[[#This Row],[国内送料]]</f>
        <v/>
      </c>
      <c r="U814" s="289">
        <f>ROUNDUP(商品マスタ[[#This Row],[仕入単価+国内送料]]/0.8,-1)</f>
        <v/>
      </c>
      <c r="V814" s="289">
        <f>商品マスタ[[#This Row],[海外定価
（20％）]]-商品マスタ[[#This Row],[仕入単価+国内送料]]</f>
        <v/>
      </c>
      <c r="W814" s="167">
        <f>ROUNDUP(商品マスタ[[#This Row],[仕入単価+国内送料]]/0.85,-1)</f>
        <v/>
      </c>
      <c r="X814" s="289">
        <f>商品マスタ[[#This Row],[国内定価
（15％）]]-商品マスタ[[#This Row],[仕入単価+国内送料]]</f>
        <v/>
      </c>
      <c r="Y814" s="139" t="n"/>
      <c r="Z814" s="167" t="n"/>
      <c r="AA814" s="167" t="n"/>
      <c r="AB814" s="167" t="n"/>
      <c r="AC814" s="293" t="n"/>
      <c r="AD814" s="167" t="n"/>
      <c r="AE814" s="167" t="n"/>
      <c r="AF814" s="167" t="n"/>
      <c r="AG814" s="144" t="n"/>
    </row>
    <row r="815" ht="18" customHeight="1" s="207">
      <c r="A815" s="166" t="n"/>
      <c r="B815" s="167" t="n"/>
      <c r="C815" s="167" t="n"/>
      <c r="D815" s="143">
        <f>"PRD_SNJ_"&amp;
_xlfn.XLOOKUP(商品マスタ[[#This Row],[仕入先]],テーブル1[仕入先名],テーブル1[仕入先コード],"XXX",0,1)&amp;
"_"&amp;
商品マスタ[[#This Row],[シリアル]]&amp;
"_"&amp;
TEXT(COUNTIFS(商品マスタ!$C$3:C815,商品マスタ[[#This Row],[仕入先]],商品マスタ!$E$3:E815,商品マスタ[[#This Row],[商品名]]), "00")</f>
        <v/>
      </c>
      <c r="E815" s="167" t="n"/>
      <c r="F815" s="167">
        <f>IF(COUNTIFS($C$3:C815,商品マスタ[[#This Row],[仕入先]],$E$3:E815,商品マスタ[[#This Row],[商品名]]) = 1, 1,0)</f>
        <v/>
      </c>
      <c r="G815" s="133">
        <f>TEXT(SUMIF($C$3:C815,商品マスタ[[#This Row],[仕入先]],$F$3:F815), "0000")</f>
        <v/>
      </c>
      <c r="H815" s="167" t="n"/>
      <c r="I815" s="167" t="n"/>
      <c r="J815" s="167" t="n"/>
      <c r="K815" s="167" t="n"/>
      <c r="L815" s="289" t="n"/>
      <c r="M815" s="157" t="n"/>
      <c r="N815" s="289" t="n"/>
      <c r="O815" s="290">
        <f>IF(COUNT(商品マスタ[[#This Row],[参考上代
（税込)]]) &gt; 0, (商品マスタ[[#This Row],[参考上代
（税込)]]-商品マスタ[[#This Row],[国内定価
（15％）]])/(商品マスタ[[#This Row],[参考上代
（税込)]]/1.08), "")</f>
        <v/>
      </c>
      <c r="P815" s="136" t="n">
        <v>0.1</v>
      </c>
      <c r="Q815" s="289">
        <f>商品マスタ[[#This Row],[仕入
単価]]*商品マスタ[[#This Row],[標準国内送料率]]</f>
        <v/>
      </c>
      <c r="R815" s="289" t="n"/>
      <c r="S815" s="289">
        <f>IF(ISBLANK(商品マスタ[[#This Row],[実績
国内送料]]),商品マスタ[[#This Row],[標準国内送料]],)</f>
        <v/>
      </c>
      <c r="T815" s="289">
        <f>商品マスタ[[#This Row],[仕入
単価]]+商品マスタ[[#This Row],[国内送料]]</f>
        <v/>
      </c>
      <c r="U815" s="289">
        <f>ROUNDUP(商品マスタ[[#This Row],[仕入単価+国内送料]]/0.8,-1)</f>
        <v/>
      </c>
      <c r="V815" s="289">
        <f>商品マスタ[[#This Row],[海外定価
（20％）]]-商品マスタ[[#This Row],[仕入単価+国内送料]]</f>
        <v/>
      </c>
      <c r="W815" s="167">
        <f>ROUNDUP(商品マスタ[[#This Row],[仕入単価+国内送料]]/0.85,-1)</f>
        <v/>
      </c>
      <c r="X815" s="289">
        <f>商品マスタ[[#This Row],[国内定価
（15％）]]-商品マスタ[[#This Row],[仕入単価+国内送料]]</f>
        <v/>
      </c>
      <c r="Y815" s="139" t="n"/>
      <c r="Z815" s="167" t="n"/>
      <c r="AA815" s="167" t="n"/>
      <c r="AB815" s="167" t="n"/>
      <c r="AC815" s="293" t="n"/>
      <c r="AD815" s="167" t="n"/>
      <c r="AE815" s="167" t="n"/>
      <c r="AF815" s="167" t="n"/>
      <c r="AG815" s="144" t="n"/>
    </row>
    <row r="816" ht="18" customHeight="1" s="207">
      <c r="A816" s="166" t="n"/>
      <c r="B816" s="167" t="n"/>
      <c r="C816" s="167" t="n"/>
      <c r="D816" s="143">
        <f>"PRD_SNJ_"&amp;
_xlfn.XLOOKUP(商品マスタ[[#This Row],[仕入先]],テーブル1[仕入先名],テーブル1[仕入先コード],"XXX",0,1)&amp;
"_"&amp;
商品マスタ[[#This Row],[シリアル]]&amp;
"_"&amp;
TEXT(COUNTIFS(商品マスタ!$C$3:C816,商品マスタ[[#This Row],[仕入先]],商品マスタ!$E$3:E816,商品マスタ[[#This Row],[商品名]]), "00")</f>
        <v/>
      </c>
      <c r="E816" s="167" t="n"/>
      <c r="F816" s="167">
        <f>IF(COUNTIFS($C$3:C816,商品マスタ[[#This Row],[仕入先]],$E$3:E816,商品マスタ[[#This Row],[商品名]]) = 1, 1,0)</f>
        <v/>
      </c>
      <c r="G816" s="133">
        <f>TEXT(SUMIF($C$3:C816,商品マスタ[[#This Row],[仕入先]],$F$3:F816), "0000")</f>
        <v/>
      </c>
      <c r="H816" s="167" t="n"/>
      <c r="I816" s="167" t="n"/>
      <c r="J816" s="167" t="n"/>
      <c r="K816" s="167" t="n"/>
      <c r="L816" s="289" t="n"/>
      <c r="M816" s="157" t="n"/>
      <c r="N816" s="289" t="n"/>
      <c r="O816" s="290">
        <f>IF(COUNT(商品マスタ[[#This Row],[参考上代
（税込)]]) &gt; 0, (商品マスタ[[#This Row],[参考上代
（税込)]]-商品マスタ[[#This Row],[国内定価
（15％）]])/(商品マスタ[[#This Row],[参考上代
（税込)]]/1.08), "")</f>
        <v/>
      </c>
      <c r="P816" s="136" t="n">
        <v>0.1</v>
      </c>
      <c r="Q816" s="289">
        <f>商品マスタ[[#This Row],[仕入
単価]]*商品マスタ[[#This Row],[標準国内送料率]]</f>
        <v/>
      </c>
      <c r="R816" s="289" t="n"/>
      <c r="S816" s="289">
        <f>IF(ISBLANK(商品マスタ[[#This Row],[実績
国内送料]]),商品マスタ[[#This Row],[標準国内送料]],)</f>
        <v/>
      </c>
      <c r="T816" s="289">
        <f>商品マスタ[[#This Row],[仕入
単価]]+商品マスタ[[#This Row],[国内送料]]</f>
        <v/>
      </c>
      <c r="U816" s="289">
        <f>ROUNDUP(商品マスタ[[#This Row],[仕入単価+国内送料]]/0.8,-1)</f>
        <v/>
      </c>
      <c r="V816" s="289">
        <f>商品マスタ[[#This Row],[海外定価
（20％）]]-商品マスタ[[#This Row],[仕入単価+国内送料]]</f>
        <v/>
      </c>
      <c r="W816" s="167">
        <f>ROUNDUP(商品マスタ[[#This Row],[仕入単価+国内送料]]/0.85,-1)</f>
        <v/>
      </c>
      <c r="X816" s="289">
        <f>商品マスタ[[#This Row],[国内定価
（15％）]]-商品マスタ[[#This Row],[仕入単価+国内送料]]</f>
        <v/>
      </c>
      <c r="Y816" s="139" t="n"/>
      <c r="Z816" s="167" t="n"/>
      <c r="AA816" s="167" t="n"/>
      <c r="AB816" s="167" t="n"/>
      <c r="AC816" s="293" t="n"/>
      <c r="AD816" s="167" t="n"/>
      <c r="AE816" s="167" t="n"/>
      <c r="AF816" s="167" t="n"/>
      <c r="AG816" s="144" t="n"/>
    </row>
    <row r="817" ht="18" customHeight="1" s="207">
      <c r="A817" s="166" t="n"/>
      <c r="B817" s="167" t="n"/>
      <c r="C817" s="167" t="n"/>
      <c r="D817" s="143">
        <f>"PRD_SNJ_"&amp;
_xlfn.XLOOKUP(商品マスタ[[#This Row],[仕入先]],テーブル1[仕入先名],テーブル1[仕入先コード],"XXX",0,1)&amp;
"_"&amp;
商品マスタ[[#This Row],[シリアル]]&amp;
"_"&amp;
TEXT(COUNTIFS(商品マスタ!$C$3:C817,商品マスタ[[#This Row],[仕入先]],商品マスタ!$E$3:E817,商品マスタ[[#This Row],[商品名]]), "00")</f>
        <v/>
      </c>
      <c r="E817" s="167" t="n"/>
      <c r="F817" s="167">
        <f>IF(COUNTIFS($C$3:C817,商品マスタ[[#This Row],[仕入先]],$E$3:E817,商品マスタ[[#This Row],[商品名]]) = 1, 1,0)</f>
        <v/>
      </c>
      <c r="G817" s="133">
        <f>TEXT(SUMIF($C$3:C817,商品マスタ[[#This Row],[仕入先]],$F$3:F817), "0000")</f>
        <v/>
      </c>
      <c r="H817" s="167" t="n"/>
      <c r="I817" s="167" t="n"/>
      <c r="J817" s="167" t="n"/>
      <c r="K817" s="167" t="n"/>
      <c r="L817" s="289" t="n"/>
      <c r="M817" s="157" t="n"/>
      <c r="N817" s="289" t="n"/>
      <c r="O817" s="290">
        <f>IF(COUNT(商品マスタ[[#This Row],[参考上代
（税込)]]) &gt; 0, (商品マスタ[[#This Row],[参考上代
（税込)]]-商品マスタ[[#This Row],[国内定価
（15％）]])/(商品マスタ[[#This Row],[参考上代
（税込)]]/1.08), "")</f>
        <v/>
      </c>
      <c r="P817" s="136" t="n">
        <v>0.1</v>
      </c>
      <c r="Q817" s="289">
        <f>商品マスタ[[#This Row],[仕入
単価]]*商品マスタ[[#This Row],[標準国内送料率]]</f>
        <v/>
      </c>
      <c r="R817" s="289" t="n"/>
      <c r="S817" s="289">
        <f>IF(ISBLANK(商品マスタ[[#This Row],[実績
国内送料]]),商品マスタ[[#This Row],[標準国内送料]],)</f>
        <v/>
      </c>
      <c r="T817" s="289">
        <f>商品マスタ[[#This Row],[仕入
単価]]+商品マスタ[[#This Row],[国内送料]]</f>
        <v/>
      </c>
      <c r="U817" s="289">
        <f>ROUNDUP(商品マスタ[[#This Row],[仕入単価+国内送料]]/0.8,-1)</f>
        <v/>
      </c>
      <c r="V817" s="289">
        <f>商品マスタ[[#This Row],[海外定価
（20％）]]-商品マスタ[[#This Row],[仕入単価+国内送料]]</f>
        <v/>
      </c>
      <c r="W817" s="167">
        <f>ROUNDUP(商品マスタ[[#This Row],[仕入単価+国内送料]]/0.85,-1)</f>
        <v/>
      </c>
      <c r="X817" s="289">
        <f>商品マスタ[[#This Row],[国内定価
（15％）]]-商品マスタ[[#This Row],[仕入単価+国内送料]]</f>
        <v/>
      </c>
      <c r="Y817" s="139" t="n"/>
      <c r="Z817" s="167" t="n"/>
      <c r="AA817" s="167" t="n"/>
      <c r="AB817" s="167" t="n"/>
      <c r="AC817" s="293" t="n"/>
      <c r="AD817" s="167" t="n"/>
      <c r="AE817" s="167" t="n"/>
      <c r="AF817" s="167" t="n"/>
      <c r="AG817" s="144" t="n"/>
    </row>
    <row r="818" ht="18" customHeight="1" s="207">
      <c r="A818" s="166" t="n"/>
      <c r="B818" s="167" t="n"/>
      <c r="C818" s="167" t="n"/>
      <c r="D818" s="143">
        <f>"PRD_SNJ_"&amp;
_xlfn.XLOOKUP(商品マスタ[[#This Row],[仕入先]],テーブル1[仕入先名],テーブル1[仕入先コード],"XXX",0,1)&amp;
"_"&amp;
商品マスタ[[#This Row],[シリアル]]&amp;
"_"&amp;
TEXT(COUNTIFS(商品マスタ!$C$3:C818,商品マスタ[[#This Row],[仕入先]],商品マスタ!$E$3:E818,商品マスタ[[#This Row],[商品名]]), "00")</f>
        <v/>
      </c>
      <c r="E818" s="167" t="n"/>
      <c r="F818" s="167">
        <f>IF(COUNTIFS($C$3:C818,商品マスタ[[#This Row],[仕入先]],$E$3:E818,商品マスタ[[#This Row],[商品名]]) = 1, 1,0)</f>
        <v/>
      </c>
      <c r="G818" s="133">
        <f>TEXT(SUMIF($C$3:C818,商品マスタ[[#This Row],[仕入先]],$F$3:F818), "0000")</f>
        <v/>
      </c>
      <c r="H818" s="167" t="n"/>
      <c r="I818" s="167" t="n"/>
      <c r="J818" s="167" t="n"/>
      <c r="K818" s="167" t="n"/>
      <c r="L818" s="289" t="n"/>
      <c r="M818" s="157" t="n"/>
      <c r="N818" s="289" t="n"/>
      <c r="O818" s="290">
        <f>IF(COUNT(商品マスタ[[#This Row],[参考上代
（税込)]]) &gt; 0, (商品マスタ[[#This Row],[参考上代
（税込)]]-商品マスタ[[#This Row],[国内定価
（15％）]])/(商品マスタ[[#This Row],[参考上代
（税込)]]/1.08), "")</f>
        <v/>
      </c>
      <c r="P818" s="136" t="n">
        <v>0.1</v>
      </c>
      <c r="Q818" s="289">
        <f>商品マスタ[[#This Row],[仕入
単価]]*商品マスタ[[#This Row],[標準国内送料率]]</f>
        <v/>
      </c>
      <c r="R818" s="289" t="n"/>
      <c r="S818" s="289">
        <f>IF(ISBLANK(商品マスタ[[#This Row],[実績
国内送料]]),商品マスタ[[#This Row],[標準国内送料]],)</f>
        <v/>
      </c>
      <c r="T818" s="289">
        <f>商品マスタ[[#This Row],[仕入
単価]]+商品マスタ[[#This Row],[国内送料]]</f>
        <v/>
      </c>
      <c r="U818" s="289">
        <f>ROUNDUP(商品マスタ[[#This Row],[仕入単価+国内送料]]/0.8,-1)</f>
        <v/>
      </c>
      <c r="V818" s="289">
        <f>商品マスタ[[#This Row],[海外定価
（20％）]]-商品マスタ[[#This Row],[仕入単価+国内送料]]</f>
        <v/>
      </c>
      <c r="W818" s="167">
        <f>ROUNDUP(商品マスタ[[#This Row],[仕入単価+国内送料]]/0.85,-1)</f>
        <v/>
      </c>
      <c r="X818" s="289">
        <f>商品マスタ[[#This Row],[国内定価
（15％）]]-商品マスタ[[#This Row],[仕入単価+国内送料]]</f>
        <v/>
      </c>
      <c r="Y818" s="139" t="n"/>
      <c r="Z818" s="167" t="n"/>
      <c r="AA818" s="167" t="n"/>
      <c r="AB818" s="167" t="n"/>
      <c r="AC818" s="293" t="n"/>
      <c r="AD818" s="167" t="n"/>
      <c r="AE818" s="167" t="n"/>
      <c r="AF818" s="167" t="n"/>
      <c r="AG818" s="144" t="n"/>
    </row>
    <row r="819" ht="18" customHeight="1" s="207">
      <c r="A819" s="166" t="n"/>
      <c r="B819" s="167" t="n"/>
      <c r="C819" s="167" t="n"/>
      <c r="D819" s="143">
        <f>"PRD_SNJ_"&amp;
_xlfn.XLOOKUP(商品マスタ[[#This Row],[仕入先]],テーブル1[仕入先名],テーブル1[仕入先コード],"XXX",0,1)&amp;
"_"&amp;
商品マスタ[[#This Row],[シリアル]]&amp;
"_"&amp;
TEXT(COUNTIFS(商品マスタ!$C$3:C819,商品マスタ[[#This Row],[仕入先]],商品マスタ!$E$3:E819,商品マスタ[[#This Row],[商品名]]), "00")</f>
        <v/>
      </c>
      <c r="E819" s="167" t="n"/>
      <c r="F819" s="167">
        <f>IF(COUNTIFS($C$3:C819,商品マスタ[[#This Row],[仕入先]],$E$3:E819,商品マスタ[[#This Row],[商品名]]) = 1, 1,0)</f>
        <v/>
      </c>
      <c r="G819" s="133">
        <f>TEXT(SUMIF($C$3:C819,商品マスタ[[#This Row],[仕入先]],$F$3:F819), "0000")</f>
        <v/>
      </c>
      <c r="H819" s="167" t="n"/>
      <c r="I819" s="167" t="n"/>
      <c r="J819" s="167" t="n"/>
      <c r="K819" s="167" t="n"/>
      <c r="L819" s="289" t="n"/>
      <c r="M819" s="157" t="n"/>
      <c r="N819" s="289" t="n"/>
      <c r="O819" s="290">
        <f>IF(COUNT(商品マスタ[[#This Row],[参考上代
（税込)]]) &gt; 0, (商品マスタ[[#This Row],[参考上代
（税込)]]-商品マスタ[[#This Row],[国内定価
（15％）]])/(商品マスタ[[#This Row],[参考上代
（税込)]]/1.08), "")</f>
        <v/>
      </c>
      <c r="P819" s="136" t="n">
        <v>0.1</v>
      </c>
      <c r="Q819" s="289">
        <f>商品マスタ[[#This Row],[仕入
単価]]*商品マスタ[[#This Row],[標準国内送料率]]</f>
        <v/>
      </c>
      <c r="R819" s="289" t="n"/>
      <c r="S819" s="289">
        <f>IF(ISBLANK(商品マスタ[[#This Row],[実績
国内送料]]),商品マスタ[[#This Row],[標準国内送料]],)</f>
        <v/>
      </c>
      <c r="T819" s="289">
        <f>商品マスタ[[#This Row],[仕入
単価]]+商品マスタ[[#This Row],[国内送料]]</f>
        <v/>
      </c>
      <c r="U819" s="289">
        <f>ROUNDUP(商品マスタ[[#This Row],[仕入単価+国内送料]]/0.8,-1)</f>
        <v/>
      </c>
      <c r="V819" s="289">
        <f>商品マスタ[[#This Row],[海外定価
（20％）]]-商品マスタ[[#This Row],[仕入単価+国内送料]]</f>
        <v/>
      </c>
      <c r="W819" s="167">
        <f>ROUNDUP(商品マスタ[[#This Row],[仕入単価+国内送料]]/0.85,-1)</f>
        <v/>
      </c>
      <c r="X819" s="289">
        <f>商品マスタ[[#This Row],[国内定価
（15％）]]-商品マスタ[[#This Row],[仕入単価+国内送料]]</f>
        <v/>
      </c>
      <c r="Y819" s="139" t="n"/>
      <c r="Z819" s="167" t="n"/>
      <c r="AA819" s="167" t="n"/>
      <c r="AB819" s="167" t="n"/>
      <c r="AC819" s="293" t="n"/>
      <c r="AD819" s="167" t="n"/>
      <c r="AE819" s="167" t="n"/>
      <c r="AF819" s="167" t="n"/>
      <c r="AG819" s="144" t="n"/>
    </row>
    <row r="820" ht="18" customHeight="1" s="207">
      <c r="A820" s="166" t="n"/>
      <c r="B820" s="167" t="n"/>
      <c r="C820" s="167" t="n"/>
      <c r="D820" s="143">
        <f>"PRD_SNJ_"&amp;
_xlfn.XLOOKUP(商品マスタ[[#This Row],[仕入先]],テーブル1[仕入先名],テーブル1[仕入先コード],"XXX",0,1)&amp;
"_"&amp;
商品マスタ[[#This Row],[シリアル]]&amp;
"_"&amp;
TEXT(COUNTIFS(商品マスタ!$C$3:C820,商品マスタ[[#This Row],[仕入先]],商品マスタ!$E$3:E820,商品マスタ[[#This Row],[商品名]]), "00")</f>
        <v/>
      </c>
      <c r="E820" s="167" t="n"/>
      <c r="F820" s="167">
        <f>IF(COUNTIFS($C$3:C820,商品マスタ[[#This Row],[仕入先]],$E$3:E820,商品マスタ[[#This Row],[商品名]]) = 1, 1,0)</f>
        <v/>
      </c>
      <c r="G820" s="133">
        <f>TEXT(SUMIF($C$3:C820,商品マスタ[[#This Row],[仕入先]],$F$3:F820), "0000")</f>
        <v/>
      </c>
      <c r="H820" s="167" t="n"/>
      <c r="I820" s="167" t="n"/>
      <c r="J820" s="167" t="n"/>
      <c r="K820" s="167" t="n"/>
      <c r="L820" s="289" t="n"/>
      <c r="M820" s="157" t="n"/>
      <c r="N820" s="289" t="n"/>
      <c r="O820" s="290">
        <f>IF(COUNT(商品マスタ[[#This Row],[参考上代
（税込)]]) &gt; 0, (商品マスタ[[#This Row],[参考上代
（税込)]]-商品マスタ[[#This Row],[国内定価
（15％）]])/(商品マスタ[[#This Row],[参考上代
（税込)]]/1.08), "")</f>
        <v/>
      </c>
      <c r="P820" s="136" t="n">
        <v>0.1</v>
      </c>
      <c r="Q820" s="289">
        <f>商品マスタ[[#This Row],[仕入
単価]]*商品マスタ[[#This Row],[標準国内送料率]]</f>
        <v/>
      </c>
      <c r="R820" s="289" t="n"/>
      <c r="S820" s="289">
        <f>IF(ISBLANK(商品マスタ[[#This Row],[実績
国内送料]]),商品マスタ[[#This Row],[標準国内送料]],)</f>
        <v/>
      </c>
      <c r="T820" s="289">
        <f>商品マスタ[[#This Row],[仕入
単価]]+商品マスタ[[#This Row],[国内送料]]</f>
        <v/>
      </c>
      <c r="U820" s="289">
        <f>ROUNDUP(商品マスタ[[#This Row],[仕入単価+国内送料]]/0.8,-1)</f>
        <v/>
      </c>
      <c r="V820" s="289">
        <f>商品マスタ[[#This Row],[海外定価
（20％）]]-商品マスタ[[#This Row],[仕入単価+国内送料]]</f>
        <v/>
      </c>
      <c r="W820" s="167">
        <f>ROUNDUP(商品マスタ[[#This Row],[仕入単価+国内送料]]/0.85,-1)</f>
        <v/>
      </c>
      <c r="X820" s="289">
        <f>商品マスタ[[#This Row],[国内定価
（15％）]]-商品マスタ[[#This Row],[仕入単価+国内送料]]</f>
        <v/>
      </c>
      <c r="Y820" s="139" t="n"/>
      <c r="Z820" s="167" t="n"/>
      <c r="AA820" s="167" t="n"/>
      <c r="AB820" s="167" t="n"/>
      <c r="AC820" s="293" t="n"/>
      <c r="AD820" s="167" t="n"/>
      <c r="AE820" s="167" t="n"/>
      <c r="AF820" s="167" t="n"/>
      <c r="AG820" s="144" t="n"/>
    </row>
    <row r="821" ht="18" customHeight="1" s="207">
      <c r="A821" s="166" t="n"/>
      <c r="B821" s="167" t="n"/>
      <c r="C821" s="167" t="n"/>
      <c r="D821" s="143">
        <f>"PRD_SNJ_"&amp;
_xlfn.XLOOKUP(商品マスタ[[#This Row],[仕入先]],テーブル1[仕入先名],テーブル1[仕入先コード],"XXX",0,1)&amp;
"_"&amp;
商品マスタ[[#This Row],[シリアル]]&amp;
"_"&amp;
TEXT(COUNTIFS(商品マスタ!$C$3:C821,商品マスタ[[#This Row],[仕入先]],商品マスタ!$E$3:E821,商品マスタ[[#This Row],[商品名]]), "00")</f>
        <v/>
      </c>
      <c r="E821" s="167" t="n"/>
      <c r="F821" s="167">
        <f>IF(COUNTIFS($C$3:C821,商品マスタ[[#This Row],[仕入先]],$E$3:E821,商品マスタ[[#This Row],[商品名]]) = 1, 1,0)</f>
        <v/>
      </c>
      <c r="G821" s="133">
        <f>TEXT(SUMIF($C$3:C821,商品マスタ[[#This Row],[仕入先]],$F$3:F821), "0000")</f>
        <v/>
      </c>
      <c r="H821" s="167" t="n"/>
      <c r="I821" s="167" t="n"/>
      <c r="J821" s="167" t="n"/>
      <c r="K821" s="167" t="n"/>
      <c r="L821" s="289" t="n"/>
      <c r="M821" s="157" t="n"/>
      <c r="N821" s="289" t="n"/>
      <c r="O821" s="290">
        <f>IF(COUNT(商品マスタ[[#This Row],[参考上代
（税込)]]) &gt; 0, (商品マスタ[[#This Row],[参考上代
（税込)]]-商品マスタ[[#This Row],[国内定価
（15％）]])/(商品マスタ[[#This Row],[参考上代
（税込)]]/1.08), "")</f>
        <v/>
      </c>
      <c r="P821" s="136" t="n">
        <v>0.1</v>
      </c>
      <c r="Q821" s="289">
        <f>商品マスタ[[#This Row],[仕入
単価]]*商品マスタ[[#This Row],[標準国内送料率]]</f>
        <v/>
      </c>
      <c r="R821" s="289" t="n"/>
      <c r="S821" s="289">
        <f>IF(ISBLANK(商品マスタ[[#This Row],[実績
国内送料]]),商品マスタ[[#This Row],[標準国内送料]],)</f>
        <v/>
      </c>
      <c r="T821" s="289">
        <f>商品マスタ[[#This Row],[仕入
単価]]+商品マスタ[[#This Row],[国内送料]]</f>
        <v/>
      </c>
      <c r="U821" s="289">
        <f>ROUNDUP(商品マスタ[[#This Row],[仕入単価+国内送料]]/0.8,-1)</f>
        <v/>
      </c>
      <c r="V821" s="289">
        <f>商品マスタ[[#This Row],[海外定価
（20％）]]-商品マスタ[[#This Row],[仕入単価+国内送料]]</f>
        <v/>
      </c>
      <c r="W821" s="167">
        <f>ROUNDUP(商品マスタ[[#This Row],[仕入単価+国内送料]]/0.85,-1)</f>
        <v/>
      </c>
      <c r="X821" s="289">
        <f>商品マスタ[[#This Row],[国内定価
（15％）]]-商品マスタ[[#This Row],[仕入単価+国内送料]]</f>
        <v/>
      </c>
      <c r="Y821" s="139" t="n"/>
      <c r="Z821" s="167" t="n"/>
      <c r="AA821" s="167" t="n"/>
      <c r="AB821" s="167" t="n"/>
      <c r="AC821" s="293" t="n"/>
      <c r="AD821" s="167" t="n"/>
      <c r="AE821" s="167" t="n"/>
      <c r="AF821" s="167" t="n"/>
      <c r="AG821" s="144" t="n"/>
    </row>
    <row r="822" ht="18" customHeight="1" s="207">
      <c r="A822" s="166" t="n"/>
      <c r="B822" s="167" t="n"/>
      <c r="C822" s="167" t="n"/>
      <c r="D822" s="143">
        <f>"PRD_SNJ_"&amp;
_xlfn.XLOOKUP(商品マスタ[[#This Row],[仕入先]],テーブル1[仕入先名],テーブル1[仕入先コード],"XXX",0,1)&amp;
"_"&amp;
商品マスタ[[#This Row],[シリアル]]&amp;
"_"&amp;
TEXT(COUNTIFS(商品マスタ!$C$3:C822,商品マスタ[[#This Row],[仕入先]],商品マスタ!$E$3:E822,商品マスタ[[#This Row],[商品名]]), "00")</f>
        <v/>
      </c>
      <c r="E822" s="167" t="n"/>
      <c r="F822" s="167">
        <f>IF(COUNTIFS($C$3:C822,商品マスタ[[#This Row],[仕入先]],$E$3:E822,商品マスタ[[#This Row],[商品名]]) = 1, 1,0)</f>
        <v/>
      </c>
      <c r="G822" s="133">
        <f>TEXT(SUMIF($C$3:C822,商品マスタ[[#This Row],[仕入先]],$F$3:F822), "0000")</f>
        <v/>
      </c>
      <c r="H822" s="167" t="n"/>
      <c r="I822" s="167" t="n"/>
      <c r="J822" s="167" t="n"/>
      <c r="K822" s="167" t="n"/>
      <c r="L822" s="289" t="n"/>
      <c r="M822" s="157" t="n"/>
      <c r="N822" s="289" t="n"/>
      <c r="O822" s="290">
        <f>IF(COUNT(商品マスタ[[#This Row],[参考上代
（税込)]]) &gt; 0, (商品マスタ[[#This Row],[参考上代
（税込)]]-商品マスタ[[#This Row],[国内定価
（15％）]])/(商品マスタ[[#This Row],[参考上代
（税込)]]/1.08), "")</f>
        <v/>
      </c>
      <c r="P822" s="136" t="n">
        <v>0.1</v>
      </c>
      <c r="Q822" s="289">
        <f>商品マスタ[[#This Row],[仕入
単価]]*商品マスタ[[#This Row],[標準国内送料率]]</f>
        <v/>
      </c>
      <c r="R822" s="289" t="n"/>
      <c r="S822" s="289">
        <f>IF(ISBLANK(商品マスタ[[#This Row],[実績
国内送料]]),商品マスタ[[#This Row],[標準国内送料]],)</f>
        <v/>
      </c>
      <c r="T822" s="289">
        <f>商品マスタ[[#This Row],[仕入
単価]]+商品マスタ[[#This Row],[国内送料]]</f>
        <v/>
      </c>
      <c r="U822" s="289">
        <f>ROUNDUP(商品マスタ[[#This Row],[仕入単価+国内送料]]/0.8,-1)</f>
        <v/>
      </c>
      <c r="V822" s="289">
        <f>商品マスタ[[#This Row],[海外定価
（20％）]]-商品マスタ[[#This Row],[仕入単価+国内送料]]</f>
        <v/>
      </c>
      <c r="W822" s="167">
        <f>ROUNDUP(商品マスタ[[#This Row],[仕入単価+国内送料]]/0.85,-1)</f>
        <v/>
      </c>
      <c r="X822" s="289">
        <f>商品マスタ[[#This Row],[国内定価
（15％）]]-商品マスタ[[#This Row],[仕入単価+国内送料]]</f>
        <v/>
      </c>
      <c r="Y822" s="139" t="n"/>
      <c r="Z822" s="167" t="n"/>
      <c r="AA822" s="167" t="n"/>
      <c r="AB822" s="167" t="n"/>
      <c r="AC822" s="293" t="n"/>
      <c r="AD822" s="167" t="n"/>
      <c r="AE822" s="167" t="n"/>
      <c r="AF822" s="167" t="n"/>
      <c r="AG822" s="144" t="n"/>
    </row>
    <row r="823" ht="18" customHeight="1" s="207">
      <c r="A823" s="166" t="n"/>
      <c r="B823" s="167" t="n"/>
      <c r="C823" s="167" t="n"/>
      <c r="D823" s="143">
        <f>"PRD_SNJ_"&amp;
_xlfn.XLOOKUP(商品マスタ[[#This Row],[仕入先]],テーブル1[仕入先名],テーブル1[仕入先コード],"XXX",0,1)&amp;
"_"&amp;
商品マスタ[[#This Row],[シリアル]]&amp;
"_"&amp;
TEXT(COUNTIFS(商品マスタ!$C$3:C823,商品マスタ[[#This Row],[仕入先]],商品マスタ!$E$3:E823,商品マスタ[[#This Row],[商品名]]), "00")</f>
        <v/>
      </c>
      <c r="E823" s="167" t="n"/>
      <c r="F823" s="167">
        <f>IF(COUNTIFS($C$3:C823,商品マスタ[[#This Row],[仕入先]],$E$3:E823,商品マスタ[[#This Row],[商品名]]) = 1, 1,0)</f>
        <v/>
      </c>
      <c r="G823" s="133">
        <f>TEXT(SUMIF($C$3:C823,商品マスタ[[#This Row],[仕入先]],$F$3:F823), "0000")</f>
        <v/>
      </c>
      <c r="H823" s="167" t="n"/>
      <c r="I823" s="167" t="n"/>
      <c r="J823" s="167" t="n"/>
      <c r="K823" s="167" t="n"/>
      <c r="L823" s="289" t="n"/>
      <c r="M823" s="157" t="n"/>
      <c r="N823" s="289" t="n"/>
      <c r="O823" s="290">
        <f>IF(COUNT(商品マスタ[[#This Row],[参考上代
（税込)]]) &gt; 0, (商品マスタ[[#This Row],[参考上代
（税込)]]-商品マスタ[[#This Row],[国内定価
（15％）]])/(商品マスタ[[#This Row],[参考上代
（税込)]]/1.08), "")</f>
        <v/>
      </c>
      <c r="P823" s="136" t="n">
        <v>0.1</v>
      </c>
      <c r="Q823" s="289">
        <f>商品マスタ[[#This Row],[仕入
単価]]*商品マスタ[[#This Row],[標準国内送料率]]</f>
        <v/>
      </c>
      <c r="R823" s="289" t="n"/>
      <c r="S823" s="289">
        <f>IF(ISBLANK(商品マスタ[[#This Row],[実績
国内送料]]),商品マスタ[[#This Row],[標準国内送料]],)</f>
        <v/>
      </c>
      <c r="T823" s="289">
        <f>商品マスタ[[#This Row],[仕入
単価]]+商品マスタ[[#This Row],[国内送料]]</f>
        <v/>
      </c>
      <c r="U823" s="289">
        <f>ROUNDUP(商品マスタ[[#This Row],[仕入単価+国内送料]]/0.8,-1)</f>
        <v/>
      </c>
      <c r="V823" s="289">
        <f>商品マスタ[[#This Row],[海外定価
（20％）]]-商品マスタ[[#This Row],[仕入単価+国内送料]]</f>
        <v/>
      </c>
      <c r="W823" s="167">
        <f>ROUNDUP(商品マスタ[[#This Row],[仕入単価+国内送料]]/0.85,-1)</f>
        <v/>
      </c>
      <c r="X823" s="289">
        <f>商品マスタ[[#This Row],[国内定価
（15％）]]-商品マスタ[[#This Row],[仕入単価+国内送料]]</f>
        <v/>
      </c>
      <c r="Y823" s="139" t="n"/>
      <c r="Z823" s="167" t="n"/>
      <c r="AA823" s="167" t="n"/>
      <c r="AB823" s="167" t="n"/>
      <c r="AC823" s="293" t="n"/>
      <c r="AD823" s="167" t="n"/>
      <c r="AE823" s="167" t="n"/>
      <c r="AF823" s="167" t="n"/>
      <c r="AG823" s="144" t="n"/>
    </row>
    <row r="824" ht="18" customHeight="1" s="207">
      <c r="A824" s="166" t="n"/>
      <c r="B824" s="167" t="n"/>
      <c r="C824" s="167" t="n"/>
      <c r="D824" s="143">
        <f>"PRD_SNJ_"&amp;
_xlfn.XLOOKUP(商品マスタ[[#This Row],[仕入先]],テーブル1[仕入先名],テーブル1[仕入先コード],"XXX",0,1)&amp;
"_"&amp;
商品マスタ[[#This Row],[シリアル]]&amp;
"_"&amp;
TEXT(COUNTIFS(商品マスタ!$C$3:C824,商品マスタ[[#This Row],[仕入先]],商品マスタ!$E$3:E824,商品マスタ[[#This Row],[商品名]]), "00")</f>
        <v/>
      </c>
      <c r="E824" s="167" t="n"/>
      <c r="F824" s="167">
        <f>IF(COUNTIFS($C$3:C824,商品マスタ[[#This Row],[仕入先]],$E$3:E824,商品マスタ[[#This Row],[商品名]]) = 1, 1,0)</f>
        <v/>
      </c>
      <c r="G824" s="133">
        <f>TEXT(SUMIF($C$3:C824,商品マスタ[[#This Row],[仕入先]],$F$3:F824), "0000")</f>
        <v/>
      </c>
      <c r="H824" s="167" t="n"/>
      <c r="I824" s="167" t="n"/>
      <c r="J824" s="167" t="n"/>
      <c r="K824" s="167" t="n"/>
      <c r="L824" s="289" t="n"/>
      <c r="M824" s="157" t="n"/>
      <c r="N824" s="289" t="n"/>
      <c r="O824" s="290">
        <f>IF(COUNT(商品マスタ[[#This Row],[参考上代
（税込)]]) &gt; 0, (商品マスタ[[#This Row],[参考上代
（税込)]]-商品マスタ[[#This Row],[国内定価
（15％）]])/(商品マスタ[[#This Row],[参考上代
（税込)]]/1.08), "")</f>
        <v/>
      </c>
      <c r="P824" s="136" t="n">
        <v>0.1</v>
      </c>
      <c r="Q824" s="289">
        <f>商品マスタ[[#This Row],[仕入
単価]]*商品マスタ[[#This Row],[標準国内送料率]]</f>
        <v/>
      </c>
      <c r="R824" s="289" t="n"/>
      <c r="S824" s="289">
        <f>IF(ISBLANK(商品マスタ[[#This Row],[実績
国内送料]]),商品マスタ[[#This Row],[標準国内送料]],)</f>
        <v/>
      </c>
      <c r="T824" s="289">
        <f>商品マスタ[[#This Row],[仕入
単価]]+商品マスタ[[#This Row],[国内送料]]</f>
        <v/>
      </c>
      <c r="U824" s="289">
        <f>ROUNDUP(商品マスタ[[#This Row],[仕入単価+国内送料]]/0.8,-1)</f>
        <v/>
      </c>
      <c r="V824" s="289">
        <f>商品マスタ[[#This Row],[海外定価
（20％）]]-商品マスタ[[#This Row],[仕入単価+国内送料]]</f>
        <v/>
      </c>
      <c r="W824" s="167">
        <f>ROUNDUP(商品マスタ[[#This Row],[仕入単価+国内送料]]/0.85,-1)</f>
        <v/>
      </c>
      <c r="X824" s="289">
        <f>商品マスタ[[#This Row],[国内定価
（15％）]]-商品マスタ[[#This Row],[仕入単価+国内送料]]</f>
        <v/>
      </c>
      <c r="Y824" s="139" t="n"/>
      <c r="Z824" s="167" t="n"/>
      <c r="AA824" s="167" t="n"/>
      <c r="AB824" s="167" t="n"/>
      <c r="AC824" s="293" t="n"/>
      <c r="AD824" s="167" t="n"/>
      <c r="AE824" s="167" t="n"/>
      <c r="AF824" s="167" t="n"/>
      <c r="AG824" s="144" t="n"/>
    </row>
    <row r="825" ht="18" customHeight="1" s="207">
      <c r="A825" s="166" t="n"/>
      <c r="B825" s="167" t="n"/>
      <c r="C825" s="167" t="n"/>
      <c r="D825" s="143">
        <f>"PRD_SNJ_"&amp;
_xlfn.XLOOKUP(商品マスタ[[#This Row],[仕入先]],テーブル1[仕入先名],テーブル1[仕入先コード],"XXX",0,1)&amp;
"_"&amp;
商品マスタ[[#This Row],[シリアル]]&amp;
"_"&amp;
TEXT(COUNTIFS(商品マスタ!$C$3:C825,商品マスタ[[#This Row],[仕入先]],商品マスタ!$E$3:E825,商品マスタ[[#This Row],[商品名]]), "00")</f>
        <v/>
      </c>
      <c r="E825" s="167" t="n"/>
      <c r="F825" s="167">
        <f>IF(COUNTIFS($C$3:C825,商品マスタ[[#This Row],[仕入先]],$E$3:E825,商品マスタ[[#This Row],[商品名]]) = 1, 1,0)</f>
        <v/>
      </c>
      <c r="G825" s="133">
        <f>TEXT(SUMIF($C$3:C825,商品マスタ[[#This Row],[仕入先]],$F$3:F825), "0000")</f>
        <v/>
      </c>
      <c r="H825" s="167" t="n"/>
      <c r="I825" s="167" t="n"/>
      <c r="J825" s="167" t="n"/>
      <c r="K825" s="167" t="n"/>
      <c r="L825" s="289" t="n"/>
      <c r="M825" s="157" t="n"/>
      <c r="N825" s="289" t="n"/>
      <c r="O825" s="290">
        <f>IF(COUNT(商品マスタ[[#This Row],[参考上代
（税込)]]) &gt; 0, (商品マスタ[[#This Row],[参考上代
（税込)]]-商品マスタ[[#This Row],[国内定価
（15％）]])/(商品マスタ[[#This Row],[参考上代
（税込)]]/1.08), "")</f>
        <v/>
      </c>
      <c r="P825" s="136" t="n">
        <v>0.1</v>
      </c>
      <c r="Q825" s="289">
        <f>商品マスタ[[#This Row],[仕入
単価]]*商品マスタ[[#This Row],[標準国内送料率]]</f>
        <v/>
      </c>
      <c r="R825" s="289" t="n"/>
      <c r="S825" s="289">
        <f>IF(ISBLANK(商品マスタ[[#This Row],[実績
国内送料]]),商品マスタ[[#This Row],[標準国内送料]],)</f>
        <v/>
      </c>
      <c r="T825" s="289">
        <f>商品マスタ[[#This Row],[仕入
単価]]+商品マスタ[[#This Row],[国内送料]]</f>
        <v/>
      </c>
      <c r="U825" s="289">
        <f>ROUNDUP(商品マスタ[[#This Row],[仕入単価+国内送料]]/0.8,-1)</f>
        <v/>
      </c>
      <c r="V825" s="289">
        <f>商品マスタ[[#This Row],[海外定価
（20％）]]-商品マスタ[[#This Row],[仕入単価+国内送料]]</f>
        <v/>
      </c>
      <c r="W825" s="167">
        <f>ROUNDUP(商品マスタ[[#This Row],[仕入単価+国内送料]]/0.85,-1)</f>
        <v/>
      </c>
      <c r="X825" s="289">
        <f>商品マスタ[[#This Row],[国内定価
（15％）]]-商品マスタ[[#This Row],[仕入単価+国内送料]]</f>
        <v/>
      </c>
      <c r="Y825" s="139" t="n"/>
      <c r="Z825" s="167" t="n"/>
      <c r="AA825" s="167" t="n"/>
      <c r="AB825" s="167" t="n"/>
      <c r="AC825" s="293" t="n"/>
      <c r="AD825" s="167" t="n"/>
      <c r="AE825" s="167" t="n"/>
      <c r="AF825" s="167" t="n"/>
      <c r="AG825" s="144" t="n"/>
    </row>
    <row r="826" ht="18" customHeight="1" s="207">
      <c r="A826" s="166" t="n"/>
      <c r="B826" s="167" t="n"/>
      <c r="C826" s="167" t="n"/>
      <c r="D826" s="143">
        <f>"PRD_SNJ_"&amp;
_xlfn.XLOOKUP(商品マスタ[[#This Row],[仕入先]],テーブル1[仕入先名],テーブル1[仕入先コード],"XXX",0,1)&amp;
"_"&amp;
商品マスタ[[#This Row],[シリアル]]&amp;
"_"&amp;
TEXT(COUNTIFS(商品マスタ!$C$3:C826,商品マスタ[[#This Row],[仕入先]],商品マスタ!$E$3:E826,商品マスタ[[#This Row],[商品名]]), "00")</f>
        <v/>
      </c>
      <c r="E826" s="167" t="n"/>
      <c r="F826" s="167">
        <f>IF(COUNTIFS($C$3:C826,商品マスタ[[#This Row],[仕入先]],$E$3:E826,商品マスタ[[#This Row],[商品名]]) = 1, 1,0)</f>
        <v/>
      </c>
      <c r="G826" s="133">
        <f>TEXT(SUMIF($C$3:C826,商品マスタ[[#This Row],[仕入先]],$F$3:F826), "0000")</f>
        <v/>
      </c>
      <c r="H826" s="167" t="n"/>
      <c r="I826" s="167" t="n"/>
      <c r="J826" s="167" t="n"/>
      <c r="K826" s="167" t="n"/>
      <c r="L826" s="289" t="n"/>
      <c r="M826" s="157" t="n"/>
      <c r="N826" s="289" t="n"/>
      <c r="O826" s="290">
        <f>IF(COUNT(商品マスタ[[#This Row],[参考上代
（税込)]]) &gt; 0, (商品マスタ[[#This Row],[参考上代
（税込)]]-商品マスタ[[#This Row],[国内定価
（15％）]])/(商品マスタ[[#This Row],[参考上代
（税込)]]/1.08), "")</f>
        <v/>
      </c>
      <c r="P826" s="136" t="n">
        <v>0.1</v>
      </c>
      <c r="Q826" s="289">
        <f>商品マスタ[[#This Row],[仕入
単価]]*商品マスタ[[#This Row],[標準国内送料率]]</f>
        <v/>
      </c>
      <c r="R826" s="289" t="n"/>
      <c r="S826" s="289">
        <f>IF(ISBLANK(商品マスタ[[#This Row],[実績
国内送料]]),商品マスタ[[#This Row],[標準国内送料]],)</f>
        <v/>
      </c>
      <c r="T826" s="289">
        <f>商品マスタ[[#This Row],[仕入
単価]]+商品マスタ[[#This Row],[国内送料]]</f>
        <v/>
      </c>
      <c r="U826" s="289">
        <f>ROUNDUP(商品マスタ[[#This Row],[仕入単価+国内送料]]/0.8,-1)</f>
        <v/>
      </c>
      <c r="V826" s="289">
        <f>商品マスタ[[#This Row],[海外定価
（20％）]]-商品マスタ[[#This Row],[仕入単価+国内送料]]</f>
        <v/>
      </c>
      <c r="W826" s="167">
        <f>ROUNDUP(商品マスタ[[#This Row],[仕入単価+国内送料]]/0.85,-1)</f>
        <v/>
      </c>
      <c r="X826" s="289">
        <f>商品マスタ[[#This Row],[国内定価
（15％）]]-商品マスタ[[#This Row],[仕入単価+国内送料]]</f>
        <v/>
      </c>
      <c r="Y826" s="139" t="n"/>
      <c r="Z826" s="167" t="n"/>
      <c r="AA826" s="167" t="n"/>
      <c r="AB826" s="167" t="n"/>
      <c r="AC826" s="293" t="n"/>
      <c r="AD826" s="167" t="n"/>
      <c r="AE826" s="167" t="n"/>
      <c r="AF826" s="167" t="n"/>
      <c r="AG826" s="144" t="n"/>
    </row>
    <row r="827" ht="18" customHeight="1" s="207">
      <c r="A827" s="166" t="n"/>
      <c r="B827" s="167" t="n"/>
      <c r="C827" s="167" t="n"/>
      <c r="D827" s="143">
        <f>"PRD_SNJ_"&amp;
_xlfn.XLOOKUP(商品マスタ[[#This Row],[仕入先]],テーブル1[仕入先名],テーブル1[仕入先コード],"XXX",0,1)&amp;
"_"&amp;
商品マスタ[[#This Row],[シリアル]]&amp;
"_"&amp;
TEXT(COUNTIFS(商品マスタ!$C$3:C827,商品マスタ[[#This Row],[仕入先]],商品マスタ!$E$3:E827,商品マスタ[[#This Row],[商品名]]), "00")</f>
        <v/>
      </c>
      <c r="E827" s="167" t="n"/>
      <c r="F827" s="167">
        <f>IF(COUNTIFS($C$3:C827,商品マスタ[[#This Row],[仕入先]],$E$3:E827,商品マスタ[[#This Row],[商品名]]) = 1, 1,0)</f>
        <v/>
      </c>
      <c r="G827" s="133">
        <f>TEXT(SUMIF($C$3:C827,商品マスタ[[#This Row],[仕入先]],$F$3:F827), "0000")</f>
        <v/>
      </c>
      <c r="H827" s="167" t="n"/>
      <c r="I827" s="167" t="n"/>
      <c r="J827" s="167" t="n"/>
      <c r="K827" s="167" t="n"/>
      <c r="L827" s="289" t="n"/>
      <c r="M827" s="157" t="n"/>
      <c r="N827" s="289" t="n"/>
      <c r="O827" s="290">
        <f>IF(COUNT(商品マスタ[[#This Row],[参考上代
（税込)]]) &gt; 0, (商品マスタ[[#This Row],[参考上代
（税込)]]-商品マスタ[[#This Row],[国内定価
（15％）]])/(商品マスタ[[#This Row],[参考上代
（税込)]]/1.08), "")</f>
        <v/>
      </c>
      <c r="P827" s="136" t="n">
        <v>0.1</v>
      </c>
      <c r="Q827" s="289">
        <f>商品マスタ[[#This Row],[仕入
単価]]*商品マスタ[[#This Row],[標準国内送料率]]</f>
        <v/>
      </c>
      <c r="R827" s="289" t="n"/>
      <c r="S827" s="289">
        <f>IF(ISBLANK(商品マスタ[[#This Row],[実績
国内送料]]),商品マスタ[[#This Row],[標準国内送料]],)</f>
        <v/>
      </c>
      <c r="T827" s="289">
        <f>商品マスタ[[#This Row],[仕入
単価]]+商品マスタ[[#This Row],[国内送料]]</f>
        <v/>
      </c>
      <c r="U827" s="289">
        <f>ROUNDUP(商品マスタ[[#This Row],[仕入単価+国内送料]]/0.8,-1)</f>
        <v/>
      </c>
      <c r="V827" s="289">
        <f>商品マスタ[[#This Row],[海外定価
（20％）]]-商品マスタ[[#This Row],[仕入単価+国内送料]]</f>
        <v/>
      </c>
      <c r="W827" s="167">
        <f>ROUNDUP(商品マスタ[[#This Row],[仕入単価+国内送料]]/0.85,-1)</f>
        <v/>
      </c>
      <c r="X827" s="289">
        <f>商品マスタ[[#This Row],[国内定価
（15％）]]-商品マスタ[[#This Row],[仕入単価+国内送料]]</f>
        <v/>
      </c>
      <c r="Y827" s="139" t="n"/>
      <c r="Z827" s="167" t="n"/>
      <c r="AA827" s="167" t="n"/>
      <c r="AB827" s="167" t="n"/>
      <c r="AC827" s="293" t="n"/>
      <c r="AD827" s="167" t="n"/>
      <c r="AE827" s="167" t="n"/>
      <c r="AF827" s="167" t="n"/>
      <c r="AG827" s="144" t="n"/>
    </row>
    <row r="828" ht="18" customHeight="1" s="207">
      <c r="A828" s="166" t="n"/>
      <c r="B828" s="167" t="n"/>
      <c r="C828" s="167" t="n"/>
      <c r="D828" s="143">
        <f>"PRD_SNJ_"&amp;
_xlfn.XLOOKUP(商品マスタ[[#This Row],[仕入先]],テーブル1[仕入先名],テーブル1[仕入先コード],"XXX",0,1)&amp;
"_"&amp;
商品マスタ[[#This Row],[シリアル]]&amp;
"_"&amp;
TEXT(COUNTIFS(商品マスタ!$C$3:C828,商品マスタ[[#This Row],[仕入先]],商品マスタ!$E$3:E828,商品マスタ[[#This Row],[商品名]]), "00")</f>
        <v/>
      </c>
      <c r="E828" s="167" t="n"/>
      <c r="F828" s="167">
        <f>IF(COUNTIFS($C$3:C828,商品マスタ[[#This Row],[仕入先]],$E$3:E828,商品マスタ[[#This Row],[商品名]]) = 1, 1,0)</f>
        <v/>
      </c>
      <c r="G828" s="133">
        <f>TEXT(SUMIF($C$3:C828,商品マスタ[[#This Row],[仕入先]],$F$3:F828), "0000")</f>
        <v/>
      </c>
      <c r="H828" s="167" t="n"/>
      <c r="I828" s="167" t="n"/>
      <c r="J828" s="167" t="n"/>
      <c r="K828" s="167" t="n"/>
      <c r="L828" s="289" t="n"/>
      <c r="M828" s="157" t="n"/>
      <c r="N828" s="289" t="n"/>
      <c r="O828" s="290">
        <f>IF(COUNT(商品マスタ[[#This Row],[参考上代
（税込)]]) &gt; 0, (商品マスタ[[#This Row],[参考上代
（税込)]]-商品マスタ[[#This Row],[国内定価
（15％）]])/(商品マスタ[[#This Row],[参考上代
（税込)]]/1.08), "")</f>
        <v/>
      </c>
      <c r="P828" s="136" t="n">
        <v>0.1</v>
      </c>
      <c r="Q828" s="289">
        <f>商品マスタ[[#This Row],[仕入
単価]]*商品マスタ[[#This Row],[標準国内送料率]]</f>
        <v/>
      </c>
      <c r="R828" s="289" t="n"/>
      <c r="S828" s="289">
        <f>IF(ISBLANK(商品マスタ[[#This Row],[実績
国内送料]]),商品マスタ[[#This Row],[標準国内送料]],)</f>
        <v/>
      </c>
      <c r="T828" s="289">
        <f>商品マスタ[[#This Row],[仕入
単価]]+商品マスタ[[#This Row],[国内送料]]</f>
        <v/>
      </c>
      <c r="U828" s="289">
        <f>ROUNDUP(商品マスタ[[#This Row],[仕入単価+国内送料]]/0.8,-1)</f>
        <v/>
      </c>
      <c r="V828" s="289">
        <f>商品マスタ[[#This Row],[海外定価
（20％）]]-商品マスタ[[#This Row],[仕入単価+国内送料]]</f>
        <v/>
      </c>
      <c r="W828" s="167">
        <f>ROUNDUP(商品マスタ[[#This Row],[仕入単価+国内送料]]/0.85,-1)</f>
        <v/>
      </c>
      <c r="X828" s="289">
        <f>商品マスタ[[#This Row],[国内定価
（15％）]]-商品マスタ[[#This Row],[仕入単価+国内送料]]</f>
        <v/>
      </c>
      <c r="Y828" s="139" t="n"/>
      <c r="Z828" s="167" t="n"/>
      <c r="AA828" s="167" t="n"/>
      <c r="AB828" s="167" t="n"/>
      <c r="AC828" s="293" t="n"/>
      <c r="AD828" s="167" t="n"/>
      <c r="AE828" s="167" t="n"/>
      <c r="AF828" s="167" t="n"/>
      <c r="AG828" s="144" t="n"/>
    </row>
    <row r="829" ht="18" customHeight="1" s="207">
      <c r="A829" s="166" t="n"/>
      <c r="B829" s="167" t="n"/>
      <c r="C829" s="167" t="n"/>
      <c r="D829" s="143">
        <f>"PRD_SNJ_"&amp;
_xlfn.XLOOKUP(商品マスタ[[#This Row],[仕入先]],テーブル1[仕入先名],テーブル1[仕入先コード],"XXX",0,1)&amp;
"_"&amp;
商品マスタ[[#This Row],[シリアル]]&amp;
"_"&amp;
TEXT(COUNTIFS(商品マスタ!$C$3:C829,商品マスタ[[#This Row],[仕入先]],商品マスタ!$E$3:E829,商品マスタ[[#This Row],[商品名]]), "00")</f>
        <v/>
      </c>
      <c r="E829" s="167" t="n"/>
      <c r="F829" s="167">
        <f>IF(COUNTIFS($C$3:C829,商品マスタ[[#This Row],[仕入先]],$E$3:E829,商品マスタ[[#This Row],[商品名]]) = 1, 1,0)</f>
        <v/>
      </c>
      <c r="G829" s="133">
        <f>TEXT(SUMIF($C$3:C829,商品マスタ[[#This Row],[仕入先]],$F$3:F829), "0000")</f>
        <v/>
      </c>
      <c r="H829" s="167" t="n"/>
      <c r="I829" s="167" t="n"/>
      <c r="J829" s="167" t="n"/>
      <c r="K829" s="167" t="n"/>
      <c r="L829" s="289" t="n"/>
      <c r="M829" s="157" t="n"/>
      <c r="N829" s="289" t="n"/>
      <c r="O829" s="290">
        <f>IF(COUNT(商品マスタ[[#This Row],[参考上代
（税込)]]) &gt; 0, (商品マスタ[[#This Row],[参考上代
（税込)]]-商品マスタ[[#This Row],[国内定価
（15％）]])/(商品マスタ[[#This Row],[参考上代
（税込)]]/1.08), "")</f>
        <v/>
      </c>
      <c r="P829" s="136" t="n">
        <v>0.1</v>
      </c>
      <c r="Q829" s="289">
        <f>商品マスタ[[#This Row],[仕入
単価]]*商品マスタ[[#This Row],[標準国内送料率]]</f>
        <v/>
      </c>
      <c r="R829" s="289" t="n"/>
      <c r="S829" s="289">
        <f>IF(ISBLANK(商品マスタ[[#This Row],[実績
国内送料]]),商品マスタ[[#This Row],[標準国内送料]],)</f>
        <v/>
      </c>
      <c r="T829" s="289">
        <f>商品マスタ[[#This Row],[仕入
単価]]+商品マスタ[[#This Row],[国内送料]]</f>
        <v/>
      </c>
      <c r="U829" s="289">
        <f>ROUNDUP(商品マスタ[[#This Row],[仕入単価+国内送料]]/0.8,-1)</f>
        <v/>
      </c>
      <c r="V829" s="289">
        <f>商品マスタ[[#This Row],[海外定価
（20％）]]-商品マスタ[[#This Row],[仕入単価+国内送料]]</f>
        <v/>
      </c>
      <c r="W829" s="167">
        <f>ROUNDUP(商品マスタ[[#This Row],[仕入単価+国内送料]]/0.85,-1)</f>
        <v/>
      </c>
      <c r="X829" s="289">
        <f>商品マスタ[[#This Row],[国内定価
（15％）]]-商品マスタ[[#This Row],[仕入単価+国内送料]]</f>
        <v/>
      </c>
      <c r="Y829" s="139" t="n"/>
      <c r="Z829" s="167" t="n"/>
      <c r="AA829" s="167" t="n"/>
      <c r="AB829" s="167" t="n"/>
      <c r="AC829" s="293" t="n"/>
      <c r="AD829" s="167" t="n"/>
      <c r="AE829" s="167" t="n"/>
      <c r="AF829" s="167" t="n"/>
      <c r="AG829" s="144" t="n"/>
    </row>
    <row r="830" ht="18" customHeight="1" s="207">
      <c r="A830" s="166" t="n"/>
      <c r="B830" s="167" t="n"/>
      <c r="C830" s="167" t="n"/>
      <c r="D830" s="143">
        <f>"PRD_SNJ_"&amp;
_xlfn.XLOOKUP(商品マスタ[[#This Row],[仕入先]],テーブル1[仕入先名],テーブル1[仕入先コード],"XXX",0,1)&amp;
"_"&amp;
商品マスタ[[#This Row],[シリアル]]&amp;
"_"&amp;
TEXT(COUNTIFS(商品マスタ!$C$3:C830,商品マスタ[[#This Row],[仕入先]],商品マスタ!$E$3:E830,商品マスタ[[#This Row],[商品名]]), "00")</f>
        <v/>
      </c>
      <c r="E830" s="167" t="n"/>
      <c r="F830" s="167">
        <f>IF(COUNTIFS($C$3:C830,商品マスタ[[#This Row],[仕入先]],$E$3:E830,商品マスタ[[#This Row],[商品名]]) = 1, 1,0)</f>
        <v/>
      </c>
      <c r="G830" s="133">
        <f>TEXT(SUMIF($C$3:C830,商品マスタ[[#This Row],[仕入先]],$F$3:F830), "0000")</f>
        <v/>
      </c>
      <c r="H830" s="167" t="n"/>
      <c r="I830" s="167" t="n"/>
      <c r="J830" s="167" t="n"/>
      <c r="K830" s="167" t="n"/>
      <c r="L830" s="289" t="n"/>
      <c r="M830" s="157" t="n"/>
      <c r="N830" s="289" t="n"/>
      <c r="O830" s="290">
        <f>IF(COUNT(商品マスタ[[#This Row],[参考上代
（税込)]]) &gt; 0, (商品マスタ[[#This Row],[参考上代
（税込)]]-商品マスタ[[#This Row],[国内定価
（15％）]])/(商品マスタ[[#This Row],[参考上代
（税込)]]/1.08), "")</f>
        <v/>
      </c>
      <c r="P830" s="136" t="n">
        <v>0.1</v>
      </c>
      <c r="Q830" s="289">
        <f>商品マスタ[[#This Row],[仕入
単価]]*商品マスタ[[#This Row],[標準国内送料率]]</f>
        <v/>
      </c>
      <c r="R830" s="289" t="n"/>
      <c r="S830" s="289">
        <f>IF(ISBLANK(商品マスタ[[#This Row],[実績
国内送料]]),商品マスタ[[#This Row],[標準国内送料]],)</f>
        <v/>
      </c>
      <c r="T830" s="289">
        <f>商品マスタ[[#This Row],[仕入
単価]]+商品マスタ[[#This Row],[国内送料]]</f>
        <v/>
      </c>
      <c r="U830" s="289">
        <f>ROUNDUP(商品マスタ[[#This Row],[仕入単価+国内送料]]/0.8,-1)</f>
        <v/>
      </c>
      <c r="V830" s="289">
        <f>商品マスタ[[#This Row],[海外定価
（20％）]]-商品マスタ[[#This Row],[仕入単価+国内送料]]</f>
        <v/>
      </c>
      <c r="W830" s="167">
        <f>ROUNDUP(商品マスタ[[#This Row],[仕入単価+国内送料]]/0.85,-1)</f>
        <v/>
      </c>
      <c r="X830" s="289">
        <f>商品マスタ[[#This Row],[国内定価
（15％）]]-商品マスタ[[#This Row],[仕入単価+国内送料]]</f>
        <v/>
      </c>
      <c r="Y830" s="139" t="n"/>
      <c r="Z830" s="167" t="n"/>
      <c r="AA830" s="167" t="n"/>
      <c r="AB830" s="167" t="n"/>
      <c r="AC830" s="293" t="n"/>
      <c r="AD830" s="167" t="n"/>
      <c r="AE830" s="167" t="n"/>
      <c r="AF830" s="167" t="n"/>
      <c r="AG830" s="144" t="n"/>
    </row>
    <row r="831" ht="18" customHeight="1" s="207">
      <c r="A831" s="166" t="n"/>
      <c r="B831" s="167" t="n"/>
      <c r="C831" s="167" t="n"/>
      <c r="D831" s="143">
        <f>"PRD_SNJ_"&amp;
_xlfn.XLOOKUP(商品マスタ[[#This Row],[仕入先]],テーブル1[仕入先名],テーブル1[仕入先コード],"XXX",0,1)&amp;
"_"&amp;
商品マスタ[[#This Row],[シリアル]]&amp;
"_"&amp;
TEXT(COUNTIFS(商品マスタ!$C$3:C831,商品マスタ[[#This Row],[仕入先]],商品マスタ!$E$3:E831,商品マスタ[[#This Row],[商品名]]), "00")</f>
        <v/>
      </c>
      <c r="E831" s="167" t="n"/>
      <c r="F831" s="167">
        <f>IF(COUNTIFS($C$3:C831,商品マスタ[[#This Row],[仕入先]],$E$3:E831,商品マスタ[[#This Row],[商品名]]) = 1, 1,0)</f>
        <v/>
      </c>
      <c r="G831" s="133">
        <f>TEXT(SUMIF($C$3:C831,商品マスタ[[#This Row],[仕入先]],$F$3:F831), "0000")</f>
        <v/>
      </c>
      <c r="H831" s="167" t="n"/>
      <c r="I831" s="167" t="n"/>
      <c r="J831" s="167" t="n"/>
      <c r="K831" s="167" t="n"/>
      <c r="L831" s="289" t="n"/>
      <c r="M831" s="157" t="n"/>
      <c r="N831" s="289" t="n"/>
      <c r="O831" s="290">
        <f>IF(COUNT(商品マスタ[[#This Row],[参考上代
（税込)]]) &gt; 0, (商品マスタ[[#This Row],[参考上代
（税込)]]-商品マスタ[[#This Row],[国内定価
（15％）]])/(商品マスタ[[#This Row],[参考上代
（税込)]]/1.08), "")</f>
        <v/>
      </c>
      <c r="P831" s="136" t="n">
        <v>0.1</v>
      </c>
      <c r="Q831" s="289">
        <f>商品マスタ[[#This Row],[仕入
単価]]*商品マスタ[[#This Row],[標準国内送料率]]</f>
        <v/>
      </c>
      <c r="R831" s="289" t="n"/>
      <c r="S831" s="289">
        <f>IF(ISBLANK(商品マスタ[[#This Row],[実績
国内送料]]),商品マスタ[[#This Row],[標準国内送料]],)</f>
        <v/>
      </c>
      <c r="T831" s="289">
        <f>商品マスタ[[#This Row],[仕入
単価]]+商品マスタ[[#This Row],[国内送料]]</f>
        <v/>
      </c>
      <c r="U831" s="289">
        <f>ROUNDUP(商品マスタ[[#This Row],[仕入単価+国内送料]]/0.8,-1)</f>
        <v/>
      </c>
      <c r="V831" s="289">
        <f>商品マスタ[[#This Row],[海外定価
（20％）]]-商品マスタ[[#This Row],[仕入単価+国内送料]]</f>
        <v/>
      </c>
      <c r="W831" s="167">
        <f>ROUNDUP(商品マスタ[[#This Row],[仕入単価+国内送料]]/0.85,-1)</f>
        <v/>
      </c>
      <c r="X831" s="289">
        <f>商品マスタ[[#This Row],[国内定価
（15％）]]-商品マスタ[[#This Row],[仕入単価+国内送料]]</f>
        <v/>
      </c>
      <c r="Y831" s="139" t="n"/>
      <c r="Z831" s="167" t="n"/>
      <c r="AA831" s="167" t="n"/>
      <c r="AB831" s="167" t="n"/>
      <c r="AC831" s="293" t="n"/>
      <c r="AD831" s="167" t="n"/>
      <c r="AE831" s="167" t="n"/>
      <c r="AF831" s="167" t="n"/>
      <c r="AG831" s="144" t="n"/>
    </row>
    <row r="832" ht="18" customHeight="1" s="207">
      <c r="A832" s="166" t="n"/>
      <c r="B832" s="167" t="n"/>
      <c r="C832" s="167" t="n"/>
      <c r="D832" s="143">
        <f>"PRD_SNJ_"&amp;
_xlfn.XLOOKUP(商品マスタ[[#This Row],[仕入先]],テーブル1[仕入先名],テーブル1[仕入先コード],"XXX",0,1)&amp;
"_"&amp;
商品マスタ[[#This Row],[シリアル]]&amp;
"_"&amp;
TEXT(COUNTIFS(商品マスタ!$C$3:C832,商品マスタ[[#This Row],[仕入先]],商品マスタ!$E$3:E832,商品マスタ[[#This Row],[商品名]]), "00")</f>
        <v/>
      </c>
      <c r="E832" s="167" t="n"/>
      <c r="F832" s="167">
        <f>IF(COUNTIFS($C$3:C832,商品マスタ[[#This Row],[仕入先]],$E$3:E832,商品マスタ[[#This Row],[商品名]]) = 1, 1,0)</f>
        <v/>
      </c>
      <c r="G832" s="133">
        <f>TEXT(SUMIF($C$3:C832,商品マスタ[[#This Row],[仕入先]],$F$3:F832), "0000")</f>
        <v/>
      </c>
      <c r="H832" s="167" t="n"/>
      <c r="I832" s="167" t="n"/>
      <c r="J832" s="167" t="n"/>
      <c r="K832" s="167" t="n"/>
      <c r="L832" s="289" t="n"/>
      <c r="M832" s="157" t="n"/>
      <c r="N832" s="289" t="n"/>
      <c r="O832" s="290">
        <f>IF(COUNT(商品マスタ[[#This Row],[参考上代
（税込)]]) &gt; 0, (商品マスタ[[#This Row],[参考上代
（税込)]]-商品マスタ[[#This Row],[国内定価
（15％）]])/(商品マスタ[[#This Row],[参考上代
（税込)]]/1.08), "")</f>
        <v/>
      </c>
      <c r="P832" s="136" t="n">
        <v>0.1</v>
      </c>
      <c r="Q832" s="289">
        <f>商品マスタ[[#This Row],[仕入
単価]]*商品マスタ[[#This Row],[標準国内送料率]]</f>
        <v/>
      </c>
      <c r="R832" s="289" t="n"/>
      <c r="S832" s="289">
        <f>IF(ISBLANK(商品マスタ[[#This Row],[実績
国内送料]]),商品マスタ[[#This Row],[標準国内送料]],)</f>
        <v/>
      </c>
      <c r="T832" s="289">
        <f>商品マスタ[[#This Row],[仕入
単価]]+商品マスタ[[#This Row],[国内送料]]</f>
        <v/>
      </c>
      <c r="U832" s="289">
        <f>ROUNDUP(商品マスタ[[#This Row],[仕入単価+国内送料]]/0.8,-1)</f>
        <v/>
      </c>
      <c r="V832" s="289">
        <f>商品マスタ[[#This Row],[海外定価
（20％）]]-商品マスタ[[#This Row],[仕入単価+国内送料]]</f>
        <v/>
      </c>
      <c r="W832" s="167">
        <f>ROUNDUP(商品マスタ[[#This Row],[仕入単価+国内送料]]/0.85,-1)</f>
        <v/>
      </c>
      <c r="X832" s="289">
        <f>商品マスタ[[#This Row],[国内定価
（15％）]]-商品マスタ[[#This Row],[仕入単価+国内送料]]</f>
        <v/>
      </c>
      <c r="Y832" s="139" t="n"/>
      <c r="Z832" s="167" t="n"/>
      <c r="AA832" s="167" t="n"/>
      <c r="AB832" s="167" t="n"/>
      <c r="AC832" s="293" t="n"/>
      <c r="AD832" s="167" t="n"/>
      <c r="AE832" s="167" t="n"/>
      <c r="AF832" s="167" t="n"/>
      <c r="AG832" s="144" t="n"/>
    </row>
    <row r="833" ht="18" customHeight="1" s="207">
      <c r="A833" s="166" t="n"/>
      <c r="B833" s="167" t="n"/>
      <c r="C833" s="167" t="n"/>
      <c r="D833" s="143">
        <f>"PRD_SNJ_"&amp;
_xlfn.XLOOKUP(商品マスタ[[#This Row],[仕入先]],テーブル1[仕入先名],テーブル1[仕入先コード],"XXX",0,1)&amp;
"_"&amp;
商品マスタ[[#This Row],[シリアル]]&amp;
"_"&amp;
TEXT(COUNTIFS(商品マスタ!$C$3:C833,商品マスタ[[#This Row],[仕入先]],商品マスタ!$E$3:E833,商品マスタ[[#This Row],[商品名]]), "00")</f>
        <v/>
      </c>
      <c r="E833" s="167" t="n"/>
      <c r="F833" s="167">
        <f>IF(COUNTIFS($C$3:C833,商品マスタ[[#This Row],[仕入先]],$E$3:E833,商品マスタ[[#This Row],[商品名]]) = 1, 1,0)</f>
        <v/>
      </c>
      <c r="G833" s="133">
        <f>TEXT(SUMIF($C$3:C833,商品マスタ[[#This Row],[仕入先]],$F$3:F833), "0000")</f>
        <v/>
      </c>
      <c r="H833" s="167" t="n"/>
      <c r="I833" s="167" t="n"/>
      <c r="J833" s="167" t="n"/>
      <c r="K833" s="167" t="n"/>
      <c r="L833" s="289" t="n"/>
      <c r="M833" s="157" t="n"/>
      <c r="N833" s="289" t="n"/>
      <c r="O833" s="290">
        <f>IF(COUNT(商品マスタ[[#This Row],[参考上代
（税込)]]) &gt; 0, (商品マスタ[[#This Row],[参考上代
（税込)]]-商品マスタ[[#This Row],[国内定価
（15％）]])/(商品マスタ[[#This Row],[参考上代
（税込)]]/1.08), "")</f>
        <v/>
      </c>
      <c r="P833" s="136" t="n">
        <v>0.1</v>
      </c>
      <c r="Q833" s="289">
        <f>商品マスタ[[#This Row],[仕入
単価]]*商品マスタ[[#This Row],[標準国内送料率]]</f>
        <v/>
      </c>
      <c r="R833" s="289" t="n"/>
      <c r="S833" s="289">
        <f>IF(ISBLANK(商品マスタ[[#This Row],[実績
国内送料]]),商品マスタ[[#This Row],[標準国内送料]],)</f>
        <v/>
      </c>
      <c r="T833" s="289">
        <f>商品マスタ[[#This Row],[仕入
単価]]+商品マスタ[[#This Row],[国内送料]]</f>
        <v/>
      </c>
      <c r="U833" s="289">
        <f>ROUNDUP(商品マスタ[[#This Row],[仕入単価+国内送料]]/0.8,-1)</f>
        <v/>
      </c>
      <c r="V833" s="289">
        <f>商品マスタ[[#This Row],[海外定価
（20％）]]-商品マスタ[[#This Row],[仕入単価+国内送料]]</f>
        <v/>
      </c>
      <c r="W833" s="167">
        <f>ROUNDUP(商品マスタ[[#This Row],[仕入単価+国内送料]]/0.85,-1)</f>
        <v/>
      </c>
      <c r="X833" s="289">
        <f>商品マスタ[[#This Row],[国内定価
（15％）]]-商品マスタ[[#This Row],[仕入単価+国内送料]]</f>
        <v/>
      </c>
      <c r="Y833" s="139" t="n"/>
      <c r="Z833" s="167" t="n"/>
      <c r="AA833" s="167" t="n"/>
      <c r="AB833" s="167" t="n"/>
      <c r="AC833" s="293" t="n"/>
      <c r="AD833" s="167" t="n"/>
      <c r="AE833" s="167" t="n"/>
      <c r="AF833" s="167" t="n"/>
      <c r="AG833" s="144" t="n"/>
    </row>
    <row r="834" ht="18" customHeight="1" s="207">
      <c r="A834" s="166" t="n"/>
      <c r="B834" s="167" t="n"/>
      <c r="C834" s="167" t="n"/>
      <c r="D834" s="143">
        <f>"PRD_SNJ_"&amp;
_xlfn.XLOOKUP(商品マスタ[[#This Row],[仕入先]],テーブル1[仕入先名],テーブル1[仕入先コード],"XXX",0,1)&amp;
"_"&amp;
商品マスタ[[#This Row],[シリアル]]&amp;
"_"&amp;
TEXT(COUNTIFS(商品マスタ!$C$3:C834,商品マスタ[[#This Row],[仕入先]],商品マスタ!$E$3:E834,商品マスタ[[#This Row],[商品名]]), "00")</f>
        <v/>
      </c>
      <c r="E834" s="167" t="n"/>
      <c r="F834" s="167">
        <f>IF(COUNTIFS($C$3:C834,商品マスタ[[#This Row],[仕入先]],$E$3:E834,商品マスタ[[#This Row],[商品名]]) = 1, 1,0)</f>
        <v/>
      </c>
      <c r="G834" s="133">
        <f>TEXT(SUMIF($C$3:C834,商品マスタ[[#This Row],[仕入先]],$F$3:F834), "0000")</f>
        <v/>
      </c>
      <c r="H834" s="167" t="n"/>
      <c r="I834" s="167" t="n"/>
      <c r="J834" s="167" t="n"/>
      <c r="K834" s="167" t="n"/>
      <c r="L834" s="289" t="n"/>
      <c r="M834" s="157" t="n"/>
      <c r="N834" s="289" t="n"/>
      <c r="O834" s="290">
        <f>IF(COUNT(商品マスタ[[#This Row],[参考上代
（税込)]]) &gt; 0, (商品マスタ[[#This Row],[参考上代
（税込)]]-商品マスタ[[#This Row],[国内定価
（15％）]])/(商品マスタ[[#This Row],[参考上代
（税込)]]/1.08), "")</f>
        <v/>
      </c>
      <c r="P834" s="136" t="n">
        <v>0.1</v>
      </c>
      <c r="Q834" s="289">
        <f>商品マスタ[[#This Row],[仕入
単価]]*商品マスタ[[#This Row],[標準国内送料率]]</f>
        <v/>
      </c>
      <c r="R834" s="289" t="n"/>
      <c r="S834" s="289">
        <f>IF(ISBLANK(商品マスタ[[#This Row],[実績
国内送料]]),商品マスタ[[#This Row],[標準国内送料]],)</f>
        <v/>
      </c>
      <c r="T834" s="289">
        <f>商品マスタ[[#This Row],[仕入
単価]]+商品マスタ[[#This Row],[国内送料]]</f>
        <v/>
      </c>
      <c r="U834" s="289">
        <f>ROUNDUP(商品マスタ[[#This Row],[仕入単価+国内送料]]/0.8,-1)</f>
        <v/>
      </c>
      <c r="V834" s="289">
        <f>商品マスタ[[#This Row],[海外定価
（20％）]]-商品マスタ[[#This Row],[仕入単価+国内送料]]</f>
        <v/>
      </c>
      <c r="W834" s="167">
        <f>ROUNDUP(商品マスタ[[#This Row],[仕入単価+国内送料]]/0.85,-1)</f>
        <v/>
      </c>
      <c r="X834" s="289">
        <f>商品マスタ[[#This Row],[国内定価
（15％）]]-商品マスタ[[#This Row],[仕入単価+国内送料]]</f>
        <v/>
      </c>
      <c r="Y834" s="139" t="n"/>
      <c r="Z834" s="167" t="n"/>
      <c r="AA834" s="167" t="n"/>
      <c r="AB834" s="167" t="n"/>
      <c r="AC834" s="293" t="n"/>
      <c r="AD834" s="167" t="n"/>
      <c r="AE834" s="167" t="n"/>
      <c r="AF834" s="167" t="n"/>
      <c r="AG834" s="144" t="n"/>
    </row>
    <row r="835" ht="18" customHeight="1" s="207">
      <c r="A835" s="166" t="n"/>
      <c r="B835" s="167" t="n"/>
      <c r="C835" s="167" t="n"/>
      <c r="D835" s="143">
        <f>"PRD_SNJ_"&amp;
_xlfn.XLOOKUP(商品マスタ[[#This Row],[仕入先]],テーブル1[仕入先名],テーブル1[仕入先コード],"XXX",0,1)&amp;
"_"&amp;
商品マスタ[[#This Row],[シリアル]]&amp;
"_"&amp;
TEXT(COUNTIFS(商品マスタ!$C$3:C835,商品マスタ[[#This Row],[仕入先]],商品マスタ!$E$3:E835,商品マスタ[[#This Row],[商品名]]), "00")</f>
        <v/>
      </c>
      <c r="E835" s="167" t="n"/>
      <c r="F835" s="167">
        <f>IF(COUNTIFS($C$3:C835,商品マスタ[[#This Row],[仕入先]],$E$3:E835,商品マスタ[[#This Row],[商品名]]) = 1, 1,0)</f>
        <v/>
      </c>
      <c r="G835" s="133">
        <f>TEXT(SUMIF($C$3:C835,商品マスタ[[#This Row],[仕入先]],$F$3:F835), "0000")</f>
        <v/>
      </c>
      <c r="H835" s="167" t="n"/>
      <c r="I835" s="167" t="n"/>
      <c r="J835" s="167" t="n"/>
      <c r="K835" s="167" t="n"/>
      <c r="L835" s="289" t="n"/>
      <c r="M835" s="157" t="n"/>
      <c r="N835" s="289" t="n"/>
      <c r="O835" s="290">
        <f>IF(COUNT(商品マスタ[[#This Row],[参考上代
（税込)]]) &gt; 0, (商品マスタ[[#This Row],[参考上代
（税込)]]-商品マスタ[[#This Row],[国内定価
（15％）]])/(商品マスタ[[#This Row],[参考上代
（税込)]]/1.08), "")</f>
        <v/>
      </c>
      <c r="P835" s="136" t="n">
        <v>0.1</v>
      </c>
      <c r="Q835" s="289">
        <f>商品マスタ[[#This Row],[仕入
単価]]*商品マスタ[[#This Row],[標準国内送料率]]</f>
        <v/>
      </c>
      <c r="R835" s="289" t="n"/>
      <c r="S835" s="289">
        <f>IF(ISBLANK(商品マスタ[[#This Row],[実績
国内送料]]),商品マスタ[[#This Row],[標準国内送料]],)</f>
        <v/>
      </c>
      <c r="T835" s="289">
        <f>商品マスタ[[#This Row],[仕入
単価]]+商品マスタ[[#This Row],[国内送料]]</f>
        <v/>
      </c>
      <c r="U835" s="289">
        <f>ROUNDUP(商品マスタ[[#This Row],[仕入単価+国内送料]]/0.8,-1)</f>
        <v/>
      </c>
      <c r="V835" s="289">
        <f>商品マスタ[[#This Row],[海外定価
（20％）]]-商品マスタ[[#This Row],[仕入単価+国内送料]]</f>
        <v/>
      </c>
      <c r="W835" s="167">
        <f>ROUNDUP(商品マスタ[[#This Row],[仕入単価+国内送料]]/0.85,-1)</f>
        <v/>
      </c>
      <c r="X835" s="289">
        <f>商品マスタ[[#This Row],[国内定価
（15％）]]-商品マスタ[[#This Row],[仕入単価+国内送料]]</f>
        <v/>
      </c>
      <c r="Y835" s="139" t="n"/>
      <c r="Z835" s="167" t="n"/>
      <c r="AA835" s="167" t="n"/>
      <c r="AB835" s="167" t="n"/>
      <c r="AC835" s="293" t="n"/>
      <c r="AD835" s="167" t="n"/>
      <c r="AE835" s="167" t="n"/>
      <c r="AF835" s="167" t="n"/>
      <c r="AG835" s="144" t="n"/>
    </row>
    <row r="836" ht="18" customHeight="1" s="207">
      <c r="A836" s="166" t="n"/>
      <c r="B836" s="167" t="n"/>
      <c r="C836" s="167" t="n"/>
      <c r="D836" s="143">
        <f>"PRD_SNJ_"&amp;
_xlfn.XLOOKUP(商品マスタ[[#This Row],[仕入先]],テーブル1[仕入先名],テーブル1[仕入先コード],"XXX",0,1)&amp;
"_"&amp;
商品マスタ[[#This Row],[シリアル]]&amp;
"_"&amp;
TEXT(COUNTIFS(商品マスタ!$C$3:C836,商品マスタ[[#This Row],[仕入先]],商品マスタ!$E$3:E836,商品マスタ[[#This Row],[商品名]]), "00")</f>
        <v/>
      </c>
      <c r="E836" s="167" t="n"/>
      <c r="F836" s="167">
        <f>IF(COUNTIFS($C$3:C836,商品マスタ[[#This Row],[仕入先]],$E$3:E836,商品マスタ[[#This Row],[商品名]]) = 1, 1,0)</f>
        <v/>
      </c>
      <c r="G836" s="133">
        <f>TEXT(SUMIF($C$3:C836,商品マスタ[[#This Row],[仕入先]],$F$3:F836), "0000")</f>
        <v/>
      </c>
      <c r="H836" s="167" t="n"/>
      <c r="I836" s="167" t="n"/>
      <c r="J836" s="167" t="n"/>
      <c r="K836" s="167" t="n"/>
      <c r="L836" s="289" t="n"/>
      <c r="M836" s="157" t="n"/>
      <c r="N836" s="289" t="n"/>
      <c r="O836" s="290">
        <f>IF(COUNT(商品マスタ[[#This Row],[参考上代
（税込)]]) &gt; 0, (商品マスタ[[#This Row],[参考上代
（税込)]]-商品マスタ[[#This Row],[国内定価
（15％）]])/(商品マスタ[[#This Row],[参考上代
（税込)]]/1.08), "")</f>
        <v/>
      </c>
      <c r="P836" s="136" t="n">
        <v>0.1</v>
      </c>
      <c r="Q836" s="289">
        <f>商品マスタ[[#This Row],[仕入
単価]]*商品マスタ[[#This Row],[標準国内送料率]]</f>
        <v/>
      </c>
      <c r="R836" s="289" t="n"/>
      <c r="S836" s="289">
        <f>IF(ISBLANK(商品マスタ[[#This Row],[実績
国内送料]]),商品マスタ[[#This Row],[標準国内送料]],)</f>
        <v/>
      </c>
      <c r="T836" s="289">
        <f>商品マスタ[[#This Row],[仕入
単価]]+商品マスタ[[#This Row],[国内送料]]</f>
        <v/>
      </c>
      <c r="U836" s="289">
        <f>ROUNDUP(商品マスタ[[#This Row],[仕入単価+国内送料]]/0.8,-1)</f>
        <v/>
      </c>
      <c r="V836" s="289">
        <f>商品マスタ[[#This Row],[海外定価
（20％）]]-商品マスタ[[#This Row],[仕入単価+国内送料]]</f>
        <v/>
      </c>
      <c r="W836" s="167">
        <f>ROUNDUP(商品マスタ[[#This Row],[仕入単価+国内送料]]/0.85,-1)</f>
        <v/>
      </c>
      <c r="X836" s="289">
        <f>商品マスタ[[#This Row],[国内定価
（15％）]]-商品マスタ[[#This Row],[仕入単価+国内送料]]</f>
        <v/>
      </c>
      <c r="Y836" s="139" t="n"/>
      <c r="Z836" s="167" t="n"/>
      <c r="AA836" s="167" t="n"/>
      <c r="AB836" s="167" t="n"/>
      <c r="AC836" s="293" t="n"/>
      <c r="AD836" s="167" t="n"/>
      <c r="AE836" s="167" t="n"/>
      <c r="AF836" s="167" t="n"/>
      <c r="AG836" s="144" t="n"/>
    </row>
    <row r="837" ht="18" customHeight="1" s="207">
      <c r="A837" s="166" t="n"/>
      <c r="B837" s="167" t="n"/>
      <c r="C837" s="167" t="n"/>
      <c r="D837" s="143">
        <f>"PRD_SNJ_"&amp;
_xlfn.XLOOKUP(商品マスタ[[#This Row],[仕入先]],テーブル1[仕入先名],テーブル1[仕入先コード],"XXX",0,1)&amp;
"_"&amp;
商品マスタ[[#This Row],[シリアル]]&amp;
"_"&amp;
TEXT(COUNTIFS(商品マスタ!$C$3:C837,商品マスタ[[#This Row],[仕入先]],商品マスタ!$E$3:E837,商品マスタ[[#This Row],[商品名]]), "00")</f>
        <v/>
      </c>
      <c r="E837" s="167" t="n"/>
      <c r="F837" s="167">
        <f>IF(COUNTIFS($C$3:C837,商品マスタ[[#This Row],[仕入先]],$E$3:E837,商品マスタ[[#This Row],[商品名]]) = 1, 1,0)</f>
        <v/>
      </c>
      <c r="G837" s="133">
        <f>TEXT(SUMIF($C$3:C837,商品マスタ[[#This Row],[仕入先]],$F$3:F837), "0000")</f>
        <v/>
      </c>
      <c r="H837" s="167" t="n"/>
      <c r="I837" s="167" t="n"/>
      <c r="J837" s="167" t="n"/>
      <c r="K837" s="167" t="n"/>
      <c r="L837" s="289" t="n"/>
      <c r="M837" s="157" t="n"/>
      <c r="N837" s="289" t="n"/>
      <c r="O837" s="290">
        <f>IF(COUNT(商品マスタ[[#This Row],[参考上代
（税込)]]) &gt; 0, (商品マスタ[[#This Row],[参考上代
（税込)]]-商品マスタ[[#This Row],[国内定価
（15％）]])/(商品マスタ[[#This Row],[参考上代
（税込)]]/1.08), "")</f>
        <v/>
      </c>
      <c r="P837" s="136" t="n">
        <v>0.1</v>
      </c>
      <c r="Q837" s="289">
        <f>商品マスタ[[#This Row],[仕入
単価]]*商品マスタ[[#This Row],[標準国内送料率]]</f>
        <v/>
      </c>
      <c r="R837" s="289" t="n"/>
      <c r="S837" s="289">
        <f>IF(ISBLANK(商品マスタ[[#This Row],[実績
国内送料]]),商品マスタ[[#This Row],[標準国内送料]],)</f>
        <v/>
      </c>
      <c r="T837" s="289">
        <f>商品マスタ[[#This Row],[仕入
単価]]+商品マスタ[[#This Row],[国内送料]]</f>
        <v/>
      </c>
      <c r="U837" s="289">
        <f>ROUNDUP(商品マスタ[[#This Row],[仕入単価+国内送料]]/0.8,-1)</f>
        <v/>
      </c>
      <c r="V837" s="289">
        <f>商品マスタ[[#This Row],[海外定価
（20％）]]-商品マスタ[[#This Row],[仕入単価+国内送料]]</f>
        <v/>
      </c>
      <c r="W837" s="167">
        <f>ROUNDUP(商品マスタ[[#This Row],[仕入単価+国内送料]]/0.85,-1)</f>
        <v/>
      </c>
      <c r="X837" s="289">
        <f>商品マスタ[[#This Row],[国内定価
（15％）]]-商品マスタ[[#This Row],[仕入単価+国内送料]]</f>
        <v/>
      </c>
      <c r="Y837" s="139" t="n"/>
      <c r="Z837" s="167" t="n"/>
      <c r="AA837" s="167" t="n"/>
      <c r="AB837" s="167" t="n"/>
      <c r="AC837" s="293" t="n"/>
      <c r="AD837" s="167" t="n"/>
      <c r="AE837" s="167" t="n"/>
      <c r="AF837" s="167" t="n"/>
      <c r="AG837" s="144" t="n"/>
    </row>
    <row r="838" ht="18" customHeight="1" s="207">
      <c r="A838" s="166" t="n"/>
      <c r="B838" s="167" t="n"/>
      <c r="C838" s="167" t="n"/>
      <c r="D838" s="143">
        <f>"PRD_SNJ_"&amp;
_xlfn.XLOOKUP(商品マスタ[[#This Row],[仕入先]],テーブル1[仕入先名],テーブル1[仕入先コード],"XXX",0,1)&amp;
"_"&amp;
商品マスタ[[#This Row],[シリアル]]&amp;
"_"&amp;
TEXT(COUNTIFS(商品マスタ!$C$3:C838,商品マスタ[[#This Row],[仕入先]],商品マスタ!$E$3:E838,商品マスタ[[#This Row],[商品名]]), "00")</f>
        <v/>
      </c>
      <c r="E838" s="167" t="n"/>
      <c r="F838" s="167">
        <f>IF(COUNTIFS($C$3:C838,商品マスタ[[#This Row],[仕入先]],$E$3:E838,商品マスタ[[#This Row],[商品名]]) = 1, 1,0)</f>
        <v/>
      </c>
      <c r="G838" s="133">
        <f>TEXT(SUMIF($C$3:C838,商品マスタ[[#This Row],[仕入先]],$F$3:F838), "0000")</f>
        <v/>
      </c>
      <c r="H838" s="167" t="n"/>
      <c r="I838" s="167" t="n"/>
      <c r="J838" s="167" t="n"/>
      <c r="K838" s="167" t="n"/>
      <c r="L838" s="289" t="n"/>
      <c r="M838" s="157" t="n"/>
      <c r="N838" s="289" t="n"/>
      <c r="O838" s="290">
        <f>IF(COUNT(商品マスタ[[#This Row],[参考上代
（税込)]]) &gt; 0, (商品マスタ[[#This Row],[参考上代
（税込)]]-商品マスタ[[#This Row],[国内定価
（15％）]])/(商品マスタ[[#This Row],[参考上代
（税込)]]/1.08), "")</f>
        <v/>
      </c>
      <c r="P838" s="136" t="n">
        <v>0.1</v>
      </c>
      <c r="Q838" s="289">
        <f>商品マスタ[[#This Row],[仕入
単価]]*商品マスタ[[#This Row],[標準国内送料率]]</f>
        <v/>
      </c>
      <c r="R838" s="289" t="n"/>
      <c r="S838" s="289">
        <f>IF(ISBLANK(商品マスタ[[#This Row],[実績
国内送料]]),商品マスタ[[#This Row],[標準国内送料]],)</f>
        <v/>
      </c>
      <c r="T838" s="289">
        <f>商品マスタ[[#This Row],[仕入
単価]]+商品マスタ[[#This Row],[国内送料]]</f>
        <v/>
      </c>
      <c r="U838" s="289">
        <f>ROUNDUP(商品マスタ[[#This Row],[仕入単価+国内送料]]/0.8,-1)</f>
        <v/>
      </c>
      <c r="V838" s="289">
        <f>商品マスタ[[#This Row],[海外定価
（20％）]]-商品マスタ[[#This Row],[仕入単価+国内送料]]</f>
        <v/>
      </c>
      <c r="W838" s="167">
        <f>ROUNDUP(商品マスタ[[#This Row],[仕入単価+国内送料]]/0.85,-1)</f>
        <v/>
      </c>
      <c r="X838" s="289">
        <f>商品マスタ[[#This Row],[国内定価
（15％）]]-商品マスタ[[#This Row],[仕入単価+国内送料]]</f>
        <v/>
      </c>
      <c r="Y838" s="139" t="n"/>
      <c r="Z838" s="167" t="n"/>
      <c r="AA838" s="167" t="n"/>
      <c r="AB838" s="167" t="n"/>
      <c r="AC838" s="293" t="n"/>
      <c r="AD838" s="167" t="n"/>
      <c r="AE838" s="167" t="n"/>
      <c r="AF838" s="167" t="n"/>
      <c r="AG838" s="144" t="n"/>
    </row>
    <row r="839" ht="18" customHeight="1" s="207">
      <c r="A839" s="166" t="n"/>
      <c r="B839" s="167" t="n"/>
      <c r="C839" s="167" t="n"/>
      <c r="D839" s="143">
        <f>"PRD_SNJ_"&amp;
_xlfn.XLOOKUP(商品マスタ[[#This Row],[仕入先]],テーブル1[仕入先名],テーブル1[仕入先コード],"XXX",0,1)&amp;
"_"&amp;
商品マスタ[[#This Row],[シリアル]]&amp;
"_"&amp;
TEXT(COUNTIFS(商品マスタ!$C$3:C839,商品マスタ[[#This Row],[仕入先]],商品マスタ!$E$3:E839,商品マスタ[[#This Row],[商品名]]), "00")</f>
        <v/>
      </c>
      <c r="E839" s="167" t="n"/>
      <c r="F839" s="167">
        <f>IF(COUNTIFS($C$3:C839,商品マスタ[[#This Row],[仕入先]],$E$3:E839,商品マスタ[[#This Row],[商品名]]) = 1, 1,0)</f>
        <v/>
      </c>
      <c r="G839" s="133">
        <f>TEXT(SUMIF($C$3:C839,商品マスタ[[#This Row],[仕入先]],$F$3:F839), "0000")</f>
        <v/>
      </c>
      <c r="H839" s="167" t="n"/>
      <c r="I839" s="167" t="n"/>
      <c r="J839" s="167" t="n"/>
      <c r="K839" s="167" t="n"/>
      <c r="L839" s="289" t="n"/>
      <c r="M839" s="157" t="n"/>
      <c r="N839" s="289" t="n"/>
      <c r="O839" s="290">
        <f>IF(COUNT(商品マスタ[[#This Row],[参考上代
（税込)]]) &gt; 0, (商品マスタ[[#This Row],[参考上代
（税込)]]-商品マスタ[[#This Row],[国内定価
（15％）]])/(商品マスタ[[#This Row],[参考上代
（税込)]]/1.08), "")</f>
        <v/>
      </c>
      <c r="P839" s="136" t="n">
        <v>0.1</v>
      </c>
      <c r="Q839" s="289">
        <f>商品マスタ[[#This Row],[仕入
単価]]*商品マスタ[[#This Row],[標準国内送料率]]</f>
        <v/>
      </c>
      <c r="R839" s="289" t="n"/>
      <c r="S839" s="289">
        <f>IF(ISBLANK(商品マスタ[[#This Row],[実績
国内送料]]),商品マスタ[[#This Row],[標準国内送料]],)</f>
        <v/>
      </c>
      <c r="T839" s="289">
        <f>商品マスタ[[#This Row],[仕入
単価]]+商品マスタ[[#This Row],[国内送料]]</f>
        <v/>
      </c>
      <c r="U839" s="289">
        <f>ROUNDUP(商品マスタ[[#This Row],[仕入単価+国内送料]]/0.8,-1)</f>
        <v/>
      </c>
      <c r="V839" s="289">
        <f>商品マスタ[[#This Row],[海外定価
（20％）]]-商品マスタ[[#This Row],[仕入単価+国内送料]]</f>
        <v/>
      </c>
      <c r="W839" s="167">
        <f>ROUNDUP(商品マスタ[[#This Row],[仕入単価+国内送料]]/0.85,-1)</f>
        <v/>
      </c>
      <c r="X839" s="289">
        <f>商品マスタ[[#This Row],[国内定価
（15％）]]-商品マスタ[[#This Row],[仕入単価+国内送料]]</f>
        <v/>
      </c>
      <c r="Y839" s="139" t="n"/>
      <c r="Z839" s="167" t="n"/>
      <c r="AA839" s="167" t="n"/>
      <c r="AB839" s="167" t="n"/>
      <c r="AC839" s="293" t="n"/>
      <c r="AD839" s="167" t="n"/>
      <c r="AE839" s="167" t="n"/>
      <c r="AF839" s="167" t="n"/>
      <c r="AG839" s="144" t="n"/>
    </row>
    <row r="840" ht="18" customHeight="1" s="207">
      <c r="A840" s="166" t="n"/>
      <c r="B840" s="167" t="n"/>
      <c r="C840" s="167" t="n"/>
      <c r="D840" s="143">
        <f>"PRD_SNJ_"&amp;
_xlfn.XLOOKUP(商品マスタ[[#This Row],[仕入先]],テーブル1[仕入先名],テーブル1[仕入先コード],"XXX",0,1)&amp;
"_"&amp;
商品マスタ[[#This Row],[シリアル]]&amp;
"_"&amp;
TEXT(COUNTIFS(商品マスタ!$C$3:C840,商品マスタ[[#This Row],[仕入先]],商品マスタ!$E$3:E840,商品マスタ[[#This Row],[商品名]]), "00")</f>
        <v/>
      </c>
      <c r="E840" s="167" t="n"/>
      <c r="F840" s="167">
        <f>IF(COUNTIFS($C$3:C840,商品マスタ[[#This Row],[仕入先]],$E$3:E840,商品マスタ[[#This Row],[商品名]]) = 1, 1,0)</f>
        <v/>
      </c>
      <c r="G840" s="133">
        <f>TEXT(SUMIF($C$3:C840,商品マスタ[[#This Row],[仕入先]],$F$3:F840), "0000")</f>
        <v/>
      </c>
      <c r="H840" s="167" t="n"/>
      <c r="I840" s="167" t="n"/>
      <c r="J840" s="167" t="n"/>
      <c r="K840" s="167" t="n"/>
      <c r="L840" s="289" t="n"/>
      <c r="M840" s="157" t="n"/>
      <c r="N840" s="289" t="n"/>
      <c r="O840" s="290">
        <f>IF(COUNT(商品マスタ[[#This Row],[参考上代
（税込)]]) &gt; 0, (商品マスタ[[#This Row],[参考上代
（税込)]]-商品マスタ[[#This Row],[国内定価
（15％）]])/(商品マスタ[[#This Row],[参考上代
（税込)]]/1.08), "")</f>
        <v/>
      </c>
      <c r="P840" s="136" t="n">
        <v>0.1</v>
      </c>
      <c r="Q840" s="289">
        <f>商品マスタ[[#This Row],[仕入
単価]]*商品マスタ[[#This Row],[標準国内送料率]]</f>
        <v/>
      </c>
      <c r="R840" s="289" t="n"/>
      <c r="S840" s="289">
        <f>IF(ISBLANK(商品マスタ[[#This Row],[実績
国内送料]]),商品マスタ[[#This Row],[標準国内送料]],)</f>
        <v/>
      </c>
      <c r="T840" s="289">
        <f>商品マスタ[[#This Row],[仕入
単価]]+商品マスタ[[#This Row],[国内送料]]</f>
        <v/>
      </c>
      <c r="U840" s="289">
        <f>ROUNDUP(商品マスタ[[#This Row],[仕入単価+国内送料]]/0.8,-1)</f>
        <v/>
      </c>
      <c r="V840" s="289">
        <f>商品マスタ[[#This Row],[海外定価
（20％）]]-商品マスタ[[#This Row],[仕入単価+国内送料]]</f>
        <v/>
      </c>
      <c r="W840" s="167">
        <f>ROUNDUP(商品マスタ[[#This Row],[仕入単価+国内送料]]/0.85,-1)</f>
        <v/>
      </c>
      <c r="X840" s="289">
        <f>商品マスタ[[#This Row],[国内定価
（15％）]]-商品マスタ[[#This Row],[仕入単価+国内送料]]</f>
        <v/>
      </c>
      <c r="Y840" s="139" t="n"/>
      <c r="Z840" s="167" t="n"/>
      <c r="AA840" s="167" t="n"/>
      <c r="AB840" s="167" t="n"/>
      <c r="AC840" s="293" t="n"/>
      <c r="AD840" s="167" t="n"/>
      <c r="AE840" s="167" t="n"/>
      <c r="AF840" s="167" t="n"/>
      <c r="AG840" s="144" t="n"/>
    </row>
    <row r="841" ht="18" customHeight="1" s="207">
      <c r="A841" s="166" t="n"/>
      <c r="B841" s="167" t="n"/>
      <c r="C841" s="167" t="n"/>
      <c r="D841" s="143">
        <f>"PRD_SNJ_"&amp;
_xlfn.XLOOKUP(商品マスタ[[#This Row],[仕入先]],テーブル1[仕入先名],テーブル1[仕入先コード],"XXX",0,1)&amp;
"_"&amp;
商品マスタ[[#This Row],[シリアル]]&amp;
"_"&amp;
TEXT(COUNTIFS(商品マスタ!$C$3:C841,商品マスタ[[#This Row],[仕入先]],商品マスタ!$E$3:E841,商品マスタ[[#This Row],[商品名]]), "00")</f>
        <v/>
      </c>
      <c r="E841" s="167" t="n"/>
      <c r="F841" s="167">
        <f>IF(COUNTIFS($C$3:C841,商品マスタ[[#This Row],[仕入先]],$E$3:E841,商品マスタ[[#This Row],[商品名]]) = 1, 1,0)</f>
        <v/>
      </c>
      <c r="G841" s="133">
        <f>TEXT(SUMIF($C$3:C841,商品マスタ[[#This Row],[仕入先]],$F$3:F841), "0000")</f>
        <v/>
      </c>
      <c r="H841" s="167" t="n"/>
      <c r="I841" s="167" t="n"/>
      <c r="J841" s="167" t="n"/>
      <c r="K841" s="167" t="n"/>
      <c r="L841" s="289" t="n"/>
      <c r="M841" s="157" t="n"/>
      <c r="N841" s="289" t="n"/>
      <c r="O841" s="290">
        <f>IF(COUNT(商品マスタ[[#This Row],[参考上代
（税込)]]) &gt; 0, (商品マスタ[[#This Row],[参考上代
（税込)]]-商品マスタ[[#This Row],[国内定価
（15％）]])/(商品マスタ[[#This Row],[参考上代
（税込)]]/1.08), "")</f>
        <v/>
      </c>
      <c r="P841" s="136" t="n">
        <v>0.1</v>
      </c>
      <c r="Q841" s="289">
        <f>商品マスタ[[#This Row],[仕入
単価]]*商品マスタ[[#This Row],[標準国内送料率]]</f>
        <v/>
      </c>
      <c r="R841" s="289" t="n"/>
      <c r="S841" s="289">
        <f>IF(ISBLANK(商品マスタ[[#This Row],[実績
国内送料]]),商品マスタ[[#This Row],[標準国内送料]],)</f>
        <v/>
      </c>
      <c r="T841" s="289">
        <f>商品マスタ[[#This Row],[仕入
単価]]+商品マスタ[[#This Row],[国内送料]]</f>
        <v/>
      </c>
      <c r="U841" s="289">
        <f>ROUNDUP(商品マスタ[[#This Row],[仕入単価+国内送料]]/0.8,-1)</f>
        <v/>
      </c>
      <c r="V841" s="289">
        <f>商品マスタ[[#This Row],[海外定価
（20％）]]-商品マスタ[[#This Row],[仕入単価+国内送料]]</f>
        <v/>
      </c>
      <c r="W841" s="167">
        <f>ROUNDUP(商品マスタ[[#This Row],[仕入単価+国内送料]]/0.85,-1)</f>
        <v/>
      </c>
      <c r="X841" s="289">
        <f>商品マスタ[[#This Row],[国内定価
（15％）]]-商品マスタ[[#This Row],[仕入単価+国内送料]]</f>
        <v/>
      </c>
      <c r="Y841" s="139" t="n"/>
      <c r="Z841" s="167" t="n"/>
      <c r="AA841" s="167" t="n"/>
      <c r="AB841" s="167" t="n"/>
      <c r="AC841" s="293" t="n"/>
      <c r="AD841" s="167" t="n"/>
      <c r="AE841" s="167" t="n"/>
      <c r="AF841" s="167" t="n"/>
      <c r="AG841" s="144" t="n"/>
    </row>
    <row r="842" ht="18" customHeight="1" s="207">
      <c r="A842" s="166" t="n"/>
      <c r="B842" s="167" t="n"/>
      <c r="C842" s="167" t="n"/>
      <c r="D842" s="143">
        <f>"PRD_SNJ_"&amp;
_xlfn.XLOOKUP(商品マスタ[[#This Row],[仕入先]],テーブル1[仕入先名],テーブル1[仕入先コード],"XXX",0,1)&amp;
"_"&amp;
商品マスタ[[#This Row],[シリアル]]&amp;
"_"&amp;
TEXT(COUNTIFS(商品マスタ!$C$3:C842,商品マスタ[[#This Row],[仕入先]],商品マスタ!$E$3:E842,商品マスタ[[#This Row],[商品名]]), "00")</f>
        <v/>
      </c>
      <c r="E842" s="167" t="n"/>
      <c r="F842" s="167">
        <f>IF(COUNTIFS($C$3:C842,商品マスタ[[#This Row],[仕入先]],$E$3:E842,商品マスタ[[#This Row],[商品名]]) = 1, 1,0)</f>
        <v/>
      </c>
      <c r="G842" s="133">
        <f>TEXT(SUMIF($C$3:C842,商品マスタ[[#This Row],[仕入先]],$F$3:F842), "0000")</f>
        <v/>
      </c>
      <c r="H842" s="167" t="n"/>
      <c r="I842" s="167" t="n"/>
      <c r="J842" s="167" t="n"/>
      <c r="K842" s="167" t="n"/>
      <c r="L842" s="289" t="n"/>
      <c r="M842" s="157" t="n"/>
      <c r="N842" s="289" t="n"/>
      <c r="O842" s="290">
        <f>IF(COUNT(商品マスタ[[#This Row],[参考上代
（税込)]]) &gt; 0, (商品マスタ[[#This Row],[参考上代
（税込)]]-商品マスタ[[#This Row],[国内定価
（15％）]])/(商品マスタ[[#This Row],[参考上代
（税込)]]/1.08), "")</f>
        <v/>
      </c>
      <c r="P842" s="136" t="n">
        <v>0.1</v>
      </c>
      <c r="Q842" s="289">
        <f>商品マスタ[[#This Row],[仕入
単価]]*商品マスタ[[#This Row],[標準国内送料率]]</f>
        <v/>
      </c>
      <c r="R842" s="289" t="n"/>
      <c r="S842" s="289">
        <f>IF(ISBLANK(商品マスタ[[#This Row],[実績
国内送料]]),商品マスタ[[#This Row],[標準国内送料]],)</f>
        <v/>
      </c>
      <c r="T842" s="289">
        <f>商品マスタ[[#This Row],[仕入
単価]]+商品マスタ[[#This Row],[国内送料]]</f>
        <v/>
      </c>
      <c r="U842" s="289">
        <f>ROUNDUP(商品マスタ[[#This Row],[仕入単価+国内送料]]/0.8,-1)</f>
        <v/>
      </c>
      <c r="V842" s="289">
        <f>商品マスタ[[#This Row],[海外定価
（20％）]]-商品マスタ[[#This Row],[仕入単価+国内送料]]</f>
        <v/>
      </c>
      <c r="W842" s="167">
        <f>ROUNDUP(商品マスタ[[#This Row],[仕入単価+国内送料]]/0.85,-1)</f>
        <v/>
      </c>
      <c r="X842" s="289">
        <f>商品マスタ[[#This Row],[国内定価
（15％）]]-商品マスタ[[#This Row],[仕入単価+国内送料]]</f>
        <v/>
      </c>
      <c r="Y842" s="139" t="n"/>
      <c r="Z842" s="167" t="n"/>
      <c r="AA842" s="167" t="n"/>
      <c r="AB842" s="167" t="n"/>
      <c r="AC842" s="293" t="n"/>
      <c r="AD842" s="167" t="n"/>
      <c r="AE842" s="167" t="n"/>
      <c r="AF842" s="167" t="n"/>
      <c r="AG842" s="144" t="n"/>
    </row>
    <row r="843" ht="18" customHeight="1" s="207">
      <c r="A843" s="166" t="n"/>
      <c r="B843" s="167" t="n"/>
      <c r="C843" s="167" t="n"/>
      <c r="D843" s="143">
        <f>"PRD_SNJ_"&amp;
_xlfn.XLOOKUP(商品マスタ[[#This Row],[仕入先]],テーブル1[仕入先名],テーブル1[仕入先コード],"XXX",0,1)&amp;
"_"&amp;
商品マスタ[[#This Row],[シリアル]]&amp;
"_"&amp;
TEXT(COUNTIFS(商品マスタ!$C$3:C843,商品マスタ[[#This Row],[仕入先]],商品マスタ!$E$3:E843,商品マスタ[[#This Row],[商品名]]), "00")</f>
        <v/>
      </c>
      <c r="E843" s="167" t="n"/>
      <c r="F843" s="167">
        <f>IF(COUNTIFS($C$3:C843,商品マスタ[[#This Row],[仕入先]],$E$3:E843,商品マスタ[[#This Row],[商品名]]) = 1, 1,0)</f>
        <v/>
      </c>
      <c r="G843" s="133">
        <f>TEXT(SUMIF($C$3:C843,商品マスタ[[#This Row],[仕入先]],$F$3:F843), "0000")</f>
        <v/>
      </c>
      <c r="H843" s="167" t="n"/>
      <c r="I843" s="167" t="n"/>
      <c r="J843" s="167" t="n"/>
      <c r="K843" s="167" t="n"/>
      <c r="L843" s="289" t="n"/>
      <c r="M843" s="157" t="n"/>
      <c r="N843" s="289" t="n"/>
      <c r="O843" s="290">
        <f>IF(COUNT(商品マスタ[[#This Row],[参考上代
（税込)]]) &gt; 0, (商品マスタ[[#This Row],[参考上代
（税込)]]-商品マスタ[[#This Row],[国内定価
（15％）]])/(商品マスタ[[#This Row],[参考上代
（税込)]]/1.08), "")</f>
        <v/>
      </c>
      <c r="P843" s="136" t="n">
        <v>0.1</v>
      </c>
      <c r="Q843" s="289">
        <f>商品マスタ[[#This Row],[仕入
単価]]*商品マスタ[[#This Row],[標準国内送料率]]</f>
        <v/>
      </c>
      <c r="R843" s="289" t="n"/>
      <c r="S843" s="289">
        <f>IF(ISBLANK(商品マスタ[[#This Row],[実績
国内送料]]),商品マスタ[[#This Row],[標準国内送料]],)</f>
        <v/>
      </c>
      <c r="T843" s="289">
        <f>商品マスタ[[#This Row],[仕入
単価]]+商品マスタ[[#This Row],[国内送料]]</f>
        <v/>
      </c>
      <c r="U843" s="289">
        <f>ROUNDUP(商品マスタ[[#This Row],[仕入単価+国内送料]]/0.8,-1)</f>
        <v/>
      </c>
      <c r="V843" s="289">
        <f>商品マスタ[[#This Row],[海外定価
（20％）]]-商品マスタ[[#This Row],[仕入単価+国内送料]]</f>
        <v/>
      </c>
      <c r="W843" s="167">
        <f>ROUNDUP(商品マスタ[[#This Row],[仕入単価+国内送料]]/0.85,-1)</f>
        <v/>
      </c>
      <c r="X843" s="289">
        <f>商品マスタ[[#This Row],[国内定価
（15％）]]-商品マスタ[[#This Row],[仕入単価+国内送料]]</f>
        <v/>
      </c>
      <c r="Y843" s="139" t="n"/>
      <c r="Z843" s="167" t="n"/>
      <c r="AA843" s="167" t="n"/>
      <c r="AB843" s="167" t="n"/>
      <c r="AC843" s="293" t="n"/>
      <c r="AD843" s="167" t="n"/>
      <c r="AE843" s="167" t="n"/>
      <c r="AF843" s="167" t="n"/>
      <c r="AG843" s="144" t="n"/>
    </row>
    <row r="844" ht="18" customHeight="1" s="207">
      <c r="A844" s="166" t="n"/>
      <c r="B844" s="167" t="n"/>
      <c r="C844" s="167" t="n"/>
      <c r="D844" s="143">
        <f>"PRD_SNJ_"&amp;
_xlfn.XLOOKUP(商品マスタ[[#This Row],[仕入先]],テーブル1[仕入先名],テーブル1[仕入先コード],"XXX",0,1)&amp;
"_"&amp;
商品マスタ[[#This Row],[シリアル]]&amp;
"_"&amp;
TEXT(COUNTIFS(商品マスタ!$C$3:C844,商品マスタ[[#This Row],[仕入先]],商品マスタ!$E$3:E844,商品マスタ[[#This Row],[商品名]]), "00")</f>
        <v/>
      </c>
      <c r="E844" s="167" t="n"/>
      <c r="F844" s="167">
        <f>IF(COUNTIFS($C$3:C844,商品マスタ[[#This Row],[仕入先]],$E$3:E844,商品マスタ[[#This Row],[商品名]]) = 1, 1,0)</f>
        <v/>
      </c>
      <c r="G844" s="133">
        <f>TEXT(SUMIF($C$3:C844,商品マスタ[[#This Row],[仕入先]],$F$3:F844), "0000")</f>
        <v/>
      </c>
      <c r="H844" s="167" t="n"/>
      <c r="I844" s="167" t="n"/>
      <c r="J844" s="167" t="n"/>
      <c r="K844" s="167" t="n"/>
      <c r="L844" s="289" t="n"/>
      <c r="M844" s="157" t="n"/>
      <c r="N844" s="289" t="n"/>
      <c r="O844" s="290">
        <f>IF(COUNT(商品マスタ[[#This Row],[参考上代
（税込)]]) &gt; 0, (商品マスタ[[#This Row],[参考上代
（税込)]]-商品マスタ[[#This Row],[国内定価
（15％）]])/(商品マスタ[[#This Row],[参考上代
（税込)]]/1.08), "")</f>
        <v/>
      </c>
      <c r="P844" s="136" t="n">
        <v>0.1</v>
      </c>
      <c r="Q844" s="289">
        <f>商品マスタ[[#This Row],[仕入
単価]]*商品マスタ[[#This Row],[標準国内送料率]]</f>
        <v/>
      </c>
      <c r="R844" s="289" t="n"/>
      <c r="S844" s="289">
        <f>IF(ISBLANK(商品マスタ[[#This Row],[実績
国内送料]]),商品マスタ[[#This Row],[標準国内送料]],)</f>
        <v/>
      </c>
      <c r="T844" s="289">
        <f>商品マスタ[[#This Row],[仕入
単価]]+商品マスタ[[#This Row],[国内送料]]</f>
        <v/>
      </c>
      <c r="U844" s="289">
        <f>ROUNDUP(商品マスタ[[#This Row],[仕入単価+国内送料]]/0.8,-1)</f>
        <v/>
      </c>
      <c r="V844" s="289">
        <f>商品マスタ[[#This Row],[海外定価
（20％）]]-商品マスタ[[#This Row],[仕入単価+国内送料]]</f>
        <v/>
      </c>
      <c r="W844" s="167">
        <f>ROUNDUP(商品マスタ[[#This Row],[仕入単価+国内送料]]/0.85,-1)</f>
        <v/>
      </c>
      <c r="X844" s="289">
        <f>商品マスタ[[#This Row],[国内定価
（15％）]]-商品マスタ[[#This Row],[仕入単価+国内送料]]</f>
        <v/>
      </c>
      <c r="Y844" s="139" t="n"/>
      <c r="Z844" s="167" t="n"/>
      <c r="AA844" s="167" t="n"/>
      <c r="AB844" s="167" t="n"/>
      <c r="AC844" s="293" t="n"/>
      <c r="AD844" s="167" t="n"/>
      <c r="AE844" s="167" t="n"/>
      <c r="AF844" s="167" t="n"/>
      <c r="AG844" s="144" t="n"/>
    </row>
    <row r="845" ht="18" customHeight="1" s="207">
      <c r="A845" s="166" t="n"/>
      <c r="B845" s="167" t="n"/>
      <c r="C845" s="167" t="n"/>
      <c r="D845" s="143">
        <f>"PRD_SNJ_"&amp;
_xlfn.XLOOKUP(商品マスタ[[#This Row],[仕入先]],テーブル1[仕入先名],テーブル1[仕入先コード],"XXX",0,1)&amp;
"_"&amp;
商品マスタ[[#This Row],[シリアル]]&amp;
"_"&amp;
TEXT(COUNTIFS(商品マスタ!$C$3:C845,商品マスタ[[#This Row],[仕入先]],商品マスタ!$E$3:E845,商品マスタ[[#This Row],[商品名]]), "00")</f>
        <v/>
      </c>
      <c r="E845" s="167" t="n"/>
      <c r="F845" s="167">
        <f>IF(COUNTIFS($C$3:C845,商品マスタ[[#This Row],[仕入先]],$E$3:E845,商品マスタ[[#This Row],[商品名]]) = 1, 1,0)</f>
        <v/>
      </c>
      <c r="G845" s="133">
        <f>TEXT(SUMIF($C$3:C845,商品マスタ[[#This Row],[仕入先]],$F$3:F845), "0000")</f>
        <v/>
      </c>
      <c r="H845" s="167" t="n"/>
      <c r="I845" s="167" t="n"/>
      <c r="J845" s="167" t="n"/>
      <c r="K845" s="167" t="n"/>
      <c r="L845" s="289" t="n"/>
      <c r="M845" s="157" t="n"/>
      <c r="N845" s="289" t="n"/>
      <c r="O845" s="290">
        <f>IF(COUNT(商品マスタ[[#This Row],[参考上代
（税込)]]) &gt; 0, (商品マスタ[[#This Row],[参考上代
（税込)]]-商品マスタ[[#This Row],[国内定価
（15％）]])/(商品マスタ[[#This Row],[参考上代
（税込)]]/1.08), "")</f>
        <v/>
      </c>
      <c r="P845" s="136" t="n">
        <v>0.1</v>
      </c>
      <c r="Q845" s="289">
        <f>商品マスタ[[#This Row],[仕入
単価]]*商品マスタ[[#This Row],[標準国内送料率]]</f>
        <v/>
      </c>
      <c r="R845" s="289" t="n"/>
      <c r="S845" s="289">
        <f>IF(ISBLANK(商品マスタ[[#This Row],[実績
国内送料]]),商品マスタ[[#This Row],[標準国内送料]],)</f>
        <v/>
      </c>
      <c r="T845" s="289">
        <f>商品マスタ[[#This Row],[仕入
単価]]+商品マスタ[[#This Row],[国内送料]]</f>
        <v/>
      </c>
      <c r="U845" s="289">
        <f>ROUNDUP(商品マスタ[[#This Row],[仕入単価+国内送料]]/0.8,-1)</f>
        <v/>
      </c>
      <c r="V845" s="289">
        <f>商品マスタ[[#This Row],[海外定価
（20％）]]-商品マスタ[[#This Row],[仕入単価+国内送料]]</f>
        <v/>
      </c>
      <c r="W845" s="167">
        <f>ROUNDUP(商品マスタ[[#This Row],[仕入単価+国内送料]]/0.85,-1)</f>
        <v/>
      </c>
      <c r="X845" s="289">
        <f>商品マスタ[[#This Row],[国内定価
（15％）]]-商品マスタ[[#This Row],[仕入単価+国内送料]]</f>
        <v/>
      </c>
      <c r="Y845" s="139" t="n"/>
      <c r="Z845" s="167" t="n"/>
      <c r="AA845" s="167" t="n"/>
      <c r="AB845" s="167" t="n"/>
      <c r="AC845" s="293" t="n"/>
      <c r="AD845" s="167" t="n"/>
      <c r="AE845" s="167" t="n"/>
      <c r="AF845" s="167" t="n"/>
      <c r="AG845" s="144" t="n"/>
    </row>
    <row r="846" ht="18" customHeight="1" s="207">
      <c r="A846" s="166" t="n"/>
      <c r="B846" s="167" t="n"/>
      <c r="C846" s="167" t="n"/>
      <c r="D846" s="143">
        <f>"PRD_SNJ_"&amp;
_xlfn.XLOOKUP(商品マスタ[[#This Row],[仕入先]],テーブル1[仕入先名],テーブル1[仕入先コード],"XXX",0,1)&amp;
"_"&amp;
商品マスタ[[#This Row],[シリアル]]&amp;
"_"&amp;
TEXT(COUNTIFS(商品マスタ!$C$3:C846,商品マスタ[[#This Row],[仕入先]],商品マスタ!$E$3:E846,商品マスタ[[#This Row],[商品名]]), "00")</f>
        <v/>
      </c>
      <c r="E846" s="167" t="n"/>
      <c r="F846" s="167">
        <f>IF(COUNTIFS($C$3:C846,商品マスタ[[#This Row],[仕入先]],$E$3:E846,商品マスタ[[#This Row],[商品名]]) = 1, 1,0)</f>
        <v/>
      </c>
      <c r="G846" s="133">
        <f>TEXT(SUMIF($C$3:C846,商品マスタ[[#This Row],[仕入先]],$F$3:F846), "0000")</f>
        <v/>
      </c>
      <c r="H846" s="167" t="n"/>
      <c r="I846" s="167" t="n"/>
      <c r="J846" s="167" t="n"/>
      <c r="K846" s="167" t="n"/>
      <c r="L846" s="289" t="n"/>
      <c r="M846" s="157" t="n"/>
      <c r="N846" s="289" t="n"/>
      <c r="O846" s="290">
        <f>IF(COUNT(商品マスタ[[#This Row],[参考上代
（税込)]]) &gt; 0, (商品マスタ[[#This Row],[参考上代
（税込)]]-商品マスタ[[#This Row],[国内定価
（15％）]])/(商品マスタ[[#This Row],[参考上代
（税込)]]/1.08), "")</f>
        <v/>
      </c>
      <c r="P846" s="136" t="n">
        <v>0.1</v>
      </c>
      <c r="Q846" s="289">
        <f>商品マスタ[[#This Row],[仕入
単価]]*商品マスタ[[#This Row],[標準国内送料率]]</f>
        <v/>
      </c>
      <c r="R846" s="289" t="n"/>
      <c r="S846" s="289">
        <f>IF(ISBLANK(商品マスタ[[#This Row],[実績
国内送料]]),商品マスタ[[#This Row],[標準国内送料]],)</f>
        <v/>
      </c>
      <c r="T846" s="289">
        <f>商品マスタ[[#This Row],[仕入
単価]]+商品マスタ[[#This Row],[国内送料]]</f>
        <v/>
      </c>
      <c r="U846" s="289">
        <f>ROUNDUP(商品マスタ[[#This Row],[仕入単価+国内送料]]/0.8,-1)</f>
        <v/>
      </c>
      <c r="V846" s="289">
        <f>商品マスタ[[#This Row],[海外定価
（20％）]]-商品マスタ[[#This Row],[仕入単価+国内送料]]</f>
        <v/>
      </c>
      <c r="W846" s="167">
        <f>ROUNDUP(商品マスタ[[#This Row],[仕入単価+国内送料]]/0.85,-1)</f>
        <v/>
      </c>
      <c r="X846" s="289">
        <f>商品マスタ[[#This Row],[国内定価
（15％）]]-商品マスタ[[#This Row],[仕入単価+国内送料]]</f>
        <v/>
      </c>
      <c r="Y846" s="139" t="n"/>
      <c r="Z846" s="167" t="n"/>
      <c r="AA846" s="167" t="n"/>
      <c r="AB846" s="167" t="n"/>
      <c r="AC846" s="293" t="n"/>
      <c r="AD846" s="167" t="n"/>
      <c r="AE846" s="167" t="n"/>
      <c r="AF846" s="167" t="n"/>
      <c r="AG846" s="144" t="n"/>
    </row>
    <row r="847" ht="18" customHeight="1" s="207">
      <c r="A847" s="166" t="n"/>
      <c r="B847" s="167" t="n"/>
      <c r="C847" s="167" t="n"/>
      <c r="D847" s="143">
        <f>"PRD_SNJ_"&amp;
_xlfn.XLOOKUP(商品マスタ[[#This Row],[仕入先]],テーブル1[仕入先名],テーブル1[仕入先コード],"XXX",0,1)&amp;
"_"&amp;
商品マスタ[[#This Row],[シリアル]]&amp;
"_"&amp;
TEXT(COUNTIFS(商品マスタ!$C$3:C847,商品マスタ[[#This Row],[仕入先]],商品マスタ!$E$3:E847,商品マスタ[[#This Row],[商品名]]), "00")</f>
        <v/>
      </c>
      <c r="E847" s="167" t="n"/>
      <c r="F847" s="167">
        <f>IF(COUNTIFS($C$3:C847,商品マスタ[[#This Row],[仕入先]],$E$3:E847,商品マスタ[[#This Row],[商品名]]) = 1, 1,0)</f>
        <v/>
      </c>
      <c r="G847" s="133">
        <f>TEXT(SUMIF($C$3:C847,商品マスタ[[#This Row],[仕入先]],$F$3:F847), "0000")</f>
        <v/>
      </c>
      <c r="H847" s="167" t="n"/>
      <c r="I847" s="167" t="n"/>
      <c r="J847" s="167" t="n"/>
      <c r="K847" s="167" t="n"/>
      <c r="L847" s="289" t="n"/>
      <c r="M847" s="157" t="n"/>
      <c r="N847" s="289" t="n"/>
      <c r="O847" s="290">
        <f>IF(COUNT(商品マスタ[[#This Row],[参考上代
（税込)]]) &gt; 0, (商品マスタ[[#This Row],[参考上代
（税込)]]-商品マスタ[[#This Row],[国内定価
（15％）]])/(商品マスタ[[#This Row],[参考上代
（税込)]]/1.08), "")</f>
        <v/>
      </c>
      <c r="P847" s="136" t="n">
        <v>0.1</v>
      </c>
      <c r="Q847" s="289">
        <f>商品マスタ[[#This Row],[仕入
単価]]*商品マスタ[[#This Row],[標準国内送料率]]</f>
        <v/>
      </c>
      <c r="R847" s="289" t="n"/>
      <c r="S847" s="289">
        <f>IF(ISBLANK(商品マスタ[[#This Row],[実績
国内送料]]),商品マスタ[[#This Row],[標準国内送料]],)</f>
        <v/>
      </c>
      <c r="T847" s="289">
        <f>商品マスタ[[#This Row],[仕入
単価]]+商品マスタ[[#This Row],[国内送料]]</f>
        <v/>
      </c>
      <c r="U847" s="289">
        <f>ROUNDUP(商品マスタ[[#This Row],[仕入単価+国内送料]]/0.8,-1)</f>
        <v/>
      </c>
      <c r="V847" s="289">
        <f>商品マスタ[[#This Row],[海外定価
（20％）]]-商品マスタ[[#This Row],[仕入単価+国内送料]]</f>
        <v/>
      </c>
      <c r="W847" s="167">
        <f>ROUNDUP(商品マスタ[[#This Row],[仕入単価+国内送料]]/0.85,-1)</f>
        <v/>
      </c>
      <c r="X847" s="289">
        <f>商品マスタ[[#This Row],[国内定価
（15％）]]-商品マスタ[[#This Row],[仕入単価+国内送料]]</f>
        <v/>
      </c>
      <c r="Y847" s="139" t="n"/>
      <c r="Z847" s="167" t="n"/>
      <c r="AA847" s="167" t="n"/>
      <c r="AB847" s="167" t="n"/>
      <c r="AC847" s="293" t="n"/>
      <c r="AD847" s="167" t="n"/>
      <c r="AE847" s="167" t="n"/>
      <c r="AF847" s="167" t="n"/>
      <c r="AG847" s="144" t="n"/>
    </row>
    <row r="848" ht="18" customHeight="1" s="207">
      <c r="A848" s="166" t="n"/>
      <c r="B848" s="167" t="n"/>
      <c r="C848" s="167" t="n"/>
      <c r="D848" s="143">
        <f>"PRD_SNJ_"&amp;
_xlfn.XLOOKUP(商品マスタ[[#This Row],[仕入先]],テーブル1[仕入先名],テーブル1[仕入先コード],"XXX",0,1)&amp;
"_"&amp;
商品マスタ[[#This Row],[シリアル]]&amp;
"_"&amp;
TEXT(COUNTIFS(商品マスタ!$C$3:C848,商品マスタ[[#This Row],[仕入先]],商品マスタ!$E$3:E848,商品マスタ[[#This Row],[商品名]]), "00")</f>
        <v/>
      </c>
      <c r="E848" s="167" t="n"/>
      <c r="F848" s="167">
        <f>IF(COUNTIFS($C$3:C848,商品マスタ[[#This Row],[仕入先]],$E$3:E848,商品マスタ[[#This Row],[商品名]]) = 1, 1,0)</f>
        <v/>
      </c>
      <c r="G848" s="133">
        <f>TEXT(SUMIF($C$3:C848,商品マスタ[[#This Row],[仕入先]],$F$3:F848), "0000")</f>
        <v/>
      </c>
      <c r="H848" s="167" t="n"/>
      <c r="I848" s="167" t="n"/>
      <c r="J848" s="167" t="n"/>
      <c r="K848" s="167" t="n"/>
      <c r="L848" s="289" t="n"/>
      <c r="M848" s="157" t="n"/>
      <c r="N848" s="289" t="n"/>
      <c r="O848" s="290">
        <f>IF(COUNT(商品マスタ[[#This Row],[参考上代
（税込)]]) &gt; 0, (商品マスタ[[#This Row],[参考上代
（税込)]]-商品マスタ[[#This Row],[国内定価
（15％）]])/(商品マスタ[[#This Row],[参考上代
（税込)]]/1.08), "")</f>
        <v/>
      </c>
      <c r="P848" s="136" t="n">
        <v>0.1</v>
      </c>
      <c r="Q848" s="289">
        <f>商品マスタ[[#This Row],[仕入
単価]]*商品マスタ[[#This Row],[標準国内送料率]]</f>
        <v/>
      </c>
      <c r="R848" s="289" t="n"/>
      <c r="S848" s="289">
        <f>IF(ISBLANK(商品マスタ[[#This Row],[実績
国内送料]]),商品マスタ[[#This Row],[標準国内送料]],)</f>
        <v/>
      </c>
      <c r="T848" s="289">
        <f>商品マスタ[[#This Row],[仕入
単価]]+商品マスタ[[#This Row],[国内送料]]</f>
        <v/>
      </c>
      <c r="U848" s="289">
        <f>ROUNDUP(商品マスタ[[#This Row],[仕入単価+国内送料]]/0.8,-1)</f>
        <v/>
      </c>
      <c r="V848" s="289">
        <f>商品マスタ[[#This Row],[海外定価
（20％）]]-商品マスタ[[#This Row],[仕入単価+国内送料]]</f>
        <v/>
      </c>
      <c r="W848" s="167">
        <f>ROUNDUP(商品マスタ[[#This Row],[仕入単価+国内送料]]/0.85,-1)</f>
        <v/>
      </c>
      <c r="X848" s="289">
        <f>商品マスタ[[#This Row],[国内定価
（15％）]]-商品マスタ[[#This Row],[仕入単価+国内送料]]</f>
        <v/>
      </c>
      <c r="Y848" s="139" t="n"/>
      <c r="Z848" s="167" t="n"/>
      <c r="AA848" s="167" t="n"/>
      <c r="AB848" s="167" t="n"/>
      <c r="AC848" s="293" t="n"/>
      <c r="AD848" s="167" t="n"/>
      <c r="AE848" s="167" t="n"/>
      <c r="AF848" s="167" t="n"/>
      <c r="AG848" s="144" t="n"/>
    </row>
    <row r="849" ht="18" customHeight="1" s="207">
      <c r="A849" s="166" t="n"/>
      <c r="B849" s="167" t="n"/>
      <c r="C849" s="167" t="n"/>
      <c r="D849" s="143">
        <f>"PRD_SNJ_"&amp;
_xlfn.XLOOKUP(商品マスタ[[#This Row],[仕入先]],テーブル1[仕入先名],テーブル1[仕入先コード],"XXX",0,1)&amp;
"_"&amp;
商品マスタ[[#This Row],[シリアル]]&amp;
"_"&amp;
TEXT(COUNTIFS(商品マスタ!$C$3:C849,商品マスタ[[#This Row],[仕入先]],商品マスタ!$E$3:E849,商品マスタ[[#This Row],[商品名]]), "00")</f>
        <v/>
      </c>
      <c r="E849" s="167" t="n"/>
      <c r="F849" s="167">
        <f>IF(COUNTIFS($C$3:C849,商品マスタ[[#This Row],[仕入先]],$E$3:E849,商品マスタ[[#This Row],[商品名]]) = 1, 1,0)</f>
        <v/>
      </c>
      <c r="G849" s="133">
        <f>TEXT(SUMIF($C$3:C849,商品マスタ[[#This Row],[仕入先]],$F$3:F849), "0000")</f>
        <v/>
      </c>
      <c r="H849" s="167" t="n"/>
      <c r="I849" s="167" t="n"/>
      <c r="J849" s="167" t="n"/>
      <c r="K849" s="167" t="n"/>
      <c r="L849" s="289" t="n"/>
      <c r="M849" s="157" t="n"/>
      <c r="N849" s="289" t="n"/>
      <c r="O849" s="290">
        <f>IF(COUNT(商品マスタ[[#This Row],[参考上代
（税込)]]) &gt; 0, (商品マスタ[[#This Row],[参考上代
（税込)]]-商品マスタ[[#This Row],[国内定価
（15％）]])/(商品マスタ[[#This Row],[参考上代
（税込)]]/1.08), "")</f>
        <v/>
      </c>
      <c r="P849" s="136" t="n">
        <v>0.1</v>
      </c>
      <c r="Q849" s="289">
        <f>商品マスタ[[#This Row],[仕入
単価]]*商品マスタ[[#This Row],[標準国内送料率]]</f>
        <v/>
      </c>
      <c r="R849" s="289" t="n"/>
      <c r="S849" s="289">
        <f>IF(ISBLANK(商品マスタ[[#This Row],[実績
国内送料]]),商品マスタ[[#This Row],[標準国内送料]],)</f>
        <v/>
      </c>
      <c r="T849" s="289">
        <f>商品マスタ[[#This Row],[仕入
単価]]+商品マスタ[[#This Row],[国内送料]]</f>
        <v/>
      </c>
      <c r="U849" s="289">
        <f>ROUNDUP(商品マスタ[[#This Row],[仕入単価+国内送料]]/0.8,-1)</f>
        <v/>
      </c>
      <c r="V849" s="289">
        <f>商品マスタ[[#This Row],[海外定価
（20％）]]-商品マスタ[[#This Row],[仕入単価+国内送料]]</f>
        <v/>
      </c>
      <c r="W849" s="167">
        <f>ROUNDUP(商品マスタ[[#This Row],[仕入単価+国内送料]]/0.85,-1)</f>
        <v/>
      </c>
      <c r="X849" s="289">
        <f>商品マスタ[[#This Row],[国内定価
（15％）]]-商品マスタ[[#This Row],[仕入単価+国内送料]]</f>
        <v/>
      </c>
      <c r="Y849" s="139" t="n"/>
      <c r="Z849" s="167" t="n"/>
      <c r="AA849" s="167" t="n"/>
      <c r="AB849" s="167" t="n"/>
      <c r="AC849" s="293" t="n"/>
      <c r="AD849" s="167" t="n"/>
      <c r="AE849" s="167" t="n"/>
      <c r="AF849" s="167" t="n"/>
      <c r="AG849" s="144" t="n"/>
    </row>
    <row r="850" ht="18" customHeight="1" s="207">
      <c r="A850" s="166" t="n"/>
      <c r="B850" s="167" t="n"/>
      <c r="C850" s="167" t="n"/>
      <c r="D850" s="143">
        <f>"PRD_SNJ_"&amp;
_xlfn.XLOOKUP(商品マスタ[[#This Row],[仕入先]],テーブル1[仕入先名],テーブル1[仕入先コード],"XXX",0,1)&amp;
"_"&amp;
商品マスタ[[#This Row],[シリアル]]&amp;
"_"&amp;
TEXT(COUNTIFS(商品マスタ!$C$3:C850,商品マスタ[[#This Row],[仕入先]],商品マスタ!$E$3:E850,商品マスタ[[#This Row],[商品名]]), "00")</f>
        <v/>
      </c>
      <c r="E850" s="167" t="n"/>
      <c r="F850" s="167">
        <f>IF(COUNTIFS($C$3:C850,商品マスタ[[#This Row],[仕入先]],$E$3:E850,商品マスタ[[#This Row],[商品名]]) = 1, 1,0)</f>
        <v/>
      </c>
      <c r="G850" s="133">
        <f>TEXT(SUMIF($C$3:C850,商品マスタ[[#This Row],[仕入先]],$F$3:F850), "0000")</f>
        <v/>
      </c>
      <c r="H850" s="167" t="n"/>
      <c r="I850" s="167" t="n"/>
      <c r="J850" s="167" t="n"/>
      <c r="K850" s="167" t="n"/>
      <c r="L850" s="289" t="n"/>
      <c r="M850" s="157" t="n"/>
      <c r="N850" s="289" t="n"/>
      <c r="O850" s="290">
        <f>IF(COUNT(商品マスタ[[#This Row],[参考上代
（税込)]]) &gt; 0, (商品マスタ[[#This Row],[参考上代
（税込)]]-商品マスタ[[#This Row],[国内定価
（15％）]])/(商品マスタ[[#This Row],[参考上代
（税込)]]/1.08), "")</f>
        <v/>
      </c>
      <c r="P850" s="136" t="n">
        <v>0.1</v>
      </c>
      <c r="Q850" s="289">
        <f>商品マスタ[[#This Row],[仕入
単価]]*商品マスタ[[#This Row],[標準国内送料率]]</f>
        <v/>
      </c>
      <c r="R850" s="289" t="n"/>
      <c r="S850" s="289">
        <f>IF(ISBLANK(商品マスタ[[#This Row],[実績
国内送料]]),商品マスタ[[#This Row],[標準国内送料]],)</f>
        <v/>
      </c>
      <c r="T850" s="289">
        <f>商品マスタ[[#This Row],[仕入
単価]]+商品マスタ[[#This Row],[国内送料]]</f>
        <v/>
      </c>
      <c r="U850" s="289">
        <f>ROUNDUP(商品マスタ[[#This Row],[仕入単価+国内送料]]/0.8,-1)</f>
        <v/>
      </c>
      <c r="V850" s="289">
        <f>商品マスタ[[#This Row],[海外定価
（20％）]]-商品マスタ[[#This Row],[仕入単価+国内送料]]</f>
        <v/>
      </c>
      <c r="W850" s="167">
        <f>ROUNDUP(商品マスタ[[#This Row],[仕入単価+国内送料]]/0.85,-1)</f>
        <v/>
      </c>
      <c r="X850" s="289">
        <f>商品マスタ[[#This Row],[国内定価
（15％）]]-商品マスタ[[#This Row],[仕入単価+国内送料]]</f>
        <v/>
      </c>
      <c r="Y850" s="139" t="n"/>
      <c r="Z850" s="167" t="n"/>
      <c r="AA850" s="167" t="n"/>
      <c r="AB850" s="167" t="n"/>
      <c r="AC850" s="293" t="n"/>
      <c r="AD850" s="167" t="n"/>
      <c r="AE850" s="167" t="n"/>
      <c r="AF850" s="167" t="n"/>
      <c r="AG850" s="144" t="n"/>
    </row>
    <row r="851" ht="18" customHeight="1" s="207">
      <c r="A851" s="166" t="n"/>
      <c r="B851" s="167" t="n"/>
      <c r="C851" s="167" t="n"/>
      <c r="D851" s="143">
        <f>"PRD_SNJ_"&amp;
_xlfn.XLOOKUP(商品マスタ[[#This Row],[仕入先]],テーブル1[仕入先名],テーブル1[仕入先コード],"XXX",0,1)&amp;
"_"&amp;
商品マスタ[[#This Row],[シリアル]]&amp;
"_"&amp;
TEXT(COUNTIFS(商品マスタ!$C$3:C851,商品マスタ[[#This Row],[仕入先]],商品マスタ!$E$3:E851,商品マスタ[[#This Row],[商品名]]), "00")</f>
        <v/>
      </c>
      <c r="E851" s="167" t="n"/>
      <c r="F851" s="167">
        <f>IF(COUNTIFS($C$3:C851,商品マスタ[[#This Row],[仕入先]],$E$3:E851,商品マスタ[[#This Row],[商品名]]) = 1, 1,0)</f>
        <v/>
      </c>
      <c r="G851" s="133">
        <f>TEXT(SUMIF($C$3:C851,商品マスタ[[#This Row],[仕入先]],$F$3:F851), "0000")</f>
        <v/>
      </c>
      <c r="H851" s="167" t="n"/>
      <c r="I851" s="167" t="n"/>
      <c r="J851" s="167" t="n"/>
      <c r="K851" s="167" t="n"/>
      <c r="L851" s="289" t="n"/>
      <c r="M851" s="157" t="n"/>
      <c r="N851" s="289" t="n"/>
      <c r="O851" s="290">
        <f>IF(COUNT(商品マスタ[[#This Row],[参考上代
（税込)]]) &gt; 0, (商品マスタ[[#This Row],[参考上代
（税込)]]-商品マスタ[[#This Row],[国内定価
（15％）]])/(商品マスタ[[#This Row],[参考上代
（税込)]]/1.08), "")</f>
        <v/>
      </c>
      <c r="P851" s="136" t="n">
        <v>0.1</v>
      </c>
      <c r="Q851" s="289">
        <f>商品マスタ[[#This Row],[仕入
単価]]*商品マスタ[[#This Row],[標準国内送料率]]</f>
        <v/>
      </c>
      <c r="R851" s="289" t="n"/>
      <c r="S851" s="289">
        <f>IF(ISBLANK(商品マスタ[[#This Row],[実績
国内送料]]),商品マスタ[[#This Row],[標準国内送料]],)</f>
        <v/>
      </c>
      <c r="T851" s="289">
        <f>商品マスタ[[#This Row],[仕入
単価]]+商品マスタ[[#This Row],[国内送料]]</f>
        <v/>
      </c>
      <c r="U851" s="289">
        <f>ROUNDUP(商品マスタ[[#This Row],[仕入単価+国内送料]]/0.8,-1)</f>
        <v/>
      </c>
      <c r="V851" s="289">
        <f>商品マスタ[[#This Row],[海外定価
（20％）]]-商品マスタ[[#This Row],[仕入単価+国内送料]]</f>
        <v/>
      </c>
      <c r="W851" s="167">
        <f>ROUNDUP(商品マスタ[[#This Row],[仕入単価+国内送料]]/0.85,-1)</f>
        <v/>
      </c>
      <c r="X851" s="289">
        <f>商品マスタ[[#This Row],[国内定価
（15％）]]-商品マスタ[[#This Row],[仕入単価+国内送料]]</f>
        <v/>
      </c>
      <c r="Y851" s="139" t="n"/>
      <c r="Z851" s="167" t="n"/>
      <c r="AA851" s="167" t="n"/>
      <c r="AB851" s="167" t="n"/>
      <c r="AC851" s="293" t="n"/>
      <c r="AD851" s="167" t="n"/>
      <c r="AE851" s="167" t="n"/>
      <c r="AF851" s="167" t="n"/>
      <c r="AG851" s="144" t="n"/>
    </row>
    <row r="852" ht="18" customHeight="1" s="207">
      <c r="A852" s="166" t="n"/>
      <c r="B852" s="167" t="n"/>
      <c r="C852" s="167" t="n"/>
      <c r="D852" s="143">
        <f>"PRD_SNJ_"&amp;
_xlfn.XLOOKUP(商品マスタ[[#This Row],[仕入先]],テーブル1[仕入先名],テーブル1[仕入先コード],"XXX",0,1)&amp;
"_"&amp;
商品マスタ[[#This Row],[シリアル]]&amp;
"_"&amp;
TEXT(COUNTIFS(商品マスタ!$C$3:C852,商品マスタ[[#This Row],[仕入先]],商品マスタ!$E$3:E852,商品マスタ[[#This Row],[商品名]]), "00")</f>
        <v/>
      </c>
      <c r="E852" s="167" t="n"/>
      <c r="F852" s="167">
        <f>IF(COUNTIFS($C$3:C852,商品マスタ[[#This Row],[仕入先]],$E$3:E852,商品マスタ[[#This Row],[商品名]]) = 1, 1,0)</f>
        <v/>
      </c>
      <c r="G852" s="133">
        <f>TEXT(SUMIF($C$3:C852,商品マスタ[[#This Row],[仕入先]],$F$3:F852), "0000")</f>
        <v/>
      </c>
      <c r="H852" s="167" t="n"/>
      <c r="I852" s="167" t="n"/>
      <c r="J852" s="167" t="n"/>
      <c r="K852" s="167" t="n"/>
      <c r="L852" s="289" t="n"/>
      <c r="M852" s="157" t="n"/>
      <c r="N852" s="289" t="n"/>
      <c r="O852" s="290">
        <f>IF(COUNT(商品マスタ[[#This Row],[参考上代
（税込)]]) &gt; 0, (商品マスタ[[#This Row],[参考上代
（税込)]]-商品マスタ[[#This Row],[国内定価
（15％）]])/(商品マスタ[[#This Row],[参考上代
（税込)]]/1.08), "")</f>
        <v/>
      </c>
      <c r="P852" s="136" t="n">
        <v>0.1</v>
      </c>
      <c r="Q852" s="289">
        <f>商品マスタ[[#This Row],[仕入
単価]]*商品マスタ[[#This Row],[標準国内送料率]]</f>
        <v/>
      </c>
      <c r="R852" s="289" t="n"/>
      <c r="S852" s="289">
        <f>IF(ISBLANK(商品マスタ[[#This Row],[実績
国内送料]]),商品マスタ[[#This Row],[標準国内送料]],)</f>
        <v/>
      </c>
      <c r="T852" s="289">
        <f>商品マスタ[[#This Row],[仕入
単価]]+商品マスタ[[#This Row],[国内送料]]</f>
        <v/>
      </c>
      <c r="U852" s="289">
        <f>ROUNDUP(商品マスタ[[#This Row],[仕入単価+国内送料]]/0.8,-1)</f>
        <v/>
      </c>
      <c r="V852" s="289">
        <f>商品マスタ[[#This Row],[海外定価
（20％）]]-商品マスタ[[#This Row],[仕入単価+国内送料]]</f>
        <v/>
      </c>
      <c r="W852" s="167">
        <f>ROUNDUP(商品マスタ[[#This Row],[仕入単価+国内送料]]/0.85,-1)</f>
        <v/>
      </c>
      <c r="X852" s="289">
        <f>商品マスタ[[#This Row],[国内定価
（15％）]]-商品マスタ[[#This Row],[仕入単価+国内送料]]</f>
        <v/>
      </c>
      <c r="Y852" s="139" t="n"/>
      <c r="Z852" s="167" t="n"/>
      <c r="AA852" s="167" t="n"/>
      <c r="AB852" s="167" t="n"/>
      <c r="AC852" s="293" t="n"/>
      <c r="AD852" s="167" t="n"/>
      <c r="AE852" s="167" t="n"/>
      <c r="AF852" s="167" t="n"/>
      <c r="AG852" s="144" t="n"/>
    </row>
    <row r="853" ht="18" customHeight="1" s="207">
      <c r="A853" s="166" t="n"/>
      <c r="B853" s="167" t="n"/>
      <c r="C853" s="167" t="n"/>
      <c r="D853" s="143">
        <f>"PRD_SNJ_"&amp;
_xlfn.XLOOKUP(商品マスタ[[#This Row],[仕入先]],テーブル1[仕入先名],テーブル1[仕入先コード],"XXX",0,1)&amp;
"_"&amp;
商品マスタ[[#This Row],[シリアル]]&amp;
"_"&amp;
TEXT(COUNTIFS(商品マスタ!$C$3:C853,商品マスタ[[#This Row],[仕入先]],商品マスタ!$E$3:E853,商品マスタ[[#This Row],[商品名]]), "00")</f>
        <v/>
      </c>
      <c r="E853" s="167" t="n"/>
      <c r="F853" s="167">
        <f>IF(COUNTIFS($C$3:C853,商品マスタ[[#This Row],[仕入先]],$E$3:E853,商品マスタ[[#This Row],[商品名]]) = 1, 1,0)</f>
        <v/>
      </c>
      <c r="G853" s="133">
        <f>TEXT(SUMIF($C$3:C853,商品マスタ[[#This Row],[仕入先]],$F$3:F853), "0000")</f>
        <v/>
      </c>
      <c r="H853" s="167" t="n"/>
      <c r="I853" s="167" t="n"/>
      <c r="J853" s="167" t="n"/>
      <c r="K853" s="167" t="n"/>
      <c r="L853" s="289" t="n"/>
      <c r="M853" s="157" t="n"/>
      <c r="N853" s="289" t="n"/>
      <c r="O853" s="290">
        <f>IF(COUNT(商品マスタ[[#This Row],[参考上代
（税込)]]) &gt; 0, (商品マスタ[[#This Row],[参考上代
（税込)]]-商品マスタ[[#This Row],[国内定価
（15％）]])/(商品マスタ[[#This Row],[参考上代
（税込)]]/1.08), "")</f>
        <v/>
      </c>
      <c r="P853" s="136" t="n">
        <v>0.1</v>
      </c>
      <c r="Q853" s="289">
        <f>商品マスタ[[#This Row],[仕入
単価]]*商品マスタ[[#This Row],[標準国内送料率]]</f>
        <v/>
      </c>
      <c r="R853" s="289" t="n"/>
      <c r="S853" s="289">
        <f>IF(ISBLANK(商品マスタ[[#This Row],[実績
国内送料]]),商品マスタ[[#This Row],[標準国内送料]],)</f>
        <v/>
      </c>
      <c r="T853" s="289">
        <f>商品マスタ[[#This Row],[仕入
単価]]+商品マスタ[[#This Row],[国内送料]]</f>
        <v/>
      </c>
      <c r="U853" s="289">
        <f>ROUNDUP(商品マスタ[[#This Row],[仕入単価+国内送料]]/0.8,-1)</f>
        <v/>
      </c>
      <c r="V853" s="289">
        <f>商品マスタ[[#This Row],[海外定価
（20％）]]-商品マスタ[[#This Row],[仕入単価+国内送料]]</f>
        <v/>
      </c>
      <c r="W853" s="167">
        <f>ROUNDUP(商品マスタ[[#This Row],[仕入単価+国内送料]]/0.85,-1)</f>
        <v/>
      </c>
      <c r="X853" s="289">
        <f>商品マスタ[[#This Row],[国内定価
（15％）]]-商品マスタ[[#This Row],[仕入単価+国内送料]]</f>
        <v/>
      </c>
      <c r="Y853" s="139" t="n"/>
      <c r="Z853" s="167" t="n"/>
      <c r="AA853" s="167" t="n"/>
      <c r="AB853" s="167" t="n"/>
      <c r="AC853" s="293" t="n"/>
      <c r="AD853" s="167" t="n"/>
      <c r="AE853" s="167" t="n"/>
      <c r="AF853" s="167" t="n"/>
      <c r="AG853" s="144" t="n"/>
    </row>
    <row r="854" ht="18" customHeight="1" s="207">
      <c r="A854" s="166" t="n"/>
      <c r="B854" s="167" t="n"/>
      <c r="C854" s="167" t="n"/>
      <c r="D854" s="143">
        <f>"PRD_SNJ_"&amp;
_xlfn.XLOOKUP(商品マスタ[[#This Row],[仕入先]],テーブル1[仕入先名],テーブル1[仕入先コード],"XXX",0,1)&amp;
"_"&amp;
商品マスタ[[#This Row],[シリアル]]&amp;
"_"&amp;
TEXT(COUNTIFS(商品マスタ!$C$3:C854,商品マスタ[[#This Row],[仕入先]],商品マスタ!$E$3:E854,商品マスタ[[#This Row],[商品名]]), "00")</f>
        <v/>
      </c>
      <c r="E854" s="167" t="n"/>
      <c r="F854" s="167">
        <f>IF(COUNTIFS($C$3:C854,商品マスタ[[#This Row],[仕入先]],$E$3:E854,商品マスタ[[#This Row],[商品名]]) = 1, 1,0)</f>
        <v/>
      </c>
      <c r="G854" s="133">
        <f>TEXT(SUMIF($C$3:C854,商品マスタ[[#This Row],[仕入先]],$F$3:F854), "0000")</f>
        <v/>
      </c>
      <c r="H854" s="167" t="n"/>
      <c r="I854" s="167" t="n"/>
      <c r="J854" s="167" t="n"/>
      <c r="K854" s="167" t="n"/>
      <c r="L854" s="289" t="n"/>
      <c r="M854" s="157" t="n"/>
      <c r="N854" s="289" t="n"/>
      <c r="O854" s="290">
        <f>IF(COUNT(商品マスタ[[#This Row],[参考上代
（税込)]]) &gt; 0, (商品マスタ[[#This Row],[参考上代
（税込)]]-商品マスタ[[#This Row],[国内定価
（15％）]])/(商品マスタ[[#This Row],[参考上代
（税込)]]/1.08), "")</f>
        <v/>
      </c>
      <c r="P854" s="136" t="n">
        <v>0.1</v>
      </c>
      <c r="Q854" s="289">
        <f>商品マスタ[[#This Row],[仕入
単価]]*商品マスタ[[#This Row],[標準国内送料率]]</f>
        <v/>
      </c>
      <c r="R854" s="289" t="n"/>
      <c r="S854" s="289">
        <f>IF(ISBLANK(商品マスタ[[#This Row],[実績
国内送料]]),商品マスタ[[#This Row],[標準国内送料]],)</f>
        <v/>
      </c>
      <c r="T854" s="289">
        <f>商品マスタ[[#This Row],[仕入
単価]]+商品マスタ[[#This Row],[国内送料]]</f>
        <v/>
      </c>
      <c r="U854" s="289">
        <f>ROUNDUP(商品マスタ[[#This Row],[仕入単価+国内送料]]/0.8,-1)</f>
        <v/>
      </c>
      <c r="V854" s="289">
        <f>商品マスタ[[#This Row],[海外定価
（20％）]]-商品マスタ[[#This Row],[仕入単価+国内送料]]</f>
        <v/>
      </c>
      <c r="W854" s="167">
        <f>ROUNDUP(商品マスタ[[#This Row],[仕入単価+国内送料]]/0.85,-1)</f>
        <v/>
      </c>
      <c r="X854" s="289">
        <f>商品マスタ[[#This Row],[国内定価
（15％）]]-商品マスタ[[#This Row],[仕入単価+国内送料]]</f>
        <v/>
      </c>
      <c r="Y854" s="139" t="n"/>
      <c r="Z854" s="167" t="n"/>
      <c r="AA854" s="167" t="n"/>
      <c r="AB854" s="167" t="n"/>
      <c r="AC854" s="293" t="n"/>
      <c r="AD854" s="167" t="n"/>
      <c r="AE854" s="167" t="n"/>
      <c r="AF854" s="167" t="n"/>
      <c r="AG854" s="144" t="n"/>
    </row>
    <row r="855" ht="18" customHeight="1" s="207">
      <c r="A855" s="166" t="n"/>
      <c r="B855" s="167" t="n"/>
      <c r="C855" s="167" t="n"/>
      <c r="D855" s="143">
        <f>"PRD_SNJ_"&amp;
_xlfn.XLOOKUP(商品マスタ[[#This Row],[仕入先]],テーブル1[仕入先名],テーブル1[仕入先コード],"XXX",0,1)&amp;
"_"&amp;
商品マスタ[[#This Row],[シリアル]]&amp;
"_"&amp;
TEXT(COUNTIFS(商品マスタ!$C$3:C855,商品マスタ[[#This Row],[仕入先]],商品マスタ!$E$3:E855,商品マスタ[[#This Row],[商品名]]), "00")</f>
        <v/>
      </c>
      <c r="E855" s="167" t="n"/>
      <c r="F855" s="167">
        <f>IF(COUNTIFS($C$3:C855,商品マスタ[[#This Row],[仕入先]],$E$3:E855,商品マスタ[[#This Row],[商品名]]) = 1, 1,0)</f>
        <v/>
      </c>
      <c r="G855" s="133">
        <f>TEXT(SUMIF($C$3:C855,商品マスタ[[#This Row],[仕入先]],$F$3:F855), "0000")</f>
        <v/>
      </c>
      <c r="H855" s="167" t="n"/>
      <c r="I855" s="167" t="n"/>
      <c r="J855" s="167" t="n"/>
      <c r="K855" s="167" t="n"/>
      <c r="L855" s="289" t="n"/>
      <c r="M855" s="157" t="n"/>
      <c r="N855" s="289" t="n"/>
      <c r="O855" s="290">
        <f>IF(COUNT(商品マスタ[[#This Row],[参考上代
（税込)]]) &gt; 0, (商品マスタ[[#This Row],[参考上代
（税込)]]-商品マスタ[[#This Row],[国内定価
（15％）]])/(商品マスタ[[#This Row],[参考上代
（税込)]]/1.08), "")</f>
        <v/>
      </c>
      <c r="P855" s="136" t="n">
        <v>0.1</v>
      </c>
      <c r="Q855" s="289">
        <f>商品マスタ[[#This Row],[仕入
単価]]*商品マスタ[[#This Row],[標準国内送料率]]</f>
        <v/>
      </c>
      <c r="R855" s="289" t="n"/>
      <c r="S855" s="289">
        <f>IF(ISBLANK(商品マスタ[[#This Row],[実績
国内送料]]),商品マスタ[[#This Row],[標準国内送料]],)</f>
        <v/>
      </c>
      <c r="T855" s="289">
        <f>商品マスタ[[#This Row],[仕入
単価]]+商品マスタ[[#This Row],[国内送料]]</f>
        <v/>
      </c>
      <c r="U855" s="289">
        <f>ROUNDUP(商品マスタ[[#This Row],[仕入単価+国内送料]]/0.8,-1)</f>
        <v/>
      </c>
      <c r="V855" s="289">
        <f>商品マスタ[[#This Row],[海外定価
（20％）]]-商品マスタ[[#This Row],[仕入単価+国内送料]]</f>
        <v/>
      </c>
      <c r="W855" s="167">
        <f>ROUNDUP(商品マスタ[[#This Row],[仕入単価+国内送料]]/0.85,-1)</f>
        <v/>
      </c>
      <c r="X855" s="289">
        <f>商品マスタ[[#This Row],[国内定価
（15％）]]-商品マスタ[[#This Row],[仕入単価+国内送料]]</f>
        <v/>
      </c>
      <c r="Y855" s="139" t="n"/>
      <c r="Z855" s="167" t="n"/>
      <c r="AA855" s="167" t="n"/>
      <c r="AB855" s="167" t="n"/>
      <c r="AC855" s="293" t="n"/>
      <c r="AD855" s="167" t="n"/>
      <c r="AE855" s="167" t="n"/>
      <c r="AF855" s="167" t="n"/>
      <c r="AG855" s="144" t="n"/>
    </row>
    <row r="856" ht="18" customHeight="1" s="207">
      <c r="A856" s="166" t="n"/>
      <c r="B856" s="167" t="n"/>
      <c r="C856" s="167" t="n"/>
      <c r="D856" s="143">
        <f>"PRD_SNJ_"&amp;
_xlfn.XLOOKUP(商品マスタ[[#This Row],[仕入先]],テーブル1[仕入先名],テーブル1[仕入先コード],"XXX",0,1)&amp;
"_"&amp;
商品マスタ[[#This Row],[シリアル]]&amp;
"_"&amp;
TEXT(COUNTIFS(商品マスタ!$C$3:C856,商品マスタ[[#This Row],[仕入先]],商品マスタ!$E$3:E856,商品マスタ[[#This Row],[商品名]]), "00")</f>
        <v/>
      </c>
      <c r="E856" s="167" t="n"/>
      <c r="F856" s="167">
        <f>IF(COUNTIFS($C$3:C856,商品マスタ[[#This Row],[仕入先]],$E$3:E856,商品マスタ[[#This Row],[商品名]]) = 1, 1,0)</f>
        <v/>
      </c>
      <c r="G856" s="133">
        <f>TEXT(SUMIF($C$3:C856,商品マスタ[[#This Row],[仕入先]],$F$3:F856), "0000")</f>
        <v/>
      </c>
      <c r="H856" s="167" t="n"/>
      <c r="I856" s="167" t="n"/>
      <c r="J856" s="167" t="n"/>
      <c r="K856" s="167" t="n"/>
      <c r="L856" s="289" t="n"/>
      <c r="M856" s="157" t="n"/>
      <c r="N856" s="289" t="n"/>
      <c r="O856" s="290">
        <f>IF(COUNT(商品マスタ[[#This Row],[参考上代
（税込)]]) &gt; 0, (商品マスタ[[#This Row],[参考上代
（税込)]]-商品マスタ[[#This Row],[国内定価
（15％）]])/(商品マスタ[[#This Row],[参考上代
（税込)]]/1.08), "")</f>
        <v/>
      </c>
      <c r="P856" s="136" t="n">
        <v>0.1</v>
      </c>
      <c r="Q856" s="289">
        <f>商品マスタ[[#This Row],[仕入
単価]]*商品マスタ[[#This Row],[標準国内送料率]]</f>
        <v/>
      </c>
      <c r="R856" s="289" t="n"/>
      <c r="S856" s="289">
        <f>IF(ISBLANK(商品マスタ[[#This Row],[実績
国内送料]]),商品マスタ[[#This Row],[標準国内送料]],)</f>
        <v/>
      </c>
      <c r="T856" s="289">
        <f>商品マスタ[[#This Row],[仕入
単価]]+商品マスタ[[#This Row],[国内送料]]</f>
        <v/>
      </c>
      <c r="U856" s="289">
        <f>ROUNDUP(商品マスタ[[#This Row],[仕入単価+国内送料]]/0.8,-1)</f>
        <v/>
      </c>
      <c r="V856" s="289">
        <f>商品マスタ[[#This Row],[海外定価
（20％）]]-商品マスタ[[#This Row],[仕入単価+国内送料]]</f>
        <v/>
      </c>
      <c r="W856" s="167">
        <f>ROUNDUP(商品マスタ[[#This Row],[仕入単価+国内送料]]/0.85,-1)</f>
        <v/>
      </c>
      <c r="X856" s="289">
        <f>商品マスタ[[#This Row],[国内定価
（15％）]]-商品マスタ[[#This Row],[仕入単価+国内送料]]</f>
        <v/>
      </c>
      <c r="Y856" s="139" t="n"/>
      <c r="Z856" s="167" t="n"/>
      <c r="AA856" s="167" t="n"/>
      <c r="AB856" s="167" t="n"/>
      <c r="AC856" s="293" t="n"/>
      <c r="AD856" s="167" t="n"/>
      <c r="AE856" s="167" t="n"/>
      <c r="AF856" s="167" t="n"/>
      <c r="AG856" s="144" t="n"/>
    </row>
    <row r="857" ht="18" customHeight="1" s="207">
      <c r="A857" s="166" t="n"/>
      <c r="B857" s="167" t="n"/>
      <c r="C857" s="167" t="n"/>
      <c r="D857" s="143">
        <f>"PRD_SNJ_"&amp;
_xlfn.XLOOKUP(商品マスタ[[#This Row],[仕入先]],テーブル1[仕入先名],テーブル1[仕入先コード],"XXX",0,1)&amp;
"_"&amp;
商品マスタ[[#This Row],[シリアル]]&amp;
"_"&amp;
TEXT(COUNTIFS(商品マスタ!$C$3:C857,商品マスタ[[#This Row],[仕入先]],商品マスタ!$E$3:E857,商品マスタ[[#This Row],[商品名]]), "00")</f>
        <v/>
      </c>
      <c r="E857" s="167" t="n"/>
      <c r="F857" s="167">
        <f>IF(COUNTIFS($C$3:C857,商品マスタ[[#This Row],[仕入先]],$E$3:E857,商品マスタ[[#This Row],[商品名]]) = 1, 1,0)</f>
        <v/>
      </c>
      <c r="G857" s="133">
        <f>TEXT(SUMIF($C$3:C857,商品マスタ[[#This Row],[仕入先]],$F$3:F857), "0000")</f>
        <v/>
      </c>
      <c r="H857" s="167" t="n"/>
      <c r="I857" s="167" t="n"/>
      <c r="J857" s="167" t="n"/>
      <c r="K857" s="167" t="n"/>
      <c r="L857" s="289" t="n"/>
      <c r="M857" s="157" t="n"/>
      <c r="N857" s="289" t="n"/>
      <c r="O857" s="290">
        <f>IF(COUNT(商品マスタ[[#This Row],[参考上代
（税込)]]) &gt; 0, (商品マスタ[[#This Row],[参考上代
（税込)]]-商品マスタ[[#This Row],[国内定価
（15％）]])/(商品マスタ[[#This Row],[参考上代
（税込)]]/1.08), "")</f>
        <v/>
      </c>
      <c r="P857" s="136" t="n">
        <v>0.1</v>
      </c>
      <c r="Q857" s="289">
        <f>商品マスタ[[#This Row],[仕入
単価]]*商品マスタ[[#This Row],[標準国内送料率]]</f>
        <v/>
      </c>
      <c r="R857" s="289" t="n"/>
      <c r="S857" s="289">
        <f>IF(ISBLANK(商品マスタ[[#This Row],[実績
国内送料]]),商品マスタ[[#This Row],[標準国内送料]],)</f>
        <v/>
      </c>
      <c r="T857" s="289">
        <f>商品マスタ[[#This Row],[仕入
単価]]+商品マスタ[[#This Row],[国内送料]]</f>
        <v/>
      </c>
      <c r="U857" s="289">
        <f>ROUNDUP(商品マスタ[[#This Row],[仕入単価+国内送料]]/0.8,-1)</f>
        <v/>
      </c>
      <c r="V857" s="289">
        <f>商品マスタ[[#This Row],[海外定価
（20％）]]-商品マスタ[[#This Row],[仕入単価+国内送料]]</f>
        <v/>
      </c>
      <c r="W857" s="167">
        <f>ROUNDUP(商品マスタ[[#This Row],[仕入単価+国内送料]]/0.85,-1)</f>
        <v/>
      </c>
      <c r="X857" s="289">
        <f>商品マスタ[[#This Row],[国内定価
（15％）]]-商品マスタ[[#This Row],[仕入単価+国内送料]]</f>
        <v/>
      </c>
      <c r="Y857" s="139" t="n"/>
      <c r="Z857" s="167" t="n"/>
      <c r="AA857" s="167" t="n"/>
      <c r="AB857" s="167" t="n"/>
      <c r="AC857" s="293" t="n"/>
      <c r="AD857" s="167" t="n"/>
      <c r="AE857" s="167" t="n"/>
      <c r="AF857" s="167" t="n"/>
      <c r="AG857" s="144" t="n"/>
    </row>
    <row r="858" ht="18" customHeight="1" s="207">
      <c r="A858" s="166" t="n"/>
      <c r="B858" s="167" t="n"/>
      <c r="C858" s="167" t="n"/>
      <c r="D858" s="143">
        <f>"PRD_SNJ_"&amp;
_xlfn.XLOOKUP(商品マスタ[[#This Row],[仕入先]],テーブル1[仕入先名],テーブル1[仕入先コード],"XXX",0,1)&amp;
"_"&amp;
商品マスタ[[#This Row],[シリアル]]&amp;
"_"&amp;
TEXT(COUNTIFS(商品マスタ!$C$3:C858,商品マスタ[[#This Row],[仕入先]],商品マスタ!$E$3:E858,商品マスタ[[#This Row],[商品名]]), "00")</f>
        <v/>
      </c>
      <c r="E858" s="167" t="n"/>
      <c r="F858" s="167">
        <f>IF(COUNTIFS($C$3:C858,商品マスタ[[#This Row],[仕入先]],$E$3:E858,商品マスタ[[#This Row],[商品名]]) = 1, 1,0)</f>
        <v/>
      </c>
      <c r="G858" s="133">
        <f>TEXT(SUMIF($C$3:C858,商品マスタ[[#This Row],[仕入先]],$F$3:F858), "0000")</f>
        <v/>
      </c>
      <c r="H858" s="167" t="n"/>
      <c r="I858" s="167" t="n"/>
      <c r="J858" s="167" t="n"/>
      <c r="K858" s="167" t="n"/>
      <c r="L858" s="289" t="n"/>
      <c r="M858" s="157" t="n"/>
      <c r="N858" s="289" t="n"/>
      <c r="O858" s="290">
        <f>IF(COUNT(商品マスタ[[#This Row],[参考上代
（税込)]]) &gt; 0, (商品マスタ[[#This Row],[参考上代
（税込)]]-商品マスタ[[#This Row],[国内定価
（15％）]])/(商品マスタ[[#This Row],[参考上代
（税込)]]/1.08), "")</f>
        <v/>
      </c>
      <c r="P858" s="136" t="n">
        <v>0.1</v>
      </c>
      <c r="Q858" s="289">
        <f>商品マスタ[[#This Row],[仕入
単価]]*商品マスタ[[#This Row],[標準国内送料率]]</f>
        <v/>
      </c>
      <c r="R858" s="289" t="n"/>
      <c r="S858" s="289">
        <f>IF(ISBLANK(商品マスタ[[#This Row],[実績
国内送料]]),商品マスタ[[#This Row],[標準国内送料]],)</f>
        <v/>
      </c>
      <c r="T858" s="289">
        <f>商品マスタ[[#This Row],[仕入
単価]]+商品マスタ[[#This Row],[国内送料]]</f>
        <v/>
      </c>
      <c r="U858" s="289">
        <f>ROUNDUP(商品マスタ[[#This Row],[仕入単価+国内送料]]/0.8,-1)</f>
        <v/>
      </c>
      <c r="V858" s="289">
        <f>商品マスタ[[#This Row],[海外定価
（20％）]]-商品マスタ[[#This Row],[仕入単価+国内送料]]</f>
        <v/>
      </c>
      <c r="W858" s="167">
        <f>ROUNDUP(商品マスタ[[#This Row],[仕入単価+国内送料]]/0.85,-1)</f>
        <v/>
      </c>
      <c r="X858" s="289">
        <f>商品マスタ[[#This Row],[国内定価
（15％）]]-商品マスタ[[#This Row],[仕入単価+国内送料]]</f>
        <v/>
      </c>
      <c r="Y858" s="139" t="n"/>
      <c r="Z858" s="167" t="n"/>
      <c r="AA858" s="167" t="n"/>
      <c r="AB858" s="167" t="n"/>
      <c r="AC858" s="293" t="n"/>
      <c r="AD858" s="167" t="n"/>
      <c r="AE858" s="167" t="n"/>
      <c r="AF858" s="167" t="n"/>
      <c r="AG858" s="144" t="n"/>
    </row>
    <row r="859" ht="18" customHeight="1" s="207">
      <c r="A859" s="166" t="n"/>
      <c r="B859" s="167" t="n"/>
      <c r="C859" s="167" t="n"/>
      <c r="D859" s="143">
        <f>"PRD_SNJ_"&amp;
_xlfn.XLOOKUP(商品マスタ[[#This Row],[仕入先]],テーブル1[仕入先名],テーブル1[仕入先コード],"XXX",0,1)&amp;
"_"&amp;
商品マスタ[[#This Row],[シリアル]]&amp;
"_"&amp;
TEXT(COUNTIFS(商品マスタ!$C$3:C859,商品マスタ[[#This Row],[仕入先]],商品マスタ!$E$3:E859,商品マスタ[[#This Row],[商品名]]), "00")</f>
        <v/>
      </c>
      <c r="E859" s="167" t="n"/>
      <c r="F859" s="167">
        <f>IF(COUNTIFS($C$3:C859,商品マスタ[[#This Row],[仕入先]],$E$3:E859,商品マスタ[[#This Row],[商品名]]) = 1, 1,0)</f>
        <v/>
      </c>
      <c r="G859" s="133">
        <f>TEXT(SUMIF($C$3:C859,商品マスタ[[#This Row],[仕入先]],$F$3:F859), "0000")</f>
        <v/>
      </c>
      <c r="H859" s="167" t="n"/>
      <c r="I859" s="167" t="n"/>
      <c r="J859" s="167" t="n"/>
      <c r="K859" s="167" t="n"/>
      <c r="L859" s="289" t="n"/>
      <c r="M859" s="157" t="n"/>
      <c r="N859" s="289" t="n"/>
      <c r="O859" s="290">
        <f>IF(COUNT(商品マスタ[[#This Row],[参考上代
（税込)]]) &gt; 0, (商品マスタ[[#This Row],[参考上代
（税込)]]-商品マスタ[[#This Row],[国内定価
（15％）]])/(商品マスタ[[#This Row],[参考上代
（税込)]]/1.08), "")</f>
        <v/>
      </c>
      <c r="P859" s="136" t="n">
        <v>0.1</v>
      </c>
      <c r="Q859" s="289">
        <f>商品マスタ[[#This Row],[仕入
単価]]*商品マスタ[[#This Row],[標準国内送料率]]</f>
        <v/>
      </c>
      <c r="R859" s="289" t="n"/>
      <c r="S859" s="289">
        <f>IF(ISBLANK(商品マスタ[[#This Row],[実績
国内送料]]),商品マスタ[[#This Row],[標準国内送料]],)</f>
        <v/>
      </c>
      <c r="T859" s="289">
        <f>商品マスタ[[#This Row],[仕入
単価]]+商品マスタ[[#This Row],[国内送料]]</f>
        <v/>
      </c>
      <c r="U859" s="289">
        <f>ROUNDUP(商品マスタ[[#This Row],[仕入単価+国内送料]]/0.8,-1)</f>
        <v/>
      </c>
      <c r="V859" s="289">
        <f>商品マスタ[[#This Row],[海外定価
（20％）]]-商品マスタ[[#This Row],[仕入単価+国内送料]]</f>
        <v/>
      </c>
      <c r="W859" s="167">
        <f>ROUNDUP(商品マスタ[[#This Row],[仕入単価+国内送料]]/0.85,-1)</f>
        <v/>
      </c>
      <c r="X859" s="289">
        <f>商品マスタ[[#This Row],[国内定価
（15％）]]-商品マスタ[[#This Row],[仕入単価+国内送料]]</f>
        <v/>
      </c>
      <c r="Y859" s="139" t="n"/>
      <c r="Z859" s="167" t="n"/>
      <c r="AA859" s="167" t="n"/>
      <c r="AB859" s="167" t="n"/>
      <c r="AC859" s="293" t="n"/>
      <c r="AD859" s="167" t="n"/>
      <c r="AE859" s="167" t="n"/>
      <c r="AF859" s="167" t="n"/>
      <c r="AG859" s="144" t="n"/>
    </row>
    <row r="860" ht="18" customHeight="1" s="207">
      <c r="A860" s="166" t="n"/>
      <c r="B860" s="167" t="n"/>
      <c r="C860" s="167" t="n"/>
      <c r="D860" s="143">
        <f>"PRD_SNJ_"&amp;
_xlfn.XLOOKUP(商品マスタ[[#This Row],[仕入先]],テーブル1[仕入先名],テーブル1[仕入先コード],"XXX",0,1)&amp;
"_"&amp;
商品マスタ[[#This Row],[シリアル]]&amp;
"_"&amp;
TEXT(COUNTIFS(商品マスタ!$C$3:C860,商品マスタ[[#This Row],[仕入先]],商品マスタ!$E$3:E860,商品マスタ[[#This Row],[商品名]]), "00")</f>
        <v/>
      </c>
      <c r="E860" s="167" t="n"/>
      <c r="F860" s="167">
        <f>IF(COUNTIFS($C$3:C860,商品マスタ[[#This Row],[仕入先]],$E$3:E860,商品マスタ[[#This Row],[商品名]]) = 1, 1,0)</f>
        <v/>
      </c>
      <c r="G860" s="133">
        <f>TEXT(SUMIF($C$3:C860,商品マスタ[[#This Row],[仕入先]],$F$3:F860), "0000")</f>
        <v/>
      </c>
      <c r="H860" s="167" t="n"/>
      <c r="I860" s="167" t="n"/>
      <c r="J860" s="167" t="n"/>
      <c r="K860" s="167" t="n"/>
      <c r="L860" s="289" t="n"/>
      <c r="M860" s="157" t="n"/>
      <c r="N860" s="289" t="n"/>
      <c r="O860" s="290">
        <f>IF(COUNT(商品マスタ[[#This Row],[参考上代
（税込)]]) &gt; 0, (商品マスタ[[#This Row],[参考上代
（税込)]]-商品マスタ[[#This Row],[国内定価
（15％）]])/(商品マスタ[[#This Row],[参考上代
（税込)]]/1.08), "")</f>
        <v/>
      </c>
      <c r="P860" s="136" t="n">
        <v>0.1</v>
      </c>
      <c r="Q860" s="289">
        <f>商品マスタ[[#This Row],[仕入
単価]]*商品マスタ[[#This Row],[標準国内送料率]]</f>
        <v/>
      </c>
      <c r="R860" s="289" t="n"/>
      <c r="S860" s="289">
        <f>IF(ISBLANK(商品マスタ[[#This Row],[実績
国内送料]]),商品マスタ[[#This Row],[標準国内送料]],)</f>
        <v/>
      </c>
      <c r="T860" s="289">
        <f>商品マスタ[[#This Row],[仕入
単価]]+商品マスタ[[#This Row],[国内送料]]</f>
        <v/>
      </c>
      <c r="U860" s="289">
        <f>ROUNDUP(商品マスタ[[#This Row],[仕入単価+国内送料]]/0.8,-1)</f>
        <v/>
      </c>
      <c r="V860" s="289">
        <f>商品マスタ[[#This Row],[海外定価
（20％）]]-商品マスタ[[#This Row],[仕入単価+国内送料]]</f>
        <v/>
      </c>
      <c r="W860" s="167">
        <f>ROUNDUP(商品マスタ[[#This Row],[仕入単価+国内送料]]/0.85,-1)</f>
        <v/>
      </c>
      <c r="X860" s="289">
        <f>商品マスタ[[#This Row],[国内定価
（15％）]]-商品マスタ[[#This Row],[仕入単価+国内送料]]</f>
        <v/>
      </c>
      <c r="Y860" s="139" t="n"/>
      <c r="Z860" s="167" t="n"/>
      <c r="AA860" s="167" t="n"/>
      <c r="AB860" s="167" t="n"/>
      <c r="AC860" s="293" t="n"/>
      <c r="AD860" s="167" t="n"/>
      <c r="AE860" s="167" t="n"/>
      <c r="AF860" s="167" t="n"/>
      <c r="AG860" s="144" t="n"/>
    </row>
    <row r="861" ht="18" customHeight="1" s="207">
      <c r="A861" s="166" t="n"/>
      <c r="B861" s="167" t="n"/>
      <c r="C861" s="167" t="n"/>
      <c r="D861" s="143">
        <f>"PRD_SNJ_"&amp;
_xlfn.XLOOKUP(商品マスタ[[#This Row],[仕入先]],テーブル1[仕入先名],テーブル1[仕入先コード],"XXX",0,1)&amp;
"_"&amp;
商品マスタ[[#This Row],[シリアル]]&amp;
"_"&amp;
TEXT(COUNTIFS(商品マスタ!$C$3:C861,商品マスタ[[#This Row],[仕入先]],商品マスタ!$E$3:E861,商品マスタ[[#This Row],[商品名]]), "00")</f>
        <v/>
      </c>
      <c r="E861" s="167" t="n"/>
      <c r="F861" s="167">
        <f>IF(COUNTIFS($C$3:C861,商品マスタ[[#This Row],[仕入先]],$E$3:E861,商品マスタ[[#This Row],[商品名]]) = 1, 1,0)</f>
        <v/>
      </c>
      <c r="G861" s="133">
        <f>TEXT(SUMIF($C$3:C861,商品マスタ[[#This Row],[仕入先]],$F$3:F861), "0000")</f>
        <v/>
      </c>
      <c r="H861" s="167" t="n"/>
      <c r="I861" s="167" t="n"/>
      <c r="J861" s="167" t="n"/>
      <c r="K861" s="167" t="n"/>
      <c r="L861" s="289" t="n"/>
      <c r="M861" s="157" t="n"/>
      <c r="N861" s="289" t="n"/>
      <c r="O861" s="290">
        <f>IF(COUNT(商品マスタ[[#This Row],[参考上代
（税込)]]) &gt; 0, (商品マスタ[[#This Row],[参考上代
（税込)]]-商品マスタ[[#This Row],[国内定価
（15％）]])/(商品マスタ[[#This Row],[参考上代
（税込)]]/1.08), "")</f>
        <v/>
      </c>
      <c r="P861" s="136" t="n">
        <v>0.1</v>
      </c>
      <c r="Q861" s="289">
        <f>商品マスタ[[#This Row],[仕入
単価]]*商品マスタ[[#This Row],[標準国内送料率]]</f>
        <v/>
      </c>
      <c r="R861" s="289" t="n"/>
      <c r="S861" s="289">
        <f>IF(ISBLANK(商品マスタ[[#This Row],[実績
国内送料]]),商品マスタ[[#This Row],[標準国内送料]],)</f>
        <v/>
      </c>
      <c r="T861" s="289">
        <f>商品マスタ[[#This Row],[仕入
単価]]+商品マスタ[[#This Row],[国内送料]]</f>
        <v/>
      </c>
      <c r="U861" s="289">
        <f>ROUNDUP(商品マスタ[[#This Row],[仕入単価+国内送料]]/0.8,-1)</f>
        <v/>
      </c>
      <c r="V861" s="289">
        <f>商品マスタ[[#This Row],[海外定価
（20％）]]-商品マスタ[[#This Row],[仕入単価+国内送料]]</f>
        <v/>
      </c>
      <c r="W861" s="167">
        <f>ROUNDUP(商品マスタ[[#This Row],[仕入単価+国内送料]]/0.85,-1)</f>
        <v/>
      </c>
      <c r="X861" s="289">
        <f>商品マスタ[[#This Row],[国内定価
（15％）]]-商品マスタ[[#This Row],[仕入単価+国内送料]]</f>
        <v/>
      </c>
      <c r="Y861" s="139" t="n"/>
      <c r="Z861" s="167" t="n"/>
      <c r="AA861" s="167" t="n"/>
      <c r="AB861" s="167" t="n"/>
      <c r="AC861" s="293" t="n"/>
      <c r="AD861" s="167" t="n"/>
      <c r="AE861" s="167" t="n"/>
      <c r="AF861" s="167" t="n"/>
      <c r="AG861" s="144" t="n"/>
    </row>
    <row r="862" ht="18" customHeight="1" s="207">
      <c r="A862" s="166" t="n"/>
      <c r="B862" s="167" t="n"/>
      <c r="C862" s="167" t="n"/>
      <c r="D862" s="143">
        <f>"PRD_SNJ_"&amp;
_xlfn.XLOOKUP(商品マスタ[[#This Row],[仕入先]],テーブル1[仕入先名],テーブル1[仕入先コード],"XXX",0,1)&amp;
"_"&amp;
商品マスタ[[#This Row],[シリアル]]&amp;
"_"&amp;
TEXT(COUNTIFS(商品マスタ!$C$3:C862,商品マスタ[[#This Row],[仕入先]],商品マスタ!$E$3:E862,商品マスタ[[#This Row],[商品名]]), "00")</f>
        <v/>
      </c>
      <c r="E862" s="167" t="n"/>
      <c r="F862" s="167">
        <f>IF(COUNTIFS($C$3:C862,商品マスタ[[#This Row],[仕入先]],$E$3:E862,商品マスタ[[#This Row],[商品名]]) = 1, 1,0)</f>
        <v/>
      </c>
      <c r="G862" s="133">
        <f>TEXT(SUMIF($C$3:C862,商品マスタ[[#This Row],[仕入先]],$F$3:F862), "0000")</f>
        <v/>
      </c>
      <c r="H862" s="167" t="n"/>
      <c r="I862" s="167" t="n"/>
      <c r="J862" s="167" t="n"/>
      <c r="K862" s="167" t="n"/>
      <c r="L862" s="289" t="n"/>
      <c r="M862" s="157" t="n"/>
      <c r="N862" s="289" t="n"/>
      <c r="O862" s="290">
        <f>IF(COUNT(商品マスタ[[#This Row],[参考上代
（税込)]]) &gt; 0, (商品マスタ[[#This Row],[参考上代
（税込)]]-商品マスタ[[#This Row],[国内定価
（15％）]])/(商品マスタ[[#This Row],[参考上代
（税込)]]/1.08), "")</f>
        <v/>
      </c>
      <c r="P862" s="136" t="n">
        <v>0.1</v>
      </c>
      <c r="Q862" s="289">
        <f>商品マスタ[[#This Row],[仕入
単価]]*商品マスタ[[#This Row],[標準国内送料率]]</f>
        <v/>
      </c>
      <c r="R862" s="289" t="n"/>
      <c r="S862" s="289">
        <f>IF(ISBLANK(商品マスタ[[#This Row],[実績
国内送料]]),商品マスタ[[#This Row],[標準国内送料]],)</f>
        <v/>
      </c>
      <c r="T862" s="289">
        <f>商品マスタ[[#This Row],[仕入
単価]]+商品マスタ[[#This Row],[国内送料]]</f>
        <v/>
      </c>
      <c r="U862" s="289">
        <f>ROUNDUP(商品マスタ[[#This Row],[仕入単価+国内送料]]/0.8,-1)</f>
        <v/>
      </c>
      <c r="V862" s="289">
        <f>商品マスタ[[#This Row],[海外定価
（20％）]]-商品マスタ[[#This Row],[仕入単価+国内送料]]</f>
        <v/>
      </c>
      <c r="W862" s="167">
        <f>ROUNDUP(商品マスタ[[#This Row],[仕入単価+国内送料]]/0.85,-1)</f>
        <v/>
      </c>
      <c r="X862" s="289">
        <f>商品マスタ[[#This Row],[国内定価
（15％）]]-商品マスタ[[#This Row],[仕入単価+国内送料]]</f>
        <v/>
      </c>
      <c r="Y862" s="139" t="n"/>
      <c r="Z862" s="167" t="n"/>
      <c r="AA862" s="167" t="n"/>
      <c r="AB862" s="167" t="n"/>
      <c r="AC862" s="293" t="n"/>
      <c r="AD862" s="167" t="n"/>
      <c r="AE862" s="167" t="n"/>
      <c r="AF862" s="167" t="n"/>
      <c r="AG862" s="144" t="n"/>
    </row>
    <row r="863" ht="18" customHeight="1" s="207">
      <c r="A863" s="166" t="n"/>
      <c r="B863" s="167" t="n"/>
      <c r="C863" s="167" t="n"/>
      <c r="D863" s="143">
        <f>"PRD_SNJ_"&amp;
_xlfn.XLOOKUP(商品マスタ[[#This Row],[仕入先]],テーブル1[仕入先名],テーブル1[仕入先コード],"XXX",0,1)&amp;
"_"&amp;
商品マスタ[[#This Row],[シリアル]]&amp;
"_"&amp;
TEXT(COUNTIFS(商品マスタ!$C$3:C863,商品マスタ[[#This Row],[仕入先]],商品マスタ!$E$3:E863,商品マスタ[[#This Row],[商品名]]), "00")</f>
        <v/>
      </c>
      <c r="E863" s="167" t="n"/>
      <c r="F863" s="167">
        <f>IF(COUNTIFS($C$3:C863,商品マスタ[[#This Row],[仕入先]],$E$3:E863,商品マスタ[[#This Row],[商品名]]) = 1, 1,0)</f>
        <v/>
      </c>
      <c r="G863" s="133">
        <f>TEXT(SUMIF($C$3:C863,商品マスタ[[#This Row],[仕入先]],$F$3:F863), "0000")</f>
        <v/>
      </c>
      <c r="H863" s="167" t="n"/>
      <c r="I863" s="167" t="n"/>
      <c r="J863" s="167" t="n"/>
      <c r="K863" s="167" t="n"/>
      <c r="L863" s="289" t="n"/>
      <c r="M863" s="157" t="n"/>
      <c r="N863" s="289" t="n"/>
      <c r="O863" s="290">
        <f>IF(COUNT(商品マスタ[[#This Row],[参考上代
（税込)]]) &gt; 0, (商品マスタ[[#This Row],[参考上代
（税込)]]-商品マスタ[[#This Row],[国内定価
（15％）]])/(商品マスタ[[#This Row],[参考上代
（税込)]]/1.08), "")</f>
        <v/>
      </c>
      <c r="P863" s="136" t="n">
        <v>0.1</v>
      </c>
      <c r="Q863" s="289">
        <f>商品マスタ[[#This Row],[仕入
単価]]*商品マスタ[[#This Row],[標準国内送料率]]</f>
        <v/>
      </c>
      <c r="R863" s="289" t="n"/>
      <c r="S863" s="289">
        <f>IF(ISBLANK(商品マスタ[[#This Row],[実績
国内送料]]),商品マスタ[[#This Row],[標準国内送料]],)</f>
        <v/>
      </c>
      <c r="T863" s="289">
        <f>商品マスタ[[#This Row],[仕入
単価]]+商品マスタ[[#This Row],[国内送料]]</f>
        <v/>
      </c>
      <c r="U863" s="289">
        <f>ROUNDUP(商品マスタ[[#This Row],[仕入単価+国内送料]]/0.8,-1)</f>
        <v/>
      </c>
      <c r="V863" s="289">
        <f>商品マスタ[[#This Row],[海外定価
（20％）]]-商品マスタ[[#This Row],[仕入単価+国内送料]]</f>
        <v/>
      </c>
      <c r="W863" s="167">
        <f>ROUNDUP(商品マスタ[[#This Row],[仕入単価+国内送料]]/0.85,-1)</f>
        <v/>
      </c>
      <c r="X863" s="289">
        <f>商品マスタ[[#This Row],[国内定価
（15％）]]-商品マスタ[[#This Row],[仕入単価+国内送料]]</f>
        <v/>
      </c>
      <c r="Y863" s="139" t="n"/>
      <c r="Z863" s="167" t="n"/>
      <c r="AA863" s="167" t="n"/>
      <c r="AB863" s="167" t="n"/>
      <c r="AC863" s="293" t="n"/>
      <c r="AD863" s="167" t="n"/>
      <c r="AE863" s="167" t="n"/>
      <c r="AF863" s="167" t="n"/>
      <c r="AG863" s="144" t="n"/>
    </row>
    <row r="864" ht="18" customHeight="1" s="207">
      <c r="A864" s="166" t="n"/>
      <c r="B864" s="167" t="n"/>
      <c r="C864" s="167" t="n"/>
      <c r="D864" s="143">
        <f>"PRD_SNJ_"&amp;
_xlfn.XLOOKUP(商品マスタ[[#This Row],[仕入先]],テーブル1[仕入先名],テーブル1[仕入先コード],"XXX",0,1)&amp;
"_"&amp;
商品マスタ[[#This Row],[シリアル]]&amp;
"_"&amp;
TEXT(COUNTIFS(商品マスタ!$C$3:C864,商品マスタ[[#This Row],[仕入先]],商品マスタ!$E$3:E864,商品マスタ[[#This Row],[商品名]]), "00")</f>
        <v/>
      </c>
      <c r="E864" s="167" t="n"/>
      <c r="F864" s="167">
        <f>IF(COUNTIFS($C$3:C864,商品マスタ[[#This Row],[仕入先]],$E$3:E864,商品マスタ[[#This Row],[商品名]]) = 1, 1,0)</f>
        <v/>
      </c>
      <c r="G864" s="133">
        <f>TEXT(SUMIF($C$3:C864,商品マスタ[[#This Row],[仕入先]],$F$3:F864), "0000")</f>
        <v/>
      </c>
      <c r="H864" s="167" t="n"/>
      <c r="I864" s="167" t="n"/>
      <c r="J864" s="167" t="n"/>
      <c r="K864" s="167" t="n"/>
      <c r="L864" s="289" t="n"/>
      <c r="M864" s="157" t="n"/>
      <c r="N864" s="289" t="n"/>
      <c r="O864" s="290">
        <f>IF(COUNT(商品マスタ[[#This Row],[参考上代
（税込)]]) &gt; 0, (商品マスタ[[#This Row],[参考上代
（税込)]]-商品マスタ[[#This Row],[国内定価
（15％）]])/(商品マスタ[[#This Row],[参考上代
（税込)]]/1.08), "")</f>
        <v/>
      </c>
      <c r="P864" s="136" t="n">
        <v>0.1</v>
      </c>
      <c r="Q864" s="289">
        <f>商品マスタ[[#This Row],[仕入
単価]]*商品マスタ[[#This Row],[標準国内送料率]]</f>
        <v/>
      </c>
      <c r="R864" s="289" t="n"/>
      <c r="S864" s="289">
        <f>IF(ISBLANK(商品マスタ[[#This Row],[実績
国内送料]]),商品マスタ[[#This Row],[標準国内送料]],)</f>
        <v/>
      </c>
      <c r="T864" s="289">
        <f>商品マスタ[[#This Row],[仕入
単価]]+商品マスタ[[#This Row],[国内送料]]</f>
        <v/>
      </c>
      <c r="U864" s="289">
        <f>ROUNDUP(商品マスタ[[#This Row],[仕入単価+国内送料]]/0.8,-1)</f>
        <v/>
      </c>
      <c r="V864" s="289">
        <f>商品マスタ[[#This Row],[海外定価
（20％）]]-商品マスタ[[#This Row],[仕入単価+国内送料]]</f>
        <v/>
      </c>
      <c r="W864" s="167">
        <f>ROUNDUP(商品マスタ[[#This Row],[仕入単価+国内送料]]/0.85,-1)</f>
        <v/>
      </c>
      <c r="X864" s="289">
        <f>商品マスタ[[#This Row],[国内定価
（15％）]]-商品マスタ[[#This Row],[仕入単価+国内送料]]</f>
        <v/>
      </c>
      <c r="Y864" s="139" t="n"/>
      <c r="Z864" s="167" t="n"/>
      <c r="AA864" s="167" t="n"/>
      <c r="AB864" s="167" t="n"/>
      <c r="AC864" s="293" t="n"/>
      <c r="AD864" s="167" t="n"/>
      <c r="AE864" s="167" t="n"/>
      <c r="AF864" s="167" t="n"/>
      <c r="AG864" s="144" t="n"/>
    </row>
    <row r="865" ht="18" customHeight="1" s="207">
      <c r="A865" s="166" t="n"/>
      <c r="B865" s="167" t="n"/>
      <c r="C865" s="167" t="n"/>
      <c r="D865" s="143">
        <f>"PRD_SNJ_"&amp;
_xlfn.XLOOKUP(商品マスタ[[#This Row],[仕入先]],テーブル1[仕入先名],テーブル1[仕入先コード],"XXX",0,1)&amp;
"_"&amp;
商品マスタ[[#This Row],[シリアル]]&amp;
"_"&amp;
TEXT(COUNTIFS(商品マスタ!$C$3:C865,商品マスタ[[#This Row],[仕入先]],商品マスタ!$E$3:E865,商品マスタ[[#This Row],[商品名]]), "00")</f>
        <v/>
      </c>
      <c r="E865" s="167" t="n"/>
      <c r="F865" s="167">
        <f>IF(COUNTIFS($C$3:C865,商品マスタ[[#This Row],[仕入先]],$E$3:E865,商品マスタ[[#This Row],[商品名]]) = 1, 1,0)</f>
        <v/>
      </c>
      <c r="G865" s="133">
        <f>TEXT(SUMIF($C$3:C865,商品マスタ[[#This Row],[仕入先]],$F$3:F865), "0000")</f>
        <v/>
      </c>
      <c r="H865" s="167" t="n"/>
      <c r="I865" s="167" t="n"/>
      <c r="J865" s="167" t="n"/>
      <c r="K865" s="167" t="n"/>
      <c r="L865" s="289" t="n"/>
      <c r="M865" s="157" t="n"/>
      <c r="N865" s="289" t="n"/>
      <c r="O865" s="290">
        <f>IF(COUNT(商品マスタ[[#This Row],[参考上代
（税込)]]) &gt; 0, (商品マスタ[[#This Row],[参考上代
（税込)]]-商品マスタ[[#This Row],[国内定価
（15％）]])/(商品マスタ[[#This Row],[参考上代
（税込)]]/1.08), "")</f>
        <v/>
      </c>
      <c r="P865" s="136" t="n">
        <v>0.1</v>
      </c>
      <c r="Q865" s="289">
        <f>商品マスタ[[#This Row],[仕入
単価]]*商品マスタ[[#This Row],[標準国内送料率]]</f>
        <v/>
      </c>
      <c r="R865" s="289" t="n"/>
      <c r="S865" s="289">
        <f>IF(ISBLANK(商品マスタ[[#This Row],[実績
国内送料]]),商品マスタ[[#This Row],[標準国内送料]],)</f>
        <v/>
      </c>
      <c r="T865" s="289">
        <f>商品マスタ[[#This Row],[仕入
単価]]+商品マスタ[[#This Row],[国内送料]]</f>
        <v/>
      </c>
      <c r="U865" s="289">
        <f>ROUNDUP(商品マスタ[[#This Row],[仕入単価+国内送料]]/0.8,-1)</f>
        <v/>
      </c>
      <c r="V865" s="289">
        <f>商品マスタ[[#This Row],[海外定価
（20％）]]-商品マスタ[[#This Row],[仕入単価+国内送料]]</f>
        <v/>
      </c>
      <c r="W865" s="167">
        <f>ROUNDUP(商品マスタ[[#This Row],[仕入単価+国内送料]]/0.85,-1)</f>
        <v/>
      </c>
      <c r="X865" s="289">
        <f>商品マスタ[[#This Row],[国内定価
（15％）]]-商品マスタ[[#This Row],[仕入単価+国内送料]]</f>
        <v/>
      </c>
      <c r="Y865" s="139" t="n"/>
      <c r="Z865" s="167" t="n"/>
      <c r="AA865" s="167" t="n"/>
      <c r="AB865" s="167" t="n"/>
      <c r="AC865" s="293" t="n"/>
      <c r="AD865" s="167" t="n"/>
      <c r="AE865" s="167" t="n"/>
      <c r="AF865" s="167" t="n"/>
      <c r="AG865" s="144" t="n"/>
    </row>
    <row r="866" ht="18" customHeight="1" s="207">
      <c r="A866" s="166" t="n"/>
      <c r="B866" s="167" t="n"/>
      <c r="C866" s="167" t="n"/>
      <c r="D866" s="143">
        <f>"PRD_SNJ_"&amp;
_xlfn.XLOOKUP(商品マスタ[[#This Row],[仕入先]],テーブル1[仕入先名],テーブル1[仕入先コード],"XXX",0,1)&amp;
"_"&amp;
商品マスタ[[#This Row],[シリアル]]&amp;
"_"&amp;
TEXT(COUNTIFS(商品マスタ!$C$3:C866,商品マスタ[[#This Row],[仕入先]],商品マスタ!$E$3:E866,商品マスタ[[#This Row],[商品名]]), "00")</f>
        <v/>
      </c>
      <c r="E866" s="167" t="n"/>
      <c r="F866" s="167">
        <f>IF(COUNTIFS($C$3:C866,商品マスタ[[#This Row],[仕入先]],$E$3:E866,商品マスタ[[#This Row],[商品名]]) = 1, 1,0)</f>
        <v/>
      </c>
      <c r="G866" s="133">
        <f>TEXT(SUMIF($C$3:C866,商品マスタ[[#This Row],[仕入先]],$F$3:F866), "0000")</f>
        <v/>
      </c>
      <c r="H866" s="167" t="n"/>
      <c r="I866" s="167" t="n"/>
      <c r="J866" s="167" t="n"/>
      <c r="K866" s="167" t="n"/>
      <c r="L866" s="289" t="n"/>
      <c r="M866" s="157" t="n"/>
      <c r="N866" s="289" t="n"/>
      <c r="O866" s="290">
        <f>IF(COUNT(商品マスタ[[#This Row],[参考上代
（税込)]]) &gt; 0, (商品マスタ[[#This Row],[参考上代
（税込)]]-商品マスタ[[#This Row],[国内定価
（15％）]])/(商品マスタ[[#This Row],[参考上代
（税込)]]/1.08), "")</f>
        <v/>
      </c>
      <c r="P866" s="136" t="n">
        <v>0.1</v>
      </c>
      <c r="Q866" s="289">
        <f>商品マスタ[[#This Row],[仕入
単価]]*商品マスタ[[#This Row],[標準国内送料率]]</f>
        <v/>
      </c>
      <c r="R866" s="289" t="n"/>
      <c r="S866" s="289">
        <f>IF(ISBLANK(商品マスタ[[#This Row],[実績
国内送料]]),商品マスタ[[#This Row],[標準国内送料]],)</f>
        <v/>
      </c>
      <c r="T866" s="289">
        <f>商品マスタ[[#This Row],[仕入
単価]]+商品マスタ[[#This Row],[国内送料]]</f>
        <v/>
      </c>
      <c r="U866" s="289">
        <f>ROUNDUP(商品マスタ[[#This Row],[仕入単価+国内送料]]/0.8,-1)</f>
        <v/>
      </c>
      <c r="V866" s="289">
        <f>商品マスタ[[#This Row],[海外定価
（20％）]]-商品マスタ[[#This Row],[仕入単価+国内送料]]</f>
        <v/>
      </c>
      <c r="W866" s="167">
        <f>ROUNDUP(商品マスタ[[#This Row],[仕入単価+国内送料]]/0.85,-1)</f>
        <v/>
      </c>
      <c r="X866" s="289">
        <f>商品マスタ[[#This Row],[国内定価
（15％）]]-商品マスタ[[#This Row],[仕入単価+国内送料]]</f>
        <v/>
      </c>
      <c r="Y866" s="139" t="n"/>
      <c r="Z866" s="167" t="n"/>
      <c r="AA866" s="167" t="n"/>
      <c r="AB866" s="167" t="n"/>
      <c r="AC866" s="293" t="n"/>
      <c r="AD866" s="167" t="n"/>
      <c r="AE866" s="167" t="n"/>
      <c r="AF866" s="167" t="n"/>
      <c r="AG866" s="144" t="n"/>
    </row>
    <row r="867" ht="18" customHeight="1" s="207">
      <c r="A867" s="166" t="n"/>
      <c r="B867" s="167" t="n"/>
      <c r="C867" s="167" t="n"/>
      <c r="D867" s="143">
        <f>"PRD_SNJ_"&amp;
_xlfn.XLOOKUP(商品マスタ[[#This Row],[仕入先]],テーブル1[仕入先名],テーブル1[仕入先コード],"XXX",0,1)&amp;
"_"&amp;
商品マスタ[[#This Row],[シリアル]]&amp;
"_"&amp;
TEXT(COUNTIFS(商品マスタ!$C$3:C867,商品マスタ[[#This Row],[仕入先]],商品マスタ!$E$3:E867,商品マスタ[[#This Row],[商品名]]), "00")</f>
        <v/>
      </c>
      <c r="E867" s="167" t="n"/>
      <c r="F867" s="167">
        <f>IF(COUNTIFS($C$3:C867,商品マスタ[[#This Row],[仕入先]],$E$3:E867,商品マスタ[[#This Row],[商品名]]) = 1, 1,0)</f>
        <v/>
      </c>
      <c r="G867" s="133">
        <f>TEXT(SUMIF($C$3:C867,商品マスタ[[#This Row],[仕入先]],$F$3:F867), "0000")</f>
        <v/>
      </c>
      <c r="H867" s="167" t="n"/>
      <c r="I867" s="167" t="n"/>
      <c r="J867" s="167" t="n"/>
      <c r="K867" s="167" t="n"/>
      <c r="L867" s="289" t="n"/>
      <c r="M867" s="157" t="n"/>
      <c r="N867" s="289" t="n"/>
      <c r="O867" s="290">
        <f>IF(COUNT(商品マスタ[[#This Row],[参考上代
（税込)]]) &gt; 0, (商品マスタ[[#This Row],[参考上代
（税込)]]-商品マスタ[[#This Row],[国内定価
（15％）]])/(商品マスタ[[#This Row],[参考上代
（税込)]]/1.08), "")</f>
        <v/>
      </c>
      <c r="P867" s="136" t="n">
        <v>0.1</v>
      </c>
      <c r="Q867" s="289">
        <f>商品マスタ[[#This Row],[仕入
単価]]*商品マスタ[[#This Row],[標準国内送料率]]</f>
        <v/>
      </c>
      <c r="R867" s="289" t="n"/>
      <c r="S867" s="289">
        <f>IF(ISBLANK(商品マスタ[[#This Row],[実績
国内送料]]),商品マスタ[[#This Row],[標準国内送料]],)</f>
        <v/>
      </c>
      <c r="T867" s="289">
        <f>商品マスタ[[#This Row],[仕入
単価]]+商品マスタ[[#This Row],[国内送料]]</f>
        <v/>
      </c>
      <c r="U867" s="289">
        <f>ROUNDUP(商品マスタ[[#This Row],[仕入単価+国内送料]]/0.8,-1)</f>
        <v/>
      </c>
      <c r="V867" s="289">
        <f>商品マスタ[[#This Row],[海外定価
（20％）]]-商品マスタ[[#This Row],[仕入単価+国内送料]]</f>
        <v/>
      </c>
      <c r="W867" s="167">
        <f>ROUNDUP(商品マスタ[[#This Row],[仕入単価+国内送料]]/0.85,-1)</f>
        <v/>
      </c>
      <c r="X867" s="289">
        <f>商品マスタ[[#This Row],[国内定価
（15％）]]-商品マスタ[[#This Row],[仕入単価+国内送料]]</f>
        <v/>
      </c>
      <c r="Y867" s="139" t="n"/>
      <c r="Z867" s="167" t="n"/>
      <c r="AA867" s="167" t="n"/>
      <c r="AB867" s="167" t="n"/>
      <c r="AC867" s="293" t="n"/>
      <c r="AD867" s="167" t="n"/>
      <c r="AE867" s="167" t="n"/>
      <c r="AF867" s="167" t="n"/>
      <c r="AG867" s="144" t="n"/>
    </row>
    <row r="868" ht="18" customHeight="1" s="207">
      <c r="A868" s="166" t="n"/>
      <c r="B868" s="167" t="n"/>
      <c r="C868" s="167" t="n"/>
      <c r="D868" s="143">
        <f>"PRD_SNJ_"&amp;
_xlfn.XLOOKUP(商品マスタ[[#This Row],[仕入先]],テーブル1[仕入先名],テーブル1[仕入先コード],"XXX",0,1)&amp;
"_"&amp;
商品マスタ[[#This Row],[シリアル]]&amp;
"_"&amp;
TEXT(COUNTIFS(商品マスタ!$C$3:C868,商品マスタ[[#This Row],[仕入先]],商品マスタ!$E$3:E868,商品マスタ[[#This Row],[商品名]]), "00")</f>
        <v/>
      </c>
      <c r="E868" s="167" t="n"/>
      <c r="F868" s="167">
        <f>IF(COUNTIFS($C$3:C868,商品マスタ[[#This Row],[仕入先]],$E$3:E868,商品マスタ[[#This Row],[商品名]]) = 1, 1,0)</f>
        <v/>
      </c>
      <c r="G868" s="133">
        <f>TEXT(SUMIF($C$3:C868,商品マスタ[[#This Row],[仕入先]],$F$3:F868), "0000")</f>
        <v/>
      </c>
      <c r="H868" s="167" t="n"/>
      <c r="I868" s="167" t="n"/>
      <c r="J868" s="167" t="n"/>
      <c r="K868" s="167" t="n"/>
      <c r="L868" s="289" t="n"/>
      <c r="M868" s="157" t="n"/>
      <c r="N868" s="289" t="n"/>
      <c r="O868" s="290">
        <f>IF(COUNT(商品マスタ[[#This Row],[参考上代
（税込)]]) &gt; 0, (商品マスタ[[#This Row],[参考上代
（税込)]]-商品マスタ[[#This Row],[国内定価
（15％）]])/(商品マスタ[[#This Row],[参考上代
（税込)]]/1.08), "")</f>
        <v/>
      </c>
      <c r="P868" s="136" t="n">
        <v>0.1</v>
      </c>
      <c r="Q868" s="289">
        <f>商品マスタ[[#This Row],[仕入
単価]]*商品マスタ[[#This Row],[標準国内送料率]]</f>
        <v/>
      </c>
      <c r="R868" s="289" t="n"/>
      <c r="S868" s="289">
        <f>IF(ISBLANK(商品マスタ[[#This Row],[実績
国内送料]]),商品マスタ[[#This Row],[標準国内送料]],)</f>
        <v/>
      </c>
      <c r="T868" s="289">
        <f>商品マスタ[[#This Row],[仕入
単価]]+商品マスタ[[#This Row],[国内送料]]</f>
        <v/>
      </c>
      <c r="U868" s="289">
        <f>ROUNDUP(商品マスタ[[#This Row],[仕入単価+国内送料]]/0.8,-1)</f>
        <v/>
      </c>
      <c r="V868" s="289">
        <f>商品マスタ[[#This Row],[海外定価
（20％）]]-商品マスタ[[#This Row],[仕入単価+国内送料]]</f>
        <v/>
      </c>
      <c r="W868" s="167">
        <f>ROUNDUP(商品マスタ[[#This Row],[仕入単価+国内送料]]/0.85,-1)</f>
        <v/>
      </c>
      <c r="X868" s="289">
        <f>商品マスタ[[#This Row],[国内定価
（15％）]]-商品マスタ[[#This Row],[仕入単価+国内送料]]</f>
        <v/>
      </c>
      <c r="Y868" s="139" t="n"/>
      <c r="Z868" s="167" t="n"/>
      <c r="AA868" s="167" t="n"/>
      <c r="AB868" s="167" t="n"/>
      <c r="AC868" s="293" t="n"/>
      <c r="AD868" s="167" t="n"/>
      <c r="AE868" s="167" t="n"/>
      <c r="AF868" s="167" t="n"/>
      <c r="AG868" s="144" t="n"/>
    </row>
    <row r="869" ht="18" customHeight="1" s="207">
      <c r="A869" s="166" t="n"/>
      <c r="B869" s="167" t="n"/>
      <c r="C869" s="167" t="n"/>
      <c r="D869" s="143">
        <f>"PRD_SNJ_"&amp;
_xlfn.XLOOKUP(商品マスタ[[#This Row],[仕入先]],テーブル1[仕入先名],テーブル1[仕入先コード],"XXX",0,1)&amp;
"_"&amp;
商品マスタ[[#This Row],[シリアル]]&amp;
"_"&amp;
TEXT(COUNTIFS(商品マスタ!$C$3:C869,商品マスタ[[#This Row],[仕入先]],商品マスタ!$E$3:E869,商品マスタ[[#This Row],[商品名]]), "00")</f>
        <v/>
      </c>
      <c r="E869" s="167" t="n"/>
      <c r="F869" s="167">
        <f>IF(COUNTIFS($C$3:C869,商品マスタ[[#This Row],[仕入先]],$E$3:E869,商品マスタ[[#This Row],[商品名]]) = 1, 1,0)</f>
        <v/>
      </c>
      <c r="G869" s="133">
        <f>TEXT(SUMIF($C$3:C869,商品マスタ[[#This Row],[仕入先]],$F$3:F869), "0000")</f>
        <v/>
      </c>
      <c r="H869" s="167" t="n"/>
      <c r="I869" s="167" t="n"/>
      <c r="J869" s="167" t="n"/>
      <c r="K869" s="167" t="n"/>
      <c r="L869" s="289" t="n"/>
      <c r="M869" s="157" t="n"/>
      <c r="N869" s="289" t="n"/>
      <c r="O869" s="290">
        <f>IF(COUNT(商品マスタ[[#This Row],[参考上代
（税込)]]) &gt; 0, (商品マスタ[[#This Row],[参考上代
（税込)]]-商品マスタ[[#This Row],[国内定価
（15％）]])/(商品マスタ[[#This Row],[参考上代
（税込)]]/1.08), "")</f>
        <v/>
      </c>
      <c r="P869" s="136" t="n">
        <v>0.1</v>
      </c>
      <c r="Q869" s="289">
        <f>商品マスタ[[#This Row],[仕入
単価]]*商品マスタ[[#This Row],[標準国内送料率]]</f>
        <v/>
      </c>
      <c r="R869" s="289" t="n"/>
      <c r="S869" s="289">
        <f>IF(ISBLANK(商品マスタ[[#This Row],[実績
国内送料]]),商品マスタ[[#This Row],[標準国内送料]],)</f>
        <v/>
      </c>
      <c r="T869" s="289">
        <f>商品マスタ[[#This Row],[仕入
単価]]+商品マスタ[[#This Row],[国内送料]]</f>
        <v/>
      </c>
      <c r="U869" s="289">
        <f>ROUNDUP(商品マスタ[[#This Row],[仕入単価+国内送料]]/0.8,-1)</f>
        <v/>
      </c>
      <c r="V869" s="289">
        <f>商品マスタ[[#This Row],[海外定価
（20％）]]-商品マスタ[[#This Row],[仕入単価+国内送料]]</f>
        <v/>
      </c>
      <c r="W869" s="167">
        <f>ROUNDUP(商品マスタ[[#This Row],[仕入単価+国内送料]]/0.85,-1)</f>
        <v/>
      </c>
      <c r="X869" s="289">
        <f>商品マスタ[[#This Row],[国内定価
（15％）]]-商品マスタ[[#This Row],[仕入単価+国内送料]]</f>
        <v/>
      </c>
      <c r="Y869" s="139" t="n"/>
      <c r="Z869" s="167" t="n"/>
      <c r="AA869" s="167" t="n"/>
      <c r="AB869" s="167" t="n"/>
      <c r="AC869" s="293" t="n"/>
      <c r="AD869" s="167" t="n"/>
      <c r="AE869" s="167" t="n"/>
      <c r="AF869" s="167" t="n"/>
      <c r="AG869" s="144" t="n"/>
    </row>
    <row r="870" ht="18" customHeight="1" s="207">
      <c r="A870" s="166" t="n"/>
      <c r="B870" s="167" t="n"/>
      <c r="C870" s="167" t="n"/>
      <c r="D870" s="143">
        <f>"PRD_SNJ_"&amp;
_xlfn.XLOOKUP(商品マスタ[[#This Row],[仕入先]],テーブル1[仕入先名],テーブル1[仕入先コード],"XXX",0,1)&amp;
"_"&amp;
商品マスタ[[#This Row],[シリアル]]&amp;
"_"&amp;
TEXT(COUNTIFS(商品マスタ!$C$3:C870,商品マスタ[[#This Row],[仕入先]],商品マスタ!$E$3:E870,商品マスタ[[#This Row],[商品名]]), "00")</f>
        <v/>
      </c>
      <c r="E870" s="167" t="n"/>
      <c r="F870" s="167">
        <f>IF(COUNTIFS($C$3:C870,商品マスタ[[#This Row],[仕入先]],$E$3:E870,商品マスタ[[#This Row],[商品名]]) = 1, 1,0)</f>
        <v/>
      </c>
      <c r="G870" s="133">
        <f>TEXT(SUMIF($C$3:C870,商品マスタ[[#This Row],[仕入先]],$F$3:F870), "0000")</f>
        <v/>
      </c>
      <c r="H870" s="167" t="n"/>
      <c r="I870" s="167" t="n"/>
      <c r="J870" s="167" t="n"/>
      <c r="K870" s="167" t="n"/>
      <c r="L870" s="289" t="n"/>
      <c r="M870" s="157" t="n"/>
      <c r="N870" s="289" t="n"/>
      <c r="O870" s="290">
        <f>IF(COUNT(商品マスタ[[#This Row],[参考上代
（税込)]]) &gt; 0, (商品マスタ[[#This Row],[参考上代
（税込)]]-商品マスタ[[#This Row],[国内定価
（15％）]])/(商品マスタ[[#This Row],[参考上代
（税込)]]/1.08), "")</f>
        <v/>
      </c>
      <c r="P870" s="136" t="n">
        <v>0.1</v>
      </c>
      <c r="Q870" s="289">
        <f>商品マスタ[[#This Row],[仕入
単価]]*商品マスタ[[#This Row],[標準国内送料率]]</f>
        <v/>
      </c>
      <c r="R870" s="289" t="n"/>
      <c r="S870" s="289">
        <f>IF(ISBLANK(商品マスタ[[#This Row],[実績
国内送料]]),商品マスタ[[#This Row],[標準国内送料]],)</f>
        <v/>
      </c>
      <c r="T870" s="289">
        <f>商品マスタ[[#This Row],[仕入
単価]]+商品マスタ[[#This Row],[国内送料]]</f>
        <v/>
      </c>
      <c r="U870" s="289">
        <f>ROUNDUP(商品マスタ[[#This Row],[仕入単価+国内送料]]/0.8,-1)</f>
        <v/>
      </c>
      <c r="V870" s="289">
        <f>商品マスタ[[#This Row],[海外定価
（20％）]]-商品マスタ[[#This Row],[仕入単価+国内送料]]</f>
        <v/>
      </c>
      <c r="W870" s="167">
        <f>ROUNDUP(商品マスタ[[#This Row],[仕入単価+国内送料]]/0.85,-1)</f>
        <v/>
      </c>
      <c r="X870" s="289">
        <f>商品マスタ[[#This Row],[国内定価
（15％）]]-商品マスタ[[#This Row],[仕入単価+国内送料]]</f>
        <v/>
      </c>
      <c r="Y870" s="139" t="n"/>
      <c r="Z870" s="167" t="n"/>
      <c r="AA870" s="167" t="n"/>
      <c r="AB870" s="167" t="n"/>
      <c r="AC870" s="293" t="n"/>
      <c r="AD870" s="167" t="n"/>
      <c r="AE870" s="167" t="n"/>
      <c r="AF870" s="167" t="n"/>
      <c r="AG870" s="144" t="n"/>
    </row>
    <row r="871" ht="18" customHeight="1" s="207">
      <c r="A871" s="166" t="n"/>
      <c r="B871" s="167" t="n"/>
      <c r="C871" s="167" t="n"/>
      <c r="D871" s="143">
        <f>"PRD_SNJ_"&amp;
_xlfn.XLOOKUP(商品マスタ[[#This Row],[仕入先]],テーブル1[仕入先名],テーブル1[仕入先コード],"XXX",0,1)&amp;
"_"&amp;
商品マスタ[[#This Row],[シリアル]]&amp;
"_"&amp;
TEXT(COUNTIFS(商品マスタ!$C$3:C871,商品マスタ[[#This Row],[仕入先]],商品マスタ!$E$3:E871,商品マスタ[[#This Row],[商品名]]), "00")</f>
        <v/>
      </c>
      <c r="E871" s="167" t="n"/>
      <c r="F871" s="167">
        <f>IF(COUNTIFS($C$3:C871,商品マスタ[[#This Row],[仕入先]],$E$3:E871,商品マスタ[[#This Row],[商品名]]) = 1, 1,0)</f>
        <v/>
      </c>
      <c r="G871" s="133">
        <f>TEXT(SUMIF($C$3:C871,商品マスタ[[#This Row],[仕入先]],$F$3:F871), "0000")</f>
        <v/>
      </c>
      <c r="H871" s="167" t="n"/>
      <c r="I871" s="167" t="n"/>
      <c r="J871" s="167" t="n"/>
      <c r="K871" s="167" t="n"/>
      <c r="L871" s="289" t="n"/>
      <c r="M871" s="157" t="n"/>
      <c r="N871" s="289" t="n"/>
      <c r="O871" s="290">
        <f>IF(COUNT(商品マスタ[[#This Row],[参考上代
（税込)]]) &gt; 0, (商品マスタ[[#This Row],[参考上代
（税込)]]-商品マスタ[[#This Row],[国内定価
（15％）]])/(商品マスタ[[#This Row],[参考上代
（税込)]]/1.08), "")</f>
        <v/>
      </c>
      <c r="P871" s="136" t="n">
        <v>0.1</v>
      </c>
      <c r="Q871" s="289">
        <f>商品マスタ[[#This Row],[仕入
単価]]*商品マスタ[[#This Row],[標準国内送料率]]</f>
        <v/>
      </c>
      <c r="R871" s="289" t="n"/>
      <c r="S871" s="289">
        <f>IF(ISBLANK(商品マスタ[[#This Row],[実績
国内送料]]),商品マスタ[[#This Row],[標準国内送料]],)</f>
        <v/>
      </c>
      <c r="T871" s="289">
        <f>商品マスタ[[#This Row],[仕入
単価]]+商品マスタ[[#This Row],[国内送料]]</f>
        <v/>
      </c>
      <c r="U871" s="289">
        <f>ROUNDUP(商品マスタ[[#This Row],[仕入単価+国内送料]]/0.8,-1)</f>
        <v/>
      </c>
      <c r="V871" s="289">
        <f>商品マスタ[[#This Row],[海外定価
（20％）]]-商品マスタ[[#This Row],[仕入単価+国内送料]]</f>
        <v/>
      </c>
      <c r="W871" s="167">
        <f>ROUNDUP(商品マスタ[[#This Row],[仕入単価+国内送料]]/0.85,-1)</f>
        <v/>
      </c>
      <c r="X871" s="289">
        <f>商品マスタ[[#This Row],[国内定価
（15％）]]-商品マスタ[[#This Row],[仕入単価+国内送料]]</f>
        <v/>
      </c>
      <c r="Y871" s="139" t="n"/>
      <c r="Z871" s="167" t="n"/>
      <c r="AA871" s="167" t="n"/>
      <c r="AB871" s="167" t="n"/>
      <c r="AC871" s="293" t="n"/>
      <c r="AD871" s="167" t="n"/>
      <c r="AE871" s="167" t="n"/>
      <c r="AF871" s="167" t="n"/>
      <c r="AG871" s="144" t="n"/>
    </row>
    <row r="872" ht="18" customHeight="1" s="207">
      <c r="A872" s="166" t="n"/>
      <c r="B872" s="167" t="n"/>
      <c r="C872" s="167" t="n"/>
      <c r="D872" s="143">
        <f>"PRD_SNJ_"&amp;
_xlfn.XLOOKUP(商品マスタ[[#This Row],[仕入先]],テーブル1[仕入先名],テーブル1[仕入先コード],"XXX",0,1)&amp;
"_"&amp;
商品マスタ[[#This Row],[シリアル]]&amp;
"_"&amp;
TEXT(COUNTIFS(商品マスタ!$C$3:C872,商品マスタ[[#This Row],[仕入先]],商品マスタ!$E$3:E872,商品マスタ[[#This Row],[商品名]]), "00")</f>
        <v/>
      </c>
      <c r="E872" s="167" t="n"/>
      <c r="F872" s="167">
        <f>IF(COUNTIFS($C$3:C872,商品マスタ[[#This Row],[仕入先]],$E$3:E872,商品マスタ[[#This Row],[商品名]]) = 1, 1,0)</f>
        <v/>
      </c>
      <c r="G872" s="133">
        <f>TEXT(SUMIF($C$3:C872,商品マスタ[[#This Row],[仕入先]],$F$3:F872), "0000")</f>
        <v/>
      </c>
      <c r="H872" s="167" t="n"/>
      <c r="I872" s="167" t="n"/>
      <c r="J872" s="167" t="n"/>
      <c r="K872" s="167" t="n"/>
      <c r="L872" s="289" t="n"/>
      <c r="M872" s="157" t="n"/>
      <c r="N872" s="289" t="n"/>
      <c r="O872" s="290">
        <f>IF(COUNT(商品マスタ[[#This Row],[参考上代
（税込)]]) &gt; 0, (商品マスタ[[#This Row],[参考上代
（税込)]]-商品マスタ[[#This Row],[国内定価
（15％）]])/(商品マスタ[[#This Row],[参考上代
（税込)]]/1.08), "")</f>
        <v/>
      </c>
      <c r="P872" s="136" t="n">
        <v>0.1</v>
      </c>
      <c r="Q872" s="289">
        <f>商品マスタ[[#This Row],[仕入
単価]]*商品マスタ[[#This Row],[標準国内送料率]]</f>
        <v/>
      </c>
      <c r="R872" s="289" t="n"/>
      <c r="S872" s="289">
        <f>IF(ISBLANK(商品マスタ[[#This Row],[実績
国内送料]]),商品マスタ[[#This Row],[標準国内送料]],)</f>
        <v/>
      </c>
      <c r="T872" s="289">
        <f>商品マスタ[[#This Row],[仕入
単価]]+商品マスタ[[#This Row],[国内送料]]</f>
        <v/>
      </c>
      <c r="U872" s="289">
        <f>ROUNDUP(商品マスタ[[#This Row],[仕入単価+国内送料]]/0.8,-1)</f>
        <v/>
      </c>
      <c r="V872" s="289">
        <f>商品マスタ[[#This Row],[海外定価
（20％）]]-商品マスタ[[#This Row],[仕入単価+国内送料]]</f>
        <v/>
      </c>
      <c r="W872" s="167">
        <f>ROUNDUP(商品マスタ[[#This Row],[仕入単価+国内送料]]/0.85,-1)</f>
        <v/>
      </c>
      <c r="X872" s="289">
        <f>商品マスタ[[#This Row],[国内定価
（15％）]]-商品マスタ[[#This Row],[仕入単価+国内送料]]</f>
        <v/>
      </c>
      <c r="Y872" s="139" t="n"/>
      <c r="Z872" s="167" t="n"/>
      <c r="AA872" s="167" t="n"/>
      <c r="AB872" s="167" t="n"/>
      <c r="AC872" s="293" t="n"/>
      <c r="AD872" s="167" t="n"/>
      <c r="AE872" s="167" t="n"/>
      <c r="AF872" s="167" t="n"/>
      <c r="AG872" s="144" t="n"/>
    </row>
    <row r="873" ht="18" customHeight="1" s="207">
      <c r="A873" s="166" t="n"/>
      <c r="B873" s="167" t="n"/>
      <c r="C873" s="167" t="n"/>
      <c r="D873" s="143">
        <f>"PRD_SNJ_"&amp;
_xlfn.XLOOKUP(商品マスタ[[#This Row],[仕入先]],テーブル1[仕入先名],テーブル1[仕入先コード],"XXX",0,1)&amp;
"_"&amp;
商品マスタ[[#This Row],[シリアル]]&amp;
"_"&amp;
TEXT(COUNTIFS(商品マスタ!$C$3:C873,商品マスタ[[#This Row],[仕入先]],商品マスタ!$E$3:E873,商品マスタ[[#This Row],[商品名]]), "00")</f>
        <v/>
      </c>
      <c r="E873" s="167" t="n"/>
      <c r="F873" s="167">
        <f>IF(COUNTIFS($C$3:C873,商品マスタ[[#This Row],[仕入先]],$E$3:E873,商品マスタ[[#This Row],[商品名]]) = 1, 1,0)</f>
        <v/>
      </c>
      <c r="G873" s="133">
        <f>TEXT(SUMIF($C$3:C873,商品マスタ[[#This Row],[仕入先]],$F$3:F873), "0000")</f>
        <v/>
      </c>
      <c r="H873" s="167" t="n"/>
      <c r="I873" s="167" t="n"/>
      <c r="J873" s="167" t="n"/>
      <c r="K873" s="167" t="n"/>
      <c r="L873" s="289" t="n"/>
      <c r="M873" s="157" t="n"/>
      <c r="N873" s="289" t="n"/>
      <c r="O873" s="290">
        <f>IF(COUNT(商品マスタ[[#This Row],[参考上代
（税込)]]) &gt; 0, (商品マスタ[[#This Row],[参考上代
（税込)]]-商品マスタ[[#This Row],[国内定価
（15％）]])/(商品マスタ[[#This Row],[参考上代
（税込)]]/1.08), "")</f>
        <v/>
      </c>
      <c r="P873" s="136" t="n">
        <v>0.1</v>
      </c>
      <c r="Q873" s="289">
        <f>商品マスタ[[#This Row],[仕入
単価]]*商品マスタ[[#This Row],[標準国内送料率]]</f>
        <v/>
      </c>
      <c r="R873" s="289" t="n"/>
      <c r="S873" s="289">
        <f>IF(ISBLANK(商品マスタ[[#This Row],[実績
国内送料]]),商品マスタ[[#This Row],[標準国内送料]],)</f>
        <v/>
      </c>
      <c r="T873" s="289">
        <f>商品マスタ[[#This Row],[仕入
単価]]+商品マスタ[[#This Row],[国内送料]]</f>
        <v/>
      </c>
      <c r="U873" s="289">
        <f>ROUNDUP(商品マスタ[[#This Row],[仕入単価+国内送料]]/0.8,-1)</f>
        <v/>
      </c>
      <c r="V873" s="289">
        <f>商品マスタ[[#This Row],[海外定価
（20％）]]-商品マスタ[[#This Row],[仕入単価+国内送料]]</f>
        <v/>
      </c>
      <c r="W873" s="167">
        <f>ROUNDUP(商品マスタ[[#This Row],[仕入単価+国内送料]]/0.85,-1)</f>
        <v/>
      </c>
      <c r="X873" s="289">
        <f>商品マスタ[[#This Row],[国内定価
（15％）]]-商品マスタ[[#This Row],[仕入単価+国内送料]]</f>
        <v/>
      </c>
      <c r="Y873" s="139" t="n"/>
      <c r="Z873" s="167" t="n"/>
      <c r="AA873" s="167" t="n"/>
      <c r="AB873" s="167" t="n"/>
      <c r="AC873" s="293" t="n"/>
      <c r="AD873" s="167" t="n"/>
      <c r="AE873" s="167" t="n"/>
      <c r="AF873" s="167" t="n"/>
      <c r="AG873" s="144" t="n"/>
    </row>
    <row r="874" ht="18" customHeight="1" s="207">
      <c r="A874" s="166" t="n"/>
      <c r="B874" s="167" t="n"/>
      <c r="C874" s="167" t="n"/>
      <c r="D874" s="143">
        <f>"PRD_SNJ_"&amp;
_xlfn.XLOOKUP(商品マスタ[[#This Row],[仕入先]],テーブル1[仕入先名],テーブル1[仕入先コード],"XXX",0,1)&amp;
"_"&amp;
商品マスタ[[#This Row],[シリアル]]&amp;
"_"&amp;
TEXT(COUNTIFS(商品マスタ!$C$3:C874,商品マスタ[[#This Row],[仕入先]],商品マスタ!$E$3:E874,商品マスタ[[#This Row],[商品名]]), "00")</f>
        <v/>
      </c>
      <c r="E874" s="167" t="n"/>
      <c r="F874" s="167">
        <f>IF(COUNTIFS($C$3:C874,商品マスタ[[#This Row],[仕入先]],$E$3:E874,商品マスタ[[#This Row],[商品名]]) = 1, 1,0)</f>
        <v/>
      </c>
      <c r="G874" s="133">
        <f>TEXT(SUMIF($C$3:C874,商品マスタ[[#This Row],[仕入先]],$F$3:F874), "0000")</f>
        <v/>
      </c>
      <c r="H874" s="167" t="n"/>
      <c r="I874" s="167" t="n"/>
      <c r="J874" s="167" t="n"/>
      <c r="K874" s="167" t="n"/>
      <c r="L874" s="289" t="n"/>
      <c r="M874" s="157" t="n"/>
      <c r="N874" s="289" t="n"/>
      <c r="O874" s="290">
        <f>IF(COUNT(商品マスタ[[#This Row],[参考上代
（税込)]]) &gt; 0, (商品マスタ[[#This Row],[参考上代
（税込)]]-商品マスタ[[#This Row],[国内定価
（15％）]])/(商品マスタ[[#This Row],[参考上代
（税込)]]/1.08), "")</f>
        <v/>
      </c>
      <c r="P874" s="136" t="n">
        <v>0.1</v>
      </c>
      <c r="Q874" s="289">
        <f>商品マスタ[[#This Row],[仕入
単価]]*商品マスタ[[#This Row],[標準国内送料率]]</f>
        <v/>
      </c>
      <c r="R874" s="289" t="n"/>
      <c r="S874" s="289">
        <f>IF(ISBLANK(商品マスタ[[#This Row],[実績
国内送料]]),商品マスタ[[#This Row],[標準国内送料]],)</f>
        <v/>
      </c>
      <c r="T874" s="289">
        <f>商品マスタ[[#This Row],[仕入
単価]]+商品マスタ[[#This Row],[国内送料]]</f>
        <v/>
      </c>
      <c r="U874" s="289">
        <f>ROUNDUP(商品マスタ[[#This Row],[仕入単価+国内送料]]/0.8,-1)</f>
        <v/>
      </c>
      <c r="V874" s="289">
        <f>商品マスタ[[#This Row],[海外定価
（20％）]]-商品マスタ[[#This Row],[仕入単価+国内送料]]</f>
        <v/>
      </c>
      <c r="W874" s="167">
        <f>ROUNDUP(商品マスタ[[#This Row],[仕入単価+国内送料]]/0.85,-1)</f>
        <v/>
      </c>
      <c r="X874" s="289">
        <f>商品マスタ[[#This Row],[国内定価
（15％）]]-商品マスタ[[#This Row],[仕入単価+国内送料]]</f>
        <v/>
      </c>
      <c r="Y874" s="139" t="n"/>
      <c r="Z874" s="167" t="n"/>
      <c r="AA874" s="167" t="n"/>
      <c r="AB874" s="167" t="n"/>
      <c r="AC874" s="293" t="n"/>
      <c r="AD874" s="167" t="n"/>
      <c r="AE874" s="167" t="n"/>
      <c r="AF874" s="167" t="n"/>
      <c r="AG874" s="144" t="n"/>
    </row>
    <row r="875" ht="18" customHeight="1" s="207">
      <c r="A875" s="166" t="n"/>
      <c r="B875" s="167" t="n"/>
      <c r="C875" s="167" t="n"/>
      <c r="D875" s="143">
        <f>"PRD_SNJ_"&amp;
_xlfn.XLOOKUP(商品マスタ[[#This Row],[仕入先]],テーブル1[仕入先名],テーブル1[仕入先コード],"XXX",0,1)&amp;
"_"&amp;
商品マスタ[[#This Row],[シリアル]]&amp;
"_"&amp;
TEXT(COUNTIFS(商品マスタ!$C$3:C875,商品マスタ[[#This Row],[仕入先]],商品マスタ!$E$3:E875,商品マスタ[[#This Row],[商品名]]), "00")</f>
        <v/>
      </c>
      <c r="E875" s="167" t="n"/>
      <c r="F875" s="167">
        <f>IF(COUNTIFS($C$3:C875,商品マスタ[[#This Row],[仕入先]],$E$3:E875,商品マスタ[[#This Row],[商品名]]) = 1, 1,0)</f>
        <v/>
      </c>
      <c r="G875" s="133">
        <f>TEXT(SUMIF($C$3:C875,商品マスタ[[#This Row],[仕入先]],$F$3:F875), "0000")</f>
        <v/>
      </c>
      <c r="H875" s="167" t="n"/>
      <c r="I875" s="167" t="n"/>
      <c r="J875" s="167" t="n"/>
      <c r="K875" s="167" t="n"/>
      <c r="L875" s="289" t="n"/>
      <c r="M875" s="157" t="n"/>
      <c r="N875" s="289" t="n"/>
      <c r="O875" s="290">
        <f>IF(COUNT(商品マスタ[[#This Row],[参考上代
（税込)]]) &gt; 0, (商品マスタ[[#This Row],[参考上代
（税込)]]-商品マスタ[[#This Row],[国内定価
（15％）]])/(商品マスタ[[#This Row],[参考上代
（税込)]]/1.08), "")</f>
        <v/>
      </c>
      <c r="P875" s="136" t="n">
        <v>0.1</v>
      </c>
      <c r="Q875" s="289">
        <f>商品マスタ[[#This Row],[仕入
単価]]*商品マスタ[[#This Row],[標準国内送料率]]</f>
        <v/>
      </c>
      <c r="R875" s="289" t="n"/>
      <c r="S875" s="289">
        <f>IF(ISBLANK(商品マスタ[[#This Row],[実績
国内送料]]),商品マスタ[[#This Row],[標準国内送料]],)</f>
        <v/>
      </c>
      <c r="T875" s="289">
        <f>商品マスタ[[#This Row],[仕入
単価]]+商品マスタ[[#This Row],[国内送料]]</f>
        <v/>
      </c>
      <c r="U875" s="289">
        <f>ROUNDUP(商品マスタ[[#This Row],[仕入単価+国内送料]]/0.8,-1)</f>
        <v/>
      </c>
      <c r="V875" s="289">
        <f>商品マスタ[[#This Row],[海外定価
（20％）]]-商品マスタ[[#This Row],[仕入単価+国内送料]]</f>
        <v/>
      </c>
      <c r="W875" s="167">
        <f>ROUNDUP(商品マスタ[[#This Row],[仕入単価+国内送料]]/0.85,-1)</f>
        <v/>
      </c>
      <c r="X875" s="289">
        <f>商品マスタ[[#This Row],[国内定価
（15％）]]-商品マスタ[[#This Row],[仕入単価+国内送料]]</f>
        <v/>
      </c>
      <c r="Y875" s="139" t="n"/>
      <c r="Z875" s="167" t="n"/>
      <c r="AA875" s="167" t="n"/>
      <c r="AB875" s="167" t="n"/>
      <c r="AC875" s="293" t="n"/>
      <c r="AD875" s="167" t="n"/>
      <c r="AE875" s="167" t="n"/>
      <c r="AF875" s="167" t="n"/>
      <c r="AG875" s="144" t="n"/>
    </row>
    <row r="876" ht="18" customHeight="1" s="207">
      <c r="A876" s="166" t="n"/>
      <c r="B876" s="167" t="n"/>
      <c r="C876" s="167" t="n"/>
      <c r="D876" s="143">
        <f>"PRD_SNJ_"&amp;
_xlfn.XLOOKUP(商品マスタ[[#This Row],[仕入先]],テーブル1[仕入先名],テーブル1[仕入先コード],"XXX",0,1)&amp;
"_"&amp;
商品マスタ[[#This Row],[シリアル]]&amp;
"_"&amp;
TEXT(COUNTIFS(商品マスタ!$C$3:C876,商品マスタ[[#This Row],[仕入先]],商品マスタ!$E$3:E876,商品マスタ[[#This Row],[商品名]]), "00")</f>
        <v/>
      </c>
      <c r="E876" s="167" t="n"/>
      <c r="F876" s="167">
        <f>IF(COUNTIFS($C$3:C876,商品マスタ[[#This Row],[仕入先]],$E$3:E876,商品マスタ[[#This Row],[商品名]]) = 1, 1,0)</f>
        <v/>
      </c>
      <c r="G876" s="133">
        <f>TEXT(SUMIF($C$3:C876,商品マスタ[[#This Row],[仕入先]],$F$3:F876), "0000")</f>
        <v/>
      </c>
      <c r="H876" s="167" t="n"/>
      <c r="I876" s="167" t="n"/>
      <c r="J876" s="167" t="n"/>
      <c r="K876" s="167" t="n"/>
      <c r="L876" s="289" t="n"/>
      <c r="M876" s="157" t="n"/>
      <c r="N876" s="289" t="n"/>
      <c r="O876" s="290">
        <f>IF(COUNT(商品マスタ[[#This Row],[参考上代
（税込)]]) &gt; 0, (商品マスタ[[#This Row],[参考上代
（税込)]]-商品マスタ[[#This Row],[国内定価
（15％）]])/(商品マスタ[[#This Row],[参考上代
（税込)]]/1.08), "")</f>
        <v/>
      </c>
      <c r="P876" s="136" t="n">
        <v>0.1</v>
      </c>
      <c r="Q876" s="289">
        <f>商品マスタ[[#This Row],[仕入
単価]]*商品マスタ[[#This Row],[標準国内送料率]]</f>
        <v/>
      </c>
      <c r="R876" s="289" t="n"/>
      <c r="S876" s="289">
        <f>IF(ISBLANK(商品マスタ[[#This Row],[実績
国内送料]]),商品マスタ[[#This Row],[標準国内送料]],)</f>
        <v/>
      </c>
      <c r="T876" s="289">
        <f>商品マスタ[[#This Row],[仕入
単価]]+商品マスタ[[#This Row],[国内送料]]</f>
        <v/>
      </c>
      <c r="U876" s="289">
        <f>ROUNDUP(商品マスタ[[#This Row],[仕入単価+国内送料]]/0.8,-1)</f>
        <v/>
      </c>
      <c r="V876" s="289">
        <f>商品マスタ[[#This Row],[海外定価
（20％）]]-商品マスタ[[#This Row],[仕入単価+国内送料]]</f>
        <v/>
      </c>
      <c r="W876" s="167">
        <f>ROUNDUP(商品マスタ[[#This Row],[仕入単価+国内送料]]/0.85,-1)</f>
        <v/>
      </c>
      <c r="X876" s="289">
        <f>商品マスタ[[#This Row],[国内定価
（15％）]]-商品マスタ[[#This Row],[仕入単価+国内送料]]</f>
        <v/>
      </c>
      <c r="Y876" s="139" t="n"/>
      <c r="Z876" s="167" t="n"/>
      <c r="AA876" s="167" t="n"/>
      <c r="AB876" s="167" t="n"/>
      <c r="AC876" s="293" t="n"/>
      <c r="AD876" s="167" t="n"/>
      <c r="AE876" s="167" t="n"/>
      <c r="AF876" s="167" t="n"/>
      <c r="AG876" s="144" t="n"/>
    </row>
    <row r="877" ht="18" customHeight="1" s="207">
      <c r="A877" s="166" t="n"/>
      <c r="B877" s="167" t="n"/>
      <c r="C877" s="167" t="n"/>
      <c r="D877" s="143">
        <f>"PRD_SNJ_"&amp;
_xlfn.XLOOKUP(商品マスタ[[#This Row],[仕入先]],テーブル1[仕入先名],テーブル1[仕入先コード],"XXX",0,1)&amp;
"_"&amp;
商品マスタ[[#This Row],[シリアル]]&amp;
"_"&amp;
TEXT(COUNTIFS(商品マスタ!$C$3:C877,商品マスタ[[#This Row],[仕入先]],商品マスタ!$E$3:E877,商品マスタ[[#This Row],[商品名]]), "00")</f>
        <v/>
      </c>
      <c r="E877" s="167" t="n"/>
      <c r="F877" s="167">
        <f>IF(COUNTIFS($C$3:C877,商品マスタ[[#This Row],[仕入先]],$E$3:E877,商品マスタ[[#This Row],[商品名]]) = 1, 1,0)</f>
        <v/>
      </c>
      <c r="G877" s="133">
        <f>TEXT(SUMIF($C$3:C877,商品マスタ[[#This Row],[仕入先]],$F$3:F877), "0000")</f>
        <v/>
      </c>
      <c r="H877" s="167" t="n"/>
      <c r="I877" s="167" t="n"/>
      <c r="J877" s="167" t="n"/>
      <c r="K877" s="167" t="n"/>
      <c r="L877" s="289" t="n"/>
      <c r="M877" s="157" t="n"/>
      <c r="N877" s="289" t="n"/>
      <c r="O877" s="290">
        <f>IF(COUNT(商品マスタ[[#This Row],[参考上代
（税込)]]) &gt; 0, (商品マスタ[[#This Row],[参考上代
（税込)]]-商品マスタ[[#This Row],[国内定価
（15％）]])/(商品マスタ[[#This Row],[参考上代
（税込)]]/1.08), "")</f>
        <v/>
      </c>
      <c r="P877" s="136" t="n">
        <v>0.1</v>
      </c>
      <c r="Q877" s="289">
        <f>商品マスタ[[#This Row],[仕入
単価]]*商品マスタ[[#This Row],[標準国内送料率]]</f>
        <v/>
      </c>
      <c r="R877" s="289" t="n"/>
      <c r="S877" s="289">
        <f>IF(ISBLANK(商品マスタ[[#This Row],[実績
国内送料]]),商品マスタ[[#This Row],[標準国内送料]],)</f>
        <v/>
      </c>
      <c r="T877" s="289">
        <f>商品マスタ[[#This Row],[仕入
単価]]+商品マスタ[[#This Row],[国内送料]]</f>
        <v/>
      </c>
      <c r="U877" s="289">
        <f>ROUNDUP(商品マスタ[[#This Row],[仕入単価+国内送料]]/0.8,-1)</f>
        <v/>
      </c>
      <c r="V877" s="289">
        <f>商品マスタ[[#This Row],[海外定価
（20％）]]-商品マスタ[[#This Row],[仕入単価+国内送料]]</f>
        <v/>
      </c>
      <c r="W877" s="167">
        <f>ROUNDUP(商品マスタ[[#This Row],[仕入単価+国内送料]]/0.85,-1)</f>
        <v/>
      </c>
      <c r="X877" s="289">
        <f>商品マスタ[[#This Row],[国内定価
（15％）]]-商品マスタ[[#This Row],[仕入単価+国内送料]]</f>
        <v/>
      </c>
      <c r="Y877" s="139" t="n"/>
      <c r="Z877" s="167" t="n"/>
      <c r="AA877" s="167" t="n"/>
      <c r="AB877" s="167" t="n"/>
      <c r="AC877" s="293" t="n"/>
      <c r="AD877" s="167" t="n"/>
      <c r="AE877" s="167" t="n"/>
      <c r="AF877" s="167" t="n"/>
      <c r="AG877" s="144" t="n"/>
    </row>
    <row r="878" ht="18" customHeight="1" s="207">
      <c r="A878" s="166" t="n"/>
      <c r="B878" s="167" t="n"/>
      <c r="C878" s="167" t="n"/>
      <c r="D878" s="143">
        <f>"PRD_SNJ_"&amp;
_xlfn.XLOOKUP(商品マスタ[[#This Row],[仕入先]],テーブル1[仕入先名],テーブル1[仕入先コード],"XXX",0,1)&amp;
"_"&amp;
商品マスタ[[#This Row],[シリアル]]&amp;
"_"&amp;
TEXT(COUNTIFS(商品マスタ!$C$3:C878,商品マスタ[[#This Row],[仕入先]],商品マスタ!$E$3:E878,商品マスタ[[#This Row],[商品名]]), "00")</f>
        <v/>
      </c>
      <c r="E878" s="167" t="n"/>
      <c r="F878" s="167">
        <f>IF(COUNTIFS($C$3:C878,商品マスタ[[#This Row],[仕入先]],$E$3:E878,商品マスタ[[#This Row],[商品名]]) = 1, 1,0)</f>
        <v/>
      </c>
      <c r="G878" s="133">
        <f>TEXT(SUMIF($C$3:C878,商品マスタ[[#This Row],[仕入先]],$F$3:F878), "0000")</f>
        <v/>
      </c>
      <c r="H878" s="167" t="n"/>
      <c r="I878" s="167" t="n"/>
      <c r="J878" s="167" t="n"/>
      <c r="K878" s="167" t="n"/>
      <c r="L878" s="289" t="n"/>
      <c r="M878" s="157" t="n"/>
      <c r="N878" s="289" t="n"/>
      <c r="O878" s="290">
        <f>IF(COUNT(商品マスタ[[#This Row],[参考上代
（税込)]]) &gt; 0, (商品マスタ[[#This Row],[参考上代
（税込)]]-商品マスタ[[#This Row],[国内定価
（15％）]])/(商品マスタ[[#This Row],[参考上代
（税込)]]/1.08), "")</f>
        <v/>
      </c>
      <c r="P878" s="136" t="n">
        <v>0.1</v>
      </c>
      <c r="Q878" s="289">
        <f>商品マスタ[[#This Row],[仕入
単価]]*商品マスタ[[#This Row],[標準国内送料率]]</f>
        <v/>
      </c>
      <c r="R878" s="289" t="n"/>
      <c r="S878" s="289">
        <f>IF(ISBLANK(商品マスタ[[#This Row],[実績
国内送料]]),商品マスタ[[#This Row],[標準国内送料]],)</f>
        <v/>
      </c>
      <c r="T878" s="289">
        <f>商品マスタ[[#This Row],[仕入
単価]]+商品マスタ[[#This Row],[国内送料]]</f>
        <v/>
      </c>
      <c r="U878" s="289">
        <f>ROUNDUP(商品マスタ[[#This Row],[仕入単価+国内送料]]/0.8,-1)</f>
        <v/>
      </c>
      <c r="V878" s="289">
        <f>商品マスタ[[#This Row],[海外定価
（20％）]]-商品マスタ[[#This Row],[仕入単価+国内送料]]</f>
        <v/>
      </c>
      <c r="W878" s="167">
        <f>ROUNDUP(商品マスタ[[#This Row],[仕入単価+国内送料]]/0.85,-1)</f>
        <v/>
      </c>
      <c r="X878" s="289">
        <f>商品マスタ[[#This Row],[国内定価
（15％）]]-商品マスタ[[#This Row],[仕入単価+国内送料]]</f>
        <v/>
      </c>
      <c r="Y878" s="139" t="n"/>
      <c r="Z878" s="167" t="n"/>
      <c r="AA878" s="167" t="n"/>
      <c r="AB878" s="167" t="n"/>
      <c r="AC878" s="293" t="n"/>
      <c r="AD878" s="167" t="n"/>
      <c r="AE878" s="167" t="n"/>
      <c r="AF878" s="167" t="n"/>
      <c r="AG878" s="144" t="n"/>
    </row>
    <row r="879" ht="18" customHeight="1" s="207">
      <c r="A879" s="166" t="n"/>
      <c r="B879" s="167" t="n"/>
      <c r="C879" s="167" t="n"/>
      <c r="D879" s="143">
        <f>"PRD_SNJ_"&amp;
_xlfn.XLOOKUP(商品マスタ[[#This Row],[仕入先]],テーブル1[仕入先名],テーブル1[仕入先コード],"XXX",0,1)&amp;
"_"&amp;
商品マスタ[[#This Row],[シリアル]]&amp;
"_"&amp;
TEXT(COUNTIFS(商品マスタ!$C$3:C879,商品マスタ[[#This Row],[仕入先]],商品マスタ!$E$3:E879,商品マスタ[[#This Row],[商品名]]), "00")</f>
        <v/>
      </c>
      <c r="E879" s="167" t="n"/>
      <c r="F879" s="167">
        <f>IF(COUNTIFS($C$3:C879,商品マスタ[[#This Row],[仕入先]],$E$3:E879,商品マスタ[[#This Row],[商品名]]) = 1, 1,0)</f>
        <v/>
      </c>
      <c r="G879" s="133">
        <f>TEXT(SUMIF($C$3:C879,商品マスタ[[#This Row],[仕入先]],$F$3:F879), "0000")</f>
        <v/>
      </c>
      <c r="H879" s="167" t="n"/>
      <c r="I879" s="167" t="n"/>
      <c r="J879" s="167" t="n"/>
      <c r="K879" s="167" t="n"/>
      <c r="L879" s="289" t="n"/>
      <c r="M879" s="157" t="n"/>
      <c r="N879" s="289" t="n"/>
      <c r="O879" s="290">
        <f>IF(COUNT(商品マスタ[[#This Row],[参考上代
（税込)]]) &gt; 0, (商品マスタ[[#This Row],[参考上代
（税込)]]-商品マスタ[[#This Row],[国内定価
（15％）]])/(商品マスタ[[#This Row],[参考上代
（税込)]]/1.08), "")</f>
        <v/>
      </c>
      <c r="P879" s="136" t="n">
        <v>0.1</v>
      </c>
      <c r="Q879" s="289">
        <f>商品マスタ[[#This Row],[仕入
単価]]*商品マスタ[[#This Row],[標準国内送料率]]</f>
        <v/>
      </c>
      <c r="R879" s="289" t="n"/>
      <c r="S879" s="289">
        <f>IF(ISBLANK(商品マスタ[[#This Row],[実績
国内送料]]),商品マスタ[[#This Row],[標準国内送料]],)</f>
        <v/>
      </c>
      <c r="T879" s="289">
        <f>商品マスタ[[#This Row],[仕入
単価]]+商品マスタ[[#This Row],[国内送料]]</f>
        <v/>
      </c>
      <c r="U879" s="289">
        <f>ROUNDUP(商品マスタ[[#This Row],[仕入単価+国内送料]]/0.8,-1)</f>
        <v/>
      </c>
      <c r="V879" s="289">
        <f>商品マスタ[[#This Row],[海外定価
（20％）]]-商品マスタ[[#This Row],[仕入単価+国内送料]]</f>
        <v/>
      </c>
      <c r="W879" s="167">
        <f>ROUNDUP(商品マスタ[[#This Row],[仕入単価+国内送料]]/0.85,-1)</f>
        <v/>
      </c>
      <c r="X879" s="289">
        <f>商品マスタ[[#This Row],[国内定価
（15％）]]-商品マスタ[[#This Row],[仕入単価+国内送料]]</f>
        <v/>
      </c>
      <c r="Y879" s="139" t="n"/>
      <c r="Z879" s="167" t="n"/>
      <c r="AA879" s="167" t="n"/>
      <c r="AB879" s="167" t="n"/>
      <c r="AC879" s="293" t="n"/>
      <c r="AD879" s="167" t="n"/>
      <c r="AE879" s="167" t="n"/>
      <c r="AF879" s="167" t="n"/>
      <c r="AG879" s="144" t="n"/>
    </row>
    <row r="880" ht="18" customHeight="1" s="207">
      <c r="A880" s="166" t="n"/>
      <c r="B880" s="167" t="n"/>
      <c r="C880" s="167" t="n"/>
      <c r="D880" s="143">
        <f>"PRD_SNJ_"&amp;
_xlfn.XLOOKUP(商品マスタ[[#This Row],[仕入先]],テーブル1[仕入先名],テーブル1[仕入先コード],"XXX",0,1)&amp;
"_"&amp;
商品マスタ[[#This Row],[シリアル]]&amp;
"_"&amp;
TEXT(COUNTIFS(商品マスタ!$C$3:C880,商品マスタ[[#This Row],[仕入先]],商品マスタ!$E$3:E880,商品マスタ[[#This Row],[商品名]]), "00")</f>
        <v/>
      </c>
      <c r="E880" s="167" t="n"/>
      <c r="F880" s="167">
        <f>IF(COUNTIFS($C$3:C880,商品マスタ[[#This Row],[仕入先]],$E$3:E880,商品マスタ[[#This Row],[商品名]]) = 1, 1,0)</f>
        <v/>
      </c>
      <c r="G880" s="133">
        <f>TEXT(SUMIF($C$3:C880,商品マスタ[[#This Row],[仕入先]],$F$3:F880), "0000")</f>
        <v/>
      </c>
      <c r="H880" s="167" t="n"/>
      <c r="I880" s="167" t="n"/>
      <c r="J880" s="167" t="n"/>
      <c r="K880" s="167" t="n"/>
      <c r="L880" s="289" t="n"/>
      <c r="M880" s="157" t="n"/>
      <c r="N880" s="289" t="n"/>
      <c r="O880" s="290">
        <f>IF(COUNT(商品マスタ[[#This Row],[参考上代
（税込)]]) &gt; 0, (商品マスタ[[#This Row],[参考上代
（税込)]]-商品マスタ[[#This Row],[国内定価
（15％）]])/(商品マスタ[[#This Row],[参考上代
（税込)]]/1.08), "")</f>
        <v/>
      </c>
      <c r="P880" s="136" t="n">
        <v>0.1</v>
      </c>
      <c r="Q880" s="289">
        <f>商品マスタ[[#This Row],[仕入
単価]]*商品マスタ[[#This Row],[標準国内送料率]]</f>
        <v/>
      </c>
      <c r="R880" s="289" t="n"/>
      <c r="S880" s="289">
        <f>IF(ISBLANK(商品マスタ[[#This Row],[実績
国内送料]]),商品マスタ[[#This Row],[標準国内送料]],)</f>
        <v/>
      </c>
      <c r="T880" s="289">
        <f>商品マスタ[[#This Row],[仕入
単価]]+商品マスタ[[#This Row],[国内送料]]</f>
        <v/>
      </c>
      <c r="U880" s="289">
        <f>ROUNDUP(商品マスタ[[#This Row],[仕入単価+国内送料]]/0.8,-1)</f>
        <v/>
      </c>
      <c r="V880" s="289">
        <f>商品マスタ[[#This Row],[海外定価
（20％）]]-商品マスタ[[#This Row],[仕入単価+国内送料]]</f>
        <v/>
      </c>
      <c r="W880" s="167">
        <f>ROUNDUP(商品マスタ[[#This Row],[仕入単価+国内送料]]/0.85,-1)</f>
        <v/>
      </c>
      <c r="X880" s="289">
        <f>商品マスタ[[#This Row],[国内定価
（15％）]]-商品マスタ[[#This Row],[仕入単価+国内送料]]</f>
        <v/>
      </c>
      <c r="Y880" s="139" t="n"/>
      <c r="Z880" s="167" t="n"/>
      <c r="AA880" s="167" t="n"/>
      <c r="AB880" s="167" t="n"/>
      <c r="AC880" s="293" t="n"/>
      <c r="AD880" s="167" t="n"/>
      <c r="AE880" s="167" t="n"/>
      <c r="AF880" s="167" t="n"/>
      <c r="AG880" s="144" t="n"/>
    </row>
    <row r="881" ht="18" customHeight="1" s="207">
      <c r="A881" s="166" t="n"/>
      <c r="B881" s="167" t="n"/>
      <c r="C881" s="167" t="n"/>
      <c r="D881" s="143">
        <f>"PRD_SNJ_"&amp;
_xlfn.XLOOKUP(商品マスタ[[#This Row],[仕入先]],テーブル1[仕入先名],テーブル1[仕入先コード],"XXX",0,1)&amp;
"_"&amp;
商品マスタ[[#This Row],[シリアル]]&amp;
"_"&amp;
TEXT(COUNTIFS(商品マスタ!$C$3:C881,商品マスタ[[#This Row],[仕入先]],商品マスタ!$E$3:E881,商品マスタ[[#This Row],[商品名]]), "00")</f>
        <v/>
      </c>
      <c r="E881" s="167" t="n"/>
      <c r="F881" s="167">
        <f>IF(COUNTIFS($C$3:C881,商品マスタ[[#This Row],[仕入先]],$E$3:E881,商品マスタ[[#This Row],[商品名]]) = 1, 1,0)</f>
        <v/>
      </c>
      <c r="G881" s="133">
        <f>TEXT(SUMIF($C$3:C881,商品マスタ[[#This Row],[仕入先]],$F$3:F881), "0000")</f>
        <v/>
      </c>
      <c r="H881" s="167" t="n"/>
      <c r="I881" s="167" t="n"/>
      <c r="J881" s="167" t="n"/>
      <c r="K881" s="167" t="n"/>
      <c r="L881" s="289" t="n"/>
      <c r="M881" s="157" t="n"/>
      <c r="N881" s="289" t="n"/>
      <c r="O881" s="290">
        <f>IF(COUNT(商品マスタ[[#This Row],[参考上代
（税込)]]) &gt; 0, (商品マスタ[[#This Row],[参考上代
（税込)]]-商品マスタ[[#This Row],[国内定価
（15％）]])/(商品マスタ[[#This Row],[参考上代
（税込)]]/1.08), "")</f>
        <v/>
      </c>
      <c r="P881" s="136" t="n">
        <v>0.1</v>
      </c>
      <c r="Q881" s="289">
        <f>商品マスタ[[#This Row],[仕入
単価]]*商品マスタ[[#This Row],[標準国内送料率]]</f>
        <v/>
      </c>
      <c r="R881" s="289" t="n"/>
      <c r="S881" s="289">
        <f>IF(ISBLANK(商品マスタ[[#This Row],[実績
国内送料]]),商品マスタ[[#This Row],[標準国内送料]],)</f>
        <v/>
      </c>
      <c r="T881" s="289">
        <f>商品マスタ[[#This Row],[仕入
単価]]+商品マスタ[[#This Row],[国内送料]]</f>
        <v/>
      </c>
      <c r="U881" s="289">
        <f>ROUNDUP(商品マスタ[[#This Row],[仕入単価+国内送料]]/0.8,-1)</f>
        <v/>
      </c>
      <c r="V881" s="289">
        <f>商品マスタ[[#This Row],[海外定価
（20％）]]-商品マスタ[[#This Row],[仕入単価+国内送料]]</f>
        <v/>
      </c>
      <c r="W881" s="167">
        <f>ROUNDUP(商品マスタ[[#This Row],[仕入単価+国内送料]]/0.85,-1)</f>
        <v/>
      </c>
      <c r="X881" s="289">
        <f>商品マスタ[[#This Row],[国内定価
（15％）]]-商品マスタ[[#This Row],[仕入単価+国内送料]]</f>
        <v/>
      </c>
      <c r="Y881" s="139" t="n"/>
      <c r="Z881" s="167" t="n"/>
      <c r="AA881" s="167" t="n"/>
      <c r="AB881" s="167" t="n"/>
      <c r="AC881" s="293" t="n"/>
      <c r="AD881" s="167" t="n"/>
      <c r="AE881" s="167" t="n"/>
      <c r="AF881" s="167" t="n"/>
      <c r="AG881" s="144" t="n"/>
    </row>
    <row r="882" ht="18" customHeight="1" s="207">
      <c r="A882" s="166" t="n"/>
      <c r="B882" s="167" t="n"/>
      <c r="C882" s="167" t="n"/>
      <c r="D882" s="143">
        <f>"PRD_SNJ_"&amp;
_xlfn.XLOOKUP(商品マスタ[[#This Row],[仕入先]],テーブル1[仕入先名],テーブル1[仕入先コード],"XXX",0,1)&amp;
"_"&amp;
商品マスタ[[#This Row],[シリアル]]&amp;
"_"&amp;
TEXT(COUNTIFS(商品マスタ!$C$3:C882,商品マスタ[[#This Row],[仕入先]],商品マスタ!$E$3:E882,商品マスタ[[#This Row],[商品名]]), "00")</f>
        <v/>
      </c>
      <c r="E882" s="167" t="n"/>
      <c r="F882" s="167">
        <f>IF(COUNTIFS($C$3:C882,商品マスタ[[#This Row],[仕入先]],$E$3:E882,商品マスタ[[#This Row],[商品名]]) = 1, 1,0)</f>
        <v/>
      </c>
      <c r="G882" s="133">
        <f>TEXT(SUMIF($C$3:C882,商品マスタ[[#This Row],[仕入先]],$F$3:F882), "0000")</f>
        <v/>
      </c>
      <c r="H882" s="167" t="n"/>
      <c r="I882" s="167" t="n"/>
      <c r="J882" s="167" t="n"/>
      <c r="K882" s="167" t="n"/>
      <c r="L882" s="289" t="n"/>
      <c r="M882" s="157" t="n"/>
      <c r="N882" s="289" t="n"/>
      <c r="O882" s="290">
        <f>IF(COUNT(商品マスタ[[#This Row],[参考上代
（税込)]]) &gt; 0, (商品マスタ[[#This Row],[参考上代
（税込)]]-商品マスタ[[#This Row],[国内定価
（15％）]])/(商品マスタ[[#This Row],[参考上代
（税込)]]/1.08), "")</f>
        <v/>
      </c>
      <c r="P882" s="136" t="n">
        <v>0.1</v>
      </c>
      <c r="Q882" s="289">
        <f>商品マスタ[[#This Row],[仕入
単価]]*商品マスタ[[#This Row],[標準国内送料率]]</f>
        <v/>
      </c>
      <c r="R882" s="289" t="n"/>
      <c r="S882" s="289">
        <f>IF(ISBLANK(商品マスタ[[#This Row],[実績
国内送料]]),商品マスタ[[#This Row],[標準国内送料]],)</f>
        <v/>
      </c>
      <c r="T882" s="289">
        <f>商品マスタ[[#This Row],[仕入
単価]]+商品マスタ[[#This Row],[国内送料]]</f>
        <v/>
      </c>
      <c r="U882" s="289">
        <f>ROUNDUP(商品マスタ[[#This Row],[仕入単価+国内送料]]/0.8,-1)</f>
        <v/>
      </c>
      <c r="V882" s="289">
        <f>商品マスタ[[#This Row],[海外定価
（20％）]]-商品マスタ[[#This Row],[仕入単価+国内送料]]</f>
        <v/>
      </c>
      <c r="W882" s="167">
        <f>ROUNDUP(商品マスタ[[#This Row],[仕入単価+国内送料]]/0.85,-1)</f>
        <v/>
      </c>
      <c r="X882" s="289">
        <f>商品マスタ[[#This Row],[国内定価
（15％）]]-商品マスタ[[#This Row],[仕入単価+国内送料]]</f>
        <v/>
      </c>
      <c r="Y882" s="139" t="n"/>
      <c r="Z882" s="167" t="n"/>
      <c r="AA882" s="167" t="n"/>
      <c r="AB882" s="167" t="n"/>
      <c r="AC882" s="293" t="n"/>
      <c r="AD882" s="167" t="n"/>
      <c r="AE882" s="167" t="n"/>
      <c r="AF882" s="167" t="n"/>
      <c r="AG882" s="144" t="n"/>
    </row>
    <row r="883" ht="18" customHeight="1" s="207">
      <c r="A883" s="166" t="n"/>
      <c r="B883" s="167" t="n"/>
      <c r="C883" s="167" t="n"/>
      <c r="D883" s="143">
        <f>"PRD_SNJ_"&amp;
_xlfn.XLOOKUP(商品マスタ[[#This Row],[仕入先]],テーブル1[仕入先名],テーブル1[仕入先コード],"XXX",0,1)&amp;
"_"&amp;
商品マスタ[[#This Row],[シリアル]]&amp;
"_"&amp;
TEXT(COUNTIFS(商品マスタ!$C$3:C883,商品マスタ[[#This Row],[仕入先]],商品マスタ!$E$3:E883,商品マスタ[[#This Row],[商品名]]), "00")</f>
        <v/>
      </c>
      <c r="E883" s="167" t="n"/>
      <c r="F883" s="167">
        <f>IF(COUNTIFS($C$3:C883,商品マスタ[[#This Row],[仕入先]],$E$3:E883,商品マスタ[[#This Row],[商品名]]) = 1, 1,0)</f>
        <v/>
      </c>
      <c r="G883" s="133">
        <f>TEXT(SUMIF($C$3:C883,商品マスタ[[#This Row],[仕入先]],$F$3:F883), "0000")</f>
        <v/>
      </c>
      <c r="H883" s="167" t="n"/>
      <c r="I883" s="167" t="n"/>
      <c r="J883" s="167" t="n"/>
      <c r="K883" s="167" t="n"/>
      <c r="L883" s="289" t="n"/>
      <c r="M883" s="157" t="n"/>
      <c r="N883" s="289" t="n"/>
      <c r="O883" s="290">
        <f>IF(COUNT(商品マスタ[[#This Row],[参考上代
（税込)]]) &gt; 0, (商品マスタ[[#This Row],[参考上代
（税込)]]-商品マスタ[[#This Row],[国内定価
（15％）]])/(商品マスタ[[#This Row],[参考上代
（税込)]]/1.08), "")</f>
        <v/>
      </c>
      <c r="P883" s="136" t="n">
        <v>0.1</v>
      </c>
      <c r="Q883" s="289">
        <f>商品マスタ[[#This Row],[仕入
単価]]*商品マスタ[[#This Row],[標準国内送料率]]</f>
        <v/>
      </c>
      <c r="R883" s="289" t="n"/>
      <c r="S883" s="289">
        <f>IF(ISBLANK(商品マスタ[[#This Row],[実績
国内送料]]),商品マスタ[[#This Row],[標準国内送料]],)</f>
        <v/>
      </c>
      <c r="T883" s="289">
        <f>商品マスタ[[#This Row],[仕入
単価]]+商品マスタ[[#This Row],[国内送料]]</f>
        <v/>
      </c>
      <c r="U883" s="289">
        <f>ROUNDUP(商品マスタ[[#This Row],[仕入単価+国内送料]]/0.8,-1)</f>
        <v/>
      </c>
      <c r="V883" s="289">
        <f>商品マスタ[[#This Row],[海外定価
（20％）]]-商品マスタ[[#This Row],[仕入単価+国内送料]]</f>
        <v/>
      </c>
      <c r="W883" s="167">
        <f>ROUNDUP(商品マスタ[[#This Row],[仕入単価+国内送料]]/0.85,-1)</f>
        <v/>
      </c>
      <c r="X883" s="289">
        <f>商品マスタ[[#This Row],[国内定価
（15％）]]-商品マスタ[[#This Row],[仕入単価+国内送料]]</f>
        <v/>
      </c>
      <c r="Y883" s="139" t="n"/>
      <c r="Z883" s="167" t="n"/>
      <c r="AA883" s="167" t="n"/>
      <c r="AB883" s="167" t="n"/>
      <c r="AC883" s="293" t="n"/>
      <c r="AD883" s="167" t="n"/>
      <c r="AE883" s="167" t="n"/>
      <c r="AF883" s="167" t="n"/>
      <c r="AG883" s="144" t="n"/>
    </row>
    <row r="884" ht="18" customHeight="1" s="207">
      <c r="A884" s="166" t="n"/>
      <c r="B884" s="167" t="n"/>
      <c r="C884" s="167" t="n"/>
      <c r="D884" s="143">
        <f>"PRD_SNJ_"&amp;
_xlfn.XLOOKUP(商品マスタ[[#This Row],[仕入先]],テーブル1[仕入先名],テーブル1[仕入先コード],"XXX",0,1)&amp;
"_"&amp;
商品マスタ[[#This Row],[シリアル]]&amp;
"_"&amp;
TEXT(COUNTIFS(商品マスタ!$C$3:C884,商品マスタ[[#This Row],[仕入先]],商品マスタ!$E$3:E884,商品マスタ[[#This Row],[商品名]]), "00")</f>
        <v/>
      </c>
      <c r="E884" s="167" t="n"/>
      <c r="F884" s="167">
        <f>IF(COUNTIFS($C$3:C884,商品マスタ[[#This Row],[仕入先]],$E$3:E884,商品マスタ[[#This Row],[商品名]]) = 1, 1,0)</f>
        <v/>
      </c>
      <c r="G884" s="133">
        <f>TEXT(SUMIF($C$3:C884,商品マスタ[[#This Row],[仕入先]],$F$3:F884), "0000")</f>
        <v/>
      </c>
      <c r="H884" s="167" t="n"/>
      <c r="I884" s="167" t="n"/>
      <c r="J884" s="167" t="n"/>
      <c r="K884" s="167" t="n"/>
      <c r="L884" s="289" t="n"/>
      <c r="M884" s="157" t="n"/>
      <c r="N884" s="289" t="n"/>
      <c r="O884" s="290">
        <f>IF(COUNT(商品マスタ[[#This Row],[参考上代
（税込)]]) &gt; 0, (商品マスタ[[#This Row],[参考上代
（税込)]]-商品マスタ[[#This Row],[国内定価
（15％）]])/(商品マスタ[[#This Row],[参考上代
（税込)]]/1.08), "")</f>
        <v/>
      </c>
      <c r="P884" s="136" t="n">
        <v>0.1</v>
      </c>
      <c r="Q884" s="289">
        <f>商品マスタ[[#This Row],[仕入
単価]]*商品マスタ[[#This Row],[標準国内送料率]]</f>
        <v/>
      </c>
      <c r="R884" s="289" t="n"/>
      <c r="S884" s="289">
        <f>IF(ISBLANK(商品マスタ[[#This Row],[実績
国内送料]]),商品マスタ[[#This Row],[標準国内送料]],)</f>
        <v/>
      </c>
      <c r="T884" s="289">
        <f>商品マスタ[[#This Row],[仕入
単価]]+商品マスタ[[#This Row],[国内送料]]</f>
        <v/>
      </c>
      <c r="U884" s="289">
        <f>ROUNDUP(商品マスタ[[#This Row],[仕入単価+国内送料]]/0.8,-1)</f>
        <v/>
      </c>
      <c r="V884" s="289">
        <f>商品マスタ[[#This Row],[海外定価
（20％）]]-商品マスタ[[#This Row],[仕入単価+国内送料]]</f>
        <v/>
      </c>
      <c r="W884" s="167">
        <f>ROUNDUP(商品マスタ[[#This Row],[仕入単価+国内送料]]/0.85,-1)</f>
        <v/>
      </c>
      <c r="X884" s="289">
        <f>商品マスタ[[#This Row],[国内定価
（15％）]]-商品マスタ[[#This Row],[仕入単価+国内送料]]</f>
        <v/>
      </c>
      <c r="Y884" s="139" t="n"/>
      <c r="Z884" s="167" t="n"/>
      <c r="AA884" s="167" t="n"/>
      <c r="AB884" s="167" t="n"/>
      <c r="AC884" s="293" t="n"/>
      <c r="AD884" s="167" t="n"/>
      <c r="AE884" s="167" t="n"/>
      <c r="AF884" s="167" t="n"/>
      <c r="AG884" s="144" t="n"/>
    </row>
    <row r="885" ht="18" customHeight="1" s="207">
      <c r="A885" s="166" t="n"/>
      <c r="B885" s="167" t="n"/>
      <c r="C885" s="167" t="n"/>
      <c r="D885" s="143">
        <f>"PRD_SNJ_"&amp;
_xlfn.XLOOKUP(商品マスタ[[#This Row],[仕入先]],テーブル1[仕入先名],テーブル1[仕入先コード],"XXX",0,1)&amp;
"_"&amp;
商品マスタ[[#This Row],[シリアル]]&amp;
"_"&amp;
TEXT(COUNTIFS(商品マスタ!$C$3:C885,商品マスタ[[#This Row],[仕入先]],商品マスタ!$E$3:E885,商品マスタ[[#This Row],[商品名]]), "00")</f>
        <v/>
      </c>
      <c r="E885" s="167" t="n"/>
      <c r="F885" s="167">
        <f>IF(COUNTIFS($C$3:C885,商品マスタ[[#This Row],[仕入先]],$E$3:E885,商品マスタ[[#This Row],[商品名]]) = 1, 1,0)</f>
        <v/>
      </c>
      <c r="G885" s="133">
        <f>TEXT(SUMIF($C$3:C885,商品マスタ[[#This Row],[仕入先]],$F$3:F885), "0000")</f>
        <v/>
      </c>
      <c r="H885" s="167" t="n"/>
      <c r="I885" s="167" t="n"/>
      <c r="J885" s="167" t="n"/>
      <c r="K885" s="167" t="n"/>
      <c r="L885" s="289" t="n"/>
      <c r="M885" s="157" t="n"/>
      <c r="N885" s="289" t="n"/>
      <c r="O885" s="290">
        <f>IF(COUNT(商品マスタ[[#This Row],[参考上代
（税込)]]) &gt; 0, (商品マスタ[[#This Row],[参考上代
（税込)]]-商品マスタ[[#This Row],[国内定価
（15％）]])/(商品マスタ[[#This Row],[参考上代
（税込)]]/1.08), "")</f>
        <v/>
      </c>
      <c r="P885" s="136" t="n">
        <v>0.1</v>
      </c>
      <c r="Q885" s="289">
        <f>商品マスタ[[#This Row],[仕入
単価]]*商品マスタ[[#This Row],[標準国内送料率]]</f>
        <v/>
      </c>
      <c r="R885" s="289" t="n"/>
      <c r="S885" s="289">
        <f>IF(ISBLANK(商品マスタ[[#This Row],[実績
国内送料]]),商品マスタ[[#This Row],[標準国内送料]],)</f>
        <v/>
      </c>
      <c r="T885" s="289">
        <f>商品マスタ[[#This Row],[仕入
単価]]+商品マスタ[[#This Row],[国内送料]]</f>
        <v/>
      </c>
      <c r="U885" s="289">
        <f>ROUNDUP(商品マスタ[[#This Row],[仕入単価+国内送料]]/0.8,-1)</f>
        <v/>
      </c>
      <c r="V885" s="289">
        <f>商品マスタ[[#This Row],[海外定価
（20％）]]-商品マスタ[[#This Row],[仕入単価+国内送料]]</f>
        <v/>
      </c>
      <c r="W885" s="167">
        <f>ROUNDUP(商品マスタ[[#This Row],[仕入単価+国内送料]]/0.85,-1)</f>
        <v/>
      </c>
      <c r="X885" s="289">
        <f>商品マスタ[[#This Row],[国内定価
（15％）]]-商品マスタ[[#This Row],[仕入単価+国内送料]]</f>
        <v/>
      </c>
      <c r="Y885" s="139" t="n"/>
      <c r="Z885" s="167" t="n"/>
      <c r="AA885" s="167" t="n"/>
      <c r="AB885" s="167" t="n"/>
      <c r="AC885" s="293" t="n"/>
      <c r="AD885" s="167" t="n"/>
      <c r="AE885" s="167" t="n"/>
      <c r="AF885" s="167" t="n"/>
      <c r="AG885" s="144" t="n"/>
    </row>
    <row r="886" ht="18" customHeight="1" s="207">
      <c r="A886" s="166" t="n"/>
      <c r="B886" s="167" t="n"/>
      <c r="C886" s="167" t="n"/>
      <c r="D886" s="143">
        <f>"PRD_SNJ_"&amp;
_xlfn.XLOOKUP(商品マスタ[[#This Row],[仕入先]],テーブル1[仕入先名],テーブル1[仕入先コード],"XXX",0,1)&amp;
"_"&amp;
商品マスタ[[#This Row],[シリアル]]&amp;
"_"&amp;
TEXT(COUNTIFS(商品マスタ!$C$3:C886,商品マスタ[[#This Row],[仕入先]],商品マスタ!$E$3:E886,商品マスタ[[#This Row],[商品名]]), "00")</f>
        <v/>
      </c>
      <c r="E886" s="167" t="n"/>
      <c r="F886" s="167">
        <f>IF(COUNTIFS($C$3:C886,商品マスタ[[#This Row],[仕入先]],$E$3:E886,商品マスタ[[#This Row],[商品名]]) = 1, 1,0)</f>
        <v/>
      </c>
      <c r="G886" s="133">
        <f>TEXT(SUMIF($C$3:C886,商品マスタ[[#This Row],[仕入先]],$F$3:F886), "0000")</f>
        <v/>
      </c>
      <c r="H886" s="167" t="n"/>
      <c r="I886" s="167" t="n"/>
      <c r="J886" s="167" t="n"/>
      <c r="K886" s="167" t="n"/>
      <c r="L886" s="289" t="n"/>
      <c r="M886" s="157" t="n"/>
      <c r="N886" s="289" t="n"/>
      <c r="O886" s="290">
        <f>IF(COUNT(商品マスタ[[#This Row],[参考上代
（税込)]]) &gt; 0, (商品マスタ[[#This Row],[参考上代
（税込)]]-商品マスタ[[#This Row],[国内定価
（15％）]])/(商品マスタ[[#This Row],[参考上代
（税込)]]/1.08), "")</f>
        <v/>
      </c>
      <c r="P886" s="136" t="n">
        <v>0.1</v>
      </c>
      <c r="Q886" s="289">
        <f>商品マスタ[[#This Row],[仕入
単価]]*商品マスタ[[#This Row],[標準国内送料率]]</f>
        <v/>
      </c>
      <c r="R886" s="289" t="n"/>
      <c r="S886" s="289">
        <f>IF(ISBLANK(商品マスタ[[#This Row],[実績
国内送料]]),商品マスタ[[#This Row],[標準国内送料]],)</f>
        <v/>
      </c>
      <c r="T886" s="289">
        <f>商品マスタ[[#This Row],[仕入
単価]]+商品マスタ[[#This Row],[国内送料]]</f>
        <v/>
      </c>
      <c r="U886" s="289">
        <f>ROUNDUP(商品マスタ[[#This Row],[仕入単価+国内送料]]/0.8,-1)</f>
        <v/>
      </c>
      <c r="V886" s="289">
        <f>商品マスタ[[#This Row],[海外定価
（20％）]]-商品マスタ[[#This Row],[仕入単価+国内送料]]</f>
        <v/>
      </c>
      <c r="W886" s="167">
        <f>ROUNDUP(商品マスタ[[#This Row],[仕入単価+国内送料]]/0.85,-1)</f>
        <v/>
      </c>
      <c r="X886" s="289">
        <f>商品マスタ[[#This Row],[国内定価
（15％）]]-商品マスタ[[#This Row],[仕入単価+国内送料]]</f>
        <v/>
      </c>
      <c r="Y886" s="139" t="n"/>
      <c r="Z886" s="167" t="n"/>
      <c r="AA886" s="167" t="n"/>
      <c r="AB886" s="167" t="n"/>
      <c r="AC886" s="293" t="n"/>
      <c r="AD886" s="167" t="n"/>
      <c r="AE886" s="167" t="n"/>
      <c r="AF886" s="167" t="n"/>
      <c r="AG886" s="144" t="n"/>
    </row>
    <row r="887" ht="18" customHeight="1" s="207">
      <c r="A887" s="166" t="n"/>
      <c r="B887" s="167" t="n"/>
      <c r="C887" s="167" t="n"/>
      <c r="D887" s="143">
        <f>"PRD_SNJ_"&amp;
_xlfn.XLOOKUP(商品マスタ[[#This Row],[仕入先]],テーブル1[仕入先名],テーブル1[仕入先コード],"XXX",0,1)&amp;
"_"&amp;
商品マスタ[[#This Row],[シリアル]]&amp;
"_"&amp;
TEXT(COUNTIFS(商品マスタ!$C$3:C887,商品マスタ[[#This Row],[仕入先]],商品マスタ!$E$3:E887,商品マスタ[[#This Row],[商品名]]), "00")</f>
        <v/>
      </c>
      <c r="E887" s="167" t="n"/>
      <c r="F887" s="167">
        <f>IF(COUNTIFS($C$3:C887,商品マスタ[[#This Row],[仕入先]],$E$3:E887,商品マスタ[[#This Row],[商品名]]) = 1, 1,0)</f>
        <v/>
      </c>
      <c r="G887" s="133">
        <f>TEXT(SUMIF($C$3:C887,商品マスタ[[#This Row],[仕入先]],$F$3:F887), "0000")</f>
        <v/>
      </c>
      <c r="H887" s="167" t="n"/>
      <c r="I887" s="167" t="n"/>
      <c r="J887" s="167" t="n"/>
      <c r="K887" s="167" t="n"/>
      <c r="L887" s="289" t="n"/>
      <c r="M887" s="157" t="n"/>
      <c r="N887" s="289" t="n"/>
      <c r="O887" s="290">
        <f>IF(COUNT(商品マスタ[[#This Row],[参考上代
（税込)]]) &gt; 0, (商品マスタ[[#This Row],[参考上代
（税込)]]-商品マスタ[[#This Row],[国内定価
（15％）]])/(商品マスタ[[#This Row],[参考上代
（税込)]]/1.08), "")</f>
        <v/>
      </c>
      <c r="P887" s="136" t="n">
        <v>0.1</v>
      </c>
      <c r="Q887" s="289">
        <f>商品マスタ[[#This Row],[仕入
単価]]*商品マスタ[[#This Row],[標準国内送料率]]</f>
        <v/>
      </c>
      <c r="R887" s="289" t="n"/>
      <c r="S887" s="289">
        <f>IF(ISBLANK(商品マスタ[[#This Row],[実績
国内送料]]),商品マスタ[[#This Row],[標準国内送料]],)</f>
        <v/>
      </c>
      <c r="T887" s="289">
        <f>商品マスタ[[#This Row],[仕入
単価]]+商品マスタ[[#This Row],[国内送料]]</f>
        <v/>
      </c>
      <c r="U887" s="289">
        <f>ROUNDUP(商品マスタ[[#This Row],[仕入単価+国内送料]]/0.8,-1)</f>
        <v/>
      </c>
      <c r="V887" s="289">
        <f>商品マスタ[[#This Row],[海外定価
（20％）]]-商品マスタ[[#This Row],[仕入単価+国内送料]]</f>
        <v/>
      </c>
      <c r="W887" s="167">
        <f>ROUNDUP(商品マスタ[[#This Row],[仕入単価+国内送料]]/0.85,-1)</f>
        <v/>
      </c>
      <c r="X887" s="289">
        <f>商品マスタ[[#This Row],[国内定価
（15％）]]-商品マスタ[[#This Row],[仕入単価+国内送料]]</f>
        <v/>
      </c>
      <c r="Y887" s="139" t="n"/>
      <c r="Z887" s="167" t="n"/>
      <c r="AA887" s="167" t="n"/>
      <c r="AB887" s="167" t="n"/>
      <c r="AC887" s="293" t="n"/>
      <c r="AD887" s="167" t="n"/>
      <c r="AE887" s="167" t="n"/>
      <c r="AF887" s="167" t="n"/>
      <c r="AG887" s="144" t="n"/>
    </row>
    <row r="888" ht="18" customHeight="1" s="207">
      <c r="A888" s="166" t="n"/>
      <c r="B888" s="167" t="n"/>
      <c r="C888" s="167" t="n"/>
      <c r="D888" s="143">
        <f>"PRD_SNJ_"&amp;
_xlfn.XLOOKUP(商品マスタ[[#This Row],[仕入先]],テーブル1[仕入先名],テーブル1[仕入先コード],"XXX",0,1)&amp;
"_"&amp;
商品マスタ[[#This Row],[シリアル]]&amp;
"_"&amp;
TEXT(COUNTIFS(商品マスタ!$C$3:C888,商品マスタ[[#This Row],[仕入先]],商品マスタ!$E$3:E888,商品マスタ[[#This Row],[商品名]]), "00")</f>
        <v/>
      </c>
      <c r="E888" s="167" t="n"/>
      <c r="F888" s="167">
        <f>IF(COUNTIFS($C$3:C888,商品マスタ[[#This Row],[仕入先]],$E$3:E888,商品マスタ[[#This Row],[商品名]]) = 1, 1,0)</f>
        <v/>
      </c>
      <c r="G888" s="133">
        <f>TEXT(SUMIF($C$3:C888,商品マスタ[[#This Row],[仕入先]],$F$3:F888), "0000")</f>
        <v/>
      </c>
      <c r="H888" s="167" t="n"/>
      <c r="I888" s="167" t="n"/>
      <c r="J888" s="167" t="n"/>
      <c r="K888" s="167" t="n"/>
      <c r="L888" s="289" t="n"/>
      <c r="M888" s="157" t="n"/>
      <c r="N888" s="289" t="n"/>
      <c r="O888" s="290">
        <f>IF(COUNT(商品マスタ[[#This Row],[参考上代
（税込)]]) &gt; 0, (商品マスタ[[#This Row],[参考上代
（税込)]]-商品マスタ[[#This Row],[国内定価
（15％）]])/(商品マスタ[[#This Row],[参考上代
（税込)]]/1.08), "")</f>
        <v/>
      </c>
      <c r="P888" s="136" t="n">
        <v>0.1</v>
      </c>
      <c r="Q888" s="289">
        <f>商品マスタ[[#This Row],[仕入
単価]]*商品マスタ[[#This Row],[標準国内送料率]]</f>
        <v/>
      </c>
      <c r="R888" s="289" t="n"/>
      <c r="S888" s="289">
        <f>IF(ISBLANK(商品マスタ[[#This Row],[実績
国内送料]]),商品マスタ[[#This Row],[標準国内送料]],)</f>
        <v/>
      </c>
      <c r="T888" s="289">
        <f>商品マスタ[[#This Row],[仕入
単価]]+商品マスタ[[#This Row],[国内送料]]</f>
        <v/>
      </c>
      <c r="U888" s="289">
        <f>ROUNDUP(商品マスタ[[#This Row],[仕入単価+国内送料]]/0.8,-1)</f>
        <v/>
      </c>
      <c r="V888" s="289">
        <f>商品マスタ[[#This Row],[海外定価
（20％）]]-商品マスタ[[#This Row],[仕入単価+国内送料]]</f>
        <v/>
      </c>
      <c r="W888" s="167">
        <f>ROUNDUP(商品マスタ[[#This Row],[仕入単価+国内送料]]/0.85,-1)</f>
        <v/>
      </c>
      <c r="X888" s="289">
        <f>商品マスタ[[#This Row],[国内定価
（15％）]]-商品マスタ[[#This Row],[仕入単価+国内送料]]</f>
        <v/>
      </c>
      <c r="Y888" s="139" t="n"/>
      <c r="Z888" s="167" t="n"/>
      <c r="AA888" s="167" t="n"/>
      <c r="AB888" s="167" t="n"/>
      <c r="AC888" s="293" t="n"/>
      <c r="AD888" s="167" t="n"/>
      <c r="AE888" s="167" t="n"/>
      <c r="AF888" s="167" t="n"/>
      <c r="AG888" s="144" t="n"/>
    </row>
    <row r="889" ht="18" customHeight="1" s="207">
      <c r="A889" s="166" t="n"/>
      <c r="B889" s="167" t="n"/>
      <c r="C889" s="167" t="n"/>
      <c r="D889" s="143">
        <f>"PRD_SNJ_"&amp;
_xlfn.XLOOKUP(商品マスタ[[#This Row],[仕入先]],テーブル1[仕入先名],テーブル1[仕入先コード],"XXX",0,1)&amp;
"_"&amp;
商品マスタ[[#This Row],[シリアル]]&amp;
"_"&amp;
TEXT(COUNTIFS(商品マスタ!$C$3:C889,商品マスタ[[#This Row],[仕入先]],商品マスタ!$E$3:E889,商品マスタ[[#This Row],[商品名]]), "00")</f>
        <v/>
      </c>
      <c r="E889" s="167" t="n"/>
      <c r="F889" s="167">
        <f>IF(COUNTIFS($C$3:C889,商品マスタ[[#This Row],[仕入先]],$E$3:E889,商品マスタ[[#This Row],[商品名]]) = 1, 1,0)</f>
        <v/>
      </c>
      <c r="G889" s="133">
        <f>TEXT(SUMIF($C$3:C889,商品マスタ[[#This Row],[仕入先]],$F$3:F889), "0000")</f>
        <v/>
      </c>
      <c r="H889" s="167" t="n"/>
      <c r="I889" s="167" t="n"/>
      <c r="J889" s="167" t="n"/>
      <c r="K889" s="167" t="n"/>
      <c r="L889" s="289" t="n"/>
      <c r="M889" s="157" t="n"/>
      <c r="N889" s="289" t="n"/>
      <c r="O889" s="290">
        <f>IF(COUNT(商品マスタ[[#This Row],[参考上代
（税込)]]) &gt; 0, (商品マスタ[[#This Row],[参考上代
（税込)]]-商品マスタ[[#This Row],[国内定価
（15％）]])/(商品マスタ[[#This Row],[参考上代
（税込)]]/1.08), "")</f>
        <v/>
      </c>
      <c r="P889" s="136" t="n">
        <v>0.1</v>
      </c>
      <c r="Q889" s="289">
        <f>商品マスタ[[#This Row],[仕入
単価]]*商品マスタ[[#This Row],[標準国内送料率]]</f>
        <v/>
      </c>
      <c r="R889" s="289" t="n"/>
      <c r="S889" s="289">
        <f>IF(ISBLANK(商品マスタ[[#This Row],[実績
国内送料]]),商品マスタ[[#This Row],[標準国内送料]],)</f>
        <v/>
      </c>
      <c r="T889" s="289">
        <f>商品マスタ[[#This Row],[仕入
単価]]+商品マスタ[[#This Row],[国内送料]]</f>
        <v/>
      </c>
      <c r="U889" s="289">
        <f>ROUNDUP(商品マスタ[[#This Row],[仕入単価+国内送料]]/0.8,-1)</f>
        <v/>
      </c>
      <c r="V889" s="289">
        <f>商品マスタ[[#This Row],[海外定価
（20％）]]-商品マスタ[[#This Row],[仕入単価+国内送料]]</f>
        <v/>
      </c>
      <c r="W889" s="167">
        <f>ROUNDUP(商品マスタ[[#This Row],[仕入単価+国内送料]]/0.85,-1)</f>
        <v/>
      </c>
      <c r="X889" s="289">
        <f>商品マスタ[[#This Row],[国内定価
（15％）]]-商品マスタ[[#This Row],[仕入単価+国内送料]]</f>
        <v/>
      </c>
      <c r="Y889" s="139" t="n"/>
      <c r="Z889" s="167" t="n"/>
      <c r="AA889" s="167" t="n"/>
      <c r="AB889" s="167" t="n"/>
      <c r="AC889" s="293" t="n"/>
      <c r="AD889" s="167" t="n"/>
      <c r="AE889" s="167" t="n"/>
      <c r="AF889" s="167" t="n"/>
      <c r="AG889" s="144" t="n"/>
    </row>
    <row r="890" ht="18" customHeight="1" s="207">
      <c r="A890" s="166" t="n"/>
      <c r="B890" s="167" t="n"/>
      <c r="C890" s="167" t="n"/>
      <c r="D890" s="143">
        <f>"PRD_SNJ_"&amp;
_xlfn.XLOOKUP(商品マスタ[[#This Row],[仕入先]],テーブル1[仕入先名],テーブル1[仕入先コード],"XXX",0,1)&amp;
"_"&amp;
商品マスタ[[#This Row],[シリアル]]&amp;
"_"&amp;
TEXT(COUNTIFS(商品マスタ!$C$3:C890,商品マスタ[[#This Row],[仕入先]],商品マスタ!$E$3:E890,商品マスタ[[#This Row],[商品名]]), "00")</f>
        <v/>
      </c>
      <c r="E890" s="167" t="n"/>
      <c r="F890" s="167">
        <f>IF(COUNTIFS($C$3:C890,商品マスタ[[#This Row],[仕入先]],$E$3:E890,商品マスタ[[#This Row],[商品名]]) = 1, 1,0)</f>
        <v/>
      </c>
      <c r="G890" s="133">
        <f>TEXT(SUMIF($C$3:C890,商品マスタ[[#This Row],[仕入先]],$F$3:F890), "0000")</f>
        <v/>
      </c>
      <c r="H890" s="167" t="n"/>
      <c r="I890" s="167" t="n"/>
      <c r="J890" s="167" t="n"/>
      <c r="K890" s="167" t="n"/>
      <c r="L890" s="289" t="n"/>
      <c r="M890" s="157" t="n"/>
      <c r="N890" s="289" t="n"/>
      <c r="O890" s="290">
        <f>IF(COUNT(商品マスタ[[#This Row],[参考上代
（税込)]]) &gt; 0, (商品マスタ[[#This Row],[参考上代
（税込)]]-商品マスタ[[#This Row],[国内定価
（15％）]])/(商品マスタ[[#This Row],[参考上代
（税込)]]/1.08), "")</f>
        <v/>
      </c>
      <c r="P890" s="136" t="n">
        <v>0.1</v>
      </c>
      <c r="Q890" s="289">
        <f>商品マスタ[[#This Row],[仕入
単価]]*商品マスタ[[#This Row],[標準国内送料率]]</f>
        <v/>
      </c>
      <c r="R890" s="289" t="n"/>
      <c r="S890" s="289">
        <f>IF(ISBLANK(商品マスタ[[#This Row],[実績
国内送料]]),商品マスタ[[#This Row],[標準国内送料]],)</f>
        <v/>
      </c>
      <c r="T890" s="289">
        <f>商品マスタ[[#This Row],[仕入
単価]]+商品マスタ[[#This Row],[国内送料]]</f>
        <v/>
      </c>
      <c r="U890" s="289">
        <f>ROUNDUP(商品マスタ[[#This Row],[仕入単価+国内送料]]/0.8,-1)</f>
        <v/>
      </c>
      <c r="V890" s="289">
        <f>商品マスタ[[#This Row],[海外定価
（20％）]]-商品マスタ[[#This Row],[仕入単価+国内送料]]</f>
        <v/>
      </c>
      <c r="W890" s="167">
        <f>ROUNDUP(商品マスタ[[#This Row],[仕入単価+国内送料]]/0.85,-1)</f>
        <v/>
      </c>
      <c r="X890" s="289">
        <f>商品マスタ[[#This Row],[国内定価
（15％）]]-商品マスタ[[#This Row],[仕入単価+国内送料]]</f>
        <v/>
      </c>
      <c r="Y890" s="139" t="n"/>
      <c r="Z890" s="167" t="n"/>
      <c r="AA890" s="167" t="n"/>
      <c r="AB890" s="167" t="n"/>
      <c r="AC890" s="293" t="n"/>
      <c r="AD890" s="167" t="n"/>
      <c r="AE890" s="167" t="n"/>
      <c r="AF890" s="167" t="n"/>
      <c r="AG890" s="144" t="n"/>
    </row>
    <row r="891" ht="18" customHeight="1" s="207">
      <c r="A891" s="166" t="n"/>
      <c r="B891" s="167" t="n"/>
      <c r="C891" s="167" t="n"/>
      <c r="D891" s="143">
        <f>"PRD_SNJ_"&amp;
_xlfn.XLOOKUP(商品マスタ[[#This Row],[仕入先]],テーブル1[仕入先名],テーブル1[仕入先コード],"XXX",0,1)&amp;
"_"&amp;
商品マスタ[[#This Row],[シリアル]]&amp;
"_"&amp;
TEXT(COUNTIFS(商品マスタ!$C$3:C891,商品マスタ[[#This Row],[仕入先]],商品マスタ!$E$3:E891,商品マスタ[[#This Row],[商品名]]), "00")</f>
        <v/>
      </c>
      <c r="E891" s="167" t="n"/>
      <c r="F891" s="167">
        <f>IF(COUNTIFS($C$3:C891,商品マスタ[[#This Row],[仕入先]],$E$3:E891,商品マスタ[[#This Row],[商品名]]) = 1, 1,0)</f>
        <v/>
      </c>
      <c r="G891" s="133">
        <f>TEXT(SUMIF($C$3:C891,商品マスタ[[#This Row],[仕入先]],$F$3:F891), "0000")</f>
        <v/>
      </c>
      <c r="H891" s="167" t="n"/>
      <c r="I891" s="167" t="n"/>
      <c r="J891" s="167" t="n"/>
      <c r="K891" s="167" t="n"/>
      <c r="L891" s="289" t="n"/>
      <c r="M891" s="157" t="n"/>
      <c r="N891" s="289" t="n"/>
      <c r="O891" s="290">
        <f>IF(COUNT(商品マスタ[[#This Row],[参考上代
（税込)]]) &gt; 0, (商品マスタ[[#This Row],[参考上代
（税込)]]-商品マスタ[[#This Row],[国内定価
（15％）]])/(商品マスタ[[#This Row],[参考上代
（税込)]]/1.08), "")</f>
        <v/>
      </c>
      <c r="P891" s="136" t="n">
        <v>0.1</v>
      </c>
      <c r="Q891" s="289">
        <f>商品マスタ[[#This Row],[仕入
単価]]*商品マスタ[[#This Row],[標準国内送料率]]</f>
        <v/>
      </c>
      <c r="R891" s="289" t="n"/>
      <c r="S891" s="289">
        <f>IF(ISBLANK(商品マスタ[[#This Row],[実績
国内送料]]),商品マスタ[[#This Row],[標準国内送料]],)</f>
        <v/>
      </c>
      <c r="T891" s="289">
        <f>商品マスタ[[#This Row],[仕入
単価]]+商品マスタ[[#This Row],[国内送料]]</f>
        <v/>
      </c>
      <c r="U891" s="289">
        <f>ROUNDUP(商品マスタ[[#This Row],[仕入単価+国内送料]]/0.8,-1)</f>
        <v/>
      </c>
      <c r="V891" s="289">
        <f>商品マスタ[[#This Row],[海外定価
（20％）]]-商品マスタ[[#This Row],[仕入単価+国内送料]]</f>
        <v/>
      </c>
      <c r="W891" s="167">
        <f>ROUNDUP(商品マスタ[[#This Row],[仕入単価+国内送料]]/0.85,-1)</f>
        <v/>
      </c>
      <c r="X891" s="289">
        <f>商品マスタ[[#This Row],[国内定価
（15％）]]-商品マスタ[[#This Row],[仕入単価+国内送料]]</f>
        <v/>
      </c>
      <c r="Y891" s="139" t="n"/>
      <c r="Z891" s="167" t="n"/>
      <c r="AA891" s="167" t="n"/>
      <c r="AB891" s="167" t="n"/>
      <c r="AC891" s="293" t="n"/>
      <c r="AD891" s="167" t="n"/>
      <c r="AE891" s="167" t="n"/>
      <c r="AF891" s="167" t="n"/>
      <c r="AG891" s="144" t="n"/>
    </row>
    <row r="892" ht="18" customHeight="1" s="207">
      <c r="A892" s="166" t="n"/>
      <c r="B892" s="167" t="n"/>
      <c r="C892" s="167" t="n"/>
      <c r="D892" s="143">
        <f>"PRD_SNJ_"&amp;
_xlfn.XLOOKUP(商品マスタ[[#This Row],[仕入先]],テーブル1[仕入先名],テーブル1[仕入先コード],"XXX",0,1)&amp;
"_"&amp;
商品マスタ[[#This Row],[シリアル]]&amp;
"_"&amp;
TEXT(COUNTIFS(商品マスタ!$C$3:C892,商品マスタ[[#This Row],[仕入先]],商品マスタ!$E$3:E892,商品マスタ[[#This Row],[商品名]]), "00")</f>
        <v/>
      </c>
      <c r="E892" s="167" t="n"/>
      <c r="F892" s="167">
        <f>IF(COUNTIFS($C$3:C892,商品マスタ[[#This Row],[仕入先]],$E$3:E892,商品マスタ[[#This Row],[商品名]]) = 1, 1,0)</f>
        <v/>
      </c>
      <c r="G892" s="133">
        <f>TEXT(SUMIF($C$3:C892,商品マスタ[[#This Row],[仕入先]],$F$3:F892), "0000")</f>
        <v/>
      </c>
      <c r="H892" s="167" t="n"/>
      <c r="I892" s="167" t="n"/>
      <c r="J892" s="167" t="n"/>
      <c r="K892" s="167" t="n"/>
      <c r="L892" s="289" t="n"/>
      <c r="M892" s="157" t="n"/>
      <c r="N892" s="289" t="n"/>
      <c r="O892" s="290">
        <f>IF(COUNT(商品マスタ[[#This Row],[参考上代
（税込)]]) &gt; 0, (商品マスタ[[#This Row],[参考上代
（税込)]]-商品マスタ[[#This Row],[国内定価
（15％）]])/(商品マスタ[[#This Row],[参考上代
（税込)]]/1.08), "")</f>
        <v/>
      </c>
      <c r="P892" s="136" t="n">
        <v>0.1</v>
      </c>
      <c r="Q892" s="289">
        <f>商品マスタ[[#This Row],[仕入
単価]]*商品マスタ[[#This Row],[標準国内送料率]]</f>
        <v/>
      </c>
      <c r="R892" s="289" t="n"/>
      <c r="S892" s="289">
        <f>IF(ISBLANK(商品マスタ[[#This Row],[実績
国内送料]]),商品マスタ[[#This Row],[標準国内送料]],)</f>
        <v/>
      </c>
      <c r="T892" s="289">
        <f>商品マスタ[[#This Row],[仕入
単価]]+商品マスタ[[#This Row],[国内送料]]</f>
        <v/>
      </c>
      <c r="U892" s="289">
        <f>ROUNDUP(商品マスタ[[#This Row],[仕入単価+国内送料]]/0.8,-1)</f>
        <v/>
      </c>
      <c r="V892" s="289">
        <f>商品マスタ[[#This Row],[海外定価
（20％）]]-商品マスタ[[#This Row],[仕入単価+国内送料]]</f>
        <v/>
      </c>
      <c r="W892" s="167">
        <f>ROUNDUP(商品マスタ[[#This Row],[仕入単価+国内送料]]/0.85,-1)</f>
        <v/>
      </c>
      <c r="X892" s="289">
        <f>商品マスタ[[#This Row],[国内定価
（15％）]]-商品マスタ[[#This Row],[仕入単価+国内送料]]</f>
        <v/>
      </c>
      <c r="Y892" s="139" t="n"/>
      <c r="Z892" s="167" t="n"/>
      <c r="AA892" s="167" t="n"/>
      <c r="AB892" s="167" t="n"/>
      <c r="AC892" s="293" t="n"/>
      <c r="AD892" s="167" t="n"/>
      <c r="AE892" s="167" t="n"/>
      <c r="AF892" s="167" t="n"/>
      <c r="AG892" s="144" t="n"/>
    </row>
    <row r="893" ht="18" customHeight="1" s="207">
      <c r="A893" s="166" t="n"/>
      <c r="B893" s="167" t="n"/>
      <c r="C893" s="167" t="n"/>
      <c r="D893" s="143">
        <f>"PRD_SNJ_"&amp;
_xlfn.XLOOKUP(商品マスタ[[#This Row],[仕入先]],テーブル1[仕入先名],テーブル1[仕入先コード],"XXX",0,1)&amp;
"_"&amp;
商品マスタ[[#This Row],[シリアル]]&amp;
"_"&amp;
TEXT(COUNTIFS(商品マスタ!$C$3:C893,商品マスタ[[#This Row],[仕入先]],商品マスタ!$E$3:E893,商品マスタ[[#This Row],[商品名]]), "00")</f>
        <v/>
      </c>
      <c r="E893" s="167" t="n"/>
      <c r="F893" s="167">
        <f>IF(COUNTIFS($C$3:C893,商品マスタ[[#This Row],[仕入先]],$E$3:E893,商品マスタ[[#This Row],[商品名]]) = 1, 1,0)</f>
        <v/>
      </c>
      <c r="G893" s="133">
        <f>TEXT(SUMIF($C$3:C893,商品マスタ[[#This Row],[仕入先]],$F$3:F893), "0000")</f>
        <v/>
      </c>
      <c r="H893" s="167" t="n"/>
      <c r="I893" s="167" t="n"/>
      <c r="J893" s="167" t="n"/>
      <c r="K893" s="167" t="n"/>
      <c r="L893" s="289" t="n"/>
      <c r="M893" s="157" t="n"/>
      <c r="N893" s="289" t="n"/>
      <c r="O893" s="290">
        <f>IF(COUNT(商品マスタ[[#This Row],[参考上代
（税込)]]) &gt; 0, (商品マスタ[[#This Row],[参考上代
（税込)]]-商品マスタ[[#This Row],[国内定価
（15％）]])/(商品マスタ[[#This Row],[参考上代
（税込)]]/1.08), "")</f>
        <v/>
      </c>
      <c r="P893" s="136" t="n">
        <v>0.1</v>
      </c>
      <c r="Q893" s="289">
        <f>商品マスタ[[#This Row],[仕入
単価]]*商品マスタ[[#This Row],[標準国内送料率]]</f>
        <v/>
      </c>
      <c r="R893" s="289" t="n"/>
      <c r="S893" s="289">
        <f>IF(ISBLANK(商品マスタ[[#This Row],[実績
国内送料]]),商品マスタ[[#This Row],[標準国内送料]],)</f>
        <v/>
      </c>
      <c r="T893" s="289">
        <f>商品マスタ[[#This Row],[仕入
単価]]+商品マスタ[[#This Row],[国内送料]]</f>
        <v/>
      </c>
      <c r="U893" s="289">
        <f>ROUNDUP(商品マスタ[[#This Row],[仕入単価+国内送料]]/0.8,-1)</f>
        <v/>
      </c>
      <c r="V893" s="289">
        <f>商品マスタ[[#This Row],[海外定価
（20％）]]-商品マスタ[[#This Row],[仕入単価+国内送料]]</f>
        <v/>
      </c>
      <c r="W893" s="167">
        <f>ROUNDUP(商品マスタ[[#This Row],[仕入単価+国内送料]]/0.85,-1)</f>
        <v/>
      </c>
      <c r="X893" s="289">
        <f>商品マスタ[[#This Row],[国内定価
（15％）]]-商品マスタ[[#This Row],[仕入単価+国内送料]]</f>
        <v/>
      </c>
      <c r="Y893" s="139" t="n"/>
      <c r="Z893" s="167" t="n"/>
      <c r="AA893" s="167" t="n"/>
      <c r="AB893" s="167" t="n"/>
      <c r="AC893" s="293" t="n"/>
      <c r="AD893" s="167" t="n"/>
      <c r="AE893" s="167" t="n"/>
      <c r="AF893" s="167" t="n"/>
      <c r="AG893" s="144" t="n"/>
    </row>
    <row r="894" ht="18" customHeight="1" s="207">
      <c r="A894" s="166" t="n"/>
      <c r="B894" s="167" t="n"/>
      <c r="C894" s="167" t="n"/>
      <c r="D894" s="143">
        <f>"PRD_SNJ_"&amp;
_xlfn.XLOOKUP(商品マスタ[[#This Row],[仕入先]],テーブル1[仕入先名],テーブル1[仕入先コード],"XXX",0,1)&amp;
"_"&amp;
商品マスタ[[#This Row],[シリアル]]&amp;
"_"&amp;
TEXT(COUNTIFS(商品マスタ!$C$3:C894,商品マスタ[[#This Row],[仕入先]],商品マスタ!$E$3:E894,商品マスタ[[#This Row],[商品名]]), "00")</f>
        <v/>
      </c>
      <c r="E894" s="167" t="n"/>
      <c r="F894" s="167">
        <f>IF(COUNTIFS($C$3:C894,商品マスタ[[#This Row],[仕入先]],$E$3:E894,商品マスタ[[#This Row],[商品名]]) = 1, 1,0)</f>
        <v/>
      </c>
      <c r="G894" s="133">
        <f>TEXT(SUMIF($C$3:C894,商品マスタ[[#This Row],[仕入先]],$F$3:F894), "0000")</f>
        <v/>
      </c>
      <c r="H894" s="167" t="n"/>
      <c r="I894" s="167" t="n"/>
      <c r="J894" s="167" t="n"/>
      <c r="K894" s="167" t="n"/>
      <c r="L894" s="289" t="n"/>
      <c r="M894" s="157" t="n"/>
      <c r="N894" s="289" t="n"/>
      <c r="O894" s="290">
        <f>IF(COUNT(商品マスタ[[#This Row],[参考上代
（税込)]]) &gt; 0, (商品マスタ[[#This Row],[参考上代
（税込)]]-商品マスタ[[#This Row],[国内定価
（15％）]])/(商品マスタ[[#This Row],[参考上代
（税込)]]/1.08), "")</f>
        <v/>
      </c>
      <c r="P894" s="136" t="n">
        <v>0.1</v>
      </c>
      <c r="Q894" s="289">
        <f>商品マスタ[[#This Row],[仕入
単価]]*商品マスタ[[#This Row],[標準国内送料率]]</f>
        <v/>
      </c>
      <c r="R894" s="289" t="n"/>
      <c r="S894" s="289">
        <f>IF(ISBLANK(商品マスタ[[#This Row],[実績
国内送料]]),商品マスタ[[#This Row],[標準国内送料]],)</f>
        <v/>
      </c>
      <c r="T894" s="289">
        <f>商品マスタ[[#This Row],[仕入
単価]]+商品マスタ[[#This Row],[国内送料]]</f>
        <v/>
      </c>
      <c r="U894" s="289">
        <f>ROUNDUP(商品マスタ[[#This Row],[仕入単価+国内送料]]/0.8,-1)</f>
        <v/>
      </c>
      <c r="V894" s="289">
        <f>商品マスタ[[#This Row],[海外定価
（20％）]]-商品マスタ[[#This Row],[仕入単価+国内送料]]</f>
        <v/>
      </c>
      <c r="W894" s="167">
        <f>ROUNDUP(商品マスタ[[#This Row],[仕入単価+国内送料]]/0.85,-1)</f>
        <v/>
      </c>
      <c r="X894" s="289">
        <f>商品マスタ[[#This Row],[国内定価
（15％）]]-商品マスタ[[#This Row],[仕入単価+国内送料]]</f>
        <v/>
      </c>
      <c r="Y894" s="139" t="n"/>
      <c r="Z894" s="167" t="n"/>
      <c r="AA894" s="167" t="n"/>
      <c r="AB894" s="167" t="n"/>
      <c r="AC894" s="293" t="n"/>
      <c r="AD894" s="167" t="n"/>
      <c r="AE894" s="167" t="n"/>
      <c r="AF894" s="167" t="n"/>
      <c r="AG894" s="144" t="n"/>
    </row>
    <row r="895" ht="18" customHeight="1" s="207">
      <c r="A895" s="166" t="n"/>
      <c r="B895" s="167" t="n"/>
      <c r="C895" s="167" t="n"/>
      <c r="D895" s="143">
        <f>"PRD_SNJ_"&amp;
_xlfn.XLOOKUP(商品マスタ[[#This Row],[仕入先]],テーブル1[仕入先名],テーブル1[仕入先コード],"XXX",0,1)&amp;
"_"&amp;
商品マスタ[[#This Row],[シリアル]]&amp;
"_"&amp;
TEXT(COUNTIFS(商品マスタ!$C$3:C895,商品マスタ[[#This Row],[仕入先]],商品マスタ!$E$3:E895,商品マスタ[[#This Row],[商品名]]), "00")</f>
        <v/>
      </c>
      <c r="E895" s="167" t="n"/>
      <c r="F895" s="167">
        <f>IF(COUNTIFS($C$3:C895,商品マスタ[[#This Row],[仕入先]],$E$3:E895,商品マスタ[[#This Row],[商品名]]) = 1, 1,0)</f>
        <v/>
      </c>
      <c r="G895" s="133">
        <f>TEXT(SUMIF($C$3:C895,商品マスタ[[#This Row],[仕入先]],$F$3:F895), "0000")</f>
        <v/>
      </c>
      <c r="H895" s="167" t="n"/>
      <c r="I895" s="167" t="n"/>
      <c r="J895" s="167" t="n"/>
      <c r="K895" s="167" t="n"/>
      <c r="L895" s="289" t="n"/>
      <c r="M895" s="157" t="n"/>
      <c r="N895" s="289" t="n"/>
      <c r="O895" s="290">
        <f>IF(COUNT(商品マスタ[[#This Row],[参考上代
（税込)]]) &gt; 0, (商品マスタ[[#This Row],[参考上代
（税込)]]-商品マスタ[[#This Row],[国内定価
（15％）]])/(商品マスタ[[#This Row],[参考上代
（税込)]]/1.08), "")</f>
        <v/>
      </c>
      <c r="P895" s="136" t="n">
        <v>0.1</v>
      </c>
      <c r="Q895" s="289">
        <f>商品マスタ[[#This Row],[仕入
単価]]*商品マスタ[[#This Row],[標準国内送料率]]</f>
        <v/>
      </c>
      <c r="R895" s="289" t="n"/>
      <c r="S895" s="289">
        <f>IF(ISBLANK(商品マスタ[[#This Row],[実績
国内送料]]),商品マスタ[[#This Row],[標準国内送料]],)</f>
        <v/>
      </c>
      <c r="T895" s="289">
        <f>商品マスタ[[#This Row],[仕入
単価]]+商品マスタ[[#This Row],[国内送料]]</f>
        <v/>
      </c>
      <c r="U895" s="289">
        <f>ROUNDUP(商品マスタ[[#This Row],[仕入単価+国内送料]]/0.8,-1)</f>
        <v/>
      </c>
      <c r="V895" s="289">
        <f>商品マスタ[[#This Row],[海外定価
（20％）]]-商品マスタ[[#This Row],[仕入単価+国内送料]]</f>
        <v/>
      </c>
      <c r="W895" s="167">
        <f>ROUNDUP(商品マスタ[[#This Row],[仕入単価+国内送料]]/0.85,-1)</f>
        <v/>
      </c>
      <c r="X895" s="289">
        <f>商品マスタ[[#This Row],[国内定価
（15％）]]-商品マスタ[[#This Row],[仕入単価+国内送料]]</f>
        <v/>
      </c>
      <c r="Y895" s="139" t="n"/>
      <c r="Z895" s="167" t="n"/>
      <c r="AA895" s="167" t="n"/>
      <c r="AB895" s="167" t="n"/>
      <c r="AC895" s="293" t="n"/>
      <c r="AD895" s="167" t="n"/>
      <c r="AE895" s="167" t="n"/>
      <c r="AF895" s="167" t="n"/>
      <c r="AG895" s="144" t="n"/>
    </row>
    <row r="896" ht="18" customHeight="1" s="207">
      <c r="A896" s="166" t="n"/>
      <c r="B896" s="167" t="n"/>
      <c r="C896" s="167" t="n"/>
      <c r="D896" s="143">
        <f>"PRD_SNJ_"&amp;
_xlfn.XLOOKUP(商品マスタ[[#This Row],[仕入先]],テーブル1[仕入先名],テーブル1[仕入先コード],"XXX",0,1)&amp;
"_"&amp;
商品マスタ[[#This Row],[シリアル]]&amp;
"_"&amp;
TEXT(COUNTIFS(商品マスタ!$C$3:C896,商品マスタ[[#This Row],[仕入先]],商品マスタ!$E$3:E896,商品マスタ[[#This Row],[商品名]]), "00")</f>
        <v/>
      </c>
      <c r="E896" s="167" t="n"/>
      <c r="F896" s="167">
        <f>IF(COUNTIFS($C$3:C896,商品マスタ[[#This Row],[仕入先]],$E$3:E896,商品マスタ[[#This Row],[商品名]]) = 1, 1,0)</f>
        <v/>
      </c>
      <c r="G896" s="133">
        <f>TEXT(SUMIF($C$3:C896,商品マスタ[[#This Row],[仕入先]],$F$3:F896), "0000")</f>
        <v/>
      </c>
      <c r="H896" s="167" t="n"/>
      <c r="I896" s="167" t="n"/>
      <c r="J896" s="167" t="n"/>
      <c r="K896" s="167" t="n"/>
      <c r="L896" s="289" t="n"/>
      <c r="M896" s="157" t="n"/>
      <c r="N896" s="289" t="n"/>
      <c r="O896" s="290">
        <f>IF(COUNT(商品マスタ[[#This Row],[参考上代
（税込)]]) &gt; 0, (商品マスタ[[#This Row],[参考上代
（税込)]]-商品マスタ[[#This Row],[国内定価
（15％）]])/(商品マスタ[[#This Row],[参考上代
（税込)]]/1.08), "")</f>
        <v/>
      </c>
      <c r="P896" s="136" t="n">
        <v>0.1</v>
      </c>
      <c r="Q896" s="289">
        <f>商品マスタ[[#This Row],[仕入
単価]]*商品マスタ[[#This Row],[標準国内送料率]]</f>
        <v/>
      </c>
      <c r="R896" s="289" t="n"/>
      <c r="S896" s="289">
        <f>IF(ISBLANK(商品マスタ[[#This Row],[実績
国内送料]]),商品マスタ[[#This Row],[標準国内送料]],)</f>
        <v/>
      </c>
      <c r="T896" s="289">
        <f>商品マスタ[[#This Row],[仕入
単価]]+商品マスタ[[#This Row],[国内送料]]</f>
        <v/>
      </c>
      <c r="U896" s="289">
        <f>ROUNDUP(商品マスタ[[#This Row],[仕入単価+国内送料]]/0.8,-1)</f>
        <v/>
      </c>
      <c r="V896" s="289">
        <f>商品マスタ[[#This Row],[海外定価
（20％）]]-商品マスタ[[#This Row],[仕入単価+国内送料]]</f>
        <v/>
      </c>
      <c r="W896" s="167">
        <f>ROUNDUP(商品マスタ[[#This Row],[仕入単価+国内送料]]/0.85,-1)</f>
        <v/>
      </c>
      <c r="X896" s="289">
        <f>商品マスタ[[#This Row],[国内定価
（15％）]]-商品マスタ[[#This Row],[仕入単価+国内送料]]</f>
        <v/>
      </c>
      <c r="Y896" s="139" t="n"/>
      <c r="Z896" s="167" t="n"/>
      <c r="AA896" s="167" t="n"/>
      <c r="AB896" s="167" t="n"/>
      <c r="AC896" s="293" t="n"/>
      <c r="AD896" s="167" t="n"/>
      <c r="AE896" s="167" t="n"/>
      <c r="AF896" s="167" t="n"/>
      <c r="AG896" s="144" t="n"/>
    </row>
    <row r="897" ht="18" customHeight="1" s="207">
      <c r="A897" s="166" t="n"/>
      <c r="B897" s="167" t="n"/>
      <c r="C897" s="167" t="n"/>
      <c r="D897" s="143">
        <f>"PRD_SNJ_"&amp;
_xlfn.XLOOKUP(商品マスタ[[#This Row],[仕入先]],テーブル1[仕入先名],テーブル1[仕入先コード],"XXX",0,1)&amp;
"_"&amp;
商品マスタ[[#This Row],[シリアル]]&amp;
"_"&amp;
TEXT(COUNTIFS(商品マスタ!$C$3:C897,商品マスタ[[#This Row],[仕入先]],商品マスタ!$E$3:E897,商品マスタ[[#This Row],[商品名]]), "00")</f>
        <v/>
      </c>
      <c r="E897" s="167" t="n"/>
      <c r="F897" s="167">
        <f>IF(COUNTIFS($C$3:C897,商品マスタ[[#This Row],[仕入先]],$E$3:E897,商品マスタ[[#This Row],[商品名]]) = 1, 1,0)</f>
        <v/>
      </c>
      <c r="G897" s="133">
        <f>TEXT(SUMIF($C$3:C897,商品マスタ[[#This Row],[仕入先]],$F$3:F897), "0000")</f>
        <v/>
      </c>
      <c r="H897" s="167" t="n"/>
      <c r="I897" s="167" t="n"/>
      <c r="J897" s="167" t="n"/>
      <c r="K897" s="167" t="n"/>
      <c r="L897" s="289" t="n"/>
      <c r="M897" s="157" t="n"/>
      <c r="N897" s="289" t="n"/>
      <c r="O897" s="290">
        <f>IF(COUNT(商品マスタ[[#This Row],[参考上代
（税込)]]) &gt; 0, (商品マスタ[[#This Row],[参考上代
（税込)]]-商品マスタ[[#This Row],[国内定価
（15％）]])/(商品マスタ[[#This Row],[参考上代
（税込)]]/1.08), "")</f>
        <v/>
      </c>
      <c r="P897" s="136" t="n">
        <v>0.1</v>
      </c>
      <c r="Q897" s="289">
        <f>商品マスタ[[#This Row],[仕入
単価]]*商品マスタ[[#This Row],[標準国内送料率]]</f>
        <v/>
      </c>
      <c r="R897" s="289" t="n"/>
      <c r="S897" s="289">
        <f>IF(ISBLANK(商品マスタ[[#This Row],[実績
国内送料]]),商品マスタ[[#This Row],[標準国内送料]],)</f>
        <v/>
      </c>
      <c r="T897" s="289">
        <f>商品マスタ[[#This Row],[仕入
単価]]+商品マスタ[[#This Row],[国内送料]]</f>
        <v/>
      </c>
      <c r="U897" s="289">
        <f>ROUNDUP(商品マスタ[[#This Row],[仕入単価+国内送料]]/0.8,-1)</f>
        <v/>
      </c>
      <c r="V897" s="289">
        <f>商品マスタ[[#This Row],[海外定価
（20％）]]-商品マスタ[[#This Row],[仕入単価+国内送料]]</f>
        <v/>
      </c>
      <c r="W897" s="167">
        <f>ROUNDUP(商品マスタ[[#This Row],[仕入単価+国内送料]]/0.85,-1)</f>
        <v/>
      </c>
      <c r="X897" s="289">
        <f>商品マスタ[[#This Row],[国内定価
（15％）]]-商品マスタ[[#This Row],[仕入単価+国内送料]]</f>
        <v/>
      </c>
      <c r="Y897" s="139" t="n"/>
      <c r="Z897" s="167" t="n"/>
      <c r="AA897" s="167" t="n"/>
      <c r="AB897" s="167" t="n"/>
      <c r="AC897" s="293" t="n"/>
      <c r="AD897" s="167" t="n"/>
      <c r="AE897" s="167" t="n"/>
      <c r="AF897" s="167" t="n"/>
      <c r="AG897" s="144" t="n"/>
    </row>
    <row r="898" ht="18" customHeight="1" s="207">
      <c r="A898" s="166" t="n"/>
      <c r="B898" s="167" t="n"/>
      <c r="C898" s="167" t="n"/>
      <c r="D898" s="143">
        <f>"PRD_SNJ_"&amp;
_xlfn.XLOOKUP(商品マスタ[[#This Row],[仕入先]],テーブル1[仕入先名],テーブル1[仕入先コード],"XXX",0,1)&amp;
"_"&amp;
商品マスタ[[#This Row],[シリアル]]&amp;
"_"&amp;
TEXT(COUNTIFS(商品マスタ!$C$3:C898,商品マスタ[[#This Row],[仕入先]],商品マスタ!$E$3:E898,商品マスタ[[#This Row],[商品名]]), "00")</f>
        <v/>
      </c>
      <c r="E898" s="167" t="n"/>
      <c r="F898" s="167">
        <f>IF(COUNTIFS($C$3:C898,商品マスタ[[#This Row],[仕入先]],$E$3:E898,商品マスタ[[#This Row],[商品名]]) = 1, 1,0)</f>
        <v/>
      </c>
      <c r="G898" s="133">
        <f>TEXT(SUMIF($C$3:C898,商品マスタ[[#This Row],[仕入先]],$F$3:F898), "0000")</f>
        <v/>
      </c>
      <c r="H898" s="167" t="n"/>
      <c r="I898" s="167" t="n"/>
      <c r="J898" s="167" t="n"/>
      <c r="K898" s="167" t="n"/>
      <c r="L898" s="289" t="n"/>
      <c r="M898" s="157" t="n"/>
      <c r="N898" s="289" t="n"/>
      <c r="O898" s="290">
        <f>IF(COUNT(商品マスタ[[#This Row],[参考上代
（税込)]]) &gt; 0, (商品マスタ[[#This Row],[参考上代
（税込)]]-商品マスタ[[#This Row],[国内定価
（15％）]])/(商品マスタ[[#This Row],[参考上代
（税込)]]/1.08), "")</f>
        <v/>
      </c>
      <c r="P898" s="136" t="n">
        <v>0.1</v>
      </c>
      <c r="Q898" s="289">
        <f>商品マスタ[[#This Row],[仕入
単価]]*商品マスタ[[#This Row],[標準国内送料率]]</f>
        <v/>
      </c>
      <c r="R898" s="289" t="n"/>
      <c r="S898" s="289">
        <f>IF(ISBLANK(商品マスタ[[#This Row],[実績
国内送料]]),商品マスタ[[#This Row],[標準国内送料]],)</f>
        <v/>
      </c>
      <c r="T898" s="289">
        <f>商品マスタ[[#This Row],[仕入
単価]]+商品マスタ[[#This Row],[国内送料]]</f>
        <v/>
      </c>
      <c r="U898" s="289">
        <f>ROUNDUP(商品マスタ[[#This Row],[仕入単価+国内送料]]/0.8,-1)</f>
        <v/>
      </c>
      <c r="V898" s="289">
        <f>商品マスタ[[#This Row],[海外定価
（20％）]]-商品マスタ[[#This Row],[仕入単価+国内送料]]</f>
        <v/>
      </c>
      <c r="W898" s="167">
        <f>ROUNDUP(商品マスタ[[#This Row],[仕入単価+国内送料]]/0.85,-1)</f>
        <v/>
      </c>
      <c r="X898" s="289">
        <f>商品マスタ[[#This Row],[国内定価
（15％）]]-商品マスタ[[#This Row],[仕入単価+国内送料]]</f>
        <v/>
      </c>
      <c r="Y898" s="139" t="n"/>
      <c r="Z898" s="167" t="n"/>
      <c r="AA898" s="167" t="n"/>
      <c r="AB898" s="167" t="n"/>
      <c r="AC898" s="293" t="n"/>
      <c r="AD898" s="167" t="n"/>
      <c r="AE898" s="167" t="n"/>
      <c r="AF898" s="167" t="n"/>
      <c r="AG898" s="144" t="n"/>
    </row>
    <row r="899" ht="18" customHeight="1" s="207">
      <c r="A899" s="166" t="n"/>
      <c r="B899" s="167" t="n"/>
      <c r="C899" s="167" t="n"/>
      <c r="D899" s="143">
        <f>"PRD_SNJ_"&amp;
_xlfn.XLOOKUP(商品マスタ[[#This Row],[仕入先]],テーブル1[仕入先名],テーブル1[仕入先コード],"XXX",0,1)&amp;
"_"&amp;
商品マスタ[[#This Row],[シリアル]]&amp;
"_"&amp;
TEXT(COUNTIFS(商品マスタ!$C$3:C899,商品マスタ[[#This Row],[仕入先]],商品マスタ!$E$3:E899,商品マスタ[[#This Row],[商品名]]), "00")</f>
        <v/>
      </c>
      <c r="E899" s="167" t="n"/>
      <c r="F899" s="167">
        <f>IF(COUNTIFS($C$3:C899,商品マスタ[[#This Row],[仕入先]],$E$3:E899,商品マスタ[[#This Row],[商品名]]) = 1, 1,0)</f>
        <v/>
      </c>
      <c r="G899" s="133">
        <f>TEXT(SUMIF($C$3:C899,商品マスタ[[#This Row],[仕入先]],$F$3:F899), "0000")</f>
        <v/>
      </c>
      <c r="H899" s="167" t="n"/>
      <c r="I899" s="167" t="n"/>
      <c r="J899" s="167" t="n"/>
      <c r="K899" s="167" t="n"/>
      <c r="L899" s="289" t="n"/>
      <c r="M899" s="157" t="n"/>
      <c r="N899" s="289" t="n"/>
      <c r="O899" s="290">
        <f>IF(COUNT(商品マスタ[[#This Row],[参考上代
（税込)]]) &gt; 0, (商品マスタ[[#This Row],[参考上代
（税込)]]-商品マスタ[[#This Row],[国内定価
（15％）]])/(商品マスタ[[#This Row],[参考上代
（税込)]]/1.08), "")</f>
        <v/>
      </c>
      <c r="P899" s="136" t="n">
        <v>0.1</v>
      </c>
      <c r="Q899" s="289">
        <f>商品マスタ[[#This Row],[仕入
単価]]*商品マスタ[[#This Row],[標準国内送料率]]</f>
        <v/>
      </c>
      <c r="R899" s="289" t="n"/>
      <c r="S899" s="289">
        <f>IF(ISBLANK(商品マスタ[[#This Row],[実績
国内送料]]),商品マスタ[[#This Row],[標準国内送料]],)</f>
        <v/>
      </c>
      <c r="T899" s="289">
        <f>商品マスタ[[#This Row],[仕入
単価]]+商品マスタ[[#This Row],[国内送料]]</f>
        <v/>
      </c>
      <c r="U899" s="289">
        <f>ROUNDUP(商品マスタ[[#This Row],[仕入単価+国内送料]]/0.8,-1)</f>
        <v/>
      </c>
      <c r="V899" s="289">
        <f>商品マスタ[[#This Row],[海外定価
（20％）]]-商品マスタ[[#This Row],[仕入単価+国内送料]]</f>
        <v/>
      </c>
      <c r="W899" s="167">
        <f>ROUNDUP(商品マスタ[[#This Row],[仕入単価+国内送料]]/0.85,-1)</f>
        <v/>
      </c>
      <c r="X899" s="289">
        <f>商品マスタ[[#This Row],[国内定価
（15％）]]-商品マスタ[[#This Row],[仕入単価+国内送料]]</f>
        <v/>
      </c>
      <c r="Y899" s="139" t="n"/>
      <c r="Z899" s="167" t="n"/>
      <c r="AA899" s="167" t="n"/>
      <c r="AB899" s="167" t="n"/>
      <c r="AC899" s="293" t="n"/>
      <c r="AD899" s="167" t="n"/>
      <c r="AE899" s="167" t="n"/>
      <c r="AF899" s="167" t="n"/>
      <c r="AG899" s="144" t="n"/>
    </row>
    <row r="900" ht="18" customHeight="1" s="207">
      <c r="A900" s="166" t="n"/>
      <c r="B900" s="167" t="n"/>
      <c r="C900" s="167" t="n"/>
      <c r="D900" s="143">
        <f>"PRD_SNJ_"&amp;
_xlfn.XLOOKUP(商品マスタ[[#This Row],[仕入先]],テーブル1[仕入先名],テーブル1[仕入先コード],"XXX",0,1)&amp;
"_"&amp;
商品マスタ[[#This Row],[シリアル]]&amp;
"_"&amp;
TEXT(COUNTIFS(商品マスタ!$C$3:C900,商品マスタ[[#This Row],[仕入先]],商品マスタ!$E$3:E900,商品マスタ[[#This Row],[商品名]]), "00")</f>
        <v/>
      </c>
      <c r="E900" s="167" t="n"/>
      <c r="F900" s="167">
        <f>IF(COUNTIFS($C$3:C900,商品マスタ[[#This Row],[仕入先]],$E$3:E900,商品マスタ[[#This Row],[商品名]]) = 1, 1,0)</f>
        <v/>
      </c>
      <c r="G900" s="133">
        <f>TEXT(SUMIF($C$3:C900,商品マスタ[[#This Row],[仕入先]],$F$3:F900), "0000")</f>
        <v/>
      </c>
      <c r="H900" s="167" t="n"/>
      <c r="I900" s="167" t="n"/>
      <c r="J900" s="167" t="n"/>
      <c r="K900" s="167" t="n"/>
      <c r="L900" s="289" t="n"/>
      <c r="M900" s="157" t="n"/>
      <c r="N900" s="289" t="n"/>
      <c r="O900" s="290">
        <f>IF(COUNT(商品マスタ[[#This Row],[参考上代
（税込)]]) &gt; 0, (商品マスタ[[#This Row],[参考上代
（税込)]]-商品マスタ[[#This Row],[国内定価
（15％）]])/(商品マスタ[[#This Row],[参考上代
（税込)]]/1.08), "")</f>
        <v/>
      </c>
      <c r="P900" s="136" t="n">
        <v>0.1</v>
      </c>
      <c r="Q900" s="289">
        <f>商品マスタ[[#This Row],[仕入
単価]]*商品マスタ[[#This Row],[標準国内送料率]]</f>
        <v/>
      </c>
      <c r="R900" s="289" t="n"/>
      <c r="S900" s="289">
        <f>IF(ISBLANK(商品マスタ[[#This Row],[実績
国内送料]]),商品マスタ[[#This Row],[標準国内送料]],)</f>
        <v/>
      </c>
      <c r="T900" s="289">
        <f>商品マスタ[[#This Row],[仕入
単価]]+商品マスタ[[#This Row],[国内送料]]</f>
        <v/>
      </c>
      <c r="U900" s="289">
        <f>ROUNDUP(商品マスタ[[#This Row],[仕入単価+国内送料]]/0.8,-1)</f>
        <v/>
      </c>
      <c r="V900" s="289">
        <f>商品マスタ[[#This Row],[海外定価
（20％）]]-商品マスタ[[#This Row],[仕入単価+国内送料]]</f>
        <v/>
      </c>
      <c r="W900" s="167">
        <f>ROUNDUP(商品マスタ[[#This Row],[仕入単価+国内送料]]/0.85,-1)</f>
        <v/>
      </c>
      <c r="X900" s="289">
        <f>商品マスタ[[#This Row],[国内定価
（15％）]]-商品マスタ[[#This Row],[仕入単価+国内送料]]</f>
        <v/>
      </c>
      <c r="Y900" s="139" t="n"/>
      <c r="Z900" s="167" t="n"/>
      <c r="AA900" s="167" t="n"/>
      <c r="AB900" s="167" t="n"/>
      <c r="AC900" s="293" t="n"/>
      <c r="AD900" s="167" t="n"/>
      <c r="AE900" s="167" t="n"/>
      <c r="AF900" s="167" t="n"/>
      <c r="AG900" s="144" t="n"/>
    </row>
    <row r="901" ht="18" customHeight="1" s="207">
      <c r="A901" s="166" t="n"/>
      <c r="B901" s="167" t="n"/>
      <c r="C901" s="167" t="n"/>
      <c r="D901" s="143">
        <f>"PRD_SNJ_"&amp;
_xlfn.XLOOKUP(商品マスタ[[#This Row],[仕入先]],テーブル1[仕入先名],テーブル1[仕入先コード],"XXX",0,1)&amp;
"_"&amp;
商品マスタ[[#This Row],[シリアル]]&amp;
"_"&amp;
TEXT(COUNTIFS(商品マスタ!$C$3:C901,商品マスタ[[#This Row],[仕入先]],商品マスタ!$E$3:E901,商品マスタ[[#This Row],[商品名]]), "00")</f>
        <v/>
      </c>
      <c r="E901" s="167" t="n"/>
      <c r="F901" s="167">
        <f>IF(COUNTIFS($C$3:C901,商品マスタ[[#This Row],[仕入先]],$E$3:E901,商品マスタ[[#This Row],[商品名]]) = 1, 1,0)</f>
        <v/>
      </c>
      <c r="G901" s="133">
        <f>TEXT(SUMIF($C$3:C901,商品マスタ[[#This Row],[仕入先]],$F$3:F901), "0000")</f>
        <v/>
      </c>
      <c r="H901" s="167" t="n"/>
      <c r="I901" s="167" t="n"/>
      <c r="J901" s="167" t="n"/>
      <c r="K901" s="167" t="n"/>
      <c r="L901" s="289" t="n"/>
      <c r="M901" s="157" t="n"/>
      <c r="N901" s="289" t="n"/>
      <c r="O901" s="290">
        <f>IF(COUNT(商品マスタ[[#This Row],[参考上代
（税込)]]) &gt; 0, (商品マスタ[[#This Row],[参考上代
（税込)]]-商品マスタ[[#This Row],[国内定価
（15％）]])/(商品マスタ[[#This Row],[参考上代
（税込)]]/1.08), "")</f>
        <v/>
      </c>
      <c r="P901" s="136" t="n">
        <v>0.1</v>
      </c>
      <c r="Q901" s="289">
        <f>商品マスタ[[#This Row],[仕入
単価]]*商品マスタ[[#This Row],[標準国内送料率]]</f>
        <v/>
      </c>
      <c r="R901" s="289" t="n"/>
      <c r="S901" s="289">
        <f>IF(ISBLANK(商品マスタ[[#This Row],[実績
国内送料]]),商品マスタ[[#This Row],[標準国内送料]],)</f>
        <v/>
      </c>
      <c r="T901" s="289">
        <f>商品マスタ[[#This Row],[仕入
単価]]+商品マスタ[[#This Row],[国内送料]]</f>
        <v/>
      </c>
      <c r="U901" s="289">
        <f>ROUNDUP(商品マスタ[[#This Row],[仕入単価+国内送料]]/0.8,-1)</f>
        <v/>
      </c>
      <c r="V901" s="289">
        <f>商品マスタ[[#This Row],[海外定価
（20％）]]-商品マスタ[[#This Row],[仕入単価+国内送料]]</f>
        <v/>
      </c>
      <c r="W901" s="167">
        <f>ROUNDUP(商品マスタ[[#This Row],[仕入単価+国内送料]]/0.85,-1)</f>
        <v/>
      </c>
      <c r="X901" s="289">
        <f>商品マスタ[[#This Row],[国内定価
（15％）]]-商品マスタ[[#This Row],[仕入単価+国内送料]]</f>
        <v/>
      </c>
      <c r="Y901" s="139" t="n"/>
      <c r="Z901" s="167" t="n"/>
      <c r="AA901" s="167" t="n"/>
      <c r="AB901" s="167" t="n"/>
      <c r="AC901" s="293" t="n"/>
      <c r="AD901" s="167" t="n"/>
      <c r="AE901" s="167" t="n"/>
      <c r="AF901" s="167" t="n"/>
      <c r="AG901" s="144" t="n"/>
    </row>
    <row r="902" ht="18" customHeight="1" s="207">
      <c r="A902" s="166" t="n"/>
      <c r="B902" s="167" t="n"/>
      <c r="C902" s="167" t="n"/>
      <c r="D902" s="143">
        <f>"PRD_SNJ_"&amp;
_xlfn.XLOOKUP(商品マスタ[[#This Row],[仕入先]],テーブル1[仕入先名],テーブル1[仕入先コード],"XXX",0,1)&amp;
"_"&amp;
商品マスタ[[#This Row],[シリアル]]&amp;
"_"&amp;
TEXT(COUNTIFS(商品マスタ!$C$3:C902,商品マスタ[[#This Row],[仕入先]],商品マスタ!$E$3:E902,商品マスタ[[#This Row],[商品名]]), "00")</f>
        <v/>
      </c>
      <c r="E902" s="167" t="n"/>
      <c r="F902" s="167">
        <f>IF(COUNTIFS($C$3:C902,商品マスタ[[#This Row],[仕入先]],$E$3:E902,商品マスタ[[#This Row],[商品名]]) = 1, 1,0)</f>
        <v/>
      </c>
      <c r="G902" s="133">
        <f>TEXT(SUMIF($C$3:C902,商品マスタ[[#This Row],[仕入先]],$F$3:F902), "0000")</f>
        <v/>
      </c>
      <c r="H902" s="167" t="n"/>
      <c r="I902" s="167" t="n"/>
      <c r="J902" s="167" t="n"/>
      <c r="K902" s="167" t="n"/>
      <c r="L902" s="289" t="n"/>
      <c r="M902" s="157" t="n"/>
      <c r="N902" s="289" t="n"/>
      <c r="O902" s="290">
        <f>IF(COUNT(商品マスタ[[#This Row],[参考上代
（税込)]]) &gt; 0, (商品マスタ[[#This Row],[参考上代
（税込)]]-商品マスタ[[#This Row],[国内定価
（15％）]])/(商品マスタ[[#This Row],[参考上代
（税込)]]/1.08), "")</f>
        <v/>
      </c>
      <c r="P902" s="136" t="n">
        <v>0.1</v>
      </c>
      <c r="Q902" s="289">
        <f>商品マスタ[[#This Row],[仕入
単価]]*商品マスタ[[#This Row],[標準国内送料率]]</f>
        <v/>
      </c>
      <c r="R902" s="289" t="n"/>
      <c r="S902" s="289">
        <f>IF(ISBLANK(商品マスタ[[#This Row],[実績
国内送料]]),商品マスタ[[#This Row],[標準国内送料]],)</f>
        <v/>
      </c>
      <c r="T902" s="289">
        <f>商品マスタ[[#This Row],[仕入
単価]]+商品マスタ[[#This Row],[国内送料]]</f>
        <v/>
      </c>
      <c r="U902" s="289">
        <f>ROUNDUP(商品マスタ[[#This Row],[仕入単価+国内送料]]/0.8,-1)</f>
        <v/>
      </c>
      <c r="V902" s="289">
        <f>商品マスタ[[#This Row],[海外定価
（20％）]]-商品マスタ[[#This Row],[仕入単価+国内送料]]</f>
        <v/>
      </c>
      <c r="W902" s="167">
        <f>ROUNDUP(商品マスタ[[#This Row],[仕入単価+国内送料]]/0.85,-1)</f>
        <v/>
      </c>
      <c r="X902" s="289">
        <f>商品マスタ[[#This Row],[国内定価
（15％）]]-商品マスタ[[#This Row],[仕入単価+国内送料]]</f>
        <v/>
      </c>
      <c r="Y902" s="139" t="n"/>
      <c r="Z902" s="167" t="n"/>
      <c r="AA902" s="167" t="n"/>
      <c r="AB902" s="167" t="n"/>
      <c r="AC902" s="293" t="n"/>
      <c r="AD902" s="167" t="n"/>
      <c r="AE902" s="167" t="n"/>
      <c r="AF902" s="167" t="n"/>
      <c r="AG902" s="144" t="n"/>
    </row>
    <row r="903" ht="18" customHeight="1" s="207">
      <c r="A903" s="166" t="n"/>
      <c r="B903" s="167" t="n"/>
      <c r="C903" s="167" t="n"/>
      <c r="D903" s="143">
        <f>"PRD_SNJ_"&amp;
_xlfn.XLOOKUP(商品マスタ[[#This Row],[仕入先]],テーブル1[仕入先名],テーブル1[仕入先コード],"XXX",0,1)&amp;
"_"&amp;
商品マスタ[[#This Row],[シリアル]]&amp;
"_"&amp;
TEXT(COUNTIFS(商品マスタ!$C$3:C903,商品マスタ[[#This Row],[仕入先]],商品マスタ!$E$3:E903,商品マスタ[[#This Row],[商品名]]), "00")</f>
        <v/>
      </c>
      <c r="E903" s="167" t="n"/>
      <c r="F903" s="167">
        <f>IF(COUNTIFS($C$3:C903,商品マスタ[[#This Row],[仕入先]],$E$3:E903,商品マスタ[[#This Row],[商品名]]) = 1, 1,0)</f>
        <v/>
      </c>
      <c r="G903" s="133">
        <f>TEXT(SUMIF($C$3:C903,商品マスタ[[#This Row],[仕入先]],$F$3:F903), "0000")</f>
        <v/>
      </c>
      <c r="H903" s="167" t="n"/>
      <c r="I903" s="167" t="n"/>
      <c r="J903" s="167" t="n"/>
      <c r="K903" s="167" t="n"/>
      <c r="L903" s="289" t="n"/>
      <c r="M903" s="157" t="n"/>
      <c r="N903" s="289" t="n"/>
      <c r="O903" s="290">
        <f>IF(COUNT(商品マスタ[[#This Row],[参考上代
（税込)]]) &gt; 0, (商品マスタ[[#This Row],[参考上代
（税込)]]-商品マスタ[[#This Row],[国内定価
（15％）]])/(商品マスタ[[#This Row],[参考上代
（税込)]]/1.08), "")</f>
        <v/>
      </c>
      <c r="P903" s="136" t="n">
        <v>0.1</v>
      </c>
      <c r="Q903" s="289">
        <f>商品マスタ[[#This Row],[仕入
単価]]*商品マスタ[[#This Row],[標準国内送料率]]</f>
        <v/>
      </c>
      <c r="R903" s="289" t="n"/>
      <c r="S903" s="289">
        <f>IF(ISBLANK(商品マスタ[[#This Row],[実績
国内送料]]),商品マスタ[[#This Row],[標準国内送料]],)</f>
        <v/>
      </c>
      <c r="T903" s="289">
        <f>商品マスタ[[#This Row],[仕入
単価]]+商品マスタ[[#This Row],[国内送料]]</f>
        <v/>
      </c>
      <c r="U903" s="289">
        <f>ROUNDUP(商品マスタ[[#This Row],[仕入単価+国内送料]]/0.8,-1)</f>
        <v/>
      </c>
      <c r="V903" s="289">
        <f>商品マスタ[[#This Row],[海外定価
（20％）]]-商品マスタ[[#This Row],[仕入単価+国内送料]]</f>
        <v/>
      </c>
      <c r="W903" s="167">
        <f>ROUNDUP(商品マスタ[[#This Row],[仕入単価+国内送料]]/0.85,-1)</f>
        <v/>
      </c>
      <c r="X903" s="289">
        <f>商品マスタ[[#This Row],[国内定価
（15％）]]-商品マスタ[[#This Row],[仕入単価+国内送料]]</f>
        <v/>
      </c>
      <c r="Y903" s="139" t="n"/>
      <c r="Z903" s="167" t="n"/>
      <c r="AA903" s="167" t="n"/>
      <c r="AB903" s="167" t="n"/>
      <c r="AC903" s="293" t="n"/>
      <c r="AD903" s="167" t="n"/>
      <c r="AE903" s="167" t="n"/>
      <c r="AF903" s="167" t="n"/>
      <c r="AG903" s="144" t="n"/>
    </row>
    <row r="904" ht="18" customHeight="1" s="207">
      <c r="A904" s="166" t="n"/>
      <c r="B904" s="167" t="n"/>
      <c r="C904" s="167" t="n"/>
      <c r="D904" s="143">
        <f>"PRD_SNJ_"&amp;
_xlfn.XLOOKUP(商品マスタ[[#This Row],[仕入先]],テーブル1[仕入先名],テーブル1[仕入先コード],"XXX",0,1)&amp;
"_"&amp;
商品マスタ[[#This Row],[シリアル]]&amp;
"_"&amp;
TEXT(COUNTIFS(商品マスタ!$C$3:C904,商品マスタ[[#This Row],[仕入先]],商品マスタ!$E$3:E904,商品マスタ[[#This Row],[商品名]]), "00")</f>
        <v/>
      </c>
      <c r="E904" s="167" t="n"/>
      <c r="F904" s="167">
        <f>IF(COUNTIFS($C$3:C904,商品マスタ[[#This Row],[仕入先]],$E$3:E904,商品マスタ[[#This Row],[商品名]]) = 1, 1,0)</f>
        <v/>
      </c>
      <c r="G904" s="133">
        <f>TEXT(SUMIF($C$3:C904,商品マスタ[[#This Row],[仕入先]],$F$3:F904), "0000")</f>
        <v/>
      </c>
      <c r="H904" s="167" t="n"/>
      <c r="I904" s="167" t="n"/>
      <c r="J904" s="167" t="n"/>
      <c r="K904" s="167" t="n"/>
      <c r="L904" s="289" t="n"/>
      <c r="M904" s="157" t="n"/>
      <c r="N904" s="289" t="n"/>
      <c r="O904" s="290">
        <f>IF(COUNT(商品マスタ[[#This Row],[参考上代
（税込)]]) &gt; 0, (商品マスタ[[#This Row],[参考上代
（税込)]]-商品マスタ[[#This Row],[国内定価
（15％）]])/(商品マスタ[[#This Row],[参考上代
（税込)]]/1.08), "")</f>
        <v/>
      </c>
      <c r="P904" s="136" t="n">
        <v>0.1</v>
      </c>
      <c r="Q904" s="289">
        <f>商品マスタ[[#This Row],[仕入
単価]]*商品マスタ[[#This Row],[標準国内送料率]]</f>
        <v/>
      </c>
      <c r="R904" s="289" t="n"/>
      <c r="S904" s="289">
        <f>IF(ISBLANK(商品マスタ[[#This Row],[実績
国内送料]]),商品マスタ[[#This Row],[標準国内送料]],)</f>
        <v/>
      </c>
      <c r="T904" s="289">
        <f>商品マスタ[[#This Row],[仕入
単価]]+商品マスタ[[#This Row],[国内送料]]</f>
        <v/>
      </c>
      <c r="U904" s="289">
        <f>ROUNDUP(商品マスタ[[#This Row],[仕入単価+国内送料]]/0.8,-1)</f>
        <v/>
      </c>
      <c r="V904" s="289">
        <f>商品マスタ[[#This Row],[海外定価
（20％）]]-商品マスタ[[#This Row],[仕入単価+国内送料]]</f>
        <v/>
      </c>
      <c r="W904" s="167">
        <f>ROUNDUP(商品マスタ[[#This Row],[仕入単価+国内送料]]/0.85,-1)</f>
        <v/>
      </c>
      <c r="X904" s="289">
        <f>商品マスタ[[#This Row],[国内定価
（15％）]]-商品マスタ[[#This Row],[仕入単価+国内送料]]</f>
        <v/>
      </c>
      <c r="Y904" s="139" t="n"/>
      <c r="Z904" s="167" t="n"/>
      <c r="AA904" s="167" t="n"/>
      <c r="AB904" s="167" t="n"/>
      <c r="AC904" s="293" t="n"/>
      <c r="AD904" s="167" t="n"/>
      <c r="AE904" s="167" t="n"/>
      <c r="AF904" s="167" t="n"/>
      <c r="AG904" s="144" t="n"/>
    </row>
    <row r="905" ht="18" customHeight="1" s="207">
      <c r="A905" s="166" t="n"/>
      <c r="B905" s="167" t="n"/>
      <c r="C905" s="167" t="n"/>
      <c r="D905" s="143">
        <f>"PRD_SNJ_"&amp;
_xlfn.XLOOKUP(商品マスタ[[#This Row],[仕入先]],テーブル1[仕入先名],テーブル1[仕入先コード],"XXX",0,1)&amp;
"_"&amp;
商品マスタ[[#This Row],[シリアル]]&amp;
"_"&amp;
TEXT(COUNTIFS(商品マスタ!$C$3:C905,商品マスタ[[#This Row],[仕入先]],商品マスタ!$E$3:E905,商品マスタ[[#This Row],[商品名]]), "00")</f>
        <v/>
      </c>
      <c r="E905" s="167" t="n"/>
      <c r="F905" s="167">
        <f>IF(COUNTIFS($C$3:C905,商品マスタ[[#This Row],[仕入先]],$E$3:E905,商品マスタ[[#This Row],[商品名]]) = 1, 1,0)</f>
        <v/>
      </c>
      <c r="G905" s="133">
        <f>TEXT(SUMIF($C$3:C905,商品マスタ[[#This Row],[仕入先]],$F$3:F905), "0000")</f>
        <v/>
      </c>
      <c r="H905" s="167" t="n"/>
      <c r="I905" s="167" t="n"/>
      <c r="J905" s="167" t="n"/>
      <c r="K905" s="167" t="n"/>
      <c r="L905" s="289" t="n"/>
      <c r="M905" s="157" t="n"/>
      <c r="N905" s="289" t="n"/>
      <c r="O905" s="290">
        <f>IF(COUNT(商品マスタ[[#This Row],[参考上代
（税込)]]) &gt; 0, (商品マスタ[[#This Row],[参考上代
（税込)]]-商品マスタ[[#This Row],[国内定価
（15％）]])/(商品マスタ[[#This Row],[参考上代
（税込)]]/1.08), "")</f>
        <v/>
      </c>
      <c r="P905" s="136" t="n">
        <v>0.1</v>
      </c>
      <c r="Q905" s="289">
        <f>商品マスタ[[#This Row],[仕入
単価]]*商品マスタ[[#This Row],[標準国内送料率]]</f>
        <v/>
      </c>
      <c r="R905" s="289" t="n"/>
      <c r="S905" s="289">
        <f>IF(ISBLANK(商品マスタ[[#This Row],[実績
国内送料]]),商品マスタ[[#This Row],[標準国内送料]],)</f>
        <v/>
      </c>
      <c r="T905" s="289">
        <f>商品マスタ[[#This Row],[仕入
単価]]+商品マスタ[[#This Row],[国内送料]]</f>
        <v/>
      </c>
      <c r="U905" s="289">
        <f>ROUNDUP(商品マスタ[[#This Row],[仕入単価+国内送料]]/0.8,-1)</f>
        <v/>
      </c>
      <c r="V905" s="289">
        <f>商品マスタ[[#This Row],[海外定価
（20％）]]-商品マスタ[[#This Row],[仕入単価+国内送料]]</f>
        <v/>
      </c>
      <c r="W905" s="167">
        <f>ROUNDUP(商品マスタ[[#This Row],[仕入単価+国内送料]]/0.85,-1)</f>
        <v/>
      </c>
      <c r="X905" s="289">
        <f>商品マスタ[[#This Row],[国内定価
（15％）]]-商品マスタ[[#This Row],[仕入単価+国内送料]]</f>
        <v/>
      </c>
      <c r="Y905" s="139" t="n"/>
      <c r="Z905" s="167" t="n"/>
      <c r="AA905" s="167" t="n"/>
      <c r="AB905" s="167" t="n"/>
      <c r="AC905" s="293" t="n"/>
      <c r="AD905" s="167" t="n"/>
      <c r="AE905" s="167" t="n"/>
      <c r="AF905" s="167" t="n"/>
      <c r="AG905" s="144" t="n"/>
    </row>
    <row r="906" ht="18" customHeight="1" s="207">
      <c r="A906" s="166" t="n"/>
      <c r="B906" s="167" t="n"/>
      <c r="C906" s="167" t="n"/>
      <c r="D906" s="143">
        <f>"PRD_SNJ_"&amp;
_xlfn.XLOOKUP(商品マスタ[[#This Row],[仕入先]],テーブル1[仕入先名],テーブル1[仕入先コード],"XXX",0,1)&amp;
"_"&amp;
商品マスタ[[#This Row],[シリアル]]&amp;
"_"&amp;
TEXT(COUNTIFS(商品マスタ!$C$3:C906,商品マスタ[[#This Row],[仕入先]],商品マスタ!$E$3:E906,商品マスタ[[#This Row],[商品名]]), "00")</f>
        <v/>
      </c>
      <c r="E906" s="167" t="n"/>
      <c r="F906" s="167">
        <f>IF(COUNTIFS($C$3:C906,商品マスタ[[#This Row],[仕入先]],$E$3:E906,商品マスタ[[#This Row],[商品名]]) = 1, 1,0)</f>
        <v/>
      </c>
      <c r="G906" s="133">
        <f>TEXT(SUMIF($C$3:C906,商品マスタ[[#This Row],[仕入先]],$F$3:F906), "0000")</f>
        <v/>
      </c>
      <c r="H906" s="167" t="n"/>
      <c r="I906" s="167" t="n"/>
      <c r="J906" s="167" t="n"/>
      <c r="K906" s="167" t="n"/>
      <c r="L906" s="289" t="n"/>
      <c r="M906" s="157" t="n"/>
      <c r="N906" s="289" t="n"/>
      <c r="O906" s="290">
        <f>IF(COUNT(商品マスタ[[#This Row],[参考上代
（税込)]]) &gt; 0, (商品マスタ[[#This Row],[参考上代
（税込)]]-商品マスタ[[#This Row],[国内定価
（15％）]])/(商品マスタ[[#This Row],[参考上代
（税込)]]/1.08), "")</f>
        <v/>
      </c>
      <c r="P906" s="136" t="n">
        <v>0.1</v>
      </c>
      <c r="Q906" s="289">
        <f>商品マスタ[[#This Row],[仕入
単価]]*商品マスタ[[#This Row],[標準国内送料率]]</f>
        <v/>
      </c>
      <c r="R906" s="289" t="n"/>
      <c r="S906" s="289">
        <f>IF(ISBLANK(商品マスタ[[#This Row],[実績
国内送料]]),商品マスタ[[#This Row],[標準国内送料]],)</f>
        <v/>
      </c>
      <c r="T906" s="289">
        <f>商品マスタ[[#This Row],[仕入
単価]]+商品マスタ[[#This Row],[国内送料]]</f>
        <v/>
      </c>
      <c r="U906" s="289">
        <f>ROUNDUP(商品マスタ[[#This Row],[仕入単価+国内送料]]/0.8,-1)</f>
        <v/>
      </c>
      <c r="V906" s="289">
        <f>商品マスタ[[#This Row],[海外定価
（20％）]]-商品マスタ[[#This Row],[仕入単価+国内送料]]</f>
        <v/>
      </c>
      <c r="W906" s="167">
        <f>ROUNDUP(商品マスタ[[#This Row],[仕入単価+国内送料]]/0.85,-1)</f>
        <v/>
      </c>
      <c r="X906" s="289">
        <f>商品マスタ[[#This Row],[国内定価
（15％）]]-商品マスタ[[#This Row],[仕入単価+国内送料]]</f>
        <v/>
      </c>
      <c r="Y906" s="139" t="n"/>
      <c r="Z906" s="167" t="n"/>
      <c r="AA906" s="167" t="n"/>
      <c r="AB906" s="167" t="n"/>
      <c r="AC906" s="293" t="n"/>
      <c r="AD906" s="167" t="n"/>
      <c r="AE906" s="167" t="n"/>
      <c r="AF906" s="167" t="n"/>
      <c r="AG906" s="144" t="n"/>
    </row>
    <row r="907" ht="18" customHeight="1" s="207">
      <c r="A907" s="166" t="n"/>
      <c r="B907" s="167" t="n"/>
      <c r="C907" s="167" t="n"/>
      <c r="D907" s="143">
        <f>"PRD_SNJ_"&amp;
_xlfn.XLOOKUP(商品マスタ[[#This Row],[仕入先]],テーブル1[仕入先名],テーブル1[仕入先コード],"XXX",0,1)&amp;
"_"&amp;
商品マスタ[[#This Row],[シリアル]]&amp;
"_"&amp;
TEXT(COUNTIFS(商品マスタ!$C$3:C907,商品マスタ[[#This Row],[仕入先]],商品マスタ!$E$3:E907,商品マスタ[[#This Row],[商品名]]), "00")</f>
        <v/>
      </c>
      <c r="E907" s="167" t="n"/>
      <c r="F907" s="167">
        <f>IF(COUNTIFS($C$3:C907,商品マスタ[[#This Row],[仕入先]],$E$3:E907,商品マスタ[[#This Row],[商品名]]) = 1, 1,0)</f>
        <v/>
      </c>
      <c r="G907" s="133">
        <f>TEXT(SUMIF($C$3:C907,商品マスタ[[#This Row],[仕入先]],$F$3:F907), "0000")</f>
        <v/>
      </c>
      <c r="H907" s="167" t="n"/>
      <c r="I907" s="167" t="n"/>
      <c r="J907" s="167" t="n"/>
      <c r="K907" s="167" t="n"/>
      <c r="L907" s="289" t="n"/>
      <c r="M907" s="157" t="n"/>
      <c r="N907" s="289" t="n"/>
      <c r="O907" s="290">
        <f>IF(COUNT(商品マスタ[[#This Row],[参考上代
（税込)]]) &gt; 0, (商品マスタ[[#This Row],[参考上代
（税込)]]-商品マスタ[[#This Row],[国内定価
（15％）]])/(商品マスタ[[#This Row],[参考上代
（税込)]]/1.08), "")</f>
        <v/>
      </c>
      <c r="P907" s="136" t="n">
        <v>0.1</v>
      </c>
      <c r="Q907" s="289">
        <f>商品マスタ[[#This Row],[仕入
単価]]*商品マスタ[[#This Row],[標準国内送料率]]</f>
        <v/>
      </c>
      <c r="R907" s="289" t="n"/>
      <c r="S907" s="289">
        <f>IF(ISBLANK(商品マスタ[[#This Row],[実績
国内送料]]),商品マスタ[[#This Row],[標準国内送料]],)</f>
        <v/>
      </c>
      <c r="T907" s="289">
        <f>商品マスタ[[#This Row],[仕入
単価]]+商品マスタ[[#This Row],[国内送料]]</f>
        <v/>
      </c>
      <c r="U907" s="289">
        <f>ROUNDUP(商品マスタ[[#This Row],[仕入単価+国内送料]]/0.8,-1)</f>
        <v/>
      </c>
      <c r="V907" s="289">
        <f>商品マスタ[[#This Row],[海外定価
（20％）]]-商品マスタ[[#This Row],[仕入単価+国内送料]]</f>
        <v/>
      </c>
      <c r="W907" s="167">
        <f>ROUNDUP(商品マスタ[[#This Row],[仕入単価+国内送料]]/0.85,-1)</f>
        <v/>
      </c>
      <c r="X907" s="289">
        <f>商品マスタ[[#This Row],[国内定価
（15％）]]-商品マスタ[[#This Row],[仕入単価+国内送料]]</f>
        <v/>
      </c>
      <c r="Y907" s="139" t="n"/>
      <c r="Z907" s="167" t="n"/>
      <c r="AA907" s="167" t="n"/>
      <c r="AB907" s="167" t="n"/>
      <c r="AC907" s="293" t="n"/>
      <c r="AD907" s="167" t="n"/>
      <c r="AE907" s="167" t="n"/>
      <c r="AF907" s="167" t="n"/>
      <c r="AG907" s="144" t="n"/>
    </row>
    <row r="908" ht="18" customHeight="1" s="207">
      <c r="A908" s="166" t="n"/>
      <c r="B908" s="167" t="n"/>
      <c r="C908" s="167" t="n"/>
      <c r="D908" s="143">
        <f>"PRD_SNJ_"&amp;
_xlfn.XLOOKUP(商品マスタ[[#This Row],[仕入先]],テーブル1[仕入先名],テーブル1[仕入先コード],"XXX",0,1)&amp;
"_"&amp;
商品マスタ[[#This Row],[シリアル]]&amp;
"_"&amp;
TEXT(COUNTIFS(商品マスタ!$C$3:C908,商品マスタ[[#This Row],[仕入先]],商品マスタ!$E$3:E908,商品マスタ[[#This Row],[商品名]]), "00")</f>
        <v/>
      </c>
      <c r="E908" s="167" t="n"/>
      <c r="F908" s="167">
        <f>IF(COUNTIFS($C$3:C908,商品マスタ[[#This Row],[仕入先]],$E$3:E908,商品マスタ[[#This Row],[商品名]]) = 1, 1,0)</f>
        <v/>
      </c>
      <c r="G908" s="133">
        <f>TEXT(SUMIF($C$3:C908,商品マスタ[[#This Row],[仕入先]],$F$3:F908), "0000")</f>
        <v/>
      </c>
      <c r="H908" s="167" t="n"/>
      <c r="I908" s="167" t="n"/>
      <c r="J908" s="167" t="n"/>
      <c r="K908" s="167" t="n"/>
      <c r="L908" s="289" t="n"/>
      <c r="M908" s="157" t="n"/>
      <c r="N908" s="289" t="n"/>
      <c r="O908" s="290">
        <f>IF(COUNT(商品マスタ[[#This Row],[参考上代
（税込)]]) &gt; 0, (商品マスタ[[#This Row],[参考上代
（税込)]]-商品マスタ[[#This Row],[国内定価
（15％）]])/(商品マスタ[[#This Row],[参考上代
（税込)]]/1.08), "")</f>
        <v/>
      </c>
      <c r="P908" s="136" t="n">
        <v>0.1</v>
      </c>
      <c r="Q908" s="289">
        <f>商品マスタ[[#This Row],[仕入
単価]]*商品マスタ[[#This Row],[標準国内送料率]]</f>
        <v/>
      </c>
      <c r="R908" s="289" t="n"/>
      <c r="S908" s="289">
        <f>IF(ISBLANK(商品マスタ[[#This Row],[実績
国内送料]]),商品マスタ[[#This Row],[標準国内送料]],)</f>
        <v/>
      </c>
      <c r="T908" s="289">
        <f>商品マスタ[[#This Row],[仕入
単価]]+商品マスタ[[#This Row],[国内送料]]</f>
        <v/>
      </c>
      <c r="U908" s="289">
        <f>ROUNDUP(商品マスタ[[#This Row],[仕入単価+国内送料]]/0.8,-1)</f>
        <v/>
      </c>
      <c r="V908" s="289">
        <f>商品マスタ[[#This Row],[海外定価
（20％）]]-商品マスタ[[#This Row],[仕入単価+国内送料]]</f>
        <v/>
      </c>
      <c r="W908" s="167">
        <f>ROUNDUP(商品マスタ[[#This Row],[仕入単価+国内送料]]/0.85,-1)</f>
        <v/>
      </c>
      <c r="X908" s="289">
        <f>商品マスタ[[#This Row],[国内定価
（15％）]]-商品マスタ[[#This Row],[仕入単価+国内送料]]</f>
        <v/>
      </c>
      <c r="Y908" s="139" t="n"/>
      <c r="Z908" s="167" t="n"/>
      <c r="AA908" s="167" t="n"/>
      <c r="AB908" s="167" t="n"/>
      <c r="AC908" s="293" t="n"/>
      <c r="AD908" s="167" t="n"/>
      <c r="AE908" s="167" t="n"/>
      <c r="AF908" s="167" t="n"/>
      <c r="AG908" s="144" t="n"/>
    </row>
    <row r="909" ht="18" customHeight="1" s="207">
      <c r="A909" s="166" t="n"/>
      <c r="B909" s="167" t="n"/>
      <c r="C909" s="167" t="n"/>
      <c r="D909" s="143">
        <f>"PRD_SNJ_"&amp;
_xlfn.XLOOKUP(商品マスタ[[#This Row],[仕入先]],テーブル1[仕入先名],テーブル1[仕入先コード],"XXX",0,1)&amp;
"_"&amp;
商品マスタ[[#This Row],[シリアル]]&amp;
"_"&amp;
TEXT(COUNTIFS(商品マスタ!$C$3:C909,商品マスタ[[#This Row],[仕入先]],商品マスタ!$E$3:E909,商品マスタ[[#This Row],[商品名]]), "00")</f>
        <v/>
      </c>
      <c r="E909" s="167" t="n"/>
      <c r="F909" s="167">
        <f>IF(COUNTIFS($C$3:C909,商品マスタ[[#This Row],[仕入先]],$E$3:E909,商品マスタ[[#This Row],[商品名]]) = 1, 1,0)</f>
        <v/>
      </c>
      <c r="G909" s="133">
        <f>TEXT(SUMIF($C$3:C909,商品マスタ[[#This Row],[仕入先]],$F$3:F909), "0000")</f>
        <v/>
      </c>
      <c r="H909" s="167" t="n"/>
      <c r="I909" s="167" t="n"/>
      <c r="J909" s="167" t="n"/>
      <c r="K909" s="167" t="n"/>
      <c r="L909" s="289" t="n"/>
      <c r="M909" s="157" t="n"/>
      <c r="N909" s="289" t="n"/>
      <c r="O909" s="290">
        <f>IF(COUNT(商品マスタ[[#This Row],[参考上代
（税込)]]) &gt; 0, (商品マスタ[[#This Row],[参考上代
（税込)]]-商品マスタ[[#This Row],[国内定価
（15％）]])/(商品マスタ[[#This Row],[参考上代
（税込)]]/1.08), "")</f>
        <v/>
      </c>
      <c r="P909" s="136" t="n">
        <v>0.1</v>
      </c>
      <c r="Q909" s="289">
        <f>商品マスタ[[#This Row],[仕入
単価]]*商品マスタ[[#This Row],[標準国内送料率]]</f>
        <v/>
      </c>
      <c r="R909" s="289" t="n"/>
      <c r="S909" s="289">
        <f>IF(ISBLANK(商品マスタ[[#This Row],[実績
国内送料]]),商品マスタ[[#This Row],[標準国内送料]],)</f>
        <v/>
      </c>
      <c r="T909" s="289">
        <f>商品マスタ[[#This Row],[仕入
単価]]+商品マスタ[[#This Row],[国内送料]]</f>
        <v/>
      </c>
      <c r="U909" s="289">
        <f>ROUNDUP(商品マスタ[[#This Row],[仕入単価+国内送料]]/0.8,-1)</f>
        <v/>
      </c>
      <c r="V909" s="289">
        <f>商品マスタ[[#This Row],[海外定価
（20％）]]-商品マスタ[[#This Row],[仕入単価+国内送料]]</f>
        <v/>
      </c>
      <c r="W909" s="167">
        <f>ROUNDUP(商品マスタ[[#This Row],[仕入単価+国内送料]]/0.85,-1)</f>
        <v/>
      </c>
      <c r="X909" s="289">
        <f>商品マスタ[[#This Row],[国内定価
（15％）]]-商品マスタ[[#This Row],[仕入単価+国内送料]]</f>
        <v/>
      </c>
      <c r="Y909" s="139" t="n"/>
      <c r="Z909" s="167" t="n"/>
      <c r="AA909" s="167" t="n"/>
      <c r="AB909" s="167" t="n"/>
      <c r="AC909" s="293" t="n"/>
      <c r="AD909" s="167" t="n"/>
      <c r="AE909" s="167" t="n"/>
      <c r="AF909" s="158" t="n"/>
      <c r="AG909" s="144" t="n"/>
    </row>
    <row r="910" ht="18" customHeight="1" s="207">
      <c r="A910" s="166" t="n"/>
      <c r="B910" s="167" t="n"/>
      <c r="C910" s="167" t="n"/>
      <c r="D910" s="143">
        <f>"PRD_SNJ_"&amp;
_xlfn.XLOOKUP(商品マスタ[[#This Row],[仕入先]],テーブル1[仕入先名],テーブル1[仕入先コード],"XXX",0,1)&amp;
"_"&amp;
商品マスタ[[#This Row],[シリアル]]&amp;
"_"&amp;
TEXT(COUNTIFS(商品マスタ!$C$3:C910,商品マスタ[[#This Row],[仕入先]],商品マスタ!$E$3:E910,商品マスタ[[#This Row],[商品名]]), "00")</f>
        <v/>
      </c>
      <c r="E910" s="167" t="n"/>
      <c r="F910" s="167">
        <f>IF(COUNTIFS($C$3:C910,商品マスタ[[#This Row],[仕入先]],$E$3:E910,商品マスタ[[#This Row],[商品名]]) = 1, 1,0)</f>
        <v/>
      </c>
      <c r="G910" s="133">
        <f>TEXT(SUMIF($C$3:C910,商品マスタ[[#This Row],[仕入先]],$F$3:F910), "0000")</f>
        <v/>
      </c>
      <c r="H910" s="167" t="n"/>
      <c r="I910" s="167" t="n"/>
      <c r="J910" s="167" t="n"/>
      <c r="K910" s="167" t="n"/>
      <c r="L910" s="289" t="n"/>
      <c r="M910" s="157" t="n"/>
      <c r="N910" s="289" t="n"/>
      <c r="O910" s="290">
        <f>IF(COUNT(商品マスタ[[#This Row],[参考上代
（税込)]]) &gt; 0, (商品マスタ[[#This Row],[参考上代
（税込)]]-商品マスタ[[#This Row],[国内定価
（15％）]])/(商品マスタ[[#This Row],[参考上代
（税込)]]/1.08), "")</f>
        <v/>
      </c>
      <c r="P910" s="136" t="n">
        <v>0.1</v>
      </c>
      <c r="Q910" s="289">
        <f>商品マスタ[[#This Row],[仕入
単価]]*商品マスタ[[#This Row],[標準国内送料率]]</f>
        <v/>
      </c>
      <c r="R910" s="289" t="n"/>
      <c r="S910" s="289">
        <f>IF(ISBLANK(商品マスタ[[#This Row],[実績
国内送料]]),商品マスタ[[#This Row],[標準国内送料]],)</f>
        <v/>
      </c>
      <c r="T910" s="289">
        <f>商品マスタ[[#This Row],[仕入
単価]]+商品マスタ[[#This Row],[国内送料]]</f>
        <v/>
      </c>
      <c r="U910" s="289">
        <f>ROUNDUP(商品マスタ[[#This Row],[仕入単価+国内送料]]/0.8,-1)</f>
        <v/>
      </c>
      <c r="V910" s="289">
        <f>商品マスタ[[#This Row],[海外定価
（20％）]]-商品マスタ[[#This Row],[仕入単価+国内送料]]</f>
        <v/>
      </c>
      <c r="W910" s="167">
        <f>ROUNDUP(商品マスタ[[#This Row],[仕入単価+国内送料]]/0.85,-1)</f>
        <v/>
      </c>
      <c r="X910" s="289">
        <f>商品マスタ[[#This Row],[国内定価
（15％）]]-商品マスタ[[#This Row],[仕入単価+国内送料]]</f>
        <v/>
      </c>
      <c r="Y910" s="139" t="n"/>
      <c r="Z910" s="167" t="n"/>
      <c r="AA910" s="167" t="n"/>
      <c r="AB910" s="167" t="n"/>
      <c r="AC910" s="293" t="n"/>
      <c r="AD910" s="167" t="n"/>
      <c r="AE910" s="167" t="n"/>
      <c r="AF910" s="158" t="n"/>
      <c r="AG910" s="144" t="n"/>
    </row>
    <row r="911" ht="18" customHeight="1" s="207">
      <c r="A911" s="166" t="n"/>
      <c r="B911" s="167" t="n"/>
      <c r="C911" s="167" t="n"/>
      <c r="D911" s="143">
        <f>"PRD_SNJ_"&amp;
_xlfn.XLOOKUP(商品マスタ[[#This Row],[仕入先]],テーブル1[仕入先名],テーブル1[仕入先コード],"XXX",0,1)&amp;
"_"&amp;
商品マスタ[[#This Row],[シリアル]]&amp;
"_"&amp;
TEXT(COUNTIFS(商品マスタ!$C$3:C911,商品マスタ[[#This Row],[仕入先]],商品マスタ!$E$3:E911,商品マスタ[[#This Row],[商品名]]), "00")</f>
        <v/>
      </c>
      <c r="E911" s="167" t="n"/>
      <c r="F911" s="167">
        <f>IF(COUNTIFS($C$3:C911,商品マスタ[[#This Row],[仕入先]],$E$3:E911,商品マスタ[[#This Row],[商品名]]) = 1, 1,0)</f>
        <v/>
      </c>
      <c r="G911" s="133">
        <f>TEXT(SUMIF($C$3:C911,商品マスタ[[#This Row],[仕入先]],$F$3:F911), "0000")</f>
        <v/>
      </c>
      <c r="H911" s="167" t="n"/>
      <c r="I911" s="167" t="n"/>
      <c r="J911" s="167" t="n"/>
      <c r="K911" s="167" t="n"/>
      <c r="L911" s="289" t="n"/>
      <c r="M911" s="157" t="n"/>
      <c r="N911" s="289" t="n"/>
      <c r="O911" s="290">
        <f>IF(COUNT(商品マスタ[[#This Row],[参考上代
（税込)]]) &gt; 0, (商品マスタ[[#This Row],[参考上代
（税込)]]-商品マスタ[[#This Row],[国内定価
（15％）]])/(商品マスタ[[#This Row],[参考上代
（税込)]]/1.08), "")</f>
        <v/>
      </c>
      <c r="P911" s="136" t="n">
        <v>0.1</v>
      </c>
      <c r="Q911" s="289">
        <f>商品マスタ[[#This Row],[仕入
単価]]*商品マスタ[[#This Row],[標準国内送料率]]</f>
        <v/>
      </c>
      <c r="R911" s="289" t="n"/>
      <c r="S911" s="289">
        <f>IF(ISBLANK(商品マスタ[[#This Row],[実績
国内送料]]),商品マスタ[[#This Row],[標準国内送料]],)</f>
        <v/>
      </c>
      <c r="T911" s="289">
        <f>商品マスタ[[#This Row],[仕入
単価]]+商品マスタ[[#This Row],[国内送料]]</f>
        <v/>
      </c>
      <c r="U911" s="289">
        <f>ROUNDUP(商品マスタ[[#This Row],[仕入単価+国内送料]]/0.8,-1)</f>
        <v/>
      </c>
      <c r="V911" s="289">
        <f>商品マスタ[[#This Row],[海外定価
（20％）]]-商品マスタ[[#This Row],[仕入単価+国内送料]]</f>
        <v/>
      </c>
      <c r="W911" s="167">
        <f>ROUNDUP(商品マスタ[[#This Row],[仕入単価+国内送料]]/0.85,-1)</f>
        <v/>
      </c>
      <c r="X911" s="289">
        <f>商品マスタ[[#This Row],[国内定価
（15％）]]-商品マスタ[[#This Row],[仕入単価+国内送料]]</f>
        <v/>
      </c>
      <c r="Y911" s="139" t="n"/>
      <c r="Z911" s="167" t="n"/>
      <c r="AA911" s="167" t="n"/>
      <c r="AB911" s="167" t="n"/>
      <c r="AC911" s="293" t="n"/>
      <c r="AD911" s="167" t="n"/>
      <c r="AE911" s="167" t="n"/>
      <c r="AF911" s="158" t="n"/>
      <c r="AG911" s="144" t="n"/>
    </row>
    <row r="912" ht="18" customHeight="1" s="207">
      <c r="A912" s="166" t="n"/>
      <c r="B912" s="167" t="n"/>
      <c r="C912" s="167" t="n"/>
      <c r="D912" s="143">
        <f>"PRD_SNJ_"&amp;
_xlfn.XLOOKUP(商品マスタ[[#This Row],[仕入先]],テーブル1[仕入先名],テーブル1[仕入先コード],"XXX",0,1)&amp;
"_"&amp;
商品マスタ[[#This Row],[シリアル]]&amp;
"_"&amp;
TEXT(COUNTIFS(商品マスタ!$C$3:C912,商品マスタ[[#This Row],[仕入先]],商品マスタ!$E$3:E912,商品マスタ[[#This Row],[商品名]]), "00")</f>
        <v/>
      </c>
      <c r="E912" s="167" t="n"/>
      <c r="F912" s="167">
        <f>IF(COUNTIFS($C$3:C912,商品マスタ[[#This Row],[仕入先]],$E$3:E912,商品マスタ[[#This Row],[商品名]]) = 1, 1,0)</f>
        <v/>
      </c>
      <c r="G912" s="133">
        <f>TEXT(SUMIF($C$3:C912,商品マスタ[[#This Row],[仕入先]],$F$3:F912), "0000")</f>
        <v/>
      </c>
      <c r="H912" s="167" t="n"/>
      <c r="I912" s="167" t="n"/>
      <c r="J912" s="167" t="n"/>
      <c r="K912" s="167" t="n"/>
      <c r="L912" s="289" t="n"/>
      <c r="M912" s="157" t="n"/>
      <c r="N912" s="289" t="n"/>
      <c r="O912" s="290">
        <f>IF(COUNT(商品マスタ[[#This Row],[参考上代
（税込)]]) &gt; 0, (商品マスタ[[#This Row],[参考上代
（税込)]]-商品マスタ[[#This Row],[国内定価
（15％）]])/(商品マスタ[[#This Row],[参考上代
（税込)]]/1.08), "")</f>
        <v/>
      </c>
      <c r="P912" s="136" t="n">
        <v>0.1</v>
      </c>
      <c r="Q912" s="289">
        <f>商品マスタ[[#This Row],[仕入
単価]]*商品マスタ[[#This Row],[標準国内送料率]]</f>
        <v/>
      </c>
      <c r="R912" s="289" t="n"/>
      <c r="S912" s="289">
        <f>IF(ISBLANK(商品マスタ[[#This Row],[実績
国内送料]]),商品マスタ[[#This Row],[標準国内送料]],)</f>
        <v/>
      </c>
      <c r="T912" s="289">
        <f>商品マスタ[[#This Row],[仕入
単価]]+商品マスタ[[#This Row],[国内送料]]</f>
        <v/>
      </c>
      <c r="U912" s="289">
        <f>ROUNDUP(商品マスタ[[#This Row],[仕入単価+国内送料]]/0.8,-1)</f>
        <v/>
      </c>
      <c r="V912" s="289">
        <f>商品マスタ[[#This Row],[海外定価
（20％）]]-商品マスタ[[#This Row],[仕入単価+国内送料]]</f>
        <v/>
      </c>
      <c r="W912" s="167">
        <f>ROUNDUP(商品マスタ[[#This Row],[仕入単価+国内送料]]/0.85,-1)</f>
        <v/>
      </c>
      <c r="X912" s="289">
        <f>商品マスタ[[#This Row],[国内定価
（15％）]]-商品マスタ[[#This Row],[仕入単価+国内送料]]</f>
        <v/>
      </c>
      <c r="Y912" s="139" t="n"/>
      <c r="Z912" s="167" t="n"/>
      <c r="AA912" s="167" t="n"/>
      <c r="AB912" s="167" t="n"/>
      <c r="AC912" s="293" t="n"/>
      <c r="AD912" s="167" t="n"/>
      <c r="AE912" s="167" t="n"/>
      <c r="AF912" s="158" t="n"/>
      <c r="AG912" s="144" t="n"/>
    </row>
    <row r="913" ht="18" customHeight="1" s="207">
      <c r="A913" s="166" t="n"/>
      <c r="B913" s="167" t="n"/>
      <c r="C913" s="167" t="n"/>
      <c r="D913" s="143">
        <f>"PRD_SNJ_"&amp;
_xlfn.XLOOKUP(商品マスタ[[#This Row],[仕入先]],テーブル1[仕入先名],テーブル1[仕入先コード],"XXX",0,1)&amp;
"_"&amp;
商品マスタ[[#This Row],[シリアル]]&amp;
"_"&amp;
TEXT(COUNTIFS(商品マスタ!$C$3:C913,商品マスタ[[#This Row],[仕入先]],商品マスタ!$E$3:E913,商品マスタ[[#This Row],[商品名]]), "00")</f>
        <v/>
      </c>
      <c r="E913" s="167" t="n"/>
      <c r="F913" s="167">
        <f>IF(COUNTIFS($C$3:C913,商品マスタ[[#This Row],[仕入先]],$E$3:E913,商品マスタ[[#This Row],[商品名]]) = 1, 1,0)</f>
        <v/>
      </c>
      <c r="G913" s="133">
        <f>TEXT(SUMIF($C$3:C913,商品マスタ[[#This Row],[仕入先]],$F$3:F913), "0000")</f>
        <v/>
      </c>
      <c r="H913" s="167" t="n"/>
      <c r="I913" s="167" t="n"/>
      <c r="J913" s="167" t="n"/>
      <c r="K913" s="167" t="n"/>
      <c r="L913" s="289" t="n"/>
      <c r="M913" s="157" t="n"/>
      <c r="N913" s="289" t="n"/>
      <c r="O913" s="290">
        <f>IF(COUNT(商品マスタ[[#This Row],[参考上代
（税込)]]) &gt; 0, (商品マスタ[[#This Row],[参考上代
（税込)]]-商品マスタ[[#This Row],[国内定価
（15％）]])/(商品マスタ[[#This Row],[参考上代
（税込)]]/1.08), "")</f>
        <v/>
      </c>
      <c r="P913" s="136" t="n">
        <v>0.1</v>
      </c>
      <c r="Q913" s="289">
        <f>商品マスタ[[#This Row],[仕入
単価]]*商品マスタ[[#This Row],[標準国内送料率]]</f>
        <v/>
      </c>
      <c r="R913" s="289" t="n"/>
      <c r="S913" s="289">
        <f>IF(ISBLANK(商品マスタ[[#This Row],[実績
国内送料]]),商品マスタ[[#This Row],[標準国内送料]],)</f>
        <v/>
      </c>
      <c r="T913" s="289">
        <f>商品マスタ[[#This Row],[仕入
単価]]+商品マスタ[[#This Row],[国内送料]]</f>
        <v/>
      </c>
      <c r="U913" s="289">
        <f>ROUNDUP(商品マスタ[[#This Row],[仕入単価+国内送料]]/0.8,-1)</f>
        <v/>
      </c>
      <c r="V913" s="289">
        <f>商品マスタ[[#This Row],[海外定価
（20％）]]-商品マスタ[[#This Row],[仕入単価+国内送料]]</f>
        <v/>
      </c>
      <c r="W913" s="167">
        <f>ROUNDUP(商品マスタ[[#This Row],[仕入単価+国内送料]]/0.85,-1)</f>
        <v/>
      </c>
      <c r="X913" s="289">
        <f>商品マスタ[[#This Row],[国内定価
（15％）]]-商品マスタ[[#This Row],[仕入単価+国内送料]]</f>
        <v/>
      </c>
      <c r="Y913" s="139" t="n"/>
      <c r="Z913" s="167" t="n"/>
      <c r="AA913" s="167" t="n"/>
      <c r="AB913" s="167" t="n"/>
      <c r="AC913" s="293" t="n"/>
      <c r="AD913" s="167" t="n"/>
      <c r="AE913" s="167" t="n"/>
      <c r="AF913" s="158" t="n"/>
      <c r="AG913" s="144" t="n"/>
    </row>
    <row r="914" ht="18" customHeight="1" s="207">
      <c r="A914" s="166" t="n"/>
      <c r="B914" s="167" t="n"/>
      <c r="C914" s="167" t="n"/>
      <c r="D914" s="143">
        <f>"PRD_SNJ_"&amp;
_xlfn.XLOOKUP(商品マスタ[[#This Row],[仕入先]],テーブル1[仕入先名],テーブル1[仕入先コード],"XXX",0,1)&amp;
"_"&amp;
商品マスタ[[#This Row],[シリアル]]&amp;
"_"&amp;
TEXT(COUNTIFS(商品マスタ!$C$3:C914,商品マスタ[[#This Row],[仕入先]],商品マスタ!$E$3:E914,商品マスタ[[#This Row],[商品名]]), "00")</f>
        <v/>
      </c>
      <c r="E914" s="167" t="n"/>
      <c r="F914" s="167">
        <f>IF(COUNTIFS($C$3:C914,商品マスタ[[#This Row],[仕入先]],$E$3:E914,商品マスタ[[#This Row],[商品名]]) = 1, 1,0)</f>
        <v/>
      </c>
      <c r="G914" s="133">
        <f>TEXT(SUMIF($C$3:C914,商品マスタ[[#This Row],[仕入先]],$F$3:F914), "0000")</f>
        <v/>
      </c>
      <c r="H914" s="167" t="n"/>
      <c r="I914" s="167" t="n"/>
      <c r="J914" s="167" t="n"/>
      <c r="K914" s="167" t="n"/>
      <c r="L914" s="289" t="n"/>
      <c r="M914" s="157" t="n"/>
      <c r="N914" s="289" t="n"/>
      <c r="O914" s="290">
        <f>IF(COUNT(商品マスタ[[#This Row],[参考上代
（税込)]]) &gt; 0, (商品マスタ[[#This Row],[参考上代
（税込)]]-商品マスタ[[#This Row],[国内定価
（15％）]])/(商品マスタ[[#This Row],[参考上代
（税込)]]/1.08), "")</f>
        <v/>
      </c>
      <c r="P914" s="136" t="n">
        <v>0.1</v>
      </c>
      <c r="Q914" s="289">
        <f>商品マスタ[[#This Row],[仕入
単価]]*商品マスタ[[#This Row],[標準国内送料率]]</f>
        <v/>
      </c>
      <c r="R914" s="289" t="n"/>
      <c r="S914" s="289">
        <f>IF(ISBLANK(商品マスタ[[#This Row],[実績
国内送料]]),商品マスタ[[#This Row],[標準国内送料]],)</f>
        <v/>
      </c>
      <c r="T914" s="289">
        <f>商品マスタ[[#This Row],[仕入
単価]]+商品マスタ[[#This Row],[国内送料]]</f>
        <v/>
      </c>
      <c r="U914" s="289">
        <f>ROUNDUP(商品マスタ[[#This Row],[仕入単価+国内送料]]/0.8,-1)</f>
        <v/>
      </c>
      <c r="V914" s="289">
        <f>商品マスタ[[#This Row],[海外定価
（20％）]]-商品マスタ[[#This Row],[仕入単価+国内送料]]</f>
        <v/>
      </c>
      <c r="W914" s="167">
        <f>ROUNDUP(商品マスタ[[#This Row],[仕入単価+国内送料]]/0.85,-1)</f>
        <v/>
      </c>
      <c r="X914" s="289">
        <f>商品マスタ[[#This Row],[国内定価
（15％）]]-商品マスタ[[#This Row],[仕入単価+国内送料]]</f>
        <v/>
      </c>
      <c r="Y914" s="139" t="n"/>
      <c r="Z914" s="167" t="n"/>
      <c r="AA914" s="167" t="n"/>
      <c r="AB914" s="167" t="n"/>
      <c r="AC914" s="293" t="n"/>
      <c r="AD914" s="167" t="n"/>
      <c r="AE914" s="167" t="n"/>
      <c r="AF914" s="158" t="n"/>
      <c r="AG914" s="144" t="n"/>
    </row>
    <row r="915" ht="18" customHeight="1" s="207">
      <c r="A915" s="166" t="n"/>
      <c r="B915" s="167" t="n"/>
      <c r="C915" s="167" t="n"/>
      <c r="D915" s="143">
        <f>"PRD_SNJ_"&amp;
_xlfn.XLOOKUP(商品マスタ[[#This Row],[仕入先]],テーブル1[仕入先名],テーブル1[仕入先コード],"XXX",0,1)&amp;
"_"&amp;
商品マスタ[[#This Row],[シリアル]]&amp;
"_"&amp;
TEXT(COUNTIFS(商品マスタ!$C$3:C915,商品マスタ[[#This Row],[仕入先]],商品マスタ!$E$3:E915,商品マスタ[[#This Row],[商品名]]), "00")</f>
        <v/>
      </c>
      <c r="E915" s="167" t="n"/>
      <c r="F915" s="167">
        <f>IF(COUNTIFS($C$3:C915,商品マスタ[[#This Row],[仕入先]],$E$3:E915,商品マスタ[[#This Row],[商品名]]) = 1, 1,0)</f>
        <v/>
      </c>
      <c r="G915" s="133">
        <f>TEXT(SUMIF($C$3:C915,商品マスタ[[#This Row],[仕入先]],$F$3:F915), "0000")</f>
        <v/>
      </c>
      <c r="H915" s="167" t="n"/>
      <c r="I915" s="167" t="n"/>
      <c r="J915" s="167" t="n"/>
      <c r="K915" s="167" t="n"/>
      <c r="L915" s="289" t="n"/>
      <c r="M915" s="157" t="n"/>
      <c r="N915" s="289" t="n"/>
      <c r="O915" s="290">
        <f>IF(COUNT(商品マスタ[[#This Row],[参考上代
（税込)]]) &gt; 0, (商品マスタ[[#This Row],[参考上代
（税込)]]-商品マスタ[[#This Row],[国内定価
（15％）]])/(商品マスタ[[#This Row],[参考上代
（税込)]]/1.08), "")</f>
        <v/>
      </c>
      <c r="P915" s="136" t="n">
        <v>0.1</v>
      </c>
      <c r="Q915" s="289">
        <f>商品マスタ[[#This Row],[仕入
単価]]*商品マスタ[[#This Row],[標準国内送料率]]</f>
        <v/>
      </c>
      <c r="R915" s="289" t="n"/>
      <c r="S915" s="289">
        <f>IF(ISBLANK(商品マスタ[[#This Row],[実績
国内送料]]),商品マスタ[[#This Row],[標準国内送料]],)</f>
        <v/>
      </c>
      <c r="T915" s="289">
        <f>商品マスタ[[#This Row],[仕入
単価]]+商品マスタ[[#This Row],[国内送料]]</f>
        <v/>
      </c>
      <c r="U915" s="289">
        <f>ROUNDUP(商品マスタ[[#This Row],[仕入単価+国内送料]]/0.8,-1)</f>
        <v/>
      </c>
      <c r="V915" s="289">
        <f>商品マスタ[[#This Row],[海外定価
（20％）]]-商品マスタ[[#This Row],[仕入単価+国内送料]]</f>
        <v/>
      </c>
      <c r="W915" s="167">
        <f>ROUNDUP(商品マスタ[[#This Row],[仕入単価+国内送料]]/0.85,-1)</f>
        <v/>
      </c>
      <c r="X915" s="289">
        <f>商品マスタ[[#This Row],[国内定価
（15％）]]-商品マスタ[[#This Row],[仕入単価+国内送料]]</f>
        <v/>
      </c>
      <c r="Y915" s="139" t="n"/>
      <c r="Z915" s="167" t="n"/>
      <c r="AA915" s="167" t="n"/>
      <c r="AB915" s="167" t="n"/>
      <c r="AC915" s="293" t="n"/>
      <c r="AD915" s="167" t="n"/>
      <c r="AE915" s="167" t="n"/>
      <c r="AF915" s="158" t="n"/>
      <c r="AG915" s="144" t="n"/>
    </row>
    <row r="916" ht="18" customHeight="1" s="207">
      <c r="A916" s="166" t="n"/>
      <c r="B916" s="167" t="n"/>
      <c r="C916" s="167" t="n"/>
      <c r="D916" s="143">
        <f>"PRD_SNJ_"&amp;
_xlfn.XLOOKUP(商品マスタ[[#This Row],[仕入先]],テーブル1[仕入先名],テーブル1[仕入先コード],"XXX",0,1)&amp;
"_"&amp;
商品マスタ[[#This Row],[シリアル]]&amp;
"_"&amp;
TEXT(COUNTIFS(商品マスタ!$C$3:C916,商品マスタ[[#This Row],[仕入先]],商品マスタ!$E$3:E916,商品マスタ[[#This Row],[商品名]]), "00")</f>
        <v/>
      </c>
      <c r="E916" s="167" t="n"/>
      <c r="F916" s="167">
        <f>IF(COUNTIFS($C$3:C916,商品マスタ[[#This Row],[仕入先]],$E$3:E916,商品マスタ[[#This Row],[商品名]]) = 1, 1,0)</f>
        <v/>
      </c>
      <c r="G916" s="133">
        <f>TEXT(SUMIF($C$3:C916,商品マスタ[[#This Row],[仕入先]],$F$3:F916), "0000")</f>
        <v/>
      </c>
      <c r="H916" s="167" t="n"/>
      <c r="I916" s="167" t="n"/>
      <c r="J916" s="167" t="n"/>
      <c r="K916" s="167" t="n"/>
      <c r="L916" s="289" t="n"/>
      <c r="M916" s="157" t="n"/>
      <c r="N916" s="289" t="n"/>
      <c r="O916" s="290">
        <f>IF(COUNT(商品マスタ[[#This Row],[参考上代
（税込)]]) &gt; 0, (商品マスタ[[#This Row],[参考上代
（税込)]]-商品マスタ[[#This Row],[国内定価
（15％）]])/(商品マスタ[[#This Row],[参考上代
（税込)]]/1.08), "")</f>
        <v/>
      </c>
      <c r="P916" s="136" t="n">
        <v>0.1</v>
      </c>
      <c r="Q916" s="289">
        <f>商品マスタ[[#This Row],[仕入
単価]]*商品マスタ[[#This Row],[標準国内送料率]]</f>
        <v/>
      </c>
      <c r="R916" s="289" t="n"/>
      <c r="S916" s="289">
        <f>IF(ISBLANK(商品マスタ[[#This Row],[実績
国内送料]]),商品マスタ[[#This Row],[標準国内送料]],)</f>
        <v/>
      </c>
      <c r="T916" s="289">
        <f>商品マスタ[[#This Row],[仕入
単価]]+商品マスタ[[#This Row],[国内送料]]</f>
        <v/>
      </c>
      <c r="U916" s="289">
        <f>ROUNDUP(商品マスタ[[#This Row],[仕入単価+国内送料]]/0.8,-1)</f>
        <v/>
      </c>
      <c r="V916" s="289">
        <f>商品マスタ[[#This Row],[海外定価
（20％）]]-商品マスタ[[#This Row],[仕入単価+国内送料]]</f>
        <v/>
      </c>
      <c r="W916" s="167">
        <f>ROUNDUP(商品マスタ[[#This Row],[仕入単価+国内送料]]/0.85,-1)</f>
        <v/>
      </c>
      <c r="X916" s="289">
        <f>商品マスタ[[#This Row],[国内定価
（15％）]]-商品マスタ[[#This Row],[仕入単価+国内送料]]</f>
        <v/>
      </c>
      <c r="Y916" s="139" t="n"/>
      <c r="Z916" s="167" t="n"/>
      <c r="AA916" s="167" t="n"/>
      <c r="AB916" s="167" t="n"/>
      <c r="AC916" s="293" t="n"/>
      <c r="AD916" s="167" t="n"/>
      <c r="AE916" s="167" t="n"/>
      <c r="AF916" s="158" t="n"/>
      <c r="AG916" s="144" t="n"/>
    </row>
    <row r="917" ht="18" customHeight="1" s="207">
      <c r="A917" s="166" t="n"/>
      <c r="B917" s="167" t="n"/>
      <c r="C917" s="167" t="n"/>
      <c r="D917" s="143">
        <f>"PRD_SNJ_"&amp;
_xlfn.XLOOKUP(商品マスタ[[#This Row],[仕入先]],テーブル1[仕入先名],テーブル1[仕入先コード],"XXX",0,1)&amp;
"_"&amp;
商品マスタ[[#This Row],[シリアル]]&amp;
"_"&amp;
TEXT(COUNTIFS(商品マスタ!$C$3:C917,商品マスタ[[#This Row],[仕入先]],商品マスタ!$E$3:E917,商品マスタ[[#This Row],[商品名]]), "00")</f>
        <v/>
      </c>
      <c r="E917" s="167" t="n"/>
      <c r="F917" s="167">
        <f>IF(COUNTIFS($C$3:C917,商品マスタ[[#This Row],[仕入先]],$E$3:E917,商品マスタ[[#This Row],[商品名]]) = 1, 1,0)</f>
        <v/>
      </c>
      <c r="G917" s="133">
        <f>TEXT(SUMIF($C$3:C917,商品マスタ[[#This Row],[仕入先]],$F$3:F917), "0000")</f>
        <v/>
      </c>
      <c r="H917" s="167" t="n"/>
      <c r="I917" s="167" t="n"/>
      <c r="J917" s="167" t="n"/>
      <c r="K917" s="167" t="n"/>
      <c r="L917" s="289" t="n"/>
      <c r="M917" s="157" t="n"/>
      <c r="N917" s="289" t="n"/>
      <c r="O917" s="290">
        <f>IF(COUNT(商品マスタ[[#This Row],[参考上代
（税込)]]) &gt; 0, (商品マスタ[[#This Row],[参考上代
（税込)]]-商品マスタ[[#This Row],[国内定価
（15％）]])/(商品マスタ[[#This Row],[参考上代
（税込)]]/1.08), "")</f>
        <v/>
      </c>
      <c r="P917" s="136" t="n">
        <v>0.1</v>
      </c>
      <c r="Q917" s="289">
        <f>商品マスタ[[#This Row],[仕入
単価]]*商品マスタ[[#This Row],[標準国内送料率]]</f>
        <v/>
      </c>
      <c r="R917" s="289" t="n"/>
      <c r="S917" s="289">
        <f>IF(ISBLANK(商品マスタ[[#This Row],[実績
国内送料]]),商品マスタ[[#This Row],[標準国内送料]],)</f>
        <v/>
      </c>
      <c r="T917" s="289">
        <f>商品マスタ[[#This Row],[仕入
単価]]+商品マスタ[[#This Row],[国内送料]]</f>
        <v/>
      </c>
      <c r="U917" s="289">
        <f>ROUNDUP(商品マスタ[[#This Row],[仕入単価+国内送料]]/0.8,-1)</f>
        <v/>
      </c>
      <c r="V917" s="289">
        <f>商品マスタ[[#This Row],[海外定価
（20％）]]-商品マスタ[[#This Row],[仕入単価+国内送料]]</f>
        <v/>
      </c>
      <c r="W917" s="167">
        <f>ROUNDUP(商品マスタ[[#This Row],[仕入単価+国内送料]]/0.85,-1)</f>
        <v/>
      </c>
      <c r="X917" s="289">
        <f>商品マスタ[[#This Row],[国内定価
（15％）]]-商品マスタ[[#This Row],[仕入単価+国内送料]]</f>
        <v/>
      </c>
      <c r="Y917" s="139" t="n"/>
      <c r="Z917" s="167" t="n"/>
      <c r="AA917" s="167" t="n"/>
      <c r="AB917" s="167" t="n"/>
      <c r="AC917" s="293" t="n"/>
      <c r="AD917" s="167" t="n"/>
      <c r="AE917" s="167" t="n"/>
      <c r="AF917" s="158" t="n"/>
      <c r="AG917" s="144" t="n"/>
    </row>
    <row r="918" ht="18" customHeight="1" s="207">
      <c r="A918" s="166" t="n"/>
      <c r="B918" s="167" t="n"/>
      <c r="C918" s="167" t="n"/>
      <c r="D918" s="143">
        <f>"PRD_SNJ_"&amp;
_xlfn.XLOOKUP(商品マスタ[[#This Row],[仕入先]],テーブル1[仕入先名],テーブル1[仕入先コード],"XXX",0,1)&amp;
"_"&amp;
商品マスタ[[#This Row],[シリアル]]&amp;
"_"&amp;
TEXT(COUNTIFS(商品マスタ!$C$3:C918,商品マスタ[[#This Row],[仕入先]],商品マスタ!$E$3:E918,商品マスタ[[#This Row],[商品名]]), "00")</f>
        <v/>
      </c>
      <c r="E918" s="167" t="n"/>
      <c r="F918" s="167">
        <f>IF(COUNTIFS($C$3:C918,商品マスタ[[#This Row],[仕入先]],$E$3:E918,商品マスタ[[#This Row],[商品名]]) = 1, 1,0)</f>
        <v/>
      </c>
      <c r="G918" s="133">
        <f>TEXT(SUMIF($C$3:C918,商品マスタ[[#This Row],[仕入先]],$F$3:F918), "0000")</f>
        <v/>
      </c>
      <c r="H918" s="167" t="n"/>
      <c r="I918" s="167" t="n"/>
      <c r="J918" s="167" t="n"/>
      <c r="K918" s="167" t="n"/>
      <c r="L918" s="289" t="n"/>
      <c r="M918" s="157" t="n"/>
      <c r="N918" s="289" t="n"/>
      <c r="O918" s="290">
        <f>IF(COUNT(商品マスタ[[#This Row],[参考上代
（税込)]]) &gt; 0, (商品マスタ[[#This Row],[参考上代
（税込)]]-商品マスタ[[#This Row],[国内定価
（15％）]])/(商品マスタ[[#This Row],[参考上代
（税込)]]/1.08), "")</f>
        <v/>
      </c>
      <c r="P918" s="136" t="n">
        <v>0.1</v>
      </c>
      <c r="Q918" s="289">
        <f>商品マスタ[[#This Row],[仕入
単価]]*商品マスタ[[#This Row],[標準国内送料率]]</f>
        <v/>
      </c>
      <c r="R918" s="289" t="n"/>
      <c r="S918" s="289">
        <f>IF(ISBLANK(商品マスタ[[#This Row],[実績
国内送料]]),商品マスタ[[#This Row],[標準国内送料]],)</f>
        <v/>
      </c>
      <c r="T918" s="289">
        <f>商品マスタ[[#This Row],[仕入
単価]]+商品マスタ[[#This Row],[国内送料]]</f>
        <v/>
      </c>
      <c r="U918" s="289">
        <f>ROUNDUP(商品マスタ[[#This Row],[仕入単価+国内送料]]/0.8,-1)</f>
        <v/>
      </c>
      <c r="V918" s="289">
        <f>商品マスタ[[#This Row],[海外定価
（20％）]]-商品マスタ[[#This Row],[仕入単価+国内送料]]</f>
        <v/>
      </c>
      <c r="W918" s="167">
        <f>ROUNDUP(商品マスタ[[#This Row],[仕入単価+国内送料]]/0.85,-1)</f>
        <v/>
      </c>
      <c r="X918" s="289">
        <f>商品マスタ[[#This Row],[国内定価
（15％）]]-商品マスタ[[#This Row],[仕入単価+国内送料]]</f>
        <v/>
      </c>
      <c r="Y918" s="139" t="n"/>
      <c r="Z918" s="167" t="n"/>
      <c r="AA918" s="167" t="n"/>
      <c r="AB918" s="167" t="n"/>
      <c r="AC918" s="293" t="n"/>
      <c r="AD918" s="167" t="n"/>
      <c r="AE918" s="167" t="n"/>
      <c r="AF918" s="158" t="n"/>
      <c r="AG918" s="144" t="n"/>
    </row>
    <row r="919" ht="18" customHeight="1" s="207">
      <c r="A919" s="166" t="n"/>
      <c r="B919" s="167" t="n"/>
      <c r="C919" s="167" t="n"/>
      <c r="D919" s="143">
        <f>"PRD_SNJ_"&amp;
_xlfn.XLOOKUP(商品マスタ[[#This Row],[仕入先]],テーブル1[仕入先名],テーブル1[仕入先コード],"XXX",0,1)&amp;
"_"&amp;
商品マスタ[[#This Row],[シリアル]]&amp;
"_"&amp;
TEXT(COUNTIFS(商品マスタ!$C$3:C919,商品マスタ[[#This Row],[仕入先]],商品マスタ!$E$3:E919,商品マスタ[[#This Row],[商品名]]), "00")</f>
        <v/>
      </c>
      <c r="E919" s="167" t="n"/>
      <c r="F919" s="167">
        <f>IF(COUNTIFS($C$3:C919,商品マスタ[[#This Row],[仕入先]],$E$3:E919,商品マスタ[[#This Row],[商品名]]) = 1, 1,0)</f>
        <v/>
      </c>
      <c r="G919" s="133">
        <f>TEXT(SUMIF($C$3:C919,商品マスタ[[#This Row],[仕入先]],$F$3:F919), "0000")</f>
        <v/>
      </c>
      <c r="H919" s="167" t="n"/>
      <c r="I919" s="167" t="n"/>
      <c r="J919" s="167" t="n"/>
      <c r="K919" s="167" t="n"/>
      <c r="L919" s="289" t="n"/>
      <c r="M919" s="157" t="n"/>
      <c r="N919" s="289" t="n"/>
      <c r="O919" s="290">
        <f>IF(COUNT(商品マスタ[[#This Row],[参考上代
（税込)]]) &gt; 0, (商品マスタ[[#This Row],[参考上代
（税込)]]-商品マスタ[[#This Row],[国内定価
（15％）]])/(商品マスタ[[#This Row],[参考上代
（税込)]]/1.08), "")</f>
        <v/>
      </c>
      <c r="P919" s="136" t="n">
        <v>0.1</v>
      </c>
      <c r="Q919" s="289">
        <f>商品マスタ[[#This Row],[仕入
単価]]*商品マスタ[[#This Row],[標準国内送料率]]</f>
        <v/>
      </c>
      <c r="R919" s="289" t="n"/>
      <c r="S919" s="289">
        <f>IF(ISBLANK(商品マスタ[[#This Row],[実績
国内送料]]),商品マスタ[[#This Row],[標準国内送料]],)</f>
        <v/>
      </c>
      <c r="T919" s="289">
        <f>商品マスタ[[#This Row],[仕入
単価]]+商品マスタ[[#This Row],[国内送料]]</f>
        <v/>
      </c>
      <c r="U919" s="289">
        <f>ROUNDUP(商品マスタ[[#This Row],[仕入単価+国内送料]]/0.8,-1)</f>
        <v/>
      </c>
      <c r="V919" s="289">
        <f>商品マスタ[[#This Row],[海外定価
（20％）]]-商品マスタ[[#This Row],[仕入単価+国内送料]]</f>
        <v/>
      </c>
      <c r="W919" s="167">
        <f>ROUNDUP(商品マスタ[[#This Row],[仕入単価+国内送料]]/0.85,-1)</f>
        <v/>
      </c>
      <c r="X919" s="289">
        <f>商品マスタ[[#This Row],[国内定価
（15％）]]-商品マスタ[[#This Row],[仕入単価+国内送料]]</f>
        <v/>
      </c>
      <c r="Y919" s="139" t="n"/>
      <c r="Z919" s="167" t="n"/>
      <c r="AA919" s="167" t="n"/>
      <c r="AB919" s="167" t="n"/>
      <c r="AC919" s="293" t="n"/>
      <c r="AD919" s="167" t="n"/>
      <c r="AE919" s="167" t="n"/>
      <c r="AF919" s="158" t="n"/>
      <c r="AG919" s="144" t="n"/>
    </row>
    <row r="920" ht="18" customHeight="1" s="207">
      <c r="A920" s="166" t="n"/>
      <c r="B920" s="167" t="n"/>
      <c r="C920" s="167" t="n"/>
      <c r="D920" s="143">
        <f>"PRD_SNJ_"&amp;
_xlfn.XLOOKUP(商品マスタ[[#This Row],[仕入先]],テーブル1[仕入先名],テーブル1[仕入先コード],"XXX",0,1)&amp;
"_"&amp;
商品マスタ[[#This Row],[シリアル]]&amp;
"_"&amp;
TEXT(COUNTIFS(商品マスタ!$C$3:C920,商品マスタ[[#This Row],[仕入先]],商品マスタ!$E$3:E920,商品マスタ[[#This Row],[商品名]]), "00")</f>
        <v/>
      </c>
      <c r="E920" s="167" t="n"/>
      <c r="F920" s="167">
        <f>IF(COUNTIFS($C$3:C920,商品マスタ[[#This Row],[仕入先]],$E$3:E920,商品マスタ[[#This Row],[商品名]]) = 1, 1,0)</f>
        <v/>
      </c>
      <c r="G920" s="133">
        <f>TEXT(SUMIF($C$3:C920,商品マスタ[[#This Row],[仕入先]],$F$3:F920), "0000")</f>
        <v/>
      </c>
      <c r="H920" s="167" t="n"/>
      <c r="I920" s="167" t="n"/>
      <c r="J920" s="167" t="n"/>
      <c r="K920" s="167" t="n"/>
      <c r="L920" s="289" t="n"/>
      <c r="M920" s="157" t="n"/>
      <c r="N920" s="289" t="n"/>
      <c r="O920" s="290">
        <f>IF(COUNT(商品マスタ[[#This Row],[参考上代
（税込)]]) &gt; 0, (商品マスタ[[#This Row],[参考上代
（税込)]]-商品マスタ[[#This Row],[国内定価
（15％）]])/(商品マスタ[[#This Row],[参考上代
（税込)]]/1.08), "")</f>
        <v/>
      </c>
      <c r="P920" s="136" t="n">
        <v>0.1</v>
      </c>
      <c r="Q920" s="289">
        <f>商品マスタ[[#This Row],[仕入
単価]]*商品マスタ[[#This Row],[標準国内送料率]]</f>
        <v/>
      </c>
      <c r="R920" s="289" t="n"/>
      <c r="S920" s="289">
        <f>IF(ISBLANK(商品マスタ[[#This Row],[実績
国内送料]]),商品マスタ[[#This Row],[標準国内送料]],)</f>
        <v/>
      </c>
      <c r="T920" s="289">
        <f>商品マスタ[[#This Row],[仕入
単価]]+商品マスタ[[#This Row],[国内送料]]</f>
        <v/>
      </c>
      <c r="U920" s="289">
        <f>ROUNDUP(商品マスタ[[#This Row],[仕入単価+国内送料]]/0.8,-1)</f>
        <v/>
      </c>
      <c r="V920" s="289">
        <f>商品マスタ[[#This Row],[海外定価
（20％）]]-商品マスタ[[#This Row],[仕入単価+国内送料]]</f>
        <v/>
      </c>
      <c r="W920" s="167">
        <f>ROUNDUP(商品マスタ[[#This Row],[仕入単価+国内送料]]/0.85,-1)</f>
        <v/>
      </c>
      <c r="X920" s="289">
        <f>商品マスタ[[#This Row],[国内定価
（15％）]]-商品マスタ[[#This Row],[仕入単価+国内送料]]</f>
        <v/>
      </c>
      <c r="Y920" s="139" t="n"/>
      <c r="Z920" s="167" t="n"/>
      <c r="AA920" s="167" t="n"/>
      <c r="AB920" s="167" t="n"/>
      <c r="AC920" s="293" t="n"/>
      <c r="AD920" s="167" t="n"/>
      <c r="AE920" s="167" t="n"/>
      <c r="AF920" s="158" t="n"/>
      <c r="AG920" s="144" t="n"/>
    </row>
    <row r="921" ht="18" customHeight="1" s="207">
      <c r="A921" s="166" t="n"/>
      <c r="B921" s="167" t="n"/>
      <c r="C921" s="167" t="n"/>
      <c r="D921" s="143">
        <f>"PRD_SNJ_"&amp;
_xlfn.XLOOKUP(商品マスタ[[#This Row],[仕入先]],テーブル1[仕入先名],テーブル1[仕入先コード],"XXX",0,1)&amp;
"_"&amp;
商品マスタ[[#This Row],[シリアル]]&amp;
"_"&amp;
TEXT(COUNTIFS(商品マスタ!$C$3:C921,商品マスタ[[#This Row],[仕入先]],商品マスタ!$E$3:E921,商品マスタ[[#This Row],[商品名]]), "00")</f>
        <v/>
      </c>
      <c r="E921" s="167" t="n"/>
      <c r="F921" s="167">
        <f>IF(COUNTIFS($C$3:C921,商品マスタ[[#This Row],[仕入先]],$E$3:E921,商品マスタ[[#This Row],[商品名]]) = 1, 1,0)</f>
        <v/>
      </c>
      <c r="G921" s="133">
        <f>TEXT(SUMIF($C$3:C921,商品マスタ[[#This Row],[仕入先]],$F$3:F921), "0000")</f>
        <v/>
      </c>
      <c r="H921" s="167" t="n"/>
      <c r="I921" s="167" t="n"/>
      <c r="J921" s="167" t="n"/>
      <c r="K921" s="167" t="n"/>
      <c r="L921" s="289" t="n"/>
      <c r="M921" s="157" t="n"/>
      <c r="N921" s="289" t="n"/>
      <c r="O921" s="290">
        <f>IF(COUNT(商品マスタ[[#This Row],[参考上代
（税込)]]) &gt; 0, (商品マスタ[[#This Row],[参考上代
（税込)]]-商品マスタ[[#This Row],[国内定価
（15％）]])/(商品マスタ[[#This Row],[参考上代
（税込)]]/1.08), "")</f>
        <v/>
      </c>
      <c r="P921" s="136" t="n">
        <v>0.1</v>
      </c>
      <c r="Q921" s="289">
        <f>商品マスタ[[#This Row],[仕入
単価]]*商品マスタ[[#This Row],[標準国内送料率]]</f>
        <v/>
      </c>
      <c r="R921" s="289" t="n"/>
      <c r="S921" s="289">
        <f>IF(ISBLANK(商品マスタ[[#This Row],[実績
国内送料]]),商品マスタ[[#This Row],[標準国内送料]],)</f>
        <v/>
      </c>
      <c r="T921" s="289">
        <f>商品マスタ[[#This Row],[仕入
単価]]+商品マスタ[[#This Row],[国内送料]]</f>
        <v/>
      </c>
      <c r="U921" s="289">
        <f>ROUNDUP(商品マスタ[[#This Row],[仕入単価+国内送料]]/0.8,-1)</f>
        <v/>
      </c>
      <c r="V921" s="289">
        <f>商品マスタ[[#This Row],[海外定価
（20％）]]-商品マスタ[[#This Row],[仕入単価+国内送料]]</f>
        <v/>
      </c>
      <c r="W921" s="167">
        <f>ROUNDUP(商品マスタ[[#This Row],[仕入単価+国内送料]]/0.85,-1)</f>
        <v/>
      </c>
      <c r="X921" s="289">
        <f>商品マスタ[[#This Row],[国内定価
（15％）]]-商品マスタ[[#This Row],[仕入単価+国内送料]]</f>
        <v/>
      </c>
      <c r="Y921" s="139" t="n"/>
      <c r="Z921" s="167" t="n"/>
      <c r="AA921" s="167" t="n"/>
      <c r="AB921" s="167" t="n"/>
      <c r="AC921" s="293" t="n"/>
      <c r="AD921" s="167" t="n"/>
      <c r="AE921" s="167" t="n"/>
      <c r="AF921" s="158" t="n"/>
      <c r="AG921" s="144" t="n"/>
    </row>
    <row r="922" ht="18" customHeight="1" s="207">
      <c r="A922" s="166" t="n"/>
      <c r="B922" s="167" t="n"/>
      <c r="C922" s="167" t="n"/>
      <c r="D922" s="143">
        <f>"PRD_SNJ_"&amp;
_xlfn.XLOOKUP(商品マスタ[[#This Row],[仕入先]],テーブル1[仕入先名],テーブル1[仕入先コード],"XXX",0,1)&amp;
"_"&amp;
商品マスタ[[#This Row],[シリアル]]&amp;
"_"&amp;
TEXT(COUNTIFS(商品マスタ!$C$3:C922,商品マスタ[[#This Row],[仕入先]],商品マスタ!$E$3:E922,商品マスタ[[#This Row],[商品名]]), "00")</f>
        <v/>
      </c>
      <c r="E922" s="167" t="n"/>
      <c r="F922" s="167">
        <f>IF(COUNTIFS($C$3:C922,商品マスタ[[#This Row],[仕入先]],$E$3:E922,商品マスタ[[#This Row],[商品名]]) = 1, 1,0)</f>
        <v/>
      </c>
      <c r="G922" s="133">
        <f>TEXT(SUMIF($C$3:C922,商品マスタ[[#This Row],[仕入先]],$F$3:F922), "0000")</f>
        <v/>
      </c>
      <c r="H922" s="167" t="n"/>
      <c r="I922" s="167" t="n"/>
      <c r="J922" s="167" t="n"/>
      <c r="K922" s="167" t="n"/>
      <c r="L922" s="289" t="n"/>
      <c r="M922" s="157" t="n"/>
      <c r="N922" s="289" t="n"/>
      <c r="O922" s="290">
        <f>IF(COUNT(商品マスタ[[#This Row],[参考上代
（税込)]]) &gt; 0, (商品マスタ[[#This Row],[参考上代
（税込)]]-商品マスタ[[#This Row],[国内定価
（15％）]])/(商品マスタ[[#This Row],[参考上代
（税込)]]/1.08), "")</f>
        <v/>
      </c>
      <c r="P922" s="136" t="n">
        <v>0.1</v>
      </c>
      <c r="Q922" s="289">
        <f>商品マスタ[[#This Row],[仕入
単価]]*商品マスタ[[#This Row],[標準国内送料率]]</f>
        <v/>
      </c>
      <c r="R922" s="289" t="n"/>
      <c r="S922" s="289">
        <f>IF(ISBLANK(商品マスタ[[#This Row],[実績
国内送料]]),商品マスタ[[#This Row],[標準国内送料]],)</f>
        <v/>
      </c>
      <c r="T922" s="289">
        <f>商品マスタ[[#This Row],[仕入
単価]]+商品マスタ[[#This Row],[国内送料]]</f>
        <v/>
      </c>
      <c r="U922" s="289">
        <f>ROUNDUP(商品マスタ[[#This Row],[仕入単価+国内送料]]/0.8,-1)</f>
        <v/>
      </c>
      <c r="V922" s="289">
        <f>商品マスタ[[#This Row],[海外定価
（20％）]]-商品マスタ[[#This Row],[仕入単価+国内送料]]</f>
        <v/>
      </c>
      <c r="W922" s="167">
        <f>ROUNDUP(商品マスタ[[#This Row],[仕入単価+国内送料]]/0.85,-1)</f>
        <v/>
      </c>
      <c r="X922" s="289">
        <f>商品マスタ[[#This Row],[国内定価
（15％）]]-商品マスタ[[#This Row],[仕入単価+国内送料]]</f>
        <v/>
      </c>
      <c r="Y922" s="139" t="n"/>
      <c r="Z922" s="167" t="n"/>
      <c r="AA922" s="167" t="n"/>
      <c r="AB922" s="167" t="n"/>
      <c r="AC922" s="293" t="n"/>
      <c r="AD922" s="167" t="n"/>
      <c r="AE922" s="167" t="n"/>
      <c r="AF922" s="158" t="n"/>
      <c r="AG922" s="144" t="n"/>
    </row>
    <row r="923" ht="18" customHeight="1" s="207">
      <c r="A923" s="166" t="n"/>
      <c r="B923" s="167" t="n"/>
      <c r="C923" s="167" t="n"/>
      <c r="D923" s="143">
        <f>"PRD_SNJ_"&amp;
_xlfn.XLOOKUP(商品マスタ[[#This Row],[仕入先]],テーブル1[仕入先名],テーブル1[仕入先コード],"XXX",0,1)&amp;
"_"&amp;
商品マスタ[[#This Row],[シリアル]]&amp;
"_"&amp;
TEXT(COUNTIFS(商品マスタ!$C$3:C923,商品マスタ[[#This Row],[仕入先]],商品マスタ!$E$3:E923,商品マスタ[[#This Row],[商品名]]), "00")</f>
        <v/>
      </c>
      <c r="E923" s="167" t="n"/>
      <c r="F923" s="167">
        <f>IF(COUNTIFS($C$3:C923,商品マスタ[[#This Row],[仕入先]],$E$3:E923,商品マスタ[[#This Row],[商品名]]) = 1, 1,0)</f>
        <v/>
      </c>
      <c r="G923" s="133">
        <f>TEXT(SUMIF($C$3:C923,商品マスタ[[#This Row],[仕入先]],$F$3:F923), "0000")</f>
        <v/>
      </c>
      <c r="H923" s="167" t="n"/>
      <c r="I923" s="167" t="n"/>
      <c r="J923" s="167" t="n"/>
      <c r="K923" s="167" t="n"/>
      <c r="L923" s="289" t="n"/>
      <c r="M923" s="157" t="n"/>
      <c r="N923" s="289" t="n"/>
      <c r="O923" s="290">
        <f>IF(COUNT(商品マスタ[[#This Row],[参考上代
（税込)]]) &gt; 0, (商品マスタ[[#This Row],[参考上代
（税込)]]-商品マスタ[[#This Row],[国内定価
（15％）]])/(商品マスタ[[#This Row],[参考上代
（税込)]]/1.08), "")</f>
        <v/>
      </c>
      <c r="P923" s="136" t="n">
        <v>0.1</v>
      </c>
      <c r="Q923" s="289">
        <f>商品マスタ[[#This Row],[仕入
単価]]*商品マスタ[[#This Row],[標準国内送料率]]</f>
        <v/>
      </c>
      <c r="R923" s="289" t="n"/>
      <c r="S923" s="289">
        <f>IF(ISBLANK(商品マスタ[[#This Row],[実績
国内送料]]),商品マスタ[[#This Row],[標準国内送料]],)</f>
        <v/>
      </c>
      <c r="T923" s="289">
        <f>商品マスタ[[#This Row],[仕入
単価]]+商品マスタ[[#This Row],[国内送料]]</f>
        <v/>
      </c>
      <c r="U923" s="289">
        <f>ROUNDUP(商品マスタ[[#This Row],[仕入単価+国内送料]]/0.8,-1)</f>
        <v/>
      </c>
      <c r="V923" s="289">
        <f>商品マスタ[[#This Row],[海外定価
（20％）]]-商品マスタ[[#This Row],[仕入単価+国内送料]]</f>
        <v/>
      </c>
      <c r="W923" s="167">
        <f>ROUNDUP(商品マスタ[[#This Row],[仕入単価+国内送料]]/0.85,-1)</f>
        <v/>
      </c>
      <c r="X923" s="289">
        <f>商品マスタ[[#This Row],[国内定価
（15％）]]-商品マスタ[[#This Row],[仕入単価+国内送料]]</f>
        <v/>
      </c>
      <c r="Y923" s="139" t="n"/>
      <c r="Z923" s="167" t="n"/>
      <c r="AA923" s="167" t="n"/>
      <c r="AB923" s="167" t="n"/>
      <c r="AC923" s="293" t="n"/>
      <c r="AD923" s="167" t="n"/>
      <c r="AE923" s="167" t="n"/>
      <c r="AF923" s="158" t="n"/>
      <c r="AG923" s="144" t="n"/>
    </row>
    <row r="924" ht="18" customHeight="1" s="207">
      <c r="A924" s="166" t="n"/>
      <c r="B924" s="167" t="n"/>
      <c r="C924" s="167" t="n"/>
      <c r="D924" s="143">
        <f>"PRD_SNJ_"&amp;
_xlfn.XLOOKUP(商品マスタ[[#This Row],[仕入先]],テーブル1[仕入先名],テーブル1[仕入先コード],"XXX",0,1)&amp;
"_"&amp;
商品マスタ[[#This Row],[シリアル]]&amp;
"_"&amp;
TEXT(COUNTIFS(商品マスタ!$C$3:C924,商品マスタ[[#This Row],[仕入先]],商品マスタ!$E$3:E924,商品マスタ[[#This Row],[商品名]]), "00")</f>
        <v/>
      </c>
      <c r="E924" s="167" t="n"/>
      <c r="F924" s="167">
        <f>IF(COUNTIFS($C$3:C924,商品マスタ[[#This Row],[仕入先]],$E$3:E924,商品マスタ[[#This Row],[商品名]]) = 1, 1,0)</f>
        <v/>
      </c>
      <c r="G924" s="133">
        <f>TEXT(SUMIF($C$3:C924,商品マスタ[[#This Row],[仕入先]],$F$3:F924), "0000")</f>
        <v/>
      </c>
      <c r="H924" s="167" t="n"/>
      <c r="I924" s="167" t="n"/>
      <c r="J924" s="167" t="n"/>
      <c r="K924" s="167" t="n"/>
      <c r="L924" s="289" t="n"/>
      <c r="M924" s="157" t="n"/>
      <c r="N924" s="289" t="n"/>
      <c r="O924" s="290">
        <f>IF(COUNT(商品マスタ[[#This Row],[参考上代
（税込)]]) &gt; 0, (商品マスタ[[#This Row],[参考上代
（税込)]]-商品マスタ[[#This Row],[国内定価
（15％）]])/(商品マスタ[[#This Row],[参考上代
（税込)]]/1.08), "")</f>
        <v/>
      </c>
      <c r="P924" s="136" t="n">
        <v>0.1</v>
      </c>
      <c r="Q924" s="289">
        <f>商品マスタ[[#This Row],[仕入
単価]]*商品マスタ[[#This Row],[標準国内送料率]]</f>
        <v/>
      </c>
      <c r="R924" s="289" t="n"/>
      <c r="S924" s="289">
        <f>IF(ISBLANK(商品マスタ[[#This Row],[実績
国内送料]]),商品マスタ[[#This Row],[標準国内送料]],)</f>
        <v/>
      </c>
      <c r="T924" s="289">
        <f>商品マスタ[[#This Row],[仕入
単価]]+商品マスタ[[#This Row],[国内送料]]</f>
        <v/>
      </c>
      <c r="U924" s="289">
        <f>ROUNDUP(商品マスタ[[#This Row],[仕入単価+国内送料]]/0.8,-1)</f>
        <v/>
      </c>
      <c r="V924" s="289">
        <f>商品マスタ[[#This Row],[海外定価
（20％）]]-商品マスタ[[#This Row],[仕入単価+国内送料]]</f>
        <v/>
      </c>
      <c r="W924" s="167">
        <f>ROUNDUP(商品マスタ[[#This Row],[仕入単価+国内送料]]/0.85,-1)</f>
        <v/>
      </c>
      <c r="X924" s="289">
        <f>商品マスタ[[#This Row],[国内定価
（15％）]]-商品マスタ[[#This Row],[仕入単価+国内送料]]</f>
        <v/>
      </c>
      <c r="Y924" s="139" t="n"/>
      <c r="Z924" s="167" t="n"/>
      <c r="AA924" s="167" t="n"/>
      <c r="AB924" s="167" t="n"/>
      <c r="AC924" s="293" t="n"/>
      <c r="AD924" s="167" t="n"/>
      <c r="AE924" s="167" t="n"/>
      <c r="AF924" s="158" t="n"/>
      <c r="AG924" s="144" t="n"/>
    </row>
    <row r="925" ht="18" customHeight="1" s="207">
      <c r="A925" s="166" t="n"/>
      <c r="B925" s="167" t="n"/>
      <c r="C925" s="167" t="n"/>
      <c r="D925" s="143">
        <f>"PRD_SNJ_"&amp;
_xlfn.XLOOKUP(商品マスタ[[#This Row],[仕入先]],テーブル1[仕入先名],テーブル1[仕入先コード],"XXX",0,1)&amp;
"_"&amp;
商品マスタ[[#This Row],[シリアル]]&amp;
"_"&amp;
TEXT(COUNTIFS(商品マスタ!$C$3:C925,商品マスタ[[#This Row],[仕入先]],商品マスタ!$E$3:E925,商品マスタ[[#This Row],[商品名]]), "00")</f>
        <v/>
      </c>
      <c r="E925" s="167" t="n"/>
      <c r="F925" s="167">
        <f>IF(COUNTIFS($C$3:C925,商品マスタ[[#This Row],[仕入先]],$E$3:E925,商品マスタ[[#This Row],[商品名]]) = 1, 1,0)</f>
        <v/>
      </c>
      <c r="G925" s="133">
        <f>TEXT(SUMIF($C$3:C925,商品マスタ[[#This Row],[仕入先]],$F$3:F925), "0000")</f>
        <v/>
      </c>
      <c r="H925" s="167" t="n"/>
      <c r="I925" s="167" t="n"/>
      <c r="J925" s="167" t="n"/>
      <c r="K925" s="167" t="n"/>
      <c r="L925" s="289" t="n"/>
      <c r="M925" s="157" t="n"/>
      <c r="N925" s="289" t="n"/>
      <c r="O925" s="290">
        <f>IF(COUNT(商品マスタ[[#This Row],[参考上代
（税込)]]) &gt; 0, (商品マスタ[[#This Row],[参考上代
（税込)]]-商品マスタ[[#This Row],[国内定価
（15％）]])/(商品マスタ[[#This Row],[参考上代
（税込)]]/1.08), "")</f>
        <v/>
      </c>
      <c r="P925" s="136" t="n">
        <v>0.1</v>
      </c>
      <c r="Q925" s="289">
        <f>商品マスタ[[#This Row],[仕入
単価]]*商品マスタ[[#This Row],[標準国内送料率]]</f>
        <v/>
      </c>
      <c r="R925" s="289" t="n"/>
      <c r="S925" s="289">
        <f>IF(ISBLANK(商品マスタ[[#This Row],[実績
国内送料]]),商品マスタ[[#This Row],[標準国内送料]],)</f>
        <v/>
      </c>
      <c r="T925" s="289">
        <f>商品マスタ[[#This Row],[仕入
単価]]+商品マスタ[[#This Row],[国内送料]]</f>
        <v/>
      </c>
      <c r="U925" s="289">
        <f>ROUNDUP(商品マスタ[[#This Row],[仕入単価+国内送料]]/0.8,-1)</f>
        <v/>
      </c>
      <c r="V925" s="289">
        <f>商品マスタ[[#This Row],[海外定価
（20％）]]-商品マスタ[[#This Row],[仕入単価+国内送料]]</f>
        <v/>
      </c>
      <c r="W925" s="167">
        <f>ROUNDUP(商品マスタ[[#This Row],[仕入単価+国内送料]]/0.85,-1)</f>
        <v/>
      </c>
      <c r="X925" s="289">
        <f>商品マスタ[[#This Row],[国内定価
（15％）]]-商品マスタ[[#This Row],[仕入単価+国内送料]]</f>
        <v/>
      </c>
      <c r="Y925" s="139" t="n"/>
      <c r="Z925" s="167" t="n"/>
      <c r="AA925" s="167" t="n"/>
      <c r="AB925" s="167" t="n"/>
      <c r="AC925" s="293" t="n"/>
      <c r="AD925" s="167" t="n"/>
      <c r="AE925" s="167" t="n"/>
      <c r="AF925" s="158" t="n"/>
      <c r="AG925" s="144" t="n"/>
    </row>
    <row r="926" ht="18" customHeight="1" s="207">
      <c r="A926" s="166" t="n"/>
      <c r="B926" s="167" t="n"/>
      <c r="C926" s="167" t="n"/>
      <c r="D926" s="143">
        <f>"PRD_SNJ_"&amp;
_xlfn.XLOOKUP(商品マスタ[[#This Row],[仕入先]],テーブル1[仕入先名],テーブル1[仕入先コード],"XXX",0,1)&amp;
"_"&amp;
商品マスタ[[#This Row],[シリアル]]&amp;
"_"&amp;
TEXT(COUNTIFS(商品マスタ!$C$3:C926,商品マスタ[[#This Row],[仕入先]],商品マスタ!$E$3:E926,商品マスタ[[#This Row],[商品名]]), "00")</f>
        <v/>
      </c>
      <c r="E926" s="167" t="n"/>
      <c r="F926" s="167">
        <f>IF(COUNTIFS($C$3:C926,商品マスタ[[#This Row],[仕入先]],$E$3:E926,商品マスタ[[#This Row],[商品名]]) = 1, 1,0)</f>
        <v/>
      </c>
      <c r="G926" s="133">
        <f>TEXT(SUMIF($C$3:C926,商品マスタ[[#This Row],[仕入先]],$F$3:F926), "0000")</f>
        <v/>
      </c>
      <c r="H926" s="167" t="n"/>
      <c r="I926" s="167" t="n"/>
      <c r="J926" s="167" t="n"/>
      <c r="K926" s="167" t="n"/>
      <c r="L926" s="289" t="n"/>
      <c r="M926" s="157" t="n"/>
      <c r="N926" s="289" t="n"/>
      <c r="O926" s="290">
        <f>IF(COUNT(商品マスタ[[#This Row],[参考上代
（税込)]]) &gt; 0, (商品マスタ[[#This Row],[参考上代
（税込)]]-商品マスタ[[#This Row],[国内定価
（15％）]])/(商品マスタ[[#This Row],[参考上代
（税込)]]/1.08), "")</f>
        <v/>
      </c>
      <c r="P926" s="136" t="n">
        <v>0.1</v>
      </c>
      <c r="Q926" s="289">
        <f>商品マスタ[[#This Row],[仕入
単価]]*商品マスタ[[#This Row],[標準国内送料率]]</f>
        <v/>
      </c>
      <c r="R926" s="289" t="n"/>
      <c r="S926" s="289">
        <f>IF(ISBLANK(商品マスタ[[#This Row],[実績
国内送料]]),商品マスタ[[#This Row],[標準国内送料]],)</f>
        <v/>
      </c>
      <c r="T926" s="289">
        <f>商品マスタ[[#This Row],[仕入
単価]]+商品マスタ[[#This Row],[国内送料]]</f>
        <v/>
      </c>
      <c r="U926" s="289">
        <f>ROUNDUP(商品マスタ[[#This Row],[仕入単価+国内送料]]/0.8,-1)</f>
        <v/>
      </c>
      <c r="V926" s="289">
        <f>商品マスタ[[#This Row],[海外定価
（20％）]]-商品マスタ[[#This Row],[仕入単価+国内送料]]</f>
        <v/>
      </c>
      <c r="W926" s="167">
        <f>ROUNDUP(商品マスタ[[#This Row],[仕入単価+国内送料]]/0.85,-1)</f>
        <v/>
      </c>
      <c r="X926" s="289">
        <f>商品マスタ[[#This Row],[国内定価
（15％）]]-商品マスタ[[#This Row],[仕入単価+国内送料]]</f>
        <v/>
      </c>
      <c r="Y926" s="139" t="n"/>
      <c r="Z926" s="167" t="n"/>
      <c r="AA926" s="167" t="n"/>
      <c r="AB926" s="167" t="n"/>
      <c r="AC926" s="293" t="n"/>
      <c r="AD926" s="167" t="n"/>
      <c r="AE926" s="167" t="n"/>
      <c r="AF926" s="158" t="n"/>
      <c r="AG926" s="144" t="n"/>
    </row>
    <row r="927" ht="18" customHeight="1" s="207">
      <c r="A927" s="166" t="n"/>
      <c r="B927" s="167" t="n"/>
      <c r="C927" s="167" t="n"/>
      <c r="D927" s="143">
        <f>"PRD_SNJ_"&amp;
_xlfn.XLOOKUP(商品マスタ[[#This Row],[仕入先]],テーブル1[仕入先名],テーブル1[仕入先コード],"XXX",0,1)&amp;
"_"&amp;
商品マスタ[[#This Row],[シリアル]]&amp;
"_"&amp;
TEXT(COUNTIFS(商品マスタ!$C$3:C927,商品マスタ[[#This Row],[仕入先]],商品マスタ!$E$3:E927,商品マスタ[[#This Row],[商品名]]), "00")</f>
        <v/>
      </c>
      <c r="E927" s="167" t="n"/>
      <c r="F927" s="167">
        <f>IF(COUNTIFS($C$3:C927,商品マスタ[[#This Row],[仕入先]],$E$3:E927,商品マスタ[[#This Row],[商品名]]) = 1, 1,0)</f>
        <v/>
      </c>
      <c r="G927" s="133">
        <f>TEXT(SUMIF($C$3:C927,商品マスタ[[#This Row],[仕入先]],$F$3:F927), "0000")</f>
        <v/>
      </c>
      <c r="H927" s="167" t="n"/>
      <c r="I927" s="167" t="n"/>
      <c r="J927" s="167" t="n"/>
      <c r="K927" s="167" t="n"/>
      <c r="L927" s="289" t="n"/>
      <c r="M927" s="157" t="n"/>
      <c r="N927" s="289" t="n"/>
      <c r="O927" s="290">
        <f>IF(COUNT(商品マスタ[[#This Row],[参考上代
（税込)]]) &gt; 0, (商品マスタ[[#This Row],[参考上代
（税込)]]-商品マスタ[[#This Row],[国内定価
（15％）]])/(商品マスタ[[#This Row],[参考上代
（税込)]]/1.08), "")</f>
        <v/>
      </c>
      <c r="P927" s="136" t="n">
        <v>0.1</v>
      </c>
      <c r="Q927" s="289">
        <f>商品マスタ[[#This Row],[仕入
単価]]*商品マスタ[[#This Row],[標準国内送料率]]</f>
        <v/>
      </c>
      <c r="R927" s="289" t="n"/>
      <c r="S927" s="289">
        <f>IF(ISBLANK(商品マスタ[[#This Row],[実績
国内送料]]),商品マスタ[[#This Row],[標準国内送料]],)</f>
        <v/>
      </c>
      <c r="T927" s="289">
        <f>商品マスタ[[#This Row],[仕入
単価]]+商品マスタ[[#This Row],[国内送料]]</f>
        <v/>
      </c>
      <c r="U927" s="289">
        <f>ROUNDUP(商品マスタ[[#This Row],[仕入単価+国内送料]]/0.8,-1)</f>
        <v/>
      </c>
      <c r="V927" s="289">
        <f>商品マスタ[[#This Row],[海外定価
（20％）]]-商品マスタ[[#This Row],[仕入単価+国内送料]]</f>
        <v/>
      </c>
      <c r="W927" s="167">
        <f>ROUNDUP(商品マスタ[[#This Row],[仕入単価+国内送料]]/0.85,-1)</f>
        <v/>
      </c>
      <c r="X927" s="289">
        <f>商品マスタ[[#This Row],[国内定価
（15％）]]-商品マスタ[[#This Row],[仕入単価+国内送料]]</f>
        <v/>
      </c>
      <c r="Y927" s="139" t="n"/>
      <c r="Z927" s="167" t="n"/>
      <c r="AA927" s="167" t="n"/>
      <c r="AB927" s="167" t="n"/>
      <c r="AC927" s="293" t="n"/>
      <c r="AD927" s="167" t="n"/>
      <c r="AE927" s="167" t="n"/>
      <c r="AF927" s="158" t="n"/>
      <c r="AG927" s="144" t="n"/>
    </row>
    <row r="928" ht="18" customHeight="1" s="207">
      <c r="A928" s="166" t="n"/>
      <c r="B928" s="167" t="n"/>
      <c r="C928" s="167" t="n"/>
      <c r="D928" s="143">
        <f>"PRD_SNJ_"&amp;
_xlfn.XLOOKUP(商品マスタ[[#This Row],[仕入先]],テーブル1[仕入先名],テーブル1[仕入先コード],"XXX",0,1)&amp;
"_"&amp;
商品マスタ[[#This Row],[シリアル]]&amp;
"_"&amp;
TEXT(COUNTIFS(商品マスタ!$C$3:C928,商品マスタ[[#This Row],[仕入先]],商品マスタ!$E$3:E928,商品マスタ[[#This Row],[商品名]]), "00")</f>
        <v/>
      </c>
      <c r="E928" s="167" t="n"/>
      <c r="F928" s="167">
        <f>IF(COUNTIFS($C$3:C928,商品マスタ[[#This Row],[仕入先]],$E$3:E928,商品マスタ[[#This Row],[商品名]]) = 1, 1,0)</f>
        <v/>
      </c>
      <c r="G928" s="133">
        <f>TEXT(SUMIF($C$3:C928,商品マスタ[[#This Row],[仕入先]],$F$3:F928), "0000")</f>
        <v/>
      </c>
      <c r="H928" s="167" t="n"/>
      <c r="I928" s="167" t="n"/>
      <c r="J928" s="167" t="n"/>
      <c r="K928" s="167" t="n"/>
      <c r="L928" s="289" t="n"/>
      <c r="M928" s="157" t="n"/>
      <c r="N928" s="289" t="n"/>
      <c r="O928" s="290">
        <f>IF(COUNT(商品マスタ[[#This Row],[参考上代
（税込)]]) &gt; 0, (商品マスタ[[#This Row],[参考上代
（税込)]]-商品マスタ[[#This Row],[国内定価
（15％）]])/(商品マスタ[[#This Row],[参考上代
（税込)]]/1.08), "")</f>
        <v/>
      </c>
      <c r="P928" s="136" t="n">
        <v>0.1</v>
      </c>
      <c r="Q928" s="289">
        <f>商品マスタ[[#This Row],[仕入
単価]]*商品マスタ[[#This Row],[標準国内送料率]]</f>
        <v/>
      </c>
      <c r="R928" s="289" t="n"/>
      <c r="S928" s="289">
        <f>IF(ISBLANK(商品マスタ[[#This Row],[実績
国内送料]]),商品マスタ[[#This Row],[標準国内送料]],)</f>
        <v/>
      </c>
      <c r="T928" s="289">
        <f>商品マスタ[[#This Row],[仕入
単価]]+商品マスタ[[#This Row],[国内送料]]</f>
        <v/>
      </c>
      <c r="U928" s="289">
        <f>ROUNDUP(商品マスタ[[#This Row],[仕入単価+国内送料]]/0.8,-1)</f>
        <v/>
      </c>
      <c r="V928" s="289">
        <f>商品マスタ[[#This Row],[海外定価
（20％）]]-商品マスタ[[#This Row],[仕入単価+国内送料]]</f>
        <v/>
      </c>
      <c r="W928" s="167">
        <f>ROUNDUP(商品マスタ[[#This Row],[仕入単価+国内送料]]/0.85,-1)</f>
        <v/>
      </c>
      <c r="X928" s="289">
        <f>商品マスタ[[#This Row],[国内定価
（15％）]]-商品マスタ[[#This Row],[仕入単価+国内送料]]</f>
        <v/>
      </c>
      <c r="Y928" s="139" t="n"/>
      <c r="Z928" s="167" t="n"/>
      <c r="AA928" s="167" t="n"/>
      <c r="AB928" s="167" t="n"/>
      <c r="AC928" s="293" t="n"/>
      <c r="AD928" s="167" t="n"/>
      <c r="AE928" s="167" t="n"/>
      <c r="AF928" s="158" t="n"/>
      <c r="AG928" s="144" t="n"/>
    </row>
    <row r="929" ht="18" customHeight="1" s="207">
      <c r="A929" s="166" t="n"/>
      <c r="B929" s="167" t="n"/>
      <c r="C929" s="167" t="n"/>
      <c r="D929" s="143">
        <f>"PRD_SNJ_"&amp;
_xlfn.XLOOKUP(商品マスタ[[#This Row],[仕入先]],テーブル1[仕入先名],テーブル1[仕入先コード],"XXX",0,1)&amp;
"_"&amp;
商品マスタ[[#This Row],[シリアル]]&amp;
"_"&amp;
TEXT(COUNTIFS(商品マスタ!$C$3:C929,商品マスタ[[#This Row],[仕入先]],商品マスタ!$E$3:E929,商品マスタ[[#This Row],[商品名]]), "00")</f>
        <v/>
      </c>
      <c r="E929" s="167" t="n"/>
      <c r="F929" s="167">
        <f>IF(COUNTIFS($C$3:C929,商品マスタ[[#This Row],[仕入先]],$E$3:E929,商品マスタ[[#This Row],[商品名]]) = 1, 1,0)</f>
        <v/>
      </c>
      <c r="G929" s="133">
        <f>TEXT(SUMIF($C$3:C929,商品マスタ[[#This Row],[仕入先]],$F$3:F929), "0000")</f>
        <v/>
      </c>
      <c r="H929" s="167" t="n"/>
      <c r="I929" s="167" t="n"/>
      <c r="J929" s="167" t="n"/>
      <c r="K929" s="167" t="n"/>
      <c r="L929" s="289" t="n"/>
      <c r="M929" s="157" t="n"/>
      <c r="N929" s="289" t="n"/>
      <c r="O929" s="290">
        <f>IF(COUNT(商品マスタ[[#This Row],[参考上代
（税込)]]) &gt; 0, (商品マスタ[[#This Row],[参考上代
（税込)]]-商品マスタ[[#This Row],[国内定価
（15％）]])/(商品マスタ[[#This Row],[参考上代
（税込)]]/1.08), "")</f>
        <v/>
      </c>
      <c r="P929" s="136" t="n">
        <v>0.1</v>
      </c>
      <c r="Q929" s="289">
        <f>商品マスタ[[#This Row],[仕入
単価]]*商品マスタ[[#This Row],[標準国内送料率]]</f>
        <v/>
      </c>
      <c r="R929" s="289" t="n"/>
      <c r="S929" s="289">
        <f>IF(ISBLANK(商品マスタ[[#This Row],[実績
国内送料]]),商品マスタ[[#This Row],[標準国内送料]],)</f>
        <v/>
      </c>
      <c r="T929" s="289">
        <f>商品マスタ[[#This Row],[仕入
単価]]+商品マスタ[[#This Row],[国内送料]]</f>
        <v/>
      </c>
      <c r="U929" s="289">
        <f>ROUNDUP(商品マスタ[[#This Row],[仕入単価+国内送料]]/0.8,-1)</f>
        <v/>
      </c>
      <c r="V929" s="289">
        <f>商品マスタ[[#This Row],[海外定価
（20％）]]-商品マスタ[[#This Row],[仕入単価+国内送料]]</f>
        <v/>
      </c>
      <c r="W929" s="167">
        <f>ROUNDUP(商品マスタ[[#This Row],[仕入単価+国内送料]]/0.85,-1)</f>
        <v/>
      </c>
      <c r="X929" s="289">
        <f>商品マスタ[[#This Row],[国内定価
（15％）]]-商品マスタ[[#This Row],[仕入単価+国内送料]]</f>
        <v/>
      </c>
      <c r="Y929" s="139" t="n"/>
      <c r="Z929" s="167" t="n"/>
      <c r="AA929" s="167" t="n"/>
      <c r="AB929" s="167" t="n"/>
      <c r="AC929" s="293" t="n"/>
      <c r="AD929" s="167" t="n"/>
      <c r="AE929" s="167" t="n"/>
      <c r="AF929" s="158" t="n"/>
      <c r="AG929" s="144" t="n"/>
    </row>
    <row r="930" ht="18" customHeight="1" s="207">
      <c r="A930" s="166" t="n"/>
      <c r="B930" s="167" t="n"/>
      <c r="C930" s="167" t="n"/>
      <c r="D930" s="143">
        <f>"PRD_SNJ_"&amp;
_xlfn.XLOOKUP(商品マスタ[[#This Row],[仕入先]],テーブル1[仕入先名],テーブル1[仕入先コード],"XXX",0,1)&amp;
"_"&amp;
商品マスタ[[#This Row],[シリアル]]&amp;
"_"&amp;
TEXT(COUNTIFS(商品マスタ!$C$3:C930,商品マスタ[[#This Row],[仕入先]],商品マスタ!$E$3:E930,商品マスタ[[#This Row],[商品名]]), "00")</f>
        <v/>
      </c>
      <c r="E930" s="167" t="n"/>
      <c r="F930" s="167">
        <f>IF(COUNTIFS($C$3:C930,商品マスタ[[#This Row],[仕入先]],$E$3:E930,商品マスタ[[#This Row],[商品名]]) = 1, 1,0)</f>
        <v/>
      </c>
      <c r="G930" s="133">
        <f>TEXT(SUMIF($C$3:C930,商品マスタ[[#This Row],[仕入先]],$F$3:F930), "0000")</f>
        <v/>
      </c>
      <c r="H930" s="167" t="n"/>
      <c r="I930" s="167" t="n"/>
      <c r="J930" s="167" t="n"/>
      <c r="K930" s="167" t="n"/>
      <c r="L930" s="289" t="n"/>
      <c r="M930" s="157" t="n"/>
      <c r="N930" s="289" t="n"/>
      <c r="O930" s="290">
        <f>IF(COUNT(商品マスタ[[#This Row],[参考上代
（税込)]]) &gt; 0, (商品マスタ[[#This Row],[参考上代
（税込)]]-商品マスタ[[#This Row],[国内定価
（15％）]])/(商品マスタ[[#This Row],[参考上代
（税込)]]/1.08), "")</f>
        <v/>
      </c>
      <c r="P930" s="136" t="n">
        <v>0.1</v>
      </c>
      <c r="Q930" s="289">
        <f>商品マスタ[[#This Row],[仕入
単価]]*商品マスタ[[#This Row],[標準国内送料率]]</f>
        <v/>
      </c>
      <c r="R930" s="289" t="n"/>
      <c r="S930" s="289">
        <f>IF(ISBLANK(商品マスタ[[#This Row],[実績
国内送料]]),商品マスタ[[#This Row],[標準国内送料]],)</f>
        <v/>
      </c>
      <c r="T930" s="289">
        <f>商品マスタ[[#This Row],[仕入
単価]]+商品マスタ[[#This Row],[国内送料]]</f>
        <v/>
      </c>
      <c r="U930" s="289">
        <f>ROUNDUP(商品マスタ[[#This Row],[仕入単価+国内送料]]/0.8,-1)</f>
        <v/>
      </c>
      <c r="V930" s="289">
        <f>商品マスタ[[#This Row],[海外定価
（20％）]]-商品マスタ[[#This Row],[仕入単価+国内送料]]</f>
        <v/>
      </c>
      <c r="W930" s="167">
        <f>ROUNDUP(商品マスタ[[#This Row],[仕入単価+国内送料]]/0.85,-1)</f>
        <v/>
      </c>
      <c r="X930" s="289">
        <f>商品マスタ[[#This Row],[国内定価
（15％）]]-商品マスタ[[#This Row],[仕入単価+国内送料]]</f>
        <v/>
      </c>
      <c r="Y930" s="139" t="n"/>
      <c r="Z930" s="167" t="n"/>
      <c r="AA930" s="167" t="n"/>
      <c r="AB930" s="167" t="n"/>
      <c r="AC930" s="293" t="n"/>
      <c r="AD930" s="167" t="n"/>
      <c r="AE930" s="167" t="n"/>
      <c r="AF930" s="158" t="n"/>
      <c r="AG930" s="144" t="n"/>
    </row>
    <row r="931" ht="18" customHeight="1" s="207">
      <c r="A931" s="166" t="n"/>
      <c r="B931" s="167" t="n"/>
      <c r="C931" s="167" t="n"/>
      <c r="D931" s="143">
        <f>"PRD_SNJ_"&amp;
_xlfn.XLOOKUP(商品マスタ[[#This Row],[仕入先]],テーブル1[仕入先名],テーブル1[仕入先コード],"XXX",0,1)&amp;
"_"&amp;
商品マスタ[[#This Row],[シリアル]]&amp;
"_"&amp;
TEXT(COUNTIFS(商品マスタ!$C$3:C931,商品マスタ[[#This Row],[仕入先]],商品マスタ!$E$3:E931,商品マスタ[[#This Row],[商品名]]), "00")</f>
        <v/>
      </c>
      <c r="E931" s="167" t="n"/>
      <c r="F931" s="167">
        <f>IF(COUNTIFS($C$3:C931,商品マスタ[[#This Row],[仕入先]],$E$3:E931,商品マスタ[[#This Row],[商品名]]) = 1, 1,0)</f>
        <v/>
      </c>
      <c r="G931" s="133">
        <f>TEXT(SUMIF($C$3:C931,商品マスタ[[#This Row],[仕入先]],$F$3:F931), "0000")</f>
        <v/>
      </c>
      <c r="H931" s="167" t="n"/>
      <c r="I931" s="167" t="n"/>
      <c r="J931" s="167" t="n"/>
      <c r="K931" s="167" t="n"/>
      <c r="L931" s="289" t="n"/>
      <c r="M931" s="157" t="n"/>
      <c r="N931" s="289" t="n"/>
      <c r="O931" s="290">
        <f>IF(COUNT(商品マスタ[[#This Row],[参考上代
（税込)]]) &gt; 0, (商品マスタ[[#This Row],[参考上代
（税込)]]-商品マスタ[[#This Row],[国内定価
（15％）]])/(商品マスタ[[#This Row],[参考上代
（税込)]]/1.08), "")</f>
        <v/>
      </c>
      <c r="P931" s="136" t="n">
        <v>0.1</v>
      </c>
      <c r="Q931" s="289">
        <f>商品マスタ[[#This Row],[仕入
単価]]*商品マスタ[[#This Row],[標準国内送料率]]</f>
        <v/>
      </c>
      <c r="R931" s="289" t="n"/>
      <c r="S931" s="289">
        <f>IF(ISBLANK(商品マスタ[[#This Row],[実績
国内送料]]),商品マスタ[[#This Row],[標準国内送料]],)</f>
        <v/>
      </c>
      <c r="T931" s="289">
        <f>商品マスタ[[#This Row],[仕入
単価]]+商品マスタ[[#This Row],[国内送料]]</f>
        <v/>
      </c>
      <c r="U931" s="289">
        <f>ROUNDUP(商品マスタ[[#This Row],[仕入単価+国内送料]]/0.8,-1)</f>
        <v/>
      </c>
      <c r="V931" s="289">
        <f>商品マスタ[[#This Row],[海外定価
（20％）]]-商品マスタ[[#This Row],[仕入単価+国内送料]]</f>
        <v/>
      </c>
      <c r="W931" s="167">
        <f>ROUNDUP(商品マスタ[[#This Row],[仕入単価+国内送料]]/0.85,-1)</f>
        <v/>
      </c>
      <c r="X931" s="289">
        <f>商品マスタ[[#This Row],[国内定価
（15％）]]-商品マスタ[[#This Row],[仕入単価+国内送料]]</f>
        <v/>
      </c>
      <c r="Y931" s="139" t="n"/>
      <c r="Z931" s="167" t="n"/>
      <c r="AA931" s="167" t="n"/>
      <c r="AB931" s="167" t="n"/>
      <c r="AC931" s="293" t="n"/>
      <c r="AD931" s="167" t="n"/>
      <c r="AE931" s="167" t="n"/>
      <c r="AF931" s="158" t="n"/>
      <c r="AG931" s="144" t="n"/>
    </row>
    <row r="932" ht="18" customHeight="1" s="207">
      <c r="A932" s="166" t="n"/>
      <c r="B932" s="167" t="n"/>
      <c r="C932" s="167" t="n"/>
      <c r="D932" s="143">
        <f>"PRD_SNJ_"&amp;
_xlfn.XLOOKUP(商品マスタ[[#This Row],[仕入先]],テーブル1[仕入先名],テーブル1[仕入先コード],"XXX",0,1)&amp;
"_"&amp;
商品マスタ[[#This Row],[シリアル]]&amp;
"_"&amp;
TEXT(COUNTIFS(商品マスタ!$C$3:C932,商品マスタ[[#This Row],[仕入先]],商品マスタ!$E$3:E932,商品マスタ[[#This Row],[商品名]]), "00")</f>
        <v/>
      </c>
      <c r="E932" s="167" t="n"/>
      <c r="F932" s="167">
        <f>IF(COUNTIFS($C$3:C932,商品マスタ[[#This Row],[仕入先]],$E$3:E932,商品マスタ[[#This Row],[商品名]]) = 1, 1,0)</f>
        <v/>
      </c>
      <c r="G932" s="133">
        <f>TEXT(SUMIF($C$3:C932,商品マスタ[[#This Row],[仕入先]],$F$3:F932), "0000")</f>
        <v/>
      </c>
      <c r="H932" s="167" t="n"/>
      <c r="I932" s="167" t="n"/>
      <c r="J932" s="167" t="n"/>
      <c r="K932" s="167" t="n"/>
      <c r="L932" s="289" t="n"/>
      <c r="M932" s="157" t="n"/>
      <c r="N932" s="289" t="n"/>
      <c r="O932" s="290">
        <f>IF(COUNT(商品マスタ[[#This Row],[参考上代
（税込)]]) &gt; 0, (商品マスタ[[#This Row],[参考上代
（税込)]]-商品マスタ[[#This Row],[国内定価
（15％）]])/(商品マスタ[[#This Row],[参考上代
（税込)]]/1.08), "")</f>
        <v/>
      </c>
      <c r="P932" s="136" t="n">
        <v>0.1</v>
      </c>
      <c r="Q932" s="289">
        <f>商品マスタ[[#This Row],[仕入
単価]]*商品マスタ[[#This Row],[標準国内送料率]]</f>
        <v/>
      </c>
      <c r="R932" s="289" t="n"/>
      <c r="S932" s="289">
        <f>IF(ISBLANK(商品マスタ[[#This Row],[実績
国内送料]]),商品マスタ[[#This Row],[標準国内送料]],)</f>
        <v/>
      </c>
      <c r="T932" s="289">
        <f>商品マスタ[[#This Row],[仕入
単価]]+商品マスタ[[#This Row],[国内送料]]</f>
        <v/>
      </c>
      <c r="U932" s="289">
        <f>ROUNDUP(商品マスタ[[#This Row],[仕入単価+国内送料]]/0.8,-1)</f>
        <v/>
      </c>
      <c r="V932" s="289">
        <f>商品マスタ[[#This Row],[海外定価
（20％）]]-商品マスタ[[#This Row],[仕入単価+国内送料]]</f>
        <v/>
      </c>
      <c r="W932" s="167">
        <f>ROUNDUP(商品マスタ[[#This Row],[仕入単価+国内送料]]/0.85,-1)</f>
        <v/>
      </c>
      <c r="X932" s="289">
        <f>商品マスタ[[#This Row],[国内定価
（15％）]]-商品マスタ[[#This Row],[仕入単価+国内送料]]</f>
        <v/>
      </c>
      <c r="Y932" s="139" t="n"/>
      <c r="Z932" s="167" t="n"/>
      <c r="AA932" s="167" t="n"/>
      <c r="AB932" s="167" t="n"/>
      <c r="AC932" s="293" t="n"/>
      <c r="AD932" s="167" t="n"/>
      <c r="AE932" s="167" t="n"/>
      <c r="AF932" s="158" t="n"/>
      <c r="AG932" s="144" t="n"/>
    </row>
    <row r="933" ht="18" customHeight="1" s="207">
      <c r="A933" s="166" t="n"/>
      <c r="B933" s="167" t="n"/>
      <c r="C933" s="167" t="n"/>
      <c r="D933" s="143">
        <f>"PRD_SNJ_"&amp;
_xlfn.XLOOKUP(商品マスタ[[#This Row],[仕入先]],テーブル1[仕入先名],テーブル1[仕入先コード],"XXX",0,1)&amp;
"_"&amp;
商品マスタ[[#This Row],[シリアル]]&amp;
"_"&amp;
TEXT(COUNTIFS(商品マスタ!$C$3:C933,商品マスタ[[#This Row],[仕入先]],商品マスタ!$E$3:E933,商品マスタ[[#This Row],[商品名]]), "00")</f>
        <v/>
      </c>
      <c r="E933" s="167" t="n"/>
      <c r="F933" s="167">
        <f>IF(COUNTIFS($C$3:C933,商品マスタ[[#This Row],[仕入先]],$E$3:E933,商品マスタ[[#This Row],[商品名]]) = 1, 1,0)</f>
        <v/>
      </c>
      <c r="G933" s="133">
        <f>TEXT(SUMIF($C$3:C933,商品マスタ[[#This Row],[仕入先]],$F$3:F933), "0000")</f>
        <v/>
      </c>
      <c r="H933" s="167" t="n"/>
      <c r="I933" s="167" t="n"/>
      <c r="J933" s="167" t="n"/>
      <c r="K933" s="167" t="n"/>
      <c r="L933" s="289" t="n"/>
      <c r="M933" s="157" t="n"/>
      <c r="N933" s="289" t="n"/>
      <c r="O933" s="290">
        <f>IF(COUNT(商品マスタ[[#This Row],[参考上代
（税込)]]) &gt; 0, (商品マスタ[[#This Row],[参考上代
（税込)]]-商品マスタ[[#This Row],[国内定価
（15％）]])/(商品マスタ[[#This Row],[参考上代
（税込)]]/1.08), "")</f>
        <v/>
      </c>
      <c r="P933" s="136" t="n">
        <v>0.1</v>
      </c>
      <c r="Q933" s="289">
        <f>商品マスタ[[#This Row],[仕入
単価]]*商品マスタ[[#This Row],[標準国内送料率]]</f>
        <v/>
      </c>
      <c r="R933" s="289" t="n"/>
      <c r="S933" s="289">
        <f>IF(ISBLANK(商品マスタ[[#This Row],[実績
国内送料]]),商品マスタ[[#This Row],[標準国内送料]],)</f>
        <v/>
      </c>
      <c r="T933" s="289">
        <f>商品マスタ[[#This Row],[仕入
単価]]+商品マスタ[[#This Row],[国内送料]]</f>
        <v/>
      </c>
      <c r="U933" s="289">
        <f>ROUNDUP(商品マスタ[[#This Row],[仕入単価+国内送料]]/0.8,-1)</f>
        <v/>
      </c>
      <c r="V933" s="289">
        <f>商品マスタ[[#This Row],[海外定価
（20％）]]-商品マスタ[[#This Row],[仕入単価+国内送料]]</f>
        <v/>
      </c>
      <c r="W933" s="167">
        <f>ROUNDUP(商品マスタ[[#This Row],[仕入単価+国内送料]]/0.85,-1)</f>
        <v/>
      </c>
      <c r="X933" s="289">
        <f>商品マスタ[[#This Row],[国内定価
（15％）]]-商品マスタ[[#This Row],[仕入単価+国内送料]]</f>
        <v/>
      </c>
      <c r="Y933" s="139" t="n"/>
      <c r="Z933" s="167" t="n"/>
      <c r="AA933" s="167" t="n"/>
      <c r="AB933" s="167" t="n"/>
      <c r="AC933" s="293" t="n"/>
      <c r="AD933" s="167" t="n"/>
      <c r="AE933" s="167" t="n"/>
      <c r="AF933" s="158" t="n"/>
      <c r="AG933" s="144" t="n"/>
    </row>
    <row r="934" ht="18" customHeight="1" s="207">
      <c r="A934" s="166" t="n"/>
      <c r="B934" s="167" t="n"/>
      <c r="C934" s="167" t="n"/>
      <c r="D934" s="143">
        <f>"PRD_SNJ_"&amp;
_xlfn.XLOOKUP(商品マスタ[[#This Row],[仕入先]],テーブル1[仕入先名],テーブル1[仕入先コード],"XXX",0,1)&amp;
"_"&amp;
商品マスタ[[#This Row],[シリアル]]&amp;
"_"&amp;
TEXT(COUNTIFS(商品マスタ!$C$3:C934,商品マスタ[[#This Row],[仕入先]],商品マスタ!$E$3:E934,商品マスタ[[#This Row],[商品名]]), "00")</f>
        <v/>
      </c>
      <c r="E934" s="167" t="n"/>
      <c r="F934" s="167">
        <f>IF(COUNTIFS($C$3:C934,商品マスタ[[#This Row],[仕入先]],$E$3:E934,商品マスタ[[#This Row],[商品名]]) = 1, 1,0)</f>
        <v/>
      </c>
      <c r="G934" s="133">
        <f>TEXT(SUMIF($C$3:C934,商品マスタ[[#This Row],[仕入先]],$F$3:F934), "0000")</f>
        <v/>
      </c>
      <c r="H934" s="167" t="n"/>
      <c r="I934" s="167" t="n"/>
      <c r="J934" s="167" t="n"/>
      <c r="K934" s="167" t="n"/>
      <c r="L934" s="289" t="n"/>
      <c r="M934" s="157" t="n"/>
      <c r="N934" s="289" t="n"/>
      <c r="O934" s="290">
        <f>IF(COUNT(商品マスタ[[#This Row],[参考上代
（税込)]]) &gt; 0, (商品マスタ[[#This Row],[参考上代
（税込)]]-商品マスタ[[#This Row],[国内定価
（15％）]])/(商品マスタ[[#This Row],[参考上代
（税込)]]/1.08), "")</f>
        <v/>
      </c>
      <c r="P934" s="136" t="n">
        <v>0.1</v>
      </c>
      <c r="Q934" s="289">
        <f>商品マスタ[[#This Row],[仕入
単価]]*商品マスタ[[#This Row],[標準国内送料率]]</f>
        <v/>
      </c>
      <c r="R934" s="289" t="n"/>
      <c r="S934" s="289">
        <f>IF(ISBLANK(商品マスタ[[#This Row],[実績
国内送料]]),商品マスタ[[#This Row],[標準国内送料]],)</f>
        <v/>
      </c>
      <c r="T934" s="289">
        <f>商品マスタ[[#This Row],[仕入
単価]]+商品マスタ[[#This Row],[国内送料]]</f>
        <v/>
      </c>
      <c r="U934" s="289">
        <f>ROUNDUP(商品マスタ[[#This Row],[仕入単価+国内送料]]/0.8,-1)</f>
        <v/>
      </c>
      <c r="V934" s="289">
        <f>商品マスタ[[#This Row],[海外定価
（20％）]]-商品マスタ[[#This Row],[仕入単価+国内送料]]</f>
        <v/>
      </c>
      <c r="W934" s="167">
        <f>ROUNDUP(商品マスタ[[#This Row],[仕入単価+国内送料]]/0.85,-1)</f>
        <v/>
      </c>
      <c r="X934" s="289">
        <f>商品マスタ[[#This Row],[国内定価
（15％）]]-商品マスタ[[#This Row],[仕入単価+国内送料]]</f>
        <v/>
      </c>
      <c r="Y934" s="139" t="n"/>
      <c r="Z934" s="167" t="n"/>
      <c r="AA934" s="167" t="n"/>
      <c r="AB934" s="167" t="n"/>
      <c r="AC934" s="293" t="n"/>
      <c r="AD934" s="167" t="n"/>
      <c r="AE934" s="167" t="n"/>
      <c r="AF934" s="158" t="n"/>
      <c r="AG934" s="144" t="n"/>
    </row>
    <row r="935" ht="18" customHeight="1" s="207">
      <c r="A935" s="166" t="n"/>
      <c r="B935" s="167" t="n"/>
      <c r="C935" s="167" t="n"/>
      <c r="D935" s="143">
        <f>"PRD_SNJ_"&amp;
_xlfn.XLOOKUP(商品マスタ[[#This Row],[仕入先]],テーブル1[仕入先名],テーブル1[仕入先コード],"XXX",0,1)&amp;
"_"&amp;
商品マスタ[[#This Row],[シリアル]]&amp;
"_"&amp;
TEXT(COUNTIFS(商品マスタ!$C$3:C935,商品マスタ[[#This Row],[仕入先]],商品マスタ!$E$3:E935,商品マスタ[[#This Row],[商品名]]), "00")</f>
        <v/>
      </c>
      <c r="E935" s="167" t="n"/>
      <c r="F935" s="167">
        <f>IF(COUNTIFS($C$3:C935,商品マスタ[[#This Row],[仕入先]],$E$3:E935,商品マスタ[[#This Row],[商品名]]) = 1, 1,0)</f>
        <v/>
      </c>
      <c r="G935" s="133">
        <f>TEXT(SUMIF($C$3:C935,商品マスタ[[#This Row],[仕入先]],$F$3:F935), "0000")</f>
        <v/>
      </c>
      <c r="H935" s="167" t="n"/>
      <c r="I935" s="167" t="n"/>
      <c r="J935" s="167" t="n"/>
      <c r="K935" s="167" t="n"/>
      <c r="L935" s="289" t="n"/>
      <c r="M935" s="157" t="n"/>
      <c r="N935" s="289" t="n"/>
      <c r="O935" s="290">
        <f>IF(COUNT(商品マスタ[[#This Row],[参考上代
（税込)]]) &gt; 0, (商品マスタ[[#This Row],[参考上代
（税込)]]-商品マスタ[[#This Row],[国内定価
（15％）]])/(商品マスタ[[#This Row],[参考上代
（税込)]]/1.08), "")</f>
        <v/>
      </c>
      <c r="P935" s="136" t="n">
        <v>0.1</v>
      </c>
      <c r="Q935" s="289">
        <f>商品マスタ[[#This Row],[仕入
単価]]*商品マスタ[[#This Row],[標準国内送料率]]</f>
        <v/>
      </c>
      <c r="R935" s="289" t="n"/>
      <c r="S935" s="289">
        <f>IF(ISBLANK(商品マスタ[[#This Row],[実績
国内送料]]),商品マスタ[[#This Row],[標準国内送料]],)</f>
        <v/>
      </c>
      <c r="T935" s="289">
        <f>商品マスタ[[#This Row],[仕入
単価]]+商品マスタ[[#This Row],[国内送料]]</f>
        <v/>
      </c>
      <c r="U935" s="289">
        <f>ROUNDUP(商品マスタ[[#This Row],[仕入単価+国内送料]]/0.8,-1)</f>
        <v/>
      </c>
      <c r="V935" s="289">
        <f>商品マスタ[[#This Row],[海外定価
（20％）]]-商品マスタ[[#This Row],[仕入単価+国内送料]]</f>
        <v/>
      </c>
      <c r="W935" s="167">
        <f>ROUNDUP(商品マスタ[[#This Row],[仕入単価+国内送料]]/0.85,-1)</f>
        <v/>
      </c>
      <c r="X935" s="289">
        <f>商品マスタ[[#This Row],[国内定価
（15％）]]-商品マスタ[[#This Row],[仕入単価+国内送料]]</f>
        <v/>
      </c>
      <c r="Y935" s="139" t="n"/>
      <c r="Z935" s="167" t="n"/>
      <c r="AA935" s="167" t="n"/>
      <c r="AB935" s="167" t="n"/>
      <c r="AC935" s="293" t="n"/>
      <c r="AD935" s="167" t="n"/>
      <c r="AE935" s="167" t="n"/>
      <c r="AF935" s="158" t="n"/>
      <c r="AG935" s="144" t="n"/>
    </row>
    <row r="936" ht="18" customHeight="1" s="207">
      <c r="A936" s="166" t="n"/>
      <c r="B936" s="167" t="n"/>
      <c r="C936" s="167" t="n"/>
      <c r="D936" s="143">
        <f>"PRD_SNJ_"&amp;
_xlfn.XLOOKUP(商品マスタ[[#This Row],[仕入先]],テーブル1[仕入先名],テーブル1[仕入先コード],"XXX",0,1)&amp;
"_"&amp;
商品マスタ[[#This Row],[シリアル]]&amp;
"_"&amp;
TEXT(COUNTIFS(商品マスタ!$C$3:C936,商品マスタ[[#This Row],[仕入先]],商品マスタ!$E$3:E936,商品マスタ[[#This Row],[商品名]]), "00")</f>
        <v/>
      </c>
      <c r="E936" s="167" t="n"/>
      <c r="F936" s="167">
        <f>IF(COUNTIFS($C$3:C936,商品マスタ[[#This Row],[仕入先]],$E$3:E936,商品マスタ[[#This Row],[商品名]]) = 1, 1,0)</f>
        <v/>
      </c>
      <c r="G936" s="133">
        <f>TEXT(SUMIF($C$3:C936,商品マスタ[[#This Row],[仕入先]],$F$3:F936), "0000")</f>
        <v/>
      </c>
      <c r="H936" s="167" t="n"/>
      <c r="I936" s="167" t="n"/>
      <c r="J936" s="167" t="n"/>
      <c r="K936" s="167" t="n"/>
      <c r="L936" s="289" t="n"/>
      <c r="M936" s="157" t="n"/>
      <c r="N936" s="289" t="n"/>
      <c r="O936" s="290">
        <f>IF(COUNT(商品マスタ[[#This Row],[参考上代
（税込)]]) &gt; 0, (商品マスタ[[#This Row],[参考上代
（税込)]]-商品マスタ[[#This Row],[国内定価
（15％）]])/(商品マスタ[[#This Row],[参考上代
（税込)]]/1.08), "")</f>
        <v/>
      </c>
      <c r="P936" s="136" t="n">
        <v>0.1</v>
      </c>
      <c r="Q936" s="289">
        <f>商品マスタ[[#This Row],[仕入
単価]]*商品マスタ[[#This Row],[標準国内送料率]]</f>
        <v/>
      </c>
      <c r="R936" s="289" t="n"/>
      <c r="S936" s="289">
        <f>IF(ISBLANK(商品マスタ[[#This Row],[実績
国内送料]]),商品マスタ[[#This Row],[標準国内送料]],)</f>
        <v/>
      </c>
      <c r="T936" s="289">
        <f>商品マスタ[[#This Row],[仕入
単価]]+商品マスタ[[#This Row],[国内送料]]</f>
        <v/>
      </c>
      <c r="U936" s="289">
        <f>ROUNDUP(商品マスタ[[#This Row],[仕入単価+国内送料]]/0.8,-1)</f>
        <v/>
      </c>
      <c r="V936" s="289">
        <f>商品マスタ[[#This Row],[海外定価
（20％）]]-商品マスタ[[#This Row],[仕入単価+国内送料]]</f>
        <v/>
      </c>
      <c r="W936" s="167">
        <f>ROUNDUP(商品マスタ[[#This Row],[仕入単価+国内送料]]/0.85,-1)</f>
        <v/>
      </c>
      <c r="X936" s="289">
        <f>商品マスタ[[#This Row],[国内定価
（15％）]]-商品マスタ[[#This Row],[仕入単価+国内送料]]</f>
        <v/>
      </c>
      <c r="Y936" s="139" t="n"/>
      <c r="Z936" s="167" t="n"/>
      <c r="AA936" s="167" t="n"/>
      <c r="AB936" s="167" t="n"/>
      <c r="AC936" s="293" t="n"/>
      <c r="AD936" s="167" t="n"/>
      <c r="AE936" s="167" t="n"/>
      <c r="AF936" s="158" t="n"/>
      <c r="AG936" s="144" t="n"/>
    </row>
    <row r="937" ht="18" customHeight="1" s="207">
      <c r="A937" s="166" t="n"/>
      <c r="B937" s="167" t="n"/>
      <c r="C937" s="167" t="n"/>
      <c r="D937" s="143">
        <f>"PRD_SNJ_"&amp;
_xlfn.XLOOKUP(商品マスタ[[#This Row],[仕入先]],テーブル1[仕入先名],テーブル1[仕入先コード],"XXX",0,1)&amp;
"_"&amp;
商品マスタ[[#This Row],[シリアル]]&amp;
"_"&amp;
TEXT(COUNTIFS(商品マスタ!$C$3:C937,商品マスタ[[#This Row],[仕入先]],商品マスタ!$E$3:E937,商品マスタ[[#This Row],[商品名]]), "00")</f>
        <v/>
      </c>
      <c r="E937" s="167" t="n"/>
      <c r="F937" s="167">
        <f>IF(COUNTIFS($C$3:C937,商品マスタ[[#This Row],[仕入先]],$E$3:E937,商品マスタ[[#This Row],[商品名]]) = 1, 1,0)</f>
        <v/>
      </c>
      <c r="G937" s="133">
        <f>TEXT(SUMIF($C$3:C937,商品マスタ[[#This Row],[仕入先]],$F$3:F937), "0000")</f>
        <v/>
      </c>
      <c r="H937" s="167" t="n"/>
      <c r="I937" s="167" t="n"/>
      <c r="J937" s="167" t="n"/>
      <c r="K937" s="167" t="n"/>
      <c r="L937" s="289" t="n"/>
      <c r="M937" s="157" t="n"/>
      <c r="N937" s="289" t="n"/>
      <c r="O937" s="290">
        <f>IF(COUNT(商品マスタ[[#This Row],[参考上代
（税込)]]) &gt; 0, (商品マスタ[[#This Row],[参考上代
（税込)]]-商品マスタ[[#This Row],[国内定価
（15％）]])/(商品マスタ[[#This Row],[参考上代
（税込)]]/1.08), "")</f>
        <v/>
      </c>
      <c r="P937" s="136" t="n">
        <v>0.1</v>
      </c>
      <c r="Q937" s="289">
        <f>商品マスタ[[#This Row],[仕入
単価]]*商品マスタ[[#This Row],[標準国内送料率]]</f>
        <v/>
      </c>
      <c r="R937" s="289" t="n"/>
      <c r="S937" s="289">
        <f>IF(ISBLANK(商品マスタ[[#This Row],[実績
国内送料]]),商品マスタ[[#This Row],[標準国内送料]],)</f>
        <v/>
      </c>
      <c r="T937" s="289">
        <f>商品マスタ[[#This Row],[仕入
単価]]+商品マスタ[[#This Row],[国内送料]]</f>
        <v/>
      </c>
      <c r="U937" s="289">
        <f>ROUNDUP(商品マスタ[[#This Row],[仕入単価+国内送料]]/0.8,-1)</f>
        <v/>
      </c>
      <c r="V937" s="289">
        <f>商品マスタ[[#This Row],[海外定価
（20％）]]-商品マスタ[[#This Row],[仕入単価+国内送料]]</f>
        <v/>
      </c>
      <c r="W937" s="167">
        <f>ROUNDUP(商品マスタ[[#This Row],[仕入単価+国内送料]]/0.85,-1)</f>
        <v/>
      </c>
      <c r="X937" s="289">
        <f>商品マスタ[[#This Row],[国内定価
（15％）]]-商品マスタ[[#This Row],[仕入単価+国内送料]]</f>
        <v/>
      </c>
      <c r="Y937" s="139" t="n"/>
      <c r="Z937" s="167" t="n"/>
      <c r="AA937" s="167" t="n"/>
      <c r="AB937" s="167" t="n"/>
      <c r="AC937" s="293" t="n"/>
      <c r="AD937" s="167" t="n"/>
      <c r="AE937" s="167" t="n"/>
      <c r="AF937" s="158" t="n"/>
      <c r="AG937" s="144" t="n"/>
    </row>
    <row r="938" ht="18" customHeight="1" s="207">
      <c r="A938" s="166" t="n"/>
      <c r="B938" s="167" t="n"/>
      <c r="C938" s="167" t="n"/>
      <c r="D938" s="143">
        <f>"PRD_SNJ_"&amp;
_xlfn.XLOOKUP(商品マスタ[[#This Row],[仕入先]],テーブル1[仕入先名],テーブル1[仕入先コード],"XXX",0,1)&amp;
"_"&amp;
商品マスタ[[#This Row],[シリアル]]&amp;
"_"&amp;
TEXT(COUNTIFS(商品マスタ!$C$3:C938,商品マスタ[[#This Row],[仕入先]],商品マスタ!$E$3:E938,商品マスタ[[#This Row],[商品名]]), "00")</f>
        <v/>
      </c>
      <c r="E938" s="167" t="n"/>
      <c r="F938" s="167">
        <f>IF(COUNTIFS($C$3:C938,商品マスタ[[#This Row],[仕入先]],$E$3:E938,商品マスタ[[#This Row],[商品名]]) = 1, 1,0)</f>
        <v/>
      </c>
      <c r="G938" s="133">
        <f>TEXT(SUMIF($C$3:C938,商品マスタ[[#This Row],[仕入先]],$F$3:F938), "0000")</f>
        <v/>
      </c>
      <c r="H938" s="167" t="n"/>
      <c r="I938" s="167" t="n"/>
      <c r="J938" s="167" t="n"/>
      <c r="K938" s="167" t="n"/>
      <c r="L938" s="289" t="n"/>
      <c r="M938" s="157" t="n"/>
      <c r="N938" s="289" t="n"/>
      <c r="O938" s="290">
        <f>IF(COUNT(商品マスタ[[#This Row],[参考上代
（税込)]]) &gt; 0, (商品マスタ[[#This Row],[参考上代
（税込)]]-商品マスタ[[#This Row],[国内定価
（15％）]])/(商品マスタ[[#This Row],[参考上代
（税込)]]/1.08), "")</f>
        <v/>
      </c>
      <c r="P938" s="136" t="n">
        <v>0.1</v>
      </c>
      <c r="Q938" s="289">
        <f>商品マスタ[[#This Row],[仕入
単価]]*商品マスタ[[#This Row],[標準国内送料率]]</f>
        <v/>
      </c>
      <c r="R938" s="289" t="n"/>
      <c r="S938" s="289">
        <f>IF(ISBLANK(商品マスタ[[#This Row],[実績
国内送料]]),商品マスタ[[#This Row],[標準国内送料]],)</f>
        <v/>
      </c>
      <c r="T938" s="289">
        <f>商品マスタ[[#This Row],[仕入
単価]]+商品マスタ[[#This Row],[国内送料]]</f>
        <v/>
      </c>
      <c r="U938" s="289">
        <f>ROUNDUP(商品マスタ[[#This Row],[仕入単価+国内送料]]/0.8,-1)</f>
        <v/>
      </c>
      <c r="V938" s="289">
        <f>商品マスタ[[#This Row],[海外定価
（20％）]]-商品マスタ[[#This Row],[仕入単価+国内送料]]</f>
        <v/>
      </c>
      <c r="W938" s="167">
        <f>ROUNDUP(商品マスタ[[#This Row],[仕入単価+国内送料]]/0.85,-1)</f>
        <v/>
      </c>
      <c r="X938" s="289">
        <f>商品マスタ[[#This Row],[国内定価
（15％）]]-商品マスタ[[#This Row],[仕入単価+国内送料]]</f>
        <v/>
      </c>
      <c r="Y938" s="139" t="n"/>
      <c r="Z938" s="167" t="n"/>
      <c r="AA938" s="167" t="n"/>
      <c r="AB938" s="167" t="n"/>
      <c r="AC938" s="293" t="n"/>
      <c r="AD938" s="167" t="n"/>
      <c r="AE938" s="167" t="n"/>
      <c r="AF938" s="158" t="n"/>
      <c r="AG938" s="144" t="n"/>
    </row>
    <row r="939" ht="18" customHeight="1" s="207">
      <c r="A939" s="166" t="n"/>
      <c r="B939" s="167" t="n"/>
      <c r="C939" s="167" t="n"/>
      <c r="D939" s="143">
        <f>"PRD_SNJ_"&amp;
_xlfn.XLOOKUP(商品マスタ[[#This Row],[仕入先]],テーブル1[仕入先名],テーブル1[仕入先コード],"XXX",0,1)&amp;
"_"&amp;
商品マスタ[[#This Row],[シリアル]]&amp;
"_"&amp;
TEXT(COUNTIFS(商品マスタ!$C$3:C939,商品マスタ[[#This Row],[仕入先]],商品マスタ!$E$3:E939,商品マスタ[[#This Row],[商品名]]), "00")</f>
        <v/>
      </c>
      <c r="E939" s="167" t="n"/>
      <c r="F939" s="167">
        <f>IF(COUNTIFS($C$3:C939,商品マスタ[[#This Row],[仕入先]],$E$3:E939,商品マスタ[[#This Row],[商品名]]) = 1, 1,0)</f>
        <v/>
      </c>
      <c r="G939" s="133">
        <f>TEXT(SUMIF($C$3:C939,商品マスタ[[#This Row],[仕入先]],$F$3:F939), "0000")</f>
        <v/>
      </c>
      <c r="H939" s="167" t="n"/>
      <c r="I939" s="167" t="n"/>
      <c r="J939" s="167" t="n"/>
      <c r="K939" s="167" t="n"/>
      <c r="L939" s="289" t="n"/>
      <c r="M939" s="157" t="n"/>
      <c r="N939" s="289" t="n"/>
      <c r="O939" s="290">
        <f>IF(COUNT(商品マスタ[[#This Row],[参考上代
（税込)]]) &gt; 0, (商品マスタ[[#This Row],[参考上代
（税込)]]-商品マスタ[[#This Row],[国内定価
（15％）]])/(商品マスタ[[#This Row],[参考上代
（税込)]]/1.08), "")</f>
        <v/>
      </c>
      <c r="P939" s="136" t="n">
        <v>0.1</v>
      </c>
      <c r="Q939" s="289">
        <f>商品マスタ[[#This Row],[仕入
単価]]*商品マスタ[[#This Row],[標準国内送料率]]</f>
        <v/>
      </c>
      <c r="R939" s="289" t="n"/>
      <c r="S939" s="289">
        <f>IF(ISBLANK(商品マスタ[[#This Row],[実績
国内送料]]),商品マスタ[[#This Row],[標準国内送料]],)</f>
        <v/>
      </c>
      <c r="T939" s="289">
        <f>商品マスタ[[#This Row],[仕入
単価]]+商品マスタ[[#This Row],[国内送料]]</f>
        <v/>
      </c>
      <c r="U939" s="289">
        <f>ROUNDUP(商品マスタ[[#This Row],[仕入単価+国内送料]]/0.8,-1)</f>
        <v/>
      </c>
      <c r="V939" s="289">
        <f>商品マスタ[[#This Row],[海外定価
（20％）]]-商品マスタ[[#This Row],[仕入単価+国内送料]]</f>
        <v/>
      </c>
      <c r="W939" s="167">
        <f>ROUNDUP(商品マスタ[[#This Row],[仕入単価+国内送料]]/0.85,-1)</f>
        <v/>
      </c>
      <c r="X939" s="289">
        <f>商品マスタ[[#This Row],[国内定価
（15％）]]-商品マスタ[[#This Row],[仕入単価+国内送料]]</f>
        <v/>
      </c>
      <c r="Y939" s="139" t="n"/>
      <c r="Z939" s="167" t="n"/>
      <c r="AA939" s="167" t="n"/>
      <c r="AB939" s="167" t="n"/>
      <c r="AC939" s="293" t="n"/>
      <c r="AD939" s="167" t="n"/>
      <c r="AE939" s="167" t="n"/>
      <c r="AF939" s="158" t="n"/>
      <c r="AG939" s="144" t="n"/>
    </row>
    <row r="940" ht="18" customHeight="1" s="207">
      <c r="A940" s="166" t="n"/>
      <c r="B940" s="167" t="n"/>
      <c r="C940" s="167" t="n"/>
      <c r="D940" s="143">
        <f>"PRD_SNJ_"&amp;
_xlfn.XLOOKUP(商品マスタ[[#This Row],[仕入先]],テーブル1[仕入先名],テーブル1[仕入先コード],"XXX",0,1)&amp;
"_"&amp;
商品マスタ[[#This Row],[シリアル]]&amp;
"_"&amp;
TEXT(COUNTIFS(商品マスタ!$C$3:C940,商品マスタ[[#This Row],[仕入先]],商品マスタ!$E$3:E940,商品マスタ[[#This Row],[商品名]]), "00")</f>
        <v/>
      </c>
      <c r="E940" s="167" t="n"/>
      <c r="F940" s="167">
        <f>IF(COUNTIFS($C$3:C940,商品マスタ[[#This Row],[仕入先]],$E$3:E940,商品マスタ[[#This Row],[商品名]]) = 1, 1,0)</f>
        <v/>
      </c>
      <c r="G940" s="133">
        <f>TEXT(SUMIF($C$3:C940,商品マスタ[[#This Row],[仕入先]],$F$3:F940), "0000")</f>
        <v/>
      </c>
      <c r="H940" s="167" t="n"/>
      <c r="I940" s="167" t="n"/>
      <c r="J940" s="167" t="n"/>
      <c r="K940" s="167" t="n"/>
      <c r="L940" s="289" t="n"/>
      <c r="M940" s="157" t="n"/>
      <c r="N940" s="289" t="n"/>
      <c r="O940" s="290">
        <f>IF(COUNT(商品マスタ[[#This Row],[参考上代
（税込)]]) &gt; 0, (商品マスタ[[#This Row],[参考上代
（税込)]]-商品マスタ[[#This Row],[国内定価
（15％）]])/(商品マスタ[[#This Row],[参考上代
（税込)]]/1.08), "")</f>
        <v/>
      </c>
      <c r="P940" s="136" t="n">
        <v>0.1</v>
      </c>
      <c r="Q940" s="289">
        <f>商品マスタ[[#This Row],[仕入
単価]]*商品マスタ[[#This Row],[標準国内送料率]]</f>
        <v/>
      </c>
      <c r="R940" s="289" t="n"/>
      <c r="S940" s="289">
        <f>IF(ISBLANK(商品マスタ[[#This Row],[実績
国内送料]]),商品マスタ[[#This Row],[標準国内送料]],)</f>
        <v/>
      </c>
      <c r="T940" s="289">
        <f>商品マスタ[[#This Row],[仕入
単価]]+商品マスタ[[#This Row],[国内送料]]</f>
        <v/>
      </c>
      <c r="U940" s="289">
        <f>ROUNDUP(商品マスタ[[#This Row],[仕入単価+国内送料]]/0.8,-1)</f>
        <v/>
      </c>
      <c r="V940" s="289">
        <f>商品マスタ[[#This Row],[海外定価
（20％）]]-商品マスタ[[#This Row],[仕入単価+国内送料]]</f>
        <v/>
      </c>
      <c r="W940" s="167">
        <f>ROUNDUP(商品マスタ[[#This Row],[仕入単価+国内送料]]/0.85,-1)</f>
        <v/>
      </c>
      <c r="X940" s="289">
        <f>商品マスタ[[#This Row],[国内定価
（15％）]]-商品マスタ[[#This Row],[仕入単価+国内送料]]</f>
        <v/>
      </c>
      <c r="Y940" s="139" t="n"/>
      <c r="Z940" s="167" t="n"/>
      <c r="AA940" s="167" t="n"/>
      <c r="AB940" s="167" t="n"/>
      <c r="AC940" s="293" t="n"/>
      <c r="AD940" s="167" t="n"/>
      <c r="AE940" s="167" t="n"/>
      <c r="AF940" s="158" t="n"/>
      <c r="AG940" s="144" t="n"/>
    </row>
    <row r="941" ht="18" customHeight="1" s="207">
      <c r="A941" s="166" t="n"/>
      <c r="B941" s="167" t="n"/>
      <c r="C941" s="167" t="n"/>
      <c r="D941" s="143">
        <f>"PRD_SNJ_"&amp;
_xlfn.XLOOKUP(商品マスタ[[#This Row],[仕入先]],テーブル1[仕入先名],テーブル1[仕入先コード],"XXX",0,1)&amp;
"_"&amp;
商品マスタ[[#This Row],[シリアル]]&amp;
"_"&amp;
TEXT(COUNTIFS(商品マスタ!$C$3:C941,商品マスタ[[#This Row],[仕入先]],商品マスタ!$E$3:E941,商品マスタ[[#This Row],[商品名]]), "00")</f>
        <v/>
      </c>
      <c r="E941" s="167" t="n"/>
      <c r="F941" s="167">
        <f>IF(COUNTIFS($C$3:C941,商品マスタ[[#This Row],[仕入先]],$E$3:E941,商品マスタ[[#This Row],[商品名]]) = 1, 1,0)</f>
        <v/>
      </c>
      <c r="G941" s="133">
        <f>TEXT(SUMIF($C$3:C941,商品マスタ[[#This Row],[仕入先]],$F$3:F941), "0000")</f>
        <v/>
      </c>
      <c r="H941" s="167" t="n"/>
      <c r="I941" s="167" t="n"/>
      <c r="J941" s="167" t="n"/>
      <c r="K941" s="167" t="n"/>
      <c r="L941" s="289" t="n"/>
      <c r="M941" s="157" t="n"/>
      <c r="N941" s="289" t="n"/>
      <c r="O941" s="290">
        <f>IF(COUNT(商品マスタ[[#This Row],[参考上代
（税込)]]) &gt; 0, (商品マスタ[[#This Row],[参考上代
（税込)]]-商品マスタ[[#This Row],[国内定価
（15％）]])/(商品マスタ[[#This Row],[参考上代
（税込)]]/1.08), "")</f>
        <v/>
      </c>
      <c r="P941" s="136" t="n">
        <v>0.1</v>
      </c>
      <c r="Q941" s="289">
        <f>商品マスタ[[#This Row],[仕入
単価]]*商品マスタ[[#This Row],[標準国内送料率]]</f>
        <v/>
      </c>
      <c r="R941" s="289" t="n"/>
      <c r="S941" s="289">
        <f>IF(ISBLANK(商品マスタ[[#This Row],[実績
国内送料]]),商品マスタ[[#This Row],[標準国内送料]],)</f>
        <v/>
      </c>
      <c r="T941" s="289">
        <f>商品マスタ[[#This Row],[仕入
単価]]+商品マスタ[[#This Row],[国内送料]]</f>
        <v/>
      </c>
      <c r="U941" s="289">
        <f>ROUNDUP(商品マスタ[[#This Row],[仕入単価+国内送料]]/0.8,-1)</f>
        <v/>
      </c>
      <c r="V941" s="289">
        <f>商品マスタ[[#This Row],[海外定価
（20％）]]-商品マスタ[[#This Row],[仕入単価+国内送料]]</f>
        <v/>
      </c>
      <c r="W941" s="167">
        <f>ROUNDUP(商品マスタ[[#This Row],[仕入単価+国内送料]]/0.85,-1)</f>
        <v/>
      </c>
      <c r="X941" s="289">
        <f>商品マスタ[[#This Row],[国内定価
（15％）]]-商品マスタ[[#This Row],[仕入単価+国内送料]]</f>
        <v/>
      </c>
      <c r="Y941" s="139" t="n"/>
      <c r="Z941" s="167" t="n"/>
      <c r="AA941" s="167" t="n"/>
      <c r="AB941" s="167" t="n"/>
      <c r="AC941" s="293" t="n"/>
      <c r="AD941" s="167" t="n"/>
      <c r="AE941" s="167" t="n"/>
      <c r="AF941" s="158" t="n"/>
      <c r="AG941" s="144" t="n"/>
    </row>
    <row r="942" ht="18" customHeight="1" s="207">
      <c r="A942" s="166" t="n"/>
      <c r="B942" s="167" t="n"/>
      <c r="C942" s="167" t="n"/>
      <c r="D942" s="143">
        <f>"PRD_SNJ_"&amp;
_xlfn.XLOOKUP(商品マスタ[[#This Row],[仕入先]],テーブル1[仕入先名],テーブル1[仕入先コード],"XXX",0,1)&amp;
"_"&amp;
商品マスタ[[#This Row],[シリアル]]&amp;
"_"&amp;
TEXT(COUNTIFS(商品マスタ!$C$3:C942,商品マスタ[[#This Row],[仕入先]],商品マスタ!$E$3:E942,商品マスタ[[#This Row],[商品名]]), "00")</f>
        <v/>
      </c>
      <c r="E942" s="167" t="n"/>
      <c r="F942" s="167">
        <f>IF(COUNTIFS($C$3:C942,商品マスタ[[#This Row],[仕入先]],$E$3:E942,商品マスタ[[#This Row],[商品名]]) = 1, 1,0)</f>
        <v/>
      </c>
      <c r="G942" s="133">
        <f>TEXT(SUMIF($C$3:C942,商品マスタ[[#This Row],[仕入先]],$F$3:F942), "0000")</f>
        <v/>
      </c>
      <c r="H942" s="167" t="n"/>
      <c r="I942" s="167" t="n"/>
      <c r="J942" s="167" t="n"/>
      <c r="K942" s="167" t="n"/>
      <c r="L942" s="289" t="n"/>
      <c r="M942" s="157" t="n"/>
      <c r="N942" s="289" t="n"/>
      <c r="O942" s="290">
        <f>IF(COUNT(商品マスタ[[#This Row],[参考上代
（税込)]]) &gt; 0, (商品マスタ[[#This Row],[参考上代
（税込)]]-商品マスタ[[#This Row],[国内定価
（15％）]])/(商品マスタ[[#This Row],[参考上代
（税込)]]/1.08), "")</f>
        <v/>
      </c>
      <c r="P942" s="136" t="n">
        <v>0.1</v>
      </c>
      <c r="Q942" s="289">
        <f>商品マスタ[[#This Row],[仕入
単価]]*商品マスタ[[#This Row],[標準国内送料率]]</f>
        <v/>
      </c>
      <c r="R942" s="289" t="n"/>
      <c r="S942" s="289">
        <f>IF(ISBLANK(商品マスタ[[#This Row],[実績
国内送料]]),商品マスタ[[#This Row],[標準国内送料]],)</f>
        <v/>
      </c>
      <c r="T942" s="289">
        <f>商品マスタ[[#This Row],[仕入
単価]]+商品マスタ[[#This Row],[国内送料]]</f>
        <v/>
      </c>
      <c r="U942" s="289">
        <f>ROUNDUP(商品マスタ[[#This Row],[仕入単価+国内送料]]/0.8,-1)</f>
        <v/>
      </c>
      <c r="V942" s="289">
        <f>商品マスタ[[#This Row],[海外定価
（20％）]]-商品マスタ[[#This Row],[仕入単価+国内送料]]</f>
        <v/>
      </c>
      <c r="W942" s="167">
        <f>ROUNDUP(商品マスタ[[#This Row],[仕入単価+国内送料]]/0.85,-1)</f>
        <v/>
      </c>
      <c r="X942" s="289">
        <f>商品マスタ[[#This Row],[国内定価
（15％）]]-商品マスタ[[#This Row],[仕入単価+国内送料]]</f>
        <v/>
      </c>
      <c r="Y942" s="139" t="n"/>
      <c r="Z942" s="167" t="n"/>
      <c r="AA942" s="167" t="n"/>
      <c r="AB942" s="167" t="n"/>
      <c r="AC942" s="293" t="n"/>
      <c r="AD942" s="167" t="n"/>
      <c r="AE942" s="167" t="n"/>
      <c r="AF942" s="158" t="n"/>
      <c r="AG942" s="144" t="n"/>
    </row>
    <row r="943" ht="18" customHeight="1" s="207">
      <c r="A943" s="166" t="n"/>
      <c r="B943" s="167" t="n"/>
      <c r="C943" s="167" t="n"/>
      <c r="D943" s="143">
        <f>"PRD_SNJ_"&amp;
_xlfn.XLOOKUP(商品マスタ[[#This Row],[仕入先]],テーブル1[仕入先名],テーブル1[仕入先コード],"XXX",0,1)&amp;
"_"&amp;
商品マスタ[[#This Row],[シリアル]]&amp;
"_"&amp;
TEXT(COUNTIFS(商品マスタ!$C$3:C943,商品マスタ[[#This Row],[仕入先]],商品マスタ!$E$3:E943,商品マスタ[[#This Row],[商品名]]), "00")</f>
        <v/>
      </c>
      <c r="E943" s="167" t="n"/>
      <c r="F943" s="167">
        <f>IF(COUNTIFS($C$3:C943,商品マスタ[[#This Row],[仕入先]],$E$3:E943,商品マスタ[[#This Row],[商品名]]) = 1, 1,0)</f>
        <v/>
      </c>
      <c r="G943" s="133">
        <f>TEXT(SUMIF($C$3:C943,商品マスタ[[#This Row],[仕入先]],$F$3:F943), "0000")</f>
        <v/>
      </c>
      <c r="H943" s="167" t="n"/>
      <c r="I943" s="167" t="n"/>
      <c r="J943" s="167" t="n"/>
      <c r="K943" s="167" t="n"/>
      <c r="L943" s="289" t="n"/>
      <c r="M943" s="157" t="n"/>
      <c r="N943" s="289" t="n"/>
      <c r="O943" s="290">
        <f>IF(COUNT(商品マスタ[[#This Row],[参考上代
（税込)]]) &gt; 0, (商品マスタ[[#This Row],[参考上代
（税込)]]-商品マスタ[[#This Row],[国内定価
（15％）]])/(商品マスタ[[#This Row],[参考上代
（税込)]]/1.08), "")</f>
        <v/>
      </c>
      <c r="P943" s="136" t="n">
        <v>0.1</v>
      </c>
      <c r="Q943" s="289">
        <f>商品マスタ[[#This Row],[仕入
単価]]*商品マスタ[[#This Row],[標準国内送料率]]</f>
        <v/>
      </c>
      <c r="R943" s="289" t="n"/>
      <c r="S943" s="289">
        <f>IF(ISBLANK(商品マスタ[[#This Row],[実績
国内送料]]),商品マスタ[[#This Row],[標準国内送料]],)</f>
        <v/>
      </c>
      <c r="T943" s="289">
        <f>商品マスタ[[#This Row],[仕入
単価]]+商品マスタ[[#This Row],[国内送料]]</f>
        <v/>
      </c>
      <c r="U943" s="289">
        <f>ROUNDUP(商品マスタ[[#This Row],[仕入単価+国内送料]]/0.8,-1)</f>
        <v/>
      </c>
      <c r="V943" s="289">
        <f>商品マスタ[[#This Row],[海外定価
（20％）]]-商品マスタ[[#This Row],[仕入単価+国内送料]]</f>
        <v/>
      </c>
      <c r="W943" s="167">
        <f>ROUNDUP(商品マスタ[[#This Row],[仕入単価+国内送料]]/0.85,-1)</f>
        <v/>
      </c>
      <c r="X943" s="289">
        <f>商品マスタ[[#This Row],[国内定価
（15％）]]-商品マスタ[[#This Row],[仕入単価+国内送料]]</f>
        <v/>
      </c>
      <c r="Y943" s="139" t="n"/>
      <c r="Z943" s="167" t="n"/>
      <c r="AA943" s="167" t="n"/>
      <c r="AB943" s="167" t="n"/>
      <c r="AC943" s="293" t="n"/>
      <c r="AD943" s="167" t="n"/>
      <c r="AE943" s="167" t="n"/>
      <c r="AF943" s="158" t="n"/>
      <c r="AG943" s="144" t="n"/>
    </row>
    <row r="944" ht="18" customHeight="1" s="207">
      <c r="A944" s="166" t="n"/>
      <c r="B944" s="167" t="n"/>
      <c r="C944" s="167" t="n"/>
      <c r="D944" s="143">
        <f>"PRD_SNJ_"&amp;
_xlfn.XLOOKUP(商品マスタ[[#This Row],[仕入先]],テーブル1[仕入先名],テーブル1[仕入先コード],"XXX",0,1)&amp;
"_"&amp;
商品マスタ[[#This Row],[シリアル]]&amp;
"_"&amp;
TEXT(COUNTIFS(商品マスタ!$C$3:C944,商品マスタ[[#This Row],[仕入先]],商品マスタ!$E$3:E944,商品マスタ[[#This Row],[商品名]]), "00")</f>
        <v/>
      </c>
      <c r="E944" s="167" t="n"/>
      <c r="F944" s="167">
        <f>IF(COUNTIFS($C$3:C944,商品マスタ[[#This Row],[仕入先]],$E$3:E944,商品マスタ[[#This Row],[商品名]]) = 1, 1,0)</f>
        <v/>
      </c>
      <c r="G944" s="133">
        <f>TEXT(SUMIF($C$3:C944,商品マスタ[[#This Row],[仕入先]],$F$3:F944), "0000")</f>
        <v/>
      </c>
      <c r="H944" s="167" t="n"/>
      <c r="I944" s="167" t="n"/>
      <c r="J944" s="167" t="n"/>
      <c r="K944" s="167" t="n"/>
      <c r="L944" s="289" t="n"/>
      <c r="M944" s="157" t="n"/>
      <c r="N944" s="289" t="n"/>
      <c r="O944" s="290">
        <f>IF(COUNT(商品マスタ[[#This Row],[参考上代
（税込)]]) &gt; 0, (商品マスタ[[#This Row],[参考上代
（税込)]]-商品マスタ[[#This Row],[国内定価
（15％）]])/(商品マスタ[[#This Row],[参考上代
（税込)]]/1.08), "")</f>
        <v/>
      </c>
      <c r="P944" s="136" t="n">
        <v>0.1</v>
      </c>
      <c r="Q944" s="289">
        <f>商品マスタ[[#This Row],[仕入
単価]]*商品マスタ[[#This Row],[標準国内送料率]]</f>
        <v/>
      </c>
      <c r="R944" s="289" t="n"/>
      <c r="S944" s="289">
        <f>IF(ISBLANK(商品マスタ[[#This Row],[実績
国内送料]]),商品マスタ[[#This Row],[標準国内送料]],)</f>
        <v/>
      </c>
      <c r="T944" s="289">
        <f>商品マスタ[[#This Row],[仕入
単価]]+商品マスタ[[#This Row],[国内送料]]</f>
        <v/>
      </c>
      <c r="U944" s="289">
        <f>ROUNDUP(商品マスタ[[#This Row],[仕入単価+国内送料]]/0.8,-1)</f>
        <v/>
      </c>
      <c r="V944" s="289">
        <f>商品マスタ[[#This Row],[海外定価
（20％）]]-商品マスタ[[#This Row],[仕入単価+国内送料]]</f>
        <v/>
      </c>
      <c r="W944" s="167">
        <f>ROUNDUP(商品マスタ[[#This Row],[仕入単価+国内送料]]/0.85,-1)</f>
        <v/>
      </c>
      <c r="X944" s="289">
        <f>商品マスタ[[#This Row],[国内定価
（15％）]]-商品マスタ[[#This Row],[仕入単価+国内送料]]</f>
        <v/>
      </c>
      <c r="Y944" s="139" t="n"/>
      <c r="Z944" s="167" t="n"/>
      <c r="AA944" s="167" t="n"/>
      <c r="AB944" s="167" t="n"/>
      <c r="AC944" s="293" t="n"/>
      <c r="AD944" s="167" t="n"/>
      <c r="AE944" s="167" t="n"/>
      <c r="AF944" s="158" t="n"/>
      <c r="AG944" s="144" t="n"/>
    </row>
    <row r="945" ht="18" customHeight="1" s="207">
      <c r="A945" s="166" t="n"/>
      <c r="B945" s="167" t="n"/>
      <c r="C945" s="167" t="n"/>
      <c r="D945" s="143">
        <f>"PRD_SNJ_"&amp;
_xlfn.XLOOKUP(商品マスタ[[#This Row],[仕入先]],テーブル1[仕入先名],テーブル1[仕入先コード],"XXX",0,1)&amp;
"_"&amp;
商品マスタ[[#This Row],[シリアル]]&amp;
"_"&amp;
TEXT(COUNTIFS(商品マスタ!$C$3:C945,商品マスタ[[#This Row],[仕入先]],商品マスタ!$E$3:E945,商品マスタ[[#This Row],[商品名]]), "00")</f>
        <v/>
      </c>
      <c r="E945" s="167" t="n"/>
      <c r="F945" s="167">
        <f>IF(COUNTIFS($C$3:C945,商品マスタ[[#This Row],[仕入先]],$E$3:E945,商品マスタ[[#This Row],[商品名]]) = 1, 1,0)</f>
        <v/>
      </c>
      <c r="G945" s="133">
        <f>TEXT(SUMIF($C$3:C945,商品マスタ[[#This Row],[仕入先]],$F$3:F945), "0000")</f>
        <v/>
      </c>
      <c r="H945" s="167" t="n"/>
      <c r="I945" s="167" t="n"/>
      <c r="J945" s="167" t="n"/>
      <c r="K945" s="167" t="n"/>
      <c r="L945" s="289" t="n"/>
      <c r="M945" s="157" t="n"/>
      <c r="N945" s="289" t="n"/>
      <c r="O945" s="290">
        <f>IF(COUNT(商品マスタ[[#This Row],[参考上代
（税込)]]) &gt; 0, (商品マスタ[[#This Row],[参考上代
（税込)]]-商品マスタ[[#This Row],[国内定価
（15％）]])/(商品マスタ[[#This Row],[参考上代
（税込)]]/1.08), "")</f>
        <v/>
      </c>
      <c r="P945" s="136" t="n">
        <v>0.1</v>
      </c>
      <c r="Q945" s="289">
        <f>商品マスタ[[#This Row],[仕入
単価]]*商品マスタ[[#This Row],[標準国内送料率]]</f>
        <v/>
      </c>
      <c r="R945" s="289" t="n"/>
      <c r="S945" s="289">
        <f>IF(ISBLANK(商品マスタ[[#This Row],[実績
国内送料]]),商品マスタ[[#This Row],[標準国内送料]],)</f>
        <v/>
      </c>
      <c r="T945" s="289">
        <f>商品マスタ[[#This Row],[仕入
単価]]+商品マスタ[[#This Row],[国内送料]]</f>
        <v/>
      </c>
      <c r="U945" s="289">
        <f>ROUNDUP(商品マスタ[[#This Row],[仕入単価+国内送料]]/0.8,-1)</f>
        <v/>
      </c>
      <c r="V945" s="289">
        <f>商品マスタ[[#This Row],[海外定価
（20％）]]-商品マスタ[[#This Row],[仕入単価+国内送料]]</f>
        <v/>
      </c>
      <c r="W945" s="167">
        <f>ROUNDUP(商品マスタ[[#This Row],[仕入単価+国内送料]]/0.85,-1)</f>
        <v/>
      </c>
      <c r="X945" s="289">
        <f>商品マスタ[[#This Row],[国内定価
（15％）]]-商品マスタ[[#This Row],[仕入単価+国内送料]]</f>
        <v/>
      </c>
      <c r="Y945" s="139" t="n"/>
      <c r="Z945" s="167" t="n"/>
      <c r="AA945" s="167" t="n"/>
      <c r="AB945" s="167" t="n"/>
      <c r="AC945" s="293" t="n"/>
      <c r="AD945" s="167" t="n"/>
      <c r="AE945" s="167" t="n"/>
      <c r="AF945" s="158" t="n"/>
      <c r="AG945" s="144" t="n"/>
    </row>
    <row r="946" ht="18" customHeight="1" s="207">
      <c r="A946" s="166" t="n"/>
      <c r="B946" s="167" t="n"/>
      <c r="C946" s="167" t="n"/>
      <c r="D946" s="143">
        <f>"PRD_SNJ_"&amp;
_xlfn.XLOOKUP(商品マスタ[[#This Row],[仕入先]],テーブル1[仕入先名],テーブル1[仕入先コード],"XXX",0,1)&amp;
"_"&amp;
商品マスタ[[#This Row],[シリアル]]&amp;
"_"&amp;
TEXT(COUNTIFS(商品マスタ!$C$3:C946,商品マスタ[[#This Row],[仕入先]],商品マスタ!$E$3:E946,商品マスタ[[#This Row],[商品名]]), "00")</f>
        <v/>
      </c>
      <c r="E946" s="167" t="n"/>
      <c r="F946" s="167">
        <f>IF(COUNTIFS($C$3:C946,商品マスタ[[#This Row],[仕入先]],$E$3:E946,商品マスタ[[#This Row],[商品名]]) = 1, 1,0)</f>
        <v/>
      </c>
      <c r="G946" s="133">
        <f>TEXT(SUMIF($C$3:C946,商品マスタ[[#This Row],[仕入先]],$F$3:F946), "0000")</f>
        <v/>
      </c>
      <c r="H946" s="167" t="n"/>
      <c r="I946" s="167" t="n"/>
      <c r="J946" s="167" t="n"/>
      <c r="K946" s="167" t="n"/>
      <c r="L946" s="289" t="n"/>
      <c r="M946" s="157" t="n"/>
      <c r="N946" s="289" t="n"/>
      <c r="O946" s="290">
        <f>IF(COUNT(商品マスタ[[#This Row],[参考上代
（税込)]]) &gt; 0, (商品マスタ[[#This Row],[参考上代
（税込)]]-商品マスタ[[#This Row],[国内定価
（15％）]])/(商品マスタ[[#This Row],[参考上代
（税込)]]/1.08), "")</f>
        <v/>
      </c>
      <c r="P946" s="136" t="n">
        <v>0.1</v>
      </c>
      <c r="Q946" s="289">
        <f>商品マスタ[[#This Row],[仕入
単価]]*商品マスタ[[#This Row],[標準国内送料率]]</f>
        <v/>
      </c>
      <c r="R946" s="289" t="n"/>
      <c r="S946" s="289">
        <f>IF(ISBLANK(商品マスタ[[#This Row],[実績
国内送料]]),商品マスタ[[#This Row],[標準国内送料]],)</f>
        <v/>
      </c>
      <c r="T946" s="289">
        <f>商品マスタ[[#This Row],[仕入
単価]]+商品マスタ[[#This Row],[国内送料]]</f>
        <v/>
      </c>
      <c r="U946" s="289">
        <f>ROUNDUP(商品マスタ[[#This Row],[仕入単価+国内送料]]/0.8,-1)</f>
        <v/>
      </c>
      <c r="V946" s="289">
        <f>商品マスタ[[#This Row],[海外定価
（20％）]]-商品マスタ[[#This Row],[仕入単価+国内送料]]</f>
        <v/>
      </c>
      <c r="W946" s="167">
        <f>ROUNDUP(商品マスタ[[#This Row],[仕入単価+国内送料]]/0.85,-1)</f>
        <v/>
      </c>
      <c r="X946" s="289">
        <f>商品マスタ[[#This Row],[国内定価
（15％）]]-商品マスタ[[#This Row],[仕入単価+国内送料]]</f>
        <v/>
      </c>
      <c r="Y946" s="139" t="n"/>
      <c r="Z946" s="167" t="n"/>
      <c r="AA946" s="167" t="n"/>
      <c r="AB946" s="167" t="n"/>
      <c r="AC946" s="293" t="n"/>
      <c r="AD946" s="167" t="n"/>
      <c r="AE946" s="167" t="n"/>
      <c r="AF946" s="158" t="n"/>
      <c r="AG946" s="144" t="n"/>
    </row>
    <row r="947" ht="18" customHeight="1" s="207">
      <c r="A947" s="166" t="n"/>
      <c r="B947" s="167" t="n"/>
      <c r="C947" s="167" t="n"/>
      <c r="D947" s="143">
        <f>"PRD_SNJ_"&amp;
_xlfn.XLOOKUP(商品マスタ[[#This Row],[仕入先]],テーブル1[仕入先名],テーブル1[仕入先コード],"XXX",0,1)&amp;
"_"&amp;
商品マスタ[[#This Row],[シリアル]]&amp;
"_"&amp;
TEXT(COUNTIFS(商品マスタ!$C$3:C947,商品マスタ[[#This Row],[仕入先]],商品マスタ!$E$3:E947,商品マスタ[[#This Row],[商品名]]), "00")</f>
        <v/>
      </c>
      <c r="E947" s="167" t="n"/>
      <c r="F947" s="167">
        <f>IF(COUNTIFS($C$3:C947,商品マスタ[[#This Row],[仕入先]],$E$3:E947,商品マスタ[[#This Row],[商品名]]) = 1, 1,0)</f>
        <v/>
      </c>
      <c r="G947" s="133">
        <f>TEXT(SUMIF($C$3:C947,商品マスタ[[#This Row],[仕入先]],$F$3:F947), "0000")</f>
        <v/>
      </c>
      <c r="H947" s="167" t="n"/>
      <c r="I947" s="167" t="n"/>
      <c r="J947" s="167" t="n"/>
      <c r="K947" s="167" t="n"/>
      <c r="L947" s="289" t="n"/>
      <c r="M947" s="157" t="n"/>
      <c r="N947" s="289" t="n"/>
      <c r="O947" s="290">
        <f>IF(COUNT(商品マスタ[[#This Row],[参考上代
（税込)]]) &gt; 0, (商品マスタ[[#This Row],[参考上代
（税込)]]-商品マスタ[[#This Row],[国内定価
（15％）]])/(商品マスタ[[#This Row],[参考上代
（税込)]]/1.08), "")</f>
        <v/>
      </c>
      <c r="P947" s="136" t="n">
        <v>0.1</v>
      </c>
      <c r="Q947" s="289">
        <f>商品マスタ[[#This Row],[仕入
単価]]*商品マスタ[[#This Row],[標準国内送料率]]</f>
        <v/>
      </c>
      <c r="R947" s="289" t="n"/>
      <c r="S947" s="289">
        <f>IF(ISBLANK(商品マスタ[[#This Row],[実績
国内送料]]),商品マスタ[[#This Row],[標準国内送料]],)</f>
        <v/>
      </c>
      <c r="T947" s="289">
        <f>商品マスタ[[#This Row],[仕入
単価]]+商品マスタ[[#This Row],[国内送料]]</f>
        <v/>
      </c>
      <c r="U947" s="289">
        <f>ROUNDUP(商品マスタ[[#This Row],[仕入単価+国内送料]]/0.8,-1)</f>
        <v/>
      </c>
      <c r="V947" s="289">
        <f>商品マスタ[[#This Row],[海外定価
（20％）]]-商品マスタ[[#This Row],[仕入単価+国内送料]]</f>
        <v/>
      </c>
      <c r="W947" s="167">
        <f>ROUNDUP(商品マスタ[[#This Row],[仕入単価+国内送料]]/0.85,-1)</f>
        <v/>
      </c>
      <c r="X947" s="289">
        <f>商品マスタ[[#This Row],[国内定価
（15％）]]-商品マスタ[[#This Row],[仕入単価+国内送料]]</f>
        <v/>
      </c>
      <c r="Y947" s="139" t="n"/>
      <c r="Z947" s="167" t="n"/>
      <c r="AA947" s="167" t="n"/>
      <c r="AB947" s="167" t="n"/>
      <c r="AC947" s="293" t="n"/>
      <c r="AD947" s="167" t="n"/>
      <c r="AE947" s="167" t="n"/>
      <c r="AF947" s="158" t="n"/>
      <c r="AG947" s="144" t="n"/>
    </row>
    <row r="948" ht="18" customHeight="1" s="207">
      <c r="A948" s="166" t="n"/>
      <c r="B948" s="167" t="n"/>
      <c r="C948" s="167" t="n"/>
      <c r="D948" s="143">
        <f>"PRD_SNJ_"&amp;
_xlfn.XLOOKUP(商品マスタ[[#This Row],[仕入先]],テーブル1[仕入先名],テーブル1[仕入先コード],"XXX",0,1)&amp;
"_"&amp;
商品マスタ[[#This Row],[シリアル]]&amp;
"_"&amp;
TEXT(COUNTIFS(商品マスタ!$C$3:C948,商品マスタ[[#This Row],[仕入先]],商品マスタ!$E$3:E948,商品マスタ[[#This Row],[商品名]]), "00")</f>
        <v/>
      </c>
      <c r="E948" s="167" t="n"/>
      <c r="F948" s="167">
        <f>IF(COUNTIFS($C$3:C948,商品マスタ[[#This Row],[仕入先]],$E$3:E948,商品マスタ[[#This Row],[商品名]]) = 1, 1,0)</f>
        <v/>
      </c>
      <c r="G948" s="133">
        <f>TEXT(SUMIF($C$3:C948,商品マスタ[[#This Row],[仕入先]],$F$3:F948), "0000")</f>
        <v/>
      </c>
      <c r="H948" s="167" t="n"/>
      <c r="I948" s="167" t="n"/>
      <c r="J948" s="167" t="n"/>
      <c r="K948" s="167" t="n"/>
      <c r="L948" s="289" t="n"/>
      <c r="M948" s="157" t="n"/>
      <c r="N948" s="289" t="n"/>
      <c r="O948" s="290">
        <f>IF(COUNT(商品マスタ[[#This Row],[参考上代
（税込)]]) &gt; 0, (商品マスタ[[#This Row],[参考上代
（税込)]]-商品マスタ[[#This Row],[国内定価
（15％）]])/(商品マスタ[[#This Row],[参考上代
（税込)]]/1.08), "")</f>
        <v/>
      </c>
      <c r="P948" s="136" t="n">
        <v>0.1</v>
      </c>
      <c r="Q948" s="289">
        <f>商品マスタ[[#This Row],[仕入
単価]]*商品マスタ[[#This Row],[標準国内送料率]]</f>
        <v/>
      </c>
      <c r="R948" s="289" t="n"/>
      <c r="S948" s="289">
        <f>IF(ISBLANK(商品マスタ[[#This Row],[実績
国内送料]]),商品マスタ[[#This Row],[標準国内送料]],)</f>
        <v/>
      </c>
      <c r="T948" s="289">
        <f>商品マスタ[[#This Row],[仕入
単価]]+商品マスタ[[#This Row],[国内送料]]</f>
        <v/>
      </c>
      <c r="U948" s="289">
        <f>ROUNDUP(商品マスタ[[#This Row],[仕入単価+国内送料]]/0.8,-1)</f>
        <v/>
      </c>
      <c r="V948" s="289">
        <f>商品マスタ[[#This Row],[海外定価
（20％）]]-商品マスタ[[#This Row],[仕入単価+国内送料]]</f>
        <v/>
      </c>
      <c r="W948" s="167">
        <f>ROUNDUP(商品マスタ[[#This Row],[仕入単価+国内送料]]/0.85,-1)</f>
        <v/>
      </c>
      <c r="X948" s="289">
        <f>商品マスタ[[#This Row],[国内定価
（15％）]]-商品マスタ[[#This Row],[仕入単価+国内送料]]</f>
        <v/>
      </c>
      <c r="Y948" s="139" t="n"/>
      <c r="Z948" s="167" t="n"/>
      <c r="AA948" s="167" t="n"/>
      <c r="AB948" s="167" t="n"/>
      <c r="AC948" s="293" t="n"/>
      <c r="AD948" s="167" t="n"/>
      <c r="AE948" s="167" t="n"/>
      <c r="AF948" s="158" t="n"/>
      <c r="AG948" s="144" t="n"/>
    </row>
    <row r="949" ht="18" customHeight="1" s="207">
      <c r="A949" s="166" t="n"/>
      <c r="B949" s="167" t="n"/>
      <c r="C949" s="167" t="n"/>
      <c r="D949" s="143">
        <f>"PRD_SNJ_"&amp;
_xlfn.XLOOKUP(商品マスタ[[#This Row],[仕入先]],テーブル1[仕入先名],テーブル1[仕入先コード],"XXX",0,1)&amp;
"_"&amp;
商品マスタ[[#This Row],[シリアル]]&amp;
"_"&amp;
TEXT(COUNTIFS(商品マスタ!$C$3:C949,商品マスタ[[#This Row],[仕入先]],商品マスタ!$E$3:E949,商品マスタ[[#This Row],[商品名]]), "00")</f>
        <v/>
      </c>
      <c r="E949" s="167" t="n"/>
      <c r="F949" s="167">
        <f>IF(COUNTIFS($C$3:C949,商品マスタ[[#This Row],[仕入先]],$E$3:E949,商品マスタ[[#This Row],[商品名]]) = 1, 1,0)</f>
        <v/>
      </c>
      <c r="G949" s="133">
        <f>TEXT(SUMIF($C$3:C949,商品マスタ[[#This Row],[仕入先]],$F$3:F949), "0000")</f>
        <v/>
      </c>
      <c r="H949" s="167" t="n"/>
      <c r="I949" s="167" t="n"/>
      <c r="J949" s="167" t="n"/>
      <c r="K949" s="167" t="n"/>
      <c r="L949" s="289" t="n"/>
      <c r="M949" s="157" t="n"/>
      <c r="N949" s="289" t="n"/>
      <c r="O949" s="290">
        <f>IF(COUNT(商品マスタ[[#This Row],[参考上代
（税込)]]) &gt; 0, (商品マスタ[[#This Row],[参考上代
（税込)]]-商品マスタ[[#This Row],[国内定価
（15％）]])/(商品マスタ[[#This Row],[参考上代
（税込)]]/1.08), "")</f>
        <v/>
      </c>
      <c r="P949" s="136" t="n">
        <v>0.1</v>
      </c>
      <c r="Q949" s="289">
        <f>商品マスタ[[#This Row],[仕入
単価]]*商品マスタ[[#This Row],[標準国内送料率]]</f>
        <v/>
      </c>
      <c r="R949" s="289" t="n"/>
      <c r="S949" s="289">
        <f>IF(ISBLANK(商品マスタ[[#This Row],[実績
国内送料]]),商品マスタ[[#This Row],[標準国内送料]],)</f>
        <v/>
      </c>
      <c r="T949" s="289">
        <f>商品マスタ[[#This Row],[仕入
単価]]+商品マスタ[[#This Row],[国内送料]]</f>
        <v/>
      </c>
      <c r="U949" s="289">
        <f>ROUNDUP(商品マスタ[[#This Row],[仕入単価+国内送料]]/0.8,-1)</f>
        <v/>
      </c>
      <c r="V949" s="289">
        <f>商品マスタ[[#This Row],[海外定価
（20％）]]-商品マスタ[[#This Row],[仕入単価+国内送料]]</f>
        <v/>
      </c>
      <c r="W949" s="167">
        <f>ROUNDUP(商品マスタ[[#This Row],[仕入単価+国内送料]]/0.85,-1)</f>
        <v/>
      </c>
      <c r="X949" s="289">
        <f>商品マスタ[[#This Row],[国内定価
（15％）]]-商品マスタ[[#This Row],[仕入単価+国内送料]]</f>
        <v/>
      </c>
      <c r="Y949" s="139" t="n"/>
      <c r="Z949" s="167" t="n"/>
      <c r="AA949" s="167" t="n"/>
      <c r="AB949" s="167" t="n"/>
      <c r="AC949" s="293" t="n"/>
      <c r="AD949" s="167" t="n"/>
      <c r="AE949" s="167" t="n"/>
      <c r="AF949" s="158" t="n"/>
      <c r="AG949" s="144" t="n"/>
    </row>
    <row r="950" ht="18" customHeight="1" s="207">
      <c r="A950" s="166" t="n"/>
      <c r="B950" s="167" t="n"/>
      <c r="C950" s="167" t="n"/>
      <c r="D950" s="143">
        <f>"PRD_SNJ_"&amp;
_xlfn.XLOOKUP(商品マスタ[[#This Row],[仕入先]],テーブル1[仕入先名],テーブル1[仕入先コード],"XXX",0,1)&amp;
"_"&amp;
商品マスタ[[#This Row],[シリアル]]&amp;
"_"&amp;
TEXT(COUNTIFS(商品マスタ!$C$3:C950,商品マスタ[[#This Row],[仕入先]],商品マスタ!$E$3:E950,商品マスタ[[#This Row],[商品名]]), "00")</f>
        <v/>
      </c>
      <c r="E950" s="167" t="n"/>
      <c r="F950" s="167">
        <f>IF(COUNTIFS($C$3:C950,商品マスタ[[#This Row],[仕入先]],$E$3:E950,商品マスタ[[#This Row],[商品名]]) = 1, 1,0)</f>
        <v/>
      </c>
      <c r="G950" s="133">
        <f>TEXT(SUMIF($C$3:C950,商品マスタ[[#This Row],[仕入先]],$F$3:F950), "0000")</f>
        <v/>
      </c>
      <c r="H950" s="167" t="n"/>
      <c r="I950" s="167" t="n"/>
      <c r="J950" s="167" t="n"/>
      <c r="K950" s="167" t="n"/>
      <c r="L950" s="289" t="n"/>
      <c r="M950" s="157" t="n"/>
      <c r="N950" s="289" t="n"/>
      <c r="O950" s="290">
        <f>IF(COUNT(商品マスタ[[#This Row],[参考上代
（税込)]]) &gt; 0, (商品マスタ[[#This Row],[参考上代
（税込)]]-商品マスタ[[#This Row],[国内定価
（15％）]])/(商品マスタ[[#This Row],[参考上代
（税込)]]/1.08), "")</f>
        <v/>
      </c>
      <c r="P950" s="136" t="n">
        <v>0.1</v>
      </c>
      <c r="Q950" s="289">
        <f>商品マスタ[[#This Row],[仕入
単価]]*商品マスタ[[#This Row],[標準国内送料率]]</f>
        <v/>
      </c>
      <c r="R950" s="289" t="n"/>
      <c r="S950" s="289">
        <f>IF(ISBLANK(商品マスタ[[#This Row],[実績
国内送料]]),商品マスタ[[#This Row],[標準国内送料]],)</f>
        <v/>
      </c>
      <c r="T950" s="289">
        <f>商品マスタ[[#This Row],[仕入
単価]]+商品マスタ[[#This Row],[国内送料]]</f>
        <v/>
      </c>
      <c r="U950" s="289">
        <f>ROUNDUP(商品マスタ[[#This Row],[仕入単価+国内送料]]/0.8,-1)</f>
        <v/>
      </c>
      <c r="V950" s="289">
        <f>商品マスタ[[#This Row],[海外定価
（20％）]]-商品マスタ[[#This Row],[仕入単価+国内送料]]</f>
        <v/>
      </c>
      <c r="W950" s="167">
        <f>ROUNDUP(商品マスタ[[#This Row],[仕入単価+国内送料]]/0.85,-1)</f>
        <v/>
      </c>
      <c r="X950" s="289">
        <f>商品マスタ[[#This Row],[国内定価
（15％）]]-商品マスタ[[#This Row],[仕入単価+国内送料]]</f>
        <v/>
      </c>
      <c r="Y950" s="139" t="n"/>
      <c r="Z950" s="167" t="n"/>
      <c r="AA950" s="167" t="n"/>
      <c r="AB950" s="167" t="n"/>
      <c r="AC950" s="293" t="n"/>
      <c r="AD950" s="167" t="n"/>
      <c r="AE950" s="167" t="n"/>
      <c r="AF950" s="158" t="n"/>
      <c r="AG950" s="144" t="n"/>
    </row>
    <row r="951" ht="18" customHeight="1" s="207">
      <c r="A951" s="166" t="n"/>
      <c r="B951" s="167" t="n"/>
      <c r="C951" s="167" t="n"/>
      <c r="D951" s="143">
        <f>"PRD_SNJ_"&amp;
_xlfn.XLOOKUP(商品マスタ[[#This Row],[仕入先]],テーブル1[仕入先名],テーブル1[仕入先コード],"XXX",0,1)&amp;
"_"&amp;
商品マスタ[[#This Row],[シリアル]]&amp;
"_"&amp;
TEXT(COUNTIFS(商品マスタ!$C$3:C951,商品マスタ[[#This Row],[仕入先]],商品マスタ!$E$3:E951,商品マスタ[[#This Row],[商品名]]), "00")</f>
        <v/>
      </c>
      <c r="E951" s="167" t="n"/>
      <c r="F951" s="167">
        <f>IF(COUNTIFS($C$3:C951,商品マスタ[[#This Row],[仕入先]],$E$3:E951,商品マスタ[[#This Row],[商品名]]) = 1, 1,0)</f>
        <v/>
      </c>
      <c r="G951" s="133">
        <f>TEXT(SUMIF($C$3:C951,商品マスタ[[#This Row],[仕入先]],$F$3:F951), "0000")</f>
        <v/>
      </c>
      <c r="H951" s="167" t="n"/>
      <c r="I951" s="167" t="n"/>
      <c r="J951" s="167" t="n"/>
      <c r="K951" s="167" t="n"/>
      <c r="L951" s="289" t="n"/>
      <c r="M951" s="157" t="n"/>
      <c r="N951" s="289" t="n"/>
      <c r="O951" s="290">
        <f>IF(COUNT(商品マスタ[[#This Row],[参考上代
（税込)]]) &gt; 0, (商品マスタ[[#This Row],[参考上代
（税込)]]-商品マスタ[[#This Row],[国内定価
（15％）]])/(商品マスタ[[#This Row],[参考上代
（税込)]]/1.08), "")</f>
        <v/>
      </c>
      <c r="P951" s="136" t="n">
        <v>0.1</v>
      </c>
      <c r="Q951" s="289">
        <f>商品マスタ[[#This Row],[仕入
単価]]*商品マスタ[[#This Row],[標準国内送料率]]</f>
        <v/>
      </c>
      <c r="R951" s="289" t="n"/>
      <c r="S951" s="289">
        <f>IF(ISBLANK(商品マスタ[[#This Row],[実績
国内送料]]),商品マスタ[[#This Row],[標準国内送料]],)</f>
        <v/>
      </c>
      <c r="T951" s="289">
        <f>商品マスタ[[#This Row],[仕入
単価]]+商品マスタ[[#This Row],[国内送料]]</f>
        <v/>
      </c>
      <c r="U951" s="289">
        <f>ROUNDUP(商品マスタ[[#This Row],[仕入単価+国内送料]]/0.8,-1)</f>
        <v/>
      </c>
      <c r="V951" s="289">
        <f>商品マスタ[[#This Row],[海外定価
（20％）]]-商品マスタ[[#This Row],[仕入単価+国内送料]]</f>
        <v/>
      </c>
      <c r="W951" s="167">
        <f>ROUNDUP(商品マスタ[[#This Row],[仕入単価+国内送料]]/0.85,-1)</f>
        <v/>
      </c>
      <c r="X951" s="289">
        <f>商品マスタ[[#This Row],[国内定価
（15％）]]-商品マスタ[[#This Row],[仕入単価+国内送料]]</f>
        <v/>
      </c>
      <c r="Y951" s="139" t="n"/>
      <c r="Z951" s="167" t="n"/>
      <c r="AA951" s="167" t="n"/>
      <c r="AB951" s="167" t="n"/>
      <c r="AC951" s="293" t="n"/>
      <c r="AD951" s="167" t="n"/>
      <c r="AE951" s="167" t="n"/>
      <c r="AF951" s="158" t="n"/>
      <c r="AG951" s="144" t="n"/>
    </row>
    <row r="952" ht="18" customHeight="1" s="207">
      <c r="A952" s="166" t="n"/>
      <c r="B952" s="167" t="n"/>
      <c r="C952" s="167" t="n"/>
      <c r="D952" s="143">
        <f>"PRD_SNJ_"&amp;
_xlfn.XLOOKUP(商品マスタ[[#This Row],[仕入先]],テーブル1[仕入先名],テーブル1[仕入先コード],"XXX",0,1)&amp;
"_"&amp;
商品マスタ[[#This Row],[シリアル]]&amp;
"_"&amp;
TEXT(COUNTIFS(商品マスタ!$C$3:C952,商品マスタ[[#This Row],[仕入先]],商品マスタ!$E$3:E952,商品マスタ[[#This Row],[商品名]]), "00")</f>
        <v/>
      </c>
      <c r="E952" s="167" t="n"/>
      <c r="F952" s="167">
        <f>IF(COUNTIFS($C$3:C952,商品マスタ[[#This Row],[仕入先]],$E$3:E952,商品マスタ[[#This Row],[商品名]]) = 1, 1,0)</f>
        <v/>
      </c>
      <c r="G952" s="133">
        <f>TEXT(SUMIF($C$3:C952,商品マスタ[[#This Row],[仕入先]],$F$3:F952), "0000")</f>
        <v/>
      </c>
      <c r="H952" s="167" t="n"/>
      <c r="I952" s="167" t="n"/>
      <c r="J952" s="167" t="n"/>
      <c r="K952" s="167" t="n"/>
      <c r="L952" s="289" t="n"/>
      <c r="M952" s="157" t="n"/>
      <c r="N952" s="289" t="n"/>
      <c r="O952" s="290">
        <f>IF(COUNT(商品マスタ[[#This Row],[参考上代
（税込)]]) &gt; 0, (商品マスタ[[#This Row],[参考上代
（税込)]]-商品マスタ[[#This Row],[国内定価
（15％）]])/(商品マスタ[[#This Row],[参考上代
（税込)]]/1.08), "")</f>
        <v/>
      </c>
      <c r="P952" s="136" t="n">
        <v>0.1</v>
      </c>
      <c r="Q952" s="289">
        <f>商品マスタ[[#This Row],[仕入
単価]]*商品マスタ[[#This Row],[標準国内送料率]]</f>
        <v/>
      </c>
      <c r="R952" s="289" t="n"/>
      <c r="S952" s="289">
        <f>IF(ISBLANK(商品マスタ[[#This Row],[実績
国内送料]]),商品マスタ[[#This Row],[標準国内送料]],)</f>
        <v/>
      </c>
      <c r="T952" s="289">
        <f>商品マスタ[[#This Row],[仕入
単価]]+商品マスタ[[#This Row],[国内送料]]</f>
        <v/>
      </c>
      <c r="U952" s="289">
        <f>ROUNDUP(商品マスタ[[#This Row],[仕入単価+国内送料]]/0.8,-1)</f>
        <v/>
      </c>
      <c r="V952" s="289">
        <f>商品マスタ[[#This Row],[海外定価
（20％）]]-商品マスタ[[#This Row],[仕入単価+国内送料]]</f>
        <v/>
      </c>
      <c r="W952" s="167">
        <f>ROUNDUP(商品マスタ[[#This Row],[仕入単価+国内送料]]/0.85,-1)</f>
        <v/>
      </c>
      <c r="X952" s="289">
        <f>商品マスタ[[#This Row],[国内定価
（15％）]]-商品マスタ[[#This Row],[仕入単価+国内送料]]</f>
        <v/>
      </c>
      <c r="Y952" s="139" t="n"/>
      <c r="Z952" s="167" t="n"/>
      <c r="AA952" s="167" t="n"/>
      <c r="AB952" s="167" t="n"/>
      <c r="AC952" s="293" t="n"/>
      <c r="AD952" s="167" t="n"/>
      <c r="AE952" s="167" t="n"/>
      <c r="AF952" s="158" t="n"/>
      <c r="AG952" s="144" t="n"/>
    </row>
    <row r="953" ht="18" customHeight="1" s="207">
      <c r="A953" s="166" t="n"/>
      <c r="B953" s="167" t="n"/>
      <c r="C953" s="167" t="n"/>
      <c r="D953" s="143">
        <f>"PRD_SNJ_"&amp;
_xlfn.XLOOKUP(商品マスタ[[#This Row],[仕入先]],テーブル1[仕入先名],テーブル1[仕入先コード],"XXX",0,1)&amp;
"_"&amp;
商品マスタ[[#This Row],[シリアル]]&amp;
"_"&amp;
TEXT(COUNTIFS(商品マスタ!$C$3:C953,商品マスタ[[#This Row],[仕入先]],商品マスタ!$E$3:E953,商品マスタ[[#This Row],[商品名]]), "00")</f>
        <v/>
      </c>
      <c r="E953" s="167" t="n"/>
      <c r="F953" s="167">
        <f>IF(COUNTIFS($C$3:C953,商品マスタ[[#This Row],[仕入先]],$E$3:E953,商品マスタ[[#This Row],[商品名]]) = 1, 1,0)</f>
        <v/>
      </c>
      <c r="G953" s="133">
        <f>TEXT(SUMIF($C$3:C953,商品マスタ[[#This Row],[仕入先]],$F$3:F953), "0000")</f>
        <v/>
      </c>
      <c r="H953" s="167" t="n"/>
      <c r="I953" s="167" t="n"/>
      <c r="J953" s="167" t="n"/>
      <c r="K953" s="167" t="n"/>
      <c r="L953" s="289" t="n"/>
      <c r="M953" s="157" t="n"/>
      <c r="N953" s="289" t="n"/>
      <c r="O953" s="290">
        <f>IF(COUNT(商品マスタ[[#This Row],[参考上代
（税込)]]) &gt; 0, (商品マスタ[[#This Row],[参考上代
（税込)]]-商品マスタ[[#This Row],[国内定価
（15％）]])/(商品マスタ[[#This Row],[参考上代
（税込)]]/1.08), "")</f>
        <v/>
      </c>
      <c r="P953" s="136" t="n">
        <v>0.1</v>
      </c>
      <c r="Q953" s="289">
        <f>商品マスタ[[#This Row],[仕入
単価]]*商品マスタ[[#This Row],[標準国内送料率]]</f>
        <v/>
      </c>
      <c r="R953" s="289" t="n"/>
      <c r="S953" s="289">
        <f>IF(ISBLANK(商品マスタ[[#This Row],[実績
国内送料]]),商品マスタ[[#This Row],[標準国内送料]],)</f>
        <v/>
      </c>
      <c r="T953" s="289">
        <f>商品マスタ[[#This Row],[仕入
単価]]+商品マスタ[[#This Row],[国内送料]]</f>
        <v/>
      </c>
      <c r="U953" s="289">
        <f>ROUNDUP(商品マスタ[[#This Row],[仕入単価+国内送料]]/0.8,-1)</f>
        <v/>
      </c>
      <c r="V953" s="289">
        <f>商品マスタ[[#This Row],[海外定価
（20％）]]-商品マスタ[[#This Row],[仕入単価+国内送料]]</f>
        <v/>
      </c>
      <c r="W953" s="167">
        <f>ROUNDUP(商品マスタ[[#This Row],[仕入単価+国内送料]]/0.85,-1)</f>
        <v/>
      </c>
      <c r="X953" s="289">
        <f>商品マスタ[[#This Row],[国内定価
（15％）]]-商品マスタ[[#This Row],[仕入単価+国内送料]]</f>
        <v/>
      </c>
      <c r="Y953" s="139" t="n"/>
      <c r="Z953" s="167" t="n"/>
      <c r="AA953" s="167" t="n"/>
      <c r="AB953" s="167" t="n"/>
      <c r="AC953" s="293" t="n"/>
      <c r="AD953" s="167" t="n"/>
      <c r="AE953" s="167" t="n"/>
      <c r="AF953" s="158" t="n"/>
      <c r="AG953" s="144" t="n"/>
    </row>
    <row r="954" ht="18" customHeight="1" s="207">
      <c r="A954" s="166" t="n"/>
      <c r="B954" s="167" t="n"/>
      <c r="C954" s="167" t="n"/>
      <c r="D954" s="143">
        <f>"PRD_SNJ_"&amp;
_xlfn.XLOOKUP(商品マスタ[[#This Row],[仕入先]],テーブル1[仕入先名],テーブル1[仕入先コード],"XXX",0,1)&amp;
"_"&amp;
商品マスタ[[#This Row],[シリアル]]&amp;
"_"&amp;
TEXT(COUNTIFS(商品マスタ!$C$3:C954,商品マスタ[[#This Row],[仕入先]],商品マスタ!$E$3:E954,商品マスタ[[#This Row],[商品名]]), "00")</f>
        <v/>
      </c>
      <c r="E954" s="167" t="n"/>
      <c r="F954" s="167">
        <f>IF(COUNTIFS($C$3:C954,商品マスタ[[#This Row],[仕入先]],$E$3:E954,商品マスタ[[#This Row],[商品名]]) = 1, 1,0)</f>
        <v/>
      </c>
      <c r="G954" s="133">
        <f>TEXT(SUMIF($C$3:C954,商品マスタ[[#This Row],[仕入先]],$F$3:F954), "0000")</f>
        <v/>
      </c>
      <c r="H954" s="167" t="n"/>
      <c r="I954" s="167" t="n"/>
      <c r="J954" s="167" t="n"/>
      <c r="K954" s="167" t="n"/>
      <c r="L954" s="289" t="n"/>
      <c r="M954" s="157" t="n"/>
      <c r="N954" s="289" t="n"/>
      <c r="O954" s="290">
        <f>IF(COUNT(商品マスタ[[#This Row],[参考上代
（税込)]]) &gt; 0, (商品マスタ[[#This Row],[参考上代
（税込)]]-商品マスタ[[#This Row],[国内定価
（15％）]])/(商品マスタ[[#This Row],[参考上代
（税込)]]/1.08), "")</f>
        <v/>
      </c>
      <c r="P954" s="136" t="n">
        <v>0.1</v>
      </c>
      <c r="Q954" s="289">
        <f>商品マスタ[[#This Row],[仕入
単価]]*商品マスタ[[#This Row],[標準国内送料率]]</f>
        <v/>
      </c>
      <c r="R954" s="289" t="n"/>
      <c r="S954" s="289">
        <f>IF(ISBLANK(商品マスタ[[#This Row],[実績
国内送料]]),商品マスタ[[#This Row],[標準国内送料]],)</f>
        <v/>
      </c>
      <c r="T954" s="289">
        <f>商品マスタ[[#This Row],[仕入
単価]]+商品マスタ[[#This Row],[国内送料]]</f>
        <v/>
      </c>
      <c r="U954" s="289">
        <f>ROUNDUP(商品マスタ[[#This Row],[仕入単価+国内送料]]/0.8,-1)</f>
        <v/>
      </c>
      <c r="V954" s="289">
        <f>商品マスタ[[#This Row],[海外定価
（20％）]]-商品マスタ[[#This Row],[仕入単価+国内送料]]</f>
        <v/>
      </c>
      <c r="W954" s="167">
        <f>ROUNDUP(商品マスタ[[#This Row],[仕入単価+国内送料]]/0.85,-1)</f>
        <v/>
      </c>
      <c r="X954" s="289">
        <f>商品マスタ[[#This Row],[国内定価
（15％）]]-商品マスタ[[#This Row],[仕入単価+国内送料]]</f>
        <v/>
      </c>
      <c r="Y954" s="139" t="n"/>
      <c r="Z954" s="167" t="n"/>
      <c r="AA954" s="167" t="n"/>
      <c r="AB954" s="167" t="n"/>
      <c r="AC954" s="293" t="n"/>
      <c r="AD954" s="167" t="n"/>
      <c r="AE954" s="167" t="n"/>
      <c r="AF954" s="158" t="n"/>
      <c r="AG954" s="144" t="n"/>
    </row>
    <row r="955" ht="18" customHeight="1" s="207">
      <c r="A955" s="166" t="n"/>
      <c r="B955" s="167" t="n"/>
      <c r="C955" s="167" t="n"/>
      <c r="D955" s="143">
        <f>"PRD_SNJ_"&amp;
_xlfn.XLOOKUP(商品マスタ[[#This Row],[仕入先]],テーブル1[仕入先名],テーブル1[仕入先コード],"XXX",0,1)&amp;
"_"&amp;
商品マスタ[[#This Row],[シリアル]]&amp;
"_"&amp;
TEXT(COUNTIFS(商品マスタ!$C$3:C955,商品マスタ[[#This Row],[仕入先]],商品マスタ!$E$3:E955,商品マスタ[[#This Row],[商品名]]), "00")</f>
        <v/>
      </c>
      <c r="E955" s="167" t="n"/>
      <c r="F955" s="167">
        <f>IF(COUNTIFS($C$3:C955,商品マスタ[[#This Row],[仕入先]],$E$3:E955,商品マスタ[[#This Row],[商品名]]) = 1, 1,0)</f>
        <v/>
      </c>
      <c r="G955" s="133">
        <f>TEXT(SUMIF($C$3:C955,商品マスタ[[#This Row],[仕入先]],$F$3:F955), "0000")</f>
        <v/>
      </c>
      <c r="H955" s="167" t="n"/>
      <c r="I955" s="167" t="n"/>
      <c r="J955" s="167" t="n"/>
      <c r="K955" s="167" t="n"/>
      <c r="L955" s="289" t="n"/>
      <c r="M955" s="157" t="n"/>
      <c r="N955" s="289" t="n"/>
      <c r="O955" s="290">
        <f>IF(COUNT(商品マスタ[[#This Row],[参考上代
（税込)]]) &gt; 0, (商品マスタ[[#This Row],[参考上代
（税込)]]-商品マスタ[[#This Row],[国内定価
（15％）]])/(商品マスタ[[#This Row],[参考上代
（税込)]]/1.08), "")</f>
        <v/>
      </c>
      <c r="P955" s="136" t="n">
        <v>0.1</v>
      </c>
      <c r="Q955" s="289">
        <f>商品マスタ[[#This Row],[仕入
単価]]*商品マスタ[[#This Row],[標準国内送料率]]</f>
        <v/>
      </c>
      <c r="R955" s="289" t="n"/>
      <c r="S955" s="289">
        <f>IF(ISBLANK(商品マスタ[[#This Row],[実績
国内送料]]),商品マスタ[[#This Row],[標準国内送料]],)</f>
        <v/>
      </c>
      <c r="T955" s="289">
        <f>商品マスタ[[#This Row],[仕入
単価]]+商品マスタ[[#This Row],[国内送料]]</f>
        <v/>
      </c>
      <c r="U955" s="289">
        <f>ROUNDUP(商品マスタ[[#This Row],[仕入単価+国内送料]]/0.8,-1)</f>
        <v/>
      </c>
      <c r="V955" s="289">
        <f>商品マスタ[[#This Row],[海外定価
（20％）]]-商品マスタ[[#This Row],[仕入単価+国内送料]]</f>
        <v/>
      </c>
      <c r="W955" s="167">
        <f>ROUNDUP(商品マスタ[[#This Row],[仕入単価+国内送料]]/0.85,-1)</f>
        <v/>
      </c>
      <c r="X955" s="289">
        <f>商品マスタ[[#This Row],[国内定価
（15％）]]-商品マスタ[[#This Row],[仕入単価+国内送料]]</f>
        <v/>
      </c>
      <c r="Y955" s="139" t="n"/>
      <c r="Z955" s="167" t="n"/>
      <c r="AA955" s="167" t="n"/>
      <c r="AB955" s="167" t="n"/>
      <c r="AC955" s="293" t="n"/>
      <c r="AD955" s="167" t="n"/>
      <c r="AE955" s="167" t="n"/>
      <c r="AF955" s="158" t="n"/>
      <c r="AG955" s="144" t="n"/>
    </row>
    <row r="956" ht="18" customHeight="1" s="207">
      <c r="A956" s="166" t="n"/>
      <c r="B956" s="167" t="n"/>
      <c r="C956" s="167" t="n"/>
      <c r="D956" s="143">
        <f>"PRD_SNJ_"&amp;
_xlfn.XLOOKUP(商品マスタ[[#This Row],[仕入先]],テーブル1[仕入先名],テーブル1[仕入先コード],"XXX",0,1)&amp;
"_"&amp;
商品マスタ[[#This Row],[シリアル]]&amp;
"_"&amp;
TEXT(COUNTIFS(商品マスタ!$C$3:C956,商品マスタ[[#This Row],[仕入先]],商品マスタ!$E$3:E956,商品マスタ[[#This Row],[商品名]]), "00")</f>
        <v/>
      </c>
      <c r="E956" s="167" t="n"/>
      <c r="F956" s="167">
        <f>IF(COUNTIFS($C$3:C956,商品マスタ[[#This Row],[仕入先]],$E$3:E956,商品マスタ[[#This Row],[商品名]]) = 1, 1,0)</f>
        <v/>
      </c>
      <c r="G956" s="133">
        <f>TEXT(SUMIF($C$3:C956,商品マスタ[[#This Row],[仕入先]],$F$3:F956), "0000")</f>
        <v/>
      </c>
      <c r="H956" s="167" t="n"/>
      <c r="I956" s="167" t="n"/>
      <c r="J956" s="167" t="n"/>
      <c r="K956" s="167" t="n"/>
      <c r="L956" s="289" t="n"/>
      <c r="M956" s="157" t="n"/>
      <c r="N956" s="289" t="n"/>
      <c r="O956" s="290">
        <f>IF(COUNT(商品マスタ[[#This Row],[参考上代
（税込)]]) &gt; 0, (商品マスタ[[#This Row],[参考上代
（税込)]]-商品マスタ[[#This Row],[国内定価
（15％）]])/(商品マスタ[[#This Row],[参考上代
（税込)]]/1.08), "")</f>
        <v/>
      </c>
      <c r="P956" s="136" t="n">
        <v>0.1</v>
      </c>
      <c r="Q956" s="289">
        <f>商品マスタ[[#This Row],[仕入
単価]]*商品マスタ[[#This Row],[標準国内送料率]]</f>
        <v/>
      </c>
      <c r="R956" s="289" t="n"/>
      <c r="S956" s="289">
        <f>IF(ISBLANK(商品マスタ[[#This Row],[実績
国内送料]]),商品マスタ[[#This Row],[標準国内送料]],)</f>
        <v/>
      </c>
      <c r="T956" s="289">
        <f>商品マスタ[[#This Row],[仕入
単価]]+商品マスタ[[#This Row],[国内送料]]</f>
        <v/>
      </c>
      <c r="U956" s="289">
        <f>ROUNDUP(商品マスタ[[#This Row],[仕入単価+国内送料]]/0.8,-1)</f>
        <v/>
      </c>
      <c r="V956" s="289">
        <f>商品マスタ[[#This Row],[海外定価
（20％）]]-商品マスタ[[#This Row],[仕入単価+国内送料]]</f>
        <v/>
      </c>
      <c r="W956" s="167">
        <f>ROUNDUP(商品マスタ[[#This Row],[仕入単価+国内送料]]/0.85,-1)</f>
        <v/>
      </c>
      <c r="X956" s="289">
        <f>商品マスタ[[#This Row],[国内定価
（15％）]]-商品マスタ[[#This Row],[仕入単価+国内送料]]</f>
        <v/>
      </c>
      <c r="Y956" s="139" t="n"/>
      <c r="Z956" s="167" t="n"/>
      <c r="AA956" s="167" t="n"/>
      <c r="AB956" s="167" t="n"/>
      <c r="AC956" s="293" t="n"/>
      <c r="AD956" s="167" t="n"/>
      <c r="AE956" s="167" t="n"/>
      <c r="AF956" s="158" t="n"/>
      <c r="AG956" s="144" t="n"/>
    </row>
    <row r="957" ht="18" customHeight="1" s="207">
      <c r="A957" s="166" t="n"/>
      <c r="B957" s="167" t="n"/>
      <c r="C957" s="167" t="n"/>
      <c r="D957" s="143">
        <f>"PRD_SNJ_"&amp;
_xlfn.XLOOKUP(商品マスタ[[#This Row],[仕入先]],テーブル1[仕入先名],テーブル1[仕入先コード],"XXX",0,1)&amp;
"_"&amp;
商品マスタ[[#This Row],[シリアル]]&amp;
"_"&amp;
TEXT(COUNTIFS(商品マスタ!$C$3:C957,商品マスタ[[#This Row],[仕入先]],商品マスタ!$E$3:E957,商品マスタ[[#This Row],[商品名]]), "00")</f>
        <v/>
      </c>
      <c r="E957" s="167" t="n"/>
      <c r="F957" s="167">
        <f>IF(COUNTIFS($C$3:C957,商品マスタ[[#This Row],[仕入先]],$E$3:E957,商品マスタ[[#This Row],[商品名]]) = 1, 1,0)</f>
        <v/>
      </c>
      <c r="G957" s="133">
        <f>TEXT(SUMIF($C$3:C957,商品マスタ[[#This Row],[仕入先]],$F$3:F957), "0000")</f>
        <v/>
      </c>
      <c r="H957" s="167" t="n"/>
      <c r="I957" s="167" t="n"/>
      <c r="J957" s="167" t="n"/>
      <c r="K957" s="167" t="n"/>
      <c r="L957" s="289" t="n"/>
      <c r="M957" s="157" t="n"/>
      <c r="N957" s="289" t="n"/>
      <c r="O957" s="290">
        <f>IF(COUNT(商品マスタ[[#This Row],[参考上代
（税込)]]) &gt; 0, (商品マスタ[[#This Row],[参考上代
（税込)]]-商品マスタ[[#This Row],[国内定価
（15％）]])/(商品マスタ[[#This Row],[参考上代
（税込)]]/1.08), "")</f>
        <v/>
      </c>
      <c r="P957" s="136" t="n">
        <v>0.1</v>
      </c>
      <c r="Q957" s="289">
        <f>商品マスタ[[#This Row],[仕入
単価]]*商品マスタ[[#This Row],[標準国内送料率]]</f>
        <v/>
      </c>
      <c r="R957" s="289" t="n"/>
      <c r="S957" s="289">
        <f>IF(ISBLANK(商品マスタ[[#This Row],[実績
国内送料]]),商品マスタ[[#This Row],[標準国内送料]],)</f>
        <v/>
      </c>
      <c r="T957" s="289">
        <f>商品マスタ[[#This Row],[仕入
単価]]+商品マスタ[[#This Row],[国内送料]]</f>
        <v/>
      </c>
      <c r="U957" s="289">
        <f>ROUNDUP(商品マスタ[[#This Row],[仕入単価+国内送料]]/0.8,-1)</f>
        <v/>
      </c>
      <c r="V957" s="289">
        <f>商品マスタ[[#This Row],[海外定価
（20％）]]-商品マスタ[[#This Row],[仕入単価+国内送料]]</f>
        <v/>
      </c>
      <c r="W957" s="167">
        <f>ROUNDUP(商品マスタ[[#This Row],[仕入単価+国内送料]]/0.85,-1)</f>
        <v/>
      </c>
      <c r="X957" s="289">
        <f>商品マスタ[[#This Row],[国内定価
（15％）]]-商品マスタ[[#This Row],[仕入単価+国内送料]]</f>
        <v/>
      </c>
      <c r="Y957" s="139" t="n"/>
      <c r="Z957" s="167" t="n"/>
      <c r="AA957" s="167" t="n"/>
      <c r="AB957" s="167" t="n"/>
      <c r="AC957" s="293" t="n"/>
      <c r="AD957" s="167" t="n"/>
      <c r="AE957" s="167" t="n"/>
      <c r="AF957" s="158" t="n"/>
      <c r="AG957" s="144" t="n"/>
    </row>
    <row r="958" ht="18" customHeight="1" s="207">
      <c r="A958" s="166" t="n"/>
      <c r="B958" s="167" t="n"/>
      <c r="C958" s="167" t="n"/>
      <c r="D958" s="143">
        <f>"PRD_SNJ_"&amp;
_xlfn.XLOOKUP(商品マスタ[[#This Row],[仕入先]],テーブル1[仕入先名],テーブル1[仕入先コード],"XXX",0,1)&amp;
"_"&amp;
商品マスタ[[#This Row],[シリアル]]&amp;
"_"&amp;
TEXT(COUNTIFS(商品マスタ!$C$3:C958,商品マスタ[[#This Row],[仕入先]],商品マスタ!$E$3:E958,商品マスタ[[#This Row],[商品名]]), "00")</f>
        <v/>
      </c>
      <c r="E958" s="167" t="n"/>
      <c r="F958" s="167">
        <f>IF(COUNTIFS($C$3:C958,商品マスタ[[#This Row],[仕入先]],$E$3:E958,商品マスタ[[#This Row],[商品名]]) = 1, 1,0)</f>
        <v/>
      </c>
      <c r="G958" s="133">
        <f>TEXT(SUMIF($C$3:C958,商品マスタ[[#This Row],[仕入先]],$F$3:F958), "0000")</f>
        <v/>
      </c>
      <c r="H958" s="167" t="n"/>
      <c r="I958" s="167" t="n"/>
      <c r="J958" s="167" t="n"/>
      <c r="K958" s="167" t="n"/>
      <c r="L958" s="289" t="n"/>
      <c r="M958" s="157" t="n"/>
      <c r="N958" s="289" t="n"/>
      <c r="O958" s="290">
        <f>IF(COUNT(商品マスタ[[#This Row],[参考上代
（税込)]]) &gt; 0, (商品マスタ[[#This Row],[参考上代
（税込)]]-商品マスタ[[#This Row],[国内定価
（15％）]])/(商品マスタ[[#This Row],[参考上代
（税込)]]/1.08), "")</f>
        <v/>
      </c>
      <c r="P958" s="136" t="n">
        <v>0.1</v>
      </c>
      <c r="Q958" s="289">
        <f>商品マスタ[[#This Row],[仕入
単価]]*商品マスタ[[#This Row],[標準国内送料率]]</f>
        <v/>
      </c>
      <c r="R958" s="289" t="n"/>
      <c r="S958" s="289">
        <f>IF(ISBLANK(商品マスタ[[#This Row],[実績
国内送料]]),商品マスタ[[#This Row],[標準国内送料]],)</f>
        <v/>
      </c>
      <c r="T958" s="289">
        <f>商品マスタ[[#This Row],[仕入
単価]]+商品マスタ[[#This Row],[国内送料]]</f>
        <v/>
      </c>
      <c r="U958" s="289">
        <f>ROUNDUP(商品マスタ[[#This Row],[仕入単価+国内送料]]/0.8,-1)</f>
        <v/>
      </c>
      <c r="V958" s="289">
        <f>商品マスタ[[#This Row],[海外定価
（20％）]]-商品マスタ[[#This Row],[仕入単価+国内送料]]</f>
        <v/>
      </c>
      <c r="W958" s="167">
        <f>ROUNDUP(商品マスタ[[#This Row],[仕入単価+国内送料]]/0.85,-1)</f>
        <v/>
      </c>
      <c r="X958" s="289">
        <f>商品マスタ[[#This Row],[国内定価
（15％）]]-商品マスタ[[#This Row],[仕入単価+国内送料]]</f>
        <v/>
      </c>
      <c r="Y958" s="139" t="n"/>
      <c r="Z958" s="167" t="n"/>
      <c r="AA958" s="167" t="n"/>
      <c r="AB958" s="167" t="n"/>
      <c r="AC958" s="293" t="n"/>
      <c r="AD958" s="167" t="n"/>
      <c r="AE958" s="167" t="n"/>
      <c r="AF958" s="158" t="n"/>
      <c r="AG958" s="144" t="n"/>
    </row>
    <row r="959" ht="18" customHeight="1" s="207">
      <c r="A959" s="166" t="n"/>
      <c r="B959" s="167" t="n"/>
      <c r="C959" s="167" t="n"/>
      <c r="D959" s="143">
        <f>"PRD_SNJ_"&amp;
_xlfn.XLOOKUP(商品マスタ[[#This Row],[仕入先]],テーブル1[仕入先名],テーブル1[仕入先コード],"XXX",0,1)&amp;
"_"&amp;
商品マスタ[[#This Row],[シリアル]]&amp;
"_"&amp;
TEXT(COUNTIFS(商品マスタ!$C$3:C959,商品マスタ[[#This Row],[仕入先]],商品マスタ!$E$3:E959,商品マスタ[[#This Row],[商品名]]), "00")</f>
        <v/>
      </c>
      <c r="E959" s="167" t="n"/>
      <c r="F959" s="167">
        <f>IF(COUNTIFS($C$3:C959,商品マスタ[[#This Row],[仕入先]],$E$3:E959,商品マスタ[[#This Row],[商品名]]) = 1, 1,0)</f>
        <v/>
      </c>
      <c r="G959" s="133">
        <f>TEXT(SUMIF($C$3:C959,商品マスタ[[#This Row],[仕入先]],$F$3:F959), "0000")</f>
        <v/>
      </c>
      <c r="H959" s="167" t="n"/>
      <c r="I959" s="167" t="n"/>
      <c r="J959" s="167" t="n"/>
      <c r="K959" s="167" t="n"/>
      <c r="L959" s="289" t="n"/>
      <c r="M959" s="157" t="n"/>
      <c r="N959" s="289" t="n"/>
      <c r="O959" s="290">
        <f>IF(COUNT(商品マスタ[[#This Row],[参考上代
（税込)]]) &gt; 0, (商品マスタ[[#This Row],[参考上代
（税込)]]-商品マスタ[[#This Row],[国内定価
（15％）]])/(商品マスタ[[#This Row],[参考上代
（税込)]]/1.08), "")</f>
        <v/>
      </c>
      <c r="P959" s="136" t="n">
        <v>0.1</v>
      </c>
      <c r="Q959" s="289">
        <f>商品マスタ[[#This Row],[仕入
単価]]*商品マスタ[[#This Row],[標準国内送料率]]</f>
        <v/>
      </c>
      <c r="R959" s="289" t="n"/>
      <c r="S959" s="289">
        <f>IF(ISBLANK(商品マスタ[[#This Row],[実績
国内送料]]),商品マスタ[[#This Row],[標準国内送料]],)</f>
        <v/>
      </c>
      <c r="T959" s="289">
        <f>商品マスタ[[#This Row],[仕入
単価]]+商品マスタ[[#This Row],[国内送料]]</f>
        <v/>
      </c>
      <c r="U959" s="289">
        <f>ROUNDUP(商品マスタ[[#This Row],[仕入単価+国内送料]]/0.8,-1)</f>
        <v/>
      </c>
      <c r="V959" s="289">
        <f>商品マスタ[[#This Row],[海外定価
（20％）]]-商品マスタ[[#This Row],[仕入単価+国内送料]]</f>
        <v/>
      </c>
      <c r="W959" s="167">
        <f>ROUNDUP(商品マスタ[[#This Row],[仕入単価+国内送料]]/0.85,-1)</f>
        <v/>
      </c>
      <c r="X959" s="289">
        <f>商品マスタ[[#This Row],[国内定価
（15％）]]-商品マスタ[[#This Row],[仕入単価+国内送料]]</f>
        <v/>
      </c>
      <c r="Y959" s="139" t="n"/>
      <c r="Z959" s="167" t="n"/>
      <c r="AA959" s="167" t="n"/>
      <c r="AB959" s="167" t="n"/>
      <c r="AC959" s="293" t="n"/>
      <c r="AD959" s="167" t="n"/>
      <c r="AE959" s="167" t="n"/>
      <c r="AF959" s="158" t="n"/>
      <c r="AG959" s="144" t="n"/>
    </row>
    <row r="960" ht="18" customHeight="1" s="207">
      <c r="A960" s="166" t="n"/>
      <c r="B960" s="167" t="n"/>
      <c r="C960" s="167" t="n"/>
      <c r="D960" s="143">
        <f>"PRD_SNJ_"&amp;
_xlfn.XLOOKUP(商品マスタ[[#This Row],[仕入先]],テーブル1[仕入先名],テーブル1[仕入先コード],"XXX",0,1)&amp;
"_"&amp;
商品マスタ[[#This Row],[シリアル]]&amp;
"_"&amp;
TEXT(COUNTIFS(商品マスタ!$C$3:C960,商品マスタ[[#This Row],[仕入先]],商品マスタ!$E$3:E960,商品マスタ[[#This Row],[商品名]]), "00")</f>
        <v/>
      </c>
      <c r="E960" s="167" t="n"/>
      <c r="F960" s="167">
        <f>IF(COUNTIFS($C$3:C960,商品マスタ[[#This Row],[仕入先]],$E$3:E960,商品マスタ[[#This Row],[商品名]]) = 1, 1,0)</f>
        <v/>
      </c>
      <c r="G960" s="133">
        <f>TEXT(SUMIF($C$3:C960,商品マスタ[[#This Row],[仕入先]],$F$3:F960), "0000")</f>
        <v/>
      </c>
      <c r="H960" s="167" t="n"/>
      <c r="I960" s="167" t="n"/>
      <c r="J960" s="167" t="n"/>
      <c r="K960" s="167" t="n"/>
      <c r="L960" s="289" t="n"/>
      <c r="M960" s="157" t="n"/>
      <c r="N960" s="289" t="n"/>
      <c r="O960" s="290">
        <f>IF(COUNT(商品マスタ[[#This Row],[参考上代
（税込)]]) &gt; 0, (商品マスタ[[#This Row],[参考上代
（税込)]]-商品マスタ[[#This Row],[国内定価
（15％）]])/(商品マスタ[[#This Row],[参考上代
（税込)]]/1.08), "")</f>
        <v/>
      </c>
      <c r="P960" s="136" t="n">
        <v>0.1</v>
      </c>
      <c r="Q960" s="289">
        <f>商品マスタ[[#This Row],[仕入
単価]]*商品マスタ[[#This Row],[標準国内送料率]]</f>
        <v/>
      </c>
      <c r="R960" s="289" t="n"/>
      <c r="S960" s="289">
        <f>IF(ISBLANK(商品マスタ[[#This Row],[実績
国内送料]]),商品マスタ[[#This Row],[標準国内送料]],)</f>
        <v/>
      </c>
      <c r="T960" s="289">
        <f>商品マスタ[[#This Row],[仕入
単価]]+商品マスタ[[#This Row],[国内送料]]</f>
        <v/>
      </c>
      <c r="U960" s="289">
        <f>ROUNDUP(商品マスタ[[#This Row],[仕入単価+国内送料]]/0.8,-1)</f>
        <v/>
      </c>
      <c r="V960" s="289">
        <f>商品マスタ[[#This Row],[海外定価
（20％）]]-商品マスタ[[#This Row],[仕入単価+国内送料]]</f>
        <v/>
      </c>
      <c r="W960" s="167">
        <f>ROUNDUP(商品マスタ[[#This Row],[仕入単価+国内送料]]/0.85,-1)</f>
        <v/>
      </c>
      <c r="X960" s="289">
        <f>商品マスタ[[#This Row],[国内定価
（15％）]]-商品マスタ[[#This Row],[仕入単価+国内送料]]</f>
        <v/>
      </c>
      <c r="Y960" s="139" t="n"/>
      <c r="Z960" s="167" t="n"/>
      <c r="AA960" s="167" t="n"/>
      <c r="AB960" s="167" t="n"/>
      <c r="AC960" s="293" t="n"/>
      <c r="AD960" s="167" t="n"/>
      <c r="AE960" s="167" t="n"/>
      <c r="AF960" s="158" t="n"/>
      <c r="AG960" s="144" t="n"/>
    </row>
    <row r="961" ht="18" customHeight="1" s="207">
      <c r="A961" s="166" t="n"/>
      <c r="B961" s="167" t="n"/>
      <c r="C961" s="167" t="n"/>
      <c r="D961" s="143">
        <f>"PRD_SNJ_"&amp;
_xlfn.XLOOKUP(商品マスタ[[#This Row],[仕入先]],テーブル1[仕入先名],テーブル1[仕入先コード],"XXX",0,1)&amp;
"_"&amp;
商品マスタ[[#This Row],[シリアル]]&amp;
"_"&amp;
TEXT(COUNTIFS(商品マスタ!$C$3:C961,商品マスタ[[#This Row],[仕入先]],商品マスタ!$E$3:E961,商品マスタ[[#This Row],[商品名]]), "00")</f>
        <v/>
      </c>
      <c r="E961" s="167" t="n"/>
      <c r="F961" s="167">
        <f>IF(COUNTIFS($C$3:C961,商品マスタ[[#This Row],[仕入先]],$E$3:E961,商品マスタ[[#This Row],[商品名]]) = 1, 1,0)</f>
        <v/>
      </c>
      <c r="G961" s="133">
        <f>TEXT(SUMIF($C$3:C961,商品マスタ[[#This Row],[仕入先]],$F$3:F961), "0000")</f>
        <v/>
      </c>
      <c r="H961" s="167" t="n"/>
      <c r="I961" s="167" t="n"/>
      <c r="J961" s="167" t="n"/>
      <c r="K961" s="167" t="n"/>
      <c r="L961" s="289" t="n"/>
      <c r="M961" s="157" t="n"/>
      <c r="N961" s="289" t="n"/>
      <c r="O961" s="290">
        <f>IF(COUNT(商品マスタ[[#This Row],[参考上代
（税込)]]) &gt; 0, (商品マスタ[[#This Row],[参考上代
（税込)]]-商品マスタ[[#This Row],[国内定価
（15％）]])/(商品マスタ[[#This Row],[参考上代
（税込)]]/1.08), "")</f>
        <v/>
      </c>
      <c r="P961" s="136" t="n">
        <v>0.1</v>
      </c>
      <c r="Q961" s="289">
        <f>商品マスタ[[#This Row],[仕入
単価]]*商品マスタ[[#This Row],[標準国内送料率]]</f>
        <v/>
      </c>
      <c r="R961" s="289" t="n"/>
      <c r="S961" s="289">
        <f>IF(ISBLANK(商品マスタ[[#This Row],[実績
国内送料]]),商品マスタ[[#This Row],[標準国内送料]],)</f>
        <v/>
      </c>
      <c r="T961" s="289">
        <f>商品マスタ[[#This Row],[仕入
単価]]+商品マスタ[[#This Row],[国内送料]]</f>
        <v/>
      </c>
      <c r="U961" s="289">
        <f>ROUNDUP(商品マスタ[[#This Row],[仕入単価+国内送料]]/0.8,-1)</f>
        <v/>
      </c>
      <c r="V961" s="289">
        <f>商品マスタ[[#This Row],[海外定価
（20％）]]-商品マスタ[[#This Row],[仕入単価+国内送料]]</f>
        <v/>
      </c>
      <c r="W961" s="167">
        <f>ROUNDUP(商品マスタ[[#This Row],[仕入単価+国内送料]]/0.85,-1)</f>
        <v/>
      </c>
      <c r="X961" s="289">
        <f>商品マスタ[[#This Row],[国内定価
（15％）]]-商品マスタ[[#This Row],[仕入単価+国内送料]]</f>
        <v/>
      </c>
      <c r="Y961" s="139" t="n"/>
      <c r="Z961" s="167" t="n"/>
      <c r="AA961" s="167" t="n"/>
      <c r="AB961" s="167" t="n"/>
      <c r="AC961" s="293" t="n"/>
      <c r="AD961" s="167" t="n"/>
      <c r="AE961" s="167" t="n"/>
      <c r="AF961" s="158" t="n"/>
      <c r="AG961" s="144" t="n"/>
    </row>
    <row r="962" ht="18" customHeight="1" s="207">
      <c r="A962" s="166" t="n"/>
      <c r="B962" s="167" t="n"/>
      <c r="C962" s="167" t="n"/>
      <c r="D962" s="143">
        <f>"PRD_SNJ_"&amp;
_xlfn.XLOOKUP(商品マスタ[[#This Row],[仕入先]],テーブル1[仕入先名],テーブル1[仕入先コード],"XXX",0,1)&amp;
"_"&amp;
商品マスタ[[#This Row],[シリアル]]&amp;
"_"&amp;
TEXT(COUNTIFS(商品マスタ!$C$3:C962,商品マスタ[[#This Row],[仕入先]],商品マスタ!$E$3:E962,商品マスタ[[#This Row],[商品名]]), "00")</f>
        <v/>
      </c>
      <c r="E962" s="167" t="n"/>
      <c r="F962" s="167">
        <f>IF(COUNTIFS($C$3:C962,商品マスタ[[#This Row],[仕入先]],$E$3:E962,商品マスタ[[#This Row],[商品名]]) = 1, 1,0)</f>
        <v/>
      </c>
      <c r="G962" s="133">
        <f>TEXT(SUMIF($C$3:C962,商品マスタ[[#This Row],[仕入先]],$F$3:F962), "0000")</f>
        <v/>
      </c>
      <c r="H962" s="167" t="n"/>
      <c r="I962" s="167" t="n"/>
      <c r="J962" s="167" t="n"/>
      <c r="K962" s="167" t="n"/>
      <c r="L962" s="289" t="n"/>
      <c r="M962" s="157" t="n"/>
      <c r="N962" s="289" t="n"/>
      <c r="O962" s="290">
        <f>IF(COUNT(商品マスタ[[#This Row],[参考上代
（税込)]]) &gt; 0, (商品マスタ[[#This Row],[参考上代
（税込)]]-商品マスタ[[#This Row],[国内定価
（15％）]])/(商品マスタ[[#This Row],[参考上代
（税込)]]/1.08), "")</f>
        <v/>
      </c>
      <c r="P962" s="136" t="n">
        <v>0.1</v>
      </c>
      <c r="Q962" s="289">
        <f>商品マスタ[[#This Row],[仕入
単価]]*商品マスタ[[#This Row],[標準国内送料率]]</f>
        <v/>
      </c>
      <c r="R962" s="289" t="n"/>
      <c r="S962" s="289">
        <f>IF(ISBLANK(商品マスタ[[#This Row],[実績
国内送料]]),商品マスタ[[#This Row],[標準国内送料]],)</f>
        <v/>
      </c>
      <c r="T962" s="289">
        <f>商品マスタ[[#This Row],[仕入
単価]]+商品マスタ[[#This Row],[国内送料]]</f>
        <v/>
      </c>
      <c r="U962" s="289">
        <f>ROUNDUP(商品マスタ[[#This Row],[仕入単価+国内送料]]/0.8,-1)</f>
        <v/>
      </c>
      <c r="V962" s="289">
        <f>商品マスタ[[#This Row],[海外定価
（20％）]]-商品マスタ[[#This Row],[仕入単価+国内送料]]</f>
        <v/>
      </c>
      <c r="W962" s="167">
        <f>ROUNDUP(商品マスタ[[#This Row],[仕入単価+国内送料]]/0.85,-1)</f>
        <v/>
      </c>
      <c r="X962" s="289">
        <f>商品マスタ[[#This Row],[国内定価
（15％）]]-商品マスタ[[#This Row],[仕入単価+国内送料]]</f>
        <v/>
      </c>
      <c r="Y962" s="139" t="n"/>
      <c r="Z962" s="167" t="n"/>
      <c r="AA962" s="167" t="n"/>
      <c r="AB962" s="167" t="n"/>
      <c r="AC962" s="293" t="n"/>
      <c r="AD962" s="167" t="n"/>
      <c r="AE962" s="167" t="n"/>
      <c r="AF962" s="158" t="n"/>
      <c r="AG962" s="144" t="n"/>
    </row>
    <row r="963" ht="18" customHeight="1" s="207">
      <c r="A963" s="166" t="n"/>
      <c r="B963" s="167" t="n"/>
      <c r="C963" s="167" t="n"/>
      <c r="D963" s="143">
        <f>"PRD_SNJ_"&amp;
_xlfn.XLOOKUP(商品マスタ[[#This Row],[仕入先]],テーブル1[仕入先名],テーブル1[仕入先コード],"XXX",0,1)&amp;
"_"&amp;
商品マスタ[[#This Row],[シリアル]]&amp;
"_"&amp;
TEXT(COUNTIFS(商品マスタ!$C$3:C963,商品マスタ[[#This Row],[仕入先]],商品マスタ!$E$3:E963,商品マスタ[[#This Row],[商品名]]), "00")</f>
        <v/>
      </c>
      <c r="E963" s="167" t="n"/>
      <c r="F963" s="167">
        <f>IF(COUNTIFS($C$3:C963,商品マスタ[[#This Row],[仕入先]],$E$3:E963,商品マスタ[[#This Row],[商品名]]) = 1, 1,0)</f>
        <v/>
      </c>
      <c r="G963" s="133">
        <f>TEXT(SUMIF($C$3:C963,商品マスタ[[#This Row],[仕入先]],$F$3:F963), "0000")</f>
        <v/>
      </c>
      <c r="H963" s="167" t="n"/>
      <c r="I963" s="167" t="n"/>
      <c r="J963" s="167" t="n"/>
      <c r="K963" s="167" t="n"/>
      <c r="L963" s="289" t="n"/>
      <c r="M963" s="157" t="n"/>
      <c r="N963" s="289" t="n"/>
      <c r="O963" s="290">
        <f>IF(COUNT(商品マスタ[[#This Row],[参考上代
（税込)]]) &gt; 0, (商品マスタ[[#This Row],[参考上代
（税込)]]-商品マスタ[[#This Row],[国内定価
（15％）]])/(商品マスタ[[#This Row],[参考上代
（税込)]]/1.08), "")</f>
        <v/>
      </c>
      <c r="P963" s="136" t="n">
        <v>0.1</v>
      </c>
      <c r="Q963" s="289">
        <f>商品マスタ[[#This Row],[仕入
単価]]*商品マスタ[[#This Row],[標準国内送料率]]</f>
        <v/>
      </c>
      <c r="R963" s="289" t="n"/>
      <c r="S963" s="289">
        <f>IF(ISBLANK(商品マスタ[[#This Row],[実績
国内送料]]),商品マスタ[[#This Row],[標準国内送料]],)</f>
        <v/>
      </c>
      <c r="T963" s="289">
        <f>商品マスタ[[#This Row],[仕入
単価]]+商品マスタ[[#This Row],[国内送料]]</f>
        <v/>
      </c>
      <c r="U963" s="289">
        <f>ROUNDUP(商品マスタ[[#This Row],[仕入単価+国内送料]]/0.8,-1)</f>
        <v/>
      </c>
      <c r="V963" s="289">
        <f>商品マスタ[[#This Row],[海外定価
（20％）]]-商品マスタ[[#This Row],[仕入単価+国内送料]]</f>
        <v/>
      </c>
      <c r="W963" s="167">
        <f>ROUNDUP(商品マスタ[[#This Row],[仕入単価+国内送料]]/0.85,-1)</f>
        <v/>
      </c>
      <c r="X963" s="289">
        <f>商品マスタ[[#This Row],[国内定価
（15％）]]-商品マスタ[[#This Row],[仕入単価+国内送料]]</f>
        <v/>
      </c>
      <c r="Y963" s="139" t="n"/>
      <c r="Z963" s="167" t="n"/>
      <c r="AA963" s="167" t="n"/>
      <c r="AB963" s="167" t="n"/>
      <c r="AC963" s="293" t="n"/>
      <c r="AD963" s="167" t="n"/>
      <c r="AE963" s="167" t="n"/>
      <c r="AF963" s="158" t="n"/>
      <c r="AG963" s="144" t="n"/>
    </row>
    <row r="964" ht="18" customHeight="1" s="207">
      <c r="A964" s="166" t="n"/>
      <c r="B964" s="167" t="n"/>
      <c r="C964" s="167" t="n"/>
      <c r="D964" s="143">
        <f>"PRD_SNJ_"&amp;
_xlfn.XLOOKUP(商品マスタ[[#This Row],[仕入先]],テーブル1[仕入先名],テーブル1[仕入先コード],"XXX",0,1)&amp;
"_"&amp;
商品マスタ[[#This Row],[シリアル]]&amp;
"_"&amp;
TEXT(COUNTIFS(商品マスタ!$C$3:C964,商品マスタ[[#This Row],[仕入先]],商品マスタ!$E$3:E964,商品マスタ[[#This Row],[商品名]]), "00")</f>
        <v/>
      </c>
      <c r="E964" s="167" t="n"/>
      <c r="F964" s="167">
        <f>IF(COUNTIFS($C$3:C964,商品マスタ[[#This Row],[仕入先]],$E$3:E964,商品マスタ[[#This Row],[商品名]]) = 1, 1,0)</f>
        <v/>
      </c>
      <c r="G964" s="133">
        <f>TEXT(SUMIF($C$3:C964,商品マスタ[[#This Row],[仕入先]],$F$3:F964), "0000")</f>
        <v/>
      </c>
      <c r="H964" s="167" t="n"/>
      <c r="I964" s="167" t="n"/>
      <c r="J964" s="167" t="n"/>
      <c r="K964" s="167" t="n"/>
      <c r="L964" s="289" t="n"/>
      <c r="M964" s="157" t="n"/>
      <c r="N964" s="289" t="n"/>
      <c r="O964" s="290">
        <f>IF(COUNT(商品マスタ[[#This Row],[参考上代
（税込)]]) &gt; 0, (商品マスタ[[#This Row],[参考上代
（税込)]]-商品マスタ[[#This Row],[国内定価
（15％）]])/(商品マスタ[[#This Row],[参考上代
（税込)]]/1.08), "")</f>
        <v/>
      </c>
      <c r="P964" s="136" t="n">
        <v>0.1</v>
      </c>
      <c r="Q964" s="289">
        <f>商品マスタ[[#This Row],[仕入
単価]]*商品マスタ[[#This Row],[標準国内送料率]]</f>
        <v/>
      </c>
      <c r="R964" s="289" t="n"/>
      <c r="S964" s="289">
        <f>IF(ISBLANK(商品マスタ[[#This Row],[実績
国内送料]]),商品マスタ[[#This Row],[標準国内送料]],)</f>
        <v/>
      </c>
      <c r="T964" s="289">
        <f>商品マスタ[[#This Row],[仕入
単価]]+商品マスタ[[#This Row],[国内送料]]</f>
        <v/>
      </c>
      <c r="U964" s="289">
        <f>ROUNDUP(商品マスタ[[#This Row],[仕入単価+国内送料]]/0.8,-1)</f>
        <v/>
      </c>
      <c r="V964" s="289">
        <f>商品マスタ[[#This Row],[海外定価
（20％）]]-商品マスタ[[#This Row],[仕入単価+国内送料]]</f>
        <v/>
      </c>
      <c r="W964" s="167">
        <f>ROUNDUP(商品マスタ[[#This Row],[仕入単価+国内送料]]/0.85,-1)</f>
        <v/>
      </c>
      <c r="X964" s="289">
        <f>商品マスタ[[#This Row],[国内定価
（15％）]]-商品マスタ[[#This Row],[仕入単価+国内送料]]</f>
        <v/>
      </c>
      <c r="Y964" s="139" t="n"/>
      <c r="Z964" s="167" t="n"/>
      <c r="AA964" s="167" t="n"/>
      <c r="AB964" s="167" t="n"/>
      <c r="AC964" s="293" t="n"/>
      <c r="AD964" s="167" t="n"/>
      <c r="AE964" s="167" t="n"/>
      <c r="AF964" s="158" t="n"/>
      <c r="AG964" s="144" t="n"/>
    </row>
    <row r="965" ht="18" customHeight="1" s="207">
      <c r="A965" s="166" t="n"/>
      <c r="B965" s="167" t="n"/>
      <c r="C965" s="167" t="n"/>
      <c r="D965" s="143">
        <f>"PRD_SNJ_"&amp;
_xlfn.XLOOKUP(商品マスタ[[#This Row],[仕入先]],テーブル1[仕入先名],テーブル1[仕入先コード],"XXX",0,1)&amp;
"_"&amp;
商品マスタ[[#This Row],[シリアル]]&amp;
"_"&amp;
TEXT(COUNTIFS(商品マスタ!$C$3:C965,商品マスタ[[#This Row],[仕入先]],商品マスタ!$E$3:E965,商品マスタ[[#This Row],[商品名]]), "00")</f>
        <v/>
      </c>
      <c r="E965" s="167" t="n"/>
      <c r="F965" s="167">
        <f>IF(COUNTIFS($C$3:C965,商品マスタ[[#This Row],[仕入先]],$E$3:E965,商品マスタ[[#This Row],[商品名]]) = 1, 1,0)</f>
        <v/>
      </c>
      <c r="G965" s="133">
        <f>TEXT(SUMIF($C$3:C965,商品マスタ[[#This Row],[仕入先]],$F$3:F965), "0000")</f>
        <v/>
      </c>
      <c r="H965" s="167" t="n"/>
      <c r="I965" s="167" t="n"/>
      <c r="J965" s="167" t="n"/>
      <c r="K965" s="167" t="n"/>
      <c r="L965" s="289" t="n"/>
      <c r="M965" s="157" t="n"/>
      <c r="N965" s="289" t="n"/>
      <c r="O965" s="290">
        <f>IF(COUNT(商品マスタ[[#This Row],[参考上代
（税込)]]) &gt; 0, (商品マスタ[[#This Row],[参考上代
（税込)]]-商品マスタ[[#This Row],[国内定価
（15％）]])/(商品マスタ[[#This Row],[参考上代
（税込)]]/1.08), "")</f>
        <v/>
      </c>
      <c r="P965" s="136" t="n">
        <v>0.1</v>
      </c>
      <c r="Q965" s="289">
        <f>商品マスタ[[#This Row],[仕入
単価]]*商品マスタ[[#This Row],[標準国内送料率]]</f>
        <v/>
      </c>
      <c r="R965" s="289" t="n"/>
      <c r="S965" s="289">
        <f>IF(ISBLANK(商品マスタ[[#This Row],[実績
国内送料]]),商品マスタ[[#This Row],[標準国内送料]],)</f>
        <v/>
      </c>
      <c r="T965" s="289">
        <f>商品マスタ[[#This Row],[仕入
単価]]+商品マスタ[[#This Row],[国内送料]]</f>
        <v/>
      </c>
      <c r="U965" s="289">
        <f>ROUNDUP(商品マスタ[[#This Row],[仕入単価+国内送料]]/0.8,-1)</f>
        <v/>
      </c>
      <c r="V965" s="289">
        <f>商品マスタ[[#This Row],[海外定価
（20％）]]-商品マスタ[[#This Row],[仕入単価+国内送料]]</f>
        <v/>
      </c>
      <c r="W965" s="167">
        <f>ROUNDUP(商品マスタ[[#This Row],[仕入単価+国内送料]]/0.85,-1)</f>
        <v/>
      </c>
      <c r="X965" s="289">
        <f>商品マスタ[[#This Row],[国内定価
（15％）]]-商品マスタ[[#This Row],[仕入単価+国内送料]]</f>
        <v/>
      </c>
      <c r="Y965" s="139" t="n"/>
      <c r="Z965" s="167" t="n"/>
      <c r="AA965" s="167" t="n"/>
      <c r="AB965" s="167" t="n"/>
      <c r="AC965" s="293" t="n"/>
      <c r="AD965" s="167" t="n"/>
      <c r="AE965" s="167" t="n"/>
      <c r="AF965" s="158" t="n"/>
      <c r="AG965" s="144" t="n"/>
    </row>
    <row r="966" ht="18" customHeight="1" s="207">
      <c r="A966" s="166" t="n"/>
      <c r="B966" s="167" t="n"/>
      <c r="C966" s="167" t="n"/>
      <c r="D966" s="143">
        <f>"PRD_SNJ_"&amp;
_xlfn.XLOOKUP(商品マスタ[[#This Row],[仕入先]],テーブル1[仕入先名],テーブル1[仕入先コード],"XXX",0,1)&amp;
"_"&amp;
商品マスタ[[#This Row],[シリアル]]&amp;
"_"&amp;
TEXT(COUNTIFS(商品マスタ!$C$3:C966,商品マスタ[[#This Row],[仕入先]],商品マスタ!$E$3:E966,商品マスタ[[#This Row],[商品名]]), "00")</f>
        <v/>
      </c>
      <c r="E966" s="167" t="n"/>
      <c r="F966" s="167">
        <f>IF(COUNTIFS($C$3:C966,商品マスタ[[#This Row],[仕入先]],$E$3:E966,商品マスタ[[#This Row],[商品名]]) = 1, 1,0)</f>
        <v/>
      </c>
      <c r="G966" s="133">
        <f>TEXT(SUMIF($C$3:C966,商品マスタ[[#This Row],[仕入先]],$F$3:F966), "0000")</f>
        <v/>
      </c>
      <c r="H966" s="167" t="n"/>
      <c r="I966" s="167" t="n"/>
      <c r="J966" s="167" t="n"/>
      <c r="K966" s="167" t="n"/>
      <c r="L966" s="289" t="n"/>
      <c r="M966" s="157" t="n"/>
      <c r="N966" s="289" t="n"/>
      <c r="O966" s="290">
        <f>IF(COUNT(商品マスタ[[#This Row],[参考上代
（税込)]]) &gt; 0, (商品マスタ[[#This Row],[参考上代
（税込)]]-商品マスタ[[#This Row],[国内定価
（15％）]])/(商品マスタ[[#This Row],[参考上代
（税込)]]/1.08), "")</f>
        <v/>
      </c>
      <c r="P966" s="136" t="n">
        <v>0.1</v>
      </c>
      <c r="Q966" s="289">
        <f>商品マスタ[[#This Row],[仕入
単価]]*商品マスタ[[#This Row],[標準国内送料率]]</f>
        <v/>
      </c>
      <c r="R966" s="289" t="n"/>
      <c r="S966" s="289">
        <f>IF(ISBLANK(商品マスタ[[#This Row],[実績
国内送料]]),商品マスタ[[#This Row],[標準国内送料]],)</f>
        <v/>
      </c>
      <c r="T966" s="289">
        <f>商品マスタ[[#This Row],[仕入
単価]]+商品マスタ[[#This Row],[国内送料]]</f>
        <v/>
      </c>
      <c r="U966" s="289">
        <f>ROUNDUP(商品マスタ[[#This Row],[仕入単価+国内送料]]/0.8,-1)</f>
        <v/>
      </c>
      <c r="V966" s="289">
        <f>商品マスタ[[#This Row],[海外定価
（20％）]]-商品マスタ[[#This Row],[仕入単価+国内送料]]</f>
        <v/>
      </c>
      <c r="W966" s="167">
        <f>ROUNDUP(商品マスタ[[#This Row],[仕入単価+国内送料]]/0.85,-1)</f>
        <v/>
      </c>
      <c r="X966" s="289">
        <f>商品マスタ[[#This Row],[国内定価
（15％）]]-商品マスタ[[#This Row],[仕入単価+国内送料]]</f>
        <v/>
      </c>
      <c r="Y966" s="139" t="n"/>
      <c r="Z966" s="167" t="n"/>
      <c r="AA966" s="167" t="n"/>
      <c r="AB966" s="167" t="n"/>
      <c r="AC966" s="293" t="n"/>
      <c r="AD966" s="167" t="n"/>
      <c r="AE966" s="167" t="n"/>
      <c r="AF966" s="158" t="n"/>
      <c r="AG966" s="144" t="n"/>
    </row>
    <row r="967" ht="18" customHeight="1" s="207">
      <c r="A967" s="166" t="n"/>
      <c r="B967" s="167" t="n"/>
      <c r="C967" s="167" t="n"/>
      <c r="D967" s="143">
        <f>"PRD_SNJ_"&amp;
_xlfn.XLOOKUP(商品マスタ[[#This Row],[仕入先]],テーブル1[仕入先名],テーブル1[仕入先コード],"XXX",0,1)&amp;
"_"&amp;
商品マスタ[[#This Row],[シリアル]]&amp;
"_"&amp;
TEXT(COUNTIFS(商品マスタ!$C$3:C967,商品マスタ[[#This Row],[仕入先]],商品マスタ!$E$3:E967,商品マスタ[[#This Row],[商品名]]), "00")</f>
        <v/>
      </c>
      <c r="E967" s="167" t="n"/>
      <c r="F967" s="167">
        <f>IF(COUNTIFS($C$3:C967,商品マスタ[[#This Row],[仕入先]],$E$3:E967,商品マスタ[[#This Row],[商品名]]) = 1, 1,0)</f>
        <v/>
      </c>
      <c r="G967" s="133">
        <f>TEXT(SUMIF($C$3:C967,商品マスタ[[#This Row],[仕入先]],$F$3:F967), "0000")</f>
        <v/>
      </c>
      <c r="H967" s="167" t="n"/>
      <c r="I967" s="167" t="n"/>
      <c r="J967" s="167" t="n"/>
      <c r="K967" s="167" t="n"/>
      <c r="L967" s="289" t="n"/>
      <c r="M967" s="157" t="n"/>
      <c r="N967" s="289" t="n"/>
      <c r="O967" s="290">
        <f>IF(COUNT(商品マスタ[[#This Row],[参考上代
（税込)]]) &gt; 0, (商品マスタ[[#This Row],[参考上代
（税込)]]-商品マスタ[[#This Row],[国内定価
（15％）]])/(商品マスタ[[#This Row],[参考上代
（税込)]]/1.08), "")</f>
        <v/>
      </c>
      <c r="P967" s="136" t="n">
        <v>0.1</v>
      </c>
      <c r="Q967" s="289">
        <f>商品マスタ[[#This Row],[仕入
単価]]*商品マスタ[[#This Row],[標準国内送料率]]</f>
        <v/>
      </c>
      <c r="R967" s="289" t="n"/>
      <c r="S967" s="289">
        <f>IF(ISBLANK(商品マスタ[[#This Row],[実績
国内送料]]),商品マスタ[[#This Row],[標準国内送料]],)</f>
        <v/>
      </c>
      <c r="T967" s="289">
        <f>商品マスタ[[#This Row],[仕入
単価]]+商品マスタ[[#This Row],[国内送料]]</f>
        <v/>
      </c>
      <c r="U967" s="289">
        <f>ROUNDUP(商品マスタ[[#This Row],[仕入単価+国内送料]]/0.8,-1)</f>
        <v/>
      </c>
      <c r="V967" s="289">
        <f>商品マスタ[[#This Row],[海外定価
（20％）]]-商品マスタ[[#This Row],[仕入単価+国内送料]]</f>
        <v/>
      </c>
      <c r="W967" s="167">
        <f>ROUNDUP(商品マスタ[[#This Row],[仕入単価+国内送料]]/0.85,-1)</f>
        <v/>
      </c>
      <c r="X967" s="289">
        <f>商品マスタ[[#This Row],[国内定価
（15％）]]-商品マスタ[[#This Row],[仕入単価+国内送料]]</f>
        <v/>
      </c>
      <c r="Y967" s="139" t="n"/>
      <c r="Z967" s="167" t="n"/>
      <c r="AA967" s="167" t="n"/>
      <c r="AB967" s="167" t="n"/>
      <c r="AC967" s="293" t="n"/>
      <c r="AD967" s="167" t="n"/>
      <c r="AE967" s="167" t="n"/>
      <c r="AF967" s="158" t="n"/>
      <c r="AG967" s="144" t="n"/>
    </row>
    <row r="968" ht="18" customHeight="1" s="207">
      <c r="A968" s="166" t="n"/>
      <c r="B968" s="167" t="n"/>
      <c r="C968" s="167" t="n"/>
      <c r="D968" s="143">
        <f>"PRD_SNJ_"&amp;
_xlfn.XLOOKUP(商品マスタ[[#This Row],[仕入先]],テーブル1[仕入先名],テーブル1[仕入先コード],"XXX",0,1)&amp;
"_"&amp;
商品マスタ[[#This Row],[シリアル]]&amp;
"_"&amp;
TEXT(COUNTIFS(商品マスタ!$C$3:C968,商品マスタ[[#This Row],[仕入先]],商品マスタ!$E$3:E968,商品マスタ[[#This Row],[商品名]]), "00")</f>
        <v/>
      </c>
      <c r="E968" s="167" t="n"/>
      <c r="F968" s="167">
        <f>IF(COUNTIFS($C$3:C968,商品マスタ[[#This Row],[仕入先]],$E$3:E968,商品マスタ[[#This Row],[商品名]]) = 1, 1,0)</f>
        <v/>
      </c>
      <c r="G968" s="133">
        <f>TEXT(SUMIF($C$3:C968,商品マスタ[[#This Row],[仕入先]],$F$3:F968), "0000")</f>
        <v/>
      </c>
      <c r="H968" s="167" t="n"/>
      <c r="I968" s="167" t="n"/>
      <c r="J968" s="167" t="n"/>
      <c r="K968" s="167" t="n"/>
      <c r="L968" s="289" t="n"/>
      <c r="M968" s="157" t="n"/>
      <c r="N968" s="289" t="n"/>
      <c r="O968" s="290">
        <f>IF(COUNT(商品マスタ[[#This Row],[参考上代
（税込)]]) &gt; 0, (商品マスタ[[#This Row],[参考上代
（税込)]]-商品マスタ[[#This Row],[国内定価
（15％）]])/(商品マスタ[[#This Row],[参考上代
（税込)]]/1.08), "")</f>
        <v/>
      </c>
      <c r="P968" s="136" t="n">
        <v>0.1</v>
      </c>
      <c r="Q968" s="289">
        <f>商品マスタ[[#This Row],[仕入
単価]]*商品マスタ[[#This Row],[標準国内送料率]]</f>
        <v/>
      </c>
      <c r="R968" s="289" t="n"/>
      <c r="S968" s="289">
        <f>IF(ISBLANK(商品マスタ[[#This Row],[実績
国内送料]]),商品マスタ[[#This Row],[標準国内送料]],)</f>
        <v/>
      </c>
      <c r="T968" s="289">
        <f>商品マスタ[[#This Row],[仕入
単価]]+商品マスタ[[#This Row],[国内送料]]</f>
        <v/>
      </c>
      <c r="U968" s="289">
        <f>ROUNDUP(商品マスタ[[#This Row],[仕入単価+国内送料]]/0.8,-1)</f>
        <v/>
      </c>
      <c r="V968" s="289">
        <f>商品マスタ[[#This Row],[海外定価
（20％）]]-商品マスタ[[#This Row],[仕入単価+国内送料]]</f>
        <v/>
      </c>
      <c r="W968" s="167">
        <f>ROUNDUP(商品マスタ[[#This Row],[仕入単価+国内送料]]/0.85,-1)</f>
        <v/>
      </c>
      <c r="X968" s="289">
        <f>商品マスタ[[#This Row],[国内定価
（15％）]]-商品マスタ[[#This Row],[仕入単価+国内送料]]</f>
        <v/>
      </c>
      <c r="Y968" s="139" t="n"/>
      <c r="Z968" s="167" t="n"/>
      <c r="AA968" s="167" t="n"/>
      <c r="AB968" s="167" t="n"/>
      <c r="AC968" s="293" t="n"/>
      <c r="AD968" s="167" t="n"/>
      <c r="AE968" s="167" t="n"/>
      <c r="AF968" s="158" t="n"/>
      <c r="AG968" s="144" t="n"/>
    </row>
    <row r="969" ht="18" customHeight="1" s="207">
      <c r="A969" s="166" t="n"/>
      <c r="B969" s="167" t="n"/>
      <c r="C969" s="167" t="n"/>
      <c r="D969" s="143">
        <f>"PRD_SNJ_"&amp;
_xlfn.XLOOKUP(商品マスタ[[#This Row],[仕入先]],テーブル1[仕入先名],テーブル1[仕入先コード],"XXX",0,1)&amp;
"_"&amp;
商品マスタ[[#This Row],[シリアル]]&amp;
"_"&amp;
TEXT(COUNTIFS(商品マスタ!$C$3:C969,商品マスタ[[#This Row],[仕入先]],商品マスタ!$E$3:E969,商品マスタ[[#This Row],[商品名]]), "00")</f>
        <v/>
      </c>
      <c r="E969" s="167" t="n"/>
      <c r="F969" s="167">
        <f>IF(COUNTIFS($C$3:C969,商品マスタ[[#This Row],[仕入先]],$E$3:E969,商品マスタ[[#This Row],[商品名]]) = 1, 1,0)</f>
        <v/>
      </c>
      <c r="G969" s="133">
        <f>TEXT(SUMIF($C$3:C969,商品マスタ[[#This Row],[仕入先]],$F$3:F969), "0000")</f>
        <v/>
      </c>
      <c r="H969" s="167" t="n"/>
      <c r="I969" s="167" t="n"/>
      <c r="J969" s="167" t="n"/>
      <c r="K969" s="167" t="n"/>
      <c r="L969" s="289" t="n"/>
      <c r="M969" s="157" t="n"/>
      <c r="N969" s="289" t="n"/>
      <c r="O969" s="290">
        <f>IF(COUNT(商品マスタ[[#This Row],[参考上代
（税込)]]) &gt; 0, (商品マスタ[[#This Row],[参考上代
（税込)]]-商品マスタ[[#This Row],[国内定価
（15％）]])/(商品マスタ[[#This Row],[参考上代
（税込)]]/1.08), "")</f>
        <v/>
      </c>
      <c r="P969" s="136" t="n">
        <v>0.1</v>
      </c>
      <c r="Q969" s="289">
        <f>商品マスタ[[#This Row],[仕入
単価]]*商品マスタ[[#This Row],[標準国内送料率]]</f>
        <v/>
      </c>
      <c r="R969" s="289" t="n"/>
      <c r="S969" s="289">
        <f>IF(ISBLANK(商品マスタ[[#This Row],[実績
国内送料]]),商品マスタ[[#This Row],[標準国内送料]],)</f>
        <v/>
      </c>
      <c r="T969" s="289">
        <f>商品マスタ[[#This Row],[仕入
単価]]+商品マスタ[[#This Row],[国内送料]]</f>
        <v/>
      </c>
      <c r="U969" s="289">
        <f>ROUNDUP(商品マスタ[[#This Row],[仕入単価+国内送料]]/0.8,-1)</f>
        <v/>
      </c>
      <c r="V969" s="289">
        <f>商品マスタ[[#This Row],[海外定価
（20％）]]-商品マスタ[[#This Row],[仕入単価+国内送料]]</f>
        <v/>
      </c>
      <c r="W969" s="167">
        <f>ROUNDUP(商品マスタ[[#This Row],[仕入単価+国内送料]]/0.85,-1)</f>
        <v/>
      </c>
      <c r="X969" s="289">
        <f>商品マスタ[[#This Row],[国内定価
（15％）]]-商品マスタ[[#This Row],[仕入単価+国内送料]]</f>
        <v/>
      </c>
      <c r="Y969" s="139" t="n"/>
      <c r="Z969" s="167" t="n"/>
      <c r="AA969" s="167" t="n"/>
      <c r="AB969" s="167" t="n"/>
      <c r="AC969" s="293" t="n"/>
      <c r="AD969" s="167" t="n"/>
      <c r="AE969" s="167" t="n"/>
      <c r="AF969" s="158" t="n"/>
      <c r="AG969" s="144" t="n"/>
    </row>
    <row r="970" ht="18" customHeight="1" s="207">
      <c r="A970" s="166" t="n"/>
      <c r="B970" s="167" t="n"/>
      <c r="C970" s="167" t="n"/>
      <c r="D970" s="143">
        <f>"PRD_SNJ_"&amp;
_xlfn.XLOOKUP(商品マスタ[[#This Row],[仕入先]],テーブル1[仕入先名],テーブル1[仕入先コード],"XXX",0,1)&amp;
"_"&amp;
商品マスタ[[#This Row],[シリアル]]&amp;
"_"&amp;
TEXT(COUNTIFS(商品マスタ!$C$3:C970,商品マスタ[[#This Row],[仕入先]],商品マスタ!$E$3:E970,商品マスタ[[#This Row],[商品名]]), "00")</f>
        <v/>
      </c>
      <c r="E970" s="167" t="n"/>
      <c r="F970" s="167">
        <f>IF(COUNTIFS($C$3:C970,商品マスタ[[#This Row],[仕入先]],$E$3:E970,商品マスタ[[#This Row],[商品名]]) = 1, 1,0)</f>
        <v/>
      </c>
      <c r="G970" s="133">
        <f>TEXT(SUMIF($C$3:C970,商品マスタ[[#This Row],[仕入先]],$F$3:F970), "0000")</f>
        <v/>
      </c>
      <c r="H970" s="167" t="n"/>
      <c r="I970" s="167" t="n"/>
      <c r="J970" s="167" t="n"/>
      <c r="K970" s="167" t="n"/>
      <c r="L970" s="289" t="n"/>
      <c r="M970" s="157" t="n"/>
      <c r="N970" s="289" t="n"/>
      <c r="O970" s="290">
        <f>IF(COUNT(商品マスタ[[#This Row],[参考上代
（税込)]]) &gt; 0, (商品マスタ[[#This Row],[参考上代
（税込)]]-商品マスタ[[#This Row],[国内定価
（15％）]])/(商品マスタ[[#This Row],[参考上代
（税込)]]/1.08), "")</f>
        <v/>
      </c>
      <c r="P970" s="136" t="n">
        <v>0.1</v>
      </c>
      <c r="Q970" s="289">
        <f>商品マスタ[[#This Row],[仕入
単価]]*商品マスタ[[#This Row],[標準国内送料率]]</f>
        <v/>
      </c>
      <c r="R970" s="289" t="n"/>
      <c r="S970" s="289">
        <f>IF(ISBLANK(商品マスタ[[#This Row],[実績
国内送料]]),商品マスタ[[#This Row],[標準国内送料]],)</f>
        <v/>
      </c>
      <c r="T970" s="289">
        <f>商品マスタ[[#This Row],[仕入
単価]]+商品マスタ[[#This Row],[国内送料]]</f>
        <v/>
      </c>
      <c r="U970" s="289">
        <f>ROUNDUP(商品マスタ[[#This Row],[仕入単価+国内送料]]/0.8,-1)</f>
        <v/>
      </c>
      <c r="V970" s="289">
        <f>商品マスタ[[#This Row],[海外定価
（20％）]]-商品マスタ[[#This Row],[仕入単価+国内送料]]</f>
        <v/>
      </c>
      <c r="W970" s="167">
        <f>ROUNDUP(商品マスタ[[#This Row],[仕入単価+国内送料]]/0.85,-1)</f>
        <v/>
      </c>
      <c r="X970" s="289">
        <f>商品マスタ[[#This Row],[国内定価
（15％）]]-商品マスタ[[#This Row],[仕入単価+国内送料]]</f>
        <v/>
      </c>
      <c r="Y970" s="139" t="n"/>
      <c r="Z970" s="167" t="n"/>
      <c r="AA970" s="167" t="n"/>
      <c r="AB970" s="167" t="n"/>
      <c r="AC970" s="293" t="n"/>
      <c r="AD970" s="167" t="n"/>
      <c r="AE970" s="167" t="n"/>
      <c r="AF970" s="158" t="n"/>
      <c r="AG970" s="144" t="n"/>
    </row>
    <row r="971" ht="18" customHeight="1" s="207">
      <c r="A971" s="166" t="n"/>
      <c r="B971" s="167" t="n"/>
      <c r="C971" s="167" t="n"/>
      <c r="D971" s="143">
        <f>"PRD_SNJ_"&amp;
_xlfn.XLOOKUP(商品マスタ[[#This Row],[仕入先]],テーブル1[仕入先名],テーブル1[仕入先コード],"XXX",0,1)&amp;
"_"&amp;
商品マスタ[[#This Row],[シリアル]]&amp;
"_"&amp;
TEXT(COUNTIFS(商品マスタ!$C$3:C971,商品マスタ[[#This Row],[仕入先]],商品マスタ!$E$3:E971,商品マスタ[[#This Row],[商品名]]), "00")</f>
        <v/>
      </c>
      <c r="E971" s="167" t="n"/>
      <c r="F971" s="167">
        <f>IF(COUNTIFS($C$3:C971,商品マスタ[[#This Row],[仕入先]],$E$3:E971,商品マスタ[[#This Row],[商品名]]) = 1, 1,0)</f>
        <v/>
      </c>
      <c r="G971" s="133">
        <f>TEXT(SUMIF($C$3:C971,商品マスタ[[#This Row],[仕入先]],$F$3:F971), "0000")</f>
        <v/>
      </c>
      <c r="H971" s="167" t="n"/>
      <c r="I971" s="167" t="n"/>
      <c r="J971" s="167" t="n"/>
      <c r="K971" s="167" t="n"/>
      <c r="L971" s="289" t="n"/>
      <c r="M971" s="157" t="n"/>
      <c r="N971" s="289" t="n"/>
      <c r="O971" s="290">
        <f>IF(COUNT(商品マスタ[[#This Row],[参考上代
（税込)]]) &gt; 0, (商品マスタ[[#This Row],[参考上代
（税込)]]-商品マスタ[[#This Row],[国内定価
（15％）]])/(商品マスタ[[#This Row],[参考上代
（税込)]]/1.08), "")</f>
        <v/>
      </c>
      <c r="P971" s="136" t="n">
        <v>0.1</v>
      </c>
      <c r="Q971" s="289">
        <f>商品マスタ[[#This Row],[仕入
単価]]*商品マスタ[[#This Row],[標準国内送料率]]</f>
        <v/>
      </c>
      <c r="R971" s="289" t="n"/>
      <c r="S971" s="289">
        <f>IF(ISBLANK(商品マスタ[[#This Row],[実績
国内送料]]),商品マスタ[[#This Row],[標準国内送料]],)</f>
        <v/>
      </c>
      <c r="T971" s="289">
        <f>商品マスタ[[#This Row],[仕入
単価]]+商品マスタ[[#This Row],[国内送料]]</f>
        <v/>
      </c>
      <c r="U971" s="289">
        <f>ROUNDUP(商品マスタ[[#This Row],[仕入単価+国内送料]]/0.8,-1)</f>
        <v/>
      </c>
      <c r="V971" s="289">
        <f>商品マスタ[[#This Row],[海外定価
（20％）]]-商品マスタ[[#This Row],[仕入単価+国内送料]]</f>
        <v/>
      </c>
      <c r="W971" s="167">
        <f>ROUNDUP(商品マスタ[[#This Row],[仕入単価+国内送料]]/0.85,-1)</f>
        <v/>
      </c>
      <c r="X971" s="289">
        <f>商品マスタ[[#This Row],[国内定価
（15％）]]-商品マスタ[[#This Row],[仕入単価+国内送料]]</f>
        <v/>
      </c>
      <c r="Y971" s="139" t="n"/>
      <c r="Z971" s="167" t="n"/>
      <c r="AA971" s="167" t="n"/>
      <c r="AB971" s="167" t="n"/>
      <c r="AC971" s="293" t="n"/>
      <c r="AD971" s="167" t="n"/>
      <c r="AE971" s="167" t="n"/>
      <c r="AF971" s="158" t="n"/>
      <c r="AG971" s="144" t="n"/>
    </row>
    <row r="972" ht="18" customHeight="1" s="207">
      <c r="A972" s="166" t="n"/>
      <c r="B972" s="167" t="n"/>
      <c r="C972" s="167" t="n"/>
      <c r="D972" s="143">
        <f>"PRD_SNJ_"&amp;
_xlfn.XLOOKUP(商品マスタ[[#This Row],[仕入先]],テーブル1[仕入先名],テーブル1[仕入先コード],"XXX",0,1)&amp;
"_"&amp;
商品マスタ[[#This Row],[シリアル]]&amp;
"_"&amp;
TEXT(COUNTIFS(商品マスタ!$C$3:C972,商品マスタ[[#This Row],[仕入先]],商品マスタ!$E$3:E972,商品マスタ[[#This Row],[商品名]]), "00")</f>
        <v/>
      </c>
      <c r="E972" s="167" t="n"/>
      <c r="F972" s="167">
        <f>IF(COUNTIFS($C$3:C972,商品マスタ[[#This Row],[仕入先]],$E$3:E972,商品マスタ[[#This Row],[商品名]]) = 1, 1,0)</f>
        <v/>
      </c>
      <c r="G972" s="133">
        <f>TEXT(SUMIF($C$3:C972,商品マスタ[[#This Row],[仕入先]],$F$3:F972), "0000")</f>
        <v/>
      </c>
      <c r="H972" s="167" t="n"/>
      <c r="I972" s="167" t="n"/>
      <c r="J972" s="167" t="n"/>
      <c r="K972" s="167" t="n"/>
      <c r="L972" s="289" t="n"/>
      <c r="M972" s="157" t="n"/>
      <c r="N972" s="289" t="n"/>
      <c r="O972" s="290">
        <f>IF(COUNT(商品マスタ[[#This Row],[参考上代
（税込)]]) &gt; 0, (商品マスタ[[#This Row],[参考上代
（税込)]]-商品マスタ[[#This Row],[国内定価
（15％）]])/(商品マスタ[[#This Row],[参考上代
（税込)]]/1.08), "")</f>
        <v/>
      </c>
      <c r="P972" s="136" t="n">
        <v>0.1</v>
      </c>
      <c r="Q972" s="289">
        <f>商品マスタ[[#This Row],[仕入
単価]]*商品マスタ[[#This Row],[標準国内送料率]]</f>
        <v/>
      </c>
      <c r="R972" s="289" t="n"/>
      <c r="S972" s="289">
        <f>IF(ISBLANK(商品マスタ[[#This Row],[実績
国内送料]]),商品マスタ[[#This Row],[標準国内送料]],)</f>
        <v/>
      </c>
      <c r="T972" s="289">
        <f>商品マスタ[[#This Row],[仕入
単価]]+商品マスタ[[#This Row],[国内送料]]</f>
        <v/>
      </c>
      <c r="U972" s="289">
        <f>ROUNDUP(商品マスタ[[#This Row],[仕入単価+国内送料]]/0.8,-1)</f>
        <v/>
      </c>
      <c r="V972" s="289">
        <f>商品マスタ[[#This Row],[海外定価
（20％）]]-商品マスタ[[#This Row],[仕入単価+国内送料]]</f>
        <v/>
      </c>
      <c r="W972" s="167">
        <f>ROUNDUP(商品マスタ[[#This Row],[仕入単価+国内送料]]/0.85,-1)</f>
        <v/>
      </c>
      <c r="X972" s="289">
        <f>商品マスタ[[#This Row],[国内定価
（15％）]]-商品マスタ[[#This Row],[仕入単価+国内送料]]</f>
        <v/>
      </c>
      <c r="Y972" s="139" t="n"/>
      <c r="Z972" s="167" t="n"/>
      <c r="AA972" s="167" t="n"/>
      <c r="AB972" s="167" t="n"/>
      <c r="AC972" s="293" t="n"/>
      <c r="AD972" s="167" t="n"/>
      <c r="AE972" s="167" t="n"/>
      <c r="AF972" s="158" t="n"/>
      <c r="AG972" s="144" t="n"/>
    </row>
    <row r="973" ht="18" customHeight="1" s="207">
      <c r="A973" s="166" t="n"/>
      <c r="B973" s="167" t="n"/>
      <c r="C973" s="167" t="n"/>
      <c r="D973" s="143">
        <f>"PRD_SNJ_"&amp;
_xlfn.XLOOKUP(商品マスタ[[#This Row],[仕入先]],テーブル1[仕入先名],テーブル1[仕入先コード],"XXX",0,1)&amp;
"_"&amp;
商品マスタ[[#This Row],[シリアル]]&amp;
"_"&amp;
TEXT(COUNTIFS(商品マスタ!$C$3:C973,商品マスタ[[#This Row],[仕入先]],商品マスタ!$E$3:E973,商品マスタ[[#This Row],[商品名]]), "00")</f>
        <v/>
      </c>
      <c r="E973" s="167" t="n"/>
      <c r="F973" s="167">
        <f>IF(COUNTIFS($C$3:C973,商品マスタ[[#This Row],[仕入先]],$E$3:E973,商品マスタ[[#This Row],[商品名]]) = 1, 1,0)</f>
        <v/>
      </c>
      <c r="G973" s="133">
        <f>TEXT(SUMIF($C$3:C973,商品マスタ[[#This Row],[仕入先]],$F$3:F973), "0000")</f>
        <v/>
      </c>
      <c r="H973" s="167" t="n"/>
      <c r="I973" s="167" t="n"/>
      <c r="J973" s="167" t="n"/>
      <c r="K973" s="167" t="n"/>
      <c r="L973" s="289" t="n"/>
      <c r="M973" s="157" t="n"/>
      <c r="N973" s="289" t="n"/>
      <c r="O973" s="290">
        <f>IF(COUNT(商品マスタ[[#This Row],[参考上代
（税込)]]) &gt; 0, (商品マスタ[[#This Row],[参考上代
（税込)]]-商品マスタ[[#This Row],[国内定価
（15％）]])/(商品マスタ[[#This Row],[参考上代
（税込)]]/1.08), "")</f>
        <v/>
      </c>
      <c r="P973" s="136" t="n">
        <v>0.1</v>
      </c>
      <c r="Q973" s="289">
        <f>商品マスタ[[#This Row],[仕入
単価]]*商品マスタ[[#This Row],[標準国内送料率]]</f>
        <v/>
      </c>
      <c r="R973" s="289" t="n"/>
      <c r="S973" s="289">
        <f>IF(ISBLANK(商品マスタ[[#This Row],[実績
国内送料]]),商品マスタ[[#This Row],[標準国内送料]],)</f>
        <v/>
      </c>
      <c r="T973" s="289">
        <f>商品マスタ[[#This Row],[仕入
単価]]+商品マスタ[[#This Row],[国内送料]]</f>
        <v/>
      </c>
      <c r="U973" s="289">
        <f>ROUNDUP(商品マスタ[[#This Row],[仕入単価+国内送料]]/0.8,-1)</f>
        <v/>
      </c>
      <c r="V973" s="289">
        <f>商品マスタ[[#This Row],[海外定価
（20％）]]-商品マスタ[[#This Row],[仕入単価+国内送料]]</f>
        <v/>
      </c>
      <c r="W973" s="167">
        <f>ROUNDUP(商品マスタ[[#This Row],[仕入単価+国内送料]]/0.85,-1)</f>
        <v/>
      </c>
      <c r="X973" s="289">
        <f>商品マスタ[[#This Row],[国内定価
（15％）]]-商品マスタ[[#This Row],[仕入単価+国内送料]]</f>
        <v/>
      </c>
      <c r="Y973" s="139" t="n"/>
      <c r="Z973" s="167" t="n"/>
      <c r="AA973" s="167" t="n"/>
      <c r="AB973" s="167" t="n"/>
      <c r="AC973" s="293" t="n"/>
      <c r="AD973" s="167" t="n"/>
      <c r="AE973" s="167" t="n"/>
      <c r="AF973" s="158" t="n"/>
      <c r="AG973" s="144" t="n"/>
    </row>
    <row r="974" ht="18" customHeight="1" s="207">
      <c r="A974" s="166" t="n"/>
      <c r="B974" s="167" t="n"/>
      <c r="C974" s="167" t="n"/>
      <c r="D974" s="143">
        <f>"PRD_SNJ_"&amp;
_xlfn.XLOOKUP(商品マスタ[[#This Row],[仕入先]],テーブル1[仕入先名],テーブル1[仕入先コード],"XXX",0,1)&amp;
"_"&amp;
商品マスタ[[#This Row],[シリアル]]&amp;
"_"&amp;
TEXT(COUNTIFS(商品マスタ!$C$3:C974,商品マスタ[[#This Row],[仕入先]],商品マスタ!$E$3:E974,商品マスタ[[#This Row],[商品名]]), "00")</f>
        <v/>
      </c>
      <c r="E974" s="167" t="n"/>
      <c r="F974" s="167">
        <f>IF(COUNTIFS($C$3:C974,商品マスタ[[#This Row],[仕入先]],$E$3:E974,商品マスタ[[#This Row],[商品名]]) = 1, 1,0)</f>
        <v/>
      </c>
      <c r="G974" s="133">
        <f>TEXT(SUMIF($C$3:C974,商品マスタ[[#This Row],[仕入先]],$F$3:F974), "0000")</f>
        <v/>
      </c>
      <c r="H974" s="167" t="n"/>
      <c r="I974" s="167" t="n"/>
      <c r="J974" s="167" t="n"/>
      <c r="K974" s="167" t="n"/>
      <c r="L974" s="289" t="n"/>
      <c r="M974" s="157" t="n"/>
      <c r="N974" s="289" t="n"/>
      <c r="O974" s="290">
        <f>IF(COUNT(商品マスタ[[#This Row],[参考上代
（税込)]]) &gt; 0, (商品マスタ[[#This Row],[参考上代
（税込)]]-商品マスタ[[#This Row],[国内定価
（15％）]])/(商品マスタ[[#This Row],[参考上代
（税込)]]/1.08), "")</f>
        <v/>
      </c>
      <c r="P974" s="136" t="n">
        <v>0.1</v>
      </c>
      <c r="Q974" s="289">
        <f>商品マスタ[[#This Row],[仕入
単価]]*商品マスタ[[#This Row],[標準国内送料率]]</f>
        <v/>
      </c>
      <c r="R974" s="289" t="n"/>
      <c r="S974" s="289">
        <f>IF(ISBLANK(商品マスタ[[#This Row],[実績
国内送料]]),商品マスタ[[#This Row],[標準国内送料]],)</f>
        <v/>
      </c>
      <c r="T974" s="289">
        <f>商品マスタ[[#This Row],[仕入
単価]]+商品マスタ[[#This Row],[国内送料]]</f>
        <v/>
      </c>
      <c r="U974" s="289">
        <f>ROUNDUP(商品マスタ[[#This Row],[仕入単価+国内送料]]/0.8,-1)</f>
        <v/>
      </c>
      <c r="V974" s="289">
        <f>商品マスタ[[#This Row],[海外定価
（20％）]]-商品マスタ[[#This Row],[仕入単価+国内送料]]</f>
        <v/>
      </c>
      <c r="W974" s="167">
        <f>ROUNDUP(商品マスタ[[#This Row],[仕入単価+国内送料]]/0.85,-1)</f>
        <v/>
      </c>
      <c r="X974" s="289">
        <f>商品マスタ[[#This Row],[国内定価
（15％）]]-商品マスタ[[#This Row],[仕入単価+国内送料]]</f>
        <v/>
      </c>
      <c r="Y974" s="139" t="n"/>
      <c r="Z974" s="167" t="n"/>
      <c r="AA974" s="167" t="n"/>
      <c r="AB974" s="167" t="n"/>
      <c r="AC974" s="293" t="n"/>
      <c r="AD974" s="167" t="n"/>
      <c r="AE974" s="167" t="n"/>
      <c r="AF974" s="158" t="n"/>
      <c r="AG974" s="144" t="n"/>
    </row>
    <row r="975" ht="18" customHeight="1" s="207">
      <c r="A975" s="166" t="n"/>
      <c r="B975" s="167" t="n"/>
      <c r="C975" s="167" t="n"/>
      <c r="D975" s="143">
        <f>"PRD_SNJ_"&amp;
_xlfn.XLOOKUP(商品マスタ[[#This Row],[仕入先]],テーブル1[仕入先名],テーブル1[仕入先コード],"XXX",0,1)&amp;
"_"&amp;
商品マスタ[[#This Row],[シリアル]]&amp;
"_"&amp;
TEXT(COUNTIFS(商品マスタ!$C$3:C975,商品マスタ[[#This Row],[仕入先]],商品マスタ!$E$3:E975,商品マスタ[[#This Row],[商品名]]), "00")</f>
        <v/>
      </c>
      <c r="E975" s="167" t="n"/>
      <c r="F975" s="167">
        <f>IF(COUNTIFS($C$3:C975,商品マスタ[[#This Row],[仕入先]],$E$3:E975,商品マスタ[[#This Row],[商品名]]) = 1, 1,0)</f>
        <v/>
      </c>
      <c r="G975" s="133">
        <f>TEXT(SUMIF($C$3:C975,商品マスタ[[#This Row],[仕入先]],$F$3:F975), "0000")</f>
        <v/>
      </c>
      <c r="H975" s="167" t="n"/>
      <c r="I975" s="167" t="n"/>
      <c r="J975" s="167" t="n"/>
      <c r="K975" s="167" t="n"/>
      <c r="L975" s="289" t="n"/>
      <c r="M975" s="157" t="n"/>
      <c r="N975" s="289" t="n"/>
      <c r="O975" s="290">
        <f>IF(COUNT(商品マスタ[[#This Row],[参考上代
（税込)]]) &gt; 0, (商品マスタ[[#This Row],[参考上代
（税込)]]-商品マスタ[[#This Row],[国内定価
（15％）]])/(商品マスタ[[#This Row],[参考上代
（税込)]]/1.08), "")</f>
        <v/>
      </c>
      <c r="P975" s="136" t="n">
        <v>0.1</v>
      </c>
      <c r="Q975" s="289">
        <f>商品マスタ[[#This Row],[仕入
単価]]*商品マスタ[[#This Row],[標準国内送料率]]</f>
        <v/>
      </c>
      <c r="R975" s="289" t="n"/>
      <c r="S975" s="289">
        <f>IF(ISBLANK(商品マスタ[[#This Row],[実績
国内送料]]),商品マスタ[[#This Row],[標準国内送料]],)</f>
        <v/>
      </c>
      <c r="T975" s="289">
        <f>商品マスタ[[#This Row],[仕入
単価]]+商品マスタ[[#This Row],[国内送料]]</f>
        <v/>
      </c>
      <c r="U975" s="289">
        <f>ROUNDUP(商品マスタ[[#This Row],[仕入単価+国内送料]]/0.8,-1)</f>
        <v/>
      </c>
      <c r="V975" s="289">
        <f>商品マスタ[[#This Row],[海外定価
（20％）]]-商品マスタ[[#This Row],[仕入単価+国内送料]]</f>
        <v/>
      </c>
      <c r="W975" s="167">
        <f>ROUNDUP(商品マスタ[[#This Row],[仕入単価+国内送料]]/0.85,-1)</f>
        <v/>
      </c>
      <c r="X975" s="289">
        <f>商品マスタ[[#This Row],[国内定価
（15％）]]-商品マスタ[[#This Row],[仕入単価+国内送料]]</f>
        <v/>
      </c>
      <c r="Y975" s="139" t="n"/>
      <c r="Z975" s="167" t="n"/>
      <c r="AA975" s="167" t="n"/>
      <c r="AB975" s="167" t="n"/>
      <c r="AC975" s="293" t="n"/>
      <c r="AD975" s="167" t="n"/>
      <c r="AE975" s="167" t="n"/>
      <c r="AF975" s="158" t="n"/>
      <c r="AG975" s="144" t="n"/>
    </row>
    <row r="976" ht="18" customHeight="1" s="207">
      <c r="A976" s="166" t="n"/>
      <c r="B976" s="167" t="n"/>
      <c r="C976" s="167" t="n"/>
      <c r="D976" s="143">
        <f>"PRD_SNJ_"&amp;
_xlfn.XLOOKUP(商品マスタ[[#This Row],[仕入先]],テーブル1[仕入先名],テーブル1[仕入先コード],"XXX",0,1)&amp;
"_"&amp;
商品マスタ[[#This Row],[シリアル]]&amp;
"_"&amp;
TEXT(COUNTIFS(商品マスタ!$C$3:C976,商品マスタ[[#This Row],[仕入先]],商品マスタ!$E$3:E976,商品マスタ[[#This Row],[商品名]]), "00")</f>
        <v/>
      </c>
      <c r="E976" s="167" t="n"/>
      <c r="F976" s="167">
        <f>IF(COUNTIFS($C$3:C976,商品マスタ[[#This Row],[仕入先]],$E$3:E976,商品マスタ[[#This Row],[商品名]]) = 1, 1,0)</f>
        <v/>
      </c>
      <c r="G976" s="133">
        <f>TEXT(SUMIF($C$3:C976,商品マスタ[[#This Row],[仕入先]],$F$3:F976), "0000")</f>
        <v/>
      </c>
      <c r="H976" s="167" t="n"/>
      <c r="I976" s="167" t="n"/>
      <c r="J976" s="167" t="n"/>
      <c r="K976" s="167" t="n"/>
      <c r="L976" s="289" t="n"/>
      <c r="M976" s="157" t="n"/>
      <c r="N976" s="289" t="n"/>
      <c r="O976" s="290">
        <f>IF(COUNT(商品マスタ[[#This Row],[参考上代
（税込)]]) &gt; 0, (商品マスタ[[#This Row],[参考上代
（税込)]]-商品マスタ[[#This Row],[国内定価
（15％）]])/(商品マスタ[[#This Row],[参考上代
（税込)]]/1.08), "")</f>
        <v/>
      </c>
      <c r="P976" s="136" t="n">
        <v>0.1</v>
      </c>
      <c r="Q976" s="289">
        <f>商品マスタ[[#This Row],[仕入
単価]]*商品マスタ[[#This Row],[標準国内送料率]]</f>
        <v/>
      </c>
      <c r="R976" s="289" t="n"/>
      <c r="S976" s="289">
        <f>IF(ISBLANK(商品マスタ[[#This Row],[実績
国内送料]]),商品マスタ[[#This Row],[標準国内送料]],)</f>
        <v/>
      </c>
      <c r="T976" s="289">
        <f>商品マスタ[[#This Row],[仕入
単価]]+商品マスタ[[#This Row],[国内送料]]</f>
        <v/>
      </c>
      <c r="U976" s="289">
        <f>ROUNDUP(商品マスタ[[#This Row],[仕入単価+国内送料]]/0.8,-1)</f>
        <v/>
      </c>
      <c r="V976" s="289">
        <f>商品マスタ[[#This Row],[海外定価
（20％）]]-商品マスタ[[#This Row],[仕入単価+国内送料]]</f>
        <v/>
      </c>
      <c r="W976" s="167">
        <f>ROUNDUP(商品マスタ[[#This Row],[仕入単価+国内送料]]/0.85,-1)</f>
        <v/>
      </c>
      <c r="X976" s="289">
        <f>商品マスタ[[#This Row],[国内定価
（15％）]]-商品マスタ[[#This Row],[仕入単価+国内送料]]</f>
        <v/>
      </c>
      <c r="Y976" s="139" t="n"/>
      <c r="Z976" s="167" t="n"/>
      <c r="AA976" s="167" t="n"/>
      <c r="AB976" s="167" t="n"/>
      <c r="AC976" s="293" t="n"/>
      <c r="AD976" s="167" t="n"/>
      <c r="AE976" s="167" t="n"/>
      <c r="AF976" s="158" t="n"/>
      <c r="AG976" s="144" t="n"/>
    </row>
    <row r="977" ht="18" customHeight="1" s="207">
      <c r="A977" s="166" t="n"/>
      <c r="B977" s="167" t="n"/>
      <c r="C977" s="167" t="n"/>
      <c r="D977" s="143">
        <f>"PRD_SNJ_"&amp;
_xlfn.XLOOKUP(商品マスタ[[#This Row],[仕入先]],テーブル1[仕入先名],テーブル1[仕入先コード],"XXX",0,1)&amp;
"_"&amp;
商品マスタ[[#This Row],[シリアル]]&amp;
"_"&amp;
TEXT(COUNTIFS(商品マスタ!$C$3:C977,商品マスタ[[#This Row],[仕入先]],商品マスタ!$E$3:E977,商品マスタ[[#This Row],[商品名]]), "00")</f>
        <v/>
      </c>
      <c r="E977" s="167" t="n"/>
      <c r="F977" s="167">
        <f>IF(COUNTIFS($C$3:C977,商品マスタ[[#This Row],[仕入先]],$E$3:E977,商品マスタ[[#This Row],[商品名]]) = 1, 1,0)</f>
        <v/>
      </c>
      <c r="G977" s="133">
        <f>TEXT(SUMIF($C$3:C977,商品マスタ[[#This Row],[仕入先]],$F$3:F977), "0000")</f>
        <v/>
      </c>
      <c r="H977" s="167" t="n"/>
      <c r="I977" s="167" t="n"/>
      <c r="J977" s="167" t="n"/>
      <c r="K977" s="167" t="n"/>
      <c r="L977" s="289" t="n"/>
      <c r="M977" s="157" t="n"/>
      <c r="N977" s="289" t="n"/>
      <c r="O977" s="290">
        <f>IF(COUNT(商品マスタ[[#This Row],[参考上代
（税込)]]) &gt; 0, (商品マスタ[[#This Row],[参考上代
（税込)]]-商品マスタ[[#This Row],[国内定価
（15％）]])/(商品マスタ[[#This Row],[参考上代
（税込)]]/1.08), "")</f>
        <v/>
      </c>
      <c r="P977" s="136" t="n">
        <v>0.1</v>
      </c>
      <c r="Q977" s="289">
        <f>商品マスタ[[#This Row],[仕入
単価]]*商品マスタ[[#This Row],[標準国内送料率]]</f>
        <v/>
      </c>
      <c r="R977" s="289" t="n"/>
      <c r="S977" s="289">
        <f>IF(ISBLANK(商品マスタ[[#This Row],[実績
国内送料]]),商品マスタ[[#This Row],[標準国内送料]],)</f>
        <v/>
      </c>
      <c r="T977" s="289">
        <f>商品マスタ[[#This Row],[仕入
単価]]+商品マスタ[[#This Row],[国内送料]]</f>
        <v/>
      </c>
      <c r="U977" s="289">
        <f>ROUNDUP(商品マスタ[[#This Row],[仕入単価+国内送料]]/0.8,-1)</f>
        <v/>
      </c>
      <c r="V977" s="289">
        <f>商品マスタ[[#This Row],[海外定価
（20％）]]-商品マスタ[[#This Row],[仕入単価+国内送料]]</f>
        <v/>
      </c>
      <c r="W977" s="167">
        <f>ROUNDUP(商品マスタ[[#This Row],[仕入単価+国内送料]]/0.85,-1)</f>
        <v/>
      </c>
      <c r="X977" s="289">
        <f>商品マスタ[[#This Row],[国内定価
（15％）]]-商品マスタ[[#This Row],[仕入単価+国内送料]]</f>
        <v/>
      </c>
      <c r="Y977" s="139" t="n"/>
      <c r="Z977" s="167" t="n"/>
      <c r="AA977" s="167" t="n"/>
      <c r="AB977" s="167" t="n"/>
      <c r="AC977" s="293" t="n"/>
      <c r="AD977" s="167" t="n"/>
      <c r="AE977" s="167" t="n"/>
      <c r="AF977" s="158" t="n"/>
      <c r="AG977" s="144" t="n"/>
    </row>
    <row r="978" ht="18" customHeight="1" s="207">
      <c r="A978" s="166" t="n"/>
      <c r="B978" s="167" t="n"/>
      <c r="C978" s="167" t="n"/>
      <c r="D978" s="143">
        <f>"PRD_SNJ_"&amp;
_xlfn.XLOOKUP(商品マスタ[[#This Row],[仕入先]],テーブル1[仕入先名],テーブル1[仕入先コード],"XXX",0,1)&amp;
"_"&amp;
商品マスタ[[#This Row],[シリアル]]&amp;
"_"&amp;
TEXT(COUNTIFS(商品マスタ!$C$3:C978,商品マスタ[[#This Row],[仕入先]],商品マスタ!$E$3:E978,商品マスタ[[#This Row],[商品名]]), "00")</f>
        <v/>
      </c>
      <c r="E978" s="167" t="n"/>
      <c r="F978" s="167">
        <f>IF(COUNTIFS($C$3:C978,商品マスタ[[#This Row],[仕入先]],$E$3:E978,商品マスタ[[#This Row],[商品名]]) = 1, 1,0)</f>
        <v/>
      </c>
      <c r="G978" s="133">
        <f>TEXT(SUMIF($C$3:C978,商品マスタ[[#This Row],[仕入先]],$F$3:F978), "0000")</f>
        <v/>
      </c>
      <c r="H978" s="167" t="n"/>
      <c r="I978" s="167" t="n"/>
      <c r="J978" s="167" t="n"/>
      <c r="K978" s="167" t="n"/>
      <c r="L978" s="289" t="n"/>
      <c r="M978" s="157" t="n"/>
      <c r="N978" s="289" t="n"/>
      <c r="O978" s="290">
        <f>IF(COUNT(商品マスタ[[#This Row],[参考上代
（税込)]]) &gt; 0, (商品マスタ[[#This Row],[参考上代
（税込)]]-商品マスタ[[#This Row],[国内定価
（15％）]])/(商品マスタ[[#This Row],[参考上代
（税込)]]/1.08), "")</f>
        <v/>
      </c>
      <c r="P978" s="136" t="n">
        <v>0.1</v>
      </c>
      <c r="Q978" s="289">
        <f>商品マスタ[[#This Row],[仕入
単価]]*商品マスタ[[#This Row],[標準国内送料率]]</f>
        <v/>
      </c>
      <c r="R978" s="289" t="n"/>
      <c r="S978" s="289">
        <f>IF(ISBLANK(商品マスタ[[#This Row],[実績
国内送料]]),商品マスタ[[#This Row],[標準国内送料]],)</f>
        <v/>
      </c>
      <c r="T978" s="289">
        <f>商品マスタ[[#This Row],[仕入
単価]]+商品マスタ[[#This Row],[国内送料]]</f>
        <v/>
      </c>
      <c r="U978" s="289">
        <f>ROUNDUP(商品マスタ[[#This Row],[仕入単価+国内送料]]/0.8,-1)</f>
        <v/>
      </c>
      <c r="V978" s="289">
        <f>商品マスタ[[#This Row],[海外定価
（20％）]]-商品マスタ[[#This Row],[仕入単価+国内送料]]</f>
        <v/>
      </c>
      <c r="W978" s="167">
        <f>ROUNDUP(商品マスタ[[#This Row],[仕入単価+国内送料]]/0.85,-1)</f>
        <v/>
      </c>
      <c r="X978" s="289">
        <f>商品マスタ[[#This Row],[国内定価
（15％）]]-商品マスタ[[#This Row],[仕入単価+国内送料]]</f>
        <v/>
      </c>
      <c r="Y978" s="139" t="n"/>
      <c r="Z978" s="167" t="n"/>
      <c r="AA978" s="167" t="n"/>
      <c r="AB978" s="167" t="n"/>
      <c r="AC978" s="293" t="n"/>
      <c r="AD978" s="167" t="n"/>
      <c r="AE978" s="167" t="n"/>
      <c r="AF978" s="158" t="n"/>
      <c r="AG978" s="144" t="n"/>
    </row>
    <row r="979" ht="18" customHeight="1" s="207">
      <c r="A979" s="166" t="n"/>
      <c r="B979" s="167" t="n"/>
      <c r="C979" s="167" t="n"/>
      <c r="D979" s="143">
        <f>"PRD_SNJ_"&amp;
_xlfn.XLOOKUP(商品マスタ[[#This Row],[仕入先]],テーブル1[仕入先名],テーブル1[仕入先コード],"XXX",0,1)&amp;
"_"&amp;
商品マスタ[[#This Row],[シリアル]]&amp;
"_"&amp;
TEXT(COUNTIFS(商品マスタ!$C$3:C979,商品マスタ[[#This Row],[仕入先]],商品マスタ!$E$3:E979,商品マスタ[[#This Row],[商品名]]), "00")</f>
        <v/>
      </c>
      <c r="E979" s="167" t="n"/>
      <c r="F979" s="167">
        <f>IF(COUNTIFS($C$3:C979,商品マスタ[[#This Row],[仕入先]],$E$3:E979,商品マスタ[[#This Row],[商品名]]) = 1, 1,0)</f>
        <v/>
      </c>
      <c r="G979" s="133">
        <f>TEXT(SUMIF($C$3:C979,商品マスタ[[#This Row],[仕入先]],$F$3:F979), "0000")</f>
        <v/>
      </c>
      <c r="H979" s="167" t="n"/>
      <c r="I979" s="167" t="n"/>
      <c r="J979" s="167" t="n"/>
      <c r="K979" s="167" t="n"/>
      <c r="L979" s="289" t="n"/>
      <c r="M979" s="157" t="n"/>
      <c r="N979" s="289" t="n"/>
      <c r="O979" s="290">
        <f>IF(COUNT(商品マスタ[[#This Row],[参考上代
（税込)]]) &gt; 0, (商品マスタ[[#This Row],[参考上代
（税込)]]-商品マスタ[[#This Row],[国内定価
（15％）]])/(商品マスタ[[#This Row],[参考上代
（税込)]]/1.08), "")</f>
        <v/>
      </c>
      <c r="P979" s="136" t="n">
        <v>0.1</v>
      </c>
      <c r="Q979" s="289">
        <f>商品マスタ[[#This Row],[仕入
単価]]*商品マスタ[[#This Row],[標準国内送料率]]</f>
        <v/>
      </c>
      <c r="R979" s="289" t="n"/>
      <c r="S979" s="289">
        <f>IF(ISBLANK(商品マスタ[[#This Row],[実績
国内送料]]),商品マスタ[[#This Row],[標準国内送料]],)</f>
        <v/>
      </c>
      <c r="T979" s="289">
        <f>商品マスタ[[#This Row],[仕入
単価]]+商品マスタ[[#This Row],[国内送料]]</f>
        <v/>
      </c>
      <c r="U979" s="289">
        <f>ROUNDUP(商品マスタ[[#This Row],[仕入単価+国内送料]]/0.8,-1)</f>
        <v/>
      </c>
      <c r="V979" s="289">
        <f>商品マスタ[[#This Row],[海外定価
（20％）]]-商品マスタ[[#This Row],[仕入単価+国内送料]]</f>
        <v/>
      </c>
      <c r="W979" s="167">
        <f>ROUNDUP(商品マスタ[[#This Row],[仕入単価+国内送料]]/0.85,-1)</f>
        <v/>
      </c>
      <c r="X979" s="289">
        <f>商品マスタ[[#This Row],[国内定価
（15％）]]-商品マスタ[[#This Row],[仕入単価+国内送料]]</f>
        <v/>
      </c>
      <c r="Y979" s="139" t="n"/>
      <c r="Z979" s="167" t="n"/>
      <c r="AA979" s="167" t="n"/>
      <c r="AB979" s="167" t="n"/>
      <c r="AC979" s="293" t="n"/>
      <c r="AD979" s="167" t="n"/>
      <c r="AE979" s="167" t="n"/>
      <c r="AF979" s="158" t="n"/>
      <c r="AG979" s="144" t="n"/>
    </row>
    <row r="980" ht="18" customHeight="1" s="207">
      <c r="A980" s="166" t="n"/>
      <c r="B980" s="167" t="n"/>
      <c r="C980" s="167" t="n"/>
      <c r="D980" s="143">
        <f>"PRD_SNJ_"&amp;
_xlfn.XLOOKUP(商品マスタ[[#This Row],[仕入先]],テーブル1[仕入先名],テーブル1[仕入先コード],"XXX",0,1)&amp;
"_"&amp;
商品マスタ[[#This Row],[シリアル]]&amp;
"_"&amp;
TEXT(COUNTIFS(商品マスタ!$C$3:C980,商品マスタ[[#This Row],[仕入先]],商品マスタ!$E$3:E980,商品マスタ[[#This Row],[商品名]]), "00")</f>
        <v/>
      </c>
      <c r="E980" s="167" t="n"/>
      <c r="F980" s="167">
        <f>IF(COUNTIFS($C$3:C980,商品マスタ[[#This Row],[仕入先]],$E$3:E980,商品マスタ[[#This Row],[商品名]]) = 1, 1,0)</f>
        <v/>
      </c>
      <c r="G980" s="133">
        <f>TEXT(SUMIF($C$3:C980,商品マスタ[[#This Row],[仕入先]],$F$3:F980), "0000")</f>
        <v/>
      </c>
      <c r="H980" s="167" t="n"/>
      <c r="I980" s="167" t="n"/>
      <c r="J980" s="167" t="n"/>
      <c r="K980" s="167" t="n"/>
      <c r="L980" s="289" t="n"/>
      <c r="M980" s="157" t="n"/>
      <c r="N980" s="289" t="n"/>
      <c r="O980" s="290">
        <f>IF(COUNT(商品マスタ[[#This Row],[参考上代
（税込)]]) &gt; 0, (商品マスタ[[#This Row],[参考上代
（税込)]]-商品マスタ[[#This Row],[国内定価
（15％）]])/(商品マスタ[[#This Row],[参考上代
（税込)]]/1.08), "")</f>
        <v/>
      </c>
      <c r="P980" s="136" t="n">
        <v>0.1</v>
      </c>
      <c r="Q980" s="289">
        <f>商品マスタ[[#This Row],[仕入
単価]]*商品マスタ[[#This Row],[標準国内送料率]]</f>
        <v/>
      </c>
      <c r="R980" s="289" t="n"/>
      <c r="S980" s="289">
        <f>IF(ISBLANK(商品マスタ[[#This Row],[実績
国内送料]]),商品マスタ[[#This Row],[標準国内送料]],)</f>
        <v/>
      </c>
      <c r="T980" s="289">
        <f>商品マスタ[[#This Row],[仕入
単価]]+商品マスタ[[#This Row],[国内送料]]</f>
        <v/>
      </c>
      <c r="U980" s="289">
        <f>ROUNDUP(商品マスタ[[#This Row],[仕入単価+国内送料]]/0.8,-1)</f>
        <v/>
      </c>
      <c r="V980" s="289">
        <f>商品マスタ[[#This Row],[海外定価
（20％）]]-商品マスタ[[#This Row],[仕入単価+国内送料]]</f>
        <v/>
      </c>
      <c r="W980" s="167">
        <f>ROUNDUP(商品マスタ[[#This Row],[仕入単価+国内送料]]/0.85,-1)</f>
        <v/>
      </c>
      <c r="X980" s="289">
        <f>商品マスタ[[#This Row],[国内定価
（15％）]]-商品マスタ[[#This Row],[仕入単価+国内送料]]</f>
        <v/>
      </c>
      <c r="Y980" s="139" t="n"/>
      <c r="Z980" s="167" t="n"/>
      <c r="AA980" s="167" t="n"/>
      <c r="AB980" s="167" t="n"/>
      <c r="AC980" s="293" t="n"/>
      <c r="AD980" s="167" t="n"/>
      <c r="AE980" s="167" t="n"/>
      <c r="AF980" s="158" t="n"/>
      <c r="AG980" s="144" t="n"/>
    </row>
    <row r="981" ht="18" customHeight="1" s="207">
      <c r="A981" s="166" t="n"/>
      <c r="B981" s="167" t="n"/>
      <c r="C981" s="167" t="n"/>
      <c r="D981" s="143">
        <f>"PRD_SNJ_"&amp;
_xlfn.XLOOKUP(商品マスタ[[#This Row],[仕入先]],テーブル1[仕入先名],テーブル1[仕入先コード],"XXX",0,1)&amp;
"_"&amp;
商品マスタ[[#This Row],[シリアル]]&amp;
"_"&amp;
TEXT(COUNTIFS(商品マスタ!$C$3:C981,商品マスタ[[#This Row],[仕入先]],商品マスタ!$E$3:E981,商品マスタ[[#This Row],[商品名]]), "00")</f>
        <v/>
      </c>
      <c r="E981" s="167" t="n"/>
      <c r="F981" s="167">
        <f>IF(COUNTIFS($C$3:C981,商品マスタ[[#This Row],[仕入先]],$E$3:E981,商品マスタ[[#This Row],[商品名]]) = 1, 1,0)</f>
        <v/>
      </c>
      <c r="G981" s="133">
        <f>TEXT(SUMIF($C$3:C981,商品マスタ[[#This Row],[仕入先]],$F$3:F981), "0000")</f>
        <v/>
      </c>
      <c r="H981" s="167" t="n"/>
      <c r="I981" s="167" t="n"/>
      <c r="J981" s="167" t="n"/>
      <c r="K981" s="167" t="n"/>
      <c r="L981" s="289" t="n"/>
      <c r="M981" s="157" t="n"/>
      <c r="N981" s="289" t="n"/>
      <c r="O981" s="290">
        <f>IF(COUNT(商品マスタ[[#This Row],[参考上代
（税込)]]) &gt; 0, (商品マスタ[[#This Row],[参考上代
（税込)]]-商品マスタ[[#This Row],[国内定価
（15％）]])/(商品マスタ[[#This Row],[参考上代
（税込)]]/1.08), "")</f>
        <v/>
      </c>
      <c r="P981" s="136" t="n">
        <v>0.1</v>
      </c>
      <c r="Q981" s="289">
        <f>商品マスタ[[#This Row],[仕入
単価]]*商品マスタ[[#This Row],[標準国内送料率]]</f>
        <v/>
      </c>
      <c r="R981" s="289" t="n"/>
      <c r="S981" s="289">
        <f>IF(ISBLANK(商品マスタ[[#This Row],[実績
国内送料]]),商品マスタ[[#This Row],[標準国内送料]],)</f>
        <v/>
      </c>
      <c r="T981" s="289">
        <f>商品マスタ[[#This Row],[仕入
単価]]+商品マスタ[[#This Row],[国内送料]]</f>
        <v/>
      </c>
      <c r="U981" s="289">
        <f>ROUNDUP(商品マスタ[[#This Row],[仕入単価+国内送料]]/0.8,-1)</f>
        <v/>
      </c>
      <c r="V981" s="289">
        <f>商品マスタ[[#This Row],[海外定価
（20％）]]-商品マスタ[[#This Row],[仕入単価+国内送料]]</f>
        <v/>
      </c>
      <c r="W981" s="167">
        <f>ROUNDUP(商品マスタ[[#This Row],[仕入単価+国内送料]]/0.85,-1)</f>
        <v/>
      </c>
      <c r="X981" s="289">
        <f>商品マスタ[[#This Row],[国内定価
（15％）]]-商品マスタ[[#This Row],[仕入単価+国内送料]]</f>
        <v/>
      </c>
      <c r="Y981" s="139" t="n"/>
      <c r="Z981" s="167" t="n"/>
      <c r="AA981" s="167" t="n"/>
      <c r="AB981" s="167" t="n"/>
      <c r="AC981" s="293" t="n"/>
      <c r="AD981" s="167" t="n"/>
      <c r="AE981" s="167" t="n"/>
      <c r="AF981" s="158" t="n"/>
      <c r="AG981" s="144" t="n"/>
    </row>
    <row r="982" ht="18" customHeight="1" s="207">
      <c r="A982" s="166" t="n"/>
      <c r="B982" s="167" t="n"/>
      <c r="C982" s="167" t="n"/>
      <c r="D982" s="143">
        <f>"PRD_SNJ_"&amp;
_xlfn.XLOOKUP(商品マスタ[[#This Row],[仕入先]],テーブル1[仕入先名],テーブル1[仕入先コード],"XXX",0,1)&amp;
"_"&amp;
商品マスタ[[#This Row],[シリアル]]&amp;
"_"&amp;
TEXT(COUNTIFS(商品マスタ!$C$3:C982,商品マスタ[[#This Row],[仕入先]],商品マスタ!$E$3:E982,商品マスタ[[#This Row],[商品名]]), "00")</f>
        <v/>
      </c>
      <c r="E982" s="167" t="n"/>
      <c r="F982" s="167">
        <f>IF(COUNTIFS($C$3:C982,商品マスタ[[#This Row],[仕入先]],$E$3:E982,商品マスタ[[#This Row],[商品名]]) = 1, 1,0)</f>
        <v/>
      </c>
      <c r="G982" s="133">
        <f>TEXT(SUMIF($C$3:C982,商品マスタ[[#This Row],[仕入先]],$F$3:F982), "0000")</f>
        <v/>
      </c>
      <c r="H982" s="167" t="n"/>
      <c r="I982" s="167" t="n"/>
      <c r="J982" s="167" t="n"/>
      <c r="K982" s="167" t="n"/>
      <c r="L982" s="289" t="n"/>
      <c r="M982" s="157" t="n"/>
      <c r="N982" s="289" t="n"/>
      <c r="O982" s="290">
        <f>IF(COUNT(商品マスタ[[#This Row],[参考上代
（税込)]]) &gt; 0, (商品マスタ[[#This Row],[参考上代
（税込)]]-商品マスタ[[#This Row],[国内定価
（15％）]])/(商品マスタ[[#This Row],[参考上代
（税込)]]/1.08), "")</f>
        <v/>
      </c>
      <c r="P982" s="136" t="n">
        <v>0.1</v>
      </c>
      <c r="Q982" s="289">
        <f>商品マスタ[[#This Row],[仕入
単価]]*商品マスタ[[#This Row],[標準国内送料率]]</f>
        <v/>
      </c>
      <c r="R982" s="289" t="n"/>
      <c r="S982" s="289">
        <f>IF(ISBLANK(商品マスタ[[#This Row],[実績
国内送料]]),商品マスタ[[#This Row],[標準国内送料]],)</f>
        <v/>
      </c>
      <c r="T982" s="289">
        <f>商品マスタ[[#This Row],[仕入
単価]]+商品マスタ[[#This Row],[国内送料]]</f>
        <v/>
      </c>
      <c r="U982" s="289">
        <f>ROUNDUP(商品マスタ[[#This Row],[仕入単価+国内送料]]/0.8,-1)</f>
        <v/>
      </c>
      <c r="V982" s="289">
        <f>商品マスタ[[#This Row],[海外定価
（20％）]]-商品マスタ[[#This Row],[仕入単価+国内送料]]</f>
        <v/>
      </c>
      <c r="W982" s="167">
        <f>ROUNDUP(商品マスタ[[#This Row],[仕入単価+国内送料]]/0.85,-1)</f>
        <v/>
      </c>
      <c r="X982" s="289">
        <f>商品マスタ[[#This Row],[国内定価
（15％）]]-商品マスタ[[#This Row],[仕入単価+国内送料]]</f>
        <v/>
      </c>
      <c r="Y982" s="139" t="n"/>
      <c r="Z982" s="167" t="n"/>
      <c r="AA982" s="167" t="n"/>
      <c r="AB982" s="167" t="n"/>
      <c r="AC982" s="293" t="n"/>
      <c r="AD982" s="167" t="n"/>
      <c r="AE982" s="167" t="n"/>
      <c r="AF982" s="158" t="n"/>
      <c r="AG982" s="144" t="n"/>
    </row>
    <row r="983" ht="18" customHeight="1" s="207">
      <c r="A983" s="166" t="n"/>
      <c r="B983" s="167" t="n"/>
      <c r="C983" s="167" t="n"/>
      <c r="D983" s="143">
        <f>"PRD_SNJ_"&amp;
_xlfn.XLOOKUP(商品マスタ[[#This Row],[仕入先]],テーブル1[仕入先名],テーブル1[仕入先コード],"XXX",0,1)&amp;
"_"&amp;
商品マスタ[[#This Row],[シリアル]]&amp;
"_"&amp;
TEXT(COUNTIFS(商品マスタ!$C$3:C983,商品マスタ[[#This Row],[仕入先]],商品マスタ!$E$3:E983,商品マスタ[[#This Row],[商品名]]), "00")</f>
        <v/>
      </c>
      <c r="E983" s="167" t="n"/>
      <c r="F983" s="167">
        <f>IF(COUNTIFS($C$3:C983,商品マスタ[[#This Row],[仕入先]],$E$3:E983,商品マスタ[[#This Row],[商品名]]) = 1, 1,0)</f>
        <v/>
      </c>
      <c r="G983" s="133">
        <f>TEXT(SUMIF($C$3:C983,商品マスタ[[#This Row],[仕入先]],$F$3:F983), "0000")</f>
        <v/>
      </c>
      <c r="H983" s="167" t="n"/>
      <c r="I983" s="167" t="n"/>
      <c r="J983" s="167" t="n"/>
      <c r="K983" s="167" t="n"/>
      <c r="L983" s="289" t="n"/>
      <c r="M983" s="157" t="n"/>
      <c r="N983" s="289" t="n"/>
      <c r="O983" s="290">
        <f>IF(COUNT(商品マスタ[[#This Row],[参考上代
（税込)]]) &gt; 0, (商品マスタ[[#This Row],[参考上代
（税込)]]-商品マスタ[[#This Row],[国内定価
（15％）]])/(商品マスタ[[#This Row],[参考上代
（税込)]]/1.08), "")</f>
        <v/>
      </c>
      <c r="P983" s="136" t="n">
        <v>0.1</v>
      </c>
      <c r="Q983" s="289">
        <f>商品マスタ[[#This Row],[仕入
単価]]*商品マスタ[[#This Row],[標準国内送料率]]</f>
        <v/>
      </c>
      <c r="R983" s="289" t="n"/>
      <c r="S983" s="289">
        <f>IF(ISBLANK(商品マスタ[[#This Row],[実績
国内送料]]),商品マスタ[[#This Row],[標準国内送料]],)</f>
        <v/>
      </c>
      <c r="T983" s="289">
        <f>商品マスタ[[#This Row],[仕入
単価]]+商品マスタ[[#This Row],[国内送料]]</f>
        <v/>
      </c>
      <c r="U983" s="289">
        <f>ROUNDUP(商品マスタ[[#This Row],[仕入単価+国内送料]]/0.8,-1)</f>
        <v/>
      </c>
      <c r="V983" s="289">
        <f>商品マスタ[[#This Row],[海外定価
（20％）]]-商品マスタ[[#This Row],[仕入単価+国内送料]]</f>
        <v/>
      </c>
      <c r="W983" s="167">
        <f>ROUNDUP(商品マスタ[[#This Row],[仕入単価+国内送料]]/0.85,-1)</f>
        <v/>
      </c>
      <c r="X983" s="289">
        <f>商品マスタ[[#This Row],[国内定価
（15％）]]-商品マスタ[[#This Row],[仕入単価+国内送料]]</f>
        <v/>
      </c>
      <c r="Y983" s="139" t="n"/>
      <c r="Z983" s="167" t="n"/>
      <c r="AA983" s="167" t="n"/>
      <c r="AB983" s="167" t="n"/>
      <c r="AC983" s="293" t="n"/>
      <c r="AD983" s="167" t="n"/>
      <c r="AE983" s="167" t="n"/>
      <c r="AF983" s="158" t="n"/>
      <c r="AG983" s="144" t="n"/>
    </row>
    <row r="984" ht="18" customHeight="1" s="207">
      <c r="A984" s="166" t="n"/>
      <c r="B984" s="167" t="n"/>
      <c r="C984" s="167" t="n"/>
      <c r="D984" s="143">
        <f>"PRD_SNJ_"&amp;
_xlfn.XLOOKUP(商品マスタ[[#This Row],[仕入先]],テーブル1[仕入先名],テーブル1[仕入先コード],"XXX",0,1)&amp;
"_"&amp;
商品マスタ[[#This Row],[シリアル]]&amp;
"_"&amp;
TEXT(COUNTIFS(商品マスタ!$C$3:C984,商品マスタ[[#This Row],[仕入先]],商品マスタ!$E$3:E984,商品マスタ[[#This Row],[商品名]]), "00")</f>
        <v/>
      </c>
      <c r="E984" s="167" t="n"/>
      <c r="F984" s="167">
        <f>IF(COUNTIFS($C$3:C984,商品マスタ[[#This Row],[仕入先]],$E$3:E984,商品マスタ[[#This Row],[商品名]]) = 1, 1,0)</f>
        <v/>
      </c>
      <c r="G984" s="133">
        <f>TEXT(SUMIF($C$3:C984,商品マスタ[[#This Row],[仕入先]],$F$3:F984), "0000")</f>
        <v/>
      </c>
      <c r="H984" s="167" t="n"/>
      <c r="I984" s="167" t="n"/>
      <c r="J984" s="167" t="n"/>
      <c r="K984" s="167" t="n"/>
      <c r="L984" s="289" t="n"/>
      <c r="M984" s="157" t="n"/>
      <c r="N984" s="289" t="n"/>
      <c r="O984" s="290">
        <f>IF(COUNT(商品マスタ[[#This Row],[参考上代
（税込)]]) &gt; 0, (商品マスタ[[#This Row],[参考上代
（税込)]]-商品マスタ[[#This Row],[国内定価
（15％）]])/(商品マスタ[[#This Row],[参考上代
（税込)]]/1.08), "")</f>
        <v/>
      </c>
      <c r="P984" s="136" t="n">
        <v>0.1</v>
      </c>
      <c r="Q984" s="289">
        <f>商品マスタ[[#This Row],[仕入
単価]]*商品マスタ[[#This Row],[標準国内送料率]]</f>
        <v/>
      </c>
      <c r="R984" s="289" t="n"/>
      <c r="S984" s="289">
        <f>IF(ISBLANK(商品マスタ[[#This Row],[実績
国内送料]]),商品マスタ[[#This Row],[標準国内送料]],)</f>
        <v/>
      </c>
      <c r="T984" s="289">
        <f>商品マスタ[[#This Row],[仕入
単価]]+商品マスタ[[#This Row],[国内送料]]</f>
        <v/>
      </c>
      <c r="U984" s="289">
        <f>ROUNDUP(商品マスタ[[#This Row],[仕入単価+国内送料]]/0.8,-1)</f>
        <v/>
      </c>
      <c r="V984" s="289">
        <f>商品マスタ[[#This Row],[海外定価
（20％）]]-商品マスタ[[#This Row],[仕入単価+国内送料]]</f>
        <v/>
      </c>
      <c r="W984" s="167">
        <f>ROUNDUP(商品マスタ[[#This Row],[仕入単価+国内送料]]/0.85,-1)</f>
        <v/>
      </c>
      <c r="X984" s="289">
        <f>商品マスタ[[#This Row],[国内定価
（15％）]]-商品マスタ[[#This Row],[仕入単価+国内送料]]</f>
        <v/>
      </c>
      <c r="Y984" s="139" t="n"/>
      <c r="Z984" s="167" t="n"/>
      <c r="AA984" s="167" t="n"/>
      <c r="AB984" s="167" t="n"/>
      <c r="AC984" s="293" t="n"/>
      <c r="AD984" s="167" t="n"/>
      <c r="AE984" s="167" t="n"/>
      <c r="AF984" s="158" t="n"/>
      <c r="AG984" s="144" t="n"/>
    </row>
    <row r="985" ht="18" customHeight="1" s="207">
      <c r="A985" s="166" t="n"/>
      <c r="B985" s="167" t="n"/>
      <c r="C985" s="167" t="n"/>
      <c r="D985" s="143">
        <f>"PRD_SNJ_"&amp;
_xlfn.XLOOKUP(商品マスタ[[#This Row],[仕入先]],テーブル1[仕入先名],テーブル1[仕入先コード],"XXX",0,1)&amp;
"_"&amp;
商品マスタ[[#This Row],[シリアル]]&amp;
"_"&amp;
TEXT(COUNTIFS(商品マスタ!$C$3:C985,商品マスタ[[#This Row],[仕入先]],商品マスタ!$E$3:E985,商品マスタ[[#This Row],[商品名]]), "00")</f>
        <v/>
      </c>
      <c r="E985" s="167" t="n"/>
      <c r="F985" s="167">
        <f>IF(COUNTIFS($C$3:C985,商品マスタ[[#This Row],[仕入先]],$E$3:E985,商品マスタ[[#This Row],[商品名]]) = 1, 1,0)</f>
        <v/>
      </c>
      <c r="G985" s="133">
        <f>TEXT(SUMIF($C$3:C985,商品マスタ[[#This Row],[仕入先]],$F$3:F985), "0000")</f>
        <v/>
      </c>
      <c r="H985" s="167" t="n"/>
      <c r="I985" s="167" t="n"/>
      <c r="J985" s="167" t="n"/>
      <c r="K985" s="167" t="n"/>
      <c r="L985" s="289" t="n"/>
      <c r="M985" s="157" t="n"/>
      <c r="N985" s="289" t="n"/>
      <c r="O985" s="290">
        <f>IF(COUNT(商品マスタ[[#This Row],[参考上代
（税込)]]) &gt; 0, (商品マスタ[[#This Row],[参考上代
（税込)]]-商品マスタ[[#This Row],[国内定価
（15％）]])/(商品マスタ[[#This Row],[参考上代
（税込)]]/1.08), "")</f>
        <v/>
      </c>
      <c r="P985" s="136" t="n">
        <v>0.1</v>
      </c>
      <c r="Q985" s="289">
        <f>商品マスタ[[#This Row],[仕入
単価]]*商品マスタ[[#This Row],[標準国内送料率]]</f>
        <v/>
      </c>
      <c r="R985" s="289" t="n"/>
      <c r="S985" s="289">
        <f>IF(ISBLANK(商品マスタ[[#This Row],[実績
国内送料]]),商品マスタ[[#This Row],[標準国内送料]],)</f>
        <v/>
      </c>
      <c r="T985" s="289">
        <f>商品マスタ[[#This Row],[仕入
単価]]+商品マスタ[[#This Row],[国内送料]]</f>
        <v/>
      </c>
      <c r="U985" s="289">
        <f>ROUNDUP(商品マスタ[[#This Row],[仕入単価+国内送料]]/0.8,-1)</f>
        <v/>
      </c>
      <c r="V985" s="289">
        <f>商品マスタ[[#This Row],[海外定価
（20％）]]-商品マスタ[[#This Row],[仕入単価+国内送料]]</f>
        <v/>
      </c>
      <c r="W985" s="167">
        <f>ROUNDUP(商品マスタ[[#This Row],[仕入単価+国内送料]]/0.85,-1)</f>
        <v/>
      </c>
      <c r="X985" s="289">
        <f>商品マスタ[[#This Row],[国内定価
（15％）]]-商品マスタ[[#This Row],[仕入単価+国内送料]]</f>
        <v/>
      </c>
      <c r="Y985" s="139" t="n"/>
      <c r="Z985" s="167" t="n"/>
      <c r="AA985" s="167" t="n"/>
      <c r="AB985" s="167" t="n"/>
      <c r="AC985" s="293" t="n"/>
      <c r="AD985" s="167" t="n"/>
      <c r="AE985" s="167" t="n"/>
      <c r="AF985" s="158" t="n"/>
      <c r="AG985" s="144" t="n"/>
    </row>
    <row r="986" ht="15.75" customHeight="1" s="207">
      <c r="A986" s="166" t="n"/>
      <c r="B986" s="167" t="n"/>
      <c r="C986" s="167" t="n"/>
      <c r="D986" s="143">
        <f>"PRD_SNJ_"&amp;
_xlfn.XLOOKUP(商品マスタ[[#This Row],[仕入先]],テーブル1[仕入先名],テーブル1[仕入先コード],"XXX",0,1)&amp;
"_"&amp;
商品マスタ[[#This Row],[シリアル]]&amp;
"_"&amp;
TEXT(COUNTIFS(商品マスタ!$C$3:C986,商品マスタ[[#This Row],[仕入先]],商品マスタ!$E$3:E986,商品マスタ[[#This Row],[商品名]]), "00")</f>
        <v/>
      </c>
      <c r="E986" s="167" t="n"/>
      <c r="F986" s="167">
        <f>IF(COUNTIFS($C$3:C986,商品マスタ[[#This Row],[仕入先]],$E$3:E986,商品マスタ[[#This Row],[商品名]]) = 1, 1,0)</f>
        <v/>
      </c>
      <c r="G986" s="133">
        <f>TEXT(SUMIF($C$3:C986,商品マスタ[[#This Row],[仕入先]],$F$3:F986), "0000")</f>
        <v/>
      </c>
      <c r="H986" s="167" t="n"/>
      <c r="I986" s="167" t="n"/>
      <c r="J986" s="167" t="n"/>
      <c r="K986" s="167" t="n"/>
      <c r="L986" s="289" t="n"/>
      <c r="M986" s="157" t="n"/>
      <c r="N986" s="289" t="n"/>
      <c r="O986" s="290">
        <f>IF(COUNT(商品マスタ[[#This Row],[参考上代
（税込)]]) &gt; 0, (商品マスタ[[#This Row],[参考上代
（税込)]]-商品マスタ[[#This Row],[国内定価
（15％）]])/(商品マスタ[[#This Row],[参考上代
（税込)]]/1.08), "")</f>
        <v/>
      </c>
      <c r="P986" s="136" t="n">
        <v>0.1</v>
      </c>
      <c r="Q986" s="289">
        <f>商品マスタ[[#This Row],[仕入
単価]]*商品マスタ[[#This Row],[標準国内送料率]]</f>
        <v/>
      </c>
      <c r="R986" s="289" t="n"/>
      <c r="S986" s="289">
        <f>IF(ISBLANK(商品マスタ[[#This Row],[実績
国内送料]]),商品マスタ[[#This Row],[標準国内送料]],)</f>
        <v/>
      </c>
      <c r="T986" s="289">
        <f>商品マスタ[[#This Row],[仕入
単価]]+商品マスタ[[#This Row],[国内送料]]</f>
        <v/>
      </c>
      <c r="U986" s="289">
        <f>ROUNDUP(商品マスタ[[#This Row],[仕入単価+国内送料]]/0.8,-1)</f>
        <v/>
      </c>
      <c r="V986" s="289">
        <f>商品マスタ[[#This Row],[海外定価
（20％）]]-商品マスタ[[#This Row],[仕入単価+国内送料]]</f>
        <v/>
      </c>
      <c r="W986" s="167">
        <f>ROUNDUP(商品マスタ[[#This Row],[仕入単価+国内送料]]/0.85,-1)</f>
        <v/>
      </c>
      <c r="X986" s="289">
        <f>商品マスタ[[#This Row],[国内定価
（15％）]]-商品マスタ[[#This Row],[仕入単価+国内送料]]</f>
        <v/>
      </c>
      <c r="Y986" s="139" t="n"/>
      <c r="Z986" s="167" t="n"/>
      <c r="AA986" s="167" t="n"/>
      <c r="AB986" s="167" t="n"/>
      <c r="AC986" s="293" t="n"/>
      <c r="AD986" s="167" t="n"/>
      <c r="AE986" s="167" t="n"/>
      <c r="AF986" s="158" t="n"/>
      <c r="AG986" s="144" t="n"/>
    </row>
    <row r="987" ht="15.75" customHeight="1" s="207">
      <c r="A987" s="166" t="n"/>
      <c r="B987" s="167" t="n"/>
      <c r="C987" s="167" t="n"/>
      <c r="D987" s="143">
        <f>"PRD_SNJ_"&amp;
_xlfn.XLOOKUP(商品マスタ[[#This Row],[仕入先]],テーブル1[仕入先名],テーブル1[仕入先コード],"XXX",0,1)&amp;
"_"&amp;
商品マスタ[[#This Row],[シリアル]]&amp;
"_"&amp;
TEXT(COUNTIFS(商品マスタ!$C$3:C987,商品マスタ[[#This Row],[仕入先]],商品マスタ!$E$3:E987,商品マスタ[[#This Row],[商品名]]), "00")</f>
        <v/>
      </c>
      <c r="E987" s="167" t="n"/>
      <c r="F987" s="167">
        <f>IF(COUNTIFS($C$3:C987,商品マスタ[[#This Row],[仕入先]],$E$3:E987,商品マスタ[[#This Row],[商品名]]) = 1, 1,0)</f>
        <v/>
      </c>
      <c r="G987" s="133">
        <f>TEXT(SUMIF($C$3:C987,商品マスタ[[#This Row],[仕入先]],$F$3:F987), "0000")</f>
        <v/>
      </c>
      <c r="H987" s="167" t="n"/>
      <c r="I987" s="167" t="n"/>
      <c r="J987" s="167" t="n"/>
      <c r="K987" s="167" t="n"/>
      <c r="L987" s="289" t="n"/>
      <c r="M987" s="157" t="n"/>
      <c r="N987" s="289" t="n"/>
      <c r="O987" s="290">
        <f>IF(COUNT(商品マスタ[[#This Row],[参考上代
（税込)]]) &gt; 0, (商品マスタ[[#This Row],[参考上代
（税込)]]-商品マスタ[[#This Row],[国内定価
（15％）]])/(商品マスタ[[#This Row],[参考上代
（税込)]]/1.08), "")</f>
        <v/>
      </c>
      <c r="P987" s="136" t="n">
        <v>0.1</v>
      </c>
      <c r="Q987" s="289">
        <f>商品マスタ[[#This Row],[仕入
単価]]*商品マスタ[[#This Row],[標準国内送料率]]</f>
        <v/>
      </c>
      <c r="R987" s="289" t="n"/>
      <c r="S987" s="289">
        <f>IF(ISBLANK(商品マスタ[[#This Row],[実績
国内送料]]),商品マスタ[[#This Row],[標準国内送料]],)</f>
        <v/>
      </c>
      <c r="T987" s="289">
        <f>商品マスタ[[#This Row],[仕入
単価]]+商品マスタ[[#This Row],[国内送料]]</f>
        <v/>
      </c>
      <c r="U987" s="289">
        <f>ROUNDUP(商品マスタ[[#This Row],[仕入単価+国内送料]]/0.8,-1)</f>
        <v/>
      </c>
      <c r="V987" s="289">
        <f>商品マスタ[[#This Row],[海外定価
（20％）]]-商品マスタ[[#This Row],[仕入単価+国内送料]]</f>
        <v/>
      </c>
      <c r="W987" s="167">
        <f>ROUNDUP(商品マスタ[[#This Row],[仕入単価+国内送料]]/0.85,-1)</f>
        <v/>
      </c>
      <c r="X987" s="289">
        <f>商品マスタ[[#This Row],[国内定価
（15％）]]-商品マスタ[[#This Row],[仕入単価+国内送料]]</f>
        <v/>
      </c>
      <c r="Y987" s="139" t="n"/>
      <c r="Z987" s="167" t="n"/>
      <c r="AA987" s="167" t="n"/>
      <c r="AB987" s="167" t="n"/>
      <c r="AC987" s="293" t="n"/>
      <c r="AD987" s="167" t="n"/>
      <c r="AE987" s="167" t="n"/>
      <c r="AF987" s="158" t="n"/>
      <c r="AG987" s="144" t="n"/>
    </row>
    <row r="988" ht="15.75" customHeight="1" s="207">
      <c r="A988" s="166" t="n"/>
      <c r="B988" s="167" t="n"/>
      <c r="C988" s="167" t="n"/>
      <c r="D988" s="143">
        <f>"PRD_SNJ_"&amp;
_xlfn.XLOOKUP(商品マスタ[[#This Row],[仕入先]],テーブル1[仕入先名],テーブル1[仕入先コード],"XXX",0,1)&amp;
"_"&amp;
商品マスタ[[#This Row],[シリアル]]&amp;
"_"&amp;
TEXT(COUNTIFS(商品マスタ!$C$3:C988,商品マスタ[[#This Row],[仕入先]],商品マスタ!$E$3:E988,商品マスタ[[#This Row],[商品名]]), "00")</f>
        <v/>
      </c>
      <c r="E988" s="167" t="n"/>
      <c r="F988" s="167">
        <f>IF(COUNTIFS($C$3:C988,商品マスタ[[#This Row],[仕入先]],$E$3:E988,商品マスタ[[#This Row],[商品名]]) = 1, 1,0)</f>
        <v/>
      </c>
      <c r="G988" s="133">
        <f>TEXT(SUMIF($C$3:C988,商品マスタ[[#This Row],[仕入先]],$F$3:F988), "0000")</f>
        <v/>
      </c>
      <c r="H988" s="167" t="n"/>
      <c r="I988" s="167" t="n"/>
      <c r="J988" s="167" t="n"/>
      <c r="K988" s="167" t="n"/>
      <c r="L988" s="289" t="n"/>
      <c r="M988" s="157" t="n"/>
      <c r="N988" s="289" t="n"/>
      <c r="O988" s="290">
        <f>IF(COUNT(商品マスタ[[#This Row],[参考上代
（税込)]]) &gt; 0, (商品マスタ[[#This Row],[参考上代
（税込)]]-商品マスタ[[#This Row],[国内定価
（15％）]])/(商品マスタ[[#This Row],[参考上代
（税込)]]/1.08), "")</f>
        <v/>
      </c>
      <c r="P988" s="136" t="n">
        <v>0.1</v>
      </c>
      <c r="Q988" s="289">
        <f>商品マスタ[[#This Row],[仕入
単価]]*商品マスタ[[#This Row],[標準国内送料率]]</f>
        <v/>
      </c>
      <c r="R988" s="289" t="n"/>
      <c r="S988" s="289">
        <f>IF(ISBLANK(商品マスタ[[#This Row],[実績
国内送料]]),商品マスタ[[#This Row],[標準国内送料]],)</f>
        <v/>
      </c>
      <c r="T988" s="289">
        <f>商品マスタ[[#This Row],[仕入
単価]]+商品マスタ[[#This Row],[国内送料]]</f>
        <v/>
      </c>
      <c r="U988" s="289">
        <f>ROUNDUP(商品マスタ[[#This Row],[仕入単価+国内送料]]/0.8,-1)</f>
        <v/>
      </c>
      <c r="V988" s="289">
        <f>商品マスタ[[#This Row],[海外定価
（20％）]]-商品マスタ[[#This Row],[仕入単価+国内送料]]</f>
        <v/>
      </c>
      <c r="W988" s="167">
        <f>ROUNDUP(商品マスタ[[#This Row],[仕入単価+国内送料]]/0.85,-1)</f>
        <v/>
      </c>
      <c r="X988" s="289">
        <f>商品マスタ[[#This Row],[国内定価
（15％）]]-商品マスタ[[#This Row],[仕入単価+国内送料]]</f>
        <v/>
      </c>
      <c r="Y988" s="139" t="n"/>
      <c r="Z988" s="167" t="n"/>
      <c r="AA988" s="167" t="n"/>
      <c r="AB988" s="167" t="n"/>
      <c r="AC988" s="293" t="n"/>
      <c r="AD988" s="167" t="n"/>
      <c r="AE988" s="167" t="n"/>
      <c r="AF988" s="158" t="n"/>
      <c r="AG988" s="144" t="n"/>
    </row>
    <row r="989" ht="15.75" customHeight="1" s="207">
      <c r="A989" s="166" t="n"/>
      <c r="B989" s="167" t="n"/>
      <c r="C989" s="167" t="n"/>
      <c r="D989" s="143">
        <f>"PRD_SNJ_"&amp;
_xlfn.XLOOKUP(商品マスタ[[#This Row],[仕入先]],テーブル1[仕入先名],テーブル1[仕入先コード],"XXX",0,1)&amp;
"_"&amp;
商品マスタ[[#This Row],[シリアル]]&amp;
"_"&amp;
TEXT(COUNTIFS(商品マスタ!$C$3:C989,商品マスタ[[#This Row],[仕入先]],商品マスタ!$E$3:E989,商品マスタ[[#This Row],[商品名]]), "00")</f>
        <v/>
      </c>
      <c r="E989" s="167" t="n"/>
      <c r="F989" s="167">
        <f>IF(COUNTIFS($C$3:C989,商品マスタ[[#This Row],[仕入先]],$E$3:E989,商品マスタ[[#This Row],[商品名]]) = 1, 1,0)</f>
        <v/>
      </c>
      <c r="G989" s="133">
        <f>TEXT(SUMIF($C$3:C989,商品マスタ[[#This Row],[仕入先]],$F$3:F989), "0000")</f>
        <v/>
      </c>
      <c r="H989" s="167" t="n"/>
      <c r="I989" s="167" t="n"/>
      <c r="J989" s="167" t="n"/>
      <c r="K989" s="167" t="n"/>
      <c r="L989" s="289" t="n"/>
      <c r="M989" s="157" t="n"/>
      <c r="N989" s="289" t="n"/>
      <c r="O989" s="290">
        <f>IF(COUNT(商品マスタ[[#This Row],[参考上代
（税込)]]) &gt; 0, (商品マスタ[[#This Row],[参考上代
（税込)]]-商品マスタ[[#This Row],[国内定価
（15％）]])/(商品マスタ[[#This Row],[参考上代
（税込)]]/1.08), "")</f>
        <v/>
      </c>
      <c r="P989" s="136" t="n">
        <v>0.1</v>
      </c>
      <c r="Q989" s="289">
        <f>商品マスタ[[#This Row],[仕入
単価]]*商品マスタ[[#This Row],[標準国内送料率]]</f>
        <v/>
      </c>
      <c r="R989" s="289" t="n"/>
      <c r="S989" s="289">
        <f>IF(ISBLANK(商品マスタ[[#This Row],[実績
国内送料]]),商品マスタ[[#This Row],[標準国内送料]],)</f>
        <v/>
      </c>
      <c r="T989" s="289">
        <f>商品マスタ[[#This Row],[仕入
単価]]+商品マスタ[[#This Row],[国内送料]]</f>
        <v/>
      </c>
      <c r="U989" s="289">
        <f>ROUNDUP(商品マスタ[[#This Row],[仕入単価+国内送料]]/0.8,-1)</f>
        <v/>
      </c>
      <c r="V989" s="289">
        <f>商品マスタ[[#This Row],[海外定価
（20％）]]-商品マスタ[[#This Row],[仕入単価+国内送料]]</f>
        <v/>
      </c>
      <c r="W989" s="167">
        <f>ROUNDUP(商品マスタ[[#This Row],[仕入単価+国内送料]]/0.85,-1)</f>
        <v/>
      </c>
      <c r="X989" s="289">
        <f>商品マスタ[[#This Row],[国内定価
（15％）]]-商品マスタ[[#This Row],[仕入単価+国内送料]]</f>
        <v/>
      </c>
      <c r="Y989" s="139" t="n"/>
      <c r="Z989" s="167" t="n"/>
      <c r="AA989" s="167" t="n"/>
      <c r="AB989" s="167" t="n"/>
      <c r="AC989" s="293" t="n"/>
      <c r="AD989" s="167" t="n"/>
      <c r="AE989" s="167" t="n"/>
      <c r="AF989" s="158" t="n"/>
      <c r="AG989" s="144" t="n"/>
    </row>
    <row r="990" ht="15.75" customHeight="1" s="207">
      <c r="A990" s="166" t="n"/>
      <c r="B990" s="167" t="n"/>
      <c r="C990" s="167" t="n"/>
      <c r="D990" s="143">
        <f>"PRD_SNJ_"&amp;
_xlfn.XLOOKUP(商品マスタ[[#This Row],[仕入先]],テーブル1[仕入先名],テーブル1[仕入先コード],"XXX",0,1)&amp;
"_"&amp;
商品マスタ[[#This Row],[シリアル]]&amp;
"_"&amp;
TEXT(COUNTIFS(商品マスタ!$C$3:C990,商品マスタ[[#This Row],[仕入先]],商品マスタ!$E$3:E990,商品マスタ[[#This Row],[商品名]]), "00")</f>
        <v/>
      </c>
      <c r="E990" s="167" t="n"/>
      <c r="F990" s="167">
        <f>IF(COUNTIFS($C$3:C990,商品マスタ[[#This Row],[仕入先]],$E$3:E990,商品マスタ[[#This Row],[商品名]]) = 1, 1,0)</f>
        <v/>
      </c>
      <c r="G990" s="133">
        <f>TEXT(SUMIF($C$3:C990,商品マスタ[[#This Row],[仕入先]],$F$3:F990), "0000")</f>
        <v/>
      </c>
      <c r="H990" s="167" t="n"/>
      <c r="I990" s="167" t="n"/>
      <c r="J990" s="167" t="n"/>
      <c r="K990" s="167" t="n"/>
      <c r="L990" s="289" t="n"/>
      <c r="M990" s="157" t="n"/>
      <c r="N990" s="289" t="n"/>
      <c r="O990" s="290">
        <f>IF(COUNT(商品マスタ[[#This Row],[参考上代
（税込)]]) &gt; 0, (商品マスタ[[#This Row],[参考上代
（税込)]]-商品マスタ[[#This Row],[国内定価
（15％）]])/(商品マスタ[[#This Row],[参考上代
（税込)]]/1.08), "")</f>
        <v/>
      </c>
      <c r="P990" s="136" t="n">
        <v>0.1</v>
      </c>
      <c r="Q990" s="289">
        <f>商品マスタ[[#This Row],[仕入
単価]]*商品マスタ[[#This Row],[標準国内送料率]]</f>
        <v/>
      </c>
      <c r="R990" s="289" t="n"/>
      <c r="S990" s="289">
        <f>IF(ISBLANK(商品マスタ[[#This Row],[実績
国内送料]]),商品マスタ[[#This Row],[標準国内送料]],)</f>
        <v/>
      </c>
      <c r="T990" s="289">
        <f>商品マスタ[[#This Row],[仕入
単価]]+商品マスタ[[#This Row],[国内送料]]</f>
        <v/>
      </c>
      <c r="U990" s="289">
        <f>ROUNDUP(商品マスタ[[#This Row],[仕入単価+国内送料]]/0.8,-1)</f>
        <v/>
      </c>
      <c r="V990" s="289">
        <f>商品マスタ[[#This Row],[海外定価
（20％）]]-商品マスタ[[#This Row],[仕入単価+国内送料]]</f>
        <v/>
      </c>
      <c r="W990" s="167">
        <f>ROUNDUP(商品マスタ[[#This Row],[仕入単価+国内送料]]/0.85,-1)</f>
        <v/>
      </c>
      <c r="X990" s="289">
        <f>商品マスタ[[#This Row],[国内定価
（15％）]]-商品マスタ[[#This Row],[仕入単価+国内送料]]</f>
        <v/>
      </c>
      <c r="Y990" s="139" t="n"/>
      <c r="Z990" s="167" t="n"/>
      <c r="AA990" s="167" t="n"/>
      <c r="AB990" s="167" t="n"/>
      <c r="AC990" s="293" t="n"/>
      <c r="AD990" s="167" t="n"/>
      <c r="AE990" s="167" t="n"/>
      <c r="AF990" s="158" t="n"/>
      <c r="AG990" s="144" t="n"/>
    </row>
    <row r="991" ht="15.75" customHeight="1" s="207">
      <c r="A991" s="166" t="n"/>
      <c r="B991" s="167" t="n"/>
      <c r="C991" s="167" t="n"/>
      <c r="D991" s="143">
        <f>"PRD_SNJ_"&amp;
_xlfn.XLOOKUP(商品マスタ[[#This Row],[仕入先]],テーブル1[仕入先名],テーブル1[仕入先コード],"XXX",0,1)&amp;
"_"&amp;
商品マスタ[[#This Row],[シリアル]]&amp;
"_"&amp;
TEXT(COUNTIFS(商品マスタ!$C$3:C991,商品マスタ[[#This Row],[仕入先]],商品マスタ!$E$3:E991,商品マスタ[[#This Row],[商品名]]), "00")</f>
        <v/>
      </c>
      <c r="E991" s="167" t="n"/>
      <c r="F991" s="167">
        <f>IF(COUNTIFS($C$3:C991,商品マスタ[[#This Row],[仕入先]],$E$3:E991,商品マスタ[[#This Row],[商品名]]) = 1, 1,0)</f>
        <v/>
      </c>
      <c r="G991" s="133">
        <f>TEXT(SUMIF($C$3:C991,商品マスタ[[#This Row],[仕入先]],$F$3:F991), "0000")</f>
        <v/>
      </c>
      <c r="H991" s="167" t="n"/>
      <c r="I991" s="167" t="n"/>
      <c r="J991" s="167" t="n"/>
      <c r="K991" s="167" t="n"/>
      <c r="L991" s="289" t="n"/>
      <c r="M991" s="157" t="n"/>
      <c r="N991" s="289" t="n"/>
      <c r="O991" s="290">
        <f>IF(COUNT(商品マスタ[[#This Row],[参考上代
（税込)]]) &gt; 0, (商品マスタ[[#This Row],[参考上代
（税込)]]-商品マスタ[[#This Row],[国内定価
（15％）]])/(商品マスタ[[#This Row],[参考上代
（税込)]]/1.08), "")</f>
        <v/>
      </c>
      <c r="P991" s="136" t="n">
        <v>0.1</v>
      </c>
      <c r="Q991" s="289">
        <f>商品マスタ[[#This Row],[仕入
単価]]*商品マスタ[[#This Row],[標準国内送料率]]</f>
        <v/>
      </c>
      <c r="R991" s="289" t="n"/>
      <c r="S991" s="289">
        <f>IF(ISBLANK(商品マスタ[[#This Row],[実績
国内送料]]),商品マスタ[[#This Row],[標準国内送料]],)</f>
        <v/>
      </c>
      <c r="T991" s="289">
        <f>商品マスタ[[#This Row],[仕入
単価]]+商品マスタ[[#This Row],[国内送料]]</f>
        <v/>
      </c>
      <c r="U991" s="289">
        <f>ROUNDUP(商品マスタ[[#This Row],[仕入単価+国内送料]]/0.8,-1)</f>
        <v/>
      </c>
      <c r="V991" s="289">
        <f>商品マスタ[[#This Row],[海外定価
（20％）]]-商品マスタ[[#This Row],[仕入単価+国内送料]]</f>
        <v/>
      </c>
      <c r="W991" s="167">
        <f>ROUNDUP(商品マスタ[[#This Row],[仕入単価+国内送料]]/0.85,-1)</f>
        <v/>
      </c>
      <c r="X991" s="289">
        <f>商品マスタ[[#This Row],[国内定価
（15％）]]-商品マスタ[[#This Row],[仕入単価+国内送料]]</f>
        <v/>
      </c>
      <c r="Y991" s="139" t="n"/>
      <c r="Z991" s="167" t="n"/>
      <c r="AA991" s="167" t="n"/>
      <c r="AB991" s="167" t="n"/>
      <c r="AC991" s="293" t="n"/>
      <c r="AD991" s="167" t="n"/>
      <c r="AE991" s="167" t="n"/>
      <c r="AF991" s="158" t="n"/>
      <c r="AG991" s="144" t="n"/>
    </row>
    <row r="992" ht="15.75" customHeight="1" s="207">
      <c r="A992" s="166" t="n"/>
      <c r="B992" s="167" t="n"/>
      <c r="C992" s="167" t="n"/>
      <c r="D992" s="143">
        <f>"PRD_SNJ_"&amp;
_xlfn.XLOOKUP(商品マスタ[[#This Row],[仕入先]],テーブル1[仕入先名],テーブル1[仕入先コード],"XXX",0,1)&amp;
"_"&amp;
商品マスタ[[#This Row],[シリアル]]&amp;
"_"&amp;
TEXT(COUNTIFS(商品マスタ!$C$3:C992,商品マスタ[[#This Row],[仕入先]],商品マスタ!$E$3:E992,商品マスタ[[#This Row],[商品名]]), "00")</f>
        <v/>
      </c>
      <c r="E992" s="167" t="n"/>
      <c r="F992" s="167">
        <f>IF(COUNTIFS($C$3:C992,商品マスタ[[#This Row],[仕入先]],$E$3:E992,商品マスタ[[#This Row],[商品名]]) = 1, 1,0)</f>
        <v/>
      </c>
      <c r="G992" s="133">
        <f>TEXT(SUMIF($C$3:C992,商品マスタ[[#This Row],[仕入先]],$F$3:F992), "0000")</f>
        <v/>
      </c>
      <c r="H992" s="167" t="n"/>
      <c r="I992" s="167" t="n"/>
      <c r="J992" s="167" t="n"/>
      <c r="K992" s="167" t="n"/>
      <c r="L992" s="289" t="n"/>
      <c r="M992" s="157" t="n"/>
      <c r="N992" s="289" t="n"/>
      <c r="O992" s="290">
        <f>IF(COUNT(商品マスタ[[#This Row],[参考上代
（税込)]]) &gt; 0, (商品マスタ[[#This Row],[参考上代
（税込)]]-商品マスタ[[#This Row],[国内定価
（15％）]])/(商品マスタ[[#This Row],[参考上代
（税込)]]/1.08), "")</f>
        <v/>
      </c>
      <c r="P992" s="136" t="n">
        <v>0.1</v>
      </c>
      <c r="Q992" s="289">
        <f>商品マスタ[[#This Row],[仕入
単価]]*商品マスタ[[#This Row],[標準国内送料率]]</f>
        <v/>
      </c>
      <c r="R992" s="289" t="n"/>
      <c r="S992" s="289">
        <f>IF(ISBLANK(商品マスタ[[#This Row],[実績
国内送料]]),商品マスタ[[#This Row],[標準国内送料]],)</f>
        <v/>
      </c>
      <c r="T992" s="289">
        <f>商品マスタ[[#This Row],[仕入
単価]]+商品マスタ[[#This Row],[国内送料]]</f>
        <v/>
      </c>
      <c r="U992" s="289">
        <f>ROUNDUP(商品マスタ[[#This Row],[仕入単価+国内送料]]/0.8,-1)</f>
        <v/>
      </c>
      <c r="V992" s="289">
        <f>商品マスタ[[#This Row],[海外定価
（20％）]]-商品マスタ[[#This Row],[仕入単価+国内送料]]</f>
        <v/>
      </c>
      <c r="W992" s="167">
        <f>ROUNDUP(商品マスタ[[#This Row],[仕入単価+国内送料]]/0.85,-1)</f>
        <v/>
      </c>
      <c r="X992" s="289">
        <f>商品マスタ[[#This Row],[国内定価
（15％）]]-商品マスタ[[#This Row],[仕入単価+国内送料]]</f>
        <v/>
      </c>
      <c r="Y992" s="139" t="n"/>
      <c r="Z992" s="167" t="n"/>
      <c r="AA992" s="167" t="n"/>
      <c r="AB992" s="167" t="n"/>
      <c r="AC992" s="293" t="n"/>
      <c r="AD992" s="167" t="n"/>
      <c r="AE992" s="167" t="n"/>
      <c r="AF992" s="158" t="n"/>
      <c r="AG992" s="144" t="n"/>
    </row>
    <row r="993" ht="15.75" customHeight="1" s="207">
      <c r="A993" s="166" t="n"/>
      <c r="B993" s="167" t="n"/>
      <c r="C993" s="167" t="n"/>
      <c r="D993" s="143">
        <f>"PRD_SNJ_"&amp;
_xlfn.XLOOKUP(商品マスタ[[#This Row],[仕入先]],テーブル1[仕入先名],テーブル1[仕入先コード],"XXX",0,1)&amp;
"_"&amp;
商品マスタ[[#This Row],[シリアル]]&amp;
"_"&amp;
TEXT(COUNTIFS(商品マスタ!$C$3:C993,商品マスタ[[#This Row],[仕入先]],商品マスタ!$E$3:E993,商品マスタ[[#This Row],[商品名]]), "00")</f>
        <v/>
      </c>
      <c r="E993" s="167" t="n"/>
      <c r="F993" s="167">
        <f>IF(COUNTIFS($C$3:C993,商品マスタ[[#This Row],[仕入先]],$E$3:E993,商品マスタ[[#This Row],[商品名]]) = 1, 1,0)</f>
        <v/>
      </c>
      <c r="G993" s="133">
        <f>TEXT(SUMIF($C$3:C993,商品マスタ[[#This Row],[仕入先]],$F$3:F993), "0000")</f>
        <v/>
      </c>
      <c r="H993" s="167" t="n"/>
      <c r="I993" s="167" t="n"/>
      <c r="J993" s="167" t="n"/>
      <c r="K993" s="167" t="n"/>
      <c r="L993" s="289" t="n"/>
      <c r="M993" s="157" t="n"/>
      <c r="N993" s="289" t="n"/>
      <c r="O993" s="290">
        <f>IF(COUNT(商品マスタ[[#This Row],[参考上代
（税込)]]) &gt; 0, (商品マスタ[[#This Row],[参考上代
（税込)]]-商品マスタ[[#This Row],[国内定価
（15％）]])/(商品マスタ[[#This Row],[参考上代
（税込)]]/1.08), "")</f>
        <v/>
      </c>
      <c r="P993" s="136" t="n">
        <v>0.1</v>
      </c>
      <c r="Q993" s="289">
        <f>商品マスタ[[#This Row],[仕入
単価]]*商品マスタ[[#This Row],[標準国内送料率]]</f>
        <v/>
      </c>
      <c r="R993" s="289" t="n"/>
      <c r="S993" s="289">
        <f>IF(ISBLANK(商品マスタ[[#This Row],[実績
国内送料]]),商品マスタ[[#This Row],[標準国内送料]],)</f>
        <v/>
      </c>
      <c r="T993" s="289">
        <f>商品マスタ[[#This Row],[仕入
単価]]+商品マスタ[[#This Row],[国内送料]]</f>
        <v/>
      </c>
      <c r="U993" s="289">
        <f>ROUNDUP(商品マスタ[[#This Row],[仕入単価+国内送料]]/0.8,-1)</f>
        <v/>
      </c>
      <c r="V993" s="289">
        <f>商品マスタ[[#This Row],[海外定価
（20％）]]-商品マスタ[[#This Row],[仕入単価+国内送料]]</f>
        <v/>
      </c>
      <c r="W993" s="167">
        <f>ROUNDUP(商品マスタ[[#This Row],[仕入単価+国内送料]]/0.85,-1)</f>
        <v/>
      </c>
      <c r="X993" s="289">
        <f>商品マスタ[[#This Row],[国内定価
（15％）]]-商品マスタ[[#This Row],[仕入単価+国内送料]]</f>
        <v/>
      </c>
      <c r="Y993" s="139" t="n"/>
      <c r="Z993" s="167" t="n"/>
      <c r="AA993" s="167" t="n"/>
      <c r="AB993" s="167" t="n"/>
      <c r="AC993" s="293" t="n"/>
      <c r="AD993" s="167" t="n"/>
      <c r="AE993" s="167" t="n"/>
      <c r="AF993" s="158" t="n"/>
      <c r="AG993" s="144" t="n"/>
    </row>
    <row r="994" ht="15.75" customHeight="1" s="207">
      <c r="A994" s="166" t="n"/>
      <c r="B994" s="167" t="n"/>
      <c r="C994" s="167" t="n"/>
      <c r="D994" s="143">
        <f>"PRD_SNJ_"&amp;
_xlfn.XLOOKUP(商品マスタ[[#This Row],[仕入先]],テーブル1[仕入先名],テーブル1[仕入先コード],"XXX",0,1)&amp;
"_"&amp;
商品マスタ[[#This Row],[シリアル]]&amp;
"_"&amp;
TEXT(COUNTIFS(商品マスタ!$C$3:C994,商品マスタ[[#This Row],[仕入先]],商品マスタ!$E$3:E994,商品マスタ[[#This Row],[商品名]]), "00")</f>
        <v/>
      </c>
      <c r="E994" s="167" t="n"/>
      <c r="F994" s="167">
        <f>IF(COUNTIFS($C$3:C994,商品マスタ[[#This Row],[仕入先]],$E$3:E994,商品マスタ[[#This Row],[商品名]]) = 1, 1,0)</f>
        <v/>
      </c>
      <c r="G994" s="133">
        <f>TEXT(SUMIF($C$3:C994,商品マスタ[[#This Row],[仕入先]],$F$3:F994), "0000")</f>
        <v/>
      </c>
      <c r="H994" s="167" t="n"/>
      <c r="I994" s="167" t="n"/>
      <c r="J994" s="167" t="n"/>
      <c r="K994" s="167" t="n"/>
      <c r="L994" s="289" t="n"/>
      <c r="M994" s="157" t="n"/>
      <c r="N994" s="289" t="n"/>
      <c r="O994" s="290">
        <f>IF(COUNT(商品マスタ[[#This Row],[参考上代
（税込)]]) &gt; 0, (商品マスタ[[#This Row],[参考上代
（税込)]]-商品マスタ[[#This Row],[国内定価
（15％）]])/(商品マスタ[[#This Row],[参考上代
（税込)]]/1.08), "")</f>
        <v/>
      </c>
      <c r="P994" s="136" t="n">
        <v>0.1</v>
      </c>
      <c r="Q994" s="289">
        <f>商品マスタ[[#This Row],[仕入
単価]]*商品マスタ[[#This Row],[標準国内送料率]]</f>
        <v/>
      </c>
      <c r="R994" s="289" t="n"/>
      <c r="S994" s="289">
        <f>IF(ISBLANK(商品マスタ[[#This Row],[実績
国内送料]]),商品マスタ[[#This Row],[標準国内送料]],)</f>
        <v/>
      </c>
      <c r="T994" s="289">
        <f>商品マスタ[[#This Row],[仕入
単価]]+商品マスタ[[#This Row],[国内送料]]</f>
        <v/>
      </c>
      <c r="U994" s="289">
        <f>ROUNDUP(商品マスタ[[#This Row],[仕入単価+国内送料]]/0.8,-1)</f>
        <v/>
      </c>
      <c r="V994" s="289">
        <f>商品マスタ[[#This Row],[海外定価
（20％）]]-商品マスタ[[#This Row],[仕入単価+国内送料]]</f>
        <v/>
      </c>
      <c r="W994" s="167">
        <f>ROUNDUP(商品マスタ[[#This Row],[仕入単価+国内送料]]/0.85,-1)</f>
        <v/>
      </c>
      <c r="X994" s="289">
        <f>商品マスタ[[#This Row],[国内定価
（15％）]]-商品マスタ[[#This Row],[仕入単価+国内送料]]</f>
        <v/>
      </c>
      <c r="Y994" s="139" t="n"/>
      <c r="Z994" s="167" t="n"/>
      <c r="AA994" s="167" t="n"/>
      <c r="AB994" s="167" t="n"/>
      <c r="AC994" s="293" t="n"/>
      <c r="AD994" s="167" t="n"/>
      <c r="AE994" s="167" t="n"/>
      <c r="AF994" s="158" t="n"/>
      <c r="AG994" s="144" t="n"/>
    </row>
    <row r="995" ht="15.75" customHeight="1" s="207">
      <c r="A995" s="166" t="n"/>
      <c r="B995" s="167" t="n"/>
      <c r="C995" s="167" t="n"/>
      <c r="D995" s="143">
        <f>"PRD_SNJ_"&amp;
_xlfn.XLOOKUP(商品マスタ[[#This Row],[仕入先]],テーブル1[仕入先名],テーブル1[仕入先コード],"XXX",0,1)&amp;
"_"&amp;
商品マスタ[[#This Row],[シリアル]]&amp;
"_"&amp;
TEXT(COUNTIFS(商品マスタ!$C$3:C995,商品マスタ[[#This Row],[仕入先]],商品マスタ!$E$3:E995,商品マスタ[[#This Row],[商品名]]), "00")</f>
        <v/>
      </c>
      <c r="E995" s="167" t="n"/>
      <c r="F995" s="167">
        <f>IF(COUNTIFS($C$3:C995,商品マスタ[[#This Row],[仕入先]],$E$3:E995,商品マスタ[[#This Row],[商品名]]) = 1, 1,0)</f>
        <v/>
      </c>
      <c r="G995" s="133">
        <f>TEXT(SUMIF($C$3:C995,商品マスタ[[#This Row],[仕入先]],$F$3:F995), "0000")</f>
        <v/>
      </c>
      <c r="H995" s="167" t="n"/>
      <c r="I995" s="167" t="n"/>
      <c r="J995" s="167" t="n"/>
      <c r="K995" s="167" t="n"/>
      <c r="L995" s="289" t="n"/>
      <c r="M995" s="157" t="n"/>
      <c r="N995" s="289" t="n"/>
      <c r="O995" s="290">
        <f>IF(COUNT(商品マスタ[[#This Row],[参考上代
（税込)]]) &gt; 0, (商品マスタ[[#This Row],[参考上代
（税込)]]-商品マスタ[[#This Row],[国内定価
（15％）]])/(商品マスタ[[#This Row],[参考上代
（税込)]]/1.08), "")</f>
        <v/>
      </c>
      <c r="P995" s="136" t="n">
        <v>0.1</v>
      </c>
      <c r="Q995" s="289">
        <f>商品マスタ[[#This Row],[仕入
単価]]*商品マスタ[[#This Row],[標準国内送料率]]</f>
        <v/>
      </c>
      <c r="R995" s="289" t="n"/>
      <c r="S995" s="289">
        <f>IF(ISBLANK(商品マスタ[[#This Row],[実績
国内送料]]),商品マスタ[[#This Row],[標準国内送料]],)</f>
        <v/>
      </c>
      <c r="T995" s="289">
        <f>商品マスタ[[#This Row],[仕入
単価]]+商品マスタ[[#This Row],[国内送料]]</f>
        <v/>
      </c>
      <c r="U995" s="289">
        <f>ROUNDUP(商品マスタ[[#This Row],[仕入単価+国内送料]]/0.8,-1)</f>
        <v/>
      </c>
      <c r="V995" s="289">
        <f>商品マスタ[[#This Row],[海外定価
（20％）]]-商品マスタ[[#This Row],[仕入単価+国内送料]]</f>
        <v/>
      </c>
      <c r="W995" s="167">
        <f>ROUNDUP(商品マスタ[[#This Row],[仕入単価+国内送料]]/0.85,-1)</f>
        <v/>
      </c>
      <c r="X995" s="289">
        <f>商品マスタ[[#This Row],[国内定価
（15％）]]-商品マスタ[[#This Row],[仕入単価+国内送料]]</f>
        <v/>
      </c>
      <c r="Y995" s="139" t="n"/>
      <c r="Z995" s="167" t="n"/>
      <c r="AA995" s="167" t="n"/>
      <c r="AB995" s="167" t="n"/>
      <c r="AC995" s="293" t="n"/>
      <c r="AD995" s="167" t="n"/>
      <c r="AE995" s="167" t="n"/>
      <c r="AF995" s="158" t="n"/>
      <c r="AG995" s="144" t="n"/>
    </row>
    <row r="996" ht="15.75" customHeight="1" s="207">
      <c r="A996" s="166" t="n"/>
      <c r="B996" s="167" t="n"/>
      <c r="C996" s="167" t="n"/>
      <c r="D996" s="143">
        <f>"PRD_SNJ_"&amp;
_xlfn.XLOOKUP(商品マスタ[[#This Row],[仕入先]],テーブル1[仕入先名],テーブル1[仕入先コード],"XXX",0,1)&amp;
"_"&amp;
商品マスタ[[#This Row],[シリアル]]&amp;
"_"&amp;
TEXT(COUNTIFS(商品マスタ!$C$3:C996,商品マスタ[[#This Row],[仕入先]],商品マスタ!$E$3:E996,商品マスタ[[#This Row],[商品名]]), "00")</f>
        <v/>
      </c>
      <c r="E996" s="167" t="n"/>
      <c r="F996" s="167">
        <f>IF(COUNTIFS($C$3:C996,商品マスタ[[#This Row],[仕入先]],$E$3:E996,商品マスタ[[#This Row],[商品名]]) = 1, 1,0)</f>
        <v/>
      </c>
      <c r="G996" s="133">
        <f>TEXT(SUMIF($C$3:C996,商品マスタ[[#This Row],[仕入先]],$F$3:F996), "0000")</f>
        <v/>
      </c>
      <c r="H996" s="167" t="n"/>
      <c r="I996" s="167" t="n"/>
      <c r="J996" s="167" t="n"/>
      <c r="K996" s="167" t="n"/>
      <c r="L996" s="289" t="n"/>
      <c r="M996" s="157" t="n"/>
      <c r="N996" s="289" t="n"/>
      <c r="O996" s="290">
        <f>IF(COUNT(商品マスタ[[#This Row],[参考上代
（税込)]]) &gt; 0, (商品マスタ[[#This Row],[参考上代
（税込)]]-商品マスタ[[#This Row],[国内定価
（15％）]])/(商品マスタ[[#This Row],[参考上代
（税込)]]/1.08), "")</f>
        <v/>
      </c>
      <c r="P996" s="136" t="n">
        <v>0.1</v>
      </c>
      <c r="Q996" s="289">
        <f>商品マスタ[[#This Row],[仕入
単価]]*商品マスタ[[#This Row],[標準国内送料率]]</f>
        <v/>
      </c>
      <c r="R996" s="289" t="n"/>
      <c r="S996" s="289">
        <f>IF(ISBLANK(商品マスタ[[#This Row],[実績
国内送料]]),商品マスタ[[#This Row],[標準国内送料]],)</f>
        <v/>
      </c>
      <c r="T996" s="289">
        <f>商品マスタ[[#This Row],[仕入
単価]]+商品マスタ[[#This Row],[国内送料]]</f>
        <v/>
      </c>
      <c r="U996" s="289">
        <f>ROUNDUP(商品マスタ[[#This Row],[仕入単価+国内送料]]/0.8,-1)</f>
        <v/>
      </c>
      <c r="V996" s="289">
        <f>商品マスタ[[#This Row],[海外定価
（20％）]]-商品マスタ[[#This Row],[仕入単価+国内送料]]</f>
        <v/>
      </c>
      <c r="W996" s="167">
        <f>ROUNDUP(商品マスタ[[#This Row],[仕入単価+国内送料]]/0.85,-1)</f>
        <v/>
      </c>
      <c r="X996" s="289">
        <f>商品マスタ[[#This Row],[国内定価
（15％）]]-商品マスタ[[#This Row],[仕入単価+国内送料]]</f>
        <v/>
      </c>
      <c r="Y996" s="139" t="n"/>
      <c r="Z996" s="167" t="n"/>
      <c r="AA996" s="167" t="n"/>
      <c r="AB996" s="167" t="n"/>
      <c r="AC996" s="293" t="n"/>
      <c r="AD996" s="167" t="n"/>
      <c r="AE996" s="167" t="n"/>
      <c r="AF996" s="158" t="n"/>
      <c r="AG996" s="144" t="n"/>
    </row>
    <row r="997" ht="15.75" customHeight="1" s="207">
      <c r="A997" s="166" t="n"/>
      <c r="B997" s="167" t="n"/>
      <c r="C997" s="167" t="n"/>
      <c r="D997" s="143">
        <f>"PRD_SNJ_"&amp;
_xlfn.XLOOKUP(商品マスタ[[#This Row],[仕入先]],テーブル1[仕入先名],テーブル1[仕入先コード],"XXX",0,1)&amp;
"_"&amp;
商品マスタ[[#This Row],[シリアル]]&amp;
"_"&amp;
TEXT(COUNTIFS(商品マスタ!$C$3:C997,商品マスタ[[#This Row],[仕入先]],商品マスタ!$E$3:E997,商品マスタ[[#This Row],[商品名]]), "00")</f>
        <v/>
      </c>
      <c r="E997" s="167" t="n"/>
      <c r="F997" s="167">
        <f>IF(COUNTIFS($C$3:C997,商品マスタ[[#This Row],[仕入先]],$E$3:E997,商品マスタ[[#This Row],[商品名]]) = 1, 1,0)</f>
        <v/>
      </c>
      <c r="G997" s="133">
        <f>TEXT(SUMIF($C$3:C997,商品マスタ[[#This Row],[仕入先]],$F$3:F997), "0000")</f>
        <v/>
      </c>
      <c r="H997" s="167" t="n"/>
      <c r="I997" s="167" t="n"/>
      <c r="J997" s="167" t="n"/>
      <c r="K997" s="167" t="n"/>
      <c r="L997" s="289" t="n"/>
      <c r="M997" s="157" t="n"/>
      <c r="N997" s="289" t="n"/>
      <c r="O997" s="290">
        <f>IF(COUNT(商品マスタ[[#This Row],[参考上代
（税込)]]) &gt; 0, (商品マスタ[[#This Row],[参考上代
（税込)]]-商品マスタ[[#This Row],[国内定価
（15％）]])/(商品マスタ[[#This Row],[参考上代
（税込)]]/1.08), "")</f>
        <v/>
      </c>
      <c r="P997" s="136" t="n">
        <v>0.1</v>
      </c>
      <c r="Q997" s="289">
        <f>商品マスタ[[#This Row],[仕入
単価]]*商品マスタ[[#This Row],[標準国内送料率]]</f>
        <v/>
      </c>
      <c r="R997" s="289" t="n"/>
      <c r="S997" s="289">
        <f>IF(ISBLANK(商品マスタ[[#This Row],[実績
国内送料]]),商品マスタ[[#This Row],[標準国内送料]],)</f>
        <v/>
      </c>
      <c r="T997" s="289">
        <f>商品マスタ[[#This Row],[仕入
単価]]+商品マスタ[[#This Row],[国内送料]]</f>
        <v/>
      </c>
      <c r="U997" s="289">
        <f>ROUNDUP(商品マスタ[[#This Row],[仕入単価+国内送料]]/0.8,-1)</f>
        <v/>
      </c>
      <c r="V997" s="289">
        <f>商品マスタ[[#This Row],[海外定価
（20％）]]-商品マスタ[[#This Row],[仕入単価+国内送料]]</f>
        <v/>
      </c>
      <c r="W997" s="167">
        <f>ROUNDUP(商品マスタ[[#This Row],[仕入単価+国内送料]]/0.85,-1)</f>
        <v/>
      </c>
      <c r="X997" s="289">
        <f>商品マスタ[[#This Row],[国内定価
（15％）]]-商品マスタ[[#This Row],[仕入単価+国内送料]]</f>
        <v/>
      </c>
      <c r="Y997" s="139" t="n"/>
      <c r="Z997" s="167" t="n"/>
      <c r="AA997" s="167" t="n"/>
      <c r="AB997" s="167" t="n"/>
      <c r="AC997" s="293" t="n"/>
      <c r="AD997" s="167" t="n"/>
      <c r="AE997" s="167" t="n"/>
      <c r="AF997" s="158" t="n"/>
      <c r="AG997" s="144" t="n"/>
    </row>
    <row r="998" ht="15.75" customHeight="1" s="207">
      <c r="A998" s="166" t="n"/>
      <c r="B998" s="167" t="n"/>
      <c r="C998" s="167" t="n"/>
      <c r="D998" s="143">
        <f>"PRD_SNJ_"&amp;
_xlfn.XLOOKUP(商品マスタ[[#This Row],[仕入先]],テーブル1[仕入先名],テーブル1[仕入先コード],"XXX",0,1)&amp;
"_"&amp;
商品マスタ[[#This Row],[シリアル]]&amp;
"_"&amp;
TEXT(COUNTIFS(商品マスタ!$C$3:C998,商品マスタ[[#This Row],[仕入先]],商品マスタ!$E$3:E998,商品マスタ[[#This Row],[商品名]]), "00")</f>
        <v/>
      </c>
      <c r="E998" s="167" t="n"/>
      <c r="F998" s="167">
        <f>IF(COUNTIFS($C$3:C998,商品マスタ[[#This Row],[仕入先]],$E$3:E998,商品マスタ[[#This Row],[商品名]]) = 1, 1,0)</f>
        <v/>
      </c>
      <c r="G998" s="133">
        <f>TEXT(SUMIF($C$3:C998,商品マスタ[[#This Row],[仕入先]],$F$3:F998), "0000")</f>
        <v/>
      </c>
      <c r="H998" s="167" t="n"/>
      <c r="I998" s="167" t="n"/>
      <c r="J998" s="167" t="n"/>
      <c r="K998" s="167" t="n"/>
      <c r="L998" s="289" t="n"/>
      <c r="M998" s="157" t="n"/>
      <c r="N998" s="289" t="n"/>
      <c r="O998" s="290">
        <f>IF(COUNT(商品マスタ[[#This Row],[参考上代
（税込)]]) &gt; 0, (商品マスタ[[#This Row],[参考上代
（税込)]]-商品マスタ[[#This Row],[国内定価
（15％）]])/(商品マスタ[[#This Row],[参考上代
（税込)]]/1.08), "")</f>
        <v/>
      </c>
      <c r="P998" s="136" t="n">
        <v>0.1</v>
      </c>
      <c r="Q998" s="289">
        <f>商品マスタ[[#This Row],[仕入
単価]]*商品マスタ[[#This Row],[標準国内送料率]]</f>
        <v/>
      </c>
      <c r="R998" s="289" t="n"/>
      <c r="S998" s="289">
        <f>IF(ISBLANK(商品マスタ[[#This Row],[実績
国内送料]]),商品マスタ[[#This Row],[標準国内送料]],)</f>
        <v/>
      </c>
      <c r="T998" s="289">
        <f>商品マスタ[[#This Row],[仕入
単価]]+商品マスタ[[#This Row],[国内送料]]</f>
        <v/>
      </c>
      <c r="U998" s="289">
        <f>ROUNDUP(商品マスタ[[#This Row],[仕入単価+国内送料]]/0.8,-1)</f>
        <v/>
      </c>
      <c r="V998" s="289">
        <f>商品マスタ[[#This Row],[海外定価
（20％）]]-商品マスタ[[#This Row],[仕入単価+国内送料]]</f>
        <v/>
      </c>
      <c r="W998" s="167">
        <f>ROUNDUP(商品マスタ[[#This Row],[仕入単価+国内送料]]/0.85,-1)</f>
        <v/>
      </c>
      <c r="X998" s="289">
        <f>商品マスタ[[#This Row],[国内定価
（15％）]]-商品マスタ[[#This Row],[仕入単価+国内送料]]</f>
        <v/>
      </c>
      <c r="Y998" s="139" t="n"/>
      <c r="Z998" s="167" t="n"/>
      <c r="AA998" s="167" t="n"/>
      <c r="AB998" s="167" t="n"/>
      <c r="AC998" s="293" t="n"/>
      <c r="AD998" s="167" t="n"/>
      <c r="AE998" s="167" t="n"/>
      <c r="AF998" s="158" t="n"/>
      <c r="AG998" s="144" t="n"/>
    </row>
    <row r="999" ht="15.75" customHeight="1" s="207">
      <c r="A999" s="166" t="n"/>
      <c r="B999" s="167" t="n"/>
      <c r="C999" s="167" t="n"/>
      <c r="D999" s="143">
        <f>"PRD_SNJ_"&amp;
_xlfn.XLOOKUP(商品マスタ[[#This Row],[仕入先]],テーブル1[仕入先名],テーブル1[仕入先コード],"XXX",0,1)&amp;
"_"&amp;
商品マスタ[[#This Row],[シリアル]]&amp;
"_"&amp;
TEXT(COUNTIFS(商品マスタ!$C$3:C999,商品マスタ[[#This Row],[仕入先]],商品マスタ!$E$3:E999,商品マスタ[[#This Row],[商品名]]), "00")</f>
        <v/>
      </c>
      <c r="E999" s="167" t="n"/>
      <c r="F999" s="167">
        <f>IF(COUNTIFS($C$3:C999,商品マスタ[[#This Row],[仕入先]],$E$3:E999,商品マスタ[[#This Row],[商品名]]) = 1, 1,0)</f>
        <v/>
      </c>
      <c r="G999" s="133">
        <f>TEXT(SUMIF($C$3:C999,商品マスタ[[#This Row],[仕入先]],$F$3:F999), "0000")</f>
        <v/>
      </c>
      <c r="H999" s="167" t="n"/>
      <c r="I999" s="167" t="n"/>
      <c r="J999" s="167" t="n"/>
      <c r="K999" s="167" t="n"/>
      <c r="L999" s="289" t="n"/>
      <c r="M999" s="157" t="n"/>
      <c r="N999" s="289" t="n"/>
      <c r="O999" s="290">
        <f>IF(COUNT(商品マスタ[[#This Row],[参考上代
（税込)]]) &gt; 0, (商品マスタ[[#This Row],[参考上代
（税込)]]-商品マスタ[[#This Row],[国内定価
（15％）]])/(商品マスタ[[#This Row],[参考上代
（税込)]]/1.08), "")</f>
        <v/>
      </c>
      <c r="P999" s="136" t="n">
        <v>0.1</v>
      </c>
      <c r="Q999" s="289">
        <f>商品マスタ[[#This Row],[仕入
単価]]*商品マスタ[[#This Row],[標準国内送料率]]</f>
        <v/>
      </c>
      <c r="R999" s="289" t="n"/>
      <c r="S999" s="289">
        <f>IF(ISBLANK(商品マスタ[[#This Row],[実績
国内送料]]),商品マスタ[[#This Row],[標準国内送料]],)</f>
        <v/>
      </c>
      <c r="T999" s="289">
        <f>商品マスタ[[#This Row],[仕入
単価]]+商品マスタ[[#This Row],[国内送料]]</f>
        <v/>
      </c>
      <c r="U999" s="289">
        <f>ROUNDUP(商品マスタ[[#This Row],[仕入単価+国内送料]]/0.8,-1)</f>
        <v/>
      </c>
      <c r="V999" s="289">
        <f>商品マスタ[[#This Row],[海外定価
（20％）]]-商品マスタ[[#This Row],[仕入単価+国内送料]]</f>
        <v/>
      </c>
      <c r="W999" s="167">
        <f>ROUNDUP(商品マスタ[[#This Row],[仕入単価+国内送料]]/0.85,-1)</f>
        <v/>
      </c>
      <c r="X999" s="289">
        <f>商品マスタ[[#This Row],[国内定価
（15％）]]-商品マスタ[[#This Row],[仕入単価+国内送料]]</f>
        <v/>
      </c>
      <c r="Y999" s="139" t="n"/>
      <c r="Z999" s="167" t="n"/>
      <c r="AA999" s="167" t="n"/>
      <c r="AB999" s="167" t="n"/>
      <c r="AC999" s="293" t="n"/>
      <c r="AD999" s="167" t="n"/>
      <c r="AE999" s="167" t="n"/>
      <c r="AF999" s="158" t="n"/>
      <c r="AG999" s="144" t="n"/>
    </row>
    <row r="1000" ht="15.75" customHeight="1" s="207">
      <c r="A1000" s="166" t="n"/>
      <c r="B1000" s="167" t="n"/>
      <c r="C1000" s="167" t="n"/>
      <c r="D1000" s="143">
        <f>"PRD_SNJ_"&amp;
_xlfn.XLOOKUP(商品マスタ[[#This Row],[仕入先]],テーブル1[仕入先名],テーブル1[仕入先コード],"XXX",0,1)&amp;
"_"&amp;
商品マスタ[[#This Row],[シリアル]]&amp;
"_"&amp;
TEXT(COUNTIFS(商品マスタ!$C$3:C1000,商品マスタ[[#This Row],[仕入先]],商品マスタ!$E$3:E1000,商品マスタ[[#This Row],[商品名]]), "00")</f>
        <v/>
      </c>
      <c r="E1000" s="167" t="n"/>
      <c r="F1000" s="167">
        <f>IF(COUNTIFS($C$3:C1000,商品マスタ[[#This Row],[仕入先]],$E$3:E1000,商品マスタ[[#This Row],[商品名]]) = 1, 1,0)</f>
        <v/>
      </c>
      <c r="G1000" s="133">
        <f>TEXT(SUMIF($C$3:C1000,商品マスタ[[#This Row],[仕入先]],$F$3:F1000), "0000")</f>
        <v/>
      </c>
      <c r="H1000" s="167" t="n"/>
      <c r="I1000" s="167" t="n"/>
      <c r="J1000" s="167" t="n"/>
      <c r="K1000" s="167" t="n"/>
      <c r="L1000" s="289" t="n"/>
      <c r="M1000" s="157" t="n"/>
      <c r="N1000" s="289" t="n"/>
      <c r="O1000" s="290">
        <f>IF(COUNT(商品マスタ[[#This Row],[参考上代
（税込)]]) &gt; 0, (商品マスタ[[#This Row],[参考上代
（税込)]]-商品マスタ[[#This Row],[国内定価
（15％）]])/(商品マスタ[[#This Row],[参考上代
（税込)]]/1.08), "")</f>
        <v/>
      </c>
      <c r="P1000" s="136" t="n">
        <v>0.1</v>
      </c>
      <c r="Q1000" s="289">
        <f>商品マスタ[[#This Row],[仕入
単価]]*商品マスタ[[#This Row],[標準国内送料率]]</f>
        <v/>
      </c>
      <c r="R1000" s="289" t="n"/>
      <c r="S1000" s="289">
        <f>IF(ISBLANK(商品マスタ[[#This Row],[実績
国内送料]]),商品マスタ[[#This Row],[標準国内送料]],)</f>
        <v/>
      </c>
      <c r="T1000" s="289">
        <f>商品マスタ[[#This Row],[仕入
単価]]+商品マスタ[[#This Row],[国内送料]]</f>
        <v/>
      </c>
      <c r="U1000" s="289">
        <f>ROUNDUP(商品マスタ[[#This Row],[仕入単価+国内送料]]/0.8,-1)</f>
        <v/>
      </c>
      <c r="V1000" s="289">
        <f>商品マスタ[[#This Row],[海外定価
（20％）]]-商品マスタ[[#This Row],[仕入単価+国内送料]]</f>
        <v/>
      </c>
      <c r="W1000" s="167">
        <f>ROUNDUP(商品マスタ[[#This Row],[仕入単価+国内送料]]/0.85,-1)</f>
        <v/>
      </c>
      <c r="X1000" s="289">
        <f>商品マスタ[[#This Row],[国内定価
（15％）]]-商品マスタ[[#This Row],[仕入単価+国内送料]]</f>
        <v/>
      </c>
      <c r="Y1000" s="139" t="n"/>
      <c r="Z1000" s="167" t="n"/>
      <c r="AA1000" s="167" t="n"/>
      <c r="AB1000" s="167" t="n"/>
      <c r="AC1000" s="293" t="n"/>
      <c r="AD1000" s="167" t="n"/>
      <c r="AE1000" s="167" t="n"/>
      <c r="AF1000" s="158" t="n"/>
      <c r="AG1000" s="144" t="n"/>
    </row>
    <row r="1001" ht="15.75" customHeight="1" s="207">
      <c r="A1001" s="166" t="n"/>
      <c r="B1001" s="167" t="n"/>
      <c r="C1001" s="167" t="n"/>
      <c r="D1001" s="143">
        <f>"PRD_SNJ_"&amp;
_xlfn.XLOOKUP(商品マスタ[[#This Row],[仕入先]],テーブル1[仕入先名],テーブル1[仕入先コード],"XXX",0,1)&amp;
"_"&amp;
商品マスタ[[#This Row],[シリアル]]&amp;
"_"&amp;
TEXT(COUNTIFS(商品マスタ!$C$3:C1001,商品マスタ[[#This Row],[仕入先]],商品マスタ!$E$3:E1001,商品マスタ[[#This Row],[商品名]]), "00")</f>
        <v/>
      </c>
      <c r="E1001" s="167" t="n"/>
      <c r="F1001" s="167">
        <f>IF(COUNTIFS($C$3:C1001,商品マスタ[[#This Row],[仕入先]],$E$3:E1001,商品マスタ[[#This Row],[商品名]]) = 1, 1,0)</f>
        <v/>
      </c>
      <c r="G1001" s="133">
        <f>TEXT(SUMIF($C$3:C1001,商品マスタ[[#This Row],[仕入先]],$F$3:F1001), "0000")</f>
        <v/>
      </c>
      <c r="H1001" s="167" t="n"/>
      <c r="I1001" s="167" t="n"/>
      <c r="J1001" s="167" t="n"/>
      <c r="K1001" s="167" t="n"/>
      <c r="L1001" s="289" t="n"/>
      <c r="M1001" s="157" t="n"/>
      <c r="N1001" s="289" t="n"/>
      <c r="O1001" s="290">
        <f>IF(COUNT(商品マスタ[[#This Row],[参考上代
（税込)]]) &gt; 0, (商品マスタ[[#This Row],[参考上代
（税込)]]-商品マスタ[[#This Row],[国内定価
（15％）]])/(商品マスタ[[#This Row],[参考上代
（税込)]]/1.08), "")</f>
        <v/>
      </c>
      <c r="P1001" s="136" t="n">
        <v>0.1</v>
      </c>
      <c r="Q1001" s="289">
        <f>商品マスタ[[#This Row],[仕入
単価]]*商品マスタ[[#This Row],[標準国内送料率]]</f>
        <v/>
      </c>
      <c r="R1001" s="289" t="n"/>
      <c r="S1001" s="289">
        <f>IF(ISBLANK(商品マスタ[[#This Row],[実績
国内送料]]),商品マスタ[[#This Row],[標準国内送料]],)</f>
        <v/>
      </c>
      <c r="T1001" s="289">
        <f>商品マスタ[[#This Row],[仕入
単価]]+商品マスタ[[#This Row],[国内送料]]</f>
        <v/>
      </c>
      <c r="U1001" s="289">
        <f>ROUNDUP(商品マスタ[[#This Row],[仕入単価+国内送料]]/0.8,-1)</f>
        <v/>
      </c>
      <c r="V1001" s="289">
        <f>商品マスタ[[#This Row],[海外定価
（20％）]]-商品マスタ[[#This Row],[仕入単価+国内送料]]</f>
        <v/>
      </c>
      <c r="W1001" s="167">
        <f>ROUNDUP(商品マスタ[[#This Row],[仕入単価+国内送料]]/0.85,-1)</f>
        <v/>
      </c>
      <c r="X1001" s="289">
        <f>商品マスタ[[#This Row],[国内定価
（15％）]]-商品マスタ[[#This Row],[仕入単価+国内送料]]</f>
        <v/>
      </c>
      <c r="Y1001" s="139" t="n"/>
      <c r="Z1001" s="167" t="n"/>
      <c r="AA1001" s="167" t="n"/>
      <c r="AB1001" s="167" t="n"/>
      <c r="AC1001" s="293" t="n"/>
      <c r="AD1001" s="167" t="n"/>
      <c r="AE1001" s="167" t="n"/>
      <c r="AF1001" s="158" t="n"/>
      <c r="AG1001" s="144" t="n"/>
    </row>
    <row r="1002" ht="15.75" customHeight="1" s="207">
      <c r="A1002" s="166" t="n"/>
      <c r="B1002" s="167" t="n"/>
      <c r="C1002" s="167" t="n"/>
      <c r="D1002" s="143">
        <f>"PRD_SNJ_"&amp;
_xlfn.XLOOKUP(商品マスタ[[#This Row],[仕入先]],テーブル1[仕入先名],テーブル1[仕入先コード],"XXX",0,1)&amp;
"_"&amp;
商品マスタ[[#This Row],[シリアル]]&amp;
"_"&amp;
TEXT(COUNTIFS(商品マスタ!$C$3:C1002,商品マスタ[[#This Row],[仕入先]],商品マスタ!$E$3:E1002,商品マスタ[[#This Row],[商品名]]), "00")</f>
        <v/>
      </c>
      <c r="E1002" s="167" t="n"/>
      <c r="F1002" s="167">
        <f>IF(COUNTIFS($C$3:C1002,商品マスタ[[#This Row],[仕入先]],$E$3:E1002,商品マスタ[[#This Row],[商品名]]) = 1, 1,0)</f>
        <v/>
      </c>
      <c r="G1002" s="133">
        <f>TEXT(SUMIF($C$3:C1002,商品マスタ[[#This Row],[仕入先]],$F$3:F1002), "0000")</f>
        <v/>
      </c>
      <c r="H1002" s="167" t="n"/>
      <c r="I1002" s="167" t="n"/>
      <c r="J1002" s="167" t="n"/>
      <c r="K1002" s="167" t="n"/>
      <c r="L1002" s="289" t="n"/>
      <c r="M1002" s="157" t="n"/>
      <c r="N1002" s="289" t="n"/>
      <c r="O1002" s="290">
        <f>IF(COUNT(商品マスタ[[#This Row],[参考上代
（税込)]]) &gt; 0, (商品マスタ[[#This Row],[参考上代
（税込)]]-商品マスタ[[#This Row],[国内定価
（15％）]])/(商品マスタ[[#This Row],[参考上代
（税込)]]/1.08), "")</f>
        <v/>
      </c>
      <c r="P1002" s="136" t="n">
        <v>0.1</v>
      </c>
      <c r="Q1002" s="289">
        <f>商品マスタ[[#This Row],[仕入
単価]]*商品マスタ[[#This Row],[標準国内送料率]]</f>
        <v/>
      </c>
      <c r="R1002" s="289" t="n"/>
      <c r="S1002" s="289">
        <f>IF(ISBLANK(商品マスタ[[#This Row],[実績
国内送料]]),商品マスタ[[#This Row],[標準国内送料]],)</f>
        <v/>
      </c>
      <c r="T1002" s="289">
        <f>商品マスタ[[#This Row],[仕入
単価]]+商品マスタ[[#This Row],[国内送料]]</f>
        <v/>
      </c>
      <c r="U1002" s="289">
        <f>ROUNDUP(商品マスタ[[#This Row],[仕入単価+国内送料]]/0.8,-1)</f>
        <v/>
      </c>
      <c r="V1002" s="289">
        <f>商品マスタ[[#This Row],[海外定価
（20％）]]-商品マスタ[[#This Row],[仕入単価+国内送料]]</f>
        <v/>
      </c>
      <c r="W1002" s="167">
        <f>ROUNDUP(商品マスタ[[#This Row],[仕入単価+国内送料]]/0.85,-1)</f>
        <v/>
      </c>
      <c r="X1002" s="289">
        <f>商品マスタ[[#This Row],[国内定価
（15％）]]-商品マスタ[[#This Row],[仕入単価+国内送料]]</f>
        <v/>
      </c>
      <c r="Y1002" s="139" t="n"/>
      <c r="Z1002" s="167" t="n"/>
      <c r="AA1002" s="167" t="n"/>
      <c r="AB1002" s="167" t="n"/>
      <c r="AC1002" s="293" t="n"/>
      <c r="AD1002" s="167" t="n"/>
      <c r="AE1002" s="167" t="n"/>
      <c r="AF1002" s="158" t="n"/>
      <c r="AG1002" s="144" t="n"/>
    </row>
    <row r="1003" ht="15.75" customHeight="1" s="207">
      <c r="A1003" s="166" t="n"/>
      <c r="B1003" s="167" t="n"/>
      <c r="C1003" s="167" t="n"/>
      <c r="D1003" s="143">
        <f>"PRD_SNJ_"&amp;
_xlfn.XLOOKUP(商品マスタ[[#This Row],[仕入先]],テーブル1[仕入先名],テーブル1[仕入先コード],"XXX",0,1)&amp;
"_"&amp;
商品マスタ[[#This Row],[シリアル]]&amp;
"_"&amp;
TEXT(COUNTIFS(商品マスタ!$C$3:C1003,商品マスタ[[#This Row],[仕入先]],商品マスタ!$E$3:E1003,商品マスタ[[#This Row],[商品名]]), "00")</f>
        <v/>
      </c>
      <c r="E1003" s="167" t="n"/>
      <c r="F1003" s="167">
        <f>IF(COUNTIFS($C$3:C1003,商品マスタ[[#This Row],[仕入先]],$E$3:E1003,商品マスタ[[#This Row],[商品名]]) = 1, 1,0)</f>
        <v/>
      </c>
      <c r="G1003" s="133">
        <f>TEXT(SUMIF($C$3:C1003,商品マスタ[[#This Row],[仕入先]],$F$3:F1003), "0000")</f>
        <v/>
      </c>
      <c r="H1003" s="167" t="n"/>
      <c r="I1003" s="167" t="n"/>
      <c r="J1003" s="167" t="n"/>
      <c r="K1003" s="167" t="n"/>
      <c r="L1003" s="289" t="n"/>
      <c r="M1003" s="157" t="n"/>
      <c r="N1003" s="289" t="n"/>
      <c r="O1003" s="290">
        <f>IF(COUNT(商品マスタ[[#This Row],[参考上代
（税込)]]) &gt; 0, (商品マスタ[[#This Row],[参考上代
（税込)]]-商品マスタ[[#This Row],[国内定価
（15％）]])/(商品マスタ[[#This Row],[参考上代
（税込)]]/1.08), "")</f>
        <v/>
      </c>
      <c r="P1003" s="136" t="n">
        <v>0.1</v>
      </c>
      <c r="Q1003" s="289">
        <f>商品マスタ[[#This Row],[仕入
単価]]*商品マスタ[[#This Row],[標準国内送料率]]</f>
        <v/>
      </c>
      <c r="R1003" s="289" t="n"/>
      <c r="S1003" s="289">
        <f>IF(ISBLANK(商品マスタ[[#This Row],[実績
国内送料]]),商品マスタ[[#This Row],[標準国内送料]],)</f>
        <v/>
      </c>
      <c r="T1003" s="289">
        <f>商品マスタ[[#This Row],[仕入
単価]]+商品マスタ[[#This Row],[国内送料]]</f>
        <v/>
      </c>
      <c r="U1003" s="289">
        <f>ROUNDUP(商品マスタ[[#This Row],[仕入単価+国内送料]]/0.8,-1)</f>
        <v/>
      </c>
      <c r="V1003" s="289">
        <f>商品マスタ[[#This Row],[海外定価
（20％）]]-商品マスタ[[#This Row],[仕入単価+国内送料]]</f>
        <v/>
      </c>
      <c r="W1003" s="167">
        <f>ROUNDUP(商品マスタ[[#This Row],[仕入単価+国内送料]]/0.85,-1)</f>
        <v/>
      </c>
      <c r="X1003" s="289">
        <f>商品マスタ[[#This Row],[国内定価
（15％）]]-商品マスタ[[#This Row],[仕入単価+国内送料]]</f>
        <v/>
      </c>
      <c r="Y1003" s="139" t="n"/>
      <c r="Z1003" s="167" t="n"/>
      <c r="AA1003" s="167" t="n"/>
      <c r="AB1003" s="167" t="n"/>
      <c r="AC1003" s="293" t="n"/>
      <c r="AD1003" s="167" t="n"/>
      <c r="AE1003" s="167" t="n"/>
      <c r="AF1003" s="158" t="n"/>
      <c r="AG1003" s="144" t="n"/>
    </row>
    <row r="1004" ht="15.75" customHeight="1" s="207">
      <c r="A1004" s="166" t="n"/>
      <c r="B1004" s="167" t="n"/>
      <c r="C1004" s="167" t="n"/>
      <c r="D1004" s="143">
        <f>"PRD_SNJ_"&amp;
_xlfn.XLOOKUP(商品マスタ[[#This Row],[仕入先]],テーブル1[仕入先名],テーブル1[仕入先コード],"XXX",0,1)&amp;
"_"&amp;
商品マスタ[[#This Row],[シリアル]]&amp;
"_"&amp;
TEXT(COUNTIFS(商品マスタ!$C$3:C1004,商品マスタ[[#This Row],[仕入先]],商品マスタ!$E$3:E1004,商品マスタ[[#This Row],[商品名]]), "00")</f>
        <v/>
      </c>
      <c r="E1004" s="167" t="n"/>
      <c r="F1004" s="167">
        <f>IF(COUNTIFS($C$3:C1004,商品マスタ[[#This Row],[仕入先]],$E$3:E1004,商品マスタ[[#This Row],[商品名]]) = 1, 1,0)</f>
        <v/>
      </c>
      <c r="G1004" s="133">
        <f>TEXT(SUMIF($C$3:C1004,商品マスタ[[#This Row],[仕入先]],$F$3:F1004), "0000")</f>
        <v/>
      </c>
      <c r="H1004" s="167" t="n"/>
      <c r="I1004" s="167" t="n"/>
      <c r="J1004" s="167" t="n"/>
      <c r="K1004" s="167" t="n"/>
      <c r="L1004" s="289" t="n"/>
      <c r="M1004" s="157" t="n"/>
      <c r="N1004" s="289" t="n"/>
      <c r="O1004" s="290">
        <f>IF(COUNT(商品マスタ[[#This Row],[参考上代
（税込)]]) &gt; 0, (商品マスタ[[#This Row],[参考上代
（税込)]]-商品マスタ[[#This Row],[国内定価
（15％）]])/(商品マスタ[[#This Row],[参考上代
（税込)]]/1.08), "")</f>
        <v/>
      </c>
      <c r="P1004" s="136" t="n">
        <v>0.1</v>
      </c>
      <c r="Q1004" s="289">
        <f>商品マスタ[[#This Row],[仕入
単価]]*商品マスタ[[#This Row],[標準国内送料率]]</f>
        <v/>
      </c>
      <c r="R1004" s="289" t="n"/>
      <c r="S1004" s="289">
        <f>IF(ISBLANK(商品マスタ[[#This Row],[実績
国内送料]]),商品マスタ[[#This Row],[標準国内送料]],)</f>
        <v/>
      </c>
      <c r="T1004" s="289">
        <f>商品マスタ[[#This Row],[仕入
単価]]+商品マスタ[[#This Row],[国内送料]]</f>
        <v/>
      </c>
      <c r="U1004" s="289">
        <f>ROUNDUP(商品マスタ[[#This Row],[仕入単価+国内送料]]/0.8,-1)</f>
        <v/>
      </c>
      <c r="V1004" s="289">
        <f>商品マスタ[[#This Row],[海外定価
（20％）]]-商品マスタ[[#This Row],[仕入単価+国内送料]]</f>
        <v/>
      </c>
      <c r="W1004" s="167">
        <f>ROUNDUP(商品マスタ[[#This Row],[仕入単価+国内送料]]/0.85,-1)</f>
        <v/>
      </c>
      <c r="X1004" s="289">
        <f>商品マスタ[[#This Row],[国内定価
（15％）]]-商品マスタ[[#This Row],[仕入単価+国内送料]]</f>
        <v/>
      </c>
      <c r="Y1004" s="139" t="n"/>
      <c r="Z1004" s="167" t="n"/>
      <c r="AA1004" s="167" t="n"/>
      <c r="AB1004" s="167" t="n"/>
      <c r="AC1004" s="293" t="n"/>
      <c r="AD1004" s="167" t="n"/>
      <c r="AE1004" s="167" t="n"/>
      <c r="AF1004" s="158" t="n"/>
      <c r="AG1004" s="144" t="n"/>
    </row>
    <row r="1005" ht="15.75" customHeight="1" s="207">
      <c r="A1005" s="166" t="n"/>
      <c r="B1005" s="167" t="n"/>
      <c r="C1005" s="167" t="n"/>
      <c r="D1005" s="143">
        <f>"PRD_SNJ_"&amp;
_xlfn.XLOOKUP(商品マスタ[[#This Row],[仕入先]],テーブル1[仕入先名],テーブル1[仕入先コード],"XXX",0,1)&amp;
"_"&amp;
商品マスタ[[#This Row],[シリアル]]&amp;
"_"&amp;
TEXT(COUNTIFS(商品マスタ!$C$3:C1005,商品マスタ[[#This Row],[仕入先]],商品マスタ!$E$3:E1005,商品マスタ[[#This Row],[商品名]]), "00")</f>
        <v/>
      </c>
      <c r="E1005" s="167" t="n"/>
      <c r="F1005" s="167">
        <f>IF(COUNTIFS($C$3:C1005,商品マスタ[[#This Row],[仕入先]],$E$3:E1005,商品マスタ[[#This Row],[商品名]]) = 1, 1,0)</f>
        <v/>
      </c>
      <c r="G1005" s="133">
        <f>TEXT(SUMIF($C$3:C1005,商品マスタ[[#This Row],[仕入先]],$F$3:F1005), "0000")</f>
        <v/>
      </c>
      <c r="H1005" s="167" t="n"/>
      <c r="I1005" s="167" t="n"/>
      <c r="J1005" s="167" t="n"/>
      <c r="K1005" s="167" t="n"/>
      <c r="L1005" s="289" t="n"/>
      <c r="M1005" s="157" t="n"/>
      <c r="N1005" s="289" t="n"/>
      <c r="O1005" s="290">
        <f>IF(COUNT(商品マスタ[[#This Row],[参考上代
（税込)]]) &gt; 0, (商品マスタ[[#This Row],[参考上代
（税込)]]-商品マスタ[[#This Row],[国内定価
（15％）]])/(商品マスタ[[#This Row],[参考上代
（税込)]]/1.08), "")</f>
        <v/>
      </c>
      <c r="P1005" s="136" t="n">
        <v>0.1</v>
      </c>
      <c r="Q1005" s="289">
        <f>商品マスタ[[#This Row],[仕入
単価]]*商品マスタ[[#This Row],[標準国内送料率]]</f>
        <v/>
      </c>
      <c r="R1005" s="289" t="n"/>
      <c r="S1005" s="289">
        <f>IF(ISBLANK(商品マスタ[[#This Row],[実績
国内送料]]),商品マスタ[[#This Row],[標準国内送料]],)</f>
        <v/>
      </c>
      <c r="T1005" s="289">
        <f>商品マスタ[[#This Row],[仕入
単価]]+商品マスタ[[#This Row],[国内送料]]</f>
        <v/>
      </c>
      <c r="U1005" s="289">
        <f>ROUNDUP(商品マスタ[[#This Row],[仕入単価+国内送料]]/0.8,-1)</f>
        <v/>
      </c>
      <c r="V1005" s="289">
        <f>商品マスタ[[#This Row],[海外定価
（20％）]]-商品マスタ[[#This Row],[仕入単価+国内送料]]</f>
        <v/>
      </c>
      <c r="W1005" s="167">
        <f>ROUNDUP(商品マスタ[[#This Row],[仕入単価+国内送料]]/0.85,-1)</f>
        <v/>
      </c>
      <c r="X1005" s="289">
        <f>商品マスタ[[#This Row],[国内定価
（15％）]]-商品マスタ[[#This Row],[仕入単価+国内送料]]</f>
        <v/>
      </c>
      <c r="Y1005" s="139" t="n"/>
      <c r="Z1005" s="167" t="n"/>
      <c r="AA1005" s="167" t="n"/>
      <c r="AB1005" s="167" t="n"/>
      <c r="AC1005" s="293" t="n"/>
      <c r="AD1005" s="167" t="n"/>
      <c r="AE1005" s="167" t="n"/>
      <c r="AF1005" s="158" t="n"/>
      <c r="AG1005" s="144" t="n"/>
    </row>
    <row r="1006" ht="15.75" customHeight="1" s="207">
      <c r="A1006" s="166" t="n"/>
      <c r="B1006" s="167" t="n"/>
      <c r="C1006" s="167" t="n"/>
      <c r="D1006" s="143">
        <f>"PRD_SNJ_"&amp;
_xlfn.XLOOKUP(商品マスタ[[#This Row],[仕入先]],テーブル1[仕入先名],テーブル1[仕入先コード],"XXX",0,1)&amp;
"_"&amp;
商品マスタ[[#This Row],[シリアル]]&amp;
"_"&amp;
TEXT(COUNTIFS(商品マスタ!$C$3:C1006,商品マスタ[[#This Row],[仕入先]],商品マスタ!$E$3:E1006,商品マスタ[[#This Row],[商品名]]), "00")</f>
        <v/>
      </c>
      <c r="E1006" s="167" t="n"/>
      <c r="F1006" s="167">
        <f>IF(COUNTIFS($C$3:C1006,商品マスタ[[#This Row],[仕入先]],$E$3:E1006,商品マスタ[[#This Row],[商品名]]) = 1, 1,0)</f>
        <v/>
      </c>
      <c r="G1006" s="133">
        <f>TEXT(SUMIF($C$3:C1006,商品マスタ[[#This Row],[仕入先]],$F$3:F1006), "0000")</f>
        <v/>
      </c>
      <c r="H1006" s="167" t="n"/>
      <c r="I1006" s="167" t="n"/>
      <c r="J1006" s="167" t="n"/>
      <c r="K1006" s="167" t="n"/>
      <c r="L1006" s="289" t="n"/>
      <c r="M1006" s="157" t="n"/>
      <c r="N1006" s="289" t="n"/>
      <c r="O1006" s="290">
        <f>IF(COUNT(商品マスタ[[#This Row],[参考上代
（税込)]]) &gt; 0, (商品マスタ[[#This Row],[参考上代
（税込)]]-商品マスタ[[#This Row],[国内定価
（15％）]])/(商品マスタ[[#This Row],[参考上代
（税込)]]/1.08), "")</f>
        <v/>
      </c>
      <c r="P1006" s="136" t="n">
        <v>0.1</v>
      </c>
      <c r="Q1006" s="289">
        <f>商品マスタ[[#This Row],[仕入
単価]]*商品マスタ[[#This Row],[標準国内送料率]]</f>
        <v/>
      </c>
      <c r="R1006" s="289" t="n"/>
      <c r="S1006" s="289">
        <f>IF(ISBLANK(商品マスタ[[#This Row],[実績
国内送料]]),商品マスタ[[#This Row],[標準国内送料]],)</f>
        <v/>
      </c>
      <c r="T1006" s="289">
        <f>商品マスタ[[#This Row],[仕入
単価]]+商品マスタ[[#This Row],[国内送料]]</f>
        <v/>
      </c>
      <c r="U1006" s="289">
        <f>ROUNDUP(商品マスタ[[#This Row],[仕入単価+国内送料]]/0.8,-1)</f>
        <v/>
      </c>
      <c r="V1006" s="289">
        <f>商品マスタ[[#This Row],[海外定価
（20％）]]-商品マスタ[[#This Row],[仕入単価+国内送料]]</f>
        <v/>
      </c>
      <c r="W1006" s="167">
        <f>ROUNDUP(商品マスタ[[#This Row],[仕入単価+国内送料]]/0.85,-1)</f>
        <v/>
      </c>
      <c r="X1006" s="289">
        <f>商品マスタ[[#This Row],[国内定価
（15％）]]-商品マスタ[[#This Row],[仕入単価+国内送料]]</f>
        <v/>
      </c>
      <c r="Y1006" s="139" t="n"/>
      <c r="Z1006" s="167" t="n"/>
      <c r="AA1006" s="167" t="n"/>
      <c r="AB1006" s="167" t="n"/>
      <c r="AC1006" s="293" t="n"/>
      <c r="AD1006" s="167" t="n"/>
      <c r="AE1006" s="167" t="n"/>
      <c r="AF1006" s="158" t="n"/>
      <c r="AG1006" s="144" t="n"/>
    </row>
    <row r="1007" ht="15.75" customHeight="1" s="207">
      <c r="A1007" s="166" t="n"/>
      <c r="B1007" s="167" t="n"/>
      <c r="C1007" s="167" t="n"/>
      <c r="D1007" s="143">
        <f>"PRD_SNJ_"&amp;
_xlfn.XLOOKUP(商品マスタ[[#This Row],[仕入先]],テーブル1[仕入先名],テーブル1[仕入先コード],"XXX",0,1)&amp;
"_"&amp;
商品マスタ[[#This Row],[シリアル]]&amp;
"_"&amp;
TEXT(COUNTIFS(商品マスタ!$C$3:C1007,商品マスタ[[#This Row],[仕入先]],商品マスタ!$E$3:E1007,商品マスタ[[#This Row],[商品名]]), "00")</f>
        <v/>
      </c>
      <c r="E1007" s="167" t="n"/>
      <c r="F1007" s="167">
        <f>IF(COUNTIFS($C$3:C1007,商品マスタ[[#This Row],[仕入先]],$E$3:E1007,商品マスタ[[#This Row],[商品名]]) = 1, 1,0)</f>
        <v/>
      </c>
      <c r="G1007" s="133">
        <f>TEXT(SUMIF($C$3:C1007,商品マスタ[[#This Row],[仕入先]],$F$3:F1007), "0000")</f>
        <v/>
      </c>
      <c r="H1007" s="167" t="n"/>
      <c r="I1007" s="167" t="n"/>
      <c r="J1007" s="167" t="n"/>
      <c r="K1007" s="167" t="n"/>
      <c r="L1007" s="289" t="n"/>
      <c r="M1007" s="157" t="n"/>
      <c r="N1007" s="289" t="n"/>
      <c r="O1007" s="290">
        <f>IF(COUNT(商品マスタ[[#This Row],[参考上代
（税込)]]) &gt; 0, (商品マスタ[[#This Row],[参考上代
（税込)]]-商品マスタ[[#This Row],[国内定価
（15％）]])/(商品マスタ[[#This Row],[参考上代
（税込)]]/1.08), "")</f>
        <v/>
      </c>
      <c r="P1007" s="136" t="n">
        <v>0.1</v>
      </c>
      <c r="Q1007" s="289">
        <f>商品マスタ[[#This Row],[仕入
単価]]*商品マスタ[[#This Row],[標準国内送料率]]</f>
        <v/>
      </c>
      <c r="R1007" s="289" t="n"/>
      <c r="S1007" s="289">
        <f>IF(ISBLANK(商品マスタ[[#This Row],[実績
国内送料]]),商品マスタ[[#This Row],[標準国内送料]],)</f>
        <v/>
      </c>
      <c r="T1007" s="289">
        <f>商品マスタ[[#This Row],[仕入
単価]]+商品マスタ[[#This Row],[国内送料]]</f>
        <v/>
      </c>
      <c r="U1007" s="289">
        <f>ROUNDUP(商品マスタ[[#This Row],[仕入単価+国内送料]]/0.8,-1)</f>
        <v/>
      </c>
      <c r="V1007" s="289">
        <f>商品マスタ[[#This Row],[海外定価
（20％）]]-商品マスタ[[#This Row],[仕入単価+国内送料]]</f>
        <v/>
      </c>
      <c r="W1007" s="167">
        <f>ROUNDUP(商品マスタ[[#This Row],[仕入単価+国内送料]]/0.85,-1)</f>
        <v/>
      </c>
      <c r="X1007" s="289">
        <f>商品マスタ[[#This Row],[国内定価
（15％）]]-商品マスタ[[#This Row],[仕入単価+国内送料]]</f>
        <v/>
      </c>
      <c r="Y1007" s="139" t="n"/>
      <c r="Z1007" s="167" t="n"/>
      <c r="AA1007" s="167" t="n"/>
      <c r="AB1007" s="167" t="n"/>
      <c r="AC1007" s="293" t="n"/>
      <c r="AD1007" s="167" t="n"/>
      <c r="AE1007" s="167" t="n"/>
      <c r="AF1007" s="158" t="n"/>
      <c r="AG1007" s="144" t="n"/>
    </row>
    <row r="1008" ht="15.75" customHeight="1" s="207">
      <c r="A1008" s="166" t="n"/>
      <c r="B1008" s="167" t="n"/>
      <c r="C1008" s="167" t="n"/>
      <c r="D1008" s="143">
        <f>"PRD_SNJ_"&amp;
_xlfn.XLOOKUP(商品マスタ[[#This Row],[仕入先]],テーブル1[仕入先名],テーブル1[仕入先コード],"XXX",0,1)&amp;
"_"&amp;
商品マスタ[[#This Row],[シリアル]]&amp;
"_"&amp;
TEXT(COUNTIFS(商品マスタ!$C$3:C1008,商品マスタ[[#This Row],[仕入先]],商品マスタ!$E$3:E1008,商品マスタ[[#This Row],[商品名]]), "00")</f>
        <v/>
      </c>
      <c r="E1008" s="167" t="n"/>
      <c r="F1008" s="167">
        <f>IF(COUNTIFS($C$3:C1008,商品マスタ[[#This Row],[仕入先]],$E$3:E1008,商品マスタ[[#This Row],[商品名]]) = 1, 1,0)</f>
        <v/>
      </c>
      <c r="G1008" s="133">
        <f>TEXT(SUMIF($C$3:C1008,商品マスタ[[#This Row],[仕入先]],$F$3:F1008), "0000")</f>
        <v/>
      </c>
      <c r="H1008" s="167" t="n"/>
      <c r="I1008" s="167" t="n"/>
      <c r="J1008" s="167" t="n"/>
      <c r="K1008" s="167" t="n"/>
      <c r="L1008" s="289" t="n"/>
      <c r="M1008" s="157" t="n"/>
      <c r="N1008" s="289" t="n"/>
      <c r="O1008" s="290">
        <f>IF(COUNT(商品マスタ[[#This Row],[参考上代
（税込)]]) &gt; 0, (商品マスタ[[#This Row],[参考上代
（税込)]]-商品マスタ[[#This Row],[国内定価
（15％）]])/(商品マスタ[[#This Row],[参考上代
（税込)]]/1.08), "")</f>
        <v/>
      </c>
      <c r="P1008" s="136" t="n">
        <v>0.1</v>
      </c>
      <c r="Q1008" s="289">
        <f>商品マスタ[[#This Row],[仕入
単価]]*商品マスタ[[#This Row],[標準国内送料率]]</f>
        <v/>
      </c>
      <c r="R1008" s="289" t="n"/>
      <c r="S1008" s="289">
        <f>IF(ISBLANK(商品マスタ[[#This Row],[実績
国内送料]]),商品マスタ[[#This Row],[標準国内送料]],)</f>
        <v/>
      </c>
      <c r="T1008" s="289">
        <f>商品マスタ[[#This Row],[仕入
単価]]+商品マスタ[[#This Row],[国内送料]]</f>
        <v/>
      </c>
      <c r="U1008" s="289">
        <f>ROUNDUP(商品マスタ[[#This Row],[仕入単価+国内送料]]/0.8,-1)</f>
        <v/>
      </c>
      <c r="V1008" s="289">
        <f>商品マスタ[[#This Row],[海外定価
（20％）]]-商品マスタ[[#This Row],[仕入単価+国内送料]]</f>
        <v/>
      </c>
      <c r="W1008" s="167">
        <f>ROUNDUP(商品マスタ[[#This Row],[仕入単価+国内送料]]/0.85,-1)</f>
        <v/>
      </c>
      <c r="X1008" s="289">
        <f>商品マスタ[[#This Row],[国内定価
（15％）]]-商品マスタ[[#This Row],[仕入単価+国内送料]]</f>
        <v/>
      </c>
      <c r="Y1008" s="139" t="n"/>
      <c r="Z1008" s="167" t="n"/>
      <c r="AA1008" s="167" t="n"/>
      <c r="AB1008" s="167" t="n"/>
      <c r="AC1008" s="293" t="n"/>
      <c r="AD1008" s="167" t="n"/>
      <c r="AE1008" s="167" t="n"/>
      <c r="AF1008" s="158" t="n"/>
      <c r="AG1008" s="144" t="n"/>
    </row>
    <row r="1009" ht="15.75" customHeight="1" s="207">
      <c r="A1009" s="166" t="n"/>
      <c r="B1009" s="167" t="n"/>
      <c r="C1009" s="167" t="n"/>
      <c r="D1009" s="143">
        <f>"PRD_SNJ_"&amp;
_xlfn.XLOOKUP(商品マスタ[[#This Row],[仕入先]],テーブル1[仕入先名],テーブル1[仕入先コード],"XXX",0,1)&amp;
"_"&amp;
商品マスタ[[#This Row],[シリアル]]&amp;
"_"&amp;
TEXT(COUNTIFS(商品マスタ!$C$3:C1009,商品マスタ[[#This Row],[仕入先]],商品マスタ!$E$3:E1009,商品マスタ[[#This Row],[商品名]]), "00")</f>
        <v/>
      </c>
      <c r="E1009" s="167" t="n"/>
      <c r="F1009" s="167">
        <f>IF(COUNTIFS($C$3:C1009,商品マスタ[[#This Row],[仕入先]],$E$3:E1009,商品マスタ[[#This Row],[商品名]]) = 1, 1,0)</f>
        <v/>
      </c>
      <c r="G1009" s="133">
        <f>TEXT(SUMIF($C$3:C1009,商品マスタ[[#This Row],[仕入先]],$F$3:F1009), "0000")</f>
        <v/>
      </c>
      <c r="H1009" s="167" t="n"/>
      <c r="I1009" s="167" t="n"/>
      <c r="J1009" s="167" t="n"/>
      <c r="K1009" s="167" t="n"/>
      <c r="L1009" s="289" t="n"/>
      <c r="M1009" s="157" t="n"/>
      <c r="N1009" s="289" t="n"/>
      <c r="O1009" s="290">
        <f>IF(COUNT(商品マスタ[[#This Row],[参考上代
（税込)]]) &gt; 0, (商品マスタ[[#This Row],[参考上代
（税込)]]-商品マスタ[[#This Row],[国内定価
（15％）]])/(商品マスタ[[#This Row],[参考上代
（税込)]]/1.08), "")</f>
        <v/>
      </c>
      <c r="P1009" s="136" t="n">
        <v>0.1</v>
      </c>
      <c r="Q1009" s="289">
        <f>商品マスタ[[#This Row],[仕入
単価]]*商品マスタ[[#This Row],[標準国内送料率]]</f>
        <v/>
      </c>
      <c r="R1009" s="289" t="n"/>
      <c r="S1009" s="289">
        <f>IF(ISBLANK(商品マスタ[[#This Row],[実績
国内送料]]),商品マスタ[[#This Row],[標準国内送料]],)</f>
        <v/>
      </c>
      <c r="T1009" s="289">
        <f>商品マスタ[[#This Row],[仕入
単価]]+商品マスタ[[#This Row],[国内送料]]</f>
        <v/>
      </c>
      <c r="U1009" s="289">
        <f>ROUNDUP(商品マスタ[[#This Row],[仕入単価+国内送料]]/0.8,-1)</f>
        <v/>
      </c>
      <c r="V1009" s="289">
        <f>商品マスタ[[#This Row],[海外定価
（20％）]]-商品マスタ[[#This Row],[仕入単価+国内送料]]</f>
        <v/>
      </c>
      <c r="W1009" s="167">
        <f>ROUNDUP(商品マスタ[[#This Row],[仕入単価+国内送料]]/0.85,-1)</f>
        <v/>
      </c>
      <c r="X1009" s="289">
        <f>商品マスタ[[#This Row],[国内定価
（15％）]]-商品マスタ[[#This Row],[仕入単価+国内送料]]</f>
        <v/>
      </c>
      <c r="Y1009" s="139" t="n"/>
      <c r="Z1009" s="167" t="n"/>
      <c r="AA1009" s="167" t="n"/>
      <c r="AB1009" s="167" t="n"/>
      <c r="AC1009" s="293" t="n"/>
      <c r="AD1009" s="167" t="n"/>
      <c r="AE1009" s="167" t="n"/>
      <c r="AF1009" s="158" t="n"/>
      <c r="AG1009" s="144" t="n"/>
    </row>
    <row r="1010" ht="15.75" customHeight="1" s="207">
      <c r="A1010" s="166" t="n"/>
      <c r="B1010" s="167" t="n"/>
      <c r="C1010" s="167" t="n"/>
      <c r="D1010" s="143">
        <f>"PRD_SNJ_"&amp;
_xlfn.XLOOKUP(商品マスタ[[#This Row],[仕入先]],テーブル1[仕入先名],テーブル1[仕入先コード],"XXX",0,1)&amp;
"_"&amp;
商品マスタ[[#This Row],[シリアル]]&amp;
"_"&amp;
TEXT(COUNTIFS(商品マスタ!$C$3:C1010,商品マスタ[[#This Row],[仕入先]],商品マスタ!$E$3:E1010,商品マスタ[[#This Row],[商品名]]), "00")</f>
        <v/>
      </c>
      <c r="E1010" s="167" t="n"/>
      <c r="F1010" s="167">
        <f>IF(COUNTIFS($C$3:C1010,商品マスタ[[#This Row],[仕入先]],$E$3:E1010,商品マスタ[[#This Row],[商品名]]) = 1, 1,0)</f>
        <v/>
      </c>
      <c r="G1010" s="133">
        <f>TEXT(SUMIF($C$3:C1010,商品マスタ[[#This Row],[仕入先]],$F$3:F1010), "0000")</f>
        <v/>
      </c>
      <c r="H1010" s="167" t="n"/>
      <c r="I1010" s="167" t="n"/>
      <c r="J1010" s="167" t="n"/>
      <c r="K1010" s="167" t="n"/>
      <c r="L1010" s="289" t="n"/>
      <c r="M1010" s="157" t="n"/>
      <c r="N1010" s="289" t="n"/>
      <c r="O1010" s="290">
        <f>IF(COUNT(商品マスタ[[#This Row],[参考上代
（税込)]]) &gt; 0, (商品マスタ[[#This Row],[参考上代
（税込)]]-商品マスタ[[#This Row],[国内定価
（15％）]])/(商品マスタ[[#This Row],[参考上代
（税込)]]/1.08), "")</f>
        <v/>
      </c>
      <c r="P1010" s="136" t="n">
        <v>0.1</v>
      </c>
      <c r="Q1010" s="289">
        <f>商品マスタ[[#This Row],[仕入
単価]]*商品マスタ[[#This Row],[標準国内送料率]]</f>
        <v/>
      </c>
      <c r="R1010" s="289" t="n"/>
      <c r="S1010" s="289">
        <f>IF(ISBLANK(商品マスタ[[#This Row],[実績
国内送料]]),商品マスタ[[#This Row],[標準国内送料]],)</f>
        <v/>
      </c>
      <c r="T1010" s="289">
        <f>商品マスタ[[#This Row],[仕入
単価]]+商品マスタ[[#This Row],[国内送料]]</f>
        <v/>
      </c>
      <c r="U1010" s="289">
        <f>ROUNDUP(商品マスタ[[#This Row],[仕入単価+国内送料]]/0.8,-1)</f>
        <v/>
      </c>
      <c r="V1010" s="289">
        <f>商品マスタ[[#This Row],[海外定価
（20％）]]-商品マスタ[[#This Row],[仕入単価+国内送料]]</f>
        <v/>
      </c>
      <c r="W1010" s="167">
        <f>ROUNDUP(商品マスタ[[#This Row],[仕入単価+国内送料]]/0.85,-1)</f>
        <v/>
      </c>
      <c r="X1010" s="289">
        <f>商品マスタ[[#This Row],[国内定価
（15％）]]-商品マスタ[[#This Row],[仕入単価+国内送料]]</f>
        <v/>
      </c>
      <c r="Y1010" s="139" t="n"/>
      <c r="Z1010" s="167" t="n"/>
      <c r="AA1010" s="167" t="n"/>
      <c r="AB1010" s="167" t="n"/>
      <c r="AC1010" s="293" t="n"/>
      <c r="AD1010" s="167" t="n"/>
      <c r="AE1010" s="167" t="n"/>
      <c r="AF1010" s="158" t="n"/>
      <c r="AG1010" s="144" t="n"/>
    </row>
    <row r="1011" ht="15.75" customHeight="1" s="207">
      <c r="A1011" s="166" t="n"/>
      <c r="B1011" s="167" t="n"/>
      <c r="C1011" s="167" t="n"/>
      <c r="D1011" s="143">
        <f>"PRD_SNJ_"&amp;
_xlfn.XLOOKUP(商品マスタ[[#This Row],[仕入先]],テーブル1[仕入先名],テーブル1[仕入先コード],"XXX",0,1)&amp;
"_"&amp;
商品マスタ[[#This Row],[シリアル]]&amp;
"_"&amp;
TEXT(COUNTIFS(商品マスタ!$C$3:C1011,商品マスタ[[#This Row],[仕入先]],商品マスタ!$E$3:E1011,商品マスタ[[#This Row],[商品名]]), "00")</f>
        <v/>
      </c>
      <c r="E1011" s="167" t="n"/>
      <c r="F1011" s="167">
        <f>IF(COUNTIFS($C$3:C1011,商品マスタ[[#This Row],[仕入先]],$E$3:E1011,商品マスタ[[#This Row],[商品名]]) = 1, 1,0)</f>
        <v/>
      </c>
      <c r="G1011" s="133">
        <f>TEXT(SUMIF($C$3:C1011,商品マスタ[[#This Row],[仕入先]],$F$3:F1011), "0000")</f>
        <v/>
      </c>
      <c r="H1011" s="167" t="n"/>
      <c r="I1011" s="167" t="n"/>
      <c r="J1011" s="167" t="n"/>
      <c r="K1011" s="167" t="n"/>
      <c r="L1011" s="289" t="n"/>
      <c r="M1011" s="157" t="n"/>
      <c r="N1011" s="289" t="n"/>
      <c r="O1011" s="290">
        <f>IF(COUNT(商品マスタ[[#This Row],[参考上代
（税込)]]) &gt; 0, (商品マスタ[[#This Row],[参考上代
（税込)]]-商品マスタ[[#This Row],[国内定価
（15％）]])/(商品マスタ[[#This Row],[参考上代
（税込)]]/1.08), "")</f>
        <v/>
      </c>
      <c r="P1011" s="136" t="n">
        <v>0.1</v>
      </c>
      <c r="Q1011" s="289">
        <f>商品マスタ[[#This Row],[仕入
単価]]*商品マスタ[[#This Row],[標準国内送料率]]</f>
        <v/>
      </c>
      <c r="R1011" s="289" t="n"/>
      <c r="S1011" s="289">
        <f>IF(ISBLANK(商品マスタ[[#This Row],[実績
国内送料]]),商品マスタ[[#This Row],[標準国内送料]],)</f>
        <v/>
      </c>
      <c r="T1011" s="289">
        <f>商品マスタ[[#This Row],[仕入
単価]]+商品マスタ[[#This Row],[国内送料]]</f>
        <v/>
      </c>
      <c r="U1011" s="289">
        <f>ROUNDUP(商品マスタ[[#This Row],[仕入単価+国内送料]]/0.8,-1)</f>
        <v/>
      </c>
      <c r="V1011" s="289">
        <f>商品マスタ[[#This Row],[海外定価
（20％）]]-商品マスタ[[#This Row],[仕入単価+国内送料]]</f>
        <v/>
      </c>
      <c r="W1011" s="167">
        <f>ROUNDUP(商品マスタ[[#This Row],[仕入単価+国内送料]]/0.85,-1)</f>
        <v/>
      </c>
      <c r="X1011" s="289">
        <f>商品マスタ[[#This Row],[国内定価
（15％）]]-商品マスタ[[#This Row],[仕入単価+国内送料]]</f>
        <v/>
      </c>
      <c r="Y1011" s="139" t="n"/>
      <c r="Z1011" s="167" t="n"/>
      <c r="AA1011" s="167" t="n"/>
      <c r="AB1011" s="167" t="n"/>
      <c r="AC1011" s="293" t="n"/>
      <c r="AD1011" s="167" t="n"/>
      <c r="AE1011" s="167" t="n"/>
      <c r="AF1011" s="158" t="n"/>
      <c r="AG1011" s="144" t="n"/>
    </row>
    <row r="1012" ht="15.75" customHeight="1" s="207">
      <c r="A1012" s="166" t="n"/>
      <c r="B1012" s="167" t="n"/>
      <c r="C1012" s="167" t="n"/>
      <c r="D1012" s="143">
        <f>"PRD_SNJ_"&amp;
_xlfn.XLOOKUP(商品マスタ[[#This Row],[仕入先]],テーブル1[仕入先名],テーブル1[仕入先コード],"XXX",0,1)&amp;
"_"&amp;
商品マスタ[[#This Row],[シリアル]]&amp;
"_"&amp;
TEXT(COUNTIFS(商品マスタ!$C$3:C1012,商品マスタ[[#This Row],[仕入先]],商品マスタ!$E$3:E1012,商品マスタ[[#This Row],[商品名]]), "00")</f>
        <v/>
      </c>
      <c r="E1012" s="167" t="n"/>
      <c r="F1012" s="167">
        <f>IF(COUNTIFS($C$3:C1012,商品マスタ[[#This Row],[仕入先]],$E$3:E1012,商品マスタ[[#This Row],[商品名]]) = 1, 1,0)</f>
        <v/>
      </c>
      <c r="G1012" s="133">
        <f>TEXT(SUMIF($C$3:C1012,商品マスタ[[#This Row],[仕入先]],$F$3:F1012), "0000")</f>
        <v/>
      </c>
      <c r="H1012" s="167" t="n"/>
      <c r="I1012" s="167" t="n"/>
      <c r="J1012" s="167" t="n"/>
      <c r="K1012" s="167" t="n"/>
      <c r="L1012" s="289" t="n"/>
      <c r="M1012" s="157" t="n"/>
      <c r="N1012" s="289" t="n"/>
      <c r="O1012" s="290">
        <f>IF(COUNT(商品マスタ[[#This Row],[参考上代
（税込)]]) &gt; 0, (商品マスタ[[#This Row],[参考上代
（税込)]]-商品マスタ[[#This Row],[国内定価
（15％）]])/(商品マスタ[[#This Row],[参考上代
（税込)]]/1.08), "")</f>
        <v/>
      </c>
      <c r="P1012" s="136" t="n">
        <v>0.1</v>
      </c>
      <c r="Q1012" s="289">
        <f>商品マスタ[[#This Row],[仕入
単価]]*商品マスタ[[#This Row],[標準国内送料率]]</f>
        <v/>
      </c>
      <c r="R1012" s="289" t="n"/>
      <c r="S1012" s="289">
        <f>IF(ISBLANK(商品マスタ[[#This Row],[実績
国内送料]]),商品マスタ[[#This Row],[標準国内送料]],)</f>
        <v/>
      </c>
      <c r="T1012" s="289">
        <f>商品マスタ[[#This Row],[仕入
単価]]+商品マスタ[[#This Row],[国内送料]]</f>
        <v/>
      </c>
      <c r="U1012" s="289">
        <f>ROUNDUP(商品マスタ[[#This Row],[仕入単価+国内送料]]/0.8,-1)</f>
        <v/>
      </c>
      <c r="V1012" s="289">
        <f>商品マスタ[[#This Row],[海外定価
（20％）]]-商品マスタ[[#This Row],[仕入単価+国内送料]]</f>
        <v/>
      </c>
      <c r="W1012" s="167">
        <f>ROUNDUP(商品マスタ[[#This Row],[仕入単価+国内送料]]/0.85,-1)</f>
        <v/>
      </c>
      <c r="X1012" s="289">
        <f>商品マスタ[[#This Row],[国内定価
（15％）]]-商品マスタ[[#This Row],[仕入単価+国内送料]]</f>
        <v/>
      </c>
      <c r="Y1012" s="139" t="n"/>
      <c r="Z1012" s="167" t="n"/>
      <c r="AA1012" s="167" t="n"/>
      <c r="AB1012" s="167" t="n"/>
      <c r="AC1012" s="293" t="n"/>
      <c r="AD1012" s="167" t="n"/>
      <c r="AE1012" s="167" t="n"/>
      <c r="AF1012" s="158" t="n"/>
      <c r="AG1012" s="144" t="n"/>
    </row>
    <row r="1013" ht="15.75" customHeight="1" s="207">
      <c r="A1013" s="166" t="n"/>
      <c r="B1013" s="167" t="n"/>
      <c r="C1013" s="167" t="n"/>
      <c r="D1013" s="143">
        <f>"PRD_SNJ_"&amp;
_xlfn.XLOOKUP(商品マスタ[[#This Row],[仕入先]],テーブル1[仕入先名],テーブル1[仕入先コード],"XXX",0,1)&amp;
"_"&amp;
商品マスタ[[#This Row],[シリアル]]&amp;
"_"&amp;
TEXT(COUNTIFS(商品マスタ!$C$3:C1013,商品マスタ[[#This Row],[仕入先]],商品マスタ!$E$3:E1013,商品マスタ[[#This Row],[商品名]]), "00")</f>
        <v/>
      </c>
      <c r="E1013" s="167" t="n"/>
      <c r="F1013" s="167">
        <f>IF(COUNTIFS($C$3:C1013,商品マスタ[[#This Row],[仕入先]],$E$3:E1013,商品マスタ[[#This Row],[商品名]]) = 1, 1,0)</f>
        <v/>
      </c>
      <c r="G1013" s="133">
        <f>TEXT(SUMIF($C$3:C1013,商品マスタ[[#This Row],[仕入先]],$F$3:F1013), "0000")</f>
        <v/>
      </c>
      <c r="H1013" s="167" t="n"/>
      <c r="I1013" s="167" t="n"/>
      <c r="J1013" s="167" t="n"/>
      <c r="K1013" s="167" t="n"/>
      <c r="L1013" s="289" t="n"/>
      <c r="M1013" s="157" t="n"/>
      <c r="N1013" s="289" t="n"/>
      <c r="O1013" s="290">
        <f>IF(COUNT(商品マスタ[[#This Row],[参考上代
（税込)]]) &gt; 0, (商品マスタ[[#This Row],[参考上代
（税込)]]-商品マスタ[[#This Row],[国内定価
（15％）]])/(商品マスタ[[#This Row],[参考上代
（税込)]]/1.08), "")</f>
        <v/>
      </c>
      <c r="P1013" s="136" t="n">
        <v>0.1</v>
      </c>
      <c r="Q1013" s="289">
        <f>商品マスタ[[#This Row],[仕入
単価]]*商品マスタ[[#This Row],[標準国内送料率]]</f>
        <v/>
      </c>
      <c r="R1013" s="289" t="n"/>
      <c r="S1013" s="289">
        <f>IF(ISBLANK(商品マスタ[[#This Row],[実績
国内送料]]),商品マスタ[[#This Row],[標準国内送料]],)</f>
        <v/>
      </c>
      <c r="T1013" s="289">
        <f>商品マスタ[[#This Row],[仕入
単価]]+商品マスタ[[#This Row],[国内送料]]</f>
        <v/>
      </c>
      <c r="U1013" s="289">
        <f>ROUNDUP(商品マスタ[[#This Row],[仕入単価+国内送料]]/0.8,-1)</f>
        <v/>
      </c>
      <c r="V1013" s="289">
        <f>商品マスタ[[#This Row],[海外定価
（20％）]]-商品マスタ[[#This Row],[仕入単価+国内送料]]</f>
        <v/>
      </c>
      <c r="W1013" s="167">
        <f>ROUNDUP(商品マスタ[[#This Row],[仕入単価+国内送料]]/0.85,-1)</f>
        <v/>
      </c>
      <c r="X1013" s="289">
        <f>商品マスタ[[#This Row],[国内定価
（15％）]]-商品マスタ[[#This Row],[仕入単価+国内送料]]</f>
        <v/>
      </c>
      <c r="Y1013" s="139" t="n"/>
      <c r="Z1013" s="167" t="n"/>
      <c r="AA1013" s="167" t="n"/>
      <c r="AB1013" s="167" t="n"/>
      <c r="AC1013" s="293" t="n"/>
      <c r="AD1013" s="167" t="n"/>
      <c r="AE1013" s="167" t="n"/>
      <c r="AF1013" s="158" t="n"/>
      <c r="AG1013" s="144" t="n"/>
    </row>
    <row r="1014" ht="15.75" customHeight="1" s="207">
      <c r="A1014" s="166" t="n"/>
      <c r="B1014" s="167" t="n"/>
      <c r="C1014" s="167" t="n"/>
      <c r="D1014" s="143">
        <f>"PRD_SNJ_"&amp;
_xlfn.XLOOKUP(商品マスタ[[#This Row],[仕入先]],テーブル1[仕入先名],テーブル1[仕入先コード],"XXX",0,1)&amp;
"_"&amp;
商品マスタ[[#This Row],[シリアル]]&amp;
"_"&amp;
TEXT(COUNTIFS(商品マスタ!$C$3:C1014,商品マスタ[[#This Row],[仕入先]],商品マスタ!$E$3:E1014,商品マスタ[[#This Row],[商品名]]), "00")</f>
        <v/>
      </c>
      <c r="E1014" s="167" t="n"/>
      <c r="F1014" s="167">
        <f>IF(COUNTIFS($C$3:C1014,商品マスタ[[#This Row],[仕入先]],$E$3:E1014,商品マスタ[[#This Row],[商品名]]) = 1, 1,0)</f>
        <v/>
      </c>
      <c r="G1014" s="133">
        <f>TEXT(SUMIF($C$3:C1014,商品マスタ[[#This Row],[仕入先]],$F$3:F1014), "0000")</f>
        <v/>
      </c>
      <c r="H1014" s="167" t="n"/>
      <c r="I1014" s="167" t="n"/>
      <c r="J1014" s="167" t="n"/>
      <c r="K1014" s="167" t="n"/>
      <c r="L1014" s="289" t="n"/>
      <c r="M1014" s="157" t="n"/>
      <c r="N1014" s="289" t="n"/>
      <c r="O1014" s="290">
        <f>IF(COUNT(商品マスタ[[#This Row],[参考上代
（税込)]]) &gt; 0, (商品マスタ[[#This Row],[参考上代
（税込)]]-商品マスタ[[#This Row],[国内定価
（15％）]])/(商品マスタ[[#This Row],[参考上代
（税込)]]/1.08), "")</f>
        <v/>
      </c>
      <c r="P1014" s="136" t="n">
        <v>0.1</v>
      </c>
      <c r="Q1014" s="289">
        <f>商品マスタ[[#This Row],[仕入
単価]]*商品マスタ[[#This Row],[標準国内送料率]]</f>
        <v/>
      </c>
      <c r="R1014" s="289" t="n"/>
      <c r="S1014" s="289">
        <f>IF(ISBLANK(商品マスタ[[#This Row],[実績
国内送料]]),商品マスタ[[#This Row],[標準国内送料]],)</f>
        <v/>
      </c>
      <c r="T1014" s="289">
        <f>商品マスタ[[#This Row],[仕入
単価]]+商品マスタ[[#This Row],[国内送料]]</f>
        <v/>
      </c>
      <c r="U1014" s="289">
        <f>ROUNDUP(商品マスタ[[#This Row],[仕入単価+国内送料]]/0.8,-1)</f>
        <v/>
      </c>
      <c r="V1014" s="289">
        <f>商品マスタ[[#This Row],[海外定価
（20％）]]-商品マスタ[[#This Row],[仕入単価+国内送料]]</f>
        <v/>
      </c>
      <c r="W1014" s="167">
        <f>ROUNDUP(商品マスタ[[#This Row],[仕入単価+国内送料]]/0.85,-1)</f>
        <v/>
      </c>
      <c r="X1014" s="289">
        <f>商品マスタ[[#This Row],[国内定価
（15％）]]-商品マスタ[[#This Row],[仕入単価+国内送料]]</f>
        <v/>
      </c>
      <c r="Y1014" s="139" t="n"/>
      <c r="Z1014" s="167" t="n"/>
      <c r="AA1014" s="167" t="n"/>
      <c r="AB1014" s="167" t="n"/>
      <c r="AC1014" s="293" t="n"/>
      <c r="AD1014" s="167" t="n"/>
      <c r="AE1014" s="167" t="n"/>
      <c r="AF1014" s="158" t="n"/>
      <c r="AG1014" s="144" t="n"/>
    </row>
    <row r="1015" ht="15.75" customHeight="1" s="207">
      <c r="A1015" s="166" t="n"/>
      <c r="B1015" s="167" t="n"/>
      <c r="C1015" s="167" t="n"/>
      <c r="D1015" s="143">
        <f>"PRD_SNJ_"&amp;
_xlfn.XLOOKUP(商品マスタ[[#This Row],[仕入先]],テーブル1[仕入先名],テーブル1[仕入先コード],"XXX",0,1)&amp;
"_"&amp;
商品マスタ[[#This Row],[シリアル]]&amp;
"_"&amp;
TEXT(COUNTIFS(商品マスタ!$C$3:C1015,商品マスタ[[#This Row],[仕入先]],商品マスタ!$E$3:E1015,商品マスタ[[#This Row],[商品名]]), "00")</f>
        <v/>
      </c>
      <c r="E1015" s="167" t="n"/>
      <c r="F1015" s="167">
        <f>IF(COUNTIFS($C$3:C1015,商品マスタ[[#This Row],[仕入先]],$E$3:E1015,商品マスタ[[#This Row],[商品名]]) = 1, 1,0)</f>
        <v/>
      </c>
      <c r="G1015" s="133">
        <f>TEXT(SUMIF($C$3:C1015,商品マスタ[[#This Row],[仕入先]],$F$3:F1015), "0000")</f>
        <v/>
      </c>
      <c r="H1015" s="167" t="n"/>
      <c r="I1015" s="167" t="n"/>
      <c r="J1015" s="167" t="n"/>
      <c r="K1015" s="167" t="n"/>
      <c r="L1015" s="289" t="n"/>
      <c r="M1015" s="157" t="n"/>
      <c r="N1015" s="289" t="n"/>
      <c r="O1015" s="290">
        <f>IF(COUNT(商品マスタ[[#This Row],[参考上代
（税込)]]) &gt; 0, (商品マスタ[[#This Row],[参考上代
（税込)]]-商品マスタ[[#This Row],[国内定価
（15％）]])/(商品マスタ[[#This Row],[参考上代
（税込)]]/1.08), "")</f>
        <v/>
      </c>
      <c r="P1015" s="136" t="n">
        <v>0.1</v>
      </c>
      <c r="Q1015" s="289">
        <f>商品マスタ[[#This Row],[仕入
単価]]*商品マスタ[[#This Row],[標準国内送料率]]</f>
        <v/>
      </c>
      <c r="R1015" s="289" t="n"/>
      <c r="S1015" s="289">
        <f>IF(ISBLANK(商品マスタ[[#This Row],[実績
国内送料]]),商品マスタ[[#This Row],[標準国内送料]],)</f>
        <v/>
      </c>
      <c r="T1015" s="289">
        <f>商品マスタ[[#This Row],[仕入
単価]]+商品マスタ[[#This Row],[国内送料]]</f>
        <v/>
      </c>
      <c r="U1015" s="289">
        <f>ROUNDUP(商品マスタ[[#This Row],[仕入単価+国内送料]]/0.8,-1)</f>
        <v/>
      </c>
      <c r="V1015" s="289">
        <f>商品マスタ[[#This Row],[海外定価
（20％）]]-商品マスタ[[#This Row],[仕入単価+国内送料]]</f>
        <v/>
      </c>
      <c r="W1015" s="167">
        <f>ROUNDUP(商品マスタ[[#This Row],[仕入単価+国内送料]]/0.85,-1)</f>
        <v/>
      </c>
      <c r="X1015" s="289">
        <f>商品マスタ[[#This Row],[国内定価
（15％）]]-商品マスタ[[#This Row],[仕入単価+国内送料]]</f>
        <v/>
      </c>
      <c r="Y1015" s="139" t="n"/>
      <c r="Z1015" s="167" t="n"/>
      <c r="AA1015" s="167" t="n"/>
      <c r="AB1015" s="167" t="n"/>
      <c r="AC1015" s="293" t="n"/>
      <c r="AD1015" s="167" t="n"/>
      <c r="AE1015" s="167" t="n"/>
      <c r="AF1015" s="158" t="n"/>
      <c r="AG1015" s="144" t="n"/>
    </row>
    <row r="1016" ht="15.75" customHeight="1" s="207">
      <c r="A1016" s="166" t="n"/>
      <c r="B1016" s="167" t="n"/>
      <c r="C1016" s="167" t="n"/>
      <c r="D1016" s="143">
        <f>"PRD_SNJ_"&amp;
_xlfn.XLOOKUP(商品マスタ[[#This Row],[仕入先]],テーブル1[仕入先名],テーブル1[仕入先コード],"XXX",0,1)&amp;
"_"&amp;
商品マスタ[[#This Row],[シリアル]]&amp;
"_"&amp;
TEXT(COUNTIFS(商品マスタ!$C$3:C1016,商品マスタ[[#This Row],[仕入先]],商品マスタ!$E$3:E1016,商品マスタ[[#This Row],[商品名]]), "00")</f>
        <v/>
      </c>
      <c r="E1016" s="167" t="n"/>
      <c r="F1016" s="167">
        <f>IF(COUNTIFS($C$3:C1016,商品マスタ[[#This Row],[仕入先]],$E$3:E1016,商品マスタ[[#This Row],[商品名]]) = 1, 1,0)</f>
        <v/>
      </c>
      <c r="G1016" s="133">
        <f>TEXT(SUMIF($C$3:C1016,商品マスタ[[#This Row],[仕入先]],$F$3:F1016), "0000")</f>
        <v/>
      </c>
      <c r="H1016" s="167" t="n"/>
      <c r="I1016" s="167" t="n"/>
      <c r="J1016" s="167" t="n"/>
      <c r="K1016" s="167" t="n"/>
      <c r="L1016" s="289" t="n"/>
      <c r="M1016" s="157" t="n"/>
      <c r="N1016" s="289" t="n"/>
      <c r="O1016" s="290">
        <f>IF(COUNT(商品マスタ[[#This Row],[参考上代
（税込)]]) &gt; 0, (商品マスタ[[#This Row],[参考上代
（税込)]]-商品マスタ[[#This Row],[国内定価
（15％）]])/(商品マスタ[[#This Row],[参考上代
（税込)]]/1.08), "")</f>
        <v/>
      </c>
      <c r="P1016" s="136" t="n">
        <v>0.1</v>
      </c>
      <c r="Q1016" s="289">
        <f>商品マスタ[[#This Row],[仕入
単価]]*商品マスタ[[#This Row],[標準国内送料率]]</f>
        <v/>
      </c>
      <c r="R1016" s="289" t="n"/>
      <c r="S1016" s="289">
        <f>IF(ISBLANK(商品マスタ[[#This Row],[実績
国内送料]]),商品マスタ[[#This Row],[標準国内送料]],)</f>
        <v/>
      </c>
      <c r="T1016" s="289">
        <f>商品マスタ[[#This Row],[仕入
単価]]+商品マスタ[[#This Row],[国内送料]]</f>
        <v/>
      </c>
      <c r="U1016" s="289">
        <f>ROUNDUP(商品マスタ[[#This Row],[仕入単価+国内送料]]/0.8,-1)</f>
        <v/>
      </c>
      <c r="V1016" s="289">
        <f>商品マスタ[[#This Row],[海外定価
（20％）]]-商品マスタ[[#This Row],[仕入単価+国内送料]]</f>
        <v/>
      </c>
      <c r="W1016" s="167">
        <f>ROUNDUP(商品マスタ[[#This Row],[仕入単価+国内送料]]/0.85,-1)</f>
        <v/>
      </c>
      <c r="X1016" s="289">
        <f>商品マスタ[[#This Row],[国内定価
（15％）]]-商品マスタ[[#This Row],[仕入単価+国内送料]]</f>
        <v/>
      </c>
      <c r="Y1016" s="139" t="n"/>
      <c r="Z1016" s="167" t="n"/>
      <c r="AA1016" s="167" t="n"/>
      <c r="AB1016" s="167" t="n"/>
      <c r="AC1016" s="293" t="n"/>
      <c r="AD1016" s="167" t="n"/>
      <c r="AE1016" s="167" t="n"/>
      <c r="AF1016" s="158" t="n"/>
      <c r="AG1016" s="144" t="n"/>
    </row>
    <row r="1017" ht="15.75" customHeight="1" s="207">
      <c r="A1017" s="166" t="n"/>
      <c r="B1017" s="167" t="n"/>
      <c r="C1017" s="167" t="n"/>
      <c r="D1017" s="143">
        <f>"PRD_SNJ_"&amp;
_xlfn.XLOOKUP(商品マスタ[[#This Row],[仕入先]],テーブル1[仕入先名],テーブル1[仕入先コード],"XXX",0,1)&amp;
"_"&amp;
商品マスタ[[#This Row],[シリアル]]&amp;
"_"&amp;
TEXT(COUNTIFS(商品マスタ!$C$3:C1017,商品マスタ[[#This Row],[仕入先]],商品マスタ!$E$3:E1017,商品マスタ[[#This Row],[商品名]]), "00")</f>
        <v/>
      </c>
      <c r="E1017" s="167" t="n"/>
      <c r="F1017" s="167">
        <f>IF(COUNTIFS($C$3:C1017,商品マスタ[[#This Row],[仕入先]],$E$3:E1017,商品マスタ[[#This Row],[商品名]]) = 1, 1,0)</f>
        <v/>
      </c>
      <c r="G1017" s="133">
        <f>TEXT(SUMIF($C$3:C1017,商品マスタ[[#This Row],[仕入先]],$F$3:F1017), "0000")</f>
        <v/>
      </c>
      <c r="H1017" s="167" t="n"/>
      <c r="I1017" s="167" t="n"/>
      <c r="J1017" s="167" t="n"/>
      <c r="K1017" s="167" t="n"/>
      <c r="L1017" s="289" t="n"/>
      <c r="M1017" s="157" t="n"/>
      <c r="N1017" s="289" t="n"/>
      <c r="O1017" s="290">
        <f>IF(COUNT(商品マスタ[[#This Row],[参考上代
（税込)]]) &gt; 0, (商品マスタ[[#This Row],[参考上代
（税込)]]-商品マスタ[[#This Row],[国内定価
（15％）]])/(商品マスタ[[#This Row],[参考上代
（税込)]]/1.08), "")</f>
        <v/>
      </c>
      <c r="P1017" s="136" t="n">
        <v>0.1</v>
      </c>
      <c r="Q1017" s="289">
        <f>商品マスタ[[#This Row],[仕入
単価]]*商品マスタ[[#This Row],[標準国内送料率]]</f>
        <v/>
      </c>
      <c r="R1017" s="289" t="n"/>
      <c r="S1017" s="289">
        <f>IF(ISBLANK(商品マスタ[[#This Row],[実績
国内送料]]),商品マスタ[[#This Row],[標準国内送料]],)</f>
        <v/>
      </c>
      <c r="T1017" s="289">
        <f>商品マスタ[[#This Row],[仕入
単価]]+商品マスタ[[#This Row],[国内送料]]</f>
        <v/>
      </c>
      <c r="U1017" s="289">
        <f>ROUNDUP(商品マスタ[[#This Row],[仕入単価+国内送料]]/0.8,-1)</f>
        <v/>
      </c>
      <c r="V1017" s="289">
        <f>商品マスタ[[#This Row],[海外定価
（20％）]]-商品マスタ[[#This Row],[仕入単価+国内送料]]</f>
        <v/>
      </c>
      <c r="W1017" s="167">
        <f>ROUNDUP(商品マスタ[[#This Row],[仕入単価+国内送料]]/0.85,-1)</f>
        <v/>
      </c>
      <c r="X1017" s="289">
        <f>商品マスタ[[#This Row],[国内定価
（15％）]]-商品マスタ[[#This Row],[仕入単価+国内送料]]</f>
        <v/>
      </c>
      <c r="Y1017" s="139" t="n"/>
      <c r="Z1017" s="167" t="n"/>
      <c r="AA1017" s="167" t="n"/>
      <c r="AB1017" s="167" t="n"/>
      <c r="AC1017" s="293" t="n"/>
      <c r="AD1017" s="167" t="n"/>
      <c r="AE1017" s="167" t="n"/>
      <c r="AF1017" s="158" t="n"/>
      <c r="AG1017" s="144" t="n"/>
    </row>
    <row r="1018" ht="15.75" customHeight="1" s="207">
      <c r="A1018" s="166" t="n"/>
      <c r="B1018" s="167" t="n"/>
      <c r="C1018" s="167" t="n"/>
      <c r="D1018" s="143">
        <f>"PRD_SNJ_"&amp;
_xlfn.XLOOKUP(商品マスタ[[#This Row],[仕入先]],テーブル1[仕入先名],テーブル1[仕入先コード],"XXX",0,1)&amp;
"_"&amp;
商品マスタ[[#This Row],[シリアル]]&amp;
"_"&amp;
TEXT(COUNTIFS(商品マスタ!$C$3:C1018,商品マスタ[[#This Row],[仕入先]],商品マスタ!$E$3:E1018,商品マスタ[[#This Row],[商品名]]), "00")</f>
        <v/>
      </c>
      <c r="E1018" s="167" t="n"/>
      <c r="F1018" s="167">
        <f>IF(COUNTIFS($C$3:C1018,商品マスタ[[#This Row],[仕入先]],$E$3:E1018,商品マスタ[[#This Row],[商品名]]) = 1, 1,0)</f>
        <v/>
      </c>
      <c r="G1018" s="133">
        <f>TEXT(SUMIF($C$3:C1018,商品マスタ[[#This Row],[仕入先]],$F$3:F1018), "0000")</f>
        <v/>
      </c>
      <c r="H1018" s="167" t="n"/>
      <c r="I1018" s="167" t="n"/>
      <c r="J1018" s="167" t="n"/>
      <c r="K1018" s="167" t="n"/>
      <c r="L1018" s="289" t="n"/>
      <c r="M1018" s="157" t="n"/>
      <c r="N1018" s="289" t="n"/>
      <c r="O1018" s="290">
        <f>IF(COUNT(商品マスタ[[#This Row],[参考上代
（税込)]]) &gt; 0, (商品マスタ[[#This Row],[参考上代
（税込)]]-商品マスタ[[#This Row],[国内定価
（15％）]])/(商品マスタ[[#This Row],[参考上代
（税込)]]/1.08), "")</f>
        <v/>
      </c>
      <c r="P1018" s="136" t="n">
        <v>0.1</v>
      </c>
      <c r="Q1018" s="289">
        <f>商品マスタ[[#This Row],[仕入
単価]]*商品マスタ[[#This Row],[標準国内送料率]]</f>
        <v/>
      </c>
      <c r="R1018" s="289" t="n"/>
      <c r="S1018" s="289">
        <f>IF(ISBLANK(商品マスタ[[#This Row],[実績
国内送料]]),商品マスタ[[#This Row],[標準国内送料]],)</f>
        <v/>
      </c>
      <c r="T1018" s="289">
        <f>商品マスタ[[#This Row],[仕入
単価]]+商品マスタ[[#This Row],[国内送料]]</f>
        <v/>
      </c>
      <c r="U1018" s="289">
        <f>ROUNDUP(商品マスタ[[#This Row],[仕入単価+国内送料]]/0.8,-1)</f>
        <v/>
      </c>
      <c r="V1018" s="289">
        <f>商品マスタ[[#This Row],[海外定価
（20％）]]-商品マスタ[[#This Row],[仕入単価+国内送料]]</f>
        <v/>
      </c>
      <c r="W1018" s="167">
        <f>ROUNDUP(商品マスタ[[#This Row],[仕入単価+国内送料]]/0.85,-1)</f>
        <v/>
      </c>
      <c r="X1018" s="289">
        <f>商品マスタ[[#This Row],[国内定価
（15％）]]-商品マスタ[[#This Row],[仕入単価+国内送料]]</f>
        <v/>
      </c>
      <c r="Y1018" s="139" t="n"/>
      <c r="Z1018" s="167" t="n"/>
      <c r="AA1018" s="167" t="n"/>
      <c r="AB1018" s="167" t="n"/>
      <c r="AC1018" s="293" t="n"/>
      <c r="AD1018" s="167" t="n"/>
      <c r="AE1018" s="167" t="n"/>
      <c r="AF1018" s="158" t="n"/>
      <c r="AG1018" s="144" t="n"/>
    </row>
    <row r="1019" ht="15.75" customHeight="1" s="207">
      <c r="A1019" s="166" t="n"/>
      <c r="B1019" s="167" t="n"/>
      <c r="C1019" s="167" t="n"/>
      <c r="D1019" s="143">
        <f>"PRD_SNJ_"&amp;
_xlfn.XLOOKUP(商品マスタ[[#This Row],[仕入先]],テーブル1[仕入先名],テーブル1[仕入先コード],"XXX",0,1)&amp;
"_"&amp;
商品マスタ[[#This Row],[シリアル]]&amp;
"_"&amp;
TEXT(COUNTIFS(商品マスタ!$C$3:C1019,商品マスタ[[#This Row],[仕入先]],商品マスタ!$E$3:E1019,商品マスタ[[#This Row],[商品名]]), "00")</f>
        <v/>
      </c>
      <c r="E1019" s="167" t="n"/>
      <c r="F1019" s="167">
        <f>IF(COUNTIFS($C$3:C1019,商品マスタ[[#This Row],[仕入先]],$E$3:E1019,商品マスタ[[#This Row],[商品名]]) = 1, 1,0)</f>
        <v/>
      </c>
      <c r="G1019" s="133">
        <f>TEXT(SUMIF($C$3:C1019,商品マスタ[[#This Row],[仕入先]],$F$3:F1019), "0000")</f>
        <v/>
      </c>
      <c r="H1019" s="167" t="n"/>
      <c r="I1019" s="167" t="n"/>
      <c r="J1019" s="167" t="n"/>
      <c r="K1019" s="167" t="n"/>
      <c r="L1019" s="289" t="n"/>
      <c r="M1019" s="157" t="n"/>
      <c r="N1019" s="289" t="n"/>
      <c r="O1019" s="290">
        <f>IF(COUNT(商品マスタ[[#This Row],[参考上代
（税込)]]) &gt; 0, (商品マスタ[[#This Row],[参考上代
（税込)]]-商品マスタ[[#This Row],[国内定価
（15％）]])/(商品マスタ[[#This Row],[参考上代
（税込)]]/1.08), "")</f>
        <v/>
      </c>
      <c r="P1019" s="136" t="n">
        <v>0.1</v>
      </c>
      <c r="Q1019" s="289">
        <f>商品マスタ[[#This Row],[仕入
単価]]*商品マスタ[[#This Row],[標準国内送料率]]</f>
        <v/>
      </c>
      <c r="R1019" s="289" t="n"/>
      <c r="S1019" s="289">
        <f>IF(ISBLANK(商品マスタ[[#This Row],[実績
国内送料]]),商品マスタ[[#This Row],[標準国内送料]],)</f>
        <v/>
      </c>
      <c r="T1019" s="289">
        <f>商品マスタ[[#This Row],[仕入
単価]]+商品マスタ[[#This Row],[国内送料]]</f>
        <v/>
      </c>
      <c r="U1019" s="289">
        <f>ROUNDUP(商品マスタ[[#This Row],[仕入単価+国内送料]]/0.8,-1)</f>
        <v/>
      </c>
      <c r="V1019" s="289">
        <f>商品マスタ[[#This Row],[海外定価
（20％）]]-商品マスタ[[#This Row],[仕入単価+国内送料]]</f>
        <v/>
      </c>
      <c r="W1019" s="167">
        <f>ROUNDUP(商品マスタ[[#This Row],[仕入単価+国内送料]]/0.85,-1)</f>
        <v/>
      </c>
      <c r="X1019" s="289">
        <f>商品マスタ[[#This Row],[国内定価
（15％）]]-商品マスタ[[#This Row],[仕入単価+国内送料]]</f>
        <v/>
      </c>
      <c r="Y1019" s="139" t="n"/>
      <c r="Z1019" s="167" t="n"/>
      <c r="AA1019" s="167" t="n"/>
      <c r="AB1019" s="167" t="n"/>
      <c r="AC1019" s="293" t="n"/>
      <c r="AD1019" s="167" t="n"/>
      <c r="AE1019" s="167" t="n"/>
      <c r="AF1019" s="158" t="n"/>
      <c r="AG1019" s="144" t="n"/>
    </row>
    <row r="1020" ht="15.75" customHeight="1" s="207">
      <c r="A1020" s="166" t="n"/>
      <c r="B1020" s="167" t="n"/>
      <c r="C1020" s="167" t="n"/>
      <c r="D1020" s="143">
        <f>"PRD_SNJ_"&amp;
_xlfn.XLOOKUP(商品マスタ[[#This Row],[仕入先]],テーブル1[仕入先名],テーブル1[仕入先コード],"XXX",0,1)&amp;
"_"&amp;
商品マスタ[[#This Row],[シリアル]]&amp;
"_"&amp;
TEXT(COUNTIFS(商品マスタ!$C$3:C1020,商品マスタ[[#This Row],[仕入先]],商品マスタ!$E$3:E1020,商品マスタ[[#This Row],[商品名]]), "00")</f>
        <v/>
      </c>
      <c r="E1020" s="167" t="n"/>
      <c r="F1020" s="167">
        <f>IF(COUNTIFS($C$3:C1020,商品マスタ[[#This Row],[仕入先]],$E$3:E1020,商品マスタ[[#This Row],[商品名]]) = 1, 1,0)</f>
        <v/>
      </c>
      <c r="G1020" s="133">
        <f>TEXT(SUMIF($C$3:C1020,商品マスタ[[#This Row],[仕入先]],$F$3:F1020), "0000")</f>
        <v/>
      </c>
      <c r="H1020" s="167" t="n"/>
      <c r="I1020" s="167" t="n"/>
      <c r="J1020" s="167" t="n"/>
      <c r="K1020" s="167" t="n"/>
      <c r="L1020" s="289" t="n"/>
      <c r="M1020" s="157" t="n"/>
      <c r="N1020" s="289" t="n"/>
      <c r="O1020" s="290">
        <f>IF(COUNT(商品マスタ[[#This Row],[参考上代
（税込)]]) &gt; 0, (商品マスタ[[#This Row],[参考上代
（税込)]]-商品マスタ[[#This Row],[国内定価
（15％）]])/(商品マスタ[[#This Row],[参考上代
（税込)]]/1.08), "")</f>
        <v/>
      </c>
      <c r="P1020" s="136" t="n">
        <v>0.1</v>
      </c>
      <c r="Q1020" s="289">
        <f>商品マスタ[[#This Row],[仕入
単価]]*商品マスタ[[#This Row],[標準国内送料率]]</f>
        <v/>
      </c>
      <c r="R1020" s="289" t="n"/>
      <c r="S1020" s="289">
        <f>IF(ISBLANK(商品マスタ[[#This Row],[実績
国内送料]]),商品マスタ[[#This Row],[標準国内送料]],)</f>
        <v/>
      </c>
      <c r="T1020" s="289">
        <f>商品マスタ[[#This Row],[仕入
単価]]+商品マスタ[[#This Row],[国内送料]]</f>
        <v/>
      </c>
      <c r="U1020" s="289">
        <f>ROUNDUP(商品マスタ[[#This Row],[仕入単価+国内送料]]/0.8,-1)</f>
        <v/>
      </c>
      <c r="V1020" s="289">
        <f>商品マスタ[[#This Row],[海外定価
（20％）]]-商品マスタ[[#This Row],[仕入単価+国内送料]]</f>
        <v/>
      </c>
      <c r="W1020" s="167">
        <f>ROUNDUP(商品マスタ[[#This Row],[仕入単価+国内送料]]/0.85,-1)</f>
        <v/>
      </c>
      <c r="X1020" s="289">
        <f>商品マスタ[[#This Row],[国内定価
（15％）]]-商品マスタ[[#This Row],[仕入単価+国内送料]]</f>
        <v/>
      </c>
      <c r="Y1020" s="139" t="n"/>
      <c r="Z1020" s="167" t="n"/>
      <c r="AA1020" s="167" t="n"/>
      <c r="AB1020" s="167" t="n"/>
      <c r="AC1020" s="293" t="n"/>
      <c r="AD1020" s="167" t="n"/>
      <c r="AE1020" s="167" t="n"/>
      <c r="AF1020" s="158" t="n"/>
      <c r="AG1020" s="144" t="n"/>
    </row>
    <row r="1021" ht="15.75" customHeight="1" s="207">
      <c r="A1021" s="166" t="n"/>
      <c r="B1021" s="167" t="n"/>
      <c r="C1021" s="167" t="n"/>
      <c r="D1021" s="143">
        <f>"PRD_SNJ_"&amp;
_xlfn.XLOOKUP(商品マスタ[[#This Row],[仕入先]],テーブル1[仕入先名],テーブル1[仕入先コード],"XXX",0,1)&amp;
"_"&amp;
商品マスタ[[#This Row],[シリアル]]&amp;
"_"&amp;
TEXT(COUNTIFS(商品マスタ!$C$3:C1021,商品マスタ[[#This Row],[仕入先]],商品マスタ!$E$3:E1021,商品マスタ[[#This Row],[商品名]]), "00")</f>
        <v/>
      </c>
      <c r="E1021" s="167" t="n"/>
      <c r="F1021" s="167">
        <f>IF(COUNTIFS($C$3:C1021,商品マスタ[[#This Row],[仕入先]],$E$3:E1021,商品マスタ[[#This Row],[商品名]]) = 1, 1,0)</f>
        <v/>
      </c>
      <c r="G1021" s="133">
        <f>TEXT(SUMIF($C$3:C1021,商品マスタ[[#This Row],[仕入先]],$F$3:F1021), "0000")</f>
        <v/>
      </c>
      <c r="H1021" s="167" t="n"/>
      <c r="I1021" s="167" t="n"/>
      <c r="J1021" s="167" t="n"/>
      <c r="K1021" s="167" t="n"/>
      <c r="L1021" s="289" t="n"/>
      <c r="M1021" s="157" t="n"/>
      <c r="N1021" s="289" t="n"/>
      <c r="O1021" s="290">
        <f>IF(COUNT(商品マスタ[[#This Row],[参考上代
（税込)]]) &gt; 0, (商品マスタ[[#This Row],[参考上代
（税込)]]-商品マスタ[[#This Row],[国内定価
（15％）]])/(商品マスタ[[#This Row],[参考上代
（税込)]]/1.08), "")</f>
        <v/>
      </c>
      <c r="P1021" s="136" t="n">
        <v>0.1</v>
      </c>
      <c r="Q1021" s="289">
        <f>商品マスタ[[#This Row],[仕入
単価]]*商品マスタ[[#This Row],[標準国内送料率]]</f>
        <v/>
      </c>
      <c r="R1021" s="289" t="n"/>
      <c r="S1021" s="289">
        <f>IF(ISBLANK(商品マスタ[[#This Row],[実績
国内送料]]),商品マスタ[[#This Row],[標準国内送料]],)</f>
        <v/>
      </c>
      <c r="T1021" s="289">
        <f>商品マスタ[[#This Row],[仕入
単価]]+商品マスタ[[#This Row],[国内送料]]</f>
        <v/>
      </c>
      <c r="U1021" s="289">
        <f>ROUNDUP(商品マスタ[[#This Row],[仕入単価+国内送料]]/0.8,-1)</f>
        <v/>
      </c>
      <c r="V1021" s="289">
        <f>商品マスタ[[#This Row],[海外定価
（20％）]]-商品マスタ[[#This Row],[仕入単価+国内送料]]</f>
        <v/>
      </c>
      <c r="W1021" s="167">
        <f>ROUNDUP(商品マスタ[[#This Row],[仕入単価+国内送料]]/0.85,-1)</f>
        <v/>
      </c>
      <c r="X1021" s="289">
        <f>商品マスタ[[#This Row],[国内定価
（15％）]]-商品マスタ[[#This Row],[仕入単価+国内送料]]</f>
        <v/>
      </c>
      <c r="Y1021" s="139" t="n"/>
      <c r="Z1021" s="167" t="n"/>
      <c r="AA1021" s="167" t="n"/>
      <c r="AB1021" s="167" t="n"/>
      <c r="AC1021" s="293" t="n"/>
      <c r="AD1021" s="167" t="n"/>
      <c r="AE1021" s="167" t="n"/>
      <c r="AF1021" s="158" t="n"/>
      <c r="AG1021" s="144" t="n"/>
    </row>
    <row r="1022" ht="15.75" customHeight="1" s="207">
      <c r="A1022" s="166" t="n"/>
      <c r="B1022" s="167" t="n"/>
      <c r="C1022" s="167" t="n"/>
      <c r="D1022" s="143">
        <f>"PRD_SNJ_"&amp;
_xlfn.XLOOKUP(商品マスタ[[#This Row],[仕入先]],テーブル1[仕入先名],テーブル1[仕入先コード],"XXX",0,1)&amp;
"_"&amp;
商品マスタ[[#This Row],[シリアル]]&amp;
"_"&amp;
TEXT(COUNTIFS(商品マスタ!$C$3:C1022,商品マスタ[[#This Row],[仕入先]],商品マスタ!$E$3:E1022,商品マスタ[[#This Row],[商品名]]), "00")</f>
        <v/>
      </c>
      <c r="E1022" s="167" t="n"/>
      <c r="F1022" s="167">
        <f>IF(COUNTIFS($C$3:C1022,商品マスタ[[#This Row],[仕入先]],$E$3:E1022,商品マスタ[[#This Row],[商品名]]) = 1, 1,0)</f>
        <v/>
      </c>
      <c r="G1022" s="133">
        <f>TEXT(SUMIF($C$3:C1022,商品マスタ[[#This Row],[仕入先]],$F$3:F1022), "0000")</f>
        <v/>
      </c>
      <c r="H1022" s="167" t="n"/>
      <c r="I1022" s="167" t="n"/>
      <c r="J1022" s="167" t="n"/>
      <c r="K1022" s="167" t="n"/>
      <c r="L1022" s="289" t="n"/>
      <c r="M1022" s="157" t="n"/>
      <c r="N1022" s="289" t="n"/>
      <c r="O1022" s="290">
        <f>IF(COUNT(商品マスタ[[#This Row],[参考上代
（税込)]]) &gt; 0, (商品マスタ[[#This Row],[参考上代
（税込)]]-商品マスタ[[#This Row],[国内定価
（15％）]])/(商品マスタ[[#This Row],[参考上代
（税込)]]/1.08), "")</f>
        <v/>
      </c>
      <c r="P1022" s="136" t="n">
        <v>0.1</v>
      </c>
      <c r="Q1022" s="289">
        <f>商品マスタ[[#This Row],[仕入
単価]]*商品マスタ[[#This Row],[標準国内送料率]]</f>
        <v/>
      </c>
      <c r="R1022" s="289" t="n"/>
      <c r="S1022" s="289">
        <f>IF(ISBLANK(商品マスタ[[#This Row],[実績
国内送料]]),商品マスタ[[#This Row],[標準国内送料]],)</f>
        <v/>
      </c>
      <c r="T1022" s="289">
        <f>商品マスタ[[#This Row],[仕入
単価]]+商品マスタ[[#This Row],[国内送料]]</f>
        <v/>
      </c>
      <c r="U1022" s="289">
        <f>ROUNDUP(商品マスタ[[#This Row],[仕入単価+国内送料]]/0.8,-1)</f>
        <v/>
      </c>
      <c r="V1022" s="289">
        <f>商品マスタ[[#This Row],[海外定価
（20％）]]-商品マスタ[[#This Row],[仕入単価+国内送料]]</f>
        <v/>
      </c>
      <c r="W1022" s="167">
        <f>ROUNDUP(商品マスタ[[#This Row],[仕入単価+国内送料]]/0.85,-1)</f>
        <v/>
      </c>
      <c r="X1022" s="289">
        <f>商品マスタ[[#This Row],[国内定価
（15％）]]-商品マスタ[[#This Row],[仕入単価+国内送料]]</f>
        <v/>
      </c>
      <c r="Y1022" s="139" t="n"/>
      <c r="Z1022" s="167" t="n"/>
      <c r="AA1022" s="167" t="n"/>
      <c r="AB1022" s="167" t="n"/>
      <c r="AC1022" s="293" t="n"/>
      <c r="AD1022" s="167" t="n"/>
      <c r="AE1022" s="167" t="n"/>
      <c r="AF1022" s="158" t="n"/>
      <c r="AG1022" s="144" t="n"/>
    </row>
    <row r="1023" ht="15.75" customHeight="1" s="207">
      <c r="A1023" s="166" t="n"/>
      <c r="B1023" s="167" t="n"/>
      <c r="C1023" s="167" t="n"/>
      <c r="D1023" s="143">
        <f>"PRD_SNJ_"&amp;
_xlfn.XLOOKUP(商品マスタ[[#This Row],[仕入先]],テーブル1[仕入先名],テーブル1[仕入先コード],"XXX",0,1)&amp;
"_"&amp;
商品マスタ[[#This Row],[シリアル]]&amp;
"_"&amp;
TEXT(COUNTIFS(商品マスタ!$C$3:C1023,商品マスタ[[#This Row],[仕入先]],商品マスタ!$E$3:E1023,商品マスタ[[#This Row],[商品名]]), "00")</f>
        <v/>
      </c>
      <c r="E1023" s="167" t="n"/>
      <c r="F1023" s="167">
        <f>IF(COUNTIFS($C$3:C1023,商品マスタ[[#This Row],[仕入先]],$E$3:E1023,商品マスタ[[#This Row],[商品名]]) = 1, 1,0)</f>
        <v/>
      </c>
      <c r="G1023" s="133">
        <f>TEXT(SUMIF($C$3:C1023,商品マスタ[[#This Row],[仕入先]],$F$3:F1023), "0000")</f>
        <v/>
      </c>
      <c r="H1023" s="167" t="n"/>
      <c r="I1023" s="167" t="n"/>
      <c r="J1023" s="167" t="n"/>
      <c r="K1023" s="167" t="n"/>
      <c r="L1023" s="289" t="n"/>
      <c r="M1023" s="157" t="n"/>
      <c r="N1023" s="289" t="n"/>
      <c r="O1023" s="290">
        <f>IF(COUNT(商品マスタ[[#This Row],[参考上代
（税込)]]) &gt; 0, (商品マスタ[[#This Row],[参考上代
（税込)]]-商品マスタ[[#This Row],[国内定価
（15％）]])/(商品マスタ[[#This Row],[参考上代
（税込)]]/1.08), "")</f>
        <v/>
      </c>
      <c r="P1023" s="136" t="n">
        <v>0.1</v>
      </c>
      <c r="Q1023" s="289">
        <f>商品マスタ[[#This Row],[仕入
単価]]*商品マスタ[[#This Row],[標準国内送料率]]</f>
        <v/>
      </c>
      <c r="R1023" s="289" t="n"/>
      <c r="S1023" s="289">
        <f>IF(ISBLANK(商品マスタ[[#This Row],[実績
国内送料]]),商品マスタ[[#This Row],[標準国内送料]],)</f>
        <v/>
      </c>
      <c r="T1023" s="289">
        <f>商品マスタ[[#This Row],[仕入
単価]]+商品マスタ[[#This Row],[国内送料]]</f>
        <v/>
      </c>
      <c r="U1023" s="289">
        <f>ROUNDUP(商品マスタ[[#This Row],[仕入単価+国内送料]]/0.8,-1)</f>
        <v/>
      </c>
      <c r="V1023" s="289">
        <f>商品マスタ[[#This Row],[海外定価
（20％）]]-商品マスタ[[#This Row],[仕入単価+国内送料]]</f>
        <v/>
      </c>
      <c r="W1023" s="167">
        <f>ROUNDUP(商品マスタ[[#This Row],[仕入単価+国内送料]]/0.85,-1)</f>
        <v/>
      </c>
      <c r="X1023" s="289">
        <f>商品マスタ[[#This Row],[国内定価
（15％）]]-商品マスタ[[#This Row],[仕入単価+国内送料]]</f>
        <v/>
      </c>
      <c r="Y1023" s="139" t="n"/>
      <c r="Z1023" s="167" t="n"/>
      <c r="AA1023" s="167" t="n"/>
      <c r="AB1023" s="167" t="n"/>
      <c r="AC1023" s="293" t="n"/>
      <c r="AD1023" s="167" t="n"/>
      <c r="AE1023" s="167" t="n"/>
      <c r="AF1023" s="158" t="n"/>
      <c r="AG1023" s="144" t="n"/>
    </row>
    <row r="1024" ht="15.75" customHeight="1" s="207">
      <c r="A1024" s="166" t="n"/>
      <c r="B1024" s="167" t="n"/>
      <c r="C1024" s="167" t="n"/>
      <c r="D1024" s="143">
        <f>"PRD_SNJ_"&amp;
_xlfn.XLOOKUP(商品マスタ[[#This Row],[仕入先]],テーブル1[仕入先名],テーブル1[仕入先コード],"XXX",0,1)&amp;
"_"&amp;
商品マスタ[[#This Row],[シリアル]]&amp;
"_"&amp;
TEXT(COUNTIFS(商品マスタ!$C$3:C1024,商品マスタ[[#This Row],[仕入先]],商品マスタ!$E$3:E1024,商品マスタ[[#This Row],[商品名]]), "00")</f>
        <v/>
      </c>
      <c r="E1024" s="167" t="n"/>
      <c r="F1024" s="167">
        <f>IF(COUNTIFS($C$3:C1024,商品マスタ[[#This Row],[仕入先]],$E$3:E1024,商品マスタ[[#This Row],[商品名]]) = 1, 1,0)</f>
        <v/>
      </c>
      <c r="G1024" s="133">
        <f>TEXT(SUMIF($C$3:C1024,商品マスタ[[#This Row],[仕入先]],$F$3:F1024), "0000")</f>
        <v/>
      </c>
      <c r="H1024" s="167" t="n"/>
      <c r="I1024" s="167" t="n"/>
      <c r="J1024" s="167" t="n"/>
      <c r="K1024" s="167" t="n"/>
      <c r="L1024" s="289" t="n"/>
      <c r="M1024" s="157" t="n"/>
      <c r="N1024" s="289" t="n"/>
      <c r="O1024" s="290">
        <f>IF(COUNT(商品マスタ[[#This Row],[参考上代
（税込)]]) &gt; 0, (商品マスタ[[#This Row],[参考上代
（税込)]]-商品マスタ[[#This Row],[国内定価
（15％）]])/(商品マスタ[[#This Row],[参考上代
（税込)]]/1.08), "")</f>
        <v/>
      </c>
      <c r="P1024" s="136" t="n">
        <v>0.1</v>
      </c>
      <c r="Q1024" s="289">
        <f>商品マスタ[[#This Row],[仕入
単価]]*商品マスタ[[#This Row],[標準国内送料率]]</f>
        <v/>
      </c>
      <c r="R1024" s="289" t="n"/>
      <c r="S1024" s="289">
        <f>IF(ISBLANK(商品マスタ[[#This Row],[実績
国内送料]]),商品マスタ[[#This Row],[標準国内送料]],)</f>
        <v/>
      </c>
      <c r="T1024" s="289">
        <f>商品マスタ[[#This Row],[仕入
単価]]+商品マスタ[[#This Row],[国内送料]]</f>
        <v/>
      </c>
      <c r="U1024" s="289">
        <f>ROUNDUP(商品マスタ[[#This Row],[仕入単価+国内送料]]/0.8,-1)</f>
        <v/>
      </c>
      <c r="V1024" s="289">
        <f>商品マスタ[[#This Row],[海外定価
（20％）]]-商品マスタ[[#This Row],[仕入単価+国内送料]]</f>
        <v/>
      </c>
      <c r="W1024" s="167">
        <f>ROUNDUP(商品マスタ[[#This Row],[仕入単価+国内送料]]/0.85,-1)</f>
        <v/>
      </c>
      <c r="X1024" s="289">
        <f>商品マスタ[[#This Row],[国内定価
（15％）]]-商品マスタ[[#This Row],[仕入単価+国内送料]]</f>
        <v/>
      </c>
      <c r="Y1024" s="139" t="n"/>
      <c r="Z1024" s="167" t="n"/>
      <c r="AA1024" s="167" t="n"/>
      <c r="AB1024" s="167" t="n"/>
      <c r="AC1024" s="293" t="n"/>
      <c r="AD1024" s="167" t="n"/>
      <c r="AE1024" s="167" t="n"/>
      <c r="AF1024" s="158" t="n"/>
      <c r="AG1024" s="144" t="n"/>
    </row>
    <row r="1025" ht="15.75" customHeight="1" s="207">
      <c r="A1025" s="166" t="n"/>
      <c r="B1025" s="167" t="n"/>
      <c r="C1025" s="167" t="n"/>
      <c r="D1025" s="143">
        <f>"PRD_SNJ_"&amp;
_xlfn.XLOOKUP(商品マスタ[[#This Row],[仕入先]],テーブル1[仕入先名],テーブル1[仕入先コード],"XXX",0,1)&amp;
"_"&amp;
商品マスタ[[#This Row],[シリアル]]&amp;
"_"&amp;
TEXT(COUNTIFS(商品マスタ!$C$3:C1025,商品マスタ[[#This Row],[仕入先]],商品マスタ!$E$3:E1025,商品マスタ[[#This Row],[商品名]]), "00")</f>
        <v/>
      </c>
      <c r="E1025" s="167" t="n"/>
      <c r="F1025" s="167">
        <f>IF(COUNTIFS($C$3:C1025,商品マスタ[[#This Row],[仕入先]],$E$3:E1025,商品マスタ[[#This Row],[商品名]]) = 1, 1,0)</f>
        <v/>
      </c>
      <c r="G1025" s="133">
        <f>TEXT(SUMIF($C$3:C1025,商品マスタ[[#This Row],[仕入先]],$F$3:F1025), "0000")</f>
        <v/>
      </c>
      <c r="H1025" s="167" t="n"/>
      <c r="I1025" s="167" t="n"/>
      <c r="J1025" s="167" t="n"/>
      <c r="K1025" s="167" t="n"/>
      <c r="L1025" s="289" t="n"/>
      <c r="M1025" s="157" t="n"/>
      <c r="N1025" s="289" t="n"/>
      <c r="O1025" s="290">
        <f>IF(COUNT(商品マスタ[[#This Row],[参考上代
（税込)]]) &gt; 0, (商品マスタ[[#This Row],[参考上代
（税込)]]-商品マスタ[[#This Row],[国内定価
（15％）]])/(商品マスタ[[#This Row],[参考上代
（税込)]]/1.08), "")</f>
        <v/>
      </c>
      <c r="P1025" s="136" t="n">
        <v>0.1</v>
      </c>
      <c r="Q1025" s="289">
        <f>商品マスタ[[#This Row],[仕入
単価]]*商品マスタ[[#This Row],[標準国内送料率]]</f>
        <v/>
      </c>
      <c r="R1025" s="289" t="n"/>
      <c r="S1025" s="289">
        <f>IF(ISBLANK(商品マスタ[[#This Row],[実績
国内送料]]),商品マスタ[[#This Row],[標準国内送料]],)</f>
        <v/>
      </c>
      <c r="T1025" s="289">
        <f>商品マスタ[[#This Row],[仕入
単価]]+商品マスタ[[#This Row],[国内送料]]</f>
        <v/>
      </c>
      <c r="U1025" s="289">
        <f>ROUNDUP(商品マスタ[[#This Row],[仕入単価+国内送料]]/0.8,-1)</f>
        <v/>
      </c>
      <c r="V1025" s="289">
        <f>商品マスタ[[#This Row],[海外定価
（20％）]]-商品マスタ[[#This Row],[仕入単価+国内送料]]</f>
        <v/>
      </c>
      <c r="W1025" s="167">
        <f>ROUNDUP(商品マスタ[[#This Row],[仕入単価+国内送料]]/0.85,-1)</f>
        <v/>
      </c>
      <c r="X1025" s="289">
        <f>商品マスタ[[#This Row],[国内定価
（15％）]]-商品マスタ[[#This Row],[仕入単価+国内送料]]</f>
        <v/>
      </c>
      <c r="Y1025" s="139" t="n"/>
      <c r="Z1025" s="167" t="n"/>
      <c r="AA1025" s="167" t="n"/>
      <c r="AB1025" s="167" t="n"/>
      <c r="AC1025" s="293" t="n"/>
      <c r="AD1025" s="167" t="n"/>
      <c r="AE1025" s="167" t="n"/>
      <c r="AF1025" s="158" t="n"/>
      <c r="AG1025" s="144" t="n"/>
    </row>
    <row r="1026" ht="15.75" customHeight="1" s="207">
      <c r="A1026" s="166" t="n"/>
      <c r="B1026" s="167" t="n"/>
      <c r="C1026" s="167" t="n"/>
      <c r="D1026" s="143">
        <f>"PRD_SNJ_"&amp;
_xlfn.XLOOKUP(商品マスタ[[#This Row],[仕入先]],テーブル1[仕入先名],テーブル1[仕入先コード],"XXX",0,1)&amp;
"_"&amp;
商品マスタ[[#This Row],[シリアル]]&amp;
"_"&amp;
TEXT(COUNTIFS(商品マスタ!$C$3:C1026,商品マスタ[[#This Row],[仕入先]],商品マスタ!$E$3:E1026,商品マスタ[[#This Row],[商品名]]), "00")</f>
        <v/>
      </c>
      <c r="E1026" s="167" t="n"/>
      <c r="F1026" s="167">
        <f>IF(COUNTIFS($C$3:C1026,商品マスタ[[#This Row],[仕入先]],$E$3:E1026,商品マスタ[[#This Row],[商品名]]) = 1, 1,0)</f>
        <v/>
      </c>
      <c r="G1026" s="133">
        <f>TEXT(SUMIF($C$3:C1026,商品マスタ[[#This Row],[仕入先]],$F$3:F1026), "0000")</f>
        <v/>
      </c>
      <c r="H1026" s="167" t="n"/>
      <c r="I1026" s="167" t="n"/>
      <c r="J1026" s="167" t="n"/>
      <c r="K1026" s="167" t="n"/>
      <c r="L1026" s="289" t="n"/>
      <c r="M1026" s="157" t="n"/>
      <c r="N1026" s="289" t="n"/>
      <c r="O1026" s="290">
        <f>IF(COUNT(商品マスタ[[#This Row],[参考上代
（税込)]]) &gt; 0, (商品マスタ[[#This Row],[参考上代
（税込)]]-商品マスタ[[#This Row],[国内定価
（15％）]])/(商品マスタ[[#This Row],[参考上代
（税込)]]/1.08), "")</f>
        <v/>
      </c>
      <c r="P1026" s="136" t="n">
        <v>0.1</v>
      </c>
      <c r="Q1026" s="289">
        <f>商品マスタ[[#This Row],[仕入
単価]]*商品マスタ[[#This Row],[標準国内送料率]]</f>
        <v/>
      </c>
      <c r="R1026" s="289" t="n"/>
      <c r="S1026" s="289">
        <f>IF(ISBLANK(商品マスタ[[#This Row],[実績
国内送料]]),商品マスタ[[#This Row],[標準国内送料]],)</f>
        <v/>
      </c>
      <c r="T1026" s="289">
        <f>商品マスタ[[#This Row],[仕入
単価]]+商品マスタ[[#This Row],[国内送料]]</f>
        <v/>
      </c>
      <c r="U1026" s="289">
        <f>ROUNDUP(商品マスタ[[#This Row],[仕入単価+国内送料]]/0.8,-1)</f>
        <v/>
      </c>
      <c r="V1026" s="289">
        <f>商品マスタ[[#This Row],[海外定価
（20％）]]-商品マスタ[[#This Row],[仕入単価+国内送料]]</f>
        <v/>
      </c>
      <c r="W1026" s="167">
        <f>ROUNDUP(商品マスタ[[#This Row],[仕入単価+国内送料]]/0.85,-1)</f>
        <v/>
      </c>
      <c r="X1026" s="289">
        <f>商品マスタ[[#This Row],[国内定価
（15％）]]-商品マスタ[[#This Row],[仕入単価+国内送料]]</f>
        <v/>
      </c>
      <c r="Y1026" s="139" t="n"/>
      <c r="Z1026" s="167" t="n"/>
      <c r="AA1026" s="167" t="n"/>
      <c r="AB1026" s="167" t="n"/>
      <c r="AC1026" s="293" t="n"/>
      <c r="AD1026" s="167" t="n"/>
      <c r="AE1026" s="167" t="n"/>
      <c r="AF1026" s="158" t="n"/>
      <c r="AG1026" s="144" t="n"/>
    </row>
    <row r="1027" ht="15.75" customHeight="1" s="207">
      <c r="A1027" s="166" t="n"/>
      <c r="B1027" s="167" t="n"/>
      <c r="C1027" s="167" t="n"/>
      <c r="D1027" s="143">
        <f>"PRD_SNJ_"&amp;
_xlfn.XLOOKUP(商品マスタ[[#This Row],[仕入先]],テーブル1[仕入先名],テーブル1[仕入先コード],"XXX",0,1)&amp;
"_"&amp;
商品マスタ[[#This Row],[シリアル]]&amp;
"_"&amp;
TEXT(COUNTIFS(商品マスタ!$C$3:C1027,商品マスタ[[#This Row],[仕入先]],商品マスタ!$E$3:E1027,商品マスタ[[#This Row],[商品名]]), "00")</f>
        <v/>
      </c>
      <c r="E1027" s="167" t="n"/>
      <c r="F1027" s="167">
        <f>IF(COUNTIFS($C$3:C1027,商品マスタ[[#This Row],[仕入先]],$E$3:E1027,商品マスタ[[#This Row],[商品名]]) = 1, 1,0)</f>
        <v/>
      </c>
      <c r="G1027" s="133">
        <f>TEXT(SUMIF($C$3:C1027,商品マスタ[[#This Row],[仕入先]],$F$3:F1027), "0000")</f>
        <v/>
      </c>
      <c r="H1027" s="167" t="n"/>
      <c r="I1027" s="167" t="n"/>
      <c r="J1027" s="167" t="n"/>
      <c r="K1027" s="167" t="n"/>
      <c r="L1027" s="289" t="n"/>
      <c r="M1027" s="157" t="n"/>
      <c r="N1027" s="289" t="n"/>
      <c r="O1027" s="290">
        <f>IF(COUNT(商品マスタ[[#This Row],[参考上代
（税込)]]) &gt; 0, (商品マスタ[[#This Row],[参考上代
（税込)]]-商品マスタ[[#This Row],[国内定価
（15％）]])/(商品マスタ[[#This Row],[参考上代
（税込)]]/1.08), "")</f>
        <v/>
      </c>
      <c r="P1027" s="136" t="n">
        <v>0.1</v>
      </c>
      <c r="Q1027" s="289">
        <f>商品マスタ[[#This Row],[仕入
単価]]*商品マスタ[[#This Row],[標準国内送料率]]</f>
        <v/>
      </c>
      <c r="R1027" s="289" t="n"/>
      <c r="S1027" s="289">
        <f>IF(ISBLANK(商品マスタ[[#This Row],[実績
国内送料]]),商品マスタ[[#This Row],[標準国内送料]],)</f>
        <v/>
      </c>
      <c r="T1027" s="289">
        <f>商品マスタ[[#This Row],[仕入
単価]]+商品マスタ[[#This Row],[国内送料]]</f>
        <v/>
      </c>
      <c r="U1027" s="289">
        <f>ROUNDUP(商品マスタ[[#This Row],[仕入単価+国内送料]]/0.8,-1)</f>
        <v/>
      </c>
      <c r="V1027" s="289">
        <f>商品マスタ[[#This Row],[海外定価
（20％）]]-商品マスタ[[#This Row],[仕入単価+国内送料]]</f>
        <v/>
      </c>
      <c r="W1027" s="167">
        <f>ROUNDUP(商品マスタ[[#This Row],[仕入単価+国内送料]]/0.85,-1)</f>
        <v/>
      </c>
      <c r="X1027" s="289">
        <f>商品マスタ[[#This Row],[国内定価
（15％）]]-商品マスタ[[#This Row],[仕入単価+国内送料]]</f>
        <v/>
      </c>
      <c r="Y1027" s="139" t="n"/>
      <c r="Z1027" s="167" t="n"/>
      <c r="AA1027" s="167" t="n"/>
      <c r="AB1027" s="167" t="n"/>
      <c r="AC1027" s="293" t="n"/>
      <c r="AD1027" s="167" t="n"/>
      <c r="AE1027" s="167" t="n"/>
      <c r="AF1027" s="158" t="n"/>
      <c r="AG1027" s="144" t="n"/>
    </row>
    <row r="1028" ht="15.75" customHeight="1" s="207">
      <c r="A1028" s="166" t="n"/>
      <c r="B1028" s="167" t="n"/>
      <c r="C1028" s="167" t="n"/>
      <c r="D1028" s="143">
        <f>"PRD_SNJ_"&amp;
_xlfn.XLOOKUP(商品マスタ[[#This Row],[仕入先]],テーブル1[仕入先名],テーブル1[仕入先コード],"XXX",0,1)&amp;
"_"&amp;
商品マスタ[[#This Row],[シリアル]]&amp;
"_"&amp;
TEXT(COUNTIFS(商品マスタ!$C$3:C1028,商品マスタ[[#This Row],[仕入先]],商品マスタ!$E$3:E1028,商品マスタ[[#This Row],[商品名]]), "00")</f>
        <v/>
      </c>
      <c r="E1028" s="167" t="n"/>
      <c r="F1028" s="167">
        <f>IF(COUNTIFS($C$3:C1028,商品マスタ[[#This Row],[仕入先]],$E$3:E1028,商品マスタ[[#This Row],[商品名]]) = 1, 1,0)</f>
        <v/>
      </c>
      <c r="G1028" s="133">
        <f>TEXT(SUMIF($C$3:C1028,商品マスタ[[#This Row],[仕入先]],$F$3:F1028), "0000")</f>
        <v/>
      </c>
      <c r="H1028" s="167" t="n"/>
      <c r="I1028" s="167" t="n"/>
      <c r="J1028" s="167" t="n"/>
      <c r="K1028" s="167" t="n"/>
      <c r="L1028" s="289" t="n"/>
      <c r="M1028" s="157" t="n"/>
      <c r="N1028" s="289" t="n"/>
      <c r="O1028" s="290">
        <f>IF(COUNT(商品マスタ[[#This Row],[参考上代
（税込)]]) &gt; 0, (商品マスタ[[#This Row],[参考上代
（税込)]]-商品マスタ[[#This Row],[国内定価
（15％）]])/(商品マスタ[[#This Row],[参考上代
（税込)]]/1.08), "")</f>
        <v/>
      </c>
      <c r="P1028" s="136" t="n">
        <v>0.1</v>
      </c>
      <c r="Q1028" s="289">
        <f>商品マスタ[[#This Row],[仕入
単価]]*商品マスタ[[#This Row],[標準国内送料率]]</f>
        <v/>
      </c>
      <c r="R1028" s="289" t="n"/>
      <c r="S1028" s="289">
        <f>IF(ISBLANK(商品マスタ[[#This Row],[実績
国内送料]]),商品マスタ[[#This Row],[標準国内送料]],)</f>
        <v/>
      </c>
      <c r="T1028" s="289">
        <f>商品マスタ[[#This Row],[仕入
単価]]+商品マスタ[[#This Row],[国内送料]]</f>
        <v/>
      </c>
      <c r="U1028" s="289">
        <f>ROUNDUP(商品マスタ[[#This Row],[仕入単価+国内送料]]/0.8,-1)</f>
        <v/>
      </c>
      <c r="V1028" s="289">
        <f>商品マスタ[[#This Row],[海外定価
（20％）]]-商品マスタ[[#This Row],[仕入単価+国内送料]]</f>
        <v/>
      </c>
      <c r="W1028" s="167">
        <f>ROUNDUP(商品マスタ[[#This Row],[仕入単価+国内送料]]/0.85,-1)</f>
        <v/>
      </c>
      <c r="X1028" s="289">
        <f>商品マスタ[[#This Row],[国内定価
（15％）]]-商品マスタ[[#This Row],[仕入単価+国内送料]]</f>
        <v/>
      </c>
      <c r="Y1028" s="139" t="n"/>
      <c r="Z1028" s="167" t="n"/>
      <c r="AA1028" s="167" t="n"/>
      <c r="AB1028" s="167" t="n"/>
      <c r="AC1028" s="293" t="n"/>
      <c r="AD1028" s="167" t="n"/>
      <c r="AE1028" s="167" t="n"/>
      <c r="AF1028" s="158" t="n"/>
      <c r="AG1028" s="144" t="n"/>
    </row>
    <row r="1029" ht="15.75" customHeight="1" s="207">
      <c r="A1029" s="166" t="n"/>
      <c r="B1029" s="167" t="n"/>
      <c r="C1029" s="167" t="n"/>
      <c r="D1029" s="143">
        <f>"PRD_SNJ_"&amp;
_xlfn.XLOOKUP(商品マスタ[[#This Row],[仕入先]],テーブル1[仕入先名],テーブル1[仕入先コード],"XXX",0,1)&amp;
"_"&amp;
商品マスタ[[#This Row],[シリアル]]&amp;
"_"&amp;
TEXT(COUNTIFS(商品マスタ!$C$3:C1029,商品マスタ[[#This Row],[仕入先]],商品マスタ!$E$3:E1029,商品マスタ[[#This Row],[商品名]]), "00")</f>
        <v/>
      </c>
      <c r="E1029" s="167" t="n"/>
      <c r="F1029" s="167">
        <f>IF(COUNTIFS($C$3:C1029,商品マスタ[[#This Row],[仕入先]],$E$3:E1029,商品マスタ[[#This Row],[商品名]]) = 1, 1,0)</f>
        <v/>
      </c>
      <c r="G1029" s="133">
        <f>TEXT(SUMIF($C$3:C1029,商品マスタ[[#This Row],[仕入先]],$F$3:F1029), "0000")</f>
        <v/>
      </c>
      <c r="H1029" s="167" t="n"/>
      <c r="I1029" s="167" t="n"/>
      <c r="J1029" s="167" t="n"/>
      <c r="K1029" s="167" t="n"/>
      <c r="L1029" s="289" t="n"/>
      <c r="M1029" s="157" t="n"/>
      <c r="N1029" s="289" t="n"/>
      <c r="O1029" s="290">
        <f>IF(COUNT(商品マスタ[[#This Row],[参考上代
（税込)]]) &gt; 0, (商品マスタ[[#This Row],[参考上代
（税込)]]-商品マスタ[[#This Row],[国内定価
（15％）]])/(商品マスタ[[#This Row],[参考上代
（税込)]]/1.08), "")</f>
        <v/>
      </c>
      <c r="P1029" s="136" t="n">
        <v>0.1</v>
      </c>
      <c r="Q1029" s="289">
        <f>商品マスタ[[#This Row],[仕入
単価]]*商品マスタ[[#This Row],[標準国内送料率]]</f>
        <v/>
      </c>
      <c r="R1029" s="289" t="n"/>
      <c r="S1029" s="289">
        <f>IF(ISBLANK(商品マスタ[[#This Row],[実績
国内送料]]),商品マスタ[[#This Row],[標準国内送料]],)</f>
        <v/>
      </c>
      <c r="T1029" s="289">
        <f>商品マスタ[[#This Row],[仕入
単価]]+商品マスタ[[#This Row],[国内送料]]</f>
        <v/>
      </c>
      <c r="U1029" s="289">
        <f>ROUNDUP(商品マスタ[[#This Row],[仕入単価+国内送料]]/0.8,-1)</f>
        <v/>
      </c>
      <c r="V1029" s="289">
        <f>商品マスタ[[#This Row],[海外定価
（20％）]]-商品マスタ[[#This Row],[仕入単価+国内送料]]</f>
        <v/>
      </c>
      <c r="W1029" s="167">
        <f>ROUNDUP(商品マスタ[[#This Row],[仕入単価+国内送料]]/0.85,-1)</f>
        <v/>
      </c>
      <c r="X1029" s="289">
        <f>商品マスタ[[#This Row],[国内定価
（15％）]]-商品マスタ[[#This Row],[仕入単価+国内送料]]</f>
        <v/>
      </c>
      <c r="Y1029" s="139" t="n"/>
      <c r="Z1029" s="167" t="n"/>
      <c r="AA1029" s="167" t="n"/>
      <c r="AB1029" s="167" t="n"/>
      <c r="AC1029" s="293" t="n"/>
      <c r="AD1029" s="167" t="n"/>
      <c r="AE1029" s="167" t="n"/>
      <c r="AF1029" s="158" t="n"/>
      <c r="AG1029" s="144" t="n"/>
    </row>
    <row r="1030" ht="15.75" customHeight="1" s="207">
      <c r="A1030" s="166" t="n"/>
      <c r="B1030" s="167" t="n"/>
      <c r="C1030" s="167" t="n"/>
      <c r="D1030" s="143">
        <f>"PRD_SNJ_"&amp;
_xlfn.XLOOKUP(商品マスタ[[#This Row],[仕入先]],テーブル1[仕入先名],テーブル1[仕入先コード],"XXX",0,1)&amp;
"_"&amp;
商品マスタ[[#This Row],[シリアル]]&amp;
"_"&amp;
TEXT(COUNTIFS(商品マスタ!$C$3:C1030,商品マスタ[[#This Row],[仕入先]],商品マスタ!$E$3:E1030,商品マスタ[[#This Row],[商品名]]), "00")</f>
        <v/>
      </c>
      <c r="E1030" s="167" t="n"/>
      <c r="F1030" s="167">
        <f>IF(COUNTIFS($C$3:C1030,商品マスタ[[#This Row],[仕入先]],$E$3:E1030,商品マスタ[[#This Row],[商品名]]) = 1, 1,0)</f>
        <v/>
      </c>
      <c r="G1030" s="133">
        <f>TEXT(SUMIF($C$3:C1030,商品マスタ[[#This Row],[仕入先]],$F$3:F1030), "0000")</f>
        <v/>
      </c>
      <c r="H1030" s="167" t="n"/>
      <c r="I1030" s="167" t="n"/>
      <c r="J1030" s="167" t="n"/>
      <c r="K1030" s="167" t="n"/>
      <c r="L1030" s="289" t="n"/>
      <c r="M1030" s="157" t="n"/>
      <c r="N1030" s="289" t="n"/>
      <c r="O1030" s="290">
        <f>IF(COUNT(商品マスタ[[#This Row],[参考上代
（税込)]]) &gt; 0, (商品マスタ[[#This Row],[参考上代
（税込)]]-商品マスタ[[#This Row],[国内定価
（15％）]])/(商品マスタ[[#This Row],[参考上代
（税込)]]/1.08), "")</f>
        <v/>
      </c>
      <c r="P1030" s="136" t="n">
        <v>0.1</v>
      </c>
      <c r="Q1030" s="289">
        <f>商品マスタ[[#This Row],[仕入
単価]]*商品マスタ[[#This Row],[標準国内送料率]]</f>
        <v/>
      </c>
      <c r="R1030" s="289" t="n"/>
      <c r="S1030" s="289">
        <f>IF(ISBLANK(商品マスタ[[#This Row],[実績
国内送料]]),商品マスタ[[#This Row],[標準国内送料]],)</f>
        <v/>
      </c>
      <c r="T1030" s="289">
        <f>商品マスタ[[#This Row],[仕入
単価]]+商品マスタ[[#This Row],[国内送料]]</f>
        <v/>
      </c>
      <c r="U1030" s="289">
        <f>ROUNDUP(商品マスタ[[#This Row],[仕入単価+国内送料]]/0.8,-1)</f>
        <v/>
      </c>
      <c r="V1030" s="289">
        <f>商品マスタ[[#This Row],[海外定価
（20％）]]-商品マスタ[[#This Row],[仕入単価+国内送料]]</f>
        <v/>
      </c>
      <c r="W1030" s="167">
        <f>ROUNDUP(商品マスタ[[#This Row],[仕入単価+国内送料]]/0.85,-1)</f>
        <v/>
      </c>
      <c r="X1030" s="289">
        <f>商品マスタ[[#This Row],[国内定価
（15％）]]-商品マスタ[[#This Row],[仕入単価+国内送料]]</f>
        <v/>
      </c>
      <c r="Y1030" s="139" t="n"/>
      <c r="Z1030" s="167" t="n"/>
      <c r="AA1030" s="167" t="n"/>
      <c r="AB1030" s="167" t="n"/>
      <c r="AC1030" s="293" t="n"/>
      <c r="AD1030" s="167" t="n"/>
      <c r="AE1030" s="167" t="n"/>
      <c r="AF1030" s="158" t="n"/>
      <c r="AG1030" s="144" t="n"/>
    </row>
    <row r="1031" ht="15.75" customHeight="1" s="207">
      <c r="A1031" s="166" t="n"/>
      <c r="B1031" s="167" t="n"/>
      <c r="C1031" s="167" t="n"/>
      <c r="D1031" s="143">
        <f>"PRD_SNJ_"&amp;
_xlfn.XLOOKUP(商品マスタ[[#This Row],[仕入先]],テーブル1[仕入先名],テーブル1[仕入先コード],"XXX",0,1)&amp;
"_"&amp;
商品マスタ[[#This Row],[シリアル]]&amp;
"_"&amp;
TEXT(COUNTIFS(商品マスタ!$C$3:C1031,商品マスタ[[#This Row],[仕入先]],商品マスタ!$E$3:E1031,商品マスタ[[#This Row],[商品名]]), "00")</f>
        <v/>
      </c>
      <c r="E1031" s="167" t="n"/>
      <c r="F1031" s="167">
        <f>IF(COUNTIFS($C$3:C1031,商品マスタ[[#This Row],[仕入先]],$E$3:E1031,商品マスタ[[#This Row],[商品名]]) = 1, 1,0)</f>
        <v/>
      </c>
      <c r="G1031" s="133">
        <f>TEXT(SUMIF($C$3:C1031,商品マスタ[[#This Row],[仕入先]],$F$3:F1031), "0000")</f>
        <v/>
      </c>
      <c r="H1031" s="167" t="n"/>
      <c r="I1031" s="167" t="n"/>
      <c r="J1031" s="167" t="n"/>
      <c r="K1031" s="167" t="n"/>
      <c r="L1031" s="289" t="n"/>
      <c r="M1031" s="157" t="n"/>
      <c r="N1031" s="289" t="n"/>
      <c r="O1031" s="290">
        <f>IF(COUNT(商品マスタ[[#This Row],[参考上代
（税込)]]) &gt; 0, (商品マスタ[[#This Row],[参考上代
（税込)]]-商品マスタ[[#This Row],[国内定価
（15％）]])/(商品マスタ[[#This Row],[参考上代
（税込)]]/1.08), "")</f>
        <v/>
      </c>
      <c r="P1031" s="136" t="n">
        <v>0.1</v>
      </c>
      <c r="Q1031" s="289">
        <f>商品マスタ[[#This Row],[仕入
単価]]*商品マスタ[[#This Row],[標準国内送料率]]</f>
        <v/>
      </c>
      <c r="R1031" s="289" t="n"/>
      <c r="S1031" s="289">
        <f>IF(ISBLANK(商品マスタ[[#This Row],[実績
国内送料]]),商品マスタ[[#This Row],[標準国内送料]],)</f>
        <v/>
      </c>
      <c r="T1031" s="289">
        <f>商品マスタ[[#This Row],[仕入
単価]]+商品マスタ[[#This Row],[国内送料]]</f>
        <v/>
      </c>
      <c r="U1031" s="289">
        <f>ROUNDUP(商品マスタ[[#This Row],[仕入単価+国内送料]]/0.8,-1)</f>
        <v/>
      </c>
      <c r="V1031" s="289">
        <f>商品マスタ[[#This Row],[海外定価
（20％）]]-商品マスタ[[#This Row],[仕入単価+国内送料]]</f>
        <v/>
      </c>
      <c r="W1031" s="167">
        <f>ROUNDUP(商品マスタ[[#This Row],[仕入単価+国内送料]]/0.85,-1)</f>
        <v/>
      </c>
      <c r="X1031" s="289">
        <f>商品マスタ[[#This Row],[国内定価
（15％）]]-商品マスタ[[#This Row],[仕入単価+国内送料]]</f>
        <v/>
      </c>
      <c r="Y1031" s="139" t="n"/>
      <c r="Z1031" s="167" t="n"/>
      <c r="AA1031" s="167" t="n"/>
      <c r="AB1031" s="167" t="n"/>
      <c r="AC1031" s="293" t="n"/>
      <c r="AD1031" s="167" t="n"/>
      <c r="AE1031" s="167" t="n"/>
      <c r="AF1031" s="158" t="n"/>
      <c r="AG1031" s="144" t="n"/>
    </row>
    <row r="1032" ht="15.75" customHeight="1" s="207">
      <c r="A1032" s="166" t="n"/>
      <c r="B1032" s="167" t="n"/>
      <c r="C1032" s="167" t="n"/>
      <c r="D1032" s="143">
        <f>"PRD_SNJ_"&amp;
_xlfn.XLOOKUP(商品マスタ[[#This Row],[仕入先]],テーブル1[仕入先名],テーブル1[仕入先コード],"XXX",0,1)&amp;
"_"&amp;
商品マスタ[[#This Row],[シリアル]]&amp;
"_"&amp;
TEXT(COUNTIFS(商品マスタ!$C$3:C1032,商品マスタ[[#This Row],[仕入先]],商品マスタ!$E$3:E1032,商品マスタ[[#This Row],[商品名]]), "00")</f>
        <v/>
      </c>
      <c r="E1032" s="167" t="n"/>
      <c r="F1032" s="167">
        <f>IF(COUNTIFS($C$3:C1032,商品マスタ[[#This Row],[仕入先]],$E$3:E1032,商品マスタ[[#This Row],[商品名]]) = 1, 1,0)</f>
        <v/>
      </c>
      <c r="G1032" s="133">
        <f>TEXT(SUMIF($C$3:C1032,商品マスタ[[#This Row],[仕入先]],$F$3:F1032), "0000")</f>
        <v/>
      </c>
      <c r="H1032" s="167" t="n"/>
      <c r="I1032" s="167" t="n"/>
      <c r="J1032" s="167" t="n"/>
      <c r="K1032" s="167" t="n"/>
      <c r="L1032" s="289" t="n"/>
      <c r="M1032" s="157" t="n"/>
      <c r="N1032" s="289" t="n"/>
      <c r="O1032" s="290">
        <f>IF(COUNT(商品マスタ[[#This Row],[参考上代
（税込)]]) &gt; 0, (商品マスタ[[#This Row],[参考上代
（税込)]]-商品マスタ[[#This Row],[国内定価
（15％）]])/(商品マスタ[[#This Row],[参考上代
（税込)]]/1.08), "")</f>
        <v/>
      </c>
      <c r="P1032" s="136" t="n">
        <v>0.1</v>
      </c>
      <c r="Q1032" s="289">
        <f>商品マスタ[[#This Row],[仕入
単価]]*商品マスタ[[#This Row],[標準国内送料率]]</f>
        <v/>
      </c>
      <c r="R1032" s="289" t="n"/>
      <c r="S1032" s="289">
        <f>IF(ISBLANK(商品マスタ[[#This Row],[実績
国内送料]]),商品マスタ[[#This Row],[標準国内送料]],)</f>
        <v/>
      </c>
      <c r="T1032" s="289">
        <f>商品マスタ[[#This Row],[仕入
単価]]+商品マスタ[[#This Row],[国内送料]]</f>
        <v/>
      </c>
      <c r="U1032" s="289">
        <f>ROUNDUP(商品マスタ[[#This Row],[仕入単価+国内送料]]/0.8,-1)</f>
        <v/>
      </c>
      <c r="V1032" s="289">
        <f>商品マスタ[[#This Row],[海外定価
（20％）]]-商品マスタ[[#This Row],[仕入単価+国内送料]]</f>
        <v/>
      </c>
      <c r="W1032" s="167">
        <f>ROUNDUP(商品マスタ[[#This Row],[仕入単価+国内送料]]/0.85,-1)</f>
        <v/>
      </c>
      <c r="X1032" s="289">
        <f>商品マスタ[[#This Row],[国内定価
（15％）]]-商品マスタ[[#This Row],[仕入単価+国内送料]]</f>
        <v/>
      </c>
      <c r="Y1032" s="139" t="n"/>
      <c r="Z1032" s="167" t="n"/>
      <c r="AA1032" s="167" t="n"/>
      <c r="AB1032" s="167" t="n"/>
      <c r="AC1032" s="293" t="n"/>
      <c r="AD1032" s="167" t="n"/>
      <c r="AE1032" s="167" t="n"/>
      <c r="AF1032" s="158" t="n"/>
      <c r="AG1032" s="144" t="n"/>
    </row>
    <row r="1033" ht="15.75" customHeight="1" s="207">
      <c r="A1033" s="166" t="n"/>
      <c r="B1033" s="167" t="n"/>
      <c r="C1033" s="167" t="n"/>
      <c r="D1033" s="143">
        <f>"PRD_SNJ_"&amp;
_xlfn.XLOOKUP(商品マスタ[[#This Row],[仕入先]],テーブル1[仕入先名],テーブル1[仕入先コード],"XXX",0,1)&amp;
"_"&amp;
商品マスタ[[#This Row],[シリアル]]&amp;
"_"&amp;
TEXT(COUNTIFS(商品マスタ!$C$3:C1033,商品マスタ[[#This Row],[仕入先]],商品マスタ!$E$3:E1033,商品マスタ[[#This Row],[商品名]]), "00")</f>
        <v/>
      </c>
      <c r="E1033" s="167" t="n"/>
      <c r="F1033" s="167">
        <f>IF(COUNTIFS($C$3:C1033,商品マスタ[[#This Row],[仕入先]],$E$3:E1033,商品マスタ[[#This Row],[商品名]]) = 1, 1,0)</f>
        <v/>
      </c>
      <c r="G1033" s="133">
        <f>TEXT(SUMIF($C$3:C1033,商品マスタ[[#This Row],[仕入先]],$F$3:F1033), "0000")</f>
        <v/>
      </c>
      <c r="H1033" s="167" t="n"/>
      <c r="I1033" s="167" t="n"/>
      <c r="J1033" s="167" t="n"/>
      <c r="K1033" s="167" t="n"/>
      <c r="L1033" s="289" t="n"/>
      <c r="M1033" s="157" t="n"/>
      <c r="N1033" s="289" t="n"/>
      <c r="O1033" s="290">
        <f>IF(COUNT(商品マスタ[[#This Row],[参考上代
（税込)]]) &gt; 0, (商品マスタ[[#This Row],[参考上代
（税込)]]-商品マスタ[[#This Row],[国内定価
（15％）]])/(商品マスタ[[#This Row],[参考上代
（税込)]]/1.08), "")</f>
        <v/>
      </c>
      <c r="P1033" s="136" t="n">
        <v>0.1</v>
      </c>
      <c r="Q1033" s="289">
        <f>商品マスタ[[#This Row],[仕入
単価]]*商品マスタ[[#This Row],[標準国内送料率]]</f>
        <v/>
      </c>
      <c r="R1033" s="289" t="n"/>
      <c r="S1033" s="289">
        <f>IF(ISBLANK(商品マスタ[[#This Row],[実績
国内送料]]),商品マスタ[[#This Row],[標準国内送料]],)</f>
        <v/>
      </c>
      <c r="T1033" s="289">
        <f>商品マスタ[[#This Row],[仕入
単価]]+商品マスタ[[#This Row],[国内送料]]</f>
        <v/>
      </c>
      <c r="U1033" s="289">
        <f>ROUNDUP(商品マスタ[[#This Row],[仕入単価+国内送料]]/0.8,-1)</f>
        <v/>
      </c>
      <c r="V1033" s="289">
        <f>商品マスタ[[#This Row],[海外定価
（20％）]]-商品マスタ[[#This Row],[仕入単価+国内送料]]</f>
        <v/>
      </c>
      <c r="W1033" s="167">
        <f>ROUNDUP(商品マスタ[[#This Row],[仕入単価+国内送料]]/0.85,-1)</f>
        <v/>
      </c>
      <c r="X1033" s="289">
        <f>商品マスタ[[#This Row],[国内定価
（15％）]]-商品マスタ[[#This Row],[仕入単価+国内送料]]</f>
        <v/>
      </c>
      <c r="Y1033" s="139" t="n"/>
      <c r="Z1033" s="167" t="n"/>
      <c r="AA1033" s="167" t="n"/>
      <c r="AB1033" s="167" t="n"/>
      <c r="AC1033" s="293" t="n"/>
      <c r="AD1033" s="167" t="n"/>
      <c r="AE1033" s="167" t="n"/>
      <c r="AF1033" s="158" t="n"/>
      <c r="AG1033" s="144" t="n"/>
    </row>
    <row r="1034" ht="15.75" customHeight="1" s="207">
      <c r="A1034" s="166" t="n"/>
      <c r="B1034" s="167" t="n"/>
      <c r="C1034" s="167" t="n"/>
      <c r="D1034" s="143">
        <f>"PRD_SNJ_"&amp;
_xlfn.XLOOKUP(商品マスタ[[#This Row],[仕入先]],テーブル1[仕入先名],テーブル1[仕入先コード],"XXX",0,1)&amp;
"_"&amp;
商品マスタ[[#This Row],[シリアル]]&amp;
"_"&amp;
TEXT(COUNTIFS(商品マスタ!$C$3:C1034,商品マスタ[[#This Row],[仕入先]],商品マスタ!$E$3:E1034,商品マスタ[[#This Row],[商品名]]), "00")</f>
        <v/>
      </c>
      <c r="E1034" s="167" t="n"/>
      <c r="F1034" s="167">
        <f>IF(COUNTIFS($C$3:C1034,商品マスタ[[#This Row],[仕入先]],$E$3:E1034,商品マスタ[[#This Row],[商品名]]) = 1, 1,0)</f>
        <v/>
      </c>
      <c r="G1034" s="133">
        <f>TEXT(SUMIF($C$3:C1034,商品マスタ[[#This Row],[仕入先]],$F$3:F1034), "0000")</f>
        <v/>
      </c>
      <c r="H1034" s="167" t="n"/>
      <c r="I1034" s="167" t="n"/>
      <c r="J1034" s="167" t="n"/>
      <c r="K1034" s="167" t="n"/>
      <c r="L1034" s="289" t="n"/>
      <c r="M1034" s="157" t="n"/>
      <c r="N1034" s="289" t="n"/>
      <c r="O1034" s="290">
        <f>IF(COUNT(商品マスタ[[#This Row],[参考上代
（税込)]]) &gt; 0, (商品マスタ[[#This Row],[参考上代
（税込)]]-商品マスタ[[#This Row],[国内定価
（15％）]])/(商品マスタ[[#This Row],[参考上代
（税込)]]/1.08), "")</f>
        <v/>
      </c>
      <c r="P1034" s="136" t="n">
        <v>0.1</v>
      </c>
      <c r="Q1034" s="289">
        <f>商品マスタ[[#This Row],[仕入
単価]]*商品マスタ[[#This Row],[標準国内送料率]]</f>
        <v/>
      </c>
      <c r="R1034" s="289" t="n"/>
      <c r="S1034" s="289">
        <f>IF(ISBLANK(商品マスタ[[#This Row],[実績
国内送料]]),商品マスタ[[#This Row],[標準国内送料]],)</f>
        <v/>
      </c>
      <c r="T1034" s="289">
        <f>商品マスタ[[#This Row],[仕入
単価]]+商品マスタ[[#This Row],[国内送料]]</f>
        <v/>
      </c>
      <c r="U1034" s="289">
        <f>ROUNDUP(商品マスタ[[#This Row],[仕入単価+国内送料]]/0.8,-1)</f>
        <v/>
      </c>
      <c r="V1034" s="289">
        <f>商品マスタ[[#This Row],[海外定価
（20％）]]-商品マスタ[[#This Row],[仕入単価+国内送料]]</f>
        <v/>
      </c>
      <c r="W1034" s="167">
        <f>ROUNDUP(商品マスタ[[#This Row],[仕入単価+国内送料]]/0.85,-1)</f>
        <v/>
      </c>
      <c r="X1034" s="289">
        <f>商品マスタ[[#This Row],[国内定価
（15％）]]-商品マスタ[[#This Row],[仕入単価+国内送料]]</f>
        <v/>
      </c>
      <c r="Y1034" s="139" t="n"/>
      <c r="Z1034" s="167" t="n"/>
      <c r="AA1034" s="167" t="n"/>
      <c r="AB1034" s="167" t="n"/>
      <c r="AC1034" s="293" t="n"/>
      <c r="AD1034" s="167" t="n"/>
      <c r="AE1034" s="167" t="n"/>
      <c r="AF1034" s="158" t="n"/>
      <c r="AG1034" s="144" t="n"/>
    </row>
    <row r="1035" ht="15.75" customHeight="1" s="207">
      <c r="A1035" s="166" t="n"/>
      <c r="B1035" s="167" t="n"/>
      <c r="C1035" s="167" t="n"/>
      <c r="D1035" s="143">
        <f>"PRD_SNJ_"&amp;
_xlfn.XLOOKUP(商品マスタ[[#This Row],[仕入先]],テーブル1[仕入先名],テーブル1[仕入先コード],"XXX",0,1)&amp;
"_"&amp;
商品マスタ[[#This Row],[シリアル]]&amp;
"_"&amp;
TEXT(COUNTIFS(商品マスタ!$C$3:C1035,商品マスタ[[#This Row],[仕入先]],商品マスタ!$E$3:E1035,商品マスタ[[#This Row],[商品名]]), "00")</f>
        <v/>
      </c>
      <c r="E1035" s="167" t="n"/>
      <c r="F1035" s="167">
        <f>IF(COUNTIFS($C$3:C1035,商品マスタ[[#This Row],[仕入先]],$E$3:E1035,商品マスタ[[#This Row],[商品名]]) = 1, 1,0)</f>
        <v/>
      </c>
      <c r="G1035" s="133">
        <f>TEXT(SUMIF($C$3:C1035,商品マスタ[[#This Row],[仕入先]],$F$3:F1035), "0000")</f>
        <v/>
      </c>
      <c r="H1035" s="167" t="n"/>
      <c r="I1035" s="167" t="n"/>
      <c r="J1035" s="167" t="n"/>
      <c r="K1035" s="167" t="n"/>
      <c r="L1035" s="289" t="n"/>
      <c r="M1035" s="157" t="n"/>
      <c r="N1035" s="289" t="n"/>
      <c r="O1035" s="290">
        <f>IF(COUNT(商品マスタ[[#This Row],[参考上代
（税込)]]) &gt; 0, (商品マスタ[[#This Row],[参考上代
（税込)]]-商品マスタ[[#This Row],[国内定価
（15％）]])/(商品マスタ[[#This Row],[参考上代
（税込)]]/1.08), "")</f>
        <v/>
      </c>
      <c r="P1035" s="136" t="n">
        <v>0.1</v>
      </c>
      <c r="Q1035" s="289">
        <f>商品マスタ[[#This Row],[仕入
単価]]*商品マスタ[[#This Row],[標準国内送料率]]</f>
        <v/>
      </c>
      <c r="R1035" s="289" t="n"/>
      <c r="S1035" s="289">
        <f>IF(ISBLANK(商品マスタ[[#This Row],[実績
国内送料]]),商品マスタ[[#This Row],[標準国内送料]],)</f>
        <v/>
      </c>
      <c r="T1035" s="289">
        <f>商品マスタ[[#This Row],[仕入
単価]]+商品マスタ[[#This Row],[国内送料]]</f>
        <v/>
      </c>
      <c r="U1035" s="289">
        <f>ROUNDUP(商品マスタ[[#This Row],[仕入単価+国内送料]]/0.8,-1)</f>
        <v/>
      </c>
      <c r="V1035" s="289">
        <f>商品マスタ[[#This Row],[海外定価
（20％）]]-商品マスタ[[#This Row],[仕入単価+国内送料]]</f>
        <v/>
      </c>
      <c r="W1035" s="167">
        <f>ROUNDUP(商品マスタ[[#This Row],[仕入単価+国内送料]]/0.85,-1)</f>
        <v/>
      </c>
      <c r="X1035" s="289">
        <f>商品マスタ[[#This Row],[国内定価
（15％）]]-商品マスタ[[#This Row],[仕入単価+国内送料]]</f>
        <v/>
      </c>
      <c r="Y1035" s="139" t="n"/>
      <c r="Z1035" s="167" t="n"/>
      <c r="AA1035" s="167" t="n"/>
      <c r="AB1035" s="167" t="n"/>
      <c r="AC1035" s="293" t="n"/>
      <c r="AD1035" s="167" t="n"/>
      <c r="AE1035" s="167" t="n"/>
      <c r="AF1035" s="158" t="n"/>
      <c r="AG1035" s="144" t="n"/>
    </row>
    <row r="1036" ht="15.75" customHeight="1" s="207">
      <c r="A1036" s="166" t="n"/>
      <c r="B1036" s="167" t="n"/>
      <c r="C1036" s="167" t="n"/>
      <c r="D1036" s="143">
        <f>"PRD_SNJ_"&amp;
_xlfn.XLOOKUP(商品マスタ[[#This Row],[仕入先]],テーブル1[仕入先名],テーブル1[仕入先コード],"XXX",0,1)&amp;
"_"&amp;
商品マスタ[[#This Row],[シリアル]]&amp;
"_"&amp;
TEXT(COUNTIFS(商品マスタ!$C$3:C1036,商品マスタ[[#This Row],[仕入先]],商品マスタ!$E$3:E1036,商品マスタ[[#This Row],[商品名]]), "00")</f>
        <v/>
      </c>
      <c r="E1036" s="167" t="n"/>
      <c r="F1036" s="167">
        <f>IF(COUNTIFS($C$3:C1036,商品マスタ[[#This Row],[仕入先]],$E$3:E1036,商品マスタ[[#This Row],[商品名]]) = 1, 1,0)</f>
        <v/>
      </c>
      <c r="G1036" s="133">
        <f>TEXT(SUMIF($C$3:C1036,商品マスタ[[#This Row],[仕入先]],$F$3:F1036), "0000")</f>
        <v/>
      </c>
      <c r="H1036" s="167" t="n"/>
      <c r="I1036" s="167" t="n"/>
      <c r="J1036" s="167" t="n"/>
      <c r="K1036" s="167" t="n"/>
      <c r="L1036" s="289" t="n"/>
      <c r="M1036" s="157" t="n"/>
      <c r="N1036" s="289" t="n"/>
      <c r="O1036" s="290">
        <f>IF(COUNT(商品マスタ[[#This Row],[参考上代
（税込)]]) &gt; 0, (商品マスタ[[#This Row],[参考上代
（税込)]]-商品マスタ[[#This Row],[国内定価
（15％）]])/(商品マスタ[[#This Row],[参考上代
（税込)]]/1.08), "")</f>
        <v/>
      </c>
      <c r="P1036" s="136" t="n">
        <v>0.1</v>
      </c>
      <c r="Q1036" s="289">
        <f>商品マスタ[[#This Row],[仕入
単価]]*商品マスタ[[#This Row],[標準国内送料率]]</f>
        <v/>
      </c>
      <c r="R1036" s="289" t="n"/>
      <c r="S1036" s="289">
        <f>IF(ISBLANK(商品マスタ[[#This Row],[実績
国内送料]]),商品マスタ[[#This Row],[標準国内送料]],)</f>
        <v/>
      </c>
      <c r="T1036" s="289">
        <f>商品マスタ[[#This Row],[仕入
単価]]+商品マスタ[[#This Row],[国内送料]]</f>
        <v/>
      </c>
      <c r="U1036" s="289">
        <f>ROUNDUP(商品マスタ[[#This Row],[仕入単価+国内送料]]/0.8,-1)</f>
        <v/>
      </c>
      <c r="V1036" s="289">
        <f>商品マスタ[[#This Row],[海外定価
（20％）]]-商品マスタ[[#This Row],[仕入単価+国内送料]]</f>
        <v/>
      </c>
      <c r="W1036" s="167">
        <f>ROUNDUP(商品マスタ[[#This Row],[仕入単価+国内送料]]/0.85,-1)</f>
        <v/>
      </c>
      <c r="X1036" s="289">
        <f>商品マスタ[[#This Row],[国内定価
（15％）]]-商品マスタ[[#This Row],[仕入単価+国内送料]]</f>
        <v/>
      </c>
      <c r="Y1036" s="139" t="n"/>
      <c r="Z1036" s="167" t="n"/>
      <c r="AA1036" s="167" t="n"/>
      <c r="AB1036" s="167" t="n"/>
      <c r="AC1036" s="293" t="n"/>
      <c r="AD1036" s="167" t="n"/>
      <c r="AE1036" s="167" t="n"/>
      <c r="AF1036" s="158" t="n"/>
      <c r="AG1036" s="144" t="n"/>
    </row>
    <row r="1037" ht="15.75" customHeight="1" s="207">
      <c r="A1037" s="166" t="n"/>
      <c r="B1037" s="167" t="n"/>
      <c r="C1037" s="167" t="n"/>
      <c r="D1037" s="143">
        <f>"PRD_SNJ_"&amp;
_xlfn.XLOOKUP(商品マスタ[[#This Row],[仕入先]],テーブル1[仕入先名],テーブル1[仕入先コード],"XXX",0,1)&amp;
"_"&amp;
商品マスタ[[#This Row],[シリアル]]&amp;
"_"&amp;
TEXT(COUNTIFS(商品マスタ!$C$3:C1037,商品マスタ[[#This Row],[仕入先]],商品マスタ!$E$3:E1037,商品マスタ[[#This Row],[商品名]]), "00")</f>
        <v/>
      </c>
      <c r="E1037" s="167" t="n"/>
      <c r="F1037" s="167">
        <f>IF(COUNTIFS($C$3:C1037,商品マスタ[[#This Row],[仕入先]],$E$3:E1037,商品マスタ[[#This Row],[商品名]]) = 1, 1,0)</f>
        <v/>
      </c>
      <c r="G1037" s="133">
        <f>TEXT(SUMIF($C$3:C1037,商品マスタ[[#This Row],[仕入先]],$F$3:F1037), "0000")</f>
        <v/>
      </c>
      <c r="H1037" s="167" t="n"/>
      <c r="I1037" s="167" t="n"/>
      <c r="J1037" s="167" t="n"/>
      <c r="K1037" s="167" t="n"/>
      <c r="L1037" s="289" t="n"/>
      <c r="M1037" s="157" t="n"/>
      <c r="N1037" s="289" t="n"/>
      <c r="O1037" s="290">
        <f>IF(COUNT(商品マスタ[[#This Row],[参考上代
（税込)]]) &gt; 0, (商品マスタ[[#This Row],[参考上代
（税込)]]-商品マスタ[[#This Row],[国内定価
（15％）]])/(商品マスタ[[#This Row],[参考上代
（税込)]]/1.08), "")</f>
        <v/>
      </c>
      <c r="P1037" s="136" t="n">
        <v>0.1</v>
      </c>
      <c r="Q1037" s="289">
        <f>商品マスタ[[#This Row],[仕入
単価]]*商品マスタ[[#This Row],[標準国内送料率]]</f>
        <v/>
      </c>
      <c r="R1037" s="289" t="n"/>
      <c r="S1037" s="289">
        <f>IF(ISBLANK(商品マスタ[[#This Row],[実績
国内送料]]),商品マスタ[[#This Row],[標準国内送料]],)</f>
        <v/>
      </c>
      <c r="T1037" s="289">
        <f>商品マスタ[[#This Row],[仕入
単価]]+商品マスタ[[#This Row],[国内送料]]</f>
        <v/>
      </c>
      <c r="U1037" s="289">
        <f>ROUNDUP(商品マスタ[[#This Row],[仕入単価+国内送料]]/0.8,-1)</f>
        <v/>
      </c>
      <c r="V1037" s="289">
        <f>商品マスタ[[#This Row],[海外定価
（20％）]]-商品マスタ[[#This Row],[仕入単価+国内送料]]</f>
        <v/>
      </c>
      <c r="W1037" s="167">
        <f>ROUNDUP(商品マスタ[[#This Row],[仕入単価+国内送料]]/0.85,-1)</f>
        <v/>
      </c>
      <c r="X1037" s="289">
        <f>商品マスタ[[#This Row],[国内定価
（15％）]]-商品マスタ[[#This Row],[仕入単価+国内送料]]</f>
        <v/>
      </c>
      <c r="Y1037" s="139" t="n"/>
      <c r="Z1037" s="167" t="n"/>
      <c r="AA1037" s="167" t="n"/>
      <c r="AB1037" s="167" t="n"/>
      <c r="AC1037" s="293" t="n"/>
      <c r="AD1037" s="167" t="n"/>
      <c r="AE1037" s="167" t="n"/>
      <c r="AF1037" s="158" t="n"/>
      <c r="AG1037" s="144" t="n"/>
    </row>
    <row r="1038" ht="15.75" customHeight="1" s="207">
      <c r="A1038" s="166" t="n"/>
      <c r="B1038" s="167" t="n"/>
      <c r="C1038" s="167" t="n"/>
      <c r="D1038" s="143">
        <f>"PRD_SNJ_"&amp;
_xlfn.XLOOKUP(商品マスタ[[#This Row],[仕入先]],テーブル1[仕入先名],テーブル1[仕入先コード],"XXX",0,1)&amp;
"_"&amp;
商品マスタ[[#This Row],[シリアル]]&amp;
"_"&amp;
TEXT(COUNTIFS(商品マスタ!$C$3:C1038,商品マスタ[[#This Row],[仕入先]],商品マスタ!$E$3:E1038,商品マスタ[[#This Row],[商品名]]), "00")</f>
        <v/>
      </c>
      <c r="E1038" s="167" t="n"/>
      <c r="F1038" s="167">
        <f>IF(COUNTIFS($C$3:C1038,商品マスタ[[#This Row],[仕入先]],$E$3:E1038,商品マスタ[[#This Row],[商品名]]) = 1, 1,0)</f>
        <v/>
      </c>
      <c r="G1038" s="133">
        <f>TEXT(SUMIF($C$3:C1038,商品マスタ[[#This Row],[仕入先]],$F$3:F1038), "0000")</f>
        <v/>
      </c>
      <c r="H1038" s="167" t="n"/>
      <c r="I1038" s="167" t="n"/>
      <c r="J1038" s="167" t="n"/>
      <c r="K1038" s="167" t="n"/>
      <c r="L1038" s="289" t="n"/>
      <c r="M1038" s="157" t="n"/>
      <c r="N1038" s="289" t="n"/>
      <c r="O1038" s="290">
        <f>IF(COUNT(商品マスタ[[#This Row],[参考上代
（税込)]]) &gt; 0, (商品マスタ[[#This Row],[参考上代
（税込)]]-商品マスタ[[#This Row],[国内定価
（15％）]])/(商品マスタ[[#This Row],[参考上代
（税込)]]/1.08), "")</f>
        <v/>
      </c>
      <c r="P1038" s="136" t="n">
        <v>0.1</v>
      </c>
      <c r="Q1038" s="289">
        <f>商品マスタ[[#This Row],[仕入
単価]]*商品マスタ[[#This Row],[標準国内送料率]]</f>
        <v/>
      </c>
      <c r="R1038" s="289" t="n"/>
      <c r="S1038" s="289">
        <f>IF(ISBLANK(商品マスタ[[#This Row],[実績
国内送料]]),商品マスタ[[#This Row],[標準国内送料]],)</f>
        <v/>
      </c>
      <c r="T1038" s="289">
        <f>商品マスタ[[#This Row],[仕入
単価]]+商品マスタ[[#This Row],[国内送料]]</f>
        <v/>
      </c>
      <c r="U1038" s="289">
        <f>ROUNDUP(商品マスタ[[#This Row],[仕入単価+国内送料]]/0.8,-1)</f>
        <v/>
      </c>
      <c r="V1038" s="289">
        <f>商品マスタ[[#This Row],[海外定価
（20％）]]-商品マスタ[[#This Row],[仕入単価+国内送料]]</f>
        <v/>
      </c>
      <c r="W1038" s="167">
        <f>ROUNDUP(商品マスタ[[#This Row],[仕入単価+国内送料]]/0.85,-1)</f>
        <v/>
      </c>
      <c r="X1038" s="289">
        <f>商品マスタ[[#This Row],[国内定価
（15％）]]-商品マスタ[[#This Row],[仕入単価+国内送料]]</f>
        <v/>
      </c>
      <c r="Y1038" s="139" t="n"/>
      <c r="Z1038" s="167" t="n"/>
      <c r="AA1038" s="167" t="n"/>
      <c r="AB1038" s="167" t="n"/>
      <c r="AC1038" s="293" t="n"/>
      <c r="AD1038" s="167" t="n"/>
      <c r="AE1038" s="167" t="n"/>
      <c r="AF1038" s="158" t="n"/>
      <c r="AG1038" s="144" t="n"/>
    </row>
    <row r="1039" ht="15.75" customHeight="1" s="207">
      <c r="A1039" s="166" t="n"/>
      <c r="B1039" s="167" t="n"/>
      <c r="C1039" s="167" t="n"/>
      <c r="D1039" s="143">
        <f>"PRD_SNJ_"&amp;
_xlfn.XLOOKUP(商品マスタ[[#This Row],[仕入先]],テーブル1[仕入先名],テーブル1[仕入先コード],"XXX",0,1)&amp;
"_"&amp;
商品マスタ[[#This Row],[シリアル]]&amp;
"_"&amp;
TEXT(COUNTIFS(商品マスタ!$C$3:C1039,商品マスタ[[#This Row],[仕入先]],商品マスタ!$E$3:E1039,商品マスタ[[#This Row],[商品名]]), "00")</f>
        <v/>
      </c>
      <c r="E1039" s="167" t="n"/>
      <c r="F1039" s="167">
        <f>IF(COUNTIFS($C$3:C1039,商品マスタ[[#This Row],[仕入先]],$E$3:E1039,商品マスタ[[#This Row],[商品名]]) = 1, 1,0)</f>
        <v/>
      </c>
      <c r="G1039" s="133">
        <f>TEXT(SUMIF($C$3:C1039,商品マスタ[[#This Row],[仕入先]],$F$3:F1039), "0000")</f>
        <v/>
      </c>
      <c r="H1039" s="167" t="n"/>
      <c r="I1039" s="167" t="n"/>
      <c r="J1039" s="167" t="n"/>
      <c r="K1039" s="167" t="n"/>
      <c r="L1039" s="289" t="n"/>
      <c r="M1039" s="157" t="n"/>
      <c r="N1039" s="289" t="n"/>
      <c r="O1039" s="290">
        <f>IF(COUNT(商品マスタ[[#This Row],[参考上代
（税込)]]) &gt; 0, (商品マスタ[[#This Row],[参考上代
（税込)]]-商品マスタ[[#This Row],[国内定価
（15％）]])/(商品マスタ[[#This Row],[参考上代
（税込)]]/1.08), "")</f>
        <v/>
      </c>
      <c r="P1039" s="136" t="n">
        <v>0.1</v>
      </c>
      <c r="Q1039" s="289">
        <f>商品マスタ[[#This Row],[仕入
単価]]*商品マスタ[[#This Row],[標準国内送料率]]</f>
        <v/>
      </c>
      <c r="R1039" s="289" t="n"/>
      <c r="S1039" s="289">
        <f>IF(ISBLANK(商品マスタ[[#This Row],[実績
国内送料]]),商品マスタ[[#This Row],[標準国内送料]],)</f>
        <v/>
      </c>
      <c r="T1039" s="289">
        <f>商品マスタ[[#This Row],[仕入
単価]]+商品マスタ[[#This Row],[国内送料]]</f>
        <v/>
      </c>
      <c r="U1039" s="289">
        <f>ROUNDUP(商品マスタ[[#This Row],[仕入単価+国内送料]]/0.8,-1)</f>
        <v/>
      </c>
      <c r="V1039" s="289">
        <f>商品マスタ[[#This Row],[海外定価
（20％）]]-商品マスタ[[#This Row],[仕入単価+国内送料]]</f>
        <v/>
      </c>
      <c r="W1039" s="167">
        <f>ROUNDUP(商品マスタ[[#This Row],[仕入単価+国内送料]]/0.85,-1)</f>
        <v/>
      </c>
      <c r="X1039" s="289">
        <f>商品マスタ[[#This Row],[国内定価
（15％）]]-商品マスタ[[#This Row],[仕入単価+国内送料]]</f>
        <v/>
      </c>
      <c r="Y1039" s="139" t="n"/>
      <c r="Z1039" s="167" t="n"/>
      <c r="AA1039" s="167" t="n"/>
      <c r="AB1039" s="167" t="n"/>
      <c r="AC1039" s="293" t="n"/>
      <c r="AD1039" s="167" t="n"/>
      <c r="AE1039" s="167" t="n"/>
      <c r="AF1039" s="158" t="n"/>
      <c r="AG1039" s="144" t="n"/>
    </row>
    <row r="1040" ht="15.75" customHeight="1" s="207">
      <c r="A1040" s="166" t="n"/>
      <c r="B1040" s="167" t="n"/>
      <c r="C1040" s="167" t="n"/>
      <c r="D1040" s="143">
        <f>"PRD_SNJ_"&amp;
_xlfn.XLOOKUP(商品マスタ[[#This Row],[仕入先]],テーブル1[仕入先名],テーブル1[仕入先コード],"XXX",0,1)&amp;
"_"&amp;
商品マスタ[[#This Row],[シリアル]]&amp;
"_"&amp;
TEXT(COUNTIFS(商品マスタ!$C$3:C1040,商品マスタ[[#This Row],[仕入先]],商品マスタ!$E$3:E1040,商品マスタ[[#This Row],[商品名]]), "00")</f>
        <v/>
      </c>
      <c r="E1040" s="167" t="n"/>
      <c r="F1040" s="167">
        <f>IF(COUNTIFS($C$3:C1040,商品マスタ[[#This Row],[仕入先]],$E$3:E1040,商品マスタ[[#This Row],[商品名]]) = 1, 1,0)</f>
        <v/>
      </c>
      <c r="G1040" s="133">
        <f>TEXT(SUMIF($C$3:C1040,商品マスタ[[#This Row],[仕入先]],$F$3:F1040), "0000")</f>
        <v/>
      </c>
      <c r="H1040" s="167" t="n"/>
      <c r="I1040" s="167" t="n"/>
      <c r="J1040" s="167" t="n"/>
      <c r="K1040" s="167" t="n"/>
      <c r="L1040" s="289" t="n"/>
      <c r="M1040" s="157" t="n"/>
      <c r="N1040" s="289" t="n"/>
      <c r="O1040" s="290">
        <f>IF(COUNT(商品マスタ[[#This Row],[参考上代
（税込)]]) &gt; 0, (商品マスタ[[#This Row],[参考上代
（税込)]]-商品マスタ[[#This Row],[国内定価
（15％）]])/(商品マスタ[[#This Row],[参考上代
（税込)]]/1.08), "")</f>
        <v/>
      </c>
      <c r="P1040" s="136" t="n">
        <v>0.1</v>
      </c>
      <c r="Q1040" s="289">
        <f>商品マスタ[[#This Row],[仕入
単価]]*商品マスタ[[#This Row],[標準国内送料率]]</f>
        <v/>
      </c>
      <c r="R1040" s="289" t="n"/>
      <c r="S1040" s="289">
        <f>IF(ISBLANK(商品マスタ[[#This Row],[実績
国内送料]]),商品マスタ[[#This Row],[標準国内送料]],)</f>
        <v/>
      </c>
      <c r="T1040" s="289">
        <f>商品マスタ[[#This Row],[仕入
単価]]+商品マスタ[[#This Row],[国内送料]]</f>
        <v/>
      </c>
      <c r="U1040" s="289">
        <f>ROUNDUP(商品マスタ[[#This Row],[仕入単価+国内送料]]/0.8,-1)</f>
        <v/>
      </c>
      <c r="V1040" s="289">
        <f>商品マスタ[[#This Row],[海外定価
（20％）]]-商品マスタ[[#This Row],[仕入単価+国内送料]]</f>
        <v/>
      </c>
      <c r="W1040" s="167">
        <f>ROUNDUP(商品マスタ[[#This Row],[仕入単価+国内送料]]/0.85,-1)</f>
        <v/>
      </c>
      <c r="X1040" s="289">
        <f>商品マスタ[[#This Row],[国内定価
（15％）]]-商品マスタ[[#This Row],[仕入単価+国内送料]]</f>
        <v/>
      </c>
      <c r="Y1040" s="139" t="n"/>
      <c r="Z1040" s="167" t="n"/>
      <c r="AA1040" s="167" t="n"/>
      <c r="AB1040" s="167" t="n"/>
      <c r="AC1040" s="293" t="n"/>
      <c r="AD1040" s="167" t="n"/>
      <c r="AE1040" s="167" t="n"/>
      <c r="AF1040" s="158" t="n"/>
      <c r="AG1040" s="144" t="n"/>
    </row>
    <row r="1041" ht="15.75" customHeight="1" s="207">
      <c r="A1041" s="166" t="n"/>
      <c r="B1041" s="167" t="n"/>
      <c r="C1041" s="167" t="n"/>
      <c r="D1041" s="143">
        <f>"PRD_SNJ_"&amp;
_xlfn.XLOOKUP(商品マスタ[[#This Row],[仕入先]],テーブル1[仕入先名],テーブル1[仕入先コード],"XXX",0,1)&amp;
"_"&amp;
商品マスタ[[#This Row],[シリアル]]&amp;
"_"&amp;
TEXT(COUNTIFS(商品マスタ!$C$3:C1041,商品マスタ[[#This Row],[仕入先]],商品マスタ!$E$3:E1041,商品マスタ[[#This Row],[商品名]]), "00")</f>
        <v/>
      </c>
      <c r="E1041" s="167" t="n"/>
      <c r="F1041" s="167">
        <f>IF(COUNTIFS($C$3:C1041,商品マスタ[[#This Row],[仕入先]],$E$3:E1041,商品マスタ[[#This Row],[商品名]]) = 1, 1,0)</f>
        <v/>
      </c>
      <c r="G1041" s="133">
        <f>TEXT(SUMIF($C$3:C1041,商品マスタ[[#This Row],[仕入先]],$F$3:F1041), "0000")</f>
        <v/>
      </c>
      <c r="H1041" s="167" t="n"/>
      <c r="I1041" s="167" t="n"/>
      <c r="J1041" s="167" t="n"/>
      <c r="K1041" s="167" t="n"/>
      <c r="L1041" s="289" t="n"/>
      <c r="M1041" s="157" t="n"/>
      <c r="N1041" s="289" t="n"/>
      <c r="O1041" s="290">
        <f>IF(COUNT(商品マスタ[[#This Row],[参考上代
（税込)]]) &gt; 0, (商品マスタ[[#This Row],[参考上代
（税込)]]-商品マスタ[[#This Row],[国内定価
（15％）]])/(商品マスタ[[#This Row],[参考上代
（税込)]]/1.08), "")</f>
        <v/>
      </c>
      <c r="P1041" s="136" t="n">
        <v>0.1</v>
      </c>
      <c r="Q1041" s="289">
        <f>商品マスタ[[#This Row],[仕入
単価]]*商品マスタ[[#This Row],[標準国内送料率]]</f>
        <v/>
      </c>
      <c r="R1041" s="289" t="n"/>
      <c r="S1041" s="289">
        <f>IF(ISBLANK(商品マスタ[[#This Row],[実績
国内送料]]),商品マスタ[[#This Row],[標準国内送料]],)</f>
        <v/>
      </c>
      <c r="T1041" s="289">
        <f>商品マスタ[[#This Row],[仕入
単価]]+商品マスタ[[#This Row],[国内送料]]</f>
        <v/>
      </c>
      <c r="U1041" s="289">
        <f>ROUNDUP(商品マスタ[[#This Row],[仕入単価+国内送料]]/0.8,-1)</f>
        <v/>
      </c>
      <c r="V1041" s="289">
        <f>商品マスタ[[#This Row],[海外定価
（20％）]]-商品マスタ[[#This Row],[仕入単価+国内送料]]</f>
        <v/>
      </c>
      <c r="W1041" s="167">
        <f>ROUNDUP(商品マスタ[[#This Row],[仕入単価+国内送料]]/0.85,-1)</f>
        <v/>
      </c>
      <c r="X1041" s="289">
        <f>商品マスタ[[#This Row],[国内定価
（15％）]]-商品マスタ[[#This Row],[仕入単価+国内送料]]</f>
        <v/>
      </c>
      <c r="Y1041" s="139" t="n"/>
      <c r="Z1041" s="167" t="n"/>
      <c r="AA1041" s="167" t="n"/>
      <c r="AB1041" s="167" t="n"/>
      <c r="AC1041" s="293" t="n"/>
      <c r="AD1041" s="167" t="n"/>
      <c r="AE1041" s="167" t="n"/>
      <c r="AF1041" s="158" t="n"/>
      <c r="AG1041" s="144" t="n"/>
    </row>
    <row r="1042" ht="15.75" customHeight="1" s="207">
      <c r="A1042" s="166" t="n"/>
      <c r="B1042" s="167" t="n"/>
      <c r="C1042" s="167" t="n"/>
      <c r="D1042" s="143">
        <f>"PRD_SNJ_"&amp;
_xlfn.XLOOKUP(商品マスタ[[#This Row],[仕入先]],テーブル1[仕入先名],テーブル1[仕入先コード],"XXX",0,1)&amp;
"_"&amp;
商品マスタ[[#This Row],[シリアル]]&amp;
"_"&amp;
TEXT(COUNTIFS(商品マスタ!$C$3:C1042,商品マスタ[[#This Row],[仕入先]],商品マスタ!$E$3:E1042,商品マスタ[[#This Row],[商品名]]), "00")</f>
        <v/>
      </c>
      <c r="E1042" s="167" t="n"/>
      <c r="F1042" s="167">
        <f>IF(COUNTIFS($C$3:C1042,商品マスタ[[#This Row],[仕入先]],$E$3:E1042,商品マスタ[[#This Row],[商品名]]) = 1, 1,0)</f>
        <v/>
      </c>
      <c r="G1042" s="133">
        <f>TEXT(SUMIF($C$3:C1042,商品マスタ[[#This Row],[仕入先]],$F$3:F1042), "0000")</f>
        <v/>
      </c>
      <c r="H1042" s="167" t="n"/>
      <c r="I1042" s="167" t="n"/>
      <c r="J1042" s="167" t="n"/>
      <c r="K1042" s="167" t="n"/>
      <c r="L1042" s="289" t="n"/>
      <c r="M1042" s="157" t="n"/>
      <c r="N1042" s="289" t="n"/>
      <c r="O1042" s="290">
        <f>IF(COUNT(商品マスタ[[#This Row],[参考上代
（税込)]]) &gt; 0, (商品マスタ[[#This Row],[参考上代
（税込)]]-商品マスタ[[#This Row],[国内定価
（15％）]])/(商品マスタ[[#This Row],[参考上代
（税込)]]/1.08), "")</f>
        <v/>
      </c>
      <c r="P1042" s="136" t="n">
        <v>0.1</v>
      </c>
      <c r="Q1042" s="289">
        <f>商品マスタ[[#This Row],[仕入
単価]]*商品マスタ[[#This Row],[標準国内送料率]]</f>
        <v/>
      </c>
      <c r="R1042" s="289" t="n"/>
      <c r="S1042" s="289">
        <f>IF(ISBLANK(商品マスタ[[#This Row],[実績
国内送料]]),商品マスタ[[#This Row],[標準国内送料]],)</f>
        <v/>
      </c>
      <c r="T1042" s="289">
        <f>商品マスタ[[#This Row],[仕入
単価]]+商品マスタ[[#This Row],[国内送料]]</f>
        <v/>
      </c>
      <c r="U1042" s="289">
        <f>ROUNDUP(商品マスタ[[#This Row],[仕入単価+国内送料]]/0.8,-1)</f>
        <v/>
      </c>
      <c r="V1042" s="289">
        <f>商品マスタ[[#This Row],[海外定価
（20％）]]-商品マスタ[[#This Row],[仕入単価+国内送料]]</f>
        <v/>
      </c>
      <c r="W1042" s="167">
        <f>ROUNDUP(商品マスタ[[#This Row],[仕入単価+国内送料]]/0.85,-1)</f>
        <v/>
      </c>
      <c r="X1042" s="289">
        <f>商品マスタ[[#This Row],[国内定価
（15％）]]-商品マスタ[[#This Row],[仕入単価+国内送料]]</f>
        <v/>
      </c>
      <c r="Y1042" s="139" t="n"/>
      <c r="Z1042" s="167" t="n"/>
      <c r="AA1042" s="167" t="n"/>
      <c r="AB1042" s="167" t="n"/>
      <c r="AC1042" s="293" t="n"/>
      <c r="AD1042" s="167" t="n"/>
      <c r="AE1042" s="167" t="n"/>
      <c r="AF1042" s="158" t="n"/>
      <c r="AG1042" s="144" t="n"/>
    </row>
    <row r="1043" ht="15.75" customHeight="1" s="207">
      <c r="A1043" s="166" t="n"/>
      <c r="B1043" s="167" t="n"/>
      <c r="C1043" s="167" t="n"/>
      <c r="D1043" s="143">
        <f>"PRD_SNJ_"&amp;
_xlfn.XLOOKUP(商品マスタ[[#This Row],[仕入先]],テーブル1[仕入先名],テーブル1[仕入先コード],"XXX",0,1)&amp;
"_"&amp;
商品マスタ[[#This Row],[シリアル]]&amp;
"_"&amp;
TEXT(COUNTIFS(商品マスタ!$C$3:C1043,商品マスタ[[#This Row],[仕入先]],商品マスタ!$E$3:E1043,商品マスタ[[#This Row],[商品名]]), "00")</f>
        <v/>
      </c>
      <c r="E1043" s="167" t="n"/>
      <c r="F1043" s="167">
        <f>IF(COUNTIFS($C$3:C1043,商品マスタ[[#This Row],[仕入先]],$E$3:E1043,商品マスタ[[#This Row],[商品名]]) = 1, 1,0)</f>
        <v/>
      </c>
      <c r="G1043" s="133">
        <f>TEXT(SUMIF($C$3:C1043,商品マスタ[[#This Row],[仕入先]],$F$3:F1043), "0000")</f>
        <v/>
      </c>
      <c r="H1043" s="167" t="n"/>
      <c r="I1043" s="167" t="n"/>
      <c r="J1043" s="167" t="n"/>
      <c r="K1043" s="167" t="n"/>
      <c r="L1043" s="289" t="n"/>
      <c r="M1043" s="157" t="n"/>
      <c r="N1043" s="289" t="n"/>
      <c r="O1043" s="290">
        <f>IF(COUNT(商品マスタ[[#This Row],[参考上代
（税込)]]) &gt; 0, (商品マスタ[[#This Row],[参考上代
（税込)]]-商品マスタ[[#This Row],[国内定価
（15％）]])/(商品マスタ[[#This Row],[参考上代
（税込)]]/1.08), "")</f>
        <v/>
      </c>
      <c r="P1043" s="136" t="n">
        <v>0.1</v>
      </c>
      <c r="Q1043" s="289">
        <f>商品マスタ[[#This Row],[仕入
単価]]*商品マスタ[[#This Row],[標準国内送料率]]</f>
        <v/>
      </c>
      <c r="R1043" s="289" t="n"/>
      <c r="S1043" s="289">
        <f>IF(ISBLANK(商品マスタ[[#This Row],[実績
国内送料]]),商品マスタ[[#This Row],[標準国内送料]],)</f>
        <v/>
      </c>
      <c r="T1043" s="289">
        <f>商品マスタ[[#This Row],[仕入
単価]]+商品マスタ[[#This Row],[国内送料]]</f>
        <v/>
      </c>
      <c r="U1043" s="289">
        <f>ROUNDUP(商品マスタ[[#This Row],[仕入単価+国内送料]]/0.8,-1)</f>
        <v/>
      </c>
      <c r="V1043" s="289">
        <f>商品マスタ[[#This Row],[海外定価
（20％）]]-商品マスタ[[#This Row],[仕入単価+国内送料]]</f>
        <v/>
      </c>
      <c r="W1043" s="167">
        <f>ROUNDUP(商品マスタ[[#This Row],[仕入単価+国内送料]]/0.85,-1)</f>
        <v/>
      </c>
      <c r="X1043" s="289">
        <f>商品マスタ[[#This Row],[国内定価
（15％）]]-商品マスタ[[#This Row],[仕入単価+国内送料]]</f>
        <v/>
      </c>
      <c r="Y1043" s="139" t="n"/>
      <c r="Z1043" s="167" t="n"/>
      <c r="AA1043" s="167" t="n"/>
      <c r="AB1043" s="167" t="n"/>
      <c r="AC1043" s="293" t="n"/>
      <c r="AD1043" s="167" t="n"/>
      <c r="AE1043" s="167" t="n"/>
      <c r="AF1043" s="158" t="n"/>
      <c r="AG1043" s="144" t="n"/>
    </row>
    <row r="1044" ht="15.75" customHeight="1" s="207">
      <c r="A1044" s="166" t="n"/>
      <c r="B1044" s="167" t="n"/>
      <c r="C1044" s="167" t="n"/>
      <c r="D1044" s="143">
        <f>"PRD_SNJ_"&amp;
_xlfn.XLOOKUP(商品マスタ[[#This Row],[仕入先]],テーブル1[仕入先名],テーブル1[仕入先コード],"XXX",0,1)&amp;
"_"&amp;
商品マスタ[[#This Row],[シリアル]]&amp;
"_"&amp;
TEXT(COUNTIFS(商品マスタ!$C$3:C1044,商品マスタ[[#This Row],[仕入先]],商品マスタ!$E$3:E1044,商品マスタ[[#This Row],[商品名]]), "00")</f>
        <v/>
      </c>
      <c r="E1044" s="167" t="n"/>
      <c r="F1044" s="167">
        <f>IF(COUNTIFS($C$3:C1044,商品マスタ[[#This Row],[仕入先]],$E$3:E1044,商品マスタ[[#This Row],[商品名]]) = 1, 1,0)</f>
        <v/>
      </c>
      <c r="G1044" s="133">
        <f>TEXT(SUMIF($C$3:C1044,商品マスタ[[#This Row],[仕入先]],$F$3:F1044), "0000")</f>
        <v/>
      </c>
      <c r="H1044" s="167" t="n"/>
      <c r="I1044" s="167" t="n"/>
      <c r="J1044" s="167" t="n"/>
      <c r="K1044" s="167" t="n"/>
      <c r="L1044" s="289" t="n"/>
      <c r="M1044" s="157" t="n"/>
      <c r="N1044" s="289" t="n"/>
      <c r="O1044" s="290">
        <f>IF(COUNT(商品マスタ[[#This Row],[参考上代
（税込)]]) &gt; 0, (商品マスタ[[#This Row],[参考上代
（税込)]]-商品マスタ[[#This Row],[国内定価
（15％）]])/(商品マスタ[[#This Row],[参考上代
（税込)]]/1.08), "")</f>
        <v/>
      </c>
      <c r="P1044" s="136" t="n">
        <v>0.1</v>
      </c>
      <c r="Q1044" s="289">
        <f>商品マスタ[[#This Row],[仕入
単価]]*商品マスタ[[#This Row],[標準国内送料率]]</f>
        <v/>
      </c>
      <c r="R1044" s="289" t="n"/>
      <c r="S1044" s="289">
        <f>IF(ISBLANK(商品マスタ[[#This Row],[実績
国内送料]]),商品マスタ[[#This Row],[標準国内送料]],)</f>
        <v/>
      </c>
      <c r="T1044" s="289">
        <f>商品マスタ[[#This Row],[仕入
単価]]+商品マスタ[[#This Row],[国内送料]]</f>
        <v/>
      </c>
      <c r="U1044" s="289">
        <f>ROUNDUP(商品マスタ[[#This Row],[仕入単価+国内送料]]/0.8,-1)</f>
        <v/>
      </c>
      <c r="V1044" s="289">
        <f>商品マスタ[[#This Row],[海外定価
（20％）]]-商品マスタ[[#This Row],[仕入単価+国内送料]]</f>
        <v/>
      </c>
      <c r="W1044" s="167">
        <f>ROUNDUP(商品マスタ[[#This Row],[仕入単価+国内送料]]/0.85,-1)</f>
        <v/>
      </c>
      <c r="X1044" s="289">
        <f>商品マスタ[[#This Row],[国内定価
（15％）]]-商品マスタ[[#This Row],[仕入単価+国内送料]]</f>
        <v/>
      </c>
      <c r="Y1044" s="139" t="n"/>
      <c r="Z1044" s="167" t="n"/>
      <c r="AA1044" s="167" t="n"/>
      <c r="AB1044" s="167" t="n"/>
      <c r="AC1044" s="293" t="n"/>
      <c r="AD1044" s="167" t="n"/>
      <c r="AE1044" s="167" t="n"/>
      <c r="AF1044" s="158" t="n"/>
      <c r="AG1044" s="144" t="n"/>
    </row>
    <row r="1045" ht="15.75" customHeight="1" s="207">
      <c r="A1045" s="166" t="n"/>
      <c r="B1045" s="167" t="n"/>
      <c r="C1045" s="167" t="n"/>
      <c r="D1045" s="143">
        <f>"PRD_SNJ_"&amp;
_xlfn.XLOOKUP(商品マスタ[[#This Row],[仕入先]],テーブル1[仕入先名],テーブル1[仕入先コード],"XXX",0,1)&amp;
"_"&amp;
商品マスタ[[#This Row],[シリアル]]&amp;
"_"&amp;
TEXT(COUNTIFS(商品マスタ!$C$3:C1045,商品マスタ[[#This Row],[仕入先]],商品マスタ!$E$3:E1045,商品マスタ[[#This Row],[商品名]]), "00")</f>
        <v/>
      </c>
      <c r="E1045" s="167" t="n"/>
      <c r="F1045" s="167">
        <f>IF(COUNTIFS($C$3:C1045,商品マスタ[[#This Row],[仕入先]],$E$3:E1045,商品マスタ[[#This Row],[商品名]]) = 1, 1,0)</f>
        <v/>
      </c>
      <c r="G1045" s="133">
        <f>TEXT(SUMIF($C$3:C1045,商品マスタ[[#This Row],[仕入先]],$F$3:F1045), "0000")</f>
        <v/>
      </c>
      <c r="H1045" s="167" t="n"/>
      <c r="I1045" s="167" t="n"/>
      <c r="J1045" s="167" t="n"/>
      <c r="K1045" s="167" t="n"/>
      <c r="L1045" s="289" t="n"/>
      <c r="M1045" s="157" t="n"/>
      <c r="N1045" s="289" t="n"/>
      <c r="O1045" s="290">
        <f>IF(COUNT(商品マスタ[[#This Row],[参考上代
（税込)]]) &gt; 0, (商品マスタ[[#This Row],[参考上代
（税込)]]-商品マスタ[[#This Row],[国内定価
（15％）]])/(商品マスタ[[#This Row],[参考上代
（税込)]]/1.08), "")</f>
        <v/>
      </c>
      <c r="P1045" s="136" t="n">
        <v>0.1</v>
      </c>
      <c r="Q1045" s="289">
        <f>商品マスタ[[#This Row],[仕入
単価]]*商品マスタ[[#This Row],[標準国内送料率]]</f>
        <v/>
      </c>
      <c r="R1045" s="289" t="n"/>
      <c r="S1045" s="289">
        <f>IF(ISBLANK(商品マスタ[[#This Row],[実績
国内送料]]),商品マスタ[[#This Row],[標準国内送料]],)</f>
        <v/>
      </c>
      <c r="T1045" s="289">
        <f>商品マスタ[[#This Row],[仕入
単価]]+商品マスタ[[#This Row],[国内送料]]</f>
        <v/>
      </c>
      <c r="U1045" s="289">
        <f>ROUNDUP(商品マスタ[[#This Row],[仕入単価+国内送料]]/0.8,-1)</f>
        <v/>
      </c>
      <c r="V1045" s="289">
        <f>商品マスタ[[#This Row],[海外定価
（20％）]]-商品マスタ[[#This Row],[仕入単価+国内送料]]</f>
        <v/>
      </c>
      <c r="W1045" s="167">
        <f>ROUNDUP(商品マスタ[[#This Row],[仕入単価+国内送料]]/0.85,-1)</f>
        <v/>
      </c>
      <c r="X1045" s="289">
        <f>商品マスタ[[#This Row],[国内定価
（15％）]]-商品マスタ[[#This Row],[仕入単価+国内送料]]</f>
        <v/>
      </c>
      <c r="Y1045" s="139" t="n"/>
      <c r="Z1045" s="167" t="n"/>
      <c r="AA1045" s="167" t="n"/>
      <c r="AB1045" s="167" t="n"/>
      <c r="AC1045" s="293" t="n"/>
      <c r="AD1045" s="167" t="n"/>
      <c r="AE1045" s="167" t="n"/>
      <c r="AF1045" s="158" t="n"/>
      <c r="AG1045" s="144" t="n"/>
    </row>
    <row r="1046" ht="15.75" customHeight="1" s="207">
      <c r="A1046" s="166" t="n"/>
      <c r="B1046" s="167" t="n"/>
      <c r="C1046" s="167" t="n"/>
      <c r="D1046" s="143">
        <f>"PRD_SNJ_"&amp;
_xlfn.XLOOKUP(商品マスタ[[#This Row],[仕入先]],テーブル1[仕入先名],テーブル1[仕入先コード],"XXX",0,1)&amp;
"_"&amp;
商品マスタ[[#This Row],[シリアル]]&amp;
"_"&amp;
TEXT(COUNTIFS(商品マスタ!$C$3:C1046,商品マスタ[[#This Row],[仕入先]],商品マスタ!$E$3:E1046,商品マスタ[[#This Row],[商品名]]), "00")</f>
        <v/>
      </c>
      <c r="E1046" s="167" t="n"/>
      <c r="F1046" s="167">
        <f>IF(COUNTIFS($C$3:C1046,商品マスタ[[#This Row],[仕入先]],$E$3:E1046,商品マスタ[[#This Row],[商品名]]) = 1, 1,0)</f>
        <v/>
      </c>
      <c r="G1046" s="133">
        <f>TEXT(SUMIF($C$3:C1046,商品マスタ[[#This Row],[仕入先]],$F$3:F1046), "0000")</f>
        <v/>
      </c>
      <c r="H1046" s="167" t="n"/>
      <c r="I1046" s="167" t="n"/>
      <c r="J1046" s="167" t="n"/>
      <c r="K1046" s="167" t="n"/>
      <c r="L1046" s="289" t="n"/>
      <c r="M1046" s="157" t="n"/>
      <c r="N1046" s="289" t="n"/>
      <c r="O1046" s="290">
        <f>IF(COUNT(商品マスタ[[#This Row],[参考上代
（税込)]]) &gt; 0, (商品マスタ[[#This Row],[参考上代
（税込)]]-商品マスタ[[#This Row],[国内定価
（15％）]])/(商品マスタ[[#This Row],[参考上代
（税込)]]/1.08), "")</f>
        <v/>
      </c>
      <c r="P1046" s="136" t="n">
        <v>0.1</v>
      </c>
      <c r="Q1046" s="289">
        <f>商品マスタ[[#This Row],[仕入
単価]]*商品マスタ[[#This Row],[標準国内送料率]]</f>
        <v/>
      </c>
      <c r="R1046" s="289" t="n"/>
      <c r="S1046" s="289">
        <f>IF(ISBLANK(商品マスタ[[#This Row],[実績
国内送料]]),商品マスタ[[#This Row],[標準国内送料]],)</f>
        <v/>
      </c>
      <c r="T1046" s="289">
        <f>商品マスタ[[#This Row],[仕入
単価]]+商品マスタ[[#This Row],[国内送料]]</f>
        <v/>
      </c>
      <c r="U1046" s="289">
        <f>ROUNDUP(商品マスタ[[#This Row],[仕入単価+国内送料]]/0.8,-1)</f>
        <v/>
      </c>
      <c r="V1046" s="289">
        <f>商品マスタ[[#This Row],[海外定価
（20％）]]-商品マスタ[[#This Row],[仕入単価+国内送料]]</f>
        <v/>
      </c>
      <c r="W1046" s="167">
        <f>ROUNDUP(商品マスタ[[#This Row],[仕入単価+国内送料]]/0.85,-1)</f>
        <v/>
      </c>
      <c r="X1046" s="289">
        <f>商品マスタ[[#This Row],[国内定価
（15％）]]-商品マスタ[[#This Row],[仕入単価+国内送料]]</f>
        <v/>
      </c>
      <c r="Y1046" s="139" t="n"/>
      <c r="Z1046" s="167" t="n"/>
      <c r="AA1046" s="167" t="n"/>
      <c r="AB1046" s="167" t="n"/>
      <c r="AC1046" s="293" t="n"/>
      <c r="AD1046" s="167" t="n"/>
      <c r="AE1046" s="167" t="n"/>
      <c r="AF1046" s="158" t="n"/>
      <c r="AG1046" s="144" t="n"/>
    </row>
    <row r="1047" ht="15.75" customHeight="1" s="207">
      <c r="A1047" s="166" t="n"/>
      <c r="B1047" s="167" t="n"/>
      <c r="C1047" s="167" t="n"/>
      <c r="D1047" s="143">
        <f>"PRD_SNJ_"&amp;
_xlfn.XLOOKUP(商品マスタ[[#This Row],[仕入先]],テーブル1[仕入先名],テーブル1[仕入先コード],"XXX",0,1)&amp;
"_"&amp;
商品マスタ[[#This Row],[シリアル]]&amp;
"_"&amp;
TEXT(COUNTIFS(商品マスタ!$C$3:C1047,商品マスタ[[#This Row],[仕入先]],商品マスタ!$E$3:E1047,商品マスタ[[#This Row],[商品名]]), "00")</f>
        <v/>
      </c>
      <c r="E1047" s="167" t="n"/>
      <c r="F1047" s="167">
        <f>IF(COUNTIFS($C$3:C1047,商品マスタ[[#This Row],[仕入先]],$E$3:E1047,商品マスタ[[#This Row],[商品名]]) = 1, 1,0)</f>
        <v/>
      </c>
      <c r="G1047" s="133">
        <f>TEXT(SUMIF($C$3:C1047,商品マスタ[[#This Row],[仕入先]],$F$3:F1047), "0000")</f>
        <v/>
      </c>
      <c r="H1047" s="167" t="n"/>
      <c r="I1047" s="167" t="n"/>
      <c r="J1047" s="167" t="n"/>
      <c r="K1047" s="167" t="n"/>
      <c r="L1047" s="289" t="n"/>
      <c r="M1047" s="157" t="n"/>
      <c r="N1047" s="289" t="n"/>
      <c r="O1047" s="290">
        <f>IF(COUNT(商品マスタ[[#This Row],[参考上代
（税込)]]) &gt; 0, (商品マスタ[[#This Row],[参考上代
（税込)]]-商品マスタ[[#This Row],[国内定価
（15％）]])/(商品マスタ[[#This Row],[参考上代
（税込)]]/1.08), "")</f>
        <v/>
      </c>
      <c r="P1047" s="136" t="n">
        <v>0.1</v>
      </c>
      <c r="Q1047" s="289">
        <f>商品マスタ[[#This Row],[仕入
単価]]*商品マスタ[[#This Row],[標準国内送料率]]</f>
        <v/>
      </c>
      <c r="R1047" s="289" t="n"/>
      <c r="S1047" s="289">
        <f>IF(ISBLANK(商品マスタ[[#This Row],[実績
国内送料]]),商品マスタ[[#This Row],[標準国内送料]],)</f>
        <v/>
      </c>
      <c r="T1047" s="289">
        <f>商品マスタ[[#This Row],[仕入
単価]]+商品マスタ[[#This Row],[国内送料]]</f>
        <v/>
      </c>
      <c r="U1047" s="289">
        <f>ROUNDUP(商品マスタ[[#This Row],[仕入単価+国内送料]]/0.8,-1)</f>
        <v/>
      </c>
      <c r="V1047" s="289">
        <f>商品マスタ[[#This Row],[海外定価
（20％）]]-商品マスタ[[#This Row],[仕入単価+国内送料]]</f>
        <v/>
      </c>
      <c r="W1047" s="167">
        <f>ROUNDUP(商品マスタ[[#This Row],[仕入単価+国内送料]]/0.85,-1)</f>
        <v/>
      </c>
      <c r="X1047" s="289">
        <f>商品マスタ[[#This Row],[国内定価
（15％）]]-商品マスタ[[#This Row],[仕入単価+国内送料]]</f>
        <v/>
      </c>
      <c r="Y1047" s="139" t="n"/>
      <c r="Z1047" s="167" t="n"/>
      <c r="AA1047" s="167" t="n"/>
      <c r="AB1047" s="167" t="n"/>
      <c r="AC1047" s="293" t="n"/>
      <c r="AD1047" s="167" t="n"/>
      <c r="AE1047" s="167" t="n"/>
      <c r="AF1047" s="158" t="n"/>
      <c r="AG1047" s="144" t="n"/>
    </row>
    <row r="1048" ht="15.75" customHeight="1" s="207">
      <c r="A1048" s="166" t="n"/>
      <c r="B1048" s="167" t="n"/>
      <c r="C1048" s="167" t="n"/>
      <c r="D1048" s="143">
        <f>"PRD_SNJ_"&amp;
_xlfn.XLOOKUP(商品マスタ[[#This Row],[仕入先]],テーブル1[仕入先名],テーブル1[仕入先コード],"XXX",0,1)&amp;
"_"&amp;
商品マスタ[[#This Row],[シリアル]]&amp;
"_"&amp;
TEXT(COUNTIFS(商品マスタ!$C$3:C1048,商品マスタ[[#This Row],[仕入先]],商品マスタ!$E$3:E1048,商品マスタ[[#This Row],[商品名]]), "00")</f>
        <v/>
      </c>
      <c r="E1048" s="167" t="n"/>
      <c r="F1048" s="167">
        <f>IF(COUNTIFS($C$3:C1048,商品マスタ[[#This Row],[仕入先]],$E$3:E1048,商品マスタ[[#This Row],[商品名]]) = 1, 1,0)</f>
        <v/>
      </c>
      <c r="G1048" s="133">
        <f>TEXT(SUMIF($C$3:C1048,商品マスタ[[#This Row],[仕入先]],$F$3:F1048), "0000")</f>
        <v/>
      </c>
      <c r="H1048" s="167" t="n"/>
      <c r="I1048" s="167" t="n"/>
      <c r="J1048" s="167" t="n"/>
      <c r="K1048" s="167" t="n"/>
      <c r="L1048" s="289" t="n"/>
      <c r="M1048" s="157" t="n"/>
      <c r="N1048" s="289" t="n"/>
      <c r="O1048" s="290">
        <f>IF(COUNT(商品マスタ[[#This Row],[参考上代
（税込)]]) &gt; 0, (商品マスタ[[#This Row],[参考上代
（税込)]]-商品マスタ[[#This Row],[国内定価
（15％）]])/(商品マスタ[[#This Row],[参考上代
（税込)]]/1.08), "")</f>
        <v/>
      </c>
      <c r="P1048" s="136" t="n">
        <v>0.1</v>
      </c>
      <c r="Q1048" s="289">
        <f>商品マスタ[[#This Row],[仕入
単価]]*商品マスタ[[#This Row],[標準国内送料率]]</f>
        <v/>
      </c>
      <c r="R1048" s="289" t="n"/>
      <c r="S1048" s="289">
        <f>IF(ISBLANK(商品マスタ[[#This Row],[実績
国内送料]]),商品マスタ[[#This Row],[標準国内送料]],)</f>
        <v/>
      </c>
      <c r="T1048" s="289">
        <f>商品マスタ[[#This Row],[仕入
単価]]+商品マスタ[[#This Row],[国内送料]]</f>
        <v/>
      </c>
      <c r="U1048" s="289">
        <f>ROUNDUP(商品マスタ[[#This Row],[仕入単価+国内送料]]/0.8,-1)</f>
        <v/>
      </c>
      <c r="V1048" s="289">
        <f>商品マスタ[[#This Row],[海外定価
（20％）]]-商品マスタ[[#This Row],[仕入単価+国内送料]]</f>
        <v/>
      </c>
      <c r="W1048" s="167">
        <f>ROUNDUP(商品マスタ[[#This Row],[仕入単価+国内送料]]/0.85,-1)</f>
        <v/>
      </c>
      <c r="X1048" s="289">
        <f>商品マスタ[[#This Row],[国内定価
（15％）]]-商品マスタ[[#This Row],[仕入単価+国内送料]]</f>
        <v/>
      </c>
      <c r="Y1048" s="139" t="n"/>
      <c r="Z1048" s="167" t="n"/>
      <c r="AA1048" s="167" t="n"/>
      <c r="AB1048" s="167" t="n"/>
      <c r="AC1048" s="293" t="n"/>
      <c r="AD1048" s="167" t="n"/>
      <c r="AE1048" s="167" t="n"/>
      <c r="AF1048" s="158" t="n"/>
      <c r="AG1048" s="144" t="n"/>
    </row>
    <row r="1049" ht="15.75" customHeight="1" s="207">
      <c r="A1049" s="166" t="n"/>
      <c r="B1049" s="167" t="n"/>
      <c r="C1049" s="167" t="n"/>
      <c r="D1049" s="143">
        <f>"PRD_SNJ_"&amp;
_xlfn.XLOOKUP(商品マスタ[[#This Row],[仕入先]],テーブル1[仕入先名],テーブル1[仕入先コード],"XXX",0,1)&amp;
"_"&amp;
商品マスタ[[#This Row],[シリアル]]&amp;
"_"&amp;
TEXT(COUNTIFS(商品マスタ!$C$3:C1049,商品マスタ[[#This Row],[仕入先]],商品マスタ!$E$3:E1049,商品マスタ[[#This Row],[商品名]]), "00")</f>
        <v/>
      </c>
      <c r="E1049" s="167" t="n"/>
      <c r="F1049" s="167">
        <f>IF(COUNTIFS($C$3:C1049,商品マスタ[[#This Row],[仕入先]],$E$3:E1049,商品マスタ[[#This Row],[商品名]]) = 1, 1,0)</f>
        <v/>
      </c>
      <c r="G1049" s="133">
        <f>TEXT(SUMIF($C$3:C1049,商品マスタ[[#This Row],[仕入先]],$F$3:F1049), "0000")</f>
        <v/>
      </c>
      <c r="H1049" s="167" t="n"/>
      <c r="I1049" s="167" t="n"/>
      <c r="J1049" s="167" t="n"/>
      <c r="K1049" s="167" t="n"/>
      <c r="L1049" s="289" t="n"/>
      <c r="M1049" s="157" t="n"/>
      <c r="N1049" s="289" t="n"/>
      <c r="O1049" s="290">
        <f>IF(COUNT(商品マスタ[[#This Row],[参考上代
（税込)]]) &gt; 0, (商品マスタ[[#This Row],[参考上代
（税込)]]-商品マスタ[[#This Row],[国内定価
（15％）]])/(商品マスタ[[#This Row],[参考上代
（税込)]]/1.08), "")</f>
        <v/>
      </c>
      <c r="P1049" s="136" t="n">
        <v>0.1</v>
      </c>
      <c r="Q1049" s="289">
        <f>商品マスタ[[#This Row],[仕入
単価]]*商品マスタ[[#This Row],[標準国内送料率]]</f>
        <v/>
      </c>
      <c r="R1049" s="289" t="n"/>
      <c r="S1049" s="289">
        <f>IF(ISBLANK(商品マスタ[[#This Row],[実績
国内送料]]),商品マスタ[[#This Row],[標準国内送料]],)</f>
        <v/>
      </c>
      <c r="T1049" s="289">
        <f>商品マスタ[[#This Row],[仕入
単価]]+商品マスタ[[#This Row],[国内送料]]</f>
        <v/>
      </c>
      <c r="U1049" s="289">
        <f>ROUNDUP(商品マスタ[[#This Row],[仕入単価+国内送料]]/0.8,-1)</f>
        <v/>
      </c>
      <c r="V1049" s="289">
        <f>商品マスタ[[#This Row],[海外定価
（20％）]]-商品マスタ[[#This Row],[仕入単価+国内送料]]</f>
        <v/>
      </c>
      <c r="W1049" s="167">
        <f>ROUNDUP(商品マスタ[[#This Row],[仕入単価+国内送料]]/0.85,-1)</f>
        <v/>
      </c>
      <c r="X1049" s="289">
        <f>商品マスタ[[#This Row],[国内定価
（15％）]]-商品マスタ[[#This Row],[仕入単価+国内送料]]</f>
        <v/>
      </c>
      <c r="Y1049" s="139" t="n"/>
      <c r="Z1049" s="167" t="n"/>
      <c r="AA1049" s="167" t="n"/>
      <c r="AB1049" s="167" t="n"/>
      <c r="AC1049" s="293" t="n"/>
      <c r="AD1049" s="167" t="n"/>
      <c r="AE1049" s="167" t="n"/>
      <c r="AF1049" s="158" t="n"/>
      <c r="AG1049" s="144" t="n"/>
    </row>
    <row r="1050" ht="15.75" customHeight="1" s="207">
      <c r="A1050" s="166" t="n"/>
      <c r="B1050" s="167" t="n"/>
      <c r="C1050" s="167" t="n"/>
      <c r="D1050" s="143">
        <f>"PRD_SNJ_"&amp;
_xlfn.XLOOKUP(商品マスタ[[#This Row],[仕入先]],テーブル1[仕入先名],テーブル1[仕入先コード],"XXX",0,1)&amp;
"_"&amp;
商品マスタ[[#This Row],[シリアル]]&amp;
"_"&amp;
TEXT(COUNTIFS(商品マスタ!$C$3:C1050,商品マスタ[[#This Row],[仕入先]],商品マスタ!$E$3:E1050,商品マスタ[[#This Row],[商品名]]), "00")</f>
        <v/>
      </c>
      <c r="E1050" s="167" t="n"/>
      <c r="F1050" s="167">
        <f>IF(COUNTIFS($C$3:C1050,商品マスタ[[#This Row],[仕入先]],$E$3:E1050,商品マスタ[[#This Row],[商品名]]) = 1, 1,0)</f>
        <v/>
      </c>
      <c r="G1050" s="133">
        <f>TEXT(SUMIF($C$3:C1050,商品マスタ[[#This Row],[仕入先]],$F$3:F1050), "0000")</f>
        <v/>
      </c>
      <c r="H1050" s="167" t="n"/>
      <c r="I1050" s="167" t="n"/>
      <c r="J1050" s="167" t="n"/>
      <c r="K1050" s="167" t="n"/>
      <c r="L1050" s="289" t="n"/>
      <c r="M1050" s="157" t="n"/>
      <c r="N1050" s="289" t="n"/>
      <c r="O1050" s="290">
        <f>IF(COUNT(商品マスタ[[#This Row],[参考上代
（税込)]]) &gt; 0, (商品マスタ[[#This Row],[参考上代
（税込)]]-商品マスタ[[#This Row],[国内定価
（15％）]])/(商品マスタ[[#This Row],[参考上代
（税込)]]/1.08), "")</f>
        <v/>
      </c>
      <c r="P1050" s="136" t="n">
        <v>0.1</v>
      </c>
      <c r="Q1050" s="289">
        <f>商品マスタ[[#This Row],[仕入
単価]]*商品マスタ[[#This Row],[標準国内送料率]]</f>
        <v/>
      </c>
      <c r="R1050" s="289" t="n"/>
      <c r="S1050" s="289">
        <f>IF(ISBLANK(商品マスタ[[#This Row],[実績
国内送料]]),商品マスタ[[#This Row],[標準国内送料]],)</f>
        <v/>
      </c>
      <c r="T1050" s="289">
        <f>商品マスタ[[#This Row],[仕入
単価]]+商品マスタ[[#This Row],[国内送料]]</f>
        <v/>
      </c>
      <c r="U1050" s="289">
        <f>ROUNDUP(商品マスタ[[#This Row],[仕入単価+国内送料]]/0.8,-1)</f>
        <v/>
      </c>
      <c r="V1050" s="289">
        <f>商品マスタ[[#This Row],[海外定価
（20％）]]-商品マスタ[[#This Row],[仕入単価+国内送料]]</f>
        <v/>
      </c>
      <c r="W1050" s="167">
        <f>ROUNDUP(商品マスタ[[#This Row],[仕入単価+国内送料]]/0.85,-1)</f>
        <v/>
      </c>
      <c r="X1050" s="289">
        <f>商品マスタ[[#This Row],[国内定価
（15％）]]-商品マスタ[[#This Row],[仕入単価+国内送料]]</f>
        <v/>
      </c>
      <c r="Y1050" s="139" t="n"/>
      <c r="Z1050" s="167" t="n"/>
      <c r="AA1050" s="167" t="n"/>
      <c r="AB1050" s="167" t="n"/>
      <c r="AC1050" s="293" t="n"/>
      <c r="AD1050" s="167" t="n"/>
      <c r="AE1050" s="167" t="n"/>
      <c r="AF1050" s="158" t="n"/>
      <c r="AG1050" s="144" t="n"/>
    </row>
    <row r="1051" ht="15.75" customHeight="1" s="207">
      <c r="A1051" s="166" t="n"/>
      <c r="B1051" s="167" t="n"/>
      <c r="C1051" s="167" t="n"/>
      <c r="D1051" s="143">
        <f>"PRD_SNJ_"&amp;
_xlfn.XLOOKUP(商品マスタ[[#This Row],[仕入先]],テーブル1[仕入先名],テーブル1[仕入先コード],"XXX",0,1)&amp;
"_"&amp;
商品マスタ[[#This Row],[シリアル]]&amp;
"_"&amp;
TEXT(COUNTIFS(商品マスタ!$C$3:C1051,商品マスタ[[#This Row],[仕入先]],商品マスタ!$E$3:E1051,商品マスタ[[#This Row],[商品名]]), "00")</f>
        <v/>
      </c>
      <c r="E1051" s="167" t="n"/>
      <c r="F1051" s="167">
        <f>IF(COUNTIFS($C$3:C1051,商品マスタ[[#This Row],[仕入先]],$E$3:E1051,商品マスタ[[#This Row],[商品名]]) = 1, 1,0)</f>
        <v/>
      </c>
      <c r="G1051" s="133">
        <f>TEXT(SUMIF($C$3:C1051,商品マスタ[[#This Row],[仕入先]],$F$3:F1051), "0000")</f>
        <v/>
      </c>
      <c r="H1051" s="167" t="n"/>
      <c r="I1051" s="167" t="n"/>
      <c r="J1051" s="167" t="n"/>
      <c r="K1051" s="167" t="n"/>
      <c r="L1051" s="289" t="n"/>
      <c r="M1051" s="157" t="n"/>
      <c r="N1051" s="289" t="n"/>
      <c r="O1051" s="290">
        <f>IF(COUNT(商品マスタ[[#This Row],[参考上代
（税込)]]) &gt; 0, (商品マスタ[[#This Row],[参考上代
（税込)]]-商品マスタ[[#This Row],[国内定価
（15％）]])/(商品マスタ[[#This Row],[参考上代
（税込)]]/1.08), "")</f>
        <v/>
      </c>
      <c r="P1051" s="136" t="n">
        <v>0.1</v>
      </c>
      <c r="Q1051" s="289">
        <f>商品マスタ[[#This Row],[仕入
単価]]*商品マスタ[[#This Row],[標準国内送料率]]</f>
        <v/>
      </c>
      <c r="R1051" s="289" t="n"/>
      <c r="S1051" s="289">
        <f>IF(ISBLANK(商品マスタ[[#This Row],[実績
国内送料]]),商品マスタ[[#This Row],[標準国内送料]],)</f>
        <v/>
      </c>
      <c r="T1051" s="289">
        <f>商品マスタ[[#This Row],[仕入
単価]]+商品マスタ[[#This Row],[国内送料]]</f>
        <v/>
      </c>
      <c r="U1051" s="289">
        <f>ROUNDUP(商品マスタ[[#This Row],[仕入単価+国内送料]]/0.8,-1)</f>
        <v/>
      </c>
      <c r="V1051" s="289">
        <f>商品マスタ[[#This Row],[海外定価
（20％）]]-商品マスタ[[#This Row],[仕入単価+国内送料]]</f>
        <v/>
      </c>
      <c r="W1051" s="167">
        <f>ROUNDUP(商品マスタ[[#This Row],[仕入単価+国内送料]]/0.85,-1)</f>
        <v/>
      </c>
      <c r="X1051" s="289">
        <f>商品マスタ[[#This Row],[国内定価
（15％）]]-商品マスタ[[#This Row],[仕入単価+国内送料]]</f>
        <v/>
      </c>
      <c r="Y1051" s="139" t="n"/>
      <c r="Z1051" s="167" t="n"/>
      <c r="AA1051" s="167" t="n"/>
      <c r="AB1051" s="167" t="n"/>
      <c r="AC1051" s="293" t="n"/>
      <c r="AD1051" s="167" t="n"/>
      <c r="AE1051" s="167" t="n"/>
      <c r="AF1051" s="158" t="n"/>
      <c r="AG1051" s="144" t="n"/>
    </row>
    <row r="1052" ht="15.75" customHeight="1" s="207">
      <c r="A1052" s="166" t="n"/>
      <c r="B1052" s="167" t="n"/>
      <c r="C1052" s="167" t="n"/>
      <c r="D1052" s="143">
        <f>"PRD_SNJ_"&amp;
_xlfn.XLOOKUP(商品マスタ[[#This Row],[仕入先]],テーブル1[仕入先名],テーブル1[仕入先コード],"XXX",0,1)&amp;
"_"&amp;
商品マスタ[[#This Row],[シリアル]]&amp;
"_"&amp;
TEXT(COUNTIFS(商品マスタ!$C$3:C1052,商品マスタ[[#This Row],[仕入先]],商品マスタ!$E$3:E1052,商品マスタ[[#This Row],[商品名]]), "00")</f>
        <v/>
      </c>
      <c r="E1052" s="167" t="n"/>
      <c r="F1052" s="167">
        <f>IF(COUNTIFS($C$3:C1052,商品マスタ[[#This Row],[仕入先]],$E$3:E1052,商品マスタ[[#This Row],[商品名]]) = 1, 1,0)</f>
        <v/>
      </c>
      <c r="G1052" s="133">
        <f>TEXT(SUMIF($C$3:C1052,商品マスタ[[#This Row],[仕入先]],$F$3:F1052), "0000")</f>
        <v/>
      </c>
      <c r="H1052" s="167" t="n"/>
      <c r="I1052" s="167" t="n"/>
      <c r="J1052" s="167" t="n"/>
      <c r="K1052" s="167" t="n"/>
      <c r="L1052" s="289" t="n"/>
      <c r="M1052" s="157" t="n"/>
      <c r="N1052" s="289" t="n"/>
      <c r="O1052" s="290">
        <f>IF(COUNT(商品マスタ[[#This Row],[参考上代
（税込)]]) &gt; 0, (商品マスタ[[#This Row],[参考上代
（税込)]]-商品マスタ[[#This Row],[国内定価
（15％）]])/(商品マスタ[[#This Row],[参考上代
（税込)]]/1.08), "")</f>
        <v/>
      </c>
      <c r="P1052" s="136" t="n">
        <v>0.1</v>
      </c>
      <c r="Q1052" s="289">
        <f>商品マスタ[[#This Row],[仕入
単価]]*商品マスタ[[#This Row],[標準国内送料率]]</f>
        <v/>
      </c>
      <c r="R1052" s="289" t="n"/>
      <c r="S1052" s="289">
        <f>IF(ISBLANK(商品マスタ[[#This Row],[実績
国内送料]]),商品マスタ[[#This Row],[標準国内送料]],)</f>
        <v/>
      </c>
      <c r="T1052" s="289">
        <f>商品マスタ[[#This Row],[仕入
単価]]+商品マスタ[[#This Row],[国内送料]]</f>
        <v/>
      </c>
      <c r="U1052" s="289">
        <f>ROUNDUP(商品マスタ[[#This Row],[仕入単価+国内送料]]/0.8,-1)</f>
        <v/>
      </c>
      <c r="V1052" s="289">
        <f>商品マスタ[[#This Row],[海外定価
（20％）]]-商品マスタ[[#This Row],[仕入単価+国内送料]]</f>
        <v/>
      </c>
      <c r="W1052" s="167">
        <f>ROUNDUP(商品マスタ[[#This Row],[仕入単価+国内送料]]/0.85,-1)</f>
        <v/>
      </c>
      <c r="X1052" s="289">
        <f>商品マスタ[[#This Row],[国内定価
（15％）]]-商品マスタ[[#This Row],[仕入単価+国内送料]]</f>
        <v/>
      </c>
      <c r="Y1052" s="139" t="n"/>
      <c r="Z1052" s="167" t="n"/>
      <c r="AA1052" s="167" t="n"/>
      <c r="AB1052" s="167" t="n"/>
      <c r="AC1052" s="293" t="n"/>
      <c r="AD1052" s="167" t="n"/>
      <c r="AE1052" s="167" t="n"/>
      <c r="AF1052" s="158" t="n"/>
      <c r="AG1052" s="144" t="n"/>
    </row>
    <row r="1053" ht="15.75" customHeight="1" s="207">
      <c r="A1053" s="166" t="n"/>
      <c r="B1053" s="167" t="n"/>
      <c r="C1053" s="167" t="n"/>
      <c r="D1053" s="143">
        <f>"PRD_SNJ_"&amp;
_xlfn.XLOOKUP(商品マスタ[[#This Row],[仕入先]],テーブル1[仕入先名],テーブル1[仕入先コード],"XXX",0,1)&amp;
"_"&amp;
商品マスタ[[#This Row],[シリアル]]&amp;
"_"&amp;
TEXT(COUNTIFS(商品マスタ!$C$3:C1053,商品マスタ[[#This Row],[仕入先]],商品マスタ!$E$3:E1053,商品マスタ[[#This Row],[商品名]]), "00")</f>
        <v/>
      </c>
      <c r="E1053" s="167" t="n"/>
      <c r="F1053" s="167">
        <f>IF(COUNTIFS($C$3:C1053,商品マスタ[[#This Row],[仕入先]],$E$3:E1053,商品マスタ[[#This Row],[商品名]]) = 1, 1,0)</f>
        <v/>
      </c>
      <c r="G1053" s="133">
        <f>TEXT(SUMIF($C$3:C1053,商品マスタ[[#This Row],[仕入先]],$F$3:F1053), "0000")</f>
        <v/>
      </c>
      <c r="H1053" s="167" t="n"/>
      <c r="I1053" s="167" t="n"/>
      <c r="J1053" s="167" t="n"/>
      <c r="K1053" s="167" t="n"/>
      <c r="L1053" s="289" t="n"/>
      <c r="M1053" s="157" t="n"/>
      <c r="N1053" s="289" t="n"/>
      <c r="O1053" s="290">
        <f>IF(COUNT(商品マスタ[[#This Row],[参考上代
（税込)]]) &gt; 0, (商品マスタ[[#This Row],[参考上代
（税込)]]-商品マスタ[[#This Row],[国内定価
（15％）]])/(商品マスタ[[#This Row],[参考上代
（税込)]]/1.08), "")</f>
        <v/>
      </c>
      <c r="P1053" s="136" t="n">
        <v>0.1</v>
      </c>
      <c r="Q1053" s="289">
        <f>商品マスタ[[#This Row],[仕入
単価]]*商品マスタ[[#This Row],[標準国内送料率]]</f>
        <v/>
      </c>
      <c r="R1053" s="289" t="n"/>
      <c r="S1053" s="289">
        <f>IF(ISBLANK(商品マスタ[[#This Row],[実績
国内送料]]),商品マスタ[[#This Row],[標準国内送料]],)</f>
        <v/>
      </c>
      <c r="T1053" s="289">
        <f>商品マスタ[[#This Row],[仕入
単価]]+商品マスタ[[#This Row],[国内送料]]</f>
        <v/>
      </c>
      <c r="U1053" s="289">
        <f>ROUNDUP(商品マスタ[[#This Row],[仕入単価+国内送料]]/0.8,-1)</f>
        <v/>
      </c>
      <c r="V1053" s="289">
        <f>商品マスタ[[#This Row],[海外定価
（20％）]]-商品マスタ[[#This Row],[仕入単価+国内送料]]</f>
        <v/>
      </c>
      <c r="W1053" s="167">
        <f>ROUNDUP(商品マスタ[[#This Row],[仕入単価+国内送料]]/0.85,-1)</f>
        <v/>
      </c>
      <c r="X1053" s="289">
        <f>商品マスタ[[#This Row],[国内定価
（15％）]]-商品マスタ[[#This Row],[仕入単価+国内送料]]</f>
        <v/>
      </c>
      <c r="Y1053" s="139" t="n"/>
      <c r="Z1053" s="167" t="n"/>
      <c r="AA1053" s="167" t="n"/>
      <c r="AB1053" s="167" t="n"/>
      <c r="AC1053" s="293" t="n"/>
      <c r="AD1053" s="167" t="n"/>
      <c r="AE1053" s="167" t="n"/>
      <c r="AF1053" s="158" t="n"/>
      <c r="AG1053" s="144" t="n"/>
    </row>
    <row r="1054" ht="15.75" customHeight="1" s="207">
      <c r="A1054" s="166" t="n"/>
      <c r="B1054" s="167" t="n"/>
      <c r="C1054" s="167" t="n"/>
      <c r="D1054" s="143">
        <f>"PRD_SNJ_"&amp;
_xlfn.XLOOKUP(商品マスタ[[#This Row],[仕入先]],テーブル1[仕入先名],テーブル1[仕入先コード],"XXX",0,1)&amp;
"_"&amp;
商品マスタ[[#This Row],[シリアル]]&amp;
"_"&amp;
TEXT(COUNTIFS(商品マスタ!$C$3:C1054,商品マスタ[[#This Row],[仕入先]],商品マスタ!$E$3:E1054,商品マスタ[[#This Row],[商品名]]), "00")</f>
        <v/>
      </c>
      <c r="E1054" s="167" t="n"/>
      <c r="F1054" s="167">
        <f>IF(COUNTIFS($C$3:C1054,商品マスタ[[#This Row],[仕入先]],$E$3:E1054,商品マスタ[[#This Row],[商品名]]) = 1, 1,0)</f>
        <v/>
      </c>
      <c r="G1054" s="133">
        <f>TEXT(SUMIF($C$3:C1054,商品マスタ[[#This Row],[仕入先]],$F$3:F1054), "0000")</f>
        <v/>
      </c>
      <c r="H1054" s="167" t="n"/>
      <c r="I1054" s="167" t="n"/>
      <c r="J1054" s="167" t="n"/>
      <c r="K1054" s="167" t="n"/>
      <c r="L1054" s="289" t="n"/>
      <c r="M1054" s="157" t="n"/>
      <c r="N1054" s="289" t="n"/>
      <c r="O1054" s="290">
        <f>IF(COUNT(商品マスタ[[#This Row],[参考上代
（税込)]]) &gt; 0, (商品マスタ[[#This Row],[参考上代
（税込)]]-商品マスタ[[#This Row],[国内定価
（15％）]])/(商品マスタ[[#This Row],[参考上代
（税込)]]/1.08), "")</f>
        <v/>
      </c>
      <c r="P1054" s="136" t="n">
        <v>0.1</v>
      </c>
      <c r="Q1054" s="289">
        <f>商品マスタ[[#This Row],[仕入
単価]]*商品マスタ[[#This Row],[標準国内送料率]]</f>
        <v/>
      </c>
      <c r="R1054" s="289" t="n"/>
      <c r="S1054" s="289">
        <f>IF(ISBLANK(商品マスタ[[#This Row],[実績
国内送料]]),商品マスタ[[#This Row],[標準国内送料]],)</f>
        <v/>
      </c>
      <c r="T1054" s="289">
        <f>商品マスタ[[#This Row],[仕入
単価]]+商品マスタ[[#This Row],[国内送料]]</f>
        <v/>
      </c>
      <c r="U1054" s="289">
        <f>ROUNDUP(商品マスタ[[#This Row],[仕入単価+国内送料]]/0.8,-1)</f>
        <v/>
      </c>
      <c r="V1054" s="289">
        <f>商品マスタ[[#This Row],[海外定価
（20％）]]-商品マスタ[[#This Row],[仕入単価+国内送料]]</f>
        <v/>
      </c>
      <c r="W1054" s="167">
        <f>ROUNDUP(商品マスタ[[#This Row],[仕入単価+国内送料]]/0.85,-1)</f>
        <v/>
      </c>
      <c r="X1054" s="289">
        <f>商品マスタ[[#This Row],[国内定価
（15％）]]-商品マスタ[[#This Row],[仕入単価+国内送料]]</f>
        <v/>
      </c>
      <c r="Y1054" s="139" t="n"/>
      <c r="Z1054" s="167" t="n"/>
      <c r="AA1054" s="167" t="n"/>
      <c r="AB1054" s="167" t="n"/>
      <c r="AC1054" s="293" t="n"/>
      <c r="AD1054" s="167" t="n"/>
      <c r="AE1054" s="167" t="n"/>
      <c r="AF1054" s="158" t="n"/>
      <c r="AG1054" s="144" t="n"/>
    </row>
    <row r="1055" ht="15.75" customHeight="1" s="207">
      <c r="A1055" s="166" t="n"/>
      <c r="B1055" s="167" t="n"/>
      <c r="C1055" s="167" t="n"/>
      <c r="D1055" s="143">
        <f>"PRD_SNJ_"&amp;
_xlfn.XLOOKUP(商品マスタ[[#This Row],[仕入先]],テーブル1[仕入先名],テーブル1[仕入先コード],"XXX",0,1)&amp;
"_"&amp;
商品マスタ[[#This Row],[シリアル]]&amp;
"_"&amp;
TEXT(COUNTIFS(商品マスタ!$C$3:C1055,商品マスタ[[#This Row],[仕入先]],商品マスタ!$E$3:E1055,商品マスタ[[#This Row],[商品名]]), "00")</f>
        <v/>
      </c>
      <c r="E1055" s="167" t="n"/>
      <c r="F1055" s="167">
        <f>IF(COUNTIFS($C$3:C1055,商品マスタ[[#This Row],[仕入先]],$E$3:E1055,商品マスタ[[#This Row],[商品名]]) = 1, 1,0)</f>
        <v/>
      </c>
      <c r="G1055" s="133">
        <f>TEXT(SUMIF($C$3:C1055,商品マスタ[[#This Row],[仕入先]],$F$3:F1055), "0000")</f>
        <v/>
      </c>
      <c r="H1055" s="167" t="n"/>
      <c r="I1055" s="167" t="n"/>
      <c r="J1055" s="167" t="n"/>
      <c r="K1055" s="167" t="n"/>
      <c r="L1055" s="289" t="n"/>
      <c r="M1055" s="157" t="n"/>
      <c r="N1055" s="289" t="n"/>
      <c r="O1055" s="290">
        <f>IF(COUNT(商品マスタ[[#This Row],[参考上代
（税込)]]) &gt; 0, (商品マスタ[[#This Row],[参考上代
（税込)]]-商品マスタ[[#This Row],[国内定価
（15％）]])/(商品マスタ[[#This Row],[参考上代
（税込)]]/1.08), "")</f>
        <v/>
      </c>
      <c r="P1055" s="136" t="n">
        <v>0.1</v>
      </c>
      <c r="Q1055" s="289">
        <f>商品マスタ[[#This Row],[仕入
単価]]*商品マスタ[[#This Row],[標準国内送料率]]</f>
        <v/>
      </c>
      <c r="R1055" s="289" t="n"/>
      <c r="S1055" s="289">
        <f>IF(ISBLANK(商品マスタ[[#This Row],[実績
国内送料]]),商品マスタ[[#This Row],[標準国内送料]],)</f>
        <v/>
      </c>
      <c r="T1055" s="289">
        <f>商品マスタ[[#This Row],[仕入
単価]]+商品マスタ[[#This Row],[国内送料]]</f>
        <v/>
      </c>
      <c r="U1055" s="289">
        <f>ROUNDUP(商品マスタ[[#This Row],[仕入単価+国内送料]]/0.8,-1)</f>
        <v/>
      </c>
      <c r="V1055" s="289">
        <f>商品マスタ[[#This Row],[海外定価
（20％）]]-商品マスタ[[#This Row],[仕入単価+国内送料]]</f>
        <v/>
      </c>
      <c r="W1055" s="167">
        <f>ROUNDUP(商品マスタ[[#This Row],[仕入単価+国内送料]]/0.85,-1)</f>
        <v/>
      </c>
      <c r="X1055" s="289">
        <f>商品マスタ[[#This Row],[国内定価
（15％）]]-商品マスタ[[#This Row],[仕入単価+国内送料]]</f>
        <v/>
      </c>
      <c r="Y1055" s="139" t="n"/>
      <c r="Z1055" s="167" t="n"/>
      <c r="AA1055" s="167" t="n"/>
      <c r="AB1055" s="167" t="n"/>
      <c r="AC1055" s="293" t="n"/>
      <c r="AD1055" s="167" t="n"/>
      <c r="AE1055" s="167" t="n"/>
      <c r="AF1055" s="158" t="n"/>
      <c r="AG1055" s="144" t="n"/>
    </row>
    <row r="1056" ht="15.75" customHeight="1" s="207">
      <c r="A1056" s="166" t="n"/>
      <c r="B1056" s="167" t="n"/>
      <c r="C1056" s="167" t="n"/>
      <c r="D1056" s="143">
        <f>"PRD_SNJ_"&amp;
_xlfn.XLOOKUP(商品マスタ[[#This Row],[仕入先]],テーブル1[仕入先名],テーブル1[仕入先コード],"XXX",0,1)&amp;
"_"&amp;
商品マスタ[[#This Row],[シリアル]]&amp;
"_"&amp;
TEXT(COUNTIFS(商品マスタ!$C$3:C1056,商品マスタ[[#This Row],[仕入先]],商品マスタ!$E$3:E1056,商品マスタ[[#This Row],[商品名]]), "00")</f>
        <v/>
      </c>
      <c r="E1056" s="167" t="n"/>
      <c r="F1056" s="167">
        <f>IF(COUNTIFS($C$3:C1056,商品マスタ[[#This Row],[仕入先]],$E$3:E1056,商品マスタ[[#This Row],[商品名]]) = 1, 1,0)</f>
        <v/>
      </c>
      <c r="G1056" s="133">
        <f>TEXT(SUMIF($C$3:C1056,商品マスタ[[#This Row],[仕入先]],$F$3:F1056), "0000")</f>
        <v/>
      </c>
      <c r="H1056" s="167" t="n"/>
      <c r="I1056" s="167" t="n"/>
      <c r="J1056" s="167" t="n"/>
      <c r="K1056" s="167" t="n"/>
      <c r="L1056" s="289" t="n"/>
      <c r="M1056" s="157" t="n"/>
      <c r="N1056" s="289" t="n"/>
      <c r="O1056" s="290">
        <f>IF(COUNT(商品マスタ[[#This Row],[参考上代
（税込)]]) &gt; 0, (商品マスタ[[#This Row],[参考上代
（税込)]]-商品マスタ[[#This Row],[国内定価
（15％）]])/(商品マスタ[[#This Row],[参考上代
（税込)]]/1.08), "")</f>
        <v/>
      </c>
      <c r="P1056" s="136" t="n">
        <v>0.1</v>
      </c>
      <c r="Q1056" s="289">
        <f>商品マスタ[[#This Row],[仕入
単価]]*商品マスタ[[#This Row],[標準国内送料率]]</f>
        <v/>
      </c>
      <c r="R1056" s="289" t="n"/>
      <c r="S1056" s="289">
        <f>IF(ISBLANK(商品マスタ[[#This Row],[実績
国内送料]]),商品マスタ[[#This Row],[標準国内送料]],)</f>
        <v/>
      </c>
      <c r="T1056" s="289">
        <f>商品マスタ[[#This Row],[仕入
単価]]+商品マスタ[[#This Row],[国内送料]]</f>
        <v/>
      </c>
      <c r="U1056" s="289">
        <f>ROUNDUP(商品マスタ[[#This Row],[仕入単価+国内送料]]/0.8,-1)</f>
        <v/>
      </c>
      <c r="V1056" s="289">
        <f>商品マスタ[[#This Row],[海外定価
（20％）]]-商品マスタ[[#This Row],[仕入単価+国内送料]]</f>
        <v/>
      </c>
      <c r="W1056" s="167">
        <f>ROUNDUP(商品マスタ[[#This Row],[仕入単価+国内送料]]/0.85,-1)</f>
        <v/>
      </c>
      <c r="X1056" s="289">
        <f>商品マスタ[[#This Row],[国内定価
（15％）]]-商品マスタ[[#This Row],[仕入単価+国内送料]]</f>
        <v/>
      </c>
      <c r="Y1056" s="139" t="n"/>
      <c r="Z1056" s="167" t="n"/>
      <c r="AA1056" s="167" t="n"/>
      <c r="AB1056" s="167" t="n"/>
      <c r="AC1056" s="293" t="n"/>
      <c r="AD1056" s="167" t="n"/>
      <c r="AE1056" s="167" t="n"/>
      <c r="AF1056" s="158" t="n"/>
      <c r="AG1056" s="144" t="n"/>
    </row>
    <row r="1057" ht="15.75" customHeight="1" s="207">
      <c r="A1057" s="166" t="n"/>
      <c r="B1057" s="167" t="n"/>
      <c r="C1057" s="167" t="n"/>
      <c r="D1057" s="143">
        <f>"PRD_SNJ_"&amp;
_xlfn.XLOOKUP(商品マスタ[[#This Row],[仕入先]],テーブル1[仕入先名],テーブル1[仕入先コード],"XXX",0,1)&amp;
"_"&amp;
商品マスタ[[#This Row],[シリアル]]&amp;
"_"&amp;
TEXT(COUNTIFS(商品マスタ!$C$3:C1057,商品マスタ[[#This Row],[仕入先]],商品マスタ!$E$3:E1057,商品マスタ[[#This Row],[商品名]]), "00")</f>
        <v/>
      </c>
      <c r="E1057" s="167" t="n"/>
      <c r="F1057" s="167">
        <f>IF(COUNTIFS($C$3:C1057,商品マスタ[[#This Row],[仕入先]],$E$3:E1057,商品マスタ[[#This Row],[商品名]]) = 1, 1,0)</f>
        <v/>
      </c>
      <c r="G1057" s="133">
        <f>TEXT(SUMIF($C$3:C1057,商品マスタ[[#This Row],[仕入先]],$F$3:F1057), "0000")</f>
        <v/>
      </c>
      <c r="H1057" s="167" t="n"/>
      <c r="I1057" s="167" t="n"/>
      <c r="J1057" s="167" t="n"/>
      <c r="K1057" s="167" t="n"/>
      <c r="L1057" s="289" t="n"/>
      <c r="M1057" s="157" t="n"/>
      <c r="N1057" s="289" t="n"/>
      <c r="O1057" s="290">
        <f>IF(COUNT(商品マスタ[[#This Row],[参考上代
（税込)]]) &gt; 0, (商品マスタ[[#This Row],[参考上代
（税込)]]-商品マスタ[[#This Row],[国内定価
（15％）]])/(商品マスタ[[#This Row],[参考上代
（税込)]]/1.08), "")</f>
        <v/>
      </c>
      <c r="P1057" s="136" t="n">
        <v>0.1</v>
      </c>
      <c r="Q1057" s="289">
        <f>商品マスタ[[#This Row],[仕入
単価]]*商品マスタ[[#This Row],[標準国内送料率]]</f>
        <v/>
      </c>
      <c r="R1057" s="289" t="n"/>
      <c r="S1057" s="289">
        <f>IF(ISBLANK(商品マスタ[[#This Row],[実績
国内送料]]),商品マスタ[[#This Row],[標準国内送料]],)</f>
        <v/>
      </c>
      <c r="T1057" s="289">
        <f>商品マスタ[[#This Row],[仕入
単価]]+商品マスタ[[#This Row],[国内送料]]</f>
        <v/>
      </c>
      <c r="U1057" s="289">
        <f>ROUNDUP(商品マスタ[[#This Row],[仕入単価+国内送料]]/0.8,-1)</f>
        <v/>
      </c>
      <c r="V1057" s="289">
        <f>商品マスタ[[#This Row],[海外定価
（20％）]]-商品マスタ[[#This Row],[仕入単価+国内送料]]</f>
        <v/>
      </c>
      <c r="W1057" s="167">
        <f>ROUNDUP(商品マスタ[[#This Row],[仕入単価+国内送料]]/0.85,-1)</f>
        <v/>
      </c>
      <c r="X1057" s="289">
        <f>商品マスタ[[#This Row],[国内定価
（15％）]]-商品マスタ[[#This Row],[仕入単価+国内送料]]</f>
        <v/>
      </c>
      <c r="Y1057" s="139" t="n"/>
      <c r="Z1057" s="167" t="n"/>
      <c r="AA1057" s="167" t="n"/>
      <c r="AB1057" s="167" t="n"/>
      <c r="AC1057" s="293" t="n"/>
      <c r="AD1057" s="167" t="n"/>
      <c r="AE1057" s="167" t="n"/>
      <c r="AF1057" s="158" t="n"/>
      <c r="AG1057" s="144" t="n"/>
    </row>
    <row r="1058" ht="15.75" customHeight="1" s="207">
      <c r="A1058" s="166" t="n"/>
      <c r="B1058" s="167" t="n"/>
      <c r="C1058" s="167" t="n"/>
      <c r="D1058" s="143">
        <f>"PRD_SNJ_"&amp;
_xlfn.XLOOKUP(商品マスタ[[#This Row],[仕入先]],テーブル1[仕入先名],テーブル1[仕入先コード],"XXX",0,1)&amp;
"_"&amp;
商品マスタ[[#This Row],[シリアル]]&amp;
"_"&amp;
TEXT(COUNTIFS(商品マスタ!$C$3:C1058,商品マスタ[[#This Row],[仕入先]],商品マスタ!$E$3:E1058,商品マスタ[[#This Row],[商品名]]), "00")</f>
        <v/>
      </c>
      <c r="E1058" s="167" t="n"/>
      <c r="F1058" s="167">
        <f>IF(COUNTIFS($C$3:C1058,商品マスタ[[#This Row],[仕入先]],$E$3:E1058,商品マスタ[[#This Row],[商品名]]) = 1, 1,0)</f>
        <v/>
      </c>
      <c r="G1058" s="133">
        <f>TEXT(SUMIF($C$3:C1058,商品マスタ[[#This Row],[仕入先]],$F$3:F1058), "0000")</f>
        <v/>
      </c>
      <c r="H1058" s="167" t="n"/>
      <c r="I1058" s="167" t="n"/>
      <c r="J1058" s="167" t="n"/>
      <c r="K1058" s="167" t="n"/>
      <c r="L1058" s="289" t="n"/>
      <c r="M1058" s="157" t="n"/>
      <c r="N1058" s="289" t="n"/>
      <c r="O1058" s="290">
        <f>IF(COUNT(商品マスタ[[#This Row],[参考上代
（税込)]]) &gt; 0, (商品マスタ[[#This Row],[参考上代
（税込)]]-商品マスタ[[#This Row],[国内定価
（15％）]])/(商品マスタ[[#This Row],[参考上代
（税込)]]/1.08), "")</f>
        <v/>
      </c>
      <c r="P1058" s="136" t="n">
        <v>0.1</v>
      </c>
      <c r="Q1058" s="289">
        <f>商品マスタ[[#This Row],[仕入
単価]]*商品マスタ[[#This Row],[標準国内送料率]]</f>
        <v/>
      </c>
      <c r="R1058" s="289" t="n"/>
      <c r="S1058" s="289">
        <f>IF(ISBLANK(商品マスタ[[#This Row],[実績
国内送料]]),商品マスタ[[#This Row],[標準国内送料]],)</f>
        <v/>
      </c>
      <c r="T1058" s="289">
        <f>商品マスタ[[#This Row],[仕入
単価]]+商品マスタ[[#This Row],[国内送料]]</f>
        <v/>
      </c>
      <c r="U1058" s="289">
        <f>ROUNDUP(商品マスタ[[#This Row],[仕入単価+国内送料]]/0.8,-1)</f>
        <v/>
      </c>
      <c r="V1058" s="289">
        <f>商品マスタ[[#This Row],[海外定価
（20％）]]-商品マスタ[[#This Row],[仕入単価+国内送料]]</f>
        <v/>
      </c>
      <c r="W1058" s="167">
        <f>ROUNDUP(商品マスタ[[#This Row],[仕入単価+国内送料]]/0.85,-1)</f>
        <v/>
      </c>
      <c r="X1058" s="289">
        <f>商品マスタ[[#This Row],[国内定価
（15％）]]-商品マスタ[[#This Row],[仕入単価+国内送料]]</f>
        <v/>
      </c>
      <c r="Y1058" s="139" t="n"/>
      <c r="Z1058" s="167" t="n"/>
      <c r="AA1058" s="167" t="n"/>
      <c r="AB1058" s="167" t="n"/>
      <c r="AC1058" s="293" t="n"/>
      <c r="AD1058" s="167" t="n"/>
      <c r="AE1058" s="167" t="n"/>
      <c r="AF1058" s="158" t="n"/>
      <c r="AG1058" s="144" t="n"/>
    </row>
    <row r="1059" ht="15.75" customHeight="1" s="207">
      <c r="A1059" s="166" t="n"/>
      <c r="B1059" s="167" t="n"/>
      <c r="C1059" s="167" t="n"/>
      <c r="D1059" s="143">
        <f>"PRD_SNJ_"&amp;
_xlfn.XLOOKUP(商品マスタ[[#This Row],[仕入先]],テーブル1[仕入先名],テーブル1[仕入先コード],"XXX",0,1)&amp;
"_"&amp;
商品マスタ[[#This Row],[シリアル]]&amp;
"_"&amp;
TEXT(COUNTIFS(商品マスタ!$C$3:C1059,商品マスタ[[#This Row],[仕入先]],商品マスタ!$E$3:E1059,商品マスタ[[#This Row],[商品名]]), "00")</f>
        <v/>
      </c>
      <c r="E1059" s="167" t="n"/>
      <c r="F1059" s="167">
        <f>IF(COUNTIFS($C$3:C1059,商品マスタ[[#This Row],[仕入先]],$E$3:E1059,商品マスタ[[#This Row],[商品名]]) = 1, 1,0)</f>
        <v/>
      </c>
      <c r="G1059" s="133">
        <f>TEXT(SUMIF($C$3:C1059,商品マスタ[[#This Row],[仕入先]],$F$3:F1059), "0000")</f>
        <v/>
      </c>
      <c r="H1059" s="167" t="n"/>
      <c r="I1059" s="167" t="n"/>
      <c r="J1059" s="167" t="n"/>
      <c r="K1059" s="167" t="n"/>
      <c r="L1059" s="289" t="n"/>
      <c r="M1059" s="157" t="n"/>
      <c r="N1059" s="289" t="n"/>
      <c r="O1059" s="290">
        <f>IF(COUNT(商品マスタ[[#This Row],[参考上代
（税込)]]) &gt; 0, (商品マスタ[[#This Row],[参考上代
（税込)]]-商品マスタ[[#This Row],[国内定価
（15％）]])/(商品マスタ[[#This Row],[参考上代
（税込)]]/1.08), "")</f>
        <v/>
      </c>
      <c r="P1059" s="136" t="n">
        <v>0.1</v>
      </c>
      <c r="Q1059" s="289">
        <f>商品マスタ[[#This Row],[仕入
単価]]*商品マスタ[[#This Row],[標準国内送料率]]</f>
        <v/>
      </c>
      <c r="R1059" s="289" t="n"/>
      <c r="S1059" s="289">
        <f>IF(ISBLANK(商品マスタ[[#This Row],[実績
国内送料]]),商品マスタ[[#This Row],[標準国内送料]],)</f>
        <v/>
      </c>
      <c r="T1059" s="289">
        <f>商品マスタ[[#This Row],[仕入
単価]]+商品マスタ[[#This Row],[国内送料]]</f>
        <v/>
      </c>
      <c r="U1059" s="289">
        <f>ROUNDUP(商品マスタ[[#This Row],[仕入単価+国内送料]]/0.8,-1)</f>
        <v/>
      </c>
      <c r="V1059" s="289">
        <f>商品マスタ[[#This Row],[海外定価
（20％）]]-商品マスタ[[#This Row],[仕入単価+国内送料]]</f>
        <v/>
      </c>
      <c r="W1059" s="167">
        <f>ROUNDUP(商品マスタ[[#This Row],[仕入単価+国内送料]]/0.85,-1)</f>
        <v/>
      </c>
      <c r="X1059" s="289">
        <f>商品マスタ[[#This Row],[国内定価
（15％）]]-商品マスタ[[#This Row],[仕入単価+国内送料]]</f>
        <v/>
      </c>
      <c r="Y1059" s="139" t="n"/>
      <c r="Z1059" s="167" t="n"/>
      <c r="AA1059" s="167" t="n"/>
      <c r="AB1059" s="167" t="n"/>
      <c r="AC1059" s="293" t="n"/>
      <c r="AD1059" s="167" t="n"/>
      <c r="AE1059" s="167" t="n"/>
      <c r="AF1059" s="158" t="n"/>
      <c r="AG1059" s="144" t="n"/>
    </row>
    <row r="1060" ht="15.75" customHeight="1" s="207">
      <c r="A1060" s="166" t="n"/>
      <c r="B1060" s="167" t="n"/>
      <c r="C1060" s="167" t="n"/>
      <c r="D1060" s="143">
        <f>"PRD_SNJ_"&amp;
_xlfn.XLOOKUP(商品マスタ[[#This Row],[仕入先]],テーブル1[仕入先名],テーブル1[仕入先コード],"XXX",0,1)&amp;
"_"&amp;
商品マスタ[[#This Row],[シリアル]]&amp;
"_"&amp;
TEXT(COUNTIFS(商品マスタ!$C$3:C1060,商品マスタ[[#This Row],[仕入先]],商品マスタ!$E$3:E1060,商品マスタ[[#This Row],[商品名]]), "00")</f>
        <v/>
      </c>
      <c r="E1060" s="167" t="n"/>
      <c r="F1060" s="167">
        <f>IF(COUNTIFS($C$3:C1060,商品マスタ[[#This Row],[仕入先]],$E$3:E1060,商品マスタ[[#This Row],[商品名]]) = 1, 1,0)</f>
        <v/>
      </c>
      <c r="G1060" s="133">
        <f>TEXT(SUMIF($C$3:C1060,商品マスタ[[#This Row],[仕入先]],$F$3:F1060), "0000")</f>
        <v/>
      </c>
      <c r="H1060" s="167" t="n"/>
      <c r="I1060" s="167" t="n"/>
      <c r="J1060" s="167" t="n"/>
      <c r="K1060" s="167" t="n"/>
      <c r="L1060" s="289" t="n"/>
      <c r="M1060" s="157" t="n"/>
      <c r="N1060" s="289" t="n"/>
      <c r="O1060" s="290">
        <f>IF(COUNT(商品マスタ[[#This Row],[参考上代
（税込)]]) &gt; 0, (商品マスタ[[#This Row],[参考上代
（税込)]]-商品マスタ[[#This Row],[国内定価
（15％）]])/(商品マスタ[[#This Row],[参考上代
（税込)]]/1.08), "")</f>
        <v/>
      </c>
      <c r="P1060" s="136" t="n">
        <v>0.1</v>
      </c>
      <c r="Q1060" s="289">
        <f>商品マスタ[[#This Row],[仕入
単価]]*商品マスタ[[#This Row],[標準国内送料率]]</f>
        <v/>
      </c>
      <c r="R1060" s="289" t="n"/>
      <c r="S1060" s="289">
        <f>IF(ISBLANK(商品マスタ[[#This Row],[実績
国内送料]]),商品マスタ[[#This Row],[標準国内送料]],)</f>
        <v/>
      </c>
      <c r="T1060" s="289">
        <f>商品マスタ[[#This Row],[仕入
単価]]+商品マスタ[[#This Row],[国内送料]]</f>
        <v/>
      </c>
      <c r="U1060" s="289">
        <f>ROUNDUP(商品マスタ[[#This Row],[仕入単価+国内送料]]/0.8,-1)</f>
        <v/>
      </c>
      <c r="V1060" s="289">
        <f>商品マスタ[[#This Row],[海外定価
（20％）]]-商品マスタ[[#This Row],[仕入単価+国内送料]]</f>
        <v/>
      </c>
      <c r="W1060" s="167">
        <f>ROUNDUP(商品マスタ[[#This Row],[仕入単価+国内送料]]/0.85,-1)</f>
        <v/>
      </c>
      <c r="X1060" s="289">
        <f>商品マスタ[[#This Row],[国内定価
（15％）]]-商品マスタ[[#This Row],[仕入単価+国内送料]]</f>
        <v/>
      </c>
      <c r="Y1060" s="139" t="n"/>
      <c r="Z1060" s="167" t="n"/>
      <c r="AA1060" s="167" t="n"/>
      <c r="AB1060" s="167" t="n"/>
      <c r="AC1060" s="293" t="n"/>
      <c r="AD1060" s="167" t="n"/>
      <c r="AE1060" s="167" t="n"/>
      <c r="AF1060" s="158" t="n"/>
      <c r="AG1060" s="144" t="n"/>
    </row>
    <row r="1061" ht="15.75" customHeight="1" s="207">
      <c r="A1061" s="166" t="n"/>
      <c r="B1061" s="167" t="n"/>
      <c r="C1061" s="167" t="n"/>
      <c r="D1061" s="143">
        <f>"PRD_SNJ_"&amp;
_xlfn.XLOOKUP(商品マスタ[[#This Row],[仕入先]],テーブル1[仕入先名],テーブル1[仕入先コード],"XXX",0,1)&amp;
"_"&amp;
商品マスタ[[#This Row],[シリアル]]&amp;
"_"&amp;
TEXT(COUNTIFS(商品マスタ!$C$3:C1061,商品マスタ[[#This Row],[仕入先]],商品マスタ!$E$3:E1061,商品マスタ[[#This Row],[商品名]]), "00")</f>
        <v/>
      </c>
      <c r="E1061" s="167" t="n"/>
      <c r="F1061" s="167">
        <f>IF(COUNTIFS($C$3:C1061,商品マスタ[[#This Row],[仕入先]],$E$3:E1061,商品マスタ[[#This Row],[商品名]]) = 1, 1,0)</f>
        <v/>
      </c>
      <c r="G1061" s="133">
        <f>TEXT(SUMIF($C$3:C1061,商品マスタ[[#This Row],[仕入先]],$F$3:F1061), "0000")</f>
        <v/>
      </c>
      <c r="H1061" s="167" t="n"/>
      <c r="I1061" s="167" t="n"/>
      <c r="J1061" s="167" t="n"/>
      <c r="K1061" s="167" t="n"/>
      <c r="L1061" s="289" t="n"/>
      <c r="M1061" s="157" t="n"/>
      <c r="N1061" s="289" t="n"/>
      <c r="O1061" s="290">
        <f>IF(COUNT(商品マスタ[[#This Row],[参考上代
（税込)]]) &gt; 0, (商品マスタ[[#This Row],[参考上代
（税込)]]-商品マスタ[[#This Row],[国内定価
（15％）]])/(商品マスタ[[#This Row],[参考上代
（税込)]]/1.08), "")</f>
        <v/>
      </c>
      <c r="P1061" s="136" t="n">
        <v>0.1</v>
      </c>
      <c r="Q1061" s="289">
        <f>商品マスタ[[#This Row],[仕入
単価]]*商品マスタ[[#This Row],[標準国内送料率]]</f>
        <v/>
      </c>
      <c r="R1061" s="289" t="n"/>
      <c r="S1061" s="289">
        <f>IF(ISBLANK(商品マスタ[[#This Row],[実績
国内送料]]),商品マスタ[[#This Row],[標準国内送料]],)</f>
        <v/>
      </c>
      <c r="T1061" s="289">
        <f>商品マスタ[[#This Row],[仕入
単価]]+商品マスタ[[#This Row],[国内送料]]</f>
        <v/>
      </c>
      <c r="U1061" s="289">
        <f>ROUNDUP(商品マスタ[[#This Row],[仕入単価+国内送料]]/0.8,-1)</f>
        <v/>
      </c>
      <c r="V1061" s="289">
        <f>商品マスタ[[#This Row],[海外定価
（20％）]]-商品マスタ[[#This Row],[仕入単価+国内送料]]</f>
        <v/>
      </c>
      <c r="W1061" s="167">
        <f>ROUNDUP(商品マスタ[[#This Row],[仕入単価+国内送料]]/0.85,-1)</f>
        <v/>
      </c>
      <c r="X1061" s="289">
        <f>商品マスタ[[#This Row],[国内定価
（15％）]]-商品マスタ[[#This Row],[仕入単価+国内送料]]</f>
        <v/>
      </c>
      <c r="Y1061" s="139" t="n"/>
      <c r="Z1061" s="167" t="n"/>
      <c r="AA1061" s="167" t="n"/>
      <c r="AB1061" s="167" t="n"/>
      <c r="AC1061" s="293" t="n"/>
      <c r="AD1061" s="167" t="n"/>
      <c r="AE1061" s="167" t="n"/>
      <c r="AF1061" s="158" t="n"/>
      <c r="AG1061" s="144" t="n"/>
    </row>
    <row r="1062" ht="15.75" customHeight="1" s="207">
      <c r="A1062" s="166" t="n"/>
      <c r="B1062" s="167" t="n"/>
      <c r="C1062" s="167" t="n"/>
      <c r="D1062" s="143">
        <f>"PRD_SNJ_"&amp;
_xlfn.XLOOKUP(商品マスタ[[#This Row],[仕入先]],テーブル1[仕入先名],テーブル1[仕入先コード],"XXX",0,1)&amp;
"_"&amp;
商品マスタ[[#This Row],[シリアル]]&amp;
"_"&amp;
TEXT(COUNTIFS(商品マスタ!$C$3:C1062,商品マスタ[[#This Row],[仕入先]],商品マスタ!$E$3:E1062,商品マスタ[[#This Row],[商品名]]), "00")</f>
        <v/>
      </c>
      <c r="E1062" s="167" t="n"/>
      <c r="F1062" s="167">
        <f>IF(COUNTIFS($C$3:C1062,商品マスタ[[#This Row],[仕入先]],$E$3:E1062,商品マスタ[[#This Row],[商品名]]) = 1, 1,0)</f>
        <v/>
      </c>
      <c r="G1062" s="133">
        <f>TEXT(SUMIF($C$3:C1062,商品マスタ[[#This Row],[仕入先]],$F$3:F1062), "0000")</f>
        <v/>
      </c>
      <c r="H1062" s="167" t="n"/>
      <c r="I1062" s="167" t="n"/>
      <c r="J1062" s="167" t="n"/>
      <c r="K1062" s="167" t="n"/>
      <c r="L1062" s="289" t="n"/>
      <c r="M1062" s="157" t="n"/>
      <c r="N1062" s="289" t="n"/>
      <c r="O1062" s="290">
        <f>IF(COUNT(商品マスタ[[#This Row],[参考上代
（税込)]]) &gt; 0, (商品マスタ[[#This Row],[参考上代
（税込)]]-商品マスタ[[#This Row],[国内定価
（15％）]])/(商品マスタ[[#This Row],[参考上代
（税込)]]/1.08), "")</f>
        <v/>
      </c>
      <c r="P1062" s="136" t="n">
        <v>0.1</v>
      </c>
      <c r="Q1062" s="289">
        <f>商品マスタ[[#This Row],[仕入
単価]]*商品マスタ[[#This Row],[標準国内送料率]]</f>
        <v/>
      </c>
      <c r="R1062" s="289" t="n"/>
      <c r="S1062" s="289">
        <f>IF(ISBLANK(商品マスタ[[#This Row],[実績
国内送料]]),商品マスタ[[#This Row],[標準国内送料]],)</f>
        <v/>
      </c>
      <c r="T1062" s="289">
        <f>商品マスタ[[#This Row],[仕入
単価]]+商品マスタ[[#This Row],[国内送料]]</f>
        <v/>
      </c>
      <c r="U1062" s="289">
        <f>ROUNDUP(商品マスタ[[#This Row],[仕入単価+国内送料]]/0.8,-1)</f>
        <v/>
      </c>
      <c r="V1062" s="289">
        <f>商品マスタ[[#This Row],[海外定価
（20％）]]-商品マスタ[[#This Row],[仕入単価+国内送料]]</f>
        <v/>
      </c>
      <c r="W1062" s="167">
        <f>ROUNDUP(商品マスタ[[#This Row],[仕入単価+国内送料]]/0.85,-1)</f>
        <v/>
      </c>
      <c r="X1062" s="289">
        <f>商品マスタ[[#This Row],[国内定価
（15％）]]-商品マスタ[[#This Row],[仕入単価+国内送料]]</f>
        <v/>
      </c>
      <c r="Y1062" s="139" t="n"/>
      <c r="Z1062" s="167" t="n"/>
      <c r="AA1062" s="167" t="n"/>
      <c r="AB1062" s="167" t="n"/>
      <c r="AC1062" s="293" t="n"/>
      <c r="AD1062" s="167" t="n"/>
      <c r="AE1062" s="167" t="n"/>
      <c r="AF1062" s="158" t="n"/>
      <c r="AG1062" s="144" t="n"/>
    </row>
    <row r="1063" ht="15.75" customHeight="1" s="207">
      <c r="A1063" s="166" t="n"/>
      <c r="B1063" s="167" t="n"/>
      <c r="C1063" s="167" t="n"/>
      <c r="D1063" s="143">
        <f>"PRD_SNJ_"&amp;
_xlfn.XLOOKUP(商品マスタ[[#This Row],[仕入先]],テーブル1[仕入先名],テーブル1[仕入先コード],"XXX",0,1)&amp;
"_"&amp;
商品マスタ[[#This Row],[シリアル]]&amp;
"_"&amp;
TEXT(COUNTIFS(商品マスタ!$C$3:C1063,商品マスタ[[#This Row],[仕入先]],商品マスタ!$E$3:E1063,商品マスタ[[#This Row],[商品名]]), "00")</f>
        <v/>
      </c>
      <c r="E1063" s="167" t="n"/>
      <c r="F1063" s="167">
        <f>IF(COUNTIFS($C$3:C1063,商品マスタ[[#This Row],[仕入先]],$E$3:E1063,商品マスタ[[#This Row],[商品名]]) = 1, 1,0)</f>
        <v/>
      </c>
      <c r="G1063" s="133">
        <f>TEXT(SUMIF($C$3:C1063,商品マスタ[[#This Row],[仕入先]],$F$3:F1063), "0000")</f>
        <v/>
      </c>
      <c r="H1063" s="167" t="n"/>
      <c r="I1063" s="167" t="n"/>
      <c r="J1063" s="167" t="n"/>
      <c r="K1063" s="167" t="n"/>
      <c r="L1063" s="289" t="n"/>
      <c r="M1063" s="157" t="n"/>
      <c r="N1063" s="289" t="n"/>
      <c r="O1063" s="290">
        <f>IF(COUNT(商品マスタ[[#This Row],[参考上代
（税込)]]) &gt; 0, (商品マスタ[[#This Row],[参考上代
（税込)]]-商品マスタ[[#This Row],[国内定価
（15％）]])/(商品マスタ[[#This Row],[参考上代
（税込)]]/1.08), "")</f>
        <v/>
      </c>
      <c r="P1063" s="136" t="n">
        <v>0.1</v>
      </c>
      <c r="Q1063" s="289">
        <f>商品マスタ[[#This Row],[仕入
単価]]*商品マスタ[[#This Row],[標準国内送料率]]</f>
        <v/>
      </c>
      <c r="R1063" s="289" t="n"/>
      <c r="S1063" s="289">
        <f>IF(ISBLANK(商品マスタ[[#This Row],[実績
国内送料]]),商品マスタ[[#This Row],[標準国内送料]],)</f>
        <v/>
      </c>
      <c r="T1063" s="289">
        <f>商品マスタ[[#This Row],[仕入
単価]]+商品マスタ[[#This Row],[国内送料]]</f>
        <v/>
      </c>
      <c r="U1063" s="289">
        <f>ROUNDUP(商品マスタ[[#This Row],[仕入単価+国内送料]]/0.8,-1)</f>
        <v/>
      </c>
      <c r="V1063" s="289">
        <f>商品マスタ[[#This Row],[海外定価
（20％）]]-商品マスタ[[#This Row],[仕入単価+国内送料]]</f>
        <v/>
      </c>
      <c r="W1063" s="167">
        <f>ROUNDUP(商品マスタ[[#This Row],[仕入単価+国内送料]]/0.85,-1)</f>
        <v/>
      </c>
      <c r="X1063" s="289">
        <f>商品マスタ[[#This Row],[国内定価
（15％）]]-商品マスタ[[#This Row],[仕入単価+国内送料]]</f>
        <v/>
      </c>
      <c r="Y1063" s="139" t="n"/>
      <c r="Z1063" s="167" t="n"/>
      <c r="AA1063" s="167" t="n"/>
      <c r="AB1063" s="167" t="n"/>
      <c r="AC1063" s="293" t="n"/>
      <c r="AD1063" s="167" t="n"/>
      <c r="AE1063" s="167" t="n"/>
      <c r="AF1063" s="158" t="n"/>
      <c r="AG1063" s="144" t="n"/>
    </row>
    <row r="1064" ht="15.75" customHeight="1" s="207">
      <c r="A1064" s="166" t="n"/>
      <c r="B1064" s="167" t="n"/>
      <c r="C1064" s="167" t="n"/>
      <c r="D1064" s="143">
        <f>"PRD_SNJ_"&amp;
_xlfn.XLOOKUP(商品マスタ[[#This Row],[仕入先]],テーブル1[仕入先名],テーブル1[仕入先コード],"XXX",0,1)&amp;
"_"&amp;
商品マスタ[[#This Row],[シリアル]]&amp;
"_"&amp;
TEXT(COUNTIFS(商品マスタ!$C$3:C1064,商品マスタ[[#This Row],[仕入先]],商品マスタ!$E$3:E1064,商品マスタ[[#This Row],[商品名]]), "00")</f>
        <v/>
      </c>
      <c r="E1064" s="167" t="n"/>
      <c r="F1064" s="167">
        <f>IF(COUNTIFS($C$3:C1064,商品マスタ[[#This Row],[仕入先]],$E$3:E1064,商品マスタ[[#This Row],[商品名]]) = 1, 1,0)</f>
        <v/>
      </c>
      <c r="G1064" s="133">
        <f>TEXT(SUMIF($C$3:C1064,商品マスタ[[#This Row],[仕入先]],$F$3:F1064), "0000")</f>
        <v/>
      </c>
      <c r="H1064" s="167" t="n"/>
      <c r="I1064" s="167" t="n"/>
      <c r="J1064" s="167" t="n"/>
      <c r="K1064" s="167" t="n"/>
      <c r="L1064" s="289" t="n"/>
      <c r="M1064" s="157" t="n"/>
      <c r="N1064" s="289" t="n"/>
      <c r="O1064" s="290">
        <f>IF(COUNT(商品マスタ[[#This Row],[参考上代
（税込)]]) &gt; 0, (商品マスタ[[#This Row],[参考上代
（税込)]]-商品マスタ[[#This Row],[国内定価
（15％）]])/(商品マスタ[[#This Row],[参考上代
（税込)]]/1.08), "")</f>
        <v/>
      </c>
      <c r="P1064" s="136" t="n">
        <v>0.1</v>
      </c>
      <c r="Q1064" s="289">
        <f>商品マスタ[[#This Row],[仕入
単価]]*商品マスタ[[#This Row],[標準国内送料率]]</f>
        <v/>
      </c>
      <c r="R1064" s="289" t="n"/>
      <c r="S1064" s="289">
        <f>IF(ISBLANK(商品マスタ[[#This Row],[実績
国内送料]]),商品マスタ[[#This Row],[標準国内送料]],)</f>
        <v/>
      </c>
      <c r="T1064" s="289">
        <f>商品マスタ[[#This Row],[仕入
単価]]+商品マスタ[[#This Row],[国内送料]]</f>
        <v/>
      </c>
      <c r="U1064" s="289">
        <f>ROUNDUP(商品マスタ[[#This Row],[仕入単価+国内送料]]/0.8,-1)</f>
        <v/>
      </c>
      <c r="V1064" s="289">
        <f>商品マスタ[[#This Row],[海外定価
（20％）]]-商品マスタ[[#This Row],[仕入単価+国内送料]]</f>
        <v/>
      </c>
      <c r="W1064" s="167">
        <f>ROUNDUP(商品マスタ[[#This Row],[仕入単価+国内送料]]/0.85,-1)</f>
        <v/>
      </c>
      <c r="X1064" s="289">
        <f>商品マスタ[[#This Row],[国内定価
（15％）]]-商品マスタ[[#This Row],[仕入単価+国内送料]]</f>
        <v/>
      </c>
      <c r="Y1064" s="139" t="n"/>
      <c r="Z1064" s="167" t="n"/>
      <c r="AA1064" s="167" t="n"/>
      <c r="AB1064" s="167" t="n"/>
      <c r="AC1064" s="293" t="n"/>
      <c r="AD1064" s="167" t="n"/>
      <c r="AE1064" s="167" t="n"/>
      <c r="AF1064" s="158" t="n"/>
      <c r="AG1064" s="144" t="n"/>
    </row>
    <row r="1065" ht="15.75" customHeight="1" s="207">
      <c r="A1065" s="166" t="n"/>
      <c r="B1065" s="167" t="n"/>
      <c r="C1065" s="167" t="n"/>
      <c r="D1065" s="143">
        <f>"PRD_SNJ_"&amp;
_xlfn.XLOOKUP(商品マスタ[[#This Row],[仕入先]],テーブル1[仕入先名],テーブル1[仕入先コード],"XXX",0,1)&amp;
"_"&amp;
商品マスタ[[#This Row],[シリアル]]&amp;
"_"&amp;
TEXT(COUNTIFS(商品マスタ!$C$3:C1065,商品マスタ[[#This Row],[仕入先]],商品マスタ!$E$3:E1065,商品マスタ[[#This Row],[商品名]]), "00")</f>
        <v/>
      </c>
      <c r="E1065" s="167" t="n"/>
      <c r="F1065" s="167">
        <f>IF(COUNTIFS($C$3:C1065,商品マスタ[[#This Row],[仕入先]],$E$3:E1065,商品マスタ[[#This Row],[商品名]]) = 1, 1,0)</f>
        <v/>
      </c>
      <c r="G1065" s="133">
        <f>TEXT(SUMIF($C$3:C1065,商品マスタ[[#This Row],[仕入先]],$F$3:F1065), "0000")</f>
        <v/>
      </c>
      <c r="H1065" s="167" t="n"/>
      <c r="I1065" s="167" t="n"/>
      <c r="J1065" s="167" t="n"/>
      <c r="K1065" s="167" t="n"/>
      <c r="L1065" s="289" t="n"/>
      <c r="M1065" s="157" t="n"/>
      <c r="N1065" s="289" t="n"/>
      <c r="O1065" s="290">
        <f>IF(COUNT(商品マスタ[[#This Row],[参考上代
（税込)]]) &gt; 0, (商品マスタ[[#This Row],[参考上代
（税込)]]-商品マスタ[[#This Row],[国内定価
（15％）]])/(商品マスタ[[#This Row],[参考上代
（税込)]]/1.08), "")</f>
        <v/>
      </c>
      <c r="P1065" s="136" t="n">
        <v>0.1</v>
      </c>
      <c r="Q1065" s="289">
        <f>商品マスタ[[#This Row],[仕入
単価]]*商品マスタ[[#This Row],[標準国内送料率]]</f>
        <v/>
      </c>
      <c r="R1065" s="289" t="n"/>
      <c r="S1065" s="289">
        <f>IF(ISBLANK(商品マスタ[[#This Row],[実績
国内送料]]),商品マスタ[[#This Row],[標準国内送料]],)</f>
        <v/>
      </c>
      <c r="T1065" s="289">
        <f>商品マスタ[[#This Row],[仕入
単価]]+商品マスタ[[#This Row],[国内送料]]</f>
        <v/>
      </c>
      <c r="U1065" s="289">
        <f>ROUNDUP(商品マスタ[[#This Row],[仕入単価+国内送料]]/0.8,-1)</f>
        <v/>
      </c>
      <c r="V1065" s="289">
        <f>商品マスタ[[#This Row],[海外定価
（20％）]]-商品マスタ[[#This Row],[仕入単価+国内送料]]</f>
        <v/>
      </c>
      <c r="W1065" s="167">
        <f>ROUNDUP(商品マスタ[[#This Row],[仕入単価+国内送料]]/0.85,-1)</f>
        <v/>
      </c>
      <c r="X1065" s="289">
        <f>商品マスタ[[#This Row],[国内定価
（15％）]]-商品マスタ[[#This Row],[仕入単価+国内送料]]</f>
        <v/>
      </c>
      <c r="Y1065" s="139" t="n"/>
      <c r="Z1065" s="167" t="n"/>
      <c r="AA1065" s="167" t="n"/>
      <c r="AB1065" s="167" t="n"/>
      <c r="AC1065" s="293" t="n"/>
      <c r="AD1065" s="167" t="n"/>
      <c r="AE1065" s="167" t="n"/>
      <c r="AF1065" s="158" t="n"/>
      <c r="AG1065" s="144" t="n"/>
    </row>
    <row r="1066" ht="15.75" customHeight="1" s="207">
      <c r="A1066" s="166" t="n"/>
      <c r="B1066" s="167" t="n"/>
      <c r="C1066" s="167" t="n"/>
      <c r="D1066" s="143">
        <f>"PRD_SNJ_"&amp;
_xlfn.XLOOKUP(商品マスタ[[#This Row],[仕入先]],テーブル1[仕入先名],テーブル1[仕入先コード],"XXX",0,1)&amp;
"_"&amp;
商品マスタ[[#This Row],[シリアル]]&amp;
"_"&amp;
TEXT(COUNTIFS(商品マスタ!$C$3:C1066,商品マスタ[[#This Row],[仕入先]],商品マスタ!$E$3:E1066,商品マスタ[[#This Row],[商品名]]), "00")</f>
        <v/>
      </c>
      <c r="E1066" s="167" t="n"/>
      <c r="F1066" s="167">
        <f>IF(COUNTIFS($C$3:C1066,商品マスタ[[#This Row],[仕入先]],$E$3:E1066,商品マスタ[[#This Row],[商品名]]) = 1, 1,0)</f>
        <v/>
      </c>
      <c r="G1066" s="133">
        <f>TEXT(SUMIF($C$3:C1066,商品マスタ[[#This Row],[仕入先]],$F$3:F1066), "0000")</f>
        <v/>
      </c>
      <c r="H1066" s="167" t="n"/>
      <c r="I1066" s="167" t="n"/>
      <c r="J1066" s="167" t="n"/>
      <c r="K1066" s="167" t="n"/>
      <c r="L1066" s="289" t="n"/>
      <c r="M1066" s="157" t="n"/>
      <c r="N1066" s="289" t="n"/>
      <c r="O1066" s="290">
        <f>IF(COUNT(商品マスタ[[#This Row],[参考上代
（税込)]]) &gt; 0, (商品マスタ[[#This Row],[参考上代
（税込)]]-商品マスタ[[#This Row],[国内定価
（15％）]])/(商品マスタ[[#This Row],[参考上代
（税込)]]/1.08), "")</f>
        <v/>
      </c>
      <c r="P1066" s="136" t="n">
        <v>0.1</v>
      </c>
      <c r="Q1066" s="289">
        <f>商品マスタ[[#This Row],[仕入
単価]]*商品マスタ[[#This Row],[標準国内送料率]]</f>
        <v/>
      </c>
      <c r="R1066" s="289" t="n"/>
      <c r="S1066" s="289">
        <f>IF(ISBLANK(商品マスタ[[#This Row],[実績
国内送料]]),商品マスタ[[#This Row],[標準国内送料]],)</f>
        <v/>
      </c>
      <c r="T1066" s="289">
        <f>商品マスタ[[#This Row],[仕入
単価]]+商品マスタ[[#This Row],[国内送料]]</f>
        <v/>
      </c>
      <c r="U1066" s="289">
        <f>ROUNDUP(商品マスタ[[#This Row],[仕入単価+国内送料]]/0.8,-1)</f>
        <v/>
      </c>
      <c r="V1066" s="289">
        <f>商品マスタ[[#This Row],[海外定価
（20％）]]-商品マスタ[[#This Row],[仕入単価+国内送料]]</f>
        <v/>
      </c>
      <c r="W1066" s="167">
        <f>ROUNDUP(商品マスタ[[#This Row],[仕入単価+国内送料]]/0.85,-1)</f>
        <v/>
      </c>
      <c r="X1066" s="289">
        <f>商品マスタ[[#This Row],[国内定価
（15％）]]-商品マスタ[[#This Row],[仕入単価+国内送料]]</f>
        <v/>
      </c>
      <c r="Y1066" s="139" t="n"/>
      <c r="Z1066" s="167" t="n"/>
      <c r="AA1066" s="167" t="n"/>
      <c r="AB1066" s="167" t="n"/>
      <c r="AC1066" s="293" t="n"/>
      <c r="AD1066" s="167" t="n"/>
      <c r="AE1066" s="167" t="n"/>
      <c r="AF1066" s="158" t="n"/>
      <c r="AG1066" s="144" t="n"/>
    </row>
    <row r="1067" ht="15.75" customHeight="1" s="207">
      <c r="A1067" s="166" t="n"/>
      <c r="B1067" s="167" t="n"/>
      <c r="C1067" s="167" t="n"/>
      <c r="D1067" s="143">
        <f>"PRD_SNJ_"&amp;
_xlfn.XLOOKUP(商品マスタ[[#This Row],[仕入先]],テーブル1[仕入先名],テーブル1[仕入先コード],"XXX",0,1)&amp;
"_"&amp;
商品マスタ[[#This Row],[シリアル]]&amp;
"_"&amp;
TEXT(COUNTIFS(商品マスタ!$C$3:C1067,商品マスタ[[#This Row],[仕入先]],商品マスタ!$E$3:E1067,商品マスタ[[#This Row],[商品名]]), "00")</f>
        <v/>
      </c>
      <c r="E1067" s="167" t="n"/>
      <c r="F1067" s="167">
        <f>IF(COUNTIFS($C$3:C1067,商品マスタ[[#This Row],[仕入先]],$E$3:E1067,商品マスタ[[#This Row],[商品名]]) = 1, 1,0)</f>
        <v/>
      </c>
      <c r="G1067" s="133">
        <f>TEXT(SUMIF($C$3:C1067,商品マスタ[[#This Row],[仕入先]],$F$3:F1067), "0000")</f>
        <v/>
      </c>
      <c r="H1067" s="167" t="n"/>
      <c r="I1067" s="167" t="n"/>
      <c r="J1067" s="167" t="n"/>
      <c r="K1067" s="167" t="n"/>
      <c r="L1067" s="289" t="n"/>
      <c r="M1067" s="157" t="n"/>
      <c r="N1067" s="289" t="n"/>
      <c r="O1067" s="290">
        <f>IF(COUNT(商品マスタ[[#This Row],[参考上代
（税込)]]) &gt; 0, (商品マスタ[[#This Row],[参考上代
（税込)]]-商品マスタ[[#This Row],[国内定価
（15％）]])/(商品マスタ[[#This Row],[参考上代
（税込)]]/1.08), "")</f>
        <v/>
      </c>
      <c r="P1067" s="136" t="n">
        <v>0.1</v>
      </c>
      <c r="Q1067" s="289">
        <f>商品マスタ[[#This Row],[仕入
単価]]*商品マスタ[[#This Row],[標準国内送料率]]</f>
        <v/>
      </c>
      <c r="R1067" s="289" t="n"/>
      <c r="S1067" s="289">
        <f>IF(ISBLANK(商品マスタ[[#This Row],[実績
国内送料]]),商品マスタ[[#This Row],[標準国内送料]],)</f>
        <v/>
      </c>
      <c r="T1067" s="289">
        <f>商品マスタ[[#This Row],[仕入
単価]]+商品マスタ[[#This Row],[国内送料]]</f>
        <v/>
      </c>
      <c r="U1067" s="289">
        <f>ROUNDUP(商品マスタ[[#This Row],[仕入単価+国内送料]]/0.8,-1)</f>
        <v/>
      </c>
      <c r="V1067" s="289">
        <f>商品マスタ[[#This Row],[海外定価
（20％）]]-商品マスタ[[#This Row],[仕入単価+国内送料]]</f>
        <v/>
      </c>
      <c r="W1067" s="167">
        <f>ROUNDUP(商品マスタ[[#This Row],[仕入単価+国内送料]]/0.85,-1)</f>
        <v/>
      </c>
      <c r="X1067" s="289">
        <f>商品マスタ[[#This Row],[国内定価
（15％）]]-商品マスタ[[#This Row],[仕入単価+国内送料]]</f>
        <v/>
      </c>
      <c r="Y1067" s="139" t="n"/>
      <c r="Z1067" s="167" t="n"/>
      <c r="AA1067" s="167" t="n"/>
      <c r="AB1067" s="167" t="n"/>
      <c r="AC1067" s="293" t="n"/>
      <c r="AD1067" s="167" t="n"/>
      <c r="AE1067" s="167" t="n"/>
      <c r="AF1067" s="158" t="n"/>
      <c r="AG1067" s="144" t="n"/>
    </row>
    <row r="1068" ht="15.75" customHeight="1" s="207">
      <c r="A1068" s="166" t="n"/>
      <c r="B1068" s="167" t="n"/>
      <c r="C1068" s="167" t="n"/>
      <c r="D1068" s="143">
        <f>"PRD_SNJ_"&amp;
_xlfn.XLOOKUP(商品マスタ[[#This Row],[仕入先]],テーブル1[仕入先名],テーブル1[仕入先コード],"XXX",0,1)&amp;
"_"&amp;
商品マスタ[[#This Row],[シリアル]]&amp;
"_"&amp;
TEXT(COUNTIFS(商品マスタ!$C$3:C1068,商品マスタ[[#This Row],[仕入先]],商品マスタ!$E$3:E1068,商品マスタ[[#This Row],[商品名]]), "00")</f>
        <v/>
      </c>
      <c r="E1068" s="167" t="n"/>
      <c r="F1068" s="167">
        <f>IF(COUNTIFS($C$3:C1068,商品マスタ[[#This Row],[仕入先]],$E$3:E1068,商品マスタ[[#This Row],[商品名]]) = 1, 1,0)</f>
        <v/>
      </c>
      <c r="G1068" s="133">
        <f>TEXT(SUMIF($C$3:C1068,商品マスタ[[#This Row],[仕入先]],$F$3:F1068), "0000")</f>
        <v/>
      </c>
      <c r="H1068" s="167" t="n"/>
      <c r="I1068" s="167" t="n"/>
      <c r="J1068" s="167" t="n"/>
      <c r="K1068" s="167" t="n"/>
      <c r="L1068" s="289" t="n"/>
      <c r="M1068" s="157" t="n"/>
      <c r="N1068" s="289" t="n"/>
      <c r="O1068" s="290">
        <f>IF(COUNT(商品マスタ[[#This Row],[参考上代
（税込)]]) &gt; 0, (商品マスタ[[#This Row],[参考上代
（税込)]]-商品マスタ[[#This Row],[国内定価
（15％）]])/(商品マスタ[[#This Row],[参考上代
（税込)]]/1.08), "")</f>
        <v/>
      </c>
      <c r="P1068" s="136" t="n">
        <v>0.1</v>
      </c>
      <c r="Q1068" s="289">
        <f>商品マスタ[[#This Row],[仕入
単価]]*商品マスタ[[#This Row],[標準国内送料率]]</f>
        <v/>
      </c>
      <c r="R1068" s="289" t="n"/>
      <c r="S1068" s="289">
        <f>IF(ISBLANK(商品マスタ[[#This Row],[実績
国内送料]]),商品マスタ[[#This Row],[標準国内送料]],)</f>
        <v/>
      </c>
      <c r="T1068" s="289">
        <f>商品マスタ[[#This Row],[仕入
単価]]+商品マスタ[[#This Row],[国内送料]]</f>
        <v/>
      </c>
      <c r="U1068" s="289">
        <f>ROUNDUP(商品マスタ[[#This Row],[仕入単価+国内送料]]/0.8,-1)</f>
        <v/>
      </c>
      <c r="V1068" s="289">
        <f>商品マスタ[[#This Row],[海外定価
（20％）]]-商品マスタ[[#This Row],[仕入単価+国内送料]]</f>
        <v/>
      </c>
      <c r="W1068" s="167">
        <f>ROUNDUP(商品マスタ[[#This Row],[仕入単価+国内送料]]/0.85,-1)</f>
        <v/>
      </c>
      <c r="X1068" s="289">
        <f>商品マスタ[[#This Row],[国内定価
（15％）]]-商品マスタ[[#This Row],[仕入単価+国内送料]]</f>
        <v/>
      </c>
      <c r="Y1068" s="139" t="n"/>
      <c r="Z1068" s="167" t="n"/>
      <c r="AA1068" s="167" t="n"/>
      <c r="AB1068" s="167" t="n"/>
      <c r="AC1068" s="293" t="n"/>
      <c r="AD1068" s="167" t="n"/>
      <c r="AE1068" s="167" t="n"/>
      <c r="AF1068" s="158" t="n"/>
      <c r="AG1068" s="144" t="n"/>
    </row>
    <row r="1069" ht="15.75" customHeight="1" s="207">
      <c r="A1069" s="166" t="n"/>
      <c r="B1069" s="167" t="n"/>
      <c r="C1069" s="167" t="n"/>
      <c r="D1069" s="143">
        <f>"PRD_SNJ_"&amp;
_xlfn.XLOOKUP(商品マスタ[[#This Row],[仕入先]],テーブル1[仕入先名],テーブル1[仕入先コード],"XXX",0,1)&amp;
"_"&amp;
商品マスタ[[#This Row],[シリアル]]&amp;
"_"&amp;
TEXT(COUNTIFS(商品マスタ!$C$3:C1069,商品マスタ[[#This Row],[仕入先]],商品マスタ!$E$3:E1069,商品マスタ[[#This Row],[商品名]]), "00")</f>
        <v/>
      </c>
      <c r="E1069" s="167" t="n"/>
      <c r="F1069" s="167">
        <f>IF(COUNTIFS($C$3:C1069,商品マスタ[[#This Row],[仕入先]],$E$3:E1069,商品マスタ[[#This Row],[商品名]]) = 1, 1,0)</f>
        <v/>
      </c>
      <c r="G1069" s="133">
        <f>TEXT(SUMIF($C$3:C1069,商品マスタ[[#This Row],[仕入先]],$F$3:F1069), "0000")</f>
        <v/>
      </c>
      <c r="H1069" s="167" t="n"/>
      <c r="I1069" s="167" t="n"/>
      <c r="J1069" s="167" t="n"/>
      <c r="K1069" s="167" t="n"/>
      <c r="L1069" s="289" t="n"/>
      <c r="M1069" s="157" t="n"/>
      <c r="N1069" s="289" t="n"/>
      <c r="O1069" s="290">
        <f>IF(COUNT(商品マスタ[[#This Row],[参考上代
（税込)]]) &gt; 0, (商品マスタ[[#This Row],[参考上代
（税込)]]-商品マスタ[[#This Row],[国内定価
（15％）]])/(商品マスタ[[#This Row],[参考上代
（税込)]]/1.08), "")</f>
        <v/>
      </c>
      <c r="P1069" s="136" t="n">
        <v>0.1</v>
      </c>
      <c r="Q1069" s="289">
        <f>商品マスタ[[#This Row],[仕入
単価]]*商品マスタ[[#This Row],[標準国内送料率]]</f>
        <v/>
      </c>
      <c r="R1069" s="289" t="n"/>
      <c r="S1069" s="289">
        <f>IF(ISBLANK(商品マスタ[[#This Row],[実績
国内送料]]),商品マスタ[[#This Row],[標準国内送料]],)</f>
        <v/>
      </c>
      <c r="T1069" s="289">
        <f>商品マスタ[[#This Row],[仕入
単価]]+商品マスタ[[#This Row],[国内送料]]</f>
        <v/>
      </c>
      <c r="U1069" s="289">
        <f>ROUNDUP(商品マスタ[[#This Row],[仕入単価+国内送料]]/0.8,-1)</f>
        <v/>
      </c>
      <c r="V1069" s="289">
        <f>商品マスタ[[#This Row],[海外定価
（20％）]]-商品マスタ[[#This Row],[仕入単価+国内送料]]</f>
        <v/>
      </c>
      <c r="W1069" s="167">
        <f>ROUNDUP(商品マスタ[[#This Row],[仕入単価+国内送料]]/0.85,-1)</f>
        <v/>
      </c>
      <c r="X1069" s="289">
        <f>商品マスタ[[#This Row],[国内定価
（15％）]]-商品マスタ[[#This Row],[仕入単価+国内送料]]</f>
        <v/>
      </c>
      <c r="Y1069" s="139" t="n"/>
      <c r="Z1069" s="167" t="n"/>
      <c r="AA1069" s="167" t="n"/>
      <c r="AB1069" s="167" t="n"/>
      <c r="AC1069" s="293" t="n"/>
      <c r="AD1069" s="167" t="n"/>
      <c r="AE1069" s="167" t="n"/>
      <c r="AF1069" s="158" t="n"/>
      <c r="AG1069" s="144" t="n"/>
    </row>
    <row r="1070" ht="15.75" customHeight="1" s="207">
      <c r="A1070" s="166" t="n"/>
      <c r="B1070" s="167" t="n"/>
      <c r="C1070" s="167" t="n"/>
      <c r="D1070" s="143">
        <f>"PRD_SNJ_"&amp;
_xlfn.XLOOKUP(商品マスタ[[#This Row],[仕入先]],テーブル1[仕入先名],テーブル1[仕入先コード],"XXX",0,1)&amp;
"_"&amp;
商品マスタ[[#This Row],[シリアル]]&amp;
"_"&amp;
TEXT(COUNTIFS(商品マスタ!$C$3:C1070,商品マスタ[[#This Row],[仕入先]],商品マスタ!$E$3:E1070,商品マスタ[[#This Row],[商品名]]), "00")</f>
        <v/>
      </c>
      <c r="E1070" s="167" t="n"/>
      <c r="F1070" s="167">
        <f>IF(COUNTIFS($C$3:C1070,商品マスタ[[#This Row],[仕入先]],$E$3:E1070,商品マスタ[[#This Row],[商品名]]) = 1, 1,0)</f>
        <v/>
      </c>
      <c r="G1070" s="133">
        <f>TEXT(SUMIF($C$3:C1070,商品マスタ[[#This Row],[仕入先]],$F$3:F1070), "0000")</f>
        <v/>
      </c>
      <c r="H1070" s="167" t="n"/>
      <c r="I1070" s="167" t="n"/>
      <c r="J1070" s="167" t="n"/>
      <c r="K1070" s="167" t="n"/>
      <c r="L1070" s="289" t="n"/>
      <c r="M1070" s="157" t="n"/>
      <c r="N1070" s="289" t="n"/>
      <c r="O1070" s="290">
        <f>IF(COUNT(商品マスタ[[#This Row],[参考上代
（税込)]]) &gt; 0, (商品マスタ[[#This Row],[参考上代
（税込)]]-商品マスタ[[#This Row],[国内定価
（15％）]])/(商品マスタ[[#This Row],[参考上代
（税込)]]/1.08), "")</f>
        <v/>
      </c>
      <c r="P1070" s="136" t="n">
        <v>0.1</v>
      </c>
      <c r="Q1070" s="289">
        <f>商品マスタ[[#This Row],[仕入
単価]]*商品マスタ[[#This Row],[標準国内送料率]]</f>
        <v/>
      </c>
      <c r="R1070" s="289" t="n"/>
      <c r="S1070" s="289">
        <f>IF(ISBLANK(商品マスタ[[#This Row],[実績
国内送料]]),商品マスタ[[#This Row],[標準国内送料]],)</f>
        <v/>
      </c>
      <c r="T1070" s="289">
        <f>商品マスタ[[#This Row],[仕入
単価]]+商品マスタ[[#This Row],[国内送料]]</f>
        <v/>
      </c>
      <c r="U1070" s="289">
        <f>ROUNDUP(商品マスタ[[#This Row],[仕入単価+国内送料]]/0.8,-1)</f>
        <v/>
      </c>
      <c r="V1070" s="289">
        <f>商品マスタ[[#This Row],[海外定価
（20％）]]-商品マスタ[[#This Row],[仕入単価+国内送料]]</f>
        <v/>
      </c>
      <c r="W1070" s="167">
        <f>ROUNDUP(商品マスタ[[#This Row],[仕入単価+国内送料]]/0.85,-1)</f>
        <v/>
      </c>
      <c r="X1070" s="289">
        <f>商品マスタ[[#This Row],[国内定価
（15％）]]-商品マスタ[[#This Row],[仕入単価+国内送料]]</f>
        <v/>
      </c>
      <c r="Y1070" s="139" t="n"/>
      <c r="Z1070" s="167" t="n"/>
      <c r="AA1070" s="167" t="n"/>
      <c r="AB1070" s="167" t="n"/>
      <c r="AC1070" s="293" t="n"/>
      <c r="AD1070" s="167" t="n"/>
      <c r="AE1070" s="167" t="n"/>
      <c r="AF1070" s="158" t="n"/>
      <c r="AG1070" s="144" t="n"/>
    </row>
    <row r="1071" ht="15.75" customHeight="1" s="207">
      <c r="A1071" s="166" t="n"/>
      <c r="B1071" s="167" t="n"/>
      <c r="C1071" s="167" t="n"/>
      <c r="D1071" s="143">
        <f>"PRD_SNJ_"&amp;
_xlfn.XLOOKUP(商品マスタ[[#This Row],[仕入先]],テーブル1[仕入先名],テーブル1[仕入先コード],"XXX",0,1)&amp;
"_"&amp;
商品マスタ[[#This Row],[シリアル]]&amp;
"_"&amp;
TEXT(COUNTIFS(商品マスタ!$C$3:C1071,商品マスタ[[#This Row],[仕入先]],商品マスタ!$E$3:E1071,商品マスタ[[#This Row],[商品名]]), "00")</f>
        <v/>
      </c>
      <c r="E1071" s="167" t="n"/>
      <c r="F1071" s="167">
        <f>IF(COUNTIFS($C$3:C1071,商品マスタ[[#This Row],[仕入先]],$E$3:E1071,商品マスタ[[#This Row],[商品名]]) = 1, 1,0)</f>
        <v/>
      </c>
      <c r="G1071" s="133">
        <f>TEXT(SUMIF($C$3:C1071,商品マスタ[[#This Row],[仕入先]],$F$3:F1071), "0000")</f>
        <v/>
      </c>
      <c r="H1071" s="167" t="n"/>
      <c r="I1071" s="167" t="n"/>
      <c r="J1071" s="167" t="n"/>
      <c r="K1071" s="167" t="n"/>
      <c r="L1071" s="289" t="n"/>
      <c r="M1071" s="157" t="n"/>
      <c r="N1071" s="289" t="n"/>
      <c r="O1071" s="290">
        <f>IF(COUNT(商品マスタ[[#This Row],[参考上代
（税込)]]) &gt; 0, (商品マスタ[[#This Row],[参考上代
（税込)]]-商品マスタ[[#This Row],[国内定価
（15％）]])/(商品マスタ[[#This Row],[参考上代
（税込)]]/1.08), "")</f>
        <v/>
      </c>
      <c r="P1071" s="136" t="n">
        <v>0.1</v>
      </c>
      <c r="Q1071" s="289">
        <f>商品マスタ[[#This Row],[仕入
単価]]*商品マスタ[[#This Row],[標準国内送料率]]</f>
        <v/>
      </c>
      <c r="R1071" s="289" t="n"/>
      <c r="S1071" s="289">
        <f>IF(ISBLANK(商品マスタ[[#This Row],[実績
国内送料]]),商品マスタ[[#This Row],[標準国内送料]],)</f>
        <v/>
      </c>
      <c r="T1071" s="289">
        <f>商品マスタ[[#This Row],[仕入
単価]]+商品マスタ[[#This Row],[国内送料]]</f>
        <v/>
      </c>
      <c r="U1071" s="289">
        <f>ROUNDUP(商品マスタ[[#This Row],[仕入単価+国内送料]]/0.8,-1)</f>
        <v/>
      </c>
      <c r="V1071" s="289">
        <f>商品マスタ[[#This Row],[海外定価
（20％）]]-商品マスタ[[#This Row],[仕入単価+国内送料]]</f>
        <v/>
      </c>
      <c r="W1071" s="167">
        <f>ROUNDUP(商品マスタ[[#This Row],[仕入単価+国内送料]]/0.85,-1)</f>
        <v/>
      </c>
      <c r="X1071" s="289">
        <f>商品マスタ[[#This Row],[国内定価
（15％）]]-商品マスタ[[#This Row],[仕入単価+国内送料]]</f>
        <v/>
      </c>
      <c r="Y1071" s="139" t="n"/>
      <c r="Z1071" s="167" t="n"/>
      <c r="AA1071" s="167" t="n"/>
      <c r="AB1071" s="167" t="n"/>
      <c r="AC1071" s="293" t="n"/>
      <c r="AD1071" s="167" t="n"/>
      <c r="AE1071" s="167" t="n"/>
      <c r="AF1071" s="158" t="n"/>
      <c r="AG1071" s="144" t="n"/>
    </row>
    <row r="1072" ht="15.75" customHeight="1" s="207">
      <c r="A1072" s="166" t="n"/>
      <c r="B1072" s="167" t="n"/>
      <c r="C1072" s="167" t="n"/>
      <c r="D1072" s="143">
        <f>"PRD_SNJ_"&amp;
_xlfn.XLOOKUP(商品マスタ[[#This Row],[仕入先]],テーブル1[仕入先名],テーブル1[仕入先コード],"XXX",0,1)&amp;
"_"&amp;
商品マスタ[[#This Row],[シリアル]]&amp;
"_"&amp;
TEXT(COUNTIFS(商品マスタ!$C$3:C1072,商品マスタ[[#This Row],[仕入先]],商品マスタ!$E$3:E1072,商品マスタ[[#This Row],[商品名]]), "00")</f>
        <v/>
      </c>
      <c r="E1072" s="167" t="n"/>
      <c r="F1072" s="167">
        <f>IF(COUNTIFS($C$3:C1072,商品マスタ[[#This Row],[仕入先]],$E$3:E1072,商品マスタ[[#This Row],[商品名]]) = 1, 1,0)</f>
        <v/>
      </c>
      <c r="G1072" s="133">
        <f>TEXT(SUMIF($C$3:C1072,商品マスタ[[#This Row],[仕入先]],$F$3:F1072), "0000")</f>
        <v/>
      </c>
      <c r="H1072" s="167" t="n"/>
      <c r="I1072" s="167" t="n"/>
      <c r="J1072" s="167" t="n"/>
      <c r="K1072" s="167" t="n"/>
      <c r="L1072" s="289" t="n"/>
      <c r="M1072" s="157" t="n"/>
      <c r="N1072" s="289" t="n"/>
      <c r="O1072" s="290">
        <f>IF(COUNT(商品マスタ[[#This Row],[参考上代
（税込)]]) &gt; 0, (商品マスタ[[#This Row],[参考上代
（税込)]]-商品マスタ[[#This Row],[国内定価
（15％）]])/(商品マスタ[[#This Row],[参考上代
（税込)]]/1.08), "")</f>
        <v/>
      </c>
      <c r="P1072" s="136" t="n">
        <v>0.1</v>
      </c>
      <c r="Q1072" s="289">
        <f>商品マスタ[[#This Row],[仕入
単価]]*商品マスタ[[#This Row],[標準国内送料率]]</f>
        <v/>
      </c>
      <c r="R1072" s="289" t="n"/>
      <c r="S1072" s="289">
        <f>IF(ISBLANK(商品マスタ[[#This Row],[実績
国内送料]]),商品マスタ[[#This Row],[標準国内送料]],)</f>
        <v/>
      </c>
      <c r="T1072" s="289">
        <f>商品マスタ[[#This Row],[仕入
単価]]+商品マスタ[[#This Row],[国内送料]]</f>
        <v/>
      </c>
      <c r="U1072" s="289">
        <f>ROUNDUP(商品マスタ[[#This Row],[仕入単価+国内送料]]/0.8,-1)</f>
        <v/>
      </c>
      <c r="V1072" s="289">
        <f>商品マスタ[[#This Row],[海外定価
（20％）]]-商品マスタ[[#This Row],[仕入単価+国内送料]]</f>
        <v/>
      </c>
      <c r="W1072" s="167">
        <f>ROUNDUP(商品マスタ[[#This Row],[仕入単価+国内送料]]/0.85,-1)</f>
        <v/>
      </c>
      <c r="X1072" s="289">
        <f>商品マスタ[[#This Row],[国内定価
（15％）]]-商品マスタ[[#This Row],[仕入単価+国内送料]]</f>
        <v/>
      </c>
      <c r="Y1072" s="139" t="n"/>
      <c r="Z1072" s="167" t="n"/>
      <c r="AA1072" s="167" t="n"/>
      <c r="AB1072" s="167" t="n"/>
      <c r="AC1072" s="293" t="n"/>
      <c r="AD1072" s="167" t="n"/>
      <c r="AE1072" s="167" t="n"/>
      <c r="AF1072" s="158" t="n"/>
      <c r="AG1072" s="144" t="n"/>
    </row>
    <row r="1073" ht="15.75" customHeight="1" s="207">
      <c r="A1073" s="166" t="n"/>
      <c r="B1073" s="167" t="n"/>
      <c r="C1073" s="167" t="n"/>
      <c r="D1073" s="143">
        <f>"PRD_SNJ_"&amp;
_xlfn.XLOOKUP(商品マスタ[[#This Row],[仕入先]],テーブル1[仕入先名],テーブル1[仕入先コード],"XXX",0,1)&amp;
"_"&amp;
商品マスタ[[#This Row],[シリアル]]&amp;
"_"&amp;
TEXT(COUNTIFS(商品マスタ!$C$3:C1073,商品マスタ[[#This Row],[仕入先]],商品マスタ!$E$3:E1073,商品マスタ[[#This Row],[商品名]]), "00")</f>
        <v/>
      </c>
      <c r="E1073" s="167" t="n"/>
      <c r="F1073" s="167">
        <f>IF(COUNTIFS($C$3:C1073,商品マスタ[[#This Row],[仕入先]],$E$3:E1073,商品マスタ[[#This Row],[商品名]]) = 1, 1,0)</f>
        <v/>
      </c>
      <c r="G1073" s="133">
        <f>TEXT(SUMIF($C$3:C1073,商品マスタ[[#This Row],[仕入先]],$F$3:F1073), "0000")</f>
        <v/>
      </c>
      <c r="H1073" s="167" t="n"/>
      <c r="I1073" s="167" t="n"/>
      <c r="J1073" s="167" t="n"/>
      <c r="K1073" s="167" t="n"/>
      <c r="L1073" s="289" t="n"/>
      <c r="M1073" s="157" t="n"/>
      <c r="N1073" s="289" t="n"/>
      <c r="O1073" s="290">
        <f>IF(COUNT(商品マスタ[[#This Row],[参考上代
（税込)]]) &gt; 0, (商品マスタ[[#This Row],[参考上代
（税込)]]-商品マスタ[[#This Row],[国内定価
（15％）]])/(商品マスタ[[#This Row],[参考上代
（税込)]]/1.08), "")</f>
        <v/>
      </c>
      <c r="P1073" s="136" t="n">
        <v>0.1</v>
      </c>
      <c r="Q1073" s="289">
        <f>商品マスタ[[#This Row],[仕入
単価]]*商品マスタ[[#This Row],[標準国内送料率]]</f>
        <v/>
      </c>
      <c r="R1073" s="289" t="n"/>
      <c r="S1073" s="289">
        <f>IF(ISBLANK(商品マスタ[[#This Row],[実績
国内送料]]),商品マスタ[[#This Row],[標準国内送料]],)</f>
        <v/>
      </c>
      <c r="T1073" s="289">
        <f>商品マスタ[[#This Row],[仕入
単価]]+商品マスタ[[#This Row],[国内送料]]</f>
        <v/>
      </c>
      <c r="U1073" s="289">
        <f>ROUNDUP(商品マスタ[[#This Row],[仕入単価+国内送料]]/0.8,-1)</f>
        <v/>
      </c>
      <c r="V1073" s="289">
        <f>商品マスタ[[#This Row],[海外定価
（20％）]]-商品マスタ[[#This Row],[仕入単価+国内送料]]</f>
        <v/>
      </c>
      <c r="W1073" s="167">
        <f>ROUNDUP(商品マスタ[[#This Row],[仕入単価+国内送料]]/0.85,-1)</f>
        <v/>
      </c>
      <c r="X1073" s="289">
        <f>商品マスタ[[#This Row],[国内定価
（15％）]]-商品マスタ[[#This Row],[仕入単価+国内送料]]</f>
        <v/>
      </c>
      <c r="Y1073" s="139" t="n"/>
      <c r="Z1073" s="167" t="n"/>
      <c r="AA1073" s="167" t="n"/>
      <c r="AB1073" s="167" t="n"/>
      <c r="AC1073" s="293" t="n"/>
      <c r="AD1073" s="167" t="n"/>
      <c r="AE1073" s="167" t="n"/>
      <c r="AF1073" s="158" t="n"/>
      <c r="AG1073" s="144" t="n"/>
    </row>
    <row r="1074" ht="15.75" customHeight="1" s="207">
      <c r="A1074" s="166" t="n"/>
      <c r="B1074" s="167" t="n"/>
      <c r="C1074" s="167" t="n"/>
      <c r="D1074" s="143">
        <f>"PRD_SNJ_"&amp;
_xlfn.XLOOKUP(商品マスタ[[#This Row],[仕入先]],テーブル1[仕入先名],テーブル1[仕入先コード],"XXX",0,1)&amp;
"_"&amp;
商品マスタ[[#This Row],[シリアル]]&amp;
"_"&amp;
TEXT(COUNTIFS(商品マスタ!$C$3:C1074,商品マスタ[[#This Row],[仕入先]],商品マスタ!$E$3:E1074,商品マスタ[[#This Row],[商品名]]), "00")</f>
        <v/>
      </c>
      <c r="E1074" s="167" t="n"/>
      <c r="F1074" s="167">
        <f>IF(COUNTIFS($C$3:C1074,商品マスタ[[#This Row],[仕入先]],$E$3:E1074,商品マスタ[[#This Row],[商品名]]) = 1, 1,0)</f>
        <v/>
      </c>
      <c r="G1074" s="133">
        <f>TEXT(SUMIF($C$3:C1074,商品マスタ[[#This Row],[仕入先]],$F$3:F1074), "0000")</f>
        <v/>
      </c>
      <c r="H1074" s="167" t="n"/>
      <c r="I1074" s="167" t="n"/>
      <c r="J1074" s="167" t="n"/>
      <c r="K1074" s="167" t="n"/>
      <c r="L1074" s="289" t="n"/>
      <c r="M1074" s="157" t="n"/>
      <c r="N1074" s="289" t="n"/>
      <c r="O1074" s="290">
        <f>IF(COUNT(商品マスタ[[#This Row],[参考上代
（税込)]]) &gt; 0, (商品マスタ[[#This Row],[参考上代
（税込)]]-商品マスタ[[#This Row],[国内定価
（15％）]])/(商品マスタ[[#This Row],[参考上代
（税込)]]/1.08), "")</f>
        <v/>
      </c>
      <c r="P1074" s="136" t="n">
        <v>0.1</v>
      </c>
      <c r="Q1074" s="289">
        <f>商品マスタ[[#This Row],[仕入
単価]]*商品マスタ[[#This Row],[標準国内送料率]]</f>
        <v/>
      </c>
      <c r="R1074" s="289" t="n"/>
      <c r="S1074" s="289">
        <f>IF(ISBLANK(商品マスタ[[#This Row],[実績
国内送料]]),商品マスタ[[#This Row],[標準国内送料]],)</f>
        <v/>
      </c>
      <c r="T1074" s="289">
        <f>商品マスタ[[#This Row],[仕入
単価]]+商品マスタ[[#This Row],[国内送料]]</f>
        <v/>
      </c>
      <c r="U1074" s="289">
        <f>ROUNDUP(商品マスタ[[#This Row],[仕入単価+国内送料]]/0.8,-1)</f>
        <v/>
      </c>
      <c r="V1074" s="289">
        <f>商品マスタ[[#This Row],[海外定価
（20％）]]-商品マスタ[[#This Row],[仕入単価+国内送料]]</f>
        <v/>
      </c>
      <c r="W1074" s="167">
        <f>ROUNDUP(商品マスタ[[#This Row],[仕入単価+国内送料]]/0.85,-1)</f>
        <v/>
      </c>
      <c r="X1074" s="289">
        <f>商品マスタ[[#This Row],[国内定価
（15％）]]-商品マスタ[[#This Row],[仕入単価+国内送料]]</f>
        <v/>
      </c>
      <c r="Y1074" s="139" t="n"/>
      <c r="Z1074" s="167" t="n"/>
      <c r="AA1074" s="167" t="n"/>
      <c r="AB1074" s="167" t="n"/>
      <c r="AC1074" s="293" t="n"/>
      <c r="AD1074" s="167" t="n"/>
      <c r="AE1074" s="167" t="n"/>
      <c r="AF1074" s="158" t="n"/>
      <c r="AG1074" s="144" t="n"/>
    </row>
    <row r="1075" ht="15.75" customHeight="1" s="207">
      <c r="A1075" s="166" t="n"/>
      <c r="B1075" s="167" t="n"/>
      <c r="C1075" s="167" t="n"/>
      <c r="D1075" s="143">
        <f>"PRD_SNJ_"&amp;
_xlfn.XLOOKUP(商品マスタ[[#This Row],[仕入先]],テーブル1[仕入先名],テーブル1[仕入先コード],"XXX",0,1)&amp;
"_"&amp;
商品マスタ[[#This Row],[シリアル]]&amp;
"_"&amp;
TEXT(COUNTIFS(商品マスタ!$C$3:C1075,商品マスタ[[#This Row],[仕入先]],商品マスタ!$E$3:E1075,商品マスタ[[#This Row],[商品名]]), "00")</f>
        <v/>
      </c>
      <c r="E1075" s="167" t="n"/>
      <c r="F1075" s="167">
        <f>IF(COUNTIFS($C$3:C1075,商品マスタ[[#This Row],[仕入先]],$E$3:E1075,商品マスタ[[#This Row],[商品名]]) = 1, 1,0)</f>
        <v/>
      </c>
      <c r="G1075" s="133">
        <f>TEXT(SUMIF($C$3:C1075,商品マスタ[[#This Row],[仕入先]],$F$3:F1075), "0000")</f>
        <v/>
      </c>
      <c r="H1075" s="167" t="n"/>
      <c r="I1075" s="167" t="n"/>
      <c r="J1075" s="167" t="n"/>
      <c r="K1075" s="167" t="n"/>
      <c r="L1075" s="289" t="n"/>
      <c r="M1075" s="157" t="n"/>
      <c r="N1075" s="289" t="n"/>
      <c r="O1075" s="290">
        <f>IF(COUNT(商品マスタ[[#This Row],[参考上代
（税込)]]) &gt; 0, (商品マスタ[[#This Row],[参考上代
（税込)]]-商品マスタ[[#This Row],[国内定価
（15％）]])/(商品マスタ[[#This Row],[参考上代
（税込)]]/1.08), "")</f>
        <v/>
      </c>
      <c r="P1075" s="136" t="n">
        <v>0.1</v>
      </c>
      <c r="Q1075" s="289">
        <f>商品マスタ[[#This Row],[仕入
単価]]*商品マスタ[[#This Row],[標準国内送料率]]</f>
        <v/>
      </c>
      <c r="R1075" s="289" t="n"/>
      <c r="S1075" s="289">
        <f>IF(ISBLANK(商品マスタ[[#This Row],[実績
国内送料]]),商品マスタ[[#This Row],[標準国内送料]],)</f>
        <v/>
      </c>
      <c r="T1075" s="289">
        <f>商品マスタ[[#This Row],[仕入
単価]]+商品マスタ[[#This Row],[国内送料]]</f>
        <v/>
      </c>
      <c r="U1075" s="289">
        <f>ROUNDUP(商品マスタ[[#This Row],[仕入単価+国内送料]]/0.8,-1)</f>
        <v/>
      </c>
      <c r="V1075" s="289">
        <f>商品マスタ[[#This Row],[海外定価
（20％）]]-商品マスタ[[#This Row],[仕入単価+国内送料]]</f>
        <v/>
      </c>
      <c r="W1075" s="167">
        <f>ROUNDUP(商品マスタ[[#This Row],[仕入単価+国内送料]]/0.85,-1)</f>
        <v/>
      </c>
      <c r="X1075" s="289">
        <f>商品マスタ[[#This Row],[国内定価
（15％）]]-商品マスタ[[#This Row],[仕入単価+国内送料]]</f>
        <v/>
      </c>
      <c r="Y1075" s="139" t="n"/>
      <c r="Z1075" s="167" t="n"/>
      <c r="AA1075" s="167" t="n"/>
      <c r="AB1075" s="167" t="n"/>
      <c r="AC1075" s="293" t="n"/>
      <c r="AD1075" s="167" t="n"/>
      <c r="AE1075" s="167" t="n"/>
      <c r="AF1075" s="158" t="n"/>
      <c r="AG1075" s="144" t="n"/>
    </row>
    <row r="1076" ht="15.75" customHeight="1" s="207">
      <c r="A1076" s="166" t="n"/>
      <c r="B1076" s="167" t="n"/>
      <c r="C1076" s="167" t="n"/>
      <c r="D1076" s="143">
        <f>"PRD_SNJ_"&amp;
_xlfn.XLOOKUP(商品マスタ[[#This Row],[仕入先]],テーブル1[仕入先名],テーブル1[仕入先コード],"XXX",0,1)&amp;
"_"&amp;
商品マスタ[[#This Row],[シリアル]]&amp;
"_"&amp;
TEXT(COUNTIFS(商品マスタ!$C$3:C1076,商品マスタ[[#This Row],[仕入先]],商品マスタ!$E$3:E1076,商品マスタ[[#This Row],[商品名]]), "00")</f>
        <v/>
      </c>
      <c r="E1076" s="167" t="n"/>
      <c r="F1076" s="167">
        <f>IF(COUNTIFS($C$3:C1076,商品マスタ[[#This Row],[仕入先]],$E$3:E1076,商品マスタ[[#This Row],[商品名]]) = 1, 1,0)</f>
        <v/>
      </c>
      <c r="G1076" s="133">
        <f>TEXT(SUMIF($C$3:C1076,商品マスタ[[#This Row],[仕入先]],$F$3:F1076), "0000")</f>
        <v/>
      </c>
      <c r="H1076" s="167" t="n"/>
      <c r="I1076" s="167" t="n"/>
      <c r="J1076" s="167" t="n"/>
      <c r="K1076" s="167" t="n"/>
      <c r="L1076" s="289" t="n"/>
      <c r="M1076" s="157" t="n"/>
      <c r="N1076" s="289" t="n"/>
      <c r="O1076" s="290">
        <f>IF(COUNT(商品マスタ[[#This Row],[参考上代
（税込)]]) &gt; 0, (商品マスタ[[#This Row],[参考上代
（税込)]]-商品マスタ[[#This Row],[国内定価
（15％）]])/(商品マスタ[[#This Row],[参考上代
（税込)]]/1.08), "")</f>
        <v/>
      </c>
      <c r="P1076" s="136" t="n">
        <v>0.1</v>
      </c>
      <c r="Q1076" s="289">
        <f>商品マスタ[[#This Row],[仕入
単価]]*商品マスタ[[#This Row],[標準国内送料率]]</f>
        <v/>
      </c>
      <c r="R1076" s="289" t="n"/>
      <c r="S1076" s="289">
        <f>IF(ISBLANK(商品マスタ[[#This Row],[実績
国内送料]]),商品マスタ[[#This Row],[標準国内送料]],)</f>
        <v/>
      </c>
      <c r="T1076" s="289">
        <f>商品マスタ[[#This Row],[仕入
単価]]+商品マスタ[[#This Row],[国内送料]]</f>
        <v/>
      </c>
      <c r="U1076" s="289">
        <f>ROUNDUP(商品マスタ[[#This Row],[仕入単価+国内送料]]/0.8,-1)</f>
        <v/>
      </c>
      <c r="V1076" s="289">
        <f>商品マスタ[[#This Row],[海外定価
（20％）]]-商品マスタ[[#This Row],[仕入単価+国内送料]]</f>
        <v/>
      </c>
      <c r="W1076" s="167">
        <f>ROUNDUP(商品マスタ[[#This Row],[仕入単価+国内送料]]/0.85,-1)</f>
        <v/>
      </c>
      <c r="X1076" s="289">
        <f>商品マスタ[[#This Row],[国内定価
（15％）]]-商品マスタ[[#This Row],[仕入単価+国内送料]]</f>
        <v/>
      </c>
      <c r="Y1076" s="139" t="n"/>
      <c r="Z1076" s="167" t="n"/>
      <c r="AA1076" s="167" t="n"/>
      <c r="AB1076" s="167" t="n"/>
      <c r="AC1076" s="293" t="n"/>
      <c r="AD1076" s="167" t="n"/>
      <c r="AE1076" s="167" t="n"/>
      <c r="AF1076" s="158" t="n"/>
      <c r="AG1076" s="144" t="n"/>
    </row>
    <row r="1077" ht="15.75" customHeight="1" s="207">
      <c r="A1077" s="166" t="n"/>
      <c r="B1077" s="167" t="n"/>
      <c r="C1077" s="167" t="n"/>
      <c r="D1077" s="143">
        <f>"PRD_SNJ_"&amp;
_xlfn.XLOOKUP(商品マスタ[[#This Row],[仕入先]],テーブル1[仕入先名],テーブル1[仕入先コード],"XXX",0,1)&amp;
"_"&amp;
商品マスタ[[#This Row],[シリアル]]&amp;
"_"&amp;
TEXT(COUNTIFS(商品マスタ!$C$3:C1077,商品マスタ[[#This Row],[仕入先]],商品マスタ!$E$3:E1077,商品マスタ[[#This Row],[商品名]]), "00")</f>
        <v/>
      </c>
      <c r="E1077" s="167" t="n"/>
      <c r="F1077" s="167">
        <f>IF(COUNTIFS($C$3:C1077,商品マスタ[[#This Row],[仕入先]],$E$3:E1077,商品マスタ[[#This Row],[商品名]]) = 1, 1,0)</f>
        <v/>
      </c>
      <c r="G1077" s="133">
        <f>TEXT(SUMIF($C$3:C1077,商品マスタ[[#This Row],[仕入先]],$F$3:F1077), "0000")</f>
        <v/>
      </c>
      <c r="H1077" s="167" t="n"/>
      <c r="I1077" s="167" t="n"/>
      <c r="J1077" s="167" t="n"/>
      <c r="K1077" s="167" t="n"/>
      <c r="L1077" s="289" t="n"/>
      <c r="M1077" s="157" t="n"/>
      <c r="N1077" s="289" t="n"/>
      <c r="O1077" s="290">
        <f>IF(COUNT(商品マスタ[[#This Row],[参考上代
（税込)]]) &gt; 0, (商品マスタ[[#This Row],[参考上代
（税込)]]-商品マスタ[[#This Row],[国内定価
（15％）]])/(商品マスタ[[#This Row],[参考上代
（税込)]]/1.08), "")</f>
        <v/>
      </c>
      <c r="P1077" s="136" t="n">
        <v>0.1</v>
      </c>
      <c r="Q1077" s="289">
        <f>商品マスタ[[#This Row],[仕入
単価]]*商品マスタ[[#This Row],[標準国内送料率]]</f>
        <v/>
      </c>
      <c r="R1077" s="289" t="n"/>
      <c r="S1077" s="289">
        <f>IF(ISBLANK(商品マスタ[[#This Row],[実績
国内送料]]),商品マスタ[[#This Row],[標準国内送料]],)</f>
        <v/>
      </c>
      <c r="T1077" s="289">
        <f>商品マスタ[[#This Row],[仕入
単価]]+商品マスタ[[#This Row],[国内送料]]</f>
        <v/>
      </c>
      <c r="U1077" s="289">
        <f>ROUNDUP(商品マスタ[[#This Row],[仕入単価+国内送料]]/0.8,-1)</f>
        <v/>
      </c>
      <c r="V1077" s="289">
        <f>商品マスタ[[#This Row],[海外定価
（20％）]]-商品マスタ[[#This Row],[仕入単価+国内送料]]</f>
        <v/>
      </c>
      <c r="W1077" s="167">
        <f>ROUNDUP(商品マスタ[[#This Row],[仕入単価+国内送料]]/0.85,-1)</f>
        <v/>
      </c>
      <c r="X1077" s="289">
        <f>商品マスタ[[#This Row],[国内定価
（15％）]]-商品マスタ[[#This Row],[仕入単価+国内送料]]</f>
        <v/>
      </c>
      <c r="Y1077" s="139" t="n"/>
      <c r="Z1077" s="167" t="n"/>
      <c r="AA1077" s="167" t="n"/>
      <c r="AB1077" s="167" t="n"/>
      <c r="AC1077" s="293" t="n"/>
      <c r="AD1077" s="167" t="n"/>
      <c r="AE1077" s="167" t="n"/>
      <c r="AF1077" s="158" t="n"/>
      <c r="AG1077" s="144" t="n"/>
    </row>
    <row r="1078" ht="15.75" customHeight="1" s="207">
      <c r="A1078" s="166" t="n"/>
      <c r="B1078" s="167" t="n"/>
      <c r="C1078" s="167" t="n"/>
      <c r="D1078" s="143">
        <f>"PRD_SNJ_"&amp;
_xlfn.XLOOKUP(商品マスタ[[#This Row],[仕入先]],テーブル1[仕入先名],テーブル1[仕入先コード],"XXX",0,1)&amp;
"_"&amp;
商品マスタ[[#This Row],[シリアル]]&amp;
"_"&amp;
TEXT(COUNTIFS(商品マスタ!$C$3:C1078,商品マスタ[[#This Row],[仕入先]],商品マスタ!$E$3:E1078,商品マスタ[[#This Row],[商品名]]), "00")</f>
        <v/>
      </c>
      <c r="E1078" s="167" t="n"/>
      <c r="F1078" s="167">
        <f>IF(COUNTIFS($C$3:C1078,商品マスタ[[#This Row],[仕入先]],$E$3:E1078,商品マスタ[[#This Row],[商品名]]) = 1, 1,0)</f>
        <v/>
      </c>
      <c r="G1078" s="133">
        <f>TEXT(SUMIF($C$3:C1078,商品マスタ[[#This Row],[仕入先]],$F$3:F1078), "0000")</f>
        <v/>
      </c>
      <c r="H1078" s="167" t="n"/>
      <c r="I1078" s="167" t="n"/>
      <c r="J1078" s="167" t="n"/>
      <c r="K1078" s="167" t="n"/>
      <c r="L1078" s="289" t="n"/>
      <c r="M1078" s="157" t="n"/>
      <c r="N1078" s="289" t="n"/>
      <c r="O1078" s="290">
        <f>IF(COUNT(商品マスタ[[#This Row],[参考上代
（税込)]]) &gt; 0, (商品マスタ[[#This Row],[参考上代
（税込)]]-商品マスタ[[#This Row],[国内定価
（15％）]])/(商品マスタ[[#This Row],[参考上代
（税込)]]/1.08), "")</f>
        <v/>
      </c>
      <c r="P1078" s="136" t="n">
        <v>0.1</v>
      </c>
      <c r="Q1078" s="289">
        <f>商品マスタ[[#This Row],[仕入
単価]]*商品マスタ[[#This Row],[標準国内送料率]]</f>
        <v/>
      </c>
      <c r="R1078" s="289" t="n"/>
      <c r="S1078" s="289">
        <f>IF(ISBLANK(商品マスタ[[#This Row],[実績
国内送料]]),商品マスタ[[#This Row],[標準国内送料]],)</f>
        <v/>
      </c>
      <c r="T1078" s="289">
        <f>商品マスタ[[#This Row],[仕入
単価]]+商品マスタ[[#This Row],[国内送料]]</f>
        <v/>
      </c>
      <c r="U1078" s="289">
        <f>ROUNDUP(商品マスタ[[#This Row],[仕入単価+国内送料]]/0.8,-1)</f>
        <v/>
      </c>
      <c r="V1078" s="289">
        <f>商品マスタ[[#This Row],[海外定価
（20％）]]-商品マスタ[[#This Row],[仕入単価+国内送料]]</f>
        <v/>
      </c>
      <c r="W1078" s="167">
        <f>ROUNDUP(商品マスタ[[#This Row],[仕入単価+国内送料]]/0.85,-1)</f>
        <v/>
      </c>
      <c r="X1078" s="289">
        <f>商品マスタ[[#This Row],[国内定価
（15％）]]-商品マスタ[[#This Row],[仕入単価+国内送料]]</f>
        <v/>
      </c>
      <c r="Y1078" s="139" t="n"/>
      <c r="Z1078" s="167" t="n"/>
      <c r="AA1078" s="167" t="n"/>
      <c r="AB1078" s="167" t="n"/>
      <c r="AC1078" s="293" t="n"/>
      <c r="AD1078" s="167" t="n"/>
      <c r="AE1078" s="167" t="n"/>
      <c r="AF1078" s="158" t="n"/>
      <c r="AG1078" s="144" t="n"/>
    </row>
    <row r="1079" ht="15.75" customHeight="1" s="207">
      <c r="A1079" s="166" t="n"/>
      <c r="B1079" s="167" t="n"/>
      <c r="C1079" s="167" t="n"/>
      <c r="D1079" s="143">
        <f>"PRD_SNJ_"&amp;
_xlfn.XLOOKUP(商品マスタ[[#This Row],[仕入先]],テーブル1[仕入先名],テーブル1[仕入先コード],"XXX",0,1)&amp;
"_"&amp;
商品マスタ[[#This Row],[シリアル]]&amp;
"_"&amp;
TEXT(COUNTIFS(商品マスタ!$C$3:C1079,商品マスタ[[#This Row],[仕入先]],商品マスタ!$E$3:E1079,商品マスタ[[#This Row],[商品名]]), "00")</f>
        <v/>
      </c>
      <c r="E1079" s="167" t="n"/>
      <c r="F1079" s="167">
        <f>IF(COUNTIFS($C$3:C1079,商品マスタ[[#This Row],[仕入先]],$E$3:E1079,商品マスタ[[#This Row],[商品名]]) = 1, 1,0)</f>
        <v/>
      </c>
      <c r="G1079" s="133">
        <f>TEXT(SUMIF($C$3:C1079,商品マスタ[[#This Row],[仕入先]],$F$3:F1079), "0000")</f>
        <v/>
      </c>
      <c r="H1079" s="167" t="n"/>
      <c r="I1079" s="167" t="n"/>
      <c r="J1079" s="167" t="n"/>
      <c r="K1079" s="167" t="n"/>
      <c r="L1079" s="289" t="n"/>
      <c r="M1079" s="157" t="n"/>
      <c r="N1079" s="289" t="n"/>
      <c r="O1079" s="290">
        <f>IF(COUNT(商品マスタ[[#This Row],[参考上代
（税込)]]) &gt; 0, (商品マスタ[[#This Row],[参考上代
（税込)]]-商品マスタ[[#This Row],[国内定価
（15％）]])/(商品マスタ[[#This Row],[参考上代
（税込)]]/1.08), "")</f>
        <v/>
      </c>
      <c r="P1079" s="136" t="n">
        <v>0.1</v>
      </c>
      <c r="Q1079" s="289">
        <f>商品マスタ[[#This Row],[仕入
単価]]*商品マスタ[[#This Row],[標準国内送料率]]</f>
        <v/>
      </c>
      <c r="R1079" s="289" t="n"/>
      <c r="S1079" s="289">
        <f>IF(ISBLANK(商品マスタ[[#This Row],[実績
国内送料]]),商品マスタ[[#This Row],[標準国内送料]],)</f>
        <v/>
      </c>
      <c r="T1079" s="289">
        <f>商品マスタ[[#This Row],[仕入
単価]]+商品マスタ[[#This Row],[国内送料]]</f>
        <v/>
      </c>
      <c r="U1079" s="289">
        <f>ROUNDUP(商品マスタ[[#This Row],[仕入単価+国内送料]]/0.8,-1)</f>
        <v/>
      </c>
      <c r="V1079" s="289">
        <f>商品マスタ[[#This Row],[海外定価
（20％）]]-商品マスタ[[#This Row],[仕入単価+国内送料]]</f>
        <v/>
      </c>
      <c r="W1079" s="167">
        <f>ROUNDUP(商品マスタ[[#This Row],[仕入単価+国内送料]]/0.85,-1)</f>
        <v/>
      </c>
      <c r="X1079" s="289">
        <f>商品マスタ[[#This Row],[国内定価
（15％）]]-商品マスタ[[#This Row],[仕入単価+国内送料]]</f>
        <v/>
      </c>
      <c r="Y1079" s="139" t="n"/>
      <c r="Z1079" s="167" t="n"/>
      <c r="AA1079" s="167" t="n"/>
      <c r="AB1079" s="167" t="n"/>
      <c r="AC1079" s="293" t="n"/>
      <c r="AD1079" s="167" t="n"/>
      <c r="AE1079" s="167" t="n"/>
      <c r="AF1079" s="158" t="n"/>
      <c r="AG1079" s="144" t="n"/>
    </row>
    <row r="1080" ht="15.75" customHeight="1" s="207">
      <c r="A1080" s="166" t="n"/>
      <c r="B1080" s="167" t="n"/>
      <c r="C1080" s="167" t="n"/>
      <c r="D1080" s="143">
        <f>"PRD_SNJ_"&amp;
_xlfn.XLOOKUP(商品マスタ[[#This Row],[仕入先]],テーブル1[仕入先名],テーブル1[仕入先コード],"XXX",0,1)&amp;
"_"&amp;
商品マスタ[[#This Row],[シリアル]]&amp;
"_"&amp;
TEXT(COUNTIFS(商品マスタ!$C$3:C1080,商品マスタ[[#This Row],[仕入先]],商品マスタ!$E$3:E1080,商品マスタ[[#This Row],[商品名]]), "00")</f>
        <v/>
      </c>
      <c r="E1080" s="167" t="n"/>
      <c r="F1080" s="167">
        <f>IF(COUNTIFS($C$3:C1080,商品マスタ[[#This Row],[仕入先]],$E$3:E1080,商品マスタ[[#This Row],[商品名]]) = 1, 1,0)</f>
        <v/>
      </c>
      <c r="G1080" s="133">
        <f>TEXT(SUMIF($C$3:C1080,商品マスタ[[#This Row],[仕入先]],$F$3:F1080), "0000")</f>
        <v/>
      </c>
      <c r="H1080" s="167" t="n"/>
      <c r="I1080" s="167" t="n"/>
      <c r="J1080" s="167" t="n"/>
      <c r="K1080" s="167" t="n"/>
      <c r="L1080" s="289" t="n"/>
      <c r="M1080" s="157" t="n"/>
      <c r="N1080" s="289" t="n"/>
      <c r="O1080" s="290">
        <f>IF(COUNT(商品マスタ[[#This Row],[参考上代
（税込)]]) &gt; 0, (商品マスタ[[#This Row],[参考上代
（税込)]]-商品マスタ[[#This Row],[国内定価
（15％）]])/(商品マスタ[[#This Row],[参考上代
（税込)]]/1.08), "")</f>
        <v/>
      </c>
      <c r="P1080" s="136" t="n">
        <v>0.1</v>
      </c>
      <c r="Q1080" s="289">
        <f>商品マスタ[[#This Row],[仕入
単価]]*商品マスタ[[#This Row],[標準国内送料率]]</f>
        <v/>
      </c>
      <c r="R1080" s="289" t="n"/>
      <c r="S1080" s="289">
        <f>IF(ISBLANK(商品マスタ[[#This Row],[実績
国内送料]]),商品マスタ[[#This Row],[標準国内送料]],)</f>
        <v/>
      </c>
      <c r="T1080" s="289">
        <f>商品マスタ[[#This Row],[仕入
単価]]+商品マスタ[[#This Row],[国内送料]]</f>
        <v/>
      </c>
      <c r="U1080" s="289">
        <f>ROUNDUP(商品マスタ[[#This Row],[仕入単価+国内送料]]/0.8,-1)</f>
        <v/>
      </c>
      <c r="V1080" s="289">
        <f>商品マスタ[[#This Row],[海外定価
（20％）]]-商品マスタ[[#This Row],[仕入単価+国内送料]]</f>
        <v/>
      </c>
      <c r="W1080" s="167">
        <f>ROUNDUP(商品マスタ[[#This Row],[仕入単価+国内送料]]/0.85,-1)</f>
        <v/>
      </c>
      <c r="X1080" s="289">
        <f>商品マスタ[[#This Row],[国内定価
（15％）]]-商品マスタ[[#This Row],[仕入単価+国内送料]]</f>
        <v/>
      </c>
      <c r="Y1080" s="139" t="n"/>
      <c r="Z1080" s="167" t="n"/>
      <c r="AA1080" s="167" t="n"/>
      <c r="AB1080" s="167" t="n"/>
      <c r="AC1080" s="293" t="n"/>
      <c r="AD1080" s="167" t="n"/>
      <c r="AE1080" s="167" t="n"/>
      <c r="AF1080" s="158" t="n"/>
      <c r="AG1080" s="144" t="n"/>
    </row>
    <row r="1081" ht="15.75" customHeight="1" s="207">
      <c r="A1081" s="166" t="n"/>
      <c r="B1081" s="167" t="n"/>
      <c r="C1081" s="167" t="n"/>
      <c r="D1081" s="143">
        <f>"PRD_SNJ_"&amp;
_xlfn.XLOOKUP(商品マスタ[[#This Row],[仕入先]],テーブル1[仕入先名],テーブル1[仕入先コード],"XXX",0,1)&amp;
"_"&amp;
商品マスタ[[#This Row],[シリアル]]&amp;
"_"&amp;
TEXT(COUNTIFS(商品マスタ!$C$3:C1081,商品マスタ[[#This Row],[仕入先]],商品マスタ!$E$3:E1081,商品マスタ[[#This Row],[商品名]]), "00")</f>
        <v/>
      </c>
      <c r="E1081" s="167" t="n"/>
      <c r="F1081" s="167">
        <f>IF(COUNTIFS($C$3:C1081,商品マスタ[[#This Row],[仕入先]],$E$3:E1081,商品マスタ[[#This Row],[商品名]]) = 1, 1,0)</f>
        <v/>
      </c>
      <c r="G1081" s="133">
        <f>TEXT(SUMIF($C$3:C1081,商品マスタ[[#This Row],[仕入先]],$F$3:F1081), "0000")</f>
        <v/>
      </c>
      <c r="H1081" s="167" t="n"/>
      <c r="I1081" s="167" t="n"/>
      <c r="J1081" s="167" t="n"/>
      <c r="K1081" s="167" t="n"/>
      <c r="L1081" s="289" t="n"/>
      <c r="M1081" s="157" t="n"/>
      <c r="N1081" s="289" t="n"/>
      <c r="O1081" s="290">
        <f>IF(COUNT(商品マスタ[[#This Row],[参考上代
（税込)]]) &gt; 0, (商品マスタ[[#This Row],[参考上代
（税込)]]-商品マスタ[[#This Row],[国内定価
（15％）]])/(商品マスタ[[#This Row],[参考上代
（税込)]]/1.08), "")</f>
        <v/>
      </c>
      <c r="P1081" s="136" t="n">
        <v>0.1</v>
      </c>
      <c r="Q1081" s="289">
        <f>商品マスタ[[#This Row],[仕入
単価]]*商品マスタ[[#This Row],[標準国内送料率]]</f>
        <v/>
      </c>
      <c r="R1081" s="289" t="n"/>
      <c r="S1081" s="289">
        <f>IF(ISBLANK(商品マスタ[[#This Row],[実績
国内送料]]),商品マスタ[[#This Row],[標準国内送料]],)</f>
        <v/>
      </c>
      <c r="T1081" s="289">
        <f>商品マスタ[[#This Row],[仕入
単価]]+商品マスタ[[#This Row],[国内送料]]</f>
        <v/>
      </c>
      <c r="U1081" s="289">
        <f>ROUNDUP(商品マスタ[[#This Row],[仕入単価+国内送料]]/0.8,-1)</f>
        <v/>
      </c>
      <c r="V1081" s="289">
        <f>商品マスタ[[#This Row],[海外定価
（20％）]]-商品マスタ[[#This Row],[仕入単価+国内送料]]</f>
        <v/>
      </c>
      <c r="W1081" s="167">
        <f>ROUNDUP(商品マスタ[[#This Row],[仕入単価+国内送料]]/0.85,-1)</f>
        <v/>
      </c>
      <c r="X1081" s="289">
        <f>商品マスタ[[#This Row],[国内定価
（15％）]]-商品マスタ[[#This Row],[仕入単価+国内送料]]</f>
        <v/>
      </c>
      <c r="Y1081" s="139" t="n"/>
      <c r="Z1081" s="167" t="n"/>
      <c r="AA1081" s="167" t="n"/>
      <c r="AB1081" s="167" t="n"/>
      <c r="AC1081" s="293" t="n"/>
      <c r="AD1081" s="167" t="n"/>
      <c r="AE1081" s="167" t="n"/>
      <c r="AF1081" s="158" t="n"/>
      <c r="AG1081" s="144" t="n"/>
    </row>
    <row r="1082" ht="15.75" customHeight="1" s="207">
      <c r="A1082" s="166" t="n"/>
      <c r="B1082" s="167" t="n"/>
      <c r="C1082" s="167" t="n"/>
      <c r="D1082" s="143">
        <f>"PRD_SNJ_"&amp;
_xlfn.XLOOKUP(商品マスタ[[#This Row],[仕入先]],テーブル1[仕入先名],テーブル1[仕入先コード],"XXX",0,1)&amp;
"_"&amp;
商品マスタ[[#This Row],[シリアル]]&amp;
"_"&amp;
TEXT(COUNTIFS(商品マスタ!$C$3:C1082,商品マスタ[[#This Row],[仕入先]],商品マスタ!$E$3:E1082,商品マスタ[[#This Row],[商品名]]), "00")</f>
        <v/>
      </c>
      <c r="E1082" s="167" t="n"/>
      <c r="F1082" s="167">
        <f>IF(COUNTIFS($C$3:C1082,商品マスタ[[#This Row],[仕入先]],$E$3:E1082,商品マスタ[[#This Row],[商品名]]) = 1, 1,0)</f>
        <v/>
      </c>
      <c r="G1082" s="133">
        <f>TEXT(SUMIF($C$3:C1082,商品マスタ[[#This Row],[仕入先]],$F$3:F1082), "0000")</f>
        <v/>
      </c>
      <c r="H1082" s="167" t="n"/>
      <c r="I1082" s="167" t="n"/>
      <c r="J1082" s="167" t="n"/>
      <c r="K1082" s="167" t="n"/>
      <c r="L1082" s="289" t="n"/>
      <c r="M1082" s="157" t="n"/>
      <c r="N1082" s="289" t="n"/>
      <c r="O1082" s="290">
        <f>IF(COUNT(商品マスタ[[#This Row],[参考上代
（税込)]]) &gt; 0, (商品マスタ[[#This Row],[参考上代
（税込)]]-商品マスタ[[#This Row],[国内定価
（15％）]])/(商品マスタ[[#This Row],[参考上代
（税込)]]/1.08), "")</f>
        <v/>
      </c>
      <c r="P1082" s="136" t="n">
        <v>0.1</v>
      </c>
      <c r="Q1082" s="289">
        <f>商品マスタ[[#This Row],[仕入
単価]]*商品マスタ[[#This Row],[標準国内送料率]]</f>
        <v/>
      </c>
      <c r="R1082" s="289" t="n"/>
      <c r="S1082" s="289">
        <f>IF(ISBLANK(商品マスタ[[#This Row],[実績
国内送料]]),商品マスタ[[#This Row],[標準国内送料]],)</f>
        <v/>
      </c>
      <c r="T1082" s="289">
        <f>商品マスタ[[#This Row],[仕入
単価]]+商品マスタ[[#This Row],[国内送料]]</f>
        <v/>
      </c>
      <c r="U1082" s="289">
        <f>ROUNDUP(商品マスタ[[#This Row],[仕入単価+国内送料]]/0.8,-1)</f>
        <v/>
      </c>
      <c r="V1082" s="289">
        <f>商品マスタ[[#This Row],[海外定価
（20％）]]-商品マスタ[[#This Row],[仕入単価+国内送料]]</f>
        <v/>
      </c>
      <c r="W1082" s="167">
        <f>ROUNDUP(商品マスタ[[#This Row],[仕入単価+国内送料]]/0.85,-1)</f>
        <v/>
      </c>
      <c r="X1082" s="289">
        <f>商品マスタ[[#This Row],[国内定価
（15％）]]-商品マスタ[[#This Row],[仕入単価+国内送料]]</f>
        <v/>
      </c>
      <c r="Y1082" s="139" t="n"/>
      <c r="Z1082" s="167" t="n"/>
      <c r="AA1082" s="167" t="n"/>
      <c r="AB1082" s="167" t="n"/>
      <c r="AC1082" s="293" t="n"/>
      <c r="AD1082" s="167" t="n"/>
      <c r="AE1082" s="167" t="n"/>
      <c r="AF1082" s="158" t="n"/>
      <c r="AG1082" s="144" t="n"/>
    </row>
    <row r="1083" ht="15.75" customHeight="1" s="207">
      <c r="A1083" s="166" t="n"/>
      <c r="B1083" s="167" t="n"/>
      <c r="C1083" s="167" t="n"/>
      <c r="D1083" s="143">
        <f>"PRD_SNJ_"&amp;
_xlfn.XLOOKUP(商品マスタ[[#This Row],[仕入先]],テーブル1[仕入先名],テーブル1[仕入先コード],"XXX",0,1)&amp;
"_"&amp;
商品マスタ[[#This Row],[シリアル]]&amp;
"_"&amp;
TEXT(COUNTIFS(商品マスタ!$C$3:C1083,商品マスタ[[#This Row],[仕入先]],商品マスタ!$E$3:E1083,商品マスタ[[#This Row],[商品名]]), "00")</f>
        <v/>
      </c>
      <c r="E1083" s="167" t="n"/>
      <c r="F1083" s="167">
        <f>IF(COUNTIFS($C$3:C1083,商品マスタ[[#This Row],[仕入先]],$E$3:E1083,商品マスタ[[#This Row],[商品名]]) = 1, 1,0)</f>
        <v/>
      </c>
      <c r="G1083" s="133">
        <f>TEXT(SUMIF($C$3:C1083,商品マスタ[[#This Row],[仕入先]],$F$3:F1083), "0000")</f>
        <v/>
      </c>
      <c r="H1083" s="167" t="n"/>
      <c r="I1083" s="167" t="n"/>
      <c r="J1083" s="167" t="n"/>
      <c r="K1083" s="167" t="n"/>
      <c r="L1083" s="289" t="n"/>
      <c r="M1083" s="157" t="n"/>
      <c r="N1083" s="289" t="n"/>
      <c r="O1083" s="290">
        <f>IF(COUNT(商品マスタ[[#This Row],[参考上代
（税込)]]) &gt; 0, (商品マスタ[[#This Row],[参考上代
（税込)]]-商品マスタ[[#This Row],[国内定価
（15％）]])/(商品マスタ[[#This Row],[参考上代
（税込)]]/1.08), "")</f>
        <v/>
      </c>
      <c r="P1083" s="136" t="n">
        <v>0.1</v>
      </c>
      <c r="Q1083" s="289">
        <f>商品マスタ[[#This Row],[仕入
単価]]*商品マスタ[[#This Row],[標準国内送料率]]</f>
        <v/>
      </c>
      <c r="R1083" s="289" t="n"/>
      <c r="S1083" s="289">
        <f>IF(ISBLANK(商品マスタ[[#This Row],[実績
国内送料]]),商品マスタ[[#This Row],[標準国内送料]],)</f>
        <v/>
      </c>
      <c r="T1083" s="289">
        <f>商品マスタ[[#This Row],[仕入
単価]]+商品マスタ[[#This Row],[国内送料]]</f>
        <v/>
      </c>
      <c r="U1083" s="289">
        <f>ROUNDUP(商品マスタ[[#This Row],[仕入単価+国内送料]]/0.8,-1)</f>
        <v/>
      </c>
      <c r="V1083" s="289">
        <f>商品マスタ[[#This Row],[海外定価
（20％）]]-商品マスタ[[#This Row],[仕入単価+国内送料]]</f>
        <v/>
      </c>
      <c r="W1083" s="167">
        <f>ROUNDUP(商品マスタ[[#This Row],[仕入単価+国内送料]]/0.85,-1)</f>
        <v/>
      </c>
      <c r="X1083" s="289">
        <f>商品マスタ[[#This Row],[国内定価
（15％）]]-商品マスタ[[#This Row],[仕入単価+国内送料]]</f>
        <v/>
      </c>
      <c r="Y1083" s="139" t="n"/>
      <c r="Z1083" s="167" t="n"/>
      <c r="AA1083" s="167" t="n"/>
      <c r="AB1083" s="167" t="n"/>
      <c r="AC1083" s="293" t="n"/>
      <c r="AD1083" s="167" t="n"/>
      <c r="AE1083" s="167" t="n"/>
      <c r="AF1083" s="158" t="n"/>
      <c r="AG1083" s="144" t="n"/>
    </row>
    <row r="1084" ht="15.75" customHeight="1" s="207">
      <c r="A1084" s="166" t="n"/>
      <c r="B1084" s="167" t="n"/>
      <c r="C1084" s="167" t="n"/>
      <c r="D1084" s="143">
        <f>"PRD_SNJ_"&amp;
_xlfn.XLOOKUP(商品マスタ[[#This Row],[仕入先]],テーブル1[仕入先名],テーブル1[仕入先コード],"XXX",0,1)&amp;
"_"&amp;
商品マスタ[[#This Row],[シリアル]]&amp;
"_"&amp;
TEXT(COUNTIFS(商品マスタ!$C$3:C1084,商品マスタ[[#This Row],[仕入先]],商品マスタ!$E$3:E1084,商品マスタ[[#This Row],[商品名]]), "00")</f>
        <v/>
      </c>
      <c r="E1084" s="167" t="n"/>
      <c r="F1084" s="167">
        <f>IF(COUNTIFS($C$3:C1084,商品マスタ[[#This Row],[仕入先]],$E$3:E1084,商品マスタ[[#This Row],[商品名]]) = 1, 1,0)</f>
        <v/>
      </c>
      <c r="G1084" s="133">
        <f>TEXT(SUMIF($C$3:C1084,商品マスタ[[#This Row],[仕入先]],$F$3:F1084), "0000")</f>
        <v/>
      </c>
      <c r="H1084" s="167" t="n"/>
      <c r="I1084" s="167" t="n"/>
      <c r="J1084" s="167" t="n"/>
      <c r="K1084" s="167" t="n"/>
      <c r="L1084" s="289" t="n"/>
      <c r="M1084" s="157" t="n"/>
      <c r="N1084" s="289" t="n"/>
      <c r="O1084" s="290">
        <f>IF(COUNT(商品マスタ[[#This Row],[参考上代
（税込)]]) &gt; 0, (商品マスタ[[#This Row],[参考上代
（税込)]]-商品マスタ[[#This Row],[国内定価
（15％）]])/(商品マスタ[[#This Row],[参考上代
（税込)]]/1.08), "")</f>
        <v/>
      </c>
      <c r="P1084" s="136" t="n">
        <v>0.1</v>
      </c>
      <c r="Q1084" s="289">
        <f>商品マスタ[[#This Row],[仕入
単価]]*商品マスタ[[#This Row],[標準国内送料率]]</f>
        <v/>
      </c>
      <c r="R1084" s="289" t="n"/>
      <c r="S1084" s="289">
        <f>IF(ISBLANK(商品マスタ[[#This Row],[実績
国内送料]]),商品マスタ[[#This Row],[標準国内送料]],)</f>
        <v/>
      </c>
      <c r="T1084" s="289">
        <f>商品マスタ[[#This Row],[仕入
単価]]+商品マスタ[[#This Row],[国内送料]]</f>
        <v/>
      </c>
      <c r="U1084" s="289">
        <f>ROUNDUP(商品マスタ[[#This Row],[仕入単価+国内送料]]/0.8,-1)</f>
        <v/>
      </c>
      <c r="V1084" s="289">
        <f>商品マスタ[[#This Row],[海外定価
（20％）]]-商品マスタ[[#This Row],[仕入単価+国内送料]]</f>
        <v/>
      </c>
      <c r="W1084" s="167">
        <f>ROUNDUP(商品マスタ[[#This Row],[仕入単価+国内送料]]/0.85,-1)</f>
        <v/>
      </c>
      <c r="X1084" s="289">
        <f>商品マスタ[[#This Row],[国内定価
（15％）]]-商品マスタ[[#This Row],[仕入単価+国内送料]]</f>
        <v/>
      </c>
      <c r="Y1084" s="139" t="n"/>
      <c r="Z1084" s="167" t="n"/>
      <c r="AA1084" s="167" t="n"/>
      <c r="AB1084" s="167" t="n"/>
      <c r="AC1084" s="293" t="n"/>
      <c r="AD1084" s="167" t="n"/>
      <c r="AE1084" s="167" t="n"/>
      <c r="AF1084" s="158" t="n"/>
      <c r="AG1084" s="144" t="n"/>
    </row>
    <row r="1085" ht="15.75" customHeight="1" s="207">
      <c r="A1085" s="166" t="n"/>
      <c r="B1085" s="167" t="n"/>
      <c r="C1085" s="167" t="n"/>
      <c r="D1085" s="143">
        <f>"PRD_SNJ_"&amp;
_xlfn.XLOOKUP(商品マスタ[[#This Row],[仕入先]],テーブル1[仕入先名],テーブル1[仕入先コード],"XXX",0,1)&amp;
"_"&amp;
商品マスタ[[#This Row],[シリアル]]&amp;
"_"&amp;
TEXT(COUNTIFS(商品マスタ!$C$3:C1085,商品マスタ[[#This Row],[仕入先]],商品マスタ!$E$3:E1085,商品マスタ[[#This Row],[商品名]]), "00")</f>
        <v/>
      </c>
      <c r="E1085" s="167" t="n"/>
      <c r="F1085" s="167">
        <f>IF(COUNTIFS($C$3:C1085,商品マスタ[[#This Row],[仕入先]],$E$3:E1085,商品マスタ[[#This Row],[商品名]]) = 1, 1,0)</f>
        <v/>
      </c>
      <c r="G1085" s="133">
        <f>TEXT(SUMIF($C$3:C1085,商品マスタ[[#This Row],[仕入先]],$F$3:F1085), "0000")</f>
        <v/>
      </c>
      <c r="H1085" s="167" t="n"/>
      <c r="I1085" s="167" t="n"/>
      <c r="J1085" s="167" t="n"/>
      <c r="K1085" s="167" t="n"/>
      <c r="L1085" s="289" t="n"/>
      <c r="M1085" s="157" t="n"/>
      <c r="N1085" s="289" t="n"/>
      <c r="O1085" s="290">
        <f>IF(COUNT(商品マスタ[[#This Row],[参考上代
（税込)]]) &gt; 0, (商品マスタ[[#This Row],[参考上代
（税込)]]-商品マスタ[[#This Row],[国内定価
（15％）]])/(商品マスタ[[#This Row],[参考上代
（税込)]]/1.08), "")</f>
        <v/>
      </c>
      <c r="P1085" s="136" t="n">
        <v>0.1</v>
      </c>
      <c r="Q1085" s="289">
        <f>商品マスタ[[#This Row],[仕入
単価]]*商品マスタ[[#This Row],[標準国内送料率]]</f>
        <v/>
      </c>
      <c r="R1085" s="289" t="n"/>
      <c r="S1085" s="289">
        <f>IF(ISBLANK(商品マスタ[[#This Row],[実績
国内送料]]),商品マスタ[[#This Row],[標準国内送料]],)</f>
        <v/>
      </c>
      <c r="T1085" s="289">
        <f>商品マスタ[[#This Row],[仕入
単価]]+商品マスタ[[#This Row],[国内送料]]</f>
        <v/>
      </c>
      <c r="U1085" s="289">
        <f>ROUNDUP(商品マスタ[[#This Row],[仕入単価+国内送料]]/0.8,-1)</f>
        <v/>
      </c>
      <c r="V1085" s="289">
        <f>商品マスタ[[#This Row],[海外定価
（20％）]]-商品マスタ[[#This Row],[仕入単価+国内送料]]</f>
        <v/>
      </c>
      <c r="W1085" s="167">
        <f>ROUNDUP(商品マスタ[[#This Row],[仕入単価+国内送料]]/0.85,-1)</f>
        <v/>
      </c>
      <c r="X1085" s="289">
        <f>商品マスタ[[#This Row],[国内定価
（15％）]]-商品マスタ[[#This Row],[仕入単価+国内送料]]</f>
        <v/>
      </c>
      <c r="Y1085" s="139" t="n"/>
      <c r="Z1085" s="167" t="n"/>
      <c r="AA1085" s="167" t="n"/>
      <c r="AB1085" s="167" t="n"/>
      <c r="AC1085" s="293" t="n"/>
      <c r="AD1085" s="167" t="n"/>
      <c r="AE1085" s="167" t="n"/>
      <c r="AF1085" s="158" t="n"/>
      <c r="AG1085" s="144" t="n"/>
    </row>
    <row r="1086" ht="15.75" customHeight="1" s="207">
      <c r="A1086" s="166" t="n"/>
      <c r="B1086" s="167" t="n"/>
      <c r="C1086" s="167" t="n"/>
      <c r="D1086" s="143">
        <f>"PRD_SNJ_"&amp;
_xlfn.XLOOKUP(商品マスタ[[#This Row],[仕入先]],テーブル1[仕入先名],テーブル1[仕入先コード],"XXX",0,1)&amp;
"_"&amp;
商品マスタ[[#This Row],[シリアル]]&amp;
"_"&amp;
TEXT(COUNTIFS(商品マスタ!$C$3:C1086,商品マスタ[[#This Row],[仕入先]],商品マスタ!$E$3:E1086,商品マスタ[[#This Row],[商品名]]), "00")</f>
        <v/>
      </c>
      <c r="E1086" s="167" t="n"/>
      <c r="F1086" s="167">
        <f>IF(COUNTIFS($C$3:C1086,商品マスタ[[#This Row],[仕入先]],$E$3:E1086,商品マスタ[[#This Row],[商品名]]) = 1, 1,0)</f>
        <v/>
      </c>
      <c r="G1086" s="133">
        <f>TEXT(SUMIF($C$3:C1086,商品マスタ[[#This Row],[仕入先]],$F$3:F1086), "0000")</f>
        <v/>
      </c>
      <c r="H1086" s="167" t="n"/>
      <c r="I1086" s="167" t="n"/>
      <c r="J1086" s="167" t="n"/>
      <c r="K1086" s="167" t="n"/>
      <c r="L1086" s="289" t="n"/>
      <c r="M1086" s="157" t="n"/>
      <c r="N1086" s="289" t="n"/>
      <c r="O1086" s="290">
        <f>IF(COUNT(商品マスタ[[#This Row],[参考上代
（税込)]]) &gt; 0, (商品マスタ[[#This Row],[参考上代
（税込)]]-商品マスタ[[#This Row],[国内定価
（15％）]])/(商品マスタ[[#This Row],[参考上代
（税込)]]/1.08), "")</f>
        <v/>
      </c>
      <c r="P1086" s="136" t="n">
        <v>0.1</v>
      </c>
      <c r="Q1086" s="289">
        <f>商品マスタ[[#This Row],[仕入
単価]]*商品マスタ[[#This Row],[標準国内送料率]]</f>
        <v/>
      </c>
      <c r="R1086" s="289" t="n"/>
      <c r="S1086" s="289">
        <f>IF(ISBLANK(商品マスタ[[#This Row],[実績
国内送料]]),商品マスタ[[#This Row],[標準国内送料]],)</f>
        <v/>
      </c>
      <c r="T1086" s="289">
        <f>商品マスタ[[#This Row],[仕入
単価]]+商品マスタ[[#This Row],[国内送料]]</f>
        <v/>
      </c>
      <c r="U1086" s="289">
        <f>ROUNDUP(商品マスタ[[#This Row],[仕入単価+国内送料]]/0.8,-1)</f>
        <v/>
      </c>
      <c r="V1086" s="289">
        <f>商品マスタ[[#This Row],[海外定価
（20％）]]-商品マスタ[[#This Row],[仕入単価+国内送料]]</f>
        <v/>
      </c>
      <c r="W1086" s="167">
        <f>ROUNDUP(商品マスタ[[#This Row],[仕入単価+国内送料]]/0.85,-1)</f>
        <v/>
      </c>
      <c r="X1086" s="289">
        <f>商品マスタ[[#This Row],[国内定価
（15％）]]-商品マスタ[[#This Row],[仕入単価+国内送料]]</f>
        <v/>
      </c>
      <c r="Y1086" s="139" t="n"/>
      <c r="Z1086" s="167" t="n"/>
      <c r="AA1086" s="167" t="n"/>
      <c r="AB1086" s="167" t="n"/>
      <c r="AC1086" s="293" t="n"/>
      <c r="AD1086" s="167" t="n"/>
      <c r="AE1086" s="167" t="n"/>
      <c r="AF1086" s="158" t="n"/>
      <c r="AG1086" s="144" t="n"/>
    </row>
    <row r="1087" ht="15.75" customHeight="1" s="207">
      <c r="A1087" s="166" t="n"/>
      <c r="B1087" s="167" t="n"/>
      <c r="C1087" s="167" t="n"/>
      <c r="D1087" s="143">
        <f>"PRD_SNJ_"&amp;
_xlfn.XLOOKUP(商品マスタ[[#This Row],[仕入先]],テーブル1[仕入先名],テーブル1[仕入先コード],"XXX",0,1)&amp;
"_"&amp;
商品マスタ[[#This Row],[シリアル]]&amp;
"_"&amp;
TEXT(COUNTIFS(商品マスタ!$C$3:C1087,商品マスタ[[#This Row],[仕入先]],商品マスタ!$E$3:E1087,商品マスタ[[#This Row],[商品名]]), "00")</f>
        <v/>
      </c>
      <c r="E1087" s="167" t="n"/>
      <c r="F1087" s="167">
        <f>IF(COUNTIFS($C$3:C1087,商品マスタ[[#This Row],[仕入先]],$E$3:E1087,商品マスタ[[#This Row],[商品名]]) = 1, 1,0)</f>
        <v/>
      </c>
      <c r="G1087" s="133">
        <f>TEXT(SUMIF($C$3:C1087,商品マスタ[[#This Row],[仕入先]],$F$3:F1087), "0000")</f>
        <v/>
      </c>
      <c r="H1087" s="167" t="n"/>
      <c r="I1087" s="167" t="n"/>
      <c r="J1087" s="167" t="n"/>
      <c r="K1087" s="167" t="n"/>
      <c r="L1087" s="289" t="n"/>
      <c r="M1087" s="157" t="n"/>
      <c r="N1087" s="289" t="n"/>
      <c r="O1087" s="290">
        <f>IF(COUNT(商品マスタ[[#This Row],[参考上代
（税込)]]) &gt; 0, (商品マスタ[[#This Row],[参考上代
（税込)]]-商品マスタ[[#This Row],[国内定価
（15％）]])/(商品マスタ[[#This Row],[参考上代
（税込)]]/1.08), "")</f>
        <v/>
      </c>
      <c r="P1087" s="136" t="n">
        <v>0.1</v>
      </c>
      <c r="Q1087" s="289">
        <f>商品マスタ[[#This Row],[仕入
単価]]*商品マスタ[[#This Row],[標準国内送料率]]</f>
        <v/>
      </c>
      <c r="R1087" s="289" t="n"/>
      <c r="S1087" s="289">
        <f>IF(ISBLANK(商品マスタ[[#This Row],[実績
国内送料]]),商品マスタ[[#This Row],[標準国内送料]],)</f>
        <v/>
      </c>
      <c r="T1087" s="289">
        <f>商品マスタ[[#This Row],[仕入
単価]]+商品マスタ[[#This Row],[国内送料]]</f>
        <v/>
      </c>
      <c r="U1087" s="289">
        <f>ROUNDUP(商品マスタ[[#This Row],[仕入単価+国内送料]]/0.8,-1)</f>
        <v/>
      </c>
      <c r="V1087" s="289">
        <f>商品マスタ[[#This Row],[海外定価
（20％）]]-商品マスタ[[#This Row],[仕入単価+国内送料]]</f>
        <v/>
      </c>
      <c r="W1087" s="167">
        <f>ROUNDUP(商品マスタ[[#This Row],[仕入単価+国内送料]]/0.85,-1)</f>
        <v/>
      </c>
      <c r="X1087" s="289">
        <f>商品マスタ[[#This Row],[国内定価
（15％）]]-商品マスタ[[#This Row],[仕入単価+国内送料]]</f>
        <v/>
      </c>
      <c r="Y1087" s="139" t="n"/>
      <c r="Z1087" s="167" t="n"/>
      <c r="AA1087" s="167" t="n"/>
      <c r="AB1087" s="167" t="n"/>
      <c r="AC1087" s="293" t="n"/>
      <c r="AD1087" s="167" t="n"/>
      <c r="AE1087" s="167" t="n"/>
      <c r="AF1087" s="158" t="n"/>
      <c r="AG1087" s="144" t="n"/>
    </row>
    <row r="1088" ht="15.75" customHeight="1" s="207">
      <c r="A1088" s="166" t="n"/>
      <c r="B1088" s="167" t="n"/>
      <c r="C1088" s="167" t="n"/>
      <c r="D1088" s="143">
        <f>"PRD_SNJ_"&amp;
_xlfn.XLOOKUP(商品マスタ[[#This Row],[仕入先]],テーブル1[仕入先名],テーブル1[仕入先コード],"XXX",0,1)&amp;
"_"&amp;
商品マスタ[[#This Row],[シリアル]]&amp;
"_"&amp;
TEXT(COUNTIFS(商品マスタ!$C$3:C1088,商品マスタ[[#This Row],[仕入先]],商品マスタ!$E$3:E1088,商品マスタ[[#This Row],[商品名]]), "00")</f>
        <v/>
      </c>
      <c r="E1088" s="167" t="n"/>
      <c r="F1088" s="167">
        <f>IF(COUNTIFS($C$3:C1088,商品マスタ[[#This Row],[仕入先]],$E$3:E1088,商品マスタ[[#This Row],[商品名]]) = 1, 1,0)</f>
        <v/>
      </c>
      <c r="G1088" s="133">
        <f>TEXT(SUMIF($C$3:C1088,商品マスタ[[#This Row],[仕入先]],$F$3:F1088), "0000")</f>
        <v/>
      </c>
      <c r="H1088" s="167" t="n"/>
      <c r="I1088" s="167" t="n"/>
      <c r="J1088" s="167" t="n"/>
      <c r="K1088" s="167" t="n"/>
      <c r="L1088" s="289" t="n"/>
      <c r="M1088" s="157" t="n"/>
      <c r="N1088" s="289" t="n"/>
      <c r="O1088" s="290">
        <f>IF(COUNT(商品マスタ[[#This Row],[参考上代
（税込)]]) &gt; 0, (商品マスタ[[#This Row],[参考上代
（税込)]]-商品マスタ[[#This Row],[国内定価
（15％）]])/(商品マスタ[[#This Row],[参考上代
（税込)]]/1.08), "")</f>
        <v/>
      </c>
      <c r="P1088" s="136" t="n">
        <v>0.1</v>
      </c>
      <c r="Q1088" s="289">
        <f>商品マスタ[[#This Row],[仕入
単価]]*商品マスタ[[#This Row],[標準国内送料率]]</f>
        <v/>
      </c>
      <c r="R1088" s="289" t="n"/>
      <c r="S1088" s="289">
        <f>IF(ISBLANK(商品マスタ[[#This Row],[実績
国内送料]]),商品マスタ[[#This Row],[標準国内送料]],)</f>
        <v/>
      </c>
      <c r="T1088" s="289">
        <f>商品マスタ[[#This Row],[仕入
単価]]+商品マスタ[[#This Row],[国内送料]]</f>
        <v/>
      </c>
      <c r="U1088" s="289">
        <f>ROUNDUP(商品マスタ[[#This Row],[仕入単価+国内送料]]/0.8,-1)</f>
        <v/>
      </c>
      <c r="V1088" s="289">
        <f>商品マスタ[[#This Row],[海外定価
（20％）]]-商品マスタ[[#This Row],[仕入単価+国内送料]]</f>
        <v/>
      </c>
      <c r="W1088" s="167">
        <f>ROUNDUP(商品マスタ[[#This Row],[仕入単価+国内送料]]/0.85,-1)</f>
        <v/>
      </c>
      <c r="X1088" s="289">
        <f>商品マスタ[[#This Row],[国内定価
（15％）]]-商品マスタ[[#This Row],[仕入単価+国内送料]]</f>
        <v/>
      </c>
      <c r="Y1088" s="139" t="n"/>
      <c r="Z1088" s="167" t="n"/>
      <c r="AA1088" s="167" t="n"/>
      <c r="AB1088" s="167" t="n"/>
      <c r="AC1088" s="293" t="n"/>
      <c r="AD1088" s="167" t="n"/>
      <c r="AE1088" s="167" t="n"/>
      <c r="AF1088" s="158" t="n"/>
      <c r="AG1088" s="144" t="n"/>
    </row>
    <row r="1089" ht="15.75" customHeight="1" s="207">
      <c r="A1089" s="166" t="n"/>
      <c r="B1089" s="167" t="n"/>
      <c r="C1089" s="167" t="n"/>
      <c r="D1089" s="143">
        <f>"PRD_SNJ_"&amp;
_xlfn.XLOOKUP(商品マスタ[[#This Row],[仕入先]],テーブル1[仕入先名],テーブル1[仕入先コード],"XXX",0,1)&amp;
"_"&amp;
商品マスタ[[#This Row],[シリアル]]&amp;
"_"&amp;
TEXT(COUNTIFS(商品マスタ!$C$3:C1089,商品マスタ[[#This Row],[仕入先]],商品マスタ!$E$3:E1089,商品マスタ[[#This Row],[商品名]]), "00")</f>
        <v/>
      </c>
      <c r="E1089" s="167" t="n"/>
      <c r="F1089" s="167">
        <f>IF(COUNTIFS($C$3:C1089,商品マスタ[[#This Row],[仕入先]],$E$3:E1089,商品マスタ[[#This Row],[商品名]]) = 1, 1,0)</f>
        <v/>
      </c>
      <c r="G1089" s="133">
        <f>TEXT(SUMIF($C$3:C1089,商品マスタ[[#This Row],[仕入先]],$F$3:F1089), "0000")</f>
        <v/>
      </c>
      <c r="H1089" s="167" t="n"/>
      <c r="I1089" s="167" t="n"/>
      <c r="J1089" s="167" t="n"/>
      <c r="K1089" s="167" t="n"/>
      <c r="L1089" s="289" t="n"/>
      <c r="M1089" s="157" t="n"/>
      <c r="N1089" s="289" t="n"/>
      <c r="O1089" s="290">
        <f>IF(COUNT(商品マスタ[[#This Row],[参考上代
（税込)]]) &gt; 0, (商品マスタ[[#This Row],[参考上代
（税込)]]-商品マスタ[[#This Row],[国内定価
（15％）]])/(商品マスタ[[#This Row],[参考上代
（税込)]]/1.08), "")</f>
        <v/>
      </c>
      <c r="P1089" s="136" t="n">
        <v>0.1</v>
      </c>
      <c r="Q1089" s="289">
        <f>商品マスタ[[#This Row],[仕入
単価]]*商品マスタ[[#This Row],[標準国内送料率]]</f>
        <v/>
      </c>
      <c r="R1089" s="289" t="n"/>
      <c r="S1089" s="289">
        <f>IF(ISBLANK(商品マスタ[[#This Row],[実績
国内送料]]),商品マスタ[[#This Row],[標準国内送料]],)</f>
        <v/>
      </c>
      <c r="T1089" s="289">
        <f>商品マスタ[[#This Row],[仕入
単価]]+商品マスタ[[#This Row],[国内送料]]</f>
        <v/>
      </c>
      <c r="U1089" s="289">
        <f>ROUNDUP(商品マスタ[[#This Row],[仕入単価+国内送料]]/0.8,-1)</f>
        <v/>
      </c>
      <c r="V1089" s="289">
        <f>商品マスタ[[#This Row],[海外定価
（20％）]]-商品マスタ[[#This Row],[仕入単価+国内送料]]</f>
        <v/>
      </c>
      <c r="W1089" s="167">
        <f>ROUNDUP(商品マスタ[[#This Row],[仕入単価+国内送料]]/0.85,-1)</f>
        <v/>
      </c>
      <c r="X1089" s="289">
        <f>商品マスタ[[#This Row],[国内定価
（15％）]]-商品マスタ[[#This Row],[仕入単価+国内送料]]</f>
        <v/>
      </c>
      <c r="Y1089" s="139" t="n"/>
      <c r="Z1089" s="167" t="n"/>
      <c r="AA1089" s="167" t="n"/>
      <c r="AB1089" s="167" t="n"/>
      <c r="AC1089" s="293" t="n"/>
      <c r="AD1089" s="167" t="n"/>
      <c r="AE1089" s="167" t="n"/>
      <c r="AF1089" s="158" t="n"/>
      <c r="AG1089" s="144" t="n"/>
    </row>
    <row r="1090" ht="15.75" customHeight="1" s="207">
      <c r="A1090" s="166" t="n"/>
      <c r="B1090" s="167" t="n"/>
      <c r="C1090" s="167" t="n"/>
      <c r="D1090" s="143">
        <f>"PRD_SNJ_"&amp;
_xlfn.XLOOKUP(商品マスタ[[#This Row],[仕入先]],テーブル1[仕入先名],テーブル1[仕入先コード],"XXX",0,1)&amp;
"_"&amp;
商品マスタ[[#This Row],[シリアル]]&amp;
"_"&amp;
TEXT(COUNTIFS(商品マスタ!$C$3:C1090,商品マスタ[[#This Row],[仕入先]],商品マスタ!$E$3:E1090,商品マスタ[[#This Row],[商品名]]), "00")</f>
        <v/>
      </c>
      <c r="E1090" s="167" t="n"/>
      <c r="F1090" s="167">
        <f>IF(COUNTIFS($C$3:C1090,商品マスタ[[#This Row],[仕入先]],$E$3:E1090,商品マスタ[[#This Row],[商品名]]) = 1, 1,0)</f>
        <v/>
      </c>
      <c r="G1090" s="133">
        <f>TEXT(SUMIF($C$3:C1090,商品マスタ[[#This Row],[仕入先]],$F$3:F1090), "0000")</f>
        <v/>
      </c>
      <c r="H1090" s="167" t="n"/>
      <c r="I1090" s="167" t="n"/>
      <c r="J1090" s="167" t="n"/>
      <c r="K1090" s="167" t="n"/>
      <c r="L1090" s="289" t="n"/>
      <c r="M1090" s="157" t="n"/>
      <c r="N1090" s="289" t="n"/>
      <c r="O1090" s="290">
        <f>IF(COUNT(商品マスタ[[#This Row],[参考上代
（税込)]]) &gt; 0, (商品マスタ[[#This Row],[参考上代
（税込)]]-商品マスタ[[#This Row],[国内定価
（15％）]])/(商品マスタ[[#This Row],[参考上代
（税込)]]/1.08), "")</f>
        <v/>
      </c>
      <c r="P1090" s="136" t="n">
        <v>0.1</v>
      </c>
      <c r="Q1090" s="289">
        <f>商品マスタ[[#This Row],[仕入
単価]]*商品マスタ[[#This Row],[標準国内送料率]]</f>
        <v/>
      </c>
      <c r="R1090" s="289" t="n"/>
      <c r="S1090" s="289">
        <f>IF(ISBLANK(商品マスタ[[#This Row],[実績
国内送料]]),商品マスタ[[#This Row],[標準国内送料]],)</f>
        <v/>
      </c>
      <c r="T1090" s="289">
        <f>商品マスタ[[#This Row],[仕入
単価]]+商品マスタ[[#This Row],[国内送料]]</f>
        <v/>
      </c>
      <c r="U1090" s="289">
        <f>ROUNDUP(商品マスタ[[#This Row],[仕入単価+国内送料]]/0.8,-1)</f>
        <v/>
      </c>
      <c r="V1090" s="289">
        <f>商品マスタ[[#This Row],[海外定価
（20％）]]-商品マスタ[[#This Row],[仕入単価+国内送料]]</f>
        <v/>
      </c>
      <c r="W1090" s="167">
        <f>ROUNDUP(商品マスタ[[#This Row],[仕入単価+国内送料]]/0.85,-1)</f>
        <v/>
      </c>
      <c r="X1090" s="289">
        <f>商品マスタ[[#This Row],[国内定価
（15％）]]-商品マスタ[[#This Row],[仕入単価+国内送料]]</f>
        <v/>
      </c>
      <c r="Y1090" s="139" t="n"/>
      <c r="Z1090" s="167" t="n"/>
      <c r="AA1090" s="167" t="n"/>
      <c r="AB1090" s="167" t="n"/>
      <c r="AC1090" s="293" t="n"/>
      <c r="AD1090" s="167" t="n"/>
      <c r="AE1090" s="167" t="n"/>
      <c r="AF1090" s="158" t="n"/>
      <c r="AG1090" s="144" t="n"/>
    </row>
    <row r="1091" ht="15.75" customHeight="1" s="207">
      <c r="A1091" s="166" t="n"/>
      <c r="B1091" s="167" t="n"/>
      <c r="C1091" s="167" t="n"/>
      <c r="D1091" s="143">
        <f>"PRD_SNJ_"&amp;
_xlfn.XLOOKUP(商品マスタ[[#This Row],[仕入先]],テーブル1[仕入先名],テーブル1[仕入先コード],"XXX",0,1)&amp;
"_"&amp;
商品マスタ[[#This Row],[シリアル]]&amp;
"_"&amp;
TEXT(COUNTIFS(商品マスタ!$C$3:C1091,商品マスタ[[#This Row],[仕入先]],商品マスタ!$E$3:E1091,商品マスタ[[#This Row],[商品名]]), "00")</f>
        <v/>
      </c>
      <c r="E1091" s="167" t="n"/>
      <c r="F1091" s="167">
        <f>IF(COUNTIFS($C$3:C1091,商品マスタ[[#This Row],[仕入先]],$E$3:E1091,商品マスタ[[#This Row],[商品名]]) = 1, 1,0)</f>
        <v/>
      </c>
      <c r="G1091" s="133">
        <f>TEXT(SUMIF($C$3:C1091,商品マスタ[[#This Row],[仕入先]],$F$3:F1091), "0000")</f>
        <v/>
      </c>
      <c r="H1091" s="167" t="n"/>
      <c r="I1091" s="167" t="n"/>
      <c r="J1091" s="167" t="n"/>
      <c r="K1091" s="167" t="n"/>
      <c r="L1091" s="289" t="n"/>
      <c r="M1091" s="157" t="n"/>
      <c r="N1091" s="289" t="n"/>
      <c r="O1091" s="290">
        <f>IF(COUNT(商品マスタ[[#This Row],[参考上代
（税込)]]) &gt; 0, (商品マスタ[[#This Row],[参考上代
（税込)]]-商品マスタ[[#This Row],[国内定価
（15％）]])/(商品マスタ[[#This Row],[参考上代
（税込)]]/1.08), "")</f>
        <v/>
      </c>
      <c r="P1091" s="136" t="n">
        <v>0.1</v>
      </c>
      <c r="Q1091" s="289">
        <f>商品マスタ[[#This Row],[仕入
単価]]*商品マスタ[[#This Row],[標準国内送料率]]</f>
        <v/>
      </c>
      <c r="R1091" s="289" t="n"/>
      <c r="S1091" s="289">
        <f>IF(ISBLANK(商品マスタ[[#This Row],[実績
国内送料]]),商品マスタ[[#This Row],[標準国内送料]],)</f>
        <v/>
      </c>
      <c r="T1091" s="289">
        <f>商品マスタ[[#This Row],[仕入
単価]]+商品マスタ[[#This Row],[国内送料]]</f>
        <v/>
      </c>
      <c r="U1091" s="289">
        <f>ROUNDUP(商品マスタ[[#This Row],[仕入単価+国内送料]]/0.8,-1)</f>
        <v/>
      </c>
      <c r="V1091" s="289">
        <f>商品マスタ[[#This Row],[海外定価
（20％）]]-商品マスタ[[#This Row],[仕入単価+国内送料]]</f>
        <v/>
      </c>
      <c r="W1091" s="167">
        <f>ROUNDUP(商品マスタ[[#This Row],[仕入単価+国内送料]]/0.85,-1)</f>
        <v/>
      </c>
      <c r="X1091" s="289">
        <f>商品マスタ[[#This Row],[国内定価
（15％）]]-商品マスタ[[#This Row],[仕入単価+国内送料]]</f>
        <v/>
      </c>
      <c r="Y1091" s="139" t="n"/>
      <c r="Z1091" s="167" t="n"/>
      <c r="AA1091" s="167" t="n"/>
      <c r="AB1091" s="167" t="n"/>
      <c r="AC1091" s="293" t="n"/>
      <c r="AD1091" s="167" t="n"/>
      <c r="AE1091" s="167" t="n"/>
      <c r="AF1091" s="158" t="n"/>
      <c r="AG1091" s="144" t="n"/>
    </row>
    <row r="1092" ht="15.75" customHeight="1" s="207">
      <c r="A1092" s="166" t="n"/>
      <c r="B1092" s="167" t="n"/>
      <c r="C1092" s="167" t="n"/>
      <c r="D1092" s="143">
        <f>"PRD_SNJ_"&amp;
_xlfn.XLOOKUP(商品マスタ[[#This Row],[仕入先]],テーブル1[仕入先名],テーブル1[仕入先コード],"XXX",0,1)&amp;
"_"&amp;
商品マスタ[[#This Row],[シリアル]]&amp;
"_"&amp;
TEXT(COUNTIFS(商品マスタ!$C$3:C1092,商品マスタ[[#This Row],[仕入先]],商品マスタ!$E$3:E1092,商品マスタ[[#This Row],[商品名]]), "00")</f>
        <v/>
      </c>
      <c r="E1092" s="167" t="n"/>
      <c r="F1092" s="167">
        <f>IF(COUNTIFS($C$3:C1092,商品マスタ[[#This Row],[仕入先]],$E$3:E1092,商品マスタ[[#This Row],[商品名]]) = 1, 1,0)</f>
        <v/>
      </c>
      <c r="G1092" s="133">
        <f>TEXT(SUMIF($C$3:C1092,商品マスタ[[#This Row],[仕入先]],$F$3:F1092), "0000")</f>
        <v/>
      </c>
      <c r="H1092" s="167" t="n"/>
      <c r="I1092" s="167" t="n"/>
      <c r="J1092" s="167" t="n"/>
      <c r="K1092" s="167" t="n"/>
      <c r="L1092" s="289" t="n"/>
      <c r="M1092" s="157" t="n"/>
      <c r="N1092" s="289" t="n"/>
      <c r="O1092" s="290">
        <f>IF(COUNT(商品マスタ[[#This Row],[参考上代
（税込)]]) &gt; 0, (商品マスタ[[#This Row],[参考上代
（税込)]]-商品マスタ[[#This Row],[国内定価
（15％）]])/(商品マスタ[[#This Row],[参考上代
（税込)]]/1.08), "")</f>
        <v/>
      </c>
      <c r="P1092" s="136" t="n">
        <v>0.1</v>
      </c>
      <c r="Q1092" s="289">
        <f>商品マスタ[[#This Row],[仕入
単価]]*商品マスタ[[#This Row],[標準国内送料率]]</f>
        <v/>
      </c>
      <c r="R1092" s="289" t="n"/>
      <c r="S1092" s="289">
        <f>IF(ISBLANK(商品マスタ[[#This Row],[実績
国内送料]]),商品マスタ[[#This Row],[標準国内送料]],)</f>
        <v/>
      </c>
      <c r="T1092" s="289">
        <f>商品マスタ[[#This Row],[仕入
単価]]+商品マスタ[[#This Row],[国内送料]]</f>
        <v/>
      </c>
      <c r="U1092" s="289">
        <f>ROUNDUP(商品マスタ[[#This Row],[仕入単価+国内送料]]/0.8,-1)</f>
        <v/>
      </c>
      <c r="V1092" s="289">
        <f>商品マスタ[[#This Row],[海外定価
（20％）]]-商品マスタ[[#This Row],[仕入単価+国内送料]]</f>
        <v/>
      </c>
      <c r="W1092" s="167">
        <f>ROUNDUP(商品マスタ[[#This Row],[仕入単価+国内送料]]/0.85,-1)</f>
        <v/>
      </c>
      <c r="X1092" s="289">
        <f>商品マスタ[[#This Row],[国内定価
（15％）]]-商品マスタ[[#This Row],[仕入単価+国内送料]]</f>
        <v/>
      </c>
      <c r="Y1092" s="139" t="n"/>
      <c r="Z1092" s="167" t="n"/>
      <c r="AA1092" s="167" t="n"/>
      <c r="AB1092" s="167" t="n"/>
      <c r="AC1092" s="293" t="n"/>
      <c r="AD1092" s="167" t="n"/>
      <c r="AE1092" s="167" t="n"/>
      <c r="AF1092" s="158" t="n"/>
      <c r="AG1092" s="144" t="n"/>
    </row>
    <row r="1093" ht="15.75" customHeight="1" s="207">
      <c r="A1093" s="166" t="n"/>
      <c r="B1093" s="167" t="n"/>
      <c r="C1093" s="167" t="n"/>
      <c r="D1093" s="143">
        <f>"PRD_SNJ_"&amp;
_xlfn.XLOOKUP(商品マスタ[[#This Row],[仕入先]],テーブル1[仕入先名],テーブル1[仕入先コード],"XXX",0,1)&amp;
"_"&amp;
商品マスタ[[#This Row],[シリアル]]&amp;
"_"&amp;
TEXT(COUNTIFS(商品マスタ!$C$3:C1093,商品マスタ[[#This Row],[仕入先]],商品マスタ!$E$3:E1093,商品マスタ[[#This Row],[商品名]]), "00")</f>
        <v/>
      </c>
      <c r="E1093" s="167" t="n"/>
      <c r="F1093" s="167">
        <f>IF(COUNTIFS($C$3:C1093,商品マスタ[[#This Row],[仕入先]],$E$3:E1093,商品マスタ[[#This Row],[商品名]]) = 1, 1,0)</f>
        <v/>
      </c>
      <c r="G1093" s="133">
        <f>TEXT(SUMIF($C$3:C1093,商品マスタ[[#This Row],[仕入先]],$F$3:F1093), "0000")</f>
        <v/>
      </c>
      <c r="H1093" s="167" t="n"/>
      <c r="I1093" s="167" t="n"/>
      <c r="J1093" s="167" t="n"/>
      <c r="K1093" s="167" t="n"/>
      <c r="L1093" s="289" t="n"/>
      <c r="M1093" s="157" t="n"/>
      <c r="N1093" s="289" t="n"/>
      <c r="O1093" s="290">
        <f>IF(COUNT(商品マスタ[[#This Row],[参考上代
（税込)]]) &gt; 0, (商品マスタ[[#This Row],[参考上代
（税込)]]-商品マスタ[[#This Row],[国内定価
（15％）]])/(商品マスタ[[#This Row],[参考上代
（税込)]]/1.08), "")</f>
        <v/>
      </c>
      <c r="P1093" s="136" t="n">
        <v>0.1</v>
      </c>
      <c r="Q1093" s="289">
        <f>商品マスタ[[#This Row],[仕入
単価]]*商品マスタ[[#This Row],[標準国内送料率]]</f>
        <v/>
      </c>
      <c r="R1093" s="289" t="n"/>
      <c r="S1093" s="289">
        <f>IF(ISBLANK(商品マスタ[[#This Row],[実績
国内送料]]),商品マスタ[[#This Row],[標準国内送料]],)</f>
        <v/>
      </c>
      <c r="T1093" s="289">
        <f>商品マスタ[[#This Row],[仕入
単価]]+商品マスタ[[#This Row],[国内送料]]</f>
        <v/>
      </c>
      <c r="U1093" s="289">
        <f>ROUNDUP(商品マスタ[[#This Row],[仕入単価+国内送料]]/0.8,-1)</f>
        <v/>
      </c>
      <c r="V1093" s="289">
        <f>商品マスタ[[#This Row],[海外定価
（20％）]]-商品マスタ[[#This Row],[仕入単価+国内送料]]</f>
        <v/>
      </c>
      <c r="W1093" s="167">
        <f>ROUNDUP(商品マスタ[[#This Row],[仕入単価+国内送料]]/0.85,-1)</f>
        <v/>
      </c>
      <c r="X1093" s="289">
        <f>商品マスタ[[#This Row],[国内定価
（15％）]]-商品マスタ[[#This Row],[仕入単価+国内送料]]</f>
        <v/>
      </c>
      <c r="Y1093" s="139" t="n"/>
      <c r="Z1093" s="167" t="n"/>
      <c r="AA1093" s="167" t="n"/>
      <c r="AB1093" s="167" t="n"/>
      <c r="AC1093" s="293" t="n"/>
      <c r="AD1093" s="167" t="n"/>
      <c r="AE1093" s="167" t="n"/>
      <c r="AF1093" s="158" t="n"/>
      <c r="AG1093" s="144" t="n"/>
    </row>
    <row r="1094" ht="15.75" customHeight="1" s="207">
      <c r="A1094" s="166" t="n"/>
      <c r="B1094" s="167" t="n"/>
      <c r="C1094" s="167" t="n"/>
      <c r="D1094" s="143">
        <f>"PRD_SNJ_"&amp;
_xlfn.XLOOKUP(商品マスタ[[#This Row],[仕入先]],テーブル1[仕入先名],テーブル1[仕入先コード],"XXX",0,1)&amp;
"_"&amp;
商品マスタ[[#This Row],[シリアル]]&amp;
"_"&amp;
TEXT(COUNTIFS(商品マスタ!$C$3:C1094,商品マスタ[[#This Row],[仕入先]],商品マスタ!$E$3:E1094,商品マスタ[[#This Row],[商品名]]), "00")</f>
        <v/>
      </c>
      <c r="E1094" s="167" t="n"/>
      <c r="F1094" s="167">
        <f>IF(COUNTIFS($C$3:C1094,商品マスタ[[#This Row],[仕入先]],$E$3:E1094,商品マスタ[[#This Row],[商品名]]) = 1, 1,0)</f>
        <v/>
      </c>
      <c r="G1094" s="133">
        <f>TEXT(SUMIF($C$3:C1094,商品マスタ[[#This Row],[仕入先]],$F$3:F1094), "0000")</f>
        <v/>
      </c>
      <c r="H1094" s="167" t="n"/>
      <c r="I1094" s="167" t="n"/>
      <c r="J1094" s="167" t="n"/>
      <c r="K1094" s="167" t="n"/>
      <c r="L1094" s="289" t="n"/>
      <c r="M1094" s="157" t="n"/>
      <c r="N1094" s="289" t="n"/>
      <c r="O1094" s="290">
        <f>IF(COUNT(商品マスタ[[#This Row],[参考上代
（税込)]]) &gt; 0, (商品マスタ[[#This Row],[参考上代
（税込)]]-商品マスタ[[#This Row],[国内定価
（15％）]])/(商品マスタ[[#This Row],[参考上代
（税込)]]/1.08), "")</f>
        <v/>
      </c>
      <c r="P1094" s="136" t="n">
        <v>0.1</v>
      </c>
      <c r="Q1094" s="289">
        <f>商品マスタ[[#This Row],[仕入
単価]]*商品マスタ[[#This Row],[標準国内送料率]]</f>
        <v/>
      </c>
      <c r="R1094" s="289" t="n"/>
      <c r="S1094" s="289">
        <f>IF(ISBLANK(商品マスタ[[#This Row],[実績
国内送料]]),商品マスタ[[#This Row],[標準国内送料]],)</f>
        <v/>
      </c>
      <c r="T1094" s="289">
        <f>商品マスタ[[#This Row],[仕入
単価]]+商品マスタ[[#This Row],[国内送料]]</f>
        <v/>
      </c>
      <c r="U1094" s="289">
        <f>ROUNDUP(商品マスタ[[#This Row],[仕入単価+国内送料]]/0.8,-1)</f>
        <v/>
      </c>
      <c r="V1094" s="289">
        <f>商品マスタ[[#This Row],[海外定価
（20％）]]-商品マスタ[[#This Row],[仕入単価+国内送料]]</f>
        <v/>
      </c>
      <c r="W1094" s="167">
        <f>ROUNDUP(商品マスタ[[#This Row],[仕入単価+国内送料]]/0.85,-1)</f>
        <v/>
      </c>
      <c r="X1094" s="289">
        <f>商品マスタ[[#This Row],[国内定価
（15％）]]-商品マスタ[[#This Row],[仕入単価+国内送料]]</f>
        <v/>
      </c>
      <c r="Y1094" s="139" t="n"/>
      <c r="Z1094" s="167" t="n"/>
      <c r="AA1094" s="167" t="n"/>
      <c r="AB1094" s="167" t="n"/>
      <c r="AC1094" s="293" t="n"/>
      <c r="AD1094" s="167" t="n"/>
      <c r="AE1094" s="167" t="n"/>
      <c r="AF1094" s="158" t="n"/>
      <c r="AG1094" s="144" t="n"/>
    </row>
    <row r="1095" ht="15.75" customHeight="1" s="207">
      <c r="A1095" s="166" t="n"/>
      <c r="B1095" s="167" t="n"/>
      <c r="C1095" s="167" t="n"/>
      <c r="D1095" s="143">
        <f>"PRD_SNJ_"&amp;
_xlfn.XLOOKUP(商品マスタ[[#This Row],[仕入先]],テーブル1[仕入先名],テーブル1[仕入先コード],"XXX",0,1)&amp;
"_"&amp;
商品マスタ[[#This Row],[シリアル]]&amp;
"_"&amp;
TEXT(COUNTIFS(商品マスタ!$C$3:C1095,商品マスタ[[#This Row],[仕入先]],商品マスタ!$E$3:E1095,商品マスタ[[#This Row],[商品名]]), "00")</f>
        <v/>
      </c>
      <c r="E1095" s="167" t="n"/>
      <c r="F1095" s="167">
        <f>IF(COUNTIFS($C$3:C1095,商品マスタ[[#This Row],[仕入先]],$E$3:E1095,商品マスタ[[#This Row],[商品名]]) = 1, 1,0)</f>
        <v/>
      </c>
      <c r="G1095" s="133">
        <f>TEXT(SUMIF($C$3:C1095,商品マスタ[[#This Row],[仕入先]],$F$3:F1095), "0000")</f>
        <v/>
      </c>
      <c r="H1095" s="167" t="n"/>
      <c r="I1095" s="167" t="n"/>
      <c r="J1095" s="167" t="n"/>
      <c r="K1095" s="167" t="n"/>
      <c r="L1095" s="289" t="n"/>
      <c r="M1095" s="157" t="n"/>
      <c r="N1095" s="289" t="n"/>
      <c r="O1095" s="290">
        <f>IF(COUNT(商品マスタ[[#This Row],[参考上代
（税込)]]) &gt; 0, (商品マスタ[[#This Row],[参考上代
（税込)]]-商品マスタ[[#This Row],[国内定価
（15％）]])/(商品マスタ[[#This Row],[参考上代
（税込)]]/1.08), "")</f>
        <v/>
      </c>
      <c r="P1095" s="136" t="n">
        <v>0.1</v>
      </c>
      <c r="Q1095" s="289">
        <f>商品マスタ[[#This Row],[仕入
単価]]*商品マスタ[[#This Row],[標準国内送料率]]</f>
        <v/>
      </c>
      <c r="R1095" s="289" t="n"/>
      <c r="S1095" s="289">
        <f>IF(ISBLANK(商品マスタ[[#This Row],[実績
国内送料]]),商品マスタ[[#This Row],[標準国内送料]],)</f>
        <v/>
      </c>
      <c r="T1095" s="289">
        <f>商品マスタ[[#This Row],[仕入
単価]]+商品マスタ[[#This Row],[国内送料]]</f>
        <v/>
      </c>
      <c r="U1095" s="289">
        <f>ROUNDUP(商品マスタ[[#This Row],[仕入単価+国内送料]]/0.8,-1)</f>
        <v/>
      </c>
      <c r="V1095" s="289">
        <f>商品マスタ[[#This Row],[海外定価
（20％）]]-商品マスタ[[#This Row],[仕入単価+国内送料]]</f>
        <v/>
      </c>
      <c r="W1095" s="167">
        <f>ROUNDUP(商品マスタ[[#This Row],[仕入単価+国内送料]]/0.85,-1)</f>
        <v/>
      </c>
      <c r="X1095" s="289">
        <f>商品マスタ[[#This Row],[国内定価
（15％）]]-商品マスタ[[#This Row],[仕入単価+国内送料]]</f>
        <v/>
      </c>
      <c r="Y1095" s="139" t="n"/>
      <c r="Z1095" s="167" t="n"/>
      <c r="AA1095" s="167" t="n"/>
      <c r="AB1095" s="167" t="n"/>
      <c r="AC1095" s="293" t="n"/>
      <c r="AD1095" s="167" t="n"/>
      <c r="AE1095" s="167" t="n"/>
      <c r="AF1095" s="158" t="n"/>
      <c r="AG1095" s="144" t="n"/>
    </row>
    <row r="1096" ht="15.75" customHeight="1" s="207">
      <c r="A1096" s="166" t="n"/>
      <c r="B1096" s="167" t="n"/>
      <c r="C1096" s="167" t="n"/>
      <c r="D1096" s="143">
        <f>"PRD_SNJ_"&amp;
_xlfn.XLOOKUP(商品マスタ[[#This Row],[仕入先]],テーブル1[仕入先名],テーブル1[仕入先コード],"XXX",0,1)&amp;
"_"&amp;
商品マスタ[[#This Row],[シリアル]]&amp;
"_"&amp;
TEXT(COUNTIFS(商品マスタ!$C$3:C1096,商品マスタ[[#This Row],[仕入先]],商品マスタ!$E$3:E1096,商品マスタ[[#This Row],[商品名]]), "00")</f>
        <v/>
      </c>
      <c r="E1096" s="167" t="n"/>
      <c r="F1096" s="167">
        <f>IF(COUNTIFS($C$3:C1096,商品マスタ[[#This Row],[仕入先]],$E$3:E1096,商品マスタ[[#This Row],[商品名]]) = 1, 1,0)</f>
        <v/>
      </c>
      <c r="G1096" s="133">
        <f>TEXT(SUMIF($C$3:C1096,商品マスタ[[#This Row],[仕入先]],$F$3:F1096), "0000")</f>
        <v/>
      </c>
      <c r="H1096" s="167" t="n"/>
      <c r="I1096" s="167" t="n"/>
      <c r="J1096" s="167" t="n"/>
      <c r="K1096" s="167" t="n"/>
      <c r="L1096" s="289" t="n"/>
      <c r="M1096" s="157" t="n"/>
      <c r="N1096" s="289" t="n"/>
      <c r="O1096" s="290">
        <f>IF(COUNT(商品マスタ[[#This Row],[参考上代
（税込)]]) &gt; 0, (商品マスタ[[#This Row],[参考上代
（税込)]]-商品マスタ[[#This Row],[国内定価
（15％）]])/(商品マスタ[[#This Row],[参考上代
（税込)]]/1.08), "")</f>
        <v/>
      </c>
      <c r="P1096" s="136" t="n">
        <v>0.1</v>
      </c>
      <c r="Q1096" s="289">
        <f>商品マスタ[[#This Row],[仕入
単価]]*商品マスタ[[#This Row],[標準国内送料率]]</f>
        <v/>
      </c>
      <c r="R1096" s="289" t="n"/>
      <c r="S1096" s="289">
        <f>IF(ISBLANK(商品マスタ[[#This Row],[実績
国内送料]]),商品マスタ[[#This Row],[標準国内送料]],)</f>
        <v/>
      </c>
      <c r="T1096" s="289">
        <f>商品マスタ[[#This Row],[仕入
単価]]+商品マスタ[[#This Row],[国内送料]]</f>
        <v/>
      </c>
      <c r="U1096" s="289">
        <f>ROUNDUP(商品マスタ[[#This Row],[仕入単価+国内送料]]/0.8,-1)</f>
        <v/>
      </c>
      <c r="V1096" s="289">
        <f>商品マスタ[[#This Row],[海外定価
（20％）]]-商品マスタ[[#This Row],[仕入単価+国内送料]]</f>
        <v/>
      </c>
      <c r="W1096" s="167">
        <f>ROUNDUP(商品マスタ[[#This Row],[仕入単価+国内送料]]/0.85,-1)</f>
        <v/>
      </c>
      <c r="X1096" s="289">
        <f>商品マスタ[[#This Row],[国内定価
（15％）]]-商品マスタ[[#This Row],[仕入単価+国内送料]]</f>
        <v/>
      </c>
      <c r="Y1096" s="139" t="n"/>
      <c r="Z1096" s="167" t="n"/>
      <c r="AA1096" s="167" t="n"/>
      <c r="AB1096" s="167" t="n"/>
      <c r="AC1096" s="293" t="n"/>
      <c r="AD1096" s="167" t="n"/>
      <c r="AE1096" s="167" t="n"/>
      <c r="AF1096" s="158" t="n"/>
      <c r="AG1096" s="144" t="n"/>
    </row>
    <row r="1097" ht="15.75" customHeight="1" s="207">
      <c r="A1097" s="166" t="n"/>
      <c r="B1097" s="167" t="n"/>
      <c r="C1097" s="167" t="n"/>
      <c r="D1097" s="143">
        <f>"PRD_SNJ_"&amp;
_xlfn.XLOOKUP(商品マスタ[[#This Row],[仕入先]],テーブル1[仕入先名],テーブル1[仕入先コード],"XXX",0,1)&amp;
"_"&amp;
商品マスタ[[#This Row],[シリアル]]&amp;
"_"&amp;
TEXT(COUNTIFS(商品マスタ!$C$3:C1097,商品マスタ[[#This Row],[仕入先]],商品マスタ!$E$3:E1097,商品マスタ[[#This Row],[商品名]]), "00")</f>
        <v/>
      </c>
      <c r="E1097" s="167" t="n"/>
      <c r="F1097" s="167">
        <f>IF(COUNTIFS($C$3:C1097,商品マスタ[[#This Row],[仕入先]],$E$3:E1097,商品マスタ[[#This Row],[商品名]]) = 1, 1,0)</f>
        <v/>
      </c>
      <c r="G1097" s="133">
        <f>TEXT(SUMIF($C$3:C1097,商品マスタ[[#This Row],[仕入先]],$F$3:F1097), "0000")</f>
        <v/>
      </c>
      <c r="H1097" s="167" t="n"/>
      <c r="I1097" s="167" t="n"/>
      <c r="J1097" s="167" t="n"/>
      <c r="K1097" s="167" t="n"/>
      <c r="L1097" s="289" t="n"/>
      <c r="M1097" s="157" t="n"/>
      <c r="N1097" s="289" t="n"/>
      <c r="O1097" s="290">
        <f>IF(COUNT(商品マスタ[[#This Row],[参考上代
（税込)]]) &gt; 0, (商品マスタ[[#This Row],[参考上代
（税込)]]-商品マスタ[[#This Row],[国内定価
（15％）]])/(商品マスタ[[#This Row],[参考上代
（税込)]]/1.08), "")</f>
        <v/>
      </c>
      <c r="P1097" s="136" t="n">
        <v>0.1</v>
      </c>
      <c r="Q1097" s="289">
        <f>商品マスタ[[#This Row],[仕入
単価]]*商品マスタ[[#This Row],[標準国内送料率]]</f>
        <v/>
      </c>
      <c r="R1097" s="289" t="n"/>
      <c r="S1097" s="289">
        <f>IF(ISBLANK(商品マスタ[[#This Row],[実績
国内送料]]),商品マスタ[[#This Row],[標準国内送料]],)</f>
        <v/>
      </c>
      <c r="T1097" s="289">
        <f>商品マスタ[[#This Row],[仕入
単価]]+商品マスタ[[#This Row],[国内送料]]</f>
        <v/>
      </c>
      <c r="U1097" s="289">
        <f>ROUNDUP(商品マスタ[[#This Row],[仕入単価+国内送料]]/0.8,-1)</f>
        <v/>
      </c>
      <c r="V1097" s="289">
        <f>商品マスタ[[#This Row],[海外定価
（20％）]]-商品マスタ[[#This Row],[仕入単価+国内送料]]</f>
        <v/>
      </c>
      <c r="W1097" s="167">
        <f>ROUNDUP(商品マスタ[[#This Row],[仕入単価+国内送料]]/0.85,-1)</f>
        <v/>
      </c>
      <c r="X1097" s="289">
        <f>商品マスタ[[#This Row],[国内定価
（15％）]]-商品マスタ[[#This Row],[仕入単価+国内送料]]</f>
        <v/>
      </c>
      <c r="Y1097" s="139" t="n"/>
      <c r="Z1097" s="167" t="n"/>
      <c r="AA1097" s="167" t="n"/>
      <c r="AB1097" s="167" t="n"/>
      <c r="AC1097" s="293" t="n"/>
      <c r="AD1097" s="167" t="n"/>
      <c r="AE1097" s="167" t="n"/>
      <c r="AF1097" s="158" t="n"/>
      <c r="AG1097" s="144" t="n"/>
    </row>
    <row r="1098" ht="15.75" customHeight="1" s="207">
      <c r="A1098" s="166" t="n"/>
      <c r="B1098" s="167" t="n"/>
      <c r="C1098" s="167" t="n"/>
      <c r="D1098" s="143">
        <f>"PRD_SNJ_"&amp;
_xlfn.XLOOKUP(商品マスタ[[#This Row],[仕入先]],テーブル1[仕入先名],テーブル1[仕入先コード],"XXX",0,1)&amp;
"_"&amp;
商品マスタ[[#This Row],[シリアル]]&amp;
"_"&amp;
TEXT(COUNTIFS(商品マスタ!$C$3:C1098,商品マスタ[[#This Row],[仕入先]],商品マスタ!$E$3:E1098,商品マスタ[[#This Row],[商品名]]), "00")</f>
        <v/>
      </c>
      <c r="E1098" s="167" t="n"/>
      <c r="F1098" s="167">
        <f>IF(COUNTIFS($C$3:C1098,商品マスタ[[#This Row],[仕入先]],$E$3:E1098,商品マスタ[[#This Row],[商品名]]) = 1, 1,0)</f>
        <v/>
      </c>
      <c r="G1098" s="133">
        <f>TEXT(SUMIF($C$3:C1098,商品マスタ[[#This Row],[仕入先]],$F$3:F1098), "0000")</f>
        <v/>
      </c>
      <c r="H1098" s="167" t="n"/>
      <c r="I1098" s="167" t="n"/>
      <c r="J1098" s="167" t="n"/>
      <c r="K1098" s="167" t="n"/>
      <c r="L1098" s="289" t="n"/>
      <c r="M1098" s="157" t="n"/>
      <c r="N1098" s="289" t="n"/>
      <c r="O1098" s="290">
        <f>IF(COUNT(商品マスタ[[#This Row],[参考上代
（税込)]]) &gt; 0, (商品マスタ[[#This Row],[参考上代
（税込)]]-商品マスタ[[#This Row],[国内定価
（15％）]])/(商品マスタ[[#This Row],[参考上代
（税込)]]/1.08), "")</f>
        <v/>
      </c>
      <c r="P1098" s="136" t="n">
        <v>0.1</v>
      </c>
      <c r="Q1098" s="289">
        <f>商品マスタ[[#This Row],[仕入
単価]]*商品マスタ[[#This Row],[標準国内送料率]]</f>
        <v/>
      </c>
      <c r="R1098" s="289" t="n"/>
      <c r="S1098" s="289">
        <f>IF(ISBLANK(商品マスタ[[#This Row],[実績
国内送料]]),商品マスタ[[#This Row],[標準国内送料]],)</f>
        <v/>
      </c>
      <c r="T1098" s="289">
        <f>商品マスタ[[#This Row],[仕入
単価]]+商品マスタ[[#This Row],[国内送料]]</f>
        <v/>
      </c>
      <c r="U1098" s="289">
        <f>ROUNDUP(商品マスタ[[#This Row],[仕入単価+国内送料]]/0.8,-1)</f>
        <v/>
      </c>
      <c r="V1098" s="289">
        <f>商品マスタ[[#This Row],[海外定価
（20％）]]-商品マスタ[[#This Row],[仕入単価+国内送料]]</f>
        <v/>
      </c>
      <c r="W1098" s="167">
        <f>ROUNDUP(商品マスタ[[#This Row],[仕入単価+国内送料]]/0.85,-1)</f>
        <v/>
      </c>
      <c r="X1098" s="289">
        <f>商品マスタ[[#This Row],[国内定価
（15％）]]-商品マスタ[[#This Row],[仕入単価+国内送料]]</f>
        <v/>
      </c>
      <c r="Y1098" s="139" t="n"/>
      <c r="Z1098" s="167" t="n"/>
      <c r="AA1098" s="167" t="n"/>
      <c r="AB1098" s="167" t="n"/>
      <c r="AC1098" s="293" t="n"/>
      <c r="AD1098" s="167" t="n"/>
      <c r="AE1098" s="167" t="n"/>
      <c r="AF1098" s="158" t="n"/>
      <c r="AG1098" s="144" t="n"/>
    </row>
    <row r="1099" ht="15.75" customHeight="1" s="207">
      <c r="A1099" s="166" t="n"/>
      <c r="B1099" s="167" t="n"/>
      <c r="C1099" s="167" t="n"/>
      <c r="D1099" s="143">
        <f>"PRD_SNJ_"&amp;
_xlfn.XLOOKUP(商品マスタ[[#This Row],[仕入先]],テーブル1[仕入先名],テーブル1[仕入先コード],"XXX",0,1)&amp;
"_"&amp;
商品マスタ[[#This Row],[シリアル]]&amp;
"_"&amp;
TEXT(COUNTIFS(商品マスタ!$C$3:C1099,商品マスタ[[#This Row],[仕入先]],商品マスタ!$E$3:E1099,商品マスタ[[#This Row],[商品名]]), "00")</f>
        <v/>
      </c>
      <c r="E1099" s="167" t="n"/>
      <c r="F1099" s="167">
        <f>IF(COUNTIFS($C$3:C1099,商品マスタ[[#This Row],[仕入先]],$E$3:E1099,商品マスタ[[#This Row],[商品名]]) = 1, 1,0)</f>
        <v/>
      </c>
      <c r="G1099" s="133">
        <f>TEXT(SUMIF($C$3:C1099,商品マスタ[[#This Row],[仕入先]],$F$3:F1099), "0000")</f>
        <v/>
      </c>
      <c r="H1099" s="167" t="n"/>
      <c r="I1099" s="167" t="n"/>
      <c r="J1099" s="167" t="n"/>
      <c r="K1099" s="167" t="n"/>
      <c r="L1099" s="289" t="n"/>
      <c r="M1099" s="157" t="n"/>
      <c r="N1099" s="289" t="n"/>
      <c r="O1099" s="290">
        <f>IF(COUNT(商品マスタ[[#This Row],[参考上代
（税込)]]) &gt; 0, (商品マスタ[[#This Row],[参考上代
（税込)]]-商品マスタ[[#This Row],[国内定価
（15％）]])/(商品マスタ[[#This Row],[参考上代
（税込)]]/1.08), "")</f>
        <v/>
      </c>
      <c r="P1099" s="136" t="n">
        <v>0.1</v>
      </c>
      <c r="Q1099" s="289">
        <f>商品マスタ[[#This Row],[仕入
単価]]*商品マスタ[[#This Row],[標準国内送料率]]</f>
        <v/>
      </c>
      <c r="R1099" s="289" t="n"/>
      <c r="S1099" s="289">
        <f>IF(ISBLANK(商品マスタ[[#This Row],[実績
国内送料]]),商品マスタ[[#This Row],[標準国内送料]],)</f>
        <v/>
      </c>
      <c r="T1099" s="289">
        <f>商品マスタ[[#This Row],[仕入
単価]]+商品マスタ[[#This Row],[国内送料]]</f>
        <v/>
      </c>
      <c r="U1099" s="289">
        <f>ROUNDUP(商品マスタ[[#This Row],[仕入単価+国内送料]]/0.8,-1)</f>
        <v/>
      </c>
      <c r="V1099" s="289">
        <f>商品マスタ[[#This Row],[海外定価
（20％）]]-商品マスタ[[#This Row],[仕入単価+国内送料]]</f>
        <v/>
      </c>
      <c r="W1099" s="167">
        <f>ROUNDUP(商品マスタ[[#This Row],[仕入単価+国内送料]]/0.85,-1)</f>
        <v/>
      </c>
      <c r="X1099" s="289">
        <f>商品マスタ[[#This Row],[国内定価
（15％）]]-商品マスタ[[#This Row],[仕入単価+国内送料]]</f>
        <v/>
      </c>
      <c r="Y1099" s="139" t="n"/>
      <c r="Z1099" s="167" t="n"/>
      <c r="AA1099" s="167" t="n"/>
      <c r="AB1099" s="167" t="n"/>
      <c r="AC1099" s="293" t="n"/>
      <c r="AD1099" s="167" t="n"/>
      <c r="AE1099" s="167" t="n"/>
      <c r="AF1099" s="158" t="n"/>
      <c r="AG1099" s="144" t="n"/>
    </row>
    <row r="1100" ht="15.75" customHeight="1" s="207">
      <c r="A1100" s="166" t="n"/>
      <c r="B1100" s="167" t="n"/>
      <c r="C1100" s="167" t="n"/>
      <c r="D1100" s="143">
        <f>"PRD_SNJ_"&amp;
_xlfn.XLOOKUP(商品マスタ[[#This Row],[仕入先]],テーブル1[仕入先名],テーブル1[仕入先コード],"XXX",0,1)&amp;
"_"&amp;
商品マスタ[[#This Row],[シリアル]]&amp;
"_"&amp;
TEXT(COUNTIFS(商品マスタ!$C$3:C1100,商品マスタ[[#This Row],[仕入先]],商品マスタ!$E$3:E1100,商品マスタ[[#This Row],[商品名]]), "00")</f>
        <v/>
      </c>
      <c r="E1100" s="167" t="n"/>
      <c r="F1100" s="167">
        <f>IF(COUNTIFS($C$3:C1100,商品マスタ[[#This Row],[仕入先]],$E$3:E1100,商品マスタ[[#This Row],[商品名]]) = 1, 1,0)</f>
        <v/>
      </c>
      <c r="G1100" s="133">
        <f>TEXT(SUMIF($C$3:C1100,商品マスタ[[#This Row],[仕入先]],$F$3:F1100), "0000")</f>
        <v/>
      </c>
      <c r="H1100" s="167" t="n"/>
      <c r="I1100" s="167" t="n"/>
      <c r="J1100" s="167" t="n"/>
      <c r="K1100" s="167" t="n"/>
      <c r="L1100" s="289" t="n"/>
      <c r="M1100" s="157" t="n"/>
      <c r="N1100" s="289" t="n"/>
      <c r="O1100" s="290">
        <f>IF(COUNT(商品マスタ[[#This Row],[参考上代
（税込)]]) &gt; 0, (商品マスタ[[#This Row],[参考上代
（税込)]]-商品マスタ[[#This Row],[国内定価
（15％）]])/(商品マスタ[[#This Row],[参考上代
（税込)]]/1.08), "")</f>
        <v/>
      </c>
      <c r="P1100" s="136" t="n">
        <v>0.1</v>
      </c>
      <c r="Q1100" s="289">
        <f>商品マスタ[[#This Row],[仕入
単価]]*商品マスタ[[#This Row],[標準国内送料率]]</f>
        <v/>
      </c>
      <c r="R1100" s="289" t="n"/>
      <c r="S1100" s="289">
        <f>IF(ISBLANK(商品マスタ[[#This Row],[実績
国内送料]]),商品マスタ[[#This Row],[標準国内送料]],)</f>
        <v/>
      </c>
      <c r="T1100" s="289">
        <f>商品マスタ[[#This Row],[仕入
単価]]+商品マスタ[[#This Row],[国内送料]]</f>
        <v/>
      </c>
      <c r="U1100" s="289">
        <f>ROUNDUP(商品マスタ[[#This Row],[仕入単価+国内送料]]/0.8,-1)</f>
        <v/>
      </c>
      <c r="V1100" s="289">
        <f>商品マスタ[[#This Row],[海外定価
（20％）]]-商品マスタ[[#This Row],[仕入単価+国内送料]]</f>
        <v/>
      </c>
      <c r="W1100" s="167">
        <f>ROUNDUP(商品マスタ[[#This Row],[仕入単価+国内送料]]/0.85,-1)</f>
        <v/>
      </c>
      <c r="X1100" s="289">
        <f>商品マスタ[[#This Row],[国内定価
（15％）]]-商品マスタ[[#This Row],[仕入単価+国内送料]]</f>
        <v/>
      </c>
      <c r="Y1100" s="139" t="n"/>
      <c r="Z1100" s="167" t="n"/>
      <c r="AA1100" s="167" t="n"/>
      <c r="AB1100" s="167" t="n"/>
      <c r="AC1100" s="293" t="n"/>
      <c r="AD1100" s="167" t="n"/>
      <c r="AE1100" s="167" t="n"/>
      <c r="AF1100" s="158" t="n"/>
      <c r="AG1100" s="144" t="n"/>
    </row>
    <row r="1101" ht="15.75" customHeight="1" s="207">
      <c r="A1101" s="166" t="n"/>
      <c r="B1101" s="167" t="n"/>
      <c r="C1101" s="167" t="n"/>
      <c r="D1101" s="143">
        <f>"PRD_SNJ_"&amp;
_xlfn.XLOOKUP(商品マスタ[[#This Row],[仕入先]],テーブル1[仕入先名],テーブル1[仕入先コード],"XXX",0,1)&amp;
"_"&amp;
商品マスタ[[#This Row],[シリアル]]&amp;
"_"&amp;
TEXT(COUNTIFS(商品マスタ!$C$3:C1101,商品マスタ[[#This Row],[仕入先]],商品マスタ!$E$3:E1101,商品マスタ[[#This Row],[商品名]]), "00")</f>
        <v/>
      </c>
      <c r="E1101" s="167" t="n"/>
      <c r="F1101" s="167">
        <f>IF(COUNTIFS($C$3:C1101,商品マスタ[[#This Row],[仕入先]],$E$3:E1101,商品マスタ[[#This Row],[商品名]]) = 1, 1,0)</f>
        <v/>
      </c>
      <c r="G1101" s="133">
        <f>TEXT(SUMIF($C$3:C1101,商品マスタ[[#This Row],[仕入先]],$F$3:F1101), "0000")</f>
        <v/>
      </c>
      <c r="H1101" s="167" t="n"/>
      <c r="I1101" s="167" t="n"/>
      <c r="J1101" s="167" t="n"/>
      <c r="K1101" s="167" t="n"/>
      <c r="L1101" s="289" t="n"/>
      <c r="M1101" s="157" t="n"/>
      <c r="N1101" s="289" t="n"/>
      <c r="O1101" s="290">
        <f>IF(COUNT(商品マスタ[[#This Row],[参考上代
（税込)]]) &gt; 0, (商品マスタ[[#This Row],[参考上代
（税込)]]-商品マスタ[[#This Row],[国内定価
（15％）]])/(商品マスタ[[#This Row],[参考上代
（税込)]]/1.08), "")</f>
        <v/>
      </c>
      <c r="P1101" s="136" t="n">
        <v>0.1</v>
      </c>
      <c r="Q1101" s="289">
        <f>商品マスタ[[#This Row],[仕入
単価]]*商品マスタ[[#This Row],[標準国内送料率]]</f>
        <v/>
      </c>
      <c r="R1101" s="289" t="n"/>
      <c r="S1101" s="289">
        <f>IF(ISBLANK(商品マスタ[[#This Row],[実績
国内送料]]),商品マスタ[[#This Row],[標準国内送料]],)</f>
        <v/>
      </c>
      <c r="T1101" s="289">
        <f>商品マスタ[[#This Row],[仕入
単価]]+商品マスタ[[#This Row],[国内送料]]</f>
        <v/>
      </c>
      <c r="U1101" s="289">
        <f>ROUNDUP(商品マスタ[[#This Row],[仕入単価+国内送料]]/0.8,-1)</f>
        <v/>
      </c>
      <c r="V1101" s="289">
        <f>商品マスタ[[#This Row],[海外定価
（20％）]]-商品マスタ[[#This Row],[仕入単価+国内送料]]</f>
        <v/>
      </c>
      <c r="W1101" s="167">
        <f>ROUNDUP(商品マスタ[[#This Row],[仕入単価+国内送料]]/0.85,-1)</f>
        <v/>
      </c>
      <c r="X1101" s="289">
        <f>商品マスタ[[#This Row],[国内定価
（15％）]]-商品マスタ[[#This Row],[仕入単価+国内送料]]</f>
        <v/>
      </c>
      <c r="Y1101" s="139" t="n"/>
      <c r="Z1101" s="167" t="n"/>
      <c r="AA1101" s="167" t="n"/>
      <c r="AB1101" s="167" t="n"/>
      <c r="AC1101" s="293" t="n"/>
      <c r="AD1101" s="167" t="n"/>
      <c r="AE1101" s="167" t="n"/>
      <c r="AF1101" s="158" t="n"/>
      <c r="AG1101" s="144" t="n"/>
    </row>
    <row r="1102" ht="15.75" customHeight="1" s="207">
      <c r="A1102" s="166" t="n"/>
      <c r="B1102" s="167" t="n"/>
      <c r="C1102" s="167" t="n"/>
      <c r="D1102" s="143">
        <f>"PRD_SNJ_"&amp;
_xlfn.XLOOKUP(商品マスタ[[#This Row],[仕入先]],テーブル1[仕入先名],テーブル1[仕入先コード],"XXX",0,1)&amp;
"_"&amp;
商品マスタ[[#This Row],[シリアル]]&amp;
"_"&amp;
TEXT(COUNTIFS(商品マスタ!$C$3:C1102,商品マスタ[[#This Row],[仕入先]],商品マスタ!$E$3:E1102,商品マスタ[[#This Row],[商品名]]), "00")</f>
        <v/>
      </c>
      <c r="E1102" s="167" t="n"/>
      <c r="F1102" s="167">
        <f>IF(COUNTIFS($C$3:C1102,商品マスタ[[#This Row],[仕入先]],$E$3:E1102,商品マスタ[[#This Row],[商品名]]) = 1, 1,0)</f>
        <v/>
      </c>
      <c r="G1102" s="133">
        <f>TEXT(SUMIF($C$3:C1102,商品マスタ[[#This Row],[仕入先]],$F$3:F1102), "0000")</f>
        <v/>
      </c>
      <c r="H1102" s="167" t="n"/>
      <c r="I1102" s="167" t="n"/>
      <c r="J1102" s="167" t="n"/>
      <c r="K1102" s="167" t="n"/>
      <c r="L1102" s="289" t="n"/>
      <c r="M1102" s="157" t="n"/>
      <c r="N1102" s="289" t="n"/>
      <c r="O1102" s="290">
        <f>IF(COUNT(商品マスタ[[#This Row],[参考上代
（税込)]]) &gt; 0, (商品マスタ[[#This Row],[参考上代
（税込)]]-商品マスタ[[#This Row],[国内定価
（15％）]])/(商品マスタ[[#This Row],[参考上代
（税込)]]/1.08), "")</f>
        <v/>
      </c>
      <c r="P1102" s="136" t="n">
        <v>0.1</v>
      </c>
      <c r="Q1102" s="289">
        <f>商品マスタ[[#This Row],[仕入
単価]]*商品マスタ[[#This Row],[標準国内送料率]]</f>
        <v/>
      </c>
      <c r="R1102" s="289" t="n"/>
      <c r="S1102" s="289">
        <f>IF(ISBLANK(商品マスタ[[#This Row],[実績
国内送料]]),商品マスタ[[#This Row],[標準国内送料]],)</f>
        <v/>
      </c>
      <c r="T1102" s="289">
        <f>商品マスタ[[#This Row],[仕入
単価]]+商品マスタ[[#This Row],[国内送料]]</f>
        <v/>
      </c>
      <c r="U1102" s="289">
        <f>ROUNDUP(商品マスタ[[#This Row],[仕入単価+国内送料]]/0.8,-1)</f>
        <v/>
      </c>
      <c r="V1102" s="289">
        <f>商品マスタ[[#This Row],[海外定価
（20％）]]-商品マスタ[[#This Row],[仕入単価+国内送料]]</f>
        <v/>
      </c>
      <c r="W1102" s="167">
        <f>ROUNDUP(商品マスタ[[#This Row],[仕入単価+国内送料]]/0.85,-1)</f>
        <v/>
      </c>
      <c r="X1102" s="289">
        <f>商品マスタ[[#This Row],[国内定価
（15％）]]-商品マスタ[[#This Row],[仕入単価+国内送料]]</f>
        <v/>
      </c>
      <c r="Y1102" s="139" t="n"/>
      <c r="Z1102" s="167" t="n"/>
      <c r="AA1102" s="167" t="n"/>
      <c r="AB1102" s="167" t="n"/>
      <c r="AC1102" s="293" t="n"/>
      <c r="AD1102" s="167" t="n"/>
      <c r="AE1102" s="167" t="n"/>
      <c r="AF1102" s="158" t="n"/>
      <c r="AG1102" s="144" t="n"/>
    </row>
    <row r="1103" ht="15.75" customHeight="1" s="207">
      <c r="A1103" s="166" t="n"/>
      <c r="B1103" s="167" t="n"/>
      <c r="C1103" s="167" t="n"/>
      <c r="D1103" s="143">
        <f>"PRD_SNJ_"&amp;
_xlfn.XLOOKUP(商品マスタ[[#This Row],[仕入先]],テーブル1[仕入先名],テーブル1[仕入先コード],"XXX",0,1)&amp;
"_"&amp;
商品マスタ[[#This Row],[シリアル]]&amp;
"_"&amp;
TEXT(COUNTIFS(商品マスタ!$C$3:C1103,商品マスタ[[#This Row],[仕入先]],商品マスタ!$E$3:E1103,商品マスタ[[#This Row],[商品名]]), "00")</f>
        <v/>
      </c>
      <c r="E1103" s="167" t="n"/>
      <c r="F1103" s="167">
        <f>IF(COUNTIFS($C$3:C1103,商品マスタ[[#This Row],[仕入先]],$E$3:E1103,商品マスタ[[#This Row],[商品名]]) = 1, 1,0)</f>
        <v/>
      </c>
      <c r="G1103" s="133">
        <f>TEXT(SUMIF($C$3:C1103,商品マスタ[[#This Row],[仕入先]],$F$3:F1103), "0000")</f>
        <v/>
      </c>
      <c r="H1103" s="167" t="n"/>
      <c r="I1103" s="167" t="n"/>
      <c r="J1103" s="167" t="n"/>
      <c r="K1103" s="167" t="n"/>
      <c r="L1103" s="289" t="n"/>
      <c r="M1103" s="157" t="n"/>
      <c r="N1103" s="289" t="n"/>
      <c r="O1103" s="290">
        <f>IF(COUNT(商品マスタ[[#This Row],[参考上代
（税込)]]) &gt; 0, (商品マスタ[[#This Row],[参考上代
（税込)]]-商品マスタ[[#This Row],[国内定価
（15％）]])/(商品マスタ[[#This Row],[参考上代
（税込)]]/1.08), "")</f>
        <v/>
      </c>
      <c r="P1103" s="136" t="n">
        <v>0.1</v>
      </c>
      <c r="Q1103" s="289">
        <f>商品マスタ[[#This Row],[仕入
単価]]*商品マスタ[[#This Row],[標準国内送料率]]</f>
        <v/>
      </c>
      <c r="R1103" s="289" t="n"/>
      <c r="S1103" s="289">
        <f>IF(ISBLANK(商品マスタ[[#This Row],[実績
国内送料]]),商品マスタ[[#This Row],[標準国内送料]],)</f>
        <v/>
      </c>
      <c r="T1103" s="289">
        <f>商品マスタ[[#This Row],[仕入
単価]]+商品マスタ[[#This Row],[国内送料]]</f>
        <v/>
      </c>
      <c r="U1103" s="289">
        <f>ROUNDUP(商品マスタ[[#This Row],[仕入単価+国内送料]]/0.8,-1)</f>
        <v/>
      </c>
      <c r="V1103" s="289">
        <f>商品マスタ[[#This Row],[海外定価
（20％）]]-商品マスタ[[#This Row],[仕入単価+国内送料]]</f>
        <v/>
      </c>
      <c r="W1103" s="167">
        <f>ROUNDUP(商品マスタ[[#This Row],[仕入単価+国内送料]]/0.85,-1)</f>
        <v/>
      </c>
      <c r="X1103" s="289">
        <f>商品マスタ[[#This Row],[国内定価
（15％）]]-商品マスタ[[#This Row],[仕入単価+国内送料]]</f>
        <v/>
      </c>
      <c r="Y1103" s="139" t="n"/>
      <c r="Z1103" s="167" t="n"/>
      <c r="AA1103" s="167" t="n"/>
      <c r="AB1103" s="167" t="n"/>
      <c r="AC1103" s="293" t="n"/>
      <c r="AD1103" s="167" t="n"/>
      <c r="AE1103" s="167" t="n"/>
      <c r="AF1103" s="158" t="n"/>
      <c r="AG1103" s="144" t="n"/>
    </row>
    <row r="1104" ht="15.75" customHeight="1" s="207">
      <c r="A1104" s="166" t="n"/>
      <c r="B1104" s="167" t="n"/>
      <c r="C1104" s="167" t="n"/>
      <c r="D1104" s="143">
        <f>"PRD_SNJ_"&amp;
_xlfn.XLOOKUP(商品マスタ[[#This Row],[仕入先]],テーブル1[仕入先名],テーブル1[仕入先コード],"XXX",0,1)&amp;
"_"&amp;
商品マスタ[[#This Row],[シリアル]]&amp;
"_"&amp;
TEXT(COUNTIFS(商品マスタ!$C$3:C1104,商品マスタ[[#This Row],[仕入先]],商品マスタ!$E$3:E1104,商品マスタ[[#This Row],[商品名]]), "00")</f>
        <v/>
      </c>
      <c r="E1104" s="167" t="n"/>
      <c r="F1104" s="167">
        <f>IF(COUNTIFS($C$3:C1104,商品マスタ[[#This Row],[仕入先]],$E$3:E1104,商品マスタ[[#This Row],[商品名]]) = 1, 1,0)</f>
        <v/>
      </c>
      <c r="G1104" s="133">
        <f>TEXT(SUMIF($C$3:C1104,商品マスタ[[#This Row],[仕入先]],$F$3:F1104), "0000")</f>
        <v/>
      </c>
      <c r="H1104" s="167" t="n"/>
      <c r="I1104" s="167" t="n"/>
      <c r="J1104" s="167" t="n"/>
      <c r="K1104" s="167" t="n"/>
      <c r="L1104" s="289" t="n"/>
      <c r="M1104" s="157" t="n"/>
      <c r="N1104" s="289" t="n"/>
      <c r="O1104" s="290">
        <f>IF(COUNT(商品マスタ[[#This Row],[参考上代
（税込)]]) &gt; 0, (商品マスタ[[#This Row],[参考上代
（税込)]]-商品マスタ[[#This Row],[国内定価
（15％）]])/(商品マスタ[[#This Row],[参考上代
（税込)]]/1.08), "")</f>
        <v/>
      </c>
      <c r="P1104" s="136" t="n">
        <v>0.1</v>
      </c>
      <c r="Q1104" s="289">
        <f>商品マスタ[[#This Row],[仕入
単価]]*商品マスタ[[#This Row],[標準国内送料率]]</f>
        <v/>
      </c>
      <c r="R1104" s="289" t="n"/>
      <c r="S1104" s="289">
        <f>IF(ISBLANK(商品マスタ[[#This Row],[実績
国内送料]]),商品マスタ[[#This Row],[標準国内送料]],)</f>
        <v/>
      </c>
      <c r="T1104" s="289">
        <f>商品マスタ[[#This Row],[仕入
単価]]+商品マスタ[[#This Row],[国内送料]]</f>
        <v/>
      </c>
      <c r="U1104" s="289">
        <f>ROUNDUP(商品マスタ[[#This Row],[仕入単価+国内送料]]/0.8,-1)</f>
        <v/>
      </c>
      <c r="V1104" s="289">
        <f>商品マスタ[[#This Row],[海外定価
（20％）]]-商品マスタ[[#This Row],[仕入単価+国内送料]]</f>
        <v/>
      </c>
      <c r="W1104" s="167">
        <f>ROUNDUP(商品マスタ[[#This Row],[仕入単価+国内送料]]/0.85,-1)</f>
        <v/>
      </c>
      <c r="X1104" s="289">
        <f>商品マスタ[[#This Row],[国内定価
（15％）]]-商品マスタ[[#This Row],[仕入単価+国内送料]]</f>
        <v/>
      </c>
      <c r="Y1104" s="139" t="n"/>
      <c r="Z1104" s="167" t="n"/>
      <c r="AA1104" s="167" t="n"/>
      <c r="AB1104" s="167" t="n"/>
      <c r="AC1104" s="293" t="n"/>
      <c r="AD1104" s="167" t="n"/>
      <c r="AE1104" s="167" t="n"/>
      <c r="AF1104" s="158" t="n"/>
      <c r="AG1104" s="144" t="n"/>
    </row>
    <row r="1105" ht="15.75" customHeight="1" s="207">
      <c r="A1105" s="166" t="n"/>
      <c r="B1105" s="167" t="n"/>
      <c r="C1105" s="167" t="n"/>
      <c r="D1105" s="143">
        <f>"PRD_SNJ_"&amp;
_xlfn.XLOOKUP(商品マスタ[[#This Row],[仕入先]],テーブル1[仕入先名],テーブル1[仕入先コード],"XXX",0,1)&amp;
"_"&amp;
商品マスタ[[#This Row],[シリアル]]&amp;
"_"&amp;
TEXT(COUNTIFS(商品マスタ!$C$3:C1105,商品マスタ[[#This Row],[仕入先]],商品マスタ!$E$3:E1105,商品マスタ[[#This Row],[商品名]]), "00")</f>
        <v/>
      </c>
      <c r="E1105" s="167" t="n"/>
      <c r="F1105" s="167">
        <f>IF(COUNTIFS($C$3:C1105,商品マスタ[[#This Row],[仕入先]],$E$3:E1105,商品マスタ[[#This Row],[商品名]]) = 1, 1,0)</f>
        <v/>
      </c>
      <c r="G1105" s="133">
        <f>TEXT(SUMIF($C$3:C1105,商品マスタ[[#This Row],[仕入先]],$F$3:F1105), "0000")</f>
        <v/>
      </c>
      <c r="H1105" s="167" t="n"/>
      <c r="I1105" s="167" t="n"/>
      <c r="J1105" s="167" t="n"/>
      <c r="K1105" s="167" t="n"/>
      <c r="L1105" s="289" t="n"/>
      <c r="M1105" s="157" t="n"/>
      <c r="N1105" s="289" t="n"/>
      <c r="O1105" s="290">
        <f>IF(COUNT(商品マスタ[[#This Row],[参考上代
（税込)]]) &gt; 0, (商品マスタ[[#This Row],[参考上代
（税込)]]-商品マスタ[[#This Row],[国内定価
（15％）]])/(商品マスタ[[#This Row],[参考上代
（税込)]]/1.08), "")</f>
        <v/>
      </c>
      <c r="P1105" s="136" t="n">
        <v>0.1</v>
      </c>
      <c r="Q1105" s="289">
        <f>商品マスタ[[#This Row],[仕入
単価]]*商品マスタ[[#This Row],[標準国内送料率]]</f>
        <v/>
      </c>
      <c r="R1105" s="289" t="n"/>
      <c r="S1105" s="289">
        <f>IF(ISBLANK(商品マスタ[[#This Row],[実績
国内送料]]),商品マスタ[[#This Row],[標準国内送料]],)</f>
        <v/>
      </c>
      <c r="T1105" s="289">
        <f>商品マスタ[[#This Row],[仕入
単価]]+商品マスタ[[#This Row],[国内送料]]</f>
        <v/>
      </c>
      <c r="U1105" s="289">
        <f>ROUNDUP(商品マスタ[[#This Row],[仕入単価+国内送料]]/0.8,-1)</f>
        <v/>
      </c>
      <c r="V1105" s="289">
        <f>商品マスタ[[#This Row],[海外定価
（20％）]]-商品マスタ[[#This Row],[仕入単価+国内送料]]</f>
        <v/>
      </c>
      <c r="W1105" s="167">
        <f>ROUNDUP(商品マスタ[[#This Row],[仕入単価+国内送料]]/0.85,-1)</f>
        <v/>
      </c>
      <c r="X1105" s="289">
        <f>商品マスタ[[#This Row],[国内定価
（15％）]]-商品マスタ[[#This Row],[仕入単価+国内送料]]</f>
        <v/>
      </c>
      <c r="Y1105" s="139" t="n"/>
      <c r="Z1105" s="167" t="n"/>
      <c r="AA1105" s="167" t="n"/>
      <c r="AB1105" s="167" t="n"/>
      <c r="AC1105" s="293" t="n"/>
      <c r="AD1105" s="167" t="n"/>
      <c r="AE1105" s="167" t="n"/>
      <c r="AF1105" s="158" t="n"/>
      <c r="AG1105" s="144" t="n"/>
    </row>
    <row r="1106" ht="15.75" customHeight="1" s="207">
      <c r="A1106" s="166" t="n"/>
      <c r="B1106" s="167" t="n"/>
      <c r="C1106" s="167" t="n"/>
      <c r="D1106" s="143">
        <f>"PRD_SNJ_"&amp;
_xlfn.XLOOKUP(商品マスタ[[#This Row],[仕入先]],テーブル1[仕入先名],テーブル1[仕入先コード],"XXX",0,1)&amp;
"_"&amp;
商品マスタ[[#This Row],[シリアル]]&amp;
"_"&amp;
TEXT(COUNTIFS(商品マスタ!$C$3:C1106,商品マスタ[[#This Row],[仕入先]],商品マスタ!$E$3:E1106,商品マスタ[[#This Row],[商品名]]), "00")</f>
        <v/>
      </c>
      <c r="E1106" s="167" t="n"/>
      <c r="F1106" s="167">
        <f>IF(COUNTIFS($C$3:C1106,商品マスタ[[#This Row],[仕入先]],$E$3:E1106,商品マスタ[[#This Row],[商品名]]) = 1, 1,0)</f>
        <v/>
      </c>
      <c r="G1106" s="133">
        <f>TEXT(SUMIF($C$3:C1106,商品マスタ[[#This Row],[仕入先]],$F$3:F1106), "0000")</f>
        <v/>
      </c>
      <c r="H1106" s="167" t="n"/>
      <c r="I1106" s="167" t="n"/>
      <c r="J1106" s="167" t="n"/>
      <c r="K1106" s="167" t="n"/>
      <c r="L1106" s="289" t="n"/>
      <c r="M1106" s="157" t="n"/>
      <c r="N1106" s="289" t="n"/>
      <c r="O1106" s="290">
        <f>IF(COUNT(商品マスタ[[#This Row],[参考上代
（税込)]]) &gt; 0, (商品マスタ[[#This Row],[参考上代
（税込)]]-商品マスタ[[#This Row],[国内定価
（15％）]])/(商品マスタ[[#This Row],[参考上代
（税込)]]/1.08), "")</f>
        <v/>
      </c>
      <c r="P1106" s="136" t="n">
        <v>0.1</v>
      </c>
      <c r="Q1106" s="289">
        <f>商品マスタ[[#This Row],[仕入
単価]]*商品マスタ[[#This Row],[標準国内送料率]]</f>
        <v/>
      </c>
      <c r="R1106" s="289" t="n"/>
      <c r="S1106" s="289">
        <f>IF(ISBLANK(商品マスタ[[#This Row],[実績
国内送料]]),商品マスタ[[#This Row],[標準国内送料]],)</f>
        <v/>
      </c>
      <c r="T1106" s="289">
        <f>商品マスタ[[#This Row],[仕入
単価]]+商品マスタ[[#This Row],[国内送料]]</f>
        <v/>
      </c>
      <c r="U1106" s="289">
        <f>ROUNDUP(商品マスタ[[#This Row],[仕入単価+国内送料]]/0.8,-1)</f>
        <v/>
      </c>
      <c r="V1106" s="289">
        <f>商品マスタ[[#This Row],[海外定価
（20％）]]-商品マスタ[[#This Row],[仕入単価+国内送料]]</f>
        <v/>
      </c>
      <c r="W1106" s="167">
        <f>ROUNDUP(商品マスタ[[#This Row],[仕入単価+国内送料]]/0.85,-1)</f>
        <v/>
      </c>
      <c r="X1106" s="289">
        <f>商品マスタ[[#This Row],[国内定価
（15％）]]-商品マスタ[[#This Row],[仕入単価+国内送料]]</f>
        <v/>
      </c>
      <c r="Y1106" s="139" t="n"/>
      <c r="Z1106" s="167" t="n"/>
      <c r="AA1106" s="167" t="n"/>
      <c r="AB1106" s="167" t="n"/>
      <c r="AC1106" s="293" t="n"/>
      <c r="AD1106" s="167" t="n"/>
      <c r="AE1106" s="167" t="n"/>
      <c r="AF1106" s="158" t="n"/>
      <c r="AG1106" s="144" t="n"/>
    </row>
    <row r="1107" ht="15.75" customHeight="1" s="207">
      <c r="A1107" s="166" t="n"/>
      <c r="B1107" s="167" t="n"/>
      <c r="C1107" s="167" t="n"/>
      <c r="D1107" s="143">
        <f>"PRD_SNJ_"&amp;
_xlfn.XLOOKUP(商品マスタ[[#This Row],[仕入先]],テーブル1[仕入先名],テーブル1[仕入先コード],"XXX",0,1)&amp;
"_"&amp;
商品マスタ[[#This Row],[シリアル]]&amp;
"_"&amp;
TEXT(COUNTIFS(商品マスタ!$C$3:C1107,商品マスタ[[#This Row],[仕入先]],商品マスタ!$E$3:E1107,商品マスタ[[#This Row],[商品名]]), "00")</f>
        <v/>
      </c>
      <c r="E1107" s="167" t="n"/>
      <c r="F1107" s="167">
        <f>IF(COUNTIFS($C$3:C1107,商品マスタ[[#This Row],[仕入先]],$E$3:E1107,商品マスタ[[#This Row],[商品名]]) = 1, 1,0)</f>
        <v/>
      </c>
      <c r="G1107" s="133">
        <f>TEXT(SUMIF($C$3:C1107,商品マスタ[[#This Row],[仕入先]],$F$3:F1107), "0000")</f>
        <v/>
      </c>
      <c r="H1107" s="167" t="n"/>
      <c r="I1107" s="167" t="n"/>
      <c r="J1107" s="167" t="n"/>
      <c r="K1107" s="167" t="n"/>
      <c r="L1107" s="289" t="n"/>
      <c r="M1107" s="157" t="n"/>
      <c r="N1107" s="289" t="n"/>
      <c r="O1107" s="290">
        <f>IF(COUNT(商品マスタ[[#This Row],[参考上代
（税込)]]) &gt; 0, (商品マスタ[[#This Row],[参考上代
（税込)]]-商品マスタ[[#This Row],[国内定価
（15％）]])/(商品マスタ[[#This Row],[参考上代
（税込)]]/1.08), "")</f>
        <v/>
      </c>
      <c r="P1107" s="136" t="n">
        <v>0.1</v>
      </c>
      <c r="Q1107" s="289">
        <f>商品マスタ[[#This Row],[仕入
単価]]*商品マスタ[[#This Row],[標準国内送料率]]</f>
        <v/>
      </c>
      <c r="R1107" s="289" t="n"/>
      <c r="S1107" s="289">
        <f>IF(ISBLANK(商品マスタ[[#This Row],[実績
国内送料]]),商品マスタ[[#This Row],[標準国内送料]],)</f>
        <v/>
      </c>
      <c r="T1107" s="289">
        <f>商品マスタ[[#This Row],[仕入
単価]]+商品マスタ[[#This Row],[国内送料]]</f>
        <v/>
      </c>
      <c r="U1107" s="289">
        <f>ROUNDUP(商品マスタ[[#This Row],[仕入単価+国内送料]]/0.8,-1)</f>
        <v/>
      </c>
      <c r="V1107" s="289">
        <f>商品マスタ[[#This Row],[海外定価
（20％）]]-商品マスタ[[#This Row],[仕入単価+国内送料]]</f>
        <v/>
      </c>
      <c r="W1107" s="167">
        <f>ROUNDUP(商品マスタ[[#This Row],[仕入単価+国内送料]]/0.85,-1)</f>
        <v/>
      </c>
      <c r="X1107" s="289">
        <f>商品マスタ[[#This Row],[国内定価
（15％）]]-商品マスタ[[#This Row],[仕入単価+国内送料]]</f>
        <v/>
      </c>
      <c r="Y1107" s="139" t="n"/>
      <c r="Z1107" s="167" t="n"/>
      <c r="AA1107" s="167" t="n"/>
      <c r="AB1107" s="167" t="n"/>
      <c r="AC1107" s="293" t="n"/>
      <c r="AD1107" s="167" t="n"/>
      <c r="AE1107" s="167" t="n"/>
      <c r="AF1107" s="158" t="n"/>
      <c r="AG1107" s="144" t="n"/>
    </row>
    <row r="1108" ht="15.75" customHeight="1" s="207">
      <c r="A1108" s="166" t="n"/>
      <c r="B1108" s="167" t="n"/>
      <c r="C1108" s="167" t="n"/>
      <c r="D1108" s="143">
        <f>"PRD_SNJ_"&amp;
_xlfn.XLOOKUP(商品マスタ[[#This Row],[仕入先]],テーブル1[仕入先名],テーブル1[仕入先コード],"XXX",0,1)&amp;
"_"&amp;
商品マスタ[[#This Row],[シリアル]]&amp;
"_"&amp;
TEXT(COUNTIFS(商品マスタ!$C$3:C1108,商品マスタ[[#This Row],[仕入先]],商品マスタ!$E$3:E1108,商品マスタ[[#This Row],[商品名]]), "00")</f>
        <v/>
      </c>
      <c r="E1108" s="167" t="n"/>
      <c r="F1108" s="167">
        <f>IF(COUNTIFS($C$3:C1108,商品マスタ[[#This Row],[仕入先]],$E$3:E1108,商品マスタ[[#This Row],[商品名]]) = 1, 1,0)</f>
        <v/>
      </c>
      <c r="G1108" s="133">
        <f>TEXT(SUMIF($C$3:C1108,商品マスタ[[#This Row],[仕入先]],$F$3:F1108), "0000")</f>
        <v/>
      </c>
      <c r="H1108" s="167" t="n"/>
      <c r="I1108" s="167" t="n"/>
      <c r="J1108" s="167" t="n"/>
      <c r="K1108" s="167" t="n"/>
      <c r="L1108" s="289" t="n"/>
      <c r="M1108" s="157" t="n"/>
      <c r="N1108" s="289" t="n"/>
      <c r="O1108" s="290">
        <f>IF(COUNT(商品マスタ[[#This Row],[参考上代
（税込)]]) &gt; 0, (商品マスタ[[#This Row],[参考上代
（税込)]]-商品マスタ[[#This Row],[国内定価
（15％）]])/(商品マスタ[[#This Row],[参考上代
（税込)]]/1.08), "")</f>
        <v/>
      </c>
      <c r="P1108" s="136" t="n">
        <v>0.1</v>
      </c>
      <c r="Q1108" s="289">
        <f>商品マスタ[[#This Row],[仕入
単価]]*商品マスタ[[#This Row],[標準国内送料率]]</f>
        <v/>
      </c>
      <c r="R1108" s="289" t="n"/>
      <c r="S1108" s="289">
        <f>IF(ISBLANK(商品マスタ[[#This Row],[実績
国内送料]]),商品マスタ[[#This Row],[標準国内送料]],)</f>
        <v/>
      </c>
      <c r="T1108" s="289">
        <f>商品マスタ[[#This Row],[仕入
単価]]+商品マスタ[[#This Row],[国内送料]]</f>
        <v/>
      </c>
      <c r="U1108" s="289">
        <f>ROUNDUP(商品マスタ[[#This Row],[仕入単価+国内送料]]/0.8,-1)</f>
        <v/>
      </c>
      <c r="V1108" s="289">
        <f>商品マスタ[[#This Row],[海外定価
（20％）]]-商品マスタ[[#This Row],[仕入単価+国内送料]]</f>
        <v/>
      </c>
      <c r="W1108" s="167">
        <f>ROUNDUP(商品マスタ[[#This Row],[仕入単価+国内送料]]/0.85,-1)</f>
        <v/>
      </c>
      <c r="X1108" s="289">
        <f>商品マスタ[[#This Row],[国内定価
（15％）]]-商品マスタ[[#This Row],[仕入単価+国内送料]]</f>
        <v/>
      </c>
      <c r="Y1108" s="139" t="n"/>
      <c r="Z1108" s="167" t="n"/>
      <c r="AA1108" s="167" t="n"/>
      <c r="AB1108" s="167" t="n"/>
      <c r="AC1108" s="293" t="n"/>
      <c r="AD1108" s="167" t="n"/>
      <c r="AE1108" s="167" t="n"/>
      <c r="AF1108" s="158" t="n"/>
      <c r="AG1108" s="144" t="n"/>
    </row>
    <row r="1109" ht="15.75" customHeight="1" s="207">
      <c r="A1109" s="166" t="n"/>
      <c r="B1109" s="167" t="n"/>
      <c r="C1109" s="167" t="n"/>
      <c r="D1109" s="143">
        <f>"PRD_SNJ_"&amp;
_xlfn.XLOOKUP(商品マスタ[[#This Row],[仕入先]],テーブル1[仕入先名],テーブル1[仕入先コード],"XXX",0,1)&amp;
"_"&amp;
商品マスタ[[#This Row],[シリアル]]&amp;
"_"&amp;
TEXT(COUNTIFS(商品マスタ!$C$3:C1109,商品マスタ[[#This Row],[仕入先]],商品マスタ!$E$3:E1109,商品マスタ[[#This Row],[商品名]]), "00")</f>
        <v/>
      </c>
      <c r="E1109" s="167" t="n"/>
      <c r="F1109" s="167">
        <f>IF(COUNTIFS($C$3:C1109,商品マスタ[[#This Row],[仕入先]],$E$3:E1109,商品マスタ[[#This Row],[商品名]]) = 1, 1,0)</f>
        <v/>
      </c>
      <c r="G1109" s="133">
        <f>TEXT(SUMIF($C$3:C1109,商品マスタ[[#This Row],[仕入先]],$F$3:F1109), "0000")</f>
        <v/>
      </c>
      <c r="H1109" s="167" t="n"/>
      <c r="I1109" s="167" t="n"/>
      <c r="J1109" s="167" t="n"/>
      <c r="K1109" s="167" t="n"/>
      <c r="L1109" s="289" t="n"/>
      <c r="M1109" s="157" t="n"/>
      <c r="N1109" s="289" t="n"/>
      <c r="O1109" s="290">
        <f>IF(COUNT(商品マスタ[[#This Row],[参考上代
（税込)]]) &gt; 0, (商品マスタ[[#This Row],[参考上代
（税込)]]-商品マスタ[[#This Row],[国内定価
（15％）]])/(商品マスタ[[#This Row],[参考上代
（税込)]]/1.08), "")</f>
        <v/>
      </c>
      <c r="P1109" s="136" t="n">
        <v>0.1</v>
      </c>
      <c r="Q1109" s="289">
        <f>商品マスタ[[#This Row],[仕入
単価]]*商品マスタ[[#This Row],[標準国内送料率]]</f>
        <v/>
      </c>
      <c r="R1109" s="289" t="n"/>
      <c r="S1109" s="289">
        <f>IF(ISBLANK(商品マスタ[[#This Row],[実績
国内送料]]),商品マスタ[[#This Row],[標準国内送料]],)</f>
        <v/>
      </c>
      <c r="T1109" s="289">
        <f>商品マスタ[[#This Row],[仕入
単価]]+商品マスタ[[#This Row],[国内送料]]</f>
        <v/>
      </c>
      <c r="U1109" s="289">
        <f>ROUNDUP(商品マスタ[[#This Row],[仕入単価+国内送料]]/0.8,-1)</f>
        <v/>
      </c>
      <c r="V1109" s="289">
        <f>商品マスタ[[#This Row],[海外定価
（20％）]]-商品マスタ[[#This Row],[仕入単価+国内送料]]</f>
        <v/>
      </c>
      <c r="W1109" s="167">
        <f>ROUNDUP(商品マスタ[[#This Row],[仕入単価+国内送料]]/0.85,-1)</f>
        <v/>
      </c>
      <c r="X1109" s="289">
        <f>商品マスタ[[#This Row],[国内定価
（15％）]]-商品マスタ[[#This Row],[仕入単価+国内送料]]</f>
        <v/>
      </c>
      <c r="Y1109" s="139" t="n"/>
      <c r="Z1109" s="167" t="n"/>
      <c r="AA1109" s="167" t="n"/>
      <c r="AB1109" s="167" t="n"/>
      <c r="AC1109" s="293" t="n"/>
      <c r="AD1109" s="167" t="n"/>
      <c r="AE1109" s="167" t="n"/>
      <c r="AF1109" s="158" t="n"/>
      <c r="AG1109" s="144" t="n"/>
    </row>
    <row r="1110" ht="15.75" customHeight="1" s="207">
      <c r="A1110" s="166" t="n"/>
      <c r="B1110" s="167" t="n"/>
      <c r="C1110" s="167" t="n"/>
      <c r="D1110" s="143">
        <f>"PRD_SNJ_"&amp;
_xlfn.XLOOKUP(商品マスタ[[#This Row],[仕入先]],テーブル1[仕入先名],テーブル1[仕入先コード],"XXX",0,1)&amp;
"_"&amp;
商品マスタ[[#This Row],[シリアル]]&amp;
"_"&amp;
TEXT(COUNTIFS(商品マスタ!$C$3:C1110,商品マスタ[[#This Row],[仕入先]],商品マスタ!$E$3:E1110,商品マスタ[[#This Row],[商品名]]), "00")</f>
        <v/>
      </c>
      <c r="E1110" s="167" t="n"/>
      <c r="F1110" s="167">
        <f>IF(COUNTIFS($C$3:C1110,商品マスタ[[#This Row],[仕入先]],$E$3:E1110,商品マスタ[[#This Row],[商品名]]) = 1, 1,0)</f>
        <v/>
      </c>
      <c r="G1110" s="133">
        <f>TEXT(SUMIF($C$3:C1110,商品マスタ[[#This Row],[仕入先]],$F$3:F1110), "0000")</f>
        <v/>
      </c>
      <c r="H1110" s="167" t="n"/>
      <c r="I1110" s="167" t="n"/>
      <c r="J1110" s="167" t="n"/>
      <c r="K1110" s="167" t="n"/>
      <c r="L1110" s="289" t="n"/>
      <c r="M1110" s="157" t="n"/>
      <c r="N1110" s="289" t="n"/>
      <c r="O1110" s="290">
        <f>IF(COUNT(商品マスタ[[#This Row],[参考上代
（税込)]]) &gt; 0, (商品マスタ[[#This Row],[参考上代
（税込)]]-商品マスタ[[#This Row],[国内定価
（15％）]])/(商品マスタ[[#This Row],[参考上代
（税込)]]/1.08), "")</f>
        <v/>
      </c>
      <c r="P1110" s="136" t="n">
        <v>0.1</v>
      </c>
      <c r="Q1110" s="289">
        <f>商品マスタ[[#This Row],[仕入
単価]]*商品マスタ[[#This Row],[標準国内送料率]]</f>
        <v/>
      </c>
      <c r="R1110" s="289" t="n"/>
      <c r="S1110" s="289">
        <f>IF(ISBLANK(商品マスタ[[#This Row],[実績
国内送料]]),商品マスタ[[#This Row],[標準国内送料]],)</f>
        <v/>
      </c>
      <c r="T1110" s="289">
        <f>商品マスタ[[#This Row],[仕入
単価]]+商品マスタ[[#This Row],[国内送料]]</f>
        <v/>
      </c>
      <c r="U1110" s="289">
        <f>ROUNDUP(商品マスタ[[#This Row],[仕入単価+国内送料]]/0.8,-1)</f>
        <v/>
      </c>
      <c r="V1110" s="289">
        <f>商品マスタ[[#This Row],[海外定価
（20％）]]-商品マスタ[[#This Row],[仕入単価+国内送料]]</f>
        <v/>
      </c>
      <c r="W1110" s="167">
        <f>ROUNDUP(商品マスタ[[#This Row],[仕入単価+国内送料]]/0.85,-1)</f>
        <v/>
      </c>
      <c r="X1110" s="289">
        <f>商品マスタ[[#This Row],[国内定価
（15％）]]-商品マスタ[[#This Row],[仕入単価+国内送料]]</f>
        <v/>
      </c>
      <c r="Y1110" s="139" t="n"/>
      <c r="Z1110" s="167" t="n"/>
      <c r="AA1110" s="167" t="n"/>
      <c r="AB1110" s="167" t="n"/>
      <c r="AC1110" s="293" t="n"/>
      <c r="AD1110" s="167" t="n"/>
      <c r="AE1110" s="167" t="n"/>
      <c r="AF1110" s="158" t="n"/>
      <c r="AG1110" s="144" t="n"/>
    </row>
    <row r="1111" ht="15.75" customHeight="1" s="207">
      <c r="A1111" s="166" t="n"/>
      <c r="B1111" s="167" t="n"/>
      <c r="C1111" s="167" t="n"/>
      <c r="D1111" s="143">
        <f>"PRD_SNJ_"&amp;
_xlfn.XLOOKUP(商品マスタ[[#This Row],[仕入先]],テーブル1[仕入先名],テーブル1[仕入先コード],"XXX",0,1)&amp;
"_"&amp;
商品マスタ[[#This Row],[シリアル]]&amp;
"_"&amp;
TEXT(COUNTIFS(商品マスタ!$C$3:C1111,商品マスタ[[#This Row],[仕入先]],商品マスタ!$E$3:E1111,商品マスタ[[#This Row],[商品名]]), "00")</f>
        <v/>
      </c>
      <c r="E1111" s="167" t="n"/>
      <c r="F1111" s="167">
        <f>IF(COUNTIFS($C$3:C1111,商品マスタ[[#This Row],[仕入先]],$E$3:E1111,商品マスタ[[#This Row],[商品名]]) = 1, 1,0)</f>
        <v/>
      </c>
      <c r="G1111" s="133">
        <f>TEXT(SUMIF($C$3:C1111,商品マスタ[[#This Row],[仕入先]],$F$3:F1111), "0000")</f>
        <v/>
      </c>
      <c r="H1111" s="167" t="n"/>
      <c r="I1111" s="167" t="n"/>
      <c r="J1111" s="167" t="n"/>
      <c r="K1111" s="167" t="n"/>
      <c r="L1111" s="289" t="n"/>
      <c r="M1111" s="157" t="n"/>
      <c r="N1111" s="289" t="n"/>
      <c r="O1111" s="290">
        <f>IF(COUNT(商品マスタ[[#This Row],[参考上代
（税込)]]) &gt; 0, (商品マスタ[[#This Row],[参考上代
（税込)]]-商品マスタ[[#This Row],[国内定価
（15％）]])/(商品マスタ[[#This Row],[参考上代
（税込)]]/1.08), "")</f>
        <v/>
      </c>
      <c r="P1111" s="136" t="n">
        <v>0.1</v>
      </c>
      <c r="Q1111" s="289">
        <f>商品マスタ[[#This Row],[仕入
単価]]*商品マスタ[[#This Row],[標準国内送料率]]</f>
        <v/>
      </c>
      <c r="R1111" s="289" t="n"/>
      <c r="S1111" s="289">
        <f>IF(ISBLANK(商品マスタ[[#This Row],[実績
国内送料]]),商品マスタ[[#This Row],[標準国内送料]],)</f>
        <v/>
      </c>
      <c r="T1111" s="289">
        <f>商品マスタ[[#This Row],[仕入
単価]]+商品マスタ[[#This Row],[国内送料]]</f>
        <v/>
      </c>
      <c r="U1111" s="289">
        <f>ROUNDUP(商品マスタ[[#This Row],[仕入単価+国内送料]]/0.8,-1)</f>
        <v/>
      </c>
      <c r="V1111" s="289">
        <f>商品マスタ[[#This Row],[海外定価
（20％）]]-商品マスタ[[#This Row],[仕入単価+国内送料]]</f>
        <v/>
      </c>
      <c r="W1111" s="167">
        <f>ROUNDUP(商品マスタ[[#This Row],[仕入単価+国内送料]]/0.85,-1)</f>
        <v/>
      </c>
      <c r="X1111" s="289">
        <f>商品マスタ[[#This Row],[国内定価
（15％）]]-商品マスタ[[#This Row],[仕入単価+国内送料]]</f>
        <v/>
      </c>
      <c r="Y1111" s="139" t="n"/>
      <c r="Z1111" s="167" t="n"/>
      <c r="AA1111" s="167" t="n"/>
      <c r="AB1111" s="167" t="n"/>
      <c r="AC1111" s="293" t="n"/>
      <c r="AD1111" s="167" t="n"/>
      <c r="AE1111" s="167" t="n"/>
      <c r="AF1111" s="158" t="n"/>
      <c r="AG1111" s="144" t="n"/>
    </row>
    <row r="1112" ht="15.75" customHeight="1" s="207">
      <c r="A1112" s="166" t="n"/>
      <c r="B1112" s="167" t="n"/>
      <c r="C1112" s="167" t="n"/>
      <c r="D1112" s="143">
        <f>"PRD_SNJ_"&amp;
_xlfn.XLOOKUP(商品マスタ[[#This Row],[仕入先]],テーブル1[仕入先名],テーブル1[仕入先コード],"XXX",0,1)&amp;
"_"&amp;
商品マスタ[[#This Row],[シリアル]]&amp;
"_"&amp;
TEXT(COUNTIFS(商品マスタ!$C$3:C1112,商品マスタ[[#This Row],[仕入先]],商品マスタ!$E$3:E1112,商品マスタ[[#This Row],[商品名]]), "00")</f>
        <v/>
      </c>
      <c r="E1112" s="167" t="n"/>
      <c r="F1112" s="167">
        <f>IF(COUNTIFS($C$3:C1112,商品マスタ[[#This Row],[仕入先]],$E$3:E1112,商品マスタ[[#This Row],[商品名]]) = 1, 1,0)</f>
        <v/>
      </c>
      <c r="G1112" s="133">
        <f>TEXT(SUMIF($C$3:C1112,商品マスタ[[#This Row],[仕入先]],$F$3:F1112), "0000")</f>
        <v/>
      </c>
      <c r="H1112" s="167" t="n"/>
      <c r="I1112" s="167" t="n"/>
      <c r="J1112" s="167" t="n"/>
      <c r="K1112" s="167" t="n"/>
      <c r="L1112" s="289" t="n"/>
      <c r="M1112" s="157" t="n"/>
      <c r="N1112" s="289" t="n"/>
      <c r="O1112" s="290">
        <f>IF(COUNT(商品マスタ[[#This Row],[参考上代
（税込)]]) &gt; 0, (商品マスタ[[#This Row],[参考上代
（税込)]]-商品マスタ[[#This Row],[国内定価
（15％）]])/(商品マスタ[[#This Row],[参考上代
（税込)]]/1.08), "")</f>
        <v/>
      </c>
      <c r="P1112" s="136" t="n">
        <v>0.1</v>
      </c>
      <c r="Q1112" s="289">
        <f>商品マスタ[[#This Row],[仕入
単価]]*商品マスタ[[#This Row],[標準国内送料率]]</f>
        <v/>
      </c>
      <c r="R1112" s="289" t="n"/>
      <c r="S1112" s="289">
        <f>IF(ISBLANK(商品マスタ[[#This Row],[実績
国内送料]]),商品マスタ[[#This Row],[標準国内送料]],)</f>
        <v/>
      </c>
      <c r="T1112" s="289">
        <f>商品マスタ[[#This Row],[仕入
単価]]+商品マスタ[[#This Row],[国内送料]]</f>
        <v/>
      </c>
      <c r="U1112" s="289">
        <f>ROUNDUP(商品マスタ[[#This Row],[仕入単価+国内送料]]/0.8,-1)</f>
        <v/>
      </c>
      <c r="V1112" s="289">
        <f>商品マスタ[[#This Row],[海外定価
（20％）]]-商品マスタ[[#This Row],[仕入単価+国内送料]]</f>
        <v/>
      </c>
      <c r="W1112" s="167">
        <f>ROUNDUP(商品マスタ[[#This Row],[仕入単価+国内送料]]/0.85,-1)</f>
        <v/>
      </c>
      <c r="X1112" s="289">
        <f>商品マスタ[[#This Row],[国内定価
（15％）]]-商品マスタ[[#This Row],[仕入単価+国内送料]]</f>
        <v/>
      </c>
      <c r="Y1112" s="139" t="n"/>
      <c r="Z1112" s="167" t="n"/>
      <c r="AA1112" s="167" t="n"/>
      <c r="AB1112" s="167" t="n"/>
      <c r="AC1112" s="293" t="n"/>
      <c r="AD1112" s="167" t="n"/>
      <c r="AE1112" s="167" t="n"/>
      <c r="AF1112" s="158" t="n"/>
      <c r="AG1112" s="144" t="n"/>
    </row>
    <row r="1113" ht="15.75" customHeight="1" s="207">
      <c r="A1113" s="166" t="n"/>
      <c r="B1113" s="167" t="n"/>
      <c r="C1113" s="167" t="n"/>
      <c r="D1113" s="143">
        <f>"PRD_SNJ_"&amp;
_xlfn.XLOOKUP(商品マスタ[[#This Row],[仕入先]],テーブル1[仕入先名],テーブル1[仕入先コード],"XXX",0,1)&amp;
"_"&amp;
商品マスタ[[#This Row],[シリアル]]&amp;
"_"&amp;
TEXT(COUNTIFS(商品マスタ!$C$3:C1113,商品マスタ[[#This Row],[仕入先]],商品マスタ!$E$3:E1113,商品マスタ[[#This Row],[商品名]]), "00")</f>
        <v/>
      </c>
      <c r="E1113" s="167" t="n"/>
      <c r="F1113" s="167">
        <f>IF(COUNTIFS($C$3:C1113,商品マスタ[[#This Row],[仕入先]],$E$3:E1113,商品マスタ[[#This Row],[商品名]]) = 1, 1,0)</f>
        <v/>
      </c>
      <c r="G1113" s="133">
        <f>TEXT(SUMIF($C$3:C1113,商品マスタ[[#This Row],[仕入先]],$F$3:F1113), "0000")</f>
        <v/>
      </c>
      <c r="H1113" s="167" t="n"/>
      <c r="I1113" s="167" t="n"/>
      <c r="J1113" s="167" t="n"/>
      <c r="K1113" s="167" t="n"/>
      <c r="L1113" s="289" t="n"/>
      <c r="M1113" s="157" t="n"/>
      <c r="N1113" s="289" t="n"/>
      <c r="O1113" s="290">
        <f>IF(COUNT(商品マスタ[[#This Row],[参考上代
（税込)]]) &gt; 0, (商品マスタ[[#This Row],[参考上代
（税込)]]-商品マスタ[[#This Row],[国内定価
（15％）]])/(商品マスタ[[#This Row],[参考上代
（税込)]]/1.08), "")</f>
        <v/>
      </c>
      <c r="P1113" s="136" t="n">
        <v>0.1</v>
      </c>
      <c r="Q1113" s="289">
        <f>商品マスタ[[#This Row],[仕入
単価]]*商品マスタ[[#This Row],[標準国内送料率]]</f>
        <v/>
      </c>
      <c r="R1113" s="289" t="n"/>
      <c r="S1113" s="289">
        <f>IF(ISBLANK(商品マスタ[[#This Row],[実績
国内送料]]),商品マスタ[[#This Row],[標準国内送料]],)</f>
        <v/>
      </c>
      <c r="T1113" s="289">
        <f>商品マスタ[[#This Row],[仕入
単価]]+商品マスタ[[#This Row],[国内送料]]</f>
        <v/>
      </c>
      <c r="U1113" s="289">
        <f>ROUNDUP(商品マスタ[[#This Row],[仕入単価+国内送料]]/0.8,-1)</f>
        <v/>
      </c>
      <c r="V1113" s="289">
        <f>商品マスタ[[#This Row],[海外定価
（20％）]]-商品マスタ[[#This Row],[仕入単価+国内送料]]</f>
        <v/>
      </c>
      <c r="W1113" s="167">
        <f>ROUNDUP(商品マスタ[[#This Row],[仕入単価+国内送料]]/0.85,-1)</f>
        <v/>
      </c>
      <c r="X1113" s="289">
        <f>商品マスタ[[#This Row],[国内定価
（15％）]]-商品マスタ[[#This Row],[仕入単価+国内送料]]</f>
        <v/>
      </c>
      <c r="Y1113" s="139" t="n"/>
      <c r="Z1113" s="167" t="n"/>
      <c r="AA1113" s="167" t="n"/>
      <c r="AB1113" s="167" t="n"/>
      <c r="AC1113" s="293" t="n"/>
      <c r="AD1113" s="167" t="n"/>
      <c r="AE1113" s="167" t="n"/>
      <c r="AF1113" s="158" t="n"/>
      <c r="AG1113" s="144" t="n"/>
    </row>
    <row r="1114" ht="15.75" customHeight="1" s="207">
      <c r="A1114" s="166" t="n"/>
      <c r="B1114" s="167" t="n"/>
      <c r="C1114" s="167" t="n"/>
      <c r="D1114" s="143">
        <f>"PRD_SNJ_"&amp;
_xlfn.XLOOKUP(商品マスタ[[#This Row],[仕入先]],テーブル1[仕入先名],テーブル1[仕入先コード],"XXX",0,1)&amp;
"_"&amp;
商品マスタ[[#This Row],[シリアル]]&amp;
"_"&amp;
TEXT(COUNTIFS(商品マスタ!$C$3:C1114,商品マスタ[[#This Row],[仕入先]],商品マスタ!$E$3:E1114,商品マスタ[[#This Row],[商品名]]), "00")</f>
        <v/>
      </c>
      <c r="E1114" s="167" t="n"/>
      <c r="F1114" s="167">
        <f>IF(COUNTIFS($C$3:C1114,商品マスタ[[#This Row],[仕入先]],$E$3:E1114,商品マスタ[[#This Row],[商品名]]) = 1, 1,0)</f>
        <v/>
      </c>
      <c r="G1114" s="133">
        <f>TEXT(SUMIF($C$3:C1114,商品マスタ[[#This Row],[仕入先]],$F$3:F1114), "0000")</f>
        <v/>
      </c>
      <c r="H1114" s="167" t="n"/>
      <c r="I1114" s="167" t="n"/>
      <c r="J1114" s="167" t="n"/>
      <c r="K1114" s="167" t="n"/>
      <c r="L1114" s="289" t="n"/>
      <c r="M1114" s="157" t="n"/>
      <c r="N1114" s="289" t="n"/>
      <c r="O1114" s="290">
        <f>IF(COUNT(商品マスタ[[#This Row],[参考上代
（税込)]]) &gt; 0, (商品マスタ[[#This Row],[参考上代
（税込)]]-商品マスタ[[#This Row],[国内定価
（15％）]])/(商品マスタ[[#This Row],[参考上代
（税込)]]/1.08), "")</f>
        <v/>
      </c>
      <c r="P1114" s="136" t="n">
        <v>0.1</v>
      </c>
      <c r="Q1114" s="289">
        <f>商品マスタ[[#This Row],[仕入
単価]]*商品マスタ[[#This Row],[標準国内送料率]]</f>
        <v/>
      </c>
      <c r="R1114" s="289" t="n"/>
      <c r="S1114" s="289">
        <f>IF(ISBLANK(商品マスタ[[#This Row],[実績
国内送料]]),商品マスタ[[#This Row],[標準国内送料]],)</f>
        <v/>
      </c>
      <c r="T1114" s="289">
        <f>商品マスタ[[#This Row],[仕入
単価]]+商品マスタ[[#This Row],[国内送料]]</f>
        <v/>
      </c>
      <c r="U1114" s="289">
        <f>ROUNDUP(商品マスタ[[#This Row],[仕入単価+国内送料]]/0.8,-1)</f>
        <v/>
      </c>
      <c r="V1114" s="289">
        <f>商品マスタ[[#This Row],[海外定価
（20％）]]-商品マスタ[[#This Row],[仕入単価+国内送料]]</f>
        <v/>
      </c>
      <c r="W1114" s="167">
        <f>ROUNDUP(商品マスタ[[#This Row],[仕入単価+国内送料]]/0.85,-1)</f>
        <v/>
      </c>
      <c r="X1114" s="289">
        <f>商品マスタ[[#This Row],[国内定価
（15％）]]-商品マスタ[[#This Row],[仕入単価+国内送料]]</f>
        <v/>
      </c>
      <c r="Y1114" s="139" t="n"/>
      <c r="Z1114" s="167" t="n"/>
      <c r="AA1114" s="167" t="n"/>
      <c r="AB1114" s="167" t="n"/>
      <c r="AC1114" s="293" t="n"/>
      <c r="AD1114" s="167" t="n"/>
      <c r="AE1114" s="167" t="n"/>
      <c r="AF1114" s="158" t="n"/>
      <c r="AG1114" s="144" t="n"/>
    </row>
    <row r="1115" ht="15.75" customHeight="1" s="207">
      <c r="A1115" s="166" t="n"/>
      <c r="B1115" s="167" t="n"/>
      <c r="C1115" s="167" t="n"/>
      <c r="D1115" s="143">
        <f>"PRD_SNJ_"&amp;
_xlfn.XLOOKUP(商品マスタ[[#This Row],[仕入先]],テーブル1[仕入先名],テーブル1[仕入先コード],"XXX",0,1)&amp;
"_"&amp;
商品マスタ[[#This Row],[シリアル]]&amp;
"_"&amp;
TEXT(COUNTIFS(商品マスタ!$C$3:C1115,商品マスタ[[#This Row],[仕入先]],商品マスタ!$E$3:E1115,商品マスタ[[#This Row],[商品名]]), "00")</f>
        <v/>
      </c>
      <c r="E1115" s="167" t="n"/>
      <c r="F1115" s="167">
        <f>IF(COUNTIFS($C$3:C1115,商品マスタ[[#This Row],[仕入先]],$E$3:E1115,商品マスタ[[#This Row],[商品名]]) = 1, 1,0)</f>
        <v/>
      </c>
      <c r="G1115" s="133">
        <f>TEXT(SUMIF($C$3:C1115,商品マスタ[[#This Row],[仕入先]],$F$3:F1115), "0000")</f>
        <v/>
      </c>
      <c r="H1115" s="167" t="n"/>
      <c r="I1115" s="167" t="n"/>
      <c r="J1115" s="167" t="n"/>
      <c r="K1115" s="167" t="n"/>
      <c r="L1115" s="289" t="n"/>
      <c r="M1115" s="157" t="n"/>
      <c r="N1115" s="289" t="n"/>
      <c r="O1115" s="290">
        <f>IF(COUNT(商品マスタ[[#This Row],[参考上代
（税込)]]) &gt; 0, (商品マスタ[[#This Row],[参考上代
（税込)]]-商品マスタ[[#This Row],[国内定価
（15％）]])/(商品マスタ[[#This Row],[参考上代
（税込)]]/1.08), "")</f>
        <v/>
      </c>
      <c r="P1115" s="136" t="n">
        <v>0.1</v>
      </c>
      <c r="Q1115" s="289">
        <f>商品マスタ[[#This Row],[仕入
単価]]*商品マスタ[[#This Row],[標準国内送料率]]</f>
        <v/>
      </c>
      <c r="R1115" s="289" t="n"/>
      <c r="S1115" s="289">
        <f>IF(ISBLANK(商品マスタ[[#This Row],[実績
国内送料]]),商品マスタ[[#This Row],[標準国内送料]],)</f>
        <v/>
      </c>
      <c r="T1115" s="289">
        <f>商品マスタ[[#This Row],[仕入
単価]]+商品マスタ[[#This Row],[国内送料]]</f>
        <v/>
      </c>
      <c r="U1115" s="289">
        <f>ROUNDUP(商品マスタ[[#This Row],[仕入単価+国内送料]]/0.8,-1)</f>
        <v/>
      </c>
      <c r="V1115" s="289">
        <f>商品マスタ[[#This Row],[海外定価
（20％）]]-商品マスタ[[#This Row],[仕入単価+国内送料]]</f>
        <v/>
      </c>
      <c r="W1115" s="167">
        <f>ROUNDUP(商品マスタ[[#This Row],[仕入単価+国内送料]]/0.85,-1)</f>
        <v/>
      </c>
      <c r="X1115" s="289">
        <f>商品マスタ[[#This Row],[国内定価
（15％）]]-商品マスタ[[#This Row],[仕入単価+国内送料]]</f>
        <v/>
      </c>
      <c r="Y1115" s="139" t="n"/>
      <c r="Z1115" s="167" t="n"/>
      <c r="AA1115" s="167" t="n"/>
      <c r="AB1115" s="167" t="n"/>
      <c r="AC1115" s="293" t="n"/>
      <c r="AD1115" s="167" t="n"/>
      <c r="AE1115" s="167" t="n"/>
      <c r="AF1115" s="158" t="n"/>
      <c r="AG1115" s="144" t="n"/>
    </row>
    <row r="1116" ht="15.75" customHeight="1" s="207">
      <c r="A1116" s="166" t="n"/>
      <c r="B1116" s="167" t="n"/>
      <c r="C1116" s="167" t="n"/>
      <c r="D1116" s="143">
        <f>"PRD_SNJ_"&amp;
_xlfn.XLOOKUP(商品マスタ[[#This Row],[仕入先]],テーブル1[仕入先名],テーブル1[仕入先コード],"XXX",0,1)&amp;
"_"&amp;
商品マスタ[[#This Row],[シリアル]]&amp;
"_"&amp;
TEXT(COUNTIFS(商品マスタ!$C$3:C1116,商品マスタ[[#This Row],[仕入先]],商品マスタ!$E$3:E1116,商品マスタ[[#This Row],[商品名]]), "00")</f>
        <v/>
      </c>
      <c r="E1116" s="167" t="n"/>
      <c r="F1116" s="167">
        <f>IF(COUNTIFS($C$3:C1116,商品マスタ[[#This Row],[仕入先]],$E$3:E1116,商品マスタ[[#This Row],[商品名]]) = 1, 1,0)</f>
        <v/>
      </c>
      <c r="G1116" s="133">
        <f>TEXT(SUMIF($C$3:C1116,商品マスタ[[#This Row],[仕入先]],$F$3:F1116), "0000")</f>
        <v/>
      </c>
      <c r="H1116" s="167" t="n"/>
      <c r="I1116" s="167" t="n"/>
      <c r="J1116" s="167" t="n"/>
      <c r="K1116" s="167" t="n"/>
      <c r="L1116" s="289" t="n"/>
      <c r="M1116" s="157" t="n"/>
      <c r="N1116" s="289" t="n"/>
      <c r="O1116" s="290">
        <f>IF(COUNT(商品マスタ[[#This Row],[参考上代
（税込)]]) &gt; 0, (商品マスタ[[#This Row],[参考上代
（税込)]]-商品マスタ[[#This Row],[国内定価
（15％）]])/(商品マスタ[[#This Row],[参考上代
（税込)]]/1.08), "")</f>
        <v/>
      </c>
      <c r="P1116" s="136" t="n">
        <v>0.1</v>
      </c>
      <c r="Q1116" s="289">
        <f>商品マスタ[[#This Row],[仕入
単価]]*商品マスタ[[#This Row],[標準国内送料率]]</f>
        <v/>
      </c>
      <c r="R1116" s="289" t="n"/>
      <c r="S1116" s="289">
        <f>IF(ISBLANK(商品マスタ[[#This Row],[実績
国内送料]]),商品マスタ[[#This Row],[標準国内送料]],)</f>
        <v/>
      </c>
      <c r="T1116" s="289">
        <f>商品マスタ[[#This Row],[仕入
単価]]+商品マスタ[[#This Row],[国内送料]]</f>
        <v/>
      </c>
      <c r="U1116" s="289">
        <f>ROUNDUP(商品マスタ[[#This Row],[仕入単価+国内送料]]/0.8,-1)</f>
        <v/>
      </c>
      <c r="V1116" s="289">
        <f>商品マスタ[[#This Row],[海外定価
（20％）]]-商品マスタ[[#This Row],[仕入単価+国内送料]]</f>
        <v/>
      </c>
      <c r="W1116" s="167">
        <f>ROUNDUP(商品マスタ[[#This Row],[仕入単価+国内送料]]/0.85,-1)</f>
        <v/>
      </c>
      <c r="X1116" s="289">
        <f>商品マスタ[[#This Row],[国内定価
（15％）]]-商品マスタ[[#This Row],[仕入単価+国内送料]]</f>
        <v/>
      </c>
      <c r="Y1116" s="139" t="n"/>
      <c r="Z1116" s="167" t="n"/>
      <c r="AA1116" s="167" t="n"/>
      <c r="AB1116" s="167" t="n"/>
      <c r="AC1116" s="293" t="n"/>
      <c r="AD1116" s="167" t="n"/>
      <c r="AE1116" s="167" t="n"/>
      <c r="AF1116" s="158" t="n"/>
      <c r="AG1116" s="144" t="n"/>
    </row>
    <row r="1117" ht="15.75" customHeight="1" s="207">
      <c r="A1117" s="166" t="n"/>
      <c r="B1117" s="167" t="n"/>
      <c r="C1117" s="167" t="n"/>
      <c r="D1117" s="143">
        <f>"PRD_SNJ_"&amp;
_xlfn.XLOOKUP(商品マスタ[[#This Row],[仕入先]],テーブル1[仕入先名],テーブル1[仕入先コード],"XXX",0,1)&amp;
"_"&amp;
商品マスタ[[#This Row],[シリアル]]&amp;
"_"&amp;
TEXT(COUNTIFS(商品マスタ!$C$3:C1117,商品マスタ[[#This Row],[仕入先]],商品マスタ!$E$3:E1117,商品マスタ[[#This Row],[商品名]]), "00")</f>
        <v/>
      </c>
      <c r="E1117" s="167" t="n"/>
      <c r="F1117" s="167">
        <f>IF(COUNTIFS($C$3:C1117,商品マスタ[[#This Row],[仕入先]],$E$3:E1117,商品マスタ[[#This Row],[商品名]]) = 1, 1,0)</f>
        <v/>
      </c>
      <c r="G1117" s="133">
        <f>TEXT(SUMIF($C$3:C1117,商品マスタ[[#This Row],[仕入先]],$F$3:F1117), "0000")</f>
        <v/>
      </c>
      <c r="H1117" s="167" t="n"/>
      <c r="I1117" s="167" t="n"/>
      <c r="J1117" s="167" t="n"/>
      <c r="K1117" s="167" t="n"/>
      <c r="L1117" s="289" t="n"/>
      <c r="M1117" s="157" t="n"/>
      <c r="N1117" s="289" t="n"/>
      <c r="O1117" s="290">
        <f>IF(COUNT(商品マスタ[[#This Row],[参考上代
（税込)]]) &gt; 0, (商品マスタ[[#This Row],[参考上代
（税込)]]-商品マスタ[[#This Row],[国内定価
（15％）]])/(商品マスタ[[#This Row],[参考上代
（税込)]]/1.08), "")</f>
        <v/>
      </c>
      <c r="P1117" s="136" t="n">
        <v>0.1</v>
      </c>
      <c r="Q1117" s="289">
        <f>商品マスタ[[#This Row],[仕入
単価]]*商品マスタ[[#This Row],[標準国内送料率]]</f>
        <v/>
      </c>
      <c r="R1117" s="289" t="n"/>
      <c r="S1117" s="289">
        <f>IF(ISBLANK(商品マスタ[[#This Row],[実績
国内送料]]),商品マスタ[[#This Row],[標準国内送料]],)</f>
        <v/>
      </c>
      <c r="T1117" s="289">
        <f>商品マスタ[[#This Row],[仕入
単価]]+商品マスタ[[#This Row],[国内送料]]</f>
        <v/>
      </c>
      <c r="U1117" s="289">
        <f>ROUNDUP(商品マスタ[[#This Row],[仕入単価+国内送料]]/0.8,-1)</f>
        <v/>
      </c>
      <c r="V1117" s="289">
        <f>商品マスタ[[#This Row],[海外定価
（20％）]]-商品マスタ[[#This Row],[仕入単価+国内送料]]</f>
        <v/>
      </c>
      <c r="W1117" s="167">
        <f>ROUNDUP(商品マスタ[[#This Row],[仕入単価+国内送料]]/0.85,-1)</f>
        <v/>
      </c>
      <c r="X1117" s="289">
        <f>商品マスタ[[#This Row],[国内定価
（15％）]]-商品マスタ[[#This Row],[仕入単価+国内送料]]</f>
        <v/>
      </c>
      <c r="Y1117" s="139" t="n"/>
      <c r="Z1117" s="167" t="n"/>
      <c r="AA1117" s="167" t="n"/>
      <c r="AB1117" s="167" t="n"/>
      <c r="AC1117" s="293" t="n"/>
      <c r="AD1117" s="167" t="n"/>
      <c r="AE1117" s="167" t="n"/>
      <c r="AF1117" s="158" t="n"/>
      <c r="AG1117" s="144" t="n"/>
    </row>
    <row r="1118" ht="15.75" customHeight="1" s="207">
      <c r="A1118" s="166" t="n"/>
      <c r="B1118" s="167" t="n"/>
      <c r="C1118" s="167" t="n"/>
      <c r="D1118" s="143">
        <f>"PRD_SNJ_"&amp;
_xlfn.XLOOKUP(商品マスタ[[#This Row],[仕入先]],テーブル1[仕入先名],テーブル1[仕入先コード],"XXX",0,1)&amp;
"_"&amp;
商品マスタ[[#This Row],[シリアル]]&amp;
"_"&amp;
TEXT(COUNTIFS(商品マスタ!$C$3:C1118,商品マスタ[[#This Row],[仕入先]],商品マスタ!$E$3:E1118,商品マスタ[[#This Row],[商品名]]), "00")</f>
        <v/>
      </c>
      <c r="E1118" s="167" t="n"/>
      <c r="F1118" s="167">
        <f>IF(COUNTIFS($C$3:C1118,商品マスタ[[#This Row],[仕入先]],$E$3:E1118,商品マスタ[[#This Row],[商品名]]) = 1, 1,0)</f>
        <v/>
      </c>
      <c r="G1118" s="133">
        <f>TEXT(SUMIF($C$3:C1118,商品マスタ[[#This Row],[仕入先]],$F$3:F1118), "0000")</f>
        <v/>
      </c>
      <c r="H1118" s="167" t="n"/>
      <c r="I1118" s="167" t="n"/>
      <c r="J1118" s="167" t="n"/>
      <c r="K1118" s="167" t="n"/>
      <c r="L1118" s="289" t="n"/>
      <c r="M1118" s="157" t="n"/>
      <c r="N1118" s="289" t="n"/>
      <c r="O1118" s="290">
        <f>IF(COUNT(商品マスタ[[#This Row],[参考上代
（税込)]]) &gt; 0, (商品マスタ[[#This Row],[参考上代
（税込)]]-商品マスタ[[#This Row],[国内定価
（15％）]])/(商品マスタ[[#This Row],[参考上代
（税込)]]/1.08), "")</f>
        <v/>
      </c>
      <c r="P1118" s="136" t="n">
        <v>0.1</v>
      </c>
      <c r="Q1118" s="289">
        <f>商品マスタ[[#This Row],[仕入
単価]]*商品マスタ[[#This Row],[標準国内送料率]]</f>
        <v/>
      </c>
      <c r="R1118" s="289" t="n"/>
      <c r="S1118" s="289">
        <f>IF(ISBLANK(商品マスタ[[#This Row],[実績
国内送料]]),商品マスタ[[#This Row],[標準国内送料]],)</f>
        <v/>
      </c>
      <c r="T1118" s="289">
        <f>商品マスタ[[#This Row],[仕入
単価]]+商品マスタ[[#This Row],[国内送料]]</f>
        <v/>
      </c>
      <c r="U1118" s="289">
        <f>ROUNDUP(商品マスタ[[#This Row],[仕入単価+国内送料]]/0.8,-1)</f>
        <v/>
      </c>
      <c r="V1118" s="289">
        <f>商品マスタ[[#This Row],[海外定価
（20％）]]-商品マスタ[[#This Row],[仕入単価+国内送料]]</f>
        <v/>
      </c>
      <c r="W1118" s="167">
        <f>ROUNDUP(商品マスタ[[#This Row],[仕入単価+国内送料]]/0.85,-1)</f>
        <v/>
      </c>
      <c r="X1118" s="289">
        <f>商品マスタ[[#This Row],[国内定価
（15％）]]-商品マスタ[[#This Row],[仕入単価+国内送料]]</f>
        <v/>
      </c>
      <c r="Y1118" s="139" t="n"/>
      <c r="Z1118" s="167" t="n"/>
      <c r="AA1118" s="167" t="n"/>
      <c r="AB1118" s="167" t="n"/>
      <c r="AC1118" s="293" t="n"/>
      <c r="AD1118" s="167" t="n"/>
      <c r="AE1118" s="167" t="n"/>
      <c r="AF1118" s="158" t="n"/>
      <c r="AG1118" s="144" t="n"/>
    </row>
    <row r="1119" ht="15.75" customHeight="1" s="207">
      <c r="A1119" s="166" t="n"/>
      <c r="B1119" s="167" t="n"/>
      <c r="C1119" s="167" t="n"/>
      <c r="D1119" s="143">
        <f>"PRD_SNJ_"&amp;
_xlfn.XLOOKUP(商品マスタ[[#This Row],[仕入先]],テーブル1[仕入先名],テーブル1[仕入先コード],"XXX",0,1)&amp;
"_"&amp;
商品マスタ[[#This Row],[シリアル]]&amp;
"_"&amp;
TEXT(COUNTIFS(商品マスタ!$C$3:C1119,商品マスタ[[#This Row],[仕入先]],商品マスタ!$E$3:E1119,商品マスタ[[#This Row],[商品名]]), "00")</f>
        <v/>
      </c>
      <c r="E1119" s="167" t="n"/>
      <c r="F1119" s="167">
        <f>IF(COUNTIFS($C$3:C1119,商品マスタ[[#This Row],[仕入先]],$E$3:E1119,商品マスタ[[#This Row],[商品名]]) = 1, 1,0)</f>
        <v/>
      </c>
      <c r="G1119" s="133">
        <f>TEXT(SUMIF($C$3:C1119,商品マスタ[[#This Row],[仕入先]],$F$3:F1119), "0000")</f>
        <v/>
      </c>
      <c r="H1119" s="167" t="n"/>
      <c r="I1119" s="167" t="n"/>
      <c r="J1119" s="167" t="n"/>
      <c r="K1119" s="167" t="n"/>
      <c r="L1119" s="289" t="n"/>
      <c r="M1119" s="157" t="n"/>
      <c r="N1119" s="289" t="n"/>
      <c r="O1119" s="290">
        <f>IF(COUNT(商品マスタ[[#This Row],[参考上代
（税込)]]) &gt; 0, (商品マスタ[[#This Row],[参考上代
（税込)]]-商品マスタ[[#This Row],[国内定価
（15％）]])/(商品マスタ[[#This Row],[参考上代
（税込)]]/1.08), "")</f>
        <v/>
      </c>
      <c r="P1119" s="136" t="n">
        <v>0.1</v>
      </c>
      <c r="Q1119" s="289">
        <f>商品マスタ[[#This Row],[仕入
単価]]*商品マスタ[[#This Row],[標準国内送料率]]</f>
        <v/>
      </c>
      <c r="R1119" s="289" t="n"/>
      <c r="S1119" s="289">
        <f>IF(ISBLANK(商品マスタ[[#This Row],[実績
国内送料]]),商品マスタ[[#This Row],[標準国内送料]],)</f>
        <v/>
      </c>
      <c r="T1119" s="289">
        <f>商品マスタ[[#This Row],[仕入
単価]]+商品マスタ[[#This Row],[国内送料]]</f>
        <v/>
      </c>
      <c r="U1119" s="289">
        <f>ROUNDUP(商品マスタ[[#This Row],[仕入単価+国内送料]]/0.8,-1)</f>
        <v/>
      </c>
      <c r="V1119" s="289">
        <f>商品マスタ[[#This Row],[海外定価
（20％）]]-商品マスタ[[#This Row],[仕入単価+国内送料]]</f>
        <v/>
      </c>
      <c r="W1119" s="167">
        <f>ROUNDUP(商品マスタ[[#This Row],[仕入単価+国内送料]]/0.85,-1)</f>
        <v/>
      </c>
      <c r="X1119" s="289">
        <f>商品マスタ[[#This Row],[国内定価
（15％）]]-商品マスタ[[#This Row],[仕入単価+国内送料]]</f>
        <v/>
      </c>
      <c r="Y1119" s="139" t="n"/>
      <c r="Z1119" s="167" t="n"/>
      <c r="AA1119" s="167" t="n"/>
      <c r="AB1119" s="167" t="n"/>
      <c r="AC1119" s="293" t="n"/>
      <c r="AD1119" s="167" t="n"/>
      <c r="AE1119" s="167" t="n"/>
      <c r="AF1119" s="158" t="n"/>
      <c r="AG1119" s="144" t="n"/>
    </row>
    <row r="1120" ht="15.75" customHeight="1" s="207">
      <c r="A1120" s="166" t="n"/>
      <c r="B1120" s="167" t="n"/>
      <c r="C1120" s="167" t="n"/>
      <c r="D1120" s="143">
        <f>"PRD_SNJ_"&amp;
_xlfn.XLOOKUP(商品マスタ[[#This Row],[仕入先]],テーブル1[仕入先名],テーブル1[仕入先コード],"XXX",0,1)&amp;
"_"&amp;
商品マスタ[[#This Row],[シリアル]]&amp;
"_"&amp;
TEXT(COUNTIFS(商品マスタ!$C$3:C1120,商品マスタ[[#This Row],[仕入先]],商品マスタ!$E$3:E1120,商品マスタ[[#This Row],[商品名]]), "00")</f>
        <v/>
      </c>
      <c r="E1120" s="167" t="n"/>
      <c r="F1120" s="167">
        <f>IF(COUNTIFS($C$3:C1120,商品マスタ[[#This Row],[仕入先]],$E$3:E1120,商品マスタ[[#This Row],[商品名]]) = 1, 1,0)</f>
        <v/>
      </c>
      <c r="G1120" s="133">
        <f>TEXT(SUMIF($C$3:C1120,商品マスタ[[#This Row],[仕入先]],$F$3:F1120), "0000")</f>
        <v/>
      </c>
      <c r="H1120" s="167" t="n"/>
      <c r="I1120" s="167" t="n"/>
      <c r="J1120" s="167" t="n"/>
      <c r="K1120" s="167" t="n"/>
      <c r="L1120" s="289" t="n"/>
      <c r="M1120" s="157" t="n"/>
      <c r="N1120" s="289" t="n"/>
      <c r="O1120" s="290">
        <f>IF(COUNT(商品マスタ[[#This Row],[参考上代
（税込)]]) &gt; 0, (商品マスタ[[#This Row],[参考上代
（税込)]]-商品マスタ[[#This Row],[国内定価
（15％）]])/(商品マスタ[[#This Row],[参考上代
（税込)]]/1.08), "")</f>
        <v/>
      </c>
      <c r="P1120" s="136" t="n">
        <v>0.1</v>
      </c>
      <c r="Q1120" s="289">
        <f>商品マスタ[[#This Row],[仕入
単価]]*商品マスタ[[#This Row],[標準国内送料率]]</f>
        <v/>
      </c>
      <c r="R1120" s="289" t="n"/>
      <c r="S1120" s="289">
        <f>IF(ISBLANK(商品マスタ[[#This Row],[実績
国内送料]]),商品マスタ[[#This Row],[標準国内送料]],)</f>
        <v/>
      </c>
      <c r="T1120" s="289">
        <f>商品マスタ[[#This Row],[仕入
単価]]+商品マスタ[[#This Row],[国内送料]]</f>
        <v/>
      </c>
      <c r="U1120" s="289">
        <f>ROUNDUP(商品マスタ[[#This Row],[仕入単価+国内送料]]/0.8,-1)</f>
        <v/>
      </c>
      <c r="V1120" s="289">
        <f>商品マスタ[[#This Row],[海外定価
（20％）]]-商品マスタ[[#This Row],[仕入単価+国内送料]]</f>
        <v/>
      </c>
      <c r="W1120" s="167">
        <f>ROUNDUP(商品マスタ[[#This Row],[仕入単価+国内送料]]/0.85,-1)</f>
        <v/>
      </c>
      <c r="X1120" s="289">
        <f>商品マスタ[[#This Row],[国内定価
（15％）]]-商品マスタ[[#This Row],[仕入単価+国内送料]]</f>
        <v/>
      </c>
      <c r="Y1120" s="139" t="n"/>
      <c r="Z1120" s="167" t="n"/>
      <c r="AA1120" s="167" t="n"/>
      <c r="AB1120" s="167" t="n"/>
      <c r="AC1120" s="293" t="n"/>
      <c r="AD1120" s="167" t="n"/>
      <c r="AE1120" s="167" t="n"/>
      <c r="AF1120" s="158" t="n"/>
      <c r="AG1120" s="144" t="n"/>
    </row>
    <row r="1121" ht="15.75" customHeight="1" s="207">
      <c r="A1121" s="166" t="n"/>
      <c r="B1121" s="167" t="n"/>
      <c r="C1121" s="167" t="n"/>
      <c r="D1121" s="143">
        <f>"PRD_SNJ_"&amp;
_xlfn.XLOOKUP(商品マスタ[[#This Row],[仕入先]],テーブル1[仕入先名],テーブル1[仕入先コード],"XXX",0,1)&amp;
"_"&amp;
商品マスタ[[#This Row],[シリアル]]&amp;
"_"&amp;
TEXT(COUNTIFS(商品マスタ!$C$3:C1121,商品マスタ[[#This Row],[仕入先]],商品マスタ!$E$3:E1121,商品マスタ[[#This Row],[商品名]]), "00")</f>
        <v/>
      </c>
      <c r="E1121" s="167" t="n"/>
      <c r="F1121" s="167">
        <f>IF(COUNTIFS($C$3:C1121,商品マスタ[[#This Row],[仕入先]],$E$3:E1121,商品マスタ[[#This Row],[商品名]]) = 1, 1,0)</f>
        <v/>
      </c>
      <c r="G1121" s="133">
        <f>TEXT(SUMIF($C$3:C1121,商品マスタ[[#This Row],[仕入先]],$F$3:F1121), "0000")</f>
        <v/>
      </c>
      <c r="H1121" s="167" t="n"/>
      <c r="I1121" s="167" t="n"/>
      <c r="J1121" s="167" t="n"/>
      <c r="K1121" s="167" t="n"/>
      <c r="L1121" s="289" t="n"/>
      <c r="M1121" s="157" t="n"/>
      <c r="N1121" s="289" t="n"/>
      <c r="O1121" s="290">
        <f>IF(COUNT(商品マスタ[[#This Row],[参考上代
（税込)]]) &gt; 0, (商品マスタ[[#This Row],[参考上代
（税込)]]-商品マスタ[[#This Row],[国内定価
（15％）]])/(商品マスタ[[#This Row],[参考上代
（税込)]]/1.08), "")</f>
        <v/>
      </c>
      <c r="P1121" s="136" t="n">
        <v>0.1</v>
      </c>
      <c r="Q1121" s="289">
        <f>商品マスタ[[#This Row],[仕入
単価]]*商品マスタ[[#This Row],[標準国内送料率]]</f>
        <v/>
      </c>
      <c r="R1121" s="289" t="n"/>
      <c r="S1121" s="289">
        <f>IF(ISBLANK(商品マスタ[[#This Row],[実績
国内送料]]),商品マスタ[[#This Row],[標準国内送料]],)</f>
        <v/>
      </c>
      <c r="T1121" s="289">
        <f>商品マスタ[[#This Row],[仕入
単価]]+商品マスタ[[#This Row],[国内送料]]</f>
        <v/>
      </c>
      <c r="U1121" s="289">
        <f>ROUNDUP(商品マスタ[[#This Row],[仕入単価+国内送料]]/0.8,-1)</f>
        <v/>
      </c>
      <c r="V1121" s="289">
        <f>商品マスタ[[#This Row],[海外定価
（20％）]]-商品マスタ[[#This Row],[仕入単価+国内送料]]</f>
        <v/>
      </c>
      <c r="W1121" s="167">
        <f>ROUNDUP(商品マスタ[[#This Row],[仕入単価+国内送料]]/0.85,-1)</f>
        <v/>
      </c>
      <c r="X1121" s="289">
        <f>商品マスタ[[#This Row],[国内定価
（15％）]]-商品マスタ[[#This Row],[仕入単価+国内送料]]</f>
        <v/>
      </c>
      <c r="Y1121" s="139" t="n"/>
      <c r="Z1121" s="167" t="n"/>
      <c r="AA1121" s="167" t="n"/>
      <c r="AB1121" s="167" t="n"/>
      <c r="AC1121" s="293" t="n"/>
      <c r="AD1121" s="167" t="n"/>
      <c r="AE1121" s="167" t="n"/>
      <c r="AF1121" s="158" t="n"/>
      <c r="AG1121" s="144" t="n"/>
    </row>
    <row r="1122" ht="15.75" customHeight="1" s="207">
      <c r="A1122" s="166" t="n"/>
      <c r="B1122" s="167" t="n"/>
      <c r="C1122" s="167" t="n"/>
      <c r="D1122" s="143">
        <f>"PRD_SNJ_"&amp;
_xlfn.XLOOKUP(商品マスタ[[#This Row],[仕入先]],テーブル1[仕入先名],テーブル1[仕入先コード],"XXX",0,1)&amp;
"_"&amp;
商品マスタ[[#This Row],[シリアル]]&amp;
"_"&amp;
TEXT(COUNTIFS(商品マスタ!$C$3:C1122,商品マスタ[[#This Row],[仕入先]],商品マスタ!$E$3:E1122,商品マスタ[[#This Row],[商品名]]), "00")</f>
        <v/>
      </c>
      <c r="E1122" s="167" t="n"/>
      <c r="F1122" s="167">
        <f>IF(COUNTIFS($C$3:C1122,商品マスタ[[#This Row],[仕入先]],$E$3:E1122,商品マスタ[[#This Row],[商品名]]) = 1, 1,0)</f>
        <v/>
      </c>
      <c r="G1122" s="133">
        <f>TEXT(SUMIF($C$3:C1122,商品マスタ[[#This Row],[仕入先]],$F$3:F1122), "0000")</f>
        <v/>
      </c>
      <c r="H1122" s="167" t="n"/>
      <c r="I1122" s="167" t="n"/>
      <c r="J1122" s="167" t="n"/>
      <c r="K1122" s="167" t="n"/>
      <c r="L1122" s="289" t="n"/>
      <c r="M1122" s="157" t="n"/>
      <c r="N1122" s="289" t="n"/>
      <c r="O1122" s="290">
        <f>IF(COUNT(商品マスタ[[#This Row],[参考上代
（税込)]]) &gt; 0, (商品マスタ[[#This Row],[参考上代
（税込)]]-商品マスタ[[#This Row],[国内定価
（15％）]])/(商品マスタ[[#This Row],[参考上代
（税込)]]/1.08), "")</f>
        <v/>
      </c>
      <c r="P1122" s="136" t="n">
        <v>0.1</v>
      </c>
      <c r="Q1122" s="289">
        <f>商品マスタ[[#This Row],[仕入
単価]]*商品マスタ[[#This Row],[標準国内送料率]]</f>
        <v/>
      </c>
      <c r="R1122" s="289" t="n"/>
      <c r="S1122" s="289">
        <f>IF(ISBLANK(商品マスタ[[#This Row],[実績
国内送料]]),商品マスタ[[#This Row],[標準国内送料]],)</f>
        <v/>
      </c>
      <c r="T1122" s="289">
        <f>商品マスタ[[#This Row],[仕入
単価]]+商品マスタ[[#This Row],[国内送料]]</f>
        <v/>
      </c>
      <c r="U1122" s="289">
        <f>ROUNDUP(商品マスタ[[#This Row],[仕入単価+国内送料]]/0.8,-1)</f>
        <v/>
      </c>
      <c r="V1122" s="289">
        <f>商品マスタ[[#This Row],[海外定価
（20％）]]-商品マスタ[[#This Row],[仕入単価+国内送料]]</f>
        <v/>
      </c>
      <c r="W1122" s="167">
        <f>ROUNDUP(商品マスタ[[#This Row],[仕入単価+国内送料]]/0.85,-1)</f>
        <v/>
      </c>
      <c r="X1122" s="289">
        <f>商品マスタ[[#This Row],[国内定価
（15％）]]-商品マスタ[[#This Row],[仕入単価+国内送料]]</f>
        <v/>
      </c>
      <c r="Y1122" s="139" t="n"/>
      <c r="Z1122" s="167" t="n"/>
      <c r="AA1122" s="167" t="n"/>
      <c r="AB1122" s="167" t="n"/>
      <c r="AC1122" s="293" t="n"/>
      <c r="AD1122" s="167" t="n"/>
      <c r="AE1122" s="167" t="n"/>
      <c r="AF1122" s="158" t="n"/>
      <c r="AG1122" s="144" t="n"/>
    </row>
    <row r="1123" ht="15.75" customHeight="1" s="207">
      <c r="A1123" s="166" t="n"/>
      <c r="B1123" s="167" t="n"/>
      <c r="C1123" s="167" t="n"/>
      <c r="D1123" s="143">
        <f>"PRD_SNJ_"&amp;
_xlfn.XLOOKUP(商品マスタ[[#This Row],[仕入先]],テーブル1[仕入先名],テーブル1[仕入先コード],"XXX",0,1)&amp;
"_"&amp;
商品マスタ[[#This Row],[シリアル]]&amp;
"_"&amp;
TEXT(COUNTIFS(商品マスタ!$C$3:C1123,商品マスタ[[#This Row],[仕入先]],商品マスタ!$E$3:E1123,商品マスタ[[#This Row],[商品名]]), "00")</f>
        <v/>
      </c>
      <c r="E1123" s="167" t="n"/>
      <c r="F1123" s="167">
        <f>IF(COUNTIFS($C$3:C1123,商品マスタ[[#This Row],[仕入先]],$E$3:E1123,商品マスタ[[#This Row],[商品名]]) = 1, 1,0)</f>
        <v/>
      </c>
      <c r="G1123" s="133">
        <f>TEXT(SUMIF($C$3:C1123,商品マスタ[[#This Row],[仕入先]],$F$3:F1123), "0000")</f>
        <v/>
      </c>
      <c r="H1123" s="167" t="n"/>
      <c r="I1123" s="167" t="n"/>
      <c r="J1123" s="167" t="n"/>
      <c r="K1123" s="167" t="n"/>
      <c r="L1123" s="289" t="n"/>
      <c r="M1123" s="157" t="n"/>
      <c r="N1123" s="289" t="n"/>
      <c r="O1123" s="290">
        <f>IF(COUNT(商品マスタ[[#This Row],[参考上代
（税込)]]) &gt; 0, (商品マスタ[[#This Row],[参考上代
（税込)]]-商品マスタ[[#This Row],[国内定価
（15％）]])/(商品マスタ[[#This Row],[参考上代
（税込)]]/1.08), "")</f>
        <v/>
      </c>
      <c r="P1123" s="136" t="n">
        <v>0.1</v>
      </c>
      <c r="Q1123" s="289">
        <f>商品マスタ[[#This Row],[仕入
単価]]*商品マスタ[[#This Row],[標準国内送料率]]</f>
        <v/>
      </c>
      <c r="R1123" s="289" t="n"/>
      <c r="S1123" s="289">
        <f>IF(ISBLANK(商品マスタ[[#This Row],[実績
国内送料]]),商品マスタ[[#This Row],[標準国内送料]],)</f>
        <v/>
      </c>
      <c r="T1123" s="289">
        <f>商品マスタ[[#This Row],[仕入
単価]]+商品マスタ[[#This Row],[国内送料]]</f>
        <v/>
      </c>
      <c r="U1123" s="289">
        <f>ROUNDUP(商品マスタ[[#This Row],[仕入単価+国内送料]]/0.8,-1)</f>
        <v/>
      </c>
      <c r="V1123" s="289">
        <f>商品マスタ[[#This Row],[海外定価
（20％）]]-商品マスタ[[#This Row],[仕入単価+国内送料]]</f>
        <v/>
      </c>
      <c r="W1123" s="167">
        <f>ROUNDUP(商品マスタ[[#This Row],[仕入単価+国内送料]]/0.85,-1)</f>
        <v/>
      </c>
      <c r="X1123" s="289">
        <f>商品マスタ[[#This Row],[国内定価
（15％）]]-商品マスタ[[#This Row],[仕入単価+国内送料]]</f>
        <v/>
      </c>
      <c r="Y1123" s="139" t="n"/>
      <c r="Z1123" s="167" t="n"/>
      <c r="AA1123" s="167" t="n"/>
      <c r="AB1123" s="167" t="n"/>
      <c r="AC1123" s="293" t="n"/>
      <c r="AD1123" s="167" t="n"/>
      <c r="AE1123" s="167" t="n"/>
      <c r="AF1123" s="158" t="n"/>
      <c r="AG1123" s="144" t="n"/>
    </row>
    <row r="1124" ht="15.75" customHeight="1" s="207">
      <c r="A1124" s="166" t="n"/>
      <c r="B1124" s="167" t="n"/>
      <c r="C1124" s="167" t="n"/>
      <c r="D1124" s="143">
        <f>"PRD_SNJ_"&amp;
_xlfn.XLOOKUP(商品マスタ[[#This Row],[仕入先]],テーブル1[仕入先名],テーブル1[仕入先コード],"XXX",0,1)&amp;
"_"&amp;
商品マスタ[[#This Row],[シリアル]]&amp;
"_"&amp;
TEXT(COUNTIFS(商品マスタ!$C$3:C1124,商品マスタ[[#This Row],[仕入先]],商品マスタ!$E$3:E1124,商品マスタ[[#This Row],[商品名]]), "00")</f>
        <v/>
      </c>
      <c r="E1124" s="167" t="n"/>
      <c r="F1124" s="167">
        <f>IF(COUNTIFS($C$3:C1124,商品マスタ[[#This Row],[仕入先]],$E$3:E1124,商品マスタ[[#This Row],[商品名]]) = 1, 1,0)</f>
        <v/>
      </c>
      <c r="G1124" s="133">
        <f>TEXT(SUMIF($C$3:C1124,商品マスタ[[#This Row],[仕入先]],$F$3:F1124), "0000")</f>
        <v/>
      </c>
      <c r="H1124" s="167" t="n"/>
      <c r="I1124" s="167" t="n"/>
      <c r="J1124" s="167" t="n"/>
      <c r="K1124" s="167" t="n"/>
      <c r="L1124" s="289" t="n"/>
      <c r="M1124" s="157" t="n"/>
      <c r="N1124" s="289" t="n"/>
      <c r="O1124" s="290">
        <f>IF(COUNT(商品マスタ[[#This Row],[参考上代
（税込)]]) &gt; 0, (商品マスタ[[#This Row],[参考上代
（税込)]]-商品マスタ[[#This Row],[国内定価
（15％）]])/(商品マスタ[[#This Row],[参考上代
（税込)]]/1.08), "")</f>
        <v/>
      </c>
      <c r="P1124" s="136" t="n">
        <v>0.1</v>
      </c>
      <c r="Q1124" s="289">
        <f>商品マスタ[[#This Row],[仕入
単価]]*商品マスタ[[#This Row],[標準国内送料率]]</f>
        <v/>
      </c>
      <c r="R1124" s="289" t="n"/>
      <c r="S1124" s="289">
        <f>IF(ISBLANK(商品マスタ[[#This Row],[実績
国内送料]]),商品マスタ[[#This Row],[標準国内送料]],)</f>
        <v/>
      </c>
      <c r="T1124" s="289">
        <f>商品マスタ[[#This Row],[仕入
単価]]+商品マスタ[[#This Row],[国内送料]]</f>
        <v/>
      </c>
      <c r="U1124" s="289">
        <f>ROUNDUP(商品マスタ[[#This Row],[仕入単価+国内送料]]/0.8,-1)</f>
        <v/>
      </c>
      <c r="V1124" s="289">
        <f>商品マスタ[[#This Row],[海外定価
（20％）]]-商品マスタ[[#This Row],[仕入単価+国内送料]]</f>
        <v/>
      </c>
      <c r="W1124" s="167">
        <f>ROUNDUP(商品マスタ[[#This Row],[仕入単価+国内送料]]/0.85,-1)</f>
        <v/>
      </c>
      <c r="X1124" s="289">
        <f>商品マスタ[[#This Row],[国内定価
（15％）]]-商品マスタ[[#This Row],[仕入単価+国内送料]]</f>
        <v/>
      </c>
      <c r="Y1124" s="139" t="n"/>
      <c r="Z1124" s="167" t="n"/>
      <c r="AA1124" s="167" t="n"/>
      <c r="AB1124" s="167" t="n"/>
      <c r="AC1124" s="293" t="n"/>
      <c r="AD1124" s="167" t="n"/>
      <c r="AE1124" s="167" t="n"/>
      <c r="AF1124" s="158" t="n"/>
      <c r="AG1124" s="144" t="n"/>
    </row>
    <row r="1125" ht="15.75" customHeight="1" s="207">
      <c r="A1125" s="166" t="n"/>
      <c r="B1125" s="167" t="n"/>
      <c r="C1125" s="167" t="n"/>
      <c r="D1125" s="143">
        <f>"PRD_SNJ_"&amp;
_xlfn.XLOOKUP(商品マスタ[[#This Row],[仕入先]],テーブル1[仕入先名],テーブル1[仕入先コード],"XXX",0,1)&amp;
"_"&amp;
商品マスタ[[#This Row],[シリアル]]&amp;
"_"&amp;
TEXT(COUNTIFS(商品マスタ!$C$3:C1125,商品マスタ[[#This Row],[仕入先]],商品マスタ!$E$3:E1125,商品マスタ[[#This Row],[商品名]]), "00")</f>
        <v/>
      </c>
      <c r="E1125" s="167" t="n"/>
      <c r="F1125" s="167">
        <f>IF(COUNTIFS($C$3:C1125,商品マスタ[[#This Row],[仕入先]],$E$3:E1125,商品マスタ[[#This Row],[商品名]]) = 1, 1,0)</f>
        <v/>
      </c>
      <c r="G1125" s="133">
        <f>TEXT(SUMIF($C$3:C1125,商品マスタ[[#This Row],[仕入先]],$F$3:F1125), "0000")</f>
        <v/>
      </c>
      <c r="H1125" s="167" t="n"/>
      <c r="I1125" s="167" t="n"/>
      <c r="J1125" s="167" t="n"/>
      <c r="K1125" s="167" t="n"/>
      <c r="L1125" s="289" t="n"/>
      <c r="M1125" s="157" t="n"/>
      <c r="N1125" s="289" t="n"/>
      <c r="O1125" s="290">
        <f>IF(COUNT(商品マスタ[[#This Row],[参考上代
（税込)]]) &gt; 0, (商品マスタ[[#This Row],[参考上代
（税込)]]-商品マスタ[[#This Row],[国内定価
（15％）]])/(商品マスタ[[#This Row],[参考上代
（税込)]]/1.08), "")</f>
        <v/>
      </c>
      <c r="P1125" s="136" t="n">
        <v>0.1</v>
      </c>
      <c r="Q1125" s="289">
        <f>商品マスタ[[#This Row],[仕入
単価]]*商品マスタ[[#This Row],[標準国内送料率]]</f>
        <v/>
      </c>
      <c r="R1125" s="289" t="n"/>
      <c r="S1125" s="289">
        <f>IF(ISBLANK(商品マスタ[[#This Row],[実績
国内送料]]),商品マスタ[[#This Row],[標準国内送料]],)</f>
        <v/>
      </c>
      <c r="T1125" s="289">
        <f>商品マスタ[[#This Row],[仕入
単価]]+商品マスタ[[#This Row],[国内送料]]</f>
        <v/>
      </c>
      <c r="U1125" s="289">
        <f>ROUNDUP(商品マスタ[[#This Row],[仕入単価+国内送料]]/0.8,-1)</f>
        <v/>
      </c>
      <c r="V1125" s="289">
        <f>商品マスタ[[#This Row],[海外定価
（20％）]]-商品マスタ[[#This Row],[仕入単価+国内送料]]</f>
        <v/>
      </c>
      <c r="W1125" s="167">
        <f>ROUNDUP(商品マスタ[[#This Row],[仕入単価+国内送料]]/0.85,-1)</f>
        <v/>
      </c>
      <c r="X1125" s="289">
        <f>商品マスタ[[#This Row],[国内定価
（15％）]]-商品マスタ[[#This Row],[仕入単価+国内送料]]</f>
        <v/>
      </c>
      <c r="Y1125" s="139" t="n"/>
      <c r="Z1125" s="167" t="n"/>
      <c r="AA1125" s="167" t="n"/>
      <c r="AB1125" s="167" t="n"/>
      <c r="AC1125" s="293" t="n"/>
      <c r="AD1125" s="167" t="n"/>
      <c r="AE1125" s="167" t="n"/>
      <c r="AF1125" s="158" t="n"/>
      <c r="AG1125" s="144" t="n"/>
    </row>
    <row r="1126" ht="15.75" customHeight="1" s="207">
      <c r="A1126" s="166" t="n"/>
      <c r="B1126" s="167" t="n"/>
      <c r="C1126" s="167" t="n"/>
      <c r="D1126" s="143">
        <f>"PRD_SNJ_"&amp;
_xlfn.XLOOKUP(商品マスタ[[#This Row],[仕入先]],テーブル1[仕入先名],テーブル1[仕入先コード],"XXX",0,1)&amp;
"_"&amp;
商品マスタ[[#This Row],[シリアル]]&amp;
"_"&amp;
TEXT(COUNTIFS(商品マスタ!$C$3:C1126,商品マスタ[[#This Row],[仕入先]],商品マスタ!$E$3:E1126,商品マスタ[[#This Row],[商品名]]), "00")</f>
        <v/>
      </c>
      <c r="E1126" s="167" t="n"/>
      <c r="F1126" s="167">
        <f>IF(COUNTIFS($C$3:C1126,商品マスタ[[#This Row],[仕入先]],$E$3:E1126,商品マスタ[[#This Row],[商品名]]) = 1, 1,0)</f>
        <v/>
      </c>
      <c r="G1126" s="133">
        <f>TEXT(SUMIF($C$3:C1126,商品マスタ[[#This Row],[仕入先]],$F$3:F1126), "0000")</f>
        <v/>
      </c>
      <c r="H1126" s="167" t="n"/>
      <c r="I1126" s="167" t="n"/>
      <c r="J1126" s="167" t="n"/>
      <c r="K1126" s="167" t="n"/>
      <c r="L1126" s="289" t="n"/>
      <c r="M1126" s="157" t="n"/>
      <c r="N1126" s="289" t="n"/>
      <c r="O1126" s="290">
        <f>IF(COUNT(商品マスタ[[#This Row],[参考上代
（税込)]]) &gt; 0, (商品マスタ[[#This Row],[参考上代
（税込)]]-商品マスタ[[#This Row],[国内定価
（15％）]])/(商品マスタ[[#This Row],[参考上代
（税込)]]/1.08), "")</f>
        <v/>
      </c>
      <c r="P1126" s="136" t="n">
        <v>0.1</v>
      </c>
      <c r="Q1126" s="289">
        <f>商品マスタ[[#This Row],[仕入
単価]]*商品マスタ[[#This Row],[標準国内送料率]]</f>
        <v/>
      </c>
      <c r="R1126" s="289" t="n"/>
      <c r="S1126" s="289">
        <f>IF(ISBLANK(商品マスタ[[#This Row],[実績
国内送料]]),商品マスタ[[#This Row],[標準国内送料]],)</f>
        <v/>
      </c>
      <c r="T1126" s="289">
        <f>商品マスタ[[#This Row],[仕入
単価]]+商品マスタ[[#This Row],[国内送料]]</f>
        <v/>
      </c>
      <c r="U1126" s="289">
        <f>ROUNDUP(商品マスタ[[#This Row],[仕入単価+国内送料]]/0.8,-1)</f>
        <v/>
      </c>
      <c r="V1126" s="289">
        <f>商品マスタ[[#This Row],[海外定価
（20％）]]-商品マスタ[[#This Row],[仕入単価+国内送料]]</f>
        <v/>
      </c>
      <c r="W1126" s="167">
        <f>ROUNDUP(商品マスタ[[#This Row],[仕入単価+国内送料]]/0.85,-1)</f>
        <v/>
      </c>
      <c r="X1126" s="289">
        <f>商品マスタ[[#This Row],[国内定価
（15％）]]-商品マスタ[[#This Row],[仕入単価+国内送料]]</f>
        <v/>
      </c>
      <c r="Y1126" s="139" t="n"/>
      <c r="Z1126" s="167" t="n"/>
      <c r="AA1126" s="167" t="n"/>
      <c r="AB1126" s="167" t="n"/>
      <c r="AC1126" s="293" t="n"/>
      <c r="AD1126" s="167" t="n"/>
      <c r="AE1126" s="167" t="n"/>
      <c r="AF1126" s="158" t="n"/>
      <c r="AG1126" s="144" t="n"/>
    </row>
    <row r="1127" ht="15.75" customHeight="1" s="207">
      <c r="A1127" s="166" t="n"/>
      <c r="B1127" s="167" t="n"/>
      <c r="C1127" s="167" t="n"/>
      <c r="D1127" s="143">
        <f>"PRD_SNJ_"&amp;
_xlfn.XLOOKUP(商品マスタ[[#This Row],[仕入先]],テーブル1[仕入先名],テーブル1[仕入先コード],"XXX",0,1)&amp;
"_"&amp;
商品マスタ[[#This Row],[シリアル]]&amp;
"_"&amp;
TEXT(COUNTIFS(商品マスタ!$C$3:C1127,商品マスタ[[#This Row],[仕入先]],商品マスタ!$E$3:E1127,商品マスタ[[#This Row],[商品名]]), "00")</f>
        <v/>
      </c>
      <c r="E1127" s="167" t="n"/>
      <c r="F1127" s="167">
        <f>IF(COUNTIFS($C$3:C1127,商品マスタ[[#This Row],[仕入先]],$E$3:E1127,商品マスタ[[#This Row],[商品名]]) = 1, 1,0)</f>
        <v/>
      </c>
      <c r="G1127" s="133">
        <f>TEXT(SUMIF($C$3:C1127,商品マスタ[[#This Row],[仕入先]],$F$3:F1127), "0000")</f>
        <v/>
      </c>
      <c r="H1127" s="167" t="n"/>
      <c r="I1127" s="167" t="n"/>
      <c r="J1127" s="167" t="n"/>
      <c r="K1127" s="167" t="n"/>
      <c r="L1127" s="289" t="n"/>
      <c r="M1127" s="157" t="n"/>
      <c r="N1127" s="289" t="n"/>
      <c r="O1127" s="290">
        <f>IF(COUNT(商品マスタ[[#This Row],[参考上代
（税込)]]) &gt; 0, (商品マスタ[[#This Row],[参考上代
（税込)]]-商品マスタ[[#This Row],[国内定価
（15％）]])/(商品マスタ[[#This Row],[参考上代
（税込)]]/1.08), "")</f>
        <v/>
      </c>
      <c r="P1127" s="136" t="n">
        <v>0.1</v>
      </c>
      <c r="Q1127" s="289">
        <f>商品マスタ[[#This Row],[仕入
単価]]*商品マスタ[[#This Row],[標準国内送料率]]</f>
        <v/>
      </c>
      <c r="R1127" s="289" t="n"/>
      <c r="S1127" s="289">
        <f>IF(ISBLANK(商品マスタ[[#This Row],[実績
国内送料]]),商品マスタ[[#This Row],[標準国内送料]],)</f>
        <v/>
      </c>
      <c r="T1127" s="289">
        <f>商品マスタ[[#This Row],[仕入
単価]]+商品マスタ[[#This Row],[国内送料]]</f>
        <v/>
      </c>
      <c r="U1127" s="289">
        <f>ROUNDUP(商品マスタ[[#This Row],[仕入単価+国内送料]]/0.8,-1)</f>
        <v/>
      </c>
      <c r="V1127" s="289">
        <f>商品マスタ[[#This Row],[海外定価
（20％）]]-商品マスタ[[#This Row],[仕入単価+国内送料]]</f>
        <v/>
      </c>
      <c r="W1127" s="167">
        <f>ROUNDUP(商品マスタ[[#This Row],[仕入単価+国内送料]]/0.85,-1)</f>
        <v/>
      </c>
      <c r="X1127" s="289">
        <f>商品マスタ[[#This Row],[国内定価
（15％）]]-商品マスタ[[#This Row],[仕入単価+国内送料]]</f>
        <v/>
      </c>
      <c r="Y1127" s="139" t="n"/>
      <c r="Z1127" s="167" t="n"/>
      <c r="AA1127" s="167" t="n"/>
      <c r="AB1127" s="167" t="n"/>
      <c r="AC1127" s="293" t="n"/>
      <c r="AD1127" s="167" t="n"/>
      <c r="AE1127" s="167" t="n"/>
      <c r="AF1127" s="158" t="n"/>
      <c r="AG1127" s="144" t="n"/>
    </row>
    <row r="1128" ht="15.75" customHeight="1" s="207">
      <c r="A1128" s="172" t="n"/>
      <c r="B1128" s="173" t="n"/>
      <c r="C1128" s="173" t="n"/>
      <c r="D1128" s="143">
        <f>"PRD_SNJ_"&amp;
_xlfn.XLOOKUP(商品マスタ[[#This Row],[仕入先]],テーブル1[仕入先名],テーブル1[仕入先コード],"XXX",0,1)&amp;
"_"&amp;
商品マスタ[[#This Row],[シリアル]]&amp;
"_"&amp;
TEXT(COUNTIFS(商品マスタ!$C$3:C1128,商品マスタ[[#This Row],[仕入先]],商品マスタ!$E$3:E1128,商品マスタ[[#This Row],[商品名]]), "00")</f>
        <v/>
      </c>
      <c r="E1128" s="173" t="n"/>
      <c r="F1128" s="167">
        <f>IF(COUNTIFS($C$3:C1128,商品マスタ[[#This Row],[仕入先]],$E$3:E1128,商品マスタ[[#This Row],[商品名]]) = 1, 1,0)</f>
        <v/>
      </c>
      <c r="G1128" s="133">
        <f>TEXT(SUMIF($C$3:C1128,商品マスタ[[#This Row],[仕入先]],$F$3:F1128), "0000")</f>
        <v/>
      </c>
      <c r="H1128" s="173" t="n"/>
      <c r="I1128" s="173" t="n"/>
      <c r="J1128" s="173" t="n"/>
      <c r="K1128" s="173" t="n"/>
      <c r="L1128" s="298" t="n"/>
      <c r="M1128" s="180" t="n"/>
      <c r="N1128" s="298" t="n"/>
      <c r="O1128" s="299">
        <f>IF(COUNT(商品マスタ[[#This Row],[参考上代
（税込)]]) &gt; 0, (商品マスタ[[#This Row],[参考上代
（税込)]]-商品マスタ[[#This Row],[国内定価
（15％）]])/(商品マスタ[[#This Row],[参考上代
（税込)]]/1.08), "")</f>
        <v/>
      </c>
      <c r="P1128" s="162" t="n">
        <v>0.1</v>
      </c>
      <c r="Q1128" s="298">
        <f>商品マスタ[[#This Row],[仕入
単価]]*商品マスタ[[#This Row],[標準国内送料率]]</f>
        <v/>
      </c>
      <c r="R1128" s="298" t="n"/>
      <c r="S1128" s="298">
        <f>IF(ISBLANK(商品マスタ[[#This Row],[実績
国内送料]]),商品マスタ[[#This Row],[標準国内送料]],)</f>
        <v/>
      </c>
      <c r="T1128" s="298">
        <f>商品マスタ[[#This Row],[仕入
単価]]+商品マスタ[[#This Row],[国内送料]]</f>
        <v/>
      </c>
      <c r="U1128" s="298">
        <f>ROUNDUP(商品マスタ[[#This Row],[仕入単価+国内送料]]/0.8,-1)</f>
        <v/>
      </c>
      <c r="V1128" s="298">
        <f>商品マスタ[[#This Row],[海外定価
（20％）]]-商品マスタ[[#This Row],[仕入単価+国内送料]]</f>
        <v/>
      </c>
      <c r="W1128" s="167">
        <f>ROUNDUP(商品マスタ[[#This Row],[仕入単価+国内送料]]/0.85,-1)</f>
        <v/>
      </c>
      <c r="X1128" s="298">
        <f>商品マスタ[[#This Row],[国内定価
（15％）]]-商品マスタ[[#This Row],[仕入単価+国内送料]]</f>
        <v/>
      </c>
      <c r="Y1128" s="163" t="n"/>
      <c r="Z1128" s="173" t="n"/>
      <c r="AA1128" s="173" t="n"/>
      <c r="AB1128" s="173" t="n"/>
      <c r="AC1128" s="300" t="n"/>
      <c r="AD1128" s="173" t="n"/>
      <c r="AE1128" s="173" t="n"/>
      <c r="AF1128" s="164" t="n"/>
      <c r="AG1128" s="165" t="n"/>
    </row>
  </sheetData>
  <mergeCells count="1">
    <mergeCell ref="R1:S1"/>
  </mergeCells>
  <conditionalFormatting sqref="D3:D1128">
    <cfRule type="containsText" priority="2" operator="containsText" dxfId="0" text="XXX">
      <formula>NOT(ISERROR(SEARCH("XXX",D3)))</formula>
    </cfRule>
  </conditionalFormatting>
  <pageMargins left="0.25" right="0.25" top="0.75" bottom="0.75" header="0.3" footer="0.3"/>
  <pageSetup orientation="landscape" paperSize="9" scale="24" fitToHeight="0"/>
  <rowBreaks count="1" manualBreakCount="1">
    <brk id="379" min="0" max="16383" man="1"/>
  </rowBreaks>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58"/>
  <sheetViews>
    <sheetView workbookViewId="0">
      <selection activeCell="A19" sqref="A19:XFD19"/>
    </sheetView>
  </sheetViews>
  <sheetFormatPr baseColWidth="8" defaultRowHeight="18"/>
  <cols>
    <col width="3.69921875" customWidth="1" style="207" min="1" max="1"/>
    <col width="5.3984375" bestFit="1" customWidth="1" style="207" min="2" max="2"/>
    <col width="5.19921875" bestFit="1" customWidth="1" style="207" min="3" max="3"/>
    <col width="37.5" bestFit="1" customWidth="1" style="207" min="6" max="6"/>
    <col width="14.5" bestFit="1" customWidth="1" style="207" min="7" max="7"/>
    <col width="24.69921875" customWidth="1" style="207" min="8" max="8"/>
  </cols>
  <sheetData>
    <row r="1" s="207">
      <c r="A1" s="127" t="inlineStr">
        <is>
          <t>※灰色セルは自動入力</t>
        </is>
      </c>
    </row>
    <row r="2">
      <c r="A2" s="212" t="inlineStr">
        <is>
          <t>ID</t>
        </is>
      </c>
      <c r="B2" s="212" t="inlineStr">
        <is>
          <t>年</t>
        </is>
      </c>
      <c r="C2" s="209" t="inlineStr">
        <is>
          <t>月</t>
        </is>
      </c>
      <c r="D2" s="209" t="inlineStr">
        <is>
          <t>担当者</t>
        </is>
      </c>
      <c r="E2" s="209" t="inlineStr">
        <is>
          <t>支店</t>
        </is>
      </c>
      <c r="F2" s="72" t="inlineStr">
        <is>
          <t>顧客</t>
        </is>
      </c>
      <c r="G2" s="72" t="inlineStr">
        <is>
          <t>案件番号</t>
        </is>
      </c>
      <c r="H2" s="68" t="inlineStr">
        <is>
          <t>商品</t>
        </is>
      </c>
    </row>
    <row r="3">
      <c r="A3" s="212">
        <f>ROW([1]!tbl_採番[[#This Row],[ID]])-2</f>
        <v/>
      </c>
      <c r="B3" s="212" t="n">
        <v>2026</v>
      </c>
      <c r="C3" s="209" t="n">
        <v>1</v>
      </c>
      <c r="D3" s="209" t="inlineStr">
        <is>
          <t>杉田</t>
        </is>
      </c>
      <c r="E3" s="209" t="inlineStr">
        <is>
          <t>大阪</t>
        </is>
      </c>
      <c r="F3" s="72" t="inlineStr">
        <is>
          <t>日新堂株式会社</t>
        </is>
      </c>
      <c r="G3" s="118">
        <f>IF(ISBLANK([1]!tbl_採番[[#This Row],[年]]),"",(RIGHT([1]!tbl_採番[[#This Row],[年]],2)&amp;TEXT([1]!tbl_採番[[#This Row],[月]],"00")&amp;"-1"&amp;TEXT(COUNTIFS(B$3:B3,B3,C$3:C3,C3),"000")&amp;"-"&amp;_xlfn.XLOOKUP([1]!tbl_採番[[#This Row],[担当者]],[1]入力ルール用シート!$D$2:$D$8,[1]入力ルール用シート!$E$2:$E$8,"",0,1)&amp;_xlfn.XLOOKUP([1]!tbl_採番[[#This Row],[支店]],[1]入力ルール用シート!$F$2:$F$3,[1]入力ルール用シート!$G$2:$G$3,"",0,1)))</f>
        <v/>
      </c>
      <c r="H3" s="68" t="n"/>
    </row>
    <row r="4">
      <c r="A4" s="212">
        <f>ROW([1]!tbl_採番[[#This Row],[ID]])-2</f>
        <v/>
      </c>
      <c r="B4" s="212" t="n">
        <v>2026</v>
      </c>
      <c r="C4" s="209" t="n">
        <v>1</v>
      </c>
      <c r="D4" s="209" t="inlineStr">
        <is>
          <t>杉田</t>
        </is>
      </c>
      <c r="E4" s="209" t="inlineStr">
        <is>
          <t>大阪</t>
        </is>
      </c>
      <c r="F4" s="72" t="inlineStr">
        <is>
          <t>日新堂株式会社</t>
        </is>
      </c>
      <c r="G4" s="118">
        <f>IF(ISBLANK([1]!tbl_採番[[#This Row],[年]]),"",(RIGHT([1]!tbl_採番[[#This Row],[年]],2)&amp;TEXT([1]!tbl_採番[[#This Row],[月]],"00")&amp;"-1"&amp;TEXT(COUNTIFS(B$3:B4,B4,C$3:C4,C4),"000")&amp;"-"&amp;_xlfn.XLOOKUP([1]!tbl_採番[[#This Row],[担当者]],[1]入力ルール用シート!$D$2:$D$8,[1]入力ルール用シート!$E$2:$E$8,"",0,1)&amp;_xlfn.XLOOKUP([1]!tbl_採番[[#This Row],[支店]],[1]入力ルール用シート!$F$2:$F$3,[1]入力ルール用シート!$G$2:$G$3,"",0,1)))</f>
        <v/>
      </c>
      <c r="H4" s="209" t="n"/>
    </row>
    <row r="5">
      <c r="A5" s="212">
        <f>ROW([1]!tbl_採番[[#This Row],[ID]])-2</f>
        <v/>
      </c>
      <c r="B5" s="212" t="n">
        <v>2026</v>
      </c>
      <c r="C5" s="209" t="n">
        <v>1</v>
      </c>
      <c r="D5" s="209" t="inlineStr">
        <is>
          <t>永井</t>
        </is>
      </c>
      <c r="E5" s="209" t="inlineStr">
        <is>
          <t>大阪</t>
        </is>
      </c>
      <c r="F5" s="72" t="inlineStr">
        <is>
          <t>オーセントホテルズ（楽水山）</t>
        </is>
      </c>
      <c r="G5" s="118">
        <f>IF(ISBLANK([1]!tbl_採番[[#This Row],[年]]),"",(RIGHT([1]!tbl_採番[[#This Row],[年]],2)&amp;TEXT([1]!tbl_採番[[#This Row],[月]],"00")&amp;"-1"&amp;TEXT(COUNTIFS(B$3:B5,B5,C$3:C5,C5),"000")&amp;"-"&amp;_xlfn.XLOOKUP([1]!tbl_採番[[#This Row],[担当者]],[1]入力ルール用シート!$D$2:$D$8,[1]入力ルール用シート!$E$2:$E$8,"",0,1)&amp;_xlfn.XLOOKUP([1]!tbl_採番[[#This Row],[支店]],[1]入力ルール用シート!$F$2:$F$3,[1]入力ルール用シート!$G$2:$G$3,"",0,1)))</f>
        <v/>
      </c>
      <c r="H5" s="209" t="n"/>
    </row>
    <row r="6">
      <c r="A6" s="212">
        <f>ROW([1]!tbl_採番[[#This Row],[ID]])-2</f>
        <v/>
      </c>
      <c r="B6" s="212" t="n">
        <v>2026</v>
      </c>
      <c r="C6" s="209" t="n">
        <v>1</v>
      </c>
      <c r="D6" s="209" t="inlineStr">
        <is>
          <t>杉田</t>
        </is>
      </c>
      <c r="E6" s="209" t="inlineStr">
        <is>
          <t>大阪</t>
        </is>
      </c>
      <c r="F6" s="72" t="inlineStr">
        <is>
          <t>ホロニック（ガーデンシティクラブ大阪）</t>
        </is>
      </c>
      <c r="G6" s="118">
        <f>IF(ISBLANK([1]!tbl_採番[[#This Row],[年]]),"",(RIGHT([1]!tbl_採番[[#This Row],[年]],2)&amp;TEXT([1]!tbl_採番[[#This Row],[月]],"00")&amp;"-1"&amp;TEXT(COUNTIFS(B$3:B6,B6,C$3:C6,C6),"000")&amp;"-"&amp;_xlfn.XLOOKUP([1]!tbl_採番[[#This Row],[担当者]],[1]入力ルール用シート!$D$2:$D$8,[1]入力ルール用シート!$E$2:$E$8,"",0,1)&amp;_xlfn.XLOOKUP([1]!tbl_採番[[#This Row],[支店]],[1]入力ルール用シート!$F$2:$F$3,[1]入力ルール用シート!$G$2:$G$3,"",0,1)))</f>
        <v/>
      </c>
      <c r="H6" s="209" t="n"/>
    </row>
    <row r="7">
      <c r="A7" s="212">
        <f>ROW([1]!tbl_採番[[#This Row],[ID]])-2</f>
        <v/>
      </c>
      <c r="B7" s="212" t="n">
        <v>2026</v>
      </c>
      <c r="C7" s="209" t="n">
        <v>1</v>
      </c>
      <c r="D7" s="209" t="inlineStr">
        <is>
          <t>杉田</t>
        </is>
      </c>
      <c r="E7" s="209" t="inlineStr">
        <is>
          <t>大阪</t>
        </is>
      </c>
      <c r="F7" s="72" t="inlineStr">
        <is>
          <t>日新堂株式会社</t>
        </is>
      </c>
      <c r="G7" s="118">
        <f>IF(ISBLANK([1]!tbl_採番[[#This Row],[年]]),"",(RIGHT([1]!tbl_採番[[#This Row],[年]],2)&amp;TEXT([1]!tbl_採番[[#This Row],[月]],"00")&amp;"-1"&amp;TEXT(COUNTIFS(B$3:B7,B7,C$3:C7,C7),"000")&amp;"-"&amp;_xlfn.XLOOKUP([1]!tbl_採番[[#This Row],[担当者]],[1]入力ルール用シート!$D$2:$D$8,[1]入力ルール用シート!$E$2:$E$8,"",0,1)&amp;_xlfn.XLOOKUP([1]!tbl_採番[[#This Row],[支店]],[1]入力ルール用シート!$F$2:$F$3,[1]入力ルール用シート!$G$2:$G$3,"",0,1)))</f>
        <v/>
      </c>
      <c r="H7" s="209" t="n"/>
    </row>
    <row r="8">
      <c r="A8" s="212">
        <f>ROW([1]!tbl_採番[[#This Row],[ID]])-2</f>
        <v/>
      </c>
      <c r="B8" s="212" t="n">
        <v>2026</v>
      </c>
      <c r="C8" s="209" t="n">
        <v>1</v>
      </c>
      <c r="D8" s="209" t="inlineStr">
        <is>
          <t>杉田</t>
        </is>
      </c>
      <c r="E8" s="209" t="inlineStr">
        <is>
          <t>大阪</t>
        </is>
      </c>
      <c r="F8" s="72" t="inlineStr">
        <is>
          <t>雲鶴</t>
        </is>
      </c>
      <c r="G8" s="118">
        <f>IF(ISBLANK([1]!tbl_採番[[#This Row],[年]]),"",(RIGHT([1]!tbl_採番[[#This Row],[年]],2)&amp;TEXT([1]!tbl_採番[[#This Row],[月]],"00")&amp;"-1"&amp;TEXT(COUNTIFS(B$3:B8,B8,C$3:C8,C8),"000")&amp;"-"&amp;_xlfn.XLOOKUP([1]!tbl_採番[[#This Row],[担当者]],[1]入力ルール用シート!$D$2:$D$8,[1]入力ルール用シート!$E$2:$E$8,"",0,1)&amp;_xlfn.XLOOKUP([1]!tbl_採番[[#This Row],[支店]],[1]入力ルール用シート!$F$2:$F$3,[1]入力ルール用シート!$G$2:$G$3,"",0,1)))</f>
        <v/>
      </c>
      <c r="H8" s="209" t="n"/>
    </row>
    <row r="9">
      <c r="A9" s="212">
        <f>ROW([1]!tbl_採番[[#This Row],[ID]])-2</f>
        <v/>
      </c>
      <c r="B9" s="212" t="n">
        <v>2026</v>
      </c>
      <c r="C9" s="209" t="n">
        <v>1</v>
      </c>
      <c r="D9" s="209" t="inlineStr">
        <is>
          <t>杉田</t>
        </is>
      </c>
      <c r="E9" s="209" t="inlineStr">
        <is>
          <t>大阪</t>
        </is>
      </c>
      <c r="F9" s="72" t="inlineStr">
        <is>
          <t>オーセントホテルズ株式会社</t>
        </is>
      </c>
      <c r="G9" s="118">
        <f>IF(ISBLANK([1]!tbl_採番[[#This Row],[年]]),"",(RIGHT([1]!tbl_採番[[#This Row],[年]],2)&amp;TEXT([1]!tbl_採番[[#This Row],[月]],"00")&amp;"-1"&amp;TEXT(COUNTIFS(B$3:B9,B9,C$3:C9,C9),"000")&amp;"-"&amp;_xlfn.XLOOKUP([1]!tbl_採番[[#This Row],[担当者]],[1]入力ルール用シート!$D$2:$D$8,[1]入力ルール用シート!$E$2:$E$8,"",0,1)&amp;_xlfn.XLOOKUP([1]!tbl_採番[[#This Row],[支店]],[1]入力ルール用シート!$F$2:$F$3,[1]入力ルール用シート!$G$2:$G$3,"",0,1)))</f>
        <v/>
      </c>
      <c r="H9" s="209" t="n"/>
    </row>
    <row r="10">
      <c r="A10" s="212">
        <f>ROW([1]!tbl_採番[[#This Row],[ID]])-2</f>
        <v/>
      </c>
      <c r="B10" s="212" t="n">
        <v>2026</v>
      </c>
      <c r="C10" s="209" t="n">
        <v>2</v>
      </c>
      <c r="D10" s="209" t="inlineStr">
        <is>
          <t>永井</t>
        </is>
      </c>
      <c r="E10" s="209" t="inlineStr">
        <is>
          <t>大阪</t>
        </is>
      </c>
      <c r="F10" s="72" t="inlineStr">
        <is>
          <t>フェリーサービス株式会社</t>
        </is>
      </c>
      <c r="G10" s="118">
        <f>IF(ISBLANK([1]!tbl_採番[[#This Row],[年]]),"",(RIGHT([1]!tbl_採番[[#This Row],[年]],2)&amp;TEXT([1]!tbl_採番[[#This Row],[月]],"00")&amp;"-1"&amp;TEXT(COUNTIFS(B$3:B10,B10,C$3:C10,C10),"000")&amp;"-"&amp;_xlfn.XLOOKUP([1]!tbl_採番[[#This Row],[担当者]],[1]入力ルール用シート!$D$2:$D$8,[1]入力ルール用シート!$E$2:$E$8,"",0,1)&amp;_xlfn.XLOOKUP([1]!tbl_採番[[#This Row],[支店]],[1]入力ルール用シート!$F$2:$F$3,[1]入力ルール用シート!$G$2:$G$3,"",0,1)))</f>
        <v/>
      </c>
      <c r="H10" s="209" t="n"/>
    </row>
    <row r="11">
      <c r="A11" s="212">
        <f>ROW([1]!tbl_採番[[#This Row],[ID]])-2</f>
        <v/>
      </c>
      <c r="B11" s="212" t="n">
        <v>2026</v>
      </c>
      <c r="C11" s="209" t="n">
        <v>2</v>
      </c>
      <c r="D11" s="209" t="inlineStr">
        <is>
          <t>門永</t>
        </is>
      </c>
      <c r="E11" s="209" t="inlineStr">
        <is>
          <t>大阪</t>
        </is>
      </c>
      <c r="F11" s="72" t="inlineStr">
        <is>
          <t>NISSHAビジネスサービス</t>
        </is>
      </c>
      <c r="G11" s="118">
        <f>IF(ISBLANK([1]!tbl_採番[[#This Row],[年]]),"",(RIGHT([1]!tbl_採番[[#This Row],[年]],2)&amp;TEXT([1]!tbl_採番[[#This Row],[月]],"00")&amp;"-1"&amp;TEXT(COUNTIFS(B$3:B11,B11,C$3:C11,C11),"000")&amp;"-"&amp;_xlfn.XLOOKUP([1]!tbl_採番[[#This Row],[担当者]],[1]入力ルール用シート!$D$2:$D$8,[1]入力ルール用シート!$E$2:$E$8,"",0,1)&amp;_xlfn.XLOOKUP([1]!tbl_採番[[#This Row],[支店]],[1]入力ルール用シート!$F$2:$F$3,[1]入力ルール用シート!$G$2:$G$3,"",0,1)))</f>
        <v/>
      </c>
      <c r="H11" s="209" t="n"/>
    </row>
    <row r="12">
      <c r="A12" s="212">
        <f>ROW([1]!tbl_採番[[#This Row],[ID]])-2</f>
        <v/>
      </c>
      <c r="B12" s="212" t="n">
        <v>2026</v>
      </c>
      <c r="C12" s="209" t="n">
        <v>2</v>
      </c>
      <c r="D12" s="209" t="inlineStr">
        <is>
          <t>杉田</t>
        </is>
      </c>
      <c r="E12" s="209" t="inlineStr">
        <is>
          <t>大阪</t>
        </is>
      </c>
      <c r="F12" s="72" t="inlineStr">
        <is>
          <t>日新堂株式会社</t>
        </is>
      </c>
      <c r="G12" s="118">
        <f>IF(ISBLANK([1]!tbl_採番[[#This Row],[年]]),"",(RIGHT([1]!tbl_採番[[#This Row],[年]],2)&amp;TEXT([1]!tbl_採番[[#This Row],[月]],"00")&amp;"-1"&amp;TEXT(COUNTIFS(B$3:B12,B12,C$3:C12,C12),"000")&amp;"-"&amp;_xlfn.XLOOKUP([1]!tbl_採番[[#This Row],[担当者]],[1]入力ルール用シート!$D$2:$D$8,[1]入力ルール用シート!$E$2:$E$8,"",0,1)&amp;_xlfn.XLOOKUP([1]!tbl_採番[[#This Row],[支店]],[1]入力ルール用シート!$F$2:$F$3,[1]入力ルール用シート!$G$2:$G$3,"",0,1)))</f>
        <v/>
      </c>
      <c r="H12" s="209" t="n"/>
    </row>
    <row r="13">
      <c r="A13" s="212">
        <f>ROW([1]!tbl_採番[[#This Row],[ID]])-2</f>
        <v/>
      </c>
      <c r="B13" s="212" t="n">
        <v>2026</v>
      </c>
      <c r="C13" s="209" t="n">
        <v>2</v>
      </c>
      <c r="D13" s="209" t="inlineStr">
        <is>
          <t>杉田</t>
        </is>
      </c>
      <c r="E13" s="209" t="inlineStr">
        <is>
          <t>大阪</t>
        </is>
      </c>
      <c r="F13" s="72" t="inlineStr">
        <is>
          <t>日新堂株式会社</t>
        </is>
      </c>
      <c r="G13" s="118">
        <f>IF(ISBLANK([1]!tbl_採番[[#This Row],[年]]),"",(RIGHT([1]!tbl_採番[[#This Row],[年]],2)&amp;TEXT([1]!tbl_採番[[#This Row],[月]],"00")&amp;"-1"&amp;TEXT(COUNTIFS(B$3:B13,B13,C$3:C13,C13),"000")&amp;"-"&amp;_xlfn.XLOOKUP([1]!tbl_採番[[#This Row],[担当者]],[1]入力ルール用シート!$D$2:$D$8,[1]入力ルール用シート!$E$2:$E$8,"",0,1)&amp;_xlfn.XLOOKUP([1]!tbl_採番[[#This Row],[支店]],[1]入力ルール用シート!$F$2:$F$3,[1]入力ルール用シート!$G$2:$G$3,"",0,1)))</f>
        <v/>
      </c>
      <c r="H13" s="209" t="n"/>
    </row>
    <row r="14">
      <c r="A14" s="212">
        <f>ROW([1]!tbl_採番[[#This Row],[ID]])-2</f>
        <v/>
      </c>
      <c r="B14" s="212" t="n">
        <v>2026</v>
      </c>
      <c r="C14" s="209" t="n">
        <v>2</v>
      </c>
      <c r="D14" s="209" t="inlineStr">
        <is>
          <t>門永</t>
        </is>
      </c>
      <c r="E14" s="209" t="inlineStr">
        <is>
          <t>大阪</t>
        </is>
      </c>
      <c r="F14" s="72" t="inlineStr">
        <is>
          <t>NISSHAビジネスサービス</t>
        </is>
      </c>
      <c r="G14" s="118">
        <f>IF(ISBLANK([1]!tbl_採番[[#This Row],[年]]),"",(RIGHT([1]!tbl_採番[[#This Row],[年]],2)&amp;TEXT([1]!tbl_採番[[#This Row],[月]],"00")&amp;"-1"&amp;TEXT(COUNTIFS(B$3:B14,B14,C$3:C14,C14),"000")&amp;"-"&amp;_xlfn.XLOOKUP([1]!tbl_採番[[#This Row],[担当者]],[1]入力ルール用シート!$D$2:$D$8,[1]入力ルール用シート!$E$2:$E$8,"",0,1)&amp;_xlfn.XLOOKUP([1]!tbl_採番[[#This Row],[支店]],[1]入力ルール用シート!$F$2:$F$3,[1]入力ルール用シート!$G$2:$G$3,"",0,1)))</f>
        <v/>
      </c>
      <c r="H14" s="209" t="n"/>
    </row>
    <row r="15">
      <c r="A15" s="212">
        <f>ROW([1]!tbl_採番[[#This Row],[ID]])-2</f>
        <v/>
      </c>
      <c r="B15" s="212" t="n">
        <v>2026</v>
      </c>
      <c r="C15" s="209" t="n">
        <v>2</v>
      </c>
      <c r="D15" s="209" t="inlineStr">
        <is>
          <t>杉田</t>
        </is>
      </c>
      <c r="E15" s="209" t="inlineStr">
        <is>
          <t>大阪</t>
        </is>
      </c>
      <c r="F15" s="72" t="inlineStr">
        <is>
          <t>雲鶴</t>
        </is>
      </c>
      <c r="G15" s="118">
        <f>IF(ISBLANK([1]!tbl_採番[[#This Row],[年]]),"",(RIGHT([1]!tbl_採番[[#This Row],[年]],2)&amp;TEXT([1]!tbl_採番[[#This Row],[月]],"00")&amp;"-1"&amp;TEXT(COUNTIFS(B$3:B15,B15,C$3:C15,C15),"000")&amp;"-"&amp;_xlfn.XLOOKUP([1]!tbl_採番[[#This Row],[担当者]],[1]入力ルール用シート!$D$2:$D$8,[1]入力ルール用シート!$E$2:$E$8,"",0,1)&amp;_xlfn.XLOOKUP([1]!tbl_採番[[#This Row],[支店]],[1]入力ルール用シート!$F$2:$F$3,[1]入力ルール用シート!$G$2:$G$3,"",0,1)))</f>
        <v/>
      </c>
      <c r="H15" s="209" t="inlineStr">
        <is>
          <t>牛脂</t>
        </is>
      </c>
    </row>
    <row r="16">
      <c r="A16" s="212">
        <f>ROW([1]!tbl_採番[[#This Row],[ID]])-2</f>
        <v/>
      </c>
      <c r="B16" s="212" t="n">
        <v>2026</v>
      </c>
      <c r="C16" s="209" t="n">
        <v>3</v>
      </c>
      <c r="D16" s="209" t="inlineStr">
        <is>
          <t>杉田</t>
        </is>
      </c>
      <c r="E16" s="209" t="inlineStr">
        <is>
          <t>大阪</t>
        </is>
      </c>
      <c r="F16" s="72" t="inlineStr">
        <is>
          <t>オーセントホテルズ株式会社</t>
        </is>
      </c>
      <c r="G16" s="118">
        <f>IF(ISBLANK([1]!tbl_採番[[#This Row],[年]]),"",(RIGHT([1]!tbl_採番[[#This Row],[年]],2)&amp;TEXT([1]!tbl_採番[[#This Row],[月]],"00")&amp;"-1"&amp;TEXT(COUNTIFS(B$3:B16,B16,C$3:C16,C16),"000")&amp;"-"&amp;_xlfn.XLOOKUP([1]!tbl_採番[[#This Row],[担当者]],[1]入力ルール用シート!$D$2:$D$8,[1]入力ルール用シート!$E$2:$E$8,"",0,1)&amp;_xlfn.XLOOKUP([1]!tbl_採番[[#This Row],[支店]],[1]入力ルール用シート!$F$2:$F$3,[1]入力ルール用シート!$G$2:$G$3,"",0,1)))</f>
        <v/>
      </c>
      <c r="H16" s="209" t="inlineStr">
        <is>
          <t>備長炭</t>
        </is>
      </c>
    </row>
    <row r="17">
      <c r="A17" s="212">
        <f>ROW([1]!tbl_採番[[#This Row],[ID]])-2</f>
        <v/>
      </c>
      <c r="B17" s="212" t="n">
        <v>2026</v>
      </c>
      <c r="C17" s="209" t="n">
        <v>3</v>
      </c>
      <c r="D17" s="209" t="inlineStr">
        <is>
          <t>杉田</t>
        </is>
      </c>
      <c r="E17" s="209" t="inlineStr">
        <is>
          <t>大阪</t>
        </is>
      </c>
      <c r="F17" s="72" t="inlineStr">
        <is>
          <t>下関グランドホテル株式会社</t>
        </is>
      </c>
      <c r="G17" s="118">
        <f>IF(ISBLANK([1]!tbl_採番[[#This Row],[年]]),"",(RIGHT([1]!tbl_採番[[#This Row],[年]],2)&amp;TEXT([1]!tbl_採番[[#This Row],[月]],"00")&amp;"-1"&amp;TEXT(COUNTIFS(B$3:B17,B17,C$3:C17,C17),"000")&amp;"-"&amp;_xlfn.XLOOKUP([1]!tbl_採番[[#This Row],[担当者]],[1]入力ルール用シート!$D$2:$D$8,[1]入力ルール用シート!$E$2:$E$8,"",0,1)&amp;_xlfn.XLOOKUP([1]!tbl_採番[[#This Row],[支店]],[1]入力ルール用シート!$F$2:$F$3,[1]入力ルール用シート!$G$2:$G$3,"",0,1)))</f>
        <v/>
      </c>
      <c r="H17" s="209" t="inlineStr">
        <is>
          <t>あつまいも（商品なし）</t>
        </is>
      </c>
    </row>
    <row r="18">
      <c r="A18" s="213">
        <f>ROW([1]!tbl_採番[[#This Row],[ID]])-2</f>
        <v/>
      </c>
      <c r="B18" s="212" t="n">
        <v>2026</v>
      </c>
      <c r="C18" s="209" t="n">
        <v>3</v>
      </c>
      <c r="D18" s="209" t="inlineStr">
        <is>
          <t>杉田</t>
        </is>
      </c>
      <c r="E18" s="209" t="inlineStr">
        <is>
          <t>大阪</t>
        </is>
      </c>
      <c r="F18" s="72" t="inlineStr">
        <is>
          <t>オーセントホテルズ株式会社</t>
        </is>
      </c>
      <c r="G18" s="118">
        <f>IF(ISBLANK([1]!tbl_採番[[#This Row],[年]]),"",(RIGHT([1]!tbl_採番[[#This Row],[年]],2)&amp;TEXT([1]!tbl_採番[[#This Row],[月]],"00")&amp;"-1"&amp;TEXT(COUNTIFS(B$3:B18,B18,C$3:C18,C18),"000")&amp;"-"&amp;_xlfn.XLOOKUP([1]!tbl_採番[[#This Row],[担当者]],[1]入力ルール用シート!$D$2:$D$8,[1]入力ルール用シート!$E$2:$E$8,"",0,1)&amp;_xlfn.XLOOKUP([1]!tbl_採番[[#This Row],[支店]],[1]入力ルール用シート!$F$2:$F$3,[1]入力ルール用シート!$G$2:$G$3,"",0,1)))</f>
        <v/>
      </c>
      <c r="H18" s="209" t="inlineStr">
        <is>
          <t>不知火（商品なし）</t>
        </is>
      </c>
    </row>
    <row r="19" s="207">
      <c r="A19" s="212">
        <f>ROW([1]!tbl_採番[[#This Row],[ID]])-2</f>
        <v/>
      </c>
      <c r="B19" s="212" t="n">
        <v>2026</v>
      </c>
      <c r="C19" s="209" t="n">
        <v>3</v>
      </c>
      <c r="D19" s="209" t="inlineStr">
        <is>
          <t>杉田</t>
        </is>
      </c>
      <c r="E19" s="209" t="inlineStr">
        <is>
          <t>大阪</t>
        </is>
      </c>
      <c r="F19" s="72" t="inlineStr">
        <is>
          <t>加古川ヤマトヤシキ</t>
        </is>
      </c>
      <c r="G19" s="118">
        <f>IF(ISBLANK([1]!tbl_採番[[#This Row],[年]]),"",(RIGHT([1]!tbl_採番[[#This Row],[年]],2)&amp;TEXT([1]!tbl_採番[[#This Row],[月]],"00")&amp;"-1"&amp;TEXT(COUNTIFS(B$3:B19,B19,C$3:C19,C19),"000")&amp;"-"&amp;_xlfn.XLOOKUP([1]!tbl_採番[[#This Row],[担当者]],[1]入力ルール用シート!$D$2:$D$8,[1]入力ルール用シート!$E$2:$E$8,"",0,1)&amp;_xlfn.XLOOKUP([1]!tbl_採番[[#This Row],[支店]],[1]入力ルール用シート!$F$2:$F$3,[1]入力ルール用シート!$G$2:$G$3,"",0,1)))</f>
        <v/>
      </c>
      <c r="H19" s="209" t="inlineStr">
        <is>
          <t>各種</t>
        </is>
      </c>
    </row>
    <row r="20">
      <c r="A20" s="212">
        <f>ROW([1]!tbl_採番[[#This Row],[ID]])-2</f>
        <v/>
      </c>
      <c r="B20" s="212" t="n"/>
      <c r="C20" s="209" t="n"/>
      <c r="D20" s="209" t="n"/>
      <c r="E20" s="209" t="n"/>
      <c r="F20" s="72" t="n"/>
      <c r="G20" s="118">
        <f>IF(ISBLANK([1]!tbl_採番[[#This Row],[年]]),"",(RIGHT([1]!tbl_採番[[#This Row],[年]],2)&amp;TEXT([1]!tbl_採番[[#This Row],[月]],"00")&amp;"-1"&amp;TEXT(COUNTIFS(B$3:B20,B20,C$3:C20,C20),"000")&amp;"-"&amp;_xlfn.XLOOKUP([1]!tbl_採番[[#This Row],[担当者]],[1]入力ルール用シート!$D$2:$D$8,[1]入力ルール用シート!$E$2:$E$8,"",0,1)&amp;_xlfn.XLOOKUP([1]!tbl_採番[[#This Row],[支店]],[1]入力ルール用シート!$F$2:$F$3,[1]入力ルール用シート!$G$2:$G$3,"",0,1)))</f>
        <v/>
      </c>
      <c r="H20" s="209" t="n"/>
    </row>
    <row r="21">
      <c r="A21" s="212">
        <f>ROW([1]!tbl_採番[[#This Row],[ID]])-2</f>
        <v/>
      </c>
      <c r="B21" s="212" t="n"/>
      <c r="C21" s="209" t="n"/>
      <c r="D21" s="209" t="n"/>
      <c r="E21" s="209" t="n"/>
      <c r="F21" s="72" t="n"/>
      <c r="G21" s="118">
        <f>IF(ISBLANK([1]!tbl_採番[[#This Row],[年]]),"",(RIGHT([1]!tbl_採番[[#This Row],[年]],2)&amp;TEXT([1]!tbl_採番[[#This Row],[月]],"00")&amp;"-1"&amp;TEXT(COUNTIFS(B$3:B21,B21,C$3:C21,C21),"000")&amp;"-"&amp;_xlfn.XLOOKUP([1]!tbl_採番[[#This Row],[担当者]],[1]入力ルール用シート!$D$2:$D$8,[1]入力ルール用シート!$E$2:$E$8,"",0,1)&amp;_xlfn.XLOOKUP([1]!tbl_採番[[#This Row],[支店]],[1]入力ルール用シート!$F$2:$F$3,[1]入力ルール用シート!$G$2:$G$3,"",0,1)))</f>
        <v/>
      </c>
      <c r="H21" s="209" t="n"/>
    </row>
    <row r="22">
      <c r="A22" s="212">
        <f>ROW([1]!tbl_採番[[#This Row],[ID]])-2</f>
        <v/>
      </c>
      <c r="B22" s="212" t="n"/>
      <c r="C22" s="209" t="n"/>
      <c r="D22" s="209" t="n"/>
      <c r="E22" s="209" t="n"/>
      <c r="F22" s="72" t="n"/>
      <c r="G22" s="118">
        <f>IF(ISBLANK([1]!tbl_採番[[#This Row],[年]]),"",(RIGHT([1]!tbl_採番[[#This Row],[年]],2)&amp;TEXT([1]!tbl_採番[[#This Row],[月]],"00")&amp;"-1"&amp;TEXT(COUNTIFS(B$3:B22,B22,C$3:C22,C22),"000")&amp;"-"&amp;_xlfn.XLOOKUP([1]!tbl_採番[[#This Row],[担当者]],[1]入力ルール用シート!$D$2:$D$8,[1]入力ルール用シート!$E$2:$E$8,"",0,1)&amp;_xlfn.XLOOKUP([1]!tbl_採番[[#This Row],[支店]],[1]入力ルール用シート!$F$2:$F$3,[1]入力ルール用シート!$G$2:$G$3,"",0,1)))</f>
        <v/>
      </c>
      <c r="H22" s="209" t="n"/>
    </row>
    <row r="23">
      <c r="A23" s="212">
        <f>ROW([1]!tbl_採番[[#This Row],[ID]])-2</f>
        <v/>
      </c>
      <c r="B23" s="212" t="n"/>
      <c r="C23" s="209" t="n"/>
      <c r="D23" s="209" t="n"/>
      <c r="E23" s="209" t="n"/>
      <c r="F23" s="72" t="n"/>
      <c r="G23" s="118">
        <f>IF(ISBLANK([1]!tbl_採番[[#This Row],[年]]),"",(RIGHT([1]!tbl_採番[[#This Row],[年]],2)&amp;TEXT([1]!tbl_採番[[#This Row],[月]],"00")&amp;"-1"&amp;TEXT(COUNTIFS(B$3:B23,B23,C$3:C23,C23),"000")&amp;"-"&amp;_xlfn.XLOOKUP([1]!tbl_採番[[#This Row],[担当者]],[1]入力ルール用シート!$D$2:$D$8,[1]入力ルール用シート!$E$2:$E$8,"",0,1)&amp;_xlfn.XLOOKUP([1]!tbl_採番[[#This Row],[支店]],[1]入力ルール用シート!$F$2:$F$3,[1]入力ルール用シート!$G$2:$G$3,"",0,1)))</f>
        <v/>
      </c>
      <c r="H23" s="209" t="n"/>
    </row>
    <row r="24">
      <c r="A24" s="212">
        <f>ROW([1]!tbl_採番[[#This Row],[ID]])-2</f>
        <v/>
      </c>
      <c r="B24" s="212" t="n"/>
      <c r="C24" s="209" t="n"/>
      <c r="D24" s="209" t="n"/>
      <c r="E24" s="209" t="n"/>
      <c r="F24" s="72" t="n"/>
      <c r="G24" s="118">
        <f>IF(ISBLANK([1]!tbl_採番[[#This Row],[年]]),"",(RIGHT([1]!tbl_採番[[#This Row],[年]],2)&amp;TEXT([1]!tbl_採番[[#This Row],[月]],"00")&amp;"-1"&amp;TEXT(COUNTIFS(B$3:B24,B24,C$3:C24,C24),"000")&amp;"-"&amp;_xlfn.XLOOKUP([1]!tbl_採番[[#This Row],[担当者]],[1]入力ルール用シート!$D$2:$D$8,[1]入力ルール用シート!$E$2:$E$8,"",0,1)&amp;_xlfn.XLOOKUP([1]!tbl_採番[[#This Row],[支店]],[1]入力ルール用シート!$F$2:$F$3,[1]入力ルール用シート!$G$2:$G$3,"",0,1)))</f>
        <v/>
      </c>
      <c r="H24" s="209" t="n"/>
    </row>
    <row r="25">
      <c r="A25" s="212">
        <f>ROW([1]!tbl_採番[[#This Row],[ID]])-2</f>
        <v/>
      </c>
      <c r="B25" s="212" t="n"/>
      <c r="C25" s="209" t="n"/>
      <c r="D25" s="209" t="n"/>
      <c r="E25" s="209" t="n"/>
      <c r="F25" s="72" t="n"/>
      <c r="G25" s="118">
        <f>IF(ISBLANK([1]!tbl_採番[[#This Row],[年]]),"",(RIGHT([1]!tbl_採番[[#This Row],[年]],2)&amp;TEXT([1]!tbl_採番[[#This Row],[月]],"00")&amp;"-1"&amp;TEXT(COUNTIFS(B$3:B25,B25,C$3:C25,C25),"000")&amp;"-"&amp;_xlfn.XLOOKUP([1]!tbl_採番[[#This Row],[担当者]],[1]入力ルール用シート!$D$2:$D$8,[1]入力ルール用シート!$E$2:$E$8,"",0,1)&amp;_xlfn.XLOOKUP([1]!tbl_採番[[#This Row],[支店]],[1]入力ルール用シート!$F$2:$F$3,[1]入力ルール用シート!$G$2:$G$3,"",0,1)))</f>
        <v/>
      </c>
      <c r="H25" s="209" t="n"/>
    </row>
    <row r="26">
      <c r="A26" s="212">
        <f>ROW([1]!tbl_採番[[#This Row],[ID]])-2</f>
        <v/>
      </c>
      <c r="B26" s="212" t="n"/>
      <c r="C26" s="209" t="n"/>
      <c r="D26" s="209" t="n"/>
      <c r="E26" s="209" t="n"/>
      <c r="F26" s="72" t="n"/>
      <c r="G26" s="118">
        <f>IF(ISBLANK([1]!tbl_採番[[#This Row],[年]]),"",(RIGHT([1]!tbl_採番[[#This Row],[年]],2)&amp;TEXT([1]!tbl_採番[[#This Row],[月]],"00")&amp;"-1"&amp;TEXT(COUNTIFS(B$3:B26,B26,C$3:C26,C26),"000")&amp;"-"&amp;_xlfn.XLOOKUP([1]!tbl_採番[[#This Row],[担当者]],[1]入力ルール用シート!$D$2:$D$8,[1]入力ルール用シート!$E$2:$E$8,"",0,1)&amp;_xlfn.XLOOKUP([1]!tbl_採番[[#This Row],[支店]],[1]入力ルール用シート!$F$2:$F$3,[1]入力ルール用シート!$G$2:$G$3,"",0,1)))</f>
        <v/>
      </c>
      <c r="H26" s="209" t="n"/>
    </row>
    <row r="27">
      <c r="A27" s="212">
        <f>ROW([1]!tbl_採番[[#This Row],[ID]])-2</f>
        <v/>
      </c>
      <c r="B27" s="212" t="n"/>
      <c r="C27" s="209" t="n"/>
      <c r="D27" s="209" t="n"/>
      <c r="E27" s="209" t="n"/>
      <c r="F27" s="72" t="n"/>
      <c r="G27" s="118">
        <f>IF(ISBLANK([1]!tbl_採番[[#This Row],[年]]),"",(RIGHT([1]!tbl_採番[[#This Row],[年]],2)&amp;TEXT([1]!tbl_採番[[#This Row],[月]],"00")&amp;"-1"&amp;TEXT(COUNTIFS(B$3:B27,B27,C$3:C27,C27),"000")&amp;"-"&amp;_xlfn.XLOOKUP([1]!tbl_採番[[#This Row],[担当者]],[1]入力ルール用シート!$D$2:$D$8,[1]入力ルール用シート!$E$2:$E$8,"",0,1)&amp;_xlfn.XLOOKUP([1]!tbl_採番[[#This Row],[支店]],[1]入力ルール用シート!$F$2:$F$3,[1]入力ルール用シート!$G$2:$G$3,"",0,1)))</f>
        <v/>
      </c>
      <c r="H27" s="209" t="n"/>
    </row>
    <row r="28">
      <c r="A28" s="212">
        <f>ROW([1]!tbl_採番[[#This Row],[ID]])-2</f>
        <v/>
      </c>
      <c r="B28" s="212" t="n"/>
      <c r="C28" s="209" t="n"/>
      <c r="D28" s="209" t="n"/>
      <c r="E28" s="209" t="n"/>
      <c r="F28" s="72" t="n"/>
      <c r="G28" s="118">
        <f>IF(ISBLANK([1]!tbl_採番[[#This Row],[年]]),"",(RIGHT([1]!tbl_採番[[#This Row],[年]],2)&amp;TEXT([1]!tbl_採番[[#This Row],[月]],"00")&amp;"-1"&amp;TEXT(COUNTIFS(B$3:B28,B28,C$3:C28,C28),"000")&amp;"-"&amp;_xlfn.XLOOKUP([1]!tbl_採番[[#This Row],[担当者]],[1]入力ルール用シート!$D$2:$D$8,[1]入力ルール用シート!$E$2:$E$8,"",0,1)&amp;_xlfn.XLOOKUP([1]!tbl_採番[[#This Row],[支店]],[1]入力ルール用シート!$F$2:$F$3,[1]入力ルール用シート!$G$2:$G$3,"",0,1)))</f>
        <v/>
      </c>
      <c r="H28" s="209" t="n"/>
    </row>
    <row r="29">
      <c r="A29" s="212">
        <f>ROW([1]!tbl_採番[[#This Row],[ID]])-2</f>
        <v/>
      </c>
      <c r="B29" s="212" t="n"/>
      <c r="C29" s="209" t="n"/>
      <c r="D29" s="209" t="n"/>
      <c r="E29" s="209" t="n"/>
      <c r="F29" s="72" t="n"/>
      <c r="G29" s="118">
        <f>IF(ISBLANK([1]!tbl_採番[[#This Row],[年]]),"",(RIGHT([1]!tbl_採番[[#This Row],[年]],2)&amp;TEXT([1]!tbl_採番[[#This Row],[月]],"00")&amp;"-1"&amp;TEXT(COUNTIFS(B$3:B29,B29,C$3:C29,C29),"000")&amp;"-"&amp;_xlfn.XLOOKUP([1]!tbl_採番[[#This Row],[担当者]],[1]入力ルール用シート!$D$2:$D$8,[1]入力ルール用シート!$E$2:$E$8,"",0,1)&amp;_xlfn.XLOOKUP([1]!tbl_採番[[#This Row],[支店]],[1]入力ルール用シート!$F$2:$F$3,[1]入力ルール用シート!$G$2:$G$3,"",0,1)))</f>
        <v/>
      </c>
      <c r="H29" s="209" t="n"/>
    </row>
    <row r="30">
      <c r="A30" s="212">
        <f>ROW([1]!tbl_採番[[#This Row],[ID]])-2</f>
        <v/>
      </c>
      <c r="B30" s="212" t="n"/>
      <c r="C30" s="209" t="n"/>
      <c r="D30" s="209" t="n"/>
      <c r="E30" s="209" t="n"/>
      <c r="F30" s="72" t="n"/>
      <c r="G30" s="118">
        <f>IF(ISBLANK([1]!tbl_採番[[#This Row],[年]]),"",(RIGHT([1]!tbl_採番[[#This Row],[年]],2)&amp;TEXT([1]!tbl_採番[[#This Row],[月]],"00")&amp;"-1"&amp;TEXT(COUNTIFS(B$3:B30,B30,C$3:C30,C30),"000")&amp;"-"&amp;_xlfn.XLOOKUP([1]!tbl_採番[[#This Row],[担当者]],[1]入力ルール用シート!$D$2:$D$8,[1]入力ルール用シート!$E$2:$E$8,"",0,1)&amp;_xlfn.XLOOKUP([1]!tbl_採番[[#This Row],[支店]],[1]入力ルール用シート!$F$2:$F$3,[1]入力ルール用シート!$G$2:$G$3,"",0,1)))</f>
        <v/>
      </c>
      <c r="H30" s="209" t="n"/>
    </row>
    <row r="31">
      <c r="A31" s="212">
        <f>ROW([1]!tbl_採番[[#This Row],[ID]])-2</f>
        <v/>
      </c>
      <c r="B31" s="212" t="n"/>
      <c r="C31" s="209" t="n"/>
      <c r="D31" s="209" t="n"/>
      <c r="E31" s="209" t="n"/>
      <c r="F31" s="72" t="n"/>
      <c r="G31" s="118">
        <f>IF(ISBLANK([1]!tbl_採番[[#This Row],[年]]),"",(RIGHT([1]!tbl_採番[[#This Row],[年]],2)&amp;TEXT([1]!tbl_採番[[#This Row],[月]],"00")&amp;"-1"&amp;TEXT(COUNTIFS(B$3:B31,B31,C$3:C31,C31),"000")&amp;"-"&amp;_xlfn.XLOOKUP([1]!tbl_採番[[#This Row],[担当者]],[1]入力ルール用シート!$D$2:$D$8,[1]入力ルール用シート!$E$2:$E$8,"",0,1)&amp;_xlfn.XLOOKUP([1]!tbl_採番[[#This Row],[支店]],[1]入力ルール用シート!$F$2:$F$3,[1]入力ルール用シート!$G$2:$G$3,"",0,1)))</f>
        <v/>
      </c>
      <c r="H31" s="209" t="n"/>
    </row>
    <row r="32">
      <c r="A32" s="212">
        <f>ROW([1]!tbl_採番[[#This Row],[ID]])-2</f>
        <v/>
      </c>
      <c r="B32" s="212" t="n"/>
      <c r="C32" s="209" t="n"/>
      <c r="D32" s="209" t="n"/>
      <c r="E32" s="209" t="n"/>
      <c r="F32" s="72" t="n"/>
      <c r="G32" s="118">
        <f>IF(ISBLANK([1]!tbl_採番[[#This Row],[年]]),"",(RIGHT([1]!tbl_採番[[#This Row],[年]],2)&amp;TEXT([1]!tbl_採番[[#This Row],[月]],"00")&amp;"-1"&amp;TEXT(COUNTIFS(B$3:B32,B32,C$3:C32,C32),"000")&amp;"-"&amp;_xlfn.XLOOKUP([1]!tbl_採番[[#This Row],[担当者]],[1]入力ルール用シート!$D$2:$D$8,[1]入力ルール用シート!$E$2:$E$8,"",0,1)&amp;_xlfn.XLOOKUP([1]!tbl_採番[[#This Row],[支店]],[1]入力ルール用シート!$F$2:$F$3,[1]入力ルール用シート!$G$2:$G$3,"",0,1)))</f>
        <v/>
      </c>
      <c r="H32" s="209" t="n"/>
    </row>
    <row r="33">
      <c r="A33" s="212">
        <f>ROW([1]!tbl_採番[[#This Row],[ID]])-2</f>
        <v/>
      </c>
      <c r="B33" s="212" t="n"/>
      <c r="C33" s="209" t="n"/>
      <c r="D33" s="209" t="n"/>
      <c r="E33" s="209" t="n"/>
      <c r="F33" s="72" t="n"/>
      <c r="G33" s="118">
        <f>IF(ISBLANK([1]!tbl_採番[[#This Row],[年]]),"",(RIGHT([1]!tbl_採番[[#This Row],[年]],2)&amp;TEXT([1]!tbl_採番[[#This Row],[月]],"00")&amp;"-1"&amp;TEXT(COUNTIFS(B$3:B33,B33,C$3:C33,C33),"000")&amp;"-"&amp;_xlfn.XLOOKUP([1]!tbl_採番[[#This Row],[担当者]],[1]入力ルール用シート!$D$2:$D$8,[1]入力ルール用シート!$E$2:$E$8,"",0,1)&amp;_xlfn.XLOOKUP([1]!tbl_採番[[#This Row],[支店]],[1]入力ルール用シート!$F$2:$F$3,[1]入力ルール用シート!$G$2:$G$3,"",0,1)))</f>
        <v/>
      </c>
      <c r="H33" s="209" t="n"/>
    </row>
    <row r="34">
      <c r="A34" s="212">
        <f>ROW([1]!tbl_採番[[#This Row],[ID]])-2</f>
        <v/>
      </c>
      <c r="B34" s="212" t="n"/>
      <c r="C34" s="209" t="n"/>
      <c r="D34" s="209" t="n"/>
      <c r="E34" s="209" t="n"/>
      <c r="F34" s="72" t="n"/>
      <c r="G34" s="118">
        <f>IF(ISBLANK([1]!tbl_採番[[#This Row],[年]]),"",(RIGHT([1]!tbl_採番[[#This Row],[年]],2)&amp;TEXT([1]!tbl_採番[[#This Row],[月]],"00")&amp;"-1"&amp;TEXT(COUNTIFS(B$3:B34,B34,C$3:C34,C34),"000")&amp;"-"&amp;_xlfn.XLOOKUP([1]!tbl_採番[[#This Row],[担当者]],[1]入力ルール用シート!$D$2:$D$8,[1]入力ルール用シート!$E$2:$E$8,"",0,1)&amp;_xlfn.XLOOKUP([1]!tbl_採番[[#This Row],[支店]],[1]入力ルール用シート!$F$2:$F$3,[1]入力ルール用シート!$G$2:$G$3,"",0,1)))</f>
        <v/>
      </c>
      <c r="H34" s="209" t="n"/>
    </row>
    <row r="35">
      <c r="A35" s="212">
        <f>ROW([1]!tbl_採番[[#This Row],[ID]])-2</f>
        <v/>
      </c>
      <c r="B35" s="212" t="n"/>
      <c r="C35" s="209" t="n"/>
      <c r="D35" s="209" t="n"/>
      <c r="E35" s="209" t="n"/>
      <c r="F35" s="72" t="n"/>
      <c r="G35" s="118">
        <f>IF(ISBLANK([1]!tbl_採番[[#This Row],[年]]),"",(RIGHT([1]!tbl_採番[[#This Row],[年]],2)&amp;TEXT([1]!tbl_採番[[#This Row],[月]],"00")&amp;"-1"&amp;TEXT(COUNTIFS(B$3:B35,B35,C$3:C35,C35),"000")&amp;"-"&amp;_xlfn.XLOOKUP([1]!tbl_採番[[#This Row],[担当者]],[1]入力ルール用シート!$D$2:$D$8,[1]入力ルール用シート!$E$2:$E$8,"",0,1)&amp;_xlfn.XLOOKUP([1]!tbl_採番[[#This Row],[支店]],[1]入力ルール用シート!$F$2:$F$3,[1]入力ルール用シート!$G$2:$G$3,"",0,1)))</f>
        <v/>
      </c>
      <c r="H35" s="209" t="n"/>
    </row>
    <row r="36">
      <c r="A36" s="212">
        <f>ROW([1]!tbl_採番[[#This Row],[ID]])-2</f>
        <v/>
      </c>
      <c r="B36" s="212" t="n"/>
      <c r="C36" s="209" t="n"/>
      <c r="D36" s="209" t="n"/>
      <c r="E36" s="209" t="n"/>
      <c r="F36" s="72" t="n"/>
      <c r="G36" s="118">
        <f>IF(ISBLANK([1]!tbl_採番[[#This Row],[年]]),"",(RIGHT([1]!tbl_採番[[#This Row],[年]],2)&amp;TEXT([1]!tbl_採番[[#This Row],[月]],"00")&amp;"-1"&amp;TEXT(COUNTIFS(B$3:B36,B36,C$3:C36,C36),"000")&amp;"-"&amp;_xlfn.XLOOKUP([1]!tbl_採番[[#This Row],[担当者]],[1]入力ルール用シート!$D$2:$D$8,[1]入力ルール用シート!$E$2:$E$8,"",0,1)&amp;_xlfn.XLOOKUP([1]!tbl_採番[[#This Row],[支店]],[1]入力ルール用シート!$F$2:$F$3,[1]入力ルール用シート!$G$2:$G$3,"",0,1)))</f>
        <v/>
      </c>
      <c r="H36" s="209" t="n"/>
    </row>
    <row r="37">
      <c r="A37" s="212">
        <f>ROW([1]!tbl_採番[[#This Row],[ID]])-2</f>
        <v/>
      </c>
      <c r="B37" s="212" t="n"/>
      <c r="C37" s="209" t="n"/>
      <c r="D37" s="209" t="n"/>
      <c r="E37" s="209" t="n"/>
      <c r="F37" s="72" t="n"/>
      <c r="G37" s="118">
        <f>IF(ISBLANK([1]!tbl_採番[[#This Row],[年]]),"",(RIGHT([1]!tbl_採番[[#This Row],[年]],2)&amp;TEXT([1]!tbl_採番[[#This Row],[月]],"00")&amp;"-1"&amp;TEXT(COUNTIFS(B$3:B37,B37,C$3:C37,C37),"000")&amp;"-"&amp;_xlfn.XLOOKUP([1]!tbl_採番[[#This Row],[担当者]],[1]入力ルール用シート!$D$2:$D$8,[1]入力ルール用シート!$E$2:$E$8,"",0,1)&amp;_xlfn.XLOOKUP([1]!tbl_採番[[#This Row],[支店]],[1]入力ルール用シート!$F$2:$F$3,[1]入力ルール用シート!$G$2:$G$3,"",0,1)))</f>
        <v/>
      </c>
      <c r="H37" s="209" t="n"/>
    </row>
    <row r="38">
      <c r="A38" s="212">
        <f>ROW([1]!tbl_採番[[#This Row],[ID]])-2</f>
        <v/>
      </c>
      <c r="B38" s="212" t="n"/>
      <c r="C38" s="209" t="n"/>
      <c r="D38" s="209" t="n"/>
      <c r="E38" s="209" t="n"/>
      <c r="F38" s="72" t="n"/>
      <c r="G38" s="118">
        <f>IF(ISBLANK([1]!tbl_採番[[#This Row],[年]]),"",(RIGHT([1]!tbl_採番[[#This Row],[年]],2)&amp;TEXT([1]!tbl_採番[[#This Row],[月]],"00")&amp;"-1"&amp;TEXT(COUNTIFS(B$3:B38,B38,C$3:C38,C38),"000")&amp;"-"&amp;_xlfn.XLOOKUP([1]!tbl_採番[[#This Row],[担当者]],[1]入力ルール用シート!$D$2:$D$8,[1]入力ルール用シート!$E$2:$E$8,"",0,1)&amp;_xlfn.XLOOKUP([1]!tbl_採番[[#This Row],[支店]],[1]入力ルール用シート!$F$2:$F$3,[1]入力ルール用シート!$G$2:$G$3,"",0,1)))</f>
        <v/>
      </c>
      <c r="H38" s="209" t="n"/>
    </row>
    <row r="39">
      <c r="A39" s="212">
        <f>ROW([1]!tbl_採番[[#This Row],[ID]])-2</f>
        <v/>
      </c>
      <c r="B39" s="212" t="n"/>
      <c r="C39" s="209" t="n"/>
      <c r="D39" s="209" t="n"/>
      <c r="E39" s="209" t="n"/>
      <c r="F39" s="72" t="n"/>
      <c r="G39" s="118">
        <f>IF(ISBLANK([1]!tbl_採番[[#This Row],[年]]),"",(RIGHT([1]!tbl_採番[[#This Row],[年]],2)&amp;TEXT([1]!tbl_採番[[#This Row],[月]],"00")&amp;"-1"&amp;TEXT(COUNTIFS(B$3:B39,B39,C$3:C39,C39),"000")&amp;"-"&amp;_xlfn.XLOOKUP([1]!tbl_採番[[#This Row],[担当者]],[1]入力ルール用シート!$D$2:$D$8,[1]入力ルール用シート!$E$2:$E$8,"",0,1)&amp;_xlfn.XLOOKUP([1]!tbl_採番[[#This Row],[支店]],[1]入力ルール用シート!$F$2:$F$3,[1]入力ルール用シート!$G$2:$G$3,"",0,1)))</f>
        <v/>
      </c>
      <c r="H39" s="209" t="n"/>
    </row>
    <row r="40">
      <c r="A40" s="212">
        <f>ROW([1]!tbl_採番[[#This Row],[ID]])-2</f>
        <v/>
      </c>
      <c r="B40" s="212" t="n"/>
      <c r="C40" s="209" t="n"/>
      <c r="D40" s="209" t="n"/>
      <c r="E40" s="209" t="n"/>
      <c r="F40" s="72" t="n"/>
      <c r="G40" s="118">
        <f>IF(ISBLANK([1]!tbl_採番[[#This Row],[年]]),"",(RIGHT([1]!tbl_採番[[#This Row],[年]],2)&amp;TEXT([1]!tbl_採番[[#This Row],[月]],"00")&amp;"-1"&amp;TEXT(COUNTIFS(B$3:B40,B40,C$3:C40,C40),"000")&amp;"-"&amp;_xlfn.XLOOKUP([1]!tbl_採番[[#This Row],[担当者]],[1]入力ルール用シート!$D$2:$D$8,[1]入力ルール用シート!$E$2:$E$8,"",0,1)&amp;_xlfn.XLOOKUP([1]!tbl_採番[[#This Row],[支店]],[1]入力ルール用シート!$F$2:$F$3,[1]入力ルール用シート!$G$2:$G$3,"",0,1)))</f>
        <v/>
      </c>
      <c r="H40" s="209" t="n"/>
    </row>
    <row r="41">
      <c r="A41" s="212">
        <f>ROW([1]!tbl_採番[[#This Row],[ID]])-2</f>
        <v/>
      </c>
      <c r="B41" s="212" t="n"/>
      <c r="C41" s="209" t="n"/>
      <c r="D41" s="209" t="n"/>
      <c r="E41" s="209" t="n"/>
      <c r="F41" s="72" t="n"/>
      <c r="G41" s="118">
        <f>IF(ISBLANK([1]!tbl_採番[[#This Row],[年]]),"",(RIGHT([1]!tbl_採番[[#This Row],[年]],2)&amp;TEXT([1]!tbl_採番[[#This Row],[月]],"00")&amp;"-1"&amp;TEXT(COUNTIFS(B$3:B41,B41,C$3:C41,C41),"000")&amp;"-"&amp;_xlfn.XLOOKUP([1]!tbl_採番[[#This Row],[担当者]],[1]入力ルール用シート!$D$2:$D$8,[1]入力ルール用シート!$E$2:$E$8,"",0,1)&amp;_xlfn.XLOOKUP([1]!tbl_採番[[#This Row],[支店]],[1]入力ルール用シート!$F$2:$F$3,[1]入力ルール用シート!$G$2:$G$3,"",0,1)))</f>
        <v/>
      </c>
      <c r="H41" s="209" t="n"/>
    </row>
    <row r="42">
      <c r="A42" s="212">
        <f>ROW([1]!tbl_採番[[#This Row],[ID]])-2</f>
        <v/>
      </c>
      <c r="B42" s="212" t="n"/>
      <c r="C42" s="209" t="n"/>
      <c r="D42" s="209" t="n"/>
      <c r="E42" s="209" t="n"/>
      <c r="F42" s="72" t="n"/>
      <c r="G42" s="118">
        <f>IF(ISBLANK([1]!tbl_採番[[#This Row],[年]]),"",(RIGHT([1]!tbl_採番[[#This Row],[年]],2)&amp;TEXT([1]!tbl_採番[[#This Row],[月]],"00")&amp;"-1"&amp;TEXT(COUNTIFS(B$3:B42,B42,C$3:C42,C42),"000")&amp;"-"&amp;_xlfn.XLOOKUP([1]!tbl_採番[[#This Row],[担当者]],[1]入力ルール用シート!$D$2:$D$8,[1]入力ルール用シート!$E$2:$E$8,"",0,1)&amp;_xlfn.XLOOKUP([1]!tbl_採番[[#This Row],[支店]],[1]入力ルール用シート!$F$2:$F$3,[1]入力ルール用シート!$G$2:$G$3,"",0,1)))</f>
        <v/>
      </c>
      <c r="H42" s="209" t="n"/>
    </row>
    <row r="43">
      <c r="A43" s="212">
        <f>ROW([1]!tbl_採番[[#This Row],[ID]])-2</f>
        <v/>
      </c>
      <c r="B43" s="212" t="n"/>
      <c r="C43" s="209" t="n"/>
      <c r="D43" s="209" t="n"/>
      <c r="E43" s="209" t="n"/>
      <c r="F43" s="72" t="n"/>
      <c r="G43" s="118">
        <f>IF(ISBLANK([1]!tbl_採番[[#This Row],[年]]),"",(RIGHT([1]!tbl_採番[[#This Row],[年]],2)&amp;TEXT([1]!tbl_採番[[#This Row],[月]],"00")&amp;"-1"&amp;TEXT(COUNTIFS(B$3:B43,B43,C$3:C43,C43),"000")&amp;"-"&amp;_xlfn.XLOOKUP([1]!tbl_採番[[#This Row],[担当者]],[1]入力ルール用シート!$D$2:$D$8,[1]入力ルール用シート!$E$2:$E$8,"",0,1)&amp;_xlfn.XLOOKUP([1]!tbl_採番[[#This Row],[支店]],[1]入力ルール用シート!$F$2:$F$3,[1]入力ルール用シート!$G$2:$G$3,"",0,1)))</f>
        <v/>
      </c>
      <c r="H43" s="209" t="n"/>
    </row>
    <row r="44">
      <c r="A44" s="212">
        <f>ROW([1]!tbl_採番[[#This Row],[ID]])-2</f>
        <v/>
      </c>
      <c r="B44" s="212" t="n"/>
      <c r="C44" s="209" t="n"/>
      <c r="D44" s="209" t="n"/>
      <c r="E44" s="209" t="n"/>
      <c r="F44" s="72" t="n"/>
      <c r="G44" s="118">
        <f>IF(ISBLANK([1]!tbl_採番[[#This Row],[年]]),"",(RIGHT([1]!tbl_採番[[#This Row],[年]],2)&amp;TEXT([1]!tbl_採番[[#This Row],[月]],"00")&amp;"-1"&amp;TEXT(COUNTIFS(B$3:B44,B44,C$3:C44,C44),"000")&amp;"-"&amp;_xlfn.XLOOKUP([1]!tbl_採番[[#This Row],[担当者]],[1]入力ルール用シート!$D$2:$D$8,[1]入力ルール用シート!$E$2:$E$8,"",0,1)&amp;_xlfn.XLOOKUP([1]!tbl_採番[[#This Row],[支店]],[1]入力ルール用シート!$F$2:$F$3,[1]入力ルール用シート!$G$2:$G$3,"",0,1)))</f>
        <v/>
      </c>
      <c r="H44" s="209" t="n"/>
    </row>
    <row r="45">
      <c r="A45" s="212">
        <f>ROW([1]!tbl_採番[[#This Row],[ID]])-2</f>
        <v/>
      </c>
      <c r="B45" s="212" t="n"/>
      <c r="C45" s="209" t="n"/>
      <c r="D45" s="209" t="n"/>
      <c r="E45" s="209" t="n"/>
      <c r="F45" s="72" t="n"/>
      <c r="G45" s="118">
        <f>IF(ISBLANK([1]!tbl_採番[[#This Row],[年]]),"",(RIGHT([1]!tbl_採番[[#This Row],[年]],2)&amp;TEXT([1]!tbl_採番[[#This Row],[月]],"00")&amp;"-1"&amp;TEXT(COUNTIFS(B$3:B45,B45,C$3:C45,C45),"000")&amp;"-"&amp;_xlfn.XLOOKUP([1]!tbl_採番[[#This Row],[担当者]],[1]入力ルール用シート!$D$2:$D$8,[1]入力ルール用シート!$E$2:$E$8,"",0,1)&amp;_xlfn.XLOOKUP([1]!tbl_採番[[#This Row],[支店]],[1]入力ルール用シート!$F$2:$F$3,[1]入力ルール用シート!$G$2:$G$3,"",0,1)))</f>
        <v/>
      </c>
      <c r="H45" s="209" t="n"/>
    </row>
    <row r="46">
      <c r="A46" s="212">
        <f>ROW([1]!tbl_採番[[#This Row],[ID]])-2</f>
        <v/>
      </c>
      <c r="B46" s="212" t="n"/>
      <c r="C46" s="209" t="n"/>
      <c r="D46" s="209" t="n"/>
      <c r="E46" s="209" t="n"/>
      <c r="F46" s="72" t="n"/>
      <c r="G46" s="118">
        <f>IF(ISBLANK([1]!tbl_採番[[#This Row],[年]]),"",(RIGHT([1]!tbl_採番[[#This Row],[年]],2)&amp;TEXT([1]!tbl_採番[[#This Row],[月]],"00")&amp;"-1"&amp;TEXT(COUNTIFS(B$3:B46,B46,C$3:C46,C46),"000")&amp;"-"&amp;_xlfn.XLOOKUP([1]!tbl_採番[[#This Row],[担当者]],[1]入力ルール用シート!$D$2:$D$8,[1]入力ルール用シート!$E$2:$E$8,"",0,1)&amp;_xlfn.XLOOKUP([1]!tbl_採番[[#This Row],[支店]],[1]入力ルール用シート!$F$2:$F$3,[1]入力ルール用シート!$G$2:$G$3,"",0,1)))</f>
        <v/>
      </c>
      <c r="H46" s="209" t="n"/>
    </row>
    <row r="47">
      <c r="A47" s="212">
        <f>ROW([1]!tbl_採番[[#This Row],[ID]])-2</f>
        <v/>
      </c>
      <c r="B47" s="212" t="n"/>
      <c r="C47" s="209" t="n"/>
      <c r="D47" s="209" t="n"/>
      <c r="E47" s="209" t="n"/>
      <c r="F47" s="72" t="n"/>
      <c r="G47" s="118">
        <f>IF(ISBLANK([1]!tbl_採番[[#This Row],[年]]),"",(RIGHT([1]!tbl_採番[[#This Row],[年]],2)&amp;TEXT([1]!tbl_採番[[#This Row],[月]],"00")&amp;"-1"&amp;TEXT(COUNTIFS(B$3:B47,B47,C$3:C47,C47),"000")&amp;"-"&amp;_xlfn.XLOOKUP([1]!tbl_採番[[#This Row],[担当者]],[1]入力ルール用シート!$D$2:$D$8,[1]入力ルール用シート!$E$2:$E$8,"",0,1)&amp;_xlfn.XLOOKUP([1]!tbl_採番[[#This Row],[支店]],[1]入力ルール用シート!$F$2:$F$3,[1]入力ルール用シート!$G$2:$G$3,"",0,1)))</f>
        <v/>
      </c>
      <c r="H47" s="209" t="n"/>
    </row>
    <row r="48">
      <c r="A48" s="212">
        <f>ROW([1]!tbl_採番[[#This Row],[ID]])-2</f>
        <v/>
      </c>
      <c r="B48" s="212" t="n"/>
      <c r="C48" s="209" t="n"/>
      <c r="D48" s="209" t="n"/>
      <c r="E48" s="209" t="n"/>
      <c r="F48" s="72" t="n"/>
      <c r="G48" s="118">
        <f>IF(ISBLANK([1]!tbl_採番[[#This Row],[年]]),"",(RIGHT([1]!tbl_採番[[#This Row],[年]],2)&amp;TEXT([1]!tbl_採番[[#This Row],[月]],"00")&amp;"-1"&amp;TEXT(COUNTIFS(B$3:B48,B48,C$3:C48,C48),"000")&amp;"-"&amp;_xlfn.XLOOKUP([1]!tbl_採番[[#This Row],[担当者]],[1]入力ルール用シート!$D$2:$D$8,[1]入力ルール用シート!$E$2:$E$8,"",0,1)&amp;_xlfn.XLOOKUP([1]!tbl_採番[[#This Row],[支店]],[1]入力ルール用シート!$F$2:$F$3,[1]入力ルール用シート!$G$2:$G$3,"",0,1)))</f>
        <v/>
      </c>
      <c r="H48" s="209" t="n"/>
    </row>
    <row r="49">
      <c r="A49" s="212">
        <f>ROW([1]!tbl_採番[[#This Row],[ID]])-2</f>
        <v/>
      </c>
      <c r="B49" s="212" t="n"/>
      <c r="C49" s="209" t="n"/>
      <c r="D49" s="209" t="n"/>
      <c r="E49" s="209" t="n"/>
      <c r="F49" s="72" t="n"/>
      <c r="G49" s="118">
        <f>IF(ISBLANK([1]!tbl_採番[[#This Row],[年]]),"",(RIGHT([1]!tbl_採番[[#This Row],[年]],2)&amp;TEXT([1]!tbl_採番[[#This Row],[月]],"00")&amp;"-1"&amp;TEXT(COUNTIFS(B$3:B49,B49,C$3:C49,C49),"000")&amp;"-"&amp;_xlfn.XLOOKUP([1]!tbl_採番[[#This Row],[担当者]],[1]入力ルール用シート!$D$2:$D$8,[1]入力ルール用シート!$E$2:$E$8,"",0,1)&amp;_xlfn.XLOOKUP([1]!tbl_採番[[#This Row],[支店]],[1]入力ルール用シート!$F$2:$F$3,[1]入力ルール用シート!$G$2:$G$3,"",0,1)))</f>
        <v/>
      </c>
      <c r="H49" s="209" t="n"/>
    </row>
    <row r="50">
      <c r="A50" s="212">
        <f>ROW([1]!tbl_採番[[#This Row],[ID]])-2</f>
        <v/>
      </c>
      <c r="B50" s="212" t="n"/>
      <c r="C50" s="209" t="n"/>
      <c r="D50" s="209" t="n"/>
      <c r="E50" s="209" t="n"/>
      <c r="F50" s="72" t="n"/>
      <c r="G50" s="118">
        <f>IF(ISBLANK([1]!tbl_採番[[#This Row],[年]]),"",(RIGHT([1]!tbl_採番[[#This Row],[年]],2)&amp;TEXT([1]!tbl_採番[[#This Row],[月]],"00")&amp;"-1"&amp;TEXT(COUNTIFS(B$3:B50,B50,C$3:C50,C50),"000")&amp;"-"&amp;_xlfn.XLOOKUP([1]!tbl_採番[[#This Row],[担当者]],[1]入力ルール用シート!$D$2:$D$8,[1]入力ルール用シート!$E$2:$E$8,"",0,1)&amp;_xlfn.XLOOKUP([1]!tbl_採番[[#This Row],[支店]],[1]入力ルール用シート!$F$2:$F$3,[1]入力ルール用シート!$G$2:$G$3,"",0,1)))</f>
        <v/>
      </c>
      <c r="H50" s="209" t="n"/>
    </row>
    <row r="51">
      <c r="A51" s="212">
        <f>ROW([1]!tbl_採番[[#This Row],[ID]])-2</f>
        <v/>
      </c>
      <c r="B51" s="212" t="n"/>
      <c r="C51" s="209" t="n"/>
      <c r="D51" s="209" t="n"/>
      <c r="E51" s="209" t="n"/>
      <c r="F51" s="72" t="n"/>
      <c r="G51" s="118">
        <f>IF(ISBLANK([1]!tbl_採番[[#This Row],[年]]),"",(RIGHT([1]!tbl_採番[[#This Row],[年]],2)&amp;TEXT([1]!tbl_採番[[#This Row],[月]],"00")&amp;"-1"&amp;TEXT(COUNTIFS(B$3:B51,B51,C$3:C51,C51),"000")&amp;"-"&amp;_xlfn.XLOOKUP([1]!tbl_採番[[#This Row],[担当者]],[1]入力ルール用シート!$D$2:$D$8,[1]入力ルール用シート!$E$2:$E$8,"",0,1)&amp;_xlfn.XLOOKUP([1]!tbl_採番[[#This Row],[支店]],[1]入力ルール用シート!$F$2:$F$3,[1]入力ルール用シート!$G$2:$G$3,"",0,1)))</f>
        <v/>
      </c>
      <c r="H51" s="209" t="n"/>
    </row>
    <row r="52">
      <c r="A52" s="212">
        <f>ROW([1]!tbl_採番[[#This Row],[ID]])-2</f>
        <v/>
      </c>
      <c r="B52" s="212" t="n"/>
      <c r="C52" s="209" t="n"/>
      <c r="D52" s="209" t="n"/>
      <c r="E52" s="209" t="n"/>
      <c r="F52" s="72" t="n"/>
      <c r="G52" s="118">
        <f>IF(ISBLANK([1]!tbl_採番[[#This Row],[年]]),"",(RIGHT([1]!tbl_採番[[#This Row],[年]],2)&amp;TEXT([1]!tbl_採番[[#This Row],[月]],"00")&amp;"-1"&amp;TEXT(COUNTIFS(B$3:B52,B52,C$3:C52,C52),"000")&amp;"-"&amp;_xlfn.XLOOKUP([1]!tbl_採番[[#This Row],[担当者]],[1]入力ルール用シート!$D$2:$D$8,[1]入力ルール用シート!$E$2:$E$8,"",0,1)&amp;_xlfn.XLOOKUP([1]!tbl_採番[[#This Row],[支店]],[1]入力ルール用シート!$F$2:$F$3,[1]入力ルール用シート!$G$2:$G$3,"",0,1)))</f>
        <v/>
      </c>
      <c r="H52" s="209" t="n"/>
    </row>
    <row r="53">
      <c r="A53" s="212">
        <f>ROW([1]!tbl_採番[[#This Row],[ID]])-2</f>
        <v/>
      </c>
      <c r="B53" s="212" t="n"/>
      <c r="C53" s="209" t="n"/>
      <c r="D53" s="209" t="n"/>
      <c r="E53" s="209" t="n"/>
      <c r="F53" s="72" t="n"/>
      <c r="G53" s="118">
        <f>IF(ISBLANK([1]!tbl_採番[[#This Row],[年]]),"",(RIGHT([1]!tbl_採番[[#This Row],[年]],2)&amp;TEXT([1]!tbl_採番[[#This Row],[月]],"00")&amp;"-1"&amp;TEXT(COUNTIFS(B$3:B53,B53,C$3:C53,C53),"000")&amp;"-"&amp;_xlfn.XLOOKUP([1]!tbl_採番[[#This Row],[担当者]],[1]入力ルール用シート!$D$2:$D$8,[1]入力ルール用シート!$E$2:$E$8,"",0,1)&amp;_xlfn.XLOOKUP([1]!tbl_採番[[#This Row],[支店]],[1]入力ルール用シート!$F$2:$F$3,[1]入力ルール用シート!$G$2:$G$3,"",0,1)))</f>
        <v/>
      </c>
      <c r="H53" s="209" t="n"/>
    </row>
    <row r="54">
      <c r="A54" s="212">
        <f>ROW([1]!tbl_採番[[#This Row],[ID]])-2</f>
        <v/>
      </c>
      <c r="B54" s="212" t="n"/>
      <c r="C54" s="209" t="n"/>
      <c r="D54" s="209" t="n"/>
      <c r="E54" s="209" t="n"/>
      <c r="F54" s="72" t="n"/>
      <c r="G54" s="118">
        <f>IF(ISBLANK([1]!tbl_採番[[#This Row],[年]]),"",(RIGHT([1]!tbl_採番[[#This Row],[年]],2)&amp;TEXT([1]!tbl_採番[[#This Row],[月]],"00")&amp;"-1"&amp;TEXT(COUNTIFS(B$3:B54,B54,C$3:C54,C54),"000")&amp;"-"&amp;_xlfn.XLOOKUP([1]!tbl_採番[[#This Row],[担当者]],[1]入力ルール用シート!$D$2:$D$8,[1]入力ルール用シート!$E$2:$E$8,"",0,1)&amp;_xlfn.XLOOKUP([1]!tbl_採番[[#This Row],[支店]],[1]入力ルール用シート!$F$2:$F$3,[1]入力ルール用シート!$G$2:$G$3,"",0,1)))</f>
        <v/>
      </c>
      <c r="H54" s="209" t="n"/>
    </row>
    <row r="55">
      <c r="A55" s="212">
        <f>ROW([1]!tbl_採番[[#This Row],[ID]])-2</f>
        <v/>
      </c>
      <c r="B55" s="212" t="n"/>
      <c r="C55" s="209" t="n"/>
      <c r="D55" s="209" t="n"/>
      <c r="E55" s="209" t="n"/>
      <c r="F55" s="72" t="n"/>
      <c r="G55" s="118">
        <f>IF(ISBLANK([1]!tbl_採番[[#This Row],[年]]),"",(RIGHT([1]!tbl_採番[[#This Row],[年]],2)&amp;TEXT([1]!tbl_採番[[#This Row],[月]],"00")&amp;"-1"&amp;TEXT(COUNTIFS(B$3:B55,B55,C$3:C55,C55),"000")&amp;"-"&amp;_xlfn.XLOOKUP([1]!tbl_採番[[#This Row],[担当者]],[1]入力ルール用シート!$D$2:$D$8,[1]入力ルール用シート!$E$2:$E$8,"",0,1)&amp;_xlfn.XLOOKUP([1]!tbl_採番[[#This Row],[支店]],[1]入力ルール用シート!$F$2:$F$3,[1]入力ルール用シート!$G$2:$G$3,"",0,1)))</f>
        <v/>
      </c>
      <c r="H55" s="209" t="n"/>
    </row>
    <row r="56">
      <c r="A56" s="212">
        <f>ROW([1]!tbl_採番[[#This Row],[ID]])-2</f>
        <v/>
      </c>
      <c r="B56" s="212" t="n"/>
      <c r="C56" s="209" t="n"/>
      <c r="D56" s="209" t="n"/>
      <c r="E56" s="209" t="n"/>
      <c r="F56" s="72" t="n"/>
      <c r="G56" s="118">
        <f>IF(ISBLANK([1]!tbl_採番[[#This Row],[年]]),"",(RIGHT([1]!tbl_採番[[#This Row],[年]],2)&amp;TEXT([1]!tbl_採番[[#This Row],[月]],"00")&amp;"-1"&amp;TEXT(COUNTIFS(B$3:B56,B56,C$3:C56,C56),"000")&amp;"-"&amp;_xlfn.XLOOKUP([1]!tbl_採番[[#This Row],[担当者]],[1]入力ルール用シート!$D$2:$D$8,[1]入力ルール用シート!$E$2:$E$8,"",0,1)&amp;_xlfn.XLOOKUP([1]!tbl_採番[[#This Row],[支店]],[1]入力ルール用シート!$F$2:$F$3,[1]入力ルール用シート!$G$2:$G$3,"",0,1)))</f>
        <v/>
      </c>
      <c r="H56" s="209" t="n"/>
    </row>
    <row r="57">
      <c r="A57" s="212">
        <f>ROW([1]!tbl_採番[[#This Row],[ID]])-2</f>
        <v/>
      </c>
      <c r="B57" s="212" t="n"/>
      <c r="C57" s="209" t="n"/>
      <c r="D57" s="209" t="n"/>
      <c r="E57" s="209" t="n"/>
      <c r="F57" s="72" t="n"/>
      <c r="G57" s="118">
        <f>IF(ISBLANK([1]!tbl_採番[[#This Row],[年]]),"",(RIGHT([1]!tbl_採番[[#This Row],[年]],2)&amp;TEXT([1]!tbl_採番[[#This Row],[月]],"00")&amp;"-1"&amp;TEXT(COUNTIFS(B$3:B57,B57,C$3:C57,C57),"000")&amp;"-"&amp;_xlfn.XLOOKUP([1]!tbl_採番[[#This Row],[担当者]],[1]入力ルール用シート!$D$2:$D$8,[1]入力ルール用シート!$E$2:$E$8,"",0,1)&amp;_xlfn.XLOOKUP([1]!tbl_採番[[#This Row],[支店]],[1]入力ルール用シート!$F$2:$F$3,[1]入力ルール用シート!$G$2:$G$3,"",0,1)))</f>
        <v/>
      </c>
      <c r="H57" s="209" t="n"/>
    </row>
    <row r="58">
      <c r="A58" s="212">
        <f>ROW([1]!tbl_採番[[#This Row],[ID]])-2</f>
        <v/>
      </c>
      <c r="B58" s="212" t="n"/>
      <c r="C58" s="209" t="n"/>
      <c r="D58" s="209" t="n"/>
      <c r="E58" s="209" t="n"/>
      <c r="F58" s="72" t="n"/>
      <c r="G58" s="118">
        <f>IF(ISBLANK([1]!tbl_採番[[#This Row],[年]]),"",(RIGHT([1]!tbl_採番[[#This Row],[年]],2)&amp;TEXT([1]!tbl_採番[[#This Row],[月]],"00")&amp;"-1"&amp;TEXT(COUNTIFS(B$3:B58,B58,C$3:C58,C58),"000")&amp;"-"&amp;_xlfn.XLOOKUP([1]!tbl_採番[[#This Row],[担当者]],[1]入力ルール用シート!$D$2:$D$8,[1]入力ルール用シート!$E$2:$E$8,"",0,1)&amp;_xlfn.XLOOKUP([1]!tbl_採番[[#This Row],[支店]],[1]入力ルール用シート!$F$2:$F$3,[1]入力ルール用シート!$G$2:$G$3,"",0,1)))</f>
        <v/>
      </c>
      <c r="H58" s="209" t="n"/>
    </row>
    <row r="59">
      <c r="A59" s="212">
        <f>ROW([1]!tbl_採番[[#This Row],[ID]])-2</f>
        <v/>
      </c>
      <c r="B59" s="212" t="n"/>
      <c r="C59" s="209" t="n"/>
      <c r="D59" s="209" t="n"/>
      <c r="E59" s="209" t="n"/>
      <c r="F59" s="72" t="n"/>
      <c r="G59" s="118">
        <f>IF(ISBLANK([1]!tbl_採番[[#This Row],[年]]),"",(RIGHT([1]!tbl_採番[[#This Row],[年]],2)&amp;TEXT([1]!tbl_採番[[#This Row],[月]],"00")&amp;"-1"&amp;TEXT(COUNTIFS(B$3:B59,B59,C$3:C59,C59),"000")&amp;"-"&amp;_xlfn.XLOOKUP([1]!tbl_採番[[#This Row],[担当者]],[1]入力ルール用シート!$D$2:$D$8,[1]入力ルール用シート!$E$2:$E$8,"",0,1)&amp;_xlfn.XLOOKUP([1]!tbl_採番[[#This Row],[支店]],[1]入力ルール用シート!$F$2:$F$3,[1]入力ルール用シート!$G$2:$G$3,"",0,1)))</f>
        <v/>
      </c>
      <c r="H59" s="209" t="n"/>
    </row>
    <row r="60">
      <c r="A60" s="212">
        <f>ROW([1]!tbl_採番[[#This Row],[ID]])-2</f>
        <v/>
      </c>
      <c r="B60" s="212" t="n"/>
      <c r="C60" s="209" t="n"/>
      <c r="D60" s="209" t="n"/>
      <c r="E60" s="209" t="n"/>
      <c r="F60" s="72" t="n"/>
      <c r="G60" s="118">
        <f>IF(ISBLANK([1]!tbl_採番[[#This Row],[年]]),"",(RIGHT([1]!tbl_採番[[#This Row],[年]],2)&amp;TEXT([1]!tbl_採番[[#This Row],[月]],"00")&amp;"-1"&amp;TEXT(COUNTIFS(B$3:B60,B60,C$3:C60,C60),"000")&amp;"-"&amp;_xlfn.XLOOKUP([1]!tbl_採番[[#This Row],[担当者]],[1]入力ルール用シート!$D$2:$D$8,[1]入力ルール用シート!$E$2:$E$8,"",0,1)&amp;_xlfn.XLOOKUP([1]!tbl_採番[[#This Row],[支店]],[1]入力ルール用シート!$F$2:$F$3,[1]入力ルール用シート!$G$2:$G$3,"",0,1)))</f>
        <v/>
      </c>
      <c r="H60" s="209" t="n"/>
    </row>
    <row r="61">
      <c r="A61" s="212">
        <f>ROW([1]!tbl_採番[[#This Row],[ID]])-2</f>
        <v/>
      </c>
      <c r="B61" s="212" t="n"/>
      <c r="C61" s="209" t="n"/>
      <c r="D61" s="209" t="n"/>
      <c r="E61" s="209" t="n"/>
      <c r="F61" s="72" t="n"/>
      <c r="G61" s="118">
        <f>IF(ISBLANK([1]!tbl_採番[[#This Row],[年]]),"",(RIGHT([1]!tbl_採番[[#This Row],[年]],2)&amp;TEXT([1]!tbl_採番[[#This Row],[月]],"00")&amp;"-1"&amp;TEXT(COUNTIFS(B$3:B61,B61,C$3:C61,C61),"000")&amp;"-"&amp;_xlfn.XLOOKUP([1]!tbl_採番[[#This Row],[担当者]],[1]入力ルール用シート!$D$2:$D$8,[1]入力ルール用シート!$E$2:$E$8,"",0,1)&amp;_xlfn.XLOOKUP([1]!tbl_採番[[#This Row],[支店]],[1]入力ルール用シート!$F$2:$F$3,[1]入力ルール用シート!$G$2:$G$3,"",0,1)))</f>
        <v/>
      </c>
      <c r="H61" s="209" t="n"/>
    </row>
    <row r="62">
      <c r="A62" s="212">
        <f>ROW([1]!tbl_採番[[#This Row],[ID]])-2</f>
        <v/>
      </c>
      <c r="B62" s="212" t="n"/>
      <c r="C62" s="209" t="n"/>
      <c r="D62" s="209" t="n"/>
      <c r="E62" s="209" t="n"/>
      <c r="F62" s="72" t="n"/>
      <c r="G62" s="118">
        <f>IF(ISBLANK([1]!tbl_採番[[#This Row],[年]]),"",(RIGHT([1]!tbl_採番[[#This Row],[年]],2)&amp;TEXT([1]!tbl_採番[[#This Row],[月]],"00")&amp;"-1"&amp;TEXT(COUNTIFS(B$3:B62,B62,C$3:C62,C62),"000")&amp;"-"&amp;_xlfn.XLOOKUP([1]!tbl_採番[[#This Row],[担当者]],[1]入力ルール用シート!$D$2:$D$8,[1]入力ルール用シート!$E$2:$E$8,"",0,1)&amp;_xlfn.XLOOKUP([1]!tbl_採番[[#This Row],[支店]],[1]入力ルール用シート!$F$2:$F$3,[1]入力ルール用シート!$G$2:$G$3,"",0,1)))</f>
        <v/>
      </c>
      <c r="H62" s="209" t="n"/>
    </row>
    <row r="63">
      <c r="A63" s="212">
        <f>ROW([1]!tbl_採番[[#This Row],[ID]])-2</f>
        <v/>
      </c>
      <c r="B63" s="212" t="n"/>
      <c r="C63" s="209" t="n"/>
      <c r="D63" s="209" t="n"/>
      <c r="E63" s="209" t="n"/>
      <c r="F63" s="72" t="n"/>
      <c r="G63" s="118">
        <f>IF(ISBLANK([1]!tbl_採番[[#This Row],[年]]),"",(RIGHT([1]!tbl_採番[[#This Row],[年]],2)&amp;TEXT([1]!tbl_採番[[#This Row],[月]],"00")&amp;"-1"&amp;TEXT(COUNTIFS(B$3:B63,B63,C$3:C63,C63),"000")&amp;"-"&amp;_xlfn.XLOOKUP([1]!tbl_採番[[#This Row],[担当者]],[1]入力ルール用シート!$D$2:$D$8,[1]入力ルール用シート!$E$2:$E$8,"",0,1)&amp;_xlfn.XLOOKUP([1]!tbl_採番[[#This Row],[支店]],[1]入力ルール用シート!$F$2:$F$3,[1]入力ルール用シート!$G$2:$G$3,"",0,1)))</f>
        <v/>
      </c>
      <c r="H63" s="209" t="n"/>
    </row>
    <row r="64">
      <c r="A64" s="212">
        <f>ROW([1]!tbl_採番[[#This Row],[ID]])-2</f>
        <v/>
      </c>
      <c r="B64" s="212" t="n"/>
      <c r="C64" s="209" t="n"/>
      <c r="D64" s="209" t="n"/>
      <c r="E64" s="209" t="n"/>
      <c r="F64" s="72" t="n"/>
      <c r="G64" s="118">
        <f>IF(ISBLANK([1]!tbl_採番[[#This Row],[年]]),"",(RIGHT([1]!tbl_採番[[#This Row],[年]],2)&amp;TEXT([1]!tbl_採番[[#This Row],[月]],"00")&amp;"-1"&amp;TEXT(COUNTIFS(B$3:B64,B64,C$3:C64,C64),"000")&amp;"-"&amp;_xlfn.XLOOKUP([1]!tbl_採番[[#This Row],[担当者]],[1]入力ルール用シート!$D$2:$D$8,[1]入力ルール用シート!$E$2:$E$8,"",0,1)&amp;_xlfn.XLOOKUP([1]!tbl_採番[[#This Row],[支店]],[1]入力ルール用シート!$F$2:$F$3,[1]入力ルール用シート!$G$2:$G$3,"",0,1)))</f>
        <v/>
      </c>
      <c r="H64" s="209" t="n"/>
    </row>
    <row r="65">
      <c r="A65" s="212">
        <f>ROW([1]!tbl_採番[[#This Row],[ID]])-2</f>
        <v/>
      </c>
      <c r="B65" s="212" t="n"/>
      <c r="C65" s="209" t="n"/>
      <c r="D65" s="209" t="n"/>
      <c r="E65" s="209" t="n"/>
      <c r="F65" s="72" t="n"/>
      <c r="G65" s="118">
        <f>IF(ISBLANK([1]!tbl_採番[[#This Row],[年]]),"",(RIGHT([1]!tbl_採番[[#This Row],[年]],2)&amp;TEXT([1]!tbl_採番[[#This Row],[月]],"00")&amp;"-1"&amp;TEXT(COUNTIFS(B$3:B65,B65,C$3:C65,C65),"000")&amp;"-"&amp;_xlfn.XLOOKUP([1]!tbl_採番[[#This Row],[担当者]],[1]入力ルール用シート!$D$2:$D$8,[1]入力ルール用シート!$E$2:$E$8,"",0,1)&amp;_xlfn.XLOOKUP([1]!tbl_採番[[#This Row],[支店]],[1]入力ルール用シート!$F$2:$F$3,[1]入力ルール用シート!$G$2:$G$3,"",0,1)))</f>
        <v/>
      </c>
      <c r="H65" s="209" t="n"/>
    </row>
    <row r="66">
      <c r="A66" s="212">
        <f>ROW([1]!tbl_採番[[#This Row],[ID]])-2</f>
        <v/>
      </c>
      <c r="B66" s="212" t="n"/>
      <c r="C66" s="209" t="n"/>
      <c r="D66" s="209" t="n"/>
      <c r="E66" s="209" t="n"/>
      <c r="F66" s="72" t="n"/>
      <c r="G66" s="118">
        <f>IF(ISBLANK([1]!tbl_採番[[#This Row],[年]]),"",(RIGHT([1]!tbl_採番[[#This Row],[年]],2)&amp;TEXT([1]!tbl_採番[[#This Row],[月]],"00")&amp;"-1"&amp;TEXT(COUNTIFS(B$3:B66,B66,C$3:C66,C66),"000")&amp;"-"&amp;_xlfn.XLOOKUP([1]!tbl_採番[[#This Row],[担当者]],[1]入力ルール用シート!$D$2:$D$8,[1]入力ルール用シート!$E$2:$E$8,"",0,1)&amp;_xlfn.XLOOKUP([1]!tbl_採番[[#This Row],[支店]],[1]入力ルール用シート!$F$2:$F$3,[1]入力ルール用シート!$G$2:$G$3,"",0,1)))</f>
        <v/>
      </c>
      <c r="H66" s="209" t="n"/>
    </row>
    <row r="67">
      <c r="A67" s="212">
        <f>ROW([1]!tbl_採番[[#This Row],[ID]])-2</f>
        <v/>
      </c>
      <c r="B67" s="212" t="n"/>
      <c r="C67" s="209" t="n"/>
      <c r="D67" s="209" t="n"/>
      <c r="E67" s="209" t="n"/>
      <c r="F67" s="72" t="n"/>
      <c r="G67" s="118">
        <f>IF(ISBLANK([1]!tbl_採番[[#This Row],[年]]),"",(RIGHT([1]!tbl_採番[[#This Row],[年]],2)&amp;TEXT([1]!tbl_採番[[#This Row],[月]],"00")&amp;"-1"&amp;TEXT(COUNTIFS(B$3:B67,B67,C$3:C67,C67),"000")&amp;"-"&amp;_xlfn.XLOOKUP([1]!tbl_採番[[#This Row],[担当者]],[1]入力ルール用シート!$D$2:$D$8,[1]入力ルール用シート!$E$2:$E$8,"",0,1)&amp;_xlfn.XLOOKUP([1]!tbl_採番[[#This Row],[支店]],[1]入力ルール用シート!$F$2:$F$3,[1]入力ルール用シート!$G$2:$G$3,"",0,1)))</f>
        <v/>
      </c>
      <c r="H67" s="209" t="n"/>
    </row>
    <row r="68">
      <c r="A68" s="212">
        <f>ROW([1]!tbl_採番[[#This Row],[ID]])-2</f>
        <v/>
      </c>
      <c r="B68" s="212" t="n"/>
      <c r="C68" s="209" t="n"/>
      <c r="D68" s="209" t="n"/>
      <c r="E68" s="209" t="n"/>
      <c r="F68" s="72" t="n"/>
      <c r="G68" s="118">
        <f>IF(ISBLANK([1]!tbl_採番[[#This Row],[年]]),"",(RIGHT([1]!tbl_採番[[#This Row],[年]],2)&amp;TEXT([1]!tbl_採番[[#This Row],[月]],"00")&amp;"-1"&amp;TEXT(COUNTIFS(B$3:B68,B68,C$3:C68,C68),"000")&amp;"-"&amp;_xlfn.XLOOKUP([1]!tbl_採番[[#This Row],[担当者]],[1]入力ルール用シート!$D$2:$D$8,[1]入力ルール用シート!$E$2:$E$8,"",0,1)&amp;_xlfn.XLOOKUP([1]!tbl_採番[[#This Row],[支店]],[1]入力ルール用シート!$F$2:$F$3,[1]入力ルール用シート!$G$2:$G$3,"",0,1)))</f>
        <v/>
      </c>
      <c r="H68" s="209" t="n"/>
    </row>
    <row r="69">
      <c r="A69" s="212">
        <f>ROW([1]!tbl_採番[[#This Row],[ID]])-2</f>
        <v/>
      </c>
      <c r="B69" s="212" t="n"/>
      <c r="C69" s="209" t="n"/>
      <c r="D69" s="209" t="n"/>
      <c r="E69" s="209" t="n"/>
      <c r="F69" s="72" t="n"/>
      <c r="G69" s="118">
        <f>IF(ISBLANK([1]!tbl_採番[[#This Row],[年]]),"",(RIGHT([1]!tbl_採番[[#This Row],[年]],2)&amp;TEXT([1]!tbl_採番[[#This Row],[月]],"00")&amp;"-1"&amp;TEXT(COUNTIFS(B$3:B69,B69,C$3:C69,C69),"000")&amp;"-"&amp;_xlfn.XLOOKUP([1]!tbl_採番[[#This Row],[担当者]],[1]入力ルール用シート!$D$2:$D$8,[1]入力ルール用シート!$E$2:$E$8,"",0,1)&amp;_xlfn.XLOOKUP([1]!tbl_採番[[#This Row],[支店]],[1]入力ルール用シート!$F$2:$F$3,[1]入力ルール用シート!$G$2:$G$3,"",0,1)))</f>
        <v/>
      </c>
      <c r="H69" s="209" t="n"/>
    </row>
    <row r="70">
      <c r="A70" s="212">
        <f>ROW([1]!tbl_採番[[#This Row],[ID]])-2</f>
        <v/>
      </c>
      <c r="B70" s="212" t="n"/>
      <c r="C70" s="209" t="n"/>
      <c r="D70" s="209" t="n"/>
      <c r="E70" s="209" t="n"/>
      <c r="F70" s="72" t="n"/>
      <c r="G70" s="118">
        <f>IF(ISBLANK([1]!tbl_採番[[#This Row],[年]]),"",(RIGHT([1]!tbl_採番[[#This Row],[年]],2)&amp;TEXT([1]!tbl_採番[[#This Row],[月]],"00")&amp;"-1"&amp;TEXT(COUNTIFS(B$3:B70,B70,C$3:C70,C70),"000")&amp;"-"&amp;_xlfn.XLOOKUP([1]!tbl_採番[[#This Row],[担当者]],[1]入力ルール用シート!$D$2:$D$8,[1]入力ルール用シート!$E$2:$E$8,"",0,1)&amp;_xlfn.XLOOKUP([1]!tbl_採番[[#This Row],[支店]],[1]入力ルール用シート!$F$2:$F$3,[1]入力ルール用シート!$G$2:$G$3,"",0,1)))</f>
        <v/>
      </c>
      <c r="H70" s="209" t="n"/>
    </row>
    <row r="71">
      <c r="A71" s="212">
        <f>ROW([1]!tbl_採番[[#This Row],[ID]])-2</f>
        <v/>
      </c>
      <c r="B71" s="212" t="n"/>
      <c r="C71" s="209" t="n"/>
      <c r="D71" s="209" t="n"/>
      <c r="E71" s="209" t="n"/>
      <c r="F71" s="72" t="n"/>
      <c r="G71" s="118">
        <f>IF(ISBLANK([1]!tbl_採番[[#This Row],[年]]),"",(RIGHT([1]!tbl_採番[[#This Row],[年]],2)&amp;TEXT([1]!tbl_採番[[#This Row],[月]],"00")&amp;"-1"&amp;TEXT(COUNTIFS(B$3:B71,B71,C$3:C71,C71),"000")&amp;"-"&amp;_xlfn.XLOOKUP([1]!tbl_採番[[#This Row],[担当者]],[1]入力ルール用シート!$D$2:$D$8,[1]入力ルール用シート!$E$2:$E$8,"",0,1)&amp;_xlfn.XLOOKUP([1]!tbl_採番[[#This Row],[支店]],[1]入力ルール用シート!$F$2:$F$3,[1]入力ルール用シート!$G$2:$G$3,"",0,1)))</f>
        <v/>
      </c>
      <c r="H71" s="209" t="n"/>
    </row>
    <row r="72">
      <c r="A72" s="212">
        <f>ROW([1]!tbl_採番[[#This Row],[ID]])-2</f>
        <v/>
      </c>
      <c r="B72" s="212" t="n"/>
      <c r="C72" s="209" t="n"/>
      <c r="D72" s="209" t="n"/>
      <c r="E72" s="209" t="n"/>
      <c r="F72" s="72" t="n"/>
      <c r="G72" s="118">
        <f>IF(ISBLANK([1]!tbl_採番[[#This Row],[年]]),"",(RIGHT([1]!tbl_採番[[#This Row],[年]],2)&amp;TEXT([1]!tbl_採番[[#This Row],[月]],"00")&amp;"-1"&amp;TEXT(COUNTIFS(B$3:B72,B72,C$3:C72,C72),"000")&amp;"-"&amp;_xlfn.XLOOKUP([1]!tbl_採番[[#This Row],[担当者]],[1]入力ルール用シート!$D$2:$D$8,[1]入力ルール用シート!$E$2:$E$8,"",0,1)&amp;_xlfn.XLOOKUP([1]!tbl_採番[[#This Row],[支店]],[1]入力ルール用シート!$F$2:$F$3,[1]入力ルール用シート!$G$2:$G$3,"",0,1)))</f>
        <v/>
      </c>
      <c r="H72" s="209" t="n"/>
    </row>
    <row r="73">
      <c r="A73" s="212">
        <f>ROW([1]!tbl_採番[[#This Row],[ID]])-2</f>
        <v/>
      </c>
      <c r="B73" s="212" t="n"/>
      <c r="C73" s="209" t="n"/>
      <c r="D73" s="209" t="n"/>
      <c r="E73" s="209" t="n"/>
      <c r="F73" s="72" t="n"/>
      <c r="G73" s="118">
        <f>IF(ISBLANK([1]!tbl_採番[[#This Row],[年]]),"",(RIGHT([1]!tbl_採番[[#This Row],[年]],2)&amp;TEXT([1]!tbl_採番[[#This Row],[月]],"00")&amp;"-1"&amp;TEXT(COUNTIFS(B$3:B73,B73,C$3:C73,C73),"000")&amp;"-"&amp;_xlfn.XLOOKUP([1]!tbl_採番[[#This Row],[担当者]],[1]入力ルール用シート!$D$2:$D$8,[1]入力ルール用シート!$E$2:$E$8,"",0,1)&amp;_xlfn.XLOOKUP([1]!tbl_採番[[#This Row],[支店]],[1]入力ルール用シート!$F$2:$F$3,[1]入力ルール用シート!$G$2:$G$3,"",0,1)))</f>
        <v/>
      </c>
      <c r="H73" s="209" t="n"/>
    </row>
    <row r="74">
      <c r="A74" s="212">
        <f>ROW([1]!tbl_採番[[#This Row],[ID]])-2</f>
        <v/>
      </c>
      <c r="B74" s="212" t="n"/>
      <c r="C74" s="209" t="n"/>
      <c r="D74" s="209" t="n"/>
      <c r="E74" s="209" t="n"/>
      <c r="F74" s="72" t="n"/>
      <c r="G74" s="118">
        <f>IF(ISBLANK([1]!tbl_採番[[#This Row],[年]]),"",(RIGHT([1]!tbl_採番[[#This Row],[年]],2)&amp;TEXT([1]!tbl_採番[[#This Row],[月]],"00")&amp;"-1"&amp;TEXT(COUNTIFS(B$3:B74,B74,C$3:C74,C74),"000")&amp;"-"&amp;_xlfn.XLOOKUP([1]!tbl_採番[[#This Row],[担当者]],[1]入力ルール用シート!$D$2:$D$8,[1]入力ルール用シート!$E$2:$E$8,"",0,1)&amp;_xlfn.XLOOKUP([1]!tbl_採番[[#This Row],[支店]],[1]入力ルール用シート!$F$2:$F$3,[1]入力ルール用シート!$G$2:$G$3,"",0,1)))</f>
        <v/>
      </c>
      <c r="H74" s="209" t="n"/>
    </row>
    <row r="75">
      <c r="A75" s="212">
        <f>ROW([1]!tbl_採番[[#This Row],[ID]])-2</f>
        <v/>
      </c>
      <c r="B75" s="212" t="n"/>
      <c r="C75" s="209" t="n"/>
      <c r="D75" s="209" t="n"/>
      <c r="E75" s="209" t="n"/>
      <c r="F75" s="72" t="n"/>
      <c r="G75" s="118">
        <f>IF(ISBLANK([1]!tbl_採番[[#This Row],[年]]),"",(RIGHT([1]!tbl_採番[[#This Row],[年]],2)&amp;TEXT([1]!tbl_採番[[#This Row],[月]],"00")&amp;"-1"&amp;TEXT(COUNTIFS(B$3:B75,B75,C$3:C75,C75),"000")&amp;"-"&amp;_xlfn.XLOOKUP([1]!tbl_採番[[#This Row],[担当者]],[1]入力ルール用シート!$D$2:$D$8,[1]入力ルール用シート!$E$2:$E$8,"",0,1)&amp;_xlfn.XLOOKUP([1]!tbl_採番[[#This Row],[支店]],[1]入力ルール用シート!$F$2:$F$3,[1]入力ルール用シート!$G$2:$G$3,"",0,1)))</f>
        <v/>
      </c>
      <c r="H75" s="209" t="n"/>
    </row>
    <row r="76">
      <c r="A76" s="212">
        <f>ROW([1]!tbl_採番[[#This Row],[ID]])-2</f>
        <v/>
      </c>
      <c r="B76" s="212" t="n"/>
      <c r="C76" s="209" t="n"/>
      <c r="D76" s="209" t="n"/>
      <c r="E76" s="209" t="n"/>
      <c r="F76" s="72" t="n"/>
      <c r="G76" s="118">
        <f>IF(ISBLANK([1]!tbl_採番[[#This Row],[年]]),"",(RIGHT([1]!tbl_採番[[#This Row],[年]],2)&amp;TEXT([1]!tbl_採番[[#This Row],[月]],"00")&amp;"-1"&amp;TEXT(COUNTIFS(B$3:B76,B76,C$3:C76,C76),"000")&amp;"-"&amp;_xlfn.XLOOKUP([1]!tbl_採番[[#This Row],[担当者]],[1]入力ルール用シート!$D$2:$D$8,[1]入力ルール用シート!$E$2:$E$8,"",0,1)&amp;_xlfn.XLOOKUP([1]!tbl_採番[[#This Row],[支店]],[1]入力ルール用シート!$F$2:$F$3,[1]入力ルール用シート!$G$2:$G$3,"",0,1)))</f>
        <v/>
      </c>
      <c r="H76" s="209" t="n"/>
    </row>
    <row r="77">
      <c r="A77" s="212">
        <f>ROW([1]!tbl_採番[[#This Row],[ID]])-2</f>
        <v/>
      </c>
      <c r="B77" s="212" t="n"/>
      <c r="C77" s="209" t="n"/>
      <c r="D77" s="209" t="n"/>
      <c r="E77" s="209" t="n"/>
      <c r="F77" s="72" t="n"/>
      <c r="G77" s="118">
        <f>IF(ISBLANK([1]!tbl_採番[[#This Row],[年]]),"",(RIGHT([1]!tbl_採番[[#This Row],[年]],2)&amp;TEXT([1]!tbl_採番[[#This Row],[月]],"00")&amp;"-1"&amp;TEXT(COUNTIFS(B$3:B77,B77,C$3:C77,C77),"000")&amp;"-"&amp;_xlfn.XLOOKUP([1]!tbl_採番[[#This Row],[担当者]],[1]入力ルール用シート!$D$2:$D$8,[1]入力ルール用シート!$E$2:$E$8,"",0,1)&amp;_xlfn.XLOOKUP([1]!tbl_採番[[#This Row],[支店]],[1]入力ルール用シート!$F$2:$F$3,[1]入力ルール用シート!$G$2:$G$3,"",0,1)))</f>
        <v/>
      </c>
      <c r="H77" s="209" t="n"/>
    </row>
    <row r="78">
      <c r="A78" s="212">
        <f>ROW([1]!tbl_採番[[#This Row],[ID]])-2</f>
        <v/>
      </c>
      <c r="B78" s="212" t="n"/>
      <c r="C78" s="209" t="n"/>
      <c r="D78" s="209" t="n"/>
      <c r="E78" s="209" t="n"/>
      <c r="F78" s="72" t="n"/>
      <c r="G78" s="118">
        <f>IF(ISBLANK([1]!tbl_採番[[#This Row],[年]]),"",(RIGHT([1]!tbl_採番[[#This Row],[年]],2)&amp;TEXT([1]!tbl_採番[[#This Row],[月]],"00")&amp;"-1"&amp;TEXT(COUNTIFS(B$3:B78,B78,C$3:C78,C78),"000")&amp;"-"&amp;_xlfn.XLOOKUP([1]!tbl_採番[[#This Row],[担当者]],[1]入力ルール用シート!$D$2:$D$8,[1]入力ルール用シート!$E$2:$E$8,"",0,1)&amp;_xlfn.XLOOKUP([1]!tbl_採番[[#This Row],[支店]],[1]入力ルール用シート!$F$2:$F$3,[1]入力ルール用シート!$G$2:$G$3,"",0,1)))</f>
        <v/>
      </c>
      <c r="H78" s="209" t="n"/>
    </row>
    <row r="79">
      <c r="A79" s="212">
        <f>ROW([1]!tbl_採番[[#This Row],[ID]])-2</f>
        <v/>
      </c>
      <c r="B79" s="212" t="n"/>
      <c r="C79" s="209" t="n"/>
      <c r="D79" s="209" t="n"/>
      <c r="E79" s="209" t="n"/>
      <c r="F79" s="72" t="n"/>
      <c r="G79" s="118">
        <f>IF(ISBLANK([1]!tbl_採番[[#This Row],[年]]),"",(RIGHT([1]!tbl_採番[[#This Row],[年]],2)&amp;TEXT([1]!tbl_採番[[#This Row],[月]],"00")&amp;"-1"&amp;TEXT(COUNTIFS(B$3:B79,B79,C$3:C79,C79),"000")&amp;"-"&amp;_xlfn.XLOOKUP([1]!tbl_採番[[#This Row],[担当者]],[1]入力ルール用シート!$D$2:$D$8,[1]入力ルール用シート!$E$2:$E$8,"",0,1)&amp;_xlfn.XLOOKUP([1]!tbl_採番[[#This Row],[支店]],[1]入力ルール用シート!$F$2:$F$3,[1]入力ルール用シート!$G$2:$G$3,"",0,1)))</f>
        <v/>
      </c>
      <c r="H79" s="209" t="n"/>
    </row>
    <row r="80">
      <c r="A80" s="212">
        <f>ROW([1]!tbl_採番[[#This Row],[ID]])-2</f>
        <v/>
      </c>
      <c r="B80" s="212" t="n"/>
      <c r="C80" s="209" t="n"/>
      <c r="D80" s="209" t="n"/>
      <c r="E80" s="209" t="n"/>
      <c r="F80" s="72" t="n"/>
      <c r="G80" s="118">
        <f>IF(ISBLANK([1]!tbl_採番[[#This Row],[年]]),"",(RIGHT([1]!tbl_採番[[#This Row],[年]],2)&amp;TEXT([1]!tbl_採番[[#This Row],[月]],"00")&amp;"-1"&amp;TEXT(COUNTIFS(B$3:B80,B80,C$3:C80,C80),"000")&amp;"-"&amp;_xlfn.XLOOKUP([1]!tbl_採番[[#This Row],[担当者]],[1]入力ルール用シート!$D$2:$D$8,[1]入力ルール用シート!$E$2:$E$8,"",0,1)&amp;_xlfn.XLOOKUP([1]!tbl_採番[[#This Row],[支店]],[1]入力ルール用シート!$F$2:$F$3,[1]入力ルール用シート!$G$2:$G$3,"",0,1)))</f>
        <v/>
      </c>
      <c r="H80" s="209" t="n"/>
    </row>
    <row r="81">
      <c r="A81" s="212">
        <f>ROW([1]!tbl_採番[[#This Row],[ID]])-2</f>
        <v/>
      </c>
      <c r="B81" s="212" t="n"/>
      <c r="C81" s="209" t="n"/>
      <c r="D81" s="209" t="n"/>
      <c r="E81" s="209" t="n"/>
      <c r="F81" s="72" t="n"/>
      <c r="G81" s="118">
        <f>IF(ISBLANK([1]!tbl_採番[[#This Row],[年]]),"",(RIGHT([1]!tbl_採番[[#This Row],[年]],2)&amp;TEXT([1]!tbl_採番[[#This Row],[月]],"00")&amp;"-1"&amp;TEXT(COUNTIFS(B$3:B81,B81,C$3:C81,C81),"000")&amp;"-"&amp;_xlfn.XLOOKUP([1]!tbl_採番[[#This Row],[担当者]],[1]入力ルール用シート!$D$2:$D$8,[1]入力ルール用シート!$E$2:$E$8,"",0,1)&amp;_xlfn.XLOOKUP([1]!tbl_採番[[#This Row],[支店]],[1]入力ルール用シート!$F$2:$F$3,[1]入力ルール用シート!$G$2:$G$3,"",0,1)))</f>
        <v/>
      </c>
      <c r="H81" s="209" t="n"/>
    </row>
    <row r="82">
      <c r="A82" s="212">
        <f>ROW([1]!tbl_採番[[#This Row],[ID]])-2</f>
        <v/>
      </c>
      <c r="B82" s="212" t="n"/>
      <c r="C82" s="209" t="n"/>
      <c r="D82" s="209" t="n"/>
      <c r="E82" s="209" t="n"/>
      <c r="F82" s="72" t="n"/>
      <c r="G82" s="118">
        <f>IF(ISBLANK([1]!tbl_採番[[#This Row],[年]]),"",(RIGHT([1]!tbl_採番[[#This Row],[年]],2)&amp;TEXT([1]!tbl_採番[[#This Row],[月]],"00")&amp;"-1"&amp;TEXT(COUNTIFS(B$3:B82,B82,C$3:C82,C82),"000")&amp;"-"&amp;_xlfn.XLOOKUP([1]!tbl_採番[[#This Row],[担当者]],[1]入力ルール用シート!$D$2:$D$8,[1]入力ルール用シート!$E$2:$E$8,"",0,1)&amp;_xlfn.XLOOKUP([1]!tbl_採番[[#This Row],[支店]],[1]入力ルール用シート!$F$2:$F$3,[1]入力ルール用シート!$G$2:$G$3,"",0,1)))</f>
        <v/>
      </c>
      <c r="H82" s="209" t="n"/>
    </row>
    <row r="83">
      <c r="A83" s="212">
        <f>ROW([1]!tbl_採番[[#This Row],[ID]])-2</f>
        <v/>
      </c>
      <c r="B83" s="212" t="n"/>
      <c r="C83" s="209" t="n"/>
      <c r="D83" s="209" t="n"/>
      <c r="E83" s="209" t="n"/>
      <c r="F83" s="72" t="n"/>
      <c r="G83" s="118">
        <f>IF(ISBLANK([1]!tbl_採番[[#This Row],[年]]),"",(RIGHT([1]!tbl_採番[[#This Row],[年]],2)&amp;TEXT([1]!tbl_採番[[#This Row],[月]],"00")&amp;"-1"&amp;TEXT(COUNTIFS(B$3:B83,B83,C$3:C83,C83),"000")&amp;"-"&amp;_xlfn.XLOOKUP([1]!tbl_採番[[#This Row],[担当者]],[1]入力ルール用シート!$D$2:$D$8,[1]入力ルール用シート!$E$2:$E$8,"",0,1)&amp;_xlfn.XLOOKUP([1]!tbl_採番[[#This Row],[支店]],[1]入力ルール用シート!$F$2:$F$3,[1]入力ルール用シート!$G$2:$G$3,"",0,1)))</f>
        <v/>
      </c>
      <c r="H83" s="209" t="n"/>
    </row>
    <row r="84">
      <c r="A84" s="212">
        <f>ROW([1]!tbl_採番[[#This Row],[ID]])-2</f>
        <v/>
      </c>
      <c r="B84" s="212" t="n"/>
      <c r="C84" s="209" t="n"/>
      <c r="D84" s="209" t="n"/>
      <c r="E84" s="209" t="n"/>
      <c r="F84" s="72" t="n"/>
      <c r="G84" s="118">
        <f>IF(ISBLANK([1]!tbl_採番[[#This Row],[年]]),"",(RIGHT([1]!tbl_採番[[#This Row],[年]],2)&amp;TEXT([1]!tbl_採番[[#This Row],[月]],"00")&amp;"-1"&amp;TEXT(COUNTIFS(B$3:B84,B84,C$3:C84,C84),"000")&amp;"-"&amp;_xlfn.XLOOKUP([1]!tbl_採番[[#This Row],[担当者]],[1]入力ルール用シート!$D$2:$D$8,[1]入力ルール用シート!$E$2:$E$8,"",0,1)&amp;_xlfn.XLOOKUP([1]!tbl_採番[[#This Row],[支店]],[1]入力ルール用シート!$F$2:$F$3,[1]入力ルール用シート!$G$2:$G$3,"",0,1)))</f>
        <v/>
      </c>
      <c r="H84" s="209" t="n"/>
    </row>
    <row r="85">
      <c r="A85" s="212">
        <f>ROW([1]!tbl_採番[[#This Row],[ID]])-2</f>
        <v/>
      </c>
      <c r="B85" s="212" t="n"/>
      <c r="C85" s="209" t="n"/>
      <c r="D85" s="209" t="n"/>
      <c r="E85" s="209" t="n"/>
      <c r="F85" s="72" t="n"/>
      <c r="G85" s="118">
        <f>IF(ISBLANK([1]!tbl_採番[[#This Row],[年]]),"",(RIGHT([1]!tbl_採番[[#This Row],[年]],2)&amp;TEXT([1]!tbl_採番[[#This Row],[月]],"00")&amp;"-1"&amp;TEXT(COUNTIFS(B$3:B85,B85,C$3:C85,C85),"000")&amp;"-"&amp;_xlfn.XLOOKUP([1]!tbl_採番[[#This Row],[担当者]],[1]入力ルール用シート!$D$2:$D$8,[1]入力ルール用シート!$E$2:$E$8,"",0,1)&amp;_xlfn.XLOOKUP([1]!tbl_採番[[#This Row],[支店]],[1]入力ルール用シート!$F$2:$F$3,[1]入力ルール用シート!$G$2:$G$3,"",0,1)))</f>
        <v/>
      </c>
      <c r="H85" s="209" t="n"/>
    </row>
    <row r="86">
      <c r="A86" s="212">
        <f>ROW([1]!tbl_採番[[#This Row],[ID]])-2</f>
        <v/>
      </c>
      <c r="B86" s="212" t="n"/>
      <c r="C86" s="209" t="n"/>
      <c r="D86" s="209" t="n"/>
      <c r="E86" s="209" t="n"/>
      <c r="F86" s="72" t="n"/>
      <c r="G86" s="118">
        <f>IF(ISBLANK([1]!tbl_採番[[#This Row],[年]]),"",(RIGHT([1]!tbl_採番[[#This Row],[年]],2)&amp;TEXT([1]!tbl_採番[[#This Row],[月]],"00")&amp;"-1"&amp;TEXT(COUNTIFS(B$3:B86,B86,C$3:C86,C86),"000")&amp;"-"&amp;_xlfn.XLOOKUP([1]!tbl_採番[[#This Row],[担当者]],[1]入力ルール用シート!$D$2:$D$8,[1]入力ルール用シート!$E$2:$E$8,"",0,1)&amp;_xlfn.XLOOKUP([1]!tbl_採番[[#This Row],[支店]],[1]入力ルール用シート!$F$2:$F$3,[1]入力ルール用シート!$G$2:$G$3,"",0,1)))</f>
        <v/>
      </c>
      <c r="H86" s="209" t="n"/>
    </row>
    <row r="87">
      <c r="A87" s="212">
        <f>ROW([1]!tbl_採番[[#This Row],[ID]])-2</f>
        <v/>
      </c>
      <c r="B87" s="212" t="n"/>
      <c r="C87" s="209" t="n"/>
      <c r="D87" s="209" t="n"/>
      <c r="E87" s="209" t="n"/>
      <c r="F87" s="72" t="n"/>
      <c r="G87" s="118">
        <f>IF(ISBLANK([1]!tbl_採番[[#This Row],[年]]),"",(RIGHT([1]!tbl_採番[[#This Row],[年]],2)&amp;TEXT([1]!tbl_採番[[#This Row],[月]],"00")&amp;"-1"&amp;TEXT(COUNTIFS(B$3:B87,B87,C$3:C87,C87),"000")&amp;"-"&amp;_xlfn.XLOOKUP([1]!tbl_採番[[#This Row],[担当者]],[1]入力ルール用シート!$D$2:$D$8,[1]入力ルール用シート!$E$2:$E$8,"",0,1)&amp;_xlfn.XLOOKUP([1]!tbl_採番[[#This Row],[支店]],[1]入力ルール用シート!$F$2:$F$3,[1]入力ルール用シート!$G$2:$G$3,"",0,1)))</f>
        <v/>
      </c>
      <c r="H87" s="209" t="n"/>
    </row>
    <row r="88">
      <c r="A88" s="212">
        <f>ROW([1]!tbl_採番[[#This Row],[ID]])-2</f>
        <v/>
      </c>
      <c r="B88" s="212" t="n"/>
      <c r="C88" s="209" t="n"/>
      <c r="D88" s="209" t="n"/>
      <c r="E88" s="209" t="n"/>
      <c r="F88" s="72" t="n"/>
      <c r="G88" s="118">
        <f>IF(ISBLANK([1]!tbl_採番[[#This Row],[年]]),"",(RIGHT([1]!tbl_採番[[#This Row],[年]],2)&amp;TEXT([1]!tbl_採番[[#This Row],[月]],"00")&amp;"-1"&amp;TEXT(COUNTIFS(B$3:B88,B88,C$3:C88,C88),"000")&amp;"-"&amp;_xlfn.XLOOKUP([1]!tbl_採番[[#This Row],[担当者]],[1]入力ルール用シート!$D$2:$D$8,[1]入力ルール用シート!$E$2:$E$8,"",0,1)&amp;_xlfn.XLOOKUP([1]!tbl_採番[[#This Row],[支店]],[1]入力ルール用シート!$F$2:$F$3,[1]入力ルール用シート!$G$2:$G$3,"",0,1)))</f>
        <v/>
      </c>
      <c r="H88" s="209" t="n"/>
    </row>
    <row r="89">
      <c r="A89" s="212">
        <f>ROW([1]!tbl_採番[[#This Row],[ID]])-2</f>
        <v/>
      </c>
      <c r="B89" s="212" t="n"/>
      <c r="C89" s="209" t="n"/>
      <c r="D89" s="209" t="n"/>
      <c r="E89" s="209" t="n"/>
      <c r="F89" s="72" t="n"/>
      <c r="G89" s="118">
        <f>IF(ISBLANK([1]!tbl_採番[[#This Row],[年]]),"",(RIGHT([1]!tbl_採番[[#This Row],[年]],2)&amp;TEXT([1]!tbl_採番[[#This Row],[月]],"00")&amp;"-1"&amp;TEXT(COUNTIFS(B$3:B89,B89,C$3:C89,C89),"000")&amp;"-"&amp;_xlfn.XLOOKUP([1]!tbl_採番[[#This Row],[担当者]],[1]入力ルール用シート!$D$2:$D$8,[1]入力ルール用シート!$E$2:$E$8,"",0,1)&amp;_xlfn.XLOOKUP([1]!tbl_採番[[#This Row],[支店]],[1]入力ルール用シート!$F$2:$F$3,[1]入力ルール用シート!$G$2:$G$3,"",0,1)))</f>
        <v/>
      </c>
      <c r="H89" s="209" t="n"/>
    </row>
    <row r="90">
      <c r="A90" s="212">
        <f>ROW([1]!tbl_採番[[#This Row],[ID]])-2</f>
        <v/>
      </c>
      <c r="B90" s="212" t="n"/>
      <c r="C90" s="209" t="n"/>
      <c r="D90" s="209" t="n"/>
      <c r="E90" s="209" t="n"/>
      <c r="F90" s="72" t="n"/>
      <c r="G90" s="118">
        <f>IF(ISBLANK([1]!tbl_採番[[#This Row],[年]]),"",(RIGHT([1]!tbl_採番[[#This Row],[年]],2)&amp;TEXT([1]!tbl_採番[[#This Row],[月]],"00")&amp;"-1"&amp;TEXT(COUNTIFS(B$3:B90,B90,C$3:C90,C90),"000")&amp;"-"&amp;_xlfn.XLOOKUP([1]!tbl_採番[[#This Row],[担当者]],[1]入力ルール用シート!$D$2:$D$8,[1]入力ルール用シート!$E$2:$E$8,"",0,1)&amp;_xlfn.XLOOKUP([1]!tbl_採番[[#This Row],[支店]],[1]入力ルール用シート!$F$2:$F$3,[1]入力ルール用シート!$G$2:$G$3,"",0,1)))</f>
        <v/>
      </c>
      <c r="H90" s="209" t="n"/>
    </row>
    <row r="91">
      <c r="A91" s="212">
        <f>ROW([1]!tbl_採番[[#This Row],[ID]])-2</f>
        <v/>
      </c>
      <c r="B91" s="212" t="n"/>
      <c r="C91" s="209" t="n"/>
      <c r="D91" s="209" t="n"/>
      <c r="E91" s="209" t="n"/>
      <c r="F91" s="72" t="n"/>
      <c r="G91" s="118">
        <f>IF(ISBLANK([1]!tbl_採番[[#This Row],[年]]),"",(RIGHT([1]!tbl_採番[[#This Row],[年]],2)&amp;TEXT([1]!tbl_採番[[#This Row],[月]],"00")&amp;"-1"&amp;TEXT(COUNTIFS(B$3:B91,B91,C$3:C91,C91),"000")&amp;"-"&amp;_xlfn.XLOOKUP([1]!tbl_採番[[#This Row],[担当者]],[1]入力ルール用シート!$D$2:$D$8,[1]入力ルール用シート!$E$2:$E$8,"",0,1)&amp;_xlfn.XLOOKUP([1]!tbl_採番[[#This Row],[支店]],[1]入力ルール用シート!$F$2:$F$3,[1]入力ルール用シート!$G$2:$G$3,"",0,1)))</f>
        <v/>
      </c>
      <c r="H91" s="209" t="n"/>
    </row>
    <row r="92">
      <c r="A92" s="212">
        <f>ROW([1]!tbl_採番[[#This Row],[ID]])-2</f>
        <v/>
      </c>
      <c r="B92" s="212" t="n"/>
      <c r="C92" s="209" t="n"/>
      <c r="D92" s="209" t="n"/>
      <c r="E92" s="209" t="n"/>
      <c r="F92" s="72" t="n"/>
      <c r="G92" s="118">
        <f>IF(ISBLANK([1]!tbl_採番[[#This Row],[年]]),"",(RIGHT([1]!tbl_採番[[#This Row],[年]],2)&amp;TEXT([1]!tbl_採番[[#This Row],[月]],"00")&amp;"-1"&amp;TEXT(COUNTIFS(B$3:B92,B92,C$3:C92,C92),"000")&amp;"-"&amp;_xlfn.XLOOKUP([1]!tbl_採番[[#This Row],[担当者]],[1]入力ルール用シート!$D$2:$D$8,[1]入力ルール用シート!$E$2:$E$8,"",0,1)&amp;_xlfn.XLOOKUP([1]!tbl_採番[[#This Row],[支店]],[1]入力ルール用シート!$F$2:$F$3,[1]入力ルール用シート!$G$2:$G$3,"",0,1)))</f>
        <v/>
      </c>
      <c r="H92" s="209" t="n"/>
    </row>
    <row r="93">
      <c r="A93" s="212">
        <f>ROW([1]!tbl_採番[[#This Row],[ID]])-2</f>
        <v/>
      </c>
      <c r="B93" s="212" t="n"/>
      <c r="C93" s="209" t="n"/>
      <c r="D93" s="209" t="n"/>
      <c r="E93" s="209" t="n"/>
      <c r="F93" s="72" t="n"/>
      <c r="G93" s="118">
        <f>IF(ISBLANK([1]!tbl_採番[[#This Row],[年]]),"",(RIGHT([1]!tbl_採番[[#This Row],[年]],2)&amp;TEXT([1]!tbl_採番[[#This Row],[月]],"00")&amp;"-1"&amp;TEXT(COUNTIFS(B$3:B93,B93,C$3:C93,C93),"000")&amp;"-"&amp;_xlfn.XLOOKUP([1]!tbl_採番[[#This Row],[担当者]],[1]入力ルール用シート!$D$2:$D$8,[1]入力ルール用シート!$E$2:$E$8,"",0,1)&amp;_xlfn.XLOOKUP([1]!tbl_採番[[#This Row],[支店]],[1]入力ルール用シート!$F$2:$F$3,[1]入力ルール用シート!$G$2:$G$3,"",0,1)))</f>
        <v/>
      </c>
      <c r="H93" s="209" t="n"/>
    </row>
    <row r="94">
      <c r="A94" s="212">
        <f>ROW([1]!tbl_採番[[#This Row],[ID]])-2</f>
        <v/>
      </c>
      <c r="B94" s="212" t="n"/>
      <c r="C94" s="209" t="n"/>
      <c r="D94" s="209" t="n"/>
      <c r="E94" s="209" t="n"/>
      <c r="F94" s="72" t="n"/>
      <c r="G94" s="118">
        <f>IF(ISBLANK([1]!tbl_採番[[#This Row],[年]]),"",(RIGHT([1]!tbl_採番[[#This Row],[年]],2)&amp;TEXT([1]!tbl_採番[[#This Row],[月]],"00")&amp;"-1"&amp;TEXT(COUNTIFS(B$3:B94,B94,C$3:C94,C94),"000")&amp;"-"&amp;_xlfn.XLOOKUP([1]!tbl_採番[[#This Row],[担当者]],[1]入力ルール用シート!$D$2:$D$8,[1]入力ルール用シート!$E$2:$E$8,"",0,1)&amp;_xlfn.XLOOKUP([1]!tbl_採番[[#This Row],[支店]],[1]入力ルール用シート!$F$2:$F$3,[1]入力ルール用シート!$G$2:$G$3,"",0,1)))</f>
        <v/>
      </c>
      <c r="H94" s="209" t="n"/>
    </row>
    <row r="95">
      <c r="A95" s="212">
        <f>ROW([1]!tbl_採番[[#This Row],[ID]])-2</f>
        <v/>
      </c>
      <c r="B95" s="212" t="n"/>
      <c r="C95" s="209" t="n"/>
      <c r="D95" s="209" t="n"/>
      <c r="E95" s="209" t="n"/>
      <c r="F95" s="72" t="n"/>
      <c r="G95" s="118">
        <f>IF(ISBLANK([1]!tbl_採番[[#This Row],[年]]),"",(RIGHT([1]!tbl_採番[[#This Row],[年]],2)&amp;TEXT([1]!tbl_採番[[#This Row],[月]],"00")&amp;"-1"&amp;TEXT(COUNTIFS(B$3:B95,B95,C$3:C95,C95),"000")&amp;"-"&amp;_xlfn.XLOOKUP([1]!tbl_採番[[#This Row],[担当者]],[1]入力ルール用シート!$D$2:$D$8,[1]入力ルール用シート!$E$2:$E$8,"",0,1)&amp;_xlfn.XLOOKUP([1]!tbl_採番[[#This Row],[支店]],[1]入力ルール用シート!$F$2:$F$3,[1]入力ルール用シート!$G$2:$G$3,"",0,1)))</f>
        <v/>
      </c>
      <c r="H95" s="209" t="n"/>
    </row>
    <row r="96">
      <c r="A96" s="212">
        <f>ROW([1]!tbl_採番[[#This Row],[ID]])-2</f>
        <v/>
      </c>
      <c r="B96" s="212" t="n"/>
      <c r="C96" s="209" t="n"/>
      <c r="D96" s="209" t="n"/>
      <c r="E96" s="209" t="n"/>
      <c r="F96" s="72" t="n"/>
      <c r="G96" s="118">
        <f>IF(ISBLANK([1]!tbl_採番[[#This Row],[年]]),"",(RIGHT([1]!tbl_採番[[#This Row],[年]],2)&amp;TEXT([1]!tbl_採番[[#This Row],[月]],"00")&amp;"-1"&amp;TEXT(COUNTIFS(B$3:B96,B96,C$3:C96,C96),"000")&amp;"-"&amp;_xlfn.XLOOKUP([1]!tbl_採番[[#This Row],[担当者]],[1]入力ルール用シート!$D$2:$D$8,[1]入力ルール用シート!$E$2:$E$8,"",0,1)&amp;_xlfn.XLOOKUP([1]!tbl_採番[[#This Row],[支店]],[1]入力ルール用シート!$F$2:$F$3,[1]入力ルール用シート!$G$2:$G$3,"",0,1)))</f>
        <v/>
      </c>
      <c r="H96" s="209" t="n"/>
    </row>
    <row r="97">
      <c r="A97" s="212">
        <f>ROW([1]!tbl_採番[[#This Row],[ID]])-2</f>
        <v/>
      </c>
      <c r="B97" s="212" t="n"/>
      <c r="C97" s="209" t="n"/>
      <c r="D97" s="209" t="n"/>
      <c r="E97" s="209" t="n"/>
      <c r="F97" s="72" t="n"/>
      <c r="G97" s="118">
        <f>IF(ISBLANK([1]!tbl_採番[[#This Row],[年]]),"",(RIGHT([1]!tbl_採番[[#This Row],[年]],2)&amp;TEXT([1]!tbl_採番[[#This Row],[月]],"00")&amp;"-1"&amp;TEXT(COUNTIFS(B$3:B97,B97,C$3:C97,C97),"000")&amp;"-"&amp;_xlfn.XLOOKUP([1]!tbl_採番[[#This Row],[担当者]],[1]入力ルール用シート!$D$2:$D$8,[1]入力ルール用シート!$E$2:$E$8,"",0,1)&amp;_xlfn.XLOOKUP([1]!tbl_採番[[#This Row],[支店]],[1]入力ルール用シート!$F$2:$F$3,[1]入力ルール用シート!$G$2:$G$3,"",0,1)))</f>
        <v/>
      </c>
      <c r="H97" s="209" t="n"/>
    </row>
    <row r="98">
      <c r="A98" s="212">
        <f>ROW([1]!tbl_採番[[#This Row],[ID]])-2</f>
        <v/>
      </c>
      <c r="B98" s="212" t="n"/>
      <c r="C98" s="209" t="n"/>
      <c r="D98" s="209" t="n"/>
      <c r="E98" s="209" t="n"/>
      <c r="F98" s="72" t="n"/>
      <c r="G98" s="118">
        <f>IF(ISBLANK([1]!tbl_採番[[#This Row],[年]]),"",(RIGHT([1]!tbl_採番[[#This Row],[年]],2)&amp;TEXT([1]!tbl_採番[[#This Row],[月]],"00")&amp;"-1"&amp;TEXT(COUNTIFS(B$3:B98,B98,C$3:C98,C98),"000")&amp;"-"&amp;_xlfn.XLOOKUP([1]!tbl_採番[[#This Row],[担当者]],[1]入力ルール用シート!$D$2:$D$8,[1]入力ルール用シート!$E$2:$E$8,"",0,1)&amp;_xlfn.XLOOKUP([1]!tbl_採番[[#This Row],[支店]],[1]入力ルール用シート!$F$2:$F$3,[1]入力ルール用シート!$G$2:$G$3,"",0,1)))</f>
        <v/>
      </c>
      <c r="H98" s="209" t="n"/>
    </row>
    <row r="99">
      <c r="A99" s="212">
        <f>ROW([1]!tbl_採番[[#This Row],[ID]])-2</f>
        <v/>
      </c>
      <c r="B99" s="212" t="n"/>
      <c r="C99" s="209" t="n"/>
      <c r="D99" s="209" t="n"/>
      <c r="E99" s="209" t="n"/>
      <c r="F99" s="72" t="n"/>
      <c r="G99" s="118">
        <f>IF(ISBLANK([1]!tbl_採番[[#This Row],[年]]),"",(RIGHT([1]!tbl_採番[[#This Row],[年]],2)&amp;TEXT([1]!tbl_採番[[#This Row],[月]],"00")&amp;"-1"&amp;TEXT(COUNTIFS(B$3:B99,B99,C$3:C99,C99),"000")&amp;"-"&amp;_xlfn.XLOOKUP([1]!tbl_採番[[#This Row],[担当者]],[1]入力ルール用シート!$D$2:$D$8,[1]入力ルール用シート!$E$2:$E$8,"",0,1)&amp;_xlfn.XLOOKUP([1]!tbl_採番[[#This Row],[支店]],[1]入力ルール用シート!$F$2:$F$3,[1]入力ルール用シート!$G$2:$G$3,"",0,1)))</f>
        <v/>
      </c>
      <c r="H99" s="209" t="n"/>
    </row>
    <row r="100">
      <c r="A100" s="212">
        <f>ROW([1]!tbl_採番[[#This Row],[ID]])-2</f>
        <v/>
      </c>
      <c r="B100" s="212" t="n"/>
      <c r="C100" s="209" t="n"/>
      <c r="D100" s="209" t="n"/>
      <c r="E100" s="209" t="n"/>
      <c r="F100" s="72" t="n"/>
      <c r="G100" s="118">
        <f>IF(ISBLANK([1]!tbl_採番[[#This Row],[年]]),"",(RIGHT([1]!tbl_採番[[#This Row],[年]],2)&amp;TEXT([1]!tbl_採番[[#This Row],[月]],"00")&amp;"-1"&amp;TEXT(COUNTIFS(B$3:B100,B100,C$3:C100,C100),"000")&amp;"-"&amp;_xlfn.XLOOKUP([1]!tbl_採番[[#This Row],[担当者]],[1]入力ルール用シート!$D$2:$D$8,[1]入力ルール用シート!$E$2:$E$8,"",0,1)&amp;_xlfn.XLOOKUP([1]!tbl_採番[[#This Row],[支店]],[1]入力ルール用シート!$F$2:$F$3,[1]入力ルール用シート!$G$2:$G$3,"",0,1)))</f>
        <v/>
      </c>
      <c r="H100" s="209" t="n"/>
    </row>
    <row r="101">
      <c r="A101" s="212">
        <f>ROW([1]!tbl_採番[[#This Row],[ID]])-2</f>
        <v/>
      </c>
      <c r="B101" s="212" t="n"/>
      <c r="C101" s="209" t="n"/>
      <c r="D101" s="209" t="n"/>
      <c r="E101" s="209" t="n"/>
      <c r="F101" s="72" t="n"/>
      <c r="G101" s="118">
        <f>IF(ISBLANK([1]!tbl_採番[[#This Row],[年]]),"",(RIGHT([1]!tbl_採番[[#This Row],[年]],2)&amp;TEXT([1]!tbl_採番[[#This Row],[月]],"00")&amp;"-1"&amp;TEXT(COUNTIFS(B$3:B101,B101,C$3:C101,C101),"000")&amp;"-"&amp;_xlfn.XLOOKUP([1]!tbl_採番[[#This Row],[担当者]],[1]入力ルール用シート!$D$2:$D$8,[1]入力ルール用シート!$E$2:$E$8,"",0,1)&amp;_xlfn.XLOOKUP([1]!tbl_採番[[#This Row],[支店]],[1]入力ルール用シート!$F$2:$F$3,[1]入力ルール用シート!$G$2:$G$3,"",0,1)))</f>
        <v/>
      </c>
      <c r="H101" s="209" t="n"/>
    </row>
    <row r="102">
      <c r="A102" s="212">
        <f>ROW([1]!tbl_採番[[#This Row],[ID]])-2</f>
        <v/>
      </c>
      <c r="B102" s="212" t="n"/>
      <c r="C102" s="209" t="n"/>
      <c r="D102" s="209" t="n"/>
      <c r="E102" s="209" t="n"/>
      <c r="F102" s="72" t="n"/>
      <c r="G102" s="118">
        <f>IF(ISBLANK([1]!tbl_採番[[#This Row],[年]]),"",(RIGHT([1]!tbl_採番[[#This Row],[年]],2)&amp;TEXT([1]!tbl_採番[[#This Row],[月]],"00")&amp;"-1"&amp;TEXT(COUNTIFS(B$3:B102,B102,C$3:C102,C102),"000")&amp;"-"&amp;_xlfn.XLOOKUP([1]!tbl_採番[[#This Row],[担当者]],[1]入力ルール用シート!$D$2:$D$8,[1]入力ルール用シート!$E$2:$E$8,"",0,1)&amp;_xlfn.XLOOKUP([1]!tbl_採番[[#This Row],[支店]],[1]入力ルール用シート!$F$2:$F$3,[1]入力ルール用シート!$G$2:$G$3,"",0,1)))</f>
        <v/>
      </c>
      <c r="H102" s="209" t="n"/>
    </row>
    <row r="103">
      <c r="A103" s="212">
        <f>ROW([1]!tbl_採番[[#This Row],[ID]])-2</f>
        <v/>
      </c>
      <c r="B103" s="212" t="n"/>
      <c r="C103" s="209" t="n"/>
      <c r="D103" s="209" t="n"/>
      <c r="E103" s="209" t="n"/>
      <c r="F103" s="72" t="n"/>
      <c r="G103" s="118">
        <f>IF(ISBLANK([1]!tbl_採番[[#This Row],[年]]),"",(RIGHT([1]!tbl_採番[[#This Row],[年]],2)&amp;TEXT([1]!tbl_採番[[#This Row],[月]],"00")&amp;"-1"&amp;TEXT(COUNTIFS(B$3:B103,B103,C$3:C103,C103),"000")&amp;"-"&amp;_xlfn.XLOOKUP([1]!tbl_採番[[#This Row],[担当者]],[1]入力ルール用シート!$D$2:$D$8,[1]入力ルール用シート!$E$2:$E$8,"",0,1)&amp;_xlfn.XLOOKUP([1]!tbl_採番[[#This Row],[支店]],[1]入力ルール用シート!$F$2:$F$3,[1]入力ルール用シート!$G$2:$G$3,"",0,1)))</f>
        <v/>
      </c>
      <c r="H103" s="209" t="n"/>
    </row>
    <row r="104">
      <c r="A104" s="212">
        <f>ROW([1]!tbl_採番[[#This Row],[ID]])-2</f>
        <v/>
      </c>
      <c r="B104" s="212" t="n"/>
      <c r="C104" s="209" t="n"/>
      <c r="D104" s="209" t="n"/>
      <c r="E104" s="209" t="n"/>
      <c r="F104" s="72" t="n"/>
      <c r="G104" s="118">
        <f>IF(ISBLANK([1]!tbl_採番[[#This Row],[年]]),"",(RIGHT([1]!tbl_採番[[#This Row],[年]],2)&amp;TEXT([1]!tbl_採番[[#This Row],[月]],"00")&amp;"-1"&amp;TEXT(COUNTIFS(B$3:B104,B104,C$3:C104,C104),"000")&amp;"-"&amp;_xlfn.XLOOKUP([1]!tbl_採番[[#This Row],[担当者]],[1]入力ルール用シート!$D$2:$D$8,[1]入力ルール用シート!$E$2:$E$8,"",0,1)&amp;_xlfn.XLOOKUP([1]!tbl_採番[[#This Row],[支店]],[1]入力ルール用シート!$F$2:$F$3,[1]入力ルール用シート!$G$2:$G$3,"",0,1)))</f>
        <v/>
      </c>
      <c r="H104" s="209" t="n"/>
    </row>
    <row r="105">
      <c r="A105" s="212">
        <f>ROW([1]!tbl_採番[[#This Row],[ID]])-2</f>
        <v/>
      </c>
      <c r="B105" s="212" t="n"/>
      <c r="C105" s="209" t="n"/>
      <c r="D105" s="209" t="n"/>
      <c r="E105" s="209" t="n"/>
      <c r="F105" s="72" t="n"/>
      <c r="G105" s="118">
        <f>IF(ISBLANK([1]!tbl_採番[[#This Row],[年]]),"",(RIGHT([1]!tbl_採番[[#This Row],[年]],2)&amp;TEXT([1]!tbl_採番[[#This Row],[月]],"00")&amp;"-1"&amp;TEXT(COUNTIFS(B$3:B105,B105,C$3:C105,C105),"000")&amp;"-"&amp;_xlfn.XLOOKUP([1]!tbl_採番[[#This Row],[担当者]],[1]入力ルール用シート!$D$2:$D$8,[1]入力ルール用シート!$E$2:$E$8,"",0,1)&amp;_xlfn.XLOOKUP([1]!tbl_採番[[#This Row],[支店]],[1]入力ルール用シート!$F$2:$F$3,[1]入力ルール用シート!$G$2:$G$3,"",0,1)))</f>
        <v/>
      </c>
      <c r="H105" s="209" t="n"/>
    </row>
    <row r="106">
      <c r="A106" s="212">
        <f>ROW([1]!tbl_採番[[#This Row],[ID]])-2</f>
        <v/>
      </c>
      <c r="B106" s="212" t="n"/>
      <c r="C106" s="209" t="n"/>
      <c r="D106" s="209" t="n"/>
      <c r="E106" s="209" t="n"/>
      <c r="F106" s="72" t="n"/>
      <c r="G106" s="118">
        <f>IF(ISBLANK([1]!tbl_採番[[#This Row],[年]]),"",(RIGHT([1]!tbl_採番[[#This Row],[年]],2)&amp;TEXT([1]!tbl_採番[[#This Row],[月]],"00")&amp;"-1"&amp;TEXT(COUNTIFS(B$3:B106,B106,C$3:C106,C106),"000")&amp;"-"&amp;_xlfn.XLOOKUP([1]!tbl_採番[[#This Row],[担当者]],[1]入力ルール用シート!$D$2:$D$8,[1]入力ルール用シート!$E$2:$E$8,"",0,1)&amp;_xlfn.XLOOKUP([1]!tbl_採番[[#This Row],[支店]],[1]入力ルール用シート!$F$2:$F$3,[1]入力ルール用シート!$G$2:$G$3,"",0,1)))</f>
        <v/>
      </c>
      <c r="H106" s="209" t="n"/>
    </row>
    <row r="107">
      <c r="A107" s="212">
        <f>ROW([1]!tbl_採番[[#This Row],[ID]])-2</f>
        <v/>
      </c>
      <c r="B107" s="212" t="n"/>
      <c r="C107" s="209" t="n"/>
      <c r="D107" s="209" t="n"/>
      <c r="E107" s="209" t="n"/>
      <c r="F107" s="72" t="n"/>
      <c r="G107" s="118">
        <f>IF(ISBLANK([1]!tbl_採番[[#This Row],[年]]),"",(RIGHT([1]!tbl_採番[[#This Row],[年]],2)&amp;TEXT([1]!tbl_採番[[#This Row],[月]],"00")&amp;"-1"&amp;TEXT(COUNTIFS(B$3:B107,B107,C$3:C107,C107),"000")&amp;"-"&amp;_xlfn.XLOOKUP([1]!tbl_採番[[#This Row],[担当者]],[1]入力ルール用シート!$D$2:$D$8,[1]入力ルール用シート!$E$2:$E$8,"",0,1)&amp;_xlfn.XLOOKUP([1]!tbl_採番[[#This Row],[支店]],[1]入力ルール用シート!$F$2:$F$3,[1]入力ルール用シート!$G$2:$G$3,"",0,1)))</f>
        <v/>
      </c>
      <c r="H107" s="209" t="n"/>
    </row>
    <row r="108">
      <c r="A108" s="212">
        <f>ROW([1]!tbl_採番[[#This Row],[ID]])-2</f>
        <v/>
      </c>
      <c r="B108" s="212" t="n"/>
      <c r="C108" s="209" t="n"/>
      <c r="D108" s="209" t="n"/>
      <c r="E108" s="209" t="n"/>
      <c r="F108" s="72" t="n"/>
      <c r="G108" s="118">
        <f>IF(ISBLANK([1]!tbl_採番[[#This Row],[年]]),"",(RIGHT([1]!tbl_採番[[#This Row],[年]],2)&amp;TEXT([1]!tbl_採番[[#This Row],[月]],"00")&amp;"-1"&amp;TEXT(COUNTIFS(B$3:B108,B108,C$3:C108,C108),"000")&amp;"-"&amp;_xlfn.XLOOKUP([1]!tbl_採番[[#This Row],[担当者]],[1]入力ルール用シート!$D$2:$D$8,[1]入力ルール用シート!$E$2:$E$8,"",0,1)&amp;_xlfn.XLOOKUP([1]!tbl_採番[[#This Row],[支店]],[1]入力ルール用シート!$F$2:$F$3,[1]入力ルール用シート!$G$2:$G$3,"",0,1)))</f>
        <v/>
      </c>
      <c r="H108" s="209" t="n"/>
    </row>
    <row r="109">
      <c r="A109" s="212">
        <f>ROW([1]!tbl_採番[[#This Row],[ID]])-2</f>
        <v/>
      </c>
      <c r="B109" s="212" t="n"/>
      <c r="C109" s="209" t="n"/>
      <c r="D109" s="209" t="n"/>
      <c r="E109" s="209" t="n"/>
      <c r="F109" s="72" t="n"/>
      <c r="G109" s="118">
        <f>IF(ISBLANK([1]!tbl_採番[[#This Row],[年]]),"",(RIGHT([1]!tbl_採番[[#This Row],[年]],2)&amp;TEXT([1]!tbl_採番[[#This Row],[月]],"00")&amp;"-1"&amp;TEXT(COUNTIFS(B$3:B109,B109,C$3:C109,C109),"000")&amp;"-"&amp;_xlfn.XLOOKUP([1]!tbl_採番[[#This Row],[担当者]],[1]入力ルール用シート!$D$2:$D$8,[1]入力ルール用シート!$E$2:$E$8,"",0,1)&amp;_xlfn.XLOOKUP([1]!tbl_採番[[#This Row],[支店]],[1]入力ルール用シート!$F$2:$F$3,[1]入力ルール用シート!$G$2:$G$3,"",0,1)))</f>
        <v/>
      </c>
      <c r="H109" s="209" t="n"/>
    </row>
    <row r="110">
      <c r="A110" s="212">
        <f>ROW([1]!tbl_採番[[#This Row],[ID]])-2</f>
        <v/>
      </c>
      <c r="B110" s="212" t="n"/>
      <c r="C110" s="209" t="n"/>
      <c r="D110" s="209" t="n"/>
      <c r="E110" s="209" t="n"/>
      <c r="F110" s="72" t="n"/>
      <c r="G110" s="118">
        <f>IF(ISBLANK([1]!tbl_採番[[#This Row],[年]]),"",(RIGHT([1]!tbl_採番[[#This Row],[年]],2)&amp;TEXT([1]!tbl_採番[[#This Row],[月]],"00")&amp;"-1"&amp;TEXT(COUNTIFS(B$3:B110,B110,C$3:C110,C110),"000")&amp;"-"&amp;_xlfn.XLOOKUP([1]!tbl_採番[[#This Row],[担当者]],[1]入力ルール用シート!$D$2:$D$8,[1]入力ルール用シート!$E$2:$E$8,"",0,1)&amp;_xlfn.XLOOKUP([1]!tbl_採番[[#This Row],[支店]],[1]入力ルール用シート!$F$2:$F$3,[1]入力ルール用シート!$G$2:$G$3,"",0,1)))</f>
        <v/>
      </c>
      <c r="H110" s="209" t="n"/>
    </row>
    <row r="111">
      <c r="A111" s="212">
        <f>ROW([1]!tbl_採番[[#This Row],[ID]])-2</f>
        <v/>
      </c>
      <c r="B111" s="212" t="n"/>
      <c r="C111" s="209" t="n"/>
      <c r="D111" s="209" t="n"/>
      <c r="E111" s="209" t="n"/>
      <c r="F111" s="72" t="n"/>
      <c r="G111" s="118">
        <f>IF(ISBLANK([1]!tbl_採番[[#This Row],[年]]),"",(RIGHT([1]!tbl_採番[[#This Row],[年]],2)&amp;TEXT([1]!tbl_採番[[#This Row],[月]],"00")&amp;"-1"&amp;TEXT(COUNTIFS(B$3:B111,B111,C$3:C111,C111),"000")&amp;"-"&amp;_xlfn.XLOOKUP([1]!tbl_採番[[#This Row],[担当者]],[1]入力ルール用シート!$D$2:$D$8,[1]入力ルール用シート!$E$2:$E$8,"",0,1)&amp;_xlfn.XLOOKUP([1]!tbl_採番[[#This Row],[支店]],[1]入力ルール用シート!$F$2:$F$3,[1]入力ルール用シート!$G$2:$G$3,"",0,1)))</f>
        <v/>
      </c>
      <c r="H111" s="209" t="n"/>
    </row>
    <row r="112">
      <c r="A112" s="212">
        <f>ROW([1]!tbl_採番[[#This Row],[ID]])-2</f>
        <v/>
      </c>
      <c r="B112" s="212" t="n"/>
      <c r="C112" s="209" t="n"/>
      <c r="D112" s="209" t="n"/>
      <c r="E112" s="209" t="n"/>
      <c r="F112" s="72" t="n"/>
      <c r="G112" s="118">
        <f>IF(ISBLANK([1]!tbl_採番[[#This Row],[年]]),"",(RIGHT([1]!tbl_採番[[#This Row],[年]],2)&amp;TEXT([1]!tbl_採番[[#This Row],[月]],"00")&amp;"-1"&amp;TEXT(COUNTIFS(B$3:B112,B112,C$3:C112,C112),"000")&amp;"-"&amp;_xlfn.XLOOKUP([1]!tbl_採番[[#This Row],[担当者]],[1]入力ルール用シート!$D$2:$D$8,[1]入力ルール用シート!$E$2:$E$8,"",0,1)&amp;_xlfn.XLOOKUP([1]!tbl_採番[[#This Row],[支店]],[1]入力ルール用シート!$F$2:$F$3,[1]入力ルール用シート!$G$2:$G$3,"",0,1)))</f>
        <v/>
      </c>
      <c r="H112" s="209" t="n"/>
    </row>
    <row r="113">
      <c r="A113" s="212">
        <f>ROW([1]!tbl_採番[[#This Row],[ID]])-2</f>
        <v/>
      </c>
      <c r="B113" s="212" t="n"/>
      <c r="C113" s="209" t="n"/>
      <c r="D113" s="209" t="n"/>
      <c r="E113" s="209" t="n"/>
      <c r="F113" s="72" t="n"/>
      <c r="G113" s="118">
        <f>IF(ISBLANK([1]!tbl_採番[[#This Row],[年]]),"",(RIGHT([1]!tbl_採番[[#This Row],[年]],2)&amp;TEXT([1]!tbl_採番[[#This Row],[月]],"00")&amp;"-1"&amp;TEXT(COUNTIFS(B$3:B113,B113,C$3:C113,C113),"000")&amp;"-"&amp;_xlfn.XLOOKUP([1]!tbl_採番[[#This Row],[担当者]],[1]入力ルール用シート!$D$2:$D$8,[1]入力ルール用シート!$E$2:$E$8,"",0,1)&amp;_xlfn.XLOOKUP([1]!tbl_採番[[#This Row],[支店]],[1]入力ルール用シート!$F$2:$F$3,[1]入力ルール用シート!$G$2:$G$3,"",0,1)))</f>
        <v/>
      </c>
      <c r="H113" s="209" t="n"/>
    </row>
    <row r="114">
      <c r="A114" s="212">
        <f>ROW([1]!tbl_採番[[#This Row],[ID]])-2</f>
        <v/>
      </c>
      <c r="B114" s="212" t="n"/>
      <c r="C114" s="209" t="n"/>
      <c r="D114" s="209" t="n"/>
      <c r="E114" s="209" t="n"/>
      <c r="F114" s="72" t="n"/>
      <c r="G114" s="118">
        <f>IF(ISBLANK([1]!tbl_採番[[#This Row],[年]]),"",(RIGHT([1]!tbl_採番[[#This Row],[年]],2)&amp;TEXT([1]!tbl_採番[[#This Row],[月]],"00")&amp;"-1"&amp;TEXT(COUNTIFS(B$3:B114,B114,C$3:C114,C114),"000")&amp;"-"&amp;_xlfn.XLOOKUP([1]!tbl_採番[[#This Row],[担当者]],[1]入力ルール用シート!$D$2:$D$8,[1]入力ルール用シート!$E$2:$E$8,"",0,1)&amp;_xlfn.XLOOKUP([1]!tbl_採番[[#This Row],[支店]],[1]入力ルール用シート!$F$2:$F$3,[1]入力ルール用シート!$G$2:$G$3,"",0,1)))</f>
        <v/>
      </c>
      <c r="H114" s="209" t="n"/>
    </row>
    <row r="115">
      <c r="A115" s="212">
        <f>ROW([1]!tbl_採番[[#This Row],[ID]])-2</f>
        <v/>
      </c>
      <c r="B115" s="212" t="n"/>
      <c r="C115" s="209" t="n"/>
      <c r="D115" s="209" t="n"/>
      <c r="E115" s="209" t="n"/>
      <c r="F115" s="72" t="n"/>
      <c r="G115" s="118">
        <f>IF(ISBLANK([1]!tbl_採番[[#This Row],[年]]),"",(RIGHT([1]!tbl_採番[[#This Row],[年]],2)&amp;TEXT([1]!tbl_採番[[#This Row],[月]],"00")&amp;"-1"&amp;TEXT(COUNTIFS(B$3:B115,B115,C$3:C115,C115),"000")&amp;"-"&amp;_xlfn.XLOOKUP([1]!tbl_採番[[#This Row],[担当者]],[1]入力ルール用シート!$D$2:$D$8,[1]入力ルール用シート!$E$2:$E$8,"",0,1)&amp;_xlfn.XLOOKUP([1]!tbl_採番[[#This Row],[支店]],[1]入力ルール用シート!$F$2:$F$3,[1]入力ルール用シート!$G$2:$G$3,"",0,1)))</f>
        <v/>
      </c>
      <c r="H115" s="209" t="n"/>
    </row>
    <row r="116">
      <c r="A116" s="212">
        <f>ROW([1]!tbl_採番[[#This Row],[ID]])-2</f>
        <v/>
      </c>
      <c r="B116" s="212" t="n"/>
      <c r="C116" s="209" t="n"/>
      <c r="D116" s="209" t="n"/>
      <c r="E116" s="209" t="n"/>
      <c r="F116" s="72" t="n"/>
      <c r="G116" s="118">
        <f>IF(ISBLANK([1]!tbl_採番[[#This Row],[年]]),"",(RIGHT([1]!tbl_採番[[#This Row],[年]],2)&amp;TEXT([1]!tbl_採番[[#This Row],[月]],"00")&amp;"-1"&amp;TEXT(COUNTIFS(B$3:B116,B116,C$3:C116,C116),"000")&amp;"-"&amp;_xlfn.XLOOKUP([1]!tbl_採番[[#This Row],[担当者]],[1]入力ルール用シート!$D$2:$D$8,[1]入力ルール用シート!$E$2:$E$8,"",0,1)&amp;_xlfn.XLOOKUP([1]!tbl_採番[[#This Row],[支店]],[1]入力ルール用シート!$F$2:$F$3,[1]入力ルール用シート!$G$2:$G$3,"",0,1)))</f>
        <v/>
      </c>
      <c r="H116" s="209" t="n"/>
    </row>
    <row r="117">
      <c r="A117" s="212">
        <f>ROW([1]!tbl_採番[[#This Row],[ID]])-2</f>
        <v/>
      </c>
      <c r="B117" s="212" t="n"/>
      <c r="C117" s="209" t="n"/>
      <c r="D117" s="209" t="n"/>
      <c r="E117" s="209" t="n"/>
      <c r="F117" s="72" t="n"/>
      <c r="G117" s="118">
        <f>IF(ISBLANK([1]!tbl_採番[[#This Row],[年]]),"",(RIGHT([1]!tbl_採番[[#This Row],[年]],2)&amp;TEXT([1]!tbl_採番[[#This Row],[月]],"00")&amp;"-1"&amp;TEXT(COUNTIFS(B$3:B117,B117,C$3:C117,C117),"000")&amp;"-"&amp;_xlfn.XLOOKUP([1]!tbl_採番[[#This Row],[担当者]],[1]入力ルール用シート!$D$2:$D$8,[1]入力ルール用シート!$E$2:$E$8,"",0,1)&amp;_xlfn.XLOOKUP([1]!tbl_採番[[#This Row],[支店]],[1]入力ルール用シート!$F$2:$F$3,[1]入力ルール用シート!$G$2:$G$3,"",0,1)))</f>
        <v/>
      </c>
      <c r="H117" s="209" t="n"/>
    </row>
    <row r="118">
      <c r="A118" s="212">
        <f>ROW([1]!tbl_採番[[#This Row],[ID]])-2</f>
        <v/>
      </c>
      <c r="B118" s="212" t="n"/>
      <c r="C118" s="209" t="n"/>
      <c r="D118" s="209" t="n"/>
      <c r="E118" s="209" t="n"/>
      <c r="F118" s="72" t="n"/>
      <c r="G118" s="118">
        <f>IF(ISBLANK([1]!tbl_採番[[#This Row],[年]]),"",(RIGHT([1]!tbl_採番[[#This Row],[年]],2)&amp;TEXT([1]!tbl_採番[[#This Row],[月]],"00")&amp;"-1"&amp;TEXT(COUNTIFS(B$3:B118,B118,C$3:C118,C118),"000")&amp;"-"&amp;_xlfn.XLOOKUP([1]!tbl_採番[[#This Row],[担当者]],[1]入力ルール用シート!$D$2:$D$8,[1]入力ルール用シート!$E$2:$E$8,"",0,1)&amp;_xlfn.XLOOKUP([1]!tbl_採番[[#This Row],[支店]],[1]入力ルール用シート!$F$2:$F$3,[1]入力ルール用シート!$G$2:$G$3,"",0,1)))</f>
        <v/>
      </c>
      <c r="H118" s="209" t="n"/>
    </row>
    <row r="119">
      <c r="A119" s="212">
        <f>ROW([1]!tbl_採番[[#This Row],[ID]])-2</f>
        <v/>
      </c>
      <c r="B119" s="212" t="n"/>
      <c r="C119" s="209" t="n"/>
      <c r="D119" s="209" t="n"/>
      <c r="E119" s="209" t="n"/>
      <c r="F119" s="72" t="n"/>
      <c r="G119" s="118">
        <f>IF(ISBLANK([1]!tbl_採番[[#This Row],[年]]),"",(RIGHT([1]!tbl_採番[[#This Row],[年]],2)&amp;TEXT([1]!tbl_採番[[#This Row],[月]],"00")&amp;"-1"&amp;TEXT(COUNTIFS(B$3:B119,B119,C$3:C119,C119),"000")&amp;"-"&amp;_xlfn.XLOOKUP([1]!tbl_採番[[#This Row],[担当者]],[1]入力ルール用シート!$D$2:$D$8,[1]入力ルール用シート!$E$2:$E$8,"",0,1)&amp;_xlfn.XLOOKUP([1]!tbl_採番[[#This Row],[支店]],[1]入力ルール用シート!$F$2:$F$3,[1]入力ルール用シート!$G$2:$G$3,"",0,1)))</f>
        <v/>
      </c>
      <c r="H119" s="209" t="n"/>
    </row>
    <row r="120">
      <c r="A120" s="212">
        <f>ROW([1]!tbl_採番[[#This Row],[ID]])-2</f>
        <v/>
      </c>
      <c r="B120" s="212" t="n"/>
      <c r="C120" s="209" t="n"/>
      <c r="D120" s="209" t="n"/>
      <c r="E120" s="209" t="n"/>
      <c r="F120" s="72" t="n"/>
      <c r="G120" s="118">
        <f>IF(ISBLANK([1]!tbl_採番[[#This Row],[年]]),"",(RIGHT([1]!tbl_採番[[#This Row],[年]],2)&amp;TEXT([1]!tbl_採番[[#This Row],[月]],"00")&amp;"-1"&amp;TEXT(COUNTIFS(B$3:B120,B120,C$3:C120,C120),"000")&amp;"-"&amp;_xlfn.XLOOKUP([1]!tbl_採番[[#This Row],[担当者]],[1]入力ルール用シート!$D$2:$D$8,[1]入力ルール用シート!$E$2:$E$8,"",0,1)&amp;_xlfn.XLOOKUP([1]!tbl_採番[[#This Row],[支店]],[1]入力ルール用シート!$F$2:$F$3,[1]入力ルール用シート!$G$2:$G$3,"",0,1)))</f>
        <v/>
      </c>
      <c r="H120" s="209" t="n"/>
    </row>
    <row r="121">
      <c r="A121" s="212">
        <f>ROW([1]!tbl_採番[[#This Row],[ID]])-2</f>
        <v/>
      </c>
      <c r="B121" s="212" t="n"/>
      <c r="C121" s="209" t="n"/>
      <c r="D121" s="209" t="n"/>
      <c r="E121" s="209" t="n"/>
      <c r="F121" s="72" t="n"/>
      <c r="G121" s="118">
        <f>IF(ISBLANK([1]!tbl_採番[[#This Row],[年]]),"",(RIGHT([1]!tbl_採番[[#This Row],[年]],2)&amp;TEXT([1]!tbl_採番[[#This Row],[月]],"00")&amp;"-1"&amp;TEXT(COUNTIFS(B$3:B121,B121,C$3:C121,C121),"000")&amp;"-"&amp;_xlfn.XLOOKUP([1]!tbl_採番[[#This Row],[担当者]],[1]入力ルール用シート!$D$2:$D$8,[1]入力ルール用シート!$E$2:$E$8,"",0,1)&amp;_xlfn.XLOOKUP([1]!tbl_採番[[#This Row],[支店]],[1]入力ルール用シート!$F$2:$F$3,[1]入力ルール用シート!$G$2:$G$3,"",0,1)))</f>
        <v/>
      </c>
      <c r="H121" s="209" t="n"/>
    </row>
    <row r="122">
      <c r="A122" s="212">
        <f>ROW([1]!tbl_採番[[#This Row],[ID]])-2</f>
        <v/>
      </c>
      <c r="B122" s="212" t="n"/>
      <c r="C122" s="209" t="n"/>
      <c r="D122" s="209" t="n"/>
      <c r="E122" s="209" t="n"/>
      <c r="F122" s="72" t="n"/>
      <c r="G122" s="118">
        <f>IF(ISBLANK([1]!tbl_採番[[#This Row],[年]]),"",(RIGHT([1]!tbl_採番[[#This Row],[年]],2)&amp;TEXT([1]!tbl_採番[[#This Row],[月]],"00")&amp;"-1"&amp;TEXT(COUNTIFS(B$3:B122,B122,C$3:C122,C122),"000")&amp;"-"&amp;_xlfn.XLOOKUP([1]!tbl_採番[[#This Row],[担当者]],[1]入力ルール用シート!$D$2:$D$8,[1]入力ルール用シート!$E$2:$E$8,"",0,1)&amp;_xlfn.XLOOKUP([1]!tbl_採番[[#This Row],[支店]],[1]入力ルール用シート!$F$2:$F$3,[1]入力ルール用シート!$G$2:$G$3,"",0,1)))</f>
        <v/>
      </c>
      <c r="H122" s="209" t="n"/>
    </row>
    <row r="123">
      <c r="A123" s="212">
        <f>ROW([1]!tbl_採番[[#This Row],[ID]])-2</f>
        <v/>
      </c>
      <c r="B123" s="212" t="n"/>
      <c r="C123" s="209" t="n"/>
      <c r="D123" s="209" t="n"/>
      <c r="E123" s="209" t="n"/>
      <c r="F123" s="72" t="n"/>
      <c r="G123" s="118">
        <f>IF(ISBLANK([1]!tbl_採番[[#This Row],[年]]),"",(RIGHT([1]!tbl_採番[[#This Row],[年]],2)&amp;TEXT([1]!tbl_採番[[#This Row],[月]],"00")&amp;"-1"&amp;TEXT(COUNTIFS(B$3:B123,B123,C$3:C123,C123),"000")&amp;"-"&amp;_xlfn.XLOOKUP([1]!tbl_採番[[#This Row],[担当者]],[1]入力ルール用シート!$D$2:$D$8,[1]入力ルール用シート!$E$2:$E$8,"",0,1)&amp;_xlfn.XLOOKUP([1]!tbl_採番[[#This Row],[支店]],[1]入力ルール用シート!$F$2:$F$3,[1]入力ルール用シート!$G$2:$G$3,"",0,1)))</f>
        <v/>
      </c>
      <c r="H123" s="209" t="n"/>
    </row>
    <row r="124">
      <c r="A124" s="212">
        <f>ROW([1]!tbl_採番[[#This Row],[ID]])-2</f>
        <v/>
      </c>
      <c r="B124" s="212" t="n"/>
      <c r="C124" s="209" t="n"/>
      <c r="D124" s="209" t="n"/>
      <c r="E124" s="209" t="n"/>
      <c r="F124" s="72" t="n"/>
      <c r="G124" s="118">
        <f>IF(ISBLANK([1]!tbl_採番[[#This Row],[年]]),"",(RIGHT([1]!tbl_採番[[#This Row],[年]],2)&amp;TEXT([1]!tbl_採番[[#This Row],[月]],"00")&amp;"-1"&amp;TEXT(COUNTIFS(B$3:B124,B124,C$3:C124,C124),"000")&amp;"-"&amp;_xlfn.XLOOKUP([1]!tbl_採番[[#This Row],[担当者]],[1]入力ルール用シート!$D$2:$D$8,[1]入力ルール用シート!$E$2:$E$8,"",0,1)&amp;_xlfn.XLOOKUP([1]!tbl_採番[[#This Row],[支店]],[1]入力ルール用シート!$F$2:$F$3,[1]入力ルール用シート!$G$2:$G$3,"",0,1)))</f>
        <v/>
      </c>
      <c r="H124" s="209" t="n"/>
    </row>
    <row r="125">
      <c r="A125" s="212">
        <f>ROW([1]!tbl_採番[[#This Row],[ID]])-2</f>
        <v/>
      </c>
      <c r="B125" s="212" t="n"/>
      <c r="C125" s="209" t="n"/>
      <c r="D125" s="209" t="n"/>
      <c r="E125" s="209" t="n"/>
      <c r="F125" s="72" t="n"/>
      <c r="G125" s="118">
        <f>IF(ISBLANK([1]!tbl_採番[[#This Row],[年]]),"",(RIGHT([1]!tbl_採番[[#This Row],[年]],2)&amp;TEXT([1]!tbl_採番[[#This Row],[月]],"00")&amp;"-1"&amp;TEXT(COUNTIFS(B$3:B125,B125,C$3:C125,C125),"000")&amp;"-"&amp;_xlfn.XLOOKUP([1]!tbl_採番[[#This Row],[担当者]],[1]入力ルール用シート!$D$2:$D$8,[1]入力ルール用シート!$E$2:$E$8,"",0,1)&amp;_xlfn.XLOOKUP([1]!tbl_採番[[#This Row],[支店]],[1]入力ルール用シート!$F$2:$F$3,[1]入力ルール用シート!$G$2:$G$3,"",0,1)))</f>
        <v/>
      </c>
      <c r="H125" s="209" t="n"/>
    </row>
    <row r="126">
      <c r="A126" s="212">
        <f>ROW([1]!tbl_採番[[#This Row],[ID]])-2</f>
        <v/>
      </c>
      <c r="B126" s="212" t="n"/>
      <c r="C126" s="209" t="n"/>
      <c r="D126" s="209" t="n"/>
      <c r="E126" s="209" t="n"/>
      <c r="F126" s="72" t="n"/>
      <c r="G126" s="118">
        <f>IF(ISBLANK([1]!tbl_採番[[#This Row],[年]]),"",(RIGHT([1]!tbl_採番[[#This Row],[年]],2)&amp;TEXT([1]!tbl_採番[[#This Row],[月]],"00")&amp;"-1"&amp;TEXT(COUNTIFS(B$3:B126,B126,C$3:C126,C126),"000")&amp;"-"&amp;_xlfn.XLOOKUP([1]!tbl_採番[[#This Row],[担当者]],[1]入力ルール用シート!$D$2:$D$8,[1]入力ルール用シート!$E$2:$E$8,"",0,1)&amp;_xlfn.XLOOKUP([1]!tbl_採番[[#This Row],[支店]],[1]入力ルール用シート!$F$2:$F$3,[1]入力ルール用シート!$G$2:$G$3,"",0,1)))</f>
        <v/>
      </c>
      <c r="H126" s="209" t="n"/>
    </row>
    <row r="127">
      <c r="A127" s="212">
        <f>ROW([1]!tbl_採番[[#This Row],[ID]])-2</f>
        <v/>
      </c>
      <c r="B127" s="212" t="n"/>
      <c r="C127" s="209" t="n"/>
      <c r="D127" s="209" t="n"/>
      <c r="E127" s="209" t="n"/>
      <c r="F127" s="72" t="n"/>
      <c r="G127" s="118">
        <f>IF(ISBLANK([1]!tbl_採番[[#This Row],[年]]),"",(RIGHT([1]!tbl_採番[[#This Row],[年]],2)&amp;TEXT([1]!tbl_採番[[#This Row],[月]],"00")&amp;"-1"&amp;TEXT(COUNTIFS(B$3:B127,B127,C$3:C127,C127),"000")&amp;"-"&amp;_xlfn.XLOOKUP([1]!tbl_採番[[#This Row],[担当者]],[1]入力ルール用シート!$D$2:$D$8,[1]入力ルール用シート!$E$2:$E$8,"",0,1)&amp;_xlfn.XLOOKUP([1]!tbl_採番[[#This Row],[支店]],[1]入力ルール用シート!$F$2:$F$3,[1]入力ルール用シート!$G$2:$G$3,"",0,1)))</f>
        <v/>
      </c>
      <c r="H127" s="209" t="n"/>
    </row>
    <row r="128">
      <c r="A128" s="212">
        <f>ROW([1]!tbl_採番[[#This Row],[ID]])-2</f>
        <v/>
      </c>
      <c r="B128" s="212" t="n"/>
      <c r="C128" s="209" t="n"/>
      <c r="D128" s="209" t="n"/>
      <c r="E128" s="209" t="n"/>
      <c r="F128" s="72" t="n"/>
      <c r="G128" s="118">
        <f>IF(ISBLANK([1]!tbl_採番[[#This Row],[年]]),"",(RIGHT([1]!tbl_採番[[#This Row],[年]],2)&amp;TEXT([1]!tbl_採番[[#This Row],[月]],"00")&amp;"-1"&amp;TEXT(COUNTIFS(B$3:B128,B128,C$3:C128,C128),"000")&amp;"-"&amp;_xlfn.XLOOKUP([1]!tbl_採番[[#This Row],[担当者]],[1]入力ルール用シート!$D$2:$D$8,[1]入力ルール用シート!$E$2:$E$8,"",0,1)&amp;_xlfn.XLOOKUP([1]!tbl_採番[[#This Row],[支店]],[1]入力ルール用シート!$F$2:$F$3,[1]入力ルール用シート!$G$2:$G$3,"",0,1)))</f>
        <v/>
      </c>
      <c r="H128" s="209" t="n"/>
    </row>
    <row r="129">
      <c r="A129" s="212">
        <f>ROW([1]!tbl_採番[[#This Row],[ID]])-2</f>
        <v/>
      </c>
      <c r="B129" s="212" t="n"/>
      <c r="C129" s="209" t="n"/>
      <c r="D129" s="209" t="n"/>
      <c r="E129" s="209" t="n"/>
      <c r="F129" s="72" t="n"/>
      <c r="G129" s="118">
        <f>IF(ISBLANK([1]!tbl_採番[[#This Row],[年]]),"",(RIGHT([1]!tbl_採番[[#This Row],[年]],2)&amp;TEXT([1]!tbl_採番[[#This Row],[月]],"00")&amp;"-1"&amp;TEXT(COUNTIFS(B$3:B129,B129,C$3:C129,C129),"000")&amp;"-"&amp;_xlfn.XLOOKUP([1]!tbl_採番[[#This Row],[担当者]],[1]入力ルール用シート!$D$2:$D$8,[1]入力ルール用シート!$E$2:$E$8,"",0,1)&amp;_xlfn.XLOOKUP([1]!tbl_採番[[#This Row],[支店]],[1]入力ルール用シート!$F$2:$F$3,[1]入力ルール用シート!$G$2:$G$3,"",0,1)))</f>
        <v/>
      </c>
      <c r="H129" s="209" t="n"/>
    </row>
    <row r="130">
      <c r="A130" s="212">
        <f>ROW([1]!tbl_採番[[#This Row],[ID]])-2</f>
        <v/>
      </c>
      <c r="B130" s="212" t="n"/>
      <c r="C130" s="209" t="n"/>
      <c r="D130" s="209" t="n"/>
      <c r="E130" s="209" t="n"/>
      <c r="F130" s="72" t="n"/>
      <c r="G130" s="118">
        <f>IF(ISBLANK([1]!tbl_採番[[#This Row],[年]]),"",(RIGHT([1]!tbl_採番[[#This Row],[年]],2)&amp;TEXT([1]!tbl_採番[[#This Row],[月]],"00")&amp;"-1"&amp;TEXT(COUNTIFS(B$3:B130,B130,C$3:C130,C130),"000")&amp;"-"&amp;_xlfn.XLOOKUP([1]!tbl_採番[[#This Row],[担当者]],[1]入力ルール用シート!$D$2:$D$8,[1]入力ルール用シート!$E$2:$E$8,"",0,1)&amp;_xlfn.XLOOKUP([1]!tbl_採番[[#This Row],[支店]],[1]入力ルール用シート!$F$2:$F$3,[1]入力ルール用シート!$G$2:$G$3,"",0,1)))</f>
        <v/>
      </c>
      <c r="H130" s="209" t="n"/>
    </row>
    <row r="131">
      <c r="A131" s="212">
        <f>ROW([1]!tbl_採番[[#This Row],[ID]])-2</f>
        <v/>
      </c>
      <c r="B131" s="212" t="n"/>
      <c r="C131" s="209" t="n"/>
      <c r="D131" s="209" t="n"/>
      <c r="E131" s="209" t="n"/>
      <c r="F131" s="72" t="n"/>
      <c r="G131" s="118">
        <f>IF(ISBLANK([1]!tbl_採番[[#This Row],[年]]),"",(RIGHT([1]!tbl_採番[[#This Row],[年]],2)&amp;TEXT([1]!tbl_採番[[#This Row],[月]],"00")&amp;"-1"&amp;TEXT(COUNTIFS(B$3:B131,B131,C$3:C131,C131),"000")&amp;"-"&amp;_xlfn.XLOOKUP([1]!tbl_採番[[#This Row],[担当者]],[1]入力ルール用シート!$D$2:$D$8,[1]入力ルール用シート!$E$2:$E$8,"",0,1)&amp;_xlfn.XLOOKUP([1]!tbl_採番[[#This Row],[支店]],[1]入力ルール用シート!$F$2:$F$3,[1]入力ルール用シート!$G$2:$G$3,"",0,1)))</f>
        <v/>
      </c>
      <c r="H131" s="209" t="n"/>
    </row>
    <row r="132">
      <c r="A132" s="212">
        <f>ROW([1]!tbl_採番[[#This Row],[ID]])-2</f>
        <v/>
      </c>
      <c r="B132" s="212" t="n"/>
      <c r="C132" s="209" t="n"/>
      <c r="D132" s="209" t="n"/>
      <c r="E132" s="209" t="n"/>
      <c r="F132" s="72" t="n"/>
      <c r="G132" s="118">
        <f>IF(ISBLANK([1]!tbl_採番[[#This Row],[年]]),"",(RIGHT([1]!tbl_採番[[#This Row],[年]],2)&amp;TEXT([1]!tbl_採番[[#This Row],[月]],"00")&amp;"-1"&amp;TEXT(COUNTIFS(B$3:B132,B132,C$3:C132,C132),"000")&amp;"-"&amp;_xlfn.XLOOKUP([1]!tbl_採番[[#This Row],[担当者]],[1]入力ルール用シート!$D$2:$D$8,[1]入力ルール用シート!$E$2:$E$8,"",0,1)&amp;_xlfn.XLOOKUP([1]!tbl_採番[[#This Row],[支店]],[1]入力ルール用シート!$F$2:$F$3,[1]入力ルール用シート!$G$2:$G$3,"",0,1)))</f>
        <v/>
      </c>
      <c r="H132" s="209" t="n"/>
    </row>
    <row r="133">
      <c r="A133" s="212">
        <f>ROW([1]!tbl_採番[[#This Row],[ID]])-2</f>
        <v/>
      </c>
      <c r="B133" s="212" t="n"/>
      <c r="C133" s="209" t="n"/>
      <c r="D133" s="209" t="n"/>
      <c r="E133" s="209" t="n"/>
      <c r="F133" s="72" t="n"/>
      <c r="G133" s="118">
        <f>IF(ISBLANK([1]!tbl_採番[[#This Row],[年]]),"",(RIGHT([1]!tbl_採番[[#This Row],[年]],2)&amp;TEXT([1]!tbl_採番[[#This Row],[月]],"00")&amp;"-1"&amp;TEXT(COUNTIFS(B$3:B133,B133,C$3:C133,C133),"000")&amp;"-"&amp;_xlfn.XLOOKUP([1]!tbl_採番[[#This Row],[担当者]],[1]入力ルール用シート!$D$2:$D$8,[1]入力ルール用シート!$E$2:$E$8,"",0,1)&amp;_xlfn.XLOOKUP([1]!tbl_採番[[#This Row],[支店]],[1]入力ルール用シート!$F$2:$F$3,[1]入力ルール用シート!$G$2:$G$3,"",0,1)))</f>
        <v/>
      </c>
      <c r="H133" s="209" t="n"/>
    </row>
    <row r="134">
      <c r="A134" s="212">
        <f>ROW([1]!tbl_採番[[#This Row],[ID]])-2</f>
        <v/>
      </c>
      <c r="B134" s="212" t="n"/>
      <c r="C134" s="209" t="n"/>
      <c r="D134" s="209" t="n"/>
      <c r="E134" s="209" t="n"/>
      <c r="F134" s="72" t="n"/>
      <c r="G134" s="118">
        <f>IF(ISBLANK([1]!tbl_採番[[#This Row],[年]]),"",(RIGHT([1]!tbl_採番[[#This Row],[年]],2)&amp;TEXT([1]!tbl_採番[[#This Row],[月]],"00")&amp;"-1"&amp;TEXT(COUNTIFS(B$3:B134,B134,C$3:C134,C134),"000")&amp;"-"&amp;_xlfn.XLOOKUP([1]!tbl_採番[[#This Row],[担当者]],[1]入力ルール用シート!$D$2:$D$8,[1]入力ルール用シート!$E$2:$E$8,"",0,1)&amp;_xlfn.XLOOKUP([1]!tbl_採番[[#This Row],[支店]],[1]入力ルール用シート!$F$2:$F$3,[1]入力ルール用シート!$G$2:$G$3,"",0,1)))</f>
        <v/>
      </c>
      <c r="H134" s="209" t="n"/>
    </row>
    <row r="135">
      <c r="A135" s="212">
        <f>ROW([1]!tbl_採番[[#This Row],[ID]])-2</f>
        <v/>
      </c>
      <c r="B135" s="212" t="n"/>
      <c r="C135" s="209" t="n"/>
      <c r="D135" s="209" t="n"/>
      <c r="E135" s="209" t="n"/>
      <c r="F135" s="72" t="n"/>
      <c r="G135" s="118">
        <f>IF(ISBLANK([1]!tbl_採番[[#This Row],[年]]),"",(RIGHT([1]!tbl_採番[[#This Row],[年]],2)&amp;TEXT([1]!tbl_採番[[#This Row],[月]],"00")&amp;"-1"&amp;TEXT(COUNTIFS(B$3:B135,B135,C$3:C135,C135),"000")&amp;"-"&amp;_xlfn.XLOOKUP([1]!tbl_採番[[#This Row],[担当者]],[1]入力ルール用シート!$D$2:$D$8,[1]入力ルール用シート!$E$2:$E$8,"",0,1)&amp;_xlfn.XLOOKUP([1]!tbl_採番[[#This Row],[支店]],[1]入力ルール用シート!$F$2:$F$3,[1]入力ルール用シート!$G$2:$G$3,"",0,1)))</f>
        <v/>
      </c>
      <c r="H135" s="209" t="n"/>
    </row>
    <row r="136">
      <c r="A136" s="212">
        <f>ROW([1]!tbl_採番[[#This Row],[ID]])-2</f>
        <v/>
      </c>
      <c r="B136" s="212" t="n"/>
      <c r="C136" s="209" t="n"/>
      <c r="D136" s="209" t="n"/>
      <c r="E136" s="209" t="n"/>
      <c r="F136" s="72" t="n"/>
      <c r="G136" s="118">
        <f>IF(ISBLANK([1]!tbl_採番[[#This Row],[年]]),"",(RIGHT([1]!tbl_採番[[#This Row],[年]],2)&amp;TEXT([1]!tbl_採番[[#This Row],[月]],"00")&amp;"-1"&amp;TEXT(COUNTIFS(B$3:B136,B136,C$3:C136,C136),"000")&amp;"-"&amp;_xlfn.XLOOKUP([1]!tbl_採番[[#This Row],[担当者]],[1]入力ルール用シート!$D$2:$D$8,[1]入力ルール用シート!$E$2:$E$8,"",0,1)&amp;_xlfn.XLOOKUP([1]!tbl_採番[[#This Row],[支店]],[1]入力ルール用シート!$F$2:$F$3,[1]入力ルール用シート!$G$2:$G$3,"",0,1)))</f>
        <v/>
      </c>
      <c r="H136" s="209" t="n"/>
    </row>
    <row r="137">
      <c r="A137" s="212">
        <f>ROW([1]!tbl_採番[[#This Row],[ID]])-2</f>
        <v/>
      </c>
      <c r="B137" s="212" t="n"/>
      <c r="C137" s="209" t="n"/>
      <c r="D137" s="209" t="n"/>
      <c r="E137" s="209" t="n"/>
      <c r="F137" s="72" t="n"/>
      <c r="G137" s="118">
        <f>IF(ISBLANK([1]!tbl_採番[[#This Row],[年]]),"",(RIGHT([1]!tbl_採番[[#This Row],[年]],2)&amp;TEXT([1]!tbl_採番[[#This Row],[月]],"00")&amp;"-1"&amp;TEXT(COUNTIFS(B$3:B137,B137,C$3:C137,C137),"000")&amp;"-"&amp;_xlfn.XLOOKUP([1]!tbl_採番[[#This Row],[担当者]],[1]入力ルール用シート!$D$2:$D$8,[1]入力ルール用シート!$E$2:$E$8,"",0,1)&amp;_xlfn.XLOOKUP([1]!tbl_採番[[#This Row],[支店]],[1]入力ルール用シート!$F$2:$F$3,[1]入力ルール用シート!$G$2:$G$3,"",0,1)))</f>
        <v/>
      </c>
      <c r="H137" s="209" t="n"/>
    </row>
    <row r="138">
      <c r="A138" s="212">
        <f>ROW([1]!tbl_採番[[#This Row],[ID]])-2</f>
        <v/>
      </c>
      <c r="B138" s="212" t="n"/>
      <c r="C138" s="209" t="n"/>
      <c r="D138" s="209" t="n"/>
      <c r="E138" s="209" t="n"/>
      <c r="F138" s="72" t="n"/>
      <c r="G138" s="118">
        <f>IF(ISBLANK([1]!tbl_採番[[#This Row],[年]]),"",(RIGHT([1]!tbl_採番[[#This Row],[年]],2)&amp;TEXT([1]!tbl_採番[[#This Row],[月]],"00")&amp;"-1"&amp;TEXT(COUNTIFS(B$3:B138,B138,C$3:C138,C138),"000")&amp;"-"&amp;_xlfn.XLOOKUP([1]!tbl_採番[[#This Row],[担当者]],[1]入力ルール用シート!$D$2:$D$8,[1]入力ルール用シート!$E$2:$E$8,"",0,1)&amp;_xlfn.XLOOKUP([1]!tbl_採番[[#This Row],[支店]],[1]入力ルール用シート!$F$2:$F$3,[1]入力ルール用シート!$G$2:$G$3,"",0,1)))</f>
        <v/>
      </c>
      <c r="H138" s="209" t="n"/>
    </row>
    <row r="139">
      <c r="A139" s="212">
        <f>ROW([1]!tbl_採番[[#This Row],[ID]])-2</f>
        <v/>
      </c>
      <c r="B139" s="212" t="n"/>
      <c r="C139" s="209" t="n"/>
      <c r="D139" s="209" t="n"/>
      <c r="E139" s="209" t="n"/>
      <c r="F139" s="72" t="n"/>
      <c r="G139" s="118">
        <f>IF(ISBLANK([1]!tbl_採番[[#This Row],[年]]),"",(RIGHT([1]!tbl_採番[[#This Row],[年]],2)&amp;TEXT([1]!tbl_採番[[#This Row],[月]],"00")&amp;"-1"&amp;TEXT(COUNTIFS(B$3:B139,B139,C$3:C139,C139),"000")&amp;"-"&amp;_xlfn.XLOOKUP([1]!tbl_採番[[#This Row],[担当者]],[1]入力ルール用シート!$D$2:$D$8,[1]入力ルール用シート!$E$2:$E$8,"",0,1)&amp;_xlfn.XLOOKUP([1]!tbl_採番[[#This Row],[支店]],[1]入力ルール用シート!$F$2:$F$3,[1]入力ルール用シート!$G$2:$G$3,"",0,1)))</f>
        <v/>
      </c>
      <c r="H139" s="209" t="n"/>
    </row>
    <row r="140">
      <c r="A140" s="212">
        <f>ROW([1]!tbl_採番[[#This Row],[ID]])-2</f>
        <v/>
      </c>
      <c r="B140" s="212" t="n"/>
      <c r="C140" s="209" t="n"/>
      <c r="D140" s="209" t="n"/>
      <c r="E140" s="209" t="n"/>
      <c r="F140" s="72" t="n"/>
      <c r="G140" s="118">
        <f>IF(ISBLANK([1]!tbl_採番[[#This Row],[年]]),"",(RIGHT([1]!tbl_採番[[#This Row],[年]],2)&amp;TEXT([1]!tbl_採番[[#This Row],[月]],"00")&amp;"-1"&amp;TEXT(COUNTIFS(B$3:B140,B140,C$3:C140,C140),"000")&amp;"-"&amp;_xlfn.XLOOKUP([1]!tbl_採番[[#This Row],[担当者]],[1]入力ルール用シート!$D$2:$D$8,[1]入力ルール用シート!$E$2:$E$8,"",0,1)&amp;_xlfn.XLOOKUP([1]!tbl_採番[[#This Row],[支店]],[1]入力ルール用シート!$F$2:$F$3,[1]入力ルール用シート!$G$2:$G$3,"",0,1)))</f>
        <v/>
      </c>
      <c r="H140" s="209" t="n"/>
    </row>
    <row r="141">
      <c r="A141" s="212">
        <f>ROW([1]!tbl_採番[[#This Row],[ID]])-2</f>
        <v/>
      </c>
      <c r="B141" s="212" t="n"/>
      <c r="C141" s="209" t="n"/>
      <c r="D141" s="209" t="n"/>
      <c r="E141" s="209" t="n"/>
      <c r="F141" s="72" t="n"/>
      <c r="G141" s="118">
        <f>IF(ISBLANK([1]!tbl_採番[[#This Row],[年]]),"",(RIGHT([1]!tbl_採番[[#This Row],[年]],2)&amp;TEXT([1]!tbl_採番[[#This Row],[月]],"00")&amp;"-1"&amp;TEXT(COUNTIFS(B$3:B141,B141,C$3:C141,C141),"000")&amp;"-"&amp;_xlfn.XLOOKUP([1]!tbl_採番[[#This Row],[担当者]],[1]入力ルール用シート!$D$2:$D$8,[1]入力ルール用シート!$E$2:$E$8,"",0,1)&amp;_xlfn.XLOOKUP([1]!tbl_採番[[#This Row],[支店]],[1]入力ルール用シート!$F$2:$F$3,[1]入力ルール用シート!$G$2:$G$3,"",0,1)))</f>
        <v/>
      </c>
      <c r="H141" s="209" t="n"/>
    </row>
    <row r="142">
      <c r="A142" s="212">
        <f>ROW([1]!tbl_採番[[#This Row],[ID]])-2</f>
        <v/>
      </c>
      <c r="B142" s="212" t="n"/>
      <c r="C142" s="209" t="n"/>
      <c r="D142" s="209" t="n"/>
      <c r="E142" s="209" t="n"/>
      <c r="F142" s="72" t="n"/>
      <c r="G142" s="118">
        <f>IF(ISBLANK([1]!tbl_採番[[#This Row],[年]]),"",(RIGHT([1]!tbl_採番[[#This Row],[年]],2)&amp;TEXT([1]!tbl_採番[[#This Row],[月]],"00")&amp;"-1"&amp;TEXT(COUNTIFS(B$3:B142,B142,C$3:C142,C142),"000")&amp;"-"&amp;_xlfn.XLOOKUP([1]!tbl_採番[[#This Row],[担当者]],[1]入力ルール用シート!$D$2:$D$8,[1]入力ルール用シート!$E$2:$E$8,"",0,1)&amp;_xlfn.XLOOKUP([1]!tbl_採番[[#This Row],[支店]],[1]入力ルール用シート!$F$2:$F$3,[1]入力ルール用シート!$G$2:$G$3,"",0,1)))</f>
        <v/>
      </c>
      <c r="H142" s="209" t="n"/>
    </row>
    <row r="143">
      <c r="A143" s="212">
        <f>ROW([1]!tbl_採番[[#This Row],[ID]])-2</f>
        <v/>
      </c>
      <c r="B143" s="212" t="n"/>
      <c r="C143" s="209" t="n"/>
      <c r="D143" s="209" t="n"/>
      <c r="E143" s="209" t="n"/>
      <c r="F143" s="72" t="n"/>
      <c r="G143" s="118">
        <f>IF(ISBLANK([1]!tbl_採番[[#This Row],[年]]),"",(RIGHT([1]!tbl_採番[[#This Row],[年]],2)&amp;TEXT([1]!tbl_採番[[#This Row],[月]],"00")&amp;"-1"&amp;TEXT(COUNTIFS(B$3:B143,B143,C$3:C143,C143),"000")&amp;"-"&amp;_xlfn.XLOOKUP([1]!tbl_採番[[#This Row],[担当者]],[1]入力ルール用シート!$D$2:$D$8,[1]入力ルール用シート!$E$2:$E$8,"",0,1)&amp;_xlfn.XLOOKUP([1]!tbl_採番[[#This Row],[支店]],[1]入力ルール用シート!$F$2:$F$3,[1]入力ルール用シート!$G$2:$G$3,"",0,1)))</f>
        <v/>
      </c>
      <c r="H143" s="209" t="n"/>
    </row>
    <row r="144">
      <c r="A144" s="212">
        <f>ROW([1]!tbl_採番[[#This Row],[ID]])-2</f>
        <v/>
      </c>
      <c r="B144" s="212" t="n"/>
      <c r="C144" s="209" t="n"/>
      <c r="D144" s="209" t="n"/>
      <c r="E144" s="209" t="n"/>
      <c r="F144" s="72" t="n"/>
      <c r="G144" s="118">
        <f>IF(ISBLANK([1]!tbl_採番[[#This Row],[年]]),"",(RIGHT([1]!tbl_採番[[#This Row],[年]],2)&amp;TEXT([1]!tbl_採番[[#This Row],[月]],"00")&amp;"-1"&amp;TEXT(COUNTIFS(B$3:B144,B144,C$3:C144,C144),"000")&amp;"-"&amp;_xlfn.XLOOKUP([1]!tbl_採番[[#This Row],[担当者]],[1]入力ルール用シート!$D$2:$D$8,[1]入力ルール用シート!$E$2:$E$8,"",0,1)&amp;_xlfn.XLOOKUP([1]!tbl_採番[[#This Row],[支店]],[1]入力ルール用シート!$F$2:$F$3,[1]入力ルール用シート!$G$2:$G$3,"",0,1)))</f>
        <v/>
      </c>
      <c r="H144" s="209" t="n"/>
    </row>
    <row r="145">
      <c r="A145" s="212">
        <f>ROW([1]!tbl_採番[[#This Row],[ID]])-2</f>
        <v/>
      </c>
      <c r="B145" s="212" t="n"/>
      <c r="C145" s="209" t="n"/>
      <c r="D145" s="209" t="n"/>
      <c r="E145" s="209" t="n"/>
      <c r="F145" s="72" t="n"/>
      <c r="G145" s="118">
        <f>IF(ISBLANK([1]!tbl_採番[[#This Row],[年]]),"",(RIGHT([1]!tbl_採番[[#This Row],[年]],2)&amp;TEXT([1]!tbl_採番[[#This Row],[月]],"00")&amp;"-1"&amp;TEXT(COUNTIFS(B$3:B145,B145,C$3:C145,C145),"000")&amp;"-"&amp;_xlfn.XLOOKUP([1]!tbl_採番[[#This Row],[担当者]],[1]入力ルール用シート!$D$2:$D$8,[1]入力ルール用シート!$E$2:$E$8,"",0,1)&amp;_xlfn.XLOOKUP([1]!tbl_採番[[#This Row],[支店]],[1]入力ルール用シート!$F$2:$F$3,[1]入力ルール用シート!$G$2:$G$3,"",0,1)))</f>
        <v/>
      </c>
      <c r="H145" s="209" t="n"/>
    </row>
    <row r="146">
      <c r="A146" s="212">
        <f>ROW([1]!tbl_採番[[#This Row],[ID]])-2</f>
        <v/>
      </c>
      <c r="B146" s="212" t="n"/>
      <c r="C146" s="209" t="n"/>
      <c r="D146" s="209" t="n"/>
      <c r="E146" s="209" t="n"/>
      <c r="F146" s="72" t="n"/>
      <c r="G146" s="118">
        <f>IF(ISBLANK([1]!tbl_採番[[#This Row],[年]]),"",(RIGHT([1]!tbl_採番[[#This Row],[年]],2)&amp;TEXT([1]!tbl_採番[[#This Row],[月]],"00")&amp;"-1"&amp;TEXT(COUNTIFS(B$3:B146,B146,C$3:C146,C146),"000")&amp;"-"&amp;_xlfn.XLOOKUP([1]!tbl_採番[[#This Row],[担当者]],[1]入力ルール用シート!$D$2:$D$8,[1]入力ルール用シート!$E$2:$E$8,"",0,1)&amp;_xlfn.XLOOKUP([1]!tbl_採番[[#This Row],[支店]],[1]入力ルール用シート!$F$2:$F$3,[1]入力ルール用シート!$G$2:$G$3,"",0,1)))</f>
        <v/>
      </c>
      <c r="H146" s="209" t="n"/>
    </row>
    <row r="147">
      <c r="A147" s="212">
        <f>ROW([1]!tbl_採番[[#This Row],[ID]])-2</f>
        <v/>
      </c>
      <c r="B147" s="212" t="n"/>
      <c r="C147" s="209" t="n"/>
      <c r="D147" s="209" t="n"/>
      <c r="E147" s="209" t="n"/>
      <c r="F147" s="72" t="n"/>
      <c r="G147" s="118">
        <f>IF(ISBLANK([1]!tbl_採番[[#This Row],[年]]),"",(RIGHT([1]!tbl_採番[[#This Row],[年]],2)&amp;TEXT([1]!tbl_採番[[#This Row],[月]],"00")&amp;"-1"&amp;TEXT(COUNTIFS(B$3:B147,B147,C$3:C147,C147),"000")&amp;"-"&amp;_xlfn.XLOOKUP([1]!tbl_採番[[#This Row],[担当者]],[1]入力ルール用シート!$D$2:$D$8,[1]入力ルール用シート!$E$2:$E$8,"",0,1)&amp;_xlfn.XLOOKUP([1]!tbl_採番[[#This Row],[支店]],[1]入力ルール用シート!$F$2:$F$3,[1]入力ルール用シート!$G$2:$G$3,"",0,1)))</f>
        <v/>
      </c>
      <c r="H147" s="209" t="n"/>
    </row>
    <row r="148">
      <c r="A148" s="212">
        <f>ROW([1]!tbl_採番[[#This Row],[ID]])-2</f>
        <v/>
      </c>
      <c r="B148" s="212" t="n"/>
      <c r="C148" s="209" t="n"/>
      <c r="D148" s="209" t="n"/>
      <c r="E148" s="209" t="n"/>
      <c r="F148" s="72" t="n"/>
      <c r="G148" s="118">
        <f>IF(ISBLANK([1]!tbl_採番[[#This Row],[年]]),"",(RIGHT([1]!tbl_採番[[#This Row],[年]],2)&amp;TEXT([1]!tbl_採番[[#This Row],[月]],"00")&amp;"-1"&amp;TEXT(COUNTIFS(B$3:B148,B148,C$3:C148,C148),"000")&amp;"-"&amp;_xlfn.XLOOKUP([1]!tbl_採番[[#This Row],[担当者]],[1]入力ルール用シート!$D$2:$D$8,[1]入力ルール用シート!$E$2:$E$8,"",0,1)&amp;_xlfn.XLOOKUP([1]!tbl_採番[[#This Row],[支店]],[1]入力ルール用シート!$F$2:$F$3,[1]入力ルール用シート!$G$2:$G$3,"",0,1)))</f>
        <v/>
      </c>
      <c r="H148" s="209" t="n"/>
    </row>
    <row r="149">
      <c r="A149" s="212">
        <f>ROW([1]!tbl_採番[[#This Row],[ID]])-2</f>
        <v/>
      </c>
      <c r="B149" s="212" t="n"/>
      <c r="C149" s="209" t="n"/>
      <c r="D149" s="209" t="n"/>
      <c r="E149" s="209" t="n"/>
      <c r="F149" s="72" t="n"/>
      <c r="G149" s="118">
        <f>IF(ISBLANK([1]!tbl_採番[[#This Row],[年]]),"",(RIGHT([1]!tbl_採番[[#This Row],[年]],2)&amp;TEXT([1]!tbl_採番[[#This Row],[月]],"00")&amp;"-1"&amp;TEXT(COUNTIFS(B$3:B149,B149,C$3:C149,C149),"000")&amp;"-"&amp;_xlfn.XLOOKUP([1]!tbl_採番[[#This Row],[担当者]],[1]入力ルール用シート!$D$2:$D$8,[1]入力ルール用シート!$E$2:$E$8,"",0,1)&amp;_xlfn.XLOOKUP([1]!tbl_採番[[#This Row],[支店]],[1]入力ルール用シート!$F$2:$F$3,[1]入力ルール用シート!$G$2:$G$3,"",0,1)))</f>
        <v/>
      </c>
      <c r="H149" s="209" t="n"/>
    </row>
    <row r="150">
      <c r="A150" s="212">
        <f>ROW([1]!tbl_採番[[#This Row],[ID]])-2</f>
        <v/>
      </c>
      <c r="B150" s="212" t="n"/>
      <c r="C150" s="209" t="n"/>
      <c r="D150" s="209" t="n"/>
      <c r="E150" s="209" t="n"/>
      <c r="F150" s="72" t="n"/>
      <c r="G150" s="118">
        <f>IF(ISBLANK([1]!tbl_採番[[#This Row],[年]]),"",(RIGHT([1]!tbl_採番[[#This Row],[年]],2)&amp;TEXT([1]!tbl_採番[[#This Row],[月]],"00")&amp;"-1"&amp;TEXT(COUNTIFS(B$3:B150,B150,C$3:C150,C150),"000")&amp;"-"&amp;_xlfn.XLOOKUP([1]!tbl_採番[[#This Row],[担当者]],[1]入力ルール用シート!$D$2:$D$8,[1]入力ルール用シート!$E$2:$E$8,"",0,1)&amp;_xlfn.XLOOKUP([1]!tbl_採番[[#This Row],[支店]],[1]入力ルール用シート!$F$2:$F$3,[1]入力ルール用シート!$G$2:$G$3,"",0,1)))</f>
        <v/>
      </c>
      <c r="H150" s="209" t="n"/>
    </row>
    <row r="151">
      <c r="A151" s="212">
        <f>ROW([1]!tbl_採番[[#This Row],[ID]])-2</f>
        <v/>
      </c>
      <c r="B151" s="212" t="n"/>
      <c r="C151" s="209" t="n"/>
      <c r="D151" s="209" t="n"/>
      <c r="E151" s="209" t="n"/>
      <c r="F151" s="72" t="n"/>
      <c r="G151" s="118">
        <f>IF(ISBLANK([1]!tbl_採番[[#This Row],[年]]),"",(RIGHT([1]!tbl_採番[[#This Row],[年]],2)&amp;TEXT([1]!tbl_採番[[#This Row],[月]],"00")&amp;"-1"&amp;TEXT(COUNTIFS(B$3:B151,B151,C$3:C151,C151),"000")&amp;"-"&amp;_xlfn.XLOOKUP([1]!tbl_採番[[#This Row],[担当者]],[1]入力ルール用シート!$D$2:$D$8,[1]入力ルール用シート!$E$2:$E$8,"",0,1)&amp;_xlfn.XLOOKUP([1]!tbl_採番[[#This Row],[支店]],[1]入力ルール用シート!$F$2:$F$3,[1]入力ルール用シート!$G$2:$G$3,"",0,1)))</f>
        <v/>
      </c>
      <c r="H151" s="209" t="n"/>
    </row>
    <row r="152">
      <c r="A152" s="212">
        <f>ROW([1]!tbl_採番[[#This Row],[ID]])-2</f>
        <v/>
      </c>
      <c r="B152" s="212" t="n"/>
      <c r="C152" s="209" t="n"/>
      <c r="D152" s="209" t="n"/>
      <c r="E152" s="209" t="n"/>
      <c r="F152" s="72" t="n"/>
      <c r="G152" s="118">
        <f>IF(ISBLANK([1]!tbl_採番[[#This Row],[年]]),"",(RIGHT([1]!tbl_採番[[#This Row],[年]],2)&amp;TEXT([1]!tbl_採番[[#This Row],[月]],"00")&amp;"-1"&amp;TEXT(COUNTIFS(B$3:B152,B152,C$3:C152,C152),"000")&amp;"-"&amp;_xlfn.XLOOKUP([1]!tbl_採番[[#This Row],[担当者]],[1]入力ルール用シート!$D$2:$D$8,[1]入力ルール用シート!$E$2:$E$8,"",0,1)&amp;_xlfn.XLOOKUP([1]!tbl_採番[[#This Row],[支店]],[1]入力ルール用シート!$F$2:$F$3,[1]入力ルール用シート!$G$2:$G$3,"",0,1)))</f>
        <v/>
      </c>
      <c r="H152" s="209" t="n"/>
    </row>
    <row r="153">
      <c r="A153" s="212">
        <f>ROW([1]!tbl_採番[[#This Row],[ID]])-2</f>
        <v/>
      </c>
      <c r="B153" s="212" t="n"/>
      <c r="C153" s="209" t="n"/>
      <c r="D153" s="209" t="n"/>
      <c r="E153" s="209" t="n"/>
      <c r="F153" s="72" t="n"/>
      <c r="G153" s="118">
        <f>IF(ISBLANK([1]!tbl_採番[[#This Row],[年]]),"",(RIGHT([1]!tbl_採番[[#This Row],[年]],2)&amp;TEXT([1]!tbl_採番[[#This Row],[月]],"00")&amp;"-1"&amp;TEXT(COUNTIFS(B$3:B153,B153,C$3:C153,C153),"000")&amp;"-"&amp;_xlfn.XLOOKUP([1]!tbl_採番[[#This Row],[担当者]],[1]入力ルール用シート!$D$2:$D$8,[1]入力ルール用シート!$E$2:$E$8,"",0,1)&amp;_xlfn.XLOOKUP([1]!tbl_採番[[#This Row],[支店]],[1]入力ルール用シート!$F$2:$F$3,[1]入力ルール用シート!$G$2:$G$3,"",0,1)))</f>
        <v/>
      </c>
      <c r="H153" s="209" t="n"/>
    </row>
    <row r="154">
      <c r="A154" s="212">
        <f>ROW([1]!tbl_採番[[#This Row],[ID]])-2</f>
        <v/>
      </c>
      <c r="B154" s="212" t="n"/>
      <c r="C154" s="209" t="n"/>
      <c r="D154" s="209" t="n"/>
      <c r="E154" s="209" t="n"/>
      <c r="F154" s="72" t="n"/>
      <c r="G154" s="118">
        <f>IF(ISBLANK([1]!tbl_採番[[#This Row],[年]]),"",(RIGHT([1]!tbl_採番[[#This Row],[年]],2)&amp;TEXT([1]!tbl_採番[[#This Row],[月]],"00")&amp;"-1"&amp;TEXT(COUNTIFS(B$3:B154,B154,C$3:C154,C154),"000")&amp;"-"&amp;_xlfn.XLOOKUP([1]!tbl_採番[[#This Row],[担当者]],[1]入力ルール用シート!$D$2:$D$8,[1]入力ルール用シート!$E$2:$E$8,"",0,1)&amp;_xlfn.XLOOKUP([1]!tbl_採番[[#This Row],[支店]],[1]入力ルール用シート!$F$2:$F$3,[1]入力ルール用シート!$G$2:$G$3,"",0,1)))</f>
        <v/>
      </c>
      <c r="H154" s="209" t="n"/>
    </row>
    <row r="155">
      <c r="A155" s="212">
        <f>ROW([1]!tbl_採番[[#This Row],[ID]])-2</f>
        <v/>
      </c>
      <c r="B155" s="212" t="n"/>
      <c r="C155" s="209" t="n"/>
      <c r="D155" s="209" t="n"/>
      <c r="E155" s="209" t="n"/>
      <c r="F155" s="72" t="n"/>
      <c r="G155" s="118">
        <f>IF(ISBLANK([1]!tbl_採番[[#This Row],[年]]),"",(RIGHT([1]!tbl_採番[[#This Row],[年]],2)&amp;TEXT([1]!tbl_採番[[#This Row],[月]],"00")&amp;"-1"&amp;TEXT(COUNTIFS(B$3:B155,B155,C$3:C155,C155),"000")&amp;"-"&amp;_xlfn.XLOOKUP([1]!tbl_採番[[#This Row],[担当者]],[1]入力ルール用シート!$D$2:$D$8,[1]入力ルール用シート!$E$2:$E$8,"",0,1)&amp;_xlfn.XLOOKUP([1]!tbl_採番[[#This Row],[支店]],[1]入力ルール用シート!$F$2:$F$3,[1]入力ルール用シート!$G$2:$G$3,"",0,1)))</f>
        <v/>
      </c>
      <c r="H155" s="209" t="n"/>
    </row>
    <row r="156">
      <c r="A156" s="212">
        <f>ROW([1]!tbl_採番[[#This Row],[ID]])-2</f>
        <v/>
      </c>
      <c r="B156" s="212" t="n"/>
      <c r="C156" s="209" t="n"/>
      <c r="D156" s="209" t="n"/>
      <c r="E156" s="209" t="n"/>
      <c r="F156" s="72" t="n"/>
      <c r="G156" s="118">
        <f>IF(ISBLANK([1]!tbl_採番[[#This Row],[年]]),"",(RIGHT([1]!tbl_採番[[#This Row],[年]],2)&amp;TEXT([1]!tbl_採番[[#This Row],[月]],"00")&amp;"-1"&amp;TEXT(COUNTIFS(B$3:B156,B156,C$3:C156,C156),"000")&amp;"-"&amp;_xlfn.XLOOKUP([1]!tbl_採番[[#This Row],[担当者]],[1]入力ルール用シート!$D$2:$D$8,[1]入力ルール用シート!$E$2:$E$8,"",0,1)&amp;_xlfn.XLOOKUP([1]!tbl_採番[[#This Row],[支店]],[1]入力ルール用シート!$F$2:$F$3,[1]入力ルール用シート!$G$2:$G$3,"",0,1)))</f>
        <v/>
      </c>
      <c r="H156" s="209" t="n"/>
    </row>
    <row r="157">
      <c r="A157" s="212">
        <f>ROW([1]!tbl_採番[[#This Row],[ID]])-2</f>
        <v/>
      </c>
      <c r="B157" s="212" t="n"/>
      <c r="C157" s="209" t="n"/>
      <c r="D157" s="209" t="n"/>
      <c r="E157" s="209" t="n"/>
      <c r="F157" s="72" t="n"/>
      <c r="G157" s="118">
        <f>IF(ISBLANK([1]!tbl_採番[[#This Row],[年]]),"",(RIGHT([1]!tbl_採番[[#This Row],[年]],2)&amp;TEXT([1]!tbl_採番[[#This Row],[月]],"00")&amp;"-1"&amp;TEXT(COUNTIFS(B$3:B157,B157,C$3:C157,C157),"000")&amp;"-"&amp;_xlfn.XLOOKUP([1]!tbl_採番[[#This Row],[担当者]],[1]入力ルール用シート!$D$2:$D$8,[1]入力ルール用シート!$E$2:$E$8,"",0,1)&amp;_xlfn.XLOOKUP([1]!tbl_採番[[#This Row],[支店]],[1]入力ルール用シート!$F$2:$F$3,[1]入力ルール用シート!$G$2:$G$3,"",0,1)))</f>
        <v/>
      </c>
      <c r="H157" s="209" t="n"/>
    </row>
    <row r="158">
      <c r="A158" s="213">
        <f>ROW([1]!tbl_採番[[#This Row],[ID]])-2</f>
        <v/>
      </c>
      <c r="B158" s="213" t="n"/>
      <c r="C158" s="219" t="n"/>
      <c r="D158" s="219" t="n"/>
      <c r="E158" s="219" t="n"/>
      <c r="F158" s="76" t="n"/>
      <c r="G158" s="118">
        <f>IF(ISBLANK([1]!tbl_採番[[#This Row],[年]]),"",(RIGHT([1]!tbl_採番[[#This Row],[年]],2)&amp;TEXT([1]!tbl_採番[[#This Row],[月]],"00")&amp;"-1"&amp;TEXT(COUNTIFS(B$3:B158,B158,C$3:C158,C158),"000")&amp;"-"&amp;_xlfn.XLOOKUP([1]!tbl_採番[[#This Row],[担当者]],[1]入力ルール用シート!$D$2:$D$8,[1]入力ルール用シート!$E$2:$E$8,"",0,1)&amp;_xlfn.XLOOKUP([1]!tbl_採番[[#This Row],[支店]],[1]入力ルール用シート!$F$2:$F$3,[1]入力ルール用シート!$G$2:$G$3,"",0,1)))</f>
        <v/>
      </c>
      <c r="H158" s="219" t="n"/>
    </row>
  </sheetData>
  <pageMargins left="0.7" right="0.7" top="0.75" bottom="0.75" header="0.3" footer="0.3"/>
  <pageSetup orientation="portrait" paperSize="9"/>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fitToPage="1"/>
  </sheetPr>
  <dimension ref="A1:Q62"/>
  <sheetViews>
    <sheetView workbookViewId="0">
      <selection activeCell="D28" sqref="D28"/>
    </sheetView>
  </sheetViews>
  <sheetFormatPr baseColWidth="8" defaultRowHeight="18"/>
  <cols>
    <col width="18.5" bestFit="1" customWidth="1" style="207" min="1" max="1"/>
    <col width="6.19921875" customWidth="1" style="207" min="2" max="2"/>
    <col width="9.69921875" customWidth="1" style="207" min="3" max="3"/>
    <col width="10.69921875" customWidth="1" style="207" min="4" max="4"/>
    <col width="11.19921875" bestFit="1" customWidth="1" style="207" min="5" max="5"/>
    <col width="11.59765625" customWidth="1" style="182" min="6" max="7"/>
    <col width="11.59765625" customWidth="1" style="207" min="8" max="9"/>
    <col width="27.5" bestFit="1" customWidth="1" style="207" min="10" max="10"/>
    <col width="13.8984375" bestFit="1" customWidth="1" style="207" min="11" max="11"/>
    <col width="11.59765625" customWidth="1" style="207" min="12" max="12"/>
    <col width="13.3984375" customWidth="1" style="207" min="13" max="13"/>
    <col width="9.69921875" customWidth="1" style="207" min="14" max="14"/>
    <col width="16.19921875" bestFit="1" customWidth="1" style="207" min="15" max="16"/>
    <col width="22.59765625" bestFit="1" customWidth="1" style="207" min="17" max="17"/>
  </cols>
  <sheetData>
    <row r="1">
      <c r="A1" s="127" t="inlineStr">
        <is>
          <t>※灰色セルは自動入力</t>
        </is>
      </c>
    </row>
    <row r="2">
      <c r="A2" s="67" t="inlineStr">
        <is>
          <t>顧客名</t>
        </is>
      </c>
      <c r="B2" s="68" t="inlineStr">
        <is>
          <t>区分</t>
        </is>
      </c>
      <c r="C2" s="68" t="inlineStr">
        <is>
          <t>調査機関</t>
        </is>
      </c>
      <c r="D2" s="68" t="inlineStr">
        <is>
          <t>評点/格付</t>
        </is>
      </c>
      <c r="E2" s="68" t="inlineStr">
        <is>
          <t>調査日</t>
        </is>
      </c>
      <c r="F2" s="68" t="inlineStr">
        <is>
          <t>年間売上高</t>
        </is>
      </c>
      <c r="G2" s="68" t="inlineStr">
        <is>
          <t>年間利益金</t>
        </is>
      </c>
      <c r="H2" s="68" t="inlineStr">
        <is>
          <t>自己資本率</t>
        </is>
      </c>
      <c r="I2" s="68" t="inlineStr">
        <is>
          <t>与信限度額</t>
        </is>
      </c>
      <c r="J2" s="68" t="inlineStr">
        <is>
          <t>算定根拠</t>
        </is>
      </c>
      <c r="K2" s="68" t="inlineStr">
        <is>
          <t>稟議番号</t>
        </is>
      </c>
      <c r="L2" s="68" t="inlineStr">
        <is>
          <t>稟議決裁日</t>
        </is>
      </c>
      <c r="M2" s="68" t="inlineStr">
        <is>
          <t>売掛金更新日</t>
        </is>
      </c>
      <c r="N2" s="68" t="inlineStr">
        <is>
          <t>現在売掛残高</t>
        </is>
      </c>
      <c r="O2" s="68" t="inlineStr">
        <is>
          <t>残与信枠</t>
        </is>
      </c>
      <c r="P2" s="68" t="inlineStr">
        <is>
          <t>支払条件</t>
        </is>
      </c>
      <c r="Q2" s="69" t="inlineStr">
        <is>
          <t>備考</t>
        </is>
      </c>
    </row>
    <row r="3">
      <c r="A3" s="166" t="inlineStr">
        <is>
          <t>サンプル日新堂株式会社</t>
        </is>
      </c>
      <c r="B3" s="209" t="inlineStr">
        <is>
          <t>国内</t>
        </is>
      </c>
      <c r="C3" s="209" t="inlineStr">
        <is>
          <t>帝国DB</t>
        </is>
      </c>
      <c r="D3" s="209" t="n">
        <v>30</v>
      </c>
      <c r="E3" s="183" t="n">
        <v>46032</v>
      </c>
      <c r="F3" s="85" t="n">
        <v>50000000</v>
      </c>
      <c r="G3" s="85" t="n">
        <v>3000000</v>
      </c>
      <c r="H3" s="184" t="n">
        <v>0.35</v>
      </c>
      <c r="I3" s="209">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3" s="209">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3" s="209" t="n"/>
      <c r="L3" s="183" t="n">
        <v>46034</v>
      </c>
      <c r="M3" s="183" t="n"/>
      <c r="N3" s="209" t="n">
        <v>800000</v>
      </c>
      <c r="O3" s="77">
        <f>IF(ISBLANK(tbl_与信[[#This Row],[顧客名]]),"",IF(ISNUMBER(tbl_与信[[#This Row],[与信限度額]]), tbl_与信[[#This Row],[与信限度額]]-tbl_与信[[#This Row],[現在売掛残高]], "-"))</f>
        <v/>
      </c>
      <c r="P3" s="209" t="inlineStr">
        <is>
          <t>掛売</t>
        </is>
      </c>
      <c r="Q3" s="72" t="n"/>
    </row>
    <row r="4">
      <c r="A4" s="166" t="inlineStr">
        <is>
          <t>サンプル株式会社ホロニック</t>
        </is>
      </c>
      <c r="B4" s="209" t="inlineStr">
        <is>
          <t>国内</t>
        </is>
      </c>
      <c r="C4" s="209" t="inlineStr">
        <is>
          <t>TSR</t>
        </is>
      </c>
      <c r="D4" s="209" t="n">
        <v>60</v>
      </c>
      <c r="E4" s="183" t="n">
        <v>45976</v>
      </c>
      <c r="F4" s="85" t="n">
        <v>120000000</v>
      </c>
      <c r="G4" s="85" t="n">
        <v>5000000</v>
      </c>
      <c r="H4" s="184" t="n">
        <v>0.25</v>
      </c>
      <c r="I4" s="209">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4" s="209">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4" s="209" t="n"/>
      <c r="L4" s="183" t="n">
        <v>45981</v>
      </c>
      <c r="M4" s="183" t="n"/>
      <c r="N4" s="209" t="n">
        <v>1200000</v>
      </c>
      <c r="O4" s="77">
        <f>IF(ISBLANK(tbl_与信[[#This Row],[顧客名]]),"",IF(ISNUMBER(tbl_与信[[#This Row],[与信限度額]]), tbl_与信[[#This Row],[与信限度額]]-tbl_与信[[#This Row],[現在売掛残高]], "-"))</f>
        <v/>
      </c>
      <c r="P4" s="209" t="inlineStr">
        <is>
          <t>掛売</t>
        </is>
      </c>
      <c r="Q4" s="72" t="n"/>
    </row>
    <row r="5">
      <c r="A5" s="166" t="inlineStr">
        <is>
          <t>サンプルABC Trading (HK)</t>
        </is>
      </c>
      <c r="B5" s="209" t="inlineStr">
        <is>
          <t>海外</t>
        </is>
      </c>
      <c r="C5" s="209" t="inlineStr">
        <is>
          <t>NEXI</t>
        </is>
      </c>
      <c r="D5" s="209" t="inlineStr">
        <is>
          <t>EA</t>
        </is>
      </c>
      <c r="E5" s="183" t="n">
        <v>45992</v>
      </c>
      <c r="F5" s="85" t="n"/>
      <c r="G5" s="85" t="n"/>
      <c r="H5" s="209" t="n"/>
      <c r="I5" s="209">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5" s="209">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5" s="209" t="n"/>
      <c r="L5" s="209" t="inlineStr">
        <is>
          <t>-</t>
        </is>
      </c>
      <c r="M5" s="183" t="n"/>
      <c r="N5" s="209" t="n">
        <v>0</v>
      </c>
      <c r="O5" s="77">
        <f>IF(ISBLANK(tbl_与信[[#This Row],[顧客名]]),"",IF(ISNUMBER(tbl_与信[[#This Row],[与信限度額]]), tbl_与信[[#This Row],[与信限度額]]-tbl_与信[[#This Row],[現在売掛残高]], "-"))</f>
        <v/>
      </c>
      <c r="P5" s="209" t="inlineStr">
        <is>
          <t>掛売（保険付保）</t>
        </is>
      </c>
      <c r="Q5" s="72" t="n"/>
    </row>
    <row r="6">
      <c r="A6" s="166" t="inlineStr">
        <is>
          <t>サンプルXYZ Foods Vietnam</t>
        </is>
      </c>
      <c r="B6" s="209" t="inlineStr">
        <is>
          <t>海外</t>
        </is>
      </c>
      <c r="C6" s="209" t="inlineStr">
        <is>
          <t>NEXI</t>
        </is>
      </c>
      <c r="D6" s="209" t="inlineStr">
        <is>
          <t>EC</t>
        </is>
      </c>
      <c r="E6" s="183" t="n">
        <v>46027</v>
      </c>
      <c r="F6" s="85" t="n"/>
      <c r="G6" s="85" t="n"/>
      <c r="H6" s="209" t="n"/>
      <c r="I6" s="209">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6" s="209">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6" s="209" t="n"/>
      <c r="L6" s="209" t="inlineStr">
        <is>
          <t>-</t>
        </is>
      </c>
      <c r="M6" s="183" t="n"/>
      <c r="N6" s="209" t="n">
        <v>0</v>
      </c>
      <c r="O6" s="77">
        <f>IF(ISBLANK(tbl_与信[[#This Row],[顧客名]]),"",IF(ISNUMBER(tbl_与信[[#This Row],[与信限度額]]), tbl_与信[[#This Row],[与信限度額]]-tbl_与信[[#This Row],[現在売掛残高]], "-"))</f>
        <v/>
      </c>
      <c r="P6" s="209" t="inlineStr">
        <is>
          <t>前金</t>
        </is>
      </c>
      <c r="Q6" s="72" t="n"/>
    </row>
    <row r="7">
      <c r="A7" s="212" t="n"/>
      <c r="B7" s="209" t="n"/>
      <c r="C7" s="209" t="n"/>
      <c r="D7" s="209" t="n"/>
      <c r="E7" s="209" t="n"/>
      <c r="F7" s="85" t="n"/>
      <c r="G7" s="85" t="n"/>
      <c r="H7" s="209" t="n"/>
      <c r="I7" s="209">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7" s="209">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7" s="209" t="n"/>
      <c r="L7" s="209" t="n"/>
      <c r="M7" s="209" t="n"/>
      <c r="N7" s="209" t="n"/>
      <c r="O7" s="77">
        <f>IF(ISBLANK(tbl_与信[[#This Row],[顧客名]]),"",IF(ISNUMBER(tbl_与信[[#This Row],[与信限度額]]), tbl_与信[[#This Row],[与信限度額]]-tbl_与信[[#This Row],[現在売掛残高]], "-"))</f>
        <v/>
      </c>
      <c r="P7" s="209" t="n"/>
      <c r="Q7" s="72" t="n"/>
    </row>
    <row r="8">
      <c r="A8" s="212" t="n"/>
      <c r="B8" s="209" t="n"/>
      <c r="C8" s="209" t="n"/>
      <c r="D8" s="209" t="n"/>
      <c r="E8" s="209" t="n"/>
      <c r="F8" s="85" t="n"/>
      <c r="G8" s="85" t="n"/>
      <c r="H8" s="209" t="n"/>
      <c r="I8" s="209">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8" s="209">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8" s="209" t="n"/>
      <c r="L8" s="209" t="n"/>
      <c r="M8" s="209" t="n"/>
      <c r="N8" s="209" t="n"/>
      <c r="O8" s="77">
        <f>IF(ISBLANK(tbl_与信[[#This Row],[顧客名]]),"",IF(ISNUMBER(tbl_与信[[#This Row],[与信限度額]]), tbl_与信[[#This Row],[与信限度額]]-tbl_与信[[#This Row],[現在売掛残高]], "-"))</f>
        <v/>
      </c>
      <c r="P8" s="209" t="n"/>
      <c r="Q8" s="72" t="n"/>
    </row>
    <row r="9">
      <c r="A9" s="212" t="n"/>
      <c r="B9" s="209" t="n"/>
      <c r="C9" s="209" t="n"/>
      <c r="D9" s="209" t="n"/>
      <c r="E9" s="209" t="n"/>
      <c r="F9" s="85" t="n"/>
      <c r="G9" s="85" t="n"/>
      <c r="H9" s="209" t="n"/>
      <c r="I9" s="209">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9" s="209">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9" s="209" t="n"/>
      <c r="L9" s="209" t="n"/>
      <c r="M9" s="209" t="n"/>
      <c r="N9" s="209" t="n"/>
      <c r="O9" s="77">
        <f>IF(ISBLANK(tbl_与信[[#This Row],[顧客名]]),"",IF(ISNUMBER(tbl_与信[[#This Row],[与信限度額]]), tbl_与信[[#This Row],[与信限度額]]-tbl_与信[[#This Row],[現在売掛残高]], "-"))</f>
        <v/>
      </c>
      <c r="P9" s="209" t="n"/>
      <c r="Q9" s="72" t="n"/>
    </row>
    <row r="10">
      <c r="A10" s="212" t="n"/>
      <c r="B10" s="209" t="n"/>
      <c r="C10" s="209" t="n"/>
      <c r="D10" s="209" t="n"/>
      <c r="E10" s="209" t="n"/>
      <c r="F10" s="85" t="n"/>
      <c r="G10" s="85" t="n"/>
      <c r="H10" s="209" t="n"/>
      <c r="I10" s="209">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10" s="209">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10" s="209" t="n"/>
      <c r="L10" s="209" t="n"/>
      <c r="M10" s="209" t="n"/>
      <c r="N10" s="209" t="n"/>
      <c r="O10" s="77">
        <f>IF(ISBLANK(tbl_与信[[#This Row],[顧客名]]),"",IF(ISNUMBER(tbl_与信[[#This Row],[与信限度額]]), tbl_与信[[#This Row],[与信限度額]]-tbl_与信[[#This Row],[現在売掛残高]], "-"))</f>
        <v/>
      </c>
      <c r="P10" s="209" t="n"/>
      <c r="Q10" s="72" t="n"/>
    </row>
    <row r="11">
      <c r="A11" s="212" t="n"/>
      <c r="B11" s="209" t="n"/>
      <c r="C11" s="209" t="n"/>
      <c r="D11" s="209" t="n"/>
      <c r="E11" s="209" t="n"/>
      <c r="F11" s="85" t="n"/>
      <c r="G11" s="85" t="n"/>
      <c r="H11" s="209" t="n"/>
      <c r="I11" s="209">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11" s="209">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11" s="209" t="n"/>
      <c r="L11" s="209" t="n"/>
      <c r="M11" s="209" t="n"/>
      <c r="N11" s="209" t="n"/>
      <c r="O11" s="77">
        <f>IF(ISBLANK(tbl_与信[[#This Row],[顧客名]]),"",IF(ISNUMBER(tbl_与信[[#This Row],[与信限度額]]), tbl_与信[[#This Row],[与信限度額]]-tbl_与信[[#This Row],[現在売掛残高]], "-"))</f>
        <v/>
      </c>
      <c r="P11" s="209" t="n"/>
      <c r="Q11" s="72" t="n"/>
    </row>
    <row r="12">
      <c r="A12" s="212" t="n"/>
      <c r="B12" s="209" t="n"/>
      <c r="C12" s="209" t="n"/>
      <c r="D12" s="209" t="n"/>
      <c r="E12" s="209" t="n"/>
      <c r="F12" s="85" t="n"/>
      <c r="G12" s="85" t="n"/>
      <c r="H12" s="209" t="n"/>
      <c r="I12" s="209">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12" s="209">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12" s="209" t="n"/>
      <c r="L12" s="209" t="n"/>
      <c r="M12" s="209" t="n"/>
      <c r="N12" s="209" t="n"/>
      <c r="O12" s="77">
        <f>IF(ISBLANK(tbl_与信[[#This Row],[顧客名]]),"",IF(ISNUMBER(tbl_与信[[#This Row],[与信限度額]]), tbl_与信[[#This Row],[与信限度額]]-tbl_与信[[#This Row],[現在売掛残高]], "-"))</f>
        <v/>
      </c>
      <c r="P12" s="209" t="n"/>
      <c r="Q12" s="72" t="n"/>
    </row>
    <row r="13">
      <c r="A13" s="212" t="n"/>
      <c r="B13" s="209" t="n"/>
      <c r="C13" s="209" t="n"/>
      <c r="D13" s="209" t="n"/>
      <c r="E13" s="209" t="n"/>
      <c r="F13" s="85" t="n"/>
      <c r="G13" s="85" t="n"/>
      <c r="H13" s="209" t="n"/>
      <c r="I13" s="209">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13" s="209">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13" s="209" t="n"/>
      <c r="L13" s="209" t="n"/>
      <c r="M13" s="209" t="n"/>
      <c r="N13" s="209" t="n"/>
      <c r="O13" s="77">
        <f>IF(ISBLANK(tbl_与信[[#This Row],[顧客名]]),"",IF(ISNUMBER(tbl_与信[[#This Row],[与信限度額]]), tbl_与信[[#This Row],[与信限度額]]-tbl_与信[[#This Row],[現在売掛残高]], "-"))</f>
        <v/>
      </c>
      <c r="P13" s="209" t="n"/>
      <c r="Q13" s="72" t="n"/>
    </row>
    <row r="14">
      <c r="A14" s="212" t="n"/>
      <c r="B14" s="209" t="n"/>
      <c r="C14" s="209" t="n"/>
      <c r="D14" s="209" t="n"/>
      <c r="E14" s="209" t="n"/>
      <c r="F14" s="85" t="n"/>
      <c r="G14" s="85" t="n"/>
      <c r="H14" s="209" t="n"/>
      <c r="I14" s="209">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14" s="209">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14" s="209" t="n"/>
      <c r="L14" s="209" t="n"/>
      <c r="M14" s="209" t="n"/>
      <c r="N14" s="209" t="n"/>
      <c r="O14" s="77">
        <f>IF(ISBLANK(tbl_与信[[#This Row],[顧客名]]),"",IF(ISNUMBER(tbl_与信[[#This Row],[与信限度額]]), tbl_与信[[#This Row],[与信限度額]]-tbl_与信[[#This Row],[現在売掛残高]], "-"))</f>
        <v/>
      </c>
      <c r="P14" s="209" t="n"/>
      <c r="Q14" s="72" t="n"/>
    </row>
    <row r="15">
      <c r="A15" s="212" t="n"/>
      <c r="B15" s="209" t="n"/>
      <c r="C15" s="209" t="n"/>
      <c r="D15" s="209" t="n"/>
      <c r="E15" s="209" t="n"/>
      <c r="F15" s="85" t="n"/>
      <c r="G15" s="85" t="n"/>
      <c r="H15" s="209" t="n"/>
      <c r="I15" s="209">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15" s="209">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15" s="209" t="n"/>
      <c r="L15" s="209" t="n"/>
      <c r="M15" s="209" t="n"/>
      <c r="N15" s="209" t="n"/>
      <c r="O15" s="77">
        <f>IF(ISBLANK(tbl_与信[[#This Row],[顧客名]]),"",IF(ISNUMBER(tbl_与信[[#This Row],[与信限度額]]), tbl_与信[[#This Row],[与信限度額]]-tbl_与信[[#This Row],[現在売掛残高]], "-"))</f>
        <v/>
      </c>
      <c r="P15" s="209" t="n"/>
      <c r="Q15" s="72" t="n"/>
    </row>
    <row r="16">
      <c r="A16" s="212" t="n"/>
      <c r="B16" s="209" t="n"/>
      <c r="C16" s="209" t="n"/>
      <c r="D16" s="209" t="n"/>
      <c r="E16" s="209" t="n"/>
      <c r="F16" s="85" t="n"/>
      <c r="G16" s="85" t="n"/>
      <c r="H16" s="209" t="n"/>
      <c r="I16" s="209">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16" s="209">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16" s="209" t="n"/>
      <c r="L16" s="209" t="n"/>
      <c r="M16" s="209" t="n"/>
      <c r="N16" s="209" t="n"/>
      <c r="O16" s="77">
        <f>IF(ISBLANK(tbl_与信[[#This Row],[顧客名]]),"",IF(ISNUMBER(tbl_与信[[#This Row],[与信限度額]]), tbl_与信[[#This Row],[与信限度額]]-tbl_与信[[#This Row],[現在売掛残高]], "-"))</f>
        <v/>
      </c>
      <c r="P16" s="209" t="n"/>
      <c r="Q16" s="72" t="n"/>
    </row>
    <row r="17">
      <c r="A17" s="212" t="n"/>
      <c r="B17" s="209" t="n"/>
      <c r="C17" s="209" t="n"/>
      <c r="D17" s="209" t="n"/>
      <c r="E17" s="209" t="n"/>
      <c r="F17" s="85" t="n"/>
      <c r="G17" s="85" t="n"/>
      <c r="H17" s="209" t="n"/>
      <c r="I17" s="209">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17" s="209">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17" s="209" t="n"/>
      <c r="L17" s="209" t="n"/>
      <c r="M17" s="209" t="n"/>
      <c r="N17" s="209" t="n"/>
      <c r="O17" s="77">
        <f>IF(ISBLANK(tbl_与信[[#This Row],[顧客名]]),"",IF(ISNUMBER(tbl_与信[[#This Row],[与信限度額]]), tbl_与信[[#This Row],[与信限度額]]-tbl_与信[[#This Row],[現在売掛残高]], "-"))</f>
        <v/>
      </c>
      <c r="P17" s="209" t="n"/>
      <c r="Q17" s="72" t="n"/>
    </row>
    <row r="18">
      <c r="A18" s="212" t="n"/>
      <c r="B18" s="209" t="n"/>
      <c r="C18" s="209" t="n"/>
      <c r="D18" s="209" t="n"/>
      <c r="E18" s="209" t="n"/>
      <c r="F18" s="85" t="n"/>
      <c r="G18" s="85" t="n"/>
      <c r="H18" s="209" t="n"/>
      <c r="I18" s="209">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18" s="209">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18" s="209" t="n"/>
      <c r="L18" s="209" t="n"/>
      <c r="M18" s="209" t="n"/>
      <c r="N18" s="209" t="n"/>
      <c r="O18" s="77">
        <f>IF(ISBLANK(tbl_与信[[#This Row],[顧客名]]),"",IF(ISNUMBER(tbl_与信[[#This Row],[与信限度額]]), tbl_与信[[#This Row],[与信限度額]]-tbl_与信[[#This Row],[現在売掛残高]], "-"))</f>
        <v/>
      </c>
      <c r="P18" s="209" t="n"/>
      <c r="Q18" s="72" t="n"/>
    </row>
    <row r="19">
      <c r="A19" s="212" t="n"/>
      <c r="B19" s="209" t="n"/>
      <c r="C19" s="209" t="n"/>
      <c r="D19" s="209" t="n"/>
      <c r="E19" s="209" t="n"/>
      <c r="F19" s="85" t="n"/>
      <c r="G19" s="85" t="n"/>
      <c r="H19" s="209" t="n"/>
      <c r="I19" s="209">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19" s="209">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19" s="209" t="n"/>
      <c r="L19" s="209" t="n"/>
      <c r="M19" s="209" t="n"/>
      <c r="N19" s="209" t="n"/>
      <c r="O19" s="77">
        <f>IF(ISBLANK(tbl_与信[[#This Row],[顧客名]]),"",IF(ISNUMBER(tbl_与信[[#This Row],[与信限度額]]), tbl_与信[[#This Row],[与信限度額]]-tbl_与信[[#This Row],[現在売掛残高]], "-"))</f>
        <v/>
      </c>
      <c r="P19" s="209" t="n"/>
      <c r="Q19" s="72" t="n"/>
    </row>
    <row r="20">
      <c r="A20" s="212" t="n"/>
      <c r="B20" s="209" t="n"/>
      <c r="C20" s="209" t="n"/>
      <c r="D20" s="209" t="n"/>
      <c r="E20" s="209" t="n"/>
      <c r="F20" s="85" t="n"/>
      <c r="G20" s="85" t="n"/>
      <c r="H20" s="209" t="n"/>
      <c r="I20" s="209">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20" s="209">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20" s="209" t="n"/>
      <c r="L20" s="209" t="n"/>
      <c r="M20" s="209" t="n"/>
      <c r="N20" s="209" t="n"/>
      <c r="O20" s="77">
        <f>IF(ISBLANK(tbl_与信[[#This Row],[顧客名]]),"",IF(ISNUMBER(tbl_与信[[#This Row],[与信限度額]]), tbl_与信[[#This Row],[与信限度額]]-tbl_与信[[#This Row],[現在売掛残高]], "-"))</f>
        <v/>
      </c>
      <c r="P20" s="209" t="n"/>
      <c r="Q20" s="72" t="n"/>
    </row>
    <row r="21">
      <c r="A21" s="212" t="n"/>
      <c r="B21" s="209" t="n"/>
      <c r="C21" s="209" t="n"/>
      <c r="D21" s="209" t="n"/>
      <c r="E21" s="209" t="n"/>
      <c r="F21" s="85" t="n"/>
      <c r="G21" s="85" t="n"/>
      <c r="H21" s="209" t="n"/>
      <c r="I21" s="209">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21" s="209">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21" s="209" t="n"/>
      <c r="L21" s="209" t="n"/>
      <c r="M21" s="209" t="n"/>
      <c r="N21" s="209" t="n"/>
      <c r="O21" s="77">
        <f>IF(ISBLANK(tbl_与信[[#This Row],[顧客名]]),"",IF(ISNUMBER(tbl_与信[[#This Row],[与信限度額]]), tbl_与信[[#This Row],[与信限度額]]-tbl_与信[[#This Row],[現在売掛残高]], "-"))</f>
        <v/>
      </c>
      <c r="P21" s="209" t="n"/>
      <c r="Q21" s="72" t="n"/>
    </row>
    <row r="22">
      <c r="A22" s="212" t="n"/>
      <c r="B22" s="209" t="n"/>
      <c r="C22" s="209" t="n"/>
      <c r="D22" s="209" t="n"/>
      <c r="E22" s="209" t="n"/>
      <c r="F22" s="85" t="n"/>
      <c r="G22" s="85" t="n"/>
      <c r="H22" s="209" t="n"/>
      <c r="I22" s="209">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22" s="209">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22" s="209" t="n"/>
      <c r="L22" s="209" t="n"/>
      <c r="M22" s="209" t="n"/>
      <c r="N22" s="209" t="n"/>
      <c r="O22" s="77">
        <f>IF(ISBLANK(tbl_与信[[#This Row],[顧客名]]),"",IF(ISNUMBER(tbl_与信[[#This Row],[与信限度額]]), tbl_与信[[#This Row],[与信限度額]]-tbl_与信[[#This Row],[現在売掛残高]], "-"))</f>
        <v/>
      </c>
      <c r="P22" s="209" t="n"/>
      <c r="Q22" s="72" t="n"/>
    </row>
    <row r="23">
      <c r="A23" s="212" t="n"/>
      <c r="B23" s="209" t="n"/>
      <c r="C23" s="209" t="n"/>
      <c r="D23" s="209" t="n"/>
      <c r="E23" s="209" t="n"/>
      <c r="F23" s="85" t="n"/>
      <c r="G23" s="85" t="n"/>
      <c r="H23" s="209" t="n"/>
      <c r="I23" s="209">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23" s="209">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23" s="209" t="n"/>
      <c r="L23" s="209" t="n"/>
      <c r="M23" s="209" t="n"/>
      <c r="N23" s="209" t="n"/>
      <c r="O23" s="77">
        <f>IF(ISBLANK(tbl_与信[[#This Row],[顧客名]]),"",IF(ISNUMBER(tbl_与信[[#This Row],[与信限度額]]), tbl_与信[[#This Row],[与信限度額]]-tbl_与信[[#This Row],[現在売掛残高]], "-"))</f>
        <v/>
      </c>
      <c r="P23" s="209" t="n"/>
      <c r="Q23" s="72" t="n"/>
    </row>
    <row r="24">
      <c r="A24" s="212" t="n"/>
      <c r="B24" s="209" t="n"/>
      <c r="C24" s="209" t="n"/>
      <c r="D24" s="209" t="n"/>
      <c r="E24" s="209" t="n"/>
      <c r="F24" s="85" t="n"/>
      <c r="G24" s="85" t="n"/>
      <c r="H24" s="209" t="n"/>
      <c r="I24" s="209">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24" s="209">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24" s="209" t="n"/>
      <c r="L24" s="209" t="n"/>
      <c r="M24" s="209" t="n"/>
      <c r="N24" s="209" t="n"/>
      <c r="O24" s="77">
        <f>IF(ISBLANK(tbl_与信[[#This Row],[顧客名]]),"",IF(ISNUMBER(tbl_与信[[#This Row],[与信限度額]]), tbl_与信[[#This Row],[与信限度額]]-tbl_与信[[#This Row],[現在売掛残高]], "-"))</f>
        <v/>
      </c>
      <c r="P24" s="209" t="n"/>
      <c r="Q24" s="72" t="n"/>
    </row>
    <row r="25">
      <c r="A25" s="212" t="n"/>
      <c r="B25" s="209" t="n"/>
      <c r="C25" s="209" t="n"/>
      <c r="D25" s="209" t="n"/>
      <c r="E25" s="209" t="n"/>
      <c r="F25" s="85" t="n"/>
      <c r="G25" s="85" t="n"/>
      <c r="H25" s="209" t="n"/>
      <c r="I25" s="209">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25" s="209">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25" s="209" t="n"/>
      <c r="L25" s="209" t="n"/>
      <c r="M25" s="209" t="n"/>
      <c r="N25" s="209" t="n"/>
      <c r="O25" s="77">
        <f>IF(ISBLANK(tbl_与信[[#This Row],[顧客名]]),"",IF(ISNUMBER(tbl_与信[[#This Row],[与信限度額]]), tbl_与信[[#This Row],[与信限度額]]-tbl_与信[[#This Row],[現在売掛残高]], "-"))</f>
        <v/>
      </c>
      <c r="P25" s="209" t="n"/>
      <c r="Q25" s="72" t="n"/>
    </row>
    <row r="26">
      <c r="A26" s="212" t="n"/>
      <c r="B26" s="209" t="n"/>
      <c r="C26" s="209" t="n"/>
      <c r="D26" s="209" t="n"/>
      <c r="E26" s="209" t="n"/>
      <c r="F26" s="85" t="n"/>
      <c r="G26" s="85" t="n"/>
      <c r="H26" s="209" t="n"/>
      <c r="I26" s="209">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26" s="209">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26" s="209" t="n"/>
      <c r="L26" s="209" t="n"/>
      <c r="M26" s="209" t="n"/>
      <c r="N26" s="209" t="n"/>
      <c r="O26" s="77">
        <f>IF(ISBLANK(tbl_与信[[#This Row],[顧客名]]),"",IF(ISNUMBER(tbl_与信[[#This Row],[与信限度額]]), tbl_与信[[#This Row],[与信限度額]]-tbl_与信[[#This Row],[現在売掛残高]], "-"))</f>
        <v/>
      </c>
      <c r="P26" s="209" t="n"/>
      <c r="Q26" s="72" t="n"/>
    </row>
    <row r="27">
      <c r="A27" s="212" t="n"/>
      <c r="B27" s="209" t="n"/>
      <c r="C27" s="209" t="n"/>
      <c r="D27" s="209" t="n"/>
      <c r="E27" s="209" t="n"/>
      <c r="F27" s="85" t="n"/>
      <c r="G27" s="85" t="n"/>
      <c r="H27" s="209" t="n"/>
      <c r="I27" s="209">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27" s="209">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27" s="209" t="n"/>
      <c r="L27" s="209" t="n"/>
      <c r="M27" s="209" t="n"/>
      <c r="N27" s="209" t="n"/>
      <c r="O27" s="77">
        <f>IF(ISBLANK(tbl_与信[[#This Row],[顧客名]]),"",IF(ISNUMBER(tbl_与信[[#This Row],[与信限度額]]), tbl_与信[[#This Row],[与信限度額]]-tbl_与信[[#This Row],[現在売掛残高]], "-"))</f>
        <v/>
      </c>
      <c r="P27" s="209" t="n"/>
      <c r="Q27" s="72" t="n"/>
    </row>
    <row r="28">
      <c r="A28" s="212" t="n"/>
      <c r="B28" s="209" t="n"/>
      <c r="C28" s="209" t="n"/>
      <c r="D28" s="209" t="n"/>
      <c r="E28" s="209" t="n"/>
      <c r="F28" s="85" t="n"/>
      <c r="G28" s="85" t="n"/>
      <c r="H28" s="209" t="n"/>
      <c r="I28" s="209">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28" s="209">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28" s="209" t="n"/>
      <c r="L28" s="209" t="n"/>
      <c r="M28" s="209" t="n"/>
      <c r="N28" s="209" t="n"/>
      <c r="O28" s="77">
        <f>IF(ISBLANK(tbl_与信[[#This Row],[顧客名]]),"",IF(ISNUMBER(tbl_与信[[#This Row],[与信限度額]]), tbl_与信[[#This Row],[与信限度額]]-tbl_与信[[#This Row],[現在売掛残高]], "-"))</f>
        <v/>
      </c>
      <c r="P28" s="209" t="n"/>
      <c r="Q28" s="72" t="n"/>
    </row>
    <row r="29">
      <c r="A29" s="212" t="n"/>
      <c r="B29" s="209" t="n"/>
      <c r="C29" s="209" t="n"/>
      <c r="D29" s="209" t="n"/>
      <c r="E29" s="209" t="n"/>
      <c r="F29" s="85" t="n"/>
      <c r="G29" s="85" t="n"/>
      <c r="H29" s="209" t="n"/>
      <c r="I29" s="209">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29" s="209">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29" s="209" t="n"/>
      <c r="L29" s="209" t="n"/>
      <c r="M29" s="209" t="n"/>
      <c r="N29" s="209" t="n"/>
      <c r="O29" s="77">
        <f>IF(ISBLANK(tbl_与信[[#This Row],[顧客名]]),"",IF(ISNUMBER(tbl_与信[[#This Row],[与信限度額]]), tbl_与信[[#This Row],[与信限度額]]-tbl_与信[[#This Row],[現在売掛残高]], "-"))</f>
        <v/>
      </c>
      <c r="P29" s="209" t="n"/>
      <c r="Q29" s="72" t="n"/>
    </row>
    <row r="30">
      <c r="A30" s="212" t="n"/>
      <c r="B30" s="209" t="n"/>
      <c r="C30" s="209" t="n"/>
      <c r="D30" s="209" t="n"/>
      <c r="E30" s="209" t="n"/>
      <c r="F30" s="85" t="n"/>
      <c r="G30" s="85" t="n"/>
      <c r="H30" s="209" t="n"/>
      <c r="I30" s="209">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30" s="209">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30" s="209" t="n"/>
      <c r="L30" s="209" t="n"/>
      <c r="M30" s="209" t="n"/>
      <c r="N30" s="209" t="n"/>
      <c r="O30" s="77">
        <f>IF(ISBLANK(tbl_与信[[#This Row],[顧客名]]),"",IF(ISNUMBER(tbl_与信[[#This Row],[与信限度額]]), tbl_与信[[#This Row],[与信限度額]]-tbl_与信[[#This Row],[現在売掛残高]], "-"))</f>
        <v/>
      </c>
      <c r="P30" s="209" t="n"/>
      <c r="Q30" s="72" t="n"/>
    </row>
    <row r="31">
      <c r="A31" s="212" t="n"/>
      <c r="B31" s="209" t="n"/>
      <c r="C31" s="209" t="n"/>
      <c r="D31" s="209" t="n"/>
      <c r="E31" s="209" t="n"/>
      <c r="F31" s="85" t="n"/>
      <c r="G31" s="85" t="n"/>
      <c r="H31" s="209" t="n"/>
      <c r="I31" s="209">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31" s="209">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31" s="209" t="n"/>
      <c r="L31" s="209" t="n"/>
      <c r="M31" s="209" t="n"/>
      <c r="N31" s="209" t="n"/>
      <c r="O31" s="77">
        <f>IF(ISBLANK(tbl_与信[[#This Row],[顧客名]]),"",IF(ISNUMBER(tbl_与信[[#This Row],[与信限度額]]), tbl_与信[[#This Row],[与信限度額]]-tbl_与信[[#This Row],[現在売掛残高]], "-"))</f>
        <v/>
      </c>
      <c r="P31" s="209" t="n"/>
      <c r="Q31" s="72" t="n"/>
    </row>
    <row r="32">
      <c r="A32" s="212" t="n"/>
      <c r="B32" s="209" t="n"/>
      <c r="C32" s="209" t="n"/>
      <c r="D32" s="209" t="n"/>
      <c r="E32" s="209" t="n"/>
      <c r="F32" s="85" t="n"/>
      <c r="G32" s="85" t="n"/>
      <c r="H32" s="209" t="n"/>
      <c r="I32" s="209">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32" s="209">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32" s="209" t="n"/>
      <c r="L32" s="209" t="n"/>
      <c r="M32" s="209" t="n"/>
      <c r="N32" s="209" t="n"/>
      <c r="O32" s="77">
        <f>IF(ISBLANK(tbl_与信[[#This Row],[顧客名]]),"",IF(ISNUMBER(tbl_与信[[#This Row],[与信限度額]]), tbl_与信[[#This Row],[与信限度額]]-tbl_与信[[#This Row],[現在売掛残高]], "-"))</f>
        <v/>
      </c>
      <c r="P32" s="209" t="n"/>
      <c r="Q32" s="72" t="n"/>
    </row>
    <row r="33">
      <c r="A33" s="212" t="n"/>
      <c r="B33" s="209" t="n"/>
      <c r="C33" s="209" t="n"/>
      <c r="D33" s="209" t="n"/>
      <c r="E33" s="209" t="n"/>
      <c r="F33" s="85" t="n"/>
      <c r="G33" s="85" t="n"/>
      <c r="H33" s="209" t="n"/>
      <c r="I33" s="209">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33" s="209">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33" s="209" t="n"/>
      <c r="L33" s="209" t="n"/>
      <c r="M33" s="209" t="n"/>
      <c r="N33" s="209" t="n"/>
      <c r="O33" s="77">
        <f>IF(ISBLANK(tbl_与信[[#This Row],[顧客名]]),"",IF(ISNUMBER(tbl_与信[[#This Row],[与信限度額]]), tbl_与信[[#This Row],[与信限度額]]-tbl_与信[[#This Row],[現在売掛残高]], "-"))</f>
        <v/>
      </c>
      <c r="P33" s="209" t="n"/>
      <c r="Q33" s="72" t="n"/>
    </row>
    <row r="34">
      <c r="A34" s="212" t="n"/>
      <c r="B34" s="209" t="n"/>
      <c r="C34" s="209" t="n"/>
      <c r="D34" s="209" t="n"/>
      <c r="E34" s="209" t="n"/>
      <c r="F34" s="85" t="n"/>
      <c r="G34" s="85" t="n"/>
      <c r="H34" s="209" t="n"/>
      <c r="I34" s="209">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34" s="209">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34" s="209" t="n"/>
      <c r="L34" s="209" t="n"/>
      <c r="M34" s="209" t="n"/>
      <c r="N34" s="209" t="n"/>
      <c r="O34" s="77">
        <f>IF(ISBLANK(tbl_与信[[#This Row],[顧客名]]),"",IF(ISNUMBER(tbl_与信[[#This Row],[与信限度額]]), tbl_与信[[#This Row],[与信限度額]]-tbl_与信[[#This Row],[現在売掛残高]], "-"))</f>
        <v/>
      </c>
      <c r="P34" s="209" t="n"/>
      <c r="Q34" s="72" t="n"/>
    </row>
    <row r="35">
      <c r="A35" s="212" t="n"/>
      <c r="B35" s="209" t="n"/>
      <c r="C35" s="209" t="n"/>
      <c r="D35" s="209" t="n"/>
      <c r="E35" s="209" t="n"/>
      <c r="F35" s="85" t="n"/>
      <c r="G35" s="85" t="n"/>
      <c r="H35" s="209" t="n"/>
      <c r="I35" s="209">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35" s="209">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35" s="209" t="n"/>
      <c r="L35" s="209" t="n"/>
      <c r="M35" s="209" t="n"/>
      <c r="N35" s="209" t="n"/>
      <c r="O35" s="77">
        <f>IF(ISBLANK(tbl_与信[[#This Row],[顧客名]]),"",IF(ISNUMBER(tbl_与信[[#This Row],[与信限度額]]), tbl_与信[[#This Row],[与信限度額]]-tbl_与信[[#This Row],[現在売掛残高]], "-"))</f>
        <v/>
      </c>
      <c r="P35" s="209" t="n"/>
      <c r="Q35" s="72" t="n"/>
    </row>
    <row r="36">
      <c r="A36" s="212" t="n"/>
      <c r="B36" s="209" t="n"/>
      <c r="C36" s="209" t="n"/>
      <c r="D36" s="209" t="n"/>
      <c r="E36" s="209" t="n"/>
      <c r="F36" s="85" t="n"/>
      <c r="G36" s="85" t="n"/>
      <c r="H36" s="209" t="n"/>
      <c r="I36" s="209">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36" s="209">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36" s="209" t="n"/>
      <c r="L36" s="209" t="n"/>
      <c r="M36" s="209" t="n"/>
      <c r="N36" s="209" t="n"/>
      <c r="O36" s="77">
        <f>IF(ISBLANK(tbl_与信[[#This Row],[顧客名]]),"",IF(ISNUMBER(tbl_与信[[#This Row],[与信限度額]]), tbl_与信[[#This Row],[与信限度額]]-tbl_与信[[#This Row],[現在売掛残高]], "-"))</f>
        <v/>
      </c>
      <c r="P36" s="209" t="n"/>
      <c r="Q36" s="72" t="n"/>
    </row>
    <row r="37">
      <c r="A37" s="212" t="n"/>
      <c r="B37" s="209" t="n"/>
      <c r="C37" s="209" t="n"/>
      <c r="D37" s="209" t="n"/>
      <c r="E37" s="209" t="n"/>
      <c r="F37" s="85" t="n"/>
      <c r="G37" s="85" t="n"/>
      <c r="H37" s="209" t="n"/>
      <c r="I37" s="209">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37" s="209">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37" s="209" t="n"/>
      <c r="L37" s="209" t="n"/>
      <c r="M37" s="209" t="n"/>
      <c r="N37" s="209" t="n"/>
      <c r="O37" s="77">
        <f>IF(ISBLANK(tbl_与信[[#This Row],[顧客名]]),"",IF(ISNUMBER(tbl_与信[[#This Row],[与信限度額]]), tbl_与信[[#This Row],[与信限度額]]-tbl_与信[[#This Row],[現在売掛残高]], "-"))</f>
        <v/>
      </c>
      <c r="P37" s="209" t="n"/>
      <c r="Q37" s="72" t="n"/>
    </row>
    <row r="38">
      <c r="A38" s="212" t="n"/>
      <c r="B38" s="209" t="n"/>
      <c r="C38" s="209" t="n"/>
      <c r="D38" s="209" t="n"/>
      <c r="E38" s="209" t="n"/>
      <c r="F38" s="85" t="n"/>
      <c r="G38" s="85" t="n"/>
      <c r="H38" s="209" t="n"/>
      <c r="I38" s="209">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38" s="209">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38" s="209" t="n"/>
      <c r="L38" s="209" t="n"/>
      <c r="M38" s="209" t="n"/>
      <c r="N38" s="209" t="n"/>
      <c r="O38" s="77">
        <f>IF(ISBLANK(tbl_与信[[#This Row],[顧客名]]),"",IF(ISNUMBER(tbl_与信[[#This Row],[与信限度額]]), tbl_与信[[#This Row],[与信限度額]]-tbl_与信[[#This Row],[現在売掛残高]], "-"))</f>
        <v/>
      </c>
      <c r="P38" s="209" t="n"/>
      <c r="Q38" s="72" t="n"/>
    </row>
    <row r="39">
      <c r="A39" s="212" t="n"/>
      <c r="B39" s="209" t="n"/>
      <c r="C39" s="209" t="n"/>
      <c r="D39" s="209" t="n"/>
      <c r="E39" s="209" t="n"/>
      <c r="F39" s="85" t="n"/>
      <c r="G39" s="85" t="n"/>
      <c r="H39" s="209" t="n"/>
      <c r="I39" s="209">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39" s="209">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39" s="209" t="n"/>
      <c r="L39" s="209" t="n"/>
      <c r="M39" s="209" t="n"/>
      <c r="N39" s="209" t="n"/>
      <c r="O39" s="77">
        <f>IF(ISBLANK(tbl_与信[[#This Row],[顧客名]]),"",IF(ISNUMBER(tbl_与信[[#This Row],[与信限度額]]), tbl_与信[[#This Row],[与信限度額]]-tbl_与信[[#This Row],[現在売掛残高]], "-"))</f>
        <v/>
      </c>
      <c r="P39" s="209" t="n"/>
      <c r="Q39" s="72" t="n"/>
    </row>
    <row r="40">
      <c r="A40" s="212" t="n"/>
      <c r="B40" s="209" t="n"/>
      <c r="C40" s="209" t="n"/>
      <c r="D40" s="209" t="n"/>
      <c r="E40" s="209" t="n"/>
      <c r="F40" s="85" t="n"/>
      <c r="G40" s="85" t="n"/>
      <c r="H40" s="209" t="n"/>
      <c r="I40" s="209">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40" s="209">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40" s="209" t="n"/>
      <c r="L40" s="209" t="n"/>
      <c r="M40" s="209" t="n"/>
      <c r="N40" s="209" t="n"/>
      <c r="O40" s="77">
        <f>IF(ISBLANK(tbl_与信[[#This Row],[顧客名]]),"",IF(ISNUMBER(tbl_与信[[#This Row],[与信限度額]]), tbl_与信[[#This Row],[与信限度額]]-tbl_与信[[#This Row],[現在売掛残高]], "-"))</f>
        <v/>
      </c>
      <c r="P40" s="209" t="n"/>
      <c r="Q40" s="72" t="n"/>
    </row>
    <row r="41">
      <c r="A41" s="212" t="n"/>
      <c r="B41" s="209" t="n"/>
      <c r="C41" s="209" t="n"/>
      <c r="D41" s="209" t="n"/>
      <c r="E41" s="209" t="n"/>
      <c r="F41" s="85" t="n"/>
      <c r="G41" s="85" t="n"/>
      <c r="H41" s="209" t="n"/>
      <c r="I41" s="209">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41" s="209">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41" s="209" t="n"/>
      <c r="L41" s="209" t="n"/>
      <c r="M41" s="209" t="n"/>
      <c r="N41" s="209" t="n"/>
      <c r="O41" s="77">
        <f>IF(ISBLANK(tbl_与信[[#This Row],[顧客名]]),"",IF(ISNUMBER(tbl_与信[[#This Row],[与信限度額]]), tbl_与信[[#This Row],[与信限度額]]-tbl_与信[[#This Row],[現在売掛残高]], "-"))</f>
        <v/>
      </c>
      <c r="P41" s="209" t="n"/>
      <c r="Q41" s="72" t="n"/>
    </row>
    <row r="42">
      <c r="A42" s="212" t="n"/>
      <c r="B42" s="209" t="n"/>
      <c r="C42" s="209" t="n"/>
      <c r="D42" s="209" t="n"/>
      <c r="E42" s="209" t="n"/>
      <c r="F42" s="85" t="n"/>
      <c r="G42" s="85" t="n"/>
      <c r="H42" s="209" t="n"/>
      <c r="I42" s="209">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42" s="209">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42" s="209" t="n"/>
      <c r="L42" s="209" t="n"/>
      <c r="M42" s="209" t="n"/>
      <c r="N42" s="209" t="n"/>
      <c r="O42" s="77">
        <f>IF(ISBLANK(tbl_与信[[#This Row],[顧客名]]),"",IF(ISNUMBER(tbl_与信[[#This Row],[与信限度額]]), tbl_与信[[#This Row],[与信限度額]]-tbl_与信[[#This Row],[現在売掛残高]], "-"))</f>
        <v/>
      </c>
      <c r="P42" s="209" t="n"/>
      <c r="Q42" s="72" t="n"/>
    </row>
    <row r="43">
      <c r="A43" s="212" t="n"/>
      <c r="B43" s="209" t="n"/>
      <c r="C43" s="209" t="n"/>
      <c r="D43" s="209" t="n"/>
      <c r="E43" s="209" t="n"/>
      <c r="F43" s="85" t="n"/>
      <c r="G43" s="85" t="n"/>
      <c r="H43" s="209" t="n"/>
      <c r="I43" s="209">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43" s="209">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43" s="209" t="n"/>
      <c r="L43" s="209" t="n"/>
      <c r="M43" s="209" t="n"/>
      <c r="N43" s="209" t="n"/>
      <c r="O43" s="77">
        <f>IF(ISBLANK(tbl_与信[[#This Row],[顧客名]]),"",IF(ISNUMBER(tbl_与信[[#This Row],[与信限度額]]), tbl_与信[[#This Row],[与信限度額]]-tbl_与信[[#This Row],[現在売掛残高]], "-"))</f>
        <v/>
      </c>
      <c r="P43" s="209" t="n"/>
      <c r="Q43" s="72" t="n"/>
    </row>
    <row r="44">
      <c r="A44" s="212" t="n"/>
      <c r="B44" s="209" t="n"/>
      <c r="C44" s="209" t="n"/>
      <c r="D44" s="209" t="n"/>
      <c r="E44" s="209" t="n"/>
      <c r="F44" s="85" t="n"/>
      <c r="G44" s="85" t="n"/>
      <c r="H44" s="209" t="n"/>
      <c r="I44" s="209">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44" s="209">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44" s="209" t="n"/>
      <c r="L44" s="209" t="n"/>
      <c r="M44" s="209" t="n"/>
      <c r="N44" s="209" t="n"/>
      <c r="O44" s="77">
        <f>IF(ISBLANK(tbl_与信[[#This Row],[顧客名]]),"",IF(ISNUMBER(tbl_与信[[#This Row],[与信限度額]]), tbl_与信[[#This Row],[与信限度額]]-tbl_与信[[#This Row],[現在売掛残高]], "-"))</f>
        <v/>
      </c>
      <c r="P44" s="209" t="n"/>
      <c r="Q44" s="72" t="n"/>
    </row>
    <row r="45">
      <c r="A45" s="212" t="n"/>
      <c r="B45" s="209" t="n"/>
      <c r="C45" s="209" t="n"/>
      <c r="D45" s="209" t="n"/>
      <c r="E45" s="209" t="n"/>
      <c r="F45" s="85" t="n"/>
      <c r="G45" s="85" t="n"/>
      <c r="H45" s="209" t="n"/>
      <c r="I45" s="209">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45" s="209">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45" s="209" t="n"/>
      <c r="L45" s="209" t="n"/>
      <c r="M45" s="209" t="n"/>
      <c r="N45" s="209" t="n"/>
      <c r="O45" s="77">
        <f>IF(ISBLANK(tbl_与信[[#This Row],[顧客名]]),"",IF(ISNUMBER(tbl_与信[[#This Row],[与信限度額]]), tbl_与信[[#This Row],[与信限度額]]-tbl_与信[[#This Row],[現在売掛残高]], "-"))</f>
        <v/>
      </c>
      <c r="P45" s="209" t="n"/>
      <c r="Q45" s="72" t="n"/>
    </row>
    <row r="46">
      <c r="A46" s="212" t="n"/>
      <c r="B46" s="209" t="n"/>
      <c r="C46" s="209" t="n"/>
      <c r="D46" s="209" t="n"/>
      <c r="E46" s="209" t="n"/>
      <c r="F46" s="85" t="n"/>
      <c r="G46" s="85" t="n"/>
      <c r="H46" s="209" t="n"/>
      <c r="I46" s="209">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46" s="209">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46" s="209" t="n"/>
      <c r="L46" s="209" t="n"/>
      <c r="M46" s="209" t="n"/>
      <c r="N46" s="209" t="n"/>
      <c r="O46" s="77">
        <f>IF(ISBLANK(tbl_与信[[#This Row],[顧客名]]),"",IF(ISNUMBER(tbl_与信[[#This Row],[与信限度額]]), tbl_与信[[#This Row],[与信限度額]]-tbl_与信[[#This Row],[現在売掛残高]], "-"))</f>
        <v/>
      </c>
      <c r="P46" s="209" t="n"/>
      <c r="Q46" s="72" t="n"/>
    </row>
    <row r="47">
      <c r="A47" s="212" t="n"/>
      <c r="B47" s="209" t="n"/>
      <c r="C47" s="209" t="n"/>
      <c r="D47" s="209" t="n"/>
      <c r="E47" s="209" t="n"/>
      <c r="F47" s="85" t="n"/>
      <c r="G47" s="85" t="n"/>
      <c r="H47" s="209" t="n"/>
      <c r="I47" s="209">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47" s="209">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47" s="209" t="n"/>
      <c r="L47" s="209" t="n"/>
      <c r="M47" s="209" t="n"/>
      <c r="N47" s="209" t="n"/>
      <c r="O47" s="77">
        <f>IF(ISBLANK(tbl_与信[[#This Row],[顧客名]]),"",IF(ISNUMBER(tbl_与信[[#This Row],[与信限度額]]), tbl_与信[[#This Row],[与信限度額]]-tbl_与信[[#This Row],[現在売掛残高]], "-"))</f>
        <v/>
      </c>
      <c r="P47" s="209" t="n"/>
      <c r="Q47" s="72" t="n"/>
    </row>
    <row r="48">
      <c r="A48" s="212" t="n"/>
      <c r="B48" s="209" t="n"/>
      <c r="C48" s="209" t="n"/>
      <c r="D48" s="209" t="n"/>
      <c r="E48" s="209" t="n"/>
      <c r="F48" s="85" t="n"/>
      <c r="G48" s="85" t="n"/>
      <c r="H48" s="209" t="n"/>
      <c r="I48" s="209">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48" s="209">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48" s="209" t="n"/>
      <c r="L48" s="209" t="n"/>
      <c r="M48" s="209" t="n"/>
      <c r="N48" s="209" t="n"/>
      <c r="O48" s="77">
        <f>IF(ISBLANK(tbl_与信[[#This Row],[顧客名]]),"",IF(ISNUMBER(tbl_与信[[#This Row],[与信限度額]]), tbl_与信[[#This Row],[与信限度額]]-tbl_与信[[#This Row],[現在売掛残高]], "-"))</f>
        <v/>
      </c>
      <c r="P48" s="209" t="n"/>
      <c r="Q48" s="72" t="n"/>
    </row>
    <row r="49">
      <c r="A49" s="212" t="n"/>
      <c r="B49" s="209" t="n"/>
      <c r="C49" s="209" t="n"/>
      <c r="D49" s="209" t="n"/>
      <c r="E49" s="209" t="n"/>
      <c r="F49" s="85" t="n"/>
      <c r="G49" s="85" t="n"/>
      <c r="H49" s="209" t="n"/>
      <c r="I49" s="209">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49" s="209">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49" s="209" t="n"/>
      <c r="L49" s="209" t="n"/>
      <c r="M49" s="209" t="n"/>
      <c r="N49" s="209" t="n"/>
      <c r="O49" s="77">
        <f>IF(ISBLANK(tbl_与信[[#This Row],[顧客名]]),"",IF(ISNUMBER(tbl_与信[[#This Row],[与信限度額]]), tbl_与信[[#This Row],[与信限度額]]-tbl_与信[[#This Row],[現在売掛残高]], "-"))</f>
        <v/>
      </c>
      <c r="P49" s="209" t="n"/>
      <c r="Q49" s="72" t="n"/>
    </row>
    <row r="50">
      <c r="A50" s="212" t="n"/>
      <c r="B50" s="209" t="n"/>
      <c r="C50" s="209" t="n"/>
      <c r="D50" s="209" t="n"/>
      <c r="E50" s="209" t="n"/>
      <c r="F50" s="85" t="n"/>
      <c r="G50" s="85" t="n"/>
      <c r="H50" s="209" t="n"/>
      <c r="I50" s="209">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50" s="209">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50" s="209" t="n"/>
      <c r="L50" s="209" t="n"/>
      <c r="M50" s="209" t="n"/>
      <c r="N50" s="209" t="n"/>
      <c r="O50" s="77">
        <f>IF(ISBLANK(tbl_与信[[#This Row],[顧客名]]),"",IF(ISNUMBER(tbl_与信[[#This Row],[与信限度額]]), tbl_与信[[#This Row],[与信限度額]]-tbl_与信[[#This Row],[現在売掛残高]], "-"))</f>
        <v/>
      </c>
      <c r="P50" s="209" t="n"/>
      <c r="Q50" s="72" t="n"/>
    </row>
    <row r="51">
      <c r="A51" s="212" t="n"/>
      <c r="B51" s="209" t="n"/>
      <c r="C51" s="209" t="n"/>
      <c r="D51" s="209" t="n"/>
      <c r="E51" s="209" t="n"/>
      <c r="F51" s="85" t="n"/>
      <c r="G51" s="85" t="n"/>
      <c r="H51" s="209" t="n"/>
      <c r="I51" s="209">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51" s="209">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51" s="209" t="n"/>
      <c r="L51" s="209" t="n"/>
      <c r="M51" s="209" t="n"/>
      <c r="N51" s="209" t="n"/>
      <c r="O51" s="77">
        <f>IF(ISBLANK(tbl_与信[[#This Row],[顧客名]]),"",IF(ISNUMBER(tbl_与信[[#This Row],[与信限度額]]), tbl_与信[[#This Row],[与信限度額]]-tbl_与信[[#This Row],[現在売掛残高]], "-"))</f>
        <v/>
      </c>
      <c r="P51" s="209" t="n"/>
      <c r="Q51" s="72" t="n"/>
    </row>
    <row r="52">
      <c r="A52" s="212" t="n"/>
      <c r="B52" s="209" t="n"/>
      <c r="C52" s="209" t="n"/>
      <c r="D52" s="209" t="n"/>
      <c r="E52" s="209" t="n"/>
      <c r="F52" s="85" t="n"/>
      <c r="G52" s="85" t="n"/>
      <c r="H52" s="209" t="n"/>
      <c r="I52" s="209">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52" s="209">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52" s="209" t="n"/>
      <c r="L52" s="209" t="n"/>
      <c r="M52" s="209" t="n"/>
      <c r="N52" s="209" t="n"/>
      <c r="O52" s="77">
        <f>IF(ISBLANK(tbl_与信[[#This Row],[顧客名]]),"",IF(ISNUMBER(tbl_与信[[#This Row],[与信限度額]]), tbl_与信[[#This Row],[与信限度額]]-tbl_与信[[#This Row],[現在売掛残高]], "-"))</f>
        <v/>
      </c>
      <c r="P52" s="209" t="n"/>
      <c r="Q52" s="72" t="n"/>
    </row>
    <row r="53">
      <c r="A53" s="212" t="n"/>
      <c r="B53" s="209" t="n"/>
      <c r="C53" s="209" t="n"/>
      <c r="D53" s="209" t="n"/>
      <c r="E53" s="209" t="n"/>
      <c r="F53" s="85" t="n"/>
      <c r="G53" s="85" t="n"/>
      <c r="H53" s="209" t="n"/>
      <c r="I53" s="209">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53" s="209">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53" s="209" t="n"/>
      <c r="L53" s="209" t="n"/>
      <c r="M53" s="209" t="n"/>
      <c r="N53" s="209" t="n"/>
      <c r="O53" s="77">
        <f>IF(ISBLANK(tbl_与信[[#This Row],[顧客名]]),"",IF(ISNUMBER(tbl_与信[[#This Row],[与信限度額]]), tbl_与信[[#This Row],[与信限度額]]-tbl_与信[[#This Row],[現在売掛残高]], "-"))</f>
        <v/>
      </c>
      <c r="P53" s="209" t="n"/>
      <c r="Q53" s="72" t="n"/>
    </row>
    <row r="54">
      <c r="A54" s="212" t="n"/>
      <c r="B54" s="209" t="n"/>
      <c r="C54" s="209" t="n"/>
      <c r="D54" s="209" t="n"/>
      <c r="E54" s="209" t="n"/>
      <c r="F54" s="85" t="n"/>
      <c r="G54" s="85" t="n"/>
      <c r="H54" s="209" t="n"/>
      <c r="I54" s="209">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54" s="209">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54" s="209" t="n"/>
      <c r="L54" s="209" t="n"/>
      <c r="M54" s="209" t="n"/>
      <c r="N54" s="209" t="n"/>
      <c r="O54" s="77">
        <f>IF(ISBLANK(tbl_与信[[#This Row],[顧客名]]),"",IF(ISNUMBER(tbl_与信[[#This Row],[与信限度額]]), tbl_与信[[#This Row],[与信限度額]]-tbl_与信[[#This Row],[現在売掛残高]], "-"))</f>
        <v/>
      </c>
      <c r="P54" s="209" t="n"/>
      <c r="Q54" s="72" t="n"/>
    </row>
    <row r="55">
      <c r="A55" s="212" t="n"/>
      <c r="B55" s="209" t="n"/>
      <c r="C55" s="209" t="n"/>
      <c r="D55" s="209" t="n"/>
      <c r="E55" s="209" t="n"/>
      <c r="F55" s="85" t="n"/>
      <c r="G55" s="85" t="n"/>
      <c r="H55" s="209" t="n"/>
      <c r="I55" s="209">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55" s="209">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55" s="209" t="n"/>
      <c r="L55" s="209" t="n"/>
      <c r="M55" s="209" t="n"/>
      <c r="N55" s="209" t="n"/>
      <c r="O55" s="77">
        <f>IF(ISBLANK(tbl_与信[[#This Row],[顧客名]]),"",IF(ISNUMBER(tbl_与信[[#This Row],[与信限度額]]), tbl_与信[[#This Row],[与信限度額]]-tbl_与信[[#This Row],[現在売掛残高]], "-"))</f>
        <v/>
      </c>
      <c r="P55" s="209" t="n"/>
      <c r="Q55" s="72" t="n"/>
    </row>
    <row r="56">
      <c r="A56" s="212" t="n"/>
      <c r="B56" s="209" t="n"/>
      <c r="C56" s="209" t="n"/>
      <c r="D56" s="209" t="n"/>
      <c r="E56" s="209" t="n"/>
      <c r="F56" s="85" t="n"/>
      <c r="G56" s="85" t="n"/>
      <c r="H56" s="209" t="n"/>
      <c r="I56" s="209">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56" s="209">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56" s="209" t="n"/>
      <c r="L56" s="209" t="n"/>
      <c r="M56" s="209" t="n"/>
      <c r="N56" s="209" t="n"/>
      <c r="O56" s="77">
        <f>IF(ISBLANK(tbl_与信[[#This Row],[顧客名]]),"",IF(ISNUMBER(tbl_与信[[#This Row],[与信限度額]]), tbl_与信[[#This Row],[与信限度額]]-tbl_与信[[#This Row],[現在売掛残高]], "-"))</f>
        <v/>
      </c>
      <c r="P56" s="209" t="n"/>
      <c r="Q56" s="72" t="n"/>
    </row>
    <row r="57">
      <c r="A57" s="212" t="n"/>
      <c r="B57" s="209" t="n"/>
      <c r="C57" s="209" t="n"/>
      <c r="D57" s="209" t="n"/>
      <c r="E57" s="209" t="n"/>
      <c r="F57" s="85" t="n"/>
      <c r="G57" s="85" t="n"/>
      <c r="H57" s="209" t="n"/>
      <c r="I57" s="209">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57" s="209">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57" s="209" t="n"/>
      <c r="L57" s="209" t="n"/>
      <c r="M57" s="209" t="n"/>
      <c r="N57" s="209" t="n"/>
      <c r="O57" s="77">
        <f>IF(ISBLANK(tbl_与信[[#This Row],[顧客名]]),"",IF(ISNUMBER(tbl_与信[[#This Row],[与信限度額]]), tbl_与信[[#This Row],[与信限度額]]-tbl_与信[[#This Row],[現在売掛残高]], "-"))</f>
        <v/>
      </c>
      <c r="P57" s="209" t="n"/>
      <c r="Q57" s="72" t="n"/>
    </row>
    <row r="58">
      <c r="A58" s="212" t="n"/>
      <c r="B58" s="209" t="n"/>
      <c r="C58" s="209" t="n"/>
      <c r="D58" s="209" t="n"/>
      <c r="E58" s="209" t="n"/>
      <c r="F58" s="85" t="n"/>
      <c r="G58" s="85" t="n"/>
      <c r="H58" s="209" t="n"/>
      <c r="I58" s="209">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58" s="209">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58" s="209" t="n"/>
      <c r="L58" s="209" t="n"/>
      <c r="M58" s="209" t="n"/>
      <c r="N58" s="209" t="n"/>
      <c r="O58" s="77">
        <f>IF(ISBLANK(tbl_与信[[#This Row],[顧客名]]),"",IF(ISNUMBER(tbl_与信[[#This Row],[与信限度額]]), tbl_与信[[#This Row],[与信限度額]]-tbl_与信[[#This Row],[現在売掛残高]], "-"))</f>
        <v/>
      </c>
      <c r="P58" s="209" t="n"/>
      <c r="Q58" s="72" t="n"/>
    </row>
    <row r="59">
      <c r="A59" s="212" t="n"/>
      <c r="B59" s="209" t="n"/>
      <c r="C59" s="209" t="n"/>
      <c r="D59" s="209" t="n"/>
      <c r="E59" s="209" t="n"/>
      <c r="F59" s="85" t="n"/>
      <c r="G59" s="85" t="n"/>
      <c r="H59" s="209" t="n"/>
      <c r="I59" s="209">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59" s="209">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59" s="209" t="n"/>
      <c r="L59" s="209" t="n"/>
      <c r="M59" s="209" t="n"/>
      <c r="N59" s="209" t="n"/>
      <c r="O59" s="77">
        <f>IF(ISBLANK(tbl_与信[[#This Row],[顧客名]]),"",IF(ISNUMBER(tbl_与信[[#This Row],[与信限度額]]), tbl_与信[[#This Row],[与信限度額]]-tbl_与信[[#This Row],[現在売掛残高]], "-"))</f>
        <v/>
      </c>
      <c r="P59" s="209" t="n"/>
      <c r="Q59" s="72" t="n"/>
    </row>
    <row r="60">
      <c r="A60" s="212" t="n"/>
      <c r="B60" s="209" t="n"/>
      <c r="C60" s="209" t="n"/>
      <c r="D60" s="209" t="n"/>
      <c r="E60" s="209" t="n"/>
      <c r="F60" s="85" t="n"/>
      <c r="G60" s="85" t="n"/>
      <c r="H60" s="209" t="n"/>
      <c r="I60" s="209">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60" s="209">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60" s="209" t="n"/>
      <c r="L60" s="209" t="n"/>
      <c r="M60" s="209" t="n"/>
      <c r="N60" s="209" t="n"/>
      <c r="O60" s="77">
        <f>IF(ISBLANK(tbl_与信[[#This Row],[顧客名]]),"",IF(ISNUMBER(tbl_与信[[#This Row],[与信限度額]]), tbl_与信[[#This Row],[与信限度額]]-tbl_与信[[#This Row],[現在売掛残高]], "-"))</f>
        <v/>
      </c>
      <c r="P60" s="209" t="n"/>
      <c r="Q60" s="72" t="n"/>
    </row>
    <row r="61">
      <c r="A61" s="212" t="n"/>
      <c r="B61" s="209" t="n"/>
      <c r="C61" s="209" t="n"/>
      <c r="D61" s="209" t="n"/>
      <c r="E61" s="209" t="n"/>
      <c r="F61" s="85" t="n"/>
      <c r="G61" s="85" t="n"/>
      <c r="H61" s="209" t="n"/>
      <c r="I61" s="209">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61" s="209">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61" s="209" t="n"/>
      <c r="L61" s="209" t="n"/>
      <c r="M61" s="209" t="n"/>
      <c r="N61" s="209" t="n"/>
      <c r="O61" s="77">
        <f>IF(ISBLANK(tbl_与信[[#This Row],[顧客名]]),"",IF(ISNUMBER(tbl_与信[[#This Row],[与信限度額]]), tbl_与信[[#This Row],[与信限度額]]-tbl_与信[[#This Row],[現在売掛残高]], "-"))</f>
        <v/>
      </c>
      <c r="P61" s="209" t="n"/>
      <c r="Q61" s="72" t="n"/>
    </row>
    <row r="62">
      <c r="A62" s="213" t="n"/>
      <c r="B62" s="219" t="n"/>
      <c r="C62" s="219" t="n"/>
      <c r="D62" s="219" t="n"/>
      <c r="E62" s="219" t="n"/>
      <c r="F62" s="82" t="n"/>
      <c r="G62" s="82" t="n"/>
      <c r="H62" s="219" t="n"/>
      <c r="I62" s="209">
        <f>IF(ISBLANK(tbl_与信[[#This Row],[顧客名]]),"",
    IF(tbl_与信[[#This Row],[区分]]="海外",
        IF(tbl_与信[[#This Row],[評点/格付]]="EC", 0, ""),
        IF(tbl_与信[[#This Row],[評点/格付]]&lt;50, 0,
            MIN(
                tbl_与信[[#This Row],[年間売上高]]*IF(tbl_与信[[#This Row],[評点/格付]]&gt;=65, 0.05, 0.02),
                tbl_与信[[#This Row],[年間利益金]]*0.5
            )*IF(tbl_与信[[#This Row],[自己資本率]]&lt;0.2, 0.4, IF(tbl_与信[[#This Row],[自己資本率]]&lt;0.4, 0.7, 1))
        )
    )
)</f>
        <v/>
      </c>
      <c r="J62" s="209">
        <f>IF(ISBLANK(tbl_与信[[#This Row],[顧客名]]),"",
    IF(tbl_与信[[#This Row],[区分]]="海外",
        IF(tbl_与信[[#This Row],[評点/格付]]="EC", "格付EC→前金必須", "保険引受限度額準拠"),
        IF(tbl_与信[[#This Row],[評点/格付]]&lt;50, "評点49以下→前金必須",
            IF(tbl_与信[[#This Row],[年間売上高]]*IF(tbl_与信[[#This Row],[評点/格付]]&gt;=65,0.05,0.02) &lt; tbl_与信[[#This Row],[年間利益金]]*0.5,
                "売上高ベース("&amp;IF(tbl_与信[[#This Row],[評点/格付]]&gt;=65,"5%","2%")&amp;")×抑制"&amp;IF(tbl_与信[[#This Row],[自己資本率]]&lt;0.2,"0.4",IF(tbl_与信[[#This Row],[自己資本率]]&lt;0.4,"0.7","1.0")),
                "利益金ベース(50%)×抑制"&amp;IF(tbl_与信[[#This Row],[自己資本率]]&lt;0.2,"0.4",IF(tbl_与信[[#This Row],[自己資本率]]&lt;0.4,"0.7","1.0"))
            )
        )
    )
)</f>
        <v/>
      </c>
      <c r="K62" s="219" t="n"/>
      <c r="L62" s="219" t="n"/>
      <c r="M62" s="219" t="n"/>
      <c r="N62" s="219" t="n"/>
      <c r="O62" s="77">
        <f>IF(ISBLANK(tbl_与信[[#This Row],[顧客名]]),"",IF(ISNUMBER(tbl_与信[[#This Row],[与信限度額]]), tbl_与信[[#This Row],[与信限度額]]-tbl_与信[[#This Row],[現在売掛残高]], "-"))</f>
        <v/>
      </c>
      <c r="P62" s="219" t="n"/>
      <c r="Q62" s="76" t="n"/>
    </row>
  </sheetData>
  <conditionalFormatting sqref="I3:J62">
    <cfRule type="expression" priority="1" dxfId="67">
      <formula>AND(_xlfn.ISFORMULA(I3), I3 &lt;&gt; "")</formula>
    </cfRule>
  </conditionalFormatting>
  <pageMargins left="0.7" right="0.7" top="0.75" bottom="0.75" header="0.3" footer="0.3"/>
  <pageSetup orientation="landscape" paperSize="9" scale="42"/>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fitToPage="1"/>
  </sheetPr>
  <dimension ref="A1:AB203"/>
  <sheetViews>
    <sheetView tabSelected="1" topLeftCell="A66" workbookViewId="0">
      <selection activeCell="O66" sqref="O66"/>
    </sheetView>
  </sheetViews>
  <sheetFormatPr baseColWidth="8" defaultColWidth="8.69921875" defaultRowHeight="18"/>
  <cols>
    <col width="14.5" bestFit="1" customWidth="1" style="207" min="1" max="1"/>
    <col width="4.59765625" customWidth="1" style="207" min="2" max="2"/>
    <col hidden="1" width="9.19921875" customWidth="1" style="207" min="3" max="3"/>
    <col width="28" customWidth="1" style="207" min="4" max="4"/>
    <col width="12.3984375" bestFit="1" customWidth="1" style="207" min="5" max="5"/>
    <col width="16.19921875" bestFit="1" customWidth="1" style="207" min="6" max="6"/>
    <col width="41.09765625" customWidth="1" style="207" min="7" max="7"/>
    <col width="9.09765625" customWidth="1" style="207" min="8" max="10"/>
    <col width="14.3984375" customWidth="1" style="207" min="11" max="11"/>
    <col width="15" bestFit="1" customWidth="1" style="207" min="12" max="13"/>
    <col width="16.19921875" bestFit="1" customWidth="1" style="207" min="14" max="14"/>
    <col width="17.5" bestFit="1" customWidth="1" style="207" min="15" max="15"/>
    <col width="15" bestFit="1" customWidth="1" style="207" min="16" max="17"/>
    <col width="11.19921875" bestFit="1" customWidth="1" style="207" min="18" max="19"/>
    <col width="12.19921875" bestFit="1" customWidth="1" style="207" min="20" max="20"/>
    <col width="20.19921875" bestFit="1" customWidth="1" style="207" min="21" max="21"/>
    <col width="18.8984375" customWidth="1" style="207" min="22" max="24"/>
    <col width="8.59765625" bestFit="1" customWidth="1" style="207" min="25" max="25"/>
    <col width="12.3984375" bestFit="1" customWidth="1" style="207" min="26" max="26"/>
    <col width="8.69921875" customWidth="1" style="207" min="27" max="16384"/>
  </cols>
  <sheetData>
    <row r="1">
      <c r="A1" s="127" t="inlineStr">
        <is>
          <t>※灰色セルは自動入力</t>
        </is>
      </c>
      <c r="D1" s="270" t="n"/>
      <c r="E1" s="270" t="n"/>
      <c r="G1" s="271" t="inlineStr">
        <is>
          <t>自動入力（売値・数量以外） 商品マスタにある商品</t>
        </is>
      </c>
      <c r="H1" s="301" t="n"/>
      <c r="I1" s="301" t="n"/>
      <c r="J1" s="301" t="n"/>
      <c r="K1" s="301" t="n"/>
      <c r="L1" s="301" t="n"/>
      <c r="M1" s="301" t="n"/>
      <c r="N1" s="273" t="inlineStr">
        <is>
          <t>手動入力　商品マスタにない商品　または個別に調整したい場合</t>
        </is>
      </c>
      <c r="O1" s="302" t="n"/>
      <c r="P1" s="302" t="n"/>
      <c r="Q1" s="302" t="n"/>
      <c r="R1" s="302" t="n"/>
      <c r="S1" s="302" t="n"/>
      <c r="T1" s="302" t="n"/>
      <c r="U1" s="302" t="n"/>
      <c r="V1" s="303" t="n"/>
    </row>
    <row r="2">
      <c r="A2" s="67" t="inlineStr">
        <is>
          <t>案件番号</t>
        </is>
      </c>
      <c r="B2" s="68" t="inlineStr">
        <is>
          <t>No</t>
        </is>
      </c>
      <c r="C2" s="68" t="inlineStr">
        <is>
          <t>（非表示）仕入No.</t>
        </is>
      </c>
      <c r="D2" s="68" t="inlineStr">
        <is>
          <t>顧客名</t>
        </is>
      </c>
      <c r="E2" s="68" t="inlineStr">
        <is>
          <t>商品ID</t>
        </is>
      </c>
      <c r="F2" s="69" t="inlineStr">
        <is>
          <t>仕入先</t>
        </is>
      </c>
      <c r="G2" s="106" t="inlineStr">
        <is>
          <t>商品名</t>
        </is>
      </c>
      <c r="H2" s="68" t="inlineStr">
        <is>
          <t>仕入価格</t>
        </is>
      </c>
      <c r="I2" s="68" t="inlineStr">
        <is>
          <t>販売価格（定価）</t>
        </is>
      </c>
      <c r="J2" s="68" t="inlineStr">
        <is>
          <t>販売価格（売値）</t>
        </is>
      </c>
      <c r="K2" s="68" t="inlineStr">
        <is>
          <t>数量</t>
        </is>
      </c>
      <c r="L2" s="68" t="inlineStr">
        <is>
          <t>単位</t>
        </is>
      </c>
      <c r="M2" s="69" t="inlineStr">
        <is>
          <t>利益率</t>
        </is>
      </c>
      <c r="N2" s="69" t="inlineStr">
        <is>
          <t>税率</t>
        </is>
      </c>
      <c r="O2" s="107" t="inlineStr">
        <is>
          <t>仕入先（M)</t>
        </is>
      </c>
      <c r="P2" s="209" t="inlineStr">
        <is>
          <t>商品名（M)</t>
        </is>
      </c>
      <c r="Q2" s="209" t="inlineStr">
        <is>
          <t>仕入価格（M)</t>
        </is>
      </c>
      <c r="R2" s="209" t="inlineStr">
        <is>
          <t>販売価格（M)</t>
        </is>
      </c>
      <c r="S2" s="209" t="inlineStr">
        <is>
          <t>数量（M)</t>
        </is>
      </c>
      <c r="T2" s="209" t="inlineStr">
        <is>
          <t>単位（M)</t>
        </is>
      </c>
      <c r="U2" s="209" t="inlineStr">
        <is>
          <t>税率（M）</t>
        </is>
      </c>
      <c r="V2" s="209" t="inlineStr">
        <is>
          <t>備考（仕入先向け）</t>
        </is>
      </c>
      <c r="W2" s="108" t="inlineStr">
        <is>
          <t>備考（顧客向け）</t>
        </is>
      </c>
      <c r="X2" s="69" t="inlineStr">
        <is>
          <t>単価×数（仕入）</t>
        </is>
      </c>
      <c r="Y2" s="69" t="inlineStr">
        <is>
          <t>単価×数（売値）</t>
        </is>
      </c>
      <c r="Z2" s="69" t="inlineStr">
        <is>
          <t>発注フラグ</t>
        </is>
      </c>
      <c r="AA2" s="68" t="inlineStr">
        <is>
          <t>(非表示）販売価格の和</t>
        </is>
      </c>
      <c r="AB2" s="68" t="inlineStr">
        <is>
          <t>税込価格</t>
        </is>
      </c>
    </row>
    <row r="3">
      <c r="A3" s="70" t="inlineStr">
        <is>
          <t>2601-1001-S01</t>
        </is>
      </c>
      <c r="B3" s="77">
        <f>IF(ISBLANK(tbl_明細[[#This Row],[案件番号]]),"",COUNTIFS($A$3:A3,tbl_明細[[#This Row],[案件番号]],$AA$3:AA3,"&gt;0"))</f>
        <v/>
      </c>
      <c r="C3" s="209">
        <f>COUNTIFS($A$3:A3,tbl_明細[[#This Row],[案件番号]],$F$3:F3,tbl_明細[[#This Row],[仕入先]])</f>
        <v/>
      </c>
      <c r="D3" s="77">
        <f>_xlfn.XLOOKUP(tbl_明細[[#This Row],[案件番号]],tbl_採番[案件番号],tbl_採番[顧客],"",0,1)</f>
        <v/>
      </c>
      <c r="E3" s="209" t="inlineStr">
        <is>
          <t>PRD_SNJ_SDH_0016_01</t>
        </is>
      </c>
      <c r="F3" s="118">
        <f>IF(ISBLANK(tbl_明細[[#This Row],[仕入先（M)]]),_xlfn.XLOOKUP(tbl_明細[[#This Row],[商品ID]],商品マスタ[商品連番],商品マスタ[仕入先],"",0,1),tbl_明細[[#This Row],[仕入先（M)]])</f>
        <v/>
      </c>
      <c r="G3" s="112">
        <f>IF(ISBLANK(tbl_明細[[#This Row],[商品名（M)]]),_xlfn.XLOOKUP(tbl_明細[[#This Row],[商品ID]],商品マスタ[商品連番],商品マスタ[商品名],"",0,),tbl_明細[[#This Row],[商品名（M)]])</f>
        <v/>
      </c>
      <c r="H3" s="80">
        <f>IF(ISBLANK(tbl_明細[[#This Row],[仕入価格（M)]]),_xlfn.XLOOKUP(tbl_明細[[#This Row],[商品ID]],商品マスタ[商品連番],商品マスタ[仕入
単価],"",0,1),tbl_明細[[#This Row],[仕入価格（M)]])</f>
        <v/>
      </c>
      <c r="I3" s="80">
        <f>_xlfn.XLOOKUP(tbl_明細[[#This Row],[商品ID]],商品マスタ[商品連番],商品マスタ[国内定価
（15％）],"",0,1)</f>
        <v/>
      </c>
      <c r="J3" s="85" t="n">
        <v>18000</v>
      </c>
      <c r="K3" s="209" t="n">
        <v>4.781</v>
      </c>
      <c r="L3" s="77">
        <f>_xlfn.XLOOKUP(tbl_明細[[#This Row],[商品ID]],商品マスタ[商品連番],商品マスタ[単位],"",0,1)</f>
        <v/>
      </c>
      <c r="M3" s="249">
        <f>1-tbl_明細[[#This Row],[仕入価格]]/tbl_明細[[#This Row],[販売価格（売値）]]</f>
        <v/>
      </c>
      <c r="N3" s="189">
        <f>_xlfn.XLOOKUP(tbl_明細[[#This Row],[商品ID]],商品マスタ[商品連番],商品マスタ[税率],"",0,1)</f>
        <v/>
      </c>
      <c r="O3" s="120" t="n"/>
      <c r="P3" s="209" t="n"/>
      <c r="Q3" s="85" t="n"/>
      <c r="R3" s="85" t="n"/>
      <c r="S3" s="209" t="n"/>
      <c r="T3" s="209" t="n"/>
      <c r="U3" s="79" t="n"/>
      <c r="V3" s="79" t="n"/>
      <c r="W3" s="113" t="n"/>
      <c r="X3" s="304">
        <f>tbl_明細[[#This Row],[仕入価格]]*tbl_明細[[#This Row],[数量]]+tbl_明細[[#This Row],[仕入価格（M)]]*tbl_明細[[#This Row],[数量（M)]]</f>
        <v/>
      </c>
      <c r="Y3" s="304">
        <f>tbl_明細[[#This Row],[販売価格（売値）]]*tbl_明細[[#This Row],[数量]]+tbl_明細[[#This Row],[販売価格（M)]]*tbl_明細[[#This Row],[数量（M)]]</f>
        <v/>
      </c>
      <c r="Z3" s="305">
        <f>_xlfn.XLOOKUP(tbl_明細[[#This Row],[案件番号]],tbl_案件追跡[案件番号],tbl_案件追跡[受注],"",0,1)</f>
        <v/>
      </c>
      <c r="AA3" s="227">
        <f>tbl_明細[[#This Row],[販売価格（売値）]]+tbl_明細[[#This Row],[販売価格（M)]]</f>
        <v/>
      </c>
      <c r="AB3" s="262">
        <f>tbl_明細[[#This Row],[販売価格（売値）]]*1.08+tbl_明細[[#This Row],[販売価格（M)]]*1.08</f>
        <v/>
      </c>
    </row>
    <row r="4">
      <c r="A4" s="70" t="inlineStr">
        <is>
          <t>2601-1001-S01</t>
        </is>
      </c>
      <c r="B4" s="77">
        <f>IF(ISBLANK(tbl_明細[[#This Row],[案件番号]]),"",COUNTIFS($A$3:A4,tbl_明細[[#This Row],[案件番号]],$AA$3:AA4,"&gt;0"))</f>
        <v/>
      </c>
      <c r="C4" s="209">
        <f>COUNTIFS($A$3:A4,tbl_明細[[#This Row],[案件番号]],$F$3:F4,tbl_明細[[#This Row],[仕入先]])</f>
        <v/>
      </c>
      <c r="D4" s="77">
        <f>_xlfn.XLOOKUP(tbl_明細[[#This Row],[案件番号]],tbl_採番[案件番号],tbl_採番[顧客],"",0,1)</f>
        <v/>
      </c>
      <c r="E4" s="209" t="inlineStr">
        <is>
          <t>other</t>
        </is>
      </c>
      <c r="F4" s="118">
        <f>IF(ISBLANK(tbl_明細[[#This Row],[仕入先（M)]]),_xlfn.XLOOKUP(tbl_明細[[#This Row],[商品ID]],商品マスタ[商品連番],商品マスタ[仕入先],"",0,1),tbl_明細[[#This Row],[仕入先（M)]])</f>
        <v/>
      </c>
      <c r="G4" s="112">
        <f>IF(ISBLANK(tbl_明細[[#This Row],[商品名（M)]]),_xlfn.XLOOKUP(tbl_明細[[#This Row],[商品ID]],商品マスタ[商品連番],商品マスタ[商品名],"",0,),tbl_明細[[#This Row],[商品名（M)]])</f>
        <v/>
      </c>
      <c r="H4" s="80">
        <f>IF(ISBLANK(tbl_明細[[#This Row],[仕入価格（M)]]),_xlfn.XLOOKUP(tbl_明細[[#This Row],[商品ID]],商品マスタ[商品連番],商品マスタ[仕入
単価],"",0,1),tbl_明細[[#This Row],[仕入価格（M)]])</f>
        <v/>
      </c>
      <c r="I4" s="80">
        <f>_xlfn.XLOOKUP(tbl_明細[[#This Row],[商品ID]],商品マスタ[商品連番],商品マスタ[国内定価
（15％）],"",0,1)</f>
        <v/>
      </c>
      <c r="J4" s="85" t="n"/>
      <c r="K4" s="209" t="n"/>
      <c r="L4" s="77">
        <f>_xlfn.XLOOKUP(tbl_明細[[#This Row],[商品ID]],商品マスタ[商品連番],商品マスタ[単位],"",0,1)</f>
        <v/>
      </c>
      <c r="M4" s="249">
        <f>1-tbl_明細[[#This Row],[仕入価格]]/tbl_明細[[#This Row],[販売価格（売値）]]</f>
        <v/>
      </c>
      <c r="N4" s="189">
        <f>_xlfn.XLOOKUP(tbl_明細[[#This Row],[商品ID]],商品マスタ[商品連番],商品マスタ[税率],"",0,1)</f>
        <v/>
      </c>
      <c r="O4" s="120" t="inlineStr">
        <is>
          <t>ソバージュド函館</t>
        </is>
      </c>
      <c r="P4" s="209" t="inlineStr">
        <is>
          <t>送料（北海道）</t>
        </is>
      </c>
      <c r="Q4" s="85" t="n">
        <v>1180</v>
      </c>
      <c r="R4" s="85" t="n">
        <v>1180</v>
      </c>
      <c r="S4" s="209" t="n">
        <v>1</v>
      </c>
      <c r="T4" s="209" t="inlineStr">
        <is>
          <t>式</t>
        </is>
      </c>
      <c r="U4" s="79" t="n">
        <v>0.1</v>
      </c>
      <c r="V4" s="79" t="n"/>
      <c r="W4" s="113" t="n"/>
      <c r="X4" s="306">
        <f>tbl_明細[[#This Row],[仕入価格]]*tbl_明細[[#This Row],[数量]]+tbl_明細[[#This Row],[仕入価格（M)]]*tbl_明細[[#This Row],[数量（M)]]</f>
        <v/>
      </c>
      <c r="Y4" s="306">
        <f>tbl_明細[[#This Row],[販売価格（売値）]]*tbl_明細[[#This Row],[数量]]+tbl_明細[[#This Row],[販売価格（M)]]*tbl_明細[[#This Row],[数量（M)]]</f>
        <v/>
      </c>
      <c r="Z4" s="307">
        <f>_xlfn.XLOOKUP(tbl_明細[[#This Row],[案件番号]],tbl_案件追跡[案件番号],tbl_案件追跡[受注],"",0,1)</f>
        <v/>
      </c>
      <c r="AA4" s="228">
        <f>tbl_明細[[#This Row],[販売価格（売値）]]+tbl_明細[[#This Row],[販売価格（M)]]</f>
        <v/>
      </c>
      <c r="AB4" s="261">
        <f>tbl_明細[[#This Row],[販売価格（売値）]]*1.08+tbl_明細[[#This Row],[販売価格（M)]]*1.08</f>
        <v/>
      </c>
    </row>
    <row r="5">
      <c r="A5" s="70" t="inlineStr">
        <is>
          <t>2601-1001-S01</t>
        </is>
      </c>
      <c r="B5" s="77">
        <f>IF(ISBLANK(tbl_明細[[#This Row],[案件番号]]),"",COUNTIFS($A$3:A5,tbl_明細[[#This Row],[案件番号]],$AA$3:AA5,"&gt;0"))</f>
        <v/>
      </c>
      <c r="C5" s="209">
        <f>COUNTIFS($A$3:A5,tbl_明細[[#This Row],[案件番号]],$F$3:F5,tbl_明細[[#This Row],[仕入先]])</f>
        <v/>
      </c>
      <c r="D5" s="77">
        <f>_xlfn.XLOOKUP(tbl_明細[[#This Row],[案件番号]],tbl_採番[案件番号],tbl_採番[顧客],"",0,1)</f>
        <v/>
      </c>
      <c r="E5" s="209" t="inlineStr">
        <is>
          <t>PRD_SNJ_SDH_0016_01</t>
        </is>
      </c>
      <c r="F5" s="118">
        <f>IF(ISBLANK(tbl_明細[[#This Row],[仕入先（M)]]),_xlfn.XLOOKUP(tbl_明細[[#This Row],[商品ID]],商品マスタ[商品連番],商品マスタ[仕入先],"",0,1),tbl_明細[[#This Row],[仕入先（M)]])</f>
        <v/>
      </c>
      <c r="G5" s="112">
        <f>IF(ISBLANK(tbl_明細[[#This Row],[商品名（M)]]),_xlfn.XLOOKUP(tbl_明細[[#This Row],[商品ID]],商品マスタ[商品連番],商品マスタ[商品名],"",0,),tbl_明細[[#This Row],[商品名（M)]])</f>
        <v/>
      </c>
      <c r="H5" s="80">
        <f>IF(ISBLANK(tbl_明細[[#This Row],[仕入価格（M)]]),_xlfn.XLOOKUP(tbl_明細[[#This Row],[商品ID]],商品マスタ[商品連番],商品マスタ[仕入
単価],"",0,1),tbl_明細[[#This Row],[仕入価格（M)]])</f>
        <v/>
      </c>
      <c r="I5" s="80">
        <f>_xlfn.XLOOKUP(tbl_明細[[#This Row],[商品ID]],商品マスタ[商品連番],商品マスタ[国内定価
（15％）],"",0,1)</f>
        <v/>
      </c>
      <c r="J5" s="85" t="n">
        <v>18000</v>
      </c>
      <c r="K5" s="209" t="n">
        <v>3.627</v>
      </c>
      <c r="L5" s="77">
        <f>_xlfn.XLOOKUP(tbl_明細[[#This Row],[商品ID]],商品マスタ[商品連番],商品マスタ[単位],"",0,1)</f>
        <v/>
      </c>
      <c r="M5" s="249">
        <f>1-tbl_明細[[#This Row],[仕入価格]]/tbl_明細[[#This Row],[販売価格（売値）]]</f>
        <v/>
      </c>
      <c r="N5" s="189">
        <f>_xlfn.XLOOKUP(tbl_明細[[#This Row],[商品ID]],商品マスタ[商品連番],商品マスタ[税率],"",0,1)</f>
        <v/>
      </c>
      <c r="O5" s="120" t="n"/>
      <c r="P5" s="209" t="n"/>
      <c r="Q5" s="85" t="n"/>
      <c r="R5" s="85" t="n"/>
      <c r="S5" s="209" t="n"/>
      <c r="T5" s="209" t="n"/>
      <c r="U5" s="79" t="n"/>
      <c r="V5" s="79" t="n"/>
      <c r="W5" s="113" t="n"/>
      <c r="X5" s="306">
        <f>tbl_明細[[#This Row],[仕入価格]]*tbl_明細[[#This Row],[数量]]+tbl_明細[[#This Row],[仕入価格（M)]]*tbl_明細[[#This Row],[数量（M)]]</f>
        <v/>
      </c>
      <c r="Y5" s="306">
        <f>tbl_明細[[#This Row],[販売価格（売値）]]*tbl_明細[[#This Row],[数量]]+tbl_明細[[#This Row],[販売価格（M)]]*tbl_明細[[#This Row],[数量（M)]]</f>
        <v/>
      </c>
      <c r="Z5" s="307">
        <f>_xlfn.XLOOKUP(tbl_明細[[#This Row],[案件番号]],tbl_案件追跡[案件番号],tbl_案件追跡[受注],"",0,1)</f>
        <v/>
      </c>
      <c r="AA5" s="228">
        <f>tbl_明細[[#This Row],[販売価格（売値）]]+tbl_明細[[#This Row],[販売価格（M)]]</f>
        <v/>
      </c>
      <c r="AB5" s="261">
        <f>tbl_明細[[#This Row],[販売価格（売値）]]*1.08+tbl_明細[[#This Row],[販売価格（M)]]*1.08</f>
        <v/>
      </c>
    </row>
    <row r="6">
      <c r="A6" s="70" t="inlineStr">
        <is>
          <t>2601-1001-S01</t>
        </is>
      </c>
      <c r="B6" s="77">
        <f>IF(ISBLANK(tbl_明細[[#This Row],[案件番号]]),"",COUNTIFS($A$3:A6,tbl_明細[[#This Row],[案件番号]],$AA$3:AA6,"&gt;0"))</f>
        <v/>
      </c>
      <c r="C6" s="209">
        <f>COUNTIFS($A$3:A6,tbl_明細[[#This Row],[案件番号]],$F$3:F6,tbl_明細[[#This Row],[仕入先]])</f>
        <v/>
      </c>
      <c r="D6" s="77">
        <f>_xlfn.XLOOKUP(tbl_明細[[#This Row],[案件番号]],tbl_採番[案件番号],tbl_採番[顧客],"",0,1)</f>
        <v/>
      </c>
      <c r="E6" s="209" t="inlineStr">
        <is>
          <t>other</t>
        </is>
      </c>
      <c r="F6" s="118">
        <f>IF(ISBLANK(tbl_明細[[#This Row],[仕入先（M)]]),_xlfn.XLOOKUP(tbl_明細[[#This Row],[商品ID]],商品マスタ[商品連番],商品マスタ[仕入先],"",0,1),tbl_明細[[#This Row],[仕入先（M)]])</f>
        <v/>
      </c>
      <c r="G6" s="112">
        <f>IF(ISBLANK(tbl_明細[[#This Row],[商品名（M)]]),_xlfn.XLOOKUP(tbl_明細[[#This Row],[商品ID]],商品マスタ[商品連番],商品マスタ[商品名],"",0,),tbl_明細[[#This Row],[商品名（M)]])</f>
        <v/>
      </c>
      <c r="H6" s="80">
        <f>IF(ISBLANK(tbl_明細[[#This Row],[仕入価格（M)]]),_xlfn.XLOOKUP(tbl_明細[[#This Row],[商品ID]],商品マスタ[商品連番],商品マスタ[仕入
単価],"",0,1),tbl_明細[[#This Row],[仕入価格（M)]])</f>
        <v/>
      </c>
      <c r="I6" s="80">
        <f>_xlfn.XLOOKUP(tbl_明細[[#This Row],[商品ID]],商品マスタ[商品連番],商品マスタ[国内定価
（15％）],"",0,1)</f>
        <v/>
      </c>
      <c r="J6" s="85" t="n"/>
      <c r="K6" s="209" t="n"/>
      <c r="L6" s="77">
        <f>_xlfn.XLOOKUP(tbl_明細[[#This Row],[商品ID]],商品マスタ[商品連番],商品マスタ[単位],"",0,1)</f>
        <v/>
      </c>
      <c r="M6" s="249">
        <f>1-tbl_明細[[#This Row],[仕入価格]]/tbl_明細[[#This Row],[販売価格（売値）]]</f>
        <v/>
      </c>
      <c r="N6" s="189">
        <f>_xlfn.XLOOKUP(tbl_明細[[#This Row],[商品ID]],商品マスタ[商品連番],商品マスタ[税率],"",0,1)</f>
        <v/>
      </c>
      <c r="O6" s="120" t="inlineStr">
        <is>
          <t>ソバージュド函館</t>
        </is>
      </c>
      <c r="P6" s="209" t="inlineStr">
        <is>
          <t>送料（北海道）</t>
        </is>
      </c>
      <c r="Q6" s="85" t="n">
        <v>1180</v>
      </c>
      <c r="R6" s="85" t="n">
        <v>1180</v>
      </c>
      <c r="S6" s="209" t="n">
        <v>1</v>
      </c>
      <c r="T6" s="209" t="inlineStr">
        <is>
          <t>式</t>
        </is>
      </c>
      <c r="U6" s="79" t="n">
        <v>0.1</v>
      </c>
      <c r="V6" s="79" t="n"/>
      <c r="W6" s="113" t="n"/>
      <c r="X6" s="306">
        <f>tbl_明細[[#This Row],[仕入価格]]*tbl_明細[[#This Row],[数量]]+tbl_明細[[#This Row],[仕入価格（M)]]*tbl_明細[[#This Row],[数量（M)]]</f>
        <v/>
      </c>
      <c r="Y6" s="306">
        <f>tbl_明細[[#This Row],[販売価格（売値）]]*tbl_明細[[#This Row],[数量]]+tbl_明細[[#This Row],[販売価格（M)]]*tbl_明細[[#This Row],[数量（M)]]</f>
        <v/>
      </c>
      <c r="Z6" s="307">
        <f>_xlfn.XLOOKUP(tbl_明細[[#This Row],[案件番号]],tbl_案件追跡[案件番号],tbl_案件追跡[受注],"",0,1)</f>
        <v/>
      </c>
      <c r="AA6" s="228">
        <f>tbl_明細[[#This Row],[販売価格（売値）]]+tbl_明細[[#This Row],[販売価格（M)]]</f>
        <v/>
      </c>
      <c r="AB6" s="261">
        <f>tbl_明細[[#This Row],[販売価格（売値）]]*1.08+tbl_明細[[#This Row],[販売価格（M)]]*1.08</f>
        <v/>
      </c>
    </row>
    <row r="7">
      <c r="A7" s="70" t="inlineStr">
        <is>
          <t>2601-1001-S01</t>
        </is>
      </c>
      <c r="B7" s="77">
        <f>IF(ISBLANK(tbl_明細[[#This Row],[案件番号]]),"",COUNTIFS($A$3:A7,tbl_明細[[#This Row],[案件番号]],$AA$3:AA7,"&gt;0"))</f>
        <v/>
      </c>
      <c r="C7" s="209">
        <f>COUNTIFS($A$3:A7,tbl_明細[[#This Row],[案件番号]],$F$3:F7,tbl_明細[[#This Row],[仕入先]])</f>
        <v/>
      </c>
      <c r="D7" s="77">
        <f>_xlfn.XLOOKUP(tbl_明細[[#This Row],[案件番号]],tbl_採番[案件番号],tbl_採番[顧客],"",0,1)</f>
        <v/>
      </c>
      <c r="E7" s="209" t="inlineStr">
        <is>
          <t>PRD_SNJ_SDH_0016_01</t>
        </is>
      </c>
      <c r="F7" s="118">
        <f>IF(ISBLANK(tbl_明細[[#This Row],[仕入先（M)]]),_xlfn.XLOOKUP(tbl_明細[[#This Row],[商品ID]],商品マスタ[商品連番],商品マスタ[仕入先],"",0,1),tbl_明細[[#This Row],[仕入先（M)]])</f>
        <v/>
      </c>
      <c r="G7" s="112">
        <f>IF(ISBLANK(tbl_明細[[#This Row],[商品名（M)]]),_xlfn.XLOOKUP(tbl_明細[[#This Row],[商品ID]],商品マスタ[商品連番],商品マスタ[商品名],"",0,),tbl_明細[[#This Row],[商品名（M)]])</f>
        <v/>
      </c>
      <c r="H7" s="80">
        <f>IF(ISBLANK(tbl_明細[[#This Row],[仕入価格（M)]]),_xlfn.XLOOKUP(tbl_明細[[#This Row],[商品ID]],商品マスタ[商品連番],商品マスタ[仕入
単価],"",0,1),tbl_明細[[#This Row],[仕入価格（M)]])</f>
        <v/>
      </c>
      <c r="I7" s="80">
        <f>_xlfn.XLOOKUP(tbl_明細[[#This Row],[商品ID]],商品マスタ[商品連番],商品マスタ[国内定価
（15％）],"",0,1)</f>
        <v/>
      </c>
      <c r="J7" s="85" t="n">
        <v>18000</v>
      </c>
      <c r="K7" s="209" t="n">
        <v>0.911</v>
      </c>
      <c r="L7" s="77">
        <f>_xlfn.XLOOKUP(tbl_明細[[#This Row],[商品ID]],商品マスタ[商品連番],商品マスタ[単位],"",0,1)</f>
        <v/>
      </c>
      <c r="M7" s="249">
        <f>1-tbl_明細[[#This Row],[仕入価格]]/tbl_明細[[#This Row],[販売価格（売値）]]</f>
        <v/>
      </c>
      <c r="N7" s="189">
        <f>_xlfn.XLOOKUP(tbl_明細[[#This Row],[商品ID]],商品マスタ[商品連番],商品マスタ[税率],"",0,1)</f>
        <v/>
      </c>
      <c r="O7" s="120" t="n"/>
      <c r="P7" s="209" t="n"/>
      <c r="Q7" s="85" t="n"/>
      <c r="R7" s="85" t="n"/>
      <c r="S7" s="209" t="n"/>
      <c r="T7" s="209" t="n"/>
      <c r="U7" s="79" t="n"/>
      <c r="V7" s="79" t="n"/>
      <c r="W7" s="113" t="n"/>
      <c r="X7" s="306">
        <f>tbl_明細[[#This Row],[仕入価格]]*tbl_明細[[#This Row],[数量]]+tbl_明細[[#This Row],[仕入価格（M)]]*tbl_明細[[#This Row],[数量（M)]]</f>
        <v/>
      </c>
      <c r="Y7" s="306">
        <f>tbl_明細[[#This Row],[販売価格（売値）]]*tbl_明細[[#This Row],[数量]]+tbl_明細[[#This Row],[販売価格（M)]]*tbl_明細[[#This Row],[数量（M)]]</f>
        <v/>
      </c>
      <c r="Z7" s="307">
        <f>_xlfn.XLOOKUP(tbl_明細[[#This Row],[案件番号]],tbl_案件追跡[案件番号],tbl_案件追跡[受注],"",0,1)</f>
        <v/>
      </c>
      <c r="AA7" s="228">
        <f>tbl_明細[[#This Row],[販売価格（売値）]]+tbl_明細[[#This Row],[販売価格（M)]]</f>
        <v/>
      </c>
      <c r="AB7" s="261">
        <f>tbl_明細[[#This Row],[販売価格（売値）]]*1.08+tbl_明細[[#This Row],[販売価格（M)]]*1.08</f>
        <v/>
      </c>
    </row>
    <row r="8">
      <c r="A8" s="70" t="inlineStr">
        <is>
          <t>2601-1001-S01</t>
        </is>
      </c>
      <c r="B8" s="77">
        <f>IF(ISBLANK(tbl_明細[[#This Row],[案件番号]]),"",COUNTIFS($A$3:A8,tbl_明細[[#This Row],[案件番号]],$AA$3:AA8,"&gt;0"))</f>
        <v/>
      </c>
      <c r="C8" s="209">
        <f>COUNTIFS($A$3:A8,tbl_明細[[#This Row],[案件番号]],$F$3:F8,tbl_明細[[#This Row],[仕入先]])</f>
        <v/>
      </c>
      <c r="D8" s="77">
        <f>_xlfn.XLOOKUP(tbl_明細[[#This Row],[案件番号]],tbl_採番[案件番号],tbl_採番[顧客],"",0,1)</f>
        <v/>
      </c>
      <c r="E8" s="209" t="inlineStr">
        <is>
          <t>other</t>
        </is>
      </c>
      <c r="F8" s="118">
        <f>IF(ISBLANK(tbl_明細[[#This Row],[仕入先（M)]]),_xlfn.XLOOKUP(tbl_明細[[#This Row],[商品ID]],商品マスタ[商品連番],商品マスタ[仕入先],"",0,1),tbl_明細[[#This Row],[仕入先（M)]])</f>
        <v/>
      </c>
      <c r="G8" s="112">
        <f>IF(ISBLANK(tbl_明細[[#This Row],[商品名（M)]]),_xlfn.XLOOKUP(tbl_明細[[#This Row],[商品ID]],商品マスタ[商品連番],商品マスタ[商品名],"",0,),tbl_明細[[#This Row],[商品名（M)]])</f>
        <v/>
      </c>
      <c r="H8" s="80">
        <f>IF(ISBLANK(tbl_明細[[#This Row],[仕入価格（M)]]),_xlfn.XLOOKUP(tbl_明細[[#This Row],[商品ID]],商品マスタ[商品連番],商品マスタ[仕入
単価],"",0,1),tbl_明細[[#This Row],[仕入価格（M)]])</f>
        <v/>
      </c>
      <c r="I8" s="80">
        <f>_xlfn.XLOOKUP(tbl_明細[[#This Row],[商品ID]],商品マスタ[商品連番],商品マスタ[国内定価
（15％）],"",0,1)</f>
        <v/>
      </c>
      <c r="J8" s="85" t="n"/>
      <c r="K8" s="209" t="n"/>
      <c r="L8" s="77">
        <f>_xlfn.XLOOKUP(tbl_明細[[#This Row],[商品ID]],商品マスタ[商品連番],商品マスタ[単位],"",0,1)</f>
        <v/>
      </c>
      <c r="M8" s="249">
        <f>1-tbl_明細[[#This Row],[仕入価格]]/tbl_明細[[#This Row],[販売価格（売値）]]</f>
        <v/>
      </c>
      <c r="N8" s="189">
        <f>_xlfn.XLOOKUP(tbl_明細[[#This Row],[商品ID]],商品マスタ[商品連番],商品マスタ[税率],"",0,1)</f>
        <v/>
      </c>
      <c r="O8" s="120" t="inlineStr">
        <is>
          <t>ソバージュド函館</t>
        </is>
      </c>
      <c r="P8" s="209" t="inlineStr">
        <is>
          <t>送料（北海道）</t>
        </is>
      </c>
      <c r="Q8" s="85" t="n">
        <v>1180</v>
      </c>
      <c r="R8" s="85" t="n">
        <v>1180</v>
      </c>
      <c r="S8" s="209" t="n">
        <v>1</v>
      </c>
      <c r="T8" s="209" t="inlineStr">
        <is>
          <t>式</t>
        </is>
      </c>
      <c r="U8" s="79" t="n">
        <v>0.1</v>
      </c>
      <c r="V8" s="79" t="n"/>
      <c r="W8" s="113" t="n"/>
      <c r="X8" s="306">
        <f>tbl_明細[[#This Row],[仕入価格]]*tbl_明細[[#This Row],[数量]]+tbl_明細[[#This Row],[仕入価格（M)]]*tbl_明細[[#This Row],[数量（M)]]</f>
        <v/>
      </c>
      <c r="Y8" s="306">
        <f>tbl_明細[[#This Row],[販売価格（売値）]]*tbl_明細[[#This Row],[数量]]+tbl_明細[[#This Row],[販売価格（M)]]*tbl_明細[[#This Row],[数量（M)]]</f>
        <v/>
      </c>
      <c r="Z8" s="307">
        <f>_xlfn.XLOOKUP(tbl_明細[[#This Row],[案件番号]],tbl_案件追跡[案件番号],tbl_案件追跡[受注],"",0,1)</f>
        <v/>
      </c>
      <c r="AA8" s="228">
        <f>tbl_明細[[#This Row],[販売価格（売値）]]+tbl_明細[[#This Row],[販売価格（M)]]</f>
        <v/>
      </c>
      <c r="AB8" s="261">
        <f>tbl_明細[[#This Row],[販売価格（売値）]]*1.08+tbl_明細[[#This Row],[販売価格（M)]]*1.08</f>
        <v/>
      </c>
    </row>
    <row r="9">
      <c r="A9" s="70" t="inlineStr">
        <is>
          <t>2601-1002-S01</t>
        </is>
      </c>
      <c r="B9" s="77">
        <f>IF(ISBLANK(tbl_明細[[#This Row],[案件番号]]),"",COUNTIFS($A$3:A9,tbl_明細[[#This Row],[案件番号]],$AA$3:AA9,"&gt;0"))</f>
        <v/>
      </c>
      <c r="C9" s="209">
        <f>COUNTIFS($A$3:A9,tbl_明細[[#This Row],[案件番号]],$F$3:F9,tbl_明細[[#This Row],[仕入先]])</f>
        <v/>
      </c>
      <c r="D9" s="77">
        <f>_xlfn.XLOOKUP(tbl_明細[[#This Row],[案件番号]],tbl_採番[案件番号],tbl_採番[顧客],"",0,1)</f>
        <v/>
      </c>
      <c r="E9" s="209" t="inlineStr">
        <is>
          <t>PRD_SNJ_KDK_0001_01</t>
        </is>
      </c>
      <c r="F9" s="118">
        <f>IF(ISBLANK(tbl_明細[[#This Row],[仕入先（M)]]),_xlfn.XLOOKUP(tbl_明細[[#This Row],[商品ID]],商品マスタ[商品連番],商品マスタ[仕入先],"",0,1),tbl_明細[[#This Row],[仕入先（M)]])</f>
        <v/>
      </c>
      <c r="G9" s="112">
        <f>IF(ISBLANK(tbl_明細[[#This Row],[商品名（M)]]),_xlfn.XLOOKUP(tbl_明細[[#This Row],[商品ID]],商品マスタ[商品連番],商品マスタ[商品名],"",0,),tbl_明細[[#This Row],[商品名（M)]])</f>
        <v/>
      </c>
      <c r="H9" s="80">
        <f>IF(ISBLANK(tbl_明細[[#This Row],[仕入価格（M)]]),_xlfn.XLOOKUP(tbl_明細[[#This Row],[商品ID]],商品マスタ[商品連番],商品マスタ[仕入
単価],"",0,1),tbl_明細[[#This Row],[仕入価格（M)]])</f>
        <v/>
      </c>
      <c r="I9" s="80">
        <f>_xlfn.XLOOKUP(tbl_明細[[#This Row],[商品ID]],商品マスタ[商品連番],商品マスタ[国内定価
（15％）],"",0,1)</f>
        <v/>
      </c>
      <c r="J9" s="85" t="n">
        <v>24000</v>
      </c>
      <c r="K9" s="209" t="n">
        <v>1.289</v>
      </c>
      <c r="L9" s="77">
        <f>_xlfn.XLOOKUP(tbl_明細[[#This Row],[商品ID]],商品マスタ[商品連番],商品マスタ[単位],"",0,1)</f>
        <v/>
      </c>
      <c r="M9" s="249">
        <f>1-tbl_明細[[#This Row],[仕入価格]]/tbl_明細[[#This Row],[販売価格（売値）]]</f>
        <v/>
      </c>
      <c r="N9" s="189">
        <f>_xlfn.XLOOKUP(tbl_明細[[#This Row],[商品ID]],商品マスタ[商品連番],商品マスタ[税率],"",0,1)</f>
        <v/>
      </c>
      <c r="O9" s="120" t="n"/>
      <c r="P9" s="209" t="n"/>
      <c r="Q9" s="85" t="n"/>
      <c r="R9" s="85" t="n"/>
      <c r="S9" s="209" t="n"/>
      <c r="T9" s="209" t="n"/>
      <c r="U9" s="79" t="n"/>
      <c r="V9" s="79" t="n"/>
      <c r="W9" s="113" t="n"/>
      <c r="X9" s="306">
        <f>tbl_明細[[#This Row],[仕入価格]]*tbl_明細[[#This Row],[数量]]+tbl_明細[[#This Row],[仕入価格（M)]]*tbl_明細[[#This Row],[数量（M)]]</f>
        <v/>
      </c>
      <c r="Y9" s="306">
        <f>tbl_明細[[#This Row],[販売価格（売値）]]*tbl_明細[[#This Row],[数量]]+tbl_明細[[#This Row],[販売価格（M)]]*tbl_明細[[#This Row],[数量（M)]]</f>
        <v/>
      </c>
      <c r="Z9" s="307">
        <f>_xlfn.XLOOKUP(tbl_明細[[#This Row],[案件番号]],tbl_案件追跡[案件番号],tbl_案件追跡[受注],"",0,1)</f>
        <v/>
      </c>
      <c r="AA9" s="228">
        <f>tbl_明細[[#This Row],[販売価格（売値）]]+tbl_明細[[#This Row],[販売価格（M)]]</f>
        <v/>
      </c>
      <c r="AB9" s="261">
        <f>tbl_明細[[#This Row],[販売価格（売値）]]*1.08+tbl_明細[[#This Row],[販売価格（M)]]*1.08</f>
        <v/>
      </c>
    </row>
    <row r="10">
      <c r="A10" s="70" t="inlineStr">
        <is>
          <t>2601-1002-S01</t>
        </is>
      </c>
      <c r="B10" s="77">
        <f>IF(ISBLANK(tbl_明細[[#This Row],[案件番号]]),"",COUNTIFS($A$3:A10,tbl_明細[[#This Row],[案件番号]],$AA$3:AA10,"&gt;0"))</f>
        <v/>
      </c>
      <c r="C10" s="209">
        <f>COUNTIFS($A$3:A10,tbl_明細[[#This Row],[案件番号]],$F$3:F10,tbl_明細[[#This Row],[仕入先]])</f>
        <v/>
      </c>
      <c r="D10" s="77">
        <f>_xlfn.XLOOKUP(tbl_明細[[#This Row],[案件番号]],tbl_採番[案件番号],tbl_採番[顧客],"",0,1)</f>
        <v/>
      </c>
      <c r="E10" s="209" t="inlineStr">
        <is>
          <t>PRD_SNJ_KDK_0001_01</t>
        </is>
      </c>
      <c r="F10" s="118">
        <f>IF(ISBLANK(tbl_明細[[#This Row],[仕入先（M)]]),_xlfn.XLOOKUP(tbl_明細[[#This Row],[商品ID]],商品マスタ[商品連番],商品マスタ[仕入先],"",0,1),tbl_明細[[#This Row],[仕入先（M)]])</f>
        <v/>
      </c>
      <c r="G10" s="112">
        <f>IF(ISBLANK(tbl_明細[[#This Row],[商品名（M)]]),_xlfn.XLOOKUP(tbl_明細[[#This Row],[商品ID]],商品マスタ[商品連番],商品マスタ[商品名],"",0,),tbl_明細[[#This Row],[商品名（M)]])</f>
        <v/>
      </c>
      <c r="H10" s="80">
        <f>IF(ISBLANK(tbl_明細[[#This Row],[仕入価格（M)]]),_xlfn.XLOOKUP(tbl_明細[[#This Row],[商品ID]],商品マスタ[商品連番],商品マスタ[仕入
単価],"",0,1),tbl_明細[[#This Row],[仕入価格（M)]])</f>
        <v/>
      </c>
      <c r="I10" s="80">
        <f>_xlfn.XLOOKUP(tbl_明細[[#This Row],[商品ID]],商品マスタ[商品連番],商品マスタ[国内定価
（15％）],"",0,1)</f>
        <v/>
      </c>
      <c r="J10" s="85" t="n">
        <v>24000</v>
      </c>
      <c r="K10" s="209" t="n">
        <v>1.177</v>
      </c>
      <c r="L10" s="77">
        <f>_xlfn.XLOOKUP(tbl_明細[[#This Row],[商品ID]],商品マスタ[商品連番],商品マスタ[単位],"",0,1)</f>
        <v/>
      </c>
      <c r="M10" s="249">
        <f>1-tbl_明細[[#This Row],[仕入価格]]/tbl_明細[[#This Row],[販売価格（売値）]]</f>
        <v/>
      </c>
      <c r="N10" s="189">
        <f>_xlfn.XLOOKUP(tbl_明細[[#This Row],[商品ID]],商品マスタ[商品連番],商品マスタ[税率],"",0,1)</f>
        <v/>
      </c>
      <c r="O10" s="120" t="n"/>
      <c r="P10" s="209" t="n"/>
      <c r="Q10" s="85" t="n"/>
      <c r="R10" s="85" t="n"/>
      <c r="S10" s="209" t="n"/>
      <c r="T10" s="209" t="n"/>
      <c r="U10" s="79" t="n"/>
      <c r="V10" s="79" t="n"/>
      <c r="W10" s="113" t="n"/>
      <c r="X10" s="306">
        <f>tbl_明細[[#This Row],[仕入価格]]*tbl_明細[[#This Row],[数量]]+tbl_明細[[#This Row],[仕入価格（M)]]*tbl_明細[[#This Row],[数量（M)]]</f>
        <v/>
      </c>
      <c r="Y10" s="306">
        <f>tbl_明細[[#This Row],[販売価格（売値）]]*tbl_明細[[#This Row],[数量]]+tbl_明細[[#This Row],[販売価格（M)]]*tbl_明細[[#This Row],[数量（M)]]</f>
        <v/>
      </c>
      <c r="Z10" s="307">
        <f>_xlfn.XLOOKUP(tbl_明細[[#This Row],[案件番号]],tbl_案件追跡[案件番号],tbl_案件追跡[受注],"",0,1)</f>
        <v/>
      </c>
      <c r="AA10" s="228">
        <f>tbl_明細[[#This Row],[販売価格（売値）]]+tbl_明細[[#This Row],[販売価格（M)]]</f>
        <v/>
      </c>
      <c r="AB10" s="261">
        <f>tbl_明細[[#This Row],[販売価格（売値）]]*1.08+tbl_明細[[#This Row],[販売価格（M)]]*1.08</f>
        <v/>
      </c>
    </row>
    <row r="11">
      <c r="A11" s="70" t="inlineStr">
        <is>
          <t>2601-1002-S01</t>
        </is>
      </c>
      <c r="B11" s="77">
        <f>IF(ISBLANK(tbl_明細[[#This Row],[案件番号]]),"",COUNTIFS($A$3:A11,tbl_明細[[#This Row],[案件番号]],$AA$3:AA11,"&gt;0"))</f>
        <v/>
      </c>
      <c r="C11" s="209">
        <f>COUNTIFS($A$3:A11,tbl_明細[[#This Row],[案件番号]],$F$3:F11,tbl_明細[[#This Row],[仕入先]])</f>
        <v/>
      </c>
      <c r="D11" s="77">
        <f>_xlfn.XLOOKUP(tbl_明細[[#This Row],[案件番号]],tbl_採番[案件番号],tbl_採番[顧客],"",0,1)</f>
        <v/>
      </c>
      <c r="E11" s="209" t="inlineStr">
        <is>
          <t>PRD_SNJ_KDK_0001_01</t>
        </is>
      </c>
      <c r="F11" s="118">
        <f>IF(ISBLANK(tbl_明細[[#This Row],[仕入先（M)]]),_xlfn.XLOOKUP(tbl_明細[[#This Row],[商品ID]],商品マスタ[商品連番],商品マスタ[仕入先],"",0,1),tbl_明細[[#This Row],[仕入先（M)]])</f>
        <v/>
      </c>
      <c r="G11" s="112">
        <f>IF(ISBLANK(tbl_明細[[#This Row],[商品名（M)]]),_xlfn.XLOOKUP(tbl_明細[[#This Row],[商品ID]],商品マスタ[商品連番],商品マスタ[商品名],"",0,),tbl_明細[[#This Row],[商品名（M)]])</f>
        <v/>
      </c>
      <c r="H11" s="80">
        <f>IF(ISBLANK(tbl_明細[[#This Row],[仕入価格（M)]]),_xlfn.XLOOKUP(tbl_明細[[#This Row],[商品ID]],商品マスタ[商品連番],商品マスタ[仕入
単価],"",0,1),tbl_明細[[#This Row],[仕入価格（M)]])</f>
        <v/>
      </c>
      <c r="I11" s="80">
        <f>_xlfn.XLOOKUP(tbl_明細[[#This Row],[商品ID]],商品マスタ[商品連番],商品マスタ[国内定価
（15％）],"",0,1)</f>
        <v/>
      </c>
      <c r="J11" s="85" t="n">
        <v>24000</v>
      </c>
      <c r="K11" s="209" t="n">
        <v>0.506</v>
      </c>
      <c r="L11" s="77">
        <f>_xlfn.XLOOKUP(tbl_明細[[#This Row],[商品ID]],商品マスタ[商品連番],商品マスタ[単位],"",0,1)</f>
        <v/>
      </c>
      <c r="M11" s="249">
        <f>1-tbl_明細[[#This Row],[仕入価格]]/tbl_明細[[#This Row],[販売価格（売値）]]</f>
        <v/>
      </c>
      <c r="N11" s="189">
        <f>_xlfn.XLOOKUP(tbl_明細[[#This Row],[商品ID]],商品マスタ[商品連番],商品マスタ[税率],"",0,1)</f>
        <v/>
      </c>
      <c r="O11" s="120" t="n"/>
      <c r="P11" s="209" t="n"/>
      <c r="Q11" s="85" t="n"/>
      <c r="R11" s="85" t="n"/>
      <c r="S11" s="209" t="n"/>
      <c r="T11" s="209" t="n"/>
      <c r="U11" s="79" t="n"/>
      <c r="V11" s="79" t="n"/>
      <c r="W11" s="113" t="n"/>
      <c r="X11" s="306">
        <f>tbl_明細[[#This Row],[仕入価格]]*tbl_明細[[#This Row],[数量]]+tbl_明細[[#This Row],[仕入価格（M)]]*tbl_明細[[#This Row],[数量（M)]]</f>
        <v/>
      </c>
      <c r="Y11" s="306">
        <f>tbl_明細[[#This Row],[販売価格（売値）]]*tbl_明細[[#This Row],[数量]]+tbl_明細[[#This Row],[販売価格（M)]]*tbl_明細[[#This Row],[数量（M)]]</f>
        <v/>
      </c>
      <c r="Z11" s="307">
        <f>_xlfn.XLOOKUP(tbl_明細[[#This Row],[案件番号]],tbl_案件追跡[案件番号],tbl_案件追跡[受注],"",0,1)</f>
        <v/>
      </c>
      <c r="AA11" s="228">
        <f>tbl_明細[[#This Row],[販売価格（売値）]]+tbl_明細[[#This Row],[販売価格（M)]]</f>
        <v/>
      </c>
      <c r="AB11" s="261">
        <f>tbl_明細[[#This Row],[販売価格（売値）]]*1.08+tbl_明細[[#This Row],[販売価格（M)]]*1.08</f>
        <v/>
      </c>
    </row>
    <row r="12">
      <c r="A12" s="70" t="inlineStr">
        <is>
          <t>2601-1002-S01</t>
        </is>
      </c>
      <c r="B12" s="77">
        <f>IF(ISBLANK(tbl_明細[[#This Row],[案件番号]]),"",COUNTIFS($A$3:A12,tbl_明細[[#This Row],[案件番号]],$AA$3:AA12,"&gt;0"))</f>
        <v/>
      </c>
      <c r="C12" s="209">
        <f>COUNTIFS($A$3:A12,tbl_明細[[#This Row],[案件番号]],$F$3:F12,tbl_明細[[#This Row],[仕入先]])</f>
        <v/>
      </c>
      <c r="D12" s="77">
        <f>_xlfn.XLOOKUP(tbl_明細[[#This Row],[案件番号]],tbl_採番[案件番号],tbl_採番[顧客],"",0,1)</f>
        <v/>
      </c>
      <c r="E12" s="209" t="inlineStr">
        <is>
          <t>PRD_SNJ_KDK_0001_01</t>
        </is>
      </c>
      <c r="F12" s="118">
        <f>IF(ISBLANK(tbl_明細[[#This Row],[仕入先（M)]]),_xlfn.XLOOKUP(tbl_明細[[#This Row],[商品ID]],商品マスタ[商品連番],商品マスタ[仕入先],"",0,1),tbl_明細[[#This Row],[仕入先（M)]])</f>
        <v/>
      </c>
      <c r="G12" s="112">
        <f>IF(ISBLANK(tbl_明細[[#This Row],[商品名（M)]]),_xlfn.XLOOKUP(tbl_明細[[#This Row],[商品ID]],商品マスタ[商品連番],商品マスタ[商品名],"",0,),tbl_明細[[#This Row],[商品名（M)]])</f>
        <v/>
      </c>
      <c r="H12" s="80">
        <f>IF(ISBLANK(tbl_明細[[#This Row],[仕入価格（M)]]),_xlfn.XLOOKUP(tbl_明細[[#This Row],[商品ID]],商品マスタ[商品連番],商品マスタ[仕入
単価],"",0,1),tbl_明細[[#This Row],[仕入価格（M)]])</f>
        <v/>
      </c>
      <c r="I12" s="80">
        <f>_xlfn.XLOOKUP(tbl_明細[[#This Row],[商品ID]],商品マスタ[商品連番],商品マスタ[国内定価
（15％）],"",0,1)</f>
        <v/>
      </c>
      <c r="J12" s="85" t="n">
        <v>24000</v>
      </c>
      <c r="K12" s="209" t="n">
        <v>0.8149999999999999</v>
      </c>
      <c r="L12" s="77">
        <f>_xlfn.XLOOKUP(tbl_明細[[#This Row],[商品ID]],商品マスタ[商品連番],商品マスタ[単位],"",0,1)</f>
        <v/>
      </c>
      <c r="M12" s="249">
        <f>1-tbl_明細[[#This Row],[仕入価格]]/tbl_明細[[#This Row],[販売価格（売値）]]</f>
        <v/>
      </c>
      <c r="N12" s="189">
        <f>_xlfn.XLOOKUP(tbl_明細[[#This Row],[商品ID]],商品マスタ[商品連番],商品マスタ[税率],"",0,1)</f>
        <v/>
      </c>
      <c r="O12" s="120" t="n"/>
      <c r="P12" s="209" t="n"/>
      <c r="Q12" s="85" t="n"/>
      <c r="R12" s="85" t="n"/>
      <c r="S12" s="209" t="n"/>
      <c r="T12" s="209" t="n"/>
      <c r="U12" s="79" t="n"/>
      <c r="V12" s="79" t="n"/>
      <c r="W12" s="113" t="n"/>
      <c r="X12" s="306">
        <f>tbl_明細[[#This Row],[仕入価格]]*tbl_明細[[#This Row],[数量]]+tbl_明細[[#This Row],[仕入価格（M)]]*tbl_明細[[#This Row],[数量（M)]]</f>
        <v/>
      </c>
      <c r="Y12" s="306">
        <f>tbl_明細[[#This Row],[販売価格（売値）]]*tbl_明細[[#This Row],[数量]]+tbl_明細[[#This Row],[販売価格（M)]]*tbl_明細[[#This Row],[数量（M)]]</f>
        <v/>
      </c>
      <c r="Z12" s="307">
        <f>_xlfn.XLOOKUP(tbl_明細[[#This Row],[案件番号]],tbl_案件追跡[案件番号],tbl_案件追跡[受注],"",0,1)</f>
        <v/>
      </c>
      <c r="AA12" s="228">
        <f>tbl_明細[[#This Row],[販売価格（売値）]]+tbl_明細[[#This Row],[販売価格（M)]]</f>
        <v/>
      </c>
      <c r="AB12" s="261">
        <f>tbl_明細[[#This Row],[販売価格（売値）]]*1.08+tbl_明細[[#This Row],[販売価格（M)]]*1.08</f>
        <v/>
      </c>
    </row>
    <row r="13">
      <c r="A13" s="70" t="inlineStr">
        <is>
          <t>2601-1002-S01</t>
        </is>
      </c>
      <c r="B13" s="77">
        <f>IF(ISBLANK(tbl_明細[[#This Row],[案件番号]]),"",COUNTIFS($A$3:A13,tbl_明細[[#This Row],[案件番号]],$AA$3:AA13,"&gt;0"))</f>
        <v/>
      </c>
      <c r="C13" s="209">
        <f>COUNTIFS($A$3:A13,tbl_明細[[#This Row],[案件番号]],$F$3:F13,tbl_明細[[#This Row],[仕入先]])</f>
        <v/>
      </c>
      <c r="D13" s="77">
        <f>_xlfn.XLOOKUP(tbl_明細[[#This Row],[案件番号]],tbl_採番[案件番号],tbl_採番[顧客],"",0,1)</f>
        <v/>
      </c>
      <c r="E13" s="209" t="inlineStr">
        <is>
          <t>other</t>
        </is>
      </c>
      <c r="F13" s="118">
        <f>IF(ISBLANK(tbl_明細[[#This Row],[仕入先（M)]]),_xlfn.XLOOKUP(tbl_明細[[#This Row],[商品ID]],商品マスタ[商品連番],商品マスタ[仕入先],"",0,1),tbl_明細[[#This Row],[仕入先（M)]])</f>
        <v/>
      </c>
      <c r="G13" s="112">
        <f>IF(ISBLANK(tbl_明細[[#This Row],[商品名（M)]]),_xlfn.XLOOKUP(tbl_明細[[#This Row],[商品ID]],商品マスタ[商品連番],商品マスタ[商品名],"",0,),tbl_明細[[#This Row],[商品名（M)]])</f>
        <v/>
      </c>
      <c r="H13" s="80">
        <f>IF(ISBLANK(tbl_明細[[#This Row],[仕入価格（M)]]),_xlfn.XLOOKUP(tbl_明細[[#This Row],[商品ID]],商品マスタ[商品連番],商品マスタ[仕入
単価],"",0,1),tbl_明細[[#This Row],[仕入価格（M)]])</f>
        <v/>
      </c>
      <c r="I13" s="80">
        <f>_xlfn.XLOOKUP(tbl_明細[[#This Row],[商品ID]],商品マスタ[商品連番],商品マスタ[国内定価
（15％）],"",0,1)</f>
        <v/>
      </c>
      <c r="J13" s="85" t="n"/>
      <c r="K13" s="209" t="n"/>
      <c r="L13" s="77">
        <f>_xlfn.XLOOKUP(tbl_明細[[#This Row],[商品ID]],商品マスタ[商品連番],商品マスタ[単位],"",0,1)</f>
        <v/>
      </c>
      <c r="M13" s="249">
        <f>1-tbl_明細[[#This Row],[仕入価格]]/tbl_明細[[#This Row],[販売価格（売値）]]</f>
        <v/>
      </c>
      <c r="N13" s="189">
        <f>_xlfn.XLOOKUP(tbl_明細[[#This Row],[商品ID]],商品マスタ[商品連番],商品マスタ[税率],"",0,1)</f>
        <v/>
      </c>
      <c r="O13" s="120" t="inlineStr">
        <is>
          <t>狩人の蔵</t>
        </is>
      </c>
      <c r="P13" s="209" t="inlineStr">
        <is>
          <t>送料（大阪）</t>
        </is>
      </c>
      <c r="Q13" s="85" t="n">
        <v>1620</v>
      </c>
      <c r="R13" s="85" t="n">
        <v>1620</v>
      </c>
      <c r="S13" s="209" t="n">
        <v>1</v>
      </c>
      <c r="T13" s="209" t="inlineStr">
        <is>
          <t>式</t>
        </is>
      </c>
      <c r="U13" s="79" t="n">
        <v>0.1</v>
      </c>
      <c r="V13" s="79" t="n"/>
      <c r="W13" s="113" t="n"/>
      <c r="X13" s="306">
        <f>tbl_明細[[#This Row],[仕入価格]]*tbl_明細[[#This Row],[数量]]+tbl_明細[[#This Row],[仕入価格（M)]]*tbl_明細[[#This Row],[数量（M)]]</f>
        <v/>
      </c>
      <c r="Y13" s="306">
        <f>tbl_明細[[#This Row],[販売価格（売値）]]*tbl_明細[[#This Row],[数量]]+tbl_明細[[#This Row],[販売価格（M)]]*tbl_明細[[#This Row],[数量（M)]]</f>
        <v/>
      </c>
      <c r="Z13" s="307">
        <f>_xlfn.XLOOKUP(tbl_明細[[#This Row],[案件番号]],tbl_案件追跡[案件番号],tbl_案件追跡[受注],"",0,1)</f>
        <v/>
      </c>
      <c r="AA13" s="228">
        <f>tbl_明細[[#This Row],[販売価格（売値）]]+tbl_明細[[#This Row],[販売価格（M)]]</f>
        <v/>
      </c>
      <c r="AB13" s="261">
        <f>tbl_明細[[#This Row],[販売価格（売値）]]*1.08+tbl_明細[[#This Row],[販売価格（M)]]*1.08</f>
        <v/>
      </c>
    </row>
    <row r="14">
      <c r="A14" s="70" t="inlineStr">
        <is>
          <t>2601-1003-A01</t>
        </is>
      </c>
      <c r="B14" s="77">
        <f>IF(ISBLANK(tbl_明細[[#This Row],[案件番号]]),"",COUNTIFS($A$3:A14,tbl_明細[[#This Row],[案件番号]],$AA$3:AA14,"&gt;0"))</f>
        <v/>
      </c>
      <c r="C14" s="209">
        <f>COUNTIFS($A$3:A14,tbl_明細[[#This Row],[案件番号]],$F$3:F14,tbl_明細[[#This Row],[仕入先]])</f>
        <v/>
      </c>
      <c r="D14" s="77">
        <f>_xlfn.XLOOKUP(tbl_明細[[#This Row],[案件番号]],tbl_採番[案件番号],tbl_採番[顧客],"",0,1)</f>
        <v/>
      </c>
      <c r="E14" s="209" t="inlineStr">
        <is>
          <t>PRD_SNJ_KYS_0005_01</t>
        </is>
      </c>
      <c r="F14" s="118">
        <f>IF(ISBLANK(tbl_明細[[#This Row],[仕入先（M)]]),_xlfn.XLOOKUP(tbl_明細[[#This Row],[商品ID]],商品マスタ[商品連番],商品マスタ[仕入先],"",0,1),tbl_明細[[#This Row],[仕入先（M)]])</f>
        <v/>
      </c>
      <c r="G14" s="112">
        <f>IF(ISBLANK(tbl_明細[[#This Row],[商品名（M)]]),_xlfn.XLOOKUP(tbl_明細[[#This Row],[商品ID]],商品マスタ[商品連番],商品マスタ[商品名],"",0,),tbl_明細[[#This Row],[商品名（M)]])</f>
        <v/>
      </c>
      <c r="H14" s="80">
        <f>IF(ISBLANK(tbl_明細[[#This Row],[仕入価格（M)]]),_xlfn.XLOOKUP(tbl_明細[[#This Row],[商品ID]],商品マスタ[商品連番],商品マスタ[仕入
単価],"",0,1),tbl_明細[[#This Row],[仕入価格（M)]])</f>
        <v/>
      </c>
      <c r="I14" s="80">
        <f>_xlfn.XLOOKUP(tbl_明細[[#This Row],[商品ID]],商品マスタ[商品連番],商品マスタ[国内定価
（15％）],"",0,1)</f>
        <v/>
      </c>
      <c r="J14" s="85" t="n">
        <v>1806</v>
      </c>
      <c r="K14" s="209" t="n">
        <v>10</v>
      </c>
      <c r="L14" s="77">
        <f>_xlfn.XLOOKUP(tbl_明細[[#This Row],[商品ID]],商品マスタ[商品連番],商品マスタ[単位],"",0,1)</f>
        <v/>
      </c>
      <c r="M14" s="249">
        <f>1-tbl_明細[[#This Row],[仕入価格]]/tbl_明細[[#This Row],[販売価格（売値）]]</f>
        <v/>
      </c>
      <c r="N14" s="189">
        <f>_xlfn.XLOOKUP(tbl_明細[[#This Row],[商品ID]],商品マスタ[商品連番],商品マスタ[税率],"",0,1)</f>
        <v/>
      </c>
      <c r="O14" s="120" t="n"/>
      <c r="P14" s="209" t="n"/>
      <c r="Q14" s="85" t="n"/>
      <c r="R14" s="85" t="n"/>
      <c r="S14" s="209" t="n"/>
      <c r="T14" s="209" t="n"/>
      <c r="U14" s="79" t="n"/>
      <c r="V14" s="79" t="n"/>
      <c r="W14" s="113" t="n"/>
      <c r="X14" s="306">
        <f>tbl_明細[[#This Row],[仕入価格]]*tbl_明細[[#This Row],[数量]]+tbl_明細[[#This Row],[仕入価格（M)]]*tbl_明細[[#This Row],[数量（M)]]</f>
        <v/>
      </c>
      <c r="Y14" s="306">
        <f>tbl_明細[[#This Row],[販売価格（売値）]]*tbl_明細[[#This Row],[数量]]+tbl_明細[[#This Row],[販売価格（M)]]*tbl_明細[[#This Row],[数量（M)]]</f>
        <v/>
      </c>
      <c r="Z14" s="307">
        <f>_xlfn.XLOOKUP(tbl_明細[[#This Row],[案件番号]],tbl_案件追跡[案件番号],tbl_案件追跡[受注],"",0,1)</f>
        <v/>
      </c>
      <c r="AA14" s="228">
        <f>tbl_明細[[#This Row],[販売価格（売値）]]+tbl_明細[[#This Row],[販売価格（M)]]</f>
        <v/>
      </c>
      <c r="AB14" s="261">
        <f>tbl_明細[[#This Row],[販売価格（売値）]]*1.08+tbl_明細[[#This Row],[販売価格（M)]]*1.08</f>
        <v/>
      </c>
    </row>
    <row r="15">
      <c r="A15" s="70" t="inlineStr">
        <is>
          <t>2601-1003-A01</t>
        </is>
      </c>
      <c r="B15" s="77">
        <f>IF(ISBLANK(tbl_明細[[#This Row],[案件番号]]),"",COUNTIFS($A$3:A15,tbl_明細[[#This Row],[案件番号]],$AA$3:AA15,"&gt;0"))</f>
        <v/>
      </c>
      <c r="C15" s="209">
        <f>COUNTIFS($A$3:A15,tbl_明細[[#This Row],[案件番号]],$F$3:F15,tbl_明細[[#This Row],[仕入先]])</f>
        <v/>
      </c>
      <c r="D15" s="77">
        <f>_xlfn.XLOOKUP(tbl_明細[[#This Row],[案件番号]],tbl_採番[案件番号],tbl_採番[顧客],"",0,1)</f>
        <v/>
      </c>
      <c r="E15" s="209" t="inlineStr">
        <is>
          <t>other</t>
        </is>
      </c>
      <c r="F15" s="118">
        <f>IF(ISBLANK(tbl_明細[[#This Row],[仕入先（M)]]),_xlfn.XLOOKUP(tbl_明細[[#This Row],[商品ID]],商品マスタ[商品連番],商品マスタ[仕入先],"",0,1),tbl_明細[[#This Row],[仕入先（M)]])</f>
        <v/>
      </c>
      <c r="G15" s="112">
        <f>IF(ISBLANK(tbl_明細[[#This Row],[商品名（M)]]),_xlfn.XLOOKUP(tbl_明細[[#This Row],[商品ID]],商品マスタ[商品連番],商品マスタ[商品名],"",0,),tbl_明細[[#This Row],[商品名（M)]])</f>
        <v/>
      </c>
      <c r="H15" s="80">
        <f>IF(ISBLANK(tbl_明細[[#This Row],[仕入価格（M)]]),_xlfn.XLOOKUP(tbl_明細[[#This Row],[商品ID]],商品マスタ[商品連番],商品マスタ[仕入
単価],"",0,1),tbl_明細[[#This Row],[仕入価格（M)]])</f>
        <v/>
      </c>
      <c r="I15" s="80">
        <f>_xlfn.XLOOKUP(tbl_明細[[#This Row],[商品ID]],商品マスタ[商品連番],商品マスタ[国内定価
（15％）],"",0,1)</f>
        <v/>
      </c>
      <c r="J15" s="85" t="n"/>
      <c r="K15" s="209" t="n"/>
      <c r="L15" s="77">
        <f>_xlfn.XLOOKUP(tbl_明細[[#This Row],[商品ID]],商品マスタ[商品連番],商品マスタ[単位],"",0,1)</f>
        <v/>
      </c>
      <c r="M15" s="249">
        <f>1-tbl_明細[[#This Row],[仕入価格]]/tbl_明細[[#This Row],[販売価格（売値）]]</f>
        <v/>
      </c>
      <c r="N15" s="189">
        <f>_xlfn.XLOOKUP(tbl_明細[[#This Row],[商品ID]],商品マスタ[商品連番],商品マスタ[税率],"",0,1)</f>
        <v/>
      </c>
      <c r="O15" s="120" t="inlineStr">
        <is>
          <t>協栄製茶　壱之庄</t>
        </is>
      </c>
      <c r="P15" s="209" t="inlineStr">
        <is>
          <t>送料（140サイズ）</t>
        </is>
      </c>
      <c r="Q15" s="85" t="n">
        <v>1300</v>
      </c>
      <c r="R15" s="85" t="n">
        <v>1300</v>
      </c>
      <c r="S15" s="209" t="n">
        <v>1</v>
      </c>
      <c r="T15" s="209" t="inlineStr">
        <is>
          <t>式</t>
        </is>
      </c>
      <c r="U15" s="79" t="n">
        <v>0.1</v>
      </c>
      <c r="V15" s="79" t="n"/>
      <c r="W15" s="113" t="n"/>
      <c r="X15" s="306">
        <f>tbl_明細[[#This Row],[仕入価格]]*tbl_明細[[#This Row],[数量]]+tbl_明細[[#This Row],[仕入価格（M)]]*tbl_明細[[#This Row],[数量（M)]]</f>
        <v/>
      </c>
      <c r="Y15" s="306">
        <f>tbl_明細[[#This Row],[販売価格（売値）]]*tbl_明細[[#This Row],[数量]]+tbl_明細[[#This Row],[販売価格（M)]]*tbl_明細[[#This Row],[数量（M)]]</f>
        <v/>
      </c>
      <c r="Z15" s="307">
        <f>_xlfn.XLOOKUP(tbl_明細[[#This Row],[案件番号]],tbl_案件追跡[案件番号],tbl_案件追跡[受注],"",0,1)</f>
        <v/>
      </c>
      <c r="AA15" s="228">
        <f>tbl_明細[[#This Row],[販売価格（売値）]]+tbl_明細[[#This Row],[販売価格（M)]]</f>
        <v/>
      </c>
      <c r="AB15" s="261">
        <f>tbl_明細[[#This Row],[販売価格（売値）]]*1.08+tbl_明細[[#This Row],[販売価格（M)]]*1.08</f>
        <v/>
      </c>
    </row>
    <row r="16">
      <c r="A16" s="70" t="inlineStr">
        <is>
          <t>2601-1004-S01</t>
        </is>
      </c>
      <c r="B16" s="77">
        <f>IF(ISBLANK(tbl_明細[[#This Row],[案件番号]]),"",COUNTIFS($A$3:A16,tbl_明細[[#This Row],[案件番号]],$AA$3:AA16,"&gt;0"))</f>
        <v/>
      </c>
      <c r="C16" s="209">
        <f>COUNTIFS($A$3:A16,tbl_明細[[#This Row],[案件番号]],$F$3:F16,tbl_明細[[#This Row],[仕入先]])</f>
        <v/>
      </c>
      <c r="D16" s="77">
        <f>_xlfn.XLOOKUP(tbl_明細[[#This Row],[案件番号]],tbl_採番[案件番号],tbl_採番[顧客],"",0,1)</f>
        <v/>
      </c>
      <c r="E16" s="209" t="inlineStr">
        <is>
          <t>PRD_SNJ_APK_0002_01</t>
        </is>
      </c>
      <c r="F16" s="118">
        <f>IF(ISBLANK(tbl_明細[[#This Row],[仕入先（M)]]),_xlfn.XLOOKUP(tbl_明細[[#This Row],[商品ID]],商品マスタ[商品連番],商品マスタ[仕入先],"",0,1),tbl_明細[[#This Row],[仕入先（M)]])</f>
        <v/>
      </c>
      <c r="G16" s="112">
        <f>IF(ISBLANK(tbl_明細[[#This Row],[商品名（M)]]),_xlfn.XLOOKUP(tbl_明細[[#This Row],[商品ID]],商品マスタ[商品連番],商品マスタ[商品名],"",0,),tbl_明細[[#This Row],[商品名（M)]])</f>
        <v/>
      </c>
      <c r="H16" s="80">
        <f>IF(ISBLANK(tbl_明細[[#This Row],[仕入価格（M)]]),_xlfn.XLOOKUP(tbl_明細[[#This Row],[商品ID]],商品マスタ[商品連番],商品マスタ[仕入
単価],"",0,1),tbl_明細[[#This Row],[仕入価格（M)]])</f>
        <v/>
      </c>
      <c r="I16" s="80">
        <f>_xlfn.XLOOKUP(tbl_明細[[#This Row],[商品ID]],商品マスタ[商品連番],商品マスタ[国内定価
（15％）],"",0,1)</f>
        <v/>
      </c>
      <c r="J16" s="85" t="n">
        <v>5300</v>
      </c>
      <c r="K16" s="209" t="n">
        <v>5</v>
      </c>
      <c r="L16" s="77">
        <f>_xlfn.XLOOKUP(tbl_明細[[#This Row],[商品ID]],商品マスタ[商品連番],商品マスタ[単位],"",0,1)</f>
        <v/>
      </c>
      <c r="M16" s="249">
        <f>1-tbl_明細[[#This Row],[仕入価格]]/tbl_明細[[#This Row],[販売価格（売値）]]</f>
        <v/>
      </c>
      <c r="N16" s="189">
        <f>_xlfn.XLOOKUP(tbl_明細[[#This Row],[商品ID]],商品マスタ[商品連番],商品マスタ[税率],"",0,1)</f>
        <v/>
      </c>
      <c r="O16" s="120" t="n"/>
      <c r="P16" s="209" t="n"/>
      <c r="Q16" s="85" t="n"/>
      <c r="R16" s="85" t="n"/>
      <c r="S16" s="209" t="n"/>
      <c r="T16" s="209" t="n"/>
      <c r="U16" s="79" t="n"/>
      <c r="V16" s="79" t="n"/>
      <c r="W16" s="113" t="n"/>
      <c r="X16" s="306">
        <f>tbl_明細[[#This Row],[仕入価格]]*tbl_明細[[#This Row],[数量]]+tbl_明細[[#This Row],[仕入価格（M)]]*tbl_明細[[#This Row],[数量（M)]]</f>
        <v/>
      </c>
      <c r="Y16" s="306">
        <f>tbl_明細[[#This Row],[販売価格（売値）]]*tbl_明細[[#This Row],[数量]]+tbl_明細[[#This Row],[販売価格（M)]]*tbl_明細[[#This Row],[数量（M)]]</f>
        <v/>
      </c>
      <c r="Z16" s="307">
        <f>_xlfn.XLOOKUP(tbl_明細[[#This Row],[案件番号]],tbl_案件追跡[案件番号],tbl_案件追跡[受注],"",0,1)</f>
        <v/>
      </c>
      <c r="AA16" s="228">
        <f>tbl_明細[[#This Row],[販売価格（売値）]]+tbl_明細[[#This Row],[販売価格（M)]]</f>
        <v/>
      </c>
      <c r="AB16" s="261">
        <f>tbl_明細[[#This Row],[販売価格（売値）]]*1.08+tbl_明細[[#This Row],[販売価格（M)]]*1.08</f>
        <v/>
      </c>
    </row>
    <row r="17">
      <c r="A17" s="70" t="inlineStr">
        <is>
          <t>2601-1004-S01</t>
        </is>
      </c>
      <c r="B17" s="77">
        <f>IF(ISBLANK(tbl_明細[[#This Row],[案件番号]]),"",COUNTIFS($A$3:A17,tbl_明細[[#This Row],[案件番号]],$AA$3:AA17,"&gt;0"))</f>
        <v/>
      </c>
      <c r="C17" s="209">
        <f>COUNTIFS($A$3:A17,tbl_明細[[#This Row],[案件番号]],$F$3:F17,tbl_明細[[#This Row],[仕入先]])</f>
        <v/>
      </c>
      <c r="D17" s="77">
        <f>_xlfn.XLOOKUP(tbl_明細[[#This Row],[案件番号]],tbl_採番[案件番号],tbl_採番[顧客],"",0,1)</f>
        <v/>
      </c>
      <c r="E17" s="209" t="inlineStr">
        <is>
          <t>other</t>
        </is>
      </c>
      <c r="F17" s="118">
        <f>IF(ISBLANK(tbl_明細[[#This Row],[仕入先（M)]]),_xlfn.XLOOKUP(tbl_明細[[#This Row],[商品ID]],商品マスタ[商品連番],商品マスタ[仕入先],"",0,1),tbl_明細[[#This Row],[仕入先（M)]])</f>
        <v/>
      </c>
      <c r="G17" s="112">
        <f>IF(ISBLANK(tbl_明細[[#This Row],[商品名（M)]]),_xlfn.XLOOKUP(tbl_明細[[#This Row],[商品ID]],商品マスタ[商品連番],商品マスタ[商品名],"",0,),tbl_明細[[#This Row],[商品名（M)]])</f>
        <v/>
      </c>
      <c r="H17" s="80">
        <f>IF(ISBLANK(tbl_明細[[#This Row],[仕入価格（M)]]),_xlfn.XLOOKUP(tbl_明細[[#This Row],[商品ID]],商品マスタ[商品連番],商品マスタ[仕入
単価],"",0,1),tbl_明細[[#This Row],[仕入価格（M)]])</f>
        <v/>
      </c>
      <c r="I17" s="80">
        <f>_xlfn.XLOOKUP(tbl_明細[[#This Row],[商品ID]],商品マスタ[商品連番],商品マスタ[国内定価
（15％）],"",0,1)</f>
        <v/>
      </c>
      <c r="J17" s="85" t="n"/>
      <c r="K17" s="209" t="n"/>
      <c r="L17" s="77">
        <f>_xlfn.XLOOKUP(tbl_明細[[#This Row],[商品ID]],商品マスタ[商品連番],商品マスタ[単位],"",0,1)</f>
        <v/>
      </c>
      <c r="M17" s="249">
        <f>1-tbl_明細[[#This Row],[仕入価格]]/tbl_明細[[#This Row],[販売価格（売値）]]</f>
        <v/>
      </c>
      <c r="N17" s="189">
        <f>_xlfn.XLOOKUP(tbl_明細[[#This Row],[商品ID]],商品マスタ[商品連番],商品マスタ[税率],"",0,1)</f>
        <v/>
      </c>
      <c r="O17" s="120" t="inlineStr">
        <is>
          <t>あぷかの森</t>
        </is>
      </c>
      <c r="P17" s="209" t="inlineStr">
        <is>
          <t>送料（大阪）</t>
        </is>
      </c>
      <c r="Q17" s="85" t="n">
        <v>2060</v>
      </c>
      <c r="R17" s="85" t="n">
        <v>2060</v>
      </c>
      <c r="S17" s="209" t="n">
        <v>1</v>
      </c>
      <c r="T17" s="209" t="inlineStr">
        <is>
          <t>式</t>
        </is>
      </c>
      <c r="U17" s="79" t="n">
        <v>0.1</v>
      </c>
      <c r="V17" s="79" t="n"/>
      <c r="W17" s="113" t="n"/>
      <c r="X17" s="306">
        <f>tbl_明細[[#This Row],[仕入価格]]*tbl_明細[[#This Row],[数量]]+tbl_明細[[#This Row],[仕入価格（M)]]*tbl_明細[[#This Row],[数量（M)]]</f>
        <v/>
      </c>
      <c r="Y17" s="306">
        <f>tbl_明細[[#This Row],[販売価格（売値）]]*tbl_明細[[#This Row],[数量]]+tbl_明細[[#This Row],[販売価格（M)]]*tbl_明細[[#This Row],[数量（M)]]</f>
        <v/>
      </c>
      <c r="Z17" s="307">
        <f>_xlfn.XLOOKUP(tbl_明細[[#This Row],[案件番号]],tbl_案件追跡[案件番号],tbl_案件追跡[受注],"",0,1)</f>
        <v/>
      </c>
      <c r="AA17" s="228">
        <f>tbl_明細[[#This Row],[販売価格（売値）]]+tbl_明細[[#This Row],[販売価格（M)]]</f>
        <v/>
      </c>
      <c r="AB17" s="261">
        <f>tbl_明細[[#This Row],[販売価格（売値）]]*1.08+tbl_明細[[#This Row],[販売価格（M)]]*1.08</f>
        <v/>
      </c>
    </row>
    <row r="18">
      <c r="A18" s="70" t="inlineStr">
        <is>
          <t>2601-1005-S01</t>
        </is>
      </c>
      <c r="B18" s="77">
        <f>IF(ISBLANK(tbl_明細[[#This Row],[案件番号]]),"",COUNTIFS($A$3:A18,tbl_明細[[#This Row],[案件番号]],$AA$3:AA18,"&gt;0"))</f>
        <v/>
      </c>
      <c r="C18" s="209">
        <f>COUNTIFS($A$3:A18,tbl_明細[[#This Row],[案件番号]],$F$3:F18,tbl_明細[[#This Row],[仕入先]])</f>
        <v/>
      </c>
      <c r="D18" s="77">
        <f>_xlfn.XLOOKUP(tbl_明細[[#This Row],[案件番号]],tbl_採番[案件番号],tbl_採番[顧客],"",0,1)</f>
        <v/>
      </c>
      <c r="E18" s="209" t="inlineStr">
        <is>
          <t>PRD_SNJ_KDK_0002_01</t>
        </is>
      </c>
      <c r="F18" s="118">
        <f>IF(ISBLANK(tbl_明細[[#This Row],[仕入先（M)]]),_xlfn.XLOOKUP(tbl_明細[[#This Row],[商品ID]],商品マスタ[商品連番],商品マスタ[仕入先],"",0,1),tbl_明細[[#This Row],[仕入先（M)]])</f>
        <v/>
      </c>
      <c r="G18" s="112">
        <f>IF(ISBLANK(tbl_明細[[#This Row],[商品名（M)]]),_xlfn.XLOOKUP(tbl_明細[[#This Row],[商品ID]],商品マスタ[商品連番],商品マスタ[商品名],"",0,),tbl_明細[[#This Row],[商品名（M)]])</f>
        <v/>
      </c>
      <c r="H18" s="80">
        <f>IF(ISBLANK(tbl_明細[[#This Row],[仕入価格（M)]]),_xlfn.XLOOKUP(tbl_明細[[#This Row],[商品ID]],商品マスタ[商品連番],商品マスタ[仕入
単価],"",0,1),tbl_明細[[#This Row],[仕入価格（M)]])</f>
        <v/>
      </c>
      <c r="I18" s="80">
        <f>_xlfn.XLOOKUP(tbl_明細[[#This Row],[商品ID]],商品マスタ[商品連番],商品マスタ[国内定価
（15％）],"",0,1)</f>
        <v/>
      </c>
      <c r="J18" s="85" t="n">
        <v>18000</v>
      </c>
      <c r="K18" s="209" t="n">
        <v>1.363</v>
      </c>
      <c r="L18" s="77">
        <f>_xlfn.XLOOKUP(tbl_明細[[#This Row],[商品ID]],商品マスタ[商品連番],商品マスタ[単位],"",0,1)</f>
        <v/>
      </c>
      <c r="M18" s="249">
        <f>1-tbl_明細[[#This Row],[仕入価格]]/tbl_明細[[#This Row],[販売価格（売値）]]</f>
        <v/>
      </c>
      <c r="N18" s="189">
        <f>_xlfn.XLOOKUP(tbl_明細[[#This Row],[商品ID]],商品マスタ[商品連番],商品マスタ[税率],"",0,1)</f>
        <v/>
      </c>
      <c r="O18" s="120" t="n"/>
      <c r="P18" s="209" t="n"/>
      <c r="Q18" s="85" t="n"/>
      <c r="R18" s="85" t="n"/>
      <c r="S18" s="209" t="n"/>
      <c r="T18" s="209" t="n"/>
      <c r="U18" s="79" t="n"/>
      <c r="V18" s="79" t="n"/>
      <c r="W18" s="113" t="n"/>
      <c r="X18" s="306">
        <f>tbl_明細[[#This Row],[仕入価格]]*tbl_明細[[#This Row],[数量]]+tbl_明細[[#This Row],[仕入価格（M)]]*tbl_明細[[#This Row],[数量（M)]]</f>
        <v/>
      </c>
      <c r="Y18" s="306">
        <f>tbl_明細[[#This Row],[販売価格（売値）]]*tbl_明細[[#This Row],[数量]]+tbl_明細[[#This Row],[販売価格（M)]]*tbl_明細[[#This Row],[数量（M)]]</f>
        <v/>
      </c>
      <c r="Z18" s="307">
        <f>_xlfn.XLOOKUP(tbl_明細[[#This Row],[案件番号]],tbl_案件追跡[案件番号],tbl_案件追跡[受注],"",0,1)</f>
        <v/>
      </c>
      <c r="AA18" s="228">
        <f>tbl_明細[[#This Row],[販売価格（売値）]]+tbl_明細[[#This Row],[販売価格（M)]]</f>
        <v/>
      </c>
      <c r="AB18" s="261">
        <f>tbl_明細[[#This Row],[販売価格（売値）]]*1.08+tbl_明細[[#This Row],[販売価格（M)]]*1.08</f>
        <v/>
      </c>
    </row>
    <row r="19">
      <c r="A19" s="70" t="inlineStr">
        <is>
          <t>2601-1005-S01</t>
        </is>
      </c>
      <c r="B19" s="77">
        <f>IF(ISBLANK(tbl_明細[[#This Row],[案件番号]]),"",COUNTIFS($A$3:A19,tbl_明細[[#This Row],[案件番号]],$AA$3:AA19,"&gt;0"))</f>
        <v/>
      </c>
      <c r="C19" s="209">
        <f>COUNTIFS($A$3:A19,tbl_明細[[#This Row],[案件番号]],$F$3:F19,tbl_明細[[#This Row],[仕入先]])</f>
        <v/>
      </c>
      <c r="D19" s="77">
        <f>_xlfn.XLOOKUP(tbl_明細[[#This Row],[案件番号]],tbl_採番[案件番号],tbl_採番[顧客],"",0,1)</f>
        <v/>
      </c>
      <c r="E19" s="209" t="inlineStr">
        <is>
          <t>PRD_SNJ_KDK_0002_01</t>
        </is>
      </c>
      <c r="F19" s="118">
        <f>IF(ISBLANK(tbl_明細[[#This Row],[仕入先（M)]]),_xlfn.XLOOKUP(tbl_明細[[#This Row],[商品ID]],商品マスタ[商品連番],商品マスタ[仕入先],"",0,1),tbl_明細[[#This Row],[仕入先（M)]])</f>
        <v/>
      </c>
      <c r="G19" s="112">
        <f>IF(ISBLANK(tbl_明細[[#This Row],[商品名（M)]]),_xlfn.XLOOKUP(tbl_明細[[#This Row],[商品ID]],商品マスタ[商品連番],商品マスタ[商品名],"",0,),tbl_明細[[#This Row],[商品名（M)]])</f>
        <v/>
      </c>
      <c r="H19" s="80">
        <f>IF(ISBLANK(tbl_明細[[#This Row],[仕入価格（M)]]),_xlfn.XLOOKUP(tbl_明細[[#This Row],[商品ID]],商品マスタ[商品連番],商品マスタ[仕入
単価],"",0,1),tbl_明細[[#This Row],[仕入価格（M)]])</f>
        <v/>
      </c>
      <c r="I19" s="80">
        <f>_xlfn.XLOOKUP(tbl_明細[[#This Row],[商品ID]],商品マスタ[商品連番],商品マスタ[国内定価
（15％）],"",0,1)</f>
        <v/>
      </c>
      <c r="J19" s="85" t="n">
        <v>18000</v>
      </c>
      <c r="K19" s="209" t="n">
        <v>1.32</v>
      </c>
      <c r="L19" s="77">
        <f>_xlfn.XLOOKUP(tbl_明細[[#This Row],[商品ID]],商品マスタ[商品連番],商品マスタ[単位],"",0,1)</f>
        <v/>
      </c>
      <c r="M19" s="249">
        <f>1-tbl_明細[[#This Row],[仕入価格]]/tbl_明細[[#This Row],[販売価格（売値）]]</f>
        <v/>
      </c>
      <c r="N19" s="189">
        <f>_xlfn.XLOOKUP(tbl_明細[[#This Row],[商品ID]],商品マスタ[商品連番],商品マスタ[税率],"",0,1)</f>
        <v/>
      </c>
      <c r="O19" s="120" t="n"/>
      <c r="P19" s="209" t="n"/>
      <c r="Q19" s="85" t="n"/>
      <c r="R19" s="85" t="n"/>
      <c r="S19" s="209" t="n"/>
      <c r="T19" s="209" t="n"/>
      <c r="U19" s="79" t="n"/>
      <c r="V19" s="79" t="n"/>
      <c r="W19" s="113" t="n"/>
      <c r="X19" s="306">
        <f>tbl_明細[[#This Row],[仕入価格]]*tbl_明細[[#This Row],[数量]]+tbl_明細[[#This Row],[仕入価格（M)]]*tbl_明細[[#This Row],[数量（M)]]</f>
        <v/>
      </c>
      <c r="Y19" s="306">
        <f>tbl_明細[[#This Row],[販売価格（売値）]]*tbl_明細[[#This Row],[数量]]+tbl_明細[[#This Row],[販売価格（M)]]*tbl_明細[[#This Row],[数量（M)]]</f>
        <v/>
      </c>
      <c r="Z19" s="307">
        <f>_xlfn.XLOOKUP(tbl_明細[[#This Row],[案件番号]],tbl_案件追跡[案件番号],tbl_案件追跡[受注],"",0,1)</f>
        <v/>
      </c>
      <c r="AA19" s="228">
        <f>tbl_明細[[#This Row],[販売価格（売値）]]+tbl_明細[[#This Row],[販売価格（M)]]</f>
        <v/>
      </c>
      <c r="AB19" s="261">
        <f>tbl_明細[[#This Row],[販売価格（売値）]]*1.08+tbl_明細[[#This Row],[販売価格（M)]]*1.08</f>
        <v/>
      </c>
    </row>
    <row r="20">
      <c r="A20" s="70" t="inlineStr">
        <is>
          <t>2601-1005-S01</t>
        </is>
      </c>
      <c r="B20" s="77">
        <f>IF(ISBLANK(tbl_明細[[#This Row],[案件番号]]),"",COUNTIFS($A$3:A20,tbl_明細[[#This Row],[案件番号]],$AA$3:AA20,"&gt;0"))</f>
        <v/>
      </c>
      <c r="C20" s="209">
        <f>COUNTIFS($A$3:A20,tbl_明細[[#This Row],[案件番号]],$F$3:F20,tbl_明細[[#This Row],[仕入先]])</f>
        <v/>
      </c>
      <c r="D20" s="77">
        <f>_xlfn.XLOOKUP(tbl_明細[[#This Row],[案件番号]],tbl_採番[案件番号],tbl_採番[顧客],"",0,1)</f>
        <v/>
      </c>
      <c r="E20" s="209" t="inlineStr">
        <is>
          <t>other</t>
        </is>
      </c>
      <c r="F20" s="118">
        <f>IF(ISBLANK(tbl_明細[[#This Row],[仕入先（M)]]),_xlfn.XLOOKUP(tbl_明細[[#This Row],[商品ID]],商品マスタ[商品連番],商品マスタ[仕入先],"",0,1),tbl_明細[[#This Row],[仕入先（M)]])</f>
        <v/>
      </c>
      <c r="G20" s="112">
        <f>IF(ISBLANK(tbl_明細[[#This Row],[商品名（M)]]),_xlfn.XLOOKUP(tbl_明細[[#This Row],[商品ID]],商品マスタ[商品連番],商品マスタ[商品名],"",0,),tbl_明細[[#This Row],[商品名（M)]])</f>
        <v/>
      </c>
      <c r="H20" s="80">
        <f>IF(ISBLANK(tbl_明細[[#This Row],[仕入価格（M)]]),_xlfn.XLOOKUP(tbl_明細[[#This Row],[商品ID]],商品マスタ[商品連番],商品マスタ[仕入
単価],"",0,1),tbl_明細[[#This Row],[仕入価格（M)]])</f>
        <v/>
      </c>
      <c r="I20" s="80">
        <f>_xlfn.XLOOKUP(tbl_明細[[#This Row],[商品ID]],商品マスタ[商品連番],商品マスタ[国内定価
（15％）],"",0,1)</f>
        <v/>
      </c>
      <c r="J20" s="85" t="n"/>
      <c r="K20" s="209" t="n"/>
      <c r="L20" s="77">
        <f>_xlfn.XLOOKUP(tbl_明細[[#This Row],[商品ID]],商品マスタ[商品連番],商品マスタ[単位],"",0,1)</f>
        <v/>
      </c>
      <c r="M20" s="249">
        <f>1-tbl_明細[[#This Row],[仕入価格]]/tbl_明細[[#This Row],[販売価格（売値）]]</f>
        <v/>
      </c>
      <c r="N20" s="189">
        <f>_xlfn.XLOOKUP(tbl_明細[[#This Row],[商品ID]],商品マスタ[商品連番],商品マスタ[税率],"",0,1)</f>
        <v/>
      </c>
      <c r="O20" s="120" t="inlineStr">
        <is>
          <t>狩人の蔵</t>
        </is>
      </c>
      <c r="P20" s="209" t="inlineStr">
        <is>
          <t>送料（北海道）</t>
        </is>
      </c>
      <c r="Q20" s="85" t="n">
        <v>1050</v>
      </c>
      <c r="R20" s="85" t="n">
        <v>1100</v>
      </c>
      <c r="S20" s="209" t="n">
        <v>1</v>
      </c>
      <c r="T20" s="209" t="inlineStr">
        <is>
          <t>式</t>
        </is>
      </c>
      <c r="U20" s="79" t="n">
        <v>0.1</v>
      </c>
      <c r="V20" s="79" t="n"/>
      <c r="W20" s="113" t="n"/>
      <c r="X20" s="306">
        <f>tbl_明細[[#This Row],[仕入価格]]*tbl_明細[[#This Row],[数量]]+tbl_明細[[#This Row],[仕入価格（M)]]*tbl_明細[[#This Row],[数量（M)]]</f>
        <v/>
      </c>
      <c r="Y20" s="306">
        <f>tbl_明細[[#This Row],[販売価格（売値）]]*tbl_明細[[#This Row],[数量]]+tbl_明細[[#This Row],[販売価格（M)]]*tbl_明細[[#This Row],[数量（M)]]</f>
        <v/>
      </c>
      <c r="Z20" s="307">
        <f>_xlfn.XLOOKUP(tbl_明細[[#This Row],[案件番号]],tbl_案件追跡[案件番号],tbl_案件追跡[受注],"",0,1)</f>
        <v/>
      </c>
      <c r="AA20" s="228">
        <f>tbl_明細[[#This Row],[販売価格（売値）]]+tbl_明細[[#This Row],[販売価格（M)]]</f>
        <v/>
      </c>
      <c r="AB20" s="261">
        <f>tbl_明細[[#This Row],[販売価格（売値）]]*1.08+tbl_明細[[#This Row],[販売価格（M)]]*1.08</f>
        <v/>
      </c>
    </row>
    <row r="21">
      <c r="A21" s="70" t="inlineStr">
        <is>
          <t>2601-1006-S01</t>
        </is>
      </c>
      <c r="B21" s="77">
        <f>IF(ISBLANK(tbl_明細[[#This Row],[案件番号]]),"",COUNTIFS($A$3:A21,tbl_明細[[#This Row],[案件番号]],$AA$3:AA21,"&gt;0"))</f>
        <v/>
      </c>
      <c r="C21" s="209">
        <f>COUNTIFS($A$3:A21,tbl_明細[[#This Row],[案件番号]],$F$3:F21,tbl_明細[[#This Row],[仕入先]])</f>
        <v/>
      </c>
      <c r="D21" s="77">
        <f>_xlfn.XLOOKUP(tbl_明細[[#This Row],[案件番号]],tbl_採番[案件番号],tbl_採番[顧客],"",0,1)</f>
        <v/>
      </c>
      <c r="E21" s="209" t="inlineStr">
        <is>
          <t>PRD_SNJ_GGM_0097_01</t>
        </is>
      </c>
      <c r="F21" s="118">
        <f>IF(ISBLANK(tbl_明細[[#This Row],[仕入先（M)]]),_xlfn.XLOOKUP(tbl_明細[[#This Row],[商品ID]],商品マスタ[商品連番],商品マスタ[仕入先],"",0,1),tbl_明細[[#This Row],[仕入先（M)]])</f>
        <v/>
      </c>
      <c r="G21" s="112">
        <f>IF(ISBLANK(tbl_明細[[#This Row],[商品名（M)]]),_xlfn.XLOOKUP(tbl_明細[[#This Row],[商品ID]],商品マスタ[商品連番],商品マスタ[商品名],"",0,),tbl_明細[[#This Row],[商品名（M)]])</f>
        <v/>
      </c>
      <c r="H21" s="80">
        <f>IF(ISBLANK(tbl_明細[[#This Row],[仕入価格（M)]]),_xlfn.XLOOKUP(tbl_明細[[#This Row],[商品ID]],商品マスタ[商品連番],商品マスタ[仕入
単価],"",0,1),tbl_明細[[#This Row],[仕入価格（M)]])</f>
        <v/>
      </c>
      <c r="I21" s="80">
        <f>_xlfn.XLOOKUP(tbl_明細[[#This Row],[商品ID]],商品マスタ[商品連番],商品マスタ[国内定価
（15％）],"",0,1)</f>
        <v/>
      </c>
      <c r="J21" s="85" t="n">
        <v>5000</v>
      </c>
      <c r="K21" s="209" t="n">
        <v>2</v>
      </c>
      <c r="L21" s="77">
        <f>_xlfn.XLOOKUP(tbl_明細[[#This Row],[商品ID]],商品マスタ[商品連番],商品マスタ[単位],"",0,1)</f>
        <v/>
      </c>
      <c r="M21" s="249">
        <f>1-tbl_明細[[#This Row],[仕入価格]]/tbl_明細[[#This Row],[販売価格（売値）]]</f>
        <v/>
      </c>
      <c r="N21" s="189">
        <f>_xlfn.XLOOKUP(tbl_明細[[#This Row],[商品ID]],商品マスタ[商品連番],商品マスタ[税率],"",0,1)</f>
        <v/>
      </c>
      <c r="O21" s="120" t="n"/>
      <c r="P21" s="209" t="n"/>
      <c r="Q21" s="85" t="n"/>
      <c r="R21" s="85" t="n"/>
      <c r="S21" s="209" t="n"/>
      <c r="T21" s="209" t="n"/>
      <c r="U21" s="79" t="n"/>
      <c r="V21" s="79" t="n"/>
      <c r="W21" s="113" t="n"/>
      <c r="X21" s="306">
        <f>tbl_明細[[#This Row],[仕入価格]]*tbl_明細[[#This Row],[数量]]+tbl_明細[[#This Row],[仕入価格（M)]]*tbl_明細[[#This Row],[数量（M)]]</f>
        <v/>
      </c>
      <c r="Y21" s="306">
        <f>tbl_明細[[#This Row],[販売価格（売値）]]*tbl_明細[[#This Row],[数量]]+tbl_明細[[#This Row],[販売価格（M)]]*tbl_明細[[#This Row],[数量（M)]]</f>
        <v/>
      </c>
      <c r="Z21" s="307">
        <f>_xlfn.XLOOKUP(tbl_明細[[#This Row],[案件番号]],tbl_案件追跡[案件番号],tbl_案件追跡[受注],"",0,1)</f>
        <v/>
      </c>
      <c r="AA21" s="228">
        <f>tbl_明細[[#This Row],[販売価格（売値）]]+tbl_明細[[#This Row],[販売価格（M)]]</f>
        <v/>
      </c>
      <c r="AB21" s="261">
        <f>tbl_明細[[#This Row],[販売価格（売値）]]*1.08+tbl_明細[[#This Row],[販売価格（M)]]*1.08</f>
        <v/>
      </c>
    </row>
    <row r="22">
      <c r="A22" s="70" t="inlineStr">
        <is>
          <t>2601-1007-S01</t>
        </is>
      </c>
      <c r="B22" s="77">
        <f>IF(ISBLANK(tbl_明細[[#This Row],[案件番号]]),"",COUNTIFS($A$3:A22,tbl_明細[[#This Row],[案件番号]],$AA$3:AA22,"&gt;0"))</f>
        <v/>
      </c>
      <c r="C22" s="209">
        <f>COUNTIFS($A$3:A22,tbl_明細[[#This Row],[案件番号]],$F$3:F22,tbl_明細[[#This Row],[仕入先]])</f>
        <v/>
      </c>
      <c r="D22" s="77">
        <f>_xlfn.XLOOKUP(tbl_明細[[#This Row],[案件番号]],tbl_採番[案件番号],tbl_採番[顧客],"",0,1)</f>
        <v/>
      </c>
      <c r="E22" s="209" t="n"/>
      <c r="F22" s="118">
        <f>IF(ISBLANK(tbl_明細[[#This Row],[仕入先（M)]]),_xlfn.XLOOKUP(tbl_明細[[#This Row],[商品ID]],商品マスタ[商品連番],商品マスタ[仕入先],"",0,1),tbl_明細[[#This Row],[仕入先（M)]])</f>
        <v/>
      </c>
      <c r="G22" s="112">
        <f>IF(ISBLANK(tbl_明細[[#This Row],[商品名（M)]]),_xlfn.XLOOKUP(tbl_明細[[#This Row],[商品ID]],商品マスタ[商品連番],商品マスタ[商品名],"",0,),tbl_明細[[#This Row],[商品名（M)]])</f>
        <v/>
      </c>
      <c r="H22" s="80">
        <f>IF(ISBLANK(tbl_明細[[#This Row],[仕入価格（M)]]),_xlfn.XLOOKUP(tbl_明細[[#This Row],[商品ID]],商品マスタ[商品連番],商品マスタ[仕入
単価],"",0,1),tbl_明細[[#This Row],[仕入価格（M)]])</f>
        <v/>
      </c>
      <c r="I22" s="80">
        <f>_xlfn.XLOOKUP(tbl_明細[[#This Row],[商品ID]],商品マスタ[商品連番],商品マスタ[国内定価
（15％）],"",0,1)</f>
        <v/>
      </c>
      <c r="J22" s="85" t="n">
        <v>0</v>
      </c>
      <c r="K22" s="209" t="n"/>
      <c r="L22" s="77">
        <f>_xlfn.XLOOKUP(tbl_明細[[#This Row],[商品ID]],商品マスタ[商品連番],商品マスタ[単位],"",0,1)</f>
        <v/>
      </c>
      <c r="M22" s="249">
        <f>1-tbl_明細[[#This Row],[仕入価格]]/tbl_明細[[#This Row],[販売価格（売値）]]</f>
        <v/>
      </c>
      <c r="N22" s="189">
        <f>_xlfn.XLOOKUP(tbl_明細[[#This Row],[商品ID]],商品マスタ[商品連番],商品マスタ[税率],"",0,1)</f>
        <v/>
      </c>
      <c r="O22" s="120" t="inlineStr">
        <is>
          <t>あぷかの森</t>
        </is>
      </c>
      <c r="P22" s="209" t="inlineStr">
        <is>
          <t>鹿肉サンプル（ロース、内もも）</t>
        </is>
      </c>
      <c r="Q22" s="85" t="n">
        <v>0</v>
      </c>
      <c r="R22" s="85" t="n">
        <v>0</v>
      </c>
      <c r="S22" s="209" t="n">
        <v>1</v>
      </c>
      <c r="T22" s="209" t="inlineStr">
        <is>
          <t>式</t>
        </is>
      </c>
      <c r="U22" s="79" t="n">
        <v>0.1</v>
      </c>
      <c r="V22" s="79" t="n"/>
      <c r="W22" s="113" t="n"/>
      <c r="X22" s="306">
        <f>tbl_明細[[#This Row],[仕入価格]]*tbl_明細[[#This Row],[数量]]+tbl_明細[[#This Row],[仕入価格（M)]]*tbl_明細[[#This Row],[数量（M)]]</f>
        <v/>
      </c>
      <c r="Y22" s="306">
        <f>tbl_明細[[#This Row],[販売価格（売値）]]*tbl_明細[[#This Row],[数量]]+tbl_明細[[#This Row],[販売価格（M)]]*tbl_明細[[#This Row],[数量（M)]]</f>
        <v/>
      </c>
      <c r="Z22" s="307">
        <f>_xlfn.XLOOKUP(tbl_明細[[#This Row],[案件番号]],tbl_案件追跡[案件番号],tbl_案件追跡[受注],"",0,1)</f>
        <v/>
      </c>
      <c r="AA22" s="228">
        <f>tbl_明細[[#This Row],[販売価格（売値）]]+tbl_明細[[#This Row],[販売価格（M)]]</f>
        <v/>
      </c>
      <c r="AB22" s="261">
        <f>tbl_明細[[#This Row],[販売価格（売値）]]*1.08+tbl_明細[[#This Row],[販売価格（M)]]*1.08</f>
        <v/>
      </c>
    </row>
    <row r="23">
      <c r="A23" s="212" t="inlineStr">
        <is>
          <t>2602-1002-K01</t>
        </is>
      </c>
      <c r="B23" s="77">
        <f>IF(ISBLANK(tbl_明細[[#This Row],[案件番号]]),"",COUNTIFS($A$3:A23,tbl_明細[[#This Row],[案件番号]],$AA$3:AA23,"&gt;0"))</f>
        <v/>
      </c>
      <c r="C23" s="209">
        <f>COUNTIFS($A$3:A23,tbl_明細[[#This Row],[案件番号]],$F$3:F23,tbl_明細[[#This Row],[仕入先]])</f>
        <v/>
      </c>
      <c r="D23" s="77">
        <f>_xlfn.XLOOKUP(tbl_明細[[#This Row],[案件番号]],tbl_採番[案件番号],tbl_採番[顧客],"",0,1)</f>
        <v/>
      </c>
      <c r="E23" s="209" t="n"/>
      <c r="F23" s="118">
        <f>IF(ISBLANK(tbl_明細[[#This Row],[仕入先（M)]]),_xlfn.XLOOKUP(tbl_明細[[#This Row],[商品ID]],商品マスタ[商品連番],商品マスタ[仕入先],"",0,1),tbl_明細[[#This Row],[仕入先（M)]])</f>
        <v/>
      </c>
      <c r="G23" s="112">
        <f>IF(ISBLANK(tbl_明細[[#This Row],[商品名（M)]]),_xlfn.XLOOKUP(tbl_明細[[#This Row],[商品ID]],商品マスタ[商品連番],商品マスタ[商品名],"",0,),tbl_明細[[#This Row],[商品名（M)]])</f>
        <v/>
      </c>
      <c r="H23" s="80">
        <f>IF(ISBLANK(tbl_明細[[#This Row],[仕入価格（M)]]),_xlfn.XLOOKUP(tbl_明細[[#This Row],[商品ID]],商品マスタ[商品連番],商品マスタ[仕入
単価],"",0,1),tbl_明細[[#This Row],[仕入価格（M)]])</f>
        <v/>
      </c>
      <c r="I23" s="80">
        <f>_xlfn.XLOOKUP(tbl_明細[[#This Row],[商品ID]],商品マスタ[商品連番],商品マスタ[国内定価
（15％）],"",0,1)</f>
        <v/>
      </c>
      <c r="J23" s="85" t="n"/>
      <c r="K23" s="209" t="n"/>
      <c r="L23" s="77">
        <f>_xlfn.XLOOKUP(tbl_明細[[#This Row],[商品ID]],商品マスタ[商品連番],商品マスタ[単位],"",0,1)</f>
        <v/>
      </c>
      <c r="M23" s="249">
        <f>1-tbl_明細[[#This Row],[仕入価格]]/tbl_明細[[#This Row],[販売価格（売値）]]</f>
        <v/>
      </c>
      <c r="N23" s="189">
        <f>_xlfn.XLOOKUP(tbl_明細[[#This Row],[商品ID]],商品マスタ[商品連番],商品マスタ[税率],"",0,1)</f>
        <v/>
      </c>
      <c r="O23" s="120" t="inlineStr">
        <is>
          <t>ベジタブルワークス</t>
        </is>
      </c>
      <c r="P23" s="209" t="inlineStr">
        <is>
          <t>レトルトとうもろこし</t>
        </is>
      </c>
      <c r="Q23" s="85" t="n">
        <v>310</v>
      </c>
      <c r="R23" s="85">
        <f>396/1.08</f>
        <v/>
      </c>
      <c r="S23" s="209" t="n">
        <v>60</v>
      </c>
      <c r="T23" s="209" t="inlineStr">
        <is>
          <t>本</t>
        </is>
      </c>
      <c r="U23" s="79" t="n">
        <v>0.08</v>
      </c>
      <c r="V23" s="79" t="n"/>
      <c r="W23" s="113" t="n"/>
      <c r="X23" s="306">
        <f>tbl_明細[[#This Row],[仕入価格]]*tbl_明細[[#This Row],[数量]]+tbl_明細[[#This Row],[仕入価格（M)]]*tbl_明細[[#This Row],[数量（M)]]</f>
        <v/>
      </c>
      <c r="Y23" s="306">
        <f>tbl_明細[[#This Row],[販売価格（売値）]]*tbl_明細[[#This Row],[数量]]+tbl_明細[[#This Row],[販売価格（M)]]*tbl_明細[[#This Row],[数量（M)]]</f>
        <v/>
      </c>
      <c r="Z23" s="307">
        <f>_xlfn.XLOOKUP(tbl_明細[[#This Row],[案件番号]],tbl_案件追跡[案件番号],tbl_案件追跡[受注],"",0,1)</f>
        <v/>
      </c>
      <c r="AA23" s="228">
        <f>tbl_明細[[#This Row],[販売価格（売値）]]+tbl_明細[[#This Row],[販売価格（M)]]</f>
        <v/>
      </c>
      <c r="AB23" s="261">
        <f>tbl_明細[[#This Row],[販売価格（売値）]]*1.08+tbl_明細[[#This Row],[販売価格（M)]]*1.08</f>
        <v/>
      </c>
    </row>
    <row r="24">
      <c r="A24" s="212" t="inlineStr">
        <is>
          <t>2602-1002-K01</t>
        </is>
      </c>
      <c r="B24" s="77">
        <f>IF(ISBLANK(tbl_明細[[#This Row],[案件番号]]),"",COUNTIFS($A$3:A24,tbl_明細[[#This Row],[案件番号]],$AA$3:AA24,"&gt;0"))</f>
        <v/>
      </c>
      <c r="C24" s="209">
        <f>COUNTIFS($A$3:A24,tbl_明細[[#This Row],[案件番号]],$F$3:F24,tbl_明細[[#This Row],[仕入先]])</f>
        <v/>
      </c>
      <c r="D24" s="77">
        <f>_xlfn.XLOOKUP(tbl_明細[[#This Row],[案件番号]],tbl_採番[案件番号],tbl_採番[顧客],"",0,1)</f>
        <v/>
      </c>
      <c r="E24" s="209" t="n"/>
      <c r="F24" s="118">
        <f>IF(ISBLANK(tbl_明細[[#This Row],[仕入先（M)]]),_xlfn.XLOOKUP(tbl_明細[[#This Row],[商品ID]],商品マスタ[商品連番],商品マスタ[仕入先],"",0,1),tbl_明細[[#This Row],[仕入先（M)]])</f>
        <v/>
      </c>
      <c r="G24" s="112">
        <f>IF(ISBLANK(tbl_明細[[#This Row],[商品名（M)]]),_xlfn.XLOOKUP(tbl_明細[[#This Row],[商品ID]],商品マスタ[商品連番],商品マスタ[商品名],"",0,),tbl_明細[[#This Row],[商品名（M)]])</f>
        <v/>
      </c>
      <c r="H24" s="80">
        <f>IF(ISBLANK(tbl_明細[[#This Row],[仕入価格（M)]]),_xlfn.XLOOKUP(tbl_明細[[#This Row],[商品ID]],商品マスタ[商品連番],商品マスタ[仕入
単価],"",0,1),tbl_明細[[#This Row],[仕入価格（M)]])</f>
        <v/>
      </c>
      <c r="I24" s="80">
        <f>_xlfn.XLOOKUP(tbl_明細[[#This Row],[商品ID]],商品マスタ[商品連番],商品マスタ[国内定価
（15％）],"",0,1)</f>
        <v/>
      </c>
      <c r="J24" s="85" t="n"/>
      <c r="K24" s="209" t="n"/>
      <c r="L24" s="77">
        <f>_xlfn.XLOOKUP(tbl_明細[[#This Row],[商品ID]],商品マスタ[商品連番],商品マスタ[単位],"",0,1)</f>
        <v/>
      </c>
      <c r="M24" s="249">
        <f>1-tbl_明細[[#This Row],[仕入価格]]/tbl_明細[[#This Row],[販売価格（売値）]]</f>
        <v/>
      </c>
      <c r="N24" s="189">
        <f>_xlfn.XLOOKUP(tbl_明細[[#This Row],[商品ID]],商品マスタ[商品連番],商品マスタ[税率],"",0,1)</f>
        <v/>
      </c>
      <c r="O24" s="120" t="inlineStr">
        <is>
          <t>ベジタブルワークス</t>
        </is>
      </c>
      <c r="P24" s="209" t="inlineStr">
        <is>
          <t>レトルトとうもろこし　関西送料</t>
        </is>
      </c>
      <c r="Q24" s="85" t="n">
        <v>1300</v>
      </c>
      <c r="R24" s="85" t="n">
        <v>0</v>
      </c>
      <c r="S24" s="209" t="n">
        <v>1</v>
      </c>
      <c r="T24" s="209" t="inlineStr">
        <is>
          <t>式</t>
        </is>
      </c>
      <c r="U24" s="79" t="n">
        <v>0.1</v>
      </c>
      <c r="V24" s="79" t="n"/>
      <c r="W24" s="113" t="n"/>
      <c r="X24" s="306">
        <f>tbl_明細[[#This Row],[仕入価格]]*tbl_明細[[#This Row],[数量]]+tbl_明細[[#This Row],[仕入価格（M)]]*tbl_明細[[#This Row],[数量（M)]]</f>
        <v/>
      </c>
      <c r="Y24" s="306">
        <f>tbl_明細[[#This Row],[販売価格（売値）]]*tbl_明細[[#This Row],[数量]]+tbl_明細[[#This Row],[販売価格（M)]]*tbl_明細[[#This Row],[数量（M)]]</f>
        <v/>
      </c>
      <c r="Z24" s="307">
        <f>_xlfn.XLOOKUP(tbl_明細[[#This Row],[案件番号]],tbl_案件追跡[案件番号],tbl_案件追跡[受注],"",0,1)</f>
        <v/>
      </c>
      <c r="AA24" s="228">
        <f>tbl_明細[[#This Row],[販売価格（売値）]]+tbl_明細[[#This Row],[販売価格（M)]]</f>
        <v/>
      </c>
      <c r="AB24" s="261">
        <f>tbl_明細[[#This Row],[販売価格（売値）]]*1.08+tbl_明細[[#This Row],[販売価格（M)]]*1.08</f>
        <v/>
      </c>
    </row>
    <row r="25">
      <c r="A25" s="212" t="inlineStr">
        <is>
          <t>2602-1002-K01</t>
        </is>
      </c>
      <c r="B25" s="77">
        <f>IF(ISBLANK(tbl_明細[[#This Row],[案件番号]]),"",COUNTIFS($A$3:A25,tbl_明細[[#This Row],[案件番号]],$AA$3:AA25,"&gt;0"))</f>
        <v/>
      </c>
      <c r="C25" s="209">
        <f>COUNTIFS($A$3:A25,tbl_明細[[#This Row],[案件番号]],$F$3:F25,tbl_明細[[#This Row],[仕入先]])</f>
        <v/>
      </c>
      <c r="D25" s="77">
        <f>_xlfn.XLOOKUP(tbl_明細[[#This Row],[案件番号]],tbl_採番[案件番号],tbl_採番[顧客],"",0,1)</f>
        <v/>
      </c>
      <c r="E25" s="209" t="n"/>
      <c r="F25" s="118">
        <f>IF(ISBLANK(tbl_明細[[#This Row],[仕入先（M)]]),_xlfn.XLOOKUP(tbl_明細[[#This Row],[商品ID]],商品マスタ[商品連番],商品マスタ[仕入先],"",0,1),tbl_明細[[#This Row],[仕入先（M)]])</f>
        <v/>
      </c>
      <c r="G25" s="112">
        <f>IF(ISBLANK(tbl_明細[[#This Row],[商品名（M)]]),_xlfn.XLOOKUP(tbl_明細[[#This Row],[商品ID]],商品マスタ[商品連番],商品マスタ[商品名],"",0,),tbl_明細[[#This Row],[商品名（M)]])</f>
        <v/>
      </c>
      <c r="H25" s="80">
        <f>IF(ISBLANK(tbl_明細[[#This Row],[仕入価格（M)]]),_xlfn.XLOOKUP(tbl_明細[[#This Row],[商品ID]],商品マスタ[商品連番],商品マスタ[仕入
単価],"",0,1),tbl_明細[[#This Row],[仕入価格（M)]])</f>
        <v/>
      </c>
      <c r="I25" s="80">
        <f>_xlfn.XLOOKUP(tbl_明細[[#This Row],[商品ID]],商品マスタ[商品連番],商品マスタ[国内定価
（15％）],"",0,1)</f>
        <v/>
      </c>
      <c r="J25" s="85" t="n"/>
      <c r="K25" s="209" t="n"/>
      <c r="L25" s="77">
        <f>_xlfn.XLOOKUP(tbl_明細[[#This Row],[商品ID]],商品マスタ[商品連番],商品マスタ[単位],"",0,1)</f>
        <v/>
      </c>
      <c r="M25" s="249">
        <f>1-tbl_明細[[#This Row],[仕入価格]]/tbl_明細[[#This Row],[販売価格（売値）]]</f>
        <v/>
      </c>
      <c r="N25" s="189">
        <f>_xlfn.XLOOKUP(tbl_明細[[#This Row],[商品ID]],商品マスタ[商品連番],商品マスタ[税率],"",0,1)</f>
        <v/>
      </c>
      <c r="O25" s="120" t="inlineStr">
        <is>
          <t>有限会社小林食品</t>
        </is>
      </c>
      <c r="P25" s="209" t="inlineStr">
        <is>
          <t>オホーツク流氷ラーメン 　 かに（2食入り）</t>
        </is>
      </c>
      <c r="Q25" s="85" t="n">
        <v>390</v>
      </c>
      <c r="R25" s="85">
        <f>518/1.08</f>
        <v/>
      </c>
      <c r="S25" s="209" t="n">
        <v>16</v>
      </c>
      <c r="T25" s="209" t="inlineStr">
        <is>
          <t>袋</t>
        </is>
      </c>
      <c r="U25" s="79" t="n">
        <v>0.08</v>
      </c>
      <c r="V25" s="79" t="n"/>
      <c r="W25" s="113" t="n"/>
      <c r="X25" s="306">
        <f>tbl_明細[[#This Row],[仕入価格]]*tbl_明細[[#This Row],[数量]]+tbl_明細[[#This Row],[仕入価格（M)]]*tbl_明細[[#This Row],[数量（M)]]</f>
        <v/>
      </c>
      <c r="Y25" s="306">
        <f>tbl_明細[[#This Row],[販売価格（売値）]]*tbl_明細[[#This Row],[数量]]+tbl_明細[[#This Row],[販売価格（M)]]*tbl_明細[[#This Row],[数量（M)]]</f>
        <v/>
      </c>
      <c r="Z25" s="307">
        <f>_xlfn.XLOOKUP(tbl_明細[[#This Row],[案件番号]],tbl_案件追跡[案件番号],tbl_案件追跡[受注],"",0,1)</f>
        <v/>
      </c>
      <c r="AA25" s="228">
        <f>tbl_明細[[#This Row],[販売価格（売値）]]+tbl_明細[[#This Row],[販売価格（M)]]</f>
        <v/>
      </c>
      <c r="AB25" s="261">
        <f>tbl_明細[[#This Row],[販売価格（売値）]]*1.08+tbl_明細[[#This Row],[販売価格（M)]]*1.08</f>
        <v/>
      </c>
    </row>
    <row r="26">
      <c r="A26" s="212" t="inlineStr">
        <is>
          <t>2602-1002-K01</t>
        </is>
      </c>
      <c r="B26" s="77">
        <f>IF(ISBLANK(tbl_明細[[#This Row],[案件番号]]),"",COUNTIFS($A$3:A26,tbl_明細[[#This Row],[案件番号]],$AA$3:AA26,"&gt;0"))</f>
        <v/>
      </c>
      <c r="C26" s="209">
        <f>COUNTIFS($A$3:A26,tbl_明細[[#This Row],[案件番号]],$F$3:F26,tbl_明細[[#This Row],[仕入先]])</f>
        <v/>
      </c>
      <c r="D26" s="77">
        <f>_xlfn.XLOOKUP(tbl_明細[[#This Row],[案件番号]],tbl_採番[案件番号],tbl_採番[顧客],"",0,1)</f>
        <v/>
      </c>
      <c r="E26" s="209" t="n"/>
      <c r="F26" s="118">
        <f>IF(ISBLANK(tbl_明細[[#This Row],[仕入先（M)]]),_xlfn.XLOOKUP(tbl_明細[[#This Row],[商品ID]],商品マスタ[商品連番],商品マスタ[仕入先],"",0,1),tbl_明細[[#This Row],[仕入先（M)]])</f>
        <v/>
      </c>
      <c r="G26" s="112">
        <f>IF(ISBLANK(tbl_明細[[#This Row],[商品名（M)]]),_xlfn.XLOOKUP(tbl_明細[[#This Row],[商品ID]],商品マスタ[商品連番],商品マスタ[商品名],"",0,),tbl_明細[[#This Row],[商品名（M)]])</f>
        <v/>
      </c>
      <c r="H26" s="80">
        <f>IF(ISBLANK(tbl_明細[[#This Row],[仕入価格（M)]]),_xlfn.XLOOKUP(tbl_明細[[#This Row],[商品ID]],商品マスタ[商品連番],商品マスタ[仕入
単価],"",0,1),tbl_明細[[#This Row],[仕入価格（M)]])</f>
        <v/>
      </c>
      <c r="I26" s="80">
        <f>_xlfn.XLOOKUP(tbl_明細[[#This Row],[商品ID]],商品マスタ[商品連番],商品マスタ[国内定価
（15％）],"",0,1)</f>
        <v/>
      </c>
      <c r="J26" s="85" t="n"/>
      <c r="K26" s="209" t="n"/>
      <c r="L26" s="77">
        <f>_xlfn.XLOOKUP(tbl_明細[[#This Row],[商品ID]],商品マスタ[商品連番],商品マスタ[単位],"",0,1)</f>
        <v/>
      </c>
      <c r="M26" s="249">
        <f>1-tbl_明細[[#This Row],[仕入価格]]/tbl_明細[[#This Row],[販売価格（売値）]]</f>
        <v/>
      </c>
      <c r="N26" s="189">
        <f>_xlfn.XLOOKUP(tbl_明細[[#This Row],[商品ID]],商品マスタ[商品連番],商品マスタ[税率],"",0,1)</f>
        <v/>
      </c>
      <c r="O26" s="120" t="inlineStr">
        <is>
          <t>有限会社小林食品</t>
        </is>
      </c>
      <c r="P26" s="209" t="inlineStr">
        <is>
          <t>オホーツク流氷ラーメン 　 ホタテ（2食入り）</t>
        </is>
      </c>
      <c r="Q26" s="85" t="n">
        <v>390</v>
      </c>
      <c r="R26" s="85">
        <f>518/1.08</f>
        <v/>
      </c>
      <c r="S26" s="209" t="n">
        <v>18</v>
      </c>
      <c r="T26" s="209" t="inlineStr">
        <is>
          <t>袋</t>
        </is>
      </c>
      <c r="U26" s="79" t="n">
        <v>0.08</v>
      </c>
      <c r="V26" s="79" t="n"/>
      <c r="W26" s="113" t="n"/>
      <c r="X26" s="306">
        <f>tbl_明細[[#This Row],[仕入価格]]*tbl_明細[[#This Row],[数量]]+tbl_明細[[#This Row],[仕入価格（M)]]*tbl_明細[[#This Row],[数量（M)]]</f>
        <v/>
      </c>
      <c r="Y26" s="306">
        <f>tbl_明細[[#This Row],[販売価格（売値）]]*tbl_明細[[#This Row],[数量]]+tbl_明細[[#This Row],[販売価格（M)]]*tbl_明細[[#This Row],[数量（M)]]</f>
        <v/>
      </c>
      <c r="Z26" s="307">
        <f>_xlfn.XLOOKUP(tbl_明細[[#This Row],[案件番号]],tbl_案件追跡[案件番号],tbl_案件追跡[受注],"",0,1)</f>
        <v/>
      </c>
      <c r="AA26" s="228">
        <f>tbl_明細[[#This Row],[販売価格（売値）]]+tbl_明細[[#This Row],[販売価格（M)]]</f>
        <v/>
      </c>
      <c r="AB26" s="261">
        <f>tbl_明細[[#This Row],[販売価格（売値）]]*1.08+tbl_明細[[#This Row],[販売価格（M)]]*1.08</f>
        <v/>
      </c>
    </row>
    <row r="27">
      <c r="A27" s="212" t="inlineStr">
        <is>
          <t>2602-1002-K01</t>
        </is>
      </c>
      <c r="B27" s="77">
        <f>IF(ISBLANK(tbl_明細[[#This Row],[案件番号]]),"",COUNTIFS($A$3:A27,tbl_明細[[#This Row],[案件番号]],$AA$3:AA27,"&gt;0"))</f>
        <v/>
      </c>
      <c r="C27" s="209">
        <f>COUNTIFS($A$3:A27,tbl_明細[[#This Row],[案件番号]],$F$3:F27,tbl_明細[[#This Row],[仕入先]])</f>
        <v/>
      </c>
      <c r="D27" s="77">
        <f>_xlfn.XLOOKUP(tbl_明細[[#This Row],[案件番号]],tbl_採番[案件番号],tbl_採番[顧客],"",0,1)</f>
        <v/>
      </c>
      <c r="E27" s="209" t="n"/>
      <c r="F27" s="118">
        <f>IF(ISBLANK(tbl_明細[[#This Row],[仕入先（M)]]),_xlfn.XLOOKUP(tbl_明細[[#This Row],[商品ID]],商品マスタ[商品連番],商品マスタ[仕入先],"",0,1),tbl_明細[[#This Row],[仕入先（M)]])</f>
        <v/>
      </c>
      <c r="G27" s="112">
        <f>IF(ISBLANK(tbl_明細[[#This Row],[商品名（M)]]),_xlfn.XLOOKUP(tbl_明細[[#This Row],[商品ID]],商品マスタ[商品連番],商品マスタ[商品名],"",0,),tbl_明細[[#This Row],[商品名（M)]])</f>
        <v/>
      </c>
      <c r="H27" s="80">
        <f>IF(ISBLANK(tbl_明細[[#This Row],[仕入価格（M)]]),_xlfn.XLOOKUP(tbl_明細[[#This Row],[商品ID]],商品マスタ[商品連番],商品マスタ[仕入
単価],"",0,1),tbl_明細[[#This Row],[仕入価格（M)]])</f>
        <v/>
      </c>
      <c r="I27" s="80">
        <f>_xlfn.XLOOKUP(tbl_明細[[#This Row],[商品ID]],商品マスタ[商品連番],商品マスタ[国内定価
（15％）],"",0,1)</f>
        <v/>
      </c>
      <c r="J27" s="85" t="n"/>
      <c r="K27" s="209" t="n"/>
      <c r="L27" s="77">
        <f>_xlfn.XLOOKUP(tbl_明細[[#This Row],[商品ID]],商品マスタ[商品連番],商品マスタ[単位],"",0,1)</f>
        <v/>
      </c>
      <c r="M27" s="249">
        <f>1-tbl_明細[[#This Row],[仕入価格]]/tbl_明細[[#This Row],[販売価格（売値）]]</f>
        <v/>
      </c>
      <c r="N27" s="189">
        <f>_xlfn.XLOOKUP(tbl_明細[[#This Row],[商品ID]],商品マスタ[商品連番],商品マスタ[税率],"",0,1)</f>
        <v/>
      </c>
      <c r="O27" s="120" t="inlineStr">
        <is>
          <t>有限会社小林食品</t>
        </is>
      </c>
      <c r="P27" s="209" t="inlineStr">
        <is>
          <t>ズワイガニ風味ラーメン 　 味噌（1食入り）</t>
        </is>
      </c>
      <c r="Q27" s="85" t="n">
        <v>175</v>
      </c>
      <c r="R27" s="85">
        <f>238/1.08</f>
        <v/>
      </c>
      <c r="S27" s="209" t="n">
        <v>14</v>
      </c>
      <c r="T27" s="209" t="inlineStr">
        <is>
          <t>袋</t>
        </is>
      </c>
      <c r="U27" s="79" t="n">
        <v>0.08</v>
      </c>
      <c r="V27" s="79" t="n"/>
      <c r="W27" s="113" t="n"/>
      <c r="X27" s="306">
        <f>tbl_明細[[#This Row],[仕入価格]]*tbl_明細[[#This Row],[数量]]+tbl_明細[[#This Row],[仕入価格（M)]]*tbl_明細[[#This Row],[数量（M)]]</f>
        <v/>
      </c>
      <c r="Y27" s="306">
        <f>tbl_明細[[#This Row],[販売価格（売値）]]*tbl_明細[[#This Row],[数量]]+tbl_明細[[#This Row],[販売価格（M)]]*tbl_明細[[#This Row],[数量（M)]]</f>
        <v/>
      </c>
      <c r="Z27" s="307">
        <f>_xlfn.XLOOKUP(tbl_明細[[#This Row],[案件番号]],tbl_案件追跡[案件番号],tbl_案件追跡[受注],"",0,1)</f>
        <v/>
      </c>
      <c r="AA27" s="228">
        <f>tbl_明細[[#This Row],[販売価格（売値）]]+tbl_明細[[#This Row],[販売価格（M)]]</f>
        <v/>
      </c>
      <c r="AB27" s="261">
        <f>tbl_明細[[#This Row],[販売価格（売値）]]*1.08+tbl_明細[[#This Row],[販売価格（M)]]*1.08</f>
        <v/>
      </c>
    </row>
    <row r="28">
      <c r="A28" s="212" t="inlineStr">
        <is>
          <t>2602-1002-K01</t>
        </is>
      </c>
      <c r="B28" s="77">
        <f>IF(ISBLANK(tbl_明細[[#This Row],[案件番号]]),"",COUNTIFS($A$3:A28,tbl_明細[[#This Row],[案件番号]],$AA$3:AA28,"&gt;0"))</f>
        <v/>
      </c>
      <c r="C28" s="209">
        <f>COUNTIFS($A$3:A28,tbl_明細[[#This Row],[案件番号]],$F$3:F28,tbl_明細[[#This Row],[仕入先]])</f>
        <v/>
      </c>
      <c r="D28" s="77">
        <f>_xlfn.XLOOKUP(tbl_明細[[#This Row],[案件番号]],tbl_採番[案件番号],tbl_採番[顧客],"",0,1)</f>
        <v/>
      </c>
      <c r="E28" s="209" t="n"/>
      <c r="F28" s="118">
        <f>IF(ISBLANK(tbl_明細[[#This Row],[仕入先（M)]]),_xlfn.XLOOKUP(tbl_明細[[#This Row],[商品ID]],商品マスタ[商品連番],商品マスタ[仕入先],"",0,1),tbl_明細[[#This Row],[仕入先（M)]])</f>
        <v/>
      </c>
      <c r="G28" s="112">
        <f>IF(ISBLANK(tbl_明細[[#This Row],[商品名（M)]]),_xlfn.XLOOKUP(tbl_明細[[#This Row],[商品ID]],商品マスタ[商品連番],商品マスタ[商品名],"",0,),tbl_明細[[#This Row],[商品名（M)]])</f>
        <v/>
      </c>
      <c r="H28" s="80">
        <f>IF(ISBLANK(tbl_明細[[#This Row],[仕入価格（M)]]),_xlfn.XLOOKUP(tbl_明細[[#This Row],[商品ID]],商品マスタ[商品連番],商品マスタ[仕入
単価],"",0,1),tbl_明細[[#This Row],[仕入価格（M)]])</f>
        <v/>
      </c>
      <c r="I28" s="80">
        <f>_xlfn.XLOOKUP(tbl_明細[[#This Row],[商品ID]],商品マスタ[商品連番],商品マスタ[国内定価
（15％）],"",0,1)</f>
        <v/>
      </c>
      <c r="J28" s="85" t="n"/>
      <c r="K28" s="209" t="n"/>
      <c r="L28" s="77">
        <f>_xlfn.XLOOKUP(tbl_明細[[#This Row],[商品ID]],商品マスタ[商品連番],商品マスタ[単位],"",0,1)</f>
        <v/>
      </c>
      <c r="M28" s="249">
        <f>1-tbl_明細[[#This Row],[仕入価格]]/tbl_明細[[#This Row],[販売価格（売値）]]</f>
        <v/>
      </c>
      <c r="N28" s="189">
        <f>_xlfn.XLOOKUP(tbl_明細[[#This Row],[商品ID]],商品マスタ[商品連番],商品マスタ[税率],"",0,1)</f>
        <v/>
      </c>
      <c r="O28" s="120" t="inlineStr">
        <is>
          <t>有限会社小林食品</t>
        </is>
      </c>
      <c r="P28" s="209" t="inlineStr">
        <is>
          <t>ズワイガニ風味ラーメン 　 醤油（1食入り）</t>
        </is>
      </c>
      <c r="Q28" s="85" t="n">
        <v>175</v>
      </c>
      <c r="R28" s="85">
        <f>238/1.08</f>
        <v/>
      </c>
      <c r="S28" s="209" t="n">
        <v>13</v>
      </c>
      <c r="T28" s="209" t="inlineStr">
        <is>
          <t>袋</t>
        </is>
      </c>
      <c r="U28" s="79" t="n">
        <v>0.08</v>
      </c>
      <c r="V28" s="79" t="n"/>
      <c r="W28" s="113" t="n"/>
      <c r="X28" s="306">
        <f>tbl_明細[[#This Row],[仕入価格]]*tbl_明細[[#This Row],[数量]]+tbl_明細[[#This Row],[仕入価格（M)]]*tbl_明細[[#This Row],[数量（M)]]</f>
        <v/>
      </c>
      <c r="Y28" s="306">
        <f>tbl_明細[[#This Row],[販売価格（売値）]]*tbl_明細[[#This Row],[数量]]+tbl_明細[[#This Row],[販売価格（M)]]*tbl_明細[[#This Row],[数量（M)]]</f>
        <v/>
      </c>
      <c r="Z28" s="307">
        <f>_xlfn.XLOOKUP(tbl_明細[[#This Row],[案件番号]],tbl_案件追跡[案件番号],tbl_案件追跡[受注],"",0,1)</f>
        <v/>
      </c>
      <c r="AA28" s="228">
        <f>tbl_明細[[#This Row],[販売価格（売値）]]+tbl_明細[[#This Row],[販売価格（M)]]</f>
        <v/>
      </c>
      <c r="AB28" s="261">
        <f>tbl_明細[[#This Row],[販売価格（売値）]]*1.08+tbl_明細[[#This Row],[販売価格（M)]]*1.08</f>
        <v/>
      </c>
    </row>
    <row r="29">
      <c r="A29" s="212" t="inlineStr">
        <is>
          <t>2602-1003-S01</t>
        </is>
      </c>
      <c r="B29" s="77">
        <f>IF(ISBLANK(tbl_明細[[#This Row],[案件番号]]),"",COUNTIFS($A$3:A29,tbl_明細[[#This Row],[案件番号]],$AA$3:AA29,"&gt;0"))</f>
        <v/>
      </c>
      <c r="C29" s="209">
        <f>COUNTIFS($A$3:A29,tbl_明細[[#This Row],[案件番号]],$F$3:F29,tbl_明細[[#This Row],[仕入先]])</f>
        <v/>
      </c>
      <c r="D29" s="77">
        <f>_xlfn.XLOOKUP(tbl_明細[[#This Row],[案件番号]],tbl_採番[案件番号],tbl_採番[顧客],"",0,1)</f>
        <v/>
      </c>
      <c r="E29" s="209" t="inlineStr">
        <is>
          <t>PRD_SNJ_YAS_0001_01</t>
        </is>
      </c>
      <c r="F29" s="118">
        <f>IF(ISBLANK(tbl_明細[[#This Row],[仕入先（M)]]),_xlfn.XLOOKUP(tbl_明細[[#This Row],[商品ID]],商品マスタ[商品連番],商品マスタ[仕入先],"",0,1),tbl_明細[[#This Row],[仕入先（M)]])</f>
        <v/>
      </c>
      <c r="G29" s="112">
        <f>IF(ISBLANK(tbl_明細[[#This Row],[商品名（M)]]),_xlfn.XLOOKUP(tbl_明細[[#This Row],[商品ID]],商品マスタ[商品連番],商品マスタ[商品名],"",0,),tbl_明細[[#This Row],[商品名（M)]])</f>
        <v/>
      </c>
      <c r="H29" s="80">
        <f>IF(ISBLANK(tbl_明細[[#This Row],[仕入価格（M)]]),_xlfn.XLOOKUP(tbl_明細[[#This Row],[商品ID]],商品マスタ[商品連番],商品マスタ[仕入
単価],"",0,1),tbl_明細[[#This Row],[仕入価格（M)]])</f>
        <v/>
      </c>
      <c r="I29" s="80">
        <f>_xlfn.XLOOKUP(tbl_明細[[#This Row],[商品ID]],商品マスタ[商品連番],商品マスタ[国内定価
（15％）],"",0,1)</f>
        <v/>
      </c>
      <c r="J29" s="85" t="n">
        <v>600</v>
      </c>
      <c r="K29" s="209" t="n">
        <v>60</v>
      </c>
      <c r="L29" s="77">
        <f>_xlfn.XLOOKUP(tbl_明細[[#This Row],[商品ID]],商品マスタ[商品連番],商品マスタ[単位],"",0,1)</f>
        <v/>
      </c>
      <c r="M29" s="249">
        <f>1-tbl_明細[[#This Row],[仕入価格]]/tbl_明細[[#This Row],[販売価格（売値）]]</f>
        <v/>
      </c>
      <c r="N29" s="189">
        <f>_xlfn.XLOOKUP(tbl_明細[[#This Row],[商品ID]],商品マスタ[商品連番],商品マスタ[税率],"",0,1)</f>
        <v/>
      </c>
      <c r="O29" s="120" t="n"/>
      <c r="P29" s="209" t="n"/>
      <c r="Q29" s="85" t="n"/>
      <c r="R29" s="85" t="n"/>
      <c r="S29" s="209" t="n"/>
      <c r="T29" s="209" t="n"/>
      <c r="U29" s="79" t="n"/>
      <c r="V29" s="79" t="n"/>
      <c r="W29" s="113" t="n"/>
      <c r="X29" s="306">
        <f>tbl_明細[[#This Row],[仕入価格]]*tbl_明細[[#This Row],[数量]]+tbl_明細[[#This Row],[仕入価格（M)]]*tbl_明細[[#This Row],[数量（M)]]</f>
        <v/>
      </c>
      <c r="Y29" s="306">
        <f>tbl_明細[[#This Row],[販売価格（売値）]]*tbl_明細[[#This Row],[数量]]+tbl_明細[[#This Row],[販売価格（M)]]*tbl_明細[[#This Row],[数量（M)]]</f>
        <v/>
      </c>
      <c r="Z29" s="307">
        <f>_xlfn.XLOOKUP(tbl_明細[[#This Row],[案件番号]],tbl_案件追跡[案件番号],tbl_案件追跡[受注],"",0,1)</f>
        <v/>
      </c>
      <c r="AA29" s="228">
        <f>tbl_明細[[#This Row],[販売価格（売値）]]+tbl_明細[[#This Row],[販売価格（M)]]</f>
        <v/>
      </c>
      <c r="AB29" s="261">
        <f>tbl_明細[[#This Row],[販売価格（売値）]]*1.08+tbl_明細[[#This Row],[販売価格（M)]]*1.08</f>
        <v/>
      </c>
    </row>
    <row r="30">
      <c r="A30" s="212" t="inlineStr">
        <is>
          <t>2602-1003-S01</t>
        </is>
      </c>
      <c r="B30" s="77">
        <f>IF(ISBLANK(tbl_明細[[#This Row],[案件番号]]),"",COUNTIFS($A$3:A30,tbl_明細[[#This Row],[案件番号]],$AA$3:AA30,"&gt;0"))</f>
        <v/>
      </c>
      <c r="C30" s="209">
        <f>COUNTIFS($A$3:A30,tbl_明細[[#This Row],[案件番号]],$F$3:F30,tbl_明細[[#This Row],[仕入先]])</f>
        <v/>
      </c>
      <c r="D30" s="77">
        <f>_xlfn.XLOOKUP(tbl_明細[[#This Row],[案件番号]],tbl_採番[案件番号],tbl_採番[顧客],"",0,1)</f>
        <v/>
      </c>
      <c r="E30" s="209" t="inlineStr">
        <is>
          <t>PRD_SNJ_YAS_0002_01</t>
        </is>
      </c>
      <c r="F30" s="118">
        <f>IF(ISBLANK(tbl_明細[[#This Row],[仕入先（M)]]),_xlfn.XLOOKUP(tbl_明細[[#This Row],[商品ID]],商品マスタ[商品連番],商品マスタ[仕入先],"",0,1),tbl_明細[[#This Row],[仕入先（M)]])</f>
        <v/>
      </c>
      <c r="G30" s="112">
        <f>IF(ISBLANK(tbl_明細[[#This Row],[商品名（M)]]),_xlfn.XLOOKUP(tbl_明細[[#This Row],[商品ID]],商品マスタ[商品連番],商品マスタ[商品名],"",0,),tbl_明細[[#This Row],[商品名（M)]])</f>
        <v/>
      </c>
      <c r="H30" s="80">
        <f>IF(ISBLANK(tbl_明細[[#This Row],[仕入価格（M)]]),_xlfn.XLOOKUP(tbl_明細[[#This Row],[商品ID]],商品マスタ[商品連番],商品マスタ[仕入
単価],"",0,1),tbl_明細[[#This Row],[仕入価格（M)]])</f>
        <v/>
      </c>
      <c r="I30" s="80">
        <f>_xlfn.XLOOKUP(tbl_明細[[#This Row],[商品ID]],商品マスタ[商品連番],商品マスタ[国内定価
（15％）],"",0,1)</f>
        <v/>
      </c>
      <c r="J30" s="85" t="n">
        <v>1350</v>
      </c>
      <c r="K30" s="209" t="n">
        <v>60</v>
      </c>
      <c r="L30" s="77">
        <f>_xlfn.XLOOKUP(tbl_明細[[#This Row],[商品ID]],商品マスタ[商品連番],商品マスタ[単位],"",0,1)</f>
        <v/>
      </c>
      <c r="M30" s="249">
        <f>1-tbl_明細[[#This Row],[仕入価格]]/tbl_明細[[#This Row],[販売価格（売値）]]</f>
        <v/>
      </c>
      <c r="N30" s="189">
        <f>_xlfn.XLOOKUP(tbl_明細[[#This Row],[商品ID]],商品マスタ[商品連番],商品マスタ[税率],"",0,1)</f>
        <v/>
      </c>
      <c r="O30" s="120" t="n"/>
      <c r="P30" s="209" t="n"/>
      <c r="Q30" s="85" t="n"/>
      <c r="R30" s="85" t="n"/>
      <c r="S30" s="209" t="n"/>
      <c r="T30" s="209" t="n"/>
      <c r="U30" s="79" t="n"/>
      <c r="V30" s="79" t="n"/>
      <c r="W30" s="113" t="n"/>
      <c r="X30" s="306">
        <f>tbl_明細[[#This Row],[仕入価格]]*tbl_明細[[#This Row],[数量]]+tbl_明細[[#This Row],[仕入価格（M)]]*tbl_明細[[#This Row],[数量（M)]]</f>
        <v/>
      </c>
      <c r="Y30" s="306">
        <f>tbl_明細[[#This Row],[販売価格（売値）]]*tbl_明細[[#This Row],[数量]]+tbl_明細[[#This Row],[販売価格（M)]]*tbl_明細[[#This Row],[数量（M)]]</f>
        <v/>
      </c>
      <c r="Z30" s="307">
        <f>_xlfn.XLOOKUP(tbl_明細[[#This Row],[案件番号]],tbl_案件追跡[案件番号],tbl_案件追跡[受注],"",0,1)</f>
        <v/>
      </c>
      <c r="AA30" s="228">
        <f>tbl_明細[[#This Row],[販売価格（売値）]]+tbl_明細[[#This Row],[販売価格（M)]]</f>
        <v/>
      </c>
      <c r="AB30" s="261">
        <f>tbl_明細[[#This Row],[販売価格（売値）]]*1.08+tbl_明細[[#This Row],[販売価格（M)]]*1.08</f>
        <v/>
      </c>
    </row>
    <row r="31">
      <c r="A31" s="212" t="inlineStr">
        <is>
          <t>2602-1003-S01</t>
        </is>
      </c>
      <c r="B31" s="77">
        <f>IF(ISBLANK(tbl_明細[[#This Row],[案件番号]]),"",COUNTIFS($A$3:A31,tbl_明細[[#This Row],[案件番号]],$AA$3:AA31,"&gt;0"))</f>
        <v/>
      </c>
      <c r="C31" s="209">
        <f>COUNTIFS($A$3:A31,tbl_明細[[#This Row],[案件番号]],$F$3:F31,tbl_明細[[#This Row],[仕入先]])</f>
        <v/>
      </c>
      <c r="D31" s="77">
        <f>_xlfn.XLOOKUP(tbl_明細[[#This Row],[案件番号]],tbl_採番[案件番号],tbl_採番[顧客],"",0,1)</f>
        <v/>
      </c>
      <c r="E31" s="209" t="inlineStr">
        <is>
          <t>PRD_SNJ_YAS_0003_01</t>
        </is>
      </c>
      <c r="F31" s="118">
        <f>IF(ISBLANK(tbl_明細[[#This Row],[仕入先（M)]]),_xlfn.XLOOKUP(tbl_明細[[#This Row],[商品ID]],商品マスタ[商品連番],商品マスタ[仕入先],"",0,1),tbl_明細[[#This Row],[仕入先（M)]])</f>
        <v/>
      </c>
      <c r="G31" s="112">
        <f>IF(ISBLANK(tbl_明細[[#This Row],[商品名（M)]]),_xlfn.XLOOKUP(tbl_明細[[#This Row],[商品ID]],商品マスタ[商品連番],商品マスタ[商品名],"",0,),tbl_明細[[#This Row],[商品名（M)]])</f>
        <v/>
      </c>
      <c r="H31" s="80">
        <f>IF(ISBLANK(tbl_明細[[#This Row],[仕入価格（M)]]),_xlfn.XLOOKUP(tbl_明細[[#This Row],[商品ID]],商品マスタ[商品連番],商品マスタ[仕入
単価],"",0,1),tbl_明細[[#This Row],[仕入価格（M)]])</f>
        <v/>
      </c>
      <c r="I31" s="80">
        <f>_xlfn.XLOOKUP(tbl_明細[[#This Row],[商品ID]],商品マスタ[商品連番],商品マスタ[国内定価
（15％）],"",0,1)</f>
        <v/>
      </c>
      <c r="J31" s="85" t="n">
        <v>550</v>
      </c>
      <c r="K31" s="209" t="n">
        <v>60</v>
      </c>
      <c r="L31" s="77">
        <f>_xlfn.XLOOKUP(tbl_明細[[#This Row],[商品ID]],商品マスタ[商品連番],商品マスタ[単位],"",0,1)</f>
        <v/>
      </c>
      <c r="M31" s="249">
        <f>1-tbl_明細[[#This Row],[仕入価格]]/tbl_明細[[#This Row],[販売価格（売値）]]</f>
        <v/>
      </c>
      <c r="N31" s="189">
        <f>_xlfn.XLOOKUP(tbl_明細[[#This Row],[商品ID]],商品マスタ[商品連番],商品マスタ[税率],"",0,1)</f>
        <v/>
      </c>
      <c r="O31" s="120" t="n"/>
      <c r="P31" s="209" t="n"/>
      <c r="Q31" s="85" t="n"/>
      <c r="R31" s="85" t="n"/>
      <c r="S31" s="209" t="n"/>
      <c r="T31" s="209" t="n"/>
      <c r="U31" s="79" t="n"/>
      <c r="V31" s="79" t="n"/>
      <c r="W31" s="113" t="n"/>
      <c r="X31" s="306">
        <f>tbl_明細[[#This Row],[仕入価格]]*tbl_明細[[#This Row],[数量]]+tbl_明細[[#This Row],[仕入価格（M)]]*tbl_明細[[#This Row],[数量（M)]]</f>
        <v/>
      </c>
      <c r="Y31" s="306">
        <f>tbl_明細[[#This Row],[販売価格（売値）]]*tbl_明細[[#This Row],[数量]]+tbl_明細[[#This Row],[販売価格（M)]]*tbl_明細[[#This Row],[数量（M)]]</f>
        <v/>
      </c>
      <c r="Z31" s="307">
        <f>_xlfn.XLOOKUP(tbl_明細[[#This Row],[案件番号]],tbl_案件追跡[案件番号],tbl_案件追跡[受注],"",0,1)</f>
        <v/>
      </c>
      <c r="AA31" s="228">
        <f>tbl_明細[[#This Row],[販売価格（売値）]]+tbl_明細[[#This Row],[販売価格（M)]]</f>
        <v/>
      </c>
      <c r="AB31" s="261">
        <f>tbl_明細[[#This Row],[販売価格（売値）]]*1.08+tbl_明細[[#This Row],[販売価格（M)]]*1.08</f>
        <v/>
      </c>
    </row>
    <row r="32">
      <c r="A32" s="212" t="inlineStr">
        <is>
          <t>2602-1003-S01</t>
        </is>
      </c>
      <c r="B32" s="77">
        <f>IF(ISBLANK(tbl_明細[[#This Row],[案件番号]]),"",COUNTIFS($A$3:A32,tbl_明細[[#This Row],[案件番号]],$AA$3:AA32,"&gt;0"))</f>
        <v/>
      </c>
      <c r="C32" s="209">
        <f>COUNTIFS($A$3:A32,tbl_明細[[#This Row],[案件番号]],$F$3:F32,tbl_明細[[#This Row],[仕入先]])</f>
        <v/>
      </c>
      <c r="D32" s="77">
        <f>_xlfn.XLOOKUP(tbl_明細[[#This Row],[案件番号]],tbl_採番[案件番号],tbl_採番[顧客],"",0,1)</f>
        <v/>
      </c>
      <c r="E32" s="209" t="inlineStr">
        <is>
          <t>PRD_SNJ_YAS_0004_01</t>
        </is>
      </c>
      <c r="F32" s="118">
        <f>IF(ISBLANK(tbl_明細[[#This Row],[仕入先（M)]]),_xlfn.XLOOKUP(tbl_明細[[#This Row],[商品ID]],商品マスタ[商品連番],商品マスタ[仕入先],"",0,1),tbl_明細[[#This Row],[仕入先（M)]])</f>
        <v/>
      </c>
      <c r="G32" s="112">
        <f>IF(ISBLANK(tbl_明細[[#This Row],[商品名（M)]]),_xlfn.XLOOKUP(tbl_明細[[#This Row],[商品ID]],商品マスタ[商品連番],商品マスタ[商品名],"",0,),tbl_明細[[#This Row],[商品名（M)]])</f>
        <v/>
      </c>
      <c r="H32" s="80">
        <f>IF(ISBLANK(tbl_明細[[#This Row],[仕入価格（M)]]),_xlfn.XLOOKUP(tbl_明細[[#This Row],[商品ID]],商品マスタ[商品連番],商品マスタ[仕入
単価],"",0,1),tbl_明細[[#This Row],[仕入価格（M)]])</f>
        <v/>
      </c>
      <c r="I32" s="80">
        <f>_xlfn.XLOOKUP(tbl_明細[[#This Row],[商品ID]],商品マスタ[商品連番],商品マスタ[国内定価
（15％）],"",0,1)</f>
        <v/>
      </c>
      <c r="J32" s="85" t="n">
        <v>1200</v>
      </c>
      <c r="K32" s="209" t="n">
        <v>60</v>
      </c>
      <c r="L32" s="77">
        <f>_xlfn.XLOOKUP(tbl_明細[[#This Row],[商品ID]],商品マスタ[商品連番],商品マスタ[単位],"",0,1)</f>
        <v/>
      </c>
      <c r="M32" s="249">
        <f>1-tbl_明細[[#This Row],[仕入価格]]/tbl_明細[[#This Row],[販売価格（売値）]]</f>
        <v/>
      </c>
      <c r="N32" s="189">
        <f>_xlfn.XLOOKUP(tbl_明細[[#This Row],[商品ID]],商品マスタ[商品連番],商品マスタ[税率],"",0,1)</f>
        <v/>
      </c>
      <c r="O32" s="120" t="n"/>
      <c r="P32" s="209" t="n"/>
      <c r="Q32" s="85" t="n"/>
      <c r="R32" s="85" t="n"/>
      <c r="S32" s="209" t="n"/>
      <c r="T32" s="209" t="n"/>
      <c r="U32" s="79" t="n"/>
      <c r="V32" s="79" t="n"/>
      <c r="W32" s="113" t="n"/>
      <c r="X32" s="306">
        <f>tbl_明細[[#This Row],[仕入価格]]*tbl_明細[[#This Row],[数量]]+tbl_明細[[#This Row],[仕入価格（M)]]*tbl_明細[[#This Row],[数量（M)]]</f>
        <v/>
      </c>
      <c r="Y32" s="306">
        <f>tbl_明細[[#This Row],[販売価格（売値）]]*tbl_明細[[#This Row],[数量]]+tbl_明細[[#This Row],[販売価格（M)]]*tbl_明細[[#This Row],[数量（M)]]</f>
        <v/>
      </c>
      <c r="Z32" s="307">
        <f>_xlfn.XLOOKUP(tbl_明細[[#This Row],[案件番号]],tbl_案件追跡[案件番号],tbl_案件追跡[受注],"",0,1)</f>
        <v/>
      </c>
      <c r="AA32" s="228">
        <f>tbl_明細[[#This Row],[販売価格（売値）]]+tbl_明細[[#This Row],[販売価格（M)]]</f>
        <v/>
      </c>
      <c r="AB32" s="261">
        <f>tbl_明細[[#This Row],[販売価格（売値）]]*1.08+tbl_明細[[#This Row],[販売価格（M)]]*1.08</f>
        <v/>
      </c>
    </row>
    <row r="33">
      <c r="A33" s="212" t="inlineStr">
        <is>
          <t>2602-1003-S01</t>
        </is>
      </c>
      <c r="B33" s="77">
        <f>IF(ISBLANK(tbl_明細[[#This Row],[案件番号]]),"",COUNTIFS($A$3:A33,tbl_明細[[#This Row],[案件番号]],$AA$3:AA33,"&gt;0"))</f>
        <v/>
      </c>
      <c r="C33" s="209">
        <f>COUNTIFS($A$3:A33,tbl_明細[[#This Row],[案件番号]],$F$3:F33,tbl_明細[[#This Row],[仕入先]])</f>
        <v/>
      </c>
      <c r="D33" s="77">
        <f>_xlfn.XLOOKUP(tbl_明細[[#This Row],[案件番号]],tbl_採番[案件番号],tbl_採番[顧客],"",0,1)</f>
        <v/>
      </c>
      <c r="E33" s="209" t="inlineStr">
        <is>
          <t>PRD_SNJ_YAS_0006_01</t>
        </is>
      </c>
      <c r="F33" s="118">
        <f>IF(ISBLANK(tbl_明細[[#This Row],[仕入先（M)]]),_xlfn.XLOOKUP(tbl_明細[[#This Row],[商品ID]],商品マスタ[商品連番],商品マスタ[仕入先],"",0,1),tbl_明細[[#This Row],[仕入先（M)]])</f>
        <v/>
      </c>
      <c r="G33" s="112">
        <f>IF(ISBLANK(tbl_明細[[#This Row],[商品名（M)]]),_xlfn.XLOOKUP(tbl_明細[[#This Row],[商品ID]],商品マスタ[商品連番],商品マスタ[商品名],"",0,),tbl_明細[[#This Row],[商品名（M)]])</f>
        <v/>
      </c>
      <c r="H33" s="80">
        <f>IF(ISBLANK(tbl_明細[[#This Row],[仕入価格（M)]]),_xlfn.XLOOKUP(tbl_明細[[#This Row],[商品ID]],商品マスタ[商品連番],商品マスタ[仕入
単価],"",0,1),tbl_明細[[#This Row],[仕入価格（M)]])</f>
        <v/>
      </c>
      <c r="I33" s="80">
        <f>_xlfn.XLOOKUP(tbl_明細[[#This Row],[商品ID]],商品マスタ[商品連番],商品マスタ[国内定価
（15％）],"",0,1)</f>
        <v/>
      </c>
      <c r="J33" s="85" t="n">
        <v>2900</v>
      </c>
      <c r="K33" s="209" t="n">
        <v>30</v>
      </c>
      <c r="L33" s="77">
        <f>_xlfn.XLOOKUP(tbl_明細[[#This Row],[商品ID]],商品マスタ[商品連番],商品マスタ[単位],"",0,1)</f>
        <v/>
      </c>
      <c r="M33" s="249">
        <f>1-tbl_明細[[#This Row],[仕入価格]]/tbl_明細[[#This Row],[販売価格（売値）]]</f>
        <v/>
      </c>
      <c r="N33" s="189">
        <f>_xlfn.XLOOKUP(tbl_明細[[#This Row],[商品ID]],商品マスタ[商品連番],商品マスタ[税率],"",0,1)</f>
        <v/>
      </c>
      <c r="O33" s="120" t="n"/>
      <c r="P33" s="209" t="n"/>
      <c r="Q33" s="85" t="n"/>
      <c r="R33" s="85" t="n"/>
      <c r="S33" s="209" t="n"/>
      <c r="T33" s="209" t="n"/>
      <c r="U33" s="79" t="n"/>
      <c r="V33" s="79" t="n"/>
      <c r="W33" s="113" t="n"/>
      <c r="X33" s="306">
        <f>tbl_明細[[#This Row],[仕入価格]]*tbl_明細[[#This Row],[数量]]+tbl_明細[[#This Row],[仕入価格（M)]]*tbl_明細[[#This Row],[数量（M)]]</f>
        <v/>
      </c>
      <c r="Y33" s="306">
        <f>tbl_明細[[#This Row],[販売価格（売値）]]*tbl_明細[[#This Row],[数量]]+tbl_明細[[#This Row],[販売価格（M)]]*tbl_明細[[#This Row],[数量（M)]]</f>
        <v/>
      </c>
      <c r="Z33" s="307">
        <f>_xlfn.XLOOKUP(tbl_明細[[#This Row],[案件番号]],tbl_案件追跡[案件番号],tbl_案件追跡[受注],"",0,1)</f>
        <v/>
      </c>
      <c r="AA33" s="228">
        <f>tbl_明細[[#This Row],[販売価格（売値）]]+tbl_明細[[#This Row],[販売価格（M)]]</f>
        <v/>
      </c>
      <c r="AB33" s="261">
        <f>tbl_明細[[#This Row],[販売価格（売値）]]*1.08+tbl_明細[[#This Row],[販売価格（M)]]*1.08</f>
        <v/>
      </c>
    </row>
    <row r="34">
      <c r="A34" s="212" t="inlineStr">
        <is>
          <t>2602-1004-S01</t>
        </is>
      </c>
      <c r="B34" s="77">
        <f>IF(ISBLANK(tbl_明細[[#This Row],[案件番号]]),"",COUNTIFS($A$3:A34,tbl_明細[[#This Row],[案件番号]],$AA$3:AA34,"&gt;0"))</f>
        <v/>
      </c>
      <c r="C34" s="209">
        <f>COUNTIFS($A$3:A34,tbl_明細[[#This Row],[案件番号]],$F$3:F34,tbl_明細[[#This Row],[仕入先]])</f>
        <v/>
      </c>
      <c r="D34" s="77">
        <f>_xlfn.XLOOKUP(tbl_明細[[#This Row],[案件番号]],tbl_採番[案件番号],tbl_採番[顧客],"",0,1)</f>
        <v/>
      </c>
      <c r="E34" s="209" t="inlineStr">
        <is>
          <t>PRD_SNJ_YAS_0001_01</t>
        </is>
      </c>
      <c r="F34" s="118">
        <f>IF(ISBLANK(tbl_明細[[#This Row],[仕入先（M)]]),_xlfn.XLOOKUP(tbl_明細[[#This Row],[商品ID]],商品マスタ[商品連番],商品マスタ[仕入先],"",0,1),tbl_明細[[#This Row],[仕入先（M)]])</f>
        <v/>
      </c>
      <c r="G34" s="112">
        <f>IF(ISBLANK(tbl_明細[[#This Row],[商品名（M)]]),_xlfn.XLOOKUP(tbl_明細[[#This Row],[商品ID]],商品マスタ[商品連番],商品マスタ[商品名],"",0,),tbl_明細[[#This Row],[商品名（M)]])</f>
        <v/>
      </c>
      <c r="H34" s="80">
        <f>IF(ISBLANK(tbl_明細[[#This Row],[仕入価格（M)]]),_xlfn.XLOOKUP(tbl_明細[[#This Row],[商品ID]],商品マスタ[商品連番],商品マスタ[仕入
単価],"",0,1),tbl_明細[[#This Row],[仕入価格（M)]])</f>
        <v/>
      </c>
      <c r="I34" s="80">
        <f>_xlfn.XLOOKUP(tbl_明細[[#This Row],[商品ID]],商品マスタ[商品連番],商品マスタ[国内定価
（15％）],"",0,1)</f>
        <v/>
      </c>
      <c r="J34" s="85" t="n">
        <v>510</v>
      </c>
      <c r="K34" s="209" t="n">
        <v>60</v>
      </c>
      <c r="L34" s="77">
        <f>_xlfn.XLOOKUP(tbl_明細[[#This Row],[商品ID]],商品マスタ[商品連番],商品マスタ[単位],"",0,1)</f>
        <v/>
      </c>
      <c r="M34" s="249">
        <f>1-tbl_明細[[#This Row],[仕入価格]]/tbl_明細[[#This Row],[販売価格（売値）]]</f>
        <v/>
      </c>
      <c r="N34" s="189">
        <f>_xlfn.XLOOKUP(tbl_明細[[#This Row],[商品ID]],商品マスタ[商品連番],商品マスタ[税率],"",0,1)</f>
        <v/>
      </c>
      <c r="O34" s="120" t="n"/>
      <c r="P34" s="209" t="n"/>
      <c r="Q34" s="85" t="n"/>
      <c r="R34" s="85" t="n"/>
      <c r="S34" s="209" t="n"/>
      <c r="T34" s="209" t="n"/>
      <c r="U34" s="79" t="n"/>
      <c r="V34" s="79" t="n"/>
      <c r="W34" s="113" t="n"/>
      <c r="X34" s="306">
        <f>tbl_明細[[#This Row],[仕入価格]]*tbl_明細[[#This Row],[数量]]+tbl_明細[[#This Row],[仕入価格（M)]]*tbl_明細[[#This Row],[数量（M)]]</f>
        <v/>
      </c>
      <c r="Y34" s="306">
        <f>tbl_明細[[#This Row],[販売価格（売値）]]*tbl_明細[[#This Row],[数量]]+tbl_明細[[#This Row],[販売価格（M)]]*tbl_明細[[#This Row],[数量（M)]]</f>
        <v/>
      </c>
      <c r="Z34" s="307">
        <f>_xlfn.XLOOKUP(tbl_明細[[#This Row],[案件番号]],tbl_案件追跡[案件番号],tbl_案件追跡[受注],"",0,1)</f>
        <v/>
      </c>
      <c r="AA34" s="228">
        <f>tbl_明細[[#This Row],[販売価格（売値）]]+tbl_明細[[#This Row],[販売価格（M)]]</f>
        <v/>
      </c>
      <c r="AB34" s="261">
        <f>tbl_明細[[#This Row],[販売価格（売値）]]*1.08+tbl_明細[[#This Row],[販売価格（M)]]*1.08</f>
        <v/>
      </c>
    </row>
    <row r="35">
      <c r="A35" s="212" t="inlineStr">
        <is>
          <t>2602-1004-S01</t>
        </is>
      </c>
      <c r="B35" s="77">
        <f>IF(ISBLANK(tbl_明細[[#This Row],[案件番号]]),"",COUNTIFS($A$3:A35,tbl_明細[[#This Row],[案件番号]],$AA$3:AA35,"&gt;0"))</f>
        <v/>
      </c>
      <c r="C35" s="209">
        <f>COUNTIFS($A$3:A35,tbl_明細[[#This Row],[案件番号]],$F$3:F35,tbl_明細[[#This Row],[仕入先]])</f>
        <v/>
      </c>
      <c r="D35" s="77">
        <f>_xlfn.XLOOKUP(tbl_明細[[#This Row],[案件番号]],tbl_採番[案件番号],tbl_採番[顧客],"",0,1)</f>
        <v/>
      </c>
      <c r="E35" s="209" t="inlineStr">
        <is>
          <t>PRD_SNJ_YAS_0002_01</t>
        </is>
      </c>
      <c r="F35" s="118">
        <f>IF(ISBLANK(tbl_明細[[#This Row],[仕入先（M)]]),_xlfn.XLOOKUP(tbl_明細[[#This Row],[商品ID]],商品マスタ[商品連番],商品マスタ[仕入先],"",0,1),tbl_明細[[#This Row],[仕入先（M)]])</f>
        <v/>
      </c>
      <c r="G35" s="112">
        <f>IF(ISBLANK(tbl_明細[[#This Row],[商品名（M)]]),_xlfn.XLOOKUP(tbl_明細[[#This Row],[商品ID]],商品マスタ[商品連番],商品マスタ[商品名],"",0,),tbl_明細[[#This Row],[商品名（M)]])</f>
        <v/>
      </c>
      <c r="H35" s="80">
        <f>IF(ISBLANK(tbl_明細[[#This Row],[仕入価格（M)]]),_xlfn.XLOOKUP(tbl_明細[[#This Row],[商品ID]],商品マスタ[商品連番],商品マスタ[仕入
単価],"",0,1),tbl_明細[[#This Row],[仕入価格（M)]])</f>
        <v/>
      </c>
      <c r="I35" s="80">
        <f>_xlfn.XLOOKUP(tbl_明細[[#This Row],[商品ID]],商品マスタ[商品連番],商品マスタ[国内定価
（15％）],"",0,1)</f>
        <v/>
      </c>
      <c r="J35" s="85" t="n">
        <v>1150</v>
      </c>
      <c r="K35" s="209" t="n">
        <v>60</v>
      </c>
      <c r="L35" s="77">
        <f>_xlfn.XLOOKUP(tbl_明細[[#This Row],[商品ID]],商品マスタ[商品連番],商品マスタ[単位],"",0,1)</f>
        <v/>
      </c>
      <c r="M35" s="249">
        <f>1-tbl_明細[[#This Row],[仕入価格]]/tbl_明細[[#This Row],[販売価格（売値）]]</f>
        <v/>
      </c>
      <c r="N35" s="189">
        <f>_xlfn.XLOOKUP(tbl_明細[[#This Row],[商品ID]],商品マスタ[商品連番],商品マスタ[税率],"",0,1)</f>
        <v/>
      </c>
      <c r="O35" s="120" t="n"/>
      <c r="P35" s="209" t="n"/>
      <c r="Q35" s="85" t="n"/>
      <c r="R35" s="85" t="n"/>
      <c r="S35" s="209" t="n"/>
      <c r="T35" s="209" t="n"/>
      <c r="U35" s="79" t="n"/>
      <c r="V35" s="79" t="n"/>
      <c r="W35" s="113" t="n"/>
      <c r="X35" s="306">
        <f>tbl_明細[[#This Row],[仕入価格]]*tbl_明細[[#This Row],[数量]]+tbl_明細[[#This Row],[仕入価格（M)]]*tbl_明細[[#This Row],[数量（M)]]</f>
        <v/>
      </c>
      <c r="Y35" s="306">
        <f>tbl_明細[[#This Row],[販売価格（売値）]]*tbl_明細[[#This Row],[数量]]+tbl_明細[[#This Row],[販売価格（M)]]*tbl_明細[[#This Row],[数量（M)]]</f>
        <v/>
      </c>
      <c r="Z35" s="307">
        <f>_xlfn.XLOOKUP(tbl_明細[[#This Row],[案件番号]],tbl_案件追跡[案件番号],tbl_案件追跡[受注],"",0,1)</f>
        <v/>
      </c>
      <c r="AA35" s="228">
        <f>tbl_明細[[#This Row],[販売価格（売値）]]+tbl_明細[[#This Row],[販売価格（M)]]</f>
        <v/>
      </c>
      <c r="AB35" s="261">
        <f>tbl_明細[[#This Row],[販売価格（売値）]]*1.08+tbl_明細[[#This Row],[販売価格（M)]]*1.08</f>
        <v/>
      </c>
    </row>
    <row r="36">
      <c r="A36" s="212" t="inlineStr">
        <is>
          <t>2602-1004-S01</t>
        </is>
      </c>
      <c r="B36" s="77">
        <f>IF(ISBLANK(tbl_明細[[#This Row],[案件番号]]),"",COUNTIFS($A$3:A36,tbl_明細[[#This Row],[案件番号]],$AA$3:AA36,"&gt;0"))</f>
        <v/>
      </c>
      <c r="C36" s="209">
        <f>COUNTIFS($A$3:A36,tbl_明細[[#This Row],[案件番号]],$F$3:F36,tbl_明細[[#This Row],[仕入先]])</f>
        <v/>
      </c>
      <c r="D36" s="77">
        <f>_xlfn.XLOOKUP(tbl_明細[[#This Row],[案件番号]],tbl_採番[案件番号],tbl_採番[顧客],"",0,1)</f>
        <v/>
      </c>
      <c r="E36" s="209" t="inlineStr">
        <is>
          <t>PRD_SNJ_YAS_0003_01</t>
        </is>
      </c>
      <c r="F36" s="118">
        <f>IF(ISBLANK(tbl_明細[[#This Row],[仕入先（M)]]),_xlfn.XLOOKUP(tbl_明細[[#This Row],[商品ID]],商品マスタ[商品連番],商品マスタ[仕入先],"",0,1),tbl_明細[[#This Row],[仕入先（M)]])</f>
        <v/>
      </c>
      <c r="G36" s="112">
        <f>IF(ISBLANK(tbl_明細[[#This Row],[商品名（M)]]),_xlfn.XLOOKUP(tbl_明細[[#This Row],[商品ID]],商品マスタ[商品連番],商品マスタ[商品名],"",0,),tbl_明細[[#This Row],[商品名（M)]])</f>
        <v/>
      </c>
      <c r="H36" s="80">
        <f>IF(ISBLANK(tbl_明細[[#This Row],[仕入価格（M)]]),_xlfn.XLOOKUP(tbl_明細[[#This Row],[商品ID]],商品マスタ[商品連番],商品マスタ[仕入
単価],"",0,1),tbl_明細[[#This Row],[仕入価格（M)]])</f>
        <v/>
      </c>
      <c r="I36" s="80">
        <f>_xlfn.XLOOKUP(tbl_明細[[#This Row],[商品ID]],商品マスタ[商品連番],商品マスタ[国内定価
（15％）],"",0,1)</f>
        <v/>
      </c>
      <c r="J36" s="85" t="n">
        <v>470</v>
      </c>
      <c r="K36" s="209" t="n">
        <v>60</v>
      </c>
      <c r="L36" s="77">
        <f>_xlfn.XLOOKUP(tbl_明細[[#This Row],[商品ID]],商品マスタ[商品連番],商品マスタ[単位],"",0,1)</f>
        <v/>
      </c>
      <c r="M36" s="249">
        <f>1-tbl_明細[[#This Row],[仕入価格]]/tbl_明細[[#This Row],[販売価格（売値）]]</f>
        <v/>
      </c>
      <c r="N36" s="189">
        <f>_xlfn.XLOOKUP(tbl_明細[[#This Row],[商品ID]],商品マスタ[商品連番],商品マスタ[税率],"",0,1)</f>
        <v/>
      </c>
      <c r="O36" s="120" t="n"/>
      <c r="P36" s="209" t="n"/>
      <c r="Q36" s="85" t="n"/>
      <c r="R36" s="85" t="n"/>
      <c r="S36" s="209" t="n"/>
      <c r="T36" s="209" t="n"/>
      <c r="U36" s="79" t="n"/>
      <c r="V36" s="79" t="n"/>
      <c r="W36" s="113" t="n"/>
      <c r="X36" s="306">
        <f>tbl_明細[[#This Row],[仕入価格]]*tbl_明細[[#This Row],[数量]]+tbl_明細[[#This Row],[仕入価格（M)]]*tbl_明細[[#This Row],[数量（M)]]</f>
        <v/>
      </c>
      <c r="Y36" s="306">
        <f>tbl_明細[[#This Row],[販売価格（売値）]]*tbl_明細[[#This Row],[数量]]+tbl_明細[[#This Row],[販売価格（M)]]*tbl_明細[[#This Row],[数量（M)]]</f>
        <v/>
      </c>
      <c r="Z36" s="307">
        <f>_xlfn.XLOOKUP(tbl_明細[[#This Row],[案件番号]],tbl_案件追跡[案件番号],tbl_案件追跡[受注],"",0,1)</f>
        <v/>
      </c>
      <c r="AA36" s="228">
        <f>tbl_明細[[#This Row],[販売価格（売値）]]+tbl_明細[[#This Row],[販売価格（M)]]</f>
        <v/>
      </c>
      <c r="AB36" s="261">
        <f>tbl_明細[[#This Row],[販売価格（売値）]]*1.08+tbl_明細[[#This Row],[販売価格（M)]]*1.08</f>
        <v/>
      </c>
    </row>
    <row r="37">
      <c r="A37" s="212" t="inlineStr">
        <is>
          <t>2602-1004-S01</t>
        </is>
      </c>
      <c r="B37" s="77">
        <f>IF(ISBLANK(tbl_明細[[#This Row],[案件番号]]),"",COUNTIFS($A$3:A37,tbl_明細[[#This Row],[案件番号]],$AA$3:AA37,"&gt;0"))</f>
        <v/>
      </c>
      <c r="C37" s="209">
        <f>COUNTIFS($A$3:A37,tbl_明細[[#This Row],[案件番号]],$F$3:F37,tbl_明細[[#This Row],[仕入先]])</f>
        <v/>
      </c>
      <c r="D37" s="77">
        <f>_xlfn.XLOOKUP(tbl_明細[[#This Row],[案件番号]],tbl_採番[案件番号],tbl_採番[顧客],"",0,1)</f>
        <v/>
      </c>
      <c r="E37" s="209" t="inlineStr">
        <is>
          <t>PRD_SNJ_YAS_0004_01</t>
        </is>
      </c>
      <c r="F37" s="118">
        <f>IF(ISBLANK(tbl_明細[[#This Row],[仕入先（M)]]),_xlfn.XLOOKUP(tbl_明細[[#This Row],[商品ID]],商品マスタ[商品連番],商品マスタ[仕入先],"",0,1),tbl_明細[[#This Row],[仕入先（M)]])</f>
        <v/>
      </c>
      <c r="G37" s="112">
        <f>IF(ISBLANK(tbl_明細[[#This Row],[商品名（M)]]),_xlfn.XLOOKUP(tbl_明細[[#This Row],[商品ID]],商品マスタ[商品連番],商品マスタ[商品名],"",0,),tbl_明細[[#This Row],[商品名（M)]])</f>
        <v/>
      </c>
      <c r="H37" s="80">
        <f>IF(ISBLANK(tbl_明細[[#This Row],[仕入価格（M)]]),_xlfn.XLOOKUP(tbl_明細[[#This Row],[商品ID]],商品マスタ[商品連番],商品マスタ[仕入
単価],"",0,1),tbl_明細[[#This Row],[仕入価格（M)]])</f>
        <v/>
      </c>
      <c r="I37" s="80">
        <f>_xlfn.XLOOKUP(tbl_明細[[#This Row],[商品ID]],商品マスタ[商品連番],商品マスタ[国内定価
（15％）],"",0,1)</f>
        <v/>
      </c>
      <c r="J37" s="85" t="n">
        <v>1020</v>
      </c>
      <c r="K37" s="209" t="n">
        <v>60</v>
      </c>
      <c r="L37" s="77">
        <f>_xlfn.XLOOKUP(tbl_明細[[#This Row],[商品ID]],商品マスタ[商品連番],商品マスタ[単位],"",0,1)</f>
        <v/>
      </c>
      <c r="M37" s="249">
        <f>1-tbl_明細[[#This Row],[仕入価格]]/tbl_明細[[#This Row],[販売価格（売値）]]</f>
        <v/>
      </c>
      <c r="N37" s="189">
        <f>_xlfn.XLOOKUP(tbl_明細[[#This Row],[商品ID]],商品マスタ[商品連番],商品マスタ[税率],"",0,1)</f>
        <v/>
      </c>
      <c r="O37" s="120" t="n"/>
      <c r="P37" s="209" t="n"/>
      <c r="Q37" s="85" t="n"/>
      <c r="R37" s="85" t="n"/>
      <c r="S37" s="209" t="n"/>
      <c r="T37" s="209" t="n"/>
      <c r="U37" s="79" t="n"/>
      <c r="V37" s="79" t="n"/>
      <c r="W37" s="113" t="n"/>
      <c r="X37" s="306">
        <f>tbl_明細[[#This Row],[仕入価格]]*tbl_明細[[#This Row],[数量]]+tbl_明細[[#This Row],[仕入価格（M)]]*tbl_明細[[#This Row],[数量（M)]]</f>
        <v/>
      </c>
      <c r="Y37" s="306">
        <f>tbl_明細[[#This Row],[販売価格（売値）]]*tbl_明細[[#This Row],[数量]]+tbl_明細[[#This Row],[販売価格（M)]]*tbl_明細[[#This Row],[数量（M)]]</f>
        <v/>
      </c>
      <c r="Z37" s="307">
        <f>_xlfn.XLOOKUP(tbl_明細[[#This Row],[案件番号]],tbl_案件追跡[案件番号],tbl_案件追跡[受注],"",0,1)</f>
        <v/>
      </c>
      <c r="AA37" s="228">
        <f>tbl_明細[[#This Row],[販売価格（売値）]]+tbl_明細[[#This Row],[販売価格（M)]]</f>
        <v/>
      </c>
      <c r="AB37" s="261">
        <f>tbl_明細[[#This Row],[販売価格（売値）]]*1.08+tbl_明細[[#This Row],[販売価格（M)]]*1.08</f>
        <v/>
      </c>
    </row>
    <row r="38">
      <c r="A38" s="212" t="inlineStr">
        <is>
          <t>2602-1004-S01</t>
        </is>
      </c>
      <c r="B38" s="77">
        <f>IF(ISBLANK(tbl_明細[[#This Row],[案件番号]]),"",COUNTIFS($A$3:A38,tbl_明細[[#This Row],[案件番号]],$AA$3:AA38,"&gt;0"))</f>
        <v/>
      </c>
      <c r="C38" s="209">
        <f>COUNTIFS($A$3:A38,tbl_明細[[#This Row],[案件番号]],$F$3:F38,tbl_明細[[#This Row],[仕入先]])</f>
        <v/>
      </c>
      <c r="D38" s="77">
        <f>_xlfn.XLOOKUP(tbl_明細[[#This Row],[案件番号]],tbl_採番[案件番号],tbl_採番[顧客],"",0,1)</f>
        <v/>
      </c>
      <c r="E38" s="209" t="inlineStr">
        <is>
          <t>PRD_SNJ_YAS_0006_01</t>
        </is>
      </c>
      <c r="F38" s="118">
        <f>IF(ISBLANK(tbl_明細[[#This Row],[仕入先（M)]]),_xlfn.XLOOKUP(tbl_明細[[#This Row],[商品ID]],商品マスタ[商品連番],商品マスタ[仕入先],"",0,1),tbl_明細[[#This Row],[仕入先（M)]])</f>
        <v/>
      </c>
      <c r="G38" s="112">
        <f>IF(ISBLANK(tbl_明細[[#This Row],[商品名（M)]]),_xlfn.XLOOKUP(tbl_明細[[#This Row],[商品ID]],商品マスタ[商品連番],商品マスタ[商品名],"",0,),tbl_明細[[#This Row],[商品名（M)]])</f>
        <v/>
      </c>
      <c r="H38" s="80">
        <f>IF(ISBLANK(tbl_明細[[#This Row],[仕入価格（M)]]),_xlfn.XLOOKUP(tbl_明細[[#This Row],[商品ID]],商品マスタ[商品連番],商品マスタ[仕入
単価],"",0,1),tbl_明細[[#This Row],[仕入価格（M)]])</f>
        <v/>
      </c>
      <c r="I38" s="80">
        <f>_xlfn.XLOOKUP(tbl_明細[[#This Row],[商品ID]],商品マスタ[商品連番],商品マスタ[国内定価
（15％）],"",0,1)</f>
        <v/>
      </c>
      <c r="J38" s="85" t="n">
        <v>2470</v>
      </c>
      <c r="K38" s="209" t="n">
        <v>30</v>
      </c>
      <c r="L38" s="77">
        <f>_xlfn.XLOOKUP(tbl_明細[[#This Row],[商品ID]],商品マスタ[商品連番],商品マスタ[単位],"",0,1)</f>
        <v/>
      </c>
      <c r="M38" s="249">
        <f>1-tbl_明細[[#This Row],[仕入価格]]/tbl_明細[[#This Row],[販売価格（売値）]]</f>
        <v/>
      </c>
      <c r="N38" s="189">
        <f>_xlfn.XLOOKUP(tbl_明細[[#This Row],[商品ID]],商品マスタ[商品連番],商品マスタ[税率],"",0,1)</f>
        <v/>
      </c>
      <c r="O38" s="120" t="n"/>
      <c r="P38" s="209" t="n"/>
      <c r="Q38" s="85" t="n"/>
      <c r="R38" s="85" t="n"/>
      <c r="S38" s="209" t="n"/>
      <c r="T38" s="209" t="n"/>
      <c r="U38" s="79" t="n"/>
      <c r="V38" s="79" t="n"/>
      <c r="W38" s="113" t="n"/>
      <c r="X38" s="306">
        <f>tbl_明細[[#This Row],[仕入価格]]*tbl_明細[[#This Row],[数量]]+tbl_明細[[#This Row],[仕入価格（M)]]*tbl_明細[[#This Row],[数量（M)]]</f>
        <v/>
      </c>
      <c r="Y38" s="306">
        <f>tbl_明細[[#This Row],[販売価格（売値）]]*tbl_明細[[#This Row],[数量]]+tbl_明細[[#This Row],[販売価格（M)]]*tbl_明細[[#This Row],[数量（M)]]</f>
        <v/>
      </c>
      <c r="Z38" s="307">
        <f>_xlfn.XLOOKUP(tbl_明細[[#This Row],[案件番号]],tbl_案件追跡[案件番号],tbl_案件追跡[受注],"",0,1)</f>
        <v/>
      </c>
      <c r="AA38" s="228">
        <f>tbl_明細[[#This Row],[販売価格（売値）]]+tbl_明細[[#This Row],[販売価格（M)]]</f>
        <v/>
      </c>
      <c r="AB38" s="261">
        <f>tbl_明細[[#This Row],[販売価格（売値）]]*1.08+tbl_明細[[#This Row],[販売価格（M)]]*1.08</f>
        <v/>
      </c>
    </row>
    <row r="39">
      <c r="A39" s="212" t="inlineStr">
        <is>
          <t>2602-1002-K01</t>
        </is>
      </c>
      <c r="B39" s="77">
        <f>IF(ISBLANK(tbl_明細[[#This Row],[案件番号]]),"",COUNTIFS($A$3:A39,tbl_明細[[#This Row],[案件番号]],$AA$3:AA39,"&gt;0"))</f>
        <v/>
      </c>
      <c r="C39" s="209">
        <f>COUNTIFS($A$3:A39,tbl_明細[[#This Row],[案件番号]],$F$3:F39,tbl_明細[[#This Row],[仕入先]])</f>
        <v/>
      </c>
      <c r="D39" s="77">
        <f>_xlfn.XLOOKUP(tbl_明細[[#This Row],[案件番号]],tbl_採番[案件番号],tbl_採番[顧客],"",0,1)</f>
        <v/>
      </c>
      <c r="E39" s="209" t="n"/>
      <c r="F39" s="118">
        <f>IF(ISBLANK(tbl_明細[[#This Row],[仕入先（M)]]),_xlfn.XLOOKUP(tbl_明細[[#This Row],[商品ID]],商品マスタ[商品連番],商品マスタ[仕入先],"",0,1),tbl_明細[[#This Row],[仕入先（M)]])</f>
        <v/>
      </c>
      <c r="G39" s="112">
        <f>IF(ISBLANK(tbl_明細[[#This Row],[商品名（M)]]),_xlfn.XLOOKUP(tbl_明細[[#This Row],[商品ID]],商品マスタ[商品連番],商品マスタ[商品名],"",0,),tbl_明細[[#This Row],[商品名（M)]])</f>
        <v/>
      </c>
      <c r="H39" s="80">
        <f>IF(ISBLANK(tbl_明細[[#This Row],[仕入価格（M)]]),_xlfn.XLOOKUP(tbl_明細[[#This Row],[商品ID]],商品マスタ[商品連番],商品マスタ[仕入
単価],"",0,1),tbl_明細[[#This Row],[仕入価格（M)]])</f>
        <v/>
      </c>
      <c r="I39" s="80">
        <f>_xlfn.XLOOKUP(tbl_明細[[#This Row],[商品ID]],商品マスタ[商品連番],商品マスタ[国内定価
（15％）],"",0,1)</f>
        <v/>
      </c>
      <c r="J39" s="85" t="n"/>
      <c r="K39" s="209" t="n"/>
      <c r="L39" s="77">
        <f>_xlfn.XLOOKUP(tbl_明細[[#This Row],[商品ID]],商品マスタ[商品連番],商品マスタ[単位],"",0,1)</f>
        <v/>
      </c>
      <c r="M39" s="249">
        <f>1-tbl_明細[[#This Row],[仕入価格]]/tbl_明細[[#This Row],[販売価格（売値）]]</f>
        <v/>
      </c>
      <c r="N39" s="189">
        <f>_xlfn.XLOOKUP(tbl_明細[[#This Row],[商品ID]],商品マスタ[商品連番],商品マスタ[税率],"",0,1)</f>
        <v/>
      </c>
      <c r="O39" s="120" t="inlineStr">
        <is>
          <t>有限会社小林食品</t>
        </is>
      </c>
      <c r="P39" s="209" t="inlineStr">
        <is>
          <t>ズワイガニ風味ラーメン 　 味噌（1食入り）</t>
        </is>
      </c>
      <c r="Q39" s="85" t="n">
        <v>175</v>
      </c>
      <c r="R39" s="85">
        <f>238/1.08</f>
        <v/>
      </c>
      <c r="S39" s="209" t="n">
        <v>14</v>
      </c>
      <c r="T39" s="209" t="inlineStr">
        <is>
          <t>袋</t>
        </is>
      </c>
      <c r="U39" s="79" t="n">
        <v>0.08</v>
      </c>
      <c r="V39" s="79" t="n"/>
      <c r="W39" s="113" t="inlineStr">
        <is>
          <t>追加発注分</t>
        </is>
      </c>
      <c r="X39" s="306">
        <f>tbl_明細[[#This Row],[仕入価格]]*tbl_明細[[#This Row],[数量]]+tbl_明細[[#This Row],[仕入価格（M)]]*tbl_明細[[#This Row],[数量（M)]]</f>
        <v/>
      </c>
      <c r="Y39" s="306">
        <f>tbl_明細[[#This Row],[販売価格（売値）]]*tbl_明細[[#This Row],[数量]]+tbl_明細[[#This Row],[販売価格（M)]]*tbl_明細[[#This Row],[数量（M)]]</f>
        <v/>
      </c>
      <c r="Z39" s="307">
        <f>_xlfn.XLOOKUP(tbl_明細[[#This Row],[案件番号]],tbl_案件追跡[案件番号],tbl_案件追跡[受注],"",0,1)</f>
        <v/>
      </c>
      <c r="AA39" s="228">
        <f>tbl_明細[[#This Row],[販売価格（売値）]]+tbl_明細[[#This Row],[販売価格（M)]]</f>
        <v/>
      </c>
      <c r="AB39" s="261">
        <f>tbl_明細[[#This Row],[販売価格（売値）]]*1.08+tbl_明細[[#This Row],[販売価格（M)]]*1.08</f>
        <v/>
      </c>
    </row>
    <row r="40">
      <c r="A40" s="212" t="inlineStr">
        <is>
          <t>2602-1002-K01</t>
        </is>
      </c>
      <c r="B40" s="77">
        <f>IF(ISBLANK(tbl_明細[[#This Row],[案件番号]]),"",COUNTIFS($A$3:A40,tbl_明細[[#This Row],[案件番号]],$AA$3:AA40,"&gt;0"))</f>
        <v/>
      </c>
      <c r="C40" s="209">
        <f>COUNTIFS($A$3:A40,tbl_明細[[#This Row],[案件番号]],$F$3:F40,tbl_明細[[#This Row],[仕入先]])</f>
        <v/>
      </c>
      <c r="D40" s="77">
        <f>_xlfn.XLOOKUP(tbl_明細[[#This Row],[案件番号]],tbl_採番[案件番号],tbl_採番[顧客],"",0,1)</f>
        <v/>
      </c>
      <c r="E40" s="209" t="n"/>
      <c r="F40" s="118">
        <f>IF(ISBLANK(tbl_明細[[#This Row],[仕入先（M)]]),_xlfn.XLOOKUP(tbl_明細[[#This Row],[商品ID]],商品マスタ[商品連番],商品マスタ[仕入先],"",0,1),tbl_明細[[#This Row],[仕入先（M)]])</f>
        <v/>
      </c>
      <c r="G40" s="112">
        <f>IF(ISBLANK(tbl_明細[[#This Row],[商品名（M)]]),_xlfn.XLOOKUP(tbl_明細[[#This Row],[商品ID]],商品マスタ[商品連番],商品マスタ[商品名],"",0,),tbl_明細[[#This Row],[商品名（M)]])</f>
        <v/>
      </c>
      <c r="H40" s="80">
        <f>IF(ISBLANK(tbl_明細[[#This Row],[仕入価格（M)]]),_xlfn.XLOOKUP(tbl_明細[[#This Row],[商品ID]],商品マスタ[商品連番],商品マスタ[仕入
単価],"",0,1),tbl_明細[[#This Row],[仕入価格（M)]])</f>
        <v/>
      </c>
      <c r="I40" s="80">
        <f>_xlfn.XLOOKUP(tbl_明細[[#This Row],[商品ID]],商品マスタ[商品連番],商品マスタ[国内定価
（15％）],"",0,1)</f>
        <v/>
      </c>
      <c r="J40" s="85" t="n"/>
      <c r="K40" s="209" t="n"/>
      <c r="L40" s="77">
        <f>_xlfn.XLOOKUP(tbl_明細[[#This Row],[商品ID]],商品マスタ[商品連番],商品マスタ[単位],"",0,1)</f>
        <v/>
      </c>
      <c r="M40" s="249">
        <f>1-tbl_明細[[#This Row],[仕入価格]]/tbl_明細[[#This Row],[販売価格（売値）]]</f>
        <v/>
      </c>
      <c r="N40" s="189">
        <f>_xlfn.XLOOKUP(tbl_明細[[#This Row],[商品ID]],商品マスタ[商品連番],商品マスタ[税率],"",0,1)</f>
        <v/>
      </c>
      <c r="O40" s="120" t="inlineStr">
        <is>
          <t>有限会社小林食品</t>
        </is>
      </c>
      <c r="P40" s="209" t="inlineStr">
        <is>
          <t>ズワイガニ風味ラーメン 　 醤油（1食入り）</t>
        </is>
      </c>
      <c r="Q40" s="85" t="n">
        <v>175</v>
      </c>
      <c r="R40" s="85">
        <f>238/1.08</f>
        <v/>
      </c>
      <c r="S40" s="209" t="n">
        <v>13</v>
      </c>
      <c r="T40" s="209" t="inlineStr">
        <is>
          <t>袋</t>
        </is>
      </c>
      <c r="U40" s="79" t="n">
        <v>0.08</v>
      </c>
      <c r="V40" s="79" t="n"/>
      <c r="W40" s="113" t="inlineStr">
        <is>
          <t>追加発注分</t>
        </is>
      </c>
      <c r="X40" s="306">
        <f>tbl_明細[[#This Row],[仕入価格]]*tbl_明細[[#This Row],[数量]]+tbl_明細[[#This Row],[仕入価格（M)]]*tbl_明細[[#This Row],[数量（M)]]</f>
        <v/>
      </c>
      <c r="Y40" s="306">
        <f>tbl_明細[[#This Row],[販売価格（売値）]]*tbl_明細[[#This Row],[数量]]+tbl_明細[[#This Row],[販売価格（M)]]*tbl_明細[[#This Row],[数量（M)]]</f>
        <v/>
      </c>
      <c r="Z40" s="307">
        <f>_xlfn.XLOOKUP(tbl_明細[[#This Row],[案件番号]],tbl_案件追跡[案件番号],tbl_案件追跡[受注],"",0,1)</f>
        <v/>
      </c>
      <c r="AA40" s="228">
        <f>tbl_明細[[#This Row],[販売価格（売値）]]+tbl_明細[[#This Row],[販売価格（M)]]</f>
        <v/>
      </c>
      <c r="AB40" s="261">
        <f>tbl_明細[[#This Row],[販売価格（売値）]]*1.08+tbl_明細[[#This Row],[販売価格（M)]]*1.08</f>
        <v/>
      </c>
    </row>
    <row r="41">
      <c r="A41" s="212" t="inlineStr">
        <is>
          <t>2602-1002-K01</t>
        </is>
      </c>
      <c r="B41" s="77">
        <f>IF(ISBLANK(tbl_明細[[#This Row],[案件番号]]),"",COUNTIFS($A$3:A41,tbl_明細[[#This Row],[案件番号]],$AA$3:AA41,"&gt;0"))</f>
        <v/>
      </c>
      <c r="C41" s="209">
        <f>COUNTIFS($A$3:A41,tbl_明細[[#This Row],[案件番号]],$F$3:F41,tbl_明細[[#This Row],[仕入先]])</f>
        <v/>
      </c>
      <c r="D41" s="77">
        <f>_xlfn.XLOOKUP(tbl_明細[[#This Row],[案件番号]],tbl_採番[案件番号],tbl_採番[顧客],"",0,1)</f>
        <v/>
      </c>
      <c r="E41" s="209" t="n"/>
      <c r="F41" s="118">
        <f>IF(ISBLANK(tbl_明細[[#This Row],[仕入先（M)]]),_xlfn.XLOOKUP(tbl_明細[[#This Row],[商品ID]],商品マスタ[商品連番],商品マスタ[仕入先],"",0,1),tbl_明細[[#This Row],[仕入先（M)]])</f>
        <v/>
      </c>
      <c r="G41" s="112">
        <f>IF(ISBLANK(tbl_明細[[#This Row],[商品名（M)]]),_xlfn.XLOOKUP(tbl_明細[[#This Row],[商品ID]],商品マスタ[商品連番],商品マスタ[商品名],"",0,),tbl_明細[[#This Row],[商品名（M)]])</f>
        <v/>
      </c>
      <c r="H41" s="80">
        <f>IF(ISBLANK(tbl_明細[[#This Row],[仕入価格（M)]]),_xlfn.XLOOKUP(tbl_明細[[#This Row],[商品ID]],商品マスタ[商品連番],商品マスタ[仕入
単価],"",0,1),tbl_明細[[#This Row],[仕入価格（M)]])</f>
        <v/>
      </c>
      <c r="I41" s="80">
        <f>_xlfn.XLOOKUP(tbl_明細[[#This Row],[商品ID]],商品マスタ[商品連番],商品マスタ[国内定価
（15％）],"",0,1)</f>
        <v/>
      </c>
      <c r="J41" s="85" t="n"/>
      <c r="K41" s="209" t="n"/>
      <c r="L41" s="77">
        <f>_xlfn.XLOOKUP(tbl_明細[[#This Row],[商品ID]],商品マスタ[商品連番],商品マスタ[単位],"",0,1)</f>
        <v/>
      </c>
      <c r="M41" s="249">
        <f>1-tbl_明細[[#This Row],[仕入価格]]/tbl_明細[[#This Row],[販売価格（売値）]]</f>
        <v/>
      </c>
      <c r="N41" s="189">
        <f>_xlfn.XLOOKUP(tbl_明細[[#This Row],[商品ID]],商品マスタ[商品連番],商品マスタ[税率],"",0,1)</f>
        <v/>
      </c>
      <c r="O41" s="120" t="inlineStr">
        <is>
          <t>有限会社小林食品</t>
        </is>
      </c>
      <c r="P41" s="209" t="inlineStr">
        <is>
          <t>送料</t>
        </is>
      </c>
      <c r="Q41" s="85" t="n">
        <v>870</v>
      </c>
      <c r="R41" s="85" t="n">
        <v>870</v>
      </c>
      <c r="S41" s="209" t="n">
        <v>1</v>
      </c>
      <c r="T41" s="209" t="inlineStr">
        <is>
          <t>式</t>
        </is>
      </c>
      <c r="U41" s="79" t="n">
        <v>0.1</v>
      </c>
      <c r="V41" s="79" t="n"/>
      <c r="W41" s="113" t="inlineStr">
        <is>
          <t>追加発注分</t>
        </is>
      </c>
      <c r="X41" s="306">
        <f>tbl_明細[[#This Row],[仕入価格]]*tbl_明細[[#This Row],[数量]]+tbl_明細[[#This Row],[仕入価格（M)]]*tbl_明細[[#This Row],[数量（M)]]</f>
        <v/>
      </c>
      <c r="Y41" s="306">
        <f>tbl_明細[[#This Row],[販売価格（売値）]]*tbl_明細[[#This Row],[数量]]+tbl_明細[[#This Row],[販売価格（M)]]*tbl_明細[[#This Row],[数量（M)]]</f>
        <v/>
      </c>
      <c r="Z41" s="307">
        <f>_xlfn.XLOOKUP(tbl_明細[[#This Row],[案件番号]],tbl_案件追跡[案件番号],tbl_案件追跡[受注],"",0,1)</f>
        <v/>
      </c>
      <c r="AA41" s="228">
        <f>tbl_明細[[#This Row],[販売価格（売値）]]+tbl_明細[[#This Row],[販売価格（M)]]</f>
        <v/>
      </c>
      <c r="AB41" s="261">
        <f>tbl_明細[[#This Row],[販売価格（売値）]]*1.08+tbl_明細[[#This Row],[販売価格（M)]]*1.08</f>
        <v/>
      </c>
    </row>
    <row r="42">
      <c r="A42" s="212" t="inlineStr">
        <is>
          <t>2602-1006-S01</t>
        </is>
      </c>
      <c r="B42" s="77">
        <f>IF(ISBLANK(tbl_明細[[#This Row],[案件番号]]),"",COUNTIFS($A$3:A42,tbl_明細[[#This Row],[案件番号]],$AA$3:AA42,"&gt;0"))</f>
        <v/>
      </c>
      <c r="C42" s="209">
        <f>COUNTIFS($A$3:A42,tbl_明細[[#This Row],[案件番号]],$F$3:F42,tbl_明細[[#This Row],[仕入先]])</f>
        <v/>
      </c>
      <c r="D42" s="77">
        <f>_xlfn.XLOOKUP(tbl_明細[[#This Row],[案件番号]],tbl_採番[案件番号],tbl_採番[顧客],"",0,1)</f>
        <v/>
      </c>
      <c r="E42" s="209" t="inlineStr">
        <is>
          <t>PRD_SNJ_GGM_0097_01</t>
        </is>
      </c>
      <c r="F42" s="118">
        <f>IF(ISBLANK(tbl_明細[[#This Row],[仕入先（M)]]),_xlfn.XLOOKUP(tbl_明細[[#This Row],[商品ID]],商品マスタ[商品連番],商品マスタ[仕入先],"",0,1),tbl_明細[[#This Row],[仕入先（M)]])</f>
        <v/>
      </c>
      <c r="G42" s="112">
        <f>IF(ISBLANK(tbl_明細[[#This Row],[商品名（M)]]),_xlfn.XLOOKUP(tbl_明細[[#This Row],[商品ID]],商品マスタ[商品連番],商品マスタ[商品名],"",0,),tbl_明細[[#This Row],[商品名（M)]])</f>
        <v/>
      </c>
      <c r="H42" s="80">
        <f>IF(ISBLANK(tbl_明細[[#This Row],[仕入価格（M)]]),_xlfn.XLOOKUP(tbl_明細[[#This Row],[商品ID]],商品マスタ[商品連番],商品マスタ[仕入
単価],"",0,1),tbl_明細[[#This Row],[仕入価格（M)]])</f>
        <v/>
      </c>
      <c r="I42" s="80">
        <f>_xlfn.XLOOKUP(tbl_明細[[#This Row],[商品ID]],商品マスタ[商品連番],商品マスタ[国内定価
（15％）],"",0,1)</f>
        <v/>
      </c>
      <c r="J42" s="85" t="n">
        <v>4800</v>
      </c>
      <c r="K42" s="209" t="n">
        <v>2</v>
      </c>
      <c r="L42" s="77">
        <f>_xlfn.XLOOKUP(tbl_明細[[#This Row],[商品ID]],商品マスタ[商品連番],商品マスタ[単位],"",0,1)</f>
        <v/>
      </c>
      <c r="M42" s="249">
        <f>1-tbl_明細[[#This Row],[仕入価格]]/tbl_明細[[#This Row],[販売価格（売値）]]</f>
        <v/>
      </c>
      <c r="N42" s="189">
        <f>_xlfn.XLOOKUP(tbl_明細[[#This Row],[商品ID]],商品マスタ[商品連番],商品マスタ[税率],"",0,1)</f>
        <v/>
      </c>
      <c r="O42" s="120" t="n"/>
      <c r="P42" s="209" t="n"/>
      <c r="Q42" s="85" t="n"/>
      <c r="R42" s="85" t="n"/>
      <c r="S42" s="209" t="n"/>
      <c r="T42" s="209" t="n"/>
      <c r="U42" s="79" t="n"/>
      <c r="V42" s="79" t="n"/>
      <c r="W42" s="113" t="n"/>
      <c r="X42" s="306">
        <f>tbl_明細[[#This Row],[仕入価格]]*tbl_明細[[#This Row],[数量]]+tbl_明細[[#This Row],[仕入価格（M)]]*tbl_明細[[#This Row],[数量（M)]]</f>
        <v/>
      </c>
      <c r="Y42" s="306">
        <f>tbl_明細[[#This Row],[販売価格（売値）]]*tbl_明細[[#This Row],[数量]]+tbl_明細[[#This Row],[販売価格（M)]]*tbl_明細[[#This Row],[数量（M)]]</f>
        <v/>
      </c>
      <c r="Z42" s="307">
        <f>_xlfn.XLOOKUP(tbl_明細[[#This Row],[案件番号]],tbl_案件追跡[案件番号],tbl_案件追跡[受注],"",0,1)</f>
        <v/>
      </c>
      <c r="AA42" s="228">
        <f>tbl_明細[[#This Row],[販売価格（売値）]]+tbl_明細[[#This Row],[販売価格（M)]]</f>
        <v/>
      </c>
      <c r="AB42" s="261">
        <f>tbl_明細[[#This Row],[販売価格（売値）]]*1.08+tbl_明細[[#This Row],[販売価格（M)]]*1.08</f>
        <v/>
      </c>
    </row>
    <row r="43">
      <c r="A43" s="212" t="inlineStr">
        <is>
          <t>2602-1006-S01</t>
        </is>
      </c>
      <c r="B43" s="77">
        <f>IF(ISBLANK(tbl_明細[[#This Row],[案件番号]]),"",COUNTIFS($A$3:A43,tbl_明細[[#This Row],[案件番号]],$AA$3:AA43,"&gt;0"))</f>
        <v/>
      </c>
      <c r="C43" s="209">
        <f>COUNTIFS($A$3:A43,tbl_明細[[#This Row],[案件番号]],$F$3:F43,tbl_明細[[#This Row],[仕入先]])</f>
        <v/>
      </c>
      <c r="D43" s="77">
        <f>_xlfn.XLOOKUP(tbl_明細[[#This Row],[案件番号]],tbl_採番[案件番号],tbl_採番[顧客],"",0,1)</f>
        <v/>
      </c>
      <c r="E43" s="209" t="n"/>
      <c r="F43" s="118" t="inlineStr">
        <is>
          <t>GOODGOOD</t>
        </is>
      </c>
      <c r="G43" s="112" t="inlineStr">
        <is>
          <t>送料</t>
        </is>
      </c>
      <c r="H43" s="80" t="n">
        <v>1060</v>
      </c>
      <c r="I43" s="80">
        <f>_xlfn.XLOOKUP(tbl_明細[[#This Row],[商品ID]],商品マスタ[商品連番],商品マスタ[国内定価
（15％）],"",0,1)</f>
        <v/>
      </c>
      <c r="J43" s="85" t="n">
        <v>1060</v>
      </c>
      <c r="K43" s="209" t="n">
        <v>1</v>
      </c>
      <c r="L43" s="77" t="inlineStr">
        <is>
          <t>式</t>
        </is>
      </c>
      <c r="M43" s="249">
        <f>1-tbl_明細[[#This Row],[仕入価格]]/tbl_明細[[#This Row],[販売価格（売値）]]</f>
        <v/>
      </c>
      <c r="N43" s="189">
        <f>_xlfn.XLOOKUP(tbl_明細[[#This Row],[商品ID]],商品マスタ[商品連番],商品マスタ[税率],"",0,1)</f>
        <v/>
      </c>
      <c r="O43" s="120" t="n"/>
      <c r="P43" s="209" t="n"/>
      <c r="Q43" s="85" t="n"/>
      <c r="R43" s="85" t="n"/>
      <c r="S43" s="209" t="n"/>
      <c r="T43" s="209" t="n"/>
      <c r="U43" s="79" t="n"/>
      <c r="V43" s="79" t="n"/>
      <c r="W43" s="113" t="n"/>
      <c r="X43" s="306">
        <f>tbl_明細[[#This Row],[仕入価格]]*tbl_明細[[#This Row],[数量]]+tbl_明細[[#This Row],[仕入価格（M)]]*tbl_明細[[#This Row],[数量（M)]]</f>
        <v/>
      </c>
      <c r="Y43" s="306">
        <f>tbl_明細[[#This Row],[販売価格（売値）]]*tbl_明細[[#This Row],[数量]]+tbl_明細[[#This Row],[販売価格（M)]]*tbl_明細[[#This Row],[数量（M)]]</f>
        <v/>
      </c>
      <c r="Z43" s="307">
        <f>_xlfn.XLOOKUP(tbl_明細[[#This Row],[案件番号]],tbl_案件追跡[案件番号],tbl_案件追跡[受注],"",0,1)</f>
        <v/>
      </c>
      <c r="AA43" s="228">
        <f>tbl_明細[[#This Row],[販売価格（売値）]]+tbl_明細[[#This Row],[販売価格（M)]]</f>
        <v/>
      </c>
      <c r="AB43" s="261">
        <f>tbl_明細[[#This Row],[販売価格（売値）]]*1.08+tbl_明細[[#This Row],[販売価格（M)]]*1.08</f>
        <v/>
      </c>
    </row>
    <row r="44">
      <c r="A44" s="212" t="inlineStr">
        <is>
          <t>2603-1001-S01</t>
        </is>
      </c>
      <c r="B44" s="77">
        <f>IF(ISBLANK(tbl_明細[[#This Row],[案件番号]]),"",COUNTIFS($A$3:A44,tbl_明細[[#This Row],[案件番号]],$AA$3:AA44,"&gt;0"))</f>
        <v/>
      </c>
      <c r="C44" s="209">
        <f>COUNTIFS($A$3:A44,tbl_明細[[#This Row],[案件番号]],$F$3:F44,tbl_明細[[#This Row],[仕入先]])</f>
        <v/>
      </c>
      <c r="D44" s="77">
        <f>_xlfn.XLOOKUP(tbl_明細[[#This Row],[案件番号]],tbl_採番[案件番号],tbl_採番[顧客],"",0,1)</f>
        <v/>
      </c>
      <c r="E44" s="209" t="inlineStr">
        <is>
          <t>PRD_SNJ_CCL_0001_01</t>
        </is>
      </c>
      <c r="F44" s="118">
        <f>IF(ISBLANK(tbl_明細[[#This Row],[仕入先（M)]]),_xlfn.XLOOKUP(tbl_明細[[#This Row],[商品ID]],商品マスタ[商品連番],商品マスタ[仕入先],"",0,1),tbl_明細[[#This Row],[仕入先（M)]])</f>
        <v/>
      </c>
      <c r="G44" s="112">
        <f>IF(ISBLANK(tbl_明細[[#This Row],[商品名（M)]]),_xlfn.XLOOKUP(tbl_明細[[#This Row],[商品ID]],商品マスタ[商品連番],商品マスタ[商品名],"",0,),tbl_明細[[#This Row],[商品名（M)]])</f>
        <v/>
      </c>
      <c r="H44" s="80">
        <f>IF(ISBLANK(tbl_明細[[#This Row],[仕入価格（M)]]),_xlfn.XLOOKUP(tbl_明細[[#This Row],[商品ID]],商品マスタ[商品連番],商品マスタ[仕入
単価],"",0,1),tbl_明細[[#This Row],[仕入価格（M)]])</f>
        <v/>
      </c>
      <c r="I44" s="80">
        <f>_xlfn.XLOOKUP(tbl_明細[[#This Row],[商品ID]],商品マスタ[商品連番],商品マスタ[国内定価
（15％）],"",0,1)</f>
        <v/>
      </c>
      <c r="J44" s="85" t="n">
        <v>2400</v>
      </c>
      <c r="K44" s="209" t="n">
        <v>10</v>
      </c>
      <c r="L44" s="77">
        <f>_xlfn.XLOOKUP(tbl_明細[[#This Row],[商品ID]],商品マスタ[商品連番],商品マスタ[単位],"",0,1)</f>
        <v/>
      </c>
      <c r="M44" s="249">
        <f>1-tbl_明細[[#This Row],[仕入価格]]/tbl_明細[[#This Row],[販売価格（売値）]]</f>
        <v/>
      </c>
      <c r="N44" s="189">
        <f>_xlfn.XLOOKUP(tbl_明細[[#This Row],[商品ID]],商品マスタ[商品連番],商品マスタ[税率],"",0,1)</f>
        <v/>
      </c>
      <c r="O44" s="120" t="n"/>
      <c r="P44" s="209" t="n"/>
      <c r="Q44" s="85" t="n"/>
      <c r="R44" s="85" t="n"/>
      <c r="S44" s="209" t="n"/>
      <c r="T44" s="209" t="n"/>
      <c r="U44" s="79" t="n"/>
      <c r="V44" s="79" t="n"/>
      <c r="W44" s="113" t="n"/>
      <c r="X44" s="306">
        <f>tbl_明細[[#This Row],[仕入価格]]*tbl_明細[[#This Row],[数量]]+tbl_明細[[#This Row],[仕入価格（M)]]*tbl_明細[[#This Row],[数量（M)]]</f>
        <v/>
      </c>
      <c r="Y44" s="306">
        <f>tbl_明細[[#This Row],[販売価格（売値）]]*tbl_明細[[#This Row],[数量]]+tbl_明細[[#This Row],[販売価格（M)]]*tbl_明細[[#This Row],[数量（M)]]</f>
        <v/>
      </c>
      <c r="Z44" s="307">
        <f>_xlfn.XLOOKUP(tbl_明細[[#This Row],[案件番号]],tbl_案件追跡[案件番号],tbl_案件追跡[受注],"",0,1)</f>
        <v/>
      </c>
      <c r="AA44" s="228">
        <f>tbl_明細[[#This Row],[販売価格（売値）]]+tbl_明細[[#This Row],[販売価格（M)]]</f>
        <v/>
      </c>
      <c r="AB44" s="261">
        <f>tbl_明細[[#This Row],[販売価格（売値）]]*1.08+tbl_明細[[#This Row],[販売価格（M)]]*1.08</f>
        <v/>
      </c>
    </row>
    <row r="45">
      <c r="A45" s="212" t="inlineStr">
        <is>
          <t>2603-1001-S01</t>
        </is>
      </c>
      <c r="B45" s="77">
        <f>IF(ISBLANK(tbl_明細[[#This Row],[案件番号]]),"",COUNTIFS($A$3:A45,tbl_明細[[#This Row],[案件番号]],$AA$3:AA45,"&gt;0"))</f>
        <v/>
      </c>
      <c r="C45" s="209">
        <f>COUNTIFS($A$3:A45,tbl_明細[[#This Row],[案件番号]],$F$3:F45,tbl_明細[[#This Row],[仕入先]])</f>
        <v/>
      </c>
      <c r="D45" s="77">
        <f>_xlfn.XLOOKUP(tbl_明細[[#This Row],[案件番号]],tbl_採番[案件番号],tbl_採番[顧客],"",0,1)</f>
        <v/>
      </c>
      <c r="E45" s="209" t="inlineStr">
        <is>
          <t>PRD_</t>
        </is>
      </c>
      <c r="F45" s="118" t="inlineStr">
        <is>
          <t>コットンクラブ</t>
        </is>
      </c>
      <c r="G45" s="112" t="inlineStr">
        <is>
          <t>送料</t>
        </is>
      </c>
      <c r="H45" s="80" t="n">
        <v>2110</v>
      </c>
      <c r="I45" s="80">
        <f>_xlfn.XLOOKUP(tbl_明細[[#This Row],[商品ID]],商品マスタ[商品連番],商品マスタ[国内定価
（15％）],"",0,1)</f>
        <v/>
      </c>
      <c r="J45" s="85" t="n">
        <v>2110</v>
      </c>
      <c r="K45" s="209" t="n">
        <v>1</v>
      </c>
      <c r="L45" s="77" t="inlineStr">
        <is>
          <t>式</t>
        </is>
      </c>
      <c r="M45" s="249">
        <f>1-tbl_明細[[#This Row],[仕入価格]]/tbl_明細[[#This Row],[販売価格（売値）]]</f>
        <v/>
      </c>
      <c r="N45" s="189" t="n">
        <v>0.1</v>
      </c>
      <c r="O45" s="120" t="n"/>
      <c r="P45" s="209" t="n"/>
      <c r="Q45" s="85" t="n"/>
      <c r="R45" s="85" t="n"/>
      <c r="S45" s="209" t="n"/>
      <c r="T45" s="209" t="n"/>
      <c r="U45" s="79" t="n"/>
      <c r="V45" s="79" t="n"/>
      <c r="W45" s="113" t="n"/>
      <c r="X45" s="306">
        <f>tbl_明細[[#This Row],[仕入価格]]*tbl_明細[[#This Row],[数量]]+tbl_明細[[#This Row],[仕入価格（M)]]*tbl_明細[[#This Row],[数量（M)]]</f>
        <v/>
      </c>
      <c r="Y45" s="306">
        <f>tbl_明細[[#This Row],[販売価格（売値）]]*tbl_明細[[#This Row],[数量]]+tbl_明細[[#This Row],[販売価格（M)]]*tbl_明細[[#This Row],[数量（M)]]</f>
        <v/>
      </c>
      <c r="Z45" s="307">
        <f>_xlfn.XLOOKUP(tbl_明細[[#This Row],[案件番号]],tbl_案件追跡[案件番号],tbl_案件追跡[受注],"",0,1)</f>
        <v/>
      </c>
      <c r="AA45" s="228">
        <f>tbl_明細[[#This Row],[販売価格（売値）]]+tbl_明細[[#This Row],[販売価格（M)]]</f>
        <v/>
      </c>
      <c r="AB45" s="261">
        <f>tbl_明細[[#This Row],[販売価格（売値）]]*1.08+tbl_明細[[#This Row],[販売価格（M)]]*1.08</f>
        <v/>
      </c>
    </row>
    <row r="46">
      <c r="A46" s="70" t="inlineStr">
        <is>
          <t>2602-1001-A01</t>
        </is>
      </c>
      <c r="B46" s="77">
        <f>IF(ISBLANK(tbl_明細[[#This Row],[案件番号]]),"",COUNTIFS($A$3:A46,tbl_明細[[#This Row],[案件番号]],$AA$3:AA46,"&gt;0"))</f>
        <v/>
      </c>
      <c r="C46" s="209">
        <f>COUNTIFS($A$3:A46,tbl_明細[[#This Row],[案件番号]],$F$3:F46,tbl_明細[[#This Row],[仕入先]])</f>
        <v/>
      </c>
      <c r="D46" s="77">
        <f>_xlfn.XLOOKUP(tbl_明細[[#This Row],[案件番号]],tbl_採番[案件番号],tbl_採番[顧客],"",0,1)</f>
        <v/>
      </c>
      <c r="E46" s="209" t="inlineStr">
        <is>
          <t>PRD_SNJ_KYS_0001_01</t>
        </is>
      </c>
      <c r="F46" s="118">
        <f>IF(ISBLANK(tbl_明細[[#This Row],[仕入先（M)]]),_xlfn.XLOOKUP(tbl_明細[[#This Row],[商品ID]],商品マスタ[商品連番],商品マスタ[仕入先],"",0,1),tbl_明細[[#This Row],[仕入先（M)]])</f>
        <v/>
      </c>
      <c r="G46" s="112">
        <f>IF(ISBLANK(tbl_明細[[#This Row],[商品名（M)]]),_xlfn.XLOOKUP(tbl_明細[[#This Row],[商品ID]],商品マスタ[商品連番],商品マスタ[商品名],"",0,),tbl_明細[[#This Row],[商品名（M)]])</f>
        <v/>
      </c>
      <c r="H46" s="80">
        <f>IF(ISBLANK(tbl_明細[[#This Row],[仕入価格（M)]]),_xlfn.XLOOKUP(tbl_明細[[#This Row],[商品ID]],商品マスタ[商品連番],商品マスタ[仕入
単価],"",0,1),tbl_明細[[#This Row],[仕入価格（M)]])</f>
        <v/>
      </c>
      <c r="I46" s="80">
        <f>_xlfn.XLOOKUP(tbl_明細[[#This Row],[商品ID]],商品マスタ[商品連番],商品マスタ[国内定価
（15％）],"",0,1)</f>
        <v/>
      </c>
      <c r="J46" s="85">
        <f>1250/1.08</f>
        <v/>
      </c>
      <c r="K46" s="209" t="n">
        <v>10</v>
      </c>
      <c r="L46" s="77">
        <f>_xlfn.XLOOKUP(tbl_明細[[#This Row],[商品ID]],商品マスタ[商品連番],商品マスタ[単位],"",0,1)</f>
        <v/>
      </c>
      <c r="M46" s="249">
        <f>1-tbl_明細[[#This Row],[仕入価格]]/tbl_明細[[#This Row],[販売価格（売値）]]</f>
        <v/>
      </c>
      <c r="N46" s="189">
        <f>_xlfn.XLOOKUP(tbl_明細[[#This Row],[商品ID]],商品マスタ[商品連番],商品マスタ[税率],"",0,1)</f>
        <v/>
      </c>
      <c r="O46" s="120" t="n"/>
      <c r="P46" s="209" t="n"/>
      <c r="Q46" s="85" t="n"/>
      <c r="R46" s="85" t="n"/>
      <c r="S46" s="209" t="n"/>
      <c r="T46" s="209" t="n"/>
      <c r="U46" s="79" t="n"/>
      <c r="V46" s="113" t="inlineStr">
        <is>
          <t>舞鶴港向け</t>
        </is>
      </c>
      <c r="W46" s="113" t="inlineStr">
        <is>
          <t>舞鶴港向け</t>
        </is>
      </c>
      <c r="X46" s="306">
        <f>tbl_明細[[#This Row],[仕入価格]]*tbl_明細[[#This Row],[数量]]+tbl_明細[[#This Row],[仕入価格（M)]]*tbl_明細[[#This Row],[数量（M)]]</f>
        <v/>
      </c>
      <c r="Y46" s="306">
        <f>tbl_明細[[#This Row],[販売価格（売値）]]*tbl_明細[[#This Row],[数量]]+tbl_明細[[#This Row],[販売価格（M)]]*tbl_明細[[#This Row],[数量（M)]]</f>
        <v/>
      </c>
      <c r="Z46" s="307">
        <f>_xlfn.XLOOKUP(tbl_明細[[#This Row],[案件番号]],tbl_案件追跡[案件番号],tbl_案件追跡[受注],"",0,1)</f>
        <v/>
      </c>
      <c r="AA46" s="228">
        <f>tbl_明細[[#This Row],[販売価格（売値）]]+tbl_明細[[#This Row],[販売価格（M)]]</f>
        <v/>
      </c>
      <c r="AB46" s="261">
        <f>tbl_明細[[#This Row],[販売価格（売値）]]*1.08+tbl_明細[[#This Row],[販売価格（M)]]*1.08</f>
        <v/>
      </c>
    </row>
    <row r="47">
      <c r="A47" s="70" t="inlineStr">
        <is>
          <t>2602-1001-A01</t>
        </is>
      </c>
      <c r="B47" s="77">
        <f>IF(ISBLANK(tbl_明細[[#This Row],[案件番号]]),"",COUNTIFS($A$3:A47,tbl_明細[[#This Row],[案件番号]],$AA$3:AA47,"&gt;0"))</f>
        <v/>
      </c>
      <c r="C47" s="209">
        <f>COUNTIFS($A$3:A47,tbl_明細[[#This Row],[案件番号]],$F$3:F47,tbl_明細[[#This Row],[仕入先]])</f>
        <v/>
      </c>
      <c r="D47" s="77">
        <f>_xlfn.XLOOKUP(tbl_明細[[#This Row],[案件番号]],tbl_採番[案件番号],tbl_採番[顧客],"",0,1)</f>
        <v/>
      </c>
      <c r="E47" s="209" t="n"/>
      <c r="F47" s="118">
        <f>IF(ISBLANK(tbl_明細[[#This Row],[仕入先（M)]]),_xlfn.XLOOKUP(tbl_明細[[#This Row],[商品ID]],商品マスタ[商品連番],商品マスタ[仕入先],"",0,1),tbl_明細[[#This Row],[仕入先（M)]])</f>
        <v/>
      </c>
      <c r="G47" s="112">
        <f>IF(ISBLANK(tbl_明細[[#This Row],[商品名（M)]]),_xlfn.XLOOKUP(tbl_明細[[#This Row],[商品ID]],商品マスタ[商品連番],商品マスタ[商品名],"",0,),tbl_明細[[#This Row],[商品名（M)]])</f>
        <v/>
      </c>
      <c r="H47" s="80">
        <f>IF(ISBLANK(tbl_明細[[#This Row],[仕入価格（M)]]),_xlfn.XLOOKUP(tbl_明細[[#This Row],[商品ID]],商品マスタ[商品連番],商品マスタ[仕入
単価],"",0,1),tbl_明細[[#This Row],[仕入価格（M)]])</f>
        <v/>
      </c>
      <c r="I47" s="80">
        <f>_xlfn.XLOOKUP(tbl_明細[[#This Row],[商品ID]],商品マスタ[商品連番],商品マスタ[国内定価
（15％）],"",0,1)</f>
        <v/>
      </c>
      <c r="J47" s="85" t="n"/>
      <c r="K47" s="209" t="n"/>
      <c r="L47" s="77">
        <f>_xlfn.XLOOKUP(tbl_明細[[#This Row],[商品ID]],商品マスタ[商品連番],商品マスタ[単位],"",0,1)</f>
        <v/>
      </c>
      <c r="M47" s="249">
        <f>1-tbl_明細[[#This Row],[仕入価格]]/tbl_明細[[#This Row],[販売価格（売値）]]</f>
        <v/>
      </c>
      <c r="N47" s="189">
        <f>_xlfn.XLOOKUP(tbl_明細[[#This Row],[商品ID]],商品マスタ[商品連番],商品マスタ[税率],"",0,1)</f>
        <v/>
      </c>
      <c r="O47" s="120" t="inlineStr">
        <is>
          <t>協栄製茶　壱之庄</t>
        </is>
      </c>
      <c r="P47" s="209" t="inlineStr">
        <is>
          <t>送料（京都）</t>
        </is>
      </c>
      <c r="Q47" s="85" t="n">
        <v>700</v>
      </c>
      <c r="R47" s="85" t="n">
        <v>700</v>
      </c>
      <c r="S47" s="209" t="n">
        <v>1</v>
      </c>
      <c r="T47" s="209" t="inlineStr">
        <is>
          <t>式</t>
        </is>
      </c>
      <c r="U47" s="79" t="n">
        <v>0.1</v>
      </c>
      <c r="V47" s="113" t="inlineStr">
        <is>
          <t>舞鶴港向け</t>
        </is>
      </c>
      <c r="W47" s="113" t="inlineStr">
        <is>
          <t>舞鶴港向け</t>
        </is>
      </c>
      <c r="X47" s="306">
        <f>tbl_明細[[#This Row],[仕入価格]]*tbl_明細[[#This Row],[数量]]+tbl_明細[[#This Row],[仕入価格（M)]]*tbl_明細[[#This Row],[数量（M)]]</f>
        <v/>
      </c>
      <c r="Y47" s="306">
        <f>tbl_明細[[#This Row],[販売価格（売値）]]*tbl_明細[[#This Row],[数量]]+tbl_明細[[#This Row],[販売価格（M)]]*tbl_明細[[#This Row],[数量（M)]]</f>
        <v/>
      </c>
      <c r="Z47" s="307">
        <f>_xlfn.XLOOKUP(tbl_明細[[#This Row],[案件番号]],tbl_案件追跡[案件番号],tbl_案件追跡[受注],"",0,1)</f>
        <v/>
      </c>
      <c r="AA47" s="228">
        <f>tbl_明細[[#This Row],[販売価格（売値）]]+tbl_明細[[#This Row],[販売価格（M)]]</f>
        <v/>
      </c>
      <c r="AB47" s="261">
        <f>tbl_明細[[#This Row],[販売価格（売値）]]*1.08+tbl_明細[[#This Row],[販売価格（M)]]*1.08</f>
        <v/>
      </c>
    </row>
    <row r="48">
      <c r="A48" s="70" t="inlineStr">
        <is>
          <t>2602-1001-A01</t>
        </is>
      </c>
      <c r="B48" s="77">
        <f>IF(ISBLANK(tbl_明細[[#This Row],[案件番号]]),"",COUNTIFS($A$3:A48,tbl_明細[[#This Row],[案件番号]],$AA$3:AA48,"&gt;0"))</f>
        <v/>
      </c>
      <c r="C48" s="209">
        <f>COUNTIFS($A$3:A48,tbl_明細[[#This Row],[案件番号]],$F$3:F48,tbl_明細[[#This Row],[仕入先]])</f>
        <v/>
      </c>
      <c r="D48" s="77">
        <f>_xlfn.XLOOKUP(tbl_明細[[#This Row],[案件番号]],tbl_採番[案件番号],tbl_採番[顧客],"",0,1)</f>
        <v/>
      </c>
      <c r="E48" s="209" t="inlineStr">
        <is>
          <t>PRD_SNJ_KYS_0001_01</t>
        </is>
      </c>
      <c r="F48" s="118">
        <f>IF(ISBLANK(tbl_明細[[#This Row],[仕入先（M)]]),_xlfn.XLOOKUP(tbl_明細[[#This Row],[商品ID]],商品マスタ[商品連番],商品マスタ[仕入先],"",0,1),tbl_明細[[#This Row],[仕入先（M)]])</f>
        <v/>
      </c>
      <c r="G48" s="112">
        <f>IF(ISBLANK(tbl_明細[[#This Row],[商品名（M)]]),_xlfn.XLOOKUP(tbl_明細[[#This Row],[商品ID]],商品マスタ[商品連番],商品マスタ[商品名],"",0,),tbl_明細[[#This Row],[商品名（M)]])</f>
        <v/>
      </c>
      <c r="H48" s="80">
        <f>IF(ISBLANK(tbl_明細[[#This Row],[仕入価格（M)]]),_xlfn.XLOOKUP(tbl_明細[[#This Row],[商品ID]],商品マスタ[商品連番],商品マスタ[仕入
単価],"",0,1),tbl_明細[[#This Row],[仕入価格（M)]])</f>
        <v/>
      </c>
      <c r="I48" s="80">
        <f>_xlfn.XLOOKUP(tbl_明細[[#This Row],[商品ID]],商品マスタ[商品連番],商品マスタ[国内定価
（15％）],"",0,1)</f>
        <v/>
      </c>
      <c r="J48" s="85">
        <f>1250/1.08</f>
        <v/>
      </c>
      <c r="K48" s="209" t="n">
        <v>30</v>
      </c>
      <c r="L48" s="77">
        <f>_xlfn.XLOOKUP(tbl_明細[[#This Row],[商品ID]],商品マスタ[商品連番],商品マスタ[単位],"",0,1)</f>
        <v/>
      </c>
      <c r="M48" s="249">
        <f>1-tbl_明細[[#This Row],[仕入価格]]/tbl_明細[[#This Row],[販売価格（売値）]]</f>
        <v/>
      </c>
      <c r="N48" s="189">
        <f>_xlfn.XLOOKUP(tbl_明細[[#This Row],[商品ID]],商品マスタ[商品連番],商品マスタ[税率],"",0,1)</f>
        <v/>
      </c>
      <c r="O48" s="120" t="n"/>
      <c r="P48" s="209" t="n"/>
      <c r="Q48" s="85" t="n"/>
      <c r="R48" s="85" t="n"/>
      <c r="S48" s="209" t="n"/>
      <c r="T48" s="209" t="n"/>
      <c r="U48" s="79" t="n"/>
      <c r="V48" s="113" t="inlineStr">
        <is>
          <t>敦賀港向け</t>
        </is>
      </c>
      <c r="W48" s="113" t="inlineStr">
        <is>
          <t>敦賀港向け</t>
        </is>
      </c>
      <c r="X48" s="306">
        <f>tbl_明細[[#This Row],[仕入価格]]*tbl_明細[[#This Row],[数量]]+tbl_明細[[#This Row],[仕入価格（M)]]*tbl_明細[[#This Row],[数量（M)]]</f>
        <v/>
      </c>
      <c r="Y48" s="306">
        <f>tbl_明細[[#This Row],[販売価格（売値）]]*tbl_明細[[#This Row],[数量]]+tbl_明細[[#This Row],[販売価格（M)]]*tbl_明細[[#This Row],[数量（M)]]</f>
        <v/>
      </c>
      <c r="Z48" s="307">
        <f>_xlfn.XLOOKUP(tbl_明細[[#This Row],[案件番号]],tbl_案件追跡[案件番号],tbl_案件追跡[受注],"",0,1)</f>
        <v/>
      </c>
      <c r="AA48" s="228">
        <f>tbl_明細[[#This Row],[販売価格（売値）]]+tbl_明細[[#This Row],[販売価格（M)]]</f>
        <v/>
      </c>
      <c r="AB48" s="261">
        <f>tbl_明細[[#This Row],[販売価格（売値）]]*1.08+tbl_明細[[#This Row],[販売価格（M)]]*1.08</f>
        <v/>
      </c>
    </row>
    <row r="49">
      <c r="A49" s="70" t="inlineStr">
        <is>
          <t>2602-1001-A01</t>
        </is>
      </c>
      <c r="B49" s="77">
        <f>IF(ISBLANK(tbl_明細[[#This Row],[案件番号]]),"",COUNTIFS($A$3:A49,tbl_明細[[#This Row],[案件番号]],$AA$3:AA49,"&gt;0"))</f>
        <v/>
      </c>
      <c r="C49" s="209">
        <f>COUNTIFS($A$3:A49,tbl_明細[[#This Row],[案件番号]],$F$3:F49,tbl_明細[[#This Row],[仕入先]])</f>
        <v/>
      </c>
      <c r="D49" s="77">
        <f>_xlfn.XLOOKUP(tbl_明細[[#This Row],[案件番号]],tbl_採番[案件番号],tbl_採番[顧客],"",0,1)</f>
        <v/>
      </c>
      <c r="E49" s="209" t="n"/>
      <c r="F49" s="118">
        <f>IF(ISBLANK(tbl_明細[[#This Row],[仕入先（M)]]),_xlfn.XLOOKUP(tbl_明細[[#This Row],[商品ID]],商品マスタ[商品連番],商品マスタ[仕入先],"",0,1),tbl_明細[[#This Row],[仕入先（M)]])</f>
        <v/>
      </c>
      <c r="G49" s="112">
        <f>IF(ISBLANK(tbl_明細[[#This Row],[商品名（M)]]),_xlfn.XLOOKUP(tbl_明細[[#This Row],[商品ID]],商品マスタ[商品連番],商品マスタ[商品名],"",0,),tbl_明細[[#This Row],[商品名（M)]])</f>
        <v/>
      </c>
      <c r="H49" s="80">
        <f>IF(ISBLANK(tbl_明細[[#This Row],[仕入価格（M)]]),_xlfn.XLOOKUP(tbl_明細[[#This Row],[商品ID]],商品マスタ[商品連番],商品マスタ[仕入
単価],"",0,1),tbl_明細[[#This Row],[仕入価格（M)]])</f>
        <v/>
      </c>
      <c r="I49" s="80">
        <f>_xlfn.XLOOKUP(tbl_明細[[#This Row],[商品ID]],商品マスタ[商品連番],商品マスタ[国内定価
（15％）],"",0,1)</f>
        <v/>
      </c>
      <c r="J49" s="85" t="n"/>
      <c r="K49" s="209" t="n"/>
      <c r="L49" s="77">
        <f>_xlfn.XLOOKUP(tbl_明細[[#This Row],[商品ID]],商品マスタ[商品連番],商品マスタ[単位],"",0,1)</f>
        <v/>
      </c>
      <c r="M49" s="249">
        <f>1-tbl_明細[[#This Row],[仕入価格]]/tbl_明細[[#This Row],[販売価格（売値）]]</f>
        <v/>
      </c>
      <c r="N49" s="189">
        <f>_xlfn.XLOOKUP(tbl_明細[[#This Row],[商品ID]],商品マスタ[商品連番],商品マスタ[税率],"",0,1)</f>
        <v/>
      </c>
      <c r="O49" s="120" t="inlineStr">
        <is>
          <t>協栄製茶　壱之庄</t>
        </is>
      </c>
      <c r="P49" s="209" t="inlineStr">
        <is>
          <t>送料（福井）</t>
        </is>
      </c>
      <c r="Q49" s="85" t="n">
        <v>850</v>
      </c>
      <c r="R49" s="85" t="n">
        <v>850</v>
      </c>
      <c r="S49" s="209" t="n">
        <v>1</v>
      </c>
      <c r="T49" s="209" t="inlineStr">
        <is>
          <t>式</t>
        </is>
      </c>
      <c r="U49" s="79" t="n">
        <v>0.1</v>
      </c>
      <c r="V49" s="113" t="inlineStr">
        <is>
          <t>敦賀港向け</t>
        </is>
      </c>
      <c r="W49" s="113" t="inlineStr">
        <is>
          <t>敦賀港向け</t>
        </is>
      </c>
      <c r="X49" s="306">
        <f>tbl_明細[[#This Row],[仕入価格]]*tbl_明細[[#This Row],[数量]]+tbl_明細[[#This Row],[仕入価格（M)]]*tbl_明細[[#This Row],[数量（M)]]</f>
        <v/>
      </c>
      <c r="Y49" s="306">
        <f>tbl_明細[[#This Row],[販売価格（売値）]]*tbl_明細[[#This Row],[数量]]+tbl_明細[[#This Row],[販売価格（M)]]*tbl_明細[[#This Row],[数量（M)]]</f>
        <v/>
      </c>
      <c r="Z49" s="307">
        <f>_xlfn.XLOOKUP(tbl_明細[[#This Row],[案件番号]],tbl_案件追跡[案件番号],tbl_案件追跡[受注],"",0,1)</f>
        <v/>
      </c>
      <c r="AA49" s="228">
        <f>tbl_明細[[#This Row],[販売価格（売値）]]+tbl_明細[[#This Row],[販売価格（M)]]</f>
        <v/>
      </c>
      <c r="AB49" s="261">
        <f>tbl_明細[[#This Row],[販売価格（売値）]]*1.08+tbl_明細[[#This Row],[販売価格（M)]]*1.08</f>
        <v/>
      </c>
    </row>
    <row r="50">
      <c r="A50" s="212" t="inlineStr">
        <is>
          <t>2603-1002-S01</t>
        </is>
      </c>
      <c r="B50" s="77">
        <f>IF(ISBLANK(tbl_明細[[#This Row],[案件番号]]),"",COUNTIFS($A$3:A50,tbl_明細[[#This Row],[案件番号]],$AA$3:AA50,"&gt;0"))</f>
        <v/>
      </c>
      <c r="C50" s="209">
        <f>COUNTIFS($A$3:A50,tbl_明細[[#This Row],[案件番号]],$F$3:F50,tbl_明細[[#This Row],[仕入先]])</f>
        <v/>
      </c>
      <c r="D50" s="77">
        <f>_xlfn.XLOOKUP(tbl_明細[[#This Row],[案件番号]],tbl_採番[案件番号],tbl_採番[顧客],"",0,1)</f>
        <v/>
      </c>
      <c r="E50" s="209" t="inlineStr">
        <is>
          <t>PRD_SNJ_MTS_0003_01</t>
        </is>
      </c>
      <c r="F50" s="118">
        <f>IF(ISBLANK(tbl_明細[[#This Row],[仕入先（M)]]),_xlfn.XLOOKUP(tbl_明細[[#This Row],[商品ID]],商品マスタ[商品連番],商品マスタ[仕入先],"",0,1),tbl_明細[[#This Row],[仕入先（M)]])</f>
        <v/>
      </c>
      <c r="G50" s="112">
        <f>IF(ISBLANK(tbl_明細[[#This Row],[商品名（M)]]),_xlfn.XLOOKUP(tbl_明細[[#This Row],[商品ID]],商品マスタ[商品連番],商品マスタ[商品名],"",0,),tbl_明細[[#This Row],[商品名（M)]])</f>
        <v/>
      </c>
      <c r="H50" s="80">
        <f>IF(ISBLANK(tbl_明細[[#This Row],[仕入価格（M)]]),_xlfn.XLOOKUP(tbl_明細[[#This Row],[商品ID]],商品マスタ[商品連番],商品マスタ[仕入
単価],"",0,1),tbl_明細[[#This Row],[仕入価格（M)]])</f>
        <v/>
      </c>
      <c r="I50" s="80">
        <f>_xlfn.XLOOKUP(tbl_明細[[#This Row],[商品ID]],商品マスタ[商品連番],商品マスタ[国内定価
（15％）],"",0,1)</f>
        <v/>
      </c>
      <c r="J50" s="85" t="n">
        <v>550</v>
      </c>
      <c r="K50" s="209" t="n">
        <v>20</v>
      </c>
      <c r="L50" s="77">
        <f>_xlfn.XLOOKUP(tbl_明細[[#This Row],[商品ID]],商品マスタ[商品連番],商品マスタ[単位],"",0,1)</f>
        <v/>
      </c>
      <c r="M50" s="249">
        <f>1-tbl_明細[[#This Row],[仕入価格]]/tbl_明細[[#This Row],[販売価格（売値）]]</f>
        <v/>
      </c>
      <c r="N50" s="189">
        <f>_xlfn.XLOOKUP(tbl_明細[[#This Row],[商品ID]],商品マスタ[商品連番],商品マスタ[税率],"",0,1)</f>
        <v/>
      </c>
      <c r="O50" s="120" t="n"/>
      <c r="P50" s="209" t="n"/>
      <c r="Q50" s="85" t="n"/>
      <c r="R50" s="85" t="n"/>
      <c r="S50" s="209" t="n"/>
      <c r="T50" s="209" t="n"/>
      <c r="U50" s="79" t="n"/>
      <c r="V50" s="79" t="n"/>
      <c r="W50" s="113" t="n"/>
      <c r="X50" s="306">
        <f>tbl_明細[[#This Row],[仕入価格]]*tbl_明細[[#This Row],[数量]]+tbl_明細[[#This Row],[仕入価格（M)]]*tbl_明細[[#This Row],[数量（M)]]</f>
        <v/>
      </c>
      <c r="Y50" s="306">
        <f>tbl_明細[[#This Row],[販売価格（売値）]]*tbl_明細[[#This Row],[数量]]+tbl_明細[[#This Row],[販売価格（M)]]*tbl_明細[[#This Row],[数量（M)]]</f>
        <v/>
      </c>
      <c r="Z50" s="307">
        <f>_xlfn.XLOOKUP(tbl_明細[[#This Row],[案件番号]],tbl_案件追跡[案件番号],tbl_案件追跡[受注],"",0,1)</f>
        <v/>
      </c>
      <c r="AA50" s="228">
        <f>tbl_明細[[#This Row],[販売価格（売値）]]+tbl_明細[[#This Row],[販売価格（M)]]</f>
        <v/>
      </c>
      <c r="AB50" s="261">
        <f>tbl_明細[[#This Row],[販売価格（売値）]]*1.08+tbl_明細[[#This Row],[販売価格（M)]]*1.08</f>
        <v/>
      </c>
    </row>
    <row r="51">
      <c r="A51" s="212" t="inlineStr">
        <is>
          <t>2603-1002-S01</t>
        </is>
      </c>
      <c r="B51" s="77">
        <f>IF(ISBLANK(tbl_明細[[#This Row],[案件番号]]),"",COUNTIFS($A$3:A51,tbl_明細[[#This Row],[案件番号]],$AA$3:AA51,"&gt;0"))</f>
        <v/>
      </c>
      <c r="C51" s="209">
        <f>COUNTIFS($A$3:A51,tbl_明細[[#This Row],[案件番号]],$F$3:F51,tbl_明細[[#This Row],[仕入先]])</f>
        <v/>
      </c>
      <c r="D51" s="77">
        <f>_xlfn.XLOOKUP(tbl_明細[[#This Row],[案件番号]],tbl_採番[案件番号],tbl_採番[顧客],"",0,1)</f>
        <v/>
      </c>
      <c r="E51" s="209" t="n"/>
      <c r="F51" s="118" t="inlineStr">
        <is>
          <t>有限会社水戸青果</t>
        </is>
      </c>
      <c r="G51" s="112" t="inlineStr">
        <is>
          <t>送料（北海道）</t>
        </is>
      </c>
      <c r="H51" s="80" t="n">
        <v>1900</v>
      </c>
      <c r="I51" s="80">
        <f>_xlfn.XLOOKUP(tbl_明細[[#This Row],[商品ID]],商品マスタ[商品連番],商品マスタ[国内定価
（15％）],"",0,1)</f>
        <v/>
      </c>
      <c r="J51" s="85" t="n"/>
      <c r="K51" s="209" t="n"/>
      <c r="L51" s="77">
        <f>_xlfn.XLOOKUP(tbl_明細[[#This Row],[商品ID]],商品マスタ[商品連番],商品マスタ[単位],"",0,1)</f>
        <v/>
      </c>
      <c r="M51" s="249">
        <f>1-tbl_明細[[#This Row],[仕入価格]]/tbl_明細[[#This Row],[販売価格（売値）]]</f>
        <v/>
      </c>
      <c r="N51" s="189">
        <f>_xlfn.XLOOKUP(tbl_明細[[#This Row],[商品ID]],商品マスタ[商品連番],商品マスタ[税率],"",0,1)</f>
        <v/>
      </c>
      <c r="O51" s="120" t="inlineStr">
        <is>
          <t>有限会社水戸青果</t>
        </is>
      </c>
      <c r="P51" s="209" t="inlineStr">
        <is>
          <t>送料（北海道）</t>
        </is>
      </c>
      <c r="Q51" s="85" t="n">
        <v>1900</v>
      </c>
      <c r="R51" s="85" t="n">
        <v>1900</v>
      </c>
      <c r="S51" s="209" t="n">
        <v>2</v>
      </c>
      <c r="T51" s="209" t="inlineStr">
        <is>
          <t>箱</t>
        </is>
      </c>
      <c r="U51" s="79" t="n">
        <v>0.1</v>
      </c>
      <c r="V51" s="79" t="n"/>
      <c r="W51" s="113" t="n"/>
      <c r="X51" s="306">
        <f>tbl_明細[[#This Row],[仕入価格]]*tbl_明細[[#This Row],[数量]]+tbl_明細[[#This Row],[仕入価格（M)]]*tbl_明細[[#This Row],[数量（M)]]</f>
        <v/>
      </c>
      <c r="Y51" s="306">
        <f>tbl_明細[[#This Row],[販売価格（売値）]]*tbl_明細[[#This Row],[数量]]+tbl_明細[[#This Row],[販売価格（M)]]*tbl_明細[[#This Row],[数量（M)]]</f>
        <v/>
      </c>
      <c r="Z51" s="307">
        <f>_xlfn.XLOOKUP(tbl_明細[[#This Row],[案件番号]],tbl_案件追跡[案件番号],tbl_案件追跡[受注],"",0,1)</f>
        <v/>
      </c>
      <c r="AA51" s="228">
        <f>tbl_明細[[#This Row],[販売価格（売値）]]+tbl_明細[[#This Row],[販売価格（M)]]</f>
        <v/>
      </c>
      <c r="AB51" s="261">
        <f>tbl_明細[[#This Row],[販売価格（売値）]]*1.08+tbl_明細[[#This Row],[販売価格（M)]]*1.08</f>
        <v/>
      </c>
    </row>
    <row r="52">
      <c r="A52" s="212" t="inlineStr">
        <is>
          <t>2603-1004-S01</t>
        </is>
      </c>
      <c r="B52" s="77">
        <f>IF(ISBLANK(tbl_明細[[#This Row],[案件番号]]),"",COUNTIFS($A$3:A52,tbl_明細[[#This Row],[案件番号]],$AA$3:AA52,"&gt;0"))</f>
        <v/>
      </c>
      <c r="C52" s="209">
        <f>COUNTIFS($A$3:A52,tbl_明細[[#This Row],[案件番号]],$F$3:F52,tbl_明細[[#This Row],[仕入先]])</f>
        <v/>
      </c>
      <c r="D52" s="77">
        <f>_xlfn.XLOOKUP(tbl_明細[[#This Row],[案件番号]],tbl_採番[案件番号],tbl_採番[顧客],"",0,1)</f>
        <v/>
      </c>
      <c r="E52" s="209" t="inlineStr">
        <is>
          <t>PRD_SNJ_UMY_0013_01</t>
        </is>
      </c>
      <c r="F52" s="118">
        <f>IF(ISBLANK(tbl_明細[[#This Row],[仕入先（M)]]),_xlfn.XLOOKUP(tbl_明細[[#This Row],[商品ID]],商品マスタ[商品連番],商品マスタ[仕入先],"",0,1),tbl_明細[[#This Row],[仕入先（M)]])</f>
        <v/>
      </c>
      <c r="G52" s="112">
        <f>IF(ISBLANK(tbl_明細[[#This Row],[商品名（M)]]),_xlfn.XLOOKUP(tbl_明細[[#This Row],[商品ID]],商品マスタ[商品連番],商品マスタ[商品名],"",0,),tbl_明細[[#This Row],[商品名（M)]])</f>
        <v/>
      </c>
      <c r="H52" s="80">
        <f>IF(ISBLANK(tbl_明細[[#This Row],[仕入価格（M)]]),_xlfn.XLOOKUP(tbl_明細[[#This Row],[商品ID]],商品マスタ[商品連番],商品マスタ[仕入
単価],"",0,1),tbl_明細[[#This Row],[仕入価格（M)]])</f>
        <v/>
      </c>
      <c r="I52" s="80">
        <f>_xlfn.XLOOKUP(tbl_明細[[#This Row],[商品ID]],商品マスタ[商品連番],商品マスタ[国内定価
（15％）],"",0,1)</f>
        <v/>
      </c>
      <c r="J52" s="265" t="n">
        <v>250</v>
      </c>
      <c r="K52" s="209" t="n">
        <v>120</v>
      </c>
      <c r="L52" s="77">
        <f>_xlfn.XLOOKUP(tbl_明細[[#This Row],[商品ID]],商品マスタ[商品連番],商品マスタ[単位],"",0,1)</f>
        <v/>
      </c>
      <c r="M52" s="249">
        <f>1-tbl_明細[[#This Row],[仕入価格]]/tbl_明細[[#This Row],[販売価格（売値）]]</f>
        <v/>
      </c>
      <c r="N52" s="189">
        <f>_xlfn.XLOOKUP(tbl_明細[[#This Row],[商品ID]],商品マスタ[商品連番],商品マスタ[税率],"",0,1)</f>
        <v/>
      </c>
      <c r="O52" s="266" t="n"/>
      <c r="P52" s="209" t="n"/>
      <c r="Q52" s="265" t="n"/>
      <c r="R52" s="265" t="n"/>
      <c r="S52" s="209" t="n"/>
      <c r="T52" s="209" t="n"/>
      <c r="U52" s="267" t="n"/>
      <c r="V52" s="267" t="n"/>
      <c r="W52" s="268" t="n"/>
      <c r="X52" s="306">
        <f>tbl_明細[[#This Row],[仕入価格]]*tbl_明細[[#This Row],[数量]]+tbl_明細[[#This Row],[仕入価格（M)]]*tbl_明細[[#This Row],[数量（M)]]</f>
        <v/>
      </c>
      <c r="Y52" s="306">
        <f>tbl_明細[[#This Row],[販売価格（売値）]]*tbl_明細[[#This Row],[数量]]+tbl_明細[[#This Row],[販売価格（M)]]*tbl_明細[[#This Row],[数量（M)]]</f>
        <v/>
      </c>
      <c r="Z52" s="307">
        <f>_xlfn.XLOOKUP(tbl_明細[[#This Row],[案件番号]],tbl_案件追跡[案件番号],tbl_案件追跡[受注],"",0,1)</f>
        <v/>
      </c>
      <c r="AA52" s="228">
        <f>tbl_明細[[#This Row],[販売価格（売値）]]+tbl_明細[[#This Row],[販売価格（M)]]</f>
        <v/>
      </c>
      <c r="AB52" s="261">
        <f>tbl_明細[[#This Row],[販売価格（売値）]]*1.08+tbl_明細[[#This Row],[販売価格（M)]]*1.08</f>
        <v/>
      </c>
    </row>
    <row r="53">
      <c r="A53" s="212" t="inlineStr">
        <is>
          <t>2603-1004-S01</t>
        </is>
      </c>
      <c r="B53" s="77">
        <f>IF(ISBLANK(tbl_明細[[#This Row],[案件番号]]),"",COUNTIFS($A$3:A53,tbl_明細[[#This Row],[案件番号]],$AA$3:AA53,"&gt;0"))</f>
        <v/>
      </c>
      <c r="C53" s="209">
        <f>COUNTIFS($A$3:A53,tbl_明細[[#This Row],[案件番号]],$F$3:F53,tbl_明細[[#This Row],[仕入先]])</f>
        <v/>
      </c>
      <c r="D53" s="77">
        <f>_xlfn.XLOOKUP(tbl_明細[[#This Row],[案件番号]],tbl_採番[案件番号],tbl_採番[顧客],"",0,1)</f>
        <v/>
      </c>
      <c r="E53" s="269" t="inlineStr">
        <is>
          <t>PRD_SNJ_UMY_0014_01</t>
        </is>
      </c>
      <c r="F53" s="118">
        <f>IF(ISBLANK(tbl_明細[[#This Row],[仕入先（M)]]),_xlfn.XLOOKUP(tbl_明細[[#This Row],[商品ID]],商品マスタ[商品連番],商品マスタ[仕入先],"",0,1),tbl_明細[[#This Row],[仕入先（M)]])</f>
        <v/>
      </c>
      <c r="G53" s="112">
        <f>IF(ISBLANK(tbl_明細[[#This Row],[商品名（M)]]),_xlfn.XLOOKUP(tbl_明細[[#This Row],[商品ID]],商品マスタ[商品連番],商品マスタ[商品名],"",0,),tbl_明細[[#This Row],[商品名（M)]])</f>
        <v/>
      </c>
      <c r="H53" s="80">
        <f>IF(ISBLANK(tbl_明細[[#This Row],[仕入価格（M)]]),_xlfn.XLOOKUP(tbl_明細[[#This Row],[商品ID]],商品マスタ[商品連番],商品マスタ[仕入
単価],"",0,1),tbl_明細[[#This Row],[仕入価格（M)]])</f>
        <v/>
      </c>
      <c r="I53" s="80">
        <f>_xlfn.XLOOKUP(tbl_明細[[#This Row],[商品ID]],商品マスタ[商品連番],商品マスタ[国内定価
（15％）],"",0,1)</f>
        <v/>
      </c>
      <c r="J53" s="265" t="n">
        <v>210</v>
      </c>
      <c r="K53" s="209" t="n">
        <v>15</v>
      </c>
      <c r="L53" s="77">
        <f>_xlfn.XLOOKUP(tbl_明細[[#This Row],[商品ID]],商品マスタ[商品連番],商品マスタ[単位],"",0,1)</f>
        <v/>
      </c>
      <c r="M53" s="249">
        <f>1-tbl_明細[[#This Row],[仕入価格]]/tbl_明細[[#This Row],[販売価格（売値）]]</f>
        <v/>
      </c>
      <c r="N53" s="189">
        <f>_xlfn.XLOOKUP(tbl_明細[[#This Row],[商品ID]],商品マスタ[商品連番],商品マスタ[税率],"",0,1)</f>
        <v/>
      </c>
      <c r="O53" s="266" t="n"/>
      <c r="P53" s="209" t="n"/>
      <c r="Q53" s="265" t="n"/>
      <c r="R53" s="265" t="n"/>
      <c r="S53" s="209" t="n"/>
      <c r="T53" s="209" t="n"/>
      <c r="U53" s="267" t="n"/>
      <c r="V53" s="267" t="n"/>
      <c r="W53" s="268" t="n"/>
      <c r="X53" s="306">
        <f>tbl_明細[[#This Row],[仕入価格]]*tbl_明細[[#This Row],[数量]]+tbl_明細[[#This Row],[仕入価格（M)]]*tbl_明細[[#This Row],[数量（M)]]</f>
        <v/>
      </c>
      <c r="Y53" s="306">
        <f>tbl_明細[[#This Row],[販売価格（売値）]]*tbl_明細[[#This Row],[数量]]+tbl_明細[[#This Row],[販売価格（M)]]*tbl_明細[[#This Row],[数量（M)]]</f>
        <v/>
      </c>
      <c r="Z53" s="307">
        <f>_xlfn.XLOOKUP(tbl_明細[[#This Row],[案件番号]],tbl_案件追跡[案件番号],tbl_案件追跡[受注],"",0,1)</f>
        <v/>
      </c>
      <c r="AA53" s="228">
        <f>tbl_明細[[#This Row],[販売価格（売値）]]+tbl_明細[[#This Row],[販売価格（M)]]</f>
        <v/>
      </c>
      <c r="AB53" s="261">
        <f>tbl_明細[[#This Row],[販売価格（売値）]]*1.08+tbl_明細[[#This Row],[販売価格（M)]]*1.08</f>
        <v/>
      </c>
    </row>
    <row r="54">
      <c r="A54" s="212" t="inlineStr">
        <is>
          <t>2603-1004-S01</t>
        </is>
      </c>
      <c r="B54" s="77">
        <f>IF(ISBLANK(tbl_明細[[#This Row],[案件番号]]),"",COUNTIFS($A$3:A54,tbl_明細[[#This Row],[案件番号]],$AA$3:AA54,"&gt;0"))</f>
        <v/>
      </c>
      <c r="C54" s="209">
        <f>COUNTIFS($A$3:A54,tbl_明細[[#This Row],[案件番号]],$F$3:F54,tbl_明細[[#This Row],[仕入先]])</f>
        <v/>
      </c>
      <c r="D54" s="77">
        <f>_xlfn.XLOOKUP(tbl_明細[[#This Row],[案件番号]],tbl_採番[案件番号],tbl_採番[顧客],"",0,1)</f>
        <v/>
      </c>
      <c r="E54" s="269" t="inlineStr">
        <is>
          <t>PRD_SNJ_UMY_0015_01</t>
        </is>
      </c>
      <c r="F54" s="118">
        <f>IF(ISBLANK(tbl_明細[[#This Row],[仕入先（M)]]),_xlfn.XLOOKUP(tbl_明細[[#This Row],[商品ID]],商品マスタ[商品連番],商品マスタ[仕入先],"",0,1),tbl_明細[[#This Row],[仕入先（M)]])</f>
        <v/>
      </c>
      <c r="G54" s="112">
        <f>IF(ISBLANK(tbl_明細[[#This Row],[商品名（M)]]),_xlfn.XLOOKUP(tbl_明細[[#This Row],[商品ID]],商品マスタ[商品連番],商品マスタ[商品名],"",0,),tbl_明細[[#This Row],[商品名（M)]])</f>
        <v/>
      </c>
      <c r="H54" s="80">
        <f>IF(ISBLANK(tbl_明細[[#This Row],[仕入価格（M)]]),_xlfn.XLOOKUP(tbl_明細[[#This Row],[商品ID]],商品マスタ[商品連番],商品マスタ[仕入
単価],"",0,1),tbl_明細[[#This Row],[仕入価格（M)]])</f>
        <v/>
      </c>
      <c r="I54" s="80">
        <f>_xlfn.XLOOKUP(tbl_明細[[#This Row],[商品ID]],商品マスタ[商品連番],商品マスタ[国内定価
（15％）],"",0,1)</f>
        <v/>
      </c>
      <c r="J54" s="265" t="n">
        <v>210</v>
      </c>
      <c r="K54" s="209" t="n">
        <v>15</v>
      </c>
      <c r="L54" s="77">
        <f>_xlfn.XLOOKUP(tbl_明細[[#This Row],[商品ID]],商品マスタ[商品連番],商品マスタ[単位],"",0,1)</f>
        <v/>
      </c>
      <c r="M54" s="249">
        <f>1-tbl_明細[[#This Row],[仕入価格]]/tbl_明細[[#This Row],[販売価格（売値）]]</f>
        <v/>
      </c>
      <c r="N54" s="189">
        <f>_xlfn.XLOOKUP(tbl_明細[[#This Row],[商品ID]],商品マスタ[商品連番],商品マスタ[税率],"",0,1)</f>
        <v/>
      </c>
      <c r="O54" s="266" t="n"/>
      <c r="P54" s="209" t="n"/>
      <c r="Q54" s="265" t="n"/>
      <c r="R54" s="265" t="n"/>
      <c r="S54" s="209" t="n"/>
      <c r="T54" s="209" t="n"/>
      <c r="U54" s="267" t="n"/>
      <c r="V54" s="267" t="n"/>
      <c r="W54" s="268" t="n"/>
      <c r="X54" s="306">
        <f>tbl_明細[[#This Row],[仕入価格]]*tbl_明細[[#This Row],[数量]]+tbl_明細[[#This Row],[仕入価格（M)]]*tbl_明細[[#This Row],[数量（M)]]</f>
        <v/>
      </c>
      <c r="Y54" s="306">
        <f>tbl_明細[[#This Row],[販売価格（売値）]]*tbl_明細[[#This Row],[数量]]+tbl_明細[[#This Row],[販売価格（M)]]*tbl_明細[[#This Row],[数量（M)]]</f>
        <v/>
      </c>
      <c r="Z54" s="307">
        <f>_xlfn.XLOOKUP(tbl_明細[[#This Row],[案件番号]],tbl_案件追跡[案件番号],tbl_案件追跡[受注],"",0,1)</f>
        <v/>
      </c>
      <c r="AA54" s="228">
        <f>tbl_明細[[#This Row],[販売価格（売値）]]+tbl_明細[[#This Row],[販売価格（M)]]</f>
        <v/>
      </c>
      <c r="AB54" s="261">
        <f>tbl_明細[[#This Row],[販売価格（売値）]]*1.08+tbl_明細[[#This Row],[販売価格（M)]]*1.08</f>
        <v/>
      </c>
    </row>
    <row r="55">
      <c r="A55" s="212" t="inlineStr">
        <is>
          <t>2603-1004-S01</t>
        </is>
      </c>
      <c r="B55" s="77">
        <f>IF(ISBLANK(tbl_明細[[#This Row],[案件番号]]),"",COUNTIFS($A$3:A55,tbl_明細[[#This Row],[案件番号]],$AA$3:AA55,"&gt;0"))</f>
        <v/>
      </c>
      <c r="C55" s="209">
        <f>COUNTIFS($A$3:A55,tbl_明細[[#This Row],[案件番号]],$F$3:F55,tbl_明細[[#This Row],[仕入先]])</f>
        <v/>
      </c>
      <c r="D55" s="77">
        <f>_xlfn.XLOOKUP(tbl_明細[[#This Row],[案件番号]],tbl_採番[案件番号],tbl_採番[顧客],"",0,1)</f>
        <v/>
      </c>
      <c r="E55" s="269" t="inlineStr">
        <is>
          <t>PRD_SNJ_UMY_0016_01</t>
        </is>
      </c>
      <c r="F55" s="118">
        <f>IF(ISBLANK(tbl_明細[[#This Row],[仕入先（M)]]),_xlfn.XLOOKUP(tbl_明細[[#This Row],[商品ID]],商品マスタ[商品連番],商品マスタ[仕入先],"",0,1),tbl_明細[[#This Row],[仕入先（M)]])</f>
        <v/>
      </c>
      <c r="G55" s="112">
        <f>IF(ISBLANK(tbl_明細[[#This Row],[商品名（M)]]),_xlfn.XLOOKUP(tbl_明細[[#This Row],[商品ID]],商品マスタ[商品連番],商品マスタ[商品名],"",0,),tbl_明細[[#This Row],[商品名（M)]])</f>
        <v/>
      </c>
      <c r="H55" s="80">
        <f>IF(ISBLANK(tbl_明細[[#This Row],[仕入価格（M)]]),_xlfn.XLOOKUP(tbl_明細[[#This Row],[商品ID]],商品マスタ[商品連番],商品マスタ[仕入
単価],"",0,1),tbl_明細[[#This Row],[仕入価格（M)]])</f>
        <v/>
      </c>
      <c r="I55" s="80">
        <f>_xlfn.XLOOKUP(tbl_明細[[#This Row],[商品ID]],商品マスタ[商品連番],商品マスタ[国内定価
（15％）],"",0,1)</f>
        <v/>
      </c>
      <c r="J55" s="265" t="n">
        <v>210</v>
      </c>
      <c r="K55" s="209" t="n">
        <v>15</v>
      </c>
      <c r="L55" s="77">
        <f>_xlfn.XLOOKUP(tbl_明細[[#This Row],[商品ID]],商品マスタ[商品連番],商品マスタ[単位],"",0,1)</f>
        <v/>
      </c>
      <c r="M55" s="249">
        <f>1-tbl_明細[[#This Row],[仕入価格]]/tbl_明細[[#This Row],[販売価格（売値）]]</f>
        <v/>
      </c>
      <c r="N55" s="189">
        <f>_xlfn.XLOOKUP(tbl_明細[[#This Row],[商品ID]],商品マスタ[商品連番],商品マスタ[税率],"",0,1)</f>
        <v/>
      </c>
      <c r="O55" s="266" t="n"/>
      <c r="P55" s="209" t="n"/>
      <c r="Q55" s="265" t="n"/>
      <c r="R55" s="265" t="n"/>
      <c r="S55" s="209" t="n"/>
      <c r="T55" s="209" t="n"/>
      <c r="U55" s="267" t="n"/>
      <c r="V55" s="267" t="n"/>
      <c r="W55" s="268" t="n"/>
      <c r="X55" s="306">
        <f>tbl_明細[[#This Row],[仕入価格]]*tbl_明細[[#This Row],[数量]]+tbl_明細[[#This Row],[仕入価格（M)]]*tbl_明細[[#This Row],[数量（M)]]</f>
        <v/>
      </c>
      <c r="Y55" s="306">
        <f>tbl_明細[[#This Row],[販売価格（売値）]]*tbl_明細[[#This Row],[数量]]+tbl_明細[[#This Row],[販売価格（M)]]*tbl_明細[[#This Row],[数量（M)]]</f>
        <v/>
      </c>
      <c r="Z55" s="307">
        <f>_xlfn.XLOOKUP(tbl_明細[[#This Row],[案件番号]],tbl_案件追跡[案件番号],tbl_案件追跡[受注],"",0,1)</f>
        <v/>
      </c>
      <c r="AA55" s="228">
        <f>tbl_明細[[#This Row],[販売価格（売値）]]+tbl_明細[[#This Row],[販売価格（M)]]</f>
        <v/>
      </c>
      <c r="AB55" s="261">
        <f>tbl_明細[[#This Row],[販売価格（売値）]]*1.08+tbl_明細[[#This Row],[販売価格（M)]]*1.08</f>
        <v/>
      </c>
    </row>
    <row r="56">
      <c r="A56" s="212" t="inlineStr">
        <is>
          <t>2603-1004-S01</t>
        </is>
      </c>
      <c r="B56" s="77">
        <f>IF(ISBLANK(tbl_明細[[#This Row],[案件番号]]),"",COUNTIFS($A$3:A56,tbl_明細[[#This Row],[案件番号]],$AA$3:AA56,"&gt;0"))</f>
        <v/>
      </c>
      <c r="C56" s="209">
        <f>COUNTIFS($A$3:A56,tbl_明細[[#This Row],[案件番号]],$F$3:F56,tbl_明細[[#This Row],[仕入先]])</f>
        <v/>
      </c>
      <c r="D56" s="77">
        <f>_xlfn.XLOOKUP(tbl_明細[[#This Row],[案件番号]],tbl_採番[案件番号],tbl_採番[顧客],"",0,1)</f>
        <v/>
      </c>
      <c r="E56" s="269" t="inlineStr">
        <is>
          <t>PRD_SNJ_UMY_0017_01</t>
        </is>
      </c>
      <c r="F56" s="118">
        <f>IF(ISBLANK(tbl_明細[[#This Row],[仕入先（M)]]),_xlfn.XLOOKUP(tbl_明細[[#This Row],[商品ID]],商品マスタ[商品連番],商品マスタ[仕入先],"",0,1),tbl_明細[[#This Row],[仕入先（M)]])</f>
        <v/>
      </c>
      <c r="G56" s="112">
        <f>IF(ISBLANK(tbl_明細[[#This Row],[商品名（M)]]),_xlfn.XLOOKUP(tbl_明細[[#This Row],[商品ID]],商品マスタ[商品連番],商品マスタ[商品名],"",0,),tbl_明細[[#This Row],[商品名（M)]])</f>
        <v/>
      </c>
      <c r="H56" s="80">
        <f>IF(ISBLANK(tbl_明細[[#This Row],[仕入価格（M)]]),_xlfn.XLOOKUP(tbl_明細[[#This Row],[商品ID]],商品マスタ[商品連番],商品マスタ[仕入
単価],"",0,1),tbl_明細[[#This Row],[仕入価格（M)]])</f>
        <v/>
      </c>
      <c r="I56" s="80">
        <f>_xlfn.XLOOKUP(tbl_明細[[#This Row],[商品ID]],商品マスタ[商品連番],商品マスタ[国内定価
（15％）],"",0,1)</f>
        <v/>
      </c>
      <c r="J56" s="265" t="n">
        <v>210</v>
      </c>
      <c r="K56" s="209" t="n">
        <v>15</v>
      </c>
      <c r="L56" s="77">
        <f>_xlfn.XLOOKUP(tbl_明細[[#This Row],[商品ID]],商品マスタ[商品連番],商品マスタ[単位],"",0,1)</f>
        <v/>
      </c>
      <c r="M56" s="249">
        <f>1-tbl_明細[[#This Row],[仕入価格]]/tbl_明細[[#This Row],[販売価格（売値）]]</f>
        <v/>
      </c>
      <c r="N56" s="189">
        <f>_xlfn.XLOOKUP(tbl_明細[[#This Row],[商品ID]],商品マスタ[商品連番],商品マスタ[税率],"",0,1)</f>
        <v/>
      </c>
      <c r="O56" s="266" t="n"/>
      <c r="P56" s="209" t="n"/>
      <c r="Q56" s="265" t="n"/>
      <c r="R56" s="265" t="n"/>
      <c r="S56" s="209" t="n"/>
      <c r="T56" s="209" t="n"/>
      <c r="U56" s="267" t="n"/>
      <c r="V56" s="267" t="n"/>
      <c r="W56" s="268" t="n"/>
      <c r="X56" s="306">
        <f>tbl_明細[[#This Row],[仕入価格]]*tbl_明細[[#This Row],[数量]]+tbl_明細[[#This Row],[仕入価格（M)]]*tbl_明細[[#This Row],[数量（M)]]</f>
        <v/>
      </c>
      <c r="Y56" s="306">
        <f>tbl_明細[[#This Row],[販売価格（売値）]]*tbl_明細[[#This Row],[数量]]+tbl_明細[[#This Row],[販売価格（M)]]*tbl_明細[[#This Row],[数量（M)]]</f>
        <v/>
      </c>
      <c r="Z56" s="307">
        <f>_xlfn.XLOOKUP(tbl_明細[[#This Row],[案件番号]],tbl_案件追跡[案件番号],tbl_案件追跡[受注],"",0,1)</f>
        <v/>
      </c>
      <c r="AA56" s="228">
        <f>tbl_明細[[#This Row],[販売価格（売値）]]+tbl_明細[[#This Row],[販売価格（M)]]</f>
        <v/>
      </c>
      <c r="AB56" s="261">
        <f>tbl_明細[[#This Row],[販売価格（売値）]]*1.08+tbl_明細[[#This Row],[販売価格（M)]]*1.08</f>
        <v/>
      </c>
    </row>
    <row r="57">
      <c r="A57" s="212" t="inlineStr">
        <is>
          <t>2603-1004-S01</t>
        </is>
      </c>
      <c r="B57" s="77">
        <f>IF(ISBLANK(tbl_明細[[#This Row],[案件番号]]),"",COUNTIFS($A$3:A57,tbl_明細[[#This Row],[案件番号]],$AA$3:AA57,"&gt;0"))</f>
        <v/>
      </c>
      <c r="C57" s="209">
        <f>COUNTIFS($A$3:A57,tbl_明細[[#This Row],[案件番号]],$F$3:F57,tbl_明細[[#This Row],[仕入先]])</f>
        <v/>
      </c>
      <c r="D57" s="77">
        <f>_xlfn.XLOOKUP(tbl_明細[[#This Row],[案件番号]],tbl_採番[案件番号],tbl_採番[顧客],"",0,1)</f>
        <v/>
      </c>
      <c r="E57" s="209" t="inlineStr">
        <is>
          <t>PRD_SNJ_UMY_0019_01</t>
        </is>
      </c>
      <c r="F57" s="118">
        <f>IF(ISBLANK(tbl_明細[[#This Row],[仕入先（M)]]),_xlfn.XLOOKUP(tbl_明細[[#This Row],[商品ID]],商品マスタ[商品連番],商品マスタ[仕入先],"",0,1),tbl_明細[[#This Row],[仕入先（M)]])</f>
        <v/>
      </c>
      <c r="G57" s="112">
        <f>IF(ISBLANK(tbl_明細[[#This Row],[商品名（M)]]),_xlfn.XLOOKUP(tbl_明細[[#This Row],[商品ID]],商品マスタ[商品連番],商品マスタ[商品名],"",0,),tbl_明細[[#This Row],[商品名（M)]])</f>
        <v/>
      </c>
      <c r="H57" s="80">
        <f>IF(ISBLANK(tbl_明細[[#This Row],[仕入価格（M)]]),_xlfn.XLOOKUP(tbl_明細[[#This Row],[商品ID]],商品マスタ[商品連番],商品マスタ[仕入
単価],"",0,1),tbl_明細[[#This Row],[仕入価格（M)]])</f>
        <v/>
      </c>
      <c r="I57" s="80">
        <f>_xlfn.XLOOKUP(tbl_明細[[#This Row],[商品ID]],商品マスタ[商品連番],商品マスタ[国内定価
（15％）],"",0,1)</f>
        <v/>
      </c>
      <c r="J57" s="265" t="n">
        <v>210</v>
      </c>
      <c r="K57" s="209" t="n">
        <v>80</v>
      </c>
      <c r="L57" s="77">
        <f>_xlfn.XLOOKUP(tbl_明細[[#This Row],[商品ID]],商品マスタ[商品連番],商品マスタ[単位],"",0,1)</f>
        <v/>
      </c>
      <c r="M57" s="249">
        <f>1-tbl_明細[[#This Row],[仕入価格]]/tbl_明細[[#This Row],[販売価格（売値）]]</f>
        <v/>
      </c>
      <c r="N57" s="189">
        <f>_xlfn.XLOOKUP(tbl_明細[[#This Row],[商品ID]],商品マスタ[商品連番],商品マスタ[税率],"",0,1)</f>
        <v/>
      </c>
      <c r="O57" s="266" t="n"/>
      <c r="P57" s="209" t="n"/>
      <c r="Q57" s="265" t="n"/>
      <c r="R57" s="265" t="n"/>
      <c r="S57" s="209" t="n"/>
      <c r="T57" s="209" t="n"/>
      <c r="U57" s="267" t="n"/>
      <c r="V57" s="267" t="n"/>
      <c r="W57" s="268" t="n"/>
      <c r="X57" s="306">
        <f>tbl_明細[[#This Row],[仕入価格]]*tbl_明細[[#This Row],[数量]]+tbl_明細[[#This Row],[仕入価格（M)]]*tbl_明細[[#This Row],[数量（M)]]</f>
        <v/>
      </c>
      <c r="Y57" s="306">
        <f>tbl_明細[[#This Row],[販売価格（売値）]]*tbl_明細[[#This Row],[数量]]+tbl_明細[[#This Row],[販売価格（M)]]*tbl_明細[[#This Row],[数量（M)]]</f>
        <v/>
      </c>
      <c r="Z57" s="307">
        <f>_xlfn.XLOOKUP(tbl_明細[[#This Row],[案件番号]],tbl_案件追跡[案件番号],tbl_案件追跡[受注],"",0,1)</f>
        <v/>
      </c>
      <c r="AA57" s="228">
        <f>tbl_明細[[#This Row],[販売価格（売値）]]+tbl_明細[[#This Row],[販売価格（M)]]</f>
        <v/>
      </c>
      <c r="AB57" s="261">
        <f>tbl_明細[[#This Row],[販売価格（売値）]]*1.08+tbl_明細[[#This Row],[販売価格（M)]]*1.08</f>
        <v/>
      </c>
    </row>
    <row r="58">
      <c r="A58" s="212" t="inlineStr">
        <is>
          <t>2603-1004-S01</t>
        </is>
      </c>
      <c r="B58" s="77">
        <f>IF(ISBLANK(tbl_明細[[#This Row],[案件番号]]),"",COUNTIFS($A$3:A58,tbl_明細[[#This Row],[案件番号]],$AA$3:AA58,"&gt;0"))</f>
        <v/>
      </c>
      <c r="C58" s="209">
        <f>COUNTIFS($A$3:A58,tbl_明細[[#This Row],[案件番号]],$F$3:F58,tbl_明細[[#This Row],[仕入先]])</f>
        <v/>
      </c>
      <c r="D58" s="77">
        <f>_xlfn.XLOOKUP(tbl_明細[[#This Row],[案件番号]],tbl_採番[案件番号],tbl_採番[顧客],"",0,1)</f>
        <v/>
      </c>
      <c r="E58" s="209" t="inlineStr">
        <is>
          <t>PRD_SNJ_UMY_0020_01</t>
        </is>
      </c>
      <c r="F58" s="118">
        <f>IF(ISBLANK(tbl_明細[[#This Row],[仕入先（M)]]),_xlfn.XLOOKUP(tbl_明細[[#This Row],[商品ID]],商品マスタ[商品連番],商品マスタ[仕入先],"",0,1),tbl_明細[[#This Row],[仕入先（M)]])</f>
        <v/>
      </c>
      <c r="G58" s="112">
        <f>IF(ISBLANK(tbl_明細[[#This Row],[商品名（M)]]),_xlfn.XLOOKUP(tbl_明細[[#This Row],[商品ID]],商品マスタ[商品連番],商品マスタ[商品名],"",0,),tbl_明細[[#This Row],[商品名（M)]])</f>
        <v/>
      </c>
      <c r="H58" s="80">
        <f>IF(ISBLANK(tbl_明細[[#This Row],[仕入価格（M)]]),_xlfn.XLOOKUP(tbl_明細[[#This Row],[商品ID]],商品マスタ[商品連番],商品マスタ[仕入
単価],"",0,1),tbl_明細[[#This Row],[仕入価格（M)]])</f>
        <v/>
      </c>
      <c r="I58" s="80">
        <f>_xlfn.XLOOKUP(tbl_明細[[#This Row],[商品ID]],商品マスタ[商品連番],商品マスタ[国内定価
（15％）],"",0,1)</f>
        <v/>
      </c>
      <c r="J58" s="265" t="n">
        <v>200</v>
      </c>
      <c r="K58" s="209" t="n">
        <v>60</v>
      </c>
      <c r="L58" s="77">
        <f>_xlfn.XLOOKUP(tbl_明細[[#This Row],[商品ID]],商品マスタ[商品連番],商品マスタ[単位],"",0,1)</f>
        <v/>
      </c>
      <c r="M58" s="249">
        <f>1-tbl_明細[[#This Row],[仕入価格]]/tbl_明細[[#This Row],[販売価格（売値）]]</f>
        <v/>
      </c>
      <c r="N58" s="189">
        <f>_xlfn.XLOOKUP(tbl_明細[[#This Row],[商品ID]],商品マスタ[商品連番],商品マスタ[税率],"",0,1)</f>
        <v/>
      </c>
      <c r="O58" s="266" t="n"/>
      <c r="P58" s="209" t="n"/>
      <c r="Q58" s="265" t="n"/>
      <c r="R58" s="265" t="n"/>
      <c r="S58" s="209" t="n"/>
      <c r="T58" s="209" t="n"/>
      <c r="U58" s="267" t="n"/>
      <c r="V58" s="267" t="n"/>
      <c r="W58" s="268" t="n"/>
      <c r="X58" s="306">
        <f>tbl_明細[[#This Row],[仕入価格]]*tbl_明細[[#This Row],[数量]]+tbl_明細[[#This Row],[仕入価格（M)]]*tbl_明細[[#This Row],[数量（M)]]</f>
        <v/>
      </c>
      <c r="Y58" s="306">
        <f>tbl_明細[[#This Row],[販売価格（売値）]]*tbl_明細[[#This Row],[数量]]+tbl_明細[[#This Row],[販売価格（M)]]*tbl_明細[[#This Row],[数量（M)]]</f>
        <v/>
      </c>
      <c r="Z58" s="307">
        <f>_xlfn.XLOOKUP(tbl_明細[[#This Row],[案件番号]],tbl_案件追跡[案件番号],tbl_案件追跡[受注],"",0,1)</f>
        <v/>
      </c>
      <c r="AA58" s="228">
        <f>tbl_明細[[#This Row],[販売価格（売値）]]+tbl_明細[[#This Row],[販売価格（M)]]</f>
        <v/>
      </c>
      <c r="AB58" s="261">
        <f>tbl_明細[[#This Row],[販売価格（売値）]]*1.08+tbl_明細[[#This Row],[販売価格（M)]]*1.08</f>
        <v/>
      </c>
    </row>
    <row r="59">
      <c r="A59" s="212" t="inlineStr">
        <is>
          <t>2603-1004-S01</t>
        </is>
      </c>
      <c r="B59" s="77">
        <f>IF(ISBLANK(tbl_明細[[#This Row],[案件番号]]),"",COUNTIFS($A$3:A59,tbl_明細[[#This Row],[案件番号]],$AA$3:AA59,"&gt;0"))</f>
        <v/>
      </c>
      <c r="C59" s="209">
        <f>COUNTIFS($A$3:A59,tbl_明細[[#This Row],[案件番号]],$F$3:F59,tbl_明細[[#This Row],[仕入先]])</f>
        <v/>
      </c>
      <c r="D59" s="77">
        <f>_xlfn.XLOOKUP(tbl_明細[[#This Row],[案件番号]],tbl_採番[案件番号],tbl_採番[顧客],"",0,1)</f>
        <v/>
      </c>
      <c r="E59" s="209" t="inlineStr">
        <is>
          <t>PRD_SNJ_UMY_0021_01</t>
        </is>
      </c>
      <c r="F59" s="118">
        <f>IF(ISBLANK(tbl_明細[[#This Row],[仕入先（M)]]),_xlfn.XLOOKUP(tbl_明細[[#This Row],[商品ID]],商品マスタ[商品連番],商品マスタ[仕入先],"",0,1),tbl_明細[[#This Row],[仕入先（M)]])</f>
        <v/>
      </c>
      <c r="G59" s="112">
        <f>IF(ISBLANK(tbl_明細[[#This Row],[商品名（M)]]),_xlfn.XLOOKUP(tbl_明細[[#This Row],[商品ID]],商品マスタ[商品連番],商品マスタ[商品名],"",0,),tbl_明細[[#This Row],[商品名（M)]])</f>
        <v/>
      </c>
      <c r="H59" s="80">
        <f>IF(ISBLANK(tbl_明細[[#This Row],[仕入価格（M)]]),_xlfn.XLOOKUP(tbl_明細[[#This Row],[商品ID]],商品マスタ[商品連番],商品マスタ[仕入
単価],"",0,1),tbl_明細[[#This Row],[仕入価格（M)]])</f>
        <v/>
      </c>
      <c r="I59" s="80">
        <f>_xlfn.XLOOKUP(tbl_明細[[#This Row],[商品ID]],商品マスタ[商品連番],商品マスタ[国内定価
（15％）],"",0,1)</f>
        <v/>
      </c>
      <c r="J59" s="265" t="n">
        <v>210</v>
      </c>
      <c r="K59" s="209" t="n">
        <v>60</v>
      </c>
      <c r="L59" s="77">
        <f>_xlfn.XLOOKUP(tbl_明細[[#This Row],[商品ID]],商品マスタ[商品連番],商品マスタ[単位],"",0,1)</f>
        <v/>
      </c>
      <c r="M59" s="249">
        <f>1-tbl_明細[[#This Row],[仕入価格]]/tbl_明細[[#This Row],[販売価格（売値）]]</f>
        <v/>
      </c>
      <c r="N59" s="189">
        <f>_xlfn.XLOOKUP(tbl_明細[[#This Row],[商品ID]],商品マスタ[商品連番],商品マスタ[税率],"",0,1)</f>
        <v/>
      </c>
      <c r="O59" s="266" t="n"/>
      <c r="P59" s="209" t="n"/>
      <c r="Q59" s="265" t="n"/>
      <c r="R59" s="265" t="n"/>
      <c r="S59" s="209" t="n"/>
      <c r="T59" s="209" t="n"/>
      <c r="U59" s="267" t="n"/>
      <c r="V59" s="267" t="n"/>
      <c r="W59" s="268" t="n"/>
      <c r="X59" s="306">
        <f>tbl_明細[[#This Row],[仕入価格]]*tbl_明細[[#This Row],[数量]]+tbl_明細[[#This Row],[仕入価格（M)]]*tbl_明細[[#This Row],[数量（M)]]</f>
        <v/>
      </c>
      <c r="Y59" s="306">
        <f>tbl_明細[[#This Row],[販売価格（売値）]]*tbl_明細[[#This Row],[数量]]+tbl_明細[[#This Row],[販売価格（M)]]*tbl_明細[[#This Row],[数量（M)]]</f>
        <v/>
      </c>
      <c r="Z59" s="307">
        <f>_xlfn.XLOOKUP(tbl_明細[[#This Row],[案件番号]],tbl_案件追跡[案件番号],tbl_案件追跡[受注],"",0,1)</f>
        <v/>
      </c>
      <c r="AA59" s="228">
        <f>tbl_明細[[#This Row],[販売価格（売値）]]+tbl_明細[[#This Row],[販売価格（M)]]</f>
        <v/>
      </c>
      <c r="AB59" s="261">
        <f>tbl_明細[[#This Row],[販売価格（売値）]]*1.08+tbl_明細[[#This Row],[販売価格（M)]]*1.08</f>
        <v/>
      </c>
    </row>
    <row r="60">
      <c r="A60" s="212" t="inlineStr">
        <is>
          <t>2603-1004-S01</t>
        </is>
      </c>
      <c r="B60" s="77">
        <f>IF(ISBLANK(tbl_明細[[#This Row],[案件番号]]),"",COUNTIFS($A$3:A60,tbl_明細[[#This Row],[案件番号]],$AA$3:AA60,"&gt;0"))</f>
        <v/>
      </c>
      <c r="C60" s="209">
        <f>COUNTIFS($A$3:A60,tbl_明細[[#This Row],[案件番号]],$F$3:F60,tbl_明細[[#This Row],[仕入先]])</f>
        <v/>
      </c>
      <c r="D60" s="77">
        <f>_xlfn.XLOOKUP(tbl_明細[[#This Row],[案件番号]],tbl_採番[案件番号],tbl_採番[顧客],"",0,1)</f>
        <v/>
      </c>
      <c r="E60" s="209" t="inlineStr">
        <is>
          <t>PRD_SNJ_UMY_0001_01</t>
        </is>
      </c>
      <c r="F60" s="118">
        <f>IF(ISBLANK(tbl_明細[[#This Row],[仕入先（M)]]),_xlfn.XLOOKUP(tbl_明細[[#This Row],[商品ID]],商品マスタ[商品連番],商品マスタ[仕入先],"",0,1),tbl_明細[[#This Row],[仕入先（M)]])</f>
        <v/>
      </c>
      <c r="G60" s="112">
        <f>IF(ISBLANK(tbl_明細[[#This Row],[商品名（M)]]),_xlfn.XLOOKUP(tbl_明細[[#This Row],[商品ID]],商品マスタ[商品連番],商品マスタ[商品名],"",0,),tbl_明細[[#This Row],[商品名（M)]])</f>
        <v/>
      </c>
      <c r="H60" s="80">
        <f>IF(ISBLANK(tbl_明細[[#This Row],[仕入価格（M)]]),_xlfn.XLOOKUP(tbl_明細[[#This Row],[商品ID]],商品マスタ[商品連番],商品マスタ[仕入
単価],"",0,1),tbl_明細[[#This Row],[仕入価格（M)]])</f>
        <v/>
      </c>
      <c r="I60" s="80">
        <f>_xlfn.XLOOKUP(tbl_明細[[#This Row],[商品ID]],商品マスタ[商品連番],商品マスタ[国内定価
（15％）],"",0,1)</f>
        <v/>
      </c>
      <c r="J60" s="265" t="n">
        <v>207</v>
      </c>
      <c r="K60" s="209" t="n">
        <v>80</v>
      </c>
      <c r="L60" s="77">
        <f>_xlfn.XLOOKUP(tbl_明細[[#This Row],[商品ID]],商品マスタ[商品連番],商品マスタ[単位],"",0,1)</f>
        <v/>
      </c>
      <c r="M60" s="249">
        <f>1-tbl_明細[[#This Row],[仕入価格]]/tbl_明細[[#This Row],[販売価格（売値）]]</f>
        <v/>
      </c>
      <c r="N60" s="189">
        <f>_xlfn.XLOOKUP(tbl_明細[[#This Row],[商品ID]],商品マスタ[商品連番],商品マスタ[税率],"",0,1)</f>
        <v/>
      </c>
      <c r="O60" s="266" t="n"/>
      <c r="P60" s="209" t="n"/>
      <c r="Q60" s="265" t="n"/>
      <c r="R60" s="265" t="n"/>
      <c r="S60" s="209" t="n"/>
      <c r="T60" s="209" t="n"/>
      <c r="U60" s="267" t="n"/>
      <c r="V60" s="267" t="inlineStr">
        <is>
          <t>冷凍</t>
        </is>
      </c>
      <c r="W60" s="268" t="n"/>
      <c r="X60" s="306">
        <f>tbl_明細[[#This Row],[仕入価格]]*tbl_明細[[#This Row],[数量]]+tbl_明細[[#This Row],[仕入価格（M)]]*tbl_明細[[#This Row],[数量（M)]]</f>
        <v/>
      </c>
      <c r="Y60" s="306">
        <f>tbl_明細[[#This Row],[販売価格（売値）]]*tbl_明細[[#This Row],[数量]]+tbl_明細[[#This Row],[販売価格（M)]]*tbl_明細[[#This Row],[数量（M)]]</f>
        <v/>
      </c>
      <c r="Z60" s="307">
        <f>_xlfn.XLOOKUP(tbl_明細[[#This Row],[案件番号]],tbl_案件追跡[案件番号],tbl_案件追跡[受注],"",0,1)</f>
        <v/>
      </c>
      <c r="AA60" s="228">
        <f>tbl_明細[[#This Row],[販売価格（売値）]]+tbl_明細[[#This Row],[販売価格（M)]]</f>
        <v/>
      </c>
      <c r="AB60" s="261">
        <f>tbl_明細[[#This Row],[販売価格（売値）]]*1.08+tbl_明細[[#This Row],[販売価格（M)]]*1.08</f>
        <v/>
      </c>
    </row>
    <row r="61">
      <c r="A61" s="212" t="inlineStr">
        <is>
          <t>2603-1004-S01</t>
        </is>
      </c>
      <c r="B61" s="77">
        <f>IF(ISBLANK(tbl_明細[[#This Row],[案件番号]]),"",COUNTIFS($A$3:A61,tbl_明細[[#This Row],[案件番号]],$AA$3:AA61,"&gt;0"))</f>
        <v/>
      </c>
      <c r="C61" s="209">
        <f>COUNTIFS($A$3:A61,tbl_明細[[#This Row],[案件番号]],$F$3:F61,tbl_明細[[#This Row],[仕入先]])</f>
        <v/>
      </c>
      <c r="D61" s="77">
        <f>_xlfn.XLOOKUP(tbl_明細[[#This Row],[案件番号]],tbl_採番[案件番号],tbl_採番[顧客],"",0,1)</f>
        <v/>
      </c>
      <c r="E61" s="209" t="inlineStr">
        <is>
          <t>PRD_SNJ_NNS_0001_01</t>
        </is>
      </c>
      <c r="F61" s="118">
        <f>IF(ISBLANK(tbl_明細[[#This Row],[仕入先（M)]]),_xlfn.XLOOKUP(tbl_明細[[#This Row],[商品ID]],商品マスタ[商品連番],商品マスタ[仕入先],"",0,1),tbl_明細[[#This Row],[仕入先（M)]])</f>
        <v/>
      </c>
      <c r="G61" s="112">
        <f>IF(ISBLANK(tbl_明細[[#This Row],[商品名（M)]]),_xlfn.XLOOKUP(tbl_明細[[#This Row],[商品ID]],商品マスタ[商品連番],商品マスタ[商品名],"",0,),tbl_明細[[#This Row],[商品名（M)]])</f>
        <v/>
      </c>
      <c r="H61" s="80">
        <f>IF(ISBLANK(tbl_明細[[#This Row],[仕入価格（M)]]),_xlfn.XLOOKUP(tbl_明細[[#This Row],[商品ID]],商品マスタ[商品連番],商品マスタ[仕入
単価],"",0,1),tbl_明細[[#This Row],[仕入価格（M)]])</f>
        <v/>
      </c>
      <c r="I61" s="80">
        <f>_xlfn.XLOOKUP(tbl_明細[[#This Row],[商品ID]],商品マスタ[商品連番],商品マスタ[国内定価
（15％）],"",0,1)</f>
        <v/>
      </c>
      <c r="J61" s="265" t="n">
        <v>629</v>
      </c>
      <c r="K61" s="209" t="n">
        <v>80</v>
      </c>
      <c r="L61" s="77">
        <f>_xlfn.XLOOKUP(tbl_明細[[#This Row],[商品ID]],商品マスタ[商品連番],商品マスタ[単位],"",0,1)</f>
        <v/>
      </c>
      <c r="M61" s="249">
        <f>1-tbl_明細[[#This Row],[仕入価格]]/tbl_明細[[#This Row],[販売価格（売値）]]</f>
        <v/>
      </c>
      <c r="N61" s="189">
        <f>_xlfn.XLOOKUP(tbl_明細[[#This Row],[商品ID]],商品マスタ[商品連番],商品マスタ[税率],"",0,1)</f>
        <v/>
      </c>
      <c r="O61" s="266" t="n"/>
      <c r="P61" s="209" t="n"/>
      <c r="Q61" s="265" t="n"/>
      <c r="R61" s="265" t="n"/>
      <c r="S61" s="209" t="n"/>
      <c r="T61" s="209" t="n"/>
      <c r="U61" s="267" t="n"/>
      <c r="V61" s="267" t="n"/>
      <c r="W61" s="268" t="n"/>
      <c r="X61" s="306">
        <f>tbl_明細[[#This Row],[仕入価格]]*tbl_明細[[#This Row],[数量]]+tbl_明細[[#This Row],[仕入価格（M)]]*tbl_明細[[#This Row],[数量（M)]]</f>
        <v/>
      </c>
      <c r="Y61" s="306">
        <f>tbl_明細[[#This Row],[販売価格（売値）]]*tbl_明細[[#This Row],[数量]]+tbl_明細[[#This Row],[販売価格（M)]]*tbl_明細[[#This Row],[数量（M)]]</f>
        <v/>
      </c>
      <c r="Z61" s="307">
        <f>_xlfn.XLOOKUP(tbl_明細[[#This Row],[案件番号]],tbl_案件追跡[案件番号],tbl_案件追跡[受注],"",0,1)</f>
        <v/>
      </c>
      <c r="AA61" s="228">
        <f>tbl_明細[[#This Row],[販売価格（売値）]]+tbl_明細[[#This Row],[販売価格（M)]]</f>
        <v/>
      </c>
      <c r="AB61" s="261">
        <f>tbl_明細[[#This Row],[販売価格（売値）]]*1.08+tbl_明細[[#This Row],[販売価格（M)]]*1.08</f>
        <v/>
      </c>
    </row>
    <row r="62">
      <c r="A62" s="212" t="inlineStr">
        <is>
          <t>2603-1004-S01</t>
        </is>
      </c>
      <c r="B62" s="77">
        <f>IF(ISBLANK(tbl_明細[[#This Row],[案件番号]]),"",COUNTIFS($A$3:A62,tbl_明細[[#This Row],[案件番号]],$AA$3:AA62,"&gt;0"))</f>
        <v/>
      </c>
      <c r="C62" s="209">
        <f>COUNTIFS($A$3:A62,tbl_明細[[#This Row],[案件番号]],$F$3:F62,tbl_明細[[#This Row],[仕入先]])</f>
        <v/>
      </c>
      <c r="D62" s="77">
        <f>_xlfn.XLOOKUP(tbl_明細[[#This Row],[案件番号]],tbl_採番[案件番号],tbl_採番[顧客],"",0,1)</f>
        <v/>
      </c>
      <c r="E62" s="209" t="inlineStr">
        <is>
          <t>PRD_SNJ_NNS_0004_01</t>
        </is>
      </c>
      <c r="F62" s="118">
        <f>IF(ISBLANK(tbl_明細[[#This Row],[仕入先（M)]]),_xlfn.XLOOKUP(tbl_明細[[#This Row],[商品ID]],商品マスタ[商品連番],商品マスタ[仕入先],"",0,1),tbl_明細[[#This Row],[仕入先（M)]])</f>
        <v/>
      </c>
      <c r="G62" s="112">
        <f>IF(ISBLANK(tbl_明細[[#This Row],[商品名（M)]]),_xlfn.XLOOKUP(tbl_明細[[#This Row],[商品ID]],商品マスタ[商品連番],商品マスタ[商品名],"",0,),tbl_明細[[#This Row],[商品名（M)]])</f>
        <v/>
      </c>
      <c r="H62" s="80">
        <f>IF(ISBLANK(tbl_明細[[#This Row],[仕入価格（M)]]),_xlfn.XLOOKUP(tbl_明細[[#This Row],[商品ID]],商品マスタ[商品連番],商品マスタ[仕入
単価],"",0,1),tbl_明細[[#This Row],[仕入価格（M)]])</f>
        <v/>
      </c>
      <c r="I62" s="80">
        <f>_xlfn.XLOOKUP(tbl_明細[[#This Row],[商品ID]],商品マスタ[商品連番],商品マスタ[国内定価
（15％）],"",0,1)</f>
        <v/>
      </c>
      <c r="J62" s="265" t="n">
        <v>629</v>
      </c>
      <c r="K62" s="209" t="n">
        <v>20</v>
      </c>
      <c r="L62" s="77">
        <f>_xlfn.XLOOKUP(tbl_明細[[#This Row],[商品ID]],商品マスタ[商品連番],商品マスタ[単位],"",0,1)</f>
        <v/>
      </c>
      <c r="M62" s="249">
        <f>1-tbl_明細[[#This Row],[仕入価格]]/tbl_明細[[#This Row],[販売価格（売値）]]</f>
        <v/>
      </c>
      <c r="N62" s="189">
        <f>_xlfn.XLOOKUP(tbl_明細[[#This Row],[商品ID]],商品マスタ[商品連番],商品マスタ[税率],"",0,1)</f>
        <v/>
      </c>
      <c r="O62" s="266" t="n"/>
      <c r="P62" s="209" t="n"/>
      <c r="Q62" s="265" t="n"/>
      <c r="R62" s="265" t="n"/>
      <c r="S62" s="209" t="n"/>
      <c r="T62" s="209" t="n"/>
      <c r="U62" s="267" t="n"/>
      <c r="V62" s="267" t="n"/>
      <c r="W62" s="268" t="n"/>
      <c r="X62" s="306">
        <f>tbl_明細[[#This Row],[仕入価格]]*tbl_明細[[#This Row],[数量]]+tbl_明細[[#This Row],[仕入価格（M)]]*tbl_明細[[#This Row],[数量（M)]]</f>
        <v/>
      </c>
      <c r="Y62" s="306">
        <f>tbl_明細[[#This Row],[販売価格（売値）]]*tbl_明細[[#This Row],[数量]]+tbl_明細[[#This Row],[販売価格（M)]]*tbl_明細[[#This Row],[数量（M)]]</f>
        <v/>
      </c>
      <c r="Z62" s="307">
        <f>_xlfn.XLOOKUP(tbl_明細[[#This Row],[案件番号]],tbl_案件追跡[案件番号],tbl_案件追跡[受注],"",0,1)</f>
        <v/>
      </c>
      <c r="AA62" s="228">
        <f>tbl_明細[[#This Row],[販売価格（売値）]]+tbl_明細[[#This Row],[販売価格（M)]]</f>
        <v/>
      </c>
      <c r="AB62" s="261">
        <f>tbl_明細[[#This Row],[販売価格（売値）]]*1.08+tbl_明細[[#This Row],[販売価格（M)]]*1.08</f>
        <v/>
      </c>
    </row>
    <row r="63">
      <c r="A63" s="212" t="inlineStr">
        <is>
          <t>2603-1004-S01</t>
        </is>
      </c>
      <c r="B63" s="77">
        <f>IF(ISBLANK(tbl_明細[[#This Row],[案件番号]]),"",COUNTIFS($A$3:A63,tbl_明細[[#This Row],[案件番号]],$AA$3:AA63,"&gt;0"))</f>
        <v/>
      </c>
      <c r="C63" s="209">
        <f>COUNTIFS($A$3:A63,tbl_明細[[#This Row],[案件番号]],$F$3:F63,tbl_明細[[#This Row],[仕入先]])</f>
        <v/>
      </c>
      <c r="D63" s="77">
        <f>_xlfn.XLOOKUP(tbl_明細[[#This Row],[案件番号]],tbl_採番[案件番号],tbl_採番[顧客],"",0,1)</f>
        <v/>
      </c>
      <c r="E63" s="209" t="inlineStr">
        <is>
          <t>PRD_SNJ_NNS_0005_01</t>
        </is>
      </c>
      <c r="F63" s="118">
        <f>IF(ISBLANK(tbl_明細[[#This Row],[仕入先（M)]]),_xlfn.XLOOKUP(tbl_明細[[#This Row],[商品ID]],商品マスタ[商品連番],商品マスタ[仕入先],"",0,1),tbl_明細[[#This Row],[仕入先（M)]])</f>
        <v/>
      </c>
      <c r="G63" s="112">
        <f>IF(ISBLANK(tbl_明細[[#This Row],[商品名（M)]]),_xlfn.XLOOKUP(tbl_明細[[#This Row],[商品ID]],商品マスタ[商品連番],商品マスタ[商品名],"",0,),tbl_明細[[#This Row],[商品名（M)]])</f>
        <v/>
      </c>
      <c r="H63" s="80">
        <f>IF(ISBLANK(tbl_明細[[#This Row],[仕入価格（M)]]),_xlfn.XLOOKUP(tbl_明細[[#This Row],[商品ID]],商品マスタ[商品連番],商品マスタ[仕入
単価],"",0,1),tbl_明細[[#This Row],[仕入価格（M)]])</f>
        <v/>
      </c>
      <c r="I63" s="80">
        <f>_xlfn.XLOOKUP(tbl_明細[[#This Row],[商品ID]],商品マスタ[商品連番],商品マスタ[国内定価
（15％）],"",0,1)</f>
        <v/>
      </c>
      <c r="J63" s="265" t="n">
        <v>629</v>
      </c>
      <c r="K63" s="209" t="n">
        <v>20</v>
      </c>
      <c r="L63" s="77">
        <f>_xlfn.XLOOKUP(tbl_明細[[#This Row],[商品ID]],商品マスタ[商品連番],商品マスタ[単位],"",0,1)</f>
        <v/>
      </c>
      <c r="M63" s="249">
        <f>1-tbl_明細[[#This Row],[仕入価格]]/tbl_明細[[#This Row],[販売価格（売値）]]</f>
        <v/>
      </c>
      <c r="N63" s="189">
        <f>_xlfn.XLOOKUP(tbl_明細[[#This Row],[商品ID]],商品マスタ[商品連番],商品マスタ[税率],"",0,1)</f>
        <v/>
      </c>
      <c r="O63" s="266" t="n"/>
      <c r="P63" s="209" t="n"/>
      <c r="Q63" s="265" t="n"/>
      <c r="R63" s="265" t="n"/>
      <c r="S63" s="209" t="n"/>
      <c r="T63" s="209" t="n"/>
      <c r="U63" s="267" t="n"/>
      <c r="V63" s="267" t="n"/>
      <c r="W63" s="268" t="n"/>
      <c r="X63" s="306">
        <f>tbl_明細[[#This Row],[仕入価格]]*tbl_明細[[#This Row],[数量]]+tbl_明細[[#This Row],[仕入価格（M)]]*tbl_明細[[#This Row],[数量（M)]]</f>
        <v/>
      </c>
      <c r="Y63" s="306">
        <f>tbl_明細[[#This Row],[販売価格（売値）]]*tbl_明細[[#This Row],[数量]]+tbl_明細[[#This Row],[販売価格（M)]]*tbl_明細[[#This Row],[数量（M)]]</f>
        <v/>
      </c>
      <c r="Z63" s="307">
        <f>_xlfn.XLOOKUP(tbl_明細[[#This Row],[案件番号]],tbl_案件追跡[案件番号],tbl_案件追跡[受注],"",0,1)</f>
        <v/>
      </c>
      <c r="AA63" s="228">
        <f>tbl_明細[[#This Row],[販売価格（売値）]]+tbl_明細[[#This Row],[販売価格（M)]]</f>
        <v/>
      </c>
      <c r="AB63" s="261">
        <f>tbl_明細[[#This Row],[販売価格（売値）]]*1.08+tbl_明細[[#This Row],[販売価格（M)]]*1.08</f>
        <v/>
      </c>
    </row>
    <row r="64">
      <c r="A64" s="212" t="inlineStr">
        <is>
          <t>2603-1004-S01</t>
        </is>
      </c>
      <c r="B64" s="77">
        <f>IF(ISBLANK(tbl_明細[[#This Row],[案件番号]]),"",COUNTIFS($A$3:A64,tbl_明細[[#This Row],[案件番号]],$AA$3:AA64,"&gt;0"))</f>
        <v/>
      </c>
      <c r="C64" s="209">
        <f>COUNTIFS($A$3:A64,tbl_明細[[#This Row],[案件番号]],$F$3:F64,tbl_明細[[#This Row],[仕入先]])</f>
        <v/>
      </c>
      <c r="D64" s="77">
        <f>_xlfn.XLOOKUP(tbl_明細[[#This Row],[案件番号]],tbl_採番[案件番号],tbl_採番[顧客],"",0,1)</f>
        <v/>
      </c>
      <c r="E64" s="209" t="inlineStr">
        <is>
          <t>PRD_SNJ_NNS_0006_01</t>
        </is>
      </c>
      <c r="F64" s="118">
        <f>IF(ISBLANK(tbl_明細[[#This Row],[仕入先（M)]]),_xlfn.XLOOKUP(tbl_明細[[#This Row],[商品ID]],商品マスタ[商品連番],商品マスタ[仕入先],"",0,1),tbl_明細[[#This Row],[仕入先（M)]])</f>
        <v/>
      </c>
      <c r="G64" s="112">
        <f>IF(ISBLANK(tbl_明細[[#This Row],[商品名（M)]]),_xlfn.XLOOKUP(tbl_明細[[#This Row],[商品ID]],商品マスタ[商品連番],商品マスタ[商品名],"",0,),tbl_明細[[#This Row],[商品名（M)]])</f>
        <v/>
      </c>
      <c r="H64" s="80">
        <f>IF(ISBLANK(tbl_明細[[#This Row],[仕入価格（M)]]),_xlfn.XLOOKUP(tbl_明細[[#This Row],[商品ID]],商品マスタ[商品連番],商品マスタ[仕入
単価],"",0,1),tbl_明細[[#This Row],[仕入価格（M)]])</f>
        <v/>
      </c>
      <c r="I64" s="80">
        <f>_xlfn.XLOOKUP(tbl_明細[[#This Row],[商品ID]],商品マスタ[商品連番],商品マスタ[国内定価
（15％）],"",0,1)</f>
        <v/>
      </c>
      <c r="J64" s="265" t="n">
        <v>629</v>
      </c>
      <c r="K64" s="209" t="n">
        <v>50</v>
      </c>
      <c r="L64" s="77">
        <f>_xlfn.XLOOKUP(tbl_明細[[#This Row],[商品ID]],商品マスタ[商品連番],商品マスタ[単位],"",0,1)</f>
        <v/>
      </c>
      <c r="M64" s="249">
        <f>1-tbl_明細[[#This Row],[仕入価格]]/tbl_明細[[#This Row],[販売価格（売値）]]</f>
        <v/>
      </c>
      <c r="N64" s="189">
        <f>_xlfn.XLOOKUP(tbl_明細[[#This Row],[商品ID]],商品マスタ[商品連番],商品マスタ[税率],"",0,1)</f>
        <v/>
      </c>
      <c r="O64" s="266" t="n"/>
      <c r="P64" s="209" t="n"/>
      <c r="Q64" s="265" t="n"/>
      <c r="R64" s="265" t="n"/>
      <c r="S64" s="209" t="n"/>
      <c r="T64" s="209" t="n"/>
      <c r="U64" s="267" t="n"/>
      <c r="V64" s="267" t="n"/>
      <c r="W64" s="268" t="n"/>
      <c r="X64" s="306">
        <f>tbl_明細[[#This Row],[仕入価格]]*tbl_明細[[#This Row],[数量]]+tbl_明細[[#This Row],[仕入価格（M)]]*tbl_明細[[#This Row],[数量（M)]]</f>
        <v/>
      </c>
      <c r="Y64" s="306">
        <f>tbl_明細[[#This Row],[販売価格（売値）]]*tbl_明細[[#This Row],[数量]]+tbl_明細[[#This Row],[販売価格（M)]]*tbl_明細[[#This Row],[数量（M)]]</f>
        <v/>
      </c>
      <c r="Z64" s="307">
        <f>_xlfn.XLOOKUP(tbl_明細[[#This Row],[案件番号]],tbl_案件追跡[案件番号],tbl_案件追跡[受注],"",0,1)</f>
        <v/>
      </c>
      <c r="AA64" s="228">
        <f>tbl_明細[[#This Row],[販売価格（売値）]]+tbl_明細[[#This Row],[販売価格（M)]]</f>
        <v/>
      </c>
      <c r="AB64" s="261">
        <f>tbl_明細[[#This Row],[販売価格（売値）]]*1.08+tbl_明細[[#This Row],[販売価格（M)]]*1.08</f>
        <v/>
      </c>
    </row>
    <row r="65">
      <c r="A65" s="212" t="inlineStr">
        <is>
          <t>2603-1004-S01</t>
        </is>
      </c>
      <c r="B65" s="77">
        <f>IF(ISBLANK(tbl_明細[[#This Row],[案件番号]]),"",COUNTIFS($A$3:A65,tbl_明細[[#This Row],[案件番号]],$AA$3:AA65,"&gt;0"))</f>
        <v/>
      </c>
      <c r="C65" s="209">
        <f>COUNTIFS($A$3:A65,tbl_明細[[#This Row],[案件番号]],$F$3:F65,tbl_明細[[#This Row],[仕入先]])</f>
        <v/>
      </c>
      <c r="D65" s="77">
        <f>_xlfn.XLOOKUP(tbl_明細[[#This Row],[案件番号]],tbl_採番[案件番号],tbl_採番[顧客],"",0,1)</f>
        <v/>
      </c>
      <c r="E65" s="209" t="inlineStr">
        <is>
          <t>PRD_SNJ_NNS_0007_01</t>
        </is>
      </c>
      <c r="F65" s="118">
        <f>IF(ISBLANK(tbl_明細[[#This Row],[仕入先（M)]]),_xlfn.XLOOKUP(tbl_明細[[#This Row],[商品ID]],商品マスタ[商品連番],商品マスタ[仕入先],"",0,1),tbl_明細[[#This Row],[仕入先（M)]])</f>
        <v/>
      </c>
      <c r="G65" s="112">
        <f>IF(ISBLANK(tbl_明細[[#This Row],[商品名（M)]]),_xlfn.XLOOKUP(tbl_明細[[#This Row],[商品ID]],商品マスタ[商品連番],商品マスタ[商品名],"",0,),tbl_明細[[#This Row],[商品名（M)]])</f>
        <v/>
      </c>
      <c r="H65" s="80">
        <f>IF(ISBLANK(tbl_明細[[#This Row],[仕入価格（M)]]),_xlfn.XLOOKUP(tbl_明細[[#This Row],[商品ID]],商品マスタ[商品連番],商品マスタ[仕入
単価],"",0,1),tbl_明細[[#This Row],[仕入価格（M)]])</f>
        <v/>
      </c>
      <c r="I65" s="80">
        <f>_xlfn.XLOOKUP(tbl_明細[[#This Row],[商品ID]],商品マスタ[商品連番],商品マスタ[国内定価
（15％）],"",0,1)</f>
        <v/>
      </c>
      <c r="J65" s="265" t="n">
        <v>629</v>
      </c>
      <c r="K65" s="209" t="n">
        <v>50</v>
      </c>
      <c r="L65" s="77">
        <f>_xlfn.XLOOKUP(tbl_明細[[#This Row],[商品ID]],商品マスタ[商品連番],商品マスタ[単位],"",0,1)</f>
        <v/>
      </c>
      <c r="M65" s="249">
        <f>1-tbl_明細[[#This Row],[仕入価格]]/tbl_明細[[#This Row],[販売価格（売値）]]</f>
        <v/>
      </c>
      <c r="N65" s="189">
        <f>_xlfn.XLOOKUP(tbl_明細[[#This Row],[商品ID]],商品マスタ[商品連番],商品マスタ[税率],"",0,1)</f>
        <v/>
      </c>
      <c r="O65" s="266" t="n"/>
      <c r="P65" s="209" t="n"/>
      <c r="Q65" s="265" t="n"/>
      <c r="R65" s="265" t="n"/>
      <c r="S65" s="209" t="n"/>
      <c r="T65" s="209" t="n"/>
      <c r="U65" s="267" t="n"/>
      <c r="V65" s="267" t="n"/>
      <c r="W65" s="268" t="n"/>
      <c r="X65" s="306">
        <f>tbl_明細[[#This Row],[仕入価格]]*tbl_明細[[#This Row],[数量]]+tbl_明細[[#This Row],[仕入価格（M)]]*tbl_明細[[#This Row],[数量（M)]]</f>
        <v/>
      </c>
      <c r="Y65" s="306">
        <f>tbl_明細[[#This Row],[販売価格（売値）]]*tbl_明細[[#This Row],[数量]]+tbl_明細[[#This Row],[販売価格（M)]]*tbl_明細[[#This Row],[数量（M)]]</f>
        <v/>
      </c>
      <c r="Z65" s="307">
        <f>_xlfn.XLOOKUP(tbl_明細[[#This Row],[案件番号]],tbl_案件追跡[案件番号],tbl_案件追跡[受注],"",0,1)</f>
        <v/>
      </c>
      <c r="AA65" s="228">
        <f>tbl_明細[[#This Row],[販売価格（売値）]]+tbl_明細[[#This Row],[販売価格（M)]]</f>
        <v/>
      </c>
      <c r="AB65" s="261">
        <f>tbl_明細[[#This Row],[販売価格（売値）]]*1.08+tbl_明細[[#This Row],[販売価格（M)]]*1.08</f>
        <v/>
      </c>
    </row>
    <row r="66">
      <c r="A66" s="212" t="inlineStr">
        <is>
          <t>2603-1004-S01</t>
        </is>
      </c>
      <c r="B66" s="77">
        <f>IF(ISBLANK(tbl_明細[[#This Row],[案件番号]]),"",COUNTIFS($A$3:A66,tbl_明細[[#This Row],[案件番号]],$AA$3:AA66,"&gt;0"))</f>
        <v/>
      </c>
      <c r="C66" s="209">
        <f>COUNTIFS($A$3:A66,tbl_明細[[#This Row],[案件番号]],$F$3:F66,tbl_明細[[#This Row],[仕入先]])</f>
        <v/>
      </c>
      <c r="D66" s="77">
        <f>_xlfn.XLOOKUP(tbl_明細[[#This Row],[案件番号]],tbl_採番[案件番号],tbl_採番[顧客],"",0,1)</f>
        <v/>
      </c>
      <c r="E66" s="209" t="inlineStr">
        <is>
          <t>other</t>
        </is>
      </c>
      <c r="F66" s="118">
        <f>IF(ISBLANK(tbl_明細[[#This Row],[仕入先（M)]]),_xlfn.XLOOKUP(tbl_明細[[#This Row],[商品ID]],商品マスタ[商品連番],商品マスタ[仕入先],"",0,1),tbl_明細[[#This Row],[仕入先（M)]])</f>
        <v/>
      </c>
      <c r="G66" s="112">
        <f>IF(ISBLANK(tbl_明細[[#This Row],[商品名（M)]]),_xlfn.XLOOKUP(tbl_明細[[#This Row],[商品ID]],商品マスタ[商品連番],商品マスタ[商品名],"",0,),tbl_明細[[#This Row],[商品名（M)]])</f>
        <v/>
      </c>
      <c r="H66" s="80">
        <f>IF(ISBLANK(tbl_明細[[#This Row],[仕入価格（M)]]),_xlfn.XLOOKUP(tbl_明細[[#This Row],[商品ID]],商品マスタ[商品連番],商品マスタ[仕入
単価],"",0,1),tbl_明細[[#This Row],[仕入価格（M)]])</f>
        <v/>
      </c>
      <c r="I66" s="80">
        <f>_xlfn.XLOOKUP(tbl_明細[[#This Row],[商品ID]],商品マスタ[商品連番],商品マスタ[国内定価
（15％）],"",0,1)</f>
        <v/>
      </c>
      <c r="J66" s="265" t="n"/>
      <c r="K66" s="209" t="n"/>
      <c r="L66" s="77">
        <f>_xlfn.XLOOKUP(tbl_明細[[#This Row],[商品ID]],商品マスタ[商品連番],商品マスタ[単位],"",0,1)</f>
        <v/>
      </c>
      <c r="M66" s="249">
        <f>1-tbl_明細[[#This Row],[仕入価格]]/tbl_明細[[#This Row],[販売価格（売値）]]</f>
        <v/>
      </c>
      <c r="N66" s="189">
        <f>_xlfn.XLOOKUP(tbl_明細[[#This Row],[商品ID]],商品マスタ[商品連番],商品マスタ[税率],"",0,1)</f>
        <v/>
      </c>
      <c r="O66" s="266" t="inlineStr">
        <is>
          <t>みそぎの郷きこない</t>
        </is>
      </c>
      <c r="P66" s="209" t="inlineStr">
        <is>
          <t>オリジナルポテトチップス</t>
        </is>
      </c>
      <c r="Q66" s="265" t="n">
        <v>200</v>
      </c>
      <c r="R66" s="265" t="n">
        <v>259</v>
      </c>
      <c r="S66" s="209" t="n">
        <v>96</v>
      </c>
      <c r="T66" s="209" t="inlineStr">
        <is>
          <t>個</t>
        </is>
      </c>
      <c r="U66" s="267" t="n">
        <v>0.08</v>
      </c>
      <c r="V66" s="267" t="n"/>
      <c r="W66" s="268" t="n"/>
      <c r="X66" s="306">
        <f>tbl_明細[[#This Row],[仕入価格]]*tbl_明細[[#This Row],[数量]]+tbl_明細[[#This Row],[仕入価格（M)]]*tbl_明細[[#This Row],[数量（M)]]</f>
        <v/>
      </c>
      <c r="Y66" s="306">
        <f>tbl_明細[[#This Row],[販売価格（売値）]]*tbl_明細[[#This Row],[数量]]+tbl_明細[[#This Row],[販売価格（M)]]*tbl_明細[[#This Row],[数量（M)]]</f>
        <v/>
      </c>
      <c r="Z66" s="307">
        <f>_xlfn.XLOOKUP(tbl_明細[[#This Row],[案件番号]],tbl_案件追跡[案件番号],tbl_案件追跡[受注],"",0,1)</f>
        <v/>
      </c>
      <c r="AA66" s="228">
        <f>tbl_明細[[#This Row],[販売価格（売値）]]+tbl_明細[[#This Row],[販売価格（M)]]</f>
        <v/>
      </c>
      <c r="AB66" s="261">
        <f>tbl_明細[[#This Row],[販売価格（売値）]]*1.08+tbl_明細[[#This Row],[販売価格（M)]]*1.08</f>
        <v/>
      </c>
    </row>
    <row r="67">
      <c r="A67" s="212" t="inlineStr">
        <is>
          <t>2603-1004-S01</t>
        </is>
      </c>
      <c r="B67" s="77">
        <f>IF(ISBLANK(tbl_明細[[#This Row],[案件番号]]),"",COUNTIFS($A$3:A67,tbl_明細[[#This Row],[案件番号]],$AA$3:AA67,"&gt;0"))</f>
        <v/>
      </c>
      <c r="C67" s="209">
        <f>COUNTIFS($A$3:A67,tbl_明細[[#This Row],[案件番号]],$F$3:F67,tbl_明細[[#This Row],[仕入先]])</f>
        <v/>
      </c>
      <c r="D67" s="77">
        <f>_xlfn.XLOOKUP(tbl_明細[[#This Row],[案件番号]],tbl_採番[案件番号],tbl_採番[顧客],"",0,1)</f>
        <v/>
      </c>
      <c r="E67" s="209" t="inlineStr">
        <is>
          <t>other</t>
        </is>
      </c>
      <c r="F67" s="118">
        <f>IF(ISBLANK(tbl_明細[[#This Row],[仕入先（M)]]),_xlfn.XLOOKUP(tbl_明細[[#This Row],[商品ID]],商品マスタ[商品連番],商品マスタ[仕入先],"",0,1),tbl_明細[[#This Row],[仕入先（M)]])</f>
        <v/>
      </c>
      <c r="G67" s="112">
        <f>IF(ISBLANK(tbl_明細[[#This Row],[商品名（M)]]),_xlfn.XLOOKUP(tbl_明細[[#This Row],[商品ID]],商品マスタ[商品連番],商品マスタ[商品名],"",0,),tbl_明細[[#This Row],[商品名（M)]])</f>
        <v/>
      </c>
      <c r="H67" s="80">
        <f>IF(ISBLANK(tbl_明細[[#This Row],[仕入価格（M)]]),_xlfn.XLOOKUP(tbl_明細[[#This Row],[商品ID]],商品マスタ[商品連番],商品マスタ[仕入
単価],"",0,1),tbl_明細[[#This Row],[仕入価格（M)]])</f>
        <v/>
      </c>
      <c r="I67" s="80">
        <f>_xlfn.XLOOKUP(tbl_明細[[#This Row],[商品ID]],商品マスタ[商品連番],商品マスタ[国内定価
（15％）],"",0,1)</f>
        <v/>
      </c>
      <c r="J67" s="265" t="n"/>
      <c r="K67" s="209" t="n"/>
      <c r="L67" s="77">
        <f>_xlfn.XLOOKUP(tbl_明細[[#This Row],[商品ID]],商品マスタ[商品連番],商品マスタ[単位],"",0,1)</f>
        <v/>
      </c>
      <c r="M67" s="249">
        <f>1-tbl_明細[[#This Row],[仕入価格]]/tbl_明細[[#This Row],[販売価格（売値）]]</f>
        <v/>
      </c>
      <c r="N67" s="189">
        <f>_xlfn.XLOOKUP(tbl_明細[[#This Row],[商品ID]],商品マスタ[商品連番],商品マスタ[税率],"",0,1)</f>
        <v/>
      </c>
      <c r="O67" s="266" t="inlineStr">
        <is>
          <t>みそぎの郷きこない</t>
        </is>
      </c>
      <c r="P67" s="209" t="inlineStr">
        <is>
          <t>みそぎボーイ塩きびだんご</t>
        </is>
      </c>
      <c r="Q67" s="265" t="n">
        <v>350</v>
      </c>
      <c r="R67" s="265" t="n">
        <v>441</v>
      </c>
      <c r="S67" s="209" t="n">
        <v>36</v>
      </c>
      <c r="T67" s="209" t="inlineStr">
        <is>
          <t>個</t>
        </is>
      </c>
      <c r="U67" s="267" t="n">
        <v>0.08</v>
      </c>
      <c r="V67" s="267" t="n"/>
      <c r="W67" s="268" t="n"/>
      <c r="X67" s="306">
        <f>tbl_明細[[#This Row],[仕入価格]]*tbl_明細[[#This Row],[数量]]+tbl_明細[[#This Row],[仕入価格（M)]]*tbl_明細[[#This Row],[数量（M)]]</f>
        <v/>
      </c>
      <c r="Y67" s="306">
        <f>tbl_明細[[#This Row],[販売価格（売値）]]*tbl_明細[[#This Row],[数量]]+tbl_明細[[#This Row],[販売価格（M)]]*tbl_明細[[#This Row],[数量（M)]]</f>
        <v/>
      </c>
      <c r="Z67" s="307">
        <f>_xlfn.XLOOKUP(tbl_明細[[#This Row],[案件番号]],tbl_案件追跡[案件番号],tbl_案件追跡[受注],"",0,1)</f>
        <v/>
      </c>
      <c r="AA67" s="228">
        <f>tbl_明細[[#This Row],[販売価格（売値）]]+tbl_明細[[#This Row],[販売価格（M)]]</f>
        <v/>
      </c>
      <c r="AB67" s="261">
        <f>tbl_明細[[#This Row],[販売価格（売値）]]*1.08+tbl_明細[[#This Row],[販売価格（M)]]*1.08</f>
        <v/>
      </c>
    </row>
    <row r="68">
      <c r="A68" s="212" t="inlineStr">
        <is>
          <t>2603-1004-S01</t>
        </is>
      </c>
      <c r="B68" s="77">
        <f>IF(ISBLANK(tbl_明細[[#This Row],[案件番号]]),"",COUNTIFS($A$3:A68,tbl_明細[[#This Row],[案件番号]],$AA$3:AA68,"&gt;0"))</f>
        <v/>
      </c>
      <c r="C68" s="209">
        <f>COUNTIFS($A$3:A68,tbl_明細[[#This Row],[案件番号]],$F$3:F68,tbl_明細[[#This Row],[仕入先]])</f>
        <v/>
      </c>
      <c r="D68" s="77">
        <f>_xlfn.XLOOKUP(tbl_明細[[#This Row],[案件番号]],tbl_採番[案件番号],tbl_採番[顧客],"",0,1)</f>
        <v/>
      </c>
      <c r="E68" s="209" t="inlineStr">
        <is>
          <t>other</t>
        </is>
      </c>
      <c r="F68" s="118">
        <f>IF(ISBLANK(tbl_明細[[#This Row],[仕入先（M)]]),_xlfn.XLOOKUP(tbl_明細[[#This Row],[商品ID]],商品マスタ[商品連番],商品マスタ[仕入先],"",0,1),tbl_明細[[#This Row],[仕入先（M)]])</f>
        <v/>
      </c>
      <c r="G68" s="112">
        <f>IF(ISBLANK(tbl_明細[[#This Row],[商品名（M)]]),_xlfn.XLOOKUP(tbl_明細[[#This Row],[商品ID]],商品マスタ[商品連番],商品マスタ[商品名],"",0,),tbl_明細[[#This Row],[商品名（M)]])</f>
        <v/>
      </c>
      <c r="H68" s="80">
        <f>IF(ISBLANK(tbl_明細[[#This Row],[仕入価格（M)]]),_xlfn.XLOOKUP(tbl_明細[[#This Row],[商品ID]],商品マスタ[商品連番],商品マスタ[仕入
単価],"",0,1),tbl_明細[[#This Row],[仕入価格（M)]])</f>
        <v/>
      </c>
      <c r="I68" s="80">
        <f>_xlfn.XLOOKUP(tbl_明細[[#This Row],[商品ID]],商品マスタ[商品連番],商品マスタ[国内定価
（15％）],"",0,1)</f>
        <v/>
      </c>
      <c r="J68" s="265" t="n"/>
      <c r="K68" s="209" t="n"/>
      <c r="L68" s="77">
        <f>_xlfn.XLOOKUP(tbl_明細[[#This Row],[商品ID]],商品マスタ[商品連番],商品マスタ[単位],"",0,1)</f>
        <v/>
      </c>
      <c r="M68" s="249">
        <f>1-tbl_明細[[#This Row],[仕入価格]]/tbl_明細[[#This Row],[販売価格（売値）]]</f>
        <v/>
      </c>
      <c r="N68" s="189">
        <f>_xlfn.XLOOKUP(tbl_明細[[#This Row],[商品ID]],商品マスタ[商品連番],商品マスタ[税率],"",0,1)</f>
        <v/>
      </c>
      <c r="O68" s="266" t="inlineStr">
        <is>
          <t>オーセントホテル小樽</t>
        </is>
      </c>
      <c r="P68" s="209" t="inlineStr">
        <is>
          <t>ウィークエンド・オランジェ</t>
        </is>
      </c>
      <c r="Q68" s="265" t="n"/>
      <c r="R68" s="265" t="n">
        <v>1400</v>
      </c>
      <c r="S68" s="209" t="n">
        <v>10</v>
      </c>
      <c r="T68" s="209" t="inlineStr">
        <is>
          <t>個</t>
        </is>
      </c>
      <c r="U68" s="267" t="n">
        <v>0.08</v>
      </c>
      <c r="V68" s="267" t="n"/>
      <c r="W68" s="268" t="n"/>
      <c r="X68" s="306">
        <f>tbl_明細[[#This Row],[仕入価格]]*tbl_明細[[#This Row],[数量]]+tbl_明細[[#This Row],[仕入価格（M)]]*tbl_明細[[#This Row],[数量（M)]]</f>
        <v/>
      </c>
      <c r="Y68" s="306">
        <f>tbl_明細[[#This Row],[販売価格（売値）]]*tbl_明細[[#This Row],[数量]]+tbl_明細[[#This Row],[販売価格（M)]]*tbl_明細[[#This Row],[数量（M)]]</f>
        <v/>
      </c>
      <c r="Z68" s="307">
        <f>_xlfn.XLOOKUP(tbl_明細[[#This Row],[案件番号]],tbl_案件追跡[案件番号],tbl_案件追跡[受注],"",0,1)</f>
        <v/>
      </c>
      <c r="AA68" s="228">
        <f>tbl_明細[[#This Row],[販売価格（売値）]]+tbl_明細[[#This Row],[販売価格（M)]]</f>
        <v/>
      </c>
      <c r="AB68" s="261">
        <f>tbl_明細[[#This Row],[販売価格（売値）]]*1.08+tbl_明細[[#This Row],[販売価格（M)]]*1.08</f>
        <v/>
      </c>
    </row>
    <row r="69">
      <c r="A69" s="212" t="inlineStr">
        <is>
          <t>2603-1004-S01</t>
        </is>
      </c>
      <c r="B69" s="77">
        <f>IF(ISBLANK(tbl_明細[[#This Row],[案件番号]]),"",COUNTIFS($A$3:A69,tbl_明細[[#This Row],[案件番号]],$AA$3:AA69,"&gt;0"))</f>
        <v/>
      </c>
      <c r="C69" s="209">
        <f>COUNTIFS($A$3:A69,tbl_明細[[#This Row],[案件番号]],$F$3:F69,tbl_明細[[#This Row],[仕入先]])</f>
        <v/>
      </c>
      <c r="D69" s="77">
        <f>_xlfn.XLOOKUP(tbl_明細[[#This Row],[案件番号]],tbl_採番[案件番号],tbl_採番[顧客],"",0,1)</f>
        <v/>
      </c>
      <c r="E69" s="209" t="inlineStr">
        <is>
          <t>other</t>
        </is>
      </c>
      <c r="F69" s="118">
        <f>IF(ISBLANK(tbl_明細[[#This Row],[仕入先（M)]]),_xlfn.XLOOKUP(tbl_明細[[#This Row],[商品ID]],商品マスタ[商品連番],商品マスタ[仕入先],"",0,1),tbl_明細[[#This Row],[仕入先（M)]])</f>
        <v/>
      </c>
      <c r="G69" s="112">
        <f>IF(ISBLANK(tbl_明細[[#This Row],[商品名（M)]]),_xlfn.XLOOKUP(tbl_明細[[#This Row],[商品ID]],商品マスタ[商品連番],商品マスタ[商品名],"",0,),tbl_明細[[#This Row],[商品名（M)]])</f>
        <v/>
      </c>
      <c r="H69" s="80">
        <f>IF(ISBLANK(tbl_明細[[#This Row],[仕入価格（M)]]),_xlfn.XLOOKUP(tbl_明細[[#This Row],[商品ID]],商品マスタ[商品連番],商品マスタ[仕入
単価],"",0,1),tbl_明細[[#This Row],[仕入価格（M)]])</f>
        <v/>
      </c>
      <c r="I69" s="80">
        <f>_xlfn.XLOOKUP(tbl_明細[[#This Row],[商品ID]],商品マスタ[商品連番],商品マスタ[国内定価
（15％）],"",0,1)</f>
        <v/>
      </c>
      <c r="J69" s="265" t="n"/>
      <c r="K69" s="209" t="n"/>
      <c r="L69" s="77">
        <f>_xlfn.XLOOKUP(tbl_明細[[#This Row],[商品ID]],商品マスタ[商品連番],商品マスタ[単位],"",0,1)</f>
        <v/>
      </c>
      <c r="M69" s="249">
        <f>1-tbl_明細[[#This Row],[仕入価格]]/tbl_明細[[#This Row],[販売価格（売値）]]</f>
        <v/>
      </c>
      <c r="N69" s="189">
        <f>_xlfn.XLOOKUP(tbl_明細[[#This Row],[商品ID]],商品マスタ[商品連番],商品マスタ[税率],"",0,1)</f>
        <v/>
      </c>
      <c r="O69" s="266" t="inlineStr">
        <is>
          <t>オーセントホテル小樽</t>
        </is>
      </c>
      <c r="P69" s="209" t="inlineStr">
        <is>
          <t>ホテルオリジナルビーフカレー</t>
        </is>
      </c>
      <c r="Q69" s="265" t="n">
        <v>800</v>
      </c>
      <c r="R69" s="265" t="n">
        <v>900</v>
      </c>
      <c r="S69" s="209" t="n">
        <v>15</v>
      </c>
      <c r="T69" s="209" t="inlineStr">
        <is>
          <t>個</t>
        </is>
      </c>
      <c r="U69" s="267" t="n">
        <v>0.08</v>
      </c>
      <c r="V69" s="267" t="n"/>
      <c r="W69" s="268" t="n"/>
      <c r="X69" s="306">
        <f>tbl_明細[[#This Row],[仕入価格]]*tbl_明細[[#This Row],[数量]]+tbl_明細[[#This Row],[仕入価格（M)]]*tbl_明細[[#This Row],[数量（M)]]</f>
        <v/>
      </c>
      <c r="Y69" s="306">
        <f>tbl_明細[[#This Row],[販売価格（売値）]]*tbl_明細[[#This Row],[数量]]+tbl_明細[[#This Row],[販売価格（M)]]*tbl_明細[[#This Row],[数量（M)]]</f>
        <v/>
      </c>
      <c r="Z69" s="307">
        <f>_xlfn.XLOOKUP(tbl_明細[[#This Row],[案件番号]],tbl_案件追跡[案件番号],tbl_案件追跡[受注],"",0,1)</f>
        <v/>
      </c>
      <c r="AA69" s="228">
        <f>tbl_明細[[#This Row],[販売価格（売値）]]+tbl_明細[[#This Row],[販売価格（M)]]</f>
        <v/>
      </c>
      <c r="AB69" s="261">
        <f>tbl_明細[[#This Row],[販売価格（売値）]]*1.08+tbl_明細[[#This Row],[販売価格（M)]]*1.08</f>
        <v/>
      </c>
    </row>
    <row r="70">
      <c r="A70" s="212" t="inlineStr">
        <is>
          <t>2603-1004-S01</t>
        </is>
      </c>
      <c r="B70" s="77">
        <f>IF(ISBLANK(tbl_明細[[#This Row],[案件番号]]),"",COUNTIFS($A$3:A70,tbl_明細[[#This Row],[案件番号]],$AA$3:AA70,"&gt;0"))</f>
        <v/>
      </c>
      <c r="C70" s="209">
        <f>COUNTIFS($A$3:A70,tbl_明細[[#This Row],[案件番号]],$F$3:F70,tbl_明細[[#This Row],[仕入先]])</f>
        <v/>
      </c>
      <c r="D70" s="77">
        <f>_xlfn.XLOOKUP(tbl_明細[[#This Row],[案件番号]],tbl_採番[案件番号],tbl_採番[顧客],"",0,1)</f>
        <v/>
      </c>
      <c r="E70" s="209" t="inlineStr">
        <is>
          <t>other</t>
        </is>
      </c>
      <c r="F70" s="118">
        <f>IF(ISBLANK(tbl_明細[[#This Row],[仕入先（M)]]),_xlfn.XLOOKUP(tbl_明細[[#This Row],[商品ID]],商品マスタ[商品連番],商品マスタ[仕入先],"",0,1),tbl_明細[[#This Row],[仕入先（M)]])</f>
        <v/>
      </c>
      <c r="G70" s="112">
        <f>IF(ISBLANK(tbl_明細[[#This Row],[商品名（M)]]),_xlfn.XLOOKUP(tbl_明細[[#This Row],[商品ID]],商品マスタ[商品連番],商品マスタ[商品名],"",0,),tbl_明細[[#This Row],[商品名（M)]])</f>
        <v/>
      </c>
      <c r="H70" s="80">
        <f>IF(ISBLANK(tbl_明細[[#This Row],[仕入価格（M)]]),_xlfn.XLOOKUP(tbl_明細[[#This Row],[商品ID]],商品マスタ[商品連番],商品マスタ[仕入
単価],"",0,1),tbl_明細[[#This Row],[仕入価格（M)]])</f>
        <v/>
      </c>
      <c r="I70" s="80">
        <f>_xlfn.XLOOKUP(tbl_明細[[#This Row],[商品ID]],商品マスタ[商品連番],商品マスタ[国内定価
（15％）],"",0,1)</f>
        <v/>
      </c>
      <c r="J70" s="265" t="n"/>
      <c r="K70" s="209" t="n"/>
      <c r="L70" s="77">
        <f>_xlfn.XLOOKUP(tbl_明細[[#This Row],[商品ID]],商品マスタ[商品連番],商品マスタ[単位],"",0,1)</f>
        <v/>
      </c>
      <c r="M70" s="249">
        <f>1-tbl_明細[[#This Row],[仕入価格]]/tbl_明細[[#This Row],[販売価格（売値）]]</f>
        <v/>
      </c>
      <c r="N70" s="189">
        <f>_xlfn.XLOOKUP(tbl_明細[[#This Row],[商品ID]],商品マスタ[商品連番],商品マスタ[税率],"",0,1)</f>
        <v/>
      </c>
      <c r="O70" s="266" t="inlineStr">
        <is>
          <t>オーセントホテル小樽</t>
        </is>
      </c>
      <c r="P70" s="209" t="inlineStr">
        <is>
          <t>ホテルオリジナルビーフシチュー</t>
        </is>
      </c>
      <c r="Q70" s="265" t="n">
        <v>1000</v>
      </c>
      <c r="R70" s="265" t="n">
        <v>1125</v>
      </c>
      <c r="S70" s="209" t="n">
        <v>15</v>
      </c>
      <c r="T70" s="209" t="inlineStr">
        <is>
          <t>個</t>
        </is>
      </c>
      <c r="U70" s="267" t="n">
        <v>0.08</v>
      </c>
      <c r="V70" s="267" t="n"/>
      <c r="W70" s="268" t="n"/>
      <c r="X70" s="306">
        <f>tbl_明細[[#This Row],[仕入価格]]*tbl_明細[[#This Row],[数量]]+tbl_明細[[#This Row],[仕入価格（M)]]*tbl_明細[[#This Row],[数量（M)]]</f>
        <v/>
      </c>
      <c r="Y70" s="306">
        <f>tbl_明細[[#This Row],[販売価格（売値）]]*tbl_明細[[#This Row],[数量]]+tbl_明細[[#This Row],[販売価格（M)]]*tbl_明細[[#This Row],[数量（M)]]</f>
        <v/>
      </c>
      <c r="Z70" s="307">
        <f>_xlfn.XLOOKUP(tbl_明細[[#This Row],[案件番号]],tbl_案件追跡[案件番号],tbl_案件追跡[受注],"",0,1)</f>
        <v/>
      </c>
      <c r="AA70" s="228">
        <f>tbl_明細[[#This Row],[販売価格（売値）]]+tbl_明細[[#This Row],[販売価格（M)]]</f>
        <v/>
      </c>
      <c r="AB70" s="261">
        <f>tbl_明細[[#This Row],[販売価格（売値）]]*1.08+tbl_明細[[#This Row],[販売価格（M)]]*1.08</f>
        <v/>
      </c>
    </row>
    <row r="71">
      <c r="A71" s="212" t="inlineStr">
        <is>
          <t>2603-1004-S01</t>
        </is>
      </c>
      <c r="B71" s="77">
        <f>IF(ISBLANK(tbl_明細[[#This Row],[案件番号]]),"",COUNTIFS($A$3:A71,tbl_明細[[#This Row],[案件番号]],$AA$3:AA71,"&gt;0"))</f>
        <v/>
      </c>
      <c r="C71" s="209">
        <f>COUNTIFS($A$3:A71,tbl_明細[[#This Row],[案件番号]],$F$3:F71,tbl_明細[[#This Row],[仕入先]])</f>
        <v/>
      </c>
      <c r="D71" s="77">
        <f>_xlfn.XLOOKUP(tbl_明細[[#This Row],[案件番号]],tbl_採番[案件番号],tbl_採番[顧客],"",0,1)</f>
        <v/>
      </c>
      <c r="E71" s="209" t="inlineStr">
        <is>
          <t>other</t>
        </is>
      </c>
      <c r="F71" s="118">
        <f>IF(ISBLANK(tbl_明細[[#This Row],[仕入先（M)]]),_xlfn.XLOOKUP(tbl_明細[[#This Row],[商品ID]],商品マスタ[商品連番],商品マスタ[仕入先],"",0,1),tbl_明細[[#This Row],[仕入先（M)]])</f>
        <v/>
      </c>
      <c r="G71" s="112">
        <f>IF(ISBLANK(tbl_明細[[#This Row],[商品名（M)]]),_xlfn.XLOOKUP(tbl_明細[[#This Row],[商品ID]],商品マスタ[商品連番],商品マスタ[商品名],"",0,),tbl_明細[[#This Row],[商品名（M)]])</f>
        <v/>
      </c>
      <c r="H71" s="80">
        <f>IF(ISBLANK(tbl_明細[[#This Row],[仕入価格（M)]]),_xlfn.XLOOKUP(tbl_明細[[#This Row],[商品ID]],商品マスタ[商品連番],商品マスタ[仕入
単価],"",0,1),tbl_明細[[#This Row],[仕入価格（M)]])</f>
        <v/>
      </c>
      <c r="I71" s="80">
        <f>_xlfn.XLOOKUP(tbl_明細[[#This Row],[商品ID]],商品マスタ[商品連番],商品マスタ[国内定価
（15％）],"",0,1)</f>
        <v/>
      </c>
      <c r="J71" s="265" t="n"/>
      <c r="K71" s="209" t="n"/>
      <c r="L71" s="77">
        <f>_xlfn.XLOOKUP(tbl_明細[[#This Row],[商品ID]],商品マスタ[商品連番],商品マスタ[単位],"",0,1)</f>
        <v/>
      </c>
      <c r="M71" s="249">
        <f>1-tbl_明細[[#This Row],[仕入価格]]/tbl_明細[[#This Row],[販売価格（売値）]]</f>
        <v/>
      </c>
      <c r="N71" s="189">
        <f>_xlfn.XLOOKUP(tbl_明細[[#This Row],[商品ID]],商品マスタ[商品連番],商品マスタ[税率],"",0,1)</f>
        <v/>
      </c>
      <c r="O71" s="266" t="inlineStr">
        <is>
          <t>オーセントホテル小樽</t>
        </is>
      </c>
      <c r="P71" s="209" t="inlineStr">
        <is>
          <t>牛肉のトマト煮</t>
        </is>
      </c>
      <c r="Q71" s="265" t="n">
        <v>1000</v>
      </c>
      <c r="R71" s="265" t="n">
        <v>1125</v>
      </c>
      <c r="S71" s="209" t="n">
        <v>10</v>
      </c>
      <c r="T71" s="209" t="inlineStr">
        <is>
          <t>個</t>
        </is>
      </c>
      <c r="U71" s="267" t="n">
        <v>0.08</v>
      </c>
      <c r="V71" s="267" t="n"/>
      <c r="W71" s="268" t="n"/>
      <c r="X71" s="306">
        <f>tbl_明細[[#This Row],[仕入価格]]*tbl_明細[[#This Row],[数量]]+tbl_明細[[#This Row],[仕入価格（M)]]*tbl_明細[[#This Row],[数量（M)]]</f>
        <v/>
      </c>
      <c r="Y71" s="306">
        <f>tbl_明細[[#This Row],[販売価格（売値）]]*tbl_明細[[#This Row],[数量]]+tbl_明細[[#This Row],[販売価格（M)]]*tbl_明細[[#This Row],[数量（M)]]</f>
        <v/>
      </c>
      <c r="Z71" s="307">
        <f>_xlfn.XLOOKUP(tbl_明細[[#This Row],[案件番号]],tbl_案件追跡[案件番号],tbl_案件追跡[受注],"",0,1)</f>
        <v/>
      </c>
      <c r="AA71" s="228">
        <f>tbl_明細[[#This Row],[販売価格（売値）]]+tbl_明細[[#This Row],[販売価格（M)]]</f>
        <v/>
      </c>
      <c r="AB71" s="261">
        <f>tbl_明細[[#This Row],[販売価格（売値）]]*1.08+tbl_明細[[#This Row],[販売価格（M)]]*1.08</f>
        <v/>
      </c>
    </row>
    <row r="72">
      <c r="A72" s="212" t="inlineStr">
        <is>
          <t>2603-1004-S01</t>
        </is>
      </c>
      <c r="B72" s="77">
        <f>IF(ISBLANK(tbl_明細[[#This Row],[案件番号]]),"",COUNTIFS($A$3:A72,tbl_明細[[#This Row],[案件番号]],$AA$3:AA72,"&gt;0"))</f>
        <v/>
      </c>
      <c r="C72" s="209">
        <f>COUNTIFS($A$3:A72,tbl_明細[[#This Row],[案件番号]],$F$3:F72,tbl_明細[[#This Row],[仕入先]])</f>
        <v/>
      </c>
      <c r="D72" s="77">
        <f>_xlfn.XLOOKUP(tbl_明細[[#This Row],[案件番号]],tbl_採番[案件番号],tbl_採番[顧客],"",0,1)</f>
        <v/>
      </c>
      <c r="E72" s="209" t="inlineStr">
        <is>
          <t>other</t>
        </is>
      </c>
      <c r="F72" s="118">
        <f>IF(ISBLANK(tbl_明細[[#This Row],[仕入先（M)]]),_xlfn.XLOOKUP(tbl_明細[[#This Row],[商品ID]],商品マスタ[商品連番],商品マスタ[仕入先],"",0,1),tbl_明細[[#This Row],[仕入先（M)]])</f>
        <v/>
      </c>
      <c r="G72" s="112">
        <f>IF(ISBLANK(tbl_明細[[#This Row],[商品名（M)]]),_xlfn.XLOOKUP(tbl_明細[[#This Row],[商品ID]],商品マスタ[商品連番],商品マスタ[商品名],"",0,),tbl_明細[[#This Row],[商品名（M)]])</f>
        <v/>
      </c>
      <c r="H72" s="80">
        <f>IF(ISBLANK(tbl_明細[[#This Row],[仕入価格（M)]]),_xlfn.XLOOKUP(tbl_明細[[#This Row],[商品ID]],商品マスタ[商品連番],商品マスタ[仕入
単価],"",0,1),tbl_明細[[#This Row],[仕入価格（M)]])</f>
        <v/>
      </c>
      <c r="I72" s="80">
        <f>_xlfn.XLOOKUP(tbl_明細[[#This Row],[商品ID]],商品マスタ[商品連番],商品マスタ[国内定価
（15％）],"",0,1)</f>
        <v/>
      </c>
      <c r="J72" s="265" t="n"/>
      <c r="K72" s="209" t="n"/>
      <c r="L72" s="77">
        <f>_xlfn.XLOOKUP(tbl_明細[[#This Row],[商品ID]],商品マスタ[商品連番],商品マスタ[単位],"",0,1)</f>
        <v/>
      </c>
      <c r="M72" s="249">
        <f>1-tbl_明細[[#This Row],[仕入価格]]/tbl_明細[[#This Row],[販売価格（売値）]]</f>
        <v/>
      </c>
      <c r="N72" s="189">
        <f>_xlfn.XLOOKUP(tbl_明細[[#This Row],[商品ID]],商品マスタ[商品連番],商品マスタ[税率],"",0,1)</f>
        <v/>
      </c>
      <c r="O72" s="266" t="inlineStr">
        <is>
          <t>オーセントホテル小樽</t>
        </is>
      </c>
      <c r="P72" s="209" t="inlineStr">
        <is>
          <t>コーンスープ</t>
        </is>
      </c>
      <c r="Q72" s="265" t="n">
        <v>407.41</v>
      </c>
      <c r="R72" s="265" t="n">
        <v>458</v>
      </c>
      <c r="S72" s="209" t="n">
        <v>15</v>
      </c>
      <c r="T72" s="209" t="inlineStr">
        <is>
          <t>個</t>
        </is>
      </c>
      <c r="U72" s="267" t="n">
        <v>0.08</v>
      </c>
      <c r="V72" s="267" t="n"/>
      <c r="W72" s="268" t="n"/>
      <c r="X72" s="306">
        <f>tbl_明細[[#This Row],[仕入価格]]*tbl_明細[[#This Row],[数量]]+tbl_明細[[#This Row],[仕入価格（M)]]*tbl_明細[[#This Row],[数量（M)]]</f>
        <v/>
      </c>
      <c r="Y72" s="306">
        <f>tbl_明細[[#This Row],[販売価格（売値）]]*tbl_明細[[#This Row],[数量]]+tbl_明細[[#This Row],[販売価格（M)]]*tbl_明細[[#This Row],[数量（M)]]</f>
        <v/>
      </c>
      <c r="Z72" s="307">
        <f>_xlfn.XLOOKUP(tbl_明細[[#This Row],[案件番号]],tbl_案件追跡[案件番号],tbl_案件追跡[受注],"",0,1)</f>
        <v/>
      </c>
      <c r="AA72" s="228">
        <f>tbl_明細[[#This Row],[販売価格（売値）]]+tbl_明細[[#This Row],[販売価格（M)]]</f>
        <v/>
      </c>
      <c r="AB72" s="261">
        <f>tbl_明細[[#This Row],[販売価格（売値）]]*1.08+tbl_明細[[#This Row],[販売価格（M)]]*1.08</f>
        <v/>
      </c>
    </row>
    <row r="73">
      <c r="A73" s="212" t="inlineStr">
        <is>
          <t>2603-1004-S01</t>
        </is>
      </c>
      <c r="B73" s="77">
        <f>IF(ISBLANK(tbl_明細[[#This Row],[案件番号]]),"",COUNTIFS($A$3:A73,tbl_明細[[#This Row],[案件番号]],$AA$3:AA73,"&gt;0"))</f>
        <v/>
      </c>
      <c r="C73" s="209">
        <f>COUNTIFS($A$3:A73,tbl_明細[[#This Row],[案件番号]],$F$3:F73,tbl_明細[[#This Row],[仕入先]])</f>
        <v/>
      </c>
      <c r="D73" s="77">
        <f>_xlfn.XLOOKUP(tbl_明細[[#This Row],[案件番号]],tbl_採番[案件番号],tbl_採番[顧客],"",0,1)</f>
        <v/>
      </c>
      <c r="E73" s="209" t="inlineStr">
        <is>
          <t>other</t>
        </is>
      </c>
      <c r="F73" s="118">
        <f>IF(ISBLANK(tbl_明細[[#This Row],[仕入先（M)]]),_xlfn.XLOOKUP(tbl_明細[[#This Row],[商品ID]],商品マスタ[商品連番],商品マスタ[仕入先],"",0,1),tbl_明細[[#This Row],[仕入先（M)]])</f>
        <v/>
      </c>
      <c r="G73" s="112">
        <f>IF(ISBLANK(tbl_明細[[#This Row],[商品名（M)]]),_xlfn.XLOOKUP(tbl_明細[[#This Row],[商品ID]],商品マスタ[商品連番],商品マスタ[商品名],"",0,),tbl_明細[[#This Row],[商品名（M)]])</f>
        <v/>
      </c>
      <c r="H73" s="80">
        <f>IF(ISBLANK(tbl_明細[[#This Row],[仕入価格（M)]]),_xlfn.XLOOKUP(tbl_明細[[#This Row],[商品ID]],商品マスタ[商品連番],商品マスタ[仕入
単価],"",0,1),tbl_明細[[#This Row],[仕入価格（M)]])</f>
        <v/>
      </c>
      <c r="I73" s="80">
        <f>_xlfn.XLOOKUP(tbl_明細[[#This Row],[商品ID]],商品マスタ[商品連番],商品マスタ[国内定価
（15％）],"",0,1)</f>
        <v/>
      </c>
      <c r="J73" s="265" t="n"/>
      <c r="K73" s="209" t="n"/>
      <c r="L73" s="77">
        <f>_xlfn.XLOOKUP(tbl_明細[[#This Row],[商品ID]],商品マスタ[商品連番],商品マスタ[単位],"",0,1)</f>
        <v/>
      </c>
      <c r="M73" s="249">
        <f>1-tbl_明細[[#This Row],[仕入価格]]/tbl_明細[[#This Row],[販売価格（売値）]]</f>
        <v/>
      </c>
      <c r="N73" s="189">
        <f>_xlfn.XLOOKUP(tbl_明細[[#This Row],[商品ID]],商品マスタ[商品連番],商品マスタ[税率],"",0,1)</f>
        <v/>
      </c>
      <c r="O73" s="266" t="inlineStr">
        <is>
          <t>オーセントホテル小樽</t>
        </is>
      </c>
      <c r="P73" s="209" t="inlineStr">
        <is>
          <t>パンプキンスープ</t>
        </is>
      </c>
      <c r="Q73" s="265" t="n">
        <v>407.41</v>
      </c>
      <c r="R73" s="265" t="n">
        <v>458</v>
      </c>
      <c r="S73" s="209" t="n">
        <v>15</v>
      </c>
      <c r="T73" s="209" t="inlineStr">
        <is>
          <t>個</t>
        </is>
      </c>
      <c r="U73" s="267" t="n">
        <v>0.08</v>
      </c>
      <c r="V73" s="267" t="n"/>
      <c r="W73" s="268" t="n"/>
      <c r="X73" s="306">
        <f>tbl_明細[[#This Row],[仕入価格]]*tbl_明細[[#This Row],[数量]]+tbl_明細[[#This Row],[仕入価格（M)]]*tbl_明細[[#This Row],[数量（M)]]</f>
        <v/>
      </c>
      <c r="Y73" s="306">
        <f>tbl_明細[[#This Row],[販売価格（売値）]]*tbl_明細[[#This Row],[数量]]+tbl_明細[[#This Row],[販売価格（M)]]*tbl_明細[[#This Row],[数量（M)]]</f>
        <v/>
      </c>
      <c r="Z73" s="307">
        <f>_xlfn.XLOOKUP(tbl_明細[[#This Row],[案件番号]],tbl_案件追跡[案件番号],tbl_案件追跡[受注],"",0,1)</f>
        <v/>
      </c>
      <c r="AA73" s="228">
        <f>tbl_明細[[#This Row],[販売価格（売値）]]+tbl_明細[[#This Row],[販売価格（M)]]</f>
        <v/>
      </c>
      <c r="AB73" s="261">
        <f>tbl_明細[[#This Row],[販売価格（売値）]]*1.08+tbl_明細[[#This Row],[販売価格（M)]]*1.08</f>
        <v/>
      </c>
    </row>
    <row r="74">
      <c r="A74" s="212" t="inlineStr">
        <is>
          <t>2603-1004-S01</t>
        </is>
      </c>
      <c r="B74" s="77">
        <f>IF(ISBLANK(tbl_明細[[#This Row],[案件番号]]),"",COUNTIFS($A$3:A74,tbl_明細[[#This Row],[案件番号]],$AA$3:AA74,"&gt;0"))</f>
        <v/>
      </c>
      <c r="C74" s="209">
        <f>COUNTIFS($A$3:A74,tbl_明細[[#This Row],[案件番号]],$F$3:F74,tbl_明細[[#This Row],[仕入先]])</f>
        <v/>
      </c>
      <c r="D74" s="77">
        <f>_xlfn.XLOOKUP(tbl_明細[[#This Row],[案件番号]],tbl_採番[案件番号],tbl_採番[顧客],"",0,1)</f>
        <v/>
      </c>
      <c r="E74" s="209" t="inlineStr">
        <is>
          <t>other</t>
        </is>
      </c>
      <c r="F74" s="118">
        <f>IF(ISBLANK(tbl_明細[[#This Row],[仕入先（M)]]),_xlfn.XLOOKUP(tbl_明細[[#This Row],[商品ID]],商品マスタ[商品連番],商品マスタ[仕入先],"",0,1),tbl_明細[[#This Row],[仕入先（M)]])</f>
        <v/>
      </c>
      <c r="G74" s="112">
        <f>IF(ISBLANK(tbl_明細[[#This Row],[商品名（M)]]),_xlfn.XLOOKUP(tbl_明細[[#This Row],[商品ID]],商品マスタ[商品連番],商品マスタ[商品名],"",0,),tbl_明細[[#This Row],[商品名（M)]])</f>
        <v/>
      </c>
      <c r="H74" s="80">
        <f>IF(ISBLANK(tbl_明細[[#This Row],[仕入価格（M)]]),_xlfn.XLOOKUP(tbl_明細[[#This Row],[商品ID]],商品マスタ[商品連番],商品マスタ[仕入
単価],"",0,1),tbl_明細[[#This Row],[仕入価格（M)]])</f>
        <v/>
      </c>
      <c r="I74" s="80">
        <f>_xlfn.XLOOKUP(tbl_明細[[#This Row],[商品ID]],商品マスタ[商品連番],商品マスタ[国内定価
（15％）],"",0,1)</f>
        <v/>
      </c>
      <c r="J74" s="265" t="n"/>
      <c r="K74" s="209" t="n"/>
      <c r="L74" s="77">
        <f>_xlfn.XLOOKUP(tbl_明細[[#This Row],[商品ID]],商品マスタ[商品連番],商品マスタ[単位],"",0,1)</f>
        <v/>
      </c>
      <c r="M74" s="249">
        <f>1-tbl_明細[[#This Row],[仕入価格]]/tbl_明細[[#This Row],[販売価格（売値）]]</f>
        <v/>
      </c>
      <c r="N74" s="189">
        <f>_xlfn.XLOOKUP(tbl_明細[[#This Row],[商品ID]],商品マスタ[商品連番],商品マスタ[税率],"",0,1)</f>
        <v/>
      </c>
      <c r="O74" s="266" t="inlineStr">
        <is>
          <t>オーセントホテル小樽</t>
        </is>
      </c>
      <c r="P74" s="209" t="inlineStr">
        <is>
          <t>ポテトスープ</t>
        </is>
      </c>
      <c r="Q74" s="265" t="n">
        <v>407.41</v>
      </c>
      <c r="R74" s="265" t="n">
        <v>458</v>
      </c>
      <c r="S74" s="209" t="n">
        <v>15</v>
      </c>
      <c r="T74" s="209" t="inlineStr">
        <is>
          <t>個</t>
        </is>
      </c>
      <c r="U74" s="267" t="n">
        <v>0.08</v>
      </c>
      <c r="V74" s="267" t="n"/>
      <c r="W74" s="268" t="n"/>
      <c r="X74" s="306">
        <f>tbl_明細[[#This Row],[仕入価格]]*tbl_明細[[#This Row],[数量]]+tbl_明細[[#This Row],[仕入価格（M)]]*tbl_明細[[#This Row],[数量（M)]]</f>
        <v/>
      </c>
      <c r="Y74" s="306">
        <f>tbl_明細[[#This Row],[販売価格（売値）]]*tbl_明細[[#This Row],[数量]]+tbl_明細[[#This Row],[販売価格（M)]]*tbl_明細[[#This Row],[数量（M)]]</f>
        <v/>
      </c>
      <c r="Z74" s="307">
        <f>_xlfn.XLOOKUP(tbl_明細[[#This Row],[案件番号]],tbl_案件追跡[案件番号],tbl_案件追跡[受注],"",0,1)</f>
        <v/>
      </c>
      <c r="AA74" s="228">
        <f>tbl_明細[[#This Row],[販売価格（売値）]]+tbl_明細[[#This Row],[販売価格（M)]]</f>
        <v/>
      </c>
      <c r="AB74" s="261">
        <f>tbl_明細[[#This Row],[販売価格（売値）]]*1.08+tbl_明細[[#This Row],[販売価格（M)]]*1.08</f>
        <v/>
      </c>
    </row>
    <row r="75">
      <c r="A75" s="212" t="inlineStr">
        <is>
          <t>2603-1004-S01</t>
        </is>
      </c>
      <c r="B75" s="77">
        <f>IF(ISBLANK(tbl_明細[[#This Row],[案件番号]]),"",COUNTIFS($A$3:A75,tbl_明細[[#This Row],[案件番号]],$AA$3:AA75,"&gt;0"))</f>
        <v/>
      </c>
      <c r="C75" s="209">
        <f>COUNTIFS($A$3:A75,tbl_明細[[#This Row],[案件番号]],$F$3:F75,tbl_明細[[#This Row],[仕入先]])</f>
        <v/>
      </c>
      <c r="D75" s="77">
        <f>_xlfn.XLOOKUP(tbl_明細[[#This Row],[案件番号]],tbl_採番[案件番号],tbl_採番[顧客],"",0,1)</f>
        <v/>
      </c>
      <c r="E75" s="209" t="inlineStr">
        <is>
          <t>other</t>
        </is>
      </c>
      <c r="F75" s="118">
        <f>IF(ISBLANK(tbl_明細[[#This Row],[仕入先（M)]]),_xlfn.XLOOKUP(tbl_明細[[#This Row],[商品ID]],商品マスタ[商品連番],商品マスタ[仕入先],"",0,1),tbl_明細[[#This Row],[仕入先（M)]])</f>
        <v/>
      </c>
      <c r="G75" s="112">
        <f>IF(ISBLANK(tbl_明細[[#This Row],[商品名（M)]]),_xlfn.XLOOKUP(tbl_明細[[#This Row],[商品ID]],商品マスタ[商品連番],商品マスタ[商品名],"",0,),tbl_明細[[#This Row],[商品名（M)]])</f>
        <v/>
      </c>
      <c r="H75" s="80">
        <f>IF(ISBLANK(tbl_明細[[#This Row],[仕入価格（M)]]),_xlfn.XLOOKUP(tbl_明細[[#This Row],[商品ID]],商品マスタ[商品連番],商品マスタ[仕入
単価],"",0,1),tbl_明細[[#This Row],[仕入価格（M)]])</f>
        <v/>
      </c>
      <c r="I75" s="80">
        <f>_xlfn.XLOOKUP(tbl_明細[[#This Row],[商品ID]],商品マスタ[商品連番],商品マスタ[国内定価
（15％）],"",0,1)</f>
        <v/>
      </c>
      <c r="J75" s="265" t="n"/>
      <c r="K75" s="209" t="n"/>
      <c r="L75" s="77">
        <f>_xlfn.XLOOKUP(tbl_明細[[#This Row],[商品ID]],商品マスタ[商品連番],商品マスタ[単位],"",0,1)</f>
        <v/>
      </c>
      <c r="M75" s="249">
        <f>1-tbl_明細[[#This Row],[仕入価格]]/tbl_明細[[#This Row],[販売価格（売値）]]</f>
        <v/>
      </c>
      <c r="N75" s="189">
        <f>_xlfn.XLOOKUP(tbl_明細[[#This Row],[商品ID]],商品マスタ[商品連番],商品マスタ[税率],"",0,1)</f>
        <v/>
      </c>
      <c r="O75" s="266" t="inlineStr">
        <is>
          <t>オーセントホテル小樽</t>
        </is>
      </c>
      <c r="P75" s="209" t="inlineStr">
        <is>
          <t>オニオンスープ</t>
        </is>
      </c>
      <c r="Q75" s="265" t="n">
        <v>407.41</v>
      </c>
      <c r="R75" s="265" t="n">
        <v>458</v>
      </c>
      <c r="S75" s="209" t="n">
        <v>15</v>
      </c>
      <c r="T75" s="209" t="inlineStr">
        <is>
          <t>個</t>
        </is>
      </c>
      <c r="U75" s="267" t="n">
        <v>0.08</v>
      </c>
      <c r="V75" s="267" t="n"/>
      <c r="W75" s="268" t="n"/>
      <c r="X75" s="306">
        <f>tbl_明細[[#This Row],[仕入価格]]*tbl_明細[[#This Row],[数量]]+tbl_明細[[#This Row],[仕入価格（M)]]*tbl_明細[[#This Row],[数量（M)]]</f>
        <v/>
      </c>
      <c r="Y75" s="306">
        <f>tbl_明細[[#This Row],[販売価格（売値）]]*tbl_明細[[#This Row],[数量]]+tbl_明細[[#This Row],[販売価格（M)]]*tbl_明細[[#This Row],[数量（M)]]</f>
        <v/>
      </c>
      <c r="Z75" s="307">
        <f>_xlfn.XLOOKUP(tbl_明細[[#This Row],[案件番号]],tbl_案件追跡[案件番号],tbl_案件追跡[受注],"",0,1)</f>
        <v/>
      </c>
      <c r="AA75" s="228">
        <f>tbl_明細[[#This Row],[販売価格（売値）]]+tbl_明細[[#This Row],[販売価格（M)]]</f>
        <v/>
      </c>
      <c r="AB75" s="261">
        <f>tbl_明細[[#This Row],[販売価格（売値）]]*1.08+tbl_明細[[#This Row],[販売価格（M)]]*1.08</f>
        <v/>
      </c>
    </row>
    <row r="76">
      <c r="A76" s="212" t="inlineStr">
        <is>
          <t>2603-1004-S01</t>
        </is>
      </c>
      <c r="B76" s="77">
        <f>IF(ISBLANK(tbl_明細[[#This Row],[案件番号]]),"",COUNTIFS($A$3:A76,tbl_明細[[#This Row],[案件番号]],$AA$3:AA76,"&gt;0"))</f>
        <v/>
      </c>
      <c r="C76" s="209">
        <f>COUNTIFS($A$3:A76,tbl_明細[[#This Row],[案件番号]],$F$3:F76,tbl_明細[[#This Row],[仕入先]])</f>
        <v/>
      </c>
      <c r="D76" s="77">
        <f>_xlfn.XLOOKUP(tbl_明細[[#This Row],[案件番号]],tbl_採番[案件番号],tbl_採番[顧客],"",0,1)</f>
        <v/>
      </c>
      <c r="E76" s="209" t="inlineStr">
        <is>
          <t>other</t>
        </is>
      </c>
      <c r="F76" s="118">
        <f>IF(ISBLANK(tbl_明細[[#This Row],[仕入先（M)]]),_xlfn.XLOOKUP(tbl_明細[[#This Row],[商品ID]],商品マスタ[商品連番],商品マスタ[仕入先],"",0,1),tbl_明細[[#This Row],[仕入先（M)]])</f>
        <v/>
      </c>
      <c r="G76" s="112">
        <f>IF(ISBLANK(tbl_明細[[#This Row],[商品名（M)]]),_xlfn.XLOOKUP(tbl_明細[[#This Row],[商品ID]],商品マスタ[商品連番],商品マスタ[商品名],"",0,),tbl_明細[[#This Row],[商品名（M)]])</f>
        <v/>
      </c>
      <c r="H76" s="80">
        <f>IF(ISBLANK(tbl_明細[[#This Row],[仕入価格（M)]]),_xlfn.XLOOKUP(tbl_明細[[#This Row],[商品ID]],商品マスタ[商品連番],商品マスタ[仕入
単価],"",0,1),tbl_明細[[#This Row],[仕入価格（M)]])</f>
        <v/>
      </c>
      <c r="I76" s="80">
        <f>_xlfn.XLOOKUP(tbl_明細[[#This Row],[商品ID]],商品マスタ[商品連番],商品マスタ[国内定価
（15％）],"",0,1)</f>
        <v/>
      </c>
      <c r="J76" s="265" t="n"/>
      <c r="K76" s="209" t="n"/>
      <c r="L76" s="77">
        <f>_xlfn.XLOOKUP(tbl_明細[[#This Row],[商品ID]],商品マスタ[商品連番],商品マスタ[単位],"",0,1)</f>
        <v/>
      </c>
      <c r="M76" s="249">
        <f>1-tbl_明細[[#This Row],[仕入価格]]/tbl_明細[[#This Row],[販売価格（売値）]]</f>
        <v/>
      </c>
      <c r="N76" s="189">
        <f>_xlfn.XLOOKUP(tbl_明細[[#This Row],[商品ID]],商品マスタ[商品連番],商品マスタ[税率],"",0,1)</f>
        <v/>
      </c>
      <c r="O76" s="266" t="inlineStr">
        <is>
          <t>ナオバンズ</t>
        </is>
      </c>
      <c r="P76" s="209" t="inlineStr">
        <is>
          <t>俱知安小倉あんこカスタードパウンドケーキ</t>
        </is>
      </c>
      <c r="Q76" s="265" t="n"/>
      <c r="R76" s="265" t="n">
        <v>238</v>
      </c>
      <c r="S76" s="209" t="n">
        <v>10</v>
      </c>
      <c r="T76" s="209" t="inlineStr">
        <is>
          <t>個</t>
        </is>
      </c>
      <c r="U76" s="267" t="n">
        <v>0.08</v>
      </c>
      <c r="V76" s="267" t="n"/>
      <c r="W76" s="268" t="n"/>
      <c r="X76" s="306">
        <f>tbl_明細[[#This Row],[仕入価格]]*tbl_明細[[#This Row],[数量]]+tbl_明細[[#This Row],[仕入価格（M)]]*tbl_明細[[#This Row],[数量（M)]]</f>
        <v/>
      </c>
      <c r="Y76" s="306">
        <f>tbl_明細[[#This Row],[販売価格（売値）]]*tbl_明細[[#This Row],[数量]]+tbl_明細[[#This Row],[販売価格（M)]]*tbl_明細[[#This Row],[数量（M)]]</f>
        <v/>
      </c>
      <c r="Z76" s="307">
        <f>_xlfn.XLOOKUP(tbl_明細[[#This Row],[案件番号]],tbl_案件追跡[案件番号],tbl_案件追跡[受注],"",0,1)</f>
        <v/>
      </c>
      <c r="AA76" s="228">
        <f>tbl_明細[[#This Row],[販売価格（売値）]]+tbl_明細[[#This Row],[販売価格（M)]]</f>
        <v/>
      </c>
      <c r="AB76" s="261">
        <f>tbl_明細[[#This Row],[販売価格（売値）]]*1.08+tbl_明細[[#This Row],[販売価格（M)]]*1.08</f>
        <v/>
      </c>
    </row>
    <row r="77">
      <c r="A77" s="212" t="inlineStr">
        <is>
          <t>2603-1004-S01</t>
        </is>
      </c>
      <c r="B77" s="77">
        <f>IF(ISBLANK(tbl_明細[[#This Row],[案件番号]]),"",COUNTIFS($A$3:A77,tbl_明細[[#This Row],[案件番号]],$AA$3:AA77,"&gt;0"))</f>
        <v/>
      </c>
      <c r="C77" s="209">
        <f>COUNTIFS($A$3:A77,tbl_明細[[#This Row],[案件番号]],$F$3:F77,tbl_明細[[#This Row],[仕入先]])</f>
        <v/>
      </c>
      <c r="D77" s="77">
        <f>_xlfn.XLOOKUP(tbl_明細[[#This Row],[案件番号]],tbl_採番[案件番号],tbl_採番[顧客],"",0,1)</f>
        <v/>
      </c>
      <c r="E77" s="209" t="inlineStr">
        <is>
          <t>other</t>
        </is>
      </c>
      <c r="F77" s="118">
        <f>IF(ISBLANK(tbl_明細[[#This Row],[仕入先（M)]]),_xlfn.XLOOKUP(tbl_明細[[#This Row],[商品ID]],商品マスタ[商品連番],商品マスタ[仕入先],"",0,1),tbl_明細[[#This Row],[仕入先（M)]])</f>
        <v/>
      </c>
      <c r="G77" s="112">
        <f>IF(ISBLANK(tbl_明細[[#This Row],[商品名（M)]]),_xlfn.XLOOKUP(tbl_明細[[#This Row],[商品ID]],商品マスタ[商品連番],商品マスタ[商品名],"",0,),tbl_明細[[#This Row],[商品名（M)]])</f>
        <v/>
      </c>
      <c r="H77" s="80">
        <f>IF(ISBLANK(tbl_明細[[#This Row],[仕入価格（M)]]),_xlfn.XLOOKUP(tbl_明細[[#This Row],[商品ID]],商品マスタ[商品連番],商品マスタ[仕入
単価],"",0,1),tbl_明細[[#This Row],[仕入価格（M)]])</f>
        <v/>
      </c>
      <c r="I77" s="80">
        <f>_xlfn.XLOOKUP(tbl_明細[[#This Row],[商品ID]],商品マスタ[商品連番],商品マスタ[国内定価
（15％）],"",0,1)</f>
        <v/>
      </c>
      <c r="J77" s="265" t="n"/>
      <c r="K77" s="209" t="n"/>
      <c r="L77" s="77">
        <f>_xlfn.XLOOKUP(tbl_明細[[#This Row],[商品ID]],商品マスタ[商品連番],商品マスタ[単位],"",0,1)</f>
        <v/>
      </c>
      <c r="M77" s="249">
        <f>1-tbl_明細[[#This Row],[仕入価格]]/tbl_明細[[#This Row],[販売価格（売値）]]</f>
        <v/>
      </c>
      <c r="N77" s="189">
        <f>_xlfn.XLOOKUP(tbl_明細[[#This Row],[商品ID]],商品マスタ[商品連番],商品マスタ[税率],"",0,1)</f>
        <v/>
      </c>
      <c r="O77" s="266" t="inlineStr">
        <is>
          <t>ナオバンズ</t>
        </is>
      </c>
      <c r="P77" s="209" t="inlineStr">
        <is>
          <t>俱知安栗かぼちゃパウンドケーキ</t>
        </is>
      </c>
      <c r="Q77" s="265" t="n"/>
      <c r="R77" s="265" t="n">
        <v>238</v>
      </c>
      <c r="S77" s="209" t="n">
        <v>10</v>
      </c>
      <c r="T77" s="209" t="inlineStr">
        <is>
          <t>個</t>
        </is>
      </c>
      <c r="U77" s="267" t="n">
        <v>0.08</v>
      </c>
      <c r="V77" s="267" t="n"/>
      <c r="W77" s="268" t="n"/>
      <c r="X77" s="306">
        <f>tbl_明細[[#This Row],[仕入価格]]*tbl_明細[[#This Row],[数量]]+tbl_明細[[#This Row],[仕入価格（M)]]*tbl_明細[[#This Row],[数量（M)]]</f>
        <v/>
      </c>
      <c r="Y77" s="306">
        <f>tbl_明細[[#This Row],[販売価格（売値）]]*tbl_明細[[#This Row],[数量]]+tbl_明細[[#This Row],[販売価格（M)]]*tbl_明細[[#This Row],[数量（M)]]</f>
        <v/>
      </c>
      <c r="Z77" s="307">
        <f>_xlfn.XLOOKUP(tbl_明細[[#This Row],[案件番号]],tbl_案件追跡[案件番号],tbl_案件追跡[受注],"",0,1)</f>
        <v/>
      </c>
      <c r="AA77" s="228">
        <f>tbl_明細[[#This Row],[販売価格（売値）]]+tbl_明細[[#This Row],[販売価格（M)]]</f>
        <v/>
      </c>
      <c r="AB77" s="261">
        <f>tbl_明細[[#This Row],[販売価格（売値）]]*1.08+tbl_明細[[#This Row],[販売価格（M)]]*1.08</f>
        <v/>
      </c>
    </row>
    <row r="78">
      <c r="A78" s="212" t="inlineStr">
        <is>
          <t>2603-1004-S01</t>
        </is>
      </c>
      <c r="B78" s="77">
        <f>IF(ISBLANK(tbl_明細[[#This Row],[案件番号]]),"",COUNTIFS($A$3:A78,tbl_明細[[#This Row],[案件番号]],$AA$3:AA78,"&gt;0"))</f>
        <v/>
      </c>
      <c r="C78" s="209">
        <f>COUNTIFS($A$3:A78,tbl_明細[[#This Row],[案件番号]],$F$3:F78,tbl_明細[[#This Row],[仕入先]])</f>
        <v/>
      </c>
      <c r="D78" s="77">
        <f>_xlfn.XLOOKUP(tbl_明細[[#This Row],[案件番号]],tbl_採番[案件番号],tbl_採番[顧客],"",0,1)</f>
        <v/>
      </c>
      <c r="E78" s="209" t="inlineStr">
        <is>
          <t>other</t>
        </is>
      </c>
      <c r="F78" s="118">
        <f>IF(ISBLANK(tbl_明細[[#This Row],[仕入先（M)]]),_xlfn.XLOOKUP(tbl_明細[[#This Row],[商品ID]],商品マスタ[商品連番],商品マスタ[仕入先],"",0,1),tbl_明細[[#This Row],[仕入先（M)]])</f>
        <v/>
      </c>
      <c r="G78" s="112">
        <f>IF(ISBLANK(tbl_明細[[#This Row],[商品名（M)]]),_xlfn.XLOOKUP(tbl_明細[[#This Row],[商品ID]],商品マスタ[商品連番],商品マスタ[商品名],"",0,),tbl_明細[[#This Row],[商品名（M)]])</f>
        <v/>
      </c>
      <c r="H78" s="80">
        <f>IF(ISBLANK(tbl_明細[[#This Row],[仕入価格（M)]]),_xlfn.XLOOKUP(tbl_明細[[#This Row],[商品ID]],商品マスタ[商品連番],商品マスタ[仕入
単価],"",0,1),tbl_明細[[#This Row],[仕入価格（M)]])</f>
        <v/>
      </c>
      <c r="I78" s="80">
        <f>_xlfn.XLOOKUP(tbl_明細[[#This Row],[商品ID]],商品マスタ[商品連番],商品マスタ[国内定価
（15％）],"",0,1)</f>
        <v/>
      </c>
      <c r="J78" s="265" t="n"/>
      <c r="K78" s="209" t="n"/>
      <c r="L78" s="77">
        <f>_xlfn.XLOOKUP(tbl_明細[[#This Row],[商品ID]],商品マスタ[商品連番],商品マスタ[単位],"",0,1)</f>
        <v/>
      </c>
      <c r="M78" s="249">
        <f>1-tbl_明細[[#This Row],[仕入価格]]/tbl_明細[[#This Row],[販売価格（売値）]]</f>
        <v/>
      </c>
      <c r="N78" s="189">
        <f>_xlfn.XLOOKUP(tbl_明細[[#This Row],[商品ID]],商品マスタ[商品連番],商品マスタ[税率],"",0,1)</f>
        <v/>
      </c>
      <c r="O78" s="266" t="inlineStr">
        <is>
          <t>ナオバンズ</t>
        </is>
      </c>
      <c r="P78" s="209" t="inlineStr">
        <is>
          <t>抹茶ニセコ黒豆ホワイトチョコパウンドケーキ</t>
        </is>
      </c>
      <c r="Q78" s="265" t="n"/>
      <c r="R78" s="265" t="n">
        <v>238</v>
      </c>
      <c r="S78" s="209" t="n">
        <v>5</v>
      </c>
      <c r="T78" s="209" t="inlineStr">
        <is>
          <t>個</t>
        </is>
      </c>
      <c r="U78" s="267" t="n">
        <v>0.08</v>
      </c>
      <c r="V78" s="267" t="n"/>
      <c r="W78" s="268" t="n"/>
      <c r="X78" s="306">
        <f>tbl_明細[[#This Row],[仕入価格]]*tbl_明細[[#This Row],[数量]]+tbl_明細[[#This Row],[仕入価格（M)]]*tbl_明細[[#This Row],[数量（M)]]</f>
        <v/>
      </c>
      <c r="Y78" s="306">
        <f>tbl_明細[[#This Row],[販売価格（売値）]]*tbl_明細[[#This Row],[数量]]+tbl_明細[[#This Row],[販売価格（M)]]*tbl_明細[[#This Row],[数量（M)]]</f>
        <v/>
      </c>
      <c r="Z78" s="307">
        <f>_xlfn.XLOOKUP(tbl_明細[[#This Row],[案件番号]],tbl_案件追跡[案件番号],tbl_案件追跡[受注],"",0,1)</f>
        <v/>
      </c>
      <c r="AA78" s="228">
        <f>tbl_明細[[#This Row],[販売価格（売値）]]+tbl_明細[[#This Row],[販売価格（M)]]</f>
        <v/>
      </c>
      <c r="AB78" s="261">
        <f>tbl_明細[[#This Row],[販売価格（売値）]]*1.08+tbl_明細[[#This Row],[販売価格（M)]]*1.08</f>
        <v/>
      </c>
    </row>
    <row r="79">
      <c r="A79" s="212" t="inlineStr">
        <is>
          <t>2603-1004-S01</t>
        </is>
      </c>
      <c r="B79" s="77">
        <f>IF(ISBLANK(tbl_明細[[#This Row],[案件番号]]),"",COUNTIFS($A$3:A79,tbl_明細[[#This Row],[案件番号]],$AA$3:AA79,"&gt;0"))</f>
        <v/>
      </c>
      <c r="C79" s="209">
        <f>COUNTIFS($A$3:A79,tbl_明細[[#This Row],[案件番号]],$F$3:F79,tbl_明細[[#This Row],[仕入先]])</f>
        <v/>
      </c>
      <c r="D79" s="77">
        <f>_xlfn.XLOOKUP(tbl_明細[[#This Row],[案件番号]],tbl_採番[案件番号],tbl_採番[顧客],"",0,1)</f>
        <v/>
      </c>
      <c r="E79" s="209" t="inlineStr">
        <is>
          <t>other</t>
        </is>
      </c>
      <c r="F79" s="118">
        <f>IF(ISBLANK(tbl_明細[[#This Row],[仕入先（M)]]),_xlfn.XLOOKUP(tbl_明細[[#This Row],[商品ID]],商品マスタ[商品連番],商品マスタ[仕入先],"",0,1),tbl_明細[[#This Row],[仕入先（M)]])</f>
        <v/>
      </c>
      <c r="G79" s="112">
        <f>IF(ISBLANK(tbl_明細[[#This Row],[商品名（M)]]),_xlfn.XLOOKUP(tbl_明細[[#This Row],[商品ID]],商品マスタ[商品連番],商品マスタ[商品名],"",0,),tbl_明細[[#This Row],[商品名（M)]])</f>
        <v/>
      </c>
      <c r="H79" s="80">
        <f>IF(ISBLANK(tbl_明細[[#This Row],[仕入価格（M)]]),_xlfn.XLOOKUP(tbl_明細[[#This Row],[商品ID]],商品マスタ[商品連番],商品マスタ[仕入
単価],"",0,1),tbl_明細[[#This Row],[仕入価格（M)]])</f>
        <v/>
      </c>
      <c r="I79" s="80">
        <f>_xlfn.XLOOKUP(tbl_明細[[#This Row],[商品ID]],商品マスタ[商品連番],商品マスタ[国内定価
（15％）],"",0,1)</f>
        <v/>
      </c>
      <c r="J79" s="265" t="n"/>
      <c r="K79" s="209" t="n"/>
      <c r="L79" s="77">
        <f>_xlfn.XLOOKUP(tbl_明細[[#This Row],[商品ID]],商品マスタ[商品連番],商品マスタ[単位],"",0,1)</f>
        <v/>
      </c>
      <c r="M79" s="249">
        <f>1-tbl_明細[[#This Row],[仕入価格]]/tbl_明細[[#This Row],[販売価格（売値）]]</f>
        <v/>
      </c>
      <c r="N79" s="189">
        <f>_xlfn.XLOOKUP(tbl_明細[[#This Row],[商品ID]],商品マスタ[商品連番],商品マスタ[税率],"",0,1)</f>
        <v/>
      </c>
      <c r="O79" s="266" t="inlineStr">
        <is>
          <t>ナオバンズ</t>
        </is>
      </c>
      <c r="P79" s="209" t="inlineStr">
        <is>
          <t>SAKURA酒粕パウンドケーキ</t>
        </is>
      </c>
      <c r="Q79" s="265" t="n"/>
      <c r="R79" s="265" t="n">
        <v>238</v>
      </c>
      <c r="S79" s="209" t="n">
        <v>10</v>
      </c>
      <c r="T79" s="209" t="inlineStr">
        <is>
          <t>個</t>
        </is>
      </c>
      <c r="U79" s="267" t="n">
        <v>0.08</v>
      </c>
      <c r="V79" s="267" t="n"/>
      <c r="W79" s="268" t="n"/>
      <c r="X79" s="306">
        <f>tbl_明細[[#This Row],[仕入価格]]*tbl_明細[[#This Row],[数量]]+tbl_明細[[#This Row],[仕入価格（M)]]*tbl_明細[[#This Row],[数量（M)]]</f>
        <v/>
      </c>
      <c r="Y79" s="306">
        <f>tbl_明細[[#This Row],[販売価格（売値）]]*tbl_明細[[#This Row],[数量]]+tbl_明細[[#This Row],[販売価格（M)]]*tbl_明細[[#This Row],[数量（M)]]</f>
        <v/>
      </c>
      <c r="Z79" s="307">
        <f>_xlfn.XLOOKUP(tbl_明細[[#This Row],[案件番号]],tbl_案件追跡[案件番号],tbl_案件追跡[受注],"",0,1)</f>
        <v/>
      </c>
      <c r="AA79" s="228">
        <f>tbl_明細[[#This Row],[販売価格（売値）]]+tbl_明細[[#This Row],[販売価格（M)]]</f>
        <v/>
      </c>
      <c r="AB79" s="261">
        <f>tbl_明細[[#This Row],[販売価格（売値）]]*1.08+tbl_明細[[#This Row],[販売価格（M)]]*1.08</f>
        <v/>
      </c>
    </row>
    <row r="80">
      <c r="A80" s="212" t="inlineStr">
        <is>
          <t>2603-1004-S01</t>
        </is>
      </c>
      <c r="B80" s="77">
        <f>IF(ISBLANK(tbl_明細[[#This Row],[案件番号]]),"",COUNTIFS($A$3:A80,tbl_明細[[#This Row],[案件番号]],$AA$3:AA80,"&gt;0"))</f>
        <v/>
      </c>
      <c r="C80" s="209">
        <f>COUNTIFS($A$3:A80,tbl_明細[[#This Row],[案件番号]],$F$3:F80,tbl_明細[[#This Row],[仕入先]])</f>
        <v/>
      </c>
      <c r="D80" s="77">
        <f>_xlfn.XLOOKUP(tbl_明細[[#This Row],[案件番号]],tbl_採番[案件番号],tbl_採番[顧客],"",0,1)</f>
        <v/>
      </c>
      <c r="E80" s="209" t="inlineStr">
        <is>
          <t>other</t>
        </is>
      </c>
      <c r="F80" s="118">
        <f>IF(ISBLANK(tbl_明細[[#This Row],[仕入先（M)]]),_xlfn.XLOOKUP(tbl_明細[[#This Row],[商品ID]],商品マスタ[商品連番],商品マスタ[仕入先],"",0,1),tbl_明細[[#This Row],[仕入先（M)]])</f>
        <v/>
      </c>
      <c r="G80" s="112">
        <f>IF(ISBLANK(tbl_明細[[#This Row],[商品名（M)]]),_xlfn.XLOOKUP(tbl_明細[[#This Row],[商品ID]],商品マスタ[商品連番],商品マスタ[商品名],"",0,),tbl_明細[[#This Row],[商品名（M)]])</f>
        <v/>
      </c>
      <c r="H80" s="80">
        <f>IF(ISBLANK(tbl_明細[[#This Row],[仕入価格（M)]]),_xlfn.XLOOKUP(tbl_明細[[#This Row],[商品ID]],商品マスタ[商品連番],商品マスタ[仕入
単価],"",0,1),tbl_明細[[#This Row],[仕入価格（M)]])</f>
        <v/>
      </c>
      <c r="I80" s="80">
        <f>_xlfn.XLOOKUP(tbl_明細[[#This Row],[商品ID]],商品マスタ[商品連番],商品マスタ[国内定価
（15％）],"",0,1)</f>
        <v/>
      </c>
      <c r="J80" s="265" t="n"/>
      <c r="K80" s="209" t="n"/>
      <c r="L80" s="77">
        <f>_xlfn.XLOOKUP(tbl_明細[[#This Row],[商品ID]],商品マスタ[商品連番],商品マスタ[単位],"",0,1)</f>
        <v/>
      </c>
      <c r="M80" s="249">
        <f>1-tbl_明細[[#This Row],[仕入価格]]/tbl_明細[[#This Row],[販売価格（売値）]]</f>
        <v/>
      </c>
      <c r="N80" s="189">
        <f>_xlfn.XLOOKUP(tbl_明細[[#This Row],[商品ID]],商品マスタ[商品連番],商品マスタ[税率],"",0,1)</f>
        <v/>
      </c>
      <c r="O80" s="266" t="inlineStr">
        <is>
          <t>ナオバンズ</t>
        </is>
      </c>
      <c r="P80" s="209" t="inlineStr">
        <is>
          <t>酒粕ココアレーズンパウンドケーキ</t>
        </is>
      </c>
      <c r="Q80" s="265" t="n"/>
      <c r="R80" s="265" t="n">
        <v>238</v>
      </c>
      <c r="S80" s="209" t="n">
        <v>5</v>
      </c>
      <c r="T80" s="209" t="inlineStr">
        <is>
          <t>個</t>
        </is>
      </c>
      <c r="U80" s="267" t="n">
        <v>0.08</v>
      </c>
      <c r="V80" s="267" t="n"/>
      <c r="W80" s="268" t="n"/>
      <c r="X80" s="306">
        <f>tbl_明細[[#This Row],[仕入価格]]*tbl_明細[[#This Row],[数量]]+tbl_明細[[#This Row],[仕入価格（M)]]*tbl_明細[[#This Row],[数量（M)]]</f>
        <v/>
      </c>
      <c r="Y80" s="306">
        <f>tbl_明細[[#This Row],[販売価格（売値）]]*tbl_明細[[#This Row],[数量]]+tbl_明細[[#This Row],[販売価格（M)]]*tbl_明細[[#This Row],[数量（M)]]</f>
        <v/>
      </c>
      <c r="Z80" s="307">
        <f>_xlfn.XLOOKUP(tbl_明細[[#This Row],[案件番号]],tbl_案件追跡[案件番号],tbl_案件追跡[受注],"",0,1)</f>
        <v/>
      </c>
      <c r="AA80" s="228">
        <f>tbl_明細[[#This Row],[販売価格（売値）]]+tbl_明細[[#This Row],[販売価格（M)]]</f>
        <v/>
      </c>
      <c r="AB80" s="261">
        <f>tbl_明細[[#This Row],[販売価格（売値）]]*1.08+tbl_明細[[#This Row],[販売価格（M)]]*1.08</f>
        <v/>
      </c>
    </row>
    <row r="81">
      <c r="A81" s="212" t="inlineStr">
        <is>
          <t>2603-1004-S01</t>
        </is>
      </c>
      <c r="B81" s="77">
        <f>IF(ISBLANK(tbl_明細[[#This Row],[案件番号]]),"",COUNTIFS($A$3:A81,tbl_明細[[#This Row],[案件番号]],$AA$3:AA81,"&gt;0"))</f>
        <v/>
      </c>
      <c r="C81" s="209">
        <f>COUNTIFS($A$3:A81,tbl_明細[[#This Row],[案件番号]],$F$3:F81,tbl_明細[[#This Row],[仕入先]])</f>
        <v/>
      </c>
      <c r="D81" s="77">
        <f>_xlfn.XLOOKUP(tbl_明細[[#This Row],[案件番号]],tbl_採番[案件番号],tbl_採番[顧客],"",0,1)</f>
        <v/>
      </c>
      <c r="E81" s="209" t="inlineStr">
        <is>
          <t>other</t>
        </is>
      </c>
      <c r="F81" s="118">
        <f>IF(ISBLANK(tbl_明細[[#This Row],[仕入先（M)]]),_xlfn.XLOOKUP(tbl_明細[[#This Row],[商品ID]],商品マスタ[商品連番],商品マスタ[仕入先],"",0,1),tbl_明細[[#This Row],[仕入先（M)]])</f>
        <v/>
      </c>
      <c r="G81" s="112">
        <f>IF(ISBLANK(tbl_明細[[#This Row],[商品名（M)]]),_xlfn.XLOOKUP(tbl_明細[[#This Row],[商品ID]],商品マスタ[商品連番],商品マスタ[商品名],"",0,),tbl_明細[[#This Row],[商品名（M)]])</f>
        <v/>
      </c>
      <c r="H81" s="80">
        <f>IF(ISBLANK(tbl_明細[[#This Row],[仕入価格（M)]]),_xlfn.XLOOKUP(tbl_明細[[#This Row],[商品ID]],商品マスタ[商品連番],商品マスタ[仕入
単価],"",0,1),tbl_明細[[#This Row],[仕入価格（M)]])</f>
        <v/>
      </c>
      <c r="I81" s="80">
        <f>_xlfn.XLOOKUP(tbl_明細[[#This Row],[商品ID]],商品マスタ[商品連番],商品マスタ[国内定価
（15％）],"",0,1)</f>
        <v/>
      </c>
      <c r="J81" s="265" t="n"/>
      <c r="K81" s="209" t="n"/>
      <c r="L81" s="77">
        <f>_xlfn.XLOOKUP(tbl_明細[[#This Row],[商品ID]],商品マスタ[商品連番],商品マスタ[単位],"",0,1)</f>
        <v/>
      </c>
      <c r="M81" s="249">
        <f>1-tbl_明細[[#This Row],[仕入価格]]/tbl_明細[[#This Row],[販売価格（売値）]]</f>
        <v/>
      </c>
      <c r="N81" s="189">
        <f>_xlfn.XLOOKUP(tbl_明細[[#This Row],[商品ID]],商品マスタ[商品連番],商品マスタ[税率],"",0,1)</f>
        <v/>
      </c>
      <c r="O81" s="266" t="inlineStr">
        <is>
          <t>ナオバンズ</t>
        </is>
      </c>
      <c r="P81" s="209" t="inlineStr">
        <is>
          <t>ニセコ人参ココナッツパウンドケーキ</t>
        </is>
      </c>
      <c r="Q81" s="265" t="n"/>
      <c r="R81" s="265" t="n">
        <v>238</v>
      </c>
      <c r="S81" s="209" t="n">
        <v>10</v>
      </c>
      <c r="T81" s="209" t="inlineStr">
        <is>
          <t>個</t>
        </is>
      </c>
      <c r="U81" s="267" t="n">
        <v>0.08</v>
      </c>
      <c r="V81" s="267" t="n"/>
      <c r="W81" s="268" t="n"/>
      <c r="X81" s="306">
        <f>tbl_明細[[#This Row],[仕入価格]]*tbl_明細[[#This Row],[数量]]+tbl_明細[[#This Row],[仕入価格（M)]]*tbl_明細[[#This Row],[数量（M)]]</f>
        <v/>
      </c>
      <c r="Y81" s="306">
        <f>tbl_明細[[#This Row],[販売価格（売値）]]*tbl_明細[[#This Row],[数量]]+tbl_明細[[#This Row],[販売価格（M)]]*tbl_明細[[#This Row],[数量（M)]]</f>
        <v/>
      </c>
      <c r="Z81" s="307">
        <f>_xlfn.XLOOKUP(tbl_明細[[#This Row],[案件番号]],tbl_案件追跡[案件番号],tbl_案件追跡[受注],"",0,1)</f>
        <v/>
      </c>
      <c r="AA81" s="228">
        <f>tbl_明細[[#This Row],[販売価格（売値）]]+tbl_明細[[#This Row],[販売価格（M)]]</f>
        <v/>
      </c>
      <c r="AB81" s="261">
        <f>tbl_明細[[#This Row],[販売価格（売値）]]*1.08+tbl_明細[[#This Row],[販売価格（M)]]*1.08</f>
        <v/>
      </c>
    </row>
    <row r="82">
      <c r="A82" s="212" t="inlineStr">
        <is>
          <t>2603-1004-S01</t>
        </is>
      </c>
      <c r="B82" s="77">
        <f>IF(ISBLANK(tbl_明細[[#This Row],[案件番号]]),"",COUNTIFS($A$3:A82,tbl_明細[[#This Row],[案件番号]],$AA$3:AA82,"&gt;0"))</f>
        <v/>
      </c>
      <c r="C82" s="209">
        <f>COUNTIFS($A$3:A82,tbl_明細[[#This Row],[案件番号]],$F$3:F82,tbl_明細[[#This Row],[仕入先]])</f>
        <v/>
      </c>
      <c r="D82" s="77">
        <f>_xlfn.XLOOKUP(tbl_明細[[#This Row],[案件番号]],tbl_採番[案件番号],tbl_採番[顧客],"",0,1)</f>
        <v/>
      </c>
      <c r="E82" s="209" t="inlineStr">
        <is>
          <t>other</t>
        </is>
      </c>
      <c r="F82" s="118">
        <f>IF(ISBLANK(tbl_明細[[#This Row],[仕入先（M)]]),_xlfn.XLOOKUP(tbl_明細[[#This Row],[商品ID]],商品マスタ[商品連番],商品マスタ[仕入先],"",0,1),tbl_明細[[#This Row],[仕入先（M)]])</f>
        <v/>
      </c>
      <c r="G82" s="112">
        <f>IF(ISBLANK(tbl_明細[[#This Row],[商品名（M)]]),_xlfn.XLOOKUP(tbl_明細[[#This Row],[商品ID]],商品マスタ[商品連番],商品マスタ[商品名],"",0,),tbl_明細[[#This Row],[商品名（M)]])</f>
        <v/>
      </c>
      <c r="H82" s="80">
        <f>IF(ISBLANK(tbl_明細[[#This Row],[仕入価格（M)]]),_xlfn.XLOOKUP(tbl_明細[[#This Row],[商品ID]],商品マスタ[商品連番],商品マスタ[仕入
単価],"",0,1),tbl_明細[[#This Row],[仕入価格（M)]])</f>
        <v/>
      </c>
      <c r="I82" s="80">
        <f>_xlfn.XLOOKUP(tbl_明細[[#This Row],[商品ID]],商品マスタ[商品連番],商品マスタ[国内定価
（15％）],"",0,1)</f>
        <v/>
      </c>
      <c r="J82" s="265" t="n"/>
      <c r="K82" s="209" t="n"/>
      <c r="L82" s="77">
        <f>_xlfn.XLOOKUP(tbl_明細[[#This Row],[商品ID]],商品マスタ[商品連番],商品マスタ[単位],"",0,1)</f>
        <v/>
      </c>
      <c r="M82" s="249">
        <f>1-tbl_明細[[#This Row],[仕入価格]]/tbl_明細[[#This Row],[販売価格（売値）]]</f>
        <v/>
      </c>
      <c r="N82" s="189">
        <f>_xlfn.XLOOKUP(tbl_明細[[#This Row],[商品ID]],商品マスタ[商品連番],商品マスタ[税率],"",0,1)</f>
        <v/>
      </c>
      <c r="O82" s="266" t="inlineStr">
        <is>
          <t>ナオバンズ</t>
        </is>
      </c>
      <c r="P82" s="209" t="inlineStr">
        <is>
          <t>めっちゃレモンなパウンドケーキ</t>
        </is>
      </c>
      <c r="Q82" s="265" t="n"/>
      <c r="R82" s="265" t="n">
        <v>238</v>
      </c>
      <c r="S82" s="209" t="n">
        <v>10</v>
      </c>
      <c r="T82" s="209" t="inlineStr">
        <is>
          <t>個</t>
        </is>
      </c>
      <c r="U82" s="267" t="n">
        <v>0.08</v>
      </c>
      <c r="V82" s="267" t="n"/>
      <c r="W82" s="268" t="n"/>
      <c r="X82" s="306">
        <f>tbl_明細[[#This Row],[仕入価格]]*tbl_明細[[#This Row],[数量]]+tbl_明細[[#This Row],[仕入価格（M)]]*tbl_明細[[#This Row],[数量（M)]]</f>
        <v/>
      </c>
      <c r="Y82" s="306">
        <f>tbl_明細[[#This Row],[販売価格（売値）]]*tbl_明細[[#This Row],[数量]]+tbl_明細[[#This Row],[販売価格（M)]]*tbl_明細[[#This Row],[数量（M)]]</f>
        <v/>
      </c>
      <c r="Z82" s="307">
        <f>_xlfn.XLOOKUP(tbl_明細[[#This Row],[案件番号]],tbl_案件追跡[案件番号],tbl_案件追跡[受注],"",0,1)</f>
        <v/>
      </c>
      <c r="AA82" s="228">
        <f>tbl_明細[[#This Row],[販売価格（売値）]]+tbl_明細[[#This Row],[販売価格（M)]]</f>
        <v/>
      </c>
      <c r="AB82" s="261">
        <f>tbl_明細[[#This Row],[販売価格（売値）]]*1.08+tbl_明細[[#This Row],[販売価格（M)]]*1.08</f>
        <v/>
      </c>
    </row>
    <row r="83">
      <c r="A83" s="212" t="inlineStr">
        <is>
          <t>2603-1004-S01</t>
        </is>
      </c>
      <c r="B83" s="77">
        <f>IF(ISBLANK(tbl_明細[[#This Row],[案件番号]]),"",COUNTIFS($A$3:A83,tbl_明細[[#This Row],[案件番号]],$AA$3:AA83,"&gt;0"))</f>
        <v/>
      </c>
      <c r="C83" s="209">
        <f>COUNTIFS($A$3:A83,tbl_明細[[#This Row],[案件番号]],$F$3:F83,tbl_明細[[#This Row],[仕入先]])</f>
        <v/>
      </c>
      <c r="D83" s="77">
        <f>_xlfn.XLOOKUP(tbl_明細[[#This Row],[案件番号]],tbl_採番[案件番号],tbl_採番[顧客],"",0,1)</f>
        <v/>
      </c>
      <c r="E83" s="209" t="inlineStr">
        <is>
          <t>other</t>
        </is>
      </c>
      <c r="F83" s="118">
        <f>IF(ISBLANK(tbl_明細[[#This Row],[仕入先（M)]]),_xlfn.XLOOKUP(tbl_明細[[#This Row],[商品ID]],商品マスタ[商品連番],商品マスタ[仕入先],"",0,1),tbl_明細[[#This Row],[仕入先（M)]])</f>
        <v/>
      </c>
      <c r="G83" s="112">
        <f>IF(ISBLANK(tbl_明細[[#This Row],[商品名（M)]]),_xlfn.XLOOKUP(tbl_明細[[#This Row],[商品ID]],商品マスタ[商品連番],商品マスタ[商品名],"",0,),tbl_明細[[#This Row],[商品名（M)]])</f>
        <v/>
      </c>
      <c r="H83" s="80">
        <f>IF(ISBLANK(tbl_明細[[#This Row],[仕入価格（M)]]),_xlfn.XLOOKUP(tbl_明細[[#This Row],[商品ID]],商品マスタ[商品連番],商品マスタ[仕入
単価],"",0,1),tbl_明細[[#This Row],[仕入価格（M)]])</f>
        <v/>
      </c>
      <c r="I83" s="80">
        <f>_xlfn.XLOOKUP(tbl_明細[[#This Row],[商品ID]],商品マスタ[商品連番],商品マスタ[国内定価
（15％）],"",0,1)</f>
        <v/>
      </c>
      <c r="J83" s="265" t="n"/>
      <c r="K83" s="209" t="n"/>
      <c r="L83" s="77">
        <f>_xlfn.XLOOKUP(tbl_明細[[#This Row],[商品ID]],商品マスタ[商品連番],商品マスタ[単位],"",0,1)</f>
        <v/>
      </c>
      <c r="M83" s="249">
        <f>1-tbl_明細[[#This Row],[仕入価格]]/tbl_明細[[#This Row],[販売価格（売値）]]</f>
        <v/>
      </c>
      <c r="N83" s="189">
        <f>_xlfn.XLOOKUP(tbl_明細[[#This Row],[商品ID]],商品マスタ[商品連番],商品マスタ[税率],"",0,1)</f>
        <v/>
      </c>
      <c r="O83" s="266" t="inlineStr">
        <is>
          <t>ナオバンズ</t>
        </is>
      </c>
      <c r="P83" s="209" t="inlineStr">
        <is>
          <t>フォンダン・あんこ</t>
        </is>
      </c>
      <c r="Q83" s="265" t="n"/>
      <c r="R83" s="265" t="n">
        <v>514</v>
      </c>
      <c r="S83" s="209" t="n">
        <v>20</v>
      </c>
      <c r="T83" s="209" t="inlineStr">
        <is>
          <t>個</t>
        </is>
      </c>
      <c r="U83" s="267" t="n">
        <v>0.08</v>
      </c>
      <c r="V83" s="267" t="n"/>
      <c r="W83" s="268" t="n"/>
      <c r="X83" s="306">
        <f>tbl_明細[[#This Row],[仕入価格]]*tbl_明細[[#This Row],[数量]]+tbl_明細[[#This Row],[仕入価格（M)]]*tbl_明細[[#This Row],[数量（M)]]</f>
        <v/>
      </c>
      <c r="Y83" s="306">
        <f>tbl_明細[[#This Row],[販売価格（売値）]]*tbl_明細[[#This Row],[数量]]+tbl_明細[[#This Row],[販売価格（M)]]*tbl_明細[[#This Row],[数量（M)]]</f>
        <v/>
      </c>
      <c r="Z83" s="307">
        <f>_xlfn.XLOOKUP(tbl_明細[[#This Row],[案件番号]],tbl_案件追跡[案件番号],tbl_案件追跡[受注],"",0,1)</f>
        <v/>
      </c>
      <c r="AA83" s="228">
        <f>tbl_明細[[#This Row],[販売価格（売値）]]+tbl_明細[[#This Row],[販売価格（M)]]</f>
        <v/>
      </c>
      <c r="AB83" s="261">
        <f>tbl_明細[[#This Row],[販売価格（売値）]]*1.08+tbl_明細[[#This Row],[販売価格（M)]]*1.08</f>
        <v/>
      </c>
    </row>
    <row r="84">
      <c r="A84" s="212" t="inlineStr">
        <is>
          <t>2603-1004-S01</t>
        </is>
      </c>
      <c r="B84" s="77">
        <f>IF(ISBLANK(tbl_明細[[#This Row],[案件番号]]),"",COUNTIFS($A$3:A84,tbl_明細[[#This Row],[案件番号]],$AA$3:AA84,"&gt;0"))</f>
        <v/>
      </c>
      <c r="C84" s="209">
        <f>COUNTIFS($A$3:A84,tbl_明細[[#This Row],[案件番号]],$F$3:F84,tbl_明細[[#This Row],[仕入先]])</f>
        <v/>
      </c>
      <c r="D84" s="77">
        <f>_xlfn.XLOOKUP(tbl_明細[[#This Row],[案件番号]],tbl_採番[案件番号],tbl_採番[顧客],"",0,1)</f>
        <v/>
      </c>
      <c r="E84" s="209" t="inlineStr">
        <is>
          <t>PRD_SNJ_NVP_0002_01</t>
        </is>
      </c>
      <c r="F84" s="118">
        <f>IF(ISBLANK(tbl_明細[[#This Row],[仕入先（M)]]),_xlfn.XLOOKUP(tbl_明細[[#This Row],[商品ID]],商品マスタ[商品連番],商品マスタ[仕入先],"",0,1),tbl_明細[[#This Row],[仕入先（M)]])</f>
        <v/>
      </c>
      <c r="G84" s="112">
        <f>IF(ISBLANK(tbl_明細[[#This Row],[商品名（M)]]),_xlfn.XLOOKUP(tbl_明細[[#This Row],[商品ID]],商品マスタ[商品連番],商品マスタ[商品名],"",0,),tbl_明細[[#This Row],[商品名（M)]])</f>
        <v/>
      </c>
      <c r="H84" s="80">
        <f>IF(ISBLANK(tbl_明細[[#This Row],[仕入価格（M)]]),_xlfn.XLOOKUP(tbl_明細[[#This Row],[商品ID]],商品マスタ[商品連番],商品マスタ[仕入
単価],"",0,1),tbl_明細[[#This Row],[仕入価格（M)]])</f>
        <v/>
      </c>
      <c r="I84" s="80">
        <f>_xlfn.XLOOKUP(tbl_明細[[#This Row],[商品ID]],商品マスタ[商品連番],商品マスタ[国内定価
（15％）],"",0,1)</f>
        <v/>
      </c>
      <c r="J84" s="265" t="n">
        <v>586</v>
      </c>
      <c r="K84" s="209" t="n">
        <v>100</v>
      </c>
      <c r="L84" s="77">
        <f>_xlfn.XLOOKUP(tbl_明細[[#This Row],[商品ID]],商品マスタ[商品連番],商品マスタ[単位],"",0,1)</f>
        <v/>
      </c>
      <c r="M84" s="249">
        <f>1-tbl_明細[[#This Row],[仕入価格]]/tbl_明細[[#This Row],[販売価格（売値）]]</f>
        <v/>
      </c>
      <c r="N84" s="189">
        <f>_xlfn.XLOOKUP(tbl_明細[[#This Row],[商品ID]],商品マスタ[商品連番],商品マスタ[税率],"",0,1)</f>
        <v/>
      </c>
      <c r="O84" s="266" t="n"/>
      <c r="P84" s="209" t="n"/>
      <c r="Q84" s="265" t="n"/>
      <c r="R84" s="265" t="n"/>
      <c r="S84" s="209" t="n"/>
      <c r="T84" s="209" t="n"/>
      <c r="U84" s="267" t="n"/>
      <c r="V84" s="267" t="n"/>
      <c r="W84" s="268" t="n"/>
      <c r="X84" s="306">
        <f>tbl_明細[[#This Row],[仕入価格]]*tbl_明細[[#This Row],[数量]]+tbl_明細[[#This Row],[仕入価格（M)]]*tbl_明細[[#This Row],[数量（M)]]</f>
        <v/>
      </c>
      <c r="Y84" s="306">
        <f>tbl_明細[[#This Row],[販売価格（売値）]]*tbl_明細[[#This Row],[数量]]+tbl_明細[[#This Row],[販売価格（M)]]*tbl_明細[[#This Row],[数量（M)]]</f>
        <v/>
      </c>
      <c r="Z84" s="307">
        <f>_xlfn.XLOOKUP(tbl_明細[[#This Row],[案件番号]],tbl_案件追跡[案件番号],tbl_案件追跡[受注],"",0,1)</f>
        <v/>
      </c>
      <c r="AA84" s="228">
        <f>tbl_明細[[#This Row],[販売価格（売値）]]+tbl_明細[[#This Row],[販売価格（M)]]</f>
        <v/>
      </c>
      <c r="AB84" s="261">
        <f>tbl_明細[[#This Row],[販売価格（売値）]]*1.08+tbl_明細[[#This Row],[販売価格（M)]]*1.08</f>
        <v/>
      </c>
    </row>
    <row r="85">
      <c r="A85" s="212" t="inlineStr">
        <is>
          <t>2603-1004-S01</t>
        </is>
      </c>
      <c r="B85" s="77">
        <f>IF(ISBLANK(tbl_明細[[#This Row],[案件番号]]),"",COUNTIFS($A$3:A85,tbl_明細[[#This Row],[案件番号]],$AA$3:AA85,"&gt;0"))</f>
        <v/>
      </c>
      <c r="C85" s="209">
        <f>COUNTIFS($A$3:A85,tbl_明細[[#This Row],[案件番号]],$F$3:F85,tbl_明細[[#This Row],[仕入先]])</f>
        <v/>
      </c>
      <c r="D85" s="77">
        <f>_xlfn.XLOOKUP(tbl_明細[[#This Row],[案件番号]],tbl_採番[案件番号],tbl_採番[顧客],"",0,1)</f>
        <v/>
      </c>
      <c r="E85" s="209" t="inlineStr">
        <is>
          <t>PRD_SNJ_NVP_0002_01</t>
        </is>
      </c>
      <c r="F85" s="118">
        <f>IF(ISBLANK(tbl_明細[[#This Row],[仕入先（M)]]),_xlfn.XLOOKUP(tbl_明細[[#This Row],[商品ID]],商品マスタ[商品連番],商品マスタ[仕入先],"",0,1),tbl_明細[[#This Row],[仕入先（M)]])</f>
        <v/>
      </c>
      <c r="G85" s="112">
        <f>IF(ISBLANK(tbl_明細[[#This Row],[商品名（M)]]),_xlfn.XLOOKUP(tbl_明細[[#This Row],[商品ID]],商品マスタ[商品連番],商品マスタ[商品名],"",0,),tbl_明細[[#This Row],[商品名（M)]])</f>
        <v/>
      </c>
      <c r="H85" s="80">
        <f>IF(ISBLANK(tbl_明細[[#This Row],[仕入価格（M)]]),_xlfn.XLOOKUP(tbl_明細[[#This Row],[商品ID]],商品マスタ[商品連番],商品マスタ[仕入
単価],"",0,1),tbl_明細[[#This Row],[仕入価格（M)]])</f>
        <v/>
      </c>
      <c r="I85" s="80">
        <f>_xlfn.XLOOKUP(tbl_明細[[#This Row],[商品ID]],商品マスタ[商品連番],商品マスタ[国内定価
（15％）],"",0,1)</f>
        <v/>
      </c>
      <c r="J85" s="265" t="n">
        <v>586</v>
      </c>
      <c r="K85" s="209" t="n">
        <v>100</v>
      </c>
      <c r="L85" s="77">
        <f>_xlfn.XLOOKUP(tbl_明細[[#This Row],[商品ID]],商品マスタ[商品連番],商品マスタ[単位],"",0,1)</f>
        <v/>
      </c>
      <c r="M85" s="249">
        <f>1-tbl_明細[[#This Row],[仕入価格]]/tbl_明細[[#This Row],[販売価格（売値）]]</f>
        <v/>
      </c>
      <c r="N85" s="189">
        <f>_xlfn.XLOOKUP(tbl_明細[[#This Row],[商品ID]],商品マスタ[商品連番],商品マスタ[税率],"",0,1)</f>
        <v/>
      </c>
      <c r="O85" s="266" t="n"/>
      <c r="P85" s="209" t="n"/>
      <c r="Q85" s="265" t="n"/>
      <c r="R85" s="265" t="n"/>
      <c r="S85" s="209" t="n"/>
      <c r="T85" s="209" t="n"/>
      <c r="U85" s="267" t="n"/>
      <c r="V85" s="267" t="n"/>
      <c r="W85" s="268" t="n"/>
      <c r="X85" s="306">
        <f>tbl_明細[[#This Row],[仕入価格]]*tbl_明細[[#This Row],[数量]]+tbl_明細[[#This Row],[仕入価格（M)]]*tbl_明細[[#This Row],[数量（M)]]</f>
        <v/>
      </c>
      <c r="Y85" s="306">
        <f>tbl_明細[[#This Row],[販売価格（売値）]]*tbl_明細[[#This Row],[数量]]+tbl_明細[[#This Row],[販売価格（M)]]*tbl_明細[[#This Row],[数量（M)]]</f>
        <v/>
      </c>
      <c r="Z85" s="307">
        <f>_xlfn.XLOOKUP(tbl_明細[[#This Row],[案件番号]],tbl_案件追跡[案件番号],tbl_案件追跡[受注],"",0,1)</f>
        <v/>
      </c>
      <c r="AA85" s="228">
        <f>tbl_明細[[#This Row],[販売価格（売値）]]+tbl_明細[[#This Row],[販売価格（M)]]</f>
        <v/>
      </c>
      <c r="AB85" s="261">
        <f>tbl_明細[[#This Row],[販売価格（売値）]]*1.08+tbl_明細[[#This Row],[販売価格（M)]]*1.08</f>
        <v/>
      </c>
    </row>
    <row r="86">
      <c r="A86" s="212" t="inlineStr">
        <is>
          <t>2603-1004-S01</t>
        </is>
      </c>
      <c r="B86" s="77">
        <f>IF(ISBLANK(tbl_明細[[#This Row],[案件番号]]),"",COUNTIFS($A$3:A86,tbl_明細[[#This Row],[案件番号]],$AA$3:AA86,"&gt;0"))</f>
        <v/>
      </c>
      <c r="C86" s="209">
        <f>COUNTIFS($A$3:A86,tbl_明細[[#This Row],[案件番号]],$F$3:F86,tbl_明細[[#This Row],[仕入先]])</f>
        <v/>
      </c>
      <c r="D86" s="77">
        <f>_xlfn.XLOOKUP(tbl_明細[[#This Row],[案件番号]],tbl_採番[案件番号],tbl_採番[顧客],"",0,1)</f>
        <v/>
      </c>
      <c r="E86" s="209" t="inlineStr">
        <is>
          <t>PRD_SNJ_VGW_0001_01</t>
        </is>
      </c>
      <c r="F86" s="118">
        <f>IF(ISBLANK(tbl_明細[[#This Row],[仕入先（M)]]),_xlfn.XLOOKUP(tbl_明細[[#This Row],[商品ID]],商品マスタ[商品連番],商品マスタ[仕入先],"",0,1),tbl_明細[[#This Row],[仕入先（M)]])</f>
        <v/>
      </c>
      <c r="G86" s="112">
        <f>IF(ISBLANK(tbl_明細[[#This Row],[商品名（M)]]),_xlfn.XLOOKUP(tbl_明細[[#This Row],[商品ID]],商品マスタ[商品連番],商品マスタ[商品名],"",0,),tbl_明細[[#This Row],[商品名（M)]])</f>
        <v/>
      </c>
      <c r="H86" s="80">
        <f>IF(ISBLANK(tbl_明細[[#This Row],[仕入価格（M)]]),_xlfn.XLOOKUP(tbl_明細[[#This Row],[商品ID]],商品マスタ[商品連番],商品マスタ[仕入
単価],"",0,1),tbl_明細[[#This Row],[仕入価格（M)]])</f>
        <v/>
      </c>
      <c r="I86" s="80">
        <f>_xlfn.XLOOKUP(tbl_明細[[#This Row],[商品ID]],商品マスタ[商品連番],商品マスタ[国内定価
（15％）],"",0,1)</f>
        <v/>
      </c>
      <c r="J86" s="265" t="n">
        <v>390</v>
      </c>
      <c r="K86" s="209" t="n">
        <v>60</v>
      </c>
      <c r="L86" s="77">
        <f>_xlfn.XLOOKUP(tbl_明細[[#This Row],[商品ID]],商品マスタ[商品連番],商品マスタ[単位],"",0,1)</f>
        <v/>
      </c>
      <c r="M86" s="249">
        <f>1-tbl_明細[[#This Row],[仕入価格]]/tbl_明細[[#This Row],[販売価格（売値）]]</f>
        <v/>
      </c>
      <c r="N86" s="189">
        <f>_xlfn.XLOOKUP(tbl_明細[[#This Row],[商品ID]],商品マスタ[商品連番],商品マスタ[税率],"",0,1)</f>
        <v/>
      </c>
      <c r="O86" s="266" t="n"/>
      <c r="P86" s="209" t="n"/>
      <c r="Q86" s="265" t="n"/>
      <c r="R86" s="265" t="n"/>
      <c r="S86" s="209" t="n"/>
      <c r="T86" s="209" t="n"/>
      <c r="U86" s="267" t="n"/>
      <c r="V86" s="267" t="n"/>
      <c r="W86" s="268" t="n"/>
      <c r="X86" s="306">
        <f>tbl_明細[[#This Row],[仕入価格]]*tbl_明細[[#This Row],[数量]]+tbl_明細[[#This Row],[仕入価格（M)]]*tbl_明細[[#This Row],[数量（M)]]</f>
        <v/>
      </c>
      <c r="Y86" s="306">
        <f>tbl_明細[[#This Row],[販売価格（売値）]]*tbl_明細[[#This Row],[数量]]+tbl_明細[[#This Row],[販売価格（M)]]*tbl_明細[[#This Row],[数量（M)]]</f>
        <v/>
      </c>
      <c r="Z86" s="307">
        <f>_xlfn.XLOOKUP(tbl_明細[[#This Row],[案件番号]],tbl_案件追跡[案件番号],tbl_案件追跡[受注],"",0,1)</f>
        <v/>
      </c>
      <c r="AA86" s="228">
        <f>tbl_明細[[#This Row],[販売価格（売値）]]+tbl_明細[[#This Row],[販売価格（M)]]</f>
        <v/>
      </c>
      <c r="AB86" s="261">
        <f>tbl_明細[[#This Row],[販売価格（売値）]]*1.08+tbl_明細[[#This Row],[販売価格（M)]]*1.08</f>
        <v/>
      </c>
    </row>
    <row r="87">
      <c r="A87" s="212" t="inlineStr">
        <is>
          <t>2603-1004-S01</t>
        </is>
      </c>
      <c r="B87" s="77">
        <f>IF(ISBLANK(tbl_明細[[#This Row],[案件番号]]),"",COUNTIFS($A$3:A87,tbl_明細[[#This Row],[案件番号]],$AA$3:AA87,"&gt;0"))</f>
        <v/>
      </c>
      <c r="C87" s="209">
        <f>COUNTIFS($A$3:A87,tbl_明細[[#This Row],[案件番号]],$F$3:F87,tbl_明細[[#This Row],[仕入先]])</f>
        <v/>
      </c>
      <c r="D87" s="77">
        <f>_xlfn.XLOOKUP(tbl_明細[[#This Row],[案件番号]],tbl_採番[案件番号],tbl_採番[顧客],"",0,1)</f>
        <v/>
      </c>
      <c r="E87" s="209" t="inlineStr">
        <is>
          <t>PRD_SNJ_VGW_0002_01</t>
        </is>
      </c>
      <c r="F87" s="118">
        <f>IF(ISBLANK(tbl_明細[[#This Row],[仕入先（M)]]),_xlfn.XLOOKUP(tbl_明細[[#This Row],[商品ID]],商品マスタ[商品連番],商品マスタ[仕入先],"",0,1),tbl_明細[[#This Row],[仕入先（M)]])</f>
        <v/>
      </c>
      <c r="G87" s="112">
        <f>IF(ISBLANK(tbl_明細[[#This Row],[商品名（M)]]),_xlfn.XLOOKUP(tbl_明細[[#This Row],[商品ID]],商品マスタ[商品連番],商品マスタ[商品名],"",0,),tbl_明細[[#This Row],[商品名（M)]])</f>
        <v/>
      </c>
      <c r="H87" s="80">
        <f>IF(ISBLANK(tbl_明細[[#This Row],[仕入価格（M)]]),_xlfn.XLOOKUP(tbl_明細[[#This Row],[商品ID]],商品マスタ[商品連番],商品マスタ[仕入
単価],"",0,1),tbl_明細[[#This Row],[仕入価格（M)]])</f>
        <v/>
      </c>
      <c r="I87" s="80">
        <f>_xlfn.XLOOKUP(tbl_明細[[#This Row],[商品ID]],商品マスタ[商品連番],商品マスタ[国内定価
（15％）],"",0,1)</f>
        <v/>
      </c>
      <c r="J87" s="265" t="n">
        <v>440</v>
      </c>
      <c r="K87" s="209" t="n">
        <v>40</v>
      </c>
      <c r="L87" s="77">
        <f>_xlfn.XLOOKUP(tbl_明細[[#This Row],[商品ID]],商品マスタ[商品連番],商品マスタ[単位],"",0,1)</f>
        <v/>
      </c>
      <c r="M87" s="249">
        <f>1-tbl_明細[[#This Row],[仕入価格]]/tbl_明細[[#This Row],[販売価格（売値）]]</f>
        <v/>
      </c>
      <c r="N87" s="189">
        <f>_xlfn.XLOOKUP(tbl_明細[[#This Row],[商品ID]],商品マスタ[商品連番],商品マスタ[税率],"",0,1)</f>
        <v/>
      </c>
      <c r="O87" s="266" t="n"/>
      <c r="P87" s="209" t="n"/>
      <c r="Q87" s="265" t="n"/>
      <c r="R87" s="265" t="n"/>
      <c r="S87" s="209" t="n"/>
      <c r="T87" s="209" t="n"/>
      <c r="U87" s="267" t="n"/>
      <c r="V87" s="267" t="n"/>
      <c r="W87" s="268" t="n"/>
      <c r="X87" s="306">
        <f>tbl_明細[[#This Row],[仕入価格]]*tbl_明細[[#This Row],[数量]]+tbl_明細[[#This Row],[仕入価格（M)]]*tbl_明細[[#This Row],[数量（M)]]</f>
        <v/>
      </c>
      <c r="Y87" s="306">
        <f>tbl_明細[[#This Row],[販売価格（売値）]]*tbl_明細[[#This Row],[数量]]+tbl_明細[[#This Row],[販売価格（M)]]*tbl_明細[[#This Row],[数量（M)]]</f>
        <v/>
      </c>
      <c r="Z87" s="307">
        <f>_xlfn.XLOOKUP(tbl_明細[[#This Row],[案件番号]],tbl_案件追跡[案件番号],tbl_案件追跡[受注],"",0,1)</f>
        <v/>
      </c>
      <c r="AA87" s="228">
        <f>tbl_明細[[#This Row],[販売価格（売値）]]+tbl_明細[[#This Row],[販売価格（M)]]</f>
        <v/>
      </c>
      <c r="AB87" s="261">
        <f>tbl_明細[[#This Row],[販売価格（売値）]]*1.08+tbl_明細[[#This Row],[販売価格（M)]]*1.08</f>
        <v/>
      </c>
    </row>
    <row r="88">
      <c r="A88" s="212" t="inlineStr">
        <is>
          <t>2603-1004-S01</t>
        </is>
      </c>
      <c r="B88" s="77">
        <f>IF(ISBLANK(tbl_明細[[#This Row],[案件番号]]),"",COUNTIFS($A$3:A88,tbl_明細[[#This Row],[案件番号]],$AA$3:AA88,"&gt;0"))</f>
        <v/>
      </c>
      <c r="C88" s="209">
        <f>COUNTIFS($A$3:A88,tbl_明細[[#This Row],[案件番号]],$F$3:F88,tbl_明細[[#This Row],[仕入先]])</f>
        <v/>
      </c>
      <c r="D88" s="77">
        <f>_xlfn.XLOOKUP(tbl_明細[[#This Row],[案件番号]],tbl_採番[案件番号],tbl_採番[顧客],"",0,1)</f>
        <v/>
      </c>
      <c r="E88" s="209" t="inlineStr">
        <is>
          <t>other</t>
        </is>
      </c>
      <c r="F88" s="118">
        <f>IF(ISBLANK(tbl_明細[[#This Row],[仕入先（M)]]),_xlfn.XLOOKUP(tbl_明細[[#This Row],[商品ID]],商品マスタ[商品連番],商品マスタ[仕入先],"",0,1),tbl_明細[[#This Row],[仕入先（M)]])</f>
        <v/>
      </c>
      <c r="G88" s="112">
        <f>IF(ISBLANK(tbl_明細[[#This Row],[商品名（M)]]),_xlfn.XLOOKUP(tbl_明細[[#This Row],[商品ID]],商品マスタ[商品連番],商品マスタ[商品名],"",0,),tbl_明細[[#This Row],[商品名（M)]])</f>
        <v/>
      </c>
      <c r="H88" s="80">
        <f>IF(ISBLANK(tbl_明細[[#This Row],[仕入価格（M)]]),_xlfn.XLOOKUP(tbl_明細[[#This Row],[商品ID]],商品マスタ[商品連番],商品マスタ[仕入
単価],"",0,1),tbl_明細[[#This Row],[仕入価格（M)]])</f>
        <v/>
      </c>
      <c r="I88" s="80">
        <f>_xlfn.XLOOKUP(tbl_明細[[#This Row],[商品ID]],商品マスタ[商品連番],商品マスタ[国内定価
（15％）],"",0,1)</f>
        <v/>
      </c>
      <c r="J88" s="265" t="n"/>
      <c r="K88" s="209" t="n"/>
      <c r="L88" s="77">
        <f>_xlfn.XLOOKUP(tbl_明細[[#This Row],[商品ID]],商品マスタ[商品連番],商品マスタ[単位],"",0,1)</f>
        <v/>
      </c>
      <c r="M88" s="249">
        <f>1-tbl_明細[[#This Row],[仕入価格]]/tbl_明細[[#This Row],[販売価格（売値）]]</f>
        <v/>
      </c>
      <c r="N88" s="189">
        <f>_xlfn.XLOOKUP(tbl_明細[[#This Row],[商品ID]],商品マスタ[商品連番],商品マスタ[税率],"",0,1)</f>
        <v/>
      </c>
      <c r="O88" s="266" t="inlineStr">
        <is>
          <t>ベターティズ</t>
        </is>
      </c>
      <c r="P88" s="209" t="inlineStr">
        <is>
          <t>行者ニンニクみそ豚まん</t>
        </is>
      </c>
      <c r="Q88" s="265" t="n"/>
      <c r="R88" s="265" t="n">
        <v>338</v>
      </c>
      <c r="S88" s="209" t="n">
        <v>20</v>
      </c>
      <c r="T88" s="209" t="inlineStr">
        <is>
          <t>個</t>
        </is>
      </c>
      <c r="U88" s="267" t="n">
        <v>0.08</v>
      </c>
      <c r="V88" s="267" t="n"/>
      <c r="W88" s="268" t="n"/>
      <c r="X88" s="306">
        <f>tbl_明細[[#This Row],[仕入価格]]*tbl_明細[[#This Row],[数量]]+tbl_明細[[#This Row],[仕入価格（M)]]*tbl_明細[[#This Row],[数量（M)]]</f>
        <v/>
      </c>
      <c r="Y88" s="306">
        <f>tbl_明細[[#This Row],[販売価格（売値）]]*tbl_明細[[#This Row],[数量]]+tbl_明細[[#This Row],[販売価格（M)]]*tbl_明細[[#This Row],[数量（M)]]</f>
        <v/>
      </c>
      <c r="Z88" s="307">
        <f>_xlfn.XLOOKUP(tbl_明細[[#This Row],[案件番号]],tbl_案件追跡[案件番号],tbl_案件追跡[受注],"",0,1)</f>
        <v/>
      </c>
      <c r="AA88" s="228">
        <f>tbl_明細[[#This Row],[販売価格（売値）]]+tbl_明細[[#This Row],[販売価格（M)]]</f>
        <v/>
      </c>
      <c r="AB88" s="261">
        <f>tbl_明細[[#This Row],[販売価格（売値）]]*1.08+tbl_明細[[#This Row],[販売価格（M)]]*1.08</f>
        <v/>
      </c>
    </row>
    <row r="89">
      <c r="A89" s="212" t="inlineStr">
        <is>
          <t>2603-1004-S01</t>
        </is>
      </c>
      <c r="B89" s="77">
        <f>IF(ISBLANK(tbl_明細[[#This Row],[案件番号]]),"",COUNTIFS($A$3:A89,tbl_明細[[#This Row],[案件番号]],$AA$3:AA89,"&gt;0"))</f>
        <v/>
      </c>
      <c r="C89" s="209">
        <f>COUNTIFS($A$3:A89,tbl_明細[[#This Row],[案件番号]],$F$3:F89,tbl_明細[[#This Row],[仕入先]])</f>
        <v/>
      </c>
      <c r="D89" s="77">
        <f>_xlfn.XLOOKUP(tbl_明細[[#This Row],[案件番号]],tbl_採番[案件番号],tbl_採番[顧客],"",0,1)</f>
        <v/>
      </c>
      <c r="E89" s="209" t="inlineStr">
        <is>
          <t>other</t>
        </is>
      </c>
      <c r="F89" s="118">
        <f>IF(ISBLANK(tbl_明細[[#This Row],[仕入先（M)]]),_xlfn.XLOOKUP(tbl_明細[[#This Row],[商品ID]],商品マスタ[商品連番],商品マスタ[仕入先],"",0,1),tbl_明細[[#This Row],[仕入先（M)]])</f>
        <v/>
      </c>
      <c r="G89" s="112">
        <f>IF(ISBLANK(tbl_明細[[#This Row],[商品名（M)]]),_xlfn.XLOOKUP(tbl_明細[[#This Row],[商品ID]],商品マスタ[商品連番],商品マスタ[商品名],"",0,),tbl_明細[[#This Row],[商品名（M)]])</f>
        <v/>
      </c>
      <c r="H89" s="80">
        <f>IF(ISBLANK(tbl_明細[[#This Row],[仕入価格（M)]]),_xlfn.XLOOKUP(tbl_明細[[#This Row],[商品ID]],商品マスタ[商品連番],商品マスタ[仕入
単価],"",0,1),tbl_明細[[#This Row],[仕入価格（M)]])</f>
        <v/>
      </c>
      <c r="I89" s="80">
        <f>_xlfn.XLOOKUP(tbl_明細[[#This Row],[商品ID]],商品マスタ[商品連番],商品マスタ[国内定価
（15％）],"",0,1)</f>
        <v/>
      </c>
      <c r="J89" s="265" t="n"/>
      <c r="K89" s="209" t="n"/>
      <c r="L89" s="77">
        <f>_xlfn.XLOOKUP(tbl_明細[[#This Row],[商品ID]],商品マスタ[商品連番],商品マスタ[単位],"",0,1)</f>
        <v/>
      </c>
      <c r="M89" s="249">
        <f>1-tbl_明細[[#This Row],[仕入価格]]/tbl_明細[[#This Row],[販売価格（売値）]]</f>
        <v/>
      </c>
      <c r="N89" s="189">
        <f>_xlfn.XLOOKUP(tbl_明細[[#This Row],[商品ID]],商品マスタ[商品連番],商品マスタ[税率],"",0,1)</f>
        <v/>
      </c>
      <c r="O89" s="266" t="inlineStr">
        <is>
          <t>ベターティズ</t>
        </is>
      </c>
      <c r="P89" s="209" t="inlineStr">
        <is>
          <t>十勝チーズまん</t>
        </is>
      </c>
      <c r="Q89" s="265" t="n"/>
      <c r="R89" s="265" t="n">
        <v>392</v>
      </c>
      <c r="S89" s="209" t="n">
        <v>22</v>
      </c>
      <c r="T89" s="209" t="inlineStr">
        <is>
          <t>個</t>
        </is>
      </c>
      <c r="U89" s="267" t="n">
        <v>0.08</v>
      </c>
      <c r="V89" s="267" t="n"/>
      <c r="W89" s="268" t="n"/>
      <c r="X89" s="306">
        <f>tbl_明細[[#This Row],[仕入価格]]*tbl_明細[[#This Row],[数量]]+tbl_明細[[#This Row],[仕入価格（M)]]*tbl_明細[[#This Row],[数量（M)]]</f>
        <v/>
      </c>
      <c r="Y89" s="306">
        <f>tbl_明細[[#This Row],[販売価格（売値）]]*tbl_明細[[#This Row],[数量]]+tbl_明細[[#This Row],[販売価格（M)]]*tbl_明細[[#This Row],[数量（M)]]</f>
        <v/>
      </c>
      <c r="Z89" s="307">
        <f>_xlfn.XLOOKUP(tbl_明細[[#This Row],[案件番号]],tbl_案件追跡[案件番号],tbl_案件追跡[受注],"",0,1)</f>
        <v/>
      </c>
      <c r="AA89" s="228">
        <f>tbl_明細[[#This Row],[販売価格（売値）]]+tbl_明細[[#This Row],[販売価格（M)]]</f>
        <v/>
      </c>
      <c r="AB89" s="261">
        <f>tbl_明細[[#This Row],[販売価格（売値）]]*1.08+tbl_明細[[#This Row],[販売価格（M)]]*1.08</f>
        <v/>
      </c>
    </row>
    <row r="90">
      <c r="A90" s="212" t="inlineStr">
        <is>
          <t>2603-1004-S01</t>
        </is>
      </c>
      <c r="B90" s="77">
        <f>IF(ISBLANK(tbl_明細[[#This Row],[案件番号]]),"",COUNTIFS($A$3:A90,tbl_明細[[#This Row],[案件番号]],$AA$3:AA90,"&gt;0"))</f>
        <v/>
      </c>
      <c r="C90" s="209">
        <f>COUNTIFS($A$3:A90,tbl_明細[[#This Row],[案件番号]],$F$3:F90,tbl_明細[[#This Row],[仕入先]])</f>
        <v/>
      </c>
      <c r="D90" s="77">
        <f>_xlfn.XLOOKUP(tbl_明細[[#This Row],[案件番号]],tbl_採番[案件番号],tbl_採番[顧客],"",0,1)</f>
        <v/>
      </c>
      <c r="E90" s="209" t="inlineStr">
        <is>
          <t>other</t>
        </is>
      </c>
      <c r="F90" s="118">
        <f>IF(ISBLANK(tbl_明細[[#This Row],[仕入先（M)]]),_xlfn.XLOOKUP(tbl_明細[[#This Row],[商品ID]],商品マスタ[商品連番],商品マスタ[仕入先],"",0,1),tbl_明細[[#This Row],[仕入先（M)]])</f>
        <v/>
      </c>
      <c r="G90" s="112">
        <f>IF(ISBLANK(tbl_明細[[#This Row],[商品名（M)]]),_xlfn.XLOOKUP(tbl_明細[[#This Row],[商品ID]],商品マスタ[商品連番],商品マスタ[商品名],"",0,),tbl_明細[[#This Row],[商品名（M)]])</f>
        <v/>
      </c>
      <c r="H90" s="80">
        <f>IF(ISBLANK(tbl_明細[[#This Row],[仕入価格（M)]]),_xlfn.XLOOKUP(tbl_明細[[#This Row],[商品ID]],商品マスタ[商品連番],商品マスタ[仕入
単価],"",0,1),tbl_明細[[#This Row],[仕入価格（M)]])</f>
        <v/>
      </c>
      <c r="I90" s="80">
        <f>_xlfn.XLOOKUP(tbl_明細[[#This Row],[商品ID]],商品マスタ[商品連番],商品マスタ[国内定価
（15％）],"",0,1)</f>
        <v/>
      </c>
      <c r="J90" s="265" t="n"/>
      <c r="K90" s="209" t="n"/>
      <c r="L90" s="77">
        <f>_xlfn.XLOOKUP(tbl_明細[[#This Row],[商品ID]],商品マスタ[商品連番],商品マスタ[単位],"",0,1)</f>
        <v/>
      </c>
      <c r="M90" s="249">
        <f>1-tbl_明細[[#This Row],[仕入価格]]/tbl_明細[[#This Row],[販売価格（売値）]]</f>
        <v/>
      </c>
      <c r="N90" s="189">
        <f>_xlfn.XLOOKUP(tbl_明細[[#This Row],[商品ID]],商品マスタ[商品連番],商品マスタ[税率],"",0,1)</f>
        <v/>
      </c>
      <c r="O90" s="266" t="inlineStr">
        <is>
          <t>ホリ商店</t>
        </is>
      </c>
      <c r="P90" s="209" t="inlineStr">
        <is>
          <t>冷凍真空北海道産開きホッケ</t>
        </is>
      </c>
      <c r="Q90" s="265" t="n"/>
      <c r="R90" s="265" t="n">
        <v>870</v>
      </c>
      <c r="S90" s="209" t="n">
        <v>30</v>
      </c>
      <c r="T90" s="209" t="inlineStr">
        <is>
          <t>個</t>
        </is>
      </c>
      <c r="U90" s="267" t="n">
        <v>0.08</v>
      </c>
      <c r="V90" s="267" t="n"/>
      <c r="W90" s="268" t="n"/>
      <c r="X90" s="306">
        <f>tbl_明細[[#This Row],[仕入価格]]*tbl_明細[[#This Row],[数量]]+tbl_明細[[#This Row],[仕入価格（M)]]*tbl_明細[[#This Row],[数量（M)]]</f>
        <v/>
      </c>
      <c r="Y90" s="306">
        <f>tbl_明細[[#This Row],[販売価格（売値）]]*tbl_明細[[#This Row],[数量]]+tbl_明細[[#This Row],[販売価格（M)]]*tbl_明細[[#This Row],[数量（M)]]</f>
        <v/>
      </c>
      <c r="Z90" s="307">
        <f>_xlfn.XLOOKUP(tbl_明細[[#This Row],[案件番号]],tbl_案件追跡[案件番号],tbl_案件追跡[受注],"",0,1)</f>
        <v/>
      </c>
      <c r="AA90" s="228">
        <f>tbl_明細[[#This Row],[販売価格（売値）]]+tbl_明細[[#This Row],[販売価格（M)]]</f>
        <v/>
      </c>
      <c r="AB90" s="261">
        <f>tbl_明細[[#This Row],[販売価格（売値）]]*1.08+tbl_明細[[#This Row],[販売価格（M)]]*1.08</f>
        <v/>
      </c>
    </row>
    <row r="91">
      <c r="A91" s="212" t="inlineStr">
        <is>
          <t>2603-1004-S01</t>
        </is>
      </c>
      <c r="B91" s="77">
        <f>IF(ISBLANK(tbl_明細[[#This Row],[案件番号]]),"",COUNTIFS($A$3:A91,tbl_明細[[#This Row],[案件番号]],$AA$3:AA91,"&gt;0"))</f>
        <v/>
      </c>
      <c r="C91" s="209">
        <f>COUNTIFS($A$3:A91,tbl_明細[[#This Row],[案件番号]],$F$3:F91,tbl_明細[[#This Row],[仕入先]])</f>
        <v/>
      </c>
      <c r="D91" s="77">
        <f>_xlfn.XLOOKUP(tbl_明細[[#This Row],[案件番号]],tbl_採番[案件番号],tbl_採番[顧客],"",0,1)</f>
        <v/>
      </c>
      <c r="E91" s="209" t="inlineStr">
        <is>
          <t>PRD_SNJ_YMN_0002_01</t>
        </is>
      </c>
      <c r="F91" s="118">
        <f>IF(ISBLANK(tbl_明細[[#This Row],[仕入先（M)]]),_xlfn.XLOOKUP(tbl_明細[[#This Row],[商品ID]],商品マスタ[商品連番],商品マスタ[仕入先],"",0,1),tbl_明細[[#This Row],[仕入先（M)]])</f>
        <v/>
      </c>
      <c r="G91" s="112">
        <f>IF(ISBLANK(tbl_明細[[#This Row],[商品名（M)]]),_xlfn.XLOOKUP(tbl_明細[[#This Row],[商品ID]],商品マスタ[商品連番],商品マスタ[商品名],"",0,),tbl_明細[[#This Row],[商品名（M)]])</f>
        <v/>
      </c>
      <c r="H91" s="80">
        <f>IF(ISBLANK(tbl_明細[[#This Row],[仕入価格（M)]]),_xlfn.XLOOKUP(tbl_明細[[#This Row],[商品ID]],商品マスタ[商品連番],商品マスタ[仕入
単価],"",0,1),tbl_明細[[#This Row],[仕入価格（M)]])</f>
        <v/>
      </c>
      <c r="I91" s="80">
        <f>_xlfn.XLOOKUP(tbl_明細[[#This Row],[商品ID]],商品マスタ[商品連番],商品マスタ[国内定価
（15％）],"",0,1)</f>
        <v/>
      </c>
      <c r="J91" s="265" t="n">
        <v>553</v>
      </c>
      <c r="K91" s="209" t="n">
        <v>20</v>
      </c>
      <c r="L91" s="77">
        <f>_xlfn.XLOOKUP(tbl_明細[[#This Row],[商品ID]],商品マスタ[商品連番],商品マスタ[単位],"",0,1)</f>
        <v/>
      </c>
      <c r="M91" s="249">
        <f>1-tbl_明細[[#This Row],[仕入価格]]/tbl_明細[[#This Row],[販売価格（売値）]]</f>
        <v/>
      </c>
      <c r="N91" s="189">
        <f>_xlfn.XLOOKUP(tbl_明細[[#This Row],[商品ID]],商品マスタ[商品連番],商品マスタ[税率],"",0,1)</f>
        <v/>
      </c>
      <c r="O91" s="266" t="n"/>
      <c r="P91" s="209" t="n"/>
      <c r="Q91" s="265" t="n"/>
      <c r="R91" s="265" t="n"/>
      <c r="S91" s="209" t="n"/>
      <c r="T91" s="209" t="n"/>
      <c r="U91" s="267" t="n"/>
      <c r="V91" s="267" t="n"/>
      <c r="W91" s="268" t="n"/>
      <c r="X91" s="306">
        <f>tbl_明細[[#This Row],[仕入価格]]*tbl_明細[[#This Row],[数量]]+tbl_明細[[#This Row],[仕入価格（M)]]*tbl_明細[[#This Row],[数量（M)]]</f>
        <v/>
      </c>
      <c r="Y91" s="306">
        <f>tbl_明細[[#This Row],[販売価格（売値）]]*tbl_明細[[#This Row],[数量]]+tbl_明細[[#This Row],[販売価格（M)]]*tbl_明細[[#This Row],[数量（M)]]</f>
        <v/>
      </c>
      <c r="Z91" s="307">
        <f>_xlfn.XLOOKUP(tbl_明細[[#This Row],[案件番号]],tbl_案件追跡[案件番号],tbl_案件追跡[受注],"",0,1)</f>
        <v/>
      </c>
      <c r="AA91" s="228">
        <f>tbl_明細[[#This Row],[販売価格（売値）]]+tbl_明細[[#This Row],[販売価格（M)]]</f>
        <v/>
      </c>
      <c r="AB91" s="261">
        <f>tbl_明細[[#This Row],[販売価格（売値）]]*1.08+tbl_明細[[#This Row],[販売価格（M)]]*1.08</f>
        <v/>
      </c>
    </row>
    <row r="92">
      <c r="A92" s="212" t="inlineStr">
        <is>
          <t>2603-1004-S01</t>
        </is>
      </c>
      <c r="B92" s="77">
        <f>IF(ISBLANK(tbl_明細[[#This Row],[案件番号]]),"",COUNTIFS($A$3:A92,tbl_明細[[#This Row],[案件番号]],$AA$3:AA92,"&gt;0"))</f>
        <v/>
      </c>
      <c r="C92" s="209">
        <f>COUNTIFS($A$3:A92,tbl_明細[[#This Row],[案件番号]],$F$3:F92,tbl_明細[[#This Row],[仕入先]])</f>
        <v/>
      </c>
      <c r="D92" s="77">
        <f>_xlfn.XLOOKUP(tbl_明細[[#This Row],[案件番号]],tbl_採番[案件番号],tbl_採番[顧客],"",0,1)</f>
        <v/>
      </c>
      <c r="E92" s="209" t="inlineStr">
        <is>
          <t>PRD_SNJ_YMN_0005_01</t>
        </is>
      </c>
      <c r="F92" s="118">
        <f>IF(ISBLANK(tbl_明細[[#This Row],[仕入先（M)]]),_xlfn.XLOOKUP(tbl_明細[[#This Row],[商品ID]],商品マスタ[商品連番],商品マスタ[仕入先],"",0,1),tbl_明細[[#This Row],[仕入先（M)]])</f>
        <v/>
      </c>
      <c r="G92" s="112">
        <f>IF(ISBLANK(tbl_明細[[#This Row],[商品名（M)]]),_xlfn.XLOOKUP(tbl_明細[[#This Row],[商品ID]],商品マスタ[商品連番],商品マスタ[商品名],"",0,),tbl_明細[[#This Row],[商品名（M)]])</f>
        <v/>
      </c>
      <c r="H92" s="80">
        <f>IF(ISBLANK(tbl_明細[[#This Row],[仕入価格（M)]]),_xlfn.XLOOKUP(tbl_明細[[#This Row],[商品ID]],商品マスタ[商品連番],商品マスタ[仕入
単価],"",0,1),tbl_明細[[#This Row],[仕入価格（M)]])</f>
        <v/>
      </c>
      <c r="I92" s="80">
        <f>_xlfn.XLOOKUP(tbl_明細[[#This Row],[商品ID]],商品マスタ[商品連番],商品マスタ[国内定価
（15％）],"",0,1)</f>
        <v/>
      </c>
      <c r="J92" s="265" t="n">
        <v>400</v>
      </c>
      <c r="K92" s="209" t="n">
        <v>20</v>
      </c>
      <c r="L92" s="77">
        <f>_xlfn.XLOOKUP(tbl_明細[[#This Row],[商品ID]],商品マスタ[商品連番],商品マスタ[単位],"",0,1)</f>
        <v/>
      </c>
      <c r="M92" s="249">
        <f>1-tbl_明細[[#This Row],[仕入価格]]/tbl_明細[[#This Row],[販売価格（売値）]]</f>
        <v/>
      </c>
      <c r="N92" s="189">
        <f>_xlfn.XLOOKUP(tbl_明細[[#This Row],[商品ID]],商品マスタ[商品連番],商品マスタ[税率],"",0,1)</f>
        <v/>
      </c>
      <c r="O92" s="266" t="n"/>
      <c r="P92" s="209" t="n"/>
      <c r="Q92" s="265" t="n"/>
      <c r="R92" s="265" t="n"/>
      <c r="S92" s="209" t="n"/>
      <c r="T92" s="209" t="n"/>
      <c r="U92" s="267" t="n"/>
      <c r="V92" s="267" t="n"/>
      <c r="W92" s="268" t="n"/>
      <c r="X92" s="306">
        <f>tbl_明細[[#This Row],[仕入価格]]*tbl_明細[[#This Row],[数量]]+tbl_明細[[#This Row],[仕入価格（M)]]*tbl_明細[[#This Row],[数量（M)]]</f>
        <v/>
      </c>
      <c r="Y92" s="306">
        <f>tbl_明細[[#This Row],[販売価格（売値）]]*tbl_明細[[#This Row],[数量]]+tbl_明細[[#This Row],[販売価格（M)]]*tbl_明細[[#This Row],[数量（M)]]</f>
        <v/>
      </c>
      <c r="Z92" s="307">
        <f>_xlfn.XLOOKUP(tbl_明細[[#This Row],[案件番号]],tbl_案件追跡[案件番号],tbl_案件追跡[受注],"",0,1)</f>
        <v/>
      </c>
      <c r="AA92" s="228">
        <f>tbl_明細[[#This Row],[販売価格（売値）]]+tbl_明細[[#This Row],[販売価格（M)]]</f>
        <v/>
      </c>
      <c r="AB92" s="261">
        <f>tbl_明細[[#This Row],[販売価格（売値）]]*1.08+tbl_明細[[#This Row],[販売価格（M)]]*1.08</f>
        <v/>
      </c>
    </row>
    <row r="93">
      <c r="A93" s="212" t="inlineStr">
        <is>
          <t>2603-1004-S01</t>
        </is>
      </c>
      <c r="B93" s="77">
        <f>IF(ISBLANK(tbl_明細[[#This Row],[案件番号]]),"",COUNTIFS($A$3:A93,tbl_明細[[#This Row],[案件番号]],$AA$3:AA93,"&gt;0"))</f>
        <v/>
      </c>
      <c r="C93" s="209">
        <f>COUNTIFS($A$3:A93,tbl_明細[[#This Row],[案件番号]],$F$3:F93,tbl_明細[[#This Row],[仕入先]])</f>
        <v/>
      </c>
      <c r="D93" s="77">
        <f>_xlfn.XLOOKUP(tbl_明細[[#This Row],[案件番号]],tbl_採番[案件番号],tbl_採番[顧客],"",0,1)</f>
        <v/>
      </c>
      <c r="E93" s="209" t="inlineStr">
        <is>
          <t>PRD_SNJ_YMN_0006_01</t>
        </is>
      </c>
      <c r="F93" s="118">
        <f>IF(ISBLANK(tbl_明細[[#This Row],[仕入先（M)]]),_xlfn.XLOOKUP(tbl_明細[[#This Row],[商品ID]],商品マスタ[商品連番],商品マスタ[仕入先],"",0,1),tbl_明細[[#This Row],[仕入先（M)]])</f>
        <v/>
      </c>
      <c r="G93" s="112">
        <f>IF(ISBLANK(tbl_明細[[#This Row],[商品名（M)]]),_xlfn.XLOOKUP(tbl_明細[[#This Row],[商品ID]],商品マスタ[商品連番],商品マスタ[商品名],"",0,),tbl_明細[[#This Row],[商品名（M)]])</f>
        <v/>
      </c>
      <c r="H93" s="80">
        <f>IF(ISBLANK(tbl_明細[[#This Row],[仕入価格（M)]]),_xlfn.XLOOKUP(tbl_明細[[#This Row],[商品ID]],商品マスタ[商品連番],商品マスタ[仕入
単価],"",0,1),tbl_明細[[#This Row],[仕入価格（M)]])</f>
        <v/>
      </c>
      <c r="I93" s="80">
        <f>_xlfn.XLOOKUP(tbl_明細[[#This Row],[商品ID]],商品マスタ[商品連番],商品マスタ[国内定価
（15％）],"",0,1)</f>
        <v/>
      </c>
      <c r="J93" s="265" t="n">
        <v>400</v>
      </c>
      <c r="K93" s="209" t="n">
        <v>20</v>
      </c>
      <c r="L93" s="77">
        <f>_xlfn.XLOOKUP(tbl_明細[[#This Row],[商品ID]],商品マスタ[商品連番],商品マスタ[単位],"",0,1)</f>
        <v/>
      </c>
      <c r="M93" s="249">
        <f>1-tbl_明細[[#This Row],[仕入価格]]/tbl_明細[[#This Row],[販売価格（売値）]]</f>
        <v/>
      </c>
      <c r="N93" s="189">
        <f>_xlfn.XLOOKUP(tbl_明細[[#This Row],[商品ID]],商品マスタ[商品連番],商品マスタ[税率],"",0,1)</f>
        <v/>
      </c>
      <c r="O93" s="266" t="n"/>
      <c r="P93" s="209" t="n"/>
      <c r="Q93" s="265" t="n"/>
      <c r="R93" s="265" t="n"/>
      <c r="S93" s="209" t="n"/>
      <c r="T93" s="209" t="n"/>
      <c r="U93" s="267" t="n"/>
      <c r="V93" s="267" t="n"/>
      <c r="W93" s="268" t="n"/>
      <c r="X93" s="306">
        <f>tbl_明細[[#This Row],[仕入価格]]*tbl_明細[[#This Row],[数量]]+tbl_明細[[#This Row],[仕入価格（M)]]*tbl_明細[[#This Row],[数量（M)]]</f>
        <v/>
      </c>
      <c r="Y93" s="306">
        <f>tbl_明細[[#This Row],[販売価格（売値）]]*tbl_明細[[#This Row],[数量]]+tbl_明細[[#This Row],[販売価格（M)]]*tbl_明細[[#This Row],[数量（M)]]</f>
        <v/>
      </c>
      <c r="Z93" s="307">
        <f>_xlfn.XLOOKUP(tbl_明細[[#This Row],[案件番号]],tbl_案件追跡[案件番号],tbl_案件追跡[受注],"",0,1)</f>
        <v/>
      </c>
      <c r="AA93" s="228">
        <f>tbl_明細[[#This Row],[販売価格（売値）]]+tbl_明細[[#This Row],[販売価格（M)]]</f>
        <v/>
      </c>
      <c r="AB93" s="261">
        <f>tbl_明細[[#This Row],[販売価格（売値）]]*1.08+tbl_明細[[#This Row],[販売価格（M)]]*1.08</f>
        <v/>
      </c>
    </row>
    <row r="94">
      <c r="A94" s="212" t="inlineStr">
        <is>
          <t>2603-1004-S01</t>
        </is>
      </c>
      <c r="B94" s="77">
        <f>IF(ISBLANK(tbl_明細[[#This Row],[案件番号]]),"",COUNTIFS($A$3:A94,tbl_明細[[#This Row],[案件番号]],$AA$3:AA94,"&gt;0"))</f>
        <v/>
      </c>
      <c r="C94" s="209">
        <f>COUNTIFS($A$3:A94,tbl_明細[[#This Row],[案件番号]],$F$3:F94,tbl_明細[[#This Row],[仕入先]])</f>
        <v/>
      </c>
      <c r="D94" s="77">
        <f>_xlfn.XLOOKUP(tbl_明細[[#This Row],[案件番号]],tbl_採番[案件番号],tbl_採番[顧客],"",0,1)</f>
        <v/>
      </c>
      <c r="E94" s="209" t="inlineStr">
        <is>
          <t>PRD_SNJ_YMN_0007_01</t>
        </is>
      </c>
      <c r="F94" s="118">
        <f>IF(ISBLANK(tbl_明細[[#This Row],[仕入先（M)]]),_xlfn.XLOOKUP(tbl_明細[[#This Row],[商品ID]],商品マスタ[商品連番],商品マスタ[仕入先],"",0,1),tbl_明細[[#This Row],[仕入先（M)]])</f>
        <v/>
      </c>
      <c r="G94" s="112">
        <f>IF(ISBLANK(tbl_明細[[#This Row],[商品名（M)]]),_xlfn.XLOOKUP(tbl_明細[[#This Row],[商品ID]],商品マスタ[商品連番],商品マスタ[商品名],"",0,),tbl_明細[[#This Row],[商品名（M)]])</f>
        <v/>
      </c>
      <c r="H94" s="80">
        <f>IF(ISBLANK(tbl_明細[[#This Row],[仕入価格（M)]]),_xlfn.XLOOKUP(tbl_明細[[#This Row],[商品ID]],商品マスタ[商品連番],商品マスタ[仕入
単価],"",0,1),tbl_明細[[#This Row],[仕入価格（M)]])</f>
        <v/>
      </c>
      <c r="I94" s="80">
        <f>_xlfn.XLOOKUP(tbl_明細[[#This Row],[商品ID]],商品マスタ[商品連番],商品マスタ[国内定価
（15％）],"",0,1)</f>
        <v/>
      </c>
      <c r="J94" s="265" t="n">
        <v>400</v>
      </c>
      <c r="K94" s="209" t="n">
        <v>20</v>
      </c>
      <c r="L94" s="77">
        <f>_xlfn.XLOOKUP(tbl_明細[[#This Row],[商品ID]],商品マスタ[商品連番],商品マスタ[単位],"",0,1)</f>
        <v/>
      </c>
      <c r="M94" s="249">
        <f>1-tbl_明細[[#This Row],[仕入価格]]/tbl_明細[[#This Row],[販売価格（売値）]]</f>
        <v/>
      </c>
      <c r="N94" s="189">
        <f>_xlfn.XLOOKUP(tbl_明細[[#This Row],[商品ID]],商品マスタ[商品連番],商品マスタ[税率],"",0,1)</f>
        <v/>
      </c>
      <c r="O94" s="266" t="n"/>
      <c r="P94" s="209" t="n"/>
      <c r="Q94" s="265" t="n"/>
      <c r="R94" s="265" t="n"/>
      <c r="S94" s="209" t="n"/>
      <c r="T94" s="209" t="n"/>
      <c r="U94" s="267" t="n"/>
      <c r="V94" s="267" t="n"/>
      <c r="W94" s="268" t="n"/>
      <c r="X94" s="306">
        <f>tbl_明細[[#This Row],[仕入価格]]*tbl_明細[[#This Row],[数量]]+tbl_明細[[#This Row],[仕入価格（M)]]*tbl_明細[[#This Row],[数量（M)]]</f>
        <v/>
      </c>
      <c r="Y94" s="306">
        <f>tbl_明細[[#This Row],[販売価格（売値）]]*tbl_明細[[#This Row],[数量]]+tbl_明細[[#This Row],[販売価格（M)]]*tbl_明細[[#This Row],[数量（M)]]</f>
        <v/>
      </c>
      <c r="Z94" s="307">
        <f>_xlfn.XLOOKUP(tbl_明細[[#This Row],[案件番号]],tbl_案件追跡[案件番号],tbl_案件追跡[受注],"",0,1)</f>
        <v/>
      </c>
      <c r="AA94" s="228">
        <f>tbl_明細[[#This Row],[販売価格（売値）]]+tbl_明細[[#This Row],[販売価格（M)]]</f>
        <v/>
      </c>
      <c r="AB94" s="261">
        <f>tbl_明細[[#This Row],[販売価格（売値）]]*1.08+tbl_明細[[#This Row],[販売価格（M)]]*1.08</f>
        <v/>
      </c>
    </row>
    <row r="95">
      <c r="A95" s="212" t="inlineStr">
        <is>
          <t>2603-1004-S01</t>
        </is>
      </c>
      <c r="B95" s="77">
        <f>IF(ISBLANK(tbl_明細[[#This Row],[案件番号]]),"",COUNTIFS($A$3:A95,tbl_明細[[#This Row],[案件番号]],$AA$3:AA95,"&gt;0"))</f>
        <v/>
      </c>
      <c r="C95" s="209">
        <f>COUNTIFS($A$3:A95,tbl_明細[[#This Row],[案件番号]],$F$3:F95,tbl_明細[[#This Row],[仕入先]])</f>
        <v/>
      </c>
      <c r="D95" s="77">
        <f>_xlfn.XLOOKUP(tbl_明細[[#This Row],[案件番号]],tbl_採番[案件番号],tbl_採番[顧客],"",0,1)</f>
        <v/>
      </c>
      <c r="E95" s="209" t="inlineStr">
        <is>
          <t>PRD_SNJ_YMN_0008_01</t>
        </is>
      </c>
      <c r="F95" s="118">
        <f>IF(ISBLANK(tbl_明細[[#This Row],[仕入先（M)]]),_xlfn.XLOOKUP(tbl_明細[[#This Row],[商品ID]],商品マスタ[商品連番],商品マスタ[仕入先],"",0,1),tbl_明細[[#This Row],[仕入先（M)]])</f>
        <v/>
      </c>
      <c r="G95" s="112">
        <f>IF(ISBLANK(tbl_明細[[#This Row],[商品名（M)]]),_xlfn.XLOOKUP(tbl_明細[[#This Row],[商品ID]],商品マスタ[商品連番],商品マスタ[商品名],"",0,),tbl_明細[[#This Row],[商品名（M)]])</f>
        <v/>
      </c>
      <c r="H95" s="80">
        <f>IF(ISBLANK(tbl_明細[[#This Row],[仕入価格（M)]]),_xlfn.XLOOKUP(tbl_明細[[#This Row],[商品ID]],商品マスタ[商品連番],商品マスタ[仕入
単価],"",0,1),tbl_明細[[#This Row],[仕入価格（M)]])</f>
        <v/>
      </c>
      <c r="I95" s="80">
        <f>_xlfn.XLOOKUP(tbl_明細[[#This Row],[商品ID]],商品マスタ[商品連番],商品マスタ[国内定価
（15％）],"",0,1)</f>
        <v/>
      </c>
      <c r="J95" s="265" t="n">
        <v>400</v>
      </c>
      <c r="K95" s="209" t="n">
        <v>20</v>
      </c>
      <c r="L95" s="77">
        <f>_xlfn.XLOOKUP(tbl_明細[[#This Row],[商品ID]],商品マスタ[商品連番],商品マスタ[単位],"",0,1)</f>
        <v/>
      </c>
      <c r="M95" s="249">
        <f>1-tbl_明細[[#This Row],[仕入価格]]/tbl_明細[[#This Row],[販売価格（売値）]]</f>
        <v/>
      </c>
      <c r="N95" s="189">
        <f>_xlfn.XLOOKUP(tbl_明細[[#This Row],[商品ID]],商品マスタ[商品連番],商品マスタ[税率],"",0,1)</f>
        <v/>
      </c>
      <c r="O95" s="266" t="n"/>
      <c r="P95" s="209" t="n"/>
      <c r="Q95" s="265" t="n"/>
      <c r="R95" s="265" t="n"/>
      <c r="S95" s="209" t="n"/>
      <c r="T95" s="209" t="n"/>
      <c r="U95" s="267" t="n"/>
      <c r="V95" s="267" t="n"/>
      <c r="W95" s="268" t="n"/>
      <c r="X95" s="306">
        <f>tbl_明細[[#This Row],[仕入価格]]*tbl_明細[[#This Row],[数量]]+tbl_明細[[#This Row],[仕入価格（M)]]*tbl_明細[[#This Row],[数量（M)]]</f>
        <v/>
      </c>
      <c r="Y95" s="306">
        <f>tbl_明細[[#This Row],[販売価格（売値）]]*tbl_明細[[#This Row],[数量]]+tbl_明細[[#This Row],[販売価格（M)]]*tbl_明細[[#This Row],[数量（M)]]</f>
        <v/>
      </c>
      <c r="Z95" s="307">
        <f>_xlfn.XLOOKUP(tbl_明細[[#This Row],[案件番号]],tbl_案件追跡[案件番号],tbl_案件追跡[受注],"",0,1)</f>
        <v/>
      </c>
      <c r="AA95" s="228">
        <f>tbl_明細[[#This Row],[販売価格（売値）]]+tbl_明細[[#This Row],[販売価格（M)]]</f>
        <v/>
      </c>
      <c r="AB95" s="261">
        <f>tbl_明細[[#This Row],[販売価格（売値）]]*1.08+tbl_明細[[#This Row],[販売価格（M)]]*1.08</f>
        <v/>
      </c>
    </row>
    <row r="96">
      <c r="A96" s="212" t="inlineStr">
        <is>
          <t>2603-1004-S01</t>
        </is>
      </c>
      <c r="B96" s="77">
        <f>IF(ISBLANK(tbl_明細[[#This Row],[案件番号]]),"",COUNTIFS($A$3:A96,tbl_明細[[#This Row],[案件番号]],$AA$3:AA96,"&gt;0"))</f>
        <v/>
      </c>
      <c r="C96" s="209">
        <f>COUNTIFS($A$3:A96,tbl_明細[[#This Row],[案件番号]],$F$3:F96,tbl_明細[[#This Row],[仕入先]])</f>
        <v/>
      </c>
      <c r="D96" s="77">
        <f>_xlfn.XLOOKUP(tbl_明細[[#This Row],[案件番号]],tbl_採番[案件番号],tbl_採番[顧客],"",0,1)</f>
        <v/>
      </c>
      <c r="E96" s="209" t="inlineStr">
        <is>
          <t>PRD_SNJ_YMN_0009_01</t>
        </is>
      </c>
      <c r="F96" s="118">
        <f>IF(ISBLANK(tbl_明細[[#This Row],[仕入先（M)]]),_xlfn.XLOOKUP(tbl_明細[[#This Row],[商品ID]],商品マスタ[商品連番],商品マスタ[仕入先],"",0,1),tbl_明細[[#This Row],[仕入先（M)]])</f>
        <v/>
      </c>
      <c r="G96" s="112">
        <f>IF(ISBLANK(tbl_明細[[#This Row],[商品名（M)]]),_xlfn.XLOOKUP(tbl_明細[[#This Row],[商品ID]],商品マスタ[商品連番],商品マスタ[商品名],"",0,),tbl_明細[[#This Row],[商品名（M)]])</f>
        <v/>
      </c>
      <c r="H96" s="80">
        <f>IF(ISBLANK(tbl_明細[[#This Row],[仕入価格（M)]]),_xlfn.XLOOKUP(tbl_明細[[#This Row],[商品ID]],商品マスタ[商品連番],商品マスタ[仕入
単価],"",0,1),tbl_明細[[#This Row],[仕入価格（M)]])</f>
        <v/>
      </c>
      <c r="I96" s="80">
        <f>_xlfn.XLOOKUP(tbl_明細[[#This Row],[商品ID]],商品マスタ[商品連番],商品マスタ[国内定価
（15％）],"",0,1)</f>
        <v/>
      </c>
      <c r="J96" s="265" t="n">
        <v>400</v>
      </c>
      <c r="K96" s="209" t="n">
        <v>20</v>
      </c>
      <c r="L96" s="77">
        <f>_xlfn.XLOOKUP(tbl_明細[[#This Row],[商品ID]],商品マスタ[商品連番],商品マスタ[単位],"",0,1)</f>
        <v/>
      </c>
      <c r="M96" s="249">
        <f>1-tbl_明細[[#This Row],[仕入価格]]/tbl_明細[[#This Row],[販売価格（売値）]]</f>
        <v/>
      </c>
      <c r="N96" s="189">
        <f>_xlfn.XLOOKUP(tbl_明細[[#This Row],[商品ID]],商品マスタ[商品連番],商品マスタ[税率],"",0,1)</f>
        <v/>
      </c>
      <c r="O96" s="266" t="n"/>
      <c r="P96" s="209" t="n"/>
      <c r="Q96" s="265" t="n"/>
      <c r="R96" s="265" t="n"/>
      <c r="S96" s="209" t="n"/>
      <c r="T96" s="209" t="n"/>
      <c r="U96" s="267" t="n"/>
      <c r="V96" s="267" t="n"/>
      <c r="W96" s="268" t="n"/>
      <c r="X96" s="306">
        <f>tbl_明細[[#This Row],[仕入価格]]*tbl_明細[[#This Row],[数量]]+tbl_明細[[#This Row],[仕入価格（M)]]*tbl_明細[[#This Row],[数量（M)]]</f>
        <v/>
      </c>
      <c r="Y96" s="306">
        <f>tbl_明細[[#This Row],[販売価格（売値）]]*tbl_明細[[#This Row],[数量]]+tbl_明細[[#This Row],[販売価格（M)]]*tbl_明細[[#This Row],[数量（M)]]</f>
        <v/>
      </c>
      <c r="Z96" s="307">
        <f>_xlfn.XLOOKUP(tbl_明細[[#This Row],[案件番号]],tbl_案件追跡[案件番号],tbl_案件追跡[受注],"",0,1)</f>
        <v/>
      </c>
      <c r="AA96" s="228">
        <f>tbl_明細[[#This Row],[販売価格（売値）]]+tbl_明細[[#This Row],[販売価格（M)]]</f>
        <v/>
      </c>
      <c r="AB96" s="261">
        <f>tbl_明細[[#This Row],[販売価格（売値）]]*1.08+tbl_明細[[#This Row],[販売価格（M)]]*1.08</f>
        <v/>
      </c>
    </row>
    <row r="97">
      <c r="A97" s="212" t="inlineStr">
        <is>
          <t>2603-1004-S01</t>
        </is>
      </c>
      <c r="B97" s="77">
        <f>IF(ISBLANK(tbl_明細[[#This Row],[案件番号]]),"",COUNTIFS($A$3:A97,tbl_明細[[#This Row],[案件番号]],$AA$3:AA97,"&gt;0"))</f>
        <v/>
      </c>
      <c r="C97" s="209">
        <f>COUNTIFS($A$3:A97,tbl_明細[[#This Row],[案件番号]],$F$3:F97,tbl_明細[[#This Row],[仕入先]])</f>
        <v/>
      </c>
      <c r="D97" s="77">
        <f>_xlfn.XLOOKUP(tbl_明細[[#This Row],[案件番号]],tbl_採番[案件番号],tbl_採番[顧客],"",0,1)</f>
        <v/>
      </c>
      <c r="E97" s="209" t="inlineStr">
        <is>
          <t>PRD_SNJ_YMN_0010_01</t>
        </is>
      </c>
      <c r="F97" s="118">
        <f>IF(ISBLANK(tbl_明細[[#This Row],[仕入先（M)]]),_xlfn.XLOOKUP(tbl_明細[[#This Row],[商品ID]],商品マスタ[商品連番],商品マスタ[仕入先],"",0,1),tbl_明細[[#This Row],[仕入先（M)]])</f>
        <v/>
      </c>
      <c r="G97" s="112">
        <f>IF(ISBLANK(tbl_明細[[#This Row],[商品名（M)]]),_xlfn.XLOOKUP(tbl_明細[[#This Row],[商品ID]],商品マスタ[商品連番],商品マスタ[商品名],"",0,),tbl_明細[[#This Row],[商品名（M)]])</f>
        <v/>
      </c>
      <c r="H97" s="80">
        <f>IF(ISBLANK(tbl_明細[[#This Row],[仕入価格（M)]]),_xlfn.XLOOKUP(tbl_明細[[#This Row],[商品ID]],商品マスタ[商品連番],商品マスタ[仕入
単価],"",0,1),tbl_明細[[#This Row],[仕入価格（M)]])</f>
        <v/>
      </c>
      <c r="I97" s="80">
        <f>_xlfn.XLOOKUP(tbl_明細[[#This Row],[商品ID]],商品マスタ[商品連番],商品マスタ[国内定価
（15％）],"",0,1)</f>
        <v/>
      </c>
      <c r="J97" s="265" t="n">
        <v>400</v>
      </c>
      <c r="K97" s="209" t="n">
        <v>20</v>
      </c>
      <c r="L97" s="77">
        <f>_xlfn.XLOOKUP(tbl_明細[[#This Row],[商品ID]],商品マスタ[商品連番],商品マスタ[単位],"",0,1)</f>
        <v/>
      </c>
      <c r="M97" s="249">
        <f>1-tbl_明細[[#This Row],[仕入価格]]/tbl_明細[[#This Row],[販売価格（売値）]]</f>
        <v/>
      </c>
      <c r="N97" s="189">
        <f>_xlfn.XLOOKUP(tbl_明細[[#This Row],[商品ID]],商品マスタ[商品連番],商品マスタ[税率],"",0,1)</f>
        <v/>
      </c>
      <c r="O97" s="266" t="n"/>
      <c r="P97" s="209" t="n"/>
      <c r="Q97" s="265" t="n"/>
      <c r="R97" s="265" t="n"/>
      <c r="S97" s="209" t="n"/>
      <c r="T97" s="209" t="n"/>
      <c r="U97" s="267" t="n"/>
      <c r="V97" s="267" t="n"/>
      <c r="W97" s="268" t="n"/>
      <c r="X97" s="306">
        <f>tbl_明細[[#This Row],[仕入価格]]*tbl_明細[[#This Row],[数量]]+tbl_明細[[#This Row],[仕入価格（M)]]*tbl_明細[[#This Row],[数量（M)]]</f>
        <v/>
      </c>
      <c r="Y97" s="306">
        <f>tbl_明細[[#This Row],[販売価格（売値）]]*tbl_明細[[#This Row],[数量]]+tbl_明細[[#This Row],[販売価格（M)]]*tbl_明細[[#This Row],[数量（M)]]</f>
        <v/>
      </c>
      <c r="Z97" s="307">
        <f>_xlfn.XLOOKUP(tbl_明細[[#This Row],[案件番号]],tbl_案件追跡[案件番号],tbl_案件追跡[受注],"",0,1)</f>
        <v/>
      </c>
      <c r="AA97" s="228">
        <f>tbl_明細[[#This Row],[販売価格（売値）]]+tbl_明細[[#This Row],[販売価格（M)]]</f>
        <v/>
      </c>
      <c r="AB97" s="261">
        <f>tbl_明細[[#This Row],[販売価格（売値）]]*1.08+tbl_明細[[#This Row],[販売価格（M)]]*1.08</f>
        <v/>
      </c>
    </row>
    <row r="98">
      <c r="A98" s="212" t="inlineStr">
        <is>
          <t>2603-1004-S01</t>
        </is>
      </c>
      <c r="B98" s="77">
        <f>IF(ISBLANK(tbl_明細[[#This Row],[案件番号]]),"",COUNTIFS($A$3:A98,tbl_明細[[#This Row],[案件番号]],$AA$3:AA98,"&gt;0"))</f>
        <v/>
      </c>
      <c r="C98" s="209">
        <f>COUNTIFS($A$3:A98,tbl_明細[[#This Row],[案件番号]],$F$3:F98,tbl_明細[[#This Row],[仕入先]])</f>
        <v/>
      </c>
      <c r="D98" s="77">
        <f>_xlfn.XLOOKUP(tbl_明細[[#This Row],[案件番号]],tbl_採番[案件番号],tbl_採番[顧客],"",0,1)</f>
        <v/>
      </c>
      <c r="E98" s="209" t="inlineStr">
        <is>
          <t>PRD_SNJ_YMN_0015_01</t>
        </is>
      </c>
      <c r="F98" s="118">
        <f>IF(ISBLANK(tbl_明細[[#This Row],[仕入先（M)]]),_xlfn.XLOOKUP(tbl_明細[[#This Row],[商品ID]],商品マスタ[商品連番],商品マスタ[仕入先],"",0,1),tbl_明細[[#This Row],[仕入先（M)]])</f>
        <v/>
      </c>
      <c r="G98" s="112">
        <f>IF(ISBLANK(tbl_明細[[#This Row],[商品名（M)]]),_xlfn.XLOOKUP(tbl_明細[[#This Row],[商品ID]],商品マスタ[商品連番],商品マスタ[商品名],"",0,),tbl_明細[[#This Row],[商品名（M)]])</f>
        <v/>
      </c>
      <c r="H98" s="80">
        <f>IF(ISBLANK(tbl_明細[[#This Row],[仕入価格（M)]]),_xlfn.XLOOKUP(tbl_明細[[#This Row],[商品ID]],商品マスタ[商品連番],商品マスタ[仕入
単価],"",0,1),tbl_明細[[#This Row],[仕入価格（M)]])</f>
        <v/>
      </c>
      <c r="I98" s="80">
        <f>_xlfn.XLOOKUP(tbl_明細[[#This Row],[商品ID]],商品マスタ[商品連番],商品マスタ[国内定価
（15％）],"",0,1)</f>
        <v/>
      </c>
      <c r="J98" s="265" t="n">
        <v>318</v>
      </c>
      <c r="K98" s="209" t="n">
        <v>10</v>
      </c>
      <c r="L98" s="77">
        <f>_xlfn.XLOOKUP(tbl_明細[[#This Row],[商品ID]],商品マスタ[商品連番],商品マスタ[単位],"",0,1)</f>
        <v/>
      </c>
      <c r="M98" s="249">
        <f>1-tbl_明細[[#This Row],[仕入価格]]/tbl_明細[[#This Row],[販売価格（売値）]]</f>
        <v/>
      </c>
      <c r="N98" s="189">
        <f>_xlfn.XLOOKUP(tbl_明細[[#This Row],[商品ID]],商品マスタ[商品連番],商品マスタ[税率],"",0,1)</f>
        <v/>
      </c>
      <c r="O98" s="266" t="n"/>
      <c r="P98" s="209" t="n"/>
      <c r="Q98" s="265" t="n"/>
      <c r="R98" s="265" t="n"/>
      <c r="S98" s="209" t="n"/>
      <c r="T98" s="209" t="n"/>
      <c r="U98" s="267" t="n"/>
      <c r="V98" s="267" t="n"/>
      <c r="W98" s="268" t="n"/>
      <c r="X98" s="306">
        <f>tbl_明細[[#This Row],[仕入価格]]*tbl_明細[[#This Row],[数量]]+tbl_明細[[#This Row],[仕入価格（M)]]*tbl_明細[[#This Row],[数量（M)]]</f>
        <v/>
      </c>
      <c r="Y98" s="306">
        <f>tbl_明細[[#This Row],[販売価格（売値）]]*tbl_明細[[#This Row],[数量]]+tbl_明細[[#This Row],[販売価格（M)]]*tbl_明細[[#This Row],[数量（M)]]</f>
        <v/>
      </c>
      <c r="Z98" s="307">
        <f>_xlfn.XLOOKUP(tbl_明細[[#This Row],[案件番号]],tbl_案件追跡[案件番号],tbl_案件追跡[受注],"",0,1)</f>
        <v/>
      </c>
      <c r="AA98" s="228">
        <f>tbl_明細[[#This Row],[販売価格（売値）]]+tbl_明細[[#This Row],[販売価格（M)]]</f>
        <v/>
      </c>
      <c r="AB98" s="261">
        <f>tbl_明細[[#This Row],[販売価格（売値）]]*1.08+tbl_明細[[#This Row],[販売価格（M)]]*1.08</f>
        <v/>
      </c>
    </row>
    <row r="99">
      <c r="A99" s="212" t="inlineStr">
        <is>
          <t>2603-1004-S01</t>
        </is>
      </c>
      <c r="B99" s="77">
        <f>IF(ISBLANK(tbl_明細[[#This Row],[案件番号]]),"",COUNTIFS($A$3:A99,tbl_明細[[#This Row],[案件番号]],$AA$3:AA99,"&gt;0"))</f>
        <v/>
      </c>
      <c r="C99" s="209">
        <f>COUNTIFS($A$3:A99,tbl_明細[[#This Row],[案件番号]],$F$3:F99,tbl_明細[[#This Row],[仕入先]])</f>
        <v/>
      </c>
      <c r="D99" s="77">
        <f>_xlfn.XLOOKUP(tbl_明細[[#This Row],[案件番号]],tbl_採番[案件番号],tbl_採番[顧客],"",0,1)</f>
        <v/>
      </c>
      <c r="E99" s="209" t="inlineStr">
        <is>
          <t>PRD_SNJ_YMN_0018_01</t>
        </is>
      </c>
      <c r="F99" s="118">
        <f>IF(ISBLANK(tbl_明細[[#This Row],[仕入先（M)]]),_xlfn.XLOOKUP(tbl_明細[[#This Row],[商品ID]],商品マスタ[商品連番],商品マスタ[仕入先],"",0,1),tbl_明細[[#This Row],[仕入先（M)]])</f>
        <v/>
      </c>
      <c r="G99" s="112">
        <f>IF(ISBLANK(tbl_明細[[#This Row],[商品名（M)]]),_xlfn.XLOOKUP(tbl_明細[[#This Row],[商品ID]],商品マスタ[商品連番],商品マスタ[商品名],"",0,),tbl_明細[[#This Row],[商品名（M)]])</f>
        <v/>
      </c>
      <c r="H99" s="80">
        <f>IF(ISBLANK(tbl_明細[[#This Row],[仕入価格（M)]]),_xlfn.XLOOKUP(tbl_明細[[#This Row],[商品ID]],商品マスタ[商品連番],商品マスタ[仕入
単価],"",0,1),tbl_明細[[#This Row],[仕入価格（M)]])</f>
        <v/>
      </c>
      <c r="I99" s="80">
        <f>_xlfn.XLOOKUP(tbl_明細[[#This Row],[商品ID]],商品マスタ[商品連番],商品マスタ[国内定価
（15％）],"",0,1)</f>
        <v/>
      </c>
      <c r="J99" s="265" t="n">
        <v>824</v>
      </c>
      <c r="K99" s="209" t="n">
        <v>10</v>
      </c>
      <c r="L99" s="77">
        <f>_xlfn.XLOOKUP(tbl_明細[[#This Row],[商品ID]],商品マスタ[商品連番],商品マスタ[単位],"",0,1)</f>
        <v/>
      </c>
      <c r="M99" s="249">
        <f>1-tbl_明細[[#This Row],[仕入価格]]/tbl_明細[[#This Row],[販売価格（売値）]]</f>
        <v/>
      </c>
      <c r="N99" s="189">
        <f>_xlfn.XLOOKUP(tbl_明細[[#This Row],[商品ID]],商品マスタ[商品連番],商品マスタ[税率],"",0,1)</f>
        <v/>
      </c>
      <c r="O99" s="266" t="n"/>
      <c r="P99" s="209" t="n"/>
      <c r="Q99" s="265" t="n"/>
      <c r="R99" s="265" t="n"/>
      <c r="S99" s="209" t="n"/>
      <c r="T99" s="209" t="n"/>
      <c r="U99" s="267" t="n"/>
      <c r="V99" s="267" t="n"/>
      <c r="W99" s="268" t="n"/>
      <c r="X99" s="306">
        <f>tbl_明細[[#This Row],[仕入価格]]*tbl_明細[[#This Row],[数量]]+tbl_明細[[#This Row],[仕入価格（M)]]*tbl_明細[[#This Row],[数量（M)]]</f>
        <v/>
      </c>
      <c r="Y99" s="306">
        <f>tbl_明細[[#This Row],[販売価格（売値）]]*tbl_明細[[#This Row],[数量]]+tbl_明細[[#This Row],[販売価格（M)]]*tbl_明細[[#This Row],[数量（M)]]</f>
        <v/>
      </c>
      <c r="Z99" s="307">
        <f>_xlfn.XLOOKUP(tbl_明細[[#This Row],[案件番号]],tbl_案件追跡[案件番号],tbl_案件追跡[受注],"",0,1)</f>
        <v/>
      </c>
      <c r="AA99" s="228">
        <f>tbl_明細[[#This Row],[販売価格（売値）]]+tbl_明細[[#This Row],[販売価格（M)]]</f>
        <v/>
      </c>
      <c r="AB99" s="261">
        <f>tbl_明細[[#This Row],[販売価格（売値）]]*1.08+tbl_明細[[#This Row],[販売価格（M)]]*1.08</f>
        <v/>
      </c>
    </row>
    <row r="100">
      <c r="A100" s="212" t="inlineStr">
        <is>
          <t>2603-1004-S01</t>
        </is>
      </c>
      <c r="B100" s="77">
        <f>IF(ISBLANK(tbl_明細[[#This Row],[案件番号]]),"",COUNTIFS($A$3:A100,tbl_明細[[#This Row],[案件番号]],$AA$3:AA100,"&gt;0"))</f>
        <v/>
      </c>
      <c r="C100" s="209">
        <f>COUNTIFS($A$3:A100,tbl_明細[[#This Row],[案件番号]],$F$3:F100,tbl_明細[[#This Row],[仕入先]])</f>
        <v/>
      </c>
      <c r="D100" s="77">
        <f>_xlfn.XLOOKUP(tbl_明細[[#This Row],[案件番号]],tbl_採番[案件番号],tbl_採番[顧客],"",0,1)</f>
        <v/>
      </c>
      <c r="E100" s="209" t="inlineStr">
        <is>
          <t>PRD_SNJ_YMN_0020_01</t>
        </is>
      </c>
      <c r="F100" s="118">
        <f>IF(ISBLANK(tbl_明細[[#This Row],[仕入先（M)]]),_xlfn.XLOOKUP(tbl_明細[[#This Row],[商品ID]],商品マスタ[商品連番],商品マスタ[仕入先],"",0,1),tbl_明細[[#This Row],[仕入先（M)]])</f>
        <v/>
      </c>
      <c r="G100" s="112">
        <f>IF(ISBLANK(tbl_明細[[#This Row],[商品名（M)]]),_xlfn.XLOOKUP(tbl_明細[[#This Row],[商品ID]],商品マスタ[商品連番],商品マスタ[商品名],"",0,),tbl_明細[[#This Row],[商品名（M)]])</f>
        <v/>
      </c>
      <c r="H100" s="80">
        <f>IF(ISBLANK(tbl_明細[[#This Row],[仕入価格（M)]]),_xlfn.XLOOKUP(tbl_明細[[#This Row],[商品ID]],商品マスタ[商品連番],商品マスタ[仕入
単価],"",0,1),tbl_明細[[#This Row],[仕入価格（M)]])</f>
        <v/>
      </c>
      <c r="I100" s="80">
        <f>_xlfn.XLOOKUP(tbl_明細[[#This Row],[商品ID]],商品マスタ[商品連番],商品マスタ[国内定価
（15％）],"",0,1)</f>
        <v/>
      </c>
      <c r="J100" s="265" t="n">
        <v>376</v>
      </c>
      <c r="K100" s="209" t="n">
        <v>20</v>
      </c>
      <c r="L100" s="77">
        <f>_xlfn.XLOOKUP(tbl_明細[[#This Row],[商品ID]],商品マスタ[商品連番],商品マスタ[単位],"",0,1)</f>
        <v/>
      </c>
      <c r="M100" s="249">
        <f>1-tbl_明細[[#This Row],[仕入価格]]/tbl_明細[[#This Row],[販売価格（売値）]]</f>
        <v/>
      </c>
      <c r="N100" s="189">
        <f>_xlfn.XLOOKUP(tbl_明細[[#This Row],[商品ID]],商品マスタ[商品連番],商品マスタ[税率],"",0,1)</f>
        <v/>
      </c>
      <c r="O100" s="266" t="n"/>
      <c r="P100" s="209" t="n"/>
      <c r="Q100" s="265" t="n"/>
      <c r="R100" s="265" t="n"/>
      <c r="S100" s="209" t="n"/>
      <c r="T100" s="209" t="n"/>
      <c r="U100" s="267" t="n"/>
      <c r="V100" s="267" t="n"/>
      <c r="W100" s="268" t="n"/>
      <c r="X100" s="306">
        <f>tbl_明細[[#This Row],[仕入価格]]*tbl_明細[[#This Row],[数量]]+tbl_明細[[#This Row],[仕入価格（M)]]*tbl_明細[[#This Row],[数量（M)]]</f>
        <v/>
      </c>
      <c r="Y100" s="306">
        <f>tbl_明細[[#This Row],[販売価格（売値）]]*tbl_明細[[#This Row],[数量]]+tbl_明細[[#This Row],[販売価格（M)]]*tbl_明細[[#This Row],[数量（M)]]</f>
        <v/>
      </c>
      <c r="Z100" s="307">
        <f>_xlfn.XLOOKUP(tbl_明細[[#This Row],[案件番号]],tbl_案件追跡[案件番号],tbl_案件追跡[受注],"",0,1)</f>
        <v/>
      </c>
      <c r="AA100" s="228">
        <f>tbl_明細[[#This Row],[販売価格（売値）]]+tbl_明細[[#This Row],[販売価格（M)]]</f>
        <v/>
      </c>
      <c r="AB100" s="261">
        <f>tbl_明細[[#This Row],[販売価格（売値）]]*1.08+tbl_明細[[#This Row],[販売価格（M)]]*1.08</f>
        <v/>
      </c>
    </row>
    <row r="101">
      <c r="A101" s="212" t="inlineStr">
        <is>
          <t>2603-1004-S01</t>
        </is>
      </c>
      <c r="B101" s="77">
        <f>IF(ISBLANK(tbl_明細[[#This Row],[案件番号]]),"",COUNTIFS($A$3:A101,tbl_明細[[#This Row],[案件番号]],$AA$3:AA101,"&gt;0"))</f>
        <v/>
      </c>
      <c r="C101" s="209">
        <f>COUNTIFS($A$3:A101,tbl_明細[[#This Row],[案件番号]],$F$3:F101,tbl_明細[[#This Row],[仕入先]])</f>
        <v/>
      </c>
      <c r="D101" s="77">
        <f>_xlfn.XLOOKUP(tbl_明細[[#This Row],[案件番号]],tbl_採番[案件番号],tbl_採番[顧客],"",0,1)</f>
        <v/>
      </c>
      <c r="E101" s="209" t="inlineStr">
        <is>
          <t>PRD_SNJ_YMN_0025_01</t>
        </is>
      </c>
      <c r="F101" s="118">
        <f>IF(ISBLANK(tbl_明細[[#This Row],[仕入先（M)]]),_xlfn.XLOOKUP(tbl_明細[[#This Row],[商品ID]],商品マスタ[商品連番],商品マスタ[仕入先],"",0,1),tbl_明細[[#This Row],[仕入先（M)]])</f>
        <v/>
      </c>
      <c r="G101" s="112">
        <f>IF(ISBLANK(tbl_明細[[#This Row],[商品名（M)]]),_xlfn.XLOOKUP(tbl_明細[[#This Row],[商品ID]],商品マスタ[商品連番],商品マスタ[商品名],"",0,),tbl_明細[[#This Row],[商品名（M)]])</f>
        <v/>
      </c>
      <c r="H101" s="80">
        <f>IF(ISBLANK(tbl_明細[[#This Row],[仕入価格（M)]]),_xlfn.XLOOKUP(tbl_明細[[#This Row],[商品ID]],商品マスタ[商品連番],商品マスタ[仕入
単価],"",0,1),tbl_明細[[#This Row],[仕入価格（M)]])</f>
        <v/>
      </c>
      <c r="I101" s="80">
        <f>_xlfn.XLOOKUP(tbl_明細[[#This Row],[商品ID]],商品マスタ[商品連番],商品マスタ[国内定価
（15％）],"",0,1)</f>
        <v/>
      </c>
      <c r="J101" s="265" t="n">
        <v>388</v>
      </c>
      <c r="K101" s="209" t="n">
        <v>20</v>
      </c>
      <c r="L101" s="77">
        <f>_xlfn.XLOOKUP(tbl_明細[[#This Row],[商品ID]],商品マスタ[商品連番],商品マスタ[単位],"",0,1)</f>
        <v/>
      </c>
      <c r="M101" s="249">
        <f>1-tbl_明細[[#This Row],[仕入価格]]/tbl_明細[[#This Row],[販売価格（売値）]]</f>
        <v/>
      </c>
      <c r="N101" s="189">
        <f>_xlfn.XLOOKUP(tbl_明細[[#This Row],[商品ID]],商品マスタ[商品連番],商品マスタ[税率],"",0,1)</f>
        <v/>
      </c>
      <c r="O101" s="266" t="n"/>
      <c r="P101" s="209" t="n"/>
      <c r="Q101" s="265" t="n"/>
      <c r="R101" s="265" t="n"/>
      <c r="S101" s="209" t="n"/>
      <c r="T101" s="209" t="n"/>
      <c r="U101" s="267" t="n"/>
      <c r="V101" s="267" t="n"/>
      <c r="W101" s="268" t="n"/>
      <c r="X101" s="306">
        <f>tbl_明細[[#This Row],[仕入価格]]*tbl_明細[[#This Row],[数量]]+tbl_明細[[#This Row],[仕入価格（M)]]*tbl_明細[[#This Row],[数量（M)]]</f>
        <v/>
      </c>
      <c r="Y101" s="306">
        <f>tbl_明細[[#This Row],[販売価格（売値）]]*tbl_明細[[#This Row],[数量]]+tbl_明細[[#This Row],[販売価格（M)]]*tbl_明細[[#This Row],[数量（M)]]</f>
        <v/>
      </c>
      <c r="Z101" s="307">
        <f>_xlfn.XLOOKUP(tbl_明細[[#This Row],[案件番号]],tbl_案件追跡[案件番号],tbl_案件追跡[受注],"",0,1)</f>
        <v/>
      </c>
      <c r="AA101" s="228">
        <f>tbl_明細[[#This Row],[販売価格（売値）]]+tbl_明細[[#This Row],[販売価格（M)]]</f>
        <v/>
      </c>
      <c r="AB101" s="261">
        <f>tbl_明細[[#This Row],[販売価格（売値）]]*1.08+tbl_明細[[#This Row],[販売価格（M)]]*1.08</f>
        <v/>
      </c>
    </row>
    <row r="102">
      <c r="A102" s="212" t="inlineStr">
        <is>
          <t>2603-1004-S01</t>
        </is>
      </c>
      <c r="B102" s="77">
        <f>IF(ISBLANK(tbl_明細[[#This Row],[案件番号]]),"",COUNTIFS($A$3:A102,tbl_明細[[#This Row],[案件番号]],$AA$3:AA102,"&gt;0"))</f>
        <v/>
      </c>
      <c r="C102" s="209">
        <f>COUNTIFS($A$3:A102,tbl_明細[[#This Row],[案件番号]],$F$3:F102,tbl_明細[[#This Row],[仕入先]])</f>
        <v/>
      </c>
      <c r="D102" s="77">
        <f>_xlfn.XLOOKUP(tbl_明細[[#This Row],[案件番号]],tbl_採番[案件番号],tbl_採番[顧客],"",0,1)</f>
        <v/>
      </c>
      <c r="E102" s="209" t="inlineStr">
        <is>
          <t>PRD_SNJ_SKK_0005_01</t>
        </is>
      </c>
      <c r="F102" s="118">
        <f>IF(ISBLANK(tbl_明細[[#This Row],[仕入先（M)]]),_xlfn.XLOOKUP(tbl_明細[[#This Row],[商品ID]],商品マスタ[商品連番],商品マスタ[仕入先],"",0,1),tbl_明細[[#This Row],[仕入先（M)]])</f>
        <v/>
      </c>
      <c r="G102" s="112">
        <f>IF(ISBLANK(tbl_明細[[#This Row],[商品名（M)]]),_xlfn.XLOOKUP(tbl_明細[[#This Row],[商品ID]],商品マスタ[商品連番],商品マスタ[商品名],"",0,),tbl_明細[[#This Row],[商品名（M)]])</f>
        <v/>
      </c>
      <c r="H102" s="80">
        <f>IF(ISBLANK(tbl_明細[[#This Row],[仕入価格（M)]]),_xlfn.XLOOKUP(tbl_明細[[#This Row],[商品ID]],商品マスタ[商品連番],商品マスタ[仕入
単価],"",0,1),tbl_明細[[#This Row],[仕入価格（M)]])</f>
        <v/>
      </c>
      <c r="I102" s="80">
        <f>_xlfn.XLOOKUP(tbl_明細[[#This Row],[商品ID]],商品マスタ[商品連番],商品マスタ[国内定価
（15％）],"",0,1)</f>
        <v/>
      </c>
      <c r="J102" s="265" t="n">
        <v>200</v>
      </c>
      <c r="K102" s="209" t="n">
        <v>30</v>
      </c>
      <c r="L102" s="77">
        <f>_xlfn.XLOOKUP(tbl_明細[[#This Row],[商品ID]],商品マスタ[商品連番],商品マスタ[単位],"",0,1)</f>
        <v/>
      </c>
      <c r="M102" s="249">
        <f>1-tbl_明細[[#This Row],[仕入価格]]/tbl_明細[[#This Row],[販売価格（売値）]]</f>
        <v/>
      </c>
      <c r="N102" s="189">
        <f>_xlfn.XLOOKUP(tbl_明細[[#This Row],[商品ID]],商品マスタ[商品連番],商品マスタ[税率],"",0,1)</f>
        <v/>
      </c>
      <c r="O102" s="266" t="n"/>
      <c r="P102" s="209" t="n"/>
      <c r="Q102" s="265" t="n"/>
      <c r="R102" s="265" t="n"/>
      <c r="S102" s="209" t="n"/>
      <c r="T102" s="209" t="n"/>
      <c r="U102" s="267" t="n"/>
      <c r="V102" s="267" t="n"/>
      <c r="W102" s="268" t="n"/>
      <c r="X102" s="306">
        <f>tbl_明細[[#This Row],[仕入価格]]*tbl_明細[[#This Row],[数量]]+tbl_明細[[#This Row],[仕入価格（M)]]*tbl_明細[[#This Row],[数量（M)]]</f>
        <v/>
      </c>
      <c r="Y102" s="306">
        <f>tbl_明細[[#This Row],[販売価格（売値）]]*tbl_明細[[#This Row],[数量]]+tbl_明細[[#This Row],[販売価格（M)]]*tbl_明細[[#This Row],[数量（M)]]</f>
        <v/>
      </c>
      <c r="Z102" s="307">
        <f>_xlfn.XLOOKUP(tbl_明細[[#This Row],[案件番号]],tbl_案件追跡[案件番号],tbl_案件追跡[受注],"",0,1)</f>
        <v/>
      </c>
      <c r="AA102" s="228">
        <f>tbl_明細[[#This Row],[販売価格（売値）]]+tbl_明細[[#This Row],[販売価格（M)]]</f>
        <v/>
      </c>
      <c r="AB102" s="261">
        <f>tbl_明細[[#This Row],[販売価格（売値）]]*1.08+tbl_明細[[#This Row],[販売価格（M)]]*1.08</f>
        <v/>
      </c>
    </row>
    <row r="103">
      <c r="A103" s="212" t="inlineStr">
        <is>
          <t>2603-1004-S01</t>
        </is>
      </c>
      <c r="B103" s="77">
        <f>IF(ISBLANK(tbl_明細[[#This Row],[案件番号]]),"",COUNTIFS($A$3:A103,tbl_明細[[#This Row],[案件番号]],$AA$3:AA103,"&gt;0"))</f>
        <v/>
      </c>
      <c r="C103" s="209">
        <f>COUNTIFS($A$3:A103,tbl_明細[[#This Row],[案件番号]],$F$3:F103,tbl_明細[[#This Row],[仕入先]])</f>
        <v/>
      </c>
      <c r="D103" s="77">
        <f>_xlfn.XLOOKUP(tbl_明細[[#This Row],[案件番号]],tbl_採番[案件番号],tbl_採番[顧客],"",0,1)</f>
        <v/>
      </c>
      <c r="E103" s="209" t="inlineStr">
        <is>
          <t>PRD_SNJ_SKK_0006_01</t>
        </is>
      </c>
      <c r="F103" s="118">
        <f>IF(ISBLANK(tbl_明細[[#This Row],[仕入先（M)]]),_xlfn.XLOOKUP(tbl_明細[[#This Row],[商品ID]],商品マスタ[商品連番],商品マスタ[仕入先],"",0,1),tbl_明細[[#This Row],[仕入先（M)]])</f>
        <v/>
      </c>
      <c r="G103" s="112">
        <f>IF(ISBLANK(tbl_明細[[#This Row],[商品名（M)]]),_xlfn.XLOOKUP(tbl_明細[[#This Row],[商品ID]],商品マスタ[商品連番],商品マスタ[商品名],"",0,),tbl_明細[[#This Row],[商品名（M)]])</f>
        <v/>
      </c>
      <c r="H103" s="80">
        <f>IF(ISBLANK(tbl_明細[[#This Row],[仕入価格（M)]]),_xlfn.XLOOKUP(tbl_明細[[#This Row],[商品ID]],商品マスタ[商品連番],商品マスタ[仕入
単価],"",0,1),tbl_明細[[#This Row],[仕入価格（M)]])</f>
        <v/>
      </c>
      <c r="I103" s="80">
        <f>_xlfn.XLOOKUP(tbl_明細[[#This Row],[商品ID]],商品マスタ[商品連番],商品マスタ[国内定価
（15％）],"",0,1)</f>
        <v/>
      </c>
      <c r="J103" s="265" t="n">
        <v>200</v>
      </c>
      <c r="K103" s="209" t="n">
        <v>30</v>
      </c>
      <c r="L103" s="77">
        <f>_xlfn.XLOOKUP(tbl_明細[[#This Row],[商品ID]],商品マスタ[商品連番],商品マスタ[単位],"",0,1)</f>
        <v/>
      </c>
      <c r="M103" s="249">
        <f>1-tbl_明細[[#This Row],[仕入価格]]/tbl_明細[[#This Row],[販売価格（売値）]]</f>
        <v/>
      </c>
      <c r="N103" s="189">
        <f>_xlfn.XLOOKUP(tbl_明細[[#This Row],[商品ID]],商品マスタ[商品連番],商品マスタ[税率],"",0,1)</f>
        <v/>
      </c>
      <c r="O103" s="266" t="n"/>
      <c r="P103" s="209" t="n"/>
      <c r="Q103" s="265" t="n"/>
      <c r="R103" s="265" t="n"/>
      <c r="S103" s="209" t="n"/>
      <c r="T103" s="209" t="n"/>
      <c r="U103" s="267" t="n"/>
      <c r="V103" s="267" t="n"/>
      <c r="W103" s="268" t="n"/>
      <c r="X103" s="306">
        <f>tbl_明細[[#This Row],[仕入価格]]*tbl_明細[[#This Row],[数量]]+tbl_明細[[#This Row],[仕入価格（M)]]*tbl_明細[[#This Row],[数量（M)]]</f>
        <v/>
      </c>
      <c r="Y103" s="306">
        <f>tbl_明細[[#This Row],[販売価格（売値）]]*tbl_明細[[#This Row],[数量]]+tbl_明細[[#This Row],[販売価格（M)]]*tbl_明細[[#This Row],[数量（M)]]</f>
        <v/>
      </c>
      <c r="Z103" s="307">
        <f>_xlfn.XLOOKUP(tbl_明細[[#This Row],[案件番号]],tbl_案件追跡[案件番号],tbl_案件追跡[受注],"",0,1)</f>
        <v/>
      </c>
      <c r="AA103" s="228">
        <f>tbl_明細[[#This Row],[販売価格（売値）]]+tbl_明細[[#This Row],[販売価格（M)]]</f>
        <v/>
      </c>
      <c r="AB103" s="261">
        <f>tbl_明細[[#This Row],[販売価格（売値）]]*1.08+tbl_明細[[#This Row],[販売価格（M)]]*1.08</f>
        <v/>
      </c>
    </row>
    <row r="104">
      <c r="A104" s="212" t="inlineStr">
        <is>
          <t>2603-1004-S01</t>
        </is>
      </c>
      <c r="B104" s="77">
        <f>IF(ISBLANK(tbl_明細[[#This Row],[案件番号]]),"",COUNTIFS($A$3:A104,tbl_明細[[#This Row],[案件番号]],$AA$3:AA104,"&gt;0"))</f>
        <v/>
      </c>
      <c r="C104" s="209">
        <f>COUNTIFS($A$3:A104,tbl_明細[[#This Row],[案件番号]],$F$3:F104,tbl_明細[[#This Row],[仕入先]])</f>
        <v/>
      </c>
      <c r="D104" s="77">
        <f>_xlfn.XLOOKUP(tbl_明細[[#This Row],[案件番号]],tbl_採番[案件番号],tbl_採番[顧客],"",0,1)</f>
        <v/>
      </c>
      <c r="E104" s="209" t="inlineStr">
        <is>
          <t>other</t>
        </is>
      </c>
      <c r="F104" s="118">
        <f>IF(ISBLANK(tbl_明細[[#This Row],[仕入先（M)]]),_xlfn.XLOOKUP(tbl_明細[[#This Row],[商品ID]],商品マスタ[商品連番],商品マスタ[仕入先],"",0,1),tbl_明細[[#This Row],[仕入先（M)]])</f>
        <v/>
      </c>
      <c r="G104" s="112">
        <f>IF(ISBLANK(tbl_明細[[#This Row],[商品名（M)]]),_xlfn.XLOOKUP(tbl_明細[[#This Row],[商品ID]],商品マスタ[商品連番],商品マスタ[商品名],"",0,),tbl_明細[[#This Row],[商品名（M)]])</f>
        <v/>
      </c>
      <c r="H104" s="80">
        <f>IF(ISBLANK(tbl_明細[[#This Row],[仕入価格（M)]]),_xlfn.XLOOKUP(tbl_明細[[#This Row],[商品ID]],商品マスタ[商品連番],商品マスタ[仕入
単価],"",0,1),tbl_明細[[#This Row],[仕入価格（M)]])</f>
        <v/>
      </c>
      <c r="I104" s="80">
        <f>_xlfn.XLOOKUP(tbl_明細[[#This Row],[商品ID]],商品マスタ[商品連番],商品マスタ[国内定価
（15％）],"",0,1)</f>
        <v/>
      </c>
      <c r="J104" s="265" t="n"/>
      <c r="K104" s="209" t="n"/>
      <c r="L104" s="77">
        <f>_xlfn.XLOOKUP(tbl_明細[[#This Row],[商品ID]],商品マスタ[商品連番],商品マスタ[単位],"",0,1)</f>
        <v/>
      </c>
      <c r="M104" s="249">
        <f>1-tbl_明細[[#This Row],[仕入価格]]/tbl_明細[[#This Row],[販売価格（売値）]]</f>
        <v/>
      </c>
      <c r="N104" s="189">
        <f>_xlfn.XLOOKUP(tbl_明細[[#This Row],[商品ID]],商品マスタ[商品連番],商品マスタ[税率],"",0,1)</f>
        <v/>
      </c>
      <c r="O104" s="266" t="inlineStr">
        <is>
          <t>三海幸</t>
        </is>
      </c>
      <c r="P104" s="209" t="inlineStr">
        <is>
          <t>宇治抹茶あずき甘納豆おちちまめ</t>
        </is>
      </c>
      <c r="Q104" s="265" t="n"/>
      <c r="R104" s="265" t="n">
        <v>200</v>
      </c>
      <c r="S104" s="209" t="n">
        <v>20</v>
      </c>
      <c r="T104" s="209" t="inlineStr">
        <is>
          <t>個</t>
        </is>
      </c>
      <c r="U104" s="267" t="n">
        <v>0.08</v>
      </c>
      <c r="V104" s="267" t="n"/>
      <c r="W104" s="268" t="n"/>
      <c r="X104" s="306">
        <f>tbl_明細[[#This Row],[仕入価格]]*tbl_明細[[#This Row],[数量]]+tbl_明細[[#This Row],[仕入価格（M)]]*tbl_明細[[#This Row],[数量（M)]]</f>
        <v/>
      </c>
      <c r="Y104" s="306">
        <f>tbl_明細[[#This Row],[販売価格（売値）]]*tbl_明細[[#This Row],[数量]]+tbl_明細[[#This Row],[販売価格（M)]]*tbl_明細[[#This Row],[数量（M)]]</f>
        <v/>
      </c>
      <c r="Z104" s="307">
        <f>_xlfn.XLOOKUP(tbl_明細[[#This Row],[案件番号]],tbl_案件追跡[案件番号],tbl_案件追跡[受注],"",0,1)</f>
        <v/>
      </c>
      <c r="AA104" s="228">
        <f>tbl_明細[[#This Row],[販売価格（売値）]]+tbl_明細[[#This Row],[販売価格（M)]]</f>
        <v/>
      </c>
      <c r="AB104" s="261">
        <f>tbl_明細[[#This Row],[販売価格（売値）]]*1.08+tbl_明細[[#This Row],[販売価格（M)]]*1.08</f>
        <v/>
      </c>
    </row>
    <row r="105">
      <c r="A105" s="212" t="inlineStr">
        <is>
          <t>2603-1004-S01</t>
        </is>
      </c>
      <c r="B105" s="77">
        <f>IF(ISBLANK(tbl_明細[[#This Row],[案件番号]]),"",COUNTIFS($A$3:A105,tbl_明細[[#This Row],[案件番号]],$AA$3:AA105,"&gt;0"))</f>
        <v/>
      </c>
      <c r="C105" s="209">
        <f>COUNTIFS($A$3:A105,tbl_明細[[#This Row],[案件番号]],$F$3:F105,tbl_明細[[#This Row],[仕入先]])</f>
        <v/>
      </c>
      <c r="D105" s="77">
        <f>_xlfn.XLOOKUP(tbl_明細[[#This Row],[案件番号]],tbl_採番[案件番号],tbl_採番[顧客],"",0,1)</f>
        <v/>
      </c>
      <c r="E105" s="209" t="inlineStr">
        <is>
          <t>PRD_SNJ_SKK_0001_01</t>
        </is>
      </c>
      <c r="F105" s="118">
        <f>IF(ISBLANK(tbl_明細[[#This Row],[仕入先（M)]]),_xlfn.XLOOKUP(tbl_明細[[#This Row],[商品ID]],商品マスタ[商品連番],商品マスタ[仕入先],"",0,1),tbl_明細[[#This Row],[仕入先（M)]])</f>
        <v/>
      </c>
      <c r="G105" s="112">
        <f>IF(ISBLANK(tbl_明細[[#This Row],[商品名（M)]]),_xlfn.XLOOKUP(tbl_明細[[#This Row],[商品ID]],商品マスタ[商品連番],商品マスタ[商品名],"",0,),tbl_明細[[#This Row],[商品名（M)]])</f>
        <v/>
      </c>
      <c r="H105" s="80">
        <f>IF(ISBLANK(tbl_明細[[#This Row],[仕入価格（M)]]),_xlfn.XLOOKUP(tbl_明細[[#This Row],[商品ID]],商品マスタ[商品連番],商品マスタ[仕入
単価],"",0,1),tbl_明細[[#This Row],[仕入価格（M)]])</f>
        <v/>
      </c>
      <c r="I105" s="80">
        <f>_xlfn.XLOOKUP(tbl_明細[[#This Row],[商品ID]],商品マスタ[商品連番],商品マスタ[国内定価
（15％）],"",0,1)</f>
        <v/>
      </c>
      <c r="J105" s="265" t="n">
        <v>400</v>
      </c>
      <c r="K105" s="209" t="n">
        <v>20</v>
      </c>
      <c r="L105" s="77">
        <f>_xlfn.XLOOKUP(tbl_明細[[#This Row],[商品ID]],商品マスタ[商品連番],商品マスタ[単位],"",0,1)</f>
        <v/>
      </c>
      <c r="M105" s="249">
        <f>1-tbl_明細[[#This Row],[仕入価格]]/tbl_明細[[#This Row],[販売価格（売値）]]</f>
        <v/>
      </c>
      <c r="N105" s="189">
        <f>_xlfn.XLOOKUP(tbl_明細[[#This Row],[商品ID]],商品マスタ[商品連番],商品マスタ[税率],"",0,1)</f>
        <v/>
      </c>
      <c r="O105" s="266" t="n"/>
      <c r="P105" s="209" t="n"/>
      <c r="Q105" s="265" t="n"/>
      <c r="R105" s="265" t="n"/>
      <c r="S105" s="209" t="n"/>
      <c r="T105" s="209" t="n"/>
      <c r="U105" s="267" t="n"/>
      <c r="V105" s="267" t="n"/>
      <c r="W105" s="268" t="n"/>
      <c r="X105" s="306">
        <f>tbl_明細[[#This Row],[仕入価格]]*tbl_明細[[#This Row],[数量]]+tbl_明細[[#This Row],[仕入価格（M)]]*tbl_明細[[#This Row],[数量（M)]]</f>
        <v/>
      </c>
      <c r="Y105" s="306">
        <f>tbl_明細[[#This Row],[販売価格（売値）]]*tbl_明細[[#This Row],[数量]]+tbl_明細[[#This Row],[販売価格（M)]]*tbl_明細[[#This Row],[数量（M)]]</f>
        <v/>
      </c>
      <c r="Z105" s="307">
        <f>_xlfn.XLOOKUP(tbl_明細[[#This Row],[案件番号]],tbl_案件追跡[案件番号],tbl_案件追跡[受注],"",0,1)</f>
        <v/>
      </c>
      <c r="AA105" s="228">
        <f>tbl_明細[[#This Row],[販売価格（売値）]]+tbl_明細[[#This Row],[販売価格（M)]]</f>
        <v/>
      </c>
      <c r="AB105" s="261">
        <f>tbl_明細[[#This Row],[販売価格（売値）]]*1.08+tbl_明細[[#This Row],[販売価格（M)]]*1.08</f>
        <v/>
      </c>
    </row>
    <row r="106">
      <c r="A106" s="212" t="inlineStr">
        <is>
          <t>2603-1004-S01</t>
        </is>
      </c>
      <c r="B106" s="77">
        <f>IF(ISBLANK(tbl_明細[[#This Row],[案件番号]]),"",COUNTIFS($A$3:A106,tbl_明細[[#This Row],[案件番号]],$AA$3:AA106,"&gt;0"))</f>
        <v/>
      </c>
      <c r="C106" s="209">
        <f>COUNTIFS($A$3:A106,tbl_明細[[#This Row],[案件番号]],$F$3:F106,tbl_明細[[#This Row],[仕入先]])</f>
        <v/>
      </c>
      <c r="D106" s="77">
        <f>_xlfn.XLOOKUP(tbl_明細[[#This Row],[案件番号]],tbl_採番[案件番号],tbl_採番[顧客],"",0,1)</f>
        <v/>
      </c>
      <c r="E106" s="209" t="inlineStr">
        <is>
          <t>PRD_SNJ_SKK_0003_01</t>
        </is>
      </c>
      <c r="F106" s="118">
        <f>IF(ISBLANK(tbl_明細[[#This Row],[仕入先（M)]]),_xlfn.XLOOKUP(tbl_明細[[#This Row],[商品ID]],商品マスタ[商品連番],商品マスタ[仕入先],"",0,1),tbl_明細[[#This Row],[仕入先（M)]])</f>
        <v/>
      </c>
      <c r="G106" s="112">
        <f>IF(ISBLANK(tbl_明細[[#This Row],[商品名（M)]]),_xlfn.XLOOKUP(tbl_明細[[#This Row],[商品ID]],商品マスタ[商品連番],商品マスタ[商品名],"",0,),tbl_明細[[#This Row],[商品名（M)]])</f>
        <v/>
      </c>
      <c r="H106" s="80">
        <f>IF(ISBLANK(tbl_明細[[#This Row],[仕入価格（M)]]),_xlfn.XLOOKUP(tbl_明細[[#This Row],[商品ID]],商品マスタ[商品連番],商品マスタ[仕入
単価],"",0,1),tbl_明細[[#This Row],[仕入価格（M)]])</f>
        <v/>
      </c>
      <c r="I106" s="80">
        <f>_xlfn.XLOOKUP(tbl_明細[[#This Row],[商品ID]],商品マスタ[商品連番],商品マスタ[国内定価
（15％）],"",0,1)</f>
        <v/>
      </c>
      <c r="J106" s="265" t="n">
        <v>400</v>
      </c>
      <c r="K106" s="209" t="n">
        <v>20</v>
      </c>
      <c r="L106" s="77">
        <f>_xlfn.XLOOKUP(tbl_明細[[#This Row],[商品ID]],商品マスタ[商品連番],商品マスタ[単位],"",0,1)</f>
        <v/>
      </c>
      <c r="M106" s="249">
        <f>1-tbl_明細[[#This Row],[仕入価格]]/tbl_明細[[#This Row],[販売価格（売値）]]</f>
        <v/>
      </c>
      <c r="N106" s="189">
        <f>_xlfn.XLOOKUP(tbl_明細[[#This Row],[商品ID]],商品マスタ[商品連番],商品マスタ[税率],"",0,1)</f>
        <v/>
      </c>
      <c r="O106" s="266" t="n"/>
      <c r="P106" s="209" t="n"/>
      <c r="Q106" s="265" t="n"/>
      <c r="R106" s="265" t="n"/>
      <c r="S106" s="209" t="n"/>
      <c r="T106" s="209" t="n"/>
      <c r="U106" s="267" t="n"/>
      <c r="V106" s="267" t="n"/>
      <c r="W106" s="268" t="n"/>
      <c r="X106" s="306">
        <f>tbl_明細[[#This Row],[仕入価格]]*tbl_明細[[#This Row],[数量]]+tbl_明細[[#This Row],[仕入価格（M)]]*tbl_明細[[#This Row],[数量（M)]]</f>
        <v/>
      </c>
      <c r="Y106" s="306">
        <f>tbl_明細[[#This Row],[販売価格（売値）]]*tbl_明細[[#This Row],[数量]]+tbl_明細[[#This Row],[販売価格（M)]]*tbl_明細[[#This Row],[数量（M)]]</f>
        <v/>
      </c>
      <c r="Z106" s="307">
        <f>_xlfn.XLOOKUP(tbl_明細[[#This Row],[案件番号]],tbl_案件追跡[案件番号],tbl_案件追跡[受注],"",0,1)</f>
        <v/>
      </c>
      <c r="AA106" s="228">
        <f>tbl_明細[[#This Row],[販売価格（売値）]]+tbl_明細[[#This Row],[販売価格（M)]]</f>
        <v/>
      </c>
      <c r="AB106" s="261">
        <f>tbl_明細[[#This Row],[販売価格（売値）]]*1.08+tbl_明細[[#This Row],[販売価格（M)]]*1.08</f>
        <v/>
      </c>
    </row>
    <row r="107">
      <c r="A107" s="212" t="inlineStr">
        <is>
          <t>2603-1004-S01</t>
        </is>
      </c>
      <c r="B107" s="77">
        <f>IF(ISBLANK(tbl_明細[[#This Row],[案件番号]]),"",COUNTIFS($A$3:A107,tbl_明細[[#This Row],[案件番号]],$AA$3:AA107,"&gt;0"))</f>
        <v/>
      </c>
      <c r="C107" s="209">
        <f>COUNTIFS($A$3:A107,tbl_明細[[#This Row],[案件番号]],$F$3:F107,tbl_明細[[#This Row],[仕入先]])</f>
        <v/>
      </c>
      <c r="D107" s="77">
        <f>_xlfn.XLOOKUP(tbl_明細[[#This Row],[案件番号]],tbl_採番[案件番号],tbl_採番[顧客],"",0,1)</f>
        <v/>
      </c>
      <c r="E107" s="209" t="inlineStr">
        <is>
          <t>PRD_SNJ_SKK_0011_01</t>
        </is>
      </c>
      <c r="F107" s="118">
        <f>IF(ISBLANK(tbl_明細[[#This Row],[仕入先（M)]]),_xlfn.XLOOKUP(tbl_明細[[#This Row],[商品ID]],商品マスタ[商品連番],商品マスタ[仕入先],"",0,1),tbl_明細[[#This Row],[仕入先（M)]])</f>
        <v/>
      </c>
      <c r="G107" s="112">
        <f>IF(ISBLANK(tbl_明細[[#This Row],[商品名（M)]]),_xlfn.XLOOKUP(tbl_明細[[#This Row],[商品ID]],商品マスタ[商品連番],商品マスタ[商品名],"",0,),tbl_明細[[#This Row],[商品名（M)]])</f>
        <v/>
      </c>
      <c r="H107" s="80">
        <f>IF(ISBLANK(tbl_明細[[#This Row],[仕入価格（M)]]),_xlfn.XLOOKUP(tbl_明細[[#This Row],[商品ID]],商品マスタ[商品連番],商品マスタ[仕入
単価],"",0,1),tbl_明細[[#This Row],[仕入価格（M)]])</f>
        <v/>
      </c>
      <c r="I107" s="80">
        <f>_xlfn.XLOOKUP(tbl_明細[[#This Row],[商品ID]],商品マスタ[商品連番],商品マスタ[国内定価
（15％）],"",0,1)</f>
        <v/>
      </c>
      <c r="J107" s="265" t="n">
        <v>320</v>
      </c>
      <c r="K107" s="209" t="n">
        <v>20</v>
      </c>
      <c r="L107" s="77">
        <f>_xlfn.XLOOKUP(tbl_明細[[#This Row],[商品ID]],商品マスタ[商品連番],商品マスタ[単位],"",0,1)</f>
        <v/>
      </c>
      <c r="M107" s="249">
        <f>1-tbl_明細[[#This Row],[仕入価格]]/tbl_明細[[#This Row],[販売価格（売値）]]</f>
        <v/>
      </c>
      <c r="N107" s="189">
        <f>_xlfn.XLOOKUP(tbl_明細[[#This Row],[商品ID]],商品マスタ[商品連番],商品マスタ[税率],"",0,1)</f>
        <v/>
      </c>
      <c r="O107" s="266" t="n"/>
      <c r="P107" s="209" t="n"/>
      <c r="Q107" s="265" t="n"/>
      <c r="R107" s="265" t="n"/>
      <c r="S107" s="209" t="n"/>
      <c r="T107" s="209" t="n"/>
      <c r="U107" s="267" t="n"/>
      <c r="V107" s="267" t="n"/>
      <c r="W107" s="268" t="n"/>
      <c r="X107" s="306">
        <f>tbl_明細[[#This Row],[仕入価格]]*tbl_明細[[#This Row],[数量]]+tbl_明細[[#This Row],[仕入価格（M)]]*tbl_明細[[#This Row],[数量（M)]]</f>
        <v/>
      </c>
      <c r="Y107" s="306">
        <f>tbl_明細[[#This Row],[販売価格（売値）]]*tbl_明細[[#This Row],[数量]]+tbl_明細[[#This Row],[販売価格（M)]]*tbl_明細[[#This Row],[数量（M)]]</f>
        <v/>
      </c>
      <c r="Z107" s="307">
        <f>_xlfn.XLOOKUP(tbl_明細[[#This Row],[案件番号]],tbl_案件追跡[案件番号],tbl_案件追跡[受注],"",0,1)</f>
        <v/>
      </c>
      <c r="AA107" s="228">
        <f>tbl_明細[[#This Row],[販売価格（売値）]]+tbl_明細[[#This Row],[販売価格（M)]]</f>
        <v/>
      </c>
      <c r="AB107" s="261">
        <f>tbl_明細[[#This Row],[販売価格（売値）]]*1.08+tbl_明細[[#This Row],[販売価格（M)]]*1.08</f>
        <v/>
      </c>
    </row>
    <row r="108">
      <c r="A108" s="212" t="inlineStr">
        <is>
          <t>2603-1004-S01</t>
        </is>
      </c>
      <c r="B108" s="77">
        <f>IF(ISBLANK(tbl_明細[[#This Row],[案件番号]]),"",COUNTIFS($A$3:A108,tbl_明細[[#This Row],[案件番号]],$AA$3:AA108,"&gt;0"))</f>
        <v/>
      </c>
      <c r="C108" s="209">
        <f>COUNTIFS($A$3:A108,tbl_明細[[#This Row],[案件番号]],$F$3:F108,tbl_明細[[#This Row],[仕入先]])</f>
        <v/>
      </c>
      <c r="D108" s="77">
        <f>_xlfn.XLOOKUP(tbl_明細[[#This Row],[案件番号]],tbl_採番[案件番号],tbl_採番[顧客],"",0,1)</f>
        <v/>
      </c>
      <c r="E108" s="209" t="inlineStr">
        <is>
          <t>other</t>
        </is>
      </c>
      <c r="F108" s="118">
        <f>IF(ISBLANK(tbl_明細[[#This Row],[仕入先（M)]]),_xlfn.XLOOKUP(tbl_明細[[#This Row],[商品ID]],商品マスタ[商品連番],商品マスタ[仕入先],"",0,1),tbl_明細[[#This Row],[仕入先（M)]])</f>
        <v/>
      </c>
      <c r="G108" s="112">
        <f>IF(ISBLANK(tbl_明細[[#This Row],[商品名（M)]]),_xlfn.XLOOKUP(tbl_明細[[#This Row],[商品ID]],商品マスタ[商品連番],商品マスタ[商品名],"",0,),tbl_明細[[#This Row],[商品名（M)]])</f>
        <v/>
      </c>
      <c r="H108" s="80">
        <f>IF(ISBLANK(tbl_明細[[#This Row],[仕入価格（M)]]),_xlfn.XLOOKUP(tbl_明細[[#This Row],[商品ID]],商品マスタ[商品連番],商品マスタ[仕入
単価],"",0,1),tbl_明細[[#This Row],[仕入価格（M)]])</f>
        <v/>
      </c>
      <c r="I108" s="80">
        <f>_xlfn.XLOOKUP(tbl_明細[[#This Row],[商品ID]],商品マスタ[商品連番],商品マスタ[国内定価
（15％）],"",0,1)</f>
        <v/>
      </c>
      <c r="J108" s="265" t="n"/>
      <c r="K108" s="209" t="n"/>
      <c r="L108" s="77">
        <f>_xlfn.XLOOKUP(tbl_明細[[#This Row],[商品ID]],商品マスタ[商品連番],商品マスタ[単位],"",0,1)</f>
        <v/>
      </c>
      <c r="M108" s="249">
        <f>1-tbl_明細[[#This Row],[仕入価格]]/tbl_明細[[#This Row],[販売価格（売値）]]</f>
        <v/>
      </c>
      <c r="N108" s="189">
        <f>_xlfn.XLOOKUP(tbl_明細[[#This Row],[商品ID]],商品マスタ[商品連番],商品マスタ[税率],"",0,1)</f>
        <v/>
      </c>
      <c r="O108" s="266" t="inlineStr">
        <is>
          <t>北海道名阪</t>
        </is>
      </c>
      <c r="P108" s="209" t="inlineStr">
        <is>
          <t>草太郎3個入り</t>
        </is>
      </c>
      <c r="Q108" s="265" t="n"/>
      <c r="R108" s="265" t="n">
        <v>500</v>
      </c>
      <c r="S108" s="209" t="n">
        <v>24</v>
      </c>
      <c r="T108" s="209" t="inlineStr">
        <is>
          <t>個</t>
        </is>
      </c>
      <c r="U108" s="267" t="n">
        <v>0.08</v>
      </c>
      <c r="V108" s="267" t="n"/>
      <c r="W108" s="268" t="n"/>
      <c r="X108" s="306">
        <f>tbl_明細[[#This Row],[仕入価格]]*tbl_明細[[#This Row],[数量]]+tbl_明細[[#This Row],[仕入価格（M)]]*tbl_明細[[#This Row],[数量（M)]]</f>
        <v/>
      </c>
      <c r="Y108" s="306">
        <f>tbl_明細[[#This Row],[販売価格（売値）]]*tbl_明細[[#This Row],[数量]]+tbl_明細[[#This Row],[販売価格（M)]]*tbl_明細[[#This Row],[数量（M)]]</f>
        <v/>
      </c>
      <c r="Z108" s="307">
        <f>_xlfn.XLOOKUP(tbl_明細[[#This Row],[案件番号]],tbl_案件追跡[案件番号],tbl_案件追跡[受注],"",0,1)</f>
        <v/>
      </c>
      <c r="AA108" s="228">
        <f>tbl_明細[[#This Row],[販売価格（売値）]]+tbl_明細[[#This Row],[販売価格（M)]]</f>
        <v/>
      </c>
      <c r="AB108" s="261">
        <f>tbl_明細[[#This Row],[販売価格（売値）]]*1.08+tbl_明細[[#This Row],[販売価格（M)]]*1.08</f>
        <v/>
      </c>
    </row>
    <row r="109">
      <c r="A109" s="212" t="inlineStr">
        <is>
          <t>2603-1004-S01</t>
        </is>
      </c>
      <c r="B109" s="77">
        <f>IF(ISBLANK(tbl_明細[[#This Row],[案件番号]]),"",COUNTIFS($A$3:A109,tbl_明細[[#This Row],[案件番号]],$AA$3:AA109,"&gt;0"))</f>
        <v/>
      </c>
      <c r="C109" s="209">
        <f>COUNTIFS($A$3:A109,tbl_明細[[#This Row],[案件番号]],$F$3:F109,tbl_明細[[#This Row],[仕入先]])</f>
        <v/>
      </c>
      <c r="D109" s="77">
        <f>_xlfn.XLOOKUP(tbl_明細[[#This Row],[案件番号]],tbl_採番[案件番号],tbl_採番[顧客],"",0,1)</f>
        <v/>
      </c>
      <c r="E109" s="209" t="inlineStr">
        <is>
          <t>other</t>
        </is>
      </c>
      <c r="F109" s="118">
        <f>IF(ISBLANK(tbl_明細[[#This Row],[仕入先（M)]]),_xlfn.XLOOKUP(tbl_明細[[#This Row],[商品ID]],商品マスタ[商品連番],商品マスタ[仕入先],"",0,1),tbl_明細[[#This Row],[仕入先（M)]])</f>
        <v/>
      </c>
      <c r="G109" s="112">
        <f>IF(ISBLANK(tbl_明細[[#This Row],[商品名（M)]]),_xlfn.XLOOKUP(tbl_明細[[#This Row],[商品ID]],商品マスタ[商品連番],商品マスタ[商品名],"",0,),tbl_明細[[#This Row],[商品名（M)]])</f>
        <v/>
      </c>
      <c r="H109" s="80">
        <f>IF(ISBLANK(tbl_明細[[#This Row],[仕入価格（M)]]),_xlfn.XLOOKUP(tbl_明細[[#This Row],[商品ID]],商品マスタ[商品連番],商品マスタ[仕入
単価],"",0,1),tbl_明細[[#This Row],[仕入価格（M)]])</f>
        <v/>
      </c>
      <c r="I109" s="80">
        <f>_xlfn.XLOOKUP(tbl_明細[[#This Row],[商品ID]],商品マスタ[商品連番],商品マスタ[国内定価
（15％）],"",0,1)</f>
        <v/>
      </c>
      <c r="J109" s="265" t="n"/>
      <c r="K109" s="209" t="n"/>
      <c r="L109" s="77">
        <f>_xlfn.XLOOKUP(tbl_明細[[#This Row],[商品ID]],商品マスタ[商品連番],商品マスタ[単位],"",0,1)</f>
        <v/>
      </c>
      <c r="M109" s="249">
        <f>1-tbl_明細[[#This Row],[仕入価格]]/tbl_明細[[#This Row],[販売価格（売値）]]</f>
        <v/>
      </c>
      <c r="N109" s="189">
        <f>_xlfn.XLOOKUP(tbl_明細[[#This Row],[商品ID]],商品マスタ[商品連番],商品マスタ[税率],"",0,1)</f>
        <v/>
      </c>
      <c r="O109" s="266" t="inlineStr">
        <is>
          <t>北海道名阪</t>
        </is>
      </c>
      <c r="P109" s="209" t="inlineStr">
        <is>
          <t>千壽栗3個入り</t>
        </is>
      </c>
      <c r="Q109" s="265" t="n"/>
      <c r="R109" s="265" t="n">
        <v>650</v>
      </c>
      <c r="S109" s="209" t="n">
        <v>24</v>
      </c>
      <c r="T109" s="209" t="inlineStr">
        <is>
          <t>個</t>
        </is>
      </c>
      <c r="U109" s="267" t="n">
        <v>0.08</v>
      </c>
      <c r="V109" s="267" t="n"/>
      <c r="W109" s="268" t="n"/>
      <c r="X109" s="306">
        <f>tbl_明細[[#This Row],[仕入価格]]*tbl_明細[[#This Row],[数量]]+tbl_明細[[#This Row],[仕入価格（M)]]*tbl_明細[[#This Row],[数量（M)]]</f>
        <v/>
      </c>
      <c r="Y109" s="306">
        <f>tbl_明細[[#This Row],[販売価格（売値）]]*tbl_明細[[#This Row],[数量]]+tbl_明細[[#This Row],[販売価格（M)]]*tbl_明細[[#This Row],[数量（M)]]</f>
        <v/>
      </c>
      <c r="Z109" s="307">
        <f>_xlfn.XLOOKUP(tbl_明細[[#This Row],[案件番号]],tbl_案件追跡[案件番号],tbl_案件追跡[受注],"",0,1)</f>
        <v/>
      </c>
      <c r="AA109" s="228">
        <f>tbl_明細[[#This Row],[販売価格（売値）]]+tbl_明細[[#This Row],[販売価格（M)]]</f>
        <v/>
      </c>
      <c r="AB109" s="261">
        <f>tbl_明細[[#This Row],[販売価格（売値）]]*1.08+tbl_明細[[#This Row],[販売価格（M)]]*1.08</f>
        <v/>
      </c>
    </row>
    <row r="110">
      <c r="A110" s="212" t="inlineStr">
        <is>
          <t>2603-1004-S01</t>
        </is>
      </c>
      <c r="B110" s="77">
        <f>IF(ISBLANK(tbl_明細[[#This Row],[案件番号]]),"",COUNTIFS($A$3:A110,tbl_明細[[#This Row],[案件番号]],$AA$3:AA110,"&gt;0"))</f>
        <v/>
      </c>
      <c r="C110" s="209">
        <f>COUNTIFS($A$3:A110,tbl_明細[[#This Row],[案件番号]],$F$3:F110,tbl_明細[[#This Row],[仕入先]])</f>
        <v/>
      </c>
      <c r="D110" s="77">
        <f>_xlfn.XLOOKUP(tbl_明細[[#This Row],[案件番号]],tbl_採番[案件番号],tbl_採番[顧客],"",0,1)</f>
        <v/>
      </c>
      <c r="E110" s="209" t="inlineStr">
        <is>
          <t>PRD_SNJ_TSF_0001_01</t>
        </is>
      </c>
      <c r="F110" s="118">
        <f>IF(ISBLANK(tbl_明細[[#This Row],[仕入先（M)]]),_xlfn.XLOOKUP(tbl_明細[[#This Row],[商品ID]],商品マスタ[商品連番],商品マスタ[仕入先],"",0,1),tbl_明細[[#This Row],[仕入先（M)]])</f>
        <v/>
      </c>
      <c r="G110" s="112">
        <f>IF(ISBLANK(tbl_明細[[#This Row],[商品名（M)]]),_xlfn.XLOOKUP(tbl_明細[[#This Row],[商品ID]],商品マスタ[商品連番],商品マスタ[商品名],"",0,),tbl_明細[[#This Row],[商品名（M)]])</f>
        <v/>
      </c>
      <c r="H110" s="80">
        <f>IF(ISBLANK(tbl_明細[[#This Row],[仕入価格（M)]]),_xlfn.XLOOKUP(tbl_明細[[#This Row],[商品ID]],商品マスタ[商品連番],商品マスタ[仕入
単価],"",0,1),tbl_明細[[#This Row],[仕入価格（M)]])</f>
        <v/>
      </c>
      <c r="I110" s="80">
        <f>_xlfn.XLOOKUP(tbl_明細[[#This Row],[商品ID]],商品マスタ[商品連番],商品マスタ[国内定価
（15％）],"",0,1)</f>
        <v/>
      </c>
      <c r="J110" s="265" t="n">
        <v>741</v>
      </c>
      <c r="K110" s="209" t="n">
        <v>12</v>
      </c>
      <c r="L110" s="77">
        <f>_xlfn.XLOOKUP(tbl_明細[[#This Row],[商品ID]],商品マスタ[商品連番],商品マスタ[単位],"",0,1)</f>
        <v/>
      </c>
      <c r="M110" s="249">
        <f>1-tbl_明細[[#This Row],[仕入価格]]/tbl_明細[[#This Row],[販売価格（売値）]]</f>
        <v/>
      </c>
      <c r="N110" s="189">
        <f>_xlfn.XLOOKUP(tbl_明細[[#This Row],[商品ID]],商品マスタ[商品連番],商品マスタ[税率],"",0,1)</f>
        <v/>
      </c>
      <c r="O110" s="266" t="n"/>
      <c r="P110" s="209" t="n"/>
      <c r="Q110" s="265" t="n"/>
      <c r="R110" s="265" t="n"/>
      <c r="S110" s="209" t="n"/>
      <c r="T110" s="209" t="n"/>
      <c r="U110" s="267" t="n"/>
      <c r="V110" s="267" t="n"/>
      <c r="W110" s="268" t="n"/>
      <c r="X110" s="306">
        <f>tbl_明細[[#This Row],[仕入価格]]*tbl_明細[[#This Row],[数量]]+tbl_明細[[#This Row],[仕入価格（M)]]*tbl_明細[[#This Row],[数量（M)]]</f>
        <v/>
      </c>
      <c r="Y110" s="306">
        <f>tbl_明細[[#This Row],[販売価格（売値）]]*tbl_明細[[#This Row],[数量]]+tbl_明細[[#This Row],[販売価格（M)]]*tbl_明細[[#This Row],[数量（M)]]</f>
        <v/>
      </c>
      <c r="Z110" s="307">
        <f>_xlfn.XLOOKUP(tbl_明細[[#This Row],[案件番号]],tbl_案件追跡[案件番号],tbl_案件追跡[受注],"",0,1)</f>
        <v/>
      </c>
      <c r="AA110" s="228">
        <f>tbl_明細[[#This Row],[販売価格（売値）]]+tbl_明細[[#This Row],[販売価格（M)]]</f>
        <v/>
      </c>
      <c r="AB110" s="261">
        <f>tbl_明細[[#This Row],[販売価格（売値）]]*1.08+tbl_明細[[#This Row],[販売価格（M)]]*1.08</f>
        <v/>
      </c>
    </row>
    <row r="111">
      <c r="A111" s="212" t="inlineStr">
        <is>
          <t>2603-1004-S01</t>
        </is>
      </c>
      <c r="B111" s="77">
        <f>IF(ISBLANK(tbl_明細[[#This Row],[案件番号]]),"",COUNTIFS($A$3:A111,tbl_明細[[#This Row],[案件番号]],$AA$3:AA111,"&gt;0"))</f>
        <v/>
      </c>
      <c r="C111" s="209">
        <f>COUNTIFS($A$3:A111,tbl_明細[[#This Row],[案件番号]],$F$3:F111,tbl_明細[[#This Row],[仕入先]])</f>
        <v/>
      </c>
      <c r="D111" s="77">
        <f>_xlfn.XLOOKUP(tbl_明細[[#This Row],[案件番号]],tbl_採番[案件番号],tbl_採番[顧客],"",0,1)</f>
        <v/>
      </c>
      <c r="E111" s="209" t="inlineStr">
        <is>
          <t>PRD_SNJ_TSF_0002_01</t>
        </is>
      </c>
      <c r="F111" s="118">
        <f>IF(ISBLANK(tbl_明細[[#This Row],[仕入先（M)]]),_xlfn.XLOOKUP(tbl_明細[[#This Row],[商品ID]],商品マスタ[商品連番],商品マスタ[仕入先],"",0,1),tbl_明細[[#This Row],[仕入先（M)]])</f>
        <v/>
      </c>
      <c r="G111" s="112">
        <f>IF(ISBLANK(tbl_明細[[#This Row],[商品名（M)]]),_xlfn.XLOOKUP(tbl_明細[[#This Row],[商品ID]],商品マスタ[商品連番],商品マスタ[商品名],"",0,),tbl_明細[[#This Row],[商品名（M)]])</f>
        <v/>
      </c>
      <c r="H111" s="80">
        <f>IF(ISBLANK(tbl_明細[[#This Row],[仕入価格（M)]]),_xlfn.XLOOKUP(tbl_明細[[#This Row],[商品ID]],商品マスタ[商品連番],商品マスタ[仕入
単価],"",0,1),tbl_明細[[#This Row],[仕入価格（M)]])</f>
        <v/>
      </c>
      <c r="I111" s="80">
        <f>_xlfn.XLOOKUP(tbl_明細[[#This Row],[商品ID]],商品マスタ[商品連番],商品マスタ[国内定価
（15％）],"",0,1)</f>
        <v/>
      </c>
      <c r="J111" s="265" t="n">
        <v>741</v>
      </c>
      <c r="K111" s="209" t="n">
        <v>12</v>
      </c>
      <c r="L111" s="77">
        <f>_xlfn.XLOOKUP(tbl_明細[[#This Row],[商品ID]],商品マスタ[商品連番],商品マスタ[単位],"",0,1)</f>
        <v/>
      </c>
      <c r="M111" s="249">
        <f>1-tbl_明細[[#This Row],[仕入価格]]/tbl_明細[[#This Row],[販売価格（売値）]]</f>
        <v/>
      </c>
      <c r="N111" s="189">
        <f>_xlfn.XLOOKUP(tbl_明細[[#This Row],[商品ID]],商品マスタ[商品連番],商品マスタ[税率],"",0,1)</f>
        <v/>
      </c>
      <c r="O111" s="266" t="n"/>
      <c r="P111" s="209" t="n"/>
      <c r="Q111" s="265" t="n"/>
      <c r="R111" s="265" t="n"/>
      <c r="S111" s="209" t="n"/>
      <c r="T111" s="209" t="n"/>
      <c r="U111" s="267" t="n"/>
      <c r="V111" s="267" t="n"/>
      <c r="W111" s="268" t="n"/>
      <c r="X111" s="306">
        <f>tbl_明細[[#This Row],[仕入価格]]*tbl_明細[[#This Row],[数量]]+tbl_明細[[#This Row],[仕入価格（M)]]*tbl_明細[[#This Row],[数量（M)]]</f>
        <v/>
      </c>
      <c r="Y111" s="306">
        <f>tbl_明細[[#This Row],[販売価格（売値）]]*tbl_明細[[#This Row],[数量]]+tbl_明細[[#This Row],[販売価格（M)]]*tbl_明細[[#This Row],[数量（M)]]</f>
        <v/>
      </c>
      <c r="Z111" s="307">
        <f>_xlfn.XLOOKUP(tbl_明細[[#This Row],[案件番号]],tbl_案件追跡[案件番号],tbl_案件追跡[受注],"",0,1)</f>
        <v/>
      </c>
      <c r="AA111" s="228">
        <f>tbl_明細[[#This Row],[販売価格（売値）]]+tbl_明細[[#This Row],[販売価格（M)]]</f>
        <v/>
      </c>
      <c r="AB111" s="261">
        <f>tbl_明細[[#This Row],[販売価格（売値）]]*1.08+tbl_明細[[#This Row],[販売価格（M)]]*1.08</f>
        <v/>
      </c>
    </row>
    <row r="112">
      <c r="A112" s="212" t="inlineStr">
        <is>
          <t>2603-1004-S01</t>
        </is>
      </c>
      <c r="B112" s="77">
        <f>IF(ISBLANK(tbl_明細[[#This Row],[案件番号]]),"",COUNTIFS($A$3:A112,tbl_明細[[#This Row],[案件番号]],$AA$3:AA112,"&gt;0"))</f>
        <v/>
      </c>
      <c r="C112" s="209">
        <f>COUNTIFS($A$3:A112,tbl_明細[[#This Row],[案件番号]],$F$3:F112,tbl_明細[[#This Row],[仕入先]])</f>
        <v/>
      </c>
      <c r="D112" s="77">
        <f>_xlfn.XLOOKUP(tbl_明細[[#This Row],[案件番号]],tbl_採番[案件番号],tbl_採番[顧客],"",0,1)</f>
        <v/>
      </c>
      <c r="E112" s="209" t="inlineStr">
        <is>
          <t>PRD_SNJ_TSF_0003_01</t>
        </is>
      </c>
      <c r="F112" s="118">
        <f>IF(ISBLANK(tbl_明細[[#This Row],[仕入先（M)]]),_xlfn.XLOOKUP(tbl_明細[[#This Row],[商品ID]],商品マスタ[商品連番],商品マスタ[仕入先],"",0,1),tbl_明細[[#This Row],[仕入先（M)]])</f>
        <v/>
      </c>
      <c r="G112" s="112">
        <f>IF(ISBLANK(tbl_明細[[#This Row],[商品名（M)]]),_xlfn.XLOOKUP(tbl_明細[[#This Row],[商品ID]],商品マスタ[商品連番],商品マスタ[商品名],"",0,),tbl_明細[[#This Row],[商品名（M)]])</f>
        <v/>
      </c>
      <c r="H112" s="80">
        <f>IF(ISBLANK(tbl_明細[[#This Row],[仕入価格（M)]]),_xlfn.XLOOKUP(tbl_明細[[#This Row],[商品ID]],商品マスタ[商品連番],商品マスタ[仕入
単価],"",0,1),tbl_明細[[#This Row],[仕入価格（M)]])</f>
        <v/>
      </c>
      <c r="I112" s="80">
        <f>_xlfn.XLOOKUP(tbl_明細[[#This Row],[商品ID]],商品マスタ[商品連番],商品マスタ[国内定価
（15％）],"",0,1)</f>
        <v/>
      </c>
      <c r="J112" s="265" t="n">
        <v>741</v>
      </c>
      <c r="K112" s="209" t="n">
        <v>8</v>
      </c>
      <c r="L112" s="77">
        <f>_xlfn.XLOOKUP(tbl_明細[[#This Row],[商品ID]],商品マスタ[商品連番],商品マスタ[単位],"",0,1)</f>
        <v/>
      </c>
      <c r="M112" s="249">
        <f>1-tbl_明細[[#This Row],[仕入価格]]/tbl_明細[[#This Row],[販売価格（売値）]]</f>
        <v/>
      </c>
      <c r="N112" s="189">
        <f>_xlfn.XLOOKUP(tbl_明細[[#This Row],[商品ID]],商品マスタ[商品連番],商品マスタ[税率],"",0,1)</f>
        <v/>
      </c>
      <c r="O112" s="266" t="n"/>
      <c r="P112" s="209" t="n"/>
      <c r="Q112" s="265" t="n"/>
      <c r="R112" s="265" t="n"/>
      <c r="S112" s="209" t="n"/>
      <c r="T112" s="209" t="n"/>
      <c r="U112" s="267" t="n"/>
      <c r="V112" s="267" t="n"/>
      <c r="W112" s="268" t="n"/>
      <c r="X112" s="306">
        <f>tbl_明細[[#This Row],[仕入価格]]*tbl_明細[[#This Row],[数量]]+tbl_明細[[#This Row],[仕入価格（M)]]*tbl_明細[[#This Row],[数量（M)]]</f>
        <v/>
      </c>
      <c r="Y112" s="306">
        <f>tbl_明細[[#This Row],[販売価格（売値）]]*tbl_明細[[#This Row],[数量]]+tbl_明細[[#This Row],[販売価格（M)]]*tbl_明細[[#This Row],[数量（M)]]</f>
        <v/>
      </c>
      <c r="Z112" s="307">
        <f>_xlfn.XLOOKUP(tbl_明細[[#This Row],[案件番号]],tbl_案件追跡[案件番号],tbl_案件追跡[受注],"",0,1)</f>
        <v/>
      </c>
      <c r="AA112" s="228">
        <f>tbl_明細[[#This Row],[販売価格（売値）]]+tbl_明細[[#This Row],[販売価格（M)]]</f>
        <v/>
      </c>
      <c r="AB112" s="261">
        <f>tbl_明細[[#This Row],[販売価格（売値）]]*1.08+tbl_明細[[#This Row],[販売価格（M)]]*1.08</f>
        <v/>
      </c>
    </row>
    <row r="113">
      <c r="A113" s="212" t="inlineStr">
        <is>
          <t>2603-1004-S01</t>
        </is>
      </c>
      <c r="B113" s="77">
        <f>IF(ISBLANK(tbl_明細[[#This Row],[案件番号]]),"",COUNTIFS($A$3:A113,tbl_明細[[#This Row],[案件番号]],$AA$3:AA113,"&gt;0"))</f>
        <v/>
      </c>
      <c r="C113" s="209">
        <f>COUNTIFS($A$3:A113,tbl_明細[[#This Row],[案件番号]],$F$3:F113,tbl_明細[[#This Row],[仕入先]])</f>
        <v/>
      </c>
      <c r="D113" s="77">
        <f>_xlfn.XLOOKUP(tbl_明細[[#This Row],[案件番号]],tbl_採番[案件番号],tbl_採番[顧客],"",0,1)</f>
        <v/>
      </c>
      <c r="E113" s="209" t="inlineStr">
        <is>
          <t>PRD_SNJ_TSF_0004_01</t>
        </is>
      </c>
      <c r="F113" s="118">
        <f>IF(ISBLANK(tbl_明細[[#This Row],[仕入先（M)]]),_xlfn.XLOOKUP(tbl_明細[[#This Row],[商品ID]],商品マスタ[商品連番],商品マスタ[仕入先],"",0,1),tbl_明細[[#This Row],[仕入先（M)]])</f>
        <v/>
      </c>
      <c r="G113" s="112">
        <f>IF(ISBLANK(tbl_明細[[#This Row],[商品名（M)]]),_xlfn.XLOOKUP(tbl_明細[[#This Row],[商品ID]],商品マスタ[商品連番],商品マスタ[商品名],"",0,),tbl_明細[[#This Row],[商品名（M)]])</f>
        <v/>
      </c>
      <c r="H113" s="80">
        <f>IF(ISBLANK(tbl_明細[[#This Row],[仕入価格（M)]]),_xlfn.XLOOKUP(tbl_明細[[#This Row],[商品ID]],商品マスタ[商品連番],商品マスタ[仕入
単価],"",0,1),tbl_明細[[#This Row],[仕入価格（M)]])</f>
        <v/>
      </c>
      <c r="I113" s="80">
        <f>_xlfn.XLOOKUP(tbl_明細[[#This Row],[商品ID]],商品マスタ[商品連番],商品マスタ[国内定価
（15％）],"",0,1)</f>
        <v/>
      </c>
      <c r="J113" s="265" t="n">
        <v>741</v>
      </c>
      <c r="K113" s="209" t="n">
        <v>8</v>
      </c>
      <c r="L113" s="77">
        <f>_xlfn.XLOOKUP(tbl_明細[[#This Row],[商品ID]],商品マスタ[商品連番],商品マスタ[単位],"",0,1)</f>
        <v/>
      </c>
      <c r="M113" s="249">
        <f>1-tbl_明細[[#This Row],[仕入価格]]/tbl_明細[[#This Row],[販売価格（売値）]]</f>
        <v/>
      </c>
      <c r="N113" s="189">
        <f>_xlfn.XLOOKUP(tbl_明細[[#This Row],[商品ID]],商品マスタ[商品連番],商品マスタ[税率],"",0,1)</f>
        <v/>
      </c>
      <c r="O113" s="266" t="n"/>
      <c r="P113" s="209" t="n"/>
      <c r="Q113" s="265" t="n"/>
      <c r="R113" s="265" t="n"/>
      <c r="S113" s="209" t="n"/>
      <c r="T113" s="209" t="n"/>
      <c r="U113" s="267" t="n"/>
      <c r="V113" s="267" t="n"/>
      <c r="W113" s="268" t="n"/>
      <c r="X113" s="306">
        <f>tbl_明細[[#This Row],[仕入価格]]*tbl_明細[[#This Row],[数量]]+tbl_明細[[#This Row],[仕入価格（M)]]*tbl_明細[[#This Row],[数量（M)]]</f>
        <v/>
      </c>
      <c r="Y113" s="306">
        <f>tbl_明細[[#This Row],[販売価格（売値）]]*tbl_明細[[#This Row],[数量]]+tbl_明細[[#This Row],[販売価格（M)]]*tbl_明細[[#This Row],[数量（M)]]</f>
        <v/>
      </c>
      <c r="Z113" s="307">
        <f>_xlfn.XLOOKUP(tbl_明細[[#This Row],[案件番号]],tbl_案件追跡[案件番号],tbl_案件追跡[受注],"",0,1)</f>
        <v/>
      </c>
      <c r="AA113" s="228">
        <f>tbl_明細[[#This Row],[販売価格（売値）]]+tbl_明細[[#This Row],[販売価格（M)]]</f>
        <v/>
      </c>
      <c r="AB113" s="261">
        <f>tbl_明細[[#This Row],[販売価格（売値）]]*1.08+tbl_明細[[#This Row],[販売価格（M)]]*1.08</f>
        <v/>
      </c>
    </row>
    <row r="114">
      <c r="A114" s="212" t="inlineStr">
        <is>
          <t>2603-1004-S01</t>
        </is>
      </c>
      <c r="B114" s="77">
        <f>IF(ISBLANK(tbl_明細[[#This Row],[案件番号]]),"",COUNTIFS($A$3:A114,tbl_明細[[#This Row],[案件番号]],$AA$3:AA114,"&gt;0"))</f>
        <v/>
      </c>
      <c r="C114" s="209">
        <f>COUNTIFS($A$3:A114,tbl_明細[[#This Row],[案件番号]],$F$3:F114,tbl_明細[[#This Row],[仕入先]])</f>
        <v/>
      </c>
      <c r="D114" s="77">
        <f>_xlfn.XLOOKUP(tbl_明細[[#This Row],[案件番号]],tbl_採番[案件番号],tbl_採番[顧客],"",0,1)</f>
        <v/>
      </c>
      <c r="E114" s="209" t="inlineStr">
        <is>
          <t>PRD_SNJ_TSF_0005_01</t>
        </is>
      </c>
      <c r="F114" s="118">
        <f>IF(ISBLANK(tbl_明細[[#This Row],[仕入先（M)]]),_xlfn.XLOOKUP(tbl_明細[[#This Row],[商品ID]],商品マスタ[商品連番],商品マスタ[仕入先],"",0,1),tbl_明細[[#This Row],[仕入先（M)]])</f>
        <v/>
      </c>
      <c r="G114" s="112">
        <f>IF(ISBLANK(tbl_明細[[#This Row],[商品名（M)]]),_xlfn.XLOOKUP(tbl_明細[[#This Row],[商品ID]],商品マスタ[商品連番],商品マスタ[商品名],"",0,),tbl_明細[[#This Row],[商品名（M)]])</f>
        <v/>
      </c>
      <c r="H114" s="80">
        <f>IF(ISBLANK(tbl_明細[[#This Row],[仕入価格（M)]]),_xlfn.XLOOKUP(tbl_明細[[#This Row],[商品ID]],商品マスタ[商品連番],商品マスタ[仕入
単価],"",0,1),tbl_明細[[#This Row],[仕入価格（M)]])</f>
        <v/>
      </c>
      <c r="I114" s="80">
        <f>_xlfn.XLOOKUP(tbl_明細[[#This Row],[商品ID]],商品マスタ[商品連番],商品マスタ[国内定価
（15％）],"",0,1)</f>
        <v/>
      </c>
      <c r="J114" s="265" t="n">
        <v>741</v>
      </c>
      <c r="K114" s="209" t="n">
        <v>8</v>
      </c>
      <c r="L114" s="77">
        <f>_xlfn.XLOOKUP(tbl_明細[[#This Row],[商品ID]],商品マスタ[商品連番],商品マスタ[単位],"",0,1)</f>
        <v/>
      </c>
      <c r="M114" s="249">
        <f>1-tbl_明細[[#This Row],[仕入価格]]/tbl_明細[[#This Row],[販売価格（売値）]]</f>
        <v/>
      </c>
      <c r="N114" s="189">
        <f>_xlfn.XLOOKUP(tbl_明細[[#This Row],[商品ID]],商品マスタ[商品連番],商品マスタ[税率],"",0,1)</f>
        <v/>
      </c>
      <c r="O114" s="266" t="n"/>
      <c r="P114" s="209" t="n"/>
      <c r="Q114" s="265" t="n"/>
      <c r="R114" s="265" t="n"/>
      <c r="S114" s="209" t="n"/>
      <c r="T114" s="209" t="n"/>
      <c r="U114" s="267" t="n"/>
      <c r="V114" s="267" t="n"/>
      <c r="W114" s="268" t="n"/>
      <c r="X114" s="306">
        <f>tbl_明細[[#This Row],[仕入価格]]*tbl_明細[[#This Row],[数量]]+tbl_明細[[#This Row],[仕入価格（M)]]*tbl_明細[[#This Row],[数量（M)]]</f>
        <v/>
      </c>
      <c r="Y114" s="306">
        <f>tbl_明細[[#This Row],[販売価格（売値）]]*tbl_明細[[#This Row],[数量]]+tbl_明細[[#This Row],[販売価格（M)]]*tbl_明細[[#This Row],[数量（M)]]</f>
        <v/>
      </c>
      <c r="Z114" s="307">
        <f>_xlfn.XLOOKUP(tbl_明細[[#This Row],[案件番号]],tbl_案件追跡[案件番号],tbl_案件追跡[受注],"",0,1)</f>
        <v/>
      </c>
      <c r="AA114" s="228">
        <f>tbl_明細[[#This Row],[販売価格（売値）]]+tbl_明細[[#This Row],[販売価格（M)]]</f>
        <v/>
      </c>
      <c r="AB114" s="261">
        <f>tbl_明細[[#This Row],[販売価格（売値）]]*1.08+tbl_明細[[#This Row],[販売価格（M)]]*1.08</f>
        <v/>
      </c>
    </row>
    <row r="115">
      <c r="A115" s="212" t="inlineStr">
        <is>
          <t>2603-1004-S01</t>
        </is>
      </c>
      <c r="B115" s="77">
        <f>IF(ISBLANK(tbl_明細[[#This Row],[案件番号]]),"",COUNTIFS($A$3:A115,tbl_明細[[#This Row],[案件番号]],$AA$3:AA115,"&gt;0"))</f>
        <v/>
      </c>
      <c r="C115" s="209">
        <f>COUNTIFS($A$3:A115,tbl_明細[[#This Row],[案件番号]],$F$3:F115,tbl_明細[[#This Row],[仕入先]])</f>
        <v/>
      </c>
      <c r="D115" s="77">
        <f>_xlfn.XLOOKUP(tbl_明細[[#This Row],[案件番号]],tbl_採番[案件番号],tbl_採番[顧客],"",0,1)</f>
        <v/>
      </c>
      <c r="E115" s="209" t="inlineStr">
        <is>
          <t>PRD_SNJ_TSF_0006_01</t>
        </is>
      </c>
      <c r="F115" s="118">
        <f>IF(ISBLANK(tbl_明細[[#This Row],[仕入先（M)]]),_xlfn.XLOOKUP(tbl_明細[[#This Row],[商品ID]],商品マスタ[商品連番],商品マスタ[仕入先],"",0,1),tbl_明細[[#This Row],[仕入先（M)]])</f>
        <v/>
      </c>
      <c r="G115" s="112">
        <f>IF(ISBLANK(tbl_明細[[#This Row],[商品名（M)]]),_xlfn.XLOOKUP(tbl_明細[[#This Row],[商品ID]],商品マスタ[商品連番],商品マスタ[商品名],"",0,),tbl_明細[[#This Row],[商品名（M)]])</f>
        <v/>
      </c>
      <c r="H115" s="80">
        <f>IF(ISBLANK(tbl_明細[[#This Row],[仕入価格（M)]]),_xlfn.XLOOKUP(tbl_明細[[#This Row],[商品ID]],商品マスタ[商品連番],商品マスタ[仕入
単価],"",0,1),tbl_明細[[#This Row],[仕入価格（M)]])</f>
        <v/>
      </c>
      <c r="I115" s="80">
        <f>_xlfn.XLOOKUP(tbl_明細[[#This Row],[商品ID]],商品マスタ[商品連番],商品マスタ[国内定価
（15％）],"",0,1)</f>
        <v/>
      </c>
      <c r="J115" s="265" t="n">
        <v>782</v>
      </c>
      <c r="K115" s="209" t="n">
        <v>6</v>
      </c>
      <c r="L115" s="77">
        <f>_xlfn.XLOOKUP(tbl_明細[[#This Row],[商品ID]],商品マスタ[商品連番],商品マスタ[単位],"",0,1)</f>
        <v/>
      </c>
      <c r="M115" s="249">
        <f>1-tbl_明細[[#This Row],[仕入価格]]/tbl_明細[[#This Row],[販売価格（売値）]]</f>
        <v/>
      </c>
      <c r="N115" s="189">
        <f>_xlfn.XLOOKUP(tbl_明細[[#This Row],[商品ID]],商品マスタ[商品連番],商品マスタ[税率],"",0,1)</f>
        <v/>
      </c>
      <c r="O115" s="266" t="n"/>
      <c r="P115" s="209" t="n"/>
      <c r="Q115" s="265" t="n"/>
      <c r="R115" s="265" t="n"/>
      <c r="S115" s="209" t="n"/>
      <c r="T115" s="209" t="n"/>
      <c r="U115" s="267" t="n"/>
      <c r="V115" s="267" t="n"/>
      <c r="W115" s="268" t="n"/>
      <c r="X115" s="306">
        <f>tbl_明細[[#This Row],[仕入価格]]*tbl_明細[[#This Row],[数量]]+tbl_明細[[#This Row],[仕入価格（M)]]*tbl_明細[[#This Row],[数量（M)]]</f>
        <v/>
      </c>
      <c r="Y115" s="306">
        <f>tbl_明細[[#This Row],[販売価格（売値）]]*tbl_明細[[#This Row],[数量]]+tbl_明細[[#This Row],[販売価格（M)]]*tbl_明細[[#This Row],[数量（M)]]</f>
        <v/>
      </c>
      <c r="Z115" s="307">
        <f>_xlfn.XLOOKUP(tbl_明細[[#This Row],[案件番号]],tbl_案件追跡[案件番号],tbl_案件追跡[受注],"",0,1)</f>
        <v/>
      </c>
      <c r="AA115" s="228">
        <f>tbl_明細[[#This Row],[販売価格（売値）]]+tbl_明細[[#This Row],[販売価格（M)]]</f>
        <v/>
      </c>
      <c r="AB115" s="261">
        <f>tbl_明細[[#This Row],[販売価格（売値）]]*1.08+tbl_明細[[#This Row],[販売価格（M)]]*1.08</f>
        <v/>
      </c>
    </row>
    <row r="116">
      <c r="A116" s="212" t="inlineStr">
        <is>
          <t>2603-1004-S01</t>
        </is>
      </c>
      <c r="B116" s="77">
        <f>IF(ISBLANK(tbl_明細[[#This Row],[案件番号]]),"",COUNTIFS($A$3:A116,tbl_明細[[#This Row],[案件番号]],$AA$3:AA116,"&gt;0"))</f>
        <v/>
      </c>
      <c r="C116" s="209">
        <f>COUNTIFS($A$3:A116,tbl_明細[[#This Row],[案件番号]],$F$3:F116,tbl_明細[[#This Row],[仕入先]])</f>
        <v/>
      </c>
      <c r="D116" s="77">
        <f>_xlfn.XLOOKUP(tbl_明細[[#This Row],[案件番号]],tbl_採番[案件番号],tbl_採番[顧客],"",0,1)</f>
        <v/>
      </c>
      <c r="E116" s="209" t="inlineStr">
        <is>
          <t>PRD_SNJ_TSF_0007_01</t>
        </is>
      </c>
      <c r="F116" s="118">
        <f>IF(ISBLANK(tbl_明細[[#This Row],[仕入先（M)]]),_xlfn.XLOOKUP(tbl_明細[[#This Row],[商品ID]],商品マスタ[商品連番],商品マスタ[仕入先],"",0,1),tbl_明細[[#This Row],[仕入先（M)]])</f>
        <v/>
      </c>
      <c r="G116" s="112">
        <f>IF(ISBLANK(tbl_明細[[#This Row],[商品名（M)]]),_xlfn.XLOOKUP(tbl_明細[[#This Row],[商品ID]],商品マスタ[商品連番],商品マスタ[商品名],"",0,),tbl_明細[[#This Row],[商品名（M)]])</f>
        <v/>
      </c>
      <c r="H116" s="80">
        <f>IF(ISBLANK(tbl_明細[[#This Row],[仕入価格（M)]]),_xlfn.XLOOKUP(tbl_明細[[#This Row],[商品ID]],商品マスタ[商品連番],商品マスタ[仕入
単価],"",0,1),tbl_明細[[#This Row],[仕入価格（M)]])</f>
        <v/>
      </c>
      <c r="I116" s="80">
        <f>_xlfn.XLOOKUP(tbl_明細[[#This Row],[商品ID]],商品マスタ[商品連番],商品マスタ[国内定価
（15％）],"",0,1)</f>
        <v/>
      </c>
      <c r="J116" s="265" t="n">
        <v>782</v>
      </c>
      <c r="K116" s="209" t="n">
        <v>6</v>
      </c>
      <c r="L116" s="77">
        <f>_xlfn.XLOOKUP(tbl_明細[[#This Row],[商品ID]],商品マスタ[商品連番],商品マスタ[単位],"",0,1)</f>
        <v/>
      </c>
      <c r="M116" s="249">
        <f>1-tbl_明細[[#This Row],[仕入価格]]/tbl_明細[[#This Row],[販売価格（売値）]]</f>
        <v/>
      </c>
      <c r="N116" s="189">
        <f>_xlfn.XLOOKUP(tbl_明細[[#This Row],[商品ID]],商品マスタ[商品連番],商品マスタ[税率],"",0,1)</f>
        <v/>
      </c>
      <c r="O116" s="266" t="n"/>
      <c r="P116" s="209" t="n"/>
      <c r="Q116" s="265" t="n"/>
      <c r="R116" s="265" t="n"/>
      <c r="S116" s="209" t="n"/>
      <c r="T116" s="209" t="n"/>
      <c r="U116" s="267" t="n"/>
      <c r="V116" s="267" t="n"/>
      <c r="W116" s="268" t="n"/>
      <c r="X116" s="306">
        <f>tbl_明細[[#This Row],[仕入価格]]*tbl_明細[[#This Row],[数量]]+tbl_明細[[#This Row],[仕入価格（M)]]*tbl_明細[[#This Row],[数量（M)]]</f>
        <v/>
      </c>
      <c r="Y116" s="306">
        <f>tbl_明細[[#This Row],[販売価格（売値）]]*tbl_明細[[#This Row],[数量]]+tbl_明細[[#This Row],[販売価格（M)]]*tbl_明細[[#This Row],[数量（M)]]</f>
        <v/>
      </c>
      <c r="Z116" s="307">
        <f>_xlfn.XLOOKUP(tbl_明細[[#This Row],[案件番号]],tbl_案件追跡[案件番号],tbl_案件追跡[受注],"",0,1)</f>
        <v/>
      </c>
      <c r="AA116" s="228">
        <f>tbl_明細[[#This Row],[販売価格（売値）]]+tbl_明細[[#This Row],[販売価格（M)]]</f>
        <v/>
      </c>
      <c r="AB116" s="261">
        <f>tbl_明細[[#This Row],[販売価格（売値）]]*1.08+tbl_明細[[#This Row],[販売価格（M)]]*1.08</f>
        <v/>
      </c>
    </row>
    <row r="117">
      <c r="A117" s="212" t="inlineStr">
        <is>
          <t>2603-1004-S01</t>
        </is>
      </c>
      <c r="B117" s="77">
        <f>IF(ISBLANK(tbl_明細[[#This Row],[案件番号]]),"",COUNTIFS($A$3:A117,tbl_明細[[#This Row],[案件番号]],$AA$3:AA117,"&gt;0"))</f>
        <v/>
      </c>
      <c r="C117" s="209">
        <f>COUNTIFS($A$3:A117,tbl_明細[[#This Row],[案件番号]],$F$3:F117,tbl_明細[[#This Row],[仕入先]])</f>
        <v/>
      </c>
      <c r="D117" s="77">
        <f>_xlfn.XLOOKUP(tbl_明細[[#This Row],[案件番号]],tbl_採番[案件番号],tbl_採番[顧客],"",0,1)</f>
        <v/>
      </c>
      <c r="E117" s="209" t="inlineStr">
        <is>
          <t>PRD_SNJ_TSF_0009_01</t>
        </is>
      </c>
      <c r="F117" s="118">
        <f>IF(ISBLANK(tbl_明細[[#This Row],[仕入先（M)]]),_xlfn.XLOOKUP(tbl_明細[[#This Row],[商品ID]],商品マスタ[商品連番],商品マスタ[仕入先],"",0,1),tbl_明細[[#This Row],[仕入先（M)]])</f>
        <v/>
      </c>
      <c r="G117" s="112">
        <f>IF(ISBLANK(tbl_明細[[#This Row],[商品名（M)]]),_xlfn.XLOOKUP(tbl_明細[[#This Row],[商品ID]],商品マスタ[商品連番],商品マスタ[商品名],"",0,),tbl_明細[[#This Row],[商品名（M)]])</f>
        <v/>
      </c>
      <c r="H117" s="80">
        <f>IF(ISBLANK(tbl_明細[[#This Row],[仕入価格（M)]]),_xlfn.XLOOKUP(tbl_明細[[#This Row],[商品ID]],商品マスタ[商品連番],商品マスタ[仕入
単価],"",0,1),tbl_明細[[#This Row],[仕入価格（M)]])</f>
        <v/>
      </c>
      <c r="I117" s="80">
        <f>_xlfn.XLOOKUP(tbl_明細[[#This Row],[商品ID]],商品マスタ[商品連番],商品マスタ[国内定価
（15％）],"",0,1)</f>
        <v/>
      </c>
      <c r="J117" s="265" t="n">
        <v>865</v>
      </c>
      <c r="K117" s="209" t="n">
        <v>6</v>
      </c>
      <c r="L117" s="77">
        <f>_xlfn.XLOOKUP(tbl_明細[[#This Row],[商品ID]],商品マスタ[商品連番],商品マスタ[単位],"",0,1)</f>
        <v/>
      </c>
      <c r="M117" s="249">
        <f>1-tbl_明細[[#This Row],[仕入価格]]/tbl_明細[[#This Row],[販売価格（売値）]]</f>
        <v/>
      </c>
      <c r="N117" s="189">
        <f>_xlfn.XLOOKUP(tbl_明細[[#This Row],[商品ID]],商品マスタ[商品連番],商品マスタ[税率],"",0,1)</f>
        <v/>
      </c>
      <c r="O117" s="266" t="n"/>
      <c r="P117" s="209" t="n"/>
      <c r="Q117" s="265" t="n"/>
      <c r="R117" s="265" t="n"/>
      <c r="S117" s="209" t="n"/>
      <c r="T117" s="209" t="n"/>
      <c r="U117" s="267" t="n"/>
      <c r="V117" s="267" t="n"/>
      <c r="W117" s="268" t="n"/>
      <c r="X117" s="306">
        <f>tbl_明細[[#This Row],[仕入価格]]*tbl_明細[[#This Row],[数量]]+tbl_明細[[#This Row],[仕入価格（M)]]*tbl_明細[[#This Row],[数量（M)]]</f>
        <v/>
      </c>
      <c r="Y117" s="306">
        <f>tbl_明細[[#This Row],[販売価格（売値）]]*tbl_明細[[#This Row],[数量]]+tbl_明細[[#This Row],[販売価格（M)]]*tbl_明細[[#This Row],[数量（M)]]</f>
        <v/>
      </c>
      <c r="Z117" s="307">
        <f>_xlfn.XLOOKUP(tbl_明細[[#This Row],[案件番号]],tbl_案件追跡[案件番号],tbl_案件追跡[受注],"",0,1)</f>
        <v/>
      </c>
      <c r="AA117" s="228">
        <f>tbl_明細[[#This Row],[販売価格（売値）]]+tbl_明細[[#This Row],[販売価格（M)]]</f>
        <v/>
      </c>
      <c r="AB117" s="261">
        <f>tbl_明細[[#This Row],[販売価格（売値）]]*1.08+tbl_明細[[#This Row],[販売価格（M)]]*1.08</f>
        <v/>
      </c>
    </row>
    <row r="118">
      <c r="A118" s="212" t="inlineStr">
        <is>
          <t>2603-1004-S01</t>
        </is>
      </c>
      <c r="B118" s="77">
        <f>IF(ISBLANK(tbl_明細[[#This Row],[案件番号]]),"",COUNTIFS($A$3:A118,tbl_明細[[#This Row],[案件番号]],$AA$3:AA118,"&gt;0"))</f>
        <v/>
      </c>
      <c r="C118" s="209">
        <f>COUNTIFS($A$3:A118,tbl_明細[[#This Row],[案件番号]],$F$3:F118,tbl_明細[[#This Row],[仕入先]])</f>
        <v/>
      </c>
      <c r="D118" s="77">
        <f>_xlfn.XLOOKUP(tbl_明細[[#This Row],[案件番号]],tbl_採番[案件番号],tbl_採番[顧客],"",0,1)</f>
        <v/>
      </c>
      <c r="E118" s="209" t="inlineStr">
        <is>
          <t>other</t>
        </is>
      </c>
      <c r="F118" s="118">
        <f>IF(ISBLANK(tbl_明細[[#This Row],[仕入先（M)]]),_xlfn.XLOOKUP(tbl_明細[[#This Row],[商品ID]],商品マスタ[商品連番],商品マスタ[仕入先],"",0,1),tbl_明細[[#This Row],[仕入先（M)]])</f>
        <v/>
      </c>
      <c r="G118" s="112">
        <f>IF(ISBLANK(tbl_明細[[#This Row],[商品名（M)]]),_xlfn.XLOOKUP(tbl_明細[[#This Row],[商品ID]],商品マスタ[商品連番],商品マスタ[商品名],"",0,),tbl_明細[[#This Row],[商品名（M)]])</f>
        <v/>
      </c>
      <c r="H118" s="80">
        <f>IF(ISBLANK(tbl_明細[[#This Row],[仕入価格（M)]]),_xlfn.XLOOKUP(tbl_明細[[#This Row],[商品ID]],商品マスタ[商品連番],商品マスタ[仕入
単価],"",0,1),tbl_明細[[#This Row],[仕入価格（M)]])</f>
        <v/>
      </c>
      <c r="I118" s="80">
        <f>_xlfn.XLOOKUP(tbl_明細[[#This Row],[商品ID]],商品マスタ[商品連番],商品マスタ[国内定価
（15％）],"",0,1)</f>
        <v/>
      </c>
      <c r="J118" s="265" t="n"/>
      <c r="K118" s="209" t="n"/>
      <c r="L118" s="77">
        <f>_xlfn.XLOOKUP(tbl_明細[[#This Row],[商品ID]],商品マスタ[商品連番],商品マスタ[単位],"",0,1)</f>
        <v/>
      </c>
      <c r="M118" s="249">
        <f>1-tbl_明細[[#This Row],[仕入価格]]/tbl_明細[[#This Row],[販売価格（売値）]]</f>
        <v/>
      </c>
      <c r="N118" s="189">
        <f>_xlfn.XLOOKUP(tbl_明細[[#This Row],[商品ID]],商品マスタ[商品連番],商品マスタ[税率],"",0,1)</f>
        <v/>
      </c>
      <c r="O118" s="266" t="inlineStr">
        <is>
          <t>十勝しんむら牧場</t>
        </is>
      </c>
      <c r="P118" s="209" t="inlineStr">
        <is>
          <t>ミルクジャム蜂蜜</t>
        </is>
      </c>
      <c r="Q118" s="265" t="n"/>
      <c r="R118" s="265" t="n">
        <v>865</v>
      </c>
      <c r="S118" s="209" t="n">
        <v>6</v>
      </c>
      <c r="T118" s="209" t="inlineStr">
        <is>
          <t>個</t>
        </is>
      </c>
      <c r="U118" s="267" t="n">
        <v>0.08</v>
      </c>
      <c r="V118" s="267" t="n"/>
      <c r="W118" s="268" t="n"/>
      <c r="X118" s="306">
        <f>tbl_明細[[#This Row],[仕入価格]]*tbl_明細[[#This Row],[数量]]+tbl_明細[[#This Row],[仕入価格（M)]]*tbl_明細[[#This Row],[数量（M)]]</f>
        <v/>
      </c>
      <c r="Y118" s="306">
        <f>tbl_明細[[#This Row],[販売価格（売値）]]*tbl_明細[[#This Row],[数量]]+tbl_明細[[#This Row],[販売価格（M)]]*tbl_明細[[#This Row],[数量（M)]]</f>
        <v/>
      </c>
      <c r="Z118" s="307">
        <f>_xlfn.XLOOKUP(tbl_明細[[#This Row],[案件番号]],tbl_案件追跡[案件番号],tbl_案件追跡[受注],"",0,1)</f>
        <v/>
      </c>
      <c r="AA118" s="228">
        <f>tbl_明細[[#This Row],[販売価格（売値）]]+tbl_明細[[#This Row],[販売価格（M)]]</f>
        <v/>
      </c>
      <c r="AB118" s="261">
        <f>tbl_明細[[#This Row],[販売価格（売値）]]*1.08+tbl_明細[[#This Row],[販売価格（M)]]*1.08</f>
        <v/>
      </c>
    </row>
    <row r="119">
      <c r="A119" s="212" t="inlineStr">
        <is>
          <t>2603-1004-S01</t>
        </is>
      </c>
      <c r="B119" s="77">
        <f>IF(ISBLANK(tbl_明細[[#This Row],[案件番号]]),"",COUNTIFS($A$3:A119,tbl_明細[[#This Row],[案件番号]],$AA$3:AA119,"&gt;0"))</f>
        <v/>
      </c>
      <c r="C119" s="209">
        <f>COUNTIFS($A$3:A119,tbl_明細[[#This Row],[案件番号]],$F$3:F119,tbl_明細[[#This Row],[仕入先]])</f>
        <v/>
      </c>
      <c r="D119" s="77">
        <f>_xlfn.XLOOKUP(tbl_明細[[#This Row],[案件番号]],tbl_採番[案件番号],tbl_採番[顧客],"",0,1)</f>
        <v/>
      </c>
      <c r="E119" s="209" t="inlineStr">
        <is>
          <t>PRD_SNJ_TSF_0012_01</t>
        </is>
      </c>
      <c r="F119" s="118">
        <f>IF(ISBLANK(tbl_明細[[#This Row],[仕入先（M)]]),_xlfn.XLOOKUP(tbl_明細[[#This Row],[商品ID]],商品マスタ[商品連番],商品マスタ[仕入先],"",0,1),tbl_明細[[#This Row],[仕入先（M)]])</f>
        <v/>
      </c>
      <c r="G119" s="112">
        <f>IF(ISBLANK(tbl_明細[[#This Row],[商品名（M)]]),_xlfn.XLOOKUP(tbl_明細[[#This Row],[商品ID]],商品マスタ[商品連番],商品マスタ[商品名],"",0,),tbl_明細[[#This Row],[商品名（M)]])</f>
        <v/>
      </c>
      <c r="H119" s="80">
        <f>IF(ISBLANK(tbl_明細[[#This Row],[仕入価格（M)]]),_xlfn.XLOOKUP(tbl_明細[[#This Row],[商品ID]],商品マスタ[商品連番],商品マスタ[仕入
単価],"",0,1),tbl_明細[[#This Row],[仕入価格（M)]])</f>
        <v/>
      </c>
      <c r="I119" s="80">
        <f>_xlfn.XLOOKUP(tbl_明細[[#This Row],[商品ID]],商品マスタ[商品連番],商品マスタ[国内定価
（15％）],"",0,1)</f>
        <v/>
      </c>
      <c r="J119" s="265" t="n">
        <v>618</v>
      </c>
      <c r="K119" s="209" t="n">
        <v>20</v>
      </c>
      <c r="L119" s="77">
        <f>_xlfn.XLOOKUP(tbl_明細[[#This Row],[商品ID]],商品マスタ[商品連番],商品マスタ[単位],"",0,1)</f>
        <v/>
      </c>
      <c r="M119" s="249">
        <f>1-tbl_明細[[#This Row],[仕入価格]]/tbl_明細[[#This Row],[販売価格（売値）]]</f>
        <v/>
      </c>
      <c r="N119" s="189">
        <f>_xlfn.XLOOKUP(tbl_明細[[#This Row],[商品ID]],商品マスタ[商品連番],商品マスタ[税率],"",0,1)</f>
        <v/>
      </c>
      <c r="O119" s="266" t="n"/>
      <c r="P119" s="209" t="n"/>
      <c r="Q119" s="265" t="n"/>
      <c r="R119" s="265" t="n"/>
      <c r="S119" s="209" t="n"/>
      <c r="T119" s="209" t="n"/>
      <c r="U119" s="267" t="n"/>
      <c r="V119" s="267" t="n"/>
      <c r="W119" s="268" t="n"/>
      <c r="X119" s="306">
        <f>tbl_明細[[#This Row],[仕入価格]]*tbl_明細[[#This Row],[数量]]+tbl_明細[[#This Row],[仕入価格（M)]]*tbl_明細[[#This Row],[数量（M)]]</f>
        <v/>
      </c>
      <c r="Y119" s="306">
        <f>tbl_明細[[#This Row],[販売価格（売値）]]*tbl_明細[[#This Row],[数量]]+tbl_明細[[#This Row],[販売価格（M)]]*tbl_明細[[#This Row],[数量（M)]]</f>
        <v/>
      </c>
      <c r="Z119" s="307">
        <f>_xlfn.XLOOKUP(tbl_明細[[#This Row],[案件番号]],tbl_案件追跡[案件番号],tbl_案件追跡[受注],"",0,1)</f>
        <v/>
      </c>
      <c r="AA119" s="228">
        <f>tbl_明細[[#This Row],[販売価格（売値）]]+tbl_明細[[#This Row],[販売価格（M)]]</f>
        <v/>
      </c>
      <c r="AB119" s="261">
        <f>tbl_明細[[#This Row],[販売価格（売値）]]*1.08+tbl_明細[[#This Row],[販売価格（M)]]*1.08</f>
        <v/>
      </c>
    </row>
    <row r="120">
      <c r="A120" s="212" t="inlineStr">
        <is>
          <t>2603-1004-S01</t>
        </is>
      </c>
      <c r="B120" s="77">
        <f>IF(ISBLANK(tbl_明細[[#This Row],[案件番号]]),"",COUNTIFS($A$3:A120,tbl_明細[[#This Row],[案件番号]],$AA$3:AA120,"&gt;0"))</f>
        <v/>
      </c>
      <c r="C120" s="209">
        <f>COUNTIFS($A$3:A120,tbl_明細[[#This Row],[案件番号]],$F$3:F120,tbl_明細[[#This Row],[仕入先]])</f>
        <v/>
      </c>
      <c r="D120" s="77">
        <f>_xlfn.XLOOKUP(tbl_明細[[#This Row],[案件番号]],tbl_採番[案件番号],tbl_採番[顧客],"",0,1)</f>
        <v/>
      </c>
      <c r="E120" s="209" t="inlineStr">
        <is>
          <t>other</t>
        </is>
      </c>
      <c r="F120" s="118">
        <f>IF(ISBLANK(tbl_明細[[#This Row],[仕入先（M)]]),_xlfn.XLOOKUP(tbl_明細[[#This Row],[商品ID]],商品マスタ[商品連番],商品マスタ[仕入先],"",0,1),tbl_明細[[#This Row],[仕入先（M)]])</f>
        <v/>
      </c>
      <c r="G120" s="112">
        <f>IF(ISBLANK(tbl_明細[[#This Row],[商品名（M)]]),_xlfn.XLOOKUP(tbl_明細[[#This Row],[商品ID]],商品マスタ[商品連番],商品マスタ[商品名],"",0,),tbl_明細[[#This Row],[商品名（M)]])</f>
        <v/>
      </c>
      <c r="H120" s="80">
        <f>IF(ISBLANK(tbl_明細[[#This Row],[仕入価格（M)]]),_xlfn.XLOOKUP(tbl_明細[[#This Row],[商品ID]],商品マスタ[商品連番],商品マスタ[仕入
単価],"",0,1),tbl_明細[[#This Row],[仕入価格（M)]])</f>
        <v/>
      </c>
      <c r="I120" s="80">
        <f>_xlfn.XLOOKUP(tbl_明細[[#This Row],[商品ID]],商品マスタ[商品連番],商品マスタ[国内定価
（15％）],"",0,1)</f>
        <v/>
      </c>
      <c r="J120" s="265" t="n"/>
      <c r="K120" s="209" t="n"/>
      <c r="L120" s="77">
        <f>_xlfn.XLOOKUP(tbl_明細[[#This Row],[商品ID]],商品マスタ[商品連番],商品マスタ[単位],"",0,1)</f>
        <v/>
      </c>
      <c r="M120" s="249">
        <f>1-tbl_明細[[#This Row],[仕入価格]]/tbl_明細[[#This Row],[販売価格（売値）]]</f>
        <v/>
      </c>
      <c r="N120" s="189">
        <f>_xlfn.XLOOKUP(tbl_明細[[#This Row],[商品ID]],商品マスタ[商品連番],商品マスタ[税率],"",0,1)</f>
        <v/>
      </c>
      <c r="O120" s="266" t="inlineStr">
        <is>
          <t>小樽うんがぷらす</t>
        </is>
      </c>
      <c r="P120" s="209" t="inlineStr">
        <is>
          <t>北海道産 紫花豆</t>
        </is>
      </c>
      <c r="Q120" s="265" t="n"/>
      <c r="R120" s="265" t="n">
        <v>480</v>
      </c>
      <c r="S120" s="209" t="n">
        <v>16</v>
      </c>
      <c r="T120" s="209" t="inlineStr">
        <is>
          <t>個</t>
        </is>
      </c>
      <c r="U120" s="267" t="n">
        <v>0.08</v>
      </c>
      <c r="V120" s="267" t="n"/>
      <c r="W120" s="268" t="n"/>
      <c r="X120" s="306">
        <f>tbl_明細[[#This Row],[仕入価格]]*tbl_明細[[#This Row],[数量]]+tbl_明細[[#This Row],[仕入価格（M)]]*tbl_明細[[#This Row],[数量（M)]]</f>
        <v/>
      </c>
      <c r="Y120" s="306">
        <f>tbl_明細[[#This Row],[販売価格（売値）]]*tbl_明細[[#This Row],[数量]]+tbl_明細[[#This Row],[販売価格（M)]]*tbl_明細[[#This Row],[数量（M)]]</f>
        <v/>
      </c>
      <c r="Z120" s="307">
        <f>_xlfn.XLOOKUP(tbl_明細[[#This Row],[案件番号]],tbl_案件追跡[案件番号],tbl_案件追跡[受注],"",0,1)</f>
        <v/>
      </c>
      <c r="AA120" s="228">
        <f>tbl_明細[[#This Row],[販売価格（売値）]]+tbl_明細[[#This Row],[販売価格（M)]]</f>
        <v/>
      </c>
      <c r="AB120" s="261">
        <f>tbl_明細[[#This Row],[販売価格（売値）]]*1.08+tbl_明細[[#This Row],[販売価格（M)]]*1.08</f>
        <v/>
      </c>
    </row>
    <row r="121">
      <c r="A121" s="212" t="inlineStr">
        <is>
          <t>2603-1004-S01</t>
        </is>
      </c>
      <c r="B121" s="77">
        <f>IF(ISBLANK(tbl_明細[[#This Row],[案件番号]]),"",COUNTIFS($A$3:A121,tbl_明細[[#This Row],[案件番号]],$AA$3:AA121,"&gt;0"))</f>
        <v/>
      </c>
      <c r="C121" s="209">
        <f>COUNTIFS($A$3:A121,tbl_明細[[#This Row],[案件番号]],$F$3:F121,tbl_明細[[#This Row],[仕入先]])</f>
        <v/>
      </c>
      <c r="D121" s="77">
        <f>_xlfn.XLOOKUP(tbl_明細[[#This Row],[案件番号]],tbl_採番[案件番号],tbl_採番[顧客],"",0,1)</f>
        <v/>
      </c>
      <c r="E121" s="209" t="inlineStr">
        <is>
          <t>other</t>
        </is>
      </c>
      <c r="F121" s="118">
        <f>IF(ISBLANK(tbl_明細[[#This Row],[仕入先（M)]]),_xlfn.XLOOKUP(tbl_明細[[#This Row],[商品ID]],商品マスタ[商品連番],商品マスタ[仕入先],"",0,1),tbl_明細[[#This Row],[仕入先（M)]])</f>
        <v/>
      </c>
      <c r="G121" s="112">
        <f>IF(ISBLANK(tbl_明細[[#This Row],[商品名（M)]]),_xlfn.XLOOKUP(tbl_明細[[#This Row],[商品ID]],商品マスタ[商品連番],商品マスタ[商品名],"",0,),tbl_明細[[#This Row],[商品名（M)]])</f>
        <v/>
      </c>
      <c r="H121" s="80">
        <f>IF(ISBLANK(tbl_明細[[#This Row],[仕入価格（M)]]),_xlfn.XLOOKUP(tbl_明細[[#This Row],[商品ID]],商品マスタ[商品連番],商品マスタ[仕入
単価],"",0,1),tbl_明細[[#This Row],[仕入価格（M)]])</f>
        <v/>
      </c>
      <c r="I121" s="80">
        <f>_xlfn.XLOOKUP(tbl_明細[[#This Row],[商品ID]],商品マスタ[商品連番],商品マスタ[国内定価
（15％）],"",0,1)</f>
        <v/>
      </c>
      <c r="J121" s="265" t="n"/>
      <c r="K121" s="209" t="n"/>
      <c r="L121" s="77">
        <f>_xlfn.XLOOKUP(tbl_明細[[#This Row],[商品ID]],商品マスタ[商品連番],商品マスタ[単位],"",0,1)</f>
        <v/>
      </c>
      <c r="M121" s="249">
        <f>1-tbl_明細[[#This Row],[仕入価格]]/tbl_明細[[#This Row],[販売価格（売値）]]</f>
        <v/>
      </c>
      <c r="N121" s="189">
        <f>_xlfn.XLOOKUP(tbl_明細[[#This Row],[商品ID]],商品マスタ[商品連番],商品マスタ[税率],"",0,1)</f>
        <v/>
      </c>
      <c r="O121" s="266" t="inlineStr">
        <is>
          <t>小樽うんがぷらす</t>
        </is>
      </c>
      <c r="P121" s="209" t="inlineStr">
        <is>
          <t>北海道産 虎豆</t>
        </is>
      </c>
      <c r="Q121" s="265" t="n"/>
      <c r="R121" s="265" t="n">
        <v>480</v>
      </c>
      <c r="S121" s="209" t="n">
        <v>16</v>
      </c>
      <c r="T121" s="209" t="inlineStr">
        <is>
          <t>個</t>
        </is>
      </c>
      <c r="U121" s="267" t="n">
        <v>0.08</v>
      </c>
      <c r="V121" s="267" t="n"/>
      <c r="W121" s="268" t="n"/>
      <c r="X121" s="306">
        <f>tbl_明細[[#This Row],[仕入価格]]*tbl_明細[[#This Row],[数量]]+tbl_明細[[#This Row],[仕入価格（M)]]*tbl_明細[[#This Row],[数量（M)]]</f>
        <v/>
      </c>
      <c r="Y121" s="306">
        <f>tbl_明細[[#This Row],[販売価格（売値）]]*tbl_明細[[#This Row],[数量]]+tbl_明細[[#This Row],[販売価格（M)]]*tbl_明細[[#This Row],[数量（M)]]</f>
        <v/>
      </c>
      <c r="Z121" s="307">
        <f>_xlfn.XLOOKUP(tbl_明細[[#This Row],[案件番号]],tbl_案件追跡[案件番号],tbl_案件追跡[受注],"",0,1)</f>
        <v/>
      </c>
      <c r="AA121" s="228">
        <f>tbl_明細[[#This Row],[販売価格（売値）]]+tbl_明細[[#This Row],[販売価格（M)]]</f>
        <v/>
      </c>
      <c r="AB121" s="261">
        <f>tbl_明細[[#This Row],[販売価格（売値）]]*1.08+tbl_明細[[#This Row],[販売価格（M)]]*1.08</f>
        <v/>
      </c>
    </row>
    <row r="122">
      <c r="A122" s="212" t="inlineStr">
        <is>
          <t>2603-1004-S01</t>
        </is>
      </c>
      <c r="B122" s="77">
        <f>IF(ISBLANK(tbl_明細[[#This Row],[案件番号]]),"",COUNTIFS($A$3:A122,tbl_明細[[#This Row],[案件番号]],$AA$3:AA122,"&gt;0"))</f>
        <v/>
      </c>
      <c r="C122" s="209">
        <f>COUNTIFS($A$3:A122,tbl_明細[[#This Row],[案件番号]],$F$3:F122,tbl_明細[[#This Row],[仕入先]])</f>
        <v/>
      </c>
      <c r="D122" s="77">
        <f>_xlfn.XLOOKUP(tbl_明細[[#This Row],[案件番号]],tbl_採番[案件番号],tbl_採番[顧客],"",0,1)</f>
        <v/>
      </c>
      <c r="E122" s="209" t="inlineStr">
        <is>
          <t>other</t>
        </is>
      </c>
      <c r="F122" s="118">
        <f>IF(ISBLANK(tbl_明細[[#This Row],[仕入先（M)]]),_xlfn.XLOOKUP(tbl_明細[[#This Row],[商品ID]],商品マスタ[商品連番],商品マスタ[仕入先],"",0,1),tbl_明細[[#This Row],[仕入先（M)]])</f>
        <v/>
      </c>
      <c r="G122" s="112">
        <f>IF(ISBLANK(tbl_明細[[#This Row],[商品名（M)]]),_xlfn.XLOOKUP(tbl_明細[[#This Row],[商品ID]],商品マスタ[商品連番],商品マスタ[商品名],"",0,),tbl_明細[[#This Row],[商品名（M)]])</f>
        <v/>
      </c>
      <c r="H122" s="80">
        <f>IF(ISBLANK(tbl_明細[[#This Row],[仕入価格（M)]]),_xlfn.XLOOKUP(tbl_明細[[#This Row],[商品ID]],商品マスタ[商品連番],商品マスタ[仕入
単価],"",0,1),tbl_明細[[#This Row],[仕入価格（M)]])</f>
        <v/>
      </c>
      <c r="I122" s="80">
        <f>_xlfn.XLOOKUP(tbl_明細[[#This Row],[商品ID]],商品マスタ[商品連番],商品マスタ[国内定価
（15％）],"",0,1)</f>
        <v/>
      </c>
      <c r="J122" s="265" t="n"/>
      <c r="K122" s="209" t="n"/>
      <c r="L122" s="77">
        <f>_xlfn.XLOOKUP(tbl_明細[[#This Row],[商品ID]],商品マスタ[商品連番],商品マスタ[単位],"",0,1)</f>
        <v/>
      </c>
      <c r="M122" s="249">
        <f>1-tbl_明細[[#This Row],[仕入価格]]/tbl_明細[[#This Row],[販売価格（売値）]]</f>
        <v/>
      </c>
      <c r="N122" s="189">
        <f>_xlfn.XLOOKUP(tbl_明細[[#This Row],[商品ID]],商品マスタ[商品連番],商品マスタ[税率],"",0,1)</f>
        <v/>
      </c>
      <c r="O122" s="266" t="inlineStr">
        <is>
          <t>小樽うんがぷらす</t>
        </is>
      </c>
      <c r="P122" s="209" t="inlineStr">
        <is>
          <t>北海道産 大正金時豆</t>
        </is>
      </c>
      <c r="Q122" s="265" t="n"/>
      <c r="R122" s="265" t="n">
        <v>480</v>
      </c>
      <c r="S122" s="209" t="n">
        <v>16</v>
      </c>
      <c r="T122" s="209" t="inlineStr">
        <is>
          <t>個</t>
        </is>
      </c>
      <c r="U122" s="267" t="n">
        <v>0.08</v>
      </c>
      <c r="V122" s="267" t="n"/>
      <c r="W122" s="268" t="n"/>
      <c r="X122" s="306">
        <f>tbl_明細[[#This Row],[仕入価格]]*tbl_明細[[#This Row],[数量]]+tbl_明細[[#This Row],[仕入価格（M)]]*tbl_明細[[#This Row],[数量（M)]]</f>
        <v/>
      </c>
      <c r="Y122" s="306">
        <f>tbl_明細[[#This Row],[販売価格（売値）]]*tbl_明細[[#This Row],[数量]]+tbl_明細[[#This Row],[販売価格（M)]]*tbl_明細[[#This Row],[数量（M)]]</f>
        <v/>
      </c>
      <c r="Z122" s="307">
        <f>_xlfn.XLOOKUP(tbl_明細[[#This Row],[案件番号]],tbl_案件追跡[案件番号],tbl_案件追跡[受注],"",0,1)</f>
        <v/>
      </c>
      <c r="AA122" s="228">
        <f>tbl_明細[[#This Row],[販売価格（売値）]]+tbl_明細[[#This Row],[販売価格（M)]]</f>
        <v/>
      </c>
      <c r="AB122" s="261">
        <f>tbl_明細[[#This Row],[販売価格（売値）]]*1.08+tbl_明細[[#This Row],[販売価格（M)]]*1.08</f>
        <v/>
      </c>
    </row>
    <row r="123">
      <c r="A123" s="212" t="inlineStr">
        <is>
          <t>2603-1004-S01</t>
        </is>
      </c>
      <c r="B123" s="77">
        <f>IF(ISBLANK(tbl_明細[[#This Row],[案件番号]]),"",COUNTIFS($A$3:A123,tbl_明細[[#This Row],[案件番号]],$AA$3:AA123,"&gt;0"))</f>
        <v/>
      </c>
      <c r="C123" s="209">
        <f>COUNTIFS($A$3:A123,tbl_明細[[#This Row],[案件番号]],$F$3:F123,tbl_明細[[#This Row],[仕入先]])</f>
        <v/>
      </c>
      <c r="D123" s="77">
        <f>_xlfn.XLOOKUP(tbl_明細[[#This Row],[案件番号]],tbl_採番[案件番号],tbl_採番[顧客],"",0,1)</f>
        <v/>
      </c>
      <c r="E123" s="209" t="inlineStr">
        <is>
          <t>other</t>
        </is>
      </c>
      <c r="F123" s="118">
        <f>IF(ISBLANK(tbl_明細[[#This Row],[仕入先（M)]]),_xlfn.XLOOKUP(tbl_明細[[#This Row],[商品ID]],商品マスタ[商品連番],商品マスタ[仕入先],"",0,1),tbl_明細[[#This Row],[仕入先（M)]])</f>
        <v/>
      </c>
      <c r="G123" s="112">
        <f>IF(ISBLANK(tbl_明細[[#This Row],[商品名（M)]]),_xlfn.XLOOKUP(tbl_明細[[#This Row],[商品ID]],商品マスタ[商品連番],商品マスタ[商品名],"",0,),tbl_明細[[#This Row],[商品名（M)]])</f>
        <v/>
      </c>
      <c r="H123" s="80">
        <f>IF(ISBLANK(tbl_明細[[#This Row],[仕入価格（M)]]),_xlfn.XLOOKUP(tbl_明細[[#This Row],[商品ID]],商品マスタ[商品連番],商品マスタ[仕入
単価],"",0,1),tbl_明細[[#This Row],[仕入価格（M)]])</f>
        <v/>
      </c>
      <c r="I123" s="80">
        <f>_xlfn.XLOOKUP(tbl_明細[[#This Row],[商品ID]],商品マスタ[商品連番],商品マスタ[国内定価
（15％）],"",0,1)</f>
        <v/>
      </c>
      <c r="J123" s="265" t="n"/>
      <c r="K123" s="209" t="n"/>
      <c r="L123" s="77">
        <f>_xlfn.XLOOKUP(tbl_明細[[#This Row],[商品ID]],商品マスタ[商品連番],商品マスタ[単位],"",0,1)</f>
        <v/>
      </c>
      <c r="M123" s="249">
        <f>1-tbl_明細[[#This Row],[仕入価格]]/tbl_明細[[#This Row],[販売価格（売値）]]</f>
        <v/>
      </c>
      <c r="N123" s="189">
        <f>_xlfn.XLOOKUP(tbl_明細[[#This Row],[商品ID]],商品マスタ[商品連番],商品マスタ[税率],"",0,1)</f>
        <v/>
      </c>
      <c r="O123" s="266" t="inlineStr">
        <is>
          <t>小樽うんがぷらす</t>
        </is>
      </c>
      <c r="P123" s="209" t="inlineStr">
        <is>
          <t>北海道産 鮭の醤油煮</t>
        </is>
      </c>
      <c r="Q123" s="265" t="n"/>
      <c r="R123" s="265" t="n">
        <v>560</v>
      </c>
      <c r="S123" s="209" t="n">
        <v>24</v>
      </c>
      <c r="T123" s="209" t="inlineStr">
        <is>
          <t>個</t>
        </is>
      </c>
      <c r="U123" s="267" t="n">
        <v>0.08</v>
      </c>
      <c r="V123" s="267" t="n"/>
      <c r="W123" s="268" t="n"/>
      <c r="X123" s="306">
        <f>tbl_明細[[#This Row],[仕入価格]]*tbl_明細[[#This Row],[数量]]+tbl_明細[[#This Row],[仕入価格（M)]]*tbl_明細[[#This Row],[数量（M)]]</f>
        <v/>
      </c>
      <c r="Y123" s="306">
        <f>tbl_明細[[#This Row],[販売価格（売値）]]*tbl_明細[[#This Row],[数量]]+tbl_明細[[#This Row],[販売価格（M)]]*tbl_明細[[#This Row],[数量（M)]]</f>
        <v/>
      </c>
      <c r="Z123" s="307">
        <f>_xlfn.XLOOKUP(tbl_明細[[#This Row],[案件番号]],tbl_案件追跡[案件番号],tbl_案件追跡[受注],"",0,1)</f>
        <v/>
      </c>
      <c r="AA123" s="228">
        <f>tbl_明細[[#This Row],[販売価格（売値）]]+tbl_明細[[#This Row],[販売価格（M)]]</f>
        <v/>
      </c>
      <c r="AB123" s="261">
        <f>tbl_明細[[#This Row],[販売価格（売値）]]*1.08+tbl_明細[[#This Row],[販売価格（M)]]*1.08</f>
        <v/>
      </c>
    </row>
    <row r="124">
      <c r="A124" s="212" t="inlineStr">
        <is>
          <t>2603-1004-S01</t>
        </is>
      </c>
      <c r="B124" s="77">
        <f>IF(ISBLANK(tbl_明細[[#This Row],[案件番号]]),"",COUNTIFS($A$3:A124,tbl_明細[[#This Row],[案件番号]],$AA$3:AA124,"&gt;0"))</f>
        <v/>
      </c>
      <c r="C124" s="209">
        <f>COUNTIFS($A$3:A124,tbl_明細[[#This Row],[案件番号]],$F$3:F124,tbl_明細[[#This Row],[仕入先]])</f>
        <v/>
      </c>
      <c r="D124" s="77">
        <f>_xlfn.XLOOKUP(tbl_明細[[#This Row],[案件番号]],tbl_採番[案件番号],tbl_採番[顧客],"",0,1)</f>
        <v/>
      </c>
      <c r="E124" s="209" t="inlineStr">
        <is>
          <t>other</t>
        </is>
      </c>
      <c r="F124" s="118">
        <f>IF(ISBLANK(tbl_明細[[#This Row],[仕入先（M)]]),_xlfn.XLOOKUP(tbl_明細[[#This Row],[商品ID]],商品マスタ[商品連番],商品マスタ[仕入先],"",0,1),tbl_明細[[#This Row],[仕入先（M)]])</f>
        <v/>
      </c>
      <c r="G124" s="112">
        <f>IF(ISBLANK(tbl_明細[[#This Row],[商品名（M)]]),_xlfn.XLOOKUP(tbl_明細[[#This Row],[商品ID]],商品マスタ[商品連番],商品マスタ[商品名],"",0,),tbl_明細[[#This Row],[商品名（M)]])</f>
        <v/>
      </c>
      <c r="H124" s="80">
        <f>IF(ISBLANK(tbl_明細[[#This Row],[仕入価格（M)]]),_xlfn.XLOOKUP(tbl_明細[[#This Row],[商品ID]],商品マスタ[商品連番],商品マスタ[仕入
単価],"",0,1),tbl_明細[[#This Row],[仕入価格（M)]])</f>
        <v/>
      </c>
      <c r="I124" s="80">
        <f>_xlfn.XLOOKUP(tbl_明細[[#This Row],[商品ID]],商品マスタ[商品連番],商品マスタ[国内定価
（15％）],"",0,1)</f>
        <v/>
      </c>
      <c r="J124" s="265" t="n"/>
      <c r="K124" s="209" t="n"/>
      <c r="L124" s="77">
        <f>_xlfn.XLOOKUP(tbl_明細[[#This Row],[商品ID]],商品マスタ[商品連番],商品マスタ[単位],"",0,1)</f>
        <v/>
      </c>
      <c r="M124" s="249">
        <f>1-tbl_明細[[#This Row],[仕入価格]]/tbl_明細[[#This Row],[販売価格（売値）]]</f>
        <v/>
      </c>
      <c r="N124" s="189">
        <f>_xlfn.XLOOKUP(tbl_明細[[#This Row],[商品ID]],商品マスタ[商品連番],商品マスタ[税率],"",0,1)</f>
        <v/>
      </c>
      <c r="O124" s="266" t="inlineStr">
        <is>
          <t>小樽うんがぷらす</t>
        </is>
      </c>
      <c r="P124" s="209" t="inlineStr">
        <is>
          <t>北海道産 秋刀魚水煮 柚子香味</t>
        </is>
      </c>
      <c r="Q124" s="265" t="n"/>
      <c r="R124" s="265" t="n">
        <v>560</v>
      </c>
      <c r="S124" s="209" t="n">
        <v>24</v>
      </c>
      <c r="T124" s="209" t="inlineStr">
        <is>
          <t>個</t>
        </is>
      </c>
      <c r="U124" s="267" t="n">
        <v>0.08</v>
      </c>
      <c r="V124" s="267" t="n"/>
      <c r="W124" s="268" t="n"/>
      <c r="X124" s="306">
        <f>tbl_明細[[#This Row],[仕入価格]]*tbl_明細[[#This Row],[数量]]+tbl_明細[[#This Row],[仕入価格（M)]]*tbl_明細[[#This Row],[数量（M)]]</f>
        <v/>
      </c>
      <c r="Y124" s="306">
        <f>tbl_明細[[#This Row],[販売価格（売値）]]*tbl_明細[[#This Row],[数量]]+tbl_明細[[#This Row],[販売価格（M)]]*tbl_明細[[#This Row],[数量（M)]]</f>
        <v/>
      </c>
      <c r="Z124" s="307">
        <f>_xlfn.XLOOKUP(tbl_明細[[#This Row],[案件番号]],tbl_案件追跡[案件番号],tbl_案件追跡[受注],"",0,1)</f>
        <v/>
      </c>
      <c r="AA124" s="228">
        <f>tbl_明細[[#This Row],[販売価格（売値）]]+tbl_明細[[#This Row],[販売価格（M)]]</f>
        <v/>
      </c>
      <c r="AB124" s="261">
        <f>tbl_明細[[#This Row],[販売価格（売値）]]*1.08+tbl_明細[[#This Row],[販売価格（M)]]*1.08</f>
        <v/>
      </c>
    </row>
    <row r="125">
      <c r="A125" s="212" t="inlineStr">
        <is>
          <t>2603-1004-S01</t>
        </is>
      </c>
      <c r="B125" s="77">
        <f>IF(ISBLANK(tbl_明細[[#This Row],[案件番号]]),"",COUNTIFS($A$3:A125,tbl_明細[[#This Row],[案件番号]],$AA$3:AA125,"&gt;0"))</f>
        <v/>
      </c>
      <c r="C125" s="209">
        <f>COUNTIFS($A$3:A125,tbl_明細[[#This Row],[案件番号]],$F$3:F125,tbl_明細[[#This Row],[仕入先]])</f>
        <v/>
      </c>
      <c r="D125" s="77">
        <f>_xlfn.XLOOKUP(tbl_明細[[#This Row],[案件番号]],tbl_採番[案件番号],tbl_採番[顧客],"",0,1)</f>
        <v/>
      </c>
      <c r="E125" s="209" t="inlineStr">
        <is>
          <t>other</t>
        </is>
      </c>
      <c r="F125" s="118">
        <f>IF(ISBLANK(tbl_明細[[#This Row],[仕入先（M)]]),_xlfn.XLOOKUP(tbl_明細[[#This Row],[商品ID]],商品マスタ[商品連番],商品マスタ[仕入先],"",0,1),tbl_明細[[#This Row],[仕入先（M)]])</f>
        <v/>
      </c>
      <c r="G125" s="112">
        <f>IF(ISBLANK(tbl_明細[[#This Row],[商品名（M)]]),_xlfn.XLOOKUP(tbl_明細[[#This Row],[商品ID]],商品マスタ[商品連番],商品マスタ[商品名],"",0,),tbl_明細[[#This Row],[商品名（M)]])</f>
        <v/>
      </c>
      <c r="H125" s="80">
        <f>IF(ISBLANK(tbl_明細[[#This Row],[仕入価格（M)]]),_xlfn.XLOOKUP(tbl_明細[[#This Row],[商品ID]],商品マスタ[商品連番],商品マスタ[仕入
単価],"",0,1),tbl_明細[[#This Row],[仕入価格（M)]])</f>
        <v/>
      </c>
      <c r="I125" s="80">
        <f>_xlfn.XLOOKUP(tbl_明細[[#This Row],[商品ID]],商品マスタ[商品連番],商品マスタ[国内定価
（15％）],"",0,1)</f>
        <v/>
      </c>
      <c r="J125" s="265" t="n"/>
      <c r="K125" s="209" t="n"/>
      <c r="L125" s="77">
        <f>_xlfn.XLOOKUP(tbl_明細[[#This Row],[商品ID]],商品マスタ[商品連番],商品マスタ[単位],"",0,1)</f>
        <v/>
      </c>
      <c r="M125" s="249">
        <f>1-tbl_明細[[#This Row],[仕入価格]]/tbl_明細[[#This Row],[販売価格（売値）]]</f>
        <v/>
      </c>
      <c r="N125" s="189">
        <f>_xlfn.XLOOKUP(tbl_明細[[#This Row],[商品ID]],商品マスタ[商品連番],商品マスタ[税率],"",0,1)</f>
        <v/>
      </c>
      <c r="O125" s="266" t="inlineStr">
        <is>
          <t>小樽水産加工業協同組合</t>
        </is>
      </c>
      <c r="P125" s="209" t="inlineStr">
        <is>
          <t>寒干し棒たら炊き180g</t>
        </is>
      </c>
      <c r="Q125" s="265" t="n">
        <v>440</v>
      </c>
      <c r="R125" s="265" t="n">
        <v>518</v>
      </c>
      <c r="S125" s="209" t="n">
        <v>20</v>
      </c>
      <c r="T125" s="209" t="inlineStr">
        <is>
          <t>個</t>
        </is>
      </c>
      <c r="U125" s="267" t="n">
        <v>0.08</v>
      </c>
      <c r="V125" s="267" t="n"/>
      <c r="W125" s="268" t="n"/>
      <c r="X125" s="306">
        <f>tbl_明細[[#This Row],[仕入価格]]*tbl_明細[[#This Row],[数量]]+tbl_明細[[#This Row],[仕入価格（M)]]*tbl_明細[[#This Row],[数量（M)]]</f>
        <v/>
      </c>
      <c r="Y125" s="306">
        <f>tbl_明細[[#This Row],[販売価格（売値）]]*tbl_明細[[#This Row],[数量]]+tbl_明細[[#This Row],[販売価格（M)]]*tbl_明細[[#This Row],[数量（M)]]</f>
        <v/>
      </c>
      <c r="Z125" s="307">
        <f>_xlfn.XLOOKUP(tbl_明細[[#This Row],[案件番号]],tbl_案件追跡[案件番号],tbl_案件追跡[受注],"",0,1)</f>
        <v/>
      </c>
      <c r="AA125" s="228">
        <f>tbl_明細[[#This Row],[販売価格（売値）]]+tbl_明細[[#This Row],[販売価格（M)]]</f>
        <v/>
      </c>
      <c r="AB125" s="261">
        <f>tbl_明細[[#This Row],[販売価格（売値）]]*1.08+tbl_明細[[#This Row],[販売価格（M)]]*1.08</f>
        <v/>
      </c>
    </row>
    <row r="126">
      <c r="A126" s="212" t="inlineStr">
        <is>
          <t>2603-1004-S01</t>
        </is>
      </c>
      <c r="B126" s="77">
        <f>IF(ISBLANK(tbl_明細[[#This Row],[案件番号]]),"",COUNTIFS($A$3:A126,tbl_明細[[#This Row],[案件番号]],$AA$3:AA126,"&gt;0"))</f>
        <v/>
      </c>
      <c r="C126" s="209">
        <f>COUNTIFS($A$3:A126,tbl_明細[[#This Row],[案件番号]],$F$3:F126,tbl_明細[[#This Row],[仕入先]])</f>
        <v/>
      </c>
      <c r="D126" s="77">
        <f>_xlfn.XLOOKUP(tbl_明細[[#This Row],[案件番号]],tbl_採番[案件番号],tbl_採番[顧客],"",0,1)</f>
        <v/>
      </c>
      <c r="E126" s="209" t="inlineStr">
        <is>
          <t>other</t>
        </is>
      </c>
      <c r="F126" s="118">
        <f>IF(ISBLANK(tbl_明細[[#This Row],[仕入先（M)]]),_xlfn.XLOOKUP(tbl_明細[[#This Row],[商品ID]],商品マスタ[商品連番],商品マスタ[仕入先],"",0,1),tbl_明細[[#This Row],[仕入先（M)]])</f>
        <v/>
      </c>
      <c r="G126" s="112">
        <f>IF(ISBLANK(tbl_明細[[#This Row],[商品名（M)]]),_xlfn.XLOOKUP(tbl_明細[[#This Row],[商品ID]],商品マスタ[商品連番],商品マスタ[商品名],"",0,),tbl_明細[[#This Row],[商品名（M)]])</f>
        <v/>
      </c>
      <c r="H126" s="80">
        <f>IF(ISBLANK(tbl_明細[[#This Row],[仕入価格（M)]]),_xlfn.XLOOKUP(tbl_明細[[#This Row],[商品ID]],商品マスタ[商品連番],商品マスタ[仕入
単価],"",0,1),tbl_明細[[#This Row],[仕入価格（M)]])</f>
        <v/>
      </c>
      <c r="I126" s="80">
        <f>_xlfn.XLOOKUP(tbl_明細[[#This Row],[商品ID]],商品マスタ[商品連番],商品マスタ[国内定価
（15％）],"",0,1)</f>
        <v/>
      </c>
      <c r="J126" s="265" t="n"/>
      <c r="K126" s="209" t="n"/>
      <c r="L126" s="77">
        <f>_xlfn.XLOOKUP(tbl_明細[[#This Row],[商品ID]],商品マスタ[商品連番],商品マスタ[単位],"",0,1)</f>
        <v/>
      </c>
      <c r="M126" s="249">
        <f>1-tbl_明細[[#This Row],[仕入価格]]/tbl_明細[[#This Row],[販売価格（売値）]]</f>
        <v/>
      </c>
      <c r="N126" s="189">
        <f>_xlfn.XLOOKUP(tbl_明細[[#This Row],[商品ID]],商品マスタ[商品連番],商品マスタ[税率],"",0,1)</f>
        <v/>
      </c>
      <c r="O126" s="266" t="inlineStr">
        <is>
          <t>小樽水産加工業協同組合</t>
        </is>
      </c>
      <c r="P126" s="209" t="inlineStr">
        <is>
          <t>縞ホッケふっくら小樽煮170g</t>
        </is>
      </c>
      <c r="Q126" s="265" t="n">
        <v>390</v>
      </c>
      <c r="R126" s="265" t="n">
        <v>460</v>
      </c>
      <c r="S126" s="209" t="n">
        <v>20</v>
      </c>
      <c r="T126" s="209" t="inlineStr">
        <is>
          <t>個</t>
        </is>
      </c>
      <c r="U126" s="267" t="n">
        <v>0.08</v>
      </c>
      <c r="V126" s="267" t="n"/>
      <c r="W126" s="268" t="n"/>
      <c r="X126" s="306">
        <f>tbl_明細[[#This Row],[仕入価格]]*tbl_明細[[#This Row],[数量]]+tbl_明細[[#This Row],[仕入価格（M)]]*tbl_明細[[#This Row],[数量（M)]]</f>
        <v/>
      </c>
      <c r="Y126" s="306">
        <f>tbl_明細[[#This Row],[販売価格（売値）]]*tbl_明細[[#This Row],[数量]]+tbl_明細[[#This Row],[販売価格（M)]]*tbl_明細[[#This Row],[数量（M)]]</f>
        <v/>
      </c>
      <c r="Z126" s="307">
        <f>_xlfn.XLOOKUP(tbl_明細[[#This Row],[案件番号]],tbl_案件追跡[案件番号],tbl_案件追跡[受注],"",0,1)</f>
        <v/>
      </c>
      <c r="AA126" s="228">
        <f>tbl_明細[[#This Row],[販売価格（売値）]]+tbl_明細[[#This Row],[販売価格（M)]]</f>
        <v/>
      </c>
      <c r="AB126" s="261">
        <f>tbl_明細[[#This Row],[販売価格（売値）]]*1.08+tbl_明細[[#This Row],[販売価格（M)]]*1.08</f>
        <v/>
      </c>
    </row>
    <row r="127">
      <c r="A127" s="212" t="inlineStr">
        <is>
          <t>2603-1004-S01</t>
        </is>
      </c>
      <c r="B127" s="77">
        <f>IF(ISBLANK(tbl_明細[[#This Row],[案件番号]]),"",COUNTIFS($A$3:A127,tbl_明細[[#This Row],[案件番号]],$AA$3:AA127,"&gt;0"))</f>
        <v/>
      </c>
      <c r="C127" s="209">
        <f>COUNTIFS($A$3:A127,tbl_明細[[#This Row],[案件番号]],$F$3:F127,tbl_明細[[#This Row],[仕入先]])</f>
        <v/>
      </c>
      <c r="D127" s="77">
        <f>_xlfn.XLOOKUP(tbl_明細[[#This Row],[案件番号]],tbl_採番[案件番号],tbl_採番[顧客],"",0,1)</f>
        <v/>
      </c>
      <c r="E127" s="209" t="inlineStr">
        <is>
          <t>other</t>
        </is>
      </c>
      <c r="F127" s="118">
        <f>IF(ISBLANK(tbl_明細[[#This Row],[仕入先（M)]]),_xlfn.XLOOKUP(tbl_明細[[#This Row],[商品ID]],商品マスタ[商品連番],商品マスタ[仕入先],"",0,1),tbl_明細[[#This Row],[仕入先（M)]])</f>
        <v/>
      </c>
      <c r="G127" s="112">
        <f>IF(ISBLANK(tbl_明細[[#This Row],[商品名（M)]]),_xlfn.XLOOKUP(tbl_明細[[#This Row],[商品ID]],商品マスタ[商品連番],商品マスタ[商品名],"",0,),tbl_明細[[#This Row],[商品名（M)]])</f>
        <v/>
      </c>
      <c r="H127" s="80">
        <f>IF(ISBLANK(tbl_明細[[#This Row],[仕入価格（M)]]),_xlfn.XLOOKUP(tbl_明細[[#This Row],[商品ID]],商品マスタ[商品連番],商品マスタ[仕入
単価],"",0,1),tbl_明細[[#This Row],[仕入価格（M)]])</f>
        <v/>
      </c>
      <c r="I127" s="80">
        <f>_xlfn.XLOOKUP(tbl_明細[[#This Row],[商品ID]],商品マスタ[商品連番],商品マスタ[国内定価
（15％）],"",0,1)</f>
        <v/>
      </c>
      <c r="J127" s="265" t="n"/>
      <c r="K127" s="209" t="n"/>
      <c r="L127" s="77">
        <f>_xlfn.XLOOKUP(tbl_明細[[#This Row],[商品ID]],商品マスタ[商品連番],商品マスタ[単位],"",0,1)</f>
        <v/>
      </c>
      <c r="M127" s="249">
        <f>1-tbl_明細[[#This Row],[仕入価格]]/tbl_明細[[#This Row],[販売価格（売値）]]</f>
        <v/>
      </c>
      <c r="N127" s="189">
        <f>_xlfn.XLOOKUP(tbl_明細[[#This Row],[商品ID]],商品マスタ[商品連番],商品マスタ[税率],"",0,1)</f>
        <v/>
      </c>
      <c r="O127" s="266" t="inlineStr">
        <is>
          <t>小樽水産加工業協同組合</t>
        </is>
      </c>
      <c r="P127" s="209" t="inlineStr">
        <is>
          <t>ヤン衆まるごと鰊180g</t>
        </is>
      </c>
      <c r="Q127" s="265" t="n">
        <v>400</v>
      </c>
      <c r="R127" s="265" t="n">
        <v>470</v>
      </c>
      <c r="S127" s="209" t="n">
        <v>20</v>
      </c>
      <c r="T127" s="209" t="inlineStr">
        <is>
          <t>個</t>
        </is>
      </c>
      <c r="U127" s="267" t="n">
        <v>0.08</v>
      </c>
      <c r="V127" s="267" t="n"/>
      <c r="W127" s="268" t="n"/>
      <c r="X127" s="306">
        <f>tbl_明細[[#This Row],[仕入価格]]*tbl_明細[[#This Row],[数量]]+tbl_明細[[#This Row],[仕入価格（M)]]*tbl_明細[[#This Row],[数量（M)]]</f>
        <v/>
      </c>
      <c r="Y127" s="306">
        <f>tbl_明細[[#This Row],[販売価格（売値）]]*tbl_明細[[#This Row],[数量]]+tbl_明細[[#This Row],[販売価格（M)]]*tbl_明細[[#This Row],[数量（M)]]</f>
        <v/>
      </c>
      <c r="Z127" s="307">
        <f>_xlfn.XLOOKUP(tbl_明細[[#This Row],[案件番号]],tbl_案件追跡[案件番号],tbl_案件追跡[受注],"",0,1)</f>
        <v/>
      </c>
      <c r="AA127" s="228">
        <f>tbl_明細[[#This Row],[販売価格（売値）]]+tbl_明細[[#This Row],[販売価格（M)]]</f>
        <v/>
      </c>
      <c r="AB127" s="261">
        <f>tbl_明細[[#This Row],[販売価格（売値）]]*1.08+tbl_明細[[#This Row],[販売価格（M)]]*1.08</f>
        <v/>
      </c>
    </row>
    <row r="128">
      <c r="A128" s="212" t="inlineStr">
        <is>
          <t>2603-1004-S01</t>
        </is>
      </c>
      <c r="B128" s="77">
        <f>IF(ISBLANK(tbl_明細[[#This Row],[案件番号]]),"",COUNTIFS($A$3:A128,tbl_明細[[#This Row],[案件番号]],$AA$3:AA128,"&gt;0"))</f>
        <v/>
      </c>
      <c r="C128" s="209">
        <f>COUNTIFS($A$3:A128,tbl_明細[[#This Row],[案件番号]],$F$3:F128,tbl_明細[[#This Row],[仕入先]])</f>
        <v/>
      </c>
      <c r="D128" s="77">
        <f>_xlfn.XLOOKUP(tbl_明細[[#This Row],[案件番号]],tbl_採番[案件番号],tbl_採番[顧客],"",0,1)</f>
        <v/>
      </c>
      <c r="E128" s="209" t="inlineStr">
        <is>
          <t>PRD_SNJ_OTS_0005_01</t>
        </is>
      </c>
      <c r="F128" s="118">
        <f>IF(ISBLANK(tbl_明細[[#This Row],[仕入先（M)]]),_xlfn.XLOOKUP(tbl_明細[[#This Row],[商品ID]],商品マスタ[商品連番],商品マスタ[仕入先],"",0,1),tbl_明細[[#This Row],[仕入先（M)]])</f>
        <v/>
      </c>
      <c r="G128" s="112">
        <f>IF(ISBLANK(tbl_明細[[#This Row],[商品名（M)]]),_xlfn.XLOOKUP(tbl_明細[[#This Row],[商品ID]],商品マスタ[商品連番],商品マスタ[商品名],"",0,),tbl_明細[[#This Row],[商品名（M)]])</f>
        <v/>
      </c>
      <c r="H128" s="80">
        <f>IF(ISBLANK(tbl_明細[[#This Row],[仕入価格（M)]]),_xlfn.XLOOKUP(tbl_明細[[#This Row],[商品ID]],商品マスタ[商品連番],商品マスタ[仕入
単価],"",0,1),tbl_明細[[#This Row],[仕入価格（M)]])</f>
        <v/>
      </c>
      <c r="I128" s="80">
        <f>_xlfn.XLOOKUP(tbl_明細[[#This Row],[商品ID]],商品マスタ[商品連番],商品マスタ[国内定価
（15％）],"",0,1)</f>
        <v/>
      </c>
      <c r="J128" s="265" t="n">
        <v>460</v>
      </c>
      <c r="K128" s="209" t="n">
        <v>20</v>
      </c>
      <c r="L128" s="77">
        <f>_xlfn.XLOOKUP(tbl_明細[[#This Row],[商品ID]],商品マスタ[商品連番],商品マスタ[単位],"",0,1)</f>
        <v/>
      </c>
      <c r="M128" s="249">
        <f>1-tbl_明細[[#This Row],[仕入価格]]/tbl_明細[[#This Row],[販売価格（売値）]]</f>
        <v/>
      </c>
      <c r="N128" s="189">
        <f>_xlfn.XLOOKUP(tbl_明細[[#This Row],[商品ID]],商品マスタ[商品連番],商品マスタ[税率],"",0,1)</f>
        <v/>
      </c>
      <c r="O128" s="266" t="n"/>
      <c r="P128" s="209" t="n"/>
      <c r="Q128" s="265" t="n"/>
      <c r="R128" s="265" t="n"/>
      <c r="S128" s="209" t="n"/>
      <c r="T128" s="209" t="n"/>
      <c r="U128" s="267" t="n"/>
      <c r="V128" s="267" t="n"/>
      <c r="W128" s="268" t="n"/>
      <c r="X128" s="306">
        <f>tbl_明細[[#This Row],[仕入価格]]*tbl_明細[[#This Row],[数量]]+tbl_明細[[#This Row],[仕入価格（M)]]*tbl_明細[[#This Row],[数量（M)]]</f>
        <v/>
      </c>
      <c r="Y128" s="306">
        <f>tbl_明細[[#This Row],[販売価格（売値）]]*tbl_明細[[#This Row],[数量]]+tbl_明細[[#This Row],[販売価格（M)]]*tbl_明細[[#This Row],[数量（M)]]</f>
        <v/>
      </c>
      <c r="Z128" s="307">
        <f>_xlfn.XLOOKUP(tbl_明細[[#This Row],[案件番号]],tbl_案件追跡[案件番号],tbl_案件追跡[受注],"",0,1)</f>
        <v/>
      </c>
      <c r="AA128" s="228">
        <f>tbl_明細[[#This Row],[販売価格（売値）]]+tbl_明細[[#This Row],[販売価格（M)]]</f>
        <v/>
      </c>
      <c r="AB128" s="261">
        <f>tbl_明細[[#This Row],[販売価格（売値）]]*1.08+tbl_明細[[#This Row],[販売価格（M)]]*1.08</f>
        <v/>
      </c>
    </row>
    <row r="129">
      <c r="A129" s="212" t="inlineStr">
        <is>
          <t>2603-1004-S01</t>
        </is>
      </c>
      <c r="B129" s="77">
        <f>IF(ISBLANK(tbl_明細[[#This Row],[案件番号]]),"",COUNTIFS($A$3:A129,tbl_明細[[#This Row],[案件番号]],$AA$3:AA129,"&gt;0"))</f>
        <v/>
      </c>
      <c r="C129" s="209">
        <f>COUNTIFS($A$3:A129,tbl_明細[[#This Row],[案件番号]],$F$3:F129,tbl_明細[[#This Row],[仕入先]])</f>
        <v/>
      </c>
      <c r="D129" s="77">
        <f>_xlfn.XLOOKUP(tbl_明細[[#This Row],[案件番号]],tbl_採番[案件番号],tbl_採番[顧客],"",0,1)</f>
        <v/>
      </c>
      <c r="E129" s="209" t="inlineStr">
        <is>
          <t>other</t>
        </is>
      </c>
      <c r="F129" s="118">
        <f>IF(ISBLANK(tbl_明細[[#This Row],[仕入先（M)]]),_xlfn.XLOOKUP(tbl_明細[[#This Row],[商品ID]],商品マスタ[商品連番],商品マスタ[仕入先],"",0,1),tbl_明細[[#This Row],[仕入先（M)]])</f>
        <v/>
      </c>
      <c r="G129" s="112">
        <f>IF(ISBLANK(tbl_明細[[#This Row],[商品名（M)]]),_xlfn.XLOOKUP(tbl_明細[[#This Row],[商品ID]],商品マスタ[商品連番],商品マスタ[商品名],"",0,),tbl_明細[[#This Row],[商品名（M)]])</f>
        <v/>
      </c>
      <c r="H129" s="80">
        <f>IF(ISBLANK(tbl_明細[[#This Row],[仕入価格（M)]]),_xlfn.XLOOKUP(tbl_明細[[#This Row],[商品ID]],商品マスタ[商品連番],商品マスタ[仕入
単価],"",0,1),tbl_明細[[#This Row],[仕入価格（M)]])</f>
        <v/>
      </c>
      <c r="I129" s="80">
        <f>_xlfn.XLOOKUP(tbl_明細[[#This Row],[商品ID]],商品マスタ[商品連番],商品マスタ[国内定価
（15％）],"",0,1)</f>
        <v/>
      </c>
      <c r="J129" s="265" t="n"/>
      <c r="K129" s="209" t="n"/>
      <c r="L129" s="77">
        <f>_xlfn.XLOOKUP(tbl_明細[[#This Row],[商品ID]],商品マスタ[商品連番],商品マスタ[単位],"",0,1)</f>
        <v/>
      </c>
      <c r="M129" s="249">
        <f>1-tbl_明細[[#This Row],[仕入価格]]/tbl_明細[[#This Row],[販売価格（売値）]]</f>
        <v/>
      </c>
      <c r="N129" s="189">
        <f>_xlfn.XLOOKUP(tbl_明細[[#This Row],[商品ID]],商品マスタ[商品連番],商品マスタ[税率],"",0,1)</f>
        <v/>
      </c>
      <c r="O129" s="266" t="inlineStr">
        <is>
          <t>小樽水産加工業協同組合</t>
        </is>
      </c>
      <c r="P129" s="209" t="inlineStr">
        <is>
          <t>ししゃも甘露煮90g</t>
        </is>
      </c>
      <c r="Q129" s="265" t="n">
        <v>370</v>
      </c>
      <c r="R129" s="265" t="n">
        <v>460</v>
      </c>
      <c r="S129" s="209" t="n">
        <v>20</v>
      </c>
      <c r="T129" s="209" t="inlineStr">
        <is>
          <t>個</t>
        </is>
      </c>
      <c r="U129" s="267" t="n">
        <v>0.08</v>
      </c>
      <c r="V129" s="267" t="n"/>
      <c r="W129" s="268" t="n"/>
      <c r="X129" s="306">
        <f>tbl_明細[[#This Row],[仕入価格]]*tbl_明細[[#This Row],[数量]]+tbl_明細[[#This Row],[仕入価格（M)]]*tbl_明細[[#This Row],[数量（M)]]</f>
        <v/>
      </c>
      <c r="Y129" s="306">
        <f>tbl_明細[[#This Row],[販売価格（売値）]]*tbl_明細[[#This Row],[数量]]+tbl_明細[[#This Row],[販売価格（M)]]*tbl_明細[[#This Row],[数量（M)]]</f>
        <v/>
      </c>
      <c r="Z129" s="307">
        <f>_xlfn.XLOOKUP(tbl_明細[[#This Row],[案件番号]],tbl_案件追跡[案件番号],tbl_案件追跡[受注],"",0,1)</f>
        <v/>
      </c>
      <c r="AA129" s="228">
        <f>tbl_明細[[#This Row],[販売価格（売値）]]+tbl_明細[[#This Row],[販売価格（M)]]</f>
        <v/>
      </c>
      <c r="AB129" s="261">
        <f>tbl_明細[[#This Row],[販売価格（売値）]]*1.08+tbl_明細[[#This Row],[販売価格（M)]]*1.08</f>
        <v/>
      </c>
    </row>
    <row r="130">
      <c r="A130" s="212" t="inlineStr">
        <is>
          <t>2603-1004-S01</t>
        </is>
      </c>
      <c r="B130" s="77">
        <f>IF(ISBLANK(tbl_明細[[#This Row],[案件番号]]),"",COUNTIFS($A$3:A130,tbl_明細[[#This Row],[案件番号]],$AA$3:AA130,"&gt;0"))</f>
        <v/>
      </c>
      <c r="C130" s="209">
        <f>COUNTIFS($A$3:A130,tbl_明細[[#This Row],[案件番号]],$F$3:F130,tbl_明細[[#This Row],[仕入先]])</f>
        <v/>
      </c>
      <c r="D130" s="77">
        <f>_xlfn.XLOOKUP(tbl_明細[[#This Row],[案件番号]],tbl_採番[案件番号],tbl_採番[顧客],"",0,1)</f>
        <v/>
      </c>
      <c r="E130" s="209" t="inlineStr">
        <is>
          <t>other</t>
        </is>
      </c>
      <c r="F130" s="118">
        <f>IF(ISBLANK(tbl_明細[[#This Row],[仕入先（M)]]),_xlfn.XLOOKUP(tbl_明細[[#This Row],[商品ID]],商品マスタ[商品連番],商品マスタ[仕入先],"",0,1),tbl_明細[[#This Row],[仕入先（M)]])</f>
        <v/>
      </c>
      <c r="G130" s="112">
        <f>IF(ISBLANK(tbl_明細[[#This Row],[商品名（M)]]),_xlfn.XLOOKUP(tbl_明細[[#This Row],[商品ID]],商品マスタ[商品連番],商品マスタ[商品名],"",0,),tbl_明細[[#This Row],[商品名（M)]])</f>
        <v/>
      </c>
      <c r="H130" s="80">
        <f>IF(ISBLANK(tbl_明細[[#This Row],[仕入価格（M)]]),_xlfn.XLOOKUP(tbl_明細[[#This Row],[商品ID]],商品マスタ[商品連番],商品マスタ[仕入
単価],"",0,1),tbl_明細[[#This Row],[仕入価格（M)]])</f>
        <v/>
      </c>
      <c r="I130" s="80">
        <f>_xlfn.XLOOKUP(tbl_明細[[#This Row],[商品ID]],商品マスタ[商品連番],商品マスタ[国内定価
（15％）],"",0,1)</f>
        <v/>
      </c>
      <c r="J130" s="265" t="n"/>
      <c r="K130" s="209" t="n"/>
      <c r="L130" s="77">
        <f>_xlfn.XLOOKUP(tbl_明細[[#This Row],[商品ID]],商品マスタ[商品連番],商品マスタ[単位],"",0,1)</f>
        <v/>
      </c>
      <c r="M130" s="249">
        <f>1-tbl_明細[[#This Row],[仕入価格]]/tbl_明細[[#This Row],[販売価格（売値）]]</f>
        <v/>
      </c>
      <c r="N130" s="189">
        <f>_xlfn.XLOOKUP(tbl_明細[[#This Row],[商品ID]],商品マスタ[商品連番],商品マスタ[税率],"",0,1)</f>
        <v/>
      </c>
      <c r="O130" s="266" t="inlineStr">
        <is>
          <t>小樽水産加工業協同組合</t>
        </is>
      </c>
      <c r="P130" s="209" t="inlineStr">
        <is>
          <t>おつまみにしん40g</t>
        </is>
      </c>
      <c r="Q130" s="265" t="n"/>
      <c r="R130" s="265" t="n">
        <v>330</v>
      </c>
      <c r="S130" s="209" t="n">
        <v>30</v>
      </c>
      <c r="T130" s="209" t="inlineStr">
        <is>
          <t>個</t>
        </is>
      </c>
      <c r="U130" s="267" t="n">
        <v>0.08</v>
      </c>
      <c r="V130" s="267" t="n"/>
      <c r="W130" s="268" t="n"/>
      <c r="X130" s="306">
        <f>tbl_明細[[#This Row],[仕入価格]]*tbl_明細[[#This Row],[数量]]+tbl_明細[[#This Row],[仕入価格（M)]]*tbl_明細[[#This Row],[数量（M)]]</f>
        <v/>
      </c>
      <c r="Y130" s="306">
        <f>tbl_明細[[#This Row],[販売価格（売値）]]*tbl_明細[[#This Row],[数量]]+tbl_明細[[#This Row],[販売価格（M)]]*tbl_明細[[#This Row],[数量（M)]]</f>
        <v/>
      </c>
      <c r="Z130" s="307">
        <f>_xlfn.XLOOKUP(tbl_明細[[#This Row],[案件番号]],tbl_案件追跡[案件番号],tbl_案件追跡[受注],"",0,1)</f>
        <v/>
      </c>
      <c r="AA130" s="228">
        <f>tbl_明細[[#This Row],[販売価格（売値）]]+tbl_明細[[#This Row],[販売価格（M)]]</f>
        <v/>
      </c>
      <c r="AB130" s="261">
        <f>tbl_明細[[#This Row],[販売価格（売値）]]*1.08+tbl_明細[[#This Row],[販売価格（M)]]*1.08</f>
        <v/>
      </c>
    </row>
    <row r="131">
      <c r="A131" s="212" t="inlineStr">
        <is>
          <t>2603-1004-S01</t>
        </is>
      </c>
      <c r="B131" s="77">
        <f>IF(ISBLANK(tbl_明細[[#This Row],[案件番号]]),"",COUNTIFS($A$3:A131,tbl_明細[[#This Row],[案件番号]],$AA$3:AA131,"&gt;0"))</f>
        <v/>
      </c>
      <c r="C131" s="209">
        <f>COUNTIFS($A$3:A131,tbl_明細[[#This Row],[案件番号]],$F$3:F131,tbl_明細[[#This Row],[仕入先]])</f>
        <v/>
      </c>
      <c r="D131" s="77">
        <f>_xlfn.XLOOKUP(tbl_明細[[#This Row],[案件番号]],tbl_採番[案件番号],tbl_採番[顧客],"",0,1)</f>
        <v/>
      </c>
      <c r="E131" s="209" t="inlineStr">
        <is>
          <t>other</t>
        </is>
      </c>
      <c r="F131" s="118">
        <f>IF(ISBLANK(tbl_明細[[#This Row],[仕入先（M)]]),_xlfn.XLOOKUP(tbl_明細[[#This Row],[商品ID]],商品マスタ[商品連番],商品マスタ[仕入先],"",0,1),tbl_明細[[#This Row],[仕入先（M)]])</f>
        <v/>
      </c>
      <c r="G131" s="112">
        <f>IF(ISBLANK(tbl_明細[[#This Row],[商品名（M)]]),_xlfn.XLOOKUP(tbl_明細[[#This Row],[商品ID]],商品マスタ[商品連番],商品マスタ[商品名],"",0,),tbl_明細[[#This Row],[商品名（M)]])</f>
        <v/>
      </c>
      <c r="H131" s="80">
        <f>IF(ISBLANK(tbl_明細[[#This Row],[仕入価格（M)]]),_xlfn.XLOOKUP(tbl_明細[[#This Row],[商品ID]],商品マスタ[商品連番],商品マスタ[仕入
単価],"",0,1),tbl_明細[[#This Row],[仕入価格（M)]])</f>
        <v/>
      </c>
      <c r="I131" s="80">
        <f>_xlfn.XLOOKUP(tbl_明細[[#This Row],[商品ID]],商品マスタ[商品連番],商品マスタ[国内定価
（15％）],"",0,1)</f>
        <v/>
      </c>
      <c r="J131" s="265" t="n"/>
      <c r="K131" s="209" t="n"/>
      <c r="L131" s="77">
        <f>_xlfn.XLOOKUP(tbl_明細[[#This Row],[商品ID]],商品マスタ[商品連番],商品マスタ[単位],"",0,1)</f>
        <v/>
      </c>
      <c r="M131" s="249">
        <f>1-tbl_明細[[#This Row],[仕入価格]]/tbl_明細[[#This Row],[販売価格（売値）]]</f>
        <v/>
      </c>
      <c r="N131" s="189">
        <f>_xlfn.XLOOKUP(tbl_明細[[#This Row],[商品ID]],商品マスタ[商品連番],商品マスタ[税率],"",0,1)</f>
        <v/>
      </c>
      <c r="O131" s="266" t="inlineStr">
        <is>
          <t>小樽水産加工業協同組合</t>
        </is>
      </c>
      <c r="P131" s="209" t="inlineStr">
        <is>
          <t>にしんかずのこ親子南蛮味噌100g</t>
        </is>
      </c>
      <c r="Q131" s="265" t="n"/>
      <c r="R131" s="265" t="n">
        <v>420</v>
      </c>
      <c r="S131" s="209" t="n">
        <v>30</v>
      </c>
      <c r="T131" s="209" t="inlineStr">
        <is>
          <t>個</t>
        </is>
      </c>
      <c r="U131" s="267" t="n">
        <v>0.08</v>
      </c>
      <c r="V131" s="267" t="n"/>
      <c r="W131" s="268" t="n"/>
      <c r="X131" s="306">
        <f>tbl_明細[[#This Row],[仕入価格]]*tbl_明細[[#This Row],[数量]]+tbl_明細[[#This Row],[仕入価格（M)]]*tbl_明細[[#This Row],[数量（M)]]</f>
        <v/>
      </c>
      <c r="Y131" s="306">
        <f>tbl_明細[[#This Row],[販売価格（売値）]]*tbl_明細[[#This Row],[数量]]+tbl_明細[[#This Row],[販売価格（M)]]*tbl_明細[[#This Row],[数量（M)]]</f>
        <v/>
      </c>
      <c r="Z131" s="307">
        <f>_xlfn.XLOOKUP(tbl_明細[[#This Row],[案件番号]],tbl_案件追跡[案件番号],tbl_案件追跡[受注],"",0,1)</f>
        <v/>
      </c>
      <c r="AA131" s="228">
        <f>tbl_明細[[#This Row],[販売価格（売値）]]+tbl_明細[[#This Row],[販売価格（M)]]</f>
        <v/>
      </c>
      <c r="AB131" s="261">
        <f>tbl_明細[[#This Row],[販売価格（売値）]]*1.08+tbl_明細[[#This Row],[販売価格（M)]]*1.08</f>
        <v/>
      </c>
    </row>
    <row r="132">
      <c r="A132" s="212" t="inlineStr">
        <is>
          <t>2603-1004-S01</t>
        </is>
      </c>
      <c r="B132" s="77">
        <f>IF(ISBLANK(tbl_明細[[#This Row],[案件番号]]),"",COUNTIFS($A$3:A132,tbl_明細[[#This Row],[案件番号]],$AA$3:AA132,"&gt;0"))</f>
        <v/>
      </c>
      <c r="C132" s="209">
        <f>COUNTIFS($A$3:A132,tbl_明細[[#This Row],[案件番号]],$F$3:F132,tbl_明細[[#This Row],[仕入先]])</f>
        <v/>
      </c>
      <c r="D132" s="77">
        <f>_xlfn.XLOOKUP(tbl_明細[[#This Row],[案件番号]],tbl_採番[案件番号],tbl_採番[顧客],"",0,1)</f>
        <v/>
      </c>
      <c r="E132" s="209" t="inlineStr">
        <is>
          <t>PRD_SNJ_YSS_0002_01</t>
        </is>
      </c>
      <c r="F132" s="118">
        <f>IF(ISBLANK(tbl_明細[[#This Row],[仕入先（M)]]),_xlfn.XLOOKUP(tbl_明細[[#This Row],[商品ID]],商品マスタ[商品連番],商品マスタ[仕入先],"",0,1),tbl_明細[[#This Row],[仕入先（M)]])</f>
        <v/>
      </c>
      <c r="G132" s="112">
        <f>IF(ISBLANK(tbl_明細[[#This Row],[商品名（M)]]),_xlfn.XLOOKUP(tbl_明細[[#This Row],[商品ID]],商品マスタ[商品連番],商品マスタ[商品名],"",0,),tbl_明細[[#This Row],[商品名（M)]])</f>
        <v/>
      </c>
      <c r="H132" s="80">
        <f>IF(ISBLANK(tbl_明細[[#This Row],[仕入価格（M)]]),_xlfn.XLOOKUP(tbl_明細[[#This Row],[商品ID]],商品マスタ[商品連番],商品マスタ[仕入
単価],"",0,1),tbl_明細[[#This Row],[仕入価格（M)]])</f>
        <v/>
      </c>
      <c r="I132" s="80">
        <f>_xlfn.XLOOKUP(tbl_明細[[#This Row],[商品ID]],商品マスタ[商品連番],商品マスタ[国内定価
（15％）],"",0,1)</f>
        <v/>
      </c>
      <c r="J132" s="265" t="n">
        <v>1050</v>
      </c>
      <c r="K132" s="209" t="n">
        <v>25</v>
      </c>
      <c r="L132" s="77">
        <f>_xlfn.XLOOKUP(tbl_明細[[#This Row],[商品ID]],商品マスタ[商品連番],商品マスタ[単位],"",0,1)</f>
        <v/>
      </c>
      <c r="M132" s="249">
        <f>1-tbl_明細[[#This Row],[仕入価格]]/tbl_明細[[#This Row],[販売価格（売値）]]</f>
        <v/>
      </c>
      <c r="N132" s="189">
        <f>_xlfn.XLOOKUP(tbl_明細[[#This Row],[商品ID]],商品マスタ[商品連番],商品マスタ[税率],"",0,1)</f>
        <v/>
      </c>
      <c r="O132" s="266" t="n"/>
      <c r="P132" s="209" t="n"/>
      <c r="Q132" s="265" t="n"/>
      <c r="R132" s="265" t="n"/>
      <c r="S132" s="209" t="n"/>
      <c r="T132" s="209" t="n"/>
      <c r="U132" s="267" t="n"/>
      <c r="V132" s="267" t="n"/>
      <c r="W132" s="268" t="n"/>
      <c r="X132" s="306">
        <f>tbl_明細[[#This Row],[仕入価格]]*tbl_明細[[#This Row],[数量]]+tbl_明細[[#This Row],[仕入価格（M)]]*tbl_明細[[#This Row],[数量（M)]]</f>
        <v/>
      </c>
      <c r="Y132" s="306">
        <f>tbl_明細[[#This Row],[販売価格（売値）]]*tbl_明細[[#This Row],[数量]]+tbl_明細[[#This Row],[販売価格（M)]]*tbl_明細[[#This Row],[数量（M)]]</f>
        <v/>
      </c>
      <c r="Z132" s="307">
        <f>_xlfn.XLOOKUP(tbl_明細[[#This Row],[案件番号]],tbl_案件追跡[案件番号],tbl_案件追跡[受注],"",0,1)</f>
        <v/>
      </c>
      <c r="AA132" s="228">
        <f>tbl_明細[[#This Row],[販売価格（売値）]]+tbl_明細[[#This Row],[販売価格（M)]]</f>
        <v/>
      </c>
      <c r="AB132" s="261">
        <f>tbl_明細[[#This Row],[販売価格（売値）]]*1.08+tbl_明細[[#This Row],[販売価格（M)]]*1.08</f>
        <v/>
      </c>
    </row>
    <row r="133">
      <c r="A133" s="212" t="inlineStr">
        <is>
          <t>2603-1004-S01</t>
        </is>
      </c>
      <c r="B133" s="77">
        <f>IF(ISBLANK(tbl_明細[[#This Row],[案件番号]]),"",COUNTIFS($A$3:A133,tbl_明細[[#This Row],[案件番号]],$AA$3:AA133,"&gt;0"))</f>
        <v/>
      </c>
      <c r="C133" s="209">
        <f>COUNTIFS($A$3:A133,tbl_明細[[#This Row],[案件番号]],$F$3:F133,tbl_明細[[#This Row],[仕入先]])</f>
        <v/>
      </c>
      <c r="D133" s="77">
        <f>_xlfn.XLOOKUP(tbl_明細[[#This Row],[案件番号]],tbl_採番[案件番号],tbl_採番[顧客],"",0,1)</f>
        <v/>
      </c>
      <c r="E133" s="209" t="inlineStr">
        <is>
          <t>PRD_SNJ_YSS_0003_01</t>
        </is>
      </c>
      <c r="F133" s="118">
        <f>IF(ISBLANK(tbl_明細[[#This Row],[仕入先（M)]]),_xlfn.XLOOKUP(tbl_明細[[#This Row],[商品ID]],商品マスタ[商品連番],商品マスタ[仕入先],"",0,1),tbl_明細[[#This Row],[仕入先（M)]])</f>
        <v/>
      </c>
      <c r="G133" s="112">
        <f>IF(ISBLANK(tbl_明細[[#This Row],[商品名（M)]]),_xlfn.XLOOKUP(tbl_明細[[#This Row],[商品ID]],商品マスタ[商品連番],商品マスタ[商品名],"",0,),tbl_明細[[#This Row],[商品名（M)]])</f>
        <v/>
      </c>
      <c r="H133" s="80">
        <f>IF(ISBLANK(tbl_明細[[#This Row],[仕入価格（M)]]),_xlfn.XLOOKUP(tbl_明細[[#This Row],[商品ID]],商品マスタ[商品連番],商品マスタ[仕入
単価],"",0,1),tbl_明細[[#This Row],[仕入価格（M)]])</f>
        <v/>
      </c>
      <c r="I133" s="80">
        <f>_xlfn.XLOOKUP(tbl_明細[[#This Row],[商品ID]],商品マスタ[商品連番],商品マスタ[国内定価
（15％）],"",0,1)</f>
        <v/>
      </c>
      <c r="J133" s="265" t="n">
        <v>736</v>
      </c>
      <c r="K133" s="209" t="n">
        <v>25</v>
      </c>
      <c r="L133" s="77">
        <f>_xlfn.XLOOKUP(tbl_明細[[#This Row],[商品ID]],商品マスタ[商品連番],商品マスタ[単位],"",0,1)</f>
        <v/>
      </c>
      <c r="M133" s="249">
        <f>1-tbl_明細[[#This Row],[仕入価格]]/tbl_明細[[#This Row],[販売価格（売値）]]</f>
        <v/>
      </c>
      <c r="N133" s="189">
        <f>_xlfn.XLOOKUP(tbl_明細[[#This Row],[商品ID]],商品マスタ[商品連番],商品マスタ[税率],"",0,1)</f>
        <v/>
      </c>
      <c r="O133" s="266" t="n"/>
      <c r="P133" s="209" t="n"/>
      <c r="Q133" s="265" t="n"/>
      <c r="R133" s="265" t="n"/>
      <c r="S133" s="209" t="n"/>
      <c r="T133" s="209" t="n"/>
      <c r="U133" s="267" t="n"/>
      <c r="V133" s="267" t="n"/>
      <c r="W133" s="268" t="n"/>
      <c r="X133" s="306">
        <f>tbl_明細[[#This Row],[仕入価格]]*tbl_明細[[#This Row],[数量]]+tbl_明細[[#This Row],[仕入価格（M)]]*tbl_明細[[#This Row],[数量（M)]]</f>
        <v/>
      </c>
      <c r="Y133" s="306">
        <f>tbl_明細[[#This Row],[販売価格（売値）]]*tbl_明細[[#This Row],[数量]]+tbl_明細[[#This Row],[販売価格（M)]]*tbl_明細[[#This Row],[数量（M)]]</f>
        <v/>
      </c>
      <c r="Z133" s="307">
        <f>_xlfn.XLOOKUP(tbl_明細[[#This Row],[案件番号]],tbl_案件追跡[案件番号],tbl_案件追跡[受注],"",0,1)</f>
        <v/>
      </c>
      <c r="AA133" s="228">
        <f>tbl_明細[[#This Row],[販売価格（売値）]]+tbl_明細[[#This Row],[販売価格（M)]]</f>
        <v/>
      </c>
      <c r="AB133" s="261">
        <f>tbl_明細[[#This Row],[販売価格（売値）]]*1.08+tbl_明細[[#This Row],[販売価格（M)]]*1.08</f>
        <v/>
      </c>
    </row>
    <row r="134">
      <c r="A134" s="212" t="inlineStr">
        <is>
          <t>2603-1004-S01</t>
        </is>
      </c>
      <c r="B134" s="77">
        <f>IF(ISBLANK(tbl_明細[[#This Row],[案件番号]]),"",COUNTIFS($A$3:A134,tbl_明細[[#This Row],[案件番号]],$AA$3:AA134,"&gt;0"))</f>
        <v/>
      </c>
      <c r="C134" s="209">
        <f>COUNTIFS($A$3:A134,tbl_明細[[#This Row],[案件番号]],$F$3:F134,tbl_明細[[#This Row],[仕入先]])</f>
        <v/>
      </c>
      <c r="D134" s="77">
        <f>_xlfn.XLOOKUP(tbl_明細[[#This Row],[案件番号]],tbl_採番[案件番号],tbl_採番[顧客],"",0,1)</f>
        <v/>
      </c>
      <c r="E134" s="209" t="inlineStr">
        <is>
          <t>PRD_SNJ_AKS_0001_01</t>
        </is>
      </c>
      <c r="F134" s="118">
        <f>IF(ISBLANK(tbl_明細[[#This Row],[仕入先（M)]]),_xlfn.XLOOKUP(tbl_明細[[#This Row],[商品ID]],商品マスタ[商品連番],商品マスタ[仕入先],"",0,1),tbl_明細[[#This Row],[仕入先（M)]])</f>
        <v/>
      </c>
      <c r="G134" s="112">
        <f>IF(ISBLANK(tbl_明細[[#This Row],[商品名（M)]]),_xlfn.XLOOKUP(tbl_明細[[#This Row],[商品ID]],商品マスタ[商品連番],商品マスタ[商品名],"",0,),tbl_明細[[#This Row],[商品名（M)]])</f>
        <v/>
      </c>
      <c r="H134" s="80">
        <f>IF(ISBLANK(tbl_明細[[#This Row],[仕入価格（M)]]),_xlfn.XLOOKUP(tbl_明細[[#This Row],[商品ID]],商品マスタ[商品連番],商品マスタ[仕入
単価],"",0,1),tbl_明細[[#This Row],[仕入価格（M)]])</f>
        <v/>
      </c>
      <c r="I134" s="80">
        <f>_xlfn.XLOOKUP(tbl_明細[[#This Row],[商品ID]],商品マスタ[商品連番],商品マスタ[国内定価
（15％）],"",0,1)</f>
        <v/>
      </c>
      <c r="J134" s="265" t="n">
        <v>400</v>
      </c>
      <c r="K134" s="209" t="n">
        <v>60</v>
      </c>
      <c r="L134" s="77">
        <f>_xlfn.XLOOKUP(tbl_明細[[#This Row],[商品ID]],商品マスタ[商品連番],商品マスタ[単位],"",0,1)</f>
        <v/>
      </c>
      <c r="M134" s="249">
        <f>1-tbl_明細[[#This Row],[仕入価格]]/tbl_明細[[#This Row],[販売価格（売値）]]</f>
        <v/>
      </c>
      <c r="N134" s="189">
        <f>_xlfn.XLOOKUP(tbl_明細[[#This Row],[商品ID]],商品マスタ[商品連番],商品マスタ[税率],"",0,1)</f>
        <v/>
      </c>
      <c r="O134" s="266" t="n"/>
      <c r="P134" s="209" t="n"/>
      <c r="Q134" s="265" t="n"/>
      <c r="R134" s="265" t="n"/>
      <c r="S134" s="209" t="n"/>
      <c r="T134" s="209" t="n"/>
      <c r="U134" s="267" t="n"/>
      <c r="V134" s="267" t="n"/>
      <c r="W134" s="268" t="n"/>
      <c r="X134" s="306">
        <f>tbl_明細[[#This Row],[仕入価格]]*tbl_明細[[#This Row],[数量]]+tbl_明細[[#This Row],[仕入価格（M)]]*tbl_明細[[#This Row],[数量（M)]]</f>
        <v/>
      </c>
      <c r="Y134" s="306">
        <f>tbl_明細[[#This Row],[販売価格（売値）]]*tbl_明細[[#This Row],[数量]]+tbl_明細[[#This Row],[販売価格（M)]]*tbl_明細[[#This Row],[数量（M)]]</f>
        <v/>
      </c>
      <c r="Z134" s="307">
        <f>_xlfn.XLOOKUP(tbl_明細[[#This Row],[案件番号]],tbl_案件追跡[案件番号],tbl_案件追跡[受注],"",0,1)</f>
        <v/>
      </c>
      <c r="AA134" s="228">
        <f>tbl_明細[[#This Row],[販売価格（売値）]]+tbl_明細[[#This Row],[販売価格（M)]]</f>
        <v/>
      </c>
      <c r="AB134" s="261">
        <f>tbl_明細[[#This Row],[販売価格（売値）]]*1.08+tbl_明細[[#This Row],[販売価格（M)]]*1.08</f>
        <v/>
      </c>
    </row>
    <row r="135">
      <c r="A135" s="212" t="inlineStr">
        <is>
          <t>2603-1004-S01</t>
        </is>
      </c>
      <c r="B135" s="77">
        <f>IF(ISBLANK(tbl_明細[[#This Row],[案件番号]]),"",COUNTIFS($A$3:A135,tbl_明細[[#This Row],[案件番号]],$AA$3:AA135,"&gt;0"))</f>
        <v/>
      </c>
      <c r="C135" s="209">
        <f>COUNTIFS($A$3:A135,tbl_明細[[#This Row],[案件番号]],$F$3:F135,tbl_明細[[#This Row],[仕入先]])</f>
        <v/>
      </c>
      <c r="D135" s="77">
        <f>_xlfn.XLOOKUP(tbl_明細[[#This Row],[案件番号]],tbl_採番[案件番号],tbl_採番[顧客],"",0,1)</f>
        <v/>
      </c>
      <c r="E135" s="209" t="inlineStr">
        <is>
          <t>PRD_SNJ_AKS_0003_01</t>
        </is>
      </c>
      <c r="F135" s="118">
        <f>IF(ISBLANK(tbl_明細[[#This Row],[仕入先（M)]]),_xlfn.XLOOKUP(tbl_明細[[#This Row],[商品ID]],商品マスタ[商品連番],商品マスタ[仕入先],"",0,1),tbl_明細[[#This Row],[仕入先（M)]])</f>
        <v/>
      </c>
      <c r="G135" s="112">
        <f>IF(ISBLANK(tbl_明細[[#This Row],[商品名（M)]]),_xlfn.XLOOKUP(tbl_明細[[#This Row],[商品ID]],商品マスタ[商品連番],商品マスタ[商品名],"",0,),tbl_明細[[#This Row],[商品名（M)]])</f>
        <v/>
      </c>
      <c r="H135" s="80">
        <f>IF(ISBLANK(tbl_明細[[#This Row],[仕入価格（M)]]),_xlfn.XLOOKUP(tbl_明細[[#This Row],[商品ID]],商品マスタ[商品連番],商品マスタ[仕入
単価],"",0,1),tbl_明細[[#This Row],[仕入価格（M)]])</f>
        <v/>
      </c>
      <c r="I135" s="80">
        <f>_xlfn.XLOOKUP(tbl_明細[[#This Row],[商品ID]],商品マスタ[商品連番],商品マスタ[国内定価
（15％）],"",0,1)</f>
        <v/>
      </c>
      <c r="J135" s="265" t="n">
        <v>240</v>
      </c>
      <c r="K135" s="209" t="n">
        <v>30</v>
      </c>
      <c r="L135" s="77">
        <f>_xlfn.XLOOKUP(tbl_明細[[#This Row],[商品ID]],商品マスタ[商品連番],商品マスタ[単位],"",0,1)</f>
        <v/>
      </c>
      <c r="M135" s="249">
        <f>1-tbl_明細[[#This Row],[仕入価格]]/tbl_明細[[#This Row],[販売価格（売値）]]</f>
        <v/>
      </c>
      <c r="N135" s="189">
        <f>_xlfn.XLOOKUP(tbl_明細[[#This Row],[商品ID]],商品マスタ[商品連番],商品マスタ[税率],"",0,1)</f>
        <v/>
      </c>
      <c r="O135" s="266" t="n"/>
      <c r="P135" s="209" t="n"/>
      <c r="Q135" s="265" t="n"/>
      <c r="R135" s="265" t="n"/>
      <c r="S135" s="209" t="n"/>
      <c r="T135" s="209" t="n"/>
      <c r="U135" s="267" t="n"/>
      <c r="V135" s="267" t="n"/>
      <c r="W135" s="268" t="n"/>
      <c r="X135" s="306">
        <f>tbl_明細[[#This Row],[仕入価格]]*tbl_明細[[#This Row],[数量]]+tbl_明細[[#This Row],[仕入価格（M)]]*tbl_明細[[#This Row],[数量（M)]]</f>
        <v/>
      </c>
      <c r="Y135" s="306">
        <f>tbl_明細[[#This Row],[販売価格（売値）]]*tbl_明細[[#This Row],[数量]]+tbl_明細[[#This Row],[販売価格（M)]]*tbl_明細[[#This Row],[数量（M)]]</f>
        <v/>
      </c>
      <c r="Z135" s="307">
        <f>_xlfn.XLOOKUP(tbl_明細[[#This Row],[案件番号]],tbl_案件追跡[案件番号],tbl_案件追跡[受注],"",0,1)</f>
        <v/>
      </c>
      <c r="AA135" s="228">
        <f>tbl_明細[[#This Row],[販売価格（売値）]]+tbl_明細[[#This Row],[販売価格（M)]]</f>
        <v/>
      </c>
      <c r="AB135" s="261">
        <f>tbl_明細[[#This Row],[販売価格（売値）]]*1.08+tbl_明細[[#This Row],[販売価格（M)]]*1.08</f>
        <v/>
      </c>
    </row>
    <row r="136">
      <c r="A136" s="212" t="inlineStr">
        <is>
          <t>2603-1004-S01</t>
        </is>
      </c>
      <c r="B136" s="77">
        <f>IF(ISBLANK(tbl_明細[[#This Row],[案件番号]]),"",COUNTIFS($A$3:A136,tbl_明細[[#This Row],[案件番号]],$AA$3:AA136,"&gt;0"))</f>
        <v/>
      </c>
      <c r="C136" s="209">
        <f>COUNTIFS($A$3:A136,tbl_明細[[#This Row],[案件番号]],$F$3:F136,tbl_明細[[#This Row],[仕入先]])</f>
        <v/>
      </c>
      <c r="D136" s="77">
        <f>_xlfn.XLOOKUP(tbl_明細[[#This Row],[案件番号]],tbl_採番[案件番号],tbl_採番[顧客],"",0,1)</f>
        <v/>
      </c>
      <c r="E136" s="209" t="inlineStr">
        <is>
          <t>PRD_SNJ_AKS_0004_01</t>
        </is>
      </c>
      <c r="F136" s="118">
        <f>IF(ISBLANK(tbl_明細[[#This Row],[仕入先（M)]]),_xlfn.XLOOKUP(tbl_明細[[#This Row],[商品ID]],商品マスタ[商品連番],商品マスタ[仕入先],"",0,1),tbl_明細[[#This Row],[仕入先（M)]])</f>
        <v/>
      </c>
      <c r="G136" s="112">
        <f>IF(ISBLANK(tbl_明細[[#This Row],[商品名（M)]]),_xlfn.XLOOKUP(tbl_明細[[#This Row],[商品ID]],商品マスタ[商品連番],商品マスタ[商品名],"",0,),tbl_明細[[#This Row],[商品名（M)]])</f>
        <v/>
      </c>
      <c r="H136" s="80">
        <f>IF(ISBLANK(tbl_明細[[#This Row],[仕入価格（M)]]),_xlfn.XLOOKUP(tbl_明細[[#This Row],[商品ID]],商品マスタ[商品連番],商品マスタ[仕入
単価],"",0,1),tbl_明細[[#This Row],[仕入価格（M)]])</f>
        <v/>
      </c>
      <c r="I136" s="80">
        <f>_xlfn.XLOOKUP(tbl_明細[[#This Row],[商品ID]],商品マスタ[商品連番],商品マスタ[国内定価
（15％）],"",0,1)</f>
        <v/>
      </c>
      <c r="J136" s="265" t="n">
        <v>240</v>
      </c>
      <c r="K136" s="209" t="n">
        <v>30</v>
      </c>
      <c r="L136" s="77">
        <f>_xlfn.XLOOKUP(tbl_明細[[#This Row],[商品ID]],商品マスタ[商品連番],商品マスタ[単位],"",0,1)</f>
        <v/>
      </c>
      <c r="M136" s="249">
        <f>1-tbl_明細[[#This Row],[仕入価格]]/tbl_明細[[#This Row],[販売価格（売値）]]</f>
        <v/>
      </c>
      <c r="N136" s="189">
        <f>_xlfn.XLOOKUP(tbl_明細[[#This Row],[商品ID]],商品マスタ[商品連番],商品マスタ[税率],"",0,1)</f>
        <v/>
      </c>
      <c r="O136" s="266" t="n"/>
      <c r="P136" s="209" t="n"/>
      <c r="Q136" s="265" t="n"/>
      <c r="R136" s="265" t="n"/>
      <c r="S136" s="209" t="n"/>
      <c r="T136" s="209" t="n"/>
      <c r="U136" s="267" t="n"/>
      <c r="V136" s="267" t="n"/>
      <c r="W136" s="268" t="n"/>
      <c r="X136" s="306">
        <f>tbl_明細[[#This Row],[仕入価格]]*tbl_明細[[#This Row],[数量]]+tbl_明細[[#This Row],[仕入価格（M)]]*tbl_明細[[#This Row],[数量（M)]]</f>
        <v/>
      </c>
      <c r="Y136" s="306">
        <f>tbl_明細[[#This Row],[販売価格（売値）]]*tbl_明細[[#This Row],[数量]]+tbl_明細[[#This Row],[販売価格（M)]]*tbl_明細[[#This Row],[数量（M)]]</f>
        <v/>
      </c>
      <c r="Z136" s="307">
        <f>_xlfn.XLOOKUP(tbl_明細[[#This Row],[案件番号]],tbl_案件追跡[案件番号],tbl_案件追跡[受注],"",0,1)</f>
        <v/>
      </c>
      <c r="AA136" s="228">
        <f>tbl_明細[[#This Row],[販売価格（売値）]]+tbl_明細[[#This Row],[販売価格（M)]]</f>
        <v/>
      </c>
      <c r="AB136" s="261">
        <f>tbl_明細[[#This Row],[販売価格（売値）]]*1.08+tbl_明細[[#This Row],[販売価格（M)]]*1.08</f>
        <v/>
      </c>
    </row>
    <row r="137">
      <c r="A137" s="212" t="inlineStr">
        <is>
          <t>2603-1004-S01</t>
        </is>
      </c>
      <c r="B137" s="77">
        <f>IF(ISBLANK(tbl_明細[[#This Row],[案件番号]]),"",COUNTIFS($A$3:A137,tbl_明細[[#This Row],[案件番号]],$AA$3:AA137,"&gt;0"))</f>
        <v/>
      </c>
      <c r="C137" s="209">
        <f>COUNTIFS($A$3:A137,tbl_明細[[#This Row],[案件番号]],$F$3:F137,tbl_明細[[#This Row],[仕入先]])</f>
        <v/>
      </c>
      <c r="D137" s="77">
        <f>_xlfn.XLOOKUP(tbl_明細[[#This Row],[案件番号]],tbl_採番[案件番号],tbl_採番[顧客],"",0,1)</f>
        <v/>
      </c>
      <c r="E137" s="209" t="inlineStr">
        <is>
          <t>PRD_SNJ_AKS_0005_01</t>
        </is>
      </c>
      <c r="F137" s="118">
        <f>IF(ISBLANK(tbl_明細[[#This Row],[仕入先（M)]]),_xlfn.XLOOKUP(tbl_明細[[#This Row],[商品ID]],商品マスタ[商品連番],商品マスタ[仕入先],"",0,1),tbl_明細[[#This Row],[仕入先（M)]])</f>
        <v/>
      </c>
      <c r="G137" s="112">
        <f>IF(ISBLANK(tbl_明細[[#This Row],[商品名（M)]]),_xlfn.XLOOKUP(tbl_明細[[#This Row],[商品ID]],商品マスタ[商品連番],商品マスタ[商品名],"",0,),tbl_明細[[#This Row],[商品名（M)]])</f>
        <v/>
      </c>
      <c r="H137" s="80">
        <f>IF(ISBLANK(tbl_明細[[#This Row],[仕入価格（M)]]),_xlfn.XLOOKUP(tbl_明細[[#This Row],[商品ID]],商品マスタ[商品連番],商品マスタ[仕入
単価],"",0,1),tbl_明細[[#This Row],[仕入価格（M)]])</f>
        <v/>
      </c>
      <c r="I137" s="80">
        <f>_xlfn.XLOOKUP(tbl_明細[[#This Row],[商品ID]],商品マスタ[商品連番],商品マスタ[国内定価
（15％）],"",0,1)</f>
        <v/>
      </c>
      <c r="J137" s="265" t="n">
        <v>240</v>
      </c>
      <c r="K137" s="209" t="n">
        <v>30</v>
      </c>
      <c r="L137" s="77">
        <f>_xlfn.XLOOKUP(tbl_明細[[#This Row],[商品ID]],商品マスタ[商品連番],商品マスタ[単位],"",0,1)</f>
        <v/>
      </c>
      <c r="M137" s="249">
        <f>1-tbl_明細[[#This Row],[仕入価格]]/tbl_明細[[#This Row],[販売価格（売値）]]</f>
        <v/>
      </c>
      <c r="N137" s="189">
        <f>_xlfn.XLOOKUP(tbl_明細[[#This Row],[商品ID]],商品マスタ[商品連番],商品マスタ[税率],"",0,1)</f>
        <v/>
      </c>
      <c r="O137" s="266" t="n"/>
      <c r="P137" s="209" t="n"/>
      <c r="Q137" s="265" t="n"/>
      <c r="R137" s="265" t="n"/>
      <c r="S137" s="209" t="n"/>
      <c r="T137" s="209" t="n"/>
      <c r="U137" s="267" t="n"/>
      <c r="V137" s="267" t="n"/>
      <c r="W137" s="268" t="n"/>
      <c r="X137" s="306">
        <f>tbl_明細[[#This Row],[仕入価格]]*tbl_明細[[#This Row],[数量]]+tbl_明細[[#This Row],[仕入価格（M)]]*tbl_明細[[#This Row],[数量（M)]]</f>
        <v/>
      </c>
      <c r="Y137" s="306">
        <f>tbl_明細[[#This Row],[販売価格（売値）]]*tbl_明細[[#This Row],[数量]]+tbl_明細[[#This Row],[販売価格（M)]]*tbl_明細[[#This Row],[数量（M)]]</f>
        <v/>
      </c>
      <c r="Z137" s="307">
        <f>_xlfn.XLOOKUP(tbl_明細[[#This Row],[案件番号]],tbl_案件追跡[案件番号],tbl_案件追跡[受注],"",0,1)</f>
        <v/>
      </c>
      <c r="AA137" s="228">
        <f>tbl_明細[[#This Row],[販売価格（売値）]]+tbl_明細[[#This Row],[販売価格（M)]]</f>
        <v/>
      </c>
      <c r="AB137" s="261">
        <f>tbl_明細[[#This Row],[販売価格（売値）]]*1.08+tbl_明細[[#This Row],[販売価格（M)]]*1.08</f>
        <v/>
      </c>
    </row>
    <row r="138">
      <c r="A138" s="212" t="inlineStr">
        <is>
          <t>2603-1004-S01</t>
        </is>
      </c>
      <c r="B138" s="77">
        <f>IF(ISBLANK(tbl_明細[[#This Row],[案件番号]]),"",COUNTIFS($A$3:A138,tbl_明細[[#This Row],[案件番号]],$AA$3:AA138,"&gt;0"))</f>
        <v/>
      </c>
      <c r="C138" s="209">
        <f>COUNTIFS($A$3:A138,tbl_明細[[#This Row],[案件番号]],$F$3:F138,tbl_明細[[#This Row],[仕入先]])</f>
        <v/>
      </c>
      <c r="D138" s="77">
        <f>_xlfn.XLOOKUP(tbl_明細[[#This Row],[案件番号]],tbl_採番[案件番号],tbl_採番[顧客],"",0,1)</f>
        <v/>
      </c>
      <c r="E138" s="209" t="inlineStr">
        <is>
          <t>PRD_SNJ_HAD_0001_01</t>
        </is>
      </c>
      <c r="F138" s="118">
        <f>IF(ISBLANK(tbl_明細[[#This Row],[仕入先（M)]]),_xlfn.XLOOKUP(tbl_明細[[#This Row],[商品ID]],商品マスタ[商品連番],商品マスタ[仕入先],"",0,1),tbl_明細[[#This Row],[仕入先（M)]])</f>
        <v/>
      </c>
      <c r="G138" s="112">
        <f>IF(ISBLANK(tbl_明細[[#This Row],[商品名（M)]]),_xlfn.XLOOKUP(tbl_明細[[#This Row],[商品ID]],商品マスタ[商品連番],商品マスタ[商品名],"",0,),tbl_明細[[#This Row],[商品名（M)]])</f>
        <v/>
      </c>
      <c r="H138" s="80">
        <f>IF(ISBLANK(tbl_明細[[#This Row],[仕入価格（M)]]),_xlfn.XLOOKUP(tbl_明細[[#This Row],[商品ID]],商品マスタ[商品連番],商品マスタ[仕入
単価],"",0,1),tbl_明細[[#This Row],[仕入価格（M)]])</f>
        <v/>
      </c>
      <c r="I138" s="80">
        <f>_xlfn.XLOOKUP(tbl_明細[[#This Row],[商品ID]],商品マスタ[商品連番],商品マスタ[国内定価
（15％）],"",0,1)</f>
        <v/>
      </c>
      <c r="J138" s="265" t="n">
        <v>650</v>
      </c>
      <c r="K138" s="209" t="n">
        <v>12</v>
      </c>
      <c r="L138" s="77">
        <f>_xlfn.XLOOKUP(tbl_明細[[#This Row],[商品ID]],商品マスタ[商品連番],商品マスタ[単位],"",0,1)</f>
        <v/>
      </c>
      <c r="M138" s="249">
        <f>1-tbl_明細[[#This Row],[仕入価格]]/tbl_明細[[#This Row],[販売価格（売値）]]</f>
        <v/>
      </c>
      <c r="N138" s="189">
        <f>_xlfn.XLOOKUP(tbl_明細[[#This Row],[商品ID]],商品マスタ[商品連番],商品マスタ[税率],"",0,1)</f>
        <v/>
      </c>
      <c r="O138" s="266" t="n"/>
      <c r="P138" s="209" t="n"/>
      <c r="Q138" s="265" t="n"/>
      <c r="R138" s="265" t="n"/>
      <c r="S138" s="209" t="n"/>
      <c r="T138" s="209" t="n"/>
      <c r="U138" s="267" t="n"/>
      <c r="V138" s="267" t="n"/>
      <c r="W138" s="268" t="n"/>
      <c r="X138" s="306">
        <f>tbl_明細[[#This Row],[仕入価格]]*tbl_明細[[#This Row],[数量]]+tbl_明細[[#This Row],[仕入価格（M)]]*tbl_明細[[#This Row],[数量（M)]]</f>
        <v/>
      </c>
      <c r="Y138" s="306">
        <f>tbl_明細[[#This Row],[販売価格（売値）]]*tbl_明細[[#This Row],[数量]]+tbl_明細[[#This Row],[販売価格（M)]]*tbl_明細[[#This Row],[数量（M)]]</f>
        <v/>
      </c>
      <c r="Z138" s="307">
        <f>_xlfn.XLOOKUP(tbl_明細[[#This Row],[案件番号]],tbl_案件追跡[案件番号],tbl_案件追跡[受注],"",0,1)</f>
        <v/>
      </c>
      <c r="AA138" s="228">
        <f>tbl_明細[[#This Row],[販売価格（売値）]]+tbl_明細[[#This Row],[販売価格（M)]]</f>
        <v/>
      </c>
      <c r="AB138" s="261">
        <f>tbl_明細[[#This Row],[販売価格（売値）]]*1.08+tbl_明細[[#This Row],[販売価格（M)]]*1.08</f>
        <v/>
      </c>
    </row>
    <row r="139">
      <c r="A139" s="212" t="inlineStr">
        <is>
          <t>2603-1004-S01</t>
        </is>
      </c>
      <c r="B139" s="77">
        <f>IF(ISBLANK(tbl_明細[[#This Row],[案件番号]]),"",COUNTIFS($A$3:A139,tbl_明細[[#This Row],[案件番号]],$AA$3:AA139,"&gt;0"))</f>
        <v/>
      </c>
      <c r="C139" s="209">
        <f>COUNTIFS($A$3:A139,tbl_明細[[#This Row],[案件番号]],$F$3:F139,tbl_明細[[#This Row],[仕入先]])</f>
        <v/>
      </c>
      <c r="D139" s="77">
        <f>_xlfn.XLOOKUP(tbl_明細[[#This Row],[案件番号]],tbl_採番[案件番号],tbl_採番[顧客],"",0,1)</f>
        <v/>
      </c>
      <c r="E139" s="209" t="inlineStr">
        <is>
          <t>PRD_SNJ_HAD_0002_01</t>
        </is>
      </c>
      <c r="F139" s="118">
        <f>IF(ISBLANK(tbl_明細[[#This Row],[仕入先（M)]]),_xlfn.XLOOKUP(tbl_明細[[#This Row],[商品ID]],商品マスタ[商品連番],商品マスタ[仕入先],"",0,1),tbl_明細[[#This Row],[仕入先（M)]])</f>
        <v/>
      </c>
      <c r="G139" s="112">
        <f>IF(ISBLANK(tbl_明細[[#This Row],[商品名（M)]]),_xlfn.XLOOKUP(tbl_明細[[#This Row],[商品ID]],商品マスタ[商品連番],商品マスタ[商品名],"",0,),tbl_明細[[#This Row],[商品名（M)]])</f>
        <v/>
      </c>
      <c r="H139" s="80">
        <f>IF(ISBLANK(tbl_明細[[#This Row],[仕入価格（M)]]),_xlfn.XLOOKUP(tbl_明細[[#This Row],[商品ID]],商品マスタ[商品連番],商品マスタ[仕入
単価],"",0,1),tbl_明細[[#This Row],[仕入価格（M)]])</f>
        <v/>
      </c>
      <c r="I139" s="80">
        <f>_xlfn.XLOOKUP(tbl_明細[[#This Row],[商品ID]],商品マスタ[商品連番],商品マスタ[国内定価
（15％）],"",0,1)</f>
        <v/>
      </c>
      <c r="J139" s="265" t="n">
        <v>650</v>
      </c>
      <c r="K139" s="209" t="n">
        <v>12</v>
      </c>
      <c r="L139" s="77">
        <f>_xlfn.XLOOKUP(tbl_明細[[#This Row],[商品ID]],商品マスタ[商品連番],商品マスタ[単位],"",0,1)</f>
        <v/>
      </c>
      <c r="M139" s="249">
        <f>1-tbl_明細[[#This Row],[仕入価格]]/tbl_明細[[#This Row],[販売価格（売値）]]</f>
        <v/>
      </c>
      <c r="N139" s="189">
        <f>_xlfn.XLOOKUP(tbl_明細[[#This Row],[商品ID]],商品マスタ[商品連番],商品マスタ[税率],"",0,1)</f>
        <v/>
      </c>
      <c r="O139" s="266" t="n"/>
      <c r="P139" s="209" t="n"/>
      <c r="Q139" s="265" t="n"/>
      <c r="R139" s="265" t="n"/>
      <c r="S139" s="209" t="n"/>
      <c r="T139" s="209" t="n"/>
      <c r="U139" s="267" t="n"/>
      <c r="V139" s="267" t="n"/>
      <c r="W139" s="268" t="n"/>
      <c r="X139" s="306">
        <f>tbl_明細[[#This Row],[仕入価格]]*tbl_明細[[#This Row],[数量]]+tbl_明細[[#This Row],[仕入価格（M)]]*tbl_明細[[#This Row],[数量（M)]]</f>
        <v/>
      </c>
      <c r="Y139" s="306">
        <f>tbl_明細[[#This Row],[販売価格（売値）]]*tbl_明細[[#This Row],[数量]]+tbl_明細[[#This Row],[販売価格（M)]]*tbl_明細[[#This Row],[数量（M)]]</f>
        <v/>
      </c>
      <c r="Z139" s="307">
        <f>_xlfn.XLOOKUP(tbl_明細[[#This Row],[案件番号]],tbl_案件追跡[案件番号],tbl_案件追跡[受注],"",0,1)</f>
        <v/>
      </c>
      <c r="AA139" s="228">
        <f>tbl_明細[[#This Row],[販売価格（売値）]]+tbl_明細[[#This Row],[販売価格（M)]]</f>
        <v/>
      </c>
      <c r="AB139" s="261">
        <f>tbl_明細[[#This Row],[販売価格（売値）]]*1.08+tbl_明細[[#This Row],[販売価格（M)]]*1.08</f>
        <v/>
      </c>
    </row>
    <row r="140">
      <c r="A140" s="212" t="inlineStr">
        <is>
          <t>2603-1004-S01</t>
        </is>
      </c>
      <c r="B140" s="77">
        <f>IF(ISBLANK(tbl_明細[[#This Row],[案件番号]]),"",COUNTIFS($A$3:A140,tbl_明細[[#This Row],[案件番号]],$AA$3:AA140,"&gt;0"))</f>
        <v/>
      </c>
      <c r="C140" s="209">
        <f>COUNTIFS($A$3:A140,tbl_明細[[#This Row],[案件番号]],$F$3:F140,tbl_明細[[#This Row],[仕入先]])</f>
        <v/>
      </c>
      <c r="D140" s="77">
        <f>_xlfn.XLOOKUP(tbl_明細[[#This Row],[案件番号]],tbl_採番[案件番号],tbl_採番[顧客],"",0,1)</f>
        <v/>
      </c>
      <c r="E140" s="209" t="inlineStr">
        <is>
          <t>PRD_SNJ_HAD_0003_01</t>
        </is>
      </c>
      <c r="F140" s="118">
        <f>IF(ISBLANK(tbl_明細[[#This Row],[仕入先（M)]]),_xlfn.XLOOKUP(tbl_明細[[#This Row],[商品ID]],商品マスタ[商品連番],商品マスタ[仕入先],"",0,1),tbl_明細[[#This Row],[仕入先（M)]])</f>
        <v/>
      </c>
      <c r="G140" s="112">
        <f>IF(ISBLANK(tbl_明細[[#This Row],[商品名（M)]]),_xlfn.XLOOKUP(tbl_明細[[#This Row],[商品ID]],商品マスタ[商品連番],商品マスタ[商品名],"",0,),tbl_明細[[#This Row],[商品名（M)]])</f>
        <v/>
      </c>
      <c r="H140" s="80">
        <f>IF(ISBLANK(tbl_明細[[#This Row],[仕入価格（M)]]),_xlfn.XLOOKUP(tbl_明細[[#This Row],[商品ID]],商品マスタ[商品連番],商品マスタ[仕入
単価],"",0,1),tbl_明細[[#This Row],[仕入価格（M)]])</f>
        <v/>
      </c>
      <c r="I140" s="80">
        <f>_xlfn.XLOOKUP(tbl_明細[[#This Row],[商品ID]],商品マスタ[商品連番],商品マスタ[国内定価
（15％）],"",0,1)</f>
        <v/>
      </c>
      <c r="J140" s="265" t="n">
        <v>310</v>
      </c>
      <c r="K140" s="209" t="n">
        <v>40</v>
      </c>
      <c r="L140" s="77">
        <f>_xlfn.XLOOKUP(tbl_明細[[#This Row],[商品ID]],商品マスタ[商品連番],商品マスタ[単位],"",0,1)</f>
        <v/>
      </c>
      <c r="M140" s="249">
        <f>1-tbl_明細[[#This Row],[仕入価格]]/tbl_明細[[#This Row],[販売価格（売値）]]</f>
        <v/>
      </c>
      <c r="N140" s="189">
        <f>_xlfn.XLOOKUP(tbl_明細[[#This Row],[商品ID]],商品マスタ[商品連番],商品マスタ[税率],"",0,1)</f>
        <v/>
      </c>
      <c r="O140" s="266" t="n"/>
      <c r="P140" s="209" t="n"/>
      <c r="Q140" s="265" t="n"/>
      <c r="R140" s="265" t="n"/>
      <c r="S140" s="209" t="n"/>
      <c r="T140" s="209" t="n"/>
      <c r="U140" s="267" t="n"/>
      <c r="V140" s="267" t="n"/>
      <c r="W140" s="268" t="n"/>
      <c r="X140" s="306">
        <f>tbl_明細[[#This Row],[仕入価格]]*tbl_明細[[#This Row],[数量]]+tbl_明細[[#This Row],[仕入価格（M)]]*tbl_明細[[#This Row],[数量（M)]]</f>
        <v/>
      </c>
      <c r="Y140" s="306">
        <f>tbl_明細[[#This Row],[販売価格（売値）]]*tbl_明細[[#This Row],[数量]]+tbl_明細[[#This Row],[販売価格（M)]]*tbl_明細[[#This Row],[数量（M)]]</f>
        <v/>
      </c>
      <c r="Z140" s="307">
        <f>_xlfn.XLOOKUP(tbl_明細[[#This Row],[案件番号]],tbl_案件追跡[案件番号],tbl_案件追跡[受注],"",0,1)</f>
        <v/>
      </c>
      <c r="AA140" s="228">
        <f>tbl_明細[[#This Row],[販売価格（売値）]]+tbl_明細[[#This Row],[販売価格（M)]]</f>
        <v/>
      </c>
      <c r="AB140" s="261">
        <f>tbl_明細[[#This Row],[販売価格（売値）]]*1.08+tbl_明細[[#This Row],[販売価格（M)]]*1.08</f>
        <v/>
      </c>
    </row>
    <row r="141">
      <c r="A141" s="212" t="inlineStr">
        <is>
          <t>2603-1004-S01</t>
        </is>
      </c>
      <c r="B141" s="77">
        <f>IF(ISBLANK(tbl_明細[[#This Row],[案件番号]]),"",COUNTIFS($A$3:A141,tbl_明細[[#This Row],[案件番号]],$AA$3:AA141,"&gt;0"))</f>
        <v/>
      </c>
      <c r="C141" s="209">
        <f>COUNTIFS($A$3:A141,tbl_明細[[#This Row],[案件番号]],$F$3:F141,tbl_明細[[#This Row],[仕入先]])</f>
        <v/>
      </c>
      <c r="D141" s="77">
        <f>_xlfn.XLOOKUP(tbl_明細[[#This Row],[案件番号]],tbl_採番[案件番号],tbl_採番[顧客],"",0,1)</f>
        <v/>
      </c>
      <c r="E141" s="209" t="inlineStr">
        <is>
          <t>PRD_SNJ_HAD_0006_01</t>
        </is>
      </c>
      <c r="F141" s="118">
        <f>IF(ISBLANK(tbl_明細[[#This Row],[仕入先（M)]]),_xlfn.XLOOKUP(tbl_明細[[#This Row],[商品ID]],商品マスタ[商品連番],商品マスタ[仕入先],"",0,1),tbl_明細[[#This Row],[仕入先（M)]])</f>
        <v/>
      </c>
      <c r="G141" s="112">
        <f>IF(ISBLANK(tbl_明細[[#This Row],[商品名（M)]]),_xlfn.XLOOKUP(tbl_明細[[#This Row],[商品ID]],商品マスタ[商品連番],商品マスタ[商品名],"",0,),tbl_明細[[#This Row],[商品名（M)]])</f>
        <v/>
      </c>
      <c r="H141" s="80">
        <f>IF(ISBLANK(tbl_明細[[#This Row],[仕入価格（M)]]),_xlfn.XLOOKUP(tbl_明細[[#This Row],[商品ID]],商品マスタ[商品連番],商品マスタ[仕入
単価],"",0,1),tbl_明細[[#This Row],[仕入価格（M)]])</f>
        <v/>
      </c>
      <c r="I141" s="80">
        <f>_xlfn.XLOOKUP(tbl_明細[[#This Row],[商品ID]],商品マスタ[商品連番],商品マスタ[国内定価
（15％）],"",0,1)</f>
        <v/>
      </c>
      <c r="J141" s="265" t="n">
        <v>750</v>
      </c>
      <c r="K141" s="209" t="n">
        <v>12</v>
      </c>
      <c r="L141" s="77">
        <f>_xlfn.XLOOKUP(tbl_明細[[#This Row],[商品ID]],商品マスタ[商品連番],商品マスタ[単位],"",0,1)</f>
        <v/>
      </c>
      <c r="M141" s="249">
        <f>1-tbl_明細[[#This Row],[仕入価格]]/tbl_明細[[#This Row],[販売価格（売値）]]</f>
        <v/>
      </c>
      <c r="N141" s="189">
        <f>_xlfn.XLOOKUP(tbl_明細[[#This Row],[商品ID]],商品マスタ[商品連番],商品マスタ[税率],"",0,1)</f>
        <v/>
      </c>
      <c r="O141" s="266" t="n"/>
      <c r="P141" s="209" t="n"/>
      <c r="Q141" s="265" t="n"/>
      <c r="R141" s="265" t="n"/>
      <c r="S141" s="209" t="n"/>
      <c r="T141" s="209" t="n"/>
      <c r="U141" s="267" t="n"/>
      <c r="V141" s="267" t="n"/>
      <c r="W141" s="268" t="n"/>
      <c r="X141" s="306">
        <f>tbl_明細[[#This Row],[仕入価格]]*tbl_明細[[#This Row],[数量]]+tbl_明細[[#This Row],[仕入価格（M)]]*tbl_明細[[#This Row],[数量（M)]]</f>
        <v/>
      </c>
      <c r="Y141" s="306">
        <f>tbl_明細[[#This Row],[販売価格（売値）]]*tbl_明細[[#This Row],[数量]]+tbl_明細[[#This Row],[販売価格（M)]]*tbl_明細[[#This Row],[数量（M)]]</f>
        <v/>
      </c>
      <c r="Z141" s="307">
        <f>_xlfn.XLOOKUP(tbl_明細[[#This Row],[案件番号]],tbl_案件追跡[案件番号],tbl_案件追跡[受注],"",0,1)</f>
        <v/>
      </c>
      <c r="AA141" s="228">
        <f>tbl_明細[[#This Row],[販売価格（売値）]]+tbl_明細[[#This Row],[販売価格（M)]]</f>
        <v/>
      </c>
      <c r="AB141" s="261">
        <f>tbl_明細[[#This Row],[販売価格（売値）]]*1.08+tbl_明細[[#This Row],[販売価格（M)]]*1.08</f>
        <v/>
      </c>
    </row>
    <row r="142">
      <c r="A142" s="212" t="inlineStr">
        <is>
          <t>2603-1004-S01</t>
        </is>
      </c>
      <c r="B142" s="77">
        <f>IF(ISBLANK(tbl_明細[[#This Row],[案件番号]]),"",COUNTIFS($A$3:A142,tbl_明細[[#This Row],[案件番号]],$AA$3:AA142,"&gt;0"))</f>
        <v/>
      </c>
      <c r="C142" s="209">
        <f>COUNTIFS($A$3:A142,tbl_明細[[#This Row],[案件番号]],$F$3:F142,tbl_明細[[#This Row],[仕入先]])</f>
        <v/>
      </c>
      <c r="D142" s="77">
        <f>_xlfn.XLOOKUP(tbl_明細[[#This Row],[案件番号]],tbl_採番[案件番号],tbl_採番[顧客],"",0,1)</f>
        <v/>
      </c>
      <c r="E142" s="209" t="inlineStr">
        <is>
          <t>PRD_SNJ_HAD_0007_01</t>
        </is>
      </c>
      <c r="F142" s="118">
        <f>IF(ISBLANK(tbl_明細[[#This Row],[仕入先（M)]]),_xlfn.XLOOKUP(tbl_明細[[#This Row],[商品ID]],商品マスタ[商品連番],商品マスタ[仕入先],"",0,1),tbl_明細[[#This Row],[仕入先（M)]])</f>
        <v/>
      </c>
      <c r="G142" s="112">
        <f>IF(ISBLANK(tbl_明細[[#This Row],[商品名（M)]]),_xlfn.XLOOKUP(tbl_明細[[#This Row],[商品ID]],商品マスタ[商品連番],商品マスタ[商品名],"",0,),tbl_明細[[#This Row],[商品名（M)]])</f>
        <v/>
      </c>
      <c r="H142" s="80">
        <f>IF(ISBLANK(tbl_明細[[#This Row],[仕入価格（M)]]),_xlfn.XLOOKUP(tbl_明細[[#This Row],[商品ID]],商品マスタ[商品連番],商品マスタ[仕入
単価],"",0,1),tbl_明細[[#This Row],[仕入価格（M)]])</f>
        <v/>
      </c>
      <c r="I142" s="80">
        <f>_xlfn.XLOOKUP(tbl_明細[[#This Row],[商品ID]],商品マスタ[商品連番],商品マスタ[国内定価
（15％）],"",0,1)</f>
        <v/>
      </c>
      <c r="J142" s="265" t="n">
        <v>610</v>
      </c>
      <c r="K142" s="209" t="n">
        <v>12</v>
      </c>
      <c r="L142" s="77">
        <f>_xlfn.XLOOKUP(tbl_明細[[#This Row],[商品ID]],商品マスタ[商品連番],商品マスタ[単位],"",0,1)</f>
        <v/>
      </c>
      <c r="M142" s="249">
        <f>1-tbl_明細[[#This Row],[仕入価格]]/tbl_明細[[#This Row],[販売価格（売値）]]</f>
        <v/>
      </c>
      <c r="N142" s="189">
        <f>_xlfn.XLOOKUP(tbl_明細[[#This Row],[商品ID]],商品マスタ[商品連番],商品マスタ[税率],"",0,1)</f>
        <v/>
      </c>
      <c r="O142" s="266" t="n"/>
      <c r="P142" s="209" t="n"/>
      <c r="Q142" s="265" t="n"/>
      <c r="R142" s="265" t="n"/>
      <c r="S142" s="209" t="n"/>
      <c r="T142" s="209" t="n"/>
      <c r="U142" s="267" t="n"/>
      <c r="V142" s="267" t="n"/>
      <c r="W142" s="268" t="n"/>
      <c r="X142" s="306">
        <f>tbl_明細[[#This Row],[仕入価格]]*tbl_明細[[#This Row],[数量]]+tbl_明細[[#This Row],[仕入価格（M)]]*tbl_明細[[#This Row],[数量（M)]]</f>
        <v/>
      </c>
      <c r="Y142" s="306">
        <f>tbl_明細[[#This Row],[販売価格（売値）]]*tbl_明細[[#This Row],[数量]]+tbl_明細[[#This Row],[販売価格（M)]]*tbl_明細[[#This Row],[数量（M)]]</f>
        <v/>
      </c>
      <c r="Z142" s="307">
        <f>_xlfn.XLOOKUP(tbl_明細[[#This Row],[案件番号]],tbl_案件追跡[案件番号],tbl_案件追跡[受注],"",0,1)</f>
        <v/>
      </c>
      <c r="AA142" s="228">
        <f>tbl_明細[[#This Row],[販売価格（売値）]]+tbl_明細[[#This Row],[販売価格（M)]]</f>
        <v/>
      </c>
      <c r="AB142" s="261">
        <f>tbl_明細[[#This Row],[販売価格（売値）]]*1.08+tbl_明細[[#This Row],[販売価格（M)]]*1.08</f>
        <v/>
      </c>
    </row>
    <row r="143">
      <c r="A143" s="212" t="inlineStr">
        <is>
          <t>2603-1004-S01</t>
        </is>
      </c>
      <c r="B143" s="77">
        <f>IF(ISBLANK(tbl_明細[[#This Row],[案件番号]]),"",COUNTIFS($A$3:A143,tbl_明細[[#This Row],[案件番号]],$AA$3:AA143,"&gt;0"))</f>
        <v/>
      </c>
      <c r="C143" s="209">
        <f>COUNTIFS($A$3:A143,tbl_明細[[#This Row],[案件番号]],$F$3:F143,tbl_明細[[#This Row],[仕入先]])</f>
        <v/>
      </c>
      <c r="D143" s="77">
        <f>_xlfn.XLOOKUP(tbl_明細[[#This Row],[案件番号]],tbl_採番[案件番号],tbl_採番[顧客],"",0,1)</f>
        <v/>
      </c>
      <c r="E143" s="209" t="inlineStr">
        <is>
          <t>other</t>
        </is>
      </c>
      <c r="F143" s="118">
        <f>IF(ISBLANK(tbl_明細[[#This Row],[仕入先（M)]]),_xlfn.XLOOKUP(tbl_明細[[#This Row],[商品ID]],商品マスタ[商品連番],商品マスタ[仕入先],"",0,1),tbl_明細[[#This Row],[仕入先（M)]])</f>
        <v/>
      </c>
      <c r="G143" s="112">
        <f>IF(ISBLANK(tbl_明細[[#This Row],[商品名（M)]]),_xlfn.XLOOKUP(tbl_明細[[#This Row],[商品ID]],商品マスタ[商品連番],商品マスタ[商品名],"",0,),tbl_明細[[#This Row],[商品名（M)]])</f>
        <v/>
      </c>
      <c r="H143" s="80">
        <f>IF(ISBLANK(tbl_明細[[#This Row],[仕入価格（M)]]),_xlfn.XLOOKUP(tbl_明細[[#This Row],[商品ID]],商品マスタ[商品連番],商品マスタ[仕入
単価],"",0,1),tbl_明細[[#This Row],[仕入価格（M)]])</f>
        <v/>
      </c>
      <c r="I143" s="80">
        <f>_xlfn.XLOOKUP(tbl_明細[[#This Row],[商品ID]],商品マスタ[商品連番],商品マスタ[国内定価
（15％）],"",0,1)</f>
        <v/>
      </c>
      <c r="J143" s="265" t="n"/>
      <c r="K143" s="209" t="n"/>
      <c r="L143" s="77">
        <f>_xlfn.XLOOKUP(tbl_明細[[#This Row],[商品ID]],商品マスタ[商品連番],商品マスタ[単位],"",0,1)</f>
        <v/>
      </c>
      <c r="M143" s="249">
        <f>1-tbl_明細[[#This Row],[仕入価格]]/tbl_明細[[#This Row],[販売価格（売値）]]</f>
        <v/>
      </c>
      <c r="N143" s="189">
        <f>_xlfn.XLOOKUP(tbl_明細[[#This Row],[商品ID]],商品マスタ[商品連番],商品マスタ[税率],"",0,1)</f>
        <v/>
      </c>
      <c r="O143" s="266" t="inlineStr">
        <is>
          <t>福島町まちづくり工房</t>
        </is>
      </c>
      <c r="P143" s="209" t="inlineStr">
        <is>
          <t>福島町産カットするめ</t>
        </is>
      </c>
      <c r="Q143" s="265" t="n"/>
      <c r="R143" s="265" t="n">
        <v>352</v>
      </c>
      <c r="S143" s="209" t="n">
        <v>24</v>
      </c>
      <c r="T143" s="209" t="inlineStr">
        <is>
          <t>個</t>
        </is>
      </c>
      <c r="U143" s="267" t="n">
        <v>0.08</v>
      </c>
      <c r="V143" s="267" t="n"/>
      <c r="W143" s="268" t="n"/>
      <c r="X143" s="306">
        <f>tbl_明細[[#This Row],[仕入価格]]*tbl_明細[[#This Row],[数量]]+tbl_明細[[#This Row],[仕入価格（M)]]*tbl_明細[[#This Row],[数量（M)]]</f>
        <v/>
      </c>
      <c r="Y143" s="306">
        <f>tbl_明細[[#This Row],[販売価格（売値）]]*tbl_明細[[#This Row],[数量]]+tbl_明細[[#This Row],[販売価格（M)]]*tbl_明細[[#This Row],[数量（M)]]</f>
        <v/>
      </c>
      <c r="Z143" s="307">
        <f>_xlfn.XLOOKUP(tbl_明細[[#This Row],[案件番号]],tbl_案件追跡[案件番号],tbl_案件追跡[受注],"",0,1)</f>
        <v/>
      </c>
      <c r="AA143" s="228">
        <f>tbl_明細[[#This Row],[販売価格（売値）]]+tbl_明細[[#This Row],[販売価格（M)]]</f>
        <v/>
      </c>
      <c r="AB143" s="261">
        <f>tbl_明細[[#This Row],[販売価格（売値）]]*1.08+tbl_明細[[#This Row],[販売価格（M)]]*1.08</f>
        <v/>
      </c>
    </row>
    <row r="144">
      <c r="A144" s="212" t="inlineStr">
        <is>
          <t>2603-1004-S01</t>
        </is>
      </c>
      <c r="B144" s="77">
        <f>IF(ISBLANK(tbl_明細[[#This Row],[案件番号]]),"",COUNTIFS($A$3:A144,tbl_明細[[#This Row],[案件番号]],$AA$3:AA144,"&gt;0"))</f>
        <v/>
      </c>
      <c r="C144" s="209">
        <f>COUNTIFS($A$3:A144,tbl_明細[[#This Row],[案件番号]],$F$3:F144,tbl_明細[[#This Row],[仕入先]])</f>
        <v/>
      </c>
      <c r="D144" s="77">
        <f>_xlfn.XLOOKUP(tbl_明細[[#This Row],[案件番号]],tbl_採番[案件番号],tbl_採番[顧客],"",0,1)</f>
        <v/>
      </c>
      <c r="E144" s="209" t="inlineStr">
        <is>
          <t>other</t>
        </is>
      </c>
      <c r="F144" s="118">
        <f>IF(ISBLANK(tbl_明細[[#This Row],[仕入先（M)]]),_xlfn.XLOOKUP(tbl_明細[[#This Row],[商品ID]],商品マスタ[商品連番],商品マスタ[仕入先],"",0,1),tbl_明細[[#This Row],[仕入先（M)]])</f>
        <v/>
      </c>
      <c r="G144" s="112">
        <f>IF(ISBLANK(tbl_明細[[#This Row],[商品名（M)]]),_xlfn.XLOOKUP(tbl_明細[[#This Row],[商品ID]],商品マスタ[商品連番],商品マスタ[商品名],"",0,),tbl_明細[[#This Row],[商品名（M)]])</f>
        <v/>
      </c>
      <c r="H144" s="80">
        <f>IF(ISBLANK(tbl_明細[[#This Row],[仕入価格（M)]]),_xlfn.XLOOKUP(tbl_明細[[#This Row],[商品ID]],商品マスタ[商品連番],商品マスタ[仕入
単価],"",0,1),tbl_明細[[#This Row],[仕入価格（M)]])</f>
        <v/>
      </c>
      <c r="I144" s="80">
        <f>_xlfn.XLOOKUP(tbl_明細[[#This Row],[商品ID]],商品マスタ[商品連番],商品マスタ[国内定価
（15％）],"",0,1)</f>
        <v/>
      </c>
      <c r="J144" s="265" t="n"/>
      <c r="K144" s="209" t="n"/>
      <c r="L144" s="77">
        <f>_xlfn.XLOOKUP(tbl_明細[[#This Row],[商品ID]],商品マスタ[商品連番],商品マスタ[単位],"",0,1)</f>
        <v/>
      </c>
      <c r="M144" s="249">
        <f>1-tbl_明細[[#This Row],[仕入価格]]/tbl_明細[[#This Row],[販売価格（売値）]]</f>
        <v/>
      </c>
      <c r="N144" s="189">
        <f>_xlfn.XLOOKUP(tbl_明細[[#This Row],[商品ID]],商品マスタ[商品連番],商品マスタ[税率],"",0,1)</f>
        <v/>
      </c>
      <c r="O144" s="266" t="inlineStr">
        <is>
          <t>福島町まちづくり工房</t>
        </is>
      </c>
      <c r="P144" s="209" t="inlineStr">
        <is>
          <t>なまらポテト</t>
        </is>
      </c>
      <c r="Q144" s="265" t="n"/>
      <c r="R144" s="265" t="n">
        <v>238</v>
      </c>
      <c r="S144" s="209" t="n">
        <v>72</v>
      </c>
      <c r="T144" s="209" t="inlineStr">
        <is>
          <t>個</t>
        </is>
      </c>
      <c r="U144" s="267" t="n">
        <v>0.08</v>
      </c>
      <c r="V144" s="267" t="n"/>
      <c r="W144" s="268" t="n"/>
      <c r="X144" s="306">
        <f>tbl_明細[[#This Row],[仕入価格]]*tbl_明細[[#This Row],[数量]]+tbl_明細[[#This Row],[仕入価格（M)]]*tbl_明細[[#This Row],[数量（M)]]</f>
        <v/>
      </c>
      <c r="Y144" s="306">
        <f>tbl_明細[[#This Row],[販売価格（売値）]]*tbl_明細[[#This Row],[数量]]+tbl_明細[[#This Row],[販売価格（M)]]*tbl_明細[[#This Row],[数量（M)]]</f>
        <v/>
      </c>
      <c r="Z144" s="307">
        <f>_xlfn.XLOOKUP(tbl_明細[[#This Row],[案件番号]],tbl_案件追跡[案件番号],tbl_案件追跡[受注],"",0,1)</f>
        <v/>
      </c>
      <c r="AA144" s="228">
        <f>tbl_明細[[#This Row],[販売価格（売値）]]+tbl_明細[[#This Row],[販売価格（M)]]</f>
        <v/>
      </c>
      <c r="AB144" s="261">
        <f>tbl_明細[[#This Row],[販売価格（売値）]]*1.08+tbl_明細[[#This Row],[販売価格（M)]]*1.08</f>
        <v/>
      </c>
    </row>
    <row r="145">
      <c r="A145" s="212" t="inlineStr">
        <is>
          <t>2603-1004-S01</t>
        </is>
      </c>
      <c r="B145" s="77">
        <f>IF(ISBLANK(tbl_明細[[#This Row],[案件番号]]),"",COUNTIFS($A$3:A145,tbl_明細[[#This Row],[案件番号]],$AA$3:AA145,"&gt;0"))</f>
        <v/>
      </c>
      <c r="C145" s="209">
        <f>COUNTIFS($A$3:A145,tbl_明細[[#This Row],[案件番号]],$F$3:F145,tbl_明細[[#This Row],[仕入先]])</f>
        <v/>
      </c>
      <c r="D145" s="77">
        <f>_xlfn.XLOOKUP(tbl_明細[[#This Row],[案件番号]],tbl_採番[案件番号],tbl_採番[顧客],"",0,1)</f>
        <v/>
      </c>
      <c r="E145" s="209" t="inlineStr">
        <is>
          <t>PRD_SNJ_FSS_0001_01</t>
        </is>
      </c>
      <c r="F145" s="118">
        <f>IF(ISBLANK(tbl_明細[[#This Row],[仕入先（M)]]),_xlfn.XLOOKUP(tbl_明細[[#This Row],[商品ID]],商品マスタ[商品連番],商品マスタ[仕入先],"",0,1),tbl_明細[[#This Row],[仕入先（M)]])</f>
        <v/>
      </c>
      <c r="G145" s="112">
        <f>IF(ISBLANK(tbl_明細[[#This Row],[商品名（M)]]),_xlfn.XLOOKUP(tbl_明細[[#This Row],[商品ID]],商品マスタ[商品連番],商品マスタ[商品名],"",0,),tbl_明細[[#This Row],[商品名（M)]])</f>
        <v/>
      </c>
      <c r="H145" s="80">
        <f>IF(ISBLANK(tbl_明細[[#This Row],[仕入価格（M)]]),_xlfn.XLOOKUP(tbl_明細[[#This Row],[商品ID]],商品マスタ[商品連番],商品マスタ[仕入
単価],"",0,1),tbl_明細[[#This Row],[仕入価格（M)]])</f>
        <v/>
      </c>
      <c r="I145" s="80">
        <f>_xlfn.XLOOKUP(tbl_明細[[#This Row],[商品ID]],商品マスタ[商品連番],商品マスタ[国内定価
（15％）],"",0,1)</f>
        <v/>
      </c>
      <c r="J145" s="265" t="n">
        <v>830</v>
      </c>
      <c r="K145" s="209" t="n">
        <v>15</v>
      </c>
      <c r="L145" s="77">
        <f>_xlfn.XLOOKUP(tbl_明細[[#This Row],[商品ID]],商品マスタ[商品連番],商品マスタ[単位],"",0,1)</f>
        <v/>
      </c>
      <c r="M145" s="249">
        <f>1-tbl_明細[[#This Row],[仕入価格]]/tbl_明細[[#This Row],[販売価格（売値）]]</f>
        <v/>
      </c>
      <c r="N145" s="189">
        <f>_xlfn.XLOOKUP(tbl_明細[[#This Row],[商品ID]],商品マスタ[商品連番],商品マスタ[税率],"",0,1)</f>
        <v/>
      </c>
      <c r="O145" s="120" t="n"/>
      <c r="P145" s="209" t="n"/>
      <c r="Q145" s="85" t="n"/>
      <c r="R145" s="85" t="n"/>
      <c r="S145" s="209" t="n"/>
      <c r="T145" s="209" t="n"/>
      <c r="U145" s="79" t="n"/>
      <c r="V145" s="79" t="n"/>
      <c r="W145" s="113" t="n"/>
      <c r="X145" s="306">
        <f>tbl_明細[[#This Row],[仕入価格]]*tbl_明細[[#This Row],[数量]]+tbl_明細[[#This Row],[仕入価格（M)]]*tbl_明細[[#This Row],[数量（M)]]</f>
        <v/>
      </c>
      <c r="Y145" s="306">
        <f>tbl_明細[[#This Row],[販売価格（売値）]]*tbl_明細[[#This Row],[数量]]+tbl_明細[[#This Row],[販売価格（M)]]*tbl_明細[[#This Row],[数量（M)]]</f>
        <v/>
      </c>
      <c r="Z145" s="307">
        <f>_xlfn.XLOOKUP(tbl_明細[[#This Row],[案件番号]],tbl_案件追跡[案件番号],tbl_案件追跡[受注],"",0,1)</f>
        <v/>
      </c>
      <c r="AA145" s="228">
        <f>tbl_明細[[#This Row],[販売価格（売値）]]+tbl_明細[[#This Row],[販売価格（M)]]</f>
        <v/>
      </c>
      <c r="AB145" s="261">
        <f>tbl_明細[[#This Row],[販売価格（売値）]]*1.08+tbl_明細[[#This Row],[販売価格（M)]]*1.08</f>
        <v/>
      </c>
    </row>
    <row r="146">
      <c r="A146" s="212" t="inlineStr">
        <is>
          <t>2603-1004-S01</t>
        </is>
      </c>
      <c r="B146" s="77">
        <f>IF(ISBLANK(tbl_明細[[#This Row],[案件番号]]),"",COUNTIFS($A$3:A146,tbl_明細[[#This Row],[案件番号]],$AA$3:AA146,"&gt;0"))</f>
        <v/>
      </c>
      <c r="C146" s="209">
        <f>COUNTIFS($A$3:A146,tbl_明細[[#This Row],[案件番号]],$F$3:F146,tbl_明細[[#This Row],[仕入先]])</f>
        <v/>
      </c>
      <c r="D146" s="77">
        <f>_xlfn.XLOOKUP(tbl_明細[[#This Row],[案件番号]],tbl_採番[案件番号],tbl_採番[顧客],"",0,1)</f>
        <v/>
      </c>
      <c r="E146" s="209" t="inlineStr">
        <is>
          <t>PRD_SNJ_FSS_0002_01</t>
        </is>
      </c>
      <c r="F146" s="118">
        <f>IF(ISBLANK(tbl_明細[[#This Row],[仕入先（M)]]),_xlfn.XLOOKUP(tbl_明細[[#This Row],[商品ID]],商品マスタ[商品連番],商品マスタ[仕入先],"",0,1),tbl_明細[[#This Row],[仕入先（M)]])</f>
        <v/>
      </c>
      <c r="G146" s="112">
        <f>IF(ISBLANK(tbl_明細[[#This Row],[商品名（M)]]),_xlfn.XLOOKUP(tbl_明細[[#This Row],[商品ID]],商品マスタ[商品連番],商品マスタ[商品名],"",0,),tbl_明細[[#This Row],[商品名（M)]])</f>
        <v/>
      </c>
      <c r="H146" s="80">
        <f>IF(ISBLANK(tbl_明細[[#This Row],[仕入価格（M)]]),_xlfn.XLOOKUP(tbl_明細[[#This Row],[商品ID]],商品マスタ[商品連番],商品マスタ[仕入
単価],"",0,1),tbl_明細[[#This Row],[仕入価格（M)]])</f>
        <v/>
      </c>
      <c r="I146" s="80">
        <f>_xlfn.XLOOKUP(tbl_明細[[#This Row],[商品ID]],商品マスタ[商品連番],商品マスタ[国内定価
（15％）],"",0,1)</f>
        <v/>
      </c>
      <c r="J146" s="265" t="n">
        <v>830</v>
      </c>
      <c r="K146" s="209" t="n">
        <v>15</v>
      </c>
      <c r="L146" s="77">
        <f>_xlfn.XLOOKUP(tbl_明細[[#This Row],[商品ID]],商品マスタ[商品連番],商品マスタ[単位],"",0,1)</f>
        <v/>
      </c>
      <c r="M146" s="249">
        <f>1-tbl_明細[[#This Row],[仕入価格]]/tbl_明細[[#This Row],[販売価格（売値）]]</f>
        <v/>
      </c>
      <c r="N146" s="189">
        <f>_xlfn.XLOOKUP(tbl_明細[[#This Row],[商品ID]],商品マスタ[商品連番],商品マスタ[税率],"",0,1)</f>
        <v/>
      </c>
      <c r="O146" s="120" t="n"/>
      <c r="P146" s="209" t="n"/>
      <c r="Q146" s="85" t="n"/>
      <c r="R146" s="85" t="n"/>
      <c r="S146" s="209" t="n"/>
      <c r="T146" s="209" t="n"/>
      <c r="U146" s="79" t="n"/>
      <c r="V146" s="79" t="n"/>
      <c r="W146" s="113" t="n"/>
      <c r="X146" s="306">
        <f>tbl_明細[[#This Row],[仕入価格]]*tbl_明細[[#This Row],[数量]]+tbl_明細[[#This Row],[仕入価格（M)]]*tbl_明細[[#This Row],[数量（M)]]</f>
        <v/>
      </c>
      <c r="Y146" s="306">
        <f>tbl_明細[[#This Row],[販売価格（売値）]]*tbl_明細[[#This Row],[数量]]+tbl_明細[[#This Row],[販売価格（M)]]*tbl_明細[[#This Row],[数量（M)]]</f>
        <v/>
      </c>
      <c r="Z146" s="307">
        <f>_xlfn.XLOOKUP(tbl_明細[[#This Row],[案件番号]],tbl_案件追跡[案件番号],tbl_案件追跡[受注],"",0,1)</f>
        <v/>
      </c>
      <c r="AA146" s="228">
        <f>tbl_明細[[#This Row],[販売価格（売値）]]+tbl_明細[[#This Row],[販売価格（M)]]</f>
        <v/>
      </c>
      <c r="AB146" s="261">
        <f>tbl_明細[[#This Row],[販売価格（売値）]]*1.08+tbl_明細[[#This Row],[販売価格（M)]]*1.08</f>
        <v/>
      </c>
    </row>
    <row r="147">
      <c r="A147" s="212" t="n"/>
      <c r="B147" s="77">
        <f>IF(ISBLANK(tbl_明細[[#This Row],[案件番号]]),"",COUNTIFS($A$3:A147,tbl_明細[[#This Row],[案件番号]],$AA$3:AA147,"&gt;0"))</f>
        <v/>
      </c>
      <c r="C147" s="209">
        <f>COUNTIFS($A$3:A147,tbl_明細[[#This Row],[案件番号]],$F$3:F147,tbl_明細[[#This Row],[仕入先]])</f>
        <v/>
      </c>
      <c r="D147" s="77">
        <f>_xlfn.XLOOKUP(tbl_明細[[#This Row],[案件番号]],tbl_採番[案件番号],tbl_採番[顧客],"",0,1)</f>
        <v/>
      </c>
      <c r="E147" s="209" t="n"/>
      <c r="F147" s="118">
        <f>IF(ISBLANK(tbl_明細[[#This Row],[仕入先（M)]]),_xlfn.XLOOKUP(tbl_明細[[#This Row],[商品ID]],商品マスタ[商品連番],商品マスタ[仕入先],"",0,1),tbl_明細[[#This Row],[仕入先（M)]])</f>
        <v/>
      </c>
      <c r="G147" s="112">
        <f>IF(ISBLANK(tbl_明細[[#This Row],[商品名（M)]]),_xlfn.XLOOKUP(tbl_明細[[#This Row],[商品ID]],商品マスタ[商品連番],商品マスタ[商品名],"",0,),tbl_明細[[#This Row],[商品名（M)]])</f>
        <v/>
      </c>
      <c r="H147" s="80">
        <f>IF(ISBLANK(tbl_明細[[#This Row],[仕入価格（M)]]),_xlfn.XLOOKUP(tbl_明細[[#This Row],[商品ID]],商品マスタ[商品連番],商品マスタ[仕入
単価],"",0,1),tbl_明細[[#This Row],[仕入価格（M)]])</f>
        <v/>
      </c>
      <c r="I147" s="80">
        <f>_xlfn.XLOOKUP(tbl_明細[[#This Row],[商品ID]],商品マスタ[商品連番],商品マスタ[国内定価
（15％）],"",0,1)</f>
        <v/>
      </c>
      <c r="J147" s="85" t="n"/>
      <c r="K147" s="209" t="n"/>
      <c r="L147" s="77">
        <f>_xlfn.XLOOKUP(tbl_明細[[#This Row],[商品ID]],商品マスタ[商品連番],商品マスタ[単位],"",0,1)</f>
        <v/>
      </c>
      <c r="M147" s="249">
        <f>1-tbl_明細[[#This Row],[仕入価格]]/tbl_明細[[#This Row],[販売価格（売値）]]</f>
        <v/>
      </c>
      <c r="N147" s="189">
        <f>_xlfn.XLOOKUP(tbl_明細[[#This Row],[商品ID]],商品マスタ[商品連番],商品マスタ[税率],"",0,1)</f>
        <v/>
      </c>
      <c r="O147" s="120" t="n"/>
      <c r="P147" s="209" t="n"/>
      <c r="Q147" s="85" t="n"/>
      <c r="R147" s="85" t="n"/>
      <c r="S147" s="209" t="n"/>
      <c r="T147" s="209" t="n"/>
      <c r="U147" s="79" t="n"/>
      <c r="V147" s="79" t="n"/>
      <c r="W147" s="113" t="n"/>
      <c r="X147" s="306">
        <f>tbl_明細[[#This Row],[仕入価格]]*tbl_明細[[#This Row],[数量]]+tbl_明細[[#This Row],[仕入価格（M)]]*tbl_明細[[#This Row],[数量（M)]]</f>
        <v/>
      </c>
      <c r="Y147" s="306">
        <f>tbl_明細[[#This Row],[販売価格（売値）]]*tbl_明細[[#This Row],[数量]]+tbl_明細[[#This Row],[販売価格（M)]]*tbl_明細[[#This Row],[数量（M)]]</f>
        <v/>
      </c>
      <c r="Z147" s="307">
        <f>_xlfn.XLOOKUP(tbl_明細[[#This Row],[案件番号]],tbl_案件追跡[案件番号],tbl_案件追跡[受注],"",0,1)</f>
        <v/>
      </c>
      <c r="AA147" s="228">
        <f>tbl_明細[[#This Row],[販売価格（売値）]]+tbl_明細[[#This Row],[販売価格（M)]]</f>
        <v/>
      </c>
      <c r="AB147" s="261">
        <f>tbl_明細[[#This Row],[販売価格（売値）]]*1.08+tbl_明細[[#This Row],[販売価格（M)]]*1.08</f>
        <v/>
      </c>
    </row>
    <row r="148">
      <c r="A148" s="212" t="n"/>
      <c r="B148" s="77">
        <f>IF(ISBLANK(tbl_明細[[#This Row],[案件番号]]),"",COUNTIFS($A$3:A148,tbl_明細[[#This Row],[案件番号]],$AA$3:AA148,"&gt;0"))</f>
        <v/>
      </c>
      <c r="C148" s="209">
        <f>COUNTIFS($A$3:A148,tbl_明細[[#This Row],[案件番号]],$F$3:F148,tbl_明細[[#This Row],[仕入先]])</f>
        <v/>
      </c>
      <c r="D148" s="77">
        <f>_xlfn.XLOOKUP(tbl_明細[[#This Row],[案件番号]],tbl_採番[案件番号],tbl_採番[顧客],"",0,1)</f>
        <v/>
      </c>
      <c r="E148" s="209" t="n"/>
      <c r="F148" s="118">
        <f>IF(ISBLANK(tbl_明細[[#This Row],[仕入先（M)]]),_xlfn.XLOOKUP(tbl_明細[[#This Row],[商品ID]],商品マスタ[商品連番],商品マスタ[仕入先],"",0,1),tbl_明細[[#This Row],[仕入先（M)]])</f>
        <v/>
      </c>
      <c r="G148" s="112">
        <f>IF(ISBLANK(tbl_明細[[#This Row],[商品名（M)]]),_xlfn.XLOOKUP(tbl_明細[[#This Row],[商品ID]],商品マスタ[商品連番],商品マスタ[商品名],"",0,),tbl_明細[[#This Row],[商品名（M)]])</f>
        <v/>
      </c>
      <c r="H148" s="80">
        <f>IF(ISBLANK(tbl_明細[[#This Row],[仕入価格（M)]]),_xlfn.XLOOKUP(tbl_明細[[#This Row],[商品ID]],商品マスタ[商品連番],商品マスタ[仕入
単価],"",0,1),tbl_明細[[#This Row],[仕入価格（M)]])</f>
        <v/>
      </c>
      <c r="I148" s="80">
        <f>_xlfn.XLOOKUP(tbl_明細[[#This Row],[商品ID]],商品マスタ[商品連番],商品マスタ[国内定価
（15％）],"",0,1)</f>
        <v/>
      </c>
      <c r="J148" s="85" t="n"/>
      <c r="K148" s="209" t="n"/>
      <c r="L148" s="77">
        <f>_xlfn.XLOOKUP(tbl_明細[[#This Row],[商品ID]],商品マスタ[商品連番],商品マスタ[単位],"",0,1)</f>
        <v/>
      </c>
      <c r="M148" s="249">
        <f>1-tbl_明細[[#This Row],[仕入価格]]/tbl_明細[[#This Row],[販売価格（売値）]]</f>
        <v/>
      </c>
      <c r="N148" s="189">
        <f>_xlfn.XLOOKUP(tbl_明細[[#This Row],[商品ID]],商品マスタ[商品連番],商品マスタ[税率],"",0,1)</f>
        <v/>
      </c>
      <c r="O148" s="120" t="n"/>
      <c r="P148" s="209" t="n"/>
      <c r="Q148" s="85" t="n"/>
      <c r="R148" s="85" t="n"/>
      <c r="S148" s="209" t="n"/>
      <c r="T148" s="209" t="n"/>
      <c r="U148" s="79" t="n"/>
      <c r="V148" s="79" t="n"/>
      <c r="W148" s="113" t="n"/>
      <c r="X148" s="306">
        <f>tbl_明細[[#This Row],[仕入価格]]*tbl_明細[[#This Row],[数量]]+tbl_明細[[#This Row],[仕入価格（M)]]*tbl_明細[[#This Row],[数量（M)]]</f>
        <v/>
      </c>
      <c r="Y148" s="306">
        <f>tbl_明細[[#This Row],[販売価格（売値）]]*tbl_明細[[#This Row],[数量]]+tbl_明細[[#This Row],[販売価格（M)]]*tbl_明細[[#This Row],[数量（M)]]</f>
        <v/>
      </c>
      <c r="Z148" s="307">
        <f>_xlfn.XLOOKUP(tbl_明細[[#This Row],[案件番号]],tbl_案件追跡[案件番号],tbl_案件追跡[受注],"",0,1)</f>
        <v/>
      </c>
      <c r="AA148" s="228">
        <f>tbl_明細[[#This Row],[販売価格（売値）]]+tbl_明細[[#This Row],[販売価格（M)]]</f>
        <v/>
      </c>
      <c r="AB148" s="261">
        <f>tbl_明細[[#This Row],[販売価格（売値）]]*1.08+tbl_明細[[#This Row],[販売価格（M)]]*1.08</f>
        <v/>
      </c>
    </row>
    <row r="149">
      <c r="A149" s="212" t="n"/>
      <c r="B149" s="77">
        <f>IF(ISBLANK(tbl_明細[[#This Row],[案件番号]]),"",COUNTIFS($A$3:A149,tbl_明細[[#This Row],[案件番号]],$AA$3:AA149,"&gt;0"))</f>
        <v/>
      </c>
      <c r="C149" s="209">
        <f>COUNTIFS($A$3:A149,tbl_明細[[#This Row],[案件番号]],$F$3:F149,tbl_明細[[#This Row],[仕入先]])</f>
        <v/>
      </c>
      <c r="D149" s="77">
        <f>_xlfn.XLOOKUP(tbl_明細[[#This Row],[案件番号]],tbl_採番[案件番号],tbl_採番[顧客],"",0,1)</f>
        <v/>
      </c>
      <c r="E149" s="209" t="n"/>
      <c r="F149" s="118">
        <f>IF(ISBLANK(tbl_明細[[#This Row],[仕入先（M)]]),_xlfn.XLOOKUP(tbl_明細[[#This Row],[商品ID]],商品マスタ[商品連番],商品マスタ[仕入先],"",0,1),tbl_明細[[#This Row],[仕入先（M)]])</f>
        <v/>
      </c>
      <c r="G149" s="112">
        <f>IF(ISBLANK(tbl_明細[[#This Row],[商品名（M)]]),_xlfn.XLOOKUP(tbl_明細[[#This Row],[商品ID]],商品マスタ[商品連番],商品マスタ[商品名],"",0,),tbl_明細[[#This Row],[商品名（M)]])</f>
        <v/>
      </c>
      <c r="H149" s="80">
        <f>IF(ISBLANK(tbl_明細[[#This Row],[仕入価格（M)]]),_xlfn.XLOOKUP(tbl_明細[[#This Row],[商品ID]],商品マスタ[商品連番],商品マスタ[仕入
単価],"",0,1),tbl_明細[[#This Row],[仕入価格（M)]])</f>
        <v/>
      </c>
      <c r="I149" s="80">
        <f>_xlfn.XLOOKUP(tbl_明細[[#This Row],[商品ID]],商品マスタ[商品連番],商品マスタ[国内定価
（15％）],"",0,1)</f>
        <v/>
      </c>
      <c r="J149" s="85" t="n"/>
      <c r="K149" s="209" t="n"/>
      <c r="L149" s="77">
        <f>_xlfn.XLOOKUP(tbl_明細[[#This Row],[商品ID]],商品マスタ[商品連番],商品マスタ[単位],"",0,1)</f>
        <v/>
      </c>
      <c r="M149" s="249">
        <f>1-tbl_明細[[#This Row],[仕入価格]]/tbl_明細[[#This Row],[販売価格（売値）]]</f>
        <v/>
      </c>
      <c r="N149" s="189">
        <f>_xlfn.XLOOKUP(tbl_明細[[#This Row],[商品ID]],商品マスタ[商品連番],商品マスタ[税率],"",0,1)</f>
        <v/>
      </c>
      <c r="O149" s="120" t="n"/>
      <c r="P149" s="209" t="n"/>
      <c r="Q149" s="85" t="n"/>
      <c r="R149" s="85" t="n"/>
      <c r="S149" s="209" t="n"/>
      <c r="T149" s="209" t="n"/>
      <c r="U149" s="79" t="n"/>
      <c r="V149" s="79" t="n"/>
      <c r="W149" s="113" t="n"/>
      <c r="X149" s="306">
        <f>tbl_明細[[#This Row],[仕入価格]]*tbl_明細[[#This Row],[数量]]+tbl_明細[[#This Row],[仕入価格（M)]]*tbl_明細[[#This Row],[数量（M)]]</f>
        <v/>
      </c>
      <c r="Y149" s="306">
        <f>tbl_明細[[#This Row],[販売価格（売値）]]*tbl_明細[[#This Row],[数量]]+tbl_明細[[#This Row],[販売価格（M)]]*tbl_明細[[#This Row],[数量（M)]]</f>
        <v/>
      </c>
      <c r="Z149" s="307">
        <f>_xlfn.XLOOKUP(tbl_明細[[#This Row],[案件番号]],tbl_案件追跡[案件番号],tbl_案件追跡[受注],"",0,1)</f>
        <v/>
      </c>
      <c r="AA149" s="228">
        <f>tbl_明細[[#This Row],[販売価格（売値）]]+tbl_明細[[#This Row],[販売価格（M)]]</f>
        <v/>
      </c>
      <c r="AB149" s="261">
        <f>tbl_明細[[#This Row],[販売価格（売値）]]*1.08+tbl_明細[[#This Row],[販売価格（M)]]*1.08</f>
        <v/>
      </c>
    </row>
    <row r="150">
      <c r="A150" s="212" t="n"/>
      <c r="B150" s="77">
        <f>IF(ISBLANK(tbl_明細[[#This Row],[案件番号]]),"",COUNTIFS($A$3:A150,tbl_明細[[#This Row],[案件番号]],$AA$3:AA150,"&gt;0"))</f>
        <v/>
      </c>
      <c r="C150" s="209">
        <f>COUNTIFS($A$3:A150,tbl_明細[[#This Row],[案件番号]],$F$3:F150,tbl_明細[[#This Row],[仕入先]])</f>
        <v/>
      </c>
      <c r="D150" s="77">
        <f>_xlfn.XLOOKUP(tbl_明細[[#This Row],[案件番号]],tbl_採番[案件番号],tbl_採番[顧客],"",0,1)</f>
        <v/>
      </c>
      <c r="E150" s="209" t="n"/>
      <c r="F150" s="118">
        <f>IF(ISBLANK(tbl_明細[[#This Row],[仕入先（M)]]),_xlfn.XLOOKUP(tbl_明細[[#This Row],[商品ID]],商品マスタ[商品連番],商品マスタ[仕入先],"",0,1),tbl_明細[[#This Row],[仕入先（M)]])</f>
        <v/>
      </c>
      <c r="G150" s="112">
        <f>IF(ISBLANK(tbl_明細[[#This Row],[商品名（M)]]),_xlfn.XLOOKUP(tbl_明細[[#This Row],[商品ID]],商品マスタ[商品連番],商品マスタ[商品名],"",0,),tbl_明細[[#This Row],[商品名（M)]])</f>
        <v/>
      </c>
      <c r="H150" s="80">
        <f>IF(ISBLANK(tbl_明細[[#This Row],[仕入価格（M)]]),_xlfn.XLOOKUP(tbl_明細[[#This Row],[商品ID]],商品マスタ[商品連番],商品マスタ[仕入
単価],"",0,1),tbl_明細[[#This Row],[仕入価格（M)]])</f>
        <v/>
      </c>
      <c r="I150" s="80">
        <f>_xlfn.XLOOKUP(tbl_明細[[#This Row],[商品ID]],商品マスタ[商品連番],商品マスタ[国内定価
（15％）],"",0,1)</f>
        <v/>
      </c>
      <c r="J150" s="85" t="n"/>
      <c r="K150" s="209" t="n"/>
      <c r="L150" s="77">
        <f>_xlfn.XLOOKUP(tbl_明細[[#This Row],[商品ID]],商品マスタ[商品連番],商品マスタ[単位],"",0,1)</f>
        <v/>
      </c>
      <c r="M150" s="249">
        <f>1-tbl_明細[[#This Row],[仕入価格]]/tbl_明細[[#This Row],[販売価格（売値）]]</f>
        <v/>
      </c>
      <c r="N150" s="189">
        <f>_xlfn.XLOOKUP(tbl_明細[[#This Row],[商品ID]],商品マスタ[商品連番],商品マスタ[税率],"",0,1)</f>
        <v/>
      </c>
      <c r="O150" s="120" t="n"/>
      <c r="P150" s="209" t="n"/>
      <c r="Q150" s="85" t="n"/>
      <c r="R150" s="85" t="n"/>
      <c r="S150" s="209" t="n"/>
      <c r="T150" s="209" t="n"/>
      <c r="U150" s="79" t="n"/>
      <c r="V150" s="79" t="n"/>
      <c r="W150" s="113" t="n"/>
      <c r="X150" s="306">
        <f>tbl_明細[[#This Row],[仕入価格]]*tbl_明細[[#This Row],[数量]]+tbl_明細[[#This Row],[仕入価格（M)]]*tbl_明細[[#This Row],[数量（M)]]</f>
        <v/>
      </c>
      <c r="Y150" s="306">
        <f>tbl_明細[[#This Row],[販売価格（売値）]]*tbl_明細[[#This Row],[数量]]+tbl_明細[[#This Row],[販売価格（M)]]*tbl_明細[[#This Row],[数量（M)]]</f>
        <v/>
      </c>
      <c r="Z150" s="307">
        <f>_xlfn.XLOOKUP(tbl_明細[[#This Row],[案件番号]],tbl_案件追跡[案件番号],tbl_案件追跡[受注],"",0,1)</f>
        <v/>
      </c>
      <c r="AA150" s="228">
        <f>tbl_明細[[#This Row],[販売価格（売値）]]+tbl_明細[[#This Row],[販売価格（M)]]</f>
        <v/>
      </c>
      <c r="AB150" s="261">
        <f>tbl_明細[[#This Row],[販売価格（売値）]]*1.08+tbl_明細[[#This Row],[販売価格（M)]]*1.08</f>
        <v/>
      </c>
    </row>
    <row r="151">
      <c r="A151" s="212" t="n"/>
      <c r="B151" s="77">
        <f>IF(ISBLANK(tbl_明細[[#This Row],[案件番号]]),"",COUNTIFS($A$3:A151,tbl_明細[[#This Row],[案件番号]],$AA$3:AA151,"&gt;0"))</f>
        <v/>
      </c>
      <c r="C151" s="209">
        <f>COUNTIFS($A$3:A151,tbl_明細[[#This Row],[案件番号]],$F$3:F151,tbl_明細[[#This Row],[仕入先]])</f>
        <v/>
      </c>
      <c r="D151" s="77">
        <f>_xlfn.XLOOKUP(tbl_明細[[#This Row],[案件番号]],tbl_採番[案件番号],tbl_採番[顧客],"",0,1)</f>
        <v/>
      </c>
      <c r="E151" s="209" t="n"/>
      <c r="F151" s="118">
        <f>IF(ISBLANK(tbl_明細[[#This Row],[仕入先（M)]]),_xlfn.XLOOKUP(tbl_明細[[#This Row],[商品ID]],商品マスタ[商品連番],商品マスタ[仕入先],"",0,1),tbl_明細[[#This Row],[仕入先（M)]])</f>
        <v/>
      </c>
      <c r="G151" s="112">
        <f>IF(ISBLANK(tbl_明細[[#This Row],[商品名（M)]]),_xlfn.XLOOKUP(tbl_明細[[#This Row],[商品ID]],商品マスタ[商品連番],商品マスタ[商品名],"",0,),tbl_明細[[#This Row],[商品名（M)]])</f>
        <v/>
      </c>
      <c r="H151" s="80">
        <f>IF(ISBLANK(tbl_明細[[#This Row],[仕入価格（M)]]),_xlfn.XLOOKUP(tbl_明細[[#This Row],[商品ID]],商品マスタ[商品連番],商品マスタ[仕入
単価],"",0,1),tbl_明細[[#This Row],[仕入価格（M)]])</f>
        <v/>
      </c>
      <c r="I151" s="80">
        <f>_xlfn.XLOOKUP(tbl_明細[[#This Row],[商品ID]],商品マスタ[商品連番],商品マスタ[国内定価
（15％）],"",0,1)</f>
        <v/>
      </c>
      <c r="J151" s="85" t="n"/>
      <c r="K151" s="209" t="n"/>
      <c r="L151" s="77">
        <f>_xlfn.XLOOKUP(tbl_明細[[#This Row],[商品ID]],商品マスタ[商品連番],商品マスタ[単位],"",0,1)</f>
        <v/>
      </c>
      <c r="M151" s="249">
        <f>1-tbl_明細[[#This Row],[仕入価格]]/tbl_明細[[#This Row],[販売価格（売値）]]</f>
        <v/>
      </c>
      <c r="N151" s="189">
        <f>_xlfn.XLOOKUP(tbl_明細[[#This Row],[商品ID]],商品マスタ[商品連番],商品マスタ[税率],"",0,1)</f>
        <v/>
      </c>
      <c r="O151" s="120" t="n"/>
      <c r="P151" s="209" t="n"/>
      <c r="Q151" s="85" t="n"/>
      <c r="R151" s="85" t="n"/>
      <c r="S151" s="209" t="n"/>
      <c r="T151" s="209" t="n"/>
      <c r="U151" s="79" t="n"/>
      <c r="V151" s="79" t="n"/>
      <c r="W151" s="113" t="n"/>
      <c r="X151" s="306">
        <f>tbl_明細[[#This Row],[仕入価格]]*tbl_明細[[#This Row],[数量]]+tbl_明細[[#This Row],[仕入価格（M)]]*tbl_明細[[#This Row],[数量（M)]]</f>
        <v/>
      </c>
      <c r="Y151" s="306">
        <f>tbl_明細[[#This Row],[販売価格（売値）]]*tbl_明細[[#This Row],[数量]]+tbl_明細[[#This Row],[販売価格（M)]]*tbl_明細[[#This Row],[数量（M)]]</f>
        <v/>
      </c>
      <c r="Z151" s="307">
        <f>_xlfn.XLOOKUP(tbl_明細[[#This Row],[案件番号]],tbl_案件追跡[案件番号],tbl_案件追跡[受注],"",0,1)</f>
        <v/>
      </c>
      <c r="AA151" s="228">
        <f>tbl_明細[[#This Row],[販売価格（売値）]]+tbl_明細[[#This Row],[販売価格（M)]]</f>
        <v/>
      </c>
      <c r="AB151" s="261">
        <f>tbl_明細[[#This Row],[販売価格（売値）]]*1.08+tbl_明細[[#This Row],[販売価格（M)]]*1.08</f>
        <v/>
      </c>
    </row>
    <row r="152">
      <c r="A152" s="212" t="n"/>
      <c r="B152" s="77">
        <f>IF(ISBLANK(tbl_明細[[#This Row],[案件番号]]),"",COUNTIFS($A$3:A152,tbl_明細[[#This Row],[案件番号]],$AA$3:AA152,"&gt;0"))</f>
        <v/>
      </c>
      <c r="C152" s="209">
        <f>COUNTIFS($A$3:A152,tbl_明細[[#This Row],[案件番号]],$F$3:F152,tbl_明細[[#This Row],[仕入先]])</f>
        <v/>
      </c>
      <c r="D152" s="77">
        <f>_xlfn.XLOOKUP(tbl_明細[[#This Row],[案件番号]],tbl_採番[案件番号],tbl_採番[顧客],"",0,1)</f>
        <v/>
      </c>
      <c r="E152" s="209" t="n"/>
      <c r="F152" s="118">
        <f>IF(ISBLANK(tbl_明細[[#This Row],[仕入先（M)]]),_xlfn.XLOOKUP(tbl_明細[[#This Row],[商品ID]],商品マスタ[商品連番],商品マスタ[仕入先],"",0,1),tbl_明細[[#This Row],[仕入先（M)]])</f>
        <v/>
      </c>
      <c r="G152" s="112">
        <f>IF(ISBLANK(tbl_明細[[#This Row],[商品名（M)]]),_xlfn.XLOOKUP(tbl_明細[[#This Row],[商品ID]],商品マスタ[商品連番],商品マスタ[商品名],"",0,),tbl_明細[[#This Row],[商品名（M)]])</f>
        <v/>
      </c>
      <c r="H152" s="80">
        <f>IF(ISBLANK(tbl_明細[[#This Row],[仕入価格（M)]]),_xlfn.XLOOKUP(tbl_明細[[#This Row],[商品ID]],商品マスタ[商品連番],商品マスタ[仕入
単価],"",0,1),tbl_明細[[#This Row],[仕入価格（M)]])</f>
        <v/>
      </c>
      <c r="I152" s="80">
        <f>_xlfn.XLOOKUP(tbl_明細[[#This Row],[商品ID]],商品マスタ[商品連番],商品マスタ[国内定価
（15％）],"",0,1)</f>
        <v/>
      </c>
      <c r="J152" s="85" t="n"/>
      <c r="K152" s="209" t="n"/>
      <c r="L152" s="77">
        <f>_xlfn.XLOOKUP(tbl_明細[[#This Row],[商品ID]],商品マスタ[商品連番],商品マスタ[単位],"",0,1)</f>
        <v/>
      </c>
      <c r="M152" s="249">
        <f>1-tbl_明細[[#This Row],[仕入価格]]/tbl_明細[[#This Row],[販売価格（売値）]]</f>
        <v/>
      </c>
      <c r="N152" s="189">
        <f>_xlfn.XLOOKUP(tbl_明細[[#This Row],[商品ID]],商品マスタ[商品連番],商品マスタ[税率],"",0,1)</f>
        <v/>
      </c>
      <c r="O152" s="120" t="n"/>
      <c r="P152" s="209" t="n"/>
      <c r="Q152" s="85" t="n"/>
      <c r="R152" s="85" t="n"/>
      <c r="S152" s="209" t="n"/>
      <c r="T152" s="209" t="n"/>
      <c r="U152" s="79" t="n"/>
      <c r="V152" s="79" t="n"/>
      <c r="W152" s="113" t="n"/>
      <c r="X152" s="306">
        <f>tbl_明細[[#This Row],[仕入価格]]*tbl_明細[[#This Row],[数量]]+tbl_明細[[#This Row],[仕入価格（M)]]*tbl_明細[[#This Row],[数量（M)]]</f>
        <v/>
      </c>
      <c r="Y152" s="306">
        <f>tbl_明細[[#This Row],[販売価格（売値）]]*tbl_明細[[#This Row],[数量]]+tbl_明細[[#This Row],[販売価格（M)]]*tbl_明細[[#This Row],[数量（M)]]</f>
        <v/>
      </c>
      <c r="Z152" s="307">
        <f>_xlfn.XLOOKUP(tbl_明細[[#This Row],[案件番号]],tbl_案件追跡[案件番号],tbl_案件追跡[受注],"",0,1)</f>
        <v/>
      </c>
      <c r="AA152" s="228">
        <f>tbl_明細[[#This Row],[販売価格（売値）]]+tbl_明細[[#This Row],[販売価格（M)]]</f>
        <v/>
      </c>
      <c r="AB152" s="261">
        <f>tbl_明細[[#This Row],[販売価格（売値）]]*1.08+tbl_明細[[#This Row],[販売価格（M)]]*1.08</f>
        <v/>
      </c>
    </row>
    <row r="153">
      <c r="A153" s="212" t="n"/>
      <c r="B153" s="77">
        <f>IF(ISBLANK(tbl_明細[[#This Row],[案件番号]]),"",COUNTIFS($A$3:A153,tbl_明細[[#This Row],[案件番号]],$AA$3:AA153,"&gt;0"))</f>
        <v/>
      </c>
      <c r="C153" s="209">
        <f>COUNTIFS($A$3:A153,tbl_明細[[#This Row],[案件番号]],$F$3:F153,tbl_明細[[#This Row],[仕入先]])</f>
        <v/>
      </c>
      <c r="D153" s="77">
        <f>_xlfn.XLOOKUP(tbl_明細[[#This Row],[案件番号]],tbl_採番[案件番号],tbl_採番[顧客],"",0,1)</f>
        <v/>
      </c>
      <c r="E153" s="209" t="n"/>
      <c r="F153" s="118">
        <f>IF(ISBLANK(tbl_明細[[#This Row],[仕入先（M)]]),_xlfn.XLOOKUP(tbl_明細[[#This Row],[商品ID]],商品マスタ[商品連番],商品マスタ[仕入先],"",0,1),tbl_明細[[#This Row],[仕入先（M)]])</f>
        <v/>
      </c>
      <c r="G153" s="112">
        <f>IF(ISBLANK(tbl_明細[[#This Row],[商品名（M)]]),_xlfn.XLOOKUP(tbl_明細[[#This Row],[商品ID]],商品マスタ[商品連番],商品マスタ[商品名],"",0,),tbl_明細[[#This Row],[商品名（M)]])</f>
        <v/>
      </c>
      <c r="H153" s="80">
        <f>IF(ISBLANK(tbl_明細[[#This Row],[仕入価格（M)]]),_xlfn.XLOOKUP(tbl_明細[[#This Row],[商品ID]],商品マスタ[商品連番],商品マスタ[仕入
単価],"",0,1),tbl_明細[[#This Row],[仕入価格（M)]])</f>
        <v/>
      </c>
      <c r="I153" s="80">
        <f>_xlfn.XLOOKUP(tbl_明細[[#This Row],[商品ID]],商品マスタ[商品連番],商品マスタ[国内定価
（15％）],"",0,1)</f>
        <v/>
      </c>
      <c r="J153" s="85" t="n"/>
      <c r="K153" s="209" t="n"/>
      <c r="L153" s="77">
        <f>_xlfn.XLOOKUP(tbl_明細[[#This Row],[商品ID]],商品マスタ[商品連番],商品マスタ[単位],"",0,1)</f>
        <v/>
      </c>
      <c r="M153" s="249">
        <f>1-tbl_明細[[#This Row],[仕入価格]]/tbl_明細[[#This Row],[販売価格（売値）]]</f>
        <v/>
      </c>
      <c r="N153" s="189">
        <f>_xlfn.XLOOKUP(tbl_明細[[#This Row],[商品ID]],商品マスタ[商品連番],商品マスタ[税率],"",0,1)</f>
        <v/>
      </c>
      <c r="O153" s="120" t="n"/>
      <c r="P153" s="209" t="n"/>
      <c r="Q153" s="85" t="n"/>
      <c r="R153" s="85" t="n"/>
      <c r="S153" s="209" t="n"/>
      <c r="T153" s="209" t="n"/>
      <c r="U153" s="79" t="n"/>
      <c r="V153" s="79" t="n"/>
      <c r="W153" s="113" t="n"/>
      <c r="X153" s="306">
        <f>tbl_明細[[#This Row],[仕入価格]]*tbl_明細[[#This Row],[数量]]+tbl_明細[[#This Row],[仕入価格（M)]]*tbl_明細[[#This Row],[数量（M)]]</f>
        <v/>
      </c>
      <c r="Y153" s="306">
        <f>tbl_明細[[#This Row],[販売価格（売値）]]*tbl_明細[[#This Row],[数量]]+tbl_明細[[#This Row],[販売価格（M)]]*tbl_明細[[#This Row],[数量（M)]]</f>
        <v/>
      </c>
      <c r="Z153" s="307">
        <f>_xlfn.XLOOKUP(tbl_明細[[#This Row],[案件番号]],tbl_案件追跡[案件番号],tbl_案件追跡[受注],"",0,1)</f>
        <v/>
      </c>
      <c r="AA153" s="228">
        <f>tbl_明細[[#This Row],[販売価格（売値）]]+tbl_明細[[#This Row],[販売価格（M)]]</f>
        <v/>
      </c>
      <c r="AB153" s="261">
        <f>tbl_明細[[#This Row],[販売価格（売値）]]*1.08+tbl_明細[[#This Row],[販売価格（M)]]*1.08</f>
        <v/>
      </c>
    </row>
    <row r="154">
      <c r="A154" s="212" t="n"/>
      <c r="B154" s="77">
        <f>IF(ISBLANK(tbl_明細[[#This Row],[案件番号]]),"",COUNTIFS($A$3:A154,tbl_明細[[#This Row],[案件番号]],$AA$3:AA154,"&gt;0"))</f>
        <v/>
      </c>
      <c r="C154" s="209">
        <f>COUNTIFS($A$3:A154,tbl_明細[[#This Row],[案件番号]],$F$3:F154,tbl_明細[[#This Row],[仕入先]])</f>
        <v/>
      </c>
      <c r="D154" s="77">
        <f>_xlfn.XLOOKUP(tbl_明細[[#This Row],[案件番号]],tbl_採番[案件番号],tbl_採番[顧客],"",0,1)</f>
        <v/>
      </c>
      <c r="E154" s="209" t="n"/>
      <c r="F154" s="118">
        <f>IF(ISBLANK(tbl_明細[[#This Row],[仕入先（M)]]),_xlfn.XLOOKUP(tbl_明細[[#This Row],[商品ID]],商品マスタ[商品連番],商品マスタ[仕入先],"",0,1),tbl_明細[[#This Row],[仕入先（M)]])</f>
        <v/>
      </c>
      <c r="G154" s="112">
        <f>IF(ISBLANK(tbl_明細[[#This Row],[商品名（M)]]),_xlfn.XLOOKUP(tbl_明細[[#This Row],[商品ID]],商品マスタ[商品連番],商品マスタ[商品名],"",0,),tbl_明細[[#This Row],[商品名（M)]])</f>
        <v/>
      </c>
      <c r="H154" s="80">
        <f>IF(ISBLANK(tbl_明細[[#This Row],[仕入価格（M)]]),_xlfn.XLOOKUP(tbl_明細[[#This Row],[商品ID]],商品マスタ[商品連番],商品マスタ[仕入
単価],"",0,1),tbl_明細[[#This Row],[仕入価格（M)]])</f>
        <v/>
      </c>
      <c r="I154" s="80">
        <f>_xlfn.XLOOKUP(tbl_明細[[#This Row],[商品ID]],商品マスタ[商品連番],商品マスタ[国内定価
（15％）],"",0,1)</f>
        <v/>
      </c>
      <c r="J154" s="85" t="n"/>
      <c r="K154" s="209" t="n"/>
      <c r="L154" s="77">
        <f>_xlfn.XLOOKUP(tbl_明細[[#This Row],[商品ID]],商品マスタ[商品連番],商品マスタ[単位],"",0,1)</f>
        <v/>
      </c>
      <c r="M154" s="249">
        <f>1-tbl_明細[[#This Row],[仕入価格]]/tbl_明細[[#This Row],[販売価格（売値）]]</f>
        <v/>
      </c>
      <c r="N154" s="189">
        <f>_xlfn.XLOOKUP(tbl_明細[[#This Row],[商品ID]],商品マスタ[商品連番],商品マスタ[税率],"",0,1)</f>
        <v/>
      </c>
      <c r="O154" s="120" t="n"/>
      <c r="P154" s="209" t="n"/>
      <c r="Q154" s="85" t="n"/>
      <c r="R154" s="85" t="n"/>
      <c r="S154" s="209" t="n"/>
      <c r="T154" s="209" t="n"/>
      <c r="U154" s="79" t="n"/>
      <c r="V154" s="79" t="n"/>
      <c r="W154" s="113" t="n"/>
      <c r="X154" s="306">
        <f>tbl_明細[[#This Row],[仕入価格]]*tbl_明細[[#This Row],[数量]]+tbl_明細[[#This Row],[仕入価格（M)]]*tbl_明細[[#This Row],[数量（M)]]</f>
        <v/>
      </c>
      <c r="Y154" s="306">
        <f>tbl_明細[[#This Row],[販売価格（売値）]]*tbl_明細[[#This Row],[数量]]+tbl_明細[[#This Row],[販売価格（M)]]*tbl_明細[[#This Row],[数量（M)]]</f>
        <v/>
      </c>
      <c r="Z154" s="307">
        <f>_xlfn.XLOOKUP(tbl_明細[[#This Row],[案件番号]],tbl_案件追跡[案件番号],tbl_案件追跡[受注],"",0,1)</f>
        <v/>
      </c>
      <c r="AA154" s="228">
        <f>tbl_明細[[#This Row],[販売価格（売値）]]+tbl_明細[[#This Row],[販売価格（M)]]</f>
        <v/>
      </c>
      <c r="AB154" s="261">
        <f>tbl_明細[[#This Row],[販売価格（売値）]]*1.08+tbl_明細[[#This Row],[販売価格（M)]]*1.08</f>
        <v/>
      </c>
    </row>
    <row r="155">
      <c r="A155" s="212" t="n"/>
      <c r="B155" s="77">
        <f>IF(ISBLANK(tbl_明細[[#This Row],[案件番号]]),"",COUNTIFS($A$3:A155,tbl_明細[[#This Row],[案件番号]],$AA$3:AA155,"&gt;0"))</f>
        <v/>
      </c>
      <c r="C155" s="209">
        <f>COUNTIFS($A$3:A155,tbl_明細[[#This Row],[案件番号]],$F$3:F155,tbl_明細[[#This Row],[仕入先]])</f>
        <v/>
      </c>
      <c r="D155" s="77">
        <f>_xlfn.XLOOKUP(tbl_明細[[#This Row],[案件番号]],tbl_採番[案件番号],tbl_採番[顧客],"",0,1)</f>
        <v/>
      </c>
      <c r="E155" s="209" t="n"/>
      <c r="F155" s="118">
        <f>IF(ISBLANK(tbl_明細[[#This Row],[仕入先（M)]]),_xlfn.XLOOKUP(tbl_明細[[#This Row],[商品ID]],商品マスタ[商品連番],商品マスタ[仕入先],"",0,1),tbl_明細[[#This Row],[仕入先（M)]])</f>
        <v/>
      </c>
      <c r="G155" s="112">
        <f>IF(ISBLANK(tbl_明細[[#This Row],[商品名（M)]]),_xlfn.XLOOKUP(tbl_明細[[#This Row],[商品ID]],商品マスタ[商品連番],商品マスタ[商品名],"",0,),tbl_明細[[#This Row],[商品名（M)]])</f>
        <v/>
      </c>
      <c r="H155" s="80">
        <f>IF(ISBLANK(tbl_明細[[#This Row],[仕入価格（M)]]),_xlfn.XLOOKUP(tbl_明細[[#This Row],[商品ID]],商品マスタ[商品連番],商品マスタ[仕入
単価],"",0,1),tbl_明細[[#This Row],[仕入価格（M)]])</f>
        <v/>
      </c>
      <c r="I155" s="80">
        <f>_xlfn.XLOOKUP(tbl_明細[[#This Row],[商品ID]],商品マスタ[商品連番],商品マスタ[国内定価
（15％）],"",0,1)</f>
        <v/>
      </c>
      <c r="J155" s="85" t="n"/>
      <c r="K155" s="209" t="n"/>
      <c r="L155" s="77">
        <f>_xlfn.XLOOKUP(tbl_明細[[#This Row],[商品ID]],商品マスタ[商品連番],商品マスタ[単位],"",0,1)</f>
        <v/>
      </c>
      <c r="M155" s="249">
        <f>1-tbl_明細[[#This Row],[仕入価格]]/tbl_明細[[#This Row],[販売価格（売値）]]</f>
        <v/>
      </c>
      <c r="N155" s="189">
        <f>_xlfn.XLOOKUP(tbl_明細[[#This Row],[商品ID]],商品マスタ[商品連番],商品マスタ[税率],"",0,1)</f>
        <v/>
      </c>
      <c r="O155" s="120" t="n"/>
      <c r="P155" s="209" t="n"/>
      <c r="Q155" s="85" t="n"/>
      <c r="R155" s="85" t="n"/>
      <c r="S155" s="209" t="n"/>
      <c r="T155" s="209" t="n"/>
      <c r="U155" s="79" t="n"/>
      <c r="V155" s="79" t="n"/>
      <c r="W155" s="113" t="n"/>
      <c r="X155" s="306">
        <f>tbl_明細[[#This Row],[仕入価格]]*tbl_明細[[#This Row],[数量]]+tbl_明細[[#This Row],[仕入価格（M)]]*tbl_明細[[#This Row],[数量（M)]]</f>
        <v/>
      </c>
      <c r="Y155" s="306">
        <f>tbl_明細[[#This Row],[販売価格（売値）]]*tbl_明細[[#This Row],[数量]]+tbl_明細[[#This Row],[販売価格（M)]]*tbl_明細[[#This Row],[数量（M)]]</f>
        <v/>
      </c>
      <c r="Z155" s="307">
        <f>_xlfn.XLOOKUP(tbl_明細[[#This Row],[案件番号]],tbl_案件追跡[案件番号],tbl_案件追跡[受注],"",0,1)</f>
        <v/>
      </c>
      <c r="AA155" s="228">
        <f>tbl_明細[[#This Row],[販売価格（売値）]]+tbl_明細[[#This Row],[販売価格（M)]]</f>
        <v/>
      </c>
      <c r="AB155" s="261">
        <f>tbl_明細[[#This Row],[販売価格（売値）]]*1.08+tbl_明細[[#This Row],[販売価格（M)]]*1.08</f>
        <v/>
      </c>
    </row>
    <row r="156">
      <c r="A156" s="212" t="n"/>
      <c r="B156" s="77">
        <f>IF(ISBLANK(tbl_明細[[#This Row],[案件番号]]),"",COUNTIFS($A$3:A156,tbl_明細[[#This Row],[案件番号]],$AA$3:AA156,"&gt;0"))</f>
        <v/>
      </c>
      <c r="C156" s="209">
        <f>COUNTIFS($A$3:A156,tbl_明細[[#This Row],[案件番号]],$F$3:F156,tbl_明細[[#This Row],[仕入先]])</f>
        <v/>
      </c>
      <c r="D156" s="77">
        <f>_xlfn.XLOOKUP(tbl_明細[[#This Row],[案件番号]],tbl_採番[案件番号],tbl_採番[顧客],"",0,1)</f>
        <v/>
      </c>
      <c r="E156" s="209" t="n"/>
      <c r="F156" s="118">
        <f>IF(ISBLANK(tbl_明細[[#This Row],[仕入先（M)]]),_xlfn.XLOOKUP(tbl_明細[[#This Row],[商品ID]],商品マスタ[商品連番],商品マスタ[仕入先],"",0,1),tbl_明細[[#This Row],[仕入先（M)]])</f>
        <v/>
      </c>
      <c r="G156" s="112">
        <f>IF(ISBLANK(tbl_明細[[#This Row],[商品名（M)]]),_xlfn.XLOOKUP(tbl_明細[[#This Row],[商品ID]],商品マスタ[商品連番],商品マスタ[商品名],"",0,),tbl_明細[[#This Row],[商品名（M)]])</f>
        <v/>
      </c>
      <c r="H156" s="80">
        <f>IF(ISBLANK(tbl_明細[[#This Row],[仕入価格（M)]]),_xlfn.XLOOKUP(tbl_明細[[#This Row],[商品ID]],商品マスタ[商品連番],商品マスタ[仕入
単価],"",0,1),tbl_明細[[#This Row],[仕入価格（M)]])</f>
        <v/>
      </c>
      <c r="I156" s="80">
        <f>_xlfn.XLOOKUP(tbl_明細[[#This Row],[商品ID]],商品マスタ[商品連番],商品マスタ[国内定価
（15％）],"",0,1)</f>
        <v/>
      </c>
      <c r="J156" s="85" t="n"/>
      <c r="K156" s="209" t="n"/>
      <c r="L156" s="77">
        <f>_xlfn.XLOOKUP(tbl_明細[[#This Row],[商品ID]],商品マスタ[商品連番],商品マスタ[単位],"",0,1)</f>
        <v/>
      </c>
      <c r="M156" s="249">
        <f>1-tbl_明細[[#This Row],[仕入価格]]/tbl_明細[[#This Row],[販売価格（売値）]]</f>
        <v/>
      </c>
      <c r="N156" s="189">
        <f>_xlfn.XLOOKUP(tbl_明細[[#This Row],[商品ID]],商品マスタ[商品連番],商品マスタ[税率],"",0,1)</f>
        <v/>
      </c>
      <c r="O156" s="120" t="n"/>
      <c r="P156" s="209" t="n"/>
      <c r="Q156" s="85" t="n"/>
      <c r="R156" s="85" t="n"/>
      <c r="S156" s="209" t="n"/>
      <c r="T156" s="209" t="n"/>
      <c r="U156" s="79" t="n"/>
      <c r="V156" s="79" t="n"/>
      <c r="W156" s="113" t="n"/>
      <c r="X156" s="306">
        <f>tbl_明細[[#This Row],[仕入価格]]*tbl_明細[[#This Row],[数量]]+tbl_明細[[#This Row],[仕入価格（M)]]*tbl_明細[[#This Row],[数量（M)]]</f>
        <v/>
      </c>
      <c r="Y156" s="306">
        <f>tbl_明細[[#This Row],[販売価格（売値）]]*tbl_明細[[#This Row],[数量]]+tbl_明細[[#This Row],[販売価格（M)]]*tbl_明細[[#This Row],[数量（M)]]</f>
        <v/>
      </c>
      <c r="Z156" s="307">
        <f>_xlfn.XLOOKUP(tbl_明細[[#This Row],[案件番号]],tbl_案件追跡[案件番号],tbl_案件追跡[受注],"",0,1)</f>
        <v/>
      </c>
      <c r="AA156" s="228">
        <f>tbl_明細[[#This Row],[販売価格（売値）]]+tbl_明細[[#This Row],[販売価格（M)]]</f>
        <v/>
      </c>
      <c r="AB156" s="261">
        <f>tbl_明細[[#This Row],[販売価格（売値）]]*1.08+tbl_明細[[#This Row],[販売価格（M)]]*1.08</f>
        <v/>
      </c>
    </row>
    <row r="157">
      <c r="A157" s="212" t="n"/>
      <c r="B157" s="77">
        <f>IF(ISBLANK(tbl_明細[[#This Row],[案件番号]]),"",COUNTIFS($A$3:A157,tbl_明細[[#This Row],[案件番号]],$AA$3:AA157,"&gt;0"))</f>
        <v/>
      </c>
      <c r="C157" s="209">
        <f>COUNTIFS($A$3:A157,tbl_明細[[#This Row],[案件番号]],$F$3:F157,tbl_明細[[#This Row],[仕入先]])</f>
        <v/>
      </c>
      <c r="D157" s="77">
        <f>_xlfn.XLOOKUP(tbl_明細[[#This Row],[案件番号]],tbl_採番[案件番号],tbl_採番[顧客],"",0,1)</f>
        <v/>
      </c>
      <c r="E157" s="209" t="n"/>
      <c r="F157" s="118">
        <f>IF(ISBLANK(tbl_明細[[#This Row],[仕入先（M)]]),_xlfn.XLOOKUP(tbl_明細[[#This Row],[商品ID]],商品マスタ[商品連番],商品マスタ[仕入先],"",0,1),tbl_明細[[#This Row],[仕入先（M)]])</f>
        <v/>
      </c>
      <c r="G157" s="112">
        <f>IF(ISBLANK(tbl_明細[[#This Row],[商品名（M)]]),_xlfn.XLOOKUP(tbl_明細[[#This Row],[商品ID]],商品マスタ[商品連番],商品マスタ[商品名],"",0,),tbl_明細[[#This Row],[商品名（M)]])</f>
        <v/>
      </c>
      <c r="H157" s="80">
        <f>IF(ISBLANK(tbl_明細[[#This Row],[仕入価格（M)]]),_xlfn.XLOOKUP(tbl_明細[[#This Row],[商品ID]],商品マスタ[商品連番],商品マスタ[仕入
単価],"",0,1),tbl_明細[[#This Row],[仕入価格（M)]])</f>
        <v/>
      </c>
      <c r="I157" s="80">
        <f>_xlfn.XLOOKUP(tbl_明細[[#This Row],[商品ID]],商品マスタ[商品連番],商品マスタ[国内定価
（15％）],"",0,1)</f>
        <v/>
      </c>
      <c r="J157" s="85" t="n"/>
      <c r="K157" s="209" t="n"/>
      <c r="L157" s="77">
        <f>_xlfn.XLOOKUP(tbl_明細[[#This Row],[商品ID]],商品マスタ[商品連番],商品マスタ[単位],"",0,1)</f>
        <v/>
      </c>
      <c r="M157" s="249">
        <f>1-tbl_明細[[#This Row],[仕入価格]]/tbl_明細[[#This Row],[販売価格（売値）]]</f>
        <v/>
      </c>
      <c r="N157" s="189">
        <f>_xlfn.XLOOKUP(tbl_明細[[#This Row],[商品ID]],商品マスタ[商品連番],商品マスタ[税率],"",0,1)</f>
        <v/>
      </c>
      <c r="O157" s="120" t="n"/>
      <c r="P157" s="209" t="n"/>
      <c r="Q157" s="85" t="n"/>
      <c r="R157" s="85" t="n"/>
      <c r="S157" s="209" t="n"/>
      <c r="T157" s="209" t="n"/>
      <c r="U157" s="79" t="n"/>
      <c r="V157" s="79" t="n"/>
      <c r="W157" s="113" t="n"/>
      <c r="X157" s="306">
        <f>tbl_明細[[#This Row],[仕入価格]]*tbl_明細[[#This Row],[数量]]+tbl_明細[[#This Row],[仕入価格（M)]]*tbl_明細[[#This Row],[数量（M)]]</f>
        <v/>
      </c>
      <c r="Y157" s="306">
        <f>tbl_明細[[#This Row],[販売価格（売値）]]*tbl_明細[[#This Row],[数量]]+tbl_明細[[#This Row],[販売価格（M)]]*tbl_明細[[#This Row],[数量（M)]]</f>
        <v/>
      </c>
      <c r="Z157" s="307">
        <f>_xlfn.XLOOKUP(tbl_明細[[#This Row],[案件番号]],tbl_案件追跡[案件番号],tbl_案件追跡[受注],"",0,1)</f>
        <v/>
      </c>
      <c r="AA157" s="228">
        <f>tbl_明細[[#This Row],[販売価格（売値）]]+tbl_明細[[#This Row],[販売価格（M)]]</f>
        <v/>
      </c>
      <c r="AB157" s="261">
        <f>tbl_明細[[#This Row],[販売価格（売値）]]*1.08+tbl_明細[[#This Row],[販売価格（M)]]*1.08</f>
        <v/>
      </c>
    </row>
    <row r="158">
      <c r="A158" s="212" t="n"/>
      <c r="B158" s="77">
        <f>IF(ISBLANK(tbl_明細[[#This Row],[案件番号]]),"",COUNTIFS($A$3:A158,tbl_明細[[#This Row],[案件番号]],$AA$3:AA158,"&gt;0"))</f>
        <v/>
      </c>
      <c r="C158" s="209">
        <f>COUNTIFS($A$3:A158,tbl_明細[[#This Row],[案件番号]],$F$3:F158,tbl_明細[[#This Row],[仕入先]])</f>
        <v/>
      </c>
      <c r="D158" s="77">
        <f>_xlfn.XLOOKUP(tbl_明細[[#This Row],[案件番号]],tbl_採番[案件番号],tbl_採番[顧客],"",0,1)</f>
        <v/>
      </c>
      <c r="E158" s="209" t="n"/>
      <c r="F158" s="118">
        <f>IF(ISBLANK(tbl_明細[[#This Row],[仕入先（M)]]),_xlfn.XLOOKUP(tbl_明細[[#This Row],[商品ID]],商品マスタ[商品連番],商品マスタ[仕入先],"",0,1),tbl_明細[[#This Row],[仕入先（M)]])</f>
        <v/>
      </c>
      <c r="G158" s="112">
        <f>IF(ISBLANK(tbl_明細[[#This Row],[商品名（M)]]),_xlfn.XLOOKUP(tbl_明細[[#This Row],[商品ID]],商品マスタ[商品連番],商品マスタ[商品名],"",0,),tbl_明細[[#This Row],[商品名（M)]])</f>
        <v/>
      </c>
      <c r="H158" s="80">
        <f>IF(ISBLANK(tbl_明細[[#This Row],[仕入価格（M)]]),_xlfn.XLOOKUP(tbl_明細[[#This Row],[商品ID]],商品マスタ[商品連番],商品マスタ[仕入
単価],"",0,1),tbl_明細[[#This Row],[仕入価格（M)]])</f>
        <v/>
      </c>
      <c r="I158" s="80">
        <f>_xlfn.XLOOKUP(tbl_明細[[#This Row],[商品ID]],商品マスタ[商品連番],商品マスタ[国内定価
（15％）],"",0,1)</f>
        <v/>
      </c>
      <c r="J158" s="85" t="n"/>
      <c r="K158" s="209" t="n"/>
      <c r="L158" s="77">
        <f>_xlfn.XLOOKUP(tbl_明細[[#This Row],[商品ID]],商品マスタ[商品連番],商品マスタ[単位],"",0,1)</f>
        <v/>
      </c>
      <c r="M158" s="249">
        <f>1-tbl_明細[[#This Row],[仕入価格]]/tbl_明細[[#This Row],[販売価格（売値）]]</f>
        <v/>
      </c>
      <c r="N158" s="189">
        <f>_xlfn.XLOOKUP(tbl_明細[[#This Row],[商品ID]],商品マスタ[商品連番],商品マスタ[税率],"",0,1)</f>
        <v/>
      </c>
      <c r="O158" s="120" t="n"/>
      <c r="P158" s="209" t="n"/>
      <c r="Q158" s="85" t="n"/>
      <c r="R158" s="85" t="n"/>
      <c r="S158" s="209" t="n"/>
      <c r="T158" s="209" t="n"/>
      <c r="U158" s="79" t="n"/>
      <c r="V158" s="79" t="n"/>
      <c r="W158" s="113" t="n"/>
      <c r="X158" s="306">
        <f>tbl_明細[[#This Row],[仕入価格]]*tbl_明細[[#This Row],[数量]]+tbl_明細[[#This Row],[仕入価格（M)]]*tbl_明細[[#This Row],[数量（M)]]</f>
        <v/>
      </c>
      <c r="Y158" s="306">
        <f>tbl_明細[[#This Row],[販売価格（売値）]]*tbl_明細[[#This Row],[数量]]+tbl_明細[[#This Row],[販売価格（M)]]*tbl_明細[[#This Row],[数量（M)]]</f>
        <v/>
      </c>
      <c r="Z158" s="307">
        <f>_xlfn.XLOOKUP(tbl_明細[[#This Row],[案件番号]],tbl_案件追跡[案件番号],tbl_案件追跡[受注],"",0,1)</f>
        <v/>
      </c>
      <c r="AA158" s="228">
        <f>tbl_明細[[#This Row],[販売価格（売値）]]+tbl_明細[[#This Row],[販売価格（M)]]</f>
        <v/>
      </c>
      <c r="AB158" s="261">
        <f>tbl_明細[[#This Row],[販売価格（売値）]]*1.08+tbl_明細[[#This Row],[販売価格（M)]]*1.08</f>
        <v/>
      </c>
    </row>
    <row r="159">
      <c r="A159" s="212" t="n"/>
      <c r="B159" s="77">
        <f>IF(ISBLANK(tbl_明細[[#This Row],[案件番号]]),"",COUNTIFS($A$3:A159,tbl_明細[[#This Row],[案件番号]],$AA$3:AA159,"&gt;0"))</f>
        <v/>
      </c>
      <c r="C159" s="209">
        <f>COUNTIFS($A$3:A159,tbl_明細[[#This Row],[案件番号]],$F$3:F159,tbl_明細[[#This Row],[仕入先]])</f>
        <v/>
      </c>
      <c r="D159" s="77">
        <f>_xlfn.XLOOKUP(tbl_明細[[#This Row],[案件番号]],tbl_採番[案件番号],tbl_採番[顧客],"",0,1)</f>
        <v/>
      </c>
      <c r="E159" s="209" t="n"/>
      <c r="F159" s="118">
        <f>IF(ISBLANK(tbl_明細[[#This Row],[仕入先（M)]]),_xlfn.XLOOKUP(tbl_明細[[#This Row],[商品ID]],商品マスタ[商品連番],商品マスタ[仕入先],"",0,1),tbl_明細[[#This Row],[仕入先（M)]])</f>
        <v/>
      </c>
      <c r="G159" s="112">
        <f>IF(ISBLANK(tbl_明細[[#This Row],[商品名（M)]]),_xlfn.XLOOKUP(tbl_明細[[#This Row],[商品ID]],商品マスタ[商品連番],商品マスタ[商品名],"",0,),tbl_明細[[#This Row],[商品名（M)]])</f>
        <v/>
      </c>
      <c r="H159" s="80">
        <f>IF(ISBLANK(tbl_明細[[#This Row],[仕入価格（M)]]),_xlfn.XLOOKUP(tbl_明細[[#This Row],[商品ID]],商品マスタ[商品連番],商品マスタ[仕入
単価],"",0,1),tbl_明細[[#This Row],[仕入価格（M)]])</f>
        <v/>
      </c>
      <c r="I159" s="80">
        <f>_xlfn.XLOOKUP(tbl_明細[[#This Row],[商品ID]],商品マスタ[商品連番],商品マスタ[国内定価
（15％）],"",0,1)</f>
        <v/>
      </c>
      <c r="J159" s="85" t="n"/>
      <c r="K159" s="209" t="n"/>
      <c r="L159" s="77">
        <f>_xlfn.XLOOKUP(tbl_明細[[#This Row],[商品ID]],商品マスタ[商品連番],商品マスタ[単位],"",0,1)</f>
        <v/>
      </c>
      <c r="M159" s="249">
        <f>1-tbl_明細[[#This Row],[仕入価格]]/tbl_明細[[#This Row],[販売価格（売値）]]</f>
        <v/>
      </c>
      <c r="N159" s="189">
        <f>_xlfn.XLOOKUP(tbl_明細[[#This Row],[商品ID]],商品マスタ[商品連番],商品マスタ[税率],"",0,1)</f>
        <v/>
      </c>
      <c r="O159" s="120" t="n"/>
      <c r="P159" s="209" t="n"/>
      <c r="Q159" s="85" t="n"/>
      <c r="R159" s="85" t="n"/>
      <c r="S159" s="209" t="n"/>
      <c r="T159" s="209" t="n"/>
      <c r="U159" s="79" t="n"/>
      <c r="V159" s="79" t="n"/>
      <c r="W159" s="113" t="n"/>
      <c r="X159" s="306">
        <f>tbl_明細[[#This Row],[仕入価格]]*tbl_明細[[#This Row],[数量]]+tbl_明細[[#This Row],[仕入価格（M)]]*tbl_明細[[#This Row],[数量（M)]]</f>
        <v/>
      </c>
      <c r="Y159" s="306">
        <f>tbl_明細[[#This Row],[販売価格（売値）]]*tbl_明細[[#This Row],[数量]]+tbl_明細[[#This Row],[販売価格（M)]]*tbl_明細[[#This Row],[数量（M)]]</f>
        <v/>
      </c>
      <c r="Z159" s="307">
        <f>_xlfn.XLOOKUP(tbl_明細[[#This Row],[案件番号]],tbl_案件追跡[案件番号],tbl_案件追跡[受注],"",0,1)</f>
        <v/>
      </c>
      <c r="AA159" s="228">
        <f>tbl_明細[[#This Row],[販売価格（売値）]]+tbl_明細[[#This Row],[販売価格（M)]]</f>
        <v/>
      </c>
      <c r="AB159" s="261">
        <f>tbl_明細[[#This Row],[販売価格（売値）]]*1.08+tbl_明細[[#This Row],[販売価格（M)]]*1.08</f>
        <v/>
      </c>
    </row>
    <row r="160">
      <c r="A160" s="212" t="n"/>
      <c r="B160" s="77">
        <f>IF(ISBLANK(tbl_明細[[#This Row],[案件番号]]),"",COUNTIFS($A$3:A160,tbl_明細[[#This Row],[案件番号]],$AA$3:AA160,"&gt;0"))</f>
        <v/>
      </c>
      <c r="C160" s="209">
        <f>COUNTIFS($A$3:A160,tbl_明細[[#This Row],[案件番号]],$F$3:F160,tbl_明細[[#This Row],[仕入先]])</f>
        <v/>
      </c>
      <c r="D160" s="77">
        <f>_xlfn.XLOOKUP(tbl_明細[[#This Row],[案件番号]],tbl_採番[案件番号],tbl_採番[顧客],"",0,1)</f>
        <v/>
      </c>
      <c r="E160" s="209" t="n"/>
      <c r="F160" s="118">
        <f>IF(ISBLANK(tbl_明細[[#This Row],[仕入先（M)]]),_xlfn.XLOOKUP(tbl_明細[[#This Row],[商品ID]],商品マスタ[商品連番],商品マスタ[仕入先],"",0,1),tbl_明細[[#This Row],[仕入先（M)]])</f>
        <v/>
      </c>
      <c r="G160" s="112">
        <f>IF(ISBLANK(tbl_明細[[#This Row],[商品名（M)]]),_xlfn.XLOOKUP(tbl_明細[[#This Row],[商品ID]],商品マスタ[商品連番],商品マスタ[商品名],"",0,),tbl_明細[[#This Row],[商品名（M)]])</f>
        <v/>
      </c>
      <c r="H160" s="80">
        <f>IF(ISBLANK(tbl_明細[[#This Row],[仕入価格（M)]]),_xlfn.XLOOKUP(tbl_明細[[#This Row],[商品ID]],商品マスタ[商品連番],商品マスタ[仕入
単価],"",0,1),tbl_明細[[#This Row],[仕入価格（M)]])</f>
        <v/>
      </c>
      <c r="I160" s="80">
        <f>_xlfn.XLOOKUP(tbl_明細[[#This Row],[商品ID]],商品マスタ[商品連番],商品マスタ[国内定価
（15％）],"",0,1)</f>
        <v/>
      </c>
      <c r="J160" s="85" t="n"/>
      <c r="K160" s="209" t="n"/>
      <c r="L160" s="77">
        <f>_xlfn.XLOOKUP(tbl_明細[[#This Row],[商品ID]],商品マスタ[商品連番],商品マスタ[単位],"",0,1)</f>
        <v/>
      </c>
      <c r="M160" s="249">
        <f>1-tbl_明細[[#This Row],[仕入価格]]/tbl_明細[[#This Row],[販売価格（売値）]]</f>
        <v/>
      </c>
      <c r="N160" s="189">
        <f>_xlfn.XLOOKUP(tbl_明細[[#This Row],[商品ID]],商品マスタ[商品連番],商品マスタ[税率],"",0,1)</f>
        <v/>
      </c>
      <c r="O160" s="120" t="n"/>
      <c r="P160" s="209" t="n"/>
      <c r="Q160" s="85" t="n"/>
      <c r="R160" s="85" t="n"/>
      <c r="S160" s="209" t="n"/>
      <c r="T160" s="209" t="n"/>
      <c r="U160" s="79" t="n"/>
      <c r="V160" s="79" t="n"/>
      <c r="W160" s="113" t="n"/>
      <c r="X160" s="306">
        <f>tbl_明細[[#This Row],[仕入価格]]*tbl_明細[[#This Row],[数量]]+tbl_明細[[#This Row],[仕入価格（M)]]*tbl_明細[[#This Row],[数量（M)]]</f>
        <v/>
      </c>
      <c r="Y160" s="306">
        <f>tbl_明細[[#This Row],[販売価格（売値）]]*tbl_明細[[#This Row],[数量]]+tbl_明細[[#This Row],[販売価格（M)]]*tbl_明細[[#This Row],[数量（M)]]</f>
        <v/>
      </c>
      <c r="Z160" s="307">
        <f>_xlfn.XLOOKUP(tbl_明細[[#This Row],[案件番号]],tbl_案件追跡[案件番号],tbl_案件追跡[受注],"",0,1)</f>
        <v/>
      </c>
      <c r="AA160" s="228">
        <f>tbl_明細[[#This Row],[販売価格（売値）]]+tbl_明細[[#This Row],[販売価格（M)]]</f>
        <v/>
      </c>
      <c r="AB160" s="261">
        <f>tbl_明細[[#This Row],[販売価格（売値）]]*1.08+tbl_明細[[#This Row],[販売価格（M)]]*1.08</f>
        <v/>
      </c>
    </row>
    <row r="161">
      <c r="A161" s="212" t="n"/>
      <c r="B161" s="77">
        <f>IF(ISBLANK(tbl_明細[[#This Row],[案件番号]]),"",COUNTIFS($A$3:A161,tbl_明細[[#This Row],[案件番号]],$AA$3:AA161,"&gt;0"))</f>
        <v/>
      </c>
      <c r="C161" s="209">
        <f>COUNTIFS($A$3:A161,tbl_明細[[#This Row],[案件番号]],$F$3:F161,tbl_明細[[#This Row],[仕入先]])</f>
        <v/>
      </c>
      <c r="D161" s="77">
        <f>_xlfn.XLOOKUP(tbl_明細[[#This Row],[案件番号]],tbl_採番[案件番号],tbl_採番[顧客],"",0,1)</f>
        <v/>
      </c>
      <c r="E161" s="209" t="n"/>
      <c r="F161" s="118">
        <f>IF(ISBLANK(tbl_明細[[#This Row],[仕入先（M)]]),_xlfn.XLOOKUP(tbl_明細[[#This Row],[商品ID]],商品マスタ[商品連番],商品マスタ[仕入先],"",0,1),tbl_明細[[#This Row],[仕入先（M)]])</f>
        <v/>
      </c>
      <c r="G161" s="112">
        <f>IF(ISBLANK(tbl_明細[[#This Row],[商品名（M)]]),_xlfn.XLOOKUP(tbl_明細[[#This Row],[商品ID]],商品マスタ[商品連番],商品マスタ[商品名],"",0,),tbl_明細[[#This Row],[商品名（M)]])</f>
        <v/>
      </c>
      <c r="H161" s="80">
        <f>IF(ISBLANK(tbl_明細[[#This Row],[仕入価格（M)]]),_xlfn.XLOOKUP(tbl_明細[[#This Row],[商品ID]],商品マスタ[商品連番],商品マスタ[仕入
単価],"",0,1),tbl_明細[[#This Row],[仕入価格（M)]])</f>
        <v/>
      </c>
      <c r="I161" s="80">
        <f>_xlfn.XLOOKUP(tbl_明細[[#This Row],[商品ID]],商品マスタ[商品連番],商品マスタ[国内定価
（15％）],"",0,1)</f>
        <v/>
      </c>
      <c r="J161" s="85" t="n"/>
      <c r="K161" s="209" t="n"/>
      <c r="L161" s="77">
        <f>_xlfn.XLOOKUP(tbl_明細[[#This Row],[商品ID]],商品マスタ[商品連番],商品マスタ[単位],"",0,1)</f>
        <v/>
      </c>
      <c r="M161" s="249">
        <f>1-tbl_明細[[#This Row],[仕入価格]]/tbl_明細[[#This Row],[販売価格（売値）]]</f>
        <v/>
      </c>
      <c r="N161" s="189">
        <f>_xlfn.XLOOKUP(tbl_明細[[#This Row],[商品ID]],商品マスタ[商品連番],商品マスタ[税率],"",0,1)</f>
        <v/>
      </c>
      <c r="O161" s="120" t="n"/>
      <c r="P161" s="209" t="n"/>
      <c r="Q161" s="85" t="n"/>
      <c r="R161" s="85" t="n"/>
      <c r="S161" s="209" t="n"/>
      <c r="T161" s="209" t="n"/>
      <c r="U161" s="79" t="n"/>
      <c r="V161" s="79" t="n"/>
      <c r="W161" s="113" t="n"/>
      <c r="X161" s="306">
        <f>tbl_明細[[#This Row],[仕入価格]]*tbl_明細[[#This Row],[数量]]+tbl_明細[[#This Row],[仕入価格（M)]]*tbl_明細[[#This Row],[数量（M)]]</f>
        <v/>
      </c>
      <c r="Y161" s="306">
        <f>tbl_明細[[#This Row],[販売価格（売値）]]*tbl_明細[[#This Row],[数量]]+tbl_明細[[#This Row],[販売価格（M)]]*tbl_明細[[#This Row],[数量（M)]]</f>
        <v/>
      </c>
      <c r="Z161" s="307">
        <f>_xlfn.XLOOKUP(tbl_明細[[#This Row],[案件番号]],tbl_案件追跡[案件番号],tbl_案件追跡[受注],"",0,1)</f>
        <v/>
      </c>
      <c r="AA161" s="228">
        <f>tbl_明細[[#This Row],[販売価格（売値）]]+tbl_明細[[#This Row],[販売価格（M)]]</f>
        <v/>
      </c>
      <c r="AB161" s="261">
        <f>tbl_明細[[#This Row],[販売価格（売値）]]*1.08+tbl_明細[[#This Row],[販売価格（M)]]*1.08</f>
        <v/>
      </c>
    </row>
    <row r="162">
      <c r="A162" s="212" t="n"/>
      <c r="B162" s="77">
        <f>IF(ISBLANK(tbl_明細[[#This Row],[案件番号]]),"",COUNTIFS($A$3:A162,tbl_明細[[#This Row],[案件番号]],$AA$3:AA162,"&gt;0"))</f>
        <v/>
      </c>
      <c r="C162" s="209">
        <f>COUNTIFS($A$3:A162,tbl_明細[[#This Row],[案件番号]],$F$3:F162,tbl_明細[[#This Row],[仕入先]])</f>
        <v/>
      </c>
      <c r="D162" s="77">
        <f>_xlfn.XLOOKUP(tbl_明細[[#This Row],[案件番号]],tbl_採番[案件番号],tbl_採番[顧客],"",0,1)</f>
        <v/>
      </c>
      <c r="E162" s="209" t="n"/>
      <c r="F162" s="118">
        <f>IF(ISBLANK(tbl_明細[[#This Row],[仕入先（M)]]),_xlfn.XLOOKUP(tbl_明細[[#This Row],[商品ID]],商品マスタ[商品連番],商品マスタ[仕入先],"",0,1),tbl_明細[[#This Row],[仕入先（M)]])</f>
        <v/>
      </c>
      <c r="G162" s="112">
        <f>IF(ISBLANK(tbl_明細[[#This Row],[商品名（M)]]),_xlfn.XLOOKUP(tbl_明細[[#This Row],[商品ID]],商品マスタ[商品連番],商品マスタ[商品名],"",0,),tbl_明細[[#This Row],[商品名（M)]])</f>
        <v/>
      </c>
      <c r="H162" s="80">
        <f>IF(ISBLANK(tbl_明細[[#This Row],[仕入価格（M)]]),_xlfn.XLOOKUP(tbl_明細[[#This Row],[商品ID]],商品マスタ[商品連番],商品マスタ[仕入
単価],"",0,1),tbl_明細[[#This Row],[仕入価格（M)]])</f>
        <v/>
      </c>
      <c r="I162" s="80">
        <f>_xlfn.XLOOKUP(tbl_明細[[#This Row],[商品ID]],商品マスタ[商品連番],商品マスタ[国内定価
（15％）],"",0,1)</f>
        <v/>
      </c>
      <c r="J162" s="85" t="n"/>
      <c r="K162" s="209" t="n"/>
      <c r="L162" s="77">
        <f>_xlfn.XLOOKUP(tbl_明細[[#This Row],[商品ID]],商品マスタ[商品連番],商品マスタ[単位],"",0,1)</f>
        <v/>
      </c>
      <c r="M162" s="249">
        <f>1-tbl_明細[[#This Row],[仕入価格]]/tbl_明細[[#This Row],[販売価格（売値）]]</f>
        <v/>
      </c>
      <c r="N162" s="189">
        <f>_xlfn.XLOOKUP(tbl_明細[[#This Row],[商品ID]],商品マスタ[商品連番],商品マスタ[税率],"",0,1)</f>
        <v/>
      </c>
      <c r="O162" s="120" t="n"/>
      <c r="P162" s="209" t="n"/>
      <c r="Q162" s="85" t="n"/>
      <c r="R162" s="85" t="n"/>
      <c r="S162" s="209" t="n"/>
      <c r="T162" s="209" t="n"/>
      <c r="U162" s="79" t="n"/>
      <c r="V162" s="79" t="n"/>
      <c r="W162" s="113" t="n"/>
      <c r="X162" s="306">
        <f>tbl_明細[[#This Row],[仕入価格]]*tbl_明細[[#This Row],[数量]]+tbl_明細[[#This Row],[仕入価格（M)]]*tbl_明細[[#This Row],[数量（M)]]</f>
        <v/>
      </c>
      <c r="Y162" s="306">
        <f>tbl_明細[[#This Row],[販売価格（売値）]]*tbl_明細[[#This Row],[数量]]+tbl_明細[[#This Row],[販売価格（M)]]*tbl_明細[[#This Row],[数量（M)]]</f>
        <v/>
      </c>
      <c r="Z162" s="307">
        <f>_xlfn.XLOOKUP(tbl_明細[[#This Row],[案件番号]],tbl_案件追跡[案件番号],tbl_案件追跡[受注],"",0,1)</f>
        <v/>
      </c>
      <c r="AA162" s="228">
        <f>tbl_明細[[#This Row],[販売価格（売値）]]+tbl_明細[[#This Row],[販売価格（M)]]</f>
        <v/>
      </c>
      <c r="AB162" s="261">
        <f>tbl_明細[[#This Row],[販売価格（売値）]]*1.08+tbl_明細[[#This Row],[販売価格（M)]]*1.08</f>
        <v/>
      </c>
    </row>
    <row r="163">
      <c r="A163" s="212" t="n"/>
      <c r="B163" s="77">
        <f>IF(ISBLANK(tbl_明細[[#This Row],[案件番号]]),"",COUNTIFS($A$3:A163,tbl_明細[[#This Row],[案件番号]],$AA$3:AA163,"&gt;0"))</f>
        <v/>
      </c>
      <c r="C163" s="209">
        <f>COUNTIFS($A$3:A163,tbl_明細[[#This Row],[案件番号]],$F$3:F163,tbl_明細[[#This Row],[仕入先]])</f>
        <v/>
      </c>
      <c r="D163" s="77">
        <f>_xlfn.XLOOKUP(tbl_明細[[#This Row],[案件番号]],tbl_採番[案件番号],tbl_採番[顧客],"",0,1)</f>
        <v/>
      </c>
      <c r="E163" s="209" t="n"/>
      <c r="F163" s="118">
        <f>IF(ISBLANK(tbl_明細[[#This Row],[仕入先（M)]]),_xlfn.XLOOKUP(tbl_明細[[#This Row],[商品ID]],商品マスタ[商品連番],商品マスタ[仕入先],"",0,1),tbl_明細[[#This Row],[仕入先（M)]])</f>
        <v/>
      </c>
      <c r="G163" s="112">
        <f>IF(ISBLANK(tbl_明細[[#This Row],[商品名（M)]]),_xlfn.XLOOKUP(tbl_明細[[#This Row],[商品ID]],商品マスタ[商品連番],商品マスタ[商品名],"",0,),tbl_明細[[#This Row],[商品名（M)]])</f>
        <v/>
      </c>
      <c r="H163" s="80">
        <f>IF(ISBLANK(tbl_明細[[#This Row],[仕入価格（M)]]),_xlfn.XLOOKUP(tbl_明細[[#This Row],[商品ID]],商品マスタ[商品連番],商品マスタ[仕入
単価],"",0,1),tbl_明細[[#This Row],[仕入価格（M)]])</f>
        <v/>
      </c>
      <c r="I163" s="80">
        <f>_xlfn.XLOOKUP(tbl_明細[[#This Row],[商品ID]],商品マスタ[商品連番],商品マスタ[国内定価
（15％）],"",0,1)</f>
        <v/>
      </c>
      <c r="J163" s="85" t="n"/>
      <c r="K163" s="209" t="n"/>
      <c r="L163" s="77">
        <f>_xlfn.XLOOKUP(tbl_明細[[#This Row],[商品ID]],商品マスタ[商品連番],商品マスタ[単位],"",0,1)</f>
        <v/>
      </c>
      <c r="M163" s="249">
        <f>1-tbl_明細[[#This Row],[仕入価格]]/tbl_明細[[#This Row],[販売価格（売値）]]</f>
        <v/>
      </c>
      <c r="N163" s="189">
        <f>_xlfn.XLOOKUP(tbl_明細[[#This Row],[商品ID]],商品マスタ[商品連番],商品マスタ[税率],"",0,1)</f>
        <v/>
      </c>
      <c r="O163" s="120" t="n"/>
      <c r="P163" s="209" t="n"/>
      <c r="Q163" s="85" t="n"/>
      <c r="R163" s="85" t="n"/>
      <c r="S163" s="209" t="n"/>
      <c r="T163" s="209" t="n"/>
      <c r="U163" s="79" t="n"/>
      <c r="V163" s="79" t="n"/>
      <c r="W163" s="113" t="n"/>
      <c r="X163" s="306">
        <f>tbl_明細[[#This Row],[仕入価格]]*tbl_明細[[#This Row],[数量]]+tbl_明細[[#This Row],[仕入価格（M)]]*tbl_明細[[#This Row],[数量（M)]]</f>
        <v/>
      </c>
      <c r="Y163" s="306">
        <f>tbl_明細[[#This Row],[販売価格（売値）]]*tbl_明細[[#This Row],[数量]]+tbl_明細[[#This Row],[販売価格（M)]]*tbl_明細[[#This Row],[数量（M)]]</f>
        <v/>
      </c>
      <c r="Z163" s="307">
        <f>_xlfn.XLOOKUP(tbl_明細[[#This Row],[案件番号]],tbl_案件追跡[案件番号],tbl_案件追跡[受注],"",0,1)</f>
        <v/>
      </c>
      <c r="AA163" s="228">
        <f>tbl_明細[[#This Row],[販売価格（売値）]]+tbl_明細[[#This Row],[販売価格（M)]]</f>
        <v/>
      </c>
      <c r="AB163" s="261">
        <f>tbl_明細[[#This Row],[販売価格（売値）]]*1.08+tbl_明細[[#This Row],[販売価格（M)]]*1.08</f>
        <v/>
      </c>
    </row>
    <row r="164">
      <c r="A164" s="212" t="n"/>
      <c r="B164" s="77">
        <f>IF(ISBLANK(tbl_明細[[#This Row],[案件番号]]),"",COUNTIFS($A$3:A164,tbl_明細[[#This Row],[案件番号]],$AA$3:AA164,"&gt;0"))</f>
        <v/>
      </c>
      <c r="C164" s="209">
        <f>COUNTIFS($A$3:A164,tbl_明細[[#This Row],[案件番号]],$F$3:F164,tbl_明細[[#This Row],[仕入先]])</f>
        <v/>
      </c>
      <c r="D164" s="77">
        <f>_xlfn.XLOOKUP(tbl_明細[[#This Row],[案件番号]],tbl_採番[案件番号],tbl_採番[顧客],"",0,1)</f>
        <v/>
      </c>
      <c r="E164" s="209" t="n"/>
      <c r="F164" s="118">
        <f>IF(ISBLANK(tbl_明細[[#This Row],[仕入先（M)]]),_xlfn.XLOOKUP(tbl_明細[[#This Row],[商品ID]],商品マスタ[商品連番],商品マスタ[仕入先],"",0,1),tbl_明細[[#This Row],[仕入先（M)]])</f>
        <v/>
      </c>
      <c r="G164" s="112">
        <f>IF(ISBLANK(tbl_明細[[#This Row],[商品名（M)]]),_xlfn.XLOOKUP(tbl_明細[[#This Row],[商品ID]],商品マスタ[商品連番],商品マスタ[商品名],"",0,),tbl_明細[[#This Row],[商品名（M)]])</f>
        <v/>
      </c>
      <c r="H164" s="80">
        <f>IF(ISBLANK(tbl_明細[[#This Row],[仕入価格（M)]]),_xlfn.XLOOKUP(tbl_明細[[#This Row],[商品ID]],商品マスタ[商品連番],商品マスタ[仕入
単価],"",0,1),tbl_明細[[#This Row],[仕入価格（M)]])</f>
        <v/>
      </c>
      <c r="I164" s="80">
        <f>_xlfn.XLOOKUP(tbl_明細[[#This Row],[商品ID]],商品マスタ[商品連番],商品マスタ[国内定価
（15％）],"",0,1)</f>
        <v/>
      </c>
      <c r="J164" s="85" t="n"/>
      <c r="K164" s="209" t="n"/>
      <c r="L164" s="77">
        <f>_xlfn.XLOOKUP(tbl_明細[[#This Row],[商品ID]],商品マスタ[商品連番],商品マスタ[単位],"",0,1)</f>
        <v/>
      </c>
      <c r="M164" s="249">
        <f>1-tbl_明細[[#This Row],[仕入価格]]/tbl_明細[[#This Row],[販売価格（売値）]]</f>
        <v/>
      </c>
      <c r="N164" s="189">
        <f>_xlfn.XLOOKUP(tbl_明細[[#This Row],[商品ID]],商品マスタ[商品連番],商品マスタ[税率],"",0,1)</f>
        <v/>
      </c>
      <c r="O164" s="120" t="n"/>
      <c r="P164" s="209" t="n"/>
      <c r="Q164" s="85" t="n"/>
      <c r="R164" s="85" t="n"/>
      <c r="S164" s="209" t="n"/>
      <c r="T164" s="209" t="n"/>
      <c r="U164" s="79" t="n"/>
      <c r="V164" s="79" t="n"/>
      <c r="W164" s="113" t="n"/>
      <c r="X164" s="306">
        <f>tbl_明細[[#This Row],[仕入価格]]*tbl_明細[[#This Row],[数量]]+tbl_明細[[#This Row],[仕入価格（M)]]*tbl_明細[[#This Row],[数量（M)]]</f>
        <v/>
      </c>
      <c r="Y164" s="306">
        <f>tbl_明細[[#This Row],[販売価格（売値）]]*tbl_明細[[#This Row],[数量]]+tbl_明細[[#This Row],[販売価格（M)]]*tbl_明細[[#This Row],[数量（M)]]</f>
        <v/>
      </c>
      <c r="Z164" s="307">
        <f>_xlfn.XLOOKUP(tbl_明細[[#This Row],[案件番号]],tbl_案件追跡[案件番号],tbl_案件追跡[受注],"",0,1)</f>
        <v/>
      </c>
      <c r="AA164" s="228">
        <f>tbl_明細[[#This Row],[販売価格（売値）]]+tbl_明細[[#This Row],[販売価格（M)]]</f>
        <v/>
      </c>
      <c r="AB164" s="261">
        <f>tbl_明細[[#This Row],[販売価格（売値）]]*1.08+tbl_明細[[#This Row],[販売価格（M)]]*1.08</f>
        <v/>
      </c>
    </row>
    <row r="165">
      <c r="A165" s="212" t="n"/>
      <c r="B165" s="77">
        <f>IF(ISBLANK(tbl_明細[[#This Row],[案件番号]]),"",COUNTIFS($A$3:A165,tbl_明細[[#This Row],[案件番号]],$AA$3:AA165,"&gt;0"))</f>
        <v/>
      </c>
      <c r="C165" s="209">
        <f>COUNTIFS($A$3:A165,tbl_明細[[#This Row],[案件番号]],$F$3:F165,tbl_明細[[#This Row],[仕入先]])</f>
        <v/>
      </c>
      <c r="D165" s="77">
        <f>_xlfn.XLOOKUP(tbl_明細[[#This Row],[案件番号]],tbl_採番[案件番号],tbl_採番[顧客],"",0,1)</f>
        <v/>
      </c>
      <c r="E165" s="209" t="n"/>
      <c r="F165" s="118">
        <f>IF(ISBLANK(tbl_明細[[#This Row],[仕入先（M)]]),_xlfn.XLOOKUP(tbl_明細[[#This Row],[商品ID]],商品マスタ[商品連番],商品マスタ[仕入先],"",0,1),tbl_明細[[#This Row],[仕入先（M)]])</f>
        <v/>
      </c>
      <c r="G165" s="112">
        <f>IF(ISBLANK(tbl_明細[[#This Row],[商品名（M)]]),_xlfn.XLOOKUP(tbl_明細[[#This Row],[商品ID]],商品マスタ[商品連番],商品マスタ[商品名],"",0,),tbl_明細[[#This Row],[商品名（M)]])</f>
        <v/>
      </c>
      <c r="H165" s="80">
        <f>IF(ISBLANK(tbl_明細[[#This Row],[仕入価格（M)]]),_xlfn.XLOOKUP(tbl_明細[[#This Row],[商品ID]],商品マスタ[商品連番],商品マスタ[仕入
単価],"",0,1),tbl_明細[[#This Row],[仕入価格（M)]])</f>
        <v/>
      </c>
      <c r="I165" s="80">
        <f>_xlfn.XLOOKUP(tbl_明細[[#This Row],[商品ID]],商品マスタ[商品連番],商品マスタ[国内定価
（15％）],"",0,1)</f>
        <v/>
      </c>
      <c r="J165" s="85" t="n"/>
      <c r="K165" s="209" t="n"/>
      <c r="L165" s="77">
        <f>_xlfn.XLOOKUP(tbl_明細[[#This Row],[商品ID]],商品マスタ[商品連番],商品マスタ[単位],"",0,1)</f>
        <v/>
      </c>
      <c r="M165" s="249">
        <f>1-tbl_明細[[#This Row],[仕入価格]]/tbl_明細[[#This Row],[販売価格（売値）]]</f>
        <v/>
      </c>
      <c r="N165" s="189">
        <f>_xlfn.XLOOKUP(tbl_明細[[#This Row],[商品ID]],商品マスタ[商品連番],商品マスタ[税率],"",0,1)</f>
        <v/>
      </c>
      <c r="O165" s="120" t="n"/>
      <c r="P165" s="209" t="n"/>
      <c r="Q165" s="85" t="n"/>
      <c r="R165" s="85" t="n"/>
      <c r="S165" s="209" t="n"/>
      <c r="T165" s="209" t="n"/>
      <c r="U165" s="79" t="n"/>
      <c r="V165" s="79" t="n"/>
      <c r="W165" s="113" t="n"/>
      <c r="X165" s="306">
        <f>tbl_明細[[#This Row],[仕入価格]]*tbl_明細[[#This Row],[数量]]+tbl_明細[[#This Row],[仕入価格（M)]]*tbl_明細[[#This Row],[数量（M)]]</f>
        <v/>
      </c>
      <c r="Y165" s="306">
        <f>tbl_明細[[#This Row],[販売価格（売値）]]*tbl_明細[[#This Row],[数量]]+tbl_明細[[#This Row],[販売価格（M)]]*tbl_明細[[#This Row],[数量（M)]]</f>
        <v/>
      </c>
      <c r="Z165" s="307">
        <f>_xlfn.XLOOKUP(tbl_明細[[#This Row],[案件番号]],tbl_案件追跡[案件番号],tbl_案件追跡[受注],"",0,1)</f>
        <v/>
      </c>
      <c r="AA165" s="228">
        <f>tbl_明細[[#This Row],[販売価格（売値）]]+tbl_明細[[#This Row],[販売価格（M)]]</f>
        <v/>
      </c>
      <c r="AB165" s="261">
        <f>tbl_明細[[#This Row],[販売価格（売値）]]*1.08+tbl_明細[[#This Row],[販売価格（M)]]*1.08</f>
        <v/>
      </c>
    </row>
    <row r="166">
      <c r="A166" s="212" t="n"/>
      <c r="B166" s="77">
        <f>IF(ISBLANK(tbl_明細[[#This Row],[案件番号]]),"",COUNTIFS($A$3:A166,tbl_明細[[#This Row],[案件番号]],$AA$3:AA166,"&gt;0"))</f>
        <v/>
      </c>
      <c r="C166" s="209">
        <f>COUNTIFS($A$3:A166,tbl_明細[[#This Row],[案件番号]],$F$3:F166,tbl_明細[[#This Row],[仕入先]])</f>
        <v/>
      </c>
      <c r="D166" s="77">
        <f>_xlfn.XLOOKUP(tbl_明細[[#This Row],[案件番号]],tbl_採番[案件番号],tbl_採番[顧客],"",0,1)</f>
        <v/>
      </c>
      <c r="E166" s="209" t="n"/>
      <c r="F166" s="118">
        <f>IF(ISBLANK(tbl_明細[[#This Row],[仕入先（M)]]),_xlfn.XLOOKUP(tbl_明細[[#This Row],[商品ID]],商品マスタ[商品連番],商品マスタ[仕入先],"",0,1),tbl_明細[[#This Row],[仕入先（M)]])</f>
        <v/>
      </c>
      <c r="G166" s="112">
        <f>IF(ISBLANK(tbl_明細[[#This Row],[商品名（M)]]),_xlfn.XLOOKUP(tbl_明細[[#This Row],[商品ID]],商品マスタ[商品連番],商品マスタ[商品名],"",0,),tbl_明細[[#This Row],[商品名（M)]])</f>
        <v/>
      </c>
      <c r="H166" s="80">
        <f>IF(ISBLANK(tbl_明細[[#This Row],[仕入価格（M)]]),_xlfn.XLOOKUP(tbl_明細[[#This Row],[商品ID]],商品マスタ[商品連番],商品マスタ[仕入
単価],"",0,1),tbl_明細[[#This Row],[仕入価格（M)]])</f>
        <v/>
      </c>
      <c r="I166" s="80">
        <f>_xlfn.XLOOKUP(tbl_明細[[#This Row],[商品ID]],商品マスタ[商品連番],商品マスタ[国内定価
（15％）],"",0,1)</f>
        <v/>
      </c>
      <c r="J166" s="85" t="n"/>
      <c r="K166" s="209" t="n"/>
      <c r="L166" s="77">
        <f>_xlfn.XLOOKUP(tbl_明細[[#This Row],[商品ID]],商品マスタ[商品連番],商品マスタ[単位],"",0,1)</f>
        <v/>
      </c>
      <c r="M166" s="249">
        <f>1-tbl_明細[[#This Row],[仕入価格]]/tbl_明細[[#This Row],[販売価格（売値）]]</f>
        <v/>
      </c>
      <c r="N166" s="189">
        <f>_xlfn.XLOOKUP(tbl_明細[[#This Row],[商品ID]],商品マスタ[商品連番],商品マスタ[税率],"",0,1)</f>
        <v/>
      </c>
      <c r="O166" s="120" t="n"/>
      <c r="P166" s="209" t="n"/>
      <c r="Q166" s="85" t="n"/>
      <c r="R166" s="85" t="n"/>
      <c r="S166" s="209" t="n"/>
      <c r="T166" s="209" t="n"/>
      <c r="U166" s="79" t="n"/>
      <c r="V166" s="79" t="n"/>
      <c r="W166" s="113" t="n"/>
      <c r="X166" s="306">
        <f>tbl_明細[[#This Row],[仕入価格]]*tbl_明細[[#This Row],[数量]]+tbl_明細[[#This Row],[仕入価格（M)]]*tbl_明細[[#This Row],[数量（M)]]</f>
        <v/>
      </c>
      <c r="Y166" s="306">
        <f>tbl_明細[[#This Row],[販売価格（売値）]]*tbl_明細[[#This Row],[数量]]+tbl_明細[[#This Row],[販売価格（M)]]*tbl_明細[[#This Row],[数量（M)]]</f>
        <v/>
      </c>
      <c r="Z166" s="307">
        <f>_xlfn.XLOOKUP(tbl_明細[[#This Row],[案件番号]],tbl_案件追跡[案件番号],tbl_案件追跡[受注],"",0,1)</f>
        <v/>
      </c>
      <c r="AA166" s="228">
        <f>tbl_明細[[#This Row],[販売価格（売値）]]+tbl_明細[[#This Row],[販売価格（M)]]</f>
        <v/>
      </c>
      <c r="AB166" s="261">
        <f>tbl_明細[[#This Row],[販売価格（売値）]]*1.08+tbl_明細[[#This Row],[販売価格（M)]]*1.08</f>
        <v/>
      </c>
    </row>
    <row r="167">
      <c r="A167" s="212" t="n"/>
      <c r="B167" s="77">
        <f>IF(ISBLANK(tbl_明細[[#This Row],[案件番号]]),"",COUNTIFS($A$3:A167,tbl_明細[[#This Row],[案件番号]],$AA$3:AA167,"&gt;0"))</f>
        <v/>
      </c>
      <c r="C167" s="209">
        <f>COUNTIFS($A$3:A167,tbl_明細[[#This Row],[案件番号]],$F$3:F167,tbl_明細[[#This Row],[仕入先]])</f>
        <v/>
      </c>
      <c r="D167" s="77">
        <f>_xlfn.XLOOKUP(tbl_明細[[#This Row],[案件番号]],tbl_採番[案件番号],tbl_採番[顧客],"",0,1)</f>
        <v/>
      </c>
      <c r="E167" s="209" t="n"/>
      <c r="F167" s="118">
        <f>IF(ISBLANK(tbl_明細[[#This Row],[仕入先（M)]]),_xlfn.XLOOKUP(tbl_明細[[#This Row],[商品ID]],商品マスタ[商品連番],商品マスタ[仕入先],"",0,1),tbl_明細[[#This Row],[仕入先（M)]])</f>
        <v/>
      </c>
      <c r="G167" s="112">
        <f>IF(ISBLANK(tbl_明細[[#This Row],[商品名（M)]]),_xlfn.XLOOKUP(tbl_明細[[#This Row],[商品ID]],商品マスタ[商品連番],商品マスタ[商品名],"",0,),tbl_明細[[#This Row],[商品名（M)]])</f>
        <v/>
      </c>
      <c r="H167" s="80">
        <f>IF(ISBLANK(tbl_明細[[#This Row],[仕入価格（M)]]),_xlfn.XLOOKUP(tbl_明細[[#This Row],[商品ID]],商品マスタ[商品連番],商品マスタ[仕入
単価],"",0,1),tbl_明細[[#This Row],[仕入価格（M)]])</f>
        <v/>
      </c>
      <c r="I167" s="80">
        <f>_xlfn.XLOOKUP(tbl_明細[[#This Row],[商品ID]],商品マスタ[商品連番],商品マスタ[国内定価
（15％）],"",0,1)</f>
        <v/>
      </c>
      <c r="J167" s="85" t="n"/>
      <c r="K167" s="209" t="n"/>
      <c r="L167" s="77">
        <f>_xlfn.XLOOKUP(tbl_明細[[#This Row],[商品ID]],商品マスタ[商品連番],商品マスタ[単位],"",0,1)</f>
        <v/>
      </c>
      <c r="M167" s="249">
        <f>1-tbl_明細[[#This Row],[仕入価格]]/tbl_明細[[#This Row],[販売価格（売値）]]</f>
        <v/>
      </c>
      <c r="N167" s="189">
        <f>_xlfn.XLOOKUP(tbl_明細[[#This Row],[商品ID]],商品マスタ[商品連番],商品マスタ[税率],"",0,1)</f>
        <v/>
      </c>
      <c r="O167" s="120" t="n"/>
      <c r="P167" s="209" t="n"/>
      <c r="Q167" s="85" t="n"/>
      <c r="R167" s="85" t="n"/>
      <c r="S167" s="209" t="n"/>
      <c r="T167" s="209" t="n"/>
      <c r="U167" s="79" t="n"/>
      <c r="V167" s="79" t="n"/>
      <c r="W167" s="113" t="n"/>
      <c r="X167" s="306">
        <f>tbl_明細[[#This Row],[仕入価格]]*tbl_明細[[#This Row],[数量]]+tbl_明細[[#This Row],[仕入価格（M)]]*tbl_明細[[#This Row],[数量（M)]]</f>
        <v/>
      </c>
      <c r="Y167" s="306">
        <f>tbl_明細[[#This Row],[販売価格（売値）]]*tbl_明細[[#This Row],[数量]]+tbl_明細[[#This Row],[販売価格（M)]]*tbl_明細[[#This Row],[数量（M)]]</f>
        <v/>
      </c>
      <c r="Z167" s="307">
        <f>_xlfn.XLOOKUP(tbl_明細[[#This Row],[案件番号]],tbl_案件追跡[案件番号],tbl_案件追跡[受注],"",0,1)</f>
        <v/>
      </c>
      <c r="AA167" s="228">
        <f>tbl_明細[[#This Row],[販売価格（売値）]]+tbl_明細[[#This Row],[販売価格（M)]]</f>
        <v/>
      </c>
      <c r="AB167" s="261">
        <f>tbl_明細[[#This Row],[販売価格（売値）]]*1.08+tbl_明細[[#This Row],[販売価格（M)]]*1.08</f>
        <v/>
      </c>
    </row>
    <row r="168">
      <c r="A168" s="212" t="n"/>
      <c r="B168" s="77">
        <f>IF(ISBLANK(tbl_明細[[#This Row],[案件番号]]),"",COUNTIFS($A$3:A168,tbl_明細[[#This Row],[案件番号]],$AA$3:AA168,"&gt;0"))</f>
        <v/>
      </c>
      <c r="C168" s="209">
        <f>COUNTIFS($A$3:A168,tbl_明細[[#This Row],[案件番号]],$F$3:F168,tbl_明細[[#This Row],[仕入先]])</f>
        <v/>
      </c>
      <c r="D168" s="77">
        <f>_xlfn.XLOOKUP(tbl_明細[[#This Row],[案件番号]],tbl_採番[案件番号],tbl_採番[顧客],"",0,1)</f>
        <v/>
      </c>
      <c r="E168" s="209" t="n"/>
      <c r="F168" s="118">
        <f>IF(ISBLANK(tbl_明細[[#This Row],[仕入先（M)]]),_xlfn.XLOOKUP(tbl_明細[[#This Row],[商品ID]],商品マスタ[商品連番],商品マスタ[仕入先],"",0,1),tbl_明細[[#This Row],[仕入先（M)]])</f>
        <v/>
      </c>
      <c r="G168" s="112">
        <f>IF(ISBLANK(tbl_明細[[#This Row],[商品名（M)]]),_xlfn.XLOOKUP(tbl_明細[[#This Row],[商品ID]],商品マスタ[商品連番],商品マスタ[商品名],"",0,),tbl_明細[[#This Row],[商品名（M)]])</f>
        <v/>
      </c>
      <c r="H168" s="80">
        <f>IF(ISBLANK(tbl_明細[[#This Row],[仕入価格（M)]]),_xlfn.XLOOKUP(tbl_明細[[#This Row],[商品ID]],商品マスタ[商品連番],商品マスタ[仕入
単価],"",0,1),tbl_明細[[#This Row],[仕入価格（M)]])</f>
        <v/>
      </c>
      <c r="I168" s="80">
        <f>_xlfn.XLOOKUP(tbl_明細[[#This Row],[商品ID]],商品マスタ[商品連番],商品マスタ[国内定価
（15％）],"",0,1)</f>
        <v/>
      </c>
      <c r="J168" s="85" t="n"/>
      <c r="K168" s="209" t="n"/>
      <c r="L168" s="77">
        <f>_xlfn.XLOOKUP(tbl_明細[[#This Row],[商品ID]],商品マスタ[商品連番],商品マスタ[単位],"",0,1)</f>
        <v/>
      </c>
      <c r="M168" s="249">
        <f>1-tbl_明細[[#This Row],[仕入価格]]/tbl_明細[[#This Row],[販売価格（売値）]]</f>
        <v/>
      </c>
      <c r="N168" s="189">
        <f>_xlfn.XLOOKUP(tbl_明細[[#This Row],[商品ID]],商品マスタ[商品連番],商品マスタ[税率],"",0,1)</f>
        <v/>
      </c>
      <c r="O168" s="120" t="n"/>
      <c r="P168" s="209" t="n"/>
      <c r="Q168" s="85" t="n"/>
      <c r="R168" s="85" t="n"/>
      <c r="S168" s="209" t="n"/>
      <c r="T168" s="209" t="n"/>
      <c r="U168" s="79" t="n"/>
      <c r="V168" s="79" t="n"/>
      <c r="W168" s="113" t="n"/>
      <c r="X168" s="306">
        <f>tbl_明細[[#This Row],[仕入価格]]*tbl_明細[[#This Row],[数量]]+tbl_明細[[#This Row],[仕入価格（M)]]*tbl_明細[[#This Row],[数量（M)]]</f>
        <v/>
      </c>
      <c r="Y168" s="306">
        <f>tbl_明細[[#This Row],[販売価格（売値）]]*tbl_明細[[#This Row],[数量]]+tbl_明細[[#This Row],[販売価格（M)]]*tbl_明細[[#This Row],[数量（M)]]</f>
        <v/>
      </c>
      <c r="Z168" s="307">
        <f>_xlfn.XLOOKUP(tbl_明細[[#This Row],[案件番号]],tbl_案件追跡[案件番号],tbl_案件追跡[受注],"",0,1)</f>
        <v/>
      </c>
      <c r="AA168" s="228">
        <f>tbl_明細[[#This Row],[販売価格（売値）]]+tbl_明細[[#This Row],[販売価格（M)]]</f>
        <v/>
      </c>
      <c r="AB168" s="261">
        <f>tbl_明細[[#This Row],[販売価格（売値）]]*1.08+tbl_明細[[#This Row],[販売価格（M)]]*1.08</f>
        <v/>
      </c>
    </row>
    <row r="169">
      <c r="A169" s="212" t="n"/>
      <c r="B169" s="77">
        <f>IF(ISBLANK(tbl_明細[[#This Row],[案件番号]]),"",COUNTIFS($A$3:A169,tbl_明細[[#This Row],[案件番号]],$AA$3:AA169,"&gt;0"))</f>
        <v/>
      </c>
      <c r="C169" s="209">
        <f>COUNTIFS($A$3:A169,tbl_明細[[#This Row],[案件番号]],$F$3:F169,tbl_明細[[#This Row],[仕入先]])</f>
        <v/>
      </c>
      <c r="D169" s="77">
        <f>_xlfn.XLOOKUP(tbl_明細[[#This Row],[案件番号]],tbl_採番[案件番号],tbl_採番[顧客],"",0,1)</f>
        <v/>
      </c>
      <c r="E169" s="209" t="n"/>
      <c r="F169" s="118">
        <f>IF(ISBLANK(tbl_明細[[#This Row],[仕入先（M)]]),_xlfn.XLOOKUP(tbl_明細[[#This Row],[商品ID]],商品マスタ[商品連番],商品マスタ[仕入先],"",0,1),tbl_明細[[#This Row],[仕入先（M)]])</f>
        <v/>
      </c>
      <c r="G169" s="112">
        <f>IF(ISBLANK(tbl_明細[[#This Row],[商品名（M)]]),_xlfn.XLOOKUP(tbl_明細[[#This Row],[商品ID]],商品マスタ[商品連番],商品マスタ[商品名],"",0,),tbl_明細[[#This Row],[商品名（M)]])</f>
        <v/>
      </c>
      <c r="H169" s="80">
        <f>IF(ISBLANK(tbl_明細[[#This Row],[仕入価格（M)]]),_xlfn.XLOOKUP(tbl_明細[[#This Row],[商品ID]],商品マスタ[商品連番],商品マスタ[仕入
単価],"",0,1),tbl_明細[[#This Row],[仕入価格（M)]])</f>
        <v/>
      </c>
      <c r="I169" s="80">
        <f>_xlfn.XLOOKUP(tbl_明細[[#This Row],[商品ID]],商品マスタ[商品連番],商品マスタ[国内定価
（15％）],"",0,1)</f>
        <v/>
      </c>
      <c r="J169" s="85" t="n"/>
      <c r="K169" s="209" t="n"/>
      <c r="L169" s="77">
        <f>_xlfn.XLOOKUP(tbl_明細[[#This Row],[商品ID]],商品マスタ[商品連番],商品マスタ[単位],"",0,1)</f>
        <v/>
      </c>
      <c r="M169" s="249">
        <f>1-tbl_明細[[#This Row],[仕入価格]]/tbl_明細[[#This Row],[販売価格（売値）]]</f>
        <v/>
      </c>
      <c r="N169" s="189">
        <f>_xlfn.XLOOKUP(tbl_明細[[#This Row],[商品ID]],商品マスタ[商品連番],商品マスタ[税率],"",0,1)</f>
        <v/>
      </c>
      <c r="O169" s="120" t="n"/>
      <c r="P169" s="209" t="n"/>
      <c r="Q169" s="85" t="n"/>
      <c r="R169" s="85" t="n"/>
      <c r="S169" s="209" t="n"/>
      <c r="T169" s="209" t="n"/>
      <c r="U169" s="79" t="n"/>
      <c r="V169" s="79" t="n"/>
      <c r="W169" s="113" t="n"/>
      <c r="X169" s="306">
        <f>tbl_明細[[#This Row],[仕入価格]]*tbl_明細[[#This Row],[数量]]+tbl_明細[[#This Row],[仕入価格（M)]]*tbl_明細[[#This Row],[数量（M)]]</f>
        <v/>
      </c>
      <c r="Y169" s="306">
        <f>tbl_明細[[#This Row],[販売価格（売値）]]*tbl_明細[[#This Row],[数量]]+tbl_明細[[#This Row],[販売価格（M)]]*tbl_明細[[#This Row],[数量（M)]]</f>
        <v/>
      </c>
      <c r="Z169" s="307">
        <f>_xlfn.XLOOKUP(tbl_明細[[#This Row],[案件番号]],tbl_案件追跡[案件番号],tbl_案件追跡[受注],"",0,1)</f>
        <v/>
      </c>
      <c r="AA169" s="228">
        <f>tbl_明細[[#This Row],[販売価格（売値）]]+tbl_明細[[#This Row],[販売価格（M)]]</f>
        <v/>
      </c>
      <c r="AB169" s="261">
        <f>tbl_明細[[#This Row],[販売価格（売値）]]*1.08+tbl_明細[[#This Row],[販売価格（M)]]*1.08</f>
        <v/>
      </c>
    </row>
    <row r="170">
      <c r="A170" s="212" t="n"/>
      <c r="B170" s="77">
        <f>IF(ISBLANK(tbl_明細[[#This Row],[案件番号]]),"",COUNTIFS($A$3:A170,tbl_明細[[#This Row],[案件番号]],$AA$3:AA170,"&gt;0"))</f>
        <v/>
      </c>
      <c r="C170" s="209">
        <f>COUNTIFS($A$3:A170,tbl_明細[[#This Row],[案件番号]],$F$3:F170,tbl_明細[[#This Row],[仕入先]])</f>
        <v/>
      </c>
      <c r="D170" s="77">
        <f>_xlfn.XLOOKUP(tbl_明細[[#This Row],[案件番号]],tbl_採番[案件番号],tbl_採番[顧客],"",0,1)</f>
        <v/>
      </c>
      <c r="E170" s="209" t="n"/>
      <c r="F170" s="118">
        <f>IF(ISBLANK(tbl_明細[[#This Row],[仕入先（M)]]),_xlfn.XLOOKUP(tbl_明細[[#This Row],[商品ID]],商品マスタ[商品連番],商品マスタ[仕入先],"",0,1),tbl_明細[[#This Row],[仕入先（M)]])</f>
        <v/>
      </c>
      <c r="G170" s="112">
        <f>IF(ISBLANK(tbl_明細[[#This Row],[商品名（M)]]),_xlfn.XLOOKUP(tbl_明細[[#This Row],[商品ID]],商品マスタ[商品連番],商品マスタ[商品名],"",0,),tbl_明細[[#This Row],[商品名（M)]])</f>
        <v/>
      </c>
      <c r="H170" s="80">
        <f>IF(ISBLANK(tbl_明細[[#This Row],[仕入価格（M)]]),_xlfn.XLOOKUP(tbl_明細[[#This Row],[商品ID]],商品マスタ[商品連番],商品マスタ[仕入
単価],"",0,1),tbl_明細[[#This Row],[仕入価格（M)]])</f>
        <v/>
      </c>
      <c r="I170" s="80">
        <f>_xlfn.XLOOKUP(tbl_明細[[#This Row],[商品ID]],商品マスタ[商品連番],商品マスタ[国内定価
（15％）],"",0,1)</f>
        <v/>
      </c>
      <c r="J170" s="85" t="n"/>
      <c r="K170" s="209" t="n"/>
      <c r="L170" s="77">
        <f>_xlfn.XLOOKUP(tbl_明細[[#This Row],[商品ID]],商品マスタ[商品連番],商品マスタ[単位],"",0,1)</f>
        <v/>
      </c>
      <c r="M170" s="249">
        <f>1-tbl_明細[[#This Row],[仕入価格]]/tbl_明細[[#This Row],[販売価格（売値）]]</f>
        <v/>
      </c>
      <c r="N170" s="189">
        <f>_xlfn.XLOOKUP(tbl_明細[[#This Row],[商品ID]],商品マスタ[商品連番],商品マスタ[税率],"",0,1)</f>
        <v/>
      </c>
      <c r="O170" s="120" t="n"/>
      <c r="P170" s="209" t="n"/>
      <c r="Q170" s="85" t="n"/>
      <c r="R170" s="85" t="n"/>
      <c r="S170" s="209" t="n"/>
      <c r="T170" s="209" t="n"/>
      <c r="U170" s="79" t="n"/>
      <c r="V170" s="79" t="n"/>
      <c r="W170" s="113" t="n"/>
      <c r="X170" s="306">
        <f>tbl_明細[[#This Row],[仕入価格]]*tbl_明細[[#This Row],[数量]]+tbl_明細[[#This Row],[仕入価格（M)]]*tbl_明細[[#This Row],[数量（M)]]</f>
        <v/>
      </c>
      <c r="Y170" s="306">
        <f>tbl_明細[[#This Row],[販売価格（売値）]]*tbl_明細[[#This Row],[数量]]+tbl_明細[[#This Row],[販売価格（M)]]*tbl_明細[[#This Row],[数量（M)]]</f>
        <v/>
      </c>
      <c r="Z170" s="307">
        <f>_xlfn.XLOOKUP(tbl_明細[[#This Row],[案件番号]],tbl_案件追跡[案件番号],tbl_案件追跡[受注],"",0,1)</f>
        <v/>
      </c>
      <c r="AA170" s="228">
        <f>tbl_明細[[#This Row],[販売価格（売値）]]+tbl_明細[[#This Row],[販売価格（M)]]</f>
        <v/>
      </c>
      <c r="AB170" s="261">
        <f>tbl_明細[[#This Row],[販売価格（売値）]]*1.08+tbl_明細[[#This Row],[販売価格（M)]]*1.08</f>
        <v/>
      </c>
    </row>
    <row r="171">
      <c r="A171" s="212" t="n"/>
      <c r="B171" s="77">
        <f>IF(ISBLANK(tbl_明細[[#This Row],[案件番号]]),"",COUNTIFS($A$3:A171,tbl_明細[[#This Row],[案件番号]],$AA$3:AA171,"&gt;0"))</f>
        <v/>
      </c>
      <c r="C171" s="209">
        <f>COUNTIFS($A$3:A171,tbl_明細[[#This Row],[案件番号]],$F$3:F171,tbl_明細[[#This Row],[仕入先]])</f>
        <v/>
      </c>
      <c r="D171" s="77">
        <f>_xlfn.XLOOKUP(tbl_明細[[#This Row],[案件番号]],tbl_採番[案件番号],tbl_採番[顧客],"",0,1)</f>
        <v/>
      </c>
      <c r="E171" s="209" t="n"/>
      <c r="F171" s="118">
        <f>IF(ISBLANK(tbl_明細[[#This Row],[仕入先（M)]]),_xlfn.XLOOKUP(tbl_明細[[#This Row],[商品ID]],商品マスタ[商品連番],商品マスタ[仕入先],"",0,1),tbl_明細[[#This Row],[仕入先（M)]])</f>
        <v/>
      </c>
      <c r="G171" s="112">
        <f>IF(ISBLANK(tbl_明細[[#This Row],[商品名（M)]]),_xlfn.XLOOKUP(tbl_明細[[#This Row],[商品ID]],商品マスタ[商品連番],商品マスタ[商品名],"",0,),tbl_明細[[#This Row],[商品名（M)]])</f>
        <v/>
      </c>
      <c r="H171" s="80">
        <f>IF(ISBLANK(tbl_明細[[#This Row],[仕入価格（M)]]),_xlfn.XLOOKUP(tbl_明細[[#This Row],[商品ID]],商品マスタ[商品連番],商品マスタ[仕入
単価],"",0,1),tbl_明細[[#This Row],[仕入価格（M)]])</f>
        <v/>
      </c>
      <c r="I171" s="80">
        <f>_xlfn.XLOOKUP(tbl_明細[[#This Row],[商品ID]],商品マスタ[商品連番],商品マスタ[国内定価
（15％）],"",0,1)</f>
        <v/>
      </c>
      <c r="J171" s="85" t="n"/>
      <c r="K171" s="209" t="n"/>
      <c r="L171" s="77">
        <f>_xlfn.XLOOKUP(tbl_明細[[#This Row],[商品ID]],商品マスタ[商品連番],商品マスタ[単位],"",0,1)</f>
        <v/>
      </c>
      <c r="M171" s="249">
        <f>1-tbl_明細[[#This Row],[仕入価格]]/tbl_明細[[#This Row],[販売価格（売値）]]</f>
        <v/>
      </c>
      <c r="N171" s="189">
        <f>_xlfn.XLOOKUP(tbl_明細[[#This Row],[商品ID]],商品マスタ[商品連番],商品マスタ[税率],"",0,1)</f>
        <v/>
      </c>
      <c r="O171" s="120" t="n"/>
      <c r="P171" s="209" t="n"/>
      <c r="Q171" s="85" t="n"/>
      <c r="R171" s="85" t="n"/>
      <c r="S171" s="209" t="n"/>
      <c r="T171" s="209" t="n"/>
      <c r="U171" s="79" t="n"/>
      <c r="V171" s="79" t="n"/>
      <c r="W171" s="113" t="n"/>
      <c r="X171" s="306">
        <f>tbl_明細[[#This Row],[仕入価格]]*tbl_明細[[#This Row],[数量]]+tbl_明細[[#This Row],[仕入価格（M)]]*tbl_明細[[#This Row],[数量（M)]]</f>
        <v/>
      </c>
      <c r="Y171" s="306">
        <f>tbl_明細[[#This Row],[販売価格（売値）]]*tbl_明細[[#This Row],[数量]]+tbl_明細[[#This Row],[販売価格（M)]]*tbl_明細[[#This Row],[数量（M)]]</f>
        <v/>
      </c>
      <c r="Z171" s="307">
        <f>_xlfn.XLOOKUP(tbl_明細[[#This Row],[案件番号]],tbl_案件追跡[案件番号],tbl_案件追跡[受注],"",0,1)</f>
        <v/>
      </c>
      <c r="AA171" s="228">
        <f>tbl_明細[[#This Row],[販売価格（売値）]]+tbl_明細[[#This Row],[販売価格（M)]]</f>
        <v/>
      </c>
      <c r="AB171" s="261">
        <f>tbl_明細[[#This Row],[販売価格（売値）]]*1.08+tbl_明細[[#This Row],[販売価格（M)]]*1.08</f>
        <v/>
      </c>
    </row>
    <row r="172">
      <c r="A172" s="212" t="n"/>
      <c r="B172" s="77">
        <f>IF(ISBLANK(tbl_明細[[#This Row],[案件番号]]),"",COUNTIFS($A$3:A172,tbl_明細[[#This Row],[案件番号]],$AA$3:AA172,"&gt;0"))</f>
        <v/>
      </c>
      <c r="C172" s="209">
        <f>COUNTIFS($A$3:A172,tbl_明細[[#This Row],[案件番号]],$F$3:F172,tbl_明細[[#This Row],[仕入先]])</f>
        <v/>
      </c>
      <c r="D172" s="77">
        <f>_xlfn.XLOOKUP(tbl_明細[[#This Row],[案件番号]],tbl_採番[案件番号],tbl_採番[顧客],"",0,1)</f>
        <v/>
      </c>
      <c r="E172" s="209" t="n"/>
      <c r="F172" s="118">
        <f>IF(ISBLANK(tbl_明細[[#This Row],[仕入先（M)]]),_xlfn.XLOOKUP(tbl_明細[[#This Row],[商品ID]],商品マスタ[商品連番],商品マスタ[仕入先],"",0,1),tbl_明細[[#This Row],[仕入先（M)]])</f>
        <v/>
      </c>
      <c r="G172" s="112">
        <f>IF(ISBLANK(tbl_明細[[#This Row],[商品名（M)]]),_xlfn.XLOOKUP(tbl_明細[[#This Row],[商品ID]],商品マスタ[商品連番],商品マスタ[商品名],"",0,),tbl_明細[[#This Row],[商品名（M)]])</f>
        <v/>
      </c>
      <c r="H172" s="80">
        <f>IF(ISBLANK(tbl_明細[[#This Row],[仕入価格（M)]]),_xlfn.XLOOKUP(tbl_明細[[#This Row],[商品ID]],商品マスタ[商品連番],商品マスタ[仕入
単価],"",0,1),tbl_明細[[#This Row],[仕入価格（M)]])</f>
        <v/>
      </c>
      <c r="I172" s="80">
        <f>_xlfn.XLOOKUP(tbl_明細[[#This Row],[商品ID]],商品マスタ[商品連番],商品マスタ[国内定価
（15％）],"",0,1)</f>
        <v/>
      </c>
      <c r="J172" s="85" t="n"/>
      <c r="K172" s="209" t="n"/>
      <c r="L172" s="77">
        <f>_xlfn.XLOOKUP(tbl_明細[[#This Row],[商品ID]],商品マスタ[商品連番],商品マスタ[単位],"",0,1)</f>
        <v/>
      </c>
      <c r="M172" s="249">
        <f>1-tbl_明細[[#This Row],[仕入価格]]/tbl_明細[[#This Row],[販売価格（売値）]]</f>
        <v/>
      </c>
      <c r="N172" s="189">
        <f>_xlfn.XLOOKUP(tbl_明細[[#This Row],[商品ID]],商品マスタ[商品連番],商品マスタ[税率],"",0,1)</f>
        <v/>
      </c>
      <c r="O172" s="120" t="n"/>
      <c r="P172" s="209" t="n"/>
      <c r="Q172" s="85" t="n"/>
      <c r="R172" s="85" t="n"/>
      <c r="S172" s="209" t="n"/>
      <c r="T172" s="209" t="n"/>
      <c r="U172" s="79" t="n"/>
      <c r="V172" s="79" t="n"/>
      <c r="W172" s="113" t="n"/>
      <c r="X172" s="306">
        <f>tbl_明細[[#This Row],[仕入価格]]*tbl_明細[[#This Row],[数量]]+tbl_明細[[#This Row],[仕入価格（M)]]*tbl_明細[[#This Row],[数量（M)]]</f>
        <v/>
      </c>
      <c r="Y172" s="306">
        <f>tbl_明細[[#This Row],[販売価格（売値）]]*tbl_明細[[#This Row],[数量]]+tbl_明細[[#This Row],[販売価格（M)]]*tbl_明細[[#This Row],[数量（M)]]</f>
        <v/>
      </c>
      <c r="Z172" s="307">
        <f>_xlfn.XLOOKUP(tbl_明細[[#This Row],[案件番号]],tbl_案件追跡[案件番号],tbl_案件追跡[受注],"",0,1)</f>
        <v/>
      </c>
      <c r="AA172" s="228">
        <f>tbl_明細[[#This Row],[販売価格（売値）]]+tbl_明細[[#This Row],[販売価格（M)]]</f>
        <v/>
      </c>
      <c r="AB172" s="261">
        <f>tbl_明細[[#This Row],[販売価格（売値）]]*1.08+tbl_明細[[#This Row],[販売価格（M)]]*1.08</f>
        <v/>
      </c>
    </row>
    <row r="173">
      <c r="A173" s="212" t="n"/>
      <c r="B173" s="77">
        <f>IF(ISBLANK(tbl_明細[[#This Row],[案件番号]]),"",COUNTIFS($A$3:A173,tbl_明細[[#This Row],[案件番号]],$AA$3:AA173,"&gt;0"))</f>
        <v/>
      </c>
      <c r="C173" s="209">
        <f>COUNTIFS($A$3:A173,tbl_明細[[#This Row],[案件番号]],$F$3:F173,tbl_明細[[#This Row],[仕入先]])</f>
        <v/>
      </c>
      <c r="D173" s="77">
        <f>_xlfn.XLOOKUP(tbl_明細[[#This Row],[案件番号]],tbl_採番[案件番号],tbl_採番[顧客],"",0,1)</f>
        <v/>
      </c>
      <c r="E173" s="209" t="n"/>
      <c r="F173" s="118">
        <f>IF(ISBLANK(tbl_明細[[#This Row],[仕入先（M)]]),_xlfn.XLOOKUP(tbl_明細[[#This Row],[商品ID]],商品マスタ[商品連番],商品マスタ[仕入先],"",0,1),tbl_明細[[#This Row],[仕入先（M)]])</f>
        <v/>
      </c>
      <c r="G173" s="112">
        <f>IF(ISBLANK(tbl_明細[[#This Row],[商品名（M)]]),_xlfn.XLOOKUP(tbl_明細[[#This Row],[商品ID]],商品マスタ[商品連番],商品マスタ[商品名],"",0,),tbl_明細[[#This Row],[商品名（M)]])</f>
        <v/>
      </c>
      <c r="H173" s="80">
        <f>IF(ISBLANK(tbl_明細[[#This Row],[仕入価格（M)]]),_xlfn.XLOOKUP(tbl_明細[[#This Row],[商品ID]],商品マスタ[商品連番],商品マスタ[仕入
単価],"",0,1),tbl_明細[[#This Row],[仕入価格（M)]])</f>
        <v/>
      </c>
      <c r="I173" s="80">
        <f>_xlfn.XLOOKUP(tbl_明細[[#This Row],[商品ID]],商品マスタ[商品連番],商品マスタ[国内定価
（15％）],"",0,1)</f>
        <v/>
      </c>
      <c r="J173" s="85" t="n"/>
      <c r="K173" s="209" t="n"/>
      <c r="L173" s="77">
        <f>_xlfn.XLOOKUP(tbl_明細[[#This Row],[商品ID]],商品マスタ[商品連番],商品マスタ[単位],"",0,1)</f>
        <v/>
      </c>
      <c r="M173" s="249">
        <f>1-tbl_明細[[#This Row],[仕入価格]]/tbl_明細[[#This Row],[販売価格（売値）]]</f>
        <v/>
      </c>
      <c r="N173" s="189">
        <f>_xlfn.XLOOKUP(tbl_明細[[#This Row],[商品ID]],商品マスタ[商品連番],商品マスタ[税率],"",0,1)</f>
        <v/>
      </c>
      <c r="O173" s="120" t="n"/>
      <c r="P173" s="209" t="n"/>
      <c r="Q173" s="85" t="n"/>
      <c r="R173" s="85" t="n"/>
      <c r="S173" s="209" t="n"/>
      <c r="T173" s="209" t="n"/>
      <c r="U173" s="79" t="n"/>
      <c r="V173" s="79" t="n"/>
      <c r="W173" s="113" t="n"/>
      <c r="X173" s="306">
        <f>tbl_明細[[#This Row],[仕入価格]]*tbl_明細[[#This Row],[数量]]+tbl_明細[[#This Row],[仕入価格（M)]]*tbl_明細[[#This Row],[数量（M)]]</f>
        <v/>
      </c>
      <c r="Y173" s="306">
        <f>tbl_明細[[#This Row],[販売価格（売値）]]*tbl_明細[[#This Row],[数量]]+tbl_明細[[#This Row],[販売価格（M)]]*tbl_明細[[#This Row],[数量（M)]]</f>
        <v/>
      </c>
      <c r="Z173" s="307">
        <f>_xlfn.XLOOKUP(tbl_明細[[#This Row],[案件番号]],tbl_案件追跡[案件番号],tbl_案件追跡[受注],"",0,1)</f>
        <v/>
      </c>
      <c r="AA173" s="228">
        <f>tbl_明細[[#This Row],[販売価格（売値）]]+tbl_明細[[#This Row],[販売価格（M)]]</f>
        <v/>
      </c>
      <c r="AB173" s="261">
        <f>tbl_明細[[#This Row],[販売価格（売値）]]*1.08+tbl_明細[[#This Row],[販売価格（M)]]*1.08</f>
        <v/>
      </c>
    </row>
    <row r="174">
      <c r="A174" s="212" t="n"/>
      <c r="B174" s="77">
        <f>IF(ISBLANK(tbl_明細[[#This Row],[案件番号]]),"",COUNTIFS($A$3:A174,tbl_明細[[#This Row],[案件番号]],$AA$3:AA174,"&gt;0"))</f>
        <v/>
      </c>
      <c r="C174" s="209">
        <f>COUNTIFS($A$3:A174,tbl_明細[[#This Row],[案件番号]],$F$3:F174,tbl_明細[[#This Row],[仕入先]])</f>
        <v/>
      </c>
      <c r="D174" s="77">
        <f>_xlfn.XLOOKUP(tbl_明細[[#This Row],[案件番号]],tbl_採番[案件番号],tbl_採番[顧客],"",0,1)</f>
        <v/>
      </c>
      <c r="E174" s="209" t="n"/>
      <c r="F174" s="118">
        <f>IF(ISBLANK(tbl_明細[[#This Row],[仕入先（M)]]),_xlfn.XLOOKUP(tbl_明細[[#This Row],[商品ID]],商品マスタ[商品連番],商品マスタ[仕入先],"",0,1),tbl_明細[[#This Row],[仕入先（M)]])</f>
        <v/>
      </c>
      <c r="G174" s="112">
        <f>IF(ISBLANK(tbl_明細[[#This Row],[商品名（M)]]),_xlfn.XLOOKUP(tbl_明細[[#This Row],[商品ID]],商品マスタ[商品連番],商品マスタ[商品名],"",0,),tbl_明細[[#This Row],[商品名（M)]])</f>
        <v/>
      </c>
      <c r="H174" s="80">
        <f>IF(ISBLANK(tbl_明細[[#This Row],[仕入価格（M)]]),_xlfn.XLOOKUP(tbl_明細[[#This Row],[商品ID]],商品マスタ[商品連番],商品マスタ[仕入
単価],"",0,1),tbl_明細[[#This Row],[仕入価格（M)]])</f>
        <v/>
      </c>
      <c r="I174" s="80">
        <f>_xlfn.XLOOKUP(tbl_明細[[#This Row],[商品ID]],商品マスタ[商品連番],商品マスタ[国内定価
（15％）],"",0,1)</f>
        <v/>
      </c>
      <c r="J174" s="85" t="n"/>
      <c r="K174" s="209" t="n"/>
      <c r="L174" s="77">
        <f>_xlfn.XLOOKUP(tbl_明細[[#This Row],[商品ID]],商品マスタ[商品連番],商品マスタ[単位],"",0,1)</f>
        <v/>
      </c>
      <c r="M174" s="249">
        <f>1-tbl_明細[[#This Row],[仕入価格]]/tbl_明細[[#This Row],[販売価格（売値）]]</f>
        <v/>
      </c>
      <c r="N174" s="189">
        <f>_xlfn.XLOOKUP(tbl_明細[[#This Row],[商品ID]],商品マスタ[商品連番],商品マスタ[税率],"",0,1)</f>
        <v/>
      </c>
      <c r="O174" s="120" t="n"/>
      <c r="P174" s="209" t="n"/>
      <c r="Q174" s="85" t="n"/>
      <c r="R174" s="85" t="n"/>
      <c r="S174" s="209" t="n"/>
      <c r="T174" s="209" t="n"/>
      <c r="U174" s="79" t="n"/>
      <c r="V174" s="79" t="n"/>
      <c r="W174" s="113" t="n"/>
      <c r="X174" s="306">
        <f>tbl_明細[[#This Row],[仕入価格]]*tbl_明細[[#This Row],[数量]]+tbl_明細[[#This Row],[仕入価格（M)]]*tbl_明細[[#This Row],[数量（M)]]</f>
        <v/>
      </c>
      <c r="Y174" s="306">
        <f>tbl_明細[[#This Row],[販売価格（売値）]]*tbl_明細[[#This Row],[数量]]+tbl_明細[[#This Row],[販売価格（M)]]*tbl_明細[[#This Row],[数量（M)]]</f>
        <v/>
      </c>
      <c r="Z174" s="307">
        <f>_xlfn.XLOOKUP(tbl_明細[[#This Row],[案件番号]],tbl_案件追跡[案件番号],tbl_案件追跡[受注],"",0,1)</f>
        <v/>
      </c>
      <c r="AA174" s="228">
        <f>tbl_明細[[#This Row],[販売価格（売値）]]+tbl_明細[[#This Row],[販売価格（M)]]</f>
        <v/>
      </c>
      <c r="AB174" s="261">
        <f>tbl_明細[[#This Row],[販売価格（売値）]]*1.08+tbl_明細[[#This Row],[販売価格（M)]]*1.08</f>
        <v/>
      </c>
    </row>
    <row r="175">
      <c r="A175" s="212" t="n"/>
      <c r="B175" s="77">
        <f>IF(ISBLANK(tbl_明細[[#This Row],[案件番号]]),"",COUNTIFS($A$3:A175,tbl_明細[[#This Row],[案件番号]],$AA$3:AA175,"&gt;0"))</f>
        <v/>
      </c>
      <c r="C175" s="209">
        <f>COUNTIFS($A$3:A175,tbl_明細[[#This Row],[案件番号]],$F$3:F175,tbl_明細[[#This Row],[仕入先]])</f>
        <v/>
      </c>
      <c r="D175" s="77">
        <f>_xlfn.XLOOKUP(tbl_明細[[#This Row],[案件番号]],tbl_採番[案件番号],tbl_採番[顧客],"",0,1)</f>
        <v/>
      </c>
      <c r="E175" s="209" t="n"/>
      <c r="F175" s="118">
        <f>IF(ISBLANK(tbl_明細[[#This Row],[仕入先（M)]]),_xlfn.XLOOKUP(tbl_明細[[#This Row],[商品ID]],商品マスタ[商品連番],商品マスタ[仕入先],"",0,1),tbl_明細[[#This Row],[仕入先（M)]])</f>
        <v/>
      </c>
      <c r="G175" s="112">
        <f>IF(ISBLANK(tbl_明細[[#This Row],[商品名（M)]]),_xlfn.XLOOKUP(tbl_明細[[#This Row],[商品ID]],商品マスタ[商品連番],商品マスタ[商品名],"",0,),tbl_明細[[#This Row],[商品名（M)]])</f>
        <v/>
      </c>
      <c r="H175" s="80">
        <f>IF(ISBLANK(tbl_明細[[#This Row],[仕入価格（M)]]),_xlfn.XLOOKUP(tbl_明細[[#This Row],[商品ID]],商品マスタ[商品連番],商品マスタ[仕入
単価],"",0,1),tbl_明細[[#This Row],[仕入価格（M)]])</f>
        <v/>
      </c>
      <c r="I175" s="80">
        <f>_xlfn.XLOOKUP(tbl_明細[[#This Row],[商品ID]],商品マスタ[商品連番],商品マスタ[国内定価
（15％）],"",0,1)</f>
        <v/>
      </c>
      <c r="J175" s="85" t="n"/>
      <c r="K175" s="209" t="n"/>
      <c r="L175" s="77">
        <f>_xlfn.XLOOKUP(tbl_明細[[#This Row],[商品ID]],商品マスタ[商品連番],商品マスタ[単位],"",0,1)</f>
        <v/>
      </c>
      <c r="M175" s="249">
        <f>1-tbl_明細[[#This Row],[仕入価格]]/tbl_明細[[#This Row],[販売価格（売値）]]</f>
        <v/>
      </c>
      <c r="N175" s="189">
        <f>_xlfn.XLOOKUP(tbl_明細[[#This Row],[商品ID]],商品マスタ[商品連番],商品マスタ[税率],"",0,1)</f>
        <v/>
      </c>
      <c r="O175" s="120" t="n"/>
      <c r="P175" s="209" t="n"/>
      <c r="Q175" s="85" t="n"/>
      <c r="R175" s="85" t="n"/>
      <c r="S175" s="209" t="n"/>
      <c r="T175" s="209" t="n"/>
      <c r="U175" s="79" t="n"/>
      <c r="V175" s="79" t="n"/>
      <c r="W175" s="113" t="n"/>
      <c r="X175" s="306">
        <f>tbl_明細[[#This Row],[仕入価格]]*tbl_明細[[#This Row],[数量]]+tbl_明細[[#This Row],[仕入価格（M)]]*tbl_明細[[#This Row],[数量（M)]]</f>
        <v/>
      </c>
      <c r="Y175" s="306">
        <f>tbl_明細[[#This Row],[販売価格（売値）]]*tbl_明細[[#This Row],[数量]]+tbl_明細[[#This Row],[販売価格（M)]]*tbl_明細[[#This Row],[数量（M)]]</f>
        <v/>
      </c>
      <c r="Z175" s="307">
        <f>_xlfn.XLOOKUP(tbl_明細[[#This Row],[案件番号]],tbl_案件追跡[案件番号],tbl_案件追跡[受注],"",0,1)</f>
        <v/>
      </c>
      <c r="AA175" s="228">
        <f>tbl_明細[[#This Row],[販売価格（売値）]]+tbl_明細[[#This Row],[販売価格（M)]]</f>
        <v/>
      </c>
      <c r="AB175" s="261">
        <f>tbl_明細[[#This Row],[販売価格（売値）]]*1.08+tbl_明細[[#This Row],[販売価格（M)]]*1.08</f>
        <v/>
      </c>
    </row>
    <row r="176">
      <c r="A176" s="212" t="n"/>
      <c r="B176" s="77">
        <f>IF(ISBLANK(tbl_明細[[#This Row],[案件番号]]),"",COUNTIFS($A$3:A176,tbl_明細[[#This Row],[案件番号]],$AA$3:AA176,"&gt;0"))</f>
        <v/>
      </c>
      <c r="C176" s="209">
        <f>COUNTIFS($A$3:A176,tbl_明細[[#This Row],[案件番号]],$F$3:F176,tbl_明細[[#This Row],[仕入先]])</f>
        <v/>
      </c>
      <c r="D176" s="77">
        <f>_xlfn.XLOOKUP(tbl_明細[[#This Row],[案件番号]],tbl_採番[案件番号],tbl_採番[顧客],"",0,1)</f>
        <v/>
      </c>
      <c r="E176" s="209" t="n"/>
      <c r="F176" s="118">
        <f>IF(ISBLANK(tbl_明細[[#This Row],[仕入先（M)]]),_xlfn.XLOOKUP(tbl_明細[[#This Row],[商品ID]],商品マスタ[商品連番],商品マスタ[仕入先],"",0,1),tbl_明細[[#This Row],[仕入先（M)]])</f>
        <v/>
      </c>
      <c r="G176" s="112">
        <f>IF(ISBLANK(tbl_明細[[#This Row],[商品名（M)]]),_xlfn.XLOOKUP(tbl_明細[[#This Row],[商品ID]],商品マスタ[商品連番],商品マスタ[商品名],"",0,),tbl_明細[[#This Row],[商品名（M)]])</f>
        <v/>
      </c>
      <c r="H176" s="80">
        <f>IF(ISBLANK(tbl_明細[[#This Row],[仕入価格（M)]]),_xlfn.XLOOKUP(tbl_明細[[#This Row],[商品ID]],商品マスタ[商品連番],商品マスタ[仕入
単価],"",0,1),tbl_明細[[#This Row],[仕入価格（M)]])</f>
        <v/>
      </c>
      <c r="I176" s="80">
        <f>_xlfn.XLOOKUP(tbl_明細[[#This Row],[商品ID]],商品マスタ[商品連番],商品マスタ[国内定価
（15％）],"",0,1)</f>
        <v/>
      </c>
      <c r="J176" s="85" t="n"/>
      <c r="K176" s="209" t="n"/>
      <c r="L176" s="77">
        <f>_xlfn.XLOOKUP(tbl_明細[[#This Row],[商品ID]],商品マスタ[商品連番],商品マスタ[単位],"",0,1)</f>
        <v/>
      </c>
      <c r="M176" s="249">
        <f>1-tbl_明細[[#This Row],[仕入価格]]/tbl_明細[[#This Row],[販売価格（売値）]]</f>
        <v/>
      </c>
      <c r="N176" s="189">
        <f>_xlfn.XLOOKUP(tbl_明細[[#This Row],[商品ID]],商品マスタ[商品連番],商品マスタ[税率],"",0,1)</f>
        <v/>
      </c>
      <c r="O176" s="120" t="n"/>
      <c r="P176" s="209" t="n"/>
      <c r="Q176" s="85" t="n"/>
      <c r="R176" s="85" t="n"/>
      <c r="S176" s="209" t="n"/>
      <c r="T176" s="209" t="n"/>
      <c r="U176" s="79" t="n"/>
      <c r="V176" s="79" t="n"/>
      <c r="W176" s="113" t="n"/>
      <c r="X176" s="306">
        <f>tbl_明細[[#This Row],[仕入価格]]*tbl_明細[[#This Row],[数量]]+tbl_明細[[#This Row],[仕入価格（M)]]*tbl_明細[[#This Row],[数量（M)]]</f>
        <v/>
      </c>
      <c r="Y176" s="306">
        <f>tbl_明細[[#This Row],[販売価格（売値）]]*tbl_明細[[#This Row],[数量]]+tbl_明細[[#This Row],[販売価格（M)]]*tbl_明細[[#This Row],[数量（M)]]</f>
        <v/>
      </c>
      <c r="Z176" s="307">
        <f>_xlfn.XLOOKUP(tbl_明細[[#This Row],[案件番号]],tbl_案件追跡[案件番号],tbl_案件追跡[受注],"",0,1)</f>
        <v/>
      </c>
      <c r="AA176" s="228">
        <f>tbl_明細[[#This Row],[販売価格（売値）]]+tbl_明細[[#This Row],[販売価格（M)]]</f>
        <v/>
      </c>
      <c r="AB176" s="261">
        <f>tbl_明細[[#This Row],[販売価格（売値）]]*1.08+tbl_明細[[#This Row],[販売価格（M)]]*1.08</f>
        <v/>
      </c>
    </row>
    <row r="177">
      <c r="A177" s="212" t="n"/>
      <c r="B177" s="77">
        <f>IF(ISBLANK(tbl_明細[[#This Row],[案件番号]]),"",COUNTIFS($A$3:A177,tbl_明細[[#This Row],[案件番号]],$AA$3:AA177,"&gt;0"))</f>
        <v/>
      </c>
      <c r="C177" s="209">
        <f>COUNTIFS($A$3:A177,tbl_明細[[#This Row],[案件番号]],$F$3:F177,tbl_明細[[#This Row],[仕入先]])</f>
        <v/>
      </c>
      <c r="D177" s="77">
        <f>_xlfn.XLOOKUP(tbl_明細[[#This Row],[案件番号]],tbl_採番[案件番号],tbl_採番[顧客],"",0,1)</f>
        <v/>
      </c>
      <c r="E177" s="209" t="n"/>
      <c r="F177" s="118">
        <f>IF(ISBLANK(tbl_明細[[#This Row],[仕入先（M)]]),_xlfn.XLOOKUP(tbl_明細[[#This Row],[商品ID]],商品マスタ[商品連番],商品マスタ[仕入先],"",0,1),tbl_明細[[#This Row],[仕入先（M)]])</f>
        <v/>
      </c>
      <c r="G177" s="112">
        <f>IF(ISBLANK(tbl_明細[[#This Row],[商品名（M)]]),_xlfn.XLOOKUP(tbl_明細[[#This Row],[商品ID]],商品マスタ[商品連番],商品マスタ[商品名],"",0,),tbl_明細[[#This Row],[商品名（M)]])</f>
        <v/>
      </c>
      <c r="H177" s="80">
        <f>IF(ISBLANK(tbl_明細[[#This Row],[仕入価格（M)]]),_xlfn.XLOOKUP(tbl_明細[[#This Row],[商品ID]],商品マスタ[商品連番],商品マスタ[仕入
単価],"",0,1),tbl_明細[[#This Row],[仕入価格（M)]])</f>
        <v/>
      </c>
      <c r="I177" s="80">
        <f>_xlfn.XLOOKUP(tbl_明細[[#This Row],[商品ID]],商品マスタ[商品連番],商品マスタ[国内定価
（15％）],"",0,1)</f>
        <v/>
      </c>
      <c r="J177" s="85" t="n"/>
      <c r="K177" s="209" t="n"/>
      <c r="L177" s="77">
        <f>_xlfn.XLOOKUP(tbl_明細[[#This Row],[商品ID]],商品マスタ[商品連番],商品マスタ[単位],"",0,1)</f>
        <v/>
      </c>
      <c r="M177" s="249">
        <f>1-tbl_明細[[#This Row],[仕入価格]]/tbl_明細[[#This Row],[販売価格（売値）]]</f>
        <v/>
      </c>
      <c r="N177" s="189">
        <f>_xlfn.XLOOKUP(tbl_明細[[#This Row],[商品ID]],商品マスタ[商品連番],商品マスタ[税率],"",0,1)</f>
        <v/>
      </c>
      <c r="O177" s="120" t="n"/>
      <c r="P177" s="209" t="n"/>
      <c r="Q177" s="85" t="n"/>
      <c r="R177" s="85" t="n"/>
      <c r="S177" s="209" t="n"/>
      <c r="T177" s="209" t="n"/>
      <c r="U177" s="79" t="n"/>
      <c r="V177" s="79" t="n"/>
      <c r="W177" s="113" t="n"/>
      <c r="X177" s="306">
        <f>tbl_明細[[#This Row],[仕入価格]]*tbl_明細[[#This Row],[数量]]+tbl_明細[[#This Row],[仕入価格（M)]]*tbl_明細[[#This Row],[数量（M)]]</f>
        <v/>
      </c>
      <c r="Y177" s="306">
        <f>tbl_明細[[#This Row],[販売価格（売値）]]*tbl_明細[[#This Row],[数量]]+tbl_明細[[#This Row],[販売価格（M)]]*tbl_明細[[#This Row],[数量（M)]]</f>
        <v/>
      </c>
      <c r="Z177" s="307">
        <f>_xlfn.XLOOKUP(tbl_明細[[#This Row],[案件番号]],tbl_案件追跡[案件番号],tbl_案件追跡[受注],"",0,1)</f>
        <v/>
      </c>
      <c r="AA177" s="228">
        <f>tbl_明細[[#This Row],[販売価格（売値）]]+tbl_明細[[#This Row],[販売価格（M)]]</f>
        <v/>
      </c>
      <c r="AB177" s="261">
        <f>tbl_明細[[#This Row],[販売価格（売値）]]*1.08+tbl_明細[[#This Row],[販売価格（M)]]*1.08</f>
        <v/>
      </c>
    </row>
    <row r="178">
      <c r="A178" s="212" t="n"/>
      <c r="B178" s="77">
        <f>IF(ISBLANK(tbl_明細[[#This Row],[案件番号]]),"",COUNTIFS($A$3:A178,tbl_明細[[#This Row],[案件番号]],$AA$3:AA178,"&gt;0"))</f>
        <v/>
      </c>
      <c r="C178" s="209">
        <f>COUNTIFS($A$3:A178,tbl_明細[[#This Row],[案件番号]],$F$3:F178,tbl_明細[[#This Row],[仕入先]])</f>
        <v/>
      </c>
      <c r="D178" s="77">
        <f>_xlfn.XLOOKUP(tbl_明細[[#This Row],[案件番号]],tbl_採番[案件番号],tbl_採番[顧客],"",0,1)</f>
        <v/>
      </c>
      <c r="E178" s="209" t="n"/>
      <c r="F178" s="118">
        <f>IF(ISBLANK(tbl_明細[[#This Row],[仕入先（M)]]),_xlfn.XLOOKUP(tbl_明細[[#This Row],[商品ID]],商品マスタ[商品連番],商品マスタ[仕入先],"",0,1),tbl_明細[[#This Row],[仕入先（M)]])</f>
        <v/>
      </c>
      <c r="G178" s="112">
        <f>IF(ISBLANK(tbl_明細[[#This Row],[商品名（M)]]),_xlfn.XLOOKUP(tbl_明細[[#This Row],[商品ID]],商品マスタ[商品連番],商品マスタ[商品名],"",0,),tbl_明細[[#This Row],[商品名（M)]])</f>
        <v/>
      </c>
      <c r="H178" s="80">
        <f>IF(ISBLANK(tbl_明細[[#This Row],[仕入価格（M)]]),_xlfn.XLOOKUP(tbl_明細[[#This Row],[商品ID]],商品マスタ[商品連番],商品マスタ[仕入
単価],"",0,1),tbl_明細[[#This Row],[仕入価格（M)]])</f>
        <v/>
      </c>
      <c r="I178" s="80">
        <f>_xlfn.XLOOKUP(tbl_明細[[#This Row],[商品ID]],商品マスタ[商品連番],商品マスタ[国内定価
（15％）],"",0,1)</f>
        <v/>
      </c>
      <c r="J178" s="85" t="n"/>
      <c r="K178" s="209" t="n"/>
      <c r="L178" s="77">
        <f>_xlfn.XLOOKUP(tbl_明細[[#This Row],[商品ID]],商品マスタ[商品連番],商品マスタ[単位],"",0,1)</f>
        <v/>
      </c>
      <c r="M178" s="249">
        <f>1-tbl_明細[[#This Row],[仕入価格]]/tbl_明細[[#This Row],[販売価格（売値）]]</f>
        <v/>
      </c>
      <c r="N178" s="189">
        <f>_xlfn.XLOOKUP(tbl_明細[[#This Row],[商品ID]],商品マスタ[商品連番],商品マスタ[税率],"",0,1)</f>
        <v/>
      </c>
      <c r="O178" s="120" t="n"/>
      <c r="P178" s="209" t="n"/>
      <c r="Q178" s="85" t="n"/>
      <c r="R178" s="85" t="n"/>
      <c r="S178" s="209" t="n"/>
      <c r="T178" s="209" t="n"/>
      <c r="U178" s="79" t="n"/>
      <c r="V178" s="79" t="n"/>
      <c r="W178" s="113" t="n"/>
      <c r="X178" s="306">
        <f>tbl_明細[[#This Row],[仕入価格]]*tbl_明細[[#This Row],[数量]]+tbl_明細[[#This Row],[仕入価格（M)]]*tbl_明細[[#This Row],[数量（M)]]</f>
        <v/>
      </c>
      <c r="Y178" s="306">
        <f>tbl_明細[[#This Row],[販売価格（売値）]]*tbl_明細[[#This Row],[数量]]+tbl_明細[[#This Row],[販売価格（M)]]*tbl_明細[[#This Row],[数量（M)]]</f>
        <v/>
      </c>
      <c r="Z178" s="307">
        <f>_xlfn.XLOOKUP(tbl_明細[[#This Row],[案件番号]],tbl_案件追跡[案件番号],tbl_案件追跡[受注],"",0,1)</f>
        <v/>
      </c>
      <c r="AA178" s="228">
        <f>tbl_明細[[#This Row],[販売価格（売値）]]+tbl_明細[[#This Row],[販売価格（M)]]</f>
        <v/>
      </c>
      <c r="AB178" s="261">
        <f>tbl_明細[[#This Row],[販売価格（売値）]]*1.08+tbl_明細[[#This Row],[販売価格（M)]]*1.08</f>
        <v/>
      </c>
    </row>
    <row r="179">
      <c r="A179" s="212" t="n"/>
      <c r="B179" s="77">
        <f>IF(ISBLANK(tbl_明細[[#This Row],[案件番号]]),"",COUNTIFS($A$3:A179,tbl_明細[[#This Row],[案件番号]],$AA$3:AA179,"&gt;0"))</f>
        <v/>
      </c>
      <c r="C179" s="209">
        <f>COUNTIFS($A$3:A179,tbl_明細[[#This Row],[案件番号]],$F$3:F179,tbl_明細[[#This Row],[仕入先]])</f>
        <v/>
      </c>
      <c r="D179" s="77">
        <f>_xlfn.XLOOKUP(tbl_明細[[#This Row],[案件番号]],tbl_採番[案件番号],tbl_採番[顧客],"",0,1)</f>
        <v/>
      </c>
      <c r="E179" s="209" t="n"/>
      <c r="F179" s="118">
        <f>IF(ISBLANK(tbl_明細[[#This Row],[仕入先（M)]]),_xlfn.XLOOKUP(tbl_明細[[#This Row],[商品ID]],商品マスタ[商品連番],商品マスタ[仕入先],"",0,1),tbl_明細[[#This Row],[仕入先（M)]])</f>
        <v/>
      </c>
      <c r="G179" s="112">
        <f>IF(ISBLANK(tbl_明細[[#This Row],[商品名（M)]]),_xlfn.XLOOKUP(tbl_明細[[#This Row],[商品ID]],商品マスタ[商品連番],商品マスタ[商品名],"",0,),tbl_明細[[#This Row],[商品名（M)]])</f>
        <v/>
      </c>
      <c r="H179" s="80">
        <f>IF(ISBLANK(tbl_明細[[#This Row],[仕入価格（M)]]),_xlfn.XLOOKUP(tbl_明細[[#This Row],[商品ID]],商品マスタ[商品連番],商品マスタ[仕入
単価],"",0,1),tbl_明細[[#This Row],[仕入価格（M)]])</f>
        <v/>
      </c>
      <c r="I179" s="80">
        <f>_xlfn.XLOOKUP(tbl_明細[[#This Row],[商品ID]],商品マスタ[商品連番],商品マスタ[国内定価
（15％）],"",0,1)</f>
        <v/>
      </c>
      <c r="J179" s="85" t="n"/>
      <c r="K179" s="209" t="n"/>
      <c r="L179" s="77">
        <f>_xlfn.XLOOKUP(tbl_明細[[#This Row],[商品ID]],商品マスタ[商品連番],商品マスタ[単位],"",0,1)</f>
        <v/>
      </c>
      <c r="M179" s="249">
        <f>1-tbl_明細[[#This Row],[仕入価格]]/tbl_明細[[#This Row],[販売価格（売値）]]</f>
        <v/>
      </c>
      <c r="N179" s="189">
        <f>_xlfn.XLOOKUP(tbl_明細[[#This Row],[商品ID]],商品マスタ[商品連番],商品マスタ[税率],"",0,1)</f>
        <v/>
      </c>
      <c r="O179" s="120" t="n"/>
      <c r="P179" s="209" t="n"/>
      <c r="Q179" s="85" t="n"/>
      <c r="R179" s="85" t="n"/>
      <c r="S179" s="209" t="n"/>
      <c r="T179" s="209" t="n"/>
      <c r="U179" s="79" t="n"/>
      <c r="V179" s="79" t="n"/>
      <c r="W179" s="113" t="n"/>
      <c r="X179" s="306">
        <f>tbl_明細[[#This Row],[仕入価格]]*tbl_明細[[#This Row],[数量]]+tbl_明細[[#This Row],[仕入価格（M)]]*tbl_明細[[#This Row],[数量（M)]]</f>
        <v/>
      </c>
      <c r="Y179" s="306">
        <f>tbl_明細[[#This Row],[販売価格（売値）]]*tbl_明細[[#This Row],[数量]]+tbl_明細[[#This Row],[販売価格（M)]]*tbl_明細[[#This Row],[数量（M)]]</f>
        <v/>
      </c>
      <c r="Z179" s="307">
        <f>_xlfn.XLOOKUP(tbl_明細[[#This Row],[案件番号]],tbl_案件追跡[案件番号],tbl_案件追跡[受注],"",0,1)</f>
        <v/>
      </c>
      <c r="AA179" s="228">
        <f>tbl_明細[[#This Row],[販売価格（売値）]]+tbl_明細[[#This Row],[販売価格（M)]]</f>
        <v/>
      </c>
      <c r="AB179" s="261">
        <f>tbl_明細[[#This Row],[販売価格（売値）]]*1.08+tbl_明細[[#This Row],[販売価格（M)]]*1.08</f>
        <v/>
      </c>
    </row>
    <row r="180">
      <c r="A180" s="212" t="n"/>
      <c r="B180" s="77">
        <f>IF(ISBLANK(tbl_明細[[#This Row],[案件番号]]),"",COUNTIFS($A$3:A180,tbl_明細[[#This Row],[案件番号]],$AA$3:AA180,"&gt;0"))</f>
        <v/>
      </c>
      <c r="C180" s="209">
        <f>COUNTIFS($A$3:A180,tbl_明細[[#This Row],[案件番号]],$F$3:F180,tbl_明細[[#This Row],[仕入先]])</f>
        <v/>
      </c>
      <c r="D180" s="77">
        <f>_xlfn.XLOOKUP(tbl_明細[[#This Row],[案件番号]],tbl_採番[案件番号],tbl_採番[顧客],"",0,1)</f>
        <v/>
      </c>
      <c r="E180" s="209" t="n"/>
      <c r="F180" s="118">
        <f>IF(ISBLANK(tbl_明細[[#This Row],[仕入先（M)]]),_xlfn.XLOOKUP(tbl_明細[[#This Row],[商品ID]],商品マスタ[商品連番],商品マスタ[仕入先],"",0,1),tbl_明細[[#This Row],[仕入先（M)]])</f>
        <v/>
      </c>
      <c r="G180" s="112">
        <f>IF(ISBLANK(tbl_明細[[#This Row],[商品名（M)]]),_xlfn.XLOOKUP(tbl_明細[[#This Row],[商品ID]],商品マスタ[商品連番],商品マスタ[商品名],"",0,),tbl_明細[[#This Row],[商品名（M)]])</f>
        <v/>
      </c>
      <c r="H180" s="80">
        <f>IF(ISBLANK(tbl_明細[[#This Row],[仕入価格（M)]]),_xlfn.XLOOKUP(tbl_明細[[#This Row],[商品ID]],商品マスタ[商品連番],商品マスタ[仕入
単価],"",0,1),tbl_明細[[#This Row],[仕入価格（M)]])</f>
        <v/>
      </c>
      <c r="I180" s="80">
        <f>_xlfn.XLOOKUP(tbl_明細[[#This Row],[商品ID]],商品マスタ[商品連番],商品マスタ[国内定価
（15％）],"",0,1)</f>
        <v/>
      </c>
      <c r="J180" s="85" t="n"/>
      <c r="K180" s="209" t="n"/>
      <c r="L180" s="77">
        <f>_xlfn.XLOOKUP(tbl_明細[[#This Row],[商品ID]],商品マスタ[商品連番],商品マスタ[単位],"",0,1)</f>
        <v/>
      </c>
      <c r="M180" s="249">
        <f>1-tbl_明細[[#This Row],[仕入価格]]/tbl_明細[[#This Row],[販売価格（売値）]]</f>
        <v/>
      </c>
      <c r="N180" s="189">
        <f>_xlfn.XLOOKUP(tbl_明細[[#This Row],[商品ID]],商品マスタ[商品連番],商品マスタ[税率],"",0,1)</f>
        <v/>
      </c>
      <c r="O180" s="120" t="n"/>
      <c r="P180" s="209" t="n"/>
      <c r="Q180" s="85" t="n"/>
      <c r="R180" s="85" t="n"/>
      <c r="S180" s="209" t="n"/>
      <c r="T180" s="209" t="n"/>
      <c r="U180" s="79" t="n"/>
      <c r="V180" s="79" t="n"/>
      <c r="W180" s="113" t="n"/>
      <c r="X180" s="306">
        <f>tbl_明細[[#This Row],[仕入価格]]*tbl_明細[[#This Row],[数量]]+tbl_明細[[#This Row],[仕入価格（M)]]*tbl_明細[[#This Row],[数量（M)]]</f>
        <v/>
      </c>
      <c r="Y180" s="306">
        <f>tbl_明細[[#This Row],[販売価格（売値）]]*tbl_明細[[#This Row],[数量]]+tbl_明細[[#This Row],[販売価格（M)]]*tbl_明細[[#This Row],[数量（M)]]</f>
        <v/>
      </c>
      <c r="Z180" s="307">
        <f>_xlfn.XLOOKUP(tbl_明細[[#This Row],[案件番号]],tbl_案件追跡[案件番号],tbl_案件追跡[受注],"",0,1)</f>
        <v/>
      </c>
      <c r="AA180" s="228">
        <f>tbl_明細[[#This Row],[販売価格（売値）]]+tbl_明細[[#This Row],[販売価格（M)]]</f>
        <v/>
      </c>
      <c r="AB180" s="261">
        <f>tbl_明細[[#This Row],[販売価格（売値）]]*1.08+tbl_明細[[#This Row],[販売価格（M)]]*1.08</f>
        <v/>
      </c>
    </row>
    <row r="181">
      <c r="A181" s="212" t="n"/>
      <c r="B181" s="77">
        <f>IF(ISBLANK(tbl_明細[[#This Row],[案件番号]]),"",COUNTIFS($A$3:A181,tbl_明細[[#This Row],[案件番号]],$AA$3:AA181,"&gt;0"))</f>
        <v/>
      </c>
      <c r="C181" s="209">
        <f>COUNTIFS($A$3:A181,tbl_明細[[#This Row],[案件番号]],$F$3:F181,tbl_明細[[#This Row],[仕入先]])</f>
        <v/>
      </c>
      <c r="D181" s="77">
        <f>_xlfn.XLOOKUP(tbl_明細[[#This Row],[案件番号]],tbl_採番[案件番号],tbl_採番[顧客],"",0,1)</f>
        <v/>
      </c>
      <c r="E181" s="209" t="n"/>
      <c r="F181" s="118">
        <f>IF(ISBLANK(tbl_明細[[#This Row],[仕入先（M)]]),_xlfn.XLOOKUP(tbl_明細[[#This Row],[商品ID]],商品マスタ[商品連番],商品マスタ[仕入先],"",0,1),tbl_明細[[#This Row],[仕入先（M)]])</f>
        <v/>
      </c>
      <c r="G181" s="112">
        <f>IF(ISBLANK(tbl_明細[[#This Row],[商品名（M)]]),_xlfn.XLOOKUP(tbl_明細[[#This Row],[商品ID]],商品マスタ[商品連番],商品マスタ[商品名],"",0,),tbl_明細[[#This Row],[商品名（M)]])</f>
        <v/>
      </c>
      <c r="H181" s="80">
        <f>IF(ISBLANK(tbl_明細[[#This Row],[仕入価格（M)]]),_xlfn.XLOOKUP(tbl_明細[[#This Row],[商品ID]],商品マスタ[商品連番],商品マスタ[仕入
単価],"",0,1),tbl_明細[[#This Row],[仕入価格（M)]])</f>
        <v/>
      </c>
      <c r="I181" s="80">
        <f>_xlfn.XLOOKUP(tbl_明細[[#This Row],[商品ID]],商品マスタ[商品連番],商品マスタ[国内定価
（15％）],"",0,1)</f>
        <v/>
      </c>
      <c r="J181" s="85" t="n"/>
      <c r="K181" s="209" t="n"/>
      <c r="L181" s="77">
        <f>_xlfn.XLOOKUP(tbl_明細[[#This Row],[商品ID]],商品マスタ[商品連番],商品マスタ[単位],"",0,1)</f>
        <v/>
      </c>
      <c r="M181" s="249">
        <f>1-tbl_明細[[#This Row],[仕入価格]]/tbl_明細[[#This Row],[販売価格（売値）]]</f>
        <v/>
      </c>
      <c r="N181" s="189">
        <f>_xlfn.XLOOKUP(tbl_明細[[#This Row],[商品ID]],商品マスタ[商品連番],商品マスタ[税率],"",0,1)</f>
        <v/>
      </c>
      <c r="O181" s="120" t="n"/>
      <c r="P181" s="209" t="n"/>
      <c r="Q181" s="85" t="n"/>
      <c r="R181" s="85" t="n"/>
      <c r="S181" s="209" t="n"/>
      <c r="T181" s="209" t="n"/>
      <c r="U181" s="79" t="n"/>
      <c r="V181" s="79" t="n"/>
      <c r="W181" s="113" t="n"/>
      <c r="X181" s="306">
        <f>tbl_明細[[#This Row],[仕入価格]]*tbl_明細[[#This Row],[数量]]+tbl_明細[[#This Row],[仕入価格（M)]]*tbl_明細[[#This Row],[数量（M)]]</f>
        <v/>
      </c>
      <c r="Y181" s="306">
        <f>tbl_明細[[#This Row],[販売価格（売値）]]*tbl_明細[[#This Row],[数量]]+tbl_明細[[#This Row],[販売価格（M)]]*tbl_明細[[#This Row],[数量（M)]]</f>
        <v/>
      </c>
      <c r="Z181" s="307">
        <f>_xlfn.XLOOKUP(tbl_明細[[#This Row],[案件番号]],tbl_案件追跡[案件番号],tbl_案件追跡[受注],"",0,1)</f>
        <v/>
      </c>
      <c r="AA181" s="228">
        <f>tbl_明細[[#This Row],[販売価格（売値）]]+tbl_明細[[#This Row],[販売価格（M)]]</f>
        <v/>
      </c>
      <c r="AB181" s="261">
        <f>tbl_明細[[#This Row],[販売価格（売値）]]*1.08+tbl_明細[[#This Row],[販売価格（M)]]*1.08</f>
        <v/>
      </c>
    </row>
    <row r="182">
      <c r="A182" s="212" t="n"/>
      <c r="B182" s="77">
        <f>IF(ISBLANK(tbl_明細[[#This Row],[案件番号]]),"",COUNTIFS($A$3:A182,tbl_明細[[#This Row],[案件番号]],$AA$3:AA182,"&gt;0"))</f>
        <v/>
      </c>
      <c r="C182" s="209">
        <f>COUNTIFS($A$3:A182,tbl_明細[[#This Row],[案件番号]],$F$3:F182,tbl_明細[[#This Row],[仕入先]])</f>
        <v/>
      </c>
      <c r="D182" s="77">
        <f>_xlfn.XLOOKUP(tbl_明細[[#This Row],[案件番号]],tbl_採番[案件番号],tbl_採番[顧客],"",0,1)</f>
        <v/>
      </c>
      <c r="E182" s="209" t="n"/>
      <c r="F182" s="118">
        <f>IF(ISBLANK(tbl_明細[[#This Row],[仕入先（M)]]),_xlfn.XLOOKUP(tbl_明細[[#This Row],[商品ID]],商品マスタ[商品連番],商品マスタ[仕入先],"",0,1),tbl_明細[[#This Row],[仕入先（M)]])</f>
        <v/>
      </c>
      <c r="G182" s="112">
        <f>IF(ISBLANK(tbl_明細[[#This Row],[商品名（M)]]),_xlfn.XLOOKUP(tbl_明細[[#This Row],[商品ID]],商品マスタ[商品連番],商品マスタ[商品名],"",0,),tbl_明細[[#This Row],[商品名（M)]])</f>
        <v/>
      </c>
      <c r="H182" s="80">
        <f>IF(ISBLANK(tbl_明細[[#This Row],[仕入価格（M)]]),_xlfn.XLOOKUP(tbl_明細[[#This Row],[商品ID]],商品マスタ[商品連番],商品マスタ[仕入
単価],"",0,1),tbl_明細[[#This Row],[仕入価格（M)]])</f>
        <v/>
      </c>
      <c r="I182" s="80">
        <f>_xlfn.XLOOKUP(tbl_明細[[#This Row],[商品ID]],商品マスタ[商品連番],商品マスタ[国内定価
（15％）],"",0,1)</f>
        <v/>
      </c>
      <c r="J182" s="85" t="n"/>
      <c r="K182" s="209" t="n"/>
      <c r="L182" s="77">
        <f>_xlfn.XLOOKUP(tbl_明細[[#This Row],[商品ID]],商品マスタ[商品連番],商品マスタ[単位],"",0,1)</f>
        <v/>
      </c>
      <c r="M182" s="249">
        <f>1-tbl_明細[[#This Row],[仕入価格]]/tbl_明細[[#This Row],[販売価格（売値）]]</f>
        <v/>
      </c>
      <c r="N182" s="189">
        <f>_xlfn.XLOOKUP(tbl_明細[[#This Row],[商品ID]],商品マスタ[商品連番],商品マスタ[税率],"",0,1)</f>
        <v/>
      </c>
      <c r="O182" s="120" t="n"/>
      <c r="P182" s="209" t="n"/>
      <c r="Q182" s="85" t="n"/>
      <c r="R182" s="85" t="n"/>
      <c r="S182" s="209" t="n"/>
      <c r="T182" s="209" t="n"/>
      <c r="U182" s="79" t="n"/>
      <c r="V182" s="79" t="n"/>
      <c r="W182" s="113" t="n"/>
      <c r="X182" s="306">
        <f>tbl_明細[[#This Row],[仕入価格]]*tbl_明細[[#This Row],[数量]]+tbl_明細[[#This Row],[仕入価格（M)]]*tbl_明細[[#This Row],[数量（M)]]</f>
        <v/>
      </c>
      <c r="Y182" s="306">
        <f>tbl_明細[[#This Row],[販売価格（売値）]]*tbl_明細[[#This Row],[数量]]+tbl_明細[[#This Row],[販売価格（M)]]*tbl_明細[[#This Row],[数量（M)]]</f>
        <v/>
      </c>
      <c r="Z182" s="307">
        <f>_xlfn.XLOOKUP(tbl_明細[[#This Row],[案件番号]],tbl_案件追跡[案件番号],tbl_案件追跡[受注],"",0,1)</f>
        <v/>
      </c>
      <c r="AA182" s="228">
        <f>tbl_明細[[#This Row],[販売価格（売値）]]+tbl_明細[[#This Row],[販売価格（M)]]</f>
        <v/>
      </c>
      <c r="AB182" s="261">
        <f>tbl_明細[[#This Row],[販売価格（売値）]]*1.08+tbl_明細[[#This Row],[販売価格（M)]]*1.08</f>
        <v/>
      </c>
    </row>
    <row r="183">
      <c r="A183" s="212" t="n"/>
      <c r="B183" s="77">
        <f>IF(ISBLANK(tbl_明細[[#This Row],[案件番号]]),"",COUNTIFS($A$3:A183,tbl_明細[[#This Row],[案件番号]],$AA$3:AA183,"&gt;0"))</f>
        <v/>
      </c>
      <c r="C183" s="209">
        <f>COUNTIFS($A$3:A183,tbl_明細[[#This Row],[案件番号]],$F$3:F183,tbl_明細[[#This Row],[仕入先]])</f>
        <v/>
      </c>
      <c r="D183" s="77">
        <f>_xlfn.XLOOKUP(tbl_明細[[#This Row],[案件番号]],tbl_採番[案件番号],tbl_採番[顧客],"",0,1)</f>
        <v/>
      </c>
      <c r="E183" s="209" t="n"/>
      <c r="F183" s="118">
        <f>IF(ISBLANK(tbl_明細[[#This Row],[仕入先（M)]]),_xlfn.XLOOKUP(tbl_明細[[#This Row],[商品ID]],商品マスタ[商品連番],商品マスタ[仕入先],"",0,1),tbl_明細[[#This Row],[仕入先（M)]])</f>
        <v/>
      </c>
      <c r="G183" s="112">
        <f>IF(ISBLANK(tbl_明細[[#This Row],[商品名（M)]]),_xlfn.XLOOKUP(tbl_明細[[#This Row],[商品ID]],商品マスタ[商品連番],商品マスタ[商品名],"",0,),tbl_明細[[#This Row],[商品名（M)]])</f>
        <v/>
      </c>
      <c r="H183" s="80">
        <f>IF(ISBLANK(tbl_明細[[#This Row],[仕入価格（M)]]),_xlfn.XLOOKUP(tbl_明細[[#This Row],[商品ID]],商品マスタ[商品連番],商品マスタ[仕入
単価],"",0,1),tbl_明細[[#This Row],[仕入価格（M)]])</f>
        <v/>
      </c>
      <c r="I183" s="80">
        <f>_xlfn.XLOOKUP(tbl_明細[[#This Row],[商品ID]],商品マスタ[商品連番],商品マスタ[国内定価
（15％）],"",0,1)</f>
        <v/>
      </c>
      <c r="J183" s="85" t="n"/>
      <c r="K183" s="209" t="n"/>
      <c r="L183" s="77">
        <f>_xlfn.XLOOKUP(tbl_明細[[#This Row],[商品ID]],商品マスタ[商品連番],商品マスタ[単位],"",0,1)</f>
        <v/>
      </c>
      <c r="M183" s="249">
        <f>1-tbl_明細[[#This Row],[仕入価格]]/tbl_明細[[#This Row],[販売価格（売値）]]</f>
        <v/>
      </c>
      <c r="N183" s="189">
        <f>_xlfn.XLOOKUP(tbl_明細[[#This Row],[商品ID]],商品マスタ[商品連番],商品マスタ[税率],"",0,1)</f>
        <v/>
      </c>
      <c r="O183" s="120" t="n"/>
      <c r="P183" s="209" t="n"/>
      <c r="Q183" s="85" t="n"/>
      <c r="R183" s="85" t="n"/>
      <c r="S183" s="209" t="n"/>
      <c r="T183" s="209" t="n"/>
      <c r="U183" s="79" t="n"/>
      <c r="V183" s="79" t="n"/>
      <c r="W183" s="113" t="n"/>
      <c r="X183" s="306">
        <f>tbl_明細[[#This Row],[仕入価格]]*tbl_明細[[#This Row],[数量]]+tbl_明細[[#This Row],[仕入価格（M)]]*tbl_明細[[#This Row],[数量（M)]]</f>
        <v/>
      </c>
      <c r="Y183" s="306">
        <f>tbl_明細[[#This Row],[販売価格（売値）]]*tbl_明細[[#This Row],[数量]]+tbl_明細[[#This Row],[販売価格（M)]]*tbl_明細[[#This Row],[数量（M)]]</f>
        <v/>
      </c>
      <c r="Z183" s="307">
        <f>_xlfn.XLOOKUP(tbl_明細[[#This Row],[案件番号]],tbl_案件追跡[案件番号],tbl_案件追跡[受注],"",0,1)</f>
        <v/>
      </c>
      <c r="AA183" s="228">
        <f>tbl_明細[[#This Row],[販売価格（売値）]]+tbl_明細[[#This Row],[販売価格（M)]]</f>
        <v/>
      </c>
      <c r="AB183" s="261">
        <f>tbl_明細[[#This Row],[販売価格（売値）]]*1.08+tbl_明細[[#This Row],[販売価格（M)]]*1.08</f>
        <v/>
      </c>
    </row>
    <row r="184">
      <c r="A184" s="212" t="n"/>
      <c r="B184" s="77">
        <f>IF(ISBLANK(tbl_明細[[#This Row],[案件番号]]),"",COUNTIFS($A$3:A184,tbl_明細[[#This Row],[案件番号]],$AA$3:AA184,"&gt;0"))</f>
        <v/>
      </c>
      <c r="C184" s="209">
        <f>COUNTIFS($A$3:A184,tbl_明細[[#This Row],[案件番号]],$F$3:F184,tbl_明細[[#This Row],[仕入先]])</f>
        <v/>
      </c>
      <c r="D184" s="77">
        <f>_xlfn.XLOOKUP(tbl_明細[[#This Row],[案件番号]],tbl_採番[案件番号],tbl_採番[顧客],"",0,1)</f>
        <v/>
      </c>
      <c r="E184" s="209" t="n"/>
      <c r="F184" s="118">
        <f>IF(ISBLANK(tbl_明細[[#This Row],[仕入先（M)]]),_xlfn.XLOOKUP(tbl_明細[[#This Row],[商品ID]],商品マスタ[商品連番],商品マスタ[仕入先],"",0,1),tbl_明細[[#This Row],[仕入先（M)]])</f>
        <v/>
      </c>
      <c r="G184" s="112">
        <f>IF(ISBLANK(tbl_明細[[#This Row],[商品名（M)]]),_xlfn.XLOOKUP(tbl_明細[[#This Row],[商品ID]],商品マスタ[商品連番],商品マスタ[商品名],"",0,),tbl_明細[[#This Row],[商品名（M)]])</f>
        <v/>
      </c>
      <c r="H184" s="80">
        <f>IF(ISBLANK(tbl_明細[[#This Row],[仕入価格（M)]]),_xlfn.XLOOKUP(tbl_明細[[#This Row],[商品ID]],商品マスタ[商品連番],商品マスタ[仕入
単価],"",0,1),tbl_明細[[#This Row],[仕入価格（M)]])</f>
        <v/>
      </c>
      <c r="I184" s="80">
        <f>_xlfn.XLOOKUP(tbl_明細[[#This Row],[商品ID]],商品マスタ[商品連番],商品マスタ[国内定価
（15％）],"",0,1)</f>
        <v/>
      </c>
      <c r="J184" s="85" t="n"/>
      <c r="K184" s="209" t="n"/>
      <c r="L184" s="77">
        <f>_xlfn.XLOOKUP(tbl_明細[[#This Row],[商品ID]],商品マスタ[商品連番],商品マスタ[単位],"",0,1)</f>
        <v/>
      </c>
      <c r="M184" s="249">
        <f>1-tbl_明細[[#This Row],[仕入価格]]/tbl_明細[[#This Row],[販売価格（売値）]]</f>
        <v/>
      </c>
      <c r="N184" s="189">
        <f>_xlfn.XLOOKUP(tbl_明細[[#This Row],[商品ID]],商品マスタ[商品連番],商品マスタ[税率],"",0,1)</f>
        <v/>
      </c>
      <c r="O184" s="120" t="n"/>
      <c r="P184" s="209" t="n"/>
      <c r="Q184" s="85" t="n"/>
      <c r="R184" s="85" t="n"/>
      <c r="S184" s="209" t="n"/>
      <c r="T184" s="209" t="n"/>
      <c r="U184" s="79" t="n"/>
      <c r="V184" s="79" t="n"/>
      <c r="W184" s="113" t="n"/>
      <c r="X184" s="306">
        <f>tbl_明細[[#This Row],[仕入価格]]*tbl_明細[[#This Row],[数量]]+tbl_明細[[#This Row],[仕入価格（M)]]*tbl_明細[[#This Row],[数量（M)]]</f>
        <v/>
      </c>
      <c r="Y184" s="306">
        <f>tbl_明細[[#This Row],[販売価格（売値）]]*tbl_明細[[#This Row],[数量]]+tbl_明細[[#This Row],[販売価格（M)]]*tbl_明細[[#This Row],[数量（M)]]</f>
        <v/>
      </c>
      <c r="Z184" s="307">
        <f>_xlfn.XLOOKUP(tbl_明細[[#This Row],[案件番号]],tbl_案件追跡[案件番号],tbl_案件追跡[受注],"",0,1)</f>
        <v/>
      </c>
      <c r="AA184" s="228">
        <f>tbl_明細[[#This Row],[販売価格（売値）]]+tbl_明細[[#This Row],[販売価格（M)]]</f>
        <v/>
      </c>
      <c r="AB184" s="261">
        <f>tbl_明細[[#This Row],[販売価格（売値）]]*1.08+tbl_明細[[#This Row],[販売価格（M)]]*1.08</f>
        <v/>
      </c>
    </row>
    <row r="185">
      <c r="A185" s="212" t="n"/>
      <c r="B185" s="77">
        <f>IF(ISBLANK(tbl_明細[[#This Row],[案件番号]]),"",COUNTIFS($A$3:A185,tbl_明細[[#This Row],[案件番号]],$AA$3:AA185,"&gt;0"))</f>
        <v/>
      </c>
      <c r="C185" s="209">
        <f>COUNTIFS($A$3:A185,tbl_明細[[#This Row],[案件番号]],$F$3:F185,tbl_明細[[#This Row],[仕入先]])</f>
        <v/>
      </c>
      <c r="D185" s="77">
        <f>_xlfn.XLOOKUP(tbl_明細[[#This Row],[案件番号]],tbl_採番[案件番号],tbl_採番[顧客],"",0,1)</f>
        <v/>
      </c>
      <c r="E185" s="209" t="n"/>
      <c r="F185" s="118">
        <f>IF(ISBLANK(tbl_明細[[#This Row],[仕入先（M)]]),_xlfn.XLOOKUP(tbl_明細[[#This Row],[商品ID]],商品マスタ[商品連番],商品マスタ[仕入先],"",0,1),tbl_明細[[#This Row],[仕入先（M)]])</f>
        <v/>
      </c>
      <c r="G185" s="112">
        <f>IF(ISBLANK(tbl_明細[[#This Row],[商品名（M)]]),_xlfn.XLOOKUP(tbl_明細[[#This Row],[商品ID]],商品マスタ[商品連番],商品マスタ[商品名],"",0,),tbl_明細[[#This Row],[商品名（M)]])</f>
        <v/>
      </c>
      <c r="H185" s="80">
        <f>IF(ISBLANK(tbl_明細[[#This Row],[仕入価格（M)]]),_xlfn.XLOOKUP(tbl_明細[[#This Row],[商品ID]],商品マスタ[商品連番],商品マスタ[仕入
単価],"",0,1),tbl_明細[[#This Row],[仕入価格（M)]])</f>
        <v/>
      </c>
      <c r="I185" s="80">
        <f>_xlfn.XLOOKUP(tbl_明細[[#This Row],[商品ID]],商品マスタ[商品連番],商品マスタ[国内定価
（15％）],"",0,1)</f>
        <v/>
      </c>
      <c r="J185" s="85" t="n"/>
      <c r="K185" s="209" t="n"/>
      <c r="L185" s="77">
        <f>_xlfn.XLOOKUP(tbl_明細[[#This Row],[商品ID]],商品マスタ[商品連番],商品マスタ[単位],"",0,1)</f>
        <v/>
      </c>
      <c r="M185" s="249">
        <f>1-tbl_明細[[#This Row],[仕入価格]]/tbl_明細[[#This Row],[販売価格（売値）]]</f>
        <v/>
      </c>
      <c r="N185" s="189">
        <f>_xlfn.XLOOKUP(tbl_明細[[#This Row],[商品ID]],商品マスタ[商品連番],商品マスタ[税率],"",0,1)</f>
        <v/>
      </c>
      <c r="O185" s="120" t="n"/>
      <c r="P185" s="209" t="n"/>
      <c r="Q185" s="85" t="n"/>
      <c r="R185" s="85" t="n"/>
      <c r="S185" s="209" t="n"/>
      <c r="T185" s="209" t="n"/>
      <c r="U185" s="79" t="n"/>
      <c r="V185" s="79" t="n"/>
      <c r="W185" s="113" t="n"/>
      <c r="X185" s="306">
        <f>tbl_明細[[#This Row],[仕入価格]]*tbl_明細[[#This Row],[数量]]+tbl_明細[[#This Row],[仕入価格（M)]]*tbl_明細[[#This Row],[数量（M)]]</f>
        <v/>
      </c>
      <c r="Y185" s="306">
        <f>tbl_明細[[#This Row],[販売価格（売値）]]*tbl_明細[[#This Row],[数量]]+tbl_明細[[#This Row],[販売価格（M)]]*tbl_明細[[#This Row],[数量（M)]]</f>
        <v/>
      </c>
      <c r="Z185" s="307">
        <f>_xlfn.XLOOKUP(tbl_明細[[#This Row],[案件番号]],tbl_案件追跡[案件番号],tbl_案件追跡[受注],"",0,1)</f>
        <v/>
      </c>
      <c r="AA185" s="228">
        <f>tbl_明細[[#This Row],[販売価格（売値）]]+tbl_明細[[#This Row],[販売価格（M)]]</f>
        <v/>
      </c>
      <c r="AB185" s="261">
        <f>tbl_明細[[#This Row],[販売価格（売値）]]*1.08+tbl_明細[[#This Row],[販売価格（M)]]*1.08</f>
        <v/>
      </c>
    </row>
    <row r="186">
      <c r="A186" s="212" t="n"/>
      <c r="B186" s="77">
        <f>IF(ISBLANK(tbl_明細[[#This Row],[案件番号]]),"",COUNTIFS($A$3:A186,tbl_明細[[#This Row],[案件番号]],$AA$3:AA186,"&gt;0"))</f>
        <v/>
      </c>
      <c r="C186" s="209">
        <f>COUNTIFS($A$3:A186,tbl_明細[[#This Row],[案件番号]],$F$3:F186,tbl_明細[[#This Row],[仕入先]])</f>
        <v/>
      </c>
      <c r="D186" s="77">
        <f>_xlfn.XLOOKUP(tbl_明細[[#This Row],[案件番号]],tbl_採番[案件番号],tbl_採番[顧客],"",0,1)</f>
        <v/>
      </c>
      <c r="E186" s="209" t="n"/>
      <c r="F186" s="118">
        <f>IF(ISBLANK(tbl_明細[[#This Row],[仕入先（M)]]),_xlfn.XLOOKUP(tbl_明細[[#This Row],[商品ID]],商品マスタ[商品連番],商品マスタ[仕入先],"",0,1),tbl_明細[[#This Row],[仕入先（M)]])</f>
        <v/>
      </c>
      <c r="G186" s="112">
        <f>IF(ISBLANK(tbl_明細[[#This Row],[商品名（M)]]),_xlfn.XLOOKUP(tbl_明細[[#This Row],[商品ID]],商品マスタ[商品連番],商品マスタ[商品名],"",0,),tbl_明細[[#This Row],[商品名（M)]])</f>
        <v/>
      </c>
      <c r="H186" s="80">
        <f>IF(ISBLANK(tbl_明細[[#This Row],[仕入価格（M)]]),_xlfn.XLOOKUP(tbl_明細[[#This Row],[商品ID]],商品マスタ[商品連番],商品マスタ[仕入
単価],"",0,1),tbl_明細[[#This Row],[仕入価格（M)]])</f>
        <v/>
      </c>
      <c r="I186" s="80">
        <f>_xlfn.XLOOKUP(tbl_明細[[#This Row],[商品ID]],商品マスタ[商品連番],商品マスタ[国内定価
（15％）],"",0,1)</f>
        <v/>
      </c>
      <c r="J186" s="85" t="n"/>
      <c r="K186" s="209" t="n"/>
      <c r="L186" s="77">
        <f>_xlfn.XLOOKUP(tbl_明細[[#This Row],[商品ID]],商品マスタ[商品連番],商品マスタ[単位],"",0,1)</f>
        <v/>
      </c>
      <c r="M186" s="249">
        <f>1-tbl_明細[[#This Row],[仕入価格]]/tbl_明細[[#This Row],[販売価格（売値）]]</f>
        <v/>
      </c>
      <c r="N186" s="189">
        <f>_xlfn.XLOOKUP(tbl_明細[[#This Row],[商品ID]],商品マスタ[商品連番],商品マスタ[税率],"",0,1)</f>
        <v/>
      </c>
      <c r="O186" s="120" t="n"/>
      <c r="P186" s="209" t="n"/>
      <c r="Q186" s="85" t="n"/>
      <c r="R186" s="85" t="n"/>
      <c r="S186" s="209" t="n"/>
      <c r="T186" s="209" t="n"/>
      <c r="U186" s="79" t="n"/>
      <c r="V186" s="79" t="n"/>
      <c r="W186" s="113" t="n"/>
      <c r="X186" s="306">
        <f>tbl_明細[[#This Row],[仕入価格]]*tbl_明細[[#This Row],[数量]]+tbl_明細[[#This Row],[仕入価格（M)]]*tbl_明細[[#This Row],[数量（M)]]</f>
        <v/>
      </c>
      <c r="Y186" s="306">
        <f>tbl_明細[[#This Row],[販売価格（売値）]]*tbl_明細[[#This Row],[数量]]+tbl_明細[[#This Row],[販売価格（M)]]*tbl_明細[[#This Row],[数量（M)]]</f>
        <v/>
      </c>
      <c r="Z186" s="307">
        <f>_xlfn.XLOOKUP(tbl_明細[[#This Row],[案件番号]],tbl_案件追跡[案件番号],tbl_案件追跡[受注],"",0,1)</f>
        <v/>
      </c>
      <c r="AA186" s="228">
        <f>tbl_明細[[#This Row],[販売価格（売値）]]+tbl_明細[[#This Row],[販売価格（M)]]</f>
        <v/>
      </c>
      <c r="AB186" s="261">
        <f>tbl_明細[[#This Row],[販売価格（売値）]]*1.08+tbl_明細[[#This Row],[販売価格（M)]]*1.08</f>
        <v/>
      </c>
    </row>
    <row r="187">
      <c r="A187" s="212" t="n"/>
      <c r="B187" s="77">
        <f>IF(ISBLANK(tbl_明細[[#This Row],[案件番号]]),"",COUNTIFS($A$3:A187,tbl_明細[[#This Row],[案件番号]],$AA$3:AA187,"&gt;0"))</f>
        <v/>
      </c>
      <c r="C187" s="209">
        <f>COUNTIFS($A$3:A187,tbl_明細[[#This Row],[案件番号]],$F$3:F187,tbl_明細[[#This Row],[仕入先]])</f>
        <v/>
      </c>
      <c r="D187" s="77">
        <f>_xlfn.XLOOKUP(tbl_明細[[#This Row],[案件番号]],tbl_採番[案件番号],tbl_採番[顧客],"",0,1)</f>
        <v/>
      </c>
      <c r="E187" s="209" t="n"/>
      <c r="F187" s="118">
        <f>IF(ISBLANK(tbl_明細[[#This Row],[仕入先（M)]]),_xlfn.XLOOKUP(tbl_明細[[#This Row],[商品ID]],商品マスタ[商品連番],商品マスタ[仕入先],"",0,1),tbl_明細[[#This Row],[仕入先（M)]])</f>
        <v/>
      </c>
      <c r="G187" s="112">
        <f>IF(ISBLANK(tbl_明細[[#This Row],[商品名（M)]]),_xlfn.XLOOKUP(tbl_明細[[#This Row],[商品ID]],商品マスタ[商品連番],商品マスタ[商品名],"",0,),tbl_明細[[#This Row],[商品名（M)]])</f>
        <v/>
      </c>
      <c r="H187" s="80">
        <f>IF(ISBLANK(tbl_明細[[#This Row],[仕入価格（M)]]),_xlfn.XLOOKUP(tbl_明細[[#This Row],[商品ID]],商品マスタ[商品連番],商品マスタ[仕入
単価],"",0,1),tbl_明細[[#This Row],[仕入価格（M)]])</f>
        <v/>
      </c>
      <c r="I187" s="80">
        <f>_xlfn.XLOOKUP(tbl_明細[[#This Row],[商品ID]],商品マスタ[商品連番],商品マスタ[国内定価
（15％）],"",0,1)</f>
        <v/>
      </c>
      <c r="J187" s="85" t="n"/>
      <c r="K187" s="209" t="n"/>
      <c r="L187" s="77">
        <f>_xlfn.XLOOKUP(tbl_明細[[#This Row],[商品ID]],商品マスタ[商品連番],商品マスタ[単位],"",0,1)</f>
        <v/>
      </c>
      <c r="M187" s="249">
        <f>1-tbl_明細[[#This Row],[仕入価格]]/tbl_明細[[#This Row],[販売価格（売値）]]</f>
        <v/>
      </c>
      <c r="N187" s="189">
        <f>_xlfn.XLOOKUP(tbl_明細[[#This Row],[商品ID]],商品マスタ[商品連番],商品マスタ[税率],"",0,1)</f>
        <v/>
      </c>
      <c r="O187" s="120" t="n"/>
      <c r="P187" s="209" t="n"/>
      <c r="Q187" s="85" t="n"/>
      <c r="R187" s="85" t="n"/>
      <c r="S187" s="209" t="n"/>
      <c r="T187" s="209" t="n"/>
      <c r="U187" s="79" t="n"/>
      <c r="V187" s="79" t="n"/>
      <c r="W187" s="113" t="n"/>
      <c r="X187" s="306">
        <f>tbl_明細[[#This Row],[仕入価格]]*tbl_明細[[#This Row],[数量]]+tbl_明細[[#This Row],[仕入価格（M)]]*tbl_明細[[#This Row],[数量（M)]]</f>
        <v/>
      </c>
      <c r="Y187" s="306">
        <f>tbl_明細[[#This Row],[販売価格（売値）]]*tbl_明細[[#This Row],[数量]]+tbl_明細[[#This Row],[販売価格（M)]]*tbl_明細[[#This Row],[数量（M)]]</f>
        <v/>
      </c>
      <c r="Z187" s="307">
        <f>_xlfn.XLOOKUP(tbl_明細[[#This Row],[案件番号]],tbl_案件追跡[案件番号],tbl_案件追跡[受注],"",0,1)</f>
        <v/>
      </c>
      <c r="AA187" s="228">
        <f>tbl_明細[[#This Row],[販売価格（売値）]]+tbl_明細[[#This Row],[販売価格（M)]]</f>
        <v/>
      </c>
      <c r="AB187" s="261">
        <f>tbl_明細[[#This Row],[販売価格（売値）]]*1.08+tbl_明細[[#This Row],[販売価格（M)]]*1.08</f>
        <v/>
      </c>
    </row>
    <row r="188">
      <c r="A188" s="212" t="n"/>
      <c r="B188" s="77">
        <f>IF(ISBLANK(tbl_明細[[#This Row],[案件番号]]),"",COUNTIFS($A$3:A188,tbl_明細[[#This Row],[案件番号]],$AA$3:AA188,"&gt;0"))</f>
        <v/>
      </c>
      <c r="C188" s="209">
        <f>COUNTIFS($A$3:A188,tbl_明細[[#This Row],[案件番号]],$F$3:F188,tbl_明細[[#This Row],[仕入先]])</f>
        <v/>
      </c>
      <c r="D188" s="77">
        <f>_xlfn.XLOOKUP(tbl_明細[[#This Row],[案件番号]],tbl_採番[案件番号],tbl_採番[顧客],"",0,1)</f>
        <v/>
      </c>
      <c r="E188" s="209" t="n"/>
      <c r="F188" s="118">
        <f>IF(ISBLANK(tbl_明細[[#This Row],[仕入先（M)]]),_xlfn.XLOOKUP(tbl_明細[[#This Row],[商品ID]],商品マスタ[商品連番],商品マスタ[仕入先],"",0,1),tbl_明細[[#This Row],[仕入先（M)]])</f>
        <v/>
      </c>
      <c r="G188" s="112">
        <f>IF(ISBLANK(tbl_明細[[#This Row],[商品名（M)]]),_xlfn.XLOOKUP(tbl_明細[[#This Row],[商品ID]],商品マスタ[商品連番],商品マスタ[商品名],"",0,),tbl_明細[[#This Row],[商品名（M)]])</f>
        <v/>
      </c>
      <c r="H188" s="80">
        <f>IF(ISBLANK(tbl_明細[[#This Row],[仕入価格（M)]]),_xlfn.XLOOKUP(tbl_明細[[#This Row],[商品ID]],商品マスタ[商品連番],商品マスタ[仕入
単価],"",0,1),tbl_明細[[#This Row],[仕入価格（M)]])</f>
        <v/>
      </c>
      <c r="I188" s="80">
        <f>_xlfn.XLOOKUP(tbl_明細[[#This Row],[商品ID]],商品マスタ[商品連番],商品マスタ[国内定価
（15％）],"",0,1)</f>
        <v/>
      </c>
      <c r="J188" s="85" t="n"/>
      <c r="K188" s="209" t="n"/>
      <c r="L188" s="77">
        <f>_xlfn.XLOOKUP(tbl_明細[[#This Row],[商品ID]],商品マスタ[商品連番],商品マスタ[単位],"",0,1)</f>
        <v/>
      </c>
      <c r="M188" s="249">
        <f>1-tbl_明細[[#This Row],[仕入価格]]/tbl_明細[[#This Row],[販売価格（売値）]]</f>
        <v/>
      </c>
      <c r="N188" s="189">
        <f>_xlfn.XLOOKUP(tbl_明細[[#This Row],[商品ID]],商品マスタ[商品連番],商品マスタ[税率],"",0,1)</f>
        <v/>
      </c>
      <c r="O188" s="120" t="n"/>
      <c r="P188" s="209" t="n"/>
      <c r="Q188" s="85" t="n"/>
      <c r="R188" s="85" t="n"/>
      <c r="S188" s="209" t="n"/>
      <c r="T188" s="209" t="n"/>
      <c r="U188" s="79" t="n"/>
      <c r="V188" s="79" t="n"/>
      <c r="W188" s="113" t="n"/>
      <c r="X188" s="306">
        <f>tbl_明細[[#This Row],[仕入価格]]*tbl_明細[[#This Row],[数量]]+tbl_明細[[#This Row],[仕入価格（M)]]*tbl_明細[[#This Row],[数量（M)]]</f>
        <v/>
      </c>
      <c r="Y188" s="306">
        <f>tbl_明細[[#This Row],[販売価格（売値）]]*tbl_明細[[#This Row],[数量]]+tbl_明細[[#This Row],[販売価格（M)]]*tbl_明細[[#This Row],[数量（M)]]</f>
        <v/>
      </c>
      <c r="Z188" s="307">
        <f>_xlfn.XLOOKUP(tbl_明細[[#This Row],[案件番号]],tbl_案件追跡[案件番号],tbl_案件追跡[受注],"",0,1)</f>
        <v/>
      </c>
      <c r="AA188" s="228">
        <f>tbl_明細[[#This Row],[販売価格（売値）]]+tbl_明細[[#This Row],[販売価格（M)]]</f>
        <v/>
      </c>
      <c r="AB188" s="261">
        <f>tbl_明細[[#This Row],[販売価格（売値）]]*1.08+tbl_明細[[#This Row],[販売価格（M)]]*1.08</f>
        <v/>
      </c>
    </row>
    <row r="189">
      <c r="A189" s="212" t="n"/>
      <c r="B189" s="77">
        <f>IF(ISBLANK(tbl_明細[[#This Row],[案件番号]]),"",COUNTIFS($A$3:A189,tbl_明細[[#This Row],[案件番号]],$AA$3:AA189,"&gt;0"))</f>
        <v/>
      </c>
      <c r="C189" s="209">
        <f>COUNTIFS($A$3:A189,tbl_明細[[#This Row],[案件番号]],$F$3:F189,tbl_明細[[#This Row],[仕入先]])</f>
        <v/>
      </c>
      <c r="D189" s="77">
        <f>_xlfn.XLOOKUP(tbl_明細[[#This Row],[案件番号]],tbl_採番[案件番号],tbl_採番[顧客],"",0,1)</f>
        <v/>
      </c>
      <c r="E189" s="209" t="n"/>
      <c r="F189" s="118">
        <f>IF(ISBLANK(tbl_明細[[#This Row],[仕入先（M)]]),_xlfn.XLOOKUP(tbl_明細[[#This Row],[商品ID]],商品マスタ[商品連番],商品マスタ[仕入先],"",0,1),tbl_明細[[#This Row],[仕入先（M)]])</f>
        <v/>
      </c>
      <c r="G189" s="112">
        <f>IF(ISBLANK(tbl_明細[[#This Row],[商品名（M)]]),_xlfn.XLOOKUP(tbl_明細[[#This Row],[商品ID]],商品マスタ[商品連番],商品マスタ[商品名],"",0,),tbl_明細[[#This Row],[商品名（M)]])</f>
        <v/>
      </c>
      <c r="H189" s="80">
        <f>IF(ISBLANK(tbl_明細[[#This Row],[仕入価格（M)]]),_xlfn.XLOOKUP(tbl_明細[[#This Row],[商品ID]],商品マスタ[商品連番],商品マスタ[仕入
単価],"",0,1),tbl_明細[[#This Row],[仕入価格（M)]])</f>
        <v/>
      </c>
      <c r="I189" s="80">
        <f>_xlfn.XLOOKUP(tbl_明細[[#This Row],[商品ID]],商品マスタ[商品連番],商品マスタ[国内定価
（15％）],"",0,1)</f>
        <v/>
      </c>
      <c r="J189" s="85" t="n"/>
      <c r="K189" s="209" t="n"/>
      <c r="L189" s="77">
        <f>_xlfn.XLOOKUP(tbl_明細[[#This Row],[商品ID]],商品マスタ[商品連番],商品マスタ[単位],"",0,1)</f>
        <v/>
      </c>
      <c r="M189" s="249">
        <f>1-tbl_明細[[#This Row],[仕入価格]]/tbl_明細[[#This Row],[販売価格（売値）]]</f>
        <v/>
      </c>
      <c r="N189" s="189">
        <f>_xlfn.XLOOKUP(tbl_明細[[#This Row],[商品ID]],商品マスタ[商品連番],商品マスタ[税率],"",0,1)</f>
        <v/>
      </c>
      <c r="O189" s="120" t="n"/>
      <c r="P189" s="209" t="n"/>
      <c r="Q189" s="85" t="n"/>
      <c r="R189" s="85" t="n"/>
      <c r="S189" s="209" t="n"/>
      <c r="T189" s="209" t="n"/>
      <c r="U189" s="79" t="n"/>
      <c r="V189" s="79" t="n"/>
      <c r="W189" s="113" t="n"/>
      <c r="X189" s="306">
        <f>tbl_明細[[#This Row],[仕入価格]]*tbl_明細[[#This Row],[数量]]+tbl_明細[[#This Row],[仕入価格（M)]]*tbl_明細[[#This Row],[数量（M)]]</f>
        <v/>
      </c>
      <c r="Y189" s="306">
        <f>tbl_明細[[#This Row],[販売価格（売値）]]*tbl_明細[[#This Row],[数量]]+tbl_明細[[#This Row],[販売価格（M)]]*tbl_明細[[#This Row],[数量（M)]]</f>
        <v/>
      </c>
      <c r="Z189" s="307">
        <f>_xlfn.XLOOKUP(tbl_明細[[#This Row],[案件番号]],tbl_案件追跡[案件番号],tbl_案件追跡[受注],"",0,1)</f>
        <v/>
      </c>
      <c r="AA189" s="228">
        <f>tbl_明細[[#This Row],[販売価格（売値）]]+tbl_明細[[#This Row],[販売価格（M)]]</f>
        <v/>
      </c>
      <c r="AB189" s="261">
        <f>tbl_明細[[#This Row],[販売価格（売値）]]*1.08+tbl_明細[[#This Row],[販売価格（M)]]*1.08</f>
        <v/>
      </c>
    </row>
    <row r="190">
      <c r="A190" s="212" t="n"/>
      <c r="B190" s="77">
        <f>IF(ISBLANK(tbl_明細[[#This Row],[案件番号]]),"",COUNTIFS($A$3:A190,tbl_明細[[#This Row],[案件番号]],$AA$3:AA190,"&gt;0"))</f>
        <v/>
      </c>
      <c r="C190" s="209">
        <f>COUNTIFS($A$3:A190,tbl_明細[[#This Row],[案件番号]],$F$3:F190,tbl_明細[[#This Row],[仕入先]])</f>
        <v/>
      </c>
      <c r="D190" s="77">
        <f>_xlfn.XLOOKUP(tbl_明細[[#This Row],[案件番号]],tbl_採番[案件番号],tbl_採番[顧客],"",0,1)</f>
        <v/>
      </c>
      <c r="E190" s="209" t="n"/>
      <c r="F190" s="118">
        <f>IF(ISBLANK(tbl_明細[[#This Row],[仕入先（M)]]),_xlfn.XLOOKUP(tbl_明細[[#This Row],[商品ID]],商品マスタ[商品連番],商品マスタ[仕入先],"",0,1),tbl_明細[[#This Row],[仕入先（M)]])</f>
        <v/>
      </c>
      <c r="G190" s="112">
        <f>IF(ISBLANK(tbl_明細[[#This Row],[商品名（M)]]),_xlfn.XLOOKUP(tbl_明細[[#This Row],[商品ID]],商品マスタ[商品連番],商品マスタ[商品名],"",0,),tbl_明細[[#This Row],[商品名（M)]])</f>
        <v/>
      </c>
      <c r="H190" s="80">
        <f>IF(ISBLANK(tbl_明細[[#This Row],[仕入価格（M)]]),_xlfn.XLOOKUP(tbl_明細[[#This Row],[商品ID]],商品マスタ[商品連番],商品マスタ[仕入
単価],"",0,1),tbl_明細[[#This Row],[仕入価格（M)]])</f>
        <v/>
      </c>
      <c r="I190" s="80">
        <f>_xlfn.XLOOKUP(tbl_明細[[#This Row],[商品ID]],商品マスタ[商品連番],商品マスタ[国内定価
（15％）],"",0,1)</f>
        <v/>
      </c>
      <c r="J190" s="85" t="n"/>
      <c r="K190" s="209" t="n"/>
      <c r="L190" s="77">
        <f>_xlfn.XLOOKUP(tbl_明細[[#This Row],[商品ID]],商品マスタ[商品連番],商品マスタ[単位],"",0,1)</f>
        <v/>
      </c>
      <c r="M190" s="249">
        <f>1-tbl_明細[[#This Row],[仕入価格]]/tbl_明細[[#This Row],[販売価格（売値）]]</f>
        <v/>
      </c>
      <c r="N190" s="189">
        <f>_xlfn.XLOOKUP(tbl_明細[[#This Row],[商品ID]],商品マスタ[商品連番],商品マスタ[税率],"",0,1)</f>
        <v/>
      </c>
      <c r="O190" s="120" t="n"/>
      <c r="P190" s="209" t="n"/>
      <c r="Q190" s="85" t="n"/>
      <c r="R190" s="85" t="n"/>
      <c r="S190" s="209" t="n"/>
      <c r="T190" s="209" t="n"/>
      <c r="U190" s="79" t="n"/>
      <c r="V190" s="79" t="n"/>
      <c r="W190" s="113" t="n"/>
      <c r="X190" s="306">
        <f>tbl_明細[[#This Row],[仕入価格]]*tbl_明細[[#This Row],[数量]]+tbl_明細[[#This Row],[仕入価格（M)]]*tbl_明細[[#This Row],[数量（M)]]</f>
        <v/>
      </c>
      <c r="Y190" s="306">
        <f>tbl_明細[[#This Row],[販売価格（売値）]]*tbl_明細[[#This Row],[数量]]+tbl_明細[[#This Row],[販売価格（M)]]*tbl_明細[[#This Row],[数量（M)]]</f>
        <v/>
      </c>
      <c r="Z190" s="307">
        <f>_xlfn.XLOOKUP(tbl_明細[[#This Row],[案件番号]],tbl_案件追跡[案件番号],tbl_案件追跡[受注],"",0,1)</f>
        <v/>
      </c>
      <c r="AA190" s="228">
        <f>tbl_明細[[#This Row],[販売価格（売値）]]+tbl_明細[[#This Row],[販売価格（M)]]</f>
        <v/>
      </c>
      <c r="AB190" s="261">
        <f>tbl_明細[[#This Row],[販売価格（売値）]]*1.08+tbl_明細[[#This Row],[販売価格（M)]]*1.08</f>
        <v/>
      </c>
    </row>
    <row r="191">
      <c r="A191" s="212" t="n"/>
      <c r="B191" s="77">
        <f>IF(ISBLANK(tbl_明細[[#This Row],[案件番号]]),"",COUNTIFS($A$3:A191,tbl_明細[[#This Row],[案件番号]],$AA$3:AA191,"&gt;0"))</f>
        <v/>
      </c>
      <c r="C191" s="209">
        <f>COUNTIFS($A$3:A191,tbl_明細[[#This Row],[案件番号]],$F$3:F191,tbl_明細[[#This Row],[仕入先]])</f>
        <v/>
      </c>
      <c r="D191" s="77">
        <f>_xlfn.XLOOKUP(tbl_明細[[#This Row],[案件番号]],tbl_採番[案件番号],tbl_採番[顧客],"",0,1)</f>
        <v/>
      </c>
      <c r="E191" s="209" t="n"/>
      <c r="F191" s="118">
        <f>IF(ISBLANK(tbl_明細[[#This Row],[仕入先（M)]]),_xlfn.XLOOKUP(tbl_明細[[#This Row],[商品ID]],商品マスタ[商品連番],商品マスタ[仕入先],"",0,1),tbl_明細[[#This Row],[仕入先（M)]])</f>
        <v/>
      </c>
      <c r="G191" s="112">
        <f>IF(ISBLANK(tbl_明細[[#This Row],[商品名（M)]]),_xlfn.XLOOKUP(tbl_明細[[#This Row],[商品ID]],商品マスタ[商品連番],商品マスタ[商品名],"",0,),tbl_明細[[#This Row],[商品名（M)]])</f>
        <v/>
      </c>
      <c r="H191" s="80">
        <f>IF(ISBLANK(tbl_明細[[#This Row],[仕入価格（M)]]),_xlfn.XLOOKUP(tbl_明細[[#This Row],[商品ID]],商品マスタ[商品連番],商品マスタ[仕入
単価],"",0,1),tbl_明細[[#This Row],[仕入価格（M)]])</f>
        <v/>
      </c>
      <c r="I191" s="80">
        <f>_xlfn.XLOOKUP(tbl_明細[[#This Row],[商品ID]],商品マスタ[商品連番],商品マスタ[国内定価
（15％）],"",0,1)</f>
        <v/>
      </c>
      <c r="J191" s="85" t="n"/>
      <c r="K191" s="209" t="n"/>
      <c r="L191" s="77">
        <f>_xlfn.XLOOKUP(tbl_明細[[#This Row],[商品ID]],商品マスタ[商品連番],商品マスタ[単位],"",0,1)</f>
        <v/>
      </c>
      <c r="M191" s="249">
        <f>1-tbl_明細[[#This Row],[仕入価格]]/tbl_明細[[#This Row],[販売価格（売値）]]</f>
        <v/>
      </c>
      <c r="N191" s="189">
        <f>_xlfn.XLOOKUP(tbl_明細[[#This Row],[商品ID]],商品マスタ[商品連番],商品マスタ[税率],"",0,1)</f>
        <v/>
      </c>
      <c r="O191" s="120" t="n"/>
      <c r="P191" s="209" t="n"/>
      <c r="Q191" s="85" t="n"/>
      <c r="R191" s="85" t="n"/>
      <c r="S191" s="209" t="n"/>
      <c r="T191" s="209" t="n"/>
      <c r="U191" s="79" t="n"/>
      <c r="V191" s="79" t="n"/>
      <c r="W191" s="113" t="n"/>
      <c r="X191" s="306">
        <f>tbl_明細[[#This Row],[仕入価格]]*tbl_明細[[#This Row],[数量]]+tbl_明細[[#This Row],[仕入価格（M)]]*tbl_明細[[#This Row],[数量（M)]]</f>
        <v/>
      </c>
      <c r="Y191" s="306">
        <f>tbl_明細[[#This Row],[販売価格（売値）]]*tbl_明細[[#This Row],[数量]]+tbl_明細[[#This Row],[販売価格（M)]]*tbl_明細[[#This Row],[数量（M)]]</f>
        <v/>
      </c>
      <c r="Z191" s="307">
        <f>_xlfn.XLOOKUP(tbl_明細[[#This Row],[案件番号]],tbl_案件追跡[案件番号],tbl_案件追跡[受注],"",0,1)</f>
        <v/>
      </c>
      <c r="AA191" s="228">
        <f>tbl_明細[[#This Row],[販売価格（売値）]]+tbl_明細[[#This Row],[販売価格（M)]]</f>
        <v/>
      </c>
      <c r="AB191" s="261">
        <f>tbl_明細[[#This Row],[販売価格（売値）]]*1.08+tbl_明細[[#This Row],[販売価格（M)]]*1.08</f>
        <v/>
      </c>
    </row>
    <row r="192">
      <c r="A192" s="212" t="n"/>
      <c r="B192" s="77">
        <f>IF(ISBLANK(tbl_明細[[#This Row],[案件番号]]),"",COUNTIFS($A$3:A192,tbl_明細[[#This Row],[案件番号]],$AA$3:AA192,"&gt;0"))</f>
        <v/>
      </c>
      <c r="C192" s="209">
        <f>COUNTIFS($A$3:A192,tbl_明細[[#This Row],[案件番号]],$F$3:F192,tbl_明細[[#This Row],[仕入先]])</f>
        <v/>
      </c>
      <c r="D192" s="77">
        <f>_xlfn.XLOOKUP(tbl_明細[[#This Row],[案件番号]],tbl_採番[案件番号],tbl_採番[顧客],"",0,1)</f>
        <v/>
      </c>
      <c r="E192" s="209" t="n"/>
      <c r="F192" s="118">
        <f>IF(ISBLANK(tbl_明細[[#This Row],[仕入先（M)]]),_xlfn.XLOOKUP(tbl_明細[[#This Row],[商品ID]],商品マスタ[商品連番],商品マスタ[仕入先],"",0,1),tbl_明細[[#This Row],[仕入先（M)]])</f>
        <v/>
      </c>
      <c r="G192" s="112">
        <f>IF(ISBLANK(tbl_明細[[#This Row],[商品名（M)]]),_xlfn.XLOOKUP(tbl_明細[[#This Row],[商品ID]],商品マスタ[商品連番],商品マスタ[商品名],"",0,),tbl_明細[[#This Row],[商品名（M)]])</f>
        <v/>
      </c>
      <c r="H192" s="80">
        <f>IF(ISBLANK(tbl_明細[[#This Row],[仕入価格（M)]]),_xlfn.XLOOKUP(tbl_明細[[#This Row],[商品ID]],商品マスタ[商品連番],商品マスタ[仕入
単価],"",0,1),tbl_明細[[#This Row],[仕入価格（M)]])</f>
        <v/>
      </c>
      <c r="I192" s="80">
        <f>_xlfn.XLOOKUP(tbl_明細[[#This Row],[商品ID]],商品マスタ[商品連番],商品マスタ[国内定価
（15％）],"",0,1)</f>
        <v/>
      </c>
      <c r="J192" s="85" t="n"/>
      <c r="K192" s="209" t="n"/>
      <c r="L192" s="77">
        <f>_xlfn.XLOOKUP(tbl_明細[[#This Row],[商品ID]],商品マスタ[商品連番],商品マスタ[単位],"",0,1)</f>
        <v/>
      </c>
      <c r="M192" s="249">
        <f>1-tbl_明細[[#This Row],[仕入価格]]/tbl_明細[[#This Row],[販売価格（売値）]]</f>
        <v/>
      </c>
      <c r="N192" s="189">
        <f>_xlfn.XLOOKUP(tbl_明細[[#This Row],[商品ID]],商品マスタ[商品連番],商品マスタ[税率],"",0,1)</f>
        <v/>
      </c>
      <c r="O192" s="120" t="n"/>
      <c r="P192" s="209" t="n"/>
      <c r="Q192" s="85" t="n"/>
      <c r="R192" s="85" t="n"/>
      <c r="S192" s="209" t="n"/>
      <c r="T192" s="209" t="n"/>
      <c r="U192" s="79" t="n"/>
      <c r="V192" s="79" t="n"/>
      <c r="W192" s="113" t="n"/>
      <c r="X192" s="306">
        <f>tbl_明細[[#This Row],[仕入価格]]*tbl_明細[[#This Row],[数量]]+tbl_明細[[#This Row],[仕入価格（M)]]*tbl_明細[[#This Row],[数量（M)]]</f>
        <v/>
      </c>
      <c r="Y192" s="306">
        <f>tbl_明細[[#This Row],[販売価格（売値）]]*tbl_明細[[#This Row],[数量]]+tbl_明細[[#This Row],[販売価格（M)]]*tbl_明細[[#This Row],[数量（M)]]</f>
        <v/>
      </c>
      <c r="Z192" s="307">
        <f>_xlfn.XLOOKUP(tbl_明細[[#This Row],[案件番号]],tbl_案件追跡[案件番号],tbl_案件追跡[受注],"",0,1)</f>
        <v/>
      </c>
      <c r="AA192" s="228">
        <f>tbl_明細[[#This Row],[販売価格（売値）]]+tbl_明細[[#This Row],[販売価格（M)]]</f>
        <v/>
      </c>
      <c r="AB192" s="261">
        <f>tbl_明細[[#This Row],[販売価格（売値）]]*1.08+tbl_明細[[#This Row],[販売価格（M)]]*1.08</f>
        <v/>
      </c>
    </row>
    <row r="193">
      <c r="A193" s="212" t="n"/>
      <c r="B193" s="77">
        <f>IF(ISBLANK(tbl_明細[[#This Row],[案件番号]]),"",COUNTIFS($A$3:A193,tbl_明細[[#This Row],[案件番号]],$AA$3:AA193,"&gt;0"))</f>
        <v/>
      </c>
      <c r="C193" s="209">
        <f>COUNTIFS($A$3:A193,tbl_明細[[#This Row],[案件番号]],$F$3:F193,tbl_明細[[#This Row],[仕入先]])</f>
        <v/>
      </c>
      <c r="D193" s="77">
        <f>_xlfn.XLOOKUP(tbl_明細[[#This Row],[案件番号]],tbl_採番[案件番号],tbl_採番[顧客],"",0,1)</f>
        <v/>
      </c>
      <c r="E193" s="209" t="n"/>
      <c r="F193" s="118">
        <f>IF(ISBLANK(tbl_明細[[#This Row],[仕入先（M)]]),_xlfn.XLOOKUP(tbl_明細[[#This Row],[商品ID]],商品マスタ[商品連番],商品マスタ[仕入先],"",0,1),tbl_明細[[#This Row],[仕入先（M)]])</f>
        <v/>
      </c>
      <c r="G193" s="112">
        <f>IF(ISBLANK(tbl_明細[[#This Row],[商品名（M)]]),_xlfn.XLOOKUP(tbl_明細[[#This Row],[商品ID]],商品マスタ[商品連番],商品マスタ[商品名],"",0,),tbl_明細[[#This Row],[商品名（M)]])</f>
        <v/>
      </c>
      <c r="H193" s="80">
        <f>IF(ISBLANK(tbl_明細[[#This Row],[仕入価格（M)]]),_xlfn.XLOOKUP(tbl_明細[[#This Row],[商品ID]],商品マスタ[商品連番],商品マスタ[仕入
単価],"",0,1),tbl_明細[[#This Row],[仕入価格（M)]])</f>
        <v/>
      </c>
      <c r="I193" s="80">
        <f>_xlfn.XLOOKUP(tbl_明細[[#This Row],[商品ID]],商品マスタ[商品連番],商品マスタ[国内定価
（15％）],"",0,1)</f>
        <v/>
      </c>
      <c r="J193" s="85" t="n"/>
      <c r="K193" s="209" t="n"/>
      <c r="L193" s="77">
        <f>_xlfn.XLOOKUP(tbl_明細[[#This Row],[商品ID]],商品マスタ[商品連番],商品マスタ[単位],"",0,1)</f>
        <v/>
      </c>
      <c r="M193" s="249">
        <f>1-tbl_明細[[#This Row],[仕入価格]]/tbl_明細[[#This Row],[販売価格（売値）]]</f>
        <v/>
      </c>
      <c r="N193" s="189">
        <f>_xlfn.XLOOKUP(tbl_明細[[#This Row],[商品ID]],商品マスタ[商品連番],商品マスタ[税率],"",0,1)</f>
        <v/>
      </c>
      <c r="O193" s="120" t="n"/>
      <c r="P193" s="209" t="n"/>
      <c r="Q193" s="85" t="n"/>
      <c r="R193" s="85" t="n"/>
      <c r="S193" s="209" t="n"/>
      <c r="T193" s="209" t="n"/>
      <c r="U193" s="79" t="n"/>
      <c r="V193" s="79" t="n"/>
      <c r="W193" s="113" t="n"/>
      <c r="X193" s="306">
        <f>tbl_明細[[#This Row],[仕入価格]]*tbl_明細[[#This Row],[数量]]+tbl_明細[[#This Row],[仕入価格（M)]]*tbl_明細[[#This Row],[数量（M)]]</f>
        <v/>
      </c>
      <c r="Y193" s="306">
        <f>tbl_明細[[#This Row],[販売価格（売値）]]*tbl_明細[[#This Row],[数量]]+tbl_明細[[#This Row],[販売価格（M)]]*tbl_明細[[#This Row],[数量（M)]]</f>
        <v/>
      </c>
      <c r="Z193" s="307">
        <f>_xlfn.XLOOKUP(tbl_明細[[#This Row],[案件番号]],tbl_案件追跡[案件番号],tbl_案件追跡[受注],"",0,1)</f>
        <v/>
      </c>
      <c r="AA193" s="228">
        <f>tbl_明細[[#This Row],[販売価格（売値）]]+tbl_明細[[#This Row],[販売価格（M)]]</f>
        <v/>
      </c>
      <c r="AB193" s="261">
        <f>tbl_明細[[#This Row],[販売価格（売値）]]*1.08+tbl_明細[[#This Row],[販売価格（M)]]*1.08</f>
        <v/>
      </c>
    </row>
    <row r="194">
      <c r="A194" s="212" t="n"/>
      <c r="B194" s="77">
        <f>IF(ISBLANK(tbl_明細[[#This Row],[案件番号]]),"",COUNTIFS($A$3:A194,tbl_明細[[#This Row],[案件番号]],$AA$3:AA194,"&gt;0"))</f>
        <v/>
      </c>
      <c r="C194" s="209">
        <f>COUNTIFS($A$3:A194,tbl_明細[[#This Row],[案件番号]],$F$3:F194,tbl_明細[[#This Row],[仕入先]])</f>
        <v/>
      </c>
      <c r="D194" s="77">
        <f>_xlfn.XLOOKUP(tbl_明細[[#This Row],[案件番号]],tbl_採番[案件番号],tbl_採番[顧客],"",0,1)</f>
        <v/>
      </c>
      <c r="E194" s="209" t="n"/>
      <c r="F194" s="118">
        <f>IF(ISBLANK(tbl_明細[[#This Row],[仕入先（M)]]),_xlfn.XLOOKUP(tbl_明細[[#This Row],[商品ID]],商品マスタ[商品連番],商品マスタ[仕入先],"",0,1),tbl_明細[[#This Row],[仕入先（M)]])</f>
        <v/>
      </c>
      <c r="G194" s="112">
        <f>IF(ISBLANK(tbl_明細[[#This Row],[商品名（M)]]),_xlfn.XLOOKUP(tbl_明細[[#This Row],[商品ID]],商品マスタ[商品連番],商品マスタ[商品名],"",0,),tbl_明細[[#This Row],[商品名（M)]])</f>
        <v/>
      </c>
      <c r="H194" s="80">
        <f>IF(ISBLANK(tbl_明細[[#This Row],[仕入価格（M)]]),_xlfn.XLOOKUP(tbl_明細[[#This Row],[商品ID]],商品マスタ[商品連番],商品マスタ[仕入
単価],"",0,1),tbl_明細[[#This Row],[仕入価格（M)]])</f>
        <v/>
      </c>
      <c r="I194" s="80">
        <f>_xlfn.XLOOKUP(tbl_明細[[#This Row],[商品ID]],商品マスタ[商品連番],商品マスタ[国内定価
（15％）],"",0,1)</f>
        <v/>
      </c>
      <c r="J194" s="85" t="n"/>
      <c r="K194" s="209" t="n"/>
      <c r="L194" s="77">
        <f>_xlfn.XLOOKUP(tbl_明細[[#This Row],[商品ID]],商品マスタ[商品連番],商品マスタ[単位],"",0,1)</f>
        <v/>
      </c>
      <c r="M194" s="249">
        <f>1-tbl_明細[[#This Row],[仕入価格]]/tbl_明細[[#This Row],[販売価格（売値）]]</f>
        <v/>
      </c>
      <c r="N194" s="189">
        <f>_xlfn.XLOOKUP(tbl_明細[[#This Row],[商品ID]],商品マスタ[商品連番],商品マスタ[税率],"",0,1)</f>
        <v/>
      </c>
      <c r="O194" s="120" t="n"/>
      <c r="P194" s="209" t="n"/>
      <c r="Q194" s="85" t="n"/>
      <c r="R194" s="85" t="n"/>
      <c r="S194" s="209" t="n"/>
      <c r="T194" s="209" t="n"/>
      <c r="U194" s="79" t="n"/>
      <c r="V194" s="79" t="n"/>
      <c r="W194" s="113" t="n"/>
      <c r="X194" s="306">
        <f>tbl_明細[[#This Row],[仕入価格]]*tbl_明細[[#This Row],[数量]]+tbl_明細[[#This Row],[仕入価格（M)]]*tbl_明細[[#This Row],[数量（M)]]</f>
        <v/>
      </c>
      <c r="Y194" s="306">
        <f>tbl_明細[[#This Row],[販売価格（売値）]]*tbl_明細[[#This Row],[数量]]+tbl_明細[[#This Row],[販売価格（M)]]*tbl_明細[[#This Row],[数量（M)]]</f>
        <v/>
      </c>
      <c r="Z194" s="307">
        <f>_xlfn.XLOOKUP(tbl_明細[[#This Row],[案件番号]],tbl_案件追跡[案件番号],tbl_案件追跡[受注],"",0,1)</f>
        <v/>
      </c>
      <c r="AA194" s="228">
        <f>tbl_明細[[#This Row],[販売価格（売値）]]+tbl_明細[[#This Row],[販売価格（M)]]</f>
        <v/>
      </c>
      <c r="AB194" s="261">
        <f>tbl_明細[[#This Row],[販売価格（売値）]]*1.08+tbl_明細[[#This Row],[販売価格（M)]]*1.08</f>
        <v/>
      </c>
    </row>
    <row r="195">
      <c r="A195" s="212" t="n"/>
      <c r="B195" s="77">
        <f>IF(ISBLANK(tbl_明細[[#This Row],[案件番号]]),"",COUNTIFS($A$3:A195,tbl_明細[[#This Row],[案件番号]],$AA$3:AA195,"&gt;0"))</f>
        <v/>
      </c>
      <c r="C195" s="209">
        <f>COUNTIFS($A$3:A195,tbl_明細[[#This Row],[案件番号]],$F$3:F195,tbl_明細[[#This Row],[仕入先]])</f>
        <v/>
      </c>
      <c r="D195" s="77">
        <f>_xlfn.XLOOKUP(tbl_明細[[#This Row],[案件番号]],tbl_採番[案件番号],tbl_採番[顧客],"",0,1)</f>
        <v/>
      </c>
      <c r="E195" s="209" t="n"/>
      <c r="F195" s="118">
        <f>IF(ISBLANK(tbl_明細[[#This Row],[仕入先（M)]]),_xlfn.XLOOKUP(tbl_明細[[#This Row],[商品ID]],商品マスタ[商品連番],商品マスタ[仕入先],"",0,1),tbl_明細[[#This Row],[仕入先（M)]])</f>
        <v/>
      </c>
      <c r="G195" s="112">
        <f>IF(ISBLANK(tbl_明細[[#This Row],[商品名（M)]]),_xlfn.XLOOKUP(tbl_明細[[#This Row],[商品ID]],商品マスタ[商品連番],商品マスタ[商品名],"",0,),tbl_明細[[#This Row],[商品名（M)]])</f>
        <v/>
      </c>
      <c r="H195" s="80">
        <f>IF(ISBLANK(tbl_明細[[#This Row],[仕入価格（M)]]),_xlfn.XLOOKUP(tbl_明細[[#This Row],[商品ID]],商品マスタ[商品連番],商品マスタ[仕入
単価],"",0,1),tbl_明細[[#This Row],[仕入価格（M)]])</f>
        <v/>
      </c>
      <c r="I195" s="80">
        <f>_xlfn.XLOOKUP(tbl_明細[[#This Row],[商品ID]],商品マスタ[商品連番],商品マスタ[国内定価
（15％）],"",0,1)</f>
        <v/>
      </c>
      <c r="J195" s="85" t="n"/>
      <c r="K195" s="209" t="n"/>
      <c r="L195" s="77">
        <f>_xlfn.XLOOKUP(tbl_明細[[#This Row],[商品ID]],商品マスタ[商品連番],商品マスタ[単位],"",0,1)</f>
        <v/>
      </c>
      <c r="M195" s="249">
        <f>1-tbl_明細[[#This Row],[仕入価格]]/tbl_明細[[#This Row],[販売価格（売値）]]</f>
        <v/>
      </c>
      <c r="N195" s="189">
        <f>_xlfn.XLOOKUP(tbl_明細[[#This Row],[商品ID]],商品マスタ[商品連番],商品マスタ[税率],"",0,1)</f>
        <v/>
      </c>
      <c r="O195" s="120" t="n"/>
      <c r="P195" s="209" t="n"/>
      <c r="Q195" s="85" t="n"/>
      <c r="R195" s="85" t="n"/>
      <c r="S195" s="209" t="n"/>
      <c r="T195" s="209" t="n"/>
      <c r="U195" s="79" t="n"/>
      <c r="V195" s="79" t="n"/>
      <c r="W195" s="113" t="n"/>
      <c r="X195" s="306">
        <f>tbl_明細[[#This Row],[仕入価格]]*tbl_明細[[#This Row],[数量]]+tbl_明細[[#This Row],[仕入価格（M)]]*tbl_明細[[#This Row],[数量（M)]]</f>
        <v/>
      </c>
      <c r="Y195" s="306">
        <f>tbl_明細[[#This Row],[販売価格（売値）]]*tbl_明細[[#This Row],[数量]]+tbl_明細[[#This Row],[販売価格（M)]]*tbl_明細[[#This Row],[数量（M)]]</f>
        <v/>
      </c>
      <c r="Z195" s="307">
        <f>_xlfn.XLOOKUP(tbl_明細[[#This Row],[案件番号]],tbl_案件追跡[案件番号],tbl_案件追跡[受注],"",0,1)</f>
        <v/>
      </c>
      <c r="AA195" s="228">
        <f>tbl_明細[[#This Row],[販売価格（売値）]]+tbl_明細[[#This Row],[販売価格（M)]]</f>
        <v/>
      </c>
      <c r="AB195" s="261">
        <f>tbl_明細[[#This Row],[販売価格（売値）]]*1.08+tbl_明細[[#This Row],[販売価格（M)]]*1.08</f>
        <v/>
      </c>
    </row>
    <row r="196">
      <c r="A196" s="212" t="n"/>
      <c r="B196" s="77">
        <f>IF(ISBLANK(tbl_明細[[#This Row],[案件番号]]),"",COUNTIFS($A$3:A196,tbl_明細[[#This Row],[案件番号]],$AA$3:AA196,"&gt;0"))</f>
        <v/>
      </c>
      <c r="C196" s="209">
        <f>COUNTIFS($A$3:A196,tbl_明細[[#This Row],[案件番号]],$F$3:F196,tbl_明細[[#This Row],[仕入先]])</f>
        <v/>
      </c>
      <c r="D196" s="77">
        <f>_xlfn.XLOOKUP(tbl_明細[[#This Row],[案件番号]],tbl_採番[案件番号],tbl_採番[顧客],"",0,1)</f>
        <v/>
      </c>
      <c r="E196" s="209" t="n"/>
      <c r="F196" s="118">
        <f>IF(ISBLANK(tbl_明細[[#This Row],[仕入先（M)]]),_xlfn.XLOOKUP(tbl_明細[[#This Row],[商品ID]],商品マスタ[商品連番],商品マスタ[仕入先],"",0,1),tbl_明細[[#This Row],[仕入先（M)]])</f>
        <v/>
      </c>
      <c r="G196" s="112">
        <f>IF(ISBLANK(tbl_明細[[#This Row],[商品名（M)]]),_xlfn.XLOOKUP(tbl_明細[[#This Row],[商品ID]],商品マスタ[商品連番],商品マスタ[商品名],"",0,),tbl_明細[[#This Row],[商品名（M)]])</f>
        <v/>
      </c>
      <c r="H196" s="80">
        <f>IF(ISBLANK(tbl_明細[[#This Row],[仕入価格（M)]]),_xlfn.XLOOKUP(tbl_明細[[#This Row],[商品ID]],商品マスタ[商品連番],商品マスタ[仕入
単価],"",0,1),tbl_明細[[#This Row],[仕入価格（M)]])</f>
        <v/>
      </c>
      <c r="I196" s="80">
        <f>_xlfn.XLOOKUP(tbl_明細[[#This Row],[商品ID]],商品マスタ[商品連番],商品マスタ[国内定価
（15％）],"",0,1)</f>
        <v/>
      </c>
      <c r="J196" s="85" t="n"/>
      <c r="K196" s="209" t="n"/>
      <c r="L196" s="77">
        <f>_xlfn.XLOOKUP(tbl_明細[[#This Row],[商品ID]],商品マスタ[商品連番],商品マスタ[単位],"",0,1)</f>
        <v/>
      </c>
      <c r="M196" s="249">
        <f>1-tbl_明細[[#This Row],[仕入価格]]/tbl_明細[[#This Row],[販売価格（売値）]]</f>
        <v/>
      </c>
      <c r="N196" s="189">
        <f>_xlfn.XLOOKUP(tbl_明細[[#This Row],[商品ID]],商品マスタ[商品連番],商品マスタ[税率],"",0,1)</f>
        <v/>
      </c>
      <c r="O196" s="120" t="n"/>
      <c r="P196" s="209" t="n"/>
      <c r="Q196" s="85" t="n"/>
      <c r="R196" s="85" t="n"/>
      <c r="S196" s="209" t="n"/>
      <c r="T196" s="209" t="n"/>
      <c r="U196" s="79" t="n"/>
      <c r="V196" s="79" t="n"/>
      <c r="W196" s="113" t="n"/>
      <c r="X196" s="306">
        <f>tbl_明細[[#This Row],[仕入価格]]*tbl_明細[[#This Row],[数量]]+tbl_明細[[#This Row],[仕入価格（M)]]*tbl_明細[[#This Row],[数量（M)]]</f>
        <v/>
      </c>
      <c r="Y196" s="306">
        <f>tbl_明細[[#This Row],[販売価格（売値）]]*tbl_明細[[#This Row],[数量]]+tbl_明細[[#This Row],[販売価格（M)]]*tbl_明細[[#This Row],[数量（M)]]</f>
        <v/>
      </c>
      <c r="Z196" s="307">
        <f>_xlfn.XLOOKUP(tbl_明細[[#This Row],[案件番号]],tbl_案件追跡[案件番号],tbl_案件追跡[受注],"",0,1)</f>
        <v/>
      </c>
      <c r="AA196" s="228">
        <f>tbl_明細[[#This Row],[販売価格（売値）]]+tbl_明細[[#This Row],[販売価格（M)]]</f>
        <v/>
      </c>
      <c r="AB196" s="261">
        <f>tbl_明細[[#This Row],[販売価格（売値）]]*1.08+tbl_明細[[#This Row],[販売価格（M)]]*1.08</f>
        <v/>
      </c>
    </row>
    <row r="197">
      <c r="A197" s="212" t="n"/>
      <c r="B197" s="77">
        <f>IF(ISBLANK(tbl_明細[[#This Row],[案件番号]]),"",COUNTIFS($A$3:A197,tbl_明細[[#This Row],[案件番号]],$AA$3:AA197,"&gt;0"))</f>
        <v/>
      </c>
      <c r="C197" s="209">
        <f>COUNTIFS($A$3:A197,tbl_明細[[#This Row],[案件番号]],$F$3:F197,tbl_明細[[#This Row],[仕入先]])</f>
        <v/>
      </c>
      <c r="D197" s="77">
        <f>_xlfn.XLOOKUP(tbl_明細[[#This Row],[案件番号]],tbl_採番[案件番号],tbl_採番[顧客],"",0,1)</f>
        <v/>
      </c>
      <c r="E197" s="209" t="n"/>
      <c r="F197" s="118">
        <f>IF(ISBLANK(tbl_明細[[#This Row],[仕入先（M)]]),_xlfn.XLOOKUP(tbl_明細[[#This Row],[商品ID]],商品マスタ[商品連番],商品マスタ[仕入先],"",0,1),tbl_明細[[#This Row],[仕入先（M)]])</f>
        <v/>
      </c>
      <c r="G197" s="112">
        <f>IF(ISBLANK(tbl_明細[[#This Row],[商品名（M)]]),_xlfn.XLOOKUP(tbl_明細[[#This Row],[商品ID]],商品マスタ[商品連番],商品マスタ[商品名],"",0,),tbl_明細[[#This Row],[商品名（M)]])</f>
        <v/>
      </c>
      <c r="H197" s="80">
        <f>IF(ISBLANK(tbl_明細[[#This Row],[仕入価格（M)]]),_xlfn.XLOOKUP(tbl_明細[[#This Row],[商品ID]],商品マスタ[商品連番],商品マスタ[仕入
単価],"",0,1),tbl_明細[[#This Row],[仕入価格（M)]])</f>
        <v/>
      </c>
      <c r="I197" s="80">
        <f>_xlfn.XLOOKUP(tbl_明細[[#This Row],[商品ID]],商品マスタ[商品連番],商品マスタ[国内定価
（15％）],"",0,1)</f>
        <v/>
      </c>
      <c r="J197" s="85" t="n"/>
      <c r="K197" s="209" t="n"/>
      <c r="L197" s="77">
        <f>_xlfn.XLOOKUP(tbl_明細[[#This Row],[商品ID]],商品マスタ[商品連番],商品マスタ[単位],"",0,1)</f>
        <v/>
      </c>
      <c r="M197" s="249">
        <f>1-tbl_明細[[#This Row],[仕入価格]]/tbl_明細[[#This Row],[販売価格（売値）]]</f>
        <v/>
      </c>
      <c r="N197" s="189">
        <f>_xlfn.XLOOKUP(tbl_明細[[#This Row],[商品ID]],商品マスタ[商品連番],商品マスタ[税率],"",0,1)</f>
        <v/>
      </c>
      <c r="O197" s="120" t="n"/>
      <c r="P197" s="209" t="n"/>
      <c r="Q197" s="85" t="n"/>
      <c r="R197" s="85" t="n"/>
      <c r="S197" s="209" t="n"/>
      <c r="T197" s="209" t="n"/>
      <c r="U197" s="79" t="n"/>
      <c r="V197" s="79" t="n"/>
      <c r="W197" s="113" t="n"/>
      <c r="X197" s="306">
        <f>tbl_明細[[#This Row],[仕入価格]]*tbl_明細[[#This Row],[数量]]+tbl_明細[[#This Row],[仕入価格（M)]]*tbl_明細[[#This Row],[数量（M)]]</f>
        <v/>
      </c>
      <c r="Y197" s="306">
        <f>tbl_明細[[#This Row],[販売価格（売値）]]*tbl_明細[[#This Row],[数量]]+tbl_明細[[#This Row],[販売価格（M)]]*tbl_明細[[#This Row],[数量（M)]]</f>
        <v/>
      </c>
      <c r="Z197" s="307">
        <f>_xlfn.XLOOKUP(tbl_明細[[#This Row],[案件番号]],tbl_案件追跡[案件番号],tbl_案件追跡[受注],"",0,1)</f>
        <v/>
      </c>
      <c r="AA197" s="228">
        <f>tbl_明細[[#This Row],[販売価格（売値）]]+tbl_明細[[#This Row],[販売価格（M)]]</f>
        <v/>
      </c>
      <c r="AB197" s="261">
        <f>tbl_明細[[#This Row],[販売価格（売値）]]*1.08+tbl_明細[[#This Row],[販売価格（M)]]*1.08</f>
        <v/>
      </c>
    </row>
    <row r="198">
      <c r="A198" s="212" t="n"/>
      <c r="B198" s="77">
        <f>IF(ISBLANK(tbl_明細[[#This Row],[案件番号]]),"",COUNTIFS($A$3:A198,tbl_明細[[#This Row],[案件番号]],$AA$3:AA198,"&gt;0"))</f>
        <v/>
      </c>
      <c r="C198" s="209">
        <f>COUNTIFS($A$3:A198,tbl_明細[[#This Row],[案件番号]],$F$3:F198,tbl_明細[[#This Row],[仕入先]])</f>
        <v/>
      </c>
      <c r="D198" s="77">
        <f>_xlfn.XLOOKUP(tbl_明細[[#This Row],[案件番号]],tbl_採番[案件番号],tbl_採番[顧客],"",0,1)</f>
        <v/>
      </c>
      <c r="E198" s="209" t="n"/>
      <c r="F198" s="118">
        <f>IF(ISBLANK(tbl_明細[[#This Row],[仕入先（M)]]),_xlfn.XLOOKUP(tbl_明細[[#This Row],[商品ID]],商品マスタ[商品連番],商品マスタ[仕入先],"",0,1),tbl_明細[[#This Row],[仕入先（M)]])</f>
        <v/>
      </c>
      <c r="G198" s="112">
        <f>IF(ISBLANK(tbl_明細[[#This Row],[商品名（M)]]),_xlfn.XLOOKUP(tbl_明細[[#This Row],[商品ID]],商品マスタ[商品連番],商品マスタ[商品名],"",0,),tbl_明細[[#This Row],[商品名（M)]])</f>
        <v/>
      </c>
      <c r="H198" s="80">
        <f>IF(ISBLANK(tbl_明細[[#This Row],[仕入価格（M)]]),_xlfn.XLOOKUP(tbl_明細[[#This Row],[商品ID]],商品マスタ[商品連番],商品マスタ[仕入
単価],"",0,1),tbl_明細[[#This Row],[仕入価格（M)]])</f>
        <v/>
      </c>
      <c r="I198" s="80">
        <f>_xlfn.XLOOKUP(tbl_明細[[#This Row],[商品ID]],商品マスタ[商品連番],商品マスタ[国内定価
（15％）],"",0,1)</f>
        <v/>
      </c>
      <c r="J198" s="85" t="n"/>
      <c r="K198" s="209" t="n"/>
      <c r="L198" s="77">
        <f>_xlfn.XLOOKUP(tbl_明細[[#This Row],[商品ID]],商品マスタ[商品連番],商品マスタ[単位],"",0,1)</f>
        <v/>
      </c>
      <c r="M198" s="249">
        <f>1-tbl_明細[[#This Row],[仕入価格]]/tbl_明細[[#This Row],[販売価格（売値）]]</f>
        <v/>
      </c>
      <c r="N198" s="189">
        <f>_xlfn.XLOOKUP(tbl_明細[[#This Row],[商品ID]],商品マスタ[商品連番],商品マスタ[税率],"",0,1)</f>
        <v/>
      </c>
      <c r="O198" s="120" t="n"/>
      <c r="P198" s="209" t="n"/>
      <c r="Q198" s="85" t="n"/>
      <c r="R198" s="85" t="n"/>
      <c r="S198" s="209" t="n"/>
      <c r="T198" s="209" t="n"/>
      <c r="U198" s="79" t="n"/>
      <c r="V198" s="79" t="n"/>
      <c r="W198" s="113" t="n"/>
      <c r="X198" s="306">
        <f>tbl_明細[[#This Row],[仕入価格]]*tbl_明細[[#This Row],[数量]]+tbl_明細[[#This Row],[仕入価格（M)]]*tbl_明細[[#This Row],[数量（M)]]</f>
        <v/>
      </c>
      <c r="Y198" s="306">
        <f>tbl_明細[[#This Row],[販売価格（売値）]]*tbl_明細[[#This Row],[数量]]+tbl_明細[[#This Row],[販売価格（M)]]*tbl_明細[[#This Row],[数量（M)]]</f>
        <v/>
      </c>
      <c r="Z198" s="307">
        <f>_xlfn.XLOOKUP(tbl_明細[[#This Row],[案件番号]],tbl_案件追跡[案件番号],tbl_案件追跡[受注],"",0,1)</f>
        <v/>
      </c>
      <c r="AA198" s="228">
        <f>tbl_明細[[#This Row],[販売価格（売値）]]+tbl_明細[[#This Row],[販売価格（M)]]</f>
        <v/>
      </c>
      <c r="AB198" s="261">
        <f>tbl_明細[[#This Row],[販売価格（売値）]]*1.08+tbl_明細[[#This Row],[販売価格（M)]]*1.08</f>
        <v/>
      </c>
    </row>
    <row r="199">
      <c r="A199" s="212" t="n"/>
      <c r="B199" s="77">
        <f>IF(ISBLANK(tbl_明細[[#This Row],[案件番号]]),"",COUNTIFS($A$3:A199,tbl_明細[[#This Row],[案件番号]],$AA$3:AA199,"&gt;0"))</f>
        <v/>
      </c>
      <c r="C199" s="209">
        <f>COUNTIFS($A$3:A199,tbl_明細[[#This Row],[案件番号]],$F$3:F199,tbl_明細[[#This Row],[仕入先]])</f>
        <v/>
      </c>
      <c r="D199" s="77">
        <f>_xlfn.XLOOKUP(tbl_明細[[#This Row],[案件番号]],tbl_採番[案件番号],tbl_採番[顧客],"",0,1)</f>
        <v/>
      </c>
      <c r="E199" s="209" t="n"/>
      <c r="F199" s="118">
        <f>IF(ISBLANK(tbl_明細[[#This Row],[仕入先（M)]]),_xlfn.XLOOKUP(tbl_明細[[#This Row],[商品ID]],商品マスタ[商品連番],商品マスタ[仕入先],"",0,1),tbl_明細[[#This Row],[仕入先（M)]])</f>
        <v/>
      </c>
      <c r="G199" s="112">
        <f>IF(ISBLANK(tbl_明細[[#This Row],[商品名（M)]]),_xlfn.XLOOKUP(tbl_明細[[#This Row],[商品ID]],商品マスタ[商品連番],商品マスタ[商品名],"",0,),tbl_明細[[#This Row],[商品名（M)]])</f>
        <v/>
      </c>
      <c r="H199" s="80">
        <f>IF(ISBLANK(tbl_明細[[#This Row],[仕入価格（M)]]),_xlfn.XLOOKUP(tbl_明細[[#This Row],[商品ID]],商品マスタ[商品連番],商品マスタ[仕入
単価],"",0,1),tbl_明細[[#This Row],[仕入価格（M)]])</f>
        <v/>
      </c>
      <c r="I199" s="80">
        <f>_xlfn.XLOOKUP(tbl_明細[[#This Row],[商品ID]],商品マスタ[商品連番],商品マスタ[国内定価
（15％）],"",0,1)</f>
        <v/>
      </c>
      <c r="J199" s="85" t="n"/>
      <c r="K199" s="209" t="n"/>
      <c r="L199" s="77">
        <f>_xlfn.XLOOKUP(tbl_明細[[#This Row],[商品ID]],商品マスタ[商品連番],商品マスタ[単位],"",0,1)</f>
        <v/>
      </c>
      <c r="M199" s="249">
        <f>1-tbl_明細[[#This Row],[仕入価格]]/tbl_明細[[#This Row],[販売価格（売値）]]</f>
        <v/>
      </c>
      <c r="N199" s="189">
        <f>_xlfn.XLOOKUP(tbl_明細[[#This Row],[商品ID]],商品マスタ[商品連番],商品マスタ[税率],"",0,1)</f>
        <v/>
      </c>
      <c r="O199" s="120" t="n"/>
      <c r="P199" s="209" t="n"/>
      <c r="Q199" s="85" t="n"/>
      <c r="R199" s="85" t="n"/>
      <c r="S199" s="209" t="n"/>
      <c r="T199" s="209" t="n"/>
      <c r="U199" s="79" t="n"/>
      <c r="V199" s="79" t="n"/>
      <c r="W199" s="113" t="n"/>
      <c r="X199" s="306">
        <f>tbl_明細[[#This Row],[仕入価格]]*tbl_明細[[#This Row],[数量]]+tbl_明細[[#This Row],[仕入価格（M)]]*tbl_明細[[#This Row],[数量（M)]]</f>
        <v/>
      </c>
      <c r="Y199" s="306">
        <f>tbl_明細[[#This Row],[販売価格（売値）]]*tbl_明細[[#This Row],[数量]]+tbl_明細[[#This Row],[販売価格（M)]]*tbl_明細[[#This Row],[数量（M)]]</f>
        <v/>
      </c>
      <c r="Z199" s="307">
        <f>_xlfn.XLOOKUP(tbl_明細[[#This Row],[案件番号]],tbl_案件追跡[案件番号],tbl_案件追跡[受注],"",0,1)</f>
        <v/>
      </c>
      <c r="AA199" s="228">
        <f>tbl_明細[[#This Row],[販売価格（売値）]]+tbl_明細[[#This Row],[販売価格（M)]]</f>
        <v/>
      </c>
      <c r="AB199" s="261">
        <f>tbl_明細[[#This Row],[販売価格（売値）]]*1.08+tbl_明細[[#This Row],[販売価格（M)]]*1.08</f>
        <v/>
      </c>
    </row>
    <row r="200">
      <c r="A200" s="212" t="n"/>
      <c r="B200" s="77">
        <f>IF(ISBLANK(tbl_明細[[#This Row],[案件番号]]),"",COUNTIFS($A$3:A200,tbl_明細[[#This Row],[案件番号]],$AA$3:AA200,"&gt;0"))</f>
        <v/>
      </c>
      <c r="C200" s="209">
        <f>COUNTIFS($A$3:A200,tbl_明細[[#This Row],[案件番号]],$F$3:F200,tbl_明細[[#This Row],[仕入先]])</f>
        <v/>
      </c>
      <c r="D200" s="77">
        <f>_xlfn.XLOOKUP(tbl_明細[[#This Row],[案件番号]],tbl_採番[案件番号],tbl_採番[顧客],"",0,1)</f>
        <v/>
      </c>
      <c r="E200" s="209" t="n"/>
      <c r="F200" s="118">
        <f>IF(ISBLANK(tbl_明細[[#This Row],[仕入先（M)]]),_xlfn.XLOOKUP(tbl_明細[[#This Row],[商品ID]],商品マスタ[商品連番],商品マスタ[仕入先],"",0,1),tbl_明細[[#This Row],[仕入先（M)]])</f>
        <v/>
      </c>
      <c r="G200" s="112">
        <f>IF(ISBLANK(tbl_明細[[#This Row],[商品名（M)]]),_xlfn.XLOOKUP(tbl_明細[[#This Row],[商品ID]],商品マスタ[商品連番],商品マスタ[商品名],"",0,),tbl_明細[[#This Row],[商品名（M)]])</f>
        <v/>
      </c>
      <c r="H200" s="80">
        <f>IF(ISBLANK(tbl_明細[[#This Row],[仕入価格（M)]]),_xlfn.XLOOKUP(tbl_明細[[#This Row],[商品ID]],商品マスタ[商品連番],商品マスタ[仕入
単価],"",0,1),tbl_明細[[#This Row],[仕入価格（M)]])</f>
        <v/>
      </c>
      <c r="I200" s="80">
        <f>_xlfn.XLOOKUP(tbl_明細[[#This Row],[商品ID]],商品マスタ[商品連番],商品マスタ[国内定価
（15％）],"",0,1)</f>
        <v/>
      </c>
      <c r="J200" s="85" t="n"/>
      <c r="K200" s="209" t="n"/>
      <c r="L200" s="77">
        <f>_xlfn.XLOOKUP(tbl_明細[[#This Row],[商品ID]],商品マスタ[商品連番],商品マスタ[単位],"",0,1)</f>
        <v/>
      </c>
      <c r="M200" s="249">
        <f>1-tbl_明細[[#This Row],[仕入価格]]/tbl_明細[[#This Row],[販売価格（売値）]]</f>
        <v/>
      </c>
      <c r="N200" s="189">
        <f>_xlfn.XLOOKUP(tbl_明細[[#This Row],[商品ID]],商品マスタ[商品連番],商品マスタ[税率],"",0,1)</f>
        <v/>
      </c>
      <c r="O200" s="120" t="n"/>
      <c r="P200" s="209" t="n"/>
      <c r="Q200" s="85" t="n"/>
      <c r="R200" s="85" t="n"/>
      <c r="S200" s="209" t="n"/>
      <c r="T200" s="209" t="n"/>
      <c r="U200" s="79" t="n"/>
      <c r="V200" s="79" t="n"/>
      <c r="W200" s="113" t="n"/>
      <c r="X200" s="306">
        <f>tbl_明細[[#This Row],[仕入価格]]*tbl_明細[[#This Row],[数量]]+tbl_明細[[#This Row],[仕入価格（M)]]*tbl_明細[[#This Row],[数量（M)]]</f>
        <v/>
      </c>
      <c r="Y200" s="306">
        <f>tbl_明細[[#This Row],[販売価格（売値）]]*tbl_明細[[#This Row],[数量]]+tbl_明細[[#This Row],[販売価格（M)]]*tbl_明細[[#This Row],[数量（M)]]</f>
        <v/>
      </c>
      <c r="Z200" s="307">
        <f>_xlfn.XLOOKUP(tbl_明細[[#This Row],[案件番号]],tbl_案件追跡[案件番号],tbl_案件追跡[受注],"",0,1)</f>
        <v/>
      </c>
      <c r="AA200" s="228">
        <f>tbl_明細[[#This Row],[販売価格（売値）]]+tbl_明細[[#This Row],[販売価格（M)]]</f>
        <v/>
      </c>
      <c r="AB200" s="261">
        <f>tbl_明細[[#This Row],[販売価格（売値）]]*1.08+tbl_明細[[#This Row],[販売価格（M)]]*1.08</f>
        <v/>
      </c>
    </row>
    <row r="201">
      <c r="A201" s="212" t="n"/>
      <c r="B201" s="77">
        <f>IF(ISBLANK(tbl_明細[[#This Row],[案件番号]]),"",COUNTIFS($A$3:A201,tbl_明細[[#This Row],[案件番号]],$AA$3:AA201,"&gt;0"))</f>
        <v/>
      </c>
      <c r="C201" s="209">
        <f>COUNTIFS($A$3:A201,tbl_明細[[#This Row],[案件番号]],$F$3:F201,tbl_明細[[#This Row],[仕入先]])</f>
        <v/>
      </c>
      <c r="D201" s="77">
        <f>_xlfn.XLOOKUP(tbl_明細[[#This Row],[案件番号]],tbl_採番[案件番号],tbl_採番[顧客],"",0,1)</f>
        <v/>
      </c>
      <c r="E201" s="209" t="n"/>
      <c r="F201" s="118">
        <f>IF(ISBLANK(tbl_明細[[#This Row],[仕入先（M)]]),_xlfn.XLOOKUP(tbl_明細[[#This Row],[商品ID]],商品マスタ[商品連番],商品マスタ[仕入先],"",0,1),tbl_明細[[#This Row],[仕入先（M)]])</f>
        <v/>
      </c>
      <c r="G201" s="112">
        <f>IF(ISBLANK(tbl_明細[[#This Row],[商品名（M)]]),_xlfn.XLOOKUP(tbl_明細[[#This Row],[商品ID]],商品マスタ[商品連番],商品マスタ[商品名],"",0,),tbl_明細[[#This Row],[商品名（M)]])</f>
        <v/>
      </c>
      <c r="H201" s="80">
        <f>IF(ISBLANK(tbl_明細[[#This Row],[仕入価格（M)]]),_xlfn.XLOOKUP(tbl_明細[[#This Row],[商品ID]],商品マスタ[商品連番],商品マスタ[仕入
単価],"",0,1),tbl_明細[[#This Row],[仕入価格（M)]])</f>
        <v/>
      </c>
      <c r="I201" s="80">
        <f>_xlfn.XLOOKUP(tbl_明細[[#This Row],[商品ID]],商品マスタ[商品連番],商品マスタ[国内定価
（15％）],"",0,1)</f>
        <v/>
      </c>
      <c r="J201" s="85" t="n"/>
      <c r="K201" s="209" t="n"/>
      <c r="L201" s="77">
        <f>_xlfn.XLOOKUP(tbl_明細[[#This Row],[商品ID]],商品マスタ[商品連番],商品マスタ[単位],"",0,1)</f>
        <v/>
      </c>
      <c r="M201" s="249">
        <f>1-tbl_明細[[#This Row],[仕入価格]]/tbl_明細[[#This Row],[販売価格（売値）]]</f>
        <v/>
      </c>
      <c r="N201" s="189">
        <f>_xlfn.XLOOKUP(tbl_明細[[#This Row],[商品ID]],商品マスタ[商品連番],商品マスタ[税率],"",0,1)</f>
        <v/>
      </c>
      <c r="O201" s="120" t="n"/>
      <c r="P201" s="209" t="n"/>
      <c r="Q201" s="85" t="n"/>
      <c r="R201" s="85" t="n"/>
      <c r="S201" s="209" t="n"/>
      <c r="T201" s="209" t="n"/>
      <c r="U201" s="79" t="n"/>
      <c r="V201" s="79" t="n"/>
      <c r="W201" s="113" t="n"/>
      <c r="X201" s="306">
        <f>tbl_明細[[#This Row],[仕入価格]]*tbl_明細[[#This Row],[数量]]+tbl_明細[[#This Row],[仕入価格（M)]]*tbl_明細[[#This Row],[数量（M)]]</f>
        <v/>
      </c>
      <c r="Y201" s="306">
        <f>tbl_明細[[#This Row],[販売価格（売値）]]*tbl_明細[[#This Row],[数量]]+tbl_明細[[#This Row],[販売価格（M)]]*tbl_明細[[#This Row],[数量（M)]]</f>
        <v/>
      </c>
      <c r="Z201" s="307">
        <f>_xlfn.XLOOKUP(tbl_明細[[#This Row],[案件番号]],tbl_案件追跡[案件番号],tbl_案件追跡[受注],"",0,1)</f>
        <v/>
      </c>
      <c r="AA201" s="228">
        <f>tbl_明細[[#This Row],[販売価格（売値）]]+tbl_明細[[#This Row],[販売価格（M)]]</f>
        <v/>
      </c>
      <c r="AB201" s="261">
        <f>tbl_明細[[#This Row],[販売価格（売値）]]*1.08+tbl_明細[[#This Row],[販売価格（M)]]*1.08</f>
        <v/>
      </c>
    </row>
    <row r="202">
      <c r="A202" s="212" t="n"/>
      <c r="B202" s="77">
        <f>IF(ISBLANK(tbl_明細[[#This Row],[案件番号]]),"",COUNTIFS($A$3:A202,tbl_明細[[#This Row],[案件番号]],$AA$3:AA202,"&gt;0"))</f>
        <v/>
      </c>
      <c r="C202" s="209">
        <f>COUNTIFS($A$3:A202,tbl_明細[[#This Row],[案件番号]],$F$3:F202,tbl_明細[[#This Row],[仕入先]])</f>
        <v/>
      </c>
      <c r="D202" s="77">
        <f>_xlfn.XLOOKUP(tbl_明細[[#This Row],[案件番号]],tbl_採番[案件番号],tbl_採番[顧客],"",0,1)</f>
        <v/>
      </c>
      <c r="E202" s="209" t="n"/>
      <c r="F202" s="118">
        <f>IF(ISBLANK(tbl_明細[[#This Row],[仕入先（M)]]),_xlfn.XLOOKUP(tbl_明細[[#This Row],[商品ID]],商品マスタ[商品連番],商品マスタ[仕入先],"",0,1),tbl_明細[[#This Row],[仕入先（M)]])</f>
        <v/>
      </c>
      <c r="G202" s="112">
        <f>IF(ISBLANK(tbl_明細[[#This Row],[商品名（M)]]),_xlfn.XLOOKUP(tbl_明細[[#This Row],[商品ID]],商品マスタ[商品連番],商品マスタ[商品名],"",0,),tbl_明細[[#This Row],[商品名（M)]])</f>
        <v/>
      </c>
      <c r="H202" s="80">
        <f>IF(ISBLANK(tbl_明細[[#This Row],[仕入価格（M)]]),_xlfn.XLOOKUP(tbl_明細[[#This Row],[商品ID]],商品マスタ[商品連番],商品マスタ[仕入
単価],"",0,1),tbl_明細[[#This Row],[仕入価格（M)]])</f>
        <v/>
      </c>
      <c r="I202" s="80">
        <f>_xlfn.XLOOKUP(tbl_明細[[#This Row],[商品ID]],商品マスタ[商品連番],商品マスタ[国内定価
（15％）],"",0,1)</f>
        <v/>
      </c>
      <c r="J202" s="85" t="n"/>
      <c r="K202" s="209" t="n"/>
      <c r="L202" s="77">
        <f>_xlfn.XLOOKUP(tbl_明細[[#This Row],[商品ID]],商品マスタ[商品連番],商品マスタ[単位],"",0,1)</f>
        <v/>
      </c>
      <c r="M202" s="249">
        <f>1-tbl_明細[[#This Row],[仕入価格]]/tbl_明細[[#This Row],[販売価格（売値）]]</f>
        <v/>
      </c>
      <c r="N202" s="189">
        <f>_xlfn.XLOOKUP(tbl_明細[[#This Row],[商品ID]],商品マスタ[商品連番],商品マスタ[税率],"",0,1)</f>
        <v/>
      </c>
      <c r="O202" s="120" t="n"/>
      <c r="P202" s="209" t="n"/>
      <c r="Q202" s="85" t="n"/>
      <c r="R202" s="85" t="n"/>
      <c r="S202" s="209" t="n"/>
      <c r="T202" s="209" t="n"/>
      <c r="U202" s="79" t="n"/>
      <c r="V202" s="79" t="n"/>
      <c r="W202" s="113" t="n"/>
      <c r="X202" s="306">
        <f>tbl_明細[[#This Row],[仕入価格]]*tbl_明細[[#This Row],[数量]]+tbl_明細[[#This Row],[仕入価格（M)]]*tbl_明細[[#This Row],[数量（M)]]</f>
        <v/>
      </c>
      <c r="Y202" s="306">
        <f>tbl_明細[[#This Row],[販売価格（売値）]]*tbl_明細[[#This Row],[数量]]+tbl_明細[[#This Row],[販売価格（M)]]*tbl_明細[[#This Row],[数量（M)]]</f>
        <v/>
      </c>
      <c r="Z202" s="307">
        <f>_xlfn.XLOOKUP(tbl_明細[[#This Row],[案件番号]],tbl_案件追跡[案件番号],tbl_案件追跡[受注],"",0,1)</f>
        <v/>
      </c>
      <c r="AA202" s="228">
        <f>tbl_明細[[#This Row],[販売価格（売値）]]+tbl_明細[[#This Row],[販売価格（M)]]</f>
        <v/>
      </c>
      <c r="AB202" s="261">
        <f>tbl_明細[[#This Row],[販売価格（売値）]]*1.08+tbl_明細[[#This Row],[販売価格（M)]]*1.08</f>
        <v/>
      </c>
    </row>
    <row r="203" ht="18.6" customHeight="1" s="207" thickBot="1">
      <c r="A203" s="213" t="n"/>
      <c r="B203" s="77">
        <f>IF(ISBLANK(tbl_明細[[#This Row],[案件番号]]),"",COUNTIFS($A$3:A203,tbl_明細[[#This Row],[案件番号]],$AA$3:AA203,"&gt;0"))</f>
        <v/>
      </c>
      <c r="C203" s="219">
        <f>COUNTIFS($A$3:A203,tbl_明細[[#This Row],[案件番号]],$F$3:F203,tbl_明細[[#This Row],[仕入先]])</f>
        <v/>
      </c>
      <c r="D203" s="78">
        <f>_xlfn.XLOOKUP(tbl_明細[[#This Row],[案件番号]],tbl_採番[案件番号],tbl_採番[顧客],"",0,1)</f>
        <v/>
      </c>
      <c r="E203" s="219" t="n"/>
      <c r="F203" s="119">
        <f>IF(ISBLANK(tbl_明細[[#This Row],[仕入先（M)]]),_xlfn.XLOOKUP(tbl_明細[[#This Row],[商品ID]],商品マスタ[商品連番],商品マスタ[仕入先],"",0,1),tbl_明細[[#This Row],[仕入先（M)]])</f>
        <v/>
      </c>
      <c r="G203" s="114">
        <f>IF(ISBLANK(tbl_明細[[#This Row],[商品名（M)]]),_xlfn.XLOOKUP(tbl_明細[[#This Row],[商品ID]],商品マスタ[商品連番],商品マスタ[商品名],"",0,),tbl_明細[[#This Row],[商品名（M)]])</f>
        <v/>
      </c>
      <c r="H203" s="110">
        <f>IF(ISBLANK(tbl_明細[[#This Row],[仕入価格（M)]]),_xlfn.XLOOKUP(tbl_明細[[#This Row],[商品ID]],商品マスタ[商品連番],商品マスタ[仕入
単価],"",0,1),tbl_明細[[#This Row],[仕入価格（M)]])</f>
        <v/>
      </c>
      <c r="I203" s="110">
        <f>_xlfn.XLOOKUP(tbl_明細[[#This Row],[商品ID]],商品マスタ[商品連番],商品マスタ[国内定価
（15％）],"",0,1)</f>
        <v/>
      </c>
      <c r="J203" s="116" t="n"/>
      <c r="K203" s="115" t="n"/>
      <c r="L203" s="109">
        <f>_xlfn.XLOOKUP(tbl_明細[[#This Row],[商品ID]],商品マスタ[商品連番],商品マスタ[単位],"",0,1)</f>
        <v/>
      </c>
      <c r="M203" s="250">
        <f>1-tbl_明細[[#This Row],[仕入価格]]/tbl_明細[[#This Row],[販売価格（売値）]]</f>
        <v/>
      </c>
      <c r="N203" s="190">
        <f>_xlfn.XLOOKUP(tbl_明細[[#This Row],[商品ID]],商品マスタ[商品連番],商品マスタ[税率],"",0,1)</f>
        <v/>
      </c>
      <c r="O203" s="121" t="n"/>
      <c r="P203" s="115" t="n"/>
      <c r="Q203" s="116" t="n"/>
      <c r="R203" s="116" t="n"/>
      <c r="S203" s="115" t="n"/>
      <c r="T203" s="115" t="n"/>
      <c r="U203" s="191" t="n"/>
      <c r="V203" s="191" t="n"/>
      <c r="W203" s="117" t="n"/>
      <c r="X203" s="308">
        <f>tbl_明細[[#This Row],[仕入価格]]*tbl_明細[[#This Row],[数量]]+tbl_明細[[#This Row],[仕入価格（M)]]*tbl_明細[[#This Row],[数量（M)]]</f>
        <v/>
      </c>
      <c r="Y203" s="308">
        <f>tbl_明細[[#This Row],[販売価格（売値）]]*tbl_明細[[#This Row],[数量]]+tbl_明細[[#This Row],[販売価格（M)]]*tbl_明細[[#This Row],[数量（M)]]</f>
        <v/>
      </c>
      <c r="Z203" s="309">
        <f>_xlfn.XLOOKUP(tbl_明細[[#This Row],[案件番号]],tbl_案件追跡[案件番号],tbl_案件追跡[受注],"",0,1)</f>
        <v/>
      </c>
      <c r="AA203" s="229">
        <f>tbl_明細[[#This Row],[販売価格（売値）]]+tbl_明細[[#This Row],[販売価格（M)]]</f>
        <v/>
      </c>
      <c r="AB203" s="263">
        <f>tbl_明細[[#This Row],[販売価格（売値）]]*1.08+tbl_明細[[#This Row],[販売価格（M)]]*1.08</f>
        <v/>
      </c>
    </row>
  </sheetData>
  <mergeCells count="2">
    <mergeCell ref="G1:M1"/>
    <mergeCell ref="N1:V1"/>
  </mergeCells>
  <conditionalFormatting sqref="E53:E56">
    <cfRule type="containsText" priority="1" operator="containsText" dxfId="0" text="XXX">
      <formula>NOT(ISERROR(SEARCH("XXX",E53)))</formula>
    </cfRule>
  </conditionalFormatting>
  <pageMargins left="0.7" right="0.7" top="0.75" bottom="0.75" header="0.3" footer="0.3"/>
  <pageSetup orientation="landscape" paperSize="9" scale="39" fitToHeight="0"/>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fitToPage="1"/>
  </sheetPr>
  <dimension ref="A1:CO34"/>
  <sheetViews>
    <sheetView workbookViewId="0">
      <pane xSplit="5" ySplit="3" topLeftCell="J4" activePane="bottomRight" state="frozen"/>
      <selection pane="topRight" activeCell="F1" sqref="F1"/>
      <selection pane="bottomLeft" activeCell="A4" sqref="A4"/>
      <selection pane="bottomRight" activeCell="N7" sqref="N7"/>
    </sheetView>
  </sheetViews>
  <sheetFormatPr baseColWidth="8" defaultRowHeight="18"/>
  <cols>
    <col width="14.59765625" bestFit="1" customWidth="1" style="207" min="1" max="1"/>
    <col width="5.19921875" customWidth="1" style="207" min="2" max="2"/>
    <col width="16.19921875" bestFit="1" customWidth="1" style="207" min="3" max="3"/>
    <col width="16.69921875" customWidth="1" style="207" min="4" max="4"/>
    <col width="19.09765625" customWidth="1" style="207" min="5" max="5"/>
    <col width="8.19921875" customWidth="1" style="207" min="6" max="6"/>
    <col width="16.19921875" customWidth="1" style="207" min="7" max="7"/>
    <col width="41.19921875" customWidth="1" style="207" min="8" max="9"/>
    <col width="31.59765625" bestFit="1" customWidth="1" style="207" min="10" max="10"/>
    <col width="18" customWidth="1" style="207" min="11" max="11"/>
    <col width="18.19921875" bestFit="1" customWidth="1" style="207" min="12" max="12"/>
    <col width="9.19921875" customWidth="1" style="207" min="13" max="14"/>
    <col width="9.19921875" customWidth="1" style="207" min="15" max="15"/>
    <col width="9.19921875" customWidth="1" style="207" min="16" max="16"/>
    <col width="9.19921875" customWidth="1" style="207" min="17" max="18"/>
    <col width="9.19921875" customWidth="1" style="207" min="19" max="21"/>
    <col width="9.19921875" customWidth="1" style="207" min="22" max="26"/>
    <col width="9.3984375" customWidth="1" style="207" min="27" max="27"/>
    <col hidden="1" width="8.09765625" customWidth="1" style="207" min="28" max="28"/>
    <col width="9.19921875" customWidth="1" style="207" min="29" max="29"/>
    <col width="26.59765625" customWidth="1" style="207" min="30" max="30"/>
    <col width="9.19921875" customWidth="1" style="207" min="31" max="31"/>
    <col width="26.59765625" customWidth="1" style="207" min="32" max="32"/>
    <col width="7.5" customWidth="1" style="207" min="34" max="93"/>
  </cols>
  <sheetData>
    <row r="1" s="207">
      <c r="A1" s="127" t="inlineStr">
        <is>
          <t>※灰色セルは自動入力</t>
        </is>
      </c>
      <c r="AG1" t="inlineStr">
        <is>
          <t>開始日</t>
        </is>
      </c>
      <c r="AH1" s="310" t="n">
        <v>46054</v>
      </c>
      <c r="AJ1" t="inlineStr">
        <is>
          <t>単位</t>
        </is>
      </c>
      <c r="AK1" t="inlineStr">
        <is>
          <t>日</t>
        </is>
      </c>
    </row>
    <row r="2" s="207">
      <c r="A2" s="127" t="n"/>
      <c r="AH2" s="310" t="n"/>
    </row>
    <row r="3" ht="36" customHeight="1" s="207">
      <c r="A3" s="198" t="inlineStr">
        <is>
          <t>案件番号</t>
        </is>
      </c>
      <c r="B3" s="199" t="inlineStr">
        <is>
          <t>仕入先数</t>
        </is>
      </c>
      <c r="C3" s="199" t="inlineStr">
        <is>
          <t>顧客名</t>
        </is>
      </c>
      <c r="D3" s="199" t="inlineStr">
        <is>
          <t>仕入先</t>
        </is>
      </c>
      <c r="E3" s="199" t="inlineStr">
        <is>
          <t>商材</t>
        </is>
      </c>
      <c r="F3" s="199" t="inlineStr">
        <is>
          <t>顧客
担当者名</t>
        </is>
      </c>
      <c r="G3" s="199" t="inlineStr">
        <is>
          <t>納品先　郵便番号</t>
        </is>
      </c>
      <c r="H3" s="199" t="inlineStr">
        <is>
          <t>納品先　住所1行目</t>
        </is>
      </c>
      <c r="I3" s="199" t="inlineStr">
        <is>
          <t>納品先　住所2行目</t>
        </is>
      </c>
      <c r="J3" s="199" t="inlineStr">
        <is>
          <t>納品先　社名・担当者名</t>
        </is>
      </c>
      <c r="K3" s="199" t="inlineStr">
        <is>
          <t>納品先　電話番号</t>
        </is>
      </c>
      <c r="L3" s="199" t="inlineStr">
        <is>
          <t>支払い条件</t>
        </is>
      </c>
      <c r="M3" s="311" t="inlineStr">
        <is>
          <t>与信</t>
        </is>
      </c>
      <c r="N3" s="311" t="inlineStr">
        <is>
          <t>見積</t>
        </is>
      </c>
      <c r="O3" s="311" t="inlineStr">
        <is>
          <t>受注</t>
        </is>
      </c>
      <c r="P3" s="311" t="inlineStr">
        <is>
          <t>注文確認メール</t>
        </is>
      </c>
      <c r="Q3" s="311" t="inlineStr">
        <is>
          <t>前金入金予定</t>
        </is>
      </c>
      <c r="R3" s="311" t="inlineStr">
        <is>
          <t>前金入金</t>
        </is>
      </c>
      <c r="S3" s="311" t="inlineStr">
        <is>
          <t>発注</t>
        </is>
      </c>
      <c r="T3" s="311" t="inlineStr">
        <is>
          <t>出荷予定</t>
        </is>
      </c>
      <c r="U3" s="311" t="inlineStr">
        <is>
          <t>出荷</t>
        </is>
      </c>
      <c r="V3" s="311" t="inlineStr">
        <is>
          <t>着荷</t>
        </is>
      </c>
      <c r="W3" s="311" t="inlineStr">
        <is>
          <t>仕入計上</t>
        </is>
      </c>
      <c r="X3" s="311" t="inlineStr">
        <is>
          <t>仕入支払</t>
        </is>
      </c>
      <c r="Y3" s="311" t="inlineStr">
        <is>
          <t>売上計上</t>
        </is>
      </c>
      <c r="Z3" s="311" t="inlineStr">
        <is>
          <t>売上入金</t>
        </is>
      </c>
      <c r="AA3" s="199" t="inlineStr">
        <is>
          <t>担当</t>
        </is>
      </c>
      <c r="AB3" s="199" t="inlineStr">
        <is>
          <t>行数</t>
        </is>
      </c>
      <c r="AC3" s="199" t="inlineStr">
        <is>
          <t>仕入請求書受領</t>
        </is>
      </c>
      <c r="AD3" s="199" t="inlineStr">
        <is>
          <t>（経理処理用）
ガリレオ伝票No（仕入支払）</t>
        </is>
      </c>
      <c r="AE3" s="311" t="inlineStr">
        <is>
          <t>売上請求書送付</t>
        </is>
      </c>
      <c r="AF3" s="201" t="inlineStr">
        <is>
          <t>（経理処理用）
ガリレオ伝票No（売上請求）</t>
        </is>
      </c>
      <c r="AH3" s="312">
        <f>$AH$1 - WEEKDAY($AH$1,3)</f>
        <v/>
      </c>
      <c r="AI3" s="312">
        <f>IF($AK$1="日",AH3+DAY(1),AH3+DAY(7))</f>
        <v/>
      </c>
      <c r="AJ3" s="312">
        <f>IF($AK$1="日",AI3+DAY(1),AI3+DAY(7))</f>
        <v/>
      </c>
      <c r="AK3" s="312">
        <f>IF($AK$1="日",AJ3+DAY(1),AJ3+DAY(7))</f>
        <v/>
      </c>
      <c r="AL3" s="312">
        <f>IF($AK$1="日",AK3+DAY(1),AK3+DAY(7))</f>
        <v/>
      </c>
      <c r="AM3" s="312">
        <f>IF($AK$1="日",AL3+DAY(1),AL3+DAY(7))</f>
        <v/>
      </c>
      <c r="AN3" s="312">
        <f>IF($AK$1="日",AM3+DAY(1),AM3+DAY(7))</f>
        <v/>
      </c>
      <c r="AO3" s="312">
        <f>IF($AK$1="日",AN3+DAY(1),AN3+DAY(7))</f>
        <v/>
      </c>
      <c r="AP3" s="312">
        <f>IF($AK$1="日",AO3+DAY(1),AO3+DAY(7))</f>
        <v/>
      </c>
      <c r="AQ3" s="312">
        <f>IF($AK$1="日",AP3+DAY(1),AP3+DAY(7))</f>
        <v/>
      </c>
      <c r="AR3" s="312">
        <f>IF($AK$1="日",AQ3+DAY(1),AQ3+DAY(7))</f>
        <v/>
      </c>
      <c r="AS3" s="312">
        <f>IF($AK$1="日",AR3+DAY(1),AR3+DAY(7))</f>
        <v/>
      </c>
      <c r="AT3" s="312">
        <f>IF($AK$1="日",AS3+DAY(1),AS3+DAY(7))</f>
        <v/>
      </c>
      <c r="AU3" s="312">
        <f>IF($AK$1="日",AT3+DAY(1),AT3+DAY(7))</f>
        <v/>
      </c>
      <c r="AV3" s="312">
        <f>IF($AK$1="日",AU3+DAY(1),AU3+DAY(7))</f>
        <v/>
      </c>
      <c r="AW3" s="312">
        <f>IF($AK$1="日",AV3+DAY(1),AV3+DAY(7))</f>
        <v/>
      </c>
      <c r="AX3" s="312">
        <f>IF($AK$1="日",AW3+DAY(1),AW3+DAY(7))</f>
        <v/>
      </c>
      <c r="AY3" s="312">
        <f>IF($AK$1="日",AX3+DAY(1),AX3+DAY(7))</f>
        <v/>
      </c>
      <c r="AZ3" s="312">
        <f>IF($AK$1="日",AY3+DAY(1),AY3+DAY(7))</f>
        <v/>
      </c>
      <c r="BA3" s="312">
        <f>IF($AK$1="日",AZ3+DAY(1),AZ3+DAY(7))</f>
        <v/>
      </c>
      <c r="BB3" s="312">
        <f>IF($AK$1="日",BA3+DAY(1),BA3+DAY(7))</f>
        <v/>
      </c>
      <c r="BC3" s="312">
        <f>IF($AK$1="日",BB3+DAY(1),BB3+DAY(7))</f>
        <v/>
      </c>
      <c r="BD3" s="312">
        <f>IF($AK$1="日",BC3+DAY(1),BC3+DAY(7))</f>
        <v/>
      </c>
      <c r="BE3" s="312">
        <f>IF($AK$1="日",BD3+DAY(1),BD3+DAY(7))</f>
        <v/>
      </c>
      <c r="BF3" s="312">
        <f>IF($AK$1="日",BE3+DAY(1),BE3+DAY(7))</f>
        <v/>
      </c>
      <c r="BG3" s="312">
        <f>IF($AK$1="日",BF3+DAY(1),BF3+DAY(7))</f>
        <v/>
      </c>
      <c r="BH3" s="312">
        <f>IF($AK$1="日",BG3+DAY(1),BG3+DAY(7))</f>
        <v/>
      </c>
      <c r="BI3" s="312">
        <f>IF($AK$1="日",BH3+DAY(1),BH3+DAY(7))</f>
        <v/>
      </c>
      <c r="BJ3" s="312">
        <f>IF($AK$1="日",BI3+DAY(1),BI3+DAY(7))</f>
        <v/>
      </c>
      <c r="BK3" s="312">
        <f>IF($AK$1="日",BJ3+DAY(1),BJ3+DAY(7))</f>
        <v/>
      </c>
      <c r="BL3" s="312">
        <f>IF($AK$1="日",BK3+DAY(1),BK3+DAY(7))</f>
        <v/>
      </c>
      <c r="BM3" s="312">
        <f>IF($AK$1="日",BL3+DAY(1),BL3+DAY(7))</f>
        <v/>
      </c>
      <c r="BN3" s="312">
        <f>IF($AK$1="日",BM3+DAY(1),BM3+DAY(7))</f>
        <v/>
      </c>
      <c r="BO3" s="312">
        <f>IF($AK$1="日",BN3+DAY(1),BN3+DAY(7))</f>
        <v/>
      </c>
      <c r="BP3" s="312">
        <f>IF($AK$1="日",BO3+DAY(1),BO3+DAY(7))</f>
        <v/>
      </c>
      <c r="BQ3" s="312">
        <f>IF($AK$1="日",BP3+DAY(1),BP3+DAY(7))</f>
        <v/>
      </c>
      <c r="BR3" s="312">
        <f>IF($AK$1="日",BQ3+DAY(1),BQ3+DAY(7))</f>
        <v/>
      </c>
      <c r="BS3" s="312">
        <f>IF($AK$1="日",BR3+DAY(1),BR3+DAY(7))</f>
        <v/>
      </c>
      <c r="BT3" s="312">
        <f>IF($AK$1="日",BS3+DAY(1),BS3+DAY(7))</f>
        <v/>
      </c>
      <c r="BU3" s="312">
        <f>IF($AK$1="日",BT3+DAY(1),BT3+DAY(7))</f>
        <v/>
      </c>
      <c r="BV3" s="312">
        <f>IF($AK$1="日",BU3+DAY(1),BU3+DAY(7))</f>
        <v/>
      </c>
      <c r="BW3" s="312">
        <f>IF($AK$1="日",BV3+DAY(1),BV3+DAY(7))</f>
        <v/>
      </c>
      <c r="BX3" s="312">
        <f>IF($AK$1="日",BW3+DAY(1),BW3+DAY(7))</f>
        <v/>
      </c>
      <c r="BY3" s="312">
        <f>IF($AK$1="日",BX3+DAY(1),BX3+DAY(7))</f>
        <v/>
      </c>
      <c r="BZ3" s="312">
        <f>IF($AK$1="日",BY3+DAY(1),BY3+DAY(7))</f>
        <v/>
      </c>
      <c r="CA3" s="312">
        <f>IF($AK$1="日",BZ3+DAY(1),BZ3+DAY(7))</f>
        <v/>
      </c>
      <c r="CB3" s="312">
        <f>IF($AK$1="日",CA3+DAY(1),CA3+DAY(7))</f>
        <v/>
      </c>
      <c r="CC3" s="312">
        <f>IF($AK$1="日",CB3+DAY(1),CB3+DAY(7))</f>
        <v/>
      </c>
      <c r="CD3" s="312">
        <f>IF($AK$1="日",CC3+DAY(1),CC3+DAY(7))</f>
        <v/>
      </c>
      <c r="CE3" s="312">
        <f>IF($AK$1="日",CD3+DAY(1),CD3+DAY(7))</f>
        <v/>
      </c>
      <c r="CF3" s="312">
        <f>IF($AK$1="日",CE3+DAY(1),CE3+DAY(7))</f>
        <v/>
      </c>
      <c r="CG3" s="312">
        <f>IF($AK$1="日",CF3+DAY(1),CF3+DAY(7))</f>
        <v/>
      </c>
      <c r="CH3" s="312">
        <f>IF($AK$1="日",CG3+DAY(1),CG3+DAY(7))</f>
        <v/>
      </c>
      <c r="CI3" s="312">
        <f>IF($AK$1="日",CH3+DAY(1),CH3+DAY(7))</f>
        <v/>
      </c>
      <c r="CJ3" s="312">
        <f>IF($AK$1="日",CI3+DAY(1),CI3+DAY(7))</f>
        <v/>
      </c>
      <c r="CK3" s="312">
        <f>IF($AK$1="日",CJ3+DAY(1),CJ3+DAY(7))</f>
        <v/>
      </c>
      <c r="CL3" s="312">
        <f>IF($AK$1="日",CK3+DAY(1),CK3+DAY(7))</f>
        <v/>
      </c>
      <c r="CM3" s="312">
        <f>IF($AK$1="日",CL3+DAY(1),CL3+DAY(7))</f>
        <v/>
      </c>
      <c r="CN3" s="312">
        <f>IF($AK$1="日",CM3+DAY(1),CM3+DAY(7))</f>
        <v/>
      </c>
      <c r="CO3" s="312">
        <f>IF($AK$1="日",CN3+DAY(1),CN3+DAY(7))</f>
        <v/>
      </c>
    </row>
    <row r="4">
      <c r="A4" s="212" t="inlineStr">
        <is>
          <t>2601-1001-S01</t>
        </is>
      </c>
      <c r="B4" s="209">
        <f t="array" ref="B4">IF(ISBLANK(tbl_案件追跡[[#This Row],[案件番号]]),"",COUNTA(_xlfn.UNIQUE(_xlfn._xlws.FILTER(tbl_明細[仕入先], tbl_明細[案件番号]=tbl_案件追跡[[#This Row],[案件番号]]))))</f>
        <v/>
      </c>
      <c r="C4" s="77">
        <f>IF(ISBLANK(tbl_案件追跡[[#This Row],[案件番号]]),"",_xlfn.XLOOKUP(tbl_案件追跡[[#This Row],[案件番号]],tbl_明細[案件番号],tbl_明細[顧客名],"",0,1))</f>
        <v/>
      </c>
      <c r="D4" s="209">
        <f>IF(ISBLANK(tbl_案件追跡[[#This Row],[案件番号]]),"",IF(tbl_案件追跡[[#This Row],[仕入先数]] = 1, _xlfn.XLOOKUP(tbl_案件追跡[[#This Row],[案件番号]],tbl_明細[案件番号],tbl_明細[仕入先],"",0,1),""))</f>
        <v/>
      </c>
      <c r="E4" s="77">
        <f t="array" ref="E4">IF(ISBLANK(tbl_案件追跡[[#This Row],[案件番号]]),"",_xlfn.XLOOKUP(tbl_案件追跡[[#This Row],[案件番号]]&amp;tbl_案件追跡[[#This Row],[仕入先]],tbl_明細[案件番号]&amp;tbl_明細[仕入先],tbl_明細[商品名],"",0,1))</f>
        <v/>
      </c>
      <c r="F4" s="209" t="inlineStr">
        <is>
          <t>馮</t>
        </is>
      </c>
      <c r="G4" s="209" t="n"/>
      <c r="H4" s="209" t="n"/>
      <c r="I4" s="209" t="n"/>
      <c r="J4" s="209" t="n"/>
      <c r="K4" s="209" t="n"/>
      <c r="L4" s="209" t="inlineStr">
        <is>
          <t>前払</t>
        </is>
      </c>
      <c r="M4" s="313" t="n"/>
      <c r="N4" s="314" t="n">
        <v>46037</v>
      </c>
      <c r="O4" s="314" t="n">
        <v>46042</v>
      </c>
      <c r="P4" s="313" t="n"/>
      <c r="Q4" s="314" t="n">
        <v>46035</v>
      </c>
      <c r="R4" s="314" t="n">
        <v>46035</v>
      </c>
      <c r="S4" s="314" t="n">
        <v>46035</v>
      </c>
      <c r="T4" s="314" t="n">
        <v>46035.70833333334</v>
      </c>
      <c r="U4" s="314" t="n">
        <v>46035.70833333334</v>
      </c>
      <c r="V4" s="314" t="n">
        <v>46037.5</v>
      </c>
      <c r="W4" s="313">
        <f>IF(ISBLANK(tbl_案件追跡[[#This Row],[着荷]]),"",EOMONTH(tbl_案件追跡[[#This Row],[着荷]],0))</f>
        <v/>
      </c>
      <c r="X4" s="313" t="n"/>
      <c r="Y4" s="313">
        <f>IF(AND(tbl_案件追跡[[#This Row],[支払い条件]]="前払",ISBLANK(tbl_案件追跡[[#This Row],[受注]])= FALSE ),tbl_案件追跡[[#This Row],[受注]],IF(ISBLANK(tbl_案件追跡[[#This Row],[着荷]]),"",EOMONTH(tbl_案件追跡[[#This Row],[着荷]],0)))</f>
        <v/>
      </c>
      <c r="Z4" s="313" t="n"/>
      <c r="AA4" s="77">
        <f>_xlfn.XLOOKUP(tbl_案件追跡[[#This Row],[案件番号]],tbl_採番[案件番号],tbl_採番[担当者],"",0,1)</f>
        <v/>
      </c>
      <c r="AB4" s="209">
        <f>IF(ISBLANK(tbl_案件追跡[[#This Row],[案件番号]]),"",COUNTIF(tbl_案件追跡[案件番号],tbl_案件追跡[[#This Row],[案件番号]]))</f>
        <v/>
      </c>
      <c r="AC4" s="313" t="n">
        <v>46055</v>
      </c>
      <c r="AD4" s="209" t="n">
        <v>1010079</v>
      </c>
      <c r="AE4" s="313" t="n"/>
      <c r="AF4" s="72" t="n">
        <v>1120110</v>
      </c>
      <c r="AH4" s="222">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4" s="222">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4" s="222">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4" s="222">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4" s="222">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4" s="222">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4" s="222">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4" s="222">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4" s="222">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4" s="222">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4" s="222">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4" s="222">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4" s="222">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4" s="222">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4" s="222">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4" s="222">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4" s="222">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4" s="222">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4" s="222">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4" s="222">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4" s="222">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4" s="222">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4" s="222">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4" s="222">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4" s="222">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4" s="222">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4" s="222">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4" s="222">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4" s="222">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4" s="222">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4" s="222">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4" s="222">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4" s="222">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4" s="222">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4" s="222">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4" s="222">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4" s="222">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4" s="222">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4" s="222">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4" s="222">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4" s="222">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4" s="222">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4" s="222">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4" s="222">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4" s="222">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4" s="222">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4" s="222">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4" s="222">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4" s="222">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4" s="222">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4" s="222">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4" s="222">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4" s="222">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4" s="222">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4" s="222">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4" s="222">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4" s="222">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4" s="222">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4" s="222">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4" s="222">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5">
      <c r="A5" s="212" t="inlineStr">
        <is>
          <t>2601-1002-S01</t>
        </is>
      </c>
      <c r="B5" s="209">
        <f t="array" ref="B5">IF(ISBLANK(tbl_案件追跡[[#This Row],[案件番号]]),"",COUNTA(_xlfn.UNIQUE(_xlfn._xlws.FILTER(tbl_明細[仕入先], tbl_明細[案件番号]=tbl_案件追跡[[#This Row],[案件番号]]))))</f>
        <v/>
      </c>
      <c r="C5" s="77">
        <f>IF(ISBLANK(tbl_案件追跡[[#This Row],[案件番号]]),"",_xlfn.XLOOKUP(tbl_案件追跡[[#This Row],[案件番号]],tbl_明細[案件番号],tbl_明細[顧客名],"",0,1))</f>
        <v/>
      </c>
      <c r="D5" s="209">
        <f>IF(ISBLANK(tbl_案件追跡[[#This Row],[案件番号]]),"",IF(tbl_案件追跡[[#This Row],[仕入先数]] = 1, _xlfn.XLOOKUP(tbl_案件追跡[[#This Row],[案件番号]],tbl_明細[案件番号],tbl_明細[仕入先],"",0,1),""))</f>
        <v/>
      </c>
      <c r="E5" s="77">
        <f t="array" ref="E5">IF(ISBLANK(tbl_案件追跡[[#This Row],[案件番号]]),"",_xlfn.XLOOKUP(tbl_案件追跡[[#This Row],[案件番号]]&amp;tbl_案件追跡[[#This Row],[仕入先]],tbl_明細[案件番号]&amp;tbl_明細[仕入先],tbl_明細[商品名],"",0,1))</f>
        <v/>
      </c>
      <c r="F5" s="209" t="inlineStr">
        <is>
          <t>馮</t>
        </is>
      </c>
      <c r="G5" s="209" t="n"/>
      <c r="H5" s="209" t="n"/>
      <c r="I5" s="209" t="n"/>
      <c r="J5" s="209" t="n"/>
      <c r="K5" s="209" t="n"/>
      <c r="L5" s="209" t="inlineStr">
        <is>
          <t>前払</t>
        </is>
      </c>
      <c r="M5" s="313" t="n"/>
      <c r="N5" s="314" t="n">
        <v>46041</v>
      </c>
      <c r="O5" s="314" t="n">
        <v>46042</v>
      </c>
      <c r="P5" s="313" t="n"/>
      <c r="Q5" s="314" t="n">
        <v>46044</v>
      </c>
      <c r="R5" s="314" t="n">
        <v>46044</v>
      </c>
      <c r="S5" s="314" t="n">
        <v>46045</v>
      </c>
      <c r="T5" s="314" t="n">
        <v>46045.70833333334</v>
      </c>
      <c r="U5" s="314" t="n">
        <v>46045.625</v>
      </c>
      <c r="V5" s="314" t="n">
        <v>46048.45833333334</v>
      </c>
      <c r="W5" s="313">
        <f>IF(ISBLANK(tbl_案件追跡[[#This Row],[着荷]]),"",EOMONTH(tbl_案件追跡[[#This Row],[着荷]],0))</f>
        <v/>
      </c>
      <c r="X5" s="313" t="n"/>
      <c r="Y5" s="313">
        <f>IF(AND(tbl_案件追跡[[#This Row],[支払い条件]]="前払",ISBLANK(tbl_案件追跡[[#This Row],[受注]])= FALSE ),tbl_案件追跡[[#This Row],[受注]],IF(ISBLANK(tbl_案件追跡[[#This Row],[着荷]]),"",EOMONTH(tbl_案件追跡[[#This Row],[着荷]],0)))</f>
        <v/>
      </c>
      <c r="Z5" s="313" t="n"/>
      <c r="AA5" s="77">
        <f>_xlfn.XLOOKUP(tbl_案件追跡[[#This Row],[案件番号]],tbl_採番[案件番号],tbl_採番[担当者],"",0,1)</f>
        <v/>
      </c>
      <c r="AB5" s="209">
        <f>IF(ISBLANK(tbl_案件追跡[[#This Row],[案件番号]]),"",COUNTIF(tbl_案件追跡[案件番号],tbl_案件追跡[[#This Row],[案件番号]]))</f>
        <v/>
      </c>
      <c r="AC5" s="313" t="n"/>
      <c r="AD5" s="209" t="n">
        <v>1010119</v>
      </c>
      <c r="AE5" s="313" t="n"/>
      <c r="AF5" s="72" t="n">
        <v>1010060</v>
      </c>
      <c r="AH5" s="222">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5" s="222">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5" s="222">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5" s="222">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5" s="222">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5" s="222">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5" s="222">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5" s="222">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5" s="222">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5" s="222">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5" s="222">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5" s="222">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5" s="222">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5" s="222">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5" s="222">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5" s="222">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5" s="222">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5" s="222">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5" s="222">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5" s="222">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5" s="222">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5" s="222">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5" s="222">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5" s="222">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5" s="222">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5" s="222">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5" s="222">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5" s="222">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5" s="222">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5" s="222">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5" s="222">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5" s="222">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5" s="222">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5" s="222">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5" s="222">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5" s="222">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5" s="222">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5" s="222">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5" s="222">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5" s="222">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5" s="222">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5" s="222">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5" s="222">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5" s="222">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5" s="222">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5" s="222">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5" s="222">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5" s="222">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5" s="222">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5" s="222">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5" s="222">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5" s="222">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5" s="222">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5" s="222">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5" s="222">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5" s="222">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5" s="222">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5" s="222">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5" s="222">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5" s="222">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6">
      <c r="A6" s="212" t="inlineStr">
        <is>
          <t>2601-1003-A01</t>
        </is>
      </c>
      <c r="B6" s="209">
        <f t="array" ref="B6">IF(ISBLANK(tbl_案件追跡[[#This Row],[案件番号]]),"",COUNTA(_xlfn.UNIQUE(_xlfn._xlws.FILTER(tbl_明細[仕入先], tbl_明細[案件番号]=tbl_案件追跡[[#This Row],[案件番号]]))))</f>
        <v/>
      </c>
      <c r="C6" s="77">
        <f>IF(ISBLANK(tbl_案件追跡[[#This Row],[案件番号]]),"",_xlfn.XLOOKUP(tbl_案件追跡[[#This Row],[案件番号]],tbl_明細[案件番号],tbl_明細[顧客名],"",0,1))</f>
        <v/>
      </c>
      <c r="D6" s="209">
        <f>IF(ISBLANK(tbl_案件追跡[[#This Row],[案件番号]]),"",IF(tbl_案件追跡[[#This Row],[仕入先数]] = 1, _xlfn.XLOOKUP(tbl_案件追跡[[#This Row],[案件番号]],tbl_明細[案件番号],tbl_明細[仕入先],"",0,1),""))</f>
        <v/>
      </c>
      <c r="E6" s="77">
        <f t="array" ref="E6">IF(ISBLANK(tbl_案件追跡[[#This Row],[案件番号]]),"",_xlfn.XLOOKUP(tbl_案件追跡[[#This Row],[案件番号]]&amp;tbl_案件追跡[[#This Row],[仕入先]],tbl_明細[案件番号]&amp;tbl_明細[仕入先],tbl_明細[商品名],"",0,1))</f>
        <v/>
      </c>
      <c r="F6" s="209" t="inlineStr">
        <is>
          <t>ご担当者</t>
        </is>
      </c>
      <c r="G6" s="209" t="n"/>
      <c r="H6" s="209" t="n"/>
      <c r="I6" s="209" t="n"/>
      <c r="J6" s="209" t="n"/>
      <c r="K6" s="209" t="n"/>
      <c r="L6" s="209" t="inlineStr">
        <is>
          <t>月末締め翌月末払い</t>
        </is>
      </c>
      <c r="M6" s="313" t="n"/>
      <c r="N6" s="314" t="n">
        <v>46040</v>
      </c>
      <c r="O6" s="314" t="n">
        <v>46042</v>
      </c>
      <c r="P6" s="313" t="n"/>
      <c r="Q6" s="314" t="n"/>
      <c r="R6" s="314" t="n"/>
      <c r="S6" s="314" t="n">
        <v>46043</v>
      </c>
      <c r="T6" s="314" t="n">
        <v>46046</v>
      </c>
      <c r="U6" s="314" t="n">
        <v>46046</v>
      </c>
      <c r="V6" s="314" t="n">
        <v>46049</v>
      </c>
      <c r="W6" s="313">
        <f>IF(ISBLANK(tbl_案件追跡[[#This Row],[着荷]]),"",EOMONTH(tbl_案件追跡[[#This Row],[着荷]],0))</f>
        <v/>
      </c>
      <c r="X6" s="313" t="n"/>
      <c r="Y6" s="313">
        <f>IF(AND(tbl_案件追跡[[#This Row],[支払い条件]]="前払",ISBLANK(tbl_案件追跡[[#This Row],[受注]])= FALSE ),tbl_案件追跡[[#This Row],[受注]],IF(ISBLANK(tbl_案件追跡[[#This Row],[着荷]]),"",EOMONTH(tbl_案件追跡[[#This Row],[着荷]],0)))</f>
        <v/>
      </c>
      <c r="Z6" s="313" t="n"/>
      <c r="AA6" s="77">
        <f>_xlfn.XLOOKUP(tbl_案件追跡[[#This Row],[案件番号]],tbl_採番[案件番号],tbl_採番[担当者],"",0,1)</f>
        <v/>
      </c>
      <c r="AB6" s="209">
        <f>IF(ISBLANK(tbl_案件追跡[[#This Row],[案件番号]]),"",COUNTIF(tbl_案件追跡[案件番号],tbl_案件追跡[[#This Row],[案件番号]]))</f>
        <v/>
      </c>
      <c r="AC6" s="313" t="n"/>
      <c r="AD6" s="209" t="n">
        <v>1010078</v>
      </c>
      <c r="AE6" s="313" t="n">
        <v>46055</v>
      </c>
      <c r="AF6" s="72" t="n">
        <v>1010086</v>
      </c>
      <c r="AH6" s="222">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6" s="222">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6" s="222">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6" s="222">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6" s="222">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6" s="222">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6" s="222">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6" s="222">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6" s="222">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6" s="222">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6" s="222">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6" s="222">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6" s="222">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6" s="222">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6" s="222">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6" s="222">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6" s="222">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6" s="222">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6" s="222">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6" s="222">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6" s="222">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6" s="222">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6" s="222">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6" s="222">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6" s="222">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6" s="222">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6" s="222">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6" s="222">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6" s="222">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6" s="222">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6" s="222">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6" s="222">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6" s="222">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6" s="222">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6" s="222">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6" s="222">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6" s="222">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6" s="222">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6" s="222">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6" s="222">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6" s="222">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6" s="222">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6" s="222">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6" s="222">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6" s="222">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6" s="222">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6" s="222">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6" s="222">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6" s="222">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6" s="222">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6" s="222">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6" s="222">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6" s="222">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6" s="222">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6" s="222">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6" s="222">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6" s="222">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6" s="222">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6" s="222">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6" s="222">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7">
      <c r="A7" s="212" t="inlineStr">
        <is>
          <t>2601-1004-S01</t>
        </is>
      </c>
      <c r="B7" s="209">
        <f t="array" ref="B7">IF(ISBLANK(tbl_案件追跡[[#This Row],[案件番号]]),"",COUNTA(_xlfn.UNIQUE(_xlfn._xlws.FILTER(tbl_明細[仕入先], tbl_明細[案件番号]=tbl_案件追跡[[#This Row],[案件番号]]))))</f>
        <v/>
      </c>
      <c r="C7" s="77">
        <f>IF(ISBLANK(tbl_案件追跡[[#This Row],[案件番号]]),"",_xlfn.XLOOKUP(tbl_案件追跡[[#This Row],[案件番号]],tbl_明細[案件番号],tbl_明細[顧客名],"",0,1))</f>
        <v/>
      </c>
      <c r="D7" s="209">
        <f>IF(ISBLANK(tbl_案件追跡[[#This Row],[案件番号]]),"",IF(tbl_案件追跡[[#This Row],[仕入先数]] = 1, _xlfn.XLOOKUP(tbl_案件追跡[[#This Row],[案件番号]],tbl_明細[案件番号],tbl_明細[仕入先],"",0,1),""))</f>
        <v/>
      </c>
      <c r="E7" s="77">
        <f t="array" ref="E7">IF(ISBLANK(tbl_案件追跡[[#This Row],[案件番号]]),"",_xlfn.XLOOKUP(tbl_案件追跡[[#This Row],[案件番号]]&amp;tbl_案件追跡[[#This Row],[仕入先]],tbl_明細[案件番号]&amp;tbl_明細[仕入先],tbl_明細[商品名],"",0,1))</f>
        <v/>
      </c>
      <c r="F7" s="209" t="inlineStr">
        <is>
          <t>尾方</t>
        </is>
      </c>
      <c r="G7" s="209" t="inlineStr">
        <is>
          <t>530-0001</t>
        </is>
      </c>
      <c r="H7" s="209" t="inlineStr">
        <is>
          <t>大阪府大阪市北区梅田2-5-25 ハービスOSAKA 6F</t>
        </is>
      </c>
      <c r="I7" s="209" t="n"/>
      <c r="J7" s="209" t="inlineStr">
        <is>
          <t>ガーデンシティクラブ大阪　尾方様</t>
        </is>
      </c>
      <c r="K7" s="209" t="inlineStr">
        <is>
          <t>06-6343-7770</t>
        </is>
      </c>
      <c r="L7" s="209" t="inlineStr">
        <is>
          <t>月末締め翌月末払い</t>
        </is>
      </c>
      <c r="M7" s="313" t="n"/>
      <c r="N7" s="314" t="n">
        <v>46043</v>
      </c>
      <c r="O7" s="314" t="n">
        <v>46045</v>
      </c>
      <c r="P7" s="313" t="n"/>
      <c r="Q7" s="314" t="n"/>
      <c r="R7" s="314" t="n"/>
      <c r="S7" s="314" t="n">
        <v>46049</v>
      </c>
      <c r="T7" s="314" t="n">
        <v>46049.70833333334</v>
      </c>
      <c r="U7" s="314" t="n">
        <v>46049</v>
      </c>
      <c r="V7" s="314" t="n">
        <v>46051</v>
      </c>
      <c r="W7" s="313">
        <f>IF(ISBLANK(tbl_案件追跡[[#This Row],[着荷]]),"",EOMONTH(tbl_案件追跡[[#This Row],[着荷]],0))</f>
        <v/>
      </c>
      <c r="X7" s="313" t="n"/>
      <c r="Y7" s="313">
        <f>IF(AND(tbl_案件追跡[[#This Row],[支払い条件]]="前払",ISBLANK(tbl_案件追跡[[#This Row],[受注]])= FALSE ),tbl_案件追跡[[#This Row],[受注]],IF(ISBLANK(tbl_案件追跡[[#This Row],[着荷]]),"",EOMONTH(tbl_案件追跡[[#This Row],[着荷]],0)))</f>
        <v/>
      </c>
      <c r="Z7" s="313" t="n"/>
      <c r="AA7" s="77">
        <f>_xlfn.XLOOKUP(tbl_案件追跡[[#This Row],[案件番号]],tbl_採番[案件番号],tbl_採番[担当者],"",0,1)</f>
        <v/>
      </c>
      <c r="AB7" s="209">
        <f>IF(ISBLANK(tbl_案件追跡[[#This Row],[案件番号]]),"",COUNTIF(tbl_案件追跡[案件番号],tbl_案件追跡[[#This Row],[案件番号]]))</f>
        <v/>
      </c>
      <c r="AC7" s="313" t="n"/>
      <c r="AD7" s="209" t="n">
        <v>1010076</v>
      </c>
      <c r="AE7" s="313" t="n">
        <v>46063</v>
      </c>
      <c r="AF7" s="72" t="n">
        <v>1011187</v>
      </c>
      <c r="AH7" s="222">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7" s="222">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7" s="222">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7" s="222">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7" s="222">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7" s="222">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7" s="222">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7" s="222">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7" s="222">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7" s="222">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7" s="222">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7" s="222">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7" s="222">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7" s="222">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7" s="222">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7" s="222">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7" s="222">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7" s="222">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7" s="222">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7" s="222">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7" s="222">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7" s="222">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7" s="222">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7" s="222">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7" s="222">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7" s="222">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7" s="222">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7" s="222">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7" s="222">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7" s="222">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7" s="222">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7" s="222">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7" s="222">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7" s="222">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7" s="222">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7" s="222">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7" s="222">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7" s="222">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7" s="222">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7" s="222">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7" s="222">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7" s="222">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7" s="222">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7" s="222">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7" s="222">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7" s="222">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7" s="222">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7" s="222">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7" s="222">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7" s="222">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7" s="222">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7" s="222">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7" s="222">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7" s="222">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7" s="222">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7" s="222">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7" s="222">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7" s="222">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7" s="222">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7" s="222">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8">
      <c r="A8" s="212" t="inlineStr">
        <is>
          <t>2601-1005-S01</t>
        </is>
      </c>
      <c r="B8" s="209">
        <f t="array" ref="B8">IF(ISBLANK(tbl_案件追跡[[#This Row],[案件番号]]),"",COUNTA(_xlfn.UNIQUE(_xlfn._xlws.FILTER(tbl_明細[仕入先], tbl_明細[案件番号]=tbl_案件追跡[[#This Row],[案件番号]]))))</f>
        <v/>
      </c>
      <c r="C8" s="77">
        <f>IF(ISBLANK(tbl_案件追跡[[#This Row],[案件番号]]),"",_xlfn.XLOOKUP(tbl_案件追跡[[#This Row],[案件番号]],tbl_明細[案件番号],tbl_明細[顧客名],"",0,1))</f>
        <v/>
      </c>
      <c r="D8" s="209">
        <f>IF(ISBLANK(tbl_案件追跡[[#This Row],[案件番号]]),"",IF(tbl_案件追跡[[#This Row],[仕入先数]] = 1, _xlfn.XLOOKUP(tbl_案件追跡[[#This Row],[案件番号]],tbl_明細[案件番号],tbl_明細[仕入先],"",0,1),""))</f>
        <v/>
      </c>
      <c r="E8" s="77">
        <f t="array" ref="E8">IF(ISBLANK(tbl_案件追跡[[#This Row],[案件番号]]),"",_xlfn.XLOOKUP(tbl_案件追跡[[#This Row],[案件番号]]&amp;tbl_案件追跡[[#This Row],[仕入先]],tbl_明細[案件番号]&amp;tbl_明細[仕入先],tbl_明細[商品名],"",0,1))</f>
        <v/>
      </c>
      <c r="F8" s="209" t="inlineStr">
        <is>
          <t>馮</t>
        </is>
      </c>
      <c r="G8" s="209" t="inlineStr">
        <is>
          <t>095-0055</t>
        </is>
      </c>
      <c r="H8" s="209" t="inlineStr">
        <is>
          <t>北海道士別市南士別町1871番地278</t>
        </is>
      </c>
      <c r="I8" s="209" t="n"/>
      <c r="J8" s="209" t="inlineStr">
        <is>
          <t xml:space="preserve">牛幫主　</t>
        </is>
      </c>
      <c r="K8" s="209" t="inlineStr">
        <is>
          <t>070-7658-7799</t>
        </is>
      </c>
      <c r="L8" s="209" t="inlineStr">
        <is>
          <t>前払</t>
        </is>
      </c>
      <c r="M8" s="313" t="n"/>
      <c r="N8" s="314" t="n">
        <v>46041</v>
      </c>
      <c r="O8" s="314" t="n">
        <v>46048</v>
      </c>
      <c r="P8" s="313" t="n"/>
      <c r="Q8" s="314" t="n">
        <v>46048</v>
      </c>
      <c r="R8" s="314" t="n">
        <v>46048</v>
      </c>
      <c r="S8" s="314" t="n">
        <v>46049</v>
      </c>
      <c r="T8" s="314" t="n">
        <v>46049.70833333334</v>
      </c>
      <c r="U8" s="314" t="n">
        <v>46049</v>
      </c>
      <c r="V8" s="314" t="n">
        <v>46050</v>
      </c>
      <c r="W8" s="313">
        <f>IF(ISBLANK(tbl_案件追跡[[#This Row],[着荷]]),"",EOMONTH(tbl_案件追跡[[#This Row],[着荷]],0))</f>
        <v/>
      </c>
      <c r="X8" s="313" t="n"/>
      <c r="Y8" s="313">
        <f>IF(AND(tbl_案件追跡[[#This Row],[支払い条件]]="前払",ISBLANK(tbl_案件追跡[[#This Row],[受注]])= FALSE ),tbl_案件追跡[[#This Row],[受注]],IF(ISBLANK(tbl_案件追跡[[#This Row],[着荷]]),"",EOMONTH(tbl_案件追跡[[#This Row],[着荷]],0)))</f>
        <v/>
      </c>
      <c r="Z8" s="313" t="n"/>
      <c r="AA8" s="77">
        <f>_xlfn.XLOOKUP(tbl_案件追跡[[#This Row],[案件番号]],tbl_採番[案件番号],tbl_採番[担当者],"",0,1)</f>
        <v/>
      </c>
      <c r="AB8" s="209">
        <f>IF(ISBLANK(tbl_案件追跡[[#This Row],[案件番号]]),"",COUNTIF(tbl_案件追跡[案件番号],tbl_案件追跡[[#This Row],[案件番号]]))</f>
        <v/>
      </c>
      <c r="AC8" s="313" t="n"/>
      <c r="AD8" s="209" t="n">
        <v>1010119</v>
      </c>
      <c r="AE8" s="313" t="n"/>
      <c r="AF8" s="72" t="n">
        <v>1010061</v>
      </c>
      <c r="AH8" s="222">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8" s="222">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8" s="222">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8" s="222">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8" s="222">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8" s="222">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8" s="222">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8" s="222">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8" s="222">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8" s="222">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8" s="222">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8" s="222">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8" s="222">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8" s="222">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8" s="222">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8" s="222">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8" s="222">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8" s="222">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8" s="222">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8" s="222">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8" s="222">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8" s="222">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8" s="222">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8" s="222">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8" s="222">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8" s="222">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8" s="222">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8" s="222">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8" s="222">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8" s="222">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8" s="222">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8" s="222">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8" s="222">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8" s="222">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8" s="222">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8" s="222">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8" s="222">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8" s="222">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8" s="222">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8" s="222">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8" s="222">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8" s="222">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8" s="222">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8" s="222">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8" s="222">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8" s="222">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8" s="222">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8" s="222">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8" s="222">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8" s="222">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8" s="222">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8" s="222">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8" s="222">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8" s="222">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8" s="222">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8" s="222">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8" s="222">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8" s="222">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8" s="222">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8" s="222">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9">
      <c r="A9" s="212" t="inlineStr">
        <is>
          <t>2601-1006-S01</t>
        </is>
      </c>
      <c r="B9" s="209">
        <f t="array" ref="B9">IF(ISBLANK(tbl_案件追跡[[#This Row],[案件番号]]),"",COUNTA(_xlfn.UNIQUE(_xlfn._xlws.FILTER(tbl_明細[仕入先], tbl_明細[案件番号]=tbl_案件追跡[[#This Row],[案件番号]]))))</f>
        <v/>
      </c>
      <c r="C9" s="77">
        <f>IF(ISBLANK(tbl_案件追跡[[#This Row],[案件番号]]),"",_xlfn.XLOOKUP(tbl_案件追跡[[#This Row],[案件番号]],tbl_明細[案件番号],tbl_明細[顧客名],"",0,1))</f>
        <v/>
      </c>
      <c r="D9" s="209">
        <f>IF(ISBLANK(tbl_案件追跡[[#This Row],[案件番号]]),"",IF(tbl_案件追跡[[#This Row],[仕入先数]] = 1, _xlfn.XLOOKUP(tbl_案件追跡[[#This Row],[案件番号]],tbl_明細[案件番号],tbl_明細[仕入先],"",0,1),""))</f>
        <v/>
      </c>
      <c r="E9" s="77">
        <f t="array" ref="E9">IF(ISBLANK(tbl_案件追跡[[#This Row],[案件番号]]),"",_xlfn.XLOOKUP(tbl_案件追跡[[#This Row],[案件番号]]&amp;tbl_案件追跡[[#This Row],[仕入先]],tbl_明細[案件番号]&amp;tbl_明細[仕入先],tbl_明細[商品名],"",0,1))</f>
        <v/>
      </c>
      <c r="F9" s="209" t="inlineStr">
        <is>
          <t>島村</t>
        </is>
      </c>
      <c r="G9" s="209" t="n"/>
      <c r="H9" s="209" t="n"/>
      <c r="I9" s="209" t="n"/>
      <c r="J9" s="209" t="n"/>
      <c r="K9" s="209" t="n"/>
      <c r="L9" s="209" t="inlineStr">
        <is>
          <t>月末締め翌月末払い</t>
        </is>
      </c>
      <c r="M9" s="313" t="n"/>
      <c r="N9" s="314" t="n">
        <v>46043</v>
      </c>
      <c r="O9" s="314" t="n">
        <v>46045</v>
      </c>
      <c r="P9" s="313" t="n"/>
      <c r="Q9" s="314" t="n"/>
      <c r="R9" s="314" t="n"/>
      <c r="S9" s="314" t="n">
        <v>46048</v>
      </c>
      <c r="T9" s="314" t="n">
        <v>46050</v>
      </c>
      <c r="U9" s="314" t="n">
        <v>46050</v>
      </c>
      <c r="V9" s="314" t="n">
        <v>46051</v>
      </c>
      <c r="W9" s="313">
        <f>IF(ISBLANK(tbl_案件追跡[[#This Row],[着荷]]),"",EOMONTH(tbl_案件追跡[[#This Row],[着荷]],0))</f>
        <v/>
      </c>
      <c r="X9" s="313" t="n"/>
      <c r="Y9" s="313">
        <f>IF(AND(tbl_案件追跡[[#This Row],[支払い条件]]="前払",ISBLANK(tbl_案件追跡[[#This Row],[受注]])= FALSE ),tbl_案件追跡[[#This Row],[受注]],IF(ISBLANK(tbl_案件追跡[[#This Row],[着荷]]),"",EOMONTH(tbl_案件追跡[[#This Row],[着荷]],0)))</f>
        <v/>
      </c>
      <c r="Z9" s="313" t="n"/>
      <c r="AA9" s="77">
        <f>_xlfn.XLOOKUP(tbl_案件追跡[[#This Row],[案件番号]],tbl_採番[案件番号],tbl_採番[担当者],"",0,1)</f>
        <v/>
      </c>
      <c r="AB9" s="209">
        <f>IF(ISBLANK(tbl_案件追跡[[#This Row],[案件番号]]),"",COUNTIF(tbl_案件追跡[案件番号],tbl_案件追跡[[#This Row],[案件番号]]))</f>
        <v/>
      </c>
      <c r="AC9" s="313" t="n"/>
      <c r="AD9" s="209" t="n">
        <v>1010111</v>
      </c>
      <c r="AE9" s="313" t="n">
        <v>46063</v>
      </c>
      <c r="AF9" s="72" t="n">
        <v>1010088</v>
      </c>
      <c r="AH9" s="222">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9" s="222">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9" s="222">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9" s="222">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9" s="222">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9" s="222">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9" s="222">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9" s="222">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9" s="222">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9" s="222">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9" s="222">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9" s="222">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9" s="222">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9" s="222">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9" s="222">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9" s="222">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9" s="222">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9" s="222">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9" s="222">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9" s="222">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9" s="222">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9" s="222">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9" s="222">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9" s="222">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9" s="222">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9" s="222">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9" s="222">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9" s="222">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9" s="222">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9" s="222">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9" s="222">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9" s="222">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9" s="222">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9" s="222">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9" s="222">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9" s="222">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9" s="222">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9" s="222">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9" s="222">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9" s="222">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9" s="222">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9" s="222">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9" s="222">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9" s="222">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9" s="222">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9" s="222">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9" s="222">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9" s="222">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9" s="222">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9" s="222">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9" s="222">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9" s="222">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9" s="222">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9" s="222">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9" s="222">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9" s="222">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9" s="222">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9" s="222">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9" s="222">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9" s="222">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10">
      <c r="A10" s="70" t="inlineStr">
        <is>
          <t>2601-1007-S01</t>
        </is>
      </c>
      <c r="B10" s="171">
        <f t="array" ref="B10">IF(ISBLANK(tbl_案件追跡[[#This Row],[案件番号]]),"",COUNTA(_xlfn.UNIQUE(_xlfn._xlws.FILTER(tbl_明細[仕入先], tbl_明細[案件番号]=tbl_案件追跡[[#This Row],[案件番号]]))))</f>
        <v/>
      </c>
      <c r="C10" s="77">
        <f>IF(ISBLANK(tbl_案件追跡[[#This Row],[案件番号]]),"",_xlfn.XLOOKUP(tbl_案件追跡[[#This Row],[案件番号]],tbl_明細[案件番号],tbl_明細[顧客名],"",0,1))</f>
        <v/>
      </c>
      <c r="D10" s="209">
        <f>IF(ISBLANK(tbl_案件追跡[[#This Row],[案件番号]]),"",IF(tbl_案件追跡[[#This Row],[仕入先数]] = 1, _xlfn.XLOOKUP(tbl_案件追跡[[#This Row],[案件番号]],tbl_明細[案件番号],tbl_明細[仕入先],"",0,1),""))</f>
        <v/>
      </c>
      <c r="E10" s="77">
        <f t="array" ref="E10">IF(ISBLANK(tbl_案件追跡[[#This Row],[案件番号]]),"",_xlfn.XLOOKUP(tbl_案件追跡[[#This Row],[案件番号]]&amp;tbl_案件追跡[[#This Row],[仕入先]],tbl_明細[案件番号]&amp;tbl_明細[仕入先],tbl_明細[商品名],"",0,1))</f>
        <v/>
      </c>
      <c r="F10" s="209" t="inlineStr">
        <is>
          <t>菅原</t>
        </is>
      </c>
      <c r="G10" s="209" t="inlineStr">
        <is>
          <t>047-0032</t>
        </is>
      </c>
      <c r="H10" s="209" t="inlineStr">
        <is>
          <t>北海道小樽市稲穂2-15-1</t>
        </is>
      </c>
      <c r="I10" s="209" t="n"/>
      <c r="J10" s="209" t="inlineStr">
        <is>
          <t>オーセントホテル小樽</t>
        </is>
      </c>
      <c r="K10" s="209" t="inlineStr">
        <is>
          <t>0134-27-4409</t>
        </is>
      </c>
      <c r="L10" s="209" t="inlineStr">
        <is>
          <t>月末締め翌月末払い</t>
        </is>
      </c>
      <c r="M10" s="313" t="n"/>
      <c r="N10" s="314" t="n">
        <v>46045</v>
      </c>
      <c r="O10" s="314" t="n">
        <v>46049</v>
      </c>
      <c r="P10" s="313" t="n"/>
      <c r="Q10" s="314" t="n"/>
      <c r="R10" s="314" t="n"/>
      <c r="S10" s="314" t="n">
        <v>46052</v>
      </c>
      <c r="T10" s="314" t="n">
        <v>46052</v>
      </c>
      <c r="U10" s="314" t="n">
        <v>46053</v>
      </c>
      <c r="V10" s="314" t="n">
        <v>46054</v>
      </c>
      <c r="W10" s="313">
        <f>IF(ISBLANK(tbl_案件追跡[[#This Row],[着荷]]),"",EOMONTH(tbl_案件追跡[[#This Row],[着荷]],0))</f>
        <v/>
      </c>
      <c r="X10" s="313" t="n"/>
      <c r="Y10" s="313">
        <f>IF(AND(tbl_案件追跡[[#This Row],[支払い条件]]="前払",ISBLANK(tbl_案件追跡[[#This Row],[受注]])= FALSE ),tbl_案件追跡[[#This Row],[受注]],IF(ISBLANK(tbl_案件追跡[[#This Row],[着荷]]),"",EOMONTH(tbl_案件追跡[[#This Row],[着荷]],0)))</f>
        <v/>
      </c>
      <c r="Z10" s="313" t="n"/>
      <c r="AA10" s="77">
        <f>_xlfn.XLOOKUP(tbl_案件追跡[[#This Row],[案件番号]],tbl_採番[案件番号],tbl_採番[担当者],"",0,1)</f>
        <v/>
      </c>
      <c r="AB10" s="209">
        <f>IF(ISBLANK(tbl_案件追跡[[#This Row],[案件番号]]),"",COUNTIF(tbl_案件追跡[案件番号],tbl_案件追跡[[#This Row],[案件番号]]))</f>
        <v/>
      </c>
      <c r="AC10" s="313" t="n"/>
      <c r="AD10" s="209" t="inlineStr">
        <is>
          <t>-</t>
        </is>
      </c>
      <c r="AE10" s="313" t="n"/>
      <c r="AF10" s="72" t="inlineStr">
        <is>
          <t>-</t>
        </is>
      </c>
      <c r="AH10" s="222">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10" s="222">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10" s="222">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10" s="222">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10" s="222">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10" s="222">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10" s="222">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10" s="222">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10" s="222">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10" s="222">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10" s="222">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10" s="222">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10" s="222">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10" s="222">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10" s="222">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10" s="222">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10" s="222">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10" s="222">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10" s="222">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10" s="222">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10" s="222">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10" s="222">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10" s="222">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10" s="222">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10" s="222">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10" s="222">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10" s="222">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10" s="222">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10" s="222">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10" s="222">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10" s="222">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10" s="222">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10" s="222">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10" s="222">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10" s="222">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10" s="222">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10" s="222">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10" s="222">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10" s="222">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10" s="222">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10" s="222">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10" s="222">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10" s="222">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10" s="222">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10" s="222">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10" s="222">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10" s="222">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10" s="222">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10" s="222">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10" s="222">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10" s="222">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10" s="222">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10" s="222">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10" s="222">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10" s="222">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10" s="222">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10" s="222">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10" s="222">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10" s="222">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10" s="222">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11">
      <c r="A11" s="70" t="inlineStr">
        <is>
          <t>2602-1001-A01</t>
        </is>
      </c>
      <c r="B11" s="209">
        <f t="array" ref="B11">IF(ISBLANK(tbl_案件追跡[[#This Row],[案件番号]]),"",COUNTA(_xlfn.UNIQUE(_xlfn._xlws.FILTER(tbl_明細[仕入先], tbl_明細[案件番号]=tbl_案件追跡[[#This Row],[案件番号]]))))</f>
        <v/>
      </c>
      <c r="C11" s="77">
        <f>IF(ISBLANK(tbl_案件追跡[[#This Row],[案件番号]]),"",_xlfn.XLOOKUP(tbl_案件追跡[[#This Row],[案件番号]],tbl_明細[案件番号],tbl_明細[顧客名],"",0,1))</f>
        <v/>
      </c>
      <c r="D11" s="209">
        <f>IF(ISBLANK(tbl_案件追跡[[#This Row],[案件番号]]),"",IF(tbl_案件追跡[[#This Row],[仕入先数]] = 1, _xlfn.XLOOKUP(tbl_案件追跡[[#This Row],[案件番号]],tbl_明細[案件番号],tbl_明細[仕入先],"",0,1),""))</f>
        <v/>
      </c>
      <c r="E11" s="77">
        <f t="array" ref="E11">IF(ISBLANK(tbl_案件追跡[[#This Row],[案件番号]]),"",_xlfn.XLOOKUP(tbl_案件追跡[[#This Row],[案件番号]]&amp;tbl_案件追跡[[#This Row],[仕入先]],tbl_明細[案件番号]&amp;tbl_明細[仕入先],tbl_明細[商品名],"",0,1))</f>
        <v/>
      </c>
      <c r="F11" s="209" t="inlineStr">
        <is>
          <t>安井</t>
        </is>
      </c>
      <c r="G11" s="209" t="n"/>
      <c r="H11" s="209" t="n"/>
      <c r="I11" s="209" t="n"/>
      <c r="J11" s="209" t="n"/>
      <c r="K11" s="209" t="n"/>
      <c r="L11" s="209" t="n"/>
      <c r="M11" s="313" t="n"/>
      <c r="N11" s="314" t="n">
        <v>46085</v>
      </c>
      <c r="O11" s="314" t="n">
        <v>46087</v>
      </c>
      <c r="P11" s="313" t="n">
        <v>46090</v>
      </c>
      <c r="Q11" s="314" t="n"/>
      <c r="R11" s="314" t="n"/>
      <c r="S11" s="314" t="n">
        <v>46090</v>
      </c>
      <c r="T11" s="314" t="n">
        <v>46100</v>
      </c>
      <c r="U11" s="314" t="n"/>
      <c r="V11" s="314" t="n"/>
      <c r="W11" s="313">
        <f>IF(ISBLANK(tbl_案件追跡[[#This Row],[着荷]]),"",EOMONTH(tbl_案件追跡[[#This Row],[着荷]],0))</f>
        <v/>
      </c>
      <c r="X11" s="313" t="n"/>
      <c r="Y11" s="313">
        <f>IF(AND(tbl_案件追跡[[#This Row],[支払い条件]]="前払",ISBLANK(tbl_案件追跡[[#This Row],[受注]])= FALSE ),tbl_案件追跡[[#This Row],[受注]],IF(ISBLANK(tbl_案件追跡[[#This Row],[着荷]]),"",EOMONTH(tbl_案件追跡[[#This Row],[着荷]],0)))</f>
        <v/>
      </c>
      <c r="Z11" s="313" t="n"/>
      <c r="AA11" s="77">
        <f>_xlfn.XLOOKUP(tbl_案件追跡[[#This Row],[案件番号]],tbl_採番[案件番号],tbl_採番[担当者],"",0,1)</f>
        <v/>
      </c>
      <c r="AB11" s="209">
        <f>IF(ISBLANK(tbl_案件追跡[[#This Row],[案件番号]]),"",COUNTIF(tbl_案件追跡[案件番号],tbl_案件追跡[[#This Row],[案件番号]]))</f>
        <v/>
      </c>
      <c r="AC11" s="313" t="n"/>
      <c r="AD11" s="209" t="n"/>
      <c r="AE11" s="313" t="n"/>
      <c r="AF11" s="72" t="n"/>
      <c r="AH11" s="222">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11" s="222">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11" s="222">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11" s="222">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11" s="222">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11" s="222">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11" s="222">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11" s="222">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11" s="222">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11" s="222">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11" s="222">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11" s="222">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11" s="222">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11" s="222">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11" s="222">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11" s="222">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11" s="222">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11" s="222">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11" s="222">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11" s="222">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11" s="222">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11" s="222">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11" s="222">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11" s="222">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11" s="222">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11" s="222">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11" s="222">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11" s="222">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11" s="222">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11" s="222">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11" s="222">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11" s="222">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11" s="222">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11" s="222">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11" s="222">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11" s="222">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11" s="222">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11" s="222">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11" s="222">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11" s="222">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11" s="222">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11" s="222">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11" s="222">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11" s="222">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11" s="222">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11" s="222">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11" s="222">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11" s="222">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11" s="222">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11" s="222">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11" s="222">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11" s="222">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11" s="222">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11" s="222">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11" s="222">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11" s="222">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11" s="222">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11" s="222">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11" s="222">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11" s="222">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12">
      <c r="A12" s="70" t="inlineStr">
        <is>
          <t>2602-1002-K01</t>
        </is>
      </c>
      <c r="B12" s="209">
        <f t="array" ref="B12">IF(ISBLANK(tbl_案件追跡[[#This Row],[案件番号]]),"",COUNTA(_xlfn.UNIQUE(_xlfn._xlws.FILTER(tbl_明細[仕入先], tbl_明細[案件番号]=tbl_案件追跡[[#This Row],[案件番号]]))))</f>
        <v/>
      </c>
      <c r="C12" s="77">
        <f>IF(ISBLANK(tbl_案件追跡[[#This Row],[案件番号]]),"",_xlfn.XLOOKUP(tbl_案件追跡[[#This Row],[案件番号]],tbl_明細[案件番号],tbl_明細[顧客名],"",0,1))</f>
        <v/>
      </c>
      <c r="D12" s="209" t="inlineStr">
        <is>
          <t>ベジタブルワークス</t>
        </is>
      </c>
      <c r="E12" s="77">
        <f t="array" ref="E12">IF(ISBLANK(tbl_案件追跡[[#This Row],[案件番号]]),"",_xlfn.XLOOKUP(tbl_案件追跡[[#This Row],[案件番号]]&amp;tbl_案件追跡[[#This Row],[仕入先]],tbl_明細[案件番号]&amp;tbl_明細[仕入先],tbl_明細[商品名],"",0,1))</f>
        <v/>
      </c>
      <c r="F12" s="209" t="inlineStr">
        <is>
          <t>山田</t>
        </is>
      </c>
      <c r="G12" s="209" t="inlineStr">
        <is>
          <t>604-8851</t>
        </is>
      </c>
      <c r="H12" s="209" t="inlineStr">
        <is>
          <t>京都府京都市中京区壬生花井町３</t>
        </is>
      </c>
      <c r="I12" s="209" t="inlineStr">
        <is>
          <t>NISSHAﾋﾞｼﾞﾈｽｻｰﾋﾞｽ株式会社</t>
        </is>
      </c>
      <c r="J12" s="209" t="inlineStr">
        <is>
          <t>ファシリティサービス二部　オフィス管理グループ　山田梨紗様</t>
        </is>
      </c>
      <c r="K12" s="209" t="inlineStr">
        <is>
          <t>075-823-5359</t>
        </is>
      </c>
      <c r="L12" s="209" t="inlineStr">
        <is>
          <t>月末締め翌月末払い</t>
        </is>
      </c>
      <c r="M12" s="313" t="n"/>
      <c r="N12" s="314" t="n">
        <v>46042</v>
      </c>
      <c r="O12" s="314" t="n">
        <v>46056</v>
      </c>
      <c r="P12" s="313" t="n"/>
      <c r="Q12" s="314" t="n"/>
      <c r="R12" s="314" t="n"/>
      <c r="S12" s="314" t="n">
        <v>46057</v>
      </c>
      <c r="T12" s="314" t="n">
        <v>46063</v>
      </c>
      <c r="U12" s="314" t="n">
        <v>46059</v>
      </c>
      <c r="V12" s="314" t="n">
        <v>46063</v>
      </c>
      <c r="W12" s="313">
        <f>IF(ISBLANK(tbl_案件追跡[[#This Row],[着荷]]),"",EOMONTH(tbl_案件追跡[[#This Row],[着荷]],0))</f>
        <v/>
      </c>
      <c r="X12" s="313" t="n"/>
      <c r="Y12" s="313">
        <f>IF(AND(tbl_案件追跡[[#This Row],[支払い条件]]="前払",ISBLANK(tbl_案件追跡[[#This Row],[受注]])= FALSE ),tbl_案件追跡[[#This Row],[受注]],IF(ISBLANK(tbl_案件追跡[[#This Row],[着荷]]),"",EOMONTH(tbl_案件追跡[[#This Row],[着荷]],0)))</f>
        <v/>
      </c>
      <c r="Z12" s="313" t="n"/>
      <c r="AA12" s="77">
        <f>_xlfn.XLOOKUP(tbl_案件追跡[[#This Row],[案件番号]],tbl_採番[案件番号],tbl_採番[担当者],"",0,1)</f>
        <v/>
      </c>
      <c r="AB12" s="209">
        <f>IF(ISBLANK(tbl_案件追跡[[#This Row],[案件番号]]),"",COUNTIF(tbl_案件追跡[案件番号],tbl_案件追跡[[#This Row],[案件番号]]))</f>
        <v/>
      </c>
      <c r="AC12" s="313" t="n">
        <v>46079</v>
      </c>
      <c r="AD12" s="72" t="n">
        <v>1020062</v>
      </c>
      <c r="AE12" s="313" t="n">
        <v>46083</v>
      </c>
      <c r="AF12" s="72" t="n">
        <v>1020067</v>
      </c>
      <c r="AH12" s="222">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12" s="222">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12" s="222">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12" s="222">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12" s="222">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12" s="222">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12" s="222">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12" s="222">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12" s="222">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12" s="222">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12" s="222">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12" s="222">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12" s="222">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12" s="222">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12" s="222">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12" s="222">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12" s="222">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12" s="222">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12" s="222">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12" s="222">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12" s="222">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12" s="222">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12" s="222">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12" s="222">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12" s="222">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12" s="222">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12" s="222">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12" s="222">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12" s="222">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12" s="222">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12" s="222">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12" s="222">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12" s="222">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12" s="222">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12" s="222">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12" s="222">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12" s="222">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12" s="222">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12" s="222">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12" s="222">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12" s="222">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12" s="222">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12" s="222">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12" s="222">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12" s="222">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12" s="222">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12" s="222">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12" s="222">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12" s="222">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12" s="222">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12" s="222">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12" s="222">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12" s="222">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12" s="222">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12" s="222">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12" s="222">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12" s="222">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12" s="222">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12" s="222">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12" s="222">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13">
      <c r="A13" s="70" t="inlineStr">
        <is>
          <t>2602-1002-K01</t>
        </is>
      </c>
      <c r="B13" s="209">
        <f t="array" ref="B13">IF(ISBLANK(tbl_案件追跡[[#This Row],[案件番号]]),"",COUNTA(_xlfn.UNIQUE(_xlfn._xlws.FILTER(tbl_明細[仕入先], tbl_明細[案件番号]=tbl_案件追跡[[#This Row],[案件番号]]))))</f>
        <v/>
      </c>
      <c r="C13" s="77">
        <f>IF(ISBLANK(tbl_案件追跡[[#This Row],[案件番号]]),"",_xlfn.XLOOKUP(tbl_案件追跡[[#This Row],[案件番号]],tbl_明細[案件番号],tbl_明細[顧客名],"",0,1))</f>
        <v/>
      </c>
      <c r="D13" s="209" t="inlineStr">
        <is>
          <t>有限会社小林食品</t>
        </is>
      </c>
      <c r="E13" s="77">
        <f t="array" ref="E13">IF(ISBLANK(tbl_案件追跡[[#This Row],[案件番号]]),"",_xlfn.XLOOKUP(tbl_案件追跡[[#This Row],[案件番号]]&amp;tbl_案件追跡[[#This Row],[仕入先]],tbl_明細[案件番号]&amp;tbl_明細[仕入先],tbl_明細[商品名],"",0,1))</f>
        <v/>
      </c>
      <c r="F13" s="209" t="inlineStr">
        <is>
          <t>山田</t>
        </is>
      </c>
      <c r="G13" s="209" t="n"/>
      <c r="H13" s="209" t="n"/>
      <c r="I13" s="209" t="n"/>
      <c r="J13" s="209" t="n"/>
      <c r="K13" s="209" t="n"/>
      <c r="L13" s="209" t="n"/>
      <c r="M13" s="313" t="n"/>
      <c r="N13" s="314" t="n">
        <v>46042</v>
      </c>
      <c r="O13" s="314" t="n">
        <v>46056</v>
      </c>
      <c r="P13" s="313" t="n"/>
      <c r="Q13" s="314" t="n"/>
      <c r="R13" s="314" t="n"/>
      <c r="S13" s="314" t="n">
        <v>46057</v>
      </c>
      <c r="T13" s="314" t="n">
        <v>46063</v>
      </c>
      <c r="U13" s="314" t="n">
        <v>46063</v>
      </c>
      <c r="V13" s="314" t="n">
        <v>46066</v>
      </c>
      <c r="W13" s="313">
        <f>IF(ISBLANK(tbl_案件追跡[[#This Row],[着荷]]),"",EOMONTH(tbl_案件追跡[[#This Row],[着荷]],0))</f>
        <v/>
      </c>
      <c r="X13" s="313" t="n"/>
      <c r="Y13" s="313">
        <f>IF(AND(tbl_案件追跡[[#This Row],[支払い条件]]="前払",ISBLANK(tbl_案件追跡[[#This Row],[受注]])= FALSE ),tbl_案件追跡[[#This Row],[受注]],IF(ISBLANK(tbl_案件追跡[[#This Row],[着荷]]),"",EOMONTH(tbl_案件追跡[[#This Row],[着荷]],0)))</f>
        <v/>
      </c>
      <c r="Z13" s="313" t="n"/>
      <c r="AA13" s="77">
        <f>_xlfn.XLOOKUP(tbl_案件追跡[[#This Row],[案件番号]],tbl_採番[案件番号],tbl_採番[担当者],"",0,1)</f>
        <v/>
      </c>
      <c r="AB13" s="209">
        <f>IF(ISBLANK(tbl_案件追跡[[#This Row],[案件番号]]),"",COUNTIF(tbl_案件追跡[案件番号],tbl_案件追跡[[#This Row],[案件番号]]))</f>
        <v/>
      </c>
      <c r="AC13" s="313" t="n">
        <v>46084</v>
      </c>
      <c r="AD13" s="209" t="n">
        <v>1020063</v>
      </c>
      <c r="AE13" s="313" t="n">
        <v>46083</v>
      </c>
      <c r="AF13" s="72" t="n">
        <v>1020067</v>
      </c>
      <c r="AH13" s="222">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13" s="222">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13" s="222">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13" s="222">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13" s="222">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13" s="222">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13" s="222">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13" s="222">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13" s="222">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13" s="222">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13" s="222">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13" s="222">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13" s="222">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13" s="222">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13" s="222">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13" s="222">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13" s="222">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13" s="222">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13" s="222">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13" s="222">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13" s="222">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13" s="222">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13" s="222">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13" s="222">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13" s="222">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13" s="222">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13" s="222">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13" s="222">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13" s="222">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13" s="222">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13" s="222">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13" s="222">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13" s="222">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13" s="222">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13" s="222">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13" s="222">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13" s="222">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13" s="222">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13" s="222">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13" s="222">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13" s="222">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13" s="222">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13" s="222">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13" s="222">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13" s="222">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13" s="222">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13" s="222">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13" s="222">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13" s="222">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13" s="222">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13" s="222">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13" s="222">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13" s="222">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13" s="222">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13" s="222">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13" s="222">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13" s="222">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13" s="222">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13" s="222">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13" s="222">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14">
      <c r="A14" s="212" t="inlineStr">
        <is>
          <t>2602-1003-S01</t>
        </is>
      </c>
      <c r="B14" s="209">
        <f t="array" ref="B14">IF(ISBLANK(tbl_案件追跡[[#This Row],[案件番号]]),"",COUNTA(_xlfn.UNIQUE(_xlfn._xlws.FILTER(tbl_明細[仕入先], tbl_明細[案件番号]=tbl_案件追跡[[#This Row],[案件番号]]))))</f>
        <v/>
      </c>
      <c r="C14" s="77">
        <f>IF(ISBLANK(tbl_案件追跡[[#This Row],[案件番号]]),"",_xlfn.XLOOKUP(tbl_案件追跡[[#This Row],[案件番号]],tbl_明細[案件番号],tbl_明細[顧客名],"",0,1))</f>
        <v/>
      </c>
      <c r="D14" s="209">
        <f>IF(ISBLANK(tbl_案件追跡[[#This Row],[案件番号]]),"",IF(tbl_案件追跡[[#This Row],[仕入先数]] = 1, _xlfn.XLOOKUP(tbl_案件追跡[[#This Row],[案件番号]],tbl_明細[案件番号],tbl_明細[仕入先],"",0,1),""))</f>
        <v/>
      </c>
      <c r="E14" s="77">
        <f t="array" ref="E14">IF(ISBLANK(tbl_案件追跡[[#This Row],[案件番号]]),"",_xlfn.XLOOKUP(tbl_案件追跡[[#This Row],[案件番号]]&amp;tbl_案件追跡[[#This Row],[仕入先]],tbl_明細[案件番号]&amp;tbl_明細[仕入先],tbl_明細[商品名],"",0,1))</f>
        <v/>
      </c>
      <c r="F14" s="209" t="inlineStr">
        <is>
          <t>馮</t>
        </is>
      </c>
      <c r="G14" s="209" t="n"/>
      <c r="H14" s="209" t="n"/>
      <c r="I14" s="209" t="n"/>
      <c r="J14" s="209" t="n"/>
      <c r="K14" s="209" t="n"/>
      <c r="L14" s="209" t="n"/>
      <c r="M14" s="313" t="n"/>
      <c r="N14" s="314" t="n">
        <v>46063</v>
      </c>
      <c r="O14" s="314" t="n"/>
      <c r="P14" s="313" t="n"/>
      <c r="Q14" s="314" t="n"/>
      <c r="R14" s="314" t="n"/>
      <c r="S14" s="314" t="n"/>
      <c r="T14" s="314" t="n"/>
      <c r="U14" s="314" t="n"/>
      <c r="V14" s="314" t="n"/>
      <c r="W14" s="313">
        <f>IF(ISBLANK(tbl_案件追跡[[#This Row],[着荷]]),"",EOMONTH(tbl_案件追跡[[#This Row],[着荷]],0))</f>
        <v/>
      </c>
      <c r="X14" s="313" t="n"/>
      <c r="Y14" s="313">
        <f>IF(AND(tbl_案件追跡[[#This Row],[支払い条件]]="前払",ISBLANK(tbl_案件追跡[[#This Row],[受注]])= FALSE ),tbl_案件追跡[[#This Row],[受注]],IF(ISBLANK(tbl_案件追跡[[#This Row],[着荷]]),"",EOMONTH(tbl_案件追跡[[#This Row],[着荷]],0)))</f>
        <v/>
      </c>
      <c r="Z14" s="313" t="n"/>
      <c r="AA14" s="77">
        <f>_xlfn.XLOOKUP(tbl_案件追跡[[#This Row],[案件番号]],tbl_採番[案件番号],tbl_採番[担当者],"",0,1)</f>
        <v/>
      </c>
      <c r="AB14" s="209">
        <f>IF(ISBLANK(tbl_案件追跡[[#This Row],[案件番号]]),"",COUNTIF(tbl_案件追跡[案件番号],tbl_案件追跡[[#This Row],[案件番号]]))</f>
        <v/>
      </c>
      <c r="AC14" s="313" t="n"/>
      <c r="AD14" s="209" t="n"/>
      <c r="AE14" s="313" t="n"/>
      <c r="AF14" s="72" t="n"/>
      <c r="AH14" s="222">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14" s="222">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14" s="222">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14" s="222">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14" s="222">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14" s="222">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14" s="222">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14" s="222">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14" s="222">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14" s="222">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14" s="222">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14" s="222">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14" s="222">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14" s="222">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14" s="222">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14" s="222">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14" s="222">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14" s="222">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14" s="222">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14" s="222">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14" s="222">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14" s="222">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14" s="222">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14" s="222">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14" s="222">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14" s="222">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14" s="222">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14" s="222">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14" s="222">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14" s="222">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14" s="222">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14" s="222">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14" s="222">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14" s="222">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14" s="222">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14" s="222">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14" s="222">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14" s="222">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14" s="222">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14" s="222">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14" s="222">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14" s="222">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14" s="222">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14" s="222">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14" s="222">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14" s="222">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14" s="222">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14" s="222">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14" s="222">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14" s="222">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14" s="222">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14" s="222">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14" s="222">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14" s="222">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14" s="222">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14" s="222">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14" s="222">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14" s="222">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14" s="222">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14" s="222">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15">
      <c r="A15" s="212" t="inlineStr">
        <is>
          <t>2602-1004-S01</t>
        </is>
      </c>
      <c r="B15" s="209">
        <f t="array" ref="B15">IF(ISBLANK(tbl_案件追跡[[#This Row],[案件番号]]),"",COUNTA(_xlfn.UNIQUE(_xlfn._xlws.FILTER(tbl_明細[仕入先], tbl_明細[案件番号]=tbl_案件追跡[[#This Row],[案件番号]]))))</f>
        <v/>
      </c>
      <c r="C15" s="77">
        <f>IF(ISBLANK(tbl_案件追跡[[#This Row],[案件番号]]),"",_xlfn.XLOOKUP(tbl_案件追跡[[#This Row],[案件番号]],tbl_明細[案件番号],tbl_明細[顧客名],"",0,1))</f>
        <v/>
      </c>
      <c r="D15" s="209">
        <f>IF(ISBLANK(tbl_案件追跡[[#This Row],[案件番号]]),"",IF(tbl_案件追跡[[#This Row],[仕入先数]] = 1, _xlfn.XLOOKUP(tbl_案件追跡[[#This Row],[案件番号]],tbl_明細[案件番号],tbl_明細[仕入先],"",0,1),""))</f>
        <v/>
      </c>
      <c r="E15" s="77">
        <f t="array" ref="E15">IF(ISBLANK(tbl_案件追跡[[#This Row],[案件番号]]),"",_xlfn.XLOOKUP(tbl_案件追跡[[#This Row],[案件番号]]&amp;tbl_案件追跡[[#This Row],[仕入先]],tbl_明細[案件番号]&amp;tbl_明細[仕入先],tbl_明細[商品名],"",0,1))</f>
        <v/>
      </c>
      <c r="F15" s="209" t="n"/>
      <c r="G15" s="209" t="n"/>
      <c r="H15" s="209" t="n"/>
      <c r="I15" s="209" t="n"/>
      <c r="J15" s="209" t="n"/>
      <c r="K15" s="209" t="n"/>
      <c r="L15" s="209" t="n"/>
      <c r="M15" s="313" t="n"/>
      <c r="N15" s="314" t="n">
        <v>46069</v>
      </c>
      <c r="O15" s="314" t="n"/>
      <c r="P15" s="313" t="n"/>
      <c r="Q15" s="314" t="n"/>
      <c r="R15" s="314" t="n"/>
      <c r="S15" s="314" t="n"/>
      <c r="T15" s="314" t="n"/>
      <c r="U15" s="314" t="n"/>
      <c r="V15" s="314" t="n"/>
      <c r="W15" s="313">
        <f>IF(ISBLANK(tbl_案件追跡[[#This Row],[着荷]]),"",EOMONTH(tbl_案件追跡[[#This Row],[着荷]],0))</f>
        <v/>
      </c>
      <c r="X15" s="313" t="n"/>
      <c r="Y15" s="313">
        <f>IF(AND(tbl_案件追跡[[#This Row],[支払い条件]]="前払",ISBLANK(tbl_案件追跡[[#This Row],[受注]])= FALSE ),tbl_案件追跡[[#This Row],[受注]],IF(ISBLANK(tbl_案件追跡[[#This Row],[着荷]]),"",EOMONTH(tbl_案件追跡[[#This Row],[着荷]],0)))</f>
        <v/>
      </c>
      <c r="Z15" s="313" t="n"/>
      <c r="AA15" s="77">
        <f>_xlfn.XLOOKUP(tbl_案件追跡[[#This Row],[案件番号]],tbl_採番[案件番号],tbl_採番[担当者],"",0,1)</f>
        <v/>
      </c>
      <c r="AB15" s="209">
        <f>IF(ISBLANK(tbl_案件追跡[[#This Row],[案件番号]]),"",COUNTIF(tbl_案件追跡[案件番号],tbl_案件追跡[[#This Row],[案件番号]]))</f>
        <v/>
      </c>
      <c r="AC15" s="313" t="n"/>
      <c r="AD15" s="209" t="n"/>
      <c r="AE15" s="313" t="n"/>
      <c r="AF15" s="72" t="n"/>
      <c r="AH15" s="222">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15" s="222">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15" s="222">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15" s="222">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15" s="222">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15" s="222">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15" s="222">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15" s="222">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15" s="222">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15" s="222">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15" s="222">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15" s="222">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15" s="222">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15" s="222">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15" s="222">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15" s="222">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15" s="222">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15" s="222">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15" s="222">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15" s="222">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15" s="222">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15" s="222">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15" s="222">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15" s="222">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15" s="222">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15" s="222">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15" s="222">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15" s="222">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15" s="222">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15" s="222">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15" s="222">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15" s="222">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15" s="222">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15" s="222">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15" s="222">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15" s="222">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15" s="222">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15" s="222">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15" s="222">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15" s="222">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15" s="222">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15" s="222">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15" s="222">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15" s="222">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15" s="222">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15" s="222">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15" s="222">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15" s="222">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15" s="222">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15" s="222">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15" s="222">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15" s="222">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15" s="222">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15" s="222">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15" s="222">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15" s="222">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15" s="222">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15" s="222">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15" s="222">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15" s="222">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16">
      <c r="A16" s="212" t="inlineStr">
        <is>
          <t>2602-1005-K01</t>
        </is>
      </c>
      <c r="B16" s="209">
        <f t="array" ref="B16">IF(ISBLANK(tbl_案件追跡[[#This Row],[案件番号]]),"",COUNTA(_xlfn.UNIQUE(_xlfn._xlws.FILTER(tbl_明細[仕入先], tbl_明細[案件番号]=tbl_案件追跡[[#This Row],[案件番号]]))))</f>
        <v/>
      </c>
      <c r="C16" s="77" t="inlineStr">
        <is>
          <t>NISSHAビジネスサービス</t>
        </is>
      </c>
      <c r="D16" s="209" t="inlineStr">
        <is>
          <t>有限会社小林食品</t>
        </is>
      </c>
      <c r="E16" s="77">
        <f t="array" ref="E16">IF(ISBLANK(tbl_案件追跡[[#This Row],[案件番号]]),"",_xlfn.XLOOKUP(tbl_案件追跡[[#This Row],[案件番号]]&amp;tbl_案件追跡[[#This Row],[仕入先]],tbl_明細[案件番号]&amp;tbl_明細[仕入先],tbl_明細[商品名],"",0,1))</f>
        <v/>
      </c>
      <c r="F16" s="209" t="inlineStr">
        <is>
          <t>山田</t>
        </is>
      </c>
      <c r="G16" s="209" t="inlineStr">
        <is>
          <t>604-8851</t>
        </is>
      </c>
      <c r="H16" s="209" t="inlineStr">
        <is>
          <t>京都府京都市中京区壬生花井町３</t>
        </is>
      </c>
      <c r="I16" s="209" t="inlineStr">
        <is>
          <t>NISSHAﾋﾞｼﾞﾈｽｻｰﾋﾞｽ株式会社</t>
        </is>
      </c>
      <c r="J16" s="209" t="inlineStr">
        <is>
          <t>ファシリティサービス二部　オフィス管理グループ　山田梨紗様</t>
        </is>
      </c>
      <c r="K16" s="209" t="inlineStr">
        <is>
          <t>075-823-5359</t>
        </is>
      </c>
      <c r="L16" s="209" t="inlineStr">
        <is>
          <t>月末締め翌月末払い</t>
        </is>
      </c>
      <c r="M16" s="313" t="n"/>
      <c r="N16" s="314" t="n">
        <v>46042</v>
      </c>
      <c r="O16" s="314" t="n">
        <v>46078</v>
      </c>
      <c r="P16" s="313" t="n"/>
      <c r="Q16" s="314" t="n"/>
      <c r="R16" s="314" t="n"/>
      <c r="S16" s="314" t="n">
        <v>46078</v>
      </c>
      <c r="T16" s="315" t="inlineStr">
        <is>
          <t>ご準備でき次第</t>
        </is>
      </c>
      <c r="U16" s="314" t="n">
        <v>46078</v>
      </c>
      <c r="V16" s="314" t="n">
        <v>46080</v>
      </c>
      <c r="W16" s="313">
        <f>IF(ISBLANK(tbl_案件追跡[[#This Row],[着荷]]),"",EOMONTH(tbl_案件追跡[[#This Row],[着荷]],0))</f>
        <v/>
      </c>
      <c r="X16" s="313" t="n"/>
      <c r="Y16" s="313">
        <f>IF(AND(tbl_案件追跡[[#This Row],[支払い条件]]="前払",ISBLANK(tbl_案件追跡[[#This Row],[受注]])= FALSE ),tbl_案件追跡[[#This Row],[受注]],IF(ISBLANK(tbl_案件追跡[[#This Row],[着荷]]),"",EOMONTH(tbl_案件追跡[[#This Row],[着荷]],0)))</f>
        <v/>
      </c>
      <c r="Z16" s="313" t="n"/>
      <c r="AA16" s="77">
        <f>_xlfn.XLOOKUP(tbl_案件追跡[[#This Row],[案件番号]],tbl_採番[案件番号],tbl_採番[担当者],"",0,1)</f>
        <v/>
      </c>
      <c r="AB16" s="209">
        <f>IF(ISBLANK(tbl_案件追跡[[#This Row],[案件番号]]),"",COUNTIF(tbl_案件追跡[案件番号],tbl_案件追跡[[#This Row],[案件番号]]))</f>
        <v/>
      </c>
      <c r="AC16" s="313" t="n">
        <v>46079</v>
      </c>
      <c r="AD16" s="209" t="n">
        <v>1020063</v>
      </c>
      <c r="AE16" s="313" t="n">
        <v>46083</v>
      </c>
      <c r="AF16" s="72" t="n">
        <v>1020067</v>
      </c>
      <c r="AH16" s="222">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16" s="222">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16" s="222">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16" s="222">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16" s="222">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16" s="222">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16" s="222">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16" s="222">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16" s="222">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16" s="222">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16" s="222">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16" s="222">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16" s="222">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16" s="222">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16" s="222">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16" s="222">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16" s="222">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16" s="222">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16" s="222">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16" s="222">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16" s="222">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16" s="222">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16" s="222">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16" s="222">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16" s="222">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16" s="222">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16" s="222">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16" s="222">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16" s="222">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16" s="222">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16" s="222">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16" s="222">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16" s="222">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16" s="222">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16" s="222">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16" s="222">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16" s="222">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16" s="222">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16" s="222">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16" s="222">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16" s="222">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16" s="222">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16" s="222">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16" s="222">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16" s="222">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16" s="222">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16" s="222">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16" s="222">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16" s="222">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16" s="222">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16" s="222">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16" s="222">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16" s="222">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16" s="222">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16" s="222">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16" s="222">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16" s="222">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16" s="222">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16" s="222">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16" s="222">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17">
      <c r="A17" s="212" t="inlineStr">
        <is>
          <t>2603-1001-S01</t>
        </is>
      </c>
      <c r="B17" s="209">
        <f t="array" ref="B17">IF(ISBLANK(tbl_案件追跡[[#This Row],[案件番号]]),"",COUNTA(_xlfn.UNIQUE(_xlfn._xlws.FILTER(tbl_明細[仕入先], tbl_明細[案件番号]=tbl_案件追跡[[#This Row],[案件番号]]))))</f>
        <v/>
      </c>
      <c r="C17" s="77">
        <f>IF(ISBLANK(tbl_案件追跡[[#This Row],[案件番号]]),"",_xlfn.XLOOKUP(tbl_案件追跡[[#This Row],[案件番号]],tbl_明細[案件番号],tbl_明細[顧客名],"",0,1))</f>
        <v/>
      </c>
      <c r="D17" s="209">
        <f>IF(ISBLANK(tbl_案件追跡[[#This Row],[案件番号]]),"",IF(tbl_案件追跡[[#This Row],[仕入先数]] = 1, _xlfn.XLOOKUP(tbl_案件追跡[[#This Row],[案件番号]],tbl_明細[案件番号],tbl_明細[仕入先],"",0,1),""))</f>
        <v/>
      </c>
      <c r="E17" s="77">
        <f t="array" ref="E17">IF(ISBLANK(tbl_案件追跡[[#This Row],[案件番号]]),"",_xlfn.XLOOKUP(tbl_案件追跡[[#This Row],[案件番号]]&amp;tbl_案件追跡[[#This Row],[仕入先]],tbl_明細[案件番号]&amp;tbl_明細[仕入先],tbl_明細[商品名],"",0,1))</f>
        <v/>
      </c>
      <c r="F17" s="209" t="n"/>
      <c r="G17" s="209" t="n"/>
      <c r="H17" s="209" t="n"/>
      <c r="I17" s="209" t="n"/>
      <c r="J17" s="209" t="n"/>
      <c r="K17" s="209" t="n"/>
      <c r="L17" s="209" t="n"/>
      <c r="M17" s="313" t="n"/>
      <c r="N17" s="314" t="n"/>
      <c r="O17" s="314" t="n"/>
      <c r="P17" s="313" t="n"/>
      <c r="Q17" s="314" t="n"/>
      <c r="R17" s="314" t="n"/>
      <c r="S17" s="314" t="n"/>
      <c r="T17" s="314" t="n"/>
      <c r="U17" s="314" t="n"/>
      <c r="V17" s="314" t="n"/>
      <c r="W17" s="313">
        <f>IF(ISBLANK(tbl_案件追跡[[#This Row],[着荷]]),"",EOMONTH(tbl_案件追跡[[#This Row],[着荷]],0))</f>
        <v/>
      </c>
      <c r="X17" s="313" t="n"/>
      <c r="Y17" s="313">
        <f>IF(AND(tbl_案件追跡[[#This Row],[支払い条件]]="前払",ISBLANK(tbl_案件追跡[[#This Row],[受注]])= FALSE ),tbl_案件追跡[[#This Row],[受注]],IF(ISBLANK(tbl_案件追跡[[#This Row],[着荷]]),"",EOMONTH(tbl_案件追跡[[#This Row],[着荷]],0)))</f>
        <v/>
      </c>
      <c r="Z17" s="313" t="n"/>
      <c r="AA17" s="77">
        <f>_xlfn.XLOOKUP(tbl_案件追跡[[#This Row],[案件番号]],tbl_採番[案件番号],tbl_採番[担当者],"",0,1)</f>
        <v/>
      </c>
      <c r="AB17" s="209">
        <f>IF(ISBLANK(tbl_案件追跡[[#This Row],[案件番号]]),"",COUNTIF(tbl_案件追跡[案件番号],tbl_案件追跡[[#This Row],[案件番号]]))</f>
        <v/>
      </c>
      <c r="AC17" s="313" t="n"/>
      <c r="AD17" s="209" t="n"/>
      <c r="AE17" s="313" t="n"/>
      <c r="AF17" s="72" t="n"/>
      <c r="AH17" s="222">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17" s="222">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17" s="222">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17" s="222">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17" s="222">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17" s="222">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17" s="222">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17" s="222">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17" s="222">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17" s="222">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17" s="222">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17" s="222">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17" s="222">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17" s="222">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17" s="222">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17" s="222">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17" s="222">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17" s="222">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17" s="222">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17" s="222">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17" s="222">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17" s="222">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17" s="222">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17" s="222">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17" s="222">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17" s="222">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17" s="222">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17" s="222">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17" s="222">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17" s="222">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17" s="222">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17" s="222">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17" s="222">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17" s="222">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17" s="222">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17" s="222">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17" s="222">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17" s="222">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17" s="222">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17" s="222">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17" s="222">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17" s="222">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17" s="222">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17" s="222">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17" s="222">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17" s="222">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17" s="222">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17" s="222">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17" s="222">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17" s="222">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17" s="222">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17" s="222">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17" s="222">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17" s="222">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17" s="222">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17" s="222">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17" s="222">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17" s="222">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17" s="222">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17" s="222">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18">
      <c r="A18" s="212" t="n"/>
      <c r="B18" s="209">
        <f t="array" ref="B18">IF(ISBLANK(tbl_案件追跡[[#This Row],[案件番号]]),"",COUNTA(_xlfn.UNIQUE(_xlfn._xlws.FILTER(tbl_明細[仕入先], tbl_明細[案件番号]=tbl_案件追跡[[#This Row],[案件番号]]))))</f>
        <v/>
      </c>
      <c r="C18" s="77">
        <f>IF(ISBLANK(tbl_案件追跡[[#This Row],[案件番号]]),"",_xlfn.XLOOKUP(tbl_案件追跡[[#This Row],[案件番号]],tbl_明細[案件番号],tbl_明細[顧客名],"",0,1))</f>
        <v/>
      </c>
      <c r="D18" s="209">
        <f>IF(ISBLANK(tbl_案件追跡[[#This Row],[案件番号]]),"",IF(tbl_案件追跡[[#This Row],[仕入先数]] = 1, _xlfn.XLOOKUP(tbl_案件追跡[[#This Row],[案件番号]],tbl_明細[案件番号],tbl_明細[仕入先],"",0,1),""))</f>
        <v/>
      </c>
      <c r="E18" s="77">
        <f t="array" ref="E18">IF(ISBLANK(tbl_案件追跡[[#This Row],[案件番号]]),"",_xlfn.XLOOKUP(tbl_案件追跡[[#This Row],[案件番号]]&amp;tbl_案件追跡[[#This Row],[仕入先]],tbl_明細[案件番号]&amp;tbl_明細[仕入先],tbl_明細[商品名],"",0,1))</f>
        <v/>
      </c>
      <c r="F18" s="209" t="n"/>
      <c r="G18" s="209" t="n"/>
      <c r="H18" s="209" t="n"/>
      <c r="I18" s="209" t="n"/>
      <c r="J18" s="209" t="n"/>
      <c r="K18" s="209" t="n"/>
      <c r="L18" s="209" t="n"/>
      <c r="M18" s="313" t="n"/>
      <c r="N18" s="314" t="n"/>
      <c r="O18" s="314" t="n"/>
      <c r="P18" s="313" t="n"/>
      <c r="Q18" s="314" t="n"/>
      <c r="R18" s="314" t="n"/>
      <c r="S18" s="314" t="n"/>
      <c r="T18" s="314" t="n"/>
      <c r="U18" s="314" t="n"/>
      <c r="V18" s="314" t="n"/>
      <c r="W18" s="313">
        <f>IF(ISBLANK(tbl_案件追跡[[#This Row],[着荷]]),"",EOMONTH(tbl_案件追跡[[#This Row],[着荷]],0))</f>
        <v/>
      </c>
      <c r="X18" s="313" t="n"/>
      <c r="Y18" s="313">
        <f>IF(AND(tbl_案件追跡[[#This Row],[支払い条件]]="前払",ISBLANK(tbl_案件追跡[[#This Row],[受注]])= FALSE ),tbl_案件追跡[[#This Row],[受注]],IF(ISBLANK(tbl_案件追跡[[#This Row],[着荷]]),"",EOMONTH(tbl_案件追跡[[#This Row],[着荷]],0)))</f>
        <v/>
      </c>
      <c r="Z18" s="313" t="n"/>
      <c r="AA18" s="77">
        <f>_xlfn.XLOOKUP(tbl_案件追跡[[#This Row],[案件番号]],tbl_採番[案件番号],tbl_採番[担当者],"",0,1)</f>
        <v/>
      </c>
      <c r="AB18" s="209">
        <f>IF(ISBLANK(tbl_案件追跡[[#This Row],[案件番号]]),"",COUNTIF(tbl_案件追跡[案件番号],tbl_案件追跡[[#This Row],[案件番号]]))</f>
        <v/>
      </c>
      <c r="AC18" s="313" t="n"/>
      <c r="AD18" s="316" t="n"/>
      <c r="AE18" s="313" t="n"/>
      <c r="AF18" s="72" t="n"/>
      <c r="AH18" s="222">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18" s="222">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18" s="222">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18" s="222">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18" s="222">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18" s="222">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18" s="222">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18" s="222">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18" s="222">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18" s="222">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18" s="222">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18" s="222">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18" s="222">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18" s="222">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18" s="222">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18" s="222">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18" s="222">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18" s="222">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18" s="222">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18" s="222">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18" s="222">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18" s="222">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18" s="222">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18" s="222">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18" s="222">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18" s="222">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18" s="222">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18" s="222">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18" s="222">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18" s="222">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18" s="222">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18" s="222">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18" s="222">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18" s="222">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18" s="222">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18" s="222">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18" s="222">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18" s="222">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18" s="222">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18" s="222">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18" s="222">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18" s="222">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18" s="222">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18" s="222">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18" s="222">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18" s="222">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18" s="222">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18" s="222">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18" s="222">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18" s="222">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18" s="222">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18" s="222">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18" s="222">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18" s="222">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18" s="222">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18" s="222">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18" s="222">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18" s="222">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18" s="222">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18" s="222">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19">
      <c r="A19" s="212" t="n"/>
      <c r="B19" s="209">
        <f t="array" ref="B19">IF(ISBLANK(tbl_案件追跡[[#This Row],[案件番号]]),"",COUNTA(_xlfn.UNIQUE(_xlfn._xlws.FILTER(tbl_明細[仕入先], tbl_明細[案件番号]=tbl_案件追跡[[#This Row],[案件番号]]))))</f>
        <v/>
      </c>
      <c r="C19" s="77">
        <f>IF(ISBLANK(tbl_案件追跡[[#This Row],[案件番号]]),"",_xlfn.XLOOKUP(tbl_案件追跡[[#This Row],[案件番号]],tbl_明細[案件番号],tbl_明細[顧客名],"",0,1))</f>
        <v/>
      </c>
      <c r="D19" s="209">
        <f>IF(ISBLANK(tbl_案件追跡[[#This Row],[案件番号]]),"",IF(tbl_案件追跡[[#This Row],[仕入先数]] = 1, _xlfn.XLOOKUP(tbl_案件追跡[[#This Row],[案件番号]],tbl_明細[案件番号],tbl_明細[仕入先],"",0,1),""))</f>
        <v/>
      </c>
      <c r="E19" s="77">
        <f t="array" ref="E19">IF(ISBLANK(tbl_案件追跡[[#This Row],[案件番号]]),"",_xlfn.XLOOKUP(tbl_案件追跡[[#This Row],[案件番号]]&amp;tbl_案件追跡[[#This Row],[仕入先]],tbl_明細[案件番号]&amp;tbl_明細[仕入先],tbl_明細[商品名],"",0,1))</f>
        <v/>
      </c>
      <c r="F19" s="209" t="n"/>
      <c r="G19" s="209" t="n"/>
      <c r="H19" s="209" t="n"/>
      <c r="I19" s="209" t="n"/>
      <c r="J19" s="209" t="n"/>
      <c r="K19" s="209" t="n"/>
      <c r="L19" s="209" t="n"/>
      <c r="M19" s="313" t="n"/>
      <c r="N19" s="314" t="n"/>
      <c r="O19" s="314" t="n"/>
      <c r="P19" s="313" t="n"/>
      <c r="Q19" s="314" t="n"/>
      <c r="R19" s="314" t="n"/>
      <c r="S19" s="314" t="n"/>
      <c r="T19" s="314" t="n"/>
      <c r="U19" s="314" t="n"/>
      <c r="V19" s="314" t="n"/>
      <c r="W19" s="313">
        <f>IF(ISBLANK(tbl_案件追跡[[#This Row],[着荷]]),"",EOMONTH(tbl_案件追跡[[#This Row],[着荷]],0))</f>
        <v/>
      </c>
      <c r="X19" s="313" t="n"/>
      <c r="Y19" s="313">
        <f>IF(AND(tbl_案件追跡[[#This Row],[支払い条件]]="前払",ISBLANK(tbl_案件追跡[[#This Row],[受注]])= FALSE ),tbl_案件追跡[[#This Row],[受注]],IF(ISBLANK(tbl_案件追跡[[#This Row],[着荷]]),"",EOMONTH(tbl_案件追跡[[#This Row],[着荷]],0)))</f>
        <v/>
      </c>
      <c r="Z19" s="313" t="n"/>
      <c r="AA19" s="77">
        <f>_xlfn.XLOOKUP(tbl_案件追跡[[#This Row],[案件番号]],tbl_採番[案件番号],tbl_採番[担当者],"",0,1)</f>
        <v/>
      </c>
      <c r="AB19" s="209">
        <f>IF(ISBLANK(tbl_案件追跡[[#This Row],[案件番号]]),"",COUNTIF(tbl_案件追跡[案件番号],tbl_案件追跡[[#This Row],[案件番号]]))</f>
        <v/>
      </c>
      <c r="AC19" s="313" t="n"/>
      <c r="AD19" s="209" t="n"/>
      <c r="AE19" s="313" t="n"/>
      <c r="AF19" s="72" t="n"/>
      <c r="AH19" s="222">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19" s="222">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19" s="222">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19" s="222">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19" s="222">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19" s="222">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19" s="222">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19" s="222">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19" s="222">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19" s="222">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19" s="222">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19" s="222">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19" s="222">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19" s="222">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19" s="222">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19" s="222">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19" s="222">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19" s="222">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19" s="222">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19" s="222">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19" s="222">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19" s="222">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19" s="222">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19" s="222">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19" s="222">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19" s="222">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19" s="222">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19" s="222">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19" s="222">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19" s="222">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19" s="222">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19" s="222">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19" s="222">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19" s="222">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19" s="222">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19" s="222">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19" s="222">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19" s="222">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19" s="222">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19" s="222">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19" s="222">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19" s="222">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19" s="222">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19" s="222">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19" s="222">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19" s="222">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19" s="222">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19" s="222">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19" s="222">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19" s="222">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19" s="222">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19" s="222">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19" s="222">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19" s="222">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19" s="222">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19" s="222">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19" s="222">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19" s="222">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19" s="222">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19" s="222">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20">
      <c r="A20" s="212" t="n"/>
      <c r="B20" s="209">
        <f t="array" ref="B20">IF(ISBLANK(tbl_案件追跡[[#This Row],[案件番号]]),"",COUNTA(_xlfn.UNIQUE(_xlfn._xlws.FILTER(tbl_明細[仕入先], tbl_明細[案件番号]=tbl_案件追跡[[#This Row],[案件番号]]))))</f>
        <v/>
      </c>
      <c r="C20" s="77">
        <f>IF(ISBLANK(tbl_案件追跡[[#This Row],[案件番号]]),"",_xlfn.XLOOKUP(tbl_案件追跡[[#This Row],[案件番号]],tbl_明細[案件番号],tbl_明細[顧客名],"",0,1))</f>
        <v/>
      </c>
      <c r="D20" s="209">
        <f>IF(ISBLANK(tbl_案件追跡[[#This Row],[案件番号]]),"",IF(tbl_案件追跡[[#This Row],[仕入先数]] = 1, _xlfn.XLOOKUP(tbl_案件追跡[[#This Row],[案件番号]],tbl_明細[案件番号],tbl_明細[仕入先],"",0,1),""))</f>
        <v/>
      </c>
      <c r="E20" s="77">
        <f t="array" ref="E20">IF(ISBLANK(tbl_案件追跡[[#This Row],[案件番号]]),"",_xlfn.XLOOKUP(tbl_案件追跡[[#This Row],[案件番号]]&amp;tbl_案件追跡[[#This Row],[仕入先]],tbl_明細[案件番号]&amp;tbl_明細[仕入先],tbl_明細[商品名],"",0,1))</f>
        <v/>
      </c>
      <c r="F20" s="209" t="n"/>
      <c r="G20" s="209" t="n"/>
      <c r="H20" s="209" t="n"/>
      <c r="I20" s="209" t="n"/>
      <c r="J20" s="209" t="n"/>
      <c r="K20" s="209" t="n"/>
      <c r="L20" s="209" t="n"/>
      <c r="M20" s="313" t="n"/>
      <c r="N20" s="314" t="n"/>
      <c r="O20" s="314" t="n"/>
      <c r="P20" s="313" t="n"/>
      <c r="Q20" s="314" t="n"/>
      <c r="R20" s="314" t="n"/>
      <c r="S20" s="314" t="n"/>
      <c r="T20" s="314" t="n"/>
      <c r="U20" s="314" t="n"/>
      <c r="V20" s="314" t="n"/>
      <c r="W20" s="313">
        <f>IF(ISBLANK(tbl_案件追跡[[#This Row],[着荷]]),"",EOMONTH(tbl_案件追跡[[#This Row],[着荷]],0))</f>
        <v/>
      </c>
      <c r="X20" s="313" t="n"/>
      <c r="Y20" s="313">
        <f>IF(AND(tbl_案件追跡[[#This Row],[支払い条件]]="前払",ISBLANK(tbl_案件追跡[[#This Row],[受注]])= FALSE ),tbl_案件追跡[[#This Row],[受注]],IF(ISBLANK(tbl_案件追跡[[#This Row],[着荷]]),"",EOMONTH(tbl_案件追跡[[#This Row],[着荷]],0)))</f>
        <v/>
      </c>
      <c r="Z20" s="313" t="n"/>
      <c r="AA20" s="77">
        <f>_xlfn.XLOOKUP(tbl_案件追跡[[#This Row],[案件番号]],tbl_採番[案件番号],tbl_採番[担当者],"",0,1)</f>
        <v/>
      </c>
      <c r="AB20" s="209">
        <f>IF(ISBLANK(tbl_案件追跡[[#This Row],[案件番号]]),"",COUNTIF(tbl_案件追跡[案件番号],tbl_案件追跡[[#This Row],[案件番号]]))</f>
        <v/>
      </c>
      <c r="AC20" s="313" t="n"/>
      <c r="AD20" s="209" t="n"/>
      <c r="AE20" s="313" t="n"/>
      <c r="AF20" s="72" t="n"/>
      <c r="AH20" s="222">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20" s="222">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20" s="222">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20" s="222">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20" s="222">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20" s="222">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20" s="222">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20" s="222">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20" s="222">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20" s="222">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20" s="222">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20" s="222">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20" s="222">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20" s="222">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20" s="222">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20" s="222">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20" s="222">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20" s="222">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20" s="222">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20" s="222">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20" s="222">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20" s="222">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20" s="222">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20" s="222">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20" s="222">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20" s="222">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20" s="222">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20" s="222">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20" s="222">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20" s="222">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20" s="222">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20" s="222">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20" s="222">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20" s="222">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20" s="222">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20" s="222">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20" s="222">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20" s="222">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20" s="222">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20" s="222">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20" s="222">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20" s="222">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20" s="222">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20" s="222">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20" s="222">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20" s="222">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20" s="222">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20" s="222">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20" s="222">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20" s="222">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20" s="222">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20" s="222">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20" s="222">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20" s="222">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20" s="222">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20" s="222">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20" s="222">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20" s="222">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20" s="222">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20" s="222">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21">
      <c r="A21" s="212" t="n"/>
      <c r="B21" s="209">
        <f t="array" ref="B21">IF(ISBLANK(tbl_案件追跡[[#This Row],[案件番号]]),"",COUNTA(_xlfn.UNIQUE(_xlfn._xlws.FILTER(tbl_明細[仕入先], tbl_明細[案件番号]=tbl_案件追跡[[#This Row],[案件番号]]))))</f>
        <v/>
      </c>
      <c r="C21" s="77">
        <f>IF(ISBLANK(tbl_案件追跡[[#This Row],[案件番号]]),"",_xlfn.XLOOKUP(tbl_案件追跡[[#This Row],[案件番号]],tbl_明細[案件番号],tbl_明細[顧客名],"",0,1))</f>
        <v/>
      </c>
      <c r="D21" s="209">
        <f>IF(ISBLANK(tbl_案件追跡[[#This Row],[案件番号]]),"",IF(tbl_案件追跡[[#This Row],[仕入先数]] = 1, _xlfn.XLOOKUP(tbl_案件追跡[[#This Row],[案件番号]],tbl_明細[案件番号],tbl_明細[仕入先],"",0,1),""))</f>
        <v/>
      </c>
      <c r="E21" s="77">
        <f t="array" ref="E21">IF(ISBLANK(tbl_案件追跡[[#This Row],[案件番号]]),"",_xlfn.XLOOKUP(tbl_案件追跡[[#This Row],[案件番号]]&amp;tbl_案件追跡[[#This Row],[仕入先]],tbl_明細[案件番号]&amp;tbl_明細[仕入先],tbl_明細[商品名],"",0,1))</f>
        <v/>
      </c>
      <c r="F21" s="209" t="n"/>
      <c r="G21" s="209" t="n"/>
      <c r="H21" s="209" t="n"/>
      <c r="I21" s="209" t="n"/>
      <c r="J21" s="209" t="n"/>
      <c r="K21" s="209" t="n"/>
      <c r="L21" s="209" t="n"/>
      <c r="M21" s="313" t="n"/>
      <c r="N21" s="314" t="n"/>
      <c r="O21" s="314" t="n"/>
      <c r="P21" s="313" t="n"/>
      <c r="Q21" s="314" t="n"/>
      <c r="R21" s="314" t="n"/>
      <c r="S21" s="314" t="n"/>
      <c r="T21" s="314" t="n"/>
      <c r="U21" s="314" t="n"/>
      <c r="V21" s="314" t="n"/>
      <c r="W21" s="313">
        <f>IF(ISBLANK(tbl_案件追跡[[#This Row],[着荷]]),"",EOMONTH(tbl_案件追跡[[#This Row],[着荷]],0))</f>
        <v/>
      </c>
      <c r="X21" s="313" t="n"/>
      <c r="Y21" s="313">
        <f>IF(AND(tbl_案件追跡[[#This Row],[支払い条件]]="前払",ISBLANK(tbl_案件追跡[[#This Row],[受注]])= FALSE ),tbl_案件追跡[[#This Row],[受注]],IF(ISBLANK(tbl_案件追跡[[#This Row],[着荷]]),"",EOMONTH(tbl_案件追跡[[#This Row],[着荷]],0)))</f>
        <v/>
      </c>
      <c r="Z21" s="313" t="n"/>
      <c r="AA21" s="77">
        <f>_xlfn.XLOOKUP(tbl_案件追跡[[#This Row],[案件番号]],tbl_採番[案件番号],tbl_採番[担当者],"",0,1)</f>
        <v/>
      </c>
      <c r="AB21" s="209">
        <f>IF(ISBLANK(tbl_案件追跡[[#This Row],[案件番号]]),"",COUNTIF(tbl_案件追跡[案件番号],tbl_案件追跡[[#This Row],[案件番号]]))</f>
        <v/>
      </c>
      <c r="AC21" s="313" t="n"/>
      <c r="AD21" s="209" t="n"/>
      <c r="AE21" s="313" t="n"/>
      <c r="AF21" s="72" t="n"/>
      <c r="AH21" s="222">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21" s="222">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21" s="222">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21" s="222">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21" s="222">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21" s="222">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21" s="222">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21" s="222">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21" s="222">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21" s="222">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21" s="222">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21" s="222">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21" s="222">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21" s="222">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21" s="222">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21" s="222">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21" s="222">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21" s="222">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21" s="222">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21" s="222">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21" s="222">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21" s="222">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21" s="222">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21" s="222">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21" s="222">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21" s="222">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21" s="222">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21" s="222">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21" s="222">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21" s="222">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21" s="222">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21" s="222">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21" s="222">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21" s="222">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21" s="222">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21" s="222">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21" s="222">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21" s="222">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21" s="222">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21" s="222">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21" s="222">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21" s="222">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21" s="222">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21" s="222">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21" s="222">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21" s="222">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21" s="222">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21" s="222">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21" s="222">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21" s="222">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21" s="222">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21" s="222">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21" s="222">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21" s="222">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21" s="222">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21" s="222">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21" s="222">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21" s="222">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21" s="222">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21" s="222">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22">
      <c r="A22" s="212" t="n"/>
      <c r="B22" s="209">
        <f t="array" ref="B22">IF(ISBLANK(tbl_案件追跡[[#This Row],[案件番号]]),"",COUNTA(_xlfn.UNIQUE(_xlfn._xlws.FILTER(tbl_明細[仕入先], tbl_明細[案件番号]=tbl_案件追跡[[#This Row],[案件番号]]))))</f>
        <v/>
      </c>
      <c r="C22" s="77">
        <f>IF(ISBLANK(tbl_案件追跡[[#This Row],[案件番号]]),"",_xlfn.XLOOKUP(tbl_案件追跡[[#This Row],[案件番号]],tbl_明細[案件番号],tbl_明細[顧客名],"",0,1))</f>
        <v/>
      </c>
      <c r="D22" s="209">
        <f>IF(ISBLANK(tbl_案件追跡[[#This Row],[案件番号]]),"",IF(tbl_案件追跡[[#This Row],[仕入先数]] = 1, _xlfn.XLOOKUP(tbl_案件追跡[[#This Row],[案件番号]],tbl_明細[案件番号],tbl_明細[仕入先],"",0,1),""))</f>
        <v/>
      </c>
      <c r="E22" s="77">
        <f t="array" ref="E22">IF(ISBLANK(tbl_案件追跡[[#This Row],[案件番号]]),"",_xlfn.XLOOKUP(tbl_案件追跡[[#This Row],[案件番号]]&amp;tbl_案件追跡[[#This Row],[仕入先]],tbl_明細[案件番号]&amp;tbl_明細[仕入先],tbl_明細[商品名],"",0,1))</f>
        <v/>
      </c>
      <c r="F22" s="209" t="n"/>
      <c r="G22" s="209" t="n"/>
      <c r="H22" s="209" t="n"/>
      <c r="I22" s="209" t="n"/>
      <c r="J22" s="209" t="n"/>
      <c r="K22" s="209" t="n"/>
      <c r="L22" s="209" t="n"/>
      <c r="M22" s="313" t="n"/>
      <c r="N22" s="314" t="n"/>
      <c r="O22" s="314" t="n"/>
      <c r="P22" s="313" t="n"/>
      <c r="Q22" s="314" t="n"/>
      <c r="R22" s="314" t="n"/>
      <c r="S22" s="314" t="n"/>
      <c r="T22" s="314" t="n"/>
      <c r="U22" s="314" t="n"/>
      <c r="V22" s="314" t="n"/>
      <c r="W22" s="313">
        <f>IF(ISBLANK(tbl_案件追跡[[#This Row],[着荷]]),"",EOMONTH(tbl_案件追跡[[#This Row],[着荷]],0))</f>
        <v/>
      </c>
      <c r="X22" s="313" t="n"/>
      <c r="Y22" s="313">
        <f>IF(AND(tbl_案件追跡[[#This Row],[支払い条件]]="前払",ISBLANK(tbl_案件追跡[[#This Row],[受注]])= FALSE ),tbl_案件追跡[[#This Row],[受注]],IF(ISBLANK(tbl_案件追跡[[#This Row],[着荷]]),"",EOMONTH(tbl_案件追跡[[#This Row],[着荷]],0)))</f>
        <v/>
      </c>
      <c r="Z22" s="313" t="n"/>
      <c r="AA22" s="77">
        <f>_xlfn.XLOOKUP(tbl_案件追跡[[#This Row],[案件番号]],tbl_採番[案件番号],tbl_採番[担当者],"",0,1)</f>
        <v/>
      </c>
      <c r="AB22" s="209">
        <f>IF(ISBLANK(tbl_案件追跡[[#This Row],[案件番号]]),"",COUNTIF(tbl_案件追跡[案件番号],tbl_案件追跡[[#This Row],[案件番号]]))</f>
        <v/>
      </c>
      <c r="AC22" s="313" t="n"/>
      <c r="AD22" s="209" t="n"/>
      <c r="AE22" s="313" t="n"/>
      <c r="AF22" s="72" t="n"/>
      <c r="AH22" s="222">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22" s="222">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22" s="222">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22" s="222">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22" s="222">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22" s="222">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22" s="222">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22" s="222">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22" s="222">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22" s="222">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22" s="222">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22" s="222">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22" s="222">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22" s="222">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22" s="222">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22" s="222">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22" s="222">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22" s="222">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22" s="222">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22" s="222">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22" s="222">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22" s="222">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22" s="222">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22" s="222">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22" s="222">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22" s="222">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22" s="222">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22" s="222">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22" s="222">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22" s="222">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22" s="222">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22" s="222">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22" s="222">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22" s="222">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22" s="222">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22" s="222">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22" s="222">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22" s="222">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22" s="222">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22" s="222">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22" s="222">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22" s="222">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22" s="222">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22" s="222">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22" s="222">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22" s="222">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22" s="222">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22" s="222">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22" s="222">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22" s="222">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22" s="222">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22" s="222">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22" s="222">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22" s="222">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22" s="222">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22" s="222">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22" s="222">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22" s="222">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22" s="222">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22" s="222">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23">
      <c r="A23" s="212" t="n"/>
      <c r="B23" s="209">
        <f t="array" ref="B23">IF(ISBLANK(tbl_案件追跡[[#This Row],[案件番号]]),"",COUNTA(_xlfn.UNIQUE(_xlfn._xlws.FILTER(tbl_明細[仕入先], tbl_明細[案件番号]=tbl_案件追跡[[#This Row],[案件番号]]))))</f>
        <v/>
      </c>
      <c r="C23" s="77">
        <f>IF(ISBLANK(tbl_案件追跡[[#This Row],[案件番号]]),"",_xlfn.XLOOKUP(tbl_案件追跡[[#This Row],[案件番号]],tbl_明細[案件番号],tbl_明細[顧客名],"",0,1))</f>
        <v/>
      </c>
      <c r="D23" s="209">
        <f>IF(ISBLANK(tbl_案件追跡[[#This Row],[案件番号]]),"",IF(tbl_案件追跡[[#This Row],[仕入先数]] = 1, _xlfn.XLOOKUP(tbl_案件追跡[[#This Row],[案件番号]],tbl_明細[案件番号],tbl_明細[仕入先],"",0,1),""))</f>
        <v/>
      </c>
      <c r="E23" s="77">
        <f t="array" ref="E23">IF(ISBLANK(tbl_案件追跡[[#This Row],[案件番号]]),"",_xlfn.XLOOKUP(tbl_案件追跡[[#This Row],[案件番号]]&amp;tbl_案件追跡[[#This Row],[仕入先]],tbl_明細[案件番号]&amp;tbl_明細[仕入先],tbl_明細[商品名],"",0,1))</f>
        <v/>
      </c>
      <c r="F23" s="209" t="n"/>
      <c r="G23" s="209" t="n"/>
      <c r="H23" s="209" t="n"/>
      <c r="I23" s="209" t="n"/>
      <c r="J23" s="209" t="n"/>
      <c r="K23" s="209" t="n"/>
      <c r="L23" s="209" t="n"/>
      <c r="M23" s="313" t="n"/>
      <c r="N23" s="314" t="n"/>
      <c r="O23" s="314" t="n"/>
      <c r="P23" s="313" t="n"/>
      <c r="Q23" s="314" t="n"/>
      <c r="R23" s="314" t="n"/>
      <c r="S23" s="314" t="n"/>
      <c r="T23" s="314" t="n"/>
      <c r="U23" s="314" t="n"/>
      <c r="V23" s="314" t="n"/>
      <c r="W23" s="313">
        <f>IF(ISBLANK(tbl_案件追跡[[#This Row],[着荷]]),"",EOMONTH(tbl_案件追跡[[#This Row],[着荷]],0))</f>
        <v/>
      </c>
      <c r="X23" s="313" t="n"/>
      <c r="Y23" s="313">
        <f>IF(AND(tbl_案件追跡[[#This Row],[支払い条件]]="前払",ISBLANK(tbl_案件追跡[[#This Row],[受注]])= FALSE ),tbl_案件追跡[[#This Row],[受注]],IF(ISBLANK(tbl_案件追跡[[#This Row],[着荷]]),"",EOMONTH(tbl_案件追跡[[#This Row],[着荷]],0)))</f>
        <v/>
      </c>
      <c r="Z23" s="313" t="n"/>
      <c r="AA23" s="77">
        <f>_xlfn.XLOOKUP(tbl_案件追跡[[#This Row],[案件番号]],tbl_採番[案件番号],tbl_採番[担当者],"",0,1)</f>
        <v/>
      </c>
      <c r="AB23" s="209">
        <f>IF(ISBLANK(tbl_案件追跡[[#This Row],[案件番号]]),"",COUNTIF(tbl_案件追跡[案件番号],tbl_案件追跡[[#This Row],[案件番号]]))</f>
        <v/>
      </c>
      <c r="AC23" s="313" t="n"/>
      <c r="AD23" s="209" t="n"/>
      <c r="AE23" s="313" t="n"/>
      <c r="AF23" s="72" t="n"/>
      <c r="AH23" s="222">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23" s="222">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23" s="222">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23" s="222">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23" s="222">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23" s="222">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23" s="222">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23" s="222">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23" s="222">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23" s="222">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23" s="222">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23" s="222">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23" s="222">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23" s="222">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23" s="222">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23" s="222">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23" s="222">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23" s="222">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23" s="222">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23" s="222">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23" s="222">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23" s="222">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23" s="222">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23" s="222">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23" s="222">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23" s="222">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23" s="222">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23" s="222">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23" s="222">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23" s="222">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23" s="222">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23" s="222">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23" s="222">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23" s="222">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23" s="222">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23" s="222">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23" s="222">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23" s="222">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23" s="222">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23" s="222">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23" s="222">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23" s="222">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23" s="222">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23" s="222">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23" s="222">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23" s="222">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23" s="222">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23" s="222">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23" s="222">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23" s="222">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23" s="222">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23" s="222">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23" s="222">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23" s="222">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23" s="222">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23" s="222">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23" s="222">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23" s="222">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23" s="222">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23" s="222">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24">
      <c r="A24" s="212" t="n"/>
      <c r="B24" s="209">
        <f t="array" ref="B24">IF(ISBLANK(tbl_案件追跡[[#This Row],[案件番号]]),"",COUNTA(_xlfn.UNIQUE(_xlfn._xlws.FILTER(tbl_明細[仕入先], tbl_明細[案件番号]=tbl_案件追跡[[#This Row],[案件番号]]))))</f>
        <v/>
      </c>
      <c r="C24" s="77">
        <f>IF(ISBLANK(tbl_案件追跡[[#This Row],[案件番号]]),"",_xlfn.XLOOKUP(tbl_案件追跡[[#This Row],[案件番号]],tbl_明細[案件番号],tbl_明細[顧客名],"",0,1))</f>
        <v/>
      </c>
      <c r="D24" s="209">
        <f>IF(ISBLANK(tbl_案件追跡[[#This Row],[案件番号]]),"",IF(tbl_案件追跡[[#This Row],[仕入先数]] = 1, _xlfn.XLOOKUP(tbl_案件追跡[[#This Row],[案件番号]],tbl_明細[案件番号],tbl_明細[仕入先],"",0,1),""))</f>
        <v/>
      </c>
      <c r="E24" s="77">
        <f t="array" ref="E24">IF(ISBLANK(tbl_案件追跡[[#This Row],[案件番号]]),"",_xlfn.XLOOKUP(tbl_案件追跡[[#This Row],[案件番号]]&amp;tbl_案件追跡[[#This Row],[仕入先]],tbl_明細[案件番号]&amp;tbl_明細[仕入先],tbl_明細[商品名],"",0,1))</f>
        <v/>
      </c>
      <c r="F24" s="209" t="n"/>
      <c r="G24" s="209" t="n"/>
      <c r="H24" s="209" t="n"/>
      <c r="I24" s="209" t="n"/>
      <c r="J24" s="209" t="n"/>
      <c r="K24" s="209" t="n"/>
      <c r="L24" s="209" t="n"/>
      <c r="M24" s="313" t="n"/>
      <c r="N24" s="314" t="n"/>
      <c r="O24" s="314" t="n"/>
      <c r="P24" s="313" t="n"/>
      <c r="Q24" s="314" t="n"/>
      <c r="R24" s="314" t="n"/>
      <c r="S24" s="314" t="n"/>
      <c r="T24" s="314" t="n"/>
      <c r="U24" s="314" t="n"/>
      <c r="V24" s="314" t="n"/>
      <c r="W24" s="313">
        <f>IF(ISBLANK(tbl_案件追跡[[#This Row],[着荷]]),"",EOMONTH(tbl_案件追跡[[#This Row],[着荷]],0))</f>
        <v/>
      </c>
      <c r="X24" s="313" t="n"/>
      <c r="Y24" s="313">
        <f>IF(AND(tbl_案件追跡[[#This Row],[支払い条件]]="前払",ISBLANK(tbl_案件追跡[[#This Row],[受注]])= FALSE ),tbl_案件追跡[[#This Row],[受注]],IF(ISBLANK(tbl_案件追跡[[#This Row],[着荷]]),"",EOMONTH(tbl_案件追跡[[#This Row],[着荷]],0)))</f>
        <v/>
      </c>
      <c r="Z24" s="313" t="n"/>
      <c r="AA24" s="77">
        <f>_xlfn.XLOOKUP(tbl_案件追跡[[#This Row],[案件番号]],tbl_採番[案件番号],tbl_採番[担当者],"",0,1)</f>
        <v/>
      </c>
      <c r="AB24" s="209">
        <f>IF(ISBLANK(tbl_案件追跡[[#This Row],[案件番号]]),"",COUNTIF(tbl_案件追跡[案件番号],tbl_案件追跡[[#This Row],[案件番号]]))</f>
        <v/>
      </c>
      <c r="AC24" s="313" t="n"/>
      <c r="AD24" s="209" t="n"/>
      <c r="AE24" s="313" t="n"/>
      <c r="AF24" s="72" t="n"/>
      <c r="AH24" s="222">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24" s="222">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24" s="222">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24" s="222">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24" s="222">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24" s="222">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24" s="222">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24" s="222">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24" s="222">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24" s="222">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24" s="222">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24" s="222">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24" s="222">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24" s="222">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24" s="222">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24" s="222">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24" s="222">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24" s="222">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24" s="222">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24" s="222">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24" s="222">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24" s="222">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24" s="222">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24" s="222">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24" s="222">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24" s="222">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24" s="222">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24" s="222">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24" s="222">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24" s="222">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24" s="222">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24" s="222">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24" s="222">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24" s="222">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24" s="222">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24" s="222">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24" s="222">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24" s="222">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24" s="222">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24" s="222">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24" s="222">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24" s="222">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24" s="222">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24" s="222">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24" s="222">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24" s="222">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24" s="222">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24" s="222">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24" s="222">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24" s="222">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24" s="222">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24" s="222">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24" s="222">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24" s="222">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24" s="222">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24" s="222">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24" s="222">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24" s="222">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24" s="222">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24" s="222">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25">
      <c r="A25" s="212" t="n"/>
      <c r="B25" s="209">
        <f t="array" ref="B25">IF(ISBLANK(tbl_案件追跡[[#This Row],[案件番号]]),"",COUNTA(_xlfn.UNIQUE(_xlfn._xlws.FILTER(tbl_明細[仕入先], tbl_明細[案件番号]=tbl_案件追跡[[#This Row],[案件番号]]))))</f>
        <v/>
      </c>
      <c r="C25" s="77">
        <f>IF(ISBLANK(tbl_案件追跡[[#This Row],[案件番号]]),"",_xlfn.XLOOKUP(tbl_案件追跡[[#This Row],[案件番号]],tbl_明細[案件番号],tbl_明細[顧客名],"",0,1))</f>
        <v/>
      </c>
      <c r="D25" s="209">
        <f>IF(ISBLANK(tbl_案件追跡[[#This Row],[案件番号]]),"",IF(tbl_案件追跡[[#This Row],[仕入先数]] = 1, _xlfn.XLOOKUP(tbl_案件追跡[[#This Row],[案件番号]],tbl_明細[案件番号],tbl_明細[仕入先],"",0,1),""))</f>
        <v/>
      </c>
      <c r="E25" s="77">
        <f t="array" ref="E25">IF(ISBLANK(tbl_案件追跡[[#This Row],[案件番号]]),"",_xlfn.XLOOKUP(tbl_案件追跡[[#This Row],[案件番号]]&amp;tbl_案件追跡[[#This Row],[仕入先]],tbl_明細[案件番号]&amp;tbl_明細[仕入先],tbl_明細[商品名],"",0,1))</f>
        <v/>
      </c>
      <c r="F25" s="209" t="n"/>
      <c r="G25" s="209" t="n"/>
      <c r="H25" s="209" t="n"/>
      <c r="I25" s="209" t="n"/>
      <c r="J25" s="209" t="n"/>
      <c r="K25" s="209" t="n"/>
      <c r="L25" s="209" t="n"/>
      <c r="M25" s="313" t="n"/>
      <c r="N25" s="314" t="n"/>
      <c r="O25" s="314" t="n"/>
      <c r="P25" s="313" t="n"/>
      <c r="Q25" s="314" t="n"/>
      <c r="R25" s="314" t="n"/>
      <c r="S25" s="314" t="n"/>
      <c r="T25" s="314" t="n"/>
      <c r="U25" s="314" t="n"/>
      <c r="V25" s="314" t="n"/>
      <c r="W25" s="313">
        <f>IF(ISBLANK(tbl_案件追跡[[#This Row],[着荷]]),"",EOMONTH(tbl_案件追跡[[#This Row],[着荷]],0))</f>
        <v/>
      </c>
      <c r="X25" s="313" t="n"/>
      <c r="Y25" s="313">
        <f>IF(AND(tbl_案件追跡[[#This Row],[支払い条件]]="前払",ISBLANK(tbl_案件追跡[[#This Row],[受注]])= FALSE ),tbl_案件追跡[[#This Row],[受注]],IF(ISBLANK(tbl_案件追跡[[#This Row],[着荷]]),"",EOMONTH(tbl_案件追跡[[#This Row],[着荷]],0)))</f>
        <v/>
      </c>
      <c r="Z25" s="313" t="n"/>
      <c r="AA25" s="77">
        <f>_xlfn.XLOOKUP(tbl_案件追跡[[#This Row],[案件番号]],tbl_採番[案件番号],tbl_採番[担当者],"",0,1)</f>
        <v/>
      </c>
      <c r="AB25" s="209">
        <f>IF(ISBLANK(tbl_案件追跡[[#This Row],[案件番号]]),"",COUNTIF(tbl_案件追跡[案件番号],tbl_案件追跡[[#This Row],[案件番号]]))</f>
        <v/>
      </c>
      <c r="AC25" s="313" t="n"/>
      <c r="AD25" s="209" t="n"/>
      <c r="AE25" s="313" t="n"/>
      <c r="AF25" s="72" t="n"/>
      <c r="AH25" s="222">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25" s="222">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25" s="222">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25" s="222">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25" s="222">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25" s="222">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25" s="222">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25" s="222">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25" s="222">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25" s="222">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25" s="222">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25" s="222">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25" s="222">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25" s="222">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25" s="222">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25" s="222">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25" s="222">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25" s="222">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25" s="222">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25" s="222">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25" s="222">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25" s="222">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25" s="222">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25" s="222">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25" s="222">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25" s="222">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25" s="222">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25" s="222">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25" s="222">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25" s="222">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25" s="222">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25" s="222">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25" s="222">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25" s="222">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25" s="222">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25" s="222">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25" s="222">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25" s="222">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25" s="222">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25" s="222">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25" s="222">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25" s="222">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25" s="222">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25" s="222">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25" s="222">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25" s="222">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25" s="222">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25" s="222">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25" s="222">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25" s="222">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25" s="222">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25" s="222">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25" s="222">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25" s="222">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25" s="222">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25" s="222">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25" s="222">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25" s="222">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25" s="222">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25" s="222">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26">
      <c r="A26" s="212" t="n"/>
      <c r="B26" s="209">
        <f t="array" ref="B26">IF(ISBLANK(tbl_案件追跡[[#This Row],[案件番号]]),"",COUNTA(_xlfn.UNIQUE(_xlfn._xlws.FILTER(tbl_明細[仕入先], tbl_明細[案件番号]=tbl_案件追跡[[#This Row],[案件番号]]))))</f>
        <v/>
      </c>
      <c r="C26" s="77">
        <f>IF(ISBLANK(tbl_案件追跡[[#This Row],[案件番号]]),"",_xlfn.XLOOKUP(tbl_案件追跡[[#This Row],[案件番号]],tbl_明細[案件番号],tbl_明細[顧客名],"",0,1))</f>
        <v/>
      </c>
      <c r="D26" s="209">
        <f>IF(ISBLANK(tbl_案件追跡[[#This Row],[案件番号]]),"",IF(tbl_案件追跡[[#This Row],[仕入先数]] = 1, _xlfn.XLOOKUP(tbl_案件追跡[[#This Row],[案件番号]],tbl_明細[案件番号],tbl_明細[仕入先],"",0,1),""))</f>
        <v/>
      </c>
      <c r="E26" s="77">
        <f t="array" ref="E26">IF(ISBLANK(tbl_案件追跡[[#This Row],[案件番号]]),"",_xlfn.XLOOKUP(tbl_案件追跡[[#This Row],[案件番号]]&amp;tbl_案件追跡[[#This Row],[仕入先]],tbl_明細[案件番号]&amp;tbl_明細[仕入先],tbl_明細[商品名],"",0,1))</f>
        <v/>
      </c>
      <c r="F26" s="209" t="n"/>
      <c r="G26" s="209" t="n"/>
      <c r="H26" s="209" t="n"/>
      <c r="I26" s="209" t="n"/>
      <c r="J26" s="209" t="n"/>
      <c r="K26" s="209" t="n"/>
      <c r="L26" s="209" t="n"/>
      <c r="M26" s="313" t="n"/>
      <c r="N26" s="314" t="n"/>
      <c r="O26" s="314" t="n"/>
      <c r="P26" s="313" t="n"/>
      <c r="Q26" s="314" t="n"/>
      <c r="R26" s="314" t="n"/>
      <c r="S26" s="314" t="n"/>
      <c r="T26" s="314" t="n"/>
      <c r="U26" s="314" t="n"/>
      <c r="V26" s="314" t="n"/>
      <c r="W26" s="313">
        <f>IF(ISBLANK(tbl_案件追跡[[#This Row],[着荷]]),"",EOMONTH(tbl_案件追跡[[#This Row],[着荷]],0))</f>
        <v/>
      </c>
      <c r="X26" s="313" t="n"/>
      <c r="Y26" s="313">
        <f>IF(AND(tbl_案件追跡[[#This Row],[支払い条件]]="前払",ISBLANK(tbl_案件追跡[[#This Row],[受注]])= FALSE ),tbl_案件追跡[[#This Row],[受注]],IF(ISBLANK(tbl_案件追跡[[#This Row],[着荷]]),"",EOMONTH(tbl_案件追跡[[#This Row],[着荷]],0)))</f>
        <v/>
      </c>
      <c r="Z26" s="313" t="n"/>
      <c r="AA26" s="77">
        <f>_xlfn.XLOOKUP(tbl_案件追跡[[#This Row],[案件番号]],tbl_採番[案件番号],tbl_採番[担当者],"",0,1)</f>
        <v/>
      </c>
      <c r="AB26" s="209">
        <f>IF(ISBLANK(tbl_案件追跡[[#This Row],[案件番号]]),"",COUNTIF(tbl_案件追跡[案件番号],tbl_案件追跡[[#This Row],[案件番号]]))</f>
        <v/>
      </c>
      <c r="AC26" s="313" t="n"/>
      <c r="AD26" s="209" t="n"/>
      <c r="AE26" s="313" t="n"/>
      <c r="AF26" s="72" t="n"/>
      <c r="AH26" s="222">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26" s="222">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26" s="222">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26" s="222">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26" s="222">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26" s="222">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26" s="222">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26" s="222">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26" s="222">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26" s="222">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26" s="222">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26" s="222">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26" s="222">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26" s="222">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26" s="222">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26" s="222">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26" s="222">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26" s="222">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26" s="222">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26" s="222">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26" s="222">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26" s="222">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26" s="222">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26" s="222">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26" s="222">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26" s="222">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26" s="222">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26" s="222">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26" s="222">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26" s="222">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26" s="222">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26" s="222">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26" s="222">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26" s="222">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26" s="222">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26" s="222">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26" s="222">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26" s="222">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26" s="222">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26" s="222">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26" s="222">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26" s="222">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26" s="222">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26" s="222">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26" s="222">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26" s="222">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26" s="222">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26" s="222">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26" s="222">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26" s="222">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26" s="222">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26" s="222">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26" s="222">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26" s="222">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26" s="222">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26" s="222">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26" s="222">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26" s="222">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26" s="222">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26" s="222">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27">
      <c r="A27" s="212" t="n"/>
      <c r="B27" s="209">
        <f t="array" ref="B27">IF(ISBLANK(tbl_案件追跡[[#This Row],[案件番号]]),"",COUNTA(_xlfn.UNIQUE(_xlfn._xlws.FILTER(tbl_明細[仕入先], tbl_明細[案件番号]=tbl_案件追跡[[#This Row],[案件番号]]))))</f>
        <v/>
      </c>
      <c r="C27" s="77">
        <f>IF(ISBLANK(tbl_案件追跡[[#This Row],[案件番号]]),"",_xlfn.XLOOKUP(tbl_案件追跡[[#This Row],[案件番号]],tbl_明細[案件番号],tbl_明細[顧客名],"",0,1))</f>
        <v/>
      </c>
      <c r="D27" s="209">
        <f>IF(ISBLANK(tbl_案件追跡[[#This Row],[案件番号]]),"",IF(tbl_案件追跡[[#This Row],[仕入先数]] = 1, _xlfn.XLOOKUP(tbl_案件追跡[[#This Row],[案件番号]],tbl_明細[案件番号],tbl_明細[仕入先],"",0,1),""))</f>
        <v/>
      </c>
      <c r="E27" s="77">
        <f t="array" ref="E27">IF(ISBLANK(tbl_案件追跡[[#This Row],[案件番号]]),"",_xlfn.XLOOKUP(tbl_案件追跡[[#This Row],[案件番号]]&amp;tbl_案件追跡[[#This Row],[仕入先]],tbl_明細[案件番号]&amp;tbl_明細[仕入先],tbl_明細[商品名],"",0,1))</f>
        <v/>
      </c>
      <c r="F27" s="209" t="n"/>
      <c r="G27" s="209" t="n"/>
      <c r="H27" s="209" t="n"/>
      <c r="I27" s="209" t="n"/>
      <c r="J27" s="209" t="n"/>
      <c r="K27" s="209" t="n"/>
      <c r="L27" s="209" t="n"/>
      <c r="M27" s="313" t="n"/>
      <c r="N27" s="314" t="n"/>
      <c r="O27" s="314" t="n"/>
      <c r="P27" s="313" t="n"/>
      <c r="Q27" s="314" t="n"/>
      <c r="R27" s="314" t="n"/>
      <c r="S27" s="314" t="n"/>
      <c r="T27" s="314" t="n"/>
      <c r="U27" s="314" t="n"/>
      <c r="V27" s="314" t="n"/>
      <c r="W27" s="313">
        <f>IF(ISBLANK(tbl_案件追跡[[#This Row],[着荷]]),"",EOMONTH(tbl_案件追跡[[#This Row],[着荷]],0))</f>
        <v/>
      </c>
      <c r="X27" s="313" t="n"/>
      <c r="Y27" s="313">
        <f>IF(AND(tbl_案件追跡[[#This Row],[支払い条件]]="前払",ISBLANK(tbl_案件追跡[[#This Row],[受注]])= FALSE ),tbl_案件追跡[[#This Row],[受注]],IF(ISBLANK(tbl_案件追跡[[#This Row],[着荷]]),"",EOMONTH(tbl_案件追跡[[#This Row],[着荷]],0)))</f>
        <v/>
      </c>
      <c r="Z27" s="313" t="n"/>
      <c r="AA27" s="77">
        <f>_xlfn.XLOOKUP(tbl_案件追跡[[#This Row],[案件番号]],tbl_採番[案件番号],tbl_採番[担当者],"",0,1)</f>
        <v/>
      </c>
      <c r="AB27" s="209">
        <f>IF(ISBLANK(tbl_案件追跡[[#This Row],[案件番号]]),"",COUNTIF(tbl_案件追跡[案件番号],tbl_案件追跡[[#This Row],[案件番号]]))</f>
        <v/>
      </c>
      <c r="AC27" s="313" t="n"/>
      <c r="AD27" s="209" t="n"/>
      <c r="AE27" s="313" t="n"/>
      <c r="AF27" s="72" t="n"/>
      <c r="AH27" s="222">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27" s="222">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27" s="222">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27" s="222">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27" s="222">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27" s="222">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27" s="222">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27" s="222">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27" s="222">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27" s="222">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27" s="222">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27" s="222">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27" s="222">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27" s="222">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27" s="222">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27" s="222">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27" s="222">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27" s="222">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27" s="222">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27" s="222">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27" s="222">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27" s="222">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27" s="222">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27" s="222">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27" s="222">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27" s="222">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27" s="222">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27" s="222">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27" s="222">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27" s="222">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27" s="222">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27" s="222">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27" s="222">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27" s="222">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27" s="222">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27" s="222">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27" s="222">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27" s="222">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27" s="222">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27" s="222">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27" s="222">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27" s="222">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27" s="222">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27" s="222">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27" s="222">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27" s="222">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27" s="222">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27" s="222">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27" s="222">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27" s="222">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27" s="222">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27" s="222">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27" s="222">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27" s="222">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27" s="222">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27" s="222">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27" s="222">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27" s="222">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27" s="222">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27" s="222">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28">
      <c r="A28" s="212" t="n"/>
      <c r="B28" s="209">
        <f t="array" ref="B28">IF(ISBLANK(tbl_案件追跡[[#This Row],[案件番号]]),"",COUNTA(_xlfn.UNIQUE(_xlfn._xlws.FILTER(tbl_明細[仕入先], tbl_明細[案件番号]=tbl_案件追跡[[#This Row],[案件番号]]))))</f>
        <v/>
      </c>
      <c r="C28" s="77">
        <f>IF(ISBLANK(tbl_案件追跡[[#This Row],[案件番号]]),"",_xlfn.XLOOKUP(tbl_案件追跡[[#This Row],[案件番号]],tbl_明細[案件番号],tbl_明細[顧客名],"",0,1))</f>
        <v/>
      </c>
      <c r="D28" s="209">
        <f>IF(ISBLANK(tbl_案件追跡[[#This Row],[案件番号]]),"",IF(tbl_案件追跡[[#This Row],[仕入先数]] = 1, _xlfn.XLOOKUP(tbl_案件追跡[[#This Row],[案件番号]],tbl_明細[案件番号],tbl_明細[仕入先],"",0,1),""))</f>
        <v/>
      </c>
      <c r="E28" s="77">
        <f t="array" ref="E28">IF(ISBLANK(tbl_案件追跡[[#This Row],[案件番号]]),"",_xlfn.XLOOKUP(tbl_案件追跡[[#This Row],[案件番号]]&amp;tbl_案件追跡[[#This Row],[仕入先]],tbl_明細[案件番号]&amp;tbl_明細[仕入先],tbl_明細[商品名],"",0,1))</f>
        <v/>
      </c>
      <c r="F28" s="209" t="n"/>
      <c r="G28" s="209" t="n"/>
      <c r="H28" s="209" t="n"/>
      <c r="I28" s="209" t="n"/>
      <c r="J28" s="209" t="n"/>
      <c r="K28" s="209" t="n"/>
      <c r="L28" s="209" t="n"/>
      <c r="M28" s="313" t="n"/>
      <c r="N28" s="314" t="n"/>
      <c r="O28" s="314" t="n"/>
      <c r="P28" s="313" t="n"/>
      <c r="Q28" s="314" t="n"/>
      <c r="R28" s="314" t="n"/>
      <c r="S28" s="314" t="n"/>
      <c r="T28" s="314" t="n"/>
      <c r="U28" s="314" t="n"/>
      <c r="V28" s="314" t="n"/>
      <c r="W28" s="313">
        <f>IF(ISBLANK(tbl_案件追跡[[#This Row],[着荷]]),"",EOMONTH(tbl_案件追跡[[#This Row],[着荷]],0))</f>
        <v/>
      </c>
      <c r="X28" s="313" t="n"/>
      <c r="Y28" s="313">
        <f>IF(AND(tbl_案件追跡[[#This Row],[支払い条件]]="前払",ISBLANK(tbl_案件追跡[[#This Row],[受注]])= FALSE ),tbl_案件追跡[[#This Row],[受注]],IF(ISBLANK(tbl_案件追跡[[#This Row],[着荷]]),"",EOMONTH(tbl_案件追跡[[#This Row],[着荷]],0)))</f>
        <v/>
      </c>
      <c r="Z28" s="313" t="n"/>
      <c r="AA28" s="77">
        <f>_xlfn.XLOOKUP(tbl_案件追跡[[#This Row],[案件番号]],tbl_採番[案件番号],tbl_採番[担当者],"",0,1)</f>
        <v/>
      </c>
      <c r="AB28" s="209">
        <f>IF(ISBLANK(tbl_案件追跡[[#This Row],[案件番号]]),"",COUNTIF(tbl_案件追跡[案件番号],tbl_案件追跡[[#This Row],[案件番号]]))</f>
        <v/>
      </c>
      <c r="AC28" s="313" t="n"/>
      <c r="AD28" s="209" t="n"/>
      <c r="AE28" s="313" t="n"/>
      <c r="AF28" s="72" t="n"/>
      <c r="AH28" s="222">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28" s="222">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28" s="222">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28" s="222">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28" s="222">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28" s="222">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28" s="222">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28" s="222">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28" s="222">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28" s="222">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28" s="222">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28" s="222">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28" s="222">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28" s="222">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28" s="222">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28" s="222">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28" s="222">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28" s="222">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28" s="222">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28" s="222">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28" s="222">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28" s="222">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28" s="222">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28" s="222">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28" s="222">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28" s="222">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28" s="222">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28" s="222">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28" s="222">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28" s="222">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28" s="222">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28" s="222">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28" s="222">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28" s="222">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28" s="222">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28" s="222">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28" s="222">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28" s="222">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28" s="222">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28" s="222">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28" s="222">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28" s="222">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28" s="222">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28" s="222">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28" s="222">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28" s="222">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28" s="222">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28" s="222">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28" s="222">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28" s="222">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28" s="222">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28" s="222">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28" s="222">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28" s="222">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28" s="222">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28" s="222">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28" s="222">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28" s="222">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28" s="222">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28" s="222">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29">
      <c r="A29" s="212" t="n"/>
      <c r="B29" s="209">
        <f t="array" ref="B29">IF(ISBLANK(tbl_案件追跡[[#This Row],[案件番号]]),"",COUNTA(_xlfn.UNIQUE(_xlfn._xlws.FILTER(tbl_明細[仕入先], tbl_明細[案件番号]=tbl_案件追跡[[#This Row],[案件番号]]))))</f>
        <v/>
      </c>
      <c r="C29" s="77">
        <f>IF(ISBLANK(tbl_案件追跡[[#This Row],[案件番号]]),"",_xlfn.XLOOKUP(tbl_案件追跡[[#This Row],[案件番号]],tbl_明細[案件番号],tbl_明細[顧客名],"",0,1))</f>
        <v/>
      </c>
      <c r="D29" s="209">
        <f>IF(ISBLANK(tbl_案件追跡[[#This Row],[案件番号]]),"",IF(tbl_案件追跡[[#This Row],[仕入先数]] = 1, _xlfn.XLOOKUP(tbl_案件追跡[[#This Row],[案件番号]],tbl_明細[案件番号],tbl_明細[仕入先],"",0,1),""))</f>
        <v/>
      </c>
      <c r="E29" s="77">
        <f t="array" ref="E29">IF(ISBLANK(tbl_案件追跡[[#This Row],[案件番号]]),"",_xlfn.XLOOKUP(tbl_案件追跡[[#This Row],[案件番号]]&amp;tbl_案件追跡[[#This Row],[仕入先]],tbl_明細[案件番号]&amp;tbl_明細[仕入先],tbl_明細[商品名],"",0,1))</f>
        <v/>
      </c>
      <c r="F29" s="209" t="n"/>
      <c r="G29" s="209" t="n"/>
      <c r="H29" s="209" t="n"/>
      <c r="I29" s="209" t="n"/>
      <c r="J29" s="209" t="n"/>
      <c r="K29" s="209" t="n"/>
      <c r="L29" s="209" t="n"/>
      <c r="M29" s="313" t="n"/>
      <c r="N29" s="314" t="n"/>
      <c r="O29" s="314" t="n"/>
      <c r="P29" s="313" t="n"/>
      <c r="Q29" s="314" t="n"/>
      <c r="R29" s="314" t="n"/>
      <c r="S29" s="314" t="n"/>
      <c r="T29" s="314" t="n"/>
      <c r="U29" s="314" t="n"/>
      <c r="V29" s="314" t="n"/>
      <c r="W29" s="313">
        <f>IF(ISBLANK(tbl_案件追跡[[#This Row],[着荷]]),"",EOMONTH(tbl_案件追跡[[#This Row],[着荷]],0))</f>
        <v/>
      </c>
      <c r="X29" s="313" t="n"/>
      <c r="Y29" s="313">
        <f>IF(AND(tbl_案件追跡[[#This Row],[支払い条件]]="前払",ISBLANK(tbl_案件追跡[[#This Row],[受注]])= FALSE ),tbl_案件追跡[[#This Row],[受注]],IF(ISBLANK(tbl_案件追跡[[#This Row],[着荷]]),"",EOMONTH(tbl_案件追跡[[#This Row],[着荷]],0)))</f>
        <v/>
      </c>
      <c r="Z29" s="313" t="n"/>
      <c r="AA29" s="77">
        <f>_xlfn.XLOOKUP(tbl_案件追跡[[#This Row],[案件番号]],tbl_採番[案件番号],tbl_採番[担当者],"",0,1)</f>
        <v/>
      </c>
      <c r="AB29" s="209">
        <f>IF(ISBLANK(tbl_案件追跡[[#This Row],[案件番号]]),"",COUNTIF(tbl_案件追跡[案件番号],tbl_案件追跡[[#This Row],[案件番号]]))</f>
        <v/>
      </c>
      <c r="AC29" s="313" t="n"/>
      <c r="AD29" s="209" t="n"/>
      <c r="AE29" s="313" t="n"/>
      <c r="AF29" s="72" t="n"/>
      <c r="AH29" s="222">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29" s="222">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29" s="222">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29" s="222">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29" s="222">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29" s="222">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29" s="222">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29" s="222">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29" s="222">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29" s="222">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29" s="222">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29" s="222">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29" s="222">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29" s="222">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29" s="222">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29" s="222">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29" s="222">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29" s="222">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29" s="222">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29" s="222">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29" s="222">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29" s="222">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29" s="222">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29" s="222">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29" s="222">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29" s="222">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29" s="222">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29" s="222">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29" s="222">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29" s="222">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29" s="222">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29" s="222">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29" s="222">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29" s="222">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29" s="222">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29" s="222">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29" s="222">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29" s="222">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29" s="222">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29" s="222">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29" s="222">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29" s="222">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29" s="222">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29" s="222">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29" s="222">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29" s="222">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29" s="222">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29" s="222">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29" s="222">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29" s="222">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29" s="222">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29" s="222">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29" s="222">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29" s="222">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29" s="222">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29" s="222">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29" s="222">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29" s="222">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29" s="222">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29" s="222">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30">
      <c r="A30" s="212" t="n"/>
      <c r="B30" s="209">
        <f t="array" ref="B30">IF(ISBLANK(tbl_案件追跡[[#This Row],[案件番号]]),"",COUNTA(_xlfn.UNIQUE(_xlfn._xlws.FILTER(tbl_明細[仕入先], tbl_明細[案件番号]=tbl_案件追跡[[#This Row],[案件番号]]))))</f>
        <v/>
      </c>
      <c r="C30" s="77">
        <f>IF(ISBLANK(tbl_案件追跡[[#This Row],[案件番号]]),"",_xlfn.XLOOKUP(tbl_案件追跡[[#This Row],[案件番号]],tbl_明細[案件番号],tbl_明細[顧客名],"",0,1))</f>
        <v/>
      </c>
      <c r="D30" s="209">
        <f>IF(ISBLANK(tbl_案件追跡[[#This Row],[案件番号]]),"",IF(tbl_案件追跡[[#This Row],[仕入先数]] = 1, _xlfn.XLOOKUP(tbl_案件追跡[[#This Row],[案件番号]],tbl_明細[案件番号],tbl_明細[仕入先],"",0,1),""))</f>
        <v/>
      </c>
      <c r="E30" s="77">
        <f t="array" ref="E30">IF(ISBLANK(tbl_案件追跡[[#This Row],[案件番号]]),"",_xlfn.XLOOKUP(tbl_案件追跡[[#This Row],[案件番号]]&amp;tbl_案件追跡[[#This Row],[仕入先]],tbl_明細[案件番号]&amp;tbl_明細[仕入先],tbl_明細[商品名],"",0,1))</f>
        <v/>
      </c>
      <c r="F30" s="209" t="n"/>
      <c r="G30" s="209" t="n"/>
      <c r="H30" s="209" t="n"/>
      <c r="I30" s="209" t="n"/>
      <c r="J30" s="209" t="n"/>
      <c r="K30" s="209" t="n"/>
      <c r="L30" s="209" t="n"/>
      <c r="M30" s="313" t="n"/>
      <c r="N30" s="314" t="n"/>
      <c r="O30" s="314" t="n"/>
      <c r="P30" s="313" t="n"/>
      <c r="Q30" s="314" t="n"/>
      <c r="R30" s="314" t="n"/>
      <c r="S30" s="314" t="n"/>
      <c r="T30" s="314" t="n"/>
      <c r="U30" s="314" t="n"/>
      <c r="V30" s="314" t="n"/>
      <c r="W30" s="313">
        <f>IF(ISBLANK(tbl_案件追跡[[#This Row],[着荷]]),"",EOMONTH(tbl_案件追跡[[#This Row],[着荷]],0))</f>
        <v/>
      </c>
      <c r="X30" s="313" t="n"/>
      <c r="Y30" s="313">
        <f>IF(AND(tbl_案件追跡[[#This Row],[支払い条件]]="前払",ISBLANK(tbl_案件追跡[[#This Row],[受注]])= FALSE ),tbl_案件追跡[[#This Row],[受注]],IF(ISBLANK(tbl_案件追跡[[#This Row],[着荷]]),"",EOMONTH(tbl_案件追跡[[#This Row],[着荷]],0)))</f>
        <v/>
      </c>
      <c r="Z30" s="313" t="n"/>
      <c r="AA30" s="77">
        <f>_xlfn.XLOOKUP(tbl_案件追跡[[#This Row],[案件番号]],tbl_採番[案件番号],tbl_採番[担当者],"",0,1)</f>
        <v/>
      </c>
      <c r="AB30" s="209">
        <f>IF(ISBLANK(tbl_案件追跡[[#This Row],[案件番号]]),"",COUNTIF(tbl_案件追跡[案件番号],tbl_案件追跡[[#This Row],[案件番号]]))</f>
        <v/>
      </c>
      <c r="AC30" s="313" t="n"/>
      <c r="AD30" s="209" t="n"/>
      <c r="AE30" s="313" t="n"/>
      <c r="AF30" s="72" t="n"/>
      <c r="AH30" s="222">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30" s="222">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30" s="222">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30" s="222">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30" s="222">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30" s="222">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30" s="222">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30" s="222">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30" s="222">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30" s="222">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30" s="222">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30" s="222">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30" s="222">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30" s="222">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30" s="222">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30" s="222">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30" s="222">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30" s="222">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30" s="222">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30" s="222">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30" s="222">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30" s="222">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30" s="222">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30" s="222">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30" s="222">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30" s="222">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30" s="222">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30" s="222">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30" s="222">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30" s="222">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30" s="222">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30" s="222">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30" s="222">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30" s="222">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30" s="222">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30" s="222">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30" s="222">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30" s="222">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30" s="222">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30" s="222">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30" s="222">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30" s="222">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30" s="222">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30" s="222">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30" s="222">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30" s="222">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30" s="222">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30" s="222">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30" s="222">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30" s="222">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30" s="222">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30" s="222">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30" s="222">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30" s="222">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30" s="222">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30" s="222">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30" s="222">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30" s="222">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30" s="222">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30" s="222">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31">
      <c r="A31" s="212" t="n"/>
      <c r="B31" s="209">
        <f t="array" ref="B31">IF(ISBLANK(tbl_案件追跡[[#This Row],[案件番号]]),"",COUNTA(_xlfn.UNIQUE(_xlfn._xlws.FILTER(tbl_明細[仕入先], tbl_明細[案件番号]=tbl_案件追跡[[#This Row],[案件番号]]))))</f>
        <v/>
      </c>
      <c r="C31" s="77">
        <f>IF(ISBLANK(tbl_案件追跡[[#This Row],[案件番号]]),"",_xlfn.XLOOKUP(tbl_案件追跡[[#This Row],[案件番号]],tbl_明細[案件番号],tbl_明細[顧客名],"",0,1))</f>
        <v/>
      </c>
      <c r="D31" s="209">
        <f>IF(ISBLANK(tbl_案件追跡[[#This Row],[案件番号]]),"",IF(tbl_案件追跡[[#This Row],[仕入先数]] = 1, _xlfn.XLOOKUP(tbl_案件追跡[[#This Row],[案件番号]],tbl_明細[案件番号],tbl_明細[仕入先],"",0,1),""))</f>
        <v/>
      </c>
      <c r="E31" s="77">
        <f t="array" ref="E31">IF(ISBLANK(tbl_案件追跡[[#This Row],[案件番号]]),"",_xlfn.XLOOKUP(tbl_案件追跡[[#This Row],[案件番号]]&amp;tbl_案件追跡[[#This Row],[仕入先]],tbl_明細[案件番号]&amp;tbl_明細[仕入先],tbl_明細[商品名],"",0,1))</f>
        <v/>
      </c>
      <c r="F31" s="209" t="n"/>
      <c r="G31" s="209" t="n"/>
      <c r="H31" s="209" t="n"/>
      <c r="I31" s="209" t="n"/>
      <c r="J31" s="209" t="n"/>
      <c r="K31" s="209" t="n"/>
      <c r="L31" s="209" t="n"/>
      <c r="M31" s="313" t="n"/>
      <c r="N31" s="314" t="n"/>
      <c r="O31" s="314" t="n"/>
      <c r="P31" s="313" t="n"/>
      <c r="Q31" s="314" t="n"/>
      <c r="R31" s="314" t="n"/>
      <c r="S31" s="314" t="n"/>
      <c r="T31" s="314" t="n"/>
      <c r="U31" s="314" t="n"/>
      <c r="V31" s="314" t="n"/>
      <c r="W31" s="313">
        <f>IF(ISBLANK(tbl_案件追跡[[#This Row],[着荷]]),"",EOMONTH(tbl_案件追跡[[#This Row],[着荷]],0))</f>
        <v/>
      </c>
      <c r="X31" s="313" t="n"/>
      <c r="Y31" s="313">
        <f>IF(AND(tbl_案件追跡[[#This Row],[支払い条件]]="前払",ISBLANK(tbl_案件追跡[[#This Row],[受注]])= FALSE ),tbl_案件追跡[[#This Row],[受注]],IF(ISBLANK(tbl_案件追跡[[#This Row],[着荷]]),"",EOMONTH(tbl_案件追跡[[#This Row],[着荷]],0)))</f>
        <v/>
      </c>
      <c r="Z31" s="313" t="n"/>
      <c r="AA31" s="77">
        <f>_xlfn.XLOOKUP(tbl_案件追跡[[#This Row],[案件番号]],tbl_採番[案件番号],tbl_採番[担当者],"",0,1)</f>
        <v/>
      </c>
      <c r="AB31" s="209">
        <f>IF(ISBLANK(tbl_案件追跡[[#This Row],[案件番号]]),"",COUNTIF(tbl_案件追跡[案件番号],tbl_案件追跡[[#This Row],[案件番号]]))</f>
        <v/>
      </c>
      <c r="AC31" s="313" t="n"/>
      <c r="AD31" s="209" t="n"/>
      <c r="AE31" s="313" t="n"/>
      <c r="AF31" s="72" t="n"/>
      <c r="AH31" s="222">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31" s="222">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31" s="222">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31" s="222">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31" s="222">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31" s="222">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31" s="222">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31" s="222">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31" s="222">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31" s="222">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31" s="222">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31" s="222">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31" s="222">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31" s="222">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31" s="222">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31" s="222">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31" s="222">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31" s="222">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31" s="222">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31" s="222">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31" s="222">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31" s="222">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31" s="222">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31" s="222">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31" s="222">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31" s="222">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31" s="222">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31" s="222">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31" s="222">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31" s="222">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31" s="222">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31" s="222">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31" s="222">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31" s="222">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31" s="222">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31" s="222">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31" s="222">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31" s="222">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31" s="222">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31" s="222">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31" s="222">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31" s="222">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31" s="222">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31" s="222">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31" s="222">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31" s="222">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31" s="222">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31" s="222">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31" s="222">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31" s="222">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31" s="222">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31" s="222">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31" s="222">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31" s="222">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31" s="222">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31" s="222">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31" s="222">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31" s="222">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31" s="222">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31" s="222">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32">
      <c r="A32" s="212" t="n"/>
      <c r="B32" s="209">
        <f t="array" ref="B32">IF(ISBLANK(tbl_案件追跡[[#This Row],[案件番号]]),"",COUNTA(_xlfn.UNIQUE(_xlfn._xlws.FILTER(tbl_明細[仕入先], tbl_明細[案件番号]=tbl_案件追跡[[#This Row],[案件番号]]))))</f>
        <v/>
      </c>
      <c r="C32" s="77">
        <f>IF(ISBLANK(tbl_案件追跡[[#This Row],[案件番号]]),"",_xlfn.XLOOKUP(tbl_案件追跡[[#This Row],[案件番号]],tbl_明細[案件番号],tbl_明細[顧客名],"",0,1))</f>
        <v/>
      </c>
      <c r="D32" s="209">
        <f>IF(ISBLANK(tbl_案件追跡[[#This Row],[案件番号]]),"",IF(tbl_案件追跡[[#This Row],[仕入先数]] = 1, _xlfn.XLOOKUP(tbl_案件追跡[[#This Row],[案件番号]],tbl_明細[案件番号],tbl_明細[仕入先],"",0,1),""))</f>
        <v/>
      </c>
      <c r="E32" s="77">
        <f t="array" ref="E32">IF(ISBLANK(tbl_案件追跡[[#This Row],[案件番号]]),"",_xlfn.XLOOKUP(tbl_案件追跡[[#This Row],[案件番号]]&amp;tbl_案件追跡[[#This Row],[仕入先]],tbl_明細[案件番号]&amp;tbl_明細[仕入先],tbl_明細[商品名],"",0,1))</f>
        <v/>
      </c>
      <c r="F32" s="209" t="n"/>
      <c r="G32" s="209" t="n"/>
      <c r="H32" s="209" t="n"/>
      <c r="I32" s="209" t="n"/>
      <c r="J32" s="209" t="n"/>
      <c r="K32" s="209" t="n"/>
      <c r="L32" s="209" t="n"/>
      <c r="M32" s="313" t="n"/>
      <c r="N32" s="314" t="n"/>
      <c r="O32" s="314" t="n"/>
      <c r="P32" s="313" t="n"/>
      <c r="Q32" s="314" t="n"/>
      <c r="R32" s="314" t="n"/>
      <c r="S32" s="314" t="n"/>
      <c r="T32" s="314" t="n"/>
      <c r="U32" s="314" t="n"/>
      <c r="V32" s="314" t="n"/>
      <c r="W32" s="313">
        <f>IF(ISBLANK(tbl_案件追跡[[#This Row],[着荷]]),"",EOMONTH(tbl_案件追跡[[#This Row],[着荷]],0))</f>
        <v/>
      </c>
      <c r="X32" s="313" t="n"/>
      <c r="Y32" s="313">
        <f>IF(AND(tbl_案件追跡[[#This Row],[支払い条件]]="前払",ISBLANK(tbl_案件追跡[[#This Row],[受注]])= FALSE ),tbl_案件追跡[[#This Row],[受注]],IF(ISBLANK(tbl_案件追跡[[#This Row],[着荷]]),"",EOMONTH(tbl_案件追跡[[#This Row],[着荷]],0)))</f>
        <v/>
      </c>
      <c r="Z32" s="313" t="n"/>
      <c r="AA32" s="77">
        <f>_xlfn.XLOOKUP(tbl_案件追跡[[#This Row],[案件番号]],tbl_採番[案件番号],tbl_採番[担当者],"",0,1)</f>
        <v/>
      </c>
      <c r="AB32" s="209">
        <f>IF(ISBLANK(tbl_案件追跡[[#This Row],[案件番号]]),"",COUNTIF(tbl_案件追跡[案件番号],tbl_案件追跡[[#This Row],[案件番号]]))</f>
        <v/>
      </c>
      <c r="AC32" s="313" t="n"/>
      <c r="AD32" s="209" t="n"/>
      <c r="AE32" s="313" t="n"/>
      <c r="AF32" s="72" t="n"/>
      <c r="AH32" s="222">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32" s="222">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32" s="222">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32" s="222">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32" s="222">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32" s="222">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32" s="222">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32" s="222">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32" s="222">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32" s="222">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32" s="222">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32" s="222">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32" s="222">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32" s="222">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32" s="222">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32" s="222">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32" s="222">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32" s="222">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32" s="222">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32" s="222">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32" s="222">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32" s="222">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32" s="222">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32" s="222">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32" s="222">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32" s="222">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32" s="222">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32" s="222">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32" s="222">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32" s="222">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32" s="222">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32" s="222">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32" s="222">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32" s="222">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32" s="222">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32" s="222">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32" s="222">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32" s="222">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32" s="222">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32" s="222">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32" s="222">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32" s="222">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32" s="222">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32" s="222">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32" s="222">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32" s="222">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32" s="222">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32" s="222">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32" s="222">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32" s="222">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32" s="222">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32" s="222">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32" s="222">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32" s="222">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32" s="222">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32" s="222">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32" s="222">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32" s="222">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32" s="222">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32" s="222">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33">
      <c r="A33" s="212" t="n"/>
      <c r="B33" s="209">
        <f t="array" ref="B33">IF(ISBLANK(tbl_案件追跡[[#This Row],[案件番号]]),"",COUNTA(_xlfn.UNIQUE(_xlfn._xlws.FILTER(tbl_明細[仕入先], tbl_明細[案件番号]=tbl_案件追跡[[#This Row],[案件番号]]))))</f>
        <v/>
      </c>
      <c r="C33" s="77">
        <f>IF(ISBLANK(tbl_案件追跡[[#This Row],[案件番号]]),"",_xlfn.XLOOKUP(tbl_案件追跡[[#This Row],[案件番号]],tbl_明細[案件番号],tbl_明細[顧客名],"",0,1))</f>
        <v/>
      </c>
      <c r="D33" s="209">
        <f>IF(ISBLANK(tbl_案件追跡[[#This Row],[案件番号]]),"",IF(tbl_案件追跡[[#This Row],[仕入先数]] = 1, _xlfn.XLOOKUP(tbl_案件追跡[[#This Row],[案件番号]],tbl_明細[案件番号],tbl_明細[仕入先],"",0,1),""))</f>
        <v/>
      </c>
      <c r="E33" s="77">
        <f t="array" ref="E33">IF(ISBLANK(tbl_案件追跡[[#This Row],[案件番号]]),"",_xlfn.XLOOKUP(tbl_案件追跡[[#This Row],[案件番号]]&amp;tbl_案件追跡[[#This Row],[仕入先]],tbl_明細[案件番号]&amp;tbl_明細[仕入先],tbl_明細[商品名],"",0,1))</f>
        <v/>
      </c>
      <c r="F33" s="209" t="n"/>
      <c r="G33" s="209" t="n"/>
      <c r="H33" s="209" t="n"/>
      <c r="I33" s="209" t="n"/>
      <c r="J33" s="209" t="n"/>
      <c r="K33" s="209" t="n"/>
      <c r="L33" s="209" t="n"/>
      <c r="M33" s="313" t="n"/>
      <c r="N33" s="314" t="n"/>
      <c r="O33" s="314" t="n"/>
      <c r="P33" s="313" t="n"/>
      <c r="Q33" s="314" t="n"/>
      <c r="R33" s="314" t="n"/>
      <c r="S33" s="314" t="n"/>
      <c r="T33" s="314" t="n"/>
      <c r="U33" s="314" t="n"/>
      <c r="V33" s="314" t="n"/>
      <c r="W33" s="313">
        <f>IF(ISBLANK(tbl_案件追跡[[#This Row],[着荷]]),"",EOMONTH(tbl_案件追跡[[#This Row],[着荷]],0))</f>
        <v/>
      </c>
      <c r="X33" s="313" t="n"/>
      <c r="Y33" s="313">
        <f>IF(AND(tbl_案件追跡[[#This Row],[支払い条件]]="前払",ISBLANK(tbl_案件追跡[[#This Row],[受注]])= FALSE ),tbl_案件追跡[[#This Row],[受注]],IF(ISBLANK(tbl_案件追跡[[#This Row],[着荷]]),"",EOMONTH(tbl_案件追跡[[#This Row],[着荷]],0)))</f>
        <v/>
      </c>
      <c r="Z33" s="313" t="n"/>
      <c r="AA33" s="77">
        <f>_xlfn.XLOOKUP(tbl_案件追跡[[#This Row],[案件番号]],tbl_採番[案件番号],tbl_採番[担当者],"",0,1)</f>
        <v/>
      </c>
      <c r="AB33" s="209">
        <f>IF(ISBLANK(tbl_案件追跡[[#This Row],[案件番号]]),"",COUNTIF(tbl_案件追跡[案件番号],tbl_案件追跡[[#This Row],[案件番号]]))</f>
        <v/>
      </c>
      <c r="AC33" s="313" t="n"/>
      <c r="AD33" s="209" t="n"/>
      <c r="AE33" s="313" t="n"/>
      <c r="AF33" s="72" t="n"/>
      <c r="AH33" s="222">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33" s="222">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33" s="222">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33" s="222">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33" s="222">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33" s="222">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33" s="222">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33" s="222">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33" s="222">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33" s="222">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33" s="222">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33" s="222">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33" s="222">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33" s="222">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33" s="222">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33" s="222">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33" s="222">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33" s="222">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33" s="222">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33" s="222">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33" s="222">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33" s="222">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33" s="222">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33" s="222">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33" s="222">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33" s="222">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33" s="222">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33" s="222">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33" s="222">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33" s="222">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33" s="222">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33" s="222">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33" s="222">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33" s="222">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33" s="222">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33" s="222">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33" s="222">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33" s="222">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33" s="222">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33" s="222">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33" s="222">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33" s="222">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33" s="222">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33" s="222">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33" s="222">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33" s="222">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33" s="222">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33" s="222">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33" s="222">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33" s="222">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33" s="222">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33" s="222">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33" s="222">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33" s="222">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33" s="222">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33" s="222">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33" s="222">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33" s="222">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33" s="222">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33" s="222">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row r="34">
      <c r="A34" s="213" t="n"/>
      <c r="B34" s="219">
        <f t="array" ref="B34">IF(ISBLANK(tbl_案件追跡[[#This Row],[案件番号]]),"",COUNTA(_xlfn.UNIQUE(_xlfn._xlws.FILTER(tbl_明細[仕入先], tbl_明細[案件番号]=tbl_案件追跡[[#This Row],[案件番号]]))))</f>
        <v/>
      </c>
      <c r="C34" s="78">
        <f>IF(ISBLANK(tbl_案件追跡[[#This Row],[案件番号]]),"",_xlfn.XLOOKUP(tbl_案件追跡[[#This Row],[案件番号]],tbl_明細[案件番号],tbl_明細[顧客名],"",0,1))</f>
        <v/>
      </c>
      <c r="D34" s="219">
        <f>IF(ISBLANK(tbl_案件追跡[[#This Row],[案件番号]]),"",IF(tbl_案件追跡[[#This Row],[仕入先数]] = 1, _xlfn.XLOOKUP(tbl_案件追跡[[#This Row],[案件番号]],tbl_明細[案件番号],tbl_明細[仕入先],"",0,1),""))</f>
        <v/>
      </c>
      <c r="E34" s="78">
        <f t="array" ref="E34">IF(ISBLANK(tbl_案件追跡[[#This Row],[案件番号]]),"",_xlfn.XLOOKUP(tbl_案件追跡[[#This Row],[案件番号]]&amp;tbl_案件追跡[[#This Row],[仕入先]],tbl_明細[案件番号]&amp;tbl_明細[仕入先],tbl_明細[商品名],"",0,1))</f>
        <v/>
      </c>
      <c r="F34" s="219" t="n"/>
      <c r="G34" s="219" t="n"/>
      <c r="H34" s="219" t="n"/>
      <c r="I34" s="219" t="n"/>
      <c r="J34" s="219" t="n"/>
      <c r="K34" s="219" t="n"/>
      <c r="L34" s="219" t="n"/>
      <c r="M34" s="317" t="n"/>
      <c r="N34" s="318" t="n"/>
      <c r="O34" s="318" t="n"/>
      <c r="P34" s="317" t="n"/>
      <c r="Q34" s="318" t="n"/>
      <c r="R34" s="318" t="n"/>
      <c r="S34" s="318" t="n"/>
      <c r="T34" s="318" t="n"/>
      <c r="U34" s="318" t="n"/>
      <c r="V34" s="318" t="n"/>
      <c r="W34" s="317">
        <f>IF(ISBLANK(tbl_案件追跡[[#This Row],[着荷]]),"",EOMONTH(tbl_案件追跡[[#This Row],[着荷]],0))</f>
        <v/>
      </c>
      <c r="X34" s="317" t="n"/>
      <c r="Y34" s="317">
        <f>IF(AND(tbl_案件追跡[[#This Row],[支払い条件]]="前払",ISBLANK(tbl_案件追跡[[#This Row],[受注]])= FALSE ),tbl_案件追跡[[#This Row],[受注]],IF(ISBLANK(tbl_案件追跡[[#This Row],[着荷]]),"",EOMONTH(tbl_案件追跡[[#This Row],[着荷]],0)))</f>
        <v/>
      </c>
      <c r="Z34" s="317" t="n"/>
      <c r="AA34" s="77">
        <f>_xlfn.XLOOKUP(tbl_案件追跡[[#This Row],[案件番号]],tbl_採番[案件番号],tbl_採番[担当者],"",0,1)</f>
        <v/>
      </c>
      <c r="AB34" s="219">
        <f>IF(ISBLANK(tbl_案件追跡[[#This Row],[案件番号]]),"",COUNTIF(tbl_案件追跡[案件番号],tbl_案件追跡[[#This Row],[案件番号]]))</f>
        <v/>
      </c>
      <c r="AC34" s="317" t="n"/>
      <c r="AD34" s="219" t="n"/>
      <c r="AE34" s="317" t="n"/>
      <c r="AF34" s="76" t="n"/>
      <c r="AH34" s="222">
        <f>IF(tbl_案件追跡[[#This Row],[見積]]=AH$3,tbl_案件追跡[[#Headers],[見積]],
IF(tbl_案件追跡[[#This Row],[受注]]=AH$3,tbl_案件追跡[[#Headers],[受注]],
IF(tbl_案件追跡[[#This Row],[注文確認メール]]=AH$3,tbl_案件追跡[[#Headers],[注文確認メール]],
IF(tbl_案件追跡[[#This Row],[前金入金予定]]=AH$3,tbl_案件追跡[[#Headers],[前金入金予定]],
IF(tbl_案件追跡[[#This Row],[前金入金]]=AH$3, tbl_案件追跡[[#Headers],[前金入金]],
IF(tbl_案件追跡[[#This Row],[発注]]=AH$3,tbl_案件追跡[[#Headers],[発注]],
IF(tbl_案件追跡[[#This Row],[出荷予定]]=AH$3,tbl_案件追跡[[#Headers],[出荷予定]],
IF(tbl_案件追跡[[#This Row],[出荷]]=AH$3,tbl_案件追跡[[#Headers],[出荷]],
IF(tbl_案件追跡[[#This Row],[着荷]]=AH$3,tbl_案件追跡[[#Headers],[着荷]],"")))))))))</f>
        <v/>
      </c>
      <c r="AI34" s="222">
        <f>IF(tbl_案件追跡[[#This Row],[見積]]=AI$3,tbl_案件追跡[[#Headers],[見積]],
IF(tbl_案件追跡[[#This Row],[受注]]=AI$3,tbl_案件追跡[[#Headers],[受注]],
IF(tbl_案件追跡[[#This Row],[注文確認メール]]=AI$3,tbl_案件追跡[[#Headers],[注文確認メール]],
IF(tbl_案件追跡[[#This Row],[前金入金予定]]=AI$3,tbl_案件追跡[[#Headers],[前金入金予定]],
IF(tbl_案件追跡[[#This Row],[前金入金]]=AI$3, tbl_案件追跡[[#Headers],[前金入金]],
IF(tbl_案件追跡[[#This Row],[発注]]=AI$3,tbl_案件追跡[[#Headers],[発注]],
IF(tbl_案件追跡[[#This Row],[出荷予定]]=AI$3,tbl_案件追跡[[#Headers],[出荷予定]],
IF(tbl_案件追跡[[#This Row],[出荷]]=AI$3,tbl_案件追跡[[#Headers],[出荷]],
IF(tbl_案件追跡[[#This Row],[着荷]]=AI$3,tbl_案件追跡[[#Headers],[着荷]],"")))))))))</f>
        <v/>
      </c>
      <c r="AJ34" s="222">
        <f>IF(tbl_案件追跡[[#This Row],[見積]]=AJ$3,tbl_案件追跡[[#Headers],[見積]],
IF(tbl_案件追跡[[#This Row],[受注]]=AJ$3,tbl_案件追跡[[#Headers],[受注]],
IF(tbl_案件追跡[[#This Row],[注文確認メール]]=AJ$3,tbl_案件追跡[[#Headers],[注文確認メール]],
IF(tbl_案件追跡[[#This Row],[前金入金予定]]=AJ$3,tbl_案件追跡[[#Headers],[前金入金予定]],
IF(tbl_案件追跡[[#This Row],[前金入金]]=AJ$3, tbl_案件追跡[[#Headers],[前金入金]],
IF(tbl_案件追跡[[#This Row],[発注]]=AJ$3,tbl_案件追跡[[#Headers],[発注]],
IF(tbl_案件追跡[[#This Row],[出荷予定]]=AJ$3,tbl_案件追跡[[#Headers],[出荷予定]],
IF(tbl_案件追跡[[#This Row],[出荷]]=AJ$3,tbl_案件追跡[[#Headers],[出荷]],
IF(tbl_案件追跡[[#This Row],[着荷]]=AJ$3,tbl_案件追跡[[#Headers],[着荷]],"")))))))))</f>
        <v/>
      </c>
      <c r="AK34" s="222">
        <f>IF(tbl_案件追跡[[#This Row],[見積]]=AK$3,tbl_案件追跡[[#Headers],[見積]],
IF(tbl_案件追跡[[#This Row],[受注]]=AK$3,tbl_案件追跡[[#Headers],[受注]],
IF(tbl_案件追跡[[#This Row],[注文確認メール]]=AK$3,tbl_案件追跡[[#Headers],[注文確認メール]],
IF(tbl_案件追跡[[#This Row],[前金入金予定]]=AK$3,tbl_案件追跡[[#Headers],[前金入金予定]],
IF(tbl_案件追跡[[#This Row],[前金入金]]=AK$3, tbl_案件追跡[[#Headers],[前金入金]],
IF(tbl_案件追跡[[#This Row],[発注]]=AK$3,tbl_案件追跡[[#Headers],[発注]],
IF(tbl_案件追跡[[#This Row],[出荷予定]]=AK$3,tbl_案件追跡[[#Headers],[出荷予定]],
IF(tbl_案件追跡[[#This Row],[出荷]]=AK$3,tbl_案件追跡[[#Headers],[出荷]],
IF(tbl_案件追跡[[#This Row],[着荷]]=AK$3,tbl_案件追跡[[#Headers],[着荷]],"")))))))))</f>
        <v/>
      </c>
      <c r="AL34" s="222">
        <f>IF(tbl_案件追跡[[#This Row],[見積]]=AL$3,tbl_案件追跡[[#Headers],[見積]],
IF(tbl_案件追跡[[#This Row],[受注]]=AL$3,tbl_案件追跡[[#Headers],[受注]],
IF(tbl_案件追跡[[#This Row],[注文確認メール]]=AL$3,tbl_案件追跡[[#Headers],[注文確認メール]],
IF(tbl_案件追跡[[#This Row],[前金入金予定]]=AL$3,tbl_案件追跡[[#Headers],[前金入金予定]],
IF(tbl_案件追跡[[#This Row],[前金入金]]=AL$3, tbl_案件追跡[[#Headers],[前金入金]],
IF(tbl_案件追跡[[#This Row],[発注]]=AL$3,tbl_案件追跡[[#Headers],[発注]],
IF(tbl_案件追跡[[#This Row],[出荷予定]]=AL$3,tbl_案件追跡[[#Headers],[出荷予定]],
IF(tbl_案件追跡[[#This Row],[出荷]]=AL$3,tbl_案件追跡[[#Headers],[出荷]],
IF(tbl_案件追跡[[#This Row],[着荷]]=AL$3,tbl_案件追跡[[#Headers],[着荷]],"")))))))))</f>
        <v/>
      </c>
      <c r="AM34" s="222">
        <f>IF(tbl_案件追跡[[#This Row],[見積]]=AM$3,tbl_案件追跡[[#Headers],[見積]],
IF(tbl_案件追跡[[#This Row],[受注]]=AM$3,tbl_案件追跡[[#Headers],[受注]],
IF(tbl_案件追跡[[#This Row],[注文確認メール]]=AM$3,tbl_案件追跡[[#Headers],[注文確認メール]],
IF(tbl_案件追跡[[#This Row],[前金入金予定]]=AM$3,tbl_案件追跡[[#Headers],[前金入金予定]],
IF(tbl_案件追跡[[#This Row],[前金入金]]=AM$3, tbl_案件追跡[[#Headers],[前金入金]],
IF(tbl_案件追跡[[#This Row],[発注]]=AM$3,tbl_案件追跡[[#Headers],[発注]],
IF(tbl_案件追跡[[#This Row],[出荷予定]]=AM$3,tbl_案件追跡[[#Headers],[出荷予定]],
IF(tbl_案件追跡[[#This Row],[出荷]]=AM$3,tbl_案件追跡[[#Headers],[出荷]],
IF(tbl_案件追跡[[#This Row],[着荷]]=AM$3,tbl_案件追跡[[#Headers],[着荷]],"")))))))))</f>
        <v/>
      </c>
      <c r="AN34" s="222">
        <f>IF(tbl_案件追跡[[#This Row],[見積]]=AN$3,tbl_案件追跡[[#Headers],[見積]],
IF(tbl_案件追跡[[#This Row],[受注]]=AN$3,tbl_案件追跡[[#Headers],[受注]],
IF(tbl_案件追跡[[#This Row],[注文確認メール]]=AN$3,tbl_案件追跡[[#Headers],[注文確認メール]],
IF(tbl_案件追跡[[#This Row],[前金入金予定]]=AN$3,tbl_案件追跡[[#Headers],[前金入金予定]],
IF(tbl_案件追跡[[#This Row],[前金入金]]=AN$3, tbl_案件追跡[[#Headers],[前金入金]],
IF(tbl_案件追跡[[#This Row],[発注]]=AN$3,tbl_案件追跡[[#Headers],[発注]],
IF(tbl_案件追跡[[#This Row],[出荷予定]]=AN$3,tbl_案件追跡[[#Headers],[出荷予定]],
IF(tbl_案件追跡[[#This Row],[出荷]]=AN$3,tbl_案件追跡[[#Headers],[出荷]],
IF(tbl_案件追跡[[#This Row],[着荷]]=AN$3,tbl_案件追跡[[#Headers],[着荷]],"")))))))))</f>
        <v/>
      </c>
      <c r="AO34" s="222">
        <f>IF(tbl_案件追跡[[#This Row],[見積]]=AO$3,tbl_案件追跡[[#Headers],[見積]],
IF(tbl_案件追跡[[#This Row],[受注]]=AO$3,tbl_案件追跡[[#Headers],[受注]],
IF(tbl_案件追跡[[#This Row],[注文確認メール]]=AO$3,tbl_案件追跡[[#Headers],[注文確認メール]],
IF(tbl_案件追跡[[#This Row],[前金入金予定]]=AO$3,tbl_案件追跡[[#Headers],[前金入金予定]],
IF(tbl_案件追跡[[#This Row],[前金入金]]=AO$3, tbl_案件追跡[[#Headers],[前金入金]],
IF(tbl_案件追跡[[#This Row],[発注]]=AO$3,tbl_案件追跡[[#Headers],[発注]],
IF(tbl_案件追跡[[#This Row],[出荷予定]]=AO$3,tbl_案件追跡[[#Headers],[出荷予定]],
IF(tbl_案件追跡[[#This Row],[出荷]]=AO$3,tbl_案件追跡[[#Headers],[出荷]],
IF(tbl_案件追跡[[#This Row],[着荷]]=AO$3,tbl_案件追跡[[#Headers],[着荷]],"")))))))))</f>
        <v/>
      </c>
      <c r="AP34" s="222">
        <f>IF(tbl_案件追跡[[#This Row],[見積]]=AP$3,tbl_案件追跡[[#Headers],[見積]],
IF(tbl_案件追跡[[#This Row],[受注]]=AP$3,tbl_案件追跡[[#Headers],[受注]],
IF(tbl_案件追跡[[#This Row],[注文確認メール]]=AP$3,tbl_案件追跡[[#Headers],[注文確認メール]],
IF(tbl_案件追跡[[#This Row],[前金入金予定]]=AP$3,tbl_案件追跡[[#Headers],[前金入金予定]],
IF(tbl_案件追跡[[#This Row],[前金入金]]=AP$3, tbl_案件追跡[[#Headers],[前金入金]],
IF(tbl_案件追跡[[#This Row],[発注]]=AP$3,tbl_案件追跡[[#Headers],[発注]],
IF(tbl_案件追跡[[#This Row],[出荷予定]]=AP$3,tbl_案件追跡[[#Headers],[出荷予定]],
IF(tbl_案件追跡[[#This Row],[出荷]]=AP$3,tbl_案件追跡[[#Headers],[出荷]],
IF(tbl_案件追跡[[#This Row],[着荷]]=AP$3,tbl_案件追跡[[#Headers],[着荷]],"")))))))))</f>
        <v/>
      </c>
      <c r="AQ34" s="222">
        <f>IF(tbl_案件追跡[[#This Row],[見積]]=AQ$3,tbl_案件追跡[[#Headers],[見積]],
IF(tbl_案件追跡[[#This Row],[受注]]=AQ$3,tbl_案件追跡[[#Headers],[受注]],
IF(tbl_案件追跡[[#This Row],[注文確認メール]]=AQ$3,tbl_案件追跡[[#Headers],[注文確認メール]],
IF(tbl_案件追跡[[#This Row],[前金入金予定]]=AQ$3,tbl_案件追跡[[#Headers],[前金入金予定]],
IF(tbl_案件追跡[[#This Row],[前金入金]]=AQ$3, tbl_案件追跡[[#Headers],[前金入金]],
IF(tbl_案件追跡[[#This Row],[発注]]=AQ$3,tbl_案件追跡[[#Headers],[発注]],
IF(tbl_案件追跡[[#This Row],[出荷予定]]=AQ$3,tbl_案件追跡[[#Headers],[出荷予定]],
IF(tbl_案件追跡[[#This Row],[出荷]]=AQ$3,tbl_案件追跡[[#Headers],[出荷]],
IF(tbl_案件追跡[[#This Row],[着荷]]=AQ$3,tbl_案件追跡[[#Headers],[着荷]],"")))))))))</f>
        <v/>
      </c>
      <c r="AR34" s="222">
        <f>IF(tbl_案件追跡[[#This Row],[見積]]=AR$3,tbl_案件追跡[[#Headers],[見積]],
IF(tbl_案件追跡[[#This Row],[受注]]=AR$3,tbl_案件追跡[[#Headers],[受注]],
IF(tbl_案件追跡[[#This Row],[注文確認メール]]=AR$3,tbl_案件追跡[[#Headers],[注文確認メール]],
IF(tbl_案件追跡[[#This Row],[前金入金予定]]=AR$3,tbl_案件追跡[[#Headers],[前金入金予定]],
IF(tbl_案件追跡[[#This Row],[前金入金]]=AR$3, tbl_案件追跡[[#Headers],[前金入金]],
IF(tbl_案件追跡[[#This Row],[発注]]=AR$3,tbl_案件追跡[[#Headers],[発注]],
IF(tbl_案件追跡[[#This Row],[出荷予定]]=AR$3,tbl_案件追跡[[#Headers],[出荷予定]],
IF(tbl_案件追跡[[#This Row],[出荷]]=AR$3,tbl_案件追跡[[#Headers],[出荷]],
IF(tbl_案件追跡[[#This Row],[着荷]]=AR$3,tbl_案件追跡[[#Headers],[着荷]],"")))))))))</f>
        <v/>
      </c>
      <c r="AS34" s="222">
        <f>IF(tbl_案件追跡[[#This Row],[見積]]=AS$3,tbl_案件追跡[[#Headers],[見積]],
IF(tbl_案件追跡[[#This Row],[受注]]=AS$3,tbl_案件追跡[[#Headers],[受注]],
IF(tbl_案件追跡[[#This Row],[注文確認メール]]=AS$3,tbl_案件追跡[[#Headers],[注文確認メール]],
IF(tbl_案件追跡[[#This Row],[前金入金予定]]=AS$3,tbl_案件追跡[[#Headers],[前金入金予定]],
IF(tbl_案件追跡[[#This Row],[前金入金]]=AS$3, tbl_案件追跡[[#Headers],[前金入金]],
IF(tbl_案件追跡[[#This Row],[発注]]=AS$3,tbl_案件追跡[[#Headers],[発注]],
IF(tbl_案件追跡[[#This Row],[出荷予定]]=AS$3,tbl_案件追跡[[#Headers],[出荷予定]],
IF(tbl_案件追跡[[#This Row],[出荷]]=AS$3,tbl_案件追跡[[#Headers],[出荷]],
IF(tbl_案件追跡[[#This Row],[着荷]]=AS$3,tbl_案件追跡[[#Headers],[着荷]],"")))))))))</f>
        <v/>
      </c>
      <c r="AT34" s="222">
        <f>IF(tbl_案件追跡[[#This Row],[見積]]=AT$3,tbl_案件追跡[[#Headers],[見積]],
IF(tbl_案件追跡[[#This Row],[受注]]=AT$3,tbl_案件追跡[[#Headers],[受注]],
IF(tbl_案件追跡[[#This Row],[注文確認メール]]=AT$3,tbl_案件追跡[[#Headers],[注文確認メール]],
IF(tbl_案件追跡[[#This Row],[前金入金予定]]=AT$3,tbl_案件追跡[[#Headers],[前金入金予定]],
IF(tbl_案件追跡[[#This Row],[前金入金]]=AT$3, tbl_案件追跡[[#Headers],[前金入金]],
IF(tbl_案件追跡[[#This Row],[発注]]=AT$3,tbl_案件追跡[[#Headers],[発注]],
IF(tbl_案件追跡[[#This Row],[出荷予定]]=AT$3,tbl_案件追跡[[#Headers],[出荷予定]],
IF(tbl_案件追跡[[#This Row],[出荷]]=AT$3,tbl_案件追跡[[#Headers],[出荷]],
IF(tbl_案件追跡[[#This Row],[着荷]]=AT$3,tbl_案件追跡[[#Headers],[着荷]],"")))))))))</f>
        <v/>
      </c>
      <c r="AU34" s="222">
        <f>IF(tbl_案件追跡[[#This Row],[見積]]=AU$3,tbl_案件追跡[[#Headers],[見積]],
IF(tbl_案件追跡[[#This Row],[受注]]=AU$3,tbl_案件追跡[[#Headers],[受注]],
IF(tbl_案件追跡[[#This Row],[注文確認メール]]=AU$3,tbl_案件追跡[[#Headers],[注文確認メール]],
IF(tbl_案件追跡[[#This Row],[前金入金予定]]=AU$3,tbl_案件追跡[[#Headers],[前金入金予定]],
IF(tbl_案件追跡[[#This Row],[前金入金]]=AU$3, tbl_案件追跡[[#Headers],[前金入金]],
IF(tbl_案件追跡[[#This Row],[発注]]=AU$3,tbl_案件追跡[[#Headers],[発注]],
IF(tbl_案件追跡[[#This Row],[出荷予定]]=AU$3,tbl_案件追跡[[#Headers],[出荷予定]],
IF(tbl_案件追跡[[#This Row],[出荷]]=AU$3,tbl_案件追跡[[#Headers],[出荷]],
IF(tbl_案件追跡[[#This Row],[着荷]]=AU$3,tbl_案件追跡[[#Headers],[着荷]],"")))))))))</f>
        <v/>
      </c>
      <c r="AV34" s="222">
        <f>IF(tbl_案件追跡[[#This Row],[見積]]=AV$3,tbl_案件追跡[[#Headers],[見積]],
IF(tbl_案件追跡[[#This Row],[受注]]=AV$3,tbl_案件追跡[[#Headers],[受注]],
IF(tbl_案件追跡[[#This Row],[注文確認メール]]=AV$3,tbl_案件追跡[[#Headers],[注文確認メール]],
IF(tbl_案件追跡[[#This Row],[前金入金予定]]=AV$3,tbl_案件追跡[[#Headers],[前金入金予定]],
IF(tbl_案件追跡[[#This Row],[前金入金]]=AV$3, tbl_案件追跡[[#Headers],[前金入金]],
IF(tbl_案件追跡[[#This Row],[発注]]=AV$3,tbl_案件追跡[[#Headers],[発注]],
IF(tbl_案件追跡[[#This Row],[出荷予定]]=AV$3,tbl_案件追跡[[#Headers],[出荷予定]],
IF(tbl_案件追跡[[#This Row],[出荷]]=AV$3,tbl_案件追跡[[#Headers],[出荷]],
IF(tbl_案件追跡[[#This Row],[着荷]]=AV$3,tbl_案件追跡[[#Headers],[着荷]],"")))))))))</f>
        <v/>
      </c>
      <c r="AW34" s="222">
        <f>IF(tbl_案件追跡[[#This Row],[見積]]=AW$3,tbl_案件追跡[[#Headers],[見積]],
IF(tbl_案件追跡[[#This Row],[受注]]=AW$3,tbl_案件追跡[[#Headers],[受注]],
IF(tbl_案件追跡[[#This Row],[注文確認メール]]=AW$3,tbl_案件追跡[[#Headers],[注文確認メール]],
IF(tbl_案件追跡[[#This Row],[前金入金予定]]=AW$3,tbl_案件追跡[[#Headers],[前金入金予定]],
IF(tbl_案件追跡[[#This Row],[前金入金]]=AW$3, tbl_案件追跡[[#Headers],[前金入金]],
IF(tbl_案件追跡[[#This Row],[発注]]=AW$3,tbl_案件追跡[[#Headers],[発注]],
IF(tbl_案件追跡[[#This Row],[出荷予定]]=AW$3,tbl_案件追跡[[#Headers],[出荷予定]],
IF(tbl_案件追跡[[#This Row],[出荷]]=AW$3,tbl_案件追跡[[#Headers],[出荷]],
IF(tbl_案件追跡[[#This Row],[着荷]]=AW$3,tbl_案件追跡[[#Headers],[着荷]],"")))))))))</f>
        <v/>
      </c>
      <c r="AX34" s="222">
        <f>IF(tbl_案件追跡[[#This Row],[見積]]=AX$3,tbl_案件追跡[[#Headers],[見積]],
IF(tbl_案件追跡[[#This Row],[受注]]=AX$3,tbl_案件追跡[[#Headers],[受注]],
IF(tbl_案件追跡[[#This Row],[注文確認メール]]=AX$3,tbl_案件追跡[[#Headers],[注文確認メール]],
IF(tbl_案件追跡[[#This Row],[前金入金予定]]=AX$3,tbl_案件追跡[[#Headers],[前金入金予定]],
IF(tbl_案件追跡[[#This Row],[前金入金]]=AX$3, tbl_案件追跡[[#Headers],[前金入金]],
IF(tbl_案件追跡[[#This Row],[発注]]=AX$3,tbl_案件追跡[[#Headers],[発注]],
IF(tbl_案件追跡[[#This Row],[出荷予定]]=AX$3,tbl_案件追跡[[#Headers],[出荷予定]],
IF(tbl_案件追跡[[#This Row],[出荷]]=AX$3,tbl_案件追跡[[#Headers],[出荷]],
IF(tbl_案件追跡[[#This Row],[着荷]]=AX$3,tbl_案件追跡[[#Headers],[着荷]],"")))))))))</f>
        <v/>
      </c>
      <c r="AY34" s="222">
        <f>IF(tbl_案件追跡[[#This Row],[見積]]=AY$3,tbl_案件追跡[[#Headers],[見積]],
IF(tbl_案件追跡[[#This Row],[受注]]=AY$3,tbl_案件追跡[[#Headers],[受注]],
IF(tbl_案件追跡[[#This Row],[注文確認メール]]=AY$3,tbl_案件追跡[[#Headers],[注文確認メール]],
IF(tbl_案件追跡[[#This Row],[前金入金予定]]=AY$3,tbl_案件追跡[[#Headers],[前金入金予定]],
IF(tbl_案件追跡[[#This Row],[前金入金]]=AY$3, tbl_案件追跡[[#Headers],[前金入金]],
IF(tbl_案件追跡[[#This Row],[発注]]=AY$3,tbl_案件追跡[[#Headers],[発注]],
IF(tbl_案件追跡[[#This Row],[出荷予定]]=AY$3,tbl_案件追跡[[#Headers],[出荷予定]],
IF(tbl_案件追跡[[#This Row],[出荷]]=AY$3,tbl_案件追跡[[#Headers],[出荷]],
IF(tbl_案件追跡[[#This Row],[着荷]]=AY$3,tbl_案件追跡[[#Headers],[着荷]],"")))))))))</f>
        <v/>
      </c>
      <c r="AZ34" s="222">
        <f>IF(tbl_案件追跡[[#This Row],[見積]]=AZ$3,tbl_案件追跡[[#Headers],[見積]],
IF(tbl_案件追跡[[#This Row],[受注]]=AZ$3,tbl_案件追跡[[#Headers],[受注]],
IF(tbl_案件追跡[[#This Row],[注文確認メール]]=AZ$3,tbl_案件追跡[[#Headers],[注文確認メール]],
IF(tbl_案件追跡[[#This Row],[前金入金予定]]=AZ$3,tbl_案件追跡[[#Headers],[前金入金予定]],
IF(tbl_案件追跡[[#This Row],[前金入金]]=AZ$3, tbl_案件追跡[[#Headers],[前金入金]],
IF(tbl_案件追跡[[#This Row],[発注]]=AZ$3,tbl_案件追跡[[#Headers],[発注]],
IF(tbl_案件追跡[[#This Row],[出荷予定]]=AZ$3,tbl_案件追跡[[#Headers],[出荷予定]],
IF(tbl_案件追跡[[#This Row],[出荷]]=AZ$3,tbl_案件追跡[[#Headers],[出荷]],
IF(tbl_案件追跡[[#This Row],[着荷]]=AZ$3,tbl_案件追跡[[#Headers],[着荷]],"")))))))))</f>
        <v/>
      </c>
      <c r="BA34" s="222">
        <f>IF(tbl_案件追跡[[#This Row],[見積]]=BA$3,tbl_案件追跡[[#Headers],[見積]],
IF(tbl_案件追跡[[#This Row],[受注]]=BA$3,tbl_案件追跡[[#Headers],[受注]],
IF(tbl_案件追跡[[#This Row],[注文確認メール]]=BA$3,tbl_案件追跡[[#Headers],[注文確認メール]],
IF(tbl_案件追跡[[#This Row],[前金入金予定]]=BA$3,tbl_案件追跡[[#Headers],[前金入金予定]],
IF(tbl_案件追跡[[#This Row],[前金入金]]=BA$3, tbl_案件追跡[[#Headers],[前金入金]],
IF(tbl_案件追跡[[#This Row],[発注]]=BA$3,tbl_案件追跡[[#Headers],[発注]],
IF(tbl_案件追跡[[#This Row],[出荷予定]]=BA$3,tbl_案件追跡[[#Headers],[出荷予定]],
IF(tbl_案件追跡[[#This Row],[出荷]]=BA$3,tbl_案件追跡[[#Headers],[出荷]],
IF(tbl_案件追跡[[#This Row],[着荷]]=BA$3,tbl_案件追跡[[#Headers],[着荷]],"")))))))))</f>
        <v/>
      </c>
      <c r="BB34" s="222">
        <f>IF(tbl_案件追跡[[#This Row],[見積]]=BB$3,tbl_案件追跡[[#Headers],[見積]],
IF(tbl_案件追跡[[#This Row],[受注]]=BB$3,tbl_案件追跡[[#Headers],[受注]],
IF(tbl_案件追跡[[#This Row],[注文確認メール]]=BB$3,tbl_案件追跡[[#Headers],[注文確認メール]],
IF(tbl_案件追跡[[#This Row],[前金入金予定]]=BB$3,tbl_案件追跡[[#Headers],[前金入金予定]],
IF(tbl_案件追跡[[#This Row],[前金入金]]=BB$3, tbl_案件追跡[[#Headers],[前金入金]],
IF(tbl_案件追跡[[#This Row],[発注]]=BB$3,tbl_案件追跡[[#Headers],[発注]],
IF(tbl_案件追跡[[#This Row],[出荷予定]]=BB$3,tbl_案件追跡[[#Headers],[出荷予定]],
IF(tbl_案件追跡[[#This Row],[出荷]]=BB$3,tbl_案件追跡[[#Headers],[出荷]],
IF(tbl_案件追跡[[#This Row],[着荷]]=BB$3,tbl_案件追跡[[#Headers],[着荷]],"")))))))))</f>
        <v/>
      </c>
      <c r="BC34" s="222">
        <f>IF(tbl_案件追跡[[#This Row],[見積]]=BC$3,tbl_案件追跡[[#Headers],[見積]],
IF(tbl_案件追跡[[#This Row],[受注]]=BC$3,tbl_案件追跡[[#Headers],[受注]],
IF(tbl_案件追跡[[#This Row],[注文確認メール]]=BC$3,tbl_案件追跡[[#Headers],[注文確認メール]],
IF(tbl_案件追跡[[#This Row],[前金入金予定]]=BC$3,tbl_案件追跡[[#Headers],[前金入金予定]],
IF(tbl_案件追跡[[#This Row],[前金入金]]=BC$3, tbl_案件追跡[[#Headers],[前金入金]],
IF(tbl_案件追跡[[#This Row],[発注]]=BC$3,tbl_案件追跡[[#Headers],[発注]],
IF(tbl_案件追跡[[#This Row],[出荷予定]]=BC$3,tbl_案件追跡[[#Headers],[出荷予定]],
IF(tbl_案件追跡[[#This Row],[出荷]]=BC$3,tbl_案件追跡[[#Headers],[出荷]],
IF(tbl_案件追跡[[#This Row],[着荷]]=BC$3,tbl_案件追跡[[#Headers],[着荷]],"")))))))))</f>
        <v/>
      </c>
      <c r="BD34" s="222">
        <f>IF(tbl_案件追跡[[#This Row],[見積]]=BD$3,tbl_案件追跡[[#Headers],[見積]],
IF(tbl_案件追跡[[#This Row],[受注]]=BD$3,tbl_案件追跡[[#Headers],[受注]],
IF(tbl_案件追跡[[#This Row],[注文確認メール]]=BD$3,tbl_案件追跡[[#Headers],[注文確認メール]],
IF(tbl_案件追跡[[#This Row],[前金入金予定]]=BD$3,tbl_案件追跡[[#Headers],[前金入金予定]],
IF(tbl_案件追跡[[#This Row],[前金入金]]=BD$3, tbl_案件追跡[[#Headers],[前金入金]],
IF(tbl_案件追跡[[#This Row],[発注]]=BD$3,tbl_案件追跡[[#Headers],[発注]],
IF(tbl_案件追跡[[#This Row],[出荷予定]]=BD$3,tbl_案件追跡[[#Headers],[出荷予定]],
IF(tbl_案件追跡[[#This Row],[出荷]]=BD$3,tbl_案件追跡[[#Headers],[出荷]],
IF(tbl_案件追跡[[#This Row],[着荷]]=BD$3,tbl_案件追跡[[#Headers],[着荷]],"")))))))))</f>
        <v/>
      </c>
      <c r="BE34" s="222">
        <f>IF(tbl_案件追跡[[#This Row],[見積]]=BE$3,tbl_案件追跡[[#Headers],[見積]],
IF(tbl_案件追跡[[#This Row],[受注]]=BE$3,tbl_案件追跡[[#Headers],[受注]],
IF(tbl_案件追跡[[#This Row],[注文確認メール]]=BE$3,tbl_案件追跡[[#Headers],[注文確認メール]],
IF(tbl_案件追跡[[#This Row],[前金入金予定]]=BE$3,tbl_案件追跡[[#Headers],[前金入金予定]],
IF(tbl_案件追跡[[#This Row],[前金入金]]=BE$3, tbl_案件追跡[[#Headers],[前金入金]],
IF(tbl_案件追跡[[#This Row],[発注]]=BE$3,tbl_案件追跡[[#Headers],[発注]],
IF(tbl_案件追跡[[#This Row],[出荷予定]]=BE$3,tbl_案件追跡[[#Headers],[出荷予定]],
IF(tbl_案件追跡[[#This Row],[出荷]]=BE$3,tbl_案件追跡[[#Headers],[出荷]],
IF(tbl_案件追跡[[#This Row],[着荷]]=BE$3,tbl_案件追跡[[#Headers],[着荷]],"")))))))))</f>
        <v/>
      </c>
      <c r="BF34" s="222">
        <f>IF(tbl_案件追跡[[#This Row],[見積]]=BF$3,tbl_案件追跡[[#Headers],[見積]],
IF(tbl_案件追跡[[#This Row],[受注]]=BF$3,tbl_案件追跡[[#Headers],[受注]],
IF(tbl_案件追跡[[#This Row],[注文確認メール]]=BF$3,tbl_案件追跡[[#Headers],[注文確認メール]],
IF(tbl_案件追跡[[#This Row],[前金入金予定]]=BF$3,tbl_案件追跡[[#Headers],[前金入金予定]],
IF(tbl_案件追跡[[#This Row],[前金入金]]=BF$3, tbl_案件追跡[[#Headers],[前金入金]],
IF(tbl_案件追跡[[#This Row],[発注]]=BF$3,tbl_案件追跡[[#Headers],[発注]],
IF(tbl_案件追跡[[#This Row],[出荷予定]]=BF$3,tbl_案件追跡[[#Headers],[出荷予定]],
IF(tbl_案件追跡[[#This Row],[出荷]]=BF$3,tbl_案件追跡[[#Headers],[出荷]],
IF(tbl_案件追跡[[#This Row],[着荷]]=BF$3,tbl_案件追跡[[#Headers],[着荷]],"")))))))))</f>
        <v/>
      </c>
      <c r="BG34" s="222">
        <f>IF(tbl_案件追跡[[#This Row],[見積]]=BG$3,tbl_案件追跡[[#Headers],[見積]],
IF(tbl_案件追跡[[#This Row],[受注]]=BG$3,tbl_案件追跡[[#Headers],[受注]],
IF(tbl_案件追跡[[#This Row],[注文確認メール]]=BG$3,tbl_案件追跡[[#Headers],[注文確認メール]],
IF(tbl_案件追跡[[#This Row],[前金入金予定]]=BG$3,tbl_案件追跡[[#Headers],[前金入金予定]],
IF(tbl_案件追跡[[#This Row],[前金入金]]=BG$3, tbl_案件追跡[[#Headers],[前金入金]],
IF(tbl_案件追跡[[#This Row],[発注]]=BG$3,tbl_案件追跡[[#Headers],[発注]],
IF(tbl_案件追跡[[#This Row],[出荷予定]]=BG$3,tbl_案件追跡[[#Headers],[出荷予定]],
IF(tbl_案件追跡[[#This Row],[出荷]]=BG$3,tbl_案件追跡[[#Headers],[出荷]],
IF(tbl_案件追跡[[#This Row],[着荷]]=BG$3,tbl_案件追跡[[#Headers],[着荷]],"")))))))))</f>
        <v/>
      </c>
      <c r="BH34" s="222">
        <f>IF(tbl_案件追跡[[#This Row],[見積]]=BH$3,tbl_案件追跡[[#Headers],[見積]],
IF(tbl_案件追跡[[#This Row],[受注]]=BH$3,tbl_案件追跡[[#Headers],[受注]],
IF(tbl_案件追跡[[#This Row],[注文確認メール]]=BH$3,tbl_案件追跡[[#Headers],[注文確認メール]],
IF(tbl_案件追跡[[#This Row],[前金入金予定]]=BH$3,tbl_案件追跡[[#Headers],[前金入金予定]],
IF(tbl_案件追跡[[#This Row],[前金入金]]=BH$3, tbl_案件追跡[[#Headers],[前金入金]],
IF(tbl_案件追跡[[#This Row],[発注]]=BH$3,tbl_案件追跡[[#Headers],[発注]],
IF(tbl_案件追跡[[#This Row],[出荷予定]]=BH$3,tbl_案件追跡[[#Headers],[出荷予定]],
IF(tbl_案件追跡[[#This Row],[出荷]]=BH$3,tbl_案件追跡[[#Headers],[出荷]],
IF(tbl_案件追跡[[#This Row],[着荷]]=BH$3,tbl_案件追跡[[#Headers],[着荷]],"")))))))))</f>
        <v/>
      </c>
      <c r="BI34" s="222">
        <f>IF(tbl_案件追跡[[#This Row],[見積]]=BI$3,tbl_案件追跡[[#Headers],[見積]],
IF(tbl_案件追跡[[#This Row],[受注]]=BI$3,tbl_案件追跡[[#Headers],[受注]],
IF(tbl_案件追跡[[#This Row],[注文確認メール]]=BI$3,tbl_案件追跡[[#Headers],[注文確認メール]],
IF(tbl_案件追跡[[#This Row],[前金入金予定]]=BI$3,tbl_案件追跡[[#Headers],[前金入金予定]],
IF(tbl_案件追跡[[#This Row],[前金入金]]=BI$3, tbl_案件追跡[[#Headers],[前金入金]],
IF(tbl_案件追跡[[#This Row],[発注]]=BI$3,tbl_案件追跡[[#Headers],[発注]],
IF(tbl_案件追跡[[#This Row],[出荷予定]]=BI$3,tbl_案件追跡[[#Headers],[出荷予定]],
IF(tbl_案件追跡[[#This Row],[出荷]]=BI$3,tbl_案件追跡[[#Headers],[出荷]],
IF(tbl_案件追跡[[#This Row],[着荷]]=BI$3,tbl_案件追跡[[#Headers],[着荷]],"")))))))))</f>
        <v/>
      </c>
      <c r="BJ34" s="222">
        <f>IF(tbl_案件追跡[[#This Row],[見積]]=BJ$3,tbl_案件追跡[[#Headers],[見積]],
IF(tbl_案件追跡[[#This Row],[受注]]=BJ$3,tbl_案件追跡[[#Headers],[受注]],
IF(tbl_案件追跡[[#This Row],[注文確認メール]]=BJ$3,tbl_案件追跡[[#Headers],[注文確認メール]],
IF(tbl_案件追跡[[#This Row],[前金入金予定]]=BJ$3,tbl_案件追跡[[#Headers],[前金入金予定]],
IF(tbl_案件追跡[[#This Row],[前金入金]]=BJ$3, tbl_案件追跡[[#Headers],[前金入金]],
IF(tbl_案件追跡[[#This Row],[発注]]=BJ$3,tbl_案件追跡[[#Headers],[発注]],
IF(tbl_案件追跡[[#This Row],[出荷予定]]=BJ$3,tbl_案件追跡[[#Headers],[出荷予定]],
IF(tbl_案件追跡[[#This Row],[出荷]]=BJ$3,tbl_案件追跡[[#Headers],[出荷]],
IF(tbl_案件追跡[[#This Row],[着荷]]=BJ$3,tbl_案件追跡[[#Headers],[着荷]],"")))))))))</f>
        <v/>
      </c>
      <c r="BK34" s="222">
        <f>IF(tbl_案件追跡[[#This Row],[見積]]=BK$3,tbl_案件追跡[[#Headers],[見積]],
IF(tbl_案件追跡[[#This Row],[受注]]=BK$3,tbl_案件追跡[[#Headers],[受注]],
IF(tbl_案件追跡[[#This Row],[注文確認メール]]=BK$3,tbl_案件追跡[[#Headers],[注文確認メール]],
IF(tbl_案件追跡[[#This Row],[前金入金予定]]=BK$3,tbl_案件追跡[[#Headers],[前金入金予定]],
IF(tbl_案件追跡[[#This Row],[前金入金]]=BK$3, tbl_案件追跡[[#Headers],[前金入金]],
IF(tbl_案件追跡[[#This Row],[発注]]=BK$3,tbl_案件追跡[[#Headers],[発注]],
IF(tbl_案件追跡[[#This Row],[出荷予定]]=BK$3,tbl_案件追跡[[#Headers],[出荷予定]],
IF(tbl_案件追跡[[#This Row],[出荷]]=BK$3,tbl_案件追跡[[#Headers],[出荷]],
IF(tbl_案件追跡[[#This Row],[着荷]]=BK$3,tbl_案件追跡[[#Headers],[着荷]],"")))))))))</f>
        <v/>
      </c>
      <c r="BL34" s="222">
        <f>IF(tbl_案件追跡[[#This Row],[見積]]=BL$3,tbl_案件追跡[[#Headers],[見積]],
IF(tbl_案件追跡[[#This Row],[受注]]=BL$3,tbl_案件追跡[[#Headers],[受注]],
IF(tbl_案件追跡[[#This Row],[注文確認メール]]=BL$3,tbl_案件追跡[[#Headers],[注文確認メール]],
IF(tbl_案件追跡[[#This Row],[前金入金予定]]=BL$3,tbl_案件追跡[[#Headers],[前金入金予定]],
IF(tbl_案件追跡[[#This Row],[前金入金]]=BL$3, tbl_案件追跡[[#Headers],[前金入金]],
IF(tbl_案件追跡[[#This Row],[発注]]=BL$3,tbl_案件追跡[[#Headers],[発注]],
IF(tbl_案件追跡[[#This Row],[出荷予定]]=BL$3,tbl_案件追跡[[#Headers],[出荷予定]],
IF(tbl_案件追跡[[#This Row],[出荷]]=BL$3,tbl_案件追跡[[#Headers],[出荷]],
IF(tbl_案件追跡[[#This Row],[着荷]]=BL$3,tbl_案件追跡[[#Headers],[着荷]],"")))))))))</f>
        <v/>
      </c>
      <c r="BM34" s="222">
        <f>IF(tbl_案件追跡[[#This Row],[見積]]=BM$3,tbl_案件追跡[[#Headers],[見積]],
IF(tbl_案件追跡[[#This Row],[受注]]=BM$3,tbl_案件追跡[[#Headers],[受注]],
IF(tbl_案件追跡[[#This Row],[注文確認メール]]=BM$3,tbl_案件追跡[[#Headers],[注文確認メール]],
IF(tbl_案件追跡[[#This Row],[前金入金予定]]=BM$3,tbl_案件追跡[[#Headers],[前金入金予定]],
IF(tbl_案件追跡[[#This Row],[前金入金]]=BM$3, tbl_案件追跡[[#Headers],[前金入金]],
IF(tbl_案件追跡[[#This Row],[発注]]=BM$3,tbl_案件追跡[[#Headers],[発注]],
IF(tbl_案件追跡[[#This Row],[出荷予定]]=BM$3,tbl_案件追跡[[#Headers],[出荷予定]],
IF(tbl_案件追跡[[#This Row],[出荷]]=BM$3,tbl_案件追跡[[#Headers],[出荷]],
IF(tbl_案件追跡[[#This Row],[着荷]]=BM$3,tbl_案件追跡[[#Headers],[着荷]],"")))))))))</f>
        <v/>
      </c>
      <c r="BN34" s="222">
        <f>IF(tbl_案件追跡[[#This Row],[見積]]=BN$3,tbl_案件追跡[[#Headers],[見積]],
IF(tbl_案件追跡[[#This Row],[受注]]=BN$3,tbl_案件追跡[[#Headers],[受注]],
IF(tbl_案件追跡[[#This Row],[注文確認メール]]=BN$3,tbl_案件追跡[[#Headers],[注文確認メール]],
IF(tbl_案件追跡[[#This Row],[前金入金予定]]=BN$3,tbl_案件追跡[[#Headers],[前金入金予定]],
IF(tbl_案件追跡[[#This Row],[前金入金]]=BN$3, tbl_案件追跡[[#Headers],[前金入金]],
IF(tbl_案件追跡[[#This Row],[発注]]=BN$3,tbl_案件追跡[[#Headers],[発注]],
IF(tbl_案件追跡[[#This Row],[出荷予定]]=BN$3,tbl_案件追跡[[#Headers],[出荷予定]],
IF(tbl_案件追跡[[#This Row],[出荷]]=BN$3,tbl_案件追跡[[#Headers],[出荷]],
IF(tbl_案件追跡[[#This Row],[着荷]]=BN$3,tbl_案件追跡[[#Headers],[着荷]],"")))))))))</f>
        <v/>
      </c>
      <c r="BO34" s="222">
        <f>IF(tbl_案件追跡[[#This Row],[見積]]=BO$3,tbl_案件追跡[[#Headers],[見積]],
IF(tbl_案件追跡[[#This Row],[受注]]=BO$3,tbl_案件追跡[[#Headers],[受注]],
IF(tbl_案件追跡[[#This Row],[注文確認メール]]=BO$3,tbl_案件追跡[[#Headers],[注文確認メール]],
IF(tbl_案件追跡[[#This Row],[前金入金予定]]=BO$3,tbl_案件追跡[[#Headers],[前金入金予定]],
IF(tbl_案件追跡[[#This Row],[前金入金]]=BO$3, tbl_案件追跡[[#Headers],[前金入金]],
IF(tbl_案件追跡[[#This Row],[発注]]=BO$3,tbl_案件追跡[[#Headers],[発注]],
IF(tbl_案件追跡[[#This Row],[出荷予定]]=BO$3,tbl_案件追跡[[#Headers],[出荷予定]],
IF(tbl_案件追跡[[#This Row],[出荷]]=BO$3,tbl_案件追跡[[#Headers],[出荷]],
IF(tbl_案件追跡[[#This Row],[着荷]]=BO$3,tbl_案件追跡[[#Headers],[着荷]],"")))))))))</f>
        <v/>
      </c>
      <c r="BP34" s="222">
        <f>IF(tbl_案件追跡[[#This Row],[見積]]=BP$3,tbl_案件追跡[[#Headers],[見積]],
IF(tbl_案件追跡[[#This Row],[受注]]=BP$3,tbl_案件追跡[[#Headers],[受注]],
IF(tbl_案件追跡[[#This Row],[注文確認メール]]=BP$3,tbl_案件追跡[[#Headers],[注文確認メール]],
IF(tbl_案件追跡[[#This Row],[前金入金予定]]=BP$3,tbl_案件追跡[[#Headers],[前金入金予定]],
IF(tbl_案件追跡[[#This Row],[前金入金]]=BP$3, tbl_案件追跡[[#Headers],[前金入金]],
IF(tbl_案件追跡[[#This Row],[発注]]=BP$3,tbl_案件追跡[[#Headers],[発注]],
IF(tbl_案件追跡[[#This Row],[出荷予定]]=BP$3,tbl_案件追跡[[#Headers],[出荷予定]],
IF(tbl_案件追跡[[#This Row],[出荷]]=BP$3,tbl_案件追跡[[#Headers],[出荷]],
IF(tbl_案件追跡[[#This Row],[着荷]]=BP$3,tbl_案件追跡[[#Headers],[着荷]],"")))))))))</f>
        <v/>
      </c>
      <c r="BQ34" s="222">
        <f>IF(tbl_案件追跡[[#This Row],[見積]]=BQ$3,tbl_案件追跡[[#Headers],[見積]],
IF(tbl_案件追跡[[#This Row],[受注]]=BQ$3,tbl_案件追跡[[#Headers],[受注]],
IF(tbl_案件追跡[[#This Row],[注文確認メール]]=BQ$3,tbl_案件追跡[[#Headers],[注文確認メール]],
IF(tbl_案件追跡[[#This Row],[前金入金予定]]=BQ$3,tbl_案件追跡[[#Headers],[前金入金予定]],
IF(tbl_案件追跡[[#This Row],[前金入金]]=BQ$3, tbl_案件追跡[[#Headers],[前金入金]],
IF(tbl_案件追跡[[#This Row],[発注]]=BQ$3,tbl_案件追跡[[#Headers],[発注]],
IF(tbl_案件追跡[[#This Row],[出荷予定]]=BQ$3,tbl_案件追跡[[#Headers],[出荷予定]],
IF(tbl_案件追跡[[#This Row],[出荷]]=BQ$3,tbl_案件追跡[[#Headers],[出荷]],
IF(tbl_案件追跡[[#This Row],[着荷]]=BQ$3,tbl_案件追跡[[#Headers],[着荷]],"")))))))))</f>
        <v/>
      </c>
      <c r="BR34" s="222">
        <f>IF(tbl_案件追跡[[#This Row],[見積]]=BR$3,tbl_案件追跡[[#Headers],[見積]],
IF(tbl_案件追跡[[#This Row],[受注]]=BR$3,tbl_案件追跡[[#Headers],[受注]],
IF(tbl_案件追跡[[#This Row],[注文確認メール]]=BR$3,tbl_案件追跡[[#Headers],[注文確認メール]],
IF(tbl_案件追跡[[#This Row],[前金入金予定]]=BR$3,tbl_案件追跡[[#Headers],[前金入金予定]],
IF(tbl_案件追跡[[#This Row],[前金入金]]=BR$3, tbl_案件追跡[[#Headers],[前金入金]],
IF(tbl_案件追跡[[#This Row],[発注]]=BR$3,tbl_案件追跡[[#Headers],[発注]],
IF(tbl_案件追跡[[#This Row],[出荷予定]]=BR$3,tbl_案件追跡[[#Headers],[出荷予定]],
IF(tbl_案件追跡[[#This Row],[出荷]]=BR$3,tbl_案件追跡[[#Headers],[出荷]],
IF(tbl_案件追跡[[#This Row],[着荷]]=BR$3,tbl_案件追跡[[#Headers],[着荷]],"")))))))))</f>
        <v/>
      </c>
      <c r="BS34" s="222">
        <f>IF(tbl_案件追跡[[#This Row],[見積]]=BS$3,tbl_案件追跡[[#Headers],[見積]],
IF(tbl_案件追跡[[#This Row],[受注]]=BS$3,tbl_案件追跡[[#Headers],[受注]],
IF(tbl_案件追跡[[#This Row],[注文確認メール]]=BS$3,tbl_案件追跡[[#Headers],[注文確認メール]],
IF(tbl_案件追跡[[#This Row],[前金入金予定]]=BS$3,tbl_案件追跡[[#Headers],[前金入金予定]],
IF(tbl_案件追跡[[#This Row],[前金入金]]=BS$3, tbl_案件追跡[[#Headers],[前金入金]],
IF(tbl_案件追跡[[#This Row],[発注]]=BS$3,tbl_案件追跡[[#Headers],[発注]],
IF(tbl_案件追跡[[#This Row],[出荷予定]]=BS$3,tbl_案件追跡[[#Headers],[出荷予定]],
IF(tbl_案件追跡[[#This Row],[出荷]]=BS$3,tbl_案件追跡[[#Headers],[出荷]],
IF(tbl_案件追跡[[#This Row],[着荷]]=BS$3,tbl_案件追跡[[#Headers],[着荷]],"")))))))))</f>
        <v/>
      </c>
      <c r="BT34" s="222">
        <f>IF(tbl_案件追跡[[#This Row],[見積]]=BT$3,tbl_案件追跡[[#Headers],[見積]],
IF(tbl_案件追跡[[#This Row],[受注]]=BT$3,tbl_案件追跡[[#Headers],[受注]],
IF(tbl_案件追跡[[#This Row],[注文確認メール]]=BT$3,tbl_案件追跡[[#Headers],[注文確認メール]],
IF(tbl_案件追跡[[#This Row],[前金入金予定]]=BT$3,tbl_案件追跡[[#Headers],[前金入金予定]],
IF(tbl_案件追跡[[#This Row],[前金入金]]=BT$3, tbl_案件追跡[[#Headers],[前金入金]],
IF(tbl_案件追跡[[#This Row],[発注]]=BT$3,tbl_案件追跡[[#Headers],[発注]],
IF(tbl_案件追跡[[#This Row],[出荷予定]]=BT$3,tbl_案件追跡[[#Headers],[出荷予定]],
IF(tbl_案件追跡[[#This Row],[出荷]]=BT$3,tbl_案件追跡[[#Headers],[出荷]],
IF(tbl_案件追跡[[#This Row],[着荷]]=BT$3,tbl_案件追跡[[#Headers],[着荷]],"")))))))))</f>
        <v/>
      </c>
      <c r="BU34" s="222">
        <f>IF(tbl_案件追跡[[#This Row],[見積]]=BU$3,tbl_案件追跡[[#Headers],[見積]],
IF(tbl_案件追跡[[#This Row],[受注]]=BU$3,tbl_案件追跡[[#Headers],[受注]],
IF(tbl_案件追跡[[#This Row],[注文確認メール]]=BU$3,tbl_案件追跡[[#Headers],[注文確認メール]],
IF(tbl_案件追跡[[#This Row],[前金入金予定]]=BU$3,tbl_案件追跡[[#Headers],[前金入金予定]],
IF(tbl_案件追跡[[#This Row],[前金入金]]=BU$3, tbl_案件追跡[[#Headers],[前金入金]],
IF(tbl_案件追跡[[#This Row],[発注]]=BU$3,tbl_案件追跡[[#Headers],[発注]],
IF(tbl_案件追跡[[#This Row],[出荷予定]]=BU$3,tbl_案件追跡[[#Headers],[出荷予定]],
IF(tbl_案件追跡[[#This Row],[出荷]]=BU$3,tbl_案件追跡[[#Headers],[出荷]],
IF(tbl_案件追跡[[#This Row],[着荷]]=BU$3,tbl_案件追跡[[#Headers],[着荷]],"")))))))))</f>
        <v/>
      </c>
      <c r="BV34" s="222">
        <f>IF(tbl_案件追跡[[#This Row],[見積]]=BV$3,tbl_案件追跡[[#Headers],[見積]],
IF(tbl_案件追跡[[#This Row],[受注]]=BV$3,tbl_案件追跡[[#Headers],[受注]],
IF(tbl_案件追跡[[#This Row],[注文確認メール]]=BV$3,tbl_案件追跡[[#Headers],[注文確認メール]],
IF(tbl_案件追跡[[#This Row],[前金入金予定]]=BV$3,tbl_案件追跡[[#Headers],[前金入金予定]],
IF(tbl_案件追跡[[#This Row],[前金入金]]=BV$3, tbl_案件追跡[[#Headers],[前金入金]],
IF(tbl_案件追跡[[#This Row],[発注]]=BV$3,tbl_案件追跡[[#Headers],[発注]],
IF(tbl_案件追跡[[#This Row],[出荷予定]]=BV$3,tbl_案件追跡[[#Headers],[出荷予定]],
IF(tbl_案件追跡[[#This Row],[出荷]]=BV$3,tbl_案件追跡[[#Headers],[出荷]],
IF(tbl_案件追跡[[#This Row],[着荷]]=BV$3,tbl_案件追跡[[#Headers],[着荷]],"")))))))))</f>
        <v/>
      </c>
      <c r="BW34" s="222">
        <f>IF(tbl_案件追跡[[#This Row],[見積]]=BW$3,tbl_案件追跡[[#Headers],[見積]],
IF(tbl_案件追跡[[#This Row],[受注]]=BW$3,tbl_案件追跡[[#Headers],[受注]],
IF(tbl_案件追跡[[#This Row],[注文確認メール]]=BW$3,tbl_案件追跡[[#Headers],[注文確認メール]],
IF(tbl_案件追跡[[#This Row],[前金入金予定]]=BW$3,tbl_案件追跡[[#Headers],[前金入金予定]],
IF(tbl_案件追跡[[#This Row],[前金入金]]=BW$3, tbl_案件追跡[[#Headers],[前金入金]],
IF(tbl_案件追跡[[#This Row],[発注]]=BW$3,tbl_案件追跡[[#Headers],[発注]],
IF(tbl_案件追跡[[#This Row],[出荷予定]]=BW$3,tbl_案件追跡[[#Headers],[出荷予定]],
IF(tbl_案件追跡[[#This Row],[出荷]]=BW$3,tbl_案件追跡[[#Headers],[出荷]],
IF(tbl_案件追跡[[#This Row],[着荷]]=BW$3,tbl_案件追跡[[#Headers],[着荷]],"")))))))))</f>
        <v/>
      </c>
      <c r="BX34" s="222">
        <f>IF(tbl_案件追跡[[#This Row],[見積]]=BX$3,tbl_案件追跡[[#Headers],[見積]],
IF(tbl_案件追跡[[#This Row],[受注]]=BX$3,tbl_案件追跡[[#Headers],[受注]],
IF(tbl_案件追跡[[#This Row],[注文確認メール]]=BX$3,tbl_案件追跡[[#Headers],[注文確認メール]],
IF(tbl_案件追跡[[#This Row],[前金入金予定]]=BX$3,tbl_案件追跡[[#Headers],[前金入金予定]],
IF(tbl_案件追跡[[#This Row],[前金入金]]=BX$3, tbl_案件追跡[[#Headers],[前金入金]],
IF(tbl_案件追跡[[#This Row],[発注]]=BX$3,tbl_案件追跡[[#Headers],[発注]],
IF(tbl_案件追跡[[#This Row],[出荷予定]]=BX$3,tbl_案件追跡[[#Headers],[出荷予定]],
IF(tbl_案件追跡[[#This Row],[出荷]]=BX$3,tbl_案件追跡[[#Headers],[出荷]],
IF(tbl_案件追跡[[#This Row],[着荷]]=BX$3,tbl_案件追跡[[#Headers],[着荷]],"")))))))))</f>
        <v/>
      </c>
      <c r="BY34" s="222">
        <f>IF(tbl_案件追跡[[#This Row],[見積]]=BY$3,tbl_案件追跡[[#Headers],[見積]],
IF(tbl_案件追跡[[#This Row],[受注]]=BY$3,tbl_案件追跡[[#Headers],[受注]],
IF(tbl_案件追跡[[#This Row],[注文確認メール]]=BY$3,tbl_案件追跡[[#Headers],[注文確認メール]],
IF(tbl_案件追跡[[#This Row],[前金入金予定]]=BY$3,tbl_案件追跡[[#Headers],[前金入金予定]],
IF(tbl_案件追跡[[#This Row],[前金入金]]=BY$3, tbl_案件追跡[[#Headers],[前金入金]],
IF(tbl_案件追跡[[#This Row],[発注]]=BY$3,tbl_案件追跡[[#Headers],[発注]],
IF(tbl_案件追跡[[#This Row],[出荷予定]]=BY$3,tbl_案件追跡[[#Headers],[出荷予定]],
IF(tbl_案件追跡[[#This Row],[出荷]]=BY$3,tbl_案件追跡[[#Headers],[出荷]],
IF(tbl_案件追跡[[#This Row],[着荷]]=BY$3,tbl_案件追跡[[#Headers],[着荷]],"")))))))))</f>
        <v/>
      </c>
      <c r="BZ34" s="222">
        <f>IF(tbl_案件追跡[[#This Row],[見積]]=BZ$3,tbl_案件追跡[[#Headers],[見積]],
IF(tbl_案件追跡[[#This Row],[受注]]=BZ$3,tbl_案件追跡[[#Headers],[受注]],
IF(tbl_案件追跡[[#This Row],[注文確認メール]]=BZ$3,tbl_案件追跡[[#Headers],[注文確認メール]],
IF(tbl_案件追跡[[#This Row],[前金入金予定]]=BZ$3,tbl_案件追跡[[#Headers],[前金入金予定]],
IF(tbl_案件追跡[[#This Row],[前金入金]]=BZ$3, tbl_案件追跡[[#Headers],[前金入金]],
IF(tbl_案件追跡[[#This Row],[発注]]=BZ$3,tbl_案件追跡[[#Headers],[発注]],
IF(tbl_案件追跡[[#This Row],[出荷予定]]=BZ$3,tbl_案件追跡[[#Headers],[出荷予定]],
IF(tbl_案件追跡[[#This Row],[出荷]]=BZ$3,tbl_案件追跡[[#Headers],[出荷]],
IF(tbl_案件追跡[[#This Row],[着荷]]=BZ$3,tbl_案件追跡[[#Headers],[着荷]],"")))))))))</f>
        <v/>
      </c>
      <c r="CA34" s="222">
        <f>IF(tbl_案件追跡[[#This Row],[見積]]=CA$3,tbl_案件追跡[[#Headers],[見積]],
IF(tbl_案件追跡[[#This Row],[受注]]=CA$3,tbl_案件追跡[[#Headers],[受注]],
IF(tbl_案件追跡[[#This Row],[注文確認メール]]=CA$3,tbl_案件追跡[[#Headers],[注文確認メール]],
IF(tbl_案件追跡[[#This Row],[前金入金予定]]=CA$3,tbl_案件追跡[[#Headers],[前金入金予定]],
IF(tbl_案件追跡[[#This Row],[前金入金]]=CA$3, tbl_案件追跡[[#Headers],[前金入金]],
IF(tbl_案件追跡[[#This Row],[発注]]=CA$3,tbl_案件追跡[[#Headers],[発注]],
IF(tbl_案件追跡[[#This Row],[出荷予定]]=CA$3,tbl_案件追跡[[#Headers],[出荷予定]],
IF(tbl_案件追跡[[#This Row],[出荷]]=CA$3,tbl_案件追跡[[#Headers],[出荷]],
IF(tbl_案件追跡[[#This Row],[着荷]]=CA$3,tbl_案件追跡[[#Headers],[着荷]],"")))))))))</f>
        <v/>
      </c>
      <c r="CB34" s="222">
        <f>IF(tbl_案件追跡[[#This Row],[見積]]=CB$3,tbl_案件追跡[[#Headers],[見積]],
IF(tbl_案件追跡[[#This Row],[受注]]=CB$3,tbl_案件追跡[[#Headers],[受注]],
IF(tbl_案件追跡[[#This Row],[注文確認メール]]=CB$3,tbl_案件追跡[[#Headers],[注文確認メール]],
IF(tbl_案件追跡[[#This Row],[前金入金予定]]=CB$3,tbl_案件追跡[[#Headers],[前金入金予定]],
IF(tbl_案件追跡[[#This Row],[前金入金]]=CB$3, tbl_案件追跡[[#Headers],[前金入金]],
IF(tbl_案件追跡[[#This Row],[発注]]=CB$3,tbl_案件追跡[[#Headers],[発注]],
IF(tbl_案件追跡[[#This Row],[出荷予定]]=CB$3,tbl_案件追跡[[#Headers],[出荷予定]],
IF(tbl_案件追跡[[#This Row],[出荷]]=CB$3,tbl_案件追跡[[#Headers],[出荷]],
IF(tbl_案件追跡[[#This Row],[着荷]]=CB$3,tbl_案件追跡[[#Headers],[着荷]],"")))))))))</f>
        <v/>
      </c>
      <c r="CC34" s="222">
        <f>IF(tbl_案件追跡[[#This Row],[見積]]=CC$3,tbl_案件追跡[[#Headers],[見積]],
IF(tbl_案件追跡[[#This Row],[受注]]=CC$3,tbl_案件追跡[[#Headers],[受注]],
IF(tbl_案件追跡[[#This Row],[注文確認メール]]=CC$3,tbl_案件追跡[[#Headers],[注文確認メール]],
IF(tbl_案件追跡[[#This Row],[前金入金予定]]=CC$3,tbl_案件追跡[[#Headers],[前金入金予定]],
IF(tbl_案件追跡[[#This Row],[前金入金]]=CC$3, tbl_案件追跡[[#Headers],[前金入金]],
IF(tbl_案件追跡[[#This Row],[発注]]=CC$3,tbl_案件追跡[[#Headers],[発注]],
IF(tbl_案件追跡[[#This Row],[出荷予定]]=CC$3,tbl_案件追跡[[#Headers],[出荷予定]],
IF(tbl_案件追跡[[#This Row],[出荷]]=CC$3,tbl_案件追跡[[#Headers],[出荷]],
IF(tbl_案件追跡[[#This Row],[着荷]]=CC$3,tbl_案件追跡[[#Headers],[着荷]],"")))))))))</f>
        <v/>
      </c>
      <c r="CD34" s="222">
        <f>IF(tbl_案件追跡[[#This Row],[見積]]=CD$3,tbl_案件追跡[[#Headers],[見積]],
IF(tbl_案件追跡[[#This Row],[受注]]=CD$3,tbl_案件追跡[[#Headers],[受注]],
IF(tbl_案件追跡[[#This Row],[注文確認メール]]=CD$3,tbl_案件追跡[[#Headers],[注文確認メール]],
IF(tbl_案件追跡[[#This Row],[前金入金予定]]=CD$3,tbl_案件追跡[[#Headers],[前金入金予定]],
IF(tbl_案件追跡[[#This Row],[前金入金]]=CD$3, tbl_案件追跡[[#Headers],[前金入金]],
IF(tbl_案件追跡[[#This Row],[発注]]=CD$3,tbl_案件追跡[[#Headers],[発注]],
IF(tbl_案件追跡[[#This Row],[出荷予定]]=CD$3,tbl_案件追跡[[#Headers],[出荷予定]],
IF(tbl_案件追跡[[#This Row],[出荷]]=CD$3,tbl_案件追跡[[#Headers],[出荷]],
IF(tbl_案件追跡[[#This Row],[着荷]]=CD$3,tbl_案件追跡[[#Headers],[着荷]],"")))))))))</f>
        <v/>
      </c>
      <c r="CE34" s="222">
        <f>IF(tbl_案件追跡[[#This Row],[見積]]=CE$3,tbl_案件追跡[[#Headers],[見積]],
IF(tbl_案件追跡[[#This Row],[受注]]=CE$3,tbl_案件追跡[[#Headers],[受注]],
IF(tbl_案件追跡[[#This Row],[注文確認メール]]=CE$3,tbl_案件追跡[[#Headers],[注文確認メール]],
IF(tbl_案件追跡[[#This Row],[前金入金予定]]=CE$3,tbl_案件追跡[[#Headers],[前金入金予定]],
IF(tbl_案件追跡[[#This Row],[前金入金]]=CE$3, tbl_案件追跡[[#Headers],[前金入金]],
IF(tbl_案件追跡[[#This Row],[発注]]=CE$3,tbl_案件追跡[[#Headers],[発注]],
IF(tbl_案件追跡[[#This Row],[出荷予定]]=CE$3,tbl_案件追跡[[#Headers],[出荷予定]],
IF(tbl_案件追跡[[#This Row],[出荷]]=CE$3,tbl_案件追跡[[#Headers],[出荷]],
IF(tbl_案件追跡[[#This Row],[着荷]]=CE$3,tbl_案件追跡[[#Headers],[着荷]],"")))))))))</f>
        <v/>
      </c>
      <c r="CF34" s="222">
        <f>IF(tbl_案件追跡[[#This Row],[見積]]=CF$3,tbl_案件追跡[[#Headers],[見積]],
IF(tbl_案件追跡[[#This Row],[受注]]=CF$3,tbl_案件追跡[[#Headers],[受注]],
IF(tbl_案件追跡[[#This Row],[注文確認メール]]=CF$3,tbl_案件追跡[[#Headers],[注文確認メール]],
IF(tbl_案件追跡[[#This Row],[前金入金予定]]=CF$3,tbl_案件追跡[[#Headers],[前金入金予定]],
IF(tbl_案件追跡[[#This Row],[前金入金]]=CF$3, tbl_案件追跡[[#Headers],[前金入金]],
IF(tbl_案件追跡[[#This Row],[発注]]=CF$3,tbl_案件追跡[[#Headers],[発注]],
IF(tbl_案件追跡[[#This Row],[出荷予定]]=CF$3,tbl_案件追跡[[#Headers],[出荷予定]],
IF(tbl_案件追跡[[#This Row],[出荷]]=CF$3,tbl_案件追跡[[#Headers],[出荷]],
IF(tbl_案件追跡[[#This Row],[着荷]]=CF$3,tbl_案件追跡[[#Headers],[着荷]],"")))))))))</f>
        <v/>
      </c>
      <c r="CG34" s="222">
        <f>IF(tbl_案件追跡[[#This Row],[見積]]=CG$3,tbl_案件追跡[[#Headers],[見積]],
IF(tbl_案件追跡[[#This Row],[受注]]=CG$3,tbl_案件追跡[[#Headers],[受注]],
IF(tbl_案件追跡[[#This Row],[注文確認メール]]=CG$3,tbl_案件追跡[[#Headers],[注文確認メール]],
IF(tbl_案件追跡[[#This Row],[前金入金予定]]=CG$3,tbl_案件追跡[[#Headers],[前金入金予定]],
IF(tbl_案件追跡[[#This Row],[前金入金]]=CG$3, tbl_案件追跡[[#Headers],[前金入金]],
IF(tbl_案件追跡[[#This Row],[発注]]=CG$3,tbl_案件追跡[[#Headers],[発注]],
IF(tbl_案件追跡[[#This Row],[出荷予定]]=CG$3,tbl_案件追跡[[#Headers],[出荷予定]],
IF(tbl_案件追跡[[#This Row],[出荷]]=CG$3,tbl_案件追跡[[#Headers],[出荷]],
IF(tbl_案件追跡[[#This Row],[着荷]]=CG$3,tbl_案件追跡[[#Headers],[着荷]],"")))))))))</f>
        <v/>
      </c>
      <c r="CH34" s="222">
        <f>IF(tbl_案件追跡[[#This Row],[見積]]=CH$3,tbl_案件追跡[[#Headers],[見積]],
IF(tbl_案件追跡[[#This Row],[受注]]=CH$3,tbl_案件追跡[[#Headers],[受注]],
IF(tbl_案件追跡[[#This Row],[注文確認メール]]=CH$3,tbl_案件追跡[[#Headers],[注文確認メール]],
IF(tbl_案件追跡[[#This Row],[前金入金予定]]=CH$3,tbl_案件追跡[[#Headers],[前金入金予定]],
IF(tbl_案件追跡[[#This Row],[前金入金]]=CH$3, tbl_案件追跡[[#Headers],[前金入金]],
IF(tbl_案件追跡[[#This Row],[発注]]=CH$3,tbl_案件追跡[[#Headers],[発注]],
IF(tbl_案件追跡[[#This Row],[出荷予定]]=CH$3,tbl_案件追跡[[#Headers],[出荷予定]],
IF(tbl_案件追跡[[#This Row],[出荷]]=CH$3,tbl_案件追跡[[#Headers],[出荷]],
IF(tbl_案件追跡[[#This Row],[着荷]]=CH$3,tbl_案件追跡[[#Headers],[着荷]],"")))))))))</f>
        <v/>
      </c>
      <c r="CI34" s="222">
        <f>IF(tbl_案件追跡[[#This Row],[見積]]=CI$3,tbl_案件追跡[[#Headers],[見積]],
IF(tbl_案件追跡[[#This Row],[受注]]=CI$3,tbl_案件追跡[[#Headers],[受注]],
IF(tbl_案件追跡[[#This Row],[注文確認メール]]=CI$3,tbl_案件追跡[[#Headers],[注文確認メール]],
IF(tbl_案件追跡[[#This Row],[前金入金予定]]=CI$3,tbl_案件追跡[[#Headers],[前金入金予定]],
IF(tbl_案件追跡[[#This Row],[前金入金]]=CI$3, tbl_案件追跡[[#Headers],[前金入金]],
IF(tbl_案件追跡[[#This Row],[発注]]=CI$3,tbl_案件追跡[[#Headers],[発注]],
IF(tbl_案件追跡[[#This Row],[出荷予定]]=CI$3,tbl_案件追跡[[#Headers],[出荷予定]],
IF(tbl_案件追跡[[#This Row],[出荷]]=CI$3,tbl_案件追跡[[#Headers],[出荷]],
IF(tbl_案件追跡[[#This Row],[着荷]]=CI$3,tbl_案件追跡[[#Headers],[着荷]],"")))))))))</f>
        <v/>
      </c>
      <c r="CJ34" s="222">
        <f>IF(tbl_案件追跡[[#This Row],[見積]]=CJ$3,tbl_案件追跡[[#Headers],[見積]],
IF(tbl_案件追跡[[#This Row],[受注]]=CJ$3,tbl_案件追跡[[#Headers],[受注]],
IF(tbl_案件追跡[[#This Row],[注文確認メール]]=CJ$3,tbl_案件追跡[[#Headers],[注文確認メール]],
IF(tbl_案件追跡[[#This Row],[前金入金予定]]=CJ$3,tbl_案件追跡[[#Headers],[前金入金予定]],
IF(tbl_案件追跡[[#This Row],[前金入金]]=CJ$3, tbl_案件追跡[[#Headers],[前金入金]],
IF(tbl_案件追跡[[#This Row],[発注]]=CJ$3,tbl_案件追跡[[#Headers],[発注]],
IF(tbl_案件追跡[[#This Row],[出荷予定]]=CJ$3,tbl_案件追跡[[#Headers],[出荷予定]],
IF(tbl_案件追跡[[#This Row],[出荷]]=CJ$3,tbl_案件追跡[[#Headers],[出荷]],
IF(tbl_案件追跡[[#This Row],[着荷]]=CJ$3,tbl_案件追跡[[#Headers],[着荷]],"")))))))))</f>
        <v/>
      </c>
      <c r="CK34" s="222">
        <f>IF(tbl_案件追跡[[#This Row],[見積]]=CK$3,tbl_案件追跡[[#Headers],[見積]],
IF(tbl_案件追跡[[#This Row],[受注]]=CK$3,tbl_案件追跡[[#Headers],[受注]],
IF(tbl_案件追跡[[#This Row],[注文確認メール]]=CK$3,tbl_案件追跡[[#Headers],[注文確認メール]],
IF(tbl_案件追跡[[#This Row],[前金入金予定]]=CK$3,tbl_案件追跡[[#Headers],[前金入金予定]],
IF(tbl_案件追跡[[#This Row],[前金入金]]=CK$3, tbl_案件追跡[[#Headers],[前金入金]],
IF(tbl_案件追跡[[#This Row],[発注]]=CK$3,tbl_案件追跡[[#Headers],[発注]],
IF(tbl_案件追跡[[#This Row],[出荷予定]]=CK$3,tbl_案件追跡[[#Headers],[出荷予定]],
IF(tbl_案件追跡[[#This Row],[出荷]]=CK$3,tbl_案件追跡[[#Headers],[出荷]],
IF(tbl_案件追跡[[#This Row],[着荷]]=CK$3,tbl_案件追跡[[#Headers],[着荷]],"")))))))))</f>
        <v/>
      </c>
      <c r="CL34" s="222">
        <f>IF(tbl_案件追跡[[#This Row],[見積]]=CL$3,tbl_案件追跡[[#Headers],[見積]],
IF(tbl_案件追跡[[#This Row],[受注]]=CL$3,tbl_案件追跡[[#Headers],[受注]],
IF(tbl_案件追跡[[#This Row],[注文確認メール]]=CL$3,tbl_案件追跡[[#Headers],[注文確認メール]],
IF(tbl_案件追跡[[#This Row],[前金入金予定]]=CL$3,tbl_案件追跡[[#Headers],[前金入金予定]],
IF(tbl_案件追跡[[#This Row],[前金入金]]=CL$3, tbl_案件追跡[[#Headers],[前金入金]],
IF(tbl_案件追跡[[#This Row],[発注]]=CL$3,tbl_案件追跡[[#Headers],[発注]],
IF(tbl_案件追跡[[#This Row],[出荷予定]]=CL$3,tbl_案件追跡[[#Headers],[出荷予定]],
IF(tbl_案件追跡[[#This Row],[出荷]]=CL$3,tbl_案件追跡[[#Headers],[出荷]],
IF(tbl_案件追跡[[#This Row],[着荷]]=CL$3,tbl_案件追跡[[#Headers],[着荷]],"")))))))))</f>
        <v/>
      </c>
      <c r="CM34" s="222">
        <f>IF(tbl_案件追跡[[#This Row],[見積]]=CM$3,tbl_案件追跡[[#Headers],[見積]],
IF(tbl_案件追跡[[#This Row],[受注]]=CM$3,tbl_案件追跡[[#Headers],[受注]],
IF(tbl_案件追跡[[#This Row],[注文確認メール]]=CM$3,tbl_案件追跡[[#Headers],[注文確認メール]],
IF(tbl_案件追跡[[#This Row],[前金入金予定]]=CM$3,tbl_案件追跡[[#Headers],[前金入金予定]],
IF(tbl_案件追跡[[#This Row],[前金入金]]=CM$3, tbl_案件追跡[[#Headers],[前金入金]],
IF(tbl_案件追跡[[#This Row],[発注]]=CM$3,tbl_案件追跡[[#Headers],[発注]],
IF(tbl_案件追跡[[#This Row],[出荷予定]]=CM$3,tbl_案件追跡[[#Headers],[出荷予定]],
IF(tbl_案件追跡[[#This Row],[出荷]]=CM$3,tbl_案件追跡[[#Headers],[出荷]],
IF(tbl_案件追跡[[#This Row],[着荷]]=CM$3,tbl_案件追跡[[#Headers],[着荷]],"")))))))))</f>
        <v/>
      </c>
      <c r="CN34" s="222">
        <f>IF(tbl_案件追跡[[#This Row],[見積]]=CN$3,tbl_案件追跡[[#Headers],[見積]],
IF(tbl_案件追跡[[#This Row],[受注]]=CN$3,tbl_案件追跡[[#Headers],[受注]],
IF(tbl_案件追跡[[#This Row],[注文確認メール]]=CN$3,tbl_案件追跡[[#Headers],[注文確認メール]],
IF(tbl_案件追跡[[#This Row],[前金入金予定]]=CN$3,tbl_案件追跡[[#Headers],[前金入金予定]],
IF(tbl_案件追跡[[#This Row],[前金入金]]=CN$3, tbl_案件追跡[[#Headers],[前金入金]],
IF(tbl_案件追跡[[#This Row],[発注]]=CN$3,tbl_案件追跡[[#Headers],[発注]],
IF(tbl_案件追跡[[#This Row],[出荷予定]]=CN$3,tbl_案件追跡[[#Headers],[出荷予定]],
IF(tbl_案件追跡[[#This Row],[出荷]]=CN$3,tbl_案件追跡[[#Headers],[出荷]],
IF(tbl_案件追跡[[#This Row],[着荷]]=CN$3,tbl_案件追跡[[#Headers],[着荷]],"")))))))))</f>
        <v/>
      </c>
      <c r="CO34" s="222">
        <f>IF(tbl_案件追跡[[#This Row],[見積]]=CO$3,tbl_案件追跡[[#Headers],[見積]],
IF(tbl_案件追跡[[#This Row],[受注]]=CO$3,tbl_案件追跡[[#Headers],[受注]],
IF(tbl_案件追跡[[#This Row],[注文確認メール]]=CO$3,tbl_案件追跡[[#Headers],[注文確認メール]],
IF(tbl_案件追跡[[#This Row],[前金入金予定]]=CO$3,tbl_案件追跡[[#Headers],[前金入金予定]],
IF(tbl_案件追跡[[#This Row],[前金入金]]=CO$3, tbl_案件追跡[[#Headers],[前金入金]],
IF(tbl_案件追跡[[#This Row],[発注]]=CO$3,tbl_案件追跡[[#Headers],[発注]],
IF(tbl_案件追跡[[#This Row],[出荷予定]]=CO$3,tbl_案件追跡[[#Headers],[出荷予定]],
IF(tbl_案件追跡[[#This Row],[出荷]]=CO$3,tbl_案件追跡[[#Headers],[出荷]],
IF(tbl_案件追跡[[#This Row],[着荷]]=CO$3,tbl_案件追跡[[#Headers],[着荷]],"")))))))))</f>
        <v/>
      </c>
    </row>
  </sheetData>
  <mergeCells count="1">
    <mergeCell ref="AH1:AI1"/>
  </mergeCells>
  <conditionalFormatting sqref="Q4:R34">
    <cfRule type="expression" priority="13" dxfId="67">
      <formula>$L4 &lt;&gt; "前払"</formula>
    </cfRule>
  </conditionalFormatting>
  <conditionalFormatting sqref="W3:Z34 AE3:AE34">
    <cfRule type="expression" priority="11" dxfId="67">
      <formula>_xlfn.ISFORMULA(W3)</formula>
    </cfRule>
  </conditionalFormatting>
  <conditionalFormatting sqref="B4:B34">
    <cfRule type="expression" priority="10" dxfId="60">
      <formula>B4&lt;&gt;AB4</formula>
    </cfRule>
  </conditionalFormatting>
  <conditionalFormatting sqref="D4:D34">
    <cfRule type="expression" priority="9" dxfId="67">
      <formula>B4 &lt;= 1</formula>
    </cfRule>
  </conditionalFormatting>
  <conditionalFormatting sqref="AE4:AE34">
    <cfRule type="expression" priority="8" dxfId="67">
      <formula>L4 = "前払"</formula>
    </cfRule>
  </conditionalFormatting>
  <conditionalFormatting sqref="AD4:AE11 AD13:AE34 AE12">
    <cfRule type="expression" priority="7" dxfId="60">
      <formula>AND(W4 &lt;&gt; "", ISBLANK(AD4) = TRUE)</formula>
    </cfRule>
  </conditionalFormatting>
  <conditionalFormatting sqref="AF4:AF34">
    <cfRule type="expression" priority="6" dxfId="60">
      <formula>AND(Y4 &lt;&gt;"", ISBLANK(AF4) = TRUE)</formula>
    </cfRule>
  </conditionalFormatting>
  <conditionalFormatting sqref="S4:S34">
    <cfRule type="expression" priority="5" dxfId="60">
      <formula>AND(ISBLANK(O4) = FALSE, ISBLANK(S4) = TRUE, TODAY() - MAX(O3,Q3) &gt; 2)</formula>
    </cfRule>
  </conditionalFormatting>
  <conditionalFormatting sqref="U4:U34">
    <cfRule type="expression" priority="4" dxfId="60">
      <formula>AND(ISBLANK(O4) = FALSE, ISBLANK(U4) = TRUE, TODAY() - T4 &gt; 1)</formula>
    </cfRule>
  </conditionalFormatting>
  <conditionalFormatting sqref="V4:V34">
    <cfRule type="expression" priority="3" dxfId="60">
      <formula>AND(ISBLANK(S4) = FALSE, ISBLANK(V4) = TRUE, TODAY() - U4 &gt; 3)</formula>
    </cfRule>
  </conditionalFormatting>
  <conditionalFormatting sqref="AH3:CO34">
    <cfRule type="expression" priority="2" dxfId="61">
      <formula>AND(TODAY() &gt;=AH$3, TODAY() &lt; AI$3)</formula>
    </cfRule>
  </conditionalFormatting>
  <conditionalFormatting sqref="AD12">
    <cfRule type="expression" priority="1" dxfId="60">
      <formula>AND(W12 &lt;&gt;"", ISBLANK(AD12) = TRUE)</formula>
    </cfRule>
  </conditionalFormatting>
  <dataValidations count="2">
    <dataValidation sqref="L4:L34" showDropDown="0" showInputMessage="1" showErrorMessage="1" allowBlank="1" type="list">
      <formula1>"前払, 月末締め翌月末払い"</formula1>
    </dataValidation>
    <dataValidation sqref="AK1:AK2" showDropDown="0" showInputMessage="1" showErrorMessage="1" allowBlank="1" type="list">
      <formula1>"日, 週"</formula1>
    </dataValidation>
  </dataValidations>
  <pageMargins left="0.7" right="0.7" top="0.75" bottom="0.75" header="0.3" footer="0.3"/>
  <pageSetup orientation="landscape" paperSize="9" scale="34" fitToHeight="0"/>
  <tableParts count="1">
    <tablePart xmlns:r="http://schemas.openxmlformats.org/officeDocument/2006/relationships" r:id="rId1"/>
  </tableParts>
</worksheet>
</file>

<file path=xl/worksheets/sheet7.xml><?xml version="1.0" encoding="utf-8"?>
<worksheet xmlns="http://schemas.openxmlformats.org/spreadsheetml/2006/main">
  <sheetPr codeName="Sheet8">
    <outlinePr summaryBelow="1" summaryRight="1"/>
    <pageSetUpPr fitToPage="1"/>
  </sheetPr>
  <dimension ref="A1:H51"/>
  <sheetViews>
    <sheetView topLeftCell="A3" zoomScale="77" workbookViewId="0">
      <selection activeCell="E21" sqref="E21"/>
    </sheetView>
  </sheetViews>
  <sheetFormatPr baseColWidth="8" defaultColWidth="9" defaultRowHeight="18"/>
  <cols>
    <col width="7.69921875" customWidth="1" style="124" min="1" max="1"/>
    <col width="43.59765625" bestFit="1" customWidth="1" style="124" min="2" max="2"/>
    <col width="10" customWidth="1" style="124" min="3" max="3"/>
    <col width="8" customWidth="1" style="124" min="4" max="4"/>
    <col width="12" customWidth="1" style="124" min="5" max="5"/>
    <col width="14" customWidth="1" style="124" min="6" max="6"/>
    <col width="21.5" customWidth="1" style="124" min="7" max="7"/>
    <col width="24.19921875" customWidth="1" style="124" min="8" max="8"/>
    <col width="9" customWidth="1" style="124" min="9" max="16384"/>
  </cols>
  <sheetData>
    <row r="1">
      <c r="B1" s="122" t="inlineStr">
        <is>
          <t>ここだけ入力　案件番号:</t>
        </is>
      </c>
      <c r="C1" s="171" t="inlineStr">
        <is>
          <t>2603-1002-S01</t>
        </is>
      </c>
    </row>
    <row r="3" ht="45.75" customHeight="1" s="207">
      <c r="A3" s="277" t="inlineStr">
        <is>
          <t>見　積　書</t>
        </is>
      </c>
      <c r="B3" s="319" t="n"/>
      <c r="C3" s="319" t="n"/>
      <c r="D3" s="319" t="n"/>
      <c r="E3" s="319" t="n"/>
      <c r="F3" s="319" t="n"/>
      <c r="G3" s="319" t="n"/>
      <c r="H3" s="319" t="n"/>
    </row>
    <row r="5">
      <c r="G5" s="3" t="inlineStr">
        <is>
          <t>発行日：</t>
        </is>
      </c>
      <c r="H5" s="320">
        <f>TODAY()</f>
        <v/>
      </c>
    </row>
    <row r="6" ht="32.4" customHeight="1" s="207">
      <c r="A6" s="287">
        <f>_xlfn.XLOOKUP($C$1,tbl_明細[案件番号],tbl_明細[顧客名],"",0,1)&amp;" 御中"</f>
        <v/>
      </c>
      <c r="G6" s="3" t="inlineStr">
        <is>
          <t>見積No. ：</t>
        </is>
      </c>
      <c r="H6" s="3">
        <f>IF(C1="","","EST-SNJ-"&amp;C1)</f>
        <v/>
      </c>
    </row>
    <row r="7" ht="22.2" customHeight="1" s="207">
      <c r="A7" s="187" t="n"/>
      <c r="F7" s="6" t="n"/>
      <c r="G7" s="7" t="n"/>
      <c r="H7" s="8" t="n"/>
    </row>
    <row r="8">
      <c r="F8" s="9" t="n"/>
      <c r="H8" s="10" t="n"/>
    </row>
    <row r="9">
      <c r="F9" s="11" t="inlineStr">
        <is>
          <t xml:space="preserve">　新日本海商事株式会社</t>
        </is>
      </c>
      <c r="H9" s="10" t="n"/>
    </row>
    <row r="10" ht="18.75" customHeight="1" s="207">
      <c r="F10" s="11" t="inlineStr">
        <is>
          <t xml:space="preserve">　〒530-0001</t>
        </is>
      </c>
      <c r="H10" s="10" t="n"/>
    </row>
    <row r="11" ht="18.75" customHeight="1" s="207">
      <c r="A11" s="124" t="inlineStr">
        <is>
          <t>下記の通り見積もり申し上げます。</t>
        </is>
      </c>
      <c r="E11" s="10" t="n"/>
      <c r="F11" s="11" t="inlineStr">
        <is>
          <t xml:space="preserve">　大阪市北区梅田2丁目5番25号</t>
        </is>
      </c>
      <c r="H11" s="10" t="n"/>
    </row>
    <row r="12" ht="18.75" customHeight="1" s="207">
      <c r="A12" s="280">
        <f>"見積金額（税込）　　"&amp;TEXT(H43,"\#,##0")</f>
        <v/>
      </c>
      <c r="E12" s="12" t="n"/>
      <c r="F12" s="11" t="inlineStr">
        <is>
          <t xml:space="preserve">　梅田阪神第1ビル15階（ハービスOSAKA）</t>
        </is>
      </c>
      <c r="H12" s="10" t="n"/>
    </row>
    <row r="13" ht="19.5" customHeight="1" s="207" thickBot="1">
      <c r="A13" s="321" t="n"/>
      <c r="B13" s="321" t="n"/>
      <c r="C13" s="321" t="n"/>
      <c r="D13" s="321" t="n"/>
      <c r="E13" s="12" t="n"/>
      <c r="F13" s="13" t="inlineStr">
        <is>
          <t xml:space="preserve">　TEL: 06-6345-9021</t>
        </is>
      </c>
      <c r="G13" s="14" t="n"/>
      <c r="H13" s="15" t="n"/>
    </row>
    <row r="15">
      <c r="F15" s="124" t="inlineStr">
        <is>
          <t>有効期限：発行日から1か月間</t>
        </is>
      </c>
    </row>
    <row r="16" ht="20.25" customHeight="1" s="207">
      <c r="A16" s="202" t="inlineStr">
        <is>
          <t>No</t>
        </is>
      </c>
      <c r="B16" s="202" t="inlineStr">
        <is>
          <t>商品名</t>
        </is>
      </c>
      <c r="C16" s="202" t="inlineStr">
        <is>
          <t>数量</t>
        </is>
      </c>
      <c r="D16" s="202" t="inlineStr">
        <is>
          <t>単位</t>
        </is>
      </c>
      <c r="E16" s="202" t="inlineStr">
        <is>
          <t>単価</t>
        </is>
      </c>
      <c r="F16" s="202" t="inlineStr">
        <is>
          <t>税率</t>
        </is>
      </c>
      <c r="G16" s="202" t="inlineStr">
        <is>
          <t>金額（税抜）</t>
        </is>
      </c>
      <c r="H16" s="202" t="inlineStr">
        <is>
          <t>備考</t>
        </is>
      </c>
    </row>
    <row r="17" ht="20.25" customHeight="1" s="207">
      <c r="A17" s="16">
        <f t="array" ref="A17:F18">_xlfn._xlws.FILTER(
  CHOOSE({1,2,3,4,5,6},
    tbl_明細[No],
    IF(LEFT(tbl_明細[商品ID],4)&lt;&gt;"PRD_", tbl_明細[商品名（M)], tbl_明細[商品名]),
    IF(LEFT(tbl_明細[商品ID],4)&lt;&gt;"PRD_", tbl_明細[数量（M)], tbl_明細[数量]),
    IF(LEFT(tbl_明細[商品ID],4)&lt;&gt;"PRD_", tbl_明細[単位（M)], tbl_明細[単位]),
    IF(LEFT(tbl_明細[商品ID],4)&lt;&gt;"PRD_", tbl_明細[販売価格（M)], tbl_明細[販売価格（売値）]),
    IF(LEFT(tbl_明細[商品ID],4)&lt;&gt;"PRD_", tbl_明細[税率（M）],tbl_明細[税率])
  ),
  (tbl_明細[案件番号]=$C$1)*(tbl_明細[(非表示）販売価格の和] &gt; 0),
  "該当なし"
)</f>
        <v/>
      </c>
      <c r="B17" s="16" t="inlineStr">
        <is>
          <t>あつまいも</t>
        </is>
      </c>
      <c r="C17" s="16" t="n">
        <v>20</v>
      </c>
      <c r="D17" s="2" t="inlineStr">
        <is>
          <t>kg</t>
        </is>
      </c>
      <c r="E17" s="322" t="n">
        <v>550</v>
      </c>
      <c r="F17" s="18" t="n">
        <v>0.08</v>
      </c>
      <c r="G17" s="323">
        <f>IF(ISBLANK(B17),"",C17*E17)</f>
        <v/>
      </c>
      <c r="H17" s="16">
        <f t="array" ref="H17">IF(ISBLANK(_xlfn.XLOOKUP($C$1&amp;A17,tbl_明細[案件番号]&amp;tbl_明細[No],tbl_明細[備考（顧客向け）],"",0,1)),"",_xlfn.XLOOKUP($C$1&amp;A17,tbl_明細[案件番号]&amp;tbl_明細[No],tbl_明細[備考（顧客向け）],"",0,1))</f>
        <v/>
      </c>
    </row>
    <row r="18" ht="20.25" customHeight="1" s="207">
      <c r="A18" s="16" t="n">
        <v>2</v>
      </c>
      <c r="B18" s="16" t="inlineStr">
        <is>
          <t>送料（北海道）</t>
        </is>
      </c>
      <c r="C18" s="16" t="n">
        <v>2</v>
      </c>
      <c r="D18" s="2" t="inlineStr">
        <is>
          <t>箱</t>
        </is>
      </c>
      <c r="E18" s="322" t="n">
        <v>1900</v>
      </c>
      <c r="F18" s="18" t="n">
        <v>0.1</v>
      </c>
      <c r="G18" s="323">
        <f>IF(ISBLANK(B18),"",C18*E18)</f>
        <v/>
      </c>
      <c r="H18" s="16">
        <f t="array" ref="H18">IF(ISBLANK(_xlfn.XLOOKUP($C$1&amp;A18,tbl_明細[案件番号]&amp;tbl_明細[No],tbl_明細[備考（顧客向け）],"",0,1)),"",_xlfn.XLOOKUP($C$1&amp;A18,tbl_明細[案件番号]&amp;tbl_明細[No],tbl_明細[備考（顧客向け）],"",0,1))</f>
        <v/>
      </c>
    </row>
    <row r="19" ht="20.25" customHeight="1" s="207">
      <c r="A19" s="16" t="n"/>
      <c r="B19" s="16" t="n"/>
      <c r="C19" s="16" t="n"/>
      <c r="D19" s="2" t="n"/>
      <c r="E19" s="322" t="n"/>
      <c r="F19" s="18" t="n"/>
      <c r="G19" s="323">
        <f>IF(ISBLANK(B19),"",C19*E19)</f>
        <v/>
      </c>
      <c r="H19" s="16">
        <f t="array" ref="H19">IF(ISBLANK(_xlfn.XLOOKUP($C$1&amp;A19,tbl_明細[案件番号]&amp;tbl_明細[No],tbl_明細[備考（顧客向け）],"",0,1)),"",_xlfn.XLOOKUP($C$1&amp;A19,tbl_明細[案件番号]&amp;tbl_明細[No],tbl_明細[備考（顧客向け）],"",0,1))</f>
        <v/>
      </c>
    </row>
    <row r="20" ht="20.25" customHeight="1" s="207">
      <c r="A20" s="16" t="n"/>
      <c r="B20" s="16" t="n"/>
      <c r="C20" s="16" t="n"/>
      <c r="D20" s="2" t="n"/>
      <c r="E20" s="322" t="n"/>
      <c r="F20" s="18" t="n"/>
      <c r="G20" s="323">
        <f>IF(ISBLANK(B20),"",C20*E20)</f>
        <v/>
      </c>
      <c r="H20" s="16">
        <f t="array" ref="H20">IF(ISBLANK(_xlfn.XLOOKUP($C$1&amp;A20,tbl_明細[案件番号]&amp;tbl_明細[No],tbl_明細[備考（顧客向け）],"",0,1)),"",_xlfn.XLOOKUP($C$1&amp;A20,tbl_明細[案件番号]&amp;tbl_明細[No],tbl_明細[備考（顧客向け）],"",0,1))</f>
        <v/>
      </c>
    </row>
    <row r="21" ht="20.25" customHeight="1" s="207">
      <c r="A21" s="16" t="n"/>
      <c r="B21" s="16" t="n"/>
      <c r="C21" s="16" t="n"/>
      <c r="D21" s="2" t="n"/>
      <c r="E21" s="322" t="n"/>
      <c r="F21" s="18" t="n"/>
      <c r="G21" s="323">
        <f>IF(ISBLANK(B21),"",C21*E21)</f>
        <v/>
      </c>
      <c r="H21" s="16">
        <f t="array" ref="H21">IF(ISBLANK(_xlfn.XLOOKUP($C$1&amp;A21,tbl_明細[案件番号]&amp;tbl_明細[No],tbl_明細[備考（顧客向け）],"",0,1)),"",_xlfn.XLOOKUP($C$1&amp;A21,tbl_明細[案件番号]&amp;tbl_明細[No],tbl_明細[備考（顧客向け）],"",0,1))</f>
        <v/>
      </c>
    </row>
    <row r="22" ht="20.25" customHeight="1" s="207">
      <c r="A22" s="16" t="n"/>
      <c r="B22" s="16" t="n"/>
      <c r="C22" s="16" t="n"/>
      <c r="D22" s="2" t="n"/>
      <c r="E22" s="322" t="n"/>
      <c r="F22" s="18" t="n"/>
      <c r="G22" s="323">
        <f>IF(ISBLANK(B22),"",C22*E22)</f>
        <v/>
      </c>
      <c r="H22" s="16">
        <f t="array" ref="H22">IF(ISBLANK(_xlfn.XLOOKUP($C$1&amp;A22,tbl_明細[案件番号]&amp;tbl_明細[No],tbl_明細[備考（顧客向け）],"",0,1)),"",_xlfn.XLOOKUP($C$1&amp;A22,tbl_明細[案件番号]&amp;tbl_明細[No],tbl_明細[備考（顧客向け）],"",0,1))</f>
        <v/>
      </c>
    </row>
    <row r="23" ht="20.25" customHeight="1" s="207">
      <c r="A23" s="16" t="n"/>
      <c r="B23" s="16" t="n"/>
      <c r="C23" s="16" t="n"/>
      <c r="D23" s="2" t="n"/>
      <c r="E23" s="322" t="n"/>
      <c r="F23" s="18" t="n"/>
      <c r="G23" s="323">
        <f>IF(ISBLANK(B23),"",C23*E23)</f>
        <v/>
      </c>
      <c r="H23" s="16">
        <f t="array" ref="H23">IF(ISBLANK(_xlfn.XLOOKUP($C$1&amp;A23,tbl_明細[案件番号]&amp;tbl_明細[No],tbl_明細[備考（顧客向け）],"",0,1)),"",_xlfn.XLOOKUP($C$1&amp;A23,tbl_明細[案件番号]&amp;tbl_明細[No],tbl_明細[備考（顧客向け）],"",0,1))</f>
        <v/>
      </c>
    </row>
    <row r="24" ht="20.25" customHeight="1" s="207">
      <c r="A24" s="16" t="n"/>
      <c r="B24" s="16" t="n"/>
      <c r="C24" s="16" t="n"/>
      <c r="D24" s="2" t="n"/>
      <c r="E24" s="322" t="n"/>
      <c r="F24" s="18" t="n"/>
      <c r="G24" s="323">
        <f>IF(ISBLANK(B24),"",C24*E24)</f>
        <v/>
      </c>
      <c r="H24" s="16">
        <f t="array" ref="H24">IF(ISBLANK(_xlfn.XLOOKUP($C$1&amp;A24,tbl_明細[案件番号]&amp;tbl_明細[No],tbl_明細[備考（顧客向け）],"",0,1)),"",_xlfn.XLOOKUP($C$1&amp;A24,tbl_明細[案件番号]&amp;tbl_明細[No],tbl_明細[備考（顧客向け）],"",0,1))</f>
        <v/>
      </c>
    </row>
    <row r="25" ht="20.25" customHeight="1" s="207">
      <c r="A25" s="16" t="n"/>
      <c r="B25" s="16" t="n"/>
      <c r="C25" s="16" t="n"/>
      <c r="D25" s="2" t="n"/>
      <c r="E25" s="322" t="n"/>
      <c r="F25" s="18" t="n"/>
      <c r="G25" s="323">
        <f>IF(ISBLANK(B25),"",C25*E25)</f>
        <v/>
      </c>
      <c r="H25" s="16">
        <f t="array" ref="H25">IF(ISBLANK(_xlfn.XLOOKUP($C$1&amp;A25,tbl_明細[案件番号]&amp;tbl_明細[No],tbl_明細[備考（顧客向け）],"",0,1)),"",_xlfn.XLOOKUP($C$1&amp;A25,tbl_明細[案件番号]&amp;tbl_明細[No],tbl_明細[備考（顧客向け）],"",0,1))</f>
        <v/>
      </c>
    </row>
    <row r="26" ht="20.25" customHeight="1" s="207">
      <c r="A26" s="16" t="n"/>
      <c r="B26" s="16" t="n"/>
      <c r="C26" s="16" t="n"/>
      <c r="D26" s="2" t="n"/>
      <c r="E26" s="322" t="n"/>
      <c r="F26" s="18" t="n"/>
      <c r="G26" s="323">
        <f>IF(ISBLANK(B26),"",C26*E26)</f>
        <v/>
      </c>
      <c r="H26" s="16">
        <f t="array" ref="H26">IF(ISBLANK(_xlfn.XLOOKUP($C$1&amp;A26,tbl_明細[案件番号]&amp;tbl_明細[No],tbl_明細[備考（顧客向け）],"",0,1)),"",_xlfn.XLOOKUP($C$1&amp;A26,tbl_明細[案件番号]&amp;tbl_明細[No],tbl_明細[備考（顧客向け）],"",0,1))</f>
        <v/>
      </c>
    </row>
    <row r="27" ht="20.25" customHeight="1" s="207">
      <c r="A27" s="16" t="n"/>
      <c r="B27" s="16" t="n"/>
      <c r="C27" s="16" t="n"/>
      <c r="D27" s="2" t="n"/>
      <c r="E27" s="322" t="n"/>
      <c r="F27" s="18" t="n"/>
      <c r="G27" s="323">
        <f>IF(ISBLANK(B27),"",C27*E27)</f>
        <v/>
      </c>
      <c r="H27" s="16">
        <f t="array" ref="H27">IF(ISBLANK(_xlfn.XLOOKUP($C$1&amp;A27,tbl_明細[案件番号]&amp;tbl_明細[No],tbl_明細[備考（顧客向け）],"",0,1)),"",_xlfn.XLOOKUP($C$1&amp;A27,tbl_明細[案件番号]&amp;tbl_明細[No],tbl_明細[備考（顧客向け）],"",0,1))</f>
        <v/>
      </c>
    </row>
    <row r="28" ht="20.25" customHeight="1" s="207">
      <c r="A28" s="16" t="n"/>
      <c r="B28" s="16" t="n"/>
      <c r="C28" s="16" t="n"/>
      <c r="D28" s="2" t="n"/>
      <c r="E28" s="322" t="n"/>
      <c r="F28" s="18" t="n"/>
      <c r="G28" s="323">
        <f>IF(ISBLANK(B28),"",C28*E28)</f>
        <v/>
      </c>
      <c r="H28" s="16">
        <f t="array" ref="H28">IF(ISBLANK(_xlfn.XLOOKUP($C$1&amp;A28,tbl_明細[案件番号]&amp;tbl_明細[No],tbl_明細[備考（顧客向け）],"",0,1)),"",_xlfn.XLOOKUP($C$1&amp;A28,tbl_明細[案件番号]&amp;tbl_明細[No],tbl_明細[備考（顧客向け）],"",0,1))</f>
        <v/>
      </c>
    </row>
    <row r="29" ht="20.25" customHeight="1" s="207">
      <c r="A29" s="16" t="n"/>
      <c r="B29" s="16" t="n"/>
      <c r="C29" s="16" t="n"/>
      <c r="D29" s="2" t="n"/>
      <c r="E29" s="322" t="n"/>
      <c r="F29" s="18" t="n"/>
      <c r="G29" s="323">
        <f>IF(ISBLANK(B29),"",C29*E29)</f>
        <v/>
      </c>
      <c r="H29" s="16">
        <f t="array" ref="H29">IF(ISBLANK(_xlfn.XLOOKUP($C$1&amp;A29,tbl_明細[案件番号]&amp;tbl_明細[No],tbl_明細[備考（顧客向け）],"",0,1)),"",_xlfn.XLOOKUP($C$1&amp;A29,tbl_明細[案件番号]&amp;tbl_明細[No],tbl_明細[備考（顧客向け）],"",0,1))</f>
        <v/>
      </c>
    </row>
    <row r="30" ht="20.25" customHeight="1" s="207">
      <c r="A30" s="16" t="n"/>
      <c r="B30" s="16" t="n"/>
      <c r="C30" s="16" t="n"/>
      <c r="D30" s="2" t="n"/>
      <c r="E30" s="322" t="n"/>
      <c r="F30" s="18" t="n"/>
      <c r="G30" s="323">
        <f>IF(ISBLANK(B30),"",C30*E30)</f>
        <v/>
      </c>
      <c r="H30" s="16">
        <f t="array" ref="H30">IF(ISBLANK(_xlfn.XLOOKUP($C$1&amp;A30,tbl_明細[案件番号]&amp;tbl_明細[No],tbl_明細[備考（顧客向け）],"",0,1)),"",_xlfn.XLOOKUP($C$1&amp;A30,tbl_明細[案件番号]&amp;tbl_明細[No],tbl_明細[備考（顧客向け）],"",0,1))</f>
        <v/>
      </c>
    </row>
    <row r="31" ht="20.25" customHeight="1" s="207">
      <c r="A31" s="16" t="n"/>
      <c r="B31" s="16" t="n"/>
      <c r="C31" s="16" t="n"/>
      <c r="D31" s="2" t="n"/>
      <c r="E31" s="322" t="n"/>
      <c r="F31" s="18" t="n"/>
      <c r="G31" s="323">
        <f>IF(ISBLANK(B31),"",C31*E31)</f>
        <v/>
      </c>
      <c r="H31" s="16">
        <f t="array" ref="H31">IF(ISBLANK(_xlfn.XLOOKUP($C$1&amp;A31,tbl_明細[案件番号]&amp;tbl_明細[No],tbl_明細[備考（顧客向け）],"",0,1)),"",_xlfn.XLOOKUP($C$1&amp;A31,tbl_明細[案件番号]&amp;tbl_明細[No],tbl_明細[備考（顧客向け）],"",0,1))</f>
        <v/>
      </c>
    </row>
    <row r="32" ht="20.25" customHeight="1" s="207">
      <c r="A32" s="16" t="n"/>
      <c r="B32" s="16" t="n"/>
      <c r="C32" s="16" t="n"/>
      <c r="D32" s="2" t="n"/>
      <c r="E32" s="322" t="n"/>
      <c r="F32" s="18" t="n"/>
      <c r="G32" s="323">
        <f>IF(ISBLANK(B32),"",C32*E32)</f>
        <v/>
      </c>
      <c r="H32" s="16">
        <f t="array" ref="H32">IF(ISBLANK(_xlfn.XLOOKUP($C$1&amp;A32,tbl_明細[案件番号]&amp;tbl_明細[No],tbl_明細[備考（顧客向け）],"",0,1)),"",_xlfn.XLOOKUP($C$1&amp;A32,tbl_明細[案件番号]&amp;tbl_明細[No],tbl_明細[備考（顧客向け）],"",0,1))</f>
        <v/>
      </c>
    </row>
    <row r="33" ht="20.25" customHeight="1" s="207">
      <c r="A33" s="16" t="n"/>
      <c r="B33" s="16" t="n"/>
      <c r="C33" s="16" t="n"/>
      <c r="D33" s="2" t="n"/>
      <c r="E33" s="322" t="n"/>
      <c r="F33" s="18" t="n"/>
      <c r="G33" s="323">
        <f>IF(ISBLANK(B33),"",C33*E33)</f>
        <v/>
      </c>
      <c r="H33" s="16">
        <f t="array" ref="H33">IF(ISBLANK(_xlfn.XLOOKUP($C$1&amp;A33,tbl_明細[案件番号]&amp;tbl_明細[No],tbl_明細[備考（顧客向け）],"",0,1)),"",_xlfn.XLOOKUP($C$1&amp;A33,tbl_明細[案件番号]&amp;tbl_明細[No],tbl_明細[備考（顧客向け）],"",0,1))</f>
        <v/>
      </c>
    </row>
    <row r="34" ht="20.25" customHeight="1" s="207">
      <c r="A34" s="16" t="n"/>
      <c r="B34" s="16" t="n"/>
      <c r="C34" s="16" t="n"/>
      <c r="D34" s="2" t="n"/>
      <c r="E34" s="322" t="n"/>
      <c r="F34" s="18" t="n"/>
      <c r="G34" s="323">
        <f>IF(ISBLANK(B34),"",C34*E34)</f>
        <v/>
      </c>
      <c r="H34" s="16">
        <f t="array" ref="H34">IF(ISBLANK(_xlfn.XLOOKUP($C$1&amp;A34,tbl_明細[案件番号]&amp;tbl_明細[No],tbl_明細[備考（顧客向け）],"",0,1)),"",_xlfn.XLOOKUP($C$1&amp;A34,tbl_明細[案件番号]&amp;tbl_明細[No],tbl_明細[備考（顧客向け）],"",0,1))</f>
        <v/>
      </c>
    </row>
    <row r="35" ht="20.25" customHeight="1" s="207">
      <c r="A35" s="16" t="n"/>
      <c r="B35" s="16" t="n"/>
      <c r="C35" s="16" t="n"/>
      <c r="D35" s="2" t="n"/>
      <c r="E35" s="322" t="n"/>
      <c r="F35" s="18" t="n"/>
      <c r="G35" s="323">
        <f>IF(ISBLANK(B35),"",C35*E35)</f>
        <v/>
      </c>
      <c r="H35" s="16">
        <f t="array" ref="H35">IF(ISBLANK(_xlfn.XLOOKUP($C$1&amp;A35,tbl_明細[案件番号]&amp;tbl_明細[No],tbl_明細[備考（顧客向け）],"",0,1)),"",_xlfn.XLOOKUP($C$1&amp;A35,tbl_明細[案件番号]&amp;tbl_明細[No],tbl_明細[備考（顧客向け）],"",0,1))</f>
        <v/>
      </c>
    </row>
    <row r="36" ht="20.25" customHeight="1" s="207">
      <c r="A36" s="16" t="n"/>
      <c r="B36" s="16" t="n"/>
      <c r="C36" s="16" t="n"/>
      <c r="D36" s="2" t="n"/>
      <c r="E36" s="322" t="n"/>
      <c r="F36" s="18" t="n"/>
      <c r="G36" s="323">
        <f>IF(ISBLANK(B36),"",C36*E36)</f>
        <v/>
      </c>
      <c r="H36" s="16">
        <f t="array" ref="H36">IF(ISBLANK(_xlfn.XLOOKUP($C$1&amp;A36,tbl_明細[案件番号]&amp;tbl_明細[No],tbl_明細[備考（顧客向け）],"",0,1)),"",_xlfn.XLOOKUP($C$1&amp;A36,tbl_明細[案件番号]&amp;tbl_明細[No],tbl_明細[備考（顧客向け）],"",0,1))</f>
        <v/>
      </c>
    </row>
    <row r="37" ht="26.4" customFormat="1" customHeight="1" s="23">
      <c r="A37" s="19" t="n"/>
      <c r="B37" s="19" t="n"/>
      <c r="C37" s="19" t="n"/>
      <c r="D37" s="19" t="n"/>
      <c r="E37" s="19" t="n"/>
      <c r="F37" s="20" t="inlineStr">
        <is>
          <t>税抜合計:</t>
        </is>
      </c>
      <c r="G37" s="324">
        <f>SUM(G17:G36)</f>
        <v/>
      </c>
      <c r="H37" s="22" t="n"/>
    </row>
    <row r="38" ht="26.4" customFormat="1" customHeight="1" s="23">
      <c r="A38" s="187" t="n"/>
      <c r="B38" s="187" t="n"/>
      <c r="C38" s="187" t="n"/>
      <c r="D38" s="187" t="n"/>
      <c r="E38" s="187" t="n"/>
      <c r="F38" s="24" t="n"/>
      <c r="G38" s="325" t="n"/>
      <c r="H38" s="187" t="n"/>
    </row>
    <row r="39" ht="26.4" customFormat="1" customHeight="1" s="23">
      <c r="A39" s="187" t="n"/>
      <c r="B39" s="187" t="n"/>
      <c r="C39" s="187" t="n"/>
      <c r="D39" s="187" t="n"/>
      <c r="E39" s="187" t="n"/>
      <c r="F39" s="187" t="n"/>
      <c r="G39" s="26" t="inlineStr">
        <is>
          <t>金額（税抜）</t>
        </is>
      </c>
      <c r="H39" s="26" t="inlineStr">
        <is>
          <t>消費税等</t>
        </is>
      </c>
    </row>
    <row r="40" ht="26.4" customFormat="1" customHeight="1" s="23">
      <c r="A40" s="27" t="n"/>
      <c r="B40" s="27" t="n"/>
      <c r="C40" s="187" t="n"/>
      <c r="D40" s="187" t="n"/>
      <c r="E40" s="28" t="n">
        <v>0.08</v>
      </c>
      <c r="F40" s="24" t="inlineStr">
        <is>
          <t>対象 小計:</t>
        </is>
      </c>
      <c r="G40" s="326">
        <f>SUMIF($F$17:$F$36,E40,$G$17:$G$36)</f>
        <v/>
      </c>
      <c r="H40" s="326">
        <f>ROUND(G40*E40,0)</f>
        <v/>
      </c>
    </row>
    <row r="41" ht="26.4" customFormat="1" customHeight="1" s="23">
      <c r="A41" s="27" t="n"/>
      <c r="B41" s="27" t="n"/>
      <c r="C41" s="187" t="n"/>
      <c r="D41" s="187" t="n"/>
      <c r="E41" s="28" t="n">
        <v>0.1</v>
      </c>
      <c r="F41" s="24" t="inlineStr">
        <is>
          <t>対象 小計:</t>
        </is>
      </c>
      <c r="G41" s="326">
        <f>SUMIF($F$17:$F$36,E41,$G$17:$G$36)</f>
        <v/>
      </c>
      <c r="H41" s="326">
        <f>ROUND(G41*E41,0)</f>
        <v/>
      </c>
    </row>
    <row r="42" ht="26.4" customFormat="1" customHeight="1" s="23">
      <c r="A42" s="27" t="n"/>
      <c r="B42" s="27" t="n"/>
      <c r="C42" s="187" t="n"/>
      <c r="D42" s="187" t="n"/>
      <c r="E42" s="29" t="inlineStr">
        <is>
          <t>非課税</t>
        </is>
      </c>
      <c r="F42" s="24" t="inlineStr">
        <is>
          <t>対象 小計:</t>
        </is>
      </c>
      <c r="G42" s="326">
        <f>SUMIF($F$17:$F$36,E42,$G$17:$G$36)</f>
        <v/>
      </c>
      <c r="H42" s="326" t="n"/>
    </row>
    <row r="43" ht="26.4" customFormat="1" customHeight="1" s="23">
      <c r="A43" s="27" t="n"/>
      <c r="B43" s="27" t="n"/>
      <c r="C43" s="187" t="n"/>
      <c r="D43" s="187" t="n"/>
      <c r="E43" s="187" t="n"/>
      <c r="F43" s="24" t="inlineStr">
        <is>
          <t>税込合計:</t>
        </is>
      </c>
      <c r="G43" s="327" t="n"/>
      <c r="H43" s="328">
        <f>SUM(G40:H42)</f>
        <v/>
      </c>
    </row>
    <row r="45" ht="22.2" customHeight="1" s="207">
      <c r="A45" s="32" t="inlineStr">
        <is>
          <t>備考欄：</t>
        </is>
      </c>
    </row>
    <row r="46">
      <c r="A46" s="6" t="n"/>
      <c r="B46" s="7" t="n"/>
      <c r="C46" s="7" t="n"/>
      <c r="D46" s="7" t="n"/>
      <c r="E46" s="7" t="n"/>
      <c r="F46" s="7" t="n"/>
      <c r="G46" s="7" t="n"/>
      <c r="H46" s="8" t="n"/>
    </row>
    <row r="47">
      <c r="A47" s="33" t="n"/>
      <c r="B47" s="124" t="n"/>
      <c r="C47" s="124" t="n"/>
      <c r="D47" s="124" t="n"/>
      <c r="E47" s="124" t="n"/>
      <c r="F47" s="124" t="n"/>
      <c r="G47" s="124" t="n"/>
      <c r="H47" s="10" t="n"/>
    </row>
    <row r="48">
      <c r="A48" s="33" t="n"/>
      <c r="B48" s="124" t="n"/>
      <c r="C48" s="124" t="n"/>
      <c r="D48" s="124" t="n"/>
      <c r="E48" s="124" t="n"/>
      <c r="F48" s="124" t="n"/>
      <c r="G48" s="124" t="n"/>
      <c r="H48" s="10" t="n"/>
    </row>
    <row r="49">
      <c r="A49" s="34" t="n"/>
      <c r="B49" s="14" t="n"/>
      <c r="C49" s="14" t="n"/>
      <c r="D49" s="14" t="n"/>
      <c r="E49" s="14" t="n"/>
      <c r="F49" s="14" t="n"/>
      <c r="G49" s="14" t="n"/>
      <c r="H49" s="15" t="n"/>
    </row>
    <row r="50">
      <c r="A50" s="124" t="n"/>
      <c r="B50" s="124" t="n"/>
      <c r="C50" s="124" t="n"/>
      <c r="D50" s="124" t="n"/>
      <c r="E50" s="124" t="n"/>
      <c r="F50" s="124" t="n"/>
      <c r="G50" s="124" t="n"/>
      <c r="H50" s="124" t="n"/>
    </row>
    <row r="51">
      <c r="A51" s="124" t="n"/>
      <c r="B51" s="124" t="n"/>
      <c r="C51" s="124" t="n"/>
      <c r="D51" s="124" t="n"/>
      <c r="E51" s="124" t="n"/>
      <c r="F51" s="124" t="n"/>
      <c r="G51" s="124" t="n"/>
      <c r="H51" s="124" t="n"/>
    </row>
  </sheetData>
  <mergeCells count="2">
    <mergeCell ref="A3:H3"/>
    <mergeCell ref="A12:D13"/>
  </mergeCells>
  <pageMargins left="0.25" right="0.25" top="0.75" bottom="0.75" header="0.3" footer="0.3"/>
  <pageSetup orientation="portrait" paperSize="9" scale="64" fitToHeight="0"/>
  <drawing xmlns:r="http://schemas.openxmlformats.org/officeDocument/2006/relationships" r:id="rId1"/>
</worksheet>
</file>

<file path=xl/worksheets/sheet8.xml><?xml version="1.0" encoding="utf-8"?>
<worksheet xmlns="http://schemas.openxmlformats.org/spreadsheetml/2006/main">
  <sheetPr>
    <outlinePr summaryBelow="1" summaryRight="1"/>
    <pageSetUpPr fitToPage="1"/>
  </sheetPr>
  <dimension ref="A1:K53"/>
  <sheetViews>
    <sheetView workbookViewId="0">
      <selection activeCell="H7" sqref="H7"/>
    </sheetView>
  </sheetViews>
  <sheetFormatPr baseColWidth="8" defaultColWidth="8.69921875" defaultRowHeight="18"/>
  <cols>
    <col width="8.69921875" customWidth="1" style="54" min="1" max="1"/>
    <col width="50.5" customWidth="1" style="54" min="2" max="2"/>
    <col width="37.5" bestFit="1" customWidth="1" style="54" min="3" max="3"/>
    <col width="8.69921875" customWidth="1" style="54" min="4" max="5"/>
    <col width="14.3984375" bestFit="1" customWidth="1" style="54" min="6" max="6"/>
    <col width="8.69921875" customWidth="1" style="54" min="7" max="9"/>
    <col width="10" bestFit="1" customWidth="1" style="54" min="10" max="10"/>
    <col width="13.09765625" customWidth="1" style="54" min="11" max="11"/>
    <col width="8.69921875" customWidth="1" style="54" min="12" max="16384"/>
  </cols>
  <sheetData>
    <row r="1">
      <c r="A1" s="127" t="inlineStr">
        <is>
          <t>※灰色セルは自動入力</t>
        </is>
      </c>
    </row>
    <row r="2">
      <c r="B2" s="167" t="inlineStr">
        <is>
          <t>案件番号</t>
        </is>
      </c>
      <c r="C2" s="171" t="inlineStr">
        <is>
          <t>2601-1003-A01</t>
        </is>
      </c>
      <c r="E2" s="88" t="inlineStr">
        <is>
          <t>No</t>
        </is>
      </c>
      <c r="F2" s="88" t="inlineStr">
        <is>
          <t>商品名</t>
        </is>
      </c>
      <c r="G2" s="88" t="inlineStr">
        <is>
          <t>数量</t>
        </is>
      </c>
      <c r="H2" s="88" t="inlineStr">
        <is>
          <t>単位</t>
        </is>
      </c>
      <c r="I2" s="88" t="inlineStr">
        <is>
          <t>単価</t>
        </is>
      </c>
      <c r="J2" s="88" t="inlineStr">
        <is>
          <t>税率</t>
        </is>
      </c>
      <c r="K2" s="88" t="inlineStr">
        <is>
          <t>金額（税抜）</t>
        </is>
      </c>
    </row>
    <row r="3">
      <c r="B3" s="88" t="inlineStr">
        <is>
          <t>顧客担当者名</t>
        </is>
      </c>
      <c r="C3" s="88">
        <f>_xlfn.XLOOKUP($C$2,tbl_案件追跡[案件番号],tbl_案件追跡[顧客
担当者名],"",0,1)</f>
        <v/>
      </c>
      <c r="E3" s="88">
        <f t="array" ref="E3:J4">_xlfn._xlws.FILTER(
  CHOOSE({1,2,3,4,5,6},
    tbl_明細[No],
    IF(LEFT(tbl_明細[商品ID],4)&lt;&gt;"PRD_", tbl_明細[商品名（M)], tbl_明細[商品名]),
    IF(LEFT(tbl_明細[商品ID],4)&lt;&gt;"PRD_", tbl_明細[数量（M)], tbl_明細[数量]),
    IF(LEFT(tbl_明細[商品ID],4)&lt;&gt;"PRD_", tbl_明細[単位（M)], tbl_明細[単位]),
    IF(LEFT(tbl_明細[商品ID],4)&lt;&gt;"PRD_", tbl_明細[販売価格（M)], tbl_明細[販売価格（売値）]),
    IF(LEFT(tbl_明細[商品ID],4)&lt;&gt;"PRD_", tbl_明細[税率（M）],tbl_明細[税率]),
  ),
  tbl_明細[案件番号]=$C$2,
  "該当なし"
)</f>
        <v/>
      </c>
      <c r="F3" s="88" t="inlineStr">
        <is>
          <t>雁の音ほうじ茶壱之棒（茶葉） 500g</t>
        </is>
      </c>
      <c r="G3" s="88" t="n">
        <v>10</v>
      </c>
      <c r="H3" s="88" t="inlineStr">
        <is>
          <t>袋</t>
        </is>
      </c>
      <c r="I3" s="96" t="n">
        <v>1806</v>
      </c>
      <c r="J3" s="97" t="n">
        <v>0.08</v>
      </c>
      <c r="K3" s="96">
        <f>IF(G3*I3 = 0,"",G3*I3)</f>
        <v/>
      </c>
    </row>
    <row r="4">
      <c r="B4" s="88" t="inlineStr">
        <is>
          <t>顧客名</t>
        </is>
      </c>
      <c r="C4" s="88">
        <f>_xlfn.XLOOKUP($C$2,tbl_案件追跡[案件番号],tbl_案件追跡[顧客名],"",0,1)</f>
        <v/>
      </c>
      <c r="E4" s="88" t="n">
        <v>2</v>
      </c>
      <c r="F4" s="88" t="inlineStr">
        <is>
          <t>送料（140サイズ）</t>
        </is>
      </c>
      <c r="G4" s="88" t="n">
        <v>1</v>
      </c>
      <c r="H4" s="88" t="inlineStr">
        <is>
          <t>式</t>
        </is>
      </c>
      <c r="I4" s="96" t="n">
        <v>1300</v>
      </c>
      <c r="J4" s="97" t="n">
        <v>0.1</v>
      </c>
      <c r="K4" s="96">
        <f>IF(G4*I4 = 0,"",G4*I4)</f>
        <v/>
      </c>
    </row>
    <row r="5">
      <c r="B5" s="88" t="inlineStr">
        <is>
          <t>商材</t>
        </is>
      </c>
      <c r="C5" s="88">
        <f>_xlfn.XLOOKUP($C$2,tbl_案件追跡[案件番号],tbl_案件追跡[商材],"",0,1)</f>
        <v/>
      </c>
      <c r="E5" s="88" t="n"/>
      <c r="F5" s="88" t="n"/>
      <c r="G5" s="88" t="n"/>
      <c r="H5" s="88" t="n"/>
      <c r="I5" s="96" t="n"/>
      <c r="J5" s="97" t="n"/>
      <c r="K5" s="96">
        <f>IF(G5*I5 = 0,"",G5*I5)</f>
        <v/>
      </c>
    </row>
    <row r="6">
      <c r="B6" s="88" t="inlineStr">
        <is>
          <t>納品先郵便番号</t>
        </is>
      </c>
      <c r="C6" s="88">
        <f>_xlfn.XLOOKUP($C$2,tbl_案件追跡[案件番号],tbl_案件追跡[納品先　郵便番号],"",0,1)</f>
        <v/>
      </c>
      <c r="E6" s="88" t="n"/>
      <c r="F6" s="88" t="n"/>
      <c r="G6" s="88" t="n"/>
      <c r="H6" s="88" t="n"/>
      <c r="I6" s="96" t="n"/>
      <c r="J6" s="97" t="n"/>
      <c r="K6" s="96">
        <f>IF(G6*I6 = 0,"",G6*I6)</f>
        <v/>
      </c>
    </row>
    <row r="7">
      <c r="B7" s="88" t="inlineStr">
        <is>
          <t>納品先住所1</t>
        </is>
      </c>
      <c r="C7" s="88">
        <f>_xlfn.XLOOKUP($C$2,tbl_案件追跡[案件番号],tbl_案件追跡[納品先　住所1行目],"",0,1)</f>
        <v/>
      </c>
      <c r="E7" s="88" t="n"/>
      <c r="F7" s="88" t="n"/>
      <c r="G7" s="88" t="n"/>
      <c r="H7" s="88" t="n"/>
      <c r="I7" s="96" t="n"/>
      <c r="J7" s="97" t="n"/>
      <c r="K7" s="96">
        <f>IF(G7*I7 = 0,"",G7*I7)</f>
        <v/>
      </c>
    </row>
    <row r="8">
      <c r="B8" s="88" t="inlineStr">
        <is>
          <t>納品先住所2</t>
        </is>
      </c>
      <c r="C8" s="88">
        <f>_xlfn.XLOOKUP($C$2,tbl_案件追跡[案件番号],tbl_案件追跡[納品先　住所2行目],"",0,1)</f>
        <v/>
      </c>
      <c r="E8" s="88" t="n"/>
      <c r="F8" s="88" t="n"/>
      <c r="G8" s="88" t="n"/>
      <c r="H8" s="88" t="n"/>
      <c r="I8" s="96" t="n"/>
      <c r="J8" s="97" t="n"/>
      <c r="K8" s="96">
        <f>IF(G8*I8 = 0,"",G8*I8)</f>
        <v/>
      </c>
    </row>
    <row r="9">
      <c r="B9" s="88" t="inlineStr">
        <is>
          <t>納品先社名・担当者</t>
        </is>
      </c>
      <c r="C9" s="88">
        <f>_xlfn.XLOOKUP($C$2,tbl_案件追跡[案件番号],tbl_案件追跡[納品先　社名・担当者名],"",0,1)</f>
        <v/>
      </c>
      <c r="E9" s="88" t="n"/>
      <c r="F9" s="88" t="n"/>
      <c r="G9" s="88" t="n"/>
      <c r="H9" s="88" t="n"/>
      <c r="I9" s="96" t="n"/>
      <c r="J9" s="97" t="n"/>
      <c r="K9" s="96">
        <f>IF(G9*I9 = 0,"",G9*I9)</f>
        <v/>
      </c>
    </row>
    <row r="10">
      <c r="B10" s="88" t="inlineStr">
        <is>
          <t>納品先電話番号</t>
        </is>
      </c>
      <c r="C10" s="88">
        <f>_xlfn.XLOOKUP($C$2,tbl_案件追跡[案件番号],tbl_案件追跡[納品先　電話番号],"",0,1)</f>
        <v/>
      </c>
      <c r="E10" s="88" t="n"/>
      <c r="F10" s="88" t="n"/>
      <c r="G10" s="88" t="n"/>
      <c r="H10" s="88" t="n"/>
      <c r="I10" s="96" t="n"/>
      <c r="J10" s="97" t="n"/>
      <c r="K10" s="96">
        <f>IF(G10*I10 = 0,"",G10*I10)</f>
        <v/>
      </c>
    </row>
    <row r="11">
      <c r="B11" s="88" t="inlineStr">
        <is>
          <t>支払い条件</t>
        </is>
      </c>
      <c r="C11" s="88">
        <f>_xlfn.XLOOKUP($C$2,tbl_案件追跡[案件番号],tbl_案件追跡[支払い条件],"",0,1)</f>
        <v/>
      </c>
      <c r="E11" s="88" t="n"/>
      <c r="F11" s="88" t="n"/>
      <c r="G11" s="88" t="n"/>
      <c r="H11" s="88" t="n"/>
      <c r="I11" s="96" t="n"/>
      <c r="J11" s="97" t="n"/>
      <c r="K11" s="96">
        <f>IF(G11*I11 = 0,"",G11*I11)</f>
        <v/>
      </c>
    </row>
    <row r="12">
      <c r="B12" s="88" t="inlineStr">
        <is>
          <t>営業担当</t>
        </is>
      </c>
      <c r="C12" s="88">
        <f>_xlfn.XLOOKUP($C$2,tbl_案件追跡[案件番号],tbl_案件追跡[担当],"",0,1)</f>
        <v/>
      </c>
      <c r="E12" s="88" t="n"/>
      <c r="F12" s="88" t="n"/>
      <c r="G12" s="88" t="n"/>
      <c r="H12" s="88" t="n"/>
      <c r="I12" s="96" t="n"/>
      <c r="J12" s="97" t="n"/>
      <c r="K12" s="96" t="n"/>
    </row>
    <row r="13">
      <c r="B13" s="88" t="inlineStr">
        <is>
          <t>注文日</t>
        </is>
      </c>
      <c r="C13" s="329">
        <f>_xlfn.XLOOKUP($C$2,tbl_案件追跡[案件番号],tbl_案件追跡[受注],"",0,1)</f>
        <v/>
      </c>
      <c r="E13" s="88" t="n"/>
      <c r="F13" s="88" t="n"/>
      <c r="G13" s="88" t="n"/>
      <c r="H13" s="88" t="n"/>
      <c r="I13" s="96" t="n"/>
      <c r="J13" s="97" t="n"/>
      <c r="K13" s="96" t="n"/>
    </row>
    <row r="14">
      <c r="B14" s="88" t="inlineStr">
        <is>
          <t>出荷予定日</t>
        </is>
      </c>
      <c r="C14" s="329">
        <f>_xlfn.XLOOKUP($C$2,tbl_案件追跡[案件番号],tbl_案件追跡[出荷予定],"",0,1)</f>
        <v/>
      </c>
      <c r="E14" s="88" t="n"/>
      <c r="F14" s="88" t="n"/>
      <c r="G14" s="88" t="n"/>
      <c r="H14" s="88" t="n"/>
      <c r="I14" s="96" t="n"/>
      <c r="J14" s="97" t="n"/>
      <c r="K14" s="96" t="n"/>
    </row>
    <row r="15">
      <c r="E15" s="88" t="n"/>
      <c r="F15" s="88" t="n"/>
      <c r="G15" s="88" t="n"/>
      <c r="H15" s="88" t="n"/>
      <c r="I15" s="96" t="n"/>
      <c r="J15" s="97" t="n"/>
      <c r="K15" s="96" t="n"/>
    </row>
    <row r="16">
      <c r="E16" s="88" t="n"/>
      <c r="F16" s="88" t="n"/>
      <c r="G16" s="88" t="n"/>
      <c r="H16" s="88" t="n"/>
      <c r="I16" s="96" t="n"/>
      <c r="J16" s="97" t="n"/>
      <c r="K16" s="96" t="n"/>
    </row>
    <row r="17" ht="18.6" customHeight="1" s="207" thickBot="1">
      <c r="B17" s="127" t="inlineStr">
        <is>
          <t>↓↓↓太枠内をコピペ↓↓↓</t>
        </is>
      </c>
      <c r="E17" s="88" t="n"/>
      <c r="F17" s="88" t="n"/>
      <c r="G17" s="88" t="n"/>
      <c r="H17" s="88" t="n"/>
      <c r="I17" s="96" t="n"/>
      <c r="J17" s="97" t="n"/>
      <c r="K17" s="96" t="n"/>
    </row>
    <row r="18">
      <c r="B18" s="91">
        <f>C4</f>
        <v/>
      </c>
      <c r="E18" s="88" t="n"/>
      <c r="F18" s="88" t="n"/>
      <c r="G18" s="88" t="n"/>
      <c r="H18" s="88" t="n"/>
      <c r="I18" s="96" t="n"/>
      <c r="J18" s="97" t="n"/>
      <c r="K18" s="96" t="n"/>
    </row>
    <row r="19">
      <c r="B19" s="92">
        <f>C3&amp;"様"</f>
        <v/>
      </c>
      <c r="E19" s="88" t="n"/>
      <c r="F19" s="88" t="n"/>
      <c r="G19" s="88" t="n"/>
      <c r="H19" s="88" t="n"/>
      <c r="I19" s="96" t="n"/>
      <c r="J19" s="97" t="n"/>
      <c r="K19" s="96" t="n"/>
    </row>
    <row r="20">
      <c r="B20" s="92" t="n"/>
      <c r="E20" s="88" t="n"/>
      <c r="F20" s="88" t="n"/>
      <c r="G20" s="88" t="n"/>
      <c r="H20" s="88" t="n"/>
      <c r="I20" s="96" t="n"/>
      <c r="J20" s="97" t="n"/>
      <c r="K20" s="96" t="n"/>
    </row>
    <row r="21">
      <c r="B21" s="92">
        <f>"お世話になっております。新日本海商事の"&amp;C12&amp;"です。"</f>
        <v/>
      </c>
      <c r="E21" s="88" t="n"/>
      <c r="F21" s="88" t="n"/>
      <c r="G21" s="88" t="n"/>
      <c r="H21" s="88" t="n"/>
      <c r="I21" s="96" t="n"/>
      <c r="J21" s="97" t="n"/>
      <c r="K21" s="96" t="n"/>
    </row>
    <row r="22">
      <c r="B22" s="92">
        <f>"この度はご注文いただきありがとうございます。"</f>
        <v/>
      </c>
      <c r="E22" s="88" t="n"/>
      <c r="F22" s="88" t="n"/>
      <c r="G22" s="88" t="n"/>
      <c r="H22" s="88" t="n"/>
      <c r="I22" s="96" t="n"/>
      <c r="J22" s="97" t="n"/>
      <c r="K22" s="96" t="n"/>
    </row>
    <row r="23">
      <c r="B23" s="92">
        <f>"以下の内容で手配を進めさせていただきます。"</f>
        <v/>
      </c>
      <c r="H23" s="98" t="n"/>
      <c r="I23" s="98" t="n"/>
      <c r="J23" s="99" t="inlineStr">
        <is>
          <t>金額（税抜）</t>
        </is>
      </c>
      <c r="K23" s="99" t="inlineStr">
        <is>
          <t>消費税等</t>
        </is>
      </c>
    </row>
    <row r="24">
      <c r="B24" s="92" t="n"/>
      <c r="H24" s="100" t="n">
        <v>0.08</v>
      </c>
      <c r="I24" s="101" t="inlineStr">
        <is>
          <t>対象 小計:</t>
        </is>
      </c>
      <c r="J24" s="330">
        <f>SUMIF($J$3:$J$22,H24,$K$3:$K$22)</f>
        <v/>
      </c>
      <c r="K24" s="330">
        <f>ROUND(J24*H24,0)</f>
        <v/>
      </c>
    </row>
    <row r="25">
      <c r="B25" s="92">
        <f>"━━━━━━━━━━━━━━━━━━━━"</f>
        <v/>
      </c>
      <c r="H25" s="100" t="n">
        <v>0.1</v>
      </c>
      <c r="I25" s="101" t="inlineStr">
        <is>
          <t>対象 小計:</t>
        </is>
      </c>
      <c r="J25" s="330">
        <f>SUMIF($J$3:$J$22,H25,$K$3:$K$22)</f>
        <v/>
      </c>
      <c r="K25" s="330">
        <f>ROUND(J25*H25,0)</f>
        <v/>
      </c>
    </row>
    <row r="26">
      <c r="B26" s="92">
        <f>"■ご注文内容（見積No. ：EST-SNJ-"&amp;C2&amp;")"</f>
        <v/>
      </c>
      <c r="H26" s="103" t="inlineStr">
        <is>
          <t>非課税</t>
        </is>
      </c>
      <c r="I26" s="101" t="inlineStr">
        <is>
          <t>対象 小計:</t>
        </is>
      </c>
      <c r="J26" s="330">
        <f>SUMIF($J$3:$J$22,H26,$K$3:$K$22)</f>
        <v/>
      </c>
      <c r="K26" s="330" t="n"/>
    </row>
    <row r="27">
      <c r="B27" s="92">
        <f>"━━━━━━━━━━━━━━━━━━━━"</f>
        <v/>
      </c>
      <c r="H27" s="98" t="n"/>
      <c r="I27" s="101" t="inlineStr">
        <is>
          <t>税込合計:</t>
        </is>
      </c>
      <c r="J27" s="331" t="n"/>
      <c r="K27" s="332">
        <f>SUM(J24:K26)</f>
        <v/>
      </c>
    </row>
    <row r="28">
      <c r="B28" s="95">
        <f>"商品名："&amp;C5</f>
        <v/>
      </c>
      <c r="C28" s="127" t="inlineStr">
        <is>
          <t>←商品が複数あるか確認！複数の場合は適宜修正</t>
        </is>
      </c>
    </row>
    <row r="29">
      <c r="B29" s="92">
        <f>"合計金額："&amp;TEXT(K27,"¥#,##0")&amp;"（税込）"</f>
        <v/>
      </c>
    </row>
    <row r="30">
      <c r="B30" s="92" t="n"/>
    </row>
    <row r="31">
      <c r="B31" s="95">
        <f>"■お届け先"</f>
        <v/>
      </c>
      <c r="C31" s="127" t="inlineStr">
        <is>
          <t>←納品先が複数あるか確認！複数の場合は「計○○件（詳細別途）など適宜修正</t>
        </is>
      </c>
    </row>
    <row r="32">
      <c r="B32" s="95">
        <f>""&amp;IF(C6&lt;&gt;0,"〒"&amp;C6,"")</f>
        <v/>
      </c>
    </row>
    <row r="33">
      <c r="B33" s="95">
        <f>""&amp;IF(C7&lt;&gt;0,C7,"")</f>
        <v/>
      </c>
    </row>
    <row r="34">
      <c r="B34" s="95">
        <f>""&amp;IF(C8&lt;&gt;0,C8,"")</f>
        <v/>
      </c>
    </row>
    <row r="35">
      <c r="B35" s="95">
        <f>""&amp;IF(C9&lt;&gt;0,C9,"")</f>
        <v/>
      </c>
    </row>
    <row r="36">
      <c r="B36" s="95">
        <f>""&amp;IF(C10&lt;&gt;0,"TEL: "&amp;C10,"")</f>
        <v/>
      </c>
    </row>
    <row r="37">
      <c r="B37" s="95" t="n"/>
    </row>
    <row r="38">
      <c r="B38" s="92">
        <f>"■ご注文日"</f>
        <v/>
      </c>
    </row>
    <row r="39">
      <c r="B39" s="92">
        <f>TEXT(C13,"yyyy年m月d日")</f>
        <v/>
      </c>
    </row>
    <row r="40">
      <c r="B40" s="92" t="n"/>
    </row>
    <row r="41">
      <c r="B41" s="92">
        <f>"■出荷予定日"</f>
        <v/>
      </c>
    </row>
    <row r="42">
      <c r="B42" s="92">
        <f>TEXT(C14,"yyyy年m月d日")</f>
        <v/>
      </c>
    </row>
    <row r="43">
      <c r="B43" s="92" t="n"/>
    </row>
    <row r="44">
      <c r="B44" s="92">
        <f>"■お支払い条件"</f>
        <v/>
      </c>
    </row>
    <row r="45">
      <c r="B45" s="92">
        <f>C11</f>
        <v/>
      </c>
    </row>
    <row r="46">
      <c r="B46" s="92">
        <f>"━━━━━━━━━━━━━━━━━━━━"</f>
        <v/>
      </c>
    </row>
    <row r="47">
      <c r="B47" s="92">
        <f>"上記内容にご相違がございましたら、"</f>
        <v/>
      </c>
    </row>
    <row r="48">
      <c r="B48" s="92">
        <f>"本日中にご連絡いただけますと幸いです。"</f>
        <v/>
      </c>
    </row>
    <row r="49">
      <c r="B49" s="92" t="inlineStr">
        <is>
          <t>ご連絡なき場合、上記内容にて確定とさせていただきます。</t>
        </is>
      </c>
    </row>
    <row r="50">
      <c r="B50" s="92" t="n"/>
    </row>
    <row r="51">
      <c r="B51" s="93" t="inlineStr">
        <is>
          <t>--</t>
        </is>
      </c>
    </row>
    <row r="52">
      <c r="B52" s="92" t="inlineStr">
        <is>
          <t>新日本海商事株式会社</t>
        </is>
      </c>
    </row>
    <row r="53" ht="18.6" customHeight="1" s="207" thickBot="1">
      <c r="B53" s="94">
        <f>C12</f>
        <v/>
      </c>
    </row>
  </sheetData>
  <pageMargins left="0.7" right="0.7" top="0.75" bottom="0.75" header="0.3" footer="0.3"/>
  <pageSetup orientation="portrait" paperSize="9" scale="45" fitToHeight="0"/>
</worksheet>
</file>

<file path=xl/worksheets/sheet9.xml><?xml version="1.0" encoding="utf-8"?>
<worksheet xmlns="http://schemas.openxmlformats.org/spreadsheetml/2006/main">
  <sheetPr>
    <outlinePr summaryBelow="1" summaryRight="1"/>
    <pageSetUpPr fitToPage="1"/>
  </sheetPr>
  <dimension ref="A1:H54"/>
  <sheetViews>
    <sheetView topLeftCell="A13" zoomScale="55" zoomScaleNormal="55" workbookViewId="0">
      <selection activeCell="A38" sqref="A38"/>
    </sheetView>
  </sheetViews>
  <sheetFormatPr baseColWidth="8" defaultColWidth="9" defaultRowHeight="18"/>
  <cols>
    <col width="12.19921875" customWidth="1" style="124" min="1" max="1"/>
    <col width="52.5" customWidth="1" style="124" min="2" max="2"/>
    <col width="10" customWidth="1" style="124" min="3" max="3"/>
    <col width="8" customWidth="1" style="124" min="4" max="4"/>
    <col width="12" customWidth="1" style="124" min="5" max="5"/>
    <col width="14" customWidth="1" style="124" min="6" max="6"/>
    <col width="21.5" customWidth="1" style="124" min="7" max="7"/>
    <col width="29.8984375" customWidth="1" style="124" min="8" max="8"/>
    <col width="9" customWidth="1" style="124" min="9" max="16384"/>
  </cols>
  <sheetData>
    <row r="1">
      <c r="A1" s="122" t="inlineStr">
        <is>
          <t>ここだけ入力　案件番号:</t>
        </is>
      </c>
      <c r="B1" s="171" t="inlineStr">
        <is>
          <t>2602-1001-A01</t>
        </is>
      </c>
      <c r="C1" s="124" t="n"/>
      <c r="D1" s="125" t="inlineStr">
        <is>
          <t>仕入先コード：</t>
        </is>
      </c>
      <c r="E1" s="124">
        <f>_xlfn.XLOOKUP(B2,テーブル1[仕入先名],テーブル1[仕入先コード],"",0,1)</f>
        <v/>
      </c>
      <c r="G1" s="125" t="n"/>
      <c r="H1" s="38" t="n"/>
    </row>
    <row r="2">
      <c r="A2" s="123" t="inlineStr">
        <is>
          <t>仕入先:</t>
        </is>
      </c>
      <c r="B2" s="126" t="inlineStr">
        <is>
          <t>協栄製茶　壱之庄</t>
        </is>
      </c>
      <c r="C2" s="124" t="n"/>
      <c r="D2" s="124" t="n"/>
      <c r="E2" s="124" t="n"/>
    </row>
    <row r="3" ht="45.75" customHeight="1" s="207">
      <c r="A3" s="281" t="inlineStr">
        <is>
          <t>発　注　書</t>
        </is>
      </c>
    </row>
    <row r="5">
      <c r="G5" s="3" t="inlineStr">
        <is>
          <t>発行日：</t>
        </is>
      </c>
      <c r="H5" s="320">
        <f t="array" ref="H5">_xlfn.XLOOKUP($B$1&amp;B2,tbl_案件追跡[案件番号]&amp;tbl_案件追跡[仕入先],tbl_案件追跡[発注],"",0,1)</f>
        <v/>
      </c>
    </row>
    <row r="6" ht="32.4" customHeight="1" s="207">
      <c r="A6" s="287">
        <f>B2&amp;" 様"</f>
        <v/>
      </c>
      <c r="G6" s="3" t="inlineStr">
        <is>
          <t>発注No. ：</t>
        </is>
      </c>
      <c r="H6" s="3">
        <f>IF(B1="","","POC-SNJ-"&amp;B1&amp;"-"&amp;E1)</f>
        <v/>
      </c>
    </row>
    <row r="7" ht="22.2" customHeight="1" s="207">
      <c r="A7" s="187" t="n"/>
      <c r="F7" s="6" t="n"/>
      <c r="G7" s="7" t="n"/>
      <c r="H7" s="8" t="n"/>
    </row>
    <row r="8">
      <c r="F8" s="9" t="n"/>
      <c r="H8" s="10" t="n"/>
    </row>
    <row r="9">
      <c r="F9" s="11" t="inlineStr">
        <is>
          <t xml:space="preserve">　新日本海商事株式会社</t>
        </is>
      </c>
      <c r="H9" s="10" t="n"/>
    </row>
    <row r="10" ht="18.75" customHeight="1" s="207">
      <c r="F10" s="11" t="inlineStr">
        <is>
          <t xml:space="preserve">　〒530-0001</t>
        </is>
      </c>
      <c r="H10" s="10" t="n"/>
    </row>
    <row r="11" ht="18.75" customHeight="1" s="207">
      <c r="A11" s="124" t="inlineStr">
        <is>
          <t>下記の通り発注いたします。</t>
        </is>
      </c>
      <c r="E11" s="10" t="n"/>
      <c r="F11" s="11" t="inlineStr">
        <is>
          <t xml:space="preserve">　大阪市北区梅田2丁目5番25号</t>
        </is>
      </c>
      <c r="H11" s="10" t="n"/>
    </row>
    <row r="12" ht="18.75" customHeight="1" s="207">
      <c r="A12" s="280">
        <f>"発注金額（税込）　　"&amp;TEXT(H43,"\#,##0")</f>
        <v/>
      </c>
      <c r="E12" s="12" t="n"/>
      <c r="F12" s="11" t="inlineStr">
        <is>
          <t xml:space="preserve">　梅田阪神第1ビル15階（ハービスOSAKA）</t>
        </is>
      </c>
      <c r="H12" s="10" t="n"/>
    </row>
    <row r="13" ht="19.5" customHeight="1" s="207" thickBot="1">
      <c r="A13" s="321" t="n"/>
      <c r="B13" s="321" t="n"/>
      <c r="C13" s="321" t="n"/>
      <c r="D13" s="321" t="n"/>
      <c r="E13" s="12" t="n"/>
      <c r="F13" s="13" t="inlineStr">
        <is>
          <t xml:space="preserve">　TEL: 06-6345-9021</t>
        </is>
      </c>
      <c r="G13" s="14" t="n"/>
      <c r="H13" s="15" t="n"/>
    </row>
    <row r="16" ht="20.25" customHeight="1" s="207">
      <c r="A16" s="204" t="inlineStr">
        <is>
          <t>No</t>
        </is>
      </c>
      <c r="B16" s="204" t="inlineStr">
        <is>
          <t>商品名</t>
        </is>
      </c>
      <c r="C16" s="204" t="inlineStr">
        <is>
          <t>数量</t>
        </is>
      </c>
      <c r="D16" s="204" t="inlineStr">
        <is>
          <t>単位</t>
        </is>
      </c>
      <c r="E16" s="204" t="inlineStr">
        <is>
          <t>単価</t>
        </is>
      </c>
      <c r="F16" s="204" t="inlineStr">
        <is>
          <t>税率</t>
        </is>
      </c>
      <c r="G16" s="204" t="inlineStr">
        <is>
          <t>金額</t>
        </is>
      </c>
      <c r="H16" s="204" t="inlineStr">
        <is>
          <t>備考</t>
        </is>
      </c>
    </row>
    <row r="17" ht="20.25" customHeight="1" s="207">
      <c r="A17" s="16">
        <f t="array" ref="A17:F20">_xlfn._xlws.FILTER(
  CHOOSE({1,2,3,4,5,6},
    tbl_明細[（非表示）仕入No.],
    IF(LEFT(tbl_明細[商品ID],4)&lt;&gt;"PRD_", tbl_明細[商品名（M)], tbl_明細[商品名]),
    IF(LEFT(tbl_明細[商品ID],4)&lt;&gt;"PRD_", tbl_明細[数量（M)], tbl_明細[数量]),
    IF(LEFT(tbl_明細[商品ID],4)&lt;&gt;"PRD_", tbl_明細[単位（M)], tbl_明細[単位]),
    IF(LEFT(tbl_明細[商品ID],4)&lt;&gt;"PRD_", tbl_明細[仕入価格（M)], tbl_明細[仕入価格]),
    IF(LEFT(tbl_明細[商品ID],4)&lt;&gt;"PRD_", tbl_明細[税率（M）],tbl_明細[税率]),
  ),
  (tbl_明細[案件番号]=$B$1)*(tbl_明細[仕入先]=$B$2),
  "該当なし"
)</f>
        <v/>
      </c>
      <c r="B17" s="16" t="inlineStr">
        <is>
          <t>雁の音ほうじ茶壱之棒（ティーバッグ） 45袋</t>
        </is>
      </c>
      <c r="C17" s="55" t="n">
        <v>10</v>
      </c>
      <c r="D17" s="55" t="inlineStr">
        <is>
          <t>パック</t>
        </is>
      </c>
      <c r="E17" s="333" t="n">
        <v>1041</v>
      </c>
      <c r="F17" s="83" t="n">
        <v>0.08</v>
      </c>
      <c r="G17" s="334">
        <f>IF(ISBLANK(B17),"",C17*E17)</f>
        <v/>
      </c>
      <c r="H17" s="16">
        <f t="array" ref="H17">IF(ISBLANK(_xlfn.XLOOKUP($B$1&amp;A17,tbl_明細[案件番号]&amp;tbl_明細[（非表示）仕入No.],tbl_明細[備考（仕入先向け）],"",0,1)),"",_xlfn.XLOOKUP($B$1&amp;A17,tbl_明細[案件番号]&amp;tbl_明細[（非表示）仕入No.],tbl_明細[備考（仕入先向け）],"",0,1))</f>
        <v/>
      </c>
    </row>
    <row r="18" ht="20.25" customHeight="1" s="207">
      <c r="A18" s="16" t="n">
        <v>2</v>
      </c>
      <c r="B18" s="16" t="inlineStr">
        <is>
          <t>送料（京都）</t>
        </is>
      </c>
      <c r="C18" s="55" t="n">
        <v>1</v>
      </c>
      <c r="D18" s="55" t="inlineStr">
        <is>
          <t>式</t>
        </is>
      </c>
      <c r="E18" s="333" t="n">
        <v>700</v>
      </c>
      <c r="F18" s="83" t="n">
        <v>0.1</v>
      </c>
      <c r="G18" s="334">
        <f>IF(ISBLANK(B18),"",C18*E18)</f>
        <v/>
      </c>
      <c r="H18" s="16">
        <f t="array" ref="H18">IF(ISBLANK(_xlfn.XLOOKUP($B$1&amp;A18,tbl_明細[案件番号]&amp;tbl_明細[（非表示）仕入No.],tbl_明細[備考（仕入先向け）],"",0,1)),"",_xlfn.XLOOKUP($B$1&amp;A18,tbl_明細[案件番号]&amp;tbl_明細[（非表示）仕入No.],tbl_明細[備考（仕入先向け）],"",0,1))</f>
        <v/>
      </c>
    </row>
    <row r="19" ht="20.25" customHeight="1" s="207">
      <c r="A19" s="16" t="n">
        <v>3</v>
      </c>
      <c r="B19" s="16" t="inlineStr">
        <is>
          <t>雁の音ほうじ茶壱之棒（ティーバッグ） 45袋</t>
        </is>
      </c>
      <c r="C19" s="55" t="n">
        <v>30</v>
      </c>
      <c r="D19" s="55" t="inlineStr">
        <is>
          <t>パック</t>
        </is>
      </c>
      <c r="E19" s="333" t="n">
        <v>1041</v>
      </c>
      <c r="F19" s="83" t="n">
        <v>0.08</v>
      </c>
      <c r="G19" s="334">
        <f>IF(ISBLANK(B19),"",C19*E19)</f>
        <v/>
      </c>
      <c r="H19" s="16">
        <f t="array" ref="H19">IF(ISBLANK(_xlfn.XLOOKUP($B$1&amp;A19,tbl_明細[案件番号]&amp;tbl_明細[（非表示）仕入No.],tbl_明細[備考（仕入先向け）],"",0,1)),"",_xlfn.XLOOKUP($B$1&amp;A19,tbl_明細[案件番号]&amp;tbl_明細[（非表示）仕入No.],tbl_明細[備考（仕入先向け）],"",0,1))</f>
        <v/>
      </c>
    </row>
    <row r="20" ht="20.25" customHeight="1" s="207">
      <c r="A20" s="16" t="n">
        <v>4</v>
      </c>
      <c r="B20" s="16" t="inlineStr">
        <is>
          <t>送料（福井）</t>
        </is>
      </c>
      <c r="C20" s="55" t="n">
        <v>1</v>
      </c>
      <c r="D20" s="55" t="inlineStr">
        <is>
          <t>式</t>
        </is>
      </c>
      <c r="E20" s="333" t="n">
        <v>850</v>
      </c>
      <c r="F20" s="83" t="n">
        <v>0.1</v>
      </c>
      <c r="G20" s="334">
        <f>IF(ISBLANK(B20),"",C20*E20)</f>
        <v/>
      </c>
      <c r="H20" s="16">
        <f t="array" ref="H20">IF(ISBLANK(_xlfn.XLOOKUP($B$1&amp;A20,tbl_明細[案件番号]&amp;tbl_明細[（非表示）仕入No.],tbl_明細[備考（仕入先向け）],"",0,1)),"",_xlfn.XLOOKUP($B$1&amp;A20,tbl_明細[案件番号]&amp;tbl_明細[（非表示）仕入No.],tbl_明細[備考（仕入先向け）],"",0,1))</f>
        <v/>
      </c>
    </row>
    <row r="21" ht="20.25" customHeight="1" s="207">
      <c r="A21" s="16" t="n"/>
      <c r="B21" s="16" t="n"/>
      <c r="C21" s="55" t="n"/>
      <c r="D21" s="55" t="n"/>
      <c r="E21" s="333" t="n"/>
      <c r="F21" s="83" t="n"/>
      <c r="G21" s="334">
        <f>IF(ISBLANK(B21),"",C21*E21)</f>
        <v/>
      </c>
      <c r="H21" s="16">
        <f t="array" ref="H21">IF(ISBLANK(_xlfn.XLOOKUP($B$1&amp;A21,tbl_明細[案件番号]&amp;tbl_明細[（非表示）仕入No.],tbl_明細[備考（仕入先向け）],"",0,1)),"",_xlfn.XLOOKUP($B$1&amp;A21,tbl_明細[案件番号]&amp;tbl_明細[（非表示）仕入No.],tbl_明細[備考（仕入先向け）],"",0,1))</f>
        <v/>
      </c>
    </row>
    <row r="22" ht="20.25" customHeight="1" s="207">
      <c r="A22" s="16" t="n"/>
      <c r="B22" s="16" t="n"/>
      <c r="C22" s="55" t="n"/>
      <c r="D22" s="55" t="n"/>
      <c r="E22" s="333" t="n"/>
      <c r="F22" s="83" t="n"/>
      <c r="G22" s="334">
        <f>IF(ISBLANK(B22),"",C22*E22)</f>
        <v/>
      </c>
      <c r="H22" s="16">
        <f t="array" ref="H22">IF(ISBLANK(_xlfn.XLOOKUP($B$1&amp;A22,tbl_明細[案件番号]&amp;tbl_明細[（非表示）仕入No.],tbl_明細[備考（仕入先向け）],"",0,1)),"",_xlfn.XLOOKUP($B$1&amp;A22,tbl_明細[案件番号]&amp;tbl_明細[（非表示）仕入No.],tbl_明細[備考（仕入先向け）],"",0,1))</f>
        <v/>
      </c>
    </row>
    <row r="23" ht="20.25" customHeight="1" s="207">
      <c r="A23" s="16" t="n"/>
      <c r="B23" s="16" t="n"/>
      <c r="C23" s="55" t="n"/>
      <c r="D23" s="55" t="n"/>
      <c r="E23" s="333" t="n"/>
      <c r="F23" s="83" t="n"/>
      <c r="G23" s="334">
        <f>IF(ISBLANK(B23),"",C23*E23)</f>
        <v/>
      </c>
      <c r="H23" s="16">
        <f t="array" ref="H23">IF(ISBLANK(_xlfn.XLOOKUP($B$1&amp;A23,tbl_明細[案件番号]&amp;tbl_明細[（非表示）仕入No.],tbl_明細[備考（仕入先向け）],"",0,1)),"",_xlfn.XLOOKUP($B$1&amp;A23,tbl_明細[案件番号]&amp;tbl_明細[（非表示）仕入No.],tbl_明細[備考（仕入先向け）],"",0,1))</f>
        <v/>
      </c>
    </row>
    <row r="24" ht="20.25" customHeight="1" s="207">
      <c r="A24" s="16" t="n"/>
      <c r="B24" s="16" t="n"/>
      <c r="C24" s="55" t="n"/>
      <c r="D24" s="55" t="n"/>
      <c r="E24" s="333" t="n"/>
      <c r="F24" s="83" t="n"/>
      <c r="G24" s="334">
        <f>IF(ISBLANK(B24),"",C24*E24)</f>
        <v/>
      </c>
      <c r="H24" s="16">
        <f t="array" ref="H24">IF(ISBLANK(_xlfn.XLOOKUP($B$1&amp;A24,tbl_明細[案件番号]&amp;tbl_明細[（非表示）仕入No.],tbl_明細[備考（仕入先向け）],"",0,1)),"",_xlfn.XLOOKUP($B$1&amp;A24,tbl_明細[案件番号]&amp;tbl_明細[（非表示）仕入No.],tbl_明細[備考（仕入先向け）],"",0,1))</f>
        <v/>
      </c>
    </row>
    <row r="25" ht="20.25" customHeight="1" s="207">
      <c r="A25" s="16" t="n"/>
      <c r="B25" s="16" t="n"/>
      <c r="C25" s="55" t="n"/>
      <c r="D25" s="55" t="n"/>
      <c r="E25" s="333" t="n"/>
      <c r="F25" s="83" t="n"/>
      <c r="G25" s="334">
        <f>IF(ISBLANK(B25),"",C25*E25)</f>
        <v/>
      </c>
      <c r="H25" s="16">
        <f t="array" ref="H25">IF(ISBLANK(_xlfn.XLOOKUP($B$1&amp;A25,tbl_明細[案件番号]&amp;tbl_明細[（非表示）仕入No.],tbl_明細[備考（仕入先向け）],"",0,1)),"",_xlfn.XLOOKUP($B$1&amp;A25,tbl_明細[案件番号]&amp;tbl_明細[（非表示）仕入No.],tbl_明細[備考（仕入先向け）],"",0,1))</f>
        <v/>
      </c>
    </row>
    <row r="26" ht="20.25" customHeight="1" s="207">
      <c r="A26" s="16" t="n"/>
      <c r="B26" s="16" t="n"/>
      <c r="C26" s="55" t="n"/>
      <c r="D26" s="55" t="n"/>
      <c r="E26" s="333" t="n"/>
      <c r="F26" s="83" t="n"/>
      <c r="G26" s="334">
        <f>IF(ISBLANK(B26),"",C26*E26)</f>
        <v/>
      </c>
      <c r="H26" s="16">
        <f t="array" ref="H26">IF(ISBLANK(_xlfn.XLOOKUP($B$1&amp;A26,tbl_明細[案件番号]&amp;tbl_明細[（非表示）仕入No.],tbl_明細[備考（仕入先向け）],"",0,1)),"",_xlfn.XLOOKUP($B$1&amp;A26,tbl_明細[案件番号]&amp;tbl_明細[（非表示）仕入No.],tbl_明細[備考（仕入先向け）],"",0,1))</f>
        <v/>
      </c>
    </row>
    <row r="27" ht="20.25" customHeight="1" s="207">
      <c r="A27" s="16" t="n"/>
      <c r="B27" s="16" t="n"/>
      <c r="C27" s="55" t="n"/>
      <c r="D27" s="55" t="n"/>
      <c r="E27" s="333" t="n"/>
      <c r="F27" s="83" t="n"/>
      <c r="G27" s="334">
        <f>IF(ISBLANK(B27),"",C27*E27)</f>
        <v/>
      </c>
      <c r="H27" s="16">
        <f t="array" ref="H27">IF(ISBLANK(_xlfn.XLOOKUP($B$1&amp;A27,tbl_明細[案件番号]&amp;tbl_明細[（非表示）仕入No.],tbl_明細[備考（仕入先向け）],"",0,1)),"",_xlfn.XLOOKUP($B$1&amp;A27,tbl_明細[案件番号]&amp;tbl_明細[（非表示）仕入No.],tbl_明細[備考（仕入先向け）],"",0,1))</f>
        <v/>
      </c>
    </row>
    <row r="28" ht="20.25" customHeight="1" s="207">
      <c r="A28" s="16" t="n"/>
      <c r="B28" s="16" t="n"/>
      <c r="C28" s="55" t="n"/>
      <c r="D28" s="55" t="n"/>
      <c r="E28" s="333" t="n"/>
      <c r="F28" s="83" t="n"/>
      <c r="G28" s="334">
        <f>IF(ISBLANK(B28),"",C28*E28)</f>
        <v/>
      </c>
      <c r="H28" s="16">
        <f t="array" ref="H28">IF(ISBLANK(_xlfn.XLOOKUP($B$1&amp;A28,tbl_明細[案件番号]&amp;tbl_明細[（非表示）仕入No.],tbl_明細[備考（仕入先向け）],"",0,1)),"",_xlfn.XLOOKUP($B$1&amp;A28,tbl_明細[案件番号]&amp;tbl_明細[（非表示）仕入No.],tbl_明細[備考（仕入先向け）],"",0,1))</f>
        <v/>
      </c>
    </row>
    <row r="29" ht="20.25" customHeight="1" s="207">
      <c r="A29" s="16" t="n"/>
      <c r="B29" s="16" t="n"/>
      <c r="C29" s="55" t="n"/>
      <c r="D29" s="55" t="n"/>
      <c r="E29" s="333" t="n"/>
      <c r="F29" s="83" t="n"/>
      <c r="G29" s="334">
        <f>IF(ISBLANK(B29),"",C29*E29)</f>
        <v/>
      </c>
      <c r="H29" s="16">
        <f t="array" ref="H29">IF(ISBLANK(_xlfn.XLOOKUP($B$1&amp;A29,tbl_明細[案件番号]&amp;tbl_明細[（非表示）仕入No.],tbl_明細[備考（仕入先向け）],"",0,1)),"",_xlfn.XLOOKUP($B$1&amp;A29,tbl_明細[案件番号]&amp;tbl_明細[（非表示）仕入No.],tbl_明細[備考（仕入先向け）],"",0,1))</f>
        <v/>
      </c>
    </row>
    <row r="30" ht="20.25" customHeight="1" s="207">
      <c r="A30" s="16" t="n"/>
      <c r="B30" s="16" t="n"/>
      <c r="C30" s="55" t="n"/>
      <c r="D30" s="55" t="n"/>
      <c r="E30" s="333" t="n"/>
      <c r="F30" s="83" t="n"/>
      <c r="G30" s="334">
        <f>IF(ISBLANK(B30),"",C30*E30)</f>
        <v/>
      </c>
      <c r="H30" s="16">
        <f t="array" ref="H30">IF(ISBLANK(_xlfn.XLOOKUP($B$1&amp;A30,tbl_明細[案件番号]&amp;tbl_明細[（非表示）仕入No.],tbl_明細[備考（仕入先向け）],"",0,1)),"",_xlfn.XLOOKUP($B$1&amp;A30,tbl_明細[案件番号]&amp;tbl_明細[（非表示）仕入No.],tbl_明細[備考（仕入先向け）],"",0,1))</f>
        <v/>
      </c>
    </row>
    <row r="31" ht="20.25" customHeight="1" s="207">
      <c r="A31" s="16" t="n"/>
      <c r="B31" s="16" t="n"/>
      <c r="C31" s="55" t="n"/>
      <c r="D31" s="55" t="n"/>
      <c r="E31" s="333" t="n"/>
      <c r="F31" s="83" t="n"/>
      <c r="G31" s="334">
        <f>IF(ISBLANK(B31),"",C31*E31)</f>
        <v/>
      </c>
      <c r="H31" s="16">
        <f t="array" ref="H31">IF(ISBLANK(_xlfn.XLOOKUP($B$1&amp;A31,tbl_明細[案件番号]&amp;tbl_明細[（非表示）仕入No.],tbl_明細[備考（仕入先向け）],"",0,1)),"",_xlfn.XLOOKUP($B$1&amp;A31,tbl_明細[案件番号]&amp;tbl_明細[（非表示）仕入No.],tbl_明細[備考（仕入先向け）],"",0,1))</f>
        <v/>
      </c>
    </row>
    <row r="32" ht="20.25" customHeight="1" s="207">
      <c r="A32" s="16" t="n"/>
      <c r="B32" s="16" t="n"/>
      <c r="C32" s="55" t="n"/>
      <c r="D32" s="55" t="n"/>
      <c r="E32" s="333" t="n"/>
      <c r="F32" s="83" t="n"/>
      <c r="G32" s="334">
        <f>IF(ISBLANK(B32),"",C32*E32)</f>
        <v/>
      </c>
      <c r="H32" s="16">
        <f t="array" ref="H32">IF(ISBLANK(_xlfn.XLOOKUP($B$1&amp;A32,tbl_明細[案件番号]&amp;tbl_明細[（非表示）仕入No.],tbl_明細[備考（仕入先向け）],"",0,1)),"",_xlfn.XLOOKUP($B$1&amp;A32,tbl_明細[案件番号]&amp;tbl_明細[（非表示）仕入No.],tbl_明細[備考（仕入先向け）],"",0,1))</f>
        <v/>
      </c>
    </row>
    <row r="33" ht="20.25" customHeight="1" s="207">
      <c r="A33" s="16" t="n"/>
      <c r="B33" s="16" t="n"/>
      <c r="C33" s="55" t="n"/>
      <c r="D33" s="55" t="n"/>
      <c r="E33" s="333" t="n"/>
      <c r="F33" s="83" t="n"/>
      <c r="G33" s="334">
        <f>IF(ISBLANK(B33),"",C33*E33)</f>
        <v/>
      </c>
      <c r="H33" s="16">
        <f t="array" ref="H33">IF(ISBLANK(_xlfn.XLOOKUP($B$1&amp;A33,tbl_明細[案件番号]&amp;tbl_明細[（非表示）仕入No.],tbl_明細[備考（仕入先向け）],"",0,1)),"",_xlfn.XLOOKUP($B$1&amp;A33,tbl_明細[案件番号]&amp;tbl_明細[（非表示）仕入No.],tbl_明細[備考（仕入先向け）],"",0,1))</f>
        <v/>
      </c>
    </row>
    <row r="34" ht="20.25" customHeight="1" s="207">
      <c r="A34" s="16" t="n"/>
      <c r="B34" s="16" t="n"/>
      <c r="C34" s="55" t="n"/>
      <c r="D34" s="55" t="n"/>
      <c r="E34" s="333" t="n"/>
      <c r="F34" s="83" t="n"/>
      <c r="G34" s="334">
        <f>IF(ISBLANK(B34),"",C34*E34)</f>
        <v/>
      </c>
      <c r="H34" s="16">
        <f t="array" ref="H34">IF(ISBLANK(_xlfn.XLOOKUP($B$1&amp;A34,tbl_明細[案件番号]&amp;tbl_明細[（非表示）仕入No.],tbl_明細[備考（仕入先向け）],"",0,1)),"",_xlfn.XLOOKUP($B$1&amp;A34,tbl_明細[案件番号]&amp;tbl_明細[（非表示）仕入No.],tbl_明細[備考（仕入先向け）],"",0,1))</f>
        <v/>
      </c>
    </row>
    <row r="35" ht="20.25" customHeight="1" s="207">
      <c r="A35" s="16" t="n"/>
      <c r="B35" s="16" t="n"/>
      <c r="C35" s="55" t="n"/>
      <c r="D35" s="55" t="n"/>
      <c r="E35" s="333" t="n"/>
      <c r="F35" s="83" t="n"/>
      <c r="G35" s="334">
        <f>IF(ISBLANK(B35),"",C35*E35)</f>
        <v/>
      </c>
      <c r="H35" s="16">
        <f t="array" ref="H35">IF(ISBLANK(_xlfn.XLOOKUP($B$1&amp;A35,tbl_明細[案件番号]&amp;tbl_明細[（非表示）仕入No.],tbl_明細[備考（仕入先向け）],"",0,1)),"",_xlfn.XLOOKUP($B$1&amp;A35,tbl_明細[案件番号]&amp;tbl_明細[（非表示）仕入No.],tbl_明細[備考（仕入先向け）],"",0,1))</f>
        <v/>
      </c>
    </row>
    <row r="36" ht="20.25" customHeight="1" s="207">
      <c r="A36" s="16" t="n"/>
      <c r="B36" s="16" t="n"/>
      <c r="C36" s="55" t="n"/>
      <c r="D36" s="55" t="n"/>
      <c r="E36" s="333" t="n"/>
      <c r="F36" s="83" t="n"/>
      <c r="G36" s="334">
        <f>IF(ISBLANK(B36),"",C36*E36)</f>
        <v/>
      </c>
      <c r="H36" s="16">
        <f t="array" ref="H36">IF(ISBLANK(_xlfn.XLOOKUP($B$1&amp;A36,tbl_明細[案件番号]&amp;tbl_明細[（非表示）仕入No.],tbl_明細[備考（仕入先向け）],"",0,1)),"",_xlfn.XLOOKUP($B$1&amp;A36,tbl_明細[案件番号]&amp;tbl_明細[（非表示）仕入No.],tbl_明細[備考（仕入先向け）],"",0,1))</f>
        <v/>
      </c>
    </row>
    <row r="37" ht="26.4" customFormat="1" customHeight="1" s="23">
      <c r="A37" s="19" t="n"/>
      <c r="B37" s="19" t="n"/>
      <c r="C37" s="19" t="n"/>
      <c r="D37" s="19" t="n"/>
      <c r="E37" s="19" t="n"/>
      <c r="F37" s="20" t="inlineStr">
        <is>
          <t>税抜合計:</t>
        </is>
      </c>
      <c r="G37" s="335">
        <f>SUM(G17:G36)</f>
        <v/>
      </c>
      <c r="H37" s="22" t="n"/>
    </row>
    <row r="38" ht="26.4" customFormat="1" customHeight="1" s="23">
      <c r="A38" s="187">
        <f>IF(_xlfn.XLOOKUP($B$1,tbl_案件追跡[案件番号],tbl_案件追跡[納品先　郵便番号],"",0,1) = "", "納品先：別途", "納品先：〒"&amp;_xlfn.XLOOKUP($B$1,tbl_案件追跡[案件番号],tbl_案件追跡[納品先　郵便番号],"",0,1))</f>
        <v/>
      </c>
      <c r="C38" s="187" t="n"/>
      <c r="D38" s="187" t="n"/>
      <c r="E38" s="187" t="n"/>
      <c r="F38" s="24" t="n"/>
      <c r="G38" s="336" t="n"/>
      <c r="H38" s="187" t="n"/>
    </row>
    <row r="39" ht="26.4" customFormat="1" customHeight="1" s="23">
      <c r="A39" s="187">
        <f>IF(ISBLANK(_xlfn.XLOOKUP($B$1,tbl_案件追跡[案件番号],tbl_案件追跡[納品先　住所1行目],"",0,1)),"",_xlfn.XLOOKUP($B$1,tbl_案件追跡[案件番号],tbl_案件追跡[納品先　住所1行目],"",0,1))</f>
        <v/>
      </c>
      <c r="C39" s="187" t="n"/>
      <c r="D39" s="187" t="n"/>
      <c r="E39" s="187" t="n"/>
      <c r="F39" s="187" t="n"/>
      <c r="G39" s="26" t="inlineStr">
        <is>
          <t>金額（税抜）</t>
        </is>
      </c>
      <c r="H39" s="26" t="inlineStr">
        <is>
          <t>消費税等</t>
        </is>
      </c>
    </row>
    <row r="40" ht="26.4" customFormat="1" customHeight="1" s="23">
      <c r="A40" s="187">
        <f>IF(ISBLANK(_xlfn.XLOOKUP($B$1,tbl_案件追跡[案件番号],tbl_案件追跡[納品先　住所2行目],"",0,1)),"",_xlfn.XLOOKUP($B$1,tbl_案件追跡[案件番号],tbl_案件追跡[納品先　住所2行目],"",0,1))</f>
        <v/>
      </c>
      <c r="C40" s="187" t="n"/>
      <c r="D40" s="187" t="n"/>
      <c r="E40" s="28" t="n">
        <v>0.08</v>
      </c>
      <c r="F40" s="24" t="inlineStr">
        <is>
          <t>対象 小計:</t>
        </is>
      </c>
      <c r="G40" s="326">
        <f>SUMIF($F$17:$F$36,E40,$G$17:$G$36)</f>
        <v/>
      </c>
      <c r="H40" s="326">
        <f>ROUND(G40*E40,0)</f>
        <v/>
      </c>
    </row>
    <row r="41" ht="26.4" customFormat="1" customHeight="1" s="23">
      <c r="A41" s="187">
        <f>IF(ISBLANK(_xlfn.XLOOKUP($B$1,tbl_案件追跡[案件番号],tbl_案件追跡[納品先　社名・担当者名],"",0,1)),"",_xlfn.XLOOKUP($B$1,tbl_案件追跡[案件番号],tbl_案件追跡[納品先　社名・担当者名],"",0,1))</f>
        <v/>
      </c>
      <c r="B41" s="27" t="n"/>
      <c r="C41" s="187" t="n"/>
      <c r="D41" s="187" t="n"/>
      <c r="E41" s="28" t="n">
        <v>0.1</v>
      </c>
      <c r="F41" s="24" t="inlineStr">
        <is>
          <t>対象 小計:</t>
        </is>
      </c>
      <c r="G41" s="326">
        <f>SUMIF($F$17:$F$36,E41,$G$17:$G$36)</f>
        <v/>
      </c>
      <c r="H41" s="326">
        <f>ROUND(G41*E41,0)</f>
        <v/>
      </c>
    </row>
    <row r="42" ht="26.4" customFormat="1" customHeight="1" s="23">
      <c r="A42" s="187">
        <f>IF(_xlfn.XLOOKUP($B$1,tbl_案件追跡[案件番号],tbl_案件追跡[納品先　郵便番号],"",0,1) = "", "", "TEL : "&amp;IF(ISBLANK(_xlfn.XLOOKUP($B$1,tbl_案件追跡[案件番号],tbl_案件追跡[納品先　電話番号],"",0,1)),"",_xlfn.XLOOKUP($B$1,tbl_案件追跡[案件番号],tbl_案件追跡[納品先　電話番号],"",0,1)))</f>
        <v/>
      </c>
      <c r="B42" s="27" t="n"/>
      <c r="C42" s="187" t="n"/>
      <c r="D42" s="187" t="n"/>
      <c r="E42" s="29" t="inlineStr">
        <is>
          <t>非課税</t>
        </is>
      </c>
      <c r="F42" s="24" t="inlineStr">
        <is>
          <t>対象 小計:</t>
        </is>
      </c>
      <c r="G42" s="326">
        <f>SUMIF($F$17:$F$36,E42,$G$17:$G$36)</f>
        <v/>
      </c>
      <c r="H42" s="326" t="n"/>
    </row>
    <row r="43" ht="26.4" customFormat="1" customHeight="1" s="23">
      <c r="A43" s="27" t="n"/>
      <c r="B43" s="27" t="n"/>
      <c r="C43" s="187" t="n"/>
      <c r="D43" s="187" t="n"/>
      <c r="E43" s="187" t="n"/>
      <c r="F43" s="24" t="inlineStr">
        <is>
          <t>税込合計:</t>
        </is>
      </c>
      <c r="G43" s="337" t="n"/>
      <c r="H43" s="338">
        <f>SUM(G40:H42)</f>
        <v/>
      </c>
    </row>
    <row r="45" ht="22.2" customHeight="1" s="207">
      <c r="A45" s="32" t="inlineStr">
        <is>
          <t>備考欄：</t>
        </is>
      </c>
    </row>
    <row r="46" ht="22.2" customHeight="1" s="207">
      <c r="A46" s="56">
        <f>"希望出荷日："&amp;TEXT(_xlfn.XLOOKUP($B$1,tbl_案件追跡[案件番号],tbl_案件追跡[出荷予定],"",0,1),"YYYY年M月D日")</f>
        <v/>
      </c>
      <c r="B46" s="57" t="n"/>
      <c r="C46" s="57" t="n"/>
      <c r="D46" s="57" t="n"/>
      <c r="E46" s="57" t="n"/>
      <c r="F46" s="57" t="n"/>
      <c r="G46" s="57" t="n"/>
      <c r="H46" s="58" t="n"/>
    </row>
    <row r="47" ht="22.2" customHeight="1" s="207">
      <c r="A47" s="59" t="inlineStr">
        <is>
          <t>価格の入った納品書は同梱せず、弊社までお送りください。</t>
        </is>
      </c>
      <c r="B47" s="187" t="n"/>
      <c r="C47" s="187" t="n"/>
      <c r="D47" s="187" t="n"/>
      <c r="E47" s="187" t="n"/>
      <c r="F47" s="187" t="n"/>
      <c r="G47" s="187" t="n"/>
      <c r="H47" s="60" t="n"/>
    </row>
    <row r="48" ht="22.2" customHeight="1" s="207">
      <c r="A48" s="59" t="inlineStr">
        <is>
          <t>注文を受領いただける場合、ご承諾の旨と出荷予定日・着荷予定日をお知らせください。出荷されましたら、送り状の追跡番号をお知らせください。</t>
        </is>
      </c>
      <c r="B48" s="187" t="n"/>
      <c r="C48" s="187" t="n"/>
      <c r="D48" s="187" t="n"/>
      <c r="E48" s="187" t="n"/>
      <c r="F48" s="187" t="n"/>
      <c r="G48" s="187" t="n"/>
      <c r="H48" s="60" t="n"/>
    </row>
    <row r="49" ht="22.2" customHeight="1" s="207">
      <c r="A49" s="33" t="n"/>
      <c r="B49" s="187" t="n"/>
      <c r="C49" s="187" t="n"/>
      <c r="D49" s="187" t="n"/>
      <c r="E49" s="187" t="n"/>
      <c r="F49" s="187" t="n"/>
      <c r="G49" s="187" t="n"/>
      <c r="H49" s="60" t="n"/>
    </row>
    <row r="50" ht="22.2" customHeight="1" s="207">
      <c r="A50" s="33" t="n"/>
      <c r="B50" s="187" t="n"/>
      <c r="C50" s="187" t="n"/>
      <c r="D50" s="187" t="n"/>
      <c r="E50" s="187" t="n"/>
      <c r="F50" s="187" t="n"/>
      <c r="G50" s="187" t="n"/>
      <c r="H50" s="60" t="n"/>
    </row>
    <row r="51" ht="22.2" customHeight="1" s="207">
      <c r="A51" s="33" t="n"/>
      <c r="B51" s="187" t="n"/>
      <c r="C51" s="187" t="n"/>
      <c r="D51" s="187" t="n"/>
      <c r="E51" s="187" t="n"/>
      <c r="F51" s="187" t="n"/>
      <c r="G51" s="187" t="n"/>
      <c r="H51" s="60" t="n"/>
    </row>
    <row r="52" ht="22.2" customHeight="1" s="207">
      <c r="A52" s="186" t="n"/>
      <c r="B52" s="187" t="n"/>
      <c r="C52" s="187" t="n"/>
      <c r="D52" s="187" t="n"/>
      <c r="E52" s="187" t="n"/>
      <c r="F52" s="187" t="n"/>
      <c r="G52" s="187" t="n"/>
      <c r="H52" s="60" t="n"/>
    </row>
    <row r="53" ht="22.2" customHeight="1" s="207">
      <c r="A53" s="185" t="inlineStr">
        <is>
          <t>【賞味期限条件】 納品時の残存期間を下記のとおり確保願います（消費期限表示品は別途協議）。本発注書の受領をもってご同意いただいたものとします。</t>
        </is>
      </c>
      <c r="B53" s="187" t="n"/>
      <c r="C53" s="187" t="n"/>
      <c r="D53" s="187" t="n"/>
      <c r="E53" s="187" t="n"/>
      <c r="F53" s="187" t="n"/>
      <c r="G53" s="187" t="n"/>
      <c r="H53" s="60" t="n"/>
    </row>
    <row r="54" ht="22.2" customHeight="1" s="207">
      <c r="A54" s="188" t="inlineStr">
        <is>
          <t>小売・卸・海外向け：常温・冷蔵 2/3以上、冷凍 1/2以上　国内外食向け：全温度帯 1/2以上</t>
        </is>
      </c>
      <c r="B54" s="61" t="n"/>
      <c r="C54" s="61" t="n"/>
      <c r="D54" s="61" t="n"/>
      <c r="E54" s="61" t="n"/>
      <c r="F54" s="61" t="n"/>
      <c r="G54" s="61" t="n"/>
      <c r="H54" s="62" t="n"/>
    </row>
  </sheetData>
  <mergeCells count="2">
    <mergeCell ref="A3:H3"/>
    <mergeCell ref="A12:D13"/>
  </mergeCells>
  <conditionalFormatting sqref="H5">
    <cfRule type="cellIs" priority="1" operator="equal" dxfId="0">
      <formula>0</formula>
    </cfRule>
  </conditionalFormatting>
  <pageMargins left="0.25" right="0.25" top="0.75" bottom="0.75" header="0.3" footer="0.3"/>
  <pageSetup orientation="portrait" paperSize="9" scale="57"/>
  <drawing xmlns:r="http://schemas.openxmlformats.org/officeDocument/2006/relationships" r:id="rId1"/>
</worksheet>
</file>

<file path=xl/worksheets/sheet10.xml><?xml version="1.0" encoding="utf-8"?>
<worksheet xmlns="http://schemas.openxmlformats.org/spreadsheetml/2006/main">
  <sheetPr>
    <outlinePr summaryBelow="1" summaryRight="1"/>
    <pageSetUpPr fitToPage="1"/>
  </sheetPr>
  <dimension ref="A1:I54"/>
  <sheetViews>
    <sheetView topLeftCell="A30" workbookViewId="0">
      <selection activeCell="I41" sqref="I41"/>
    </sheetView>
  </sheetViews>
  <sheetFormatPr baseColWidth="8" defaultColWidth="9" defaultRowHeight="15.75" customHeight="1"/>
  <cols>
    <col width="36" bestFit="1" customWidth="1" style="124" min="1" max="1"/>
    <col width="12.19921875" customWidth="1" style="124" min="2" max="2"/>
    <col width="39.69921875" customWidth="1" style="124" min="3" max="3"/>
    <col width="10" customWidth="1" style="124" min="4" max="4"/>
    <col width="8" customWidth="1" style="124" min="5" max="5"/>
    <col width="12" customWidth="1" style="124" min="6" max="6"/>
    <col width="14" customWidth="1" style="124" min="7" max="7"/>
    <col width="21.5" customWidth="1" style="124" min="8" max="8"/>
    <col width="24.19921875" customWidth="1" style="124" min="9" max="9"/>
    <col width="9" customWidth="1" style="124" min="10" max="16384"/>
  </cols>
  <sheetData>
    <row r="1" ht="18" customHeight="1" s="207">
      <c r="B1" s="122" t="inlineStr">
        <is>
          <t>ここだけ入力　案件番号:</t>
        </is>
      </c>
      <c r="C1" s="171" t="inlineStr">
        <is>
          <t>2602-1002-K01</t>
        </is>
      </c>
    </row>
    <row r="3" ht="45.75" customHeight="1" s="207">
      <c r="B3" s="283" t="inlineStr">
        <is>
          <t>納　品　書</t>
        </is>
      </c>
    </row>
    <row r="5" ht="18" customHeight="1" s="207">
      <c r="H5" s="3" t="inlineStr">
        <is>
          <t>発行日：</t>
        </is>
      </c>
      <c r="I5" s="320">
        <f>_xlfn.XLOOKUP($C$1,tbl_案件追跡[案件番号],tbl_案件追跡[着荷],"",0,1)</f>
        <v/>
      </c>
    </row>
    <row r="6" ht="26.4" customHeight="1" s="207">
      <c r="A6" s="65" t="n"/>
      <c r="B6" s="49">
        <f>_xlfn.XLOOKUP($C$1,tbl_明細[案件番号],tbl_明細[顧客名],"",0,1)&amp;" 御中"</f>
        <v/>
      </c>
      <c r="H6" s="3" t="inlineStr">
        <is>
          <t>納品書No. ：</t>
        </is>
      </c>
      <c r="I6" s="3">
        <f>"DEL-SNJ-"&amp;C1</f>
        <v/>
      </c>
    </row>
    <row r="7" ht="22.2" customHeight="1" s="207">
      <c r="B7" s="187" t="n"/>
      <c r="G7" s="6" t="n"/>
      <c r="H7" s="7" t="n"/>
      <c r="I7" s="8" t="n"/>
    </row>
    <row r="8" ht="18" customHeight="1" s="207">
      <c r="G8" s="9" t="n"/>
      <c r="I8" s="10" t="n"/>
    </row>
    <row r="9" ht="18" customHeight="1" s="207">
      <c r="G9" s="11" t="inlineStr">
        <is>
          <t xml:space="preserve">　新日本海商事株式会社</t>
        </is>
      </c>
      <c r="I9" s="10" t="n"/>
    </row>
    <row r="10" ht="18.75" customHeight="1" s="207">
      <c r="B10" s="124" t="inlineStr">
        <is>
          <t>平素よりお世話になっております。</t>
        </is>
      </c>
      <c r="G10" s="11" t="inlineStr">
        <is>
          <t xml:space="preserve">　〒530-0001</t>
        </is>
      </c>
      <c r="I10" s="10" t="n"/>
    </row>
    <row r="11" ht="18.75" customHeight="1" s="207">
      <c r="B11" s="124" t="inlineStr">
        <is>
          <t>下記の通りご納品いたしました。</t>
        </is>
      </c>
      <c r="F11" s="10" t="n"/>
      <c r="G11" s="11" t="inlineStr">
        <is>
          <t xml:space="preserve">　大阪市北区梅田2丁目5番25号</t>
        </is>
      </c>
      <c r="I11" s="10" t="n"/>
    </row>
    <row r="12" ht="18.75" customHeight="1" s="207">
      <c r="B12" s="280">
        <f>"納品金額（税込）　　"&amp;TEXT(I43,"\#,##0")</f>
        <v/>
      </c>
      <c r="F12" s="12" t="n"/>
      <c r="G12" s="11" t="inlineStr">
        <is>
          <t xml:space="preserve">　梅田阪神第1ビル15階（ハービスOSAKA）</t>
        </is>
      </c>
      <c r="I12" s="10" t="n"/>
    </row>
    <row r="13" ht="19.5" customHeight="1" s="207">
      <c r="B13" s="321" t="n"/>
      <c r="C13" s="321" t="n"/>
      <c r="D13" s="321" t="n"/>
      <c r="E13" s="321" t="n"/>
      <c r="F13" s="12" t="n"/>
      <c r="G13" s="13" t="inlineStr">
        <is>
          <t xml:space="preserve">　TEL: 06-6345-9021</t>
        </is>
      </c>
      <c r="H13" s="14" t="n"/>
      <c r="I13" s="15" t="n"/>
    </row>
    <row r="16" ht="20.25" customHeight="1" s="207">
      <c r="B16" s="205" t="inlineStr">
        <is>
          <t>No</t>
        </is>
      </c>
      <c r="C16" s="205" t="inlineStr">
        <is>
          <t>商品名</t>
        </is>
      </c>
      <c r="D16" s="205" t="inlineStr">
        <is>
          <t>数量</t>
        </is>
      </c>
      <c r="E16" s="205" t="inlineStr">
        <is>
          <t>単位</t>
        </is>
      </c>
      <c r="F16" s="205" t="inlineStr">
        <is>
          <t>単価</t>
        </is>
      </c>
      <c r="G16" s="205" t="inlineStr">
        <is>
          <t>税率</t>
        </is>
      </c>
      <c r="H16" s="205" t="inlineStr">
        <is>
          <t>金額</t>
        </is>
      </c>
      <c r="I16" s="205" t="inlineStr">
        <is>
          <t>備考</t>
        </is>
      </c>
    </row>
    <row r="17" ht="20.25" customHeight="1" s="207">
      <c r="A17" s="50" t="n"/>
      <c r="B17" s="16">
        <f t="array" ref="B17:G24">_xlfn._xlws.FILTER(
  CHOOSE({1,2,3,4,5,6},
    tbl_明細[No],
    IF(LEFT(tbl_明細[商品ID],4)&lt;&gt;"PRD_", tbl_明細[商品名（M)], tbl_明細[商品名]),
    IF(LEFT(tbl_明細[商品ID],4)&lt;&gt;"PRD_", tbl_明細[数量（M)], tbl_明細[数量]),
    IF(LEFT(tbl_明細[商品ID],4)&lt;&gt;"PRD_", tbl_明細[単位（M)], tbl_明細[単位]),
    IF(LEFT(tbl_明細[商品ID],4)&lt;&gt;"PRD_", tbl_明細[販売価格（M)], tbl_明細[販売価格（売値）]),
    IF(LEFT(tbl_明細[商品ID],4)&lt;&gt;"PRD_", tbl_明細[税率（M）],tbl_明細[税率])
  ),
  (tbl_明細[案件番号]=$C$1)*(tbl_明細[(非表示）販売価格の和] &gt; 0),
  "該当なし"
)</f>
        <v/>
      </c>
      <c r="C17" s="46" t="inlineStr">
        <is>
          <t>レトルトとうもろこし</t>
        </is>
      </c>
      <c r="D17" s="16" t="n">
        <v>60</v>
      </c>
      <c r="E17" s="16" t="inlineStr">
        <is>
          <t>本</t>
        </is>
      </c>
      <c r="F17" s="339" t="n">
        <v>366.6666666666666</v>
      </c>
      <c r="G17" s="51" t="n">
        <v>0.08</v>
      </c>
      <c r="H17" s="323">
        <f>IF(ISBLANK(C17),"",D17*F17)</f>
        <v/>
      </c>
      <c r="I17" s="16">
        <f t="array" ref="I17">IF(ISBLANK(_xlfn.XLOOKUP($C$1&amp;B17,tbl_明細[案件番号]&amp;tbl_明細[No],tbl_明細[備考（顧客向け）],"",0,1)),"",_xlfn.XLOOKUP($C$1&amp;B17,tbl_明細[案件番号]&amp;tbl_明細[No],tbl_明細[備考（顧客向け）],"",0,1))</f>
        <v/>
      </c>
    </row>
    <row r="18" ht="20.25" customHeight="1" s="207">
      <c r="A18" s="50" t="n"/>
      <c r="B18" s="16" t="n">
        <v>2</v>
      </c>
      <c r="C18" s="46" t="inlineStr">
        <is>
          <t>オホーツク流氷ラーメン 　 かに（2食入り）</t>
        </is>
      </c>
      <c r="D18" s="16" t="n">
        <v>16</v>
      </c>
      <c r="E18" s="16" t="inlineStr">
        <is>
          <t>袋</t>
        </is>
      </c>
      <c r="F18" s="339" t="n">
        <v>479.6296296296296</v>
      </c>
      <c r="G18" s="51" t="n">
        <v>0.08</v>
      </c>
      <c r="H18" s="323">
        <f>IF(ISBLANK(C18),"",D18*F18)</f>
        <v/>
      </c>
      <c r="I18" s="16">
        <f t="array" ref="I18">IF(ISBLANK(_xlfn.XLOOKUP($C$1&amp;B18,tbl_明細[案件番号]&amp;tbl_明細[No],tbl_明細[備考（顧客向け）],"",0,1)),"",_xlfn.XLOOKUP($C$1&amp;B18,tbl_明細[案件番号]&amp;tbl_明細[No],tbl_明細[備考（顧客向け）],"",0,1))</f>
        <v/>
      </c>
    </row>
    <row r="19" ht="20.25" customHeight="1" s="207">
      <c r="A19" s="50" t="n"/>
      <c r="B19" s="16" t="n">
        <v>3</v>
      </c>
      <c r="C19" s="46" t="inlineStr">
        <is>
          <t>オホーツク流氷ラーメン 　 ホタテ（2食入り）</t>
        </is>
      </c>
      <c r="D19" s="16" t="n">
        <v>18</v>
      </c>
      <c r="E19" s="16" t="inlineStr">
        <is>
          <t>袋</t>
        </is>
      </c>
      <c r="F19" s="339" t="n">
        <v>479.6296296296296</v>
      </c>
      <c r="G19" s="51" t="n">
        <v>0.08</v>
      </c>
      <c r="H19" s="323">
        <f>IF(ISBLANK(C19),"",D19*F19)</f>
        <v/>
      </c>
      <c r="I19" s="16">
        <f t="array" ref="I19">IF(ISBLANK(_xlfn.XLOOKUP($C$1&amp;B19,tbl_明細[案件番号]&amp;tbl_明細[No],tbl_明細[備考（顧客向け）],"",0,1)),"",_xlfn.XLOOKUP($C$1&amp;B19,tbl_明細[案件番号]&amp;tbl_明細[No],tbl_明細[備考（顧客向け）],"",0,1))</f>
        <v/>
      </c>
    </row>
    <row r="20" ht="20.25" customHeight="1" s="207">
      <c r="A20" s="50" t="n"/>
      <c r="B20" s="16" t="n">
        <v>4</v>
      </c>
      <c r="C20" s="46" t="inlineStr">
        <is>
          <t>ズワイガニ風味ラーメン 　 味噌（1食入り）</t>
        </is>
      </c>
      <c r="D20" s="16" t="n">
        <v>14</v>
      </c>
      <c r="E20" s="16" t="inlineStr">
        <is>
          <t>袋</t>
        </is>
      </c>
      <c r="F20" s="339" t="n">
        <v>220.3703703703704</v>
      </c>
      <c r="G20" s="51" t="n">
        <v>0.08</v>
      </c>
      <c r="H20" s="323">
        <f>IF(ISBLANK(C20),"",D20*F20)</f>
        <v/>
      </c>
      <c r="I20" s="16">
        <f t="array" ref="I20">IF(ISBLANK(_xlfn.XLOOKUP($C$1&amp;B20,tbl_明細[案件番号]&amp;tbl_明細[No],tbl_明細[備考（顧客向け）],"",0,1)),"",_xlfn.XLOOKUP($C$1&amp;B20,tbl_明細[案件番号]&amp;tbl_明細[No],tbl_明細[備考（顧客向け）],"",0,1))</f>
        <v/>
      </c>
    </row>
    <row r="21" ht="20.25" customHeight="1" s="207">
      <c r="A21" s="50" t="n"/>
      <c r="B21" s="16" t="n">
        <v>5</v>
      </c>
      <c r="C21" s="46" t="inlineStr">
        <is>
          <t>ズワイガニ風味ラーメン 　 醤油（1食入り）</t>
        </is>
      </c>
      <c r="D21" s="16" t="n">
        <v>13</v>
      </c>
      <c r="E21" s="16" t="inlineStr">
        <is>
          <t>袋</t>
        </is>
      </c>
      <c r="F21" s="339" t="n">
        <v>220.3703703703704</v>
      </c>
      <c r="G21" s="51" t="n">
        <v>0.08</v>
      </c>
      <c r="H21" s="323">
        <f>IF(ISBLANK(C21),"",D21*F21)</f>
        <v/>
      </c>
      <c r="I21" s="16">
        <f t="array" ref="I21">IF(ISBLANK(_xlfn.XLOOKUP($C$1&amp;B21,tbl_明細[案件番号]&amp;tbl_明細[No],tbl_明細[備考（顧客向け）],"",0,1)),"",_xlfn.XLOOKUP($C$1&amp;B21,tbl_明細[案件番号]&amp;tbl_明細[No],tbl_明細[備考（顧客向け）],"",0,1))</f>
        <v/>
      </c>
    </row>
    <row r="22" ht="20.25" customHeight="1" s="207">
      <c r="A22" s="36" t="n"/>
      <c r="B22" s="16" t="n">
        <v>6</v>
      </c>
      <c r="C22" s="46" t="inlineStr">
        <is>
          <t>ズワイガニ風味ラーメン 　 味噌（1食入り）</t>
        </is>
      </c>
      <c r="D22" s="16" t="n">
        <v>14</v>
      </c>
      <c r="E22" s="16" t="inlineStr">
        <is>
          <t>袋</t>
        </is>
      </c>
      <c r="F22" s="339" t="n">
        <v>220.3703703703704</v>
      </c>
      <c r="G22" s="51" t="n">
        <v>0.08</v>
      </c>
      <c r="H22" s="323">
        <f>IF(ISBLANK(C22),"",D22*F22)</f>
        <v/>
      </c>
      <c r="I22" s="16">
        <f t="array" ref="I22">IF(ISBLANK(_xlfn.XLOOKUP($C$1&amp;B22,tbl_明細[案件番号]&amp;tbl_明細[No],tbl_明細[備考（顧客向け）],"",0,1)),"",_xlfn.XLOOKUP($C$1&amp;B22,tbl_明細[案件番号]&amp;tbl_明細[No],tbl_明細[備考（顧客向け）],"",0,1))</f>
        <v/>
      </c>
    </row>
    <row r="23" ht="20.25" customHeight="1" s="207">
      <c r="A23" s="36" t="n"/>
      <c r="B23" s="16" t="n">
        <v>7</v>
      </c>
      <c r="C23" s="46" t="inlineStr">
        <is>
          <t>ズワイガニ風味ラーメン 　 醤油（1食入り）</t>
        </is>
      </c>
      <c r="D23" s="16" t="n">
        <v>13</v>
      </c>
      <c r="E23" s="16" t="inlineStr">
        <is>
          <t>袋</t>
        </is>
      </c>
      <c r="F23" s="339" t="n">
        <v>220.3703703703704</v>
      </c>
      <c r="G23" s="51" t="n">
        <v>0.08</v>
      </c>
      <c r="H23" s="323">
        <f>IF(ISBLANK(C23),"",D23*F23)</f>
        <v/>
      </c>
      <c r="I23" s="16">
        <f t="array" ref="I23">IF(ISBLANK(_xlfn.XLOOKUP($C$1&amp;B23,tbl_明細[案件番号]&amp;tbl_明細[No],tbl_明細[備考（顧客向け）],"",0,1)),"",_xlfn.XLOOKUP($C$1&amp;B23,tbl_明細[案件番号]&amp;tbl_明細[No],tbl_明細[備考（顧客向け）],"",0,1))</f>
        <v/>
      </c>
    </row>
    <row r="24" ht="20.25" customHeight="1" s="207">
      <c r="A24" s="36" t="n"/>
      <c r="B24" s="16" t="n">
        <v>8</v>
      </c>
      <c r="C24" s="46" t="inlineStr">
        <is>
          <t>送料</t>
        </is>
      </c>
      <c r="D24" s="16" t="n">
        <v>1</v>
      </c>
      <c r="E24" s="16" t="inlineStr">
        <is>
          <t>式</t>
        </is>
      </c>
      <c r="F24" s="339" t="n">
        <v>870</v>
      </c>
      <c r="G24" s="51" t="n">
        <v>0.1</v>
      </c>
      <c r="H24" s="323">
        <f>IF(ISBLANK(C24),"",D24*F24)</f>
        <v/>
      </c>
      <c r="I24" s="16">
        <f t="array" ref="I24">IF(ISBLANK(_xlfn.XLOOKUP($C$1&amp;B24,tbl_明細[案件番号]&amp;tbl_明細[No],tbl_明細[備考（顧客向け）],"",0,1)),"",_xlfn.XLOOKUP($C$1&amp;B24,tbl_明細[案件番号]&amp;tbl_明細[No],tbl_明細[備考（顧客向け）],"",0,1))</f>
        <v/>
      </c>
    </row>
    <row r="25" ht="20.25" customHeight="1" s="207">
      <c r="A25" s="36" t="n"/>
      <c r="B25" s="16" t="n"/>
      <c r="C25" s="46" t="n"/>
      <c r="D25" s="16" t="n"/>
      <c r="E25" s="16" t="n"/>
      <c r="F25" s="339" t="n"/>
      <c r="G25" s="51" t="n"/>
      <c r="H25" s="323">
        <f>IF(ISBLANK(C25),"",D25*F25)</f>
        <v/>
      </c>
      <c r="I25" s="16">
        <f t="array" ref="I25">IF(ISBLANK(_xlfn.XLOOKUP($C$1&amp;B25,tbl_明細[案件番号]&amp;tbl_明細[No],tbl_明細[備考（顧客向け）],"",0,1)),"",_xlfn.XLOOKUP($C$1&amp;B25,tbl_明細[案件番号]&amp;tbl_明細[No],tbl_明細[備考（顧客向け）],"",0,1))</f>
        <v/>
      </c>
    </row>
    <row r="26" ht="20.25" customHeight="1" s="207">
      <c r="A26" s="36" t="n"/>
      <c r="B26" s="16" t="n"/>
      <c r="C26" s="46" t="n"/>
      <c r="D26" s="16" t="n"/>
      <c r="E26" s="16" t="n"/>
      <c r="F26" s="339" t="n"/>
      <c r="G26" s="51" t="n"/>
      <c r="H26" s="323">
        <f>IF(ISBLANK(C26),"",D26*F26)</f>
        <v/>
      </c>
      <c r="I26" s="16">
        <f t="array" ref="I26">IF(ISBLANK(_xlfn.XLOOKUP($C$1&amp;B26,tbl_明細[案件番号]&amp;tbl_明細[No],tbl_明細[備考（顧客向け）],"",0,1)),"",_xlfn.XLOOKUP($C$1&amp;B26,tbl_明細[案件番号]&amp;tbl_明細[No],tbl_明細[備考（顧客向け）],"",0,1))</f>
        <v/>
      </c>
    </row>
    <row r="27" ht="20.25" customHeight="1" s="207">
      <c r="A27" s="36" t="n"/>
      <c r="B27" s="16" t="n"/>
      <c r="C27" s="46" t="n"/>
      <c r="D27" s="16" t="n"/>
      <c r="E27" s="16" t="n"/>
      <c r="F27" s="339" t="n"/>
      <c r="G27" s="51" t="n"/>
      <c r="H27" s="323">
        <f>IF(ISBLANK(C27),"",D27*F27)</f>
        <v/>
      </c>
      <c r="I27" s="16">
        <f t="array" ref="I27">IF(ISBLANK(_xlfn.XLOOKUP($C$1&amp;B27,tbl_明細[案件番号]&amp;tbl_明細[No],tbl_明細[備考（顧客向け）],"",0,1)),"",_xlfn.XLOOKUP($C$1&amp;B27,tbl_明細[案件番号]&amp;tbl_明細[No],tbl_明細[備考（顧客向け）],"",0,1))</f>
        <v/>
      </c>
    </row>
    <row r="28" ht="20.25" customHeight="1" s="207">
      <c r="A28" s="36" t="n"/>
      <c r="B28" s="16" t="n"/>
      <c r="C28" s="46" t="n"/>
      <c r="D28" s="16" t="n"/>
      <c r="E28" s="16" t="n"/>
      <c r="F28" s="339" t="n"/>
      <c r="G28" s="51" t="n"/>
      <c r="H28" s="323">
        <f>IF(ISBLANK(C28),"",D28*F28)</f>
        <v/>
      </c>
      <c r="I28" s="16">
        <f t="array" ref="I28">IF(ISBLANK(_xlfn.XLOOKUP($C$1&amp;B28,tbl_明細[案件番号]&amp;tbl_明細[No],tbl_明細[備考（顧客向け）],"",0,1)),"",_xlfn.XLOOKUP($C$1&amp;B28,tbl_明細[案件番号]&amp;tbl_明細[No],tbl_明細[備考（顧客向け）],"",0,1))</f>
        <v/>
      </c>
    </row>
    <row r="29" ht="20.25" customHeight="1" s="207">
      <c r="B29" s="16" t="n"/>
      <c r="C29" s="46" t="n"/>
      <c r="D29" s="16" t="n"/>
      <c r="E29" s="16" t="n"/>
      <c r="F29" s="339" t="n"/>
      <c r="G29" s="51" t="n"/>
      <c r="H29" s="323">
        <f>IF(ISBLANK(C29),"",D29*F29)</f>
        <v/>
      </c>
      <c r="I29" s="16">
        <f t="array" ref="I29">IF(ISBLANK(_xlfn.XLOOKUP($C$1&amp;B29,tbl_明細[案件番号]&amp;tbl_明細[No],tbl_明細[備考（顧客向け）],"",0,1)),"",_xlfn.XLOOKUP($C$1&amp;B29,tbl_明細[案件番号]&amp;tbl_明細[No],tbl_明細[備考（顧客向け）],"",0,1))</f>
        <v/>
      </c>
    </row>
    <row r="30" ht="20.25" customHeight="1" s="207">
      <c r="B30" s="16" t="n"/>
      <c r="C30" s="46" t="n"/>
      <c r="D30" s="16" t="n"/>
      <c r="E30" s="16" t="n"/>
      <c r="F30" s="339" t="n"/>
      <c r="G30" s="51" t="n"/>
      <c r="H30" s="323">
        <f>IF(ISBLANK(C30),"",D30*F30)</f>
        <v/>
      </c>
      <c r="I30" s="16">
        <f t="array" ref="I30">IF(ISBLANK(_xlfn.XLOOKUP($C$1&amp;B30,tbl_明細[案件番号]&amp;tbl_明細[No],tbl_明細[備考（顧客向け）],"",0,1)),"",_xlfn.XLOOKUP($C$1&amp;B30,tbl_明細[案件番号]&amp;tbl_明細[No],tbl_明細[備考（顧客向け）],"",0,1))</f>
        <v/>
      </c>
    </row>
    <row r="31" ht="20.25" customHeight="1" s="207">
      <c r="B31" s="16" t="n"/>
      <c r="C31" s="46" t="n"/>
      <c r="D31" s="16" t="n"/>
      <c r="E31" s="16" t="n"/>
      <c r="F31" s="339" t="n"/>
      <c r="G31" s="51" t="n"/>
      <c r="H31" s="323">
        <f>IF(ISBLANK(C31),"",D31*F31)</f>
        <v/>
      </c>
      <c r="I31" s="16">
        <f t="array" ref="I31">IF(ISBLANK(_xlfn.XLOOKUP($C$1&amp;B31,tbl_明細[案件番号]&amp;tbl_明細[No],tbl_明細[備考（顧客向け）],"",0,1)),"",_xlfn.XLOOKUP($C$1&amp;B31,tbl_明細[案件番号]&amp;tbl_明細[No],tbl_明細[備考（顧客向け）],"",0,1))</f>
        <v/>
      </c>
    </row>
    <row r="32" ht="20.25" customHeight="1" s="207">
      <c r="B32" s="16" t="n"/>
      <c r="C32" s="46" t="n"/>
      <c r="D32" s="16" t="n"/>
      <c r="E32" s="16" t="n"/>
      <c r="F32" s="339" t="n"/>
      <c r="G32" s="51" t="n"/>
      <c r="H32" s="323">
        <f>IF(ISBLANK(C32),"",D32*F32)</f>
        <v/>
      </c>
      <c r="I32" s="16">
        <f t="array" ref="I32">IF(ISBLANK(_xlfn.XLOOKUP($C$1&amp;B32,tbl_明細[案件番号]&amp;tbl_明細[No],tbl_明細[備考（顧客向け）],"",0,1)),"",_xlfn.XLOOKUP($C$1&amp;B32,tbl_明細[案件番号]&amp;tbl_明細[No],tbl_明細[備考（顧客向け）],"",0,1))</f>
        <v/>
      </c>
    </row>
    <row r="33" ht="20.25" customHeight="1" s="207">
      <c r="B33" s="16" t="n"/>
      <c r="C33" s="46" t="n"/>
      <c r="D33" s="16" t="n"/>
      <c r="E33" s="16" t="n"/>
      <c r="F33" s="339" t="n"/>
      <c r="G33" s="51" t="n"/>
      <c r="H33" s="323">
        <f>IF(ISBLANK(C33),"",D33*F33)</f>
        <v/>
      </c>
      <c r="I33" s="16">
        <f t="array" ref="I33">IF(ISBLANK(_xlfn.XLOOKUP($C$1&amp;B33,tbl_明細[案件番号]&amp;tbl_明細[No],tbl_明細[備考（顧客向け）],"",0,1)),"",_xlfn.XLOOKUP($C$1&amp;B33,tbl_明細[案件番号]&amp;tbl_明細[No],tbl_明細[備考（顧客向け）],"",0,1))</f>
        <v/>
      </c>
    </row>
    <row r="34" ht="20.25" customHeight="1" s="207">
      <c r="B34" s="16" t="n"/>
      <c r="C34" s="46" t="n"/>
      <c r="D34" s="16" t="n"/>
      <c r="E34" s="16" t="n"/>
      <c r="F34" s="339" t="n"/>
      <c r="G34" s="51" t="n"/>
      <c r="H34" s="323">
        <f>IF(ISBLANK(C34),"",D34*F34)</f>
        <v/>
      </c>
      <c r="I34" s="16">
        <f t="array" ref="I34">IF(ISBLANK(_xlfn.XLOOKUP($C$1&amp;B34,tbl_明細[案件番号]&amp;tbl_明細[No],tbl_明細[備考（顧客向け）],"",0,1)),"",_xlfn.XLOOKUP($C$1&amp;B34,tbl_明細[案件番号]&amp;tbl_明細[No],tbl_明細[備考（顧客向け）],"",0,1))</f>
        <v/>
      </c>
    </row>
    <row r="35" ht="20.25" customHeight="1" s="207">
      <c r="B35" s="16" t="n"/>
      <c r="C35" s="46" t="n"/>
      <c r="D35" s="16" t="n"/>
      <c r="E35" s="16" t="n"/>
      <c r="F35" s="339" t="n"/>
      <c r="G35" s="51" t="n"/>
      <c r="H35" s="323">
        <f>IF(ISBLANK(C35),"",D35*F35)</f>
        <v/>
      </c>
      <c r="I35" s="16">
        <f t="array" ref="I35">IF(ISBLANK(_xlfn.XLOOKUP($C$1&amp;B35,tbl_明細[案件番号]&amp;tbl_明細[No],tbl_明細[備考（顧客向け）],"",0,1)),"",_xlfn.XLOOKUP($C$1&amp;B35,tbl_明細[案件番号]&amp;tbl_明細[No],tbl_明細[備考（顧客向け）],"",0,1))</f>
        <v/>
      </c>
    </row>
    <row r="36" ht="20.25" customHeight="1" s="207">
      <c r="B36" s="16" t="n"/>
      <c r="C36" s="46" t="n"/>
      <c r="D36" s="16" t="n"/>
      <c r="E36" s="16" t="n"/>
      <c r="F36" s="339" t="n"/>
      <c r="G36" s="51" t="n"/>
      <c r="H36" s="323">
        <f>IF(ISBLANK(C36),"",D36*F36)</f>
        <v/>
      </c>
      <c r="I36" s="16">
        <f t="array" ref="I36">IF(ISBLANK(_xlfn.XLOOKUP($C$1&amp;B36,tbl_明細[案件番号]&amp;tbl_明細[No],tbl_明細[備考（顧客向け）],"",0,1)),"",_xlfn.XLOOKUP($C$1&amp;B36,tbl_明細[案件番号]&amp;tbl_明細[No],tbl_明細[備考（顧客向け）],"",0,1))</f>
        <v/>
      </c>
    </row>
    <row r="37" ht="26.4" customFormat="1" customHeight="1" s="23">
      <c r="B37" s="19" t="n"/>
      <c r="C37" s="19" t="n"/>
      <c r="D37" s="19" t="n"/>
      <c r="E37" s="19" t="n"/>
      <c r="F37" s="19" t="n"/>
      <c r="G37" s="20" t="inlineStr">
        <is>
          <t>税抜合計:</t>
        </is>
      </c>
      <c r="H37" s="335">
        <f>SUM(H17:H36)</f>
        <v/>
      </c>
      <c r="I37" s="22" t="n"/>
    </row>
    <row r="38" ht="26.4" customFormat="1" customHeight="1" s="23">
      <c r="B38" s="187" t="n"/>
      <c r="C38" s="187" t="n"/>
      <c r="D38" s="187" t="n"/>
      <c r="E38" s="187" t="n"/>
      <c r="F38" s="187" t="n"/>
      <c r="G38" s="24" t="n"/>
      <c r="H38" s="336" t="n"/>
      <c r="I38" s="187" t="n"/>
    </row>
    <row r="39" ht="26.4" customFormat="1" customHeight="1" s="23">
      <c r="B39" s="187" t="n"/>
      <c r="C39" s="187" t="n"/>
      <c r="D39" s="187" t="n"/>
      <c r="E39" s="187" t="n"/>
      <c r="F39" s="187" t="n"/>
      <c r="G39" s="187" t="n"/>
      <c r="H39" s="26" t="inlineStr">
        <is>
          <t>金額（税抜）</t>
        </is>
      </c>
      <c r="I39" s="26" t="inlineStr">
        <is>
          <t>消費税等</t>
        </is>
      </c>
    </row>
    <row r="40" ht="26.4" customFormat="1" customHeight="1" s="23">
      <c r="B40" s="27" t="n"/>
      <c r="C40" s="27" t="n"/>
      <c r="D40" s="187" t="n"/>
      <c r="E40" s="187" t="n"/>
      <c r="F40" s="28" t="n">
        <v>0.08</v>
      </c>
      <c r="G40" s="24" t="inlineStr">
        <is>
          <t>対象 小計:</t>
        </is>
      </c>
      <c r="H40" s="326">
        <f>SUMIF($G$17:$G$36,F40,$H$17:$H$36)</f>
        <v/>
      </c>
      <c r="I40" s="326">
        <f>ROUND(H40*F40,0)</f>
        <v/>
      </c>
    </row>
    <row r="41" ht="26.4" customFormat="1" customHeight="1" s="23">
      <c r="B41" s="27" t="n"/>
      <c r="C41" s="27" t="n"/>
      <c r="D41" s="187" t="n"/>
      <c r="E41" s="187" t="n"/>
      <c r="F41" s="28" t="n">
        <v>0.1</v>
      </c>
      <c r="G41" s="24" t="inlineStr">
        <is>
          <t>対象 小計:</t>
        </is>
      </c>
      <c r="H41" s="326">
        <f>SUMIF($G$17:$G$36,F41,$H$17:$H$36)</f>
        <v/>
      </c>
      <c r="I41" s="326">
        <f>ROUND(H41*F41,0)</f>
        <v/>
      </c>
    </row>
    <row r="42" ht="26.4" customFormat="1" customHeight="1" s="23">
      <c r="B42" s="27" t="n"/>
      <c r="C42" s="27" t="n"/>
      <c r="D42" s="187" t="n"/>
      <c r="E42" s="187" t="n"/>
      <c r="F42" s="29" t="inlineStr">
        <is>
          <t>非課税</t>
        </is>
      </c>
      <c r="G42" s="24" t="inlineStr">
        <is>
          <t>対象 小計:</t>
        </is>
      </c>
      <c r="H42" s="326">
        <f>SUMIF($G$17:$G$36,F42,$H$17:$H$36)</f>
        <v/>
      </c>
      <c r="I42" s="326" t="n"/>
    </row>
    <row r="43" ht="26.4" customFormat="1" customHeight="1" s="23">
      <c r="B43" s="27" t="n"/>
      <c r="C43" s="27" t="n"/>
      <c r="D43" s="187" t="n"/>
      <c r="E43" s="187" t="n"/>
      <c r="F43" s="187" t="n"/>
      <c r="G43" s="24" t="inlineStr">
        <is>
          <t>税込合計:</t>
        </is>
      </c>
      <c r="H43" s="337" t="n"/>
      <c r="I43" s="338">
        <f>SUM(H40:I42)</f>
        <v/>
      </c>
    </row>
    <row r="45" ht="22.2" customHeight="1" s="207">
      <c r="B45" s="32" t="inlineStr">
        <is>
          <t>備考欄：</t>
        </is>
      </c>
    </row>
    <row r="46" ht="18" customHeight="1" s="207">
      <c r="B46" s="6" t="n"/>
      <c r="C46" s="7" t="n"/>
      <c r="D46" s="7" t="n"/>
      <c r="E46" s="7" t="n"/>
      <c r="F46" s="7" t="n"/>
      <c r="G46" s="7" t="n"/>
      <c r="H46" s="7" t="n"/>
      <c r="I46" s="8" t="n"/>
    </row>
    <row r="47" ht="18" customHeight="1" s="207">
      <c r="B47" s="33" t="n"/>
      <c r="I47" s="10" t="n"/>
    </row>
    <row r="48" ht="18" customHeight="1" s="207">
      <c r="B48" s="33" t="n"/>
      <c r="I48" s="10" t="n"/>
    </row>
    <row r="49" ht="18" customHeight="1" s="207">
      <c r="B49" s="33" t="n"/>
      <c r="I49" s="10" t="n"/>
    </row>
    <row r="50" ht="18" customHeight="1" s="207">
      <c r="B50" s="33" t="n"/>
      <c r="I50" s="10" t="n"/>
    </row>
    <row r="51" ht="18" customHeight="1" s="207">
      <c r="B51" s="33" t="n"/>
      <c r="I51" s="10" t="n"/>
    </row>
    <row r="52" ht="18" customHeight="1" s="207">
      <c r="B52" s="33" t="n"/>
      <c r="I52" s="10" t="n"/>
    </row>
    <row r="53" ht="18" customHeight="1" s="207">
      <c r="B53" s="33" t="n"/>
      <c r="I53" s="10" t="n"/>
    </row>
    <row r="54" ht="18" customHeight="1" s="207">
      <c r="B54" s="34" t="n"/>
      <c r="C54" s="14" t="n"/>
      <c r="D54" s="14" t="n"/>
      <c r="E54" s="14" t="n"/>
      <c r="F54" s="14" t="n"/>
      <c r="G54" s="14" t="n"/>
      <c r="H54" s="14" t="n"/>
      <c r="I54" s="15" t="n"/>
    </row>
  </sheetData>
  <mergeCells count="2">
    <mergeCell ref="B3:I3"/>
    <mergeCell ref="B12:E13"/>
  </mergeCells>
  <conditionalFormatting sqref="H37">
    <cfRule type="cellIs" priority="2" operator="notEqual" dxfId="0">
      <formula>$H$40+$H$41+$H$42</formula>
    </cfRule>
  </conditionalFormatting>
  <conditionalFormatting sqref="I5">
    <cfRule type="cellIs" priority="1" operator="equal" dxfId="0">
      <formula>0</formula>
    </cfRule>
  </conditionalFormatting>
  <pageMargins left="0.25" right="0.25" top="0.75" bottom="0.75" header="0.3" footer="0.3"/>
  <pageSetup orientation="portrait" paperSize="9" scale="63"/>
  <drawing xmlns:r="http://schemas.openxmlformats.org/officeDocument/2006/relationships" r:id="rId1"/>
</worksheet>
</file>

<file path=xl/worksheets/sheet11.xml><?xml version="1.0" encoding="utf-8"?>
<worksheet xmlns="http://schemas.openxmlformats.org/spreadsheetml/2006/main">
  <sheetPr>
    <outlinePr summaryBelow="1" summaryRight="1"/>
    <pageSetUpPr fitToPage="1"/>
  </sheetPr>
  <dimension ref="B1:I57"/>
  <sheetViews>
    <sheetView topLeftCell="A33" workbookViewId="0">
      <selection activeCell="I44" sqref="I44"/>
    </sheetView>
  </sheetViews>
  <sheetFormatPr baseColWidth="8" defaultColWidth="9" defaultRowHeight="15.75" customHeight="1"/>
  <cols>
    <col width="9" customWidth="1" style="124" min="1" max="1"/>
    <col width="12.19921875" customWidth="1" style="124" min="2" max="2"/>
    <col width="44.5" customWidth="1" style="124" min="3" max="3"/>
    <col width="10" customWidth="1" style="124" min="4" max="4"/>
    <col width="8" customWidth="1" style="124" min="5" max="5"/>
    <col width="12" customWidth="1" style="124" min="6" max="6"/>
    <col width="14" customWidth="1" style="124" min="7" max="7"/>
    <col width="21.5" customWidth="1" style="124" min="8" max="8"/>
    <col width="24.19921875" customWidth="1" style="124" min="9" max="9"/>
    <col width="9" customWidth="1" style="124" min="10" max="16384"/>
  </cols>
  <sheetData>
    <row r="1" ht="18" customHeight="1" s="207">
      <c r="B1" s="122" t="inlineStr">
        <is>
          <t>ここだけ入力　案件番号:</t>
        </is>
      </c>
      <c r="C1" s="171" t="inlineStr">
        <is>
          <t>2602-1002-K01</t>
        </is>
      </c>
    </row>
    <row r="3" ht="45.75" customHeight="1" s="207">
      <c r="B3" s="285" t="inlineStr">
        <is>
          <t>請　求　書</t>
        </is>
      </c>
    </row>
    <row r="5" ht="18" customHeight="1" s="207">
      <c r="H5" s="3" t="inlineStr">
        <is>
          <t>発行日：</t>
        </is>
      </c>
      <c r="I5" s="320">
        <f>_xlfn.XLOOKUP($C$1,tbl_案件追跡[案件番号],tbl_案件追跡[売上計上],"",0,1)</f>
        <v/>
      </c>
    </row>
    <row r="6" ht="26.4" customHeight="1" s="207">
      <c r="B6" s="49">
        <f>_xlfn.XLOOKUP($C$1,tbl_明細[案件番号],tbl_明細[顧客名],"",0,1)&amp;" 御中"</f>
        <v/>
      </c>
      <c r="H6" s="3" t="inlineStr">
        <is>
          <t>請求書No. ：</t>
        </is>
      </c>
      <c r="I6" s="3">
        <f>"INV-SNJ-"&amp;C1</f>
        <v/>
      </c>
    </row>
    <row r="7" ht="22.2" customHeight="1" s="207">
      <c r="B7" s="187" t="n"/>
      <c r="G7" s="6" t="n"/>
      <c r="H7" s="7" t="n"/>
      <c r="I7" s="8" t="n"/>
    </row>
    <row r="8" ht="18" customHeight="1" s="207">
      <c r="G8" s="9" t="n"/>
      <c r="I8" s="10" t="n"/>
    </row>
    <row r="9" ht="18" customHeight="1" s="207">
      <c r="G9" s="11" t="inlineStr">
        <is>
          <t xml:space="preserve">　新日本海商事株式会社</t>
        </is>
      </c>
      <c r="I9" s="10" t="n"/>
    </row>
    <row r="10" ht="18.75" customHeight="1" s="207">
      <c r="B10" s="124" t="inlineStr">
        <is>
          <t>平素よりお世話になっております。</t>
        </is>
      </c>
      <c r="G10" s="11" t="inlineStr">
        <is>
          <t xml:space="preserve">　〒530-0001</t>
        </is>
      </c>
      <c r="I10" s="10" t="n"/>
    </row>
    <row r="11" ht="18.75" customHeight="1" s="207">
      <c r="B11" s="124" t="inlineStr">
        <is>
          <t>下記の通りご請求申し上げます。</t>
        </is>
      </c>
      <c r="F11" s="10" t="n"/>
      <c r="G11" s="11" t="inlineStr">
        <is>
          <t xml:space="preserve">　大阪市北区梅田2丁目5番25号</t>
        </is>
      </c>
      <c r="I11" s="10" t="n"/>
    </row>
    <row r="12" ht="18.75" customHeight="1" s="207">
      <c r="B12" s="45" t="inlineStr">
        <is>
          <t>誠に恐れ入りますが振込手数料はご負担いただきますようお願いいたします。</t>
        </is>
      </c>
      <c r="C12" s="287" t="n"/>
      <c r="D12" s="287" t="n"/>
      <c r="E12" s="287" t="n"/>
      <c r="F12" s="12" t="n"/>
      <c r="G12" s="11" t="inlineStr">
        <is>
          <t xml:space="preserve">　梅田阪神第1ビル15階（ハービスOSAKA）</t>
        </is>
      </c>
      <c r="I12" s="10" t="n"/>
    </row>
    <row r="13" ht="19.5" customHeight="1" s="207">
      <c r="B13" s="287" t="n"/>
      <c r="C13" s="287" t="n"/>
      <c r="D13" s="287" t="n"/>
      <c r="E13" s="287" t="n"/>
      <c r="F13" s="12" t="n"/>
      <c r="G13" s="13" t="inlineStr">
        <is>
          <t xml:space="preserve">　TEL: 06-6345-9021</t>
        </is>
      </c>
      <c r="H13" s="14" t="n"/>
      <c r="I13" s="15" t="n"/>
    </row>
    <row r="15" ht="18" customHeight="1" s="207">
      <c r="B15" s="288">
        <f>"請求金額（税込）　　"&amp;TEXT(I46,"\#,##0")</f>
        <v/>
      </c>
      <c r="G15" s="6" t="inlineStr">
        <is>
          <t>振込先：</t>
        </is>
      </c>
      <c r="H15" s="7" t="inlineStr">
        <is>
          <t>三菱UFJ銀行  堂島支店</t>
        </is>
      </c>
      <c r="I15" s="8" t="n"/>
    </row>
    <row r="16" ht="18" customHeight="1" s="207">
      <c r="B16" s="321" t="n"/>
      <c r="C16" s="321" t="n"/>
      <c r="D16" s="321" t="n"/>
      <c r="E16" s="321" t="n"/>
      <c r="G16" s="34" t="n"/>
      <c r="H16" s="14" t="inlineStr">
        <is>
          <t xml:space="preserve">(当) 0143405  ｼﾝﾆﾎﾝｶｲｼｮｳｼﾞ　ｶ) </t>
        </is>
      </c>
      <c r="I16" s="15" t="n"/>
    </row>
    <row r="17" ht="15.75" customHeight="1" s="207">
      <c r="G17" s="124" t="inlineStr">
        <is>
          <t>INVOICE NO:T9120001109968</t>
        </is>
      </c>
    </row>
    <row r="19" ht="20.25" customHeight="1" s="207">
      <c r="B19" s="203" t="inlineStr">
        <is>
          <t>No</t>
        </is>
      </c>
      <c r="C19" s="203" t="inlineStr">
        <is>
          <t>商品名</t>
        </is>
      </c>
      <c r="D19" s="203" t="inlineStr">
        <is>
          <t>数量</t>
        </is>
      </c>
      <c r="E19" s="203" t="inlineStr">
        <is>
          <t>単位</t>
        </is>
      </c>
      <c r="F19" s="203" t="inlineStr">
        <is>
          <t>単価</t>
        </is>
      </c>
      <c r="G19" s="203" t="inlineStr">
        <is>
          <t>税率</t>
        </is>
      </c>
      <c r="H19" s="203" t="inlineStr">
        <is>
          <t>金額</t>
        </is>
      </c>
      <c r="I19" s="203" t="inlineStr">
        <is>
          <t>備考</t>
        </is>
      </c>
    </row>
    <row r="20" ht="20.25" customHeight="1" s="207">
      <c r="B20" s="46">
        <f t="array" ref="B20:G27">_xlfn._xlws.FILTER(
  CHOOSE({1,2,3,4,5,6},
    tbl_明細[No],
    IF(LEFT(tbl_明細[商品ID],4)&lt;&gt;"PRD_", tbl_明細[商品名（M)], tbl_明細[商品名]),
    IF(LEFT(tbl_明細[商品ID],4)&lt;&gt;"PRD_", tbl_明細[数量（M)], tbl_明細[数量]),
    IF(LEFT(tbl_明細[商品ID],4)&lt;&gt;"PRD_", tbl_明細[単位（M)], tbl_明細[単位]),
    IF(LEFT(tbl_明細[商品ID],4)&lt;&gt;"PRD_", tbl_明細[販売価格（M)], tbl_明細[販売価格（売値）]),
    IF(LEFT(tbl_明細[商品ID],4)&lt;&gt;"PRD_", tbl_明細[税率（M）],tbl_明細[税率])
  ),
  (tbl_明細[案件番号]=$C$1)*(tbl_明細[(非表示）販売価格の和] &gt; 0),
  "該当なし"
)</f>
        <v/>
      </c>
      <c r="C20" s="46" t="inlineStr">
        <is>
          <t>レトルトとうもろこし</t>
        </is>
      </c>
      <c r="D20" s="46" t="n">
        <v>60</v>
      </c>
      <c r="E20" s="46" t="inlineStr">
        <is>
          <t>本</t>
        </is>
      </c>
      <c r="F20" s="339" t="n">
        <v>366.6666666666666</v>
      </c>
      <c r="G20" s="47" t="n">
        <v>0.08</v>
      </c>
      <c r="H20" s="323">
        <f>IF(ISBLANK(C20),"",D20*F20)</f>
        <v/>
      </c>
      <c r="I20" s="16">
        <f t="array" ref="I20">IF(ISBLANK(_xlfn.XLOOKUP($C$1&amp;B20,tbl_明細[案件番号]&amp;tbl_明細[No],tbl_明細[備考（顧客向け）],"",0,1)),"",_xlfn.XLOOKUP($C$1&amp;B20,tbl_明細[案件番号]&amp;tbl_明細[No],tbl_明細[備考（顧客向け）],"",0,1))</f>
        <v/>
      </c>
    </row>
    <row r="21" ht="20.25" customHeight="1" s="207">
      <c r="B21" s="46" t="n">
        <v>2</v>
      </c>
      <c r="C21" s="46" t="inlineStr">
        <is>
          <t>オホーツク流氷ラーメン 　 かに（2食入り）</t>
        </is>
      </c>
      <c r="D21" s="46" t="n">
        <v>16</v>
      </c>
      <c r="E21" s="46" t="inlineStr">
        <is>
          <t>袋</t>
        </is>
      </c>
      <c r="F21" s="339" t="n">
        <v>479.6296296296296</v>
      </c>
      <c r="G21" s="47" t="n">
        <v>0.08</v>
      </c>
      <c r="H21" s="323">
        <f>IF(ISBLANK(C21),"",D21*F21)</f>
        <v/>
      </c>
      <c r="I21" s="16">
        <f t="array" ref="I21">IF(ISBLANK(_xlfn.XLOOKUP($C$1&amp;B21,tbl_明細[案件番号]&amp;tbl_明細[No],tbl_明細[備考（顧客向け）],"",0,1)),"",_xlfn.XLOOKUP($C$1&amp;B21,tbl_明細[案件番号]&amp;tbl_明細[No],tbl_明細[備考（顧客向け）],"",0,1))</f>
        <v/>
      </c>
    </row>
    <row r="22" ht="20.25" customHeight="1" s="207">
      <c r="B22" s="46" t="n">
        <v>3</v>
      </c>
      <c r="C22" s="46" t="inlineStr">
        <is>
          <t>オホーツク流氷ラーメン 　 ホタテ（2食入り）</t>
        </is>
      </c>
      <c r="D22" s="46" t="n">
        <v>18</v>
      </c>
      <c r="E22" s="46" t="inlineStr">
        <is>
          <t>袋</t>
        </is>
      </c>
      <c r="F22" s="339" t="n">
        <v>479.6296296296296</v>
      </c>
      <c r="G22" s="47" t="n">
        <v>0.08</v>
      </c>
      <c r="H22" s="323">
        <f>IF(ISBLANK(C22),"",D22*F22)</f>
        <v/>
      </c>
      <c r="I22" s="16">
        <f t="array" ref="I22">IF(ISBLANK(_xlfn.XLOOKUP($C$1&amp;B22,tbl_明細[案件番号]&amp;tbl_明細[No],tbl_明細[備考（顧客向け）],"",0,1)),"",_xlfn.XLOOKUP($C$1&amp;B22,tbl_明細[案件番号]&amp;tbl_明細[No],tbl_明細[備考（顧客向け）],"",0,1))</f>
        <v/>
      </c>
    </row>
    <row r="23" ht="20.25" customHeight="1" s="207">
      <c r="B23" s="46" t="n">
        <v>4</v>
      </c>
      <c r="C23" s="46" t="inlineStr">
        <is>
          <t>ズワイガニ風味ラーメン 　 味噌（1食入り）</t>
        </is>
      </c>
      <c r="D23" s="46" t="n">
        <v>14</v>
      </c>
      <c r="E23" s="46" t="inlineStr">
        <is>
          <t>袋</t>
        </is>
      </c>
      <c r="F23" s="339" t="n">
        <v>220.3703703703704</v>
      </c>
      <c r="G23" s="47" t="n">
        <v>0.08</v>
      </c>
      <c r="H23" s="323">
        <f>IF(ISBLANK(C23),"",D23*F23)</f>
        <v/>
      </c>
      <c r="I23" s="16">
        <f t="array" ref="I23">IF(ISBLANK(_xlfn.XLOOKUP($C$1&amp;B23,tbl_明細[案件番号]&amp;tbl_明細[No],tbl_明細[備考（顧客向け）],"",0,1)),"",_xlfn.XLOOKUP($C$1&amp;B23,tbl_明細[案件番号]&amp;tbl_明細[No],tbl_明細[備考（顧客向け）],"",0,1))</f>
        <v/>
      </c>
    </row>
    <row r="24" ht="20.25" customHeight="1" s="207">
      <c r="B24" s="46" t="n">
        <v>5</v>
      </c>
      <c r="C24" s="46" t="inlineStr">
        <is>
          <t>ズワイガニ風味ラーメン 　 醤油（1食入り）</t>
        </is>
      </c>
      <c r="D24" s="46" t="n">
        <v>13</v>
      </c>
      <c r="E24" s="46" t="inlineStr">
        <is>
          <t>袋</t>
        </is>
      </c>
      <c r="F24" s="339" t="n">
        <v>220.3703703703704</v>
      </c>
      <c r="G24" s="47" t="n">
        <v>0.08</v>
      </c>
      <c r="H24" s="323">
        <f>IF(ISBLANK(C24),"",D24*F24)</f>
        <v/>
      </c>
      <c r="I24" s="16">
        <f t="array" ref="I24">IF(ISBLANK(_xlfn.XLOOKUP($C$1&amp;B24,tbl_明細[案件番号]&amp;tbl_明細[No],tbl_明細[備考（顧客向け）],"",0,1)),"",_xlfn.XLOOKUP($C$1&amp;B24,tbl_明細[案件番号]&amp;tbl_明細[No],tbl_明細[備考（顧客向け）],"",0,1))</f>
        <v/>
      </c>
    </row>
    <row r="25" ht="20.25" customHeight="1" s="207">
      <c r="B25" s="46" t="n">
        <v>6</v>
      </c>
      <c r="C25" s="46" t="inlineStr">
        <is>
          <t>ズワイガニ風味ラーメン 　 味噌（1食入り）</t>
        </is>
      </c>
      <c r="D25" s="46" t="n">
        <v>14</v>
      </c>
      <c r="E25" s="46" t="inlineStr">
        <is>
          <t>袋</t>
        </is>
      </c>
      <c r="F25" s="339" t="n">
        <v>220.3703703703704</v>
      </c>
      <c r="G25" s="47" t="n">
        <v>0.08</v>
      </c>
      <c r="H25" s="323">
        <f>IF(ISBLANK(C25),"",D25*F25)</f>
        <v/>
      </c>
      <c r="I25" s="16">
        <f t="array" ref="I25">IF(ISBLANK(_xlfn.XLOOKUP($C$1&amp;B25,tbl_明細[案件番号]&amp;tbl_明細[No],tbl_明細[備考（顧客向け）],"",0,1)),"",_xlfn.XLOOKUP($C$1&amp;B25,tbl_明細[案件番号]&amp;tbl_明細[No],tbl_明細[備考（顧客向け）],"",0,1))</f>
        <v/>
      </c>
    </row>
    <row r="26" ht="20.25" customHeight="1" s="207">
      <c r="B26" s="46" t="n">
        <v>7</v>
      </c>
      <c r="C26" s="46" t="inlineStr">
        <is>
          <t>ズワイガニ風味ラーメン 　 醤油（1食入り）</t>
        </is>
      </c>
      <c r="D26" s="46" t="n">
        <v>13</v>
      </c>
      <c r="E26" s="46" t="inlineStr">
        <is>
          <t>袋</t>
        </is>
      </c>
      <c r="F26" s="339" t="n">
        <v>220.3703703703704</v>
      </c>
      <c r="G26" s="47" t="n">
        <v>0.08</v>
      </c>
      <c r="H26" s="323">
        <f>IF(ISBLANK(C26),"",D26*F26)</f>
        <v/>
      </c>
      <c r="I26" s="16">
        <f t="array" ref="I26">IF(ISBLANK(_xlfn.XLOOKUP($C$1&amp;B26,tbl_明細[案件番号]&amp;tbl_明細[No],tbl_明細[備考（顧客向け）],"",0,1)),"",_xlfn.XLOOKUP($C$1&amp;B26,tbl_明細[案件番号]&amp;tbl_明細[No],tbl_明細[備考（顧客向け）],"",0,1))</f>
        <v/>
      </c>
    </row>
    <row r="27" ht="20.25" customHeight="1" s="207">
      <c r="B27" s="46" t="n">
        <v>8</v>
      </c>
      <c r="C27" s="46" t="inlineStr">
        <is>
          <t>送料</t>
        </is>
      </c>
      <c r="D27" s="46" t="n">
        <v>1</v>
      </c>
      <c r="E27" s="46" t="inlineStr">
        <is>
          <t>式</t>
        </is>
      </c>
      <c r="F27" s="339" t="n">
        <v>870</v>
      </c>
      <c r="G27" s="47" t="n">
        <v>0.1</v>
      </c>
      <c r="H27" s="323">
        <f>IF(ISBLANK(C27),"",D27*F27)</f>
        <v/>
      </c>
      <c r="I27" s="16">
        <f t="array" ref="I27">IF(ISBLANK(_xlfn.XLOOKUP($C$1&amp;B27,tbl_明細[案件番号]&amp;tbl_明細[No],tbl_明細[備考（顧客向け）],"",0,1)),"",_xlfn.XLOOKUP($C$1&amp;B27,tbl_明細[案件番号]&amp;tbl_明細[No],tbl_明細[備考（顧客向け）],"",0,1))</f>
        <v/>
      </c>
    </row>
    <row r="28" ht="20.25" customHeight="1" s="207">
      <c r="B28" s="46" t="n"/>
      <c r="C28" s="46" t="n"/>
      <c r="D28" s="46" t="n"/>
      <c r="E28" s="46" t="n"/>
      <c r="F28" s="339" t="n"/>
      <c r="G28" s="47" t="n"/>
      <c r="H28" s="323">
        <f>IF(ISBLANK(C28),"",D28*F28)</f>
        <v/>
      </c>
      <c r="I28" s="16">
        <f t="array" ref="I28">IF(ISBLANK(_xlfn.XLOOKUP($C$1&amp;B28,tbl_明細[案件番号]&amp;tbl_明細[No],tbl_明細[備考（顧客向け）],"",0,1)),"",_xlfn.XLOOKUP($C$1&amp;B28,tbl_明細[案件番号]&amp;tbl_明細[No],tbl_明細[備考（顧客向け）],"",0,1))</f>
        <v/>
      </c>
    </row>
    <row r="29" ht="20.25" customHeight="1" s="207">
      <c r="B29" s="46" t="n"/>
      <c r="C29" s="46" t="n"/>
      <c r="D29" s="46" t="n"/>
      <c r="E29" s="46" t="n"/>
      <c r="F29" s="339" t="n"/>
      <c r="G29" s="47" t="n"/>
      <c r="H29" s="323">
        <f>IF(ISBLANK(C29),"",D29*F29)</f>
        <v/>
      </c>
      <c r="I29" s="16">
        <f t="array" ref="I29">IF(ISBLANK(_xlfn.XLOOKUP($C$1&amp;B29,tbl_明細[案件番号]&amp;tbl_明細[No],tbl_明細[備考（顧客向け）],"",0,1)),"",_xlfn.XLOOKUP($C$1&amp;B29,tbl_明細[案件番号]&amp;tbl_明細[No],tbl_明細[備考（顧客向け）],"",0,1))</f>
        <v/>
      </c>
    </row>
    <row r="30" ht="20.25" customHeight="1" s="207">
      <c r="B30" s="46" t="n"/>
      <c r="C30" s="46" t="n"/>
      <c r="D30" s="46" t="n"/>
      <c r="E30" s="46" t="n"/>
      <c r="F30" s="339" t="n"/>
      <c r="G30" s="47" t="n"/>
      <c r="H30" s="323">
        <f>IF(ISBLANK(C30),"",D30*F30)</f>
        <v/>
      </c>
      <c r="I30" s="16">
        <f t="array" ref="I30">IF(ISBLANK(_xlfn.XLOOKUP($C$1&amp;B30,tbl_明細[案件番号]&amp;tbl_明細[No],tbl_明細[備考（顧客向け）],"",0,1)),"",_xlfn.XLOOKUP($C$1&amp;B30,tbl_明細[案件番号]&amp;tbl_明細[No],tbl_明細[備考（顧客向け）],"",0,1))</f>
        <v/>
      </c>
    </row>
    <row r="31" ht="20.25" customHeight="1" s="207">
      <c r="B31" s="46" t="n"/>
      <c r="C31" s="46" t="n"/>
      <c r="D31" s="46" t="n"/>
      <c r="E31" s="46" t="n"/>
      <c r="F31" s="339" t="n"/>
      <c r="G31" s="47" t="n"/>
      <c r="H31" s="323">
        <f>IF(ISBLANK(C31),"",D31*F31)</f>
        <v/>
      </c>
      <c r="I31" s="16">
        <f t="array" ref="I31">IF(ISBLANK(_xlfn.XLOOKUP($C$1&amp;B31,tbl_明細[案件番号]&amp;tbl_明細[No],tbl_明細[備考（顧客向け）],"",0,1)),"",_xlfn.XLOOKUP($C$1&amp;B31,tbl_明細[案件番号]&amp;tbl_明細[No],tbl_明細[備考（顧客向け）],"",0,1))</f>
        <v/>
      </c>
    </row>
    <row r="32" ht="20.25" customHeight="1" s="207">
      <c r="B32" s="46" t="n"/>
      <c r="C32" s="46" t="n"/>
      <c r="D32" s="46" t="n"/>
      <c r="E32" s="46" t="n"/>
      <c r="F32" s="339" t="n"/>
      <c r="G32" s="47" t="n"/>
      <c r="H32" s="323">
        <f>IF(ISBLANK(C32),"",D32*F32)</f>
        <v/>
      </c>
      <c r="I32" s="16">
        <f t="array" ref="I32">IF(ISBLANK(_xlfn.XLOOKUP($C$1&amp;B32,tbl_明細[案件番号]&amp;tbl_明細[No],tbl_明細[備考（顧客向け）],"",0,1)),"",_xlfn.XLOOKUP($C$1&amp;B32,tbl_明細[案件番号]&amp;tbl_明細[No],tbl_明細[備考（顧客向け）],"",0,1))</f>
        <v/>
      </c>
    </row>
    <row r="33" ht="20.25" customHeight="1" s="207">
      <c r="B33" s="46" t="n"/>
      <c r="C33" s="46" t="n"/>
      <c r="D33" s="46" t="n"/>
      <c r="E33" s="46" t="n"/>
      <c r="F33" s="339" t="n"/>
      <c r="G33" s="47" t="n"/>
      <c r="H33" s="323">
        <f>IF(ISBLANK(C33),"",D33*F33)</f>
        <v/>
      </c>
      <c r="I33" s="16">
        <f t="array" ref="I33">IF(ISBLANK(_xlfn.XLOOKUP($C$1&amp;B33,tbl_明細[案件番号]&amp;tbl_明細[No],tbl_明細[備考（顧客向け）],"",0,1)),"",_xlfn.XLOOKUP($C$1&amp;B33,tbl_明細[案件番号]&amp;tbl_明細[No],tbl_明細[備考（顧客向け）],"",0,1))</f>
        <v/>
      </c>
    </row>
    <row r="34" ht="20.25" customHeight="1" s="207">
      <c r="B34" s="46" t="n"/>
      <c r="C34" s="46" t="n"/>
      <c r="D34" s="46" t="n"/>
      <c r="E34" s="46" t="n"/>
      <c r="F34" s="339" t="n"/>
      <c r="G34" s="47" t="n"/>
      <c r="H34" s="323">
        <f>IF(ISBLANK(C34),"",D34*F34)</f>
        <v/>
      </c>
      <c r="I34" s="16">
        <f t="array" ref="I34">IF(ISBLANK(_xlfn.XLOOKUP($C$1&amp;B34,tbl_明細[案件番号]&amp;tbl_明細[No],tbl_明細[備考（顧客向け）],"",0,1)),"",_xlfn.XLOOKUP($C$1&amp;B34,tbl_明細[案件番号]&amp;tbl_明細[No],tbl_明細[備考（顧客向け）],"",0,1))</f>
        <v/>
      </c>
    </row>
    <row r="35" ht="20.25" customHeight="1" s="207">
      <c r="B35" s="46" t="n"/>
      <c r="C35" s="46" t="n"/>
      <c r="D35" s="46" t="n"/>
      <c r="E35" s="46" t="n"/>
      <c r="F35" s="339" t="n"/>
      <c r="G35" s="47" t="n"/>
      <c r="H35" s="323">
        <f>IF(ISBLANK(C35),"",D35*F35)</f>
        <v/>
      </c>
      <c r="I35" s="16">
        <f t="array" ref="I35">IF(ISBLANK(_xlfn.XLOOKUP($C$1&amp;B35,tbl_明細[案件番号]&amp;tbl_明細[No],tbl_明細[備考（顧客向け）],"",0,1)),"",_xlfn.XLOOKUP($C$1&amp;B35,tbl_明細[案件番号]&amp;tbl_明細[No],tbl_明細[備考（顧客向け）],"",0,1))</f>
        <v/>
      </c>
    </row>
    <row r="36" ht="20.25" customHeight="1" s="207">
      <c r="B36" s="46" t="n"/>
      <c r="C36" s="46" t="n"/>
      <c r="D36" s="46" t="n"/>
      <c r="E36" s="46" t="n"/>
      <c r="F36" s="339" t="n"/>
      <c r="G36" s="47" t="n"/>
      <c r="H36" s="323">
        <f>IF(ISBLANK(C36),"",D36*F36)</f>
        <v/>
      </c>
      <c r="I36" s="16">
        <f t="array" ref="I36">IF(ISBLANK(_xlfn.XLOOKUP($C$1&amp;B36,tbl_明細[案件番号]&amp;tbl_明細[No],tbl_明細[備考（顧客向け）],"",0,1)),"",_xlfn.XLOOKUP($C$1&amp;B36,tbl_明細[案件番号]&amp;tbl_明細[No],tbl_明細[備考（顧客向け）],"",0,1))</f>
        <v/>
      </c>
    </row>
    <row r="37" ht="20.25" customHeight="1" s="207">
      <c r="B37" s="46" t="n"/>
      <c r="C37" s="46" t="n"/>
      <c r="D37" s="46" t="n"/>
      <c r="E37" s="46" t="n"/>
      <c r="F37" s="339" t="n"/>
      <c r="G37" s="47" t="n"/>
      <c r="H37" s="323">
        <f>IF(ISBLANK(C37),"",D37*F37)</f>
        <v/>
      </c>
      <c r="I37" s="16">
        <f t="array" ref="I37">IF(ISBLANK(_xlfn.XLOOKUP($C$1&amp;B37,tbl_明細[案件番号]&amp;tbl_明細[No],tbl_明細[備考（顧客向け）],"",0,1)),"",_xlfn.XLOOKUP($C$1&amp;B37,tbl_明細[案件番号]&amp;tbl_明細[No],tbl_明細[備考（顧客向け）],"",0,1))</f>
        <v/>
      </c>
    </row>
    <row r="38" ht="20.25" customHeight="1" s="207">
      <c r="B38" s="46" t="n"/>
      <c r="C38" s="46" t="n"/>
      <c r="D38" s="46" t="n"/>
      <c r="E38" s="46" t="n"/>
      <c r="F38" s="339" t="n"/>
      <c r="G38" s="47" t="n"/>
      <c r="H38" s="323">
        <f>IF(ISBLANK(C38),"",D38*F38)</f>
        <v/>
      </c>
      <c r="I38" s="16">
        <f t="array" ref="I38">IF(ISBLANK(_xlfn.XLOOKUP($C$1&amp;B38,tbl_明細[案件番号]&amp;tbl_明細[No],tbl_明細[備考（顧客向け）],"",0,1)),"",_xlfn.XLOOKUP($C$1&amp;B38,tbl_明細[案件番号]&amp;tbl_明細[No],tbl_明細[備考（顧客向け）],"",0,1))</f>
        <v/>
      </c>
    </row>
    <row r="39" ht="20.25" customHeight="1" s="207">
      <c r="B39" s="46" t="n"/>
      <c r="C39" s="46" t="n"/>
      <c r="D39" s="46" t="n"/>
      <c r="E39" s="46" t="n"/>
      <c r="F39" s="339" t="n"/>
      <c r="G39" s="47" t="n"/>
      <c r="H39" s="323">
        <f>IF(ISBLANK(C39),"",D39*F39)</f>
        <v/>
      </c>
      <c r="I39" s="16">
        <f t="array" ref="I39">IF(ISBLANK(_xlfn.XLOOKUP($C$1&amp;B39,tbl_明細[案件番号]&amp;tbl_明細[No],tbl_明細[備考（顧客向け）],"",0,1)),"",_xlfn.XLOOKUP($C$1&amp;B39,tbl_明細[案件番号]&amp;tbl_明細[No],tbl_明細[備考（顧客向け）],"",0,1))</f>
        <v/>
      </c>
    </row>
    <row r="40" ht="26.4" customFormat="1" customHeight="1" s="23">
      <c r="B40" s="19" t="n"/>
      <c r="C40" s="19" t="n"/>
      <c r="D40" s="19" t="n"/>
      <c r="E40" s="19" t="n"/>
      <c r="F40" s="19" t="n"/>
      <c r="G40" s="20" t="inlineStr">
        <is>
          <t>税抜合計:</t>
        </is>
      </c>
      <c r="H40" s="335">
        <f>SUM(H20:H39)</f>
        <v/>
      </c>
      <c r="I40" s="22" t="n"/>
    </row>
    <row r="41" ht="26.4" customFormat="1" customHeight="1" s="23">
      <c r="B41" s="48">
        <f>"振込期日："&amp;TEXT(EOMONTH(I5,1),"YYYY年MM月DD日")</f>
        <v/>
      </c>
      <c r="C41" s="187" t="n"/>
      <c r="D41" s="187" t="n"/>
      <c r="E41" s="187" t="n"/>
      <c r="F41" s="187" t="n"/>
      <c r="G41" s="24" t="n"/>
      <c r="H41" s="336" t="n"/>
      <c r="I41" s="187" t="n"/>
    </row>
    <row r="42" ht="26.4" customFormat="1" customHeight="1" s="23">
      <c r="B42" s="187" t="n"/>
      <c r="C42" s="187" t="n"/>
      <c r="D42" s="187" t="n"/>
      <c r="E42" s="187" t="n"/>
      <c r="F42" s="187" t="n"/>
      <c r="G42" s="187" t="n"/>
      <c r="H42" s="26" t="inlineStr">
        <is>
          <t>金額（税抜）</t>
        </is>
      </c>
      <c r="I42" s="26" t="inlineStr">
        <is>
          <t>消費税等</t>
        </is>
      </c>
    </row>
    <row r="43" ht="26.4" customFormat="1" customHeight="1" s="23">
      <c r="B43" s="27" t="n"/>
      <c r="C43" s="27" t="n"/>
      <c r="D43" s="187" t="n"/>
      <c r="E43" s="187" t="n"/>
      <c r="F43" s="28" t="n">
        <v>0.08</v>
      </c>
      <c r="G43" s="24" t="inlineStr">
        <is>
          <t>対象 小計:</t>
        </is>
      </c>
      <c r="H43" s="326">
        <f>SUMIF($G$20:$G$39,F43,$H$20:$H$39)</f>
        <v/>
      </c>
      <c r="I43" s="326">
        <f>ROUND(H43*F43,0)</f>
        <v/>
      </c>
    </row>
    <row r="44" ht="26.4" customFormat="1" customHeight="1" s="23">
      <c r="B44" s="27" t="n"/>
      <c r="C44" s="27" t="n"/>
      <c r="D44" s="187" t="n"/>
      <c r="E44" s="187" t="n"/>
      <c r="F44" s="28" t="n">
        <v>0.1</v>
      </c>
      <c r="G44" s="24" t="inlineStr">
        <is>
          <t>対象 小計:</t>
        </is>
      </c>
      <c r="H44" s="326">
        <f>SUMIF($G$20:$G$39,F44,$H$20:$H$39)</f>
        <v/>
      </c>
      <c r="I44" s="326">
        <f>ROUND(H44*F44,0)</f>
        <v/>
      </c>
    </row>
    <row r="45" ht="26.4" customFormat="1" customHeight="1" s="23">
      <c r="B45" s="27" t="n"/>
      <c r="C45" s="27" t="n"/>
      <c r="D45" s="187" t="n"/>
      <c r="E45" s="187" t="n"/>
      <c r="F45" s="29" t="inlineStr">
        <is>
          <t>非課税</t>
        </is>
      </c>
      <c r="G45" s="24" t="inlineStr">
        <is>
          <t>対象 小計:</t>
        </is>
      </c>
      <c r="H45" s="326">
        <f>SUMIF($G$20:$G$39,F45,$H$20:$H$39)</f>
        <v/>
      </c>
      <c r="I45" s="326" t="n"/>
    </row>
    <row r="46" ht="26.4" customFormat="1" customHeight="1" s="23">
      <c r="B46" s="27" t="n"/>
      <c r="C46" s="27" t="n"/>
      <c r="D46" s="187" t="n"/>
      <c r="E46" s="187" t="n"/>
      <c r="F46" s="187" t="n"/>
      <c r="G46" s="24" t="inlineStr">
        <is>
          <t>税込合計:</t>
        </is>
      </c>
      <c r="H46" s="337" t="n"/>
      <c r="I46" s="338">
        <f>SUM(H43:I45)</f>
        <v/>
      </c>
    </row>
    <row r="48" ht="22.2" customHeight="1" s="207">
      <c r="B48" s="32" t="inlineStr">
        <is>
          <t>備考欄：</t>
        </is>
      </c>
    </row>
    <row r="49" ht="18" customHeight="1" s="207">
      <c r="B49" s="6" t="n"/>
      <c r="C49" s="7" t="n"/>
      <c r="D49" s="7" t="n"/>
      <c r="E49" s="7" t="n"/>
      <c r="F49" s="7" t="n"/>
      <c r="G49" s="7" t="n"/>
      <c r="H49" s="7" t="n"/>
      <c r="I49" s="8" t="n"/>
    </row>
    <row r="50" ht="18" customHeight="1" s="207">
      <c r="B50" s="33" t="n"/>
      <c r="I50" s="10" t="n"/>
    </row>
    <row r="51" ht="18" customHeight="1" s="207">
      <c r="B51" s="33" t="n"/>
      <c r="I51" s="10" t="n"/>
    </row>
    <row r="52" ht="18" customHeight="1" s="207">
      <c r="B52" s="33" t="n"/>
      <c r="I52" s="10" t="n"/>
    </row>
    <row r="53" ht="18" customHeight="1" s="207">
      <c r="B53" s="33" t="n"/>
      <c r="I53" s="10" t="n"/>
    </row>
    <row r="54" ht="18" customHeight="1" s="207">
      <c r="B54" s="33" t="n"/>
      <c r="I54" s="10" t="n"/>
    </row>
    <row r="55" ht="18" customHeight="1" s="207">
      <c r="B55" s="33" t="n"/>
      <c r="I55" s="10" t="n"/>
    </row>
    <row r="56" ht="18" customHeight="1" s="207">
      <c r="B56" s="33" t="n"/>
      <c r="I56" s="10" t="n"/>
    </row>
    <row r="57" ht="18" customHeight="1" s="207">
      <c r="B57" s="34" t="n"/>
      <c r="C57" s="14" t="n"/>
      <c r="D57" s="14" t="n"/>
      <c r="E57" s="14" t="n"/>
      <c r="F57" s="14" t="n"/>
      <c r="G57" s="14" t="n"/>
      <c r="H57" s="14" t="n"/>
      <c r="I57" s="15" t="n"/>
    </row>
  </sheetData>
  <mergeCells count="2">
    <mergeCell ref="B15:E16"/>
    <mergeCell ref="B3:I3"/>
  </mergeCells>
  <conditionalFormatting sqref="H40">
    <cfRule type="cellIs" priority="2" operator="notEqual" dxfId="0">
      <formula>$H$43+$H$44+$H$45</formula>
    </cfRule>
  </conditionalFormatting>
  <conditionalFormatting sqref="I5">
    <cfRule type="cellIs" priority="1" operator="equal" dxfId="0">
      <formula>0</formula>
    </cfRule>
  </conditionalFormatting>
  <pageMargins left="0.7" right="0.7" top="0.75" bottom="0.75" header="0.3" footer="0.3"/>
  <pageSetup orientation="portrait" paperSize="9" scale="55"/>
  <drawing xmlns:r="http://schemas.openxmlformats.org/officeDocument/2006/relationships" r:id="rId1"/>
</worksheet>
</file>

<file path=xl/worksheets/sheet12.xml><?xml version="1.0" encoding="utf-8"?>
<worksheet xmlns="http://schemas.openxmlformats.org/spreadsheetml/2006/main">
  <sheetPr>
    <outlinePr summaryBelow="1" summaryRight="1"/>
    <pageSetUpPr fitToPage="1"/>
  </sheetPr>
  <dimension ref="B1:I57"/>
  <sheetViews>
    <sheetView topLeftCell="A33" workbookViewId="0">
      <selection activeCell="I44" sqref="I44"/>
    </sheetView>
  </sheetViews>
  <sheetFormatPr baseColWidth="8" defaultColWidth="9" defaultRowHeight="15.75" customHeight="1"/>
  <cols>
    <col width="9" customWidth="1" style="124" min="1" max="1"/>
    <col width="12.19921875" customWidth="1" style="124" min="2" max="2"/>
    <col width="39.19921875" customWidth="1" style="124" min="3" max="3"/>
    <col width="10" customWidth="1" style="124" min="4" max="4"/>
    <col width="8" customWidth="1" style="124" min="5" max="5"/>
    <col width="12" customWidth="1" style="124" min="6" max="6"/>
    <col width="14" customWidth="1" style="124" min="7" max="7"/>
    <col width="21.5" customWidth="1" style="124" min="8" max="8"/>
    <col width="28.09765625" bestFit="1" customWidth="1" style="124" min="9" max="9"/>
    <col width="9" customWidth="1" style="124" min="10" max="16384"/>
  </cols>
  <sheetData>
    <row r="1" ht="18" customHeight="1" s="207">
      <c r="B1" s="122" t="inlineStr">
        <is>
          <t>ここだけ入力　案件番号:</t>
        </is>
      </c>
      <c r="C1" s="171" t="inlineStr">
        <is>
          <t>2601-1005-S01</t>
        </is>
      </c>
    </row>
    <row r="3" ht="45.75" customHeight="1" s="207">
      <c r="B3" s="285" t="inlineStr">
        <is>
          <t>請　求　書</t>
        </is>
      </c>
    </row>
    <row r="5" ht="18" customHeight="1" s="207">
      <c r="H5" s="3" t="inlineStr">
        <is>
          <t>発行日：</t>
        </is>
      </c>
      <c r="I5" s="320">
        <f>_xlfn.XLOOKUP($C$1,tbl_案件追跡[案件番号],tbl_案件追跡[売上計上],"",0,1)</f>
        <v/>
      </c>
    </row>
    <row r="6" ht="26.4" customHeight="1" s="207">
      <c r="B6" s="49">
        <f>_xlfn.XLOOKUP($C$1,tbl_明細[案件番号],tbl_明細[顧客名],"",0,1)&amp;" 御中"</f>
        <v/>
      </c>
      <c r="H6" s="3" t="inlineStr">
        <is>
          <t>請求書No. ：</t>
        </is>
      </c>
      <c r="I6" s="3">
        <f>"INV-SNJ-"&amp;C1</f>
        <v/>
      </c>
    </row>
    <row r="7" ht="22.2" customHeight="1" s="207">
      <c r="B7" s="187" t="n"/>
      <c r="G7" s="6" t="n"/>
      <c r="H7" s="7" t="n"/>
      <c r="I7" s="8" t="n"/>
    </row>
    <row r="8" ht="18" customHeight="1" s="207">
      <c r="G8" s="9" t="n"/>
      <c r="I8" s="10" t="n"/>
    </row>
    <row r="9" ht="18" customHeight="1" s="207">
      <c r="G9" s="11" t="inlineStr">
        <is>
          <t xml:space="preserve">　新日本海商事株式会社</t>
        </is>
      </c>
      <c r="I9" s="10" t="n"/>
    </row>
    <row r="10" ht="18.75" customHeight="1" s="207">
      <c r="B10" s="124" t="inlineStr">
        <is>
          <t>平素よりお世話になっております。</t>
        </is>
      </c>
      <c r="G10" s="11" t="inlineStr">
        <is>
          <t xml:space="preserve">　〒530-0001</t>
        </is>
      </c>
      <c r="I10" s="10" t="n"/>
    </row>
    <row r="11" ht="18.75" customHeight="1" s="207">
      <c r="B11" s="124" t="inlineStr">
        <is>
          <t>下記の通りご請求申し上げます。</t>
        </is>
      </c>
      <c r="F11" s="10" t="n"/>
      <c r="G11" s="11" t="inlineStr">
        <is>
          <t xml:space="preserve">　大阪市北区梅田2丁目5番25号</t>
        </is>
      </c>
      <c r="I11" s="10" t="n"/>
    </row>
    <row r="12" ht="18.75" customHeight="1" s="207">
      <c r="B12" s="45" t="inlineStr">
        <is>
          <t>誠に恐れ入りますが振込手数料はご負担いただきますようお願いいたします。</t>
        </is>
      </c>
      <c r="C12" s="287" t="n"/>
      <c r="D12" s="287" t="n"/>
      <c r="E12" s="287" t="n"/>
      <c r="F12" s="12" t="n"/>
      <c r="G12" s="11" t="inlineStr">
        <is>
          <t xml:space="preserve">　梅田阪神第1ビル15階（ハービスOSAKA）</t>
        </is>
      </c>
      <c r="I12" s="10" t="n"/>
    </row>
    <row r="13" ht="19.5" customHeight="1" s="207">
      <c r="B13" s="287" t="n"/>
      <c r="C13" s="287" t="n"/>
      <c r="D13" s="287" t="n"/>
      <c r="E13" s="287" t="n"/>
      <c r="F13" s="12" t="n"/>
      <c r="G13" s="13" t="inlineStr">
        <is>
          <t xml:space="preserve">　TEL: 06-6345-9021</t>
        </is>
      </c>
      <c r="H13" s="14" t="n"/>
      <c r="I13" s="15" t="n"/>
    </row>
    <row r="15" ht="18" customHeight="1" s="207">
      <c r="B15" s="288">
        <f>"請求金額（税込）　　"&amp;TEXT(I46,"\#,##0")</f>
        <v/>
      </c>
      <c r="G15" s="6" t="inlineStr">
        <is>
          <t>振込先：</t>
        </is>
      </c>
      <c r="H15" s="7" t="inlineStr">
        <is>
          <t>三菱UFJ銀行  堂島支店</t>
        </is>
      </c>
      <c r="I15" s="8" t="n"/>
    </row>
    <row r="16" ht="18.6" customHeight="1" s="207" thickBot="1">
      <c r="B16" s="321" t="n"/>
      <c r="C16" s="321" t="n"/>
      <c r="D16" s="321" t="n"/>
      <c r="E16" s="321" t="n"/>
      <c r="G16" s="34" t="n"/>
      <c r="H16" s="14" t="inlineStr">
        <is>
          <t xml:space="preserve">(当) 0143405  ｼﾝﾆﾎﾝｶｲｼｮｳｼﾞ　ｶ) </t>
        </is>
      </c>
      <c r="I16" s="15" t="n"/>
    </row>
    <row r="17" ht="15.75" customHeight="1" s="207">
      <c r="G17" s="124" t="inlineStr">
        <is>
          <t>INVOICE NO:T9120001109968</t>
        </is>
      </c>
    </row>
    <row r="19" ht="20.25" customHeight="1" s="207">
      <c r="B19" s="203" t="inlineStr">
        <is>
          <t>No</t>
        </is>
      </c>
      <c r="C19" s="203" t="inlineStr">
        <is>
          <t>商品名</t>
        </is>
      </c>
      <c r="D19" s="203" t="inlineStr">
        <is>
          <t>数量</t>
        </is>
      </c>
      <c r="E19" s="203" t="inlineStr">
        <is>
          <t>単位</t>
        </is>
      </c>
      <c r="F19" s="203" t="inlineStr">
        <is>
          <t>単価</t>
        </is>
      </c>
      <c r="G19" s="203" t="inlineStr">
        <is>
          <t>税率</t>
        </is>
      </c>
      <c r="H19" s="203" t="inlineStr">
        <is>
          <t>金額</t>
        </is>
      </c>
      <c r="I19" s="203" t="inlineStr">
        <is>
          <t>備考</t>
        </is>
      </c>
    </row>
    <row r="20" ht="20.25" customHeight="1" s="207">
      <c r="B20" s="46">
        <f t="array" ref="B20:G22">_xlfn._xlws.FILTER(
  CHOOSE({1,2,3,4,5,6},
    tbl_明細[No],
    IF(LEFT(tbl_明細[商品ID],4)&lt;&gt;"PRD_", tbl_明細[商品名（M)], tbl_明細[商品名]),
    IF(LEFT(tbl_明細[商品ID],4)&lt;&gt;"PRD_", tbl_明細[数量（M)], tbl_明細[数量]),
    IF(LEFT(tbl_明細[商品ID],4)&lt;&gt;"PRD_", tbl_明細[単位（M)], tbl_明細[単位]),
    IF(LEFT(tbl_明細[商品ID],4)&lt;&gt;"PRD_", tbl_明細[販売価格（M)], tbl_明細[販売価格（売値）]),
    IF(LEFT(tbl_明細[商品ID],4)&lt;&gt;"PRD_", tbl_明細[税率（M）],tbl_明細[税率])
  ),
  (tbl_明細[案件番号]=$C$1)*(tbl_明細[(非表示）販売価格の和] &gt; 0),
  "該当なし"
)</f>
        <v/>
      </c>
      <c r="C20" s="46" t="inlineStr">
        <is>
          <t>熊掌（後脚）</t>
        </is>
      </c>
      <c r="D20" s="46" t="n">
        <v>1.363</v>
      </c>
      <c r="E20" s="46" t="inlineStr">
        <is>
          <t>kg</t>
        </is>
      </c>
      <c r="F20" s="195" t="n">
        <v>18000</v>
      </c>
      <c r="G20" s="47" t="n">
        <v>0.08</v>
      </c>
      <c r="H20" s="194">
        <f>IF(ISBLANK(C20),"",D20*F20)</f>
        <v/>
      </c>
      <c r="I20" s="16">
        <f t="array" ref="I20">IF(ISBLANK(_xlfn.XLOOKUP($C$1&amp;B20,tbl_明細[案件番号]&amp;tbl_明細[No],tbl_明細[備考（顧客向け）],"",0,1)),"",_xlfn.XLOOKUP($C$1&amp;B20,tbl_明細[案件番号]&amp;tbl_明細[No],tbl_明細[備考（顧客向け）],"",0,1))</f>
        <v/>
      </c>
    </row>
    <row r="21" ht="20.25" customHeight="1" s="207">
      <c r="B21" s="46" t="n">
        <v>2</v>
      </c>
      <c r="C21" s="46" t="inlineStr">
        <is>
          <t>熊掌（後脚）</t>
        </is>
      </c>
      <c r="D21" s="46" t="n">
        <v>1.32</v>
      </c>
      <c r="E21" s="46" t="inlineStr">
        <is>
          <t>kg</t>
        </is>
      </c>
      <c r="F21" s="195" t="n">
        <v>18000</v>
      </c>
      <c r="G21" s="47" t="n">
        <v>0.08</v>
      </c>
      <c r="H21" s="194">
        <f>IF(ISBLANK(C21),"",D21*F21)</f>
        <v/>
      </c>
      <c r="I21" s="16">
        <f t="array" ref="I21">IF(ISBLANK(_xlfn.XLOOKUP($C$1&amp;B21,tbl_明細[案件番号]&amp;tbl_明細[No],tbl_明細[備考（顧客向け）],"",0,1)),"",_xlfn.XLOOKUP($C$1&amp;B21,tbl_明細[案件番号]&amp;tbl_明細[No],tbl_明細[備考（顧客向け）],"",0,1))</f>
        <v/>
      </c>
    </row>
    <row r="22" ht="20.25" customHeight="1" s="207">
      <c r="B22" s="46" t="n">
        <v>3</v>
      </c>
      <c r="C22" s="46" t="inlineStr">
        <is>
          <t>送料（北海道）</t>
        </is>
      </c>
      <c r="D22" s="46" t="n">
        <v>1</v>
      </c>
      <c r="E22" s="46" t="inlineStr">
        <is>
          <t>式</t>
        </is>
      </c>
      <c r="F22" s="195" t="n">
        <v>1100</v>
      </c>
      <c r="G22" s="47" t="n">
        <v>0.1</v>
      </c>
      <c r="H22" s="194">
        <f>IF(ISBLANK(C22),"",D22*F22)</f>
        <v/>
      </c>
      <c r="I22" s="16">
        <f t="array" ref="I22">IF(ISBLANK(_xlfn.XLOOKUP($C$1&amp;B22,tbl_明細[案件番号]&amp;tbl_明細[No],tbl_明細[備考（顧客向け）],"",0,1)),"",_xlfn.XLOOKUP($C$1&amp;B22,tbl_明細[案件番号]&amp;tbl_明細[No],tbl_明細[備考（顧客向け）],"",0,1))</f>
        <v/>
      </c>
    </row>
    <row r="23" ht="20.25" customHeight="1" s="207">
      <c r="B23" s="46" t="n"/>
      <c r="C23" s="46" t="n"/>
      <c r="D23" s="46" t="n"/>
      <c r="E23" s="46" t="n"/>
      <c r="F23" s="195" t="n"/>
      <c r="G23" s="47" t="n"/>
      <c r="H23" s="194">
        <f>IF(ISBLANK(C23),"",D23*F23)</f>
        <v/>
      </c>
      <c r="I23" s="16">
        <f t="array" ref="I23">IF(ISBLANK(_xlfn.XLOOKUP($C$1&amp;B23,tbl_明細[案件番号]&amp;tbl_明細[No],tbl_明細[備考（顧客向け）],"",0,1)),"",_xlfn.XLOOKUP($C$1&amp;B23,tbl_明細[案件番号]&amp;tbl_明細[No],tbl_明細[備考（顧客向け）],"",0,1))</f>
        <v/>
      </c>
    </row>
    <row r="24" ht="20.25" customHeight="1" s="207">
      <c r="B24" s="46" t="n"/>
      <c r="C24" s="46" t="n"/>
      <c r="D24" s="46" t="n"/>
      <c r="E24" s="46" t="n"/>
      <c r="F24" s="195" t="n"/>
      <c r="G24" s="47" t="n"/>
      <c r="H24" s="194">
        <f>IF(ISBLANK(C24),"",D24*F24)</f>
        <v/>
      </c>
      <c r="I24" s="16">
        <f t="array" ref="I24">IF(ISBLANK(_xlfn.XLOOKUP($C$1&amp;B24,tbl_明細[案件番号]&amp;tbl_明細[No],tbl_明細[備考（顧客向け）],"",0,1)),"",_xlfn.XLOOKUP($C$1&amp;B24,tbl_明細[案件番号]&amp;tbl_明細[No],tbl_明細[備考（顧客向け）],"",0,1))</f>
        <v/>
      </c>
    </row>
    <row r="25" ht="20.25" customHeight="1" s="207">
      <c r="B25" s="46" t="n"/>
      <c r="C25" s="46" t="n"/>
      <c r="D25" s="46" t="n"/>
      <c r="E25" s="46" t="n"/>
      <c r="F25" s="195" t="n"/>
      <c r="G25" s="47" t="n"/>
      <c r="H25" s="194">
        <f>IF(ISBLANK(C25),"",D25*F25)</f>
        <v/>
      </c>
      <c r="I25" s="16">
        <f t="array" ref="I25">IF(ISBLANK(_xlfn.XLOOKUP($C$1&amp;B25,tbl_明細[案件番号]&amp;tbl_明細[No],tbl_明細[備考（顧客向け）],"",0,1)),"",_xlfn.XLOOKUP($C$1&amp;B25,tbl_明細[案件番号]&amp;tbl_明細[No],tbl_明細[備考（顧客向け）],"",0,1))</f>
        <v/>
      </c>
    </row>
    <row r="26" ht="20.25" customHeight="1" s="207">
      <c r="B26" s="46" t="n"/>
      <c r="C26" s="46" t="n"/>
      <c r="D26" s="46" t="n"/>
      <c r="E26" s="46" t="n"/>
      <c r="F26" s="195" t="n"/>
      <c r="G26" s="47" t="n"/>
      <c r="H26" s="194">
        <f>IF(ISBLANK(C26),"",D26*F26)</f>
        <v/>
      </c>
      <c r="I26" s="16">
        <f t="array" ref="I26">IF(ISBLANK(_xlfn.XLOOKUP($C$1&amp;B26,tbl_明細[案件番号]&amp;tbl_明細[No],tbl_明細[備考（顧客向け）],"",0,1)),"",_xlfn.XLOOKUP($C$1&amp;B26,tbl_明細[案件番号]&amp;tbl_明細[No],tbl_明細[備考（顧客向け）],"",0,1))</f>
        <v/>
      </c>
    </row>
    <row r="27" ht="20.25" customHeight="1" s="207">
      <c r="B27" s="46" t="n"/>
      <c r="C27" s="46" t="n"/>
      <c r="D27" s="46" t="n"/>
      <c r="E27" s="46" t="n"/>
      <c r="F27" s="195" t="n"/>
      <c r="G27" s="47" t="n"/>
      <c r="H27" s="194">
        <f>IF(ISBLANK(C27),"",D27*F27)</f>
        <v/>
      </c>
      <c r="I27" s="16">
        <f t="array" ref="I27">IF(ISBLANK(_xlfn.XLOOKUP($C$1&amp;B27,tbl_明細[案件番号]&amp;tbl_明細[No],tbl_明細[備考（顧客向け）],"",0,1)),"",_xlfn.XLOOKUP($C$1&amp;B27,tbl_明細[案件番号]&amp;tbl_明細[No],tbl_明細[備考（顧客向け）],"",0,1))</f>
        <v/>
      </c>
    </row>
    <row r="28" ht="20.25" customHeight="1" s="207">
      <c r="B28" s="46" t="n"/>
      <c r="C28" s="46" t="n"/>
      <c r="D28" s="46" t="n"/>
      <c r="E28" s="46" t="n"/>
      <c r="F28" s="195" t="n"/>
      <c r="G28" s="47" t="n"/>
      <c r="H28" s="194">
        <f>IF(ISBLANK(C28),"",D28*F28)</f>
        <v/>
      </c>
      <c r="I28" s="16">
        <f t="array" ref="I28">IF(ISBLANK(_xlfn.XLOOKUP($C$1&amp;B28,tbl_明細[案件番号]&amp;tbl_明細[No],tbl_明細[備考（顧客向け）],"",0,1)),"",_xlfn.XLOOKUP($C$1&amp;B28,tbl_明細[案件番号]&amp;tbl_明細[No],tbl_明細[備考（顧客向け）],"",0,1))</f>
        <v/>
      </c>
    </row>
    <row r="29" ht="20.25" customHeight="1" s="207">
      <c r="B29" s="46" t="n"/>
      <c r="C29" s="46" t="n"/>
      <c r="D29" s="46" t="n"/>
      <c r="E29" s="46" t="n"/>
      <c r="F29" s="195" t="n"/>
      <c r="G29" s="47" t="n"/>
      <c r="H29" s="194">
        <f>IF(ISBLANK(C29),"",D29*F29)</f>
        <v/>
      </c>
      <c r="I29" s="16">
        <f t="array" ref="I29">IF(ISBLANK(_xlfn.XLOOKUP($C$1&amp;B29,tbl_明細[案件番号]&amp;tbl_明細[No],tbl_明細[備考（顧客向け）],"",0,1)),"",_xlfn.XLOOKUP($C$1&amp;B29,tbl_明細[案件番号]&amp;tbl_明細[No],tbl_明細[備考（顧客向け）],"",0,1))</f>
        <v/>
      </c>
    </row>
    <row r="30" ht="20.25" customHeight="1" s="207">
      <c r="B30" s="46" t="n"/>
      <c r="C30" s="46" t="n"/>
      <c r="D30" s="46" t="n"/>
      <c r="E30" s="46" t="n"/>
      <c r="F30" s="195" t="n"/>
      <c r="G30" s="47" t="n"/>
      <c r="H30" s="194">
        <f>IF(ISBLANK(C30),"",D30*F30)</f>
        <v/>
      </c>
      <c r="I30" s="16">
        <f t="array" ref="I30">IF(ISBLANK(_xlfn.XLOOKUP($C$1&amp;B30,tbl_明細[案件番号]&amp;tbl_明細[No],tbl_明細[備考（顧客向け）],"",0,1)),"",_xlfn.XLOOKUP($C$1&amp;B30,tbl_明細[案件番号]&amp;tbl_明細[No],tbl_明細[備考（顧客向け）],"",0,1))</f>
        <v/>
      </c>
    </row>
    <row r="31" ht="20.25" customHeight="1" s="207">
      <c r="B31" s="46" t="n"/>
      <c r="C31" s="46" t="n"/>
      <c r="D31" s="46" t="n"/>
      <c r="E31" s="46" t="n"/>
      <c r="F31" s="195" t="n"/>
      <c r="G31" s="47" t="n"/>
      <c r="H31" s="194">
        <f>IF(ISBLANK(C31),"",D31*F31)</f>
        <v/>
      </c>
      <c r="I31" s="16">
        <f t="array" ref="I31">IF(ISBLANK(_xlfn.XLOOKUP($C$1&amp;B31,tbl_明細[案件番号]&amp;tbl_明細[No],tbl_明細[備考（顧客向け）],"",0,1)),"",_xlfn.XLOOKUP($C$1&amp;B31,tbl_明細[案件番号]&amp;tbl_明細[No],tbl_明細[備考（顧客向け）],"",0,1))</f>
        <v/>
      </c>
    </row>
    <row r="32" ht="20.25" customHeight="1" s="207">
      <c r="B32" s="46" t="n"/>
      <c r="C32" s="46" t="n"/>
      <c r="D32" s="46" t="n"/>
      <c r="E32" s="46" t="n"/>
      <c r="F32" s="195" t="n"/>
      <c r="G32" s="47" t="n"/>
      <c r="H32" s="194">
        <f>IF(ISBLANK(C32),"",D32*F32)</f>
        <v/>
      </c>
      <c r="I32" s="16">
        <f t="array" ref="I32">IF(ISBLANK(_xlfn.XLOOKUP($C$1&amp;B32,tbl_明細[案件番号]&amp;tbl_明細[No],tbl_明細[備考（顧客向け）],"",0,1)),"",_xlfn.XLOOKUP($C$1&amp;B32,tbl_明細[案件番号]&amp;tbl_明細[No],tbl_明細[備考（顧客向け）],"",0,1))</f>
        <v/>
      </c>
    </row>
    <row r="33" ht="20.25" customHeight="1" s="207">
      <c r="B33" s="46" t="n"/>
      <c r="C33" s="46" t="n"/>
      <c r="D33" s="46" t="n"/>
      <c r="E33" s="46" t="n"/>
      <c r="F33" s="195" t="n"/>
      <c r="G33" s="47" t="n"/>
      <c r="H33" s="194">
        <f>IF(ISBLANK(C33),"",D33*F33)</f>
        <v/>
      </c>
      <c r="I33" s="16">
        <f t="array" ref="I33">IF(ISBLANK(_xlfn.XLOOKUP($C$1&amp;B33,tbl_明細[案件番号]&amp;tbl_明細[No],tbl_明細[備考（顧客向け）],"",0,1)),"",_xlfn.XLOOKUP($C$1&amp;B33,tbl_明細[案件番号]&amp;tbl_明細[No],tbl_明細[備考（顧客向け）],"",0,1))</f>
        <v/>
      </c>
    </row>
    <row r="34" ht="20.25" customHeight="1" s="207">
      <c r="B34" s="46" t="n"/>
      <c r="C34" s="46" t="n"/>
      <c r="D34" s="46" t="n"/>
      <c r="E34" s="46" t="n"/>
      <c r="F34" s="195" t="n"/>
      <c r="G34" s="47" t="n"/>
      <c r="H34" s="194">
        <f>IF(ISBLANK(C34),"",D34*F34)</f>
        <v/>
      </c>
      <c r="I34" s="16">
        <f t="array" ref="I34">IF(ISBLANK(_xlfn.XLOOKUP($C$1&amp;B34,tbl_明細[案件番号]&amp;tbl_明細[No],tbl_明細[備考（顧客向け）],"",0,1)),"",_xlfn.XLOOKUP($C$1&amp;B34,tbl_明細[案件番号]&amp;tbl_明細[No],tbl_明細[備考（顧客向け）],"",0,1))</f>
        <v/>
      </c>
    </row>
    <row r="35" ht="20.25" customHeight="1" s="207">
      <c r="B35" s="46" t="n"/>
      <c r="C35" s="46" t="n"/>
      <c r="D35" s="46" t="n"/>
      <c r="E35" s="46" t="n"/>
      <c r="F35" s="195" t="n"/>
      <c r="G35" s="47" t="n"/>
      <c r="H35" s="194">
        <f>IF(ISBLANK(C35),"",D35*F35)</f>
        <v/>
      </c>
      <c r="I35" s="16">
        <f t="array" ref="I35">IF(ISBLANK(_xlfn.XLOOKUP($C$1&amp;B35,tbl_明細[案件番号]&amp;tbl_明細[No],tbl_明細[備考（顧客向け）],"",0,1)),"",_xlfn.XLOOKUP($C$1&amp;B35,tbl_明細[案件番号]&amp;tbl_明細[No],tbl_明細[備考（顧客向け）],"",0,1))</f>
        <v/>
      </c>
    </row>
    <row r="36" ht="20.25" customHeight="1" s="207">
      <c r="B36" s="46" t="n"/>
      <c r="C36" s="46" t="n"/>
      <c r="D36" s="46" t="n"/>
      <c r="E36" s="46" t="n"/>
      <c r="F36" s="195" t="n"/>
      <c r="G36" s="47" t="n"/>
      <c r="H36" s="194">
        <f>IF(ISBLANK(C36),"",D36*F36)</f>
        <v/>
      </c>
      <c r="I36" s="16">
        <f t="array" ref="I36">IF(ISBLANK(_xlfn.XLOOKUP($C$1&amp;B36,tbl_明細[案件番号]&amp;tbl_明細[No],tbl_明細[備考（顧客向け）],"",0,1)),"",_xlfn.XLOOKUP($C$1&amp;B36,tbl_明細[案件番号]&amp;tbl_明細[No],tbl_明細[備考（顧客向け）],"",0,1))</f>
        <v/>
      </c>
    </row>
    <row r="37" ht="20.25" customHeight="1" s="207">
      <c r="B37" s="46" t="n"/>
      <c r="C37" s="46" t="n"/>
      <c r="D37" s="46" t="n"/>
      <c r="E37" s="46" t="n"/>
      <c r="F37" s="195" t="n"/>
      <c r="G37" s="47" t="n"/>
      <c r="H37" s="194">
        <f>IF(ISBLANK(C37),"",D37*F37)</f>
        <v/>
      </c>
      <c r="I37" s="16">
        <f t="array" ref="I37">IF(ISBLANK(_xlfn.XLOOKUP($C$1&amp;B37,tbl_明細[案件番号]&amp;tbl_明細[No],tbl_明細[備考（顧客向け）],"",0,1)),"",_xlfn.XLOOKUP($C$1&amp;B37,tbl_明細[案件番号]&amp;tbl_明細[No],tbl_明細[備考（顧客向け）],"",0,1))</f>
        <v/>
      </c>
    </row>
    <row r="38" ht="20.25" customHeight="1" s="207">
      <c r="B38" s="46" t="n"/>
      <c r="C38" s="46" t="n"/>
      <c r="D38" s="46" t="n"/>
      <c r="E38" s="46" t="n"/>
      <c r="F38" s="195" t="n"/>
      <c r="G38" s="47" t="n"/>
      <c r="H38" s="194">
        <f>IF(ISBLANK(C38),"",D38*F38)</f>
        <v/>
      </c>
      <c r="I38" s="16">
        <f t="array" ref="I38">IF(ISBLANK(_xlfn.XLOOKUP($C$1&amp;B38,tbl_明細[案件番号]&amp;tbl_明細[No],tbl_明細[備考（顧客向け）],"",0,1)),"",_xlfn.XLOOKUP($C$1&amp;B38,tbl_明細[案件番号]&amp;tbl_明細[No],tbl_明細[備考（顧客向け）],"",0,1))</f>
        <v/>
      </c>
    </row>
    <row r="39" ht="20.25" customHeight="1" s="207">
      <c r="B39" s="46" t="n"/>
      <c r="C39" s="46" t="n"/>
      <c r="D39" s="46" t="n"/>
      <c r="E39" s="46" t="n"/>
      <c r="F39" s="195" t="n"/>
      <c r="G39" s="47" t="n"/>
      <c r="H39" s="194">
        <f>IF(ISBLANK(C39),"",D39*F39)</f>
        <v/>
      </c>
      <c r="I39" s="16">
        <f t="array" ref="I39">IF(ISBLANK(_xlfn.XLOOKUP($C$1&amp;B39,tbl_明細[案件番号]&amp;tbl_明細[No],tbl_明細[備考（顧客向け）],"",0,1)),"",_xlfn.XLOOKUP($C$1&amp;B39,tbl_明細[案件番号]&amp;tbl_明細[No],tbl_明細[備考（顧客向け）],"",0,1))</f>
        <v/>
      </c>
    </row>
    <row r="40" ht="26.4" customFormat="1" customHeight="1" s="23">
      <c r="B40" s="19" t="n"/>
      <c r="C40" s="19" t="n"/>
      <c r="D40" s="19" t="n"/>
      <c r="E40" s="19" t="n"/>
      <c r="F40" s="19" t="n"/>
      <c r="G40" s="20" t="inlineStr">
        <is>
          <t>税抜合計:</t>
        </is>
      </c>
      <c r="H40" s="335">
        <f>SUM(H20:H39)</f>
        <v/>
      </c>
      <c r="I40" s="22" t="n"/>
    </row>
    <row r="41" ht="26.4" customFormat="1" customHeight="1" s="23">
      <c r="B41" s="48" t="n"/>
      <c r="C41" s="187" t="n"/>
      <c r="D41" s="187" t="n"/>
      <c r="E41" s="187" t="n"/>
      <c r="F41" s="187" t="n"/>
      <c r="G41" s="24" t="n"/>
      <c r="H41" s="336" t="n"/>
      <c r="I41" s="187" t="n"/>
    </row>
    <row r="42" ht="26.4" customFormat="1" customHeight="1" s="23">
      <c r="B42" s="187" t="n"/>
      <c r="C42" s="187" t="n"/>
      <c r="D42" s="187" t="n"/>
      <c r="E42" s="187" t="n"/>
      <c r="F42" s="187" t="n"/>
      <c r="G42" s="187" t="n"/>
      <c r="H42" s="26" t="inlineStr">
        <is>
          <t>金額（税抜）</t>
        </is>
      </c>
      <c r="I42" s="26" t="inlineStr">
        <is>
          <t>消費税等</t>
        </is>
      </c>
    </row>
    <row r="43" ht="26.4" customFormat="1" customHeight="1" s="23">
      <c r="B43" s="27" t="n"/>
      <c r="C43" s="27" t="n"/>
      <c r="D43" s="187" t="n"/>
      <c r="E43" s="187" t="n"/>
      <c r="F43" s="28" t="n">
        <v>0.08</v>
      </c>
      <c r="G43" s="24" t="inlineStr">
        <is>
          <t>対象 小計:</t>
        </is>
      </c>
      <c r="H43" s="326">
        <f>SUMIF($G$20:$G$39,F43,$H$20:$H$39)</f>
        <v/>
      </c>
      <c r="I43" s="326">
        <f>ROUND(H43*F43,0)</f>
        <v/>
      </c>
    </row>
    <row r="44" ht="26.4" customFormat="1" customHeight="1" s="23">
      <c r="B44" s="27" t="n"/>
      <c r="C44" s="27" t="n"/>
      <c r="D44" s="187" t="n"/>
      <c r="E44" s="187" t="n"/>
      <c r="F44" s="28" t="n">
        <v>0.1</v>
      </c>
      <c r="G44" s="24" t="inlineStr">
        <is>
          <t>対象 小計:</t>
        </is>
      </c>
      <c r="H44" s="326">
        <f>SUMIF($G$20:$G$39,F44,$H$20:$H$39)</f>
        <v/>
      </c>
      <c r="I44" s="326">
        <f>ROUND(H44*F44,0)</f>
        <v/>
      </c>
    </row>
    <row r="45" ht="26.4" customFormat="1" customHeight="1" s="23">
      <c r="B45" s="27" t="n"/>
      <c r="C45" s="27" t="n"/>
      <c r="D45" s="187" t="n"/>
      <c r="E45" s="187" t="n"/>
      <c r="F45" s="29" t="inlineStr">
        <is>
          <t>非課税</t>
        </is>
      </c>
      <c r="G45" s="24" t="inlineStr">
        <is>
          <t>対象 小計:</t>
        </is>
      </c>
      <c r="H45" s="326">
        <f>SUMIF($G$20:$G$39,F45,$H$20:$H$39)</f>
        <v/>
      </c>
      <c r="I45" s="326" t="n"/>
    </row>
    <row r="46" ht="26.4" customFormat="1" customHeight="1" s="23">
      <c r="B46" s="27" t="n"/>
      <c r="C46" s="27" t="n"/>
      <c r="D46" s="187" t="n"/>
      <c r="E46" s="187" t="n"/>
      <c r="F46" s="187" t="n"/>
      <c r="G46" s="24" t="inlineStr">
        <is>
          <t>税込合計:</t>
        </is>
      </c>
      <c r="H46" s="337" t="n"/>
      <c r="I46" s="338">
        <f>SUM(H43:I45)</f>
        <v/>
      </c>
    </row>
    <row r="48" ht="22.2" customHeight="1" s="207">
      <c r="B48" s="32" t="inlineStr">
        <is>
          <t>備考欄：</t>
        </is>
      </c>
    </row>
    <row r="49" ht="18" customHeight="1" s="207">
      <c r="B49" s="6" t="inlineStr">
        <is>
          <t>ご入金が確認でき次第発送いたします。</t>
        </is>
      </c>
      <c r="C49" s="7" t="n"/>
      <c r="D49" s="7" t="n"/>
      <c r="E49" s="7" t="n"/>
      <c r="F49" s="7" t="n"/>
      <c r="G49" s="7" t="n"/>
      <c r="H49" s="7" t="n"/>
      <c r="I49" s="8" t="n"/>
    </row>
    <row r="50" ht="18" customHeight="1" s="207">
      <c r="B50" s="33" t="inlineStr">
        <is>
          <t>※在庫確保済み</t>
        </is>
      </c>
      <c r="I50" s="10" t="n"/>
    </row>
    <row r="51" ht="18" customHeight="1" s="207">
      <c r="B51" s="33" t="n"/>
      <c r="I51" s="10" t="n"/>
    </row>
    <row r="52" ht="18" customHeight="1" s="207">
      <c r="B52" s="33" t="n"/>
      <c r="I52" s="10" t="n"/>
    </row>
    <row r="53" ht="18" customHeight="1" s="207">
      <c r="B53" s="33" t="n"/>
      <c r="I53" s="10" t="n"/>
    </row>
    <row r="54" ht="18" customHeight="1" s="207">
      <c r="B54" s="33" t="n"/>
      <c r="I54" s="10" t="n"/>
    </row>
    <row r="55" ht="18" customHeight="1" s="207">
      <c r="B55" s="33" t="n"/>
      <c r="I55" s="10" t="n"/>
    </row>
    <row r="56" ht="18" customHeight="1" s="207">
      <c r="B56" s="33" t="n"/>
      <c r="I56" s="10" t="n"/>
    </row>
    <row r="57" ht="18" customHeight="1" s="207">
      <c r="B57" s="34" t="n"/>
      <c r="C57" s="14" t="n"/>
      <c r="D57" s="14" t="n"/>
      <c r="E57" s="14" t="n"/>
      <c r="F57" s="14" t="n"/>
      <c r="G57" s="14" t="n"/>
      <c r="H57" s="14" t="n"/>
      <c r="I57" s="15" t="n"/>
    </row>
  </sheetData>
  <mergeCells count="2">
    <mergeCell ref="B15:E16"/>
    <mergeCell ref="B3:I3"/>
  </mergeCells>
  <conditionalFormatting sqref="H40">
    <cfRule type="cellIs" priority="3" operator="notEqual" dxfId="0">
      <formula>$H$43+$H$44+$H$45</formula>
    </cfRule>
  </conditionalFormatting>
  <conditionalFormatting sqref="I5">
    <cfRule type="cellIs" priority="1" operator="equal" dxfId="0">
      <formula>0</formula>
    </cfRule>
  </conditionalFormatting>
  <pageMargins left="0.7" right="0.7" top="0.75" bottom="0.75" header="0.3" footer="0.3"/>
  <pageSetup orientation="portrait" paperSize="9" scale="56"/>
  <drawing xmlns:r="http://schemas.openxmlformats.org/officeDocument/2006/relationships" r:id="rId1"/>
</worksheet>
</file>

<file path=xl/worksheets/sheet1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8"/>
  <cols>
    <col width="8.69921875" customWidth="1" style="207" min="5" max="5"/>
  </cols>
  <sheetData>
    <row r="1" ht="30" customHeight="1" s="207">
      <c r="A1" s="174" t="inlineStr">
        <is>
          <t>飲料
アルコール</t>
        </is>
      </c>
      <c r="B1" s="175" t="inlineStr">
        <is>
          <t>日本酒</t>
        </is>
      </c>
      <c r="D1" s="209" t="inlineStr">
        <is>
          <t>担当者</t>
        </is>
      </c>
      <c r="E1" s="209" t="inlineStr">
        <is>
          <t>担当者コード</t>
        </is>
      </c>
      <c r="F1" s="209" t="inlineStr">
        <is>
          <t>支店</t>
        </is>
      </c>
      <c r="G1" s="208" t="inlineStr">
        <is>
          <t>支店コード</t>
        </is>
      </c>
    </row>
    <row r="2">
      <c r="A2" s="177" t="inlineStr">
        <is>
          <t>水産</t>
        </is>
      </c>
      <c r="B2" s="176" t="inlineStr">
        <is>
          <t>リキュール</t>
        </is>
      </c>
      <c r="D2" t="inlineStr">
        <is>
          <t>杉田</t>
        </is>
      </c>
      <c r="E2" t="inlineStr">
        <is>
          <t>S</t>
        </is>
      </c>
      <c r="F2" t="inlineStr">
        <is>
          <t>大阪</t>
        </is>
      </c>
      <c r="G2" s="211" t="inlineStr">
        <is>
          <t>01</t>
        </is>
      </c>
    </row>
    <row r="3">
      <c r="A3" s="178" t="inlineStr">
        <is>
          <t>精肉</t>
        </is>
      </c>
      <c r="B3" s="176" t="inlineStr">
        <is>
          <t>ワイン</t>
        </is>
      </c>
      <c r="D3" t="inlineStr">
        <is>
          <t>田嶋</t>
        </is>
      </c>
      <c r="E3" t="inlineStr">
        <is>
          <t>T</t>
        </is>
      </c>
      <c r="F3" t="inlineStr">
        <is>
          <t>小樽</t>
        </is>
      </c>
      <c r="G3" s="211" t="inlineStr">
        <is>
          <t>02</t>
        </is>
      </c>
    </row>
    <row r="4">
      <c r="A4" s="178" t="inlineStr">
        <is>
          <t>青果</t>
        </is>
      </c>
      <c r="B4" s="176" t="inlineStr">
        <is>
          <t>蒸留酒</t>
        </is>
      </c>
      <c r="D4" t="inlineStr">
        <is>
          <t>蜂巣</t>
        </is>
      </c>
      <c r="E4" t="inlineStr">
        <is>
          <t>H</t>
        </is>
      </c>
    </row>
    <row r="5">
      <c r="A5" s="177" t="inlineStr">
        <is>
          <t>チーズ</t>
        </is>
      </c>
      <c r="B5" s="176" t="inlineStr">
        <is>
          <t>茶</t>
        </is>
      </c>
      <c r="D5" t="inlineStr">
        <is>
          <t>永井</t>
        </is>
      </c>
      <c r="E5" t="inlineStr">
        <is>
          <t>A</t>
        </is>
      </c>
    </row>
    <row r="6" ht="30" customHeight="1" s="207">
      <c r="A6" s="174" t="inlineStr">
        <is>
          <t>食品加工
機械</t>
        </is>
      </c>
      <c r="B6" s="176" t="inlineStr">
        <is>
          <t>その他飲料</t>
        </is>
      </c>
      <c r="D6" t="inlineStr">
        <is>
          <t>門永</t>
        </is>
      </c>
      <c r="E6" t="inlineStr">
        <is>
          <t>K</t>
        </is>
      </c>
    </row>
    <row r="7">
      <c r="A7" s="178" t="inlineStr">
        <is>
          <t>加工品</t>
        </is>
      </c>
      <c r="B7" s="176" t="inlineStr">
        <is>
          <t>水産物</t>
        </is>
      </c>
      <c r="D7" t="inlineStr">
        <is>
          <t>野瀬</t>
        </is>
      </c>
      <c r="E7" t="inlineStr">
        <is>
          <t>N</t>
        </is>
      </c>
    </row>
    <row r="8">
      <c r="A8" s="178" t="inlineStr">
        <is>
          <t>菓子</t>
        </is>
      </c>
      <c r="B8" s="176" t="inlineStr">
        <is>
          <t>和牛</t>
        </is>
      </c>
      <c r="D8" t="inlineStr">
        <is>
          <t>高山</t>
        </is>
      </c>
      <c r="E8" t="inlineStr">
        <is>
          <t>R</t>
        </is>
      </c>
    </row>
    <row r="9">
      <c r="A9" s="178" t="inlineStr">
        <is>
          <t>その他</t>
        </is>
      </c>
      <c r="B9" s="176" t="inlineStr">
        <is>
          <t>エゾシカ</t>
        </is>
      </c>
    </row>
    <row r="10">
      <c r="B10" s="176" t="inlineStr">
        <is>
          <t>ヒグマ</t>
        </is>
      </c>
    </row>
    <row r="11">
      <c r="B11" s="175" t="inlineStr">
        <is>
          <t>野菜</t>
        </is>
      </c>
    </row>
    <row r="12">
      <c r="B12" s="176" t="inlineStr">
        <is>
          <t>みかん</t>
        </is>
      </c>
    </row>
    <row r="13">
      <c r="B13" s="176" t="inlineStr">
        <is>
          <t>チーズ</t>
        </is>
      </c>
    </row>
    <row r="14">
      <c r="B14" s="176" t="inlineStr">
        <is>
          <t>DENBA</t>
        </is>
      </c>
    </row>
    <row r="15">
      <c r="B15" s="176" t="inlineStr">
        <is>
          <t>スライサー</t>
        </is>
      </c>
    </row>
    <row r="16">
      <c r="B16" s="176" t="inlineStr">
        <is>
          <t>水産加工品</t>
        </is>
      </c>
    </row>
    <row r="17">
      <c r="B17" s="176" t="inlineStr">
        <is>
          <t>肉加工品</t>
        </is>
      </c>
    </row>
    <row r="18">
      <c r="B18" s="176" t="inlineStr">
        <is>
          <t>その他</t>
        </is>
      </c>
    </row>
    <row r="19">
      <c r="B19" s="175" t="inlineStr">
        <is>
          <t>洋菓子</t>
        </is>
      </c>
    </row>
    <row r="20">
      <c r="B20" s="175" t="inlineStr">
        <is>
          <t>和菓子</t>
        </is>
      </c>
    </row>
    <row r="21">
      <c r="B21" s="176" t="inlineStr">
        <is>
          <t>胡蝶蘭</t>
        </is>
      </c>
    </row>
    <row r="22">
      <c r="B22" s="175" t="inlineStr">
        <is>
          <t>備長炭</t>
        </is>
      </c>
    </row>
    <row r="23">
      <c r="B23" s="175" t="inlineStr">
        <is>
          <t>調味料</t>
        </is>
      </c>
    </row>
    <row r="24">
      <c r="B24" s="176" t="inlineStr">
        <is>
          <t>化粧品</t>
        </is>
      </c>
    </row>
    <row r="25">
      <c r="B25" s="176" t="inlineStr">
        <is>
          <t>化粧品</t>
        </is>
      </c>
    </row>
  </sheetData>
  <pageMargins left="0.7" right="0.7" top="0.75" bottom="0.75" header="0.3" footer="0.3"/>
  <pageSetup orientation="portrait" paperSize="9"/>
</worksheet>
</file>

<file path=xl/worksheets/sheet14.xml><?xml version="1.0" encoding="utf-8"?>
<worksheet xmlns="http://schemas.openxmlformats.org/spreadsheetml/2006/main">
  <sheetPr>
    <outlinePr summaryBelow="1" summaryRight="1"/>
    <pageSetUpPr/>
  </sheetPr>
  <dimension ref="A1:G113"/>
  <sheetViews>
    <sheetView workbookViewId="0">
      <selection activeCell="A1" sqref="A1"/>
    </sheetView>
  </sheetViews>
  <sheetFormatPr baseColWidth="8" defaultColWidth="8.69921875" defaultRowHeight="18"/>
  <cols>
    <col width="8.69921875" bestFit="1" customWidth="1" style="207" min="1" max="1"/>
    <col width="23.8984375" bestFit="1" customWidth="1" style="207" min="2" max="2"/>
    <col width="39.5" bestFit="1" customWidth="1" style="207" min="3" max="3"/>
    <col width="21" bestFit="1" customWidth="1" style="207" min="4" max="4"/>
    <col width="9" customWidth="1" style="207" min="5" max="5"/>
    <col width="7.19921875" customWidth="1" style="207" min="6" max="6"/>
    <col width="25.19921875" customWidth="1" style="207" min="7" max="7"/>
    <col width="8.69921875" customWidth="1" style="207" min="8" max="16384"/>
  </cols>
  <sheetData>
    <row r="1">
      <c r="A1" s="230" t="inlineStr">
        <is>
          <t>No.</t>
        </is>
      </c>
      <c r="B1" s="231" t="inlineStr">
        <is>
          <t>商品ID</t>
        </is>
      </c>
      <c r="C1" s="231" t="inlineStr">
        <is>
          <t>商品名</t>
        </is>
      </c>
      <c r="D1" s="231" t="inlineStr">
        <is>
          <t>仕入先</t>
        </is>
      </c>
      <c r="E1" s="231" t="inlineStr">
        <is>
          <t>優先度</t>
        </is>
      </c>
      <c r="F1" s="231" t="inlineStr">
        <is>
          <t>完了</t>
        </is>
      </c>
      <c r="G1" s="232" t="inlineStr">
        <is>
          <t>備考</t>
        </is>
      </c>
    </row>
    <row r="2">
      <c r="A2" s="233" t="n">
        <v>1</v>
      </c>
      <c r="B2" s="234" t="inlineStr">
        <is>
          <t>PRD_SNJ_HAK_0009_01</t>
        </is>
      </c>
      <c r="C2" s="234">
        <f>_xlfn.XLOOKUP(テーブル5[[#This Row],[商品ID]],商品マスタ[商品連番],商品マスタ[商品名],"",0,1)</f>
        <v/>
      </c>
      <c r="D2" s="234">
        <f>_xlfn.XLOOKUP(テーブル5[[#This Row],[商品ID]],商品マスタ[商品連番],商品マスタ[仕入先],"",0,1)</f>
        <v/>
      </c>
      <c r="E2" s="235" t="n"/>
      <c r="F2" s="235" t="n"/>
      <c r="G2" s="236" t="n"/>
    </row>
    <row r="3">
      <c r="A3" s="233" t="n">
        <v>2</v>
      </c>
      <c r="B3" s="234" t="inlineStr">
        <is>
          <t>PRD_SNJ_TOK_0003_01</t>
        </is>
      </c>
      <c r="C3" s="234">
        <f>_xlfn.XLOOKUP(テーブル5[[#This Row],[商品ID]],商品マスタ[商品連番],商品マスタ[商品名],"",0,1)</f>
        <v/>
      </c>
      <c r="D3" s="234">
        <f>_xlfn.XLOOKUP(テーブル5[[#This Row],[商品ID]],商品マスタ[商品連番],商品マスタ[仕入先],"",0,1)</f>
        <v/>
      </c>
      <c r="E3" s="235" t="n"/>
      <c r="F3" s="235" t="n"/>
      <c r="G3" s="236" t="n"/>
    </row>
    <row r="4">
      <c r="A4" s="233" t="n">
        <v>3</v>
      </c>
      <c r="B4" s="234" t="inlineStr">
        <is>
          <t>PRD_SNJ_MAK_0012_01</t>
        </is>
      </c>
      <c r="C4" s="234">
        <f>_xlfn.XLOOKUP(テーブル5[[#This Row],[商品ID]],商品マスタ[商品連番],商品マスタ[商品名],"",0,1)</f>
        <v/>
      </c>
      <c r="D4" s="234">
        <f>_xlfn.XLOOKUP(テーブル5[[#This Row],[商品ID]],商品マスタ[商品連番],商品マスタ[仕入先],"",0,1)</f>
        <v/>
      </c>
      <c r="E4" s="235" t="n"/>
      <c r="F4" s="235" t="n"/>
      <c r="G4" s="236" t="n"/>
    </row>
    <row r="5">
      <c r="A5" s="233" t="n">
        <v>4</v>
      </c>
      <c r="B5" s="234" t="inlineStr">
        <is>
          <t>PRD_SNJ_OTS_0001_01</t>
        </is>
      </c>
      <c r="C5" s="234">
        <f>_xlfn.XLOOKUP(テーブル5[[#This Row],[商品ID]],商品マスタ[商品連番],商品マスタ[商品名],"",0,1)</f>
        <v/>
      </c>
      <c r="D5" s="234">
        <f>_xlfn.XLOOKUP(テーブル5[[#This Row],[商品ID]],商品マスタ[商品連番],商品マスタ[仕入先],"",0,1)</f>
        <v/>
      </c>
      <c r="E5" s="235" t="n"/>
      <c r="F5" s="235" t="n"/>
      <c r="G5" s="236" t="n"/>
    </row>
    <row r="6">
      <c r="A6" s="237" t="n">
        <v>5</v>
      </c>
      <c r="B6" s="238" t="inlineStr">
        <is>
          <t>PRD_SNJ_UJI_0005_01</t>
        </is>
      </c>
      <c r="C6" s="238">
        <f>_xlfn.XLOOKUP(テーブル5[[#This Row],[商品ID]],商品マスタ[商品連番],商品マスタ[商品名],"",0,1)</f>
        <v/>
      </c>
      <c r="D6" s="238">
        <f>_xlfn.XLOOKUP(テーブル5[[#This Row],[商品ID]],商品マスタ[商品連番],商品マスタ[仕入先],"",0,1)</f>
        <v/>
      </c>
      <c r="E6" s="239" t="n"/>
      <c r="F6" s="239" t="n"/>
      <c r="G6" s="240" t="n"/>
    </row>
    <row r="7" ht="18.6" customHeight="1" s="207">
      <c r="A7" s="241" t="n"/>
      <c r="B7" s="243" t="n"/>
      <c r="C7" s="243">
        <f>_xlfn.XLOOKUP(テーブル5[[#This Row],[商品ID]],商品マスタ[商品連番],商品マスタ[商品名],"",0,1)</f>
        <v/>
      </c>
      <c r="D7" s="243">
        <f>_xlfn.XLOOKUP(テーブル5[[#This Row],[商品ID]],商品マスタ[商品連番],商品マスタ[仕入先],"",0,1)</f>
        <v/>
      </c>
      <c r="E7" s="243" t="n"/>
      <c r="F7" s="243" t="n"/>
      <c r="G7" s="244" t="n"/>
    </row>
    <row r="8" ht="18.6" customHeight="1" s="207">
      <c r="A8" s="241" t="n"/>
      <c r="B8" s="243" t="n"/>
      <c r="C8" s="243">
        <f>_xlfn.XLOOKUP(テーブル5[[#This Row],[商品ID]],商品マスタ[商品連番],商品マスタ[商品名],"",0,1)</f>
        <v/>
      </c>
      <c r="D8" s="243">
        <f>_xlfn.XLOOKUP(テーブル5[[#This Row],[商品ID]],商品マスタ[商品連番],商品マスタ[仕入先],"",0,1)</f>
        <v/>
      </c>
      <c r="E8" s="243" t="n"/>
      <c r="F8" s="243" t="n"/>
      <c r="G8" s="244" t="n"/>
    </row>
    <row r="9" ht="18.6" customHeight="1" s="207">
      <c r="A9" s="241" t="n"/>
      <c r="B9" s="243" t="n"/>
      <c r="C9" s="243">
        <f>_xlfn.XLOOKUP(テーブル5[[#This Row],[商品ID]],商品マスタ[商品連番],商品マスタ[商品名],"",0,1)</f>
        <v/>
      </c>
      <c r="D9" s="243">
        <f>_xlfn.XLOOKUP(テーブル5[[#This Row],[商品ID]],商品マスタ[商品連番],商品マスタ[仕入先],"",0,1)</f>
        <v/>
      </c>
      <c r="E9" s="243" t="n"/>
      <c r="F9" s="243" t="n"/>
      <c r="G9" s="244" t="n"/>
    </row>
    <row r="10" ht="18.6" customHeight="1" s="207">
      <c r="A10" s="241" t="n"/>
      <c r="B10" s="243" t="n"/>
      <c r="C10" s="243">
        <f>_xlfn.XLOOKUP(テーブル5[[#This Row],[商品ID]],商品マスタ[商品連番],商品マスタ[商品名],"",0,1)</f>
        <v/>
      </c>
      <c r="D10" s="243">
        <f>_xlfn.XLOOKUP(テーブル5[[#This Row],[商品ID]],商品マスタ[商品連番],商品マスタ[仕入先],"",0,1)</f>
        <v/>
      </c>
      <c r="E10" s="243" t="n"/>
      <c r="F10" s="243" t="n"/>
      <c r="G10" s="244" t="n"/>
    </row>
    <row r="11" ht="18.6" customHeight="1" s="207">
      <c r="A11" s="241" t="n"/>
      <c r="B11" s="243" t="n"/>
      <c r="C11" s="243">
        <f>_xlfn.XLOOKUP(テーブル5[[#This Row],[商品ID]],商品マスタ[商品連番],商品マスタ[商品名],"",0,1)</f>
        <v/>
      </c>
      <c r="D11" s="243">
        <f>_xlfn.XLOOKUP(テーブル5[[#This Row],[商品ID]],商品マスタ[商品連番],商品マスタ[仕入先],"",0,1)</f>
        <v/>
      </c>
      <c r="E11" s="243" t="n"/>
      <c r="F11" s="243" t="n"/>
      <c r="G11" s="244" t="n"/>
    </row>
    <row r="12" ht="18.6" customHeight="1" s="207">
      <c r="A12" s="241" t="n"/>
      <c r="B12" s="243" t="n"/>
      <c r="C12" s="243">
        <f>_xlfn.XLOOKUP(テーブル5[[#This Row],[商品ID]],商品マスタ[商品連番],商品マスタ[商品名],"",0,1)</f>
        <v/>
      </c>
      <c r="D12" s="243">
        <f>_xlfn.XLOOKUP(テーブル5[[#This Row],[商品ID]],商品マスタ[商品連番],商品マスタ[仕入先],"",0,1)</f>
        <v/>
      </c>
      <c r="E12" s="243" t="n"/>
      <c r="F12" s="243" t="n"/>
      <c r="G12" s="244" t="n"/>
    </row>
    <row r="13" ht="18.6" customHeight="1" s="207">
      <c r="A13" s="241" t="n"/>
      <c r="B13" s="243" t="n"/>
      <c r="C13" s="243">
        <f>_xlfn.XLOOKUP(テーブル5[[#This Row],[商品ID]],商品マスタ[商品連番],商品マスタ[商品名],"",0,1)</f>
        <v/>
      </c>
      <c r="D13" s="243">
        <f>_xlfn.XLOOKUP(テーブル5[[#This Row],[商品ID]],商品マスタ[商品連番],商品マスタ[仕入先],"",0,1)</f>
        <v/>
      </c>
      <c r="E13" s="243" t="n"/>
      <c r="F13" s="243" t="n"/>
      <c r="G13" s="244" t="n"/>
    </row>
    <row r="14" ht="18.6" customHeight="1" s="207">
      <c r="A14" s="241" t="n"/>
      <c r="B14" s="243" t="n"/>
      <c r="C14" s="243">
        <f>_xlfn.XLOOKUP(テーブル5[[#This Row],[商品ID]],商品マスタ[商品連番],商品マスタ[商品名],"",0,1)</f>
        <v/>
      </c>
      <c r="D14" s="243">
        <f>_xlfn.XLOOKUP(テーブル5[[#This Row],[商品ID]],商品マスタ[商品連番],商品マスタ[仕入先],"",0,1)</f>
        <v/>
      </c>
      <c r="E14" s="243" t="n"/>
      <c r="F14" s="243" t="n"/>
      <c r="G14" s="244" t="n"/>
    </row>
    <row r="15" ht="18.6" customHeight="1" s="207">
      <c r="A15" s="241" t="n"/>
      <c r="B15" s="243" t="n"/>
      <c r="C15" s="243">
        <f>_xlfn.XLOOKUP(テーブル5[[#This Row],[商品ID]],商品マスタ[商品連番],商品マスタ[商品名],"",0,1)</f>
        <v/>
      </c>
      <c r="D15" s="243">
        <f>_xlfn.XLOOKUP(テーブル5[[#This Row],[商品ID]],商品マスタ[商品連番],商品マスタ[仕入先],"",0,1)</f>
        <v/>
      </c>
      <c r="E15" s="243" t="n"/>
      <c r="F15" s="243" t="n"/>
      <c r="G15" s="244" t="n"/>
    </row>
    <row r="16" ht="18.6" customHeight="1" s="207">
      <c r="A16" s="241" t="n"/>
      <c r="B16" s="243" t="n"/>
      <c r="C16" s="243">
        <f>_xlfn.XLOOKUP(テーブル5[[#This Row],[商品ID]],商品マスタ[商品連番],商品マスタ[商品名],"",0,1)</f>
        <v/>
      </c>
      <c r="D16" s="243">
        <f>_xlfn.XLOOKUP(テーブル5[[#This Row],[商品ID]],商品マスタ[商品連番],商品マスタ[仕入先],"",0,1)</f>
        <v/>
      </c>
      <c r="E16" s="243" t="n"/>
      <c r="F16" s="243" t="n"/>
      <c r="G16" s="244" t="n"/>
    </row>
    <row r="17" ht="18.6" customHeight="1" s="207">
      <c r="A17" s="241" t="n"/>
      <c r="B17" s="243" t="n"/>
      <c r="C17" s="243">
        <f>_xlfn.XLOOKUP(テーブル5[[#This Row],[商品ID]],商品マスタ[商品連番],商品マスタ[商品名],"",0,1)</f>
        <v/>
      </c>
      <c r="D17" s="243">
        <f>_xlfn.XLOOKUP(テーブル5[[#This Row],[商品ID]],商品マスタ[商品連番],商品マスタ[仕入先],"",0,1)</f>
        <v/>
      </c>
      <c r="E17" s="243" t="n"/>
      <c r="F17" s="243" t="n"/>
      <c r="G17" s="244" t="n"/>
    </row>
    <row r="18" ht="18.6" customHeight="1" s="207">
      <c r="A18" s="241" t="n"/>
      <c r="B18" s="243" t="n"/>
      <c r="C18" s="243">
        <f>_xlfn.XLOOKUP(テーブル5[[#This Row],[商品ID]],商品マスタ[商品連番],商品マスタ[商品名],"",0,1)</f>
        <v/>
      </c>
      <c r="D18" s="243">
        <f>_xlfn.XLOOKUP(テーブル5[[#This Row],[商品ID]],商品マスタ[商品連番],商品マスタ[仕入先],"",0,1)</f>
        <v/>
      </c>
      <c r="E18" s="243" t="n"/>
      <c r="F18" s="243" t="n"/>
      <c r="G18" s="244" t="n"/>
    </row>
    <row r="19" ht="18.6" customHeight="1" s="207">
      <c r="A19" s="241" t="n"/>
      <c r="B19" s="243" t="n"/>
      <c r="C19" s="243">
        <f>_xlfn.XLOOKUP(テーブル5[[#This Row],[商品ID]],商品マスタ[商品連番],商品マスタ[商品名],"",0,1)</f>
        <v/>
      </c>
      <c r="D19" s="243">
        <f>_xlfn.XLOOKUP(テーブル5[[#This Row],[商品ID]],商品マスタ[商品連番],商品マスタ[仕入先],"",0,1)</f>
        <v/>
      </c>
      <c r="E19" s="243" t="n"/>
      <c r="F19" s="243" t="n"/>
      <c r="G19" s="244" t="n"/>
    </row>
    <row r="20" ht="18.6" customHeight="1" s="207">
      <c r="A20" s="241" t="n"/>
      <c r="B20" s="243" t="n"/>
      <c r="C20" s="243">
        <f>_xlfn.XLOOKUP(テーブル5[[#This Row],[商品ID]],商品マスタ[商品連番],商品マスタ[商品名],"",0,1)</f>
        <v/>
      </c>
      <c r="D20" s="243">
        <f>_xlfn.XLOOKUP(テーブル5[[#This Row],[商品ID]],商品マスタ[商品連番],商品マスタ[仕入先],"",0,1)</f>
        <v/>
      </c>
      <c r="E20" s="243" t="n"/>
      <c r="F20" s="243" t="n"/>
      <c r="G20" s="244" t="n"/>
    </row>
    <row r="21" ht="18.6" customHeight="1" s="207">
      <c r="A21" s="241" t="n"/>
      <c r="B21" s="243" t="n"/>
      <c r="C21" s="243">
        <f>_xlfn.XLOOKUP(テーブル5[[#This Row],[商品ID]],商品マスタ[商品連番],商品マスタ[商品名],"",0,1)</f>
        <v/>
      </c>
      <c r="D21" s="243">
        <f>_xlfn.XLOOKUP(テーブル5[[#This Row],[商品ID]],商品マスタ[商品連番],商品マスタ[仕入先],"",0,1)</f>
        <v/>
      </c>
      <c r="E21" s="243" t="n"/>
      <c r="F21" s="243" t="n"/>
      <c r="G21" s="244" t="n"/>
    </row>
    <row r="22" ht="18.6" customHeight="1" s="207">
      <c r="A22" s="241" t="n"/>
      <c r="B22" s="243" t="n"/>
      <c r="C22" s="243">
        <f>_xlfn.XLOOKUP(テーブル5[[#This Row],[商品ID]],商品マスタ[商品連番],商品マスタ[商品名],"",0,1)</f>
        <v/>
      </c>
      <c r="D22" s="243">
        <f>_xlfn.XLOOKUP(テーブル5[[#This Row],[商品ID]],商品マスタ[商品連番],商品マスタ[仕入先],"",0,1)</f>
        <v/>
      </c>
      <c r="E22" s="243" t="n"/>
      <c r="F22" s="243" t="n"/>
      <c r="G22" s="244" t="n"/>
    </row>
    <row r="23" ht="18.6" customHeight="1" s="207">
      <c r="A23" s="241" t="n"/>
      <c r="B23" s="243" t="n"/>
      <c r="C23" s="243">
        <f>_xlfn.XLOOKUP(テーブル5[[#This Row],[商品ID]],商品マスタ[商品連番],商品マスタ[商品名],"",0,1)</f>
        <v/>
      </c>
      <c r="D23" s="243">
        <f>_xlfn.XLOOKUP(テーブル5[[#This Row],[商品ID]],商品マスタ[商品連番],商品マスタ[仕入先],"",0,1)</f>
        <v/>
      </c>
      <c r="E23" s="243" t="n"/>
      <c r="F23" s="243" t="n"/>
      <c r="G23" s="244" t="n"/>
    </row>
    <row r="24" ht="18.6" customHeight="1" s="207">
      <c r="A24" s="241" t="n"/>
      <c r="B24" s="243" t="n"/>
      <c r="C24" s="243">
        <f>_xlfn.XLOOKUP(テーブル5[[#This Row],[商品ID]],商品マスタ[商品連番],商品マスタ[商品名],"",0,1)</f>
        <v/>
      </c>
      <c r="D24" s="243">
        <f>_xlfn.XLOOKUP(テーブル5[[#This Row],[商品ID]],商品マスタ[商品連番],商品マスタ[仕入先],"",0,1)</f>
        <v/>
      </c>
      <c r="E24" s="243" t="n"/>
      <c r="F24" s="243" t="n"/>
      <c r="G24" s="244" t="n"/>
    </row>
    <row r="25" ht="18.6" customHeight="1" s="207">
      <c r="A25" s="241" t="n"/>
      <c r="B25" s="243" t="n"/>
      <c r="C25" s="243">
        <f>_xlfn.XLOOKUP(テーブル5[[#This Row],[商品ID]],商品マスタ[商品連番],商品マスタ[商品名],"",0,1)</f>
        <v/>
      </c>
      <c r="D25" s="243">
        <f>_xlfn.XLOOKUP(テーブル5[[#This Row],[商品ID]],商品マスタ[商品連番],商品マスタ[仕入先],"",0,1)</f>
        <v/>
      </c>
      <c r="E25" s="243" t="n"/>
      <c r="F25" s="243" t="n"/>
      <c r="G25" s="244" t="n"/>
    </row>
    <row r="26" ht="18.6" customHeight="1" s="207">
      <c r="A26" s="241" t="n"/>
      <c r="B26" s="243" t="n"/>
      <c r="C26" s="243">
        <f>_xlfn.XLOOKUP(テーブル5[[#This Row],[商品ID]],商品マスタ[商品連番],商品マスタ[商品名],"",0,1)</f>
        <v/>
      </c>
      <c r="D26" s="243">
        <f>_xlfn.XLOOKUP(テーブル5[[#This Row],[商品ID]],商品マスタ[商品連番],商品マスタ[仕入先],"",0,1)</f>
        <v/>
      </c>
      <c r="E26" s="243" t="n"/>
      <c r="F26" s="243" t="n"/>
      <c r="G26" s="244" t="n"/>
    </row>
    <row r="27" ht="18.6" customHeight="1" s="207">
      <c r="A27" s="241" t="n"/>
      <c r="B27" s="243" t="n"/>
      <c r="C27" s="243">
        <f>_xlfn.XLOOKUP(テーブル5[[#This Row],[商品ID]],商品マスタ[商品連番],商品マスタ[商品名],"",0,1)</f>
        <v/>
      </c>
      <c r="D27" s="243">
        <f>_xlfn.XLOOKUP(テーブル5[[#This Row],[商品ID]],商品マスタ[商品連番],商品マスタ[仕入先],"",0,1)</f>
        <v/>
      </c>
      <c r="E27" s="243" t="n"/>
      <c r="F27" s="243" t="n"/>
      <c r="G27" s="244" t="n"/>
    </row>
    <row r="28" ht="18.6" customHeight="1" s="207">
      <c r="A28" s="241" t="n"/>
      <c r="B28" s="243" t="n"/>
      <c r="C28" s="243">
        <f>_xlfn.XLOOKUP(テーブル5[[#This Row],[商品ID]],商品マスタ[商品連番],商品マスタ[商品名],"",0,1)</f>
        <v/>
      </c>
      <c r="D28" s="243">
        <f>_xlfn.XLOOKUP(テーブル5[[#This Row],[商品ID]],商品マスタ[商品連番],商品マスタ[仕入先],"",0,1)</f>
        <v/>
      </c>
      <c r="E28" s="243" t="n"/>
      <c r="F28" s="243" t="n"/>
      <c r="G28" s="244" t="n"/>
    </row>
    <row r="29" ht="18.6" customHeight="1" s="207">
      <c r="A29" s="241" t="n"/>
      <c r="B29" s="243" t="n"/>
      <c r="C29" s="243">
        <f>_xlfn.XLOOKUP(テーブル5[[#This Row],[商品ID]],商品マスタ[商品連番],商品マスタ[商品名],"",0,1)</f>
        <v/>
      </c>
      <c r="D29" s="243">
        <f>_xlfn.XLOOKUP(テーブル5[[#This Row],[商品ID]],商品マスタ[商品連番],商品マスタ[仕入先],"",0,1)</f>
        <v/>
      </c>
      <c r="E29" s="243" t="n"/>
      <c r="F29" s="243" t="n"/>
      <c r="G29" s="244" t="n"/>
    </row>
    <row r="30" ht="18.6" customHeight="1" s="207">
      <c r="A30" s="241" t="n"/>
      <c r="B30" s="243" t="n"/>
      <c r="C30" s="243">
        <f>_xlfn.XLOOKUP(テーブル5[[#This Row],[商品ID]],商品マスタ[商品連番],商品マスタ[商品名],"",0,1)</f>
        <v/>
      </c>
      <c r="D30" s="243">
        <f>_xlfn.XLOOKUP(テーブル5[[#This Row],[商品ID]],商品マスタ[商品連番],商品マスタ[仕入先],"",0,1)</f>
        <v/>
      </c>
      <c r="E30" s="243" t="n"/>
      <c r="F30" s="243" t="n"/>
      <c r="G30" s="244" t="n"/>
    </row>
    <row r="31" ht="18.6" customHeight="1" s="207">
      <c r="A31" s="241" t="n"/>
      <c r="B31" s="243" t="n"/>
      <c r="C31" s="243">
        <f>_xlfn.XLOOKUP(テーブル5[[#This Row],[商品ID]],商品マスタ[商品連番],商品マスタ[商品名],"",0,1)</f>
        <v/>
      </c>
      <c r="D31" s="243">
        <f>_xlfn.XLOOKUP(テーブル5[[#This Row],[商品ID]],商品マスタ[商品連番],商品マスタ[仕入先],"",0,1)</f>
        <v/>
      </c>
      <c r="E31" s="243" t="n"/>
      <c r="F31" s="243" t="n"/>
      <c r="G31" s="244" t="n"/>
    </row>
    <row r="32" ht="18.6" customHeight="1" s="207">
      <c r="A32" s="241" t="n"/>
      <c r="B32" s="243" t="n"/>
      <c r="C32" s="243">
        <f>_xlfn.XLOOKUP(テーブル5[[#This Row],[商品ID]],商品マスタ[商品連番],商品マスタ[商品名],"",0,1)</f>
        <v/>
      </c>
      <c r="D32" s="243">
        <f>_xlfn.XLOOKUP(テーブル5[[#This Row],[商品ID]],商品マスタ[商品連番],商品マスタ[仕入先],"",0,1)</f>
        <v/>
      </c>
      <c r="E32" s="243" t="n"/>
      <c r="F32" s="243" t="n"/>
      <c r="G32" s="244" t="n"/>
    </row>
    <row r="33" ht="18.6" customHeight="1" s="207">
      <c r="A33" s="241" t="n"/>
      <c r="B33" s="243" t="n"/>
      <c r="C33" s="243">
        <f>_xlfn.XLOOKUP(テーブル5[[#This Row],[商品ID]],商品マスタ[商品連番],商品マスタ[商品名],"",0,1)</f>
        <v/>
      </c>
      <c r="D33" s="243">
        <f>_xlfn.XLOOKUP(テーブル5[[#This Row],[商品ID]],商品マスタ[商品連番],商品マスタ[仕入先],"",0,1)</f>
        <v/>
      </c>
      <c r="E33" s="243" t="n"/>
      <c r="F33" s="243" t="n"/>
      <c r="G33" s="244" t="n"/>
    </row>
    <row r="34" ht="18.6" customHeight="1" s="207">
      <c r="A34" s="241" t="n"/>
      <c r="B34" s="243" t="n"/>
      <c r="C34" s="243">
        <f>_xlfn.XLOOKUP(テーブル5[[#This Row],[商品ID]],商品マスタ[商品連番],商品マスタ[商品名],"",0,1)</f>
        <v/>
      </c>
      <c r="D34" s="243">
        <f>_xlfn.XLOOKUP(テーブル5[[#This Row],[商品ID]],商品マスタ[商品連番],商品マスタ[仕入先],"",0,1)</f>
        <v/>
      </c>
      <c r="E34" s="243" t="n"/>
      <c r="F34" s="243" t="n"/>
      <c r="G34" s="244" t="n"/>
    </row>
    <row r="35" ht="18.6" customHeight="1" s="207">
      <c r="A35" s="241" t="n"/>
      <c r="B35" s="243" t="n"/>
      <c r="C35" s="243">
        <f>_xlfn.XLOOKUP(テーブル5[[#This Row],[商品ID]],商品マスタ[商品連番],商品マスタ[商品名],"",0,1)</f>
        <v/>
      </c>
      <c r="D35" s="243">
        <f>_xlfn.XLOOKUP(テーブル5[[#This Row],[商品ID]],商品マスタ[商品連番],商品マスタ[仕入先],"",0,1)</f>
        <v/>
      </c>
      <c r="E35" s="243" t="n"/>
      <c r="F35" s="243" t="n"/>
      <c r="G35" s="244" t="n"/>
    </row>
    <row r="36" ht="18.6" customHeight="1" s="207">
      <c r="A36" s="241" t="n"/>
      <c r="B36" s="243" t="n"/>
      <c r="C36" s="243">
        <f>_xlfn.XLOOKUP(テーブル5[[#This Row],[商品ID]],商品マスタ[商品連番],商品マスタ[商品名],"",0,1)</f>
        <v/>
      </c>
      <c r="D36" s="243">
        <f>_xlfn.XLOOKUP(テーブル5[[#This Row],[商品ID]],商品マスタ[商品連番],商品マスタ[仕入先],"",0,1)</f>
        <v/>
      </c>
      <c r="E36" s="243" t="n"/>
      <c r="F36" s="243" t="n"/>
      <c r="G36" s="244" t="n"/>
    </row>
    <row r="37" ht="18.6" customHeight="1" s="207">
      <c r="A37" s="241" t="n"/>
      <c r="B37" s="243" t="n"/>
      <c r="C37" s="243">
        <f>_xlfn.XLOOKUP(テーブル5[[#This Row],[商品ID]],商品マスタ[商品連番],商品マスタ[商品名],"",0,1)</f>
        <v/>
      </c>
      <c r="D37" s="243">
        <f>_xlfn.XLOOKUP(テーブル5[[#This Row],[商品ID]],商品マスタ[商品連番],商品マスタ[仕入先],"",0,1)</f>
        <v/>
      </c>
      <c r="E37" s="243" t="n"/>
      <c r="F37" s="243" t="n"/>
      <c r="G37" s="244" t="n"/>
    </row>
    <row r="38" ht="18.6" customHeight="1" s="207">
      <c r="A38" s="241" t="n"/>
      <c r="B38" s="243" t="n"/>
      <c r="C38" s="243">
        <f>_xlfn.XLOOKUP(テーブル5[[#This Row],[商品ID]],商品マスタ[商品連番],商品マスタ[商品名],"",0,1)</f>
        <v/>
      </c>
      <c r="D38" s="243">
        <f>_xlfn.XLOOKUP(テーブル5[[#This Row],[商品ID]],商品マスタ[商品連番],商品マスタ[仕入先],"",0,1)</f>
        <v/>
      </c>
      <c r="E38" s="243" t="n"/>
      <c r="F38" s="243" t="n"/>
      <c r="G38" s="244" t="n"/>
    </row>
    <row r="39" ht="18.6" customHeight="1" s="207">
      <c r="A39" s="241" t="n"/>
      <c r="B39" s="243" t="n"/>
      <c r="C39" s="243">
        <f>_xlfn.XLOOKUP(テーブル5[[#This Row],[商品ID]],商品マスタ[商品連番],商品マスタ[商品名],"",0,1)</f>
        <v/>
      </c>
      <c r="D39" s="243">
        <f>_xlfn.XLOOKUP(テーブル5[[#This Row],[商品ID]],商品マスタ[商品連番],商品マスタ[仕入先],"",0,1)</f>
        <v/>
      </c>
      <c r="E39" s="243" t="n"/>
      <c r="F39" s="243" t="n"/>
      <c r="G39" s="244" t="n"/>
    </row>
    <row r="40" ht="18.6" customHeight="1" s="207">
      <c r="A40" s="241" t="n"/>
      <c r="B40" s="243" t="n"/>
      <c r="C40" s="243">
        <f>_xlfn.XLOOKUP(テーブル5[[#This Row],[商品ID]],商品マスタ[商品連番],商品マスタ[商品名],"",0,1)</f>
        <v/>
      </c>
      <c r="D40" s="243">
        <f>_xlfn.XLOOKUP(テーブル5[[#This Row],[商品ID]],商品マスタ[商品連番],商品マスタ[仕入先],"",0,1)</f>
        <v/>
      </c>
      <c r="E40" s="243" t="n"/>
      <c r="F40" s="243" t="n"/>
      <c r="G40" s="244" t="n"/>
    </row>
    <row r="41" ht="18.6" customHeight="1" s="207">
      <c r="A41" s="241" t="n"/>
      <c r="B41" s="243" t="n"/>
      <c r="C41" s="243">
        <f>_xlfn.XLOOKUP(テーブル5[[#This Row],[商品ID]],商品マスタ[商品連番],商品マスタ[商品名],"",0,1)</f>
        <v/>
      </c>
      <c r="D41" s="243">
        <f>_xlfn.XLOOKUP(テーブル5[[#This Row],[商品ID]],商品マスタ[商品連番],商品マスタ[仕入先],"",0,1)</f>
        <v/>
      </c>
      <c r="E41" s="243" t="n"/>
      <c r="F41" s="243" t="n"/>
      <c r="G41" s="244" t="n"/>
    </row>
    <row r="42" ht="18.6" customHeight="1" s="207">
      <c r="A42" s="241" t="n"/>
      <c r="B42" s="243" t="n"/>
      <c r="C42" s="243">
        <f>_xlfn.XLOOKUP(テーブル5[[#This Row],[商品ID]],商品マスタ[商品連番],商品マスタ[商品名],"",0,1)</f>
        <v/>
      </c>
      <c r="D42" s="243">
        <f>_xlfn.XLOOKUP(テーブル5[[#This Row],[商品ID]],商品マスタ[商品連番],商品マスタ[仕入先],"",0,1)</f>
        <v/>
      </c>
      <c r="E42" s="243" t="n"/>
      <c r="F42" s="243" t="n"/>
      <c r="G42" s="244" t="n"/>
    </row>
    <row r="43" ht="18.6" customHeight="1" s="207">
      <c r="A43" s="241" t="n"/>
      <c r="B43" s="243" t="n"/>
      <c r="C43" s="243">
        <f>_xlfn.XLOOKUP(テーブル5[[#This Row],[商品ID]],商品マスタ[商品連番],商品マスタ[商品名],"",0,1)</f>
        <v/>
      </c>
      <c r="D43" s="243">
        <f>_xlfn.XLOOKUP(テーブル5[[#This Row],[商品ID]],商品マスタ[商品連番],商品マスタ[仕入先],"",0,1)</f>
        <v/>
      </c>
      <c r="E43" s="243" t="n"/>
      <c r="F43" s="243" t="n"/>
      <c r="G43" s="244" t="n"/>
    </row>
    <row r="44" ht="18.6" customHeight="1" s="207">
      <c r="A44" s="241" t="n"/>
      <c r="B44" s="243" t="n"/>
      <c r="C44" s="243">
        <f>_xlfn.XLOOKUP(テーブル5[[#This Row],[商品ID]],商品マスタ[商品連番],商品マスタ[商品名],"",0,1)</f>
        <v/>
      </c>
      <c r="D44" s="243">
        <f>_xlfn.XLOOKUP(テーブル5[[#This Row],[商品ID]],商品マスタ[商品連番],商品マスタ[仕入先],"",0,1)</f>
        <v/>
      </c>
      <c r="E44" s="243" t="n"/>
      <c r="F44" s="243" t="n"/>
      <c r="G44" s="244" t="n"/>
    </row>
    <row r="45" ht="18.6" customHeight="1" s="207">
      <c r="A45" s="241" t="n"/>
      <c r="B45" s="243" t="n"/>
      <c r="C45" s="243">
        <f>_xlfn.XLOOKUP(テーブル5[[#This Row],[商品ID]],商品マスタ[商品連番],商品マスタ[商品名],"",0,1)</f>
        <v/>
      </c>
      <c r="D45" s="243">
        <f>_xlfn.XLOOKUP(テーブル5[[#This Row],[商品ID]],商品マスタ[商品連番],商品マスタ[仕入先],"",0,1)</f>
        <v/>
      </c>
      <c r="E45" s="243" t="n"/>
      <c r="F45" s="243" t="n"/>
      <c r="G45" s="244" t="n"/>
    </row>
    <row r="46" ht="18.6" customHeight="1" s="207">
      <c r="A46" s="241" t="n"/>
      <c r="B46" s="243" t="n"/>
      <c r="C46" s="243">
        <f>_xlfn.XLOOKUP(テーブル5[[#This Row],[商品ID]],商品マスタ[商品連番],商品マスタ[商品名],"",0,1)</f>
        <v/>
      </c>
      <c r="D46" s="243">
        <f>_xlfn.XLOOKUP(テーブル5[[#This Row],[商品ID]],商品マスタ[商品連番],商品マスタ[仕入先],"",0,1)</f>
        <v/>
      </c>
      <c r="E46" s="243" t="n"/>
      <c r="F46" s="243" t="n"/>
      <c r="G46" s="244" t="n"/>
    </row>
    <row r="47" ht="18.6" customHeight="1" s="207">
      <c r="A47" s="241" t="n"/>
      <c r="B47" s="243" t="n"/>
      <c r="C47" s="243">
        <f>_xlfn.XLOOKUP(テーブル5[[#This Row],[商品ID]],商品マスタ[商品連番],商品マスタ[商品名],"",0,1)</f>
        <v/>
      </c>
      <c r="D47" s="243">
        <f>_xlfn.XLOOKUP(テーブル5[[#This Row],[商品ID]],商品マスタ[商品連番],商品マスタ[仕入先],"",0,1)</f>
        <v/>
      </c>
      <c r="E47" s="243" t="n"/>
      <c r="F47" s="243" t="n"/>
      <c r="G47" s="244" t="n"/>
    </row>
    <row r="48" ht="18.6" customHeight="1" s="207">
      <c r="A48" s="241" t="n"/>
      <c r="B48" s="243" t="n"/>
      <c r="C48" s="243">
        <f>_xlfn.XLOOKUP(テーブル5[[#This Row],[商品ID]],商品マスタ[商品連番],商品マスタ[商品名],"",0,1)</f>
        <v/>
      </c>
      <c r="D48" s="243">
        <f>_xlfn.XLOOKUP(テーブル5[[#This Row],[商品ID]],商品マスタ[商品連番],商品マスタ[仕入先],"",0,1)</f>
        <v/>
      </c>
      <c r="E48" s="243" t="n"/>
      <c r="F48" s="243" t="n"/>
      <c r="G48" s="244" t="n"/>
    </row>
    <row r="49" ht="18.6" customHeight="1" s="207">
      <c r="A49" s="241" t="n"/>
      <c r="B49" s="243" t="n"/>
      <c r="C49" s="243">
        <f>_xlfn.XLOOKUP(テーブル5[[#This Row],[商品ID]],商品マスタ[商品連番],商品マスタ[商品名],"",0,1)</f>
        <v/>
      </c>
      <c r="D49" s="243">
        <f>_xlfn.XLOOKUP(テーブル5[[#This Row],[商品ID]],商品マスタ[商品連番],商品マスタ[仕入先],"",0,1)</f>
        <v/>
      </c>
      <c r="E49" s="243" t="n"/>
      <c r="F49" s="243" t="n"/>
      <c r="G49" s="244" t="n"/>
    </row>
    <row r="50" ht="18.6" customHeight="1" s="207">
      <c r="A50" s="241" t="n"/>
      <c r="B50" s="243" t="n"/>
      <c r="C50" s="243">
        <f>_xlfn.XLOOKUP(テーブル5[[#This Row],[商品ID]],商品マスタ[商品連番],商品マスタ[商品名],"",0,1)</f>
        <v/>
      </c>
      <c r="D50" s="243">
        <f>_xlfn.XLOOKUP(テーブル5[[#This Row],[商品ID]],商品マスタ[商品連番],商品マスタ[仕入先],"",0,1)</f>
        <v/>
      </c>
      <c r="E50" s="243" t="n"/>
      <c r="F50" s="243" t="n"/>
      <c r="G50" s="244" t="n"/>
    </row>
    <row r="51" ht="18.6" customHeight="1" s="207">
      <c r="A51" s="241" t="n"/>
      <c r="B51" s="243" t="n"/>
      <c r="C51" s="243">
        <f>_xlfn.XLOOKUP(テーブル5[[#This Row],[商品ID]],商品マスタ[商品連番],商品マスタ[商品名],"",0,1)</f>
        <v/>
      </c>
      <c r="D51" s="243">
        <f>_xlfn.XLOOKUP(テーブル5[[#This Row],[商品ID]],商品マスタ[商品連番],商品マスタ[仕入先],"",0,1)</f>
        <v/>
      </c>
      <c r="E51" s="243" t="n"/>
      <c r="F51" s="243" t="n"/>
      <c r="G51" s="244" t="n"/>
    </row>
    <row r="52" ht="18.6" customHeight="1" s="207">
      <c r="A52" s="241" t="n"/>
      <c r="B52" s="243" t="n"/>
      <c r="C52" s="243">
        <f>_xlfn.XLOOKUP(テーブル5[[#This Row],[商品ID]],商品マスタ[商品連番],商品マスタ[商品名],"",0,1)</f>
        <v/>
      </c>
      <c r="D52" s="243">
        <f>_xlfn.XLOOKUP(テーブル5[[#This Row],[商品ID]],商品マスタ[商品連番],商品マスタ[仕入先],"",0,1)</f>
        <v/>
      </c>
      <c r="E52" s="243" t="n"/>
      <c r="F52" s="243" t="n"/>
      <c r="G52" s="244" t="n"/>
    </row>
    <row r="53" ht="18.6" customHeight="1" s="207">
      <c r="A53" s="241" t="n"/>
      <c r="B53" s="243" t="n"/>
      <c r="C53" s="243">
        <f>_xlfn.XLOOKUP(テーブル5[[#This Row],[商品ID]],商品マスタ[商品連番],商品マスタ[商品名],"",0,1)</f>
        <v/>
      </c>
      <c r="D53" s="243">
        <f>_xlfn.XLOOKUP(テーブル5[[#This Row],[商品ID]],商品マスタ[商品連番],商品マスタ[仕入先],"",0,1)</f>
        <v/>
      </c>
      <c r="E53" s="243" t="n"/>
      <c r="F53" s="243" t="n"/>
      <c r="G53" s="244" t="n"/>
    </row>
    <row r="54" ht="18.6" customHeight="1" s="207">
      <c r="A54" s="241" t="n"/>
      <c r="B54" s="243" t="n"/>
      <c r="C54" s="243">
        <f>_xlfn.XLOOKUP(テーブル5[[#This Row],[商品ID]],商品マスタ[商品連番],商品マスタ[商品名],"",0,1)</f>
        <v/>
      </c>
      <c r="D54" s="243">
        <f>_xlfn.XLOOKUP(テーブル5[[#This Row],[商品ID]],商品マスタ[商品連番],商品マスタ[仕入先],"",0,1)</f>
        <v/>
      </c>
      <c r="E54" s="243" t="n"/>
      <c r="F54" s="243" t="n"/>
      <c r="G54" s="244" t="n"/>
    </row>
    <row r="55" ht="18.6" customHeight="1" s="207">
      <c r="A55" s="241" t="n"/>
      <c r="B55" s="243" t="n"/>
      <c r="C55" s="243">
        <f>_xlfn.XLOOKUP(テーブル5[[#This Row],[商品ID]],商品マスタ[商品連番],商品マスタ[商品名],"",0,1)</f>
        <v/>
      </c>
      <c r="D55" s="243">
        <f>_xlfn.XLOOKUP(テーブル5[[#This Row],[商品ID]],商品マスタ[商品連番],商品マスタ[仕入先],"",0,1)</f>
        <v/>
      </c>
      <c r="E55" s="243" t="n"/>
      <c r="F55" s="243" t="n"/>
      <c r="G55" s="244" t="n"/>
    </row>
    <row r="56" ht="18.6" customHeight="1" s="207">
      <c r="A56" s="241" t="n"/>
      <c r="B56" s="243" t="n"/>
      <c r="C56" s="243">
        <f>_xlfn.XLOOKUP(テーブル5[[#This Row],[商品ID]],商品マスタ[商品連番],商品マスタ[商品名],"",0,1)</f>
        <v/>
      </c>
      <c r="D56" s="243">
        <f>_xlfn.XLOOKUP(テーブル5[[#This Row],[商品ID]],商品マスタ[商品連番],商品マスタ[仕入先],"",0,1)</f>
        <v/>
      </c>
      <c r="E56" s="243" t="n"/>
      <c r="F56" s="243" t="n"/>
      <c r="G56" s="244" t="n"/>
    </row>
    <row r="57" ht="18.6" customHeight="1" s="207">
      <c r="A57" s="241" t="n"/>
      <c r="B57" s="243" t="n"/>
      <c r="C57" s="243">
        <f>_xlfn.XLOOKUP(テーブル5[[#This Row],[商品ID]],商品マスタ[商品連番],商品マスタ[商品名],"",0,1)</f>
        <v/>
      </c>
      <c r="D57" s="243">
        <f>_xlfn.XLOOKUP(テーブル5[[#This Row],[商品ID]],商品マスタ[商品連番],商品マスタ[仕入先],"",0,1)</f>
        <v/>
      </c>
      <c r="E57" s="243" t="n"/>
      <c r="F57" s="243" t="n"/>
      <c r="G57" s="244" t="n"/>
    </row>
    <row r="58" ht="18.6" customHeight="1" s="207">
      <c r="A58" s="241" t="n"/>
      <c r="B58" s="243" t="n"/>
      <c r="C58" s="243">
        <f>_xlfn.XLOOKUP(テーブル5[[#This Row],[商品ID]],商品マスタ[商品連番],商品マスタ[商品名],"",0,1)</f>
        <v/>
      </c>
      <c r="D58" s="243">
        <f>_xlfn.XLOOKUP(テーブル5[[#This Row],[商品ID]],商品マスタ[商品連番],商品マスタ[仕入先],"",0,1)</f>
        <v/>
      </c>
      <c r="E58" s="243" t="n"/>
      <c r="F58" s="243" t="n"/>
      <c r="G58" s="244" t="n"/>
    </row>
    <row r="59" ht="18.6" customHeight="1" s="207">
      <c r="A59" s="241" t="n"/>
      <c r="B59" s="243" t="n"/>
      <c r="C59" s="243">
        <f>_xlfn.XLOOKUP(テーブル5[[#This Row],[商品ID]],商品マスタ[商品連番],商品マスタ[商品名],"",0,1)</f>
        <v/>
      </c>
      <c r="D59" s="243">
        <f>_xlfn.XLOOKUP(テーブル5[[#This Row],[商品ID]],商品マスタ[商品連番],商品マスタ[仕入先],"",0,1)</f>
        <v/>
      </c>
      <c r="E59" s="243" t="n"/>
      <c r="F59" s="243" t="n"/>
      <c r="G59" s="244" t="n"/>
    </row>
    <row r="60" ht="18.6" customHeight="1" s="207">
      <c r="A60" s="241" t="n"/>
      <c r="B60" s="243" t="n"/>
      <c r="C60" s="243">
        <f>_xlfn.XLOOKUP(テーブル5[[#This Row],[商品ID]],商品マスタ[商品連番],商品マスタ[商品名],"",0,1)</f>
        <v/>
      </c>
      <c r="D60" s="243">
        <f>_xlfn.XLOOKUP(テーブル5[[#This Row],[商品ID]],商品マスタ[商品連番],商品マスタ[仕入先],"",0,1)</f>
        <v/>
      </c>
      <c r="E60" s="243" t="n"/>
      <c r="F60" s="243" t="n"/>
      <c r="G60" s="244" t="n"/>
    </row>
    <row r="61" ht="18.6" customHeight="1" s="207">
      <c r="A61" s="241" t="n"/>
      <c r="B61" s="243" t="n"/>
      <c r="C61" s="243">
        <f>_xlfn.XLOOKUP(テーブル5[[#This Row],[商品ID]],商品マスタ[商品連番],商品マスタ[商品名],"",0,1)</f>
        <v/>
      </c>
      <c r="D61" s="243">
        <f>_xlfn.XLOOKUP(テーブル5[[#This Row],[商品ID]],商品マスタ[商品連番],商品マスタ[仕入先],"",0,1)</f>
        <v/>
      </c>
      <c r="E61" s="243" t="n"/>
      <c r="F61" s="243" t="n"/>
      <c r="G61" s="244" t="n"/>
    </row>
    <row r="62" ht="18.6" customHeight="1" s="207">
      <c r="A62" s="241" t="n"/>
      <c r="B62" s="243" t="n"/>
      <c r="C62" s="243">
        <f>_xlfn.XLOOKUP(テーブル5[[#This Row],[商品ID]],商品マスタ[商品連番],商品マスタ[商品名],"",0,1)</f>
        <v/>
      </c>
      <c r="D62" s="243">
        <f>_xlfn.XLOOKUP(テーブル5[[#This Row],[商品ID]],商品マスタ[商品連番],商品マスタ[仕入先],"",0,1)</f>
        <v/>
      </c>
      <c r="E62" s="243" t="n"/>
      <c r="F62" s="243" t="n"/>
      <c r="G62" s="244" t="n"/>
    </row>
    <row r="63" ht="18.6" customHeight="1" s="207">
      <c r="A63" s="241" t="n"/>
      <c r="B63" s="243" t="n"/>
      <c r="C63" s="243">
        <f>_xlfn.XLOOKUP(テーブル5[[#This Row],[商品ID]],商品マスタ[商品連番],商品マスタ[商品名],"",0,1)</f>
        <v/>
      </c>
      <c r="D63" s="243">
        <f>_xlfn.XLOOKUP(テーブル5[[#This Row],[商品ID]],商品マスタ[商品連番],商品マスタ[仕入先],"",0,1)</f>
        <v/>
      </c>
      <c r="E63" s="243" t="n"/>
      <c r="F63" s="243" t="n"/>
      <c r="G63" s="244" t="n"/>
    </row>
    <row r="64" ht="18.6" customHeight="1" s="207">
      <c r="A64" s="241" t="n"/>
      <c r="B64" s="243" t="n"/>
      <c r="C64" s="243">
        <f>_xlfn.XLOOKUP(テーブル5[[#This Row],[商品ID]],商品マスタ[商品連番],商品マスタ[商品名],"",0,1)</f>
        <v/>
      </c>
      <c r="D64" s="243">
        <f>_xlfn.XLOOKUP(テーブル5[[#This Row],[商品ID]],商品マスタ[商品連番],商品マスタ[仕入先],"",0,1)</f>
        <v/>
      </c>
      <c r="E64" s="243" t="n"/>
      <c r="F64" s="243" t="n"/>
      <c r="G64" s="244" t="n"/>
    </row>
    <row r="65" ht="18.6" customHeight="1" s="207">
      <c r="A65" s="241" t="n"/>
      <c r="B65" s="243" t="n"/>
      <c r="C65" s="243">
        <f>_xlfn.XLOOKUP(テーブル5[[#This Row],[商品ID]],商品マスタ[商品連番],商品マスタ[商品名],"",0,1)</f>
        <v/>
      </c>
      <c r="D65" s="243">
        <f>_xlfn.XLOOKUP(テーブル5[[#This Row],[商品ID]],商品マスタ[商品連番],商品マスタ[仕入先],"",0,1)</f>
        <v/>
      </c>
      <c r="E65" s="243" t="n"/>
      <c r="F65" s="243" t="n"/>
      <c r="G65" s="244" t="n"/>
    </row>
    <row r="66" ht="18.6" customHeight="1" s="207">
      <c r="A66" s="241" t="n"/>
      <c r="B66" s="243" t="n"/>
      <c r="C66" s="243">
        <f>_xlfn.XLOOKUP(テーブル5[[#This Row],[商品ID]],商品マスタ[商品連番],商品マスタ[商品名],"",0,1)</f>
        <v/>
      </c>
      <c r="D66" s="243">
        <f>_xlfn.XLOOKUP(テーブル5[[#This Row],[商品ID]],商品マスタ[商品連番],商品マスタ[仕入先],"",0,1)</f>
        <v/>
      </c>
      <c r="E66" s="243" t="n"/>
      <c r="F66" s="243" t="n"/>
      <c r="G66" s="244" t="n"/>
    </row>
    <row r="67" ht="18.6" customHeight="1" s="207">
      <c r="A67" s="241" t="n"/>
      <c r="B67" s="243" t="n"/>
      <c r="C67" s="243">
        <f>_xlfn.XLOOKUP(テーブル5[[#This Row],[商品ID]],商品マスタ[商品連番],商品マスタ[商品名],"",0,1)</f>
        <v/>
      </c>
      <c r="D67" s="243">
        <f>_xlfn.XLOOKUP(テーブル5[[#This Row],[商品ID]],商品マスタ[商品連番],商品マスタ[仕入先],"",0,1)</f>
        <v/>
      </c>
      <c r="E67" s="243" t="n"/>
      <c r="F67" s="243" t="n"/>
      <c r="G67" s="244" t="n"/>
    </row>
    <row r="68" ht="18.6" customHeight="1" s="207">
      <c r="A68" s="241" t="n"/>
      <c r="B68" s="243" t="n"/>
      <c r="C68" s="243">
        <f>_xlfn.XLOOKUP(テーブル5[[#This Row],[商品ID]],商品マスタ[商品連番],商品マスタ[商品名],"",0,1)</f>
        <v/>
      </c>
      <c r="D68" s="243">
        <f>_xlfn.XLOOKUP(テーブル5[[#This Row],[商品ID]],商品マスタ[商品連番],商品マスタ[仕入先],"",0,1)</f>
        <v/>
      </c>
      <c r="E68" s="243" t="n"/>
      <c r="F68" s="243" t="n"/>
      <c r="G68" s="244" t="n"/>
    </row>
    <row r="69" ht="18.6" customHeight="1" s="207">
      <c r="A69" s="241" t="n"/>
      <c r="B69" s="243" t="n"/>
      <c r="C69" s="243">
        <f>_xlfn.XLOOKUP(テーブル5[[#This Row],[商品ID]],商品マスタ[商品連番],商品マスタ[商品名],"",0,1)</f>
        <v/>
      </c>
      <c r="D69" s="243">
        <f>_xlfn.XLOOKUP(テーブル5[[#This Row],[商品ID]],商品マスタ[商品連番],商品マスタ[仕入先],"",0,1)</f>
        <v/>
      </c>
      <c r="E69" s="243" t="n"/>
      <c r="F69" s="243" t="n"/>
      <c r="G69" s="244" t="n"/>
    </row>
    <row r="70" ht="18.6" customHeight="1" s="207">
      <c r="A70" s="241" t="n"/>
      <c r="B70" s="243" t="n"/>
      <c r="C70" s="243">
        <f>_xlfn.XLOOKUP(テーブル5[[#This Row],[商品ID]],商品マスタ[商品連番],商品マスタ[商品名],"",0,1)</f>
        <v/>
      </c>
      <c r="D70" s="243">
        <f>_xlfn.XLOOKUP(テーブル5[[#This Row],[商品ID]],商品マスタ[商品連番],商品マスタ[仕入先],"",0,1)</f>
        <v/>
      </c>
      <c r="E70" s="243" t="n"/>
      <c r="F70" s="243" t="n"/>
      <c r="G70" s="244" t="n"/>
    </row>
    <row r="71" ht="18.6" customHeight="1" s="207">
      <c r="A71" s="241" t="n"/>
      <c r="B71" s="243" t="n"/>
      <c r="C71" s="243">
        <f>_xlfn.XLOOKUP(テーブル5[[#This Row],[商品ID]],商品マスタ[商品連番],商品マスタ[商品名],"",0,1)</f>
        <v/>
      </c>
      <c r="D71" s="243">
        <f>_xlfn.XLOOKUP(テーブル5[[#This Row],[商品ID]],商品マスタ[商品連番],商品マスタ[仕入先],"",0,1)</f>
        <v/>
      </c>
      <c r="E71" s="243" t="n"/>
      <c r="F71" s="243" t="n"/>
      <c r="G71" s="244" t="n"/>
    </row>
    <row r="72" ht="18.6" customHeight="1" s="207">
      <c r="A72" s="241" t="n"/>
      <c r="B72" s="243" t="n"/>
      <c r="C72" s="243">
        <f>_xlfn.XLOOKUP(テーブル5[[#This Row],[商品ID]],商品マスタ[商品連番],商品マスタ[商品名],"",0,1)</f>
        <v/>
      </c>
      <c r="D72" s="243">
        <f>_xlfn.XLOOKUP(テーブル5[[#This Row],[商品ID]],商品マスタ[商品連番],商品マスタ[仕入先],"",0,1)</f>
        <v/>
      </c>
      <c r="E72" s="243" t="n"/>
      <c r="F72" s="243" t="n"/>
      <c r="G72" s="244" t="n"/>
    </row>
    <row r="73" ht="18.6" customHeight="1" s="207">
      <c r="A73" s="241" t="n"/>
      <c r="B73" s="243" t="n"/>
      <c r="C73" s="243">
        <f>_xlfn.XLOOKUP(テーブル5[[#This Row],[商品ID]],商品マスタ[商品連番],商品マスタ[商品名],"",0,1)</f>
        <v/>
      </c>
      <c r="D73" s="243">
        <f>_xlfn.XLOOKUP(テーブル5[[#This Row],[商品ID]],商品マスタ[商品連番],商品マスタ[仕入先],"",0,1)</f>
        <v/>
      </c>
      <c r="E73" s="243" t="n"/>
      <c r="F73" s="243" t="n"/>
      <c r="G73" s="244" t="n"/>
    </row>
    <row r="74" ht="18.6" customHeight="1" s="207">
      <c r="A74" s="241" t="n"/>
      <c r="B74" s="243" t="n"/>
      <c r="C74" s="243">
        <f>_xlfn.XLOOKUP(テーブル5[[#This Row],[商品ID]],商品マスタ[商品連番],商品マスタ[商品名],"",0,1)</f>
        <v/>
      </c>
      <c r="D74" s="243">
        <f>_xlfn.XLOOKUP(テーブル5[[#This Row],[商品ID]],商品マスタ[商品連番],商品マスタ[仕入先],"",0,1)</f>
        <v/>
      </c>
      <c r="E74" s="243" t="n"/>
      <c r="F74" s="243" t="n"/>
      <c r="G74" s="244" t="n"/>
    </row>
    <row r="75" ht="18.6" customHeight="1" s="207">
      <c r="A75" s="241" t="n"/>
      <c r="B75" s="243" t="n"/>
      <c r="C75" s="243">
        <f>_xlfn.XLOOKUP(テーブル5[[#This Row],[商品ID]],商品マスタ[商品連番],商品マスタ[商品名],"",0,1)</f>
        <v/>
      </c>
      <c r="D75" s="243">
        <f>_xlfn.XLOOKUP(テーブル5[[#This Row],[商品ID]],商品マスタ[商品連番],商品マスタ[仕入先],"",0,1)</f>
        <v/>
      </c>
      <c r="E75" s="243" t="n"/>
      <c r="F75" s="243" t="n"/>
      <c r="G75" s="244" t="n"/>
    </row>
    <row r="76" ht="18.6" customHeight="1" s="207">
      <c r="A76" s="241" t="n"/>
      <c r="B76" s="243" t="n"/>
      <c r="C76" s="243">
        <f>_xlfn.XLOOKUP(テーブル5[[#This Row],[商品ID]],商品マスタ[商品連番],商品マスタ[商品名],"",0,1)</f>
        <v/>
      </c>
      <c r="D76" s="243">
        <f>_xlfn.XLOOKUP(テーブル5[[#This Row],[商品ID]],商品マスタ[商品連番],商品マスタ[仕入先],"",0,1)</f>
        <v/>
      </c>
      <c r="E76" s="243" t="n"/>
      <c r="F76" s="243" t="n"/>
      <c r="G76" s="244" t="n"/>
    </row>
    <row r="77" ht="18.6" customHeight="1" s="207">
      <c r="A77" s="241" t="n"/>
      <c r="B77" s="243" t="n"/>
      <c r="C77" s="243">
        <f>_xlfn.XLOOKUP(テーブル5[[#This Row],[商品ID]],商品マスタ[商品連番],商品マスタ[商品名],"",0,1)</f>
        <v/>
      </c>
      <c r="D77" s="243">
        <f>_xlfn.XLOOKUP(テーブル5[[#This Row],[商品ID]],商品マスタ[商品連番],商品マスタ[仕入先],"",0,1)</f>
        <v/>
      </c>
      <c r="E77" s="243" t="n"/>
      <c r="F77" s="243" t="n"/>
      <c r="G77" s="244" t="n"/>
    </row>
    <row r="78" ht="18.6" customHeight="1" s="207">
      <c r="A78" s="241" t="n"/>
      <c r="B78" s="243" t="n"/>
      <c r="C78" s="243">
        <f>_xlfn.XLOOKUP(テーブル5[[#This Row],[商品ID]],商品マスタ[商品連番],商品マスタ[商品名],"",0,1)</f>
        <v/>
      </c>
      <c r="D78" s="243">
        <f>_xlfn.XLOOKUP(テーブル5[[#This Row],[商品ID]],商品マスタ[商品連番],商品マスタ[仕入先],"",0,1)</f>
        <v/>
      </c>
      <c r="E78" s="243" t="n"/>
      <c r="F78" s="243" t="n"/>
      <c r="G78" s="244" t="n"/>
    </row>
    <row r="79" ht="18.6" customHeight="1" s="207">
      <c r="A79" s="241" t="n"/>
      <c r="B79" s="243" t="n"/>
      <c r="C79" s="243">
        <f>_xlfn.XLOOKUP(テーブル5[[#This Row],[商品ID]],商品マスタ[商品連番],商品マスタ[商品名],"",0,1)</f>
        <v/>
      </c>
      <c r="D79" s="243">
        <f>_xlfn.XLOOKUP(テーブル5[[#This Row],[商品ID]],商品マスタ[商品連番],商品マスタ[仕入先],"",0,1)</f>
        <v/>
      </c>
      <c r="E79" s="243" t="n"/>
      <c r="F79" s="243" t="n"/>
      <c r="G79" s="244" t="n"/>
    </row>
    <row r="80" ht="18.6" customHeight="1" s="207">
      <c r="A80" s="241" t="n"/>
      <c r="B80" s="243" t="n"/>
      <c r="C80" s="243">
        <f>_xlfn.XLOOKUP(テーブル5[[#This Row],[商品ID]],商品マスタ[商品連番],商品マスタ[商品名],"",0,1)</f>
        <v/>
      </c>
      <c r="D80" s="243">
        <f>_xlfn.XLOOKUP(テーブル5[[#This Row],[商品ID]],商品マスタ[商品連番],商品マスタ[仕入先],"",0,1)</f>
        <v/>
      </c>
      <c r="E80" s="243" t="n"/>
      <c r="F80" s="243" t="n"/>
      <c r="G80" s="244" t="n"/>
    </row>
    <row r="81" ht="18.6" customHeight="1" s="207">
      <c r="A81" s="241" t="n"/>
      <c r="B81" s="243" t="n"/>
      <c r="C81" s="243">
        <f>_xlfn.XLOOKUP(テーブル5[[#This Row],[商品ID]],商品マスタ[商品連番],商品マスタ[商品名],"",0,1)</f>
        <v/>
      </c>
      <c r="D81" s="243">
        <f>_xlfn.XLOOKUP(テーブル5[[#This Row],[商品ID]],商品マスタ[商品連番],商品マスタ[仕入先],"",0,1)</f>
        <v/>
      </c>
      <c r="E81" s="243" t="n"/>
      <c r="F81" s="243" t="n"/>
      <c r="G81" s="244" t="n"/>
    </row>
    <row r="82" ht="18.6" customHeight="1" s="207">
      <c r="A82" s="241" t="n"/>
      <c r="B82" s="243" t="n"/>
      <c r="C82" s="243">
        <f>_xlfn.XLOOKUP(テーブル5[[#This Row],[商品ID]],商品マスタ[商品連番],商品マスタ[商品名],"",0,1)</f>
        <v/>
      </c>
      <c r="D82" s="243">
        <f>_xlfn.XLOOKUP(テーブル5[[#This Row],[商品ID]],商品マスタ[商品連番],商品マスタ[仕入先],"",0,1)</f>
        <v/>
      </c>
      <c r="E82" s="243" t="n"/>
      <c r="F82" s="243" t="n"/>
      <c r="G82" s="244" t="n"/>
    </row>
    <row r="83" ht="18.6" customHeight="1" s="207">
      <c r="A83" s="241" t="n"/>
      <c r="B83" s="243" t="n"/>
      <c r="C83" s="243">
        <f>_xlfn.XLOOKUP(テーブル5[[#This Row],[商品ID]],商品マスタ[商品連番],商品マスタ[商品名],"",0,1)</f>
        <v/>
      </c>
      <c r="D83" s="243">
        <f>_xlfn.XLOOKUP(テーブル5[[#This Row],[商品ID]],商品マスタ[商品連番],商品マスタ[仕入先],"",0,1)</f>
        <v/>
      </c>
      <c r="E83" s="243" t="n"/>
      <c r="F83" s="243" t="n"/>
      <c r="G83" s="244" t="n"/>
    </row>
    <row r="84" ht="18.6" customHeight="1" s="207">
      <c r="A84" s="241" t="n"/>
      <c r="B84" s="243" t="n"/>
      <c r="C84" s="243">
        <f>_xlfn.XLOOKUP(テーブル5[[#This Row],[商品ID]],商品マスタ[商品連番],商品マスタ[商品名],"",0,1)</f>
        <v/>
      </c>
      <c r="D84" s="243">
        <f>_xlfn.XLOOKUP(テーブル5[[#This Row],[商品ID]],商品マスタ[商品連番],商品マスタ[仕入先],"",0,1)</f>
        <v/>
      </c>
      <c r="E84" s="243" t="n"/>
      <c r="F84" s="243" t="n"/>
      <c r="G84" s="244" t="n"/>
    </row>
    <row r="85" ht="18.6" customHeight="1" s="207">
      <c r="A85" s="241" t="n"/>
      <c r="B85" s="243" t="n"/>
      <c r="C85" s="243">
        <f>_xlfn.XLOOKUP(テーブル5[[#This Row],[商品ID]],商品マスタ[商品連番],商品マスタ[商品名],"",0,1)</f>
        <v/>
      </c>
      <c r="D85" s="243">
        <f>_xlfn.XLOOKUP(テーブル5[[#This Row],[商品ID]],商品マスタ[商品連番],商品マスタ[仕入先],"",0,1)</f>
        <v/>
      </c>
      <c r="E85" s="243" t="n"/>
      <c r="F85" s="243" t="n"/>
      <c r="G85" s="244" t="n"/>
    </row>
    <row r="86" ht="18.6" customHeight="1" s="207">
      <c r="A86" s="241" t="n"/>
      <c r="B86" s="243" t="n"/>
      <c r="C86" s="243">
        <f>_xlfn.XLOOKUP(テーブル5[[#This Row],[商品ID]],商品マスタ[商品連番],商品マスタ[商品名],"",0,1)</f>
        <v/>
      </c>
      <c r="D86" s="243">
        <f>_xlfn.XLOOKUP(テーブル5[[#This Row],[商品ID]],商品マスタ[商品連番],商品マスタ[仕入先],"",0,1)</f>
        <v/>
      </c>
      <c r="E86" s="243" t="n"/>
      <c r="F86" s="243" t="n"/>
      <c r="G86" s="244" t="n"/>
    </row>
    <row r="87" ht="18.6" customHeight="1" s="207">
      <c r="A87" s="241" t="n"/>
      <c r="B87" s="243" t="n"/>
      <c r="C87" s="243">
        <f>_xlfn.XLOOKUP(テーブル5[[#This Row],[商品ID]],商品マスタ[商品連番],商品マスタ[商品名],"",0,1)</f>
        <v/>
      </c>
      <c r="D87" s="243">
        <f>_xlfn.XLOOKUP(テーブル5[[#This Row],[商品ID]],商品マスタ[商品連番],商品マスタ[仕入先],"",0,1)</f>
        <v/>
      </c>
      <c r="E87" s="243" t="n"/>
      <c r="F87" s="243" t="n"/>
      <c r="G87" s="244" t="n"/>
    </row>
    <row r="88" ht="18.6" customHeight="1" s="207">
      <c r="A88" s="241" t="n"/>
      <c r="B88" s="243" t="n"/>
      <c r="C88" s="243">
        <f>_xlfn.XLOOKUP(テーブル5[[#This Row],[商品ID]],商品マスタ[商品連番],商品マスタ[商品名],"",0,1)</f>
        <v/>
      </c>
      <c r="D88" s="243">
        <f>_xlfn.XLOOKUP(テーブル5[[#This Row],[商品ID]],商品マスタ[商品連番],商品マスタ[仕入先],"",0,1)</f>
        <v/>
      </c>
      <c r="E88" s="243" t="n"/>
      <c r="F88" s="243" t="n"/>
      <c r="G88" s="244" t="n"/>
    </row>
    <row r="89" ht="18.6" customHeight="1" s="207">
      <c r="A89" s="241" t="n"/>
      <c r="B89" s="243" t="n"/>
      <c r="C89" s="243">
        <f>_xlfn.XLOOKUP(テーブル5[[#This Row],[商品ID]],商品マスタ[商品連番],商品マスタ[商品名],"",0,1)</f>
        <v/>
      </c>
      <c r="D89" s="243">
        <f>_xlfn.XLOOKUP(テーブル5[[#This Row],[商品ID]],商品マスタ[商品連番],商品マスタ[仕入先],"",0,1)</f>
        <v/>
      </c>
      <c r="E89" s="243" t="n"/>
      <c r="F89" s="243" t="n"/>
      <c r="G89" s="244" t="n"/>
    </row>
    <row r="90" ht="18.6" customHeight="1" s="207">
      <c r="A90" s="241" t="n"/>
      <c r="B90" s="243" t="n"/>
      <c r="C90" s="243">
        <f>_xlfn.XLOOKUP(テーブル5[[#This Row],[商品ID]],商品マスタ[商品連番],商品マスタ[商品名],"",0,1)</f>
        <v/>
      </c>
      <c r="D90" s="243">
        <f>_xlfn.XLOOKUP(テーブル5[[#This Row],[商品ID]],商品マスタ[商品連番],商品マスタ[仕入先],"",0,1)</f>
        <v/>
      </c>
      <c r="E90" s="243" t="n"/>
      <c r="F90" s="243" t="n"/>
      <c r="G90" s="244" t="n"/>
    </row>
    <row r="91" ht="18.6" customHeight="1" s="207">
      <c r="A91" s="241" t="n"/>
      <c r="B91" s="243" t="n"/>
      <c r="C91" s="243">
        <f>_xlfn.XLOOKUP(テーブル5[[#This Row],[商品ID]],商品マスタ[商品連番],商品マスタ[商品名],"",0,1)</f>
        <v/>
      </c>
      <c r="D91" s="243">
        <f>_xlfn.XLOOKUP(テーブル5[[#This Row],[商品ID]],商品マスタ[商品連番],商品マスタ[仕入先],"",0,1)</f>
        <v/>
      </c>
      <c r="E91" s="243" t="n"/>
      <c r="F91" s="243" t="n"/>
      <c r="G91" s="244" t="n"/>
    </row>
    <row r="92" ht="18.6" customHeight="1" s="207">
      <c r="A92" s="241" t="n"/>
      <c r="B92" s="243" t="n"/>
      <c r="C92" s="243">
        <f>_xlfn.XLOOKUP(テーブル5[[#This Row],[商品ID]],商品マスタ[商品連番],商品マスタ[商品名],"",0,1)</f>
        <v/>
      </c>
      <c r="D92" s="243">
        <f>_xlfn.XLOOKUP(テーブル5[[#This Row],[商品ID]],商品マスタ[商品連番],商品マスタ[仕入先],"",0,1)</f>
        <v/>
      </c>
      <c r="E92" s="243" t="n"/>
      <c r="F92" s="243" t="n"/>
      <c r="G92" s="244" t="n"/>
    </row>
    <row r="93" ht="18.6" customHeight="1" s="207">
      <c r="A93" s="241" t="n"/>
      <c r="B93" s="243" t="n"/>
      <c r="C93" s="243">
        <f>_xlfn.XLOOKUP(テーブル5[[#This Row],[商品ID]],商品マスタ[商品連番],商品マスタ[商品名],"",0,1)</f>
        <v/>
      </c>
      <c r="D93" s="243">
        <f>_xlfn.XLOOKUP(テーブル5[[#This Row],[商品ID]],商品マスタ[商品連番],商品マスタ[仕入先],"",0,1)</f>
        <v/>
      </c>
      <c r="E93" s="243" t="n"/>
      <c r="F93" s="243" t="n"/>
      <c r="G93" s="244" t="n"/>
    </row>
    <row r="94" ht="18.6" customHeight="1" s="207">
      <c r="A94" s="241" t="n"/>
      <c r="B94" s="243" t="n"/>
      <c r="C94" s="243">
        <f>_xlfn.XLOOKUP(テーブル5[[#This Row],[商品ID]],商品マスタ[商品連番],商品マスタ[商品名],"",0,1)</f>
        <v/>
      </c>
      <c r="D94" s="243">
        <f>_xlfn.XLOOKUP(テーブル5[[#This Row],[商品ID]],商品マスタ[商品連番],商品マスタ[仕入先],"",0,1)</f>
        <v/>
      </c>
      <c r="E94" s="243" t="n"/>
      <c r="F94" s="243" t="n"/>
      <c r="G94" s="244" t="n"/>
    </row>
    <row r="95" ht="18.6" customHeight="1" s="207">
      <c r="A95" s="241" t="n"/>
      <c r="B95" s="243" t="n"/>
      <c r="C95" s="243">
        <f>_xlfn.XLOOKUP(テーブル5[[#This Row],[商品ID]],商品マスタ[商品連番],商品マスタ[商品名],"",0,1)</f>
        <v/>
      </c>
      <c r="D95" s="243">
        <f>_xlfn.XLOOKUP(テーブル5[[#This Row],[商品ID]],商品マスタ[商品連番],商品マスタ[仕入先],"",0,1)</f>
        <v/>
      </c>
      <c r="E95" s="243" t="n"/>
      <c r="F95" s="243" t="n"/>
      <c r="G95" s="244" t="n"/>
    </row>
    <row r="96" ht="18.6" customHeight="1" s="207">
      <c r="A96" s="241" t="n"/>
      <c r="B96" s="243" t="n"/>
      <c r="C96" s="243">
        <f>_xlfn.XLOOKUP(テーブル5[[#This Row],[商品ID]],商品マスタ[商品連番],商品マスタ[商品名],"",0,1)</f>
        <v/>
      </c>
      <c r="D96" s="243">
        <f>_xlfn.XLOOKUP(テーブル5[[#This Row],[商品ID]],商品マスタ[商品連番],商品マスタ[仕入先],"",0,1)</f>
        <v/>
      </c>
      <c r="E96" s="243" t="n"/>
      <c r="F96" s="243" t="n"/>
      <c r="G96" s="244" t="n"/>
    </row>
    <row r="97" ht="18.6" customHeight="1" s="207">
      <c r="A97" s="241" t="n"/>
      <c r="B97" s="243" t="n"/>
      <c r="C97" s="243">
        <f>_xlfn.XLOOKUP(テーブル5[[#This Row],[商品ID]],商品マスタ[商品連番],商品マスタ[商品名],"",0,1)</f>
        <v/>
      </c>
      <c r="D97" s="243">
        <f>_xlfn.XLOOKUP(テーブル5[[#This Row],[商品ID]],商品マスタ[商品連番],商品マスタ[仕入先],"",0,1)</f>
        <v/>
      </c>
      <c r="E97" s="243" t="n"/>
      <c r="F97" s="243" t="n"/>
      <c r="G97" s="244" t="n"/>
    </row>
    <row r="98" ht="18.6" customHeight="1" s="207">
      <c r="A98" s="241" t="n"/>
      <c r="B98" s="243" t="n"/>
      <c r="C98" s="243">
        <f>_xlfn.XLOOKUP(テーブル5[[#This Row],[商品ID]],商品マスタ[商品連番],商品マスタ[商品名],"",0,1)</f>
        <v/>
      </c>
      <c r="D98" s="243">
        <f>_xlfn.XLOOKUP(テーブル5[[#This Row],[商品ID]],商品マスタ[商品連番],商品マスタ[仕入先],"",0,1)</f>
        <v/>
      </c>
      <c r="E98" s="243" t="n"/>
      <c r="F98" s="243" t="n"/>
      <c r="G98" s="244" t="n"/>
    </row>
    <row r="99" ht="18.6" customHeight="1" s="207">
      <c r="A99" s="241" t="n"/>
      <c r="B99" s="243" t="n"/>
      <c r="C99" s="243">
        <f>_xlfn.XLOOKUP(テーブル5[[#This Row],[商品ID]],商品マスタ[商品連番],商品マスタ[商品名],"",0,1)</f>
        <v/>
      </c>
      <c r="D99" s="243">
        <f>_xlfn.XLOOKUP(テーブル5[[#This Row],[商品ID]],商品マスタ[商品連番],商品マスタ[仕入先],"",0,1)</f>
        <v/>
      </c>
      <c r="E99" s="243" t="n"/>
      <c r="F99" s="243" t="n"/>
      <c r="G99" s="244" t="n"/>
    </row>
    <row r="100" ht="18.6" customHeight="1" s="207">
      <c r="A100" s="241" t="n"/>
      <c r="B100" s="243" t="n"/>
      <c r="C100" s="243">
        <f>_xlfn.XLOOKUP(テーブル5[[#This Row],[商品ID]],商品マスタ[商品連番],商品マスタ[商品名],"",0,1)</f>
        <v/>
      </c>
      <c r="D100" s="243">
        <f>_xlfn.XLOOKUP(テーブル5[[#This Row],[商品ID]],商品マスタ[商品連番],商品マスタ[仕入先],"",0,1)</f>
        <v/>
      </c>
      <c r="E100" s="243" t="n"/>
      <c r="F100" s="243" t="n"/>
      <c r="G100" s="244" t="n"/>
    </row>
    <row r="101" ht="18.6" customHeight="1" s="207">
      <c r="A101" s="241" t="n"/>
      <c r="B101" s="243" t="n"/>
      <c r="C101" s="243">
        <f>_xlfn.XLOOKUP(テーブル5[[#This Row],[商品ID]],商品マスタ[商品連番],商品マスタ[商品名],"",0,1)</f>
        <v/>
      </c>
      <c r="D101" s="243">
        <f>_xlfn.XLOOKUP(テーブル5[[#This Row],[商品ID]],商品マスタ[商品連番],商品マスタ[仕入先],"",0,1)</f>
        <v/>
      </c>
      <c r="E101" s="243" t="n"/>
      <c r="F101" s="243" t="n"/>
      <c r="G101" s="244" t="n"/>
    </row>
    <row r="102" ht="18.6" customHeight="1" s="207">
      <c r="A102" s="241" t="n"/>
      <c r="B102" s="243" t="n"/>
      <c r="C102" s="243">
        <f>_xlfn.XLOOKUP(テーブル5[[#This Row],[商品ID]],商品マスタ[商品連番],商品マスタ[商品名],"",0,1)</f>
        <v/>
      </c>
      <c r="D102" s="243">
        <f>_xlfn.XLOOKUP(テーブル5[[#This Row],[商品ID]],商品マスタ[商品連番],商品マスタ[仕入先],"",0,1)</f>
        <v/>
      </c>
      <c r="E102" s="243" t="n"/>
      <c r="F102" s="243" t="n"/>
      <c r="G102" s="244" t="n"/>
    </row>
    <row r="103" ht="18.6" customHeight="1" s="207">
      <c r="A103" s="241" t="n"/>
      <c r="B103" s="243" t="n"/>
      <c r="C103" s="243">
        <f>_xlfn.XLOOKUP(テーブル5[[#This Row],[商品ID]],商品マスタ[商品連番],商品マスタ[商品名],"",0,1)</f>
        <v/>
      </c>
      <c r="D103" s="243">
        <f>_xlfn.XLOOKUP(テーブル5[[#This Row],[商品ID]],商品マスタ[商品連番],商品マスタ[仕入先],"",0,1)</f>
        <v/>
      </c>
      <c r="E103" s="243" t="n"/>
      <c r="F103" s="243" t="n"/>
      <c r="G103" s="244" t="n"/>
    </row>
    <row r="104" ht="18.6" customHeight="1" s="207">
      <c r="A104" s="241" t="n"/>
      <c r="B104" s="243" t="n"/>
      <c r="C104" s="243">
        <f>_xlfn.XLOOKUP(テーブル5[[#This Row],[商品ID]],商品マスタ[商品連番],商品マスタ[商品名],"",0,1)</f>
        <v/>
      </c>
      <c r="D104" s="243">
        <f>_xlfn.XLOOKUP(テーブル5[[#This Row],[商品ID]],商品マスタ[商品連番],商品マスタ[仕入先],"",0,1)</f>
        <v/>
      </c>
      <c r="E104" s="243" t="n"/>
      <c r="F104" s="243" t="n"/>
      <c r="G104" s="244" t="n"/>
    </row>
    <row r="105" ht="18.6" customHeight="1" s="207">
      <c r="A105" s="241" t="n"/>
      <c r="B105" s="243" t="n"/>
      <c r="C105" s="243">
        <f>_xlfn.XLOOKUP(テーブル5[[#This Row],[商品ID]],商品マスタ[商品連番],商品マスタ[商品名],"",0,1)</f>
        <v/>
      </c>
      <c r="D105" s="243">
        <f>_xlfn.XLOOKUP(テーブル5[[#This Row],[商品ID]],商品マスタ[商品連番],商品マスタ[仕入先],"",0,1)</f>
        <v/>
      </c>
      <c r="E105" s="243" t="n"/>
      <c r="F105" s="243" t="n"/>
      <c r="G105" s="244" t="n"/>
    </row>
    <row r="106" ht="18.6" customHeight="1" s="207">
      <c r="A106" s="241" t="n"/>
      <c r="B106" s="243" t="n"/>
      <c r="C106" s="243">
        <f>_xlfn.XLOOKUP(テーブル5[[#This Row],[商品ID]],商品マスタ[商品連番],商品マスタ[商品名],"",0,1)</f>
        <v/>
      </c>
      <c r="D106" s="243">
        <f>_xlfn.XLOOKUP(テーブル5[[#This Row],[商品ID]],商品マスタ[商品連番],商品マスタ[仕入先],"",0,1)</f>
        <v/>
      </c>
      <c r="E106" s="243" t="n"/>
      <c r="F106" s="243" t="n"/>
      <c r="G106" s="244" t="n"/>
    </row>
    <row r="107" ht="18.6" customHeight="1" s="207">
      <c r="A107" s="241" t="n"/>
      <c r="B107" s="243" t="n"/>
      <c r="C107" s="243">
        <f>_xlfn.XLOOKUP(テーブル5[[#This Row],[商品ID]],商品マスタ[商品連番],商品マスタ[商品名],"",0,1)</f>
        <v/>
      </c>
      <c r="D107" s="243">
        <f>_xlfn.XLOOKUP(テーブル5[[#This Row],[商品ID]],商品マスタ[商品連番],商品マスタ[仕入先],"",0,1)</f>
        <v/>
      </c>
      <c r="E107" s="243" t="n"/>
      <c r="F107" s="243" t="n"/>
      <c r="G107" s="244" t="n"/>
    </row>
    <row r="108" ht="18.6" customHeight="1" s="207">
      <c r="A108" s="241" t="n"/>
      <c r="B108" s="243" t="n"/>
      <c r="C108" s="243">
        <f>_xlfn.XLOOKUP(テーブル5[[#This Row],[商品ID]],商品マスタ[商品連番],商品マスタ[商品名],"",0,1)</f>
        <v/>
      </c>
      <c r="D108" s="243">
        <f>_xlfn.XLOOKUP(テーブル5[[#This Row],[商品ID]],商品マスタ[商品連番],商品マスタ[仕入先],"",0,1)</f>
        <v/>
      </c>
      <c r="E108" s="243" t="n"/>
      <c r="F108" s="243" t="n"/>
      <c r="G108" s="244" t="n"/>
    </row>
    <row r="109" ht="18.6" customHeight="1" s="207">
      <c r="A109" s="241" t="n"/>
      <c r="B109" s="243" t="n"/>
      <c r="C109" s="243">
        <f>_xlfn.XLOOKUP(テーブル5[[#This Row],[商品ID]],商品マスタ[商品連番],商品マスタ[商品名],"",0,1)</f>
        <v/>
      </c>
      <c r="D109" s="243">
        <f>_xlfn.XLOOKUP(テーブル5[[#This Row],[商品ID]],商品マスタ[商品連番],商品マスタ[仕入先],"",0,1)</f>
        <v/>
      </c>
      <c r="E109" s="243" t="n"/>
      <c r="F109" s="243" t="n"/>
      <c r="G109" s="244" t="n"/>
    </row>
    <row r="110" ht="18.6" customHeight="1" s="207">
      <c r="A110" s="241" t="n"/>
      <c r="B110" s="243" t="n"/>
      <c r="C110" s="243">
        <f>_xlfn.XLOOKUP(テーブル5[[#This Row],[商品ID]],商品マスタ[商品連番],商品マスタ[商品名],"",0,1)</f>
        <v/>
      </c>
      <c r="D110" s="243">
        <f>_xlfn.XLOOKUP(テーブル5[[#This Row],[商品ID]],商品マスタ[商品連番],商品マスタ[仕入先],"",0,1)</f>
        <v/>
      </c>
      <c r="E110" s="243" t="n"/>
      <c r="F110" s="243" t="n"/>
      <c r="G110" s="244" t="n"/>
    </row>
    <row r="111" ht="18.6" customHeight="1" s="207">
      <c r="A111" s="241" t="n"/>
      <c r="B111" s="243" t="n"/>
      <c r="C111" s="243">
        <f>_xlfn.XLOOKUP(テーブル5[[#This Row],[商品ID]],商品マスタ[商品連番],商品マスタ[商品名],"",0,1)</f>
        <v/>
      </c>
      <c r="D111" s="243">
        <f>_xlfn.XLOOKUP(テーブル5[[#This Row],[商品ID]],商品マスタ[商品連番],商品マスタ[仕入先],"",0,1)</f>
        <v/>
      </c>
      <c r="E111" s="243" t="n"/>
      <c r="F111" s="243" t="n"/>
      <c r="G111" s="244" t="n"/>
    </row>
    <row r="112" ht="18.6" customHeight="1" s="207">
      <c r="A112" s="241" t="n"/>
      <c r="B112" s="243" t="n"/>
      <c r="C112" s="243">
        <f>_xlfn.XLOOKUP(テーブル5[[#This Row],[商品ID]],商品マスタ[商品連番],商品マスタ[商品名],"",0,1)</f>
        <v/>
      </c>
      <c r="D112" s="243">
        <f>_xlfn.XLOOKUP(テーブル5[[#This Row],[商品ID]],商品マスタ[商品連番],商品マスタ[仕入先],"",0,1)</f>
        <v/>
      </c>
      <c r="E112" s="243" t="n"/>
      <c r="F112" s="243" t="n"/>
      <c r="G112" s="244" t="n"/>
    </row>
    <row r="113" ht="18.6" customHeight="1" s="207">
      <c r="A113" s="245" t="n"/>
      <c r="B113" s="247" t="n"/>
      <c r="C113" s="247">
        <f>_xlfn.XLOOKUP(テーブル5[[#This Row],[商品ID]],商品マスタ[商品連番],商品マスタ[商品名],"",0,1)</f>
        <v/>
      </c>
      <c r="D113" s="247">
        <f>_xlfn.XLOOKUP(テーブル5[[#This Row],[商品ID]],商品マスタ[商品連番],商品マスタ[仕入先],"",0,1)</f>
        <v/>
      </c>
      <c r="E113" s="247" t="n"/>
      <c r="F113" s="247" t="n"/>
      <c r="G113" s="248" t="n"/>
    </row>
  </sheetData>
  <conditionalFormatting sqref="B2:B113">
    <cfRule type="duplicateValues" priority="1" dxfId="0"/>
  </conditionalFormatting>
  <dataValidations count="2">
    <dataValidation sqref="F2:F101" showDropDown="0" showInputMessage="0" showErrorMessage="0" allowBlank="1" error="「済」と入力してください" type="list">
      <formula1>"済"</formula1>
    </dataValidation>
    <dataValidation sqref="E2:E101" showDropDown="0" showInputMessage="0" showErrorMessage="0" allowBlank="1" error="A, B, C のいずれかを入力してください" type="list">
      <formula1>"A,B,C"</formula1>
    </dataValidation>
  </dataValidations>
  <pageMargins left="0.75" right="0.75" top="1" bottom="1" header="0.5" footer="0.5"/>
  <pageSetup orientation="portrait" paperSize="9"/>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C12"/>
  <sheetViews>
    <sheetView workbookViewId="0">
      <selection activeCell="A11" sqref="A11"/>
    </sheetView>
  </sheetViews>
  <sheetFormatPr baseColWidth="8" defaultRowHeight="18"/>
  <cols>
    <col width="14.59765625" bestFit="1" customWidth="1" style="207" min="1" max="1"/>
    <col width="22.19921875" bestFit="1" customWidth="1" style="207" min="2" max="3"/>
    <col width="10.5" bestFit="1" customWidth="1" style="207" min="4" max="4"/>
  </cols>
  <sheetData>
    <row r="1">
      <c r="A1" s="251" t="inlineStr">
        <is>
          <t>発注フラグ</t>
        </is>
      </c>
      <c r="B1" t="inlineStr">
        <is>
          <t>(複数のアイテム)</t>
        </is>
      </c>
    </row>
    <row r="3">
      <c r="A3" s="251" t="inlineStr">
        <is>
          <t>行ラベル</t>
        </is>
      </c>
      <c r="B3" t="inlineStr">
        <is>
          <t>合計 / 単価×数（仕入）</t>
        </is>
      </c>
      <c r="C3" t="inlineStr">
        <is>
          <t>合計 / 単価×数（売値）</t>
        </is>
      </c>
    </row>
    <row r="4">
      <c r="A4" s="252" t="inlineStr">
        <is>
          <t>2601-1001-S01</t>
        </is>
      </c>
      <c r="B4" s="259" t="n">
        <v>143325</v>
      </c>
      <c r="C4" s="259" t="n">
        <v>171282</v>
      </c>
    </row>
    <row r="5">
      <c r="A5" s="252" t="inlineStr">
        <is>
          <t>2601-1002-S01</t>
        </is>
      </c>
      <c r="B5" s="259" t="n">
        <v>43277</v>
      </c>
      <c r="C5" s="259" t="n">
        <v>92508</v>
      </c>
    </row>
    <row r="6">
      <c r="A6" s="252" t="inlineStr">
        <is>
          <t>2601-1003-A01</t>
        </is>
      </c>
      <c r="B6" s="259" t="n">
        <v>16568.51851851852</v>
      </c>
      <c r="C6" s="259" t="n">
        <v>19360</v>
      </c>
    </row>
    <row r="7">
      <c r="A7" s="252" t="inlineStr">
        <is>
          <t>2601-1004-S01</t>
        </is>
      </c>
      <c r="B7" s="259" t="n">
        <v>24060</v>
      </c>
      <c r="C7" s="259" t="n">
        <v>28560</v>
      </c>
    </row>
    <row r="8">
      <c r="A8" s="252" t="inlineStr">
        <is>
          <t>2601-1005-S01</t>
        </is>
      </c>
      <c r="B8" s="259" t="n">
        <v>22514</v>
      </c>
      <c r="C8" s="259" t="n">
        <v>49394</v>
      </c>
    </row>
    <row r="9">
      <c r="A9" s="252" t="inlineStr">
        <is>
          <t>2601-1006-S01</t>
        </is>
      </c>
      <c r="B9" s="259" t="n">
        <v>8000</v>
      </c>
      <c r="C9" s="259" t="n">
        <v>10000</v>
      </c>
    </row>
    <row r="10">
      <c r="A10" s="252" t="inlineStr">
        <is>
          <t>2601-1007-S01</t>
        </is>
      </c>
      <c r="B10" s="259" t="n">
        <v>0</v>
      </c>
      <c r="C10" s="259" t="n">
        <v>0</v>
      </c>
    </row>
    <row r="11">
      <c r="A11" s="252" t="inlineStr">
        <is>
          <t>2602-1002-K01</t>
        </is>
      </c>
      <c r="B11" s="259" t="n">
        <v>37885</v>
      </c>
      <c r="C11" s="259" t="n">
        <v>47798</v>
      </c>
    </row>
    <row r="12">
      <c r="A12" s="252" t="inlineStr">
        <is>
          <t>総計</t>
        </is>
      </c>
      <c r="B12" s="259" t="n">
        <v>295629.5185185185</v>
      </c>
      <c r="C12" s="259" t="n">
        <v>418902</v>
      </c>
    </row>
  </sheetData>
  <pageMargins left="0.7" right="0.7" top="0.75" bottom="0.75" header="0.3" footer="0.3"/>
  <pageSetup orientation="portrait" paperSize="9"/>
</worksheet>
</file>

<file path=xl/worksheets/sheet16.xml><?xml version="1.0" encoding="utf-8"?>
<worksheet xmlns="http://schemas.openxmlformats.org/spreadsheetml/2006/main">
  <sheetPr>
    <outlinePr summaryBelow="1" summaryRight="1"/>
    <pageSetUpPr fitToPage="1"/>
  </sheetPr>
  <dimension ref="A1:H50"/>
  <sheetViews>
    <sheetView topLeftCell="A11" zoomScale="81" workbookViewId="0">
      <selection activeCell="G21" sqref="G21:G22"/>
    </sheetView>
  </sheetViews>
  <sheetFormatPr baseColWidth="8" defaultColWidth="9" defaultRowHeight="18"/>
  <cols>
    <col width="7.69921875" customWidth="1" style="124" min="1" max="1"/>
    <col width="43.59765625" bestFit="1" customWidth="1" style="124" min="2" max="2"/>
    <col width="10" customWidth="1" style="124" min="3" max="3"/>
    <col width="8" customWidth="1" style="124" min="4" max="4"/>
    <col width="12" customWidth="1" style="124" min="5" max="5"/>
    <col width="14" customWidth="1" style="124" min="6" max="6"/>
    <col width="21.5" customWidth="1" style="124" min="7" max="7"/>
    <col width="24.19921875" customWidth="1" style="124" min="8" max="8"/>
    <col width="9" customWidth="1" style="124" min="9" max="16384"/>
  </cols>
  <sheetData>
    <row r="1">
      <c r="B1" s="122" t="inlineStr">
        <is>
          <t>ここだけ入力　案件番号:</t>
        </is>
      </c>
      <c r="C1" s="171" t="inlineStr">
        <is>
          <t>2602-1001-A01</t>
        </is>
      </c>
    </row>
    <row r="3" ht="45.75" customHeight="1" s="207">
      <c r="A3" s="277" t="inlineStr">
        <is>
          <t>見　積　書</t>
        </is>
      </c>
      <c r="B3" s="319" t="n"/>
      <c r="C3" s="319" t="n"/>
      <c r="D3" s="319" t="n"/>
      <c r="E3" s="319" t="n"/>
      <c r="F3" s="319" t="n"/>
      <c r="G3" s="319" t="n"/>
      <c r="H3" s="319" t="n"/>
    </row>
    <row r="5">
      <c r="G5" s="3" t="inlineStr">
        <is>
          <t>発行日：</t>
        </is>
      </c>
      <c r="H5" s="320">
        <f>TODAY()</f>
        <v/>
      </c>
    </row>
    <row r="6" ht="32.4" customHeight="1" s="207">
      <c r="A6" s="287">
        <f>_xlfn.XLOOKUP($C$1,tbl_明細[案件番号],tbl_明細[顧客名],"",0,1)&amp;" 御中"</f>
        <v/>
      </c>
      <c r="G6" s="3" t="inlineStr">
        <is>
          <t>見積No. ：</t>
        </is>
      </c>
      <c r="H6" s="3">
        <f>IF(C1="","","EST-SNJ-"&amp;C1)</f>
        <v/>
      </c>
    </row>
    <row r="7" ht="22.2" customHeight="1" s="207">
      <c r="A7" s="187" t="n"/>
      <c r="F7" s="6" t="n"/>
      <c r="G7" s="7" t="n"/>
      <c r="H7" s="8" t="n"/>
    </row>
    <row r="8">
      <c r="F8" s="9" t="n"/>
      <c r="H8" s="10" t="n"/>
    </row>
    <row r="9">
      <c r="F9" s="11" t="inlineStr">
        <is>
          <t xml:space="preserve">　新日本海商事株式会社</t>
        </is>
      </c>
      <c r="H9" s="10" t="n"/>
    </row>
    <row r="10" ht="18.75" customHeight="1" s="207">
      <c r="F10" s="11" t="inlineStr">
        <is>
          <t xml:space="preserve">　〒530-0001</t>
        </is>
      </c>
      <c r="H10" s="10" t="n"/>
    </row>
    <row r="11" ht="18.75" customHeight="1" s="207">
      <c r="A11" s="124" t="inlineStr">
        <is>
          <t>下記の通り見積もり申し上げます。</t>
        </is>
      </c>
      <c r="E11" s="10" t="n"/>
      <c r="F11" s="11" t="inlineStr">
        <is>
          <t xml:space="preserve">　大阪市北区梅田2丁目5番25号</t>
        </is>
      </c>
      <c r="H11" s="10" t="n"/>
    </row>
    <row r="12" ht="18.75" customHeight="1" s="207">
      <c r="A12" s="280">
        <f>"見積金額（税込）　　"&amp;TEXT(G37,"\#,##0")</f>
        <v/>
      </c>
      <c r="E12" s="12" t="n"/>
      <c r="F12" s="11" t="inlineStr">
        <is>
          <t xml:space="preserve">　梅田阪神第1ビル15階（ハービスOSAKA）</t>
        </is>
      </c>
      <c r="H12" s="10" t="n"/>
    </row>
    <row r="13" ht="19.5" customHeight="1" s="207" thickBot="1">
      <c r="A13" s="321" t="n"/>
      <c r="B13" s="321" t="n"/>
      <c r="C13" s="321" t="n"/>
      <c r="D13" s="321" t="n"/>
      <c r="E13" s="12" t="n"/>
      <c r="F13" s="13" t="inlineStr">
        <is>
          <t xml:space="preserve">　TEL: 06-6345-9021</t>
        </is>
      </c>
      <c r="G13" s="14" t="n"/>
      <c r="H13" s="15" t="n"/>
    </row>
    <row r="15">
      <c r="F15" s="124" t="inlineStr">
        <is>
          <t>有効期限：発行日から1か月間</t>
        </is>
      </c>
    </row>
    <row r="16" ht="20.25" customHeight="1" s="207">
      <c r="A16" s="202" t="inlineStr">
        <is>
          <t>No</t>
        </is>
      </c>
      <c r="B16" s="202" t="inlineStr">
        <is>
          <t>商品名</t>
        </is>
      </c>
      <c r="C16" s="202" t="inlineStr">
        <is>
          <t>数量</t>
        </is>
      </c>
      <c r="D16" s="202" t="inlineStr">
        <is>
          <t>単位</t>
        </is>
      </c>
      <c r="E16" s="202" t="inlineStr">
        <is>
          <t>単価（税込）</t>
        </is>
      </c>
      <c r="F16" s="202" t="inlineStr">
        <is>
          <t>税率</t>
        </is>
      </c>
      <c r="G16" s="202" t="inlineStr">
        <is>
          <t>金額(税込）</t>
        </is>
      </c>
      <c r="H16" s="202" t="inlineStr">
        <is>
          <t>備考</t>
        </is>
      </c>
    </row>
    <row r="17" ht="20.25" customHeight="1" s="207">
      <c r="A17" s="16">
        <f t="array" ref="A17:F20">_xlfn._xlws.FILTER(
  CHOOSE({1,2,3,4,5,6},
    tbl_明細[No],
    IF(LEFT(tbl_明細[商品ID],4)&lt;&gt;"PRD_", tbl_明細[商品名（M)], tbl_明細[商品名]),
    IF(LEFT(tbl_明細[商品ID],4)&lt;&gt;"PRD_", tbl_明細[数量（M)], tbl_明細[数量]),
    IF(LEFT(tbl_明細[商品ID],4)&lt;&gt;"PRD_", tbl_明細[単位（M)], tbl_明細[単位]),
    IF(LEFT(tbl_明細[商品ID],4)&lt;&gt;"PRD_", tbl_明細[販売価格（M)]*(1+tbl_明細[税率（M）]), tbl_明細[販売価格（売値）]*(1+tbl_明細[税率])),
    IF(LEFT(tbl_明細[商品ID],4)&lt;&gt;"PRD_", tbl_明細[税率（M）],tbl_明細[税率])
  ),
  (tbl_明細[案件番号]=$C$1)*(tbl_明細[(非表示）販売価格の和] &gt; 0),
  "該当なし"
)</f>
        <v/>
      </c>
      <c r="B17" s="16" t="inlineStr">
        <is>
          <t>雁の音ほうじ茶壱之棒（ティーバッグ） 45袋</t>
        </is>
      </c>
      <c r="C17" s="16" t="n">
        <v>10</v>
      </c>
      <c r="D17" s="2" t="inlineStr">
        <is>
          <t>パック</t>
        </is>
      </c>
      <c r="E17" s="322" t="n">
        <v>1250</v>
      </c>
      <c r="F17" s="18" t="n">
        <v>0.08</v>
      </c>
      <c r="G17" s="323">
        <f>IF(ISBLANK(B17),"",C17*E17)</f>
        <v/>
      </c>
      <c r="H17" s="16">
        <f t="array" ref="H17">IF(ISBLANK(_xlfn.XLOOKUP($C$1&amp;A17,tbl_明細[案件番号]&amp;tbl_明細[No],tbl_明細[備考（顧客向け）],"",0,1)),"",_xlfn.XLOOKUP($C$1&amp;A17,tbl_明細[案件番号]&amp;tbl_明細[No],tbl_明細[備考（顧客向け）],"",0,1))</f>
        <v/>
      </c>
    </row>
    <row r="18" ht="20.25" customHeight="1" s="207">
      <c r="A18" s="16" t="n">
        <v>2</v>
      </c>
      <c r="B18" s="16" t="inlineStr">
        <is>
          <t>送料（京都）</t>
        </is>
      </c>
      <c r="C18" s="16" t="n">
        <v>1</v>
      </c>
      <c r="D18" s="2" t="inlineStr">
        <is>
          <t>式</t>
        </is>
      </c>
      <c r="E18" s="322" t="n">
        <v>770.0000000000001</v>
      </c>
      <c r="F18" s="18" t="n">
        <v>0.1</v>
      </c>
      <c r="G18" s="323">
        <f>IF(ISBLANK(B18),"",C18*E18)</f>
        <v/>
      </c>
      <c r="H18" s="16">
        <f t="array" ref="H18">IF(ISBLANK(_xlfn.XLOOKUP($C$1&amp;A18,tbl_明細[案件番号]&amp;tbl_明細[No],tbl_明細[備考（顧客向け）],"",0,1)),"",_xlfn.XLOOKUP($C$1&amp;A18,tbl_明細[案件番号]&amp;tbl_明細[No],tbl_明細[備考（顧客向け）],"",0,1))</f>
        <v/>
      </c>
    </row>
    <row r="19" ht="20.25" customHeight="1" s="207">
      <c r="A19" s="16" t="n">
        <v>3</v>
      </c>
      <c r="B19" s="16" t="inlineStr">
        <is>
          <t>雁の音ほうじ茶壱之棒（ティーバッグ） 45袋</t>
        </is>
      </c>
      <c r="C19" s="16" t="n">
        <v>30</v>
      </c>
      <c r="D19" s="2" t="inlineStr">
        <is>
          <t>パック</t>
        </is>
      </c>
      <c r="E19" s="322" t="n">
        <v>1250</v>
      </c>
      <c r="F19" s="18" t="n">
        <v>0.08</v>
      </c>
      <c r="G19" s="323">
        <f>IF(ISBLANK(B19),"",C19*E19)</f>
        <v/>
      </c>
      <c r="H19" s="16">
        <f t="array" ref="H19">IF(ISBLANK(_xlfn.XLOOKUP($C$1&amp;A19,tbl_明細[案件番号]&amp;tbl_明細[No],tbl_明細[備考（顧客向け）],"",0,1)),"",_xlfn.XLOOKUP($C$1&amp;A19,tbl_明細[案件番号]&amp;tbl_明細[No],tbl_明細[備考（顧客向け）],"",0,1))</f>
        <v/>
      </c>
    </row>
    <row r="20" ht="20.25" customHeight="1" s="207">
      <c r="A20" s="16" t="n">
        <v>4</v>
      </c>
      <c r="B20" s="16" t="inlineStr">
        <is>
          <t>送料（福井）</t>
        </is>
      </c>
      <c r="C20" s="16" t="n">
        <v>1</v>
      </c>
      <c r="D20" s="2" t="inlineStr">
        <is>
          <t>式</t>
        </is>
      </c>
      <c r="E20" s="322" t="n">
        <v>935.0000000000001</v>
      </c>
      <c r="F20" s="18" t="n">
        <v>0.1</v>
      </c>
      <c r="G20" s="323">
        <f>IF(ISBLANK(B20),"",C20*E20)</f>
        <v/>
      </c>
      <c r="H20" s="16">
        <f t="array" ref="H20">IF(ISBLANK(_xlfn.XLOOKUP($C$1&amp;A20,tbl_明細[案件番号]&amp;tbl_明細[No],tbl_明細[備考（顧客向け）],"",0,1)),"",_xlfn.XLOOKUP($C$1&amp;A20,tbl_明細[案件番号]&amp;tbl_明細[No],tbl_明細[備考（顧客向け）],"",0,1))</f>
        <v/>
      </c>
    </row>
    <row r="21" ht="20.25" customHeight="1" s="207">
      <c r="A21" s="16" t="n"/>
      <c r="B21" s="16" t="n"/>
      <c r="C21" s="16" t="n"/>
      <c r="D21" s="2" t="n"/>
      <c r="E21" s="322" t="n"/>
      <c r="F21" s="18" t="n"/>
      <c r="G21" s="323">
        <f>IF(ISBLANK(B21),"",C21*E21)</f>
        <v/>
      </c>
      <c r="H21" s="16">
        <f t="array" ref="H21">IF(ISBLANK(_xlfn.XLOOKUP($C$1&amp;A21,tbl_明細[案件番号]&amp;tbl_明細[No],tbl_明細[備考（顧客向け）],"",0,1)),"",_xlfn.XLOOKUP($C$1&amp;A21,tbl_明細[案件番号]&amp;tbl_明細[No],tbl_明細[備考（顧客向け）],"",0,1))</f>
        <v/>
      </c>
    </row>
    <row r="22" ht="20.25" customHeight="1" s="207">
      <c r="A22" s="16" t="n"/>
      <c r="B22" s="16" t="n"/>
      <c r="C22" s="16" t="n"/>
      <c r="D22" s="2" t="n"/>
      <c r="E22" s="322" t="n"/>
      <c r="F22" s="18" t="n"/>
      <c r="G22" s="323">
        <f>IF(ISBLANK(B22),"",C22*E22)</f>
        <v/>
      </c>
      <c r="H22" s="16">
        <f t="array" ref="H22">IF(ISBLANK(_xlfn.XLOOKUP($C$1&amp;A22,tbl_明細[案件番号]&amp;tbl_明細[No],tbl_明細[備考（顧客向け）],"",0,1)),"",_xlfn.XLOOKUP($C$1&amp;A22,tbl_明細[案件番号]&amp;tbl_明細[No],tbl_明細[備考（顧客向け）],"",0,1))</f>
        <v/>
      </c>
    </row>
    <row r="23" ht="20.25" customHeight="1" s="207">
      <c r="A23" s="16" t="n"/>
      <c r="B23" s="16" t="n"/>
      <c r="C23" s="16" t="n"/>
      <c r="D23" s="2" t="n"/>
      <c r="E23" s="322" t="n"/>
      <c r="F23" s="18" t="n"/>
      <c r="G23" s="323">
        <f>IF(ISBLANK(B23),"",C23*E23)</f>
        <v/>
      </c>
      <c r="H23" s="16">
        <f t="array" ref="H23">IF(ISBLANK(_xlfn.XLOOKUP($C$1&amp;A23,tbl_明細[案件番号]&amp;tbl_明細[No],tbl_明細[備考（顧客向け）],"",0,1)),"",_xlfn.XLOOKUP($C$1&amp;A23,tbl_明細[案件番号]&amp;tbl_明細[No],tbl_明細[備考（顧客向け）],"",0,1))</f>
        <v/>
      </c>
    </row>
    <row r="24" ht="20.25" customHeight="1" s="207">
      <c r="A24" s="16" t="n"/>
      <c r="B24" s="16" t="n"/>
      <c r="C24" s="16" t="n"/>
      <c r="D24" s="2" t="n"/>
      <c r="E24" s="322" t="n"/>
      <c r="F24" s="18" t="n"/>
      <c r="G24" s="323">
        <f>IF(ISBLANK(B24),"",C24*E24)</f>
        <v/>
      </c>
      <c r="H24" s="16">
        <f t="array" ref="H24">IF(ISBLANK(_xlfn.XLOOKUP($C$1&amp;A24,tbl_明細[案件番号]&amp;tbl_明細[No],tbl_明細[備考（顧客向け）],"",0,1)),"",_xlfn.XLOOKUP($C$1&amp;A24,tbl_明細[案件番号]&amp;tbl_明細[No],tbl_明細[備考（顧客向け）],"",0,1))</f>
        <v/>
      </c>
    </row>
    <row r="25" ht="20.25" customHeight="1" s="207">
      <c r="A25" s="16" t="n"/>
      <c r="B25" s="16" t="n"/>
      <c r="C25" s="16" t="n"/>
      <c r="D25" s="2" t="n"/>
      <c r="E25" s="322" t="n"/>
      <c r="F25" s="18" t="n"/>
      <c r="G25" s="323">
        <f>IF(ISBLANK(B25),"",C25*E25)</f>
        <v/>
      </c>
      <c r="H25" s="16">
        <f t="array" ref="H25">IF(ISBLANK(_xlfn.XLOOKUP($C$1&amp;A25,tbl_明細[案件番号]&amp;tbl_明細[No],tbl_明細[備考（顧客向け）],"",0,1)),"",_xlfn.XLOOKUP($C$1&amp;A25,tbl_明細[案件番号]&amp;tbl_明細[No],tbl_明細[備考（顧客向け）],"",0,1))</f>
        <v/>
      </c>
    </row>
    <row r="26" ht="20.25" customHeight="1" s="207">
      <c r="A26" s="16" t="n"/>
      <c r="B26" s="16" t="n"/>
      <c r="C26" s="16" t="n"/>
      <c r="D26" s="2" t="n"/>
      <c r="E26" s="322" t="n"/>
      <c r="F26" s="18" t="n"/>
      <c r="G26" s="323">
        <f>IF(ISBLANK(B26),"",C26*E26)</f>
        <v/>
      </c>
      <c r="H26" s="16">
        <f t="array" ref="H26">IF(ISBLANK(_xlfn.XLOOKUP($C$1&amp;A26,tbl_明細[案件番号]&amp;tbl_明細[No],tbl_明細[備考（顧客向け）],"",0,1)),"",_xlfn.XLOOKUP($C$1&amp;A26,tbl_明細[案件番号]&amp;tbl_明細[No],tbl_明細[備考（顧客向け）],"",0,1))</f>
        <v/>
      </c>
    </row>
    <row r="27" ht="20.25" customHeight="1" s="207">
      <c r="A27" s="16" t="n"/>
      <c r="B27" s="16" t="n"/>
      <c r="C27" s="16" t="n"/>
      <c r="D27" s="2" t="n"/>
      <c r="E27" s="322" t="n"/>
      <c r="F27" s="18" t="n"/>
      <c r="G27" s="323">
        <f>IF(ISBLANK(B27),"",C27*E27)</f>
        <v/>
      </c>
      <c r="H27" s="16">
        <f t="array" ref="H27">IF(ISBLANK(_xlfn.XLOOKUP($C$1&amp;A27,tbl_明細[案件番号]&amp;tbl_明細[No],tbl_明細[備考（顧客向け）],"",0,1)),"",_xlfn.XLOOKUP($C$1&amp;A27,tbl_明細[案件番号]&amp;tbl_明細[No],tbl_明細[備考（顧客向け）],"",0,1))</f>
        <v/>
      </c>
    </row>
    <row r="28" ht="20.25" customHeight="1" s="207">
      <c r="A28" s="16" t="n"/>
      <c r="B28" s="16" t="n"/>
      <c r="C28" s="16" t="n"/>
      <c r="D28" s="2" t="n"/>
      <c r="E28" s="322" t="n"/>
      <c r="F28" s="18" t="n"/>
      <c r="G28" s="323">
        <f>IF(ISBLANK(B28),"",C28*E28)</f>
        <v/>
      </c>
      <c r="H28" s="16">
        <f t="array" ref="H28">IF(ISBLANK(_xlfn.XLOOKUP($C$1&amp;A28,tbl_明細[案件番号]&amp;tbl_明細[No],tbl_明細[備考（顧客向け）],"",0,1)),"",_xlfn.XLOOKUP($C$1&amp;A28,tbl_明細[案件番号]&amp;tbl_明細[No],tbl_明細[備考（顧客向け）],"",0,1))</f>
        <v/>
      </c>
    </row>
    <row r="29" ht="20.25" customHeight="1" s="207">
      <c r="A29" s="16" t="n"/>
      <c r="B29" s="16" t="n"/>
      <c r="C29" s="16" t="n"/>
      <c r="D29" s="2" t="n"/>
      <c r="E29" s="322" t="n"/>
      <c r="F29" s="18" t="n"/>
      <c r="G29" s="323">
        <f>IF(ISBLANK(B29),"",C29*E29)</f>
        <v/>
      </c>
      <c r="H29" s="16">
        <f t="array" ref="H29">IF(ISBLANK(_xlfn.XLOOKUP($C$1&amp;A29,tbl_明細[案件番号]&amp;tbl_明細[No],tbl_明細[備考（顧客向け）],"",0,1)),"",_xlfn.XLOOKUP($C$1&amp;A29,tbl_明細[案件番号]&amp;tbl_明細[No],tbl_明細[備考（顧客向け）],"",0,1))</f>
        <v/>
      </c>
    </row>
    <row r="30" ht="20.25" customHeight="1" s="207">
      <c r="A30" s="16" t="n"/>
      <c r="B30" s="16" t="n"/>
      <c r="C30" s="16" t="n"/>
      <c r="D30" s="2" t="n"/>
      <c r="E30" s="322" t="n"/>
      <c r="F30" s="18" t="n"/>
      <c r="G30" s="323">
        <f>IF(ISBLANK(B30),"",C30*E30)</f>
        <v/>
      </c>
      <c r="H30" s="16">
        <f t="array" ref="H30">IF(ISBLANK(_xlfn.XLOOKUP($C$1&amp;A30,tbl_明細[案件番号]&amp;tbl_明細[No],tbl_明細[備考（顧客向け）],"",0,1)),"",_xlfn.XLOOKUP($C$1&amp;A30,tbl_明細[案件番号]&amp;tbl_明細[No],tbl_明細[備考（顧客向け）],"",0,1))</f>
        <v/>
      </c>
    </row>
    <row r="31" ht="20.25" customHeight="1" s="207">
      <c r="A31" s="16" t="n"/>
      <c r="B31" s="16" t="n"/>
      <c r="C31" s="16" t="n"/>
      <c r="D31" s="2" t="n"/>
      <c r="E31" s="322" t="n"/>
      <c r="F31" s="18" t="n"/>
      <c r="G31" s="323">
        <f>IF(ISBLANK(B31),"",C31*E31)</f>
        <v/>
      </c>
      <c r="H31" s="16">
        <f t="array" ref="H31">IF(ISBLANK(_xlfn.XLOOKUP($C$1&amp;A31,tbl_明細[案件番号]&amp;tbl_明細[No],tbl_明細[備考（顧客向け）],"",0,1)),"",_xlfn.XLOOKUP($C$1&amp;A31,tbl_明細[案件番号]&amp;tbl_明細[No],tbl_明細[備考（顧客向け）],"",0,1))</f>
        <v/>
      </c>
    </row>
    <row r="32" ht="20.25" customHeight="1" s="207">
      <c r="A32" s="16" t="n"/>
      <c r="B32" s="16" t="n"/>
      <c r="C32" s="16" t="n"/>
      <c r="D32" s="2" t="n"/>
      <c r="E32" s="322" t="n"/>
      <c r="F32" s="18" t="n"/>
      <c r="G32" s="323">
        <f>IF(ISBLANK(B32),"",C32*E32)</f>
        <v/>
      </c>
      <c r="H32" s="16">
        <f t="array" ref="H32">IF(ISBLANK(_xlfn.XLOOKUP($C$1&amp;A32,tbl_明細[案件番号]&amp;tbl_明細[No],tbl_明細[備考（顧客向け）],"",0,1)),"",_xlfn.XLOOKUP($C$1&amp;A32,tbl_明細[案件番号]&amp;tbl_明細[No],tbl_明細[備考（顧客向け）],"",0,1))</f>
        <v/>
      </c>
    </row>
    <row r="33" ht="20.25" customHeight="1" s="207">
      <c r="A33" s="16" t="n"/>
      <c r="B33" s="16" t="n"/>
      <c r="C33" s="16" t="n"/>
      <c r="D33" s="2" t="n"/>
      <c r="E33" s="322" t="n"/>
      <c r="F33" s="18" t="n"/>
      <c r="G33" s="323">
        <f>IF(ISBLANK(B33),"",C33*E33)</f>
        <v/>
      </c>
      <c r="H33" s="16">
        <f t="array" ref="H33">IF(ISBLANK(_xlfn.XLOOKUP($C$1&amp;A33,tbl_明細[案件番号]&amp;tbl_明細[No],tbl_明細[備考（顧客向け）],"",0,1)),"",_xlfn.XLOOKUP($C$1&amp;A33,tbl_明細[案件番号]&amp;tbl_明細[No],tbl_明細[備考（顧客向け）],"",0,1))</f>
        <v/>
      </c>
    </row>
    <row r="34" ht="20.25" customHeight="1" s="207">
      <c r="A34" s="16" t="n"/>
      <c r="B34" s="16" t="n"/>
      <c r="C34" s="16" t="n"/>
      <c r="D34" s="2" t="n"/>
      <c r="E34" s="322" t="n"/>
      <c r="F34" s="18" t="n"/>
      <c r="G34" s="323">
        <f>IF(ISBLANK(B34),"",C34*E34)</f>
        <v/>
      </c>
      <c r="H34" s="16">
        <f t="array" ref="H34">IF(ISBLANK(_xlfn.XLOOKUP($C$1&amp;A34,tbl_明細[案件番号]&amp;tbl_明細[No],tbl_明細[備考（顧客向け）],"",0,1)),"",_xlfn.XLOOKUP($C$1&amp;A34,tbl_明細[案件番号]&amp;tbl_明細[No],tbl_明細[備考（顧客向け）],"",0,1))</f>
        <v/>
      </c>
    </row>
    <row r="35" ht="20.25" customHeight="1" s="207">
      <c r="A35" s="16" t="n"/>
      <c r="B35" s="16" t="n"/>
      <c r="C35" s="16" t="n"/>
      <c r="D35" s="2" t="n"/>
      <c r="E35" s="322" t="n"/>
      <c r="F35" s="18" t="n"/>
      <c r="G35" s="323">
        <f>IF(ISBLANK(B35),"",C35*E35)</f>
        <v/>
      </c>
      <c r="H35" s="16">
        <f t="array" ref="H35">IF(ISBLANK(_xlfn.XLOOKUP($C$1&amp;A35,tbl_明細[案件番号]&amp;tbl_明細[No],tbl_明細[備考（顧客向け）],"",0,1)),"",_xlfn.XLOOKUP($C$1&amp;A35,tbl_明細[案件番号]&amp;tbl_明細[No],tbl_明細[備考（顧客向け）],"",0,1))</f>
        <v/>
      </c>
    </row>
    <row r="36" ht="20.25" customHeight="1" s="207">
      <c r="A36" s="16" t="n"/>
      <c r="B36" s="16" t="n"/>
      <c r="C36" s="16" t="n"/>
      <c r="D36" s="2" t="n"/>
      <c r="E36" s="322" t="n"/>
      <c r="F36" s="18" t="n"/>
      <c r="G36" s="323">
        <f>IF(ISBLANK(B36),"",C36*E36)</f>
        <v/>
      </c>
      <c r="H36" s="16">
        <f t="array" ref="H36">IF(ISBLANK(_xlfn.XLOOKUP($C$1&amp;A36,tbl_明細[案件番号]&amp;tbl_明細[No],tbl_明細[備考（顧客向け）],"",0,1)),"",_xlfn.XLOOKUP($C$1&amp;A36,tbl_明細[案件番号]&amp;tbl_明細[No],tbl_明細[備考（顧客向け）],"",0,1))</f>
        <v/>
      </c>
    </row>
    <row r="37" ht="26.4" customFormat="1" customHeight="1" s="23">
      <c r="A37" s="19" t="n"/>
      <c r="B37" s="19" t="n"/>
      <c r="C37" s="19" t="n"/>
      <c r="D37" s="19" t="n"/>
      <c r="E37" s="19" t="n"/>
      <c r="F37" s="20" t="inlineStr">
        <is>
          <t>税込合計:</t>
        </is>
      </c>
      <c r="G37" s="324">
        <f>SUM(G17:G36)</f>
        <v/>
      </c>
      <c r="H37" s="22" t="n"/>
    </row>
    <row r="38" ht="26.4" customFormat="1" customHeight="1" s="23">
      <c r="A38" s="187" t="n"/>
      <c r="B38" s="187" t="n"/>
      <c r="C38" s="187" t="n"/>
      <c r="D38" s="187" t="n"/>
      <c r="E38" s="187" t="n"/>
      <c r="F38" s="24" t="n"/>
      <c r="G38" s="325" t="n"/>
      <c r="H38" s="187" t="n"/>
    </row>
    <row r="39" ht="26.4" customFormat="1" customHeight="1" s="23">
      <c r="A39" s="187" t="n"/>
      <c r="B39" s="187" t="n"/>
      <c r="C39" s="187" t="n"/>
      <c r="D39" s="187" t="n"/>
      <c r="E39" s="187" t="n"/>
      <c r="F39" s="187" t="n"/>
      <c r="G39" s="26" t="inlineStr">
        <is>
          <t>金額（税込）</t>
        </is>
      </c>
      <c r="H39" s="26" t="inlineStr">
        <is>
          <t>消費税等</t>
        </is>
      </c>
    </row>
    <row r="40" ht="26.4" customFormat="1" customHeight="1" s="23">
      <c r="A40" s="27" t="n"/>
      <c r="B40" s="27" t="n"/>
      <c r="C40" s="187" t="n"/>
      <c r="D40" s="187" t="n"/>
      <c r="E40" s="28" t="n">
        <v>0.08</v>
      </c>
      <c r="F40" s="24" t="inlineStr">
        <is>
          <t>対象 小計:</t>
        </is>
      </c>
      <c r="G40" s="326">
        <f>SUMIF($F$17:$F$36,E40,$G$17:$G$36)</f>
        <v/>
      </c>
      <c r="H40" s="326">
        <f>ROUND(G40-G40/(1+E40),0)</f>
        <v/>
      </c>
    </row>
    <row r="41" ht="26.4" customFormat="1" customHeight="1" s="23">
      <c r="A41" s="27" t="n"/>
      <c r="B41" s="27" t="n"/>
      <c r="C41" s="187" t="n"/>
      <c r="D41" s="187" t="n"/>
      <c r="E41" s="28" t="n">
        <v>0.1</v>
      </c>
      <c r="F41" s="24" t="inlineStr">
        <is>
          <t>対象 小計:</t>
        </is>
      </c>
      <c r="G41" s="326">
        <f>SUMIF($F$17:$F$36,E41,$G$17:$G$36)</f>
        <v/>
      </c>
      <c r="H41" s="326">
        <f>ROUND(G41-G41/(1+E41),0)</f>
        <v/>
      </c>
    </row>
    <row r="42" ht="26.4" customFormat="1" customHeight="1" s="23">
      <c r="A42" s="27" t="n"/>
      <c r="B42" s="27" t="n"/>
      <c r="C42" s="187" t="n"/>
      <c r="D42" s="187" t="n"/>
      <c r="E42" s="29" t="inlineStr">
        <is>
          <t>非課税</t>
        </is>
      </c>
      <c r="F42" s="24" t="inlineStr">
        <is>
          <t>対象 小計:</t>
        </is>
      </c>
      <c r="G42" s="326">
        <f>SUMIF($F$17:$F$36,E42,$G$17:$G$36)</f>
        <v/>
      </c>
      <c r="H42" s="326" t="n"/>
    </row>
    <row r="44" ht="22.2" customHeight="1" s="207">
      <c r="A44" s="32" t="inlineStr">
        <is>
          <t>備考欄：</t>
        </is>
      </c>
    </row>
    <row r="45">
      <c r="A45" s="6" t="n"/>
      <c r="B45" s="7" t="n"/>
      <c r="C45" s="7" t="n"/>
      <c r="D45" s="7" t="n"/>
      <c r="E45" s="7" t="n"/>
      <c r="F45" s="7" t="n"/>
      <c r="G45" s="7" t="n"/>
      <c r="H45" s="8" t="n"/>
    </row>
    <row r="46">
      <c r="A46" s="33" t="n"/>
      <c r="B46" s="124" t="n"/>
      <c r="C46" s="124" t="n"/>
      <c r="D46" s="124" t="n"/>
      <c r="E46" s="124" t="n"/>
      <c r="F46" s="124" t="n"/>
      <c r="G46" s="124" t="n"/>
      <c r="H46" s="10" t="n"/>
    </row>
    <row r="47">
      <c r="A47" s="33" t="n"/>
      <c r="B47" s="124" t="n"/>
      <c r="C47" s="124" t="n"/>
      <c r="D47" s="124" t="n"/>
      <c r="E47" s="124" t="n"/>
      <c r="F47" s="124" t="n"/>
      <c r="G47" s="124" t="n"/>
      <c r="H47" s="10" t="n"/>
    </row>
    <row r="48">
      <c r="A48" s="34" t="n"/>
      <c r="B48" s="14" t="n"/>
      <c r="C48" s="14" t="n"/>
      <c r="D48" s="14" t="n"/>
      <c r="E48" s="14" t="n"/>
      <c r="F48" s="14" t="n"/>
      <c r="G48" s="14" t="n"/>
      <c r="H48" s="15" t="n"/>
    </row>
    <row r="49">
      <c r="A49" s="124" t="n"/>
      <c r="B49" s="124" t="n"/>
      <c r="C49" s="124" t="n"/>
      <c r="D49" s="124" t="n"/>
      <c r="E49" s="124" t="n"/>
      <c r="F49" s="124" t="n"/>
      <c r="G49" s="124" t="n"/>
      <c r="H49" s="124" t="n"/>
    </row>
    <row r="50">
      <c r="A50" s="124" t="n"/>
      <c r="B50" s="124" t="n"/>
      <c r="C50" s="124" t="n"/>
      <c r="D50" s="124" t="n"/>
      <c r="E50" s="124" t="n"/>
      <c r="F50" s="124" t="n"/>
      <c r="G50" s="124" t="n"/>
      <c r="H50" s="124" t="n"/>
    </row>
  </sheetData>
  <mergeCells count="2">
    <mergeCell ref="A3:H3"/>
    <mergeCell ref="A12:D13"/>
  </mergeCells>
  <pageMargins left="0.25" right="0.25" top="0.75" bottom="0.75" header="0.3" footer="0.3"/>
  <pageSetup orientation="portrait" paperSize="9" scale="65" fitToHeight="0"/>
  <drawing xmlns:r="http://schemas.openxmlformats.org/officeDocument/2006/relationships" r:id="rId1"/>
</worksheet>
</file>

<file path=xl/worksheets/sheet17.xml><?xml version="1.0" encoding="utf-8"?>
<worksheet xmlns="http://schemas.openxmlformats.org/spreadsheetml/2006/main">
  <sheetPr>
    <outlinePr summaryBelow="1" summaryRight="1"/>
    <pageSetUpPr fitToPage="1"/>
  </sheetPr>
  <dimension ref="B1:I56"/>
  <sheetViews>
    <sheetView topLeftCell="A4" workbookViewId="0">
      <selection activeCell="H42" sqref="H42:I42"/>
    </sheetView>
  </sheetViews>
  <sheetFormatPr baseColWidth="8" defaultColWidth="9" defaultRowHeight="15.75" customHeight="1"/>
  <cols>
    <col width="9" customWidth="1" style="124" min="1" max="1"/>
    <col width="12.19921875" customWidth="1" style="124" min="2" max="2"/>
    <col width="44.5" customWidth="1" style="124" min="3" max="3"/>
    <col width="10" customWidth="1" style="124" min="4" max="4"/>
    <col width="8" customWidth="1" style="124" min="5" max="5"/>
    <col width="12" customWidth="1" style="124" min="6" max="6"/>
    <col width="14" customWidth="1" style="124" min="7" max="7"/>
    <col width="21.5" customWidth="1" style="124" min="8" max="8"/>
    <col width="24.19921875" customWidth="1" style="124" min="9" max="9"/>
    <col width="9" customWidth="1" style="124" min="10" max="16384"/>
  </cols>
  <sheetData>
    <row r="1" ht="18" customHeight="1" s="207">
      <c r="B1" s="122" t="inlineStr">
        <is>
          <t>ここだけ入力　案件番号:</t>
        </is>
      </c>
      <c r="C1" s="171" t="inlineStr">
        <is>
          <t>2602-1002-K01</t>
        </is>
      </c>
    </row>
    <row r="3" ht="45.75" customHeight="1" s="207">
      <c r="B3" s="285" t="inlineStr">
        <is>
          <t>請　求　書</t>
        </is>
      </c>
    </row>
    <row r="5" ht="18" customHeight="1" s="207">
      <c r="H5" s="3" t="inlineStr">
        <is>
          <t>発行日：</t>
        </is>
      </c>
      <c r="I5" s="320">
        <f>_xlfn.XLOOKUP($C$1,tbl_案件追跡[案件番号],tbl_案件追跡[売上計上],"",0,1)</f>
        <v/>
      </c>
    </row>
    <row r="6" ht="26.4" customHeight="1" s="207">
      <c r="B6" s="49">
        <f>_xlfn.XLOOKUP($C$1,tbl_明細[案件番号],tbl_明細[顧客名],"",0,1)&amp;" 御中"</f>
        <v/>
      </c>
      <c r="H6" s="3" t="inlineStr">
        <is>
          <t>請求書No. ：</t>
        </is>
      </c>
      <c r="I6" s="3">
        <f>"INV-SNJ-"&amp;C1</f>
        <v/>
      </c>
    </row>
    <row r="7" ht="22.2" customHeight="1" s="207">
      <c r="B7" s="187" t="n"/>
      <c r="G7" s="6" t="n"/>
      <c r="H7" s="7" t="n"/>
      <c r="I7" s="8" t="n"/>
    </row>
    <row r="8" ht="18" customHeight="1" s="207">
      <c r="G8" s="9" t="n"/>
      <c r="I8" s="10" t="n"/>
    </row>
    <row r="9" ht="18" customHeight="1" s="207">
      <c r="G9" s="11" t="inlineStr">
        <is>
          <t xml:space="preserve">　新日本海商事株式会社</t>
        </is>
      </c>
      <c r="I9" s="10" t="n"/>
    </row>
    <row r="10" ht="18.75" customHeight="1" s="207">
      <c r="B10" s="124" t="inlineStr">
        <is>
          <t>平素よりお世話になっております。</t>
        </is>
      </c>
      <c r="G10" s="11" t="inlineStr">
        <is>
          <t xml:space="preserve">　〒530-0001</t>
        </is>
      </c>
      <c r="I10" s="10" t="n"/>
    </row>
    <row r="11" ht="18.75" customHeight="1" s="207">
      <c r="B11" s="124" t="inlineStr">
        <is>
          <t>下記の通りご請求申し上げます。</t>
        </is>
      </c>
      <c r="F11" s="10" t="n"/>
      <c r="G11" s="11" t="inlineStr">
        <is>
          <t xml:space="preserve">　大阪市北区梅田2丁目5番25号</t>
        </is>
      </c>
      <c r="I11" s="10" t="n"/>
    </row>
    <row r="12" ht="18.75" customHeight="1" s="207">
      <c r="B12" s="45" t="inlineStr">
        <is>
          <t>誠に恐れ入りますが振込手数料はご負担いただきますようお願いいたします。</t>
        </is>
      </c>
      <c r="C12" s="287" t="n"/>
      <c r="D12" s="287" t="n"/>
      <c r="E12" s="287" t="n"/>
      <c r="F12" s="12" t="n"/>
      <c r="G12" s="11" t="inlineStr">
        <is>
          <t xml:space="preserve">　梅田阪神第1ビル15階（ハービスOSAKA）</t>
        </is>
      </c>
      <c r="I12" s="10" t="n"/>
    </row>
    <row r="13" ht="19.5" customHeight="1" s="207">
      <c r="B13" s="287" t="n"/>
      <c r="C13" s="287" t="n"/>
      <c r="D13" s="287" t="n"/>
      <c r="E13" s="287" t="n"/>
      <c r="F13" s="12" t="n"/>
      <c r="G13" s="13" t="inlineStr">
        <is>
          <t xml:space="preserve">　TEL: 06-6345-9021</t>
        </is>
      </c>
      <c r="H13" s="14" t="n"/>
      <c r="I13" s="15" t="n"/>
    </row>
    <row r="15" ht="18" customHeight="1" s="207">
      <c r="B15" s="288">
        <f>"請求金額（税込）　　"&amp;TEXT(H40,"\#,##0")</f>
        <v/>
      </c>
      <c r="G15" s="6" t="inlineStr">
        <is>
          <t>振込先：</t>
        </is>
      </c>
      <c r="H15" s="7" t="inlineStr">
        <is>
          <t>三菱UFJ銀行  堂島支店</t>
        </is>
      </c>
      <c r="I15" s="8" t="n"/>
    </row>
    <row r="16" ht="18.6" customHeight="1" s="207" thickBot="1">
      <c r="B16" s="321" t="n"/>
      <c r="C16" s="321" t="n"/>
      <c r="D16" s="321" t="n"/>
      <c r="E16" s="321" t="n"/>
      <c r="G16" s="34" t="n"/>
      <c r="H16" s="14" t="inlineStr">
        <is>
          <t xml:space="preserve">(当) 0143405  ｼﾝﾆﾎﾝｶｲｼｮｳｼﾞ　ｶ) </t>
        </is>
      </c>
      <c r="I16" s="15" t="n"/>
    </row>
    <row r="17" ht="15.75" customHeight="1" s="207">
      <c r="G17" s="124" t="inlineStr">
        <is>
          <t>INVOICE NO:T9120001109968</t>
        </is>
      </c>
    </row>
    <row r="19" ht="20.25" customHeight="1" s="207">
      <c r="B19" s="203" t="inlineStr">
        <is>
          <t>No</t>
        </is>
      </c>
      <c r="C19" s="203" t="inlineStr">
        <is>
          <t>商品名</t>
        </is>
      </c>
      <c r="D19" s="203" t="inlineStr">
        <is>
          <t>数量</t>
        </is>
      </c>
      <c r="E19" s="203" t="inlineStr">
        <is>
          <t>単位</t>
        </is>
      </c>
      <c r="F19" s="203" t="inlineStr">
        <is>
          <t>単価（税込）</t>
        </is>
      </c>
      <c r="G19" s="203" t="inlineStr">
        <is>
          <t>税率</t>
        </is>
      </c>
      <c r="H19" s="203" t="inlineStr">
        <is>
          <t>金額(税込）</t>
        </is>
      </c>
      <c r="I19" s="203" t="inlineStr">
        <is>
          <t>備考</t>
        </is>
      </c>
    </row>
    <row r="20" ht="20.25" customHeight="1" s="207">
      <c r="B20" s="46">
        <f t="array" ref="B20:G27">_xlfn._xlws.FILTER(
  CHOOSE({1,2,3,4,5,6},
    tbl_明細[No],
    IF(LEFT(tbl_明細[商品ID],4)&lt;&gt;"PRD_", tbl_明細[商品名（M)], tbl_明細[商品名]),
    IF(LEFT(tbl_明細[商品ID],4)&lt;&gt;"PRD_", tbl_明細[数量（M)], tbl_明細[数量]),
    IF(LEFT(tbl_明細[商品ID],4)&lt;&gt;"PRD_", tbl_明細[単位（M)], tbl_明細[単位]),
    IF(LEFT(tbl_明細[商品ID],4)&lt;&gt;"PRD_", tbl_明細[販売価格（M)]*(1+tbl_明細[税率（M）]), tbl_明細[販売価格（売値）]*(1+tbl_明細[税率])),
    IF(LEFT(tbl_明細[商品ID],4)&lt;&gt;"PRD_", tbl_明細[税率（M）],tbl_明細[税率])
  ),
  (tbl_明細[案件番号]=$C$1)*(tbl_明細[(非表示）販売価格の和] &gt; 0),
  "該当なし"
)</f>
        <v/>
      </c>
      <c r="C20" s="46" t="inlineStr">
        <is>
          <t>レトルトとうもろこし</t>
        </is>
      </c>
      <c r="D20" s="46" t="n">
        <v>60</v>
      </c>
      <c r="E20" s="46" t="inlineStr">
        <is>
          <t>本</t>
        </is>
      </c>
      <c r="F20" s="339" t="n">
        <v>396</v>
      </c>
      <c r="G20" s="47" t="n">
        <v>0.08</v>
      </c>
      <c r="H20" s="323">
        <f>IF(ISBLANK(C20),"",D20*F20)</f>
        <v/>
      </c>
      <c r="I20" s="16">
        <f t="array" ref="I20">IF(ISBLANK(_xlfn.XLOOKUP($C$1&amp;B20,tbl_明細[案件番号]&amp;tbl_明細[No],tbl_明細[備考（顧客向け）],"",0,1)),"",_xlfn.XLOOKUP($C$1&amp;B20,tbl_明細[案件番号]&amp;tbl_明細[No],tbl_明細[備考（顧客向け）],"",0,1))</f>
        <v/>
      </c>
    </row>
    <row r="21" ht="20.25" customHeight="1" s="207">
      <c r="B21" s="46" t="n">
        <v>2</v>
      </c>
      <c r="C21" s="46" t="inlineStr">
        <is>
          <t>オホーツク流氷ラーメン 　 かに（2食入り）</t>
        </is>
      </c>
      <c r="D21" s="46" t="n">
        <v>16</v>
      </c>
      <c r="E21" s="46" t="inlineStr">
        <is>
          <t>袋</t>
        </is>
      </c>
      <c r="F21" s="339" t="n">
        <v>518</v>
      </c>
      <c r="G21" s="47" t="n">
        <v>0.08</v>
      </c>
      <c r="H21" s="323">
        <f>IF(ISBLANK(C21),"",D21*F21)</f>
        <v/>
      </c>
      <c r="I21" s="16">
        <f t="array" ref="I21">IF(ISBLANK(_xlfn.XLOOKUP($C$1&amp;B21,tbl_明細[案件番号]&amp;tbl_明細[No],tbl_明細[備考（顧客向け）],"",0,1)),"",_xlfn.XLOOKUP($C$1&amp;B21,tbl_明細[案件番号]&amp;tbl_明細[No],tbl_明細[備考（顧客向け）],"",0,1))</f>
        <v/>
      </c>
    </row>
    <row r="22" ht="20.25" customHeight="1" s="207">
      <c r="B22" s="46" t="n">
        <v>3</v>
      </c>
      <c r="C22" s="46" t="inlineStr">
        <is>
          <t>オホーツク流氷ラーメン 　 ホタテ（2食入り）</t>
        </is>
      </c>
      <c r="D22" s="46" t="n">
        <v>18</v>
      </c>
      <c r="E22" s="46" t="inlineStr">
        <is>
          <t>袋</t>
        </is>
      </c>
      <c r="F22" s="339" t="n">
        <v>518</v>
      </c>
      <c r="G22" s="47" t="n">
        <v>0.08</v>
      </c>
      <c r="H22" s="323">
        <f>IF(ISBLANK(C22),"",D22*F22)</f>
        <v/>
      </c>
      <c r="I22" s="16">
        <f t="array" ref="I22">IF(ISBLANK(_xlfn.XLOOKUP($C$1&amp;B22,tbl_明細[案件番号]&amp;tbl_明細[No],tbl_明細[備考（顧客向け）],"",0,1)),"",_xlfn.XLOOKUP($C$1&amp;B22,tbl_明細[案件番号]&amp;tbl_明細[No],tbl_明細[備考（顧客向け）],"",0,1))</f>
        <v/>
      </c>
    </row>
    <row r="23" ht="20.25" customHeight="1" s="207">
      <c r="B23" s="46" t="n">
        <v>4</v>
      </c>
      <c r="C23" s="46" t="inlineStr">
        <is>
          <t>ズワイガニ風味ラーメン 　 味噌（1食入り）</t>
        </is>
      </c>
      <c r="D23" s="46" t="n">
        <v>14</v>
      </c>
      <c r="E23" s="46" t="inlineStr">
        <is>
          <t>袋</t>
        </is>
      </c>
      <c r="F23" s="339" t="n">
        <v>238</v>
      </c>
      <c r="G23" s="47" t="n">
        <v>0.08</v>
      </c>
      <c r="H23" s="323">
        <f>IF(ISBLANK(C23),"",D23*F23)</f>
        <v/>
      </c>
      <c r="I23" s="16">
        <f t="array" ref="I23">IF(ISBLANK(_xlfn.XLOOKUP($C$1&amp;B23,tbl_明細[案件番号]&amp;tbl_明細[No],tbl_明細[備考（顧客向け）],"",0,1)),"",_xlfn.XLOOKUP($C$1&amp;B23,tbl_明細[案件番号]&amp;tbl_明細[No],tbl_明細[備考（顧客向け）],"",0,1))</f>
        <v/>
      </c>
    </row>
    <row r="24" ht="20.25" customHeight="1" s="207">
      <c r="B24" s="46" t="n">
        <v>5</v>
      </c>
      <c r="C24" s="46" t="inlineStr">
        <is>
          <t>ズワイガニ風味ラーメン 　 醤油（1食入り）</t>
        </is>
      </c>
      <c r="D24" s="46" t="n">
        <v>13</v>
      </c>
      <c r="E24" s="46" t="inlineStr">
        <is>
          <t>袋</t>
        </is>
      </c>
      <c r="F24" s="339" t="n">
        <v>238</v>
      </c>
      <c r="G24" s="47" t="n">
        <v>0.08</v>
      </c>
      <c r="H24" s="323">
        <f>IF(ISBLANK(C24),"",D24*F24)</f>
        <v/>
      </c>
      <c r="I24" s="16">
        <f t="array" ref="I24">IF(ISBLANK(_xlfn.XLOOKUP($C$1&amp;B24,tbl_明細[案件番号]&amp;tbl_明細[No],tbl_明細[備考（顧客向け）],"",0,1)),"",_xlfn.XLOOKUP($C$1&amp;B24,tbl_明細[案件番号]&amp;tbl_明細[No],tbl_明細[備考（顧客向け）],"",0,1))</f>
        <v/>
      </c>
    </row>
    <row r="25" ht="20.25" customHeight="1" s="207">
      <c r="B25" s="46" t="n">
        <v>6</v>
      </c>
      <c r="C25" s="46" t="inlineStr">
        <is>
          <t>ズワイガニ風味ラーメン 　 味噌（1食入り）</t>
        </is>
      </c>
      <c r="D25" s="46" t="n">
        <v>14</v>
      </c>
      <c r="E25" s="46" t="inlineStr">
        <is>
          <t>袋</t>
        </is>
      </c>
      <c r="F25" s="339" t="n">
        <v>238</v>
      </c>
      <c r="G25" s="47" t="n">
        <v>0.08</v>
      </c>
      <c r="H25" s="323">
        <f>IF(ISBLANK(C25),"",D25*F25)</f>
        <v/>
      </c>
      <c r="I25" s="16">
        <f t="array" ref="I25">IF(ISBLANK(_xlfn.XLOOKUP($C$1&amp;B25,tbl_明細[案件番号]&amp;tbl_明細[No],tbl_明細[備考（顧客向け）],"",0,1)),"",_xlfn.XLOOKUP($C$1&amp;B25,tbl_明細[案件番号]&amp;tbl_明細[No],tbl_明細[備考（顧客向け）],"",0,1))</f>
        <v/>
      </c>
    </row>
    <row r="26" ht="20.25" customHeight="1" s="207">
      <c r="B26" s="46" t="n">
        <v>7</v>
      </c>
      <c r="C26" s="46" t="inlineStr">
        <is>
          <t>ズワイガニ風味ラーメン 　 醤油（1食入り）</t>
        </is>
      </c>
      <c r="D26" s="46" t="n">
        <v>13</v>
      </c>
      <c r="E26" s="46" t="inlineStr">
        <is>
          <t>袋</t>
        </is>
      </c>
      <c r="F26" s="339" t="n">
        <v>238</v>
      </c>
      <c r="G26" s="47" t="n">
        <v>0.08</v>
      </c>
      <c r="H26" s="323">
        <f>IF(ISBLANK(C26),"",D26*F26)</f>
        <v/>
      </c>
      <c r="I26" s="16">
        <f t="array" ref="I26">IF(ISBLANK(_xlfn.XLOOKUP($C$1&amp;B26,tbl_明細[案件番号]&amp;tbl_明細[No],tbl_明細[備考（顧客向け）],"",0,1)),"",_xlfn.XLOOKUP($C$1&amp;B26,tbl_明細[案件番号]&amp;tbl_明細[No],tbl_明細[備考（顧客向け）],"",0,1))</f>
        <v/>
      </c>
    </row>
    <row r="27" ht="20.25" customHeight="1" s="207">
      <c r="B27" s="46" t="n">
        <v>8</v>
      </c>
      <c r="C27" s="46" t="inlineStr">
        <is>
          <t>送料</t>
        </is>
      </c>
      <c r="D27" s="46" t="n">
        <v>1</v>
      </c>
      <c r="E27" s="46" t="inlineStr">
        <is>
          <t>式</t>
        </is>
      </c>
      <c r="F27" s="339" t="n">
        <v>957.0000000000001</v>
      </c>
      <c r="G27" s="47" t="n">
        <v>0.1</v>
      </c>
      <c r="H27" s="323">
        <f>IF(ISBLANK(C27),"",D27*F27)</f>
        <v/>
      </c>
      <c r="I27" s="16">
        <f t="array" ref="I27">IF(ISBLANK(_xlfn.XLOOKUP($C$1&amp;B27,tbl_明細[案件番号]&amp;tbl_明細[No],tbl_明細[備考（顧客向け）],"",0,1)),"",_xlfn.XLOOKUP($C$1&amp;B27,tbl_明細[案件番号]&amp;tbl_明細[No],tbl_明細[備考（顧客向け）],"",0,1))</f>
        <v/>
      </c>
    </row>
    <row r="28" ht="20.25" customHeight="1" s="207">
      <c r="B28" s="46" t="n"/>
      <c r="C28" s="46" t="n"/>
      <c r="D28" s="46" t="n"/>
      <c r="E28" s="46" t="n"/>
      <c r="F28" s="339" t="n"/>
      <c r="G28" s="47" t="n"/>
      <c r="H28" s="323">
        <f>IF(ISBLANK(C28),"",D28*F28)</f>
        <v/>
      </c>
      <c r="I28" s="16">
        <f t="array" ref="I28">IF(ISBLANK(_xlfn.XLOOKUP($C$1&amp;B28,tbl_明細[案件番号]&amp;tbl_明細[No],tbl_明細[備考（顧客向け）],"",0,1)),"",_xlfn.XLOOKUP($C$1&amp;B28,tbl_明細[案件番号]&amp;tbl_明細[No],tbl_明細[備考（顧客向け）],"",0,1))</f>
        <v/>
      </c>
    </row>
    <row r="29" ht="20.25" customHeight="1" s="207">
      <c r="B29" s="46" t="n"/>
      <c r="C29" s="46" t="n"/>
      <c r="D29" s="46" t="n"/>
      <c r="E29" s="46" t="n"/>
      <c r="F29" s="339" t="n"/>
      <c r="G29" s="47" t="n"/>
      <c r="H29" s="323">
        <f>IF(ISBLANK(C29),"",D29*F29)</f>
        <v/>
      </c>
      <c r="I29" s="16">
        <f t="array" ref="I29">IF(ISBLANK(_xlfn.XLOOKUP($C$1&amp;B29,tbl_明細[案件番号]&amp;tbl_明細[No],tbl_明細[備考（顧客向け）],"",0,1)),"",_xlfn.XLOOKUP($C$1&amp;B29,tbl_明細[案件番号]&amp;tbl_明細[No],tbl_明細[備考（顧客向け）],"",0,1))</f>
        <v/>
      </c>
    </row>
    <row r="30" ht="20.25" customHeight="1" s="207">
      <c r="B30" s="46" t="n"/>
      <c r="C30" s="46" t="n"/>
      <c r="D30" s="46" t="n"/>
      <c r="E30" s="46" t="n"/>
      <c r="F30" s="339" t="n"/>
      <c r="G30" s="47" t="n"/>
      <c r="H30" s="323">
        <f>IF(ISBLANK(C30),"",D30*F30)</f>
        <v/>
      </c>
      <c r="I30" s="16">
        <f t="array" ref="I30">IF(ISBLANK(_xlfn.XLOOKUP($C$1&amp;B30,tbl_明細[案件番号]&amp;tbl_明細[No],tbl_明細[備考（顧客向け）],"",0,1)),"",_xlfn.XLOOKUP($C$1&amp;B30,tbl_明細[案件番号]&amp;tbl_明細[No],tbl_明細[備考（顧客向け）],"",0,1))</f>
        <v/>
      </c>
    </row>
    <row r="31" ht="20.25" customHeight="1" s="207">
      <c r="B31" s="46" t="n"/>
      <c r="C31" s="46" t="n"/>
      <c r="D31" s="46" t="n"/>
      <c r="E31" s="46" t="n"/>
      <c r="F31" s="339" t="n"/>
      <c r="G31" s="47" t="n"/>
      <c r="H31" s="323">
        <f>IF(ISBLANK(C31),"",D31*F31)</f>
        <v/>
      </c>
      <c r="I31" s="16">
        <f t="array" ref="I31">IF(ISBLANK(_xlfn.XLOOKUP($C$1&amp;B31,tbl_明細[案件番号]&amp;tbl_明細[No],tbl_明細[備考（顧客向け）],"",0,1)),"",_xlfn.XLOOKUP($C$1&amp;B31,tbl_明細[案件番号]&amp;tbl_明細[No],tbl_明細[備考（顧客向け）],"",0,1))</f>
        <v/>
      </c>
    </row>
    <row r="32" ht="20.25" customHeight="1" s="207">
      <c r="B32" s="46" t="n"/>
      <c r="C32" s="46" t="n"/>
      <c r="D32" s="46" t="n"/>
      <c r="E32" s="46" t="n"/>
      <c r="F32" s="339" t="n"/>
      <c r="G32" s="47" t="n"/>
      <c r="H32" s="323">
        <f>IF(ISBLANK(C32),"",D32*F32)</f>
        <v/>
      </c>
      <c r="I32" s="16">
        <f t="array" ref="I32">IF(ISBLANK(_xlfn.XLOOKUP($C$1&amp;B32,tbl_明細[案件番号]&amp;tbl_明細[No],tbl_明細[備考（顧客向け）],"",0,1)),"",_xlfn.XLOOKUP($C$1&amp;B32,tbl_明細[案件番号]&amp;tbl_明細[No],tbl_明細[備考（顧客向け）],"",0,1))</f>
        <v/>
      </c>
    </row>
    <row r="33" ht="20.25" customHeight="1" s="207">
      <c r="B33" s="46" t="n"/>
      <c r="C33" s="46" t="n"/>
      <c r="D33" s="46" t="n"/>
      <c r="E33" s="46" t="n"/>
      <c r="F33" s="339" t="n"/>
      <c r="G33" s="47" t="n"/>
      <c r="H33" s="323">
        <f>IF(ISBLANK(C33),"",D33*F33)</f>
        <v/>
      </c>
      <c r="I33" s="16">
        <f t="array" ref="I33">IF(ISBLANK(_xlfn.XLOOKUP($C$1&amp;B33,tbl_明細[案件番号]&amp;tbl_明細[No],tbl_明細[備考（顧客向け）],"",0,1)),"",_xlfn.XLOOKUP($C$1&amp;B33,tbl_明細[案件番号]&amp;tbl_明細[No],tbl_明細[備考（顧客向け）],"",0,1))</f>
        <v/>
      </c>
    </row>
    <row r="34" ht="20.25" customHeight="1" s="207">
      <c r="B34" s="46" t="n"/>
      <c r="C34" s="46" t="n"/>
      <c r="D34" s="46" t="n"/>
      <c r="E34" s="46" t="n"/>
      <c r="F34" s="339" t="n"/>
      <c r="G34" s="47" t="n"/>
      <c r="H34" s="323">
        <f>IF(ISBLANK(C34),"",D34*F34)</f>
        <v/>
      </c>
      <c r="I34" s="16">
        <f t="array" ref="I34">IF(ISBLANK(_xlfn.XLOOKUP($C$1&amp;B34,tbl_明細[案件番号]&amp;tbl_明細[No],tbl_明細[備考（顧客向け）],"",0,1)),"",_xlfn.XLOOKUP($C$1&amp;B34,tbl_明細[案件番号]&amp;tbl_明細[No],tbl_明細[備考（顧客向け）],"",0,1))</f>
        <v/>
      </c>
    </row>
    <row r="35" ht="20.25" customHeight="1" s="207">
      <c r="B35" s="46" t="n"/>
      <c r="C35" s="46" t="n"/>
      <c r="D35" s="46" t="n"/>
      <c r="E35" s="46" t="n"/>
      <c r="F35" s="339" t="n"/>
      <c r="G35" s="47" t="n"/>
      <c r="H35" s="323">
        <f>IF(ISBLANK(C35),"",D35*F35)</f>
        <v/>
      </c>
      <c r="I35" s="16">
        <f t="array" ref="I35">IF(ISBLANK(_xlfn.XLOOKUP($C$1&amp;B35,tbl_明細[案件番号]&amp;tbl_明細[No],tbl_明細[備考（顧客向け）],"",0,1)),"",_xlfn.XLOOKUP($C$1&amp;B35,tbl_明細[案件番号]&amp;tbl_明細[No],tbl_明細[備考（顧客向け）],"",0,1))</f>
        <v/>
      </c>
    </row>
    <row r="36" ht="20.25" customHeight="1" s="207">
      <c r="B36" s="46" t="n"/>
      <c r="C36" s="46" t="n"/>
      <c r="D36" s="46" t="n"/>
      <c r="E36" s="46" t="n"/>
      <c r="F36" s="339" t="n"/>
      <c r="G36" s="47" t="n"/>
      <c r="H36" s="323">
        <f>IF(ISBLANK(C36),"",D36*F36)</f>
        <v/>
      </c>
      <c r="I36" s="16">
        <f t="array" ref="I36">IF(ISBLANK(_xlfn.XLOOKUP($C$1&amp;B36,tbl_明細[案件番号]&amp;tbl_明細[No],tbl_明細[備考（顧客向け）],"",0,1)),"",_xlfn.XLOOKUP($C$1&amp;B36,tbl_明細[案件番号]&amp;tbl_明細[No],tbl_明細[備考（顧客向け）],"",0,1))</f>
        <v/>
      </c>
    </row>
    <row r="37" ht="20.25" customHeight="1" s="207">
      <c r="B37" s="46" t="n"/>
      <c r="C37" s="46" t="n"/>
      <c r="D37" s="46" t="n"/>
      <c r="E37" s="46" t="n"/>
      <c r="F37" s="339" t="n"/>
      <c r="G37" s="47" t="n"/>
      <c r="H37" s="323">
        <f>IF(ISBLANK(C37),"",D37*F37)</f>
        <v/>
      </c>
      <c r="I37" s="16">
        <f t="array" ref="I37">IF(ISBLANK(_xlfn.XLOOKUP($C$1&amp;B37,tbl_明細[案件番号]&amp;tbl_明細[No],tbl_明細[備考（顧客向け）],"",0,1)),"",_xlfn.XLOOKUP($C$1&amp;B37,tbl_明細[案件番号]&amp;tbl_明細[No],tbl_明細[備考（顧客向け）],"",0,1))</f>
        <v/>
      </c>
    </row>
    <row r="38" ht="20.25" customHeight="1" s="207">
      <c r="B38" s="46" t="n"/>
      <c r="C38" s="46" t="n"/>
      <c r="D38" s="46" t="n"/>
      <c r="E38" s="46" t="n"/>
      <c r="F38" s="339" t="n"/>
      <c r="G38" s="47" t="n"/>
      <c r="H38" s="323">
        <f>IF(ISBLANK(C38),"",D38*F38)</f>
        <v/>
      </c>
      <c r="I38" s="16">
        <f t="array" ref="I38">IF(ISBLANK(_xlfn.XLOOKUP($C$1&amp;B38,tbl_明細[案件番号]&amp;tbl_明細[No],tbl_明細[備考（顧客向け）],"",0,1)),"",_xlfn.XLOOKUP($C$1&amp;B38,tbl_明細[案件番号]&amp;tbl_明細[No],tbl_明細[備考（顧客向け）],"",0,1))</f>
        <v/>
      </c>
    </row>
    <row r="39" ht="20.25" customHeight="1" s="207">
      <c r="B39" s="46" t="n"/>
      <c r="C39" s="46" t="n"/>
      <c r="D39" s="46" t="n"/>
      <c r="E39" s="46" t="n"/>
      <c r="F39" s="339" t="n"/>
      <c r="G39" s="47" t="n"/>
      <c r="H39" s="323">
        <f>IF(ISBLANK(C39),"",D39*F39)</f>
        <v/>
      </c>
      <c r="I39" s="16">
        <f t="array" ref="I39">IF(ISBLANK(_xlfn.XLOOKUP($C$1&amp;B39,tbl_明細[案件番号]&amp;tbl_明細[No],tbl_明細[備考（顧客向け）],"",0,1)),"",_xlfn.XLOOKUP($C$1&amp;B39,tbl_明細[案件番号]&amp;tbl_明細[No],tbl_明細[備考（顧客向け）],"",0,1))</f>
        <v/>
      </c>
    </row>
    <row r="40" ht="26.4" customFormat="1" customHeight="1" s="23">
      <c r="B40" s="19" t="n"/>
      <c r="C40" s="19" t="n"/>
      <c r="D40" s="19" t="n"/>
      <c r="E40" s="19" t="n"/>
      <c r="F40" s="19" t="n"/>
      <c r="G40" s="20" t="inlineStr">
        <is>
          <t>税込合計:</t>
        </is>
      </c>
      <c r="H40" s="340">
        <f>SUM(H20:H39)</f>
        <v/>
      </c>
      <c r="I40" s="22" t="n"/>
    </row>
    <row r="41" ht="26.4" customFormat="1" customHeight="1" s="23">
      <c r="B41" s="48">
        <f>"振込期日："&amp;TEXT(EOMONTH(I5,1),"YYYY年MM月DD日")</f>
        <v/>
      </c>
      <c r="C41" s="187" t="n"/>
      <c r="D41" s="187" t="n"/>
      <c r="E41" s="187" t="n"/>
      <c r="F41" s="187" t="n"/>
      <c r="G41" s="24" t="n"/>
      <c r="H41" s="336" t="n"/>
      <c r="I41" s="187" t="n"/>
    </row>
    <row r="42" ht="26.4" customFormat="1" customHeight="1" s="23">
      <c r="B42" s="187" t="n"/>
      <c r="C42" s="187" t="n"/>
      <c r="D42" s="187" t="n"/>
      <c r="E42" s="187" t="n"/>
      <c r="F42" s="187" t="n"/>
      <c r="G42" s="187" t="n"/>
      <c r="H42" s="26" t="inlineStr">
        <is>
          <t>金額（税込）</t>
        </is>
      </c>
      <c r="I42" s="26" t="inlineStr">
        <is>
          <t>消費税等</t>
        </is>
      </c>
    </row>
    <row r="43" ht="26.4" customFormat="1" customHeight="1" s="23">
      <c r="B43" s="27" t="n"/>
      <c r="C43" s="27" t="n"/>
      <c r="D43" s="187" t="n"/>
      <c r="E43" s="187" t="n"/>
      <c r="F43" s="28" t="n">
        <v>0.08</v>
      </c>
      <c r="G43" s="24" t="inlineStr">
        <is>
          <t>対象 小計:</t>
        </is>
      </c>
      <c r="H43" s="326">
        <f>SUMIF($G$20:$G$39,F43,$H$20:$H$39)</f>
        <v/>
      </c>
      <c r="I43" s="326">
        <f>ROUND(H43-(H43/(1+F43)),0)</f>
        <v/>
      </c>
    </row>
    <row r="44" ht="26.4" customFormat="1" customHeight="1" s="23">
      <c r="B44" s="27" t="n"/>
      <c r="C44" s="27" t="n"/>
      <c r="D44" s="187" t="n"/>
      <c r="E44" s="187" t="n"/>
      <c r="F44" s="28" t="n">
        <v>0.1</v>
      </c>
      <c r="G44" s="24" t="inlineStr">
        <is>
          <t>対象 小計:</t>
        </is>
      </c>
      <c r="H44" s="326">
        <f>SUMIF($G$20:$G$39,F44,$H$20:$H$39)</f>
        <v/>
      </c>
      <c r="I44" s="326">
        <f>ROUND(H44-(H44/(1+F44)),0)</f>
        <v/>
      </c>
    </row>
    <row r="45" ht="26.4" customFormat="1" customHeight="1" s="23">
      <c r="B45" s="27" t="n"/>
      <c r="C45" s="27" t="n"/>
      <c r="D45" s="187" t="n"/>
      <c r="E45" s="187" t="n"/>
      <c r="F45" s="29" t="inlineStr">
        <is>
          <t>非課税</t>
        </is>
      </c>
      <c r="G45" s="24" t="inlineStr">
        <is>
          <t>対象 小計:</t>
        </is>
      </c>
      <c r="H45" s="326">
        <f>SUMIF($G$20:$G$39,F45,$H$20:$H$39)</f>
        <v/>
      </c>
      <c r="I45" s="326" t="n"/>
    </row>
    <row r="47" ht="22.2" customHeight="1" s="207">
      <c r="B47" s="32" t="inlineStr">
        <is>
          <t>備考欄：</t>
        </is>
      </c>
    </row>
    <row r="48" ht="18" customHeight="1" s="207">
      <c r="B48" s="6" t="n"/>
      <c r="C48" s="7" t="n"/>
      <c r="D48" s="7" t="n"/>
      <c r="E48" s="7" t="n"/>
      <c r="F48" s="7" t="n"/>
      <c r="G48" s="7" t="n"/>
      <c r="H48" s="7" t="n"/>
      <c r="I48" s="8" t="n"/>
    </row>
    <row r="49" ht="18" customHeight="1" s="207">
      <c r="B49" s="33" t="n"/>
      <c r="I49" s="10" t="n"/>
    </row>
    <row r="50" ht="18" customHeight="1" s="207">
      <c r="B50" s="33" t="n"/>
      <c r="I50" s="10" t="n"/>
    </row>
    <row r="51" ht="18" customHeight="1" s="207">
      <c r="B51" s="33" t="n"/>
      <c r="I51" s="10" t="n"/>
    </row>
    <row r="52" ht="18" customHeight="1" s="207">
      <c r="B52" s="33" t="n"/>
      <c r="I52" s="10" t="n"/>
    </row>
    <row r="53" ht="18" customHeight="1" s="207">
      <c r="B53" s="33" t="n"/>
      <c r="I53" s="10" t="n"/>
    </row>
    <row r="54" ht="18" customHeight="1" s="207">
      <c r="B54" s="33" t="n"/>
      <c r="I54" s="10" t="n"/>
    </row>
    <row r="55" ht="18" customHeight="1" s="207">
      <c r="B55" s="33" t="n"/>
      <c r="I55" s="10" t="n"/>
    </row>
    <row r="56" ht="18" customHeight="1" s="207">
      <c r="B56" s="34" t="n"/>
      <c r="C56" s="14" t="n"/>
      <c r="D56" s="14" t="n"/>
      <c r="E56" s="14" t="n"/>
      <c r="F56" s="14" t="n"/>
      <c r="G56" s="14" t="n"/>
      <c r="H56" s="14" t="n"/>
      <c r="I56" s="15" t="n"/>
    </row>
  </sheetData>
  <mergeCells count="2">
    <mergeCell ref="B15:E16"/>
    <mergeCell ref="B3:I3"/>
  </mergeCells>
  <conditionalFormatting sqref="H40">
    <cfRule type="cellIs" priority="2" operator="notEqual" dxfId="0">
      <formula>$H$43+$H$44+$H$45</formula>
    </cfRule>
  </conditionalFormatting>
  <conditionalFormatting sqref="I5">
    <cfRule type="cellIs" priority="1" operator="equal" dxfId="0">
      <formula>0</formula>
    </cfRule>
  </conditionalFormatting>
  <pageMargins left="0.7" right="0.7" top="0.75" bottom="0.75" header="0.3" footer="0.3"/>
  <pageSetup orientation="portrait" paperSize="9" scale="5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大阪ＳＮＪ新日本海商事</dc:creator>
  <dcterms:created xsi:type="dcterms:W3CDTF">2025-10-15T07:41:08Z</dcterms:created>
  <dcterms:modified xsi:type="dcterms:W3CDTF">2026-03-17T00:21:05Z</dcterms:modified>
  <cp:lastModifiedBy>大阪ＳＮＪ新日本海商事</cp:lastModifiedBy>
  <cp:lastPrinted>2026-03-11T07:40:22Z</cp:lastPrinted>
</cp:coreProperties>
</file>