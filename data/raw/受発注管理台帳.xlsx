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7.xml" ContentType="application/vnd.openxmlformats-officedocument.spreadsheetml.table+xml"/>
  <Override PartName="/xl/pivotTables/pivotTable1.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workbookPr defaultThemeVersion="166925"/>
  <mc:AlternateContent xmlns:mc="http://schemas.openxmlformats.org/markup-compatibility/2006">
    <mc:Choice Requires="x15">
      <x15ac:absPath xmlns:x15ac="http://schemas.microsoft.com/office/spreadsheetml/2010/11/ac" url="S:\SKW\●発注・納品・精算・在庫\"/>
    </mc:Choice>
  </mc:AlternateContent>
  <xr:revisionPtr revIDLastSave="0" documentId="13_ncr:1_{30B6A168-0368-42CE-9FB1-9C5304492221}" xr6:coauthVersionLast="47" xr6:coauthVersionMax="47" xr10:uidLastSave="{00000000-0000-0000-0000-000000000000}"/>
  <bookViews>
    <workbookView xWindow="-23148" yWindow="-108" windowWidth="23256" windowHeight="12456" activeTab="4" xr2:uid="{9BCF8C61-77C2-4034-82EF-A42CA1AF852D}"/>
  </bookViews>
  <sheets>
    <sheet name="仕入先マスタ" sheetId="1" r:id="rId1"/>
    <sheet name="商品マスタ" sheetId="2" r:id="rId2"/>
    <sheet name="案件番号採番" sheetId="18" r:id="rId3"/>
    <sheet name="顧客与信管理" sheetId="17" r:id="rId4"/>
    <sheet name="案件明細" sheetId="13" r:id="rId5"/>
    <sheet name="案件追跡表" sheetId="14" r:id="rId6"/>
    <sheet name="見積書" sheetId="4" r:id="rId7"/>
    <sheet name="注文確認メール" sheetId="15" r:id="rId8"/>
    <sheet name="発注書" sheetId="7" r:id="rId9"/>
    <sheet name="納品書" sheetId="10" r:id="rId10"/>
    <sheet name="請求書" sheetId="9" r:id="rId11"/>
    <sheet name="請求書 (前払)" sheetId="12" r:id="rId12"/>
    <sheet name="入力ルール用シート" sheetId="16" r:id="rId13"/>
    <sheet name="画像収集_優先リスト" sheetId="20" r:id="rId14"/>
    <sheet name="案件集計" sheetId="21" r:id="rId15"/>
    <sheet name="見積書 (内税)" sheetId="23" r:id="rId16"/>
    <sheet name="請求書 (内税)" sheetId="22" r:id="rId17"/>
  </sheets>
  <externalReferences>
    <externalReference r:id="rId18"/>
  </externalReferences>
  <definedNames>
    <definedName name="_xlnm._FilterDatabase" localSheetId="13" hidden="1">画像収集_優先リスト!$A$1:$G$113</definedName>
    <definedName name="_xlnm.Print_Area" localSheetId="6">見積書!$A$3:$H$49</definedName>
    <definedName name="_xlnm.Print_Area" localSheetId="15">'見積書 (内税)'!$A$3:$H$48</definedName>
    <definedName name="_xlnm.Print_Area" localSheetId="1">商品マスタ!$A$1:$AG$1128</definedName>
    <definedName name="_xlnm.Print_Area" localSheetId="10">請求書!$B$3:$I$57</definedName>
    <definedName name="_xlnm.Print_Area" localSheetId="11">'請求書 (前払)'!$B$3:$I$57</definedName>
    <definedName name="_xlnm.Print_Area" localSheetId="16">'請求書 (内税)'!$B$3:$I$56</definedName>
    <definedName name="_xlnm.Print_Area" localSheetId="9">納品書!$B$3:$I$54</definedName>
    <definedName name="_xlnm.Print_Area" localSheetId="8">発注書!$A$3:$H$54</definedName>
  </definedNames>
  <calcPr calcId="191028"/>
  <pivotCaches>
    <pivotCache cacheId="2"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2" i="13" l="1"/>
  <c r="F52" i="13"/>
  <c r="C52" i="13" s="1"/>
  <c r="G52" i="13"/>
  <c r="H52" i="13"/>
  <c r="M52" i="13" s="1"/>
  <c r="I52" i="13"/>
  <c r="L52" i="13"/>
  <c r="N52" i="13"/>
  <c r="Y52" i="13"/>
  <c r="Z52" i="13"/>
  <c r="AA52" i="13"/>
  <c r="B52" i="13" s="1"/>
  <c r="AB52" i="13"/>
  <c r="D53" i="13"/>
  <c r="F53" i="13"/>
  <c r="G53" i="13"/>
  <c r="H53" i="13"/>
  <c r="X53" i="13" s="1"/>
  <c r="I53" i="13"/>
  <c r="L53" i="13"/>
  <c r="N53" i="13"/>
  <c r="Y53" i="13"/>
  <c r="Z53" i="13"/>
  <c r="AA53" i="13"/>
  <c r="AB53" i="13"/>
  <c r="D54" i="13"/>
  <c r="F54" i="13"/>
  <c r="G54" i="13"/>
  <c r="H54" i="13"/>
  <c r="X54" i="13" s="1"/>
  <c r="I54" i="13"/>
  <c r="L54" i="13"/>
  <c r="N54" i="13"/>
  <c r="Y54" i="13"/>
  <c r="Z54" i="13"/>
  <c r="AA54" i="13"/>
  <c r="AB54" i="13"/>
  <c r="D55" i="13"/>
  <c r="F55" i="13"/>
  <c r="G55" i="13"/>
  <c r="H55" i="13"/>
  <c r="M55" i="13" s="1"/>
  <c r="I55" i="13"/>
  <c r="L55" i="13"/>
  <c r="N55" i="13"/>
  <c r="Y55" i="13"/>
  <c r="Z55" i="13"/>
  <c r="AA55" i="13"/>
  <c r="AB55" i="13"/>
  <c r="D56" i="13"/>
  <c r="F56" i="13"/>
  <c r="C56" i="13" s="1"/>
  <c r="G56" i="13"/>
  <c r="H56" i="13"/>
  <c r="M56" i="13" s="1"/>
  <c r="I56" i="13"/>
  <c r="L56" i="13"/>
  <c r="N56" i="13"/>
  <c r="Y56" i="13"/>
  <c r="Z56" i="13"/>
  <c r="AA56" i="13"/>
  <c r="B87" i="13" s="1"/>
  <c r="AB56" i="13"/>
  <c r="D57" i="13"/>
  <c r="F57" i="13"/>
  <c r="G57" i="13"/>
  <c r="H57" i="13"/>
  <c r="X57" i="13" s="1"/>
  <c r="I57" i="13"/>
  <c r="L57" i="13"/>
  <c r="M57" i="13"/>
  <c r="N57" i="13"/>
  <c r="Y57" i="13"/>
  <c r="Z57" i="13"/>
  <c r="AA57" i="13"/>
  <c r="AB57" i="13"/>
  <c r="D58" i="13"/>
  <c r="F58" i="13"/>
  <c r="G58" i="13"/>
  <c r="H58" i="13"/>
  <c r="M58" i="13" s="1"/>
  <c r="I58" i="13"/>
  <c r="L58" i="13"/>
  <c r="N58" i="13"/>
  <c r="Y58" i="13"/>
  <c r="Z58" i="13"/>
  <c r="AA58" i="13"/>
  <c r="AB58" i="13"/>
  <c r="D59" i="13"/>
  <c r="F59" i="13"/>
  <c r="G59" i="13"/>
  <c r="H59" i="13"/>
  <c r="M59" i="13" s="1"/>
  <c r="I59" i="13"/>
  <c r="L59" i="13"/>
  <c r="N59" i="13"/>
  <c r="X59" i="13"/>
  <c r="Y59" i="13"/>
  <c r="Z59" i="13"/>
  <c r="AA59" i="13"/>
  <c r="AB59" i="13"/>
  <c r="D60" i="13"/>
  <c r="F60" i="13"/>
  <c r="G60" i="13"/>
  <c r="H60" i="13"/>
  <c r="M60" i="13" s="1"/>
  <c r="I60" i="13"/>
  <c r="L60" i="13"/>
  <c r="N60" i="13"/>
  <c r="Y60" i="13"/>
  <c r="Z60" i="13"/>
  <c r="AA60" i="13"/>
  <c r="AB60" i="13"/>
  <c r="B61" i="13"/>
  <c r="D61" i="13"/>
  <c r="F61" i="13"/>
  <c r="G61" i="13"/>
  <c r="H61" i="13"/>
  <c r="X61" i="13" s="1"/>
  <c r="I61" i="13"/>
  <c r="L61" i="13"/>
  <c r="N61" i="13"/>
  <c r="Y61" i="13"/>
  <c r="Z61" i="13"/>
  <c r="AA61" i="13"/>
  <c r="AB61" i="13"/>
  <c r="D62" i="13"/>
  <c r="F62" i="13"/>
  <c r="G62" i="13"/>
  <c r="H62" i="13"/>
  <c r="X62" i="13" s="1"/>
  <c r="I62" i="13"/>
  <c r="L62" i="13"/>
  <c r="N62" i="13"/>
  <c r="Y62" i="13"/>
  <c r="Z62" i="13"/>
  <c r="AA62" i="13"/>
  <c r="AB62" i="13"/>
  <c r="D63" i="13"/>
  <c r="F63" i="13"/>
  <c r="G63" i="13"/>
  <c r="H63" i="13"/>
  <c r="M63" i="13" s="1"/>
  <c r="I63" i="13"/>
  <c r="L63" i="13"/>
  <c r="N63" i="13"/>
  <c r="Y63" i="13"/>
  <c r="Z63" i="13"/>
  <c r="AA63" i="13"/>
  <c r="AB63" i="13"/>
  <c r="D64" i="13"/>
  <c r="F64" i="13"/>
  <c r="G64" i="13"/>
  <c r="H64" i="13"/>
  <c r="X64" i="13" s="1"/>
  <c r="I64" i="13"/>
  <c r="L64" i="13"/>
  <c r="N64" i="13"/>
  <c r="Y64" i="13"/>
  <c r="Z64" i="13"/>
  <c r="AA64" i="13"/>
  <c r="AB64" i="13"/>
  <c r="D65" i="13"/>
  <c r="F65" i="13"/>
  <c r="G65" i="13"/>
  <c r="H65" i="13"/>
  <c r="X65" i="13" s="1"/>
  <c r="I65" i="13"/>
  <c r="L65" i="13"/>
  <c r="N65" i="13"/>
  <c r="Y65" i="13"/>
  <c r="Z65" i="13"/>
  <c r="AA65" i="13"/>
  <c r="AB65" i="13"/>
  <c r="D66" i="13"/>
  <c r="F66" i="13"/>
  <c r="G66" i="13"/>
  <c r="H66" i="13"/>
  <c r="M66" i="13" s="1"/>
  <c r="I66" i="13"/>
  <c r="L66" i="13"/>
  <c r="N66" i="13"/>
  <c r="Y66" i="13"/>
  <c r="Z66" i="13"/>
  <c r="AA66" i="13"/>
  <c r="AB66" i="13"/>
  <c r="D67" i="13"/>
  <c r="F67" i="13"/>
  <c r="G67" i="13"/>
  <c r="H67" i="13"/>
  <c r="M67" i="13" s="1"/>
  <c r="I67" i="13"/>
  <c r="L67" i="13"/>
  <c r="N67" i="13"/>
  <c r="X67" i="13"/>
  <c r="Y67" i="13"/>
  <c r="Z67" i="13"/>
  <c r="AA67" i="13"/>
  <c r="AB67" i="13"/>
  <c r="D68" i="13"/>
  <c r="F68" i="13"/>
  <c r="G68" i="13"/>
  <c r="H68" i="13"/>
  <c r="M68" i="13" s="1"/>
  <c r="I68" i="13"/>
  <c r="L68" i="13"/>
  <c r="N68" i="13"/>
  <c r="Y68" i="13"/>
  <c r="Z68" i="13"/>
  <c r="AA68" i="13"/>
  <c r="AB68" i="13"/>
  <c r="D69" i="13"/>
  <c r="F69" i="13"/>
  <c r="C69" i="13" s="1"/>
  <c r="G69" i="13"/>
  <c r="H69" i="13"/>
  <c r="X69" i="13" s="1"/>
  <c r="I69" i="13"/>
  <c r="L69" i="13"/>
  <c r="M69" i="13"/>
  <c r="N69" i="13"/>
  <c r="Y69" i="13"/>
  <c r="Z69" i="13"/>
  <c r="AA69" i="13"/>
  <c r="AB69" i="13"/>
  <c r="D70" i="13"/>
  <c r="F70" i="13"/>
  <c r="G70" i="13"/>
  <c r="H70" i="13"/>
  <c r="X70" i="13" s="1"/>
  <c r="I70" i="13"/>
  <c r="L70" i="13"/>
  <c r="N70" i="13"/>
  <c r="Y70" i="13"/>
  <c r="Z70" i="13"/>
  <c r="AA70" i="13"/>
  <c r="AB70" i="13"/>
  <c r="D71" i="13"/>
  <c r="F71" i="13"/>
  <c r="G71" i="13"/>
  <c r="H71" i="13"/>
  <c r="M71" i="13" s="1"/>
  <c r="I71" i="13"/>
  <c r="L71" i="13"/>
  <c r="N71" i="13"/>
  <c r="X71" i="13"/>
  <c r="Y71" i="13"/>
  <c r="Z71" i="13"/>
  <c r="AA71" i="13"/>
  <c r="AB71" i="13"/>
  <c r="D72" i="13"/>
  <c r="F72" i="13"/>
  <c r="G72" i="13"/>
  <c r="H72" i="13"/>
  <c r="X72" i="13" s="1"/>
  <c r="I72" i="13"/>
  <c r="L72" i="13"/>
  <c r="M72" i="13"/>
  <c r="N72" i="13"/>
  <c r="Y72" i="13"/>
  <c r="Z72" i="13"/>
  <c r="AA72" i="13"/>
  <c r="AB72" i="13"/>
  <c r="D73" i="13"/>
  <c r="F73" i="13"/>
  <c r="G73" i="13"/>
  <c r="H73" i="13"/>
  <c r="X73" i="13" s="1"/>
  <c r="I73" i="13"/>
  <c r="L73" i="13"/>
  <c r="M73" i="13"/>
  <c r="N73" i="13"/>
  <c r="Y73" i="13"/>
  <c r="Z73" i="13"/>
  <c r="AA73" i="13"/>
  <c r="AB73" i="13"/>
  <c r="D74" i="13"/>
  <c r="F74" i="13"/>
  <c r="G74" i="13"/>
  <c r="H74" i="13"/>
  <c r="M74" i="13" s="1"/>
  <c r="I74" i="13"/>
  <c r="L74" i="13"/>
  <c r="N74" i="13"/>
  <c r="Y74" i="13"/>
  <c r="Z74" i="13"/>
  <c r="AA74" i="13"/>
  <c r="AB74" i="13"/>
  <c r="D75" i="13"/>
  <c r="F75" i="13"/>
  <c r="G75" i="13"/>
  <c r="H75" i="13"/>
  <c r="X75" i="13" s="1"/>
  <c r="I75" i="13"/>
  <c r="L75" i="13"/>
  <c r="N75" i="13"/>
  <c r="Y75" i="13"/>
  <c r="Z75" i="13"/>
  <c r="AA75" i="13"/>
  <c r="AB75" i="13"/>
  <c r="D76" i="13"/>
  <c r="F76" i="13"/>
  <c r="G76" i="13"/>
  <c r="H76" i="13"/>
  <c r="X76" i="13" s="1"/>
  <c r="I76" i="13"/>
  <c r="L76" i="13"/>
  <c r="N76" i="13"/>
  <c r="Y76" i="13"/>
  <c r="Z76" i="13"/>
  <c r="AA76" i="13"/>
  <c r="AB76" i="13"/>
  <c r="D77" i="13"/>
  <c r="F77" i="13"/>
  <c r="G77" i="13"/>
  <c r="H77" i="13"/>
  <c r="X77" i="13" s="1"/>
  <c r="I77" i="13"/>
  <c r="L77" i="13"/>
  <c r="N77" i="13"/>
  <c r="Y77" i="13"/>
  <c r="Z77" i="13"/>
  <c r="AA77" i="13"/>
  <c r="AB77" i="13"/>
  <c r="D78" i="13"/>
  <c r="F78" i="13"/>
  <c r="G78" i="13"/>
  <c r="H78" i="13"/>
  <c r="X78" i="13" s="1"/>
  <c r="I78" i="13"/>
  <c r="L78" i="13"/>
  <c r="N78" i="13"/>
  <c r="Y78" i="13"/>
  <c r="Z78" i="13"/>
  <c r="AA78" i="13"/>
  <c r="AB78" i="13"/>
  <c r="D79" i="13"/>
  <c r="F79" i="13"/>
  <c r="G79" i="13"/>
  <c r="H79" i="13"/>
  <c r="M79" i="13" s="1"/>
  <c r="I79" i="13"/>
  <c r="L79" i="13"/>
  <c r="N79" i="13"/>
  <c r="X79" i="13"/>
  <c r="Y79" i="13"/>
  <c r="Z79" i="13"/>
  <c r="AA79" i="13"/>
  <c r="AB79" i="13"/>
  <c r="D80" i="13"/>
  <c r="F80" i="13"/>
  <c r="G80" i="13"/>
  <c r="H80" i="13"/>
  <c r="X80" i="13" s="1"/>
  <c r="I80" i="13"/>
  <c r="L80" i="13"/>
  <c r="M80" i="13"/>
  <c r="N80" i="13"/>
  <c r="Y80" i="13"/>
  <c r="Z80" i="13"/>
  <c r="AA80" i="13"/>
  <c r="AB80" i="13"/>
  <c r="D81" i="13"/>
  <c r="F81" i="13"/>
  <c r="G81" i="13"/>
  <c r="H81" i="13"/>
  <c r="X81" i="13" s="1"/>
  <c r="I81" i="13"/>
  <c r="L81" i="13"/>
  <c r="N81" i="13"/>
  <c r="Y81" i="13"/>
  <c r="Z81" i="13"/>
  <c r="AA81" i="13"/>
  <c r="AB81" i="13"/>
  <c r="D82" i="13"/>
  <c r="F82" i="13"/>
  <c r="G82" i="13"/>
  <c r="H82" i="13"/>
  <c r="M82" i="13" s="1"/>
  <c r="I82" i="13"/>
  <c r="L82" i="13"/>
  <c r="N82" i="13"/>
  <c r="Y82" i="13"/>
  <c r="Z82" i="13"/>
  <c r="AA82" i="13"/>
  <c r="AB82" i="13"/>
  <c r="D83" i="13"/>
  <c r="F83" i="13"/>
  <c r="G83" i="13"/>
  <c r="H83" i="13"/>
  <c r="M83" i="13" s="1"/>
  <c r="I83" i="13"/>
  <c r="L83" i="13"/>
  <c r="N83" i="13"/>
  <c r="Y83" i="13"/>
  <c r="Z83" i="13"/>
  <c r="AA83" i="13"/>
  <c r="AB83" i="13"/>
  <c r="D84" i="13"/>
  <c r="F84" i="13"/>
  <c r="G84" i="13"/>
  <c r="H84" i="13"/>
  <c r="M84" i="13" s="1"/>
  <c r="I84" i="13"/>
  <c r="L84" i="13"/>
  <c r="N84" i="13"/>
  <c r="Y84" i="13"/>
  <c r="Z84" i="13"/>
  <c r="AA84" i="13"/>
  <c r="AB84" i="13"/>
  <c r="D85" i="13"/>
  <c r="F85" i="13"/>
  <c r="G85" i="13"/>
  <c r="H85" i="13"/>
  <c r="X85" i="13" s="1"/>
  <c r="I85" i="13"/>
  <c r="L85" i="13"/>
  <c r="N85" i="13"/>
  <c r="Y85" i="13"/>
  <c r="Z85" i="13"/>
  <c r="AA85" i="13"/>
  <c r="AB85" i="13"/>
  <c r="D86" i="13"/>
  <c r="F86" i="13"/>
  <c r="G86" i="13"/>
  <c r="H86" i="13"/>
  <c r="X86" i="13" s="1"/>
  <c r="I86" i="13"/>
  <c r="L86" i="13"/>
  <c r="N86" i="13"/>
  <c r="Y86" i="13"/>
  <c r="Z86" i="13"/>
  <c r="AA86" i="13"/>
  <c r="AB86" i="13"/>
  <c r="D87" i="13"/>
  <c r="F87" i="13"/>
  <c r="G87" i="13"/>
  <c r="H87" i="13"/>
  <c r="M87" i="13" s="1"/>
  <c r="I87" i="13"/>
  <c r="L87" i="13"/>
  <c r="N87" i="13"/>
  <c r="Y87" i="13"/>
  <c r="Z87" i="13"/>
  <c r="AA87" i="13"/>
  <c r="AB87" i="13"/>
  <c r="D88" i="13"/>
  <c r="F88" i="13"/>
  <c r="G88" i="13"/>
  <c r="H88" i="13"/>
  <c r="X88" i="13" s="1"/>
  <c r="I88" i="13"/>
  <c r="L88" i="13"/>
  <c r="N88" i="13"/>
  <c r="Y88" i="13"/>
  <c r="Z88" i="13"/>
  <c r="AA88" i="13"/>
  <c r="AB88" i="13"/>
  <c r="D89" i="13"/>
  <c r="F89" i="13"/>
  <c r="G89" i="13"/>
  <c r="H89" i="13"/>
  <c r="X89" i="13" s="1"/>
  <c r="I89" i="13"/>
  <c r="L89" i="13"/>
  <c r="N89" i="13"/>
  <c r="Y89" i="13"/>
  <c r="Z89" i="13"/>
  <c r="AA89" i="13"/>
  <c r="AB89" i="13"/>
  <c r="D90" i="13"/>
  <c r="F90" i="13"/>
  <c r="G90" i="13"/>
  <c r="H90" i="13"/>
  <c r="M90" i="13" s="1"/>
  <c r="I90" i="13"/>
  <c r="L90" i="13"/>
  <c r="N90" i="13"/>
  <c r="Y90" i="13"/>
  <c r="Z90" i="13"/>
  <c r="AA90" i="13"/>
  <c r="AB90" i="13"/>
  <c r="D91" i="13"/>
  <c r="F91" i="13"/>
  <c r="G91" i="13"/>
  <c r="H91" i="13"/>
  <c r="I91" i="13"/>
  <c r="L91" i="13"/>
  <c r="M91" i="13"/>
  <c r="N91" i="13"/>
  <c r="X91" i="13"/>
  <c r="Y91" i="13"/>
  <c r="Z91" i="13"/>
  <c r="AA91" i="13"/>
  <c r="AB91" i="13"/>
  <c r="D92" i="13"/>
  <c r="F92" i="13"/>
  <c r="G92" i="13"/>
  <c r="H92" i="13"/>
  <c r="M92" i="13" s="1"/>
  <c r="I92" i="13"/>
  <c r="L92" i="13"/>
  <c r="N92" i="13"/>
  <c r="X92" i="13"/>
  <c r="Y92" i="13"/>
  <c r="Z92" i="13"/>
  <c r="AA92" i="13"/>
  <c r="AB92" i="13"/>
  <c r="D93" i="13"/>
  <c r="F93" i="13"/>
  <c r="G93" i="13"/>
  <c r="H93" i="13"/>
  <c r="X93" i="13" s="1"/>
  <c r="I93" i="13"/>
  <c r="L93" i="13"/>
  <c r="N93" i="13"/>
  <c r="Y93" i="13"/>
  <c r="Z93" i="13"/>
  <c r="AA93" i="13"/>
  <c r="AB93" i="13"/>
  <c r="D94" i="13"/>
  <c r="F94" i="13"/>
  <c r="G94" i="13"/>
  <c r="H94" i="13"/>
  <c r="X94" i="13" s="1"/>
  <c r="I94" i="13"/>
  <c r="L94" i="13"/>
  <c r="N94" i="13"/>
  <c r="Y94" i="13"/>
  <c r="Z94" i="13"/>
  <c r="AA94" i="13"/>
  <c r="AB94" i="13"/>
  <c r="D95" i="13"/>
  <c r="F95" i="13"/>
  <c r="G95" i="13"/>
  <c r="H95" i="13"/>
  <c r="M95" i="13" s="1"/>
  <c r="I95" i="13"/>
  <c r="L95" i="13"/>
  <c r="N95" i="13"/>
  <c r="Y95" i="13"/>
  <c r="Z95" i="13"/>
  <c r="AA95" i="13"/>
  <c r="AB95" i="13"/>
  <c r="D96" i="13"/>
  <c r="F96" i="13"/>
  <c r="G96" i="13"/>
  <c r="H96" i="13"/>
  <c r="X96" i="13" s="1"/>
  <c r="I96" i="13"/>
  <c r="L96" i="13"/>
  <c r="M96" i="13"/>
  <c r="N96" i="13"/>
  <c r="Y96" i="13"/>
  <c r="Z96" i="13"/>
  <c r="AA96" i="13"/>
  <c r="AB96" i="13"/>
  <c r="D97" i="13"/>
  <c r="F97" i="13"/>
  <c r="G97" i="13"/>
  <c r="H97" i="13"/>
  <c r="X97" i="13" s="1"/>
  <c r="I97" i="13"/>
  <c r="L97" i="13"/>
  <c r="M97" i="13"/>
  <c r="N97" i="13"/>
  <c r="Y97" i="13"/>
  <c r="Z97" i="13"/>
  <c r="AA97" i="13"/>
  <c r="AB97" i="13"/>
  <c r="D98" i="13"/>
  <c r="F98" i="13"/>
  <c r="G98" i="13"/>
  <c r="H98" i="13"/>
  <c r="M98" i="13" s="1"/>
  <c r="I98" i="13"/>
  <c r="L98" i="13"/>
  <c r="N98" i="13"/>
  <c r="Y98" i="13"/>
  <c r="Z98" i="13"/>
  <c r="AA98" i="13"/>
  <c r="AB98" i="13"/>
  <c r="D99" i="13"/>
  <c r="F99" i="13"/>
  <c r="G99" i="13"/>
  <c r="H99" i="13"/>
  <c r="M99" i="13" s="1"/>
  <c r="I99" i="13"/>
  <c r="L99" i="13"/>
  <c r="N99" i="13"/>
  <c r="Y99" i="13"/>
  <c r="Z99" i="13"/>
  <c r="AA99" i="13"/>
  <c r="B105" i="13" s="1"/>
  <c r="AB99" i="13"/>
  <c r="D100" i="13"/>
  <c r="F100" i="13"/>
  <c r="G100" i="13"/>
  <c r="H100" i="13"/>
  <c r="X100" i="13" s="1"/>
  <c r="I100" i="13"/>
  <c r="L100" i="13"/>
  <c r="N100" i="13"/>
  <c r="Y100" i="13"/>
  <c r="Z100" i="13"/>
  <c r="AA100" i="13"/>
  <c r="AB100" i="13"/>
  <c r="D101" i="13"/>
  <c r="F101" i="13"/>
  <c r="G101" i="13"/>
  <c r="H101" i="13"/>
  <c r="X101" i="13" s="1"/>
  <c r="I101" i="13"/>
  <c r="L101" i="13"/>
  <c r="N101" i="13"/>
  <c r="Y101" i="13"/>
  <c r="Z101" i="13"/>
  <c r="AA101" i="13"/>
  <c r="AB101" i="13"/>
  <c r="D102" i="13"/>
  <c r="F102" i="13"/>
  <c r="G102" i="13"/>
  <c r="H102" i="13"/>
  <c r="X102" i="13" s="1"/>
  <c r="I102" i="13"/>
  <c r="L102" i="13"/>
  <c r="N102" i="13"/>
  <c r="Y102" i="13"/>
  <c r="Z102" i="13"/>
  <c r="AA102" i="13"/>
  <c r="AB102" i="13"/>
  <c r="D103" i="13"/>
  <c r="F103" i="13"/>
  <c r="G103" i="13"/>
  <c r="H103" i="13"/>
  <c r="M103" i="13" s="1"/>
  <c r="I103" i="13"/>
  <c r="L103" i="13"/>
  <c r="N103" i="13"/>
  <c r="Y103" i="13"/>
  <c r="Z103" i="13"/>
  <c r="AA103" i="13"/>
  <c r="AB103" i="13"/>
  <c r="D104" i="13"/>
  <c r="F104" i="13"/>
  <c r="G104" i="13"/>
  <c r="H104" i="13"/>
  <c r="X104" i="13" s="1"/>
  <c r="I104" i="13"/>
  <c r="L104" i="13"/>
  <c r="N104" i="13"/>
  <c r="Y104" i="13"/>
  <c r="Z104" i="13"/>
  <c r="AA104" i="13"/>
  <c r="AB104" i="13"/>
  <c r="D105" i="13"/>
  <c r="F105" i="13"/>
  <c r="G105" i="13"/>
  <c r="H105" i="13"/>
  <c r="X105" i="13" s="1"/>
  <c r="I105" i="13"/>
  <c r="L105" i="13"/>
  <c r="N105" i="13"/>
  <c r="Y105" i="13"/>
  <c r="Z105" i="13"/>
  <c r="AA105" i="13"/>
  <c r="AB105" i="13"/>
  <c r="D106" i="13"/>
  <c r="F106" i="13"/>
  <c r="G106" i="13"/>
  <c r="H106" i="13"/>
  <c r="M106" i="13" s="1"/>
  <c r="I106" i="13"/>
  <c r="L106" i="13"/>
  <c r="N106" i="13"/>
  <c r="X106" i="13"/>
  <c r="Y106" i="13"/>
  <c r="Z106" i="13"/>
  <c r="AA106" i="13"/>
  <c r="AB106" i="13"/>
  <c r="D107" i="13"/>
  <c r="F107" i="13"/>
  <c r="G107" i="13"/>
  <c r="H107" i="13"/>
  <c r="I107" i="13"/>
  <c r="L107" i="13"/>
  <c r="M107" i="13"/>
  <c r="N107" i="13"/>
  <c r="X107" i="13"/>
  <c r="Y107" i="13"/>
  <c r="Z107" i="13"/>
  <c r="AA107" i="13"/>
  <c r="AB107" i="13"/>
  <c r="D108" i="13"/>
  <c r="F108" i="13"/>
  <c r="G108" i="13"/>
  <c r="H108" i="13"/>
  <c r="M108" i="13" s="1"/>
  <c r="I108" i="13"/>
  <c r="L108" i="13"/>
  <c r="N108" i="13"/>
  <c r="X108" i="13"/>
  <c r="Y108" i="13"/>
  <c r="Z108" i="13"/>
  <c r="AA108" i="13"/>
  <c r="AB108" i="13"/>
  <c r="D109" i="13"/>
  <c r="F109" i="13"/>
  <c r="G109" i="13"/>
  <c r="H109" i="13"/>
  <c r="X109" i="13" s="1"/>
  <c r="I109" i="13"/>
  <c r="L109" i="13"/>
  <c r="N109" i="13"/>
  <c r="Y109" i="13"/>
  <c r="Z109" i="13"/>
  <c r="AA109" i="13"/>
  <c r="AB109" i="13"/>
  <c r="D110" i="13"/>
  <c r="F110" i="13"/>
  <c r="G110" i="13"/>
  <c r="H110" i="13"/>
  <c r="X110" i="13" s="1"/>
  <c r="I110" i="13"/>
  <c r="L110" i="13"/>
  <c r="N110" i="13"/>
  <c r="Y110" i="13"/>
  <c r="Z110" i="13"/>
  <c r="AA110" i="13"/>
  <c r="AB110" i="13"/>
  <c r="D111" i="13"/>
  <c r="F111" i="13"/>
  <c r="G111" i="13"/>
  <c r="H111" i="13"/>
  <c r="M111" i="13" s="1"/>
  <c r="I111" i="13"/>
  <c r="L111" i="13"/>
  <c r="N111" i="13"/>
  <c r="Y111" i="13"/>
  <c r="Z111" i="13"/>
  <c r="AA111" i="13"/>
  <c r="B138" i="13" s="1"/>
  <c r="AB111" i="13"/>
  <c r="D112" i="13"/>
  <c r="F112" i="13"/>
  <c r="G112" i="13"/>
  <c r="H112" i="13"/>
  <c r="X112" i="13" s="1"/>
  <c r="I112" i="13"/>
  <c r="L112" i="13"/>
  <c r="M112" i="13"/>
  <c r="N112" i="13"/>
  <c r="Y112" i="13"/>
  <c r="Z112" i="13"/>
  <c r="AA112" i="13"/>
  <c r="AB112" i="13"/>
  <c r="D113" i="13"/>
  <c r="F113" i="13"/>
  <c r="G113" i="13"/>
  <c r="H113" i="13"/>
  <c r="X113" i="13" s="1"/>
  <c r="I113" i="13"/>
  <c r="L113" i="13"/>
  <c r="M113" i="13"/>
  <c r="N113" i="13"/>
  <c r="Y113" i="13"/>
  <c r="Z113" i="13"/>
  <c r="AA113" i="13"/>
  <c r="AB113" i="13"/>
  <c r="D114" i="13"/>
  <c r="F114" i="13"/>
  <c r="G114" i="13"/>
  <c r="H114" i="13"/>
  <c r="M114" i="13" s="1"/>
  <c r="I114" i="13"/>
  <c r="L114" i="13"/>
  <c r="N114" i="13"/>
  <c r="X114" i="13"/>
  <c r="Y114" i="13"/>
  <c r="Z114" i="13"/>
  <c r="AA114" i="13"/>
  <c r="AB114" i="13"/>
  <c r="D115" i="13"/>
  <c r="F115" i="13"/>
  <c r="G115" i="13"/>
  <c r="H115" i="13"/>
  <c r="X115" i="13" s="1"/>
  <c r="I115" i="13"/>
  <c r="L115" i="13"/>
  <c r="N115" i="13"/>
  <c r="Y115" i="13"/>
  <c r="Z115" i="13"/>
  <c r="AA115" i="13"/>
  <c r="AB115" i="13"/>
  <c r="D116" i="13"/>
  <c r="F116" i="13"/>
  <c r="G116" i="13"/>
  <c r="H116" i="13"/>
  <c r="X116" i="13" s="1"/>
  <c r="I116" i="13"/>
  <c r="L116" i="13"/>
  <c r="M116" i="13"/>
  <c r="N116" i="13"/>
  <c r="Y116" i="13"/>
  <c r="Z116" i="13"/>
  <c r="AA116" i="13"/>
  <c r="AB116" i="13"/>
  <c r="D117" i="13"/>
  <c r="F117" i="13"/>
  <c r="G117" i="13"/>
  <c r="H117" i="13"/>
  <c r="X117" i="13" s="1"/>
  <c r="I117" i="13"/>
  <c r="L117" i="13"/>
  <c r="N117" i="13"/>
  <c r="Y117" i="13"/>
  <c r="Z117" i="13"/>
  <c r="AA117" i="13"/>
  <c r="AB117" i="13"/>
  <c r="D118" i="13"/>
  <c r="F118" i="13"/>
  <c r="G118" i="13"/>
  <c r="H118" i="13"/>
  <c r="X118" i="13" s="1"/>
  <c r="I118" i="13"/>
  <c r="L118" i="13"/>
  <c r="N118" i="13"/>
  <c r="Y118" i="13"/>
  <c r="Z118" i="13"/>
  <c r="AA118" i="13"/>
  <c r="AB118" i="13"/>
  <c r="D119" i="13"/>
  <c r="F119" i="13"/>
  <c r="G119" i="13"/>
  <c r="H119" i="13"/>
  <c r="M119" i="13" s="1"/>
  <c r="I119" i="13"/>
  <c r="L119" i="13"/>
  <c r="N119" i="13"/>
  <c r="Y119" i="13"/>
  <c r="Z119" i="13"/>
  <c r="AA119" i="13"/>
  <c r="AB119" i="13"/>
  <c r="D120" i="13"/>
  <c r="F120" i="13"/>
  <c r="G120" i="13"/>
  <c r="H120" i="13"/>
  <c r="X120" i="13" s="1"/>
  <c r="I120" i="13"/>
  <c r="L120" i="13"/>
  <c r="N120" i="13"/>
  <c r="Y120" i="13"/>
  <c r="Z120" i="13"/>
  <c r="AA120" i="13"/>
  <c r="AB120" i="13"/>
  <c r="D121" i="13"/>
  <c r="F121" i="13"/>
  <c r="G121" i="13"/>
  <c r="H121" i="13"/>
  <c r="X121" i="13" s="1"/>
  <c r="I121" i="13"/>
  <c r="L121" i="13"/>
  <c r="N121" i="13"/>
  <c r="Y121" i="13"/>
  <c r="Z121" i="13"/>
  <c r="AA121" i="13"/>
  <c r="AB121" i="13"/>
  <c r="D122" i="13"/>
  <c r="F122" i="13"/>
  <c r="G122" i="13"/>
  <c r="H122" i="13"/>
  <c r="M122" i="13" s="1"/>
  <c r="I122" i="13"/>
  <c r="L122" i="13"/>
  <c r="N122" i="13"/>
  <c r="Y122" i="13"/>
  <c r="Z122" i="13"/>
  <c r="AA122" i="13"/>
  <c r="AB122" i="13"/>
  <c r="D123" i="13"/>
  <c r="F123" i="13"/>
  <c r="G123" i="13"/>
  <c r="H123" i="13"/>
  <c r="I123" i="13"/>
  <c r="L123" i="13"/>
  <c r="M123" i="13"/>
  <c r="N123" i="13"/>
  <c r="X123" i="13"/>
  <c r="Y123" i="13"/>
  <c r="Z123" i="13"/>
  <c r="AA123" i="13"/>
  <c r="AB123" i="13"/>
  <c r="D124" i="13"/>
  <c r="F124" i="13"/>
  <c r="G124" i="13"/>
  <c r="H124" i="13"/>
  <c r="X124" i="13" s="1"/>
  <c r="I124" i="13"/>
  <c r="L124" i="13"/>
  <c r="N124" i="13"/>
  <c r="Y124" i="13"/>
  <c r="Z124" i="13"/>
  <c r="AA124" i="13"/>
  <c r="AB124" i="13"/>
  <c r="D125" i="13"/>
  <c r="F125" i="13"/>
  <c r="G125" i="13"/>
  <c r="H125" i="13"/>
  <c r="X125" i="13" s="1"/>
  <c r="I125" i="13"/>
  <c r="L125" i="13"/>
  <c r="N125" i="13"/>
  <c r="Y125" i="13"/>
  <c r="Z125" i="13"/>
  <c r="AA125" i="13"/>
  <c r="AB125" i="13"/>
  <c r="D126" i="13"/>
  <c r="F126" i="13"/>
  <c r="G126" i="13"/>
  <c r="H126" i="13"/>
  <c r="X126" i="13" s="1"/>
  <c r="I126" i="13"/>
  <c r="L126" i="13"/>
  <c r="N126" i="13"/>
  <c r="Y126" i="13"/>
  <c r="Z126" i="13"/>
  <c r="AA126" i="13"/>
  <c r="AB126" i="13"/>
  <c r="D127" i="13"/>
  <c r="F127" i="13"/>
  <c r="G127" i="13"/>
  <c r="H127" i="13"/>
  <c r="M127" i="13" s="1"/>
  <c r="I127" i="13"/>
  <c r="L127" i="13"/>
  <c r="N127" i="13"/>
  <c r="Y127" i="13"/>
  <c r="Z127" i="13"/>
  <c r="AA127" i="13"/>
  <c r="AB127" i="13"/>
  <c r="D128" i="13"/>
  <c r="F128" i="13"/>
  <c r="G128" i="13"/>
  <c r="H128" i="13"/>
  <c r="X128" i="13" s="1"/>
  <c r="I128" i="13"/>
  <c r="L128" i="13"/>
  <c r="N128" i="13"/>
  <c r="Y128" i="13"/>
  <c r="Z128" i="13"/>
  <c r="AA128" i="13"/>
  <c r="AB128" i="13"/>
  <c r="D129" i="13"/>
  <c r="F129" i="13"/>
  <c r="G129" i="13"/>
  <c r="H129" i="13"/>
  <c r="X129" i="13" s="1"/>
  <c r="I129" i="13"/>
  <c r="L129" i="13"/>
  <c r="M129" i="13"/>
  <c r="N129" i="13"/>
  <c r="Y129" i="13"/>
  <c r="Z129" i="13"/>
  <c r="AA129" i="13"/>
  <c r="AB129" i="13"/>
  <c r="D130" i="13"/>
  <c r="F130" i="13"/>
  <c r="G130" i="13"/>
  <c r="H130" i="13"/>
  <c r="M130" i="13" s="1"/>
  <c r="I130" i="13"/>
  <c r="L130" i="13"/>
  <c r="N130" i="13"/>
  <c r="Y130" i="13"/>
  <c r="Z130" i="13"/>
  <c r="AA130" i="13"/>
  <c r="AB130" i="13"/>
  <c r="D131" i="13"/>
  <c r="F131" i="13"/>
  <c r="G131" i="13"/>
  <c r="H131" i="13"/>
  <c r="X131" i="13" s="1"/>
  <c r="I131" i="13"/>
  <c r="L131" i="13"/>
  <c r="N131" i="13"/>
  <c r="Y131" i="13"/>
  <c r="Z131" i="13"/>
  <c r="AA131" i="13"/>
  <c r="AB131" i="13"/>
  <c r="D132" i="13"/>
  <c r="F132" i="13"/>
  <c r="G132" i="13"/>
  <c r="H132" i="13"/>
  <c r="M132" i="13" s="1"/>
  <c r="I132" i="13"/>
  <c r="L132" i="13"/>
  <c r="N132" i="13"/>
  <c r="Y132" i="13"/>
  <c r="Z132" i="13"/>
  <c r="AA132" i="13"/>
  <c r="AB132" i="13"/>
  <c r="D133" i="13"/>
  <c r="F133" i="13"/>
  <c r="G133" i="13"/>
  <c r="H133" i="13"/>
  <c r="X133" i="13" s="1"/>
  <c r="I133" i="13"/>
  <c r="L133" i="13"/>
  <c r="N133" i="13"/>
  <c r="Y133" i="13"/>
  <c r="Z133" i="13"/>
  <c r="AA133" i="13"/>
  <c r="AB133" i="13"/>
  <c r="D134" i="13"/>
  <c r="F134" i="13"/>
  <c r="G134" i="13"/>
  <c r="H134" i="13"/>
  <c r="X134" i="13" s="1"/>
  <c r="I134" i="13"/>
  <c r="L134" i="13"/>
  <c r="N134" i="13"/>
  <c r="Y134" i="13"/>
  <c r="Z134" i="13"/>
  <c r="AA134" i="13"/>
  <c r="AB134" i="13"/>
  <c r="D135" i="13"/>
  <c r="F135" i="13"/>
  <c r="G135" i="13"/>
  <c r="H135" i="13"/>
  <c r="M135" i="13" s="1"/>
  <c r="I135" i="13"/>
  <c r="L135" i="13"/>
  <c r="N135" i="13"/>
  <c r="Y135" i="13"/>
  <c r="Z135" i="13"/>
  <c r="AA135" i="13"/>
  <c r="AB135" i="13"/>
  <c r="D136" i="13"/>
  <c r="F136" i="13"/>
  <c r="G136" i="13"/>
  <c r="H136" i="13"/>
  <c r="X136" i="13" s="1"/>
  <c r="I136" i="13"/>
  <c r="L136" i="13"/>
  <c r="N136" i="13"/>
  <c r="Y136" i="13"/>
  <c r="Z136" i="13"/>
  <c r="AA136" i="13"/>
  <c r="AB136" i="13"/>
  <c r="D137" i="13"/>
  <c r="F137" i="13"/>
  <c r="G137" i="13"/>
  <c r="H137" i="13"/>
  <c r="X137" i="13" s="1"/>
  <c r="I137" i="13"/>
  <c r="L137" i="13"/>
  <c r="N137" i="13"/>
  <c r="Y137" i="13"/>
  <c r="Z137" i="13"/>
  <c r="AA137" i="13"/>
  <c r="AB137" i="13"/>
  <c r="D138" i="13"/>
  <c r="F138" i="13"/>
  <c r="G138" i="13"/>
  <c r="H138" i="13"/>
  <c r="M138" i="13" s="1"/>
  <c r="I138" i="13"/>
  <c r="L138" i="13"/>
  <c r="N138" i="13"/>
  <c r="Y138" i="13"/>
  <c r="Z138" i="13"/>
  <c r="AA138" i="13"/>
  <c r="AB138" i="13"/>
  <c r="D139" i="13"/>
  <c r="F139" i="13"/>
  <c r="G139" i="13"/>
  <c r="H139" i="13"/>
  <c r="X139" i="13" s="1"/>
  <c r="I139" i="13"/>
  <c r="L139" i="13"/>
  <c r="N139" i="13"/>
  <c r="Y139" i="13"/>
  <c r="Z139" i="13"/>
  <c r="AA139" i="13"/>
  <c r="AB139" i="13"/>
  <c r="D140" i="13"/>
  <c r="F140" i="13"/>
  <c r="G140" i="13"/>
  <c r="H140" i="13"/>
  <c r="M140" i="13" s="1"/>
  <c r="I140" i="13"/>
  <c r="L140" i="13"/>
  <c r="N140" i="13"/>
  <c r="Y140" i="13"/>
  <c r="Z140" i="13"/>
  <c r="AA140" i="13"/>
  <c r="AB140" i="13"/>
  <c r="D141" i="13"/>
  <c r="F141" i="13"/>
  <c r="G141" i="13"/>
  <c r="H141" i="13"/>
  <c r="X141" i="13" s="1"/>
  <c r="I141" i="13"/>
  <c r="L141" i="13"/>
  <c r="N141" i="13"/>
  <c r="Y141" i="13"/>
  <c r="Z141" i="13"/>
  <c r="AA141" i="13"/>
  <c r="AB141" i="13"/>
  <c r="D142" i="13"/>
  <c r="F142" i="13"/>
  <c r="G142" i="13"/>
  <c r="H142" i="13"/>
  <c r="X142" i="13" s="1"/>
  <c r="I142" i="13"/>
  <c r="L142" i="13"/>
  <c r="N142" i="13"/>
  <c r="Y142" i="13"/>
  <c r="Z142" i="13"/>
  <c r="AA142" i="13"/>
  <c r="AB142" i="13"/>
  <c r="D143" i="13"/>
  <c r="F143" i="13"/>
  <c r="G143" i="13"/>
  <c r="H143" i="13"/>
  <c r="M143" i="13" s="1"/>
  <c r="I143" i="13"/>
  <c r="L143" i="13"/>
  <c r="N143" i="13"/>
  <c r="Y143" i="13"/>
  <c r="Z143" i="13"/>
  <c r="AA143" i="13"/>
  <c r="AB143" i="13"/>
  <c r="D144" i="13"/>
  <c r="F144" i="13"/>
  <c r="G144" i="13"/>
  <c r="H144" i="13"/>
  <c r="X144" i="13" s="1"/>
  <c r="I144" i="13"/>
  <c r="L144" i="13"/>
  <c r="N144" i="13"/>
  <c r="Y144" i="13"/>
  <c r="Z144" i="13"/>
  <c r="AA144" i="13"/>
  <c r="AB144" i="13"/>
  <c r="B145" i="13"/>
  <c r="D145" i="13"/>
  <c r="F145" i="13"/>
  <c r="G145" i="13"/>
  <c r="H145" i="13"/>
  <c r="X145" i="13" s="1"/>
  <c r="I145" i="13"/>
  <c r="L145" i="13"/>
  <c r="M145" i="13"/>
  <c r="N145" i="13"/>
  <c r="Y145" i="13"/>
  <c r="Z145" i="13"/>
  <c r="AA145" i="13"/>
  <c r="AB145" i="13"/>
  <c r="D146" i="13"/>
  <c r="F146" i="13"/>
  <c r="G146" i="13"/>
  <c r="H146" i="13"/>
  <c r="M146" i="13" s="1"/>
  <c r="I146" i="13"/>
  <c r="L146" i="13"/>
  <c r="N146" i="13"/>
  <c r="Y146" i="13"/>
  <c r="Z146" i="13"/>
  <c r="AA146" i="13"/>
  <c r="A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D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M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X3" i="13"/>
  <c r="X4" i="13"/>
  <c r="X5" i="13"/>
  <c r="X6" i="13"/>
  <c r="X7" i="13"/>
  <c r="X8" i="13"/>
  <c r="X9" i="13"/>
  <c r="X10" i="13"/>
  <c r="X11" i="13"/>
  <c r="X12" i="13"/>
  <c r="X13" i="13"/>
  <c r="X14" i="13"/>
  <c r="X15" i="13"/>
  <c r="X16" i="13"/>
  <c r="X17" i="13"/>
  <c r="X18" i="13"/>
  <c r="X19" i="13"/>
  <c r="X20" i="13"/>
  <c r="X21" i="13"/>
  <c r="X22" i="13"/>
  <c r="X23" i="13"/>
  <c r="X24" i="13"/>
  <c r="X25" i="13"/>
  <c r="X26" i="13"/>
  <c r="X27" i="13"/>
  <c r="X28" i="13"/>
  <c r="X29" i="13"/>
  <c r="X30" i="13"/>
  <c r="X31" i="13"/>
  <c r="X32" i="13"/>
  <c r="X33" i="13"/>
  <c r="X34" i="13"/>
  <c r="X35" i="13"/>
  <c r="X36" i="13"/>
  <c r="X37" i="13"/>
  <c r="X38" i="13"/>
  <c r="X39" i="13"/>
  <c r="X40" i="13"/>
  <c r="X41" i="13"/>
  <c r="X42" i="13"/>
  <c r="X43" i="13"/>
  <c r="X44" i="13"/>
  <c r="X45" i="13"/>
  <c r="X46" i="13"/>
  <c r="X47" i="13"/>
  <c r="X48" i="13"/>
  <c r="X49" i="13"/>
  <c r="X50" i="13"/>
  <c r="X51" i="13"/>
  <c r="X147" i="13"/>
  <c r="X148" i="13"/>
  <c r="X149" i="13"/>
  <c r="X150" i="13"/>
  <c r="X151" i="13"/>
  <c r="X152" i="13"/>
  <c r="X153" i="13"/>
  <c r="X154" i="13"/>
  <c r="X155" i="13"/>
  <c r="X156" i="13"/>
  <c r="X157" i="13"/>
  <c r="X158" i="13"/>
  <c r="X159" i="13"/>
  <c r="X160" i="13"/>
  <c r="X161" i="13"/>
  <c r="X162" i="13"/>
  <c r="X163" i="13"/>
  <c r="X164" i="13"/>
  <c r="X165" i="13"/>
  <c r="X166" i="13"/>
  <c r="X167" i="13"/>
  <c r="X168" i="13"/>
  <c r="X169" i="13"/>
  <c r="X170" i="13"/>
  <c r="X171" i="13"/>
  <c r="X172" i="13"/>
  <c r="X173" i="13"/>
  <c r="X174" i="13"/>
  <c r="X175" i="13"/>
  <c r="X176" i="13"/>
  <c r="X177" i="13"/>
  <c r="X178" i="13"/>
  <c r="X179" i="13"/>
  <c r="X180" i="13"/>
  <c r="X181" i="13"/>
  <c r="X182" i="13"/>
  <c r="X183" i="13"/>
  <c r="X184" i="13"/>
  <c r="X185" i="13"/>
  <c r="X186" i="13"/>
  <c r="X187" i="13"/>
  <c r="X188" i="13"/>
  <c r="X189" i="13"/>
  <c r="X190" i="13"/>
  <c r="X191" i="13"/>
  <c r="X192" i="13"/>
  <c r="X193" i="13"/>
  <c r="X194" i="13"/>
  <c r="X195" i="13"/>
  <c r="X196" i="13"/>
  <c r="X197" i="13"/>
  <c r="X198" i="13"/>
  <c r="X199" i="13"/>
  <c r="X200" i="13"/>
  <c r="X201" i="13"/>
  <c r="X202" i="13"/>
  <c r="X203" i="13"/>
  <c r="Y3" i="13"/>
  <c r="Y4" i="13"/>
  <c r="Y5" i="13"/>
  <c r="Y6" i="13"/>
  <c r="Y7" i="13"/>
  <c r="Y8" i="13"/>
  <c r="Y9" i="13"/>
  <c r="Y10" i="13"/>
  <c r="Y11" i="13"/>
  <c r="Y12" i="13"/>
  <c r="Y13" i="13"/>
  <c r="Y14" i="13"/>
  <c r="Y15" i="13"/>
  <c r="Y16" i="13"/>
  <c r="Y17" i="13"/>
  <c r="Y18" i="13"/>
  <c r="Y19" i="13"/>
  <c r="Y20" i="13"/>
  <c r="Y21" i="13"/>
  <c r="Y22" i="13"/>
  <c r="Y23" i="13"/>
  <c r="Y24" i="13"/>
  <c r="Y25" i="13"/>
  <c r="Y26" i="13"/>
  <c r="Y27" i="13"/>
  <c r="Y28" i="13"/>
  <c r="Y29" i="13"/>
  <c r="Y30" i="13"/>
  <c r="Y31" i="13"/>
  <c r="Y32" i="13"/>
  <c r="Y33" i="13"/>
  <c r="Y34" i="13"/>
  <c r="Y35" i="13"/>
  <c r="Y36" i="13"/>
  <c r="Y37" i="13"/>
  <c r="Y38" i="13"/>
  <c r="Y39" i="13"/>
  <c r="Y40" i="13"/>
  <c r="Y41" i="13"/>
  <c r="Y42" i="13"/>
  <c r="Y43" i="13"/>
  <c r="Y44" i="13"/>
  <c r="Y45" i="13"/>
  <c r="Y46" i="13"/>
  <c r="Y47" i="13"/>
  <c r="Y48" i="13"/>
  <c r="Y49" i="13"/>
  <c r="Y50" i="13"/>
  <c r="Y51" i="13"/>
  <c r="Y147" i="13"/>
  <c r="Y148" i="13"/>
  <c r="Y149" i="13"/>
  <c r="Y150" i="13"/>
  <c r="Y151" i="13"/>
  <c r="Y152" i="13"/>
  <c r="Y153" i="13"/>
  <c r="Y154" i="13"/>
  <c r="Y155" i="13"/>
  <c r="Y156" i="13"/>
  <c r="Y157" i="13"/>
  <c r="Y158" i="13"/>
  <c r="Y159" i="13"/>
  <c r="Y160" i="13"/>
  <c r="Y161" i="13"/>
  <c r="Y162" i="13"/>
  <c r="Y163" i="13"/>
  <c r="Y164" i="13"/>
  <c r="Y165" i="13"/>
  <c r="Y166" i="13"/>
  <c r="Y167" i="13"/>
  <c r="Y168" i="13"/>
  <c r="Y169" i="13"/>
  <c r="Y170" i="13"/>
  <c r="Y171" i="13"/>
  <c r="Y172" i="13"/>
  <c r="Y173" i="13"/>
  <c r="Y174" i="13"/>
  <c r="Y175" i="13"/>
  <c r="Y176" i="13"/>
  <c r="Y177" i="13"/>
  <c r="Y178" i="13"/>
  <c r="Y179" i="13"/>
  <c r="Y180" i="13"/>
  <c r="Y181" i="13"/>
  <c r="Y182" i="13"/>
  <c r="Y183" i="13"/>
  <c r="Y184" i="13"/>
  <c r="Y185" i="13"/>
  <c r="Y186" i="13"/>
  <c r="Y187" i="13"/>
  <c r="Y188" i="13"/>
  <c r="Y189" i="13"/>
  <c r="Y190" i="13"/>
  <c r="Y191" i="13"/>
  <c r="Y192" i="13"/>
  <c r="Y193" i="13"/>
  <c r="Y194" i="13"/>
  <c r="Y195" i="13"/>
  <c r="Y196" i="13"/>
  <c r="Y197" i="13"/>
  <c r="Y198" i="13"/>
  <c r="Y199" i="13"/>
  <c r="Y200" i="13"/>
  <c r="Y201" i="13"/>
  <c r="Y202" i="13"/>
  <c r="Y203" i="13"/>
  <c r="Z3" i="13"/>
  <c r="Z4" i="13"/>
  <c r="Z5" i="13"/>
  <c r="Z6" i="13"/>
  <c r="Z7" i="13"/>
  <c r="Z8" i="13"/>
  <c r="Z9" i="13"/>
  <c r="Z10" i="13"/>
  <c r="Z11" i="13"/>
  <c r="Z12" i="13"/>
  <c r="Z13" i="13"/>
  <c r="Z14" i="13"/>
  <c r="Z15" i="13"/>
  <c r="Z16" i="13"/>
  <c r="Z17" i="13"/>
  <c r="Z18" i="13"/>
  <c r="Z19" i="13"/>
  <c r="Z20" i="13"/>
  <c r="Z21" i="13"/>
  <c r="Z22" i="13"/>
  <c r="Z23" i="13"/>
  <c r="Z24" i="13"/>
  <c r="Z25" i="13"/>
  <c r="Z26" i="13"/>
  <c r="Z27" i="13"/>
  <c r="Z28" i="13"/>
  <c r="Z29" i="13"/>
  <c r="Z30" i="13"/>
  <c r="Z31" i="13"/>
  <c r="Z32" i="13"/>
  <c r="Z33" i="13"/>
  <c r="Z34" i="13"/>
  <c r="Z35" i="13"/>
  <c r="Z36" i="13"/>
  <c r="Z37" i="13"/>
  <c r="Z38" i="13"/>
  <c r="Z39" i="13"/>
  <c r="Z40" i="13"/>
  <c r="Z41" i="13"/>
  <c r="Z42" i="13"/>
  <c r="Z43" i="13"/>
  <c r="Z44" i="13"/>
  <c r="Z45" i="13"/>
  <c r="Z46" i="13"/>
  <c r="Z47" i="13"/>
  <c r="Z48" i="13"/>
  <c r="Z49" i="13"/>
  <c r="Z50" i="13"/>
  <c r="Z51" i="13"/>
  <c r="Z147" i="13"/>
  <c r="Z148" i="13"/>
  <c r="Z149" i="13"/>
  <c r="Z150" i="13"/>
  <c r="Z151" i="13"/>
  <c r="Z152" i="13"/>
  <c r="Z153" i="13"/>
  <c r="Z154" i="13"/>
  <c r="Z155" i="13"/>
  <c r="Z156" i="13"/>
  <c r="Z157" i="13"/>
  <c r="Z158" i="13"/>
  <c r="Z159" i="13"/>
  <c r="Z160" i="13"/>
  <c r="Z161" i="13"/>
  <c r="Z162" i="13"/>
  <c r="Z163" i="13"/>
  <c r="Z164" i="13"/>
  <c r="Z165" i="13"/>
  <c r="Z166" i="13"/>
  <c r="Z167" i="13"/>
  <c r="Z168" i="13"/>
  <c r="Z169" i="13"/>
  <c r="Z170" i="13"/>
  <c r="Z171" i="13"/>
  <c r="Z172" i="13"/>
  <c r="Z173" i="13"/>
  <c r="Z174" i="13"/>
  <c r="Z175" i="13"/>
  <c r="Z176" i="13"/>
  <c r="Z177" i="13"/>
  <c r="Z178" i="13"/>
  <c r="Z179" i="13"/>
  <c r="Z180" i="13"/>
  <c r="Z181" i="13"/>
  <c r="Z182" i="13"/>
  <c r="Z183" i="13"/>
  <c r="Z184" i="13"/>
  <c r="Z185" i="13"/>
  <c r="Z186" i="13"/>
  <c r="Z187" i="13"/>
  <c r="Z188" i="13"/>
  <c r="Z189" i="13"/>
  <c r="Z190" i="13"/>
  <c r="Z191" i="13"/>
  <c r="Z192" i="13"/>
  <c r="Z193" i="13"/>
  <c r="Z194" i="13"/>
  <c r="Z195" i="13"/>
  <c r="Z196" i="13"/>
  <c r="Z197" i="13"/>
  <c r="Z198" i="13"/>
  <c r="Z199" i="13"/>
  <c r="Z200" i="13"/>
  <c r="Z201" i="13"/>
  <c r="Z202" i="13"/>
  <c r="Z203" i="13"/>
  <c r="AA3" i="13"/>
  <c r="B3" i="13" s="1"/>
  <c r="AA4" i="13"/>
  <c r="AA5" i="13"/>
  <c r="B5" i="13" s="1"/>
  <c r="AA6" i="13"/>
  <c r="B6" i="13" s="1"/>
  <c r="AA7" i="13"/>
  <c r="AA8" i="13"/>
  <c r="AA9" i="13"/>
  <c r="B10" i="13" s="1"/>
  <c r="AA10" i="13"/>
  <c r="AA11" i="13"/>
  <c r="AA12" i="13"/>
  <c r="AA13" i="13"/>
  <c r="B13" i="13" s="1"/>
  <c r="AA14" i="13"/>
  <c r="B14" i="13" s="1"/>
  <c r="AA15" i="13"/>
  <c r="AA16" i="13"/>
  <c r="B16" i="13" s="1"/>
  <c r="AA17" i="13"/>
  <c r="B17" i="13" s="1"/>
  <c r="AA18" i="13"/>
  <c r="B18" i="13" s="1"/>
  <c r="AA19" i="13"/>
  <c r="B19" i="13" s="1"/>
  <c r="AA20" i="13"/>
  <c r="AA21" i="13"/>
  <c r="B21" i="13" s="1"/>
  <c r="AA22" i="13"/>
  <c r="B22" i="13" s="1"/>
  <c r="AA23" i="13"/>
  <c r="B26" i="13" s="1"/>
  <c r="AA24" i="13"/>
  <c r="AA25" i="13"/>
  <c r="B27" i="13" s="1"/>
  <c r="AA26" i="13"/>
  <c r="AA27" i="13"/>
  <c r="AA28" i="13"/>
  <c r="AA29" i="13"/>
  <c r="B29" i="13" s="1"/>
  <c r="AA30" i="13"/>
  <c r="B30" i="13" s="1"/>
  <c r="AA31" i="13"/>
  <c r="AA32" i="13"/>
  <c r="AA33" i="13"/>
  <c r="AA34" i="13"/>
  <c r="B34" i="13" s="1"/>
  <c r="AA35" i="13"/>
  <c r="B35" i="13" s="1"/>
  <c r="AA36" i="13"/>
  <c r="AA37" i="13"/>
  <c r="B37" i="13" s="1"/>
  <c r="AA38" i="13"/>
  <c r="B38" i="13" s="1"/>
  <c r="AA39" i="13"/>
  <c r="AA40" i="13"/>
  <c r="AA41" i="13"/>
  <c r="AA42" i="13"/>
  <c r="B42" i="13" s="1"/>
  <c r="AA43" i="13"/>
  <c r="B43" i="13" s="1"/>
  <c r="AA44" i="13"/>
  <c r="B44" i="13" s="1"/>
  <c r="AA45" i="13"/>
  <c r="B45" i="13" s="1"/>
  <c r="AA46" i="13"/>
  <c r="B47" i="13" s="1"/>
  <c r="AA47" i="13"/>
  <c r="AA48" i="13"/>
  <c r="AA49" i="13"/>
  <c r="AA50" i="13"/>
  <c r="B50" i="13" s="1"/>
  <c r="AA51" i="13"/>
  <c r="B51" i="13" s="1"/>
  <c r="AA147" i="13"/>
  <c r="AA148" i="13"/>
  <c r="AA149" i="13"/>
  <c r="AA150" i="13"/>
  <c r="AA151" i="13"/>
  <c r="AA152" i="13"/>
  <c r="AA153" i="13"/>
  <c r="AA154" i="13"/>
  <c r="AA155" i="13"/>
  <c r="AA156" i="13"/>
  <c r="AA157" i="13"/>
  <c r="AA158" i="13"/>
  <c r="AA159" i="13"/>
  <c r="AA160" i="13"/>
  <c r="AA161" i="13"/>
  <c r="AA162" i="13"/>
  <c r="AA163" i="13"/>
  <c r="AA164" i="13"/>
  <c r="AA165" i="13"/>
  <c r="AA166" i="13"/>
  <c r="AA167" i="13"/>
  <c r="AA168" i="13"/>
  <c r="AA169" i="13"/>
  <c r="AA170" i="13"/>
  <c r="AA171" i="13"/>
  <c r="AA172" i="13"/>
  <c r="AA173" i="13"/>
  <c r="AA174" i="13"/>
  <c r="AA175" i="13"/>
  <c r="AA176" i="13"/>
  <c r="AA177" i="13"/>
  <c r="AA178" i="13"/>
  <c r="AA179" i="13"/>
  <c r="AA180" i="13"/>
  <c r="AA181" i="13"/>
  <c r="AA182" i="13"/>
  <c r="AA183" i="13"/>
  <c r="AA184" i="13"/>
  <c r="AA185" i="13"/>
  <c r="AA186" i="13"/>
  <c r="AA187" i="13"/>
  <c r="AA188" i="13"/>
  <c r="AA189" i="13"/>
  <c r="AA190" i="13"/>
  <c r="AA191" i="13"/>
  <c r="AA192" i="13"/>
  <c r="AA193" i="13"/>
  <c r="AA194" i="13"/>
  <c r="AA195" i="13"/>
  <c r="AA196" i="13"/>
  <c r="AA197" i="13"/>
  <c r="AA198" i="13"/>
  <c r="AA199" i="13"/>
  <c r="AA200" i="13"/>
  <c r="AA201" i="13"/>
  <c r="AA202" i="13"/>
  <c r="AA203" i="13"/>
  <c r="AB3" i="13"/>
  <c r="AB4" i="13"/>
  <c r="AB5" i="13"/>
  <c r="AB6" i="13"/>
  <c r="AB7" i="13"/>
  <c r="AB8" i="13"/>
  <c r="AB9" i="13"/>
  <c r="AB10" i="13"/>
  <c r="AB11" i="13"/>
  <c r="AB12" i="13"/>
  <c r="AB13"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147" i="13"/>
  <c r="AB148" i="13"/>
  <c r="AB149" i="13"/>
  <c r="AB150" i="13"/>
  <c r="AB151" i="13"/>
  <c r="AB152" i="13"/>
  <c r="AB153" i="13"/>
  <c r="AB154" i="13"/>
  <c r="AB155" i="13"/>
  <c r="AB156" i="13"/>
  <c r="AB157" i="13"/>
  <c r="AB158" i="13"/>
  <c r="AB159" i="13"/>
  <c r="AB160" i="13"/>
  <c r="AB161" i="13"/>
  <c r="AB162" i="13"/>
  <c r="AB163" i="13"/>
  <c r="AB164" i="13"/>
  <c r="AB165" i="13"/>
  <c r="AB166" i="13"/>
  <c r="AB167" i="13"/>
  <c r="AB168" i="13"/>
  <c r="AB169" i="13"/>
  <c r="AB170" i="13"/>
  <c r="AB171" i="13"/>
  <c r="AB172" i="13"/>
  <c r="AB173" i="13"/>
  <c r="AB174" i="13"/>
  <c r="AB175" i="13"/>
  <c r="AB176" i="13"/>
  <c r="AB177" i="13"/>
  <c r="AB178" i="13"/>
  <c r="AB179" i="13"/>
  <c r="AB180" i="13"/>
  <c r="AB181" i="13"/>
  <c r="AB182" i="13"/>
  <c r="AB183" i="13"/>
  <c r="AB184" i="13"/>
  <c r="AB185" i="13"/>
  <c r="AB186" i="13"/>
  <c r="AB187" i="13"/>
  <c r="AB188" i="13"/>
  <c r="AB189" i="13"/>
  <c r="AB190" i="13"/>
  <c r="AB191" i="13"/>
  <c r="AB192" i="13"/>
  <c r="AB193" i="13"/>
  <c r="AB194" i="13"/>
  <c r="AB195" i="13"/>
  <c r="AB196" i="13"/>
  <c r="AB197" i="13"/>
  <c r="AB198" i="13"/>
  <c r="AB199" i="13"/>
  <c r="AB200" i="13"/>
  <c r="AB201" i="13"/>
  <c r="AB202" i="13"/>
  <c r="AB203" i="13"/>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153" i="18"/>
  <c r="A154" i="18"/>
  <c r="A155" i="18"/>
  <c r="A156" i="18"/>
  <c r="A157" i="18"/>
  <c r="A158"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D632" i="2"/>
  <c r="F632" i="2"/>
  <c r="G632" i="2" s="1"/>
  <c r="O632" i="2"/>
  <c r="Q632" i="2"/>
  <c r="S632" i="2"/>
  <c r="T632" i="2"/>
  <c r="U632" i="2"/>
  <c r="V632" i="2" s="1"/>
  <c r="W632" i="2"/>
  <c r="X632" i="2"/>
  <c r="A42" i="7"/>
  <c r="A38" i="7"/>
  <c r="G36" i="23"/>
  <c r="G35" i="23"/>
  <c r="G34" i="23"/>
  <c r="G33" i="23"/>
  <c r="G32" i="23"/>
  <c r="G31" i="23"/>
  <c r="G30" i="23"/>
  <c r="G29" i="23"/>
  <c r="G28" i="23"/>
  <c r="G27" i="23"/>
  <c r="G26" i="23"/>
  <c r="G25" i="23"/>
  <c r="G24" i="23"/>
  <c r="G23" i="23"/>
  <c r="H6" i="23"/>
  <c r="H5" i="23"/>
  <c r="J46" i="13"/>
  <c r="J48" i="13"/>
  <c r="H47" i="13"/>
  <c r="G47" i="13"/>
  <c r="H49" i="13"/>
  <c r="G49" i="13"/>
  <c r="F49" i="13"/>
  <c r="H5" i="4"/>
  <c r="H39" i="22"/>
  <c r="H38" i="22"/>
  <c r="H37" i="22"/>
  <c r="H36" i="22"/>
  <c r="H35" i="22"/>
  <c r="H34" i="22"/>
  <c r="H33" i="22"/>
  <c r="H32" i="22"/>
  <c r="H31" i="22"/>
  <c r="H30" i="22"/>
  <c r="H29" i="22"/>
  <c r="H28" i="22"/>
  <c r="I6" i="22"/>
  <c r="I5" i="22"/>
  <c r="B41" i="22" s="1"/>
  <c r="R40" i="13"/>
  <c r="R39" i="13"/>
  <c r="C134" i="13" l="1"/>
  <c r="B140" i="13"/>
  <c r="X143" i="13"/>
  <c r="M139" i="13"/>
  <c r="M137" i="13"/>
  <c r="C129" i="13"/>
  <c r="M128" i="13"/>
  <c r="X119" i="13"/>
  <c r="C114" i="13"/>
  <c r="C97" i="13"/>
  <c r="M76" i="13"/>
  <c r="C89" i="13"/>
  <c r="C71" i="13"/>
  <c r="X63" i="13"/>
  <c r="M61" i="13"/>
  <c r="C58" i="13"/>
  <c r="B63" i="13"/>
  <c r="C146" i="13"/>
  <c r="C142" i="13"/>
  <c r="C118" i="13"/>
  <c r="B99" i="13"/>
  <c r="C62" i="13"/>
  <c r="C60" i="13"/>
  <c r="X140" i="13"/>
  <c r="B129" i="13"/>
  <c r="B124" i="13"/>
  <c r="C105" i="13"/>
  <c r="B101" i="13"/>
  <c r="C90" i="13"/>
  <c r="C81" i="13"/>
  <c r="X127" i="13"/>
  <c r="B103" i="13"/>
  <c r="C70" i="13"/>
  <c r="C66" i="13"/>
  <c r="M131" i="13"/>
  <c r="C130" i="13"/>
  <c r="C122" i="13"/>
  <c r="M88" i="13"/>
  <c r="B83" i="13"/>
  <c r="M75" i="13"/>
  <c r="B119" i="13"/>
  <c r="C74" i="13"/>
  <c r="C57" i="13"/>
  <c r="M53" i="13"/>
  <c r="C145" i="13"/>
  <c r="M144" i="13"/>
  <c r="C137" i="13"/>
  <c r="B115" i="13"/>
  <c r="C102" i="13"/>
  <c r="B85" i="13"/>
  <c r="M81" i="13"/>
  <c r="C78" i="13"/>
  <c r="X68" i="13"/>
  <c r="M64" i="13"/>
  <c r="C61" i="13"/>
  <c r="C59" i="13"/>
  <c r="C54" i="13"/>
  <c r="X135" i="13"/>
  <c r="M124" i="13"/>
  <c r="X122" i="13"/>
  <c r="C110" i="13"/>
  <c r="X98" i="13"/>
  <c r="C82" i="13"/>
  <c r="B143" i="13"/>
  <c r="B141" i="13"/>
  <c r="B136" i="13"/>
  <c r="B108" i="13"/>
  <c r="B92" i="13"/>
  <c r="B81" i="13"/>
  <c r="B76" i="13"/>
  <c r="B71" i="13"/>
  <c r="B66" i="13"/>
  <c r="B59" i="13"/>
  <c r="B146" i="13"/>
  <c r="B134" i="13"/>
  <c r="B132" i="13"/>
  <c r="B127" i="13"/>
  <c r="B125" i="13"/>
  <c r="B122" i="13"/>
  <c r="B120" i="13"/>
  <c r="B113" i="13"/>
  <c r="B97" i="13"/>
  <c r="B74" i="13"/>
  <c r="B69" i="13"/>
  <c r="B64" i="13"/>
  <c r="B57" i="13"/>
  <c r="B55" i="13"/>
  <c r="B130" i="13"/>
  <c r="B118" i="13"/>
  <c r="B111" i="13"/>
  <c r="B109" i="13"/>
  <c r="B95" i="13"/>
  <c r="B93" i="13"/>
  <c r="B90" i="13"/>
  <c r="B79" i="13"/>
  <c r="B77" i="13"/>
  <c r="B62" i="13"/>
  <c r="B53" i="13"/>
  <c r="B144" i="13"/>
  <c r="B116" i="13"/>
  <c r="B106" i="13"/>
  <c r="B104" i="13"/>
  <c r="B102" i="13"/>
  <c r="B100" i="13"/>
  <c r="B88" i="13"/>
  <c r="B86" i="13"/>
  <c r="B84" i="13"/>
  <c r="B82" i="13"/>
  <c r="B72" i="13"/>
  <c r="B60" i="13"/>
  <c r="B142" i="13"/>
  <c r="B128" i="13"/>
  <c r="B123" i="13"/>
  <c r="B114" i="13"/>
  <c r="B98" i="13"/>
  <c r="B70" i="13"/>
  <c r="B67" i="13"/>
  <c r="B65" i="13"/>
  <c r="B58" i="13"/>
  <c r="B139" i="13"/>
  <c r="B137" i="13"/>
  <c r="B135" i="13"/>
  <c r="B133" i="13"/>
  <c r="B126" i="13"/>
  <c r="B121" i="13"/>
  <c r="B80" i="13"/>
  <c r="B75" i="13"/>
  <c r="B56" i="13"/>
  <c r="B54" i="13"/>
  <c r="B131" i="13"/>
  <c r="B117" i="13"/>
  <c r="B112" i="13"/>
  <c r="B110" i="13"/>
  <c r="B107" i="13"/>
  <c r="B96" i="13"/>
  <c r="B94" i="13"/>
  <c r="B91" i="13"/>
  <c r="B89" i="13"/>
  <c r="B78" i="13"/>
  <c r="B73" i="13"/>
  <c r="B68" i="13"/>
  <c r="C143" i="13"/>
  <c r="C131" i="13"/>
  <c r="C121" i="13"/>
  <c r="C116" i="13"/>
  <c r="C106" i="13"/>
  <c r="C101" i="13"/>
  <c r="C94" i="13"/>
  <c r="C88" i="13"/>
  <c r="C79" i="13"/>
  <c r="X146" i="13"/>
  <c r="C141" i="13"/>
  <c r="M136" i="13"/>
  <c r="C128" i="13"/>
  <c r="M121" i="13"/>
  <c r="C119" i="13"/>
  <c r="M115" i="13"/>
  <c r="C107" i="13"/>
  <c r="X103" i="13"/>
  <c r="M100" i="13"/>
  <c r="C92" i="13"/>
  <c r="X82" i="13"/>
  <c r="C77" i="13"/>
  <c r="C67" i="13"/>
  <c r="C64" i="13"/>
  <c r="X55" i="13"/>
  <c r="C53" i="13"/>
  <c r="C132" i="13"/>
  <c r="C117" i="13"/>
  <c r="C104" i="13"/>
  <c r="C95" i="13"/>
  <c r="C83" i="13"/>
  <c r="C73" i="13"/>
  <c r="C144" i="13"/>
  <c r="C135" i="13"/>
  <c r="X132" i="13"/>
  <c r="C123" i="13"/>
  <c r="C113" i="13"/>
  <c r="C108" i="13"/>
  <c r="C98" i="13"/>
  <c r="C93" i="13"/>
  <c r="C86" i="13"/>
  <c r="X83" i="13"/>
  <c r="C80" i="13"/>
  <c r="C68" i="13"/>
  <c r="X138" i="13"/>
  <c r="C138" i="13"/>
  <c r="C133" i="13"/>
  <c r="C126" i="13"/>
  <c r="C120" i="13"/>
  <c r="C111" i="13"/>
  <c r="C99" i="13"/>
  <c r="X95" i="13"/>
  <c r="C84" i="13"/>
  <c r="X74" i="13"/>
  <c r="C139" i="13"/>
  <c r="C124" i="13"/>
  <c r="C109" i="13"/>
  <c r="M104" i="13"/>
  <c r="X99" i="13"/>
  <c r="C96" i="13"/>
  <c r="M89" i="13"/>
  <c r="C87" i="13"/>
  <c r="X84" i="13"/>
  <c r="C75" i="13"/>
  <c r="C65" i="13"/>
  <c r="C136" i="13"/>
  <c r="C127" i="13"/>
  <c r="C115" i="13"/>
  <c r="X111" i="13"/>
  <c r="C100" i="13"/>
  <c r="X90" i="13"/>
  <c r="C85" i="13"/>
  <c r="C72" i="13"/>
  <c r="M65" i="13"/>
  <c r="C63" i="13"/>
  <c r="C140" i="13"/>
  <c r="X130" i="13"/>
  <c r="C125" i="13"/>
  <c r="M120" i="13"/>
  <c r="C112" i="13"/>
  <c r="M105" i="13"/>
  <c r="C103" i="13"/>
  <c r="C91" i="13"/>
  <c r="X87" i="13"/>
  <c r="C76" i="13"/>
  <c r="X60" i="13"/>
  <c r="C55" i="13"/>
  <c r="M133" i="13"/>
  <c r="M125" i="13"/>
  <c r="M101" i="13"/>
  <c r="M85" i="13"/>
  <c r="M77" i="13"/>
  <c r="B48" i="13"/>
  <c r="B40" i="13"/>
  <c r="B32" i="13"/>
  <c r="B24" i="13"/>
  <c r="B8" i="13"/>
  <c r="M142" i="13"/>
  <c r="M134" i="13"/>
  <c r="M126" i="13"/>
  <c r="M118" i="13"/>
  <c r="M110" i="13"/>
  <c r="M102" i="13"/>
  <c r="M94" i="13"/>
  <c r="M86" i="13"/>
  <c r="M78" i="13"/>
  <c r="M70" i="13"/>
  <c r="M62" i="13"/>
  <c r="X56" i="13"/>
  <c r="M54" i="13"/>
  <c r="B46" i="13"/>
  <c r="B49" i="13"/>
  <c r="B41" i="13"/>
  <c r="B33" i="13"/>
  <c r="B25" i="13"/>
  <c r="B9" i="13"/>
  <c r="M141" i="13"/>
  <c r="M117" i="13"/>
  <c r="M109" i="13"/>
  <c r="M93" i="13"/>
  <c r="B39" i="13"/>
  <c r="B31" i="13"/>
  <c r="B23" i="13"/>
  <c r="B15" i="13"/>
  <c r="B7" i="13"/>
  <c r="X66" i="13"/>
  <c r="X58" i="13"/>
  <c r="B36" i="13"/>
  <c r="B28" i="13"/>
  <c r="B20" i="13"/>
  <c r="B12" i="13"/>
  <c r="B4" i="13"/>
  <c r="X52" i="13"/>
  <c r="B11" i="13"/>
  <c r="R28" i="13"/>
  <c r="R27" i="13"/>
  <c r="R26" i="13"/>
  <c r="R25" i="13"/>
  <c r="R23" i="13" l="1"/>
  <c r="E18" i="14" a="1"/>
  <c r="E18" i="14" s="1"/>
  <c r="E19" i="14" a="1"/>
  <c r="E19" i="14" s="1"/>
  <c r="E20" i="14" a="1"/>
  <c r="E20" i="14" s="1"/>
  <c r="E21" i="14" a="1"/>
  <c r="E21" i="14" s="1"/>
  <c r="E22" i="14" a="1"/>
  <c r="E22" i="14" s="1"/>
  <c r="E23" i="14" a="1"/>
  <c r="E23" i="14" s="1"/>
  <c r="E24" i="14" a="1"/>
  <c r="E24" i="14" s="1"/>
  <c r="E25" i="14" a="1"/>
  <c r="E25" i="14" s="1"/>
  <c r="E26" i="14" a="1"/>
  <c r="E26" i="14" s="1"/>
  <c r="E27" i="14" a="1"/>
  <c r="E27" i="14" s="1"/>
  <c r="E28" i="14" a="1"/>
  <c r="E28" i="14" s="1"/>
  <c r="E29" i="14" a="1"/>
  <c r="E29" i="14" s="1"/>
  <c r="E30" i="14" a="1"/>
  <c r="E30" i="14" s="1"/>
  <c r="E31" i="14" a="1"/>
  <c r="E31" i="14" s="1"/>
  <c r="E32" i="14" a="1"/>
  <c r="E32" i="14" s="1"/>
  <c r="E33" i="14" a="1"/>
  <c r="E33" i="14" s="1"/>
  <c r="E34" i="14" a="1"/>
  <c r="E34" i="14" s="1"/>
  <c r="G1128" i="2" l="1"/>
  <c r="D1128" i="2" s="1"/>
  <c r="G1127" i="2"/>
  <c r="D1127" i="2" s="1"/>
  <c r="G1126" i="2"/>
  <c r="D1126" i="2" s="1"/>
  <c r="G1125" i="2"/>
  <c r="D1125" i="2" s="1"/>
  <c r="G1124" i="2"/>
  <c r="D1124" i="2" s="1"/>
  <c r="G1123" i="2"/>
  <c r="D1123" i="2" s="1"/>
  <c r="G1122" i="2"/>
  <c r="D1122" i="2" s="1"/>
  <c r="G1121" i="2"/>
  <c r="D1121" i="2" s="1"/>
  <c r="G1120" i="2"/>
  <c r="D1120" i="2" s="1"/>
  <c r="G1119" i="2"/>
  <c r="D1119" i="2" s="1"/>
  <c r="G1118" i="2"/>
  <c r="D1118" i="2" s="1"/>
  <c r="G1117" i="2"/>
  <c r="D1117" i="2" s="1"/>
  <c r="G1116" i="2"/>
  <c r="D1116" i="2" s="1"/>
  <c r="G1115" i="2"/>
  <c r="D1115" i="2" s="1"/>
  <c r="G1114" i="2"/>
  <c r="D1114" i="2" s="1"/>
  <c r="G1113" i="2"/>
  <c r="D1113" i="2" s="1"/>
  <c r="G1112" i="2"/>
  <c r="D1112" i="2" s="1"/>
  <c r="G1111" i="2"/>
  <c r="D1111" i="2" s="1"/>
  <c r="G1110" i="2"/>
  <c r="D1110" i="2" s="1"/>
  <c r="G1109" i="2"/>
  <c r="D1109" i="2" s="1"/>
  <c r="G1108" i="2"/>
  <c r="D1108" i="2" s="1"/>
  <c r="G1107" i="2"/>
  <c r="D1107" i="2" s="1"/>
  <c r="G1106" i="2"/>
  <c r="D1106" i="2" s="1"/>
  <c r="G1105" i="2"/>
  <c r="D1105" i="2" s="1"/>
  <c r="G1104" i="2"/>
  <c r="D1104" i="2" s="1"/>
  <c r="G1103" i="2"/>
  <c r="D1103" i="2" s="1"/>
  <c r="G1102" i="2"/>
  <c r="D1102" i="2" s="1"/>
  <c r="G1101" i="2"/>
  <c r="D1101" i="2" s="1"/>
  <c r="G1100" i="2"/>
  <c r="D1100" i="2" s="1"/>
  <c r="G1099" i="2"/>
  <c r="D1099" i="2" s="1"/>
  <c r="G1098" i="2"/>
  <c r="D1098" i="2" s="1"/>
  <c r="G1097" i="2"/>
  <c r="D1097" i="2" s="1"/>
  <c r="G1096" i="2"/>
  <c r="D1096" i="2" s="1"/>
  <c r="G1095" i="2"/>
  <c r="D1095" i="2" s="1"/>
  <c r="G1094" i="2"/>
  <c r="D1094" i="2" s="1"/>
  <c r="G1093" i="2"/>
  <c r="D1093" i="2" s="1"/>
  <c r="G1092" i="2"/>
  <c r="D1092" i="2" s="1"/>
  <c r="G1091" i="2"/>
  <c r="D1091" i="2" s="1"/>
  <c r="G1090" i="2"/>
  <c r="D1090" i="2" s="1"/>
  <c r="G1089" i="2"/>
  <c r="D1089" i="2" s="1"/>
  <c r="G1088" i="2"/>
  <c r="D1088" i="2" s="1"/>
  <c r="G1087" i="2"/>
  <c r="D1087" i="2" s="1"/>
  <c r="G1086" i="2"/>
  <c r="D1086" i="2" s="1"/>
  <c r="G1085" i="2"/>
  <c r="D1085" i="2" s="1"/>
  <c r="G1084" i="2"/>
  <c r="D1084" i="2" s="1"/>
  <c r="G1083" i="2"/>
  <c r="D1083" i="2" s="1"/>
  <c r="G1082" i="2"/>
  <c r="D1082" i="2" s="1"/>
  <c r="G1081" i="2"/>
  <c r="D1081" i="2" s="1"/>
  <c r="G1080" i="2"/>
  <c r="D1080" i="2" s="1"/>
  <c r="G1079" i="2"/>
  <c r="D1079" i="2" s="1"/>
  <c r="G1078" i="2"/>
  <c r="D1078" i="2" s="1"/>
  <c r="G1077" i="2"/>
  <c r="D1077" i="2" s="1"/>
  <c r="G1076" i="2"/>
  <c r="D1076" i="2" s="1"/>
  <c r="G1075" i="2"/>
  <c r="D1075" i="2" s="1"/>
  <c r="G1074" i="2"/>
  <c r="D1074" i="2" s="1"/>
  <c r="G1073" i="2"/>
  <c r="D1073" i="2" s="1"/>
  <c r="G1072" i="2"/>
  <c r="D1072" i="2" s="1"/>
  <c r="G1071" i="2"/>
  <c r="D1071" i="2" s="1"/>
  <c r="G1070" i="2"/>
  <c r="D1070" i="2" s="1"/>
  <c r="G1069" i="2"/>
  <c r="D1069" i="2" s="1"/>
  <c r="G1068" i="2"/>
  <c r="D1068" i="2" s="1"/>
  <c r="G1067" i="2"/>
  <c r="D1067" i="2" s="1"/>
  <c r="G1066" i="2"/>
  <c r="D1066" i="2" s="1"/>
  <c r="G1065" i="2"/>
  <c r="D1065" i="2" s="1"/>
  <c r="G1064" i="2"/>
  <c r="D1064" i="2" s="1"/>
  <c r="G1063" i="2"/>
  <c r="D1063" i="2" s="1"/>
  <c r="G1062" i="2"/>
  <c r="D1062" i="2" s="1"/>
  <c r="G1061" i="2"/>
  <c r="D1061" i="2" s="1"/>
  <c r="G1060" i="2"/>
  <c r="D1060" i="2" s="1"/>
  <c r="G1059" i="2"/>
  <c r="D1059" i="2" s="1"/>
  <c r="G1058" i="2"/>
  <c r="D1058" i="2" s="1"/>
  <c r="G1057" i="2"/>
  <c r="D1057" i="2" s="1"/>
  <c r="G1056" i="2"/>
  <c r="D1056" i="2" s="1"/>
  <c r="G1055" i="2"/>
  <c r="D1055" i="2" s="1"/>
  <c r="G1054" i="2"/>
  <c r="D1054" i="2" s="1"/>
  <c r="G1053" i="2"/>
  <c r="D1053" i="2" s="1"/>
  <c r="G1052" i="2"/>
  <c r="D1052" i="2" s="1"/>
  <c r="G1051" i="2"/>
  <c r="D1051" i="2" s="1"/>
  <c r="G1050" i="2"/>
  <c r="D1050" i="2" s="1"/>
  <c r="G1049" i="2"/>
  <c r="D1049" i="2" s="1"/>
  <c r="G1048" i="2"/>
  <c r="D1048" i="2" s="1"/>
  <c r="G1047" i="2"/>
  <c r="D1047" i="2" s="1"/>
  <c r="G1046" i="2"/>
  <c r="D1046" i="2" s="1"/>
  <c r="G1045" i="2"/>
  <c r="D1045" i="2" s="1"/>
  <c r="G1044" i="2"/>
  <c r="D1044" i="2" s="1"/>
  <c r="G1043" i="2"/>
  <c r="D1043" i="2" s="1"/>
  <c r="G1042" i="2"/>
  <c r="D1042" i="2" s="1"/>
  <c r="G1041" i="2"/>
  <c r="D1041" i="2" s="1"/>
  <c r="G1040" i="2"/>
  <c r="D1040" i="2" s="1"/>
  <c r="G1039" i="2"/>
  <c r="D1039" i="2" s="1"/>
  <c r="G1038" i="2"/>
  <c r="D1038" i="2" s="1"/>
  <c r="G1037" i="2"/>
  <c r="D1037" i="2" s="1"/>
  <c r="G1036" i="2"/>
  <c r="D1036" i="2" s="1"/>
  <c r="G1035" i="2"/>
  <c r="D1035" i="2" s="1"/>
  <c r="G1034" i="2"/>
  <c r="D1034" i="2" s="1"/>
  <c r="G1033" i="2"/>
  <c r="D1033" i="2" s="1"/>
  <c r="G1032" i="2"/>
  <c r="D1032" i="2" s="1"/>
  <c r="G1031" i="2"/>
  <c r="D1031" i="2" s="1"/>
  <c r="G1030" i="2"/>
  <c r="D1030" i="2" s="1"/>
  <c r="G1029" i="2"/>
  <c r="D1029" i="2" s="1"/>
  <c r="G1028" i="2"/>
  <c r="D1028" i="2" s="1"/>
  <c r="G1027" i="2"/>
  <c r="D1027" i="2" s="1"/>
  <c r="G1026" i="2"/>
  <c r="D1026" i="2" s="1"/>
  <c r="G1025" i="2"/>
  <c r="D1025" i="2" s="1"/>
  <c r="G1024" i="2"/>
  <c r="D1024" i="2" s="1"/>
  <c r="G1023" i="2"/>
  <c r="D1023" i="2" s="1"/>
  <c r="G1022" i="2"/>
  <c r="D1022" i="2" s="1"/>
  <c r="G1021" i="2"/>
  <c r="D1021" i="2" s="1"/>
  <c r="G1020" i="2"/>
  <c r="D1020" i="2" s="1"/>
  <c r="G1019" i="2"/>
  <c r="D1019" i="2" s="1"/>
  <c r="G1018" i="2"/>
  <c r="D1018" i="2" s="1"/>
  <c r="G1017" i="2"/>
  <c r="D1017" i="2" s="1"/>
  <c r="G1016" i="2"/>
  <c r="D1016" i="2" s="1"/>
  <c r="G1015" i="2"/>
  <c r="D1015" i="2" s="1"/>
  <c r="G1014" i="2"/>
  <c r="D1014" i="2" s="1"/>
  <c r="G1013" i="2"/>
  <c r="D1013" i="2" s="1"/>
  <c r="G1012" i="2"/>
  <c r="D1012" i="2" s="1"/>
  <c r="G1011" i="2"/>
  <c r="D1011" i="2" s="1"/>
  <c r="G1010" i="2"/>
  <c r="D1010" i="2" s="1"/>
  <c r="G1009" i="2"/>
  <c r="D1009" i="2" s="1"/>
  <c r="G1008" i="2"/>
  <c r="D1008" i="2" s="1"/>
  <c r="G1007" i="2"/>
  <c r="D1007" i="2" s="1"/>
  <c r="G1006" i="2"/>
  <c r="D1006" i="2" s="1"/>
  <c r="G1005" i="2"/>
  <c r="D1005" i="2" s="1"/>
  <c r="G1004" i="2"/>
  <c r="D1004" i="2" s="1"/>
  <c r="G1003" i="2"/>
  <c r="D1003" i="2" s="1"/>
  <c r="G1002" i="2"/>
  <c r="D1002" i="2" s="1"/>
  <c r="G1001" i="2"/>
  <c r="D1001" i="2" s="1"/>
  <c r="G1000" i="2"/>
  <c r="D1000" i="2" s="1"/>
  <c r="G999" i="2"/>
  <c r="D999" i="2" s="1"/>
  <c r="G998" i="2"/>
  <c r="D998" i="2" s="1"/>
  <c r="G997" i="2"/>
  <c r="D997" i="2" s="1"/>
  <c r="G996" i="2"/>
  <c r="D996" i="2" s="1"/>
  <c r="G995" i="2"/>
  <c r="D995" i="2" s="1"/>
  <c r="G994" i="2"/>
  <c r="D994" i="2" s="1"/>
  <c r="G993" i="2"/>
  <c r="D993" i="2" s="1"/>
  <c r="G992" i="2"/>
  <c r="D992" i="2" s="1"/>
  <c r="G991" i="2"/>
  <c r="D991" i="2" s="1"/>
  <c r="G990" i="2"/>
  <c r="D990" i="2" s="1"/>
  <c r="G989" i="2"/>
  <c r="D989" i="2" s="1"/>
  <c r="G988" i="2"/>
  <c r="D988" i="2" s="1"/>
  <c r="G987" i="2"/>
  <c r="D987" i="2" s="1"/>
  <c r="G986" i="2"/>
  <c r="D986" i="2" s="1"/>
  <c r="G985" i="2"/>
  <c r="D985" i="2" s="1"/>
  <c r="G984" i="2"/>
  <c r="D984" i="2" s="1"/>
  <c r="G983" i="2"/>
  <c r="D983" i="2" s="1"/>
  <c r="G982" i="2"/>
  <c r="D982" i="2" s="1"/>
  <c r="G981" i="2"/>
  <c r="D981" i="2" s="1"/>
  <c r="G980" i="2"/>
  <c r="D980" i="2" s="1"/>
  <c r="G979" i="2"/>
  <c r="D979" i="2" s="1"/>
  <c r="G978" i="2"/>
  <c r="D978" i="2" s="1"/>
  <c r="G977" i="2"/>
  <c r="D977" i="2" s="1"/>
  <c r="G976" i="2"/>
  <c r="D976" i="2" s="1"/>
  <c r="G975" i="2"/>
  <c r="D975" i="2" s="1"/>
  <c r="G974" i="2"/>
  <c r="D974" i="2" s="1"/>
  <c r="G973" i="2"/>
  <c r="D973" i="2" s="1"/>
  <c r="G972" i="2"/>
  <c r="D972" i="2" s="1"/>
  <c r="G971" i="2"/>
  <c r="D971" i="2" s="1"/>
  <c r="G970" i="2"/>
  <c r="D970" i="2" s="1"/>
  <c r="G969" i="2"/>
  <c r="D969" i="2" s="1"/>
  <c r="G968" i="2"/>
  <c r="D968" i="2" s="1"/>
  <c r="G967" i="2"/>
  <c r="D967" i="2" s="1"/>
  <c r="G966" i="2"/>
  <c r="D966" i="2" s="1"/>
  <c r="G965" i="2"/>
  <c r="D965" i="2" s="1"/>
  <c r="G964" i="2"/>
  <c r="D964" i="2" s="1"/>
  <c r="G963" i="2"/>
  <c r="D963" i="2" s="1"/>
  <c r="G962" i="2"/>
  <c r="D962" i="2" s="1"/>
  <c r="G961" i="2"/>
  <c r="D961" i="2" s="1"/>
  <c r="G960" i="2"/>
  <c r="D960" i="2" s="1"/>
  <c r="G959" i="2"/>
  <c r="D959" i="2" s="1"/>
  <c r="G958" i="2"/>
  <c r="D958" i="2" s="1"/>
  <c r="G957" i="2"/>
  <c r="D957" i="2" s="1"/>
  <c r="G956" i="2"/>
  <c r="D956" i="2" s="1"/>
  <c r="G955" i="2"/>
  <c r="D955" i="2" s="1"/>
  <c r="G954" i="2"/>
  <c r="D954" i="2" s="1"/>
  <c r="G953" i="2"/>
  <c r="D953" i="2" s="1"/>
  <c r="G952" i="2"/>
  <c r="D952" i="2" s="1"/>
  <c r="G951" i="2"/>
  <c r="D951" i="2" s="1"/>
  <c r="G950" i="2"/>
  <c r="D950" i="2" s="1"/>
  <c r="G949" i="2"/>
  <c r="D949" i="2" s="1"/>
  <c r="G948" i="2"/>
  <c r="D948" i="2" s="1"/>
  <c r="G947" i="2"/>
  <c r="D947" i="2" s="1"/>
  <c r="G946" i="2"/>
  <c r="D946" i="2" s="1"/>
  <c r="G945" i="2"/>
  <c r="D945" i="2" s="1"/>
  <c r="G944" i="2"/>
  <c r="D944" i="2" s="1"/>
  <c r="G943" i="2"/>
  <c r="D943" i="2" s="1"/>
  <c r="G942" i="2"/>
  <c r="D942" i="2" s="1"/>
  <c r="G941" i="2"/>
  <c r="D941" i="2" s="1"/>
  <c r="G940" i="2"/>
  <c r="D940" i="2" s="1"/>
  <c r="G939" i="2"/>
  <c r="D939" i="2" s="1"/>
  <c r="G938" i="2"/>
  <c r="D938" i="2" s="1"/>
  <c r="G937" i="2"/>
  <c r="D937" i="2" s="1"/>
  <c r="G936" i="2"/>
  <c r="D936" i="2" s="1"/>
  <c r="G935" i="2"/>
  <c r="D935" i="2" s="1"/>
  <c r="G934" i="2"/>
  <c r="D934" i="2" s="1"/>
  <c r="G933" i="2"/>
  <c r="D933" i="2" s="1"/>
  <c r="G932" i="2"/>
  <c r="D932" i="2" s="1"/>
  <c r="G931" i="2"/>
  <c r="D931" i="2" s="1"/>
  <c r="G930" i="2"/>
  <c r="D930" i="2" s="1"/>
  <c r="G929" i="2"/>
  <c r="D929" i="2" s="1"/>
  <c r="G928" i="2"/>
  <c r="D928" i="2" s="1"/>
  <c r="G927" i="2"/>
  <c r="D927" i="2" s="1"/>
  <c r="G926" i="2"/>
  <c r="D926" i="2" s="1"/>
  <c r="G925" i="2"/>
  <c r="D925" i="2" s="1"/>
  <c r="G924" i="2"/>
  <c r="D924" i="2" s="1"/>
  <c r="G923" i="2"/>
  <c r="D923" i="2" s="1"/>
  <c r="G922" i="2"/>
  <c r="D922" i="2" s="1"/>
  <c r="G921" i="2"/>
  <c r="D921" i="2" s="1"/>
  <c r="G920" i="2"/>
  <c r="D920" i="2" s="1"/>
  <c r="G919" i="2"/>
  <c r="D919" i="2" s="1"/>
  <c r="G918" i="2"/>
  <c r="D918" i="2" s="1"/>
  <c r="G917" i="2"/>
  <c r="D917" i="2" s="1"/>
  <c r="G916" i="2"/>
  <c r="D916" i="2" s="1"/>
  <c r="G915" i="2"/>
  <c r="D915" i="2" s="1"/>
  <c r="G914" i="2"/>
  <c r="D914" i="2" s="1"/>
  <c r="G913" i="2"/>
  <c r="D913" i="2" s="1"/>
  <c r="G912" i="2"/>
  <c r="D912" i="2" s="1"/>
  <c r="G911" i="2"/>
  <c r="D911" i="2" s="1"/>
  <c r="G910" i="2"/>
  <c r="D910" i="2" s="1"/>
  <c r="G909" i="2"/>
  <c r="D909" i="2" s="1"/>
  <c r="G908" i="2"/>
  <c r="D908" i="2" s="1"/>
  <c r="G907" i="2"/>
  <c r="D907" i="2" s="1"/>
  <c r="G906" i="2"/>
  <c r="D906" i="2" s="1"/>
  <c r="G905" i="2"/>
  <c r="D905" i="2" s="1"/>
  <c r="G904" i="2"/>
  <c r="D904" i="2" s="1"/>
  <c r="G903" i="2"/>
  <c r="D903" i="2" s="1"/>
  <c r="G902" i="2"/>
  <c r="D902" i="2" s="1"/>
  <c r="G901" i="2"/>
  <c r="D901" i="2" s="1"/>
  <c r="G900" i="2"/>
  <c r="D900" i="2" s="1"/>
  <c r="G899" i="2"/>
  <c r="D899" i="2" s="1"/>
  <c r="G898" i="2"/>
  <c r="D898" i="2" s="1"/>
  <c r="G897" i="2"/>
  <c r="D897" i="2" s="1"/>
  <c r="G896" i="2"/>
  <c r="D896" i="2" s="1"/>
  <c r="G895" i="2"/>
  <c r="D895" i="2" s="1"/>
  <c r="G894" i="2"/>
  <c r="D894" i="2" s="1"/>
  <c r="G893" i="2"/>
  <c r="D893" i="2" s="1"/>
  <c r="G892" i="2"/>
  <c r="D892" i="2" s="1"/>
  <c r="G891" i="2"/>
  <c r="D891" i="2" s="1"/>
  <c r="G890" i="2"/>
  <c r="D890" i="2" s="1"/>
  <c r="G889" i="2"/>
  <c r="D889" i="2" s="1"/>
  <c r="G888" i="2"/>
  <c r="D888" i="2" s="1"/>
  <c r="G887" i="2"/>
  <c r="D887" i="2" s="1"/>
  <c r="G886" i="2"/>
  <c r="D886" i="2" s="1"/>
  <c r="G885" i="2"/>
  <c r="D885" i="2" s="1"/>
  <c r="G884" i="2"/>
  <c r="D884" i="2" s="1"/>
  <c r="G883" i="2"/>
  <c r="D883" i="2" s="1"/>
  <c r="G882" i="2"/>
  <c r="D882" i="2" s="1"/>
  <c r="G881" i="2"/>
  <c r="D881" i="2" s="1"/>
  <c r="G880" i="2"/>
  <c r="D880" i="2" s="1"/>
  <c r="G879" i="2"/>
  <c r="D879" i="2" s="1"/>
  <c r="G878" i="2"/>
  <c r="D878" i="2" s="1"/>
  <c r="G877" i="2"/>
  <c r="D877" i="2" s="1"/>
  <c r="G876" i="2"/>
  <c r="D876" i="2" s="1"/>
  <c r="G875" i="2"/>
  <c r="D875" i="2" s="1"/>
  <c r="G874" i="2"/>
  <c r="D874" i="2" s="1"/>
  <c r="G873" i="2"/>
  <c r="D873" i="2" s="1"/>
  <c r="G872" i="2"/>
  <c r="D872" i="2" s="1"/>
  <c r="G871" i="2"/>
  <c r="D871" i="2" s="1"/>
  <c r="G870" i="2"/>
  <c r="D870" i="2" s="1"/>
  <c r="G869" i="2"/>
  <c r="D869" i="2" s="1"/>
  <c r="G868" i="2"/>
  <c r="D868" i="2" s="1"/>
  <c r="G867" i="2"/>
  <c r="D867" i="2" s="1"/>
  <c r="G866" i="2"/>
  <c r="D866" i="2" s="1"/>
  <c r="G865" i="2"/>
  <c r="D865" i="2" s="1"/>
  <c r="G864" i="2"/>
  <c r="D864" i="2" s="1"/>
  <c r="G863" i="2"/>
  <c r="D863" i="2" s="1"/>
  <c r="G862" i="2"/>
  <c r="D862" i="2" s="1"/>
  <c r="G861" i="2"/>
  <c r="D861" i="2" s="1"/>
  <c r="G860" i="2"/>
  <c r="D860" i="2" s="1"/>
  <c r="G859" i="2"/>
  <c r="D859" i="2" s="1"/>
  <c r="G858" i="2"/>
  <c r="D858" i="2" s="1"/>
  <c r="G857" i="2"/>
  <c r="D857" i="2" s="1"/>
  <c r="G856" i="2"/>
  <c r="D856" i="2" s="1"/>
  <c r="G855" i="2"/>
  <c r="D855" i="2" s="1"/>
  <c r="G854" i="2"/>
  <c r="D854" i="2" s="1"/>
  <c r="G853" i="2"/>
  <c r="D853" i="2" s="1"/>
  <c r="G852" i="2"/>
  <c r="D852" i="2" s="1"/>
  <c r="G851" i="2"/>
  <c r="D851" i="2" s="1"/>
  <c r="G850" i="2"/>
  <c r="D850" i="2" s="1"/>
  <c r="G849" i="2"/>
  <c r="D849" i="2" s="1"/>
  <c r="G848" i="2"/>
  <c r="D848" i="2" s="1"/>
  <c r="G847" i="2"/>
  <c r="D847" i="2" s="1"/>
  <c r="G846" i="2"/>
  <c r="D846" i="2" s="1"/>
  <c r="G845" i="2"/>
  <c r="D845" i="2" s="1"/>
  <c r="G844" i="2"/>
  <c r="D844" i="2" s="1"/>
  <c r="G843" i="2"/>
  <c r="D843" i="2" s="1"/>
  <c r="G842" i="2"/>
  <c r="D842" i="2" s="1"/>
  <c r="G841" i="2"/>
  <c r="D841" i="2" s="1"/>
  <c r="G840" i="2"/>
  <c r="D840" i="2" s="1"/>
  <c r="G839" i="2"/>
  <c r="D839" i="2" s="1"/>
  <c r="G838" i="2"/>
  <c r="D838" i="2" s="1"/>
  <c r="G837" i="2"/>
  <c r="D837" i="2" s="1"/>
  <c r="G836" i="2"/>
  <c r="D836" i="2" s="1"/>
  <c r="G835" i="2"/>
  <c r="D835" i="2" s="1"/>
  <c r="G834" i="2"/>
  <c r="D834" i="2" s="1"/>
  <c r="G833" i="2"/>
  <c r="D833" i="2" s="1"/>
  <c r="G832" i="2"/>
  <c r="D832" i="2" s="1"/>
  <c r="G831" i="2"/>
  <c r="D831" i="2" s="1"/>
  <c r="G830" i="2"/>
  <c r="D830" i="2" s="1"/>
  <c r="G829" i="2"/>
  <c r="D829" i="2" s="1"/>
  <c r="G828" i="2"/>
  <c r="D828" i="2" s="1"/>
  <c r="G827" i="2"/>
  <c r="D827" i="2" s="1"/>
  <c r="G826" i="2"/>
  <c r="D826" i="2" s="1"/>
  <c r="G825" i="2"/>
  <c r="D825" i="2" s="1"/>
  <c r="G824" i="2"/>
  <c r="D824" i="2" s="1"/>
  <c r="G823" i="2"/>
  <c r="D823" i="2" s="1"/>
  <c r="G822" i="2"/>
  <c r="D822" i="2" s="1"/>
  <c r="G821" i="2"/>
  <c r="D821" i="2" s="1"/>
  <c r="G820" i="2"/>
  <c r="D820" i="2" s="1"/>
  <c r="G819" i="2"/>
  <c r="D819" i="2" s="1"/>
  <c r="G818" i="2"/>
  <c r="D818" i="2" s="1"/>
  <c r="G817" i="2"/>
  <c r="D817" i="2" s="1"/>
  <c r="G816" i="2"/>
  <c r="D816" i="2" s="1"/>
  <c r="G815" i="2"/>
  <c r="D815" i="2" s="1"/>
  <c r="G814" i="2"/>
  <c r="D814" i="2" s="1"/>
  <c r="G813" i="2"/>
  <c r="D813" i="2" s="1"/>
  <c r="G812" i="2"/>
  <c r="D812" i="2" s="1"/>
  <c r="G811" i="2"/>
  <c r="D811" i="2" s="1"/>
  <c r="G810" i="2"/>
  <c r="D810" i="2" s="1"/>
  <c r="G809" i="2"/>
  <c r="D809" i="2" s="1"/>
  <c r="G808" i="2"/>
  <c r="D808" i="2" s="1"/>
  <c r="G807" i="2"/>
  <c r="D807" i="2" s="1"/>
  <c r="G806" i="2"/>
  <c r="D806" i="2" s="1"/>
  <c r="G805" i="2"/>
  <c r="D805" i="2" s="1"/>
  <c r="G804" i="2"/>
  <c r="D804" i="2" s="1"/>
  <c r="G803" i="2"/>
  <c r="D803" i="2" s="1"/>
  <c r="G802" i="2"/>
  <c r="D802" i="2" s="1"/>
  <c r="G801" i="2"/>
  <c r="D801" i="2" s="1"/>
  <c r="G800" i="2"/>
  <c r="D800" i="2" s="1"/>
  <c r="G799" i="2"/>
  <c r="D799" i="2" s="1"/>
  <c r="G798" i="2"/>
  <c r="D798" i="2" s="1"/>
  <c r="G797" i="2"/>
  <c r="D797" i="2" s="1"/>
  <c r="G796" i="2"/>
  <c r="D796" i="2" s="1"/>
  <c r="G795" i="2"/>
  <c r="D795" i="2" s="1"/>
  <c r="G794" i="2"/>
  <c r="D794" i="2" s="1"/>
  <c r="G793" i="2"/>
  <c r="D793" i="2" s="1"/>
  <c r="G792" i="2"/>
  <c r="D792" i="2" s="1"/>
  <c r="G791" i="2"/>
  <c r="D791" i="2" s="1"/>
  <c r="G790" i="2"/>
  <c r="D790" i="2" s="1"/>
  <c r="G789" i="2"/>
  <c r="D789" i="2" s="1"/>
  <c r="G788" i="2"/>
  <c r="D788" i="2" s="1"/>
  <c r="G787" i="2"/>
  <c r="D787" i="2" s="1"/>
  <c r="G786" i="2"/>
  <c r="D786" i="2" s="1"/>
  <c r="G785" i="2"/>
  <c r="D785" i="2" s="1"/>
  <c r="G784" i="2"/>
  <c r="D784" i="2" s="1"/>
  <c r="G783" i="2"/>
  <c r="D783" i="2" s="1"/>
  <c r="G782" i="2"/>
  <c r="D782" i="2" s="1"/>
  <c r="G781" i="2"/>
  <c r="D781" i="2" s="1"/>
  <c r="G780" i="2"/>
  <c r="D780" i="2" s="1"/>
  <c r="G779" i="2"/>
  <c r="D779" i="2" s="1"/>
  <c r="G778" i="2"/>
  <c r="D778" i="2" s="1"/>
  <c r="G777" i="2"/>
  <c r="D777" i="2" s="1"/>
  <c r="G776" i="2"/>
  <c r="D776" i="2" s="1"/>
  <c r="G775" i="2"/>
  <c r="D775" i="2" s="1"/>
  <c r="G774" i="2"/>
  <c r="D774" i="2" s="1"/>
  <c r="G773" i="2"/>
  <c r="D773" i="2" s="1"/>
  <c r="G772" i="2"/>
  <c r="D772" i="2" s="1"/>
  <c r="G771" i="2"/>
  <c r="D771" i="2" s="1"/>
  <c r="G770" i="2"/>
  <c r="D770" i="2" s="1"/>
  <c r="G769" i="2"/>
  <c r="D769" i="2" s="1"/>
  <c r="G768" i="2"/>
  <c r="D768" i="2" s="1"/>
  <c r="G767" i="2"/>
  <c r="D767" i="2" s="1"/>
  <c r="G766" i="2"/>
  <c r="D766" i="2" s="1"/>
  <c r="G765" i="2"/>
  <c r="D765" i="2" s="1"/>
  <c r="G764" i="2"/>
  <c r="D764" i="2" s="1"/>
  <c r="G763" i="2"/>
  <c r="D763" i="2" s="1"/>
  <c r="G762" i="2"/>
  <c r="D762" i="2" s="1"/>
  <c r="G761" i="2"/>
  <c r="D761" i="2" s="1"/>
  <c r="G760" i="2"/>
  <c r="D760" i="2" s="1"/>
  <c r="G759" i="2"/>
  <c r="D759" i="2" s="1"/>
  <c r="G758" i="2"/>
  <c r="D758" i="2" s="1"/>
  <c r="G757" i="2"/>
  <c r="D757" i="2" s="1"/>
  <c r="G756" i="2"/>
  <c r="D756" i="2" s="1"/>
  <c r="G755" i="2"/>
  <c r="D755" i="2" s="1"/>
  <c r="G754" i="2"/>
  <c r="D754" i="2" s="1"/>
  <c r="G753" i="2"/>
  <c r="D753" i="2" s="1"/>
  <c r="G752" i="2"/>
  <c r="D752" i="2" s="1"/>
  <c r="G751" i="2"/>
  <c r="D751" i="2" s="1"/>
  <c r="G750" i="2"/>
  <c r="D750" i="2" s="1"/>
  <c r="G749" i="2"/>
  <c r="D749" i="2" s="1"/>
  <c r="G748" i="2"/>
  <c r="D748" i="2" s="1"/>
  <c r="G747" i="2"/>
  <c r="D747" i="2" s="1"/>
  <c r="G746" i="2"/>
  <c r="D746" i="2" s="1"/>
  <c r="G745" i="2"/>
  <c r="D745" i="2" s="1"/>
  <c r="G744" i="2"/>
  <c r="D744" i="2" s="1"/>
  <c r="G743" i="2"/>
  <c r="D743" i="2" s="1"/>
  <c r="G742" i="2"/>
  <c r="D742" i="2" s="1"/>
  <c r="G741" i="2"/>
  <c r="D741" i="2" s="1"/>
  <c r="G740" i="2"/>
  <c r="D740" i="2" s="1"/>
  <c r="G739" i="2"/>
  <c r="D739" i="2" s="1"/>
  <c r="G738" i="2"/>
  <c r="D738" i="2" s="1"/>
  <c r="G737" i="2"/>
  <c r="D737" i="2" s="1"/>
  <c r="G736" i="2"/>
  <c r="D736" i="2" s="1"/>
  <c r="G735" i="2"/>
  <c r="D735" i="2" s="1"/>
  <c r="G734" i="2"/>
  <c r="D734" i="2" s="1"/>
  <c r="G733" i="2"/>
  <c r="D733" i="2" s="1"/>
  <c r="G732" i="2"/>
  <c r="D732" i="2" s="1"/>
  <c r="G731" i="2"/>
  <c r="D731" i="2" s="1"/>
  <c r="G730" i="2"/>
  <c r="D730" i="2" s="1"/>
  <c r="G729" i="2"/>
  <c r="D729" i="2" s="1"/>
  <c r="G728" i="2"/>
  <c r="D728" i="2" s="1"/>
  <c r="G727" i="2"/>
  <c r="D727" i="2" s="1"/>
  <c r="G726" i="2"/>
  <c r="D726" i="2" s="1"/>
  <c r="G725" i="2"/>
  <c r="D725" i="2" s="1"/>
  <c r="G724" i="2"/>
  <c r="D724" i="2" s="1"/>
  <c r="G723" i="2"/>
  <c r="D723" i="2" s="1"/>
  <c r="G722" i="2"/>
  <c r="D722" i="2" s="1"/>
  <c r="G721" i="2"/>
  <c r="D721" i="2" s="1"/>
  <c r="G720" i="2"/>
  <c r="D720" i="2" s="1"/>
  <c r="G719" i="2"/>
  <c r="D719" i="2" s="1"/>
  <c r="G718" i="2"/>
  <c r="D718" i="2" s="1"/>
  <c r="G717" i="2"/>
  <c r="D717" i="2" s="1"/>
  <c r="G716" i="2"/>
  <c r="D716" i="2" s="1"/>
  <c r="G715" i="2"/>
  <c r="D715" i="2" s="1"/>
  <c r="G714" i="2"/>
  <c r="D714" i="2" s="1"/>
  <c r="G713" i="2"/>
  <c r="D713" i="2" s="1"/>
  <c r="G712" i="2"/>
  <c r="D712" i="2" s="1"/>
  <c r="G711" i="2"/>
  <c r="D711" i="2" s="1"/>
  <c r="G710" i="2"/>
  <c r="D710" i="2" s="1"/>
  <c r="G709" i="2"/>
  <c r="D709" i="2" s="1"/>
  <c r="G708" i="2"/>
  <c r="D708" i="2" s="1"/>
  <c r="G707" i="2"/>
  <c r="D707" i="2" s="1"/>
  <c r="G706" i="2"/>
  <c r="D706" i="2" s="1"/>
  <c r="G705" i="2"/>
  <c r="D705" i="2" s="1"/>
  <c r="G704" i="2"/>
  <c r="D704" i="2" s="1"/>
  <c r="G703" i="2"/>
  <c r="D703" i="2" s="1"/>
  <c r="G702" i="2"/>
  <c r="D702" i="2" s="1"/>
  <c r="G701" i="2"/>
  <c r="D701" i="2" s="1"/>
  <c r="G700" i="2"/>
  <c r="D700" i="2" s="1"/>
  <c r="G699" i="2"/>
  <c r="D699" i="2" s="1"/>
  <c r="G698" i="2"/>
  <c r="D698" i="2" s="1"/>
  <c r="G697" i="2"/>
  <c r="D697" i="2" s="1"/>
  <c r="G696" i="2"/>
  <c r="D696" i="2" s="1"/>
  <c r="G695" i="2"/>
  <c r="D695" i="2" s="1"/>
  <c r="G694" i="2"/>
  <c r="D694" i="2" s="1"/>
  <c r="G693" i="2"/>
  <c r="D693" i="2" s="1"/>
  <c r="G692" i="2"/>
  <c r="D692" i="2" s="1"/>
  <c r="G691" i="2"/>
  <c r="D691" i="2" s="1"/>
  <c r="G690" i="2"/>
  <c r="D690" i="2" s="1"/>
  <c r="G689" i="2"/>
  <c r="D689" i="2" s="1"/>
  <c r="G688" i="2"/>
  <c r="D688" i="2" s="1"/>
  <c r="G687" i="2"/>
  <c r="D687" i="2" s="1"/>
  <c r="G686" i="2"/>
  <c r="D686" i="2" s="1"/>
  <c r="G685" i="2"/>
  <c r="D685" i="2" s="1"/>
  <c r="G684" i="2"/>
  <c r="D684" i="2" s="1"/>
  <c r="G683" i="2"/>
  <c r="D683" i="2" s="1"/>
  <c r="G682" i="2"/>
  <c r="D682" i="2" s="1"/>
  <c r="G681" i="2"/>
  <c r="D681" i="2" s="1"/>
  <c r="G680" i="2"/>
  <c r="D680" i="2" s="1"/>
  <c r="G679" i="2"/>
  <c r="D679" i="2" s="1"/>
  <c r="G678" i="2"/>
  <c r="D678" i="2" s="1"/>
  <c r="G677" i="2"/>
  <c r="D677" i="2" s="1"/>
  <c r="G676" i="2"/>
  <c r="D676" i="2" s="1"/>
  <c r="G675" i="2"/>
  <c r="D675" i="2" s="1"/>
  <c r="G674" i="2"/>
  <c r="D674" i="2" s="1"/>
  <c r="G673" i="2"/>
  <c r="D673" i="2" s="1"/>
  <c r="G672" i="2"/>
  <c r="D672" i="2" s="1"/>
  <c r="G671" i="2"/>
  <c r="D671" i="2" s="1"/>
  <c r="G670" i="2"/>
  <c r="D670" i="2" s="1"/>
  <c r="G669" i="2"/>
  <c r="D669" i="2" s="1"/>
  <c r="G668" i="2"/>
  <c r="D668" i="2" s="1"/>
  <c r="G667" i="2"/>
  <c r="D667" i="2" s="1"/>
  <c r="G666" i="2"/>
  <c r="D666" i="2" s="1"/>
  <c r="G665" i="2"/>
  <c r="D665" i="2" s="1"/>
  <c r="G664" i="2"/>
  <c r="D664" i="2" s="1"/>
  <c r="G663" i="2"/>
  <c r="D663" i="2" s="1"/>
  <c r="G662" i="2"/>
  <c r="D662" i="2" s="1"/>
  <c r="G661" i="2"/>
  <c r="D661" i="2" s="1"/>
  <c r="G660" i="2"/>
  <c r="D660" i="2" s="1"/>
  <c r="G659" i="2"/>
  <c r="D659" i="2" s="1"/>
  <c r="G658" i="2"/>
  <c r="D658" i="2" s="1"/>
  <c r="G657" i="2"/>
  <c r="D657" i="2" s="1"/>
  <c r="G656" i="2"/>
  <c r="D656" i="2" s="1"/>
  <c r="G655" i="2"/>
  <c r="D655" i="2" s="1"/>
  <c r="G654" i="2"/>
  <c r="D654" i="2" s="1"/>
  <c r="G653" i="2"/>
  <c r="D653" i="2" s="1"/>
  <c r="G652" i="2"/>
  <c r="D652" i="2" s="1"/>
  <c r="G651" i="2"/>
  <c r="D651" i="2" s="1"/>
  <c r="G650" i="2"/>
  <c r="D650" i="2" s="1"/>
  <c r="G649" i="2"/>
  <c r="D649" i="2" s="1"/>
  <c r="G648" i="2"/>
  <c r="D648" i="2" s="1"/>
  <c r="G647" i="2"/>
  <c r="D647" i="2" s="1"/>
  <c r="G646" i="2"/>
  <c r="D646" i="2" s="1"/>
  <c r="G645" i="2"/>
  <c r="D645" i="2" s="1"/>
  <c r="G644" i="2"/>
  <c r="D644" i="2" s="1"/>
  <c r="G643" i="2"/>
  <c r="D643" i="2" s="1"/>
  <c r="G642" i="2"/>
  <c r="D642" i="2" s="1"/>
  <c r="F1128" i="2"/>
  <c r="F1127" i="2"/>
  <c r="F1126" i="2"/>
  <c r="F1125" i="2"/>
  <c r="F1124" i="2"/>
  <c r="F1123" i="2"/>
  <c r="F1122" i="2"/>
  <c r="F1121" i="2"/>
  <c r="F1120" i="2"/>
  <c r="F1119" i="2"/>
  <c r="F1118" i="2"/>
  <c r="F1117" i="2"/>
  <c r="F1116" i="2"/>
  <c r="F1115" i="2"/>
  <c r="F1114" i="2"/>
  <c r="F1113" i="2"/>
  <c r="F1112" i="2"/>
  <c r="F1111" i="2"/>
  <c r="F1110" i="2"/>
  <c r="F1109" i="2"/>
  <c r="F1108" i="2"/>
  <c r="F1107" i="2"/>
  <c r="F1106" i="2"/>
  <c r="F1105" i="2"/>
  <c r="F1104" i="2"/>
  <c r="F1103" i="2"/>
  <c r="F1102" i="2"/>
  <c r="F1101" i="2"/>
  <c r="F1100" i="2"/>
  <c r="F1099" i="2"/>
  <c r="F1098" i="2"/>
  <c r="F1097" i="2"/>
  <c r="F1096" i="2"/>
  <c r="F1095" i="2"/>
  <c r="F1094" i="2"/>
  <c r="F1093" i="2"/>
  <c r="F1092" i="2"/>
  <c r="F1091" i="2"/>
  <c r="F1090" i="2"/>
  <c r="F1089" i="2"/>
  <c r="F1088" i="2"/>
  <c r="F1087" i="2"/>
  <c r="F1086" i="2"/>
  <c r="F1085" i="2"/>
  <c r="F1084" i="2"/>
  <c r="F1083" i="2"/>
  <c r="F1082" i="2"/>
  <c r="F1081" i="2"/>
  <c r="F1080" i="2"/>
  <c r="F1079" i="2"/>
  <c r="F1078" i="2"/>
  <c r="F1077" i="2"/>
  <c r="F1076" i="2"/>
  <c r="F1075" i="2"/>
  <c r="F1074" i="2"/>
  <c r="F1073" i="2"/>
  <c r="F1072" i="2"/>
  <c r="F1071" i="2"/>
  <c r="F1070" i="2"/>
  <c r="F1069" i="2"/>
  <c r="F1068" i="2"/>
  <c r="F1067" i="2"/>
  <c r="F1066" i="2"/>
  <c r="F1065" i="2"/>
  <c r="F1064" i="2"/>
  <c r="F1063" i="2"/>
  <c r="F1062" i="2"/>
  <c r="F1061" i="2"/>
  <c r="F1060" i="2"/>
  <c r="F1059" i="2"/>
  <c r="F1058" i="2"/>
  <c r="F1057" i="2"/>
  <c r="F1056" i="2"/>
  <c r="F1055" i="2"/>
  <c r="F1054" i="2"/>
  <c r="F1053" i="2"/>
  <c r="F1052" i="2"/>
  <c r="F1051" i="2"/>
  <c r="F1050" i="2"/>
  <c r="F1049" i="2"/>
  <c r="F1048" i="2"/>
  <c r="F1047" i="2"/>
  <c r="F1046" i="2"/>
  <c r="F1045" i="2"/>
  <c r="F1044" i="2"/>
  <c r="F1043" i="2"/>
  <c r="F1042" i="2"/>
  <c r="F1041" i="2"/>
  <c r="F1040" i="2"/>
  <c r="F1039" i="2"/>
  <c r="F1038" i="2"/>
  <c r="F1037" i="2"/>
  <c r="F1036" i="2"/>
  <c r="F1035" i="2"/>
  <c r="F1034" i="2"/>
  <c r="F1033" i="2"/>
  <c r="F1032" i="2"/>
  <c r="F1031" i="2"/>
  <c r="F1030" i="2"/>
  <c r="F1029" i="2"/>
  <c r="F1028" i="2"/>
  <c r="F1027" i="2"/>
  <c r="F1026" i="2"/>
  <c r="F1025" i="2"/>
  <c r="F1024" i="2"/>
  <c r="F1023" i="2"/>
  <c r="F1022" i="2"/>
  <c r="F1021" i="2"/>
  <c r="F1020" i="2"/>
  <c r="F1019" i="2"/>
  <c r="F1018" i="2"/>
  <c r="F1017" i="2"/>
  <c r="F1016" i="2"/>
  <c r="F1015" i="2"/>
  <c r="F1014" i="2"/>
  <c r="F1013" i="2"/>
  <c r="F1012" i="2"/>
  <c r="F1011" i="2"/>
  <c r="F1010" i="2"/>
  <c r="F1009" i="2"/>
  <c r="F1008" i="2"/>
  <c r="F1007" i="2"/>
  <c r="F1006" i="2"/>
  <c r="F1005" i="2"/>
  <c r="F1004" i="2"/>
  <c r="F1003" i="2"/>
  <c r="F1002" i="2"/>
  <c r="F1001" i="2"/>
  <c r="F1000" i="2"/>
  <c r="F999" i="2"/>
  <c r="F998" i="2"/>
  <c r="F997" i="2"/>
  <c r="F996" i="2"/>
  <c r="F995" i="2"/>
  <c r="F994" i="2"/>
  <c r="F993" i="2"/>
  <c r="F992" i="2"/>
  <c r="F991" i="2"/>
  <c r="F990" i="2"/>
  <c r="F989" i="2"/>
  <c r="F988" i="2"/>
  <c r="F987" i="2"/>
  <c r="F986" i="2"/>
  <c r="F985" i="2"/>
  <c r="F984" i="2"/>
  <c r="F983" i="2"/>
  <c r="F982" i="2"/>
  <c r="F981" i="2"/>
  <c r="F980" i="2"/>
  <c r="F979" i="2"/>
  <c r="F978" i="2"/>
  <c r="F977" i="2"/>
  <c r="F976" i="2"/>
  <c r="F975" i="2"/>
  <c r="F974" i="2"/>
  <c r="F973" i="2"/>
  <c r="F972" i="2"/>
  <c r="F971" i="2"/>
  <c r="F970" i="2"/>
  <c r="F969" i="2"/>
  <c r="F968" i="2"/>
  <c r="F967" i="2"/>
  <c r="F966" i="2"/>
  <c r="F965" i="2"/>
  <c r="F964" i="2"/>
  <c r="F963" i="2"/>
  <c r="F962" i="2"/>
  <c r="F961" i="2"/>
  <c r="F960" i="2"/>
  <c r="F959" i="2"/>
  <c r="F958" i="2"/>
  <c r="F957" i="2"/>
  <c r="F956" i="2"/>
  <c r="F955" i="2"/>
  <c r="F954" i="2"/>
  <c r="F953" i="2"/>
  <c r="F952" i="2"/>
  <c r="F951" i="2"/>
  <c r="F950" i="2"/>
  <c r="F949" i="2"/>
  <c r="F948" i="2"/>
  <c r="F947" i="2"/>
  <c r="F946" i="2"/>
  <c r="F945" i="2"/>
  <c r="F944" i="2"/>
  <c r="F943" i="2"/>
  <c r="F942" i="2"/>
  <c r="F941" i="2"/>
  <c r="F940" i="2"/>
  <c r="F939" i="2"/>
  <c r="F938" i="2"/>
  <c r="F937" i="2"/>
  <c r="F936" i="2"/>
  <c r="F935" i="2"/>
  <c r="F934" i="2"/>
  <c r="F933" i="2"/>
  <c r="F932" i="2"/>
  <c r="F931" i="2"/>
  <c r="F930" i="2"/>
  <c r="F929" i="2"/>
  <c r="F928" i="2"/>
  <c r="F927" i="2"/>
  <c r="F926" i="2"/>
  <c r="F925" i="2"/>
  <c r="F924" i="2"/>
  <c r="F923" i="2"/>
  <c r="F922" i="2"/>
  <c r="F921" i="2"/>
  <c r="F920" i="2"/>
  <c r="F919" i="2"/>
  <c r="F918" i="2"/>
  <c r="F917" i="2"/>
  <c r="F916" i="2"/>
  <c r="F915" i="2"/>
  <c r="F914" i="2"/>
  <c r="F913" i="2"/>
  <c r="F912" i="2"/>
  <c r="F911" i="2"/>
  <c r="F910" i="2"/>
  <c r="F909" i="2"/>
  <c r="F908" i="2"/>
  <c r="F907" i="2"/>
  <c r="F906" i="2"/>
  <c r="F905" i="2"/>
  <c r="F904" i="2"/>
  <c r="F903" i="2"/>
  <c r="F902" i="2"/>
  <c r="F901" i="2"/>
  <c r="F900" i="2"/>
  <c r="F899" i="2"/>
  <c r="F898" i="2"/>
  <c r="F897" i="2"/>
  <c r="F896" i="2"/>
  <c r="F895" i="2"/>
  <c r="F894" i="2"/>
  <c r="F893" i="2"/>
  <c r="F892" i="2"/>
  <c r="F891" i="2"/>
  <c r="F890" i="2"/>
  <c r="F889" i="2"/>
  <c r="F888" i="2"/>
  <c r="F887" i="2"/>
  <c r="F886" i="2"/>
  <c r="F885" i="2"/>
  <c r="F884" i="2"/>
  <c r="F883" i="2"/>
  <c r="F882" i="2"/>
  <c r="F881" i="2"/>
  <c r="F880" i="2"/>
  <c r="F879" i="2"/>
  <c r="F878" i="2"/>
  <c r="F877" i="2"/>
  <c r="F876" i="2"/>
  <c r="F875" i="2"/>
  <c r="F874" i="2"/>
  <c r="F873" i="2"/>
  <c r="F872" i="2"/>
  <c r="F871" i="2"/>
  <c r="F870" i="2"/>
  <c r="F869" i="2"/>
  <c r="F868" i="2"/>
  <c r="F867" i="2"/>
  <c r="F866" i="2"/>
  <c r="F865" i="2"/>
  <c r="F864" i="2"/>
  <c r="F863" i="2"/>
  <c r="F862" i="2"/>
  <c r="F861" i="2"/>
  <c r="F860" i="2"/>
  <c r="F859" i="2"/>
  <c r="F858" i="2"/>
  <c r="F857" i="2"/>
  <c r="F856" i="2"/>
  <c r="F855" i="2"/>
  <c r="F854" i="2"/>
  <c r="F853" i="2"/>
  <c r="F852" i="2"/>
  <c r="F851" i="2"/>
  <c r="F850" i="2"/>
  <c r="F849" i="2"/>
  <c r="F848" i="2"/>
  <c r="F847" i="2"/>
  <c r="F846" i="2"/>
  <c r="F845" i="2"/>
  <c r="F844" i="2"/>
  <c r="F843" i="2"/>
  <c r="F842" i="2"/>
  <c r="F841" i="2"/>
  <c r="F840" i="2"/>
  <c r="F839" i="2"/>
  <c r="F838" i="2"/>
  <c r="F837" i="2"/>
  <c r="F836" i="2"/>
  <c r="F835" i="2"/>
  <c r="F834" i="2"/>
  <c r="F833" i="2"/>
  <c r="F832" i="2"/>
  <c r="F831" i="2"/>
  <c r="F830" i="2"/>
  <c r="F829" i="2"/>
  <c r="F828" i="2"/>
  <c r="F827" i="2"/>
  <c r="F826" i="2"/>
  <c r="F825" i="2"/>
  <c r="F824" i="2"/>
  <c r="F823" i="2"/>
  <c r="F822" i="2"/>
  <c r="F821" i="2"/>
  <c r="F820" i="2"/>
  <c r="F819" i="2"/>
  <c r="F818" i="2"/>
  <c r="F817" i="2"/>
  <c r="F816" i="2"/>
  <c r="F815" i="2"/>
  <c r="F814" i="2"/>
  <c r="F813" i="2"/>
  <c r="F812" i="2"/>
  <c r="F811" i="2"/>
  <c r="F810" i="2"/>
  <c r="F809" i="2"/>
  <c r="F808" i="2"/>
  <c r="F807" i="2"/>
  <c r="F806" i="2"/>
  <c r="F805" i="2"/>
  <c r="F804" i="2"/>
  <c r="F803" i="2"/>
  <c r="F802" i="2"/>
  <c r="F801" i="2"/>
  <c r="F800" i="2"/>
  <c r="F799" i="2"/>
  <c r="F798" i="2"/>
  <c r="F797" i="2"/>
  <c r="F796" i="2"/>
  <c r="F795" i="2"/>
  <c r="F794" i="2"/>
  <c r="F793" i="2"/>
  <c r="F792" i="2"/>
  <c r="F791" i="2"/>
  <c r="F790" i="2"/>
  <c r="F789" i="2"/>
  <c r="F788" i="2"/>
  <c r="F787" i="2"/>
  <c r="F786" i="2"/>
  <c r="F785" i="2"/>
  <c r="F784" i="2"/>
  <c r="F783" i="2"/>
  <c r="F782" i="2"/>
  <c r="F781" i="2"/>
  <c r="F780" i="2"/>
  <c r="F779" i="2"/>
  <c r="F778" i="2"/>
  <c r="F777" i="2"/>
  <c r="F776" i="2"/>
  <c r="F775" i="2"/>
  <c r="F774" i="2"/>
  <c r="F773" i="2"/>
  <c r="F772" i="2"/>
  <c r="F771" i="2"/>
  <c r="F770" i="2"/>
  <c r="F769" i="2"/>
  <c r="F768" i="2"/>
  <c r="F767" i="2"/>
  <c r="F766" i="2"/>
  <c r="F765" i="2"/>
  <c r="F764" i="2"/>
  <c r="F763" i="2"/>
  <c r="F762" i="2"/>
  <c r="F761" i="2"/>
  <c r="F760" i="2"/>
  <c r="F759" i="2"/>
  <c r="F758" i="2"/>
  <c r="F757" i="2"/>
  <c r="F756" i="2"/>
  <c r="F755" i="2"/>
  <c r="F754" i="2"/>
  <c r="F753" i="2"/>
  <c r="F752" i="2"/>
  <c r="F751" i="2"/>
  <c r="F750" i="2"/>
  <c r="F749" i="2"/>
  <c r="F748" i="2"/>
  <c r="F747" i="2"/>
  <c r="F746" i="2"/>
  <c r="F745" i="2"/>
  <c r="F744" i="2"/>
  <c r="F743" i="2"/>
  <c r="F742" i="2"/>
  <c r="F741" i="2"/>
  <c r="F740" i="2"/>
  <c r="F739" i="2"/>
  <c r="F738" i="2"/>
  <c r="F737" i="2"/>
  <c r="F736" i="2"/>
  <c r="F735" i="2"/>
  <c r="F734" i="2"/>
  <c r="F733" i="2"/>
  <c r="F732" i="2"/>
  <c r="F731" i="2"/>
  <c r="F730" i="2"/>
  <c r="F729" i="2"/>
  <c r="F728" i="2"/>
  <c r="F727" i="2"/>
  <c r="F726" i="2"/>
  <c r="F725" i="2"/>
  <c r="F724" i="2"/>
  <c r="F723" i="2"/>
  <c r="F722" i="2"/>
  <c r="F721" i="2"/>
  <c r="F720" i="2"/>
  <c r="F719" i="2"/>
  <c r="F718" i="2"/>
  <c r="F717" i="2"/>
  <c r="F716" i="2"/>
  <c r="F715" i="2"/>
  <c r="F714" i="2"/>
  <c r="F713" i="2"/>
  <c r="F712" i="2"/>
  <c r="F711" i="2"/>
  <c r="F710" i="2"/>
  <c r="F709" i="2"/>
  <c r="F708" i="2"/>
  <c r="F707" i="2"/>
  <c r="F706" i="2"/>
  <c r="F705" i="2"/>
  <c r="F704" i="2"/>
  <c r="F703" i="2"/>
  <c r="F702" i="2"/>
  <c r="F701" i="2"/>
  <c r="F700" i="2"/>
  <c r="F699" i="2"/>
  <c r="F698" i="2"/>
  <c r="F697" i="2"/>
  <c r="F696" i="2"/>
  <c r="F695" i="2"/>
  <c r="F694" i="2"/>
  <c r="F693" i="2"/>
  <c r="F692" i="2"/>
  <c r="F691" i="2"/>
  <c r="F690" i="2"/>
  <c r="F689" i="2"/>
  <c r="F688" i="2"/>
  <c r="F687" i="2"/>
  <c r="F686" i="2"/>
  <c r="F685" i="2"/>
  <c r="F684" i="2"/>
  <c r="F683" i="2"/>
  <c r="F682" i="2"/>
  <c r="F681" i="2"/>
  <c r="F680" i="2"/>
  <c r="F679" i="2"/>
  <c r="F678" i="2"/>
  <c r="F677" i="2"/>
  <c r="F676" i="2"/>
  <c r="F675" i="2"/>
  <c r="F674" i="2"/>
  <c r="F673" i="2"/>
  <c r="F672" i="2"/>
  <c r="F671" i="2"/>
  <c r="F670" i="2"/>
  <c r="F669" i="2"/>
  <c r="F668" i="2"/>
  <c r="F667" i="2"/>
  <c r="F666" i="2"/>
  <c r="F665" i="2"/>
  <c r="F664" i="2"/>
  <c r="F663" i="2"/>
  <c r="F662" i="2"/>
  <c r="F661" i="2"/>
  <c r="F660" i="2"/>
  <c r="F659" i="2"/>
  <c r="F658" i="2"/>
  <c r="F657" i="2"/>
  <c r="F656" i="2"/>
  <c r="F655" i="2"/>
  <c r="F654" i="2"/>
  <c r="F653" i="2"/>
  <c r="F652" i="2"/>
  <c r="F651" i="2"/>
  <c r="F650" i="2"/>
  <c r="F649" i="2"/>
  <c r="F648" i="2"/>
  <c r="F647" i="2"/>
  <c r="F646" i="2"/>
  <c r="F645" i="2"/>
  <c r="F644" i="2"/>
  <c r="F643" i="2"/>
  <c r="F642" i="2"/>
  <c r="F641" i="2"/>
  <c r="F640" i="2"/>
  <c r="F639" i="2"/>
  <c r="F638" i="2"/>
  <c r="G638" i="2" s="1"/>
  <c r="D638" i="2" s="1"/>
  <c r="F637" i="2"/>
  <c r="F636" i="2"/>
  <c r="F635" i="2"/>
  <c r="F634" i="2"/>
  <c r="F633" i="2"/>
  <c r="F631" i="2"/>
  <c r="F630" i="2"/>
  <c r="G631" i="2" s="1"/>
  <c r="D631" i="2" s="1"/>
  <c r="F629" i="2"/>
  <c r="F628" i="2"/>
  <c r="F627" i="2"/>
  <c r="F626" i="2"/>
  <c r="F625" i="2"/>
  <c r="F624" i="2"/>
  <c r="F623" i="2"/>
  <c r="F622" i="2"/>
  <c r="F621" i="2"/>
  <c r="F620" i="2"/>
  <c r="F619" i="2"/>
  <c r="F618" i="2"/>
  <c r="F617" i="2"/>
  <c r="F616" i="2"/>
  <c r="F615" i="2"/>
  <c r="F614" i="2"/>
  <c r="F613" i="2"/>
  <c r="F612" i="2"/>
  <c r="F611" i="2"/>
  <c r="F610" i="2"/>
  <c r="F609" i="2"/>
  <c r="F608" i="2"/>
  <c r="F607" i="2"/>
  <c r="F606" i="2"/>
  <c r="F605" i="2"/>
  <c r="F604" i="2"/>
  <c r="F603" i="2"/>
  <c r="F602" i="2"/>
  <c r="F601" i="2"/>
  <c r="F600" i="2"/>
  <c r="F599" i="2"/>
  <c r="F598"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8" i="2"/>
  <c r="F567"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9" i="2"/>
  <c r="F538" i="2"/>
  <c r="F537" i="2"/>
  <c r="F536" i="2"/>
  <c r="F535" i="2"/>
  <c r="F534" i="2"/>
  <c r="F533" i="2"/>
  <c r="F532" i="2"/>
  <c r="F531" i="2"/>
  <c r="F530" i="2"/>
  <c r="F529" i="2"/>
  <c r="F528" i="2"/>
  <c r="F527" i="2"/>
  <c r="F526" i="2"/>
  <c r="F525" i="2"/>
  <c r="F524" i="2"/>
  <c r="F523" i="2"/>
  <c r="F522" i="2"/>
  <c r="F521" i="2"/>
  <c r="F520" i="2"/>
  <c r="F519" i="2"/>
  <c r="F518" i="2"/>
  <c r="G518" i="2" s="1"/>
  <c r="D518" i="2" s="1"/>
  <c r="F517" i="2"/>
  <c r="F516" i="2"/>
  <c r="F515" i="2"/>
  <c r="F514" i="2"/>
  <c r="F513" i="2"/>
  <c r="F512" i="2"/>
  <c r="F511" i="2"/>
  <c r="F510" i="2"/>
  <c r="F509" i="2"/>
  <c r="F508" i="2"/>
  <c r="F507" i="2"/>
  <c r="F506" i="2"/>
  <c r="F505" i="2"/>
  <c r="F504" i="2"/>
  <c r="F503" i="2"/>
  <c r="F502" i="2"/>
  <c r="F501" i="2"/>
  <c r="G501" i="2" s="1"/>
  <c r="D501" i="2" s="1"/>
  <c r="F500" i="2"/>
  <c r="F499" i="2"/>
  <c r="F498" i="2"/>
  <c r="F497" i="2"/>
  <c r="F496" i="2"/>
  <c r="F495" i="2"/>
  <c r="F494" i="2"/>
  <c r="F493" i="2"/>
  <c r="G493" i="2" s="1"/>
  <c r="D493" i="2" s="1"/>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G384" i="2" s="1"/>
  <c r="D384" i="2" s="1"/>
  <c r="F383" i="2"/>
  <c r="F382" i="2"/>
  <c r="G382" i="2" s="1"/>
  <c r="D382" i="2" s="1"/>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G343" i="2" s="1"/>
  <c r="D343" i="2" s="1"/>
  <c r="F341" i="2"/>
  <c r="F340" i="2"/>
  <c r="F339" i="2"/>
  <c r="G339" i="2" s="1"/>
  <c r="D339" i="2" s="1"/>
  <c r="F338" i="2"/>
  <c r="F337" i="2"/>
  <c r="F336" i="2"/>
  <c r="F335" i="2"/>
  <c r="F334" i="2"/>
  <c r="F333" i="2"/>
  <c r="G333" i="2" s="1"/>
  <c r="F332" i="2"/>
  <c r="F331" i="2"/>
  <c r="F330" i="2"/>
  <c r="F329" i="2"/>
  <c r="F328" i="2"/>
  <c r="F327" i="2"/>
  <c r="F326" i="2"/>
  <c r="F325" i="2"/>
  <c r="F324" i="2"/>
  <c r="F323" i="2"/>
  <c r="F322" i="2"/>
  <c r="F321" i="2"/>
  <c r="F320" i="2"/>
  <c r="F319" i="2"/>
  <c r="F318" i="2"/>
  <c r="F317" i="2"/>
  <c r="G317" i="2" s="1"/>
  <c r="F316" i="2"/>
  <c r="F315" i="2"/>
  <c r="F314" i="2"/>
  <c r="F313" i="2"/>
  <c r="F312" i="2"/>
  <c r="F311" i="2"/>
  <c r="F310" i="2"/>
  <c r="F309" i="2"/>
  <c r="F308" i="2"/>
  <c r="F307" i="2"/>
  <c r="F306" i="2"/>
  <c r="F305" i="2"/>
  <c r="F304" i="2"/>
  <c r="F303" i="2"/>
  <c r="F302" i="2"/>
  <c r="F301" i="2"/>
  <c r="G301" i="2" s="1"/>
  <c r="F300" i="2"/>
  <c r="F299" i="2"/>
  <c r="F298" i="2"/>
  <c r="F297" i="2"/>
  <c r="F296" i="2"/>
  <c r="F295" i="2"/>
  <c r="F294" i="2"/>
  <c r="F293" i="2"/>
  <c r="F292" i="2"/>
  <c r="F291" i="2"/>
  <c r="F290" i="2"/>
  <c r="F289" i="2"/>
  <c r="F288" i="2"/>
  <c r="F287" i="2"/>
  <c r="F286" i="2"/>
  <c r="F285" i="2"/>
  <c r="F284" i="2"/>
  <c r="G284" i="2" s="1"/>
  <c r="F283" i="2"/>
  <c r="G283" i="2" s="1"/>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O338" i="2"/>
  <c r="Q338" i="2"/>
  <c r="S338" i="2"/>
  <c r="T338" i="2" s="1"/>
  <c r="L641" i="2"/>
  <c r="H28" i="13"/>
  <c r="H27" i="13"/>
  <c r="H26" i="13"/>
  <c r="H25" i="13"/>
  <c r="H24" i="13"/>
  <c r="H23" i="13"/>
  <c r="H22" i="13"/>
  <c r="H20" i="13"/>
  <c r="H17" i="13"/>
  <c r="H15" i="13"/>
  <c r="H13" i="13"/>
  <c r="H8" i="13"/>
  <c r="H6" i="13"/>
  <c r="H4" i="13"/>
  <c r="A46" i="7"/>
  <c r="AA13" i="14"/>
  <c r="AA11" i="14"/>
  <c r="G311" i="2" l="1"/>
  <c r="G492" i="2"/>
  <c r="D492" i="2" s="1"/>
  <c r="G553" i="2"/>
  <c r="D553" i="2" s="1"/>
  <c r="G125" i="2"/>
  <c r="G293" i="2"/>
  <c r="AA6" i="14"/>
  <c r="AA8" i="14"/>
  <c r="AA9" i="14"/>
  <c r="A6" i="23"/>
  <c r="AA5" i="14"/>
  <c r="AA7" i="14"/>
  <c r="AA10" i="14"/>
  <c r="AA12" i="14"/>
  <c r="G61" i="2"/>
  <c r="G37" i="2"/>
  <c r="G269" i="2"/>
  <c r="G280" i="2"/>
  <c r="G300" i="2"/>
  <c r="G353" i="2"/>
  <c r="D353" i="2" s="1"/>
  <c r="G380" i="2"/>
  <c r="D380" i="2" s="1"/>
  <c r="G482" i="2"/>
  <c r="D482" i="2" s="1"/>
  <c r="G489" i="2"/>
  <c r="D489" i="2" s="1"/>
  <c r="G496" i="2"/>
  <c r="D496" i="2" s="1"/>
  <c r="G521" i="2"/>
  <c r="D521" i="2" s="1"/>
  <c r="G536" i="2"/>
  <c r="D536" i="2" s="1"/>
  <c r="G628" i="2"/>
  <c r="D628" i="2" s="1"/>
  <c r="G45" i="2"/>
  <c r="G534" i="2"/>
  <c r="D534" i="2" s="1"/>
  <c r="G609" i="2"/>
  <c r="D609" i="2" s="1"/>
  <c r="G116" i="2"/>
  <c r="G456" i="2"/>
  <c r="D456" i="2" s="1"/>
  <c r="G372" i="2"/>
  <c r="D372" i="2" s="1"/>
  <c r="G564" i="2"/>
  <c r="D564" i="2" s="1"/>
  <c r="G93" i="2"/>
  <c r="G109" i="2"/>
  <c r="G237" i="2"/>
  <c r="G474" i="2"/>
  <c r="D474" i="2" s="1"/>
  <c r="G500" i="2"/>
  <c r="D500" i="2" s="1"/>
  <c r="G506" i="2"/>
  <c r="D506" i="2" s="1"/>
  <c r="G546" i="2"/>
  <c r="D546" i="2" s="1"/>
  <c r="G21" i="2"/>
  <c r="G221" i="2"/>
  <c r="G526" i="2"/>
  <c r="D526" i="2" s="1"/>
  <c r="G419" i="2"/>
  <c r="D419" i="2" s="1"/>
  <c r="G485" i="2"/>
  <c r="D485" i="2" s="1"/>
  <c r="G509" i="2"/>
  <c r="D509" i="2" s="1"/>
  <c r="G549" i="2"/>
  <c r="D549" i="2" s="1"/>
  <c r="G613" i="2"/>
  <c r="D613" i="2" s="1"/>
  <c r="G621" i="2"/>
  <c r="D621" i="2" s="1"/>
  <c r="G53" i="2"/>
  <c r="G277" i="2"/>
  <c r="G309" i="2"/>
  <c r="G341" i="2"/>
  <c r="D341" i="2" s="1"/>
  <c r="G573" i="2"/>
  <c r="D573" i="2" s="1"/>
  <c r="G29" i="2"/>
  <c r="G324" i="2"/>
  <c r="H24" i="23" a="1"/>
  <c r="H24" i="23" s="1"/>
  <c r="H27" i="23" a="1"/>
  <c r="H27" i="23" s="1"/>
  <c r="H35" i="23" a="1"/>
  <c r="H35" i="23" s="1"/>
  <c r="AA23" i="14"/>
  <c r="G453" i="2"/>
  <c r="D453" i="2" s="1"/>
  <c r="G445" i="2"/>
  <c r="D445" i="2" s="1"/>
  <c r="G437" i="2"/>
  <c r="D437" i="2" s="1"/>
  <c r="G429" i="2"/>
  <c r="D429" i="2" s="1"/>
  <c r="G421" i="2"/>
  <c r="D421" i="2" s="1"/>
  <c r="G517" i="2"/>
  <c r="D517" i="2" s="1"/>
  <c r="G22" i="2"/>
  <c r="G30" i="2"/>
  <c r="G38" i="2"/>
  <c r="G46" i="2"/>
  <c r="G54" i="2"/>
  <c r="G62" i="2"/>
  <c r="G70" i="2"/>
  <c r="G78" i="2"/>
  <c r="G86" i="2"/>
  <c r="G94" i="2"/>
  <c r="G102" i="2"/>
  <c r="G110" i="2"/>
  <c r="G118" i="2"/>
  <c r="G126" i="2"/>
  <c r="G134" i="2"/>
  <c r="G142" i="2"/>
  <c r="G150" i="2"/>
  <c r="G158" i="2"/>
  <c r="G166" i="2"/>
  <c r="G174" i="2"/>
  <c r="G182" i="2"/>
  <c r="G190" i="2"/>
  <c r="G198" i="2"/>
  <c r="G206" i="2"/>
  <c r="G214" i="2"/>
  <c r="G222" i="2"/>
  <c r="G230" i="2"/>
  <c r="G238" i="2"/>
  <c r="G246" i="2"/>
  <c r="G254" i="2"/>
  <c r="G262" i="2"/>
  <c r="G270" i="2"/>
  <c r="G278" i="2"/>
  <c r="G286" i="2"/>
  <c r="G294" i="2"/>
  <c r="G303" i="2"/>
  <c r="G312" i="2"/>
  <c r="G321" i="2"/>
  <c r="G330" i="2"/>
  <c r="G348" i="2"/>
  <c r="D348" i="2" s="1"/>
  <c r="G358" i="2"/>
  <c r="D358" i="2" s="1"/>
  <c r="G367" i="2"/>
  <c r="D367" i="2" s="1"/>
  <c r="G376" i="2"/>
  <c r="D376" i="2" s="1"/>
  <c r="G385" i="2"/>
  <c r="D385" i="2" s="1"/>
  <c r="G394" i="2"/>
  <c r="D394" i="2" s="1"/>
  <c r="G403" i="2"/>
  <c r="D403" i="2" s="1"/>
  <c r="G412" i="2"/>
  <c r="D412" i="2" s="1"/>
  <c r="G422" i="2"/>
  <c r="D422" i="2" s="1"/>
  <c r="G431" i="2"/>
  <c r="D431" i="2" s="1"/>
  <c r="G440" i="2"/>
  <c r="D440" i="2" s="1"/>
  <c r="G449" i="2"/>
  <c r="D449" i="2" s="1"/>
  <c r="G458" i="2"/>
  <c r="D458" i="2" s="1"/>
  <c r="G467" i="2"/>
  <c r="D467" i="2" s="1"/>
  <c r="G476" i="2"/>
  <c r="D476" i="2" s="1"/>
  <c r="G486" i="2"/>
  <c r="D486" i="2" s="1"/>
  <c r="G495" i="2"/>
  <c r="D495" i="2" s="1"/>
  <c r="G504" i="2"/>
  <c r="D504" i="2" s="1"/>
  <c r="G513" i="2"/>
  <c r="D513" i="2" s="1"/>
  <c r="G522" i="2"/>
  <c r="D522" i="2" s="1"/>
  <c r="G531" i="2"/>
  <c r="D531" i="2" s="1"/>
  <c r="G540" i="2"/>
  <c r="D540" i="2" s="1"/>
  <c r="G550" i="2"/>
  <c r="D550" i="2" s="1"/>
  <c r="G559" i="2"/>
  <c r="D559" i="2" s="1"/>
  <c r="G568" i="2"/>
  <c r="D568" i="2" s="1"/>
  <c r="G577" i="2"/>
  <c r="D577" i="2" s="1"/>
  <c r="G586" i="2"/>
  <c r="D586" i="2" s="1"/>
  <c r="G595" i="2"/>
  <c r="D595" i="2" s="1"/>
  <c r="G604" i="2"/>
  <c r="D604" i="2" s="1"/>
  <c r="G614" i="2"/>
  <c r="D614" i="2" s="1"/>
  <c r="G623" i="2"/>
  <c r="D623" i="2" s="1"/>
  <c r="G633" i="2"/>
  <c r="D633" i="2" s="1"/>
  <c r="G23" i="2"/>
  <c r="G31" i="2"/>
  <c r="G39" i="2"/>
  <c r="G47" i="2"/>
  <c r="G55" i="2"/>
  <c r="G63" i="2"/>
  <c r="G71" i="2"/>
  <c r="G79" i="2"/>
  <c r="G87" i="2"/>
  <c r="G95" i="2"/>
  <c r="G103" i="2"/>
  <c r="G111" i="2"/>
  <c r="G119" i="2"/>
  <c r="G127" i="2"/>
  <c r="G135" i="2"/>
  <c r="G143" i="2"/>
  <c r="G151" i="2"/>
  <c r="G159" i="2"/>
  <c r="G167" i="2"/>
  <c r="G175" i="2"/>
  <c r="G183" i="2"/>
  <c r="G191" i="2"/>
  <c r="G199" i="2"/>
  <c r="G207" i="2"/>
  <c r="G215" i="2"/>
  <c r="G223" i="2"/>
  <c r="G231" i="2"/>
  <c r="G239" i="2"/>
  <c r="G247" i="2"/>
  <c r="G255" i="2"/>
  <c r="G263" i="2"/>
  <c r="G271" i="2"/>
  <c r="G279" i="2"/>
  <c r="G287" i="2"/>
  <c r="G295" i="2"/>
  <c r="G304" i="2"/>
  <c r="G313" i="2"/>
  <c r="G322" i="2"/>
  <c r="G331" i="2"/>
  <c r="G340" i="2"/>
  <c r="D340" i="2" s="1"/>
  <c r="G350" i="2"/>
  <c r="D350" i="2" s="1"/>
  <c r="G359" i="2"/>
  <c r="D359" i="2" s="1"/>
  <c r="G368" i="2"/>
  <c r="D368" i="2" s="1"/>
  <c r="G377" i="2"/>
  <c r="D377" i="2" s="1"/>
  <c r="G386" i="2"/>
  <c r="D386" i="2" s="1"/>
  <c r="G395" i="2"/>
  <c r="D395" i="2" s="1"/>
  <c r="G404" i="2"/>
  <c r="D404" i="2" s="1"/>
  <c r="G414" i="2"/>
  <c r="D414" i="2" s="1"/>
  <c r="G423" i="2"/>
  <c r="D423" i="2" s="1"/>
  <c r="G432" i="2"/>
  <c r="D432" i="2" s="1"/>
  <c r="G441" i="2"/>
  <c r="D441" i="2" s="1"/>
  <c r="G450" i="2"/>
  <c r="D450" i="2" s="1"/>
  <c r="G459" i="2"/>
  <c r="D459" i="2" s="1"/>
  <c r="G468" i="2"/>
  <c r="D468" i="2" s="1"/>
  <c r="G478" i="2"/>
  <c r="D478" i="2" s="1"/>
  <c r="G487" i="2"/>
  <c r="D487" i="2" s="1"/>
  <c r="G505" i="2"/>
  <c r="D505" i="2" s="1"/>
  <c r="G514" i="2"/>
  <c r="D514" i="2" s="1"/>
  <c r="G523" i="2"/>
  <c r="D523" i="2" s="1"/>
  <c r="G532" i="2"/>
  <c r="D532" i="2" s="1"/>
  <c r="G542" i="2"/>
  <c r="D542" i="2" s="1"/>
  <c r="G551" i="2"/>
  <c r="D551" i="2" s="1"/>
  <c r="G560" i="2"/>
  <c r="D560" i="2" s="1"/>
  <c r="G569" i="2"/>
  <c r="D569" i="2" s="1"/>
  <c r="G578" i="2"/>
  <c r="D578" i="2" s="1"/>
  <c r="G587" i="2"/>
  <c r="D587" i="2" s="1"/>
  <c r="G596" i="2"/>
  <c r="D596" i="2" s="1"/>
  <c r="G606" i="2"/>
  <c r="D606" i="2" s="1"/>
  <c r="G615" i="2"/>
  <c r="D615" i="2" s="1"/>
  <c r="G624" i="2"/>
  <c r="D624" i="2" s="1"/>
  <c r="G634" i="2"/>
  <c r="D634" i="2" s="1"/>
  <c r="G24" i="2"/>
  <c r="G32" i="2"/>
  <c r="G40" i="2"/>
  <c r="G48" i="2"/>
  <c r="G56" i="2"/>
  <c r="G64" i="2"/>
  <c r="G72" i="2"/>
  <c r="G80" i="2"/>
  <c r="G88" i="2"/>
  <c r="G96" i="2"/>
  <c r="G104" i="2"/>
  <c r="G112" i="2"/>
  <c r="G120" i="2"/>
  <c r="G128" i="2"/>
  <c r="G136" i="2"/>
  <c r="G144" i="2"/>
  <c r="G152" i="2"/>
  <c r="G160" i="2"/>
  <c r="G168" i="2"/>
  <c r="G176" i="2"/>
  <c r="G184" i="2"/>
  <c r="G192" i="2"/>
  <c r="G200" i="2"/>
  <c r="G208" i="2"/>
  <c r="G216" i="2"/>
  <c r="G224" i="2"/>
  <c r="G232" i="2"/>
  <c r="G240" i="2"/>
  <c r="G248" i="2"/>
  <c r="G256" i="2"/>
  <c r="G264" i="2"/>
  <c r="G272" i="2"/>
  <c r="G288" i="2"/>
  <c r="G296" i="2"/>
  <c r="G305" i="2"/>
  <c r="G314" i="2"/>
  <c r="G323" i="2"/>
  <c r="G332" i="2"/>
  <c r="G342" i="2"/>
  <c r="D342" i="2" s="1"/>
  <c r="G351" i="2"/>
  <c r="D351" i="2" s="1"/>
  <c r="G360" i="2"/>
  <c r="D360" i="2" s="1"/>
  <c r="G369" i="2"/>
  <c r="D369" i="2" s="1"/>
  <c r="G378" i="2"/>
  <c r="D378" i="2" s="1"/>
  <c r="G387" i="2"/>
  <c r="D387" i="2" s="1"/>
  <c r="G396" i="2"/>
  <c r="D396" i="2" s="1"/>
  <c r="G406" i="2"/>
  <c r="D406" i="2" s="1"/>
  <c r="G415" i="2"/>
  <c r="D415" i="2" s="1"/>
  <c r="G424" i="2"/>
  <c r="D424" i="2" s="1"/>
  <c r="G433" i="2"/>
  <c r="D433" i="2" s="1"/>
  <c r="G442" i="2"/>
  <c r="D442" i="2" s="1"/>
  <c r="G451" i="2"/>
  <c r="D451" i="2" s="1"/>
  <c r="G460" i="2"/>
  <c r="D460" i="2" s="1"/>
  <c r="G470" i="2"/>
  <c r="D470" i="2" s="1"/>
  <c r="G479" i="2"/>
  <c r="D479" i="2" s="1"/>
  <c r="G488" i="2"/>
  <c r="D488" i="2" s="1"/>
  <c r="G497" i="2"/>
  <c r="D497" i="2" s="1"/>
  <c r="G515" i="2"/>
  <c r="D515" i="2" s="1"/>
  <c r="G524" i="2"/>
  <c r="D524" i="2" s="1"/>
  <c r="G543" i="2"/>
  <c r="D543" i="2" s="1"/>
  <c r="G552" i="2"/>
  <c r="D552" i="2" s="1"/>
  <c r="G561" i="2"/>
  <c r="D561" i="2" s="1"/>
  <c r="G570" i="2"/>
  <c r="D570" i="2" s="1"/>
  <c r="G579" i="2"/>
  <c r="D579" i="2" s="1"/>
  <c r="G588" i="2"/>
  <c r="D588" i="2" s="1"/>
  <c r="G598" i="2"/>
  <c r="D598" i="2" s="1"/>
  <c r="G607" i="2"/>
  <c r="D607" i="2" s="1"/>
  <c r="G616" i="2"/>
  <c r="D616" i="2" s="1"/>
  <c r="G625" i="2"/>
  <c r="D625" i="2" s="1"/>
  <c r="G635" i="2"/>
  <c r="D635" i="2" s="1"/>
  <c r="G25" i="2"/>
  <c r="G33" i="2"/>
  <c r="G41" i="2"/>
  <c r="G49" i="2"/>
  <c r="G57" i="2"/>
  <c r="G65" i="2"/>
  <c r="G73" i="2"/>
  <c r="G81" i="2"/>
  <c r="G89" i="2"/>
  <c r="G97" i="2"/>
  <c r="G105" i="2"/>
  <c r="G113" i="2"/>
  <c r="G121" i="2"/>
  <c r="G129" i="2"/>
  <c r="G137" i="2"/>
  <c r="G145" i="2"/>
  <c r="G153" i="2"/>
  <c r="G161" i="2"/>
  <c r="G169" i="2"/>
  <c r="G177" i="2"/>
  <c r="G185" i="2"/>
  <c r="G193" i="2"/>
  <c r="G201" i="2"/>
  <c r="G209" i="2"/>
  <c r="G217" i="2"/>
  <c r="G225" i="2"/>
  <c r="G233" i="2"/>
  <c r="G241" i="2"/>
  <c r="G249" i="2"/>
  <c r="G257" i="2"/>
  <c r="G265" i="2"/>
  <c r="G273" i="2"/>
  <c r="G281" i="2"/>
  <c r="G289" i="2"/>
  <c r="G297" i="2"/>
  <c r="G306" i="2"/>
  <c r="G315" i="2"/>
  <c r="G334" i="2"/>
  <c r="G352" i="2"/>
  <c r="D352" i="2" s="1"/>
  <c r="G361" i="2"/>
  <c r="D361" i="2" s="1"/>
  <c r="G370" i="2"/>
  <c r="D370" i="2" s="1"/>
  <c r="G379" i="2"/>
  <c r="D379" i="2" s="1"/>
  <c r="G388" i="2"/>
  <c r="D388" i="2" s="1"/>
  <c r="G398" i="2"/>
  <c r="D398" i="2" s="1"/>
  <c r="G407" i="2"/>
  <c r="D407" i="2" s="1"/>
  <c r="G416" i="2"/>
  <c r="D416" i="2" s="1"/>
  <c r="G425" i="2"/>
  <c r="D425" i="2" s="1"/>
  <c r="G434" i="2"/>
  <c r="D434" i="2" s="1"/>
  <c r="G443" i="2"/>
  <c r="D443" i="2" s="1"/>
  <c r="G452" i="2"/>
  <c r="D452" i="2" s="1"/>
  <c r="G462" i="2"/>
  <c r="D462" i="2" s="1"/>
  <c r="G471" i="2"/>
  <c r="D471" i="2" s="1"/>
  <c r="G480" i="2"/>
  <c r="D480" i="2" s="1"/>
  <c r="G498" i="2"/>
  <c r="D498" i="2" s="1"/>
  <c r="G507" i="2"/>
  <c r="D507" i="2" s="1"/>
  <c r="G516" i="2"/>
  <c r="D516" i="2" s="1"/>
  <c r="G535" i="2"/>
  <c r="D535" i="2" s="1"/>
  <c r="G544" i="2"/>
  <c r="D544" i="2" s="1"/>
  <c r="G562" i="2"/>
  <c r="D562" i="2" s="1"/>
  <c r="G571" i="2"/>
  <c r="D571" i="2" s="1"/>
  <c r="G580" i="2"/>
  <c r="D580" i="2" s="1"/>
  <c r="G590" i="2"/>
  <c r="D590" i="2" s="1"/>
  <c r="G599" i="2"/>
  <c r="D599" i="2" s="1"/>
  <c r="G608" i="2"/>
  <c r="D608" i="2" s="1"/>
  <c r="G617" i="2"/>
  <c r="D617" i="2" s="1"/>
  <c r="G626" i="2"/>
  <c r="D626" i="2" s="1"/>
  <c r="G636" i="2"/>
  <c r="D636" i="2" s="1"/>
  <c r="G525" i="2"/>
  <c r="D525" i="2" s="1"/>
  <c r="G389" i="2"/>
  <c r="D389" i="2" s="1"/>
  <c r="G325" i="2"/>
  <c r="G349" i="2"/>
  <c r="D349" i="2" s="1"/>
  <c r="G533" i="2"/>
  <c r="D533" i="2" s="1"/>
  <c r="G557" i="2"/>
  <c r="D557" i="2" s="1"/>
  <c r="G26" i="2"/>
  <c r="G34" i="2"/>
  <c r="G42" i="2"/>
  <c r="G50" i="2"/>
  <c r="G58" i="2"/>
  <c r="G66" i="2"/>
  <c r="G74" i="2"/>
  <c r="G82" i="2"/>
  <c r="G90" i="2"/>
  <c r="G98" i="2"/>
  <c r="G106" i="2"/>
  <c r="G114" i="2"/>
  <c r="G122" i="2"/>
  <c r="G130" i="2"/>
  <c r="G138" i="2"/>
  <c r="G146" i="2"/>
  <c r="G154" i="2"/>
  <c r="G162" i="2"/>
  <c r="G170" i="2"/>
  <c r="G178" i="2"/>
  <c r="G186" i="2"/>
  <c r="G194" i="2"/>
  <c r="G202" i="2"/>
  <c r="G210" i="2"/>
  <c r="G218" i="2"/>
  <c r="G226" i="2"/>
  <c r="G234" i="2"/>
  <c r="G242" i="2"/>
  <c r="G250" i="2"/>
  <c r="G258" i="2"/>
  <c r="G266" i="2"/>
  <c r="G274" i="2"/>
  <c r="G282" i="2"/>
  <c r="G290" i="2"/>
  <c r="G298" i="2"/>
  <c r="G307" i="2"/>
  <c r="G316" i="2"/>
  <c r="G326" i="2"/>
  <c r="G335" i="2"/>
  <c r="G344" i="2"/>
  <c r="D344" i="2" s="1"/>
  <c r="G362" i="2"/>
  <c r="D362" i="2" s="1"/>
  <c r="G371" i="2"/>
  <c r="D371" i="2" s="1"/>
  <c r="G390" i="2"/>
  <c r="D390" i="2" s="1"/>
  <c r="G399" i="2"/>
  <c r="D399" i="2" s="1"/>
  <c r="G408" i="2"/>
  <c r="D408" i="2" s="1"/>
  <c r="G417" i="2"/>
  <c r="D417" i="2" s="1"/>
  <c r="G426" i="2"/>
  <c r="D426" i="2" s="1"/>
  <c r="G435" i="2"/>
  <c r="D435" i="2" s="1"/>
  <c r="G444" i="2"/>
  <c r="D444" i="2" s="1"/>
  <c r="G454" i="2"/>
  <c r="D454" i="2" s="1"/>
  <c r="G463" i="2"/>
  <c r="D463" i="2" s="1"/>
  <c r="G472" i="2"/>
  <c r="D472" i="2" s="1"/>
  <c r="G481" i="2"/>
  <c r="D481" i="2" s="1"/>
  <c r="G490" i="2"/>
  <c r="D490" i="2" s="1"/>
  <c r="G499" i="2"/>
  <c r="D499" i="2" s="1"/>
  <c r="G508" i="2"/>
  <c r="D508" i="2" s="1"/>
  <c r="G527" i="2"/>
  <c r="D527" i="2" s="1"/>
  <c r="G545" i="2"/>
  <c r="D545" i="2" s="1"/>
  <c r="G554" i="2"/>
  <c r="D554" i="2" s="1"/>
  <c r="G563" i="2"/>
  <c r="D563" i="2" s="1"/>
  <c r="G572" i="2"/>
  <c r="D572" i="2" s="1"/>
  <c r="G582" i="2"/>
  <c r="D582" i="2" s="1"/>
  <c r="G591" i="2"/>
  <c r="D591" i="2" s="1"/>
  <c r="G600" i="2"/>
  <c r="D600" i="2" s="1"/>
  <c r="G618" i="2"/>
  <c r="D618" i="2" s="1"/>
  <c r="G627" i="2"/>
  <c r="D627" i="2" s="1"/>
  <c r="G637" i="2"/>
  <c r="D637" i="2" s="1"/>
  <c r="G605" i="2"/>
  <c r="D605" i="2" s="1"/>
  <c r="G597" i="2"/>
  <c r="D597" i="2" s="1"/>
  <c r="G589" i="2"/>
  <c r="D589" i="2" s="1"/>
  <c r="G581" i="2"/>
  <c r="D581" i="2" s="1"/>
  <c r="G357" i="2"/>
  <c r="D357" i="2" s="1"/>
  <c r="G381" i="2"/>
  <c r="D381" i="2" s="1"/>
  <c r="G541" i="2"/>
  <c r="D541" i="2" s="1"/>
  <c r="G19" i="2"/>
  <c r="G27" i="2"/>
  <c r="G35" i="2"/>
  <c r="G43" i="2"/>
  <c r="G51" i="2"/>
  <c r="G59" i="2"/>
  <c r="G67" i="2"/>
  <c r="G75" i="2"/>
  <c r="G83" i="2"/>
  <c r="G91" i="2"/>
  <c r="G99" i="2"/>
  <c r="G107" i="2"/>
  <c r="G115" i="2"/>
  <c r="G123" i="2"/>
  <c r="G131" i="2"/>
  <c r="G139" i="2"/>
  <c r="G147" i="2"/>
  <c r="G155" i="2"/>
  <c r="G163" i="2"/>
  <c r="G171" i="2"/>
  <c r="G179" i="2"/>
  <c r="G187" i="2"/>
  <c r="G195" i="2"/>
  <c r="G203" i="2"/>
  <c r="G211" i="2"/>
  <c r="G219" i="2"/>
  <c r="G227" i="2"/>
  <c r="G235" i="2"/>
  <c r="G243" i="2"/>
  <c r="G251" i="2"/>
  <c r="G259" i="2"/>
  <c r="G267" i="2"/>
  <c r="G275" i="2"/>
  <c r="G291" i="2"/>
  <c r="G299" i="2"/>
  <c r="G308" i="2"/>
  <c r="G318" i="2"/>
  <c r="G327" i="2"/>
  <c r="G336" i="2"/>
  <c r="G345" i="2"/>
  <c r="D345" i="2" s="1"/>
  <c r="G354" i="2"/>
  <c r="D354" i="2" s="1"/>
  <c r="G363" i="2"/>
  <c r="D363" i="2" s="1"/>
  <c r="G391" i="2"/>
  <c r="D391" i="2" s="1"/>
  <c r="G400" i="2"/>
  <c r="D400" i="2" s="1"/>
  <c r="G409" i="2"/>
  <c r="D409" i="2" s="1"/>
  <c r="G418" i="2"/>
  <c r="D418" i="2" s="1"/>
  <c r="G427" i="2"/>
  <c r="D427" i="2" s="1"/>
  <c r="G436" i="2"/>
  <c r="D436" i="2" s="1"/>
  <c r="G446" i="2"/>
  <c r="D446" i="2" s="1"/>
  <c r="G455" i="2"/>
  <c r="D455" i="2" s="1"/>
  <c r="G464" i="2"/>
  <c r="D464" i="2" s="1"/>
  <c r="G473" i="2"/>
  <c r="D473" i="2" s="1"/>
  <c r="G491" i="2"/>
  <c r="D491" i="2" s="1"/>
  <c r="G510" i="2"/>
  <c r="D510" i="2" s="1"/>
  <c r="G519" i="2"/>
  <c r="D519" i="2" s="1"/>
  <c r="G528" i="2"/>
  <c r="D528" i="2" s="1"/>
  <c r="G537" i="2"/>
  <c r="D537" i="2" s="1"/>
  <c r="G555" i="2"/>
  <c r="D555" i="2" s="1"/>
  <c r="G574" i="2"/>
  <c r="D574" i="2" s="1"/>
  <c r="G583" i="2"/>
  <c r="D583" i="2" s="1"/>
  <c r="G592" i="2"/>
  <c r="D592" i="2" s="1"/>
  <c r="G601" i="2"/>
  <c r="D601" i="2" s="1"/>
  <c r="G610" i="2"/>
  <c r="D610" i="2" s="1"/>
  <c r="G619" i="2"/>
  <c r="D619" i="2" s="1"/>
  <c r="G639" i="2"/>
  <c r="D639" i="2" s="1"/>
  <c r="G373" i="2"/>
  <c r="D373" i="2" s="1"/>
  <c r="G365" i="2"/>
  <c r="D365" i="2" s="1"/>
  <c r="G565" i="2"/>
  <c r="D565" i="2" s="1"/>
  <c r="G629" i="2"/>
  <c r="D629" i="2" s="1"/>
  <c r="G20" i="2"/>
  <c r="G28" i="2"/>
  <c r="G36" i="2"/>
  <c r="G44" i="2"/>
  <c r="G52" i="2"/>
  <c r="G60" i="2"/>
  <c r="G68" i="2"/>
  <c r="G76" i="2"/>
  <c r="G84" i="2"/>
  <c r="G92" i="2"/>
  <c r="G100" i="2"/>
  <c r="G108" i="2"/>
  <c r="G124" i="2"/>
  <c r="G132" i="2"/>
  <c r="G140" i="2"/>
  <c r="G148" i="2"/>
  <c r="G156" i="2"/>
  <c r="G164" i="2"/>
  <c r="G172" i="2"/>
  <c r="G180" i="2"/>
  <c r="G188" i="2"/>
  <c r="G196" i="2"/>
  <c r="G204" i="2"/>
  <c r="G212" i="2"/>
  <c r="G220" i="2"/>
  <c r="G228" i="2"/>
  <c r="G236" i="2"/>
  <c r="G244" i="2"/>
  <c r="G252" i="2"/>
  <c r="G260" i="2"/>
  <c r="G268" i="2"/>
  <c r="G276" i="2"/>
  <c r="G292" i="2"/>
  <c r="G310" i="2"/>
  <c r="G319" i="2"/>
  <c r="G328" i="2"/>
  <c r="G337" i="2"/>
  <c r="D337" i="2" s="1"/>
  <c r="G346" i="2"/>
  <c r="D346" i="2" s="1"/>
  <c r="G355" i="2"/>
  <c r="D355" i="2" s="1"/>
  <c r="G364" i="2"/>
  <c r="D364" i="2" s="1"/>
  <c r="G374" i="2"/>
  <c r="D374" i="2" s="1"/>
  <c r="G383" i="2"/>
  <c r="D383" i="2" s="1"/>
  <c r="G392" i="2"/>
  <c r="D392" i="2" s="1"/>
  <c r="G401" i="2"/>
  <c r="D401" i="2" s="1"/>
  <c r="G410" i="2"/>
  <c r="D410" i="2" s="1"/>
  <c r="G428" i="2"/>
  <c r="D428" i="2" s="1"/>
  <c r="G438" i="2"/>
  <c r="D438" i="2" s="1"/>
  <c r="G447" i="2"/>
  <c r="D447" i="2" s="1"/>
  <c r="G465" i="2"/>
  <c r="D465" i="2" s="1"/>
  <c r="G483" i="2"/>
  <c r="D483" i="2" s="1"/>
  <c r="G502" i="2"/>
  <c r="D502" i="2" s="1"/>
  <c r="G511" i="2"/>
  <c r="D511" i="2" s="1"/>
  <c r="G520" i="2"/>
  <c r="D520" i="2" s="1"/>
  <c r="G529" i="2"/>
  <c r="D529" i="2" s="1"/>
  <c r="G538" i="2"/>
  <c r="D538" i="2" s="1"/>
  <c r="G547" i="2"/>
  <c r="D547" i="2" s="1"/>
  <c r="G556" i="2"/>
  <c r="D556" i="2" s="1"/>
  <c r="G566" i="2"/>
  <c r="D566" i="2" s="1"/>
  <c r="G575" i="2"/>
  <c r="D575" i="2" s="1"/>
  <c r="G584" i="2"/>
  <c r="D584" i="2" s="1"/>
  <c r="G593" i="2"/>
  <c r="D593" i="2" s="1"/>
  <c r="G602" i="2"/>
  <c r="D602" i="2" s="1"/>
  <c r="G611" i="2"/>
  <c r="D611" i="2" s="1"/>
  <c r="G620" i="2"/>
  <c r="D620" i="2" s="1"/>
  <c r="G630" i="2"/>
  <c r="D630" i="2" s="1"/>
  <c r="G640" i="2"/>
  <c r="D640" i="2" s="1"/>
  <c r="G413" i="2"/>
  <c r="D413" i="2" s="1"/>
  <c r="G405" i="2"/>
  <c r="D405" i="2" s="1"/>
  <c r="G397" i="2"/>
  <c r="D397" i="2" s="1"/>
  <c r="G461" i="2"/>
  <c r="D461" i="2" s="1"/>
  <c r="G477" i="2"/>
  <c r="D477" i="2" s="1"/>
  <c r="G469" i="2"/>
  <c r="D469" i="2" s="1"/>
  <c r="G69" i="2"/>
  <c r="G77" i="2"/>
  <c r="G85" i="2"/>
  <c r="G101" i="2"/>
  <c r="G117" i="2"/>
  <c r="G133" i="2"/>
  <c r="G141" i="2"/>
  <c r="G149" i="2"/>
  <c r="G157" i="2"/>
  <c r="G165" i="2"/>
  <c r="G173" i="2"/>
  <c r="G181" i="2"/>
  <c r="G189" i="2"/>
  <c r="G197" i="2"/>
  <c r="G205" i="2"/>
  <c r="G213" i="2"/>
  <c r="G229" i="2"/>
  <c r="G245" i="2"/>
  <c r="G253" i="2"/>
  <c r="G261" i="2"/>
  <c r="G285" i="2"/>
  <c r="G302" i="2"/>
  <c r="G320" i="2"/>
  <c r="G329" i="2"/>
  <c r="G338" i="2"/>
  <c r="D338" i="2" s="1"/>
  <c r="G347" i="2"/>
  <c r="D347" i="2" s="1"/>
  <c r="G356" i="2"/>
  <c r="D356" i="2" s="1"/>
  <c r="G366" i="2"/>
  <c r="D366" i="2" s="1"/>
  <c r="G375" i="2"/>
  <c r="D375" i="2" s="1"/>
  <c r="G393" i="2"/>
  <c r="D393" i="2" s="1"/>
  <c r="G402" i="2"/>
  <c r="D402" i="2" s="1"/>
  <c r="G411" i="2"/>
  <c r="D411" i="2" s="1"/>
  <c r="G420" i="2"/>
  <c r="D420" i="2" s="1"/>
  <c r="G430" i="2"/>
  <c r="D430" i="2" s="1"/>
  <c r="G439" i="2"/>
  <c r="D439" i="2" s="1"/>
  <c r="G448" i="2"/>
  <c r="D448" i="2" s="1"/>
  <c r="G457" i="2"/>
  <c r="D457" i="2" s="1"/>
  <c r="G466" i="2"/>
  <c r="D466" i="2" s="1"/>
  <c r="G475" i="2"/>
  <c r="D475" i="2" s="1"/>
  <c r="G484" i="2"/>
  <c r="D484" i="2" s="1"/>
  <c r="G494" i="2"/>
  <c r="D494" i="2" s="1"/>
  <c r="G503" i="2"/>
  <c r="D503" i="2" s="1"/>
  <c r="G512" i="2"/>
  <c r="D512" i="2" s="1"/>
  <c r="G530" i="2"/>
  <c r="D530" i="2" s="1"/>
  <c r="G539" i="2"/>
  <c r="D539" i="2" s="1"/>
  <c r="G548" i="2"/>
  <c r="D548" i="2" s="1"/>
  <c r="G558" i="2"/>
  <c r="D558" i="2" s="1"/>
  <c r="G567" i="2"/>
  <c r="D567" i="2" s="1"/>
  <c r="G576" i="2"/>
  <c r="D576" i="2" s="1"/>
  <c r="G585" i="2"/>
  <c r="D585" i="2" s="1"/>
  <c r="G594" i="2"/>
  <c r="D594" i="2" s="1"/>
  <c r="G603" i="2"/>
  <c r="D603" i="2" s="1"/>
  <c r="G612" i="2"/>
  <c r="D612" i="2" s="1"/>
  <c r="G622" i="2"/>
  <c r="D622" i="2" s="1"/>
  <c r="G641" i="2"/>
  <c r="D641" i="2" s="1"/>
  <c r="W338" i="2"/>
  <c r="X338" i="2" s="1"/>
  <c r="U338" i="2"/>
  <c r="V338" i="2" s="1"/>
  <c r="AA15" i="14"/>
  <c r="AA16" i="14"/>
  <c r="AA28" i="14"/>
  <c r="AA17" i="14"/>
  <c r="AA29" i="14"/>
  <c r="AA14" i="14"/>
  <c r="AA27" i="14"/>
  <c r="AA31" i="14"/>
  <c r="AA32" i="14"/>
  <c r="AA21" i="14"/>
  <c r="AA33" i="14"/>
  <c r="AA26" i="14"/>
  <c r="AA18" i="14"/>
  <c r="AA24" i="14"/>
  <c r="AA25" i="14"/>
  <c r="AA30" i="14"/>
  <c r="AA19" i="14"/>
  <c r="AA20" i="14"/>
  <c r="AA22" i="14"/>
  <c r="AA34" i="14"/>
  <c r="G22" i="23" l="1"/>
  <c r="H22" i="23" a="1"/>
  <c r="H22" i="23" s="1"/>
  <c r="G21" i="23"/>
  <c r="H21" i="23" a="1"/>
  <c r="H21" i="23" s="1"/>
  <c r="H30" i="23" a="1"/>
  <c r="H30" i="23" s="1"/>
  <c r="H36" i="23" a="1"/>
  <c r="H36" i="23" s="1"/>
  <c r="H23" i="23" a="1"/>
  <c r="H23" i="23" s="1"/>
  <c r="H29" i="23" a="1"/>
  <c r="H29" i="23" s="1"/>
  <c r="H25" i="23" a="1"/>
  <c r="H25" i="23" s="1"/>
  <c r="H33" i="23" a="1"/>
  <c r="H33" i="23" s="1"/>
  <c r="H34" i="23" a="1"/>
  <c r="H34" i="23" s="1"/>
  <c r="H32" i="23" a="1"/>
  <c r="H32" i="23" s="1"/>
  <c r="H26" i="23" a="1"/>
  <c r="H26" i="23" s="1"/>
  <c r="H31" i="23" a="1"/>
  <c r="H31" i="23" s="1"/>
  <c r="H28" i="23" a="1"/>
  <c r="H28" i="23" s="1"/>
  <c r="I33" i="22" a="1"/>
  <c r="I33" i="22" s="1"/>
  <c r="I39" i="22" a="1"/>
  <c r="I39" i="22" s="1"/>
  <c r="I37" i="22" a="1"/>
  <c r="I37" i="22" s="1"/>
  <c r="I30" i="22" a="1"/>
  <c r="I30" i="22" s="1"/>
  <c r="I34" i="22" a="1"/>
  <c r="I34" i="22" s="1"/>
  <c r="I32" i="22" a="1"/>
  <c r="I32" i="22" s="1"/>
  <c r="I38" i="22" a="1"/>
  <c r="I38" i="22" s="1"/>
  <c r="I36" i="22" a="1"/>
  <c r="I36" i="22" s="1"/>
  <c r="I31" i="22" a="1"/>
  <c r="I31" i="22" s="1"/>
  <c r="I28" i="22" a="1"/>
  <c r="I28" i="22" s="1"/>
  <c r="I35" i="22" a="1"/>
  <c r="I35" i="22" s="1"/>
  <c r="I29" i="22" a="1"/>
  <c r="I29" i="22" s="1"/>
  <c r="AH3" i="14"/>
  <c r="AI3" i="14" s="1"/>
  <c r="AH27" i="14" l="1"/>
  <c r="AH11" i="14"/>
  <c r="AH19" i="14"/>
  <c r="AH4" i="14"/>
  <c r="AH12" i="14"/>
  <c r="AH20" i="14"/>
  <c r="AH28" i="14"/>
  <c r="AH5" i="14"/>
  <c r="AH13" i="14"/>
  <c r="AH21" i="14"/>
  <c r="AH29" i="14"/>
  <c r="AH6" i="14"/>
  <c r="AH14" i="14"/>
  <c r="AH22" i="14"/>
  <c r="AH30" i="14"/>
  <c r="AH7" i="14"/>
  <c r="AH15" i="14"/>
  <c r="AH23" i="14"/>
  <c r="AH31" i="14"/>
  <c r="AH8" i="14"/>
  <c r="AH16" i="14"/>
  <c r="AH24" i="14"/>
  <c r="AH32" i="14"/>
  <c r="AH9" i="14"/>
  <c r="AH17" i="14"/>
  <c r="AH25" i="14"/>
  <c r="AH33" i="14"/>
  <c r="AH10" i="14"/>
  <c r="AH18" i="14"/>
  <c r="AH26" i="14"/>
  <c r="AH34" i="14"/>
  <c r="AI33" i="14"/>
  <c r="AI28" i="14"/>
  <c r="AI23" i="14"/>
  <c r="AI21" i="14"/>
  <c r="AI34" i="14"/>
  <c r="AI32" i="14"/>
  <c r="AI30" i="14"/>
  <c r="AI27" i="14"/>
  <c r="AI24" i="14"/>
  <c r="AI22" i="14"/>
  <c r="AI31" i="14"/>
  <c r="AI19" i="14"/>
  <c r="AI17" i="14"/>
  <c r="AI15" i="14"/>
  <c r="AI29" i="14"/>
  <c r="AI25" i="14"/>
  <c r="AI26" i="14"/>
  <c r="AI6" i="14"/>
  <c r="AI8" i="14"/>
  <c r="AI20" i="14"/>
  <c r="AI16" i="14"/>
  <c r="AI14" i="14"/>
  <c r="AI12" i="14"/>
  <c r="AI10" i="14"/>
  <c r="AI18" i="14"/>
  <c r="AI13" i="14"/>
  <c r="AI11" i="14"/>
  <c r="AI9" i="14"/>
  <c r="AI7" i="14"/>
  <c r="AI5" i="14"/>
  <c r="AJ3" i="14"/>
  <c r="AI4" i="14"/>
  <c r="AK3" i="14" l="1"/>
  <c r="AJ34" i="14"/>
  <c r="AJ32" i="14"/>
  <c r="AJ30" i="14"/>
  <c r="AJ28" i="14"/>
  <c r="AJ26" i="14"/>
  <c r="AJ24" i="14"/>
  <c r="AJ33" i="14"/>
  <c r="AJ31" i="14"/>
  <c r="AJ25" i="14"/>
  <c r="AJ19" i="14"/>
  <c r="AJ17" i="14"/>
  <c r="AJ15" i="14"/>
  <c r="AJ29" i="14"/>
  <c r="AJ23" i="14"/>
  <c r="AJ27" i="14"/>
  <c r="AJ20" i="14"/>
  <c r="AJ16" i="14"/>
  <c r="AJ14" i="14"/>
  <c r="AJ12" i="14"/>
  <c r="AJ10" i="14"/>
  <c r="AJ8" i="14"/>
  <c r="AJ6" i="14"/>
  <c r="AJ4" i="14"/>
  <c r="AJ22" i="14"/>
  <c r="AJ18" i="14"/>
  <c r="AJ13" i="14"/>
  <c r="AJ11" i="14"/>
  <c r="AJ9" i="14"/>
  <c r="AJ21" i="14"/>
  <c r="AJ7" i="14"/>
  <c r="AJ5" i="14"/>
  <c r="AA4" i="14"/>
  <c r="D18" i="14"/>
  <c r="D19" i="14"/>
  <c r="D20" i="14"/>
  <c r="D21" i="14"/>
  <c r="D22" i="14"/>
  <c r="D23" i="14"/>
  <c r="D24" i="14"/>
  <c r="D25" i="14"/>
  <c r="D26" i="14"/>
  <c r="D27" i="14"/>
  <c r="D28" i="14"/>
  <c r="D29" i="14"/>
  <c r="D30" i="14"/>
  <c r="D31" i="14"/>
  <c r="D32" i="14"/>
  <c r="D33" i="14"/>
  <c r="D34" i="14"/>
  <c r="AB4" i="14"/>
  <c r="AB5" i="14"/>
  <c r="AB6" i="14"/>
  <c r="AB7" i="14"/>
  <c r="AB8" i="14"/>
  <c r="AB9" i="14"/>
  <c r="AB10" i="14"/>
  <c r="AB11" i="14"/>
  <c r="AB12" i="14"/>
  <c r="AB13" i="14"/>
  <c r="AB14" i="14"/>
  <c r="AB15" i="14"/>
  <c r="AB16" i="14"/>
  <c r="AB17" i="14"/>
  <c r="AB18" i="14"/>
  <c r="AB19" i="14"/>
  <c r="AB20" i="14"/>
  <c r="AB21" i="14"/>
  <c r="AB22" i="14"/>
  <c r="AB23" i="14"/>
  <c r="AB24" i="14"/>
  <c r="AB25" i="14"/>
  <c r="AB26" i="14"/>
  <c r="AB27" i="14"/>
  <c r="AB28" i="14"/>
  <c r="AB29" i="14"/>
  <c r="AB30" i="14"/>
  <c r="AB31" i="14"/>
  <c r="AB32" i="14"/>
  <c r="AB33" i="14"/>
  <c r="AB34" i="14"/>
  <c r="B18" i="14" a="1"/>
  <c r="B18" i="14" s="1"/>
  <c r="B19" i="14" a="1"/>
  <c r="B19" i="14" s="1"/>
  <c r="B20" i="14" a="1"/>
  <c r="B20" i="14" s="1"/>
  <c r="B21" i="14" a="1"/>
  <c r="B21" i="14" s="1"/>
  <c r="B22" i="14" a="1"/>
  <c r="B22" i="14" s="1"/>
  <c r="B23" i="14" a="1"/>
  <c r="B23" i="14" s="1"/>
  <c r="B24" i="14" a="1"/>
  <c r="B24" i="14" s="1"/>
  <c r="B25" i="14" a="1"/>
  <c r="B25" i="14" s="1"/>
  <c r="B26" i="14" a="1"/>
  <c r="B26" i="14" s="1"/>
  <c r="B27" i="14" a="1"/>
  <c r="B27" i="14" s="1"/>
  <c r="B28" i="14" a="1"/>
  <c r="B28" i="14" s="1"/>
  <c r="B29" i="14" a="1"/>
  <c r="B29" i="14" s="1"/>
  <c r="B30" i="14" a="1"/>
  <c r="B30" i="14" s="1"/>
  <c r="B31" i="14" a="1"/>
  <c r="B31" i="14" s="1"/>
  <c r="B32" i="14" a="1"/>
  <c r="B32" i="14" s="1"/>
  <c r="B33" i="14" a="1"/>
  <c r="B33" i="14" s="1"/>
  <c r="B34" i="14" a="1"/>
  <c r="B34" i="14" s="1"/>
  <c r="G4" i="13"/>
  <c r="G6" i="13"/>
  <c r="G8" i="13"/>
  <c r="G13" i="13"/>
  <c r="G15" i="13"/>
  <c r="G17" i="13"/>
  <c r="G20" i="13"/>
  <c r="G22" i="13"/>
  <c r="H39" i="12"/>
  <c r="H38" i="12"/>
  <c r="H37" i="12"/>
  <c r="H36" i="12"/>
  <c r="H35" i="12"/>
  <c r="H34" i="12"/>
  <c r="H33" i="12"/>
  <c r="H32" i="12"/>
  <c r="H31" i="12"/>
  <c r="H30" i="12"/>
  <c r="H29" i="12"/>
  <c r="H28" i="12"/>
  <c r="H27" i="12"/>
  <c r="H26" i="12"/>
  <c r="H25" i="12"/>
  <c r="H24" i="12"/>
  <c r="H23" i="12"/>
  <c r="H39" i="9"/>
  <c r="H38" i="9"/>
  <c r="H37" i="9"/>
  <c r="H36" i="9"/>
  <c r="H35" i="9"/>
  <c r="H34" i="9"/>
  <c r="H33" i="9"/>
  <c r="H32" i="9"/>
  <c r="H31" i="9"/>
  <c r="H30" i="9"/>
  <c r="H29" i="9"/>
  <c r="H28" i="9"/>
  <c r="H36" i="10"/>
  <c r="H35" i="10"/>
  <c r="H34" i="10"/>
  <c r="H33" i="10"/>
  <c r="H32" i="10"/>
  <c r="H31" i="10"/>
  <c r="H30" i="10"/>
  <c r="H29" i="10"/>
  <c r="H28" i="10"/>
  <c r="H27" i="10"/>
  <c r="H26" i="10"/>
  <c r="H25" i="10"/>
  <c r="G36" i="7"/>
  <c r="G35" i="7"/>
  <c r="G34" i="7"/>
  <c r="G33" i="7"/>
  <c r="G32" i="7"/>
  <c r="G31" i="7"/>
  <c r="G30" i="7"/>
  <c r="G29" i="7"/>
  <c r="G28" i="7"/>
  <c r="G27" i="7"/>
  <c r="G26" i="7"/>
  <c r="G25" i="7"/>
  <c r="G24" i="7"/>
  <c r="G23" i="7"/>
  <c r="G22" i="7"/>
  <c r="G36" i="4"/>
  <c r="G35" i="4"/>
  <c r="G34" i="4"/>
  <c r="G33" i="4"/>
  <c r="G32" i="4"/>
  <c r="G31" i="4"/>
  <c r="G30" i="4"/>
  <c r="G29" i="4"/>
  <c r="G28" i="4"/>
  <c r="G27" i="4"/>
  <c r="G26" i="4"/>
  <c r="G25" i="4"/>
  <c r="G24" i="4"/>
  <c r="G23" i="4"/>
  <c r="B26" i="15"/>
  <c r="F20" i="13"/>
  <c r="I6" i="12"/>
  <c r="I6" i="9"/>
  <c r="I6" i="10"/>
  <c r="H6" i="4"/>
  <c r="I5" i="10"/>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I3" i="17"/>
  <c r="O3" i="17" s="1"/>
  <c r="I4" i="17"/>
  <c r="O4" i="17" s="1"/>
  <c r="I5" i="17"/>
  <c r="O5" i="17" s="1"/>
  <c r="I6" i="17"/>
  <c r="O6" i="17" s="1"/>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C8" i="14" l="1"/>
  <c r="C4" i="14"/>
  <c r="AL3" i="14"/>
  <c r="AK34" i="14"/>
  <c r="AK32" i="14"/>
  <c r="AK30" i="14"/>
  <c r="AK28" i="14"/>
  <c r="AK26" i="14"/>
  <c r="AK33" i="14"/>
  <c r="AK31" i="14"/>
  <c r="AK25" i="14"/>
  <c r="AK23" i="14"/>
  <c r="AK29" i="14"/>
  <c r="AK27" i="14"/>
  <c r="AK24" i="14"/>
  <c r="AK22" i="14"/>
  <c r="AK20" i="14"/>
  <c r="AK16" i="14"/>
  <c r="AK14" i="14"/>
  <c r="AK12" i="14"/>
  <c r="AK10" i="14"/>
  <c r="AK8" i="14"/>
  <c r="AK6" i="14"/>
  <c r="AK4" i="14"/>
  <c r="AK17" i="14"/>
  <c r="AK18" i="14"/>
  <c r="AK13" i="14"/>
  <c r="AK11" i="14"/>
  <c r="AK9" i="14"/>
  <c r="AK21" i="14"/>
  <c r="AK7" i="14"/>
  <c r="AK15" i="14"/>
  <c r="AK19" i="14"/>
  <c r="AK5" i="14"/>
  <c r="C17" i="14"/>
  <c r="C10" i="14"/>
  <c r="C9" i="14"/>
  <c r="C11" i="14"/>
  <c r="C7" i="14"/>
  <c r="C15" i="14"/>
  <c r="Y4" i="14"/>
  <c r="Y5" i="14"/>
  <c r="Y6" i="14"/>
  <c r="Y7" i="14"/>
  <c r="Y8" i="14"/>
  <c r="I5" i="12" s="1"/>
  <c r="Y9" i="14"/>
  <c r="Y10" i="14"/>
  <c r="Y11" i="14"/>
  <c r="Y12" i="14"/>
  <c r="Y13" i="14"/>
  <c r="Y14" i="14"/>
  <c r="Y15" i="14"/>
  <c r="Y16" i="14"/>
  <c r="Y17" i="14"/>
  <c r="Y18" i="14"/>
  <c r="Y19" i="14"/>
  <c r="Y20" i="14"/>
  <c r="Y21" i="14"/>
  <c r="Y22" i="14"/>
  <c r="Y23" i="14"/>
  <c r="Y24" i="14"/>
  <c r="Y25" i="14"/>
  <c r="Y26" i="14"/>
  <c r="Y27" i="14"/>
  <c r="Y28" i="14"/>
  <c r="Y29" i="14"/>
  <c r="Y30" i="14"/>
  <c r="Y31" i="14"/>
  <c r="Y32" i="14"/>
  <c r="Y33" i="14"/>
  <c r="Y34" i="14"/>
  <c r="W4" i="14"/>
  <c r="W5" i="14"/>
  <c r="W6" i="14"/>
  <c r="W7" i="14"/>
  <c r="W8" i="14"/>
  <c r="W9" i="14"/>
  <c r="W10" i="14"/>
  <c r="W11" i="14"/>
  <c r="W12" i="14"/>
  <c r="W13" i="14"/>
  <c r="W14" i="14"/>
  <c r="W15" i="14"/>
  <c r="W16" i="14"/>
  <c r="W17" i="14"/>
  <c r="W18" i="14"/>
  <c r="W19" i="14"/>
  <c r="W20" i="14"/>
  <c r="W21" i="14"/>
  <c r="W22" i="14"/>
  <c r="W23" i="14"/>
  <c r="W24" i="14"/>
  <c r="W25" i="14"/>
  <c r="W26" i="14"/>
  <c r="W27" i="14"/>
  <c r="W28" i="14"/>
  <c r="W29" i="14"/>
  <c r="W30" i="14"/>
  <c r="W31" i="14"/>
  <c r="W32" i="14"/>
  <c r="W33" i="14"/>
  <c r="W34" i="14"/>
  <c r="Q3" i="2"/>
  <c r="Q4" i="2"/>
  <c r="Q5" i="2"/>
  <c r="Q6" i="2"/>
  <c r="Q7" i="2"/>
  <c r="Q8" i="2"/>
  <c r="Q9" i="2"/>
  <c r="Q10" i="2"/>
  <c r="Q11" i="2"/>
  <c r="Q12" i="2"/>
  <c r="Q13" i="2"/>
  <c r="Q14" i="2"/>
  <c r="Q15" i="2"/>
  <c r="Q16" i="2"/>
  <c r="Q17" i="2"/>
  <c r="Q18" i="2"/>
  <c r="Q19" i="2"/>
  <c r="Q20" i="2"/>
  <c r="Q21"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337"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S19" i="2"/>
  <c r="T19" i="2" s="1"/>
  <c r="W19" i="2" s="1"/>
  <c r="S20" i="2"/>
  <c r="T20" i="2" s="1"/>
  <c r="W20" i="2" s="1"/>
  <c r="S21" i="2"/>
  <c r="T21" i="2" s="1"/>
  <c r="W21" i="2" s="1"/>
  <c r="S22" i="2"/>
  <c r="S23" i="2"/>
  <c r="S31" i="2"/>
  <c r="T31" i="2" s="1"/>
  <c r="W31" i="2" s="1"/>
  <c r="S32" i="2"/>
  <c r="T32" i="2" s="1"/>
  <c r="W32" i="2" s="1"/>
  <c r="S33" i="2"/>
  <c r="T33" i="2" s="1"/>
  <c r="W33" i="2" s="1"/>
  <c r="S34" i="2"/>
  <c r="T34" i="2" s="1"/>
  <c r="W34" i="2" s="1"/>
  <c r="S35" i="2"/>
  <c r="T35" i="2" s="1"/>
  <c r="W35" i="2" s="1"/>
  <c r="S36" i="2"/>
  <c r="T36" i="2" s="1"/>
  <c r="W36" i="2" s="1"/>
  <c r="S37" i="2"/>
  <c r="T37" i="2" s="1"/>
  <c r="W37" i="2" s="1"/>
  <c r="S52" i="2"/>
  <c r="T52" i="2" s="1"/>
  <c r="W52" i="2" s="1"/>
  <c r="S53" i="2"/>
  <c r="T53" i="2" s="1"/>
  <c r="W53" i="2" s="1"/>
  <c r="S282" i="2"/>
  <c r="T282" i="2" s="1"/>
  <c r="W282" i="2" s="1"/>
  <c r="S301" i="2"/>
  <c r="T301" i="2" s="1"/>
  <c r="S302" i="2"/>
  <c r="T302" i="2" s="1"/>
  <c r="S303" i="2"/>
  <c r="T303" i="2" s="1"/>
  <c r="S304" i="2"/>
  <c r="T304" i="2" s="1"/>
  <c r="S305" i="2"/>
  <c r="T305" i="2" s="1"/>
  <c r="S306" i="2"/>
  <c r="T306" i="2" s="1"/>
  <c r="S307" i="2"/>
  <c r="T307" i="2" s="1"/>
  <c r="S308" i="2"/>
  <c r="T308" i="2" s="1"/>
  <c r="W308" i="2" s="1"/>
  <c r="S309" i="2"/>
  <c r="T309" i="2" s="1"/>
  <c r="W309" i="2" s="1"/>
  <c r="S310" i="2"/>
  <c r="T310" i="2" s="1"/>
  <c r="W310" i="2" s="1"/>
  <c r="S311" i="2"/>
  <c r="T311" i="2" s="1"/>
  <c r="W311" i="2" s="1"/>
  <c r="S312" i="2"/>
  <c r="T312" i="2" s="1"/>
  <c r="S313" i="2"/>
  <c r="T313" i="2" s="1"/>
  <c r="S314" i="2"/>
  <c r="T314" i="2" s="1"/>
  <c r="S315" i="2"/>
  <c r="T315" i="2" s="1"/>
  <c r="S317" i="2"/>
  <c r="T317" i="2" s="1"/>
  <c r="W317" i="2" s="1"/>
  <c r="S318" i="2"/>
  <c r="T318" i="2" s="1"/>
  <c r="S319" i="2"/>
  <c r="T319" i="2" s="1"/>
  <c r="S320" i="2"/>
  <c r="T320" i="2" s="1"/>
  <c r="S321" i="2"/>
  <c r="T321" i="2" s="1"/>
  <c r="S322" i="2"/>
  <c r="T322" i="2" s="1"/>
  <c r="S323" i="2"/>
  <c r="T323" i="2" s="1"/>
  <c r="S324" i="2"/>
  <c r="T324" i="2" s="1"/>
  <c r="S325" i="2"/>
  <c r="T325" i="2" s="1"/>
  <c r="S326" i="2"/>
  <c r="T326" i="2" s="1"/>
  <c r="S327" i="2"/>
  <c r="T327" i="2" s="1"/>
  <c r="S333" i="2"/>
  <c r="T333" i="2" s="1"/>
  <c r="W333" i="2" s="1"/>
  <c r="S334" i="2"/>
  <c r="T334" i="2" s="1"/>
  <c r="W334" i="2" s="1"/>
  <c r="S335" i="2"/>
  <c r="T335" i="2" s="1"/>
  <c r="W335" i="2" s="1"/>
  <c r="S336" i="2"/>
  <c r="T336" i="2" s="1"/>
  <c r="W336" i="2" s="1"/>
  <c r="S339" i="2"/>
  <c r="T339" i="2" s="1"/>
  <c r="W339" i="2" s="1"/>
  <c r="S340" i="2"/>
  <c r="T340" i="2" s="1"/>
  <c r="W340" i="2" s="1"/>
  <c r="S341" i="2"/>
  <c r="T341" i="2" s="1"/>
  <c r="W341" i="2" s="1"/>
  <c r="S342" i="2"/>
  <c r="T342" i="2" s="1"/>
  <c r="W342" i="2" s="1"/>
  <c r="S343" i="2"/>
  <c r="T343" i="2" s="1"/>
  <c r="W343" i="2" s="1"/>
  <c r="S344" i="2"/>
  <c r="T344" i="2" s="1"/>
  <c r="W344" i="2" s="1"/>
  <c r="S345" i="2"/>
  <c r="T345" i="2" s="1"/>
  <c r="W345" i="2" s="1"/>
  <c r="S346" i="2"/>
  <c r="T346" i="2" s="1"/>
  <c r="W346" i="2" s="1"/>
  <c r="S347" i="2"/>
  <c r="T347" i="2" s="1"/>
  <c r="W347" i="2" s="1"/>
  <c r="S348" i="2"/>
  <c r="T348" i="2" s="1"/>
  <c r="W348" i="2" s="1"/>
  <c r="S349" i="2"/>
  <c r="T349" i="2" s="1"/>
  <c r="W349" i="2" s="1"/>
  <c r="S350" i="2"/>
  <c r="T350" i="2" s="1"/>
  <c r="W350" i="2" s="1"/>
  <c r="S352" i="2"/>
  <c r="T352" i="2" s="1"/>
  <c r="W352" i="2" s="1"/>
  <c r="S382" i="2"/>
  <c r="T382" i="2" s="1"/>
  <c r="W382" i="2" s="1"/>
  <c r="S383" i="2"/>
  <c r="T383" i="2" s="1"/>
  <c r="W383" i="2" s="1"/>
  <c r="S386" i="2"/>
  <c r="T386" i="2" s="1"/>
  <c r="W386" i="2" s="1"/>
  <c r="S387" i="2"/>
  <c r="T387" i="2" s="1"/>
  <c r="W387" i="2" s="1"/>
  <c r="S388" i="2"/>
  <c r="T388" i="2" s="1"/>
  <c r="W388" i="2" s="1"/>
  <c r="S389" i="2"/>
  <c r="T389" i="2" s="1"/>
  <c r="W389" i="2" s="1"/>
  <c r="S390" i="2"/>
  <c r="T390" i="2" s="1"/>
  <c r="W390" i="2" s="1"/>
  <c r="S391" i="2"/>
  <c r="T391" i="2" s="1"/>
  <c r="W391" i="2" s="1"/>
  <c r="S392" i="2"/>
  <c r="T392" i="2" s="1"/>
  <c r="W392" i="2" s="1"/>
  <c r="S393" i="2"/>
  <c r="T393" i="2" s="1"/>
  <c r="W393" i="2" s="1"/>
  <c r="S394" i="2"/>
  <c r="T394" i="2" s="1"/>
  <c r="W394" i="2" s="1"/>
  <c r="B23" i="15"/>
  <c r="B44" i="15"/>
  <c r="C11" i="15"/>
  <c r="B45" i="15" s="1"/>
  <c r="A41" i="7"/>
  <c r="A40" i="7"/>
  <c r="A39" i="7"/>
  <c r="B38" i="15"/>
  <c r="B41" i="15"/>
  <c r="B48" i="15"/>
  <c r="B47" i="15"/>
  <c r="B46" i="15"/>
  <c r="B31" i="15"/>
  <c r="B27" i="15"/>
  <c r="B25" i="15"/>
  <c r="B22" i="15"/>
  <c r="C3" i="15"/>
  <c r="B19" i="15" s="1"/>
  <c r="C14" i="15"/>
  <c r="B42" i="15" s="1"/>
  <c r="C13" i="15"/>
  <c r="B39" i="15" s="1"/>
  <c r="C12" i="15"/>
  <c r="B53" i="15" s="1"/>
  <c r="C10" i="15"/>
  <c r="B36" i="15" s="1"/>
  <c r="C9" i="15"/>
  <c r="B35" i="15" s="1"/>
  <c r="C8" i="15"/>
  <c r="B34" i="15" s="1"/>
  <c r="C7" i="15"/>
  <c r="B33" i="15" s="1"/>
  <c r="C6" i="15"/>
  <c r="B32" i="15" s="1"/>
  <c r="K11" i="15"/>
  <c r="K10" i="15"/>
  <c r="K9" i="15"/>
  <c r="C5" i="14"/>
  <c r="C14" i="14"/>
  <c r="C18" i="14"/>
  <c r="C19" i="14"/>
  <c r="C20" i="14"/>
  <c r="C21" i="14"/>
  <c r="C22" i="14"/>
  <c r="C23" i="14"/>
  <c r="C24" i="14"/>
  <c r="C25" i="14"/>
  <c r="C26" i="14"/>
  <c r="C27" i="14"/>
  <c r="C28" i="14"/>
  <c r="C29" i="14"/>
  <c r="C30" i="14"/>
  <c r="C31" i="14"/>
  <c r="C32" i="14"/>
  <c r="C33" i="14"/>
  <c r="C34" i="14"/>
  <c r="C12" i="14" l="1"/>
  <c r="B6" i="22"/>
  <c r="C13" i="14"/>
  <c r="A6" i="4"/>
  <c r="B6" i="12"/>
  <c r="AM3" i="14"/>
  <c r="AL29" i="14"/>
  <c r="AL26" i="14"/>
  <c r="AL22" i="14"/>
  <c r="AL34" i="14"/>
  <c r="AL31" i="14"/>
  <c r="AL23" i="14"/>
  <c r="AL33" i="14"/>
  <c r="AL27" i="14"/>
  <c r="AL25" i="14"/>
  <c r="AL24" i="14"/>
  <c r="AL30" i="14"/>
  <c r="AL28" i="14"/>
  <c r="AL32" i="14"/>
  <c r="AL19" i="14"/>
  <c r="AL17" i="14"/>
  <c r="AL15" i="14"/>
  <c r="AL18" i="14"/>
  <c r="AL13" i="14"/>
  <c r="AL11" i="14"/>
  <c r="AL9" i="14"/>
  <c r="AL21" i="14"/>
  <c r="AL7" i="14"/>
  <c r="AL4" i="14"/>
  <c r="AL14" i="14"/>
  <c r="AL12" i="14"/>
  <c r="AL10" i="14"/>
  <c r="AL5" i="14"/>
  <c r="AL16" i="14"/>
  <c r="AL8" i="14"/>
  <c r="AL20" i="14"/>
  <c r="AL6" i="14"/>
  <c r="C6" i="14"/>
  <c r="C4" i="15" s="1"/>
  <c r="B18" i="15" s="1"/>
  <c r="B6" i="9"/>
  <c r="I5" i="9"/>
  <c r="U306" i="2"/>
  <c r="V306" i="2" s="1"/>
  <c r="W306" i="2"/>
  <c r="U322" i="2"/>
  <c r="V322" i="2" s="1"/>
  <c r="W322" i="2"/>
  <c r="U313" i="2"/>
  <c r="V313" i="2" s="1"/>
  <c r="W313" i="2"/>
  <c r="U305" i="2"/>
  <c r="V305" i="2" s="1"/>
  <c r="W305" i="2"/>
  <c r="U314" i="2"/>
  <c r="V314" i="2" s="1"/>
  <c r="W314" i="2"/>
  <c r="U312" i="2"/>
  <c r="V312" i="2" s="1"/>
  <c r="W312" i="2"/>
  <c r="U320" i="2"/>
  <c r="V320" i="2" s="1"/>
  <c r="W320" i="2"/>
  <c r="U303" i="2"/>
  <c r="V303" i="2" s="1"/>
  <c r="W303" i="2"/>
  <c r="U327" i="2"/>
  <c r="V327" i="2" s="1"/>
  <c r="W327" i="2"/>
  <c r="U302" i="2"/>
  <c r="V302" i="2" s="1"/>
  <c r="W302" i="2"/>
  <c r="U323" i="2"/>
  <c r="V323" i="2" s="1"/>
  <c r="W323" i="2"/>
  <c r="U321" i="2"/>
  <c r="V321" i="2" s="1"/>
  <c r="W321" i="2"/>
  <c r="U301" i="2"/>
  <c r="V301" i="2" s="1"/>
  <c r="W301" i="2"/>
  <c r="U325" i="2"/>
  <c r="V325" i="2" s="1"/>
  <c r="W325" i="2"/>
  <c r="U304" i="2"/>
  <c r="V304" i="2" s="1"/>
  <c r="W304" i="2"/>
  <c r="U319" i="2"/>
  <c r="V319" i="2" s="1"/>
  <c r="W319" i="2"/>
  <c r="U326" i="2"/>
  <c r="V326" i="2" s="1"/>
  <c r="W326" i="2"/>
  <c r="U318" i="2"/>
  <c r="V318" i="2" s="1"/>
  <c r="W318" i="2"/>
  <c r="U324" i="2"/>
  <c r="V324" i="2" s="1"/>
  <c r="W324" i="2"/>
  <c r="U315" i="2"/>
  <c r="V315" i="2" s="1"/>
  <c r="W315" i="2"/>
  <c r="U307" i="2"/>
  <c r="V307" i="2" s="1"/>
  <c r="W307" i="2"/>
  <c r="X394" i="2"/>
  <c r="U394" i="2"/>
  <c r="V394" i="2" s="1"/>
  <c r="X386" i="2"/>
  <c r="U386" i="2"/>
  <c r="V386" i="2" s="1"/>
  <c r="X20" i="2"/>
  <c r="U20" i="2"/>
  <c r="V20" i="2" s="1"/>
  <c r="X339" i="2"/>
  <c r="U339" i="2"/>
  <c r="V339" i="2" s="1"/>
  <c r="X390" i="2"/>
  <c r="U390" i="2"/>
  <c r="V390" i="2" s="1"/>
  <c r="X346" i="2"/>
  <c r="U346" i="2"/>
  <c r="V346" i="2" s="1"/>
  <c r="X336" i="2"/>
  <c r="U336" i="2"/>
  <c r="V336" i="2" s="1"/>
  <c r="X52" i="2"/>
  <c r="U52" i="2"/>
  <c r="V52" i="2" s="1"/>
  <c r="X393" i="2"/>
  <c r="U393" i="2"/>
  <c r="V393" i="2" s="1"/>
  <c r="X345" i="2"/>
  <c r="U345" i="2"/>
  <c r="V345" i="2" s="1"/>
  <c r="X335" i="2"/>
  <c r="U335" i="2"/>
  <c r="V335" i="2" s="1"/>
  <c r="X311" i="2"/>
  <c r="U311" i="2"/>
  <c r="V311" i="2" s="1"/>
  <c r="X37" i="2"/>
  <c r="U37" i="2"/>
  <c r="V37" i="2" s="1"/>
  <c r="X19" i="2"/>
  <c r="U19" i="2"/>
  <c r="V19" i="2" s="1"/>
  <c r="X392" i="2"/>
  <c r="U392" i="2"/>
  <c r="V392" i="2" s="1"/>
  <c r="X352" i="2"/>
  <c r="U352" i="2"/>
  <c r="V352" i="2" s="1"/>
  <c r="X344" i="2"/>
  <c r="U344" i="2"/>
  <c r="V344" i="2" s="1"/>
  <c r="X334" i="2"/>
  <c r="U334" i="2"/>
  <c r="V334" i="2" s="1"/>
  <c r="X310" i="2"/>
  <c r="U310" i="2"/>
  <c r="V310" i="2" s="1"/>
  <c r="X36" i="2"/>
  <c r="U36" i="2"/>
  <c r="V36" i="2" s="1"/>
  <c r="X391" i="2"/>
  <c r="U391" i="2"/>
  <c r="V391" i="2" s="1"/>
  <c r="X383" i="2"/>
  <c r="U383" i="2"/>
  <c r="V383" i="2" s="1"/>
  <c r="X343" i="2"/>
  <c r="U343" i="2"/>
  <c r="V343" i="2" s="1"/>
  <c r="X333" i="2"/>
  <c r="U333" i="2"/>
  <c r="V333" i="2" s="1"/>
  <c r="X317" i="2"/>
  <c r="U317" i="2"/>
  <c r="V317" i="2" s="1"/>
  <c r="X309" i="2"/>
  <c r="U309" i="2"/>
  <c r="V309" i="2" s="1"/>
  <c r="X35" i="2"/>
  <c r="U35" i="2"/>
  <c r="V35" i="2" s="1"/>
  <c r="X382" i="2"/>
  <c r="U382" i="2"/>
  <c r="V382" i="2" s="1"/>
  <c r="X350" i="2"/>
  <c r="U350" i="2"/>
  <c r="V350" i="2" s="1"/>
  <c r="X342" i="2"/>
  <c r="U342" i="2"/>
  <c r="V342" i="2" s="1"/>
  <c r="X308" i="2"/>
  <c r="U308" i="2"/>
  <c r="V308" i="2" s="1"/>
  <c r="X34" i="2"/>
  <c r="U34" i="2"/>
  <c r="V34" i="2" s="1"/>
  <c r="X389" i="2"/>
  <c r="U389" i="2"/>
  <c r="V389" i="2" s="1"/>
  <c r="X349" i="2"/>
  <c r="U349" i="2"/>
  <c r="V349" i="2" s="1"/>
  <c r="X341" i="2"/>
  <c r="U341" i="2"/>
  <c r="V341" i="2" s="1"/>
  <c r="X388" i="2"/>
  <c r="U388" i="2"/>
  <c r="V388" i="2" s="1"/>
  <c r="X348" i="2"/>
  <c r="U348" i="2"/>
  <c r="V348" i="2" s="1"/>
  <c r="X340" i="2"/>
  <c r="U340" i="2"/>
  <c r="V340" i="2" s="1"/>
  <c r="X282" i="2"/>
  <c r="U282" i="2"/>
  <c r="V282" i="2" s="1"/>
  <c r="X32" i="2"/>
  <c r="U32" i="2"/>
  <c r="V32" i="2" s="1"/>
  <c r="X387" i="2"/>
  <c r="U387" i="2"/>
  <c r="V387" i="2" s="1"/>
  <c r="X347" i="2"/>
  <c r="U347" i="2"/>
  <c r="V347" i="2" s="1"/>
  <c r="X53" i="2"/>
  <c r="U53" i="2"/>
  <c r="V53" i="2" s="1"/>
  <c r="X21" i="2"/>
  <c r="U21" i="2"/>
  <c r="V21" i="2" s="1"/>
  <c r="X31" i="2"/>
  <c r="U31" i="2"/>
  <c r="V31" i="2" s="1"/>
  <c r="X33" i="2"/>
  <c r="U33" i="2"/>
  <c r="V33" i="2" s="1"/>
  <c r="B21" i="15"/>
  <c r="AN3" i="14" l="1"/>
  <c r="AM34" i="14"/>
  <c r="AM32" i="14"/>
  <c r="AM29" i="14"/>
  <c r="AM26" i="14"/>
  <c r="AM22" i="14"/>
  <c r="AM33" i="14"/>
  <c r="AM31" i="14"/>
  <c r="AM28" i="14"/>
  <c r="AM25" i="14"/>
  <c r="AM27" i="14"/>
  <c r="AM20" i="14"/>
  <c r="AM18" i="14"/>
  <c r="AM16" i="14"/>
  <c r="AM24" i="14"/>
  <c r="AM30" i="14"/>
  <c r="AM7" i="14"/>
  <c r="AM11" i="14"/>
  <c r="AM9" i="14"/>
  <c r="AM17" i="14"/>
  <c r="AM13" i="14"/>
  <c r="AM21" i="14"/>
  <c r="AM23" i="14"/>
  <c r="AM19" i="14"/>
  <c r="AM15" i="14"/>
  <c r="AM14" i="14"/>
  <c r="AM12" i="14"/>
  <c r="AM10" i="14"/>
  <c r="AM8" i="14"/>
  <c r="AM6" i="14"/>
  <c r="AM4" i="14"/>
  <c r="AM5" i="14"/>
  <c r="F4" i="13"/>
  <c r="F6" i="13"/>
  <c r="F8" i="13"/>
  <c r="F13" i="13"/>
  <c r="F15" i="13"/>
  <c r="F17" i="13"/>
  <c r="AO3" i="14" l="1"/>
  <c r="AN33" i="14"/>
  <c r="AN31" i="14"/>
  <c r="AN29" i="14"/>
  <c r="AN27" i="14"/>
  <c r="AN25" i="14"/>
  <c r="AN34" i="14"/>
  <c r="AN20" i="14"/>
  <c r="AN18" i="14"/>
  <c r="AN16" i="14"/>
  <c r="AN21" i="14"/>
  <c r="AN24" i="14"/>
  <c r="AN30" i="14"/>
  <c r="AN28" i="14"/>
  <c r="AN32" i="14"/>
  <c r="AN26" i="14"/>
  <c r="AN22" i="14"/>
  <c r="AN23" i="14"/>
  <c r="AN17" i="14"/>
  <c r="AN13" i="14"/>
  <c r="AN11" i="14"/>
  <c r="AN9" i="14"/>
  <c r="AN7" i="14"/>
  <c r="AN5" i="14"/>
  <c r="AN19" i="14"/>
  <c r="AN15" i="14"/>
  <c r="AN14" i="14"/>
  <c r="AN12" i="14"/>
  <c r="AN10" i="14"/>
  <c r="AN4" i="14"/>
  <c r="AN8" i="14"/>
  <c r="AN6" i="14"/>
  <c r="B6" i="10"/>
  <c r="AP3" i="14" l="1"/>
  <c r="AO33" i="14"/>
  <c r="AO31" i="14"/>
  <c r="AO29" i="14"/>
  <c r="AO27" i="14"/>
  <c r="AO34" i="14"/>
  <c r="AO24" i="14"/>
  <c r="AO26" i="14"/>
  <c r="AO22" i="14"/>
  <c r="AO21" i="14"/>
  <c r="AO30" i="14"/>
  <c r="AO25" i="14"/>
  <c r="AO28" i="14"/>
  <c r="AO32" i="14"/>
  <c r="AO23" i="14"/>
  <c r="AO17" i="14"/>
  <c r="AO13" i="14"/>
  <c r="AO11" i="14"/>
  <c r="AO9" i="14"/>
  <c r="AO7" i="14"/>
  <c r="AO5" i="14"/>
  <c r="AO18" i="14"/>
  <c r="AO19" i="14"/>
  <c r="AO15" i="14"/>
  <c r="AO14" i="14"/>
  <c r="AO12" i="14"/>
  <c r="AO10" i="14"/>
  <c r="AO20" i="14"/>
  <c r="AO16" i="14"/>
  <c r="AO8" i="14"/>
  <c r="AO6" i="14"/>
  <c r="AO4" i="14"/>
  <c r="I39" i="12" a="1"/>
  <c r="I39" i="12" s="1"/>
  <c r="I31" i="12" a="1"/>
  <c r="I31" i="12" s="1"/>
  <c r="I32" i="9" a="1"/>
  <c r="I32" i="9" s="1"/>
  <c r="I31" i="10" a="1"/>
  <c r="I31" i="10" s="1"/>
  <c r="H33" i="4" a="1"/>
  <c r="H33" i="4" s="1"/>
  <c r="H25" i="4" a="1"/>
  <c r="H25" i="4" s="1"/>
  <c r="I37" i="12" a="1"/>
  <c r="I37" i="12" s="1"/>
  <c r="I30" i="9" a="1"/>
  <c r="I30" i="9" s="1"/>
  <c r="H23" i="4" a="1"/>
  <c r="H23" i="4" s="1"/>
  <c r="I28" i="12" a="1"/>
  <c r="I28" i="12" s="1"/>
  <c r="I37" i="9" a="1"/>
  <c r="I37" i="9" s="1"/>
  <c r="I36" i="10" a="1"/>
  <c r="I36" i="10" s="1"/>
  <c r="H30" i="4" a="1"/>
  <c r="H30" i="4" s="1"/>
  <c r="I35" i="12" a="1"/>
  <c r="I35" i="12" s="1"/>
  <c r="I36" i="9" a="1"/>
  <c r="I36" i="9" s="1"/>
  <c r="I28" i="9" a="1"/>
  <c r="I28" i="9" s="1"/>
  <c r="I27" i="10" a="1"/>
  <c r="I27" i="10" s="1"/>
  <c r="I26" i="12" a="1"/>
  <c r="I26" i="12" s="1"/>
  <c r="I24" i="12" a="1"/>
  <c r="I24" i="12" s="1"/>
  <c r="I30" i="12" a="1"/>
  <c r="I30" i="12" s="1"/>
  <c r="I39" i="9" a="1"/>
  <c r="I39" i="9" s="1"/>
  <c r="I31" i="9" a="1"/>
  <c r="I31" i="9" s="1"/>
  <c r="I30" i="10" a="1"/>
  <c r="I30" i="10" s="1"/>
  <c r="H32" i="4" a="1"/>
  <c r="H32" i="4" s="1"/>
  <c r="H24" i="4" a="1"/>
  <c r="H24" i="4" s="1"/>
  <c r="I29" i="12" a="1"/>
  <c r="I29" i="12" s="1"/>
  <c r="H31" i="4" a="1"/>
  <c r="H31" i="4" s="1"/>
  <c r="I36" i="12" a="1"/>
  <c r="I36" i="12" s="1"/>
  <c r="I29" i="9" a="1"/>
  <c r="I29" i="9" s="1"/>
  <c r="I26" i="10" a="1"/>
  <c r="I26" i="10" s="1"/>
  <c r="H28" i="4" a="1"/>
  <c r="H28" i="4" s="1"/>
  <c r="H35" i="4" a="1"/>
  <c r="H35" i="4" s="1"/>
  <c r="H26" i="4" a="1"/>
  <c r="H26" i="4" s="1"/>
  <c r="I38" i="9" a="1"/>
  <c r="I38" i="9" s="1"/>
  <c r="I29" i="10" a="1"/>
  <c r="I29" i="10" s="1"/>
  <c r="I28" i="10" a="1"/>
  <c r="I28" i="10" s="1"/>
  <c r="I27" i="12" a="1"/>
  <c r="I27" i="12" s="1"/>
  <c r="I35" i="10" a="1"/>
  <c r="I35" i="10" s="1"/>
  <c r="H29" i="4" a="1"/>
  <c r="H29" i="4" s="1"/>
  <c r="I34" i="12" a="1"/>
  <c r="I34" i="12" s="1"/>
  <c r="I35" i="9" a="1"/>
  <c r="I35" i="9" s="1"/>
  <c r="I34" i="10" a="1"/>
  <c r="I34" i="10" s="1"/>
  <c r="H36" i="4" a="1"/>
  <c r="H36" i="4" s="1"/>
  <c r="I33" i="12" a="1"/>
  <c r="I33" i="12" s="1"/>
  <c r="I25" i="10" a="1"/>
  <c r="I25" i="10" s="1"/>
  <c r="I33" i="9" a="1"/>
  <c r="I33" i="9" s="1"/>
  <c r="H34" i="4" a="1"/>
  <c r="H34" i="4" s="1"/>
  <c r="I34" i="9" a="1"/>
  <c r="I34" i="9" s="1"/>
  <c r="I33" i="10" a="1"/>
  <c r="I33" i="10" s="1"/>
  <c r="I32" i="10" a="1"/>
  <c r="I32" i="10" s="1"/>
  <c r="I25" i="12" a="1"/>
  <c r="I25" i="12" s="1"/>
  <c r="H27" i="4" a="1"/>
  <c r="H27" i="4" s="1"/>
  <c r="I32" i="12" a="1"/>
  <c r="I32" i="12" s="1"/>
  <c r="I38" i="12" a="1"/>
  <c r="I38" i="12" s="1"/>
  <c r="B41" i="9"/>
  <c r="AQ3" i="14" l="1"/>
  <c r="AP24" i="14"/>
  <c r="AP30" i="14"/>
  <c r="AP27" i="14"/>
  <c r="AP23" i="14"/>
  <c r="AP21" i="14"/>
  <c r="AP33" i="14"/>
  <c r="AP25" i="14"/>
  <c r="AP28" i="14"/>
  <c r="AP34" i="14"/>
  <c r="AP32" i="14"/>
  <c r="AP26" i="14"/>
  <c r="AP22" i="14"/>
  <c r="AP20" i="14"/>
  <c r="AP18" i="14"/>
  <c r="AP16" i="14"/>
  <c r="AP31" i="14"/>
  <c r="AP29" i="14"/>
  <c r="AP19" i="14"/>
  <c r="AP15" i="14"/>
  <c r="AP14" i="14"/>
  <c r="AP12" i="14"/>
  <c r="AP10" i="14"/>
  <c r="AP8" i="14"/>
  <c r="AP5" i="14"/>
  <c r="AP13" i="14"/>
  <c r="AP11" i="14"/>
  <c r="AP9" i="14"/>
  <c r="AP6" i="14"/>
  <c r="AP17" i="14"/>
  <c r="AP4" i="14"/>
  <c r="AP7" i="14"/>
  <c r="A6" i="7"/>
  <c r="AR3" i="14" l="1"/>
  <c r="AQ33" i="14"/>
  <c r="AQ30" i="14"/>
  <c r="AQ27" i="14"/>
  <c r="AQ23" i="14"/>
  <c r="AQ21" i="14"/>
  <c r="AQ32" i="14"/>
  <c r="AQ34" i="14"/>
  <c r="AQ29" i="14"/>
  <c r="AQ25" i="14"/>
  <c r="AQ28" i="14"/>
  <c r="AQ24" i="14"/>
  <c r="AQ19" i="14"/>
  <c r="AQ17" i="14"/>
  <c r="AQ15" i="14"/>
  <c r="AQ26" i="14"/>
  <c r="AQ22" i="14"/>
  <c r="AQ31" i="14"/>
  <c r="AQ10" i="14"/>
  <c r="AQ8" i="14"/>
  <c r="AQ18" i="14"/>
  <c r="AQ6" i="14"/>
  <c r="AQ14" i="14"/>
  <c r="AQ12" i="14"/>
  <c r="AQ20" i="14"/>
  <c r="AQ16" i="14"/>
  <c r="AQ13" i="14"/>
  <c r="AQ11" i="14"/>
  <c r="AQ9" i="14"/>
  <c r="AQ7" i="14"/>
  <c r="AQ5" i="14"/>
  <c r="AQ4" i="14"/>
  <c r="L23" i="2"/>
  <c r="Q23" i="2" s="1"/>
  <c r="L22" i="2"/>
  <c r="Q22" i="2" s="1"/>
  <c r="AS3" i="14" l="1"/>
  <c r="AR34" i="14"/>
  <c r="AR32" i="14"/>
  <c r="AR30" i="14"/>
  <c r="AR28" i="14"/>
  <c r="AR26" i="14"/>
  <c r="AR24" i="14"/>
  <c r="AR33" i="14"/>
  <c r="AR19" i="14"/>
  <c r="AR17" i="14"/>
  <c r="AR15" i="14"/>
  <c r="AR22" i="14"/>
  <c r="AR23" i="14"/>
  <c r="AR31" i="14"/>
  <c r="AR29" i="14"/>
  <c r="AR18" i="14"/>
  <c r="AR14" i="14"/>
  <c r="AR12" i="14"/>
  <c r="AR10" i="14"/>
  <c r="AR8" i="14"/>
  <c r="AR6" i="14"/>
  <c r="AR4" i="14"/>
  <c r="AR27" i="14"/>
  <c r="AR25" i="14"/>
  <c r="AR21" i="14"/>
  <c r="AR20" i="14"/>
  <c r="AR16" i="14"/>
  <c r="AR13" i="14"/>
  <c r="AR11" i="14"/>
  <c r="AR9" i="14"/>
  <c r="AR5" i="14"/>
  <c r="AR7" i="14"/>
  <c r="T22" i="2"/>
  <c r="T23" i="2"/>
  <c r="E1" i="7"/>
  <c r="H6" i="7" s="1"/>
  <c r="AT3" i="14" l="1"/>
  <c r="AS34" i="14"/>
  <c r="AS32" i="14"/>
  <c r="AS30" i="14"/>
  <c r="AS28" i="14"/>
  <c r="AS26" i="14"/>
  <c r="AS25" i="14"/>
  <c r="AS33" i="14"/>
  <c r="AS27" i="14"/>
  <c r="AS24" i="14"/>
  <c r="AS23" i="14"/>
  <c r="AS22" i="14"/>
  <c r="AS31" i="14"/>
  <c r="AS29" i="14"/>
  <c r="AS21" i="14"/>
  <c r="AS14" i="14"/>
  <c r="AS12" i="14"/>
  <c r="AS10" i="14"/>
  <c r="AS8" i="14"/>
  <c r="AS6" i="14"/>
  <c r="AS4" i="14"/>
  <c r="AS19" i="14"/>
  <c r="AS15" i="14"/>
  <c r="AS20" i="14"/>
  <c r="AS16" i="14"/>
  <c r="AS13" i="14"/>
  <c r="AS11" i="14"/>
  <c r="AS9" i="14"/>
  <c r="AS17" i="14"/>
  <c r="AS18" i="14"/>
  <c r="AS7" i="14"/>
  <c r="AS5" i="14"/>
  <c r="W23" i="2"/>
  <c r="X23" i="2" s="1"/>
  <c r="U22" i="2"/>
  <c r="V22" i="2" s="1"/>
  <c r="W22" i="2"/>
  <c r="X22" i="2" s="1"/>
  <c r="U23" i="2"/>
  <c r="V23" i="2" s="1"/>
  <c r="X327" i="2"/>
  <c r="X326" i="2"/>
  <c r="X325" i="2"/>
  <c r="X324" i="2"/>
  <c r="X323" i="2"/>
  <c r="X322" i="2"/>
  <c r="X321" i="2"/>
  <c r="X320" i="2"/>
  <c r="X319" i="2"/>
  <c r="X318" i="2"/>
  <c r="S1128" i="2"/>
  <c r="T1128" i="2" s="1"/>
  <c r="W1128" i="2" s="1"/>
  <c r="S1127" i="2"/>
  <c r="T1127" i="2" s="1"/>
  <c r="W1127" i="2" s="1"/>
  <c r="S1126" i="2"/>
  <c r="T1126" i="2" s="1"/>
  <c r="W1126" i="2" s="1"/>
  <c r="S1125" i="2"/>
  <c r="T1125" i="2" s="1"/>
  <c r="W1125" i="2" s="1"/>
  <c r="S1124" i="2"/>
  <c r="T1124" i="2" s="1"/>
  <c r="W1124" i="2" s="1"/>
  <c r="S1123" i="2"/>
  <c r="T1123" i="2" s="1"/>
  <c r="W1123" i="2" s="1"/>
  <c r="S1122" i="2"/>
  <c r="T1122" i="2" s="1"/>
  <c r="W1122" i="2" s="1"/>
  <c r="S1121" i="2"/>
  <c r="T1121" i="2" s="1"/>
  <c r="W1121" i="2" s="1"/>
  <c r="S1120" i="2"/>
  <c r="T1120" i="2" s="1"/>
  <c r="W1120" i="2" s="1"/>
  <c r="S1119" i="2"/>
  <c r="T1119" i="2" s="1"/>
  <c r="W1119" i="2" s="1"/>
  <c r="S1118" i="2"/>
  <c r="T1118" i="2" s="1"/>
  <c r="W1118" i="2" s="1"/>
  <c r="S1117" i="2"/>
  <c r="T1117" i="2" s="1"/>
  <c r="W1117" i="2" s="1"/>
  <c r="S1116" i="2"/>
  <c r="T1116" i="2" s="1"/>
  <c r="W1116" i="2" s="1"/>
  <c r="S1115" i="2"/>
  <c r="T1115" i="2" s="1"/>
  <c r="W1115" i="2" s="1"/>
  <c r="S1114" i="2"/>
  <c r="T1114" i="2" s="1"/>
  <c r="W1114" i="2" s="1"/>
  <c r="S1113" i="2"/>
  <c r="T1113" i="2" s="1"/>
  <c r="W1113" i="2" s="1"/>
  <c r="S1112" i="2"/>
  <c r="T1112" i="2" s="1"/>
  <c r="W1112" i="2" s="1"/>
  <c r="S1111" i="2"/>
  <c r="T1111" i="2" s="1"/>
  <c r="W1111" i="2" s="1"/>
  <c r="S1110" i="2"/>
  <c r="T1110" i="2" s="1"/>
  <c r="W1110" i="2" s="1"/>
  <c r="S1109" i="2"/>
  <c r="T1109" i="2" s="1"/>
  <c r="W1109" i="2" s="1"/>
  <c r="S1108" i="2"/>
  <c r="T1108" i="2" s="1"/>
  <c r="W1108" i="2" s="1"/>
  <c r="S1107" i="2"/>
  <c r="T1107" i="2" s="1"/>
  <c r="W1107" i="2" s="1"/>
  <c r="S1106" i="2"/>
  <c r="T1106" i="2" s="1"/>
  <c r="W1106" i="2" s="1"/>
  <c r="S1105" i="2"/>
  <c r="T1105" i="2" s="1"/>
  <c r="W1105" i="2" s="1"/>
  <c r="S1104" i="2"/>
  <c r="T1104" i="2" s="1"/>
  <c r="W1104" i="2" s="1"/>
  <c r="S1103" i="2"/>
  <c r="T1103" i="2" s="1"/>
  <c r="W1103" i="2" s="1"/>
  <c r="S1102" i="2"/>
  <c r="T1102" i="2" s="1"/>
  <c r="W1102" i="2" s="1"/>
  <c r="S1101" i="2"/>
  <c r="T1101" i="2" s="1"/>
  <c r="W1101" i="2" s="1"/>
  <c r="S1100" i="2"/>
  <c r="T1100" i="2" s="1"/>
  <c r="W1100" i="2" s="1"/>
  <c r="S1099" i="2"/>
  <c r="T1099" i="2" s="1"/>
  <c r="W1099" i="2" s="1"/>
  <c r="S1098" i="2"/>
  <c r="T1098" i="2" s="1"/>
  <c r="W1098" i="2" s="1"/>
  <c r="S1097" i="2"/>
  <c r="T1097" i="2" s="1"/>
  <c r="W1097" i="2" s="1"/>
  <c r="S1096" i="2"/>
  <c r="T1096" i="2" s="1"/>
  <c r="W1096" i="2" s="1"/>
  <c r="S1095" i="2"/>
  <c r="T1095" i="2" s="1"/>
  <c r="W1095" i="2" s="1"/>
  <c r="S1094" i="2"/>
  <c r="T1094" i="2" s="1"/>
  <c r="W1094" i="2" s="1"/>
  <c r="S1093" i="2"/>
  <c r="T1093" i="2" s="1"/>
  <c r="W1093" i="2" s="1"/>
  <c r="S1092" i="2"/>
  <c r="T1092" i="2" s="1"/>
  <c r="W1092" i="2" s="1"/>
  <c r="S1091" i="2"/>
  <c r="T1091" i="2" s="1"/>
  <c r="W1091" i="2" s="1"/>
  <c r="S1090" i="2"/>
  <c r="T1090" i="2" s="1"/>
  <c r="W1090" i="2" s="1"/>
  <c r="S1089" i="2"/>
  <c r="T1089" i="2" s="1"/>
  <c r="W1089" i="2" s="1"/>
  <c r="S1088" i="2"/>
  <c r="T1088" i="2" s="1"/>
  <c r="W1088" i="2" s="1"/>
  <c r="S1087" i="2"/>
  <c r="T1087" i="2" s="1"/>
  <c r="W1087" i="2" s="1"/>
  <c r="S1086" i="2"/>
  <c r="T1086" i="2" s="1"/>
  <c r="W1086" i="2" s="1"/>
  <c r="S1085" i="2"/>
  <c r="T1085" i="2" s="1"/>
  <c r="W1085" i="2" s="1"/>
  <c r="S1084" i="2"/>
  <c r="T1084" i="2" s="1"/>
  <c r="W1084" i="2" s="1"/>
  <c r="S1083" i="2"/>
  <c r="T1083" i="2" s="1"/>
  <c r="W1083" i="2" s="1"/>
  <c r="S1082" i="2"/>
  <c r="T1082" i="2" s="1"/>
  <c r="W1082" i="2" s="1"/>
  <c r="S1081" i="2"/>
  <c r="T1081" i="2" s="1"/>
  <c r="W1081" i="2" s="1"/>
  <c r="S1080" i="2"/>
  <c r="T1080" i="2" s="1"/>
  <c r="W1080" i="2" s="1"/>
  <c r="S1079" i="2"/>
  <c r="T1079" i="2" s="1"/>
  <c r="W1079" i="2" s="1"/>
  <c r="S1078" i="2"/>
  <c r="T1078" i="2" s="1"/>
  <c r="W1078" i="2" s="1"/>
  <c r="S1077" i="2"/>
  <c r="T1077" i="2" s="1"/>
  <c r="W1077" i="2" s="1"/>
  <c r="S1076" i="2"/>
  <c r="T1076" i="2" s="1"/>
  <c r="W1076" i="2" s="1"/>
  <c r="S1075" i="2"/>
  <c r="T1075" i="2" s="1"/>
  <c r="W1075" i="2" s="1"/>
  <c r="S1074" i="2"/>
  <c r="T1074" i="2" s="1"/>
  <c r="W1074" i="2" s="1"/>
  <c r="S1073" i="2"/>
  <c r="T1073" i="2" s="1"/>
  <c r="W1073" i="2" s="1"/>
  <c r="S1072" i="2"/>
  <c r="T1072" i="2" s="1"/>
  <c r="W1072" i="2" s="1"/>
  <c r="S1071" i="2"/>
  <c r="T1071" i="2" s="1"/>
  <c r="W1071" i="2" s="1"/>
  <c r="S1070" i="2"/>
  <c r="T1070" i="2" s="1"/>
  <c r="W1070" i="2" s="1"/>
  <c r="S1069" i="2"/>
  <c r="T1069" i="2" s="1"/>
  <c r="W1069" i="2" s="1"/>
  <c r="S1068" i="2"/>
  <c r="T1068" i="2" s="1"/>
  <c r="W1068" i="2" s="1"/>
  <c r="S1067" i="2"/>
  <c r="T1067" i="2" s="1"/>
  <c r="W1067" i="2" s="1"/>
  <c r="S1066" i="2"/>
  <c r="T1066" i="2" s="1"/>
  <c r="W1066" i="2" s="1"/>
  <c r="S1065" i="2"/>
  <c r="T1065" i="2" s="1"/>
  <c r="W1065" i="2" s="1"/>
  <c r="S1064" i="2"/>
  <c r="T1064" i="2" s="1"/>
  <c r="W1064" i="2" s="1"/>
  <c r="S1063" i="2"/>
  <c r="T1063" i="2" s="1"/>
  <c r="W1063" i="2" s="1"/>
  <c r="S1062" i="2"/>
  <c r="T1062" i="2" s="1"/>
  <c r="W1062" i="2" s="1"/>
  <c r="S1061" i="2"/>
  <c r="T1061" i="2" s="1"/>
  <c r="W1061" i="2" s="1"/>
  <c r="S1060" i="2"/>
  <c r="T1060" i="2" s="1"/>
  <c r="W1060" i="2" s="1"/>
  <c r="S1059" i="2"/>
  <c r="T1059" i="2" s="1"/>
  <c r="W1059" i="2" s="1"/>
  <c r="S1058" i="2"/>
  <c r="T1058" i="2" s="1"/>
  <c r="W1058" i="2" s="1"/>
  <c r="S1057" i="2"/>
  <c r="T1057" i="2" s="1"/>
  <c r="W1057" i="2" s="1"/>
  <c r="S1056" i="2"/>
  <c r="T1056" i="2" s="1"/>
  <c r="W1056" i="2" s="1"/>
  <c r="S1055" i="2"/>
  <c r="T1055" i="2" s="1"/>
  <c r="W1055" i="2" s="1"/>
  <c r="S1054" i="2"/>
  <c r="T1054" i="2" s="1"/>
  <c r="W1054" i="2" s="1"/>
  <c r="S1053" i="2"/>
  <c r="T1053" i="2" s="1"/>
  <c r="W1053" i="2" s="1"/>
  <c r="S1052" i="2"/>
  <c r="T1052" i="2" s="1"/>
  <c r="W1052" i="2" s="1"/>
  <c r="S1051" i="2"/>
  <c r="T1051" i="2" s="1"/>
  <c r="W1051" i="2" s="1"/>
  <c r="S1050" i="2"/>
  <c r="T1050" i="2" s="1"/>
  <c r="W1050" i="2" s="1"/>
  <c r="S1049" i="2"/>
  <c r="T1049" i="2" s="1"/>
  <c r="W1049" i="2" s="1"/>
  <c r="S1048" i="2"/>
  <c r="T1048" i="2" s="1"/>
  <c r="W1048" i="2" s="1"/>
  <c r="S1047" i="2"/>
  <c r="T1047" i="2" s="1"/>
  <c r="W1047" i="2" s="1"/>
  <c r="S1046" i="2"/>
  <c r="T1046" i="2" s="1"/>
  <c r="W1046" i="2" s="1"/>
  <c r="S1045" i="2"/>
  <c r="T1045" i="2" s="1"/>
  <c r="W1045" i="2" s="1"/>
  <c r="S1044" i="2"/>
  <c r="T1044" i="2" s="1"/>
  <c r="W1044" i="2" s="1"/>
  <c r="S1043" i="2"/>
  <c r="T1043" i="2" s="1"/>
  <c r="W1043" i="2" s="1"/>
  <c r="S1042" i="2"/>
  <c r="T1042" i="2" s="1"/>
  <c r="W1042" i="2" s="1"/>
  <c r="S1041" i="2"/>
  <c r="T1041" i="2" s="1"/>
  <c r="W1041" i="2" s="1"/>
  <c r="S1040" i="2"/>
  <c r="T1040" i="2" s="1"/>
  <c r="W1040" i="2" s="1"/>
  <c r="S1039" i="2"/>
  <c r="T1039" i="2" s="1"/>
  <c r="W1039" i="2" s="1"/>
  <c r="S1038" i="2"/>
  <c r="T1038" i="2" s="1"/>
  <c r="W1038" i="2" s="1"/>
  <c r="S1037" i="2"/>
  <c r="T1037" i="2" s="1"/>
  <c r="W1037" i="2" s="1"/>
  <c r="S1036" i="2"/>
  <c r="T1036" i="2" s="1"/>
  <c r="W1036" i="2" s="1"/>
  <c r="S1035" i="2"/>
  <c r="T1035" i="2" s="1"/>
  <c r="W1035" i="2" s="1"/>
  <c r="S1034" i="2"/>
  <c r="T1034" i="2" s="1"/>
  <c r="W1034" i="2" s="1"/>
  <c r="S1033" i="2"/>
  <c r="T1033" i="2" s="1"/>
  <c r="W1033" i="2" s="1"/>
  <c r="S1032" i="2"/>
  <c r="T1032" i="2" s="1"/>
  <c r="W1032" i="2" s="1"/>
  <c r="S1031" i="2"/>
  <c r="T1031" i="2" s="1"/>
  <c r="W1031" i="2" s="1"/>
  <c r="S1030" i="2"/>
  <c r="T1030" i="2" s="1"/>
  <c r="W1030" i="2" s="1"/>
  <c r="S1029" i="2"/>
  <c r="T1029" i="2" s="1"/>
  <c r="W1029" i="2" s="1"/>
  <c r="S1028" i="2"/>
  <c r="T1028" i="2" s="1"/>
  <c r="W1028" i="2" s="1"/>
  <c r="S1027" i="2"/>
  <c r="T1027" i="2" s="1"/>
  <c r="W1027" i="2" s="1"/>
  <c r="S1026" i="2"/>
  <c r="T1026" i="2" s="1"/>
  <c r="W1026" i="2" s="1"/>
  <c r="S1025" i="2"/>
  <c r="T1025" i="2" s="1"/>
  <c r="W1025" i="2" s="1"/>
  <c r="S1024" i="2"/>
  <c r="T1024" i="2" s="1"/>
  <c r="W1024" i="2" s="1"/>
  <c r="S1023" i="2"/>
  <c r="T1023" i="2" s="1"/>
  <c r="W1023" i="2" s="1"/>
  <c r="S1022" i="2"/>
  <c r="T1022" i="2" s="1"/>
  <c r="W1022" i="2" s="1"/>
  <c r="S1021" i="2"/>
  <c r="T1021" i="2" s="1"/>
  <c r="W1021" i="2" s="1"/>
  <c r="S1020" i="2"/>
  <c r="T1020" i="2" s="1"/>
  <c r="W1020" i="2" s="1"/>
  <c r="S1019" i="2"/>
  <c r="T1019" i="2" s="1"/>
  <c r="W1019" i="2" s="1"/>
  <c r="S1018" i="2"/>
  <c r="T1018" i="2" s="1"/>
  <c r="W1018" i="2" s="1"/>
  <c r="S1017" i="2"/>
  <c r="T1017" i="2" s="1"/>
  <c r="W1017" i="2" s="1"/>
  <c r="S1016" i="2"/>
  <c r="T1016" i="2" s="1"/>
  <c r="W1016" i="2" s="1"/>
  <c r="S1015" i="2"/>
  <c r="T1015" i="2" s="1"/>
  <c r="W1015" i="2" s="1"/>
  <c r="S1014" i="2"/>
  <c r="T1014" i="2" s="1"/>
  <c r="W1014" i="2" s="1"/>
  <c r="S1013" i="2"/>
  <c r="T1013" i="2" s="1"/>
  <c r="W1013" i="2" s="1"/>
  <c r="S1012" i="2"/>
  <c r="T1012" i="2" s="1"/>
  <c r="W1012" i="2" s="1"/>
  <c r="S1011" i="2"/>
  <c r="T1011" i="2" s="1"/>
  <c r="W1011" i="2" s="1"/>
  <c r="S1010" i="2"/>
  <c r="T1010" i="2" s="1"/>
  <c r="W1010" i="2" s="1"/>
  <c r="S1009" i="2"/>
  <c r="T1009" i="2" s="1"/>
  <c r="W1009" i="2" s="1"/>
  <c r="S1008" i="2"/>
  <c r="T1008" i="2" s="1"/>
  <c r="W1008" i="2" s="1"/>
  <c r="S1007" i="2"/>
  <c r="T1007" i="2" s="1"/>
  <c r="W1007" i="2" s="1"/>
  <c r="S1006" i="2"/>
  <c r="T1006" i="2" s="1"/>
  <c r="W1006" i="2" s="1"/>
  <c r="S1005" i="2"/>
  <c r="T1005" i="2" s="1"/>
  <c r="W1005" i="2" s="1"/>
  <c r="S1004" i="2"/>
  <c r="T1004" i="2" s="1"/>
  <c r="W1004" i="2" s="1"/>
  <c r="S1003" i="2"/>
  <c r="T1003" i="2" s="1"/>
  <c r="W1003" i="2" s="1"/>
  <c r="S1002" i="2"/>
  <c r="T1002" i="2" s="1"/>
  <c r="W1002" i="2" s="1"/>
  <c r="S1001" i="2"/>
  <c r="T1001" i="2" s="1"/>
  <c r="W1001" i="2" s="1"/>
  <c r="S1000" i="2"/>
  <c r="T1000" i="2" s="1"/>
  <c r="W1000" i="2" s="1"/>
  <c r="S999" i="2"/>
  <c r="T999" i="2" s="1"/>
  <c r="W999" i="2" s="1"/>
  <c r="S998" i="2"/>
  <c r="T998" i="2" s="1"/>
  <c r="W998" i="2" s="1"/>
  <c r="S997" i="2"/>
  <c r="T997" i="2" s="1"/>
  <c r="W997" i="2" s="1"/>
  <c r="S996" i="2"/>
  <c r="T996" i="2" s="1"/>
  <c r="W996" i="2" s="1"/>
  <c r="S995" i="2"/>
  <c r="T995" i="2" s="1"/>
  <c r="W995" i="2" s="1"/>
  <c r="S994" i="2"/>
  <c r="T994" i="2" s="1"/>
  <c r="W994" i="2" s="1"/>
  <c r="S993" i="2"/>
  <c r="T993" i="2" s="1"/>
  <c r="W993" i="2" s="1"/>
  <c r="S992" i="2"/>
  <c r="T992" i="2" s="1"/>
  <c r="W992" i="2" s="1"/>
  <c r="S991" i="2"/>
  <c r="T991" i="2" s="1"/>
  <c r="W991" i="2" s="1"/>
  <c r="S990" i="2"/>
  <c r="T990" i="2" s="1"/>
  <c r="W990" i="2" s="1"/>
  <c r="S989" i="2"/>
  <c r="T989" i="2" s="1"/>
  <c r="W989" i="2" s="1"/>
  <c r="S988" i="2"/>
  <c r="T988" i="2" s="1"/>
  <c r="W988" i="2" s="1"/>
  <c r="S987" i="2"/>
  <c r="T987" i="2" s="1"/>
  <c r="W987" i="2" s="1"/>
  <c r="S986" i="2"/>
  <c r="T986" i="2" s="1"/>
  <c r="W986" i="2" s="1"/>
  <c r="S985" i="2"/>
  <c r="T985" i="2" s="1"/>
  <c r="W985" i="2" s="1"/>
  <c r="S984" i="2"/>
  <c r="T984" i="2" s="1"/>
  <c r="W984" i="2" s="1"/>
  <c r="S983" i="2"/>
  <c r="T983" i="2" s="1"/>
  <c r="W983" i="2" s="1"/>
  <c r="S982" i="2"/>
  <c r="T982" i="2" s="1"/>
  <c r="W982" i="2" s="1"/>
  <c r="S981" i="2"/>
  <c r="T981" i="2" s="1"/>
  <c r="W981" i="2" s="1"/>
  <c r="S980" i="2"/>
  <c r="T980" i="2" s="1"/>
  <c r="W980" i="2" s="1"/>
  <c r="S979" i="2"/>
  <c r="T979" i="2" s="1"/>
  <c r="W979" i="2" s="1"/>
  <c r="S978" i="2"/>
  <c r="T978" i="2" s="1"/>
  <c r="W978" i="2" s="1"/>
  <c r="S977" i="2"/>
  <c r="T977" i="2" s="1"/>
  <c r="W977" i="2" s="1"/>
  <c r="S976" i="2"/>
  <c r="T976" i="2" s="1"/>
  <c r="W976" i="2" s="1"/>
  <c r="S975" i="2"/>
  <c r="T975" i="2" s="1"/>
  <c r="W975" i="2" s="1"/>
  <c r="S974" i="2"/>
  <c r="T974" i="2" s="1"/>
  <c r="W974" i="2" s="1"/>
  <c r="S973" i="2"/>
  <c r="T973" i="2" s="1"/>
  <c r="W973" i="2" s="1"/>
  <c r="S972" i="2"/>
  <c r="T972" i="2" s="1"/>
  <c r="W972" i="2" s="1"/>
  <c r="S971" i="2"/>
  <c r="T971" i="2" s="1"/>
  <c r="W971" i="2" s="1"/>
  <c r="S970" i="2"/>
  <c r="T970" i="2" s="1"/>
  <c r="W970" i="2" s="1"/>
  <c r="S969" i="2"/>
  <c r="T969" i="2" s="1"/>
  <c r="W969" i="2" s="1"/>
  <c r="S968" i="2"/>
  <c r="T968" i="2" s="1"/>
  <c r="W968" i="2" s="1"/>
  <c r="S967" i="2"/>
  <c r="T967" i="2" s="1"/>
  <c r="W967" i="2" s="1"/>
  <c r="S966" i="2"/>
  <c r="T966" i="2" s="1"/>
  <c r="W966" i="2" s="1"/>
  <c r="S965" i="2"/>
  <c r="T965" i="2" s="1"/>
  <c r="W965" i="2" s="1"/>
  <c r="S964" i="2"/>
  <c r="T964" i="2" s="1"/>
  <c r="W964" i="2" s="1"/>
  <c r="S963" i="2"/>
  <c r="T963" i="2" s="1"/>
  <c r="W963" i="2" s="1"/>
  <c r="S962" i="2"/>
  <c r="T962" i="2" s="1"/>
  <c r="W962" i="2" s="1"/>
  <c r="S961" i="2"/>
  <c r="T961" i="2" s="1"/>
  <c r="W961" i="2" s="1"/>
  <c r="S960" i="2"/>
  <c r="T960" i="2" s="1"/>
  <c r="W960" i="2" s="1"/>
  <c r="S959" i="2"/>
  <c r="T959" i="2" s="1"/>
  <c r="W959" i="2" s="1"/>
  <c r="S958" i="2"/>
  <c r="T958" i="2" s="1"/>
  <c r="W958" i="2" s="1"/>
  <c r="S957" i="2"/>
  <c r="T957" i="2" s="1"/>
  <c r="W957" i="2" s="1"/>
  <c r="S956" i="2"/>
  <c r="T956" i="2" s="1"/>
  <c r="W956" i="2" s="1"/>
  <c r="S955" i="2"/>
  <c r="T955" i="2" s="1"/>
  <c r="W955" i="2" s="1"/>
  <c r="S954" i="2"/>
  <c r="T954" i="2" s="1"/>
  <c r="W954" i="2" s="1"/>
  <c r="S953" i="2"/>
  <c r="T953" i="2" s="1"/>
  <c r="W953" i="2" s="1"/>
  <c r="S952" i="2"/>
  <c r="T952" i="2" s="1"/>
  <c r="W952" i="2" s="1"/>
  <c r="S951" i="2"/>
  <c r="T951" i="2" s="1"/>
  <c r="W951" i="2" s="1"/>
  <c r="S950" i="2"/>
  <c r="T950" i="2" s="1"/>
  <c r="W950" i="2" s="1"/>
  <c r="S949" i="2"/>
  <c r="T949" i="2" s="1"/>
  <c r="W949" i="2" s="1"/>
  <c r="S948" i="2"/>
  <c r="T948" i="2" s="1"/>
  <c r="W948" i="2" s="1"/>
  <c r="S947" i="2"/>
  <c r="T947" i="2" s="1"/>
  <c r="W947" i="2" s="1"/>
  <c r="S946" i="2"/>
  <c r="T946" i="2" s="1"/>
  <c r="W946" i="2" s="1"/>
  <c r="S945" i="2"/>
  <c r="T945" i="2" s="1"/>
  <c r="W945" i="2" s="1"/>
  <c r="S944" i="2"/>
  <c r="T944" i="2" s="1"/>
  <c r="W944" i="2" s="1"/>
  <c r="S943" i="2"/>
  <c r="T943" i="2" s="1"/>
  <c r="W943" i="2" s="1"/>
  <c r="S942" i="2"/>
  <c r="T942" i="2" s="1"/>
  <c r="W942" i="2" s="1"/>
  <c r="S941" i="2"/>
  <c r="T941" i="2" s="1"/>
  <c r="W941" i="2" s="1"/>
  <c r="S940" i="2"/>
  <c r="T940" i="2" s="1"/>
  <c r="W940" i="2" s="1"/>
  <c r="S939" i="2"/>
  <c r="T939" i="2" s="1"/>
  <c r="W939" i="2" s="1"/>
  <c r="S938" i="2"/>
  <c r="T938" i="2" s="1"/>
  <c r="W938" i="2" s="1"/>
  <c r="S937" i="2"/>
  <c r="T937" i="2" s="1"/>
  <c r="W937" i="2" s="1"/>
  <c r="S936" i="2"/>
  <c r="T936" i="2" s="1"/>
  <c r="W936" i="2" s="1"/>
  <c r="S935" i="2"/>
  <c r="T935" i="2" s="1"/>
  <c r="W935" i="2" s="1"/>
  <c r="S934" i="2"/>
  <c r="T934" i="2" s="1"/>
  <c r="W934" i="2" s="1"/>
  <c r="S933" i="2"/>
  <c r="T933" i="2" s="1"/>
  <c r="W933" i="2" s="1"/>
  <c r="S932" i="2"/>
  <c r="T932" i="2" s="1"/>
  <c r="W932" i="2" s="1"/>
  <c r="S931" i="2"/>
  <c r="T931" i="2" s="1"/>
  <c r="W931" i="2" s="1"/>
  <c r="S930" i="2"/>
  <c r="T930" i="2" s="1"/>
  <c r="W930" i="2" s="1"/>
  <c r="S929" i="2"/>
  <c r="T929" i="2" s="1"/>
  <c r="W929" i="2" s="1"/>
  <c r="S928" i="2"/>
  <c r="T928" i="2" s="1"/>
  <c r="W928" i="2" s="1"/>
  <c r="S927" i="2"/>
  <c r="T927" i="2" s="1"/>
  <c r="W927" i="2" s="1"/>
  <c r="S926" i="2"/>
  <c r="T926" i="2" s="1"/>
  <c r="W926" i="2" s="1"/>
  <c r="S925" i="2"/>
  <c r="T925" i="2" s="1"/>
  <c r="W925" i="2" s="1"/>
  <c r="S924" i="2"/>
  <c r="T924" i="2" s="1"/>
  <c r="W924" i="2" s="1"/>
  <c r="S923" i="2"/>
  <c r="T923" i="2" s="1"/>
  <c r="W923" i="2" s="1"/>
  <c r="S922" i="2"/>
  <c r="T922" i="2" s="1"/>
  <c r="W922" i="2" s="1"/>
  <c r="S921" i="2"/>
  <c r="T921" i="2" s="1"/>
  <c r="W921" i="2" s="1"/>
  <c r="S920" i="2"/>
  <c r="T920" i="2" s="1"/>
  <c r="W920" i="2" s="1"/>
  <c r="S919" i="2"/>
  <c r="T919" i="2" s="1"/>
  <c r="W919" i="2" s="1"/>
  <c r="S918" i="2"/>
  <c r="T918" i="2" s="1"/>
  <c r="W918" i="2" s="1"/>
  <c r="S917" i="2"/>
  <c r="T917" i="2" s="1"/>
  <c r="W917" i="2" s="1"/>
  <c r="S916" i="2"/>
  <c r="T916" i="2" s="1"/>
  <c r="W916" i="2" s="1"/>
  <c r="S915" i="2"/>
  <c r="T915" i="2" s="1"/>
  <c r="W915" i="2" s="1"/>
  <c r="S914" i="2"/>
  <c r="T914" i="2" s="1"/>
  <c r="W914" i="2" s="1"/>
  <c r="S913" i="2"/>
  <c r="T913" i="2" s="1"/>
  <c r="W913" i="2" s="1"/>
  <c r="S912" i="2"/>
  <c r="T912" i="2" s="1"/>
  <c r="W912" i="2" s="1"/>
  <c r="S911" i="2"/>
  <c r="T911" i="2" s="1"/>
  <c r="W911" i="2" s="1"/>
  <c r="S910" i="2"/>
  <c r="T910" i="2" s="1"/>
  <c r="W910" i="2" s="1"/>
  <c r="S909" i="2"/>
  <c r="T909" i="2" s="1"/>
  <c r="W909" i="2" s="1"/>
  <c r="S908" i="2"/>
  <c r="T908" i="2" s="1"/>
  <c r="W908" i="2" s="1"/>
  <c r="S907" i="2"/>
  <c r="T907" i="2" s="1"/>
  <c r="W907" i="2" s="1"/>
  <c r="S906" i="2"/>
  <c r="T906" i="2" s="1"/>
  <c r="W906" i="2" s="1"/>
  <c r="S905" i="2"/>
  <c r="T905" i="2" s="1"/>
  <c r="W905" i="2" s="1"/>
  <c r="S904" i="2"/>
  <c r="T904" i="2" s="1"/>
  <c r="W904" i="2" s="1"/>
  <c r="S903" i="2"/>
  <c r="T903" i="2" s="1"/>
  <c r="W903" i="2" s="1"/>
  <c r="S902" i="2"/>
  <c r="T902" i="2" s="1"/>
  <c r="W902" i="2" s="1"/>
  <c r="S901" i="2"/>
  <c r="T901" i="2" s="1"/>
  <c r="W901" i="2" s="1"/>
  <c r="S900" i="2"/>
  <c r="T900" i="2" s="1"/>
  <c r="W900" i="2" s="1"/>
  <c r="S899" i="2"/>
  <c r="T899" i="2" s="1"/>
  <c r="W899" i="2" s="1"/>
  <c r="S898" i="2"/>
  <c r="T898" i="2" s="1"/>
  <c r="W898" i="2" s="1"/>
  <c r="S897" i="2"/>
  <c r="T897" i="2" s="1"/>
  <c r="W897" i="2" s="1"/>
  <c r="S896" i="2"/>
  <c r="T896" i="2" s="1"/>
  <c r="W896" i="2" s="1"/>
  <c r="S895" i="2"/>
  <c r="T895" i="2" s="1"/>
  <c r="W895" i="2" s="1"/>
  <c r="S894" i="2"/>
  <c r="T894" i="2" s="1"/>
  <c r="W894" i="2" s="1"/>
  <c r="S893" i="2"/>
  <c r="T893" i="2" s="1"/>
  <c r="W893" i="2" s="1"/>
  <c r="S892" i="2"/>
  <c r="T892" i="2" s="1"/>
  <c r="W892" i="2" s="1"/>
  <c r="S891" i="2"/>
  <c r="T891" i="2" s="1"/>
  <c r="W891" i="2" s="1"/>
  <c r="S890" i="2"/>
  <c r="T890" i="2" s="1"/>
  <c r="W890" i="2" s="1"/>
  <c r="S889" i="2"/>
  <c r="T889" i="2" s="1"/>
  <c r="W889" i="2" s="1"/>
  <c r="S888" i="2"/>
  <c r="T888" i="2" s="1"/>
  <c r="W888" i="2" s="1"/>
  <c r="S887" i="2"/>
  <c r="T887" i="2" s="1"/>
  <c r="W887" i="2" s="1"/>
  <c r="S886" i="2"/>
  <c r="T886" i="2" s="1"/>
  <c r="W886" i="2" s="1"/>
  <c r="S885" i="2"/>
  <c r="T885" i="2" s="1"/>
  <c r="W885" i="2" s="1"/>
  <c r="S884" i="2"/>
  <c r="T884" i="2" s="1"/>
  <c r="W884" i="2" s="1"/>
  <c r="S883" i="2"/>
  <c r="T883" i="2" s="1"/>
  <c r="W883" i="2" s="1"/>
  <c r="S882" i="2"/>
  <c r="T882" i="2" s="1"/>
  <c r="W882" i="2" s="1"/>
  <c r="S881" i="2"/>
  <c r="T881" i="2" s="1"/>
  <c r="W881" i="2" s="1"/>
  <c r="S880" i="2"/>
  <c r="T880" i="2" s="1"/>
  <c r="W880" i="2" s="1"/>
  <c r="S879" i="2"/>
  <c r="T879" i="2" s="1"/>
  <c r="W879" i="2" s="1"/>
  <c r="S878" i="2"/>
  <c r="T878" i="2" s="1"/>
  <c r="W878" i="2" s="1"/>
  <c r="S877" i="2"/>
  <c r="T877" i="2" s="1"/>
  <c r="W877" i="2" s="1"/>
  <c r="S876" i="2"/>
  <c r="T876" i="2" s="1"/>
  <c r="W876" i="2" s="1"/>
  <c r="S875" i="2"/>
  <c r="T875" i="2" s="1"/>
  <c r="W875" i="2" s="1"/>
  <c r="S874" i="2"/>
  <c r="T874" i="2" s="1"/>
  <c r="W874" i="2" s="1"/>
  <c r="S873" i="2"/>
  <c r="T873" i="2" s="1"/>
  <c r="W873" i="2" s="1"/>
  <c r="S872" i="2"/>
  <c r="T872" i="2" s="1"/>
  <c r="W872" i="2" s="1"/>
  <c r="S871" i="2"/>
  <c r="T871" i="2" s="1"/>
  <c r="W871" i="2" s="1"/>
  <c r="S870" i="2"/>
  <c r="T870" i="2" s="1"/>
  <c r="W870" i="2" s="1"/>
  <c r="S869" i="2"/>
  <c r="T869" i="2" s="1"/>
  <c r="W869" i="2" s="1"/>
  <c r="S868" i="2"/>
  <c r="T868" i="2" s="1"/>
  <c r="W868" i="2" s="1"/>
  <c r="S867" i="2"/>
  <c r="T867" i="2" s="1"/>
  <c r="W867" i="2" s="1"/>
  <c r="S866" i="2"/>
  <c r="T866" i="2" s="1"/>
  <c r="W866" i="2" s="1"/>
  <c r="S865" i="2"/>
  <c r="T865" i="2" s="1"/>
  <c r="W865" i="2" s="1"/>
  <c r="S864" i="2"/>
  <c r="T864" i="2" s="1"/>
  <c r="W864" i="2" s="1"/>
  <c r="S863" i="2"/>
  <c r="T863" i="2" s="1"/>
  <c r="W863" i="2" s="1"/>
  <c r="S862" i="2"/>
  <c r="T862" i="2" s="1"/>
  <c r="W862" i="2" s="1"/>
  <c r="S861" i="2"/>
  <c r="T861" i="2" s="1"/>
  <c r="W861" i="2" s="1"/>
  <c r="S860" i="2"/>
  <c r="T860" i="2" s="1"/>
  <c r="W860" i="2" s="1"/>
  <c r="S859" i="2"/>
  <c r="T859" i="2" s="1"/>
  <c r="W859" i="2" s="1"/>
  <c r="S858" i="2"/>
  <c r="T858" i="2" s="1"/>
  <c r="W858" i="2" s="1"/>
  <c r="S857" i="2"/>
  <c r="T857" i="2" s="1"/>
  <c r="W857" i="2" s="1"/>
  <c r="S856" i="2"/>
  <c r="T856" i="2" s="1"/>
  <c r="W856" i="2" s="1"/>
  <c r="S855" i="2"/>
  <c r="T855" i="2" s="1"/>
  <c r="W855" i="2" s="1"/>
  <c r="S854" i="2"/>
  <c r="T854" i="2" s="1"/>
  <c r="W854" i="2" s="1"/>
  <c r="S853" i="2"/>
  <c r="T853" i="2" s="1"/>
  <c r="W853" i="2" s="1"/>
  <c r="S852" i="2"/>
  <c r="T852" i="2" s="1"/>
  <c r="W852" i="2" s="1"/>
  <c r="S851" i="2"/>
  <c r="T851" i="2" s="1"/>
  <c r="W851" i="2" s="1"/>
  <c r="S850" i="2"/>
  <c r="T850" i="2" s="1"/>
  <c r="W850" i="2" s="1"/>
  <c r="S849" i="2"/>
  <c r="T849" i="2" s="1"/>
  <c r="W849" i="2" s="1"/>
  <c r="S848" i="2"/>
  <c r="T848" i="2" s="1"/>
  <c r="W848" i="2" s="1"/>
  <c r="S847" i="2"/>
  <c r="T847" i="2" s="1"/>
  <c r="W847" i="2" s="1"/>
  <c r="S846" i="2"/>
  <c r="T846" i="2" s="1"/>
  <c r="W846" i="2" s="1"/>
  <c r="S845" i="2"/>
  <c r="T845" i="2" s="1"/>
  <c r="W845" i="2" s="1"/>
  <c r="S844" i="2"/>
  <c r="T844" i="2" s="1"/>
  <c r="W844" i="2" s="1"/>
  <c r="S843" i="2"/>
  <c r="T843" i="2" s="1"/>
  <c r="W843" i="2" s="1"/>
  <c r="S842" i="2"/>
  <c r="T842" i="2" s="1"/>
  <c r="W842" i="2" s="1"/>
  <c r="S841" i="2"/>
  <c r="T841" i="2" s="1"/>
  <c r="W841" i="2" s="1"/>
  <c r="S840" i="2"/>
  <c r="T840" i="2" s="1"/>
  <c r="W840" i="2" s="1"/>
  <c r="S839" i="2"/>
  <c r="T839" i="2" s="1"/>
  <c r="W839" i="2" s="1"/>
  <c r="S838" i="2"/>
  <c r="T838" i="2" s="1"/>
  <c r="W838" i="2" s="1"/>
  <c r="S837" i="2"/>
  <c r="T837" i="2" s="1"/>
  <c r="W837" i="2" s="1"/>
  <c r="S836" i="2"/>
  <c r="T836" i="2" s="1"/>
  <c r="W836" i="2" s="1"/>
  <c r="S835" i="2"/>
  <c r="T835" i="2" s="1"/>
  <c r="W835" i="2" s="1"/>
  <c r="S834" i="2"/>
  <c r="T834" i="2" s="1"/>
  <c r="W834" i="2" s="1"/>
  <c r="S833" i="2"/>
  <c r="T833" i="2" s="1"/>
  <c r="W833" i="2" s="1"/>
  <c r="S832" i="2"/>
  <c r="T832" i="2" s="1"/>
  <c r="W832" i="2" s="1"/>
  <c r="S831" i="2"/>
  <c r="T831" i="2" s="1"/>
  <c r="W831" i="2" s="1"/>
  <c r="S830" i="2"/>
  <c r="T830" i="2" s="1"/>
  <c r="W830" i="2" s="1"/>
  <c r="S829" i="2"/>
  <c r="T829" i="2" s="1"/>
  <c r="W829" i="2" s="1"/>
  <c r="S828" i="2"/>
  <c r="T828" i="2" s="1"/>
  <c r="W828" i="2" s="1"/>
  <c r="S827" i="2"/>
  <c r="T827" i="2" s="1"/>
  <c r="W827" i="2" s="1"/>
  <c r="S826" i="2"/>
  <c r="T826" i="2" s="1"/>
  <c r="W826" i="2" s="1"/>
  <c r="S825" i="2"/>
  <c r="T825" i="2" s="1"/>
  <c r="W825" i="2" s="1"/>
  <c r="S824" i="2"/>
  <c r="T824" i="2" s="1"/>
  <c r="W824" i="2" s="1"/>
  <c r="S823" i="2"/>
  <c r="T823" i="2" s="1"/>
  <c r="W823" i="2" s="1"/>
  <c r="S822" i="2"/>
  <c r="T822" i="2" s="1"/>
  <c r="W822" i="2" s="1"/>
  <c r="S821" i="2"/>
  <c r="T821" i="2" s="1"/>
  <c r="W821" i="2" s="1"/>
  <c r="S820" i="2"/>
  <c r="T820" i="2" s="1"/>
  <c r="W820" i="2" s="1"/>
  <c r="S819" i="2"/>
  <c r="T819" i="2" s="1"/>
  <c r="W819" i="2" s="1"/>
  <c r="S818" i="2"/>
  <c r="T818" i="2" s="1"/>
  <c r="W818" i="2" s="1"/>
  <c r="S817" i="2"/>
  <c r="T817" i="2" s="1"/>
  <c r="W817" i="2" s="1"/>
  <c r="S816" i="2"/>
  <c r="T816" i="2" s="1"/>
  <c r="W816" i="2" s="1"/>
  <c r="S815" i="2"/>
  <c r="T815" i="2" s="1"/>
  <c r="W815" i="2" s="1"/>
  <c r="S814" i="2"/>
  <c r="T814" i="2" s="1"/>
  <c r="W814" i="2" s="1"/>
  <c r="S813" i="2"/>
  <c r="T813" i="2" s="1"/>
  <c r="W813" i="2" s="1"/>
  <c r="S812" i="2"/>
  <c r="T812" i="2" s="1"/>
  <c r="W812" i="2" s="1"/>
  <c r="S811" i="2"/>
  <c r="T811" i="2" s="1"/>
  <c r="W811" i="2" s="1"/>
  <c r="S810" i="2"/>
  <c r="T810" i="2" s="1"/>
  <c r="W810" i="2" s="1"/>
  <c r="S809" i="2"/>
  <c r="T809" i="2" s="1"/>
  <c r="W809" i="2" s="1"/>
  <c r="S808" i="2"/>
  <c r="T808" i="2" s="1"/>
  <c r="W808" i="2" s="1"/>
  <c r="S807" i="2"/>
  <c r="T807" i="2" s="1"/>
  <c r="W807" i="2" s="1"/>
  <c r="S806" i="2"/>
  <c r="T806" i="2" s="1"/>
  <c r="W806" i="2" s="1"/>
  <c r="S805" i="2"/>
  <c r="T805" i="2" s="1"/>
  <c r="W805" i="2" s="1"/>
  <c r="S804" i="2"/>
  <c r="T804" i="2" s="1"/>
  <c r="W804" i="2" s="1"/>
  <c r="S803" i="2"/>
  <c r="T803" i="2" s="1"/>
  <c r="W803" i="2" s="1"/>
  <c r="S802" i="2"/>
  <c r="T802" i="2" s="1"/>
  <c r="W802" i="2" s="1"/>
  <c r="S801" i="2"/>
  <c r="T801" i="2" s="1"/>
  <c r="W801" i="2" s="1"/>
  <c r="S800" i="2"/>
  <c r="T800" i="2" s="1"/>
  <c r="W800" i="2" s="1"/>
  <c r="S799" i="2"/>
  <c r="T799" i="2" s="1"/>
  <c r="W799" i="2" s="1"/>
  <c r="S798" i="2"/>
  <c r="T798" i="2" s="1"/>
  <c r="W798" i="2" s="1"/>
  <c r="S797" i="2"/>
  <c r="T797" i="2" s="1"/>
  <c r="W797" i="2" s="1"/>
  <c r="S796" i="2"/>
  <c r="T796" i="2" s="1"/>
  <c r="W796" i="2" s="1"/>
  <c r="S795" i="2"/>
  <c r="T795" i="2" s="1"/>
  <c r="W795" i="2" s="1"/>
  <c r="S794" i="2"/>
  <c r="T794" i="2" s="1"/>
  <c r="W794" i="2" s="1"/>
  <c r="S793" i="2"/>
  <c r="T793" i="2" s="1"/>
  <c r="W793" i="2" s="1"/>
  <c r="S792" i="2"/>
  <c r="T792" i="2" s="1"/>
  <c r="W792" i="2" s="1"/>
  <c r="S791" i="2"/>
  <c r="T791" i="2" s="1"/>
  <c r="W791" i="2" s="1"/>
  <c r="S790" i="2"/>
  <c r="T790" i="2" s="1"/>
  <c r="W790" i="2" s="1"/>
  <c r="S789" i="2"/>
  <c r="T789" i="2" s="1"/>
  <c r="W789" i="2" s="1"/>
  <c r="S788" i="2"/>
  <c r="T788" i="2" s="1"/>
  <c r="W788" i="2" s="1"/>
  <c r="S787" i="2"/>
  <c r="T787" i="2" s="1"/>
  <c r="W787" i="2" s="1"/>
  <c r="S786" i="2"/>
  <c r="T786" i="2" s="1"/>
  <c r="W786" i="2" s="1"/>
  <c r="S785" i="2"/>
  <c r="T785" i="2" s="1"/>
  <c r="W785" i="2" s="1"/>
  <c r="S784" i="2"/>
  <c r="T784" i="2" s="1"/>
  <c r="W784" i="2" s="1"/>
  <c r="S783" i="2"/>
  <c r="T783" i="2" s="1"/>
  <c r="W783" i="2" s="1"/>
  <c r="S782" i="2"/>
  <c r="T782" i="2" s="1"/>
  <c r="W782" i="2" s="1"/>
  <c r="S781" i="2"/>
  <c r="T781" i="2" s="1"/>
  <c r="W781" i="2" s="1"/>
  <c r="S780" i="2"/>
  <c r="T780" i="2" s="1"/>
  <c r="W780" i="2" s="1"/>
  <c r="S779" i="2"/>
  <c r="T779" i="2" s="1"/>
  <c r="W779" i="2" s="1"/>
  <c r="S778" i="2"/>
  <c r="T778" i="2" s="1"/>
  <c r="W778" i="2" s="1"/>
  <c r="S777" i="2"/>
  <c r="T777" i="2" s="1"/>
  <c r="W777" i="2" s="1"/>
  <c r="S776" i="2"/>
  <c r="T776" i="2" s="1"/>
  <c r="W776" i="2" s="1"/>
  <c r="S775" i="2"/>
  <c r="T775" i="2" s="1"/>
  <c r="W775" i="2" s="1"/>
  <c r="S774" i="2"/>
  <c r="T774" i="2" s="1"/>
  <c r="W774" i="2" s="1"/>
  <c r="S773" i="2"/>
  <c r="T773" i="2" s="1"/>
  <c r="W773" i="2" s="1"/>
  <c r="S772" i="2"/>
  <c r="T772" i="2" s="1"/>
  <c r="W772" i="2" s="1"/>
  <c r="S771" i="2"/>
  <c r="T771" i="2" s="1"/>
  <c r="W771" i="2" s="1"/>
  <c r="S770" i="2"/>
  <c r="T770" i="2" s="1"/>
  <c r="W770" i="2" s="1"/>
  <c r="S769" i="2"/>
  <c r="T769" i="2" s="1"/>
  <c r="W769" i="2" s="1"/>
  <c r="S768" i="2"/>
  <c r="T768" i="2" s="1"/>
  <c r="W768" i="2" s="1"/>
  <c r="S767" i="2"/>
  <c r="T767" i="2" s="1"/>
  <c r="W767" i="2" s="1"/>
  <c r="S766" i="2"/>
  <c r="T766" i="2" s="1"/>
  <c r="W766" i="2" s="1"/>
  <c r="S765" i="2"/>
  <c r="T765" i="2" s="1"/>
  <c r="W765" i="2" s="1"/>
  <c r="S764" i="2"/>
  <c r="T764" i="2" s="1"/>
  <c r="W764" i="2" s="1"/>
  <c r="S763" i="2"/>
  <c r="T763" i="2" s="1"/>
  <c r="W763" i="2" s="1"/>
  <c r="S762" i="2"/>
  <c r="T762" i="2" s="1"/>
  <c r="W762" i="2" s="1"/>
  <c r="S761" i="2"/>
  <c r="T761" i="2" s="1"/>
  <c r="W761" i="2" s="1"/>
  <c r="S760" i="2"/>
  <c r="T760" i="2" s="1"/>
  <c r="W760" i="2" s="1"/>
  <c r="S759" i="2"/>
  <c r="T759" i="2" s="1"/>
  <c r="W759" i="2" s="1"/>
  <c r="S758" i="2"/>
  <c r="T758" i="2" s="1"/>
  <c r="W758" i="2" s="1"/>
  <c r="S757" i="2"/>
  <c r="T757" i="2" s="1"/>
  <c r="W757" i="2" s="1"/>
  <c r="S756" i="2"/>
  <c r="T756" i="2" s="1"/>
  <c r="W756" i="2" s="1"/>
  <c r="S755" i="2"/>
  <c r="T755" i="2" s="1"/>
  <c r="W755" i="2" s="1"/>
  <c r="S754" i="2"/>
  <c r="T754" i="2" s="1"/>
  <c r="W754" i="2" s="1"/>
  <c r="S753" i="2"/>
  <c r="T753" i="2" s="1"/>
  <c r="W753" i="2" s="1"/>
  <c r="S752" i="2"/>
  <c r="T752" i="2" s="1"/>
  <c r="W752" i="2" s="1"/>
  <c r="S751" i="2"/>
  <c r="T751" i="2" s="1"/>
  <c r="W751" i="2" s="1"/>
  <c r="S750" i="2"/>
  <c r="T750" i="2" s="1"/>
  <c r="W750" i="2" s="1"/>
  <c r="S749" i="2"/>
  <c r="T749" i="2" s="1"/>
  <c r="W749" i="2" s="1"/>
  <c r="S748" i="2"/>
  <c r="T748" i="2" s="1"/>
  <c r="W748" i="2" s="1"/>
  <c r="S747" i="2"/>
  <c r="T747" i="2" s="1"/>
  <c r="W747" i="2" s="1"/>
  <c r="S746" i="2"/>
  <c r="T746" i="2" s="1"/>
  <c r="W746" i="2" s="1"/>
  <c r="S745" i="2"/>
  <c r="T745" i="2" s="1"/>
  <c r="W745" i="2" s="1"/>
  <c r="S744" i="2"/>
  <c r="T744" i="2" s="1"/>
  <c r="W744" i="2" s="1"/>
  <c r="S743" i="2"/>
  <c r="T743" i="2" s="1"/>
  <c r="W743" i="2" s="1"/>
  <c r="S742" i="2"/>
  <c r="T742" i="2" s="1"/>
  <c r="W742" i="2" s="1"/>
  <c r="S741" i="2"/>
  <c r="T741" i="2" s="1"/>
  <c r="W741" i="2" s="1"/>
  <c r="S740" i="2"/>
  <c r="T740" i="2" s="1"/>
  <c r="W740" i="2" s="1"/>
  <c r="S739" i="2"/>
  <c r="T739" i="2" s="1"/>
  <c r="W739" i="2" s="1"/>
  <c r="S738" i="2"/>
  <c r="T738" i="2" s="1"/>
  <c r="W738" i="2" s="1"/>
  <c r="S737" i="2"/>
  <c r="T737" i="2" s="1"/>
  <c r="W737" i="2" s="1"/>
  <c r="S736" i="2"/>
  <c r="T736" i="2" s="1"/>
  <c r="W736" i="2" s="1"/>
  <c r="S735" i="2"/>
  <c r="T735" i="2" s="1"/>
  <c r="W735" i="2" s="1"/>
  <c r="S734" i="2"/>
  <c r="T734" i="2" s="1"/>
  <c r="W734" i="2" s="1"/>
  <c r="S733" i="2"/>
  <c r="T733" i="2" s="1"/>
  <c r="W733" i="2" s="1"/>
  <c r="S732" i="2"/>
  <c r="T732" i="2" s="1"/>
  <c r="W732" i="2" s="1"/>
  <c r="S731" i="2"/>
  <c r="T731" i="2" s="1"/>
  <c r="W731" i="2" s="1"/>
  <c r="S730" i="2"/>
  <c r="T730" i="2" s="1"/>
  <c r="W730" i="2" s="1"/>
  <c r="S729" i="2"/>
  <c r="T729" i="2" s="1"/>
  <c r="W729" i="2" s="1"/>
  <c r="S728" i="2"/>
  <c r="T728" i="2" s="1"/>
  <c r="W728" i="2" s="1"/>
  <c r="S727" i="2"/>
  <c r="T727" i="2" s="1"/>
  <c r="W727" i="2" s="1"/>
  <c r="S726" i="2"/>
  <c r="T726" i="2" s="1"/>
  <c r="W726" i="2" s="1"/>
  <c r="S725" i="2"/>
  <c r="T725" i="2" s="1"/>
  <c r="W725" i="2" s="1"/>
  <c r="S724" i="2"/>
  <c r="T724" i="2" s="1"/>
  <c r="W724" i="2" s="1"/>
  <c r="S723" i="2"/>
  <c r="T723" i="2" s="1"/>
  <c r="W723" i="2" s="1"/>
  <c r="S722" i="2"/>
  <c r="T722" i="2" s="1"/>
  <c r="W722" i="2" s="1"/>
  <c r="S721" i="2"/>
  <c r="T721" i="2" s="1"/>
  <c r="W721" i="2" s="1"/>
  <c r="S720" i="2"/>
  <c r="T720" i="2" s="1"/>
  <c r="W720" i="2" s="1"/>
  <c r="S719" i="2"/>
  <c r="T719" i="2" s="1"/>
  <c r="W719" i="2" s="1"/>
  <c r="S718" i="2"/>
  <c r="T718" i="2" s="1"/>
  <c r="W718" i="2" s="1"/>
  <c r="S717" i="2"/>
  <c r="T717" i="2" s="1"/>
  <c r="W717" i="2" s="1"/>
  <c r="S716" i="2"/>
  <c r="T716" i="2" s="1"/>
  <c r="W716" i="2" s="1"/>
  <c r="S715" i="2"/>
  <c r="T715" i="2" s="1"/>
  <c r="W715" i="2" s="1"/>
  <c r="S714" i="2"/>
  <c r="T714" i="2" s="1"/>
  <c r="W714" i="2" s="1"/>
  <c r="S713" i="2"/>
  <c r="T713" i="2" s="1"/>
  <c r="W713" i="2" s="1"/>
  <c r="S712" i="2"/>
  <c r="T712" i="2" s="1"/>
  <c r="W712" i="2" s="1"/>
  <c r="S711" i="2"/>
  <c r="T711" i="2" s="1"/>
  <c r="W711" i="2" s="1"/>
  <c r="S710" i="2"/>
  <c r="T710" i="2" s="1"/>
  <c r="W710" i="2" s="1"/>
  <c r="S709" i="2"/>
  <c r="T709" i="2" s="1"/>
  <c r="W709" i="2" s="1"/>
  <c r="S708" i="2"/>
  <c r="T708" i="2" s="1"/>
  <c r="W708" i="2" s="1"/>
  <c r="S707" i="2"/>
  <c r="T707" i="2" s="1"/>
  <c r="W707" i="2" s="1"/>
  <c r="S706" i="2"/>
  <c r="T706" i="2" s="1"/>
  <c r="W706" i="2" s="1"/>
  <c r="S705" i="2"/>
  <c r="T705" i="2" s="1"/>
  <c r="W705" i="2" s="1"/>
  <c r="S704" i="2"/>
  <c r="T704" i="2" s="1"/>
  <c r="W704" i="2" s="1"/>
  <c r="S703" i="2"/>
  <c r="T703" i="2" s="1"/>
  <c r="W703" i="2" s="1"/>
  <c r="S702" i="2"/>
  <c r="T702" i="2" s="1"/>
  <c r="W702" i="2" s="1"/>
  <c r="S701" i="2"/>
  <c r="T701" i="2" s="1"/>
  <c r="W701" i="2" s="1"/>
  <c r="S700" i="2"/>
  <c r="T700" i="2" s="1"/>
  <c r="W700" i="2" s="1"/>
  <c r="S699" i="2"/>
  <c r="T699" i="2" s="1"/>
  <c r="W699" i="2" s="1"/>
  <c r="S698" i="2"/>
  <c r="T698" i="2" s="1"/>
  <c r="W698" i="2" s="1"/>
  <c r="S697" i="2"/>
  <c r="T697" i="2" s="1"/>
  <c r="W697" i="2" s="1"/>
  <c r="S696" i="2"/>
  <c r="T696" i="2" s="1"/>
  <c r="W696" i="2" s="1"/>
  <c r="S695" i="2"/>
  <c r="T695" i="2" s="1"/>
  <c r="W695" i="2" s="1"/>
  <c r="S694" i="2"/>
  <c r="T694" i="2" s="1"/>
  <c r="W694" i="2" s="1"/>
  <c r="S693" i="2"/>
  <c r="T693" i="2" s="1"/>
  <c r="W693" i="2" s="1"/>
  <c r="S692" i="2"/>
  <c r="T692" i="2" s="1"/>
  <c r="W692" i="2" s="1"/>
  <c r="S691" i="2"/>
  <c r="T691" i="2" s="1"/>
  <c r="W691" i="2" s="1"/>
  <c r="S690" i="2"/>
  <c r="T690" i="2" s="1"/>
  <c r="W690" i="2" s="1"/>
  <c r="S689" i="2"/>
  <c r="T689" i="2" s="1"/>
  <c r="W689" i="2" s="1"/>
  <c r="S688" i="2"/>
  <c r="T688" i="2" s="1"/>
  <c r="W688" i="2" s="1"/>
  <c r="S687" i="2"/>
  <c r="T687" i="2" s="1"/>
  <c r="W687" i="2" s="1"/>
  <c r="S686" i="2"/>
  <c r="T686" i="2" s="1"/>
  <c r="W686" i="2" s="1"/>
  <c r="S685" i="2"/>
  <c r="T685" i="2" s="1"/>
  <c r="W685" i="2" s="1"/>
  <c r="S684" i="2"/>
  <c r="T684" i="2" s="1"/>
  <c r="W684" i="2" s="1"/>
  <c r="S683" i="2"/>
  <c r="T683" i="2" s="1"/>
  <c r="W683" i="2" s="1"/>
  <c r="S682" i="2"/>
  <c r="T682" i="2" s="1"/>
  <c r="W682" i="2" s="1"/>
  <c r="S681" i="2"/>
  <c r="T681" i="2" s="1"/>
  <c r="W681" i="2" s="1"/>
  <c r="S680" i="2"/>
  <c r="T680" i="2" s="1"/>
  <c r="W680" i="2" s="1"/>
  <c r="S679" i="2"/>
  <c r="T679" i="2" s="1"/>
  <c r="W679" i="2" s="1"/>
  <c r="S678" i="2"/>
  <c r="T678" i="2" s="1"/>
  <c r="W678" i="2" s="1"/>
  <c r="S677" i="2"/>
  <c r="T677" i="2" s="1"/>
  <c r="W677" i="2" s="1"/>
  <c r="S676" i="2"/>
  <c r="T676" i="2" s="1"/>
  <c r="W676" i="2" s="1"/>
  <c r="S675" i="2"/>
  <c r="T675" i="2" s="1"/>
  <c r="W675" i="2" s="1"/>
  <c r="S674" i="2"/>
  <c r="T674" i="2" s="1"/>
  <c r="W674" i="2" s="1"/>
  <c r="S673" i="2"/>
  <c r="T673" i="2" s="1"/>
  <c r="W673" i="2" s="1"/>
  <c r="S672" i="2"/>
  <c r="T672" i="2" s="1"/>
  <c r="W672" i="2" s="1"/>
  <c r="S671" i="2"/>
  <c r="T671" i="2" s="1"/>
  <c r="W671" i="2" s="1"/>
  <c r="S670" i="2"/>
  <c r="T670" i="2" s="1"/>
  <c r="W670" i="2" s="1"/>
  <c r="S669" i="2"/>
  <c r="T669" i="2" s="1"/>
  <c r="W669" i="2" s="1"/>
  <c r="S668" i="2"/>
  <c r="T668" i="2" s="1"/>
  <c r="W668" i="2" s="1"/>
  <c r="S667" i="2"/>
  <c r="T667" i="2" s="1"/>
  <c r="W667" i="2" s="1"/>
  <c r="S666" i="2"/>
  <c r="T666" i="2" s="1"/>
  <c r="W666" i="2" s="1"/>
  <c r="S665" i="2"/>
  <c r="T665" i="2" s="1"/>
  <c r="W665" i="2" s="1"/>
  <c r="S664" i="2"/>
  <c r="T664" i="2" s="1"/>
  <c r="W664" i="2" s="1"/>
  <c r="S663" i="2"/>
  <c r="T663" i="2" s="1"/>
  <c r="W663" i="2" s="1"/>
  <c r="S662" i="2"/>
  <c r="T662" i="2" s="1"/>
  <c r="W662" i="2" s="1"/>
  <c r="S661" i="2"/>
  <c r="T661" i="2" s="1"/>
  <c r="W661" i="2" s="1"/>
  <c r="S660" i="2"/>
  <c r="T660" i="2" s="1"/>
  <c r="W660" i="2" s="1"/>
  <c r="S659" i="2"/>
  <c r="T659" i="2" s="1"/>
  <c r="W659" i="2" s="1"/>
  <c r="S658" i="2"/>
  <c r="T658" i="2" s="1"/>
  <c r="W658" i="2" s="1"/>
  <c r="S657" i="2"/>
  <c r="T657" i="2" s="1"/>
  <c r="W657" i="2" s="1"/>
  <c r="S656" i="2"/>
  <c r="T656" i="2" s="1"/>
  <c r="W656" i="2" s="1"/>
  <c r="S655" i="2"/>
  <c r="T655" i="2" s="1"/>
  <c r="W655" i="2" s="1"/>
  <c r="S654" i="2"/>
  <c r="T654" i="2" s="1"/>
  <c r="W654" i="2" s="1"/>
  <c r="S653" i="2"/>
  <c r="T653" i="2" s="1"/>
  <c r="W653" i="2" s="1"/>
  <c r="S652" i="2"/>
  <c r="T652" i="2" s="1"/>
  <c r="W652" i="2" s="1"/>
  <c r="S651" i="2"/>
  <c r="T651" i="2" s="1"/>
  <c r="W651" i="2" s="1"/>
  <c r="S650" i="2"/>
  <c r="T650" i="2" s="1"/>
  <c r="W650" i="2" s="1"/>
  <c r="S649" i="2"/>
  <c r="T649" i="2" s="1"/>
  <c r="W649" i="2" s="1"/>
  <c r="S648" i="2"/>
  <c r="T648" i="2" s="1"/>
  <c r="W648" i="2" s="1"/>
  <c r="S647" i="2"/>
  <c r="T647" i="2" s="1"/>
  <c r="W647" i="2" s="1"/>
  <c r="S646" i="2"/>
  <c r="T646" i="2" s="1"/>
  <c r="W646" i="2" s="1"/>
  <c r="S645" i="2"/>
  <c r="T645" i="2" s="1"/>
  <c r="W645" i="2" s="1"/>
  <c r="S644" i="2"/>
  <c r="T644" i="2" s="1"/>
  <c r="W644" i="2" s="1"/>
  <c r="S643" i="2"/>
  <c r="T643" i="2" s="1"/>
  <c r="W643" i="2" s="1"/>
  <c r="S642" i="2"/>
  <c r="T642" i="2" s="1"/>
  <c r="W642" i="2" s="1"/>
  <c r="S641" i="2"/>
  <c r="T641" i="2" s="1"/>
  <c r="W641" i="2" s="1"/>
  <c r="O641" i="2" s="1"/>
  <c r="S640" i="2"/>
  <c r="T640" i="2" s="1"/>
  <c r="W640" i="2" s="1"/>
  <c r="S639" i="2"/>
  <c r="T639" i="2" s="1"/>
  <c r="W639" i="2" s="1"/>
  <c r="S638" i="2"/>
  <c r="T638" i="2" s="1"/>
  <c r="W638" i="2" s="1"/>
  <c r="S637" i="2"/>
  <c r="T637" i="2" s="1"/>
  <c r="W637" i="2" s="1"/>
  <c r="S636" i="2"/>
  <c r="T636" i="2" s="1"/>
  <c r="W636" i="2" s="1"/>
  <c r="S635" i="2"/>
  <c r="T635" i="2" s="1"/>
  <c r="W635" i="2" s="1"/>
  <c r="S634" i="2"/>
  <c r="T634" i="2" s="1"/>
  <c r="W634" i="2" s="1"/>
  <c r="S633" i="2"/>
  <c r="T633" i="2" s="1"/>
  <c r="W633" i="2" s="1"/>
  <c r="S631" i="2"/>
  <c r="T631" i="2" s="1"/>
  <c r="W631" i="2" s="1"/>
  <c r="S630" i="2"/>
  <c r="T630" i="2" s="1"/>
  <c r="W630" i="2" s="1"/>
  <c r="S629" i="2"/>
  <c r="T629" i="2" s="1"/>
  <c r="W629" i="2" s="1"/>
  <c r="S628" i="2"/>
  <c r="T628" i="2" s="1"/>
  <c r="W628" i="2" s="1"/>
  <c r="S627" i="2"/>
  <c r="T627" i="2" s="1"/>
  <c r="W627" i="2" s="1"/>
  <c r="S626" i="2"/>
  <c r="T626" i="2" s="1"/>
  <c r="W626" i="2" s="1"/>
  <c r="S625" i="2"/>
  <c r="T625" i="2" s="1"/>
  <c r="W625" i="2" s="1"/>
  <c r="S624" i="2"/>
  <c r="T624" i="2" s="1"/>
  <c r="W624" i="2" s="1"/>
  <c r="S623" i="2"/>
  <c r="T623" i="2" s="1"/>
  <c r="W623" i="2" s="1"/>
  <c r="O623" i="2" s="1"/>
  <c r="S622" i="2"/>
  <c r="T622" i="2" s="1"/>
  <c r="W622" i="2" s="1"/>
  <c r="O622" i="2" s="1"/>
  <c r="S621" i="2"/>
  <c r="T621" i="2" s="1"/>
  <c r="W621" i="2" s="1"/>
  <c r="O621" i="2" s="1"/>
  <c r="S620" i="2"/>
  <c r="T620" i="2" s="1"/>
  <c r="W620" i="2" s="1"/>
  <c r="S619" i="2"/>
  <c r="T619" i="2" s="1"/>
  <c r="W619" i="2" s="1"/>
  <c r="O619" i="2" s="1"/>
  <c r="S618" i="2"/>
  <c r="T618" i="2" s="1"/>
  <c r="W618" i="2" s="1"/>
  <c r="O618" i="2" s="1"/>
  <c r="S617" i="2"/>
  <c r="T617" i="2" s="1"/>
  <c r="W617" i="2" s="1"/>
  <c r="O617" i="2" s="1"/>
  <c r="S616" i="2"/>
  <c r="T616" i="2" s="1"/>
  <c r="W616" i="2" s="1"/>
  <c r="O616" i="2" s="1"/>
  <c r="S615" i="2"/>
  <c r="T615" i="2" s="1"/>
  <c r="W615" i="2" s="1"/>
  <c r="S614" i="2"/>
  <c r="T614" i="2" s="1"/>
  <c r="W614" i="2" s="1"/>
  <c r="O614" i="2" s="1"/>
  <c r="S613" i="2"/>
  <c r="T613" i="2" s="1"/>
  <c r="W613" i="2" s="1"/>
  <c r="O613" i="2" s="1"/>
  <c r="S612" i="2"/>
  <c r="T612" i="2" s="1"/>
  <c r="W612" i="2" s="1"/>
  <c r="O612" i="2" s="1"/>
  <c r="S611" i="2"/>
  <c r="T611" i="2" s="1"/>
  <c r="W611" i="2" s="1"/>
  <c r="S610" i="2"/>
  <c r="T610" i="2" s="1"/>
  <c r="W610" i="2" s="1"/>
  <c r="O610" i="2" s="1"/>
  <c r="S609" i="2"/>
  <c r="T609" i="2" s="1"/>
  <c r="W609" i="2" s="1"/>
  <c r="S608" i="2"/>
  <c r="T608" i="2" s="1"/>
  <c r="W608" i="2" s="1"/>
  <c r="S607" i="2"/>
  <c r="T607" i="2" s="1"/>
  <c r="W607" i="2" s="1"/>
  <c r="O607" i="2" s="1"/>
  <c r="S606" i="2"/>
  <c r="T606" i="2" s="1"/>
  <c r="W606" i="2" s="1"/>
  <c r="O606" i="2" s="1"/>
  <c r="S605" i="2"/>
  <c r="T605" i="2" s="1"/>
  <c r="W605" i="2" s="1"/>
  <c r="O605" i="2" s="1"/>
  <c r="S604" i="2"/>
  <c r="T604" i="2" s="1"/>
  <c r="W604" i="2" s="1"/>
  <c r="O604" i="2" s="1"/>
  <c r="S603" i="2"/>
  <c r="T603" i="2" s="1"/>
  <c r="W603" i="2" s="1"/>
  <c r="O603" i="2" s="1"/>
  <c r="S602" i="2"/>
  <c r="T602" i="2" s="1"/>
  <c r="W602" i="2" s="1"/>
  <c r="O602" i="2" s="1"/>
  <c r="S601" i="2"/>
  <c r="T601" i="2" s="1"/>
  <c r="W601" i="2" s="1"/>
  <c r="O601" i="2" s="1"/>
  <c r="S600" i="2"/>
  <c r="T600" i="2" s="1"/>
  <c r="W600" i="2" s="1"/>
  <c r="O600" i="2" s="1"/>
  <c r="S599" i="2"/>
  <c r="T599" i="2" s="1"/>
  <c r="W599" i="2" s="1"/>
  <c r="O599" i="2" s="1"/>
  <c r="S598" i="2"/>
  <c r="T598" i="2" s="1"/>
  <c r="W598" i="2" s="1"/>
  <c r="O598" i="2" s="1"/>
  <c r="S597" i="2"/>
  <c r="T597" i="2" s="1"/>
  <c r="W597" i="2" s="1"/>
  <c r="S596" i="2"/>
  <c r="T596" i="2" s="1"/>
  <c r="W596" i="2" s="1"/>
  <c r="O596" i="2" s="1"/>
  <c r="S595" i="2"/>
  <c r="T595" i="2" s="1"/>
  <c r="W595" i="2" s="1"/>
  <c r="O595" i="2" s="1"/>
  <c r="S594" i="2"/>
  <c r="T594" i="2" s="1"/>
  <c r="W594" i="2" s="1"/>
  <c r="O594" i="2" s="1"/>
  <c r="S593" i="2"/>
  <c r="T593" i="2" s="1"/>
  <c r="W593" i="2" s="1"/>
  <c r="O593" i="2" s="1"/>
  <c r="S592" i="2"/>
  <c r="T592" i="2" s="1"/>
  <c r="W592" i="2" s="1"/>
  <c r="O592" i="2" s="1"/>
  <c r="S591" i="2"/>
  <c r="T591" i="2" s="1"/>
  <c r="W591" i="2" s="1"/>
  <c r="O591" i="2" s="1"/>
  <c r="S590" i="2"/>
  <c r="T590" i="2" s="1"/>
  <c r="W590" i="2" s="1"/>
  <c r="O590" i="2" s="1"/>
  <c r="S589" i="2"/>
  <c r="T589" i="2" s="1"/>
  <c r="W589" i="2" s="1"/>
  <c r="O589" i="2" s="1"/>
  <c r="S588" i="2"/>
  <c r="T588" i="2" s="1"/>
  <c r="W588" i="2" s="1"/>
  <c r="O588" i="2" s="1"/>
  <c r="S587" i="2"/>
  <c r="T587" i="2" s="1"/>
  <c r="W587" i="2" s="1"/>
  <c r="O587" i="2" s="1"/>
  <c r="S586" i="2"/>
  <c r="T586" i="2" s="1"/>
  <c r="W586" i="2" s="1"/>
  <c r="O586" i="2" s="1"/>
  <c r="S585" i="2"/>
  <c r="T585" i="2" s="1"/>
  <c r="W585" i="2" s="1"/>
  <c r="S584" i="2"/>
  <c r="T584" i="2" s="1"/>
  <c r="W584" i="2" s="1"/>
  <c r="O584" i="2" s="1"/>
  <c r="S583" i="2"/>
  <c r="T583" i="2" s="1"/>
  <c r="W583" i="2" s="1"/>
  <c r="O583" i="2" s="1"/>
  <c r="S582" i="2"/>
  <c r="T582" i="2" s="1"/>
  <c r="W582" i="2" s="1"/>
  <c r="O582" i="2" s="1"/>
  <c r="S581" i="2"/>
  <c r="T581" i="2" s="1"/>
  <c r="W581" i="2" s="1"/>
  <c r="O581" i="2" s="1"/>
  <c r="S580" i="2"/>
  <c r="T580" i="2" s="1"/>
  <c r="W580" i="2" s="1"/>
  <c r="O580" i="2" s="1"/>
  <c r="S579" i="2"/>
  <c r="T579" i="2" s="1"/>
  <c r="W579" i="2" s="1"/>
  <c r="O579" i="2" s="1"/>
  <c r="S578" i="2"/>
  <c r="T578" i="2" s="1"/>
  <c r="W578" i="2" s="1"/>
  <c r="O578" i="2" s="1"/>
  <c r="S577" i="2"/>
  <c r="T577" i="2" s="1"/>
  <c r="W577" i="2" s="1"/>
  <c r="O577" i="2" s="1"/>
  <c r="S576" i="2"/>
  <c r="T576" i="2" s="1"/>
  <c r="W576" i="2" s="1"/>
  <c r="O576" i="2" s="1"/>
  <c r="S575" i="2"/>
  <c r="T575" i="2" s="1"/>
  <c r="W575" i="2" s="1"/>
  <c r="O575" i="2" s="1"/>
  <c r="S574" i="2"/>
  <c r="T574" i="2" s="1"/>
  <c r="W574" i="2" s="1"/>
  <c r="O574" i="2" s="1"/>
  <c r="S573" i="2"/>
  <c r="T573" i="2" s="1"/>
  <c r="W573" i="2" s="1"/>
  <c r="S572" i="2"/>
  <c r="T572" i="2" s="1"/>
  <c r="W572" i="2" s="1"/>
  <c r="S571" i="2"/>
  <c r="T571" i="2" s="1"/>
  <c r="W571" i="2" s="1"/>
  <c r="O571" i="2" s="1"/>
  <c r="S570" i="2"/>
  <c r="T570" i="2" s="1"/>
  <c r="W570" i="2" s="1"/>
  <c r="O570" i="2" s="1"/>
  <c r="S569" i="2"/>
  <c r="T569" i="2" s="1"/>
  <c r="W569" i="2" s="1"/>
  <c r="O569" i="2" s="1"/>
  <c r="S568" i="2"/>
  <c r="T568" i="2" s="1"/>
  <c r="W568" i="2" s="1"/>
  <c r="O568" i="2" s="1"/>
  <c r="S567" i="2"/>
  <c r="T567" i="2" s="1"/>
  <c r="W567" i="2" s="1"/>
  <c r="O567" i="2" s="1"/>
  <c r="S566" i="2"/>
  <c r="T566" i="2" s="1"/>
  <c r="W566" i="2" s="1"/>
  <c r="O566" i="2" s="1"/>
  <c r="S565" i="2"/>
  <c r="T565" i="2" s="1"/>
  <c r="W565" i="2" s="1"/>
  <c r="O565" i="2" s="1"/>
  <c r="S564" i="2"/>
  <c r="T564" i="2" s="1"/>
  <c r="W564" i="2" s="1"/>
  <c r="O564" i="2" s="1"/>
  <c r="S563" i="2"/>
  <c r="T563" i="2" s="1"/>
  <c r="W563" i="2" s="1"/>
  <c r="O563" i="2" s="1"/>
  <c r="S562" i="2"/>
  <c r="T562" i="2" s="1"/>
  <c r="W562" i="2" s="1"/>
  <c r="O562" i="2" s="1"/>
  <c r="S561" i="2"/>
  <c r="T561" i="2" s="1"/>
  <c r="W561" i="2" s="1"/>
  <c r="O561" i="2" s="1"/>
  <c r="S560" i="2"/>
  <c r="T560" i="2" s="1"/>
  <c r="W560" i="2" s="1"/>
  <c r="O560" i="2" s="1"/>
  <c r="S559" i="2"/>
  <c r="T559" i="2" s="1"/>
  <c r="W559" i="2" s="1"/>
  <c r="S558" i="2"/>
  <c r="T558" i="2" s="1"/>
  <c r="W558" i="2" s="1"/>
  <c r="S557" i="2"/>
  <c r="T557" i="2" s="1"/>
  <c r="W557" i="2" s="1"/>
  <c r="S556" i="2"/>
  <c r="T556" i="2" s="1"/>
  <c r="W556" i="2" s="1"/>
  <c r="S555" i="2"/>
  <c r="T555" i="2" s="1"/>
  <c r="W555" i="2" s="1"/>
  <c r="S554" i="2"/>
  <c r="T554" i="2" s="1"/>
  <c r="W554" i="2" s="1"/>
  <c r="S553" i="2"/>
  <c r="T553" i="2" s="1"/>
  <c r="W553" i="2" s="1"/>
  <c r="S552" i="2"/>
  <c r="T552" i="2" s="1"/>
  <c r="W552" i="2" s="1"/>
  <c r="S551" i="2"/>
  <c r="T551" i="2" s="1"/>
  <c r="W551" i="2" s="1"/>
  <c r="S550" i="2"/>
  <c r="T550" i="2" s="1"/>
  <c r="W550" i="2" s="1"/>
  <c r="S549" i="2"/>
  <c r="T549" i="2" s="1"/>
  <c r="W549" i="2" s="1"/>
  <c r="S548" i="2"/>
  <c r="T548" i="2" s="1"/>
  <c r="W548" i="2" s="1"/>
  <c r="S547" i="2"/>
  <c r="T547" i="2" s="1"/>
  <c r="W547" i="2" s="1"/>
  <c r="S546" i="2"/>
  <c r="T546" i="2" s="1"/>
  <c r="W546" i="2" s="1"/>
  <c r="S545" i="2"/>
  <c r="T545" i="2" s="1"/>
  <c r="W545" i="2" s="1"/>
  <c r="S544" i="2"/>
  <c r="T544" i="2" s="1"/>
  <c r="W544" i="2" s="1"/>
  <c r="S543" i="2"/>
  <c r="T543" i="2" s="1"/>
  <c r="W543" i="2" s="1"/>
  <c r="S542" i="2"/>
  <c r="T542" i="2" s="1"/>
  <c r="W542" i="2" s="1"/>
  <c r="S541" i="2"/>
  <c r="T541" i="2" s="1"/>
  <c r="W541" i="2" s="1"/>
  <c r="S540" i="2"/>
  <c r="T540" i="2" s="1"/>
  <c r="W540" i="2" s="1"/>
  <c r="S539" i="2"/>
  <c r="T539" i="2" s="1"/>
  <c r="W539" i="2" s="1"/>
  <c r="S538" i="2"/>
  <c r="T538" i="2" s="1"/>
  <c r="W538" i="2" s="1"/>
  <c r="S537" i="2"/>
  <c r="T537" i="2" s="1"/>
  <c r="W537" i="2" s="1"/>
  <c r="S536" i="2"/>
  <c r="T536" i="2" s="1"/>
  <c r="W536" i="2" s="1"/>
  <c r="S535" i="2"/>
  <c r="T535" i="2" s="1"/>
  <c r="W535" i="2" s="1"/>
  <c r="S534" i="2"/>
  <c r="T534" i="2" s="1"/>
  <c r="W534" i="2" s="1"/>
  <c r="S533" i="2"/>
  <c r="T533" i="2" s="1"/>
  <c r="W533" i="2" s="1"/>
  <c r="S532" i="2"/>
  <c r="T532" i="2" s="1"/>
  <c r="W532" i="2" s="1"/>
  <c r="S531" i="2"/>
  <c r="T531" i="2" s="1"/>
  <c r="W531" i="2" s="1"/>
  <c r="S530" i="2"/>
  <c r="T530" i="2" s="1"/>
  <c r="W530" i="2" s="1"/>
  <c r="S529" i="2"/>
  <c r="T529" i="2" s="1"/>
  <c r="W529" i="2" s="1"/>
  <c r="S528" i="2"/>
  <c r="T528" i="2" s="1"/>
  <c r="W528" i="2" s="1"/>
  <c r="S527" i="2"/>
  <c r="T527" i="2" s="1"/>
  <c r="W527" i="2" s="1"/>
  <c r="S526" i="2"/>
  <c r="T526" i="2" s="1"/>
  <c r="W526" i="2" s="1"/>
  <c r="S525" i="2"/>
  <c r="T525" i="2" s="1"/>
  <c r="W525" i="2" s="1"/>
  <c r="S524" i="2"/>
  <c r="T524" i="2" s="1"/>
  <c r="W524" i="2" s="1"/>
  <c r="S523" i="2"/>
  <c r="T523" i="2" s="1"/>
  <c r="W523" i="2" s="1"/>
  <c r="S522" i="2"/>
  <c r="T522" i="2" s="1"/>
  <c r="W522" i="2" s="1"/>
  <c r="S521" i="2"/>
  <c r="T521" i="2" s="1"/>
  <c r="W521" i="2" s="1"/>
  <c r="S520" i="2"/>
  <c r="T520" i="2" s="1"/>
  <c r="W520" i="2" s="1"/>
  <c r="S519" i="2"/>
  <c r="T519" i="2" s="1"/>
  <c r="W519" i="2" s="1"/>
  <c r="S518" i="2"/>
  <c r="T518" i="2" s="1"/>
  <c r="W518" i="2" s="1"/>
  <c r="S517" i="2"/>
  <c r="T517" i="2" s="1"/>
  <c r="W517" i="2" s="1"/>
  <c r="S516" i="2"/>
  <c r="T516" i="2" s="1"/>
  <c r="W516" i="2" s="1"/>
  <c r="S515" i="2"/>
  <c r="T515" i="2" s="1"/>
  <c r="W515" i="2" s="1"/>
  <c r="S514" i="2"/>
  <c r="T514" i="2" s="1"/>
  <c r="W514" i="2" s="1"/>
  <c r="S513" i="2"/>
  <c r="T513" i="2" s="1"/>
  <c r="W513" i="2" s="1"/>
  <c r="S512" i="2"/>
  <c r="T512" i="2" s="1"/>
  <c r="W512" i="2" s="1"/>
  <c r="S511" i="2"/>
  <c r="T511" i="2" s="1"/>
  <c r="W511" i="2" s="1"/>
  <c r="S510" i="2"/>
  <c r="T510" i="2" s="1"/>
  <c r="W510" i="2" s="1"/>
  <c r="S509" i="2"/>
  <c r="T509" i="2" s="1"/>
  <c r="W509" i="2" s="1"/>
  <c r="S508" i="2"/>
  <c r="T508" i="2" s="1"/>
  <c r="W508" i="2" s="1"/>
  <c r="S507" i="2"/>
  <c r="T507" i="2" s="1"/>
  <c r="W507" i="2" s="1"/>
  <c r="S506" i="2"/>
  <c r="T506" i="2" s="1"/>
  <c r="W506" i="2" s="1"/>
  <c r="S505" i="2"/>
  <c r="T505" i="2" s="1"/>
  <c r="W505" i="2" s="1"/>
  <c r="S504" i="2"/>
  <c r="T504" i="2" s="1"/>
  <c r="W504" i="2" s="1"/>
  <c r="S503" i="2"/>
  <c r="T503" i="2" s="1"/>
  <c r="W503" i="2" s="1"/>
  <c r="S502" i="2"/>
  <c r="T502" i="2" s="1"/>
  <c r="W502" i="2" s="1"/>
  <c r="S501" i="2"/>
  <c r="T501" i="2" s="1"/>
  <c r="W501" i="2" s="1"/>
  <c r="S500" i="2"/>
  <c r="T500" i="2" s="1"/>
  <c r="W500" i="2" s="1"/>
  <c r="S499" i="2"/>
  <c r="T499" i="2" s="1"/>
  <c r="W499" i="2" s="1"/>
  <c r="S498" i="2"/>
  <c r="T498" i="2" s="1"/>
  <c r="W498" i="2" s="1"/>
  <c r="S497" i="2"/>
  <c r="T497" i="2" s="1"/>
  <c r="W497" i="2" s="1"/>
  <c r="S496" i="2"/>
  <c r="T496" i="2" s="1"/>
  <c r="W496" i="2" s="1"/>
  <c r="S495" i="2"/>
  <c r="T495" i="2" s="1"/>
  <c r="W495" i="2" s="1"/>
  <c r="S494" i="2"/>
  <c r="T494" i="2" s="1"/>
  <c r="W494" i="2" s="1"/>
  <c r="S493" i="2"/>
  <c r="T493" i="2" s="1"/>
  <c r="W493" i="2" s="1"/>
  <c r="S492" i="2"/>
  <c r="T492" i="2" s="1"/>
  <c r="W492" i="2" s="1"/>
  <c r="S491" i="2"/>
  <c r="T491" i="2" s="1"/>
  <c r="W491" i="2" s="1"/>
  <c r="S490" i="2"/>
  <c r="T490" i="2" s="1"/>
  <c r="W490" i="2" s="1"/>
  <c r="S489" i="2"/>
  <c r="T489" i="2" s="1"/>
  <c r="W489" i="2" s="1"/>
  <c r="S488" i="2"/>
  <c r="T488" i="2" s="1"/>
  <c r="W488" i="2" s="1"/>
  <c r="S487" i="2"/>
  <c r="T487" i="2" s="1"/>
  <c r="W487" i="2" s="1"/>
  <c r="S486" i="2"/>
  <c r="T486" i="2" s="1"/>
  <c r="W486" i="2" s="1"/>
  <c r="S485" i="2"/>
  <c r="T485" i="2" s="1"/>
  <c r="W485" i="2" s="1"/>
  <c r="S484" i="2"/>
  <c r="T484" i="2" s="1"/>
  <c r="W484" i="2" s="1"/>
  <c r="S483" i="2"/>
  <c r="T483" i="2" s="1"/>
  <c r="W483" i="2" s="1"/>
  <c r="S482" i="2"/>
  <c r="T482" i="2" s="1"/>
  <c r="W482" i="2" s="1"/>
  <c r="S481" i="2"/>
  <c r="T481" i="2" s="1"/>
  <c r="W481" i="2" s="1"/>
  <c r="S480" i="2"/>
  <c r="T480" i="2" s="1"/>
  <c r="W480" i="2" s="1"/>
  <c r="S479" i="2"/>
  <c r="T479" i="2" s="1"/>
  <c r="W479" i="2" s="1"/>
  <c r="S337" i="2"/>
  <c r="T337" i="2" s="1"/>
  <c r="W337" i="2" s="1"/>
  <c r="S478" i="2"/>
  <c r="T478" i="2" s="1"/>
  <c r="W478" i="2" s="1"/>
  <c r="S477" i="2"/>
  <c r="T477" i="2" s="1"/>
  <c r="W477" i="2" s="1"/>
  <c r="S476" i="2"/>
  <c r="T476" i="2" s="1"/>
  <c r="W476" i="2" s="1"/>
  <c r="S475" i="2"/>
  <c r="T475" i="2" s="1"/>
  <c r="W475" i="2" s="1"/>
  <c r="S474" i="2"/>
  <c r="T474" i="2" s="1"/>
  <c r="W474" i="2" s="1"/>
  <c r="S473" i="2"/>
  <c r="T473" i="2" s="1"/>
  <c r="W473" i="2" s="1"/>
  <c r="S472" i="2"/>
  <c r="T472" i="2" s="1"/>
  <c r="W472" i="2" s="1"/>
  <c r="S471" i="2"/>
  <c r="T471" i="2" s="1"/>
  <c r="W471" i="2" s="1"/>
  <c r="S470" i="2"/>
  <c r="T470" i="2" s="1"/>
  <c r="W470" i="2" s="1"/>
  <c r="S469" i="2"/>
  <c r="T469" i="2" s="1"/>
  <c r="W469" i="2" s="1"/>
  <c r="S468" i="2"/>
  <c r="T468" i="2" s="1"/>
  <c r="W468" i="2" s="1"/>
  <c r="S467" i="2"/>
  <c r="T467" i="2" s="1"/>
  <c r="W467" i="2" s="1"/>
  <c r="S466" i="2"/>
  <c r="T466" i="2" s="1"/>
  <c r="W466" i="2" s="1"/>
  <c r="S465" i="2"/>
  <c r="T465" i="2" s="1"/>
  <c r="W465" i="2" s="1"/>
  <c r="S464" i="2"/>
  <c r="T464" i="2" s="1"/>
  <c r="W464" i="2" s="1"/>
  <c r="S463" i="2"/>
  <c r="T463" i="2" s="1"/>
  <c r="W463" i="2" s="1"/>
  <c r="S462" i="2"/>
  <c r="T462" i="2" s="1"/>
  <c r="W462" i="2" s="1"/>
  <c r="S461" i="2"/>
  <c r="T461" i="2" s="1"/>
  <c r="W461" i="2" s="1"/>
  <c r="S460" i="2"/>
  <c r="T460" i="2" s="1"/>
  <c r="W460" i="2" s="1"/>
  <c r="S459" i="2"/>
  <c r="T459" i="2" s="1"/>
  <c r="W459" i="2" s="1"/>
  <c r="S458" i="2"/>
  <c r="T458" i="2" s="1"/>
  <c r="W458" i="2" s="1"/>
  <c r="S457" i="2"/>
  <c r="T457" i="2" s="1"/>
  <c r="W457" i="2" s="1"/>
  <c r="S456" i="2"/>
  <c r="T456" i="2" s="1"/>
  <c r="W456" i="2" s="1"/>
  <c r="S455" i="2"/>
  <c r="T455" i="2" s="1"/>
  <c r="W455" i="2" s="1"/>
  <c r="S454" i="2"/>
  <c r="T454" i="2" s="1"/>
  <c r="W454" i="2" s="1"/>
  <c r="S453" i="2"/>
  <c r="T453" i="2" s="1"/>
  <c r="W453" i="2" s="1"/>
  <c r="S452" i="2"/>
  <c r="T452" i="2" s="1"/>
  <c r="W452" i="2" s="1"/>
  <c r="S451" i="2"/>
  <c r="T451" i="2" s="1"/>
  <c r="W451" i="2" s="1"/>
  <c r="S450" i="2"/>
  <c r="T450" i="2" s="1"/>
  <c r="W450" i="2" s="1"/>
  <c r="S449" i="2"/>
  <c r="T449" i="2" s="1"/>
  <c r="W449" i="2" s="1"/>
  <c r="S448" i="2"/>
  <c r="T448" i="2" s="1"/>
  <c r="W448" i="2" s="1"/>
  <c r="S447" i="2"/>
  <c r="T447" i="2" s="1"/>
  <c r="W447" i="2" s="1"/>
  <c r="S446" i="2"/>
  <c r="T446" i="2" s="1"/>
  <c r="W446" i="2" s="1"/>
  <c r="S445" i="2"/>
  <c r="T445" i="2" s="1"/>
  <c r="W445" i="2" s="1"/>
  <c r="S444" i="2"/>
  <c r="T444" i="2" s="1"/>
  <c r="W444" i="2" s="1"/>
  <c r="S443" i="2"/>
  <c r="T443" i="2" s="1"/>
  <c r="W443" i="2" s="1"/>
  <c r="S442" i="2"/>
  <c r="T442" i="2" s="1"/>
  <c r="W442" i="2" s="1"/>
  <c r="S441" i="2"/>
  <c r="T441" i="2" s="1"/>
  <c r="W441" i="2" s="1"/>
  <c r="S440" i="2"/>
  <c r="T440" i="2" s="1"/>
  <c r="W440" i="2" s="1"/>
  <c r="S439" i="2"/>
  <c r="T439" i="2" s="1"/>
  <c r="W439" i="2" s="1"/>
  <c r="S438" i="2"/>
  <c r="T438" i="2" s="1"/>
  <c r="W438" i="2" s="1"/>
  <c r="S437" i="2"/>
  <c r="T437" i="2" s="1"/>
  <c r="W437" i="2" s="1"/>
  <c r="S436" i="2"/>
  <c r="T436" i="2" s="1"/>
  <c r="W436" i="2" s="1"/>
  <c r="S435" i="2"/>
  <c r="T435" i="2" s="1"/>
  <c r="W435" i="2" s="1"/>
  <c r="S434" i="2"/>
  <c r="T434" i="2" s="1"/>
  <c r="W434" i="2" s="1"/>
  <c r="S433" i="2"/>
  <c r="T433" i="2" s="1"/>
  <c r="W433" i="2" s="1"/>
  <c r="S432" i="2"/>
  <c r="T432" i="2" s="1"/>
  <c r="W432" i="2" s="1"/>
  <c r="S431" i="2"/>
  <c r="T431" i="2" s="1"/>
  <c r="W431" i="2" s="1"/>
  <c r="S430" i="2"/>
  <c r="T430" i="2" s="1"/>
  <c r="W430" i="2" s="1"/>
  <c r="S429" i="2"/>
  <c r="T429" i="2" s="1"/>
  <c r="W429" i="2" s="1"/>
  <c r="S428" i="2"/>
  <c r="T428" i="2" s="1"/>
  <c r="W428" i="2" s="1"/>
  <c r="S427" i="2"/>
  <c r="T427" i="2" s="1"/>
  <c r="W427" i="2" s="1"/>
  <c r="S426" i="2"/>
  <c r="T426" i="2" s="1"/>
  <c r="W426" i="2" s="1"/>
  <c r="S425" i="2"/>
  <c r="T425" i="2" s="1"/>
  <c r="W425" i="2" s="1"/>
  <c r="S424" i="2"/>
  <c r="T424" i="2" s="1"/>
  <c r="W424" i="2" s="1"/>
  <c r="S423" i="2"/>
  <c r="T423" i="2" s="1"/>
  <c r="W423" i="2" s="1"/>
  <c r="S422" i="2"/>
  <c r="T422" i="2" s="1"/>
  <c r="W422" i="2" s="1"/>
  <c r="S421" i="2"/>
  <c r="T421" i="2" s="1"/>
  <c r="W421" i="2" s="1"/>
  <c r="S420" i="2"/>
  <c r="T420" i="2" s="1"/>
  <c r="W420" i="2" s="1"/>
  <c r="S419" i="2"/>
  <c r="T419" i="2" s="1"/>
  <c r="W419" i="2" s="1"/>
  <c r="S418" i="2"/>
  <c r="T418" i="2" s="1"/>
  <c r="W418" i="2" s="1"/>
  <c r="S417" i="2"/>
  <c r="T417" i="2" s="1"/>
  <c r="W417" i="2" s="1"/>
  <c r="S416" i="2"/>
  <c r="T416" i="2" s="1"/>
  <c r="W416" i="2" s="1"/>
  <c r="S415" i="2"/>
  <c r="T415" i="2" s="1"/>
  <c r="W415" i="2" s="1"/>
  <c r="S414" i="2"/>
  <c r="T414" i="2" s="1"/>
  <c r="W414" i="2" s="1"/>
  <c r="S413" i="2"/>
  <c r="T413" i="2" s="1"/>
  <c r="W413" i="2" s="1"/>
  <c r="S412" i="2"/>
  <c r="T412" i="2" s="1"/>
  <c r="W412" i="2" s="1"/>
  <c r="S411" i="2"/>
  <c r="T411" i="2" s="1"/>
  <c r="W411" i="2" s="1"/>
  <c r="S410" i="2"/>
  <c r="T410" i="2" s="1"/>
  <c r="W410" i="2" s="1"/>
  <c r="S409" i="2"/>
  <c r="T409" i="2" s="1"/>
  <c r="W409" i="2" s="1"/>
  <c r="S408" i="2"/>
  <c r="T408" i="2" s="1"/>
  <c r="W408" i="2" s="1"/>
  <c r="S407" i="2"/>
  <c r="T407" i="2" s="1"/>
  <c r="W407" i="2" s="1"/>
  <c r="S406" i="2"/>
  <c r="T406" i="2" s="1"/>
  <c r="W406" i="2" s="1"/>
  <c r="S405" i="2"/>
  <c r="T405" i="2" s="1"/>
  <c r="W405" i="2" s="1"/>
  <c r="S404" i="2"/>
  <c r="T404" i="2" s="1"/>
  <c r="W404" i="2" s="1"/>
  <c r="S403" i="2"/>
  <c r="T403" i="2" s="1"/>
  <c r="W403" i="2" s="1"/>
  <c r="S402" i="2"/>
  <c r="T402" i="2" s="1"/>
  <c r="W402" i="2" s="1"/>
  <c r="S401" i="2"/>
  <c r="T401" i="2" s="1"/>
  <c r="W401" i="2" s="1"/>
  <c r="S400" i="2"/>
  <c r="T400" i="2" s="1"/>
  <c r="W400" i="2" s="1"/>
  <c r="S399" i="2"/>
  <c r="T399" i="2" s="1"/>
  <c r="W399" i="2" s="1"/>
  <c r="S398" i="2"/>
  <c r="T398" i="2" s="1"/>
  <c r="W398" i="2" s="1"/>
  <c r="S397" i="2"/>
  <c r="T397" i="2" s="1"/>
  <c r="W397" i="2" s="1"/>
  <c r="S396" i="2"/>
  <c r="T396" i="2" s="1"/>
  <c r="W396" i="2" s="1"/>
  <c r="S395" i="2"/>
  <c r="T395" i="2" s="1"/>
  <c r="W395" i="2" s="1"/>
  <c r="S385" i="2"/>
  <c r="T385" i="2" s="1"/>
  <c r="W385" i="2" s="1"/>
  <c r="S384" i="2"/>
  <c r="T384" i="2" s="1"/>
  <c r="W384" i="2" s="1"/>
  <c r="S381" i="2"/>
  <c r="T381" i="2" s="1"/>
  <c r="W381" i="2" s="1"/>
  <c r="S380" i="2"/>
  <c r="T380" i="2" s="1"/>
  <c r="W380" i="2" s="1"/>
  <c r="S379" i="2"/>
  <c r="T379" i="2" s="1"/>
  <c r="W379" i="2" s="1"/>
  <c r="S378" i="2"/>
  <c r="T378" i="2" s="1"/>
  <c r="W378" i="2" s="1"/>
  <c r="S377" i="2"/>
  <c r="T377" i="2" s="1"/>
  <c r="W377" i="2" s="1"/>
  <c r="S376" i="2"/>
  <c r="T376" i="2" s="1"/>
  <c r="W376" i="2" s="1"/>
  <c r="S375" i="2"/>
  <c r="T375" i="2" s="1"/>
  <c r="W375" i="2" s="1"/>
  <c r="S374" i="2"/>
  <c r="T374" i="2" s="1"/>
  <c r="W374" i="2" s="1"/>
  <c r="S373" i="2"/>
  <c r="T373" i="2" s="1"/>
  <c r="W373" i="2" s="1"/>
  <c r="S372" i="2"/>
  <c r="T372" i="2" s="1"/>
  <c r="W372" i="2" s="1"/>
  <c r="S371" i="2"/>
  <c r="T371" i="2" s="1"/>
  <c r="W371" i="2" s="1"/>
  <c r="S370" i="2"/>
  <c r="T370" i="2" s="1"/>
  <c r="W370" i="2" s="1"/>
  <c r="S369" i="2"/>
  <c r="T369" i="2" s="1"/>
  <c r="W369" i="2" s="1"/>
  <c r="S368" i="2"/>
  <c r="T368" i="2" s="1"/>
  <c r="W368" i="2" s="1"/>
  <c r="S367" i="2"/>
  <c r="T367" i="2" s="1"/>
  <c r="W367" i="2" s="1"/>
  <c r="S366" i="2"/>
  <c r="T366" i="2" s="1"/>
  <c r="W366" i="2" s="1"/>
  <c r="S365" i="2"/>
  <c r="T365" i="2" s="1"/>
  <c r="W365" i="2" s="1"/>
  <c r="S364" i="2"/>
  <c r="T364" i="2" s="1"/>
  <c r="W364" i="2" s="1"/>
  <c r="S363" i="2"/>
  <c r="T363" i="2" s="1"/>
  <c r="W363" i="2" s="1"/>
  <c r="S362" i="2"/>
  <c r="T362" i="2" s="1"/>
  <c r="W362" i="2" s="1"/>
  <c r="S361" i="2"/>
  <c r="T361" i="2" s="1"/>
  <c r="W361" i="2" s="1"/>
  <c r="S360" i="2"/>
  <c r="T360" i="2" s="1"/>
  <c r="W360" i="2" s="1"/>
  <c r="S359" i="2"/>
  <c r="T359" i="2" s="1"/>
  <c r="W359" i="2" s="1"/>
  <c r="S358" i="2"/>
  <c r="T358" i="2" s="1"/>
  <c r="W358" i="2" s="1"/>
  <c r="S357" i="2"/>
  <c r="T357" i="2" s="1"/>
  <c r="W357" i="2" s="1"/>
  <c r="S356" i="2"/>
  <c r="T356" i="2" s="1"/>
  <c r="W356" i="2" s="1"/>
  <c r="S355" i="2"/>
  <c r="T355" i="2" s="1"/>
  <c r="W355" i="2" s="1"/>
  <c r="S354" i="2"/>
  <c r="T354" i="2" s="1"/>
  <c r="W354" i="2" s="1"/>
  <c r="S353" i="2"/>
  <c r="T353" i="2" s="1"/>
  <c r="W353" i="2" s="1"/>
  <c r="S351" i="2"/>
  <c r="T351" i="2" s="1"/>
  <c r="W351" i="2" s="1"/>
  <c r="S332" i="2"/>
  <c r="T332" i="2" s="1"/>
  <c r="W332" i="2" s="1"/>
  <c r="S331" i="2"/>
  <c r="T331" i="2" s="1"/>
  <c r="W331" i="2" s="1"/>
  <c r="S330" i="2"/>
  <c r="T330" i="2" s="1"/>
  <c r="W330" i="2" s="1"/>
  <c r="S329" i="2"/>
  <c r="T329" i="2" s="1"/>
  <c r="W329" i="2" s="1"/>
  <c r="S328" i="2"/>
  <c r="T328" i="2" s="1"/>
  <c r="W328" i="2" s="1"/>
  <c r="X315" i="2"/>
  <c r="X314" i="2"/>
  <c r="X313" i="2"/>
  <c r="X312" i="2"/>
  <c r="O310" i="2"/>
  <c r="O311" i="2"/>
  <c r="O312" i="2"/>
  <c r="O313" i="2"/>
  <c r="O314" i="2"/>
  <c r="O315" i="2"/>
  <c r="O19" i="2"/>
  <c r="O20" i="2"/>
  <c r="O21" i="2"/>
  <c r="O31" i="2"/>
  <c r="O32" i="2"/>
  <c r="O33" i="2"/>
  <c r="O34" i="2"/>
  <c r="O35" i="2"/>
  <c r="O36" i="2"/>
  <c r="O37" i="2"/>
  <c r="O52" i="2"/>
  <c r="O53"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308" i="2"/>
  <c r="O309" i="2"/>
  <c r="O316" i="2"/>
  <c r="O328" i="2"/>
  <c r="O329" i="2"/>
  <c r="O330" i="2"/>
  <c r="O331" i="2"/>
  <c r="O332" i="2"/>
  <c r="O333" i="2"/>
  <c r="O334" i="2"/>
  <c r="O335" i="2"/>
  <c r="O336"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337"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72" i="2"/>
  <c r="O573" i="2"/>
  <c r="O585" i="2"/>
  <c r="O597" i="2"/>
  <c r="O608" i="2"/>
  <c r="O609" i="2"/>
  <c r="O611" i="2"/>
  <c r="O615" i="2"/>
  <c r="O620" i="2"/>
  <c r="O624" i="2"/>
  <c r="O625" i="2"/>
  <c r="O626" i="2"/>
  <c r="O627" i="2"/>
  <c r="O628" i="2"/>
  <c r="O629" i="2"/>
  <c r="O630" i="2"/>
  <c r="O631" i="2"/>
  <c r="O633" i="2"/>
  <c r="O634" i="2"/>
  <c r="O635" i="2"/>
  <c r="O636" i="2"/>
  <c r="O637" i="2"/>
  <c r="O638" i="2"/>
  <c r="O639" i="2"/>
  <c r="O640"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23" i="2" l="1"/>
  <c r="O22" i="2"/>
  <c r="AU3" i="14"/>
  <c r="AT32" i="14"/>
  <c r="AT25" i="14"/>
  <c r="AT31" i="14"/>
  <c r="AT28" i="14"/>
  <c r="AT22" i="14"/>
  <c r="AT33" i="14"/>
  <c r="AT34" i="14"/>
  <c r="AT24" i="14"/>
  <c r="AT30" i="14"/>
  <c r="AT26" i="14"/>
  <c r="AT23" i="14"/>
  <c r="AT29" i="14"/>
  <c r="AT21" i="14"/>
  <c r="AT27" i="14"/>
  <c r="AT19" i="14"/>
  <c r="AT17" i="14"/>
  <c r="AT15" i="14"/>
  <c r="AT20" i="14"/>
  <c r="AT16" i="14"/>
  <c r="AT13" i="14"/>
  <c r="AT11" i="14"/>
  <c r="AT9" i="14"/>
  <c r="AT18" i="14"/>
  <c r="AT14" i="14"/>
  <c r="AT12" i="14"/>
  <c r="AT10" i="14"/>
  <c r="AT8" i="14"/>
  <c r="AT6" i="14"/>
  <c r="AT7" i="14"/>
  <c r="AT4" i="14"/>
  <c r="AT5" i="14"/>
  <c r="X368" i="2"/>
  <c r="U368" i="2"/>
  <c r="V368" i="2" s="1"/>
  <c r="X397" i="2"/>
  <c r="U397" i="2"/>
  <c r="V397" i="2" s="1"/>
  <c r="X421" i="2"/>
  <c r="U421" i="2"/>
  <c r="V421" i="2" s="1"/>
  <c r="X445" i="2"/>
  <c r="U445" i="2"/>
  <c r="V445" i="2" s="1"/>
  <c r="X461" i="2"/>
  <c r="U461" i="2"/>
  <c r="V461" i="2" s="1"/>
  <c r="X480" i="2"/>
  <c r="U480" i="2"/>
  <c r="V480" i="2" s="1"/>
  <c r="X528" i="2"/>
  <c r="U528" i="2"/>
  <c r="V528" i="2" s="1"/>
  <c r="X552" i="2"/>
  <c r="U552" i="2"/>
  <c r="V552" i="2" s="1"/>
  <c r="X578" i="2"/>
  <c r="U578" i="2"/>
  <c r="V578" i="2" s="1"/>
  <c r="X602" i="2"/>
  <c r="U602" i="2"/>
  <c r="V602" i="2" s="1"/>
  <c r="X626" i="2"/>
  <c r="U626" i="2"/>
  <c r="V626" i="2" s="1"/>
  <c r="X643" i="2"/>
  <c r="U643" i="2"/>
  <c r="V643" i="2" s="1"/>
  <c r="X667" i="2"/>
  <c r="U667" i="2"/>
  <c r="V667" i="2" s="1"/>
  <c r="X699" i="2"/>
  <c r="U699" i="2"/>
  <c r="V699" i="2" s="1"/>
  <c r="X715" i="2"/>
  <c r="U715" i="2"/>
  <c r="V715" i="2" s="1"/>
  <c r="X739" i="2"/>
  <c r="U739" i="2"/>
  <c r="V739" i="2" s="1"/>
  <c r="X763" i="2"/>
  <c r="U763" i="2"/>
  <c r="V763" i="2" s="1"/>
  <c r="X787" i="2"/>
  <c r="U787" i="2"/>
  <c r="V787" i="2" s="1"/>
  <c r="X811" i="2"/>
  <c r="U811" i="2"/>
  <c r="V811" i="2" s="1"/>
  <c r="X827" i="2"/>
  <c r="U827" i="2"/>
  <c r="V827" i="2" s="1"/>
  <c r="X851" i="2"/>
  <c r="U851" i="2"/>
  <c r="V851" i="2" s="1"/>
  <c r="X883" i="2"/>
  <c r="U883" i="2"/>
  <c r="V883" i="2" s="1"/>
  <c r="X907" i="2"/>
  <c r="U907" i="2"/>
  <c r="V907" i="2" s="1"/>
  <c r="X931" i="2"/>
  <c r="U931" i="2"/>
  <c r="V931" i="2" s="1"/>
  <c r="X955" i="2"/>
  <c r="U955" i="2"/>
  <c r="V955" i="2" s="1"/>
  <c r="X963" i="2"/>
  <c r="U963" i="2"/>
  <c r="V963" i="2" s="1"/>
  <c r="X979" i="2"/>
  <c r="U979" i="2"/>
  <c r="V979" i="2" s="1"/>
  <c r="X987" i="2"/>
  <c r="U987" i="2"/>
  <c r="V987" i="2" s="1"/>
  <c r="X995" i="2"/>
  <c r="U995" i="2"/>
  <c r="V995" i="2" s="1"/>
  <c r="X1003" i="2"/>
  <c r="U1003" i="2"/>
  <c r="V1003" i="2" s="1"/>
  <c r="X1011" i="2"/>
  <c r="U1011" i="2"/>
  <c r="V1011" i="2" s="1"/>
  <c r="X1019" i="2"/>
  <c r="U1019" i="2"/>
  <c r="V1019" i="2" s="1"/>
  <c r="X1027" i="2"/>
  <c r="U1027" i="2"/>
  <c r="V1027" i="2" s="1"/>
  <c r="X1035" i="2"/>
  <c r="U1035" i="2"/>
  <c r="V1035" i="2" s="1"/>
  <c r="X1043" i="2"/>
  <c r="U1043" i="2"/>
  <c r="V1043" i="2" s="1"/>
  <c r="X1051" i="2"/>
  <c r="U1051" i="2"/>
  <c r="V1051" i="2" s="1"/>
  <c r="X1059" i="2"/>
  <c r="U1059" i="2"/>
  <c r="V1059" i="2" s="1"/>
  <c r="X1067" i="2"/>
  <c r="U1067" i="2"/>
  <c r="V1067" i="2" s="1"/>
  <c r="X1123" i="2"/>
  <c r="U1123" i="2"/>
  <c r="V1123" i="2" s="1"/>
  <c r="X361" i="2"/>
  <c r="U361" i="2"/>
  <c r="V361" i="2" s="1"/>
  <c r="X377" i="2"/>
  <c r="U377" i="2"/>
  <c r="V377" i="2" s="1"/>
  <c r="X398" i="2"/>
  <c r="U398" i="2"/>
  <c r="V398" i="2" s="1"/>
  <c r="X422" i="2"/>
  <c r="U422" i="2"/>
  <c r="V422" i="2" s="1"/>
  <c r="X446" i="2"/>
  <c r="U446" i="2"/>
  <c r="V446" i="2" s="1"/>
  <c r="X462" i="2"/>
  <c r="U462" i="2"/>
  <c r="V462" i="2" s="1"/>
  <c r="X481" i="2"/>
  <c r="U481" i="2"/>
  <c r="V481" i="2" s="1"/>
  <c r="X497" i="2"/>
  <c r="U497" i="2"/>
  <c r="V497" i="2" s="1"/>
  <c r="X513" i="2"/>
  <c r="U513" i="2"/>
  <c r="V513" i="2" s="1"/>
  <c r="X521" i="2"/>
  <c r="U521" i="2"/>
  <c r="V521" i="2" s="1"/>
  <c r="X529" i="2"/>
  <c r="U529" i="2"/>
  <c r="V529" i="2" s="1"/>
  <c r="X537" i="2"/>
  <c r="U537" i="2"/>
  <c r="V537" i="2" s="1"/>
  <c r="X545" i="2"/>
  <c r="U545" i="2"/>
  <c r="V545" i="2" s="1"/>
  <c r="X561" i="2"/>
  <c r="U561" i="2"/>
  <c r="V561" i="2" s="1"/>
  <c r="X569" i="2"/>
  <c r="U569" i="2"/>
  <c r="V569" i="2" s="1"/>
  <c r="X579" i="2"/>
  <c r="U579" i="2"/>
  <c r="V579" i="2" s="1"/>
  <c r="X587" i="2"/>
  <c r="U587" i="2"/>
  <c r="V587" i="2" s="1"/>
  <c r="X595" i="2"/>
  <c r="U595" i="2"/>
  <c r="V595" i="2" s="1"/>
  <c r="X603" i="2"/>
  <c r="U603" i="2"/>
  <c r="V603" i="2" s="1"/>
  <c r="X611" i="2"/>
  <c r="U611" i="2"/>
  <c r="V611" i="2" s="1"/>
  <c r="X619" i="2"/>
  <c r="U619" i="2"/>
  <c r="V619" i="2" s="1"/>
  <c r="X627" i="2"/>
  <c r="U627" i="2"/>
  <c r="V627" i="2" s="1"/>
  <c r="X636" i="2"/>
  <c r="U636" i="2"/>
  <c r="V636" i="2" s="1"/>
  <c r="X644" i="2"/>
  <c r="U644" i="2"/>
  <c r="V644" i="2" s="1"/>
  <c r="X652" i="2"/>
  <c r="U652" i="2"/>
  <c r="V652" i="2" s="1"/>
  <c r="X660" i="2"/>
  <c r="U660" i="2"/>
  <c r="V660" i="2" s="1"/>
  <c r="X668" i="2"/>
  <c r="U668" i="2"/>
  <c r="V668" i="2" s="1"/>
  <c r="X676" i="2"/>
  <c r="U676" i="2"/>
  <c r="V676" i="2" s="1"/>
  <c r="X684" i="2"/>
  <c r="U684" i="2"/>
  <c r="V684" i="2" s="1"/>
  <c r="X692" i="2"/>
  <c r="U692" i="2"/>
  <c r="V692" i="2" s="1"/>
  <c r="X700" i="2"/>
  <c r="U700" i="2"/>
  <c r="V700" i="2" s="1"/>
  <c r="X708" i="2"/>
  <c r="U708" i="2"/>
  <c r="V708" i="2" s="1"/>
  <c r="X716" i="2"/>
  <c r="U716" i="2"/>
  <c r="V716" i="2" s="1"/>
  <c r="X724" i="2"/>
  <c r="U724" i="2"/>
  <c r="V724" i="2" s="1"/>
  <c r="X732" i="2"/>
  <c r="U732" i="2"/>
  <c r="V732" i="2" s="1"/>
  <c r="X740" i="2"/>
  <c r="U740" i="2"/>
  <c r="V740" i="2" s="1"/>
  <c r="X748" i="2"/>
  <c r="U748" i="2"/>
  <c r="V748" i="2" s="1"/>
  <c r="X756" i="2"/>
  <c r="U756" i="2"/>
  <c r="V756" i="2" s="1"/>
  <c r="X764" i="2"/>
  <c r="U764" i="2"/>
  <c r="V764" i="2" s="1"/>
  <c r="X772" i="2"/>
  <c r="U772" i="2"/>
  <c r="V772" i="2" s="1"/>
  <c r="X780" i="2"/>
  <c r="U780" i="2"/>
  <c r="V780" i="2" s="1"/>
  <c r="X788" i="2"/>
  <c r="U788" i="2"/>
  <c r="V788" i="2" s="1"/>
  <c r="X796" i="2"/>
  <c r="U796" i="2"/>
  <c r="V796" i="2" s="1"/>
  <c r="X804" i="2"/>
  <c r="U804" i="2"/>
  <c r="V804" i="2" s="1"/>
  <c r="X812" i="2"/>
  <c r="U812" i="2"/>
  <c r="V812" i="2" s="1"/>
  <c r="X820" i="2"/>
  <c r="U820" i="2"/>
  <c r="V820" i="2" s="1"/>
  <c r="X828" i="2"/>
  <c r="U828" i="2"/>
  <c r="V828" i="2" s="1"/>
  <c r="X836" i="2"/>
  <c r="U836" i="2"/>
  <c r="V836" i="2" s="1"/>
  <c r="X844" i="2"/>
  <c r="U844" i="2"/>
  <c r="V844" i="2" s="1"/>
  <c r="X852" i="2"/>
  <c r="U852" i="2"/>
  <c r="V852" i="2" s="1"/>
  <c r="X860" i="2"/>
  <c r="U860" i="2"/>
  <c r="V860" i="2" s="1"/>
  <c r="X868" i="2"/>
  <c r="U868" i="2"/>
  <c r="V868" i="2" s="1"/>
  <c r="X876" i="2"/>
  <c r="U876" i="2"/>
  <c r="V876" i="2" s="1"/>
  <c r="X884" i="2"/>
  <c r="U884" i="2"/>
  <c r="V884" i="2" s="1"/>
  <c r="X892" i="2"/>
  <c r="U892" i="2"/>
  <c r="V892" i="2" s="1"/>
  <c r="X900" i="2"/>
  <c r="U900" i="2"/>
  <c r="V900" i="2" s="1"/>
  <c r="X908" i="2"/>
  <c r="U908" i="2"/>
  <c r="V908" i="2" s="1"/>
  <c r="X916" i="2"/>
  <c r="U916" i="2"/>
  <c r="V916" i="2" s="1"/>
  <c r="X924" i="2"/>
  <c r="U924" i="2"/>
  <c r="V924" i="2" s="1"/>
  <c r="X932" i="2"/>
  <c r="U932" i="2"/>
  <c r="V932" i="2" s="1"/>
  <c r="X940" i="2"/>
  <c r="U940" i="2"/>
  <c r="V940" i="2" s="1"/>
  <c r="X948" i="2"/>
  <c r="U948" i="2"/>
  <c r="V948" i="2" s="1"/>
  <c r="X956" i="2"/>
  <c r="U956" i="2"/>
  <c r="V956" i="2" s="1"/>
  <c r="X964" i="2"/>
  <c r="U964" i="2"/>
  <c r="V964" i="2" s="1"/>
  <c r="X972" i="2"/>
  <c r="U972" i="2"/>
  <c r="V972" i="2" s="1"/>
  <c r="X980" i="2"/>
  <c r="U980" i="2"/>
  <c r="V980" i="2" s="1"/>
  <c r="X988" i="2"/>
  <c r="U988" i="2"/>
  <c r="V988" i="2" s="1"/>
  <c r="X996" i="2"/>
  <c r="U996" i="2"/>
  <c r="V996" i="2" s="1"/>
  <c r="X1004" i="2"/>
  <c r="U1004" i="2"/>
  <c r="V1004" i="2" s="1"/>
  <c r="X1012" i="2"/>
  <c r="U1012" i="2"/>
  <c r="V1012" i="2" s="1"/>
  <c r="X1020" i="2"/>
  <c r="U1020" i="2"/>
  <c r="V1020" i="2" s="1"/>
  <c r="X1028" i="2"/>
  <c r="U1028" i="2"/>
  <c r="V1028" i="2" s="1"/>
  <c r="X1036" i="2"/>
  <c r="U1036" i="2"/>
  <c r="V1036" i="2" s="1"/>
  <c r="X1044" i="2"/>
  <c r="U1044" i="2"/>
  <c r="V1044" i="2" s="1"/>
  <c r="X1052" i="2"/>
  <c r="U1052" i="2"/>
  <c r="V1052" i="2" s="1"/>
  <c r="U1060" i="2"/>
  <c r="V1060" i="2" s="1"/>
  <c r="X1060" i="2"/>
  <c r="X1068" i="2"/>
  <c r="U1068" i="2"/>
  <c r="V1068" i="2" s="1"/>
  <c r="X1076" i="2"/>
  <c r="U1076" i="2"/>
  <c r="V1076" i="2" s="1"/>
  <c r="X1084" i="2"/>
  <c r="U1084" i="2"/>
  <c r="V1084" i="2" s="1"/>
  <c r="X1092" i="2"/>
  <c r="U1092" i="2"/>
  <c r="V1092" i="2" s="1"/>
  <c r="X1100" i="2"/>
  <c r="U1100" i="2"/>
  <c r="V1100" i="2" s="1"/>
  <c r="X1108" i="2"/>
  <c r="U1108" i="2"/>
  <c r="V1108" i="2" s="1"/>
  <c r="X1116" i="2"/>
  <c r="U1116" i="2"/>
  <c r="V1116" i="2" s="1"/>
  <c r="X1124" i="2"/>
  <c r="U1124" i="2"/>
  <c r="V1124" i="2" s="1"/>
  <c r="X360" i="2"/>
  <c r="U360" i="2"/>
  <c r="V360" i="2" s="1"/>
  <c r="X384" i="2"/>
  <c r="U384" i="2"/>
  <c r="V384" i="2" s="1"/>
  <c r="X413" i="2"/>
  <c r="U413" i="2"/>
  <c r="V413" i="2" s="1"/>
  <c r="X429" i="2"/>
  <c r="U429" i="2"/>
  <c r="V429" i="2" s="1"/>
  <c r="X453" i="2"/>
  <c r="U453" i="2"/>
  <c r="V453" i="2" s="1"/>
  <c r="X477" i="2"/>
  <c r="U477" i="2"/>
  <c r="V477" i="2" s="1"/>
  <c r="X536" i="2"/>
  <c r="U536" i="2"/>
  <c r="V536" i="2" s="1"/>
  <c r="X568" i="2"/>
  <c r="U568" i="2"/>
  <c r="V568" i="2" s="1"/>
  <c r="X586" i="2"/>
  <c r="U586" i="2"/>
  <c r="V586" i="2" s="1"/>
  <c r="X610" i="2"/>
  <c r="U610" i="2"/>
  <c r="V610" i="2" s="1"/>
  <c r="X635" i="2"/>
  <c r="U635" i="2"/>
  <c r="V635" i="2" s="1"/>
  <c r="X659" i="2"/>
  <c r="U659" i="2"/>
  <c r="V659" i="2" s="1"/>
  <c r="X683" i="2"/>
  <c r="U683" i="2"/>
  <c r="V683" i="2" s="1"/>
  <c r="X707" i="2"/>
  <c r="U707" i="2"/>
  <c r="V707" i="2" s="1"/>
  <c r="X731" i="2"/>
  <c r="U731" i="2"/>
  <c r="V731" i="2" s="1"/>
  <c r="X755" i="2"/>
  <c r="U755" i="2"/>
  <c r="V755" i="2" s="1"/>
  <c r="X779" i="2"/>
  <c r="U779" i="2"/>
  <c r="V779" i="2" s="1"/>
  <c r="X803" i="2"/>
  <c r="U803" i="2"/>
  <c r="V803" i="2" s="1"/>
  <c r="X835" i="2"/>
  <c r="U835" i="2"/>
  <c r="V835" i="2" s="1"/>
  <c r="X859" i="2"/>
  <c r="U859" i="2"/>
  <c r="V859" i="2" s="1"/>
  <c r="X875" i="2"/>
  <c r="U875" i="2"/>
  <c r="V875" i="2" s="1"/>
  <c r="X899" i="2"/>
  <c r="U899" i="2"/>
  <c r="V899" i="2" s="1"/>
  <c r="X923" i="2"/>
  <c r="U923" i="2"/>
  <c r="V923" i="2" s="1"/>
  <c r="X939" i="2"/>
  <c r="U939" i="2"/>
  <c r="V939" i="2" s="1"/>
  <c r="X971" i="2"/>
  <c r="U971" i="2"/>
  <c r="V971" i="2" s="1"/>
  <c r="X1115" i="2"/>
  <c r="U1115" i="2"/>
  <c r="V1115" i="2" s="1"/>
  <c r="X353" i="2"/>
  <c r="U353" i="2"/>
  <c r="V353" i="2" s="1"/>
  <c r="X369" i="2"/>
  <c r="U369" i="2"/>
  <c r="V369" i="2" s="1"/>
  <c r="X385" i="2"/>
  <c r="U385" i="2"/>
  <c r="V385" i="2" s="1"/>
  <c r="X406" i="2"/>
  <c r="U406" i="2"/>
  <c r="V406" i="2" s="1"/>
  <c r="X414" i="2"/>
  <c r="U414" i="2"/>
  <c r="V414" i="2" s="1"/>
  <c r="X430" i="2"/>
  <c r="U430" i="2"/>
  <c r="V430" i="2" s="1"/>
  <c r="X438" i="2"/>
  <c r="U438" i="2"/>
  <c r="V438" i="2" s="1"/>
  <c r="X454" i="2"/>
  <c r="U454" i="2"/>
  <c r="V454" i="2" s="1"/>
  <c r="X470" i="2"/>
  <c r="U470" i="2"/>
  <c r="V470" i="2" s="1"/>
  <c r="X478" i="2"/>
  <c r="U478" i="2"/>
  <c r="V478" i="2" s="1"/>
  <c r="X489" i="2"/>
  <c r="U489" i="2"/>
  <c r="V489" i="2" s="1"/>
  <c r="X505" i="2"/>
  <c r="U505" i="2"/>
  <c r="V505" i="2" s="1"/>
  <c r="X553" i="2"/>
  <c r="U553" i="2"/>
  <c r="V553" i="2" s="1"/>
  <c r="X328" i="2"/>
  <c r="U328" i="2"/>
  <c r="V328" i="2" s="1"/>
  <c r="X354" i="2"/>
  <c r="U354" i="2"/>
  <c r="V354" i="2" s="1"/>
  <c r="X362" i="2"/>
  <c r="U362" i="2"/>
  <c r="V362" i="2" s="1"/>
  <c r="X370" i="2"/>
  <c r="U370" i="2"/>
  <c r="V370" i="2" s="1"/>
  <c r="X378" i="2"/>
  <c r="U378" i="2"/>
  <c r="V378" i="2" s="1"/>
  <c r="X399" i="2"/>
  <c r="U399" i="2"/>
  <c r="V399" i="2" s="1"/>
  <c r="X407" i="2"/>
  <c r="U407" i="2"/>
  <c r="V407" i="2" s="1"/>
  <c r="X415" i="2"/>
  <c r="U415" i="2"/>
  <c r="V415" i="2" s="1"/>
  <c r="X423" i="2"/>
  <c r="U423" i="2"/>
  <c r="V423" i="2" s="1"/>
  <c r="X431" i="2"/>
  <c r="U431" i="2"/>
  <c r="V431" i="2" s="1"/>
  <c r="X439" i="2"/>
  <c r="U439" i="2"/>
  <c r="V439" i="2" s="1"/>
  <c r="X447" i="2"/>
  <c r="U447" i="2"/>
  <c r="V447" i="2" s="1"/>
  <c r="X455" i="2"/>
  <c r="U455" i="2"/>
  <c r="V455" i="2" s="1"/>
  <c r="X463" i="2"/>
  <c r="U463" i="2"/>
  <c r="V463" i="2" s="1"/>
  <c r="X471" i="2"/>
  <c r="U471" i="2"/>
  <c r="V471" i="2" s="1"/>
  <c r="X482" i="2"/>
  <c r="U482" i="2"/>
  <c r="V482" i="2" s="1"/>
  <c r="X490" i="2"/>
  <c r="U490" i="2"/>
  <c r="V490" i="2" s="1"/>
  <c r="X498" i="2"/>
  <c r="U498" i="2"/>
  <c r="V498" i="2" s="1"/>
  <c r="X506" i="2"/>
  <c r="U506" i="2"/>
  <c r="V506" i="2" s="1"/>
  <c r="X514" i="2"/>
  <c r="U514" i="2"/>
  <c r="V514" i="2" s="1"/>
  <c r="X522" i="2"/>
  <c r="U522" i="2"/>
  <c r="V522" i="2" s="1"/>
  <c r="X530" i="2"/>
  <c r="U530" i="2"/>
  <c r="V530" i="2" s="1"/>
  <c r="X538" i="2"/>
  <c r="U538" i="2"/>
  <c r="V538" i="2" s="1"/>
  <c r="X546" i="2"/>
  <c r="U546" i="2"/>
  <c r="V546" i="2" s="1"/>
  <c r="X554" i="2"/>
  <c r="U554" i="2"/>
  <c r="V554" i="2" s="1"/>
  <c r="X562" i="2"/>
  <c r="U562" i="2"/>
  <c r="V562" i="2" s="1"/>
  <c r="X570" i="2"/>
  <c r="U570" i="2"/>
  <c r="V570" i="2" s="1"/>
  <c r="X572" i="2"/>
  <c r="U572" i="2"/>
  <c r="V572" i="2" s="1"/>
  <c r="X580" i="2"/>
  <c r="U580" i="2"/>
  <c r="V580" i="2" s="1"/>
  <c r="X588" i="2"/>
  <c r="U588" i="2"/>
  <c r="V588" i="2" s="1"/>
  <c r="X596" i="2"/>
  <c r="U596" i="2"/>
  <c r="V596" i="2" s="1"/>
  <c r="X604" i="2"/>
  <c r="U604" i="2"/>
  <c r="V604" i="2" s="1"/>
  <c r="X612" i="2"/>
  <c r="U612" i="2"/>
  <c r="V612" i="2" s="1"/>
  <c r="X620" i="2"/>
  <c r="U620" i="2"/>
  <c r="V620" i="2" s="1"/>
  <c r="X628" i="2"/>
  <c r="U628" i="2"/>
  <c r="V628" i="2" s="1"/>
  <c r="X637" i="2"/>
  <c r="U637" i="2"/>
  <c r="V637" i="2" s="1"/>
  <c r="X645" i="2"/>
  <c r="U645" i="2"/>
  <c r="V645" i="2" s="1"/>
  <c r="X653" i="2"/>
  <c r="U653" i="2"/>
  <c r="V653" i="2" s="1"/>
  <c r="X661" i="2"/>
  <c r="U661" i="2"/>
  <c r="V661" i="2" s="1"/>
  <c r="X669" i="2"/>
  <c r="U669" i="2"/>
  <c r="V669" i="2" s="1"/>
  <c r="X677" i="2"/>
  <c r="U677" i="2"/>
  <c r="V677" i="2" s="1"/>
  <c r="X685" i="2"/>
  <c r="U685" i="2"/>
  <c r="V685" i="2" s="1"/>
  <c r="X693" i="2"/>
  <c r="U693" i="2"/>
  <c r="V693" i="2" s="1"/>
  <c r="X701" i="2"/>
  <c r="U701" i="2"/>
  <c r="V701" i="2" s="1"/>
  <c r="X709" i="2"/>
  <c r="U709" i="2"/>
  <c r="V709" i="2" s="1"/>
  <c r="X717" i="2"/>
  <c r="U717" i="2"/>
  <c r="V717" i="2" s="1"/>
  <c r="X725" i="2"/>
  <c r="U725" i="2"/>
  <c r="V725" i="2" s="1"/>
  <c r="X733" i="2"/>
  <c r="U733" i="2"/>
  <c r="V733" i="2" s="1"/>
  <c r="X741" i="2"/>
  <c r="U741" i="2"/>
  <c r="V741" i="2" s="1"/>
  <c r="X749" i="2"/>
  <c r="U749" i="2"/>
  <c r="V749" i="2" s="1"/>
  <c r="X757" i="2"/>
  <c r="U757" i="2"/>
  <c r="V757" i="2" s="1"/>
  <c r="X765" i="2"/>
  <c r="U765" i="2"/>
  <c r="V765" i="2" s="1"/>
  <c r="X773" i="2"/>
  <c r="U773" i="2"/>
  <c r="V773" i="2" s="1"/>
  <c r="X781" i="2"/>
  <c r="U781" i="2"/>
  <c r="V781" i="2" s="1"/>
  <c r="X789" i="2"/>
  <c r="U789" i="2"/>
  <c r="V789" i="2" s="1"/>
  <c r="X797" i="2"/>
  <c r="U797" i="2"/>
  <c r="V797" i="2" s="1"/>
  <c r="X805" i="2"/>
  <c r="U805" i="2"/>
  <c r="V805" i="2" s="1"/>
  <c r="X813" i="2"/>
  <c r="U813" i="2"/>
  <c r="V813" i="2" s="1"/>
  <c r="X821" i="2"/>
  <c r="U821" i="2"/>
  <c r="V821" i="2" s="1"/>
  <c r="X829" i="2"/>
  <c r="U829" i="2"/>
  <c r="V829" i="2" s="1"/>
  <c r="X837" i="2"/>
  <c r="U837" i="2"/>
  <c r="V837" i="2" s="1"/>
  <c r="X845" i="2"/>
  <c r="U845" i="2"/>
  <c r="V845" i="2" s="1"/>
  <c r="X853" i="2"/>
  <c r="U853" i="2"/>
  <c r="V853" i="2" s="1"/>
  <c r="X861" i="2"/>
  <c r="U861" i="2"/>
  <c r="V861" i="2" s="1"/>
  <c r="X869" i="2"/>
  <c r="U869" i="2"/>
  <c r="V869" i="2" s="1"/>
  <c r="X877" i="2"/>
  <c r="U877" i="2"/>
  <c r="V877" i="2" s="1"/>
  <c r="X885" i="2"/>
  <c r="U885" i="2"/>
  <c r="V885" i="2" s="1"/>
  <c r="X893" i="2"/>
  <c r="U893" i="2"/>
  <c r="V893" i="2" s="1"/>
  <c r="X901" i="2"/>
  <c r="U901" i="2"/>
  <c r="V901" i="2" s="1"/>
  <c r="X909" i="2"/>
  <c r="U909" i="2"/>
  <c r="V909" i="2" s="1"/>
  <c r="X917" i="2"/>
  <c r="U917" i="2"/>
  <c r="V917" i="2" s="1"/>
  <c r="X925" i="2"/>
  <c r="U925" i="2"/>
  <c r="V925" i="2" s="1"/>
  <c r="X933" i="2"/>
  <c r="U933" i="2"/>
  <c r="V933" i="2" s="1"/>
  <c r="X941" i="2"/>
  <c r="U941" i="2"/>
  <c r="V941" i="2" s="1"/>
  <c r="X949" i="2"/>
  <c r="U949" i="2"/>
  <c r="V949" i="2" s="1"/>
  <c r="X957" i="2"/>
  <c r="U957" i="2"/>
  <c r="V957" i="2" s="1"/>
  <c r="X965" i="2"/>
  <c r="U965" i="2"/>
  <c r="V965" i="2" s="1"/>
  <c r="X973" i="2"/>
  <c r="U973" i="2"/>
  <c r="V973" i="2" s="1"/>
  <c r="X981" i="2"/>
  <c r="U981" i="2"/>
  <c r="V981" i="2" s="1"/>
  <c r="X989" i="2"/>
  <c r="U989" i="2"/>
  <c r="V989" i="2" s="1"/>
  <c r="X997" i="2"/>
  <c r="U997" i="2"/>
  <c r="V997" i="2" s="1"/>
  <c r="X1005" i="2"/>
  <c r="U1005" i="2"/>
  <c r="V1005" i="2" s="1"/>
  <c r="X1013" i="2"/>
  <c r="U1013" i="2"/>
  <c r="V1013" i="2" s="1"/>
  <c r="X1021" i="2"/>
  <c r="U1021" i="2"/>
  <c r="V1021" i="2" s="1"/>
  <c r="X1029" i="2"/>
  <c r="U1029" i="2"/>
  <c r="V1029" i="2" s="1"/>
  <c r="X1037" i="2"/>
  <c r="U1037" i="2"/>
  <c r="V1037" i="2" s="1"/>
  <c r="X1045" i="2"/>
  <c r="U1045" i="2"/>
  <c r="V1045" i="2" s="1"/>
  <c r="X1053" i="2"/>
  <c r="U1053" i="2"/>
  <c r="V1053" i="2" s="1"/>
  <c r="X1061" i="2"/>
  <c r="U1061" i="2"/>
  <c r="V1061" i="2" s="1"/>
  <c r="X1069" i="2"/>
  <c r="U1069" i="2"/>
  <c r="V1069" i="2" s="1"/>
  <c r="X1077" i="2"/>
  <c r="U1077" i="2"/>
  <c r="V1077" i="2" s="1"/>
  <c r="X1085" i="2"/>
  <c r="U1085" i="2"/>
  <c r="V1085" i="2" s="1"/>
  <c r="X1093" i="2"/>
  <c r="U1093" i="2"/>
  <c r="V1093" i="2" s="1"/>
  <c r="X1101" i="2"/>
  <c r="U1101" i="2"/>
  <c r="V1101" i="2" s="1"/>
  <c r="X1109" i="2"/>
  <c r="U1109" i="2"/>
  <c r="V1109" i="2" s="1"/>
  <c r="X1117" i="2"/>
  <c r="U1117" i="2"/>
  <c r="V1117" i="2" s="1"/>
  <c r="X1125" i="2"/>
  <c r="U1125" i="2"/>
  <c r="V1125" i="2" s="1"/>
  <c r="X496" i="2"/>
  <c r="U496" i="2"/>
  <c r="V496" i="2" s="1"/>
  <c r="X1083" i="2"/>
  <c r="U1083" i="2"/>
  <c r="V1083" i="2" s="1"/>
  <c r="X329" i="2"/>
  <c r="U329" i="2"/>
  <c r="V329" i="2" s="1"/>
  <c r="X355" i="2"/>
  <c r="U355" i="2"/>
  <c r="V355" i="2" s="1"/>
  <c r="X363" i="2"/>
  <c r="U363" i="2"/>
  <c r="V363" i="2" s="1"/>
  <c r="X371" i="2"/>
  <c r="U371" i="2"/>
  <c r="V371" i="2" s="1"/>
  <c r="X379" i="2"/>
  <c r="U379" i="2"/>
  <c r="V379" i="2" s="1"/>
  <c r="X400" i="2"/>
  <c r="U400" i="2"/>
  <c r="V400" i="2" s="1"/>
  <c r="X408" i="2"/>
  <c r="U408" i="2"/>
  <c r="V408" i="2" s="1"/>
  <c r="X416" i="2"/>
  <c r="U416" i="2"/>
  <c r="V416" i="2" s="1"/>
  <c r="X424" i="2"/>
  <c r="U424" i="2"/>
  <c r="V424" i="2" s="1"/>
  <c r="X432" i="2"/>
  <c r="U432" i="2"/>
  <c r="V432" i="2" s="1"/>
  <c r="X440" i="2"/>
  <c r="U440" i="2"/>
  <c r="V440" i="2" s="1"/>
  <c r="X448" i="2"/>
  <c r="U448" i="2"/>
  <c r="V448" i="2" s="1"/>
  <c r="X456" i="2"/>
  <c r="U456" i="2"/>
  <c r="V456" i="2" s="1"/>
  <c r="X464" i="2"/>
  <c r="U464" i="2"/>
  <c r="V464" i="2" s="1"/>
  <c r="X472" i="2"/>
  <c r="U472" i="2"/>
  <c r="V472" i="2" s="1"/>
  <c r="X483" i="2"/>
  <c r="U483" i="2"/>
  <c r="V483" i="2" s="1"/>
  <c r="X491" i="2"/>
  <c r="U491" i="2"/>
  <c r="V491" i="2" s="1"/>
  <c r="X499" i="2"/>
  <c r="U499" i="2"/>
  <c r="V499" i="2" s="1"/>
  <c r="X507" i="2"/>
  <c r="U507" i="2"/>
  <c r="V507" i="2" s="1"/>
  <c r="X515" i="2"/>
  <c r="U515" i="2"/>
  <c r="V515" i="2" s="1"/>
  <c r="X523" i="2"/>
  <c r="U523" i="2"/>
  <c r="V523" i="2" s="1"/>
  <c r="X531" i="2"/>
  <c r="U531" i="2"/>
  <c r="V531" i="2" s="1"/>
  <c r="X539" i="2"/>
  <c r="U539" i="2"/>
  <c r="V539" i="2" s="1"/>
  <c r="X547" i="2"/>
  <c r="U547" i="2"/>
  <c r="V547" i="2" s="1"/>
  <c r="X555" i="2"/>
  <c r="U555" i="2"/>
  <c r="V555" i="2" s="1"/>
  <c r="X563" i="2"/>
  <c r="U563" i="2"/>
  <c r="V563" i="2" s="1"/>
  <c r="X571" i="2"/>
  <c r="U571" i="2"/>
  <c r="V571" i="2" s="1"/>
  <c r="X573" i="2"/>
  <c r="U573" i="2"/>
  <c r="V573" i="2" s="1"/>
  <c r="X581" i="2"/>
  <c r="U581" i="2"/>
  <c r="V581" i="2" s="1"/>
  <c r="X589" i="2"/>
  <c r="U589" i="2"/>
  <c r="V589" i="2" s="1"/>
  <c r="X597" i="2"/>
  <c r="U597" i="2"/>
  <c r="V597" i="2" s="1"/>
  <c r="X605" i="2"/>
  <c r="U605" i="2"/>
  <c r="V605" i="2" s="1"/>
  <c r="X613" i="2"/>
  <c r="U613" i="2"/>
  <c r="V613" i="2" s="1"/>
  <c r="X621" i="2"/>
  <c r="U621" i="2"/>
  <c r="V621" i="2" s="1"/>
  <c r="X629" i="2"/>
  <c r="U629" i="2"/>
  <c r="V629" i="2" s="1"/>
  <c r="X638" i="2"/>
  <c r="U638" i="2"/>
  <c r="V638" i="2" s="1"/>
  <c r="X646" i="2"/>
  <c r="U646" i="2"/>
  <c r="V646" i="2" s="1"/>
  <c r="X654" i="2"/>
  <c r="U654" i="2"/>
  <c r="V654" i="2" s="1"/>
  <c r="X662" i="2"/>
  <c r="U662" i="2"/>
  <c r="V662" i="2" s="1"/>
  <c r="X670" i="2"/>
  <c r="U670" i="2"/>
  <c r="V670" i="2" s="1"/>
  <c r="X678" i="2"/>
  <c r="U678" i="2"/>
  <c r="V678" i="2" s="1"/>
  <c r="X686" i="2"/>
  <c r="U686" i="2"/>
  <c r="V686" i="2" s="1"/>
  <c r="X694" i="2"/>
  <c r="U694" i="2"/>
  <c r="V694" i="2" s="1"/>
  <c r="X702" i="2"/>
  <c r="U702" i="2"/>
  <c r="V702" i="2" s="1"/>
  <c r="X710" i="2"/>
  <c r="U710" i="2"/>
  <c r="V710" i="2" s="1"/>
  <c r="X718" i="2"/>
  <c r="U718" i="2"/>
  <c r="V718" i="2" s="1"/>
  <c r="X726" i="2"/>
  <c r="U726" i="2"/>
  <c r="V726" i="2" s="1"/>
  <c r="X734" i="2"/>
  <c r="U734" i="2"/>
  <c r="V734" i="2" s="1"/>
  <c r="X742" i="2"/>
  <c r="U742" i="2"/>
  <c r="V742" i="2" s="1"/>
  <c r="X750" i="2"/>
  <c r="U750" i="2"/>
  <c r="V750" i="2" s="1"/>
  <c r="X758" i="2"/>
  <c r="U758" i="2"/>
  <c r="V758" i="2" s="1"/>
  <c r="X766" i="2"/>
  <c r="U766" i="2"/>
  <c r="V766" i="2" s="1"/>
  <c r="X774" i="2"/>
  <c r="U774" i="2"/>
  <c r="V774" i="2" s="1"/>
  <c r="X782" i="2"/>
  <c r="U782" i="2"/>
  <c r="V782" i="2" s="1"/>
  <c r="X790" i="2"/>
  <c r="U790" i="2"/>
  <c r="V790" i="2" s="1"/>
  <c r="X798" i="2"/>
  <c r="U798" i="2"/>
  <c r="V798" i="2" s="1"/>
  <c r="X806" i="2"/>
  <c r="U806" i="2"/>
  <c r="V806" i="2" s="1"/>
  <c r="X814" i="2"/>
  <c r="U814" i="2"/>
  <c r="V814" i="2" s="1"/>
  <c r="X822" i="2"/>
  <c r="U822" i="2"/>
  <c r="V822" i="2" s="1"/>
  <c r="X830" i="2"/>
  <c r="U830" i="2"/>
  <c r="V830" i="2" s="1"/>
  <c r="X838" i="2"/>
  <c r="U838" i="2"/>
  <c r="V838" i="2" s="1"/>
  <c r="X846" i="2"/>
  <c r="U846" i="2"/>
  <c r="V846" i="2" s="1"/>
  <c r="X854" i="2"/>
  <c r="U854" i="2"/>
  <c r="V854" i="2" s="1"/>
  <c r="X862" i="2"/>
  <c r="U862" i="2"/>
  <c r="V862" i="2" s="1"/>
  <c r="X870" i="2"/>
  <c r="U870" i="2"/>
  <c r="V870" i="2" s="1"/>
  <c r="X878" i="2"/>
  <c r="U878" i="2"/>
  <c r="V878" i="2" s="1"/>
  <c r="X886" i="2"/>
  <c r="U886" i="2"/>
  <c r="V886" i="2" s="1"/>
  <c r="X894" i="2"/>
  <c r="U894" i="2"/>
  <c r="V894" i="2" s="1"/>
  <c r="X902" i="2"/>
  <c r="U902" i="2"/>
  <c r="V902" i="2" s="1"/>
  <c r="X910" i="2"/>
  <c r="U910" i="2"/>
  <c r="V910" i="2" s="1"/>
  <c r="X918" i="2"/>
  <c r="U918" i="2"/>
  <c r="V918" i="2" s="1"/>
  <c r="X926" i="2"/>
  <c r="U926" i="2"/>
  <c r="V926" i="2" s="1"/>
  <c r="X934" i="2"/>
  <c r="U934" i="2"/>
  <c r="V934" i="2" s="1"/>
  <c r="X942" i="2"/>
  <c r="U942" i="2"/>
  <c r="V942" i="2" s="1"/>
  <c r="X950" i="2"/>
  <c r="U950" i="2"/>
  <c r="V950" i="2" s="1"/>
  <c r="X958" i="2"/>
  <c r="U958" i="2"/>
  <c r="V958" i="2" s="1"/>
  <c r="X966" i="2"/>
  <c r="U966" i="2"/>
  <c r="V966" i="2" s="1"/>
  <c r="X974" i="2"/>
  <c r="U974" i="2"/>
  <c r="V974" i="2" s="1"/>
  <c r="X982" i="2"/>
  <c r="U982" i="2"/>
  <c r="V982" i="2" s="1"/>
  <c r="X990" i="2"/>
  <c r="U990" i="2"/>
  <c r="V990" i="2" s="1"/>
  <c r="X998" i="2"/>
  <c r="U998" i="2"/>
  <c r="V998" i="2" s="1"/>
  <c r="X1006" i="2"/>
  <c r="U1006" i="2"/>
  <c r="V1006" i="2" s="1"/>
  <c r="X1014" i="2"/>
  <c r="U1014" i="2"/>
  <c r="V1014" i="2" s="1"/>
  <c r="X1022" i="2"/>
  <c r="U1022" i="2"/>
  <c r="V1022" i="2" s="1"/>
  <c r="X1030" i="2"/>
  <c r="U1030" i="2"/>
  <c r="V1030" i="2" s="1"/>
  <c r="X1038" i="2"/>
  <c r="U1038" i="2"/>
  <c r="V1038" i="2" s="1"/>
  <c r="X1046" i="2"/>
  <c r="U1046" i="2"/>
  <c r="V1046" i="2" s="1"/>
  <c r="X1054" i="2"/>
  <c r="U1054" i="2"/>
  <c r="V1054" i="2" s="1"/>
  <c r="X1062" i="2"/>
  <c r="U1062" i="2"/>
  <c r="V1062" i="2" s="1"/>
  <c r="X1070" i="2"/>
  <c r="U1070" i="2"/>
  <c r="V1070" i="2" s="1"/>
  <c r="X1078" i="2"/>
  <c r="U1078" i="2"/>
  <c r="V1078" i="2" s="1"/>
  <c r="X1086" i="2"/>
  <c r="U1086" i="2"/>
  <c r="V1086" i="2" s="1"/>
  <c r="X1094" i="2"/>
  <c r="U1094" i="2"/>
  <c r="V1094" i="2" s="1"/>
  <c r="X1102" i="2"/>
  <c r="U1102" i="2"/>
  <c r="V1102" i="2" s="1"/>
  <c r="X1110" i="2"/>
  <c r="U1110" i="2"/>
  <c r="V1110" i="2" s="1"/>
  <c r="X1118" i="2"/>
  <c r="U1118" i="2"/>
  <c r="V1118" i="2" s="1"/>
  <c r="X1126" i="2"/>
  <c r="U1126" i="2"/>
  <c r="V1126" i="2" s="1"/>
  <c r="X504" i="2"/>
  <c r="U504" i="2"/>
  <c r="V504" i="2" s="1"/>
  <c r="X1091" i="2"/>
  <c r="U1091" i="2"/>
  <c r="V1091" i="2" s="1"/>
  <c r="X330" i="2"/>
  <c r="U330" i="2"/>
  <c r="V330" i="2" s="1"/>
  <c r="X356" i="2"/>
  <c r="U356" i="2"/>
  <c r="V356" i="2" s="1"/>
  <c r="X364" i="2"/>
  <c r="U364" i="2"/>
  <c r="V364" i="2" s="1"/>
  <c r="X372" i="2"/>
  <c r="U372" i="2"/>
  <c r="V372" i="2" s="1"/>
  <c r="X380" i="2"/>
  <c r="U380" i="2"/>
  <c r="V380" i="2" s="1"/>
  <c r="X401" i="2"/>
  <c r="U401" i="2"/>
  <c r="V401" i="2" s="1"/>
  <c r="X409" i="2"/>
  <c r="U409" i="2"/>
  <c r="V409" i="2" s="1"/>
  <c r="X417" i="2"/>
  <c r="U417" i="2"/>
  <c r="V417" i="2" s="1"/>
  <c r="X425" i="2"/>
  <c r="U425" i="2"/>
  <c r="V425" i="2" s="1"/>
  <c r="X433" i="2"/>
  <c r="U433" i="2"/>
  <c r="V433" i="2" s="1"/>
  <c r="X441" i="2"/>
  <c r="U441" i="2"/>
  <c r="V441" i="2" s="1"/>
  <c r="X449" i="2"/>
  <c r="U449" i="2"/>
  <c r="V449" i="2" s="1"/>
  <c r="X457" i="2"/>
  <c r="U457" i="2"/>
  <c r="V457" i="2" s="1"/>
  <c r="X465" i="2"/>
  <c r="U465" i="2"/>
  <c r="V465" i="2" s="1"/>
  <c r="X473" i="2"/>
  <c r="U473" i="2"/>
  <c r="V473" i="2" s="1"/>
  <c r="X484" i="2"/>
  <c r="U484" i="2"/>
  <c r="V484" i="2" s="1"/>
  <c r="X492" i="2"/>
  <c r="U492" i="2"/>
  <c r="V492" i="2" s="1"/>
  <c r="X500" i="2"/>
  <c r="U500" i="2"/>
  <c r="V500" i="2" s="1"/>
  <c r="X508" i="2"/>
  <c r="U508" i="2"/>
  <c r="V508" i="2" s="1"/>
  <c r="X516" i="2"/>
  <c r="U516" i="2"/>
  <c r="V516" i="2" s="1"/>
  <c r="X524" i="2"/>
  <c r="U524" i="2"/>
  <c r="V524" i="2" s="1"/>
  <c r="X532" i="2"/>
  <c r="U532" i="2"/>
  <c r="V532" i="2" s="1"/>
  <c r="X540" i="2"/>
  <c r="U540" i="2"/>
  <c r="V540" i="2" s="1"/>
  <c r="X548" i="2"/>
  <c r="U548" i="2"/>
  <c r="V548" i="2" s="1"/>
  <c r="X556" i="2"/>
  <c r="U556" i="2"/>
  <c r="V556" i="2" s="1"/>
  <c r="X564" i="2"/>
  <c r="U564" i="2"/>
  <c r="V564" i="2" s="1"/>
  <c r="X574" i="2"/>
  <c r="U574" i="2"/>
  <c r="V574" i="2" s="1"/>
  <c r="X582" i="2"/>
  <c r="U582" i="2"/>
  <c r="V582" i="2" s="1"/>
  <c r="X590" i="2"/>
  <c r="U590" i="2"/>
  <c r="V590" i="2" s="1"/>
  <c r="X598" i="2"/>
  <c r="U598" i="2"/>
  <c r="V598" i="2" s="1"/>
  <c r="X606" i="2"/>
  <c r="U606" i="2"/>
  <c r="V606" i="2" s="1"/>
  <c r="X614" i="2"/>
  <c r="U614" i="2"/>
  <c r="V614" i="2" s="1"/>
  <c r="X622" i="2"/>
  <c r="U622" i="2"/>
  <c r="V622" i="2" s="1"/>
  <c r="X630" i="2"/>
  <c r="U630" i="2"/>
  <c r="V630" i="2" s="1"/>
  <c r="X639" i="2"/>
  <c r="U639" i="2"/>
  <c r="V639" i="2" s="1"/>
  <c r="X647" i="2"/>
  <c r="U647" i="2"/>
  <c r="V647" i="2" s="1"/>
  <c r="X655" i="2"/>
  <c r="U655" i="2"/>
  <c r="V655" i="2" s="1"/>
  <c r="X663" i="2"/>
  <c r="U663" i="2"/>
  <c r="V663" i="2" s="1"/>
  <c r="X671" i="2"/>
  <c r="U671" i="2"/>
  <c r="V671" i="2" s="1"/>
  <c r="X679" i="2"/>
  <c r="U679" i="2"/>
  <c r="V679" i="2" s="1"/>
  <c r="X687" i="2"/>
  <c r="U687" i="2"/>
  <c r="V687" i="2" s="1"/>
  <c r="X695" i="2"/>
  <c r="U695" i="2"/>
  <c r="V695" i="2" s="1"/>
  <c r="X703" i="2"/>
  <c r="U703" i="2"/>
  <c r="V703" i="2" s="1"/>
  <c r="X711" i="2"/>
  <c r="U711" i="2"/>
  <c r="V711" i="2" s="1"/>
  <c r="X719" i="2"/>
  <c r="U719" i="2"/>
  <c r="V719" i="2" s="1"/>
  <c r="X727" i="2"/>
  <c r="U727" i="2"/>
  <c r="V727" i="2" s="1"/>
  <c r="X735" i="2"/>
  <c r="U735" i="2"/>
  <c r="V735" i="2" s="1"/>
  <c r="X743" i="2"/>
  <c r="U743" i="2"/>
  <c r="V743" i="2" s="1"/>
  <c r="X751" i="2"/>
  <c r="U751" i="2"/>
  <c r="V751" i="2" s="1"/>
  <c r="X759" i="2"/>
  <c r="U759" i="2"/>
  <c r="V759" i="2" s="1"/>
  <c r="X767" i="2"/>
  <c r="U767" i="2"/>
  <c r="V767" i="2" s="1"/>
  <c r="X775" i="2"/>
  <c r="U775" i="2"/>
  <c r="V775" i="2" s="1"/>
  <c r="X783" i="2"/>
  <c r="U783" i="2"/>
  <c r="V783" i="2" s="1"/>
  <c r="X791" i="2"/>
  <c r="U791" i="2"/>
  <c r="V791" i="2" s="1"/>
  <c r="X799" i="2"/>
  <c r="U799" i="2"/>
  <c r="V799" i="2" s="1"/>
  <c r="X807" i="2"/>
  <c r="U807" i="2"/>
  <c r="V807" i="2" s="1"/>
  <c r="X815" i="2"/>
  <c r="U815" i="2"/>
  <c r="V815" i="2" s="1"/>
  <c r="X823" i="2"/>
  <c r="U823" i="2"/>
  <c r="V823" i="2" s="1"/>
  <c r="X831" i="2"/>
  <c r="U831" i="2"/>
  <c r="V831" i="2" s="1"/>
  <c r="X839" i="2"/>
  <c r="U839" i="2"/>
  <c r="V839" i="2" s="1"/>
  <c r="X847" i="2"/>
  <c r="U847" i="2"/>
  <c r="V847" i="2" s="1"/>
  <c r="X855" i="2"/>
  <c r="U855" i="2"/>
  <c r="V855" i="2" s="1"/>
  <c r="X863" i="2"/>
  <c r="U863" i="2"/>
  <c r="V863" i="2" s="1"/>
  <c r="X871" i="2"/>
  <c r="U871" i="2"/>
  <c r="V871" i="2" s="1"/>
  <c r="X879" i="2"/>
  <c r="U879" i="2"/>
  <c r="V879" i="2" s="1"/>
  <c r="X887" i="2"/>
  <c r="U887" i="2"/>
  <c r="V887" i="2" s="1"/>
  <c r="X895" i="2"/>
  <c r="U895" i="2"/>
  <c r="V895" i="2" s="1"/>
  <c r="X903" i="2"/>
  <c r="U903" i="2"/>
  <c r="V903" i="2" s="1"/>
  <c r="X911" i="2"/>
  <c r="U911" i="2"/>
  <c r="V911" i="2" s="1"/>
  <c r="X919" i="2"/>
  <c r="U919" i="2"/>
  <c r="V919" i="2" s="1"/>
  <c r="X927" i="2"/>
  <c r="U927" i="2"/>
  <c r="V927" i="2" s="1"/>
  <c r="X935" i="2"/>
  <c r="U935" i="2"/>
  <c r="V935" i="2" s="1"/>
  <c r="X943" i="2"/>
  <c r="U943" i="2"/>
  <c r="V943" i="2" s="1"/>
  <c r="X951" i="2"/>
  <c r="U951" i="2"/>
  <c r="V951" i="2" s="1"/>
  <c r="X959" i="2"/>
  <c r="U959" i="2"/>
  <c r="V959" i="2" s="1"/>
  <c r="X967" i="2"/>
  <c r="U967" i="2"/>
  <c r="V967" i="2" s="1"/>
  <c r="X975" i="2"/>
  <c r="U975" i="2"/>
  <c r="V975" i="2" s="1"/>
  <c r="X983" i="2"/>
  <c r="U983" i="2"/>
  <c r="V983" i="2" s="1"/>
  <c r="X991" i="2"/>
  <c r="U991" i="2"/>
  <c r="V991" i="2" s="1"/>
  <c r="X999" i="2"/>
  <c r="U999" i="2"/>
  <c r="V999" i="2" s="1"/>
  <c r="X1007" i="2"/>
  <c r="U1007" i="2"/>
  <c r="V1007" i="2" s="1"/>
  <c r="X1015" i="2"/>
  <c r="U1015" i="2"/>
  <c r="V1015" i="2" s="1"/>
  <c r="X1023" i="2"/>
  <c r="U1023" i="2"/>
  <c r="V1023" i="2" s="1"/>
  <c r="X1031" i="2"/>
  <c r="U1031" i="2"/>
  <c r="V1031" i="2" s="1"/>
  <c r="X1039" i="2"/>
  <c r="U1039" i="2"/>
  <c r="V1039" i="2" s="1"/>
  <c r="X1047" i="2"/>
  <c r="U1047" i="2"/>
  <c r="V1047" i="2" s="1"/>
  <c r="X1055" i="2"/>
  <c r="U1055" i="2"/>
  <c r="V1055" i="2" s="1"/>
  <c r="X1063" i="2"/>
  <c r="U1063" i="2"/>
  <c r="V1063" i="2" s="1"/>
  <c r="X1071" i="2"/>
  <c r="U1071" i="2"/>
  <c r="V1071" i="2" s="1"/>
  <c r="X1079" i="2"/>
  <c r="U1079" i="2"/>
  <c r="V1079" i="2" s="1"/>
  <c r="X1087" i="2"/>
  <c r="U1087" i="2"/>
  <c r="V1087" i="2" s="1"/>
  <c r="X1095" i="2"/>
  <c r="U1095" i="2"/>
  <c r="V1095" i="2" s="1"/>
  <c r="X1103" i="2"/>
  <c r="U1103" i="2"/>
  <c r="V1103" i="2" s="1"/>
  <c r="X1111" i="2"/>
  <c r="U1111" i="2"/>
  <c r="V1111" i="2" s="1"/>
  <c r="X1119" i="2"/>
  <c r="U1119" i="2"/>
  <c r="V1119" i="2" s="1"/>
  <c r="X1127" i="2"/>
  <c r="U1127" i="2"/>
  <c r="V1127" i="2" s="1"/>
  <c r="X488" i="2"/>
  <c r="U488" i="2"/>
  <c r="V488" i="2" s="1"/>
  <c r="X1107" i="2"/>
  <c r="U1107" i="2"/>
  <c r="V1107" i="2" s="1"/>
  <c r="X331" i="2"/>
  <c r="U331" i="2"/>
  <c r="V331" i="2" s="1"/>
  <c r="X357" i="2"/>
  <c r="U357" i="2"/>
  <c r="V357" i="2" s="1"/>
  <c r="X365" i="2"/>
  <c r="U365" i="2"/>
  <c r="V365" i="2" s="1"/>
  <c r="X373" i="2"/>
  <c r="U373" i="2"/>
  <c r="V373" i="2" s="1"/>
  <c r="X381" i="2"/>
  <c r="U381" i="2"/>
  <c r="V381" i="2" s="1"/>
  <c r="X402" i="2"/>
  <c r="U402" i="2"/>
  <c r="V402" i="2" s="1"/>
  <c r="X410" i="2"/>
  <c r="U410" i="2"/>
  <c r="V410" i="2" s="1"/>
  <c r="X418" i="2"/>
  <c r="U418" i="2"/>
  <c r="V418" i="2" s="1"/>
  <c r="X426" i="2"/>
  <c r="U426" i="2"/>
  <c r="V426" i="2" s="1"/>
  <c r="X434" i="2"/>
  <c r="U434" i="2"/>
  <c r="V434" i="2" s="1"/>
  <c r="X442" i="2"/>
  <c r="U442" i="2"/>
  <c r="V442" i="2" s="1"/>
  <c r="X450" i="2"/>
  <c r="U450" i="2"/>
  <c r="V450" i="2" s="1"/>
  <c r="X458" i="2"/>
  <c r="U458" i="2"/>
  <c r="V458" i="2" s="1"/>
  <c r="X466" i="2"/>
  <c r="U466" i="2"/>
  <c r="V466" i="2" s="1"/>
  <c r="X474" i="2"/>
  <c r="U474" i="2"/>
  <c r="V474" i="2" s="1"/>
  <c r="X485" i="2"/>
  <c r="U485" i="2"/>
  <c r="V485" i="2" s="1"/>
  <c r="X493" i="2"/>
  <c r="U493" i="2"/>
  <c r="V493" i="2" s="1"/>
  <c r="X501" i="2"/>
  <c r="U501" i="2"/>
  <c r="V501" i="2" s="1"/>
  <c r="X509" i="2"/>
  <c r="U509" i="2"/>
  <c r="V509" i="2" s="1"/>
  <c r="X517" i="2"/>
  <c r="U517" i="2"/>
  <c r="V517" i="2" s="1"/>
  <c r="X525" i="2"/>
  <c r="U525" i="2"/>
  <c r="V525" i="2" s="1"/>
  <c r="X533" i="2"/>
  <c r="U533" i="2"/>
  <c r="V533" i="2" s="1"/>
  <c r="X541" i="2"/>
  <c r="U541" i="2"/>
  <c r="V541" i="2" s="1"/>
  <c r="X549" i="2"/>
  <c r="U549" i="2"/>
  <c r="V549" i="2" s="1"/>
  <c r="X557" i="2"/>
  <c r="U557" i="2"/>
  <c r="V557" i="2" s="1"/>
  <c r="X565" i="2"/>
  <c r="U565" i="2"/>
  <c r="V565" i="2" s="1"/>
  <c r="X575" i="2"/>
  <c r="U575" i="2"/>
  <c r="V575" i="2" s="1"/>
  <c r="X583" i="2"/>
  <c r="U583" i="2"/>
  <c r="V583" i="2" s="1"/>
  <c r="X591" i="2"/>
  <c r="U591" i="2"/>
  <c r="V591" i="2" s="1"/>
  <c r="X599" i="2"/>
  <c r="U599" i="2"/>
  <c r="V599" i="2" s="1"/>
  <c r="X607" i="2"/>
  <c r="U607" i="2"/>
  <c r="V607" i="2" s="1"/>
  <c r="X615" i="2"/>
  <c r="U615" i="2"/>
  <c r="V615" i="2" s="1"/>
  <c r="X623" i="2"/>
  <c r="U623" i="2"/>
  <c r="V623" i="2" s="1"/>
  <c r="X631" i="2"/>
  <c r="U631" i="2"/>
  <c r="V631" i="2" s="1"/>
  <c r="X640" i="2"/>
  <c r="U640" i="2"/>
  <c r="V640" i="2" s="1"/>
  <c r="X648" i="2"/>
  <c r="U648" i="2"/>
  <c r="V648" i="2" s="1"/>
  <c r="X656" i="2"/>
  <c r="U656" i="2"/>
  <c r="V656" i="2" s="1"/>
  <c r="X664" i="2"/>
  <c r="U664" i="2"/>
  <c r="V664" i="2" s="1"/>
  <c r="X672" i="2"/>
  <c r="U672" i="2"/>
  <c r="V672" i="2" s="1"/>
  <c r="X680" i="2"/>
  <c r="U680" i="2"/>
  <c r="V680" i="2" s="1"/>
  <c r="X688" i="2"/>
  <c r="U688" i="2"/>
  <c r="V688" i="2" s="1"/>
  <c r="X696" i="2"/>
  <c r="U696" i="2"/>
  <c r="V696" i="2" s="1"/>
  <c r="X704" i="2"/>
  <c r="U704" i="2"/>
  <c r="V704" i="2" s="1"/>
  <c r="X712" i="2"/>
  <c r="U712" i="2"/>
  <c r="V712" i="2" s="1"/>
  <c r="X720" i="2"/>
  <c r="U720" i="2"/>
  <c r="V720" i="2" s="1"/>
  <c r="X728" i="2"/>
  <c r="U728" i="2"/>
  <c r="V728" i="2" s="1"/>
  <c r="X736" i="2"/>
  <c r="U736" i="2"/>
  <c r="V736" i="2" s="1"/>
  <c r="X744" i="2"/>
  <c r="U744" i="2"/>
  <c r="V744" i="2" s="1"/>
  <c r="X752" i="2"/>
  <c r="U752" i="2"/>
  <c r="V752" i="2" s="1"/>
  <c r="X760" i="2"/>
  <c r="U760" i="2"/>
  <c r="V760" i="2" s="1"/>
  <c r="X768" i="2"/>
  <c r="U768" i="2"/>
  <c r="V768" i="2" s="1"/>
  <c r="X776" i="2"/>
  <c r="U776" i="2"/>
  <c r="V776" i="2" s="1"/>
  <c r="X784" i="2"/>
  <c r="U784" i="2"/>
  <c r="V784" i="2" s="1"/>
  <c r="X792" i="2"/>
  <c r="U792" i="2"/>
  <c r="V792" i="2" s="1"/>
  <c r="X800" i="2"/>
  <c r="U800" i="2"/>
  <c r="V800" i="2" s="1"/>
  <c r="X808" i="2"/>
  <c r="U808" i="2"/>
  <c r="V808" i="2" s="1"/>
  <c r="X816" i="2"/>
  <c r="U816" i="2"/>
  <c r="V816" i="2" s="1"/>
  <c r="X824" i="2"/>
  <c r="U824" i="2"/>
  <c r="V824" i="2" s="1"/>
  <c r="X832" i="2"/>
  <c r="U832" i="2"/>
  <c r="V832" i="2" s="1"/>
  <c r="X840" i="2"/>
  <c r="U840" i="2"/>
  <c r="V840" i="2" s="1"/>
  <c r="X848" i="2"/>
  <c r="U848" i="2"/>
  <c r="V848" i="2" s="1"/>
  <c r="X856" i="2"/>
  <c r="U856" i="2"/>
  <c r="V856" i="2" s="1"/>
  <c r="X864" i="2"/>
  <c r="U864" i="2"/>
  <c r="V864" i="2" s="1"/>
  <c r="X872" i="2"/>
  <c r="U872" i="2"/>
  <c r="V872" i="2" s="1"/>
  <c r="X880" i="2"/>
  <c r="U880" i="2"/>
  <c r="V880" i="2" s="1"/>
  <c r="X888" i="2"/>
  <c r="U888" i="2"/>
  <c r="V888" i="2" s="1"/>
  <c r="X896" i="2"/>
  <c r="U896" i="2"/>
  <c r="V896" i="2" s="1"/>
  <c r="X904" i="2"/>
  <c r="U904" i="2"/>
  <c r="V904" i="2" s="1"/>
  <c r="X912" i="2"/>
  <c r="U912" i="2"/>
  <c r="V912" i="2" s="1"/>
  <c r="X920" i="2"/>
  <c r="U920" i="2"/>
  <c r="V920" i="2" s="1"/>
  <c r="X928" i="2"/>
  <c r="U928" i="2"/>
  <c r="V928" i="2" s="1"/>
  <c r="X936" i="2"/>
  <c r="U936" i="2"/>
  <c r="V936" i="2" s="1"/>
  <c r="X944" i="2"/>
  <c r="U944" i="2"/>
  <c r="V944" i="2" s="1"/>
  <c r="X952" i="2"/>
  <c r="U952" i="2"/>
  <c r="V952" i="2" s="1"/>
  <c r="X960" i="2"/>
  <c r="U960" i="2"/>
  <c r="V960" i="2" s="1"/>
  <c r="X968" i="2"/>
  <c r="U968" i="2"/>
  <c r="V968" i="2" s="1"/>
  <c r="X976" i="2"/>
  <c r="U976" i="2"/>
  <c r="V976" i="2" s="1"/>
  <c r="X984" i="2"/>
  <c r="U984" i="2"/>
  <c r="V984" i="2" s="1"/>
  <c r="X992" i="2"/>
  <c r="U992" i="2"/>
  <c r="V992" i="2" s="1"/>
  <c r="X1000" i="2"/>
  <c r="U1000" i="2"/>
  <c r="V1000" i="2" s="1"/>
  <c r="X1008" i="2"/>
  <c r="U1008" i="2"/>
  <c r="V1008" i="2" s="1"/>
  <c r="X1016" i="2"/>
  <c r="U1016" i="2"/>
  <c r="V1016" i="2" s="1"/>
  <c r="X1024" i="2"/>
  <c r="U1024" i="2"/>
  <c r="V1024" i="2" s="1"/>
  <c r="X1032" i="2"/>
  <c r="U1032" i="2"/>
  <c r="V1032" i="2" s="1"/>
  <c r="X1040" i="2"/>
  <c r="U1040" i="2"/>
  <c r="V1040" i="2" s="1"/>
  <c r="X1048" i="2"/>
  <c r="U1048" i="2"/>
  <c r="V1048" i="2" s="1"/>
  <c r="X1056" i="2"/>
  <c r="U1056" i="2"/>
  <c r="V1056" i="2" s="1"/>
  <c r="X1064" i="2"/>
  <c r="U1064" i="2"/>
  <c r="V1064" i="2" s="1"/>
  <c r="X1072" i="2"/>
  <c r="U1072" i="2"/>
  <c r="V1072" i="2" s="1"/>
  <c r="X1080" i="2"/>
  <c r="U1080" i="2"/>
  <c r="V1080" i="2" s="1"/>
  <c r="X1088" i="2"/>
  <c r="U1088" i="2"/>
  <c r="V1088" i="2" s="1"/>
  <c r="X1096" i="2"/>
  <c r="U1096" i="2"/>
  <c r="V1096" i="2" s="1"/>
  <c r="X1104" i="2"/>
  <c r="U1104" i="2"/>
  <c r="V1104" i="2" s="1"/>
  <c r="X1112" i="2"/>
  <c r="U1112" i="2"/>
  <c r="V1112" i="2" s="1"/>
  <c r="X1120" i="2"/>
  <c r="U1120" i="2"/>
  <c r="V1120" i="2" s="1"/>
  <c r="X1128" i="2"/>
  <c r="U1128" i="2"/>
  <c r="V1128" i="2" s="1"/>
  <c r="X512" i="2"/>
  <c r="U512" i="2"/>
  <c r="V512" i="2" s="1"/>
  <c r="X1075" i="2"/>
  <c r="U1075" i="2"/>
  <c r="V1075" i="2" s="1"/>
  <c r="X332" i="2"/>
  <c r="U332" i="2"/>
  <c r="V332" i="2" s="1"/>
  <c r="X358" i="2"/>
  <c r="U358" i="2"/>
  <c r="V358" i="2" s="1"/>
  <c r="X366" i="2"/>
  <c r="U366" i="2"/>
  <c r="V366" i="2" s="1"/>
  <c r="X374" i="2"/>
  <c r="U374" i="2"/>
  <c r="V374" i="2" s="1"/>
  <c r="X395" i="2"/>
  <c r="U395" i="2"/>
  <c r="V395" i="2" s="1"/>
  <c r="X403" i="2"/>
  <c r="U403" i="2"/>
  <c r="V403" i="2" s="1"/>
  <c r="X419" i="2"/>
  <c r="U419" i="2"/>
  <c r="V419" i="2" s="1"/>
  <c r="X427" i="2"/>
  <c r="U427" i="2"/>
  <c r="V427" i="2" s="1"/>
  <c r="X435" i="2"/>
  <c r="U435" i="2"/>
  <c r="V435" i="2" s="1"/>
  <c r="X443" i="2"/>
  <c r="U443" i="2"/>
  <c r="V443" i="2" s="1"/>
  <c r="X451" i="2"/>
  <c r="U451" i="2"/>
  <c r="V451" i="2" s="1"/>
  <c r="X459" i="2"/>
  <c r="U459" i="2"/>
  <c r="V459" i="2" s="1"/>
  <c r="X467" i="2"/>
  <c r="U467" i="2"/>
  <c r="V467" i="2" s="1"/>
  <c r="X475" i="2"/>
  <c r="U475" i="2"/>
  <c r="V475" i="2" s="1"/>
  <c r="X337" i="2"/>
  <c r="U337" i="2"/>
  <c r="V337" i="2" s="1"/>
  <c r="X486" i="2"/>
  <c r="U486" i="2"/>
  <c r="V486" i="2" s="1"/>
  <c r="X494" i="2"/>
  <c r="U494" i="2"/>
  <c r="V494" i="2" s="1"/>
  <c r="X502" i="2"/>
  <c r="U502" i="2"/>
  <c r="V502" i="2" s="1"/>
  <c r="X510" i="2"/>
  <c r="U510" i="2"/>
  <c r="V510" i="2" s="1"/>
  <c r="X518" i="2"/>
  <c r="U518" i="2"/>
  <c r="V518" i="2" s="1"/>
  <c r="X526" i="2"/>
  <c r="U526" i="2"/>
  <c r="V526" i="2" s="1"/>
  <c r="X534" i="2"/>
  <c r="U534" i="2"/>
  <c r="V534" i="2" s="1"/>
  <c r="X542" i="2"/>
  <c r="U542" i="2"/>
  <c r="V542" i="2" s="1"/>
  <c r="X550" i="2"/>
  <c r="U550" i="2"/>
  <c r="V550" i="2" s="1"/>
  <c r="X558" i="2"/>
  <c r="U558" i="2"/>
  <c r="V558" i="2" s="1"/>
  <c r="X566" i="2"/>
  <c r="U566" i="2"/>
  <c r="V566" i="2" s="1"/>
  <c r="X576" i="2"/>
  <c r="U576" i="2"/>
  <c r="V576" i="2" s="1"/>
  <c r="X584" i="2"/>
  <c r="U584" i="2"/>
  <c r="V584" i="2" s="1"/>
  <c r="X592" i="2"/>
  <c r="U592" i="2"/>
  <c r="V592" i="2" s="1"/>
  <c r="X600" i="2"/>
  <c r="U600" i="2"/>
  <c r="V600" i="2" s="1"/>
  <c r="X608" i="2"/>
  <c r="U608" i="2"/>
  <c r="V608" i="2" s="1"/>
  <c r="X616" i="2"/>
  <c r="U616" i="2"/>
  <c r="V616" i="2" s="1"/>
  <c r="X624" i="2"/>
  <c r="U624" i="2"/>
  <c r="V624" i="2" s="1"/>
  <c r="X633" i="2"/>
  <c r="U633" i="2"/>
  <c r="V633" i="2" s="1"/>
  <c r="X641" i="2"/>
  <c r="U641" i="2"/>
  <c r="V641" i="2" s="1"/>
  <c r="X649" i="2"/>
  <c r="U649" i="2"/>
  <c r="V649" i="2" s="1"/>
  <c r="X657" i="2"/>
  <c r="U657" i="2"/>
  <c r="V657" i="2" s="1"/>
  <c r="X665" i="2"/>
  <c r="U665" i="2"/>
  <c r="V665" i="2" s="1"/>
  <c r="X673" i="2"/>
  <c r="U673" i="2"/>
  <c r="V673" i="2" s="1"/>
  <c r="X681" i="2"/>
  <c r="U681" i="2"/>
  <c r="V681" i="2" s="1"/>
  <c r="X689" i="2"/>
  <c r="U689" i="2"/>
  <c r="V689" i="2" s="1"/>
  <c r="X697" i="2"/>
  <c r="U697" i="2"/>
  <c r="V697" i="2" s="1"/>
  <c r="X705" i="2"/>
  <c r="U705" i="2"/>
  <c r="V705" i="2" s="1"/>
  <c r="X713" i="2"/>
  <c r="U713" i="2"/>
  <c r="V713" i="2" s="1"/>
  <c r="X721" i="2"/>
  <c r="U721" i="2"/>
  <c r="V721" i="2" s="1"/>
  <c r="X729" i="2"/>
  <c r="U729" i="2"/>
  <c r="V729" i="2" s="1"/>
  <c r="X737" i="2"/>
  <c r="U737" i="2"/>
  <c r="V737" i="2" s="1"/>
  <c r="X745" i="2"/>
  <c r="U745" i="2"/>
  <c r="V745" i="2" s="1"/>
  <c r="X753" i="2"/>
  <c r="U753" i="2"/>
  <c r="V753" i="2" s="1"/>
  <c r="X761" i="2"/>
  <c r="U761" i="2"/>
  <c r="V761" i="2" s="1"/>
  <c r="X769" i="2"/>
  <c r="U769" i="2"/>
  <c r="V769" i="2" s="1"/>
  <c r="X777" i="2"/>
  <c r="U777" i="2"/>
  <c r="V777" i="2" s="1"/>
  <c r="X785" i="2"/>
  <c r="U785" i="2"/>
  <c r="V785" i="2" s="1"/>
  <c r="X793" i="2"/>
  <c r="U793" i="2"/>
  <c r="V793" i="2" s="1"/>
  <c r="X801" i="2"/>
  <c r="U801" i="2"/>
  <c r="V801" i="2" s="1"/>
  <c r="X809" i="2"/>
  <c r="U809" i="2"/>
  <c r="V809" i="2" s="1"/>
  <c r="X817" i="2"/>
  <c r="U817" i="2"/>
  <c r="V817" i="2" s="1"/>
  <c r="X825" i="2"/>
  <c r="U825" i="2"/>
  <c r="V825" i="2" s="1"/>
  <c r="X833" i="2"/>
  <c r="U833" i="2"/>
  <c r="V833" i="2" s="1"/>
  <c r="X841" i="2"/>
  <c r="U841" i="2"/>
  <c r="V841" i="2" s="1"/>
  <c r="X849" i="2"/>
  <c r="U849" i="2"/>
  <c r="V849" i="2" s="1"/>
  <c r="X857" i="2"/>
  <c r="U857" i="2"/>
  <c r="V857" i="2" s="1"/>
  <c r="X865" i="2"/>
  <c r="U865" i="2"/>
  <c r="V865" i="2" s="1"/>
  <c r="X873" i="2"/>
  <c r="U873" i="2"/>
  <c r="V873" i="2" s="1"/>
  <c r="X881" i="2"/>
  <c r="U881" i="2"/>
  <c r="V881" i="2" s="1"/>
  <c r="X889" i="2"/>
  <c r="U889" i="2"/>
  <c r="V889" i="2" s="1"/>
  <c r="X897" i="2"/>
  <c r="U897" i="2"/>
  <c r="V897" i="2" s="1"/>
  <c r="X905" i="2"/>
  <c r="U905" i="2"/>
  <c r="V905" i="2" s="1"/>
  <c r="X913" i="2"/>
  <c r="U913" i="2"/>
  <c r="V913" i="2" s="1"/>
  <c r="X921" i="2"/>
  <c r="U921" i="2"/>
  <c r="V921" i="2" s="1"/>
  <c r="X929" i="2"/>
  <c r="U929" i="2"/>
  <c r="V929" i="2" s="1"/>
  <c r="X937" i="2"/>
  <c r="U937" i="2"/>
  <c r="V937" i="2" s="1"/>
  <c r="X945" i="2"/>
  <c r="U945" i="2"/>
  <c r="V945" i="2" s="1"/>
  <c r="X953" i="2"/>
  <c r="U953" i="2"/>
  <c r="V953" i="2" s="1"/>
  <c r="X961" i="2"/>
  <c r="U961" i="2"/>
  <c r="V961" i="2" s="1"/>
  <c r="X969" i="2"/>
  <c r="U969" i="2"/>
  <c r="V969" i="2" s="1"/>
  <c r="X977" i="2"/>
  <c r="U977" i="2"/>
  <c r="V977" i="2" s="1"/>
  <c r="X985" i="2"/>
  <c r="U985" i="2"/>
  <c r="V985" i="2" s="1"/>
  <c r="X993" i="2"/>
  <c r="U993" i="2"/>
  <c r="V993" i="2" s="1"/>
  <c r="X1001" i="2"/>
  <c r="U1001" i="2"/>
  <c r="V1001" i="2" s="1"/>
  <c r="X1009" i="2"/>
  <c r="U1009" i="2"/>
  <c r="V1009" i="2" s="1"/>
  <c r="X1017" i="2"/>
  <c r="U1017" i="2"/>
  <c r="V1017" i="2" s="1"/>
  <c r="X1025" i="2"/>
  <c r="U1025" i="2"/>
  <c r="V1025" i="2" s="1"/>
  <c r="X1033" i="2"/>
  <c r="U1033" i="2"/>
  <c r="V1033" i="2" s="1"/>
  <c r="X1041" i="2"/>
  <c r="U1041" i="2"/>
  <c r="V1041" i="2" s="1"/>
  <c r="X1049" i="2"/>
  <c r="U1049" i="2"/>
  <c r="V1049" i="2" s="1"/>
  <c r="X1057" i="2"/>
  <c r="U1057" i="2"/>
  <c r="V1057" i="2" s="1"/>
  <c r="X1065" i="2"/>
  <c r="U1065" i="2"/>
  <c r="V1065" i="2" s="1"/>
  <c r="X1073" i="2"/>
  <c r="U1073" i="2"/>
  <c r="V1073" i="2" s="1"/>
  <c r="X1081" i="2"/>
  <c r="U1081" i="2"/>
  <c r="V1081" i="2" s="1"/>
  <c r="X1089" i="2"/>
  <c r="U1089" i="2"/>
  <c r="V1089" i="2" s="1"/>
  <c r="X1097" i="2"/>
  <c r="U1097" i="2"/>
  <c r="V1097" i="2" s="1"/>
  <c r="X1105" i="2"/>
  <c r="U1105" i="2"/>
  <c r="V1105" i="2" s="1"/>
  <c r="X1113" i="2"/>
  <c r="U1113" i="2"/>
  <c r="V1113" i="2" s="1"/>
  <c r="X1121" i="2"/>
  <c r="U1121" i="2"/>
  <c r="V1121" i="2" s="1"/>
  <c r="X376" i="2"/>
  <c r="U376" i="2"/>
  <c r="V376" i="2" s="1"/>
  <c r="X405" i="2"/>
  <c r="U405" i="2"/>
  <c r="V405" i="2" s="1"/>
  <c r="X437" i="2"/>
  <c r="U437" i="2"/>
  <c r="V437" i="2" s="1"/>
  <c r="X469" i="2"/>
  <c r="U469" i="2"/>
  <c r="V469" i="2" s="1"/>
  <c r="X520" i="2"/>
  <c r="U520" i="2"/>
  <c r="V520" i="2" s="1"/>
  <c r="X544" i="2"/>
  <c r="U544" i="2"/>
  <c r="V544" i="2" s="1"/>
  <c r="X560" i="2"/>
  <c r="U560" i="2"/>
  <c r="V560" i="2" s="1"/>
  <c r="X594" i="2"/>
  <c r="U594" i="2"/>
  <c r="V594" i="2" s="1"/>
  <c r="X618" i="2"/>
  <c r="U618" i="2"/>
  <c r="V618" i="2" s="1"/>
  <c r="X651" i="2"/>
  <c r="U651" i="2"/>
  <c r="V651" i="2" s="1"/>
  <c r="X675" i="2"/>
  <c r="U675" i="2"/>
  <c r="V675" i="2" s="1"/>
  <c r="X691" i="2"/>
  <c r="U691" i="2"/>
  <c r="V691" i="2" s="1"/>
  <c r="X723" i="2"/>
  <c r="U723" i="2"/>
  <c r="V723" i="2" s="1"/>
  <c r="X747" i="2"/>
  <c r="U747" i="2"/>
  <c r="V747" i="2" s="1"/>
  <c r="X771" i="2"/>
  <c r="U771" i="2"/>
  <c r="V771" i="2" s="1"/>
  <c r="X795" i="2"/>
  <c r="U795" i="2"/>
  <c r="V795" i="2" s="1"/>
  <c r="X819" i="2"/>
  <c r="U819" i="2"/>
  <c r="V819" i="2" s="1"/>
  <c r="X843" i="2"/>
  <c r="U843" i="2"/>
  <c r="V843" i="2" s="1"/>
  <c r="X867" i="2"/>
  <c r="U867" i="2"/>
  <c r="V867" i="2" s="1"/>
  <c r="X891" i="2"/>
  <c r="U891" i="2"/>
  <c r="V891" i="2" s="1"/>
  <c r="X915" i="2"/>
  <c r="U915" i="2"/>
  <c r="V915" i="2" s="1"/>
  <c r="X947" i="2"/>
  <c r="U947" i="2"/>
  <c r="V947" i="2" s="1"/>
  <c r="X1099" i="2"/>
  <c r="U1099" i="2"/>
  <c r="V1099" i="2" s="1"/>
  <c r="X411" i="2"/>
  <c r="U411" i="2"/>
  <c r="V411" i="2" s="1"/>
  <c r="X351" i="2"/>
  <c r="U351" i="2"/>
  <c r="V351" i="2" s="1"/>
  <c r="X359" i="2"/>
  <c r="U359" i="2"/>
  <c r="V359" i="2" s="1"/>
  <c r="X367" i="2"/>
  <c r="U367" i="2"/>
  <c r="V367" i="2" s="1"/>
  <c r="X375" i="2"/>
  <c r="U375" i="2"/>
  <c r="V375" i="2" s="1"/>
  <c r="X396" i="2"/>
  <c r="U396" i="2"/>
  <c r="V396" i="2" s="1"/>
  <c r="X404" i="2"/>
  <c r="U404" i="2"/>
  <c r="V404" i="2" s="1"/>
  <c r="X412" i="2"/>
  <c r="U412" i="2"/>
  <c r="V412" i="2" s="1"/>
  <c r="X420" i="2"/>
  <c r="U420" i="2"/>
  <c r="V420" i="2" s="1"/>
  <c r="X428" i="2"/>
  <c r="U428" i="2"/>
  <c r="V428" i="2" s="1"/>
  <c r="X436" i="2"/>
  <c r="U436" i="2"/>
  <c r="V436" i="2" s="1"/>
  <c r="X444" i="2"/>
  <c r="U444" i="2"/>
  <c r="V444" i="2" s="1"/>
  <c r="X452" i="2"/>
  <c r="U452" i="2"/>
  <c r="V452" i="2" s="1"/>
  <c r="X460" i="2"/>
  <c r="U460" i="2"/>
  <c r="V460" i="2" s="1"/>
  <c r="X468" i="2"/>
  <c r="U468" i="2"/>
  <c r="V468" i="2" s="1"/>
  <c r="X476" i="2"/>
  <c r="U476" i="2"/>
  <c r="V476" i="2" s="1"/>
  <c r="X479" i="2"/>
  <c r="U479" i="2"/>
  <c r="V479" i="2" s="1"/>
  <c r="X487" i="2"/>
  <c r="U487" i="2"/>
  <c r="V487" i="2" s="1"/>
  <c r="X495" i="2"/>
  <c r="U495" i="2"/>
  <c r="V495" i="2" s="1"/>
  <c r="X503" i="2"/>
  <c r="U503" i="2"/>
  <c r="V503" i="2" s="1"/>
  <c r="X511" i="2"/>
  <c r="U511" i="2"/>
  <c r="V511" i="2" s="1"/>
  <c r="X519" i="2"/>
  <c r="U519" i="2"/>
  <c r="V519" i="2" s="1"/>
  <c r="X527" i="2"/>
  <c r="U527" i="2"/>
  <c r="V527" i="2" s="1"/>
  <c r="X535" i="2"/>
  <c r="U535" i="2"/>
  <c r="V535" i="2" s="1"/>
  <c r="X543" i="2"/>
  <c r="U543" i="2"/>
  <c r="V543" i="2" s="1"/>
  <c r="X551" i="2"/>
  <c r="U551" i="2"/>
  <c r="V551" i="2" s="1"/>
  <c r="X559" i="2"/>
  <c r="U559" i="2"/>
  <c r="V559" i="2" s="1"/>
  <c r="X567" i="2"/>
  <c r="U567" i="2"/>
  <c r="V567" i="2" s="1"/>
  <c r="X577" i="2"/>
  <c r="U577" i="2"/>
  <c r="V577" i="2" s="1"/>
  <c r="X585" i="2"/>
  <c r="U585" i="2"/>
  <c r="V585" i="2" s="1"/>
  <c r="X593" i="2"/>
  <c r="U593" i="2"/>
  <c r="V593" i="2" s="1"/>
  <c r="X601" i="2"/>
  <c r="U601" i="2"/>
  <c r="V601" i="2" s="1"/>
  <c r="X609" i="2"/>
  <c r="U609" i="2"/>
  <c r="V609" i="2" s="1"/>
  <c r="X617" i="2"/>
  <c r="U617" i="2"/>
  <c r="V617" i="2" s="1"/>
  <c r="X625" i="2"/>
  <c r="U625" i="2"/>
  <c r="V625" i="2" s="1"/>
  <c r="X634" i="2"/>
  <c r="U634" i="2"/>
  <c r="V634" i="2" s="1"/>
  <c r="X642" i="2"/>
  <c r="U642" i="2"/>
  <c r="V642" i="2" s="1"/>
  <c r="X650" i="2"/>
  <c r="U650" i="2"/>
  <c r="V650" i="2" s="1"/>
  <c r="X658" i="2"/>
  <c r="U658" i="2"/>
  <c r="V658" i="2" s="1"/>
  <c r="X666" i="2"/>
  <c r="U666" i="2"/>
  <c r="V666" i="2" s="1"/>
  <c r="X674" i="2"/>
  <c r="U674" i="2"/>
  <c r="V674" i="2" s="1"/>
  <c r="X682" i="2"/>
  <c r="U682" i="2"/>
  <c r="V682" i="2" s="1"/>
  <c r="X690" i="2"/>
  <c r="U690" i="2"/>
  <c r="V690" i="2" s="1"/>
  <c r="X698" i="2"/>
  <c r="U698" i="2"/>
  <c r="V698" i="2" s="1"/>
  <c r="X706" i="2"/>
  <c r="U706" i="2"/>
  <c r="V706" i="2" s="1"/>
  <c r="X714" i="2"/>
  <c r="U714" i="2"/>
  <c r="V714" i="2" s="1"/>
  <c r="X722" i="2"/>
  <c r="U722" i="2"/>
  <c r="V722" i="2" s="1"/>
  <c r="X730" i="2"/>
  <c r="U730" i="2"/>
  <c r="V730" i="2" s="1"/>
  <c r="X738" i="2"/>
  <c r="U738" i="2"/>
  <c r="V738" i="2" s="1"/>
  <c r="X746" i="2"/>
  <c r="U746" i="2"/>
  <c r="V746" i="2" s="1"/>
  <c r="X754" i="2"/>
  <c r="U754" i="2"/>
  <c r="V754" i="2" s="1"/>
  <c r="X762" i="2"/>
  <c r="U762" i="2"/>
  <c r="V762" i="2" s="1"/>
  <c r="X770" i="2"/>
  <c r="U770" i="2"/>
  <c r="V770" i="2" s="1"/>
  <c r="X778" i="2"/>
  <c r="U778" i="2"/>
  <c r="V778" i="2" s="1"/>
  <c r="X786" i="2"/>
  <c r="U786" i="2"/>
  <c r="V786" i="2" s="1"/>
  <c r="X794" i="2"/>
  <c r="U794" i="2"/>
  <c r="V794" i="2" s="1"/>
  <c r="X802" i="2"/>
  <c r="U802" i="2"/>
  <c r="V802" i="2" s="1"/>
  <c r="X810" i="2"/>
  <c r="U810" i="2"/>
  <c r="V810" i="2" s="1"/>
  <c r="X818" i="2"/>
  <c r="U818" i="2"/>
  <c r="V818" i="2" s="1"/>
  <c r="X826" i="2"/>
  <c r="U826" i="2"/>
  <c r="V826" i="2" s="1"/>
  <c r="X834" i="2"/>
  <c r="U834" i="2"/>
  <c r="V834" i="2" s="1"/>
  <c r="X842" i="2"/>
  <c r="U842" i="2"/>
  <c r="V842" i="2" s="1"/>
  <c r="X850" i="2"/>
  <c r="U850" i="2"/>
  <c r="V850" i="2" s="1"/>
  <c r="X858" i="2"/>
  <c r="U858" i="2"/>
  <c r="V858" i="2" s="1"/>
  <c r="X866" i="2"/>
  <c r="U866" i="2"/>
  <c r="V866" i="2" s="1"/>
  <c r="X874" i="2"/>
  <c r="U874" i="2"/>
  <c r="V874" i="2" s="1"/>
  <c r="X882" i="2"/>
  <c r="U882" i="2"/>
  <c r="V882" i="2" s="1"/>
  <c r="X890" i="2"/>
  <c r="U890" i="2"/>
  <c r="V890" i="2" s="1"/>
  <c r="X898" i="2"/>
  <c r="U898" i="2"/>
  <c r="V898" i="2" s="1"/>
  <c r="X906" i="2"/>
  <c r="U906" i="2"/>
  <c r="V906" i="2" s="1"/>
  <c r="X914" i="2"/>
  <c r="U914" i="2"/>
  <c r="V914" i="2" s="1"/>
  <c r="X922" i="2"/>
  <c r="U922" i="2"/>
  <c r="V922" i="2" s="1"/>
  <c r="X930" i="2"/>
  <c r="U930" i="2"/>
  <c r="V930" i="2" s="1"/>
  <c r="X938" i="2"/>
  <c r="U938" i="2"/>
  <c r="V938" i="2" s="1"/>
  <c r="X946" i="2"/>
  <c r="U946" i="2"/>
  <c r="V946" i="2" s="1"/>
  <c r="X954" i="2"/>
  <c r="U954" i="2"/>
  <c r="V954" i="2" s="1"/>
  <c r="X962" i="2"/>
  <c r="U962" i="2"/>
  <c r="V962" i="2" s="1"/>
  <c r="X970" i="2"/>
  <c r="U970" i="2"/>
  <c r="V970" i="2" s="1"/>
  <c r="X978" i="2"/>
  <c r="U978" i="2"/>
  <c r="V978" i="2" s="1"/>
  <c r="X986" i="2"/>
  <c r="U986" i="2"/>
  <c r="V986" i="2" s="1"/>
  <c r="X994" i="2"/>
  <c r="U994" i="2"/>
  <c r="V994" i="2" s="1"/>
  <c r="X1002" i="2"/>
  <c r="U1002" i="2"/>
  <c r="V1002" i="2" s="1"/>
  <c r="X1010" i="2"/>
  <c r="U1010" i="2"/>
  <c r="V1010" i="2" s="1"/>
  <c r="X1018" i="2"/>
  <c r="U1018" i="2"/>
  <c r="V1018" i="2" s="1"/>
  <c r="X1026" i="2"/>
  <c r="U1026" i="2"/>
  <c r="V1026" i="2" s="1"/>
  <c r="X1034" i="2"/>
  <c r="U1034" i="2"/>
  <c r="V1034" i="2" s="1"/>
  <c r="X1042" i="2"/>
  <c r="U1042" i="2"/>
  <c r="V1042" i="2" s="1"/>
  <c r="X1050" i="2"/>
  <c r="U1050" i="2"/>
  <c r="V1050" i="2" s="1"/>
  <c r="X1058" i="2"/>
  <c r="U1058" i="2"/>
  <c r="V1058" i="2" s="1"/>
  <c r="X1066" i="2"/>
  <c r="U1066" i="2"/>
  <c r="V1066" i="2" s="1"/>
  <c r="X1074" i="2"/>
  <c r="U1074" i="2"/>
  <c r="V1074" i="2" s="1"/>
  <c r="X1082" i="2"/>
  <c r="U1082" i="2"/>
  <c r="V1082" i="2" s="1"/>
  <c r="X1090" i="2"/>
  <c r="U1090" i="2"/>
  <c r="V1090" i="2" s="1"/>
  <c r="X1098" i="2"/>
  <c r="U1098" i="2"/>
  <c r="V1098" i="2" s="1"/>
  <c r="X1106" i="2"/>
  <c r="U1106" i="2"/>
  <c r="V1106" i="2" s="1"/>
  <c r="X1114" i="2"/>
  <c r="U1114" i="2"/>
  <c r="V1114" i="2" s="1"/>
  <c r="X1122" i="2"/>
  <c r="U1122" i="2"/>
  <c r="V1122" i="2" s="1"/>
  <c r="X307" i="2"/>
  <c r="X306" i="2"/>
  <c r="X305" i="2"/>
  <c r="X304" i="2"/>
  <c r="X303" i="2"/>
  <c r="X302" i="2"/>
  <c r="X301" i="2"/>
  <c r="AV3" i="14" l="1"/>
  <c r="AU34" i="14"/>
  <c r="AU32" i="14"/>
  <c r="AU31" i="14"/>
  <c r="AU28" i="14"/>
  <c r="AU22" i="14"/>
  <c r="AU33" i="14"/>
  <c r="AU30" i="14"/>
  <c r="AU26" i="14"/>
  <c r="AU20" i="14"/>
  <c r="AU18" i="14"/>
  <c r="AU16" i="14"/>
  <c r="AU23" i="14"/>
  <c r="AU29" i="14"/>
  <c r="AU27" i="14"/>
  <c r="AU25" i="14"/>
  <c r="AU9" i="14"/>
  <c r="AU21" i="14"/>
  <c r="AU19" i="14"/>
  <c r="AU15" i="14"/>
  <c r="AU7" i="14"/>
  <c r="AU13" i="14"/>
  <c r="AU11" i="14"/>
  <c r="AU17" i="14"/>
  <c r="AU14" i="14"/>
  <c r="AU12" i="14"/>
  <c r="AU10" i="14"/>
  <c r="AU8" i="14"/>
  <c r="AU6" i="14"/>
  <c r="AU4" i="14"/>
  <c r="AU24" i="14"/>
  <c r="AU5" i="14"/>
  <c r="O303" i="2"/>
  <c r="O304" i="2"/>
  <c r="O302" i="2"/>
  <c r="O305" i="2"/>
  <c r="O306" i="2"/>
  <c r="O301" i="2"/>
  <c r="O307" i="2"/>
  <c r="AW3" i="14" l="1"/>
  <c r="AV33" i="14"/>
  <c r="AV31" i="14"/>
  <c r="AV29" i="14"/>
  <c r="AV27" i="14"/>
  <c r="AV25" i="14"/>
  <c r="AV26" i="14"/>
  <c r="AV34" i="14"/>
  <c r="AV30" i="14"/>
  <c r="AV28" i="14"/>
  <c r="AV22" i="14"/>
  <c r="AV20" i="14"/>
  <c r="AV18" i="14"/>
  <c r="AV16" i="14"/>
  <c r="AV23" i="14"/>
  <c r="AV32" i="14"/>
  <c r="AV21" i="14"/>
  <c r="AV24" i="14"/>
  <c r="AV19" i="14"/>
  <c r="AV15" i="14"/>
  <c r="AV13" i="14"/>
  <c r="AV11" i="14"/>
  <c r="AV9" i="14"/>
  <c r="AV7" i="14"/>
  <c r="AV5" i="14"/>
  <c r="AV17" i="14"/>
  <c r="AV14" i="14"/>
  <c r="AV12" i="14"/>
  <c r="AV10" i="14"/>
  <c r="AV8" i="14"/>
  <c r="AV6" i="14"/>
  <c r="AV4" i="14"/>
  <c r="F3" i="2"/>
  <c r="D283" i="2"/>
  <c r="D284" i="2"/>
  <c r="D295" i="2"/>
  <c r="D308" i="2"/>
  <c r="D317" i="2"/>
  <c r="D328" i="2"/>
  <c r="G13" i="2" l="1"/>
  <c r="G5" i="2"/>
  <c r="G12" i="2"/>
  <c r="G4" i="2"/>
  <c r="G11" i="2"/>
  <c r="G18" i="2"/>
  <c r="G10" i="2"/>
  <c r="G17" i="2"/>
  <c r="G9" i="2"/>
  <c r="G16" i="2"/>
  <c r="G8" i="2"/>
  <c r="G15" i="2"/>
  <c r="G7" i="2"/>
  <c r="G14" i="2"/>
  <c r="G6" i="2"/>
  <c r="D333" i="2"/>
  <c r="AX3" i="14"/>
  <c r="AW33" i="14"/>
  <c r="AW31" i="14"/>
  <c r="AW29" i="14"/>
  <c r="AW27" i="14"/>
  <c r="AW26" i="14"/>
  <c r="AW34" i="14"/>
  <c r="AW32" i="14"/>
  <c r="AW28" i="14"/>
  <c r="AW25" i="14"/>
  <c r="AW22" i="14"/>
  <c r="AW23" i="14"/>
  <c r="AW21" i="14"/>
  <c r="AW24" i="14"/>
  <c r="AW13" i="14"/>
  <c r="AW11" i="14"/>
  <c r="AW9" i="14"/>
  <c r="AW7" i="14"/>
  <c r="AW5" i="14"/>
  <c r="AW20" i="14"/>
  <c r="AW16" i="14"/>
  <c r="AW17" i="14"/>
  <c r="AW30" i="14"/>
  <c r="AW14" i="14"/>
  <c r="AW12" i="14"/>
  <c r="AW10" i="14"/>
  <c r="AW8" i="14"/>
  <c r="AW18" i="14"/>
  <c r="AW15" i="14"/>
  <c r="AW6" i="14"/>
  <c r="AW4" i="14"/>
  <c r="AW19" i="14"/>
  <c r="D332" i="2"/>
  <c r="D336" i="2"/>
  <c r="D335" i="2"/>
  <c r="D334" i="2"/>
  <c r="D321" i="2"/>
  <c r="D330" i="2"/>
  <c r="D329" i="2"/>
  <c r="D331" i="2"/>
  <c r="D310" i="2"/>
  <c r="D316" i="2"/>
  <c r="D319" i="2"/>
  <c r="D320" i="2"/>
  <c r="D327" i="2"/>
  <c r="D326" i="2"/>
  <c r="D325" i="2"/>
  <c r="D324" i="2"/>
  <c r="D323" i="2"/>
  <c r="D322" i="2"/>
  <c r="D318" i="2"/>
  <c r="D312" i="2"/>
  <c r="D311" i="2"/>
  <c r="D315" i="2"/>
  <c r="D314" i="2"/>
  <c r="D313" i="2"/>
  <c r="D309" i="2"/>
  <c r="D303" i="2"/>
  <c r="D287" i="2"/>
  <c r="D302" i="2"/>
  <c r="D294" i="2"/>
  <c r="D286" i="2"/>
  <c r="D301" i="2"/>
  <c r="D293" i="2"/>
  <c r="D285" i="2"/>
  <c r="D300" i="2"/>
  <c r="D292" i="2"/>
  <c r="D307" i="2"/>
  <c r="D299" i="2"/>
  <c r="D291" i="2"/>
  <c r="D306" i="2"/>
  <c r="D298" i="2"/>
  <c r="D290" i="2"/>
  <c r="D305" i="2"/>
  <c r="D297" i="2"/>
  <c r="D289" i="2"/>
  <c r="D304" i="2"/>
  <c r="D296" i="2"/>
  <c r="D288" i="2"/>
  <c r="D279" i="2"/>
  <c r="D280" i="2"/>
  <c r="D276" i="2"/>
  <c r="D277" i="2"/>
  <c r="D278" i="2"/>
  <c r="D273" i="2"/>
  <c r="D274" i="2"/>
  <c r="D275"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25" i="2"/>
  <c r="D226" i="2"/>
  <c r="D227" i="2"/>
  <c r="D228" i="2"/>
  <c r="D229" i="2"/>
  <c r="D230" i="2"/>
  <c r="D231" i="2"/>
  <c r="D232" i="2"/>
  <c r="D233" i="2"/>
  <c r="D234" i="2"/>
  <c r="D235" i="2"/>
  <c r="D236" i="2"/>
  <c r="D237" i="2"/>
  <c r="D238"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82" i="2"/>
  <c r="D117" i="2"/>
  <c r="D118" i="2"/>
  <c r="D119" i="2"/>
  <c r="D120" i="2"/>
  <c r="D121" i="2"/>
  <c r="D122" i="2"/>
  <c r="D123" i="2"/>
  <c r="D124" i="2"/>
  <c r="D125" i="2"/>
  <c r="D126" i="2"/>
  <c r="D127" i="2"/>
  <c r="D128" i="2"/>
  <c r="D129" i="2"/>
  <c r="D130" i="2"/>
  <c r="D112" i="2"/>
  <c r="D113" i="2"/>
  <c r="D114" i="2"/>
  <c r="D115" i="2"/>
  <c r="D116" i="2"/>
  <c r="D97" i="2"/>
  <c r="D98" i="2"/>
  <c r="D99" i="2"/>
  <c r="D100" i="2"/>
  <c r="D101" i="2"/>
  <c r="D102" i="2"/>
  <c r="D103" i="2"/>
  <c r="D104" i="2"/>
  <c r="D105" i="2"/>
  <c r="D106" i="2"/>
  <c r="D107" i="2"/>
  <c r="D108" i="2"/>
  <c r="D109" i="2"/>
  <c r="D110" i="2"/>
  <c r="D111"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54" i="2"/>
  <c r="D55" i="2"/>
  <c r="D56" i="2"/>
  <c r="D57" i="2"/>
  <c r="D58" i="2"/>
  <c r="D59" i="2"/>
  <c r="D60" i="2"/>
  <c r="D61" i="2"/>
  <c r="D62" i="2"/>
  <c r="D63" i="2"/>
  <c r="D64" i="2"/>
  <c r="D52" i="2"/>
  <c r="D53" i="2"/>
  <c r="D38" i="2"/>
  <c r="D39" i="2"/>
  <c r="D40" i="2"/>
  <c r="D41" i="2"/>
  <c r="D42" i="2"/>
  <c r="D43" i="2"/>
  <c r="D44" i="2"/>
  <c r="D45" i="2"/>
  <c r="D46" i="2"/>
  <c r="D47" i="2"/>
  <c r="D48" i="2"/>
  <c r="D49" i="2"/>
  <c r="D50" i="2"/>
  <c r="D51" i="2"/>
  <c r="D31" i="2"/>
  <c r="D32" i="2"/>
  <c r="D33" i="2"/>
  <c r="D34" i="2"/>
  <c r="D35" i="2"/>
  <c r="D36" i="2"/>
  <c r="D37" i="2"/>
  <c r="D22" i="2"/>
  <c r="D23" i="2"/>
  <c r="D24" i="2"/>
  <c r="D25" i="2"/>
  <c r="D26" i="2"/>
  <c r="D27" i="2"/>
  <c r="D28" i="2"/>
  <c r="D29" i="2"/>
  <c r="D30" i="2"/>
  <c r="D281" i="2"/>
  <c r="D19" i="2"/>
  <c r="D20" i="2"/>
  <c r="D21" i="2"/>
  <c r="G3" i="2"/>
  <c r="D3" i="2" s="1"/>
  <c r="D4" i="2"/>
  <c r="D5" i="2"/>
  <c r="D6" i="2"/>
  <c r="D7" i="2"/>
  <c r="D8" i="2"/>
  <c r="D9" i="2"/>
  <c r="D10" i="2"/>
  <c r="D11" i="2"/>
  <c r="D12" i="2"/>
  <c r="D13" i="2"/>
  <c r="D14" i="2"/>
  <c r="D15" i="2"/>
  <c r="D16" i="2"/>
  <c r="D17" i="2"/>
  <c r="D18" i="2"/>
  <c r="S3" i="2"/>
  <c r="T3" i="2" s="1"/>
  <c r="W3" i="2" s="1"/>
  <c r="S208" i="2"/>
  <c r="T208" i="2" s="1"/>
  <c r="W208" i="2" s="1"/>
  <c r="S209" i="2"/>
  <c r="T209" i="2" s="1"/>
  <c r="W209" i="2" s="1"/>
  <c r="S210" i="2"/>
  <c r="T210" i="2" s="1"/>
  <c r="W210" i="2" s="1"/>
  <c r="S211" i="2"/>
  <c r="T211" i="2" s="1"/>
  <c r="W211" i="2" s="1"/>
  <c r="S212" i="2"/>
  <c r="T212" i="2" s="1"/>
  <c r="W212" i="2" s="1"/>
  <c r="S213" i="2"/>
  <c r="T213" i="2" s="1"/>
  <c r="W213" i="2" s="1"/>
  <c r="S214" i="2"/>
  <c r="T214" i="2" s="1"/>
  <c r="W214" i="2" s="1"/>
  <c r="S215" i="2"/>
  <c r="T215" i="2" s="1"/>
  <c r="W215" i="2" s="1"/>
  <c r="S216" i="2"/>
  <c r="T216" i="2" s="1"/>
  <c r="W216" i="2" s="1"/>
  <c r="S217" i="2"/>
  <c r="T217" i="2" s="1"/>
  <c r="W217" i="2" s="1"/>
  <c r="S218" i="2"/>
  <c r="T218" i="2" s="1"/>
  <c r="W218" i="2" s="1"/>
  <c r="S219" i="2"/>
  <c r="T219" i="2" s="1"/>
  <c r="W219" i="2" s="1"/>
  <c r="S220" i="2"/>
  <c r="T220" i="2" s="1"/>
  <c r="W220" i="2" s="1"/>
  <c r="S221" i="2"/>
  <c r="T221" i="2" s="1"/>
  <c r="W221" i="2" s="1"/>
  <c r="S222" i="2"/>
  <c r="T222" i="2" s="1"/>
  <c r="W222" i="2" s="1"/>
  <c r="S223" i="2"/>
  <c r="T223" i="2" s="1"/>
  <c r="W223" i="2" s="1"/>
  <c r="S224" i="2"/>
  <c r="T224" i="2" s="1"/>
  <c r="W224" i="2" s="1"/>
  <c r="S225" i="2"/>
  <c r="T225" i="2" s="1"/>
  <c r="W225" i="2" s="1"/>
  <c r="S226" i="2"/>
  <c r="T226" i="2" s="1"/>
  <c r="W226" i="2" s="1"/>
  <c r="S227" i="2"/>
  <c r="T227" i="2" s="1"/>
  <c r="W227" i="2" s="1"/>
  <c r="S228" i="2"/>
  <c r="T228" i="2" s="1"/>
  <c r="W228" i="2" s="1"/>
  <c r="S229" i="2"/>
  <c r="T229" i="2" s="1"/>
  <c r="W229" i="2" s="1"/>
  <c r="S230" i="2"/>
  <c r="T230" i="2" s="1"/>
  <c r="W230" i="2" s="1"/>
  <c r="S231" i="2"/>
  <c r="T231" i="2" s="1"/>
  <c r="W231" i="2" s="1"/>
  <c r="S232" i="2"/>
  <c r="T232" i="2" s="1"/>
  <c r="W232" i="2" s="1"/>
  <c r="S233" i="2"/>
  <c r="T233" i="2" s="1"/>
  <c r="W233" i="2" s="1"/>
  <c r="S234" i="2"/>
  <c r="T234" i="2" s="1"/>
  <c r="W234" i="2" s="1"/>
  <c r="S235" i="2"/>
  <c r="T235" i="2" s="1"/>
  <c r="W235" i="2" s="1"/>
  <c r="S236" i="2"/>
  <c r="T236" i="2" s="1"/>
  <c r="W236" i="2" s="1"/>
  <c r="S237" i="2"/>
  <c r="T237" i="2" s="1"/>
  <c r="W237" i="2" s="1"/>
  <c r="S238" i="2"/>
  <c r="T238" i="2" s="1"/>
  <c r="W238" i="2" s="1"/>
  <c r="S239" i="2"/>
  <c r="T239" i="2" s="1"/>
  <c r="W239" i="2" s="1"/>
  <c r="S240" i="2"/>
  <c r="T240" i="2" s="1"/>
  <c r="W240" i="2" s="1"/>
  <c r="S241" i="2"/>
  <c r="T241" i="2" s="1"/>
  <c r="W241" i="2" s="1"/>
  <c r="S242" i="2"/>
  <c r="T242" i="2" s="1"/>
  <c r="W242" i="2" s="1"/>
  <c r="S243" i="2"/>
  <c r="T243" i="2" s="1"/>
  <c r="W243" i="2" s="1"/>
  <c r="S244" i="2"/>
  <c r="T244" i="2" s="1"/>
  <c r="W244" i="2" s="1"/>
  <c r="S245" i="2"/>
  <c r="T245" i="2" s="1"/>
  <c r="W245" i="2" s="1"/>
  <c r="S246" i="2"/>
  <c r="T246" i="2" s="1"/>
  <c r="W246" i="2" s="1"/>
  <c r="S247" i="2"/>
  <c r="T247" i="2" s="1"/>
  <c r="W247" i="2" s="1"/>
  <c r="S248" i="2"/>
  <c r="T248" i="2" s="1"/>
  <c r="W248" i="2" s="1"/>
  <c r="S249" i="2"/>
  <c r="T249" i="2" s="1"/>
  <c r="W249" i="2" s="1"/>
  <c r="S250" i="2"/>
  <c r="T250" i="2" s="1"/>
  <c r="W250" i="2" s="1"/>
  <c r="S251" i="2"/>
  <c r="T251" i="2" s="1"/>
  <c r="W251" i="2" s="1"/>
  <c r="S252" i="2"/>
  <c r="T252" i="2" s="1"/>
  <c r="W252" i="2" s="1"/>
  <c r="S253" i="2"/>
  <c r="T253" i="2" s="1"/>
  <c r="W253" i="2" s="1"/>
  <c r="S254" i="2"/>
  <c r="T254" i="2" s="1"/>
  <c r="W254" i="2" s="1"/>
  <c r="S255" i="2"/>
  <c r="T255" i="2" s="1"/>
  <c r="W255" i="2" s="1"/>
  <c r="S256" i="2"/>
  <c r="T256" i="2" s="1"/>
  <c r="W256" i="2" s="1"/>
  <c r="S257" i="2"/>
  <c r="T257" i="2" s="1"/>
  <c r="W257" i="2" s="1"/>
  <c r="S258" i="2"/>
  <c r="T258" i="2" s="1"/>
  <c r="W258" i="2" s="1"/>
  <c r="S259" i="2"/>
  <c r="T259" i="2" s="1"/>
  <c r="W259" i="2" s="1"/>
  <c r="S260" i="2"/>
  <c r="T260" i="2" s="1"/>
  <c r="W260" i="2" s="1"/>
  <c r="S261" i="2"/>
  <c r="T261" i="2" s="1"/>
  <c r="W261" i="2" s="1"/>
  <c r="S262" i="2"/>
  <c r="T262" i="2" s="1"/>
  <c r="W262" i="2" s="1"/>
  <c r="S263" i="2"/>
  <c r="T263" i="2" s="1"/>
  <c r="W263" i="2" s="1"/>
  <c r="S264" i="2"/>
  <c r="T264" i="2" s="1"/>
  <c r="W264" i="2" s="1"/>
  <c r="S265" i="2"/>
  <c r="T265" i="2" s="1"/>
  <c r="W265" i="2" s="1"/>
  <c r="S266" i="2"/>
  <c r="T266" i="2" s="1"/>
  <c r="W266" i="2" s="1"/>
  <c r="S267" i="2"/>
  <c r="T267" i="2" s="1"/>
  <c r="W267" i="2" s="1"/>
  <c r="S268" i="2"/>
  <c r="T268" i="2" s="1"/>
  <c r="W268" i="2" s="1"/>
  <c r="S269" i="2"/>
  <c r="T269" i="2" s="1"/>
  <c r="W269" i="2" s="1"/>
  <c r="S270" i="2"/>
  <c r="T270" i="2" s="1"/>
  <c r="W270" i="2" s="1"/>
  <c r="S271" i="2"/>
  <c r="T271" i="2" s="1"/>
  <c r="W271" i="2" s="1"/>
  <c r="S272" i="2"/>
  <c r="T272" i="2" s="1"/>
  <c r="W272" i="2" s="1"/>
  <c r="S273" i="2"/>
  <c r="T273" i="2" s="1"/>
  <c r="W273" i="2" s="1"/>
  <c r="S274" i="2"/>
  <c r="T274" i="2" s="1"/>
  <c r="W274" i="2" s="1"/>
  <c r="S275" i="2"/>
  <c r="T275" i="2" s="1"/>
  <c r="W275" i="2" s="1"/>
  <c r="S276" i="2"/>
  <c r="T276" i="2" s="1"/>
  <c r="W276" i="2" s="1"/>
  <c r="S277" i="2"/>
  <c r="T277" i="2" s="1"/>
  <c r="W277" i="2" s="1"/>
  <c r="S278" i="2"/>
  <c r="T278" i="2" s="1"/>
  <c r="W278" i="2" s="1"/>
  <c r="S279" i="2"/>
  <c r="T279" i="2" s="1"/>
  <c r="W279" i="2" s="1"/>
  <c r="S280" i="2"/>
  <c r="T280" i="2" s="1"/>
  <c r="W280" i="2" s="1"/>
  <c r="S281" i="2"/>
  <c r="T281" i="2" s="1"/>
  <c r="W281" i="2" s="1"/>
  <c r="S283" i="2"/>
  <c r="T283" i="2" s="1"/>
  <c r="W283" i="2" s="1"/>
  <c r="S284" i="2"/>
  <c r="T284" i="2" s="1"/>
  <c r="W284" i="2" s="1"/>
  <c r="S285" i="2"/>
  <c r="T285" i="2" s="1"/>
  <c r="W285" i="2" s="1"/>
  <c r="S286" i="2"/>
  <c r="T286" i="2" s="1"/>
  <c r="W286" i="2" s="1"/>
  <c r="S287" i="2"/>
  <c r="T287" i="2" s="1"/>
  <c r="W287" i="2" s="1"/>
  <c r="S288" i="2"/>
  <c r="T288" i="2" s="1"/>
  <c r="W288" i="2" s="1"/>
  <c r="S289" i="2"/>
  <c r="T289" i="2" s="1"/>
  <c r="W289" i="2" s="1"/>
  <c r="S290" i="2"/>
  <c r="T290" i="2" s="1"/>
  <c r="W290" i="2" s="1"/>
  <c r="S291" i="2"/>
  <c r="T291" i="2" s="1"/>
  <c r="W291" i="2" s="1"/>
  <c r="S292" i="2"/>
  <c r="T292" i="2" s="1"/>
  <c r="W292" i="2" s="1"/>
  <c r="S293" i="2"/>
  <c r="T293" i="2" s="1"/>
  <c r="W293" i="2" s="1"/>
  <c r="S294" i="2"/>
  <c r="T294" i="2" s="1"/>
  <c r="W294" i="2" s="1"/>
  <c r="S295" i="2"/>
  <c r="T295" i="2" s="1"/>
  <c r="W295" i="2" s="1"/>
  <c r="O295" i="2" s="1"/>
  <c r="S296" i="2"/>
  <c r="T296" i="2" s="1"/>
  <c r="W296" i="2" s="1"/>
  <c r="O296" i="2" s="1"/>
  <c r="S297" i="2"/>
  <c r="T297" i="2" s="1"/>
  <c r="W297" i="2" s="1"/>
  <c r="O297" i="2" s="1"/>
  <c r="S298" i="2"/>
  <c r="T298" i="2" s="1"/>
  <c r="W298" i="2" s="1"/>
  <c r="O298" i="2" s="1"/>
  <c r="S299" i="2"/>
  <c r="T299" i="2" s="1"/>
  <c r="W299" i="2" s="1"/>
  <c r="O299" i="2" s="1"/>
  <c r="S300" i="2"/>
  <c r="T300" i="2" s="1"/>
  <c r="W300" i="2" s="1"/>
  <c r="O300" i="2" s="1"/>
  <c r="S316" i="2"/>
  <c r="T316" i="2" s="1"/>
  <c r="W316" i="2" s="1"/>
  <c r="S4" i="2"/>
  <c r="T4" i="2" s="1"/>
  <c r="W4" i="2" s="1"/>
  <c r="O4" i="2" s="1"/>
  <c r="S5" i="2"/>
  <c r="T5" i="2" s="1"/>
  <c r="W5" i="2" s="1"/>
  <c r="O5" i="2" s="1"/>
  <c r="S6" i="2"/>
  <c r="T6" i="2" s="1"/>
  <c r="W6" i="2" s="1"/>
  <c r="O6" i="2" s="1"/>
  <c r="S7" i="2"/>
  <c r="T7" i="2" s="1"/>
  <c r="W7" i="2" s="1"/>
  <c r="O7" i="2" s="1"/>
  <c r="S8" i="2"/>
  <c r="T8" i="2" s="1"/>
  <c r="W8" i="2" s="1"/>
  <c r="O8" i="2" s="1"/>
  <c r="S9" i="2"/>
  <c r="T9" i="2" s="1"/>
  <c r="W9" i="2" s="1"/>
  <c r="O9" i="2" s="1"/>
  <c r="S10" i="2"/>
  <c r="T10" i="2" s="1"/>
  <c r="W10" i="2" s="1"/>
  <c r="O10" i="2" s="1"/>
  <c r="S11" i="2"/>
  <c r="T11" i="2" s="1"/>
  <c r="W11" i="2" s="1"/>
  <c r="O11" i="2" s="1"/>
  <c r="S12" i="2"/>
  <c r="T12" i="2" s="1"/>
  <c r="W12" i="2" s="1"/>
  <c r="O12" i="2" s="1"/>
  <c r="S13" i="2"/>
  <c r="T13" i="2" s="1"/>
  <c r="W13" i="2" s="1"/>
  <c r="O13" i="2" s="1"/>
  <c r="S14" i="2"/>
  <c r="T14" i="2" s="1"/>
  <c r="W14" i="2" s="1"/>
  <c r="O14" i="2" s="1"/>
  <c r="S15" i="2"/>
  <c r="T15" i="2" s="1"/>
  <c r="W15" i="2" s="1"/>
  <c r="O15" i="2" s="1"/>
  <c r="S16" i="2"/>
  <c r="T16" i="2" s="1"/>
  <c r="W16" i="2" s="1"/>
  <c r="O16" i="2" s="1"/>
  <c r="S17" i="2"/>
  <c r="T17" i="2" s="1"/>
  <c r="W17" i="2" s="1"/>
  <c r="O17" i="2" s="1"/>
  <c r="S18" i="2"/>
  <c r="T18" i="2" s="1"/>
  <c r="W18" i="2" s="1"/>
  <c r="O18" i="2" s="1"/>
  <c r="S24" i="2"/>
  <c r="T24" i="2" s="1"/>
  <c r="W24" i="2" s="1"/>
  <c r="O24" i="2" s="1"/>
  <c r="S25" i="2"/>
  <c r="T25" i="2" s="1"/>
  <c r="W25" i="2" s="1"/>
  <c r="O25" i="2" s="1"/>
  <c r="S26" i="2"/>
  <c r="T26" i="2" s="1"/>
  <c r="W26" i="2" s="1"/>
  <c r="O26" i="2" s="1"/>
  <c r="S27" i="2"/>
  <c r="T27" i="2" s="1"/>
  <c r="W27" i="2" s="1"/>
  <c r="O27" i="2" s="1"/>
  <c r="S28" i="2"/>
  <c r="T28" i="2" s="1"/>
  <c r="W28" i="2" s="1"/>
  <c r="O28" i="2" s="1"/>
  <c r="S29" i="2"/>
  <c r="T29" i="2" s="1"/>
  <c r="W29" i="2" s="1"/>
  <c r="O29" i="2" s="1"/>
  <c r="S30" i="2"/>
  <c r="T30" i="2" s="1"/>
  <c r="W30" i="2" s="1"/>
  <c r="O30" i="2" s="1"/>
  <c r="S38" i="2"/>
  <c r="T38" i="2" s="1"/>
  <c r="W38" i="2" s="1"/>
  <c r="O38" i="2" s="1"/>
  <c r="S39" i="2"/>
  <c r="T39" i="2" s="1"/>
  <c r="W39" i="2" s="1"/>
  <c r="O39" i="2" s="1"/>
  <c r="S40" i="2"/>
  <c r="T40" i="2" s="1"/>
  <c r="W40" i="2" s="1"/>
  <c r="O40" i="2" s="1"/>
  <c r="S41" i="2"/>
  <c r="T41" i="2" s="1"/>
  <c r="W41" i="2" s="1"/>
  <c r="O41" i="2" s="1"/>
  <c r="S42" i="2"/>
  <c r="T42" i="2" s="1"/>
  <c r="W42" i="2" s="1"/>
  <c r="O42" i="2" s="1"/>
  <c r="S43" i="2"/>
  <c r="T43" i="2" s="1"/>
  <c r="W43" i="2" s="1"/>
  <c r="O43" i="2" s="1"/>
  <c r="S44" i="2"/>
  <c r="T44" i="2" s="1"/>
  <c r="W44" i="2" s="1"/>
  <c r="O44" i="2" s="1"/>
  <c r="S45" i="2"/>
  <c r="T45" i="2" s="1"/>
  <c r="W45" i="2" s="1"/>
  <c r="O45" i="2" s="1"/>
  <c r="S46" i="2"/>
  <c r="T46" i="2" s="1"/>
  <c r="W46" i="2" s="1"/>
  <c r="O46" i="2" s="1"/>
  <c r="S47" i="2"/>
  <c r="T47" i="2" s="1"/>
  <c r="W47" i="2" s="1"/>
  <c r="O47" i="2" s="1"/>
  <c r="S48" i="2"/>
  <c r="T48" i="2" s="1"/>
  <c r="W48" i="2" s="1"/>
  <c r="O48" i="2" s="1"/>
  <c r="S49" i="2"/>
  <c r="T49" i="2" s="1"/>
  <c r="W49" i="2" s="1"/>
  <c r="O49" i="2" s="1"/>
  <c r="S50" i="2"/>
  <c r="T50" i="2" s="1"/>
  <c r="W50" i="2" s="1"/>
  <c r="O50" i="2" s="1"/>
  <c r="S51" i="2"/>
  <c r="T51" i="2" s="1"/>
  <c r="W51" i="2" s="1"/>
  <c r="O51" i="2" s="1"/>
  <c r="S54" i="2"/>
  <c r="T54" i="2" s="1"/>
  <c r="W54" i="2" s="1"/>
  <c r="O54" i="2" s="1"/>
  <c r="S55" i="2"/>
  <c r="T55" i="2" s="1"/>
  <c r="W55" i="2" s="1"/>
  <c r="O55" i="2" s="1"/>
  <c r="S56" i="2"/>
  <c r="T56" i="2" s="1"/>
  <c r="W56" i="2" s="1"/>
  <c r="O56" i="2" s="1"/>
  <c r="S57" i="2"/>
  <c r="T57" i="2" s="1"/>
  <c r="W57" i="2" s="1"/>
  <c r="O57" i="2" s="1"/>
  <c r="S58" i="2"/>
  <c r="T58" i="2" s="1"/>
  <c r="W58" i="2" s="1"/>
  <c r="O58" i="2" s="1"/>
  <c r="S59" i="2"/>
  <c r="T59" i="2" s="1"/>
  <c r="W59" i="2" s="1"/>
  <c r="O59" i="2" s="1"/>
  <c r="S60" i="2"/>
  <c r="T60" i="2" s="1"/>
  <c r="W60" i="2" s="1"/>
  <c r="O60" i="2" s="1"/>
  <c r="S61" i="2"/>
  <c r="T61" i="2" s="1"/>
  <c r="W61" i="2" s="1"/>
  <c r="O61" i="2" s="1"/>
  <c r="S62" i="2"/>
  <c r="T62" i="2" s="1"/>
  <c r="W62" i="2" s="1"/>
  <c r="O62" i="2" s="1"/>
  <c r="S63" i="2"/>
  <c r="T63" i="2" s="1"/>
  <c r="W63" i="2" s="1"/>
  <c r="O63" i="2" s="1"/>
  <c r="S64" i="2"/>
  <c r="T64" i="2" s="1"/>
  <c r="W64" i="2" s="1"/>
  <c r="O64" i="2" s="1"/>
  <c r="S65" i="2"/>
  <c r="T65" i="2" s="1"/>
  <c r="W65" i="2" s="1"/>
  <c r="S66" i="2"/>
  <c r="T66" i="2" s="1"/>
  <c r="W66" i="2" s="1"/>
  <c r="S67" i="2"/>
  <c r="T67" i="2" s="1"/>
  <c r="W67" i="2" s="1"/>
  <c r="S68" i="2"/>
  <c r="T68" i="2" s="1"/>
  <c r="W68" i="2" s="1"/>
  <c r="S69" i="2"/>
  <c r="T69" i="2" s="1"/>
  <c r="W69" i="2" s="1"/>
  <c r="S70" i="2"/>
  <c r="T70" i="2" s="1"/>
  <c r="W70" i="2" s="1"/>
  <c r="S71" i="2"/>
  <c r="T71" i="2" s="1"/>
  <c r="W71" i="2" s="1"/>
  <c r="S72" i="2"/>
  <c r="T72" i="2" s="1"/>
  <c r="W72" i="2" s="1"/>
  <c r="S73" i="2"/>
  <c r="T73" i="2" s="1"/>
  <c r="W73" i="2" s="1"/>
  <c r="S74" i="2"/>
  <c r="T74" i="2" s="1"/>
  <c r="W74" i="2" s="1"/>
  <c r="S75" i="2"/>
  <c r="T75" i="2" s="1"/>
  <c r="W75" i="2" s="1"/>
  <c r="S76" i="2"/>
  <c r="T76" i="2" s="1"/>
  <c r="W76" i="2" s="1"/>
  <c r="S77" i="2"/>
  <c r="T77" i="2" s="1"/>
  <c r="W77" i="2" s="1"/>
  <c r="S78" i="2"/>
  <c r="T78" i="2" s="1"/>
  <c r="W78" i="2" s="1"/>
  <c r="S79" i="2"/>
  <c r="T79" i="2" s="1"/>
  <c r="W79" i="2" s="1"/>
  <c r="S80" i="2"/>
  <c r="T80" i="2" s="1"/>
  <c r="W80" i="2" s="1"/>
  <c r="S81" i="2"/>
  <c r="T81" i="2" s="1"/>
  <c r="W81" i="2" s="1"/>
  <c r="S82" i="2"/>
  <c r="T82" i="2" s="1"/>
  <c r="W82" i="2" s="1"/>
  <c r="S83" i="2"/>
  <c r="T83" i="2" s="1"/>
  <c r="W83" i="2" s="1"/>
  <c r="S84" i="2"/>
  <c r="T84" i="2" s="1"/>
  <c r="W84" i="2" s="1"/>
  <c r="S85" i="2"/>
  <c r="T85" i="2" s="1"/>
  <c r="W85" i="2" s="1"/>
  <c r="S86" i="2"/>
  <c r="T86" i="2" s="1"/>
  <c r="W86" i="2" s="1"/>
  <c r="S87" i="2"/>
  <c r="T87" i="2" s="1"/>
  <c r="W87" i="2" s="1"/>
  <c r="S88" i="2"/>
  <c r="T88" i="2" s="1"/>
  <c r="W88" i="2" s="1"/>
  <c r="S89" i="2"/>
  <c r="T89" i="2" s="1"/>
  <c r="W89" i="2" s="1"/>
  <c r="S90" i="2"/>
  <c r="T90" i="2" s="1"/>
  <c r="W90" i="2" s="1"/>
  <c r="S91" i="2"/>
  <c r="T91" i="2" s="1"/>
  <c r="W91" i="2" s="1"/>
  <c r="S92" i="2"/>
  <c r="T92" i="2" s="1"/>
  <c r="W92" i="2" s="1"/>
  <c r="S93" i="2"/>
  <c r="T93" i="2" s="1"/>
  <c r="W93" i="2" s="1"/>
  <c r="S94" i="2"/>
  <c r="T94" i="2" s="1"/>
  <c r="W94" i="2" s="1"/>
  <c r="S95" i="2"/>
  <c r="T95" i="2" s="1"/>
  <c r="W95" i="2" s="1"/>
  <c r="S96" i="2"/>
  <c r="T96" i="2" s="1"/>
  <c r="W96" i="2" s="1"/>
  <c r="S97" i="2"/>
  <c r="T97" i="2" s="1"/>
  <c r="W97" i="2" s="1"/>
  <c r="S98" i="2"/>
  <c r="T98" i="2" s="1"/>
  <c r="W98" i="2" s="1"/>
  <c r="S99" i="2"/>
  <c r="T99" i="2" s="1"/>
  <c r="W99" i="2" s="1"/>
  <c r="S100" i="2"/>
  <c r="T100" i="2" s="1"/>
  <c r="W100" i="2" s="1"/>
  <c r="S101" i="2"/>
  <c r="T101" i="2" s="1"/>
  <c r="W101" i="2" s="1"/>
  <c r="S102" i="2"/>
  <c r="T102" i="2" s="1"/>
  <c r="W102" i="2" s="1"/>
  <c r="S103" i="2"/>
  <c r="T103" i="2" s="1"/>
  <c r="W103" i="2" s="1"/>
  <c r="S104" i="2"/>
  <c r="T104" i="2" s="1"/>
  <c r="W104" i="2" s="1"/>
  <c r="S105" i="2"/>
  <c r="T105" i="2" s="1"/>
  <c r="W105" i="2" s="1"/>
  <c r="S106" i="2"/>
  <c r="T106" i="2" s="1"/>
  <c r="W106" i="2" s="1"/>
  <c r="S107" i="2"/>
  <c r="T107" i="2" s="1"/>
  <c r="W107" i="2" s="1"/>
  <c r="S108" i="2"/>
  <c r="T108" i="2" s="1"/>
  <c r="W108" i="2" s="1"/>
  <c r="S109" i="2"/>
  <c r="T109" i="2" s="1"/>
  <c r="W109" i="2" s="1"/>
  <c r="S110" i="2"/>
  <c r="T110" i="2" s="1"/>
  <c r="W110" i="2" s="1"/>
  <c r="S111" i="2"/>
  <c r="T111" i="2" s="1"/>
  <c r="W111" i="2" s="1"/>
  <c r="S112" i="2"/>
  <c r="T112" i="2" s="1"/>
  <c r="W112" i="2" s="1"/>
  <c r="S113" i="2"/>
  <c r="T113" i="2" s="1"/>
  <c r="W113" i="2" s="1"/>
  <c r="S114" i="2"/>
  <c r="T114" i="2" s="1"/>
  <c r="W114" i="2" s="1"/>
  <c r="S115" i="2"/>
  <c r="T115" i="2" s="1"/>
  <c r="W115" i="2" s="1"/>
  <c r="S116" i="2"/>
  <c r="T116" i="2" s="1"/>
  <c r="W116" i="2" s="1"/>
  <c r="S117" i="2"/>
  <c r="T117" i="2" s="1"/>
  <c r="W117" i="2" s="1"/>
  <c r="S118" i="2"/>
  <c r="T118" i="2" s="1"/>
  <c r="W118" i="2" s="1"/>
  <c r="S119" i="2"/>
  <c r="T119" i="2" s="1"/>
  <c r="W119" i="2" s="1"/>
  <c r="S120" i="2"/>
  <c r="T120" i="2" s="1"/>
  <c r="W120" i="2" s="1"/>
  <c r="S121" i="2"/>
  <c r="T121" i="2" s="1"/>
  <c r="W121" i="2" s="1"/>
  <c r="S122" i="2"/>
  <c r="T122" i="2" s="1"/>
  <c r="W122" i="2" s="1"/>
  <c r="S123" i="2"/>
  <c r="T123" i="2" s="1"/>
  <c r="W123" i="2" s="1"/>
  <c r="S124" i="2"/>
  <c r="T124" i="2" s="1"/>
  <c r="W124" i="2" s="1"/>
  <c r="S125" i="2"/>
  <c r="T125" i="2" s="1"/>
  <c r="W125" i="2" s="1"/>
  <c r="S126" i="2"/>
  <c r="T126" i="2" s="1"/>
  <c r="W126" i="2" s="1"/>
  <c r="S127" i="2"/>
  <c r="T127" i="2" s="1"/>
  <c r="W127" i="2" s="1"/>
  <c r="S128" i="2"/>
  <c r="T128" i="2" s="1"/>
  <c r="W128" i="2" s="1"/>
  <c r="S129" i="2"/>
  <c r="T129" i="2" s="1"/>
  <c r="W129" i="2" s="1"/>
  <c r="S130" i="2"/>
  <c r="T130" i="2" s="1"/>
  <c r="W130" i="2" s="1"/>
  <c r="S131" i="2"/>
  <c r="T131" i="2" s="1"/>
  <c r="W131" i="2" s="1"/>
  <c r="S132" i="2"/>
  <c r="T132" i="2" s="1"/>
  <c r="W132" i="2" s="1"/>
  <c r="S133" i="2"/>
  <c r="T133" i="2" s="1"/>
  <c r="W133" i="2" s="1"/>
  <c r="S134" i="2"/>
  <c r="T134" i="2" s="1"/>
  <c r="W134" i="2" s="1"/>
  <c r="S135" i="2"/>
  <c r="T135" i="2" s="1"/>
  <c r="W135" i="2" s="1"/>
  <c r="S136" i="2"/>
  <c r="T136" i="2" s="1"/>
  <c r="W136" i="2" s="1"/>
  <c r="S137" i="2"/>
  <c r="T137" i="2" s="1"/>
  <c r="W137" i="2" s="1"/>
  <c r="S138" i="2"/>
  <c r="T138" i="2" s="1"/>
  <c r="W138" i="2" s="1"/>
  <c r="S139" i="2"/>
  <c r="T139" i="2" s="1"/>
  <c r="W139" i="2" s="1"/>
  <c r="S140" i="2"/>
  <c r="T140" i="2" s="1"/>
  <c r="W140" i="2" s="1"/>
  <c r="S141" i="2"/>
  <c r="T141" i="2" s="1"/>
  <c r="W141" i="2" s="1"/>
  <c r="S142" i="2"/>
  <c r="T142" i="2" s="1"/>
  <c r="W142" i="2" s="1"/>
  <c r="S143" i="2"/>
  <c r="T143" i="2" s="1"/>
  <c r="W143" i="2" s="1"/>
  <c r="S144" i="2"/>
  <c r="T144" i="2" s="1"/>
  <c r="W144" i="2" s="1"/>
  <c r="S145" i="2"/>
  <c r="T145" i="2" s="1"/>
  <c r="W145" i="2" s="1"/>
  <c r="S146" i="2"/>
  <c r="T146" i="2" s="1"/>
  <c r="W146" i="2" s="1"/>
  <c r="S147" i="2"/>
  <c r="T147" i="2" s="1"/>
  <c r="W147" i="2" s="1"/>
  <c r="S148" i="2"/>
  <c r="T148" i="2" s="1"/>
  <c r="W148" i="2" s="1"/>
  <c r="S149" i="2"/>
  <c r="T149" i="2" s="1"/>
  <c r="W149" i="2" s="1"/>
  <c r="S150" i="2"/>
  <c r="T150" i="2" s="1"/>
  <c r="W150" i="2" s="1"/>
  <c r="S151" i="2"/>
  <c r="T151" i="2" s="1"/>
  <c r="W151" i="2" s="1"/>
  <c r="S152" i="2"/>
  <c r="T152" i="2" s="1"/>
  <c r="W152" i="2" s="1"/>
  <c r="S153" i="2"/>
  <c r="T153" i="2" s="1"/>
  <c r="W153" i="2" s="1"/>
  <c r="S154" i="2"/>
  <c r="T154" i="2" s="1"/>
  <c r="W154" i="2" s="1"/>
  <c r="S155" i="2"/>
  <c r="T155" i="2" s="1"/>
  <c r="W155" i="2" s="1"/>
  <c r="S156" i="2"/>
  <c r="T156" i="2" s="1"/>
  <c r="W156" i="2" s="1"/>
  <c r="S157" i="2"/>
  <c r="T157" i="2" s="1"/>
  <c r="W157" i="2" s="1"/>
  <c r="S158" i="2"/>
  <c r="T158" i="2" s="1"/>
  <c r="W158" i="2" s="1"/>
  <c r="S159" i="2"/>
  <c r="T159" i="2" s="1"/>
  <c r="W159" i="2" s="1"/>
  <c r="S160" i="2"/>
  <c r="T160" i="2" s="1"/>
  <c r="W160" i="2" s="1"/>
  <c r="S161" i="2"/>
  <c r="T161" i="2" s="1"/>
  <c r="W161" i="2" s="1"/>
  <c r="S162" i="2"/>
  <c r="T162" i="2" s="1"/>
  <c r="W162" i="2" s="1"/>
  <c r="S163" i="2"/>
  <c r="T163" i="2" s="1"/>
  <c r="W163" i="2" s="1"/>
  <c r="S164" i="2"/>
  <c r="T164" i="2" s="1"/>
  <c r="W164" i="2" s="1"/>
  <c r="S165" i="2"/>
  <c r="T165" i="2" s="1"/>
  <c r="W165" i="2" s="1"/>
  <c r="S166" i="2"/>
  <c r="T166" i="2" s="1"/>
  <c r="W166" i="2" s="1"/>
  <c r="S167" i="2"/>
  <c r="T167" i="2" s="1"/>
  <c r="W167" i="2" s="1"/>
  <c r="S168" i="2"/>
  <c r="T168" i="2" s="1"/>
  <c r="W168" i="2" s="1"/>
  <c r="S169" i="2"/>
  <c r="T169" i="2" s="1"/>
  <c r="W169" i="2" s="1"/>
  <c r="S170" i="2"/>
  <c r="T170" i="2" s="1"/>
  <c r="W170" i="2" s="1"/>
  <c r="S171" i="2"/>
  <c r="T171" i="2" s="1"/>
  <c r="W171" i="2" s="1"/>
  <c r="S172" i="2"/>
  <c r="T172" i="2" s="1"/>
  <c r="W172" i="2" s="1"/>
  <c r="S173" i="2"/>
  <c r="T173" i="2" s="1"/>
  <c r="W173" i="2" s="1"/>
  <c r="S174" i="2"/>
  <c r="T174" i="2" s="1"/>
  <c r="W174" i="2" s="1"/>
  <c r="S175" i="2"/>
  <c r="T175" i="2" s="1"/>
  <c r="W175" i="2" s="1"/>
  <c r="S176" i="2"/>
  <c r="T176" i="2" s="1"/>
  <c r="W176" i="2" s="1"/>
  <c r="S177" i="2"/>
  <c r="T177" i="2" s="1"/>
  <c r="W177" i="2" s="1"/>
  <c r="S178" i="2"/>
  <c r="T178" i="2" s="1"/>
  <c r="W178" i="2" s="1"/>
  <c r="S179" i="2"/>
  <c r="T179" i="2" s="1"/>
  <c r="W179" i="2" s="1"/>
  <c r="S180" i="2"/>
  <c r="T180" i="2" s="1"/>
  <c r="W180" i="2" s="1"/>
  <c r="S181" i="2"/>
  <c r="T181" i="2" s="1"/>
  <c r="W181" i="2" s="1"/>
  <c r="S182" i="2"/>
  <c r="T182" i="2" s="1"/>
  <c r="W182" i="2" s="1"/>
  <c r="S183" i="2"/>
  <c r="T183" i="2" s="1"/>
  <c r="W183" i="2" s="1"/>
  <c r="S184" i="2"/>
  <c r="T184" i="2" s="1"/>
  <c r="W184" i="2" s="1"/>
  <c r="S185" i="2"/>
  <c r="T185" i="2" s="1"/>
  <c r="W185" i="2" s="1"/>
  <c r="S186" i="2"/>
  <c r="T186" i="2" s="1"/>
  <c r="W186" i="2" s="1"/>
  <c r="S187" i="2"/>
  <c r="T187" i="2" s="1"/>
  <c r="W187" i="2" s="1"/>
  <c r="S188" i="2"/>
  <c r="T188" i="2" s="1"/>
  <c r="W188" i="2" s="1"/>
  <c r="S189" i="2"/>
  <c r="T189" i="2" s="1"/>
  <c r="W189" i="2" s="1"/>
  <c r="S190" i="2"/>
  <c r="T190" i="2" s="1"/>
  <c r="W190" i="2" s="1"/>
  <c r="S191" i="2"/>
  <c r="T191" i="2" s="1"/>
  <c r="W191" i="2" s="1"/>
  <c r="S192" i="2"/>
  <c r="T192" i="2" s="1"/>
  <c r="W192" i="2" s="1"/>
  <c r="S193" i="2"/>
  <c r="T193" i="2" s="1"/>
  <c r="W193" i="2" s="1"/>
  <c r="S194" i="2"/>
  <c r="T194" i="2" s="1"/>
  <c r="W194" i="2" s="1"/>
  <c r="S195" i="2"/>
  <c r="T195" i="2" s="1"/>
  <c r="W195" i="2" s="1"/>
  <c r="S196" i="2"/>
  <c r="T196" i="2" s="1"/>
  <c r="W196" i="2" s="1"/>
  <c r="S197" i="2"/>
  <c r="T197" i="2" s="1"/>
  <c r="W197" i="2" s="1"/>
  <c r="S198" i="2"/>
  <c r="T198" i="2" s="1"/>
  <c r="W198" i="2" s="1"/>
  <c r="S199" i="2"/>
  <c r="T199" i="2" s="1"/>
  <c r="W199" i="2" s="1"/>
  <c r="S200" i="2"/>
  <c r="T200" i="2" s="1"/>
  <c r="W200" i="2" s="1"/>
  <c r="S201" i="2"/>
  <c r="T201" i="2" s="1"/>
  <c r="W201" i="2" s="1"/>
  <c r="S202" i="2"/>
  <c r="T202" i="2" s="1"/>
  <c r="W202" i="2" s="1"/>
  <c r="S203" i="2"/>
  <c r="T203" i="2" s="1"/>
  <c r="W203" i="2" s="1"/>
  <c r="S204" i="2"/>
  <c r="T204" i="2" s="1"/>
  <c r="W204" i="2" s="1"/>
  <c r="S205" i="2"/>
  <c r="T205" i="2" s="1"/>
  <c r="W205" i="2" s="1"/>
  <c r="S206" i="2"/>
  <c r="T206" i="2" s="1"/>
  <c r="W206" i="2" s="1"/>
  <c r="S207" i="2"/>
  <c r="T207" i="2" s="1"/>
  <c r="W207" i="2" s="1"/>
  <c r="N48" i="13" l="1"/>
  <c r="L47" i="13"/>
  <c r="L48" i="13"/>
  <c r="N49" i="13"/>
  <c r="H48" i="13"/>
  <c r="L49" i="13"/>
  <c r="G48" i="13"/>
  <c r="N46" i="13"/>
  <c r="F48" i="13"/>
  <c r="L46" i="13"/>
  <c r="H46" i="13"/>
  <c r="G44" i="13"/>
  <c r="N47" i="13"/>
  <c r="G46" i="13"/>
  <c r="F46" i="13"/>
  <c r="L40" i="13"/>
  <c r="L188" i="13"/>
  <c r="L38" i="13"/>
  <c r="N181" i="13"/>
  <c r="N164" i="13"/>
  <c r="N32" i="13"/>
  <c r="L163" i="13"/>
  <c r="D103" i="20"/>
  <c r="L202" i="13"/>
  <c r="N154" i="13"/>
  <c r="N15" i="13"/>
  <c r="D87" i="20"/>
  <c r="N163" i="13"/>
  <c r="N6" i="13"/>
  <c r="N201" i="13"/>
  <c r="L183" i="13"/>
  <c r="L32" i="13"/>
  <c r="L197" i="13"/>
  <c r="N151" i="13"/>
  <c r="N20" i="13"/>
  <c r="H39" i="13"/>
  <c r="L180" i="13"/>
  <c r="L27" i="13"/>
  <c r="L28" i="13"/>
  <c r="N173" i="13"/>
  <c r="N156" i="13"/>
  <c r="N24" i="13"/>
  <c r="L155" i="13"/>
  <c r="N190" i="13"/>
  <c r="L194" i="13"/>
  <c r="L50" i="13"/>
  <c r="L201" i="13"/>
  <c r="N198" i="13"/>
  <c r="N178" i="13"/>
  <c r="L200" i="13"/>
  <c r="L13" i="13"/>
  <c r="D79" i="20"/>
  <c r="L175" i="13"/>
  <c r="L23" i="13"/>
  <c r="N4" i="13"/>
  <c r="H21" i="13"/>
  <c r="H5" i="13"/>
  <c r="L11" i="13"/>
  <c r="N3" i="13"/>
  <c r="N16" i="13"/>
  <c r="N14" i="13"/>
  <c r="H12" i="13"/>
  <c r="L12" i="13"/>
  <c r="N5" i="13"/>
  <c r="N18" i="13"/>
  <c r="L10" i="13"/>
  <c r="H19" i="13"/>
  <c r="H11" i="13"/>
  <c r="H3" i="13"/>
  <c r="L14" i="13"/>
  <c r="N7" i="13"/>
  <c r="N19" i="13"/>
  <c r="D2" i="20"/>
  <c r="H18" i="13"/>
  <c r="H10" i="13"/>
  <c r="L3" i="13"/>
  <c r="L16" i="13"/>
  <c r="N9" i="13"/>
  <c r="N21" i="13"/>
  <c r="D5" i="20"/>
  <c r="H9" i="13"/>
  <c r="L5" i="13"/>
  <c r="L18" i="13"/>
  <c r="N10" i="13"/>
  <c r="C2" i="20"/>
  <c r="H16" i="13"/>
  <c r="L7" i="13"/>
  <c r="L19" i="13"/>
  <c r="N11" i="13"/>
  <c r="C5" i="20"/>
  <c r="H7" i="13"/>
  <c r="L9" i="13"/>
  <c r="L21" i="13"/>
  <c r="N12" i="13"/>
  <c r="H14" i="13"/>
  <c r="C7" i="20"/>
  <c r="C71" i="20"/>
  <c r="D28" i="20"/>
  <c r="D92" i="20"/>
  <c r="H166" i="13"/>
  <c r="H34" i="13"/>
  <c r="C32" i="20"/>
  <c r="C96" i="20"/>
  <c r="D53" i="20"/>
  <c r="H189" i="13"/>
  <c r="C33" i="20"/>
  <c r="C97" i="20"/>
  <c r="D54" i="20"/>
  <c r="D6" i="20"/>
  <c r="C66" i="20"/>
  <c r="D23" i="20"/>
  <c r="C35" i="20"/>
  <c r="C99" i="20"/>
  <c r="D56" i="20"/>
  <c r="C3" i="20"/>
  <c r="H202" i="13"/>
  <c r="C36" i="20"/>
  <c r="C100" i="20"/>
  <c r="D57" i="20"/>
  <c r="C4" i="20"/>
  <c r="H193" i="13"/>
  <c r="C45" i="20"/>
  <c r="C109" i="20"/>
  <c r="D66" i="20"/>
  <c r="H184" i="13"/>
  <c r="C14" i="20"/>
  <c r="C78" i="20"/>
  <c r="D35" i="20"/>
  <c r="D99" i="20"/>
  <c r="H159" i="13"/>
  <c r="H180" i="13"/>
  <c r="L41" i="13"/>
  <c r="L190" i="13"/>
  <c r="N191" i="13"/>
  <c r="N179" i="13"/>
  <c r="D71" i="20"/>
  <c r="L159" i="13"/>
  <c r="N36" i="13"/>
  <c r="N168" i="13"/>
  <c r="N177" i="13"/>
  <c r="C15" i="20"/>
  <c r="C79" i="20"/>
  <c r="D36" i="20"/>
  <c r="D100" i="20"/>
  <c r="H158" i="13"/>
  <c r="L8" i="13"/>
  <c r="C40" i="20"/>
  <c r="C104" i="20"/>
  <c r="D61" i="20"/>
  <c r="H181" i="13"/>
  <c r="C41" i="20"/>
  <c r="C105" i="20"/>
  <c r="D62" i="20"/>
  <c r="C10" i="20"/>
  <c r="C74" i="20"/>
  <c r="D31" i="20"/>
  <c r="C43" i="20"/>
  <c r="C107" i="20"/>
  <c r="D64" i="20"/>
  <c r="H194" i="13"/>
  <c r="C44" i="20"/>
  <c r="C108" i="20"/>
  <c r="D65" i="20"/>
  <c r="H185" i="13"/>
  <c r="C53" i="20"/>
  <c r="D10" i="20"/>
  <c r="D74" i="20"/>
  <c r="H176" i="13"/>
  <c r="H44" i="13"/>
  <c r="C22" i="20"/>
  <c r="C86" i="20"/>
  <c r="D43" i="20"/>
  <c r="D107" i="20"/>
  <c r="H151" i="13"/>
  <c r="H148" i="13"/>
  <c r="L198" i="13"/>
  <c r="N199" i="13"/>
  <c r="H32" i="13"/>
  <c r="L167" i="13"/>
  <c r="N44" i="13"/>
  <c r="C23" i="20"/>
  <c r="C87" i="20"/>
  <c r="D44" i="20"/>
  <c r="D108" i="20"/>
  <c r="H150" i="13"/>
  <c r="C48" i="20"/>
  <c r="C112" i="20"/>
  <c r="D69" i="20"/>
  <c r="H173" i="13"/>
  <c r="H41" i="13"/>
  <c r="C49" i="20"/>
  <c r="C113" i="20"/>
  <c r="D70" i="20"/>
  <c r="C18" i="20"/>
  <c r="C82" i="20"/>
  <c r="D39" i="20"/>
  <c r="C51" i="20"/>
  <c r="D8" i="20"/>
  <c r="D72" i="20"/>
  <c r="H186" i="13"/>
  <c r="C52" i="20"/>
  <c r="D9" i="20"/>
  <c r="D73" i="20"/>
  <c r="H177" i="13"/>
  <c r="C61" i="20"/>
  <c r="D18" i="20"/>
  <c r="D82" i="20"/>
  <c r="H168" i="13"/>
  <c r="H36" i="13"/>
  <c r="C30" i="20"/>
  <c r="C94" i="20"/>
  <c r="D51" i="20"/>
  <c r="D3" i="20"/>
  <c r="C31" i="20"/>
  <c r="C95" i="20"/>
  <c r="D52" i="20"/>
  <c r="D4" i="20"/>
  <c r="L31" i="13"/>
  <c r="C56" i="20"/>
  <c r="D13" i="20"/>
  <c r="D77" i="20"/>
  <c r="H165" i="13"/>
  <c r="H33" i="13"/>
  <c r="C57" i="20"/>
  <c r="D14" i="20"/>
  <c r="D78" i="20"/>
  <c r="C26" i="20"/>
  <c r="C90" i="20"/>
  <c r="D47" i="20"/>
  <c r="C59" i="20"/>
  <c r="D16" i="20"/>
  <c r="D80" i="20"/>
  <c r="H178" i="13"/>
  <c r="H50" i="13"/>
  <c r="C60" i="20"/>
  <c r="D17" i="20"/>
  <c r="D81" i="20"/>
  <c r="H169" i="13"/>
  <c r="H37" i="13"/>
  <c r="C69" i="20"/>
  <c r="D26" i="20"/>
  <c r="D90" i="20"/>
  <c r="H160" i="13"/>
  <c r="L6" i="13"/>
  <c r="C38" i="20"/>
  <c r="C102" i="20"/>
  <c r="D59" i="20"/>
  <c r="C6" i="20"/>
  <c r="H199" i="13"/>
  <c r="D63" i="20"/>
  <c r="C39" i="20"/>
  <c r="C103" i="20"/>
  <c r="D60" i="20"/>
  <c r="H198" i="13"/>
  <c r="L39" i="13"/>
  <c r="C64" i="20"/>
  <c r="D21" i="20"/>
  <c r="D85" i="20"/>
  <c r="H157" i="13"/>
  <c r="L17" i="13"/>
  <c r="C65" i="20"/>
  <c r="D22" i="20"/>
  <c r="D86" i="20"/>
  <c r="C34" i="20"/>
  <c r="C98" i="20"/>
  <c r="D55" i="20"/>
  <c r="C67" i="20"/>
  <c r="D24" i="20"/>
  <c r="D88" i="20"/>
  <c r="H170" i="13"/>
  <c r="H38" i="13"/>
  <c r="C68" i="20"/>
  <c r="D25" i="20"/>
  <c r="D89" i="20"/>
  <c r="H161" i="13"/>
  <c r="C13" i="20"/>
  <c r="C77" i="20"/>
  <c r="D34" i="20"/>
  <c r="D98" i="20"/>
  <c r="H152" i="13"/>
  <c r="L22" i="13"/>
  <c r="C46" i="20"/>
  <c r="C110" i="20"/>
  <c r="D67" i="20"/>
  <c r="H191" i="13"/>
  <c r="C47" i="20"/>
  <c r="C111" i="20"/>
  <c r="D68" i="20"/>
  <c r="H190" i="13"/>
  <c r="L51" i="13"/>
  <c r="C8" i="20"/>
  <c r="C72" i="20"/>
  <c r="D29" i="20"/>
  <c r="D93" i="20"/>
  <c r="H149" i="13"/>
  <c r="C9" i="20"/>
  <c r="C73" i="20"/>
  <c r="D30" i="20"/>
  <c r="D94" i="20"/>
  <c r="C42" i="20"/>
  <c r="C106" i="20"/>
  <c r="C11" i="20"/>
  <c r="C75" i="20"/>
  <c r="D32" i="20"/>
  <c r="D96" i="20"/>
  <c r="H162" i="13"/>
  <c r="C12" i="20"/>
  <c r="C76" i="20"/>
  <c r="D33" i="20"/>
  <c r="D97" i="20"/>
  <c r="H153" i="13"/>
  <c r="C21" i="20"/>
  <c r="C85" i="20"/>
  <c r="D42" i="20"/>
  <c r="D106" i="20"/>
  <c r="L29" i="13"/>
  <c r="C54" i="20"/>
  <c r="D11" i="20"/>
  <c r="D75" i="20"/>
  <c r="H183" i="13"/>
  <c r="C55" i="20"/>
  <c r="D12" i="20"/>
  <c r="D76" i="20"/>
  <c r="H182" i="13"/>
  <c r="C16" i="20"/>
  <c r="C80" i="20"/>
  <c r="D37" i="20"/>
  <c r="D101" i="20"/>
  <c r="C17" i="20"/>
  <c r="C81" i="20"/>
  <c r="D38" i="20"/>
  <c r="D102" i="20"/>
  <c r="C50" i="20"/>
  <c r="D7" i="20"/>
  <c r="C19" i="20"/>
  <c r="C83" i="20"/>
  <c r="D40" i="20"/>
  <c r="D104" i="20"/>
  <c r="H154" i="13"/>
  <c r="C20" i="20"/>
  <c r="C84" i="20"/>
  <c r="D41" i="20"/>
  <c r="D105" i="20"/>
  <c r="C29" i="20"/>
  <c r="C93" i="20"/>
  <c r="D50" i="20"/>
  <c r="H200" i="13"/>
  <c r="L37" i="13"/>
  <c r="C62" i="20"/>
  <c r="D19" i="20"/>
  <c r="D83" i="20"/>
  <c r="H175" i="13"/>
  <c r="L20" i="13"/>
  <c r="L174" i="13"/>
  <c r="N43" i="13"/>
  <c r="N175" i="13"/>
  <c r="N162" i="13"/>
  <c r="N13" i="13"/>
  <c r="N152" i="13"/>
  <c r="L189" i="13"/>
  <c r="L33" i="13"/>
  <c r="C63" i="20"/>
  <c r="D20" i="20"/>
  <c r="D84" i="20"/>
  <c r="H174" i="13"/>
  <c r="H42" i="13"/>
  <c r="C24" i="20"/>
  <c r="C88" i="20"/>
  <c r="D45" i="20"/>
  <c r="D109" i="20"/>
  <c r="H197" i="13"/>
  <c r="C25" i="20"/>
  <c r="C89" i="20"/>
  <c r="D46" i="20"/>
  <c r="D110" i="20"/>
  <c r="C58" i="20"/>
  <c r="D15" i="20"/>
  <c r="C27" i="20"/>
  <c r="C91" i="20"/>
  <c r="D48" i="20"/>
  <c r="D112" i="20"/>
  <c r="C28" i="20"/>
  <c r="C92" i="20"/>
  <c r="D49" i="20"/>
  <c r="D113" i="20"/>
  <c r="H201" i="13"/>
  <c r="C37" i="20"/>
  <c r="C101" i="20"/>
  <c r="D58" i="20"/>
  <c r="H192" i="13"/>
  <c r="C70" i="20"/>
  <c r="D27" i="20"/>
  <c r="D91" i="20"/>
  <c r="H167" i="13"/>
  <c r="L30" i="13"/>
  <c r="L182" i="13"/>
  <c r="N183" i="13"/>
  <c r="N194" i="13"/>
  <c r="N158" i="13"/>
  <c r="L151" i="13"/>
  <c r="N28" i="13"/>
  <c r="N160" i="13"/>
  <c r="N169" i="13"/>
  <c r="L172" i="13"/>
  <c r="H40" i="13"/>
  <c r="N157" i="13"/>
  <c r="N41" i="13"/>
  <c r="N148" i="13"/>
  <c r="N17" i="13"/>
  <c r="L147" i="13"/>
  <c r="L186" i="13"/>
  <c r="L35" i="13"/>
  <c r="H164" i="13"/>
  <c r="N26" i="13"/>
  <c r="L193" i="13"/>
  <c r="L44" i="13"/>
  <c r="N193" i="13"/>
  <c r="L192" i="13"/>
  <c r="H31" i="13"/>
  <c r="N174" i="13"/>
  <c r="N200" i="13"/>
  <c r="H147" i="13"/>
  <c r="N185" i="13"/>
  <c r="L166" i="13"/>
  <c r="H35" i="13"/>
  <c r="H187" i="13"/>
  <c r="L164" i="13"/>
  <c r="D111" i="20"/>
  <c r="N25" i="13"/>
  <c r="L203" i="13"/>
  <c r="H163" i="13"/>
  <c r="L149" i="13"/>
  <c r="N51" i="13"/>
  <c r="L178" i="13"/>
  <c r="L25" i="13"/>
  <c r="H196" i="13"/>
  <c r="L165" i="13"/>
  <c r="L185" i="13"/>
  <c r="L34" i="13"/>
  <c r="N153" i="13"/>
  <c r="L184" i="13"/>
  <c r="N192" i="13"/>
  <c r="H179" i="13"/>
  <c r="N161" i="13"/>
  <c r="L158" i="13"/>
  <c r="N182" i="13"/>
  <c r="L156" i="13"/>
  <c r="N150" i="13"/>
  <c r="H155" i="13"/>
  <c r="N196" i="13"/>
  <c r="L195" i="13"/>
  <c r="H195" i="13"/>
  <c r="N39" i="13"/>
  <c r="L170" i="13"/>
  <c r="L15" i="13"/>
  <c r="L177" i="13"/>
  <c r="L24" i="13"/>
  <c r="H171" i="13"/>
  <c r="N34" i="13"/>
  <c r="L176" i="13"/>
  <c r="N184" i="13"/>
  <c r="L150" i="13"/>
  <c r="N189" i="13"/>
  <c r="N33" i="13"/>
  <c r="L148" i="13"/>
  <c r="N188" i="13"/>
  <c r="L187" i="13"/>
  <c r="L36" i="13"/>
  <c r="N187" i="13"/>
  <c r="N31" i="13"/>
  <c r="L162" i="13"/>
  <c r="H29" i="13"/>
  <c r="N195" i="13"/>
  <c r="N50" i="13"/>
  <c r="L169" i="13"/>
  <c r="L4" i="13"/>
  <c r="H203" i="13"/>
  <c r="L181" i="13"/>
  <c r="N37" i="13"/>
  <c r="L168" i="13"/>
  <c r="N176" i="13"/>
  <c r="L173" i="13"/>
  <c r="N165" i="13"/>
  <c r="N23" i="13"/>
  <c r="H156" i="13"/>
  <c r="L157" i="13"/>
  <c r="N180" i="13"/>
  <c r="L179" i="13"/>
  <c r="L26" i="13"/>
  <c r="N155" i="13"/>
  <c r="L154" i="13"/>
  <c r="D95" i="20"/>
  <c r="N202" i="13"/>
  <c r="N38" i="13"/>
  <c r="L161" i="13"/>
  <c r="N29" i="13"/>
  <c r="L160" i="13"/>
  <c r="H172" i="13"/>
  <c r="N171" i="13"/>
  <c r="L199" i="13"/>
  <c r="N167" i="13"/>
  <c r="N35" i="13"/>
  <c r="N149" i="13"/>
  <c r="L196" i="13"/>
  <c r="H188" i="13"/>
  <c r="N197" i="13"/>
  <c r="N172" i="13"/>
  <c r="N40" i="13"/>
  <c r="L171" i="13"/>
  <c r="N147" i="13"/>
  <c r="N8" i="13"/>
  <c r="N166" i="13"/>
  <c r="N170" i="13"/>
  <c r="N30" i="13"/>
  <c r="L153" i="13"/>
  <c r="H30" i="13"/>
  <c r="N203" i="13"/>
  <c r="N22" i="13"/>
  <c r="L152" i="13"/>
  <c r="N186" i="13"/>
  <c r="L191" i="13"/>
  <c r="L42" i="13"/>
  <c r="N42" i="13"/>
  <c r="N159" i="13"/>
  <c r="N27" i="13"/>
  <c r="G9" i="13"/>
  <c r="G23" i="13"/>
  <c r="G31" i="13"/>
  <c r="G39" i="13"/>
  <c r="G147" i="13"/>
  <c r="G155" i="13"/>
  <c r="G163" i="13"/>
  <c r="G171" i="13"/>
  <c r="G179" i="13"/>
  <c r="G187" i="13"/>
  <c r="G195" i="13"/>
  <c r="G203" i="13"/>
  <c r="G168" i="13"/>
  <c r="G169" i="13"/>
  <c r="G16" i="13"/>
  <c r="G50" i="13"/>
  <c r="G154" i="13"/>
  <c r="G194" i="13"/>
  <c r="G10" i="13"/>
  <c r="G18" i="13"/>
  <c r="G24" i="13"/>
  <c r="G32" i="13"/>
  <c r="G40" i="13"/>
  <c r="G148" i="13"/>
  <c r="G156" i="13"/>
  <c r="G164" i="13"/>
  <c r="G172" i="13"/>
  <c r="G180" i="13"/>
  <c r="G188" i="13"/>
  <c r="G196" i="13"/>
  <c r="G14" i="13"/>
  <c r="G36" i="13"/>
  <c r="G152" i="13"/>
  <c r="G200" i="13"/>
  <c r="G7" i="13"/>
  <c r="G185" i="13"/>
  <c r="G162" i="13"/>
  <c r="G186" i="13"/>
  <c r="G3" i="13"/>
  <c r="G11" i="13"/>
  <c r="G19" i="13"/>
  <c r="G25" i="13"/>
  <c r="G33" i="13"/>
  <c r="G41" i="13"/>
  <c r="G149" i="13"/>
  <c r="G157" i="13"/>
  <c r="G165" i="13"/>
  <c r="G173" i="13"/>
  <c r="G181" i="13"/>
  <c r="G189" i="13"/>
  <c r="G197" i="13"/>
  <c r="G199" i="13"/>
  <c r="G160" i="13"/>
  <c r="G192" i="13"/>
  <c r="G29" i="13"/>
  <c r="G177" i="13"/>
  <c r="G38" i="13"/>
  <c r="G170" i="13"/>
  <c r="G202" i="13"/>
  <c r="G12" i="13"/>
  <c r="G26" i="13"/>
  <c r="G34" i="13"/>
  <c r="G42" i="13"/>
  <c r="G150" i="13"/>
  <c r="G158" i="13"/>
  <c r="G166" i="13"/>
  <c r="G174" i="13"/>
  <c r="G182" i="13"/>
  <c r="G190" i="13"/>
  <c r="G198" i="13"/>
  <c r="G191" i="13"/>
  <c r="G28" i="13"/>
  <c r="G184" i="13"/>
  <c r="G153" i="13"/>
  <c r="G193" i="13"/>
  <c r="G30" i="13"/>
  <c r="G178" i="13"/>
  <c r="G5" i="13"/>
  <c r="G21" i="13"/>
  <c r="G27" i="13"/>
  <c r="G35" i="13"/>
  <c r="G151" i="13"/>
  <c r="G159" i="13"/>
  <c r="G167" i="13"/>
  <c r="G175" i="13"/>
  <c r="G183" i="13"/>
  <c r="G176" i="13"/>
  <c r="G37" i="13"/>
  <c r="G161" i="13"/>
  <c r="G201" i="13"/>
  <c r="AY3" i="14"/>
  <c r="AX33" i="14"/>
  <c r="AX29" i="14"/>
  <c r="AX24" i="14"/>
  <c r="AX23" i="14"/>
  <c r="AX21" i="14"/>
  <c r="AX34" i="14"/>
  <c r="AX26" i="14"/>
  <c r="AX32" i="14"/>
  <c r="AX31" i="14"/>
  <c r="AX27" i="14"/>
  <c r="AX25" i="14"/>
  <c r="AX30" i="14"/>
  <c r="AX20" i="14"/>
  <c r="AX18" i="14"/>
  <c r="AX16" i="14"/>
  <c r="AX22" i="14"/>
  <c r="AX17" i="14"/>
  <c r="AX14" i="14"/>
  <c r="AX12" i="14"/>
  <c r="AX10" i="14"/>
  <c r="AX8" i="14"/>
  <c r="AX28" i="14"/>
  <c r="AX19" i="14"/>
  <c r="AX15" i="14"/>
  <c r="AX6" i="14"/>
  <c r="AX13" i="14"/>
  <c r="AX11" i="14"/>
  <c r="AX9" i="14"/>
  <c r="AX4" i="14"/>
  <c r="AX7" i="14"/>
  <c r="AX5" i="14"/>
  <c r="F18" i="13"/>
  <c r="F19" i="13"/>
  <c r="F21" i="13"/>
  <c r="X153" i="2"/>
  <c r="U153" i="2"/>
  <c r="V153" i="2" s="1"/>
  <c r="X113" i="2"/>
  <c r="U113" i="2"/>
  <c r="V113" i="2" s="1"/>
  <c r="X73" i="2"/>
  <c r="U73" i="2"/>
  <c r="V73" i="2" s="1"/>
  <c r="X41" i="2"/>
  <c r="U41" i="2"/>
  <c r="V41" i="2" s="1"/>
  <c r="U292" i="2"/>
  <c r="V292" i="2" s="1"/>
  <c r="X292" i="2"/>
  <c r="X268" i="2"/>
  <c r="U268" i="2"/>
  <c r="V268" i="2" s="1"/>
  <c r="X252" i="2"/>
  <c r="U252" i="2"/>
  <c r="V252" i="2" s="1"/>
  <c r="X236" i="2"/>
  <c r="U236" i="2"/>
  <c r="V236" i="2" s="1"/>
  <c r="X228" i="2"/>
  <c r="U228" i="2"/>
  <c r="V228" i="2" s="1"/>
  <c r="X220" i="2"/>
  <c r="U220" i="2"/>
  <c r="V220" i="2" s="1"/>
  <c r="X212" i="2"/>
  <c r="U212" i="2"/>
  <c r="V212" i="2" s="1"/>
  <c r="X201" i="2"/>
  <c r="U201" i="2"/>
  <c r="V201" i="2" s="1"/>
  <c r="X200" i="2"/>
  <c r="U200" i="2"/>
  <c r="V200" i="2" s="1"/>
  <c r="X192" i="2"/>
  <c r="U192" i="2"/>
  <c r="V192" i="2" s="1"/>
  <c r="X184" i="2"/>
  <c r="U184" i="2"/>
  <c r="V184" i="2" s="1"/>
  <c r="X176" i="2"/>
  <c r="U176" i="2"/>
  <c r="V176" i="2" s="1"/>
  <c r="X168" i="2"/>
  <c r="U168" i="2"/>
  <c r="V168" i="2" s="1"/>
  <c r="X160" i="2"/>
  <c r="U160" i="2"/>
  <c r="V160" i="2" s="1"/>
  <c r="X152" i="2"/>
  <c r="U152" i="2"/>
  <c r="V152" i="2" s="1"/>
  <c r="X144" i="2"/>
  <c r="U144" i="2"/>
  <c r="V144" i="2" s="1"/>
  <c r="X136" i="2"/>
  <c r="U136" i="2"/>
  <c r="V136" i="2" s="1"/>
  <c r="X128" i="2"/>
  <c r="U128" i="2"/>
  <c r="V128" i="2" s="1"/>
  <c r="X120" i="2"/>
  <c r="U120" i="2"/>
  <c r="V120" i="2" s="1"/>
  <c r="X112" i="2"/>
  <c r="U112" i="2"/>
  <c r="V112" i="2" s="1"/>
  <c r="X104" i="2"/>
  <c r="U104" i="2"/>
  <c r="V104" i="2" s="1"/>
  <c r="X96" i="2"/>
  <c r="U96" i="2"/>
  <c r="V96" i="2" s="1"/>
  <c r="X88" i="2"/>
  <c r="U88" i="2"/>
  <c r="V88" i="2" s="1"/>
  <c r="X80" i="2"/>
  <c r="U80" i="2"/>
  <c r="V80" i="2" s="1"/>
  <c r="X72" i="2"/>
  <c r="U72" i="2"/>
  <c r="V72" i="2" s="1"/>
  <c r="X64" i="2"/>
  <c r="U64" i="2"/>
  <c r="V64" i="2" s="1"/>
  <c r="X56" i="2"/>
  <c r="U56" i="2"/>
  <c r="V56" i="2" s="1"/>
  <c r="X48" i="2"/>
  <c r="U48" i="2"/>
  <c r="V48" i="2" s="1"/>
  <c r="X40" i="2"/>
  <c r="U40" i="2"/>
  <c r="V40" i="2" s="1"/>
  <c r="X24" i="2"/>
  <c r="U24" i="2"/>
  <c r="V24" i="2" s="1"/>
  <c r="X16" i="2"/>
  <c r="U16" i="2"/>
  <c r="V16" i="2" s="1"/>
  <c r="X8" i="2"/>
  <c r="U8" i="2"/>
  <c r="V8" i="2" s="1"/>
  <c r="X299" i="2"/>
  <c r="U299" i="2"/>
  <c r="V299" i="2" s="1"/>
  <c r="U291" i="2"/>
  <c r="V291" i="2" s="1"/>
  <c r="X291" i="2"/>
  <c r="X283" i="2"/>
  <c r="U283" i="2"/>
  <c r="V283" i="2" s="1"/>
  <c r="X275" i="2"/>
  <c r="U275" i="2"/>
  <c r="V275" i="2" s="1"/>
  <c r="X267" i="2"/>
  <c r="U267" i="2"/>
  <c r="V267" i="2" s="1"/>
  <c r="X259" i="2"/>
  <c r="U259" i="2"/>
  <c r="V259" i="2" s="1"/>
  <c r="X251" i="2"/>
  <c r="U251" i="2"/>
  <c r="V251" i="2" s="1"/>
  <c r="X243" i="2"/>
  <c r="U243" i="2"/>
  <c r="V243" i="2" s="1"/>
  <c r="X235" i="2"/>
  <c r="U235" i="2"/>
  <c r="V235" i="2" s="1"/>
  <c r="X227" i="2"/>
  <c r="U227" i="2"/>
  <c r="V227" i="2" s="1"/>
  <c r="X219" i="2"/>
  <c r="U219" i="2"/>
  <c r="V219" i="2" s="1"/>
  <c r="X211" i="2"/>
  <c r="U211" i="2"/>
  <c r="V211" i="2" s="1"/>
  <c r="X137" i="2"/>
  <c r="U137" i="2"/>
  <c r="V137" i="2" s="1"/>
  <c r="X65" i="2"/>
  <c r="U65" i="2"/>
  <c r="V65" i="2" s="1"/>
  <c r="X183" i="2"/>
  <c r="U183" i="2"/>
  <c r="V183" i="2" s="1"/>
  <c r="X127" i="2"/>
  <c r="U127" i="2"/>
  <c r="V127" i="2" s="1"/>
  <c r="X79" i="2"/>
  <c r="U79" i="2"/>
  <c r="V79" i="2" s="1"/>
  <c r="X169" i="2"/>
  <c r="U169" i="2"/>
  <c r="V169" i="2" s="1"/>
  <c r="X97" i="2"/>
  <c r="U97" i="2"/>
  <c r="V97" i="2" s="1"/>
  <c r="X207" i="2"/>
  <c r="U207" i="2"/>
  <c r="V207" i="2" s="1"/>
  <c r="X159" i="2"/>
  <c r="U159" i="2"/>
  <c r="V159" i="2" s="1"/>
  <c r="X119" i="2"/>
  <c r="U119" i="2"/>
  <c r="V119" i="2" s="1"/>
  <c r="X95" i="2"/>
  <c r="U95" i="2"/>
  <c r="V95" i="2" s="1"/>
  <c r="X71" i="2"/>
  <c r="U71" i="2"/>
  <c r="V71" i="2" s="1"/>
  <c r="X55" i="2"/>
  <c r="U55" i="2"/>
  <c r="V55" i="2" s="1"/>
  <c r="X39" i="2"/>
  <c r="U39" i="2"/>
  <c r="V39" i="2" s="1"/>
  <c r="X7" i="2"/>
  <c r="U7" i="2"/>
  <c r="V7" i="2" s="1"/>
  <c r="U290" i="2"/>
  <c r="V290" i="2" s="1"/>
  <c r="X290" i="2"/>
  <c r="X266" i="2"/>
  <c r="U266" i="2"/>
  <c r="V266" i="2" s="1"/>
  <c r="X250" i="2"/>
  <c r="U250" i="2"/>
  <c r="V250" i="2" s="1"/>
  <c r="X234" i="2"/>
  <c r="U234" i="2"/>
  <c r="V234" i="2" s="1"/>
  <c r="X218" i="2"/>
  <c r="U218" i="2"/>
  <c r="V218" i="2" s="1"/>
  <c r="X190" i="2"/>
  <c r="U190" i="2"/>
  <c r="V190" i="2" s="1"/>
  <c r="X142" i="2"/>
  <c r="U142" i="2"/>
  <c r="V142" i="2" s="1"/>
  <c r="X102" i="2"/>
  <c r="U102" i="2"/>
  <c r="V102" i="2" s="1"/>
  <c r="X54" i="2"/>
  <c r="U54" i="2"/>
  <c r="V54" i="2" s="1"/>
  <c r="X6" i="2"/>
  <c r="U6" i="2"/>
  <c r="V6" i="2" s="1"/>
  <c r="X273" i="2"/>
  <c r="U273" i="2"/>
  <c r="V273" i="2" s="1"/>
  <c r="X241" i="2"/>
  <c r="U241" i="2"/>
  <c r="V241" i="2" s="1"/>
  <c r="X225" i="2"/>
  <c r="U225" i="2"/>
  <c r="V225" i="2" s="1"/>
  <c r="X217" i="2"/>
  <c r="U217" i="2"/>
  <c r="V217" i="2" s="1"/>
  <c r="X209" i="2"/>
  <c r="U209" i="2"/>
  <c r="V209" i="2" s="1"/>
  <c r="X161" i="2"/>
  <c r="U161" i="2"/>
  <c r="V161" i="2" s="1"/>
  <c r="X105" i="2"/>
  <c r="U105" i="2"/>
  <c r="V105" i="2" s="1"/>
  <c r="X9" i="2"/>
  <c r="U9" i="2"/>
  <c r="V9" i="2" s="1"/>
  <c r="X199" i="2"/>
  <c r="U199" i="2"/>
  <c r="V199" i="2" s="1"/>
  <c r="X182" i="2"/>
  <c r="U182" i="2"/>
  <c r="V182" i="2" s="1"/>
  <c r="X150" i="2"/>
  <c r="U150" i="2"/>
  <c r="V150" i="2" s="1"/>
  <c r="X110" i="2"/>
  <c r="U110" i="2"/>
  <c r="V110" i="2" s="1"/>
  <c r="X62" i="2"/>
  <c r="U62" i="2"/>
  <c r="V62" i="2" s="1"/>
  <c r="X297" i="2"/>
  <c r="U297" i="2"/>
  <c r="V297" i="2" s="1"/>
  <c r="X173" i="2"/>
  <c r="U173" i="2"/>
  <c r="V173" i="2" s="1"/>
  <c r="X125" i="2"/>
  <c r="U125" i="2"/>
  <c r="V125" i="2" s="1"/>
  <c r="X77" i="2"/>
  <c r="U77" i="2"/>
  <c r="V77" i="2" s="1"/>
  <c r="X13" i="2"/>
  <c r="U13" i="2"/>
  <c r="V13" i="2" s="1"/>
  <c r="X272" i="2"/>
  <c r="U272" i="2"/>
  <c r="V272" i="2" s="1"/>
  <c r="X224" i="2"/>
  <c r="U224" i="2"/>
  <c r="V224" i="2" s="1"/>
  <c r="X177" i="2"/>
  <c r="U177" i="2"/>
  <c r="V177" i="2" s="1"/>
  <c r="X175" i="2"/>
  <c r="U175" i="2"/>
  <c r="V175" i="2" s="1"/>
  <c r="X143" i="2"/>
  <c r="U143" i="2"/>
  <c r="V143" i="2" s="1"/>
  <c r="X135" i="2"/>
  <c r="U135" i="2"/>
  <c r="V135" i="2" s="1"/>
  <c r="X111" i="2"/>
  <c r="U111" i="2"/>
  <c r="V111" i="2" s="1"/>
  <c r="X103" i="2"/>
  <c r="U103" i="2"/>
  <c r="V103" i="2" s="1"/>
  <c r="X87" i="2"/>
  <c r="U87" i="2"/>
  <c r="V87" i="2" s="1"/>
  <c r="X63" i="2"/>
  <c r="U63" i="2"/>
  <c r="V63" i="2" s="1"/>
  <c r="X47" i="2"/>
  <c r="U47" i="2"/>
  <c r="V47" i="2" s="1"/>
  <c r="X15" i="2"/>
  <c r="U15" i="2"/>
  <c r="V15" i="2" s="1"/>
  <c r="X298" i="2"/>
  <c r="U298" i="2"/>
  <c r="V298" i="2" s="1"/>
  <c r="X274" i="2"/>
  <c r="U274" i="2"/>
  <c r="V274" i="2" s="1"/>
  <c r="X258" i="2"/>
  <c r="U258" i="2"/>
  <c r="V258" i="2" s="1"/>
  <c r="X242" i="2"/>
  <c r="U242" i="2"/>
  <c r="V242" i="2" s="1"/>
  <c r="X226" i="2"/>
  <c r="U226" i="2"/>
  <c r="V226" i="2" s="1"/>
  <c r="X210" i="2"/>
  <c r="U210" i="2"/>
  <c r="V210" i="2" s="1"/>
  <c r="X174" i="2"/>
  <c r="U174" i="2"/>
  <c r="V174" i="2" s="1"/>
  <c r="X134" i="2"/>
  <c r="U134" i="2"/>
  <c r="V134" i="2" s="1"/>
  <c r="X86" i="2"/>
  <c r="U86" i="2"/>
  <c r="V86" i="2" s="1"/>
  <c r="X30" i="2"/>
  <c r="U30" i="2"/>
  <c r="V30" i="2" s="1"/>
  <c r="X92" i="2"/>
  <c r="U92" i="2"/>
  <c r="V92" i="2" s="1"/>
  <c r="X247" i="2"/>
  <c r="U247" i="2"/>
  <c r="V247" i="2" s="1"/>
  <c r="X185" i="2"/>
  <c r="U185" i="2"/>
  <c r="V185" i="2" s="1"/>
  <c r="X121" i="2"/>
  <c r="U121" i="2"/>
  <c r="V121" i="2" s="1"/>
  <c r="X81" i="2"/>
  <c r="U81" i="2"/>
  <c r="V81" i="2" s="1"/>
  <c r="X49" i="2"/>
  <c r="U49" i="2"/>
  <c r="V49" i="2" s="1"/>
  <c r="X25" i="2"/>
  <c r="U25" i="2"/>
  <c r="V25" i="2" s="1"/>
  <c r="X300" i="2"/>
  <c r="U300" i="2"/>
  <c r="V300" i="2" s="1"/>
  <c r="X276" i="2"/>
  <c r="U276" i="2"/>
  <c r="V276" i="2" s="1"/>
  <c r="X260" i="2"/>
  <c r="U260" i="2"/>
  <c r="V260" i="2" s="1"/>
  <c r="X244" i="2"/>
  <c r="U244" i="2"/>
  <c r="V244" i="2" s="1"/>
  <c r="X167" i="2"/>
  <c r="U167" i="2"/>
  <c r="V167" i="2" s="1"/>
  <c r="X206" i="2"/>
  <c r="U206" i="2"/>
  <c r="V206" i="2" s="1"/>
  <c r="X198" i="2"/>
  <c r="U198" i="2"/>
  <c r="V198" i="2" s="1"/>
  <c r="X166" i="2"/>
  <c r="U166" i="2"/>
  <c r="V166" i="2" s="1"/>
  <c r="X158" i="2"/>
  <c r="U158" i="2"/>
  <c r="V158" i="2" s="1"/>
  <c r="X126" i="2"/>
  <c r="U126" i="2"/>
  <c r="V126" i="2" s="1"/>
  <c r="X118" i="2"/>
  <c r="U118" i="2"/>
  <c r="V118" i="2" s="1"/>
  <c r="X94" i="2"/>
  <c r="U94" i="2"/>
  <c r="V94" i="2" s="1"/>
  <c r="X78" i="2"/>
  <c r="U78" i="2"/>
  <c r="V78" i="2" s="1"/>
  <c r="X70" i="2"/>
  <c r="U70" i="2"/>
  <c r="V70" i="2" s="1"/>
  <c r="X46" i="2"/>
  <c r="U46" i="2"/>
  <c r="V46" i="2" s="1"/>
  <c r="X38" i="2"/>
  <c r="U38" i="2"/>
  <c r="V38" i="2" s="1"/>
  <c r="X14" i="2"/>
  <c r="U14" i="2"/>
  <c r="V14" i="2" s="1"/>
  <c r="U289" i="2"/>
  <c r="V289" i="2" s="1"/>
  <c r="X289" i="2"/>
  <c r="X281" i="2"/>
  <c r="U281" i="2"/>
  <c r="V281" i="2" s="1"/>
  <c r="X265" i="2"/>
  <c r="U265" i="2"/>
  <c r="V265" i="2" s="1"/>
  <c r="X257" i="2"/>
  <c r="U257" i="2"/>
  <c r="V257" i="2" s="1"/>
  <c r="X249" i="2"/>
  <c r="U249" i="2"/>
  <c r="V249" i="2" s="1"/>
  <c r="X233" i="2"/>
  <c r="U233" i="2"/>
  <c r="V233" i="2" s="1"/>
  <c r="X189" i="2"/>
  <c r="U189" i="2"/>
  <c r="V189" i="2" s="1"/>
  <c r="X165" i="2"/>
  <c r="U165" i="2"/>
  <c r="V165" i="2" s="1"/>
  <c r="X149" i="2"/>
  <c r="U149" i="2"/>
  <c r="V149" i="2" s="1"/>
  <c r="X133" i="2"/>
  <c r="U133" i="2"/>
  <c r="V133" i="2" s="1"/>
  <c r="X109" i="2"/>
  <c r="U109" i="2"/>
  <c r="V109" i="2" s="1"/>
  <c r="X101" i="2"/>
  <c r="U101" i="2"/>
  <c r="V101" i="2" s="1"/>
  <c r="X93" i="2"/>
  <c r="U93" i="2"/>
  <c r="V93" i="2" s="1"/>
  <c r="X85" i="2"/>
  <c r="U85" i="2"/>
  <c r="V85" i="2" s="1"/>
  <c r="X61" i="2"/>
  <c r="U61" i="2"/>
  <c r="V61" i="2" s="1"/>
  <c r="X45" i="2"/>
  <c r="U45" i="2"/>
  <c r="V45" i="2" s="1"/>
  <c r="X29" i="2"/>
  <c r="U29" i="2"/>
  <c r="V29" i="2" s="1"/>
  <c r="X5" i="2"/>
  <c r="U5" i="2"/>
  <c r="V5" i="2" s="1"/>
  <c r="X296" i="2"/>
  <c r="U296" i="2"/>
  <c r="V296" i="2" s="1"/>
  <c r="U288" i="2"/>
  <c r="V288" i="2" s="1"/>
  <c r="X288" i="2"/>
  <c r="X280" i="2"/>
  <c r="U280" i="2"/>
  <c r="V280" i="2" s="1"/>
  <c r="X264" i="2"/>
  <c r="U264" i="2"/>
  <c r="V264" i="2" s="1"/>
  <c r="X256" i="2"/>
  <c r="U256" i="2"/>
  <c r="V256" i="2" s="1"/>
  <c r="X248" i="2"/>
  <c r="U248" i="2"/>
  <c r="V248" i="2" s="1"/>
  <c r="X240" i="2"/>
  <c r="U240" i="2"/>
  <c r="V240" i="2" s="1"/>
  <c r="X232" i="2"/>
  <c r="U232" i="2"/>
  <c r="V232" i="2" s="1"/>
  <c r="X216" i="2"/>
  <c r="U216" i="2"/>
  <c r="V216" i="2" s="1"/>
  <c r="X208" i="2"/>
  <c r="U208" i="2"/>
  <c r="V208" i="2" s="1"/>
  <c r="X180" i="2"/>
  <c r="U180" i="2"/>
  <c r="V180" i="2" s="1"/>
  <c r="X203" i="2"/>
  <c r="U203" i="2"/>
  <c r="V203" i="2" s="1"/>
  <c r="X187" i="2"/>
  <c r="U187" i="2"/>
  <c r="V187" i="2" s="1"/>
  <c r="X163" i="2"/>
  <c r="U163" i="2"/>
  <c r="V163" i="2" s="1"/>
  <c r="X147" i="2"/>
  <c r="U147" i="2"/>
  <c r="V147" i="2" s="1"/>
  <c r="X131" i="2"/>
  <c r="U131" i="2"/>
  <c r="V131" i="2" s="1"/>
  <c r="X115" i="2"/>
  <c r="U115" i="2"/>
  <c r="V115" i="2" s="1"/>
  <c r="X99" i="2"/>
  <c r="U99" i="2"/>
  <c r="V99" i="2" s="1"/>
  <c r="X83" i="2"/>
  <c r="U83" i="2"/>
  <c r="V83" i="2" s="1"/>
  <c r="X59" i="2"/>
  <c r="U59" i="2"/>
  <c r="V59" i="2" s="1"/>
  <c r="X43" i="2"/>
  <c r="U43" i="2"/>
  <c r="V43" i="2" s="1"/>
  <c r="U316" i="2"/>
  <c r="V316" i="2" s="1"/>
  <c r="X316" i="2"/>
  <c r="U286" i="2"/>
  <c r="V286" i="2" s="1"/>
  <c r="X286" i="2"/>
  <c r="X278" i="2"/>
  <c r="U278" i="2"/>
  <c r="V278" i="2" s="1"/>
  <c r="X270" i="2"/>
  <c r="U270" i="2"/>
  <c r="V270" i="2" s="1"/>
  <c r="X262" i="2"/>
  <c r="U262" i="2"/>
  <c r="V262" i="2" s="1"/>
  <c r="X254" i="2"/>
  <c r="U254" i="2"/>
  <c r="V254" i="2" s="1"/>
  <c r="X246" i="2"/>
  <c r="U246" i="2"/>
  <c r="V246" i="2" s="1"/>
  <c r="X238" i="2"/>
  <c r="U238" i="2"/>
  <c r="V238" i="2" s="1"/>
  <c r="X230" i="2"/>
  <c r="U230" i="2"/>
  <c r="V230" i="2" s="1"/>
  <c r="X222" i="2"/>
  <c r="U222" i="2"/>
  <c r="V222" i="2" s="1"/>
  <c r="X214" i="2"/>
  <c r="U214" i="2"/>
  <c r="V214" i="2" s="1"/>
  <c r="X193" i="2"/>
  <c r="U193" i="2"/>
  <c r="V193" i="2" s="1"/>
  <c r="X145" i="2"/>
  <c r="U145" i="2"/>
  <c r="V145" i="2" s="1"/>
  <c r="X129" i="2"/>
  <c r="U129" i="2"/>
  <c r="V129" i="2" s="1"/>
  <c r="X89" i="2"/>
  <c r="U89" i="2"/>
  <c r="V89" i="2" s="1"/>
  <c r="X57" i="2"/>
  <c r="U57" i="2"/>
  <c r="V57" i="2" s="1"/>
  <c r="X17" i="2"/>
  <c r="U17" i="2"/>
  <c r="V17" i="2" s="1"/>
  <c r="X284" i="2"/>
  <c r="U284" i="2"/>
  <c r="V284" i="2" s="1"/>
  <c r="X191" i="2"/>
  <c r="U191" i="2"/>
  <c r="V191" i="2" s="1"/>
  <c r="X151" i="2"/>
  <c r="U151" i="2"/>
  <c r="V151" i="2" s="1"/>
  <c r="X205" i="2"/>
  <c r="U205" i="2"/>
  <c r="V205" i="2" s="1"/>
  <c r="X197" i="2"/>
  <c r="U197" i="2"/>
  <c r="V197" i="2" s="1"/>
  <c r="X181" i="2"/>
  <c r="U181" i="2"/>
  <c r="V181" i="2" s="1"/>
  <c r="X157" i="2"/>
  <c r="U157" i="2"/>
  <c r="V157" i="2" s="1"/>
  <c r="X141" i="2"/>
  <c r="U141" i="2"/>
  <c r="V141" i="2" s="1"/>
  <c r="X117" i="2"/>
  <c r="U117" i="2"/>
  <c r="V117" i="2" s="1"/>
  <c r="X69" i="2"/>
  <c r="U69" i="2"/>
  <c r="V69" i="2" s="1"/>
  <c r="X204" i="2"/>
  <c r="U204" i="2"/>
  <c r="V204" i="2" s="1"/>
  <c r="X196" i="2"/>
  <c r="U196" i="2"/>
  <c r="V196" i="2" s="1"/>
  <c r="X188" i="2"/>
  <c r="U188" i="2"/>
  <c r="V188" i="2" s="1"/>
  <c r="X172" i="2"/>
  <c r="U172" i="2"/>
  <c r="V172" i="2" s="1"/>
  <c r="X164" i="2"/>
  <c r="U164" i="2"/>
  <c r="V164" i="2" s="1"/>
  <c r="X156" i="2"/>
  <c r="U156" i="2"/>
  <c r="V156" i="2" s="1"/>
  <c r="X148" i="2"/>
  <c r="U148" i="2"/>
  <c r="V148" i="2" s="1"/>
  <c r="X140" i="2"/>
  <c r="U140" i="2"/>
  <c r="V140" i="2" s="1"/>
  <c r="X132" i="2"/>
  <c r="U132" i="2"/>
  <c r="V132" i="2" s="1"/>
  <c r="X124" i="2"/>
  <c r="U124" i="2"/>
  <c r="V124" i="2" s="1"/>
  <c r="X116" i="2"/>
  <c r="U116" i="2"/>
  <c r="V116" i="2" s="1"/>
  <c r="X108" i="2"/>
  <c r="U108" i="2"/>
  <c r="V108" i="2" s="1"/>
  <c r="X100" i="2"/>
  <c r="U100" i="2"/>
  <c r="V100" i="2" s="1"/>
  <c r="X84" i="2"/>
  <c r="U84" i="2"/>
  <c r="V84" i="2" s="1"/>
  <c r="X76" i="2"/>
  <c r="U76" i="2"/>
  <c r="V76" i="2" s="1"/>
  <c r="X68" i="2"/>
  <c r="U68" i="2"/>
  <c r="V68" i="2" s="1"/>
  <c r="X60" i="2"/>
  <c r="U60" i="2"/>
  <c r="V60" i="2" s="1"/>
  <c r="X44" i="2"/>
  <c r="U44" i="2"/>
  <c r="V44" i="2" s="1"/>
  <c r="X28" i="2"/>
  <c r="U28" i="2"/>
  <c r="V28" i="2" s="1"/>
  <c r="X12" i="2"/>
  <c r="U12" i="2"/>
  <c r="V12" i="2" s="1"/>
  <c r="X4" i="2"/>
  <c r="U4" i="2"/>
  <c r="V4" i="2" s="1"/>
  <c r="X295" i="2"/>
  <c r="U295" i="2"/>
  <c r="V295" i="2" s="1"/>
  <c r="U287" i="2"/>
  <c r="V287" i="2" s="1"/>
  <c r="X287" i="2"/>
  <c r="X279" i="2"/>
  <c r="U279" i="2"/>
  <c r="V279" i="2" s="1"/>
  <c r="X271" i="2"/>
  <c r="U271" i="2"/>
  <c r="V271" i="2" s="1"/>
  <c r="X263" i="2"/>
  <c r="U263" i="2"/>
  <c r="V263" i="2" s="1"/>
  <c r="X255" i="2"/>
  <c r="U255" i="2"/>
  <c r="V255" i="2" s="1"/>
  <c r="X239" i="2"/>
  <c r="U239" i="2"/>
  <c r="V239" i="2" s="1"/>
  <c r="X231" i="2"/>
  <c r="U231" i="2"/>
  <c r="V231" i="2" s="1"/>
  <c r="X223" i="2"/>
  <c r="U223" i="2"/>
  <c r="V223" i="2" s="1"/>
  <c r="X215" i="2"/>
  <c r="U215" i="2"/>
  <c r="V215" i="2" s="1"/>
  <c r="X195" i="2"/>
  <c r="U195" i="2"/>
  <c r="V195" i="2" s="1"/>
  <c r="X179" i="2"/>
  <c r="U179" i="2"/>
  <c r="V179" i="2" s="1"/>
  <c r="X171" i="2"/>
  <c r="U171" i="2"/>
  <c r="V171" i="2" s="1"/>
  <c r="X155" i="2"/>
  <c r="U155" i="2"/>
  <c r="V155" i="2" s="1"/>
  <c r="X139" i="2"/>
  <c r="U139" i="2"/>
  <c r="V139" i="2" s="1"/>
  <c r="X123" i="2"/>
  <c r="U123" i="2"/>
  <c r="V123" i="2" s="1"/>
  <c r="X107" i="2"/>
  <c r="U107" i="2"/>
  <c r="V107" i="2" s="1"/>
  <c r="X91" i="2"/>
  <c r="U91" i="2"/>
  <c r="V91" i="2" s="1"/>
  <c r="X75" i="2"/>
  <c r="U75" i="2"/>
  <c r="V75" i="2" s="1"/>
  <c r="X67" i="2"/>
  <c r="U67" i="2"/>
  <c r="V67" i="2" s="1"/>
  <c r="X51" i="2"/>
  <c r="U51" i="2"/>
  <c r="V51" i="2" s="1"/>
  <c r="X27" i="2"/>
  <c r="U27" i="2"/>
  <c r="V27" i="2" s="1"/>
  <c r="X11" i="2"/>
  <c r="U11" i="2"/>
  <c r="V11" i="2" s="1"/>
  <c r="U294" i="2"/>
  <c r="V294" i="2" s="1"/>
  <c r="X294" i="2"/>
  <c r="X202" i="2"/>
  <c r="U202" i="2"/>
  <c r="V202" i="2" s="1"/>
  <c r="X194" i="2"/>
  <c r="U194" i="2"/>
  <c r="V194" i="2" s="1"/>
  <c r="X186" i="2"/>
  <c r="U186" i="2"/>
  <c r="V186" i="2" s="1"/>
  <c r="X178" i="2"/>
  <c r="U178" i="2"/>
  <c r="V178" i="2" s="1"/>
  <c r="X170" i="2"/>
  <c r="U170" i="2"/>
  <c r="V170" i="2" s="1"/>
  <c r="X162" i="2"/>
  <c r="U162" i="2"/>
  <c r="V162" i="2" s="1"/>
  <c r="X154" i="2"/>
  <c r="U154" i="2"/>
  <c r="V154" i="2" s="1"/>
  <c r="X146" i="2"/>
  <c r="U146" i="2"/>
  <c r="V146" i="2" s="1"/>
  <c r="X138" i="2"/>
  <c r="U138" i="2"/>
  <c r="V138" i="2" s="1"/>
  <c r="X130" i="2"/>
  <c r="U130" i="2"/>
  <c r="V130" i="2" s="1"/>
  <c r="X122" i="2"/>
  <c r="U122" i="2"/>
  <c r="V122" i="2" s="1"/>
  <c r="X114" i="2"/>
  <c r="U114" i="2"/>
  <c r="V114" i="2" s="1"/>
  <c r="X106" i="2"/>
  <c r="U106" i="2"/>
  <c r="V106" i="2" s="1"/>
  <c r="X98" i="2"/>
  <c r="U98" i="2"/>
  <c r="V98" i="2" s="1"/>
  <c r="X90" i="2"/>
  <c r="U90" i="2"/>
  <c r="V90" i="2" s="1"/>
  <c r="X82" i="2"/>
  <c r="U82" i="2"/>
  <c r="V82" i="2" s="1"/>
  <c r="X74" i="2"/>
  <c r="U74" i="2"/>
  <c r="V74" i="2" s="1"/>
  <c r="X66" i="2"/>
  <c r="U66" i="2"/>
  <c r="V66" i="2" s="1"/>
  <c r="X58" i="2"/>
  <c r="U58" i="2"/>
  <c r="V58" i="2" s="1"/>
  <c r="X50" i="2"/>
  <c r="U50" i="2"/>
  <c r="V50" i="2" s="1"/>
  <c r="X42" i="2"/>
  <c r="U42" i="2"/>
  <c r="V42" i="2" s="1"/>
  <c r="X26" i="2"/>
  <c r="U26" i="2"/>
  <c r="V26" i="2" s="1"/>
  <c r="X18" i="2"/>
  <c r="U18" i="2"/>
  <c r="V18" i="2" s="1"/>
  <c r="X10" i="2"/>
  <c r="U10" i="2"/>
  <c r="V10" i="2" s="1"/>
  <c r="U293" i="2"/>
  <c r="V293" i="2" s="1"/>
  <c r="X293" i="2"/>
  <c r="U285" i="2"/>
  <c r="V285" i="2" s="1"/>
  <c r="X285" i="2"/>
  <c r="X277" i="2"/>
  <c r="U277" i="2"/>
  <c r="V277" i="2" s="1"/>
  <c r="X269" i="2"/>
  <c r="U269" i="2"/>
  <c r="V269" i="2" s="1"/>
  <c r="X261" i="2"/>
  <c r="U261" i="2"/>
  <c r="V261" i="2" s="1"/>
  <c r="X253" i="2"/>
  <c r="U253" i="2"/>
  <c r="V253" i="2" s="1"/>
  <c r="X245" i="2"/>
  <c r="U245" i="2"/>
  <c r="V245" i="2" s="1"/>
  <c r="X237" i="2"/>
  <c r="U237" i="2"/>
  <c r="V237" i="2" s="1"/>
  <c r="X229" i="2"/>
  <c r="U229" i="2"/>
  <c r="V229" i="2" s="1"/>
  <c r="X221" i="2"/>
  <c r="U221" i="2"/>
  <c r="V221" i="2" s="1"/>
  <c r="X213" i="2"/>
  <c r="U213" i="2"/>
  <c r="V213" i="2" s="1"/>
  <c r="X3" i="2"/>
  <c r="U3" i="2"/>
  <c r="V3" i="2" s="1"/>
  <c r="F156" i="13"/>
  <c r="F24" i="13"/>
  <c r="F163" i="13"/>
  <c r="F31" i="13"/>
  <c r="F194" i="13"/>
  <c r="F29" i="13"/>
  <c r="F168" i="13"/>
  <c r="F170" i="13"/>
  <c r="F148" i="13"/>
  <c r="F158" i="13"/>
  <c r="F33" i="13"/>
  <c r="F155" i="13"/>
  <c r="F23" i="13"/>
  <c r="F162" i="13"/>
  <c r="F166" i="13"/>
  <c r="F41" i="13"/>
  <c r="F181" i="13"/>
  <c r="F196" i="13"/>
  <c r="F147" i="13"/>
  <c r="F150" i="13"/>
  <c r="F50" i="13"/>
  <c r="F177" i="13"/>
  <c r="F198" i="13"/>
  <c r="F200" i="13"/>
  <c r="F189" i="13"/>
  <c r="F25" i="13"/>
  <c r="F203" i="13"/>
  <c r="F165" i="13"/>
  <c r="F38" i="13"/>
  <c r="F184" i="13"/>
  <c r="F149" i="13"/>
  <c r="F188" i="13"/>
  <c r="F195" i="13"/>
  <c r="F186" i="13"/>
  <c r="F178" i="13"/>
  <c r="F180" i="13"/>
  <c r="F187" i="13"/>
  <c r="F154" i="13"/>
  <c r="F44" i="13"/>
  <c r="F14" i="13"/>
  <c r="F10" i="13"/>
  <c r="F11" i="13"/>
  <c r="F7" i="13"/>
  <c r="F3" i="13"/>
  <c r="F12" i="13"/>
  <c r="F16" i="13"/>
  <c r="F9" i="13"/>
  <c r="F5" i="13"/>
  <c r="F172" i="13"/>
  <c r="F40" i="13"/>
  <c r="F179" i="13"/>
  <c r="F190" i="13"/>
  <c r="F157" i="13"/>
  <c r="F151" i="13"/>
  <c r="F164" i="13"/>
  <c r="F32" i="13"/>
  <c r="F171" i="13"/>
  <c r="F39" i="13"/>
  <c r="F173" i="13"/>
  <c r="F192" i="13"/>
  <c r="F202" i="13"/>
  <c r="F36" i="13"/>
  <c r="F201" i="13"/>
  <c r="F176" i="13"/>
  <c r="F199" i="13"/>
  <c r="F28" i="13"/>
  <c r="F185" i="13"/>
  <c r="F160" i="13"/>
  <c r="F191" i="13"/>
  <c r="F30" i="13"/>
  <c r="F153" i="13"/>
  <c r="F193" i="13"/>
  <c r="F22" i="13"/>
  <c r="F169" i="13"/>
  <c r="F152" i="13"/>
  <c r="F183" i="13"/>
  <c r="F37" i="13"/>
  <c r="F161" i="13"/>
  <c r="F182" i="13"/>
  <c r="F175" i="13"/>
  <c r="F42" i="13"/>
  <c r="F197" i="13"/>
  <c r="F167" i="13"/>
  <c r="F35" i="13"/>
  <c r="F34" i="13"/>
  <c r="F159" i="13"/>
  <c r="F27" i="13"/>
  <c r="F26" i="13"/>
  <c r="F174" i="13"/>
  <c r="A17" i="23" l="1" a="1"/>
  <c r="B20" i="22" a="1"/>
  <c r="B20" i="22" s="1"/>
  <c r="B17" i="14" a="1"/>
  <c r="B17" i="14" s="1"/>
  <c r="D17" i="14" s="1"/>
  <c r="E17" i="14" s="1" a="1"/>
  <c r="E17" i="14" s="1"/>
  <c r="E12" i="14" a="1"/>
  <c r="E12" i="14" s="1"/>
  <c r="E13" i="14" a="1"/>
  <c r="E13" i="14" s="1"/>
  <c r="B15" i="14" a="1"/>
  <c r="B15" i="14" s="1"/>
  <c r="D15" i="14" s="1"/>
  <c r="E15" i="14" s="1" a="1"/>
  <c r="E15" i="14" s="1"/>
  <c r="B16" i="14" a="1"/>
  <c r="B16" i="14" s="1"/>
  <c r="B14" i="14" a="1"/>
  <c r="B14" i="14" s="1"/>
  <c r="D14" i="14" s="1"/>
  <c r="E14" i="14" s="1" a="1"/>
  <c r="E14" i="14" s="1"/>
  <c r="B13" i="14" a="1"/>
  <c r="B13" i="14" s="1"/>
  <c r="B20" i="12" a="1"/>
  <c r="B20" i="12" s="1"/>
  <c r="A17" i="4" a="1"/>
  <c r="A17" i="4" s="1"/>
  <c r="H17" i="4" s="1" a="1"/>
  <c r="H17" i="4" s="1"/>
  <c r="B17" i="10" a="1"/>
  <c r="B20" i="9" a="1"/>
  <c r="B12" i="14" a="1"/>
  <c r="B12" i="14" s="1"/>
  <c r="AZ3" i="14"/>
  <c r="AY33" i="14"/>
  <c r="AY29" i="14"/>
  <c r="AY24" i="14"/>
  <c r="AY23" i="14"/>
  <c r="AY21" i="14"/>
  <c r="AY34" i="14"/>
  <c r="AY31" i="14"/>
  <c r="AY26" i="14"/>
  <c r="AY32" i="14"/>
  <c r="AY19" i="14"/>
  <c r="AY17" i="14"/>
  <c r="AY15" i="14"/>
  <c r="AY27" i="14"/>
  <c r="AY25" i="14"/>
  <c r="AY30" i="14"/>
  <c r="AY28" i="14"/>
  <c r="AY22" i="14"/>
  <c r="AY20" i="14"/>
  <c r="AY16" i="14"/>
  <c r="AY10" i="14"/>
  <c r="AY8" i="14"/>
  <c r="AY6" i="14"/>
  <c r="AY14" i="14"/>
  <c r="AY12" i="14"/>
  <c r="AY18" i="14"/>
  <c r="AY13" i="14"/>
  <c r="AY11" i="14"/>
  <c r="AY9" i="14"/>
  <c r="AY7" i="14"/>
  <c r="AY5" i="14"/>
  <c r="AY4" i="14"/>
  <c r="B6" i="14" a="1"/>
  <c r="B6" i="14" s="1"/>
  <c r="D6" i="14" s="1"/>
  <c r="E6" i="14" s="1" a="1"/>
  <c r="E6" i="14" s="1"/>
  <c r="C5" i="15" s="1"/>
  <c r="B28" i="15" s="1"/>
  <c r="B10" i="14" a="1"/>
  <c r="B10" i="14" s="1"/>
  <c r="D10" i="14" s="1"/>
  <c r="E10" i="14" s="1" a="1"/>
  <c r="E10" i="14" s="1"/>
  <c r="B7" i="14" a="1"/>
  <c r="B7" i="14" s="1"/>
  <c r="D7" i="14" s="1"/>
  <c r="E7" i="14" s="1" a="1"/>
  <c r="E7" i="14" s="1"/>
  <c r="B4" i="14" a="1"/>
  <c r="B4" i="14" s="1"/>
  <c r="D4" i="14" s="1"/>
  <c r="E4" i="14" s="1" a="1"/>
  <c r="E4" i="14" s="1"/>
  <c r="B8" i="14" a="1"/>
  <c r="B8" i="14" s="1"/>
  <c r="D8" i="14" s="1"/>
  <c r="E8" i="14" s="1" a="1"/>
  <c r="E8" i="14" s="1"/>
  <c r="B9" i="14" a="1"/>
  <c r="B9" i="14" s="1"/>
  <c r="D9" i="14" s="1"/>
  <c r="E9" i="14" s="1" a="1"/>
  <c r="E9" i="14" s="1"/>
  <c r="B5" i="14" a="1"/>
  <c r="B5" i="14" s="1"/>
  <c r="D5" i="14" s="1"/>
  <c r="E5" i="14" s="1" a="1"/>
  <c r="E5" i="14" s="1"/>
  <c r="E3" i="15" a="1"/>
  <c r="K5" i="15" s="1"/>
  <c r="O3" i="2"/>
  <c r="A17" i="23" l="1"/>
  <c r="H17" i="23" s="1" a="1"/>
  <c r="H17" i="23" s="1"/>
  <c r="H20" i="23" a="1"/>
  <c r="H20" i="23" s="1"/>
  <c r="H19" i="23" a="1"/>
  <c r="H19" i="23" s="1"/>
  <c r="G19" i="23"/>
  <c r="G42" i="23"/>
  <c r="G18" i="23"/>
  <c r="G17" i="23"/>
  <c r="H18" i="23" a="1"/>
  <c r="H18" i="23" s="1"/>
  <c r="G20" i="23"/>
  <c r="I22" i="22" a="1"/>
  <c r="I22" i="22" s="1"/>
  <c r="I23" i="22" a="1"/>
  <c r="I23" i="22" s="1"/>
  <c r="H26" i="22"/>
  <c r="H21" i="22"/>
  <c r="H25" i="22"/>
  <c r="I27" i="22" a="1"/>
  <c r="I27" i="22" s="1"/>
  <c r="I26" i="22" a="1"/>
  <c r="I26" i="22" s="1"/>
  <c r="H20" i="22"/>
  <c r="H45" i="22"/>
  <c r="I21" i="22" a="1"/>
  <c r="I21" i="22" s="1"/>
  <c r="I25" i="22" a="1"/>
  <c r="I25" i="22" s="1"/>
  <c r="H24" i="22"/>
  <c r="H23" i="22"/>
  <c r="I24" i="22" a="1"/>
  <c r="I24" i="22" s="1"/>
  <c r="H27" i="22"/>
  <c r="H44" i="22" s="1"/>
  <c r="I44" i="22" s="1"/>
  <c r="I20" i="22" a="1"/>
  <c r="I20" i="22" s="1"/>
  <c r="H22" i="22"/>
  <c r="H27" i="9"/>
  <c r="H26" i="9"/>
  <c r="H25" i="9"/>
  <c r="I26" i="9" a="1"/>
  <c r="I26" i="9" s="1"/>
  <c r="I25" i="9" a="1"/>
  <c r="I25" i="9" s="1"/>
  <c r="I27" i="9" a="1"/>
  <c r="I27" i="9" s="1"/>
  <c r="I19" i="10" a="1"/>
  <c r="I19" i="10" s="1"/>
  <c r="H24" i="10"/>
  <c r="H23" i="10"/>
  <c r="H22" i="10"/>
  <c r="I22" i="10" a="1"/>
  <c r="I22" i="10" s="1"/>
  <c r="I23" i="10" a="1"/>
  <c r="I23" i="10" s="1"/>
  <c r="I24" i="10" a="1"/>
  <c r="I24" i="10" s="1"/>
  <c r="B20" i="9"/>
  <c r="I20" i="9" s="1" a="1"/>
  <c r="I20" i="9" s="1"/>
  <c r="H24" i="9"/>
  <c r="H23" i="9"/>
  <c r="H22" i="9"/>
  <c r="I23" i="9" a="1"/>
  <c r="I23" i="9" s="1"/>
  <c r="I24" i="9" a="1"/>
  <c r="I24" i="9" s="1"/>
  <c r="B17" i="10"/>
  <c r="I17" i="10" s="1" a="1"/>
  <c r="I17" i="10" s="1"/>
  <c r="H20" i="10"/>
  <c r="H21" i="10"/>
  <c r="H19" i="10"/>
  <c r="I20" i="10" a="1"/>
  <c r="I20" i="10" s="1"/>
  <c r="I21" i="10" a="1"/>
  <c r="I21" i="10" s="1"/>
  <c r="E3" i="15"/>
  <c r="K8" i="15"/>
  <c r="K7" i="15"/>
  <c r="K6" i="15"/>
  <c r="G21" i="4"/>
  <c r="G20" i="4"/>
  <c r="G19" i="4"/>
  <c r="G22" i="4"/>
  <c r="H21" i="4" a="1"/>
  <c r="H21" i="4" s="1"/>
  <c r="H22" i="4" a="1"/>
  <c r="H22" i="4" s="1"/>
  <c r="H20" i="4" a="1"/>
  <c r="H20" i="4" s="1"/>
  <c r="BA3" i="14"/>
  <c r="AZ34" i="14"/>
  <c r="AZ32" i="14"/>
  <c r="AZ30" i="14"/>
  <c r="AZ28" i="14"/>
  <c r="AZ26" i="14"/>
  <c r="AZ24" i="14"/>
  <c r="AZ27" i="14"/>
  <c r="AZ33" i="14"/>
  <c r="AZ19" i="14"/>
  <c r="AZ17" i="14"/>
  <c r="AZ15" i="14"/>
  <c r="AZ21" i="14"/>
  <c r="AZ31" i="14"/>
  <c r="AZ29" i="14"/>
  <c r="AZ25" i="14"/>
  <c r="AZ22" i="14"/>
  <c r="AZ14" i="14"/>
  <c r="AZ12" i="14"/>
  <c r="AZ10" i="14"/>
  <c r="AZ8" i="14"/>
  <c r="AZ6" i="14"/>
  <c r="AZ4" i="14"/>
  <c r="AZ18" i="14"/>
  <c r="AZ23" i="14"/>
  <c r="AZ13" i="14"/>
  <c r="AZ11" i="14"/>
  <c r="AZ9" i="14"/>
  <c r="AZ20" i="14"/>
  <c r="AZ7" i="14"/>
  <c r="AZ16" i="14"/>
  <c r="AZ5" i="14"/>
  <c r="G18" i="4"/>
  <c r="G17" i="4"/>
  <c r="H22" i="12"/>
  <c r="H21" i="12"/>
  <c r="H20" i="12"/>
  <c r="I20" i="12" a="1"/>
  <c r="I20" i="12" s="1"/>
  <c r="H18" i="10"/>
  <c r="H17" i="10"/>
  <c r="H20" i="9"/>
  <c r="H21" i="9"/>
  <c r="H18" i="4" a="1"/>
  <c r="H18" i="4" s="1"/>
  <c r="H19" i="4" a="1"/>
  <c r="H19" i="4" s="1"/>
  <c r="I21" i="9" a="1"/>
  <c r="I21" i="9" s="1"/>
  <c r="I22" i="9" a="1"/>
  <c r="I22" i="9" s="1"/>
  <c r="I23" i="12" a="1"/>
  <c r="I23" i="12" s="1"/>
  <c r="I18" i="10" a="1"/>
  <c r="I18" i="10" s="1"/>
  <c r="I22" i="12" a="1"/>
  <c r="I22" i="12" s="1"/>
  <c r="I21" i="12" a="1"/>
  <c r="I21" i="12" s="1"/>
  <c r="J26" i="15"/>
  <c r="K4" i="15"/>
  <c r="J25" i="15" s="1"/>
  <c r="K25" i="15" s="1"/>
  <c r="K3" i="15"/>
  <c r="G42" i="4"/>
  <c r="H42" i="10"/>
  <c r="G41" i="23" l="1"/>
  <c r="H41" i="23" s="1"/>
  <c r="G40" i="23"/>
  <c r="H40" i="23" s="1"/>
  <c r="G37" i="23"/>
  <c r="A12" i="23" s="1"/>
  <c r="H43" i="22"/>
  <c r="I43" i="22" s="1"/>
  <c r="H40" i="22"/>
  <c r="B15" i="22" s="1"/>
  <c r="G21" i="7"/>
  <c r="BB3" i="14"/>
  <c r="BA34" i="14"/>
  <c r="BA32" i="14"/>
  <c r="BA30" i="14"/>
  <c r="BA28" i="14"/>
  <c r="BA26" i="14"/>
  <c r="BA27" i="14"/>
  <c r="BA33" i="14"/>
  <c r="BA29" i="14"/>
  <c r="BA23" i="14"/>
  <c r="BA21" i="14"/>
  <c r="BA31" i="14"/>
  <c r="BA25" i="14"/>
  <c r="BA24" i="14"/>
  <c r="BA22" i="14"/>
  <c r="BA14" i="14"/>
  <c r="BA12" i="14"/>
  <c r="BA10" i="14"/>
  <c r="BA8" i="14"/>
  <c r="BA6" i="14"/>
  <c r="BA4" i="14"/>
  <c r="BA17" i="14"/>
  <c r="BA18" i="14"/>
  <c r="BA13" i="14"/>
  <c r="BA11" i="14"/>
  <c r="BA9" i="14"/>
  <c r="BA19" i="14"/>
  <c r="BA15" i="14"/>
  <c r="BA20" i="14"/>
  <c r="BA16" i="14"/>
  <c r="BA7" i="14"/>
  <c r="BA5" i="14"/>
  <c r="G41" i="4"/>
  <c r="H41" i="4" s="1"/>
  <c r="J24" i="15"/>
  <c r="K24" i="15" s="1"/>
  <c r="G40" i="4"/>
  <c r="H40" i="4" s="1"/>
  <c r="H45" i="12"/>
  <c r="H44" i="12"/>
  <c r="I44" i="12" s="1"/>
  <c r="H44" i="9"/>
  <c r="I44" i="9" s="1"/>
  <c r="H40" i="9"/>
  <c r="H37" i="10"/>
  <c r="H40" i="10"/>
  <c r="I40" i="10" s="1"/>
  <c r="H43" i="9"/>
  <c r="I43" i="9" s="1"/>
  <c r="H40" i="12"/>
  <c r="H45" i="9"/>
  <c r="H41" i="10"/>
  <c r="I41" i="10" s="1"/>
  <c r="H43" i="12"/>
  <c r="I43" i="12" s="1"/>
  <c r="BC3" i="14" l="1"/>
  <c r="BB34" i="14"/>
  <c r="BB30" i="14"/>
  <c r="BB25" i="14"/>
  <c r="BB22" i="14"/>
  <c r="BB33" i="14"/>
  <c r="BB24" i="14"/>
  <c r="BB31" i="14"/>
  <c r="BB29" i="14"/>
  <c r="BB27" i="14"/>
  <c r="BB28" i="14"/>
  <c r="BB23" i="14"/>
  <c r="BB19" i="14"/>
  <c r="BB17" i="14"/>
  <c r="BB15" i="14"/>
  <c r="BB21" i="14"/>
  <c r="BB18" i="14"/>
  <c r="BB13" i="14"/>
  <c r="BB11" i="14"/>
  <c r="BB9" i="14"/>
  <c r="BB32" i="14"/>
  <c r="BB20" i="14"/>
  <c r="BB16" i="14"/>
  <c r="BB26" i="14"/>
  <c r="BB14" i="14"/>
  <c r="BB12" i="14"/>
  <c r="BB10" i="14"/>
  <c r="BB8" i="14"/>
  <c r="BB7" i="14"/>
  <c r="BB5" i="14"/>
  <c r="BB4" i="14"/>
  <c r="BB6" i="14"/>
  <c r="K27" i="15"/>
  <c r="B29" i="15" s="1"/>
  <c r="I46" i="9"/>
  <c r="B15" i="9" s="1"/>
  <c r="I46" i="12"/>
  <c r="B15" i="12" s="1"/>
  <c r="I43" i="10"/>
  <c r="B12" i="10" s="1"/>
  <c r="BD3" i="14" l="1"/>
  <c r="BC34" i="14"/>
  <c r="BC32" i="14"/>
  <c r="BC30" i="14"/>
  <c r="BC25" i="14"/>
  <c r="BC22" i="14"/>
  <c r="BC33" i="14"/>
  <c r="BC27" i="14"/>
  <c r="BC29" i="14"/>
  <c r="BC20" i="14"/>
  <c r="BC18" i="14"/>
  <c r="BC16" i="14"/>
  <c r="BC24" i="14"/>
  <c r="BC28" i="14"/>
  <c r="BC23" i="14"/>
  <c r="BC26" i="14"/>
  <c r="BC21" i="14"/>
  <c r="BC17" i="14"/>
  <c r="BC9" i="14"/>
  <c r="BC7" i="14"/>
  <c r="BC13" i="14"/>
  <c r="BC11" i="14"/>
  <c r="BC19" i="14"/>
  <c r="BC15" i="14"/>
  <c r="BC14" i="14"/>
  <c r="BC12" i="14"/>
  <c r="BC10" i="14"/>
  <c r="BC8" i="14"/>
  <c r="BC6" i="14"/>
  <c r="BC4" i="14"/>
  <c r="BC31" i="14"/>
  <c r="BC5" i="14"/>
  <c r="BE3" i="14" l="1"/>
  <c r="BD33" i="14"/>
  <c r="BD31" i="14"/>
  <c r="BD29" i="14"/>
  <c r="BD27" i="14"/>
  <c r="BD25" i="14"/>
  <c r="BD28" i="14"/>
  <c r="BD20" i="14"/>
  <c r="BD18" i="14"/>
  <c r="BD16" i="14"/>
  <c r="BD34" i="14"/>
  <c r="BD24" i="14"/>
  <c r="BD22" i="14"/>
  <c r="BD30" i="14"/>
  <c r="BD23" i="14"/>
  <c r="BD26" i="14"/>
  <c r="BD21" i="14"/>
  <c r="BD32" i="14"/>
  <c r="BD13" i="14"/>
  <c r="BD11" i="14"/>
  <c r="BD9" i="14"/>
  <c r="BD7" i="14"/>
  <c r="BD5" i="14"/>
  <c r="BD19" i="14"/>
  <c r="BD15" i="14"/>
  <c r="BD14" i="14"/>
  <c r="BD12" i="14"/>
  <c r="BD10" i="14"/>
  <c r="BD8" i="14"/>
  <c r="BD17" i="14"/>
  <c r="BD6" i="14"/>
  <c r="BD4" i="14"/>
  <c r="BF3" i="14" l="1"/>
  <c r="BE33" i="14"/>
  <c r="BE31" i="14"/>
  <c r="BE29" i="14"/>
  <c r="BE27" i="14"/>
  <c r="BE25" i="14"/>
  <c r="BE28" i="14"/>
  <c r="BE32" i="14"/>
  <c r="BE34" i="14"/>
  <c r="BE30" i="14"/>
  <c r="BE22" i="14"/>
  <c r="BE24" i="14"/>
  <c r="BE23" i="14"/>
  <c r="BE26" i="14"/>
  <c r="BE21" i="14"/>
  <c r="BE18" i="14"/>
  <c r="BE13" i="14"/>
  <c r="BE11" i="14"/>
  <c r="BE9" i="14"/>
  <c r="BE7" i="14"/>
  <c r="BE5" i="14"/>
  <c r="BE19" i="14"/>
  <c r="BE15" i="14"/>
  <c r="BE20" i="14"/>
  <c r="BE16" i="14"/>
  <c r="BE14" i="14"/>
  <c r="BE12" i="14"/>
  <c r="BE10" i="14"/>
  <c r="BE8" i="14"/>
  <c r="BE17" i="14"/>
  <c r="BE6" i="14"/>
  <c r="BE4" i="14"/>
  <c r="BG3" i="14" l="1"/>
  <c r="BF32" i="14"/>
  <c r="BF31" i="14"/>
  <c r="BF26" i="14"/>
  <c r="BF23" i="14"/>
  <c r="BF21" i="14"/>
  <c r="BF33" i="14"/>
  <c r="BF34" i="14"/>
  <c r="BF24" i="14"/>
  <c r="BF27" i="14"/>
  <c r="BF25" i="14"/>
  <c r="BF22" i="14"/>
  <c r="BF30" i="14"/>
  <c r="BF28" i="14"/>
  <c r="BF20" i="14"/>
  <c r="BF18" i="14"/>
  <c r="BF16" i="14"/>
  <c r="BF29" i="14"/>
  <c r="BF19" i="14"/>
  <c r="BF15" i="14"/>
  <c r="BF14" i="14"/>
  <c r="BF12" i="14"/>
  <c r="BF10" i="14"/>
  <c r="BF8" i="14"/>
  <c r="BF17" i="14"/>
  <c r="BF13" i="14"/>
  <c r="BF11" i="14"/>
  <c r="BF9" i="14"/>
  <c r="BF5" i="14"/>
  <c r="BF6" i="14"/>
  <c r="BF4" i="14"/>
  <c r="BF7" i="14"/>
  <c r="G37" i="4"/>
  <c r="BH3" i="14" l="1"/>
  <c r="BG33" i="14"/>
  <c r="BG31" i="14"/>
  <c r="BG26" i="14"/>
  <c r="BG23" i="14"/>
  <c r="BG21" i="14"/>
  <c r="BG24" i="14"/>
  <c r="BG34" i="14"/>
  <c r="BG28" i="14"/>
  <c r="BG25" i="14"/>
  <c r="BG27" i="14"/>
  <c r="BG22" i="14"/>
  <c r="BG19" i="14"/>
  <c r="BG17" i="14"/>
  <c r="BG15" i="14"/>
  <c r="BG30" i="14"/>
  <c r="BG32" i="14"/>
  <c r="BG29" i="14"/>
  <c r="BG6" i="14"/>
  <c r="BG14" i="14"/>
  <c r="BG12" i="14"/>
  <c r="BG10" i="14"/>
  <c r="BG8" i="14"/>
  <c r="BG20" i="14"/>
  <c r="BG16" i="14"/>
  <c r="BG13" i="14"/>
  <c r="BG11" i="14"/>
  <c r="BG9" i="14"/>
  <c r="BG7" i="14"/>
  <c r="BG5" i="14"/>
  <c r="BG18" i="14"/>
  <c r="BG4" i="14"/>
  <c r="H43" i="4"/>
  <c r="A12" i="4" s="1"/>
  <c r="BI3" i="14" l="1"/>
  <c r="BH34" i="14"/>
  <c r="BH32" i="14"/>
  <c r="BH30" i="14"/>
  <c r="BH28" i="14"/>
  <c r="BH26" i="14"/>
  <c r="BH24" i="14"/>
  <c r="BH29" i="14"/>
  <c r="BH33" i="14"/>
  <c r="BH25" i="14"/>
  <c r="BH22" i="14"/>
  <c r="BH19" i="14"/>
  <c r="BH17" i="14"/>
  <c r="BH15" i="14"/>
  <c r="BH23" i="14"/>
  <c r="BH21" i="14"/>
  <c r="BH31" i="14"/>
  <c r="BH27" i="14"/>
  <c r="BH14" i="14"/>
  <c r="BH12" i="14"/>
  <c r="BH10" i="14"/>
  <c r="BH8" i="14"/>
  <c r="BH6" i="14"/>
  <c r="BH4" i="14"/>
  <c r="BH20" i="14"/>
  <c r="BH16" i="14"/>
  <c r="BH13" i="14"/>
  <c r="BH11" i="14"/>
  <c r="BH9" i="14"/>
  <c r="BH18" i="14"/>
  <c r="BH7" i="14"/>
  <c r="BH5" i="14"/>
  <c r="BJ3" i="14" l="1"/>
  <c r="BI34" i="14"/>
  <c r="BI32" i="14"/>
  <c r="BI30" i="14"/>
  <c r="BI28" i="14"/>
  <c r="BI26" i="14"/>
  <c r="BI29" i="14"/>
  <c r="BI24" i="14"/>
  <c r="BI33" i="14"/>
  <c r="BI31" i="14"/>
  <c r="BI23" i="14"/>
  <c r="BI21" i="14"/>
  <c r="BI27" i="14"/>
  <c r="BI19" i="14"/>
  <c r="BI15" i="14"/>
  <c r="BI14" i="14"/>
  <c r="BI12" i="14"/>
  <c r="BI10" i="14"/>
  <c r="BI8" i="14"/>
  <c r="BI6" i="14"/>
  <c r="BI4" i="14"/>
  <c r="BI25" i="14"/>
  <c r="BI22" i="14"/>
  <c r="BI20" i="14"/>
  <c r="BI16" i="14"/>
  <c r="BI17" i="14"/>
  <c r="BI13" i="14"/>
  <c r="BI11" i="14"/>
  <c r="BI9" i="14"/>
  <c r="BI18" i="14"/>
  <c r="BI7" i="14"/>
  <c r="BI5" i="14"/>
  <c r="BK3" i="14" l="1"/>
  <c r="BJ33" i="14"/>
  <c r="BJ27" i="14"/>
  <c r="BJ22" i="14"/>
  <c r="BJ34" i="14"/>
  <c r="BJ32" i="14"/>
  <c r="BJ30" i="14"/>
  <c r="BJ23" i="14"/>
  <c r="BJ21" i="14"/>
  <c r="BJ28" i="14"/>
  <c r="BJ26" i="14"/>
  <c r="BJ31" i="14"/>
  <c r="BJ29" i="14"/>
  <c r="BJ25" i="14"/>
  <c r="BJ19" i="14"/>
  <c r="BJ17" i="14"/>
  <c r="BJ15" i="14"/>
  <c r="BJ20" i="14"/>
  <c r="BJ16" i="14"/>
  <c r="BJ13" i="14"/>
  <c r="BJ11" i="14"/>
  <c r="BJ9" i="14"/>
  <c r="BJ18" i="14"/>
  <c r="BJ24" i="14"/>
  <c r="BJ4" i="14"/>
  <c r="BJ6" i="14"/>
  <c r="BJ7" i="14"/>
  <c r="BJ5" i="14"/>
  <c r="BJ14" i="14"/>
  <c r="BJ12" i="14"/>
  <c r="BJ10" i="14"/>
  <c r="BJ8" i="14"/>
  <c r="BL3" i="14" l="1"/>
  <c r="BK34" i="14"/>
  <c r="BK32" i="14"/>
  <c r="BK27" i="14"/>
  <c r="BK22" i="14"/>
  <c r="BK29" i="14"/>
  <c r="BK26" i="14"/>
  <c r="BK24" i="14"/>
  <c r="BK30" i="14"/>
  <c r="BK23" i="14"/>
  <c r="BK21" i="14"/>
  <c r="BK28" i="14"/>
  <c r="BK20" i="14"/>
  <c r="BK18" i="14"/>
  <c r="BK16" i="14"/>
  <c r="BK31" i="14"/>
  <c r="BK25" i="14"/>
  <c r="BK7" i="14"/>
  <c r="BK33" i="14"/>
  <c r="BK13" i="14"/>
  <c r="BK11" i="14"/>
  <c r="BK9" i="14"/>
  <c r="BK17" i="14"/>
  <c r="BK14" i="14"/>
  <c r="BK12" i="14"/>
  <c r="BK10" i="14"/>
  <c r="BK8" i="14"/>
  <c r="BK6" i="14"/>
  <c r="BK4" i="14"/>
  <c r="BK15" i="14"/>
  <c r="BK19" i="14"/>
  <c r="BK5" i="14"/>
  <c r="BM3" i="14" l="1"/>
  <c r="BL33" i="14"/>
  <c r="BL31" i="14"/>
  <c r="BL29" i="14"/>
  <c r="BL27" i="14"/>
  <c r="BL25" i="14"/>
  <c r="BL30" i="14"/>
  <c r="BL34" i="14"/>
  <c r="BL28" i="14"/>
  <c r="BL20" i="14"/>
  <c r="BL18" i="14"/>
  <c r="BL16" i="14"/>
  <c r="BL26" i="14"/>
  <c r="BL32" i="14"/>
  <c r="BL24" i="14"/>
  <c r="BL22" i="14"/>
  <c r="BL13" i="14"/>
  <c r="BL11" i="14"/>
  <c r="BL9" i="14"/>
  <c r="BL7" i="14"/>
  <c r="BL5" i="14"/>
  <c r="BL17" i="14"/>
  <c r="BL23" i="14"/>
  <c r="BL14" i="14"/>
  <c r="BL12" i="14"/>
  <c r="BL10" i="14"/>
  <c r="BL8" i="14"/>
  <c r="BL19" i="14"/>
  <c r="BL15" i="14"/>
  <c r="BL21" i="14"/>
  <c r="BL4" i="14"/>
  <c r="BL6" i="14"/>
  <c r="BN3" i="14" l="1"/>
  <c r="BM33" i="14"/>
  <c r="BM31" i="14"/>
  <c r="BM29" i="14"/>
  <c r="BM27" i="14"/>
  <c r="BM25" i="14"/>
  <c r="BM30" i="14"/>
  <c r="BM34" i="14"/>
  <c r="BM22" i="14"/>
  <c r="BM26" i="14"/>
  <c r="BM32" i="14"/>
  <c r="BM24" i="14"/>
  <c r="BM23" i="14"/>
  <c r="BM21" i="14"/>
  <c r="BM13" i="14"/>
  <c r="BM11" i="14"/>
  <c r="BM9" i="14"/>
  <c r="BM7" i="14"/>
  <c r="BM5" i="14"/>
  <c r="BM17" i="14"/>
  <c r="BM18" i="14"/>
  <c r="BM28" i="14"/>
  <c r="BM14" i="14"/>
  <c r="BM12" i="14"/>
  <c r="BM10" i="14"/>
  <c r="BM8" i="14"/>
  <c r="BM19" i="14"/>
  <c r="BM15" i="14"/>
  <c r="BM20" i="14"/>
  <c r="BM4" i="14"/>
  <c r="BM6" i="14"/>
  <c r="BM16" i="14"/>
  <c r="BO3" i="14" l="1"/>
  <c r="BN34" i="14"/>
  <c r="BN28" i="14"/>
  <c r="BN25" i="14"/>
  <c r="BN23" i="14"/>
  <c r="BN21" i="14"/>
  <c r="BN33" i="14"/>
  <c r="BN26" i="14"/>
  <c r="BN32" i="14"/>
  <c r="BN31" i="14"/>
  <c r="BN29" i="14"/>
  <c r="BN24" i="14"/>
  <c r="BN27" i="14"/>
  <c r="BN22" i="14"/>
  <c r="BN20" i="14"/>
  <c r="BN18" i="14"/>
  <c r="BN16" i="14"/>
  <c r="BN17" i="14"/>
  <c r="BN30" i="14"/>
  <c r="BN14" i="14"/>
  <c r="BN12" i="14"/>
  <c r="BN10" i="14"/>
  <c r="BN8" i="14"/>
  <c r="BN19" i="14"/>
  <c r="BN15" i="14"/>
  <c r="BN6" i="14"/>
  <c r="BN5" i="14"/>
  <c r="BN4" i="14"/>
  <c r="BN7" i="14"/>
  <c r="BN13" i="14"/>
  <c r="BN11" i="14"/>
  <c r="BN9" i="14"/>
  <c r="BP3" i="14" l="1"/>
  <c r="BO33" i="14"/>
  <c r="BO28" i="14"/>
  <c r="BO25" i="14"/>
  <c r="BO23" i="14"/>
  <c r="BO21" i="14"/>
  <c r="BO30" i="14"/>
  <c r="BO27" i="14"/>
  <c r="BO34" i="14"/>
  <c r="BO32" i="14"/>
  <c r="BO19" i="14"/>
  <c r="BO17" i="14"/>
  <c r="BO15" i="14"/>
  <c r="BO31" i="14"/>
  <c r="BO29" i="14"/>
  <c r="BO24" i="14"/>
  <c r="BO22" i="14"/>
  <c r="BO8" i="14"/>
  <c r="BO6" i="14"/>
  <c r="BO18" i="14"/>
  <c r="BO14" i="14"/>
  <c r="BO12" i="14"/>
  <c r="BO10" i="14"/>
  <c r="BO26" i="14"/>
  <c r="BO20" i="14"/>
  <c r="BO16" i="14"/>
  <c r="BO13" i="14"/>
  <c r="BO11" i="14"/>
  <c r="BO9" i="14"/>
  <c r="BO7" i="14"/>
  <c r="BO5" i="14"/>
  <c r="BO4" i="14"/>
  <c r="BQ3" i="14" l="1"/>
  <c r="BP34" i="14"/>
  <c r="BP32" i="14"/>
  <c r="BP30" i="14"/>
  <c r="BP28" i="14"/>
  <c r="BP26" i="14"/>
  <c r="BP24" i="14"/>
  <c r="BP31" i="14"/>
  <c r="BP33" i="14"/>
  <c r="BP19" i="14"/>
  <c r="BP17" i="14"/>
  <c r="BP15" i="14"/>
  <c r="BP29" i="14"/>
  <c r="BP22" i="14"/>
  <c r="BP27" i="14"/>
  <c r="BP25" i="14"/>
  <c r="BP23" i="14"/>
  <c r="BP21" i="14"/>
  <c r="BP18" i="14"/>
  <c r="BP14" i="14"/>
  <c r="BP12" i="14"/>
  <c r="BP10" i="14"/>
  <c r="BP8" i="14"/>
  <c r="BP6" i="14"/>
  <c r="BP4" i="14"/>
  <c r="BP20" i="14"/>
  <c r="BP16" i="14"/>
  <c r="BP13" i="14"/>
  <c r="BP11" i="14"/>
  <c r="BP9" i="14"/>
  <c r="BP5" i="14"/>
  <c r="BP7" i="14"/>
  <c r="BR3" i="14" l="1"/>
  <c r="BQ34" i="14"/>
  <c r="BQ32" i="14"/>
  <c r="BQ30" i="14"/>
  <c r="BQ28" i="14"/>
  <c r="BQ26" i="14"/>
  <c r="BQ31" i="14"/>
  <c r="BQ24" i="14"/>
  <c r="BQ33" i="14"/>
  <c r="BQ25" i="14"/>
  <c r="BQ23" i="14"/>
  <c r="BQ29" i="14"/>
  <c r="BQ22" i="14"/>
  <c r="BQ27" i="14"/>
  <c r="BQ21" i="14"/>
  <c r="BQ18" i="14"/>
  <c r="BQ14" i="14"/>
  <c r="BQ12" i="14"/>
  <c r="BQ10" i="14"/>
  <c r="BQ8" i="14"/>
  <c r="BQ6" i="14"/>
  <c r="BQ4" i="14"/>
  <c r="BQ19" i="14"/>
  <c r="BQ15" i="14"/>
  <c r="BQ20" i="14"/>
  <c r="BQ16" i="14"/>
  <c r="BQ13" i="14"/>
  <c r="BQ11" i="14"/>
  <c r="BQ9" i="14"/>
  <c r="BQ5" i="14"/>
  <c r="BQ7" i="14"/>
  <c r="BQ17" i="14"/>
  <c r="BS3" i="14" l="1"/>
  <c r="BR24" i="14"/>
  <c r="BR32" i="14"/>
  <c r="BR29" i="14"/>
  <c r="BR26" i="14"/>
  <c r="BR22" i="14"/>
  <c r="BR33" i="14"/>
  <c r="BR34" i="14"/>
  <c r="BR31" i="14"/>
  <c r="BR27" i="14"/>
  <c r="BR25" i="14"/>
  <c r="BR21" i="14"/>
  <c r="BR23" i="14"/>
  <c r="BR30" i="14"/>
  <c r="BR28" i="14"/>
  <c r="BR19" i="14"/>
  <c r="BR17" i="14"/>
  <c r="BR15" i="14"/>
  <c r="BR20" i="14"/>
  <c r="BR16" i="14"/>
  <c r="BR13" i="14"/>
  <c r="BR11" i="14"/>
  <c r="BR9" i="14"/>
  <c r="BR7" i="14"/>
  <c r="BR5" i="14"/>
  <c r="BR4" i="14"/>
  <c r="BR14" i="14"/>
  <c r="BR12" i="14"/>
  <c r="BR10" i="14"/>
  <c r="BR8" i="14"/>
  <c r="BR18" i="14"/>
  <c r="BR6" i="14"/>
  <c r="BT3" i="14" l="1"/>
  <c r="BS34" i="14"/>
  <c r="BS32" i="14"/>
  <c r="BS29" i="14"/>
  <c r="BS26" i="14"/>
  <c r="BS22" i="14"/>
  <c r="BS33" i="14"/>
  <c r="BS31" i="14"/>
  <c r="BS28" i="14"/>
  <c r="BS27" i="14"/>
  <c r="BS20" i="14"/>
  <c r="BS18" i="14"/>
  <c r="BS16" i="14"/>
  <c r="BS25" i="14"/>
  <c r="BS24" i="14"/>
  <c r="BS21" i="14"/>
  <c r="BS23" i="14"/>
  <c r="BS30" i="14"/>
  <c r="BS9" i="14"/>
  <c r="BS7" i="14"/>
  <c r="BS19" i="14"/>
  <c r="BS15" i="14"/>
  <c r="BS13" i="14"/>
  <c r="BS11" i="14"/>
  <c r="BS17" i="14"/>
  <c r="BS14" i="14"/>
  <c r="BS12" i="14"/>
  <c r="BS10" i="14"/>
  <c r="BS8" i="14"/>
  <c r="BS6" i="14"/>
  <c r="BS4" i="14"/>
  <c r="BS5" i="14"/>
  <c r="BU3" i="14" l="1"/>
  <c r="BT33" i="14"/>
  <c r="BT31" i="14"/>
  <c r="BT29" i="14"/>
  <c r="BT27" i="14"/>
  <c r="BT25" i="14"/>
  <c r="BT32" i="14"/>
  <c r="BT34" i="14"/>
  <c r="BT24" i="14"/>
  <c r="BT20" i="14"/>
  <c r="BT18" i="14"/>
  <c r="BT16" i="14"/>
  <c r="BT22" i="14"/>
  <c r="BT21" i="14"/>
  <c r="BT23" i="14"/>
  <c r="BT30" i="14"/>
  <c r="BT28" i="14"/>
  <c r="BT26" i="14"/>
  <c r="BT19" i="14"/>
  <c r="BT15" i="14"/>
  <c r="BT13" i="14"/>
  <c r="BT11" i="14"/>
  <c r="BT9" i="14"/>
  <c r="BT7" i="14"/>
  <c r="BT5" i="14"/>
  <c r="BT17" i="14"/>
  <c r="BT14" i="14"/>
  <c r="BT12" i="14"/>
  <c r="BT10" i="14"/>
  <c r="BT8" i="14"/>
  <c r="BT4" i="14"/>
  <c r="BT6" i="14"/>
  <c r="BV3" i="14" l="1"/>
  <c r="BU33" i="14"/>
  <c r="BU31" i="14"/>
  <c r="BU29" i="14"/>
  <c r="BU27" i="14"/>
  <c r="BU25" i="14"/>
  <c r="BU34" i="14"/>
  <c r="BU26" i="14"/>
  <c r="BU22" i="14"/>
  <c r="BU32" i="14"/>
  <c r="BU21" i="14"/>
  <c r="BU24" i="14"/>
  <c r="BU23" i="14"/>
  <c r="BU30" i="14"/>
  <c r="BU28" i="14"/>
  <c r="BU19" i="14"/>
  <c r="BU15" i="14"/>
  <c r="BU13" i="14"/>
  <c r="BU11" i="14"/>
  <c r="BU9" i="14"/>
  <c r="BU7" i="14"/>
  <c r="BU5" i="14"/>
  <c r="BU20" i="14"/>
  <c r="BU16" i="14"/>
  <c r="BU17" i="14"/>
  <c r="BU14" i="14"/>
  <c r="BU12" i="14"/>
  <c r="BU10" i="14"/>
  <c r="BU8" i="14"/>
  <c r="BU18" i="14"/>
  <c r="BU4" i="14"/>
  <c r="BU6" i="14"/>
  <c r="BW3" i="14" l="1"/>
  <c r="BV33" i="14"/>
  <c r="BV30" i="14"/>
  <c r="BV27" i="14"/>
  <c r="BV23" i="14"/>
  <c r="BV21" i="14"/>
  <c r="BV34" i="14"/>
  <c r="BV32" i="14"/>
  <c r="BV31" i="14"/>
  <c r="BV29" i="14"/>
  <c r="BV24" i="14"/>
  <c r="BV22" i="14"/>
  <c r="BV25" i="14"/>
  <c r="BV28" i="14"/>
  <c r="BV26" i="14"/>
  <c r="BV20" i="14"/>
  <c r="BV18" i="14"/>
  <c r="BV16" i="14"/>
  <c r="BV17" i="14"/>
  <c r="BV14" i="14"/>
  <c r="BV12" i="14"/>
  <c r="BV10" i="14"/>
  <c r="BV8" i="14"/>
  <c r="BV19" i="14"/>
  <c r="BV4" i="14"/>
  <c r="BV6" i="14"/>
  <c r="BV5" i="14"/>
  <c r="BV13" i="14"/>
  <c r="BV11" i="14"/>
  <c r="BV9" i="14"/>
  <c r="BV15" i="14"/>
  <c r="BV7" i="14"/>
  <c r="BX3" i="14" l="1"/>
  <c r="BW33" i="14"/>
  <c r="BW30" i="14"/>
  <c r="BW27" i="14"/>
  <c r="BW23" i="14"/>
  <c r="BW21" i="14"/>
  <c r="BW34" i="14"/>
  <c r="BW29" i="14"/>
  <c r="BW25" i="14"/>
  <c r="BW19" i="14"/>
  <c r="BW17" i="14"/>
  <c r="BW15" i="14"/>
  <c r="BW28" i="14"/>
  <c r="BW26" i="14"/>
  <c r="BW22" i="14"/>
  <c r="BW20" i="14"/>
  <c r="BW16" i="14"/>
  <c r="BW8" i="14"/>
  <c r="BW14" i="14"/>
  <c r="BW12" i="14"/>
  <c r="BW10" i="14"/>
  <c r="BW6" i="14"/>
  <c r="BW32" i="14"/>
  <c r="BW24" i="14"/>
  <c r="BW18" i="14"/>
  <c r="BW31" i="14"/>
  <c r="BW13" i="14"/>
  <c r="BW11" i="14"/>
  <c r="BW9" i="14"/>
  <c r="BW7" i="14"/>
  <c r="BW5" i="14"/>
  <c r="BW4" i="14"/>
  <c r="BY3" i="14" l="1"/>
  <c r="BX34" i="14"/>
  <c r="BX32" i="14"/>
  <c r="BX30" i="14"/>
  <c r="BX28" i="14"/>
  <c r="BX26" i="14"/>
  <c r="BX24" i="14"/>
  <c r="BX33" i="14"/>
  <c r="BX25" i="14"/>
  <c r="BX27" i="14"/>
  <c r="BX23" i="14"/>
  <c r="BX19" i="14"/>
  <c r="BX17" i="14"/>
  <c r="BX15" i="14"/>
  <c r="BX31" i="14"/>
  <c r="BX22" i="14"/>
  <c r="BX20" i="14"/>
  <c r="BX16" i="14"/>
  <c r="BX14" i="14"/>
  <c r="BX12" i="14"/>
  <c r="BX10" i="14"/>
  <c r="BX8" i="14"/>
  <c r="BX6" i="14"/>
  <c r="BX4" i="14"/>
  <c r="BX18" i="14"/>
  <c r="BX13" i="14"/>
  <c r="BX11" i="14"/>
  <c r="BX9" i="14"/>
  <c r="BX21" i="14"/>
  <c r="BX29" i="14"/>
  <c r="BX5" i="14"/>
  <c r="BX7" i="14"/>
  <c r="BZ3" i="14" l="1"/>
  <c r="BY34" i="14"/>
  <c r="BY32" i="14"/>
  <c r="BY30" i="14"/>
  <c r="BY28" i="14"/>
  <c r="BY26" i="14"/>
  <c r="BY25" i="14"/>
  <c r="BY27" i="14"/>
  <c r="BY23" i="14"/>
  <c r="BY31" i="14"/>
  <c r="BY22" i="14"/>
  <c r="BY33" i="14"/>
  <c r="BY29" i="14"/>
  <c r="BY24" i="14"/>
  <c r="BY21" i="14"/>
  <c r="BY14" i="14"/>
  <c r="BY12" i="14"/>
  <c r="BY10" i="14"/>
  <c r="BY8" i="14"/>
  <c r="BY6" i="14"/>
  <c r="BY4" i="14"/>
  <c r="BY17" i="14"/>
  <c r="BY18" i="14"/>
  <c r="BY13" i="14"/>
  <c r="BY11" i="14"/>
  <c r="BY9" i="14"/>
  <c r="BY19" i="14"/>
  <c r="BY15" i="14"/>
  <c r="BY20" i="14"/>
  <c r="BY16" i="14"/>
  <c r="BY5" i="14"/>
  <c r="BY7" i="14"/>
  <c r="CA3" i="14" l="1"/>
  <c r="BZ34" i="14"/>
  <c r="BZ31" i="14"/>
  <c r="BZ28" i="14"/>
  <c r="BZ24" i="14"/>
  <c r="BZ22" i="14"/>
  <c r="BZ20" i="14"/>
  <c r="BZ33" i="14"/>
  <c r="BZ30" i="14"/>
  <c r="BZ26" i="14"/>
  <c r="BZ29" i="14"/>
  <c r="BZ21" i="14"/>
  <c r="BZ32" i="14"/>
  <c r="BZ19" i="14"/>
  <c r="BZ17" i="14"/>
  <c r="BZ15" i="14"/>
  <c r="BZ27" i="14"/>
  <c r="BZ25" i="14"/>
  <c r="BZ23" i="14"/>
  <c r="BZ18" i="14"/>
  <c r="BZ13" i="14"/>
  <c r="BZ11" i="14"/>
  <c r="BZ9" i="14"/>
  <c r="BZ16" i="14"/>
  <c r="BZ4" i="14"/>
  <c r="BZ5" i="14"/>
  <c r="BZ6" i="14"/>
  <c r="BZ7" i="14"/>
  <c r="BZ14" i="14"/>
  <c r="BZ12" i="14"/>
  <c r="BZ10" i="14"/>
  <c r="BZ8" i="14"/>
  <c r="CB3" i="14" l="1"/>
  <c r="CA34" i="14"/>
  <c r="CA32" i="14"/>
  <c r="CA31" i="14"/>
  <c r="CA28" i="14"/>
  <c r="CA24" i="14"/>
  <c r="CA22" i="14"/>
  <c r="CA20" i="14"/>
  <c r="CA33" i="14"/>
  <c r="CA30" i="14"/>
  <c r="CA25" i="14"/>
  <c r="CA18" i="14"/>
  <c r="CA16" i="14"/>
  <c r="CA26" i="14"/>
  <c r="CA29" i="14"/>
  <c r="CA21" i="14"/>
  <c r="CA27" i="14"/>
  <c r="CA23" i="14"/>
  <c r="CA9" i="14"/>
  <c r="CA17" i="14"/>
  <c r="CA13" i="14"/>
  <c r="CA11" i="14"/>
  <c r="CA7" i="14"/>
  <c r="CA19" i="14"/>
  <c r="CA15" i="14"/>
  <c r="CA14" i="14"/>
  <c r="CA12" i="14"/>
  <c r="CA10" i="14"/>
  <c r="CA8" i="14"/>
  <c r="CA6" i="14"/>
  <c r="CA4" i="14"/>
  <c r="CA5" i="14"/>
  <c r="CC3" i="14" l="1"/>
  <c r="CB33" i="14"/>
  <c r="CB31" i="14"/>
  <c r="CB29" i="14"/>
  <c r="CB27" i="14"/>
  <c r="CB25" i="14"/>
  <c r="CB23" i="14"/>
  <c r="CB34" i="14"/>
  <c r="CB26" i="14"/>
  <c r="CB18" i="14"/>
  <c r="CB16" i="14"/>
  <c r="CB30" i="14"/>
  <c r="CB28" i="14"/>
  <c r="CB21" i="14"/>
  <c r="CB22" i="14"/>
  <c r="CB32" i="14"/>
  <c r="CB24" i="14"/>
  <c r="CB17" i="14"/>
  <c r="CB13" i="14"/>
  <c r="CB11" i="14"/>
  <c r="CB9" i="14"/>
  <c r="CB7" i="14"/>
  <c r="CB5" i="14"/>
  <c r="CB19" i="14"/>
  <c r="CB15" i="14"/>
  <c r="CB14" i="14"/>
  <c r="CB12" i="14"/>
  <c r="CB10" i="14"/>
  <c r="CB8" i="14"/>
  <c r="CB20" i="14"/>
  <c r="CB4" i="14"/>
  <c r="CB6" i="14"/>
  <c r="CD3" i="14" l="1"/>
  <c r="CC33" i="14"/>
  <c r="CC31" i="14"/>
  <c r="CC29" i="14"/>
  <c r="CC27" i="14"/>
  <c r="CC25" i="14"/>
  <c r="CC26" i="14"/>
  <c r="CC28" i="14"/>
  <c r="CC24" i="14"/>
  <c r="CC22" i="14"/>
  <c r="CC34" i="14"/>
  <c r="CC30" i="14"/>
  <c r="CC20" i="14"/>
  <c r="CC21" i="14"/>
  <c r="CC32" i="14"/>
  <c r="CC23" i="14"/>
  <c r="CC13" i="14"/>
  <c r="CC11" i="14"/>
  <c r="CC9" i="14"/>
  <c r="CC7" i="14"/>
  <c r="CC5" i="14"/>
  <c r="CC18" i="14"/>
  <c r="CC19" i="14"/>
  <c r="CC15" i="14"/>
  <c r="CC14" i="14"/>
  <c r="CC12" i="14"/>
  <c r="CC10" i="14"/>
  <c r="CC8" i="14"/>
  <c r="CC16" i="14"/>
  <c r="CC6" i="14"/>
  <c r="CC17" i="14"/>
  <c r="CC4" i="14"/>
  <c r="CE3" i="14" l="1"/>
  <c r="CD32" i="14"/>
  <c r="CD29" i="14"/>
  <c r="CD21" i="14"/>
  <c r="CD33" i="14"/>
  <c r="CD34" i="14"/>
  <c r="CD28" i="14"/>
  <c r="CD20" i="14"/>
  <c r="CD26" i="14"/>
  <c r="CD22" i="14"/>
  <c r="CD31" i="14"/>
  <c r="CD24" i="14"/>
  <c r="CD23" i="14"/>
  <c r="CD27" i="14"/>
  <c r="CD25" i="14"/>
  <c r="CD18" i="14"/>
  <c r="CD16" i="14"/>
  <c r="CD30" i="14"/>
  <c r="CD19" i="14"/>
  <c r="CD15" i="14"/>
  <c r="CD14" i="14"/>
  <c r="CD12" i="14"/>
  <c r="CD10" i="14"/>
  <c r="CD8" i="14"/>
  <c r="CD17" i="14"/>
  <c r="CD6" i="14"/>
  <c r="CD5" i="14"/>
  <c r="CD7" i="14"/>
  <c r="CD13" i="14"/>
  <c r="CD11" i="14"/>
  <c r="CD9" i="14"/>
  <c r="CD4" i="14"/>
  <c r="CF3" i="14" l="1"/>
  <c r="CE33" i="14"/>
  <c r="CE31" i="14"/>
  <c r="CE32" i="14"/>
  <c r="CE29" i="14"/>
  <c r="CE21" i="14"/>
  <c r="CE23" i="14"/>
  <c r="CE34" i="14"/>
  <c r="CE26" i="14"/>
  <c r="CE19" i="14"/>
  <c r="CE17" i="14"/>
  <c r="CE15" i="14"/>
  <c r="CE22" i="14"/>
  <c r="CE24" i="14"/>
  <c r="CE27" i="14"/>
  <c r="CE25" i="14"/>
  <c r="CE30" i="14"/>
  <c r="CE18" i="14"/>
  <c r="CE8" i="14"/>
  <c r="CE6" i="14"/>
  <c r="CE14" i="14"/>
  <c r="CE12" i="14"/>
  <c r="CE10" i="14"/>
  <c r="CE28" i="14"/>
  <c r="CE16" i="14"/>
  <c r="CE20" i="14"/>
  <c r="CE13" i="14"/>
  <c r="CE11" i="14"/>
  <c r="CE9" i="14"/>
  <c r="CE7" i="14"/>
  <c r="CE5" i="14"/>
  <c r="CE4" i="14"/>
  <c r="CG3" i="14" l="1"/>
  <c r="CF34" i="14"/>
  <c r="CF32" i="14"/>
  <c r="CF30" i="14"/>
  <c r="CF28" i="14"/>
  <c r="CF26" i="14"/>
  <c r="CF24" i="14"/>
  <c r="CF23" i="14"/>
  <c r="CF27" i="14"/>
  <c r="CF33" i="14"/>
  <c r="CF31" i="14"/>
  <c r="CF19" i="14"/>
  <c r="CF17" i="14"/>
  <c r="CF15" i="14"/>
  <c r="CF22" i="14"/>
  <c r="CF21" i="14"/>
  <c r="CF29" i="14"/>
  <c r="CF25" i="14"/>
  <c r="CF20" i="14"/>
  <c r="CF14" i="14"/>
  <c r="CF12" i="14"/>
  <c r="CF10" i="14"/>
  <c r="CF8" i="14"/>
  <c r="CF6" i="14"/>
  <c r="CF4" i="14"/>
  <c r="CF16" i="14"/>
  <c r="CF13" i="14"/>
  <c r="CF11" i="14"/>
  <c r="CF9" i="14"/>
  <c r="CF7" i="14"/>
  <c r="CF18" i="14"/>
  <c r="CF5" i="14"/>
  <c r="CH3" i="14" l="1"/>
  <c r="CG34" i="14"/>
  <c r="CG32" i="14"/>
  <c r="CG30" i="14"/>
  <c r="CG28" i="14"/>
  <c r="CG26" i="14"/>
  <c r="CG27" i="14"/>
  <c r="CG33" i="14"/>
  <c r="CG29" i="14"/>
  <c r="CG22" i="14"/>
  <c r="CG21" i="14"/>
  <c r="CG24" i="14"/>
  <c r="CG31" i="14"/>
  <c r="CG25" i="14"/>
  <c r="CG23" i="14"/>
  <c r="CG14" i="14"/>
  <c r="CG12" i="14"/>
  <c r="CG10" i="14"/>
  <c r="CG8" i="14"/>
  <c r="CG6" i="14"/>
  <c r="CG4" i="14"/>
  <c r="CG19" i="14"/>
  <c r="CG15" i="14"/>
  <c r="CG16" i="14"/>
  <c r="CG20" i="14"/>
  <c r="CG13" i="14"/>
  <c r="CG11" i="14"/>
  <c r="CG9" i="14"/>
  <c r="CG17" i="14"/>
  <c r="CG18" i="14"/>
  <c r="CG7" i="14"/>
  <c r="CG5" i="14"/>
  <c r="CI3" i="14" l="1"/>
  <c r="CH33" i="14"/>
  <c r="CH30" i="14"/>
  <c r="CH25" i="14"/>
  <c r="CH22" i="14"/>
  <c r="CH20" i="14"/>
  <c r="CH34" i="14"/>
  <c r="CH23" i="14"/>
  <c r="CH26" i="14"/>
  <c r="CH24" i="14"/>
  <c r="CH31" i="14"/>
  <c r="CH29" i="14"/>
  <c r="CH32" i="14"/>
  <c r="CH27" i="14"/>
  <c r="CH28" i="14"/>
  <c r="CH19" i="14"/>
  <c r="CH17" i="14"/>
  <c r="CH15" i="14"/>
  <c r="CH16" i="14"/>
  <c r="CH13" i="14"/>
  <c r="CH11" i="14"/>
  <c r="CH9" i="14"/>
  <c r="CH7" i="14"/>
  <c r="CH21" i="14"/>
  <c r="CH18" i="14"/>
  <c r="CH4" i="14"/>
  <c r="CH14" i="14"/>
  <c r="CH12" i="14"/>
  <c r="CH10" i="14"/>
  <c r="CH8" i="14"/>
  <c r="CH5" i="14"/>
  <c r="CH6" i="14"/>
  <c r="CJ3" i="14" l="1"/>
  <c r="CI34" i="14"/>
  <c r="CI32" i="14"/>
  <c r="CI33" i="14"/>
  <c r="CI30" i="14"/>
  <c r="CI25" i="14"/>
  <c r="CI22" i="14"/>
  <c r="CI20" i="14"/>
  <c r="CI24" i="14"/>
  <c r="CI27" i="14"/>
  <c r="CI31" i="14"/>
  <c r="CI29" i="14"/>
  <c r="CI18" i="14"/>
  <c r="CI16" i="14"/>
  <c r="CI14" i="14"/>
  <c r="CI23" i="14"/>
  <c r="CI28" i="14"/>
  <c r="CI21" i="14"/>
  <c r="CI19" i="14"/>
  <c r="CI15" i="14"/>
  <c r="CI7" i="14"/>
  <c r="CI13" i="14"/>
  <c r="CI11" i="14"/>
  <c r="CI9" i="14"/>
  <c r="CI26" i="14"/>
  <c r="CI17" i="14"/>
  <c r="CI12" i="14"/>
  <c r="CI10" i="14"/>
  <c r="CI8" i="14"/>
  <c r="CI6" i="14"/>
  <c r="CI4" i="14"/>
  <c r="CI5" i="14"/>
  <c r="CK3" i="14" l="1"/>
  <c r="CJ33" i="14"/>
  <c r="CJ31" i="14"/>
  <c r="CJ29" i="14"/>
  <c r="CJ27" i="14"/>
  <c r="CJ25" i="14"/>
  <c r="CJ23" i="14"/>
  <c r="CJ24" i="14"/>
  <c r="CJ28" i="14"/>
  <c r="CJ34" i="14"/>
  <c r="CJ32" i="14"/>
  <c r="CJ18" i="14"/>
  <c r="CJ16" i="14"/>
  <c r="CJ30" i="14"/>
  <c r="CJ21" i="14"/>
  <c r="CJ26" i="14"/>
  <c r="CJ13" i="14"/>
  <c r="CJ11" i="14"/>
  <c r="CJ9" i="14"/>
  <c r="CJ7" i="14"/>
  <c r="CJ5" i="14"/>
  <c r="CJ20" i="14"/>
  <c r="CJ17" i="14"/>
  <c r="CJ12" i="14"/>
  <c r="CJ10" i="14"/>
  <c r="CJ8" i="14"/>
  <c r="CJ14" i="14"/>
  <c r="CJ22" i="14"/>
  <c r="CJ19" i="14"/>
  <c r="CJ4" i="14"/>
  <c r="CJ15" i="14"/>
  <c r="CJ6" i="14"/>
  <c r="CL3" i="14" l="1"/>
  <c r="CK33" i="14"/>
  <c r="CK31" i="14"/>
  <c r="CK29" i="14"/>
  <c r="CK27" i="14"/>
  <c r="CK25" i="14"/>
  <c r="CK28" i="14"/>
  <c r="CK34" i="14"/>
  <c r="CK32" i="14"/>
  <c r="CK30" i="14"/>
  <c r="CK22" i="14"/>
  <c r="CK24" i="14"/>
  <c r="CK23" i="14"/>
  <c r="CK21" i="14"/>
  <c r="CK26" i="14"/>
  <c r="CK16" i="14"/>
  <c r="CK13" i="14"/>
  <c r="CK11" i="14"/>
  <c r="CK9" i="14"/>
  <c r="CK7" i="14"/>
  <c r="CK5" i="14"/>
  <c r="CK20" i="14"/>
  <c r="CK17" i="14"/>
  <c r="CK18" i="14"/>
  <c r="CK12" i="14"/>
  <c r="CK10" i="14"/>
  <c r="CK8" i="14"/>
  <c r="CK14" i="14"/>
  <c r="CK19" i="14"/>
  <c r="CK15" i="14"/>
  <c r="CK4" i="14"/>
  <c r="CK6" i="14"/>
  <c r="CM3" i="14" l="1"/>
  <c r="CL34" i="14"/>
  <c r="CL26" i="14"/>
  <c r="CL21" i="14"/>
  <c r="CL32" i="14"/>
  <c r="CL24" i="14"/>
  <c r="CL31" i="14"/>
  <c r="CL29" i="14"/>
  <c r="CL23" i="14"/>
  <c r="CL27" i="14"/>
  <c r="CL25" i="14"/>
  <c r="CL30" i="14"/>
  <c r="CL28" i="14"/>
  <c r="CL33" i="14"/>
  <c r="CL22" i="14"/>
  <c r="CL18" i="14"/>
  <c r="CL16" i="14"/>
  <c r="CL20" i="14"/>
  <c r="CL17" i="14"/>
  <c r="CL12" i="14"/>
  <c r="CL10" i="14"/>
  <c r="CL8" i="14"/>
  <c r="CL14" i="14"/>
  <c r="CL19" i="14"/>
  <c r="CL15" i="14"/>
  <c r="CL7" i="14"/>
  <c r="CL4" i="14"/>
  <c r="CL5" i="14"/>
  <c r="CL13" i="14"/>
  <c r="CL11" i="14"/>
  <c r="CL9" i="14"/>
  <c r="CL6" i="14"/>
  <c r="CN3" i="14" l="1"/>
  <c r="CM33" i="14"/>
  <c r="CM31" i="14"/>
  <c r="CM34" i="14"/>
  <c r="CM26" i="14"/>
  <c r="CM21" i="14"/>
  <c r="CM32" i="14"/>
  <c r="CM28" i="14"/>
  <c r="CM25" i="14"/>
  <c r="CM27" i="14"/>
  <c r="CM20" i="14"/>
  <c r="CM19" i="14"/>
  <c r="CM17" i="14"/>
  <c r="CM15" i="14"/>
  <c r="CM30" i="14"/>
  <c r="CM22" i="14"/>
  <c r="CM10" i="14"/>
  <c r="CM23" i="14"/>
  <c r="CM6" i="14"/>
  <c r="CM12" i="14"/>
  <c r="CM8" i="14"/>
  <c r="CM18" i="14"/>
  <c r="CM14" i="14"/>
  <c r="CM24" i="14"/>
  <c r="CM29" i="14"/>
  <c r="CM13" i="14"/>
  <c r="CM11" i="14"/>
  <c r="CM9" i="14"/>
  <c r="CM7" i="14"/>
  <c r="CM5" i="14"/>
  <c r="CM16" i="14"/>
  <c r="CM4" i="14"/>
  <c r="CO3" i="14" l="1"/>
  <c r="CN34" i="14"/>
  <c r="CN32" i="14"/>
  <c r="CN30" i="14"/>
  <c r="CN28" i="14"/>
  <c r="CN26" i="14"/>
  <c r="CN24" i="14"/>
  <c r="CN31" i="14"/>
  <c r="CN29" i="14"/>
  <c r="CN23" i="14"/>
  <c r="CN33" i="14"/>
  <c r="CN27" i="14"/>
  <c r="CN20" i="14"/>
  <c r="CN19" i="14"/>
  <c r="CN17" i="14"/>
  <c r="CN15" i="14"/>
  <c r="CN25" i="14"/>
  <c r="CN21" i="14"/>
  <c r="CN22" i="14"/>
  <c r="CN12" i="14"/>
  <c r="CN10" i="14"/>
  <c r="CN8" i="14"/>
  <c r="CN6" i="14"/>
  <c r="CN4" i="14"/>
  <c r="CN18" i="14"/>
  <c r="CN14" i="14"/>
  <c r="CN13" i="14"/>
  <c r="CN11" i="14"/>
  <c r="CN9" i="14"/>
  <c r="CN16" i="14"/>
  <c r="CN5" i="14"/>
  <c r="CN7" i="14"/>
  <c r="CO34" i="14" l="1"/>
  <c r="CO32" i="14"/>
  <c r="CO30" i="14"/>
  <c r="CO28" i="14"/>
  <c r="CO26" i="14"/>
  <c r="CO31" i="14"/>
  <c r="CO29" i="14"/>
  <c r="CO23" i="14"/>
  <c r="CO33" i="14"/>
  <c r="CO25" i="14"/>
  <c r="CO21" i="14"/>
  <c r="CO22" i="14"/>
  <c r="CO24" i="14"/>
  <c r="CO20" i="14"/>
  <c r="CO17" i="14"/>
  <c r="CO12" i="14"/>
  <c r="CO10" i="14"/>
  <c r="CO8" i="14"/>
  <c r="CO6" i="14"/>
  <c r="CO4" i="14"/>
  <c r="CO18" i="14"/>
  <c r="CO14" i="14"/>
  <c r="CO19" i="14"/>
  <c r="CO15" i="14"/>
  <c r="CO13" i="14"/>
  <c r="CO11" i="14"/>
  <c r="CO9" i="14"/>
  <c r="CO16" i="14"/>
  <c r="CO27" i="14"/>
  <c r="CO5" i="14"/>
  <c r="CO7" i="14"/>
  <c r="F47" i="13" l="1"/>
  <c r="B11" i="14" a="1"/>
  <c r="B11" i="14" s="1"/>
  <c r="D11" i="14" s="1"/>
  <c r="A17" i="7" l="1" a="1"/>
  <c r="H20" i="7" s="1" a="1"/>
  <c r="H20" i="7" s="1"/>
  <c r="E16" i="14" a="1"/>
  <c r="E16" i="14" s="1"/>
  <c r="H5" i="7" a="1"/>
  <c r="H5" i="7" s="1"/>
  <c r="E11" i="14" a="1"/>
  <c r="E11" i="14" s="1"/>
  <c r="H24" i="7" a="1"/>
  <c r="H24" i="7" s="1"/>
  <c r="H32" i="7" a="1"/>
  <c r="H32" i="7" s="1"/>
  <c r="H36" i="7" a="1"/>
  <c r="H36" i="7" s="1"/>
  <c r="H21" i="7" a="1"/>
  <c r="H21" i="7" s="1"/>
  <c r="H33" i="7" a="1"/>
  <c r="H33" i="7" s="1"/>
  <c r="H26" i="7" a="1"/>
  <c r="H26" i="7" s="1"/>
  <c r="H23" i="7" a="1"/>
  <c r="H23" i="7" s="1"/>
  <c r="H25" i="7" a="1"/>
  <c r="H25" i="7" s="1"/>
  <c r="H31" i="7" a="1"/>
  <c r="H31" i="7" s="1"/>
  <c r="H22" i="7" a="1"/>
  <c r="H22" i="7" s="1"/>
  <c r="H27" i="7" a="1"/>
  <c r="H27" i="7" s="1"/>
  <c r="H30" i="7" a="1"/>
  <c r="H30" i="7" s="1"/>
  <c r="H19" i="7" l="1" a="1"/>
  <c r="H19" i="7" s="1"/>
  <c r="G42" i="7"/>
  <c r="G18" i="7"/>
  <c r="G19" i="7"/>
  <c r="H29" i="7" a="1"/>
  <c r="H29" i="7" s="1"/>
  <c r="H35" i="7" a="1"/>
  <c r="H35" i="7" s="1"/>
  <c r="G17" i="7"/>
  <c r="G20" i="7"/>
  <c r="H18" i="7" a="1"/>
  <c r="H18" i="7" s="1"/>
  <c r="A17" i="7"/>
  <c r="H17" i="7" s="1" a="1"/>
  <c r="H17" i="7" s="1"/>
  <c r="H34" i="7" a="1"/>
  <c r="H34" i="7" s="1"/>
  <c r="H28" i="7" a="1"/>
  <c r="H28" i="7" s="1"/>
  <c r="G41" i="7" l="1"/>
  <c r="H41" i="7" s="1"/>
  <c r="G40" i="7"/>
  <c r="H40" i="7" s="1"/>
  <c r="H43" i="7" s="1"/>
  <c r="A12" i="7" s="1"/>
  <c r="G37"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<sst xmlns="http://schemas.openxmlformats.org/spreadsheetml/2006/main" count="6658" uniqueCount="2063">
  <si>
    <t>仕入先コード</t>
  </si>
  <si>
    <t>仕入先名</t>
  </si>
  <si>
    <t>住所１</t>
    <phoneticPr fontId="3"/>
  </si>
  <si>
    <t>住所２</t>
  </si>
  <si>
    <t>電話番号</t>
  </si>
  <si>
    <t>担当者</t>
  </si>
  <si>
    <t>支払条件</t>
  </si>
  <si>
    <t>仕入先見積税区分</t>
    <rPh sb="0" eb="5">
      <t>シイレサキミツ</t>
    </rPh>
    <rPh sb="5" eb="8">
      <t>ゼイクブン</t>
    </rPh>
    <phoneticPr fontId="3"/>
  </si>
  <si>
    <t>紹介文</t>
    <rPh sb="0" eb="2">
      <t>ショウカイ</t>
    </rPh>
    <rPh sb="2" eb="3">
      <t>ブン</t>
    </rPh>
    <phoneticPr fontId="3"/>
  </si>
  <si>
    <t>備考</t>
  </si>
  <si>
    <t>NKH</t>
  </si>
  <si>
    <t>NIKI HILLS</t>
  </si>
  <si>
    <t>NAO</t>
  </si>
  <si>
    <t>Nao-buns</t>
  </si>
  <si>
    <t>NNS</t>
  </si>
  <si>
    <t>にんにく種蔵</t>
  </si>
  <si>
    <t>〒060-0062</t>
    <phoneticPr fontId="3"/>
  </si>
  <si>
    <t>北海道札幌市中央区南２条西１丁目５−６ 第2広和ビル</t>
    <phoneticPr fontId="3"/>
  </si>
  <si>
    <t>090-2035-0229</t>
    <phoneticPr fontId="3"/>
  </si>
  <si>
    <t>佐藤</t>
    <rPh sb="0" eb="2">
      <t>サトウ</t>
    </rPh>
    <phoneticPr fontId="3"/>
  </si>
  <si>
    <t>月末締翌月末払い</t>
  </si>
  <si>
    <t>内税</t>
    <rPh sb="0" eb="2">
      <t>ウチゼイ</t>
    </rPh>
    <phoneticPr fontId="3"/>
  </si>
  <si>
    <t>北海道初のにんにく専門セレクトショップ。自社農園のダイヤモンドにんにくをはじめ、全国より厳選したにんにく商品を取り扱うにんにく専門店です。</t>
    <phoneticPr fontId="3"/>
  </si>
  <si>
    <t>HNM</t>
  </si>
  <si>
    <t>ほんま</t>
  </si>
  <si>
    <t>SZS</t>
  </si>
  <si>
    <t>サザエ食品</t>
  </si>
  <si>
    <t>JEN</t>
  </si>
  <si>
    <t>ジョーエンタープライズ</t>
  </si>
  <si>
    <t>TKP</t>
  </si>
  <si>
    <t>トカプコーヒー</t>
  </si>
  <si>
    <t>HRK</t>
  </si>
  <si>
    <t>ハリカ</t>
  </si>
  <si>
    <t>VGW</t>
  </si>
  <si>
    <t>ベジタブルワークス</t>
  </si>
  <si>
    <t>MTY</t>
  </si>
  <si>
    <t>マルトシ吉野商店</t>
  </si>
  <si>
    <t>IHS</t>
  </si>
  <si>
    <t>井原水産</t>
  </si>
  <si>
    <t>HBJ</t>
  </si>
  <si>
    <t>北海道美女物語</t>
  </si>
  <si>
    <t>HOY</t>
  </si>
  <si>
    <t>北王よいち</t>
  </si>
  <si>
    <t>OKK</t>
  </si>
  <si>
    <t>小樽かね丁鍛冶</t>
  </si>
  <si>
    <t>YSS</t>
  </si>
  <si>
    <t>山下水産</t>
  </si>
  <si>
    <t>UMY</t>
  </si>
  <si>
    <t>梅屋</t>
  </si>
  <si>
    <t>YSD</t>
  </si>
  <si>
    <t>野菜田</t>
  </si>
  <si>
    <t>SKK</t>
  </si>
  <si>
    <t>三海幸</t>
  </si>
  <si>
    <t>TAH</t>
  </si>
  <si>
    <t>月寒あんぱん本舗</t>
  </si>
  <si>
    <t>THG</t>
  </si>
  <si>
    <t>十勝ハーブ牛(ノベルズ食品)</t>
  </si>
  <si>
    <t>BWG</t>
  </si>
  <si>
    <t>びえい和牛(ファームズ千代田)</t>
  </si>
  <si>
    <t>HKM</t>
  </si>
  <si>
    <t>北海道名販</t>
  </si>
  <si>
    <t>WRK</t>
  </si>
  <si>
    <t>わらく堂</t>
  </si>
  <si>
    <t>NKE</t>
  </si>
  <si>
    <t>南華園</t>
  </si>
  <si>
    <t>MRI</t>
  </si>
  <si>
    <t>丸市</t>
  </si>
  <si>
    <t>NBT</t>
  </si>
  <si>
    <t>NORTH BOAT</t>
  </si>
  <si>
    <t>UGP</t>
  </si>
  <si>
    <t>うんがぷらす</t>
  </si>
  <si>
    <t>MFZ</t>
  </si>
  <si>
    <t>エムフローズン</t>
  </si>
  <si>
    <t>LTS</t>
  </si>
  <si>
    <t>リトルスプーン</t>
  </si>
  <si>
    <t>EKS</t>
  </si>
  <si>
    <t>栄興食品</t>
  </si>
  <si>
    <t>KGU</t>
  </si>
  <si>
    <t>北前吟撰(うんがぷらす)</t>
  </si>
  <si>
    <t>FJI</t>
  </si>
  <si>
    <t>FUJI</t>
  </si>
  <si>
    <t>ABF</t>
  </si>
  <si>
    <t>ABE FARM</t>
  </si>
  <si>
    <t>GGM</t>
  </si>
  <si>
    <t>GRS</t>
  </si>
  <si>
    <t>五島列島酒造</t>
    <rPh sb="0" eb="6">
      <t>ゴトウレットウシュゾウ</t>
    </rPh>
    <phoneticPr fontId="1"/>
  </si>
  <si>
    <t>NVP</t>
  </si>
  <si>
    <t>ニセコビュープラザ</t>
  </si>
  <si>
    <t>HAK</t>
    <phoneticPr fontId="3"/>
  </si>
  <si>
    <t>北見ハッカ通商</t>
    <phoneticPr fontId="3"/>
  </si>
  <si>
    <t>〒090-0056</t>
    <phoneticPr fontId="3"/>
  </si>
  <si>
    <t>北海道北見市卸町1丁目7-3</t>
    <phoneticPr fontId="3"/>
  </si>
  <si>
    <t>0157-66-5655</t>
    <phoneticPr fontId="3"/>
  </si>
  <si>
    <t>吉田</t>
    <rPh sb="0" eb="2">
      <t>ヨシダ</t>
    </rPh>
    <phoneticPr fontId="3"/>
  </si>
  <si>
    <t>前金</t>
    <rPh sb="0" eb="2">
      <t>マエキン</t>
    </rPh>
    <phoneticPr fontId="3"/>
  </si>
  <si>
    <t>「北のかおり ハッカ油」でおなじみ、北見ハッカ通商です。紀元前から人々の生活に計り知れない役割を果たしてきた「天然ハッカ」は、かつて世界シェアの70％以上を北見地方で生産していた時代がありました。
この古き良き「ハッカ隆盛時代」の後、時代の変化とともに世界に誇った「ホクレン北見薄荷工場」も閉鎖。すっかり影を潜めてしまった「北見の天然ハッカ」を、今私たち北見ハッカ通商が復元しています。</t>
    <phoneticPr fontId="3"/>
  </si>
  <si>
    <t>CSG</t>
  </si>
  <si>
    <t>CHISE GARDEN</t>
    <phoneticPr fontId="3"/>
  </si>
  <si>
    <t>〒048-1542</t>
    <phoneticPr fontId="3"/>
  </si>
  <si>
    <t>北海道虻田郡ニセコ町字近藤８１７</t>
    <rPh sb="3" eb="4">
      <t>アブ</t>
    </rPh>
    <rPh sb="4" eb="5">
      <t>タ</t>
    </rPh>
    <rPh sb="5" eb="6">
      <t>グン</t>
    </rPh>
    <rPh sb="9" eb="10">
      <t>チョウ</t>
    </rPh>
    <rPh sb="10" eb="11">
      <t>アザ</t>
    </rPh>
    <rPh sb="11" eb="13">
      <t>コンドウ</t>
    </rPh>
    <phoneticPr fontId="3"/>
  </si>
  <si>
    <t>090-1302-4156</t>
    <phoneticPr fontId="3"/>
  </si>
  <si>
    <t>平手千津子</t>
    <rPh sb="0" eb="2">
      <t>ヒラテ</t>
    </rPh>
    <rPh sb="2" eb="5">
      <t>チヅコ</t>
    </rPh>
    <phoneticPr fontId="3"/>
  </si>
  <si>
    <t>月末締翌月末払い</t>
    <phoneticPr fontId="3"/>
  </si>
  <si>
    <r>
      <t>北海道ニセコ町にてワインぶどう無農薬、無化学肥料で野菜やベリーを生産加工販売しています 山野草・宿根草を中心とした</t>
    </r>
    <r>
      <rPr>
        <b/>
        <sz val="11"/>
        <color rgb="FF767676"/>
        <rFont val="Arial"/>
        <family val="2"/>
      </rPr>
      <t>ガーデン</t>
    </r>
    <r>
      <rPr>
        <sz val="11"/>
        <color rgb="FF474747"/>
        <rFont val="Arial"/>
        <family val="2"/>
      </rPr>
      <t>づくりに奮闘中です！</t>
    </r>
    <phoneticPr fontId="3"/>
  </si>
  <si>
    <t>HAD</t>
  </si>
  <si>
    <t>白亜ダイシン</t>
    <phoneticPr fontId="3"/>
  </si>
  <si>
    <t>〒068-0833 </t>
    <phoneticPr fontId="3"/>
  </si>
  <si>
    <t>北海道岩見沢市志文町292-4</t>
    <phoneticPr fontId="3"/>
  </si>
  <si>
    <t>0120-70-6003</t>
    <phoneticPr fontId="3"/>
  </si>
  <si>
    <t>ノースファームストックには「北海道のおいしいものを蔵出しで」、という思いが込められています。自分たちの目の届く範囲で産地や生産者とつながり、良質な素材をすべて手づくりするのが基本。原点を守ることで、北海道のぬくもりや、やさしさもお伝えしたいのです。また、その思いから商品名に「北海道」を冠しています。</t>
  </si>
  <si>
    <t>SKA</t>
  </si>
  <si>
    <t>シャルキュトリーアカイシ</t>
    <phoneticPr fontId="3"/>
  </si>
  <si>
    <t>〒048-1551</t>
    <phoneticPr fontId="3"/>
  </si>
  <si>
    <t>北海道虻田郡ニセコ町字里見11-26</t>
    <rPh sb="0" eb="3">
      <t>ホッカイドウ</t>
    </rPh>
    <rPh sb="3" eb="5">
      <t>アブタ</t>
    </rPh>
    <rPh sb="5" eb="6">
      <t>グン</t>
    </rPh>
    <rPh sb="9" eb="10">
      <t>チョウ</t>
    </rPh>
    <rPh sb="10" eb="11">
      <t>アザ</t>
    </rPh>
    <rPh sb="11" eb="13">
      <t>サトミ</t>
    </rPh>
    <phoneticPr fontId="3"/>
  </si>
  <si>
    <t>0136-55-5575</t>
    <phoneticPr fontId="3"/>
  </si>
  <si>
    <t>赤石</t>
    <rPh sb="0" eb="2">
      <t>アカイシ</t>
    </rPh>
    <phoneticPr fontId="3"/>
  </si>
  <si>
    <t>北海道ニセコならではのシャルキュトリーを生み出すため、
2018年シャルキュトリーアカイシを起業。
素材の持つ美味しさを引き出し、北海道の風土を活かしたものづくりを目指す。</t>
    <phoneticPr fontId="3"/>
  </si>
  <si>
    <t>藤田水産</t>
    <phoneticPr fontId="3"/>
  </si>
  <si>
    <t xml:space="preserve">	〒078-3454 </t>
    <phoneticPr fontId="3"/>
  </si>
  <si>
    <t>北海道留萌郡小平町字鬼鹿広富90番地</t>
    <phoneticPr fontId="3"/>
  </si>
  <si>
    <t>0164-57-1048</t>
    <phoneticPr fontId="3"/>
  </si>
  <si>
    <t>藤田貢</t>
  </si>
  <si>
    <r>
      <t>タコを主に、イカ、鮭の珍味類を生産している。珍味の藤田水産の地名度アップに大きな役割を果たした「一杯だこ」は昭和</t>
    </r>
    <r>
      <rPr>
        <sz val="11"/>
        <color rgb="FF000000"/>
        <rFont val="Calibri"/>
        <family val="2"/>
      </rPr>
      <t>38</t>
    </r>
    <r>
      <rPr>
        <sz val="11"/>
        <color rgb="FF000000"/>
        <rFont val="游ゴシック"/>
        <family val="3"/>
        <charset val="128"/>
        <scheme val="minor"/>
      </rPr>
      <t>年先代のアイデアで製品化された息の長い逸品。当時棒くん（たこ足の丸ごとの燻製品）にならない小さいタコに着目、タコの姿そのまま燻製に仕上げた。</t>
    </r>
  </si>
  <si>
    <t>YTS</t>
  </si>
  <si>
    <t>谷田製菓</t>
  </si>
  <si>
    <t>〒069-1521 </t>
  </si>
  <si>
    <t>北海道夕張郡栗山町錦３丁目１３４</t>
  </si>
  <si>
    <t>0123-72-1234</t>
  </si>
  <si>
    <t>木村</t>
    <rPh sb="0" eb="2">
      <t>キムラ</t>
    </rPh>
    <phoneticPr fontId="3"/>
  </si>
  <si>
    <t>日本一きびだんご大正１２年創製　令和５年生誕１００年を迎えます。北海道開拓の精神と関東大震災の復興を願い、起備団合の名称で発売</t>
    <phoneticPr fontId="3"/>
  </si>
  <si>
    <t>SBR</t>
    <phoneticPr fontId="3"/>
  </si>
  <si>
    <t>北海道食美樂</t>
    <rPh sb="0" eb="3">
      <t>ホッカイドウ</t>
    </rPh>
    <rPh sb="3" eb="4">
      <t>ショク</t>
    </rPh>
    <rPh sb="4" eb="5">
      <t>ビ</t>
    </rPh>
    <rPh sb="5" eb="6">
      <t>ラク</t>
    </rPh>
    <phoneticPr fontId="1"/>
  </si>
  <si>
    <t>UST</t>
  </si>
  <si>
    <t>上田精肉店</t>
  </si>
  <si>
    <t>HEF</t>
  </si>
  <si>
    <t>北海道エゾシカファクトリー</t>
  </si>
  <si>
    <t>SEF</t>
  </si>
  <si>
    <t>知床エゾシカファーム</t>
  </si>
  <si>
    <t>NRS</t>
  </si>
  <si>
    <t>ナチュラルシー</t>
  </si>
  <si>
    <t>ESF</t>
  </si>
  <si>
    <t>東しゃこたん漁協</t>
  </si>
  <si>
    <t>STF</t>
  </si>
  <si>
    <t>佐藤水産</t>
  </si>
  <si>
    <t>CCL</t>
  </si>
  <si>
    <t>コットンクラブ</t>
  </si>
  <si>
    <t>YMT</t>
  </si>
  <si>
    <t>ヤマト運輸</t>
  </si>
  <si>
    <t>仕入先</t>
    <rPh sb="0" eb="3">
      <t>シイレサキ</t>
    </rPh>
    <phoneticPr fontId="3"/>
  </si>
  <si>
    <t>商品連番</t>
    <rPh sb="2" eb="4">
      <t>レンバン</t>
    </rPh>
    <phoneticPr fontId="3"/>
  </si>
  <si>
    <t>商品名</t>
  </si>
  <si>
    <t>初出フラグ</t>
  </si>
  <si>
    <t>シリアル</t>
  </si>
  <si>
    <t>単位</t>
  </si>
  <si>
    <t>容量</t>
    <rPh sb="0" eb="2">
      <t>ヨウリョウ</t>
    </rPh>
    <phoneticPr fontId="3"/>
  </si>
  <si>
    <t>荷姿</t>
  </si>
  <si>
    <t>賞味期限</t>
    <rPh sb="0" eb="4">
      <t>ショウミキゲン</t>
    </rPh>
    <phoneticPr fontId="3"/>
  </si>
  <si>
    <t>温度帯</t>
    <rPh sb="0" eb="3">
      <t>オンドタイ</t>
    </rPh>
    <phoneticPr fontId="3"/>
  </si>
  <si>
    <t>発注リードタイム</t>
    <rPh sb="0" eb="2">
      <t>ハッチュウ</t>
    </rPh>
    <phoneticPr fontId="3"/>
  </si>
  <si>
    <t>参考上代
（税込)</t>
    <rPh sb="0" eb="4">
      <t>サンコウジョウダイ</t>
    </rPh>
    <rPh sb="6" eb="8">
      <t>ゼイコ</t>
    </rPh>
    <phoneticPr fontId="3"/>
  </si>
  <si>
    <t>販売先利益率
（上代加味）</t>
  </si>
  <si>
    <t>税率</t>
    <rPh sb="0" eb="2">
      <t>ゼイリツ</t>
    </rPh>
    <phoneticPr fontId="3"/>
  </si>
  <si>
    <t>JANコード</t>
    <phoneticPr fontId="3"/>
  </si>
  <si>
    <t>商品特徴</t>
  </si>
  <si>
    <t>画像名</t>
  </si>
  <si>
    <t>EEZO
掲載可否</t>
  </si>
  <si>
    <t>北見ハッカ通商</t>
  </si>
  <si>
    <t>ハッカ油スプレー</t>
    <rPh sb="3" eb="4">
      <t>アブラ</t>
    </rPh>
    <phoneticPr fontId="2"/>
  </si>
  <si>
    <t>本</t>
    <rPh sb="0" eb="1">
      <t>ホン</t>
    </rPh>
    <phoneticPr fontId="1"/>
  </si>
  <si>
    <t>11.5ml</t>
  </si>
  <si>
    <t>3年</t>
    <rPh sb="1" eb="2">
      <t>ネン</t>
    </rPh>
    <phoneticPr fontId="3"/>
  </si>
  <si>
    <t>常温</t>
    <rPh sb="0" eb="2">
      <t>ジョウオン</t>
    </rPh>
    <phoneticPr fontId="3"/>
  </si>
  <si>
    <t>7日</t>
    <rPh sb="1" eb="2">
      <t>ニチ</t>
    </rPh>
    <phoneticPr fontId="3"/>
  </si>
  <si>
    <t>北のかおり ハッカ油、人気のスプレータイプです。天然ミントの瓶詰です。安心の食品無添加です。</t>
    <rPh sb="24" eb="26">
      <t>テンネン</t>
    </rPh>
    <rPh sb="30" eb="32">
      <t>ビンヅメ</t>
    </rPh>
    <rPh sb="35" eb="37">
      <t>アンシン</t>
    </rPh>
    <rPh sb="38" eb="40">
      <t>ショクヒン</t>
    </rPh>
    <rPh sb="40" eb="43">
      <t>ムテンカ</t>
    </rPh>
    <phoneticPr fontId="3"/>
  </si>
  <si>
    <t>〇</t>
    <phoneticPr fontId="3"/>
  </si>
  <si>
    <t>前金。振込後発送。ハッカ油は軽減税率8％対象。販売の際は「定価厳守」契約書交わし済み</t>
    <rPh sb="0" eb="2">
      <t>マエキン</t>
    </rPh>
    <rPh sb="3" eb="5">
      <t>フリコミ</t>
    </rPh>
    <rPh sb="5" eb="6">
      <t>ゴ</t>
    </rPh>
    <rPh sb="6" eb="8">
      <t>ハッソウ</t>
    </rPh>
    <rPh sb="34" eb="37">
      <t>ケイヤクショ</t>
    </rPh>
    <rPh sb="37" eb="38">
      <t>カ</t>
    </rPh>
    <rPh sb="40" eb="41">
      <t>ズ</t>
    </rPh>
    <phoneticPr fontId="3"/>
  </si>
  <si>
    <t>ハッカ油スプレーR</t>
    <rPh sb="3" eb="4">
      <t>アブラ</t>
    </rPh>
    <phoneticPr fontId="2"/>
  </si>
  <si>
    <t>10ml</t>
  </si>
  <si>
    <t>少量ずつ塗るのに便利なロールオンタイプ。お好きな場所にクルクルと塗り込んでください。天然ミントで、安心の食品無添加です。</t>
  </si>
  <si>
    <t>ハッカ飴</t>
    <rPh sb="3" eb="4">
      <t>アメ</t>
    </rPh>
    <phoneticPr fontId="2"/>
  </si>
  <si>
    <t>袋</t>
    <rPh sb="0" eb="1">
      <t>フクロ</t>
    </rPh>
    <phoneticPr fontId="1"/>
  </si>
  <si>
    <t>240g</t>
  </si>
  <si>
    <t>13か月</t>
    <rPh sb="3" eb="4">
      <t>ゲツ</t>
    </rPh>
    <phoneticPr fontId="3"/>
  </si>
  <si>
    <t>ロングセラー商品、ハッカ飴です。</t>
  </si>
  <si>
    <t>前金。振込後発送。販売の際は「定価厳守」契約書交わし済み</t>
    <phoneticPr fontId="3"/>
  </si>
  <si>
    <t>CHOCOMINT CANDY</t>
  </si>
  <si>
    <t>170g</t>
  </si>
  <si>
    <t>和種ハッカと香ばしいカカオニブが混ざり合う、チョコミント風味のキャンディーです。</t>
  </si>
  <si>
    <t>フルーツミントキャンデー・パイナップル味</t>
    <rPh sb="19" eb="20">
      <t>アジ</t>
    </rPh>
    <phoneticPr fontId="1"/>
  </si>
  <si>
    <t>24袋/箱</t>
  </si>
  <si>
    <t>ミントの仲間「パイナップルミント」をイメージしたキャンディー。
南国を想わせる甘く芳醇なパイナップルの風味とミントの清涼感をミックスして、爽やかな甘さのある味に仕上げました。</t>
  </si>
  <si>
    <t>フルーツミントキャンデー・アップル味</t>
    <rPh sb="17" eb="18">
      <t>アジ</t>
    </rPh>
    <phoneticPr fontId="1"/>
  </si>
  <si>
    <t>ミントの仲間「アップルミント」をイメージしたミントキャンディー。アップルの後味さっぱりとした甘さとミントの清涼感を合わせて、軽やかなスッキリとした味に仕上げました。</t>
  </si>
  <si>
    <t>フルーツミントキャンデー・レモン味</t>
    <rPh sb="16" eb="17">
      <t>アジ</t>
    </rPh>
    <phoneticPr fontId="1"/>
  </si>
  <si>
    <t>ミントの仲間「レモンバーム、レモンミント」をイメージしたキャンディー。レモンのしっかりとした酸味とミントの清涼感をミックスして、爽やかなキレのある味に仕上げました。</t>
  </si>
  <si>
    <t>フルーツミントキャンデー・オレンジ味</t>
    <rPh sb="17" eb="18">
      <t>アジ</t>
    </rPh>
    <phoneticPr fontId="1"/>
  </si>
  <si>
    <t>ミントの仲間「オレンジミント」をイメージしたキャンディー。
濃厚なオレンジの風味とミントを合わせて、ジューシーな甘さと香りの広がる味に仕上げました。</t>
  </si>
  <si>
    <t>フルーツミントキャンデー・グレープフルーツ味</t>
    <rPh sb="21" eb="22">
      <t>アジ</t>
    </rPh>
    <phoneticPr fontId="1"/>
  </si>
  <si>
    <t>ミントの仲間「グレープフルーツミント」をイメージしたキャンディー。グレープフルーツが持つ柑橘系のさっぱりとした爽やかさにミントの清涼感をミックス。後味スッキリ爽快な味に仕上げました。</t>
  </si>
  <si>
    <t>フルーツミントキャンデー・グレープ味</t>
    <rPh sb="17" eb="18">
      <t>アジ</t>
    </rPh>
    <phoneticPr fontId="1"/>
  </si>
  <si>
    <t>180g</t>
  </si>
  <si>
    <t xml:space="preserve">グレープのジューシーな甘さと香りにミントの清涼感を合わせて、フルーティーな香り広がる爽やかな味に仕上げました。
</t>
  </si>
  <si>
    <t>前金。振込後発送。販売の際は「定価厳守」契約書交わし済み。税抜仕入額6万以上で無料</t>
  </si>
  <si>
    <t>フルーツミントキャンデー・ピーチ味</t>
    <rPh sb="16" eb="17">
      <t>アジ</t>
    </rPh>
    <phoneticPr fontId="1"/>
  </si>
  <si>
    <t>口の中でジューシーに広がる甘い豊かなピーチの風味とミントの清涼感をマッチさせ、やさしく甘いスッキリした味に仕上げました。</t>
  </si>
  <si>
    <t>フルーツミントキャンデー・ストロベリー味</t>
    <rPh sb="19" eb="20">
      <t>アジ</t>
    </rPh>
    <phoneticPr fontId="1"/>
  </si>
  <si>
    <t>ミントの仲間「ストロベリーミント」をイメージしたミントキャンディー。ストロベリーのしっかりとした甘い香りの風味とミントの清涼感を合わせて、フルーティーな甘さとスッキリとした爽やかな味に仕上げました。</t>
  </si>
  <si>
    <t xml:space="preserve">フルーツミント Mixキャンディ BOX </t>
  </si>
  <si>
    <t>缶</t>
    <rPh sb="0" eb="1">
      <t>カン</t>
    </rPh>
    <phoneticPr fontId="1"/>
  </si>
  <si>
    <t>360g</t>
  </si>
  <si>
    <t>30缶/箱</t>
  </si>
  <si>
    <t>3週間</t>
    <rPh sb="1" eb="3">
      <t>シュウカン</t>
    </rPh>
    <phoneticPr fontId="3"/>
  </si>
  <si>
    <t>※受注生産品　ロングセラーのハッカ飴に、カカオニブを使用したチョコミントキャンディー、8種類のフルーツミントキャンディーを詰め合わせた、10種類の味をお楽しみいただけるキャンディーBOXです。</t>
    <rPh sb="1" eb="3">
      <t>ジュチュウ</t>
    </rPh>
    <rPh sb="3" eb="5">
      <t>セイサン</t>
    </rPh>
    <rPh sb="5" eb="6">
      <t>ヒン</t>
    </rPh>
    <phoneticPr fontId="3"/>
  </si>
  <si>
    <t xml:space="preserve">ハッカ飴（メントール増量）缶 </t>
  </si>
  <si>
    <t>100缶/箱</t>
  </si>
  <si>
    <t>※受注生産品　メントール1.5倍増量、スッキリ感が強めのハッカ飴です。</t>
  </si>
  <si>
    <t xml:space="preserve">Mentab（メンタブ） </t>
  </si>
  <si>
    <t>個</t>
    <rPh sb="0" eb="1">
      <t>コ</t>
    </rPh>
    <phoneticPr fontId="1"/>
  </si>
  <si>
    <t>9g（70粒)</t>
    <rPh sb="5" eb="6">
      <t>ツブ</t>
    </rPh>
    <phoneticPr fontId="1"/>
  </si>
  <si>
    <t>144個/箱</t>
  </si>
  <si>
    <t>1年</t>
    <rPh sb="1" eb="2">
      <t>ネン</t>
    </rPh>
    <phoneticPr fontId="3"/>
  </si>
  <si>
    <t>※受注生産品　「北海道産和種ハッカ」配合のタブレット菓子です。</t>
    <rPh sb="1" eb="3">
      <t>ジュチュウ</t>
    </rPh>
    <rPh sb="3" eb="5">
      <t>セイサン</t>
    </rPh>
    <rPh sb="5" eb="6">
      <t>ヒン</t>
    </rPh>
    <phoneticPr fontId="3"/>
  </si>
  <si>
    <t>Mentab（メンタブ）チョコミント味</t>
  </si>
  <si>
    <t>9g（70粒）</t>
    <rPh sb="5" eb="6">
      <t>ツブ</t>
    </rPh>
    <phoneticPr fontId="1"/>
  </si>
  <si>
    <t>※受注生産品　やさしいチョコの風味と爽やかなミントの清涼感が新しいタブレットです。</t>
    <rPh sb="1" eb="3">
      <t>ジュチュウ</t>
    </rPh>
    <rPh sb="3" eb="5">
      <t>セイサン</t>
    </rPh>
    <rPh sb="5" eb="6">
      <t>ヒン</t>
    </rPh>
    <phoneticPr fontId="3"/>
  </si>
  <si>
    <t>CHISE GARDEN</t>
  </si>
  <si>
    <t>野草番茶</t>
    <rPh sb="0" eb="2">
      <t>ヤソウ</t>
    </rPh>
    <rPh sb="2" eb="4">
      <t>バンチャ</t>
    </rPh>
    <phoneticPr fontId="2"/>
  </si>
  <si>
    <t>50g</t>
  </si>
  <si>
    <t>地元の有名ホテルのウェルカムドリンクとしても人気の野草番茶。
材料のほとんどがニセコ町産で、ガーデンで採れたハーブもブレンドしています。</t>
    <phoneticPr fontId="3"/>
  </si>
  <si>
    <t>ロット50袋割れ送料実費、混載50袋可</t>
    <rPh sb="5" eb="6">
      <t>フクロ</t>
    </rPh>
    <rPh sb="6" eb="7">
      <t>ワ</t>
    </rPh>
    <rPh sb="8" eb="10">
      <t>ソウリョウ</t>
    </rPh>
    <rPh sb="10" eb="12">
      <t>ジッピ</t>
    </rPh>
    <rPh sb="13" eb="15">
      <t>コンサイ</t>
    </rPh>
    <rPh sb="17" eb="18">
      <t>フクロ</t>
    </rPh>
    <rPh sb="18" eb="19">
      <t>カ</t>
    </rPh>
    <phoneticPr fontId="3"/>
  </si>
  <si>
    <t>ハーブティ</t>
  </si>
  <si>
    <t>20g</t>
  </si>
  <si>
    <t>チセガーデンで育ったハーブを使ったハーブティーです。紫色のハーブティーですが、そのまま飲めば豊かな香りを楽しめます。レモン果汁を一滴入れるとピンク色に変わり、程よい酸味になります。</t>
  </si>
  <si>
    <t>松葉仙人茶</t>
    <rPh sb="0" eb="2">
      <t>マツバ</t>
    </rPh>
    <rPh sb="2" eb="4">
      <t>センニン</t>
    </rPh>
    <rPh sb="4" eb="5">
      <t>チャ</t>
    </rPh>
    <phoneticPr fontId="2"/>
  </si>
  <si>
    <t>8g×４/袋</t>
    <rPh sb="5" eb="6">
      <t>フクロ</t>
    </rPh>
    <phoneticPr fontId="1"/>
  </si>
  <si>
    <t>松葉仙人茶は、ニセコ産の高品質な松葉と高級なカバノアナタケを使用した贅沢な飲料です。この特別なブレンドには、またたび、松ぼっくり、桑の葉、そして三年番茶が含まれており、風味豊かな味わいを楽しむことができます。松葉仙人茶は健康的でリフレッシュすることができる飲み物です。贈り物や自分へのご褒美としても最適な一品です。</t>
  </si>
  <si>
    <t>ダイヤモンドにんにくマヨネーズ  (瓶)</t>
    <rPh sb="18" eb="19">
      <t>ビン</t>
    </rPh>
    <phoneticPr fontId="2"/>
  </si>
  <si>
    <t>瓶</t>
    <rPh sb="0" eb="1">
      <t>ビン</t>
    </rPh>
    <phoneticPr fontId="1"/>
  </si>
  <si>
    <t>90g</t>
  </si>
  <si>
    <t>マツコの知らない世界で紹介。北海道美瑛町の自社農園でオリジナルブランド「北海道のダイヤモンドにんにく」を１００％使用したにんにくマヨネーズです。</t>
  </si>
  <si>
    <t>ダイヤモンドにんにくマヨネーズ　(パウチ)</t>
  </si>
  <si>
    <t>パウチ</t>
  </si>
  <si>
    <t>200g</t>
  </si>
  <si>
    <t>マツコの知らない世界で紹介。北海道美瑛町の自社農園でオリジナルブランド「北海道のダイヤモンドにんにく」を１００％使用したにんにくマヨネーズのお徳用　パウチタイプです。</t>
  </si>
  <si>
    <t>【数量限定】ダイヤモンドにんにくオリーブオイル　</t>
    <rPh sb="1" eb="3">
      <t>スウリョウ</t>
    </rPh>
    <rPh sb="3" eb="5">
      <t>ゲンテイ</t>
    </rPh>
    <phoneticPr fontId="2"/>
  </si>
  <si>
    <t>ml</t>
  </si>
  <si>
    <t>1c/s48本</t>
    <rPh sb="6" eb="7">
      <t>ホン</t>
    </rPh>
    <phoneticPr fontId="1"/>
  </si>
  <si>
    <t>美瑛の自社農園で丁寧に作られた、農薬・化学肥料不使用のダイヤモンドにんにくをオリーブオイルにしました。オリーブオイルは本場イタリア産を使用。えぐみがなく香り高い特徴がこのオリーブオイルとよく馴染んでいます。</t>
  </si>
  <si>
    <t>✕</t>
    <phoneticPr fontId="3"/>
  </si>
  <si>
    <t>要在庫確認。数量限定。発送元が異なるため　別途送料必要</t>
    <rPh sb="0" eb="5">
      <t>ヨウザイコカクニン</t>
    </rPh>
    <rPh sb="6" eb="8">
      <t>スウリョウ</t>
    </rPh>
    <rPh sb="8" eb="10">
      <t>ゲンテイ</t>
    </rPh>
    <rPh sb="11" eb="13">
      <t>ハッソウ</t>
    </rPh>
    <rPh sb="13" eb="14">
      <t>モト</t>
    </rPh>
    <rPh sb="15" eb="16">
      <t>コト</t>
    </rPh>
    <rPh sb="21" eb="23">
      <t>ベット</t>
    </rPh>
    <rPh sb="23" eb="25">
      <t>ソウリョウ</t>
    </rPh>
    <rPh sb="25" eb="27">
      <t>ヒツヨウ</t>
    </rPh>
    <phoneticPr fontId="3"/>
  </si>
  <si>
    <t>ダイヤモンドにんにく味噌</t>
  </si>
  <si>
    <t>110g</t>
  </si>
  <si>
    <t>美瑛にある自社農園で農薬・化学肥料不使用で愛情込めて作られたダイヤモンドにんにくを味噌にしました。</t>
  </si>
  <si>
    <t>ダイヤモンドにんにくバーニャカウダ</t>
  </si>
  <si>
    <t>アンチョビが効いていて隠し味のココナッツミルクが程よいマイルド感を出してくれます。
ダイヤモンドにんにくの旨みもたっぷり入っています。</t>
    <phoneticPr fontId="3"/>
  </si>
  <si>
    <t>絶望のにんにくトマトソース200g</t>
  </si>
  <si>
    <t>1c/s50個</t>
  </si>
  <si>
    <t>濃厚なトマトソースに程よいピリ辛＆ガツンと効いたにんにくが最高！茹でたパスタに混ぜるだけで本格トマトパスタが味わえます。</t>
    <phoneticPr fontId="3"/>
  </si>
  <si>
    <t>待望のにんにくペペロンチーノソース200g</t>
  </si>
  <si>
    <t>白亜ダイシン</t>
    <phoneticPr fontId="1"/>
  </si>
  <si>
    <t xml:space="preserve">北海道アールグレイミルクジャム　　　　　
</t>
  </si>
  <si>
    <t>140ｇ</t>
  </si>
  <si>
    <t>8日</t>
    <rPh sb="1" eb="2">
      <t>ヒ</t>
    </rPh>
    <phoneticPr fontId="3"/>
  </si>
  <si>
    <t>常温</t>
    <rPh sb="0" eb="2">
      <t>ジョウオン</t>
    </rPh>
    <phoneticPr fontId="19"/>
  </si>
  <si>
    <t>北海道産の新鮮なミルクをたっぷりと使用し、なめらかで濃厚な口当たりに仕上げたミルクジャムに、香り高いアールグレイの茶葉を贅沢に加えました。アールグレイ特有の柑橘系の華やかな香りがミルクのコクと絶妙に調和し、紅茶の風味が引き立つ上品な味わいが楽しめます。ミルクの優しい甘さと、アールグレイの爽やかで芳醇な香りが織りなすハーモニーは、一口食べるたびにティータイムのような心地よさを感じさせてくれます。</t>
  </si>
  <si>
    <r>
      <t xml:space="preserve">北海道ほうじ茶ミルクジャム　　　　　　　　　　
</t>
    </r>
    <r>
      <rPr>
        <sz val="10"/>
        <color indexed="10"/>
        <rFont val="游ゴシック"/>
        <family val="3"/>
        <charset val="128"/>
        <scheme val="minor"/>
      </rPr>
      <t xml:space="preserve">
</t>
    </r>
    <rPh sb="6" eb="7">
      <t>チャ</t>
    </rPh>
    <phoneticPr fontId="0"/>
  </si>
  <si>
    <t>4562182193940</t>
  </si>
  <si>
    <t>北海道産の新鮮なミルクをたっぷりと贅沢に使用し、濃厚でなめらかな味わいに仕上げたミルクジャムに、国産のほうじ茶の茶葉を細かく挽いた細粒を加えました。ほうじ茶特有の香ばしく、深みのある風味がミルクのコクと見事に調和し、口に入れた瞬間にふわっと広がる豊かな香りが楽しめます。香ばしいほうじ茶の香りと、優しい甘さのミルクジャムが織りなす絶妙なハーモニーは、まるで和のティータイムを味わっているかのような上品な味わいを演出します。</t>
  </si>
  <si>
    <t xml:space="preserve">ミルクキャンディ　　　　　
</t>
  </si>
  <si>
    <t>60ｇ</t>
  </si>
  <si>
    <t>4562182194787</t>
  </si>
  <si>
    <t>濃厚なミルクをたっぷりと使用し、なめらかでコクのある味わいに仕上げました。口に入れた瞬間に広がるやさしい甘さと、じんわりと溶けていくミルクの風味が、まるでおとぎ話の世界に迷い込んだかのような心温まるひとときを演出します。</t>
  </si>
  <si>
    <t xml:space="preserve">ミントキャンディ　　　　　　　　　　
</t>
  </si>
  <si>
    <t>4562182194794</t>
  </si>
  <si>
    <t>ひと口食べれば、すっきりとした清涼感が広がり、爽やかな風が吹き抜けるような心地よさを感じられます。口の中に広がるクールな味わいは、気分をリフレッシュしたいときや、ちょっとした息抜きの時間にもぴったり。厳選したミントの風味を活かし、ほどよい甘さと爽快感のバランスを絶妙に仕上げました。</t>
  </si>
  <si>
    <t xml:space="preserve">ミックスベリーソーダ
</t>
  </si>
  <si>
    <t>200ml</t>
  </si>
  <si>
    <t>4562182191731</t>
  </si>
  <si>
    <t>北海道産のハスカップとはちみつをベースに、ラズベリーとカシスをバランスよくブレンドした、フルーティーな炭酸ドリンクです。ハスカップのほどよい酸味に、ラズベリーの華やかな香りとカシスの深みのあるコクが加わり、爽やかで飲みやすい味わいに仕上げました。炭酸の心地よい刺激が、口の中でふわっと広がるベリーの香りを引き立て、ほんのり甘くすっきりとした後味が楽しめます。</t>
  </si>
  <si>
    <t xml:space="preserve">北海道バジルソース
</t>
    <rPh sb="0" eb="3">
      <t>ホッカイドウ</t>
    </rPh>
    <phoneticPr fontId="0"/>
  </si>
  <si>
    <t>110ｇ</t>
  </si>
  <si>
    <t>北海道産のバジルだけを贅沢に使用した、シンプルでありながら王道のバジルソースが誕生しました。収穫したばかりの新鮮なバジルをたっぷりと使い、素材本来の風味を存分に引き出しています。そこにカシューナッツと粉チーズを加え、クセがなく、まろやかでコクのある味わいに仕上げました。</t>
  </si>
  <si>
    <r>
      <t xml:space="preserve">北海道焼肉ソース　　　　　　　　　　　　
</t>
    </r>
    <r>
      <rPr>
        <sz val="10"/>
        <color indexed="10"/>
        <rFont val="游ゴシック"/>
        <family val="3"/>
        <charset val="128"/>
        <scheme val="minor"/>
      </rPr>
      <t xml:space="preserve">
</t>
    </r>
    <rPh sb="0" eb="3">
      <t>ホッカイドウ</t>
    </rPh>
    <rPh sb="3" eb="5">
      <t>ヤキニク</t>
    </rPh>
    <phoneticPr fontId="0"/>
  </si>
  <si>
    <t>200ｇ</t>
  </si>
  <si>
    <t>4562182192189</t>
  </si>
  <si>
    <t>北海道産の風味豊かなしょうがをふんだんに使い、ピリッとした爽やかな辛味と香りが引き立つ焼肉ソースに仕上げました。ベースには、北海道産大豆を使用したまろやかでコクのある醤油を採用し、味に深みと奥行きをプラス。さらに、カットした北海道産玉ねぎをたっぷりと加えることで、甘みと旨みが増し、よりマイルドで後味すっきりとした味わいを実現しました。</t>
  </si>
  <si>
    <t>シャルキュトリーアカイシ</t>
  </si>
  <si>
    <t>豚バラ肉のベーコン（スライス）/ Poitrine fumée</t>
  </si>
  <si>
    <t>100ｇ</t>
  </si>
  <si>
    <t>30日</t>
    <rPh sb="2" eb="3">
      <t>ヒ</t>
    </rPh>
    <phoneticPr fontId="3"/>
  </si>
  <si>
    <t>10℃以下</t>
    <rPh sb="3" eb="5">
      <t>イカ</t>
    </rPh>
    <phoneticPr fontId="3"/>
  </si>
  <si>
    <t>5日</t>
    <rPh sb="1" eb="2">
      <t>ヒ</t>
    </rPh>
    <phoneticPr fontId="3"/>
  </si>
  <si>
    <t>桜のチップでスモーク。熟成と燻煙で肉のうまみを凝縮したベーコン。そのまま焼いてベーコンエッグやサンドウィッチに。</t>
    <rPh sb="0" eb="1">
      <t>サクラ</t>
    </rPh>
    <phoneticPr fontId="3"/>
  </si>
  <si>
    <t>最優秀賞受賞商品。2万円以上の注文で送料無料。</t>
  </si>
  <si>
    <t>豚バラ肉のベーコン（ブロック） / Poitrine fumée</t>
  </si>
  <si>
    <t>150ｇ</t>
  </si>
  <si>
    <t>桜のチップでスモーク。熟成と燻煙で肉のうまみを凝縮したベーコン。パスタや煮込み料理に。</t>
    <rPh sb="0" eb="1">
      <t>サクラ</t>
    </rPh>
    <phoneticPr fontId="3"/>
  </si>
  <si>
    <t>2万円以上の注文で送料無料。</t>
  </si>
  <si>
    <t>鶏白レバーペースト/ Pâté de foie blond de volaille</t>
  </si>
  <si>
    <t>80g</t>
  </si>
  <si>
    <t>貴重な鶏の〝フォアグラ〟をクリームと合わせてリッチな味わいのペーストの。スライスしたハード系のパンと一緒に。赤ワインによく合う人気の商品。</t>
    <rPh sb="0" eb="2">
      <t>キチョウ</t>
    </rPh>
    <rPh sb="18" eb="19">
      <t>ア</t>
    </rPh>
    <rPh sb="54" eb="55">
      <t>アカ</t>
    </rPh>
    <rPh sb="61" eb="62">
      <t>ア</t>
    </rPh>
    <rPh sb="63" eb="65">
      <t>ニンキ</t>
    </rPh>
    <rPh sb="66" eb="68">
      <t>ショウヒン</t>
    </rPh>
    <phoneticPr fontId="3"/>
  </si>
  <si>
    <t>北海道産 豚モモ肉のハム / Jambon blanc</t>
  </si>
  <si>
    <t>25日</t>
    <rPh sb="2" eb="3">
      <t>ヒ</t>
    </rPh>
    <phoneticPr fontId="3"/>
  </si>
  <si>
    <t>ノンスモークでしっとりとした食感に仕上げたモモ肉のハム。</t>
  </si>
  <si>
    <t>ビアブルストEZO / Bierwurst EZO</t>
  </si>
  <si>
    <t>80ｇ</t>
  </si>
  <si>
    <t>蝦夷鹿肉と豚肉のスパイシーなボロニアソーセージ。ホットサンドやサラダ等に。</t>
    <rPh sb="34" eb="35">
      <t>トウ</t>
    </rPh>
    <phoneticPr fontId="3"/>
  </si>
  <si>
    <t>パテ・ド・カンパーニュ / Pâté de campagne</t>
  </si>
  <si>
    <t>100g</t>
  </si>
  <si>
    <t>北海道産豚使用。しっとりと焼き上げコクのある味わいに。</t>
    <rPh sb="0" eb="3">
      <t>ホッカイドウ</t>
    </rPh>
    <rPh sb="13" eb="14">
      <t>ヤ</t>
    </rPh>
    <rPh sb="15" eb="16">
      <t>ア</t>
    </rPh>
    <phoneticPr fontId="3"/>
  </si>
  <si>
    <t>蝦夷鹿のパテ / Pâté de chevreuil</t>
  </si>
  <si>
    <t>蝦夷鹿と合鴨レバー、自家製ベーコンの濃厚な旨みと香りをまとった上質なパテ。</t>
    <rPh sb="31" eb="33">
      <t>ジョウシツ</t>
    </rPh>
    <phoneticPr fontId="3"/>
  </si>
  <si>
    <t>丸ごと豚のテリーヌ / Fromage de tête</t>
  </si>
  <si>
    <t>90ｇ</t>
  </si>
  <si>
    <t>コルニッションピクルスをアクセントにした豚の頭のテリーヌ。冷たいままスライスして。</t>
  </si>
  <si>
    <t>鶏砂肝のコンフィ / Gégiers de volaille confit</t>
  </si>
  <si>
    <t>120ｇ</t>
  </si>
  <si>
    <t>砂肝を柔らかなオイル煮に。黒胡椒とガーリックのフレーバー。そのままでも、軽くソテーしても！</t>
    <rPh sb="0" eb="2">
      <t>スナギモ</t>
    </rPh>
    <rPh sb="3" eb="4">
      <t>ヤワ</t>
    </rPh>
    <rPh sb="10" eb="11">
      <t>ニ</t>
    </rPh>
    <rPh sb="13" eb="16">
      <t>クロコショウ</t>
    </rPh>
    <phoneticPr fontId="3"/>
  </si>
  <si>
    <t>ストラスブルグ ソーセージ/ Saucisse de strasbourg</t>
  </si>
  <si>
    <t>160ｇ</t>
  </si>
  <si>
    <t>北海道産ポークと牛肉で作ったジューシーなウィンナーソーセージ。ホットドックやシュクルートに。</t>
  </si>
  <si>
    <t>ブーダンブラン /  Boudin blanc</t>
  </si>
  <si>
    <t>15日</t>
    <rPh sb="2" eb="3">
      <t>ヒ</t>
    </rPh>
    <phoneticPr fontId="3"/>
  </si>
  <si>
    <t>豚肉と牛乳、ハーブオレンジピールの滑らかな食感の香豊かなソーセージ。</t>
  </si>
  <si>
    <t>長期熟成サラミ /  Saucisson sec maison</t>
  </si>
  <si>
    <t>50日</t>
    <rPh sb="2" eb="3">
      <t>ヒ</t>
    </rPh>
    <phoneticPr fontId="3"/>
  </si>
  <si>
    <t>徐々に溢れ出る旨みの熟成サラミ。軽めの赤ワインと。　　　　　　　　　　　　　　　　【※数量限定。要在庫確認】</t>
    <rPh sb="43" eb="45">
      <t>スウリョウ</t>
    </rPh>
    <rPh sb="45" eb="47">
      <t>ゲンテイ</t>
    </rPh>
    <rPh sb="48" eb="49">
      <t>ヨウ</t>
    </rPh>
    <rPh sb="49" eb="51">
      <t>ザイコ</t>
    </rPh>
    <rPh sb="51" eb="53">
      <t>カクニン</t>
    </rPh>
    <phoneticPr fontId="3"/>
  </si>
  <si>
    <t>　【※数量限定。要在庫確認】2万円以上の注文で送料無料。</t>
  </si>
  <si>
    <t>長期熟成チョリソ / CHORIZO</t>
  </si>
  <si>
    <t>スパイスを効かせたスパニッシュタイプのチョリソ。ビールやワインと。【※数量限定。要在庫確認】</t>
    <phoneticPr fontId="3"/>
  </si>
  <si>
    <t>長期熟成フェンネルのサラミ / Finocchiona</t>
  </si>
  <si>
    <t>爽やかなフェンネルシードが香るイタリアンタイプ。        【※数量限定。要在庫確認】</t>
  </si>
  <si>
    <t>藤田水産</t>
  </si>
  <si>
    <t>引張たこ（短）</t>
    <rPh sb="0" eb="2">
      <t>ヒッパリ</t>
    </rPh>
    <rPh sb="5" eb="6">
      <t>ミジカ</t>
    </rPh>
    <phoneticPr fontId="2"/>
  </si>
  <si>
    <t>45g</t>
  </si>
  <si>
    <t>180日</t>
    <rPh sb="3" eb="4">
      <t>ヒ</t>
    </rPh>
    <phoneticPr fontId="3"/>
  </si>
  <si>
    <t>原材料のもち米、砂糖、生飴、オブラートは北海道産を使用しています。社内人気NO.1。食べやすい一口サイズです。</t>
    <rPh sb="0" eb="3">
      <t>ゲンザイリョウ</t>
    </rPh>
    <rPh sb="6" eb="7">
      <t>ゴメ</t>
    </rPh>
    <rPh sb="8" eb="10">
      <t>サトウ</t>
    </rPh>
    <rPh sb="11" eb="12">
      <t>ナマ</t>
    </rPh>
    <rPh sb="12" eb="13">
      <t>アメ</t>
    </rPh>
    <rPh sb="20" eb="24">
      <t>ホッカイドウサン</t>
    </rPh>
    <rPh sb="25" eb="27">
      <t>シヨウ</t>
    </rPh>
    <rPh sb="33" eb="35">
      <t>シャナイ</t>
    </rPh>
    <rPh sb="35" eb="37">
      <t>ニンキ</t>
    </rPh>
    <rPh sb="42" eb="43">
      <t>タ</t>
    </rPh>
    <rPh sb="47" eb="49">
      <t>ヒトクチ</t>
    </rPh>
    <phoneticPr fontId="3"/>
  </si>
  <si>
    <t>たこ頭ロール</t>
    <rPh sb="2" eb="3">
      <t>アタマ</t>
    </rPh>
    <phoneticPr fontId="2"/>
  </si>
  <si>
    <t>55g</t>
  </si>
  <si>
    <t>150日</t>
    <rPh sb="3" eb="4">
      <t>ヒ</t>
    </rPh>
    <phoneticPr fontId="3"/>
  </si>
  <si>
    <t>原材料のもち米、砂糖、生飴、オブラートは北海道産を使用しています。</t>
  </si>
  <si>
    <t>一口きびだんご</t>
  </si>
  <si>
    <t>10×4</t>
  </si>
  <si>
    <t>谷田の日本一きびだんご30ｇ</t>
    <rPh sb="0" eb="2">
      <t>タニダ</t>
    </rPh>
    <rPh sb="3" eb="6">
      <t>ニホンイチ</t>
    </rPh>
    <phoneticPr fontId="2"/>
  </si>
  <si>
    <t>20×16</t>
  </si>
  <si>
    <t>原材料のもち米、砂糖、生餡、オブラートは北海道産を使用しています。大正１２年創製のロングラン商品です。</t>
  </si>
  <si>
    <t>谷田の日本一きびだんご30ｇｘ４個入</t>
    <rPh sb="0" eb="2">
      <t>タニダ</t>
    </rPh>
    <rPh sb="3" eb="6">
      <t>ニホンイチ</t>
    </rPh>
    <rPh sb="16" eb="17">
      <t>コ</t>
    </rPh>
    <rPh sb="17" eb="18">
      <t>イ</t>
    </rPh>
    <phoneticPr fontId="2"/>
  </si>
  <si>
    <t>10×８</t>
  </si>
  <si>
    <t>原材料のもち米、砂糖、生飴、オブラートは北海道産を使用しています。当社ＮＯ１商品とファイターズのコラボ商品!</t>
  </si>
  <si>
    <t>日本一きびだんご70g</t>
    <rPh sb="0" eb="11">
      <t>｡</t>
    </rPh>
    <phoneticPr fontId="1"/>
  </si>
  <si>
    <t>10×16</t>
  </si>
  <si>
    <t>原材料のもち米、砂糖、生飴、オブラートは北海道産を使用しています。ファイターズのコラボ商品!</t>
  </si>
  <si>
    <t>ファイターズ一口きびだんご98ｇ</t>
    <rPh sb="0" eb="16">
      <t>､</t>
    </rPh>
    <phoneticPr fontId="1"/>
  </si>
  <si>
    <t>12×6</t>
  </si>
  <si>
    <t>ファイターズきびだんごミルク味98ｇ</t>
    <rPh sb="0" eb="18">
      <t>｣</t>
    </rPh>
    <phoneticPr fontId="1"/>
  </si>
  <si>
    <t>原材料のもち米、砂糖、生餡、メロン果汁、オブラートが北海道産を使用しています。</t>
  </si>
  <si>
    <t>とうきび餅98ｇ</t>
    <rPh sb="4" eb="5">
      <t>モチ</t>
    </rPh>
    <phoneticPr fontId="1"/>
  </si>
  <si>
    <t>原材料のもち米、砂糖、生餡、濃縮牛乳、オブラートが北海道産を使用しています。</t>
  </si>
  <si>
    <t>きびだんごメロン味98ｇ</t>
    <rPh sb="8" eb="9">
      <t>アジ</t>
    </rPh>
    <phoneticPr fontId="2"/>
  </si>
  <si>
    <t>原材料のもち米、砂糖、さつまいも、オブラートが北海道産を使用しています。</t>
  </si>
  <si>
    <t>きびだんごミルク味98ｇ</t>
    <rPh sb="8" eb="9">
      <t>アジ</t>
    </rPh>
    <phoneticPr fontId="2"/>
  </si>
  <si>
    <t xml:space="preserve">原材料のもち米、砂糖、さつまいも、オブラートが北海道産を使用しています。
</t>
  </si>
  <si>
    <t>(合)ベジタボ　由栗いも　畑のキャラメル　30g</t>
    <rPh sb="8" eb="12">
      <t>ユックリ</t>
    </rPh>
    <rPh sb="13" eb="14">
      <t>ハタケ</t>
    </rPh>
    <phoneticPr fontId="3"/>
  </si>
  <si>
    <t>24×1</t>
  </si>
  <si>
    <t>エゾシカ　ロース</t>
  </si>
  <si>
    <t>kg</t>
  </si>
  <si>
    <t>約2-3kg/本</t>
  </si>
  <si>
    <t>1本</t>
  </si>
  <si>
    <t>ブロック（カット・スライスなし）</t>
  </si>
  <si>
    <t>別途お見積</t>
    <rPh sb="0" eb="2">
      <t>ベット</t>
    </rPh>
    <rPh sb="3" eb="5">
      <t>ミツモ</t>
    </rPh>
    <phoneticPr fontId="3"/>
  </si>
  <si>
    <t>冷凍</t>
    <rPh sb="0" eb="2">
      <t>レイトウ</t>
    </rPh>
    <phoneticPr fontId="3"/>
  </si>
  <si>
    <t>７日</t>
    <rPh sb="1" eb="2">
      <t>ニチ</t>
    </rPh>
    <phoneticPr fontId="3"/>
  </si>
  <si>
    <t>エゾシカ　ヒレ</t>
  </si>
  <si>
    <t>約0.2-0.7kg/本</t>
  </si>
  <si>
    <t>エゾシカ　肩ロース</t>
  </si>
  <si>
    <t>約0.5-1.5kg/個</t>
  </si>
  <si>
    <t>1個</t>
  </si>
  <si>
    <t>エゾシカ　内モモ</t>
  </si>
  <si>
    <t>約1.2-2kg/個</t>
  </si>
  <si>
    <t>エゾシカ　外モモ</t>
  </si>
  <si>
    <t>約1-2kg/個</t>
  </si>
  <si>
    <t>エゾシカ　シンタマ</t>
  </si>
  <si>
    <t>約1.3-1.8kg/個</t>
  </si>
  <si>
    <t>エゾシカ　ランイチ</t>
  </si>
  <si>
    <t>約0.7-1.5kg/個</t>
  </si>
  <si>
    <t>エゾシカ　モモ　4パーツセット</t>
  </si>
  <si>
    <t>約4-6kg/セット</t>
  </si>
  <si>
    <t>1セット</t>
  </si>
  <si>
    <t>エゾシカ　スペアリブ</t>
  </si>
  <si>
    <t>500g/パック</t>
  </si>
  <si>
    <t>1パック</t>
  </si>
  <si>
    <t>エゾシカ　バラ</t>
  </si>
  <si>
    <t>約1.5-2.5kg/枚</t>
  </si>
  <si>
    <t>1枚</t>
  </si>
  <si>
    <t>エゾシカ　ウデ肉</t>
  </si>
  <si>
    <t>約1-2kg/本</t>
  </si>
  <si>
    <t>エゾシカ　挽き肉</t>
  </si>
  <si>
    <t>エゾシカ　骨付きロース（ヒレ有り）</t>
  </si>
  <si>
    <t>約3-5kg/本</t>
  </si>
  <si>
    <t>冷蔵</t>
    <rPh sb="0" eb="2">
      <t>レイゾウ</t>
    </rPh>
    <phoneticPr fontId="3"/>
  </si>
  <si>
    <t>エゾシカ　骨付きロース（ヒレ無し）</t>
  </si>
  <si>
    <t>エゾシカ　骨付きモモ</t>
  </si>
  <si>
    <t>約6-10kg/本</t>
  </si>
  <si>
    <t>エゾシカ　骨付きウデ</t>
  </si>
  <si>
    <t>エゾシカ　骨付きバラ</t>
  </si>
  <si>
    <t>約2-3kg/枚</t>
  </si>
  <si>
    <t>エゾシカ　バラ付きサドル</t>
  </si>
  <si>
    <t>約7-12kg/本</t>
  </si>
  <si>
    <t>エゾシカ　サドル</t>
  </si>
  <si>
    <t>エゾシカ　枝肉（半頭）</t>
  </si>
  <si>
    <t>約18-25kg/セット</t>
  </si>
  <si>
    <t>背割半身</t>
  </si>
  <si>
    <t>エゾシカ　子鹿半頭セット</t>
  </si>
  <si>
    <t>約5-7kg/セット</t>
  </si>
  <si>
    <t>エゾシカ　トリミング</t>
  </si>
  <si>
    <t>15kg/ケース</t>
  </si>
  <si>
    <t>1ケース</t>
  </si>
  <si>
    <t>スジ・脂等</t>
  </si>
  <si>
    <t>エゾシカ　スネ肉</t>
  </si>
  <si>
    <t>10kg/ケース</t>
  </si>
  <si>
    <t>スジ肉</t>
  </si>
  <si>
    <t>エゾシカ　丸骨</t>
  </si>
  <si>
    <t>骨</t>
  </si>
  <si>
    <t>エゾシカ　旨味噌ジンギスカン</t>
  </si>
  <si>
    <t>パック</t>
  </si>
  <si>
    <t>1ケース20個入</t>
  </si>
  <si>
    <t>エゾシカ　プレミアムジンギスカン（極）</t>
  </si>
  <si>
    <t>エゾシカ　味付カルビ</t>
  </si>
  <si>
    <t>300g/パック</t>
  </si>
  <si>
    <t>1ケース30個入</t>
  </si>
  <si>
    <t>エゾシカ　赤肉ジンギスカン</t>
  </si>
  <si>
    <t>エゾシカ　旨辛バラカルビ</t>
  </si>
  <si>
    <t>エゾシカ　バラジンギスカン</t>
  </si>
  <si>
    <t>エゾシカ　ハンバーグ</t>
  </si>
  <si>
    <t>150g×3枚（450g）/パック</t>
  </si>
  <si>
    <t>エゾシカ　ソーセージ</t>
  </si>
  <si>
    <t>約40g×4本（160g）/パック</t>
  </si>
  <si>
    <t>北海道食美樂</t>
  </si>
  <si>
    <t>エゾシカ　セロース</t>
  </si>
  <si>
    <t>約1.5-2.3kg/本</t>
  </si>
  <si>
    <t>ぐり身（脂なし）ブロック</t>
  </si>
  <si>
    <t>約0.4-0.8kg/本</t>
  </si>
  <si>
    <t>ブロック</t>
  </si>
  <si>
    <t>約1.2-1.8kg/個</t>
  </si>
  <si>
    <t>エゾシカ　真玉</t>
  </si>
  <si>
    <t>約0.7-1.3kg/個</t>
  </si>
  <si>
    <t>エゾシカ　しきん棒</t>
  </si>
  <si>
    <t>約0.4-0.8kg/個</t>
  </si>
  <si>
    <t>エゾシカ　スネ</t>
  </si>
  <si>
    <t>約1.2-1.5kg/個</t>
  </si>
  <si>
    <t>ブロックまとめて</t>
  </si>
  <si>
    <t>エゾシカ　カタ</t>
  </si>
  <si>
    <t>骨をはずしたもの</t>
  </si>
  <si>
    <t>エゾシカ　心臓</t>
  </si>
  <si>
    <t>約600-900g/個</t>
  </si>
  <si>
    <t>熟成なし</t>
  </si>
  <si>
    <t>エゾシカ　タン</t>
  </si>
  <si>
    <t>量売</t>
  </si>
  <si>
    <t>受注生産</t>
  </si>
  <si>
    <t>熟成なし・受注後お取り置き</t>
  </si>
  <si>
    <t>エゾシカ　ミンチ</t>
  </si>
  <si>
    <t>1kg/袋</t>
  </si>
  <si>
    <t>1袋</t>
  </si>
  <si>
    <t>1kg定貫</t>
  </si>
  <si>
    <t>エゾシカ　トモ足1本売り</t>
  </si>
  <si>
    <t>約5-8kg/本</t>
  </si>
  <si>
    <t>骨付き</t>
  </si>
  <si>
    <t>エゾシカ　背割半身</t>
  </si>
  <si>
    <t>約20kg/セット</t>
  </si>
  <si>
    <t>エゾシカ　一頭売り</t>
  </si>
  <si>
    <t>約40kg/頭</t>
  </si>
  <si>
    <t>1頭</t>
  </si>
  <si>
    <t>一頭</t>
  </si>
  <si>
    <t>エゾシカ　ロース肉</t>
  </si>
  <si>
    <t>量売/本</t>
  </si>
  <si>
    <t>エゾシカ　もも肉ブロック</t>
  </si>
  <si>
    <t>量売/個</t>
  </si>
  <si>
    <t>外もも・内もも・芯玉含む</t>
  </si>
  <si>
    <t>エゾシカ　ヒレ肉</t>
  </si>
  <si>
    <t>エゾシカ　ひき肉</t>
  </si>
  <si>
    <t>ミンチ</t>
  </si>
  <si>
    <t>袋</t>
  </si>
  <si>
    <t>80g×5本/袋</t>
  </si>
  <si>
    <t>1袋（36袋/箱）</t>
  </si>
  <si>
    <t>1ケース36袋入</t>
  </si>
  <si>
    <t>エゾシカ　ボンレスストリップロイン（ロース芯）</t>
  </si>
  <si>
    <t>1.0kg/本</t>
  </si>
  <si>
    <t>エゾシカ　ウチモモ</t>
  </si>
  <si>
    <t>エゾシカ　ソトモモ</t>
  </si>
  <si>
    <t>エゾシカ　シキンボウ、ランプ</t>
  </si>
  <si>
    <t>エゾシカ　ショルダー</t>
  </si>
  <si>
    <t>エゾシカ　挽肉</t>
  </si>
  <si>
    <t>1.0kg/袋</t>
  </si>
  <si>
    <t>エゾシカ　挽き材</t>
  </si>
  <si>
    <t>ミンチ用材料</t>
  </si>
  <si>
    <t>1.0kg/枚</t>
  </si>
  <si>
    <t>ブロック（冬期のみ）</t>
  </si>
  <si>
    <t>エゾシカ　ハーフサドル</t>
  </si>
  <si>
    <t>エゾシカ　フレンチラック</t>
  </si>
  <si>
    <t>エゾシカ　ボーンレスストリップ</t>
  </si>
  <si>
    <t>約1.5kg/本</t>
  </si>
  <si>
    <t>エゾシカ　ロングロイン</t>
  </si>
  <si>
    <t>約2.0kg/本</t>
  </si>
  <si>
    <t>肩ロース～サーロイン脂付</t>
  </si>
  <si>
    <t>エゾシカ　赤身（ウデ・スネ）</t>
  </si>
  <si>
    <t>約0.5kg/個</t>
  </si>
  <si>
    <t>約1.5kg/個</t>
  </si>
  <si>
    <t>約0.5kg/本</t>
  </si>
  <si>
    <t>約2.0kg/個</t>
  </si>
  <si>
    <t>エゾシカ　ランプ</t>
  </si>
  <si>
    <t>約0.8kg/個</t>
  </si>
  <si>
    <t>約2.5kg/枚</t>
  </si>
  <si>
    <t>エゾシカ　ミンチ（赤身）</t>
  </si>
  <si>
    <t>阿蘇赤身和牛　ヒレ・ロースセット</t>
  </si>
  <si>
    <t>約23.5kg/セット</t>
  </si>
  <si>
    <t>3種セット（6%OFF）</t>
  </si>
  <si>
    <t>阿蘇赤身和牛　ヒレ</t>
  </si>
  <si>
    <t>約4.5kg/本</t>
  </si>
  <si>
    <t>阿蘇赤身和牛　サーロイン</t>
  </si>
  <si>
    <t>約10.0kg/本</t>
  </si>
  <si>
    <t>阿蘇赤身和牛　リブロース</t>
  </si>
  <si>
    <t>約9.0kg/本</t>
  </si>
  <si>
    <t>阿蘇赤身和牛　肩ロース（ネック付）セット</t>
  </si>
  <si>
    <t>約23.3kg/セット</t>
  </si>
  <si>
    <t>万能部位セット（3%OFF）</t>
  </si>
  <si>
    <t>阿蘇赤身和牛　肩ロース（ネック無し）セット</t>
  </si>
  <si>
    <t>約16.6kg/セット</t>
  </si>
  <si>
    <t>阿蘇赤身和牛　ハネシタ（ザブトン）</t>
  </si>
  <si>
    <t>約3.3kg/個</t>
  </si>
  <si>
    <t>阿蘇赤身和牛　肩ロース分割（芯）</t>
  </si>
  <si>
    <t>約8.0kg/本</t>
  </si>
  <si>
    <t>阿蘇赤身和牛　肩ロースカブリ</t>
  </si>
  <si>
    <t>約4.1kg/個</t>
  </si>
  <si>
    <t>阿蘇赤身和牛　ネック</t>
  </si>
  <si>
    <t>約6.7kg/個</t>
  </si>
  <si>
    <t>阿蘇赤身和牛　ランイチセット</t>
  </si>
  <si>
    <t>約11.0kg/セット</t>
  </si>
  <si>
    <t>赤身和牛堪能セット（3%OFF）</t>
  </si>
  <si>
    <t>阿蘇赤身和牛　ランプ</t>
  </si>
  <si>
    <t>約6.2kg/個</t>
  </si>
  <si>
    <t>阿蘇赤身和牛　イチボ</t>
  </si>
  <si>
    <t>約4.8kg/個</t>
  </si>
  <si>
    <t>阿蘇赤身和牛　シンタマセット</t>
  </si>
  <si>
    <t>約11.5kg/セット</t>
  </si>
  <si>
    <t>モモ系部位セット（7%OFF）</t>
  </si>
  <si>
    <t>阿蘇赤身和牛　マルシン</t>
  </si>
  <si>
    <t>約2.8kg/個</t>
  </si>
  <si>
    <t>阿蘇赤身和牛　トモサンカク</t>
  </si>
  <si>
    <t>約3.0kg/個</t>
  </si>
  <si>
    <t>阿蘇赤身和牛　カメノコ</t>
  </si>
  <si>
    <t>約3.5kg/個</t>
  </si>
  <si>
    <t>阿蘇赤身和牛　マルカワ</t>
  </si>
  <si>
    <t>約2.2kg/個</t>
  </si>
  <si>
    <t>阿蘇赤身和牛　内モモ</t>
  </si>
  <si>
    <t>約13.3kg/個</t>
  </si>
  <si>
    <t>阿蘇赤身和牛　外モモ</t>
  </si>
  <si>
    <t>約14.1kg/個</t>
  </si>
  <si>
    <t>阿蘇赤身和牛　ブリスケ</t>
  </si>
  <si>
    <t>約15.5kg/個</t>
  </si>
  <si>
    <t>阿蘇赤身和牛　三角バラ</t>
  </si>
  <si>
    <t>約5.2kg/個</t>
  </si>
  <si>
    <t>阿蘇赤身和牛　ウデセット</t>
  </si>
  <si>
    <t>約17.7kg/セット</t>
  </si>
  <si>
    <t>焼肉・ステーキセット（6%OFF）</t>
  </si>
  <si>
    <t>阿蘇赤身和牛　ミスジ</t>
  </si>
  <si>
    <t>阿蘇赤身和牛　ウワミスジ</t>
  </si>
  <si>
    <t>約2.3kg/個</t>
  </si>
  <si>
    <t>阿蘇赤身和牛　クリ（カタサンカク）</t>
  </si>
  <si>
    <t>約4.9kg/個</t>
  </si>
  <si>
    <t>阿蘇赤身和牛　トウガラシ</t>
  </si>
  <si>
    <t>阿蘇赤身和牛　ウデカブリ</t>
  </si>
  <si>
    <t>約4.0kg/個</t>
  </si>
  <si>
    <t>阿蘇赤身和牛　中バラセット</t>
  </si>
  <si>
    <t>約14.5kg/セット</t>
  </si>
  <si>
    <t>焼肉セット（5%OFF）</t>
  </si>
  <si>
    <t>阿蘇赤身和牛　カイノミ</t>
  </si>
  <si>
    <t>約6.5kg/個</t>
  </si>
  <si>
    <t>阿蘇赤身和牛　中バラプレート</t>
  </si>
  <si>
    <t>約4.3kg/個</t>
  </si>
  <si>
    <t>阿蘇赤身和牛　ヘッドバラ</t>
  </si>
  <si>
    <t>約2.1kg/個</t>
  </si>
  <si>
    <t>阿蘇赤身和牛　外バラセット</t>
  </si>
  <si>
    <t>約16.0kg/セット</t>
  </si>
  <si>
    <t>焼肉・煮込みセット（3%OFF）</t>
  </si>
  <si>
    <t>阿蘇赤身和牛　フランク</t>
  </si>
  <si>
    <t>約3.1kg/個</t>
  </si>
  <si>
    <t>阿蘇赤身和牛　インサイドスカート（ウチハラミ）</t>
  </si>
  <si>
    <t>阿蘇赤身和牛　外バラプレート</t>
  </si>
  <si>
    <t>約7.7kg/個</t>
  </si>
  <si>
    <t>阿蘇赤身和牛　カッパ</t>
  </si>
  <si>
    <t>阿蘇赤身和牛　内臓セット</t>
  </si>
  <si>
    <t>式</t>
  </si>
  <si>
    <t>約30kg/式</t>
  </si>
  <si>
    <t>1式</t>
  </si>
  <si>
    <t>30kg前後</t>
  </si>
  <si>
    <t>阿蘇赤身和牛　タン</t>
  </si>
  <si>
    <t>阿蘇赤身和牛　ハラミ・サガリセット</t>
  </si>
  <si>
    <t>約3.7kg/セット</t>
  </si>
  <si>
    <t>ハラミ2.5kg+サガリ1.2kg</t>
  </si>
  <si>
    <t>阿蘇赤身和牛　ツラミ（頬肉）</t>
  </si>
  <si>
    <t>約1.0kg/個</t>
  </si>
  <si>
    <t>阿蘇赤身和牛　ハツ</t>
  </si>
  <si>
    <t>阿蘇赤身和牛　レバー</t>
  </si>
  <si>
    <t>阿蘇赤身和牛　ミノ（第一胃）</t>
  </si>
  <si>
    <t>阿蘇赤身和牛　ハチノス（第二胃）</t>
  </si>
  <si>
    <t>阿蘇赤身和牛　センマイ（第三胃）</t>
  </si>
  <si>
    <t>阿蘇赤身和牛　ギアラ_赤センマイ（第四胃）</t>
  </si>
  <si>
    <t>阿蘇赤身和牛　小腸（マルチョウ）</t>
  </si>
  <si>
    <t>約7.5kg/個</t>
  </si>
  <si>
    <t>阿蘇赤身和牛　大腸（シマチョウ）</t>
  </si>
  <si>
    <t>阿蘇赤身和牛　テール</t>
  </si>
  <si>
    <t>阿蘇赤身和牛　リブフィンガー</t>
  </si>
  <si>
    <t>骨周り・中落ちカルビ</t>
  </si>
  <si>
    <t>阿蘇赤身和牛　牛スジ</t>
  </si>
  <si>
    <t>阿蘇赤身和牛　チマキ（スネ）</t>
  </si>
  <si>
    <t>阿蘇赤身和牛　チチカブ</t>
  </si>
  <si>
    <t>阿蘇赤身和牛　ケンネ脂</t>
  </si>
  <si>
    <t>最上級脂肪</t>
  </si>
  <si>
    <t>阿蘇赤身和牛　牛骨（カット済み）</t>
  </si>
  <si>
    <t>スープ用</t>
  </si>
  <si>
    <t>グラスフェッドビーフ　Tボーン</t>
  </si>
  <si>
    <t>約7.0kg/本</t>
  </si>
  <si>
    <t>骨付き・超希少</t>
  </si>
  <si>
    <t>グラスフェッドビーフ　トマホーク（骨付リブロース）</t>
  </si>
  <si>
    <t>約6.5kg/本</t>
  </si>
  <si>
    <t>グラスフェッドビーフ　フィレ（テンダーロイン）</t>
  </si>
  <si>
    <t>約3.5kg/本</t>
  </si>
  <si>
    <t>グラスフェッドビーフ　サーロイン（ストリップロイン）</t>
  </si>
  <si>
    <t>約4.0kg/本</t>
  </si>
  <si>
    <t>グラスフェッドビーフ　カイノミ（フィレサイド）</t>
  </si>
  <si>
    <t>グラスフェッドビーフ　ウワミスジ</t>
  </si>
  <si>
    <t>ブロック・4-6本</t>
  </si>
  <si>
    <t>グラスフェッドビーフ　肩ロース（チャックロール）</t>
  </si>
  <si>
    <t>約5.0kg/本</t>
  </si>
  <si>
    <t>ブロック・希少</t>
  </si>
  <si>
    <t>グラスフェッドビーフ　内モモ</t>
  </si>
  <si>
    <t>約5.0kg/個</t>
  </si>
  <si>
    <t>グラスフェッドビーフ　タン</t>
  </si>
  <si>
    <t>約1.3kg/本</t>
  </si>
  <si>
    <t>グラスフェッドビーフ　ハラミ</t>
  </si>
  <si>
    <t>約1.2kg/セット</t>
  </si>
  <si>
    <t>2枚入（1枚600-700g）</t>
  </si>
  <si>
    <t>北海道放牧豚ZETTON　ヒレ</t>
  </si>
  <si>
    <t>約0.6kg/本</t>
  </si>
  <si>
    <t>北海道放牧豚ZETTON　ロース</t>
  </si>
  <si>
    <t>北海道放牧豚ZETTON　肩ロース</t>
  </si>
  <si>
    <t>ブロック・一番人気</t>
  </si>
  <si>
    <t>北海道放牧豚ZETTON　バラ</t>
  </si>
  <si>
    <t>約6.0kg/枚</t>
  </si>
  <si>
    <t>北海道放牧豚ZETTON　ウデ</t>
  </si>
  <si>
    <t>北海道放牧豚ZETTON　モモ</t>
  </si>
  <si>
    <t>約12.0kg/本</t>
  </si>
  <si>
    <t>北海道放牧豚ZETTON　ミンチ（ウデ）</t>
  </si>
  <si>
    <t>北海道放牧豚ZETTON　背脂</t>
  </si>
  <si>
    <t>スープ原料</t>
  </si>
  <si>
    <t>北海道放牧豚ZETTON　骨付きモモ</t>
  </si>
  <si>
    <t>約15.0kg/本</t>
  </si>
  <si>
    <t>生ハム用</t>
  </si>
  <si>
    <t>北海道放牧豚ZETTON　スペアーリブ</t>
  </si>
  <si>
    <t>人気部位</t>
  </si>
  <si>
    <t>グラスフェッドラム　フレンチラック（背骨なし）</t>
  </si>
  <si>
    <t>約10.0kg/ケース</t>
  </si>
  <si>
    <t>NZ産・20-25パック/cs</t>
  </si>
  <si>
    <t>グラスフェッドラム　ラック（背骨あり）</t>
  </si>
  <si>
    <t>約8.0kg/ケース</t>
  </si>
  <si>
    <t>AUS産・8パック/cs</t>
  </si>
  <si>
    <t>紀国屋文左衛門鴨　ロース（チルド）</t>
  </si>
  <si>
    <t>約1.0kg/セット</t>
  </si>
  <si>
    <t>500g×2枚</t>
  </si>
  <si>
    <t>紀国屋文左衛門鴨　ロース（冷凍）</t>
  </si>
  <si>
    <t>紀国屋文左衛門鴨　モモ（チルド）</t>
  </si>
  <si>
    <t>約0.6kg/個</t>
  </si>
  <si>
    <t>紀国屋文左衛門鴨　モモ（冷凍）</t>
  </si>
  <si>
    <t>紀国屋文左衛門鴨　と体（チルド）</t>
  </si>
  <si>
    <t>約4.0kg/羽</t>
  </si>
  <si>
    <t>1羽</t>
  </si>
  <si>
    <t>丸鳥</t>
  </si>
  <si>
    <t>紀国屋文左衛門鴨　なか抜きと体（チルド）</t>
  </si>
  <si>
    <t>約3.5kg/羽</t>
  </si>
  <si>
    <t>北海道産 ホタテ貝柱 特フレーク</t>
  </si>
  <si>
    <t>1kg/パック</t>
  </si>
  <si>
    <t>10パック入　フレーク品（サイズバラつき・割れ・欠けあり）</t>
  </si>
  <si>
    <t>天然本鱒セミドレス サクラマス</t>
  </si>
  <si>
    <t>約2.5kg UP/尾</t>
  </si>
  <si>
    <t>1箱</t>
  </si>
  <si>
    <t>4-6本入　セミドレス（真空パック）</t>
  </si>
  <si>
    <t>天然サクラマスフィーレ（腹骨取り）</t>
  </si>
  <si>
    <t>5kg/合</t>
  </si>
  <si>
    <t>2合入　フィーレ（6-10枚/5kg）</t>
  </si>
  <si>
    <t>噴火湾産 ボタン海老 メス大</t>
  </si>
  <si>
    <t>約500g（10-13尾）/パック</t>
  </si>
  <si>
    <t>18パック入　プロトン凍結・メス大</t>
  </si>
  <si>
    <t>宮城県産 大とろ金華イワシフィーレ（生食）</t>
  </si>
  <si>
    <t>500g（約25枚）/パック</t>
  </si>
  <si>
    <t>20パック入　生食用フィーレ</t>
  </si>
  <si>
    <t>500g（約35枚）/パック</t>
  </si>
  <si>
    <t>18パック入　生食用フィーレ</t>
  </si>
  <si>
    <t>宮城県産 お刺身秋刀魚フィーレ（生食）</t>
  </si>
  <si>
    <t>岩手県産 お刺身秋刀魚フィーレ（生食）</t>
  </si>
  <si>
    <t>500g（約26-27枚）/パック</t>
  </si>
  <si>
    <t>12パック入×2合　生食用フィーレ</t>
  </si>
  <si>
    <t>北海道産 お刺身ニシンフィーレ（生食）</t>
  </si>
  <si>
    <t>約200g±50g（4枚）/パック</t>
  </si>
  <si>
    <t>25パック入×2合　生食用フィーレ（4枚真空）</t>
  </si>
  <si>
    <t>北海道産 アオソイフィーレ（クロメヌケ 生食）</t>
  </si>
  <si>
    <t>2kg（6-8枚）/袋</t>
  </si>
  <si>
    <t>3袋入　生食用フィーレ（1枚真空バラ凍結）</t>
  </si>
  <si>
    <t>北海道産 クロソイラウンド（クロメバル 生食可） 1.5kg UP</t>
  </si>
  <si>
    <t>約1.5kg UP/尾</t>
  </si>
  <si>
    <t>量売り</t>
  </si>
  <si>
    <t>ラウンド（バラ凍結）</t>
  </si>
  <si>
    <t>北海道産 クロソイラウンド（クロメバル 生食可） 1-1.5kg</t>
  </si>
  <si>
    <t>約1-1.5kg/尾</t>
  </si>
  <si>
    <t>北海道産 クロソイラウンド（クロメバル 生食可） 0.7-1kg</t>
  </si>
  <si>
    <t>約0.7-1kg/尾</t>
  </si>
  <si>
    <t>北海道産 クロソイラウンド（クロメバル 生食可） 0.5-0.7kg</t>
  </si>
  <si>
    <t>約0.5-0.7kg/尾</t>
  </si>
  <si>
    <t>ホタテ玉冷 3S</t>
  </si>
  <si>
    <t>1箱10袋入　玉冷3S（在庫・価格要確認）</t>
  </si>
  <si>
    <t>北海道産お刺身用甘えび 100g（10-14尾）</t>
  </si>
  <si>
    <t>100g（10-14尾）/パック</t>
  </si>
  <si>
    <t>2箱</t>
  </si>
  <si>
    <t>真空パック・酸化防止剤不使用</t>
  </si>
  <si>
    <t>北海道産お刺身用甘えび 100g×2入</t>
  </si>
  <si>
    <t>200g（2パック入）/パック</t>
  </si>
  <si>
    <t>1箱20パック入　真空パック</t>
  </si>
  <si>
    <t>北海道産お刺身用甘えび 200g（14-17尾）</t>
  </si>
  <si>
    <t>200g（14-17尾）/パック</t>
  </si>
  <si>
    <t>1箱30パック入　真空パック・酸化防止剤不使用</t>
  </si>
  <si>
    <t>北海道産お刺身用甘えび 200g×2入</t>
  </si>
  <si>
    <t>400g（2パック入）/パック</t>
  </si>
  <si>
    <t>1箱12パック入　化粧ケース入・酸化防止剤不使用</t>
  </si>
  <si>
    <t>北海道産お刺身用ぼたん蛯 100g（8-12尾）</t>
  </si>
  <si>
    <t>100g（8-12尾）/パック</t>
  </si>
  <si>
    <t>1箱40パック入　真空パック・酸化防止剤不使用</t>
  </si>
  <si>
    <t>北海道産お刺身用ぼたん蛯 100g×2入</t>
  </si>
  <si>
    <t>北海道産お刺身用ぼたん蛯 160g（7-9尾）</t>
  </si>
  <si>
    <t>160g（7-9尾）/パック</t>
  </si>
  <si>
    <t>北海道産お刺身用ぼたん蛯 160g×2入</t>
  </si>
  <si>
    <t>320g（2パック入）/パック</t>
  </si>
  <si>
    <t>北海道産ぼたんえびと甘えび食べ比べ</t>
  </si>
  <si>
    <t>各100g/パック</t>
  </si>
  <si>
    <t>北海道産ナンバン蛯グルムキ</t>
  </si>
  <si>
    <t>100g/パック</t>
  </si>
  <si>
    <t>1箱50パック入　むき身・酸化防止剤不使用</t>
  </si>
  <si>
    <t>北海道産ボタン蛯グルムキ</t>
  </si>
  <si>
    <t>ぼたん蛯塩辛 80g</t>
  </si>
  <si>
    <t>80g/パック</t>
  </si>
  <si>
    <t>3箱</t>
  </si>
  <si>
    <t>1箱24パック入　加工品</t>
  </si>
  <si>
    <t>ぼたん蛯塩辛 230g</t>
  </si>
  <si>
    <t>230g/パック</t>
  </si>
  <si>
    <t>ナンバン蛯塩辛 80g</t>
  </si>
  <si>
    <t>ナンバン蛯塩辛 230g</t>
  </si>
  <si>
    <t>えびラーメン 1食入</t>
  </si>
  <si>
    <t>1食/パック</t>
  </si>
  <si>
    <t>1箱20パック入　加工品</t>
  </si>
  <si>
    <t>えびラーメン 2食入</t>
  </si>
  <si>
    <t>2食/パック</t>
  </si>
  <si>
    <t>1箱12パック入　加工品</t>
  </si>
  <si>
    <t>北海道産水タコ酢味噌和え</t>
  </si>
  <si>
    <t>1箱50パック入　加工品・無添加</t>
  </si>
  <si>
    <t>たこ柔らか煮</t>
  </si>
  <si>
    <t>120g/パック</t>
  </si>
  <si>
    <t>1箱60パック入　加工品・無添加</t>
  </si>
  <si>
    <t>北海道産お刺身用蝦夷あわび 300g（4-6粒）</t>
  </si>
  <si>
    <t>300g（4-6粒）/パック</t>
  </si>
  <si>
    <t>1箱12パック入　真空パック・無添加</t>
  </si>
  <si>
    <t>北海道産お刺身用蝦夷あわび 2粒120g</t>
  </si>
  <si>
    <t>約120-140g（2粒）/パック</t>
  </si>
  <si>
    <t>1箱25パック入　真空パック・無添加</t>
  </si>
  <si>
    <t>北海道産お刺身用蝦夷あわび 2粒170g</t>
  </si>
  <si>
    <t>約170-190g（2粒）/パック</t>
  </si>
  <si>
    <t>1箱20パック入　真空パック・無添加</t>
  </si>
  <si>
    <t>北海道産お刺身用蝦夷あわび 3粒120g</t>
  </si>
  <si>
    <t>約120-140g（3粒）/パック</t>
  </si>
  <si>
    <t>北海道産天然煮あわび 1粒100g</t>
  </si>
  <si>
    <t>約100-129g（1粒）/パック</t>
  </si>
  <si>
    <t>1箱50パック入　煮あわび・無添加</t>
  </si>
  <si>
    <t>北海道産天然煮あわび 1粒80g</t>
  </si>
  <si>
    <t>約80-99g（1粒）/パック</t>
  </si>
  <si>
    <t>北海道産天然美あわび 2粒120g</t>
  </si>
  <si>
    <t>1箱50パック入　美あわび・無添加</t>
  </si>
  <si>
    <t>北海道産天然あわび酒蒸し 1粒100g</t>
  </si>
  <si>
    <t>1箱50パック入　酒蒸し・無添加</t>
  </si>
  <si>
    <t>北海道産天然あわび酒蒸し 1粒80g</t>
  </si>
  <si>
    <t>つぶ塩辛 80g</t>
  </si>
  <si>
    <t>つぶ塩辛 160g</t>
  </si>
  <si>
    <t>160g/パック</t>
  </si>
  <si>
    <t>つぶ塩辛明太風味 80g</t>
  </si>
  <si>
    <t>つぶ塩辛明太風味 160g</t>
  </si>
  <si>
    <t>えびアイス</t>
  </si>
  <si>
    <t>120ml/パック</t>
  </si>
  <si>
    <t>1箱24パック入　アイスクリーム</t>
  </si>
  <si>
    <t>がっつりタコ風味のおつまみイカ</t>
  </si>
  <si>
    <t>個</t>
  </si>
  <si>
    <t>がっつり黒胡椒の北海道鮭とば</t>
  </si>
  <si>
    <t>がっつりチーズのやわらかイカ</t>
  </si>
  <si>
    <t>サーモンソーセージ</t>
  </si>
  <si>
    <t>酒の肴シリーズ鮭ちっぷ</t>
  </si>
  <si>
    <t>酒の肴シリーズ鮭ジャーキー</t>
  </si>
  <si>
    <t>鮭寿荒ほぐし100ｇ</t>
  </si>
  <si>
    <t>送料差額</t>
  </si>
  <si>
    <t>にんスコ</t>
  </si>
  <si>
    <t>瓶</t>
  </si>
  <si>
    <t>牧草あか牛　牛脂（チチカブ）</t>
  </si>
  <si>
    <t>送料（120サイズ　関西→北海道）</t>
  </si>
  <si>
    <t>No</t>
  </si>
  <si>
    <t>備考</t>
    <rPh sb="0" eb="2">
      <t>ビコウ</t>
    </rPh>
    <phoneticPr fontId="3"/>
  </si>
  <si>
    <t>発行日：</t>
    <rPh sb="0" eb="3">
      <t>ハッコウビ</t>
    </rPh>
    <phoneticPr fontId="3"/>
  </si>
  <si>
    <t/>
  </si>
  <si>
    <t>見積No. ：</t>
    <rPh sb="0" eb="2">
      <t>ミツモリ</t>
    </rPh>
    <phoneticPr fontId="3"/>
  </si>
  <si>
    <t>　新日本海商事株式会社</t>
    <rPh sb="1" eb="11">
      <t>シンニホンカイショウジカブシキガイシャ</t>
    </rPh>
    <phoneticPr fontId="3"/>
  </si>
  <si>
    <t>　〒530-0001</t>
    <phoneticPr fontId="3"/>
  </si>
  <si>
    <t>　大阪市北区梅田2丁目5番25号</t>
    <rPh sb="9" eb="11">
      <t>チョウメ</t>
    </rPh>
    <rPh sb="12" eb="13">
      <t>バン</t>
    </rPh>
    <rPh sb="15" eb="16">
      <t>ゴウ</t>
    </rPh>
    <phoneticPr fontId="3"/>
  </si>
  <si>
    <t>　梅田阪神第1ビル15階（ハービスOSAKA）</t>
    <rPh sb="1" eb="3">
      <t>ウメダ</t>
    </rPh>
    <rPh sb="3" eb="5">
      <t>ハンシン</t>
    </rPh>
    <rPh sb="5" eb="6">
      <t>ダイ</t>
    </rPh>
    <rPh sb="11" eb="12">
      <t>カイ</t>
    </rPh>
    <phoneticPr fontId="3"/>
  </si>
  <si>
    <t>　TEL: 06-6345-9021</t>
    <phoneticPr fontId="3"/>
  </si>
  <si>
    <t>有効期限：発行日から1か月間</t>
    <rPh sb="0" eb="4">
      <t>ユウコウキゲン</t>
    </rPh>
    <rPh sb="5" eb="8">
      <t>ハッコウビ</t>
    </rPh>
    <rPh sb="12" eb="14">
      <t>ゲツカン</t>
    </rPh>
    <phoneticPr fontId="3"/>
  </si>
  <si>
    <t>数量</t>
  </si>
  <si>
    <t>単価</t>
  </si>
  <si>
    <t>金額（税抜）</t>
    <rPh sb="3" eb="5">
      <t>ゼイヌキ</t>
    </rPh>
    <phoneticPr fontId="3"/>
  </si>
  <si>
    <t>税抜合計:</t>
    <rPh sb="0" eb="4">
      <t>ゼイヌキゴウケイ</t>
    </rPh>
    <phoneticPr fontId="3"/>
  </si>
  <si>
    <t>金額（税抜）</t>
    <rPh sb="0" eb="2">
      <t>キンガク</t>
    </rPh>
    <rPh sb="3" eb="5">
      <t>ゼイヌキ</t>
    </rPh>
    <phoneticPr fontId="3"/>
  </si>
  <si>
    <t>消費税等</t>
    <rPh sb="0" eb="4">
      <t>ショウヒゼイトウ</t>
    </rPh>
    <phoneticPr fontId="3"/>
  </si>
  <si>
    <t>対象 小計:</t>
    <rPh sb="0" eb="2">
      <t>タイショウ</t>
    </rPh>
    <rPh sb="3" eb="5">
      <t>ショウケイ</t>
    </rPh>
    <phoneticPr fontId="3"/>
  </si>
  <si>
    <t>非課税</t>
    <rPh sb="0" eb="3">
      <t>ヒカゼイ</t>
    </rPh>
    <phoneticPr fontId="3"/>
  </si>
  <si>
    <t>税込合計:</t>
    <rPh sb="0" eb="2">
      <t>ゼイコミ</t>
    </rPh>
    <phoneticPr fontId="3"/>
  </si>
  <si>
    <t>備考欄：</t>
    <rPh sb="0" eb="2">
      <t>ビコウ</t>
    </rPh>
    <rPh sb="2" eb="3">
      <t>ラン</t>
    </rPh>
    <phoneticPr fontId="3"/>
  </si>
  <si>
    <t>仕入先コード：</t>
    <rPh sb="0" eb="3">
      <t>シイレサキ</t>
    </rPh>
    <phoneticPr fontId="3"/>
  </si>
  <si>
    <t>発注No. ：</t>
    <rPh sb="0" eb="2">
      <t>ハッチュウ</t>
    </rPh>
    <phoneticPr fontId="3"/>
  </si>
  <si>
    <t>下記の通り発注いたします。</t>
    <rPh sb="0" eb="2">
      <t>カキ</t>
    </rPh>
    <rPh sb="5" eb="7">
      <t>ハッチュウ</t>
    </rPh>
    <phoneticPr fontId="3"/>
  </si>
  <si>
    <t>金額</t>
    <phoneticPr fontId="3"/>
  </si>
  <si>
    <t>発行日：</t>
    <rPh sb="0" eb="3">
      <t>ハッコウビ</t>
    </rPh>
    <phoneticPr fontId="2"/>
  </si>
  <si>
    <t>納品書No. ：</t>
    <rPh sb="0" eb="3">
      <t>ノウヒンショ</t>
    </rPh>
    <phoneticPr fontId="2"/>
  </si>
  <si>
    <t>　新日本海商事株式会社</t>
    <rPh sb="1" eb="11">
      <t>シンニホンカイショウジカブシキガイシャ</t>
    </rPh>
    <phoneticPr fontId="2"/>
  </si>
  <si>
    <t>平素よりお世話になっております。</t>
  </si>
  <si>
    <t>　〒530-0001</t>
    <phoneticPr fontId="2"/>
  </si>
  <si>
    <t>下記の通りご納品いたしました。</t>
    <rPh sb="0" eb="2">
      <t>カキ</t>
    </rPh>
    <rPh sb="3" eb="4">
      <t>トオ</t>
    </rPh>
    <rPh sb="6" eb="8">
      <t>ノウヒン</t>
    </rPh>
    <phoneticPr fontId="2"/>
  </si>
  <si>
    <t>　大阪市北区梅田2丁目5番25号</t>
    <rPh sb="9" eb="11">
      <t>チョウメ</t>
    </rPh>
    <rPh sb="12" eb="13">
      <t>バン</t>
    </rPh>
    <rPh sb="15" eb="16">
      <t>ゴウ</t>
    </rPh>
    <phoneticPr fontId="2"/>
  </si>
  <si>
    <t>　梅田阪神第1ビル15階（ハービスOSAKA）</t>
    <rPh sb="1" eb="3">
      <t>ウメダ</t>
    </rPh>
    <rPh sb="3" eb="5">
      <t>ハンシン</t>
    </rPh>
    <rPh sb="5" eb="6">
      <t>ダイ</t>
    </rPh>
    <rPh sb="11" eb="12">
      <t>カイ</t>
    </rPh>
    <phoneticPr fontId="2"/>
  </si>
  <si>
    <t>　TEL: 06-6345-9021</t>
    <phoneticPr fontId="2"/>
  </si>
  <si>
    <t>税率</t>
    <rPh sb="0" eb="2">
      <t>ゼイリツ</t>
    </rPh>
    <phoneticPr fontId="2"/>
  </si>
  <si>
    <t>金額</t>
    <phoneticPr fontId="2"/>
  </si>
  <si>
    <t>備考</t>
    <rPh sb="0" eb="2">
      <t>ビコウ</t>
    </rPh>
    <phoneticPr fontId="2"/>
  </si>
  <si>
    <t>税抜合計:</t>
    <rPh sb="0" eb="4">
      <t>ゼイヌキゴウケイ</t>
    </rPh>
    <phoneticPr fontId="2"/>
  </si>
  <si>
    <t>金額（税抜）</t>
    <rPh sb="0" eb="2">
      <t>キンガク</t>
    </rPh>
    <rPh sb="3" eb="5">
      <t>ゼイヌキ</t>
    </rPh>
    <phoneticPr fontId="2"/>
  </si>
  <si>
    <t>消費税等</t>
    <rPh sb="0" eb="4">
      <t>ショウヒゼイトウ</t>
    </rPh>
    <phoneticPr fontId="2"/>
  </si>
  <si>
    <t>対象 小計:</t>
    <rPh sb="0" eb="2">
      <t>タイショウ</t>
    </rPh>
    <rPh sb="3" eb="5">
      <t>ショウケイ</t>
    </rPh>
    <phoneticPr fontId="2"/>
  </si>
  <si>
    <t>非課税</t>
    <rPh sb="0" eb="3">
      <t>ヒカゼイ</t>
    </rPh>
    <phoneticPr fontId="2"/>
  </si>
  <si>
    <t>税込合計:</t>
    <rPh sb="0" eb="2">
      <t>ゼイコミ</t>
    </rPh>
    <phoneticPr fontId="2"/>
  </si>
  <si>
    <t>備考欄：</t>
    <rPh sb="0" eb="2">
      <t>ビコウ</t>
    </rPh>
    <rPh sb="2" eb="3">
      <t>ラン</t>
    </rPh>
    <phoneticPr fontId="2"/>
  </si>
  <si>
    <t>請求書No. ：</t>
  </si>
  <si>
    <t>平素よりお世話になっております。</t>
    <rPh sb="0" eb="2">
      <t>ヘイソ</t>
    </rPh>
    <rPh sb="5" eb="7">
      <t>セワ</t>
    </rPh>
    <phoneticPr fontId="2"/>
  </si>
  <si>
    <t>下記の通りご請求申し上げます。</t>
    <rPh sb="0" eb="2">
      <t>カキ</t>
    </rPh>
    <rPh sb="6" eb="8">
      <t>セイキュウ</t>
    </rPh>
    <rPh sb="8" eb="9">
      <t>モウ</t>
    </rPh>
    <rPh sb="10" eb="11">
      <t>ア</t>
    </rPh>
    <phoneticPr fontId="2"/>
  </si>
  <si>
    <t>誠に恐れ入りますが振込手数料はご負担いただきますようお願いいたします。</t>
    <rPh sb="0" eb="1">
      <t>マコト</t>
    </rPh>
    <rPh sb="2" eb="3">
      <t>オソ</t>
    </rPh>
    <rPh sb="4" eb="5">
      <t>イ</t>
    </rPh>
    <rPh sb="9" eb="14">
      <t>フリコミテスウリョウ</t>
    </rPh>
    <rPh sb="16" eb="18">
      <t>フタン</t>
    </rPh>
    <rPh sb="27" eb="28">
      <t>ネガ</t>
    </rPh>
    <phoneticPr fontId="2"/>
  </si>
  <si>
    <t>振込先：</t>
    <rPh sb="0" eb="3">
      <t>フリコミサキ</t>
    </rPh>
    <phoneticPr fontId="2"/>
  </si>
  <si>
    <t>三菱UFJ銀行  堂島支店</t>
    <phoneticPr fontId="2"/>
  </si>
  <si>
    <t xml:space="preserve">(当) 0143405  ｼﾝﾆﾎﾝｶｲｼｮｳｼﾞ　ｶ) </t>
    <phoneticPr fontId="2"/>
  </si>
  <si>
    <t>〒003-0029</t>
    <phoneticPr fontId="3"/>
  </si>
  <si>
    <t>北海道札幌市白石区平和通二丁目北３番３０号</t>
    <rPh sb="0" eb="3">
      <t>ホッカイドウ</t>
    </rPh>
    <phoneticPr fontId="3"/>
  </si>
  <si>
    <t>090-1526-6097</t>
    <phoneticPr fontId="3"/>
  </si>
  <si>
    <t>飯塚 忠志</t>
    <phoneticPr fontId="3"/>
  </si>
  <si>
    <t>社名の｢ベターデイズ(Betterdays)｣には
”より良い明日”や”より良い未来”という想いを込めました。
北海道の産地・生産者と連携して
”より良い食文化”をご提案します！</t>
    <phoneticPr fontId="3"/>
  </si>
  <si>
    <t>北海道札幌市白石区菊水元町6条１－１－３０</t>
    <phoneticPr fontId="3"/>
  </si>
  <si>
    <t>011-595-7288</t>
    <phoneticPr fontId="3"/>
  </si>
  <si>
    <t>吉野</t>
    <phoneticPr fontId="3"/>
  </si>
  <si>
    <t>長年培ってきた知床前浜の魚貝類ファーストのものづくりは、知床の魚貝マイスターが競りにおける目利き力とスタッフによる加工技術によって成しえるものであります。</t>
    <phoneticPr fontId="3"/>
  </si>
  <si>
    <t>WEBで出てこず</t>
    <rPh sb="4" eb="5">
      <t>デ</t>
    </rPh>
    <phoneticPr fontId="3"/>
  </si>
  <si>
    <t>ベターデイズ</t>
    <phoneticPr fontId="3"/>
  </si>
  <si>
    <t>五洋物産</t>
    <rPh sb="0" eb="2">
      <t>ゴヨウ</t>
    </rPh>
    <phoneticPr fontId="3"/>
  </si>
  <si>
    <t>知床工房</t>
    <phoneticPr fontId="3"/>
  </si>
  <si>
    <t>FSS</t>
    <phoneticPr fontId="3"/>
  </si>
  <si>
    <t>BTD</t>
    <phoneticPr fontId="3"/>
  </si>
  <si>
    <t>GYB</t>
    <phoneticPr fontId="3"/>
  </si>
  <si>
    <t>STK</t>
    <phoneticPr fontId="3"/>
  </si>
  <si>
    <t>じゃがもっち　かに　</t>
  </si>
  <si>
    <t>じゃがもっち　ホタテ</t>
  </si>
  <si>
    <t>じゃがもっち　パンプキン　</t>
  </si>
  <si>
    <t>じゃがもっち　雪そだち　</t>
    <rPh sb="7" eb="8">
      <t>ユキ</t>
    </rPh>
    <phoneticPr fontId="2"/>
  </si>
  <si>
    <t>じゃがもっち　ハスカップ　</t>
  </si>
  <si>
    <t>じゃがもっち　メロン</t>
  </si>
  <si>
    <t>じゃがもっち　コラーゲン　</t>
  </si>
  <si>
    <t>じゃがもっち　ピリ辛　</t>
    <rPh sb="9" eb="10">
      <t>カラ</t>
    </rPh>
    <phoneticPr fontId="2"/>
  </si>
  <si>
    <t>じゃがもっち　ぶた＆チーズ</t>
  </si>
  <si>
    <t>じゃがもっち　チーズ</t>
  </si>
  <si>
    <t>パウンド詰め合わせＳ</t>
    <phoneticPr fontId="3"/>
  </si>
  <si>
    <t>焼き菓子詰め合わせＭ</t>
    <phoneticPr fontId="3"/>
  </si>
  <si>
    <t>焼き菓子詰め合わせL</t>
    <phoneticPr fontId="3"/>
  </si>
  <si>
    <t>パウンドケーキ詰め合わせ１２個入り</t>
  </si>
  <si>
    <t>【期間限定】クリスマス焼き菓子セット</t>
  </si>
  <si>
    <t>【期間限定】クリスマスシュトーレン2本セット</t>
  </si>
  <si>
    <t>純粋知床産　きんき一夜干し２４０ℊ1枚と開きホッケ２４０ℊ１枚　つるし干しセット</t>
    <phoneticPr fontId="3"/>
  </si>
  <si>
    <t>知床ブランド認証セット３品種詰合せ</t>
    <phoneticPr fontId="3"/>
  </si>
  <si>
    <t>純粋知床産　人気の吊るし干しセット　ほっけ.宗八かれい.銀がれい</t>
  </si>
  <si>
    <t>純粋知床産　低温長時間微風乾燥　開きほっけと宗八がれいとなめたかれいとさくらます一夜干しのセット</t>
    <phoneticPr fontId="3"/>
  </si>
  <si>
    <t>知床低温熟成味噌仕込み　ぶり．さくらます．銀がれい</t>
  </si>
  <si>
    <t>知床低温熟成味噌仕込み・ほっけ・さくらます・銀がれい・さめがれい4種　</t>
  </si>
  <si>
    <t>純粋知床産　低温長時間微風乾燥　開きほっけ・宗八がれい・銀がれい・さくらます・こまい一夜干しのセット　</t>
    <phoneticPr fontId="3"/>
  </si>
  <si>
    <t>50個×12袋</t>
    <rPh sb="2" eb="3">
      <t>コ</t>
    </rPh>
    <rPh sb="6" eb="7">
      <t>フクロ</t>
    </rPh>
    <phoneticPr fontId="3"/>
  </si>
  <si>
    <t>セット</t>
    <phoneticPr fontId="3"/>
  </si>
  <si>
    <t>袋</t>
    <rPh sb="0" eb="1">
      <t>フクロ</t>
    </rPh>
    <phoneticPr fontId="3"/>
  </si>
  <si>
    <t>個</t>
    <rPh sb="0" eb="1">
      <t>コ</t>
    </rPh>
    <phoneticPr fontId="3"/>
  </si>
  <si>
    <t>内寸:240×80×H58mm</t>
  </si>
  <si>
    <t>212×222×H57mm</t>
  </si>
  <si>
    <t>222×312×H57mm　約1200g</t>
  </si>
  <si>
    <t>195*255*70
約680g</t>
  </si>
  <si>
    <t>60サイズ箱ｘ１</t>
  </si>
  <si>
    <t>到着後冷凍保存していただき、冷蔵庫で数時間自然解凍後、焼き魚でお召し上がりください。
・開封後は一度に食べきってください。</t>
    <phoneticPr fontId="3"/>
  </si>
  <si>
    <t>到着後は冷凍保存をしていただき、お召し上がりになるときに冷蔵解凍して開封後は早めにお召し上がりください。</t>
    <phoneticPr fontId="3"/>
  </si>
  <si>
    <t>到着後は冷凍保存ををお願いいたします。冷蔵解凍後、お早めにお召し上がりください。</t>
    <phoneticPr fontId="3"/>
  </si>
  <si>
    <t>到着後は冷凍保管　冷蔵解凍してください。開封後は早めにお召し上がりください。</t>
    <phoneticPr fontId="3"/>
  </si>
  <si>
    <t>12ヶ月</t>
    <rPh sb="3" eb="4">
      <t>ゲツ</t>
    </rPh>
    <phoneticPr fontId="2"/>
  </si>
  <si>
    <t>３１日</t>
  </si>
  <si>
    <t>31日</t>
  </si>
  <si>
    <t>パウンド31日、クッキー45日、あんこパイ28日</t>
  </si>
  <si>
    <t>45日</t>
  </si>
  <si>
    <t>10日</t>
    <rPh sb="2" eb="3">
      <t>ヒ</t>
    </rPh>
    <phoneticPr fontId="3"/>
  </si>
  <si>
    <t>AUT</t>
    <phoneticPr fontId="3"/>
  </si>
  <si>
    <t>オーセントホテル小樽</t>
    <rPh sb="8" eb="10">
      <t>オタル</t>
    </rPh>
    <phoneticPr fontId="3"/>
  </si>
  <si>
    <t>オーセントホテル小樽　【期間限定受付中!12/10まで】 数量限定!!オリジナルシュトーレン※11/1～順次発送</t>
    <rPh sb="8" eb="10">
      <t>オタル</t>
    </rPh>
    <rPh sb="12" eb="16">
      <t>キカンゲンテイ</t>
    </rPh>
    <rPh sb="16" eb="19">
      <t>ウケツケチュウ</t>
    </rPh>
    <rPh sb="29" eb="31">
      <t>スウリョウ</t>
    </rPh>
    <rPh sb="31" eb="33">
      <t>ゲンテイ</t>
    </rPh>
    <rPh sb="52" eb="54">
      <t>ジュンジ</t>
    </rPh>
    <rPh sb="54" eb="56">
      <t>ハッソウ</t>
    </rPh>
    <phoneticPr fontId="5"/>
  </si>
  <si>
    <t>オーセントホテル小樽　【期間限定受付中!12/10まで】 数量限定!!プレミアムシュトーレン※11/1～順次発送</t>
    <rPh sb="8" eb="10">
      <t>オタル</t>
    </rPh>
    <rPh sb="12" eb="16">
      <t>キカンゲンテイ</t>
    </rPh>
    <rPh sb="16" eb="19">
      <t>ウケツケチュウ</t>
    </rPh>
    <rPh sb="29" eb="31">
      <t>スウリョウ</t>
    </rPh>
    <rPh sb="31" eb="33">
      <t>ゲンテイ</t>
    </rPh>
    <phoneticPr fontId="5"/>
  </si>
  <si>
    <t>1本（長さ約22cm,重さ約380g)</t>
    <phoneticPr fontId="29"/>
  </si>
  <si>
    <t>1本　約900g</t>
    <rPh sb="1" eb="2">
      <t>ホン</t>
    </rPh>
    <phoneticPr fontId="29"/>
  </si>
  <si>
    <t>にんにく満足宣言！！これこそ探し求めていた混ぜるだけで激うまペペロンチーノ！パスタに絡まるガツンとにんにく&amp;ブラックペッパーなどのスパイスが絶妙なバランス。チャーハンの仕上げにもおすすめです！</t>
    <phoneticPr fontId="3"/>
  </si>
  <si>
    <r>
      <rPr>
        <b/>
        <sz val="11"/>
        <rFont val="游ゴシック"/>
        <family val="3"/>
        <charset val="128"/>
        <scheme val="minor"/>
      </rPr>
      <t>(合)ベジタボ　由栗いも　畑のキャラメル　</t>
    </r>
    <r>
      <rPr>
        <sz val="11"/>
        <rFont val="游ゴシック"/>
        <family val="3"/>
        <charset val="128"/>
        <scheme val="minor"/>
      </rPr>
      <t>　30g×８個入</t>
    </r>
    <rPh sb="27" eb="29">
      <t>コイ</t>
    </rPh>
    <phoneticPr fontId="3"/>
  </si>
  <si>
    <t>INVOICE NO:T9120001109968</t>
    <phoneticPr fontId="2"/>
  </si>
  <si>
    <t>和歌山のほんまもんの炭　紀州備長炭　中丸</t>
    <phoneticPr fontId="3"/>
  </si>
  <si>
    <t>KTR</t>
    <phoneticPr fontId="3"/>
  </si>
  <si>
    <t>京樽</t>
    <rPh sb="0" eb="2">
      <t>キョウタル</t>
    </rPh>
    <phoneticPr fontId="3"/>
  </si>
  <si>
    <t>【EEZO年末】行者ニンニクみそ豚まん：5個・十勝チーズまん：5個/セット</t>
  </si>
  <si>
    <t xml:space="preserve">【EEZO年末】十勝チーズまん：10個/セット </t>
  </si>
  <si>
    <t>北海道中華まんシリーズ 行者ニンニクみそ豚まん 150g　40個</t>
  </si>
  <si>
    <t>北海道中華まんシリーズ 行者ニンニクみそ豚まん 150g　80個</t>
  </si>
  <si>
    <t>北海道中華まんシリーズ 十勝チーズまん 150g　44個</t>
  </si>
  <si>
    <t>北海道中華まんシリーズ 十勝チーズまん 150g　88個</t>
  </si>
  <si>
    <t>１セット</t>
  </si>
  <si>
    <t>150g/個</t>
  </si>
  <si>
    <t>箱</t>
  </si>
  <si>
    <t>冷凍</t>
  </si>
  <si>
    <t>5日</t>
  </si>
  <si>
    <t>〇</t>
  </si>
  <si>
    <t>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t>
  </si>
  <si>
    <t>2ケース</t>
  </si>
  <si>
    <t xml:space="preserve">十勝ハーブ牛ビーフジャーキー 30g </t>
  </si>
  <si>
    <t>ふるさと納税でも大人気。主原料はすべて北海道産を使用した｢北海道中華まん｣シリーズ。●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餡にチーズ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rPh sb="4" eb="6">
      <t>ノウゼイ</t>
    </rPh>
    <rPh sb="8" eb="11">
      <t>ダイニンキ</t>
    </rPh>
    <phoneticPr fontId="3"/>
  </si>
  <si>
    <t>餡にチーズが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phoneticPr fontId="3"/>
  </si>
  <si>
    <t>ニセコビュープラザ</t>
    <phoneticPr fontId="3"/>
  </si>
  <si>
    <t>EEZOお歳暮パック 旬の野菜Ｓサイズ</t>
  </si>
  <si>
    <t>冷凍 上方鮨セット（姫茶きん・穴子鮨・焼鯖鮨）</t>
  </si>
  <si>
    <t>冷凍 押し寿司3種セット</t>
  </si>
  <si>
    <t>冷凍 上方鮨20貫 1個＋姫茶きん鮨 2個セット</t>
  </si>
  <si>
    <t>冷凍 姫茶きん鮨(6個) 3個セット</t>
  </si>
  <si>
    <t>冷凍 穴子鮨 3個セット</t>
  </si>
  <si>
    <t>冷凍 焼鯖鮨 3個セット</t>
  </si>
  <si>
    <t>冷凍 うなぎ鮨 3個セット</t>
  </si>
  <si>
    <t>冷凍 五目ちらし 3個セット</t>
  </si>
  <si>
    <t>冷凍 うなぎちらし 3個セット</t>
  </si>
  <si>
    <t>冷凍 わさびいなり(3個) 6個セット</t>
  </si>
  <si>
    <t>80cmサイズの箱</t>
  </si>
  <si>
    <t>なし</t>
  </si>
  <si>
    <t>常温</t>
  </si>
  <si>
    <t>ニセコ産の旬の野菜をお届けします●米　2キロ（ゆめぴりか）●ゆり根2株程度：ゆりねは古くから薬用として使用されるなど、その高い栄養価がうかがえます。
カリウムの含有量が高く、鉄・リン等も豊富。
良質なでん粉・食物繊維を多く含み、加熱によるビタミンCの損失が少ないのも特徴で、高級野菜として重宝されています。
また、最近では妊婦・授乳している方に必要な葉酸も多く含まれ、近年注目を集めています。●じゃがいも　1袋（約１kg）：昼夜の寒暖の差が激しいニセコの気候と豊かな自然が味のいいじゃがいもの産地として高く評価されています。</t>
  </si>
  <si>
    <t>セット</t>
  </si>
  <si>
    <t>姫茶きん鮨321g+穴子鮨255g+焼鯖鮨295g</t>
  </si>
  <si>
    <t>80cm段ボール</t>
  </si>
  <si>
    <t>製造日より1年</t>
  </si>
  <si>
    <t>入金確認後1～2週間</t>
  </si>
  <si>
    <t>姫茶きん鮨・穴子鮨・焼鯖鮨の3個セット。京樽看板商品の茶きん鮨を食べやすいサイズに。上方鮨定番の押し鮨。電子レンジ調理。</t>
  </si>
  <si>
    <t>穴子鮨255g+焼鯖鮨295g+うなぎ鮨245g</t>
  </si>
  <si>
    <t>穴子鮨・焼鯖鮨・うなぎ鮨の押し寿司3パックセット。こだわりのタレで丁寧に焼き上げた具材を贅沢に使用。電子レンジ調理。</t>
  </si>
  <si>
    <t>上方鮨20貫350g×1+姫茶きん鮨321g×2</t>
  </si>
  <si>
    <t>姫茶きん鮨と彩り鮮やかな箱寿司「上方鮨20貫」のセット。かに・酢〆真鯛・ます・〆さば・穴子・漬け真いか・酢〆えび・厚焼き玉子・高菜・焼鯖の10種。電子レンジ調理。</t>
  </si>
  <si>
    <t>姫茶きん鮨321g×3</t>
  </si>
  <si>
    <t>京樽看板商品を一回り小さく食べやすいサイズに。焼穴子・かんぴょう・椎茸・きくらげ・深煎りゴマ・柚子・海苔が香る混ぜシャリを薄焼き玉子で包んだお寿司。電子レンジ調理。</t>
  </si>
  <si>
    <t>穴子鮨6貫255g×3</t>
  </si>
  <si>
    <t>京樽特製タレで香ばしく焼き上げた穴子を使った押し寿司。上方鮨定番の押し鮨。電子レンジ調理。</t>
  </si>
  <si>
    <t>焼鯖鮨6貫295g×3</t>
  </si>
  <si>
    <t>こだわりのタレで丁寧に香ばしく焼き上げた鯖を贅沢に使った押し寿司。混ぜシャリで押した創作押し寿司。第1回「日本全国！ご当地冷凍食品大賞2024-2025」優秀賞受賞。電子レンジ調理。</t>
  </si>
  <si>
    <t>うなぎ鮨6貫245g×3</t>
  </si>
  <si>
    <t>焼き方やタレにこだわり。伝統的な上方鮨の技術で作り上げたうなぎの長焼を贅沢に使った押し寿司。椎茸とかんぴょうの旨味がうなぎを引き立てる。電子レンジ調理。</t>
  </si>
  <si>
    <t>五目ちらし240g×3</t>
  </si>
  <si>
    <t>混ぜシャリで食べる定番の上方ちらし鮨。優しい味付けで仕上げた、どこか懐かしいちらし鮨。電子レンジ調理。</t>
  </si>
  <si>
    <t>うなぎちらし287g×3</t>
  </si>
  <si>
    <t>焼き方やタレにこだわったうなぎの長焼を贅沢に使用。2種類の切り方（細かく刻んだうなぎとそぎ切り）で異なる食感を楽しめる。電子レンジ調理。</t>
  </si>
  <si>
    <t>わさびいなり3個×6</t>
  </si>
  <si>
    <t>ワサビの香りが鼻を抜ける、甘さと辛さのバランスが取れたいなりずし。あら切りのわさびを使用し食感も楽しい一品。電子レンジ調理。</t>
  </si>
  <si>
    <t>小樽水産加工業協同組合</t>
    <rPh sb="0" eb="2">
      <t>オタル</t>
    </rPh>
    <rPh sb="2" eb="4">
      <t>スイサン</t>
    </rPh>
    <rPh sb="4" eb="7">
      <t>カコウギョウ</t>
    </rPh>
    <rPh sb="7" eb="9">
      <t>キョウドウ</t>
    </rPh>
    <rPh sb="9" eb="11">
      <t>クミアイ</t>
    </rPh>
    <phoneticPr fontId="3"/>
  </si>
  <si>
    <t>OTS</t>
    <phoneticPr fontId="3"/>
  </si>
  <si>
    <t>2025.お歳暮セットA-1（常温）</t>
  </si>
  <si>
    <t>2025.お歳暮セットA-2（常温）</t>
  </si>
  <si>
    <t>2025.お歳暮セットB-1（冷凍）</t>
  </si>
  <si>
    <t>2025.お歳暮セットB-2（冷凍）</t>
  </si>
  <si>
    <t>9品入り</t>
  </si>
  <si>
    <t>7品入り</t>
  </si>
  <si>
    <t>5品入り</t>
  </si>
  <si>
    <t>120～180日</t>
  </si>
  <si>
    <t>宮城県産 とろ金華いわしフィーレ（生食）</t>
    <phoneticPr fontId="3"/>
  </si>
  <si>
    <t>GOODGOOD</t>
  </si>
  <si>
    <t>GOODGOOD</t>
    <phoneticPr fontId="3"/>
  </si>
  <si>
    <t>冷凍あか牛リブロース（サンプル用）</t>
    <rPh sb="0" eb="2">
      <t>レイトウ</t>
    </rPh>
    <rPh sb="4" eb="5">
      <t>ウシ</t>
    </rPh>
    <rPh sb="15" eb="16">
      <t>ヨウ</t>
    </rPh>
    <phoneticPr fontId="3"/>
  </si>
  <si>
    <t>150g</t>
    <phoneticPr fontId="3"/>
  </si>
  <si>
    <t>発　注　書</t>
    <rPh sb="0" eb="1">
      <t>ハッ</t>
    </rPh>
    <rPh sb="2" eb="3">
      <t>チュウ</t>
    </rPh>
    <rPh sb="4" eb="5">
      <t>ショ</t>
    </rPh>
    <phoneticPr fontId="3"/>
  </si>
  <si>
    <t>湯浅醤油</t>
    <rPh sb="0" eb="2">
      <t>ユアサ</t>
    </rPh>
    <rPh sb="2" eb="4">
      <t>ショウユ</t>
    </rPh>
    <phoneticPr fontId="3"/>
  </si>
  <si>
    <t>YAS</t>
    <phoneticPr fontId="3"/>
  </si>
  <si>
    <t>蔵匠　樽仕込み 200ml</t>
  </si>
  <si>
    <t>蔵匠　樽仕込み 720ml</t>
  </si>
  <si>
    <t>蔵匠 白搾り 200ml</t>
  </si>
  <si>
    <t>蔵匠 白搾り 720ml</t>
  </si>
  <si>
    <t>本</t>
    <rPh sb="0" eb="1">
      <t>ホン</t>
    </rPh>
    <phoneticPr fontId="6"/>
  </si>
  <si>
    <t>本</t>
  </si>
  <si>
    <t>200ml×30本/ケース</t>
  </si>
  <si>
    <t>720ml×12本/ケース</t>
  </si>
  <si>
    <t>6ケース(180本）</t>
  </si>
  <si>
    <t>6ケース（72本）</t>
  </si>
  <si>
    <t>2年</t>
    <rPh sb="1" eb="2">
      <t>ネン</t>
    </rPh>
    <phoneticPr fontId="6"/>
  </si>
  <si>
    <t>1年</t>
    <rPh sb="1" eb="2">
      <t>ネン</t>
    </rPh>
    <phoneticPr fontId="6"/>
  </si>
  <si>
    <t>4kg</t>
    <phoneticPr fontId="3"/>
  </si>
  <si>
    <t>納　品　書</t>
    <rPh sb="0" eb="1">
      <t>オサメ</t>
    </rPh>
    <rPh sb="2" eb="3">
      <t>ヒン</t>
    </rPh>
    <rPh sb="4" eb="5">
      <t>ショ</t>
    </rPh>
    <phoneticPr fontId="2"/>
  </si>
  <si>
    <t>請　求　書</t>
    <rPh sb="0" eb="1">
      <t>ショウ</t>
    </rPh>
    <rPh sb="2" eb="3">
      <t>モトム</t>
    </rPh>
    <rPh sb="4" eb="5">
      <t>ショ</t>
    </rPh>
    <phoneticPr fontId="2"/>
  </si>
  <si>
    <t>藤岡 睦夫</t>
  </si>
  <si>
    <t>FJK</t>
    <phoneticPr fontId="3"/>
  </si>
  <si>
    <t>直商</t>
    <rPh sb="0" eb="1">
      <t>ジキ</t>
    </rPh>
    <rPh sb="1" eb="2">
      <t>ショウ</t>
    </rPh>
    <phoneticPr fontId="3"/>
  </si>
  <si>
    <t>JKS</t>
    <phoneticPr fontId="3"/>
  </si>
  <si>
    <t>箱</t>
    <phoneticPr fontId="3"/>
  </si>
  <si>
    <t>5kg入/箱</t>
    <rPh sb="3" eb="4">
      <t>イ</t>
    </rPh>
    <rPh sb="5" eb="6">
      <t>ハコ</t>
    </rPh>
    <phoneticPr fontId="3"/>
  </si>
  <si>
    <t>段ボール</t>
    <rPh sb="0" eb="1">
      <t>ダン</t>
    </rPh>
    <phoneticPr fontId="3"/>
  </si>
  <si>
    <t>ー</t>
    <phoneticPr fontId="3"/>
  </si>
  <si>
    <t>小口便　5kg(1ケース)</t>
    <rPh sb="0" eb="2">
      <t>コグチ</t>
    </rPh>
    <rPh sb="2" eb="3">
      <t>ビン</t>
    </rPh>
    <phoneticPr fontId="3"/>
  </si>
  <si>
    <t>小口便　10kg(1ケース)</t>
    <rPh sb="0" eb="2">
      <t>コグチ</t>
    </rPh>
    <rPh sb="2" eb="3">
      <t>ビン</t>
    </rPh>
    <phoneticPr fontId="3"/>
  </si>
  <si>
    <t>式</t>
    <phoneticPr fontId="3"/>
  </si>
  <si>
    <t>有田みかん　田口早生5キロ　Mサイズ</t>
    <rPh sb="0" eb="2">
      <t>アリダ</t>
    </rPh>
    <rPh sb="6" eb="8">
      <t>タグチ</t>
    </rPh>
    <rPh sb="8" eb="10">
      <t>ワセ</t>
    </rPh>
    <phoneticPr fontId="3"/>
  </si>
  <si>
    <t>DNB</t>
    <phoneticPr fontId="3"/>
  </si>
  <si>
    <t>DENBA JAPAN</t>
  </si>
  <si>
    <t>DENBA JAPAN</t>
    <phoneticPr fontId="3"/>
  </si>
  <si>
    <t>DENBA+ 3.0</t>
  </si>
  <si>
    <t>DENBA+ 2.0</t>
    <phoneticPr fontId="3"/>
  </si>
  <si>
    <t>DENBA+ Fresh Pro</t>
    <phoneticPr fontId="3"/>
  </si>
  <si>
    <t>DENBA+Land(本体,放電棒 4 本)</t>
  </si>
  <si>
    <t>DENBA+Land(本体,放電棒 2 本)</t>
    <phoneticPr fontId="3"/>
  </si>
  <si>
    <t>DENBA FRYER</t>
    <phoneticPr fontId="3"/>
  </si>
  <si>
    <t>DENBA Health High Grade</t>
    <phoneticPr fontId="3"/>
  </si>
  <si>
    <t>DENBA Health Standard</t>
    <phoneticPr fontId="3"/>
  </si>
  <si>
    <t>DENBA Health Charge</t>
    <phoneticPr fontId="3"/>
  </si>
  <si>
    <t>台</t>
    <rPh sb="0" eb="1">
      <t>ダイ</t>
    </rPh>
    <phoneticPr fontId="3"/>
  </si>
  <si>
    <t>-</t>
    <phoneticPr fontId="3"/>
  </si>
  <si>
    <t>APK</t>
    <phoneticPr fontId="3"/>
  </si>
  <si>
    <t>あぷかの森</t>
    <rPh sb="4" eb="5">
      <t>モリ</t>
    </rPh>
    <phoneticPr fontId="3"/>
  </si>
  <si>
    <t>kg</t>
    <phoneticPr fontId="3"/>
  </si>
  <si>
    <t>エゾシカ　肩ロース</t>
    <rPh sb="5" eb="6">
      <t>カタ</t>
    </rPh>
    <phoneticPr fontId="3"/>
  </si>
  <si>
    <t>エゾシカ　ロース</t>
    <phoneticPr fontId="3"/>
  </si>
  <si>
    <t>エゾシカ　内もも</t>
    <rPh sb="5" eb="6">
      <t>ウチ</t>
    </rPh>
    <phoneticPr fontId="3"/>
  </si>
  <si>
    <t>エゾシカ　外もも</t>
    <rPh sb="5" eb="6">
      <t>ソト</t>
    </rPh>
    <phoneticPr fontId="3"/>
  </si>
  <si>
    <t>エゾシカ　シンタマ</t>
    <phoneticPr fontId="3"/>
  </si>
  <si>
    <t>エゾシカ　カタ</t>
    <phoneticPr fontId="3"/>
  </si>
  <si>
    <t>エゾシカ　バラ</t>
    <phoneticPr fontId="3"/>
  </si>
  <si>
    <t>エゾシカ　スネ</t>
    <phoneticPr fontId="3"/>
  </si>
  <si>
    <t>エゾシカ　ミンチ</t>
    <phoneticPr fontId="3"/>
  </si>
  <si>
    <t>YUK</t>
    <phoneticPr fontId="3"/>
  </si>
  <si>
    <t>ユック</t>
    <phoneticPr fontId="3"/>
  </si>
  <si>
    <t>SDH</t>
    <phoneticPr fontId="3"/>
  </si>
  <si>
    <t>ソバージュド函館</t>
    <rPh sb="6" eb="8">
      <t>ハコダテ</t>
    </rPh>
    <phoneticPr fontId="3"/>
  </si>
  <si>
    <t>ユック</t>
    <phoneticPr fontId="31"/>
  </si>
  <si>
    <t>ソバージュド函館</t>
    <rPh sb="6" eb="8">
      <t>ハコダテ</t>
    </rPh>
    <phoneticPr fontId="31"/>
  </si>
  <si>
    <t>エゾシカ　バラ</t>
    <phoneticPr fontId="31"/>
  </si>
  <si>
    <t>エゾシカ　ロース</t>
    <phoneticPr fontId="31"/>
  </si>
  <si>
    <t>エゾシカ　ヒレ</t>
    <phoneticPr fontId="31"/>
  </si>
  <si>
    <t>エゾシカ　モモ</t>
    <phoneticPr fontId="31"/>
  </si>
  <si>
    <t>エゾシカ　肩肉</t>
  </si>
  <si>
    <t>エゾシカ　肩肉</t>
    <rPh sb="5" eb="6">
      <t>カタ</t>
    </rPh>
    <rPh sb="6" eb="7">
      <t>ニク</t>
    </rPh>
    <phoneticPr fontId="31"/>
  </si>
  <si>
    <t>エゾシカ　スネ</t>
    <phoneticPr fontId="31"/>
  </si>
  <si>
    <t>エゾシカ　ミンチ</t>
    <phoneticPr fontId="31"/>
  </si>
  <si>
    <t>エゾシカ　脂ロース</t>
  </si>
  <si>
    <t>エゾシカ　ロース（ストリップ）</t>
  </si>
  <si>
    <t>エゾシカ　シキンボ</t>
  </si>
  <si>
    <t>エゾシカ　バラ（秋以降限定）</t>
  </si>
  <si>
    <t>エゾシカ　スペアリブ（秋以降限定）</t>
  </si>
  <si>
    <t>エゾシカ　ネック</t>
  </si>
  <si>
    <t>エゾシカ　ミンチ 3mm/5mm/12mm挽</t>
  </si>
  <si>
    <t>利尻昆布ラーメン</t>
    <rPh sb="0" eb="2">
      <t>リシリ</t>
    </rPh>
    <rPh sb="2" eb="4">
      <t>コンブ</t>
    </rPh>
    <phoneticPr fontId="3"/>
  </si>
  <si>
    <t>熊掌（後脚）</t>
    <rPh sb="0" eb="2">
      <t>クマテノヒラ</t>
    </rPh>
    <rPh sb="3" eb="5">
      <t>ウシロアシ</t>
    </rPh>
    <phoneticPr fontId="3"/>
  </si>
  <si>
    <t>PRD_SNJ_SDH_0016_01</t>
  </si>
  <si>
    <t>2601-1001-S01</t>
  </si>
  <si>
    <t>ご入金が確認でき次第発送いたします。</t>
    <rPh sb="1" eb="3">
      <t>ニュウキン</t>
    </rPh>
    <rPh sb="4" eb="6">
      <t>カクニン</t>
    </rPh>
    <rPh sb="8" eb="10">
      <t>シダイ</t>
    </rPh>
    <rPh sb="10" eb="12">
      <t>ハッソウ</t>
    </rPh>
    <phoneticPr fontId="2"/>
  </si>
  <si>
    <t>※在庫確保済み</t>
    <rPh sb="1" eb="3">
      <t>ザイコ</t>
    </rPh>
    <rPh sb="3" eb="5">
      <t>カクホ</t>
    </rPh>
    <rPh sb="5" eb="6">
      <t>ズ</t>
    </rPh>
    <phoneticPr fontId="2"/>
  </si>
  <si>
    <t>案件番号</t>
    <rPh sb="0" eb="2">
      <t>アンケン</t>
    </rPh>
    <rPh sb="2" eb="4">
      <t>バンゴウ</t>
    </rPh>
    <phoneticPr fontId="3"/>
  </si>
  <si>
    <t>No</t>
    <phoneticPr fontId="3"/>
  </si>
  <si>
    <t>商品ID</t>
    <rPh sb="0" eb="2">
      <t>ショウヒン</t>
    </rPh>
    <phoneticPr fontId="3"/>
  </si>
  <si>
    <t>商品名</t>
    <rPh sb="0" eb="3">
      <t>ショウヒンメイ</t>
    </rPh>
    <phoneticPr fontId="3"/>
  </si>
  <si>
    <t>仕入価格</t>
    <rPh sb="0" eb="2">
      <t>シイレ</t>
    </rPh>
    <rPh sb="2" eb="4">
      <t>カカク</t>
    </rPh>
    <phoneticPr fontId="3"/>
  </si>
  <si>
    <t>単位</t>
    <rPh sb="0" eb="2">
      <t>タンイ</t>
    </rPh>
    <phoneticPr fontId="3"/>
  </si>
  <si>
    <t>数量</t>
    <rPh sb="0" eb="2">
      <t>スウリョウ</t>
    </rPh>
    <phoneticPr fontId="3"/>
  </si>
  <si>
    <t>other</t>
    <phoneticPr fontId="3"/>
  </si>
  <si>
    <t>仕入価格（M)</t>
    <rPh sb="0" eb="2">
      <t>シイ</t>
    </rPh>
    <rPh sb="2" eb="4">
      <t>カカク</t>
    </rPh>
    <phoneticPr fontId="3"/>
  </si>
  <si>
    <t>販売価格（M)</t>
    <rPh sb="0" eb="4">
      <t>ハンバイカカク</t>
    </rPh>
    <phoneticPr fontId="3"/>
  </si>
  <si>
    <t>単位（M)</t>
    <rPh sb="0" eb="2">
      <t>タンイ</t>
    </rPh>
    <phoneticPr fontId="3"/>
  </si>
  <si>
    <t>式</t>
    <rPh sb="0" eb="1">
      <t>シキ</t>
    </rPh>
    <phoneticPr fontId="3"/>
  </si>
  <si>
    <t>商品名（M)</t>
    <rPh sb="0" eb="3">
      <t>ショウヒンメイ</t>
    </rPh>
    <phoneticPr fontId="3"/>
  </si>
  <si>
    <t>数量（M)</t>
    <rPh sb="0" eb="2">
      <t>スウリョウ</t>
    </rPh>
    <phoneticPr fontId="3"/>
  </si>
  <si>
    <t>送料（北海道）</t>
    <rPh sb="0" eb="2">
      <t>ソウリョウ</t>
    </rPh>
    <rPh sb="3" eb="6">
      <t>ホッカイドウ</t>
    </rPh>
    <phoneticPr fontId="3"/>
  </si>
  <si>
    <t>（非表示）仕入No.</t>
    <rPh sb="1" eb="4">
      <t>ヒヒョウジ</t>
    </rPh>
    <rPh sb="5" eb="7">
      <t>シイレ</t>
    </rPh>
    <phoneticPr fontId="3"/>
  </si>
  <si>
    <t>税率（M）</t>
    <rPh sb="0" eb="2">
      <t>ゼイリツ</t>
    </rPh>
    <phoneticPr fontId="3"/>
  </si>
  <si>
    <t>顧客名</t>
    <rPh sb="0" eb="2">
      <t>コキャク</t>
    </rPh>
    <rPh sb="2" eb="3">
      <t>メイ</t>
    </rPh>
    <phoneticPr fontId="3"/>
  </si>
  <si>
    <t>KDK</t>
    <phoneticPr fontId="3"/>
  </si>
  <si>
    <t>狩人の蔵</t>
    <rPh sb="0" eb="2">
      <t>カリウド</t>
    </rPh>
    <rPh sb="3" eb="4">
      <t>クラ</t>
    </rPh>
    <phoneticPr fontId="3"/>
  </si>
  <si>
    <t>熊掌（前脚）</t>
    <rPh sb="0" eb="1">
      <t>クマ</t>
    </rPh>
    <rPh sb="1" eb="2">
      <t>テノヒラ</t>
    </rPh>
    <rPh sb="3" eb="5">
      <t>マエアシ</t>
    </rPh>
    <phoneticPr fontId="31"/>
  </si>
  <si>
    <t>熊掌（後脚）</t>
    <rPh sb="0" eb="1">
      <t>クマ</t>
    </rPh>
    <rPh sb="1" eb="2">
      <t>テノヒラ</t>
    </rPh>
    <rPh sb="3" eb="4">
      <t>ウシロ</t>
    </rPh>
    <rPh sb="4" eb="5">
      <t>アシ</t>
    </rPh>
    <phoneticPr fontId="31"/>
  </si>
  <si>
    <t>PRD_SNJ_KDK_0001_01</t>
  </si>
  <si>
    <t>2601-1002-S01</t>
    <phoneticPr fontId="3"/>
  </si>
  <si>
    <t>送料（大阪）</t>
    <rPh sb="0" eb="2">
      <t>ソウリョウ</t>
    </rPh>
    <rPh sb="3" eb="5">
      <t>オオサカ</t>
    </rPh>
    <phoneticPr fontId="3"/>
  </si>
  <si>
    <t>販売価格（定価）</t>
    <rPh sb="0" eb="2">
      <t>ハンバイ</t>
    </rPh>
    <rPh sb="2" eb="4">
      <t>カカク</t>
    </rPh>
    <rPh sb="5" eb="7">
      <t>テイカ</t>
    </rPh>
    <phoneticPr fontId="3"/>
  </si>
  <si>
    <t>販売価格（売値）</t>
    <rPh sb="0" eb="2">
      <t>ハンバイカカク2</t>
    </rPh>
    <rPh sb="5" eb="7">
      <t>ウリネ</t>
    </rPh>
    <phoneticPr fontId="3"/>
  </si>
  <si>
    <t>阿蘇赤身和牛　ミンチ（部位指定なし）</t>
    <rPh sb="11" eb="13">
      <t>ブイ</t>
    </rPh>
    <rPh sb="13" eb="15">
      <t>シテイ</t>
    </rPh>
    <phoneticPr fontId="3"/>
  </si>
  <si>
    <t>1kgブロック</t>
    <phoneticPr fontId="3"/>
  </si>
  <si>
    <t>ブロック凍結</t>
    <rPh sb="4" eb="6">
      <t>トウケツ</t>
    </rPh>
    <phoneticPr fontId="3"/>
  </si>
  <si>
    <t>2年</t>
    <rPh sb="1" eb="2">
      <t>ネン</t>
    </rPh>
    <phoneticPr fontId="3"/>
  </si>
  <si>
    <t>協栄製茶　壱之庄</t>
    <rPh sb="0" eb="2">
      <t>キョウエイ</t>
    </rPh>
    <rPh sb="2" eb="4">
      <t>セイチャ</t>
    </rPh>
    <rPh sb="5" eb="6">
      <t>イチ</t>
    </rPh>
    <rPh sb="6" eb="7">
      <t>ノ</t>
    </rPh>
    <rPh sb="7" eb="8">
      <t>ジョウ</t>
    </rPh>
    <phoneticPr fontId="3"/>
  </si>
  <si>
    <t>KYS</t>
    <phoneticPr fontId="3"/>
  </si>
  <si>
    <t>3g×45袋</t>
  </si>
  <si>
    <t>3g×20袋</t>
  </si>
  <si>
    <t>150g</t>
  </si>
  <si>
    <t>500g</t>
  </si>
  <si>
    <t>雁の音ほうじ茶壱之棒（ティーバッグ） 45袋</t>
    <rPh sb="21" eb="22">
      <t>フクロ</t>
    </rPh>
    <phoneticPr fontId="3"/>
  </si>
  <si>
    <t>雁の音ほうじ茶壱之棒（ティーバッグ） 20袋</t>
    <rPh sb="21" eb="22">
      <t>フクロ</t>
    </rPh>
    <phoneticPr fontId="3"/>
  </si>
  <si>
    <t>雁の音ほうじ茶壱之棒（茶葉） 50g</t>
    <phoneticPr fontId="3"/>
  </si>
  <si>
    <t>雁の音ほうじ茶壱之棒（茶葉） 150g</t>
    <phoneticPr fontId="3"/>
  </si>
  <si>
    <t>雁の音ほうじ茶壱之棒（茶葉） 500g</t>
    <phoneticPr fontId="3"/>
  </si>
  <si>
    <t>PRD_SNJ_KYS_0005_01</t>
  </si>
  <si>
    <t>2601-1003-A01</t>
    <phoneticPr fontId="3"/>
  </si>
  <si>
    <t>送料（140サイズ）</t>
    <rPh sb="0" eb="2">
      <t>ソウリョウ</t>
    </rPh>
    <phoneticPr fontId="3"/>
  </si>
  <si>
    <t>仕入先（M)</t>
    <rPh sb="0" eb="3">
      <t>シイレサキ</t>
    </rPh>
    <phoneticPr fontId="3"/>
  </si>
  <si>
    <t>協栄製茶　壱之庄</t>
  </si>
  <si>
    <t>PRD_SNJ_APK_0002_01</t>
  </si>
  <si>
    <t>2601-1004-S01</t>
    <phoneticPr fontId="3"/>
  </si>
  <si>
    <t>2601-1005-S01</t>
  </si>
  <si>
    <t>2601-1005-S01</t>
    <phoneticPr fontId="3"/>
  </si>
  <si>
    <t>PRD_SNJ_KDK_0002_01</t>
  </si>
  <si>
    <t>2601-1006-S01</t>
    <phoneticPr fontId="3"/>
  </si>
  <si>
    <t>PRD_SNJ_GGM_0097_01</t>
  </si>
  <si>
    <t>缶</t>
    <rPh sb="0" eb="1">
      <t>カン</t>
    </rPh>
    <phoneticPr fontId="3"/>
  </si>
  <si>
    <t>40g</t>
    <phoneticPr fontId="3"/>
  </si>
  <si>
    <t>抹茶A　40g缶</t>
    <rPh sb="0" eb="2">
      <t>マッチャ</t>
    </rPh>
    <rPh sb="7" eb="8">
      <t>カン</t>
    </rPh>
    <phoneticPr fontId="3"/>
  </si>
  <si>
    <t>抹茶B　40g缶</t>
    <rPh sb="0" eb="2">
      <t>マッチャ</t>
    </rPh>
    <rPh sb="7" eb="8">
      <t>カン</t>
    </rPh>
    <phoneticPr fontId="3"/>
  </si>
  <si>
    <t>抹茶C　40g缶</t>
    <rPh sb="0" eb="2">
      <t>マッチャ</t>
    </rPh>
    <rPh sb="7" eb="8">
      <t>カン</t>
    </rPh>
    <phoneticPr fontId="3"/>
  </si>
  <si>
    <t>大阪府大阪市北区梅田2-5-25 ハービスOSAKA 6F</t>
  </si>
  <si>
    <t>案件番号</t>
  </si>
  <si>
    <t>顧客名</t>
  </si>
  <si>
    <t>商材</t>
  </si>
  <si>
    <t>担当</t>
  </si>
  <si>
    <t>前払</t>
  </si>
  <si>
    <t>与信</t>
    <rPh sb="0" eb="2">
      <t>ヨシン</t>
    </rPh>
    <phoneticPr fontId="3"/>
  </si>
  <si>
    <t>前金入金</t>
    <rPh sb="0" eb="2">
      <t>マエキン</t>
    </rPh>
    <rPh sb="2" eb="4">
      <t>ニュウキン</t>
    </rPh>
    <phoneticPr fontId="3"/>
  </si>
  <si>
    <t>仕入計上</t>
    <rPh sb="0" eb="2">
      <t>シイレ</t>
    </rPh>
    <rPh sb="2" eb="4">
      <t>ケイジョウ</t>
    </rPh>
    <phoneticPr fontId="3"/>
  </si>
  <si>
    <t>見積</t>
    <phoneticPr fontId="3"/>
  </si>
  <si>
    <t>受注</t>
    <phoneticPr fontId="3"/>
  </si>
  <si>
    <t>前金入金予定</t>
    <rPh sb="0" eb="2">
      <t>マエキン</t>
    </rPh>
    <rPh sb="2" eb="4">
      <t>ニュウキン</t>
    </rPh>
    <rPh sb="4" eb="6">
      <t>ヨテイ</t>
    </rPh>
    <phoneticPr fontId="3"/>
  </si>
  <si>
    <t>発注</t>
    <phoneticPr fontId="3"/>
  </si>
  <si>
    <t>出荷予定</t>
    <rPh sb="0" eb="2">
      <t>シュッカ</t>
    </rPh>
    <rPh sb="2" eb="4">
      <t>ヨテイ</t>
    </rPh>
    <phoneticPr fontId="3"/>
  </si>
  <si>
    <t>出荷</t>
    <phoneticPr fontId="3"/>
  </si>
  <si>
    <t>仕入支払</t>
    <rPh sb="0" eb="2">
      <t>シイレ</t>
    </rPh>
    <rPh sb="2" eb="4">
      <t>シハライ</t>
    </rPh>
    <phoneticPr fontId="3"/>
  </si>
  <si>
    <t>売上計上</t>
    <rPh sb="0" eb="2">
      <t>ウリアゲ</t>
    </rPh>
    <rPh sb="2" eb="4">
      <t>ケイジョウ</t>
    </rPh>
    <phoneticPr fontId="3"/>
  </si>
  <si>
    <t>売上入金</t>
    <rPh sb="0" eb="2">
      <t>ウリアゲ</t>
    </rPh>
    <rPh sb="2" eb="4">
      <t>ニュウキン</t>
    </rPh>
    <phoneticPr fontId="3"/>
  </si>
  <si>
    <t>注文確認メール</t>
    <phoneticPr fontId="3"/>
  </si>
  <si>
    <t>仕入先</t>
    <phoneticPr fontId="3"/>
  </si>
  <si>
    <t>2601-1001-S01</t>
    <phoneticPr fontId="3"/>
  </si>
  <si>
    <t>納品先　郵便番号</t>
    <rPh sb="0" eb="2">
      <t>ノウヒン</t>
    </rPh>
    <rPh sb="2" eb="3">
      <t>サキ</t>
    </rPh>
    <rPh sb="4" eb="8">
      <t>ユウビンバンゴウ</t>
    </rPh>
    <phoneticPr fontId="3"/>
  </si>
  <si>
    <t>納品先　住所1行目</t>
    <rPh sb="0" eb="2">
      <t>ノウヒン</t>
    </rPh>
    <rPh sb="2" eb="3">
      <t>サキ</t>
    </rPh>
    <rPh sb="4" eb="6">
      <t>ジュウショ</t>
    </rPh>
    <rPh sb="7" eb="8">
      <t>ギョウ</t>
    </rPh>
    <rPh sb="8" eb="9">
      <t>メ</t>
    </rPh>
    <phoneticPr fontId="3"/>
  </si>
  <si>
    <t>納品先　住所2行目</t>
  </si>
  <si>
    <t>納品先　社名・担当者名</t>
    <rPh sb="0" eb="2">
      <t>ノウヒン</t>
    </rPh>
    <rPh sb="2" eb="3">
      <t>サキ</t>
    </rPh>
    <rPh sb="4" eb="6">
      <t>シャメイ</t>
    </rPh>
    <rPh sb="7" eb="10">
      <t>タントウシャ</t>
    </rPh>
    <rPh sb="10" eb="11">
      <t>メイ</t>
    </rPh>
    <phoneticPr fontId="3"/>
  </si>
  <si>
    <t>納品先　電話番号</t>
    <rPh sb="0" eb="2">
      <t>ノウヒンサキ2</t>
    </rPh>
    <rPh sb="4" eb="6">
      <t>デンワ</t>
    </rPh>
    <rPh sb="6" eb="8">
      <t>バンゴウ</t>
    </rPh>
    <phoneticPr fontId="3"/>
  </si>
  <si>
    <t>見　積　書</t>
    <phoneticPr fontId="3"/>
  </si>
  <si>
    <t>下記の通り見積もり申し上げます。</t>
    <rPh sb="0" eb="2">
      <t>カキ</t>
    </rPh>
    <rPh sb="5" eb="7">
      <t>ミツ</t>
    </rPh>
    <phoneticPr fontId="3"/>
  </si>
  <si>
    <t>納品先郵便番号</t>
  </si>
  <si>
    <t>納品先住所1</t>
  </si>
  <si>
    <t>納品先住所2</t>
  </si>
  <si>
    <t>納品先社名・担当者</t>
  </si>
  <si>
    <t>納品先電話番号</t>
  </si>
  <si>
    <t>注文日</t>
    <rPh sb="0" eb="3">
      <t>チュウモンビ</t>
    </rPh>
    <phoneticPr fontId="3"/>
  </si>
  <si>
    <t>出荷予定日</t>
    <rPh sb="0" eb="2">
      <t>シュッカ</t>
    </rPh>
    <rPh sb="2" eb="5">
      <t>ヨテイビ</t>
    </rPh>
    <phoneticPr fontId="3"/>
  </si>
  <si>
    <t>顧客名</t>
    <phoneticPr fontId="3"/>
  </si>
  <si>
    <t>尾方</t>
    <rPh sb="0" eb="2">
      <t>オガタ</t>
    </rPh>
    <phoneticPr fontId="3"/>
  </si>
  <si>
    <t>営業担当</t>
    <rPh sb="0" eb="2">
      <t>エイギョウ</t>
    </rPh>
    <phoneticPr fontId="3"/>
  </si>
  <si>
    <t>顧客担当者名</t>
    <rPh sb="0" eb="2">
      <t>コキャク</t>
    </rPh>
    <rPh sb="2" eb="5">
      <t>タントウシャ</t>
    </rPh>
    <rPh sb="5" eb="6">
      <t>メイ</t>
    </rPh>
    <phoneticPr fontId="3"/>
  </si>
  <si>
    <t>馮</t>
    <phoneticPr fontId="3"/>
  </si>
  <si>
    <t>ご担当者</t>
    <rPh sb="1" eb="4">
      <t>タントウシャ</t>
    </rPh>
    <phoneticPr fontId="3"/>
  </si>
  <si>
    <t>島村</t>
    <phoneticPr fontId="3"/>
  </si>
  <si>
    <t>ご連絡なき場合、上記内容にて確定とさせていただきます。</t>
    <phoneticPr fontId="3"/>
  </si>
  <si>
    <t>--</t>
    <phoneticPr fontId="3"/>
  </si>
  <si>
    <t>新日本海商事株式会社</t>
    <phoneticPr fontId="3"/>
  </si>
  <si>
    <t>↓↓↓太枠内をコピペ↓↓↓</t>
    <rPh sb="3" eb="4">
      <t>フト</t>
    </rPh>
    <rPh sb="4" eb="6">
      <t>ワクナイ</t>
    </rPh>
    <phoneticPr fontId="3"/>
  </si>
  <si>
    <t>←商品が複数あるか確認！複数の場合は適宜修正</t>
    <rPh sb="1" eb="3">
      <t>ショウヒン</t>
    </rPh>
    <rPh sb="4" eb="6">
      <t>フクスウ</t>
    </rPh>
    <rPh sb="9" eb="11">
      <t>カクニン</t>
    </rPh>
    <rPh sb="12" eb="14">
      <t>フクスウ</t>
    </rPh>
    <rPh sb="15" eb="17">
      <t>バアイ</t>
    </rPh>
    <rPh sb="18" eb="20">
      <t>テキギ</t>
    </rPh>
    <rPh sb="20" eb="22">
      <t>シュウセイ</t>
    </rPh>
    <phoneticPr fontId="3"/>
  </si>
  <si>
    <t>←納品先が複数あるか確認！複数の場合は「計○○件（詳細別途）など適宜修正</t>
    <rPh sb="1" eb="3">
      <t>ノウヒン</t>
    </rPh>
    <rPh sb="3" eb="4">
      <t>サキ</t>
    </rPh>
    <rPh sb="5" eb="7">
      <t>フクスウ</t>
    </rPh>
    <rPh sb="10" eb="12">
      <t>カクニン</t>
    </rPh>
    <rPh sb="13" eb="15">
      <t>フクスウ</t>
    </rPh>
    <rPh sb="16" eb="18">
      <t>バアイ</t>
    </rPh>
    <rPh sb="20" eb="21">
      <t>ケイ</t>
    </rPh>
    <rPh sb="23" eb="24">
      <t>ケン</t>
    </rPh>
    <rPh sb="25" eb="27">
      <t>ショウサイ</t>
    </rPh>
    <rPh sb="27" eb="29">
      <t>ベット</t>
    </rPh>
    <rPh sb="32" eb="34">
      <t>テキギ</t>
    </rPh>
    <rPh sb="34" eb="36">
      <t>シュウセイ</t>
    </rPh>
    <phoneticPr fontId="3"/>
  </si>
  <si>
    <t>530-0001</t>
  </si>
  <si>
    <t>ガーデンシティクラブ大阪　尾方様</t>
    <phoneticPr fontId="3"/>
  </si>
  <si>
    <t>06-6343-7770</t>
    <phoneticPr fontId="3"/>
  </si>
  <si>
    <t>支払い条件</t>
    <rPh sb="0" eb="2">
      <t>シハラ</t>
    </rPh>
    <rPh sb="3" eb="5">
      <t>ジョウケン</t>
    </rPh>
    <phoneticPr fontId="3"/>
  </si>
  <si>
    <t>095-0055</t>
  </si>
  <si>
    <t>北海道士別市南士別町1871番地278</t>
  </si>
  <si>
    <t>牛幫主　</t>
  </si>
  <si>
    <t>070-7658-7799</t>
  </si>
  <si>
    <t>発注ロット</t>
    <rPh sb="0" eb="2">
      <t>ハッチュウ</t>
    </rPh>
    <phoneticPr fontId="3"/>
  </si>
  <si>
    <t>仕入価格更新日</t>
    <phoneticPr fontId="3"/>
  </si>
  <si>
    <t>仕入
単価</t>
    <phoneticPr fontId="3"/>
  </si>
  <si>
    <t>標準国内送料率</t>
    <rPh sb="0" eb="2">
      <t>ヒョウジュン</t>
    </rPh>
    <rPh sb="2" eb="4">
      <t>コクナイ</t>
    </rPh>
    <rPh sb="4" eb="6">
      <t>ソウリョウ</t>
    </rPh>
    <rPh sb="6" eb="7">
      <t>リツ</t>
    </rPh>
    <phoneticPr fontId="3"/>
  </si>
  <si>
    <t>標準国内送料</t>
    <rPh sb="0" eb="2">
      <t>ヒョウジュン</t>
    </rPh>
    <rPh sb="2" eb="4">
      <t>コクナイ</t>
    </rPh>
    <rPh sb="4" eb="6">
      <t>ソウリョウ</t>
    </rPh>
    <phoneticPr fontId="3"/>
  </si>
  <si>
    <t>実績
国内送料</t>
    <phoneticPr fontId="3"/>
  </si>
  <si>
    <t>国内送料</t>
  </si>
  <si>
    <r>
      <rPr>
        <b/>
        <sz val="11"/>
        <rFont val="ＭＳ ゴシック"/>
        <family val="3"/>
        <charset val="128"/>
      </rPr>
      <t>仕入単価</t>
    </r>
    <r>
      <rPr>
        <b/>
        <sz val="11"/>
        <rFont val="Noto Sans CJK SC"/>
        <family val="3"/>
      </rPr>
      <t>+</t>
    </r>
    <r>
      <rPr>
        <b/>
        <sz val="11"/>
        <rFont val="ＭＳ ゴシック"/>
        <family val="3"/>
        <charset val="128"/>
      </rPr>
      <t>国内送料</t>
    </r>
    <rPh sb="0" eb="2">
      <t>シイレ</t>
    </rPh>
    <rPh sb="2" eb="4">
      <t>タンカ</t>
    </rPh>
    <rPh sb="5" eb="7">
      <t>コクナイ</t>
    </rPh>
    <rPh sb="7" eb="9">
      <t>ソウリョウ</t>
    </rPh>
    <phoneticPr fontId="1"/>
  </si>
  <si>
    <r>
      <rPr>
        <b/>
        <sz val="11"/>
        <rFont val="ＭＳ Ｐゴシック"/>
        <family val="2"/>
        <charset val="128"/>
      </rPr>
      <t>海外定価
（</t>
    </r>
    <r>
      <rPr>
        <b/>
        <sz val="11"/>
        <rFont val="Noto Sans CJK SC"/>
        <family val="2"/>
      </rPr>
      <t>20</t>
    </r>
    <r>
      <rPr>
        <b/>
        <sz val="11"/>
        <rFont val="ＭＳ Ｐゴシック"/>
        <family val="2"/>
        <charset val="128"/>
      </rPr>
      <t>％）</t>
    </r>
    <rPh sb="0" eb="2">
      <t>カイガイ</t>
    </rPh>
    <rPh sb="2" eb="4">
      <t>テイカ</t>
    </rPh>
    <phoneticPr fontId="1"/>
  </si>
  <si>
    <t>海外定価
粗利</t>
    <rPh sb="0" eb="2">
      <t>カイガイ</t>
    </rPh>
    <rPh sb="2" eb="4">
      <t>テイカ</t>
    </rPh>
    <rPh sb="5" eb="7">
      <t>アラリ</t>
    </rPh>
    <phoneticPr fontId="1"/>
  </si>
  <si>
    <t>国内定価
（15％）</t>
    <rPh sb="0" eb="2">
      <t>コクナイ</t>
    </rPh>
    <rPh sb="2" eb="4">
      <t>テイカ</t>
    </rPh>
    <phoneticPr fontId="3"/>
  </si>
  <si>
    <t>国内定価
粗利</t>
    <phoneticPr fontId="3"/>
  </si>
  <si>
    <t>申し送り事項
在庫、支払い条件、税率、送料条件など</t>
    <phoneticPr fontId="3"/>
  </si>
  <si>
    <t>大分類</t>
    <rPh sb="0" eb="3">
      <t>ダイブンルイ</t>
    </rPh>
    <phoneticPr fontId="3"/>
  </si>
  <si>
    <t>小分類</t>
    <rPh sb="0" eb="3">
      <t>ショウブンルイ</t>
    </rPh>
    <phoneticPr fontId="3"/>
  </si>
  <si>
    <t>自動入力（売値・数量以外） 商品マスタにある商品</t>
    <rPh sb="0" eb="2">
      <t>ジドウ</t>
    </rPh>
    <rPh sb="2" eb="4">
      <t>ニュウリョク</t>
    </rPh>
    <rPh sb="5" eb="7">
      <t>ウリネ</t>
    </rPh>
    <rPh sb="8" eb="10">
      <t>スウリョウ</t>
    </rPh>
    <rPh sb="10" eb="12">
      <t>イガイ</t>
    </rPh>
    <rPh sb="14" eb="16">
      <t>ショウヒン</t>
    </rPh>
    <rPh sb="22" eb="24">
      <t>ショウヒン</t>
    </rPh>
    <phoneticPr fontId="3"/>
  </si>
  <si>
    <t>価格の入った納品書は同梱せず、弊社までお送りください。</t>
    <rPh sb="0" eb="2">
      <t>カカク</t>
    </rPh>
    <rPh sb="3" eb="4">
      <t>ハイ</t>
    </rPh>
    <rPh sb="6" eb="9">
      <t>ノウヒンショ</t>
    </rPh>
    <rPh sb="10" eb="12">
      <t>ドウコン</t>
    </rPh>
    <rPh sb="15" eb="17">
      <t>ヘイシャ</t>
    </rPh>
    <rPh sb="20" eb="21">
      <t>オク</t>
    </rPh>
    <phoneticPr fontId="3"/>
  </si>
  <si>
    <t>月末締め翌月末払い</t>
  </si>
  <si>
    <t>手動入力　商品マスタにない商品　または個別に調整したい場合</t>
    <rPh sb="0" eb="2">
      <t>シュドウ</t>
    </rPh>
    <rPh sb="2" eb="4">
      <t>ニュウリョク</t>
    </rPh>
    <rPh sb="5" eb="7">
      <t>ショウヒン</t>
    </rPh>
    <rPh sb="13" eb="15">
      <t>ショウヒン</t>
    </rPh>
    <rPh sb="19" eb="21">
      <t>コベツ</t>
    </rPh>
    <rPh sb="22" eb="24">
      <t>チョウセイ</t>
    </rPh>
    <rPh sb="27" eb="29">
      <t>バアイ</t>
    </rPh>
    <phoneticPr fontId="3"/>
  </si>
  <si>
    <t>※灰色セルは自動入力</t>
    <rPh sb="1" eb="3">
      <t>ハイイロ</t>
    </rPh>
    <rPh sb="6" eb="8">
      <t>ジドウ</t>
    </rPh>
    <rPh sb="8" eb="10">
      <t>ニュウリョク</t>
    </rPh>
    <phoneticPr fontId="3"/>
  </si>
  <si>
    <t>ここだけ入力　案件番号:</t>
    <rPh sb="4" eb="6">
      <t>ニュウリョク</t>
    </rPh>
    <phoneticPr fontId="3"/>
  </si>
  <si>
    <t>仕入先:</t>
    <rPh sb="0" eb="3">
      <t>シイレサキ</t>
    </rPh>
    <phoneticPr fontId="3"/>
  </si>
  <si>
    <t>飲料
アルコール</t>
    <rPh sb="0" eb="2">
      <t>インリョウ</t>
    </rPh>
    <phoneticPr fontId="31"/>
  </si>
  <si>
    <t>日本酒</t>
  </si>
  <si>
    <t>リキュール</t>
  </si>
  <si>
    <t>ワイン</t>
  </si>
  <si>
    <t>蒸留酒</t>
  </si>
  <si>
    <t>茶</t>
  </si>
  <si>
    <t>その他飲料</t>
    <rPh sb="2" eb="3">
      <t>タ</t>
    </rPh>
    <phoneticPr fontId="31"/>
  </si>
  <si>
    <t>水産</t>
    <rPh sb="0" eb="2">
      <t>スイサン</t>
    </rPh>
    <phoneticPr fontId="31"/>
  </si>
  <si>
    <t>水産物</t>
  </si>
  <si>
    <t>精肉</t>
    <rPh sb="0" eb="2">
      <t>セイニク</t>
    </rPh>
    <phoneticPr fontId="31"/>
  </si>
  <si>
    <t>和牛</t>
  </si>
  <si>
    <t>エゾシカ</t>
  </si>
  <si>
    <t>ヒグマ</t>
    <phoneticPr fontId="31"/>
  </si>
  <si>
    <t>青果</t>
    <rPh sb="0" eb="2">
      <t>セイカ</t>
    </rPh>
    <phoneticPr fontId="31"/>
  </si>
  <si>
    <t>野菜</t>
  </si>
  <si>
    <t>みかん</t>
  </si>
  <si>
    <t>チーズ</t>
    <phoneticPr fontId="31"/>
  </si>
  <si>
    <t>チーズ</t>
  </si>
  <si>
    <t>食品加工
機械</t>
    <rPh sb="0" eb="2">
      <t>ショクヒン</t>
    </rPh>
    <rPh sb="2" eb="4">
      <t>カコウ</t>
    </rPh>
    <rPh sb="5" eb="7">
      <t>キカイ</t>
    </rPh>
    <phoneticPr fontId="31"/>
  </si>
  <si>
    <t>DENBA</t>
  </si>
  <si>
    <t>スライサー</t>
  </si>
  <si>
    <t>加工品</t>
    <rPh sb="0" eb="3">
      <t>カコウヒン</t>
    </rPh>
    <phoneticPr fontId="31"/>
  </si>
  <si>
    <t>水産加工品</t>
    <phoneticPr fontId="31"/>
  </si>
  <si>
    <t>肉加工品</t>
    <rPh sb="0" eb="1">
      <t>ニク</t>
    </rPh>
    <phoneticPr fontId="31"/>
  </si>
  <si>
    <t>その他</t>
    <phoneticPr fontId="31"/>
  </si>
  <si>
    <t>菓子</t>
    <rPh sb="0" eb="2">
      <t>カシ</t>
    </rPh>
    <phoneticPr fontId="31"/>
  </si>
  <si>
    <t>洋菓子</t>
  </si>
  <si>
    <t>和菓子</t>
  </si>
  <si>
    <t>その他</t>
    <rPh sb="2" eb="3">
      <t>タ</t>
    </rPh>
    <phoneticPr fontId="31"/>
  </si>
  <si>
    <t>胡蝶蘭</t>
  </si>
  <si>
    <t>備長炭</t>
  </si>
  <si>
    <t>調味料</t>
  </si>
  <si>
    <t>化粧品</t>
    <rPh sb="0" eb="3">
      <t>ケショウヒン</t>
    </rPh>
    <phoneticPr fontId="31"/>
  </si>
  <si>
    <t>エスフーズ</t>
  </si>
  <si>
    <t>ヤマニ野口水産</t>
  </si>
  <si>
    <t>小樽水産加工業協同組合</t>
  </si>
  <si>
    <t>湯浅醤油</t>
  </si>
  <si>
    <t>佐々木酒造</t>
  </si>
  <si>
    <t>ほまれ酒造</t>
  </si>
  <si>
    <t>大和川酒造</t>
  </si>
  <si>
    <t>榮川酒造</t>
  </si>
  <si>
    <t>名倉山酒造</t>
  </si>
  <si>
    <t>近藤酒造</t>
  </si>
  <si>
    <t>梅ヶ枝酒造</t>
  </si>
  <si>
    <t>五島列島酒造</t>
  </si>
  <si>
    <t>稲見酒造</t>
  </si>
  <si>
    <t>小浜酒造</t>
  </si>
  <si>
    <t>中野BC</t>
  </si>
  <si>
    <t>小堀酒造店</t>
  </si>
  <si>
    <t>若鶴酒造株式会社</t>
  </si>
  <si>
    <t>ボンド商会</t>
  </si>
  <si>
    <t>紀の司酒造</t>
  </si>
  <si>
    <t>SFD</t>
    <phoneticPr fontId="3"/>
  </si>
  <si>
    <t>YMN</t>
    <phoneticPr fontId="3"/>
  </si>
  <si>
    <t>SSK</t>
    <phoneticPr fontId="3"/>
  </si>
  <si>
    <t>HMR</t>
    <phoneticPr fontId="3"/>
  </si>
  <si>
    <t>YMG</t>
    <phoneticPr fontId="3"/>
  </si>
  <si>
    <t>EIS</t>
    <phoneticPr fontId="3"/>
  </si>
  <si>
    <t>NGY</t>
    <phoneticPr fontId="3"/>
  </si>
  <si>
    <t>KND</t>
    <phoneticPr fontId="3"/>
  </si>
  <si>
    <t>UMG</t>
    <phoneticPr fontId="3"/>
  </si>
  <si>
    <t>INM</t>
    <phoneticPr fontId="3"/>
  </si>
  <si>
    <t>OBM</t>
    <phoneticPr fontId="3"/>
  </si>
  <si>
    <t>NBC</t>
    <phoneticPr fontId="3"/>
  </si>
  <si>
    <t>KBR</t>
    <phoneticPr fontId="3"/>
  </si>
  <si>
    <t>WKT</t>
    <phoneticPr fontId="3"/>
  </si>
  <si>
    <t>BND</t>
    <phoneticPr fontId="3"/>
  </si>
  <si>
    <t>KNT</t>
    <phoneticPr fontId="3"/>
  </si>
  <si>
    <t>BMS8-9国産和牛 ヒレ</t>
  </si>
  <si>
    <t>BMS8-9国産和牛 肩ロース（ネック有）</t>
  </si>
  <si>
    <t>BMS8-9国産和牛 ウデ</t>
  </si>
  <si>
    <t>BMS8-9国産和牛 ウチモモ</t>
  </si>
  <si>
    <t>BMS10-11国産和牛 ロース（サーロイン、リブロースかぶり付き）</t>
  </si>
  <si>
    <t>BMS10-11国産和牛 ヒレ</t>
  </si>
  <si>
    <t>BMS10-11国産和牛 肩ロース（ネック有）</t>
  </si>
  <si>
    <t>BMS10-11国産和牛 ウデ</t>
  </si>
  <si>
    <t>BMS10-11国産和牛 ウチモモ</t>
  </si>
  <si>
    <t>BMS12国産和牛 ロース（サーロイン、リブロースかぶり付き）</t>
  </si>
  <si>
    <t>BMS12国産和牛 ヒレ</t>
  </si>
  <si>
    <t>BMS12国産和牛 肩ロース（ネック有）</t>
  </si>
  <si>
    <t>BMS12国産和牛 ウデ</t>
  </si>
  <si>
    <t>BMS12国産和牛 ウチモモ</t>
  </si>
  <si>
    <t>鮭とば一口サイズ（やん衆）</t>
  </si>
  <si>
    <t>カットサーモン・プレミアム</t>
  </si>
  <si>
    <t>鮭とばスライス本燻</t>
  </si>
  <si>
    <t>天然塩とば</t>
  </si>
  <si>
    <t>ナチュラルサーモンジャーキー</t>
  </si>
  <si>
    <t>鮭ジャーキー×ブラックペッパー</t>
  </si>
  <si>
    <t>鮭ジャーキー×ピり辛明太</t>
  </si>
  <si>
    <t>鮭ジャーキー×プレーン</t>
  </si>
  <si>
    <t>鮭ジャーキー×バジル</t>
  </si>
  <si>
    <t>鮭ジャーキー×魚醤</t>
  </si>
  <si>
    <t>酒粕鮭ジャーキー×高砂酒造</t>
  </si>
  <si>
    <t>酒粕鮭ジャーキー×國稀酒造</t>
  </si>
  <si>
    <t>酒粕鮭ジャーキー×上川大雪酒造</t>
  </si>
  <si>
    <t>酒粕鮭ジャーキー×五稜乃蔵</t>
  </si>
  <si>
    <t>ほっけジャーキースモーク</t>
  </si>
  <si>
    <t>ほっけ燻製（赤袋）</t>
  </si>
  <si>
    <t>ホッケの燻製（クラフト）</t>
  </si>
  <si>
    <t>にしん本燻</t>
  </si>
  <si>
    <t>にしん燻製一口サイズ（やん衆）</t>
  </si>
  <si>
    <t>こぼれ数の子燻製</t>
  </si>
  <si>
    <t>鮭皮チップス プレーン</t>
  </si>
  <si>
    <t>鮭皮チップス ブラックペッパー</t>
  </si>
  <si>
    <t>鮭皮チップス ハラス</t>
  </si>
  <si>
    <t>たら皮チップス プレーン</t>
  </si>
  <si>
    <t>鮭フレーク</t>
  </si>
  <si>
    <t>ワイルドサーモン</t>
  </si>
  <si>
    <t>鮭とばの華</t>
  </si>
  <si>
    <t>鮭とばスモークジャーキー</t>
  </si>
  <si>
    <t>にしん甘露煮</t>
  </si>
  <si>
    <t>春にしんマリネ</t>
  </si>
  <si>
    <t>小樽の小鍋「かに鍋」</t>
  </si>
  <si>
    <t>小樽の小鍋「石狩鍋」</t>
  </si>
  <si>
    <t>北海道スープカレー【シーフード】</t>
  </si>
  <si>
    <t>さばスモークスライス</t>
  </si>
  <si>
    <t>ほたてコンフィ</t>
  </si>
  <si>
    <t>珍味三昧 ソフトチーズ帆立</t>
  </si>
  <si>
    <t>味付帆立貝</t>
  </si>
  <si>
    <t>Ori-Ori パリポリ焼き昆布</t>
  </si>
  <si>
    <t>Ori-Ori あずき甘納豆おちちまめ</t>
  </si>
  <si>
    <t>Ori-Ori おちちくるみ</t>
  </si>
  <si>
    <t>Ori-Ori きなこくるみ</t>
  </si>
  <si>
    <t>Ori-Ori 黒胡椒味カリカリ大豆アーモンド</t>
  </si>
  <si>
    <t>Ori-Ori 黒胡椒味カリカリ大豆くるみ</t>
  </si>
  <si>
    <t>Ori-Ori 辛味噌味カリカリ大豆アーモンド・くるみ</t>
  </si>
  <si>
    <t>パリポリ焼き昆布（大袋）</t>
  </si>
  <si>
    <t>ひとくちサーモン</t>
  </si>
  <si>
    <t>北海道ミルクといちご</t>
  </si>
  <si>
    <t>北海道ミルクとれもん</t>
  </si>
  <si>
    <t>あずき甘納豆おちちまめ（大袋）</t>
  </si>
  <si>
    <t>おちちくるみ（大袋）</t>
  </si>
  <si>
    <t>カカオ醤 ペースト</t>
  </si>
  <si>
    <t>「佐々木」　極　純米大吟醸</t>
  </si>
  <si>
    <t>「佐々木」純米吟醸</t>
  </si>
  <si>
    <t>聚楽第 純米吟醸</t>
  </si>
  <si>
    <t>古都 大吟醸</t>
  </si>
  <si>
    <t>播州産山田錦仕込 純米大吟醸酒</t>
  </si>
  <si>
    <t>純米大吟醸　極</t>
  </si>
  <si>
    <t>造り酒屋のゆず酒  アラジンボトル</t>
  </si>
  <si>
    <t>造り酒屋のゆず酒 300ml</t>
  </si>
  <si>
    <t>大吟醸辛口　弥右衛門</t>
  </si>
  <si>
    <t>純米辛口　弥右衛門</t>
  </si>
  <si>
    <t>本醸造　寒造り　弥右衛門</t>
  </si>
  <si>
    <t>純米吟醸</t>
  </si>
  <si>
    <t>純米大吟醸</t>
  </si>
  <si>
    <t>特別純米酒</t>
  </si>
  <si>
    <t>純米酒　月弓</t>
  </si>
  <si>
    <t>純米吟醸　善き哉</t>
  </si>
  <si>
    <t>赤城山　大吟醸</t>
  </si>
  <si>
    <t>赤城山　純米吟醸</t>
  </si>
  <si>
    <t>よきつき－令月－ 「Japanese Premium Craft Gin」</t>
  </si>
  <si>
    <t>美人びわ酒</t>
  </si>
  <si>
    <t>五島芋</t>
  </si>
  <si>
    <t>五島麦</t>
  </si>
  <si>
    <t>五島芋40</t>
  </si>
  <si>
    <t>五島芋　紅はるか　樽熟成</t>
  </si>
  <si>
    <t>純米大吟醸　酒壺</t>
  </si>
  <si>
    <t>大吟古酒</t>
  </si>
  <si>
    <t>純米吟醸わかさ</t>
  </si>
  <si>
    <t>五芒星</t>
  </si>
  <si>
    <t>熊川宿</t>
  </si>
  <si>
    <t>梅酒　紀州【実入り】</t>
  </si>
  <si>
    <t>蜂蜜の梅酒</t>
  </si>
  <si>
    <t>赤紫蘇の梅酒</t>
  </si>
  <si>
    <t>緑茶の梅酒</t>
  </si>
  <si>
    <t>萬歳楽　加賀梅酒</t>
  </si>
  <si>
    <t>萬歳楽　加賀梅酒　 スパークリング</t>
  </si>
  <si>
    <t>萬歳楽　加賀梅酒　 12年熟成</t>
  </si>
  <si>
    <t>萬歳楽　加賀梅酒　 15年熟成原酒</t>
  </si>
  <si>
    <t>HATSUYUKI 2024</t>
  </si>
  <si>
    <t>SAB. SUNSET RED　700ml</t>
  </si>
  <si>
    <t>UMESKY</t>
  </si>
  <si>
    <t>苗加屋 富山雄山錦 純米吟醸</t>
  </si>
  <si>
    <t>雁の音ほうじ茶壱之棒（ティーバッグ）</t>
  </si>
  <si>
    <t>雁の音ほうじ茶壱之棒（茶葉）</t>
  </si>
  <si>
    <t>煎茶すっきり　「空」</t>
  </si>
  <si>
    <t>煎茶まろやか　「星」</t>
  </si>
  <si>
    <t xml:space="preserve">なでしこのお酒「てまり」緑茶梅酒 </t>
  </si>
  <si>
    <t xml:space="preserve">なでしこのお酒「てまり」赤しそ梅酒 </t>
  </si>
  <si>
    <t xml:space="preserve">なでしこのお酒「てまり」蜂蜜梅酒 </t>
  </si>
  <si>
    <t xml:space="preserve">なでしこのお酒「てまり」ゆず梅酒 </t>
  </si>
  <si>
    <t xml:space="preserve">なでしこのお酒「てまり」みかん梅酒 </t>
  </si>
  <si>
    <t xml:space="preserve">なでしこのお酒「てまり」紀州梅酒 </t>
  </si>
  <si>
    <t>アサヒ生ビールマルエフ　缶350</t>
  </si>
  <si>
    <t>アサヒ生ビールマルエフ黒生　缶500</t>
  </si>
  <si>
    <t>アサヒ生ビールマルエフ黒生　缶350</t>
  </si>
  <si>
    <t>サントリープレミアムモルツ　缶500</t>
  </si>
  <si>
    <t>サントリープレミアムモルツ　缶350</t>
  </si>
  <si>
    <t>サントリープレミアムモルツ香るエール　缶350</t>
  </si>
  <si>
    <t>サントリー生ビール　缶350</t>
  </si>
  <si>
    <t>サントリー生ビール　缶500</t>
  </si>
  <si>
    <t>キリンラガー生　缶500</t>
  </si>
  <si>
    <t>キリンラガー生　缶350</t>
  </si>
  <si>
    <t>和歌山産直梅酒</t>
  </si>
  <si>
    <t>紀州産直梅酒</t>
  </si>
  <si>
    <t>香港向け</t>
    <rPh sb="0" eb="2">
      <t>ホンコン</t>
    </rPh>
    <rPh sb="2" eb="3">
      <t>ム</t>
    </rPh>
    <phoneticPr fontId="1"/>
  </si>
  <si>
    <t>BMS3-4国産F1 ロース（サーロイン、リブロースかぶり付き）</t>
  </si>
  <si>
    <t>BMS3-4国産F1 ヒレ</t>
  </si>
  <si>
    <t>BMS3-4国産F1 肩ロース（ネック有）</t>
  </si>
  <si>
    <t>BMS3-4国産F1 ウデ</t>
  </si>
  <si>
    <t>BMS3-4国産F1 ウチモモ</t>
  </si>
  <si>
    <t>BMS5-7国産F1 ロース（サーロイン、リブロースかぶり付き）</t>
  </si>
  <si>
    <t>BMS5-7国産F1 ヒレ</t>
  </si>
  <si>
    <t>BMS5-7国産F1 肩ロース（ネック有）</t>
  </si>
  <si>
    <t>BMS5-7国産F1 ウデ</t>
  </si>
  <si>
    <t>BMS5-7国産F1 ウチモモ</t>
  </si>
  <si>
    <t>40kg/ブロック</t>
  </si>
  <si>
    <t>10kg/ブロック</t>
  </si>
  <si>
    <t>50kg/ブロック</t>
  </si>
  <si>
    <t>35kg/ブロック</t>
  </si>
  <si>
    <t>22kg/ブロック</t>
  </si>
  <si>
    <t>40g</t>
  </si>
  <si>
    <t>52g</t>
  </si>
  <si>
    <t>30g</t>
  </si>
  <si>
    <t>35g</t>
  </si>
  <si>
    <t>28g</t>
  </si>
  <si>
    <t>36g</t>
  </si>
  <si>
    <t>160g</t>
  </si>
  <si>
    <t>140g</t>
  </si>
  <si>
    <t>27g</t>
  </si>
  <si>
    <t>15g</t>
  </si>
  <si>
    <t>70g</t>
  </si>
  <si>
    <t>38g</t>
  </si>
  <si>
    <t>300g</t>
  </si>
  <si>
    <t>280g</t>
  </si>
  <si>
    <t>5g</t>
  </si>
  <si>
    <t>11g</t>
  </si>
  <si>
    <t>18g</t>
  </si>
  <si>
    <t>23g</t>
  </si>
  <si>
    <t>25g</t>
  </si>
  <si>
    <t>37g</t>
  </si>
  <si>
    <t>32g</t>
  </si>
  <si>
    <t>500ml×12本/ケース</t>
  </si>
  <si>
    <t>750ml×3本/ケース</t>
  </si>
  <si>
    <t>720ml×3本/ケース</t>
  </si>
  <si>
    <t>700ml×6本/ケース</t>
  </si>
  <si>
    <t>720ml×6本/ケース</t>
  </si>
  <si>
    <t>180ml×12本/ケース</t>
  </si>
  <si>
    <t>350ml×24本/ケース</t>
  </si>
  <si>
    <t>500ml×24本/ケース</t>
  </si>
  <si>
    <t>2000ml×6本/ケース</t>
  </si>
  <si>
    <t>1頭分</t>
  </si>
  <si>
    <t>10袋</t>
  </si>
  <si>
    <t>10入/ケース</t>
  </si>
  <si>
    <t>36入/ケース</t>
  </si>
  <si>
    <t>50入/ケース</t>
  </si>
  <si>
    <t>100入/ケース</t>
  </si>
  <si>
    <t>20包×2ケース</t>
  </si>
  <si>
    <t>10ボール（100個）</t>
  </si>
  <si>
    <t>3ケース（180袋）</t>
  </si>
  <si>
    <t>3ケース（150袋）</t>
  </si>
  <si>
    <t>3ケース（300袋）</t>
  </si>
  <si>
    <t>3ケース（240袋）</t>
  </si>
  <si>
    <t>確認</t>
  </si>
  <si>
    <t>5ケース</t>
  </si>
  <si>
    <t>10ケース</t>
  </si>
  <si>
    <t>ケース</t>
  </si>
  <si>
    <t>　</t>
  </si>
  <si>
    <t>価格変動激しいため未定</t>
  </si>
  <si>
    <t>BMS8-9国産和牛 ロース（サーロイン、リブロースかぶり付き）</t>
  </si>
  <si>
    <t>区分</t>
  </si>
  <si>
    <t>評点/格付</t>
  </si>
  <si>
    <t>調査日</t>
  </si>
  <si>
    <t>年間売上高</t>
  </si>
  <si>
    <t>年間利益金</t>
  </si>
  <si>
    <t>自己資本率</t>
  </si>
  <si>
    <t>与信限度額</t>
  </si>
  <si>
    <t>算定根拠</t>
  </si>
  <si>
    <t>稟議番号</t>
  </si>
  <si>
    <t>現在売掛残高</t>
  </si>
  <si>
    <t>残与信枠</t>
  </si>
  <si>
    <t>国内</t>
  </si>
  <si>
    <t>帝国DB</t>
  </si>
  <si>
    <t>掛売</t>
  </si>
  <si>
    <t>TSR</t>
  </si>
  <si>
    <t>海外</t>
  </si>
  <si>
    <t>NEXI</t>
  </si>
  <si>
    <t>EA</t>
  </si>
  <si>
    <t>-</t>
  </si>
  <si>
    <t>掛売（保険付保）</t>
  </si>
  <si>
    <t>EC</t>
  </si>
  <si>
    <t>前金</t>
  </si>
  <si>
    <t>稟議決裁日</t>
    <rPh sb="2" eb="4">
      <t>ケッサイ</t>
    </rPh>
    <phoneticPr fontId="3"/>
  </si>
  <si>
    <t>調査機関</t>
    <phoneticPr fontId="3"/>
  </si>
  <si>
    <t>売掛金更新日</t>
    <rPh sb="0" eb="2">
      <t>ウリカケ</t>
    </rPh>
    <rPh sb="2" eb="3">
      <t>キン</t>
    </rPh>
    <rPh sb="3" eb="6">
      <t>コウシンビ</t>
    </rPh>
    <phoneticPr fontId="3"/>
  </si>
  <si>
    <r>
      <rPr>
        <b/>
        <sz val="11"/>
        <color theme="1"/>
        <rFont val="游ゴシック"/>
        <family val="3"/>
        <charset val="128"/>
        <scheme val="minor"/>
      </rPr>
      <t>サンプル</t>
    </r>
    <r>
      <rPr>
        <sz val="11"/>
        <color theme="1"/>
        <rFont val="游ゴシック"/>
        <family val="2"/>
        <scheme val="minor"/>
      </rPr>
      <t>日新堂株式会社</t>
    </r>
    <phoneticPr fontId="3"/>
  </si>
  <si>
    <r>
      <rPr>
        <b/>
        <sz val="11"/>
        <color theme="1"/>
        <rFont val="游ゴシック"/>
        <family val="3"/>
        <charset val="128"/>
        <scheme val="minor"/>
      </rPr>
      <t>サンプル</t>
    </r>
    <r>
      <rPr>
        <sz val="11"/>
        <color theme="1"/>
        <rFont val="游ゴシック"/>
        <family val="2"/>
        <scheme val="minor"/>
      </rPr>
      <t>株式会社ホロニック</t>
    </r>
    <phoneticPr fontId="3"/>
  </si>
  <si>
    <r>
      <rPr>
        <b/>
        <sz val="11"/>
        <color theme="1"/>
        <rFont val="游ゴシック"/>
        <family val="3"/>
        <charset val="128"/>
        <scheme val="minor"/>
      </rPr>
      <t>サンプル</t>
    </r>
    <r>
      <rPr>
        <sz val="11"/>
        <color theme="1"/>
        <rFont val="游ゴシック"/>
        <family val="2"/>
        <scheme val="minor"/>
      </rPr>
      <t>ABC Trading (HK)</t>
    </r>
    <phoneticPr fontId="3"/>
  </si>
  <si>
    <r>
      <rPr>
        <b/>
        <sz val="11"/>
        <color theme="1"/>
        <rFont val="游ゴシック"/>
        <family val="3"/>
        <charset val="128"/>
        <scheme val="minor"/>
      </rPr>
      <t>サンプル</t>
    </r>
    <r>
      <rPr>
        <sz val="11"/>
        <color theme="1"/>
        <rFont val="游ゴシック"/>
        <family val="2"/>
        <scheme val="minor"/>
      </rPr>
      <t>XYZ Foods Vietnam</t>
    </r>
    <phoneticPr fontId="3"/>
  </si>
  <si>
    <t>小売・卸・海外向け：常温・冷蔵 2/3以上、冷凍 1/2以上　国内外食向け：全温度帯 1/2以上</t>
    <phoneticPr fontId="3"/>
  </si>
  <si>
    <t>【賞味期限条件】 納品時の残存期間を下記のとおり確保願います（消費期限表示品は別途協議）。本発注書の受領をもってご同意いただいたものとします。</t>
    <rPh sb="31" eb="33">
      <t>ショウヒ</t>
    </rPh>
    <rPh sb="33" eb="35">
      <t>キゲン</t>
    </rPh>
    <rPh sb="35" eb="37">
      <t>ヒョウジ</t>
    </rPh>
    <rPh sb="37" eb="38">
      <t>ヒン</t>
    </rPh>
    <rPh sb="39" eb="41">
      <t>ベット</t>
    </rPh>
    <rPh sb="41" eb="43">
      <t>キョウギ</t>
    </rPh>
    <phoneticPr fontId="3"/>
  </si>
  <si>
    <t>備考（仕入先向け）</t>
    <rPh sb="0" eb="2">
      <t>ビコウ</t>
    </rPh>
    <rPh sb="3" eb="5">
      <t>シイレ</t>
    </rPh>
    <rPh sb="5" eb="6">
      <t>サキ</t>
    </rPh>
    <rPh sb="6" eb="7">
      <t>ム</t>
    </rPh>
    <phoneticPr fontId="3"/>
  </si>
  <si>
    <t>備考（顧客向け）</t>
    <rPh sb="0" eb="2">
      <t>ビコウ</t>
    </rPh>
    <rPh sb="3" eb="5">
      <t>コキャク</t>
    </rPh>
    <rPh sb="5" eb="6">
      <t>ム</t>
    </rPh>
    <phoneticPr fontId="3"/>
  </si>
  <si>
    <t>着荷</t>
    <rPh sb="0" eb="2">
      <t>チャッカ</t>
    </rPh>
    <phoneticPr fontId="3"/>
  </si>
  <si>
    <t>2601-1007-S01</t>
    <phoneticPr fontId="3"/>
  </si>
  <si>
    <t>その他</t>
  </si>
  <si>
    <t>菓子</t>
  </si>
  <si>
    <t>青果</t>
  </si>
  <si>
    <t>飲料アルコール</t>
  </si>
  <si>
    <t>加工品</t>
  </si>
  <si>
    <t>肉加工品</t>
  </si>
  <si>
    <t>精肉</t>
  </si>
  <si>
    <t>水産</t>
  </si>
  <si>
    <t>食品加工機械</t>
  </si>
  <si>
    <t>サンマルコ食品（株）</t>
  </si>
  <si>
    <t>王子サーモン（株）</t>
  </si>
  <si>
    <t>(有)十勝しんむら牧場</t>
  </si>
  <si>
    <t>川口水産株式会社</t>
  </si>
  <si>
    <t>株式会社フジタコーポレーション</t>
  </si>
  <si>
    <t>（株）旭川食品</t>
  </si>
  <si>
    <t>丸一大西食品（ベル食品）</t>
  </si>
  <si>
    <t>SMK</t>
    <phoneticPr fontId="3"/>
  </si>
  <si>
    <t>OUJ</t>
    <phoneticPr fontId="3"/>
  </si>
  <si>
    <t>TSF</t>
    <phoneticPr fontId="3"/>
  </si>
  <si>
    <t>KGS</t>
    <phoneticPr fontId="3"/>
  </si>
  <si>
    <t>FJT</t>
    <phoneticPr fontId="3"/>
  </si>
  <si>
    <t>AKS</t>
    <phoneticPr fontId="3"/>
  </si>
  <si>
    <t>MIO</t>
    <phoneticPr fontId="3"/>
  </si>
  <si>
    <t>コロッケ倶楽部
だし香る牛肉じゃが</t>
  </si>
  <si>
    <t>コロッケ倶楽部
30種の香ばしスパイスカレー</t>
  </si>
  <si>
    <t>コロッケ倶楽部
3種のとろ～りチーズ</t>
  </si>
  <si>
    <t>トラウトスモーク切落しSP(500g)</t>
  </si>
  <si>
    <t>秋鮭チョップサーモン(500g)</t>
  </si>
  <si>
    <t>紅鮭スモーク切落し厚切り(500g)</t>
  </si>
  <si>
    <t>NR業STスライス500g</t>
  </si>
  <si>
    <t>燻製とろサバ(500g)</t>
  </si>
  <si>
    <t>ホタテ温燻製(300g)</t>
  </si>
  <si>
    <t>牡蠣温燻製(300g)</t>
  </si>
  <si>
    <t>タコ温燻製(300g)</t>
  </si>
  <si>
    <t>燻製ムール貝(200g)</t>
  </si>
  <si>
    <t>北海道とろニシンスモーク(200g)</t>
  </si>
  <si>
    <t>ミルクジャムプレーン</t>
  </si>
  <si>
    <t xml:space="preserve">ミルクジャムバニラ
</t>
  </si>
  <si>
    <t xml:space="preserve">ミルクジャムシナモン
</t>
  </si>
  <si>
    <t xml:space="preserve">ミルクジャムジャワティー
</t>
  </si>
  <si>
    <t>ミルクジャムモカ</t>
  </si>
  <si>
    <t>ミルクジャムラムレーズン</t>
  </si>
  <si>
    <t>ミルクジャムショコラ</t>
  </si>
  <si>
    <t>ミルクジャム抹茶</t>
  </si>
  <si>
    <t>ミルクジャムメープル</t>
  </si>
  <si>
    <t>はちみつミルクジャム</t>
  </si>
  <si>
    <t>クロテッドクリーム</t>
  </si>
  <si>
    <t>スコーン</t>
  </si>
  <si>
    <t xml:space="preserve">【常温ﾀｲﾌﾟ】国産うなぎ蒲焼カット </t>
  </si>
  <si>
    <t>くろまつない
カマンベールチーズ</t>
  </si>
  <si>
    <t>くろまつない
カマンベールチーズ
（生タイプ）</t>
  </si>
  <si>
    <t>くろまつない
ホワイトブルーチーズ</t>
  </si>
  <si>
    <t>くろまつない
ホワイトブルーチーズ
（生タイプ）</t>
  </si>
  <si>
    <t>くろまつない
ブルーチーズ</t>
  </si>
  <si>
    <t>くろまつないのゴーダ（長期熟成）</t>
  </si>
  <si>
    <t>くろまつないのゴーダ（キューブカット）</t>
  </si>
  <si>
    <t>くろまつない
ブルーチーズ（キュー
ブカット）</t>
  </si>
  <si>
    <t>くろまつないクリームチーズ</t>
  </si>
  <si>
    <t>クリームチーズスプレッ
ド
（プレーン）</t>
  </si>
  <si>
    <t>クリームチーズスプレッ
ド（カシス）</t>
  </si>
  <si>
    <t>クリームチーズスプレッ
ド（バジル）</t>
  </si>
  <si>
    <t>荒挽きウインナー</t>
  </si>
  <si>
    <t>行者にんにくウインナー</t>
  </si>
  <si>
    <t>プレーンウインナー</t>
  </si>
  <si>
    <t>チーズウインナー</t>
  </si>
  <si>
    <t>フランクフルト</t>
  </si>
  <si>
    <t>荒挽きポークソーセージ</t>
  </si>
  <si>
    <t>ボンレスハムスライス</t>
  </si>
  <si>
    <t>スモークチキン</t>
  </si>
  <si>
    <t>ビーフバイツ</t>
  </si>
  <si>
    <t>スモーク生ベーコン</t>
  </si>
  <si>
    <t>スモーク生ベーコンスライス</t>
  </si>
  <si>
    <t>北海道いちごのカッサータ</t>
  </si>
  <si>
    <t>北海道黒豆のカッサータ</t>
  </si>
  <si>
    <t>フルーツとナッツのカッ
サータ</t>
  </si>
  <si>
    <t>トワ・ヴェール
ムース・フロマージュ
（クリームチーズ）</t>
  </si>
  <si>
    <t>トワ・ヴェール
ブルーチーズケーキ</t>
  </si>
  <si>
    <t>２層仕立てのプチフロマージュ</t>
  </si>
  <si>
    <t>トワ・ヴェール　リッチア
イスクリーム
（しあわせミルク）</t>
  </si>
  <si>
    <t>トワ・ヴェール　リッチアイスク
リーム（カカオ香るほどよい甘
さのチョコレート）</t>
  </si>
  <si>
    <t>トワ・ヴェール　リッチアイスク
リーム（手摘みカシスとクリー
ムチーズ）</t>
  </si>
  <si>
    <t>お肉ごろごろチーズインビーフシチュー</t>
  </si>
  <si>
    <t>黒松内カシスジャム</t>
  </si>
  <si>
    <t>カシスリキュール</t>
  </si>
  <si>
    <t>カシスエール</t>
  </si>
  <si>
    <t xml:space="preserve">くるみしらす佃煮 </t>
  </si>
  <si>
    <t>生たきほたて貝柱</t>
  </si>
  <si>
    <t>生たきほたて貝柱チーズ</t>
  </si>
  <si>
    <t xml:space="preserve">お煮しめ </t>
  </si>
  <si>
    <t xml:space="preserve">秋鮭燻とば </t>
  </si>
  <si>
    <t xml:space="preserve">さんま生姜煮 </t>
  </si>
  <si>
    <t>たこふっくら煮</t>
  </si>
  <si>
    <t>黒豆甘納豆</t>
  </si>
  <si>
    <t>旭川産黒豆甘納豆</t>
  </si>
  <si>
    <t>塩ようかん小豆</t>
  </si>
  <si>
    <t>塩ようかん小倉</t>
  </si>
  <si>
    <t>塩ようかんよもぎ</t>
  </si>
  <si>
    <t>札幌スープカレー中辛</t>
  </si>
  <si>
    <t>札幌スープカレー辛口</t>
  </si>
  <si>
    <t>札幌スープカレーマイルド</t>
  </si>
  <si>
    <t>本場札幌スープカレーチキン</t>
  </si>
  <si>
    <t>札幌スープカリー木多郎ハンバーグ</t>
  </si>
  <si>
    <t>本日のスープカレーのスープ</t>
  </si>
  <si>
    <t>75g×8個×３合</t>
  </si>
  <si>
    <t>120個</t>
  </si>
  <si>
    <t>20パック</t>
  </si>
  <si>
    <t>24個</t>
  </si>
  <si>
    <t>3個</t>
  </si>
  <si>
    <t>40個</t>
  </si>
  <si>
    <t xml:space="preserve">100g×10 入 </t>
  </si>
  <si>
    <t xml:space="preserve">100g×20 入 </t>
  </si>
  <si>
    <t>200ｇ×24個</t>
  </si>
  <si>
    <t>48個</t>
  </si>
  <si>
    <t>180ｇ×12個</t>
  </si>
  <si>
    <t>36個</t>
  </si>
  <si>
    <t>200ｇ×30個</t>
  </si>
  <si>
    <t>30個</t>
  </si>
  <si>
    <t>24×２合</t>
  </si>
  <si>
    <t>50個/袋</t>
  </si>
  <si>
    <t>12本</t>
  </si>
  <si>
    <t>24本</t>
  </si>
  <si>
    <t>60g/パック</t>
  </si>
  <si>
    <t>8粒/
袋</t>
  </si>
  <si>
    <t>10粒/
ﾌﾟﾗｽﾁｯｸｹｰｽ</t>
  </si>
  <si>
    <t>4粒/
袋</t>
  </si>
  <si>
    <t>130g/
袋</t>
  </si>
  <si>
    <t>100g/
袋</t>
  </si>
  <si>
    <t>170g/袋</t>
  </si>
  <si>
    <t>20×3ケース</t>
  </si>
  <si>
    <t>120g/袋</t>
  </si>
  <si>
    <t>30×３ケース</t>
  </si>
  <si>
    <t>120g/本</t>
  </si>
  <si>
    <t>200ｇ×20箱×2合</t>
  </si>
  <si>
    <t>350ｇ</t>
  </si>
  <si>
    <t>350ｇ×20箱×2合</t>
  </si>
  <si>
    <t>310ｇ</t>
  </si>
  <si>
    <t>310ｇ×20箱×2合</t>
  </si>
  <si>
    <t>201ｇ</t>
  </si>
  <si>
    <t>201ｇ×20箱×2合</t>
  </si>
  <si>
    <t>425×185×360</t>
  </si>
  <si>
    <t>2合（甲)</t>
  </si>
  <si>
    <t>12ヶ月</t>
  </si>
  <si>
    <t>2日</t>
  </si>
  <si>
    <t>化学調味料不使用。まるごとペーストにした日高産根昆布の昆布だしと 、かつお,いわし,あじからとった4種のだしを使用本みりんを配合することで、深いコクとまろやかな甘みを出しました。北海道食材使用。</t>
  </si>
  <si>
    <t>カレーのコクと風味にこだわり、数種類のスパイスを配合しました。スパイシーな味の中に、まろやかさとコクを演出するため、隠し味に北海道産ゴーダチーズと北海道産牛乳を使用しています。</t>
  </si>
  <si>
    <t>【2020年コロッケグランプリ金賞受賞】チーズをより味わえるよう、コクと風味のバランスにこだわり、
舌の上でなめらかに溶けていく北海道産の3種類のチーズをまるごと北海道産男爵いもで包みました。北海道産チーズと化学調味料不使用がこだわりです。</t>
  </si>
  <si>
    <t>2年</t>
  </si>
  <si>
    <t>6日</t>
  </si>
  <si>
    <t>商談時聞く</t>
  </si>
  <si>
    <t>1年半</t>
  </si>
  <si>
    <t>90日</t>
  </si>
  <si>
    <t>7日</t>
  </si>
  <si>
    <t>21日</t>
  </si>
  <si>
    <t>冷蔵</t>
  </si>
  <si>
    <t>14日</t>
  </si>
  <si>
    <t>半年</t>
  </si>
  <si>
    <t>常温輸送に成功。泥臭さは徹底的に排除し、美味しさを閉じ込めました。</t>
  </si>
  <si>
    <t>180日</t>
  </si>
  <si>
    <t>3日</t>
  </si>
  <si>
    <t>成分無調整の生乳を使い深いコクとなめらかさにもこだ
わったカマンベールチーズ。2012年JAL国際線ファーストク
ラス機内食に採用。</t>
  </si>
  <si>
    <t>30日</t>
  </si>
  <si>
    <t>内部は青カビ・外部は白カビの力を借りて熟成させることに
よりクリーミーで食べやすいブルーチーズに仕上げていま
す。第１回ALL JAPAN ナチュラルチーズコンテスト優秀賞
受賞。</t>
  </si>
  <si>
    <t>40日</t>
  </si>
  <si>
    <t>75日</t>
  </si>
  <si>
    <t>約２カ月熟成させ、青カビ特有の風味を抑え、塩分も控えて
食べやすく仕上げた商品です。2013年･2014年JAL国際線
ファーストクラス機内食に採用。</t>
  </si>
  <si>
    <t>１年以上熟成させた長期熟成のゴーダは、独特の風味とコ
クのある旨みを感じながら楽しめる商品です。そのままで
も、焼いても、溶かしても、野菜につけても良いです。2023
ワールドチーズアワード銀賞受賞。</t>
  </si>
  <si>
    <t>4ヶ月以上じっくりと熟成させることで、クリーミーで風味豊
かなチーズが生まれ、熟成が進むほどに増す奥深い味わ
いが特徴です。</t>
  </si>
  <si>
    <t>約２カ月熟成させ、青カビ特有の風味を抑え、塩分も控えて
食べやすく仕上げた商品です。2013年･2014年JAL国際線
ファーストクラス機内食に採用。2022年JAPAN　CHEESE
AWARD　銅賞受賞のブルーチーズを食べやすくカットして
います。</t>
  </si>
  <si>
    <t>程よい酸味の中にほのかな甘みがあり、滑らかな口当りが
特長です。第５回ALL JAPAN ナチュラルチーズコンテスト
優秀賞受賞。2022年JAPAN　CHEESE　AWARD　銅賞受
賞、2022年北海道地チーズ博（ソフト/フレッシュ部門）第1
位獲得。2024年北のハイグレード食品選定。</t>
  </si>
  <si>
    <t>黒松内町の酪農家さんの搾りたて生乳を使用し、程よい酸
味とほのかな甘みがある塗るタイプのクリームチーズで
す。</t>
  </si>
  <si>
    <t>黒松内町 酪農家の搾りたて生乳を使用し、程よい酸味と
ほのかな甘みがある塗るタイプのクリームチーズに自社農
園で手摘みしたカシスを使用しています。</t>
  </si>
  <si>
    <t>黒松内町 酪農家の搾りたて生乳を使用し、程よい酸味と
ほのかな甘みがある塗るタイプのクリームチーズに寿都町
特産「風のバジル」を使用しています。</t>
  </si>
  <si>
    <t>55日</t>
  </si>
  <si>
    <t>北海道産の良質な豚肉を挽き肉にしてから、３日から５日
間塩漬し羊腸に詰めて、桜のチップで燻製した荒挽き仕込
みのウインナーです。</t>
  </si>
  <si>
    <t>北海道産の良質な豚肉を挽き肉にしてから、３日から５日
間塩漬し羊腸に詰めて、北海道の山菜「行者にんにく」を
ミックスしました。</t>
  </si>
  <si>
    <t>北海道産の良質な豚肉を挽き肉にしてから、３日から５日
間塩漬し、素材の良さがわかる辛さ控えめのプレーンは、
スモークを軽めに肉の旨みを引き出しました。</t>
  </si>
  <si>
    <t>北海道産の良質な豚肉を挽き肉にしてから、３日から５日
間塩漬し、レッドチェダーチーズのコクと豚肉のバランスが
絶妙なウインナーです。</t>
  </si>
  <si>
    <t>48日</t>
  </si>
  <si>
    <t>北海道産の良質な豚肉を挽き肉にしてから、３日から５日
間塩漬し、パリッとした食感が魅力の豚腸を使用したオー
ルポークのフランクフルト。</t>
  </si>
  <si>
    <t>北海道産の良質な豚肉を挽き肉にしてから、３日から５日
間塩漬したソーセージ。そのままスライスして食べたり、厚
切りにして両面を焼くとジューシーでより旨みがにじみ出て
きます。</t>
  </si>
  <si>
    <t>北海道産の良質な豚モモ肉を１本丸ごと塩漬し、約１週間
熟成させます。運動量の多いもも肉は、赤身肉に旨みがあ
り、柔らかくジューシーな食感が魅力です。</t>
  </si>
  <si>
    <t>北海道産の鶏肉を使用し、昔ながらの塩と香辛料を手で擦
り込む乾塩法により時間をかけて作っています。そのまま
スライスしてサラダやサンドイッチに入れ召しあがれます。</t>
  </si>
  <si>
    <t>60日</t>
  </si>
  <si>
    <t>北海道産の安心安全な牛肉を使用し肉厚なのにソフトな歯
応えで噛めば噛むほどスパイシーで深い味わをお楽しみ頂
けます。お酒のお供に最適です。職人が時間をかけてゆっ
くり熟成させて作っています。</t>
  </si>
  <si>
    <t>北海道産の良質な豚肉を使用し、昔ながらの塩と香辛料を
手で擦り込む乾塩法により時間をかけてゆっくり熟成させて
作っています。野菜炒めやパスタに入れるとひと味違いま
す。</t>
  </si>
  <si>
    <t>北海道産の良質な豚肉を使用し、昔ながらの塩と香辛料を
手で擦り込む乾塩法により時間をかけてゆっくり熟成させて
作っています。野菜炒めやパスタに入れるとひと味違いま
す。使いやすいスライスタイプ。ジャパンフードセレクション
グランプリ受賞</t>
  </si>
  <si>
    <t>365日</t>
  </si>
  <si>
    <t>北海道日高産のいちごがふんだんにちりばめられており、
トワ・ヴェール製の濃厚なクリームチーズと生クリームの組
合せによりいちごの酸味との相性が抜群です。濃厚かつ
さっぱりとした後味のアイスチーズケーキです。</t>
  </si>
  <si>
    <t>北海道産黒豆をふんだんに使用、トワ・ヴェール製の濃厚
なクリームチーズと生クリームの組合せにより、濃厚かつ
黒豆の風味、食感が感じられる和風のスイーツに仕上げま
した。</t>
  </si>
  <si>
    <t>断面にドライフルーツとナッツがふんだんにちりばめられて
おり、トワ・ヴェール製のクリームチーズと生クリームを組み
合わせて濃厚なのに軽い食感のアイスチーズケーキです。</t>
  </si>
  <si>
    <t>冷凍：365日　冷蔵：5日</t>
  </si>
  <si>
    <t>冷凍・冷蔵</t>
  </si>
  <si>
    <t>2022年北海道地チーズ博（フレッシュ/ソフト部門）第1位に
輝いたクリームチーズをたっぷりと使用した、濃厚でふわト
ロ食感のレアチーズケーキです。</t>
  </si>
  <si>
    <t>トワ・ヴェール人気NO1ブルーチーズを贅沢に使用した、バ
スクチーズケーキ。自信の逸品でブルーチーズの香りが癖
になる味わいです。</t>
  </si>
  <si>
    <t>少な黒松内産カシスの甘酸っぱい「カシス味」、濃厚チー
ズとホイップがとろける「プレーン味」、ホエイとキャラメルが
香る「ホエイキャラメル味」。3種の贅沢な味わいを楽しめる
チーズケーキです。</t>
  </si>
  <si>
    <t>水のキレイな清流の地で健康に育った牛たちのしぼりたて
生乳の味わいをそのまま感じられる逸品です。北海道の大
自然に育まれたミルクアイスは召し上がられる方々に”しあ
わせ”をご提供いたします。</t>
  </si>
  <si>
    <t>国内有数のチョコレートメーカーとの出逢いにより、厳選し
た香り高いカカオを使用し、敢えて程良い甘さに仕上げ、濃
厚な生乳との絶妙なバランスを実現しました。</t>
  </si>
  <si>
    <t>北海道地アイスの中でも珍しいラムレーズンフレーバー。
理想のラムレーズンフレーバーを追い求め、実現した味わ
いを是非お試しください。</t>
  </si>
  <si>
    <t>自社農園で1粒1粒丁寧に手摘みしたカシスは希少価値が
高く栄養効果に優れています。クリームチーズと合わせる
ことにより、爽やかで濃厚な贅沢な味わいを実現しました</t>
  </si>
  <si>
    <t>179日</t>
  </si>
  <si>
    <t>北海道黒松内町産の牛肉を中心に使用し、柔らかい部位
を選別して煮込み、トワ・ヴェールのチーズをエッセンスとし
て加えることで、濃厚かつ深みのある味わいの本格派、デ
ミグラス仕込みのビーフシチューです</t>
  </si>
  <si>
    <t>黒松内町の自社農園で無施肥無農薬栽培した希少なカシ
スを一粒一粒丁寧に手摘みしています。シンプルに砂糖と
カシスだけで作っています。カシス本来の味わいをお楽し
みください。</t>
  </si>
  <si>
    <t>黒松内町の自社農園で無施肥無農薬栽培した希少なカシ
スのリキュールです。カクテルやロックでお楽しみください。
※アルコール分25%。黒松内カシス3.2％含有。</t>
  </si>
  <si>
    <t>270日</t>
  </si>
  <si>
    <t>北海道黒松内町で化学肥料を使用せずに育て 、ひとつひ
とつ丁寧に手摘みしたカシスのため、希少価値が非常に高
く生産数も限りがある果実です。グラスに注ぐと、見た目に
もとても美しい深 紅色はもちろんのこと、泡までやわらかな
カシス色をしているのが 特徴。</t>
  </si>
  <si>
    <t>国産のしらす（イワシの稚魚）を、山下水産秘伝の旨みが凝縮した生たき佃煮のタレでやわらかく炊き上げました。カリフォルニア産くるみとの相性も良く、旨みが程よく調和されています。</t>
  </si>
  <si>
    <t>全国有数の帆立の産地、オホーツク海で獲れた天然帆立の貝柱を使用しています。天然の帆立貝は自由に動きまわれる分、身が締まっているのが特徴です。
この帆立貝柱を鮮度が落ちないうちに「生たき製法｣で帆立本来の旨みを逃さず、形が崩れないよう丹念に炊き上げました。</t>
  </si>
  <si>
    <t>北海道産の原料にこだわったやさしい味わいのお煮しめです。にしん、たけのこ、ふき、昆布が北海道産。あっさりとしたやさしくお上品な味付けで、にしんもふっくらとした食感に仕上がっております。</t>
  </si>
  <si>
    <t>北海道産の脂の乗った秋鮭を手作業でスライスし調味液に一晩漬け低温乾燥させました。
魚の生臭さを抑え旨味だけを残し、程良い柔らかさに仕上げています。</t>
  </si>
  <si>
    <t>北海道根室産の、食べやすい小さめのさんまを生姜を加え骨までやわらかく炊き上げました。</t>
  </si>
  <si>
    <t>北海道産の柳たこを程よい歯ごたえを残しふっくらやわらかく炊き上げました。お醤油ベースのご飯に合う味付けです。</t>
  </si>
  <si>
    <t xml:space="preserve">
北海道産大粒黒大豆（祝黒）を契約栽培農家より農協で選別合格したものを使用し、整腸効果に大きく役立ち、製品自体の保湿性も高まるガラクトオリゴ糖を使用し加工した黒豆甘納豆です。
てん菜糖を使用していますので上品な甘さで柔らかくしっとりと仕上げました。</t>
  </si>
  <si>
    <t>旭川産黒豆甘納豆を使用した甘さ控えめの甘納豆です。</t>
  </si>
  <si>
    <t>北海道優良品種認定の「しゅまり小豆」を使用し丹精込めて練り上げ、オホーツクの塩で仕上ました。甘さ控えめの美味しい羊羹です。お茶請けにぴったりです。</t>
  </si>
  <si>
    <t>北海道優良品種認定の「しゅまり小豆」を使用し丹精込めて練り上げ、
オホーツクの塩で仕上ました。
甘さ控えめの美味しい羊羹です。
粒あんの食感と合わせてお楽しみ下さい。</t>
  </si>
  <si>
    <t>白花豆とよもぎを原料に、オホーツク海の海水塩で仕上げました。
あっさりとした甘さとよもぎ色が鮮やかな羊羹です。</t>
  </si>
  <si>
    <t>2ケース以上送料無料混載可</t>
  </si>
  <si>
    <t>価格は関西着設定の送料込ロット割れの場合送料＋1500円</t>
  </si>
  <si>
    <t>甲</t>
    <rPh sb="0" eb="1">
      <t>コウ</t>
    </rPh>
    <phoneticPr fontId="3"/>
  </si>
  <si>
    <t>ケース</t>
    <phoneticPr fontId="3"/>
  </si>
  <si>
    <t>本</t>
    <phoneticPr fontId="3"/>
  </si>
  <si>
    <t>パック</t>
    <phoneticPr fontId="3"/>
  </si>
  <si>
    <t>袋</t>
    <phoneticPr fontId="3"/>
  </si>
  <si>
    <t>個</t>
    <phoneticPr fontId="3"/>
  </si>
  <si>
    <t>ｄ</t>
    <phoneticPr fontId="3"/>
  </si>
  <si>
    <t>ID</t>
    <phoneticPr fontId="3"/>
  </si>
  <si>
    <t>担当者</t>
    <rPh sb="0" eb="3">
      <t>タントウシャ</t>
    </rPh>
    <phoneticPr fontId="3"/>
  </si>
  <si>
    <t>支店</t>
    <rPh sb="0" eb="2">
      <t>シテン</t>
    </rPh>
    <phoneticPr fontId="3"/>
  </si>
  <si>
    <t>年</t>
    <rPh sb="0" eb="1">
      <t>ネン</t>
    </rPh>
    <phoneticPr fontId="3"/>
  </si>
  <si>
    <t>月</t>
    <rPh sb="0" eb="1">
      <t>ツキ</t>
    </rPh>
    <phoneticPr fontId="3"/>
  </si>
  <si>
    <t>杉田</t>
    <rPh sb="0" eb="1">
      <t>スギ</t>
    </rPh>
    <rPh sb="1" eb="2">
      <t>タ</t>
    </rPh>
    <phoneticPr fontId="3"/>
  </si>
  <si>
    <t>田嶋</t>
    <rPh sb="0" eb="2">
      <t>タシマ</t>
    </rPh>
    <phoneticPr fontId="3"/>
  </si>
  <si>
    <t>高山</t>
    <rPh sb="0" eb="2">
      <t>タカヤマ</t>
    </rPh>
    <phoneticPr fontId="3"/>
  </si>
  <si>
    <t>永井</t>
    <rPh sb="0" eb="2">
      <t>ナガイ</t>
    </rPh>
    <phoneticPr fontId="3"/>
  </si>
  <si>
    <t>蜂巣</t>
    <rPh sb="0" eb="2">
      <t>ハチス</t>
    </rPh>
    <phoneticPr fontId="3"/>
  </si>
  <si>
    <t>門永</t>
    <rPh sb="0" eb="2">
      <t>カドナガ</t>
    </rPh>
    <phoneticPr fontId="3"/>
  </si>
  <si>
    <t>野瀬</t>
    <rPh sb="0" eb="2">
      <t>ノセ</t>
    </rPh>
    <phoneticPr fontId="3"/>
  </si>
  <si>
    <t>大阪</t>
    <rPh sb="0" eb="2">
      <t>オオサカ</t>
    </rPh>
    <phoneticPr fontId="3"/>
  </si>
  <si>
    <t>小樽</t>
    <rPh sb="0" eb="2">
      <t>オタル</t>
    </rPh>
    <phoneticPr fontId="3"/>
  </si>
  <si>
    <t>担当者コード</t>
    <rPh sb="0" eb="3">
      <t>タントウシャ</t>
    </rPh>
    <phoneticPr fontId="3"/>
  </si>
  <si>
    <t>S</t>
    <phoneticPr fontId="3"/>
  </si>
  <si>
    <t>N</t>
    <phoneticPr fontId="3"/>
  </si>
  <si>
    <t>H</t>
    <phoneticPr fontId="3"/>
  </si>
  <si>
    <t>T</t>
    <phoneticPr fontId="3"/>
  </si>
  <si>
    <t>A</t>
    <phoneticPr fontId="3"/>
  </si>
  <si>
    <t>K</t>
    <phoneticPr fontId="3"/>
  </si>
  <si>
    <t>R</t>
    <phoneticPr fontId="3"/>
  </si>
  <si>
    <t>支店コード</t>
    <rPh sb="0" eb="2">
      <t>シテン</t>
    </rPh>
    <phoneticPr fontId="3"/>
  </si>
  <si>
    <t>菅原</t>
    <rPh sb="0" eb="2">
      <t>スガワラ</t>
    </rPh>
    <phoneticPr fontId="3"/>
  </si>
  <si>
    <t>047-0032</t>
  </si>
  <si>
    <t>北海道小樽市稲穂2-15-1</t>
    <phoneticPr fontId="3"/>
  </si>
  <si>
    <t>オーセントホテル小樽</t>
    <phoneticPr fontId="3"/>
  </si>
  <si>
    <t>0134-27-4409</t>
    <phoneticPr fontId="3"/>
  </si>
  <si>
    <t>顧客</t>
    <rPh sb="0" eb="2">
      <t>コキャク</t>
    </rPh>
    <phoneticPr fontId="3"/>
  </si>
  <si>
    <t>日新堂株式会社</t>
  </si>
  <si>
    <t>オーセントホテルズ（楽水山）</t>
  </si>
  <si>
    <t>ホロニック（ガーデンシティクラブ大阪）</t>
  </si>
  <si>
    <t>雲鶴</t>
  </si>
  <si>
    <t>オーセントホテルズ株式会社</t>
  </si>
  <si>
    <t>鹿肉サンプル（ロース、内もも）</t>
    <rPh sb="0" eb="2">
      <t>シカニク</t>
    </rPh>
    <phoneticPr fontId="3"/>
  </si>
  <si>
    <t>仕入先数</t>
    <rPh sb="0" eb="3">
      <t>シイレサキ</t>
    </rPh>
    <rPh sb="3" eb="4">
      <t>スウ</t>
    </rPh>
    <phoneticPr fontId="3"/>
  </si>
  <si>
    <t>行数</t>
    <rPh sb="0" eb="2">
      <t>ギョウスウ</t>
    </rPh>
    <phoneticPr fontId="3"/>
  </si>
  <si>
    <t>01</t>
    <phoneticPr fontId="3"/>
  </si>
  <si>
    <t>02</t>
    <phoneticPr fontId="3"/>
  </si>
  <si>
    <t>売上請求書送付</t>
    <rPh sb="0" eb="2">
      <t>ウリアゲ</t>
    </rPh>
    <rPh sb="2" eb="4">
      <t>セイキュウ</t>
    </rPh>
    <rPh sb="4" eb="5">
      <t>ショ</t>
    </rPh>
    <rPh sb="5" eb="7">
      <t>ソウフ</t>
    </rPh>
    <phoneticPr fontId="3"/>
  </si>
  <si>
    <t>顧客
担当者名</t>
    <rPh sb="0" eb="2">
      <t>コキャク</t>
    </rPh>
    <rPh sb="3" eb="6">
      <t>タントウシャ</t>
    </rPh>
    <rPh sb="6" eb="7">
      <t>メイ</t>
    </rPh>
    <phoneticPr fontId="3"/>
  </si>
  <si>
    <t>（経理処理用）
ガリレオ伝票No（仕入支払）</t>
    <rPh sb="1" eb="3">
      <t>ケイリ</t>
    </rPh>
    <rPh sb="3" eb="6">
      <t>ショリヨウ</t>
    </rPh>
    <rPh sb="12" eb="14">
      <t>デンピョウ</t>
    </rPh>
    <rPh sb="17" eb="19">
      <t>シイレ</t>
    </rPh>
    <rPh sb="19" eb="21">
      <t>シハライ</t>
    </rPh>
    <phoneticPr fontId="3"/>
  </si>
  <si>
    <t>（経理処理用）
ガリレオ伝票No（売上請求）</t>
    <rPh sb="1" eb="3">
      <t>ケイリ</t>
    </rPh>
    <rPh sb="3" eb="6">
      <t>ショリヨウ</t>
    </rPh>
    <rPh sb="12" eb="14">
      <t>デンピョウ</t>
    </rPh>
    <rPh sb="17" eb="19">
      <t>ウリアゲ</t>
    </rPh>
    <rPh sb="19" eb="21">
      <t>セイキュウ</t>
    </rPh>
    <phoneticPr fontId="3"/>
  </si>
  <si>
    <t>仕入請求書受領</t>
    <rPh sb="0" eb="2">
      <t>シイレ</t>
    </rPh>
    <rPh sb="2" eb="5">
      <t>セイキュウショ</t>
    </rPh>
    <rPh sb="5" eb="7">
      <t>ジュリョウ</t>
    </rPh>
    <phoneticPr fontId="3"/>
  </si>
  <si>
    <t>開始日</t>
    <rPh sb="0" eb="3">
      <t>カイシビ</t>
    </rPh>
    <phoneticPr fontId="3"/>
  </si>
  <si>
    <t>日</t>
  </si>
  <si>
    <t>PRD_SNJ_KYS_0001_01</t>
  </si>
  <si>
    <t>〒542-0061</t>
    <phoneticPr fontId="3"/>
  </si>
  <si>
    <t>大阪市中央区安堂寺町２－１－１０　第１７松屋ビル9階</t>
    <rPh sb="0" eb="3">
      <t>オオサカシ</t>
    </rPh>
    <rPh sb="3" eb="6">
      <t>チュウオウク</t>
    </rPh>
    <rPh sb="6" eb="9">
      <t>アンドウジ</t>
    </rPh>
    <rPh sb="9" eb="10">
      <t>チョウ</t>
    </rPh>
    <rPh sb="17" eb="18">
      <t>ダイ</t>
    </rPh>
    <rPh sb="20" eb="22">
      <t>マツヤ</t>
    </rPh>
    <rPh sb="25" eb="26">
      <t>カイ</t>
    </rPh>
    <phoneticPr fontId="3"/>
  </si>
  <si>
    <t>06-7711-3050</t>
    <phoneticPr fontId="3"/>
  </si>
  <si>
    <t>山本</t>
    <rPh sb="0" eb="2">
      <t>ヤマモト</t>
    </rPh>
    <phoneticPr fontId="3"/>
  </si>
  <si>
    <t>サンマルコは「これ以上ない」に心からこだわり、
「北海道からもっとおいしく健康に」を掲げ、
胸を張って紹介できる商品をお届けします。</t>
    <phoneticPr fontId="3"/>
  </si>
  <si>
    <t>〒143-0013</t>
    <phoneticPr fontId="3"/>
  </si>
  <si>
    <t>東京都大田区大森南１－１６－２０</t>
    <rPh sb="0" eb="3">
      <t>トウキョウト</t>
    </rPh>
    <rPh sb="3" eb="6">
      <t>オオタク</t>
    </rPh>
    <rPh sb="6" eb="9">
      <t>オオモリミナミ</t>
    </rPh>
    <phoneticPr fontId="3"/>
  </si>
  <si>
    <t>03-6423-2963</t>
    <phoneticPr fontId="3"/>
  </si>
  <si>
    <t>武山</t>
    <rPh sb="0" eb="2">
      <t>タケヤマ</t>
    </rPh>
    <phoneticPr fontId="3"/>
  </si>
  <si>
    <t>私たちのスモークサーモンの美味しさの秘訣は、手間ひまかけた、長時間の燻煙にあります。
燻煙に使うチップは、その魚種に最適なものを選び、旨味や風味を最大限引き出すために研究を重ねました。
こだわりの素材を使い、しっかりと燻煙をかけ、可能な限り手作業で丁寧に加工するため、表面に上質なスモークスキンが出来上がります。
王子サーモンの歴史が生み出したこの飴色に光るスモークスキンが、私たちが自信を持ってお届けするスモークサーモンの美味しさの秘訣です。</t>
    <phoneticPr fontId="3"/>
  </si>
  <si>
    <t>〒080-1407</t>
    <phoneticPr fontId="3"/>
  </si>
  <si>
    <t>北海道河東郡上士幌町字上音更西１－２６１</t>
    <rPh sb="0" eb="3">
      <t>ホッカイドウ</t>
    </rPh>
    <rPh sb="3" eb="4">
      <t>カワ</t>
    </rPh>
    <rPh sb="4" eb="5">
      <t>ヒガシ</t>
    </rPh>
    <rPh sb="5" eb="6">
      <t>グン</t>
    </rPh>
    <rPh sb="6" eb="10">
      <t>カミシホロチョウ</t>
    </rPh>
    <rPh sb="10" eb="11">
      <t>アザ</t>
    </rPh>
    <rPh sb="11" eb="12">
      <t>ウエ</t>
    </rPh>
    <rPh sb="12" eb="13">
      <t>オト</t>
    </rPh>
    <rPh sb="13" eb="14">
      <t>サラ</t>
    </rPh>
    <rPh sb="14" eb="15">
      <t>ニシ</t>
    </rPh>
    <phoneticPr fontId="3"/>
  </si>
  <si>
    <t>01564-2-3923</t>
    <phoneticPr fontId="3"/>
  </si>
  <si>
    <t>新村浩隆</t>
    <rPh sb="0" eb="2">
      <t>シンムラ</t>
    </rPh>
    <rPh sb="2" eb="3">
      <t>ヒロシ</t>
    </rPh>
    <rPh sb="3" eb="4">
      <t>リュウ</t>
    </rPh>
    <phoneticPr fontId="3"/>
  </si>
  <si>
    <t>根室市花園町９丁目１０番地</t>
    <phoneticPr fontId="3"/>
  </si>
  <si>
    <t>0153-24-8111</t>
    <phoneticPr fontId="3"/>
  </si>
  <si>
    <t>西尾裕司</t>
    <phoneticPr fontId="3"/>
  </si>
  <si>
    <t>〒048-0125</t>
  </si>
  <si>
    <t>北海道寿都郡黒松内町字目名１５２番地４</t>
  </si>
  <si>
    <t>0136-72-4416</t>
  </si>
  <si>
    <t>熊谷　一功</t>
  </si>
  <si>
    <t>和歌山県有田市宮原町滝川原 212</t>
    <phoneticPr fontId="3"/>
  </si>
  <si>
    <t>0737-88-5118</t>
    <phoneticPr fontId="3"/>
  </si>
  <si>
    <t>旭川市工業団地５条３－７９８－１３</t>
    <rPh sb="0" eb="3">
      <t>アサヒカワシ</t>
    </rPh>
    <rPh sb="3" eb="7">
      <t>コウギョウダンチ</t>
    </rPh>
    <rPh sb="8" eb="9">
      <t>ジョウ</t>
    </rPh>
    <phoneticPr fontId="3"/>
  </si>
  <si>
    <t>0166-36-7700</t>
    <phoneticPr fontId="3"/>
  </si>
  <si>
    <t>谷口威裕</t>
    <rPh sb="0" eb="2">
      <t>タニグチ</t>
    </rPh>
    <rPh sb="2" eb="3">
      <t>イ</t>
    </rPh>
    <rPh sb="3" eb="4">
      <t>ユウ</t>
    </rPh>
    <phoneticPr fontId="3"/>
  </si>
  <si>
    <t>月末締め翌月末払い</t>
    <rPh sb="0" eb="3">
      <t>ゲツマツジ</t>
    </rPh>
    <rPh sb="4" eb="8">
      <t>ヨクゲツマツバラ</t>
    </rPh>
    <phoneticPr fontId="3"/>
  </si>
  <si>
    <t>旭川食品は北海道のど真ん中、大雪山のふもとで育った健康な黒豆を使ってふっくら美味しいお豆のスイーツを作り続けてきました。
地元食材にこだわり、お豆は近隣の契約農家さんから厳選したものを使用しています。
食材はすべて北海道産のもので まかなっていますので、新鮮で安心ですよ。
黒豆には豊富な栄養が凝縮されておりますが、カロリーは低く、健康の元がいっぱい詰まっています。黒豆の効能は様々ですが、そんなお豆を使って皆さまに「美味しい」って言っていただけるお菓子を真心込めて作っています。</t>
    <phoneticPr fontId="3"/>
  </si>
  <si>
    <t>〒063-0802</t>
    <phoneticPr fontId="3"/>
  </si>
  <si>
    <t>札幌市西区二十四軒2条2丁目2番2号</t>
    <phoneticPr fontId="3"/>
  </si>
  <si>
    <t>011-641-8180</t>
    <phoneticPr fontId="3"/>
  </si>
  <si>
    <t>北海道とともに歩んで、創業７５年。調味料で培った技術を生かし、北海道の食材を気軽に味わえるレトルト食品や、北海道の新鮮な原料にこだわったスイーツやスプレッドの販売。「北海道のソウルフードメイカー」北海道の安全・安心で、美味しい食品作りに取り組み続ける。</t>
    <phoneticPr fontId="3"/>
  </si>
  <si>
    <t>その他飲料</t>
  </si>
  <si>
    <t>MTS</t>
    <phoneticPr fontId="3"/>
  </si>
  <si>
    <t>〒060-0008</t>
  </si>
  <si>
    <t>北海道札幌市中央区北8条西19丁目35−69</t>
    <phoneticPr fontId="3"/>
  </si>
  <si>
    <t>011-213-9625</t>
  </si>
  <si>
    <t>有限会社水戸青果</t>
  </si>
  <si>
    <t>アスパラガスGR・Lサイズ</t>
  </si>
  <si>
    <t>熟成じゃが芋（北海黄金・男爵・北あかり）</t>
  </si>
  <si>
    <t>ホワイトアスパラピクルス</t>
  </si>
  <si>
    <t>レトルトかぼちゃスープ</t>
  </si>
  <si>
    <t>レトルト大根スープ</t>
  </si>
  <si>
    <t>レトルトインカのめざめスープ</t>
  </si>
  <si>
    <t>トマトジュース</t>
  </si>
  <si>
    <t>束</t>
  </si>
  <si>
    <t>1kg</t>
  </si>
  <si>
    <t>缶</t>
  </si>
  <si>
    <t>120g</t>
  </si>
  <si>
    <t>180ml</t>
  </si>
  <si>
    <t>グリーンアスパラ Lサイズ 1束150g</t>
  </si>
  <si>
    <t>3品種（北海黄金・男爵・北あかり）から選択</t>
  </si>
  <si>
    <t>缶詰タイプ</t>
  </si>
  <si>
    <t>インカのめざめ（じゃがいも品種）使用</t>
  </si>
  <si>
    <t>NISSHAビジネスサービス</t>
    <phoneticPr fontId="3"/>
  </si>
  <si>
    <t>2602-1002-K01</t>
  </si>
  <si>
    <t>レトルトコーン</t>
  </si>
  <si>
    <t>ゆりの結晶</t>
  </si>
  <si>
    <t>雪下人参ジュース</t>
  </si>
  <si>
    <t>30本/箱</t>
  </si>
  <si>
    <t>40袋/箱</t>
  </si>
  <si>
    <t>40本/箱</t>
  </si>
  <si>
    <t>北海道真狩村産のレトルトコーン</t>
  </si>
  <si>
    <t>運賃別/関西送料1300円（1箱あたり）/箱単価9300円</t>
  </si>
  <si>
    <t>北海道真狩村産のゆり根加工品</t>
  </si>
  <si>
    <t>運賃別/関西送料1300円（1箱あたり）/箱単価13600円</t>
  </si>
  <si>
    <t>北海道真狩村産の雪下人参使用ジュース</t>
  </si>
  <si>
    <t>運賃別/関西送料1300円（1箱あたり）/箱単価8200円</t>
  </si>
  <si>
    <t>ベジタブルワークス</t>
    <phoneticPr fontId="3"/>
  </si>
  <si>
    <t>レトルトとうもろこし</t>
    <phoneticPr fontId="3"/>
  </si>
  <si>
    <t>本</t>
    <rPh sb="0" eb="1">
      <t>ホン</t>
    </rPh>
    <phoneticPr fontId="3"/>
  </si>
  <si>
    <t>レトルトとうもろこし　関西送料</t>
    <rPh sb="11" eb="13">
      <t>カンサイ</t>
    </rPh>
    <rPh sb="13" eb="15">
      <t>ソウリョウ</t>
    </rPh>
    <phoneticPr fontId="3"/>
  </si>
  <si>
    <t>有限会社小林食品</t>
    <rPh sb="0" eb="4">
      <t>ユウゲンガイシャ</t>
    </rPh>
    <rPh sb="4" eb="6">
      <t>コバヤシ</t>
    </rPh>
    <rPh sb="6" eb="8">
      <t>ショクヒン</t>
    </rPh>
    <phoneticPr fontId="3"/>
  </si>
  <si>
    <t>KBY</t>
    <phoneticPr fontId="3"/>
  </si>
  <si>
    <t>オホーツク流氷ラーメン 　 かに（2食入り）</t>
    <rPh sb="18" eb="19">
      <t>ショク</t>
    </rPh>
    <rPh sb="19" eb="20">
      <t>イ</t>
    </rPh>
    <phoneticPr fontId="3"/>
  </si>
  <si>
    <t>オホーツク流氷ラーメン 　 ホタテ（2食入り）</t>
    <rPh sb="19" eb="20">
      <t>ショク</t>
    </rPh>
    <rPh sb="20" eb="21">
      <t>イ</t>
    </rPh>
    <phoneticPr fontId="3"/>
  </si>
  <si>
    <t>(非表示）販売価格の和</t>
    <rPh sb="1" eb="4">
      <t>ヒヒョウジ</t>
    </rPh>
    <rPh sb="5" eb="7">
      <t>ハンバイ</t>
    </rPh>
    <rPh sb="7" eb="9">
      <t>カカク</t>
    </rPh>
    <rPh sb="10" eb="11">
      <t>ワ</t>
    </rPh>
    <phoneticPr fontId="3"/>
  </si>
  <si>
    <t>ズワイガニ風味ラーメン 　 味噌（1食入り）</t>
    <rPh sb="5" eb="7">
      <t>フウミ</t>
    </rPh>
    <rPh sb="14" eb="16">
      <t>ミソ</t>
    </rPh>
    <rPh sb="18" eb="19">
      <t>ショク</t>
    </rPh>
    <rPh sb="19" eb="20">
      <t>イ</t>
    </rPh>
    <phoneticPr fontId="3"/>
  </si>
  <si>
    <t>ズワイガニ風味ラーメン 　 醤油（1食入り）</t>
    <rPh sb="5" eb="7">
      <t>フウミ</t>
    </rPh>
    <rPh sb="14" eb="16">
      <t>ショウユ</t>
    </rPh>
    <rPh sb="18" eb="19">
      <t>ショク</t>
    </rPh>
    <rPh sb="19" eb="20">
      <t>イ</t>
    </rPh>
    <phoneticPr fontId="3"/>
  </si>
  <si>
    <t>山田</t>
    <rPh sb="0" eb="2">
      <t>ヤマダ</t>
    </rPh>
    <phoneticPr fontId="3"/>
  </si>
  <si>
    <t>604-8851</t>
    <phoneticPr fontId="3"/>
  </si>
  <si>
    <t>京都府京都市中京区壬生花井町３</t>
    <phoneticPr fontId="3"/>
  </si>
  <si>
    <t>NISSHAﾋﾞｼﾞﾈｽｻｰﾋﾞｽ株式会社</t>
    <phoneticPr fontId="3"/>
  </si>
  <si>
    <t>ファシリティサービス二部　オフィス管理グループ　山田梨紗様</t>
    <phoneticPr fontId="3"/>
  </si>
  <si>
    <t>075-823-5359</t>
    <phoneticPr fontId="3"/>
  </si>
  <si>
    <t>2602-1001-A01</t>
  </si>
  <si>
    <t>有限会社小林食品</t>
  </si>
  <si>
    <t>注文を受領いただける場合、ご承諾の旨と出荷予定日・着荷予定日をお知らせください。出荷されましたら、送り状の追跡番号をお知らせください。</t>
    <rPh sb="0" eb="2">
      <t>チュウモン</t>
    </rPh>
    <rPh sb="3" eb="5">
      <t>ジュリョウ</t>
    </rPh>
    <rPh sb="10" eb="12">
      <t>バアイ</t>
    </rPh>
    <rPh sb="14" eb="16">
      <t>ショウダク</t>
    </rPh>
    <rPh sb="17" eb="18">
      <t>ムネ</t>
    </rPh>
    <rPh sb="19" eb="21">
      <t>シュッカ</t>
    </rPh>
    <rPh sb="21" eb="23">
      <t>ヨテイ</t>
    </rPh>
    <rPh sb="23" eb="24">
      <t>ビ</t>
    </rPh>
    <rPh sb="25" eb="27">
      <t>チャッカ</t>
    </rPh>
    <rPh sb="27" eb="29">
      <t>ヨテイ</t>
    </rPh>
    <rPh sb="29" eb="30">
      <t>ビ</t>
    </rPh>
    <rPh sb="32" eb="33">
      <t>シ</t>
    </rPh>
    <phoneticPr fontId="3"/>
  </si>
  <si>
    <t>No.</t>
  </si>
  <si>
    <t>商品ID</t>
  </si>
  <si>
    <t>優先度</t>
  </si>
  <si>
    <t>完了</t>
  </si>
  <si>
    <t>PRD_SNJ_HAK_0009_01</t>
  </si>
  <si>
    <t>PRD_SNJ_TOK_0003_01</t>
  </si>
  <si>
    <t>PRD_SNJ_MAK_0012_01</t>
  </si>
  <si>
    <t>PRD_SNJ_OTS_0001_01</t>
  </si>
  <si>
    <t>PRD_SNJ_UJI_0005_01</t>
  </si>
  <si>
    <t>ほしいも（紅はるか・シルクスイート）</t>
    <phoneticPr fontId="3"/>
  </si>
  <si>
    <t>200袋（紅はるか・シルクスイート各100袋）</t>
    <phoneticPr fontId="3"/>
  </si>
  <si>
    <t>100g</t>
    <phoneticPr fontId="3"/>
  </si>
  <si>
    <t>3ヶ月</t>
    <rPh sb="2" eb="3">
      <t>ゲツ</t>
    </rPh>
    <phoneticPr fontId="3"/>
  </si>
  <si>
    <t>常温</t>
    <phoneticPr fontId="3"/>
  </si>
  <si>
    <t>農家が作ったほしいもです。強い甘さが魅力の「べにはるか」優しい甘さとしっとりした食感が魅力の「シルクスイート」。この商品は、厳選されたサツマイモを使用した半生タイプのほしいもです。まるでデザートのような甘さで、子供から大人まで幅広い年齢層に愛される逸品です。しっかりとした噛みごたえながらも、口の中でとろけるような食感が特徴。おやつや間食はもちろん、お茶うけに、ワインとともに！豊かな風味と形状は、見た目にも楽しませてくれます。</t>
    <phoneticPr fontId="3"/>
  </si>
  <si>
    <t>ヤマトヤシキ向け（限定？）</t>
    <rPh sb="6" eb="7">
      <t>ム</t>
    </rPh>
    <rPh sb="9" eb="11">
      <t>ゲンテイ</t>
    </rPh>
    <phoneticPr fontId="3"/>
  </si>
  <si>
    <t>2601-1006-S01</t>
  </si>
  <si>
    <t>杉田</t>
    <rPh sb="0" eb="2">
      <t>スギタ</t>
    </rPh>
    <phoneticPr fontId="3"/>
  </si>
  <si>
    <t>日新堂株式会社</t>
    <rPh sb="0" eb="3">
      <t>ニッシンドウ</t>
    </rPh>
    <rPh sb="3" eb="7">
      <t>カブシキカイシャ</t>
    </rPh>
    <phoneticPr fontId="3"/>
  </si>
  <si>
    <t xml:space="preserve">蔵匠 樽仕込み 1.8L </t>
    <phoneticPr fontId="3"/>
  </si>
  <si>
    <t>1.8L×6本/ケース</t>
    <phoneticPr fontId="3"/>
  </si>
  <si>
    <t>6ケース（36本）</t>
    <phoneticPr fontId="3"/>
  </si>
  <si>
    <t>PRD_SNJ_YAS_0006_01</t>
  </si>
  <si>
    <t>2602-1003-S01</t>
    <phoneticPr fontId="3"/>
  </si>
  <si>
    <t>PRD_SNJ_YAS_0001_01</t>
  </si>
  <si>
    <t>PRD_SNJ_YAS_0002_01</t>
  </si>
  <si>
    <t>PRD_SNJ_YAS_0003_01</t>
  </si>
  <si>
    <t>PRD_SNJ_YAS_0004_01</t>
  </si>
  <si>
    <t>2602-1003-S01</t>
  </si>
  <si>
    <t>2601-1002-S01</t>
  </si>
  <si>
    <t>2602-1004-S01</t>
    <phoneticPr fontId="3"/>
  </si>
  <si>
    <t>2602-1004-S01</t>
  </si>
  <si>
    <t>利益率</t>
    <rPh sb="0" eb="3">
      <t>リエキリツ</t>
    </rPh>
    <phoneticPr fontId="3"/>
  </si>
  <si>
    <t>行ラベル</t>
  </si>
  <si>
    <t>2601-1003-A01</t>
  </si>
  <si>
    <t>2601-1004-S01</t>
  </si>
  <si>
    <t>2601-1007-S01</t>
  </si>
  <si>
    <t>総計</t>
  </si>
  <si>
    <t>単価×数（仕入）</t>
    <rPh sb="0" eb="2">
      <t>タンカ</t>
    </rPh>
    <rPh sb="3" eb="4">
      <t>カズ</t>
    </rPh>
    <rPh sb="5" eb="7">
      <t>シイレ</t>
    </rPh>
    <phoneticPr fontId="3"/>
  </si>
  <si>
    <t>単価×数（売値）</t>
    <rPh sb="0" eb="2">
      <t>タンカカズ2</t>
    </rPh>
    <rPh sb="5" eb="7">
      <t>ウリネ</t>
    </rPh>
    <phoneticPr fontId="3"/>
  </si>
  <si>
    <t>合計 / 単価×数（売値）</t>
  </si>
  <si>
    <t>合計 / 単価×数（仕入）</t>
  </si>
  <si>
    <t>発注フラグ</t>
  </si>
  <si>
    <t>発注フラグ</t>
    <rPh sb="0" eb="2">
      <t>ハッチュウ</t>
    </rPh>
    <phoneticPr fontId="3"/>
  </si>
  <si>
    <t>(複数のアイテム)</t>
  </si>
  <si>
    <t>2602-1005-K01</t>
  </si>
  <si>
    <t>ご準備でき次第</t>
    <rPh sb="1" eb="3">
      <t>ジュンビ</t>
    </rPh>
    <rPh sb="5" eb="7">
      <t>シダイ</t>
    </rPh>
    <phoneticPr fontId="3"/>
  </si>
  <si>
    <t>送料</t>
    <rPh sb="0" eb="2">
      <t>ソウリョウ</t>
    </rPh>
    <phoneticPr fontId="3"/>
  </si>
  <si>
    <t>雲鶴</t>
    <phoneticPr fontId="3"/>
  </si>
  <si>
    <t>2602-1006-S01</t>
  </si>
  <si>
    <t>追加発注分</t>
    <rPh sb="0" eb="2">
      <t>ツイカ</t>
    </rPh>
    <rPh sb="2" eb="4">
      <t>ハッチュウ</t>
    </rPh>
    <rPh sb="4" eb="5">
      <t>ブン</t>
    </rPh>
    <phoneticPr fontId="3"/>
  </si>
  <si>
    <t>税込価格</t>
    <rPh sb="0" eb="4">
      <t>ゼイコミカカク</t>
    </rPh>
    <phoneticPr fontId="3"/>
  </si>
  <si>
    <t>単価（税込）</t>
    <rPh sb="3" eb="5">
      <t>ゼイコミ</t>
    </rPh>
    <phoneticPr fontId="3"/>
  </si>
  <si>
    <t>税込合計:</t>
    <rPh sb="0" eb="2">
      <t>ゼイコミ</t>
    </rPh>
    <rPh sb="2" eb="4">
      <t>ゴウケイ</t>
    </rPh>
    <phoneticPr fontId="2"/>
  </si>
  <si>
    <t>金額（税込）</t>
    <rPh sb="0" eb="2">
      <t>キンガク</t>
    </rPh>
    <rPh sb="3" eb="5">
      <t>ゼイコミ</t>
    </rPh>
    <phoneticPr fontId="2"/>
  </si>
  <si>
    <t>金額(税込）</t>
    <rPh sb="3" eb="5">
      <t>ゼイコミ</t>
    </rPh>
    <phoneticPr fontId="2"/>
  </si>
  <si>
    <t>2603-1001-S01</t>
  </si>
  <si>
    <t>PRD_SNJ_CCL_0001_01</t>
  </si>
  <si>
    <t>PRD_</t>
    <phoneticPr fontId="3"/>
  </si>
  <si>
    <t>送料（福井）</t>
    <rPh sb="0" eb="2">
      <t>ソウリョウ</t>
    </rPh>
    <rPh sb="3" eb="5">
      <t>フクイ</t>
    </rPh>
    <phoneticPr fontId="3"/>
  </si>
  <si>
    <t>フェリーサービス株式会社</t>
  </si>
  <si>
    <t>舞鶴港向け</t>
    <rPh sb="0" eb="2">
      <t>マイヅル</t>
    </rPh>
    <rPh sb="2" eb="3">
      <t>コウ</t>
    </rPh>
    <rPh sb="3" eb="4">
      <t>ム</t>
    </rPh>
    <phoneticPr fontId="3"/>
  </si>
  <si>
    <t>敦賀港向け</t>
    <rPh sb="0" eb="2">
      <t>ツルガ</t>
    </rPh>
    <rPh sb="2" eb="3">
      <t>コウ</t>
    </rPh>
    <rPh sb="3" eb="4">
      <t>ム</t>
    </rPh>
    <phoneticPr fontId="3"/>
  </si>
  <si>
    <t>送料（京都）</t>
    <rPh sb="0" eb="2">
      <t>ソウリョウ</t>
    </rPh>
    <rPh sb="3" eb="5">
      <t>キョウト</t>
    </rPh>
    <phoneticPr fontId="3"/>
  </si>
  <si>
    <t>安井</t>
    <rPh sb="0" eb="2">
      <t>ヤスイ</t>
    </rPh>
    <phoneticPr fontId="3"/>
  </si>
  <si>
    <t>税込合計:</t>
    <rPh sb="0" eb="2">
      <t>ゼイコ</t>
    </rPh>
    <rPh sb="2" eb="4">
      <t>ゴウケイ</t>
    </rPh>
    <phoneticPr fontId="3"/>
  </si>
  <si>
    <t>NISSHAビジネスサービス</t>
  </si>
  <si>
    <t>下関グランドホテル株式会社</t>
    <phoneticPr fontId="3"/>
  </si>
  <si>
    <t>2603-1002-S01</t>
  </si>
  <si>
    <t>備長炭</t>
    <rPh sb="0" eb="3">
      <t>ビンチョウタン</t>
    </rPh>
    <phoneticPr fontId="3"/>
  </si>
  <si>
    <t>牛脂</t>
    <rPh sb="0" eb="2">
      <t>ギュウシ</t>
    </rPh>
    <phoneticPr fontId="3"/>
  </si>
  <si>
    <t>不知火（商品なし）</t>
    <rPh sb="0" eb="3">
      <t>シラヌイ</t>
    </rPh>
    <rPh sb="4" eb="6">
      <t>ショウヒン</t>
    </rPh>
    <phoneticPr fontId="3"/>
  </si>
  <si>
    <t>あつまいも（商品なし）</t>
    <phoneticPr fontId="3"/>
  </si>
  <si>
    <t>商品</t>
    <rPh sb="0" eb="2">
      <t>ショウヒンシラヌイ</t>
    </rPh>
    <phoneticPr fontId="3"/>
  </si>
  <si>
    <t>あつまいも</t>
    <phoneticPr fontId="3"/>
  </si>
  <si>
    <t>PRD_SNJ_MTS_0003_01</t>
  </si>
  <si>
    <t>箱</t>
    <rPh sb="0" eb="1">
      <t>ハコ</t>
    </rPh>
    <phoneticPr fontId="3"/>
  </si>
  <si>
    <t>2603-1004-S01</t>
  </si>
  <si>
    <t>PRD_SNJ_UMY_0013_01</t>
  </si>
  <si>
    <t>PRD_SNJ_UMY_0014_01</t>
  </si>
  <si>
    <t>PRD_SNJ_UMY_0015_01</t>
  </si>
  <si>
    <t>PRD_SNJ_UMY_0016_01</t>
  </si>
  <si>
    <t>PRD_SNJ_UMY_0017_01</t>
  </si>
  <si>
    <t>PRD_SNJ_UMY_0019_01</t>
  </si>
  <si>
    <t>PRD_SNJ_UMY_0020_01</t>
  </si>
  <si>
    <t>PRD_SNJ_UMY_0021_01</t>
  </si>
  <si>
    <t>PRD_SNJ_UMY_0001_01</t>
  </si>
  <si>
    <t>PRD_SNJ_NNS_0001_01</t>
  </si>
  <si>
    <t>PRD_SNJ_NNS_0004_01</t>
  </si>
  <si>
    <t>PRD_SNJ_NNS_0005_01</t>
  </si>
  <si>
    <t>PRD_SNJ_NNS_0006_01</t>
  </si>
  <si>
    <t>PRD_SNJ_NNS_0007_01</t>
  </si>
  <si>
    <t>other</t>
  </si>
  <si>
    <t>みそぎの郷きこない</t>
  </si>
  <si>
    <t>オリジナルポテトチップス</t>
  </si>
  <si>
    <t>みそぎボーイ塩きびだんご</t>
  </si>
  <si>
    <t>オーセントホテル小樽</t>
  </si>
  <si>
    <t>ウィークエンド・オランジェ</t>
  </si>
  <si>
    <t>ホテルオリジナルビーフカレー</t>
  </si>
  <si>
    <t>ホテルオリジナルビーフシチュー</t>
  </si>
  <si>
    <t>牛肉のトマト煮</t>
  </si>
  <si>
    <t>コーンスープ</t>
  </si>
  <si>
    <t>パンプキンスープ</t>
  </si>
  <si>
    <t>ポテトスープ</t>
  </si>
  <si>
    <t>オニオンスープ</t>
  </si>
  <si>
    <t>ナオバンズ</t>
  </si>
  <si>
    <t>俱知安小倉あんこカスタードパウンドケーキ</t>
  </si>
  <si>
    <t>俱知安栗かぼちゃパウンドケーキ</t>
  </si>
  <si>
    <t>抹茶ニセコ黒豆ホワイトチョコパウンドケーキ</t>
  </si>
  <si>
    <t>SAKURA酒粕パウンドケーキ</t>
  </si>
  <si>
    <t>酒粕ココアレーズンパウンドケーキ</t>
  </si>
  <si>
    <t>ニセコ人参ココナッツパウンドケーキ</t>
  </si>
  <si>
    <t>めっちゃレモンなパウンドケーキ</t>
  </si>
  <si>
    <t>フォンダン・あんこ</t>
  </si>
  <si>
    <t>PRD_SNJ_NVP_0002_01</t>
  </si>
  <si>
    <t>PRD_SNJ_VGW_0001_01</t>
  </si>
  <si>
    <t>PRD_SNJ_VGW_0002_01</t>
  </si>
  <si>
    <t>ベターティズ</t>
  </si>
  <si>
    <t>行者ニンニクみそ豚まん</t>
  </si>
  <si>
    <t>十勝チーズまん</t>
  </si>
  <si>
    <t>ホリ商店</t>
  </si>
  <si>
    <t>冷凍真空北海道産開きホッケ</t>
  </si>
  <si>
    <t>PRD_SNJ_YMN_0002_01</t>
  </si>
  <si>
    <t>PRD_SNJ_YMN_0005_01</t>
  </si>
  <si>
    <t>PRD_SNJ_YMN_0006_01</t>
  </si>
  <si>
    <t>PRD_SNJ_YMN_0007_01</t>
  </si>
  <si>
    <t>PRD_SNJ_YMN_0008_01</t>
  </si>
  <si>
    <t>PRD_SNJ_YMN_0009_01</t>
  </si>
  <si>
    <t>PRD_SNJ_YMN_0010_01</t>
  </si>
  <si>
    <t>PRD_SNJ_YMN_0015_01</t>
  </si>
  <si>
    <t>PRD_SNJ_YMN_0018_01</t>
  </si>
  <si>
    <t>PRD_SNJ_YMN_0020_01</t>
  </si>
  <si>
    <t>PRD_SNJ_YMN_0025_01</t>
  </si>
  <si>
    <t>PRD_SNJ_SKK_0005_01</t>
  </si>
  <si>
    <t>PRD_SNJ_SKK_0006_01</t>
  </si>
  <si>
    <t>宇治抹茶あずき甘納豆おちちまめ</t>
  </si>
  <si>
    <t>PRD_SNJ_SKK_0001_01</t>
  </si>
  <si>
    <t>PRD_SNJ_SKK_0003_01</t>
  </si>
  <si>
    <t>PRD_SNJ_SKK_0011_01</t>
  </si>
  <si>
    <t>北海道名阪</t>
  </si>
  <si>
    <t>草太郎3個入り</t>
  </si>
  <si>
    <t>千壽栗3個入り</t>
  </si>
  <si>
    <t>PRD_SNJ_TSF_0001_01</t>
  </si>
  <si>
    <t>PRD_SNJ_TSF_0002_01</t>
  </si>
  <si>
    <t>PRD_SNJ_TSF_0003_01</t>
  </si>
  <si>
    <t>PRD_SNJ_TSF_0004_01</t>
  </si>
  <si>
    <t>PRD_SNJ_TSF_0005_01</t>
  </si>
  <si>
    <t>PRD_SNJ_TSF_0006_01</t>
  </si>
  <si>
    <t>PRD_SNJ_TSF_0007_01</t>
  </si>
  <si>
    <t>PRD_SNJ_TSF_0009_01</t>
  </si>
  <si>
    <t>十勝しんむら牧場</t>
  </si>
  <si>
    <t>ミルクジャム蜂蜜</t>
  </si>
  <si>
    <t>PRD_SNJ_TSF_0012_01</t>
  </si>
  <si>
    <t>小樽うんがぷらす</t>
  </si>
  <si>
    <t>北海道産 紫花豆</t>
  </si>
  <si>
    <t>北海道産 虎豆</t>
  </si>
  <si>
    <t>北海道産 大正金時豆</t>
  </si>
  <si>
    <t>北海道産 鮭の醤油煮</t>
  </si>
  <si>
    <t>北海道産 秋刀魚水煮 柚子香味</t>
  </si>
  <si>
    <t>寒干し棒たら炊き180g</t>
  </si>
  <si>
    <t>縞ホッケふっくら小樽煮170g</t>
  </si>
  <si>
    <t>ヤン衆まるごと鰊180g</t>
  </si>
  <si>
    <t>PRD_SNJ_OTS_0005_01</t>
  </si>
  <si>
    <t>ししゃも甘露煮90g</t>
  </si>
  <si>
    <t>おつまみにしん40g</t>
  </si>
  <si>
    <t>にしんかずのこ親子南蛮味噌100g</t>
  </si>
  <si>
    <t>PRD_SNJ_YSS_0002_01</t>
  </si>
  <si>
    <t>PRD_SNJ_YSS_0003_01</t>
  </si>
  <si>
    <t>PRD_SNJ_AKS_0001_01</t>
  </si>
  <si>
    <t>PRD_SNJ_AKS_0003_01</t>
  </si>
  <si>
    <t>PRD_SNJ_AKS_0004_01</t>
  </si>
  <si>
    <t>PRD_SNJ_AKS_0005_01</t>
  </si>
  <si>
    <t>PRD_SNJ_HAD_0001_01</t>
  </si>
  <si>
    <t>PRD_SNJ_HAD_0002_01</t>
  </si>
  <si>
    <t>PRD_SNJ_HAD_0003_01</t>
  </si>
  <si>
    <t>PRD_SNJ_HAD_0006_01</t>
  </si>
  <si>
    <t>PRD_SNJ_HAD_0007_01</t>
  </si>
  <si>
    <t>福島町まちづくり工房</t>
  </si>
  <si>
    <t>福島町産カットするめ</t>
  </si>
  <si>
    <t>なまらポテト</t>
  </si>
  <si>
    <t>PRD_SNJ_FSS_0001_01</t>
  </si>
  <si>
    <t>PRD_SNJ_FSS_0002_01</t>
  </si>
  <si>
    <t>杉田</t>
  </si>
  <si>
    <t>大阪</t>
  </si>
  <si>
    <t>加古川ヤマトヤシキ</t>
  </si>
  <si>
    <t>各種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</si>
</sst>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quot;¥&quot;\-#,##0"/>
    <numFmt numFmtId="6" formatCode="&quot;¥&quot;#,##0;[Red]&quot;¥&quot;\-#,##0"/>
    <numFmt numFmtId="176" formatCode="0_);[Red]\(0\)"/>
    <numFmt numFmtId="177" formatCode="[$-F800]dddd\,\ mmmm\ dd\,\ yyyy"/>
    <numFmt numFmtId="178" formatCode="0.0%"/>
    <numFmt numFmtId="179" formatCode="yymmdd"/>
    <numFmt numFmtId="180" formatCode="yy/mm/dd"/>
    <numFmt numFmtId="181" formatCode="mmdd"/>
    <numFmt numFmtId="182" formatCode="&quot;¥&quot;#,##0_);[Red]\(&quot;¥&quot;#,##0\)"/>
  </numFmts>
  <fonts count="45">
    <font>
      <sz val="11"/>
      <color theme="1"/>
      <name val="游ゴシック"/>
      <family val="2"/>
      <scheme val="minor"/>
    </font>
    <font>
      <b/>
      <sz val="11"/>
      <color theme="3"/>
      <name val="游ゴシック"/>
      <family val="2"/>
      <charset val="128"/>
      <scheme val="minor"/>
    </font>
    <font>
      <sz val="11"/>
      <color theme="1"/>
      <name val="游ゴシック"/>
      <family val="2"/>
      <scheme val="minor"/>
    </font>
    <font>
      <sz val="6"/>
      <name val="游ゴシック"/>
      <family val="3"/>
      <charset val="128"/>
      <scheme val="minor"/>
    </font>
    <font>
      <sz val="11"/>
      <color theme="1"/>
      <name val="游ゴシック"/>
      <family val="3"/>
      <charset val="128"/>
    </font>
    <font>
      <b/>
      <sz val="11"/>
      <name val="游ゴシック"/>
      <family val="3"/>
      <charset val="128"/>
    </font>
    <font>
      <b/>
      <sz val="11"/>
      <color rgb="FFFFFFFF"/>
      <name val="游ゴシック"/>
      <family val="3"/>
      <charset val="128"/>
    </font>
    <font>
      <b/>
      <sz val="28"/>
      <color theme="0"/>
      <name val="游明朝"/>
      <family val="1"/>
      <charset val="128"/>
    </font>
    <font>
      <sz val="28"/>
      <color theme="0"/>
      <name val="游明朝"/>
      <family val="1"/>
      <charset val="128"/>
    </font>
    <font>
      <b/>
      <sz val="20"/>
      <color theme="1"/>
      <name val="游ゴシック"/>
      <family val="3"/>
      <charset val="128"/>
    </font>
    <font>
      <sz val="14"/>
      <color theme="1"/>
      <name val="游ゴシック"/>
      <family val="3"/>
      <charset val="128"/>
    </font>
    <font>
      <b/>
      <sz val="14"/>
      <name val="游ゴシック"/>
      <family val="3"/>
      <charset val="128"/>
    </font>
    <font>
      <sz val="16"/>
      <color theme="1"/>
      <name val="游ゴシック"/>
      <family val="3"/>
      <charset val="128"/>
    </font>
    <font>
      <b/>
      <sz val="14"/>
      <color theme="1"/>
      <name val="游ゴシック"/>
      <family val="3"/>
      <charset val="128"/>
    </font>
    <font>
      <b/>
      <sz val="11"/>
      <name val="ＭＳ Ｐゴシック"/>
      <family val="3"/>
      <charset val="128"/>
    </font>
    <font>
      <sz val="11"/>
      <name val="游ゴシック"/>
      <family val="2"/>
      <scheme val="minor"/>
    </font>
    <font>
      <b/>
      <sz val="11"/>
      <color theme="1"/>
      <name val="游ゴシック"/>
      <family val="3"/>
      <charset val="128"/>
      <scheme val="minor"/>
    </font>
    <font>
      <sz val="11"/>
      <color theme="1"/>
      <name val="游ゴシック"/>
      <family val="3"/>
      <charset val="128"/>
      <scheme val="minor"/>
    </font>
    <font>
      <b/>
      <sz val="11"/>
      <name val="游ゴシック"/>
      <family val="3"/>
      <charset val="128"/>
      <scheme val="minor"/>
    </font>
    <font>
      <sz val="11"/>
      <name val="游ゴシック"/>
      <family val="3"/>
      <charset val="128"/>
      <scheme val="minor"/>
    </font>
    <font>
      <sz val="11"/>
      <color rgb="FF474747"/>
      <name val="Arial"/>
      <family val="2"/>
    </font>
    <font>
      <b/>
      <sz val="11"/>
      <color rgb="FF767676"/>
      <name val="Arial"/>
      <family val="2"/>
    </font>
    <font>
      <sz val="10"/>
      <color indexed="10"/>
      <name val="游ゴシック"/>
      <family val="3"/>
      <charset val="128"/>
      <scheme val="minor"/>
    </font>
    <font>
      <sz val="11"/>
      <color rgb="FF000000"/>
      <name val="游ゴシック"/>
      <family val="3"/>
      <charset val="128"/>
      <scheme val="minor"/>
    </font>
    <font>
      <sz val="11"/>
      <color rgb="FF000000"/>
      <name val="Calibri"/>
      <family val="2"/>
    </font>
    <font>
      <sz val="11"/>
      <color rgb="FF1F1F1F"/>
      <name val="Arial"/>
      <family val="2"/>
    </font>
    <font>
      <b/>
      <sz val="11"/>
      <color theme="1"/>
      <name val="游ゴシック"/>
      <family val="3"/>
      <charset val="128"/>
    </font>
    <font>
      <b/>
      <sz val="16"/>
      <color theme="1"/>
      <name val="游ゴシック"/>
      <family val="3"/>
      <charset val="128"/>
    </font>
    <font>
      <sz val="10"/>
      <color theme="1"/>
      <name val="游ゴシック"/>
      <family val="3"/>
      <charset val="128"/>
    </font>
    <font>
      <sz val="6"/>
      <name val="ＭＳ ゴシック"/>
      <family val="3"/>
      <charset val="128"/>
    </font>
    <font>
      <sz val="11"/>
      <color rgb="FF272C2B"/>
      <name val="游ゴシック"/>
      <family val="3"/>
      <charset val="128"/>
      <scheme val="minor"/>
    </font>
    <font>
      <sz val="6"/>
      <name val="游ゴシック"/>
      <family val="2"/>
      <charset val="128"/>
      <scheme val="minor"/>
    </font>
    <font>
      <sz val="11"/>
      <name val="游ゴシック"/>
      <family val="3"/>
      <charset val="128"/>
    </font>
    <font>
      <b/>
      <sz val="11"/>
      <name val="ＭＳ ゴシック"/>
      <family val="3"/>
      <charset val="128"/>
    </font>
    <font>
      <b/>
      <sz val="11"/>
      <name val="Noto Sans CJK SC"/>
      <family val="3"/>
    </font>
    <font>
      <b/>
      <sz val="11"/>
      <name val="ＭＳ Ｐゴシック"/>
      <family val="2"/>
      <charset val="128"/>
    </font>
    <font>
      <b/>
      <sz val="11"/>
      <name val="Noto Sans CJK SC"/>
      <family val="2"/>
    </font>
    <font>
      <sz val="11"/>
      <color theme="1"/>
      <name val="Meiryo UI"/>
      <family val="3"/>
      <charset val="128"/>
    </font>
    <font>
      <b/>
      <sz val="11"/>
      <name val="游ゴシック"/>
      <family val="2"/>
      <charset val="128"/>
    </font>
    <font>
      <sz val="12"/>
      <color theme="1"/>
      <name val="游ゴシック"/>
      <family val="3"/>
      <charset val="128"/>
    </font>
    <font>
      <b/>
      <sz val="28"/>
      <name val="游明朝"/>
      <family val="1"/>
      <charset val="128"/>
    </font>
    <font>
      <sz val="28"/>
      <name val="游明朝"/>
      <family val="1"/>
      <charset val="128"/>
    </font>
    <font>
      <sz val="10"/>
      <name val="Meiryo"/>
      <family val="3"/>
      <charset val="128"/>
    </font>
    <font>
      <b/>
      <sz val="11"/>
      <name val="Meiryo"/>
      <family val="3"/>
      <charset val="128"/>
    </font>
    <font>
      <sz val="11"/>
      <name val="Meiryo"/>
      <family val="3"/>
      <charset val="128"/>
    </font>
  </fonts>
  <fills count="11">
    <fill>
      <patternFill patternType="none"/>
    </fill>
    <fill>
      <patternFill patternType="gray125"/>
    </fill>
    <fill>
      <patternFill patternType="solid">
        <fgColor theme="1" tint="0.34998626667073579"/>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theme="1"/>
        <bgColor rgb="FF4472C4"/>
      </patternFill>
    </fill>
    <fill>
      <patternFill patternType="solid">
        <fgColor theme="0" tint="-0.499984740745262"/>
        <bgColor indexed="64"/>
      </patternFill>
    </fill>
    <fill>
      <patternFill patternType="solid">
        <fgColor theme="0" tint="-0.499984740745262"/>
        <bgColor rgb="FF4472C4"/>
      </patternFill>
    </fill>
  </fills>
  <borders count="36">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bottom/>
      <diagonal/>
    </border>
    <border>
      <left style="thin">
        <color auto="1"/>
      </left>
      <right style="medium">
        <color indexed="64"/>
      </right>
      <top/>
      <bottom style="thin">
        <color auto="1"/>
      </bottom>
      <diagonal/>
    </border>
    <border>
      <left style="thin">
        <color auto="1"/>
      </left>
      <right style="medium">
        <color indexed="64"/>
      </right>
      <top style="thin">
        <color auto="1"/>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s>
  <cellStyleXfs count="11">
    <xf numFmtId="0" fontId="0" fillId="0" borderId="0"/>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6" fontId="2" fillId="0" borderId="0" applyFont="0" applyFill="0" applyBorder="0" applyAlignment="0" applyProtection="0">
      <alignment vertical="center"/>
    </xf>
    <xf numFmtId="38" fontId="2" fillId="0" borderId="0">
      <alignment vertical="center"/>
    </xf>
    <xf numFmtId="9" fontId="2" fillId="0" borderId="0">
      <alignment vertical="center"/>
    </xf>
    <xf numFmtId="38" fontId="2" fillId="0" borderId="0">
      <alignment vertical="center"/>
    </xf>
    <xf numFmtId="9" fontId="2" fillId="0" borderId="0">
      <alignment vertical="center"/>
    </xf>
    <xf numFmtId="6" fontId="2" fillId="0" borderId="0">
      <alignment vertical="center"/>
    </xf>
  </cellStyleXfs>
  <cellXfs count="289">
    <xf numFmtId="0" fontId="0" fillId="0" borderId="0" xfId="0"/>
    <xf numFmtId="0" fontId="4" fillId="0" borderId="0" xfId="0" applyFont="1"/>
    <xf numFmtId="0" fontId="4" fillId="0" borderId="1" xfId="0" applyFont="1" applyBorder="1" applyAlignment="1">
      <alignment horizontal="right" vertical="center"/>
    </xf>
    <xf numFmtId="0" fontId="4" fillId="0" borderId="0" xfId="0" applyFont="1" applyAlignment="1">
      <alignment horizontal="right" vertical="top"/>
    </xf>
    <xf numFmtId="0" fontId="9" fillId="0" borderId="0" xfId="0" applyFont="1"/>
    <xf numFmtId="0" fontId="10" fillId="0" borderId="0" xfId="0" applyFont="1"/>
    <xf numFmtId="0" fontId="4" fillId="0" borderId="2" xfId="0" applyFont="1" applyBorder="1"/>
    <xf numFmtId="0" fontId="4" fillId="0" borderId="3" xfId="0" applyFont="1" applyBorder="1"/>
    <xf numFmtId="0" fontId="4" fillId="0" borderId="4" xfId="0" applyFont="1" applyBorder="1"/>
    <xf numFmtId="0" fontId="5" fillId="0" borderId="5" xfId="0" applyFont="1" applyBorder="1"/>
    <xf numFmtId="0" fontId="4" fillId="0" borderId="6" xfId="0" applyFont="1" applyBorder="1"/>
    <xf numFmtId="0" fontId="4" fillId="0" borderId="5" xfId="0" applyFont="1" applyBorder="1" applyAlignment="1">
      <alignment vertical="center"/>
    </xf>
    <xf numFmtId="0" fontId="9" fillId="0" borderId="6" xfId="0" applyFont="1" applyBorder="1" applyAlignment="1">
      <alignment horizontal="left"/>
    </xf>
    <xf numFmtId="0" fontId="4" fillId="0" borderId="8" xfId="0" applyFont="1" applyBorder="1" applyAlignment="1">
      <alignment vertical="center"/>
    </xf>
    <xf numFmtId="0" fontId="4" fillId="0" borderId="9" xfId="0" applyFont="1" applyBorder="1"/>
    <xf numFmtId="0" fontId="4" fillId="0" borderId="10" xfId="0" applyFont="1" applyBorder="1"/>
    <xf numFmtId="0" fontId="4" fillId="0" borderId="1" xfId="0" applyFont="1" applyBorder="1" applyAlignment="1">
      <alignment vertical="center"/>
    </xf>
    <xf numFmtId="6" fontId="4" fillId="0" borderId="1" xfId="1" applyNumberFormat="1" applyFont="1" applyBorder="1" applyAlignment="1">
      <alignment vertical="center"/>
    </xf>
    <xf numFmtId="9" fontId="4" fillId="0" borderId="1" xfId="2" applyFont="1" applyBorder="1" applyAlignment="1">
      <alignment vertical="center"/>
    </xf>
    <xf numFmtId="0" fontId="10" fillId="0" borderId="0" xfId="0" applyFont="1" applyAlignment="1">
      <alignment vertical="center"/>
    </xf>
    <xf numFmtId="0" fontId="11" fillId="0" borderId="0" xfId="0" applyFont="1" applyAlignment="1">
      <alignment horizontal="right" vertical="center"/>
    </xf>
    <xf numFmtId="6" fontId="10" fillId="0" borderId="1" xfId="1" applyNumberFormat="1" applyFont="1" applyBorder="1" applyAlignment="1">
      <alignment vertical="center"/>
    </xf>
    <xf numFmtId="0" fontId="10" fillId="0" borderId="1" xfId="0" applyFont="1" applyBorder="1" applyAlignment="1">
      <alignment vertical="center"/>
    </xf>
    <xf numFmtId="0" fontId="12" fillId="0" borderId="0" xfId="0" applyFont="1"/>
    <xf numFmtId="0" fontId="11" fillId="0" borderId="0" xfId="0" applyFont="1" applyAlignment="1">
      <alignment horizontal="right"/>
    </xf>
    <xf numFmtId="6" fontId="10" fillId="0" borderId="0" xfId="1" applyNumberFormat="1" applyFont="1" applyBorder="1" applyAlignment="1"/>
    <xf numFmtId="0" fontId="13" fillId="0" borderId="1" xfId="0" applyFont="1" applyBorder="1" applyAlignment="1">
      <alignment horizontal="center"/>
    </xf>
    <xf numFmtId="0" fontId="10" fillId="0" borderId="0" xfId="0" applyFont="1" applyAlignment="1">
      <alignment vertical="top"/>
    </xf>
    <xf numFmtId="9" fontId="13" fillId="0" borderId="0" xfId="0" applyNumberFormat="1" applyFont="1" applyAlignment="1">
      <alignment horizontal="right"/>
    </xf>
    <xf numFmtId="0" fontId="13" fillId="0" borderId="0" xfId="0" applyFont="1" applyAlignment="1">
      <alignment horizontal="right"/>
    </xf>
    <xf numFmtId="5" fontId="11" fillId="0" borderId="11" xfId="1" applyNumberFormat="1" applyFont="1" applyBorder="1" applyAlignment="1"/>
    <xf numFmtId="5" fontId="13" fillId="0" borderId="12" xfId="1" applyNumberFormat="1" applyFont="1" applyBorder="1" applyAlignment="1"/>
    <xf numFmtId="0" fontId="13" fillId="0" borderId="0" xfId="0" applyFont="1"/>
    <xf numFmtId="0" fontId="4" fillId="0" borderId="5" xfId="0" applyFont="1" applyBorder="1"/>
    <xf numFmtId="0" fontId="4" fillId="0" borderId="8" xfId="0" applyFont="1" applyBorder="1"/>
    <xf numFmtId="0" fontId="15" fillId="0" borderId="0" xfId="0" applyFont="1" applyFill="1"/>
    <xf numFmtId="0" fontId="15" fillId="2" borderId="0" xfId="0" applyFont="1" applyFill="1"/>
    <xf numFmtId="0" fontId="4" fillId="0" borderId="0" xfId="0" applyFont="1" applyAlignment="1">
      <alignment horizontal="right"/>
    </xf>
    <xf numFmtId="0" fontId="4" fillId="0" borderId="0" xfId="0" applyFont="1" applyAlignment="1">
      <alignment horizontal="left"/>
    </xf>
    <xf numFmtId="6" fontId="10" fillId="0" borderId="1" xfId="3" applyNumberFormat="1" applyFont="1" applyBorder="1" applyAlignment="1">
      <alignment vertical="center"/>
    </xf>
    <xf numFmtId="6" fontId="10" fillId="0" borderId="0" xfId="3" applyNumberFormat="1" applyFont="1" applyBorder="1" applyAlignment="1"/>
    <xf numFmtId="5" fontId="10" fillId="0" borderId="1" xfId="3" applyNumberFormat="1" applyFont="1" applyBorder="1" applyAlignment="1"/>
    <xf numFmtId="5" fontId="11" fillId="0" borderId="11" xfId="3" applyNumberFormat="1" applyFont="1" applyBorder="1" applyAlignment="1"/>
    <xf numFmtId="5" fontId="13" fillId="0" borderId="12" xfId="3" applyNumberFormat="1" applyFont="1" applyBorder="1" applyAlignment="1"/>
    <xf numFmtId="0" fontId="0" fillId="0" borderId="0" xfId="0" applyAlignment="1"/>
    <xf numFmtId="0" fontId="4" fillId="0" borderId="0" xfId="0" applyFont="1" applyAlignment="1">
      <alignment vertical="center"/>
    </xf>
    <xf numFmtId="0" fontId="4" fillId="0" borderId="1" xfId="0" applyFont="1" applyBorder="1" applyAlignment="1">
      <alignment vertical="center" wrapText="1"/>
    </xf>
    <xf numFmtId="9" fontId="4" fillId="0" borderId="1" xfId="0" applyNumberFormat="1" applyFont="1" applyBorder="1" applyAlignment="1">
      <alignment vertical="center" wrapText="1"/>
    </xf>
    <xf numFmtId="0" fontId="26" fillId="0" borderId="0" xfId="0" applyFont="1"/>
    <xf numFmtId="0" fontId="27" fillId="0" borderId="0" xfId="0" applyFont="1"/>
    <xf numFmtId="0" fontId="15" fillId="2" borderId="0" xfId="0" applyFont="1" applyFill="1" applyAlignment="1">
      <alignment wrapText="1"/>
    </xf>
    <xf numFmtId="9" fontId="4" fillId="0" borderId="1" xfId="0" applyNumberFormat="1" applyFont="1" applyBorder="1" applyAlignment="1">
      <alignment vertical="center"/>
    </xf>
    <xf numFmtId="0" fontId="15" fillId="0" borderId="0" xfId="0" applyFont="1" applyFill="1" applyAlignment="1">
      <alignment horizontal="left"/>
    </xf>
    <xf numFmtId="0" fontId="0" fillId="0" borderId="0" xfId="0"/>
    <xf numFmtId="0" fontId="17" fillId="0" borderId="0" xfId="0" applyFont="1"/>
    <xf numFmtId="0" fontId="4" fillId="0" borderId="1" xfId="0" applyFont="1" applyBorder="1" applyAlignment="1">
      <alignment horizontal="center" vertical="center"/>
    </xf>
    <xf numFmtId="0" fontId="10" fillId="0" borderId="2" xfId="0" applyFont="1" applyBorder="1"/>
    <xf numFmtId="0" fontId="10" fillId="0" borderId="3" xfId="0" applyFont="1" applyBorder="1"/>
    <xf numFmtId="0" fontId="10" fillId="0" borderId="4" xfId="0" applyFont="1" applyBorder="1"/>
    <xf numFmtId="0" fontId="10" fillId="0" borderId="5" xfId="0" applyFont="1" applyBorder="1"/>
    <xf numFmtId="0" fontId="10" fillId="0" borderId="6" xfId="0" applyFont="1" applyBorder="1"/>
    <xf numFmtId="0" fontId="10" fillId="0" borderId="9" xfId="0" applyFont="1" applyBorder="1"/>
    <xf numFmtId="0" fontId="10" fillId="0" borderId="10" xfId="0" applyFont="1" applyBorder="1"/>
    <xf numFmtId="0" fontId="0" fillId="0" borderId="1" xfId="0" applyBorder="1" applyAlignment="1">
      <alignment vertical="center"/>
    </xf>
    <xf numFmtId="177" fontId="4" fillId="0" borderId="0" xfId="0" applyNumberFormat="1" applyFont="1" applyAlignment="1">
      <alignment horizontal="right" vertical="top"/>
    </xf>
    <xf numFmtId="0" fontId="0" fillId="5" borderId="11" xfId="0" applyFill="1" applyBorder="1" applyAlignment="1">
      <alignment vertical="center"/>
    </xf>
    <xf numFmtId="0" fontId="0" fillId="0" borderId="0" xfId="0" applyBorder="1"/>
    <xf numFmtId="0" fontId="0" fillId="0" borderId="10" xfId="0" applyBorder="1"/>
    <xf numFmtId="0" fontId="0" fillId="0" borderId="13" xfId="0" applyBorder="1"/>
    <xf numFmtId="0" fontId="0" fillId="0" borderId="8" xfId="0" applyBorder="1"/>
    <xf numFmtId="0" fontId="0" fillId="0" borderId="12" xfId="0" applyBorder="1" applyAlignment="1">
      <alignment vertical="center"/>
    </xf>
    <xf numFmtId="0" fontId="0" fillId="0" borderId="1" xfId="0" applyBorder="1"/>
    <xf numFmtId="0" fontId="0" fillId="0" borderId="11" xfId="0" applyBorder="1"/>
    <xf numFmtId="0" fontId="0" fillId="0" borderId="12" xfId="0" applyBorder="1"/>
    <xf numFmtId="0" fontId="0" fillId="0" borderId="4" xfId="0" applyBorder="1"/>
    <xf numFmtId="0" fontId="0" fillId="0" borderId="14" xfId="0" applyBorder="1"/>
    <xf numFmtId="0" fontId="0" fillId="0" borderId="2" xfId="0" applyBorder="1"/>
    <xf numFmtId="0" fontId="0" fillId="6" borderId="1" xfId="0" applyFill="1" applyBorder="1"/>
    <xf numFmtId="0" fontId="0" fillId="6" borderId="14" xfId="0" applyFill="1" applyBorder="1"/>
    <xf numFmtId="9" fontId="0" fillId="0" borderId="1" xfId="4" applyFont="1" applyBorder="1" applyAlignment="1"/>
    <xf numFmtId="38" fontId="0" fillId="6" borderId="1" xfId="3" applyFont="1" applyFill="1" applyBorder="1" applyAlignment="1"/>
    <xf numFmtId="38" fontId="0" fillId="0" borderId="1" xfId="3" applyFont="1" applyBorder="1" applyAlignment="1"/>
    <xf numFmtId="38" fontId="0" fillId="0" borderId="14" xfId="3" applyFont="1" applyBorder="1" applyAlignment="1"/>
    <xf numFmtId="9" fontId="4" fillId="0" borderId="1" xfId="4" applyNumberFormat="1" applyFont="1" applyBorder="1" applyAlignment="1">
      <alignment horizontal="center" vertical="center"/>
    </xf>
    <xf numFmtId="0" fontId="16" fillId="0" borderId="0" xfId="0" applyFont="1" applyBorder="1" applyAlignment="1">
      <alignment horizontal="center"/>
    </xf>
    <xf numFmtId="38" fontId="0" fillId="0" borderId="1" xfId="3" applyFont="1" applyFill="1" applyBorder="1" applyAlignment="1"/>
    <xf numFmtId="0" fontId="0" fillId="0" borderId="1" xfId="0" applyFill="1" applyBorder="1"/>
    <xf numFmtId="0" fontId="17" fillId="0" borderId="1" xfId="0" applyFont="1" applyBorder="1"/>
    <xf numFmtId="0" fontId="17" fillId="6" borderId="1" xfId="0" applyFont="1" applyFill="1" applyBorder="1"/>
    <xf numFmtId="177" fontId="17" fillId="6" borderId="1" xfId="0" applyNumberFormat="1" applyFont="1" applyFill="1" applyBorder="1"/>
    <xf numFmtId="0" fontId="16" fillId="0" borderId="0" xfId="0" applyFont="1"/>
    <xf numFmtId="0" fontId="17" fillId="0" borderId="15" xfId="0" applyFont="1" applyBorder="1"/>
    <xf numFmtId="0" fontId="17" fillId="0" borderId="16" xfId="0" applyFont="1" applyBorder="1"/>
    <xf numFmtId="0" fontId="17" fillId="0" borderId="16" xfId="0" quotePrefix="1" applyFont="1" applyBorder="1"/>
    <xf numFmtId="0" fontId="17" fillId="0" borderId="17" xfId="0" applyFont="1" applyBorder="1"/>
    <xf numFmtId="0" fontId="17" fillId="3" borderId="16" xfId="0" applyFont="1" applyFill="1" applyBorder="1"/>
    <xf numFmtId="38" fontId="17" fillId="6" borderId="1" xfId="3" applyFont="1" applyFill="1" applyBorder="1" applyAlignment="1"/>
    <xf numFmtId="9" fontId="17" fillId="6" borderId="1" xfId="4" applyFont="1" applyFill="1" applyBorder="1" applyAlignment="1"/>
    <xf numFmtId="0" fontId="4" fillId="6" borderId="0" xfId="0" applyFont="1" applyFill="1"/>
    <xf numFmtId="0" fontId="4" fillId="6" borderId="1" xfId="0" applyFont="1" applyFill="1" applyBorder="1" applyAlignment="1">
      <alignment horizontal="center"/>
    </xf>
    <xf numFmtId="9" fontId="4" fillId="6" borderId="0" xfId="0" applyNumberFormat="1" applyFont="1" applyFill="1" applyAlignment="1">
      <alignment horizontal="right"/>
    </xf>
    <xf numFmtId="0" fontId="32" fillId="6" borderId="0" xfId="0" applyFont="1" applyFill="1" applyAlignment="1">
      <alignment horizontal="right"/>
    </xf>
    <xf numFmtId="5" fontId="4" fillId="6" borderId="1" xfId="3" applyNumberFormat="1" applyFont="1" applyFill="1" applyBorder="1" applyAlignment="1"/>
    <xf numFmtId="0" fontId="4" fillId="6" borderId="0" xfId="0" applyFont="1" applyFill="1" applyAlignment="1">
      <alignment horizontal="right"/>
    </xf>
    <xf numFmtId="5" fontId="32" fillId="6" borderId="11" xfId="1" applyNumberFormat="1" applyFont="1" applyFill="1" applyBorder="1" applyAlignment="1"/>
    <xf numFmtId="5" fontId="4" fillId="6" borderId="12" xfId="1" applyNumberFormat="1" applyFont="1" applyFill="1" applyBorder="1" applyAlignment="1"/>
    <xf numFmtId="0" fontId="0" fillId="0" borderId="18" xfId="0" applyBorder="1"/>
    <xf numFmtId="0" fontId="0" fillId="0" borderId="19" xfId="0" applyBorder="1"/>
    <xf numFmtId="0" fontId="0" fillId="0" borderId="20" xfId="0" applyBorder="1"/>
    <xf numFmtId="0" fontId="0" fillId="6" borderId="22" xfId="0" applyFill="1" applyBorder="1"/>
    <xf numFmtId="38" fontId="0" fillId="6" borderId="22" xfId="3" applyFont="1" applyFill="1" applyBorder="1" applyAlignment="1"/>
    <xf numFmtId="38" fontId="0" fillId="0" borderId="22" xfId="3" applyFont="1" applyFill="1" applyBorder="1" applyAlignment="1"/>
    <xf numFmtId="0" fontId="0" fillId="6" borderId="19" xfId="0" applyFill="1" applyBorder="1"/>
    <xf numFmtId="9" fontId="0" fillId="0" borderId="20" xfId="4" applyFont="1" applyBorder="1" applyAlignment="1"/>
    <xf numFmtId="0" fontId="0" fillId="6" borderId="21" xfId="0" applyFill="1" applyBorder="1"/>
    <xf numFmtId="0" fontId="0" fillId="0" borderId="22" xfId="0" applyBorder="1"/>
    <xf numFmtId="38" fontId="0" fillId="0" borderId="22" xfId="3" applyFont="1" applyBorder="1" applyAlignment="1"/>
    <xf numFmtId="9" fontId="0" fillId="0" borderId="23" xfId="4" applyFont="1" applyBorder="1" applyAlignment="1"/>
    <xf numFmtId="0" fontId="0" fillId="6" borderId="11" xfId="0" applyFill="1" applyBorder="1"/>
    <xf numFmtId="0" fontId="0" fillId="6" borderId="2" xfId="0" applyFill="1" applyBorder="1"/>
    <xf numFmtId="9" fontId="0" fillId="0" borderId="19" xfId="4" applyFont="1" applyFill="1" applyBorder="1" applyAlignment="1"/>
    <xf numFmtId="9" fontId="0" fillId="0" borderId="21" xfId="4" applyFont="1" applyFill="1" applyBorder="1" applyAlignment="1"/>
    <xf numFmtId="0" fontId="5" fillId="0" borderId="0" xfId="0" applyFont="1" applyBorder="1" applyAlignment="1">
      <alignment horizontal="right"/>
    </xf>
    <xf numFmtId="0" fontId="26" fillId="0" borderId="0" xfId="0" applyFont="1" applyAlignment="1">
      <alignment horizontal="right"/>
    </xf>
    <xf numFmtId="0" fontId="4" fillId="0" borderId="0" xfId="0" applyFont="1" applyBorder="1"/>
    <xf numFmtId="0" fontId="4" fillId="0" borderId="0" xfId="0" applyFont="1" applyBorder="1" applyAlignment="1">
      <alignment horizontal="right"/>
    </xf>
    <xf numFmtId="0" fontId="18" fillId="0" borderId="0" xfId="0" applyFont="1" applyBorder="1" applyAlignment="1"/>
    <xf numFmtId="0" fontId="16" fillId="0" borderId="0" xfId="0" applyFont="1" applyBorder="1" applyAlignment="1"/>
    <xf numFmtId="0" fontId="18" fillId="0" borderId="10" xfId="0" applyFont="1" applyFill="1" applyBorder="1" applyAlignment="1">
      <alignment horizontal="center" vertical="center"/>
    </xf>
    <xf numFmtId="0" fontId="18" fillId="0" borderId="13" xfId="0" applyFont="1" applyFill="1" applyBorder="1" applyAlignment="1">
      <alignment horizontal="center" vertical="center"/>
    </xf>
    <xf numFmtId="0" fontId="18" fillId="0" borderId="13"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19" fillId="6" borderId="1" xfId="0" applyFont="1" applyFill="1" applyBorder="1" applyAlignment="1">
      <alignment wrapText="1"/>
    </xf>
    <xf numFmtId="0" fontId="17" fillId="0" borderId="1" xfId="0" applyFont="1" applyBorder="1" applyAlignment="1">
      <alignment wrapText="1"/>
    </xf>
    <xf numFmtId="176" fontId="17" fillId="0" borderId="1" xfId="0" applyNumberFormat="1" applyFont="1" applyBorder="1"/>
    <xf numFmtId="178" fontId="17" fillId="0" borderId="1" xfId="4" applyNumberFormat="1" applyFont="1" applyBorder="1" applyAlignment="1">
      <alignment wrapText="1"/>
    </xf>
    <xf numFmtId="9" fontId="17" fillId="0" borderId="1" xfId="4" applyNumberFormat="1" applyFont="1" applyBorder="1" applyAlignment="1"/>
    <xf numFmtId="176" fontId="17" fillId="0" borderId="1" xfId="4" applyNumberFormat="1" applyFont="1" applyBorder="1" applyAlignment="1"/>
    <xf numFmtId="176" fontId="17" fillId="0" borderId="1" xfId="0" applyNumberFormat="1" applyFont="1" applyBorder="1" applyAlignment="1">
      <alignment wrapText="1"/>
    </xf>
    <xf numFmtId="9" fontId="17" fillId="0" borderId="1" xfId="0" applyNumberFormat="1" applyFont="1" applyBorder="1"/>
    <xf numFmtId="176" fontId="17" fillId="0" borderId="1" xfId="0" applyNumberFormat="1" applyFont="1" applyBorder="1" applyAlignment="1">
      <alignment horizontal="center"/>
    </xf>
    <xf numFmtId="0" fontId="17" fillId="0" borderId="11" xfId="0" applyFont="1" applyBorder="1"/>
    <xf numFmtId="0" fontId="17" fillId="0" borderId="12" xfId="0" applyFont="1" applyBorder="1"/>
    <xf numFmtId="0" fontId="19" fillId="6" borderId="1" xfId="0" applyFont="1" applyFill="1" applyBorder="1"/>
    <xf numFmtId="0" fontId="17" fillId="0" borderId="11" xfId="0" applyFont="1" applyBorder="1" applyAlignment="1"/>
    <xf numFmtId="0" fontId="17" fillId="0" borderId="1" xfId="0" applyFont="1" applyBorder="1" applyAlignment="1"/>
    <xf numFmtId="0" fontId="30" fillId="0" borderId="1" xfId="0" applyFont="1" applyBorder="1"/>
    <xf numFmtId="0" fontId="17" fillId="3" borderId="1" xfId="0" applyFont="1" applyFill="1" applyBorder="1"/>
    <xf numFmtId="0" fontId="23" fillId="0" borderId="1" xfId="0" applyFont="1" applyBorder="1"/>
    <xf numFmtId="176" fontId="17" fillId="0" borderId="1" xfId="0" quotePrefix="1" applyNumberFormat="1" applyFont="1" applyBorder="1" applyAlignment="1">
      <alignment horizontal="center"/>
    </xf>
    <xf numFmtId="0" fontId="23" fillId="0" borderId="11" xfId="0" applyFont="1" applyBorder="1" applyAlignment="1">
      <alignment horizontal="left" vertical="center"/>
    </xf>
    <xf numFmtId="0" fontId="23" fillId="0" borderId="11" xfId="0" applyFont="1" applyBorder="1"/>
    <xf numFmtId="176" fontId="17" fillId="0" borderId="1" xfId="5" applyNumberFormat="1" applyFont="1" applyBorder="1" applyAlignment="1"/>
    <xf numFmtId="0" fontId="19" fillId="0" borderId="1" xfId="0" applyFont="1" applyBorder="1" applyAlignment="1">
      <alignment vertical="center"/>
    </xf>
    <xf numFmtId="176" fontId="17" fillId="0" borderId="1" xfId="10" applyNumberFormat="1" applyFont="1" applyBorder="1" applyAlignment="1"/>
    <xf numFmtId="178" fontId="17" fillId="0" borderId="1" xfId="7" applyNumberFormat="1" applyFont="1" applyBorder="1" applyAlignment="1">
      <alignment wrapText="1"/>
    </xf>
    <xf numFmtId="9" fontId="17" fillId="0" borderId="1" xfId="7" applyFont="1" applyBorder="1" applyAlignment="1"/>
    <xf numFmtId="56" fontId="17" fillId="0" borderId="1" xfId="0" applyNumberFormat="1" applyFont="1" applyBorder="1"/>
    <xf numFmtId="0" fontId="19" fillId="2" borderId="1" xfId="0" applyFont="1" applyFill="1" applyBorder="1"/>
    <xf numFmtId="0" fontId="17" fillId="0" borderId="14" xfId="0" applyFont="1" applyBorder="1"/>
    <xf numFmtId="176" fontId="17" fillId="0" borderId="14" xfId="0" applyNumberFormat="1" applyFont="1" applyBorder="1"/>
    <xf numFmtId="178" fontId="17" fillId="0" borderId="14" xfId="4" applyNumberFormat="1" applyFont="1" applyBorder="1" applyAlignment="1">
      <alignment wrapText="1"/>
    </xf>
    <xf numFmtId="9" fontId="17" fillId="0" borderId="14" xfId="4" applyNumberFormat="1" applyFont="1" applyBorder="1" applyAlignment="1"/>
    <xf numFmtId="9" fontId="17" fillId="0" borderId="14" xfId="0" applyNumberFormat="1" applyFont="1" applyBorder="1"/>
    <xf numFmtId="0" fontId="19" fillId="2" borderId="14" xfId="0" applyFont="1" applyFill="1" applyBorder="1"/>
    <xf numFmtId="0" fontId="17" fillId="0" borderId="2" xfId="0" applyFont="1" applyBorder="1"/>
    <xf numFmtId="0" fontId="17" fillId="0" borderId="12" xfId="0" applyFont="1" applyFill="1" applyBorder="1"/>
    <xf numFmtId="0" fontId="17" fillId="0" borderId="1" xfId="0" applyFont="1" applyFill="1" applyBorder="1"/>
    <xf numFmtId="0" fontId="23" fillId="0" borderId="1" xfId="0" applyFont="1" applyFill="1" applyBorder="1"/>
    <xf numFmtId="0" fontId="23" fillId="0" borderId="12" xfId="0" applyFont="1" applyFill="1" applyBorder="1"/>
    <xf numFmtId="0" fontId="17" fillId="0" borderId="1" xfId="0" applyFont="1" applyFill="1" applyBorder="1" applyAlignment="1">
      <alignment vertical="center"/>
    </xf>
    <xf numFmtId="0" fontId="0" fillId="0" borderId="1" xfId="0" applyFill="1" applyBorder="1" applyAlignment="1">
      <alignment vertical="center"/>
    </xf>
    <xf numFmtId="0" fontId="17" fillId="0" borderId="4" xfId="0" applyFont="1" applyFill="1" applyBorder="1"/>
    <xf numFmtId="0" fontId="17" fillId="0" borderId="14" xfId="0" applyFont="1" applyFill="1" applyBorder="1"/>
    <xf numFmtId="0" fontId="37" fillId="0" borderId="14" xfId="0" applyFont="1" applyBorder="1" applyAlignment="1">
      <alignment horizontal="center" vertical="center" wrapText="1"/>
    </xf>
    <xf numFmtId="0" fontId="37" fillId="0" borderId="1" xfId="0" applyFont="1" applyBorder="1" applyAlignment="1">
      <alignment vertical="center"/>
    </xf>
    <xf numFmtId="0" fontId="37" fillId="0" borderId="1" xfId="0" applyFont="1" applyBorder="1" applyAlignment="1">
      <alignment horizontal="left" vertical="center"/>
    </xf>
    <xf numFmtId="0" fontId="37" fillId="0" borderId="1" xfId="0" applyFont="1" applyBorder="1" applyAlignment="1">
      <alignment horizontal="center" vertical="center"/>
    </xf>
    <xf numFmtId="0" fontId="37" fillId="0" borderId="14" xfId="0" applyFont="1" applyBorder="1" applyAlignment="1">
      <alignment horizontal="center" vertical="center"/>
    </xf>
    <xf numFmtId="56" fontId="0" fillId="0" borderId="1" xfId="5" applyNumberFormat="1" applyFont="1" applyBorder="1" applyAlignment="1"/>
    <xf numFmtId="56" fontId="17" fillId="0" borderId="14" xfId="0" applyNumberFormat="1" applyFont="1" applyBorder="1"/>
    <xf numFmtId="0" fontId="38" fillId="0" borderId="13" xfId="0" applyFont="1" applyFill="1" applyBorder="1" applyAlignment="1">
      <alignment horizontal="center" vertical="center" wrapText="1"/>
    </xf>
    <xf numFmtId="38" fontId="0" fillId="0" borderId="0" xfId="3" applyFont="1" applyAlignment="1"/>
    <xf numFmtId="14" fontId="0" fillId="0" borderId="1" xfId="0" applyNumberFormat="1" applyBorder="1"/>
    <xf numFmtId="9" fontId="0" fillId="0" borderId="1" xfId="0" applyNumberFormat="1" applyBorder="1"/>
    <xf numFmtId="0" fontId="39" fillId="0" borderId="5" xfId="0" applyFont="1" applyBorder="1" applyAlignment="1"/>
    <xf numFmtId="0" fontId="28" fillId="0" borderId="5" xfId="0" applyFont="1" applyBorder="1"/>
    <xf numFmtId="0" fontId="10" fillId="0" borderId="0" xfId="0" applyFont="1" applyBorder="1"/>
    <xf numFmtId="0" fontId="39" fillId="0" borderId="8" xfId="0" applyFont="1" applyFill="1" applyBorder="1" applyAlignment="1"/>
    <xf numFmtId="9" fontId="0" fillId="6" borderId="11" xfId="4" applyFont="1" applyFill="1" applyBorder="1" applyAlignment="1"/>
    <xf numFmtId="9" fontId="0" fillId="6" borderId="26" xfId="4" applyFont="1" applyFill="1" applyBorder="1" applyAlignment="1"/>
    <xf numFmtId="9" fontId="0" fillId="0" borderId="22" xfId="4" applyFont="1" applyBorder="1" applyAlignment="1"/>
    <xf numFmtId="6" fontId="4" fillId="0" borderId="1" xfId="0" applyNumberFormat="1" applyFont="1" applyBorder="1" applyAlignment="1">
      <alignment vertical="center"/>
    </xf>
    <xf numFmtId="6" fontId="4" fillId="0" borderId="1" xfId="0" applyNumberFormat="1" applyFont="1" applyBorder="1" applyAlignment="1">
      <alignment vertical="center" wrapText="1"/>
    </xf>
    <xf numFmtId="38" fontId="4" fillId="0" borderId="1" xfId="0" applyNumberFormat="1" applyFont="1" applyBorder="1" applyAlignment="1">
      <alignment vertical="center"/>
    </xf>
    <xf numFmtId="38" fontId="4" fillId="0" borderId="1" xfId="0" applyNumberFormat="1" applyFont="1" applyBorder="1" applyAlignment="1">
      <alignment vertical="center" wrapText="1"/>
    </xf>
    <xf numFmtId="6" fontId="4" fillId="0" borderId="1" xfId="3" applyNumberFormat="1" applyFont="1" applyBorder="1" applyAlignment="1">
      <alignment vertical="center"/>
    </xf>
    <xf numFmtId="6" fontId="4" fillId="0" borderId="1" xfId="3" applyNumberFormat="1" applyFont="1" applyBorder="1" applyAlignment="1">
      <alignment horizontal="center" vertical="center"/>
    </xf>
    <xf numFmtId="0" fontId="0" fillId="0" borderId="10" xfId="0" applyBorder="1" applyAlignment="1">
      <alignment wrapText="1"/>
    </xf>
    <xf numFmtId="0" fontId="0" fillId="0" borderId="13" xfId="0" applyBorder="1" applyAlignment="1">
      <alignment wrapText="1"/>
    </xf>
    <xf numFmtId="179" fontId="0" fillId="0" borderId="13" xfId="0" applyNumberFormat="1" applyBorder="1" applyAlignment="1">
      <alignment wrapText="1"/>
    </xf>
    <xf numFmtId="0" fontId="0" fillId="0" borderId="8" xfId="0" applyBorder="1" applyAlignment="1">
      <alignment wrapText="1"/>
    </xf>
    <xf numFmtId="0" fontId="5" fillId="0" borderId="1" xfId="0" applyFont="1" applyFill="1" applyBorder="1" applyAlignment="1">
      <alignment horizontal="center" vertical="center"/>
    </xf>
    <xf numFmtId="0" fontId="6" fillId="8"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10" borderId="1" xfId="0" applyFont="1" applyFill="1" applyBorder="1" applyAlignment="1">
      <alignment horizontal="center" vertical="center"/>
    </xf>
    <xf numFmtId="0" fontId="0" fillId="0" borderId="0" xfId="0" applyAlignment="1">
      <alignment vertical="center"/>
    </xf>
    <xf numFmtId="0" fontId="0" fillId="0" borderId="0" xfId="0" applyFill="1" applyBorder="1"/>
    <xf numFmtId="0" fontId="0" fillId="0" borderId="30" xfId="0" applyFill="1" applyBorder="1"/>
    <xf numFmtId="0" fontId="0" fillId="0" borderId="1" xfId="0" applyNumberFormat="1" applyBorder="1"/>
    <xf numFmtId="0" fontId="0" fillId="0" borderId="14" xfId="0" applyNumberFormat="1" applyBorder="1"/>
    <xf numFmtId="0" fontId="0" fillId="0" borderId="0" xfId="0" quotePrefix="1"/>
    <xf numFmtId="0" fontId="0" fillId="0" borderId="12" xfId="0" applyNumberFormat="1" applyBorder="1"/>
    <xf numFmtId="0" fontId="0" fillId="0" borderId="4" xfId="0" applyNumberFormat="1" applyBorder="1"/>
    <xf numFmtId="180" fontId="0" fillId="0" borderId="1" xfId="0" applyNumberFormat="1" applyBorder="1"/>
    <xf numFmtId="180" fontId="0" fillId="0" borderId="1" xfId="0" applyNumberFormat="1" applyBorder="1" applyAlignment="1">
      <alignment vertical="center" wrapText="1"/>
    </xf>
    <xf numFmtId="180" fontId="0" fillId="0" borderId="0" xfId="0" applyNumberFormat="1"/>
    <xf numFmtId="180" fontId="0" fillId="0" borderId="14" xfId="0" applyNumberFormat="1" applyBorder="1"/>
    <xf numFmtId="176" fontId="0" fillId="0" borderId="1" xfId="0" applyNumberFormat="1" applyBorder="1"/>
    <xf numFmtId="0" fontId="0" fillId="0" borderId="14" xfId="0" applyFill="1" applyBorder="1"/>
    <xf numFmtId="180" fontId="0" fillId="0" borderId="14" xfId="0" applyNumberFormat="1" applyBorder="1" applyAlignment="1">
      <alignment vertical="center" wrapText="1"/>
    </xf>
    <xf numFmtId="181" fontId="0" fillId="0" borderId="1" xfId="0" applyNumberFormat="1" applyBorder="1" applyAlignment="1">
      <alignment horizontal="center"/>
    </xf>
    <xf numFmtId="0" fontId="0" fillId="0" borderId="1" xfId="0" applyBorder="1" applyAlignment="1">
      <alignment horizontal="center"/>
    </xf>
    <xf numFmtId="0" fontId="14" fillId="0" borderId="1" xfId="0" applyFont="1" applyFill="1" applyBorder="1" applyAlignment="1">
      <alignment horizontal="center" vertical="center"/>
    </xf>
    <xf numFmtId="0" fontId="25" fillId="0" borderId="1" xfId="0" applyFont="1" applyBorder="1"/>
    <xf numFmtId="0" fontId="0" fillId="4" borderId="1" xfId="0" applyFill="1" applyBorder="1"/>
    <xf numFmtId="176" fontId="17" fillId="0" borderId="14" xfId="0" applyNumberFormat="1" applyFont="1" applyBorder="1" applyAlignment="1">
      <alignment horizontal="center"/>
    </xf>
    <xf numFmtId="38" fontId="0" fillId="0" borderId="31" xfId="3" applyFont="1" applyBorder="1" applyAlignment="1"/>
    <xf numFmtId="38" fontId="0" fillId="0" borderId="20" xfId="3" applyFont="1" applyBorder="1" applyAlignment="1"/>
    <xf numFmtId="38" fontId="0" fillId="0" borderId="32" xfId="3" applyFont="1" applyBorder="1" applyAlignment="1"/>
    <xf numFmtId="0" fontId="43" fillId="0" borderId="10" xfId="0" applyFont="1" applyFill="1" applyBorder="1" applyAlignment="1">
      <alignment horizontal="center" vertical="center" wrapText="1"/>
    </xf>
    <xf numFmtId="0" fontId="43" fillId="0" borderId="13" xfId="0" applyFont="1" applyFill="1" applyBorder="1" applyAlignment="1">
      <alignment horizontal="center" vertical="center" wrapText="1"/>
    </xf>
    <xf numFmtId="0" fontId="43" fillId="0" borderId="8" xfId="0" applyFont="1" applyFill="1" applyBorder="1" applyAlignment="1">
      <alignment horizontal="center" vertical="center" wrapText="1"/>
    </xf>
    <xf numFmtId="0" fontId="42" fillId="0" borderId="12" xfId="0" applyFont="1" applyFill="1" applyBorder="1" applyAlignment="1">
      <alignment horizontal="center" vertical="center" wrapText="1"/>
    </xf>
    <xf numFmtId="0" fontId="42" fillId="0" borderId="1" xfId="0" applyFont="1" applyFill="1" applyBorder="1" applyAlignment="1">
      <alignment vertical="center" wrapText="1"/>
    </xf>
    <xf numFmtId="0" fontId="42" fillId="0" borderId="1" xfId="0" applyFont="1" applyFill="1" applyBorder="1" applyAlignment="1">
      <alignment horizontal="center" vertical="center" wrapText="1"/>
    </xf>
    <xf numFmtId="0" fontId="42" fillId="0" borderId="11" xfId="0" applyFont="1" applyFill="1" applyBorder="1" applyAlignment="1">
      <alignment vertical="center" wrapText="1"/>
    </xf>
    <xf numFmtId="0" fontId="42" fillId="0" borderId="4" xfId="0" applyFont="1" applyFill="1" applyBorder="1" applyAlignment="1">
      <alignment horizontal="center" vertical="center" wrapText="1"/>
    </xf>
    <xf numFmtId="0" fontId="42" fillId="0" borderId="14" xfId="0" applyFont="1" applyFill="1" applyBorder="1" applyAlignment="1">
      <alignment vertical="center" wrapText="1"/>
    </xf>
    <xf numFmtId="0" fontId="42" fillId="0" borderId="14" xfId="0" applyFont="1" applyFill="1" applyBorder="1" applyAlignment="1">
      <alignment horizontal="center" vertical="center" wrapText="1"/>
    </xf>
    <xf numFmtId="0" fontId="42" fillId="0" borderId="2" xfId="0" applyFont="1" applyFill="1" applyBorder="1" applyAlignment="1">
      <alignment vertical="center" wrapText="1"/>
    </xf>
    <xf numFmtId="0" fontId="44" fillId="0" borderId="12" xfId="0" applyFont="1" applyFill="1" applyBorder="1"/>
    <xf numFmtId="0" fontId="44" fillId="0" borderId="1" xfId="0" applyFont="1" applyFill="1" applyBorder="1"/>
    <xf numFmtId="0" fontId="44" fillId="0" borderId="1" xfId="0" applyNumberFormat="1" applyFont="1" applyFill="1" applyBorder="1"/>
    <xf numFmtId="0" fontId="44" fillId="0" borderId="11" xfId="0" applyFont="1" applyFill="1" applyBorder="1"/>
    <xf numFmtId="0" fontId="44" fillId="0" borderId="4" xfId="0" applyFont="1" applyFill="1" applyBorder="1"/>
    <xf numFmtId="0" fontId="44" fillId="0" borderId="14" xfId="0" applyFont="1" applyFill="1" applyBorder="1"/>
    <xf numFmtId="0" fontId="44" fillId="0" borderId="14" xfId="0" applyNumberFormat="1" applyFont="1" applyFill="1" applyBorder="1"/>
    <xf numFmtId="0" fontId="44" fillId="0" borderId="2" xfId="0" applyFont="1" applyFill="1" applyBorder="1"/>
    <xf numFmtId="9" fontId="0" fillId="6" borderId="11" xfId="0" applyNumberFormat="1" applyFill="1" applyBorder="1"/>
    <xf numFmtId="9" fontId="0" fillId="6" borderId="26" xfId="0" applyNumberFormat="1" applyFill="1" applyBorder="1"/>
    <xf numFmtId="0" fontId="0" fillId="0" borderId="0" xfId="0" pivotButton="1"/>
    <xf numFmtId="0" fontId="0" fillId="0" borderId="0" xfId="0" applyAlignment="1">
      <alignment horizontal="left"/>
    </xf>
    <xf numFmtId="182" fontId="0" fillId="0" borderId="31" xfId="4" applyNumberFormat="1" applyFont="1" applyBorder="1" applyAlignment="1"/>
    <xf numFmtId="182" fontId="0" fillId="0" borderId="20" xfId="4" applyNumberFormat="1" applyFont="1" applyBorder="1" applyAlignment="1"/>
    <xf numFmtId="182" fontId="0" fillId="0" borderId="32" xfId="4" applyNumberFormat="1" applyFont="1" applyBorder="1" applyAlignment="1"/>
    <xf numFmtId="176" fontId="0" fillId="0" borderId="31" xfId="4" applyNumberFormat="1" applyFont="1" applyBorder="1" applyAlignment="1"/>
    <xf numFmtId="176" fontId="0" fillId="0" borderId="20" xfId="4" applyNumberFormat="1" applyFont="1" applyBorder="1" applyAlignment="1"/>
    <xf numFmtId="176" fontId="0" fillId="0" borderId="32" xfId="4" applyNumberFormat="1" applyFont="1" applyBorder="1" applyAlignment="1"/>
    <xf numFmtId="38" fontId="0" fillId="0" borderId="0" xfId="0" applyNumberFormat="1"/>
    <xf numFmtId="180" fontId="0" fillId="0" borderId="1" xfId="0" applyNumberFormat="1" applyBorder="1" applyAlignment="1">
      <alignment vertical="center"/>
    </xf>
    <xf numFmtId="38" fontId="0" fillId="0" borderId="33" xfId="3" applyFont="1" applyBorder="1" applyAlignment="1"/>
    <xf numFmtId="38" fontId="0" fillId="0" borderId="34" xfId="3" applyFont="1" applyBorder="1" applyAlignment="1"/>
    <xf numFmtId="38" fontId="0" fillId="0" borderId="35" xfId="3" applyFont="1" applyBorder="1" applyAlignment="1"/>
    <xf numFmtId="6" fontId="13" fillId="0" borderId="1" xfId="3" applyNumberFormat="1" applyFont="1" applyBorder="1" applyAlignment="1">
      <alignment vertical="center"/>
    </xf>
    <xf numFmtId="38" fontId="0" fillId="0" borderId="1" xfId="6" applyFont="1" applyBorder="1" applyAlignment="1"/>
    <xf numFmtId="9" fontId="0" fillId="0" borderId="19" xfId="7" applyFont="1" applyBorder="1" applyAlignment="1"/>
    <xf numFmtId="9" fontId="0" fillId="0" borderId="1" xfId="7" applyFont="1" applyBorder="1" applyAlignment="1"/>
    <xf numFmtId="9" fontId="0" fillId="0" borderId="20" xfId="7" applyFont="1" applyBorder="1" applyAlignment="1"/>
    <xf numFmtId="0" fontId="19" fillId="0" borderId="1" xfId="0" applyFont="1" applyBorder="1"/>
    <xf numFmtId="0" fontId="16" fillId="0" borderId="0" xfId="0" applyFont="1" applyBorder="1" applyAlignment="1">
      <alignment horizontal="center"/>
    </xf>
    <xf numFmtId="0" fontId="16" fillId="0" borderId="24" xfId="0" applyFont="1" applyBorder="1" applyAlignment="1">
      <alignment horizontal="center"/>
    </xf>
    <xf numFmtId="0" fontId="16" fillId="0" borderId="25" xfId="0" applyFont="1" applyBorder="1" applyAlignment="1">
      <alignment horizontal="center"/>
    </xf>
    <xf numFmtId="0" fontId="16" fillId="0" borderId="27" xfId="0" applyFont="1" applyBorder="1" applyAlignment="1">
      <alignment horizontal="center"/>
    </xf>
    <xf numFmtId="0" fontId="16" fillId="0" borderId="28" xfId="0" applyFont="1" applyBorder="1" applyAlignment="1">
      <alignment horizontal="center"/>
    </xf>
    <xf numFmtId="0" fontId="16" fillId="0" borderId="29" xfId="0" applyFont="1" applyBorder="1" applyAlignment="1">
      <alignment horizontal="center"/>
    </xf>
    <xf numFmtId="180" fontId="0" fillId="0" borderId="0" xfId="0" applyNumberFormat="1" applyAlignment="1"/>
    <xf numFmtId="0" fontId="40" fillId="0" borderId="9" xfId="0" applyFont="1" applyFill="1" applyBorder="1" applyAlignment="1">
      <alignment horizontal="center" vertical="center"/>
    </xf>
    <xf numFmtId="0" fontId="41" fillId="0" borderId="9" xfId="0" applyFont="1" applyFill="1" applyBorder="1" applyAlignment="1"/>
    <xf numFmtId="0" fontId="9" fillId="0" borderId="0" xfId="0" applyFont="1" applyAlignment="1">
      <alignment horizontal="left"/>
    </xf>
    <xf numFmtId="0" fontId="9" fillId="0" borderId="7" xfId="0" applyFont="1" applyBorder="1" applyAlignment="1">
      <alignment horizontal="left"/>
    </xf>
    <xf numFmtId="0" fontId="40" fillId="6" borderId="0" xfId="0" applyFont="1" applyFill="1" applyAlignment="1">
      <alignment horizontal="center" vertical="center"/>
    </xf>
    <xf numFmtId="0" fontId="41" fillId="6" borderId="0" xfId="0" applyFont="1" applyFill="1" applyAlignment="1"/>
    <xf numFmtId="0" fontId="7" fillId="9" borderId="0" xfId="0" applyFont="1" applyFill="1" applyAlignment="1">
      <alignment horizontal="center" vertical="center"/>
    </xf>
    <xf numFmtId="0" fontId="8" fillId="9" borderId="0" xfId="0" applyFont="1" applyFill="1" applyAlignment="1"/>
    <xf numFmtId="0" fontId="7" fillId="7" borderId="0" xfId="0" applyFont="1" applyFill="1" applyAlignment="1">
      <alignment horizontal="center" vertical="center"/>
    </xf>
    <xf numFmtId="0" fontId="8" fillId="7" borderId="0" xfId="0" applyFont="1" applyFill="1" applyAlignment="1"/>
    <xf numFmtId="0" fontId="9" fillId="0" borderId="0" xfId="0" applyFont="1" applyAlignment="1"/>
    <xf numFmtId="0" fontId="9" fillId="0" borderId="7" xfId="0" applyFont="1" applyBorder="1" applyAlignment="1"/>
  </cellXfs>
  <cellStyles count="11">
    <cellStyle name="パーセント" xfId="4" builtinId="5"/>
    <cellStyle name="パーセント 2" xfId="2" xr:uid="{8796DB7E-399C-4582-8A34-F557F9F13937}"/>
    <cellStyle name="パーセント 2 2" xfId="7" xr:uid="{AEDD718D-5D75-4BCF-8BDC-817AFFD68744}"/>
    <cellStyle name="パーセント 3" xfId="9" xr:uid="{D26357FE-CFCA-4C8F-90D7-B1E1CA33B204}"/>
    <cellStyle name="桁区切り" xfId="3" builtinId="6"/>
    <cellStyle name="桁区切り 2" xfId="1" xr:uid="{D614ACE2-7B4F-4BC3-B789-F364985BEE13}"/>
    <cellStyle name="桁区切り 2 2" xfId="6" xr:uid="{706AABF7-E933-40D8-A0B6-D76D30813984}"/>
    <cellStyle name="桁区切り 3" xfId="8" xr:uid="{8C577EDC-5ED5-4395-BA03-AC0CB6A1B909}"/>
    <cellStyle name="通貨" xfId="5" builtinId="7"/>
    <cellStyle name="通貨 2" xfId="10" xr:uid="{D0D1E748-4EFD-4686-8C33-718825F03103}"/>
    <cellStyle name="標準" xfId="0" builtinId="0"/>
  </cellStyles>
  <dxfs count="183">
    <dxf>
      <font>
        <color rgb="FF9C0006"/>
      </font>
      <fill>
        <patternFill>
          <bgColor rgb="FFFFC7CE"/>
        </patternFill>
      </fill>
    </dxf>
    <dxf>
      <font>
        <color rgb="FF9C0006"/>
      </font>
      <fill>
        <patternFill>
          <bgColor rgb="FFFFC7CE"/>
        </patternFill>
      </fill>
    </dxf>
    <dxf>
      <numFmt numFmtId="6" formatCode="#,##0;[Red]\-#,##0"/>
    </dxf>
    <dxf>
      <numFmt numFmtId="6" formatCode="#,##0;[Red]\-#,##0"/>
    </dxf>
    <dxf>
      <font>
        <strike val="0"/>
        <outline val="0"/>
        <shadow val="0"/>
        <u val="none"/>
        <vertAlign val="baseline"/>
        <color auto="1"/>
        <name val="Meiryo"/>
        <family val="3"/>
        <charset val="128"/>
        <scheme val="none"/>
      </font>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color auto="1"/>
        <name val="Meiryo"/>
        <family val="3"/>
        <charset val="128"/>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Meiryo"/>
        <family val="3"/>
        <charset val="128"/>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border diagonalUp="0" diagonalDown="0">
        <left style="thin">
          <color auto="1"/>
        </left>
        <right style="thin">
          <color auto="1"/>
        </right>
        <top style="thin">
          <color auto="1"/>
        </top>
        <bottom style="thin">
          <color auto="1"/>
        </bottom>
        <vertical/>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7C80"/>
        </patternFill>
      </fill>
    </dxf>
    <dxf>
      <fill>
        <patternFill>
          <bgColor rgb="FFFFCCCC"/>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1"/>
        </patternFill>
      </fill>
    </dxf>
    <dxf>
      <fill>
        <patternFill>
          <bgColor theme="0" tint="-0.14996795556505021"/>
        </patternFill>
      </fill>
    </dxf>
    <dxf>
      <fill>
        <patternFill>
          <bgColor rgb="FFFF7C80"/>
        </patternFill>
      </fill>
    </dxf>
    <dxf>
      <fill>
        <patternFill>
          <bgColor theme="0" tint="-0.14996795556505021"/>
        </patternFill>
      </fill>
    </dxf>
    <dxf>
      <fill>
        <patternFill>
          <bgColor theme="0" tint="-0.14996795556505021"/>
        </patternFill>
      </fill>
    </dxf>
    <dxf>
      <numFmt numFmtId="6" formatCode="#,##0;[Red]\-#,##0"/>
      <border diagonalUp="0" diagonalDown="0">
        <left style="medium">
          <color indexed="64"/>
        </left>
        <right style="medium">
          <color indexed="64"/>
        </right>
        <top style="thin">
          <color auto="1"/>
        </top>
        <bottom style="thin">
          <color auto="1"/>
        </bottom>
      </border>
    </dxf>
    <dxf>
      <border diagonalUp="0" diagonalDown="0" outline="0">
        <left style="medium">
          <color indexed="64"/>
        </left>
        <right style="medium">
          <color indexed="64"/>
        </right>
        <top style="thin">
          <color auto="1"/>
        </top>
        <bottom style="thin">
          <color auto="1"/>
        </bottom>
      </border>
    </dxf>
    <dxf>
      <font>
        <b val="0"/>
        <i val="0"/>
        <strike val="0"/>
        <condense val="0"/>
        <extend val="0"/>
        <outline val="0"/>
        <shadow val="0"/>
        <u val="none"/>
        <vertAlign val="baseline"/>
        <sz val="11"/>
        <color theme="1"/>
        <name val="游ゴシック"/>
        <family val="2"/>
        <scheme val="minor"/>
      </font>
      <numFmt numFmtId="176" formatCode="0_);[Red]\(0\)"/>
      <alignment horizontal="general" vertical="bottom" textRotation="0" wrapText="0" indent="0" justifyLastLine="0" shrinkToFit="0" readingOrder="0"/>
      <border diagonalUp="0" diagonalDown="0" outline="0">
        <left style="thin">
          <color auto="1"/>
        </left>
        <right style="medium">
          <color indexed="64"/>
        </right>
        <top style="thin">
          <color auto="1"/>
        </top>
        <bottom style="thin">
          <color auto="1"/>
        </bottom>
      </border>
    </dxf>
    <dxf>
      <font>
        <b val="0"/>
        <i val="0"/>
        <strike val="0"/>
        <condense val="0"/>
        <extend val="0"/>
        <outline val="0"/>
        <shadow val="0"/>
        <u val="none"/>
        <vertAlign val="baseline"/>
        <sz val="11"/>
        <color theme="1"/>
        <name val="游ゴシック"/>
        <family val="2"/>
        <scheme val="minor"/>
      </font>
      <numFmt numFmtId="182" formatCode="&quot;¥&quot;#,##0_);[Red]\(&quot;¥&quot;#,##0\)"/>
      <alignment horizontal="general" vertical="bottom" textRotation="0" wrapText="0" indent="0" justifyLastLine="0" shrinkToFit="0" readingOrder="0"/>
      <border diagonalUp="0" diagonalDown="0" outline="0">
        <left style="medium">
          <color indexed="64"/>
        </left>
        <right style="thin">
          <color auto="1"/>
        </right>
        <top style="thin">
          <color auto="1"/>
        </top>
        <bottom style="thin">
          <color auto="1"/>
        </bottom>
      </border>
    </dxf>
    <dxf>
      <font>
        <b val="0"/>
        <i val="0"/>
        <strike val="0"/>
        <condense val="0"/>
        <extend val="0"/>
        <outline val="0"/>
        <shadow val="0"/>
        <u val="none"/>
        <vertAlign val="baseline"/>
        <sz val="11"/>
        <color theme="1"/>
        <name val="游ゴシック"/>
        <family val="2"/>
        <scheme val="minor"/>
      </font>
      <numFmt numFmtId="182" formatCode="&quot;¥&quot;#,##0_);[Red]\(&quot;¥&quot;#,##0\)"/>
      <alignment horizontal="general" vertical="bottom" textRotation="0" wrapText="0" indent="0" justifyLastLine="0" shrinkToFit="0" readingOrder="0"/>
      <border diagonalUp="0" diagonalDown="0">
        <left style="thin">
          <color auto="1"/>
        </left>
        <right style="medium">
          <color indexed="64"/>
        </right>
        <top style="thin">
          <color auto="1"/>
        </top>
        <bottom style="thin">
          <color auto="1"/>
        </bottom>
      </border>
    </dxf>
    <dxf>
      <border diagonalUp="0" diagonalDown="0" outline="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游ゴシック"/>
        <family val="2"/>
        <scheme val="minor"/>
      </font>
      <fill>
        <patternFill patternType="none">
          <fgColor indexed="64"/>
          <bgColor auto="1"/>
        </patternFill>
      </fill>
      <alignment horizontal="general" vertical="bottom" textRotation="0" wrapText="0"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tint="-0.14999847407452621"/>
        </patternFill>
      </fill>
      <border diagonalUp="0" diagonalDown="0">
        <left style="thin">
          <color indexed="64"/>
        </left>
        <right/>
        <top style="thin">
          <color indexed="64"/>
        </top>
        <bottom style="thin">
          <color indexed="64"/>
        </bottom>
        <vertical/>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2"/>
        <scheme val="minor"/>
      </font>
      <fill>
        <patternFill patternType="none">
          <fgColor indexed="64"/>
          <bgColor auto="1"/>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6" formatCode="#,##0;[Red]\-#,##0"/>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6" formatCode="#,##0;[Red]\-#,##0"/>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indexed="64"/>
        </right>
        <top style="thin">
          <color indexed="64"/>
        </top>
        <bottom style="thin">
          <color indexed="64"/>
        </bottom>
      </border>
    </dxf>
    <dxf>
      <numFmt numFmtId="0" formatCode="General"/>
      <fill>
        <patternFill patternType="solid">
          <fgColor indexed="64"/>
          <bgColor theme="0" tint="-0.14999847407452621"/>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auto="1"/>
        </right>
        <top style="thin">
          <color indexed="64"/>
        </top>
        <bottom style="thin">
          <color indexed="64"/>
        </bottom>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indexed="64"/>
        </right>
        <top style="thin">
          <color indexed="64"/>
        </top>
        <bottom style="thin">
          <color indexed="64"/>
        </bottom>
      </border>
    </dxf>
    <dxf>
      <numFmt numFmtId="0" formatCode="General"/>
      <fill>
        <patternFill patternType="solid">
          <fgColor indexed="64"/>
          <bgColor theme="0" tint="-0.14999847407452621"/>
        </patternFill>
      </fill>
      <border diagonalUp="0" diagonalDown="0" outline="0">
        <left style="thin">
          <color auto="1"/>
        </left>
        <right style="thin">
          <color auto="1"/>
        </right>
        <top style="thin">
          <color auto="1"/>
        </top>
        <bottom style="thin">
          <color auto="1"/>
        </bottom>
      </border>
    </dxf>
    <dxf>
      <border diagonalUp="0" diagonalDown="0" outline="0">
        <left style="thin">
          <color indexed="64"/>
        </left>
        <right style="thin">
          <color auto="1"/>
        </right>
        <top style="thin">
          <color indexed="64"/>
        </top>
        <bottom style="thin">
          <color indexed="64"/>
        </bottom>
      </border>
    </dxf>
    <dxf>
      <border diagonalUp="0" diagonalDown="0">
        <left style="thin">
          <color auto="1"/>
        </left>
        <right style="thin">
          <color auto="1"/>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indexed="64"/>
        </right>
        <top style="thin">
          <color indexed="64"/>
        </top>
        <bottom style="thin">
          <color indexed="64"/>
        </bottom>
      </border>
    </dxf>
    <dxf>
      <numFmt numFmtId="0" formatCode="General"/>
      <fill>
        <patternFill patternType="none">
          <fgColor indexed="64"/>
          <bgColor auto="1"/>
        </patternFill>
      </fill>
      <border diagonalUp="0" diagonalDown="0" outline="0">
        <left style="thin">
          <color auto="1"/>
        </left>
        <right style="thin">
          <color auto="1"/>
        </right>
        <top style="thin">
          <color auto="1"/>
        </top>
        <bottom style="thin">
          <color auto="1"/>
        </bottom>
      </border>
    </dxf>
    <dxf>
      <numFmt numFmtId="0" formatCode="General"/>
      <fill>
        <patternFill patternType="none">
          <fgColor indexed="64"/>
          <bgColor auto="1"/>
        </patternFill>
      </fill>
      <border diagonalUp="0" diagonalDown="0" outline="0">
        <left style="thin">
          <color auto="1"/>
        </left>
        <right style="thin">
          <color auto="1"/>
        </right>
        <top style="thin">
          <color auto="1"/>
        </top>
        <bottom style="thin">
          <color auto="1"/>
        </bottom>
      </border>
    </dxf>
    <dxf>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1"/>
        <color theme="1"/>
        <name val="游ゴシック"/>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bgColor theme="0" tint="-0.149967955565050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auto="1"/>
        </right>
        <top style="thin">
          <color auto="1"/>
        </top>
        <bottom style="thin">
          <color auto="1"/>
        </bottom>
        <vertical/>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auto="1"/>
        </left>
        <right style="thin">
          <color auto="1"/>
        </right>
        <top/>
        <bottom/>
      </border>
    </dxf>
    <dxf>
      <font>
        <strike val="0"/>
        <outline val="0"/>
        <shadow val="0"/>
        <u val="none"/>
        <vertAlign val="baseline"/>
        <name val="游ゴシック"/>
        <family val="3"/>
        <charset val="128"/>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游ゴシック"/>
        <family val="3"/>
        <charset val="128"/>
        <scheme val="minor"/>
      </font>
      <fill>
        <patternFill patternType="solid">
          <fgColor indexed="64"/>
          <bgColor theme="1" tint="0.34998626667073579"/>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outline="0">
        <left style="thin">
          <color auto="1"/>
        </left>
        <right style="thin">
          <color indexed="64"/>
        </right>
        <top style="thin">
          <color indexed="64"/>
        </top>
        <bottom style="thin">
          <color indexed="64"/>
        </bottom>
      </border>
    </dxf>
    <dxf>
      <font>
        <strike val="0"/>
        <outline val="0"/>
        <shadow val="0"/>
        <u val="none"/>
        <vertAlign val="baseline"/>
        <name val="游ゴシック"/>
        <family val="3"/>
        <charset val="128"/>
        <scheme val="minor"/>
      </font>
      <numFmt numFmtId="176" formatCode="0_);[Red]\(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numFmt numFmtId="13" formatCode="0%"/>
      <border diagonalUp="0" diagonalDown="0" outline="0">
        <left style="thin">
          <color indexed="64"/>
        </left>
        <right style="thin">
          <color auto="1"/>
        </right>
        <top style="thin">
          <color indexed="64"/>
        </top>
        <bottom style="thin">
          <color indexed="64"/>
        </bottom>
      </border>
    </dxf>
    <dxf>
      <font>
        <strike val="0"/>
        <outline val="0"/>
        <shadow val="0"/>
        <u val="none"/>
        <vertAlign val="baseline"/>
        <name val="游ゴシック"/>
        <family val="3"/>
        <charset val="128"/>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8" formatCode="0.0%"/>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47" formatCode="m&quot;月&quot;d&quot;日&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name val="游ゴシック"/>
        <family val="3"/>
        <charset val="128"/>
        <scheme val="minor"/>
      </font>
      <numFmt numFmtId="0" formatCode="General"/>
      <border diagonalUp="0" diagonalDown="0">
        <left style="thin">
          <color auto="1"/>
        </left>
        <right style="thin">
          <color auto="1"/>
        </right>
        <top style="thin">
          <color auto="1"/>
        </top>
        <bottom style="thin">
          <color auto="1"/>
        </bottom>
        <vertical/>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游ゴシック"/>
        <family val="3"/>
        <charset val="128"/>
        <scheme val="minor"/>
      </font>
      <numFmt numFmtId="0" formatCode="General"/>
      <fill>
        <patternFill patternType="solid">
          <fgColor indexed="64"/>
          <bgColor theme="0" tint="-0.1499984740745262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fill>
        <patternFill patternType="none">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dxf>
    <dxf>
      <border>
        <bottom style="thin">
          <color indexed="64"/>
        </bottom>
      </border>
    </dxf>
    <dxf>
      <font>
        <b/>
        <i val="0"/>
        <strike val="0"/>
        <condense val="0"/>
        <extend val="0"/>
        <outline val="0"/>
        <shadow val="0"/>
        <u val="none"/>
        <vertAlign val="baseline"/>
        <sz val="11"/>
        <color auto="1"/>
        <name val="游ゴシック"/>
        <family val="3"/>
        <charset val="128"/>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ＭＳ Ｐゴシック"/>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CC"/>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152399</xdr:colOff>
      <xdr:row>6</xdr:row>
      <xdr:rowOff>133350</xdr:rowOff>
    </xdr:from>
    <xdr:to>
      <xdr:col>6</xdr:col>
      <xdr:colOff>1260691</xdr:colOff>
      <xdr:row>7</xdr:row>
      <xdr:rowOff>91310</xdr:rowOff>
    </xdr:to>
    <xdr:pic>
      <xdr:nvPicPr>
        <xdr:cNvPr id="2" name="図 1">
          <a:extLst>
            <a:ext uri="{FF2B5EF4-FFF2-40B4-BE49-F238E27FC236}">
              <a16:creationId xmlns:a16="http://schemas.microsoft.com/office/drawing/2014/main" id="{DAC1181F-F282-4F7D-9F52-E572FC3C07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57849" y="2085975"/>
          <a:ext cx="2175092" cy="262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152399</xdr:colOff>
      <xdr:row>6</xdr:row>
      <xdr:rowOff>133350</xdr:rowOff>
    </xdr:from>
    <xdr:to>
      <xdr:col>6</xdr:col>
      <xdr:colOff>1260691</xdr:colOff>
      <xdr:row>7</xdr:row>
      <xdr:rowOff>89406</xdr:rowOff>
    </xdr:to>
    <xdr:pic>
      <xdr:nvPicPr>
        <xdr:cNvPr id="2" name="図 1">
          <a:extLst>
            <a:ext uri="{FF2B5EF4-FFF2-40B4-BE49-F238E27FC236}">
              <a16:creationId xmlns:a16="http://schemas.microsoft.com/office/drawing/2014/main" id="{A7929929-C866-4416-B2A9-D2421B3883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6339" y="2038350"/>
          <a:ext cx="2175092" cy="239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152399</xdr:colOff>
      <xdr:row>6</xdr:row>
      <xdr:rowOff>133350</xdr:rowOff>
    </xdr:from>
    <xdr:to>
      <xdr:col>7</xdr:col>
      <xdr:colOff>1260691</xdr:colOff>
      <xdr:row>7</xdr:row>
      <xdr:rowOff>137030</xdr:rowOff>
    </xdr:to>
    <xdr:pic>
      <xdr:nvPicPr>
        <xdr:cNvPr id="2" name="図 1">
          <a:extLst>
            <a:ext uri="{FF2B5EF4-FFF2-40B4-BE49-F238E27FC236}">
              <a16:creationId xmlns:a16="http://schemas.microsoft.com/office/drawing/2014/main" id="{30DC18BD-DE7F-4DF4-888D-9B03BBFB16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5874" y="1781175"/>
          <a:ext cx="2175092" cy="2627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152399</xdr:colOff>
      <xdr:row>6</xdr:row>
      <xdr:rowOff>133350</xdr:rowOff>
    </xdr:from>
    <xdr:to>
      <xdr:col>7</xdr:col>
      <xdr:colOff>1260691</xdr:colOff>
      <xdr:row>7</xdr:row>
      <xdr:rowOff>133219</xdr:rowOff>
    </xdr:to>
    <xdr:pic>
      <xdr:nvPicPr>
        <xdr:cNvPr id="2" name="図 1">
          <a:extLst>
            <a:ext uri="{FF2B5EF4-FFF2-40B4-BE49-F238E27FC236}">
              <a16:creationId xmlns:a16="http://schemas.microsoft.com/office/drawing/2014/main" id="{3DB31B75-6A8D-413C-B8D4-A5FF0D298C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38924" y="1819275"/>
          <a:ext cx="2175092" cy="262760"/>
        </a:xfrm>
        <a:prstGeom prst="rect">
          <a:avLst/>
        </a:prstGeom>
      </xdr:spPr>
    </xdr:pic>
    <xdr:clientData/>
  </xdr:twoCellAnchor>
  <xdr:twoCellAnchor editAs="oneCell">
    <xdr:from>
      <xdr:col>8</xdr:col>
      <xdr:colOff>0</xdr:colOff>
      <xdr:row>5</xdr:row>
      <xdr:rowOff>236220</xdr:rowOff>
    </xdr:from>
    <xdr:to>
      <xdr:col>8</xdr:col>
      <xdr:colOff>1744980</xdr:colOff>
      <xdr:row>13</xdr:row>
      <xdr:rowOff>130842</xdr:rowOff>
    </xdr:to>
    <xdr:pic>
      <xdr:nvPicPr>
        <xdr:cNvPr id="3" name="図 2">
          <a:extLst>
            <a:ext uri="{FF2B5EF4-FFF2-40B4-BE49-F238E27FC236}">
              <a16:creationId xmlns:a16="http://schemas.microsoft.com/office/drawing/2014/main" id="{6E4CBEDA-E7FD-434F-B46B-B9388B090EE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97440" y="1668780"/>
          <a:ext cx="1744980" cy="19215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152399</xdr:colOff>
      <xdr:row>6</xdr:row>
      <xdr:rowOff>133350</xdr:rowOff>
    </xdr:from>
    <xdr:to>
      <xdr:col>7</xdr:col>
      <xdr:colOff>1260691</xdr:colOff>
      <xdr:row>7</xdr:row>
      <xdr:rowOff>133220</xdr:rowOff>
    </xdr:to>
    <xdr:pic>
      <xdr:nvPicPr>
        <xdr:cNvPr id="2" name="図 1">
          <a:extLst>
            <a:ext uri="{FF2B5EF4-FFF2-40B4-BE49-F238E27FC236}">
              <a16:creationId xmlns:a16="http://schemas.microsoft.com/office/drawing/2014/main" id="{83BF2B61-8068-41DB-9E0E-8B89B5989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8499" y="1929765"/>
          <a:ext cx="2175092" cy="2894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152399</xdr:colOff>
      <xdr:row>6</xdr:row>
      <xdr:rowOff>133350</xdr:rowOff>
    </xdr:from>
    <xdr:to>
      <xdr:col>6</xdr:col>
      <xdr:colOff>1260691</xdr:colOff>
      <xdr:row>7</xdr:row>
      <xdr:rowOff>91310</xdr:rowOff>
    </xdr:to>
    <xdr:pic>
      <xdr:nvPicPr>
        <xdr:cNvPr id="2" name="図 1">
          <a:extLst>
            <a:ext uri="{FF2B5EF4-FFF2-40B4-BE49-F238E27FC236}">
              <a16:creationId xmlns:a16="http://schemas.microsoft.com/office/drawing/2014/main" id="{B4B7BEF9-F410-4B83-A21B-1ACA57BE45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7459" y="2038350"/>
          <a:ext cx="2175092" cy="239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152399</xdr:colOff>
      <xdr:row>6</xdr:row>
      <xdr:rowOff>133350</xdr:rowOff>
    </xdr:from>
    <xdr:to>
      <xdr:col>7</xdr:col>
      <xdr:colOff>1260691</xdr:colOff>
      <xdr:row>7</xdr:row>
      <xdr:rowOff>133219</xdr:rowOff>
    </xdr:to>
    <xdr:pic>
      <xdr:nvPicPr>
        <xdr:cNvPr id="2" name="図 1">
          <a:extLst>
            <a:ext uri="{FF2B5EF4-FFF2-40B4-BE49-F238E27FC236}">
              <a16:creationId xmlns:a16="http://schemas.microsoft.com/office/drawing/2014/main" id="{DC1E94AE-7E00-4771-AA38-A498D2CCC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44739" y="1901190"/>
          <a:ext cx="2175092" cy="281809"/>
        </a:xfrm>
        <a:prstGeom prst="rect">
          <a:avLst/>
        </a:prstGeom>
      </xdr:spPr>
    </xdr:pic>
    <xdr:clientData/>
  </xdr:twoCellAnchor>
  <xdr:twoCellAnchor editAs="oneCell">
    <xdr:from>
      <xdr:col>8</xdr:col>
      <xdr:colOff>0</xdr:colOff>
      <xdr:row>5</xdr:row>
      <xdr:rowOff>236220</xdr:rowOff>
    </xdr:from>
    <xdr:to>
      <xdr:col>8</xdr:col>
      <xdr:colOff>1744980</xdr:colOff>
      <xdr:row>13</xdr:row>
      <xdr:rowOff>130842</xdr:rowOff>
    </xdr:to>
    <xdr:pic>
      <xdr:nvPicPr>
        <xdr:cNvPr id="3" name="図 2">
          <a:extLst>
            <a:ext uri="{FF2B5EF4-FFF2-40B4-BE49-F238E27FC236}">
              <a16:creationId xmlns:a16="http://schemas.microsoft.com/office/drawing/2014/main" id="{F43DAEC5-4E13-4F27-8E79-58AE14C264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97440" y="1668780"/>
          <a:ext cx="1744980" cy="19215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njsosa\Downloads\26-03-10_&#21463;&#30330;&#27880;&#31649;&#29702;&#21488;&#24115;_&#12525;&#12540;&#12459;&#125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入先マスタ"/>
      <sheetName val="商品マスタ"/>
      <sheetName val="案件番号採番"/>
      <sheetName val="顧客与信管理"/>
      <sheetName val="案件明細"/>
      <sheetName val="案件追跡表"/>
      <sheetName val="見積書"/>
      <sheetName val="注文確認メール"/>
      <sheetName val="発注書"/>
      <sheetName val="納品書"/>
      <sheetName val="請求書"/>
      <sheetName val="請求書 (前払)"/>
      <sheetName val="入力ルール用シート"/>
      <sheetName val="画像収集_優先リスト"/>
      <sheetName val="案件集計"/>
      <sheetName val="見積書 (内税)"/>
      <sheetName val="請求書 (内税)"/>
      <sheetName val="26-03-10_受発注管理台帳_ローカル"/>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D2" t="str">
            <v>杉田</v>
          </cell>
          <cell r="E2" t="str">
            <v>S</v>
          </cell>
          <cell r="G2" t="str">
            <v>01</v>
          </cell>
        </row>
        <row r="3">
          <cell r="E3" t="str">
            <v>T</v>
          </cell>
          <cell r="G3" t="str">
            <v>02</v>
          </cell>
        </row>
        <row r="4">
          <cell r="E4" t="str">
            <v>H</v>
          </cell>
        </row>
        <row r="5">
          <cell r="E5" t="str">
            <v>A</v>
          </cell>
        </row>
        <row r="6">
          <cell r="E6" t="str">
            <v>K</v>
          </cell>
        </row>
        <row r="7">
          <cell r="E7" t="str">
            <v>N</v>
          </cell>
        </row>
        <row r="8">
          <cell r="E8" t="str">
            <v>R</v>
          </cell>
        </row>
      </sheetData>
      <sheetData sheetId="13"/>
      <sheetData sheetId="14"/>
      <sheetData sheetId="15"/>
      <sheetData sheetId="16"/>
      <sheetData sheetId="1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大阪ＳＮＪ新日本海商事" refreshedDate="46072.622779861114" createdVersion="7" refreshedVersion="7" minRefreshableVersion="3" recordCount="199" xr:uid="{7358365D-FF4C-47FC-A170-190AB30FFF5C}">
  <cacheSource type="worksheet">
    <worksheetSource name="tbl_明細"/>
  </cacheSource>
  <cacheFields count="27">
    <cacheField name="案件番号" numFmtId="0">
      <sharedItems containsBlank="1" count="12">
        <s v="2601-1001-S01"/>
        <s v="2601-1002-S01"/>
        <s v="2601-1003-A01"/>
        <s v="2601-1004-S01"/>
        <s v="2601-1005-S01"/>
        <s v="2601-1006-S01"/>
        <s v="2601-1007-S01"/>
        <s v="2602-1001-A01"/>
        <s v="2602-1002-K01"/>
        <s v="2602-1003-S01"/>
        <s v="2602-1004-S01"/>
        <m/>
      </sharedItems>
    </cacheField>
    <cacheField name="No" numFmtId="0">
      <sharedItems containsMixedTypes="1" containsNumber="1" containsInteger="1" minValue="0" maxValue="6"/>
    </cacheField>
    <cacheField name="（非表示）仕入No." numFmtId="0">
      <sharedItems containsSemiMixedTypes="0" containsString="0" containsNumber="1" containsInteger="1" minValue="0" maxValue="6"/>
    </cacheField>
    <cacheField name="顧客名" numFmtId="0">
      <sharedItems/>
    </cacheField>
    <cacheField name="商品ID" numFmtId="0">
      <sharedItems containsBlank="1"/>
    </cacheField>
    <cacheField name="仕入先" numFmtId="0">
      <sharedItems/>
    </cacheField>
    <cacheField name="商品名" numFmtId="0">
      <sharedItems/>
    </cacheField>
    <cacheField name="仕入価格" numFmtId="38">
      <sharedItems containsMixedTypes="1" containsNumber="1" minValue="0" maxValue="15000"/>
    </cacheField>
    <cacheField name="販売価格（定価）" numFmtId="38">
      <sharedItems containsMixedTypes="1" containsNumber="1" containsInteger="1" minValue="460" maxValue="17650"/>
    </cacheField>
    <cacheField name="販売価格（売値）" numFmtId="38">
      <sharedItems containsString="0" containsBlank="1" containsNumber="1" containsInteger="1" minValue="0" maxValue="24000"/>
    </cacheField>
    <cacheField name="数量" numFmtId="0">
      <sharedItems containsString="0" containsBlank="1" containsNumber="1" minValue="0.50600000000000001" maxValue="60"/>
    </cacheField>
    <cacheField name="単位" numFmtId="0">
      <sharedItems/>
    </cacheField>
    <cacheField name="利益率" numFmtId="9">
      <sharedItems containsMixedTypes="1" containsNumber="1" minValue="0.1538693164709426" maxValue="0.55555555555555558"/>
    </cacheField>
    <cacheField name="税率" numFmtId="9">
      <sharedItems containsMixedTypes="1" containsNumber="1" minValue="0.08" maxValue="0.08"/>
    </cacheField>
    <cacheField name="仕入先（M)" numFmtId="9">
      <sharedItems containsBlank="1"/>
    </cacheField>
    <cacheField name="商品名（M)" numFmtId="0">
      <sharedItems containsBlank="1"/>
    </cacheField>
    <cacheField name="仕入価格（M)" numFmtId="38">
      <sharedItems containsString="0" containsBlank="1" containsNumber="1" containsInteger="1" minValue="0" maxValue="2060"/>
    </cacheField>
    <cacheField name="販売価格（M)" numFmtId="38">
      <sharedItems containsString="0" containsBlank="1" containsNumber="1" containsInteger="1" minValue="0" maxValue="2060"/>
    </cacheField>
    <cacheField name="数量（M)" numFmtId="0">
      <sharedItems containsString="0" containsBlank="1" containsNumber="1" containsInteger="1" minValue="1" maxValue="60"/>
    </cacheField>
    <cacheField name="単位（M)" numFmtId="0">
      <sharedItems containsBlank="1"/>
    </cacheField>
    <cacheField name="税率（M）" numFmtId="9">
      <sharedItems containsString="0" containsBlank="1" containsNumber="1" minValue="0.08" maxValue="0.1"/>
    </cacheField>
    <cacheField name="備考（仕入先向け）" numFmtId="9">
      <sharedItems containsNonDate="0" containsString="0" containsBlank="1"/>
    </cacheField>
    <cacheField name="備考（顧客向け）" numFmtId="9">
      <sharedItems containsNonDate="0" containsString="0" containsBlank="1"/>
    </cacheField>
    <cacheField name="単価×数（仕入）" numFmtId="182">
      <sharedItems containsMixedTypes="1" containsNumber="1" minValue="0" maxValue="71715"/>
    </cacheField>
    <cacheField name="単価×数（売値）" numFmtId="182">
      <sharedItems containsSemiMixedTypes="0" containsString="0" containsNumber="1" minValue="0" maxValue="87000"/>
    </cacheField>
    <cacheField name="発注フラグ" numFmtId="176">
      <sharedItems containsSemiMixedTypes="0" containsString="0" containsNumber="1" containsInteger="1" minValue="0" maxValue="46056" count="6">
        <n v="46042"/>
        <n v="46045"/>
        <n v="46048"/>
        <n v="46049"/>
        <n v="0"/>
        <n v="46056"/>
      </sharedItems>
    </cacheField>
    <cacheField name="(非表示）販売価格の和" numFmtId="38">
      <sharedItems containsSemiMixedTypes="0" containsString="0" containsNumber="1" containsInteger="1" minValue="0" maxValue="24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n v="1"/>
    <n v="1"/>
    <s v="日新堂株式会社"/>
    <s v="PRD_SNJ_SDH_0016_01"/>
    <s v="ソバージュド函館"/>
    <s v="熊掌（後脚）"/>
    <n v="15000"/>
    <n v="17650"/>
    <n v="18000"/>
    <n v="4.7809999999999997"/>
    <s v="kg"/>
    <n v="0.16666666666666663"/>
    <n v="0.08"/>
    <m/>
    <m/>
    <m/>
    <m/>
    <m/>
    <m/>
    <m/>
    <m/>
    <m/>
    <n v="71715"/>
    <n v="86058"/>
    <x v="0"/>
    <n v="18000"/>
  </r>
  <r>
    <x v="0"/>
    <n v="2"/>
    <n v="2"/>
    <s v="日新堂株式会社"/>
    <s v="other"/>
    <s v="ソバージュド函館"/>
    <s v="送料（北海道）"/>
    <n v="1180"/>
    <s v=""/>
    <m/>
    <m/>
    <s v=""/>
    <e v="#DIV/0!"/>
    <s v=""/>
    <s v="ソバージュド函館"/>
    <s v="送料（北海道）"/>
    <n v="1180"/>
    <n v="1180"/>
    <n v="1"/>
    <s v="式"/>
    <n v="0.1"/>
    <m/>
    <m/>
    <n v="1180"/>
    <n v="1180"/>
    <x v="0"/>
    <n v="1180"/>
  </r>
  <r>
    <x v="0"/>
    <n v="3"/>
    <n v="3"/>
    <s v="日新堂株式会社"/>
    <s v="PRD_SNJ_SDH_0016_01"/>
    <s v="ソバージュド函館"/>
    <s v="熊掌（後脚）"/>
    <n v="15000"/>
    <n v="17650"/>
    <n v="18000"/>
    <n v="3.6269999999999998"/>
    <s v="kg"/>
    <n v="0.16666666666666663"/>
    <n v="0.08"/>
    <m/>
    <m/>
    <m/>
    <m/>
    <m/>
    <m/>
    <m/>
    <m/>
    <m/>
    <n v="54405"/>
    <n v="65285.999999999993"/>
    <x v="0"/>
    <n v="18000"/>
  </r>
  <r>
    <x v="0"/>
    <n v="4"/>
    <n v="4"/>
    <s v="日新堂株式会社"/>
    <s v="other"/>
    <s v="ソバージュド函館"/>
    <s v="送料（北海道）"/>
    <n v="1180"/>
    <s v=""/>
    <m/>
    <m/>
    <s v=""/>
    <e v="#DIV/0!"/>
    <s v=""/>
    <s v="ソバージュド函館"/>
    <s v="送料（北海道）"/>
    <n v="1180"/>
    <n v="1180"/>
    <n v="1"/>
    <s v="式"/>
    <n v="0.1"/>
    <m/>
    <m/>
    <n v="1180"/>
    <n v="1180"/>
    <x v="0"/>
    <n v="1180"/>
  </r>
  <r>
    <x v="0"/>
    <n v="5"/>
    <n v="5"/>
    <s v="日新堂株式会社"/>
    <s v="PRD_SNJ_SDH_0016_01"/>
    <s v="ソバージュド函館"/>
    <s v="熊掌（後脚）"/>
    <n v="15000"/>
    <n v="17650"/>
    <n v="18000"/>
    <n v="0.91100000000000003"/>
    <s v="kg"/>
    <n v="0.16666666666666663"/>
    <n v="0.08"/>
    <m/>
    <m/>
    <m/>
    <m/>
    <m/>
    <m/>
    <m/>
    <m/>
    <m/>
    <n v="13665"/>
    <n v="16398"/>
    <x v="0"/>
    <n v="18000"/>
  </r>
  <r>
    <x v="0"/>
    <n v="6"/>
    <n v="6"/>
    <s v="日新堂株式会社"/>
    <s v="other"/>
    <s v="ソバージュド函館"/>
    <s v="送料（北海道）"/>
    <n v="1180"/>
    <s v=""/>
    <m/>
    <m/>
    <s v=""/>
    <e v="#DIV/0!"/>
    <s v=""/>
    <s v="ソバージュド函館"/>
    <s v="送料（北海道）"/>
    <n v="1180"/>
    <n v="1180"/>
    <n v="1"/>
    <s v="式"/>
    <n v="0.1"/>
    <m/>
    <m/>
    <n v="1180"/>
    <n v="1180"/>
    <x v="0"/>
    <n v="1180"/>
  </r>
  <r>
    <x v="1"/>
    <n v="1"/>
    <n v="1"/>
    <s v="日新堂株式会社"/>
    <s v="PRD_SNJ_KDK_0001_01"/>
    <s v="狩人の蔵"/>
    <s v="熊掌（前脚）"/>
    <n v="11000"/>
    <n v="14240"/>
    <n v="24000"/>
    <n v="1.2889999999999999"/>
    <s v="kg"/>
    <n v="0.54166666666666674"/>
    <n v="0.08"/>
    <m/>
    <m/>
    <m/>
    <m/>
    <m/>
    <m/>
    <m/>
    <m/>
    <m/>
    <n v="14179"/>
    <n v="30935.999999999996"/>
    <x v="0"/>
    <n v="24000"/>
  </r>
  <r>
    <x v="1"/>
    <n v="2"/>
    <n v="2"/>
    <s v="日新堂株式会社"/>
    <s v="PRD_SNJ_KDK_0001_01"/>
    <s v="狩人の蔵"/>
    <s v="熊掌（前脚）"/>
    <n v="11000"/>
    <n v="14240"/>
    <n v="24000"/>
    <n v="1.177"/>
    <s v="kg"/>
    <n v="0.54166666666666674"/>
    <n v="0.08"/>
    <m/>
    <m/>
    <m/>
    <m/>
    <m/>
    <m/>
    <m/>
    <m/>
    <m/>
    <n v="12947"/>
    <n v="28248"/>
    <x v="0"/>
    <n v="24000"/>
  </r>
  <r>
    <x v="1"/>
    <n v="3"/>
    <n v="3"/>
    <s v="日新堂株式会社"/>
    <s v="PRD_SNJ_KDK_0001_01"/>
    <s v="狩人の蔵"/>
    <s v="熊掌（前脚）"/>
    <n v="11000"/>
    <n v="14240"/>
    <n v="24000"/>
    <n v="0.50600000000000001"/>
    <s v="kg"/>
    <n v="0.54166666666666674"/>
    <n v="0.08"/>
    <m/>
    <m/>
    <m/>
    <m/>
    <m/>
    <m/>
    <m/>
    <m/>
    <m/>
    <n v="5566"/>
    <n v="12144"/>
    <x v="0"/>
    <n v="24000"/>
  </r>
  <r>
    <x v="1"/>
    <n v="4"/>
    <n v="4"/>
    <s v="日新堂株式会社"/>
    <s v="PRD_SNJ_KDK_0001_01"/>
    <s v="狩人の蔵"/>
    <s v="熊掌（前脚）"/>
    <n v="11000"/>
    <n v="14240"/>
    <n v="24000"/>
    <n v="0.81499999999999995"/>
    <s v="kg"/>
    <n v="0.54166666666666674"/>
    <n v="0.08"/>
    <m/>
    <m/>
    <m/>
    <m/>
    <m/>
    <m/>
    <m/>
    <m/>
    <m/>
    <n v="8965"/>
    <n v="19560"/>
    <x v="0"/>
    <n v="24000"/>
  </r>
  <r>
    <x v="1"/>
    <n v="5"/>
    <n v="5"/>
    <s v="日新堂株式会社"/>
    <s v="other"/>
    <s v="狩人の蔵"/>
    <s v="送料（大阪）"/>
    <n v="1620"/>
    <s v=""/>
    <m/>
    <m/>
    <s v=""/>
    <e v="#DIV/0!"/>
    <s v=""/>
    <s v="狩人の蔵"/>
    <s v="送料（大阪）"/>
    <n v="1620"/>
    <n v="1620"/>
    <n v="1"/>
    <s v="式"/>
    <n v="0.1"/>
    <m/>
    <m/>
    <n v="1620"/>
    <n v="1620"/>
    <x v="0"/>
    <n v="1620"/>
  </r>
  <r>
    <x v="2"/>
    <n v="1"/>
    <n v="1"/>
    <s v="オーセントホテルズ（楽水山）"/>
    <s v="PRD_SNJ_KYS_0005_01"/>
    <s v="協栄製茶　壱之庄"/>
    <s v="雁の音ほうじ茶壱之棒（茶葉） 500g"/>
    <n v="1526.8518518518517"/>
    <n v="1800"/>
    <n v="1806"/>
    <n v="10"/>
    <s v="袋"/>
    <n v="0.15456708092367011"/>
    <n v="0.08"/>
    <m/>
    <m/>
    <m/>
    <m/>
    <m/>
    <m/>
    <m/>
    <m/>
    <m/>
    <n v="15268.518518518518"/>
    <n v="18060"/>
    <x v="0"/>
    <n v="1806"/>
  </r>
  <r>
    <x v="2"/>
    <n v="2"/>
    <n v="2"/>
    <s v="オーセントホテルズ（楽水山）"/>
    <s v="other"/>
    <s v="協栄製茶　壱之庄"/>
    <s v="送料（140サイズ）"/>
    <n v="1300"/>
    <s v=""/>
    <m/>
    <m/>
    <s v=""/>
    <e v="#DIV/0!"/>
    <s v=""/>
    <s v="協栄製茶　壱之庄"/>
    <s v="送料（140サイズ）"/>
    <n v="1300"/>
    <n v="1300"/>
    <n v="1"/>
    <s v="式"/>
    <n v="0.1"/>
    <m/>
    <m/>
    <n v="1300"/>
    <n v="1300"/>
    <x v="0"/>
    <n v="1300"/>
  </r>
  <r>
    <x v="3"/>
    <n v="1"/>
    <n v="1"/>
    <s v="ホロニック（ガーデンシティクラブ大阪）"/>
    <s v="PRD_SNJ_APK_0002_01"/>
    <s v="あぷかの森"/>
    <s v="エゾシカ　ロース"/>
    <n v="4400"/>
    <n v="5180"/>
    <n v="5300"/>
    <n v="5"/>
    <s v="kg"/>
    <n v="0.16981132075471694"/>
    <n v="0.08"/>
    <m/>
    <m/>
    <m/>
    <m/>
    <m/>
    <m/>
    <m/>
    <m/>
    <m/>
    <n v="22000"/>
    <n v="26500"/>
    <x v="1"/>
    <n v="5300"/>
  </r>
  <r>
    <x v="3"/>
    <n v="2"/>
    <n v="2"/>
    <s v="ホロニック（ガーデンシティクラブ大阪）"/>
    <s v="other"/>
    <s v="あぷかの森"/>
    <s v="送料（大阪）"/>
    <n v="2060"/>
    <s v=""/>
    <m/>
    <m/>
    <s v=""/>
    <e v="#DIV/0!"/>
    <s v=""/>
    <s v="あぷかの森"/>
    <s v="送料（大阪）"/>
    <n v="2060"/>
    <n v="2060"/>
    <n v="1"/>
    <s v="式"/>
    <n v="0.1"/>
    <m/>
    <m/>
    <n v="2060"/>
    <n v="2060"/>
    <x v="1"/>
    <n v="2060"/>
  </r>
  <r>
    <x v="4"/>
    <n v="1"/>
    <n v="1"/>
    <s v="日新堂株式会社"/>
    <s v="PRD_SNJ_KDK_0002_01"/>
    <s v="狩人の蔵"/>
    <s v="熊掌（後脚）"/>
    <n v="8000"/>
    <n v="10360"/>
    <n v="18000"/>
    <n v="1.363"/>
    <s v="kg"/>
    <n v="0.55555555555555558"/>
    <n v="0.08"/>
    <m/>
    <m/>
    <m/>
    <m/>
    <m/>
    <m/>
    <m/>
    <m/>
    <m/>
    <n v="10904"/>
    <n v="24534"/>
    <x v="2"/>
    <n v="18000"/>
  </r>
  <r>
    <x v="4"/>
    <n v="2"/>
    <n v="2"/>
    <s v="日新堂株式会社"/>
    <s v="PRD_SNJ_KDK_0002_01"/>
    <s v="狩人の蔵"/>
    <s v="熊掌（後脚）"/>
    <n v="8000"/>
    <n v="10360"/>
    <n v="18000"/>
    <n v="1.32"/>
    <s v="kg"/>
    <n v="0.55555555555555558"/>
    <n v="0.08"/>
    <m/>
    <m/>
    <m/>
    <m/>
    <m/>
    <m/>
    <m/>
    <m/>
    <m/>
    <n v="10560"/>
    <n v="23760"/>
    <x v="2"/>
    <n v="18000"/>
  </r>
  <r>
    <x v="4"/>
    <n v="3"/>
    <n v="3"/>
    <s v="日新堂株式会社"/>
    <s v="other"/>
    <s v="狩人の蔵"/>
    <s v="送料（北海道）"/>
    <n v="1050"/>
    <s v=""/>
    <m/>
    <m/>
    <s v=""/>
    <e v="#DIV/0!"/>
    <s v=""/>
    <s v="狩人の蔵"/>
    <s v="送料（北海道）"/>
    <n v="1050"/>
    <n v="1100"/>
    <n v="1"/>
    <s v="式"/>
    <n v="0.1"/>
    <m/>
    <m/>
    <n v="1050"/>
    <n v="1100"/>
    <x v="2"/>
    <n v="1100"/>
  </r>
  <r>
    <x v="5"/>
    <n v="1"/>
    <n v="1"/>
    <s v="雲鶴"/>
    <s v="PRD_SNJ_GGM_0097_01"/>
    <s v="GOODGOOD"/>
    <s v="阿蘇赤身和牛　ミンチ（部位指定なし）"/>
    <n v="4000"/>
    <n v="4710"/>
    <n v="5000"/>
    <n v="2"/>
    <s v="kg"/>
    <n v="0.19999999999999996"/>
    <n v="0.08"/>
    <m/>
    <m/>
    <m/>
    <m/>
    <m/>
    <m/>
    <m/>
    <m/>
    <m/>
    <n v="8000"/>
    <n v="10000"/>
    <x v="1"/>
    <n v="5000"/>
  </r>
  <r>
    <x v="6"/>
    <n v="0"/>
    <n v="1"/>
    <s v="オーセントホテルズ株式会社"/>
    <m/>
    <s v="あぷかの森"/>
    <s v="鹿肉サンプル（ロース、内もも）"/>
    <n v="0"/>
    <s v=""/>
    <n v="0"/>
    <m/>
    <s v=""/>
    <e v="#DIV/0!"/>
    <s v=""/>
    <s v="あぷかの森"/>
    <s v="鹿肉サンプル（ロース、内もも）"/>
    <n v="0"/>
    <n v="0"/>
    <n v="1"/>
    <s v="式"/>
    <n v="0.1"/>
    <m/>
    <m/>
    <n v="0"/>
    <n v="0"/>
    <x v="3"/>
    <n v="0"/>
  </r>
  <r>
    <x v="7"/>
    <n v="1"/>
    <n v="1"/>
    <s v="新日本海フェリー"/>
    <s v="PRD_SNJ_KYS_0001_01"/>
    <s v="協栄製茶　壱之庄"/>
    <s v="雁の音ほうじ茶壱之棒（ティーバッグ） 45袋"/>
    <n v="1040.7407407407406"/>
    <n v="1230"/>
    <n v="1230"/>
    <m/>
    <s v="パック"/>
    <n v="0.1538693164709426"/>
    <n v="0.08"/>
    <m/>
    <m/>
    <m/>
    <m/>
    <m/>
    <m/>
    <m/>
    <m/>
    <m/>
    <n v="0"/>
    <n v="0"/>
    <x v="4"/>
    <n v="1230"/>
  </r>
  <r>
    <x v="7"/>
    <n v="1"/>
    <n v="2"/>
    <s v="新日本海フェリー"/>
    <m/>
    <s v="協栄製茶　壱之庄"/>
    <s v="送料（北陸）"/>
    <s v=""/>
    <s v=""/>
    <m/>
    <m/>
    <s v=""/>
    <e v="#VALUE!"/>
    <s v=""/>
    <s v="協栄製茶　壱之庄"/>
    <s v="送料（北陸）"/>
    <m/>
    <m/>
    <n v="1"/>
    <s v="式"/>
    <n v="0.1"/>
    <m/>
    <m/>
    <e v="#VALUE!"/>
    <n v="0"/>
    <x v="4"/>
    <n v="0"/>
  </r>
  <r>
    <x v="8"/>
    <n v="1"/>
    <n v="1"/>
    <s v="NISSHAビジネスサービス"/>
    <m/>
    <s v="ベジタブルワークス"/>
    <s v="レトルトとうもろこし"/>
    <n v="310"/>
    <s v=""/>
    <m/>
    <m/>
    <s v=""/>
    <e v="#DIV/0!"/>
    <s v=""/>
    <s v="ベジタブルワークス"/>
    <s v="レトルトとうもろこし"/>
    <n v="310"/>
    <n v="396"/>
    <n v="60"/>
    <s v="本"/>
    <n v="0.08"/>
    <m/>
    <m/>
    <n v="18600"/>
    <n v="23760"/>
    <x v="5"/>
    <n v="396"/>
  </r>
  <r>
    <x v="8"/>
    <n v="1"/>
    <n v="2"/>
    <s v="NISSHAビジネスサービス"/>
    <m/>
    <s v="ベジタブルワークス"/>
    <s v="レトルトとうもろこし　関西送料"/>
    <n v="1300"/>
    <s v=""/>
    <m/>
    <m/>
    <s v=""/>
    <e v="#DIV/0!"/>
    <s v=""/>
    <s v="ベジタブルワークス"/>
    <s v="レトルトとうもろこし　関西送料"/>
    <n v="1300"/>
    <n v="0"/>
    <n v="1"/>
    <s v="式"/>
    <n v="0.1"/>
    <m/>
    <m/>
    <n v="1300"/>
    <n v="0"/>
    <x v="5"/>
    <n v="0"/>
  </r>
  <r>
    <x v="8"/>
    <n v="2"/>
    <n v="1"/>
    <s v="NISSHAビジネスサービス"/>
    <m/>
    <s v="有限会社小林食品"/>
    <s v="オホーツク流氷ラーメン 　 かに（2食入り）"/>
    <n v="390"/>
    <s v=""/>
    <m/>
    <m/>
    <s v=""/>
    <e v="#DIV/0!"/>
    <s v=""/>
    <s v="有限会社小林食品"/>
    <s v="オホーツク流氷ラーメン 　 かに（2食入り）"/>
    <n v="390"/>
    <n v="518"/>
    <n v="16"/>
    <s v="袋"/>
    <n v="0.08"/>
    <m/>
    <m/>
    <n v="6240"/>
    <n v="8288"/>
    <x v="5"/>
    <n v="518"/>
  </r>
  <r>
    <x v="8"/>
    <n v="3"/>
    <n v="2"/>
    <s v="NISSHAビジネスサービス"/>
    <m/>
    <s v="有限会社小林食品"/>
    <s v="オホーツク流氷ラーメン 　 ホタテ（2食入り）"/>
    <n v="390"/>
    <s v=""/>
    <m/>
    <m/>
    <s v=""/>
    <e v="#DIV/0!"/>
    <s v=""/>
    <s v="有限会社小林食品"/>
    <s v="オホーツク流氷ラーメン 　 ホタテ（2食入り）"/>
    <n v="390"/>
    <n v="518"/>
    <n v="18"/>
    <s v="袋"/>
    <n v="0.08"/>
    <m/>
    <m/>
    <n v="7020"/>
    <n v="9324"/>
    <x v="5"/>
    <n v="518"/>
  </r>
  <r>
    <x v="8"/>
    <n v="4"/>
    <n v="3"/>
    <s v="NISSHAビジネスサービス"/>
    <m/>
    <s v="有限会社小林食品"/>
    <s v="ズワイガニ風味ラーメン 　 味噌（1食入り）"/>
    <n v="175"/>
    <s v=""/>
    <m/>
    <m/>
    <s v=""/>
    <e v="#DIV/0!"/>
    <s v=""/>
    <s v="有限会社小林食品"/>
    <s v="ズワイガニ風味ラーメン 　 味噌（1食入り）"/>
    <n v="175"/>
    <n v="238"/>
    <n v="14"/>
    <s v="袋"/>
    <n v="0.08"/>
    <m/>
    <m/>
    <n v="2450"/>
    <n v="3332"/>
    <x v="5"/>
    <n v="238"/>
  </r>
  <r>
    <x v="8"/>
    <n v="5"/>
    <n v="4"/>
    <s v="NISSHAビジネスサービス"/>
    <m/>
    <s v="有限会社小林食品"/>
    <s v="ズワイガニ風味ラーメン 　 醤油（1食入り）"/>
    <n v="175"/>
    <s v=""/>
    <m/>
    <m/>
    <s v=""/>
    <e v="#DIV/0!"/>
    <s v=""/>
    <s v="有限会社小林食品"/>
    <s v="ズワイガニ風味ラーメン 　 醤油（1食入り）"/>
    <n v="175"/>
    <n v="238"/>
    <n v="13"/>
    <s v="袋"/>
    <n v="0.08"/>
    <m/>
    <m/>
    <n v="2275"/>
    <n v="3094"/>
    <x v="5"/>
    <n v="238"/>
  </r>
  <r>
    <x v="9"/>
    <n v="1"/>
    <n v="1"/>
    <s v="日新堂株式会社"/>
    <s v="PRD_SNJ_YAS_0001_01"/>
    <s v="湯浅醤油"/>
    <s v="蔵匠　樽仕込み 200ml"/>
    <n v="420"/>
    <n v="500"/>
    <n v="600"/>
    <n v="60"/>
    <s v="本"/>
    <n v="0.30000000000000004"/>
    <n v="0.08"/>
    <m/>
    <m/>
    <m/>
    <m/>
    <m/>
    <m/>
    <m/>
    <m/>
    <m/>
    <n v="25200"/>
    <n v="36000"/>
    <x v="4"/>
    <n v="600"/>
  </r>
  <r>
    <x v="9"/>
    <n v="2"/>
    <n v="2"/>
    <s v="日新堂株式会社"/>
    <s v="PRD_SNJ_YAS_0002_01"/>
    <s v="湯浅醤油"/>
    <s v="蔵匠　樽仕込み 720ml"/>
    <n v="945"/>
    <n v="1120"/>
    <n v="1350"/>
    <n v="60"/>
    <s v="本"/>
    <n v="0.30000000000000004"/>
    <n v="0.08"/>
    <m/>
    <m/>
    <m/>
    <m/>
    <m/>
    <m/>
    <m/>
    <m/>
    <m/>
    <n v="56700"/>
    <n v="81000"/>
    <x v="4"/>
    <n v="1350"/>
  </r>
  <r>
    <x v="9"/>
    <n v="3"/>
    <n v="3"/>
    <s v="日新堂株式会社"/>
    <s v="PRD_SNJ_YAS_0003_01"/>
    <s v="湯浅醤油"/>
    <s v="蔵匠 白搾り 200ml"/>
    <n v="385"/>
    <n v="460"/>
    <n v="550"/>
    <n v="60"/>
    <s v="本"/>
    <n v="0.30000000000000004"/>
    <n v="0.08"/>
    <m/>
    <m/>
    <m/>
    <m/>
    <m/>
    <m/>
    <m/>
    <m/>
    <m/>
    <n v="23100"/>
    <n v="33000"/>
    <x v="4"/>
    <n v="550"/>
  </r>
  <r>
    <x v="9"/>
    <n v="4"/>
    <n v="4"/>
    <s v="日新堂株式会社"/>
    <s v="PRD_SNJ_YAS_0004_01"/>
    <s v="湯浅醤油"/>
    <s v="蔵匠 白搾り 720ml"/>
    <n v="840"/>
    <n v="990"/>
    <n v="1200"/>
    <n v="60"/>
    <s v="本"/>
    <n v="0.30000000000000004"/>
    <n v="0.08"/>
    <m/>
    <m/>
    <m/>
    <m/>
    <m/>
    <m/>
    <m/>
    <m/>
    <m/>
    <n v="50400"/>
    <n v="72000"/>
    <x v="4"/>
    <n v="1200"/>
  </r>
  <r>
    <x v="9"/>
    <n v="5"/>
    <n v="5"/>
    <s v="日新堂株式会社"/>
    <s v="PRD_SNJ_YAS_0006_01"/>
    <s v="湯浅醤油"/>
    <s v="蔵匠 樽仕込み 1.8L "/>
    <n v="2030"/>
    <n v="2390"/>
    <n v="2900"/>
    <n v="30"/>
    <s v="本"/>
    <n v="0.30000000000000004"/>
    <n v="0.08"/>
    <m/>
    <m/>
    <m/>
    <m/>
    <m/>
    <m/>
    <m/>
    <m/>
    <m/>
    <n v="60900"/>
    <n v="87000"/>
    <x v="4"/>
    <n v="2900"/>
  </r>
  <r>
    <x v="10"/>
    <n v="1"/>
    <n v="1"/>
    <s v="日新堂株式会社"/>
    <s v="PRD_SNJ_YAS_0001_01"/>
    <s v="湯浅醤油"/>
    <s v="蔵匠　樽仕込み 200ml"/>
    <n v="420"/>
    <n v="500"/>
    <n v="510"/>
    <n v="60"/>
    <s v="本"/>
    <n v="0.17647058823529416"/>
    <n v="0.08"/>
    <m/>
    <m/>
    <m/>
    <m/>
    <m/>
    <m/>
    <m/>
    <m/>
    <m/>
    <n v="25200"/>
    <n v="30600"/>
    <x v="4"/>
    <n v="510"/>
  </r>
  <r>
    <x v="10"/>
    <n v="2"/>
    <n v="2"/>
    <s v="日新堂株式会社"/>
    <s v="PRD_SNJ_YAS_0002_01"/>
    <s v="湯浅醤油"/>
    <s v="蔵匠　樽仕込み 720ml"/>
    <n v="945"/>
    <n v="1120"/>
    <n v="1150"/>
    <n v="60"/>
    <s v="本"/>
    <n v="0.17826086956521736"/>
    <n v="0.08"/>
    <m/>
    <m/>
    <m/>
    <m/>
    <m/>
    <m/>
    <m/>
    <m/>
    <m/>
    <n v="56700"/>
    <n v="69000"/>
    <x v="4"/>
    <n v="1150"/>
  </r>
  <r>
    <x v="10"/>
    <n v="3"/>
    <n v="3"/>
    <s v="日新堂株式会社"/>
    <s v="PRD_SNJ_YAS_0003_01"/>
    <s v="湯浅醤油"/>
    <s v="蔵匠 白搾り 200ml"/>
    <n v="385"/>
    <n v="460"/>
    <n v="470"/>
    <n v="60"/>
    <s v="本"/>
    <n v="0.18085106382978722"/>
    <n v="0.08"/>
    <m/>
    <m/>
    <m/>
    <m/>
    <m/>
    <m/>
    <m/>
    <m/>
    <m/>
    <n v="23100"/>
    <n v="28200"/>
    <x v="4"/>
    <n v="470"/>
  </r>
  <r>
    <x v="10"/>
    <n v="4"/>
    <n v="4"/>
    <s v="日新堂株式会社"/>
    <s v="PRD_SNJ_YAS_0004_01"/>
    <s v="湯浅醤油"/>
    <s v="蔵匠 白搾り 720ml"/>
    <n v="840"/>
    <n v="990"/>
    <n v="1020"/>
    <n v="60"/>
    <s v="本"/>
    <n v="0.17647058823529416"/>
    <n v="0.08"/>
    <m/>
    <m/>
    <m/>
    <m/>
    <m/>
    <m/>
    <m/>
    <m/>
    <m/>
    <n v="50400"/>
    <n v="61200"/>
    <x v="4"/>
    <n v="1020"/>
  </r>
  <r>
    <x v="10"/>
    <n v="5"/>
    <n v="5"/>
    <s v="日新堂株式会社"/>
    <s v="PRD_SNJ_YAS_0006_01"/>
    <s v="湯浅醤油"/>
    <s v="蔵匠 樽仕込み 1.8L "/>
    <n v="2030"/>
    <n v="2390"/>
    <n v="2470"/>
    <n v="30"/>
    <s v="本"/>
    <n v="0.17813765182186236"/>
    <n v="0.08"/>
    <m/>
    <m/>
    <m/>
    <m/>
    <m/>
    <m/>
    <m/>
    <m/>
    <m/>
    <n v="60900"/>
    <n v="74100"/>
    <x v="4"/>
    <n v="247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443356-B4A3-4311-B380-222EB8934BB0}" name="ピボットテーブル1" cacheId="2" applyNumberFormats="0" applyBorderFormats="0" applyFontFormats="0" applyPatternFormats="0" applyAlignmentFormats="0" applyWidthHeightFormats="1" dataCaption="値" updatedVersion="7" minRefreshableVersion="3" useAutoFormatting="1" itemPrintTitles="1" createdVersion="7" indent="0" outline="1" outlineData="1" multipleFieldFilters="0">
  <location ref="A3:C12" firstHeaderRow="0" firstDataRow="1" firstDataCol="1" rowPageCount="1" colPageCount="1"/>
  <pivotFields count="27">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182" showAll="0"/>
    <pivotField axis="axisPage" numFmtId="176" multipleItemSelectionAllowed="1" showAll="0">
      <items count="7">
        <item h="1" x="4"/>
        <item x="0"/>
        <item x="1"/>
        <item x="2"/>
        <item x="3"/>
        <item x="5"/>
        <item t="default"/>
      </items>
    </pivotField>
    <pivotField numFmtId="38" showAll="0"/>
  </pivotFields>
  <rowFields count="1">
    <field x="0"/>
  </rowFields>
  <rowItems count="9">
    <i>
      <x/>
    </i>
    <i>
      <x v="1"/>
    </i>
    <i>
      <x v="2"/>
    </i>
    <i>
      <x v="3"/>
    </i>
    <i>
      <x v="4"/>
    </i>
    <i>
      <x v="5"/>
    </i>
    <i>
      <x v="6"/>
    </i>
    <i>
      <x v="8"/>
    </i>
    <i t="grand">
      <x/>
    </i>
  </rowItems>
  <colFields count="1">
    <field x="-2"/>
  </colFields>
  <colItems count="2">
    <i>
      <x/>
    </i>
    <i i="1">
      <x v="1"/>
    </i>
  </colItems>
  <pageFields count="1">
    <pageField fld="25" hier="-1"/>
  </pageFields>
  <dataFields count="2">
    <dataField name="合計 / 単価×数（仕入）" fld="23" baseField="0" baseItem="0"/>
    <dataField name="合計 / 単価×数（売値）" fld="24" baseField="0" baseItem="0"/>
  </dataFields>
  <formats count="2">
    <format dxfId="3">
      <pivotArea collapsedLevelsAreSubtotals="1" fieldPosition="0">
        <references count="1">
          <reference field="0" count="8">
            <x v="0"/>
            <x v="1"/>
            <x v="2"/>
            <x v="3"/>
            <x v="4"/>
            <x v="5"/>
            <x v="6"/>
            <x v="8"/>
          </reference>
        </references>
      </pivotArea>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063B14-6E9C-4973-AD87-E899902A7B86}" name="テーブル1" displayName="テーブル1" ref="A1:J139" totalsRowShown="0" headerRowDxfId="180" headerRowBorderDxfId="179" tableBorderDxfId="178">
  <autoFilter ref="A1:J139" xr:uid="{A5063B14-6E9C-4973-AD87-E899902A7B86}"/>
  <tableColumns count="10">
    <tableColumn id="1" xr3:uid="{5B801F3D-30AF-4D44-A32B-9D511EB8C5FD}" name="仕入先コード"/>
    <tableColumn id="2" xr3:uid="{E854556F-AC24-467C-B3EE-7BCB2D4A0FEB}" name="仕入先名"/>
    <tableColumn id="3" xr3:uid="{6D8A6B2F-9252-403D-8259-07E71754F678}" name="住所１"/>
    <tableColumn id="9" xr3:uid="{A5E17DEA-3763-402C-91B4-7A728F3BF804}" name="住所２"/>
    <tableColumn id="4" xr3:uid="{C60C90FD-7780-4103-9950-3982020A384C}" name="電話番号"/>
    <tableColumn id="5" xr3:uid="{18DBA39F-276D-44BC-BAC5-E7947DF39F1A}" name="担当者"/>
    <tableColumn id="6" xr3:uid="{6C264DF9-83D3-4025-BF54-F9BDE157F98D}" name="支払条件"/>
    <tableColumn id="7" xr3:uid="{89995A30-879F-4475-BA93-57F0874B7BC5}" name="仕入先見積税区分"/>
    <tableColumn id="10" xr3:uid="{E58E1A34-7437-4F97-B2E6-AF1104965611}" name="紹介文"/>
    <tableColumn id="8" xr3:uid="{2C6E4908-37B0-4A73-9A0C-6F2993689FBB}" name="備考"/>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EA369B-2AB4-4A2B-B51B-51F3BC890A66}" name="商品マスタ" displayName="商品マスタ" ref="A2:AG1128" totalsRowShown="0" headerRowDxfId="176" dataDxfId="174" headerRowBorderDxfId="175" tableBorderDxfId="173" totalsRowBorderDxfId="172">
  <autoFilter ref="A2:AG1128" xr:uid="{25EA369B-2AB4-4A2B-B51B-51F3BC890A66}"/>
  <sortState xmlns:xlrd2="http://schemas.microsoft.com/office/spreadsheetml/2017/richdata2" ref="A295:AG300">
    <sortCondition ref="C2:C1128"/>
  </sortState>
  <tableColumns count="33">
    <tableColumn id="49" xr3:uid="{9AC7C59F-3FD8-4224-89E6-B37794B3ED36}" name="大分類" dataDxfId="171"/>
    <tableColumn id="48" xr3:uid="{34D6C6B0-F688-4024-A044-218A849B0975}" name="小分類" dataDxfId="170"/>
    <tableColumn id="6" xr3:uid="{B453FB8D-510C-4088-A256-B4416EF8AFAE}" name="仕入先" dataDxfId="169"/>
    <tableColumn id="1" xr3:uid="{7AC7FD3E-B1CB-4860-9C25-763E9898917F}" name="商品連番" dataDxfId="168">
      <calculatedColumnFormula>"PRD_SNJ_"&amp;
_xlfn.XLOOKUP(商品マスタ[[#This Row],[仕入先]],テーブル1[仕入先名],テーブル1[仕入先コード],"XXX",0,1)&amp;
"_"&amp;
商品マスタ[[#This Row],[シリアル]]&amp;
"_"&amp;
TEXT(COUNTIFS(商品マスタ!$C$3:C3,商品マスタ[[#This Row],[仕入先]],商品マスタ!$E$3:E3,商品マスタ[[#This Row],[商品名]]), "00")</calculatedColumnFormula>
    </tableColumn>
    <tableColumn id="2" xr3:uid="{7A9F3FCC-6C0A-44A7-894B-EE9F984F29D9}" name="商品名" dataDxfId="167"/>
    <tableColumn id="36" xr3:uid="{33F12909-5001-4E65-84D2-9A81C0E97B87}" name="初出フラグ" dataDxfId="166">
      <calculatedColumnFormula>IF(COUNTIFS($C$3:C3,商品マスタ[[#This Row],[仕入先]],$E$3:E3,商品マスタ[[#This Row],[商品名]]) = 1, 1,0)</calculatedColumnFormula>
    </tableColumn>
    <tableColumn id="35" xr3:uid="{2C4EF6AF-4EE2-4AAD-AADC-932F647941FC}" name="シリアル" dataDxfId="165">
      <calculatedColumnFormula>TEXT(SUMIF($C$3:C3,商品マスタ[[#This Row],[仕入先]],$F$3:F3), "0000")</calculatedColumnFormula>
    </tableColumn>
    <tableColumn id="3" xr3:uid="{FA6F5691-3C48-422B-A260-DDF220E34BAB}" name="単位" dataDxfId="164"/>
    <tableColumn id="20" xr3:uid="{463B87CE-84AF-4117-A7CB-A3EF3BD45A71}" name="容量" dataDxfId="163"/>
    <tableColumn id="9" xr3:uid="{8CF53F5F-668B-4E40-90A8-A25AEF850A2C}" name="発注ロット" dataDxfId="162"/>
    <tableColumn id="11" xr3:uid="{B19027E0-117A-4368-A662-FE00E4C0E33F}" name="荷姿" dataDxfId="161"/>
    <tableColumn id="4" xr3:uid="{BD72CC84-EF37-45D0-AA9E-A80314A9A3BB}" name="仕入_x000a_単価" dataDxfId="160"/>
    <tableColumn id="10" xr3:uid="{902BFBB3-21D7-4533-8AAE-7FD210297F3A}" name="仕入価格更新日" dataDxfId="159"/>
    <tableColumn id="5" xr3:uid="{5663DA91-1D90-4E2A-9467-4F0E1158F0C9}" name="参考上代_x000a_（税込)" dataDxfId="158"/>
    <tableColumn id="32" xr3:uid="{2075D895-E9C4-43FD-A6A3-140FF82C27DC}" name="販売先利益率_x000a_（上代加味）" dataDxfId="157" dataCellStyle="パーセント">
      <calculatedColumnFormula>IF(COUNT(商品マスタ[[#This Row],[参考上代
（税込)]]) &gt; 0, (商品マスタ[[#This Row],[参考上代
（税込)]]-商品マスタ[[#This Row],[国内定価
（15％）]])/(商品マスタ[[#This Row],[参考上代
（税込)]]/1.08), "")</calculatedColumnFormula>
    </tableColumn>
    <tableColumn id="26" xr3:uid="{5318F527-94EE-4C10-9009-A861F0991FBA}" name="標準国内送料率" dataDxfId="156"/>
    <tableColumn id="28" xr3:uid="{E6D365C8-7F4F-4A00-8249-9079B25F8E33}" name="標準国内送料" dataDxfId="155">
      <calculatedColumnFormula>商品マスタ[[#This Row],[仕入
単価]]*商品マスタ[[#This Row],[標準国内送料率]]</calculatedColumnFormula>
    </tableColumn>
    <tableColumn id="22" xr3:uid="{D89210FF-2A14-4691-9E14-7F77E2765B8D}" name="実績_x000a_国内送料" dataDxfId="154"/>
    <tableColumn id="13" xr3:uid="{17BA09E2-9E46-4E34-9E65-BF6890B51C4A}" name="国内送料" dataDxfId="153">
      <calculatedColumnFormula>IF(ISBLANK(商品マスタ[[#This Row],[実績
国内送料]]),商品マスタ[[#This Row],[標準国内送料]],)</calculatedColumnFormula>
    </tableColumn>
    <tableColumn id="47" xr3:uid="{678822B9-A2A1-4ECB-85D8-06015A46ED14}" name="仕入単価+国内送料" dataDxfId="152">
      <calculatedColumnFormula>商品マスタ[[#This Row],[仕入
単価]]+商品マスタ[[#This Row],[国内送料]]</calculatedColumnFormula>
    </tableColumn>
    <tableColumn id="46" xr3:uid="{924372B9-55F5-4936-A9F8-A779915C797B}" name="海外定価_x000a_（20％）" dataDxfId="151">
      <calculatedColumnFormula>ROUNDUP(商品マスタ[[#This Row],[仕入単価+国内送料]]/0.8,-1)</calculatedColumnFormula>
    </tableColumn>
    <tableColumn id="45" xr3:uid="{FD96EC44-FEC1-4119-84A7-7355D2E14968}" name="海外定価_x000a_粗利" dataDxfId="150">
      <calculatedColumnFormula>商品マスタ[[#This Row],[海外定価
（20％）]]-商品マスタ[[#This Row],[仕入単価+国内送料]]</calculatedColumnFormula>
    </tableColumn>
    <tableColumn id="19" xr3:uid="{77F280C9-7B9B-4221-8BE2-AC731787328B}" name="国内定価_x000a_（15％）" dataDxfId="149">
      <calculatedColumnFormula>ROUNDUP(商品マスタ[[#This Row],[仕入単価+国内送料]]/0.85,-1)</calculatedColumnFormula>
    </tableColumn>
    <tableColumn id="33" xr3:uid="{A820B8A1-9E78-4648-BF23-343BA6B01050}" name="国内定価_x000a_粗利" dataDxfId="148">
      <calculatedColumnFormula>商品マスタ[[#This Row],[国内定価
（15％）]]-商品マスタ[[#This Row],[仕入単価+国内送料]]</calculatedColumnFormula>
    </tableColumn>
    <tableColumn id="31" xr3:uid="{7630D395-CF58-4765-B58E-315C33F00F21}" name="税率" dataDxfId="147"/>
    <tableColumn id="12" xr3:uid="{85116C8B-F7DB-45FE-B15B-4C39A47E9466}" name="賞味期限" dataDxfId="146"/>
    <tableColumn id="34" xr3:uid="{1F04DBC5-B2E6-43C3-8300-E85724156E1D}" name="温度帯" dataDxfId="145"/>
    <tableColumn id="8" xr3:uid="{AE262E48-ADDF-4E72-8392-BB38C9FA687A}" name="発注リードタイム" dataDxfId="144"/>
    <tableColumn id="15" xr3:uid="{CA0DF095-B110-487A-9884-CE1073A8D4AE}" name="JANコード" dataDxfId="143"/>
    <tableColumn id="16" xr3:uid="{8240C1A3-27DA-491F-9CF3-B82BCFFF22D6}" name="商品特徴" dataDxfId="142"/>
    <tableColumn id="23" xr3:uid="{CE2F3376-306B-456A-80F2-D4A9726B9537}" name="画像名" dataDxfId="141"/>
    <tableColumn id="27" xr3:uid="{18E4E0C2-5B3E-4542-B810-899B36ECF4CA}" name="EEZO_x000a_掲載可否" dataDxfId="140"/>
    <tableColumn id="17" xr3:uid="{DDE36BF0-D4AB-431A-B091-73E84345DF4C}" name="申し送り事項_x000a_在庫、支払い条件、税率、送料条件など" dataDxfId="139"/>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AE8750-0999-453F-9CDE-614E0FE6C308}" name="tbl_採番" displayName="tbl_採番" ref="A2:H158" totalsRowShown="0" headerRowDxfId="138" headerRowBorderDxfId="137" tableBorderDxfId="136" totalsRowBorderDxfId="135">
  <autoFilter ref="A2:H158" xr:uid="{7EAE8750-0999-453F-9CDE-614E0FE6C308}"/>
  <tableColumns count="8">
    <tableColumn id="1" xr3:uid="{7B1F3BDC-7FF3-4572-8FC5-6BDDB9A65270}" name="ID" dataDxfId="134">
      <calculatedColumnFormula>ROW([1]!tbl_採番[[#This Row],[ID]])-2</calculatedColumnFormula>
    </tableColumn>
    <tableColumn id="6" xr3:uid="{2EBC6A19-6DEC-405A-BB91-8BBB59E13A1D}" name="年" dataDxfId="133"/>
    <tableColumn id="2" xr3:uid="{9105A170-0285-408E-BD15-FBA29C8C510F}" name="月" dataDxfId="132"/>
    <tableColumn id="3" xr3:uid="{AFA51DF0-85DA-4497-AAA6-4059CE151C4B}" name="担当者" dataDxfId="131"/>
    <tableColumn id="4" xr3:uid="{E8ECC0A3-5E2D-4183-9822-EA9AE990D320}" name="支店" dataDxfId="130"/>
    <tableColumn id="8" xr3:uid="{564D75CC-02F3-4F8C-B154-099E9C4AF5A4}" name="顧客" dataDxfId="129"/>
    <tableColumn id="5" xr3:uid="{919BDCB3-84E7-4CDA-A472-C993F9CB4FE7}" name="案件番号" dataDxfId="128">
      <calculatedColumnFormula>IF(ISBLANK([1]!tbl_採番[[#This Row],[年]]),"",(RIGHT([1]!tbl_採番[[#This Row],[年]],2)&amp;TEXT([1]!tbl_採番[[#This Row],[月]],"00")&amp;"-1"&amp;TEXT(COUNTIFS(B$3:B3,B3,C$3:C3,C3),"000")&amp;"-"&amp;_xlfn.XLOOKUP([1]!tbl_採番[[#This Row],[担当者]],[1]入力ルール用シート!$D$2:$D$8,[1]入力ルール用シート!$E$2:$E$8,"",0,1)&amp;_xlfn.XLOOKUP([1]!tbl_採番[[#This Row],[支店]],[1]入力ルール用シート!$F$2:$F$3,[1]入力ルール用シート!$G$2:$G$3,"",0,1)))</calculatedColumnFormula>
    </tableColumn>
    <tableColumn id="7" xr3:uid="{F40A74C1-B4F8-4430-93F9-5EE7A83E1E83}" name="商品" dataDxfId="12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E04BE9-EF79-4E9E-9247-889AD019D6F9}" name="tbl_与信" displayName="tbl_与信" ref="A2:Q62" totalsRowShown="0" headerRowDxfId="125" headerRowBorderDxfId="124" tableBorderDxfId="123" totalsRowBorderDxfId="122">
  <autoFilter ref="A2:Q62" xr:uid="{83E04BE9-EF79-4E9E-9247-889AD019D6F9}"/>
  <tableColumns count="17">
    <tableColumn id="1" xr3:uid="{390F8A25-8352-4E79-9B45-3F2FEF7A4B54}" name="顧客名" dataDxfId="121"/>
    <tableColumn id="2" xr3:uid="{A30E95F9-E81E-407B-9178-DE0290FB5873}" name="区分" dataDxfId="120"/>
    <tableColumn id="3" xr3:uid="{624BFC58-DDAA-4DC8-85AE-348C18C5F29F}" name="調査機関" dataDxfId="119"/>
    <tableColumn id="4" xr3:uid="{2578F75F-C51C-4D92-8D93-8CA95FEB45C1}" name="評点/格付" dataDxfId="118"/>
    <tableColumn id="5" xr3:uid="{249F10AD-6ABB-4CF9-B615-EEF4DAE84FF3}" name="調査日" dataDxfId="117"/>
    <tableColumn id="6" xr3:uid="{D8809F5E-ADA8-464B-A7A0-A2A1950C5B95}" name="年間売上高" dataDxfId="116" dataCellStyle="桁区切り"/>
    <tableColumn id="7" xr3:uid="{4078FC3D-46B5-4F56-90C7-C05F287D379D}" name="年間利益金" dataDxfId="115" dataCellStyle="桁区切り"/>
    <tableColumn id="8" xr3:uid="{592394FB-5908-45C0-AB58-B11AEF061369}" name="自己資本率" dataDxfId="114"/>
    <tableColumn id="9" xr3:uid="{3B487475-A07D-45A3-BEA8-51D84CECAB85}" name="与信限度額" dataDxfId="113">
      <calculatedColumnFormula>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calculatedColumnFormula>
    </tableColumn>
    <tableColumn id="10" xr3:uid="{6B067B42-908C-4F57-84AB-28B8C6A852CB}" name="算定根拠" dataDxfId="112">
      <calculatedColumnFormula>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calculatedColumnFormula>
    </tableColumn>
    <tableColumn id="11" xr3:uid="{CE3DA811-6257-4DF5-8322-2EEC25701F77}" name="稟議番号" dataDxfId="111"/>
    <tableColumn id="12" xr3:uid="{E9365DE8-9046-4D0D-95AC-85363C0936C4}" name="稟議決裁日" dataDxfId="110"/>
    <tableColumn id="16" xr3:uid="{5AB1AB8A-D6ED-4F30-BC86-DEC1C44EC085}" name="売掛金更新日" dataDxfId="109"/>
    <tableColumn id="13" xr3:uid="{FEB213CE-4604-4920-A698-75FA2BF5E3F9}" name="現在売掛残高" dataDxfId="108"/>
    <tableColumn id="14" xr3:uid="{50CCE1D4-7000-4605-8E28-B1B0C1599A4A}" name="残与信枠" dataDxfId="107">
      <calculatedColumnFormula>IF(ISBLANK(tbl_与信[[#This Row],[顧客名]]),"",IF(ISNUMBER(tbl_与信[[#This Row],[与信限度額]]), tbl_与信[[#This Row],[与信限度額]]-tbl_与信[[#This Row],[現在売掛残高]], "-"))</calculatedColumnFormula>
    </tableColumn>
    <tableColumn id="15" xr3:uid="{533C472A-1CF3-4DAA-A7C3-FB77B5BA64C3}" name="支払条件" dataDxfId="106"/>
    <tableColumn id="17" xr3:uid="{88CD3131-BC5B-48B2-8E85-6808578C0DFD}" name="備考" dataDxfId="10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AD358C-6CBA-4BEC-8407-47E2B66EF273}" name="tbl_明細" displayName="tbl_明細" ref="A2:AB203" totalsRowShown="0" headerRowDxfId="103" headerRowBorderDxfId="102" tableBorderDxfId="101" totalsRowBorderDxfId="100">
  <autoFilter ref="A2:AB203" xr:uid="{44AD358C-6CBA-4BEC-8407-47E2B66EF273}"/>
  <tableColumns count="28">
    <tableColumn id="1" xr3:uid="{970CF5CB-55DB-4143-89D5-F08936DAFC3A}" name="案件番号" dataDxfId="99"/>
    <tableColumn id="2" xr3:uid="{FCC0A157-B2B5-4977-99C8-535148D4746A}" name="No" dataDxfId="98">
      <calculatedColumnFormula>IF(ISBLANK(tbl_明細[[#This Row],[案件番号]]),"",COUNTIFS($A$3:A3,tbl_明細[[#This Row],[案件番号]],$AA$3:AA3,"&gt;0"))</calculatedColumnFormula>
    </tableColumn>
    <tableColumn id="18" xr3:uid="{7E3EC105-0BBE-424E-BE5F-DB62D79B4A62}" name="（非表示）仕入No." dataDxfId="97">
      <calculatedColumnFormula>COUNTIFS($A$3:A3,tbl_明細[[#This Row],[案件番号]],$F$3:F3,tbl_明細[[#This Row],[仕入先]])</calculatedColumnFormula>
    </tableColumn>
    <tableColumn id="21" xr3:uid="{AB5778D4-7A82-4E7E-A062-43F436D0D05B}" name="顧客名" dataDxfId="96">
      <calculatedColumnFormula>_xlfn.XLOOKUP(tbl_明細[[#This Row],[案件番号]],tbl_採番[案件番号],tbl_採番[顧客],"",0,1)</calculatedColumnFormula>
    </tableColumn>
    <tableColumn id="3" xr3:uid="{CE59882A-BB3E-4ADC-8FC3-CE2AA20827A8}" name="商品ID" dataDxfId="95"/>
    <tableColumn id="4" xr3:uid="{26FE68C2-1842-4F15-A9B0-FE8FD279B6A9}" name="仕入先" dataDxfId="94">
      <calculatedColumnFormula>IF(ISBLANK(tbl_明細[[#This Row],[仕入先（M)]]),_xlfn.XLOOKUP(tbl_明細[[#This Row],[商品ID]],商品マスタ[商品連番],商品マスタ[仕入先],"",0,1),tbl_明細[[#This Row],[仕入先（M)]])</calculatedColumnFormula>
    </tableColumn>
    <tableColumn id="5" xr3:uid="{29646455-8BB3-4316-B544-F4C4FC849A0C}" name="商品名" dataDxfId="93">
      <calculatedColumnFormula>IF(ISBLANK(tbl_明細[[#This Row],[商品名（M)]]),_xlfn.XLOOKUP(tbl_明細[[#This Row],[商品ID]],商品マスタ[商品連番],商品マスタ[商品名],"",0,),tbl_明細[[#This Row],[商品名（M)]])</calculatedColumnFormula>
    </tableColumn>
    <tableColumn id="6" xr3:uid="{E627D12C-29A7-4B26-9093-838BBD823FBD}" name="仕入価格" dataDxfId="92" dataCellStyle="桁区切り">
      <calculatedColumnFormula>IF(ISBLANK(tbl_明細[[#This Row],[仕入価格（M)]]),_xlfn.XLOOKUP(tbl_明細[[#This Row],[商品ID]],商品マスタ[商品連番],商品マスタ[仕入
単価],"",0,1),tbl_明細[[#This Row],[仕入価格（M)]])</calculatedColumnFormula>
    </tableColumn>
    <tableColumn id="7" xr3:uid="{B0584AB5-E59E-44E7-AA22-8CF3CAF540FE}" name="販売価格（定価）" dataDxfId="91" dataCellStyle="桁区切り">
      <calculatedColumnFormula>_xlfn.XLOOKUP(tbl_明細[[#This Row],[商品ID]],商品マスタ[商品連番],商品マスタ[国内定価
（15％）],"",0,1)</calculatedColumnFormula>
    </tableColumn>
    <tableColumn id="10" xr3:uid="{23159AF9-23F3-409E-AD39-6703091E9B8E}" name="販売価格（売値）" dataDxfId="90" dataCellStyle="桁区切り"/>
    <tableColumn id="8" xr3:uid="{F8088989-0455-428C-AE5C-C489AE6DDF4F}" name="数量" dataDxfId="89"/>
    <tableColumn id="9" xr3:uid="{9F666335-86FD-4F61-A171-345BA11622DF}" name="単位" dataDxfId="88">
      <calculatedColumnFormula>_xlfn.XLOOKUP(tbl_明細[[#This Row],[商品ID]],商品マスタ[商品連番],商品マスタ[単位],"",0,1)</calculatedColumnFormula>
    </tableColumn>
    <tableColumn id="24" xr3:uid="{C0F80DB4-19F1-4659-80CB-B58A31228399}" name="利益率" dataDxfId="87">
      <calculatedColumnFormula>1-tbl_明細[[#This Row],[仕入価格]]/tbl_明細[[#This Row],[販売価格（売値）]]</calculatedColumnFormula>
    </tableColumn>
    <tableColumn id="19" xr3:uid="{0F8B4BC5-51F8-408C-8EBD-75440E3D0EF9}" name="税率" dataDxfId="86" dataCellStyle="パーセント">
      <calculatedColumnFormula>_xlfn.XLOOKUP(tbl_明細[[#This Row],[商品ID]],商品マスタ[商品連番],商品マスタ[税率],"",0,1)</calculatedColumnFormula>
    </tableColumn>
    <tableColumn id="11" xr3:uid="{C3801F3E-F20A-412B-9A38-EAA65B71AB4A}" name="仕入先（M)" dataDxfId="85" dataCellStyle="パーセント"/>
    <tableColumn id="16" xr3:uid="{FC4A3014-72B0-44A7-A414-B0176C765925}" name="商品名（M)" dataDxfId="84"/>
    <tableColumn id="15" xr3:uid="{022DD808-9744-4490-957A-7333A40E8F6A}" name="仕入価格（M)" dataDxfId="83" dataCellStyle="桁区切り"/>
    <tableColumn id="14" xr3:uid="{9F00DCFD-CECF-4498-93D0-4CC25C4957E6}" name="販売価格（M)" dataDxfId="82" dataCellStyle="桁区切り"/>
    <tableColumn id="17" xr3:uid="{FE62A565-61E9-43C0-A00F-0FC47B3A3820}" name="数量（M)" dataDxfId="81"/>
    <tableColumn id="13" xr3:uid="{AA2EA83A-A983-4EBE-BF73-28C939F51EDE}" name="単位（M)" dataDxfId="80"/>
    <tableColumn id="20" xr3:uid="{2B897A65-A03D-4F5F-89BC-AA83198F79AE}" name="税率（M）" dataDxfId="79" dataCellStyle="パーセント"/>
    <tableColumn id="12" xr3:uid="{CD1D007E-9312-4D31-A45F-2DAA921D577D}" name="備考（仕入先向け）" dataDxfId="78" dataCellStyle="パーセント"/>
    <tableColumn id="22" xr3:uid="{25449113-FBF3-494A-8530-663B467DD605}" name="備考（顧客向け）" dataDxfId="77" dataCellStyle="パーセント"/>
    <tableColumn id="25" xr3:uid="{B6EB8215-233B-4033-8A4F-9B84514408AC}" name="単価×数（仕入）" dataDxfId="76" dataCellStyle="パーセント">
      <calculatedColumnFormula>tbl_明細[[#This Row],[仕入価格]]*tbl_明細[[#This Row],[数量]]+tbl_明細[[#This Row],[仕入価格（M)]]*tbl_明細[[#This Row],[数量（M)]]</calculatedColumnFormula>
    </tableColumn>
    <tableColumn id="26" xr3:uid="{C78DEEA9-2FC7-4C4C-A350-0E0F27D0DCE0}" name="単価×数（売値）" dataDxfId="75" dataCellStyle="パーセント">
      <calculatedColumnFormula>tbl_明細[[#This Row],[販売価格（売値）]]*tbl_明細[[#This Row],[数量]]+tbl_明細[[#This Row],[販売価格（M)]]*tbl_明細[[#This Row],[数量（M)]]</calculatedColumnFormula>
    </tableColumn>
    <tableColumn id="27" xr3:uid="{AC81D474-43D5-4FFA-98A4-AC670EE229FB}" name="発注フラグ" dataDxfId="74" dataCellStyle="パーセント">
      <calculatedColumnFormula>_xlfn.XLOOKUP(tbl_明細[[#This Row],[案件番号]],tbl_案件追跡[案件番号],tbl_案件追跡[受注],"",0,1)</calculatedColumnFormula>
    </tableColumn>
    <tableColumn id="23" xr3:uid="{B00FBB0F-B1C8-465A-BB67-C45E51C785C7}" name="(非表示）販売価格の和" dataDxfId="73" dataCellStyle="桁区切り">
      <calculatedColumnFormula>tbl_明細[[#This Row],[販売価格（売値）]]+tbl_明細[[#This Row],[販売価格（M)]]</calculatedColumnFormula>
    </tableColumn>
    <tableColumn id="28" xr3:uid="{FEE6F7E9-26DA-4ACC-836F-7FD152A5FFFE}" name="税込価格" dataDxfId="72" dataCellStyle="桁区切り">
      <calculatedColumnFormula>tbl_明細[[#This Row],[販売価格（売値）]]*1.08+tbl_明細[[#This Row],[販売価格（M)]]*1.08</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AAA5A8-E80A-4936-A725-57BD41E50094}" name="tbl_案件追跡" displayName="tbl_案件追跡" ref="A3:AF34" totalsRowShown="0" headerRowDxfId="59" headerRowBorderDxfId="58" tableBorderDxfId="57" totalsRowBorderDxfId="56">
  <autoFilter ref="A3:AF34" xr:uid="{7BAAA5A8-E80A-4936-A725-57BD41E50094}"/>
  <tableColumns count="32">
    <tableColumn id="1" xr3:uid="{BDF3FA9B-1EDD-44A6-A79E-C7A313FD1AE1}" name="案件番号" dataDxfId="55"/>
    <tableColumn id="20" xr3:uid="{DCBD8DF0-C904-400B-8F23-8CF1D91182C0}" name="仕入先数" dataDxfId="54">
      <calculatedColumnFormula array="1">IF(ISBLANK(tbl_案件追跡[[#This Row],[案件番号]]),"",COUNTA(_xlfn.UNIQUE(_xlfn._xlws.FILTER(tbl_明細[仕入先], tbl_明細[案件番号]=tbl_案件追跡[[#This Row],[案件番号]]))))</calculatedColumnFormula>
    </tableColumn>
    <tableColumn id="2" xr3:uid="{1ECC62B9-ECFB-42D3-8193-70E476A31575}" name="顧客名" dataDxfId="53">
      <calculatedColumnFormula>IF(ISBLANK(tbl_案件追跡[[#This Row],[案件番号]]),"",_xlfn.XLOOKUP(tbl_案件追跡[[#This Row],[案件番号]],tbl_明細[案件番号],tbl_明細[顧客名],"",0,1))</calculatedColumnFormula>
    </tableColumn>
    <tableColumn id="4" xr3:uid="{29A355BC-1FC9-46CA-8CAF-6114114C46C1}" name="仕入先" dataDxfId="52">
      <calculatedColumnFormula>IF(ISBLANK(tbl_案件追跡[[#This Row],[案件番号]]),"",IF(tbl_案件追跡[[#This Row],[仕入先数]] = 1, _xlfn.XLOOKUP(tbl_案件追跡[[#This Row],[案件番号]],tbl_明細[案件番号],tbl_明細[仕入先],"",0,1),""))</calculatedColumnFormula>
    </tableColumn>
    <tableColumn id="3" xr3:uid="{193E09B3-C909-4985-8156-D59BF59C8A4D}" name="商材" dataDxfId="51">
      <calculatedColumnFormula array="1">IF(ISBLANK(tbl_案件追跡[[#This Row],[案件番号]]),"",_xlfn.XLOOKUP(tbl_案件追跡[[#This Row],[案件番号]]&amp;tbl_案件追跡[[#This Row],[仕入先]],tbl_明細[案件番号]&amp;tbl_明細[仕入先],tbl_明細[商品名],"",0,1))</calculatedColumnFormula>
    </tableColumn>
    <tableColumn id="29" xr3:uid="{0A24BA3C-0850-4E6A-BAE9-D0AC16593E57}" name="顧客_x000a_担当者名" dataDxfId="50"/>
    <tableColumn id="26" xr3:uid="{264EFB84-3BA9-4AEC-8ED7-5A70A20B083B}" name="納品先　郵便番号" dataDxfId="49"/>
    <tableColumn id="25" xr3:uid="{EEAD3B6A-2134-42CD-843A-21BAD2F2DEC4}" name="納品先　住所1行目" dataDxfId="48"/>
    <tableColumn id="27" xr3:uid="{FCDADD7E-DE83-4D2D-AFF1-D0AFAC54983B}" name="納品先　住所2行目" dataDxfId="47"/>
    <tableColumn id="28" xr3:uid="{CBDC0757-35C2-4265-901E-62E767BA458A}" name="納品先　社名・担当者名" dataDxfId="46"/>
    <tableColumn id="24" xr3:uid="{E1ECD557-5E0C-4892-A136-99D0E5C820A8}" name="納品先　電話番号" dataDxfId="45"/>
    <tableColumn id="5" xr3:uid="{6BFD68F2-A4F2-4746-AAE7-50E71858C109}" name="支払い条件" dataDxfId="44"/>
    <tableColumn id="6" xr3:uid="{BC391230-34BB-4AB1-820F-429E88326D48}" name="与信" dataDxfId="43"/>
    <tableColumn id="7" xr3:uid="{6F795519-65B0-4A38-A580-79CF864A6746}" name="見積" dataDxfId="42"/>
    <tableColumn id="8" xr3:uid="{8688B867-0171-4270-92EF-72AE7D1F6044}" name="受注" dataDxfId="41"/>
    <tableColumn id="9" xr3:uid="{E58E4253-2145-4E64-A6F3-1014DE1496F4}" name="注文確認メール" dataDxfId="40"/>
    <tableColumn id="10" xr3:uid="{9F67F9F9-9921-48F3-BBF8-1C43BC230801}" name="前金入金予定" dataDxfId="39"/>
    <tableColumn id="11" xr3:uid="{B7A62617-5B58-44CE-A371-E7DEBD757417}" name="前金入金" dataDxfId="38"/>
    <tableColumn id="12" xr3:uid="{CC3E612D-139B-4F53-9F2A-28E63DD39F1A}" name="発注" dataDxfId="37"/>
    <tableColumn id="13" xr3:uid="{A98E35EB-D505-44D0-933D-73D0881F4FBB}" name="出荷予定" dataDxfId="36"/>
    <tableColumn id="14" xr3:uid="{E37F680D-3FDC-48C3-A2E8-38B495327820}" name="出荷" dataDxfId="35"/>
    <tableColumn id="15" xr3:uid="{6C771D67-ABD0-46C9-AE1A-A4F94CDBEAC6}" name="着荷" dataDxfId="34"/>
    <tableColumn id="16" xr3:uid="{8B776F41-655E-4E03-8EFE-61C66226050D}" name="仕入計上" dataDxfId="33">
      <calculatedColumnFormula>IF(ISBLANK(tbl_案件追跡[[#This Row],[着荷]]),"",EOMONTH(tbl_案件追跡[[#This Row],[着荷]],0))</calculatedColumnFormula>
    </tableColumn>
    <tableColumn id="17" xr3:uid="{1BB64B81-931B-4A1B-BBBB-AD10F00D4223}" name="仕入支払" dataDxfId="32"/>
    <tableColumn id="18" xr3:uid="{F61F555A-621E-4821-A176-05CDD7D3FBED}" name="売上計上" dataDxfId="31">
      <calculatedColumnFormula>IF(AND(tbl_案件追跡[[#This Row],[支払い条件]]="前払",ISBLANK(tbl_案件追跡[[#This Row],[受注]])= FALSE ),tbl_案件追跡[[#This Row],[受注]],IF(ISBLANK(tbl_案件追跡[[#This Row],[着荷]]),"",EOMONTH(tbl_案件追跡[[#This Row],[着荷]],0)))</calculatedColumnFormula>
    </tableColumn>
    <tableColumn id="19" xr3:uid="{EFBB3123-6221-47EA-A237-6B59E369B7E7}" name="売上入金" dataDxfId="30"/>
    <tableColumn id="21" xr3:uid="{7FC366E2-603A-4905-B457-569A1B073707}" name="担当" dataDxfId="29">
      <calculatedColumnFormula>_xlfn.XLOOKUP(tbl_案件追跡[[#This Row],[案件番号]],tbl_採番[案件番号],tbl_採番[担当者],"",0,1)</calculatedColumnFormula>
    </tableColumn>
    <tableColumn id="22" xr3:uid="{7A8262D3-F80D-4166-920D-3FBBBEAF7E46}" name="行数" dataDxfId="28">
      <calculatedColumnFormula>IF(ISBLANK(tbl_案件追跡[[#This Row],[案件番号]]),"",COUNTIF(tbl_案件追跡[案件番号],tbl_案件追跡[[#This Row],[案件番号]]))</calculatedColumnFormula>
    </tableColumn>
    <tableColumn id="32" xr3:uid="{93825189-42B5-49C8-AA40-726F6F86DEAF}" name="仕入請求書受領" dataDxfId="27"/>
    <tableColumn id="30" xr3:uid="{162B0CE7-2239-4CA9-8111-43E77739AE5B}" name="（経理処理用）_x000a_ガリレオ伝票No（仕入支払）" dataDxfId="26"/>
    <tableColumn id="23" xr3:uid="{24AFD67F-7973-46DF-9F2D-042279B222F6}" name="売上請求書送付" dataDxfId="25"/>
    <tableColumn id="31" xr3:uid="{139DCDEB-7097-474B-8070-CB6FDB97F789}" name="（経理処理用）_x000a_ガリレオ伝票No（売上請求）" dataDxfId="2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438CDF-A03E-4810-B745-820ABEE8DEA4}" name="テーブル5" displayName="テーブル5" ref="A1:G113" totalsRowShown="0" headerRowDxfId="15" dataDxfId="13" headerRowBorderDxfId="14" tableBorderDxfId="12" totalsRowBorderDxfId="11">
  <autoFilter ref="A1:G113" xr:uid="{00000000-0009-0000-0000-000000000000}"/>
  <tableColumns count="7">
    <tableColumn id="1" xr3:uid="{51EBE12E-E98C-4D3A-BBB3-77C80E15566D}" name="No." dataDxfId="10"/>
    <tableColumn id="2" xr3:uid="{BF807EC0-A9B1-4AB0-943A-03A223F97223}" name="商品ID" dataDxfId="9"/>
    <tableColumn id="3" xr3:uid="{458D2703-E723-4315-A343-E0A2F8D0E4DA}" name="商品名" dataDxfId="8">
      <calculatedColumnFormula>_xlfn.XLOOKUP(テーブル5[[#This Row],[商品ID]],商品マスタ[商品連番],商品マスタ[商品名],"",0,1)</calculatedColumnFormula>
    </tableColumn>
    <tableColumn id="4" xr3:uid="{0C979DC4-9695-4330-8034-2DB5109148F8}" name="仕入先" dataDxfId="7">
      <calculatedColumnFormula>_xlfn.XLOOKUP(テーブル5[[#This Row],[商品ID]],商品マスタ[商品連番],商品マスタ[仕入先],"",0,1)</calculatedColumnFormula>
    </tableColumn>
    <tableColumn id="5" xr3:uid="{D305FC40-772B-4E78-80E0-AB159A09CCB0}" name="優先度" dataDxfId="6"/>
    <tableColumn id="6" xr3:uid="{E518AD1E-2CB5-4DFB-87D5-24707C0EA746}" name="完了" dataDxfId="5"/>
    <tableColumn id="7" xr3:uid="{F753A353-14D7-46AF-87C5-25EB385E5A84}" name="備考" dataDxfId="4"/>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2535-0E9D-4745-AF56-65E0347A84D8}">
  <sheetPr codeName="Sheet3"/>
  <dimension ref="A1:J92"/>
  <sheetViews>
    <sheetView topLeftCell="A6" workbookViewId="0">
      <selection activeCell="B103" sqref="B103"/>
    </sheetView>
  </sheetViews>
  <sheetFormatPr defaultRowHeight="18"/>
  <cols>
    <col min="1" max="1" width="17" bestFit="1" customWidth="1"/>
    <col min="2" max="2" width="31.19921875" customWidth="1"/>
    <col min="3" max="3" width="35" customWidth="1"/>
    <col min="4" max="4" width="52" bestFit="1" customWidth="1"/>
    <col min="5" max="5" width="15" customWidth="1"/>
    <col min="6" max="9" width="20" customWidth="1"/>
    <col min="10" max="10" width="25.19921875" customWidth="1"/>
  </cols>
  <sheetData>
    <row r="1" spans="1:10">
      <c r="A1" s="223" t="s">
        <v>0</v>
      </c>
      <c r="B1" s="223" t="s">
        <v>1</v>
      </c>
      <c r="C1" s="223" t="s">
        <v>2</v>
      </c>
      <c r="D1" s="223" t="s">
        <v>3</v>
      </c>
      <c r="E1" s="223" t="s">
        <v>4</v>
      </c>
      <c r="F1" s="223" t="s">
        <v>5</v>
      </c>
      <c r="G1" s="223" t="s">
        <v>6</v>
      </c>
      <c r="H1" s="223" t="s">
        <v>7</v>
      </c>
      <c r="I1" s="223" t="s">
        <v>8</v>
      </c>
      <c r="J1" s="223" t="s">
        <v>9</v>
      </c>
    </row>
    <row r="2" spans="1:10">
      <c r="A2" s="71" t="s">
        <v>10</v>
      </c>
      <c r="B2" s="71" t="s">
        <v>11</v>
      </c>
      <c r="C2" s="71"/>
      <c r="D2" s="71"/>
      <c r="E2" s="71"/>
      <c r="F2" s="71"/>
      <c r="G2" s="71"/>
      <c r="H2" s="71"/>
      <c r="I2" s="71"/>
      <c r="J2" s="71"/>
    </row>
    <row r="3" spans="1:10">
      <c r="A3" s="71" t="s">
        <v>12</v>
      </c>
      <c r="B3" s="71" t="s">
        <v>13</v>
      </c>
      <c r="C3" s="71"/>
      <c r="D3" s="71"/>
      <c r="E3" s="71"/>
      <c r="F3" s="71"/>
      <c r="G3" s="71"/>
      <c r="H3" s="71"/>
      <c r="I3" s="71"/>
      <c r="J3" s="71"/>
    </row>
    <row r="4" spans="1:10">
      <c r="A4" s="71" t="s">
        <v>14</v>
      </c>
      <c r="B4" s="71" t="s">
        <v>15</v>
      </c>
      <c r="C4" s="71" t="s">
        <v>16</v>
      </c>
      <c r="D4" s="71" t="s">
        <v>17</v>
      </c>
      <c r="E4" s="71" t="s">
        <v>18</v>
      </c>
      <c r="F4" s="71" t="s">
        <v>19</v>
      </c>
      <c r="G4" s="71" t="s">
        <v>20</v>
      </c>
      <c r="H4" s="71" t="s">
        <v>21</v>
      </c>
      <c r="I4" s="71" t="s">
        <v>22</v>
      </c>
      <c r="J4" s="71"/>
    </row>
    <row r="5" spans="1:10">
      <c r="A5" s="71" t="s">
        <v>23</v>
      </c>
      <c r="B5" s="71" t="s">
        <v>24</v>
      </c>
      <c r="C5" s="71"/>
      <c r="D5" s="71"/>
      <c r="E5" s="71"/>
      <c r="F5" s="71"/>
      <c r="G5" s="71"/>
      <c r="H5" s="71"/>
      <c r="I5" s="71"/>
      <c r="J5" s="71"/>
    </row>
    <row r="6" spans="1:10">
      <c r="A6" s="71" t="s">
        <v>25</v>
      </c>
      <c r="B6" s="71" t="s">
        <v>26</v>
      </c>
      <c r="C6" s="71"/>
      <c r="D6" s="71"/>
      <c r="E6" s="71"/>
      <c r="F6" s="71"/>
      <c r="G6" s="71"/>
      <c r="H6" s="71"/>
      <c r="I6" s="71"/>
      <c r="J6" s="71"/>
    </row>
    <row r="7" spans="1:10">
      <c r="A7" s="71" t="s">
        <v>27</v>
      </c>
      <c r="B7" s="71" t="s">
        <v>28</v>
      </c>
      <c r="C7" s="71"/>
      <c r="D7" s="71"/>
      <c r="E7" s="71"/>
      <c r="F7" s="71"/>
      <c r="G7" s="71"/>
      <c r="H7" s="71"/>
      <c r="I7" s="71"/>
      <c r="J7" s="71"/>
    </row>
    <row r="8" spans="1:10">
      <c r="A8" s="71" t="s">
        <v>29</v>
      </c>
      <c r="B8" s="71" t="s">
        <v>30</v>
      </c>
      <c r="C8" s="71"/>
      <c r="D8" s="71"/>
      <c r="E8" s="71"/>
      <c r="F8" s="71"/>
      <c r="G8" s="71"/>
      <c r="H8" s="71"/>
      <c r="I8" s="71"/>
      <c r="J8" s="71"/>
    </row>
    <row r="9" spans="1:10">
      <c r="A9" s="71" t="s">
        <v>31</v>
      </c>
      <c r="B9" s="71" t="s">
        <v>32</v>
      </c>
      <c r="C9" s="71"/>
      <c r="D9" s="71"/>
      <c r="E9" s="71"/>
      <c r="F9" s="71"/>
      <c r="G9" s="71"/>
      <c r="H9" s="71"/>
      <c r="I9" s="71"/>
      <c r="J9" s="71"/>
    </row>
    <row r="10" spans="1:10">
      <c r="A10" s="71" t="s">
        <v>33</v>
      </c>
      <c r="B10" s="71" t="s">
        <v>34</v>
      </c>
      <c r="C10" s="71"/>
      <c r="D10" s="71"/>
      <c r="E10" s="71"/>
      <c r="F10" s="71"/>
      <c r="G10" s="71"/>
      <c r="H10" s="71"/>
      <c r="I10" s="71"/>
      <c r="J10" s="71"/>
    </row>
    <row r="11" spans="1:10">
      <c r="A11" s="71" t="s">
        <v>35</v>
      </c>
      <c r="B11" s="71" t="s">
        <v>36</v>
      </c>
      <c r="C11" s="71"/>
      <c r="D11" s="71"/>
      <c r="E11" s="71"/>
      <c r="F11" s="71"/>
      <c r="G11" s="71"/>
      <c r="H11" s="71"/>
      <c r="I11" s="71"/>
      <c r="J11" s="71"/>
    </row>
    <row r="12" spans="1:10">
      <c r="A12" s="71" t="s">
        <v>37</v>
      </c>
      <c r="B12" s="71" t="s">
        <v>38</v>
      </c>
      <c r="C12" s="71"/>
      <c r="D12" s="71"/>
      <c r="E12" s="71"/>
      <c r="F12" s="71"/>
      <c r="G12" s="71"/>
      <c r="H12" s="71"/>
      <c r="I12" s="71"/>
      <c r="J12" s="71"/>
    </row>
    <row r="13" spans="1:10">
      <c r="A13" s="71" t="s">
        <v>39</v>
      </c>
      <c r="B13" s="71" t="s">
        <v>40</v>
      </c>
      <c r="C13" s="71"/>
      <c r="D13" s="71"/>
      <c r="E13" s="71"/>
      <c r="F13" s="71"/>
      <c r="G13" s="71"/>
      <c r="H13" s="71"/>
      <c r="I13" s="71"/>
      <c r="J13" s="71"/>
    </row>
    <row r="14" spans="1:10">
      <c r="A14" s="71" t="s">
        <v>41</v>
      </c>
      <c r="B14" s="71" t="s">
        <v>42</v>
      </c>
      <c r="C14" s="71"/>
      <c r="D14" s="71"/>
      <c r="E14" s="71"/>
      <c r="F14" s="71"/>
      <c r="G14" s="71"/>
      <c r="H14" s="71"/>
      <c r="I14" s="71"/>
      <c r="J14" s="71"/>
    </row>
    <row r="15" spans="1:10">
      <c r="A15" s="71" t="s">
        <v>43</v>
      </c>
      <c r="B15" s="71" t="s">
        <v>44</v>
      </c>
      <c r="C15" s="71"/>
      <c r="D15" s="71"/>
      <c r="E15" s="71"/>
      <c r="F15" s="71"/>
      <c r="G15" s="71"/>
      <c r="H15" s="71"/>
      <c r="I15" s="71"/>
      <c r="J15" s="71"/>
    </row>
    <row r="16" spans="1:10">
      <c r="A16" s="71" t="s">
        <v>45</v>
      </c>
      <c r="B16" s="71" t="s">
        <v>46</v>
      </c>
      <c r="C16" s="71"/>
      <c r="D16" s="71"/>
      <c r="E16" s="71"/>
      <c r="F16" s="71"/>
      <c r="G16" s="71"/>
      <c r="H16" s="71"/>
      <c r="I16" s="71"/>
      <c r="J16" s="71"/>
    </row>
    <row r="17" spans="1:10">
      <c r="A17" s="71" t="s">
        <v>47</v>
      </c>
      <c r="B17" s="71" t="s">
        <v>48</v>
      </c>
      <c r="C17" s="71"/>
      <c r="D17" s="71"/>
      <c r="E17" s="71"/>
      <c r="F17" s="71"/>
      <c r="G17" s="71"/>
      <c r="H17" s="71"/>
      <c r="I17" s="71"/>
      <c r="J17" s="71"/>
    </row>
    <row r="18" spans="1:10">
      <c r="A18" s="71" t="s">
        <v>49</v>
      </c>
      <c r="B18" s="71" t="s">
        <v>50</v>
      </c>
      <c r="C18" s="71"/>
      <c r="D18" s="71"/>
      <c r="E18" s="71"/>
      <c r="F18" s="71"/>
      <c r="G18" s="71"/>
      <c r="H18" s="71"/>
      <c r="I18" s="71"/>
      <c r="J18" s="71"/>
    </row>
    <row r="19" spans="1:10">
      <c r="A19" s="71" t="s">
        <v>51</v>
      </c>
      <c r="B19" s="71" t="s">
        <v>52</v>
      </c>
      <c r="C19" s="71"/>
      <c r="D19" s="71"/>
      <c r="E19" s="71"/>
      <c r="F19" s="71"/>
      <c r="G19" s="71"/>
      <c r="H19" s="71"/>
      <c r="I19" s="71"/>
      <c r="J19" s="71"/>
    </row>
    <row r="20" spans="1:10">
      <c r="A20" s="71" t="s">
        <v>53</v>
      </c>
      <c r="B20" s="71" t="s">
        <v>54</v>
      </c>
      <c r="C20" s="71"/>
      <c r="D20" s="71"/>
      <c r="E20" s="71"/>
      <c r="F20" s="71"/>
      <c r="G20" s="71"/>
      <c r="H20" s="71"/>
      <c r="I20" s="71"/>
      <c r="J20" s="71"/>
    </row>
    <row r="21" spans="1:10">
      <c r="A21" s="71" t="s">
        <v>55</v>
      </c>
      <c r="B21" s="71" t="s">
        <v>56</v>
      </c>
      <c r="C21" s="71"/>
      <c r="D21" s="71"/>
      <c r="E21" s="71"/>
      <c r="F21" s="71"/>
      <c r="G21" s="71"/>
      <c r="H21" s="71"/>
      <c r="I21" s="71"/>
      <c r="J21" s="71"/>
    </row>
    <row r="22" spans="1:10">
      <c r="A22" s="71" t="s">
        <v>57</v>
      </c>
      <c r="B22" s="71" t="s">
        <v>58</v>
      </c>
      <c r="C22" s="71"/>
      <c r="D22" s="71"/>
      <c r="E22" s="71"/>
      <c r="F22" s="71"/>
      <c r="G22" s="71"/>
      <c r="H22" s="71"/>
      <c r="I22" s="71"/>
      <c r="J22" s="71"/>
    </row>
    <row r="23" spans="1:10">
      <c r="A23" s="71" t="s">
        <v>59</v>
      </c>
      <c r="B23" s="71" t="s">
        <v>60</v>
      </c>
      <c r="C23" s="71"/>
      <c r="D23" s="71"/>
      <c r="E23" s="71"/>
      <c r="F23" s="71"/>
      <c r="G23" s="71"/>
      <c r="H23" s="71"/>
      <c r="I23" s="71"/>
      <c r="J23" s="71"/>
    </row>
    <row r="24" spans="1:10">
      <c r="A24" s="71" t="s">
        <v>61</v>
      </c>
      <c r="B24" s="71" t="s">
        <v>62</v>
      </c>
      <c r="C24" s="71"/>
      <c r="D24" s="71"/>
      <c r="E24" s="71"/>
      <c r="F24" s="71"/>
      <c r="G24" s="71"/>
      <c r="H24" s="71"/>
      <c r="I24" s="71"/>
      <c r="J24" s="71"/>
    </row>
    <row r="25" spans="1:10">
      <c r="A25" s="71" t="s">
        <v>63</v>
      </c>
      <c r="B25" s="71" t="s">
        <v>64</v>
      </c>
      <c r="C25" s="71"/>
      <c r="D25" s="71"/>
      <c r="E25" s="71"/>
      <c r="F25" s="71"/>
      <c r="G25" s="71"/>
      <c r="H25" s="71"/>
      <c r="I25" s="71"/>
      <c r="J25" s="71"/>
    </row>
    <row r="26" spans="1:10">
      <c r="A26" s="71" t="s">
        <v>65</v>
      </c>
      <c r="B26" s="71" t="s">
        <v>66</v>
      </c>
      <c r="C26" s="71"/>
      <c r="D26" s="71"/>
      <c r="E26" s="71"/>
      <c r="F26" s="71"/>
      <c r="G26" s="71"/>
      <c r="H26" s="71"/>
      <c r="I26" s="71"/>
      <c r="J26" s="71"/>
    </row>
    <row r="27" spans="1:10">
      <c r="A27" s="71" t="s">
        <v>67</v>
      </c>
      <c r="B27" s="71" t="s">
        <v>68</v>
      </c>
      <c r="C27" s="71"/>
      <c r="D27" s="71"/>
      <c r="E27" s="71"/>
      <c r="F27" s="71"/>
      <c r="G27" s="71"/>
      <c r="H27" s="71"/>
      <c r="I27" s="71"/>
      <c r="J27" s="71"/>
    </row>
    <row r="28" spans="1:10">
      <c r="A28" s="71" t="s">
        <v>69</v>
      </c>
      <c r="B28" s="71" t="s">
        <v>70</v>
      </c>
      <c r="C28" s="71"/>
      <c r="D28" s="71"/>
      <c r="E28" s="71"/>
      <c r="F28" s="71"/>
      <c r="G28" s="71"/>
      <c r="H28" s="71"/>
      <c r="I28" s="71"/>
      <c r="J28" s="71"/>
    </row>
    <row r="29" spans="1:10">
      <c r="A29" s="71" t="s">
        <v>71</v>
      </c>
      <c r="B29" s="71" t="s">
        <v>72</v>
      </c>
      <c r="C29" s="71"/>
      <c r="D29" s="71"/>
      <c r="E29" s="71"/>
      <c r="F29" s="71"/>
      <c r="G29" s="71"/>
      <c r="H29" s="71"/>
      <c r="I29" s="71"/>
      <c r="J29" s="71"/>
    </row>
    <row r="30" spans="1:10">
      <c r="A30" s="71" t="s">
        <v>73</v>
      </c>
      <c r="B30" s="71" t="s">
        <v>74</v>
      </c>
      <c r="C30" s="71"/>
      <c r="D30" s="71"/>
      <c r="E30" s="71"/>
      <c r="F30" s="71"/>
      <c r="G30" s="71"/>
      <c r="H30" s="71"/>
      <c r="I30" s="71"/>
      <c r="J30" s="71"/>
    </row>
    <row r="31" spans="1:10">
      <c r="A31" s="71" t="s">
        <v>75</v>
      </c>
      <c r="B31" s="71" t="s">
        <v>76</v>
      </c>
      <c r="C31" s="71"/>
      <c r="D31" s="71"/>
      <c r="E31" s="71"/>
      <c r="F31" s="71"/>
      <c r="G31" s="71"/>
      <c r="H31" s="71"/>
      <c r="I31" s="71"/>
      <c r="J31" s="71"/>
    </row>
    <row r="32" spans="1:10">
      <c r="A32" s="71" t="s">
        <v>77</v>
      </c>
      <c r="B32" s="71" t="s">
        <v>78</v>
      </c>
      <c r="C32" s="71"/>
      <c r="D32" s="71"/>
      <c r="E32" s="71"/>
      <c r="F32" s="71"/>
      <c r="G32" s="71"/>
      <c r="H32" s="71"/>
      <c r="I32" s="71"/>
      <c r="J32" s="71"/>
    </row>
    <row r="33" spans="1:10">
      <c r="A33" s="71" t="s">
        <v>79</v>
      </c>
      <c r="B33" s="71" t="s">
        <v>80</v>
      </c>
      <c r="C33" s="71"/>
      <c r="D33" s="71"/>
      <c r="E33" s="71"/>
      <c r="F33" s="71"/>
      <c r="G33" s="71"/>
      <c r="H33" s="71"/>
      <c r="I33" s="71"/>
      <c r="J33" s="71"/>
    </row>
    <row r="34" spans="1:10">
      <c r="A34" s="71" t="s">
        <v>81</v>
      </c>
      <c r="B34" s="71" t="s">
        <v>82</v>
      </c>
      <c r="C34" s="71"/>
      <c r="D34" s="71"/>
      <c r="E34" s="71"/>
      <c r="F34" s="71"/>
      <c r="G34" s="71"/>
      <c r="H34" s="71"/>
      <c r="I34" s="71"/>
      <c r="J34" s="71"/>
    </row>
    <row r="35" spans="1:10">
      <c r="A35" s="71" t="s">
        <v>83</v>
      </c>
      <c r="B35" s="71" t="s">
        <v>998</v>
      </c>
      <c r="C35" s="71"/>
      <c r="D35" s="71"/>
      <c r="E35" s="71"/>
      <c r="F35" s="71"/>
      <c r="G35" s="71"/>
      <c r="H35" s="71"/>
      <c r="I35" s="71"/>
      <c r="J35" s="71"/>
    </row>
    <row r="36" spans="1:10">
      <c r="A36" s="71" t="s">
        <v>84</v>
      </c>
      <c r="B36" s="71" t="s">
        <v>85</v>
      </c>
      <c r="C36" s="71"/>
      <c r="D36" s="71"/>
      <c r="E36" s="71"/>
      <c r="F36" s="71"/>
      <c r="G36" s="71"/>
      <c r="H36" s="71"/>
      <c r="I36" s="71"/>
      <c r="J36" s="71"/>
    </row>
    <row r="37" spans="1:10">
      <c r="A37" s="71" t="s">
        <v>86</v>
      </c>
      <c r="B37" s="71" t="s">
        <v>87</v>
      </c>
      <c r="C37" s="71"/>
      <c r="D37" s="71"/>
      <c r="E37" s="71"/>
      <c r="F37" s="71"/>
      <c r="G37" s="71"/>
      <c r="H37" s="71"/>
      <c r="I37" s="71"/>
      <c r="J37" s="71"/>
    </row>
    <row r="38" spans="1:10">
      <c r="A38" s="71" t="s">
        <v>88</v>
      </c>
      <c r="B38" s="71" t="s">
        <v>89</v>
      </c>
      <c r="C38" s="71" t="s">
        <v>90</v>
      </c>
      <c r="D38" s="71" t="s">
        <v>91</v>
      </c>
      <c r="E38" s="71" t="s">
        <v>92</v>
      </c>
      <c r="F38" s="71" t="s">
        <v>93</v>
      </c>
      <c r="G38" s="71" t="s">
        <v>94</v>
      </c>
      <c r="H38" s="71"/>
      <c r="I38" s="148" t="s">
        <v>95</v>
      </c>
      <c r="J38" s="71"/>
    </row>
    <row r="39" spans="1:10">
      <c r="A39" s="71" t="s">
        <v>96</v>
      </c>
      <c r="B39" s="71" t="s">
        <v>97</v>
      </c>
      <c r="C39" s="71" t="s">
        <v>98</v>
      </c>
      <c r="D39" s="71" t="s">
        <v>99</v>
      </c>
      <c r="E39" s="71" t="s">
        <v>100</v>
      </c>
      <c r="F39" s="71" t="s">
        <v>101</v>
      </c>
      <c r="G39" s="71" t="s">
        <v>102</v>
      </c>
      <c r="H39" s="71"/>
      <c r="I39" s="148" t="s">
        <v>103</v>
      </c>
      <c r="J39" s="71"/>
    </row>
    <row r="40" spans="1:10">
      <c r="A40" s="71" t="s">
        <v>104</v>
      </c>
      <c r="B40" s="71" t="s">
        <v>105</v>
      </c>
      <c r="C40" s="71" t="s">
        <v>106</v>
      </c>
      <c r="D40" s="71" t="s">
        <v>107</v>
      </c>
      <c r="E40" s="71" t="s">
        <v>108</v>
      </c>
      <c r="F40" s="71"/>
      <c r="G40" s="71"/>
      <c r="H40" s="71"/>
      <c r="I40" s="148" t="s">
        <v>109</v>
      </c>
      <c r="J40" s="71"/>
    </row>
    <row r="41" spans="1:10">
      <c r="A41" s="71" t="s">
        <v>110</v>
      </c>
      <c r="B41" s="71" t="s">
        <v>111</v>
      </c>
      <c r="C41" s="71" t="s">
        <v>112</v>
      </c>
      <c r="D41" s="71" t="s">
        <v>113</v>
      </c>
      <c r="E41" s="71" t="s">
        <v>114</v>
      </c>
      <c r="F41" s="71" t="s">
        <v>115</v>
      </c>
      <c r="G41" s="71" t="s">
        <v>102</v>
      </c>
      <c r="H41" s="71"/>
      <c r="I41" s="148" t="s">
        <v>116</v>
      </c>
      <c r="J41" s="71"/>
    </row>
    <row r="42" spans="1:10">
      <c r="A42" s="71" t="s">
        <v>871</v>
      </c>
      <c r="B42" s="71" t="s">
        <v>117</v>
      </c>
      <c r="C42" s="71" t="s">
        <v>118</v>
      </c>
      <c r="D42" s="71" t="s">
        <v>119</v>
      </c>
      <c r="E42" s="71" t="s">
        <v>120</v>
      </c>
      <c r="F42" s="71" t="s">
        <v>121</v>
      </c>
      <c r="G42" s="71" t="s">
        <v>102</v>
      </c>
      <c r="H42" s="71"/>
      <c r="I42" s="148" t="s">
        <v>122</v>
      </c>
      <c r="J42" s="71"/>
    </row>
    <row r="43" spans="1:10">
      <c r="A43" s="71" t="s">
        <v>123</v>
      </c>
      <c r="B43" s="71" t="s">
        <v>124</v>
      </c>
      <c r="C43" s="224" t="s">
        <v>125</v>
      </c>
      <c r="D43" s="224" t="s">
        <v>126</v>
      </c>
      <c r="E43" s="71" t="s">
        <v>127</v>
      </c>
      <c r="F43" s="71" t="s">
        <v>128</v>
      </c>
      <c r="G43" s="71" t="s">
        <v>102</v>
      </c>
      <c r="H43" s="71"/>
      <c r="I43" s="71" t="s">
        <v>129</v>
      </c>
      <c r="J43" s="71"/>
    </row>
    <row r="44" spans="1:10">
      <c r="A44" s="71" t="s">
        <v>130</v>
      </c>
      <c r="B44" s="71" t="s">
        <v>131</v>
      </c>
      <c r="C44" s="71"/>
      <c r="D44" s="71"/>
      <c r="E44" s="71"/>
      <c r="F44" s="71"/>
      <c r="G44" s="71"/>
      <c r="H44" s="71"/>
      <c r="I44" s="71"/>
      <c r="J44" s="71"/>
    </row>
    <row r="45" spans="1:10">
      <c r="A45" s="71" t="s">
        <v>132</v>
      </c>
      <c r="B45" s="71" t="s">
        <v>133</v>
      </c>
      <c r="C45" s="71"/>
      <c r="D45" s="71"/>
      <c r="E45" s="71"/>
      <c r="F45" s="71"/>
      <c r="G45" s="71"/>
      <c r="H45" s="71"/>
      <c r="I45" s="71"/>
      <c r="J45" s="71"/>
    </row>
    <row r="46" spans="1:10">
      <c r="A46" s="225" t="s">
        <v>134</v>
      </c>
      <c r="B46" s="225" t="s">
        <v>135</v>
      </c>
      <c r="C46" s="71"/>
      <c r="D46" s="71"/>
      <c r="E46" s="71"/>
      <c r="F46" s="71"/>
      <c r="G46" s="71"/>
      <c r="H46" s="71"/>
      <c r="I46" s="71"/>
      <c r="J46" s="71"/>
    </row>
    <row r="47" spans="1:10">
      <c r="A47" s="71" t="s">
        <v>136</v>
      </c>
      <c r="B47" s="71" t="s">
        <v>137</v>
      </c>
      <c r="C47" s="71"/>
      <c r="D47" s="71"/>
      <c r="E47" s="71"/>
      <c r="F47" s="71"/>
      <c r="G47" s="71"/>
      <c r="H47" s="71"/>
      <c r="I47" s="71"/>
      <c r="J47" s="71"/>
    </row>
    <row r="48" spans="1:10">
      <c r="A48" s="225" t="s">
        <v>138</v>
      </c>
      <c r="B48" s="225" t="s">
        <v>139</v>
      </c>
      <c r="C48" s="71"/>
      <c r="D48" s="71"/>
      <c r="E48" s="71"/>
      <c r="F48" s="71"/>
      <c r="G48" s="71"/>
      <c r="H48" s="71"/>
      <c r="I48" s="71"/>
      <c r="J48" s="71"/>
    </row>
    <row r="49" spans="1:10">
      <c r="A49" s="71" t="s">
        <v>140</v>
      </c>
      <c r="B49" s="71" t="s">
        <v>141</v>
      </c>
      <c r="C49" s="71"/>
      <c r="D49" s="71"/>
      <c r="E49" s="71"/>
      <c r="F49" s="71"/>
      <c r="G49" s="71"/>
      <c r="H49" s="71"/>
      <c r="I49" s="71"/>
      <c r="J49" s="71"/>
    </row>
    <row r="50" spans="1:10">
      <c r="A50" s="225" t="s">
        <v>142</v>
      </c>
      <c r="B50" s="225" t="s">
        <v>143</v>
      </c>
      <c r="C50" s="71"/>
      <c r="D50" s="71"/>
      <c r="E50" s="71"/>
      <c r="F50" s="71"/>
      <c r="G50" s="71"/>
      <c r="H50" s="71"/>
      <c r="I50" s="71"/>
      <c r="J50" s="71"/>
    </row>
    <row r="51" spans="1:10">
      <c r="A51" s="71" t="s">
        <v>144</v>
      </c>
      <c r="B51" s="71" t="s">
        <v>145</v>
      </c>
      <c r="C51" s="71"/>
      <c r="D51" s="71"/>
      <c r="E51" s="71"/>
      <c r="F51" s="71"/>
      <c r="G51" s="71"/>
      <c r="H51" s="71"/>
      <c r="I51" s="71"/>
      <c r="J51" s="71"/>
    </row>
    <row r="52" spans="1:10">
      <c r="A52" s="71" t="s">
        <v>146</v>
      </c>
      <c r="B52" s="71" t="s">
        <v>147</v>
      </c>
      <c r="C52" s="71"/>
      <c r="D52" s="71"/>
      <c r="E52" s="71"/>
      <c r="F52" s="71"/>
      <c r="G52" s="71"/>
      <c r="H52" s="71"/>
      <c r="I52" s="71"/>
      <c r="J52" s="71"/>
    </row>
    <row r="53" spans="1:10">
      <c r="A53" s="71" t="s">
        <v>872</v>
      </c>
      <c r="B53" s="71" t="s">
        <v>868</v>
      </c>
      <c r="C53" s="71" t="s">
        <v>858</v>
      </c>
      <c r="D53" s="71" t="s">
        <v>859</v>
      </c>
      <c r="E53" s="71" t="s">
        <v>860</v>
      </c>
      <c r="F53" s="71" t="s">
        <v>861</v>
      </c>
      <c r="G53" s="71" t="s">
        <v>102</v>
      </c>
      <c r="H53" s="71"/>
      <c r="I53" s="71" t="s">
        <v>862</v>
      </c>
      <c r="J53" s="71"/>
    </row>
    <row r="54" spans="1:10">
      <c r="A54" s="71" t="s">
        <v>873</v>
      </c>
      <c r="B54" s="71" t="s">
        <v>869</v>
      </c>
      <c r="C54" s="71"/>
      <c r="D54" s="71" t="s">
        <v>863</v>
      </c>
      <c r="E54" s="71" t="s">
        <v>864</v>
      </c>
      <c r="F54" s="71" t="s">
        <v>865</v>
      </c>
      <c r="G54" s="71" t="s">
        <v>102</v>
      </c>
      <c r="H54" s="71"/>
      <c r="I54" s="71" t="s">
        <v>866</v>
      </c>
      <c r="J54" s="71"/>
    </row>
    <row r="55" spans="1:10">
      <c r="A55" s="71" t="s">
        <v>874</v>
      </c>
      <c r="B55" s="71" t="s">
        <v>870</v>
      </c>
      <c r="C55" s="71"/>
      <c r="D55" s="71" t="s">
        <v>867</v>
      </c>
      <c r="E55" s="71"/>
      <c r="F55" s="71"/>
      <c r="G55" s="71"/>
      <c r="H55" s="71"/>
      <c r="I55" s="71"/>
      <c r="J55" s="71"/>
    </row>
    <row r="56" spans="1:10">
      <c r="A56" s="71" t="s">
        <v>917</v>
      </c>
      <c r="B56" s="71" t="s">
        <v>918</v>
      </c>
      <c r="C56" s="71"/>
      <c r="D56" s="71"/>
      <c r="E56" s="71"/>
      <c r="F56" s="71"/>
      <c r="G56" s="71"/>
      <c r="H56" s="71"/>
      <c r="I56" s="71"/>
      <c r="J56" s="71"/>
    </row>
    <row r="57" spans="1:10">
      <c r="A57" s="71" t="s">
        <v>927</v>
      </c>
      <c r="B57" s="71" t="s">
        <v>928</v>
      </c>
      <c r="C57" s="71"/>
      <c r="D57" s="71"/>
      <c r="E57" s="71"/>
      <c r="F57" s="71"/>
      <c r="G57" s="71"/>
      <c r="H57" s="71"/>
      <c r="I57" s="71"/>
      <c r="J57" s="71"/>
    </row>
    <row r="58" spans="1:10">
      <c r="A58" s="71" t="s">
        <v>987</v>
      </c>
      <c r="B58" s="71" t="s">
        <v>986</v>
      </c>
      <c r="C58" s="71"/>
      <c r="D58" s="71"/>
      <c r="E58" s="71"/>
      <c r="F58" s="71"/>
      <c r="G58" s="71"/>
      <c r="H58" s="71"/>
      <c r="I58" s="71"/>
      <c r="J58" s="71"/>
    </row>
    <row r="59" spans="1:10">
      <c r="A59" s="71" t="s">
        <v>1003</v>
      </c>
      <c r="B59" s="71" t="s">
        <v>1002</v>
      </c>
      <c r="C59" s="71"/>
      <c r="D59" s="71"/>
      <c r="E59" s="71"/>
      <c r="F59" s="71"/>
      <c r="G59" s="71"/>
      <c r="H59" s="71"/>
      <c r="I59" s="71"/>
      <c r="J59" s="71"/>
    </row>
    <row r="60" spans="1:10">
      <c r="A60" s="71" t="s">
        <v>1020</v>
      </c>
      <c r="B60" s="71" t="s">
        <v>1019</v>
      </c>
      <c r="C60" s="71"/>
      <c r="D60" s="71"/>
      <c r="E60" s="71"/>
      <c r="F60" s="71"/>
      <c r="G60" s="71"/>
      <c r="H60" s="71"/>
      <c r="I60" s="71"/>
      <c r="J60" s="71"/>
    </row>
    <row r="61" spans="1:10">
      <c r="A61" s="71" t="s">
        <v>1022</v>
      </c>
      <c r="B61" s="71" t="s">
        <v>1021</v>
      </c>
      <c r="C61" s="71"/>
      <c r="D61" s="71"/>
      <c r="E61" s="71"/>
      <c r="F61" s="71"/>
      <c r="G61" s="71"/>
      <c r="H61" s="71"/>
      <c r="I61" s="71"/>
      <c r="J61" s="71"/>
    </row>
    <row r="62" spans="1:10">
      <c r="A62" s="71" t="s">
        <v>1031</v>
      </c>
      <c r="B62" s="71" t="s">
        <v>1033</v>
      </c>
      <c r="C62" s="71"/>
      <c r="D62" s="71"/>
      <c r="E62" s="71"/>
      <c r="F62" s="71"/>
      <c r="G62" s="71"/>
      <c r="H62" s="71"/>
      <c r="I62" s="71"/>
      <c r="J62" s="71"/>
    </row>
    <row r="63" spans="1:10">
      <c r="A63" s="71" t="s">
        <v>1045</v>
      </c>
      <c r="B63" s="71" t="s">
        <v>1046</v>
      </c>
      <c r="C63" s="71"/>
      <c r="D63" s="71"/>
      <c r="E63" s="71"/>
      <c r="F63" s="71"/>
      <c r="G63" s="71"/>
      <c r="H63" s="71"/>
      <c r="I63" s="71"/>
      <c r="J63" s="71"/>
    </row>
    <row r="64" spans="1:10">
      <c r="A64" s="71" t="s">
        <v>1057</v>
      </c>
      <c r="B64" s="71" t="s">
        <v>1058</v>
      </c>
      <c r="C64" s="71"/>
      <c r="D64" s="71" t="s">
        <v>1803</v>
      </c>
      <c r="E64" s="71" t="s">
        <v>1804</v>
      </c>
      <c r="F64" s="71" t="s">
        <v>1805</v>
      </c>
      <c r="G64" s="71" t="s">
        <v>102</v>
      </c>
      <c r="H64" s="71"/>
      <c r="I64" s="71"/>
      <c r="J64" s="71"/>
    </row>
    <row r="65" spans="1:10">
      <c r="A65" s="71" t="s">
        <v>1059</v>
      </c>
      <c r="B65" s="71" t="s">
        <v>1060</v>
      </c>
      <c r="C65" s="71"/>
      <c r="D65" s="71"/>
      <c r="E65" s="71"/>
      <c r="F65" s="71"/>
      <c r="G65" s="71"/>
      <c r="H65" s="71"/>
      <c r="I65" s="71"/>
      <c r="J65" s="71"/>
    </row>
    <row r="66" spans="1:10">
      <c r="A66" s="71" t="s">
        <v>1102</v>
      </c>
      <c r="B66" s="71" t="s">
        <v>1103</v>
      </c>
      <c r="C66" s="71"/>
      <c r="D66" s="71"/>
      <c r="E66" s="71"/>
      <c r="F66" s="71"/>
      <c r="G66" s="71"/>
      <c r="H66" s="71"/>
      <c r="I66" s="71"/>
      <c r="J66" s="71"/>
    </row>
    <row r="67" spans="1:10">
      <c r="A67" s="71" t="s">
        <v>1116</v>
      </c>
      <c r="B67" s="71" t="s">
        <v>1115</v>
      </c>
      <c r="C67" s="71"/>
      <c r="D67" s="71"/>
      <c r="E67" s="71"/>
      <c r="F67" s="71"/>
      <c r="G67" s="71"/>
      <c r="H67" s="71"/>
      <c r="I67" s="71"/>
      <c r="J67" s="71"/>
    </row>
    <row r="68" spans="1:10">
      <c r="A68" s="71" t="s">
        <v>1273</v>
      </c>
      <c r="B68" s="71" t="s">
        <v>1254</v>
      </c>
      <c r="C68" s="71"/>
      <c r="D68" s="71"/>
      <c r="E68" s="71"/>
      <c r="F68" s="71"/>
      <c r="G68" s="71"/>
      <c r="H68" s="71"/>
      <c r="I68" s="71"/>
      <c r="J68" s="71"/>
    </row>
    <row r="69" spans="1:10">
      <c r="A69" s="71" t="s">
        <v>1274</v>
      </c>
      <c r="B69" s="71" t="s">
        <v>1255</v>
      </c>
      <c r="C69" s="71"/>
      <c r="D69" s="71"/>
      <c r="E69" s="71"/>
      <c r="F69" s="71"/>
      <c r="G69" s="71"/>
      <c r="H69" s="71"/>
      <c r="I69" s="71"/>
      <c r="J69" s="71"/>
    </row>
    <row r="70" spans="1:10">
      <c r="A70" s="71" t="s">
        <v>1275</v>
      </c>
      <c r="B70" s="71" t="s">
        <v>1258</v>
      </c>
      <c r="C70" s="71"/>
      <c r="D70" s="71"/>
      <c r="E70" s="71"/>
      <c r="F70" s="71"/>
      <c r="G70" s="71"/>
      <c r="H70" s="71"/>
      <c r="I70" s="71"/>
      <c r="J70" s="71"/>
    </row>
    <row r="71" spans="1:10">
      <c r="A71" s="71" t="s">
        <v>1276</v>
      </c>
      <c r="B71" s="71" t="s">
        <v>1259</v>
      </c>
      <c r="C71" s="71"/>
      <c r="D71" s="71"/>
      <c r="E71" s="71"/>
      <c r="F71" s="71"/>
      <c r="G71" s="71"/>
      <c r="H71" s="71"/>
      <c r="I71" s="71"/>
      <c r="J71" s="71"/>
    </row>
    <row r="72" spans="1:10">
      <c r="A72" s="71" t="s">
        <v>1277</v>
      </c>
      <c r="B72" s="71" t="s">
        <v>1260</v>
      </c>
      <c r="C72" s="71"/>
      <c r="D72" s="71"/>
      <c r="E72" s="71"/>
      <c r="F72" s="71"/>
      <c r="G72" s="71"/>
      <c r="H72" s="71"/>
      <c r="I72" s="71"/>
      <c r="J72" s="71"/>
    </row>
    <row r="73" spans="1:10">
      <c r="A73" s="71" t="s">
        <v>1278</v>
      </c>
      <c r="B73" s="71" t="s">
        <v>1261</v>
      </c>
      <c r="C73" s="71"/>
      <c r="D73" s="71"/>
      <c r="E73" s="71"/>
      <c r="F73" s="71"/>
      <c r="G73" s="71"/>
      <c r="H73" s="71"/>
      <c r="I73" s="71"/>
      <c r="J73" s="71"/>
    </row>
    <row r="74" spans="1:10">
      <c r="A74" s="71" t="s">
        <v>1279</v>
      </c>
      <c r="B74" s="71" t="s">
        <v>1262</v>
      </c>
      <c r="C74" s="71"/>
      <c r="D74" s="71"/>
      <c r="E74" s="71"/>
      <c r="F74" s="71"/>
      <c r="G74" s="71"/>
      <c r="H74" s="71"/>
      <c r="I74" s="71"/>
      <c r="J74" s="71"/>
    </row>
    <row r="75" spans="1:10">
      <c r="A75" s="71" t="s">
        <v>1280</v>
      </c>
      <c r="B75" s="71" t="s">
        <v>1263</v>
      </c>
      <c r="C75" s="71"/>
      <c r="D75" s="71"/>
      <c r="E75" s="71"/>
      <c r="F75" s="71"/>
      <c r="G75" s="71"/>
      <c r="H75" s="71"/>
      <c r="I75" s="71"/>
      <c r="J75" s="71"/>
    </row>
    <row r="76" spans="1:10">
      <c r="A76" s="71" t="s">
        <v>1281</v>
      </c>
      <c r="B76" s="71" t="s">
        <v>1264</v>
      </c>
      <c r="C76" s="71"/>
      <c r="D76" s="71"/>
      <c r="E76" s="71"/>
      <c r="F76" s="71"/>
      <c r="G76" s="71"/>
      <c r="H76" s="71"/>
      <c r="I76" s="71"/>
      <c r="J76" s="71"/>
    </row>
    <row r="77" spans="1:10">
      <c r="A77" s="71" t="s">
        <v>1282</v>
      </c>
      <c r="B77" s="71" t="s">
        <v>1266</v>
      </c>
      <c r="C77" s="71"/>
      <c r="D77" s="71"/>
      <c r="E77" s="71"/>
      <c r="F77" s="71"/>
      <c r="G77" s="71"/>
      <c r="H77" s="71"/>
      <c r="I77" s="71"/>
      <c r="J77" s="71"/>
    </row>
    <row r="78" spans="1:10">
      <c r="A78" s="71" t="s">
        <v>1283</v>
      </c>
      <c r="B78" s="71" t="s">
        <v>1267</v>
      </c>
      <c r="C78" s="71"/>
      <c r="D78" s="71"/>
      <c r="E78" s="71"/>
      <c r="F78" s="71"/>
      <c r="G78" s="71"/>
      <c r="H78" s="71"/>
      <c r="I78" s="71"/>
      <c r="J78" s="71"/>
    </row>
    <row r="79" spans="1:10">
      <c r="A79" s="71" t="s">
        <v>1284</v>
      </c>
      <c r="B79" s="71" t="s">
        <v>1268</v>
      </c>
      <c r="C79" s="71"/>
      <c r="D79" s="71"/>
      <c r="E79" s="71"/>
      <c r="F79" s="71"/>
      <c r="G79" s="71"/>
      <c r="H79" s="71"/>
      <c r="I79" s="71"/>
      <c r="J79" s="71"/>
    </row>
    <row r="80" spans="1:10">
      <c r="A80" s="71" t="s">
        <v>1285</v>
      </c>
      <c r="B80" s="71" t="s">
        <v>1269</v>
      </c>
      <c r="C80" s="71"/>
      <c r="D80" s="71"/>
      <c r="E80" s="71"/>
      <c r="F80" s="71"/>
      <c r="G80" s="71"/>
      <c r="H80" s="71"/>
      <c r="I80" s="71"/>
      <c r="J80" s="71"/>
    </row>
    <row r="81" spans="1:10">
      <c r="A81" s="71" t="s">
        <v>1286</v>
      </c>
      <c r="B81" s="71" t="s">
        <v>1270</v>
      </c>
      <c r="C81" s="71"/>
      <c r="D81" s="71"/>
      <c r="E81" s="71"/>
      <c r="F81" s="71"/>
      <c r="G81" s="71"/>
      <c r="H81" s="71"/>
      <c r="I81" s="71"/>
      <c r="J81" s="71"/>
    </row>
    <row r="82" spans="1:10">
      <c r="A82" s="71" t="s">
        <v>1287</v>
      </c>
      <c r="B82" s="71" t="s">
        <v>1271</v>
      </c>
      <c r="C82" s="71"/>
      <c r="D82" s="71"/>
      <c r="E82" s="71"/>
      <c r="F82" s="71"/>
      <c r="G82" s="71"/>
      <c r="H82" s="71"/>
      <c r="I82" s="71"/>
      <c r="J82" s="71"/>
    </row>
    <row r="83" spans="1:10">
      <c r="A83" s="71" t="s">
        <v>1288</v>
      </c>
      <c r="B83" s="71" t="s">
        <v>1272</v>
      </c>
      <c r="C83" s="71"/>
      <c r="D83" s="71"/>
      <c r="E83" s="71"/>
      <c r="F83" s="71"/>
      <c r="G83" s="71"/>
      <c r="H83" s="71"/>
      <c r="I83" s="71"/>
      <c r="J83" s="71"/>
    </row>
    <row r="84" spans="1:10">
      <c r="A84" s="71" t="s">
        <v>1533</v>
      </c>
      <c r="B84" s="63" t="s">
        <v>1526</v>
      </c>
      <c r="C84" s="71" t="s">
        <v>1789</v>
      </c>
      <c r="D84" s="71" t="s">
        <v>1790</v>
      </c>
      <c r="E84" s="71" t="s">
        <v>1791</v>
      </c>
      <c r="F84" s="71" t="s">
        <v>1792</v>
      </c>
      <c r="G84" s="71"/>
      <c r="H84" s="71"/>
      <c r="I84" s="71" t="s">
        <v>1793</v>
      </c>
      <c r="J84" s="71"/>
    </row>
    <row r="85" spans="1:10">
      <c r="A85" s="71" t="s">
        <v>1534</v>
      </c>
      <c r="B85" s="63" t="s">
        <v>1527</v>
      </c>
      <c r="C85" s="71" t="s">
        <v>1794</v>
      </c>
      <c r="D85" s="71" t="s">
        <v>1795</v>
      </c>
      <c r="E85" s="71" t="s">
        <v>1796</v>
      </c>
      <c r="F85" s="71" t="s">
        <v>1797</v>
      </c>
      <c r="G85" s="71"/>
      <c r="H85" s="71"/>
      <c r="I85" s="71" t="s">
        <v>1798</v>
      </c>
      <c r="J85" s="71"/>
    </row>
    <row r="86" spans="1:10">
      <c r="A86" s="71" t="s">
        <v>1535</v>
      </c>
      <c r="B86" s="63" t="s">
        <v>1528</v>
      </c>
      <c r="C86" s="71" t="s">
        <v>1799</v>
      </c>
      <c r="D86" s="71" t="s">
        <v>1800</v>
      </c>
      <c r="E86" s="71" t="s">
        <v>1801</v>
      </c>
      <c r="F86" s="71" t="s">
        <v>1802</v>
      </c>
      <c r="G86" s="71" t="s">
        <v>102</v>
      </c>
      <c r="H86" s="71"/>
      <c r="I86" s="71"/>
      <c r="J86" s="71"/>
    </row>
    <row r="87" spans="1:10">
      <c r="A87" s="71" t="s">
        <v>1536</v>
      </c>
      <c r="B87" s="63" t="s">
        <v>1529</v>
      </c>
      <c r="C87" s="71"/>
      <c r="D87" s="71" t="s">
        <v>1810</v>
      </c>
      <c r="E87" s="71" t="s">
        <v>1811</v>
      </c>
      <c r="F87" s="71"/>
      <c r="G87" s="71"/>
      <c r="H87" s="71"/>
      <c r="I87" s="71"/>
      <c r="J87" s="71"/>
    </row>
    <row r="88" spans="1:10">
      <c r="A88" s="71" t="s">
        <v>1537</v>
      </c>
      <c r="B88" s="71" t="s">
        <v>1530</v>
      </c>
      <c r="C88" s="71" t="s">
        <v>1806</v>
      </c>
      <c r="D88" s="71" t="s">
        <v>1807</v>
      </c>
      <c r="E88" s="71" t="s">
        <v>1808</v>
      </c>
      <c r="F88" s="71" t="s">
        <v>1809</v>
      </c>
      <c r="G88" s="71" t="s">
        <v>102</v>
      </c>
      <c r="H88" s="71"/>
      <c r="I88" s="71"/>
      <c r="J88" s="71"/>
    </row>
    <row r="89" spans="1:10">
      <c r="A89" s="71" t="s">
        <v>1538</v>
      </c>
      <c r="B89" s="63" t="s">
        <v>1531</v>
      </c>
      <c r="C89" s="71"/>
      <c r="D89" s="71" t="s">
        <v>1812</v>
      </c>
      <c r="E89" s="71" t="s">
        <v>1813</v>
      </c>
      <c r="F89" s="71" t="s">
        <v>1814</v>
      </c>
      <c r="G89" s="71" t="s">
        <v>1815</v>
      </c>
      <c r="H89" s="71"/>
      <c r="I89" s="71" t="s">
        <v>1816</v>
      </c>
      <c r="J89" s="71"/>
    </row>
    <row r="90" spans="1:10">
      <c r="A90" s="71" t="s">
        <v>1539</v>
      </c>
      <c r="B90" s="63" t="s">
        <v>1532</v>
      </c>
      <c r="C90" s="71" t="s">
        <v>1817</v>
      </c>
      <c r="D90" s="71" t="s">
        <v>1818</v>
      </c>
      <c r="E90" s="71" t="s">
        <v>1819</v>
      </c>
      <c r="F90" s="71"/>
      <c r="G90" s="71" t="s">
        <v>1815</v>
      </c>
      <c r="H90" s="71"/>
      <c r="I90" s="71" t="s">
        <v>1820</v>
      </c>
      <c r="J90" s="71"/>
    </row>
    <row r="91" spans="1:10">
      <c r="A91" s="71" t="s">
        <v>1822</v>
      </c>
      <c r="B91" s="167" t="s">
        <v>1826</v>
      </c>
      <c r="C91" s="71" t="s">
        <v>1823</v>
      </c>
      <c r="D91" s="71" t="s">
        <v>1824</v>
      </c>
      <c r="E91" s="71" t="s">
        <v>1825</v>
      </c>
      <c r="F91" s="71"/>
      <c r="G91" s="71"/>
      <c r="H91" s="71"/>
      <c r="I91" s="71"/>
      <c r="J91" s="71"/>
    </row>
    <row r="92" spans="1:10">
      <c r="A92" t="s">
        <v>1862</v>
      </c>
      <c r="B92" s="206" t="s">
        <v>1861</v>
      </c>
    </row>
  </sheetData>
  <phoneticPr fontId="3"/>
  <conditionalFormatting sqref="A1:A1048576">
    <cfRule type="duplicateValues" dxfId="182" priority="2"/>
  </conditionalFormatting>
  <conditionalFormatting sqref="B2:B83 B89:B90 B92:B139">
    <cfRule type="duplicateValues" dxfId="181" priority="9"/>
  </conditionalFormatting>
  <dataValidations count="2">
    <dataValidation type="list" allowBlank="1" showInputMessage="1" showErrorMessage="1" sqref="B38" xr:uid="{5A20B7B9-2727-44EA-8945-C951BB03DB8A}">
      <formula1>$B$2:$B$139</formula1>
    </dataValidation>
    <dataValidation type="list" allowBlank="1" showInputMessage="1" showErrorMessage="1" sqref="B91" xr:uid="{100A4981-38CD-4F8A-8F23-3BA6CCAE24BA}">
      <formula1>$B:$B</formula1>
    </dataValidation>
  </dataValidations>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AD9A-06FB-47D4-8187-32491DF296A2}">
  <sheetPr codeName="Sheet4">
    <tabColor rgb="FFFF0000"/>
    <pageSetUpPr fitToPage="1"/>
  </sheetPr>
  <dimension ref="A1:AG1128"/>
  <sheetViews>
    <sheetView topLeftCell="A626" workbookViewId="0">
      <selection activeCell="D632" sqref="D632"/>
    </sheetView>
  </sheetViews>
  <sheetFormatPr defaultRowHeight="15.75" customHeight="1"/>
  <cols>
    <col min="1" max="2" width="12.69921875" customWidth="1"/>
    <col min="3" max="4" width="26.19921875" customWidth="1"/>
    <col min="5" max="5" width="57.69921875" customWidth="1"/>
    <col min="6" max="6" width="12.19921875" customWidth="1"/>
    <col min="7" max="7" width="17.8984375" customWidth="1"/>
    <col min="8" max="8" width="12.19921875" customWidth="1"/>
    <col min="9" max="9" width="29.69921875" customWidth="1"/>
    <col min="10" max="10" width="14.69921875" bestFit="1" customWidth="1"/>
    <col min="11" max="11" width="7.69921875" customWidth="1"/>
    <col min="12" max="18" width="12" customWidth="1"/>
    <col min="19" max="19" width="12.19921875" customWidth="1"/>
    <col min="20" max="20" width="11" customWidth="1"/>
    <col min="21" max="21" width="10.69921875" customWidth="1"/>
    <col min="22" max="22" width="10.19921875" customWidth="1"/>
    <col min="23" max="23" width="9.5" customWidth="1"/>
    <col min="24" max="24" width="8.59765625" customWidth="1"/>
    <col min="25" max="26" width="11.09765625" customWidth="1"/>
    <col min="27" max="27" width="9.59765625" customWidth="1"/>
    <col min="28" max="28" width="10.69921875" customWidth="1"/>
    <col min="29" max="29" width="15.8984375" customWidth="1"/>
    <col min="30" max="30" width="15.69921875" bestFit="1" customWidth="1"/>
    <col min="31" max="31" width="15.5" customWidth="1"/>
    <col min="32" max="32" width="14.19921875" bestFit="1" customWidth="1"/>
    <col min="33" max="33" width="87" bestFit="1" customWidth="1"/>
    <col min="34" max="41" width="10.5" customWidth="1"/>
    <col min="42" max="42" width="79.19921875" customWidth="1"/>
  </cols>
  <sheetData>
    <row r="1" spans="1:33" s="35" customFormat="1" ht="18.75" customHeight="1">
      <c r="A1" s="90" t="s">
        <v>1218</v>
      </c>
      <c r="B1"/>
      <c r="C1"/>
      <c r="D1"/>
      <c r="E1"/>
      <c r="F1"/>
      <c r="G1"/>
      <c r="H1" s="127"/>
      <c r="I1" s="127"/>
      <c r="J1"/>
      <c r="N1"/>
      <c r="O1"/>
      <c r="P1"/>
      <c r="Q1"/>
      <c r="R1" s="270"/>
      <c r="S1" s="270"/>
      <c r="T1"/>
      <c r="U1" s="44"/>
      <c r="V1"/>
      <c r="W1"/>
      <c r="X1"/>
      <c r="Y1"/>
      <c r="Z1"/>
      <c r="AA1"/>
      <c r="AB1" s="44"/>
      <c r="AE1"/>
      <c r="AG1" s="52"/>
    </row>
    <row r="2" spans="1:33" ht="30.75" customHeight="1">
      <c r="A2" s="128" t="s">
        <v>1212</v>
      </c>
      <c r="B2" s="129" t="s">
        <v>1213</v>
      </c>
      <c r="C2" s="129" t="s">
        <v>148</v>
      </c>
      <c r="D2" s="129" t="s">
        <v>149</v>
      </c>
      <c r="E2" s="129" t="s">
        <v>150</v>
      </c>
      <c r="F2" s="129" t="s">
        <v>151</v>
      </c>
      <c r="G2" s="129" t="s">
        <v>152</v>
      </c>
      <c r="H2" s="129" t="s">
        <v>153</v>
      </c>
      <c r="I2" s="129" t="s">
        <v>154</v>
      </c>
      <c r="J2" s="129" t="s">
        <v>1199</v>
      </c>
      <c r="K2" s="129" t="s">
        <v>155</v>
      </c>
      <c r="L2" s="130" t="s">
        <v>1201</v>
      </c>
      <c r="M2" s="130" t="s">
        <v>1200</v>
      </c>
      <c r="N2" s="130" t="s">
        <v>159</v>
      </c>
      <c r="O2" s="130" t="s">
        <v>160</v>
      </c>
      <c r="P2" s="130" t="s">
        <v>1202</v>
      </c>
      <c r="Q2" s="130" t="s">
        <v>1203</v>
      </c>
      <c r="R2" s="130" t="s">
        <v>1204</v>
      </c>
      <c r="S2" s="130" t="s">
        <v>1205</v>
      </c>
      <c r="T2" s="130" t="s">
        <v>1206</v>
      </c>
      <c r="U2" s="181" t="s">
        <v>1207</v>
      </c>
      <c r="V2" s="130" t="s">
        <v>1208</v>
      </c>
      <c r="W2" s="130" t="s">
        <v>1209</v>
      </c>
      <c r="X2" s="130" t="s">
        <v>1210</v>
      </c>
      <c r="Y2" s="129" t="s">
        <v>161</v>
      </c>
      <c r="Z2" s="129" t="s">
        <v>156</v>
      </c>
      <c r="AA2" s="129" t="s">
        <v>157</v>
      </c>
      <c r="AB2" s="129" t="s">
        <v>158</v>
      </c>
      <c r="AC2" s="129" t="s">
        <v>162</v>
      </c>
      <c r="AD2" s="129" t="s">
        <v>163</v>
      </c>
      <c r="AE2" s="129" t="s">
        <v>164</v>
      </c>
      <c r="AF2" s="130" t="s">
        <v>165</v>
      </c>
      <c r="AG2" s="131" t="s">
        <v>1211</v>
      </c>
    </row>
    <row r="3" spans="1:33" ht="18">
      <c r="A3" s="166" t="s">
        <v>1517</v>
      </c>
      <c r="B3" s="167" t="s">
        <v>1252</v>
      </c>
      <c r="C3" s="167" t="s">
        <v>166</v>
      </c>
      <c r="D3" s="132" t="str">
        <f>"PRD_SNJ_"&amp;
_xlfn.XLOOKUP(商品マスタ[[#This Row],[仕入先]],テーブル1[仕入先名],テーブル1[仕入先コード],"XXX",0,1)&amp;
"_"&amp;
商品マスタ[[#This Row],[シリアル]]&amp;
"_"&amp;
TEXT(COUNTIFS(商品マスタ!$C$3:C3,商品マスタ[[#This Row],[仕入先]],商品マスタ!$E$3:E3,商品マスタ[[#This Row],[商品名]]), "00")</f>
        <v>PRD_SNJ_HAK_0001_01</v>
      </c>
      <c r="E3" s="87" t="s">
        <v>167</v>
      </c>
      <c r="F3" s="87">
        <f>IF(COUNTIFS($C$3:C3,商品マスタ[[#This Row],[仕入先]],$E$3:E3,商品マスタ[[#This Row],[商品名]]) = 1, 1,0)</f>
        <v>1</v>
      </c>
      <c r="G3" s="133" t="str">
        <f>TEXT(SUMIF($C$3:C3,商品マスタ[[#This Row],[仕入先]],$F$3:F3), "0000")</f>
        <v>0001</v>
      </c>
      <c r="H3" s="87" t="s">
        <v>168</v>
      </c>
      <c r="I3" s="87" t="s">
        <v>169</v>
      </c>
      <c r="J3" s="87">
        <v>100</v>
      </c>
      <c r="K3" s="87"/>
      <c r="L3" s="134">
        <v>715</v>
      </c>
      <c r="M3" s="157">
        <v>45950</v>
      </c>
      <c r="N3" s="134">
        <v>1188</v>
      </c>
      <c r="O3" s="135">
        <f>IF(COUNT(商品マスタ[[#This Row],[参考上代
（税込)]]) &gt; 0, (商品マスタ[[#This Row],[参考上代
（税込)]]-商品マスタ[[#This Row],[国内定価
（15％）]])/(商品マスタ[[#This Row],[参考上代
（税込)]]/1.08), "")</f>
        <v>0.23454545454545456</v>
      </c>
      <c r="P3" s="136">
        <v>0.1</v>
      </c>
      <c r="Q3" s="137">
        <f>商品マスタ[[#This Row],[仕入
単価]]*商品マスタ[[#This Row],[標準国内送料率]]</f>
        <v>71.5</v>
      </c>
      <c r="R3" s="134"/>
      <c r="S3" s="134">
        <f>IF(ISBLANK(商品マスタ[[#This Row],[実績
国内送料]]),商品マスタ[[#This Row],[標準国内送料]],)</f>
        <v>71.5</v>
      </c>
      <c r="T3" s="134">
        <f>商品マスタ[[#This Row],[仕入
単価]]+商品マスタ[[#This Row],[国内送料]]</f>
        <v>786.5</v>
      </c>
      <c r="U3" s="134">
        <f>ROUNDUP(商品マスタ[[#This Row],[仕入単価+国内送料]]/0.8,-1)</f>
        <v>990</v>
      </c>
      <c r="V3" s="134">
        <f>商品マスタ[[#This Row],[海外定価
（20％）]]-商品マスタ[[#This Row],[仕入単価+国内送料]]</f>
        <v>203.5</v>
      </c>
      <c r="W3" s="87">
        <f>ROUNDUP(商品マスタ[[#This Row],[仕入単価+国内送料]]/0.85,-1)</f>
        <v>930</v>
      </c>
      <c r="X3" s="138">
        <f>商品マスタ[[#This Row],[国内定価
（15％）]]-商品マスタ[[#This Row],[仕入単価+国内送料]]</f>
        <v>143.5</v>
      </c>
      <c r="Y3" s="139">
        <v>0.08</v>
      </c>
      <c r="Z3" s="87" t="s">
        <v>170</v>
      </c>
      <c r="AA3" s="87" t="s">
        <v>171</v>
      </c>
      <c r="AB3" s="87" t="s">
        <v>172</v>
      </c>
      <c r="AC3" s="140">
        <v>4985146001639</v>
      </c>
      <c r="AD3" s="87" t="s">
        <v>173</v>
      </c>
      <c r="AE3" s="87"/>
      <c r="AF3" s="87" t="s">
        <v>174</v>
      </c>
      <c r="AG3" s="141" t="s">
        <v>175</v>
      </c>
    </row>
    <row r="4" spans="1:33" ht="18">
      <c r="A4" s="166" t="s">
        <v>1517</v>
      </c>
      <c r="B4" s="167" t="s">
        <v>1252</v>
      </c>
      <c r="C4" s="167" t="s">
        <v>166</v>
      </c>
      <c r="D4" s="143" t="str">
        <f>"PRD_SNJ_"&amp;
_xlfn.XLOOKUP(商品マスタ[[#This Row],[仕入先]],テーブル1[仕入先名],テーブル1[仕入先コード],"XXX",0,1)&amp;
"_"&amp;
商品マスタ[[#This Row],[シリアル]]&amp;
"_"&amp;
TEXT(COUNTIFS(商品マスタ!$C$3:C4,商品マスタ[[#This Row],[仕入先]],商品マスタ!$E$3:E4,商品マスタ[[#This Row],[商品名]]), "00")</f>
        <v>PRD_SNJ_HAK_0002_01</v>
      </c>
      <c r="E4" s="87" t="s">
        <v>176</v>
      </c>
      <c r="F4" s="87">
        <f>IF(COUNTIFS($C$3:C4,商品マスタ[[#This Row],[仕入先]],$E$3:E4,商品マスタ[[#This Row],[商品名]]) = 1, 1,0)</f>
        <v>1</v>
      </c>
      <c r="G4" s="133" t="str">
        <f>TEXT(SUMIF($C$3:C4,商品マスタ[[#This Row],[仕入先]],$F$3:F4), "0000")</f>
        <v>0002</v>
      </c>
      <c r="H4" s="87" t="s">
        <v>168</v>
      </c>
      <c r="I4" s="87" t="s">
        <v>177</v>
      </c>
      <c r="J4" s="87">
        <v>100</v>
      </c>
      <c r="K4" s="87"/>
      <c r="L4" s="134">
        <v>650</v>
      </c>
      <c r="M4" s="157">
        <v>45950</v>
      </c>
      <c r="N4" s="134">
        <v>1080</v>
      </c>
      <c r="O4" s="135">
        <f>IF(COUNT(商品マスタ[[#This Row],[参考上代
（税込)]]) &gt; 0, (商品マスタ[[#This Row],[参考上代
（税込)]]-商品マスタ[[#This Row],[国内定価
（15％）]])/(商品マスタ[[#This Row],[参考上代
（税込)]]/1.08), "")</f>
        <v>0.23000000000000004</v>
      </c>
      <c r="P4" s="136">
        <v>0.1</v>
      </c>
      <c r="Q4" s="137">
        <f>商品マスタ[[#This Row],[仕入
単価]]*商品マスタ[[#This Row],[標準国内送料率]]</f>
        <v>65</v>
      </c>
      <c r="R4" s="134"/>
      <c r="S4" s="134">
        <f>IF(ISBLANK(商品マスタ[[#This Row],[実績
国内送料]]),商品マスタ[[#This Row],[標準国内送料]],)</f>
        <v>65</v>
      </c>
      <c r="T4" s="134">
        <f>商品マスタ[[#This Row],[仕入
単価]]+商品マスタ[[#This Row],[国内送料]]</f>
        <v>715</v>
      </c>
      <c r="U4" s="134">
        <f>ROUNDUP(商品マスタ[[#This Row],[仕入単価+国内送料]]/0.8,-1)</f>
        <v>900</v>
      </c>
      <c r="V4" s="134">
        <f>商品マスタ[[#This Row],[海外定価
（20％）]]-商品マスタ[[#This Row],[仕入単価+国内送料]]</f>
        <v>185</v>
      </c>
      <c r="W4" s="87">
        <f>ROUNDUP(商品マスタ[[#This Row],[仕入単価+国内送料]]/0.85,-1)</f>
        <v>850</v>
      </c>
      <c r="X4" s="134">
        <f>商品マスタ[[#This Row],[国内定価
（15％）]]-商品マスタ[[#This Row],[仕入単価+国内送料]]</f>
        <v>135</v>
      </c>
      <c r="Y4" s="139">
        <v>0.08</v>
      </c>
      <c r="Z4" s="87" t="s">
        <v>170</v>
      </c>
      <c r="AA4" s="87" t="s">
        <v>171</v>
      </c>
      <c r="AB4" s="87" t="s">
        <v>172</v>
      </c>
      <c r="AC4" s="140">
        <v>4985146001042</v>
      </c>
      <c r="AD4" s="87" t="s">
        <v>178</v>
      </c>
      <c r="AE4" s="87"/>
      <c r="AF4" s="87" t="s">
        <v>174</v>
      </c>
      <c r="AG4" s="141" t="s">
        <v>175</v>
      </c>
    </row>
    <row r="5" spans="1:33" ht="18">
      <c r="A5" s="166" t="s">
        <v>1518</v>
      </c>
      <c r="B5" s="167" t="s">
        <v>1248</v>
      </c>
      <c r="C5" s="167" t="s">
        <v>166</v>
      </c>
      <c r="D5" s="143" t="str">
        <f>"PRD_SNJ_"&amp;
_xlfn.XLOOKUP(商品マスタ[[#This Row],[仕入先]],テーブル1[仕入先名],テーブル1[仕入先コード],"XXX",0,1)&amp;
"_"&amp;
商品マスタ[[#This Row],[シリアル]]&amp;
"_"&amp;
TEXT(COUNTIFS(商品マスタ!$C$3:C5,商品マスタ[[#This Row],[仕入先]],商品マスタ!$E$3:E5,商品マスタ[[#This Row],[商品名]]), "00")</f>
        <v>PRD_SNJ_HAK_0003_01</v>
      </c>
      <c r="E5" s="87" t="s">
        <v>179</v>
      </c>
      <c r="F5" s="87">
        <f>IF(COUNTIFS($C$3:C5,商品マスタ[[#This Row],[仕入先]],$E$3:E5,商品マスタ[[#This Row],[商品名]]) = 1, 1,0)</f>
        <v>1</v>
      </c>
      <c r="G5" s="133" t="str">
        <f>TEXT(SUMIF($C$3:C5,商品マスタ[[#This Row],[仕入先]],$F$3:F5), "0000")</f>
        <v>0003</v>
      </c>
      <c r="H5" s="87" t="s">
        <v>180</v>
      </c>
      <c r="I5" s="87" t="s">
        <v>181</v>
      </c>
      <c r="J5" s="87">
        <v>200</v>
      </c>
      <c r="K5" s="87"/>
      <c r="L5" s="134">
        <v>287</v>
      </c>
      <c r="M5" s="157">
        <v>45950</v>
      </c>
      <c r="N5" s="134">
        <v>443</v>
      </c>
      <c r="O5" s="135">
        <f>IF(COUNT(商品マスタ[[#This Row],[参考上代
（税込)]]) &gt; 0, (商品マスタ[[#This Row],[参考上代
（税込)]]-商品マスタ[[#This Row],[国内定価
（15％）]])/(商品マスタ[[#This Row],[参考上代
（税込)]]/1.08), "")</f>
        <v>0.15358916478555307</v>
      </c>
      <c r="P5" s="136">
        <v>0.1</v>
      </c>
      <c r="Q5" s="137">
        <f>商品マスタ[[#This Row],[仕入
単価]]*商品マスタ[[#This Row],[標準国内送料率]]</f>
        <v>28.700000000000003</v>
      </c>
      <c r="R5" s="134"/>
      <c r="S5" s="134">
        <f>IF(ISBLANK(商品マスタ[[#This Row],[実績
国内送料]]),商品マスタ[[#This Row],[標準国内送料]],)</f>
        <v>28.700000000000003</v>
      </c>
      <c r="T5" s="134">
        <f>商品マスタ[[#This Row],[仕入
単価]]+商品マスタ[[#This Row],[国内送料]]</f>
        <v>315.7</v>
      </c>
      <c r="U5" s="134">
        <f>ROUNDUP(商品マスタ[[#This Row],[仕入単価+国内送料]]/0.8,-1)</f>
        <v>400</v>
      </c>
      <c r="V5" s="134">
        <f>商品マスタ[[#This Row],[海外定価
（20％）]]-商品マスタ[[#This Row],[仕入単価+国内送料]]</f>
        <v>84.300000000000011</v>
      </c>
      <c r="W5" s="87">
        <f>ROUNDUP(商品マスタ[[#This Row],[仕入単価+国内送料]]/0.85,-1)</f>
        <v>380</v>
      </c>
      <c r="X5" s="134">
        <f>商品マスタ[[#This Row],[国内定価
（15％）]]-商品マスタ[[#This Row],[仕入単価+国内送料]]</f>
        <v>64.300000000000011</v>
      </c>
      <c r="Y5" s="139">
        <v>0.08</v>
      </c>
      <c r="Z5" s="87" t="s">
        <v>182</v>
      </c>
      <c r="AA5" s="87" t="s">
        <v>171</v>
      </c>
      <c r="AB5" s="87" t="s">
        <v>172</v>
      </c>
      <c r="AC5" s="140">
        <v>4985146000649</v>
      </c>
      <c r="AD5" s="87" t="s">
        <v>183</v>
      </c>
      <c r="AE5" s="87"/>
      <c r="AF5" s="87" t="s">
        <v>174</v>
      </c>
      <c r="AG5" s="141" t="s">
        <v>184</v>
      </c>
    </row>
    <row r="6" spans="1:33" ht="18">
      <c r="A6" s="166" t="s">
        <v>1518</v>
      </c>
      <c r="B6" s="167" t="s">
        <v>1248</v>
      </c>
      <c r="C6" s="167" t="s">
        <v>166</v>
      </c>
      <c r="D6" s="143" t="str">
        <f>"PRD_SNJ_"&amp;
_xlfn.XLOOKUP(商品マスタ[[#This Row],[仕入先]],テーブル1[仕入先名],テーブル1[仕入先コード],"XXX",0,1)&amp;
"_"&amp;
商品マスタ[[#This Row],[シリアル]]&amp;
"_"&amp;
TEXT(COUNTIFS(商品マスタ!$C$3:C6,商品マスタ[[#This Row],[仕入先]],商品マスタ!$E$3:E6,商品マスタ[[#This Row],[商品名]]), "00")</f>
        <v>PRD_SNJ_HAK_0004_01</v>
      </c>
      <c r="E6" s="87" t="s">
        <v>185</v>
      </c>
      <c r="F6" s="87">
        <f>IF(COUNTIFS($C$3:C6,商品マスタ[[#This Row],[仕入先]],$E$3:E6,商品マスタ[[#This Row],[商品名]]) = 1, 1,0)</f>
        <v>1</v>
      </c>
      <c r="G6" s="133" t="str">
        <f>TEXT(SUMIF($C$3:C6,商品マスタ[[#This Row],[仕入先]],$F$3:F6), "0000")</f>
        <v>0004</v>
      </c>
      <c r="H6" s="87" t="s">
        <v>180</v>
      </c>
      <c r="I6" s="87" t="s">
        <v>186</v>
      </c>
      <c r="J6" s="87">
        <v>200</v>
      </c>
      <c r="K6" s="87"/>
      <c r="L6" s="134">
        <v>287</v>
      </c>
      <c r="M6" s="157">
        <v>45950</v>
      </c>
      <c r="N6" s="134">
        <v>442</v>
      </c>
      <c r="O6" s="135">
        <f>IF(COUNT(商品マスタ[[#This Row],[参考上代
（税込)]]) &gt; 0, (商品マスタ[[#This Row],[参考上代
（税込)]]-商品マスタ[[#This Row],[国内定価
（15％）]])/(商品マスタ[[#This Row],[参考上代
（税込)]]/1.08), "")</f>
        <v>0.15149321266968327</v>
      </c>
      <c r="P6" s="136">
        <v>0.1</v>
      </c>
      <c r="Q6" s="137">
        <f>商品マスタ[[#This Row],[仕入
単価]]*商品マスタ[[#This Row],[標準国内送料率]]</f>
        <v>28.700000000000003</v>
      </c>
      <c r="R6" s="134"/>
      <c r="S6" s="134">
        <f>IF(ISBLANK(商品マスタ[[#This Row],[実績
国内送料]]),商品マスタ[[#This Row],[標準国内送料]],)</f>
        <v>28.700000000000003</v>
      </c>
      <c r="T6" s="134">
        <f>商品マスタ[[#This Row],[仕入
単価]]+商品マスタ[[#This Row],[国内送料]]</f>
        <v>315.7</v>
      </c>
      <c r="U6" s="134">
        <f>ROUNDUP(商品マスタ[[#This Row],[仕入単価+国内送料]]/0.8,-1)</f>
        <v>400</v>
      </c>
      <c r="V6" s="134">
        <f>商品マスタ[[#This Row],[海外定価
（20％）]]-商品マスタ[[#This Row],[仕入単価+国内送料]]</f>
        <v>84.300000000000011</v>
      </c>
      <c r="W6" s="87">
        <f>ROUNDUP(商品マスタ[[#This Row],[仕入単価+国内送料]]/0.85,-1)</f>
        <v>380</v>
      </c>
      <c r="X6" s="134">
        <f>商品マスタ[[#This Row],[国内定価
（15％）]]-商品マスタ[[#This Row],[仕入単価+国内送料]]</f>
        <v>64.300000000000011</v>
      </c>
      <c r="Y6" s="139">
        <v>0.08</v>
      </c>
      <c r="Z6" s="87" t="s">
        <v>182</v>
      </c>
      <c r="AA6" s="87" t="s">
        <v>171</v>
      </c>
      <c r="AB6" s="87" t="s">
        <v>172</v>
      </c>
      <c r="AC6" s="140">
        <v>4985146000908</v>
      </c>
      <c r="AD6" s="87" t="s">
        <v>187</v>
      </c>
      <c r="AE6" s="87"/>
      <c r="AF6" s="87" t="s">
        <v>174</v>
      </c>
      <c r="AG6" s="141" t="s">
        <v>184</v>
      </c>
    </row>
    <row r="7" spans="1:33" ht="18">
      <c r="A7" s="166" t="s">
        <v>1518</v>
      </c>
      <c r="B7" s="167" t="s">
        <v>1248</v>
      </c>
      <c r="C7" s="167" t="s">
        <v>166</v>
      </c>
      <c r="D7" s="143" t="str">
        <f>"PRD_SNJ_"&amp;
_xlfn.XLOOKUP(商品マスタ[[#This Row],[仕入先]],テーブル1[仕入先名],テーブル1[仕入先コード],"XXX",0,1)&amp;
"_"&amp;
商品マスタ[[#This Row],[シリアル]]&amp;
"_"&amp;
TEXT(COUNTIFS(商品マスタ!$C$3:C7,商品マスタ[[#This Row],[仕入先]],商品マスタ!$E$3:E7,商品マスタ[[#This Row],[商品名]]), "00")</f>
        <v>PRD_SNJ_HAK_0005_01</v>
      </c>
      <c r="E7" s="87" t="s">
        <v>188</v>
      </c>
      <c r="F7" s="87">
        <f>IF(COUNTIFS($C$3:C7,商品マスタ[[#This Row],[仕入先]],$E$3:E7,商品マスタ[[#This Row],[商品名]]) = 1, 1,0)</f>
        <v>1</v>
      </c>
      <c r="G7" s="133" t="str">
        <f>TEXT(SUMIF($C$3:C7,商品マスタ[[#This Row],[仕入先]],$F$3:F7), "0000")</f>
        <v>0005</v>
      </c>
      <c r="H7" s="87" t="s">
        <v>180</v>
      </c>
      <c r="I7" s="87" t="s">
        <v>186</v>
      </c>
      <c r="J7" s="87">
        <v>24</v>
      </c>
      <c r="K7" s="87" t="s">
        <v>189</v>
      </c>
      <c r="L7" s="134">
        <v>287</v>
      </c>
      <c r="M7" s="157">
        <v>45950</v>
      </c>
      <c r="N7" s="134">
        <v>442</v>
      </c>
      <c r="O7" s="135">
        <f>IF(COUNT(商品マスタ[[#This Row],[参考上代
（税込)]]) &gt; 0, (商品マスタ[[#This Row],[参考上代
（税込)]]-商品マスタ[[#This Row],[国内定価
（15％）]])/(商品マスタ[[#This Row],[参考上代
（税込)]]/1.08), "")</f>
        <v>0.15149321266968327</v>
      </c>
      <c r="P7" s="136">
        <v>0.1</v>
      </c>
      <c r="Q7" s="137">
        <f>商品マスタ[[#This Row],[仕入
単価]]*商品マスタ[[#This Row],[標準国内送料率]]</f>
        <v>28.700000000000003</v>
      </c>
      <c r="R7" s="134"/>
      <c r="S7" s="134">
        <f>IF(ISBLANK(商品マスタ[[#This Row],[実績
国内送料]]),商品マスタ[[#This Row],[標準国内送料]],)</f>
        <v>28.700000000000003</v>
      </c>
      <c r="T7" s="134">
        <f>商品マスタ[[#This Row],[仕入
単価]]+商品マスタ[[#This Row],[国内送料]]</f>
        <v>315.7</v>
      </c>
      <c r="U7" s="134">
        <f>ROUNDUP(商品マスタ[[#This Row],[仕入単価+国内送料]]/0.8,-1)</f>
        <v>400</v>
      </c>
      <c r="V7" s="134">
        <f>商品マスタ[[#This Row],[海外定価
（20％）]]-商品マスタ[[#This Row],[仕入単価+国内送料]]</f>
        <v>84.300000000000011</v>
      </c>
      <c r="W7" s="87">
        <f>ROUNDUP(商品マスタ[[#This Row],[仕入単価+国内送料]]/0.85,-1)</f>
        <v>380</v>
      </c>
      <c r="X7" s="134">
        <f>商品マスタ[[#This Row],[国内定価
（15％）]]-商品マスタ[[#This Row],[仕入単価+国内送料]]</f>
        <v>64.300000000000011</v>
      </c>
      <c r="Y7" s="139">
        <v>0.08</v>
      </c>
      <c r="Z7" s="87" t="s">
        <v>182</v>
      </c>
      <c r="AA7" s="87" t="s">
        <v>171</v>
      </c>
      <c r="AB7" s="87" t="s">
        <v>172</v>
      </c>
      <c r="AC7" s="140">
        <v>4985146000953</v>
      </c>
      <c r="AD7" s="87" t="s">
        <v>190</v>
      </c>
      <c r="AE7" s="87"/>
      <c r="AF7" s="87" t="s">
        <v>174</v>
      </c>
      <c r="AG7" s="141" t="s">
        <v>184</v>
      </c>
    </row>
    <row r="8" spans="1:33" ht="18">
      <c r="A8" s="166" t="s">
        <v>1518</v>
      </c>
      <c r="B8" s="167" t="s">
        <v>1248</v>
      </c>
      <c r="C8" s="167" t="s">
        <v>166</v>
      </c>
      <c r="D8" s="143" t="str">
        <f>"PRD_SNJ_"&amp;
_xlfn.XLOOKUP(商品マスタ[[#This Row],[仕入先]],テーブル1[仕入先名],テーブル1[仕入先コード],"XXX",0,1)&amp;
"_"&amp;
商品マスタ[[#This Row],[シリアル]]&amp;
"_"&amp;
TEXT(COUNTIFS(商品マスタ!$C$3:C8,商品マスタ[[#This Row],[仕入先]],商品マスタ!$E$3:E8,商品マスタ[[#This Row],[商品名]]), "00")</f>
        <v>PRD_SNJ_HAK_0006_01</v>
      </c>
      <c r="E8" s="87" t="s">
        <v>191</v>
      </c>
      <c r="F8" s="87">
        <f>IF(COUNTIFS($C$3:C8,商品マスタ[[#This Row],[仕入先]],$E$3:E8,商品マスタ[[#This Row],[商品名]]) = 1, 1,0)</f>
        <v>1</v>
      </c>
      <c r="G8" s="133" t="str">
        <f>TEXT(SUMIF($C$3:C8,商品マスタ[[#This Row],[仕入先]],$F$3:F8), "0000")</f>
        <v>0006</v>
      </c>
      <c r="H8" s="87" t="s">
        <v>180</v>
      </c>
      <c r="I8" s="87" t="s">
        <v>186</v>
      </c>
      <c r="J8" s="87">
        <v>24</v>
      </c>
      <c r="K8" s="87" t="s">
        <v>189</v>
      </c>
      <c r="L8" s="134">
        <v>287</v>
      </c>
      <c r="M8" s="157">
        <v>45950</v>
      </c>
      <c r="N8" s="134">
        <v>442</v>
      </c>
      <c r="O8" s="135">
        <f>IF(COUNT(商品マスタ[[#This Row],[参考上代
（税込)]]) &gt; 0, (商品マスタ[[#This Row],[参考上代
（税込)]]-商品マスタ[[#This Row],[国内定価
（15％）]])/(商品マスタ[[#This Row],[参考上代
（税込)]]/1.08), "")</f>
        <v>0.15149321266968327</v>
      </c>
      <c r="P8" s="136">
        <v>0.1</v>
      </c>
      <c r="Q8" s="137">
        <f>商品マスタ[[#This Row],[仕入
単価]]*商品マスタ[[#This Row],[標準国内送料率]]</f>
        <v>28.700000000000003</v>
      </c>
      <c r="R8" s="134"/>
      <c r="S8" s="134">
        <f>IF(ISBLANK(商品マスタ[[#This Row],[実績
国内送料]]),商品マスタ[[#This Row],[標準国内送料]],)</f>
        <v>28.700000000000003</v>
      </c>
      <c r="T8" s="134">
        <f>商品マスタ[[#This Row],[仕入
単価]]+商品マスタ[[#This Row],[国内送料]]</f>
        <v>315.7</v>
      </c>
      <c r="U8" s="134">
        <f>ROUNDUP(商品マスタ[[#This Row],[仕入単価+国内送料]]/0.8,-1)</f>
        <v>400</v>
      </c>
      <c r="V8" s="134">
        <f>商品マスタ[[#This Row],[海外定価
（20％）]]-商品マスタ[[#This Row],[仕入単価+国内送料]]</f>
        <v>84.300000000000011</v>
      </c>
      <c r="W8" s="87">
        <f>ROUNDUP(商品マスタ[[#This Row],[仕入単価+国内送料]]/0.85,-1)</f>
        <v>380</v>
      </c>
      <c r="X8" s="134">
        <f>商品マスタ[[#This Row],[国内定価
（15％）]]-商品マスタ[[#This Row],[仕入単価+国内送料]]</f>
        <v>64.300000000000011</v>
      </c>
      <c r="Y8" s="139">
        <v>0.08</v>
      </c>
      <c r="Z8" s="87" t="s">
        <v>182</v>
      </c>
      <c r="AA8" s="87" t="s">
        <v>171</v>
      </c>
      <c r="AB8" s="87" t="s">
        <v>172</v>
      </c>
      <c r="AC8" s="140">
        <v>4985146000960</v>
      </c>
      <c r="AD8" s="87" t="s">
        <v>192</v>
      </c>
      <c r="AE8" s="87"/>
      <c r="AF8" s="87" t="s">
        <v>174</v>
      </c>
      <c r="AG8" s="141" t="s">
        <v>184</v>
      </c>
    </row>
    <row r="9" spans="1:33" ht="18">
      <c r="A9" s="166" t="s">
        <v>1518</v>
      </c>
      <c r="B9" s="167" t="s">
        <v>1248</v>
      </c>
      <c r="C9" s="167" t="s">
        <v>166</v>
      </c>
      <c r="D9" s="143" t="str">
        <f>"PRD_SNJ_"&amp;
_xlfn.XLOOKUP(商品マスタ[[#This Row],[仕入先]],テーブル1[仕入先名],テーブル1[仕入先コード],"XXX",0,1)&amp;
"_"&amp;
商品マスタ[[#This Row],[シリアル]]&amp;
"_"&amp;
TEXT(COUNTIFS(商品マスタ!$C$3:C9,商品マスタ[[#This Row],[仕入先]],商品マスタ!$E$3:E9,商品マスタ[[#This Row],[商品名]]), "00")</f>
        <v>PRD_SNJ_HAK_0007_01</v>
      </c>
      <c r="E9" s="87" t="s">
        <v>193</v>
      </c>
      <c r="F9" s="87">
        <f>IF(COUNTIFS($C$3:C9,商品マスタ[[#This Row],[仕入先]],$E$3:E9,商品マスタ[[#This Row],[商品名]]) = 1, 1,0)</f>
        <v>1</v>
      </c>
      <c r="G9" s="133" t="str">
        <f>TEXT(SUMIF($C$3:C9,商品マスタ[[#This Row],[仕入先]],$F$3:F9), "0000")</f>
        <v>0007</v>
      </c>
      <c r="H9" s="87" t="s">
        <v>180</v>
      </c>
      <c r="I9" s="87" t="s">
        <v>186</v>
      </c>
      <c r="J9" s="87">
        <v>24</v>
      </c>
      <c r="K9" s="87" t="s">
        <v>189</v>
      </c>
      <c r="L9" s="134">
        <v>287</v>
      </c>
      <c r="M9" s="157">
        <v>45950</v>
      </c>
      <c r="N9" s="134">
        <v>442</v>
      </c>
      <c r="O9" s="135">
        <f>IF(COUNT(商品マスタ[[#This Row],[参考上代
（税込)]]) &gt; 0, (商品マスタ[[#This Row],[参考上代
（税込)]]-商品マスタ[[#This Row],[国内定価
（15％）]])/(商品マスタ[[#This Row],[参考上代
（税込)]]/1.08), "")</f>
        <v>0.15149321266968327</v>
      </c>
      <c r="P9" s="136">
        <v>0.1</v>
      </c>
      <c r="Q9" s="137">
        <f>商品マスタ[[#This Row],[仕入
単価]]*商品マスタ[[#This Row],[標準国内送料率]]</f>
        <v>28.700000000000003</v>
      </c>
      <c r="R9" s="134"/>
      <c r="S9" s="134">
        <f>IF(ISBLANK(商品マスタ[[#This Row],[実績
国内送料]]),商品マスタ[[#This Row],[標準国内送料]],)</f>
        <v>28.700000000000003</v>
      </c>
      <c r="T9" s="134">
        <f>商品マスタ[[#This Row],[仕入
単価]]+商品マスタ[[#This Row],[国内送料]]</f>
        <v>315.7</v>
      </c>
      <c r="U9" s="134">
        <f>ROUNDUP(商品マスタ[[#This Row],[仕入単価+国内送料]]/0.8,-1)</f>
        <v>400</v>
      </c>
      <c r="V9" s="134">
        <f>商品マスタ[[#This Row],[海外定価
（20％）]]-商品マスタ[[#This Row],[仕入単価+国内送料]]</f>
        <v>84.300000000000011</v>
      </c>
      <c r="W9" s="87">
        <f>ROUNDUP(商品マスタ[[#This Row],[仕入単価+国内送料]]/0.85,-1)</f>
        <v>380</v>
      </c>
      <c r="X9" s="134">
        <f>商品マスタ[[#This Row],[国内定価
（15％）]]-商品マスタ[[#This Row],[仕入単価+国内送料]]</f>
        <v>64.300000000000011</v>
      </c>
      <c r="Y9" s="139">
        <v>0.08</v>
      </c>
      <c r="Z9" s="87" t="s">
        <v>182</v>
      </c>
      <c r="AA9" s="87" t="s">
        <v>171</v>
      </c>
      <c r="AB9" s="87" t="s">
        <v>172</v>
      </c>
      <c r="AC9" s="140">
        <v>4985146000922</v>
      </c>
      <c r="AD9" s="87" t="s">
        <v>194</v>
      </c>
      <c r="AE9" s="87"/>
      <c r="AF9" s="87" t="s">
        <v>174</v>
      </c>
      <c r="AG9" s="141" t="s">
        <v>184</v>
      </c>
    </row>
    <row r="10" spans="1:33" ht="18">
      <c r="A10" s="166" t="s">
        <v>1518</v>
      </c>
      <c r="B10" s="167" t="s">
        <v>1248</v>
      </c>
      <c r="C10" s="167" t="s">
        <v>166</v>
      </c>
      <c r="D10" s="143" t="str">
        <f>"PRD_SNJ_"&amp;
_xlfn.XLOOKUP(商品マスタ[[#This Row],[仕入先]],テーブル1[仕入先名],テーブル1[仕入先コード],"XXX",0,1)&amp;
"_"&amp;
商品マスタ[[#This Row],[シリアル]]&amp;
"_"&amp;
TEXT(COUNTIFS(商品マスタ!$C$3:C10,商品マスタ[[#This Row],[仕入先]],商品マスタ!$E$3:E10,商品マスタ[[#This Row],[商品名]]), "00")</f>
        <v>PRD_SNJ_HAK_0008_01</v>
      </c>
      <c r="E10" s="87" t="s">
        <v>195</v>
      </c>
      <c r="F10" s="87">
        <f>IF(COUNTIFS($C$3:C10,商品マスタ[[#This Row],[仕入先]],$E$3:E10,商品マスタ[[#This Row],[商品名]]) = 1, 1,0)</f>
        <v>1</v>
      </c>
      <c r="G10" s="133" t="str">
        <f>TEXT(SUMIF($C$3:C10,商品マスタ[[#This Row],[仕入先]],$F$3:F10), "0000")</f>
        <v>0008</v>
      </c>
      <c r="H10" s="87" t="s">
        <v>180</v>
      </c>
      <c r="I10" s="87" t="s">
        <v>186</v>
      </c>
      <c r="J10" s="87">
        <v>24</v>
      </c>
      <c r="K10" s="87" t="s">
        <v>189</v>
      </c>
      <c r="L10" s="134">
        <v>287</v>
      </c>
      <c r="M10" s="157">
        <v>45950</v>
      </c>
      <c r="N10" s="134">
        <v>442</v>
      </c>
      <c r="O10" s="135">
        <f>IF(COUNT(商品マスタ[[#This Row],[参考上代
（税込)]]) &gt; 0, (商品マスタ[[#This Row],[参考上代
（税込)]]-商品マスタ[[#This Row],[国内定価
（15％）]])/(商品マスタ[[#This Row],[参考上代
（税込)]]/1.08), "")</f>
        <v>0.15149321266968327</v>
      </c>
      <c r="P10" s="136">
        <v>0.1</v>
      </c>
      <c r="Q10" s="137">
        <f>商品マスタ[[#This Row],[仕入
単価]]*商品マスタ[[#This Row],[標準国内送料率]]</f>
        <v>28.700000000000003</v>
      </c>
      <c r="R10" s="134"/>
      <c r="S10" s="134">
        <f>IF(ISBLANK(商品マスタ[[#This Row],[実績
国内送料]]),商品マスタ[[#This Row],[標準国内送料]],)</f>
        <v>28.700000000000003</v>
      </c>
      <c r="T10" s="134">
        <f>商品マスタ[[#This Row],[仕入
単価]]+商品マスタ[[#This Row],[国内送料]]</f>
        <v>315.7</v>
      </c>
      <c r="U10" s="134">
        <f>ROUNDUP(商品マスタ[[#This Row],[仕入単価+国内送料]]/0.8,-1)</f>
        <v>400</v>
      </c>
      <c r="V10" s="134">
        <f>商品マスタ[[#This Row],[海外定価
（20％）]]-商品マスタ[[#This Row],[仕入単価+国内送料]]</f>
        <v>84.300000000000011</v>
      </c>
      <c r="W10" s="87">
        <f>ROUNDUP(商品マスタ[[#This Row],[仕入単価+国内送料]]/0.85,-1)</f>
        <v>380</v>
      </c>
      <c r="X10" s="134">
        <f>商品マスタ[[#This Row],[国内定価
（15％）]]-商品マスタ[[#This Row],[仕入単価+国内送料]]</f>
        <v>64.300000000000011</v>
      </c>
      <c r="Y10" s="139">
        <v>0.08</v>
      </c>
      <c r="Z10" s="87" t="s">
        <v>182</v>
      </c>
      <c r="AA10" s="87" t="s">
        <v>171</v>
      </c>
      <c r="AB10" s="87" t="s">
        <v>172</v>
      </c>
      <c r="AC10" s="140">
        <v>4985146000946</v>
      </c>
      <c r="AD10" s="87" t="s">
        <v>196</v>
      </c>
      <c r="AE10" s="87"/>
      <c r="AF10" s="87" t="s">
        <v>174</v>
      </c>
      <c r="AG10" s="141" t="s">
        <v>184</v>
      </c>
    </row>
    <row r="11" spans="1:33" ht="18">
      <c r="A11" s="166" t="s">
        <v>1518</v>
      </c>
      <c r="B11" s="167" t="s">
        <v>1248</v>
      </c>
      <c r="C11" s="167" t="s">
        <v>166</v>
      </c>
      <c r="D11" s="143" t="str">
        <f>"PRD_SNJ_"&amp;
_xlfn.XLOOKUP(商品マスタ[[#This Row],[仕入先]],テーブル1[仕入先名],テーブル1[仕入先コード],"XXX",0,1)&amp;
"_"&amp;
商品マスタ[[#This Row],[シリアル]]&amp;
"_"&amp;
TEXT(COUNTIFS(商品マスタ!$C$3:C11,商品マスタ[[#This Row],[仕入先]],商品マスタ!$E$3:E11,商品マスタ[[#This Row],[商品名]]), "00")</f>
        <v>PRD_SNJ_HAK_0009_01</v>
      </c>
      <c r="E11" s="87" t="s">
        <v>197</v>
      </c>
      <c r="F11" s="87">
        <f>IF(COUNTIFS($C$3:C11,商品マスタ[[#This Row],[仕入先]],$E$3:E11,商品マスタ[[#This Row],[商品名]]) = 1, 1,0)</f>
        <v>1</v>
      </c>
      <c r="G11" s="133" t="str">
        <f>TEXT(SUMIF($C$3:C11,商品マスタ[[#This Row],[仕入先]],$F$3:F11), "0000")</f>
        <v>0009</v>
      </c>
      <c r="H11" s="87" t="s">
        <v>180</v>
      </c>
      <c r="I11" s="87" t="s">
        <v>186</v>
      </c>
      <c r="J11" s="87">
        <v>24</v>
      </c>
      <c r="K11" s="87" t="s">
        <v>189</v>
      </c>
      <c r="L11" s="134">
        <v>287</v>
      </c>
      <c r="M11" s="157">
        <v>45950</v>
      </c>
      <c r="N11" s="134">
        <v>442</v>
      </c>
      <c r="O11" s="135">
        <f>IF(COUNT(商品マスタ[[#This Row],[参考上代
（税込)]]) &gt; 0, (商品マスタ[[#This Row],[参考上代
（税込)]]-商品マスタ[[#This Row],[国内定価
（15％）]])/(商品マスタ[[#This Row],[参考上代
（税込)]]/1.08), "")</f>
        <v>0.15149321266968327</v>
      </c>
      <c r="P11" s="136">
        <v>0.1</v>
      </c>
      <c r="Q11" s="137">
        <f>商品マスタ[[#This Row],[仕入
単価]]*商品マスタ[[#This Row],[標準国内送料率]]</f>
        <v>28.700000000000003</v>
      </c>
      <c r="R11" s="134"/>
      <c r="S11" s="134">
        <f>IF(ISBLANK(商品マスタ[[#This Row],[実績
国内送料]]),商品マスタ[[#This Row],[標準国内送料]],)</f>
        <v>28.700000000000003</v>
      </c>
      <c r="T11" s="134">
        <f>商品マスタ[[#This Row],[仕入
単価]]+商品マスタ[[#This Row],[国内送料]]</f>
        <v>315.7</v>
      </c>
      <c r="U11" s="134">
        <f>ROUNDUP(商品マスタ[[#This Row],[仕入単価+国内送料]]/0.8,-1)</f>
        <v>400</v>
      </c>
      <c r="V11" s="134">
        <f>商品マスタ[[#This Row],[海外定価
（20％）]]-商品マスタ[[#This Row],[仕入単価+国内送料]]</f>
        <v>84.300000000000011</v>
      </c>
      <c r="W11" s="87">
        <f>ROUNDUP(商品マスタ[[#This Row],[仕入単価+国内送料]]/0.85,-1)</f>
        <v>380</v>
      </c>
      <c r="X11" s="134">
        <f>商品マスタ[[#This Row],[国内定価
（15％）]]-商品マスタ[[#This Row],[仕入単価+国内送料]]</f>
        <v>64.300000000000011</v>
      </c>
      <c r="Y11" s="139">
        <v>0.08</v>
      </c>
      <c r="Z11" s="87" t="s">
        <v>182</v>
      </c>
      <c r="AA11" s="87" t="s">
        <v>171</v>
      </c>
      <c r="AB11" s="87" t="s">
        <v>172</v>
      </c>
      <c r="AC11" s="140">
        <v>4985146000984</v>
      </c>
      <c r="AD11" s="87" t="s">
        <v>198</v>
      </c>
      <c r="AE11" s="87"/>
      <c r="AF11" s="87" t="s">
        <v>174</v>
      </c>
      <c r="AG11" s="141" t="s">
        <v>184</v>
      </c>
    </row>
    <row r="12" spans="1:33" ht="18">
      <c r="A12" s="166" t="s">
        <v>1518</v>
      </c>
      <c r="B12" s="167" t="s">
        <v>1248</v>
      </c>
      <c r="C12" s="167" t="s">
        <v>166</v>
      </c>
      <c r="D12" s="143" t="str">
        <f>"PRD_SNJ_"&amp;
_xlfn.XLOOKUP(商品マスタ[[#This Row],[仕入先]],テーブル1[仕入先名],テーブル1[仕入先コード],"XXX",0,1)&amp;
"_"&amp;
商品マスタ[[#This Row],[シリアル]]&amp;
"_"&amp;
TEXT(COUNTIFS(商品マスタ!$C$3:C12,商品マスタ[[#This Row],[仕入先]],商品マスタ!$E$3:E12,商品マスタ[[#This Row],[商品名]]), "00")</f>
        <v>PRD_SNJ_HAK_0010_01</v>
      </c>
      <c r="E12" s="87" t="s">
        <v>199</v>
      </c>
      <c r="F12" s="87">
        <f>IF(COUNTIFS($C$3:C12,商品マスタ[[#This Row],[仕入先]],$E$3:E12,商品マスタ[[#This Row],[商品名]]) = 1, 1,0)</f>
        <v>1</v>
      </c>
      <c r="G12" s="133" t="str">
        <f>TEXT(SUMIF($C$3:C12,商品マスタ[[#This Row],[仕入先]],$F$3:F12), "0000")</f>
        <v>0010</v>
      </c>
      <c r="H12" s="87" t="s">
        <v>180</v>
      </c>
      <c r="I12" s="87" t="s">
        <v>200</v>
      </c>
      <c r="J12" s="87">
        <v>24</v>
      </c>
      <c r="K12" s="87" t="s">
        <v>189</v>
      </c>
      <c r="L12" s="134">
        <v>287</v>
      </c>
      <c r="M12" s="157">
        <v>45950</v>
      </c>
      <c r="N12" s="134">
        <v>442</v>
      </c>
      <c r="O12" s="135">
        <f>IF(COUNT(商品マスタ[[#This Row],[参考上代
（税込)]]) &gt; 0, (商品マスタ[[#This Row],[参考上代
（税込)]]-商品マスタ[[#This Row],[国内定価
（15％）]])/(商品マスタ[[#This Row],[参考上代
（税込)]]/1.08), "")</f>
        <v>0.15149321266968327</v>
      </c>
      <c r="P12" s="136">
        <v>0.1</v>
      </c>
      <c r="Q12" s="137">
        <f>商品マスタ[[#This Row],[仕入
単価]]*商品マスタ[[#This Row],[標準国内送料率]]</f>
        <v>28.700000000000003</v>
      </c>
      <c r="R12" s="134"/>
      <c r="S12" s="134">
        <f>IF(ISBLANK(商品マスタ[[#This Row],[実績
国内送料]]),商品マスタ[[#This Row],[標準国内送料]],)</f>
        <v>28.700000000000003</v>
      </c>
      <c r="T12" s="134">
        <f>商品マスタ[[#This Row],[仕入
単価]]+商品マスタ[[#This Row],[国内送料]]</f>
        <v>315.7</v>
      </c>
      <c r="U12" s="134">
        <f>ROUNDUP(商品マスタ[[#This Row],[仕入単価+国内送料]]/0.8,-1)</f>
        <v>400</v>
      </c>
      <c r="V12" s="134">
        <f>商品マスタ[[#This Row],[海外定価
（20％）]]-商品マスタ[[#This Row],[仕入単価+国内送料]]</f>
        <v>84.300000000000011</v>
      </c>
      <c r="W12" s="87">
        <f>ROUNDUP(商品マスタ[[#This Row],[仕入単価+国内送料]]/0.85,-1)</f>
        <v>380</v>
      </c>
      <c r="X12" s="134">
        <f>商品マスタ[[#This Row],[国内定価
（15％）]]-商品マスタ[[#This Row],[仕入単価+国内送料]]</f>
        <v>64.300000000000011</v>
      </c>
      <c r="Y12" s="139">
        <v>0.08</v>
      </c>
      <c r="Z12" s="87" t="s">
        <v>182</v>
      </c>
      <c r="AA12" s="87" t="s">
        <v>171</v>
      </c>
      <c r="AB12" s="87" t="s">
        <v>172</v>
      </c>
      <c r="AC12" s="140">
        <v>4985146000939</v>
      </c>
      <c r="AD12" s="87" t="s">
        <v>201</v>
      </c>
      <c r="AE12" s="87"/>
      <c r="AF12" s="87" t="s">
        <v>174</v>
      </c>
      <c r="AG12" s="144" t="s">
        <v>202</v>
      </c>
    </row>
    <row r="13" spans="1:33" ht="18">
      <c r="A13" s="166" t="s">
        <v>1518</v>
      </c>
      <c r="B13" s="167" t="s">
        <v>1248</v>
      </c>
      <c r="C13" s="167" t="s">
        <v>166</v>
      </c>
      <c r="D13" s="143" t="str">
        <f>"PRD_SNJ_"&amp;
_xlfn.XLOOKUP(商品マスタ[[#This Row],[仕入先]],テーブル1[仕入先名],テーブル1[仕入先コード],"XXX",0,1)&amp;
"_"&amp;
商品マスタ[[#This Row],[シリアル]]&amp;
"_"&amp;
TEXT(COUNTIFS(商品マスタ!$C$3:C13,商品マスタ[[#This Row],[仕入先]],商品マスタ!$E$3:E13,商品マスタ[[#This Row],[商品名]]), "00")</f>
        <v>PRD_SNJ_HAK_0011_01</v>
      </c>
      <c r="E13" s="87" t="s">
        <v>203</v>
      </c>
      <c r="F13" s="87">
        <f>IF(COUNTIFS($C$3:C13,商品マスタ[[#This Row],[仕入先]],$E$3:E13,商品マスタ[[#This Row],[商品名]]) = 1, 1,0)</f>
        <v>1</v>
      </c>
      <c r="G13" s="133" t="str">
        <f>TEXT(SUMIF($C$3:C13,商品マスタ[[#This Row],[仕入先]],$F$3:F13), "0000")</f>
        <v>0011</v>
      </c>
      <c r="H13" s="87" t="s">
        <v>180</v>
      </c>
      <c r="I13" s="87" t="s">
        <v>200</v>
      </c>
      <c r="J13" s="87">
        <v>24</v>
      </c>
      <c r="K13" s="87" t="s">
        <v>189</v>
      </c>
      <c r="L13" s="134">
        <v>287</v>
      </c>
      <c r="M13" s="157">
        <v>45950</v>
      </c>
      <c r="N13" s="134">
        <v>442</v>
      </c>
      <c r="O13" s="135">
        <f>IF(COUNT(商品マスタ[[#This Row],[参考上代
（税込)]]) &gt; 0, (商品マスタ[[#This Row],[参考上代
（税込)]]-商品マスタ[[#This Row],[国内定価
（15％）]])/(商品マスタ[[#This Row],[参考上代
（税込)]]/1.08), "")</f>
        <v>0.15149321266968327</v>
      </c>
      <c r="P13" s="136">
        <v>0.1</v>
      </c>
      <c r="Q13" s="137">
        <f>商品マスタ[[#This Row],[仕入
単価]]*商品マスタ[[#This Row],[標準国内送料率]]</f>
        <v>28.700000000000003</v>
      </c>
      <c r="R13" s="134"/>
      <c r="S13" s="134">
        <f>IF(ISBLANK(商品マスタ[[#This Row],[実績
国内送料]]),商品マスタ[[#This Row],[標準国内送料]],)</f>
        <v>28.700000000000003</v>
      </c>
      <c r="T13" s="134">
        <f>商品マスタ[[#This Row],[仕入
単価]]+商品マスタ[[#This Row],[国内送料]]</f>
        <v>315.7</v>
      </c>
      <c r="U13" s="134">
        <f>ROUNDUP(商品マスタ[[#This Row],[仕入単価+国内送料]]/0.8,-1)</f>
        <v>400</v>
      </c>
      <c r="V13" s="134">
        <f>商品マスタ[[#This Row],[海外定価
（20％）]]-商品マスタ[[#This Row],[仕入単価+国内送料]]</f>
        <v>84.300000000000011</v>
      </c>
      <c r="W13" s="87">
        <f>ROUNDUP(商品マスタ[[#This Row],[仕入単価+国内送料]]/0.85,-1)</f>
        <v>380</v>
      </c>
      <c r="X13" s="134">
        <f>商品マスタ[[#This Row],[国内定価
（15％）]]-商品マスタ[[#This Row],[仕入単価+国内送料]]</f>
        <v>64.300000000000011</v>
      </c>
      <c r="Y13" s="139">
        <v>0.08</v>
      </c>
      <c r="Z13" s="87" t="s">
        <v>182</v>
      </c>
      <c r="AA13" s="87" t="s">
        <v>171</v>
      </c>
      <c r="AB13" s="87" t="s">
        <v>172</v>
      </c>
      <c r="AC13" s="140">
        <v>4985146000977</v>
      </c>
      <c r="AD13" s="87" t="s">
        <v>204</v>
      </c>
      <c r="AE13" s="87"/>
      <c r="AF13" s="87" t="s">
        <v>174</v>
      </c>
      <c r="AG13" s="144" t="s">
        <v>202</v>
      </c>
    </row>
    <row r="14" spans="1:33" ht="18">
      <c r="A14" s="166" t="s">
        <v>1518</v>
      </c>
      <c r="B14" s="167" t="s">
        <v>1248</v>
      </c>
      <c r="C14" s="167" t="s">
        <v>166</v>
      </c>
      <c r="D14" s="143" t="str">
        <f>"PRD_SNJ_"&amp;
_xlfn.XLOOKUP(商品マスタ[[#This Row],[仕入先]],テーブル1[仕入先名],テーブル1[仕入先コード],"XXX",0,1)&amp;
"_"&amp;
商品マスタ[[#This Row],[シリアル]]&amp;
"_"&amp;
TEXT(COUNTIFS(商品マスタ!$C$3:C14,商品マスタ[[#This Row],[仕入先]],商品マスタ!$E$3:E14,商品マスタ[[#This Row],[商品名]]), "00")</f>
        <v>PRD_SNJ_HAK_0012_01</v>
      </c>
      <c r="E14" s="87" t="s">
        <v>205</v>
      </c>
      <c r="F14" s="87">
        <f>IF(COUNTIFS($C$3:C14,商品マスタ[[#This Row],[仕入先]],$E$3:E14,商品マスタ[[#This Row],[商品名]]) = 1, 1,0)</f>
        <v>1</v>
      </c>
      <c r="G14" s="133" t="str">
        <f>TEXT(SUMIF($C$3:C14,商品マスタ[[#This Row],[仕入先]],$F$3:F14), "0000")</f>
        <v>0012</v>
      </c>
      <c r="H14" s="87" t="s">
        <v>180</v>
      </c>
      <c r="I14" s="87" t="s">
        <v>200</v>
      </c>
      <c r="J14" s="87">
        <v>24</v>
      </c>
      <c r="K14" s="87" t="s">
        <v>189</v>
      </c>
      <c r="L14" s="134">
        <v>287</v>
      </c>
      <c r="M14" s="157">
        <v>45950</v>
      </c>
      <c r="N14" s="134">
        <v>442</v>
      </c>
      <c r="O14" s="135">
        <f>IF(COUNT(商品マスタ[[#This Row],[参考上代
（税込)]]) &gt; 0, (商品マスタ[[#This Row],[参考上代
（税込)]]-商品マスタ[[#This Row],[国内定価
（15％）]])/(商品マスタ[[#This Row],[参考上代
（税込)]]/1.08), "")</f>
        <v>0.15149321266968327</v>
      </c>
      <c r="P14" s="136">
        <v>0.1</v>
      </c>
      <c r="Q14" s="137">
        <f>商品マスタ[[#This Row],[仕入
単価]]*商品マスタ[[#This Row],[標準国内送料率]]</f>
        <v>28.700000000000003</v>
      </c>
      <c r="R14" s="134"/>
      <c r="S14" s="134">
        <f>IF(ISBLANK(商品マスタ[[#This Row],[実績
国内送料]]),商品マスタ[[#This Row],[標準国内送料]],)</f>
        <v>28.700000000000003</v>
      </c>
      <c r="T14" s="134">
        <f>商品マスタ[[#This Row],[仕入
単価]]+商品マスタ[[#This Row],[国内送料]]</f>
        <v>315.7</v>
      </c>
      <c r="U14" s="134">
        <f>ROUNDUP(商品マスタ[[#This Row],[仕入単価+国内送料]]/0.8,-1)</f>
        <v>400</v>
      </c>
      <c r="V14" s="134">
        <f>商品マスタ[[#This Row],[海外定価
（20％）]]-商品マスタ[[#This Row],[仕入単価+国内送料]]</f>
        <v>84.300000000000011</v>
      </c>
      <c r="W14" s="87">
        <f>ROUNDUP(商品マスタ[[#This Row],[仕入単価+国内送料]]/0.85,-1)</f>
        <v>380</v>
      </c>
      <c r="X14" s="134">
        <f>商品マスタ[[#This Row],[国内定価
（15％）]]-商品マスタ[[#This Row],[仕入単価+国内送料]]</f>
        <v>64.300000000000011</v>
      </c>
      <c r="Y14" s="139">
        <v>0.08</v>
      </c>
      <c r="Z14" s="87" t="s">
        <v>182</v>
      </c>
      <c r="AA14" s="87" t="s">
        <v>171</v>
      </c>
      <c r="AB14" s="87" t="s">
        <v>172</v>
      </c>
      <c r="AC14" s="140">
        <v>4985146000915</v>
      </c>
      <c r="AD14" s="87" t="s">
        <v>206</v>
      </c>
      <c r="AE14" s="87"/>
      <c r="AF14" s="87" t="s">
        <v>174</v>
      </c>
      <c r="AG14" s="144" t="s">
        <v>202</v>
      </c>
    </row>
    <row r="15" spans="1:33" ht="18">
      <c r="A15" s="166" t="s">
        <v>1518</v>
      </c>
      <c r="B15" s="167" t="s">
        <v>1248</v>
      </c>
      <c r="C15" s="167" t="s">
        <v>166</v>
      </c>
      <c r="D15" s="143" t="str">
        <f>"PRD_SNJ_"&amp;
_xlfn.XLOOKUP(商品マスタ[[#This Row],[仕入先]],テーブル1[仕入先名],テーブル1[仕入先コード],"XXX",0,1)&amp;
"_"&amp;
商品マスタ[[#This Row],[シリアル]]&amp;
"_"&amp;
TEXT(COUNTIFS(商品マスタ!$C$3:C15,商品マスタ[[#This Row],[仕入先]],商品マスタ!$E$3:E15,商品マスタ[[#This Row],[商品名]]), "00")</f>
        <v>PRD_SNJ_HAK_0013_01</v>
      </c>
      <c r="E15" s="87" t="s">
        <v>207</v>
      </c>
      <c r="F15" s="87">
        <f>IF(COUNTIFS($C$3:C15,商品マスタ[[#This Row],[仕入先]],$E$3:E15,商品マスタ[[#This Row],[商品名]]) = 1, 1,0)</f>
        <v>1</v>
      </c>
      <c r="G15" s="133" t="str">
        <f>TEXT(SUMIF($C$3:C15,商品マスタ[[#This Row],[仕入先]],$F$3:F15), "0000")</f>
        <v>0013</v>
      </c>
      <c r="H15" s="87" t="s">
        <v>208</v>
      </c>
      <c r="I15" s="87" t="s">
        <v>209</v>
      </c>
      <c r="J15" s="87">
        <v>30</v>
      </c>
      <c r="K15" s="87" t="s">
        <v>210</v>
      </c>
      <c r="L15" s="134">
        <v>700</v>
      </c>
      <c r="M15" s="157">
        <v>45950</v>
      </c>
      <c r="N15" s="134">
        <v>1080</v>
      </c>
      <c r="O15" s="135">
        <f>IF(COUNT(商品マスタ[[#This Row],[参考上代
（税込)]]) &gt; 0, (商品マスタ[[#This Row],[参考上代
（税込)]]-商品マスタ[[#This Row],[国内定価
（15％）]])/(商品マスタ[[#This Row],[参考上代
（税込)]]/1.08), "")</f>
        <v>0.17</v>
      </c>
      <c r="P15" s="136">
        <v>0.1</v>
      </c>
      <c r="Q15" s="137">
        <f>商品マスタ[[#This Row],[仕入
単価]]*商品マスタ[[#This Row],[標準国内送料率]]</f>
        <v>70</v>
      </c>
      <c r="R15" s="134"/>
      <c r="S15" s="134">
        <f>IF(ISBLANK(商品マスタ[[#This Row],[実績
国内送料]]),商品マスタ[[#This Row],[標準国内送料]],)</f>
        <v>70</v>
      </c>
      <c r="T15" s="134">
        <f>商品マスタ[[#This Row],[仕入
単価]]+商品マスタ[[#This Row],[国内送料]]</f>
        <v>770</v>
      </c>
      <c r="U15" s="134">
        <f>ROUNDUP(商品マスタ[[#This Row],[仕入単価+国内送料]]/0.8,-1)</f>
        <v>970</v>
      </c>
      <c r="V15" s="134">
        <f>商品マスタ[[#This Row],[海外定価
（20％）]]-商品マスタ[[#This Row],[仕入単価+国内送料]]</f>
        <v>200</v>
      </c>
      <c r="W15" s="87">
        <f>ROUNDUP(商品マスタ[[#This Row],[仕入単価+国内送料]]/0.85,-1)</f>
        <v>910</v>
      </c>
      <c r="X15" s="134">
        <f>商品マスタ[[#This Row],[国内定価
（15％）]]-商品マスタ[[#This Row],[仕入単価+国内送料]]</f>
        <v>140</v>
      </c>
      <c r="Y15" s="139">
        <v>0.08</v>
      </c>
      <c r="Z15" s="87" t="s">
        <v>182</v>
      </c>
      <c r="AA15" s="87" t="s">
        <v>171</v>
      </c>
      <c r="AB15" s="87" t="s">
        <v>211</v>
      </c>
      <c r="AC15" s="140">
        <v>4985146001134</v>
      </c>
      <c r="AD15" s="87" t="s">
        <v>212</v>
      </c>
      <c r="AE15" s="87"/>
      <c r="AF15" s="87" t="s">
        <v>174</v>
      </c>
      <c r="AG15" s="144" t="s">
        <v>202</v>
      </c>
    </row>
    <row r="16" spans="1:33" ht="18">
      <c r="A16" s="166" t="s">
        <v>1518</v>
      </c>
      <c r="B16" s="167" t="s">
        <v>1248</v>
      </c>
      <c r="C16" s="167" t="s">
        <v>166</v>
      </c>
      <c r="D16" s="143" t="str">
        <f>"PRD_SNJ_"&amp;
_xlfn.XLOOKUP(商品マスタ[[#This Row],[仕入先]],テーブル1[仕入先名],テーブル1[仕入先コード],"XXX",0,1)&amp;
"_"&amp;
商品マスタ[[#This Row],[シリアル]]&amp;
"_"&amp;
TEXT(COUNTIFS(商品マスタ!$C$3:C16,商品マスタ[[#This Row],[仕入先]],商品マスタ!$E$3:E16,商品マスタ[[#This Row],[商品名]]), "00")</f>
        <v>PRD_SNJ_HAK_0014_01</v>
      </c>
      <c r="E16" s="87" t="s">
        <v>213</v>
      </c>
      <c r="F16" s="87">
        <f>IF(COUNTIFS($C$3:C16,商品マスタ[[#This Row],[仕入先]],$E$3:E16,商品マスタ[[#This Row],[商品名]]) = 1, 1,0)</f>
        <v>1</v>
      </c>
      <c r="G16" s="133" t="str">
        <f>TEXT(SUMIF($C$3:C16,商品マスタ[[#This Row],[仕入先]],$F$3:F16), "0000")</f>
        <v>0014</v>
      </c>
      <c r="H16" s="87" t="s">
        <v>208</v>
      </c>
      <c r="I16" s="87" t="s">
        <v>186</v>
      </c>
      <c r="J16" s="87">
        <v>100</v>
      </c>
      <c r="K16" s="87" t="s">
        <v>214</v>
      </c>
      <c r="L16" s="134">
        <v>385</v>
      </c>
      <c r="M16" s="157">
        <v>45950</v>
      </c>
      <c r="N16" s="134">
        <v>594</v>
      </c>
      <c r="O16" s="135">
        <f>IF(COUNT(商品マスタ[[#This Row],[参考上代
（税込)]]) &gt; 0, (商品マスタ[[#This Row],[参考上代
（税込)]]-商品マスタ[[#This Row],[国内定価
（15％）]])/(商品マスタ[[#This Row],[参考上代
（税込)]]/1.08), "")</f>
        <v>0.1709090909090909</v>
      </c>
      <c r="P16" s="136">
        <v>0.1</v>
      </c>
      <c r="Q16" s="137">
        <f>商品マスタ[[#This Row],[仕入
単価]]*商品マスタ[[#This Row],[標準国内送料率]]</f>
        <v>38.5</v>
      </c>
      <c r="R16" s="134"/>
      <c r="S16" s="134">
        <f>IF(ISBLANK(商品マスタ[[#This Row],[実績
国内送料]]),商品マスタ[[#This Row],[標準国内送料]],)</f>
        <v>38.5</v>
      </c>
      <c r="T16" s="134">
        <f>商品マスタ[[#This Row],[仕入
単価]]+商品マスタ[[#This Row],[国内送料]]</f>
        <v>423.5</v>
      </c>
      <c r="U16" s="134">
        <f>ROUNDUP(商品マスタ[[#This Row],[仕入単価+国内送料]]/0.8,-1)</f>
        <v>530</v>
      </c>
      <c r="V16" s="134">
        <f>商品マスタ[[#This Row],[海外定価
（20％）]]-商品マスタ[[#This Row],[仕入単価+国内送料]]</f>
        <v>106.5</v>
      </c>
      <c r="W16" s="87">
        <f>ROUNDUP(商品マスタ[[#This Row],[仕入単価+国内送料]]/0.85,-1)</f>
        <v>500</v>
      </c>
      <c r="X16" s="134">
        <f>商品マスタ[[#This Row],[国内定価
（15％）]]-商品マスタ[[#This Row],[仕入単価+国内送料]]</f>
        <v>76.5</v>
      </c>
      <c r="Y16" s="139">
        <v>0.08</v>
      </c>
      <c r="Z16" s="87" t="s">
        <v>182</v>
      </c>
      <c r="AA16" s="87" t="s">
        <v>171</v>
      </c>
      <c r="AB16" s="87" t="s">
        <v>211</v>
      </c>
      <c r="AC16" s="140">
        <v>4985146000243</v>
      </c>
      <c r="AD16" s="87" t="s">
        <v>215</v>
      </c>
      <c r="AE16" s="87"/>
      <c r="AF16" s="87" t="s">
        <v>174</v>
      </c>
      <c r="AG16" s="144" t="s">
        <v>202</v>
      </c>
    </row>
    <row r="17" spans="1:33" ht="18">
      <c r="A17" s="166" t="s">
        <v>1517</v>
      </c>
      <c r="B17" s="167" t="s">
        <v>1252</v>
      </c>
      <c r="C17" s="167" t="s">
        <v>166</v>
      </c>
      <c r="D17" s="143" t="str">
        <f>"PRD_SNJ_"&amp;
_xlfn.XLOOKUP(商品マスタ[[#This Row],[仕入先]],テーブル1[仕入先名],テーブル1[仕入先コード],"XXX",0,1)&amp;
"_"&amp;
商品マスタ[[#This Row],[シリアル]]&amp;
"_"&amp;
TEXT(COUNTIFS(商品マスタ!$C$3:C17,商品マスタ[[#This Row],[仕入先]],商品マスタ!$E$3:E17,商品マスタ[[#This Row],[商品名]]), "00")</f>
        <v>PRD_SNJ_HAK_0015_01</v>
      </c>
      <c r="E17" s="87" t="s">
        <v>216</v>
      </c>
      <c r="F17" s="87">
        <f>IF(COUNTIFS($C$3:C17,商品マスタ[[#This Row],[仕入先]],$E$3:E17,商品マスタ[[#This Row],[商品名]]) = 1, 1,0)</f>
        <v>1</v>
      </c>
      <c r="G17" s="133" t="str">
        <f>TEXT(SUMIF($C$3:C17,商品マスタ[[#This Row],[仕入先]],$F$3:F17), "0000")</f>
        <v>0015</v>
      </c>
      <c r="H17" s="87" t="s">
        <v>217</v>
      </c>
      <c r="I17" s="87" t="s">
        <v>218</v>
      </c>
      <c r="J17" s="87">
        <v>144</v>
      </c>
      <c r="K17" s="87" t="s">
        <v>219</v>
      </c>
      <c r="L17" s="134">
        <v>175</v>
      </c>
      <c r="M17" s="157">
        <v>45950</v>
      </c>
      <c r="N17" s="134">
        <v>270</v>
      </c>
      <c r="O17" s="135">
        <f>IF(COUNT(商品マスタ[[#This Row],[参考上代
（税込)]]) &gt; 0, (商品マスタ[[#This Row],[参考上代
（税込)]]-商品マスタ[[#This Row],[国内定価
（15％）]])/(商品マスタ[[#This Row],[参考上代
（税込)]]/1.08), "")</f>
        <v>0.16000000000000003</v>
      </c>
      <c r="P17" s="136">
        <v>0.1</v>
      </c>
      <c r="Q17" s="137">
        <f>商品マスタ[[#This Row],[仕入
単価]]*商品マスタ[[#This Row],[標準国内送料率]]</f>
        <v>17.5</v>
      </c>
      <c r="R17" s="134"/>
      <c r="S17" s="134">
        <f>IF(ISBLANK(商品マスタ[[#This Row],[実績
国内送料]]),商品マスタ[[#This Row],[標準国内送料]],)</f>
        <v>17.5</v>
      </c>
      <c r="T17" s="134">
        <f>商品マスタ[[#This Row],[仕入
単価]]+商品マスタ[[#This Row],[国内送料]]</f>
        <v>192.5</v>
      </c>
      <c r="U17" s="134">
        <f>ROUNDUP(商品マスタ[[#This Row],[仕入単価+国内送料]]/0.8,-1)</f>
        <v>250</v>
      </c>
      <c r="V17" s="134">
        <f>商品マスタ[[#This Row],[海外定価
（20％）]]-商品マスタ[[#This Row],[仕入単価+国内送料]]</f>
        <v>57.5</v>
      </c>
      <c r="W17" s="87">
        <f>ROUNDUP(商品マスタ[[#This Row],[仕入単価+国内送料]]/0.85,-1)</f>
        <v>230</v>
      </c>
      <c r="X17" s="134">
        <f>商品マスタ[[#This Row],[国内定価
（15％）]]-商品マスタ[[#This Row],[仕入単価+国内送料]]</f>
        <v>37.5</v>
      </c>
      <c r="Y17" s="139">
        <v>0.08</v>
      </c>
      <c r="Z17" s="87" t="s">
        <v>220</v>
      </c>
      <c r="AA17" s="87" t="s">
        <v>171</v>
      </c>
      <c r="AB17" s="87" t="s">
        <v>211</v>
      </c>
      <c r="AC17" s="140">
        <v>4985146000458</v>
      </c>
      <c r="AD17" s="87" t="s">
        <v>221</v>
      </c>
      <c r="AE17" s="87"/>
      <c r="AF17" s="87" t="s">
        <v>174</v>
      </c>
      <c r="AG17" s="144" t="s">
        <v>202</v>
      </c>
    </row>
    <row r="18" spans="1:33" ht="18">
      <c r="A18" s="166" t="s">
        <v>1518</v>
      </c>
      <c r="B18" s="167" t="s">
        <v>1247</v>
      </c>
      <c r="C18" s="167" t="s">
        <v>166</v>
      </c>
      <c r="D18" s="143" t="str">
        <f>"PRD_SNJ_"&amp;
_xlfn.XLOOKUP(商品マスタ[[#This Row],[仕入先]],テーブル1[仕入先名],テーブル1[仕入先コード],"XXX",0,1)&amp;
"_"&amp;
商品マスタ[[#This Row],[シリアル]]&amp;
"_"&amp;
TEXT(COUNTIFS(商品マスタ!$C$3:C18,商品マスタ[[#This Row],[仕入先]],商品マスタ!$E$3:E18,商品マスタ[[#This Row],[商品名]]), "00")</f>
        <v>PRD_SNJ_HAK_0016_01</v>
      </c>
      <c r="E18" s="87" t="s">
        <v>222</v>
      </c>
      <c r="F18" s="87">
        <f>IF(COUNTIFS($C$3:C18,商品マスタ[[#This Row],[仕入先]],$E$3:E18,商品マスタ[[#This Row],[商品名]]) = 1, 1,0)</f>
        <v>1</v>
      </c>
      <c r="G18" s="133" t="str">
        <f>TEXT(SUMIF($C$3:C18,商品マスタ[[#This Row],[仕入先]],$F$3:F18), "0000")</f>
        <v>0016</v>
      </c>
      <c r="H18" s="87" t="s">
        <v>217</v>
      </c>
      <c r="I18" s="87" t="s">
        <v>223</v>
      </c>
      <c r="J18" s="87">
        <v>144</v>
      </c>
      <c r="K18" s="87" t="s">
        <v>219</v>
      </c>
      <c r="L18" s="134">
        <v>175</v>
      </c>
      <c r="M18" s="157">
        <v>45950</v>
      </c>
      <c r="N18" s="134">
        <v>270</v>
      </c>
      <c r="O18" s="135">
        <f>IF(COUNT(商品マスタ[[#This Row],[参考上代
（税込)]]) &gt; 0, (商品マスタ[[#This Row],[参考上代
（税込)]]-商品マスタ[[#This Row],[国内定価
（15％）]])/(商品マスタ[[#This Row],[参考上代
（税込)]]/1.08), "")</f>
        <v>0.16000000000000003</v>
      </c>
      <c r="P18" s="136">
        <v>0.1</v>
      </c>
      <c r="Q18" s="137">
        <f>商品マスタ[[#This Row],[仕入
単価]]*商品マスタ[[#This Row],[標準国内送料率]]</f>
        <v>17.5</v>
      </c>
      <c r="R18" s="134"/>
      <c r="S18" s="134">
        <f>IF(ISBLANK(商品マスタ[[#This Row],[実績
国内送料]]),商品マスタ[[#This Row],[標準国内送料]],)</f>
        <v>17.5</v>
      </c>
      <c r="T18" s="134">
        <f>商品マスタ[[#This Row],[仕入
単価]]+商品マスタ[[#This Row],[国内送料]]</f>
        <v>192.5</v>
      </c>
      <c r="U18" s="134">
        <f>ROUNDUP(商品マスタ[[#This Row],[仕入単価+国内送料]]/0.8,-1)</f>
        <v>250</v>
      </c>
      <c r="V18" s="134">
        <f>商品マスタ[[#This Row],[海外定価
（20％）]]-商品マスタ[[#This Row],[仕入単価+国内送料]]</f>
        <v>57.5</v>
      </c>
      <c r="W18" s="87">
        <f>ROUNDUP(商品マスタ[[#This Row],[仕入単価+国内送料]]/0.85,-1)</f>
        <v>230</v>
      </c>
      <c r="X18" s="134">
        <f>商品マスタ[[#This Row],[国内定価
（15％）]]-商品マスタ[[#This Row],[仕入単価+国内送料]]</f>
        <v>37.5</v>
      </c>
      <c r="Y18" s="139">
        <v>0.08</v>
      </c>
      <c r="Z18" s="87" t="s">
        <v>220</v>
      </c>
      <c r="AA18" s="87" t="s">
        <v>171</v>
      </c>
      <c r="AB18" s="87" t="s">
        <v>211</v>
      </c>
      <c r="AC18" s="140">
        <v>4985146000830</v>
      </c>
      <c r="AD18" s="87" t="s">
        <v>224</v>
      </c>
      <c r="AE18" s="87"/>
      <c r="AF18" s="87" t="s">
        <v>174</v>
      </c>
      <c r="AG18" s="144" t="s">
        <v>202</v>
      </c>
    </row>
    <row r="19" spans="1:33" ht="18">
      <c r="A19" s="166" t="s">
        <v>1518</v>
      </c>
      <c r="B19" s="167" t="s">
        <v>1247</v>
      </c>
      <c r="C19" s="167" t="s">
        <v>225</v>
      </c>
      <c r="D19" s="143" t="str">
        <f>"PRD_SNJ_"&amp;
_xlfn.XLOOKUP(商品マスタ[[#This Row],[仕入先]],テーブル1[仕入先名],テーブル1[仕入先コード],"XXX",0,1)&amp;
"_"&amp;
商品マスタ[[#This Row],[シリアル]]&amp;
"_"&amp;
TEXT(COUNTIFS(商品マスタ!$C$3:C19,商品マスタ[[#This Row],[仕入先]],商品マスタ!$E$3:E19,商品マスタ[[#This Row],[商品名]]), "00")</f>
        <v>PRD_SNJ_CSG_0001_01</v>
      </c>
      <c r="E19" s="87" t="s">
        <v>226</v>
      </c>
      <c r="F19" s="87">
        <f>IF(COUNTIFS($C$3:C19,商品マスタ[[#This Row],[仕入先]],$E$3:E19,商品マスタ[[#This Row],[商品名]]) = 1, 1,0)</f>
        <v>1</v>
      </c>
      <c r="G19" s="133" t="str">
        <f>TEXT(SUMIF($C$3:C19,商品マスタ[[#This Row],[仕入先]],$F$3:F19), "0000")</f>
        <v>0001</v>
      </c>
      <c r="H19" s="87" t="s">
        <v>180</v>
      </c>
      <c r="I19" s="87" t="s">
        <v>227</v>
      </c>
      <c r="J19" s="87">
        <v>50</v>
      </c>
      <c r="K19" s="87"/>
      <c r="L19" s="134">
        <v>560</v>
      </c>
      <c r="M19" s="157">
        <v>45951</v>
      </c>
      <c r="N19" s="134">
        <v>864</v>
      </c>
      <c r="O19" s="135">
        <f>IF(COUNT(商品マスタ[[#This Row],[参考上代
（税込)]]) &gt; 0, (商品マスタ[[#This Row],[参考上代
（税込)]]-商品マスタ[[#This Row],[国内定価
（15％）]])/(商品マスタ[[#This Row],[参考上代
（税込)]]/1.08), "")</f>
        <v>0.255</v>
      </c>
      <c r="P19" s="136">
        <v>0.1</v>
      </c>
      <c r="Q19" s="137">
        <f>商品マスタ[[#This Row],[仕入
単価]]*商品マスタ[[#This Row],[標準国内送料率]]</f>
        <v>56</v>
      </c>
      <c r="R19" s="134">
        <v>1000</v>
      </c>
      <c r="S19" s="134">
        <f>IF(ISBLANK(商品マスタ[[#This Row],[実績
国内送料]]),商品マスタ[[#This Row],[標準国内送料]],)</f>
        <v>0</v>
      </c>
      <c r="T19" s="134">
        <f>商品マスタ[[#This Row],[仕入
単価]]+商品マスタ[[#This Row],[国内送料]]</f>
        <v>560</v>
      </c>
      <c r="U19" s="134">
        <f>ROUNDUP(商品マスタ[[#This Row],[仕入単価+国内送料]]/0.8,-1)</f>
        <v>700</v>
      </c>
      <c r="V19" s="134">
        <f>商品マスタ[[#This Row],[海外定価
（20％）]]-商品マスタ[[#This Row],[仕入単価+国内送料]]</f>
        <v>140</v>
      </c>
      <c r="W19" s="87">
        <f>ROUNDUP(商品マスタ[[#This Row],[仕入単価+国内送料]]/0.85,-1)</f>
        <v>660</v>
      </c>
      <c r="X19" s="134">
        <f>商品マスタ[[#This Row],[国内定価
（15％）]]-商品マスタ[[#This Row],[仕入単価+国内送料]]</f>
        <v>100</v>
      </c>
      <c r="Y19" s="139">
        <v>0.08</v>
      </c>
      <c r="Z19" s="87" t="s">
        <v>220</v>
      </c>
      <c r="AA19" s="87" t="s">
        <v>171</v>
      </c>
      <c r="AB19" s="87" t="s">
        <v>172</v>
      </c>
      <c r="AC19" s="140">
        <v>4595430036010</v>
      </c>
      <c r="AD19" s="145" t="s">
        <v>228</v>
      </c>
      <c r="AE19" s="87"/>
      <c r="AF19" s="87" t="s">
        <v>174</v>
      </c>
      <c r="AG19" s="141" t="s">
        <v>229</v>
      </c>
    </row>
    <row r="20" spans="1:33" ht="18">
      <c r="A20" s="166" t="s">
        <v>1518</v>
      </c>
      <c r="B20" s="167" t="s">
        <v>1247</v>
      </c>
      <c r="C20" s="167" t="s">
        <v>225</v>
      </c>
      <c r="D20" s="143" t="str">
        <f>"PRD_SNJ_"&amp;
_xlfn.XLOOKUP(商品マスタ[[#This Row],[仕入先]],テーブル1[仕入先名],テーブル1[仕入先コード],"XXX",0,1)&amp;
"_"&amp;
商品マスタ[[#This Row],[シリアル]]&amp;
"_"&amp;
TEXT(COUNTIFS(商品マスタ!$C$3:C20,商品マスタ[[#This Row],[仕入先]],商品マスタ!$E$3:E20,商品マスタ[[#This Row],[商品名]]), "00")</f>
        <v>PRD_SNJ_CSG_0002_01</v>
      </c>
      <c r="E20" s="87" t="s">
        <v>230</v>
      </c>
      <c r="F20" s="87">
        <f>IF(COUNTIFS($C$3:C20,商品マスタ[[#This Row],[仕入先]],$E$3:E20,商品マスタ[[#This Row],[商品名]]) = 1, 1,0)</f>
        <v>1</v>
      </c>
      <c r="G20" s="133" t="str">
        <f>TEXT(SUMIF($C$3:C20,商品マスタ[[#This Row],[仕入先]],$F$3:F20), "0000")</f>
        <v>0002</v>
      </c>
      <c r="H20" s="87" t="s">
        <v>180</v>
      </c>
      <c r="I20" s="87" t="s">
        <v>231</v>
      </c>
      <c r="J20" s="87">
        <v>50</v>
      </c>
      <c r="K20" s="87"/>
      <c r="L20" s="134">
        <v>560</v>
      </c>
      <c r="M20" s="157">
        <v>45951</v>
      </c>
      <c r="N20" s="134">
        <v>864</v>
      </c>
      <c r="O20" s="135">
        <f>IF(COUNT(商品マスタ[[#This Row],[参考上代
（税込)]]) &gt; 0, (商品マスタ[[#This Row],[参考上代
（税込)]]-商品マスタ[[#This Row],[国内定価
（15％）]])/(商品マスタ[[#This Row],[参考上代
（税込)]]/1.08), "")</f>
        <v>0.255</v>
      </c>
      <c r="P20" s="136">
        <v>0.1</v>
      </c>
      <c r="Q20" s="137">
        <f>商品マスタ[[#This Row],[仕入
単価]]*商品マスタ[[#This Row],[標準国内送料率]]</f>
        <v>56</v>
      </c>
      <c r="R20" s="134">
        <v>1000</v>
      </c>
      <c r="S20" s="134">
        <f>IF(ISBLANK(商品マスタ[[#This Row],[実績
国内送料]]),商品マスタ[[#This Row],[標準国内送料]],)</f>
        <v>0</v>
      </c>
      <c r="T20" s="134">
        <f>商品マスタ[[#This Row],[仕入
単価]]+商品マスタ[[#This Row],[国内送料]]</f>
        <v>560</v>
      </c>
      <c r="U20" s="134">
        <f>ROUNDUP(商品マスタ[[#This Row],[仕入単価+国内送料]]/0.8,-1)</f>
        <v>700</v>
      </c>
      <c r="V20" s="134">
        <f>商品マスタ[[#This Row],[海外定価
（20％）]]-商品マスタ[[#This Row],[仕入単価+国内送料]]</f>
        <v>140</v>
      </c>
      <c r="W20" s="87">
        <f>ROUNDUP(商品マスタ[[#This Row],[仕入単価+国内送料]]/0.85,-1)</f>
        <v>660</v>
      </c>
      <c r="X20" s="134">
        <f>商品マスタ[[#This Row],[国内定価
（15％）]]-商品マスタ[[#This Row],[仕入単価+国内送料]]</f>
        <v>100</v>
      </c>
      <c r="Y20" s="139">
        <v>0.08</v>
      </c>
      <c r="Z20" s="87" t="s">
        <v>220</v>
      </c>
      <c r="AA20" s="87" t="s">
        <v>171</v>
      </c>
      <c r="AB20" s="87" t="s">
        <v>172</v>
      </c>
      <c r="AC20" s="140">
        <v>4595430036034</v>
      </c>
      <c r="AD20" s="146" t="s">
        <v>232</v>
      </c>
      <c r="AE20" s="87"/>
      <c r="AF20" s="87" t="s">
        <v>174</v>
      </c>
      <c r="AG20" s="141"/>
    </row>
    <row r="21" spans="1:33" ht="18">
      <c r="A21" s="166" t="s">
        <v>1518</v>
      </c>
      <c r="B21" s="167" t="s">
        <v>1247</v>
      </c>
      <c r="C21" s="167" t="s">
        <v>225</v>
      </c>
      <c r="D21" s="143" t="str">
        <f>"PRD_SNJ_"&amp;
_xlfn.XLOOKUP(商品マスタ[[#This Row],[仕入先]],テーブル1[仕入先名],テーブル1[仕入先コード],"XXX",0,1)&amp;
"_"&amp;
商品マスタ[[#This Row],[シリアル]]&amp;
"_"&amp;
TEXT(COUNTIFS(商品マスタ!$C$3:C21,商品マスタ[[#This Row],[仕入先]],商品マスタ!$E$3:E21,商品マスタ[[#This Row],[商品名]]), "00")</f>
        <v>PRD_SNJ_CSG_0003_01</v>
      </c>
      <c r="E21" s="87" t="s">
        <v>233</v>
      </c>
      <c r="F21" s="87">
        <f>IF(COUNTIFS($C$3:C21,商品マスタ[[#This Row],[仕入先]],$E$3:E21,商品マスタ[[#This Row],[商品名]]) = 1, 1,0)</f>
        <v>1</v>
      </c>
      <c r="G21" s="133" t="str">
        <f>TEXT(SUMIF($C$3:C21,商品マスタ[[#This Row],[仕入先]],$F$3:F21), "0000")</f>
        <v>0003</v>
      </c>
      <c r="H21" s="87" t="s">
        <v>180</v>
      </c>
      <c r="I21" s="87" t="s">
        <v>234</v>
      </c>
      <c r="J21" s="87">
        <v>50</v>
      </c>
      <c r="K21" s="87"/>
      <c r="L21" s="134">
        <v>700</v>
      </c>
      <c r="M21" s="157">
        <v>45951</v>
      </c>
      <c r="N21" s="134">
        <v>1080</v>
      </c>
      <c r="O21" s="135">
        <f>IF(COUNT(商品マスタ[[#This Row],[参考上代
（税込)]]) &gt; 0, (商品マスタ[[#This Row],[参考上代
（税込)]]-商品マスタ[[#This Row],[国内定価
（15％）]])/(商品マスタ[[#This Row],[参考上代
（税込)]]/1.08), "")</f>
        <v>0.25000000000000006</v>
      </c>
      <c r="P21" s="136">
        <v>0.1</v>
      </c>
      <c r="Q21" s="137">
        <f>商品マスタ[[#This Row],[仕入
単価]]*商品マスタ[[#This Row],[標準国内送料率]]</f>
        <v>70</v>
      </c>
      <c r="R21" s="134">
        <v>1000</v>
      </c>
      <c r="S21" s="134">
        <f>IF(ISBLANK(商品マスタ[[#This Row],[実績
国内送料]]),商品マスタ[[#This Row],[標準国内送料]],)</f>
        <v>0</v>
      </c>
      <c r="T21" s="134">
        <f>商品マスタ[[#This Row],[仕入
単価]]+商品マスタ[[#This Row],[国内送料]]</f>
        <v>700</v>
      </c>
      <c r="U21" s="134">
        <f>ROUNDUP(商品マスタ[[#This Row],[仕入単価+国内送料]]/0.8,-1)</f>
        <v>880</v>
      </c>
      <c r="V21" s="134">
        <f>商品マスタ[[#This Row],[海外定価
（20％）]]-商品マスタ[[#This Row],[仕入単価+国内送料]]</f>
        <v>180</v>
      </c>
      <c r="W21" s="87">
        <f>ROUNDUP(商品マスタ[[#This Row],[仕入単価+国内送料]]/0.85,-1)</f>
        <v>830</v>
      </c>
      <c r="X21" s="134">
        <f>商品マスタ[[#This Row],[国内定価
（15％）]]-商品マスタ[[#This Row],[仕入単価+国内送料]]</f>
        <v>130</v>
      </c>
      <c r="Y21" s="139">
        <v>0.08</v>
      </c>
      <c r="Z21" s="87" t="s">
        <v>220</v>
      </c>
      <c r="AA21" s="87" t="s">
        <v>171</v>
      </c>
      <c r="AB21" s="87" t="s">
        <v>172</v>
      </c>
      <c r="AC21" s="140">
        <v>4595430036027</v>
      </c>
      <c r="AD21" s="146" t="s">
        <v>235</v>
      </c>
      <c r="AE21" s="87"/>
      <c r="AF21" s="87" t="s">
        <v>174</v>
      </c>
      <c r="AG21" s="141"/>
    </row>
    <row r="22" spans="1:33" ht="18">
      <c r="A22" s="166" t="s">
        <v>1517</v>
      </c>
      <c r="B22" s="167" t="s">
        <v>1252</v>
      </c>
      <c r="C22" s="167" t="s">
        <v>15</v>
      </c>
      <c r="D22" s="143" t="str">
        <f>"PRD_SNJ_"&amp;
_xlfn.XLOOKUP(商品マスタ[[#This Row],[仕入先]],テーブル1[仕入先名],テーブル1[仕入先コード],"XXX",0,1)&amp;
"_"&amp;
商品マスタ[[#This Row],[シリアル]]&amp;
"_"&amp;
TEXT(COUNTIFS(商品マスタ!$C$3:C22,商品マスタ[[#This Row],[仕入先]],商品マスタ!$E$3:E22,商品マスタ[[#This Row],[商品名]]), "00")</f>
        <v>PRD_SNJ_NNS_0001_01</v>
      </c>
      <c r="E22" s="87" t="s">
        <v>236</v>
      </c>
      <c r="F22" s="87">
        <f>IF(COUNTIFS($C$3:C22,商品マスタ[[#This Row],[仕入先]],$E$3:E22,商品マスタ[[#This Row],[商品名]]) = 1, 1,0)</f>
        <v>1</v>
      </c>
      <c r="G22" s="133" t="str">
        <f>TEXT(SUMIF($C$3:C22,商品マスタ[[#This Row],[仕入先]],$F$3:F22), "0000")</f>
        <v>0001</v>
      </c>
      <c r="H22" s="87" t="s">
        <v>237</v>
      </c>
      <c r="I22" s="87" t="s">
        <v>238</v>
      </c>
      <c r="J22" s="87">
        <v>30</v>
      </c>
      <c r="K22" s="87"/>
      <c r="L22" s="134">
        <f>492/1.08</f>
        <v>455.55555555555554</v>
      </c>
      <c r="M22" s="157">
        <v>45951</v>
      </c>
      <c r="N22" s="134">
        <v>850</v>
      </c>
      <c r="O22" s="135">
        <f>IF(COUNT(商品マスタ[[#This Row],[参考上代
（税込)]]) &gt; 0, (商品マスタ[[#This Row],[参考上代
（税込)]]-商品マスタ[[#This Row],[国内定価
（15％）]])/(商品マスタ[[#This Row],[参考上代
（税込)]]/1.08), "")</f>
        <v>0.39388235294117652</v>
      </c>
      <c r="P22" s="136">
        <v>0.1</v>
      </c>
      <c r="Q22" s="137">
        <f>商品マスタ[[#This Row],[仕入
単価]]*商品マスタ[[#This Row],[標準国内送料率]]</f>
        <v>45.555555555555557</v>
      </c>
      <c r="R22" s="87">
        <v>2050</v>
      </c>
      <c r="S22" s="134">
        <f>IF(ISBLANK(商品マスタ[[#This Row],[実績
国内送料]]),商品マスタ[[#This Row],[標準国内送料]],)</f>
        <v>0</v>
      </c>
      <c r="T22" s="134">
        <f>商品マスタ[[#This Row],[仕入
単価]]+商品マスタ[[#This Row],[国内送料]]</f>
        <v>455.55555555555554</v>
      </c>
      <c r="U22" s="134">
        <f>ROUNDUP(商品マスタ[[#This Row],[仕入単価+国内送料]]/0.8,-1)</f>
        <v>570</v>
      </c>
      <c r="V22" s="134">
        <f>商品マスタ[[#This Row],[海外定価
（20％）]]-商品マスタ[[#This Row],[仕入単価+国内送料]]</f>
        <v>114.44444444444446</v>
      </c>
      <c r="W22" s="87">
        <f>ROUNDUP(商品マスタ[[#This Row],[仕入単価+国内送料]]/0.85,-1)</f>
        <v>540</v>
      </c>
      <c r="X22" s="134">
        <f>商品マスタ[[#This Row],[国内定価
（15％）]]-商品マスタ[[#This Row],[仕入単価+国内送料]]</f>
        <v>84.444444444444457</v>
      </c>
      <c r="Y22" s="139">
        <v>0.08</v>
      </c>
      <c r="Z22" s="87"/>
      <c r="AA22" s="87"/>
      <c r="AB22" s="87"/>
      <c r="AC22" s="140">
        <v>4573252030331</v>
      </c>
      <c r="AD22" s="87" t="s">
        <v>239</v>
      </c>
      <c r="AE22" s="87"/>
      <c r="AF22" s="87" t="s">
        <v>174</v>
      </c>
      <c r="AG22" s="141"/>
    </row>
    <row r="23" spans="1:33" ht="18">
      <c r="A23" s="166" t="s">
        <v>1517</v>
      </c>
      <c r="B23" s="167" t="s">
        <v>1252</v>
      </c>
      <c r="C23" s="167" t="s">
        <v>15</v>
      </c>
      <c r="D23" s="143" t="str">
        <f>"PRD_SNJ_"&amp;
_xlfn.XLOOKUP(商品マスタ[[#This Row],[仕入先]],テーブル1[仕入先名],テーブル1[仕入先コード],"XXX",0,1)&amp;
"_"&amp;
商品マスタ[[#This Row],[シリアル]]&amp;
"_"&amp;
TEXT(COUNTIFS(商品マスタ!$C$3:C23,商品マスタ[[#This Row],[仕入先]],商品マスタ!$E$3:E23,商品マスタ[[#This Row],[商品名]]), "00")</f>
        <v>PRD_SNJ_NNS_0001_02</v>
      </c>
      <c r="E23" s="87" t="s">
        <v>236</v>
      </c>
      <c r="F23" s="87">
        <f>IF(COUNTIFS($C$3:C23,商品マスタ[[#This Row],[仕入先]],$E$3:E23,商品マスタ[[#This Row],[商品名]]) = 1, 1,0)</f>
        <v>0</v>
      </c>
      <c r="G23" s="133" t="str">
        <f>TEXT(SUMIF($C$3:C23,商品マスタ[[#This Row],[仕入先]],$F$3:F23), "0000")</f>
        <v>0001</v>
      </c>
      <c r="H23" s="87" t="s">
        <v>237</v>
      </c>
      <c r="I23" s="87" t="s">
        <v>238</v>
      </c>
      <c r="J23" s="87">
        <v>60</v>
      </c>
      <c r="K23" s="87"/>
      <c r="L23" s="134">
        <f>492/1.08</f>
        <v>455.55555555555554</v>
      </c>
      <c r="M23" s="157">
        <v>45951</v>
      </c>
      <c r="N23" s="134">
        <v>850</v>
      </c>
      <c r="O23" s="135">
        <f>IF(COUNT(商品マスタ[[#This Row],[参考上代
（税込)]]) &gt; 0, (商品マスタ[[#This Row],[参考上代
（税込)]]-商品マスタ[[#This Row],[国内定価
（15％）]])/(商品マスタ[[#This Row],[参考上代
（税込)]]/1.08), "")</f>
        <v>0.39388235294117652</v>
      </c>
      <c r="P23" s="136">
        <v>0.1</v>
      </c>
      <c r="Q23" s="137">
        <f>商品マスタ[[#This Row],[仕入
単価]]*商品マスタ[[#This Row],[標準国内送料率]]</f>
        <v>45.555555555555557</v>
      </c>
      <c r="R23" s="87">
        <v>2300</v>
      </c>
      <c r="S23" s="134">
        <f>IF(ISBLANK(商品マスタ[[#This Row],[実績
国内送料]]),商品マスタ[[#This Row],[標準国内送料]],)</f>
        <v>0</v>
      </c>
      <c r="T23" s="134">
        <f>商品マスタ[[#This Row],[仕入
単価]]+商品マスタ[[#This Row],[国内送料]]</f>
        <v>455.55555555555554</v>
      </c>
      <c r="U23" s="134">
        <f>ROUNDUP(商品マスタ[[#This Row],[仕入単価+国内送料]]/0.8,-1)</f>
        <v>570</v>
      </c>
      <c r="V23" s="134">
        <f>商品マスタ[[#This Row],[海外定価
（20％）]]-商品マスタ[[#This Row],[仕入単価+国内送料]]</f>
        <v>114.44444444444446</v>
      </c>
      <c r="W23" s="87">
        <f>ROUNDUP(商品マスタ[[#This Row],[仕入単価+国内送料]]/0.85,-1)</f>
        <v>540</v>
      </c>
      <c r="X23" s="134">
        <f>商品マスタ[[#This Row],[国内定価
（15％）]]-商品マスタ[[#This Row],[仕入単価+国内送料]]</f>
        <v>84.444444444444457</v>
      </c>
      <c r="Y23" s="139">
        <v>0.08</v>
      </c>
      <c r="Z23" s="87"/>
      <c r="AA23" s="87"/>
      <c r="AB23" s="87"/>
      <c r="AC23" s="140">
        <v>4573252030331</v>
      </c>
      <c r="AD23" s="87" t="s">
        <v>239</v>
      </c>
      <c r="AE23" s="87"/>
      <c r="AF23" s="87" t="s">
        <v>174</v>
      </c>
      <c r="AG23" s="141"/>
    </row>
    <row r="24" spans="1:33" ht="18">
      <c r="A24" s="166" t="s">
        <v>1517</v>
      </c>
      <c r="B24" s="167" t="s">
        <v>1252</v>
      </c>
      <c r="C24" s="167" t="s">
        <v>15</v>
      </c>
      <c r="D24" s="143" t="str">
        <f>"PRD_SNJ_"&amp;
_xlfn.XLOOKUP(商品マスタ[[#This Row],[仕入先]],テーブル1[仕入先名],テーブル1[仕入先コード],"XXX",0,1)&amp;
"_"&amp;
商品マスタ[[#This Row],[シリアル]]&amp;
"_"&amp;
TEXT(COUNTIFS(商品マスタ!$C$3:C24,商品マスタ[[#This Row],[仕入先]],商品マスタ!$E$3:E24,商品マスタ[[#This Row],[商品名]]), "00")</f>
        <v>PRD_SNJ_NNS_0002_01</v>
      </c>
      <c r="E24" s="87" t="s">
        <v>240</v>
      </c>
      <c r="F24" s="87">
        <f>IF(COUNTIFS($C$3:C24,商品マスタ[[#This Row],[仕入先]],$E$3:E24,商品マスタ[[#This Row],[商品名]]) = 1, 1,0)</f>
        <v>1</v>
      </c>
      <c r="G24" s="133" t="str">
        <f>TEXT(SUMIF($C$3:C24,商品マスタ[[#This Row],[仕入先]],$F$3:F24), "0000")</f>
        <v>0002</v>
      </c>
      <c r="H24" s="87" t="s">
        <v>241</v>
      </c>
      <c r="I24" s="87" t="s">
        <v>242</v>
      </c>
      <c r="J24" s="87">
        <v>50</v>
      </c>
      <c r="K24" s="87"/>
      <c r="L24" s="134">
        <v>925</v>
      </c>
      <c r="M24" s="157">
        <v>45951</v>
      </c>
      <c r="N24" s="134">
        <v>1706</v>
      </c>
      <c r="O24" s="135">
        <f>IF(COUNT(商品マスタ[[#This Row],[参考上代
（税込)]]) &gt; 0, (商品マスタ[[#This Row],[参考上代
（税込)]]-商品マスタ[[#This Row],[国内定価
（15％）]])/(商品マスタ[[#This Row],[参考上代
（税込)]]/1.08), "")</f>
        <v>0.32032825322391562</v>
      </c>
      <c r="P24" s="136">
        <v>0.1</v>
      </c>
      <c r="Q24" s="137">
        <f>商品マスタ[[#This Row],[仕入
単価]]*商品マスタ[[#This Row],[標準国内送料率]]</f>
        <v>92.5</v>
      </c>
      <c r="R24" s="134"/>
      <c r="S24" s="134">
        <f>IF(ISBLANK(商品マスタ[[#This Row],[実績
国内送料]]),商品マスタ[[#This Row],[標準国内送料]],)</f>
        <v>92.5</v>
      </c>
      <c r="T24" s="134">
        <f>商品マスタ[[#This Row],[仕入
単価]]+商品マスタ[[#This Row],[国内送料]]</f>
        <v>1017.5</v>
      </c>
      <c r="U24" s="134">
        <f>ROUNDUP(商品マスタ[[#This Row],[仕入単価+国内送料]]/0.8,-1)</f>
        <v>1280</v>
      </c>
      <c r="V24" s="134">
        <f>商品マスタ[[#This Row],[海外定価
（20％）]]-商品マスタ[[#This Row],[仕入単価+国内送料]]</f>
        <v>262.5</v>
      </c>
      <c r="W24" s="87">
        <f>ROUNDUP(商品マスタ[[#This Row],[仕入単価+国内送料]]/0.85,-1)</f>
        <v>1200</v>
      </c>
      <c r="X24" s="134">
        <f>商品マスタ[[#This Row],[国内定価
（15％）]]-商品マスタ[[#This Row],[仕入単価+国内送料]]</f>
        <v>182.5</v>
      </c>
      <c r="Y24" s="139">
        <v>0.08</v>
      </c>
      <c r="Z24" s="87"/>
      <c r="AA24" s="87"/>
      <c r="AB24" s="87"/>
      <c r="AC24" s="140"/>
      <c r="AD24" s="87" t="s">
        <v>243</v>
      </c>
      <c r="AE24" s="87"/>
      <c r="AF24" s="87" t="s">
        <v>174</v>
      </c>
      <c r="AG24" s="141"/>
    </row>
    <row r="25" spans="1:33" ht="18">
      <c r="A25" s="166" t="s">
        <v>1517</v>
      </c>
      <c r="B25" s="167" t="s">
        <v>1252</v>
      </c>
      <c r="C25" s="167" t="s">
        <v>15</v>
      </c>
      <c r="D25" s="143" t="str">
        <f>"PRD_SNJ_"&amp;
_xlfn.XLOOKUP(商品マスタ[[#This Row],[仕入先]],テーブル1[仕入先名],テーブル1[仕入先コード],"XXX",0,1)&amp;
"_"&amp;
商品マスタ[[#This Row],[シリアル]]&amp;
"_"&amp;
TEXT(COUNTIFS(商品マスタ!$C$3:C25,商品マスタ[[#This Row],[仕入先]],商品マスタ!$E$3:E25,商品マスタ[[#This Row],[商品名]]), "00")</f>
        <v>PRD_SNJ_NNS_0002_02</v>
      </c>
      <c r="E25" s="87" t="s">
        <v>240</v>
      </c>
      <c r="F25" s="87">
        <f>IF(COUNTIFS($C$3:C25,商品マスタ[[#This Row],[仕入先]],$E$3:E25,商品マスタ[[#This Row],[商品名]]) = 1, 1,0)</f>
        <v>0</v>
      </c>
      <c r="G25" s="133" t="str">
        <f>TEXT(SUMIF($C$3:C25,商品マスタ[[#This Row],[仕入先]],$F$3:F25), "0000")</f>
        <v>0002</v>
      </c>
      <c r="H25" s="87" t="s">
        <v>241</v>
      </c>
      <c r="I25" s="87" t="s">
        <v>242</v>
      </c>
      <c r="J25" s="87">
        <v>100</v>
      </c>
      <c r="K25" s="87"/>
      <c r="L25" s="134">
        <v>925</v>
      </c>
      <c r="M25" s="157">
        <v>45951</v>
      </c>
      <c r="N25" s="134">
        <v>1706</v>
      </c>
      <c r="O25" s="135">
        <f>IF(COUNT(商品マスタ[[#This Row],[参考上代
（税込)]]) &gt; 0, (商品マスタ[[#This Row],[参考上代
（税込)]]-商品マスタ[[#This Row],[国内定価
（15％）]])/(商品マスタ[[#This Row],[参考上代
（税込)]]/1.08), "")</f>
        <v>0.32032825322391562</v>
      </c>
      <c r="P25" s="136">
        <v>0.1</v>
      </c>
      <c r="Q25" s="137">
        <f>商品マスタ[[#This Row],[仕入
単価]]*商品マスタ[[#This Row],[標準国内送料率]]</f>
        <v>92.5</v>
      </c>
      <c r="R25" s="134"/>
      <c r="S25" s="134">
        <f>IF(ISBLANK(商品マスタ[[#This Row],[実績
国内送料]]),商品マスタ[[#This Row],[標準国内送料]],)</f>
        <v>92.5</v>
      </c>
      <c r="T25" s="134">
        <f>商品マスタ[[#This Row],[仕入
単価]]+商品マスタ[[#This Row],[国内送料]]</f>
        <v>1017.5</v>
      </c>
      <c r="U25" s="134">
        <f>ROUNDUP(商品マスタ[[#This Row],[仕入単価+国内送料]]/0.8,-1)</f>
        <v>1280</v>
      </c>
      <c r="V25" s="134">
        <f>商品マスタ[[#This Row],[海外定価
（20％）]]-商品マスタ[[#This Row],[仕入単価+国内送料]]</f>
        <v>262.5</v>
      </c>
      <c r="W25" s="87">
        <f>ROUNDUP(商品マスタ[[#This Row],[仕入単価+国内送料]]/0.85,-1)</f>
        <v>1200</v>
      </c>
      <c r="X25" s="134">
        <f>商品マスタ[[#This Row],[国内定価
（15％）]]-商品マスタ[[#This Row],[仕入単価+国内送料]]</f>
        <v>182.5</v>
      </c>
      <c r="Y25" s="139">
        <v>0.08</v>
      </c>
      <c r="Z25" s="87"/>
      <c r="AA25" s="87"/>
      <c r="AB25" s="87"/>
      <c r="AC25" s="140"/>
      <c r="AD25" s="87" t="s">
        <v>243</v>
      </c>
      <c r="AE25" s="87"/>
      <c r="AF25" s="87" t="s">
        <v>174</v>
      </c>
      <c r="AG25" s="141"/>
    </row>
    <row r="26" spans="1:33" ht="18">
      <c r="A26" s="166" t="s">
        <v>1517</v>
      </c>
      <c r="B26" s="167" t="s">
        <v>1252</v>
      </c>
      <c r="C26" s="167" t="s">
        <v>15</v>
      </c>
      <c r="D26" s="143" t="str">
        <f>"PRD_SNJ_"&amp;
_xlfn.XLOOKUP(商品マスタ[[#This Row],[仕入先]],テーブル1[仕入先名],テーブル1[仕入先コード],"XXX",0,1)&amp;
"_"&amp;
商品マスタ[[#This Row],[シリアル]]&amp;
"_"&amp;
TEXT(COUNTIFS(商品マスタ!$C$3:C26,商品マスタ[[#This Row],[仕入先]],商品マスタ!$E$3:E26,商品マスタ[[#This Row],[商品名]]), "00")</f>
        <v>PRD_SNJ_NNS_0003_01</v>
      </c>
      <c r="E26" s="87" t="s">
        <v>244</v>
      </c>
      <c r="F26" s="87">
        <f>IF(COUNTIFS($C$3:C26,商品マスタ[[#This Row],[仕入先]],$E$3:E26,商品マスタ[[#This Row],[商品名]]) = 1, 1,0)</f>
        <v>1</v>
      </c>
      <c r="G26" s="133" t="str">
        <f>TEXT(SUMIF($C$3:C26,商品マスタ[[#This Row],[仕入先]],$F$3:F26), "0000")</f>
        <v>0003</v>
      </c>
      <c r="H26" s="87" t="s">
        <v>237</v>
      </c>
      <c r="I26" s="147" t="s">
        <v>245</v>
      </c>
      <c r="J26" s="87">
        <v>48</v>
      </c>
      <c r="K26" s="87" t="s">
        <v>246</v>
      </c>
      <c r="L26" s="134">
        <v>1714</v>
      </c>
      <c r="M26" s="157">
        <v>45951</v>
      </c>
      <c r="N26" s="134">
        <v>2678</v>
      </c>
      <c r="O26" s="135">
        <f>IF(COUNT(商品マスタ[[#This Row],[参考上代
（税込)]]) &gt; 0, (商品マスタ[[#This Row],[参考上代
（税込)]]-商品マスタ[[#This Row],[国内定価
（15％）]])/(商品マスタ[[#This Row],[参考上代
（税込)]]/1.08), "")</f>
        <v>0.18470500373412996</v>
      </c>
      <c r="P26" s="136">
        <v>0.1</v>
      </c>
      <c r="Q26" s="137">
        <f>商品マスタ[[#This Row],[仕入
単価]]*商品マスタ[[#This Row],[標準国内送料率]]</f>
        <v>171.4</v>
      </c>
      <c r="R26" s="134"/>
      <c r="S26" s="134">
        <f>IF(ISBLANK(商品マスタ[[#This Row],[実績
国内送料]]),商品マスタ[[#This Row],[標準国内送料]],)</f>
        <v>171.4</v>
      </c>
      <c r="T26" s="134">
        <f>商品マスタ[[#This Row],[仕入
単価]]+商品マスタ[[#This Row],[国内送料]]</f>
        <v>1885.4</v>
      </c>
      <c r="U26" s="134">
        <f>ROUNDUP(商品マスタ[[#This Row],[仕入単価+国内送料]]/0.8,-1)</f>
        <v>2360</v>
      </c>
      <c r="V26" s="134">
        <f>商品マスタ[[#This Row],[海外定価
（20％）]]-商品マスタ[[#This Row],[仕入単価+国内送料]]</f>
        <v>474.59999999999991</v>
      </c>
      <c r="W26" s="87">
        <f>ROUNDUP(商品マスタ[[#This Row],[仕入単価+国内送料]]/0.85,-1)</f>
        <v>2220</v>
      </c>
      <c r="X26" s="134">
        <f>商品マスタ[[#This Row],[国内定価
（15％）]]-商品マスタ[[#This Row],[仕入単価+国内送料]]</f>
        <v>334.59999999999991</v>
      </c>
      <c r="Y26" s="139">
        <v>0.08</v>
      </c>
      <c r="Z26" s="87"/>
      <c r="AA26" s="87"/>
      <c r="AB26" s="87"/>
      <c r="AC26" s="140">
        <v>4595318851063</v>
      </c>
      <c r="AD26" s="87" t="s">
        <v>247</v>
      </c>
      <c r="AE26" s="87"/>
      <c r="AF26" s="87" t="s">
        <v>248</v>
      </c>
      <c r="AG26" s="141" t="s">
        <v>249</v>
      </c>
    </row>
    <row r="27" spans="1:33" ht="18">
      <c r="A27" s="166" t="s">
        <v>1517</v>
      </c>
      <c r="B27" s="167" t="s">
        <v>1252</v>
      </c>
      <c r="C27" s="167" t="s">
        <v>15</v>
      </c>
      <c r="D27" s="143" t="str">
        <f>"PRD_SNJ_"&amp;
_xlfn.XLOOKUP(商品マスタ[[#This Row],[仕入先]],テーブル1[仕入先名],テーブル1[仕入先コード],"XXX",0,1)&amp;
"_"&amp;
商品マスタ[[#This Row],[シリアル]]&amp;
"_"&amp;
TEXT(COUNTIFS(商品マスタ!$C$3:C27,商品マスタ[[#This Row],[仕入先]],商品マスタ!$E$3:E27,商品マスタ[[#This Row],[商品名]]), "00")</f>
        <v>PRD_SNJ_NNS_0004_01</v>
      </c>
      <c r="E27" s="87" t="s">
        <v>250</v>
      </c>
      <c r="F27" s="87">
        <f>IF(COUNTIFS($C$3:C27,商品マスタ[[#This Row],[仕入先]],$E$3:E27,商品マスタ[[#This Row],[商品名]]) = 1, 1,0)</f>
        <v>1</v>
      </c>
      <c r="G27" s="133" t="str">
        <f>TEXT(SUMIF($C$3:C27,商品マスタ[[#This Row],[仕入先]],$F$3:F27), "0000")</f>
        <v>0004</v>
      </c>
      <c r="H27" s="87" t="s">
        <v>237</v>
      </c>
      <c r="I27" s="87" t="s">
        <v>251</v>
      </c>
      <c r="J27" s="87">
        <v>60</v>
      </c>
      <c r="K27" s="87"/>
      <c r="L27" s="134">
        <v>456</v>
      </c>
      <c r="M27" s="157">
        <v>45951</v>
      </c>
      <c r="N27" s="134">
        <v>850</v>
      </c>
      <c r="O27" s="135">
        <f>IF(COUNT(商品マスタ[[#This Row],[参考上代
（税込)]]) &gt; 0, (商品マスタ[[#This Row],[参考上代
（税込)]]-商品マスタ[[#This Row],[国内定価
（15％）]])/(商品マスタ[[#This Row],[参考上代
（税込)]]/1.08), "")</f>
        <v>0.31764705882352945</v>
      </c>
      <c r="P27" s="136">
        <v>0.1</v>
      </c>
      <c r="Q27" s="137">
        <f>商品マスタ[[#This Row],[仕入
単価]]*商品マスタ[[#This Row],[標準国内送料率]]</f>
        <v>45.6</v>
      </c>
      <c r="R27" s="134"/>
      <c r="S27" s="134">
        <f>IF(ISBLANK(商品マスタ[[#This Row],[実績
国内送料]]),商品マスタ[[#This Row],[標準国内送料]],)</f>
        <v>45.6</v>
      </c>
      <c r="T27" s="134">
        <f>商品マスタ[[#This Row],[仕入
単価]]+商品マスタ[[#This Row],[国内送料]]</f>
        <v>501.6</v>
      </c>
      <c r="U27" s="134">
        <f>ROUNDUP(商品マスタ[[#This Row],[仕入単価+国内送料]]/0.8,-1)</f>
        <v>630</v>
      </c>
      <c r="V27" s="134">
        <f>商品マスタ[[#This Row],[海外定価
（20％）]]-商品マスタ[[#This Row],[仕入単価+国内送料]]</f>
        <v>128.39999999999998</v>
      </c>
      <c r="W27" s="87">
        <f>ROUNDUP(商品マスタ[[#This Row],[仕入単価+国内送料]]/0.85,-1)</f>
        <v>600</v>
      </c>
      <c r="X27" s="134">
        <f>商品マスタ[[#This Row],[国内定価
（15％）]]-商品マスタ[[#This Row],[仕入単価+国内送料]]</f>
        <v>98.399999999999977</v>
      </c>
      <c r="Y27" s="139">
        <v>0.08</v>
      </c>
      <c r="Z27" s="87"/>
      <c r="AA27" s="87"/>
      <c r="AB27" s="87"/>
      <c r="AC27" s="140"/>
      <c r="AD27" s="87" t="s">
        <v>252</v>
      </c>
      <c r="AE27" s="87"/>
      <c r="AF27" s="87" t="s">
        <v>174</v>
      </c>
      <c r="AG27" s="141"/>
    </row>
    <row r="28" spans="1:33" ht="18">
      <c r="A28" s="166" t="s">
        <v>1517</v>
      </c>
      <c r="B28" s="167" t="s">
        <v>1252</v>
      </c>
      <c r="C28" s="167" t="s">
        <v>15</v>
      </c>
      <c r="D28" s="143" t="str">
        <f>"PRD_SNJ_"&amp;
_xlfn.XLOOKUP(商品マスタ[[#This Row],[仕入先]],テーブル1[仕入先名],テーブル1[仕入先コード],"XXX",0,1)&amp;
"_"&amp;
商品マスタ[[#This Row],[シリアル]]&amp;
"_"&amp;
TEXT(COUNTIFS(商品マスタ!$C$3:C28,商品マスタ[[#This Row],[仕入先]],商品マスタ!$E$3:E28,商品マスタ[[#This Row],[商品名]]), "00")</f>
        <v>PRD_SNJ_NNS_0005_01</v>
      </c>
      <c r="E28" s="87" t="s">
        <v>253</v>
      </c>
      <c r="F28" s="87">
        <f>IF(COUNTIFS($C$3:C28,商品マスタ[[#This Row],[仕入先]],$E$3:E28,商品マスタ[[#This Row],[商品名]]) = 1, 1,0)</f>
        <v>1</v>
      </c>
      <c r="G28" s="133" t="str">
        <f>TEXT(SUMIF($C$3:C28,商品マスタ[[#This Row],[仕入先]],$F$3:F28), "0000")</f>
        <v>0005</v>
      </c>
      <c r="H28" s="87" t="s">
        <v>237</v>
      </c>
      <c r="I28" s="87" t="s">
        <v>238</v>
      </c>
      <c r="J28" s="87">
        <v>60</v>
      </c>
      <c r="K28" s="87"/>
      <c r="L28" s="134">
        <v>456</v>
      </c>
      <c r="M28" s="157">
        <v>45951</v>
      </c>
      <c r="N28" s="134">
        <v>850</v>
      </c>
      <c r="O28" s="135">
        <f>IF(COUNT(商品マスタ[[#This Row],[参考上代
（税込)]]) &gt; 0, (商品マスタ[[#This Row],[参考上代
（税込)]]-商品マスタ[[#This Row],[国内定価
（15％）]])/(商品マスタ[[#This Row],[参考上代
（税込)]]/1.08), "")</f>
        <v>0.31764705882352945</v>
      </c>
      <c r="P28" s="136">
        <v>0.1</v>
      </c>
      <c r="Q28" s="137">
        <f>商品マスタ[[#This Row],[仕入
単価]]*商品マスタ[[#This Row],[標準国内送料率]]</f>
        <v>45.6</v>
      </c>
      <c r="R28" s="134"/>
      <c r="S28" s="134">
        <f>IF(ISBLANK(商品マスタ[[#This Row],[実績
国内送料]]),商品マスタ[[#This Row],[標準国内送料]],)</f>
        <v>45.6</v>
      </c>
      <c r="T28" s="134">
        <f>商品マスタ[[#This Row],[仕入
単価]]+商品マスタ[[#This Row],[国内送料]]</f>
        <v>501.6</v>
      </c>
      <c r="U28" s="134">
        <f>ROUNDUP(商品マスタ[[#This Row],[仕入単価+国内送料]]/0.8,-1)</f>
        <v>630</v>
      </c>
      <c r="V28" s="134">
        <f>商品マスタ[[#This Row],[海外定価
（20％）]]-商品マスタ[[#This Row],[仕入単価+国内送料]]</f>
        <v>128.39999999999998</v>
      </c>
      <c r="W28" s="87">
        <f>ROUNDUP(商品マスタ[[#This Row],[仕入単価+国内送料]]/0.85,-1)</f>
        <v>600</v>
      </c>
      <c r="X28" s="134">
        <f>商品マスタ[[#This Row],[国内定価
（15％）]]-商品マスタ[[#This Row],[仕入単価+国内送料]]</f>
        <v>98.399999999999977</v>
      </c>
      <c r="Y28" s="139">
        <v>0.08</v>
      </c>
      <c r="Z28" s="87"/>
      <c r="AA28" s="87"/>
      <c r="AB28" s="87"/>
      <c r="AC28" s="140"/>
      <c r="AD28" s="145" t="s">
        <v>254</v>
      </c>
      <c r="AE28" s="87"/>
      <c r="AF28" s="87" t="s">
        <v>174</v>
      </c>
      <c r="AG28" s="141"/>
    </row>
    <row r="29" spans="1:33" ht="18">
      <c r="A29" s="166" t="s">
        <v>1517</v>
      </c>
      <c r="B29" s="167" t="s">
        <v>1252</v>
      </c>
      <c r="C29" s="167" t="s">
        <v>15</v>
      </c>
      <c r="D29" s="143" t="str">
        <f>"PRD_SNJ_"&amp;
_xlfn.XLOOKUP(商品マスタ[[#This Row],[仕入先]],テーブル1[仕入先名],テーブル1[仕入先コード],"XXX",0,1)&amp;
"_"&amp;
商品マスタ[[#This Row],[シリアル]]&amp;
"_"&amp;
TEXT(COUNTIFS(商品マスタ!$C$3:C29,商品マスタ[[#This Row],[仕入先]],商品マスタ!$E$3:E29,商品マスタ[[#This Row],[商品名]]), "00")</f>
        <v>PRD_SNJ_NNS_0006_01</v>
      </c>
      <c r="E29" s="87" t="s">
        <v>255</v>
      </c>
      <c r="F29" s="87">
        <f>IF(COUNTIFS($C$3:C29,商品マスタ[[#This Row],[仕入先]],$E$3:E29,商品マスタ[[#This Row],[商品名]]) = 1, 1,0)</f>
        <v>1</v>
      </c>
      <c r="G29" s="133" t="str">
        <f>TEXT(SUMIF($C$3:C29,商品マスタ[[#This Row],[仕入先]],$F$3:F29), "0000")</f>
        <v>0006</v>
      </c>
      <c r="H29" s="87" t="s">
        <v>241</v>
      </c>
      <c r="I29" s="87" t="s">
        <v>242</v>
      </c>
      <c r="J29" s="87">
        <v>100</v>
      </c>
      <c r="K29" s="87" t="s">
        <v>256</v>
      </c>
      <c r="L29" s="134">
        <v>456</v>
      </c>
      <c r="M29" s="157">
        <v>45951</v>
      </c>
      <c r="N29" s="134">
        <v>853</v>
      </c>
      <c r="O29" s="135">
        <f>IF(COUNT(商品マスタ[[#This Row],[参考上代
（税込)]]) &gt; 0, (商品マスタ[[#This Row],[参考上代
（税込)]]-商品マスタ[[#This Row],[国内定価
（15％）]])/(商品マスタ[[#This Row],[参考上代
（税込)]]/1.08), "")</f>
        <v>0.32032825322391562</v>
      </c>
      <c r="P29" s="136">
        <v>0.1</v>
      </c>
      <c r="Q29" s="137">
        <f>商品マスタ[[#This Row],[仕入
単価]]*商品マスタ[[#This Row],[標準国内送料率]]</f>
        <v>45.6</v>
      </c>
      <c r="R29" s="134"/>
      <c r="S29" s="134">
        <f>IF(ISBLANK(商品マスタ[[#This Row],[実績
国内送料]]),商品マスタ[[#This Row],[標準国内送料]],)</f>
        <v>45.6</v>
      </c>
      <c r="T29" s="134">
        <f>商品マスタ[[#This Row],[仕入
単価]]+商品マスタ[[#This Row],[国内送料]]</f>
        <v>501.6</v>
      </c>
      <c r="U29" s="134">
        <f>ROUNDUP(商品マスタ[[#This Row],[仕入単価+国内送料]]/0.8,-1)</f>
        <v>630</v>
      </c>
      <c r="V29" s="134">
        <f>商品マスタ[[#This Row],[海外定価
（20％）]]-商品マスタ[[#This Row],[仕入単価+国内送料]]</f>
        <v>128.39999999999998</v>
      </c>
      <c r="W29" s="87">
        <f>ROUNDUP(商品マスタ[[#This Row],[仕入単価+国内送料]]/0.85,-1)</f>
        <v>600</v>
      </c>
      <c r="X29" s="134">
        <f>商品マスタ[[#This Row],[国内定価
（15％）]]-商品マスタ[[#This Row],[仕入単価+国内送料]]</f>
        <v>98.399999999999977</v>
      </c>
      <c r="Y29" s="139">
        <v>0.08</v>
      </c>
      <c r="Z29" s="87"/>
      <c r="AA29" s="87"/>
      <c r="AB29" s="87"/>
      <c r="AC29" s="140"/>
      <c r="AD29" s="145" t="s">
        <v>257</v>
      </c>
      <c r="AE29" s="87"/>
      <c r="AF29" s="87" t="s">
        <v>174</v>
      </c>
      <c r="AG29" s="141"/>
    </row>
    <row r="30" spans="1:33" ht="18">
      <c r="A30" s="166" t="s">
        <v>1517</v>
      </c>
      <c r="B30" s="167" t="s">
        <v>1252</v>
      </c>
      <c r="C30" s="167" t="s">
        <v>15</v>
      </c>
      <c r="D30" s="143" t="str">
        <f>"PRD_SNJ_"&amp;
_xlfn.XLOOKUP(商品マスタ[[#This Row],[仕入先]],テーブル1[仕入先名],テーブル1[仕入先コード],"XXX",0,1)&amp;
"_"&amp;
商品マスタ[[#This Row],[シリアル]]&amp;
"_"&amp;
TEXT(COUNTIFS(商品マスタ!$C$3:C30,商品マスタ[[#This Row],[仕入先]],商品マスタ!$E$3:E30,商品マスタ[[#This Row],[商品名]]), "00")</f>
        <v>PRD_SNJ_NNS_0007_01</v>
      </c>
      <c r="E30" s="87" t="s">
        <v>258</v>
      </c>
      <c r="F30" s="87">
        <f>IF(COUNTIFS($C$3:C30,商品マスタ[[#This Row],[仕入先]],$E$3:E30,商品マスタ[[#This Row],[商品名]]) = 1, 1,0)</f>
        <v>1</v>
      </c>
      <c r="G30" s="133" t="str">
        <f>TEXT(SUMIF($C$3:C30,商品マスタ[[#This Row],[仕入先]],$F$3:F30), "0000")</f>
        <v>0007</v>
      </c>
      <c r="H30" s="87" t="s">
        <v>241</v>
      </c>
      <c r="I30" s="87" t="s">
        <v>242</v>
      </c>
      <c r="J30" s="87">
        <v>100</v>
      </c>
      <c r="K30" s="87" t="s">
        <v>256</v>
      </c>
      <c r="L30" s="134">
        <v>456</v>
      </c>
      <c r="M30" s="157">
        <v>45951</v>
      </c>
      <c r="N30" s="134">
        <v>853</v>
      </c>
      <c r="O30" s="135">
        <f>IF(COUNT(商品マスタ[[#This Row],[参考上代
（税込)]]) &gt; 0, (商品マスタ[[#This Row],[参考上代
（税込)]]-商品マスタ[[#This Row],[国内定価
（15％）]])/(商品マスタ[[#This Row],[参考上代
（税込)]]/1.08), "")</f>
        <v>0.32032825322391562</v>
      </c>
      <c r="P30" s="136">
        <v>0.1</v>
      </c>
      <c r="Q30" s="137">
        <f>商品マスタ[[#This Row],[仕入
単価]]*商品マスタ[[#This Row],[標準国内送料率]]</f>
        <v>45.6</v>
      </c>
      <c r="R30" s="134"/>
      <c r="S30" s="134">
        <f>IF(ISBLANK(商品マスタ[[#This Row],[実績
国内送料]]),商品マスタ[[#This Row],[標準国内送料]],)</f>
        <v>45.6</v>
      </c>
      <c r="T30" s="134">
        <f>商品マスタ[[#This Row],[仕入
単価]]+商品マスタ[[#This Row],[国内送料]]</f>
        <v>501.6</v>
      </c>
      <c r="U30" s="134">
        <f>ROUNDUP(商品マスタ[[#This Row],[仕入単価+国内送料]]/0.8,-1)</f>
        <v>630</v>
      </c>
      <c r="V30" s="134">
        <f>商品マスタ[[#This Row],[海外定価
（20％）]]-商品マスタ[[#This Row],[仕入単価+国内送料]]</f>
        <v>128.39999999999998</v>
      </c>
      <c r="W30" s="87">
        <f>ROUNDUP(商品マスタ[[#This Row],[仕入単価+国内送料]]/0.85,-1)</f>
        <v>600</v>
      </c>
      <c r="X30" s="134">
        <f>商品マスタ[[#This Row],[国内定価
（15％）]]-商品マスタ[[#This Row],[仕入単価+国内送料]]</f>
        <v>98.399999999999977</v>
      </c>
      <c r="Y30" s="139">
        <v>0.08</v>
      </c>
      <c r="Z30" s="87"/>
      <c r="AA30" s="87"/>
      <c r="AB30" s="87"/>
      <c r="AC30" s="140"/>
      <c r="AD30" s="148" t="s">
        <v>923</v>
      </c>
      <c r="AE30" s="87"/>
      <c r="AF30" s="87" t="s">
        <v>174</v>
      </c>
      <c r="AG30" s="141"/>
    </row>
    <row r="31" spans="1:33" ht="18">
      <c r="A31" s="166" t="s">
        <v>1517</v>
      </c>
      <c r="B31" s="167" t="s">
        <v>1252</v>
      </c>
      <c r="C31" s="167" t="s">
        <v>259</v>
      </c>
      <c r="D31" s="143" t="str">
        <f>"PRD_SNJ_"&amp;
_xlfn.XLOOKUP(商品マスタ[[#This Row],[仕入先]],テーブル1[仕入先名],テーブル1[仕入先コード],"XXX",0,1)&amp;
"_"&amp;
商品マスタ[[#This Row],[シリアル]]&amp;
"_"&amp;
TEXT(COUNTIFS(商品マスタ!$C$3:C31,商品マスタ[[#This Row],[仕入先]],商品マスタ!$E$3:E31,商品マスタ[[#This Row],[商品名]]), "00")</f>
        <v>PRD_SNJ_HAD_0001_01</v>
      </c>
      <c r="E31" s="87" t="s">
        <v>260</v>
      </c>
      <c r="F31" s="87">
        <f>IF(COUNTIFS($C$3:C31,商品マスタ[[#This Row],[仕入先]],$E$3:E31,商品マスタ[[#This Row],[商品名]]) = 1, 1,0)</f>
        <v>1</v>
      </c>
      <c r="G31" s="133" t="str">
        <f>TEXT(SUMIF($C$3:C31,商品マスタ[[#This Row],[仕入先]],$F$3:F31), "0000")</f>
        <v>0001</v>
      </c>
      <c r="H31" s="87" t="s">
        <v>237</v>
      </c>
      <c r="I31" s="87" t="s">
        <v>261</v>
      </c>
      <c r="J31" s="87">
        <v>12</v>
      </c>
      <c r="K31" s="87"/>
      <c r="L31" s="134">
        <v>450</v>
      </c>
      <c r="M31" s="157">
        <v>45952</v>
      </c>
      <c r="N31" s="134">
        <v>750</v>
      </c>
      <c r="O31" s="135">
        <f>IF(COUNT(商品マスタ[[#This Row],[参考上代
（税込)]]) &gt; 0, (商品マスタ[[#This Row],[参考上代
（税込)]]-商品マスタ[[#This Row],[国内定価
（15％）]])/(商品マスタ[[#This Row],[参考上代
（税込)]]/1.08), "")</f>
        <v>0.31680000000000003</v>
      </c>
      <c r="P31" s="136">
        <v>0.1</v>
      </c>
      <c r="Q31" s="137">
        <f>商品マスタ[[#This Row],[仕入
単価]]*商品マスタ[[#This Row],[標準国内送料率]]</f>
        <v>45</v>
      </c>
      <c r="R31" s="134">
        <v>1280</v>
      </c>
      <c r="S31" s="134">
        <f>IF(ISBLANK(商品マスタ[[#This Row],[実績
国内送料]]),商品マスタ[[#This Row],[標準国内送料]],)</f>
        <v>0</v>
      </c>
      <c r="T31" s="134">
        <f>商品マスタ[[#This Row],[仕入
単価]]+商品マスタ[[#This Row],[国内送料]]</f>
        <v>450</v>
      </c>
      <c r="U31" s="134">
        <f>ROUNDUP(商品マスタ[[#This Row],[仕入単価+国内送料]]/0.8,-1)</f>
        <v>570</v>
      </c>
      <c r="V31" s="134">
        <f>商品マスタ[[#This Row],[海外定価
（20％）]]-商品マスタ[[#This Row],[仕入単価+国内送料]]</f>
        <v>120</v>
      </c>
      <c r="W31" s="87">
        <f>ROUNDUP(商品マスタ[[#This Row],[仕入単価+国内送料]]/0.85,-1)</f>
        <v>530</v>
      </c>
      <c r="X31" s="134">
        <f>商品マスタ[[#This Row],[国内定価
（15％）]]-商品マスタ[[#This Row],[仕入単価+国内送料]]</f>
        <v>80</v>
      </c>
      <c r="Y31" s="139">
        <v>0.08</v>
      </c>
      <c r="Z31" s="87" t="s">
        <v>262</v>
      </c>
      <c r="AA31" s="87" t="s">
        <v>263</v>
      </c>
      <c r="AB31" s="87"/>
      <c r="AC31" s="140">
        <v>4562182193957</v>
      </c>
      <c r="AD31" s="87" t="s">
        <v>264</v>
      </c>
      <c r="AE31" s="87"/>
      <c r="AF31" s="87" t="s">
        <v>174</v>
      </c>
      <c r="AG31" s="141"/>
    </row>
    <row r="32" spans="1:33" ht="18">
      <c r="A32" s="166" t="s">
        <v>1517</v>
      </c>
      <c r="B32" s="167" t="s">
        <v>1252</v>
      </c>
      <c r="C32" s="167" t="s">
        <v>259</v>
      </c>
      <c r="D32" s="143" t="str">
        <f>"PRD_SNJ_"&amp;
_xlfn.XLOOKUP(商品マスタ[[#This Row],[仕入先]],テーブル1[仕入先名],テーブル1[仕入先コード],"XXX",0,1)&amp;
"_"&amp;
商品マスタ[[#This Row],[シリアル]]&amp;
"_"&amp;
TEXT(COUNTIFS(商品マスタ!$C$3:C32,商品マスタ[[#This Row],[仕入先]],商品マスタ!$E$3:E32,商品マスタ[[#This Row],[商品名]]), "00")</f>
        <v>PRD_SNJ_HAD_0002_01</v>
      </c>
      <c r="E32" s="87" t="s">
        <v>265</v>
      </c>
      <c r="F32" s="87">
        <f>IF(COUNTIFS($C$3:C32,商品マスタ[[#This Row],[仕入先]],$E$3:E32,商品マスタ[[#This Row],[商品名]]) = 1, 1,0)</f>
        <v>1</v>
      </c>
      <c r="G32" s="133" t="str">
        <f>TEXT(SUMIF($C$3:C32,商品マスタ[[#This Row],[仕入先]],$F$3:F32), "0000")</f>
        <v>0002</v>
      </c>
      <c r="H32" s="87" t="s">
        <v>180</v>
      </c>
      <c r="I32" s="87" t="s">
        <v>261</v>
      </c>
      <c r="J32" s="87">
        <v>12</v>
      </c>
      <c r="K32" s="87"/>
      <c r="L32" s="134">
        <v>450</v>
      </c>
      <c r="M32" s="157">
        <v>45952</v>
      </c>
      <c r="N32" s="134">
        <v>750</v>
      </c>
      <c r="O32" s="135">
        <f>IF(COUNT(商品マスタ[[#This Row],[参考上代
（税込)]]) &gt; 0, (商品マスタ[[#This Row],[参考上代
（税込)]]-商品マスタ[[#This Row],[国内定価
（15％）]])/(商品マスタ[[#This Row],[参考上代
（税込)]]/1.08), "")</f>
        <v>0.31680000000000003</v>
      </c>
      <c r="P32" s="136">
        <v>0.1</v>
      </c>
      <c r="Q32" s="137">
        <f>商品マスタ[[#This Row],[仕入
単価]]*商品マスタ[[#This Row],[標準国内送料率]]</f>
        <v>45</v>
      </c>
      <c r="R32" s="134">
        <v>1280</v>
      </c>
      <c r="S32" s="134">
        <f>IF(ISBLANK(商品マスタ[[#This Row],[実績
国内送料]]),商品マスタ[[#This Row],[標準国内送料]],)</f>
        <v>0</v>
      </c>
      <c r="T32" s="134">
        <f>商品マスタ[[#This Row],[仕入
単価]]+商品マスタ[[#This Row],[国内送料]]</f>
        <v>450</v>
      </c>
      <c r="U32" s="134">
        <f>ROUNDUP(商品マスタ[[#This Row],[仕入単価+国内送料]]/0.8,-1)</f>
        <v>570</v>
      </c>
      <c r="V32" s="134">
        <f>商品マスタ[[#This Row],[海外定価
（20％）]]-商品マスタ[[#This Row],[仕入単価+国内送料]]</f>
        <v>120</v>
      </c>
      <c r="W32" s="87">
        <f>ROUNDUP(商品マスタ[[#This Row],[仕入単価+国内送料]]/0.85,-1)</f>
        <v>530</v>
      </c>
      <c r="X32" s="134">
        <f>商品マスタ[[#This Row],[国内定価
（15％）]]-商品マスタ[[#This Row],[仕入単価+国内送料]]</f>
        <v>80</v>
      </c>
      <c r="Y32" s="139">
        <v>0.08</v>
      </c>
      <c r="Z32" s="87" t="s">
        <v>262</v>
      </c>
      <c r="AA32" s="87" t="s">
        <v>263</v>
      </c>
      <c r="AB32" s="87"/>
      <c r="AC32" s="140" t="s">
        <v>266</v>
      </c>
      <c r="AD32" s="87" t="s">
        <v>267</v>
      </c>
      <c r="AE32" s="87"/>
      <c r="AF32" s="87" t="s">
        <v>174</v>
      </c>
      <c r="AG32" s="141"/>
    </row>
    <row r="33" spans="1:33" ht="18">
      <c r="A33" s="166" t="s">
        <v>1518</v>
      </c>
      <c r="B33" s="167" t="s">
        <v>1248</v>
      </c>
      <c r="C33" s="167" t="s">
        <v>259</v>
      </c>
      <c r="D33" s="143" t="str">
        <f>"PRD_SNJ_"&amp;
_xlfn.XLOOKUP(商品マスタ[[#This Row],[仕入先]],テーブル1[仕入先名],テーブル1[仕入先コード],"XXX",0,1)&amp;
"_"&amp;
商品マスタ[[#This Row],[シリアル]]&amp;
"_"&amp;
TEXT(COUNTIFS(商品マスタ!$C$3:C33,商品マスタ[[#This Row],[仕入先]],商品マスタ!$E$3:E33,商品マスタ[[#This Row],[商品名]]), "00")</f>
        <v>PRD_SNJ_HAD_0003_01</v>
      </c>
      <c r="E33" s="87" t="s">
        <v>268</v>
      </c>
      <c r="F33" s="87">
        <f>IF(COUNTIFS($C$3:C33,商品マスタ[[#This Row],[仕入先]],$E$3:E33,商品マスタ[[#This Row],[商品名]]) = 1, 1,0)</f>
        <v>1</v>
      </c>
      <c r="G33" s="133" t="str">
        <f>TEXT(SUMIF($C$3:C33,商品マスタ[[#This Row],[仕入先]],$F$3:F33), "0000")</f>
        <v>0003</v>
      </c>
      <c r="H33" s="87" t="s">
        <v>180</v>
      </c>
      <c r="I33" s="87" t="s">
        <v>269</v>
      </c>
      <c r="J33" s="87">
        <v>40</v>
      </c>
      <c r="K33" s="87"/>
      <c r="L33" s="134">
        <v>228</v>
      </c>
      <c r="M33" s="157">
        <v>45952</v>
      </c>
      <c r="N33" s="134">
        <v>380</v>
      </c>
      <c r="O33" s="135">
        <f>IF(COUNT(商品マスタ[[#This Row],[参考上代
（税込)]]) &gt; 0, (商品マスタ[[#This Row],[参考上代
（税込)]]-商品マスタ[[#This Row],[国内定価
（15％）]])/(商品マスタ[[#This Row],[参考上代
（税込)]]/1.08), "")</f>
        <v>0.31263157894736843</v>
      </c>
      <c r="P33" s="136">
        <v>0.1</v>
      </c>
      <c r="Q33" s="137">
        <f>商品マスタ[[#This Row],[仕入
単価]]*商品マスタ[[#This Row],[標準国内送料率]]</f>
        <v>22.8</v>
      </c>
      <c r="R33" s="134">
        <v>1280</v>
      </c>
      <c r="S33" s="134">
        <f>IF(ISBLANK(商品マスタ[[#This Row],[実績
国内送料]]),商品マスタ[[#This Row],[標準国内送料]],)</f>
        <v>0</v>
      </c>
      <c r="T33" s="134">
        <f>商品マスタ[[#This Row],[仕入
単価]]+商品マスタ[[#This Row],[国内送料]]</f>
        <v>228</v>
      </c>
      <c r="U33" s="134">
        <f>ROUNDUP(商品マスタ[[#This Row],[仕入単価+国内送料]]/0.8,-1)</f>
        <v>290</v>
      </c>
      <c r="V33" s="134">
        <f>商品マスタ[[#This Row],[海外定価
（20％）]]-商品マスタ[[#This Row],[仕入単価+国内送料]]</f>
        <v>62</v>
      </c>
      <c r="W33" s="87">
        <f>ROUNDUP(商品マスタ[[#This Row],[仕入単価+国内送料]]/0.85,-1)</f>
        <v>270</v>
      </c>
      <c r="X33" s="134">
        <f>商品マスタ[[#This Row],[国内定価
（15％）]]-商品マスタ[[#This Row],[仕入単価+国内送料]]</f>
        <v>42</v>
      </c>
      <c r="Y33" s="139">
        <v>0.08</v>
      </c>
      <c r="Z33" s="87" t="s">
        <v>262</v>
      </c>
      <c r="AA33" s="87" t="s">
        <v>263</v>
      </c>
      <c r="AB33" s="87"/>
      <c r="AC33" s="140" t="s">
        <v>270</v>
      </c>
      <c r="AD33" s="87" t="s">
        <v>271</v>
      </c>
      <c r="AE33" s="87"/>
      <c r="AF33" s="87" t="s">
        <v>174</v>
      </c>
      <c r="AG33" s="141"/>
    </row>
    <row r="34" spans="1:33" ht="18">
      <c r="A34" s="166" t="s">
        <v>1518</v>
      </c>
      <c r="B34" s="167" t="s">
        <v>1248</v>
      </c>
      <c r="C34" s="167" t="s">
        <v>259</v>
      </c>
      <c r="D34" s="143" t="str">
        <f>"PRD_SNJ_"&amp;
_xlfn.XLOOKUP(商品マスタ[[#This Row],[仕入先]],テーブル1[仕入先名],テーブル1[仕入先コード],"XXX",0,1)&amp;
"_"&amp;
商品マスタ[[#This Row],[シリアル]]&amp;
"_"&amp;
TEXT(COUNTIFS(商品マスタ!$C$3:C34,商品マスタ[[#This Row],[仕入先]],商品マスタ!$E$3:E34,商品マスタ[[#This Row],[商品名]]), "00")</f>
        <v>PRD_SNJ_HAD_0004_01</v>
      </c>
      <c r="E34" s="87" t="s">
        <v>272</v>
      </c>
      <c r="F34" s="87">
        <f>IF(COUNTIFS($C$3:C34,商品マスタ[[#This Row],[仕入先]],$E$3:E34,商品マスタ[[#This Row],[商品名]]) = 1, 1,0)</f>
        <v>1</v>
      </c>
      <c r="G34" s="133" t="str">
        <f>TEXT(SUMIF($C$3:C34,商品マスタ[[#This Row],[仕入先]],$F$3:F34), "0000")</f>
        <v>0004</v>
      </c>
      <c r="H34" s="87" t="s">
        <v>180</v>
      </c>
      <c r="I34" s="87" t="s">
        <v>269</v>
      </c>
      <c r="J34" s="87">
        <v>40</v>
      </c>
      <c r="K34" s="87"/>
      <c r="L34" s="134">
        <v>228</v>
      </c>
      <c r="M34" s="157">
        <v>45952</v>
      </c>
      <c r="N34" s="134">
        <v>380</v>
      </c>
      <c r="O34" s="135">
        <f>IF(COUNT(商品マスタ[[#This Row],[参考上代
（税込)]]) &gt; 0, (商品マスタ[[#This Row],[参考上代
（税込)]]-商品マスタ[[#This Row],[国内定価
（15％）]])/(商品マスタ[[#This Row],[参考上代
（税込)]]/1.08), "")</f>
        <v>0.31263157894736843</v>
      </c>
      <c r="P34" s="136">
        <v>0.1</v>
      </c>
      <c r="Q34" s="137">
        <f>商品マスタ[[#This Row],[仕入
単価]]*商品マスタ[[#This Row],[標準国内送料率]]</f>
        <v>22.8</v>
      </c>
      <c r="R34" s="134">
        <v>1280</v>
      </c>
      <c r="S34" s="134">
        <f>IF(ISBLANK(商品マスタ[[#This Row],[実績
国内送料]]),商品マスタ[[#This Row],[標準国内送料]],)</f>
        <v>0</v>
      </c>
      <c r="T34" s="134">
        <f>商品マスタ[[#This Row],[仕入
単価]]+商品マスタ[[#This Row],[国内送料]]</f>
        <v>228</v>
      </c>
      <c r="U34" s="134">
        <f>ROUNDUP(商品マスタ[[#This Row],[仕入単価+国内送料]]/0.8,-1)</f>
        <v>290</v>
      </c>
      <c r="V34" s="134">
        <f>商品マスタ[[#This Row],[海外定価
（20％）]]-商品マスタ[[#This Row],[仕入単価+国内送料]]</f>
        <v>62</v>
      </c>
      <c r="W34" s="87">
        <f>ROUNDUP(商品マスタ[[#This Row],[仕入単価+国内送料]]/0.85,-1)</f>
        <v>270</v>
      </c>
      <c r="X34" s="134">
        <f>商品マスタ[[#This Row],[国内定価
（15％）]]-商品マスタ[[#This Row],[仕入単価+国内送料]]</f>
        <v>42</v>
      </c>
      <c r="Y34" s="139">
        <v>0.08</v>
      </c>
      <c r="Z34" s="87" t="s">
        <v>262</v>
      </c>
      <c r="AA34" s="87" t="s">
        <v>263</v>
      </c>
      <c r="AB34" s="87"/>
      <c r="AC34" s="140" t="s">
        <v>273</v>
      </c>
      <c r="AD34" s="87" t="s">
        <v>274</v>
      </c>
      <c r="AE34" s="87"/>
      <c r="AF34" s="87" t="s">
        <v>174</v>
      </c>
      <c r="AG34" s="141"/>
    </row>
    <row r="35" spans="1:33" ht="18">
      <c r="A35" s="166" t="s">
        <v>1517</v>
      </c>
      <c r="B35" s="167" t="s">
        <v>1251</v>
      </c>
      <c r="C35" s="167" t="s">
        <v>259</v>
      </c>
      <c r="D35" s="143" t="str">
        <f>"PRD_SNJ_"&amp;
_xlfn.XLOOKUP(商品マスタ[[#This Row],[仕入先]],テーブル1[仕入先名],テーブル1[仕入先コード],"XXX",0,1)&amp;
"_"&amp;
商品マスタ[[#This Row],[シリアル]]&amp;
"_"&amp;
TEXT(COUNTIFS(商品マスタ!$C$3:C35,商品マスタ[[#This Row],[仕入先]],商品マスタ!$E$3:E35,商品マスタ[[#This Row],[商品名]]), "00")</f>
        <v>PRD_SNJ_HAD_0005_01</v>
      </c>
      <c r="E35" s="87" t="s">
        <v>275</v>
      </c>
      <c r="F35" s="87">
        <f>IF(COUNTIFS($C$3:C35,商品マスタ[[#This Row],[仕入先]],$E$3:E35,商品マスタ[[#This Row],[商品名]]) = 1, 1,0)</f>
        <v>1</v>
      </c>
      <c r="G35" s="133" t="str">
        <f>TEXT(SUMIF($C$3:C35,商品マスタ[[#This Row],[仕入先]],$F$3:F35), "0000")</f>
        <v>0005</v>
      </c>
      <c r="H35" s="87" t="s">
        <v>237</v>
      </c>
      <c r="I35" s="87" t="s">
        <v>276</v>
      </c>
      <c r="J35" s="87">
        <v>24</v>
      </c>
      <c r="K35" s="87"/>
      <c r="L35" s="134">
        <v>228</v>
      </c>
      <c r="M35" s="157">
        <v>45952</v>
      </c>
      <c r="N35" s="134">
        <v>380</v>
      </c>
      <c r="O35" s="135">
        <f>IF(COUNT(商品マスタ[[#This Row],[参考上代
（税込)]]) &gt; 0, (商品マスタ[[#This Row],[参考上代
（税込)]]-商品マスタ[[#This Row],[国内定価
（15％）]])/(商品マスタ[[#This Row],[参考上代
（税込)]]/1.08), "")</f>
        <v>0.31263157894736843</v>
      </c>
      <c r="P35" s="136">
        <v>0.1</v>
      </c>
      <c r="Q35" s="137">
        <f>商品マスタ[[#This Row],[仕入
単価]]*商品マスタ[[#This Row],[標準国内送料率]]</f>
        <v>22.8</v>
      </c>
      <c r="R35" s="134">
        <v>1280</v>
      </c>
      <c r="S35" s="134">
        <f>IF(ISBLANK(商品マスタ[[#This Row],[実績
国内送料]]),商品マスタ[[#This Row],[標準国内送料]],)</f>
        <v>0</v>
      </c>
      <c r="T35" s="134">
        <f>商品マスタ[[#This Row],[仕入
単価]]+商品マスタ[[#This Row],[国内送料]]</f>
        <v>228</v>
      </c>
      <c r="U35" s="134">
        <f>ROUNDUP(商品マスタ[[#This Row],[仕入単価+国内送料]]/0.8,-1)</f>
        <v>290</v>
      </c>
      <c r="V35" s="134">
        <f>商品マスタ[[#This Row],[海外定価
（20％）]]-商品マスタ[[#This Row],[仕入単価+国内送料]]</f>
        <v>62</v>
      </c>
      <c r="W35" s="87">
        <f>ROUNDUP(商品マスタ[[#This Row],[仕入単価+国内送料]]/0.85,-1)</f>
        <v>270</v>
      </c>
      <c r="X35" s="134">
        <f>商品マスタ[[#This Row],[国内定価
（15％）]]-商品マスタ[[#This Row],[仕入単価+国内送料]]</f>
        <v>42</v>
      </c>
      <c r="Y35" s="139">
        <v>0.08</v>
      </c>
      <c r="Z35" s="87" t="s">
        <v>262</v>
      </c>
      <c r="AA35" s="87" t="s">
        <v>263</v>
      </c>
      <c r="AB35" s="87"/>
      <c r="AC35" s="140" t="s">
        <v>277</v>
      </c>
      <c r="AD35" s="87" t="s">
        <v>278</v>
      </c>
      <c r="AE35" s="87"/>
      <c r="AF35" s="87" t="s">
        <v>174</v>
      </c>
      <c r="AG35" s="141"/>
    </row>
    <row r="36" spans="1:33" ht="18">
      <c r="A36" s="166" t="s">
        <v>1518</v>
      </c>
      <c r="B36" s="167" t="s">
        <v>1247</v>
      </c>
      <c r="C36" s="167" t="s">
        <v>259</v>
      </c>
      <c r="D36" s="143" t="str">
        <f>"PRD_SNJ_"&amp;
_xlfn.XLOOKUP(商品マスタ[[#This Row],[仕入先]],テーブル1[仕入先名],テーブル1[仕入先コード],"XXX",0,1)&amp;
"_"&amp;
商品マスタ[[#This Row],[シリアル]]&amp;
"_"&amp;
TEXT(COUNTIFS(商品マスタ!$C$3:C36,商品マスタ[[#This Row],[仕入先]],商品マスタ!$E$3:E36,商品マスタ[[#This Row],[商品名]]), "00")</f>
        <v>PRD_SNJ_HAD_0006_01</v>
      </c>
      <c r="E36" s="87" t="s">
        <v>279</v>
      </c>
      <c r="F36" s="87">
        <f>IF(COUNTIFS($C$3:C36,商品マスタ[[#This Row],[仕入先]],$E$3:E36,商品マスタ[[#This Row],[商品名]]) = 1, 1,0)</f>
        <v>1</v>
      </c>
      <c r="G36" s="133" t="str">
        <f>TEXT(SUMIF($C$3:C36,商品マスタ[[#This Row],[仕入先]],$F$3:F36), "0000")</f>
        <v>0006</v>
      </c>
      <c r="H36" s="87" t="s">
        <v>237</v>
      </c>
      <c r="I36" s="87" t="s">
        <v>280</v>
      </c>
      <c r="J36" s="87">
        <v>12</v>
      </c>
      <c r="K36" s="87"/>
      <c r="L36" s="134">
        <v>504</v>
      </c>
      <c r="M36" s="157">
        <v>45952</v>
      </c>
      <c r="N36" s="134">
        <v>840</v>
      </c>
      <c r="O36" s="135">
        <f>IF(COUNT(商品マスタ[[#This Row],[参考上代
（税込)]]) &gt; 0, (商品マスタ[[#This Row],[参考上代
（税込)]]-商品マスタ[[#This Row],[国内定価
（15％）]])/(商品マスタ[[#This Row],[参考上代
（税込)]]/1.08), "")</f>
        <v>0.30857142857142861</v>
      </c>
      <c r="P36" s="136">
        <v>0.1</v>
      </c>
      <c r="Q36" s="137">
        <f>商品マスタ[[#This Row],[仕入
単価]]*商品マスタ[[#This Row],[標準国内送料率]]</f>
        <v>50.400000000000006</v>
      </c>
      <c r="R36" s="134">
        <v>1280</v>
      </c>
      <c r="S36" s="134">
        <f>IF(ISBLANK(商品マスタ[[#This Row],[実績
国内送料]]),商品マスタ[[#This Row],[標準国内送料]],)</f>
        <v>0</v>
      </c>
      <c r="T36" s="134">
        <f>商品マスタ[[#This Row],[仕入
単価]]+商品マスタ[[#This Row],[国内送料]]</f>
        <v>504</v>
      </c>
      <c r="U36" s="134">
        <f>ROUNDUP(商品マスタ[[#This Row],[仕入単価+国内送料]]/0.8,-1)</f>
        <v>630</v>
      </c>
      <c r="V36" s="134">
        <f>商品マスタ[[#This Row],[海外定価
（20％）]]-商品マスタ[[#This Row],[仕入単価+国内送料]]</f>
        <v>126</v>
      </c>
      <c r="W36" s="87">
        <f>ROUNDUP(商品マスタ[[#This Row],[仕入単価+国内送料]]/0.85,-1)</f>
        <v>600</v>
      </c>
      <c r="X36" s="134">
        <f>商品マスタ[[#This Row],[国内定価
（15％）]]-商品マスタ[[#This Row],[仕入単価+国内送料]]</f>
        <v>96</v>
      </c>
      <c r="Y36" s="139">
        <v>0.08</v>
      </c>
      <c r="Z36" s="87" t="s">
        <v>262</v>
      </c>
      <c r="AA36" s="87" t="s">
        <v>263</v>
      </c>
      <c r="AB36" s="87"/>
      <c r="AC36" s="140">
        <v>4562182191687</v>
      </c>
      <c r="AD36" s="87" t="s">
        <v>281</v>
      </c>
      <c r="AE36" s="87"/>
      <c r="AF36" s="87" t="s">
        <v>174</v>
      </c>
      <c r="AG36" s="141"/>
    </row>
    <row r="37" spans="1:33" ht="18">
      <c r="A37" s="166" t="s">
        <v>1519</v>
      </c>
      <c r="B37" s="167" t="s">
        <v>1235</v>
      </c>
      <c r="C37" s="167" t="s">
        <v>259</v>
      </c>
      <c r="D37" s="143" t="str">
        <f>"PRD_SNJ_"&amp;
_xlfn.XLOOKUP(商品マスタ[[#This Row],[仕入先]],テーブル1[仕入先名],テーブル1[仕入先コード],"XXX",0,1)&amp;
"_"&amp;
商品マスタ[[#This Row],[シリアル]]&amp;
"_"&amp;
TEXT(COUNTIFS(商品マスタ!$C$3:C37,商品マスタ[[#This Row],[仕入先]],商品マスタ!$E$3:E37,商品マスタ[[#This Row],[商品名]]), "00")</f>
        <v>PRD_SNJ_HAD_0007_01</v>
      </c>
      <c r="E37" s="87" t="s">
        <v>282</v>
      </c>
      <c r="F37" s="87">
        <f>IF(COUNTIFS($C$3:C37,商品マスタ[[#This Row],[仕入先]],$E$3:E37,商品マスタ[[#This Row],[商品名]]) = 1, 1,0)</f>
        <v>1</v>
      </c>
      <c r="G37" s="133" t="str">
        <f>TEXT(SUMIF($C$3:C37,商品マスタ[[#This Row],[仕入先]],$F$3:F37), "0000")</f>
        <v>0007</v>
      </c>
      <c r="H37" s="87" t="s">
        <v>237</v>
      </c>
      <c r="I37" s="87" t="s">
        <v>283</v>
      </c>
      <c r="J37" s="87">
        <v>12</v>
      </c>
      <c r="K37" s="87"/>
      <c r="L37" s="134">
        <v>414</v>
      </c>
      <c r="M37" s="157">
        <v>45952</v>
      </c>
      <c r="N37" s="134">
        <v>690</v>
      </c>
      <c r="O37" s="135">
        <f>IF(COUNT(商品マスタ[[#This Row],[参考上代
（税込)]]) &gt; 0, (商品マスタ[[#This Row],[参考上代
（税込)]]-商品マスタ[[#This Row],[国内定価
（15％）]])/(商品マスタ[[#This Row],[参考上代
（税込)]]/1.08), "")</f>
        <v>0.31304347826086959</v>
      </c>
      <c r="P37" s="136">
        <v>0.1</v>
      </c>
      <c r="Q37" s="137">
        <f>商品マスタ[[#This Row],[仕入
単価]]*商品マスタ[[#This Row],[標準国内送料率]]</f>
        <v>41.400000000000006</v>
      </c>
      <c r="R37" s="134">
        <v>1280</v>
      </c>
      <c r="S37" s="134">
        <f>IF(ISBLANK(商品マスタ[[#This Row],[実績
国内送料]]),商品マスタ[[#This Row],[標準国内送料]],)</f>
        <v>0</v>
      </c>
      <c r="T37" s="134">
        <f>商品マスタ[[#This Row],[仕入
単価]]+商品マスタ[[#This Row],[国内送料]]</f>
        <v>414</v>
      </c>
      <c r="U37" s="134">
        <f>ROUNDUP(商品マスタ[[#This Row],[仕入単価+国内送料]]/0.8,-1)</f>
        <v>520</v>
      </c>
      <c r="V37" s="134">
        <f>商品マスタ[[#This Row],[海外定価
（20％）]]-商品マスタ[[#This Row],[仕入単価+国内送料]]</f>
        <v>106</v>
      </c>
      <c r="W37" s="87">
        <f>ROUNDUP(商品マスタ[[#This Row],[仕入単価+国内送料]]/0.85,-1)</f>
        <v>490</v>
      </c>
      <c r="X37" s="134">
        <f>商品マスタ[[#This Row],[国内定価
（15％）]]-商品マスタ[[#This Row],[仕入単価+国内送料]]</f>
        <v>76</v>
      </c>
      <c r="Y37" s="139">
        <v>0.08</v>
      </c>
      <c r="Z37" s="87" t="s">
        <v>262</v>
      </c>
      <c r="AA37" s="87" t="s">
        <v>263</v>
      </c>
      <c r="AB37" s="87"/>
      <c r="AC37" s="140" t="s">
        <v>284</v>
      </c>
      <c r="AD37" s="87" t="s">
        <v>285</v>
      </c>
      <c r="AE37" s="87"/>
      <c r="AF37" s="87" t="s">
        <v>174</v>
      </c>
      <c r="AG37" s="141"/>
    </row>
    <row r="38" spans="1:33" ht="18">
      <c r="A38" s="166" t="s">
        <v>1521</v>
      </c>
      <c r="B38" s="167" t="s">
        <v>1522</v>
      </c>
      <c r="C38" s="167" t="s">
        <v>286</v>
      </c>
      <c r="D38" s="143" t="str">
        <f>"PRD_SNJ_"&amp;
_xlfn.XLOOKUP(商品マスタ[[#This Row],[仕入先]],テーブル1[仕入先名],テーブル1[仕入先コード],"XXX",0,1)&amp;
"_"&amp;
商品マスタ[[#This Row],[シリアル]]&amp;
"_"&amp;
TEXT(COUNTIFS(商品マスタ!$C$3:C38,商品マスタ[[#This Row],[仕入先]],商品マスタ!$E$3:E38,商品マスタ[[#This Row],[商品名]]), "00")</f>
        <v>PRD_SNJ_SKA_0001_01</v>
      </c>
      <c r="E38" s="87" t="s">
        <v>287</v>
      </c>
      <c r="F38" s="87">
        <f>IF(COUNTIFS($C$3:C38,商品マスタ[[#This Row],[仕入先]],$E$3:E38,商品マスタ[[#This Row],[商品名]]) = 1, 1,0)</f>
        <v>1</v>
      </c>
      <c r="G38" s="133" t="str">
        <f>TEXT(SUMIF($C$3:C38,商品マスタ[[#This Row],[仕入先]],$F$3:F38), "0000")</f>
        <v>0001</v>
      </c>
      <c r="H38" s="87"/>
      <c r="I38" s="87" t="s">
        <v>288</v>
      </c>
      <c r="J38" s="87">
        <v>5</v>
      </c>
      <c r="K38" s="87"/>
      <c r="L38" s="134">
        <v>625</v>
      </c>
      <c r="M38" s="157">
        <v>45952</v>
      </c>
      <c r="N38" s="134">
        <v>900</v>
      </c>
      <c r="O38" s="135">
        <f>IF(COUNT(商品マスタ[[#This Row],[参考上代
（税込)]]) &gt; 0, (商品マスタ[[#This Row],[参考上代
（税込)]]-商品マスタ[[#This Row],[国内定価
（15％）]])/(商品マスタ[[#This Row],[参考上代
（税込)]]/1.08), "")</f>
        <v>0.10800000000000001</v>
      </c>
      <c r="P38" s="136">
        <v>0.1</v>
      </c>
      <c r="Q38" s="137">
        <f>商品マスタ[[#This Row],[仕入
単価]]*商品マスタ[[#This Row],[標準国内送料率]]</f>
        <v>62.5</v>
      </c>
      <c r="R38" s="138"/>
      <c r="S38" s="138">
        <f>IF(ISBLANK(商品マスタ[[#This Row],[実績
国内送料]]),商品マスタ[[#This Row],[標準国内送料]],)</f>
        <v>62.5</v>
      </c>
      <c r="T38" s="138">
        <f>商品マスタ[[#This Row],[仕入
単価]]+商品マスタ[[#This Row],[国内送料]]</f>
        <v>687.5</v>
      </c>
      <c r="U38" s="138">
        <f>ROUNDUP(商品マスタ[[#This Row],[仕入単価+国内送料]]/0.8,-1)</f>
        <v>860</v>
      </c>
      <c r="V38" s="138">
        <f>商品マスタ[[#This Row],[海外定価
（20％）]]-商品マスタ[[#This Row],[仕入単価+国内送料]]</f>
        <v>172.5</v>
      </c>
      <c r="W38" s="87">
        <f>ROUNDUP(商品マスタ[[#This Row],[仕入単価+国内送料]]/0.85,-1)</f>
        <v>810</v>
      </c>
      <c r="X38" s="134">
        <f>商品マスタ[[#This Row],[国内定価
（15％）]]-商品マスタ[[#This Row],[仕入単価+国内送料]]</f>
        <v>122.5</v>
      </c>
      <c r="Y38" s="139">
        <v>0.08</v>
      </c>
      <c r="Z38" s="87" t="s">
        <v>289</v>
      </c>
      <c r="AA38" s="87" t="s">
        <v>290</v>
      </c>
      <c r="AB38" s="87" t="s">
        <v>291</v>
      </c>
      <c r="AC38" s="149">
        <v>4580578380149</v>
      </c>
      <c r="AD38" s="87" t="s">
        <v>292</v>
      </c>
      <c r="AE38" s="87"/>
      <c r="AF38" s="87" t="s">
        <v>174</v>
      </c>
      <c r="AG38" s="150" t="s">
        <v>293</v>
      </c>
    </row>
    <row r="39" spans="1:33" ht="18">
      <c r="A39" s="166" t="s">
        <v>1521</v>
      </c>
      <c r="B39" s="167" t="s">
        <v>1522</v>
      </c>
      <c r="C39" s="167" t="s">
        <v>286</v>
      </c>
      <c r="D39" s="143" t="str">
        <f>"PRD_SNJ_"&amp;
_xlfn.XLOOKUP(商品マスタ[[#This Row],[仕入先]],テーブル1[仕入先名],テーブル1[仕入先コード],"XXX",0,1)&amp;
"_"&amp;
商品マスタ[[#This Row],[シリアル]]&amp;
"_"&amp;
TEXT(COUNTIFS(商品マスタ!$C$3:C39,商品マスタ[[#This Row],[仕入先]],商品マスタ!$E$3:E39,商品マスタ[[#This Row],[商品名]]), "00")</f>
        <v>PRD_SNJ_SKA_0002_01</v>
      </c>
      <c r="E39" s="87" t="s">
        <v>294</v>
      </c>
      <c r="F39" s="87">
        <f>IF(COUNTIFS($C$3:C39,商品マスタ[[#This Row],[仕入先]],$E$3:E39,商品マスタ[[#This Row],[商品名]]) = 1, 1,0)</f>
        <v>1</v>
      </c>
      <c r="G39" s="133" t="str">
        <f>TEXT(SUMIF($C$3:C39,商品マスタ[[#This Row],[仕入先]],$F$3:F39), "0000")</f>
        <v>0002</v>
      </c>
      <c r="H39" s="87"/>
      <c r="I39" s="87" t="s">
        <v>295</v>
      </c>
      <c r="J39" s="87">
        <v>5</v>
      </c>
      <c r="K39" s="87"/>
      <c r="L39" s="134">
        <v>833</v>
      </c>
      <c r="M39" s="157">
        <v>45952</v>
      </c>
      <c r="N39" s="134">
        <v>1200</v>
      </c>
      <c r="O39" s="135">
        <f>IF(COUNT(商品マスタ[[#This Row],[参考上代
（税込)]]) &gt; 0, (商品マスタ[[#This Row],[参考上代
（税込)]]-商品マスタ[[#This Row],[国内定価
（15％）]])/(商品マスタ[[#This Row],[参考上代
（税込)]]/1.08), "")</f>
        <v>0.108</v>
      </c>
      <c r="P39" s="136">
        <v>0.1</v>
      </c>
      <c r="Q39" s="137">
        <f>商品マスタ[[#This Row],[仕入
単価]]*商品マスタ[[#This Row],[標準国内送料率]]</f>
        <v>83.300000000000011</v>
      </c>
      <c r="R39" s="134"/>
      <c r="S39" s="134">
        <f>IF(ISBLANK(商品マスタ[[#This Row],[実績
国内送料]]),商品マスタ[[#This Row],[標準国内送料]],)</f>
        <v>83.300000000000011</v>
      </c>
      <c r="T39" s="134">
        <f>商品マスタ[[#This Row],[仕入
単価]]+商品マスタ[[#This Row],[国内送料]]</f>
        <v>916.3</v>
      </c>
      <c r="U39" s="134">
        <f>ROUNDUP(商品マスタ[[#This Row],[仕入単価+国内送料]]/0.8,-1)</f>
        <v>1150</v>
      </c>
      <c r="V39" s="134">
        <f>商品マスタ[[#This Row],[海外定価
（20％）]]-商品マスタ[[#This Row],[仕入単価+国内送料]]</f>
        <v>233.70000000000005</v>
      </c>
      <c r="W39" s="87">
        <f>ROUNDUP(商品マスタ[[#This Row],[仕入単価+国内送料]]/0.85,-1)</f>
        <v>1080</v>
      </c>
      <c r="X39" s="134">
        <f>商品マスタ[[#This Row],[国内定価
（15％）]]-商品マスタ[[#This Row],[仕入単価+国内送料]]</f>
        <v>163.70000000000005</v>
      </c>
      <c r="Y39" s="139">
        <v>0.08</v>
      </c>
      <c r="Z39" s="87" t="s">
        <v>289</v>
      </c>
      <c r="AA39" s="87" t="s">
        <v>290</v>
      </c>
      <c r="AB39" s="87" t="s">
        <v>291</v>
      </c>
      <c r="AC39" s="149">
        <v>4580578380156</v>
      </c>
      <c r="AD39" s="87" t="s">
        <v>296</v>
      </c>
      <c r="AE39" s="87"/>
      <c r="AF39" s="87" t="s">
        <v>174</v>
      </c>
      <c r="AG39" s="151" t="s">
        <v>297</v>
      </c>
    </row>
    <row r="40" spans="1:33" ht="18">
      <c r="A40" s="166" t="s">
        <v>1520</v>
      </c>
      <c r="B40" s="167" t="s">
        <v>1224</v>
      </c>
      <c r="C40" s="167" t="s">
        <v>286</v>
      </c>
      <c r="D40" s="143" t="str">
        <f>"PRD_SNJ_"&amp;
_xlfn.XLOOKUP(商品マスタ[[#This Row],[仕入先]],テーブル1[仕入先名],テーブル1[仕入先コード],"XXX",0,1)&amp;
"_"&amp;
商品マスタ[[#This Row],[シリアル]]&amp;
"_"&amp;
TEXT(COUNTIFS(商品マスタ!$C$3:C40,商品マスタ[[#This Row],[仕入先]],商品マスタ!$E$3:E40,商品マスタ[[#This Row],[商品名]]), "00")</f>
        <v>PRD_SNJ_SKA_0003_01</v>
      </c>
      <c r="E40" s="87" t="s">
        <v>298</v>
      </c>
      <c r="F40" s="87">
        <f>IF(COUNTIFS($C$3:C40,商品マスタ[[#This Row],[仕入先]],$E$3:E40,商品マスタ[[#This Row],[商品名]]) = 1, 1,0)</f>
        <v>1</v>
      </c>
      <c r="G40" s="133" t="str">
        <f>TEXT(SUMIF($C$3:C40,商品マスタ[[#This Row],[仕入先]],$F$3:F40), "0000")</f>
        <v>0003</v>
      </c>
      <c r="H40" s="87"/>
      <c r="I40" s="87" t="s">
        <v>299</v>
      </c>
      <c r="J40" s="87">
        <v>5</v>
      </c>
      <c r="K40" s="87"/>
      <c r="L40" s="134">
        <v>625</v>
      </c>
      <c r="M40" s="157">
        <v>45952</v>
      </c>
      <c r="N40" s="134">
        <v>900</v>
      </c>
      <c r="O40" s="135">
        <f>IF(COUNT(商品マスタ[[#This Row],[参考上代
（税込)]]) &gt; 0, (商品マスタ[[#This Row],[参考上代
（税込)]]-商品マスタ[[#This Row],[国内定価
（15％）]])/(商品マスタ[[#This Row],[参考上代
（税込)]]/1.08), "")</f>
        <v>0.10800000000000001</v>
      </c>
      <c r="P40" s="136">
        <v>0.1</v>
      </c>
      <c r="Q40" s="137">
        <f>商品マスタ[[#This Row],[仕入
単価]]*商品マスタ[[#This Row],[標準国内送料率]]</f>
        <v>62.5</v>
      </c>
      <c r="R40" s="134"/>
      <c r="S40" s="134">
        <f>IF(ISBLANK(商品マスタ[[#This Row],[実績
国内送料]]),商品マスタ[[#This Row],[標準国内送料]],)</f>
        <v>62.5</v>
      </c>
      <c r="T40" s="134">
        <f>商品マスタ[[#This Row],[仕入
単価]]+商品マスタ[[#This Row],[国内送料]]</f>
        <v>687.5</v>
      </c>
      <c r="U40" s="134">
        <f>ROUNDUP(商品マスタ[[#This Row],[仕入単価+国内送料]]/0.8,-1)</f>
        <v>860</v>
      </c>
      <c r="V40" s="134">
        <f>商品マスタ[[#This Row],[海外定価
（20％）]]-商品マスタ[[#This Row],[仕入単価+国内送料]]</f>
        <v>172.5</v>
      </c>
      <c r="W40" s="87">
        <f>ROUNDUP(商品マスタ[[#This Row],[仕入単価+国内送料]]/0.85,-1)</f>
        <v>810</v>
      </c>
      <c r="X40" s="134">
        <f>商品マスタ[[#This Row],[国内定価
（15％）]]-商品マスタ[[#This Row],[仕入単価+国内送料]]</f>
        <v>122.5</v>
      </c>
      <c r="Y40" s="139">
        <v>0.08</v>
      </c>
      <c r="Z40" s="87" t="s">
        <v>289</v>
      </c>
      <c r="AA40" s="87" t="s">
        <v>290</v>
      </c>
      <c r="AB40" s="87" t="s">
        <v>291</v>
      </c>
      <c r="AC40" s="149">
        <v>4580578380194</v>
      </c>
      <c r="AD40" s="87" t="s">
        <v>300</v>
      </c>
      <c r="AE40" s="87"/>
      <c r="AF40" s="87" t="s">
        <v>174</v>
      </c>
      <c r="AG40" s="141" t="s">
        <v>297</v>
      </c>
    </row>
    <row r="41" spans="1:33" ht="18">
      <c r="A41" s="166" t="s">
        <v>1521</v>
      </c>
      <c r="B41" s="167" t="s">
        <v>1522</v>
      </c>
      <c r="C41" s="167" t="s">
        <v>286</v>
      </c>
      <c r="D41" s="143" t="str">
        <f>"PRD_SNJ_"&amp;
_xlfn.XLOOKUP(商品マスタ[[#This Row],[仕入先]],テーブル1[仕入先名],テーブル1[仕入先コード],"XXX",0,1)&amp;
"_"&amp;
商品マスタ[[#This Row],[シリアル]]&amp;
"_"&amp;
TEXT(COUNTIFS(商品マスタ!$C$3:C41,商品マスタ[[#This Row],[仕入先]],商品マスタ!$E$3:E41,商品マスタ[[#This Row],[商品名]]), "00")</f>
        <v>PRD_SNJ_SKA_0004_01</v>
      </c>
      <c r="E41" s="87" t="s">
        <v>301</v>
      </c>
      <c r="F41" s="87">
        <f>IF(COUNTIFS($C$3:C41,商品マスタ[[#This Row],[仕入先]],$E$3:E41,商品マスタ[[#This Row],[商品名]]) = 1, 1,0)</f>
        <v>1</v>
      </c>
      <c r="G41" s="133" t="str">
        <f>TEXT(SUMIF($C$3:C41,商品マスタ[[#This Row],[仕入先]],$F$3:F41), "0000")</f>
        <v>0004</v>
      </c>
      <c r="H41" s="87"/>
      <c r="I41" s="87" t="s">
        <v>288</v>
      </c>
      <c r="J41" s="87">
        <v>5</v>
      </c>
      <c r="K41" s="87"/>
      <c r="L41" s="134">
        <v>625</v>
      </c>
      <c r="M41" s="157">
        <v>45952</v>
      </c>
      <c r="N41" s="134">
        <v>900</v>
      </c>
      <c r="O41" s="135">
        <f>IF(COUNT(商品マスタ[[#This Row],[参考上代
（税込)]]) &gt; 0, (商品マスタ[[#This Row],[参考上代
（税込)]]-商品マスタ[[#This Row],[国内定価
（15％）]])/(商品マスタ[[#This Row],[参考上代
（税込)]]/1.08), "")</f>
        <v>0.10800000000000001</v>
      </c>
      <c r="P41" s="136">
        <v>0.1</v>
      </c>
      <c r="Q41" s="137">
        <f>商品マスタ[[#This Row],[仕入
単価]]*商品マスタ[[#This Row],[標準国内送料率]]</f>
        <v>62.5</v>
      </c>
      <c r="R41" s="134"/>
      <c r="S41" s="134">
        <f>IF(ISBLANK(商品マスタ[[#This Row],[実績
国内送料]]),商品マスタ[[#This Row],[標準国内送料]],)</f>
        <v>62.5</v>
      </c>
      <c r="T41" s="134">
        <f>商品マスタ[[#This Row],[仕入
単価]]+商品マスタ[[#This Row],[国内送料]]</f>
        <v>687.5</v>
      </c>
      <c r="U41" s="134">
        <f>ROUNDUP(商品マスタ[[#This Row],[仕入単価+国内送料]]/0.8,-1)</f>
        <v>860</v>
      </c>
      <c r="V41" s="134">
        <f>商品マスタ[[#This Row],[海外定価
（20％）]]-商品マスタ[[#This Row],[仕入単価+国内送料]]</f>
        <v>172.5</v>
      </c>
      <c r="W41" s="87">
        <f>ROUNDUP(商品マスタ[[#This Row],[仕入単価+国内送料]]/0.85,-1)</f>
        <v>810</v>
      </c>
      <c r="X41" s="134">
        <f>商品マスタ[[#This Row],[国内定価
（15％）]]-商品マスタ[[#This Row],[仕入単価+国内送料]]</f>
        <v>122.5</v>
      </c>
      <c r="Y41" s="139">
        <v>0.08</v>
      </c>
      <c r="Z41" s="87" t="s">
        <v>302</v>
      </c>
      <c r="AA41" s="87" t="s">
        <v>290</v>
      </c>
      <c r="AB41" s="87" t="s">
        <v>291</v>
      </c>
      <c r="AC41" s="149">
        <v>4580578380019</v>
      </c>
      <c r="AD41" s="87" t="s">
        <v>303</v>
      </c>
      <c r="AE41" s="87"/>
      <c r="AF41" s="87" t="s">
        <v>174</v>
      </c>
      <c r="AG41" s="141" t="s">
        <v>297</v>
      </c>
    </row>
    <row r="42" spans="1:33" ht="18">
      <c r="A42" s="166" t="s">
        <v>1518</v>
      </c>
      <c r="B42" s="167" t="s">
        <v>1247</v>
      </c>
      <c r="C42" s="167" t="s">
        <v>286</v>
      </c>
      <c r="D42" s="143" t="str">
        <f>"PRD_SNJ_"&amp;
_xlfn.XLOOKUP(商品マスタ[[#This Row],[仕入先]],テーブル1[仕入先名],テーブル1[仕入先コード],"XXX",0,1)&amp;
"_"&amp;
商品マスタ[[#This Row],[シリアル]]&amp;
"_"&amp;
TEXT(COUNTIFS(商品マスタ!$C$3:C42,商品マスタ[[#This Row],[仕入先]],商品マスタ!$E$3:E42,商品マスタ[[#This Row],[商品名]]), "00")</f>
        <v>PRD_SNJ_SKA_0005_01</v>
      </c>
      <c r="E42" s="87" t="s">
        <v>304</v>
      </c>
      <c r="F42" s="87">
        <f>IF(COUNTIFS($C$3:C42,商品マスタ[[#This Row],[仕入先]],$E$3:E42,商品マスタ[[#This Row],[商品名]]) = 1, 1,0)</f>
        <v>1</v>
      </c>
      <c r="G42" s="133" t="str">
        <f>TEXT(SUMIF($C$3:C42,商品マスタ[[#This Row],[仕入先]],$F$3:F42), "0000")</f>
        <v>0005</v>
      </c>
      <c r="H42" s="87"/>
      <c r="I42" s="87" t="s">
        <v>305</v>
      </c>
      <c r="J42" s="87">
        <v>5</v>
      </c>
      <c r="K42" s="87"/>
      <c r="L42" s="134">
        <v>625</v>
      </c>
      <c r="M42" s="157">
        <v>45952</v>
      </c>
      <c r="N42" s="134">
        <v>900</v>
      </c>
      <c r="O42" s="135">
        <f>IF(COUNT(商品マスタ[[#This Row],[参考上代
（税込)]]) &gt; 0, (商品マスタ[[#This Row],[参考上代
（税込)]]-商品マスタ[[#This Row],[国内定価
（15％）]])/(商品マスタ[[#This Row],[参考上代
（税込)]]/1.08), "")</f>
        <v>0.10800000000000001</v>
      </c>
      <c r="P42" s="136">
        <v>0.1</v>
      </c>
      <c r="Q42" s="137">
        <f>商品マスタ[[#This Row],[仕入
単価]]*商品マスタ[[#This Row],[標準国内送料率]]</f>
        <v>62.5</v>
      </c>
      <c r="R42" s="134"/>
      <c r="S42" s="134">
        <f>IF(ISBLANK(商品マスタ[[#This Row],[実績
国内送料]]),商品マスタ[[#This Row],[標準国内送料]],)</f>
        <v>62.5</v>
      </c>
      <c r="T42" s="134">
        <f>商品マスタ[[#This Row],[仕入
単価]]+商品マスタ[[#This Row],[国内送料]]</f>
        <v>687.5</v>
      </c>
      <c r="U42" s="134">
        <f>ROUNDUP(商品マスタ[[#This Row],[仕入単価+国内送料]]/0.8,-1)</f>
        <v>860</v>
      </c>
      <c r="V42" s="134">
        <f>商品マスタ[[#This Row],[海外定価
（20％）]]-商品マスタ[[#This Row],[仕入単価+国内送料]]</f>
        <v>172.5</v>
      </c>
      <c r="W42" s="87">
        <f>ROUNDUP(商品マスタ[[#This Row],[仕入単価+国内送料]]/0.85,-1)</f>
        <v>810</v>
      </c>
      <c r="X42" s="134">
        <f>商品マスタ[[#This Row],[国内定価
（15％）]]-商品マスタ[[#This Row],[仕入単価+国内送料]]</f>
        <v>122.5</v>
      </c>
      <c r="Y42" s="139">
        <v>0.08</v>
      </c>
      <c r="Z42" s="87" t="s">
        <v>302</v>
      </c>
      <c r="AA42" s="87" t="s">
        <v>290</v>
      </c>
      <c r="AB42" s="87" t="s">
        <v>291</v>
      </c>
      <c r="AC42" s="149">
        <v>4580578380071</v>
      </c>
      <c r="AD42" s="87" t="s">
        <v>306</v>
      </c>
      <c r="AE42" s="87"/>
      <c r="AF42" s="87" t="s">
        <v>174</v>
      </c>
      <c r="AG42" s="141" t="s">
        <v>297</v>
      </c>
    </row>
    <row r="43" spans="1:33" ht="18">
      <c r="A43" s="166" t="s">
        <v>1521</v>
      </c>
      <c r="B43" s="167" t="s">
        <v>1522</v>
      </c>
      <c r="C43" s="167" t="s">
        <v>286</v>
      </c>
      <c r="D43" s="143" t="str">
        <f>"PRD_SNJ_"&amp;
_xlfn.XLOOKUP(商品マスタ[[#This Row],[仕入先]],テーブル1[仕入先名],テーブル1[仕入先コード],"XXX",0,1)&amp;
"_"&amp;
商品マスタ[[#This Row],[シリアル]]&amp;
"_"&amp;
TEXT(COUNTIFS(商品マスタ!$C$3:C43,商品マスタ[[#This Row],[仕入先]],商品マスタ!$E$3:E43,商品マスタ[[#This Row],[商品名]]), "00")</f>
        <v>PRD_SNJ_SKA_0006_01</v>
      </c>
      <c r="E43" s="87" t="s">
        <v>307</v>
      </c>
      <c r="F43" s="87">
        <f>IF(COUNTIFS($C$3:C43,商品マスタ[[#This Row],[仕入先]],$E$3:E43,商品マスタ[[#This Row],[商品名]]) = 1, 1,0)</f>
        <v>1</v>
      </c>
      <c r="G43" s="133" t="str">
        <f>TEXT(SUMIF($C$3:C43,商品マスタ[[#This Row],[仕入先]],$F$3:F43), "0000")</f>
        <v>0006</v>
      </c>
      <c r="H43" s="87"/>
      <c r="I43" s="87" t="s">
        <v>308</v>
      </c>
      <c r="J43" s="87">
        <v>5</v>
      </c>
      <c r="K43" s="87"/>
      <c r="L43" s="134">
        <v>556</v>
      </c>
      <c r="M43" s="157">
        <v>45952</v>
      </c>
      <c r="N43" s="134">
        <v>800</v>
      </c>
      <c r="O43" s="135">
        <f>IF(COUNT(商品マスタ[[#This Row],[参考上代
（税込)]]) &gt; 0, (商品マスタ[[#This Row],[参考上代
（税込)]]-商品マスタ[[#This Row],[国内定価
（15％）]])/(商品マスタ[[#This Row],[参考上代
（税込)]]/1.08), "")</f>
        <v>0.10800000000000001</v>
      </c>
      <c r="P43" s="136">
        <v>0.1</v>
      </c>
      <c r="Q43" s="137">
        <f>商品マスタ[[#This Row],[仕入
単価]]*商品マスタ[[#This Row],[標準国内送料率]]</f>
        <v>55.6</v>
      </c>
      <c r="R43" s="134"/>
      <c r="S43" s="134">
        <f>IF(ISBLANK(商品マスタ[[#This Row],[実績
国内送料]]),商品マスタ[[#This Row],[標準国内送料]],)</f>
        <v>55.6</v>
      </c>
      <c r="T43" s="134">
        <f>商品マスタ[[#This Row],[仕入
単価]]+商品マスタ[[#This Row],[国内送料]]</f>
        <v>611.6</v>
      </c>
      <c r="U43" s="134">
        <f>ROUNDUP(商品マスタ[[#This Row],[仕入単価+国内送料]]/0.8,-1)</f>
        <v>770</v>
      </c>
      <c r="V43" s="134">
        <f>商品マスタ[[#This Row],[海外定価
（20％）]]-商品マスタ[[#This Row],[仕入単価+国内送料]]</f>
        <v>158.39999999999998</v>
      </c>
      <c r="W43" s="87">
        <f>ROUNDUP(商品マスタ[[#This Row],[仕入単価+国内送料]]/0.85,-1)</f>
        <v>720</v>
      </c>
      <c r="X43" s="134">
        <f>商品マスタ[[#This Row],[国内定価
（15％）]]-商品マスタ[[#This Row],[仕入単価+国内送料]]</f>
        <v>108.39999999999998</v>
      </c>
      <c r="Y43" s="139">
        <v>0.08</v>
      </c>
      <c r="Z43" s="87" t="s">
        <v>302</v>
      </c>
      <c r="AA43" s="87" t="s">
        <v>290</v>
      </c>
      <c r="AB43" s="87" t="s">
        <v>291</v>
      </c>
      <c r="AC43" s="149">
        <v>4580578380316</v>
      </c>
      <c r="AD43" s="87" t="s">
        <v>309</v>
      </c>
      <c r="AE43" s="87"/>
      <c r="AF43" s="87" t="s">
        <v>174</v>
      </c>
      <c r="AG43" s="141" t="s">
        <v>297</v>
      </c>
    </row>
    <row r="44" spans="1:33" ht="18">
      <c r="A44" s="166" t="s">
        <v>1521</v>
      </c>
      <c r="B44" s="167" t="s">
        <v>1522</v>
      </c>
      <c r="C44" s="167" t="s">
        <v>286</v>
      </c>
      <c r="D44" s="143" t="str">
        <f>"PRD_SNJ_"&amp;
_xlfn.XLOOKUP(商品マスタ[[#This Row],[仕入先]],テーブル1[仕入先名],テーブル1[仕入先コード],"XXX",0,1)&amp;
"_"&amp;
商品マスタ[[#This Row],[シリアル]]&amp;
"_"&amp;
TEXT(COUNTIFS(商品マスタ!$C$3:C44,商品マスタ[[#This Row],[仕入先]],商品マスタ!$E$3:E44,商品マスタ[[#This Row],[商品名]]), "00")</f>
        <v>PRD_SNJ_SKA_0007_01</v>
      </c>
      <c r="E44" s="87" t="s">
        <v>310</v>
      </c>
      <c r="F44" s="87">
        <f>IF(COUNTIFS($C$3:C44,商品マスタ[[#This Row],[仕入先]],$E$3:E44,商品マスタ[[#This Row],[商品名]]) = 1, 1,0)</f>
        <v>1</v>
      </c>
      <c r="G44" s="133" t="str">
        <f>TEXT(SUMIF($C$3:C44,商品マスタ[[#This Row],[仕入先]],$F$3:F44), "0000")</f>
        <v>0007</v>
      </c>
      <c r="H44" s="87"/>
      <c r="I44" s="87" t="s">
        <v>308</v>
      </c>
      <c r="J44" s="87">
        <v>5</v>
      </c>
      <c r="K44" s="87"/>
      <c r="L44" s="134">
        <v>625</v>
      </c>
      <c r="M44" s="157">
        <v>45952</v>
      </c>
      <c r="N44" s="134">
        <v>900</v>
      </c>
      <c r="O44" s="135">
        <f>IF(COUNT(商品マスタ[[#This Row],[参考上代
（税込)]]) &gt; 0, (商品マスタ[[#This Row],[参考上代
（税込)]]-商品マスタ[[#This Row],[国内定価
（15％）]])/(商品マスタ[[#This Row],[参考上代
（税込)]]/1.08), "")</f>
        <v>0.10800000000000001</v>
      </c>
      <c r="P44" s="136">
        <v>0.1</v>
      </c>
      <c r="Q44" s="137">
        <f>商品マスタ[[#This Row],[仕入
単価]]*商品マスタ[[#This Row],[標準国内送料率]]</f>
        <v>62.5</v>
      </c>
      <c r="R44" s="134"/>
      <c r="S44" s="134">
        <f>IF(ISBLANK(商品マスタ[[#This Row],[実績
国内送料]]),商品マスタ[[#This Row],[標準国内送料]],)</f>
        <v>62.5</v>
      </c>
      <c r="T44" s="134">
        <f>商品マスタ[[#This Row],[仕入
単価]]+商品マスタ[[#This Row],[国内送料]]</f>
        <v>687.5</v>
      </c>
      <c r="U44" s="134">
        <f>ROUNDUP(商品マスタ[[#This Row],[仕入単価+国内送料]]/0.8,-1)</f>
        <v>860</v>
      </c>
      <c r="V44" s="134">
        <f>商品マスタ[[#This Row],[海外定価
（20％）]]-商品マスタ[[#This Row],[仕入単価+国内送料]]</f>
        <v>172.5</v>
      </c>
      <c r="W44" s="87">
        <f>ROUNDUP(商品マスタ[[#This Row],[仕入単価+国内送料]]/0.85,-1)</f>
        <v>810</v>
      </c>
      <c r="X44" s="134">
        <f>商品マスタ[[#This Row],[国内定価
（15％）]]-商品マスタ[[#This Row],[仕入単価+国内送料]]</f>
        <v>122.5</v>
      </c>
      <c r="Y44" s="139">
        <v>0.08</v>
      </c>
      <c r="Z44" s="87" t="s">
        <v>302</v>
      </c>
      <c r="AA44" s="87" t="s">
        <v>290</v>
      </c>
      <c r="AB44" s="87" t="s">
        <v>291</v>
      </c>
      <c r="AC44" s="149">
        <v>4580578380323</v>
      </c>
      <c r="AD44" s="87" t="s">
        <v>311</v>
      </c>
      <c r="AE44" s="87"/>
      <c r="AF44" s="87" t="s">
        <v>174</v>
      </c>
      <c r="AG44" s="141" t="s">
        <v>297</v>
      </c>
    </row>
    <row r="45" spans="1:33" ht="18">
      <c r="A45" s="166" t="s">
        <v>1521</v>
      </c>
      <c r="B45" s="167" t="s">
        <v>1522</v>
      </c>
      <c r="C45" s="167" t="s">
        <v>286</v>
      </c>
      <c r="D45" s="143" t="str">
        <f>"PRD_SNJ_"&amp;
_xlfn.XLOOKUP(商品マスタ[[#This Row],[仕入先]],テーブル1[仕入先名],テーブル1[仕入先コード],"XXX",0,1)&amp;
"_"&amp;
商品マスタ[[#This Row],[シリアル]]&amp;
"_"&amp;
TEXT(COUNTIFS(商品マスタ!$C$3:C45,商品マスタ[[#This Row],[仕入先]],商品マスタ!$E$3:E45,商品マスタ[[#This Row],[商品名]]), "00")</f>
        <v>PRD_SNJ_SKA_0008_01</v>
      </c>
      <c r="E45" s="87" t="s">
        <v>312</v>
      </c>
      <c r="F45" s="87">
        <f>IF(COUNTIFS($C$3:C45,商品マスタ[[#This Row],[仕入先]],$E$3:E45,商品マスタ[[#This Row],[商品名]]) = 1, 1,0)</f>
        <v>1</v>
      </c>
      <c r="G45" s="133" t="str">
        <f>TEXT(SUMIF($C$3:C45,商品マスタ[[#This Row],[仕入先]],$F$3:F45), "0000")</f>
        <v>0008</v>
      </c>
      <c r="H45" s="87"/>
      <c r="I45" s="87" t="s">
        <v>313</v>
      </c>
      <c r="J45" s="87">
        <v>5</v>
      </c>
      <c r="K45" s="87"/>
      <c r="L45" s="134">
        <v>625</v>
      </c>
      <c r="M45" s="157">
        <v>45952</v>
      </c>
      <c r="N45" s="134">
        <v>900</v>
      </c>
      <c r="O45" s="135">
        <f>IF(COUNT(商品マスタ[[#This Row],[参考上代
（税込)]]) &gt; 0, (商品マスタ[[#This Row],[参考上代
（税込)]]-商品マスタ[[#This Row],[国内定価
（15％）]])/(商品マスタ[[#This Row],[参考上代
（税込)]]/1.08), "")</f>
        <v>0.10800000000000001</v>
      </c>
      <c r="P45" s="136">
        <v>0.1</v>
      </c>
      <c r="Q45" s="137">
        <f>商品マスタ[[#This Row],[仕入
単価]]*商品マスタ[[#This Row],[標準国内送料率]]</f>
        <v>62.5</v>
      </c>
      <c r="R45" s="134"/>
      <c r="S45" s="134">
        <f>IF(ISBLANK(商品マスタ[[#This Row],[実績
国内送料]]),商品マスタ[[#This Row],[標準国内送料]],)</f>
        <v>62.5</v>
      </c>
      <c r="T45" s="134">
        <f>商品マスタ[[#This Row],[仕入
単価]]+商品マスタ[[#This Row],[国内送料]]</f>
        <v>687.5</v>
      </c>
      <c r="U45" s="134">
        <f>ROUNDUP(商品マスタ[[#This Row],[仕入単価+国内送料]]/0.8,-1)</f>
        <v>860</v>
      </c>
      <c r="V45" s="134">
        <f>商品マスタ[[#This Row],[海外定価
（20％）]]-商品マスタ[[#This Row],[仕入単価+国内送料]]</f>
        <v>172.5</v>
      </c>
      <c r="W45" s="87">
        <f>ROUNDUP(商品マスタ[[#This Row],[仕入単価+国内送料]]/0.85,-1)</f>
        <v>810</v>
      </c>
      <c r="X45" s="134">
        <f>商品マスタ[[#This Row],[国内定価
（15％）]]-商品マスタ[[#This Row],[仕入単価+国内送料]]</f>
        <v>122.5</v>
      </c>
      <c r="Y45" s="139">
        <v>0.08</v>
      </c>
      <c r="Z45" s="87" t="s">
        <v>302</v>
      </c>
      <c r="AA45" s="87" t="s">
        <v>290</v>
      </c>
      <c r="AB45" s="87" t="s">
        <v>291</v>
      </c>
      <c r="AC45" s="149">
        <v>4580578380330</v>
      </c>
      <c r="AD45" s="87" t="s">
        <v>314</v>
      </c>
      <c r="AE45" s="87"/>
      <c r="AF45" s="87" t="s">
        <v>174</v>
      </c>
      <c r="AG45" s="141" t="s">
        <v>297</v>
      </c>
    </row>
    <row r="46" spans="1:33" ht="18">
      <c r="A46" s="166" t="s">
        <v>1521</v>
      </c>
      <c r="B46" s="167" t="s">
        <v>1522</v>
      </c>
      <c r="C46" s="167" t="s">
        <v>286</v>
      </c>
      <c r="D46" s="143" t="str">
        <f>"PRD_SNJ_"&amp;
_xlfn.XLOOKUP(商品マスタ[[#This Row],[仕入先]],テーブル1[仕入先名],テーブル1[仕入先コード],"XXX",0,1)&amp;
"_"&amp;
商品マスタ[[#This Row],[シリアル]]&amp;
"_"&amp;
TEXT(COUNTIFS(商品マスタ!$C$3:C46,商品マスタ[[#This Row],[仕入先]],商品マスタ!$E$3:E46,商品マスタ[[#This Row],[商品名]]), "00")</f>
        <v>PRD_SNJ_SKA_0009_01</v>
      </c>
      <c r="E46" s="87" t="s">
        <v>315</v>
      </c>
      <c r="F46" s="87">
        <f>IF(COUNTIFS($C$3:C46,商品マスタ[[#This Row],[仕入先]],$E$3:E46,商品マスタ[[#This Row],[商品名]]) = 1, 1,0)</f>
        <v>1</v>
      </c>
      <c r="G46" s="133" t="str">
        <f>TEXT(SUMIF($C$3:C46,商品マスタ[[#This Row],[仕入先]],$F$3:F46), "0000")</f>
        <v>0009</v>
      </c>
      <c r="H46" s="87"/>
      <c r="I46" s="87" t="s">
        <v>316</v>
      </c>
      <c r="J46" s="87">
        <v>5</v>
      </c>
      <c r="K46" s="87"/>
      <c r="L46" s="134">
        <v>750</v>
      </c>
      <c r="M46" s="157">
        <v>45952</v>
      </c>
      <c r="N46" s="134">
        <v>1080</v>
      </c>
      <c r="O46" s="135">
        <f>IF(COUNT(商品マスタ[[#This Row],[参考上代
（税込)]]) &gt; 0, (商品マスタ[[#This Row],[参考上代
（税込)]]-商品マスタ[[#This Row],[国内定価
（15％）]])/(商品マスタ[[#This Row],[参考上代
（税込)]]/1.08), "")</f>
        <v>0.1</v>
      </c>
      <c r="P46" s="136">
        <v>0.1</v>
      </c>
      <c r="Q46" s="137">
        <f>商品マスタ[[#This Row],[仕入
単価]]*商品マスタ[[#This Row],[標準国内送料率]]</f>
        <v>75</v>
      </c>
      <c r="R46" s="134"/>
      <c r="S46" s="134">
        <f>IF(ISBLANK(商品マスタ[[#This Row],[実績
国内送料]]),商品マスタ[[#This Row],[標準国内送料]],)</f>
        <v>75</v>
      </c>
      <c r="T46" s="134">
        <f>商品マスタ[[#This Row],[仕入
単価]]+商品マスタ[[#This Row],[国内送料]]</f>
        <v>825</v>
      </c>
      <c r="U46" s="134">
        <f>ROUNDUP(商品マスタ[[#This Row],[仕入単価+国内送料]]/0.8,-1)</f>
        <v>1040</v>
      </c>
      <c r="V46" s="134">
        <f>商品マスタ[[#This Row],[海外定価
（20％）]]-商品マスタ[[#This Row],[仕入単価+国内送料]]</f>
        <v>215</v>
      </c>
      <c r="W46" s="87">
        <f>ROUNDUP(商品マスタ[[#This Row],[仕入単価+国内送料]]/0.85,-1)</f>
        <v>980</v>
      </c>
      <c r="X46" s="134">
        <f>商品マスタ[[#This Row],[国内定価
（15％）]]-商品マスタ[[#This Row],[仕入単価+国内送料]]</f>
        <v>155</v>
      </c>
      <c r="Y46" s="139">
        <v>0.08</v>
      </c>
      <c r="Z46" s="87" t="s">
        <v>302</v>
      </c>
      <c r="AA46" s="87" t="s">
        <v>290</v>
      </c>
      <c r="AB46" s="87" t="s">
        <v>291</v>
      </c>
      <c r="AC46" s="149">
        <v>4580578380200</v>
      </c>
      <c r="AD46" s="87" t="s">
        <v>317</v>
      </c>
      <c r="AE46" s="87"/>
      <c r="AF46" s="87" t="s">
        <v>174</v>
      </c>
      <c r="AG46" s="141" t="s">
        <v>297</v>
      </c>
    </row>
    <row r="47" spans="1:33" ht="18">
      <c r="A47" s="166" t="s">
        <v>1523</v>
      </c>
      <c r="B47" s="167" t="s">
        <v>1231</v>
      </c>
      <c r="C47" s="167" t="s">
        <v>286</v>
      </c>
      <c r="D47" s="143" t="str">
        <f>"PRD_SNJ_"&amp;
_xlfn.XLOOKUP(商品マスタ[[#This Row],[仕入先]],テーブル1[仕入先名],テーブル1[仕入先コード],"XXX",0,1)&amp;
"_"&amp;
商品マスタ[[#This Row],[シリアル]]&amp;
"_"&amp;
TEXT(COUNTIFS(商品マスタ!$C$3:C47,商品マスタ[[#This Row],[仕入先]],商品マスタ!$E$3:E47,商品マスタ[[#This Row],[商品名]]), "00")</f>
        <v>PRD_SNJ_SKA_0010_01</v>
      </c>
      <c r="E47" s="87" t="s">
        <v>318</v>
      </c>
      <c r="F47" s="87">
        <f>IF(COUNTIFS($C$3:C47,商品マスタ[[#This Row],[仕入先]],$E$3:E47,商品マスタ[[#This Row],[商品名]]) = 1, 1,0)</f>
        <v>1</v>
      </c>
      <c r="G47" s="133" t="str">
        <f>TEXT(SUMIF($C$3:C47,商品マスタ[[#This Row],[仕入先]],$F$3:F47), "0000")</f>
        <v>0010</v>
      </c>
      <c r="H47" s="87"/>
      <c r="I47" s="87" t="s">
        <v>319</v>
      </c>
      <c r="J47" s="87">
        <v>5</v>
      </c>
      <c r="K47" s="87"/>
      <c r="L47" s="134">
        <v>833</v>
      </c>
      <c r="M47" s="157">
        <v>45952</v>
      </c>
      <c r="N47" s="134">
        <v>1200</v>
      </c>
      <c r="O47" s="135">
        <f>IF(COUNT(商品マスタ[[#This Row],[参考上代
（税込)]]) &gt; 0, (商品マスタ[[#This Row],[参考上代
（税込)]]-商品マスタ[[#This Row],[国内定価
（15％）]])/(商品マスタ[[#This Row],[参考上代
（税込)]]/1.08), "")</f>
        <v>0.108</v>
      </c>
      <c r="P47" s="136">
        <v>0.1</v>
      </c>
      <c r="Q47" s="137">
        <f>商品マスタ[[#This Row],[仕入
単価]]*商品マスタ[[#This Row],[標準国内送料率]]</f>
        <v>83.300000000000011</v>
      </c>
      <c r="R47" s="134"/>
      <c r="S47" s="134">
        <f>IF(ISBLANK(商品マスタ[[#This Row],[実績
国内送料]]),商品マスタ[[#This Row],[標準国内送料]],)</f>
        <v>83.300000000000011</v>
      </c>
      <c r="T47" s="134">
        <f>商品マスタ[[#This Row],[仕入
単価]]+商品マスタ[[#This Row],[国内送料]]</f>
        <v>916.3</v>
      </c>
      <c r="U47" s="134">
        <f>ROUNDUP(商品マスタ[[#This Row],[仕入単価+国内送料]]/0.8,-1)</f>
        <v>1150</v>
      </c>
      <c r="V47" s="134">
        <f>商品マスタ[[#This Row],[海外定価
（20％）]]-商品マスタ[[#This Row],[仕入単価+国内送料]]</f>
        <v>233.70000000000005</v>
      </c>
      <c r="W47" s="87">
        <f>ROUNDUP(商品マスタ[[#This Row],[仕入単価+国内送料]]/0.85,-1)</f>
        <v>1080</v>
      </c>
      <c r="X47" s="134">
        <f>商品マスタ[[#This Row],[国内定価
（15％）]]-商品マスタ[[#This Row],[仕入単価+国内送料]]</f>
        <v>163.70000000000005</v>
      </c>
      <c r="Y47" s="139">
        <v>0.08</v>
      </c>
      <c r="Z47" s="87" t="s">
        <v>302</v>
      </c>
      <c r="AA47" s="87" t="s">
        <v>290</v>
      </c>
      <c r="AB47" s="87" t="s">
        <v>291</v>
      </c>
      <c r="AC47" s="149">
        <v>4580578380064</v>
      </c>
      <c r="AD47" s="87" t="s">
        <v>320</v>
      </c>
      <c r="AE47" s="87"/>
      <c r="AF47" s="87" t="s">
        <v>174</v>
      </c>
      <c r="AG47" s="141" t="s">
        <v>297</v>
      </c>
    </row>
    <row r="48" spans="1:33" ht="18">
      <c r="A48" s="166" t="s">
        <v>1521</v>
      </c>
      <c r="B48" s="167" t="s">
        <v>1522</v>
      </c>
      <c r="C48" s="167" t="s">
        <v>286</v>
      </c>
      <c r="D48" s="143" t="str">
        <f>"PRD_SNJ_"&amp;
_xlfn.XLOOKUP(商品マスタ[[#This Row],[仕入先]],テーブル1[仕入先名],テーブル1[仕入先コード],"XXX",0,1)&amp;
"_"&amp;
商品マスタ[[#This Row],[シリアル]]&amp;
"_"&amp;
TEXT(COUNTIFS(商品マスタ!$C$3:C48,商品マスタ[[#This Row],[仕入先]],商品マスタ!$E$3:E48,商品マスタ[[#This Row],[商品名]]), "00")</f>
        <v>PRD_SNJ_SKA_0011_01</v>
      </c>
      <c r="E48" s="87" t="s">
        <v>321</v>
      </c>
      <c r="F48" s="87">
        <f>IF(COUNTIFS($C$3:C48,商品マスタ[[#This Row],[仕入先]],$E$3:E48,商品マスタ[[#This Row],[商品名]]) = 1, 1,0)</f>
        <v>1</v>
      </c>
      <c r="G48" s="133" t="str">
        <f>TEXT(SUMIF($C$3:C48,商品マスタ[[#This Row],[仕入先]],$F$3:F48), "0000")</f>
        <v>0011</v>
      </c>
      <c r="H48" s="87"/>
      <c r="I48" s="87" t="s">
        <v>319</v>
      </c>
      <c r="J48" s="87">
        <v>5</v>
      </c>
      <c r="K48" s="87"/>
      <c r="L48" s="134">
        <v>625</v>
      </c>
      <c r="M48" s="157">
        <v>45952</v>
      </c>
      <c r="N48" s="134">
        <v>900</v>
      </c>
      <c r="O48" s="135">
        <f>IF(COUNT(商品マスタ[[#This Row],[参考上代
（税込)]]) &gt; 0, (商品マスタ[[#This Row],[参考上代
（税込)]]-商品マスタ[[#This Row],[国内定価
（15％）]])/(商品マスタ[[#This Row],[参考上代
（税込)]]/1.08), "")</f>
        <v>0.10800000000000001</v>
      </c>
      <c r="P48" s="136">
        <v>0.1</v>
      </c>
      <c r="Q48" s="137">
        <f>商品マスタ[[#This Row],[仕入
単価]]*商品マスタ[[#This Row],[標準国内送料率]]</f>
        <v>62.5</v>
      </c>
      <c r="R48" s="134"/>
      <c r="S48" s="134">
        <f>IF(ISBLANK(商品マスタ[[#This Row],[実績
国内送料]]),商品マスタ[[#This Row],[標準国内送料]],)</f>
        <v>62.5</v>
      </c>
      <c r="T48" s="134">
        <f>商品マスタ[[#This Row],[仕入
単価]]+商品マスタ[[#This Row],[国内送料]]</f>
        <v>687.5</v>
      </c>
      <c r="U48" s="134">
        <f>ROUNDUP(商品マスタ[[#This Row],[仕入単価+国内送料]]/0.8,-1)</f>
        <v>860</v>
      </c>
      <c r="V48" s="134">
        <f>商品マスタ[[#This Row],[海外定価
（20％）]]-商品マスタ[[#This Row],[仕入単価+国内送料]]</f>
        <v>172.5</v>
      </c>
      <c r="W48" s="87">
        <f>ROUNDUP(商品マスタ[[#This Row],[仕入単価+国内送料]]/0.85,-1)</f>
        <v>810</v>
      </c>
      <c r="X48" s="134">
        <f>商品マスタ[[#This Row],[国内定価
（15％）]]-商品マスタ[[#This Row],[仕入単価+国内送料]]</f>
        <v>122.5</v>
      </c>
      <c r="Y48" s="139">
        <v>0.08</v>
      </c>
      <c r="Z48" s="87" t="s">
        <v>322</v>
      </c>
      <c r="AA48" s="87" t="s">
        <v>290</v>
      </c>
      <c r="AB48" s="87" t="s">
        <v>291</v>
      </c>
      <c r="AC48" s="149">
        <v>4580578380088</v>
      </c>
      <c r="AD48" s="87" t="s">
        <v>323</v>
      </c>
      <c r="AE48" s="87"/>
      <c r="AF48" s="87" t="s">
        <v>174</v>
      </c>
      <c r="AG48" s="141" t="s">
        <v>297</v>
      </c>
    </row>
    <row r="49" spans="1:33" ht="18">
      <c r="A49" s="166" t="s">
        <v>1520</v>
      </c>
      <c r="B49" s="167" t="s">
        <v>1224</v>
      </c>
      <c r="C49" s="167" t="s">
        <v>286</v>
      </c>
      <c r="D49" s="143" t="str">
        <f>"PRD_SNJ_"&amp;
_xlfn.XLOOKUP(商品マスタ[[#This Row],[仕入先]],テーブル1[仕入先名],テーブル1[仕入先コード],"XXX",0,1)&amp;
"_"&amp;
商品マスタ[[#This Row],[シリアル]]&amp;
"_"&amp;
TEXT(COUNTIFS(商品マスタ!$C$3:C49,商品マスタ[[#This Row],[仕入先]],商品マスタ!$E$3:E49,商品マスタ[[#This Row],[商品名]]), "00")</f>
        <v>PRD_SNJ_SKA_0012_01</v>
      </c>
      <c r="E49" s="87" t="s">
        <v>324</v>
      </c>
      <c r="F49" s="87">
        <f>IF(COUNTIFS($C$3:C49,商品マスタ[[#This Row],[仕入先]],$E$3:E49,商品マスタ[[#This Row],[商品名]]) = 1, 1,0)</f>
        <v>1</v>
      </c>
      <c r="G49" s="133" t="str">
        <f>TEXT(SUMIF($C$3:C49,商品マスタ[[#This Row],[仕入先]],$F$3:F49), "0000")</f>
        <v>0012</v>
      </c>
      <c r="H49" s="87"/>
      <c r="I49" s="87" t="s">
        <v>316</v>
      </c>
      <c r="J49" s="87">
        <v>5</v>
      </c>
      <c r="K49" s="87"/>
      <c r="L49" s="134">
        <v>1458</v>
      </c>
      <c r="M49" s="157">
        <v>45952</v>
      </c>
      <c r="N49" s="134">
        <v>2100</v>
      </c>
      <c r="O49" s="135">
        <f>IF(COUNT(商品マスタ[[#This Row],[参考上代
（税込)]]) &gt; 0, (商品マスタ[[#This Row],[参考上代
（税込)]]-商品マスタ[[#This Row],[国内定価
（15％）]])/(商品マスタ[[#This Row],[参考上代
（税込)]]/1.08), "")</f>
        <v>0.108</v>
      </c>
      <c r="P49" s="136">
        <v>0.1</v>
      </c>
      <c r="Q49" s="137">
        <f>商品マスタ[[#This Row],[仕入
単価]]*商品マスタ[[#This Row],[標準国内送料率]]</f>
        <v>145.80000000000001</v>
      </c>
      <c r="R49" s="134"/>
      <c r="S49" s="134">
        <f>IF(ISBLANK(商品マスタ[[#This Row],[実績
国内送料]]),商品マスタ[[#This Row],[標準国内送料]],)</f>
        <v>145.80000000000001</v>
      </c>
      <c r="T49" s="134">
        <f>商品マスタ[[#This Row],[仕入
単価]]+商品マスタ[[#This Row],[国内送料]]</f>
        <v>1603.8</v>
      </c>
      <c r="U49" s="134">
        <f>ROUNDUP(商品マスタ[[#This Row],[仕入単価+国内送料]]/0.8,-1)</f>
        <v>2010</v>
      </c>
      <c r="V49" s="134">
        <f>商品マスタ[[#This Row],[海外定価
（20％）]]-商品マスタ[[#This Row],[仕入単価+国内送料]]</f>
        <v>406.20000000000005</v>
      </c>
      <c r="W49" s="87">
        <f>ROUNDUP(商品マスタ[[#This Row],[仕入単価+国内送料]]/0.85,-1)</f>
        <v>1890</v>
      </c>
      <c r="X49" s="134">
        <f>商品マスタ[[#This Row],[国内定価
（15％）]]-商品マスタ[[#This Row],[仕入単価+国内送料]]</f>
        <v>286.20000000000005</v>
      </c>
      <c r="Y49" s="139">
        <v>0.08</v>
      </c>
      <c r="Z49" s="87" t="s">
        <v>325</v>
      </c>
      <c r="AA49" s="87" t="s">
        <v>290</v>
      </c>
      <c r="AB49" s="87" t="s">
        <v>291</v>
      </c>
      <c r="AC49" s="149">
        <v>4580578380163</v>
      </c>
      <c r="AD49" s="87" t="s">
        <v>326</v>
      </c>
      <c r="AE49" s="87"/>
      <c r="AF49" s="87" t="s">
        <v>174</v>
      </c>
      <c r="AG49" s="141" t="s">
        <v>327</v>
      </c>
    </row>
    <row r="50" spans="1:33" ht="18">
      <c r="A50" s="166" t="s">
        <v>1518</v>
      </c>
      <c r="B50" s="167" t="s">
        <v>1247</v>
      </c>
      <c r="C50" s="167" t="s">
        <v>286</v>
      </c>
      <c r="D50" s="143" t="str">
        <f>"PRD_SNJ_"&amp;
_xlfn.XLOOKUP(商品マスタ[[#This Row],[仕入先]],テーブル1[仕入先名],テーブル1[仕入先コード],"XXX",0,1)&amp;
"_"&amp;
商品マスタ[[#This Row],[シリアル]]&amp;
"_"&amp;
TEXT(COUNTIFS(商品マスタ!$C$3:C50,商品マスタ[[#This Row],[仕入先]],商品マスタ!$E$3:E50,商品マスタ[[#This Row],[商品名]]), "00")</f>
        <v>PRD_SNJ_SKA_0013_01</v>
      </c>
      <c r="E50" s="87" t="s">
        <v>328</v>
      </c>
      <c r="F50" s="87">
        <f>IF(COUNTIFS($C$3:C50,商品マスタ[[#This Row],[仕入先]],$E$3:E50,商品マスタ[[#This Row],[商品名]]) = 1, 1,0)</f>
        <v>1</v>
      </c>
      <c r="G50" s="133" t="str">
        <f>TEXT(SUMIF($C$3:C50,商品マスタ[[#This Row],[仕入先]],$F$3:F50), "0000")</f>
        <v>0013</v>
      </c>
      <c r="H50" s="87"/>
      <c r="I50" s="87" t="s">
        <v>316</v>
      </c>
      <c r="J50" s="87">
        <v>5</v>
      </c>
      <c r="K50" s="87"/>
      <c r="L50" s="134">
        <v>1458</v>
      </c>
      <c r="M50" s="157">
        <v>45952</v>
      </c>
      <c r="N50" s="134">
        <v>2100</v>
      </c>
      <c r="O50" s="135">
        <f>IF(COUNT(商品マスタ[[#This Row],[参考上代
（税込)]]) &gt; 0, (商品マスタ[[#This Row],[参考上代
（税込)]]-商品マスタ[[#This Row],[国内定価
（15％）]])/(商品マスタ[[#This Row],[参考上代
（税込)]]/1.08), "")</f>
        <v>0.108</v>
      </c>
      <c r="P50" s="136">
        <v>0.1</v>
      </c>
      <c r="Q50" s="137">
        <f>商品マスタ[[#This Row],[仕入
単価]]*商品マスタ[[#This Row],[標準国内送料率]]</f>
        <v>145.80000000000001</v>
      </c>
      <c r="R50" s="134"/>
      <c r="S50" s="134">
        <f>IF(ISBLANK(商品マスタ[[#This Row],[実績
国内送料]]),商品マスタ[[#This Row],[標準国内送料]],)</f>
        <v>145.80000000000001</v>
      </c>
      <c r="T50" s="134">
        <f>商品マスタ[[#This Row],[仕入
単価]]+商品マスタ[[#This Row],[国内送料]]</f>
        <v>1603.8</v>
      </c>
      <c r="U50" s="134">
        <f>ROUNDUP(商品マスタ[[#This Row],[仕入単価+国内送料]]/0.8,-1)</f>
        <v>2010</v>
      </c>
      <c r="V50" s="134">
        <f>商品マスタ[[#This Row],[海外定価
（20％）]]-商品マスタ[[#This Row],[仕入単価+国内送料]]</f>
        <v>406.20000000000005</v>
      </c>
      <c r="W50" s="87">
        <f>ROUNDUP(商品マスタ[[#This Row],[仕入単価+国内送料]]/0.85,-1)</f>
        <v>1890</v>
      </c>
      <c r="X50" s="134">
        <f>商品マスタ[[#This Row],[国内定価
（15％）]]-商品マスタ[[#This Row],[仕入単価+国内送料]]</f>
        <v>286.20000000000005</v>
      </c>
      <c r="Y50" s="139">
        <v>0.08</v>
      </c>
      <c r="Z50" s="87" t="s">
        <v>325</v>
      </c>
      <c r="AA50" s="87" t="s">
        <v>290</v>
      </c>
      <c r="AB50" s="87" t="s">
        <v>291</v>
      </c>
      <c r="AC50" s="149">
        <v>4580578380170</v>
      </c>
      <c r="AD50" s="87" t="s">
        <v>329</v>
      </c>
      <c r="AE50" s="87"/>
      <c r="AF50" s="87" t="s">
        <v>174</v>
      </c>
      <c r="AG50" s="141" t="s">
        <v>327</v>
      </c>
    </row>
    <row r="51" spans="1:33" ht="18">
      <c r="A51" s="166" t="s">
        <v>1521</v>
      </c>
      <c r="B51" s="167" t="s">
        <v>1522</v>
      </c>
      <c r="C51" s="167" t="s">
        <v>286</v>
      </c>
      <c r="D51" s="143" t="str">
        <f>"PRD_SNJ_"&amp;
_xlfn.XLOOKUP(商品マスタ[[#This Row],[仕入先]],テーブル1[仕入先名],テーブル1[仕入先コード],"XXX",0,1)&amp;
"_"&amp;
商品マスタ[[#This Row],[シリアル]]&amp;
"_"&amp;
TEXT(COUNTIFS(商品マスタ!$C$3:C51,商品マスタ[[#This Row],[仕入先]],商品マスタ!$E$3:E51,商品マスタ[[#This Row],[商品名]]), "00")</f>
        <v>PRD_SNJ_SKA_0014_01</v>
      </c>
      <c r="E51" s="87" t="s">
        <v>330</v>
      </c>
      <c r="F51" s="87">
        <f>IF(COUNTIFS($C$3:C51,商品マスタ[[#This Row],[仕入先]],$E$3:E51,商品マスタ[[#This Row],[商品名]]) = 1, 1,0)</f>
        <v>1</v>
      </c>
      <c r="G51" s="133" t="str">
        <f>TEXT(SUMIF($C$3:C51,商品マスタ[[#This Row],[仕入先]],$F$3:F51), "0000")</f>
        <v>0014</v>
      </c>
      <c r="H51" s="87"/>
      <c r="I51" s="87" t="s">
        <v>316</v>
      </c>
      <c r="J51" s="87">
        <v>5</v>
      </c>
      <c r="K51" s="87"/>
      <c r="L51" s="134">
        <v>1458</v>
      </c>
      <c r="M51" s="157">
        <v>45952</v>
      </c>
      <c r="N51" s="134">
        <v>2100</v>
      </c>
      <c r="O51" s="135">
        <f>IF(COUNT(商品マスタ[[#This Row],[参考上代
（税込)]]) &gt; 0, (商品マスタ[[#This Row],[参考上代
（税込)]]-商品マスタ[[#This Row],[国内定価
（15％）]])/(商品マスタ[[#This Row],[参考上代
（税込)]]/1.08), "")</f>
        <v>0.108</v>
      </c>
      <c r="P51" s="136">
        <v>0.1</v>
      </c>
      <c r="Q51" s="137">
        <f>商品マスタ[[#This Row],[仕入
単価]]*商品マスタ[[#This Row],[標準国内送料率]]</f>
        <v>145.80000000000001</v>
      </c>
      <c r="R51" s="134"/>
      <c r="S51" s="134">
        <f>IF(ISBLANK(商品マスタ[[#This Row],[実績
国内送料]]),商品マスタ[[#This Row],[標準国内送料]],)</f>
        <v>145.80000000000001</v>
      </c>
      <c r="T51" s="134">
        <f>商品マスタ[[#This Row],[仕入
単価]]+商品マスタ[[#This Row],[国内送料]]</f>
        <v>1603.8</v>
      </c>
      <c r="U51" s="134">
        <f>ROUNDUP(商品マスタ[[#This Row],[仕入単価+国内送料]]/0.8,-1)</f>
        <v>2010</v>
      </c>
      <c r="V51" s="134">
        <f>商品マスタ[[#This Row],[海外定価
（20％）]]-商品マスタ[[#This Row],[仕入単価+国内送料]]</f>
        <v>406.20000000000005</v>
      </c>
      <c r="W51" s="87">
        <f>ROUNDUP(商品マスタ[[#This Row],[仕入単価+国内送料]]/0.85,-1)</f>
        <v>1890</v>
      </c>
      <c r="X51" s="134">
        <f>商品マスタ[[#This Row],[国内定価
（15％）]]-商品マスタ[[#This Row],[仕入単価+国内送料]]</f>
        <v>286.20000000000005</v>
      </c>
      <c r="Y51" s="139">
        <v>0.08</v>
      </c>
      <c r="Z51" s="87" t="s">
        <v>325</v>
      </c>
      <c r="AA51" s="87" t="s">
        <v>290</v>
      </c>
      <c r="AB51" s="87" t="s">
        <v>291</v>
      </c>
      <c r="AC51" s="149">
        <v>4580578380187</v>
      </c>
      <c r="AD51" s="87" t="s">
        <v>331</v>
      </c>
      <c r="AE51" s="87"/>
      <c r="AF51" s="87" t="s">
        <v>174</v>
      </c>
      <c r="AG51" s="141" t="s">
        <v>327</v>
      </c>
    </row>
    <row r="52" spans="1:33" ht="18">
      <c r="A52" s="166" t="s">
        <v>1518</v>
      </c>
      <c r="B52" s="167" t="s">
        <v>1248</v>
      </c>
      <c r="C52" s="167" t="s">
        <v>332</v>
      </c>
      <c r="D52" s="143" t="str">
        <f>"PRD_SNJ_"&amp;
_xlfn.XLOOKUP(商品マスタ[[#This Row],[仕入先]],テーブル1[仕入先名],テーブル1[仕入先コード],"XXX",0,1)&amp;
"_"&amp;
商品マスタ[[#This Row],[シリアル]]&amp;
"_"&amp;
TEXT(COUNTIFS(商品マスタ!$C$3:C52,商品マスタ[[#This Row],[仕入先]],商品マスタ!$E$3:E52,商品マスタ[[#This Row],[商品名]]), "00")</f>
        <v>PRD_SNJ_FSS_0001_01</v>
      </c>
      <c r="E52" s="87" t="s">
        <v>333</v>
      </c>
      <c r="F52" s="87">
        <f>IF(COUNTIFS($C$3:C52,商品マスタ[[#This Row],[仕入先]],$E$3:E52,商品マスタ[[#This Row],[商品名]]) = 1, 1,0)</f>
        <v>1</v>
      </c>
      <c r="G52" s="133" t="str">
        <f>TEXT(SUMIF($C$3:C52,商品マスタ[[#This Row],[仕入先]],$F$3:F52), "0000")</f>
        <v>0001</v>
      </c>
      <c r="H52" s="87"/>
      <c r="I52" s="87" t="s">
        <v>334</v>
      </c>
      <c r="J52" s="87">
        <v>15</v>
      </c>
      <c r="K52" s="87"/>
      <c r="L52" s="134">
        <v>600</v>
      </c>
      <c r="M52" s="157">
        <v>45953</v>
      </c>
      <c r="N52" s="134">
        <v>980</v>
      </c>
      <c r="O52" s="135">
        <f>IF(COUNT(商品マスタ[[#This Row],[参考上代
（税込)]]) &gt; 0, (商品マスタ[[#This Row],[参考上代
（税込)]]-商品マスタ[[#This Row],[国内定価
（15％）]])/(商品マスタ[[#This Row],[参考上代
（税込)]]/1.08), "")</f>
        <v>0.29755102040816328</v>
      </c>
      <c r="P52" s="136">
        <v>0.1</v>
      </c>
      <c r="Q52" s="137">
        <f>商品マスタ[[#This Row],[仕入
単価]]*商品マスタ[[#This Row],[標準国内送料率]]</f>
        <v>60</v>
      </c>
      <c r="R52" s="134">
        <v>1500</v>
      </c>
      <c r="S52" s="134">
        <f>IF(ISBLANK(商品マスタ[[#This Row],[実績
国内送料]]),商品マスタ[[#This Row],[標準国内送料]],)</f>
        <v>0</v>
      </c>
      <c r="T52" s="134">
        <f>商品マスタ[[#This Row],[仕入
単価]]+商品マスタ[[#This Row],[国内送料]]</f>
        <v>600</v>
      </c>
      <c r="U52" s="134">
        <f>ROUNDUP(商品マスタ[[#This Row],[仕入単価+国内送料]]/0.8,-1)</f>
        <v>750</v>
      </c>
      <c r="V52" s="134">
        <f>商品マスタ[[#This Row],[海外定価
（20％）]]-商品マスタ[[#This Row],[仕入単価+国内送料]]</f>
        <v>150</v>
      </c>
      <c r="W52" s="87">
        <f>ROUNDUP(商品マスタ[[#This Row],[仕入単価+国内送料]]/0.85,-1)</f>
        <v>710</v>
      </c>
      <c r="X52" s="134">
        <f>商品マスタ[[#This Row],[国内定価
（15％）]]-商品マスタ[[#This Row],[仕入単価+国内送料]]</f>
        <v>110</v>
      </c>
      <c r="Y52" s="87"/>
      <c r="Z52" s="87" t="s">
        <v>335</v>
      </c>
      <c r="AA52" s="87" t="s">
        <v>263</v>
      </c>
      <c r="AB52" s="87" t="s">
        <v>291</v>
      </c>
      <c r="AC52" s="140">
        <v>4901944000087</v>
      </c>
      <c r="AD52" s="87" t="s">
        <v>336</v>
      </c>
      <c r="AE52" s="87"/>
      <c r="AF52" s="87" t="s">
        <v>174</v>
      </c>
      <c r="AG52" s="141"/>
    </row>
    <row r="53" spans="1:33" ht="18">
      <c r="A53" s="166" t="s">
        <v>1518</v>
      </c>
      <c r="B53" s="167" t="s">
        <v>1248</v>
      </c>
      <c r="C53" s="167" t="s">
        <v>332</v>
      </c>
      <c r="D53" s="143" t="str">
        <f>"PRD_SNJ_"&amp;
_xlfn.XLOOKUP(商品マスタ[[#This Row],[仕入先]],テーブル1[仕入先名],テーブル1[仕入先コード],"XXX",0,1)&amp;
"_"&amp;
商品マスタ[[#This Row],[シリアル]]&amp;
"_"&amp;
TEXT(COUNTIFS(商品マスタ!$C$3:C53,商品マスタ[[#This Row],[仕入先]],商品マスタ!$E$3:E53,商品マスタ[[#This Row],[商品名]]), "00")</f>
        <v>PRD_SNJ_FSS_0002_01</v>
      </c>
      <c r="E53" s="87" t="s">
        <v>337</v>
      </c>
      <c r="F53" s="87">
        <f>IF(COUNTIFS($C$3:C53,商品マスタ[[#This Row],[仕入先]],$E$3:E53,商品マスタ[[#This Row],[商品名]]) = 1, 1,0)</f>
        <v>1</v>
      </c>
      <c r="G53" s="133" t="str">
        <f>TEXT(SUMIF($C$3:C53,商品マスタ[[#This Row],[仕入先]],$F$3:F53), "0000")</f>
        <v>0002</v>
      </c>
      <c r="H53" s="87"/>
      <c r="I53" s="87" t="s">
        <v>338</v>
      </c>
      <c r="J53" s="87">
        <v>15</v>
      </c>
      <c r="K53" s="87"/>
      <c r="L53" s="134">
        <v>600</v>
      </c>
      <c r="M53" s="157">
        <v>45953</v>
      </c>
      <c r="N53" s="134">
        <v>980</v>
      </c>
      <c r="O53" s="135">
        <f>IF(COUNT(商品マスタ[[#This Row],[参考上代
（税込)]]) &gt; 0, (商品マスタ[[#This Row],[参考上代
（税込)]]-商品マスタ[[#This Row],[国内定価
（15％）]])/(商品マスタ[[#This Row],[参考上代
（税込)]]/1.08), "")</f>
        <v>0.29755102040816328</v>
      </c>
      <c r="P53" s="136">
        <v>0.1</v>
      </c>
      <c r="Q53" s="137">
        <f>商品マスタ[[#This Row],[仕入
単価]]*商品マスタ[[#This Row],[標準国内送料率]]</f>
        <v>60</v>
      </c>
      <c r="R53" s="134">
        <v>1500</v>
      </c>
      <c r="S53" s="134">
        <f>IF(ISBLANK(商品マスタ[[#This Row],[実績
国内送料]]),商品マスタ[[#This Row],[標準国内送料]],)</f>
        <v>0</v>
      </c>
      <c r="T53" s="134">
        <f>商品マスタ[[#This Row],[仕入
単価]]+商品マスタ[[#This Row],[国内送料]]</f>
        <v>600</v>
      </c>
      <c r="U53" s="134">
        <f>ROUNDUP(商品マスタ[[#This Row],[仕入単価+国内送料]]/0.8,-1)</f>
        <v>750</v>
      </c>
      <c r="V53" s="134">
        <f>商品マスタ[[#This Row],[海外定価
（20％）]]-商品マスタ[[#This Row],[仕入単価+国内送料]]</f>
        <v>150</v>
      </c>
      <c r="W53" s="87">
        <f>ROUNDUP(商品マスタ[[#This Row],[仕入単価+国内送料]]/0.85,-1)</f>
        <v>710</v>
      </c>
      <c r="X53" s="134">
        <f>商品マスタ[[#This Row],[国内定価
（15％）]]-商品マスタ[[#This Row],[仕入単価+国内送料]]</f>
        <v>110</v>
      </c>
      <c r="Y53" s="87"/>
      <c r="Z53" s="87" t="s">
        <v>339</v>
      </c>
      <c r="AA53" s="87" t="s">
        <v>263</v>
      </c>
      <c r="AB53" s="87" t="s">
        <v>291</v>
      </c>
      <c r="AC53" s="140">
        <v>4901944000117</v>
      </c>
      <c r="AD53" s="87" t="s">
        <v>340</v>
      </c>
      <c r="AE53" s="87"/>
      <c r="AF53" s="87" t="s">
        <v>174</v>
      </c>
      <c r="AG53" s="141"/>
    </row>
    <row r="54" spans="1:33" ht="18">
      <c r="A54" s="166" t="s">
        <v>1518</v>
      </c>
      <c r="B54" s="167" t="s">
        <v>1248</v>
      </c>
      <c r="C54" s="167" t="s">
        <v>124</v>
      </c>
      <c r="D54" s="143" t="str">
        <f>"PRD_SNJ_"&amp;
_xlfn.XLOOKUP(商品マスタ[[#This Row],[仕入先]],テーブル1[仕入先名],テーブル1[仕入先コード],"XXX",0,1)&amp;
"_"&amp;
商品マスタ[[#This Row],[シリアル]]&amp;
"_"&amp;
TEXT(COUNTIFS(商品マスタ!$C$3:C54,商品マスタ[[#This Row],[仕入先]],商品マスタ!$E$3:E54,商品マスタ[[#This Row],[商品名]]), "00")</f>
        <v>PRD_SNJ_YTS_0001_01</v>
      </c>
      <c r="E54" s="87" t="s">
        <v>341</v>
      </c>
      <c r="F54" s="87">
        <f>IF(COUNTIFS($C$3:C54,商品マスタ[[#This Row],[仕入先]],$E$3:E54,商品マスタ[[#This Row],[商品名]]) = 1, 1,0)</f>
        <v>1</v>
      </c>
      <c r="G54" s="133" t="str">
        <f>TEXT(SUMIF($C$3:C54,商品マスタ[[#This Row],[仕入先]],$F$3:F54), "0000")</f>
        <v>0001</v>
      </c>
      <c r="H54" s="87"/>
      <c r="I54" s="87" t="s">
        <v>342</v>
      </c>
      <c r="J54" s="87">
        <v>40</v>
      </c>
      <c r="K54" s="87"/>
      <c r="L54" s="134">
        <v>310</v>
      </c>
      <c r="M54" s="157">
        <v>45953</v>
      </c>
      <c r="N54" s="134">
        <v>500</v>
      </c>
      <c r="O54" s="135">
        <f>IF(COUNT(商品マスタ[[#This Row],[参考上代
（税込)]]) &gt; 0, (商品マスタ[[#This Row],[参考上代
（税込)]]-商品マスタ[[#This Row],[国内定価
（15％）]])/(商品マスタ[[#This Row],[参考上代
（税込)]]/1.08), "")</f>
        <v>0.19440000000000002</v>
      </c>
      <c r="P54" s="136">
        <v>0.1</v>
      </c>
      <c r="Q54" s="137">
        <f>商品マスタ[[#This Row],[仕入
単価]]*商品マスタ[[#This Row],[標準国内送料率]]</f>
        <v>31</v>
      </c>
      <c r="R54" s="134"/>
      <c r="S54" s="134">
        <f>IF(ISBLANK(商品マスタ[[#This Row],[実績
国内送料]]),商品マスタ[[#This Row],[標準国内送料]],)</f>
        <v>31</v>
      </c>
      <c r="T54" s="134">
        <f>商品マスタ[[#This Row],[仕入
単価]]+商品マスタ[[#This Row],[国内送料]]</f>
        <v>341</v>
      </c>
      <c r="U54" s="134">
        <f>ROUNDUP(商品マスタ[[#This Row],[仕入単価+国内送料]]/0.8,-1)</f>
        <v>430</v>
      </c>
      <c r="V54" s="134">
        <f>商品マスタ[[#This Row],[海外定価
（20％）]]-商品マスタ[[#This Row],[仕入単価+国内送料]]</f>
        <v>89</v>
      </c>
      <c r="W54" s="87">
        <f>ROUNDUP(商品マスタ[[#This Row],[仕入単価+国内送料]]/0.85,-1)</f>
        <v>410</v>
      </c>
      <c r="X54" s="134">
        <f>商品マスタ[[#This Row],[国内定価
（15％）]]-商品マスタ[[#This Row],[仕入単価+国内送料]]</f>
        <v>69</v>
      </c>
      <c r="Y54" s="87"/>
      <c r="Z54" s="87" t="s">
        <v>339</v>
      </c>
      <c r="AA54" s="87" t="s">
        <v>263</v>
      </c>
      <c r="AB54" s="87" t="s">
        <v>291</v>
      </c>
      <c r="AC54" s="140">
        <v>4901944000124</v>
      </c>
      <c r="AD54" s="87" t="s">
        <v>340</v>
      </c>
      <c r="AE54" s="87"/>
      <c r="AF54" s="87" t="s">
        <v>174</v>
      </c>
      <c r="AG54" s="141"/>
    </row>
    <row r="55" spans="1:33" ht="18">
      <c r="A55" s="166" t="s">
        <v>1518</v>
      </c>
      <c r="B55" s="167" t="s">
        <v>1248</v>
      </c>
      <c r="C55" s="167" t="s">
        <v>124</v>
      </c>
      <c r="D55" s="143" t="str">
        <f>"PRD_SNJ_"&amp;
_xlfn.XLOOKUP(商品マスタ[[#This Row],[仕入先]],テーブル1[仕入先名],テーブル1[仕入先コード],"XXX",0,1)&amp;
"_"&amp;
商品マスタ[[#This Row],[シリアル]]&amp;
"_"&amp;
TEXT(COUNTIFS(商品マスタ!$C$3:C55,商品マスタ[[#This Row],[仕入先]],商品マスタ!$E$3:E55,商品マスタ[[#This Row],[商品名]]), "00")</f>
        <v>PRD_SNJ_YTS_0002_01</v>
      </c>
      <c r="E55" s="87" t="s">
        <v>343</v>
      </c>
      <c r="F55" s="87">
        <f>IF(COUNTIFS($C$3:C55,商品マスタ[[#This Row],[仕入先]],$E$3:E55,商品マスタ[[#This Row],[商品名]]) = 1, 1,0)</f>
        <v>1</v>
      </c>
      <c r="G55" s="133" t="str">
        <f>TEXT(SUMIF($C$3:C55,商品マスタ[[#This Row],[仕入先]],$F$3:F55), "0000")</f>
        <v>0002</v>
      </c>
      <c r="H55" s="87"/>
      <c r="I55" s="87" t="s">
        <v>344</v>
      </c>
      <c r="J55" s="87">
        <v>320</v>
      </c>
      <c r="K55" s="87"/>
      <c r="L55" s="134">
        <v>40.5</v>
      </c>
      <c r="M55" s="157">
        <v>45953</v>
      </c>
      <c r="N55" s="134">
        <v>60</v>
      </c>
      <c r="O55" s="135">
        <f>IF(COUNT(商品マスタ[[#This Row],[参考上代
（税込)]]) &gt; 0, (商品マスタ[[#This Row],[参考上代
（税込)]]-商品マスタ[[#This Row],[国内定価
（15％）]])/(商品マスタ[[#This Row],[参考上代
（税込)]]/1.08), "")</f>
        <v>0</v>
      </c>
      <c r="P55" s="136">
        <v>0.1</v>
      </c>
      <c r="Q55" s="137">
        <f>商品マスタ[[#This Row],[仕入
単価]]*商品マスタ[[#This Row],[標準国内送料率]]</f>
        <v>4.05</v>
      </c>
      <c r="R55" s="134"/>
      <c r="S55" s="134">
        <f>IF(ISBLANK(商品マスタ[[#This Row],[実績
国内送料]]),商品マスタ[[#This Row],[標準国内送料]],)</f>
        <v>4.05</v>
      </c>
      <c r="T55" s="134">
        <f>商品マスタ[[#This Row],[仕入
単価]]+商品マスタ[[#This Row],[国内送料]]</f>
        <v>44.55</v>
      </c>
      <c r="U55" s="134">
        <f>ROUNDUP(商品マスタ[[#This Row],[仕入単価+国内送料]]/0.8,-1)</f>
        <v>60</v>
      </c>
      <c r="V55" s="134">
        <f>商品マスタ[[#This Row],[海外定価
（20％）]]-商品マスタ[[#This Row],[仕入単価+国内送料]]</f>
        <v>15.450000000000003</v>
      </c>
      <c r="W55" s="87">
        <f>ROUNDUP(商品マスタ[[#This Row],[仕入単価+国内送料]]/0.85,-1)</f>
        <v>60</v>
      </c>
      <c r="X55" s="134">
        <f>商品マスタ[[#This Row],[国内定価
（15％）]]-商品マスタ[[#This Row],[仕入単価+国内送料]]</f>
        <v>15.450000000000003</v>
      </c>
      <c r="Y55" s="87"/>
      <c r="Z55" s="87" t="s">
        <v>339</v>
      </c>
      <c r="AA55" s="87" t="s">
        <v>263</v>
      </c>
      <c r="AB55" s="87" t="s">
        <v>291</v>
      </c>
      <c r="AC55" s="140">
        <v>4901944000018</v>
      </c>
      <c r="AD55" s="87" t="s">
        <v>345</v>
      </c>
      <c r="AE55" s="87"/>
      <c r="AF55" s="87" t="s">
        <v>174</v>
      </c>
      <c r="AG55" s="141"/>
    </row>
    <row r="56" spans="1:33" ht="18">
      <c r="A56" s="166" t="s">
        <v>1518</v>
      </c>
      <c r="B56" s="167" t="s">
        <v>1248</v>
      </c>
      <c r="C56" s="167" t="s">
        <v>124</v>
      </c>
      <c r="D56" s="143" t="str">
        <f>"PRD_SNJ_"&amp;
_xlfn.XLOOKUP(商品マスタ[[#This Row],[仕入先]],テーブル1[仕入先名],テーブル1[仕入先コード],"XXX",0,1)&amp;
"_"&amp;
商品マスタ[[#This Row],[シリアル]]&amp;
"_"&amp;
TEXT(COUNTIFS(商品マスタ!$C$3:C56,商品マスタ[[#This Row],[仕入先]],商品マスタ!$E$3:E56,商品マスタ[[#This Row],[商品名]]), "00")</f>
        <v>PRD_SNJ_YTS_0003_01</v>
      </c>
      <c r="E56" s="87" t="s">
        <v>346</v>
      </c>
      <c r="F56" s="87">
        <f>IF(COUNTIFS($C$3:C56,商品マスタ[[#This Row],[仕入先]],$E$3:E56,商品マスタ[[#This Row],[商品名]]) = 1, 1,0)</f>
        <v>1</v>
      </c>
      <c r="G56" s="133" t="str">
        <f>TEXT(SUMIF($C$3:C56,商品マスタ[[#This Row],[仕入先]],$F$3:F56), "0000")</f>
        <v>0003</v>
      </c>
      <c r="H56" s="87"/>
      <c r="I56" s="87" t="s">
        <v>347</v>
      </c>
      <c r="J56" s="87">
        <v>80</v>
      </c>
      <c r="K56" s="87"/>
      <c r="L56" s="134">
        <v>161</v>
      </c>
      <c r="M56" s="157">
        <v>45953</v>
      </c>
      <c r="N56" s="134">
        <v>240</v>
      </c>
      <c r="O56" s="135">
        <f>IF(COUNT(商品マスタ[[#This Row],[参考上代
（税込)]]) &gt; 0, (商品マスタ[[#This Row],[参考上代
（税込)]]-商品マスタ[[#This Row],[国内定価
（15％）]])/(商品マスタ[[#This Row],[参考上代
（税込)]]/1.08), "")</f>
        <v>0.13500000000000001</v>
      </c>
      <c r="P56" s="136">
        <v>0.1</v>
      </c>
      <c r="Q56" s="137">
        <f>商品マスタ[[#This Row],[仕入
単価]]*商品マスタ[[#This Row],[標準国内送料率]]</f>
        <v>16.100000000000001</v>
      </c>
      <c r="R56" s="134"/>
      <c r="S56" s="134">
        <f>IF(ISBLANK(商品マスタ[[#This Row],[実績
国内送料]]),商品マスタ[[#This Row],[標準国内送料]],)</f>
        <v>16.100000000000001</v>
      </c>
      <c r="T56" s="134">
        <f>商品マスタ[[#This Row],[仕入
単価]]+商品マスタ[[#This Row],[国内送料]]</f>
        <v>177.1</v>
      </c>
      <c r="U56" s="134">
        <f>ROUNDUP(商品マスタ[[#This Row],[仕入単価+国内送料]]/0.8,-1)</f>
        <v>230</v>
      </c>
      <c r="V56" s="134">
        <f>商品マスタ[[#This Row],[海外定価
（20％）]]-商品マスタ[[#This Row],[仕入単価+国内送料]]</f>
        <v>52.900000000000006</v>
      </c>
      <c r="W56" s="87">
        <f>ROUNDUP(商品マスタ[[#This Row],[仕入単価+国内送料]]/0.85,-1)</f>
        <v>210</v>
      </c>
      <c r="X56" s="134">
        <f>商品マスタ[[#This Row],[国内定価
（15％）]]-商品マスタ[[#This Row],[仕入単価+国内送料]]</f>
        <v>32.900000000000006</v>
      </c>
      <c r="Y56" s="87"/>
      <c r="Z56" s="87" t="s">
        <v>335</v>
      </c>
      <c r="AA56" s="87" t="s">
        <v>263</v>
      </c>
      <c r="AB56" s="87" t="s">
        <v>291</v>
      </c>
      <c r="AC56" s="140">
        <v>4901944001886</v>
      </c>
      <c r="AD56" s="87" t="s">
        <v>348</v>
      </c>
      <c r="AE56" s="87"/>
      <c r="AF56" s="87" t="s">
        <v>174</v>
      </c>
      <c r="AG56" s="141"/>
    </row>
    <row r="57" spans="1:33" ht="18">
      <c r="A57" s="166" t="s">
        <v>1518</v>
      </c>
      <c r="B57" s="167" t="s">
        <v>1248</v>
      </c>
      <c r="C57" s="167" t="s">
        <v>124</v>
      </c>
      <c r="D57" s="143" t="str">
        <f>"PRD_SNJ_"&amp;
_xlfn.XLOOKUP(商品マスタ[[#This Row],[仕入先]],テーブル1[仕入先名],テーブル1[仕入先コード],"XXX",0,1)&amp;
"_"&amp;
商品マスタ[[#This Row],[シリアル]]&amp;
"_"&amp;
TEXT(COUNTIFS(商品マスタ!$C$3:C57,商品マスタ[[#This Row],[仕入先]],商品マスタ!$E$3:E57,商品マスタ[[#This Row],[商品名]]), "00")</f>
        <v>PRD_SNJ_YTS_0004_01</v>
      </c>
      <c r="E57" s="87" t="s">
        <v>349</v>
      </c>
      <c r="F57" s="87">
        <f>IF(COUNTIFS($C$3:C57,商品マスタ[[#This Row],[仕入先]],$E$3:E57,商品マスタ[[#This Row],[商品名]]) = 1, 1,0)</f>
        <v>1</v>
      </c>
      <c r="G57" s="133" t="str">
        <f>TEXT(SUMIF($C$3:C57,商品マスタ[[#This Row],[仕入先]],$F$3:F57), "0000")</f>
        <v>0004</v>
      </c>
      <c r="H57" s="87"/>
      <c r="I57" s="87" t="s">
        <v>350</v>
      </c>
      <c r="J57" s="87">
        <v>160</v>
      </c>
      <c r="K57" s="87"/>
      <c r="L57" s="134">
        <v>92.5</v>
      </c>
      <c r="M57" s="157">
        <v>45953</v>
      </c>
      <c r="N57" s="134">
        <v>140</v>
      </c>
      <c r="O57" s="135">
        <f>IF(COUNT(商品マスタ[[#This Row],[参考上代
（税込)]]) &gt; 0, (商品マスタ[[#This Row],[参考上代
（税込)]]-商品マスタ[[#This Row],[国内定価
（15％）]])/(商品マスタ[[#This Row],[参考上代
（税込)]]/1.08), "")</f>
        <v>0.1542857142857143</v>
      </c>
      <c r="P57" s="136">
        <v>0.1</v>
      </c>
      <c r="Q57" s="137">
        <f>商品マスタ[[#This Row],[仕入
単価]]*商品マスタ[[#This Row],[標準国内送料率]]</f>
        <v>9.25</v>
      </c>
      <c r="R57" s="134"/>
      <c r="S57" s="134">
        <f>IF(ISBLANK(商品マスタ[[#This Row],[実績
国内送料]]),商品マスタ[[#This Row],[標準国内送料]],)</f>
        <v>9.25</v>
      </c>
      <c r="T57" s="134">
        <f>商品マスタ[[#This Row],[仕入
単価]]+商品マスタ[[#This Row],[国内送料]]</f>
        <v>101.75</v>
      </c>
      <c r="U57" s="134">
        <f>ROUNDUP(商品マスタ[[#This Row],[仕入単価+国内送料]]/0.8,-1)</f>
        <v>130</v>
      </c>
      <c r="V57" s="134">
        <f>商品マスタ[[#This Row],[海外定価
（20％）]]-商品マスタ[[#This Row],[仕入単価+国内送料]]</f>
        <v>28.25</v>
      </c>
      <c r="W57" s="87">
        <f>ROUNDUP(商品マスタ[[#This Row],[仕入単価+国内送料]]/0.85,-1)</f>
        <v>120</v>
      </c>
      <c r="X57" s="134">
        <f>商品マスタ[[#This Row],[国内定価
（15％）]]-商品マスタ[[#This Row],[仕入単価+国内送料]]</f>
        <v>18.25</v>
      </c>
      <c r="Y57" s="87"/>
      <c r="Z57" s="87" t="s">
        <v>335</v>
      </c>
      <c r="AA57" s="87" t="s">
        <v>263</v>
      </c>
      <c r="AB57" s="87" t="s">
        <v>291</v>
      </c>
      <c r="AC57" s="140">
        <v>4901944001893</v>
      </c>
      <c r="AD57" s="87" t="s">
        <v>351</v>
      </c>
      <c r="AE57" s="87"/>
      <c r="AF57" s="87" t="s">
        <v>174</v>
      </c>
      <c r="AG57" s="141"/>
    </row>
    <row r="58" spans="1:33" ht="18">
      <c r="A58" s="166" t="s">
        <v>1518</v>
      </c>
      <c r="B58" s="167" t="s">
        <v>1248</v>
      </c>
      <c r="C58" s="167" t="s">
        <v>124</v>
      </c>
      <c r="D58" s="143" t="str">
        <f>"PRD_SNJ_"&amp;
_xlfn.XLOOKUP(商品マスタ[[#This Row],[仕入先]],テーブル1[仕入先名],テーブル1[仕入先コード],"XXX",0,1)&amp;
"_"&amp;
商品マスタ[[#This Row],[シリアル]]&amp;
"_"&amp;
TEXT(COUNTIFS(商品マスタ!$C$3:C58,商品マスタ[[#This Row],[仕入先]],商品マスタ!$E$3:E58,商品マスタ[[#This Row],[商品名]]), "00")</f>
        <v>PRD_SNJ_YTS_0005_01</v>
      </c>
      <c r="E58" s="87" t="s">
        <v>352</v>
      </c>
      <c r="F58" s="87">
        <f>IF(COUNTIFS($C$3:C58,商品マスタ[[#This Row],[仕入先]],$E$3:E58,商品マスタ[[#This Row],[商品名]]) = 1, 1,0)</f>
        <v>1</v>
      </c>
      <c r="G58" s="133" t="str">
        <f>TEXT(SUMIF($C$3:C58,商品マスタ[[#This Row],[仕入先]],$F$3:F58), "0000")</f>
        <v>0005</v>
      </c>
      <c r="H58" s="87"/>
      <c r="I58" s="87" t="s">
        <v>353</v>
      </c>
      <c r="J58" s="87">
        <v>72</v>
      </c>
      <c r="K58" s="87"/>
      <c r="L58" s="134">
        <v>163</v>
      </c>
      <c r="M58" s="157">
        <v>45953</v>
      </c>
      <c r="N58" s="134">
        <v>260</v>
      </c>
      <c r="O58" s="135">
        <f>IF(COUNT(商品マスタ[[#This Row],[参考上代
（税込)]]) &gt; 0, (商品マスタ[[#This Row],[参考上代
（税込)]]-商品マスタ[[#This Row],[国内定価
（15％）]])/(商品マスタ[[#This Row],[参考上代
（税込)]]/1.08), "")</f>
        <v>0.16615384615384615</v>
      </c>
      <c r="P58" s="136">
        <v>0.1</v>
      </c>
      <c r="Q58" s="137">
        <f>商品マスタ[[#This Row],[仕入
単価]]*商品マスタ[[#This Row],[標準国内送料率]]</f>
        <v>16.3</v>
      </c>
      <c r="R58" s="134"/>
      <c r="S58" s="134">
        <f>IF(ISBLANK(商品マスタ[[#This Row],[実績
国内送料]]),商品マスタ[[#This Row],[標準国内送料]],)</f>
        <v>16.3</v>
      </c>
      <c r="T58" s="134">
        <f>商品マスタ[[#This Row],[仕入
単価]]+商品マスタ[[#This Row],[国内送料]]</f>
        <v>179.3</v>
      </c>
      <c r="U58" s="134">
        <f>ROUNDUP(商品マスタ[[#This Row],[仕入単価+国内送料]]/0.8,-1)</f>
        <v>230</v>
      </c>
      <c r="V58" s="134">
        <f>商品マスタ[[#This Row],[海外定価
（20％）]]-商品マスタ[[#This Row],[仕入単価+国内送料]]</f>
        <v>50.699999999999989</v>
      </c>
      <c r="W58" s="87">
        <f>ROUNDUP(商品マスタ[[#This Row],[仕入単価+国内送料]]/0.85,-1)</f>
        <v>220</v>
      </c>
      <c r="X58" s="134">
        <f>商品マスタ[[#This Row],[国内定価
（15％）]]-商品マスタ[[#This Row],[仕入単価+国内送料]]</f>
        <v>40.699999999999989</v>
      </c>
      <c r="Y58" s="87"/>
      <c r="Z58" s="87" t="s">
        <v>335</v>
      </c>
      <c r="AA58" s="87" t="s">
        <v>263</v>
      </c>
      <c r="AB58" s="87" t="s">
        <v>291</v>
      </c>
      <c r="AC58" s="140">
        <v>4901944007116</v>
      </c>
      <c r="AD58" s="87" t="s">
        <v>340</v>
      </c>
      <c r="AE58" s="87"/>
      <c r="AF58" s="87" t="s">
        <v>174</v>
      </c>
      <c r="AG58" s="141"/>
    </row>
    <row r="59" spans="1:33" ht="18">
      <c r="A59" s="166" t="s">
        <v>1518</v>
      </c>
      <c r="B59" s="167" t="s">
        <v>1248</v>
      </c>
      <c r="C59" s="167" t="s">
        <v>124</v>
      </c>
      <c r="D59" s="143" t="str">
        <f>"PRD_SNJ_"&amp;
_xlfn.XLOOKUP(商品マスタ[[#This Row],[仕入先]],テーブル1[仕入先名],テーブル1[仕入先コード],"XXX",0,1)&amp;
"_"&amp;
商品マスタ[[#This Row],[シリアル]]&amp;
"_"&amp;
TEXT(COUNTIFS(商品マスタ!$C$3:C59,商品マスタ[[#This Row],[仕入先]],商品マスタ!$E$3:E59,商品マスタ[[#This Row],[商品名]]), "00")</f>
        <v>PRD_SNJ_YTS_0006_01</v>
      </c>
      <c r="E59" s="87" t="s">
        <v>354</v>
      </c>
      <c r="F59" s="87">
        <f>IF(COUNTIFS($C$3:C59,商品マスタ[[#This Row],[仕入先]],$E$3:E59,商品マスタ[[#This Row],[商品名]]) = 1, 1,0)</f>
        <v>1</v>
      </c>
      <c r="G59" s="133" t="str">
        <f>TEXT(SUMIF($C$3:C59,商品マスタ[[#This Row],[仕入先]],$F$3:F59), "0000")</f>
        <v>0006</v>
      </c>
      <c r="H59" s="87"/>
      <c r="I59" s="87" t="s">
        <v>353</v>
      </c>
      <c r="J59" s="87">
        <v>72</v>
      </c>
      <c r="K59" s="87"/>
      <c r="L59" s="134">
        <v>163</v>
      </c>
      <c r="M59" s="157">
        <v>45953</v>
      </c>
      <c r="N59" s="134">
        <v>260</v>
      </c>
      <c r="O59" s="135">
        <f>IF(COUNT(商品マスタ[[#This Row],[参考上代
（税込)]]) &gt; 0, (商品マスタ[[#This Row],[参考上代
（税込)]]-商品マスタ[[#This Row],[国内定価
（15％）]])/(商品マスタ[[#This Row],[参考上代
（税込)]]/1.08), "")</f>
        <v>0.16615384615384615</v>
      </c>
      <c r="P59" s="136">
        <v>0.1</v>
      </c>
      <c r="Q59" s="137">
        <f>商品マスタ[[#This Row],[仕入
単価]]*商品マスタ[[#This Row],[標準国内送料率]]</f>
        <v>16.3</v>
      </c>
      <c r="R59" s="134"/>
      <c r="S59" s="134">
        <f>IF(ISBLANK(商品マスタ[[#This Row],[実績
国内送料]]),商品マスタ[[#This Row],[標準国内送料]],)</f>
        <v>16.3</v>
      </c>
      <c r="T59" s="134">
        <f>商品マスタ[[#This Row],[仕入
単価]]+商品マスタ[[#This Row],[国内送料]]</f>
        <v>179.3</v>
      </c>
      <c r="U59" s="134">
        <f>ROUNDUP(商品マスタ[[#This Row],[仕入単価+国内送料]]/0.8,-1)</f>
        <v>230</v>
      </c>
      <c r="V59" s="134">
        <f>商品マスタ[[#This Row],[海外定価
（20％）]]-商品マスタ[[#This Row],[仕入単価+国内送料]]</f>
        <v>50.699999999999989</v>
      </c>
      <c r="W59" s="87">
        <f>ROUNDUP(商品マスタ[[#This Row],[仕入単価+国内送料]]/0.85,-1)</f>
        <v>220</v>
      </c>
      <c r="X59" s="134">
        <f>商品マスタ[[#This Row],[国内定価
（15％）]]-商品マスタ[[#This Row],[仕入単価+国内送料]]</f>
        <v>40.699999999999989</v>
      </c>
      <c r="Y59" s="87"/>
      <c r="Z59" s="87" t="s">
        <v>335</v>
      </c>
      <c r="AA59" s="87" t="s">
        <v>263</v>
      </c>
      <c r="AB59" s="87" t="s">
        <v>291</v>
      </c>
      <c r="AC59" s="140">
        <v>4901944001114</v>
      </c>
      <c r="AD59" s="87" t="s">
        <v>355</v>
      </c>
      <c r="AE59" s="87"/>
      <c r="AF59" s="87" t="s">
        <v>174</v>
      </c>
      <c r="AG59" s="141"/>
    </row>
    <row r="60" spans="1:33" ht="18">
      <c r="A60" s="166" t="s">
        <v>1518</v>
      </c>
      <c r="B60" s="167" t="s">
        <v>1248</v>
      </c>
      <c r="C60" s="167" t="s">
        <v>124</v>
      </c>
      <c r="D60" s="143" t="str">
        <f>"PRD_SNJ_"&amp;
_xlfn.XLOOKUP(商品マスタ[[#This Row],[仕入先]],テーブル1[仕入先名],テーブル1[仕入先コード],"XXX",0,1)&amp;
"_"&amp;
商品マスタ[[#This Row],[シリアル]]&amp;
"_"&amp;
TEXT(COUNTIFS(商品マスタ!$C$3:C60,商品マスタ[[#This Row],[仕入先]],商品マスタ!$E$3:E60,商品マスタ[[#This Row],[商品名]]), "00")</f>
        <v>PRD_SNJ_YTS_0007_01</v>
      </c>
      <c r="E60" s="87" t="s">
        <v>356</v>
      </c>
      <c r="F60" s="87">
        <f>IF(COUNTIFS($C$3:C60,商品マスタ[[#This Row],[仕入先]],$E$3:E60,商品マスタ[[#This Row],[商品名]]) = 1, 1,0)</f>
        <v>1</v>
      </c>
      <c r="G60" s="133" t="str">
        <f>TEXT(SUMIF($C$3:C60,商品マスタ[[#This Row],[仕入先]],$F$3:F60), "0000")</f>
        <v>0007</v>
      </c>
      <c r="H60" s="87"/>
      <c r="I60" s="87" t="s">
        <v>353</v>
      </c>
      <c r="J60" s="87">
        <v>72</v>
      </c>
      <c r="K60" s="87"/>
      <c r="L60" s="134">
        <v>163</v>
      </c>
      <c r="M60" s="157">
        <v>45953</v>
      </c>
      <c r="N60" s="134">
        <v>260</v>
      </c>
      <c r="O60" s="135">
        <f>IF(COUNT(商品マスタ[[#This Row],[参考上代
（税込)]]) &gt; 0, (商品マスタ[[#This Row],[参考上代
（税込)]]-商品マスタ[[#This Row],[国内定価
（15％）]])/(商品マスタ[[#This Row],[参考上代
（税込)]]/1.08), "")</f>
        <v>0.16615384615384615</v>
      </c>
      <c r="P60" s="136">
        <v>0.1</v>
      </c>
      <c r="Q60" s="137">
        <f>商品マスタ[[#This Row],[仕入
単価]]*商品マスタ[[#This Row],[標準国内送料率]]</f>
        <v>16.3</v>
      </c>
      <c r="R60" s="134"/>
      <c r="S60" s="134">
        <f>IF(ISBLANK(商品マスタ[[#This Row],[実績
国内送料]]),商品マスタ[[#This Row],[標準国内送料]],)</f>
        <v>16.3</v>
      </c>
      <c r="T60" s="134">
        <f>商品マスタ[[#This Row],[仕入
単価]]+商品マスタ[[#This Row],[国内送料]]</f>
        <v>179.3</v>
      </c>
      <c r="U60" s="134">
        <f>ROUNDUP(商品マスタ[[#This Row],[仕入単価+国内送料]]/0.8,-1)</f>
        <v>230</v>
      </c>
      <c r="V60" s="134">
        <f>商品マスタ[[#This Row],[海外定価
（20％）]]-商品マスタ[[#This Row],[仕入単価+国内送料]]</f>
        <v>50.699999999999989</v>
      </c>
      <c r="W60" s="87">
        <f>ROUNDUP(商品マスタ[[#This Row],[仕入単価+国内送料]]/0.85,-1)</f>
        <v>220</v>
      </c>
      <c r="X60" s="134">
        <f>商品マスタ[[#This Row],[国内定価
（15％）]]-商品マスタ[[#This Row],[仕入単価+国内送料]]</f>
        <v>40.699999999999989</v>
      </c>
      <c r="Y60" s="87"/>
      <c r="Z60" s="87" t="s">
        <v>335</v>
      </c>
      <c r="AA60" s="87" t="s">
        <v>263</v>
      </c>
      <c r="AB60" s="87" t="s">
        <v>291</v>
      </c>
      <c r="AC60" s="140">
        <v>4901944001213</v>
      </c>
      <c r="AD60" s="87" t="s">
        <v>357</v>
      </c>
      <c r="AE60" s="87"/>
      <c r="AF60" s="87" t="s">
        <v>174</v>
      </c>
      <c r="AG60" s="141"/>
    </row>
    <row r="61" spans="1:33" ht="18">
      <c r="A61" s="166" t="s">
        <v>1518</v>
      </c>
      <c r="B61" s="167" t="s">
        <v>1248</v>
      </c>
      <c r="C61" s="167" t="s">
        <v>124</v>
      </c>
      <c r="D61" s="143" t="str">
        <f>"PRD_SNJ_"&amp;
_xlfn.XLOOKUP(商品マスタ[[#This Row],[仕入先]],テーブル1[仕入先名],テーブル1[仕入先コード],"XXX",0,1)&amp;
"_"&amp;
商品マスタ[[#This Row],[シリアル]]&amp;
"_"&amp;
TEXT(COUNTIFS(商品マスタ!$C$3:C61,商品マスタ[[#This Row],[仕入先]],商品マスタ!$E$3:E61,商品マスタ[[#This Row],[商品名]]), "00")</f>
        <v>PRD_SNJ_YTS_0008_01</v>
      </c>
      <c r="E61" s="87" t="s">
        <v>358</v>
      </c>
      <c r="F61" s="87">
        <f>IF(COUNTIFS($C$3:C61,商品マスタ[[#This Row],[仕入先]],$E$3:E61,商品マスタ[[#This Row],[商品名]]) = 1, 1,0)</f>
        <v>1</v>
      </c>
      <c r="G61" s="133" t="str">
        <f>TEXT(SUMIF($C$3:C61,商品マスタ[[#This Row],[仕入先]],$F$3:F61), "0000")</f>
        <v>0008</v>
      </c>
      <c r="H61" s="87"/>
      <c r="I61" s="87" t="s">
        <v>353</v>
      </c>
      <c r="J61" s="87">
        <v>72</v>
      </c>
      <c r="K61" s="87"/>
      <c r="L61" s="134">
        <v>163</v>
      </c>
      <c r="M61" s="157">
        <v>45953</v>
      </c>
      <c r="N61" s="134">
        <v>260</v>
      </c>
      <c r="O61" s="135">
        <f>IF(COUNT(商品マスタ[[#This Row],[参考上代
（税込)]]) &gt; 0, (商品マスタ[[#This Row],[参考上代
（税込)]]-商品マスタ[[#This Row],[国内定価
（15％）]])/(商品マスタ[[#This Row],[参考上代
（税込)]]/1.08), "")</f>
        <v>0.16615384615384615</v>
      </c>
      <c r="P61" s="136">
        <v>0.1</v>
      </c>
      <c r="Q61" s="137">
        <f>商品マスタ[[#This Row],[仕入
単価]]*商品マスタ[[#This Row],[標準国内送料率]]</f>
        <v>16.3</v>
      </c>
      <c r="R61" s="134"/>
      <c r="S61" s="134">
        <f>IF(ISBLANK(商品マスタ[[#This Row],[実績
国内送料]]),商品マスタ[[#This Row],[標準国内送料]],)</f>
        <v>16.3</v>
      </c>
      <c r="T61" s="134">
        <f>商品マスタ[[#This Row],[仕入
単価]]+商品マスタ[[#This Row],[国内送料]]</f>
        <v>179.3</v>
      </c>
      <c r="U61" s="134">
        <f>ROUNDUP(商品マスタ[[#This Row],[仕入単価+国内送料]]/0.8,-1)</f>
        <v>230</v>
      </c>
      <c r="V61" s="134">
        <f>商品マスタ[[#This Row],[海外定価
（20％）]]-商品マスタ[[#This Row],[仕入単価+国内送料]]</f>
        <v>50.699999999999989</v>
      </c>
      <c r="W61" s="87">
        <f>ROUNDUP(商品マスタ[[#This Row],[仕入単価+国内送料]]/0.85,-1)</f>
        <v>220</v>
      </c>
      <c r="X61" s="134">
        <f>商品マスタ[[#This Row],[国内定価
（15％）]]-商品マスタ[[#This Row],[仕入単価+国内送料]]</f>
        <v>40.699999999999989</v>
      </c>
      <c r="Y61" s="87"/>
      <c r="Z61" s="87" t="s">
        <v>339</v>
      </c>
      <c r="AA61" s="87" t="s">
        <v>263</v>
      </c>
      <c r="AB61" s="87" t="s">
        <v>291</v>
      </c>
      <c r="AC61" s="140">
        <v>4595644160075</v>
      </c>
      <c r="AD61" s="87" t="s">
        <v>359</v>
      </c>
      <c r="AE61" s="87"/>
      <c r="AF61" s="87" t="s">
        <v>174</v>
      </c>
      <c r="AG61" s="141"/>
    </row>
    <row r="62" spans="1:33" ht="18">
      <c r="A62" s="166" t="s">
        <v>1518</v>
      </c>
      <c r="B62" s="167" t="s">
        <v>1248</v>
      </c>
      <c r="C62" s="167" t="s">
        <v>124</v>
      </c>
      <c r="D62" s="143" t="str">
        <f>"PRD_SNJ_"&amp;
_xlfn.XLOOKUP(商品マスタ[[#This Row],[仕入先]],テーブル1[仕入先名],テーブル1[仕入先コード],"XXX",0,1)&amp;
"_"&amp;
商品マスタ[[#This Row],[シリアル]]&amp;
"_"&amp;
TEXT(COUNTIFS(商品マスタ!$C$3:C62,商品マスタ[[#This Row],[仕入先]],商品マスタ!$E$3:E62,商品マスタ[[#This Row],[商品名]]), "00")</f>
        <v>PRD_SNJ_YTS_0009_01</v>
      </c>
      <c r="E62" s="87" t="s">
        <v>360</v>
      </c>
      <c r="F62" s="87">
        <f>IF(COUNTIFS($C$3:C62,商品マスタ[[#This Row],[仕入先]],$E$3:E62,商品マスタ[[#This Row],[商品名]]) = 1, 1,0)</f>
        <v>1</v>
      </c>
      <c r="G62" s="133" t="str">
        <f>TEXT(SUMIF($C$3:C62,商品マスタ[[#This Row],[仕入先]],$F$3:F62), "0000")</f>
        <v>0009</v>
      </c>
      <c r="H62" s="87"/>
      <c r="I62" s="87" t="s">
        <v>353</v>
      </c>
      <c r="J62" s="87">
        <v>72</v>
      </c>
      <c r="K62" s="87"/>
      <c r="L62" s="134">
        <v>163</v>
      </c>
      <c r="M62" s="157">
        <v>45953</v>
      </c>
      <c r="N62" s="134">
        <v>260</v>
      </c>
      <c r="O62" s="135">
        <f>IF(COUNT(商品マスタ[[#This Row],[参考上代
（税込)]]) &gt; 0, (商品マスタ[[#This Row],[参考上代
（税込)]]-商品マスタ[[#This Row],[国内定価
（15％）]])/(商品マスタ[[#This Row],[参考上代
（税込)]]/1.08), "")</f>
        <v>0.16615384615384615</v>
      </c>
      <c r="P62" s="136">
        <v>0.1</v>
      </c>
      <c r="Q62" s="137">
        <f>商品マスタ[[#This Row],[仕入
単価]]*商品マスタ[[#This Row],[標準国内送料率]]</f>
        <v>16.3</v>
      </c>
      <c r="R62" s="134"/>
      <c r="S62" s="134">
        <f>IF(ISBLANK(商品マスタ[[#This Row],[実績
国内送料]]),商品マスタ[[#This Row],[標準国内送料]],)</f>
        <v>16.3</v>
      </c>
      <c r="T62" s="134">
        <f>商品マスタ[[#This Row],[仕入
単価]]+商品マスタ[[#This Row],[国内送料]]</f>
        <v>179.3</v>
      </c>
      <c r="U62" s="134">
        <f>ROUNDUP(商品マスタ[[#This Row],[仕入単価+国内送料]]/0.8,-1)</f>
        <v>230</v>
      </c>
      <c r="V62" s="134">
        <f>商品マスタ[[#This Row],[海外定価
（20％）]]-商品マスタ[[#This Row],[仕入単価+国内送料]]</f>
        <v>50.699999999999989</v>
      </c>
      <c r="W62" s="87">
        <f>ROUNDUP(商品マスタ[[#This Row],[仕入単価+国内送料]]/0.85,-1)</f>
        <v>220</v>
      </c>
      <c r="X62" s="134">
        <f>商品マスタ[[#This Row],[国内定価
（15％）]]-商品マスタ[[#This Row],[仕入単価+国内送料]]</f>
        <v>40.699999999999989</v>
      </c>
      <c r="Y62" s="87"/>
      <c r="Z62" s="87" t="s">
        <v>339</v>
      </c>
      <c r="AA62" s="87" t="s">
        <v>263</v>
      </c>
      <c r="AB62" s="87" t="s">
        <v>291</v>
      </c>
      <c r="AC62" s="140">
        <v>4595644160099</v>
      </c>
      <c r="AD62" s="87" t="s">
        <v>361</v>
      </c>
      <c r="AE62" s="87"/>
      <c r="AF62" s="87" t="s">
        <v>174</v>
      </c>
      <c r="AG62" s="141"/>
    </row>
    <row r="63" spans="1:33" ht="18">
      <c r="A63" s="166" t="s">
        <v>1518</v>
      </c>
      <c r="B63" s="167" t="s">
        <v>1248</v>
      </c>
      <c r="C63" s="167" t="s">
        <v>124</v>
      </c>
      <c r="D63" s="143" t="str">
        <f>"PRD_SNJ_"&amp;
_xlfn.XLOOKUP(商品マスタ[[#This Row],[仕入先]],テーブル1[仕入先名],テーブル1[仕入先コード],"XXX",0,1)&amp;
"_"&amp;
商品マスタ[[#This Row],[シリアル]]&amp;
"_"&amp;
TEXT(COUNTIFS(商品マスタ!$C$3:C63,商品マスタ[[#This Row],[仕入先]],商品マスタ!$E$3:E63,商品マスタ[[#This Row],[商品名]]), "00")</f>
        <v>PRD_SNJ_YTS_0010_01</v>
      </c>
      <c r="E63" s="87" t="s">
        <v>362</v>
      </c>
      <c r="F63" s="87">
        <f>IF(COUNTIFS($C$3:C63,商品マスタ[[#This Row],[仕入先]],$E$3:E63,商品マスタ[[#This Row],[商品名]]) = 1, 1,0)</f>
        <v>1</v>
      </c>
      <c r="G63" s="133" t="str">
        <f>TEXT(SUMIF($C$3:C63,商品マスタ[[#This Row],[仕入先]],$F$3:F63), "0000")</f>
        <v>0010</v>
      </c>
      <c r="H63" s="87"/>
      <c r="I63" s="87" t="s">
        <v>344</v>
      </c>
      <c r="J63" s="87">
        <v>320</v>
      </c>
      <c r="K63" s="87"/>
      <c r="L63" s="134">
        <v>67.5</v>
      </c>
      <c r="M63" s="157">
        <v>45953</v>
      </c>
      <c r="N63" s="134">
        <v>130</v>
      </c>
      <c r="O63" s="135">
        <f>IF(COUNT(商品マスタ[[#This Row],[参考上代
（税込)]]) &gt; 0, (商品マスタ[[#This Row],[参考上代
（税込)]]-商品マスタ[[#This Row],[国内定価
（15％）]])/(商品マスタ[[#This Row],[参考上代
（税込)]]/1.08), "")</f>
        <v>0.3323076923076923</v>
      </c>
      <c r="P63" s="136">
        <v>0.1</v>
      </c>
      <c r="Q63" s="137">
        <f>商品マスタ[[#This Row],[仕入
単価]]*商品マスタ[[#This Row],[標準国内送料率]]</f>
        <v>6.75</v>
      </c>
      <c r="R63" s="134"/>
      <c r="S63" s="134">
        <f>IF(ISBLANK(商品マスタ[[#This Row],[実績
国内送料]]),商品マスタ[[#This Row],[標準国内送料]],)</f>
        <v>6.75</v>
      </c>
      <c r="T63" s="134">
        <f>商品マスタ[[#This Row],[仕入
単価]]+商品マスタ[[#This Row],[国内送料]]</f>
        <v>74.25</v>
      </c>
      <c r="U63" s="134">
        <f>ROUNDUP(商品マスタ[[#This Row],[仕入単価+国内送料]]/0.8,-1)</f>
        <v>100</v>
      </c>
      <c r="V63" s="134">
        <f>商品マスタ[[#This Row],[海外定価
（20％）]]-商品マスタ[[#This Row],[仕入単価+国内送料]]</f>
        <v>25.75</v>
      </c>
      <c r="W63" s="87">
        <f>ROUNDUP(商品マスタ[[#This Row],[仕入単価+国内送料]]/0.85,-1)</f>
        <v>90</v>
      </c>
      <c r="X63" s="134">
        <f>商品マスタ[[#This Row],[国内定価
（15％）]]-商品マスタ[[#This Row],[仕入単価+国内送料]]</f>
        <v>15.75</v>
      </c>
      <c r="Y63" s="87"/>
      <c r="Z63" s="87"/>
      <c r="AA63" s="87"/>
      <c r="AB63" s="87"/>
      <c r="AC63" s="140"/>
      <c r="AD63" s="87"/>
      <c r="AE63" s="87"/>
      <c r="AF63" s="87" t="s">
        <v>174</v>
      </c>
      <c r="AG63" s="141"/>
    </row>
    <row r="64" spans="1:33" ht="18">
      <c r="A64" s="166" t="s">
        <v>1518</v>
      </c>
      <c r="B64" s="167" t="s">
        <v>1248</v>
      </c>
      <c r="C64" s="167" t="s">
        <v>124</v>
      </c>
      <c r="D64" s="143" t="str">
        <f>"PRD_SNJ_"&amp;
_xlfn.XLOOKUP(商品マスタ[[#This Row],[仕入先]],テーブル1[仕入先名],テーブル1[仕入先コード],"XXX",0,1)&amp;
"_"&amp;
商品マスタ[[#This Row],[シリアル]]&amp;
"_"&amp;
TEXT(COUNTIFS(商品マスタ!$C$3:C64,商品マスタ[[#This Row],[仕入先]],商品マスタ!$E$3:E64,商品マスタ[[#This Row],[商品名]]), "00")</f>
        <v>PRD_SNJ_YTS_0011_01</v>
      </c>
      <c r="E64" s="87" t="s">
        <v>924</v>
      </c>
      <c r="F64" s="87">
        <f>IF(COUNTIFS($C$3:C64,商品マスタ[[#This Row],[仕入先]],$E$3:E64,商品マスタ[[#This Row],[商品名]]) = 1, 1,0)</f>
        <v>1</v>
      </c>
      <c r="G64" s="133" t="str">
        <f>TEXT(SUMIF($C$3:C64,商品マスタ[[#This Row],[仕入先]],$F$3:F64), "0000")</f>
        <v>0011</v>
      </c>
      <c r="H64" s="87"/>
      <c r="I64" s="87" t="s">
        <v>363</v>
      </c>
      <c r="J64" s="87">
        <v>24</v>
      </c>
      <c r="K64" s="87"/>
      <c r="L64" s="134">
        <v>620</v>
      </c>
      <c r="M64" s="157">
        <v>45953</v>
      </c>
      <c r="N64" s="134">
        <v>1080</v>
      </c>
      <c r="O64" s="135">
        <f>IF(COUNT(商品マスタ[[#This Row],[参考上代
（税込)]]) &gt; 0, (商品マスタ[[#This Row],[参考上代
（税込)]]-商品マスタ[[#This Row],[国内定価
（15％）]])/(商品マスタ[[#This Row],[参考上代
（税込)]]/1.08), "")</f>
        <v>0.27</v>
      </c>
      <c r="P64" s="136">
        <v>0.1</v>
      </c>
      <c r="Q64" s="137">
        <f>商品マスタ[[#This Row],[仕入
単価]]*商品マスタ[[#This Row],[標準国内送料率]]</f>
        <v>62</v>
      </c>
      <c r="R64" s="134"/>
      <c r="S64" s="134">
        <f>IF(ISBLANK(商品マスタ[[#This Row],[実績
国内送料]]),商品マスタ[[#This Row],[標準国内送料]],)</f>
        <v>62</v>
      </c>
      <c r="T64" s="134">
        <f>商品マスタ[[#This Row],[仕入
単価]]+商品マスタ[[#This Row],[国内送料]]</f>
        <v>682</v>
      </c>
      <c r="U64" s="134">
        <f>ROUNDUP(商品マスタ[[#This Row],[仕入単価+国内送料]]/0.8,-1)</f>
        <v>860</v>
      </c>
      <c r="V64" s="134">
        <f>商品マスタ[[#This Row],[海外定価
（20％）]]-商品マスタ[[#This Row],[仕入単価+国内送料]]</f>
        <v>178</v>
      </c>
      <c r="W64" s="87">
        <f>ROUNDUP(商品マスタ[[#This Row],[仕入単価+国内送料]]/0.85,-1)</f>
        <v>810</v>
      </c>
      <c r="X64" s="134">
        <f>商品マスタ[[#This Row],[国内定価
（15％）]]-商品マスタ[[#This Row],[仕入単価+国内送料]]</f>
        <v>128</v>
      </c>
      <c r="Y64" s="139">
        <v>0.08</v>
      </c>
      <c r="Z64" s="87"/>
      <c r="AA64" s="87"/>
      <c r="AB64" s="87"/>
      <c r="AC64" s="140"/>
      <c r="AD64" s="87"/>
      <c r="AE64" s="87"/>
      <c r="AF64" s="87" t="s">
        <v>174</v>
      </c>
      <c r="AG64" s="141"/>
    </row>
    <row r="65" spans="1:33" ht="18">
      <c r="A65" s="166" t="s">
        <v>1523</v>
      </c>
      <c r="B65" s="176" t="s">
        <v>1231</v>
      </c>
      <c r="C65" s="167" t="s">
        <v>133</v>
      </c>
      <c r="D65" s="143" t="str">
        <f>"PRD_SNJ_"&amp;
_xlfn.XLOOKUP(商品マスタ[[#This Row],[仕入先]],テーブル1[仕入先名],テーブル1[仕入先コード],"XXX",0,1)&amp;
"_"&amp;
商品マスタ[[#This Row],[シリアル]]&amp;
"_"&amp;
TEXT(COUNTIFS(商品マスタ!$C$3:C65,商品マスタ[[#This Row],[仕入先]],商品マスタ!$E$3:E65,商品マスタ[[#This Row],[商品名]]), "00")</f>
        <v>PRD_SNJ_UST_0001_01</v>
      </c>
      <c r="E65" s="87" t="s">
        <v>364</v>
      </c>
      <c r="F65" s="87">
        <f>IF(COUNTIFS($C$3:C65,商品マスタ[[#This Row],[仕入先]],$E$3:E65,商品マスタ[[#This Row],[商品名]]) = 1, 1,0)</f>
        <v>1</v>
      </c>
      <c r="G65" s="133" t="str">
        <f>TEXT(SUMIF($C$3:C65,商品マスタ[[#This Row],[仕入先]],$F$3:F65), "0000")</f>
        <v>0001</v>
      </c>
      <c r="H65" s="87" t="s">
        <v>365</v>
      </c>
      <c r="I65" s="87" t="s">
        <v>366</v>
      </c>
      <c r="J65" s="87" t="s">
        <v>367</v>
      </c>
      <c r="K65" s="87" t="s">
        <v>368</v>
      </c>
      <c r="L65" s="134">
        <v>4675</v>
      </c>
      <c r="M65" s="157">
        <v>45957</v>
      </c>
      <c r="N65" s="134"/>
      <c r="O65" s="135" t="str">
        <f>IF(COUNT(商品マスタ[[#This Row],[参考上代
（税込)]]) &gt; 0, (商品マスタ[[#This Row],[参考上代
（税込)]]-商品マスタ[[#This Row],[国内定価
（15％）]])/(商品マスタ[[#This Row],[参考上代
（税込)]]/1.08), "")</f>
        <v/>
      </c>
      <c r="P65" s="136">
        <v>0.1</v>
      </c>
      <c r="Q65" s="137">
        <f>商品マスタ[[#This Row],[仕入
単価]]*商品マスタ[[#This Row],[標準国内送料率]]</f>
        <v>467.5</v>
      </c>
      <c r="R65" s="134"/>
      <c r="S65" s="134">
        <f>IF(ISBLANK(商品マスタ[[#This Row],[実績
国内送料]]),商品マスタ[[#This Row],[標準国内送料]],)</f>
        <v>467.5</v>
      </c>
      <c r="T65" s="134">
        <f>商品マスタ[[#This Row],[仕入
単価]]+商品マスタ[[#This Row],[国内送料]]</f>
        <v>5142.5</v>
      </c>
      <c r="U65" s="134">
        <f>ROUNDUP(商品マスタ[[#This Row],[仕入単価+国内送料]]/0.8,-1)</f>
        <v>6430</v>
      </c>
      <c r="V65" s="134">
        <f>商品マスタ[[#This Row],[海外定価
（20％）]]-商品マスタ[[#This Row],[仕入単価+国内送料]]</f>
        <v>1287.5</v>
      </c>
      <c r="W65" s="87">
        <f>ROUNDUP(商品マスタ[[#This Row],[仕入単価+国内送料]]/0.85,-1)</f>
        <v>6050</v>
      </c>
      <c r="X65" s="134">
        <f>商品マスタ[[#This Row],[国内定価
（15％）]]-商品マスタ[[#This Row],[仕入単価+国内送料]]</f>
        <v>907.5</v>
      </c>
      <c r="Y65" s="139">
        <v>0.08</v>
      </c>
      <c r="Z65" s="87" t="s">
        <v>369</v>
      </c>
      <c r="AA65" s="87" t="s">
        <v>370</v>
      </c>
      <c r="AB65" s="87" t="s">
        <v>371</v>
      </c>
      <c r="AC65" s="140"/>
      <c r="AD65" s="87"/>
      <c r="AE65" s="87"/>
      <c r="AF65" s="87"/>
      <c r="AG65" s="141"/>
    </row>
    <row r="66" spans="1:33" ht="18">
      <c r="A66" s="166" t="s">
        <v>1523</v>
      </c>
      <c r="B66" s="176" t="s">
        <v>1231</v>
      </c>
      <c r="C66" s="167" t="s">
        <v>133</v>
      </c>
      <c r="D66" s="143" t="str">
        <f>"PRD_SNJ_"&amp;
_xlfn.XLOOKUP(商品マスタ[[#This Row],[仕入先]],テーブル1[仕入先名],テーブル1[仕入先コード],"XXX",0,1)&amp;
"_"&amp;
商品マスタ[[#This Row],[シリアル]]&amp;
"_"&amp;
TEXT(COUNTIFS(商品マスタ!$C$3:C66,商品マスタ[[#This Row],[仕入先]],商品マスタ!$E$3:E66,商品マスタ[[#This Row],[商品名]]), "00")</f>
        <v>PRD_SNJ_UST_0002_01</v>
      </c>
      <c r="E66" s="87" t="s">
        <v>372</v>
      </c>
      <c r="F66" s="87">
        <f>IF(COUNTIFS($C$3:C66,商品マスタ[[#This Row],[仕入先]],$E$3:E66,商品マスタ[[#This Row],[商品名]]) = 1, 1,0)</f>
        <v>1</v>
      </c>
      <c r="G66" s="133" t="str">
        <f>TEXT(SUMIF($C$3:C66,商品マスタ[[#This Row],[仕入先]],$F$3:F66), "0000")</f>
        <v>0002</v>
      </c>
      <c r="H66" s="87" t="s">
        <v>365</v>
      </c>
      <c r="I66" s="87" t="s">
        <v>373</v>
      </c>
      <c r="J66" s="87" t="s">
        <v>367</v>
      </c>
      <c r="K66" s="87" t="s">
        <v>368</v>
      </c>
      <c r="L66" s="134">
        <v>5500</v>
      </c>
      <c r="M66" s="157">
        <v>45957</v>
      </c>
      <c r="N66" s="134"/>
      <c r="O66" s="135" t="str">
        <f>IF(COUNT(商品マスタ[[#This Row],[参考上代
（税込)]]) &gt; 0, (商品マスタ[[#This Row],[参考上代
（税込)]]-商品マスタ[[#This Row],[国内定価
（15％）]])/(商品マスタ[[#This Row],[参考上代
（税込)]]/1.08), "")</f>
        <v/>
      </c>
      <c r="P66" s="136">
        <v>0.1</v>
      </c>
      <c r="Q66" s="137">
        <f>商品マスタ[[#This Row],[仕入
単価]]*商品マスタ[[#This Row],[標準国内送料率]]</f>
        <v>550</v>
      </c>
      <c r="R66" s="134"/>
      <c r="S66" s="134">
        <f>IF(ISBLANK(商品マスタ[[#This Row],[実績
国内送料]]),商品マスタ[[#This Row],[標準国内送料]],)</f>
        <v>550</v>
      </c>
      <c r="T66" s="134">
        <f>商品マスタ[[#This Row],[仕入
単価]]+商品マスタ[[#This Row],[国内送料]]</f>
        <v>6050</v>
      </c>
      <c r="U66" s="134">
        <f>ROUNDUP(商品マスタ[[#This Row],[仕入単価+国内送料]]/0.8,-1)</f>
        <v>7570</v>
      </c>
      <c r="V66" s="134">
        <f>商品マスタ[[#This Row],[海外定価
（20％）]]-商品マスタ[[#This Row],[仕入単価+国内送料]]</f>
        <v>1520</v>
      </c>
      <c r="W66" s="87">
        <f>ROUNDUP(商品マスタ[[#This Row],[仕入単価+国内送料]]/0.85,-1)</f>
        <v>7120</v>
      </c>
      <c r="X66" s="134">
        <f>商品マスタ[[#This Row],[国内定価
（15％）]]-商品マスタ[[#This Row],[仕入単価+国内送料]]</f>
        <v>1070</v>
      </c>
      <c r="Y66" s="139">
        <v>0.08</v>
      </c>
      <c r="Z66" s="87" t="s">
        <v>369</v>
      </c>
      <c r="AA66" s="87" t="s">
        <v>370</v>
      </c>
      <c r="AB66" s="87" t="s">
        <v>371</v>
      </c>
      <c r="AC66" s="140"/>
      <c r="AD66" s="87"/>
      <c r="AE66" s="87"/>
      <c r="AF66" s="87"/>
      <c r="AG66" s="141"/>
    </row>
    <row r="67" spans="1:33" ht="18">
      <c r="A67" s="166" t="s">
        <v>1523</v>
      </c>
      <c r="B67" s="176" t="s">
        <v>1231</v>
      </c>
      <c r="C67" s="167" t="s">
        <v>133</v>
      </c>
      <c r="D67" s="143" t="str">
        <f>"PRD_SNJ_"&amp;
_xlfn.XLOOKUP(商品マスタ[[#This Row],[仕入先]],テーブル1[仕入先名],テーブル1[仕入先コード],"XXX",0,1)&amp;
"_"&amp;
商品マスタ[[#This Row],[シリアル]]&amp;
"_"&amp;
TEXT(COUNTIFS(商品マスタ!$C$3:C67,商品マスタ[[#This Row],[仕入先]],商品マスタ!$E$3:E67,商品マスタ[[#This Row],[商品名]]), "00")</f>
        <v>PRD_SNJ_UST_0003_01</v>
      </c>
      <c r="E67" s="87" t="s">
        <v>374</v>
      </c>
      <c r="F67" s="87">
        <f>IF(COUNTIFS($C$3:C67,商品マスタ[[#This Row],[仕入先]],$E$3:E67,商品マスタ[[#This Row],[商品名]]) = 1, 1,0)</f>
        <v>1</v>
      </c>
      <c r="G67" s="133" t="str">
        <f>TEXT(SUMIF($C$3:C67,商品マスタ[[#This Row],[仕入先]],$F$3:F67), "0000")</f>
        <v>0003</v>
      </c>
      <c r="H67" s="87" t="s">
        <v>365</v>
      </c>
      <c r="I67" s="87" t="s">
        <v>375</v>
      </c>
      <c r="J67" s="87" t="s">
        <v>376</v>
      </c>
      <c r="K67" s="87" t="s">
        <v>368</v>
      </c>
      <c r="L67" s="134">
        <v>3600</v>
      </c>
      <c r="M67" s="157">
        <v>45957</v>
      </c>
      <c r="N67" s="134"/>
      <c r="O67" s="135" t="str">
        <f>IF(COUNT(商品マスタ[[#This Row],[参考上代
（税込)]]) &gt; 0, (商品マスタ[[#This Row],[参考上代
（税込)]]-商品マスタ[[#This Row],[国内定価
（15％）]])/(商品マスタ[[#This Row],[参考上代
（税込)]]/1.08), "")</f>
        <v/>
      </c>
      <c r="P67" s="136">
        <v>0.1</v>
      </c>
      <c r="Q67" s="137">
        <f>商品マスタ[[#This Row],[仕入
単価]]*商品マスタ[[#This Row],[標準国内送料率]]</f>
        <v>360</v>
      </c>
      <c r="R67" s="134"/>
      <c r="S67" s="134">
        <f>IF(ISBLANK(商品マスタ[[#This Row],[実績
国内送料]]),商品マスタ[[#This Row],[標準国内送料]],)</f>
        <v>360</v>
      </c>
      <c r="T67" s="134">
        <f>商品マスタ[[#This Row],[仕入
単価]]+商品マスタ[[#This Row],[国内送料]]</f>
        <v>3960</v>
      </c>
      <c r="U67" s="134">
        <f>ROUNDUP(商品マスタ[[#This Row],[仕入単価+国内送料]]/0.8,-1)</f>
        <v>4950</v>
      </c>
      <c r="V67" s="134">
        <f>商品マスタ[[#This Row],[海外定価
（20％）]]-商品マスタ[[#This Row],[仕入単価+国内送料]]</f>
        <v>990</v>
      </c>
      <c r="W67" s="87">
        <f>ROUNDUP(商品マスタ[[#This Row],[仕入単価+国内送料]]/0.85,-1)</f>
        <v>4660</v>
      </c>
      <c r="X67" s="134">
        <f>商品マスタ[[#This Row],[国内定価
（15％）]]-商品マスタ[[#This Row],[仕入単価+国内送料]]</f>
        <v>700</v>
      </c>
      <c r="Y67" s="139">
        <v>0.08</v>
      </c>
      <c r="Z67" s="87" t="s">
        <v>369</v>
      </c>
      <c r="AA67" s="87" t="s">
        <v>370</v>
      </c>
      <c r="AB67" s="87" t="s">
        <v>371</v>
      </c>
      <c r="AC67" s="140"/>
      <c r="AD67" s="87"/>
      <c r="AE67" s="87"/>
      <c r="AF67" s="87"/>
      <c r="AG67" s="141"/>
    </row>
    <row r="68" spans="1:33" ht="18">
      <c r="A68" s="166" t="s">
        <v>1523</v>
      </c>
      <c r="B68" s="176" t="s">
        <v>1231</v>
      </c>
      <c r="C68" s="167" t="s">
        <v>133</v>
      </c>
      <c r="D68" s="143" t="str">
        <f>"PRD_SNJ_"&amp;
_xlfn.XLOOKUP(商品マスタ[[#This Row],[仕入先]],テーブル1[仕入先名],テーブル1[仕入先コード],"XXX",0,1)&amp;
"_"&amp;
商品マスタ[[#This Row],[シリアル]]&amp;
"_"&amp;
TEXT(COUNTIFS(商品マスタ!$C$3:C68,商品マスタ[[#This Row],[仕入先]],商品マスタ!$E$3:E68,商品マスタ[[#This Row],[商品名]]), "00")</f>
        <v>PRD_SNJ_UST_0004_01</v>
      </c>
      <c r="E68" s="87" t="s">
        <v>377</v>
      </c>
      <c r="F68" s="87">
        <f>IF(COUNTIFS($C$3:C68,商品マスタ[[#This Row],[仕入先]],$E$3:E68,商品マスタ[[#This Row],[商品名]]) = 1, 1,0)</f>
        <v>1</v>
      </c>
      <c r="G68" s="133" t="str">
        <f>TEXT(SUMIF($C$3:C68,商品マスタ[[#This Row],[仕入先]],$F$3:F68), "0000")</f>
        <v>0004</v>
      </c>
      <c r="H68" s="87" t="s">
        <v>365</v>
      </c>
      <c r="I68" s="87" t="s">
        <v>378</v>
      </c>
      <c r="J68" s="87" t="s">
        <v>376</v>
      </c>
      <c r="K68" s="87" t="s">
        <v>368</v>
      </c>
      <c r="L68" s="134">
        <v>2900</v>
      </c>
      <c r="M68" s="157">
        <v>45957</v>
      </c>
      <c r="N68" s="134"/>
      <c r="O68" s="135" t="str">
        <f>IF(COUNT(商品マスタ[[#This Row],[参考上代
（税込)]]) &gt; 0, (商品マスタ[[#This Row],[参考上代
（税込)]]-商品マスタ[[#This Row],[国内定価
（15％）]])/(商品マスタ[[#This Row],[参考上代
（税込)]]/1.08), "")</f>
        <v/>
      </c>
      <c r="P68" s="136">
        <v>0.1</v>
      </c>
      <c r="Q68" s="137">
        <f>商品マスタ[[#This Row],[仕入
単価]]*商品マスタ[[#This Row],[標準国内送料率]]</f>
        <v>290</v>
      </c>
      <c r="R68" s="134"/>
      <c r="S68" s="134">
        <f>IF(ISBLANK(商品マスタ[[#This Row],[実績
国内送料]]),商品マスタ[[#This Row],[標準国内送料]],)</f>
        <v>290</v>
      </c>
      <c r="T68" s="134">
        <f>商品マスタ[[#This Row],[仕入
単価]]+商品マスタ[[#This Row],[国内送料]]</f>
        <v>3190</v>
      </c>
      <c r="U68" s="134">
        <f>ROUNDUP(商品マスタ[[#This Row],[仕入単価+国内送料]]/0.8,-1)</f>
        <v>3990</v>
      </c>
      <c r="V68" s="134">
        <f>商品マスタ[[#This Row],[海外定価
（20％）]]-商品マスタ[[#This Row],[仕入単価+国内送料]]</f>
        <v>800</v>
      </c>
      <c r="W68" s="87">
        <f>ROUNDUP(商品マスタ[[#This Row],[仕入単価+国内送料]]/0.85,-1)</f>
        <v>3760</v>
      </c>
      <c r="X68" s="134">
        <f>商品マスタ[[#This Row],[国内定価
（15％）]]-商品マスタ[[#This Row],[仕入単価+国内送料]]</f>
        <v>570</v>
      </c>
      <c r="Y68" s="139">
        <v>0.08</v>
      </c>
      <c r="Z68" s="87" t="s">
        <v>369</v>
      </c>
      <c r="AA68" s="87" t="s">
        <v>370</v>
      </c>
      <c r="AB68" s="87" t="s">
        <v>371</v>
      </c>
      <c r="AC68" s="140"/>
      <c r="AD68" s="87"/>
      <c r="AE68" s="87"/>
      <c r="AF68" s="87"/>
      <c r="AG68" s="141"/>
    </row>
    <row r="69" spans="1:33" ht="18">
      <c r="A69" s="166" t="s">
        <v>1523</v>
      </c>
      <c r="B69" s="176" t="s">
        <v>1231</v>
      </c>
      <c r="C69" s="167" t="s">
        <v>133</v>
      </c>
      <c r="D69" s="143" t="str">
        <f>"PRD_SNJ_"&amp;
_xlfn.XLOOKUP(商品マスタ[[#This Row],[仕入先]],テーブル1[仕入先名],テーブル1[仕入先コード],"XXX",0,1)&amp;
"_"&amp;
商品マスタ[[#This Row],[シリアル]]&amp;
"_"&amp;
TEXT(COUNTIFS(商品マスタ!$C$3:C69,商品マスタ[[#This Row],[仕入先]],商品マスタ!$E$3:E69,商品マスタ[[#This Row],[商品名]]), "00")</f>
        <v>PRD_SNJ_UST_0005_01</v>
      </c>
      <c r="E69" s="87" t="s">
        <v>379</v>
      </c>
      <c r="F69" s="87">
        <f>IF(COUNTIFS($C$3:C69,商品マスタ[[#This Row],[仕入先]],$E$3:E69,商品マスタ[[#This Row],[商品名]]) = 1, 1,0)</f>
        <v>1</v>
      </c>
      <c r="G69" s="133" t="str">
        <f>TEXT(SUMIF($C$3:C69,商品マスタ[[#This Row],[仕入先]],$F$3:F69), "0000")</f>
        <v>0005</v>
      </c>
      <c r="H69" s="87" t="s">
        <v>365</v>
      </c>
      <c r="I69" s="87" t="s">
        <v>380</v>
      </c>
      <c r="J69" s="87" t="s">
        <v>376</v>
      </c>
      <c r="K69" s="87" t="s">
        <v>368</v>
      </c>
      <c r="L69" s="134">
        <v>2800</v>
      </c>
      <c r="M69" s="157">
        <v>45957</v>
      </c>
      <c r="N69" s="134"/>
      <c r="O69" s="135" t="str">
        <f>IF(COUNT(商品マスタ[[#This Row],[参考上代
（税込)]]) &gt; 0, (商品マスタ[[#This Row],[参考上代
（税込)]]-商品マスタ[[#This Row],[国内定価
（15％）]])/(商品マスタ[[#This Row],[参考上代
（税込)]]/1.08), "")</f>
        <v/>
      </c>
      <c r="P69" s="136">
        <v>0.1</v>
      </c>
      <c r="Q69" s="137">
        <f>商品マスタ[[#This Row],[仕入
単価]]*商品マスタ[[#This Row],[標準国内送料率]]</f>
        <v>280</v>
      </c>
      <c r="R69" s="134"/>
      <c r="S69" s="134">
        <f>IF(ISBLANK(商品マスタ[[#This Row],[実績
国内送料]]),商品マスタ[[#This Row],[標準国内送料]],)</f>
        <v>280</v>
      </c>
      <c r="T69" s="134">
        <f>商品マスタ[[#This Row],[仕入
単価]]+商品マスタ[[#This Row],[国内送料]]</f>
        <v>3080</v>
      </c>
      <c r="U69" s="134">
        <f>ROUNDUP(商品マスタ[[#This Row],[仕入単価+国内送料]]/0.8,-1)</f>
        <v>3850</v>
      </c>
      <c r="V69" s="134">
        <f>商品マスタ[[#This Row],[海外定価
（20％）]]-商品マスタ[[#This Row],[仕入単価+国内送料]]</f>
        <v>770</v>
      </c>
      <c r="W69" s="87">
        <f>ROUNDUP(商品マスタ[[#This Row],[仕入単価+国内送料]]/0.85,-1)</f>
        <v>3630</v>
      </c>
      <c r="X69" s="134">
        <f>商品マスタ[[#This Row],[国内定価
（15％）]]-商品マスタ[[#This Row],[仕入単価+国内送料]]</f>
        <v>550</v>
      </c>
      <c r="Y69" s="139">
        <v>0.08</v>
      </c>
      <c r="Z69" s="87" t="s">
        <v>369</v>
      </c>
      <c r="AA69" s="87" t="s">
        <v>370</v>
      </c>
      <c r="AB69" s="87" t="s">
        <v>371</v>
      </c>
      <c r="AC69" s="140"/>
      <c r="AD69" s="87"/>
      <c r="AE69" s="87"/>
      <c r="AF69" s="87"/>
      <c r="AG69" s="141"/>
    </row>
    <row r="70" spans="1:33" ht="18">
      <c r="A70" s="166" t="s">
        <v>1523</v>
      </c>
      <c r="B70" s="176" t="s">
        <v>1231</v>
      </c>
      <c r="C70" s="167" t="s">
        <v>133</v>
      </c>
      <c r="D70" s="143" t="str">
        <f>"PRD_SNJ_"&amp;
_xlfn.XLOOKUP(商品マスタ[[#This Row],[仕入先]],テーブル1[仕入先名],テーブル1[仕入先コード],"XXX",0,1)&amp;
"_"&amp;
商品マスタ[[#This Row],[シリアル]]&amp;
"_"&amp;
TEXT(COUNTIFS(商品マスタ!$C$3:C70,商品マスタ[[#This Row],[仕入先]],商品マスタ!$E$3:E70,商品マスタ[[#This Row],[商品名]]), "00")</f>
        <v>PRD_SNJ_UST_0006_01</v>
      </c>
      <c r="E70" s="87" t="s">
        <v>381</v>
      </c>
      <c r="F70" s="87">
        <f>IF(COUNTIFS($C$3:C70,商品マスタ[[#This Row],[仕入先]],$E$3:E70,商品マスタ[[#This Row],[商品名]]) = 1, 1,0)</f>
        <v>1</v>
      </c>
      <c r="G70" s="133" t="str">
        <f>TEXT(SUMIF($C$3:C70,商品マスタ[[#This Row],[仕入先]],$F$3:F70), "0000")</f>
        <v>0006</v>
      </c>
      <c r="H70" s="87" t="s">
        <v>365</v>
      </c>
      <c r="I70" s="87" t="s">
        <v>382</v>
      </c>
      <c r="J70" s="87" t="s">
        <v>376</v>
      </c>
      <c r="K70" s="87" t="s">
        <v>368</v>
      </c>
      <c r="L70" s="134">
        <v>2800</v>
      </c>
      <c r="M70" s="157">
        <v>45957</v>
      </c>
      <c r="N70" s="134"/>
      <c r="O70" s="135" t="str">
        <f>IF(COUNT(商品マスタ[[#This Row],[参考上代
（税込)]]) &gt; 0, (商品マスタ[[#This Row],[参考上代
（税込)]]-商品マスタ[[#This Row],[国内定価
（15％）]])/(商品マスタ[[#This Row],[参考上代
（税込)]]/1.08), "")</f>
        <v/>
      </c>
      <c r="P70" s="136">
        <v>0.1</v>
      </c>
      <c r="Q70" s="137">
        <f>商品マスタ[[#This Row],[仕入
単価]]*商品マスタ[[#This Row],[標準国内送料率]]</f>
        <v>280</v>
      </c>
      <c r="R70" s="134"/>
      <c r="S70" s="134">
        <f>IF(ISBLANK(商品マスタ[[#This Row],[実績
国内送料]]),商品マスタ[[#This Row],[標準国内送料]],)</f>
        <v>280</v>
      </c>
      <c r="T70" s="134">
        <f>商品マスタ[[#This Row],[仕入
単価]]+商品マスタ[[#This Row],[国内送料]]</f>
        <v>3080</v>
      </c>
      <c r="U70" s="134">
        <f>ROUNDUP(商品マスタ[[#This Row],[仕入単価+国内送料]]/0.8,-1)</f>
        <v>3850</v>
      </c>
      <c r="V70" s="134">
        <f>商品マスタ[[#This Row],[海外定価
（20％）]]-商品マスタ[[#This Row],[仕入単価+国内送料]]</f>
        <v>770</v>
      </c>
      <c r="W70" s="87">
        <f>ROUNDUP(商品マスタ[[#This Row],[仕入単価+国内送料]]/0.85,-1)</f>
        <v>3630</v>
      </c>
      <c r="X70" s="134">
        <f>商品マスタ[[#This Row],[国内定価
（15％）]]-商品マスタ[[#This Row],[仕入単価+国内送料]]</f>
        <v>550</v>
      </c>
      <c r="Y70" s="139">
        <v>0.08</v>
      </c>
      <c r="Z70" s="87" t="s">
        <v>369</v>
      </c>
      <c r="AA70" s="87" t="s">
        <v>370</v>
      </c>
      <c r="AB70" s="87" t="s">
        <v>371</v>
      </c>
      <c r="AC70" s="140"/>
      <c r="AD70" s="87"/>
      <c r="AE70" s="87"/>
      <c r="AF70" s="87"/>
      <c r="AG70" s="141"/>
    </row>
    <row r="71" spans="1:33" ht="18">
      <c r="A71" s="166" t="s">
        <v>1523</v>
      </c>
      <c r="B71" s="176" t="s">
        <v>1231</v>
      </c>
      <c r="C71" s="167" t="s">
        <v>133</v>
      </c>
      <c r="D71" s="143" t="str">
        <f>"PRD_SNJ_"&amp;
_xlfn.XLOOKUP(商品マスタ[[#This Row],[仕入先]],テーブル1[仕入先名],テーブル1[仕入先コード],"XXX",0,1)&amp;
"_"&amp;
商品マスタ[[#This Row],[シリアル]]&amp;
"_"&amp;
TEXT(COUNTIFS(商品マスタ!$C$3:C71,商品マスタ[[#This Row],[仕入先]],商品マスタ!$E$3:E71,商品マスタ[[#This Row],[商品名]]), "00")</f>
        <v>PRD_SNJ_UST_0007_01</v>
      </c>
      <c r="E71" s="87" t="s">
        <v>383</v>
      </c>
      <c r="F71" s="87">
        <f>IF(COUNTIFS($C$3:C71,商品マスタ[[#This Row],[仕入先]],$E$3:E71,商品マスタ[[#This Row],[商品名]]) = 1, 1,0)</f>
        <v>1</v>
      </c>
      <c r="G71" s="133" t="str">
        <f>TEXT(SUMIF($C$3:C71,商品マスタ[[#This Row],[仕入先]],$F$3:F71), "0000")</f>
        <v>0007</v>
      </c>
      <c r="H71" s="87" t="s">
        <v>365</v>
      </c>
      <c r="I71" s="87" t="s">
        <v>384</v>
      </c>
      <c r="J71" s="87" t="s">
        <v>376</v>
      </c>
      <c r="K71" s="87" t="s">
        <v>368</v>
      </c>
      <c r="L71" s="134">
        <v>2700</v>
      </c>
      <c r="M71" s="157">
        <v>45957</v>
      </c>
      <c r="N71" s="134"/>
      <c r="O71" s="135" t="str">
        <f>IF(COUNT(商品マスタ[[#This Row],[参考上代
（税込)]]) &gt; 0, (商品マスタ[[#This Row],[参考上代
（税込)]]-商品マスタ[[#This Row],[国内定価
（15％）]])/(商品マスタ[[#This Row],[参考上代
（税込)]]/1.08), "")</f>
        <v/>
      </c>
      <c r="P71" s="136">
        <v>0.1</v>
      </c>
      <c r="Q71" s="137">
        <f>商品マスタ[[#This Row],[仕入
単価]]*商品マスタ[[#This Row],[標準国内送料率]]</f>
        <v>270</v>
      </c>
      <c r="R71" s="134"/>
      <c r="S71" s="134">
        <f>IF(ISBLANK(商品マスタ[[#This Row],[実績
国内送料]]),商品マスタ[[#This Row],[標準国内送料]],)</f>
        <v>270</v>
      </c>
      <c r="T71" s="134">
        <f>商品マスタ[[#This Row],[仕入
単価]]+商品マスタ[[#This Row],[国内送料]]</f>
        <v>2970</v>
      </c>
      <c r="U71" s="134">
        <f>ROUNDUP(商品マスタ[[#This Row],[仕入単価+国内送料]]/0.8,-1)</f>
        <v>3720</v>
      </c>
      <c r="V71" s="134">
        <f>商品マスタ[[#This Row],[海外定価
（20％）]]-商品マスタ[[#This Row],[仕入単価+国内送料]]</f>
        <v>750</v>
      </c>
      <c r="W71" s="87">
        <f>ROUNDUP(商品マスタ[[#This Row],[仕入単価+国内送料]]/0.85,-1)</f>
        <v>3500</v>
      </c>
      <c r="X71" s="134">
        <f>商品マスタ[[#This Row],[国内定価
（15％）]]-商品マスタ[[#This Row],[仕入単価+国内送料]]</f>
        <v>530</v>
      </c>
      <c r="Y71" s="139">
        <v>0.08</v>
      </c>
      <c r="Z71" s="87" t="s">
        <v>369</v>
      </c>
      <c r="AA71" s="87" t="s">
        <v>370</v>
      </c>
      <c r="AB71" s="87" t="s">
        <v>371</v>
      </c>
      <c r="AC71" s="140"/>
      <c r="AD71" s="87"/>
      <c r="AE71" s="87"/>
      <c r="AF71" s="87"/>
      <c r="AG71" s="141"/>
    </row>
    <row r="72" spans="1:33" ht="18">
      <c r="A72" s="166" t="s">
        <v>1523</v>
      </c>
      <c r="B72" s="176" t="s">
        <v>1231</v>
      </c>
      <c r="C72" s="167" t="s">
        <v>133</v>
      </c>
      <c r="D72" s="143" t="str">
        <f>"PRD_SNJ_"&amp;
_xlfn.XLOOKUP(商品マスタ[[#This Row],[仕入先]],テーブル1[仕入先名],テーブル1[仕入先コード],"XXX",0,1)&amp;
"_"&amp;
商品マスタ[[#This Row],[シリアル]]&amp;
"_"&amp;
TEXT(COUNTIFS(商品マスタ!$C$3:C72,商品マスタ[[#This Row],[仕入先]],商品マスタ!$E$3:E72,商品マスタ[[#This Row],[商品名]]), "00")</f>
        <v>PRD_SNJ_UST_0008_01</v>
      </c>
      <c r="E72" s="87" t="s">
        <v>385</v>
      </c>
      <c r="F72" s="87">
        <f>IF(COUNTIFS($C$3:C72,商品マスタ[[#This Row],[仕入先]],$E$3:E72,商品マスタ[[#This Row],[商品名]]) = 1, 1,0)</f>
        <v>1</v>
      </c>
      <c r="G72" s="133" t="str">
        <f>TEXT(SUMIF($C$3:C72,商品マスタ[[#This Row],[仕入先]],$F$3:F72), "0000")</f>
        <v>0008</v>
      </c>
      <c r="H72" s="87" t="s">
        <v>365</v>
      </c>
      <c r="I72" s="87" t="s">
        <v>386</v>
      </c>
      <c r="J72" s="87" t="s">
        <v>387</v>
      </c>
      <c r="K72" s="87" t="s">
        <v>368</v>
      </c>
      <c r="L72" s="134">
        <v>2700</v>
      </c>
      <c r="M72" s="157">
        <v>45957</v>
      </c>
      <c r="N72" s="134"/>
      <c r="O72" s="135" t="str">
        <f>IF(COUNT(商品マスタ[[#This Row],[参考上代
（税込)]]) &gt; 0, (商品マスタ[[#This Row],[参考上代
（税込)]]-商品マスタ[[#This Row],[国内定価
（15％）]])/(商品マスタ[[#This Row],[参考上代
（税込)]]/1.08), "")</f>
        <v/>
      </c>
      <c r="P72" s="136">
        <v>0.1</v>
      </c>
      <c r="Q72" s="137">
        <f>商品マスタ[[#This Row],[仕入
単価]]*商品マスタ[[#This Row],[標準国内送料率]]</f>
        <v>270</v>
      </c>
      <c r="R72" s="134"/>
      <c r="S72" s="134">
        <f>IF(ISBLANK(商品マスタ[[#This Row],[実績
国内送料]]),商品マスタ[[#This Row],[標準国内送料]],)</f>
        <v>270</v>
      </c>
      <c r="T72" s="134">
        <f>商品マスタ[[#This Row],[仕入
単価]]+商品マスタ[[#This Row],[国内送料]]</f>
        <v>2970</v>
      </c>
      <c r="U72" s="134">
        <f>ROUNDUP(商品マスタ[[#This Row],[仕入単価+国内送料]]/0.8,-1)</f>
        <v>3720</v>
      </c>
      <c r="V72" s="134">
        <f>商品マスタ[[#This Row],[海外定価
（20％）]]-商品マスタ[[#This Row],[仕入単価+国内送料]]</f>
        <v>750</v>
      </c>
      <c r="W72" s="87">
        <f>ROUNDUP(商品マスタ[[#This Row],[仕入単価+国内送料]]/0.85,-1)</f>
        <v>3500</v>
      </c>
      <c r="X72" s="134">
        <f>商品マスタ[[#This Row],[国内定価
（15％）]]-商品マスタ[[#This Row],[仕入単価+国内送料]]</f>
        <v>530</v>
      </c>
      <c r="Y72" s="139">
        <v>0.08</v>
      </c>
      <c r="Z72" s="87" t="s">
        <v>369</v>
      </c>
      <c r="AA72" s="87" t="s">
        <v>370</v>
      </c>
      <c r="AB72" s="87" t="s">
        <v>371</v>
      </c>
      <c r="AC72" s="140"/>
      <c r="AD72" s="87"/>
      <c r="AE72" s="87"/>
      <c r="AF72" s="87"/>
      <c r="AG72" s="141"/>
    </row>
    <row r="73" spans="1:33" ht="18">
      <c r="A73" s="166" t="s">
        <v>1523</v>
      </c>
      <c r="B73" s="176" t="s">
        <v>1231</v>
      </c>
      <c r="C73" s="167" t="s">
        <v>133</v>
      </c>
      <c r="D73" s="143" t="str">
        <f>"PRD_SNJ_"&amp;
_xlfn.XLOOKUP(商品マスタ[[#This Row],[仕入先]],テーブル1[仕入先名],テーブル1[仕入先コード],"XXX",0,1)&amp;
"_"&amp;
商品マスタ[[#This Row],[シリアル]]&amp;
"_"&amp;
TEXT(COUNTIFS(商品マスタ!$C$3:C73,商品マスタ[[#This Row],[仕入先]],商品マスタ!$E$3:E73,商品マスタ[[#This Row],[商品名]]), "00")</f>
        <v>PRD_SNJ_UST_0009_01</v>
      </c>
      <c r="E73" s="87" t="s">
        <v>388</v>
      </c>
      <c r="F73" s="87">
        <f>IF(COUNTIFS($C$3:C73,商品マスタ[[#This Row],[仕入先]],$E$3:E73,商品マスタ[[#This Row],[商品名]]) = 1, 1,0)</f>
        <v>1</v>
      </c>
      <c r="G73" s="133" t="str">
        <f>TEXT(SUMIF($C$3:C73,商品マスタ[[#This Row],[仕入先]],$F$3:F73), "0000")</f>
        <v>0009</v>
      </c>
      <c r="H73" s="87" t="s">
        <v>365</v>
      </c>
      <c r="I73" s="87" t="s">
        <v>389</v>
      </c>
      <c r="J73" s="87" t="s">
        <v>390</v>
      </c>
      <c r="K73" s="87" t="s">
        <v>368</v>
      </c>
      <c r="L73" s="134">
        <v>2000</v>
      </c>
      <c r="M73" s="157">
        <v>45957</v>
      </c>
      <c r="N73" s="134"/>
      <c r="O73" s="135" t="str">
        <f>IF(COUNT(商品マスタ[[#This Row],[参考上代
（税込)]]) &gt; 0, (商品マスタ[[#This Row],[参考上代
（税込)]]-商品マスタ[[#This Row],[国内定価
（15％）]])/(商品マスタ[[#This Row],[参考上代
（税込)]]/1.08), "")</f>
        <v/>
      </c>
      <c r="P73" s="136">
        <v>0.1</v>
      </c>
      <c r="Q73" s="137">
        <f>商品マスタ[[#This Row],[仕入
単価]]*商品マスタ[[#This Row],[標準国内送料率]]</f>
        <v>200</v>
      </c>
      <c r="R73" s="134"/>
      <c r="S73" s="134">
        <f>IF(ISBLANK(商品マスタ[[#This Row],[実績
国内送料]]),商品マスタ[[#This Row],[標準国内送料]],)</f>
        <v>200</v>
      </c>
      <c r="T73" s="134">
        <f>商品マスタ[[#This Row],[仕入
単価]]+商品マスタ[[#This Row],[国内送料]]</f>
        <v>2200</v>
      </c>
      <c r="U73" s="134">
        <f>ROUNDUP(商品マスタ[[#This Row],[仕入単価+国内送料]]/0.8,-1)</f>
        <v>2750</v>
      </c>
      <c r="V73" s="134">
        <f>商品マスタ[[#This Row],[海外定価
（20％）]]-商品マスタ[[#This Row],[仕入単価+国内送料]]</f>
        <v>550</v>
      </c>
      <c r="W73" s="87">
        <f>ROUNDUP(商品マスタ[[#This Row],[仕入単価+国内送料]]/0.85,-1)</f>
        <v>2590</v>
      </c>
      <c r="X73" s="134">
        <f>商品マスタ[[#This Row],[国内定価
（15％）]]-商品マスタ[[#This Row],[仕入単価+国内送料]]</f>
        <v>390</v>
      </c>
      <c r="Y73" s="139">
        <v>0.08</v>
      </c>
      <c r="Z73" s="87" t="s">
        <v>369</v>
      </c>
      <c r="AA73" s="87" t="s">
        <v>370</v>
      </c>
      <c r="AB73" s="87" t="s">
        <v>371</v>
      </c>
      <c r="AC73" s="140"/>
      <c r="AD73" s="87"/>
      <c r="AE73" s="87"/>
      <c r="AF73" s="87"/>
      <c r="AG73" s="141"/>
    </row>
    <row r="74" spans="1:33" ht="18">
      <c r="A74" s="166" t="s">
        <v>1523</v>
      </c>
      <c r="B74" s="176" t="s">
        <v>1231</v>
      </c>
      <c r="C74" s="167" t="s">
        <v>133</v>
      </c>
      <c r="D74" s="143" t="str">
        <f>"PRD_SNJ_"&amp;
_xlfn.XLOOKUP(商品マスタ[[#This Row],[仕入先]],テーブル1[仕入先名],テーブル1[仕入先コード],"XXX",0,1)&amp;
"_"&amp;
商品マスタ[[#This Row],[シリアル]]&amp;
"_"&amp;
TEXT(COUNTIFS(商品マスタ!$C$3:C74,商品マスタ[[#This Row],[仕入先]],商品マスタ!$E$3:E74,商品マスタ[[#This Row],[商品名]]), "00")</f>
        <v>PRD_SNJ_UST_0010_01</v>
      </c>
      <c r="E74" s="87" t="s">
        <v>391</v>
      </c>
      <c r="F74" s="87">
        <f>IF(COUNTIFS($C$3:C74,商品マスタ[[#This Row],[仕入先]],$E$3:E74,商品マスタ[[#This Row],[商品名]]) = 1, 1,0)</f>
        <v>1</v>
      </c>
      <c r="G74" s="133" t="str">
        <f>TEXT(SUMIF($C$3:C74,商品マスタ[[#This Row],[仕入先]],$F$3:F74), "0000")</f>
        <v>0010</v>
      </c>
      <c r="H74" s="87" t="s">
        <v>365</v>
      </c>
      <c r="I74" s="87" t="s">
        <v>392</v>
      </c>
      <c r="J74" s="87" t="s">
        <v>393</v>
      </c>
      <c r="K74" s="87" t="s">
        <v>368</v>
      </c>
      <c r="L74" s="134">
        <v>2400</v>
      </c>
      <c r="M74" s="157">
        <v>45957</v>
      </c>
      <c r="N74" s="134"/>
      <c r="O74" s="135" t="str">
        <f>IF(COUNT(商品マスタ[[#This Row],[参考上代
（税込)]]) &gt; 0, (商品マスタ[[#This Row],[参考上代
（税込)]]-商品マスタ[[#This Row],[国内定価
（15％）]])/(商品マスタ[[#This Row],[参考上代
（税込)]]/1.08), "")</f>
        <v/>
      </c>
      <c r="P74" s="136">
        <v>0.1</v>
      </c>
      <c r="Q74" s="137">
        <f>商品マスタ[[#This Row],[仕入
単価]]*商品マスタ[[#This Row],[標準国内送料率]]</f>
        <v>240</v>
      </c>
      <c r="R74" s="134"/>
      <c r="S74" s="134">
        <f>IF(ISBLANK(商品マスタ[[#This Row],[実績
国内送料]]),商品マスタ[[#This Row],[標準国内送料]],)</f>
        <v>240</v>
      </c>
      <c r="T74" s="134">
        <f>商品マスタ[[#This Row],[仕入
単価]]+商品マスタ[[#This Row],[国内送料]]</f>
        <v>2640</v>
      </c>
      <c r="U74" s="134">
        <f>ROUNDUP(商品マスタ[[#This Row],[仕入単価+国内送料]]/0.8,-1)</f>
        <v>3300</v>
      </c>
      <c r="V74" s="134">
        <f>商品マスタ[[#This Row],[海外定価
（20％）]]-商品マスタ[[#This Row],[仕入単価+国内送料]]</f>
        <v>660</v>
      </c>
      <c r="W74" s="87">
        <f>ROUNDUP(商品マスタ[[#This Row],[仕入単価+国内送料]]/0.85,-1)</f>
        <v>3110</v>
      </c>
      <c r="X74" s="134">
        <f>商品マスタ[[#This Row],[国内定価
（15％）]]-商品マスタ[[#This Row],[仕入単価+国内送料]]</f>
        <v>470</v>
      </c>
      <c r="Y74" s="139">
        <v>0.08</v>
      </c>
      <c r="Z74" s="87" t="s">
        <v>369</v>
      </c>
      <c r="AA74" s="87" t="s">
        <v>370</v>
      </c>
      <c r="AB74" s="87" t="s">
        <v>371</v>
      </c>
      <c r="AC74" s="140"/>
      <c r="AD74" s="87"/>
      <c r="AE74" s="87"/>
      <c r="AF74" s="87"/>
      <c r="AG74" s="141"/>
    </row>
    <row r="75" spans="1:33" ht="18">
      <c r="A75" s="166" t="s">
        <v>1523</v>
      </c>
      <c r="B75" s="176" t="s">
        <v>1231</v>
      </c>
      <c r="C75" s="167" t="s">
        <v>133</v>
      </c>
      <c r="D75" s="143" t="str">
        <f>"PRD_SNJ_"&amp;
_xlfn.XLOOKUP(商品マスタ[[#This Row],[仕入先]],テーブル1[仕入先名],テーブル1[仕入先コード],"XXX",0,1)&amp;
"_"&amp;
商品マスタ[[#This Row],[シリアル]]&amp;
"_"&amp;
TEXT(COUNTIFS(商品マスタ!$C$3:C75,商品マスタ[[#This Row],[仕入先]],商品マスタ!$E$3:E75,商品マスタ[[#This Row],[商品名]]), "00")</f>
        <v>PRD_SNJ_UST_0011_01</v>
      </c>
      <c r="E75" s="87" t="s">
        <v>394</v>
      </c>
      <c r="F75" s="87">
        <f>IF(COUNTIFS($C$3:C75,商品マスタ[[#This Row],[仕入先]],$E$3:E75,商品マスタ[[#This Row],[商品名]]) = 1, 1,0)</f>
        <v>1</v>
      </c>
      <c r="G75" s="133" t="str">
        <f>TEXT(SUMIF($C$3:C75,商品マスタ[[#This Row],[仕入先]],$F$3:F75), "0000")</f>
        <v>0011</v>
      </c>
      <c r="H75" s="87" t="s">
        <v>365</v>
      </c>
      <c r="I75" s="87" t="s">
        <v>395</v>
      </c>
      <c r="J75" s="87" t="s">
        <v>367</v>
      </c>
      <c r="K75" s="87" t="s">
        <v>368</v>
      </c>
      <c r="L75" s="134">
        <v>2000</v>
      </c>
      <c r="M75" s="157">
        <v>45957</v>
      </c>
      <c r="N75" s="134"/>
      <c r="O75" s="135" t="str">
        <f>IF(COUNT(商品マスタ[[#This Row],[参考上代
（税込)]]) &gt; 0, (商品マスタ[[#This Row],[参考上代
（税込)]]-商品マスタ[[#This Row],[国内定価
（15％）]])/(商品マスタ[[#This Row],[参考上代
（税込)]]/1.08), "")</f>
        <v/>
      </c>
      <c r="P75" s="136">
        <v>0.1</v>
      </c>
      <c r="Q75" s="137">
        <f>商品マスタ[[#This Row],[仕入
単価]]*商品マスタ[[#This Row],[標準国内送料率]]</f>
        <v>200</v>
      </c>
      <c r="R75" s="134"/>
      <c r="S75" s="134">
        <f>IF(ISBLANK(商品マスタ[[#This Row],[実績
国内送料]]),商品マスタ[[#This Row],[標準国内送料]],)</f>
        <v>200</v>
      </c>
      <c r="T75" s="134">
        <f>商品マスタ[[#This Row],[仕入
単価]]+商品マスタ[[#This Row],[国内送料]]</f>
        <v>2200</v>
      </c>
      <c r="U75" s="134">
        <f>ROUNDUP(商品マスタ[[#This Row],[仕入単価+国内送料]]/0.8,-1)</f>
        <v>2750</v>
      </c>
      <c r="V75" s="134">
        <f>商品マスタ[[#This Row],[海外定価
（20％）]]-商品マスタ[[#This Row],[仕入単価+国内送料]]</f>
        <v>550</v>
      </c>
      <c r="W75" s="87">
        <f>ROUNDUP(商品マスタ[[#This Row],[仕入単価+国内送料]]/0.85,-1)</f>
        <v>2590</v>
      </c>
      <c r="X75" s="134">
        <f>商品マスタ[[#This Row],[国内定価
（15％）]]-商品マスタ[[#This Row],[仕入単価+国内送料]]</f>
        <v>390</v>
      </c>
      <c r="Y75" s="139">
        <v>0.08</v>
      </c>
      <c r="Z75" s="87" t="s">
        <v>369</v>
      </c>
      <c r="AA75" s="87" t="s">
        <v>370</v>
      </c>
      <c r="AB75" s="87" t="s">
        <v>371</v>
      </c>
      <c r="AC75" s="140"/>
      <c r="AD75" s="87"/>
      <c r="AE75" s="87"/>
      <c r="AF75" s="87"/>
      <c r="AG75" s="141"/>
    </row>
    <row r="76" spans="1:33" ht="18">
      <c r="A76" s="166" t="s">
        <v>1523</v>
      </c>
      <c r="B76" s="176" t="s">
        <v>1231</v>
      </c>
      <c r="C76" s="167" t="s">
        <v>133</v>
      </c>
      <c r="D76" s="143" t="str">
        <f>"PRD_SNJ_"&amp;
_xlfn.XLOOKUP(商品マスタ[[#This Row],[仕入先]],テーブル1[仕入先名],テーブル1[仕入先コード],"XXX",0,1)&amp;
"_"&amp;
商品マスタ[[#This Row],[シリアル]]&amp;
"_"&amp;
TEXT(COUNTIFS(商品マスタ!$C$3:C76,商品マスタ[[#This Row],[仕入先]],商品マスタ!$E$3:E76,商品マスタ[[#This Row],[商品名]]), "00")</f>
        <v>PRD_SNJ_UST_0012_01</v>
      </c>
      <c r="E76" s="87" t="s">
        <v>396</v>
      </c>
      <c r="F76" s="87">
        <f>IF(COUNTIFS($C$3:C76,商品マスタ[[#This Row],[仕入先]],$E$3:E76,商品マスタ[[#This Row],[商品名]]) = 1, 1,0)</f>
        <v>1</v>
      </c>
      <c r="G76" s="133" t="str">
        <f>TEXT(SUMIF($C$3:C76,商品マスタ[[#This Row],[仕入先]],$F$3:F76), "0000")</f>
        <v>0012</v>
      </c>
      <c r="H76" s="87" t="s">
        <v>365</v>
      </c>
      <c r="I76" s="87" t="s">
        <v>389</v>
      </c>
      <c r="J76" s="87" t="s">
        <v>390</v>
      </c>
      <c r="K76" s="87" t="s">
        <v>368</v>
      </c>
      <c r="L76" s="134">
        <v>2000</v>
      </c>
      <c r="M76" s="157">
        <v>45957</v>
      </c>
      <c r="N76" s="134"/>
      <c r="O76" s="135" t="str">
        <f>IF(COUNT(商品マスタ[[#This Row],[参考上代
（税込)]]) &gt; 0, (商品マスタ[[#This Row],[参考上代
（税込)]]-商品マスタ[[#This Row],[国内定価
（15％）]])/(商品マスタ[[#This Row],[参考上代
（税込)]]/1.08), "")</f>
        <v/>
      </c>
      <c r="P76" s="136">
        <v>0.1</v>
      </c>
      <c r="Q76" s="137">
        <f>商品マスタ[[#This Row],[仕入
単価]]*商品マスタ[[#This Row],[標準国内送料率]]</f>
        <v>200</v>
      </c>
      <c r="R76" s="134"/>
      <c r="S76" s="134">
        <f>IF(ISBLANK(商品マスタ[[#This Row],[実績
国内送料]]),商品マスタ[[#This Row],[標準国内送料]],)</f>
        <v>200</v>
      </c>
      <c r="T76" s="134">
        <f>商品マスタ[[#This Row],[仕入
単価]]+商品マスタ[[#This Row],[国内送料]]</f>
        <v>2200</v>
      </c>
      <c r="U76" s="134">
        <f>ROUNDUP(商品マスタ[[#This Row],[仕入単価+国内送料]]/0.8,-1)</f>
        <v>2750</v>
      </c>
      <c r="V76" s="134">
        <f>商品マスタ[[#This Row],[海外定価
（20％）]]-商品マスタ[[#This Row],[仕入単価+国内送料]]</f>
        <v>550</v>
      </c>
      <c r="W76" s="87">
        <f>ROUNDUP(商品マスタ[[#This Row],[仕入単価+国内送料]]/0.85,-1)</f>
        <v>2590</v>
      </c>
      <c r="X76" s="134">
        <f>商品マスタ[[#This Row],[国内定価
（15％）]]-商品マスタ[[#This Row],[仕入単価+国内送料]]</f>
        <v>390</v>
      </c>
      <c r="Y76" s="139">
        <v>0.08</v>
      </c>
      <c r="Z76" s="87" t="s">
        <v>369</v>
      </c>
      <c r="AA76" s="87" t="s">
        <v>370</v>
      </c>
      <c r="AB76" s="87" t="s">
        <v>371</v>
      </c>
      <c r="AC76" s="140"/>
      <c r="AD76" s="87"/>
      <c r="AE76" s="87"/>
      <c r="AF76" s="87"/>
      <c r="AG76" s="141"/>
    </row>
    <row r="77" spans="1:33" ht="18">
      <c r="A77" s="166" t="s">
        <v>1523</v>
      </c>
      <c r="B77" s="176" t="s">
        <v>1231</v>
      </c>
      <c r="C77" s="167" t="s">
        <v>133</v>
      </c>
      <c r="D77" s="143" t="str">
        <f>"PRD_SNJ_"&amp;
_xlfn.XLOOKUP(商品マスタ[[#This Row],[仕入先]],テーブル1[仕入先名],テーブル1[仕入先コード],"XXX",0,1)&amp;
"_"&amp;
商品マスタ[[#This Row],[シリアル]]&amp;
"_"&amp;
TEXT(COUNTIFS(商品マスタ!$C$3:C77,商品マスタ[[#This Row],[仕入先]],商品マスタ!$E$3:E77,商品マスタ[[#This Row],[商品名]]), "00")</f>
        <v>PRD_SNJ_UST_0013_01</v>
      </c>
      <c r="E77" s="87" t="s">
        <v>397</v>
      </c>
      <c r="F77" s="87">
        <f>IF(COUNTIFS($C$3:C77,商品マスタ[[#This Row],[仕入先]],$E$3:E77,商品マスタ[[#This Row],[商品名]]) = 1, 1,0)</f>
        <v>1</v>
      </c>
      <c r="G77" s="133" t="str">
        <f>TEXT(SUMIF($C$3:C77,商品マスタ[[#This Row],[仕入先]],$F$3:F77), "0000")</f>
        <v>0013</v>
      </c>
      <c r="H77" s="87" t="s">
        <v>365</v>
      </c>
      <c r="I77" s="87" t="s">
        <v>398</v>
      </c>
      <c r="J77" s="87" t="s">
        <v>367</v>
      </c>
      <c r="K77" s="87" t="s">
        <v>368</v>
      </c>
      <c r="L77" s="134">
        <v>4300</v>
      </c>
      <c r="M77" s="157">
        <v>45957</v>
      </c>
      <c r="N77" s="134"/>
      <c r="O77" s="135" t="str">
        <f>IF(COUNT(商品マスタ[[#This Row],[参考上代
（税込)]]) &gt; 0, (商品マスタ[[#This Row],[参考上代
（税込)]]-商品マスタ[[#This Row],[国内定価
（15％）]])/(商品マスタ[[#This Row],[参考上代
（税込)]]/1.08), "")</f>
        <v/>
      </c>
      <c r="P77" s="136">
        <v>0.1</v>
      </c>
      <c r="Q77" s="137">
        <f>商品マスタ[[#This Row],[仕入
単価]]*商品マスタ[[#This Row],[標準国内送料率]]</f>
        <v>430</v>
      </c>
      <c r="R77" s="134"/>
      <c r="S77" s="134">
        <f>IF(ISBLANK(商品マスタ[[#This Row],[実績
国内送料]]),商品マスタ[[#This Row],[標準国内送料]],)</f>
        <v>430</v>
      </c>
      <c r="T77" s="134">
        <f>商品マスタ[[#This Row],[仕入
単価]]+商品マスタ[[#This Row],[国内送料]]</f>
        <v>4730</v>
      </c>
      <c r="U77" s="134">
        <f>ROUNDUP(商品マスタ[[#This Row],[仕入単価+国内送料]]/0.8,-1)</f>
        <v>5920</v>
      </c>
      <c r="V77" s="134">
        <f>商品マスタ[[#This Row],[海外定価
（20％）]]-商品マスタ[[#This Row],[仕入単価+国内送料]]</f>
        <v>1190</v>
      </c>
      <c r="W77" s="87">
        <f>ROUNDUP(商品マスタ[[#This Row],[仕入単価+国内送料]]/0.85,-1)</f>
        <v>5570</v>
      </c>
      <c r="X77" s="134">
        <f>商品マスタ[[#This Row],[国内定価
（15％）]]-商品マスタ[[#This Row],[仕入単価+国内送料]]</f>
        <v>840</v>
      </c>
      <c r="Y77" s="139">
        <v>0.08</v>
      </c>
      <c r="Z77" s="87" t="s">
        <v>369</v>
      </c>
      <c r="AA77" s="87" t="s">
        <v>399</v>
      </c>
      <c r="AB77" s="87" t="s">
        <v>371</v>
      </c>
      <c r="AC77" s="140"/>
      <c r="AD77" s="87"/>
      <c r="AE77" s="87"/>
      <c r="AF77" s="87"/>
      <c r="AG77" s="141"/>
    </row>
    <row r="78" spans="1:33" ht="18">
      <c r="A78" s="166" t="s">
        <v>1523</v>
      </c>
      <c r="B78" s="176" t="s">
        <v>1231</v>
      </c>
      <c r="C78" s="167" t="s">
        <v>133</v>
      </c>
      <c r="D78" s="143" t="str">
        <f>"PRD_SNJ_"&amp;
_xlfn.XLOOKUP(商品マスタ[[#This Row],[仕入先]],テーブル1[仕入先名],テーブル1[仕入先コード],"XXX",0,1)&amp;
"_"&amp;
商品マスタ[[#This Row],[シリアル]]&amp;
"_"&amp;
TEXT(COUNTIFS(商品マスタ!$C$3:C78,商品マスタ[[#This Row],[仕入先]],商品マスタ!$E$3:E78,商品マスタ[[#This Row],[商品名]]), "00")</f>
        <v>PRD_SNJ_UST_0014_01</v>
      </c>
      <c r="E78" s="87" t="s">
        <v>400</v>
      </c>
      <c r="F78" s="87">
        <f>IF(COUNTIFS($C$3:C78,商品マスタ[[#This Row],[仕入先]],$E$3:E78,商品マスタ[[#This Row],[商品名]]) = 1, 1,0)</f>
        <v>1</v>
      </c>
      <c r="G78" s="133" t="str">
        <f>TEXT(SUMIF($C$3:C78,商品マスタ[[#This Row],[仕入先]],$F$3:F78), "0000")</f>
        <v>0014</v>
      </c>
      <c r="H78" s="87" t="s">
        <v>365</v>
      </c>
      <c r="I78" s="87" t="s">
        <v>398</v>
      </c>
      <c r="J78" s="87" t="s">
        <v>367</v>
      </c>
      <c r="K78" s="87" t="s">
        <v>368</v>
      </c>
      <c r="L78" s="134">
        <v>4300</v>
      </c>
      <c r="M78" s="157">
        <v>45957</v>
      </c>
      <c r="N78" s="134"/>
      <c r="O78" s="135" t="str">
        <f>IF(COUNT(商品マスタ[[#This Row],[参考上代
（税込)]]) &gt; 0, (商品マスタ[[#This Row],[参考上代
（税込)]]-商品マスタ[[#This Row],[国内定価
（15％）]])/(商品マスタ[[#This Row],[参考上代
（税込)]]/1.08), "")</f>
        <v/>
      </c>
      <c r="P78" s="136">
        <v>0.1</v>
      </c>
      <c r="Q78" s="137">
        <f>商品マスタ[[#This Row],[仕入
単価]]*商品マスタ[[#This Row],[標準国内送料率]]</f>
        <v>430</v>
      </c>
      <c r="R78" s="134"/>
      <c r="S78" s="134">
        <f>IF(ISBLANK(商品マスタ[[#This Row],[実績
国内送料]]),商品マスタ[[#This Row],[標準国内送料]],)</f>
        <v>430</v>
      </c>
      <c r="T78" s="134">
        <f>商品マスタ[[#This Row],[仕入
単価]]+商品マスタ[[#This Row],[国内送料]]</f>
        <v>4730</v>
      </c>
      <c r="U78" s="134">
        <f>ROUNDUP(商品マスタ[[#This Row],[仕入単価+国内送料]]/0.8,-1)</f>
        <v>5920</v>
      </c>
      <c r="V78" s="134">
        <f>商品マスタ[[#This Row],[海外定価
（20％）]]-商品マスタ[[#This Row],[仕入単価+国内送料]]</f>
        <v>1190</v>
      </c>
      <c r="W78" s="87">
        <f>ROUNDUP(商品マスタ[[#This Row],[仕入単価+国内送料]]/0.85,-1)</f>
        <v>5570</v>
      </c>
      <c r="X78" s="134">
        <f>商品マスタ[[#This Row],[国内定価
（15％）]]-商品マスタ[[#This Row],[仕入単価+国内送料]]</f>
        <v>840</v>
      </c>
      <c r="Y78" s="139">
        <v>0.08</v>
      </c>
      <c r="Z78" s="87" t="s">
        <v>369</v>
      </c>
      <c r="AA78" s="87" t="s">
        <v>399</v>
      </c>
      <c r="AB78" s="87" t="s">
        <v>371</v>
      </c>
      <c r="AC78" s="140"/>
      <c r="AD78" s="87"/>
      <c r="AE78" s="87"/>
      <c r="AF78" s="87"/>
      <c r="AG78" s="141"/>
    </row>
    <row r="79" spans="1:33" ht="18">
      <c r="A79" s="166" t="s">
        <v>1523</v>
      </c>
      <c r="B79" s="176" t="s">
        <v>1231</v>
      </c>
      <c r="C79" s="167" t="s">
        <v>133</v>
      </c>
      <c r="D79" s="143" t="str">
        <f>"PRD_SNJ_"&amp;
_xlfn.XLOOKUP(商品マスタ[[#This Row],[仕入先]],テーブル1[仕入先名],テーブル1[仕入先コード],"XXX",0,1)&amp;
"_"&amp;
商品マスタ[[#This Row],[シリアル]]&amp;
"_"&amp;
TEXT(COUNTIFS(商品マスタ!$C$3:C79,商品マスタ[[#This Row],[仕入先]],商品マスタ!$E$3:E79,商品マスタ[[#This Row],[商品名]]), "00")</f>
        <v>PRD_SNJ_UST_0015_01</v>
      </c>
      <c r="E79" s="87" t="s">
        <v>401</v>
      </c>
      <c r="F79" s="87">
        <f>IF(COUNTIFS($C$3:C79,商品マスタ[[#This Row],[仕入先]],$E$3:E79,商品マスタ[[#This Row],[商品名]]) = 1, 1,0)</f>
        <v>1</v>
      </c>
      <c r="G79" s="133" t="str">
        <f>TEXT(SUMIF($C$3:C79,商品マスタ[[#This Row],[仕入先]],$F$3:F79), "0000")</f>
        <v>0015</v>
      </c>
      <c r="H79" s="87" t="s">
        <v>365</v>
      </c>
      <c r="I79" s="87" t="s">
        <v>402</v>
      </c>
      <c r="J79" s="87" t="s">
        <v>367</v>
      </c>
      <c r="K79" s="87" t="s">
        <v>368</v>
      </c>
      <c r="L79" s="134">
        <v>2000</v>
      </c>
      <c r="M79" s="157">
        <v>45957</v>
      </c>
      <c r="N79" s="134"/>
      <c r="O79" s="135" t="str">
        <f>IF(COUNT(商品マスタ[[#This Row],[参考上代
（税込)]]) &gt; 0, (商品マスタ[[#This Row],[参考上代
（税込)]]-商品マスタ[[#This Row],[国内定価
（15％）]])/(商品マスタ[[#This Row],[参考上代
（税込)]]/1.08), "")</f>
        <v/>
      </c>
      <c r="P79" s="136">
        <v>0.1</v>
      </c>
      <c r="Q79" s="137">
        <f>商品マスタ[[#This Row],[仕入
単価]]*商品マスタ[[#This Row],[標準国内送料率]]</f>
        <v>200</v>
      </c>
      <c r="R79" s="134"/>
      <c r="S79" s="134">
        <f>IF(ISBLANK(商品マスタ[[#This Row],[実績
国内送料]]),商品マスタ[[#This Row],[標準国内送料]],)</f>
        <v>200</v>
      </c>
      <c r="T79" s="134">
        <f>商品マスタ[[#This Row],[仕入
単価]]+商品マスタ[[#This Row],[国内送料]]</f>
        <v>2200</v>
      </c>
      <c r="U79" s="134">
        <f>ROUNDUP(商品マスタ[[#This Row],[仕入単価+国内送料]]/0.8,-1)</f>
        <v>2750</v>
      </c>
      <c r="V79" s="134">
        <f>商品マスタ[[#This Row],[海外定価
（20％）]]-商品マスタ[[#This Row],[仕入単価+国内送料]]</f>
        <v>550</v>
      </c>
      <c r="W79" s="87">
        <f>ROUNDUP(商品マスタ[[#This Row],[仕入単価+国内送料]]/0.85,-1)</f>
        <v>2590</v>
      </c>
      <c r="X79" s="134">
        <f>商品マスタ[[#This Row],[国内定価
（15％）]]-商品マスタ[[#This Row],[仕入単価+国内送料]]</f>
        <v>390</v>
      </c>
      <c r="Y79" s="139">
        <v>0.08</v>
      </c>
      <c r="Z79" s="87" t="s">
        <v>369</v>
      </c>
      <c r="AA79" s="87" t="s">
        <v>399</v>
      </c>
      <c r="AB79" s="87" t="s">
        <v>371</v>
      </c>
      <c r="AC79" s="140"/>
      <c r="AD79" s="87"/>
      <c r="AE79" s="87"/>
      <c r="AF79" s="87"/>
      <c r="AG79" s="141"/>
    </row>
    <row r="80" spans="1:33" ht="18">
      <c r="A80" s="166" t="s">
        <v>1523</v>
      </c>
      <c r="B80" s="176" t="s">
        <v>1231</v>
      </c>
      <c r="C80" s="167" t="s">
        <v>133</v>
      </c>
      <c r="D80" s="143" t="str">
        <f>"PRD_SNJ_"&amp;
_xlfn.XLOOKUP(商品マスタ[[#This Row],[仕入先]],テーブル1[仕入先名],テーブル1[仕入先コード],"XXX",0,1)&amp;
"_"&amp;
商品マスタ[[#This Row],[シリアル]]&amp;
"_"&amp;
TEXT(COUNTIFS(商品マスタ!$C$3:C80,商品マスタ[[#This Row],[仕入先]],商品マスタ!$E$3:E80,商品マスタ[[#This Row],[商品名]]), "00")</f>
        <v>PRD_SNJ_UST_0016_01</v>
      </c>
      <c r="E80" s="87" t="s">
        <v>403</v>
      </c>
      <c r="F80" s="87">
        <f>IF(COUNTIFS($C$3:C80,商品マスタ[[#This Row],[仕入先]],$E$3:E80,商品マスタ[[#This Row],[商品名]]) = 1, 1,0)</f>
        <v>1</v>
      </c>
      <c r="G80" s="133" t="str">
        <f>TEXT(SUMIF($C$3:C80,商品マスタ[[#This Row],[仕入先]],$F$3:F80), "0000")</f>
        <v>0016</v>
      </c>
      <c r="H80" s="87" t="s">
        <v>365</v>
      </c>
      <c r="I80" s="87" t="s">
        <v>398</v>
      </c>
      <c r="J80" s="87" t="s">
        <v>367</v>
      </c>
      <c r="K80" s="87" t="s">
        <v>368</v>
      </c>
      <c r="L80" s="134">
        <v>1700</v>
      </c>
      <c r="M80" s="157">
        <v>45957</v>
      </c>
      <c r="N80" s="134"/>
      <c r="O80" s="135" t="str">
        <f>IF(COUNT(商品マスタ[[#This Row],[参考上代
（税込)]]) &gt; 0, (商品マスタ[[#This Row],[参考上代
（税込)]]-商品マスタ[[#This Row],[国内定価
（15％）]])/(商品マスタ[[#This Row],[参考上代
（税込)]]/1.08), "")</f>
        <v/>
      </c>
      <c r="P80" s="136">
        <v>0.1</v>
      </c>
      <c r="Q80" s="137">
        <f>商品マスタ[[#This Row],[仕入
単価]]*商品マスタ[[#This Row],[標準国内送料率]]</f>
        <v>170</v>
      </c>
      <c r="R80" s="134"/>
      <c r="S80" s="134">
        <f>IF(ISBLANK(商品マスタ[[#This Row],[実績
国内送料]]),商品マスタ[[#This Row],[標準国内送料]],)</f>
        <v>170</v>
      </c>
      <c r="T80" s="134">
        <f>商品マスタ[[#This Row],[仕入
単価]]+商品マスタ[[#This Row],[国内送料]]</f>
        <v>1870</v>
      </c>
      <c r="U80" s="134">
        <f>ROUNDUP(商品マスタ[[#This Row],[仕入単価+国内送料]]/0.8,-1)</f>
        <v>2340</v>
      </c>
      <c r="V80" s="134">
        <f>商品マスタ[[#This Row],[海外定価
（20％）]]-商品マスタ[[#This Row],[仕入単価+国内送料]]</f>
        <v>470</v>
      </c>
      <c r="W80" s="87">
        <f>ROUNDUP(商品マスタ[[#This Row],[仕入単価+国内送料]]/0.85,-1)</f>
        <v>2200</v>
      </c>
      <c r="X80" s="134">
        <f>商品マスタ[[#This Row],[国内定価
（15％）]]-商品マスタ[[#This Row],[仕入単価+国内送料]]</f>
        <v>330</v>
      </c>
      <c r="Y80" s="139">
        <v>0.08</v>
      </c>
      <c r="Z80" s="87"/>
      <c r="AA80" s="87"/>
      <c r="AB80" s="87"/>
      <c r="AC80" s="140"/>
      <c r="AD80" s="87"/>
      <c r="AE80" s="87"/>
      <c r="AF80" s="87"/>
      <c r="AG80" s="141"/>
    </row>
    <row r="81" spans="1:33" ht="18">
      <c r="A81" s="166" t="s">
        <v>1523</v>
      </c>
      <c r="B81" s="176" t="s">
        <v>1231</v>
      </c>
      <c r="C81" s="167" t="s">
        <v>133</v>
      </c>
      <c r="D81" s="143" t="str">
        <f>"PRD_SNJ_"&amp;
_xlfn.XLOOKUP(商品マスタ[[#This Row],[仕入先]],テーブル1[仕入先名],テーブル1[仕入先コード],"XXX",0,1)&amp;
"_"&amp;
商品マスタ[[#This Row],[シリアル]]&amp;
"_"&amp;
TEXT(COUNTIFS(商品マスタ!$C$3:C81,商品マスタ[[#This Row],[仕入先]],商品マスタ!$E$3:E81,商品マスタ[[#This Row],[商品名]]), "00")</f>
        <v>PRD_SNJ_UST_0017_01</v>
      </c>
      <c r="E81" s="87" t="s">
        <v>404</v>
      </c>
      <c r="F81" s="87">
        <f>IF(COUNTIFS($C$3:C81,商品マスタ[[#This Row],[仕入先]],$E$3:E81,商品マスタ[[#This Row],[商品名]]) = 1, 1,0)</f>
        <v>1</v>
      </c>
      <c r="G81" s="133" t="str">
        <f>TEXT(SUMIF($C$3:C81,商品マスタ[[#This Row],[仕入先]],$F$3:F81), "0000")</f>
        <v>0017</v>
      </c>
      <c r="H81" s="87" t="s">
        <v>365</v>
      </c>
      <c r="I81" s="87" t="s">
        <v>405</v>
      </c>
      <c r="J81" s="87" t="s">
        <v>393</v>
      </c>
      <c r="K81" s="87" t="s">
        <v>368</v>
      </c>
      <c r="L81" s="134">
        <v>1800</v>
      </c>
      <c r="M81" s="157">
        <v>45957</v>
      </c>
      <c r="N81" s="134"/>
      <c r="O81" s="135" t="str">
        <f>IF(COUNT(商品マスタ[[#This Row],[参考上代
（税込)]]) &gt; 0, (商品マスタ[[#This Row],[参考上代
（税込)]]-商品マスタ[[#This Row],[国内定価
（15％）]])/(商品マスタ[[#This Row],[参考上代
（税込)]]/1.08), "")</f>
        <v/>
      </c>
      <c r="P81" s="136">
        <v>0.1</v>
      </c>
      <c r="Q81" s="137">
        <f>商品マスタ[[#This Row],[仕入
単価]]*商品マスタ[[#This Row],[標準国内送料率]]</f>
        <v>180</v>
      </c>
      <c r="R81" s="134"/>
      <c r="S81" s="134">
        <f>IF(ISBLANK(商品マスタ[[#This Row],[実績
国内送料]]),商品マスタ[[#This Row],[標準国内送料]],)</f>
        <v>180</v>
      </c>
      <c r="T81" s="134">
        <f>商品マスタ[[#This Row],[仕入
単価]]+商品マスタ[[#This Row],[国内送料]]</f>
        <v>1980</v>
      </c>
      <c r="U81" s="134">
        <f>ROUNDUP(商品マスタ[[#This Row],[仕入単価+国内送料]]/0.8,-1)</f>
        <v>2480</v>
      </c>
      <c r="V81" s="134">
        <f>商品マスタ[[#This Row],[海外定価
（20％）]]-商品マスタ[[#This Row],[仕入単価+国内送料]]</f>
        <v>500</v>
      </c>
      <c r="W81" s="87">
        <f>ROUNDUP(商品マスタ[[#This Row],[仕入単価+国内送料]]/0.85,-1)</f>
        <v>2330</v>
      </c>
      <c r="X81" s="134">
        <f>商品マスタ[[#This Row],[国内定価
（15％）]]-商品マスタ[[#This Row],[仕入単価+国内送料]]</f>
        <v>350</v>
      </c>
      <c r="Y81" s="139">
        <v>0.08</v>
      </c>
      <c r="Z81" s="87"/>
      <c r="AA81" s="87"/>
      <c r="AB81" s="87"/>
      <c r="AC81" s="140"/>
      <c r="AD81" s="87"/>
      <c r="AE81" s="87"/>
      <c r="AF81" s="87"/>
      <c r="AG81" s="141"/>
    </row>
    <row r="82" spans="1:33" ht="18">
      <c r="A82" s="166" t="s">
        <v>1523</v>
      </c>
      <c r="B82" s="176" t="s">
        <v>1231</v>
      </c>
      <c r="C82" s="167" t="s">
        <v>133</v>
      </c>
      <c r="D82" s="143" t="str">
        <f>"PRD_SNJ_"&amp;
_xlfn.XLOOKUP(商品マスタ[[#This Row],[仕入先]],テーブル1[仕入先名],テーブル1[仕入先コード],"XXX",0,1)&amp;
"_"&amp;
商品マスタ[[#This Row],[シリアル]]&amp;
"_"&amp;
TEXT(COUNTIFS(商品マスタ!$C$3:C82,商品マスタ[[#This Row],[仕入先]],商品マスタ!$E$3:E82,商品マスタ[[#This Row],[商品名]]), "00")</f>
        <v>PRD_SNJ_UST_0018_01</v>
      </c>
      <c r="E82" s="87" t="s">
        <v>406</v>
      </c>
      <c r="F82" s="87">
        <f>IF(COUNTIFS($C$3:C82,商品マスタ[[#This Row],[仕入先]],$E$3:E82,商品マスタ[[#This Row],[商品名]]) = 1, 1,0)</f>
        <v>1</v>
      </c>
      <c r="G82" s="133" t="str">
        <f>TEXT(SUMIF($C$3:C82,商品マスタ[[#This Row],[仕入先]],$F$3:F82), "0000")</f>
        <v>0018</v>
      </c>
      <c r="H82" s="87" t="s">
        <v>365</v>
      </c>
      <c r="I82" s="87" t="s">
        <v>407</v>
      </c>
      <c r="J82" s="87" t="s">
        <v>367</v>
      </c>
      <c r="K82" s="87" t="s">
        <v>368</v>
      </c>
      <c r="L82" s="134">
        <v>3400</v>
      </c>
      <c r="M82" s="157">
        <v>45957</v>
      </c>
      <c r="N82" s="134"/>
      <c r="O82" s="135" t="str">
        <f>IF(COUNT(商品マスタ[[#This Row],[参考上代
（税込)]]) &gt; 0, (商品マスタ[[#This Row],[参考上代
（税込)]]-商品マスタ[[#This Row],[国内定価
（15％）]])/(商品マスタ[[#This Row],[参考上代
（税込)]]/1.08), "")</f>
        <v/>
      </c>
      <c r="P82" s="136">
        <v>0.1</v>
      </c>
      <c r="Q82" s="137">
        <f>商品マスタ[[#This Row],[仕入
単価]]*商品マスタ[[#This Row],[標準国内送料率]]</f>
        <v>340</v>
      </c>
      <c r="R82" s="134"/>
      <c r="S82" s="134">
        <f>IF(ISBLANK(商品マスタ[[#This Row],[実績
国内送料]]),商品マスタ[[#This Row],[標準国内送料]],)</f>
        <v>340</v>
      </c>
      <c r="T82" s="134">
        <f>商品マスタ[[#This Row],[仕入
単価]]+商品マスタ[[#This Row],[国内送料]]</f>
        <v>3740</v>
      </c>
      <c r="U82" s="134">
        <f>ROUNDUP(商品マスタ[[#This Row],[仕入単価+国内送料]]/0.8,-1)</f>
        <v>4680</v>
      </c>
      <c r="V82" s="134">
        <f>商品マスタ[[#This Row],[海外定価
（20％）]]-商品マスタ[[#This Row],[仕入単価+国内送料]]</f>
        <v>940</v>
      </c>
      <c r="W82" s="87">
        <f>ROUNDUP(商品マスタ[[#This Row],[仕入単価+国内送料]]/0.85,-1)</f>
        <v>4400</v>
      </c>
      <c r="X82" s="134">
        <f>商品マスタ[[#This Row],[国内定価
（15％）]]-商品マスタ[[#This Row],[仕入単価+国内送料]]</f>
        <v>660</v>
      </c>
      <c r="Y82" s="139">
        <v>0.08</v>
      </c>
      <c r="Z82" s="87"/>
      <c r="AA82" s="87"/>
      <c r="AB82" s="87"/>
      <c r="AC82" s="140"/>
      <c r="AD82" s="87"/>
      <c r="AE82" s="87"/>
      <c r="AF82" s="87"/>
      <c r="AG82" s="141"/>
    </row>
    <row r="83" spans="1:33" ht="18">
      <c r="A83" s="166" t="s">
        <v>1523</v>
      </c>
      <c r="B83" s="176" t="s">
        <v>1231</v>
      </c>
      <c r="C83" s="167" t="s">
        <v>133</v>
      </c>
      <c r="D83" s="143" t="str">
        <f>"PRD_SNJ_"&amp;
_xlfn.XLOOKUP(商品マスタ[[#This Row],[仕入先]],テーブル1[仕入先名],テーブル1[仕入先コード],"XXX",0,1)&amp;
"_"&amp;
商品マスタ[[#This Row],[シリアル]]&amp;
"_"&amp;
TEXT(COUNTIFS(商品マスタ!$C$3:C83,商品マスタ[[#This Row],[仕入先]],商品マスタ!$E$3:E83,商品マスタ[[#This Row],[商品名]]), "00")</f>
        <v>PRD_SNJ_UST_0019_01</v>
      </c>
      <c r="E83" s="87" t="s">
        <v>408</v>
      </c>
      <c r="F83" s="87">
        <f>IF(COUNTIFS($C$3:C83,商品マスタ[[#This Row],[仕入先]],$E$3:E83,商品マスタ[[#This Row],[商品名]]) = 1, 1,0)</f>
        <v>1</v>
      </c>
      <c r="G83" s="133" t="str">
        <f>TEXT(SUMIF($C$3:C83,商品マスタ[[#This Row],[仕入先]],$F$3:F83), "0000")</f>
        <v>0019</v>
      </c>
      <c r="H83" s="87" t="s">
        <v>365</v>
      </c>
      <c r="I83" s="87" t="s">
        <v>402</v>
      </c>
      <c r="J83" s="87" t="s">
        <v>367</v>
      </c>
      <c r="K83" s="87" t="s">
        <v>368</v>
      </c>
      <c r="L83" s="134">
        <v>3800</v>
      </c>
      <c r="M83" s="157">
        <v>45957</v>
      </c>
      <c r="N83" s="134"/>
      <c r="O83" s="135" t="str">
        <f>IF(COUNT(商品マスタ[[#This Row],[参考上代
（税込)]]) &gt; 0, (商品マスタ[[#This Row],[参考上代
（税込)]]-商品マスタ[[#This Row],[国内定価
（15％）]])/(商品マスタ[[#This Row],[参考上代
（税込)]]/1.08), "")</f>
        <v/>
      </c>
      <c r="P83" s="136">
        <v>0.1</v>
      </c>
      <c r="Q83" s="137">
        <f>商品マスタ[[#This Row],[仕入
単価]]*商品マスタ[[#This Row],[標準国内送料率]]</f>
        <v>380</v>
      </c>
      <c r="R83" s="134"/>
      <c r="S83" s="134">
        <f>IF(ISBLANK(商品マスタ[[#This Row],[実績
国内送料]]),商品マスタ[[#This Row],[標準国内送料]],)</f>
        <v>380</v>
      </c>
      <c r="T83" s="134">
        <f>商品マスタ[[#This Row],[仕入
単価]]+商品マスタ[[#This Row],[国内送料]]</f>
        <v>4180</v>
      </c>
      <c r="U83" s="134">
        <f>ROUNDUP(商品マスタ[[#This Row],[仕入単価+国内送料]]/0.8,-1)</f>
        <v>5230</v>
      </c>
      <c r="V83" s="134">
        <f>商品マスタ[[#This Row],[海外定価
（20％）]]-商品マスタ[[#This Row],[仕入単価+国内送料]]</f>
        <v>1050</v>
      </c>
      <c r="W83" s="87">
        <f>ROUNDUP(商品マスタ[[#This Row],[仕入単価+国内送料]]/0.85,-1)</f>
        <v>4920</v>
      </c>
      <c r="X83" s="134">
        <f>商品マスタ[[#This Row],[国内定価
（15％）]]-商品マスタ[[#This Row],[仕入単価+国内送料]]</f>
        <v>740</v>
      </c>
      <c r="Y83" s="139">
        <v>0.08</v>
      </c>
      <c r="Z83" s="87"/>
      <c r="AA83" s="87"/>
      <c r="AB83" s="87"/>
      <c r="AC83" s="140"/>
      <c r="AD83" s="87"/>
      <c r="AE83" s="87"/>
      <c r="AF83" s="87"/>
      <c r="AG83" s="141"/>
    </row>
    <row r="84" spans="1:33" ht="18">
      <c r="A84" s="166" t="s">
        <v>1523</v>
      </c>
      <c r="B84" s="176" t="s">
        <v>1231</v>
      </c>
      <c r="C84" s="167" t="s">
        <v>133</v>
      </c>
      <c r="D84" s="143" t="str">
        <f>"PRD_SNJ_"&amp;
_xlfn.XLOOKUP(商品マスタ[[#This Row],[仕入先]],テーブル1[仕入先名],テーブル1[仕入先コード],"XXX",0,1)&amp;
"_"&amp;
商品マスタ[[#This Row],[シリアル]]&amp;
"_"&amp;
TEXT(COUNTIFS(商品マスタ!$C$3:C84,商品マスタ[[#This Row],[仕入先]],商品マスタ!$E$3:E84,商品マスタ[[#This Row],[商品名]]), "00")</f>
        <v>PRD_SNJ_UST_0020_01</v>
      </c>
      <c r="E84" s="87" t="s">
        <v>409</v>
      </c>
      <c r="F84" s="87">
        <f>IF(COUNTIFS($C$3:C84,商品マスタ[[#This Row],[仕入先]],$E$3:E84,商品マスタ[[#This Row],[商品名]]) = 1, 1,0)</f>
        <v>1</v>
      </c>
      <c r="G84" s="133" t="str">
        <f>TEXT(SUMIF($C$3:C84,商品マスタ[[#This Row],[仕入先]],$F$3:F84), "0000")</f>
        <v>0020</v>
      </c>
      <c r="H84" s="87" t="s">
        <v>365</v>
      </c>
      <c r="I84" s="87" t="s">
        <v>410</v>
      </c>
      <c r="J84" s="87" t="s">
        <v>387</v>
      </c>
      <c r="K84" s="87" t="s">
        <v>411</v>
      </c>
      <c r="L84" s="134">
        <v>1350</v>
      </c>
      <c r="M84" s="157">
        <v>45957</v>
      </c>
      <c r="N84" s="134"/>
      <c r="O84" s="135" t="str">
        <f>IF(COUNT(商品マスタ[[#This Row],[参考上代
（税込)]]) &gt; 0, (商品マスタ[[#This Row],[参考上代
（税込)]]-商品マスタ[[#This Row],[国内定価
（15％）]])/(商品マスタ[[#This Row],[参考上代
（税込)]]/1.08), "")</f>
        <v/>
      </c>
      <c r="P84" s="136">
        <v>0.1</v>
      </c>
      <c r="Q84" s="137">
        <f>商品マスタ[[#This Row],[仕入
単価]]*商品マスタ[[#This Row],[標準国内送料率]]</f>
        <v>135</v>
      </c>
      <c r="R84" s="134"/>
      <c r="S84" s="134">
        <f>IF(ISBLANK(商品マスタ[[#This Row],[実績
国内送料]]),商品マスタ[[#This Row],[標準国内送料]],)</f>
        <v>135</v>
      </c>
      <c r="T84" s="134">
        <f>商品マスタ[[#This Row],[仕入
単価]]+商品マスタ[[#This Row],[国内送料]]</f>
        <v>1485</v>
      </c>
      <c r="U84" s="134">
        <f>ROUNDUP(商品マスタ[[#This Row],[仕入単価+国内送料]]/0.8,-1)</f>
        <v>1860</v>
      </c>
      <c r="V84" s="134">
        <f>商品マスタ[[#This Row],[海外定価
（20％）]]-商品マスタ[[#This Row],[仕入単価+国内送料]]</f>
        <v>375</v>
      </c>
      <c r="W84" s="87">
        <f>ROUNDUP(商品マスタ[[#This Row],[仕入単価+国内送料]]/0.85,-1)</f>
        <v>1750</v>
      </c>
      <c r="X84" s="134">
        <f>商品マスタ[[#This Row],[国内定価
（15％）]]-商品マスタ[[#This Row],[仕入単価+国内送料]]</f>
        <v>265</v>
      </c>
      <c r="Y84" s="139">
        <v>0.08</v>
      </c>
      <c r="Z84" s="87"/>
      <c r="AA84" s="87"/>
      <c r="AB84" s="87"/>
      <c r="AC84" s="140"/>
      <c r="AD84" s="87"/>
      <c r="AE84" s="87"/>
      <c r="AF84" s="87"/>
      <c r="AG84" s="141"/>
    </row>
    <row r="85" spans="1:33" ht="18">
      <c r="A85" s="166" t="s">
        <v>1523</v>
      </c>
      <c r="B85" s="176" t="s">
        <v>1231</v>
      </c>
      <c r="C85" s="167" t="s">
        <v>133</v>
      </c>
      <c r="D85" s="143" t="str">
        <f>"PRD_SNJ_"&amp;
_xlfn.XLOOKUP(商品マスタ[[#This Row],[仕入先]],テーブル1[仕入先名],テーブル1[仕入先コード],"XXX",0,1)&amp;
"_"&amp;
商品マスタ[[#This Row],[シリアル]]&amp;
"_"&amp;
TEXT(COUNTIFS(商品マスタ!$C$3:C85,商品マスタ[[#This Row],[仕入先]],商品マスタ!$E$3:E85,商品マスタ[[#This Row],[商品名]]), "00")</f>
        <v>PRD_SNJ_UST_0021_01</v>
      </c>
      <c r="E85" s="87" t="s">
        <v>412</v>
      </c>
      <c r="F85" s="87">
        <f>IF(COUNTIFS($C$3:C85,商品マスタ[[#This Row],[仕入先]],$E$3:E85,商品マスタ[[#This Row],[商品名]]) = 1, 1,0)</f>
        <v>1</v>
      </c>
      <c r="G85" s="133" t="str">
        <f>TEXT(SUMIF($C$3:C85,商品マスタ[[#This Row],[仕入先]],$F$3:F85), "0000")</f>
        <v>0021</v>
      </c>
      <c r="H85" s="87" t="s">
        <v>365</v>
      </c>
      <c r="I85" s="87" t="s">
        <v>413</v>
      </c>
      <c r="J85" s="87" t="s">
        <v>387</v>
      </c>
      <c r="K85" s="87" t="s">
        <v>411</v>
      </c>
      <c r="L85" s="134">
        <v>3000</v>
      </c>
      <c r="M85" s="157">
        <v>45957</v>
      </c>
      <c r="N85" s="134"/>
      <c r="O85" s="135" t="str">
        <f>IF(COUNT(商品マスタ[[#This Row],[参考上代
（税込)]]) &gt; 0, (商品マスタ[[#This Row],[参考上代
（税込)]]-商品マスタ[[#This Row],[国内定価
（15％）]])/(商品マスタ[[#This Row],[参考上代
（税込)]]/1.08), "")</f>
        <v/>
      </c>
      <c r="P85" s="136">
        <v>0.1</v>
      </c>
      <c r="Q85" s="137">
        <f>商品マスタ[[#This Row],[仕入
単価]]*商品マスタ[[#This Row],[標準国内送料率]]</f>
        <v>300</v>
      </c>
      <c r="R85" s="134"/>
      <c r="S85" s="134">
        <f>IF(ISBLANK(商品マスタ[[#This Row],[実績
国内送料]]),商品マスタ[[#This Row],[標準国内送料]],)</f>
        <v>300</v>
      </c>
      <c r="T85" s="134">
        <f>商品マスタ[[#This Row],[仕入
単価]]+商品マスタ[[#This Row],[国内送料]]</f>
        <v>3300</v>
      </c>
      <c r="U85" s="134">
        <f>ROUNDUP(商品マスタ[[#This Row],[仕入単価+国内送料]]/0.8,-1)</f>
        <v>4130</v>
      </c>
      <c r="V85" s="134">
        <f>商品マスタ[[#This Row],[海外定価
（20％）]]-商品マスタ[[#This Row],[仕入単価+国内送料]]</f>
        <v>830</v>
      </c>
      <c r="W85" s="87">
        <f>ROUNDUP(商品マスタ[[#This Row],[仕入単価+国内送料]]/0.85,-1)</f>
        <v>3890</v>
      </c>
      <c r="X85" s="134">
        <f>商品マスタ[[#This Row],[国内定価
（15％）]]-商品マスタ[[#This Row],[仕入単価+国内送料]]</f>
        <v>590</v>
      </c>
      <c r="Y85" s="139">
        <v>0.08</v>
      </c>
      <c r="Z85" s="87"/>
      <c r="AA85" s="87"/>
      <c r="AB85" s="87"/>
      <c r="AC85" s="140"/>
      <c r="AD85" s="87"/>
      <c r="AE85" s="87"/>
      <c r="AF85" s="87"/>
      <c r="AG85" s="141"/>
    </row>
    <row r="86" spans="1:33" ht="18">
      <c r="A86" s="166" t="s">
        <v>1523</v>
      </c>
      <c r="B86" s="176" t="s">
        <v>1231</v>
      </c>
      <c r="C86" s="167" t="s">
        <v>133</v>
      </c>
      <c r="D86" s="143" t="str">
        <f>"PRD_SNJ_"&amp;
_xlfn.XLOOKUP(商品マスタ[[#This Row],[仕入先]],テーブル1[仕入先名],テーブル1[仕入先コード],"XXX",0,1)&amp;
"_"&amp;
商品マスタ[[#This Row],[シリアル]]&amp;
"_"&amp;
TEXT(COUNTIFS(商品マスタ!$C$3:C86,商品マスタ[[#This Row],[仕入先]],商品マスタ!$E$3:E86,商品マスタ[[#This Row],[商品名]]), "00")</f>
        <v>PRD_SNJ_UST_0022_01</v>
      </c>
      <c r="E86" s="87" t="s">
        <v>414</v>
      </c>
      <c r="F86" s="87">
        <f>IF(COUNTIFS($C$3:C86,商品マスタ[[#This Row],[仕入先]],$E$3:E86,商品マスタ[[#This Row],[商品名]]) = 1, 1,0)</f>
        <v>1</v>
      </c>
      <c r="G86" s="133" t="str">
        <f>TEXT(SUMIF($C$3:C86,商品マスタ[[#This Row],[仕入先]],$F$3:F86), "0000")</f>
        <v>0022</v>
      </c>
      <c r="H86" s="87" t="s">
        <v>365</v>
      </c>
      <c r="I86" s="87" t="s">
        <v>415</v>
      </c>
      <c r="J86" s="87" t="s">
        <v>416</v>
      </c>
      <c r="K86" s="87" t="s">
        <v>417</v>
      </c>
      <c r="L86" s="134">
        <v>1400</v>
      </c>
      <c r="M86" s="157">
        <v>45957</v>
      </c>
      <c r="N86" s="134"/>
      <c r="O86" s="135" t="str">
        <f>IF(COUNT(商品マスタ[[#This Row],[参考上代
（税込)]]) &gt; 0, (商品マスタ[[#This Row],[参考上代
（税込)]]-商品マスタ[[#This Row],[国内定価
（15％）]])/(商品マスタ[[#This Row],[参考上代
（税込)]]/1.08), "")</f>
        <v/>
      </c>
      <c r="P86" s="136">
        <v>0.1</v>
      </c>
      <c r="Q86" s="137">
        <f>商品マスタ[[#This Row],[仕入
単価]]*商品マスタ[[#This Row],[標準国内送料率]]</f>
        <v>140</v>
      </c>
      <c r="R86" s="134"/>
      <c r="S86" s="134">
        <f>IF(ISBLANK(商品マスタ[[#This Row],[実績
国内送料]]),商品マスタ[[#This Row],[標準国内送料]],)</f>
        <v>140</v>
      </c>
      <c r="T86" s="134">
        <f>商品マスタ[[#This Row],[仕入
単価]]+商品マスタ[[#This Row],[国内送料]]</f>
        <v>1540</v>
      </c>
      <c r="U86" s="134">
        <f>ROUNDUP(商品マスタ[[#This Row],[仕入単価+国内送料]]/0.8,-1)</f>
        <v>1930</v>
      </c>
      <c r="V86" s="134">
        <f>商品マスタ[[#This Row],[海外定価
（20％）]]-商品マスタ[[#This Row],[仕入単価+国内送料]]</f>
        <v>390</v>
      </c>
      <c r="W86" s="87">
        <f>ROUNDUP(商品マスタ[[#This Row],[仕入単価+国内送料]]/0.85,-1)</f>
        <v>1820</v>
      </c>
      <c r="X86" s="134">
        <f>商品マスタ[[#This Row],[国内定価
（15％）]]-商品マスタ[[#This Row],[仕入単価+国内送料]]</f>
        <v>280</v>
      </c>
      <c r="Y86" s="139">
        <v>0.08</v>
      </c>
      <c r="Z86" s="87"/>
      <c r="AA86" s="87"/>
      <c r="AB86" s="87"/>
      <c r="AC86" s="140"/>
      <c r="AD86" s="87"/>
      <c r="AE86" s="87"/>
      <c r="AF86" s="87"/>
      <c r="AG86" s="141"/>
    </row>
    <row r="87" spans="1:33" ht="18">
      <c r="A87" s="166" t="s">
        <v>1523</v>
      </c>
      <c r="B87" s="176" t="s">
        <v>1231</v>
      </c>
      <c r="C87" s="167" t="s">
        <v>133</v>
      </c>
      <c r="D87" s="143" t="str">
        <f>"PRD_SNJ_"&amp;
_xlfn.XLOOKUP(商品マスタ[[#This Row],[仕入先]],テーブル1[仕入先名],テーブル1[仕入先コード],"XXX",0,1)&amp;
"_"&amp;
商品マスタ[[#This Row],[シリアル]]&amp;
"_"&amp;
TEXT(COUNTIFS(商品マスタ!$C$3:C87,商品マスタ[[#This Row],[仕入先]],商品マスタ!$E$3:E87,商品マスタ[[#This Row],[商品名]]), "00")</f>
        <v>PRD_SNJ_UST_0023_01</v>
      </c>
      <c r="E87" s="87" t="s">
        <v>418</v>
      </c>
      <c r="F87" s="87">
        <f>IF(COUNTIFS($C$3:C87,商品マスタ[[#This Row],[仕入先]],$E$3:E87,商品マスタ[[#This Row],[商品名]]) = 1, 1,0)</f>
        <v>1</v>
      </c>
      <c r="G87" s="133" t="str">
        <f>TEXT(SUMIF($C$3:C87,商品マスタ[[#This Row],[仕入先]],$F$3:F87), "0000")</f>
        <v>0023</v>
      </c>
      <c r="H87" s="87" t="s">
        <v>365</v>
      </c>
      <c r="I87" s="87" t="s">
        <v>419</v>
      </c>
      <c r="J87" s="87" t="s">
        <v>416</v>
      </c>
      <c r="K87" s="87" t="s">
        <v>420</v>
      </c>
      <c r="L87" s="134">
        <v>1100</v>
      </c>
      <c r="M87" s="157">
        <v>45957</v>
      </c>
      <c r="N87" s="134"/>
      <c r="O87" s="135" t="str">
        <f>IF(COUNT(商品マスタ[[#This Row],[参考上代
（税込)]]) &gt; 0, (商品マスタ[[#This Row],[参考上代
（税込)]]-商品マスタ[[#This Row],[国内定価
（15％）]])/(商品マスタ[[#This Row],[参考上代
（税込)]]/1.08), "")</f>
        <v/>
      </c>
      <c r="P87" s="136">
        <v>0.1</v>
      </c>
      <c r="Q87" s="137">
        <f>商品マスタ[[#This Row],[仕入
単価]]*商品マスタ[[#This Row],[標準国内送料率]]</f>
        <v>110</v>
      </c>
      <c r="R87" s="134"/>
      <c r="S87" s="134">
        <f>IF(ISBLANK(商品マスタ[[#This Row],[実績
国内送料]]),商品マスタ[[#This Row],[標準国内送料]],)</f>
        <v>110</v>
      </c>
      <c r="T87" s="134">
        <f>商品マスタ[[#This Row],[仕入
単価]]+商品マスタ[[#This Row],[国内送料]]</f>
        <v>1210</v>
      </c>
      <c r="U87" s="134">
        <f>ROUNDUP(商品マスタ[[#This Row],[仕入単価+国内送料]]/0.8,-1)</f>
        <v>1520</v>
      </c>
      <c r="V87" s="134">
        <f>商品マスタ[[#This Row],[海外定価
（20％）]]-商品マスタ[[#This Row],[仕入単価+国内送料]]</f>
        <v>310</v>
      </c>
      <c r="W87" s="87">
        <f>ROUNDUP(商品マスタ[[#This Row],[仕入単価+国内送料]]/0.85,-1)</f>
        <v>1430</v>
      </c>
      <c r="X87" s="134">
        <f>商品マスタ[[#This Row],[国内定価
（15％）]]-商品マスタ[[#This Row],[仕入単価+国内送料]]</f>
        <v>220</v>
      </c>
      <c r="Y87" s="139">
        <v>0.08</v>
      </c>
      <c r="Z87" s="87"/>
      <c r="AA87" s="87"/>
      <c r="AB87" s="87"/>
      <c r="AC87" s="140"/>
      <c r="AD87" s="87"/>
      <c r="AE87" s="87"/>
      <c r="AF87" s="87"/>
      <c r="AG87" s="141"/>
    </row>
    <row r="88" spans="1:33" ht="18">
      <c r="A88" s="166" t="s">
        <v>1523</v>
      </c>
      <c r="B88" s="176" t="s">
        <v>1231</v>
      </c>
      <c r="C88" s="167" t="s">
        <v>133</v>
      </c>
      <c r="D88" s="143" t="str">
        <f>"PRD_SNJ_"&amp;
_xlfn.XLOOKUP(商品マスタ[[#This Row],[仕入先]],テーブル1[仕入先名],テーブル1[仕入先コード],"XXX",0,1)&amp;
"_"&amp;
商品マスタ[[#This Row],[シリアル]]&amp;
"_"&amp;
TEXT(COUNTIFS(商品マスタ!$C$3:C88,商品マスタ[[#This Row],[仕入先]],商品マスタ!$E$3:E88,商品マスタ[[#This Row],[商品名]]), "00")</f>
        <v>PRD_SNJ_UST_0024_01</v>
      </c>
      <c r="E88" s="87" t="s">
        <v>421</v>
      </c>
      <c r="F88" s="87">
        <f>IF(COUNTIFS($C$3:C88,商品マスタ[[#This Row],[仕入先]],$E$3:E88,商品マスタ[[#This Row],[商品名]]) = 1, 1,0)</f>
        <v>1</v>
      </c>
      <c r="G88" s="133" t="str">
        <f>TEXT(SUMIF($C$3:C88,商品マスタ[[#This Row],[仕入先]],$F$3:F88), "0000")</f>
        <v>0024</v>
      </c>
      <c r="H88" s="87" t="s">
        <v>365</v>
      </c>
      <c r="I88" s="87" t="s">
        <v>415</v>
      </c>
      <c r="J88" s="87" t="s">
        <v>416</v>
      </c>
      <c r="K88" s="87" t="s">
        <v>422</v>
      </c>
      <c r="L88" s="134">
        <v>200</v>
      </c>
      <c r="M88" s="157">
        <v>45957</v>
      </c>
      <c r="N88" s="134"/>
      <c r="O88" s="135" t="str">
        <f>IF(COUNT(商品マスタ[[#This Row],[参考上代
（税込)]]) &gt; 0, (商品マスタ[[#This Row],[参考上代
（税込)]]-商品マスタ[[#This Row],[国内定価
（15％）]])/(商品マスタ[[#This Row],[参考上代
（税込)]]/1.08), "")</f>
        <v/>
      </c>
      <c r="P88" s="136">
        <v>0.1</v>
      </c>
      <c r="Q88" s="137">
        <f>商品マスタ[[#This Row],[仕入
単価]]*商品マスタ[[#This Row],[標準国内送料率]]</f>
        <v>20</v>
      </c>
      <c r="R88" s="134"/>
      <c r="S88" s="134">
        <f>IF(ISBLANK(商品マスタ[[#This Row],[実績
国内送料]]),商品マスタ[[#This Row],[標準国内送料]],)</f>
        <v>20</v>
      </c>
      <c r="T88" s="134">
        <f>商品マスタ[[#This Row],[仕入
単価]]+商品マスタ[[#This Row],[国内送料]]</f>
        <v>220</v>
      </c>
      <c r="U88" s="134">
        <f>ROUNDUP(商品マスタ[[#This Row],[仕入単価+国内送料]]/0.8,-1)</f>
        <v>280</v>
      </c>
      <c r="V88" s="134">
        <f>商品マスタ[[#This Row],[海外定価
（20％）]]-商品マスタ[[#This Row],[仕入単価+国内送料]]</f>
        <v>60</v>
      </c>
      <c r="W88" s="87">
        <f>ROUNDUP(商品マスタ[[#This Row],[仕入単価+国内送料]]/0.85,-1)</f>
        <v>260</v>
      </c>
      <c r="X88" s="134">
        <f>商品マスタ[[#This Row],[国内定価
（15％）]]-商品マスタ[[#This Row],[仕入単価+国内送料]]</f>
        <v>40</v>
      </c>
      <c r="Y88" s="139">
        <v>0.08</v>
      </c>
      <c r="Z88" s="87"/>
      <c r="AA88" s="87"/>
      <c r="AB88" s="87"/>
      <c r="AC88" s="140"/>
      <c r="AD88" s="87"/>
      <c r="AE88" s="87"/>
      <c r="AF88" s="87"/>
      <c r="AG88" s="141"/>
    </row>
    <row r="89" spans="1:33" ht="18">
      <c r="A89" s="166" t="s">
        <v>1523</v>
      </c>
      <c r="B89" s="176" t="s">
        <v>1231</v>
      </c>
      <c r="C89" s="167" t="s">
        <v>133</v>
      </c>
      <c r="D89" s="143" t="str">
        <f>"PRD_SNJ_"&amp;
_xlfn.XLOOKUP(商品マスタ[[#This Row],[仕入先]],テーブル1[仕入先名],テーブル1[仕入先コード],"XXX",0,1)&amp;
"_"&amp;
商品マスタ[[#This Row],[シリアル]]&amp;
"_"&amp;
TEXT(COUNTIFS(商品マスタ!$C$3:C89,商品マスタ[[#This Row],[仕入先]],商品マスタ!$E$3:E89,商品マスタ[[#This Row],[商品名]]), "00")</f>
        <v>PRD_SNJ_UST_0025_01</v>
      </c>
      <c r="E89" s="87" t="s">
        <v>423</v>
      </c>
      <c r="F89" s="87">
        <f>IF(COUNTIFS($C$3:C89,商品マスタ[[#This Row],[仕入先]],$E$3:E89,商品マスタ[[#This Row],[商品名]]) = 1, 1,0)</f>
        <v>1</v>
      </c>
      <c r="G89" s="133" t="str">
        <f>TEXT(SUMIF($C$3:C89,商品マスタ[[#This Row],[仕入先]],$F$3:F89), "0000")</f>
        <v>0025</v>
      </c>
      <c r="H89" s="87" t="s">
        <v>424</v>
      </c>
      <c r="I89" s="87" t="s">
        <v>389</v>
      </c>
      <c r="J89" s="87" t="s">
        <v>416</v>
      </c>
      <c r="K89" s="87" t="s">
        <v>425</v>
      </c>
      <c r="L89" s="134">
        <v>1355</v>
      </c>
      <c r="M89" s="157">
        <v>45957</v>
      </c>
      <c r="N89" s="134"/>
      <c r="O89" s="135" t="str">
        <f>IF(COUNT(商品マスタ[[#This Row],[参考上代
（税込)]]) &gt; 0, (商品マスタ[[#This Row],[参考上代
（税込)]]-商品マスタ[[#This Row],[国内定価
（15％）]])/(商品マスタ[[#This Row],[参考上代
（税込)]]/1.08), "")</f>
        <v/>
      </c>
      <c r="P89" s="136">
        <v>0.1</v>
      </c>
      <c r="Q89" s="137">
        <f>商品マスタ[[#This Row],[仕入
単価]]*商品マスタ[[#This Row],[標準国内送料率]]</f>
        <v>135.5</v>
      </c>
      <c r="R89" s="134"/>
      <c r="S89" s="134">
        <f>IF(ISBLANK(商品マスタ[[#This Row],[実績
国内送料]]),商品マスタ[[#This Row],[標準国内送料]],)</f>
        <v>135.5</v>
      </c>
      <c r="T89" s="134">
        <f>商品マスタ[[#This Row],[仕入
単価]]+商品マスタ[[#This Row],[国内送料]]</f>
        <v>1490.5</v>
      </c>
      <c r="U89" s="134">
        <f>ROUNDUP(商品マスタ[[#This Row],[仕入単価+国内送料]]/0.8,-1)</f>
        <v>1870</v>
      </c>
      <c r="V89" s="134">
        <f>商品マスタ[[#This Row],[海外定価
（20％）]]-商品マスタ[[#This Row],[仕入単価+国内送料]]</f>
        <v>379.5</v>
      </c>
      <c r="W89" s="87">
        <f>ROUNDUP(商品マスタ[[#This Row],[仕入単価+国内送料]]/0.85,-1)</f>
        <v>1760</v>
      </c>
      <c r="X89" s="134">
        <f>商品マスタ[[#This Row],[国内定価
（15％）]]-商品マスタ[[#This Row],[仕入単価+国内送料]]</f>
        <v>269.5</v>
      </c>
      <c r="Y89" s="139">
        <v>0.08</v>
      </c>
      <c r="Z89" s="87"/>
      <c r="AA89" s="87"/>
      <c r="AB89" s="87"/>
      <c r="AC89" s="140"/>
      <c r="AD89" s="87"/>
      <c r="AE89" s="87"/>
      <c r="AF89" s="87"/>
      <c r="AG89" s="141"/>
    </row>
    <row r="90" spans="1:33" ht="18">
      <c r="A90" s="166" t="s">
        <v>1523</v>
      </c>
      <c r="B90" s="176" t="s">
        <v>1231</v>
      </c>
      <c r="C90" s="167" t="s">
        <v>133</v>
      </c>
      <c r="D90" s="143" t="str">
        <f>"PRD_SNJ_"&amp;
_xlfn.XLOOKUP(商品マスタ[[#This Row],[仕入先]],テーブル1[仕入先名],テーブル1[仕入先コード],"XXX",0,1)&amp;
"_"&amp;
商品マスタ[[#This Row],[シリアル]]&amp;
"_"&amp;
TEXT(COUNTIFS(商品マスタ!$C$3:C90,商品マスタ[[#This Row],[仕入先]],商品マスタ!$E$3:E90,商品マスタ[[#This Row],[商品名]]), "00")</f>
        <v>PRD_SNJ_UST_0026_01</v>
      </c>
      <c r="E90" s="87" t="s">
        <v>426</v>
      </c>
      <c r="F90" s="87">
        <f>IF(COUNTIFS($C$3:C90,商品マスタ[[#This Row],[仕入先]],$E$3:E90,商品マスタ[[#This Row],[商品名]]) = 1, 1,0)</f>
        <v>1</v>
      </c>
      <c r="G90" s="133" t="str">
        <f>TEXT(SUMIF($C$3:C90,商品マスタ[[#This Row],[仕入先]],$F$3:F90), "0000")</f>
        <v>0026</v>
      </c>
      <c r="H90" s="87" t="s">
        <v>424</v>
      </c>
      <c r="I90" s="87" t="s">
        <v>389</v>
      </c>
      <c r="J90" s="87" t="s">
        <v>416</v>
      </c>
      <c r="K90" s="87" t="s">
        <v>425</v>
      </c>
      <c r="L90" s="134">
        <v>1355</v>
      </c>
      <c r="M90" s="157">
        <v>45957</v>
      </c>
      <c r="N90" s="134"/>
      <c r="O90" s="135" t="str">
        <f>IF(COUNT(商品マスタ[[#This Row],[参考上代
（税込)]]) &gt; 0, (商品マスタ[[#This Row],[参考上代
（税込)]]-商品マスタ[[#This Row],[国内定価
（15％）]])/(商品マスタ[[#This Row],[参考上代
（税込)]]/1.08), "")</f>
        <v/>
      </c>
      <c r="P90" s="136">
        <v>0.1</v>
      </c>
      <c r="Q90" s="137">
        <f>商品マスタ[[#This Row],[仕入
単価]]*商品マスタ[[#This Row],[標準国内送料率]]</f>
        <v>135.5</v>
      </c>
      <c r="R90" s="134"/>
      <c r="S90" s="134">
        <f>IF(ISBLANK(商品マスタ[[#This Row],[実績
国内送料]]),商品マスタ[[#This Row],[標準国内送料]],)</f>
        <v>135.5</v>
      </c>
      <c r="T90" s="134">
        <f>商品マスタ[[#This Row],[仕入
単価]]+商品マスタ[[#This Row],[国内送料]]</f>
        <v>1490.5</v>
      </c>
      <c r="U90" s="134">
        <f>ROUNDUP(商品マスタ[[#This Row],[仕入単価+国内送料]]/0.8,-1)</f>
        <v>1870</v>
      </c>
      <c r="V90" s="134">
        <f>商品マスタ[[#This Row],[海外定価
（20％）]]-商品マスタ[[#This Row],[仕入単価+国内送料]]</f>
        <v>379.5</v>
      </c>
      <c r="W90" s="87">
        <f>ROUNDUP(商品マスタ[[#This Row],[仕入単価+国内送料]]/0.85,-1)</f>
        <v>1760</v>
      </c>
      <c r="X90" s="134">
        <f>商品マスタ[[#This Row],[国内定価
（15％）]]-商品マスタ[[#This Row],[仕入単価+国内送料]]</f>
        <v>269.5</v>
      </c>
      <c r="Y90" s="139">
        <v>0.08</v>
      </c>
      <c r="Z90" s="87"/>
      <c r="AA90" s="87"/>
      <c r="AB90" s="87"/>
      <c r="AC90" s="140"/>
      <c r="AD90" s="87"/>
      <c r="AE90" s="87"/>
      <c r="AF90" s="87"/>
      <c r="AG90" s="141"/>
    </row>
    <row r="91" spans="1:33" ht="18">
      <c r="A91" s="166" t="s">
        <v>1523</v>
      </c>
      <c r="B91" s="176" t="s">
        <v>1231</v>
      </c>
      <c r="C91" s="167" t="s">
        <v>133</v>
      </c>
      <c r="D91" s="143" t="str">
        <f>"PRD_SNJ_"&amp;
_xlfn.XLOOKUP(商品マスタ[[#This Row],[仕入先]],テーブル1[仕入先名],テーブル1[仕入先コード],"XXX",0,1)&amp;
"_"&amp;
商品マスタ[[#This Row],[シリアル]]&amp;
"_"&amp;
TEXT(COUNTIFS(商品マスタ!$C$3:C91,商品マスタ[[#This Row],[仕入先]],商品マスタ!$E$3:E91,商品マスタ[[#This Row],[商品名]]), "00")</f>
        <v>PRD_SNJ_UST_0027_01</v>
      </c>
      <c r="E91" s="87" t="s">
        <v>427</v>
      </c>
      <c r="F91" s="87">
        <f>IF(COUNTIFS($C$3:C91,商品マスタ[[#This Row],[仕入先]],$E$3:E91,商品マスタ[[#This Row],[商品名]]) = 1, 1,0)</f>
        <v>1</v>
      </c>
      <c r="G91" s="133" t="str">
        <f>TEXT(SUMIF($C$3:C91,商品マスタ[[#This Row],[仕入先]],$F$3:F91), "0000")</f>
        <v>0027</v>
      </c>
      <c r="H91" s="87" t="s">
        <v>424</v>
      </c>
      <c r="I91" s="87" t="s">
        <v>428</v>
      </c>
      <c r="J91" s="87" t="s">
        <v>416</v>
      </c>
      <c r="K91" s="87" t="s">
        <v>429</v>
      </c>
      <c r="L91" s="134">
        <v>800</v>
      </c>
      <c r="M91" s="157">
        <v>45957</v>
      </c>
      <c r="N91" s="134"/>
      <c r="O91" s="135" t="str">
        <f>IF(COUNT(商品マスタ[[#This Row],[参考上代
（税込)]]) &gt; 0, (商品マスタ[[#This Row],[参考上代
（税込)]]-商品マスタ[[#This Row],[国内定価
（15％）]])/(商品マスタ[[#This Row],[参考上代
（税込)]]/1.08), "")</f>
        <v/>
      </c>
      <c r="P91" s="136">
        <v>0.1</v>
      </c>
      <c r="Q91" s="137">
        <f>商品マスタ[[#This Row],[仕入
単価]]*商品マスタ[[#This Row],[標準国内送料率]]</f>
        <v>80</v>
      </c>
      <c r="R91" s="134"/>
      <c r="S91" s="134">
        <f>IF(ISBLANK(商品マスタ[[#This Row],[実績
国内送料]]),商品マスタ[[#This Row],[標準国内送料]],)</f>
        <v>80</v>
      </c>
      <c r="T91" s="134">
        <f>商品マスタ[[#This Row],[仕入
単価]]+商品マスタ[[#This Row],[国内送料]]</f>
        <v>880</v>
      </c>
      <c r="U91" s="134">
        <f>ROUNDUP(商品マスタ[[#This Row],[仕入単価+国内送料]]/0.8,-1)</f>
        <v>1100</v>
      </c>
      <c r="V91" s="134">
        <f>商品マスタ[[#This Row],[海外定価
（20％）]]-商品マスタ[[#This Row],[仕入単価+国内送料]]</f>
        <v>220</v>
      </c>
      <c r="W91" s="87">
        <f>ROUNDUP(商品マスタ[[#This Row],[仕入単価+国内送料]]/0.85,-1)</f>
        <v>1040</v>
      </c>
      <c r="X91" s="134">
        <f>商品マスタ[[#This Row],[国内定価
（15％）]]-商品マスタ[[#This Row],[仕入単価+国内送料]]</f>
        <v>160</v>
      </c>
      <c r="Y91" s="139">
        <v>0.08</v>
      </c>
      <c r="Z91" s="87"/>
      <c r="AA91" s="87"/>
      <c r="AB91" s="87"/>
      <c r="AC91" s="140"/>
      <c r="AD91" s="87"/>
      <c r="AE91" s="87"/>
      <c r="AF91" s="87"/>
      <c r="AG91" s="141"/>
    </row>
    <row r="92" spans="1:33" ht="18">
      <c r="A92" s="166" t="s">
        <v>1523</v>
      </c>
      <c r="B92" s="176" t="s">
        <v>1231</v>
      </c>
      <c r="C92" s="167" t="s">
        <v>133</v>
      </c>
      <c r="D92" s="143" t="str">
        <f>"PRD_SNJ_"&amp;
_xlfn.XLOOKUP(商品マスタ[[#This Row],[仕入先]],テーブル1[仕入先名],テーブル1[仕入先コード],"XXX",0,1)&amp;
"_"&amp;
商品マスタ[[#This Row],[シリアル]]&amp;
"_"&amp;
TEXT(COUNTIFS(商品マスタ!$C$3:C92,商品マスタ[[#This Row],[仕入先]],商品マスタ!$E$3:E92,商品マスタ[[#This Row],[商品名]]), "00")</f>
        <v>PRD_SNJ_UST_0028_01</v>
      </c>
      <c r="E92" s="87" t="s">
        <v>430</v>
      </c>
      <c r="F92" s="87">
        <f>IF(COUNTIFS($C$3:C92,商品マスタ[[#This Row],[仕入先]],$E$3:E92,商品マスタ[[#This Row],[商品名]]) = 1, 1,0)</f>
        <v>1</v>
      </c>
      <c r="G92" s="133" t="str">
        <f>TEXT(SUMIF($C$3:C92,商品マスタ[[#This Row],[仕入先]],$F$3:F92), "0000")</f>
        <v>0028</v>
      </c>
      <c r="H92" s="87" t="s">
        <v>424</v>
      </c>
      <c r="I92" s="87" t="s">
        <v>428</v>
      </c>
      <c r="J92" s="87" t="s">
        <v>416</v>
      </c>
      <c r="K92" s="87" t="s">
        <v>429</v>
      </c>
      <c r="L92" s="134">
        <v>650</v>
      </c>
      <c r="M92" s="157">
        <v>45957</v>
      </c>
      <c r="N92" s="134"/>
      <c r="O92" s="135" t="str">
        <f>IF(COUNT(商品マスタ[[#This Row],[参考上代
（税込)]]) &gt; 0, (商品マスタ[[#This Row],[参考上代
（税込)]]-商品マスタ[[#This Row],[国内定価
（15％）]])/(商品マスタ[[#This Row],[参考上代
（税込)]]/1.08), "")</f>
        <v/>
      </c>
      <c r="P92" s="136">
        <v>0.1</v>
      </c>
      <c r="Q92" s="137">
        <f>商品マスタ[[#This Row],[仕入
単価]]*商品マスタ[[#This Row],[標準国内送料率]]</f>
        <v>65</v>
      </c>
      <c r="R92" s="134"/>
      <c r="S92" s="134">
        <f>IF(ISBLANK(商品マスタ[[#This Row],[実績
国内送料]]),商品マスタ[[#This Row],[標準国内送料]],)</f>
        <v>65</v>
      </c>
      <c r="T92" s="134">
        <f>商品マスタ[[#This Row],[仕入
単価]]+商品マスタ[[#This Row],[国内送料]]</f>
        <v>715</v>
      </c>
      <c r="U92" s="134">
        <f>ROUNDUP(商品マスタ[[#This Row],[仕入単価+国内送料]]/0.8,-1)</f>
        <v>900</v>
      </c>
      <c r="V92" s="134">
        <f>商品マスタ[[#This Row],[海外定価
（20％）]]-商品マスタ[[#This Row],[仕入単価+国内送料]]</f>
        <v>185</v>
      </c>
      <c r="W92" s="87">
        <f>ROUNDUP(商品マスタ[[#This Row],[仕入単価+国内送料]]/0.85,-1)</f>
        <v>850</v>
      </c>
      <c r="X92" s="134">
        <f>商品マスタ[[#This Row],[国内定価
（15％）]]-商品マスタ[[#This Row],[仕入単価+国内送料]]</f>
        <v>135</v>
      </c>
      <c r="Y92" s="139">
        <v>0.08</v>
      </c>
      <c r="Z92" s="87"/>
      <c r="AA92" s="87"/>
      <c r="AB92" s="87"/>
      <c r="AC92" s="140"/>
      <c r="AD92" s="87"/>
      <c r="AE92" s="87"/>
      <c r="AF92" s="87"/>
      <c r="AG92" s="141"/>
    </row>
    <row r="93" spans="1:33" ht="18">
      <c r="A93" s="166" t="s">
        <v>1523</v>
      </c>
      <c r="B93" s="176" t="s">
        <v>1231</v>
      </c>
      <c r="C93" s="167" t="s">
        <v>133</v>
      </c>
      <c r="D93" s="143" t="str">
        <f>"PRD_SNJ_"&amp;
_xlfn.XLOOKUP(商品マスタ[[#This Row],[仕入先]],テーブル1[仕入先名],テーブル1[仕入先コード],"XXX",0,1)&amp;
"_"&amp;
商品マスタ[[#This Row],[シリアル]]&amp;
"_"&amp;
TEXT(COUNTIFS(商品マスタ!$C$3:C93,商品マスタ[[#This Row],[仕入先]],商品マスタ!$E$3:E93,商品マスタ[[#This Row],[商品名]]), "00")</f>
        <v>PRD_SNJ_UST_0029_01</v>
      </c>
      <c r="E93" s="87" t="s">
        <v>431</v>
      </c>
      <c r="F93" s="87">
        <f>IF(COUNTIFS($C$3:C93,商品マスタ[[#This Row],[仕入先]],$E$3:E93,商品マスタ[[#This Row],[商品名]]) = 1, 1,0)</f>
        <v>1</v>
      </c>
      <c r="G93" s="133" t="str">
        <f>TEXT(SUMIF($C$3:C93,商品マスタ[[#This Row],[仕入先]],$F$3:F93), "0000")</f>
        <v>0029</v>
      </c>
      <c r="H93" s="87" t="s">
        <v>424</v>
      </c>
      <c r="I93" s="87" t="s">
        <v>428</v>
      </c>
      <c r="J93" s="87" t="s">
        <v>416</v>
      </c>
      <c r="K93" s="87" t="s">
        <v>429</v>
      </c>
      <c r="L93" s="134">
        <v>580</v>
      </c>
      <c r="M93" s="157">
        <v>45957</v>
      </c>
      <c r="N93" s="134"/>
      <c r="O93" s="135" t="str">
        <f>IF(COUNT(商品マスタ[[#This Row],[参考上代
（税込)]]) &gt; 0, (商品マスタ[[#This Row],[参考上代
（税込)]]-商品マスタ[[#This Row],[国内定価
（15％）]])/(商品マスタ[[#This Row],[参考上代
（税込)]]/1.08), "")</f>
        <v/>
      </c>
      <c r="P93" s="136">
        <v>0.1</v>
      </c>
      <c r="Q93" s="137">
        <f>商品マスタ[[#This Row],[仕入
単価]]*商品マスタ[[#This Row],[標準国内送料率]]</f>
        <v>58</v>
      </c>
      <c r="R93" s="134"/>
      <c r="S93" s="134">
        <f>IF(ISBLANK(商品マスタ[[#This Row],[実績
国内送料]]),商品マスタ[[#This Row],[標準国内送料]],)</f>
        <v>58</v>
      </c>
      <c r="T93" s="134">
        <f>商品マスタ[[#This Row],[仕入
単価]]+商品マスタ[[#This Row],[国内送料]]</f>
        <v>638</v>
      </c>
      <c r="U93" s="134">
        <f>ROUNDUP(商品マスタ[[#This Row],[仕入単価+国内送料]]/0.8,-1)</f>
        <v>800</v>
      </c>
      <c r="V93" s="134">
        <f>商品マスタ[[#This Row],[海外定価
（20％）]]-商品マスタ[[#This Row],[仕入単価+国内送料]]</f>
        <v>162</v>
      </c>
      <c r="W93" s="87">
        <f>ROUNDUP(商品マスタ[[#This Row],[仕入単価+国内送料]]/0.85,-1)</f>
        <v>760</v>
      </c>
      <c r="X93" s="134">
        <f>商品マスタ[[#This Row],[国内定価
（15％）]]-商品マスタ[[#This Row],[仕入単価+国内送料]]</f>
        <v>122</v>
      </c>
      <c r="Y93" s="139">
        <v>0.08</v>
      </c>
      <c r="Z93" s="87"/>
      <c r="AA93" s="87"/>
      <c r="AB93" s="87"/>
      <c r="AC93" s="140"/>
      <c r="AD93" s="87"/>
      <c r="AE93" s="87"/>
      <c r="AF93" s="87"/>
      <c r="AG93" s="141"/>
    </row>
    <row r="94" spans="1:33" ht="18">
      <c r="A94" s="166" t="s">
        <v>1523</v>
      </c>
      <c r="B94" s="176" t="s">
        <v>1231</v>
      </c>
      <c r="C94" s="167" t="s">
        <v>133</v>
      </c>
      <c r="D94" s="143" t="str">
        <f>"PRD_SNJ_"&amp;
_xlfn.XLOOKUP(商品マスタ[[#This Row],[仕入先]],テーブル1[仕入先名],テーブル1[仕入先コード],"XXX",0,1)&amp;
"_"&amp;
商品マスタ[[#This Row],[シリアル]]&amp;
"_"&amp;
TEXT(COUNTIFS(商品マスタ!$C$3:C94,商品マスタ[[#This Row],[仕入先]],商品マスタ!$E$3:E94,商品マスタ[[#This Row],[商品名]]), "00")</f>
        <v>PRD_SNJ_UST_0030_01</v>
      </c>
      <c r="E94" s="87" t="s">
        <v>432</v>
      </c>
      <c r="F94" s="87">
        <f>IF(COUNTIFS($C$3:C94,商品マスタ[[#This Row],[仕入先]],$E$3:E94,商品マスタ[[#This Row],[商品名]]) = 1, 1,0)</f>
        <v>1</v>
      </c>
      <c r="G94" s="133" t="str">
        <f>TEXT(SUMIF($C$3:C94,商品マスタ[[#This Row],[仕入先]],$F$3:F94), "0000")</f>
        <v>0030</v>
      </c>
      <c r="H94" s="87" t="s">
        <v>424</v>
      </c>
      <c r="I94" s="87" t="s">
        <v>428</v>
      </c>
      <c r="J94" s="87" t="s">
        <v>416</v>
      </c>
      <c r="K94" s="87" t="s">
        <v>429</v>
      </c>
      <c r="L94" s="134">
        <v>530</v>
      </c>
      <c r="M94" s="157">
        <v>45957</v>
      </c>
      <c r="N94" s="134"/>
      <c r="O94" s="135" t="str">
        <f>IF(COUNT(商品マスタ[[#This Row],[参考上代
（税込)]]) &gt; 0, (商品マスタ[[#This Row],[参考上代
（税込)]]-商品マスタ[[#This Row],[国内定価
（15％）]])/(商品マスタ[[#This Row],[参考上代
（税込)]]/1.08), "")</f>
        <v/>
      </c>
      <c r="P94" s="136">
        <v>0.1</v>
      </c>
      <c r="Q94" s="137">
        <f>商品マスタ[[#This Row],[仕入
単価]]*商品マスタ[[#This Row],[標準国内送料率]]</f>
        <v>53</v>
      </c>
      <c r="R94" s="134"/>
      <c r="S94" s="134">
        <f>IF(ISBLANK(商品マスタ[[#This Row],[実績
国内送料]]),商品マスタ[[#This Row],[標準国内送料]],)</f>
        <v>53</v>
      </c>
      <c r="T94" s="134">
        <f>商品マスタ[[#This Row],[仕入
単価]]+商品マスタ[[#This Row],[国内送料]]</f>
        <v>583</v>
      </c>
      <c r="U94" s="134">
        <f>ROUNDUP(商品マスタ[[#This Row],[仕入単価+国内送料]]/0.8,-1)</f>
        <v>730</v>
      </c>
      <c r="V94" s="134">
        <f>商品マスタ[[#This Row],[海外定価
（20％）]]-商品マスタ[[#This Row],[仕入単価+国内送料]]</f>
        <v>147</v>
      </c>
      <c r="W94" s="87">
        <f>ROUNDUP(商品マスタ[[#This Row],[仕入単価+国内送料]]/0.85,-1)</f>
        <v>690</v>
      </c>
      <c r="X94" s="134">
        <f>商品マスタ[[#This Row],[国内定価
（15％）]]-商品マスタ[[#This Row],[仕入単価+国内送料]]</f>
        <v>107</v>
      </c>
      <c r="Y94" s="139">
        <v>0.08</v>
      </c>
      <c r="Z94" s="87"/>
      <c r="AA94" s="87"/>
      <c r="AB94" s="87"/>
      <c r="AC94" s="140"/>
      <c r="AD94" s="87"/>
      <c r="AE94" s="87"/>
      <c r="AF94" s="87"/>
      <c r="AG94" s="141"/>
    </row>
    <row r="95" spans="1:33" ht="18">
      <c r="A95" s="166" t="s">
        <v>1523</v>
      </c>
      <c r="B95" s="176" t="s">
        <v>1231</v>
      </c>
      <c r="C95" s="167" t="s">
        <v>133</v>
      </c>
      <c r="D95" s="143" t="str">
        <f>"PRD_SNJ_"&amp;
_xlfn.XLOOKUP(商品マスタ[[#This Row],[仕入先]],テーブル1[仕入先名],テーブル1[仕入先コード],"XXX",0,1)&amp;
"_"&amp;
商品マスタ[[#This Row],[シリアル]]&amp;
"_"&amp;
TEXT(COUNTIFS(商品マスタ!$C$3:C95,商品マスタ[[#This Row],[仕入先]],商品マスタ!$E$3:E95,商品マスタ[[#This Row],[商品名]]), "00")</f>
        <v>PRD_SNJ_UST_0031_01</v>
      </c>
      <c r="E95" s="87" t="s">
        <v>433</v>
      </c>
      <c r="F95" s="87">
        <f>IF(COUNTIFS($C$3:C95,商品マスタ[[#This Row],[仕入先]],$E$3:E95,商品マスタ[[#This Row],[商品名]]) = 1, 1,0)</f>
        <v>1</v>
      </c>
      <c r="G95" s="133" t="str">
        <f>TEXT(SUMIF($C$3:C95,商品マスタ[[#This Row],[仕入先]],$F$3:F95), "0000")</f>
        <v>0031</v>
      </c>
      <c r="H95" s="87" t="s">
        <v>424</v>
      </c>
      <c r="I95" s="87" t="s">
        <v>434</v>
      </c>
      <c r="J95" s="87" t="s">
        <v>416</v>
      </c>
      <c r="K95" s="87" t="s">
        <v>429</v>
      </c>
      <c r="L95" s="134">
        <v>900</v>
      </c>
      <c r="M95" s="157">
        <v>45957</v>
      </c>
      <c r="N95" s="134"/>
      <c r="O95" s="135" t="str">
        <f>IF(COUNT(商品マスタ[[#This Row],[参考上代
（税込)]]) &gt; 0, (商品マスタ[[#This Row],[参考上代
（税込)]]-商品マスタ[[#This Row],[国内定価
（15％）]])/(商品マスタ[[#This Row],[参考上代
（税込)]]/1.08), "")</f>
        <v/>
      </c>
      <c r="P95" s="136">
        <v>0.1</v>
      </c>
      <c r="Q95" s="137">
        <f>商品マスタ[[#This Row],[仕入
単価]]*商品マスタ[[#This Row],[標準国内送料率]]</f>
        <v>90</v>
      </c>
      <c r="R95" s="134"/>
      <c r="S95" s="134">
        <f>IF(ISBLANK(商品マスタ[[#This Row],[実績
国内送料]]),商品マスタ[[#This Row],[標準国内送料]],)</f>
        <v>90</v>
      </c>
      <c r="T95" s="134">
        <f>商品マスタ[[#This Row],[仕入
単価]]+商品マスタ[[#This Row],[国内送料]]</f>
        <v>990</v>
      </c>
      <c r="U95" s="134">
        <f>ROUNDUP(商品マスタ[[#This Row],[仕入単価+国内送料]]/0.8,-1)</f>
        <v>1240</v>
      </c>
      <c r="V95" s="134">
        <f>商品マスタ[[#This Row],[海外定価
（20％）]]-商品マスタ[[#This Row],[仕入単価+国内送料]]</f>
        <v>250</v>
      </c>
      <c r="W95" s="87">
        <f>ROUNDUP(商品マスタ[[#This Row],[仕入単価+国内送料]]/0.85,-1)</f>
        <v>1170</v>
      </c>
      <c r="X95" s="134">
        <f>商品マスタ[[#This Row],[国内定価
（15％）]]-商品マスタ[[#This Row],[仕入単価+国内送料]]</f>
        <v>180</v>
      </c>
      <c r="Y95" s="139">
        <v>0.08</v>
      </c>
      <c r="Z95" s="87"/>
      <c r="AA95" s="87"/>
      <c r="AB95" s="87"/>
      <c r="AC95" s="140"/>
      <c r="AD95" s="87"/>
      <c r="AE95" s="87"/>
      <c r="AF95" s="87"/>
      <c r="AG95" s="141"/>
    </row>
    <row r="96" spans="1:33" ht="18">
      <c r="A96" s="166" t="s">
        <v>1523</v>
      </c>
      <c r="B96" s="176" t="s">
        <v>1231</v>
      </c>
      <c r="C96" s="167" t="s">
        <v>133</v>
      </c>
      <c r="D96" s="143" t="str">
        <f>"PRD_SNJ_"&amp;
_xlfn.XLOOKUP(商品マスタ[[#This Row],[仕入先]],テーブル1[仕入先名],テーブル1[仕入先コード],"XXX",0,1)&amp;
"_"&amp;
商品マスタ[[#This Row],[シリアル]]&amp;
"_"&amp;
TEXT(COUNTIFS(商品マスタ!$C$3:C96,商品マスタ[[#This Row],[仕入先]],商品マスタ!$E$3:E96,商品マスタ[[#This Row],[商品名]]), "00")</f>
        <v>PRD_SNJ_UST_0032_01</v>
      </c>
      <c r="E96" s="87" t="s">
        <v>435</v>
      </c>
      <c r="F96" s="87">
        <f>IF(COUNTIFS($C$3:C96,商品マスタ[[#This Row],[仕入先]],$E$3:E96,商品マスタ[[#This Row],[商品名]]) = 1, 1,0)</f>
        <v>1</v>
      </c>
      <c r="G96" s="133" t="str">
        <f>TEXT(SUMIF($C$3:C96,商品マスタ[[#This Row],[仕入先]],$F$3:F96), "0000")</f>
        <v>0032</v>
      </c>
      <c r="H96" s="87" t="s">
        <v>424</v>
      </c>
      <c r="I96" s="87" t="s">
        <v>436</v>
      </c>
      <c r="J96" s="87" t="s">
        <v>416</v>
      </c>
      <c r="K96" s="87" t="s">
        <v>429</v>
      </c>
      <c r="L96" s="134">
        <v>850</v>
      </c>
      <c r="M96" s="157">
        <v>45957</v>
      </c>
      <c r="N96" s="134"/>
      <c r="O96" s="135" t="str">
        <f>IF(COUNT(商品マスタ[[#This Row],[参考上代
（税込)]]) &gt; 0, (商品マスタ[[#This Row],[参考上代
（税込)]]-商品マスタ[[#This Row],[国内定価
（15％）]])/(商品マスタ[[#This Row],[参考上代
（税込)]]/1.08), "")</f>
        <v/>
      </c>
      <c r="P96" s="136">
        <v>0.1</v>
      </c>
      <c r="Q96" s="137">
        <f>商品マスタ[[#This Row],[仕入
単価]]*商品マスタ[[#This Row],[標準国内送料率]]</f>
        <v>85</v>
      </c>
      <c r="R96" s="134"/>
      <c r="S96" s="134">
        <f>IF(ISBLANK(商品マスタ[[#This Row],[実績
国内送料]]),商品マスタ[[#This Row],[標準国内送料]],)</f>
        <v>85</v>
      </c>
      <c r="T96" s="134">
        <f>商品マスタ[[#This Row],[仕入
単価]]+商品マスタ[[#This Row],[国内送料]]</f>
        <v>935</v>
      </c>
      <c r="U96" s="134">
        <f>ROUNDUP(商品マスタ[[#This Row],[仕入単価+国内送料]]/0.8,-1)</f>
        <v>1170</v>
      </c>
      <c r="V96" s="134">
        <f>商品マスタ[[#This Row],[海外定価
（20％）]]-商品マスタ[[#This Row],[仕入単価+国内送料]]</f>
        <v>235</v>
      </c>
      <c r="W96" s="87">
        <f>ROUNDUP(商品マスタ[[#This Row],[仕入単価+国内送料]]/0.85,-1)</f>
        <v>1100</v>
      </c>
      <c r="X96" s="134">
        <f>商品マスタ[[#This Row],[国内定価
（15％）]]-商品マスタ[[#This Row],[仕入単価+国内送料]]</f>
        <v>165</v>
      </c>
      <c r="Y96" s="139">
        <v>0.08</v>
      </c>
      <c r="Z96" s="87"/>
      <c r="AA96" s="87"/>
      <c r="AB96" s="87"/>
      <c r="AC96" s="140"/>
      <c r="AD96" s="87"/>
      <c r="AE96" s="87"/>
      <c r="AF96" s="87"/>
      <c r="AG96" s="141"/>
    </row>
    <row r="97" spans="1:33" ht="18">
      <c r="A97" s="166" t="s">
        <v>1523</v>
      </c>
      <c r="B97" s="176" t="s">
        <v>1232</v>
      </c>
      <c r="C97" s="167" t="s">
        <v>437</v>
      </c>
      <c r="D97" s="143" t="str">
        <f>"PRD_SNJ_"&amp;
_xlfn.XLOOKUP(商品マスタ[[#This Row],[仕入先]],テーブル1[仕入先名],テーブル1[仕入先コード],"XXX",0,1)&amp;
"_"&amp;
商品マスタ[[#This Row],[シリアル]]&amp;
"_"&amp;
TEXT(COUNTIFS(商品マスタ!$C$3:C97,商品マスタ[[#This Row],[仕入先]],商品マスタ!$E$3:E97,商品マスタ[[#This Row],[商品名]]), "00")</f>
        <v>PRD_SNJ_SBR_0001_01</v>
      </c>
      <c r="E97" s="87" t="s">
        <v>438</v>
      </c>
      <c r="F97" s="87">
        <f>IF(COUNTIFS($C$3:C97,商品マスタ[[#This Row],[仕入先]],$E$3:E97,商品マスタ[[#This Row],[商品名]]) = 1, 1,0)</f>
        <v>1</v>
      </c>
      <c r="G97" s="133" t="str">
        <f>TEXT(SUMIF($C$3:C97,商品マスタ[[#This Row],[仕入先]],$F$3:F97), "0000")</f>
        <v>0001</v>
      </c>
      <c r="H97" s="87" t="s">
        <v>365</v>
      </c>
      <c r="I97" s="87" t="s">
        <v>439</v>
      </c>
      <c r="J97" s="87" t="s">
        <v>367</v>
      </c>
      <c r="K97" s="87" t="s">
        <v>440</v>
      </c>
      <c r="L97" s="134">
        <v>6300</v>
      </c>
      <c r="M97" s="157">
        <v>45944</v>
      </c>
      <c r="N97" s="134"/>
      <c r="O97" s="135" t="str">
        <f>IF(COUNT(商品マスタ[[#This Row],[参考上代
（税込)]]) &gt; 0, (商品マスタ[[#This Row],[参考上代
（税込)]]-商品マスタ[[#This Row],[国内定価
（15％）]])/(商品マスタ[[#This Row],[参考上代
（税込)]]/1.08), "")</f>
        <v/>
      </c>
      <c r="P97" s="136">
        <v>0.1</v>
      </c>
      <c r="Q97" s="137">
        <f>商品マスタ[[#This Row],[仕入
単価]]*商品マスタ[[#This Row],[標準国内送料率]]</f>
        <v>630</v>
      </c>
      <c r="R97" s="134"/>
      <c r="S97" s="134">
        <f>IF(ISBLANK(商品マスタ[[#This Row],[実績
国内送料]]),商品マスタ[[#This Row],[標準国内送料]],)</f>
        <v>630</v>
      </c>
      <c r="T97" s="134">
        <f>商品マスタ[[#This Row],[仕入
単価]]+商品マスタ[[#This Row],[国内送料]]</f>
        <v>6930</v>
      </c>
      <c r="U97" s="134">
        <f>ROUNDUP(商品マスタ[[#This Row],[仕入単価+国内送料]]/0.8,-1)</f>
        <v>8670</v>
      </c>
      <c r="V97" s="134">
        <f>商品マスタ[[#This Row],[海外定価
（20％）]]-商品マスタ[[#This Row],[仕入単価+国内送料]]</f>
        <v>1740</v>
      </c>
      <c r="W97" s="87">
        <f>ROUNDUP(商品マスタ[[#This Row],[仕入単価+国内送料]]/0.85,-1)</f>
        <v>8160</v>
      </c>
      <c r="X97" s="134">
        <f>商品マスタ[[#This Row],[国内定価
（15％）]]-商品マスタ[[#This Row],[仕入単価+国内送料]]</f>
        <v>1230</v>
      </c>
      <c r="Y97" s="139">
        <v>0.08</v>
      </c>
      <c r="Z97" s="87"/>
      <c r="AA97" s="87"/>
      <c r="AB97" s="87"/>
      <c r="AC97" s="140"/>
      <c r="AD97" s="87"/>
      <c r="AE97" s="87"/>
      <c r="AF97" s="87"/>
      <c r="AG97" s="141"/>
    </row>
    <row r="98" spans="1:33" ht="18">
      <c r="A98" s="166" t="s">
        <v>1523</v>
      </c>
      <c r="B98" s="176" t="s">
        <v>1232</v>
      </c>
      <c r="C98" s="167" t="s">
        <v>437</v>
      </c>
      <c r="D98" s="143" t="str">
        <f>"PRD_SNJ_"&amp;
_xlfn.XLOOKUP(商品マスタ[[#This Row],[仕入先]],テーブル1[仕入先名],テーブル1[仕入先コード],"XXX",0,1)&amp;
"_"&amp;
商品マスタ[[#This Row],[シリアル]]&amp;
"_"&amp;
TEXT(COUNTIFS(商品マスタ!$C$3:C98,商品マスタ[[#This Row],[仕入先]],商品マスタ!$E$3:E98,商品マスタ[[#This Row],[商品名]]), "00")</f>
        <v>PRD_SNJ_SBR_0002_01</v>
      </c>
      <c r="E98" s="87" t="s">
        <v>372</v>
      </c>
      <c r="F98" s="87">
        <f>IF(COUNTIFS($C$3:C98,商品マスタ[[#This Row],[仕入先]],$E$3:E98,商品マスタ[[#This Row],[商品名]]) = 1, 1,0)</f>
        <v>1</v>
      </c>
      <c r="G98" s="133" t="str">
        <f>TEXT(SUMIF($C$3:C98,商品マスタ[[#This Row],[仕入先]],$F$3:F98), "0000")</f>
        <v>0002</v>
      </c>
      <c r="H98" s="87" t="s">
        <v>365</v>
      </c>
      <c r="I98" s="87" t="s">
        <v>441</v>
      </c>
      <c r="J98" s="87" t="s">
        <v>367</v>
      </c>
      <c r="K98" s="87" t="s">
        <v>442</v>
      </c>
      <c r="L98" s="134">
        <v>4200</v>
      </c>
      <c r="M98" s="157">
        <v>45944</v>
      </c>
      <c r="N98" s="134"/>
      <c r="O98" s="135" t="str">
        <f>IF(COUNT(商品マスタ[[#This Row],[参考上代
（税込)]]) &gt; 0, (商品マスタ[[#This Row],[参考上代
（税込)]]-商品マスタ[[#This Row],[国内定価
（15％）]])/(商品マスタ[[#This Row],[参考上代
（税込)]]/1.08), "")</f>
        <v/>
      </c>
      <c r="P98" s="136">
        <v>0.1</v>
      </c>
      <c r="Q98" s="137">
        <f>商品マスタ[[#This Row],[仕入
単価]]*商品マスタ[[#This Row],[標準国内送料率]]</f>
        <v>420</v>
      </c>
      <c r="R98" s="134"/>
      <c r="S98" s="134">
        <f>IF(ISBLANK(商品マスタ[[#This Row],[実績
国内送料]]),商品マスタ[[#This Row],[標準国内送料]],)</f>
        <v>420</v>
      </c>
      <c r="T98" s="134">
        <f>商品マスタ[[#This Row],[仕入
単価]]+商品マスタ[[#This Row],[国内送料]]</f>
        <v>4620</v>
      </c>
      <c r="U98" s="134">
        <f>ROUNDUP(商品マスタ[[#This Row],[仕入単価+国内送料]]/0.8,-1)</f>
        <v>5780</v>
      </c>
      <c r="V98" s="134">
        <f>商品マスタ[[#This Row],[海外定価
（20％）]]-商品マスタ[[#This Row],[仕入単価+国内送料]]</f>
        <v>1160</v>
      </c>
      <c r="W98" s="87">
        <f>ROUNDUP(商品マスタ[[#This Row],[仕入単価+国内送料]]/0.85,-1)</f>
        <v>5440</v>
      </c>
      <c r="X98" s="134">
        <f>商品マスタ[[#This Row],[国内定価
（15％）]]-商品マスタ[[#This Row],[仕入単価+国内送料]]</f>
        <v>820</v>
      </c>
      <c r="Y98" s="139">
        <v>0.08</v>
      </c>
      <c r="Z98" s="87"/>
      <c r="AA98" s="87"/>
      <c r="AB98" s="87"/>
      <c r="AC98" s="140"/>
      <c r="AD98" s="87"/>
      <c r="AE98" s="87"/>
      <c r="AF98" s="87"/>
      <c r="AG98" s="141"/>
    </row>
    <row r="99" spans="1:33" ht="18">
      <c r="A99" s="166" t="s">
        <v>1523</v>
      </c>
      <c r="B99" s="176" t="s">
        <v>1232</v>
      </c>
      <c r="C99" s="167" t="s">
        <v>437</v>
      </c>
      <c r="D99" s="143" t="str">
        <f>"PRD_SNJ_"&amp;
_xlfn.XLOOKUP(商品マスタ[[#This Row],[仕入先]],テーブル1[仕入先名],テーブル1[仕入先コード],"XXX",0,1)&amp;
"_"&amp;
商品マスタ[[#This Row],[シリアル]]&amp;
"_"&amp;
TEXT(COUNTIFS(商品マスタ!$C$3:C99,商品マスタ[[#This Row],[仕入先]],商品マスタ!$E$3:E99,商品マスタ[[#This Row],[商品名]]), "00")</f>
        <v>PRD_SNJ_SBR_0003_01</v>
      </c>
      <c r="E99" s="87" t="s">
        <v>377</v>
      </c>
      <c r="F99" s="87">
        <f>IF(COUNTIFS($C$3:C99,商品マスタ[[#This Row],[仕入先]],$E$3:E99,商品マスタ[[#This Row],[商品名]]) = 1, 1,0)</f>
        <v>1</v>
      </c>
      <c r="G99" s="133" t="str">
        <f>TEXT(SUMIF($C$3:C99,商品マスタ[[#This Row],[仕入先]],$F$3:F99), "0000")</f>
        <v>0003</v>
      </c>
      <c r="H99" s="87" t="s">
        <v>365</v>
      </c>
      <c r="I99" s="87" t="s">
        <v>443</v>
      </c>
      <c r="J99" s="87" t="s">
        <v>376</v>
      </c>
      <c r="K99" s="87" t="s">
        <v>442</v>
      </c>
      <c r="L99" s="134">
        <v>3500</v>
      </c>
      <c r="M99" s="157">
        <v>45944</v>
      </c>
      <c r="N99" s="134"/>
      <c r="O99" s="135" t="str">
        <f>IF(COUNT(商品マスタ[[#This Row],[参考上代
（税込)]]) &gt; 0, (商品マスタ[[#This Row],[参考上代
（税込)]]-商品マスタ[[#This Row],[国内定価
（15％）]])/(商品マスタ[[#This Row],[参考上代
（税込)]]/1.08), "")</f>
        <v/>
      </c>
      <c r="P99" s="136">
        <v>0.1</v>
      </c>
      <c r="Q99" s="137">
        <f>商品マスタ[[#This Row],[仕入
単価]]*商品マスタ[[#This Row],[標準国内送料率]]</f>
        <v>350</v>
      </c>
      <c r="R99" s="134"/>
      <c r="S99" s="134">
        <f>IF(ISBLANK(商品マスタ[[#This Row],[実績
国内送料]]),商品マスタ[[#This Row],[標準国内送料]],)</f>
        <v>350</v>
      </c>
      <c r="T99" s="134">
        <f>商品マスタ[[#This Row],[仕入
単価]]+商品マスタ[[#This Row],[国内送料]]</f>
        <v>3850</v>
      </c>
      <c r="U99" s="134">
        <f>ROUNDUP(商品マスタ[[#This Row],[仕入単価+国内送料]]/0.8,-1)</f>
        <v>4820</v>
      </c>
      <c r="V99" s="134">
        <f>商品マスタ[[#This Row],[海外定価
（20％）]]-商品マスタ[[#This Row],[仕入単価+国内送料]]</f>
        <v>970</v>
      </c>
      <c r="W99" s="87">
        <f>ROUNDUP(商品マスタ[[#This Row],[仕入単価+国内送料]]/0.85,-1)</f>
        <v>4530</v>
      </c>
      <c r="X99" s="134">
        <f>商品マスタ[[#This Row],[国内定価
（15％）]]-商品マスタ[[#This Row],[仕入単価+国内送料]]</f>
        <v>680</v>
      </c>
      <c r="Y99" s="139">
        <v>0.08</v>
      </c>
      <c r="Z99" s="87"/>
      <c r="AA99" s="87"/>
      <c r="AB99" s="87"/>
      <c r="AC99" s="140"/>
      <c r="AD99" s="87"/>
      <c r="AE99" s="87"/>
      <c r="AF99" s="87"/>
      <c r="AG99" s="141"/>
    </row>
    <row r="100" spans="1:33" ht="18">
      <c r="A100" s="166" t="s">
        <v>1523</v>
      </c>
      <c r="B100" s="176" t="s">
        <v>1232</v>
      </c>
      <c r="C100" s="167" t="s">
        <v>437</v>
      </c>
      <c r="D100" s="143" t="str">
        <f>"PRD_SNJ_"&amp;
_xlfn.XLOOKUP(商品マスタ[[#This Row],[仕入先]],テーブル1[仕入先名],テーブル1[仕入先コード],"XXX",0,1)&amp;
"_"&amp;
商品マスタ[[#This Row],[シリアル]]&amp;
"_"&amp;
TEXT(COUNTIFS(商品マスタ!$C$3:C100,商品マスタ[[#This Row],[仕入先]],商品マスタ!$E$3:E100,商品マスタ[[#This Row],[商品名]]), "00")</f>
        <v>PRD_SNJ_SBR_0004_01</v>
      </c>
      <c r="E100" s="87" t="s">
        <v>444</v>
      </c>
      <c r="F100" s="87">
        <f>IF(COUNTIFS($C$3:C100,商品マスタ[[#This Row],[仕入先]],$E$3:E100,商品マスタ[[#This Row],[商品名]]) = 1, 1,0)</f>
        <v>1</v>
      </c>
      <c r="G100" s="133" t="str">
        <f>TEXT(SUMIF($C$3:C100,商品マスタ[[#This Row],[仕入先]],$F$3:F100), "0000")</f>
        <v>0004</v>
      </c>
      <c r="H100" s="87" t="s">
        <v>365</v>
      </c>
      <c r="I100" s="87" t="s">
        <v>445</v>
      </c>
      <c r="J100" s="87" t="s">
        <v>376</v>
      </c>
      <c r="K100" s="87" t="s">
        <v>442</v>
      </c>
      <c r="L100" s="134">
        <v>3500</v>
      </c>
      <c r="M100" s="157">
        <v>45944</v>
      </c>
      <c r="N100" s="134"/>
      <c r="O100" s="135" t="str">
        <f>IF(COUNT(商品マスタ[[#This Row],[参考上代
（税込)]]) &gt; 0, (商品マスタ[[#This Row],[参考上代
（税込)]]-商品マスタ[[#This Row],[国内定価
（15％）]])/(商品マスタ[[#This Row],[参考上代
（税込)]]/1.08), "")</f>
        <v/>
      </c>
      <c r="P100" s="136">
        <v>0.1</v>
      </c>
      <c r="Q100" s="137">
        <f>商品マスタ[[#This Row],[仕入
単価]]*商品マスタ[[#This Row],[標準国内送料率]]</f>
        <v>350</v>
      </c>
      <c r="R100" s="134"/>
      <c r="S100" s="134">
        <f>IF(ISBLANK(商品マスタ[[#This Row],[実績
国内送料]]),商品マスタ[[#This Row],[標準国内送料]],)</f>
        <v>350</v>
      </c>
      <c r="T100" s="134">
        <f>商品マスタ[[#This Row],[仕入
単価]]+商品マスタ[[#This Row],[国内送料]]</f>
        <v>3850</v>
      </c>
      <c r="U100" s="134">
        <f>ROUNDUP(商品マスタ[[#This Row],[仕入単価+国内送料]]/0.8,-1)</f>
        <v>4820</v>
      </c>
      <c r="V100" s="134">
        <f>商品マスタ[[#This Row],[海外定価
（20％）]]-商品マスタ[[#This Row],[仕入単価+国内送料]]</f>
        <v>970</v>
      </c>
      <c r="W100" s="87">
        <f>ROUNDUP(商品マスタ[[#This Row],[仕入単価+国内送料]]/0.85,-1)</f>
        <v>4530</v>
      </c>
      <c r="X100" s="134">
        <f>商品マスタ[[#This Row],[国内定価
（15％）]]-商品マスタ[[#This Row],[仕入単価+国内送料]]</f>
        <v>680</v>
      </c>
      <c r="Y100" s="139">
        <v>0.08</v>
      </c>
      <c r="Z100" s="87"/>
      <c r="AA100" s="87"/>
      <c r="AB100" s="87"/>
      <c r="AC100" s="140"/>
      <c r="AD100" s="87"/>
      <c r="AE100" s="87"/>
      <c r="AF100" s="87"/>
      <c r="AG100" s="141"/>
    </row>
    <row r="101" spans="1:33" ht="18">
      <c r="A101" s="166" t="s">
        <v>1523</v>
      </c>
      <c r="B101" s="176" t="s">
        <v>1232</v>
      </c>
      <c r="C101" s="167" t="s">
        <v>437</v>
      </c>
      <c r="D101" s="143" t="str">
        <f>"PRD_SNJ_"&amp;
_xlfn.XLOOKUP(商品マスタ[[#This Row],[仕入先]],テーブル1[仕入先名],テーブル1[仕入先コード],"XXX",0,1)&amp;
"_"&amp;
商品マスタ[[#This Row],[シリアル]]&amp;
"_"&amp;
TEXT(COUNTIFS(商品マスタ!$C$3:C101,商品マスタ[[#This Row],[仕入先]],商品マスタ!$E$3:E101,商品マスタ[[#This Row],[商品名]]), "00")</f>
        <v>PRD_SNJ_SBR_0005_01</v>
      </c>
      <c r="E101" s="87" t="s">
        <v>379</v>
      </c>
      <c r="F101" s="87">
        <f>IF(COUNTIFS($C$3:C101,商品マスタ[[#This Row],[仕入先]],$E$3:E101,商品マスタ[[#This Row],[商品名]]) = 1, 1,0)</f>
        <v>1</v>
      </c>
      <c r="G101" s="133" t="str">
        <f>TEXT(SUMIF($C$3:C101,商品マスタ[[#This Row],[仕入先]],$F$3:F101), "0000")</f>
        <v>0005</v>
      </c>
      <c r="H101" s="87" t="s">
        <v>365</v>
      </c>
      <c r="I101" s="87" t="s">
        <v>443</v>
      </c>
      <c r="J101" s="87" t="s">
        <v>376</v>
      </c>
      <c r="K101" s="87" t="s">
        <v>442</v>
      </c>
      <c r="L101" s="134">
        <v>3800</v>
      </c>
      <c r="M101" s="157">
        <v>45944</v>
      </c>
      <c r="N101" s="134"/>
      <c r="O101" s="135" t="str">
        <f>IF(COUNT(商品マスタ[[#This Row],[参考上代
（税込)]]) &gt; 0, (商品マスタ[[#This Row],[参考上代
（税込)]]-商品マスタ[[#This Row],[国内定価
（15％）]])/(商品マスタ[[#This Row],[参考上代
（税込)]]/1.08), "")</f>
        <v/>
      </c>
      <c r="P101" s="136">
        <v>0.1</v>
      </c>
      <c r="Q101" s="137">
        <f>商品マスタ[[#This Row],[仕入
単価]]*商品マスタ[[#This Row],[標準国内送料率]]</f>
        <v>380</v>
      </c>
      <c r="R101" s="134"/>
      <c r="S101" s="134">
        <f>IF(ISBLANK(商品マスタ[[#This Row],[実績
国内送料]]),商品マスタ[[#This Row],[標準国内送料]],)</f>
        <v>380</v>
      </c>
      <c r="T101" s="134">
        <f>商品マスタ[[#This Row],[仕入
単価]]+商品マスタ[[#This Row],[国内送料]]</f>
        <v>4180</v>
      </c>
      <c r="U101" s="134">
        <f>ROUNDUP(商品マスタ[[#This Row],[仕入単価+国内送料]]/0.8,-1)</f>
        <v>5230</v>
      </c>
      <c r="V101" s="134">
        <f>商品マスタ[[#This Row],[海外定価
（20％）]]-商品マスタ[[#This Row],[仕入単価+国内送料]]</f>
        <v>1050</v>
      </c>
      <c r="W101" s="87">
        <f>ROUNDUP(商品マスタ[[#This Row],[仕入単価+国内送料]]/0.85,-1)</f>
        <v>4920</v>
      </c>
      <c r="X101" s="134">
        <f>商品マスタ[[#This Row],[国内定価
（15％）]]-商品マスタ[[#This Row],[仕入単価+国内送料]]</f>
        <v>740</v>
      </c>
      <c r="Y101" s="139">
        <v>0.08</v>
      </c>
      <c r="Z101" s="87"/>
      <c r="AA101" s="87"/>
      <c r="AB101" s="87"/>
      <c r="AC101" s="140"/>
      <c r="AD101" s="87"/>
      <c r="AE101" s="87"/>
      <c r="AF101" s="87"/>
      <c r="AG101" s="141"/>
    </row>
    <row r="102" spans="1:33" ht="18">
      <c r="A102" s="166" t="s">
        <v>1523</v>
      </c>
      <c r="B102" s="176" t="s">
        <v>1232</v>
      </c>
      <c r="C102" s="167" t="s">
        <v>437</v>
      </c>
      <c r="D102" s="143" t="str">
        <f>"PRD_SNJ_"&amp;
_xlfn.XLOOKUP(商品マスタ[[#This Row],[仕入先]],テーブル1[仕入先名],テーブル1[仕入先コード],"XXX",0,1)&amp;
"_"&amp;
商品マスタ[[#This Row],[シリアル]]&amp;
"_"&amp;
TEXT(COUNTIFS(商品マスタ!$C$3:C102,商品マスタ[[#This Row],[仕入先]],商品マスタ!$E$3:E102,商品マスタ[[#This Row],[商品名]]), "00")</f>
        <v>PRD_SNJ_SBR_0006_01</v>
      </c>
      <c r="E102" s="87" t="s">
        <v>446</v>
      </c>
      <c r="F102" s="87">
        <f>IF(COUNTIFS($C$3:C102,商品マスタ[[#This Row],[仕入先]],$E$3:E102,商品マスタ[[#This Row],[商品名]]) = 1, 1,0)</f>
        <v>1</v>
      </c>
      <c r="G102" s="133" t="str">
        <f>TEXT(SUMIF($C$3:C102,商品マスタ[[#This Row],[仕入先]],$F$3:F102), "0000")</f>
        <v>0006</v>
      </c>
      <c r="H102" s="87" t="s">
        <v>365</v>
      </c>
      <c r="I102" s="87" t="s">
        <v>447</v>
      </c>
      <c r="J102" s="87" t="s">
        <v>376</v>
      </c>
      <c r="K102" s="87" t="s">
        <v>442</v>
      </c>
      <c r="L102" s="134">
        <v>3800</v>
      </c>
      <c r="M102" s="157">
        <v>45944</v>
      </c>
      <c r="N102" s="134"/>
      <c r="O102" s="135" t="str">
        <f>IF(COUNT(商品マスタ[[#This Row],[参考上代
（税込)]]) &gt; 0, (商品マスタ[[#This Row],[参考上代
（税込)]]-商品マスタ[[#This Row],[国内定価
（15％）]])/(商品マスタ[[#This Row],[参考上代
（税込)]]/1.08), "")</f>
        <v/>
      </c>
      <c r="P102" s="136">
        <v>0.1</v>
      </c>
      <c r="Q102" s="137">
        <f>商品マスタ[[#This Row],[仕入
単価]]*商品マスタ[[#This Row],[標準国内送料率]]</f>
        <v>380</v>
      </c>
      <c r="R102" s="134"/>
      <c r="S102" s="134">
        <f>IF(ISBLANK(商品マスタ[[#This Row],[実績
国内送料]]),商品マスタ[[#This Row],[標準国内送料]],)</f>
        <v>380</v>
      </c>
      <c r="T102" s="134">
        <f>商品マスタ[[#This Row],[仕入
単価]]+商品マスタ[[#This Row],[国内送料]]</f>
        <v>4180</v>
      </c>
      <c r="U102" s="134">
        <f>ROUNDUP(商品マスタ[[#This Row],[仕入単価+国内送料]]/0.8,-1)</f>
        <v>5230</v>
      </c>
      <c r="V102" s="134">
        <f>商品マスタ[[#This Row],[海外定価
（20％）]]-商品マスタ[[#This Row],[仕入単価+国内送料]]</f>
        <v>1050</v>
      </c>
      <c r="W102" s="87">
        <f>ROUNDUP(商品マスタ[[#This Row],[仕入単価+国内送料]]/0.85,-1)</f>
        <v>4920</v>
      </c>
      <c r="X102" s="134">
        <f>商品マスタ[[#This Row],[国内定価
（15％）]]-商品マスタ[[#This Row],[仕入単価+国内送料]]</f>
        <v>740</v>
      </c>
      <c r="Y102" s="139">
        <v>0.08</v>
      </c>
      <c r="Z102" s="87"/>
      <c r="AA102" s="87"/>
      <c r="AB102" s="87"/>
      <c r="AC102" s="140"/>
      <c r="AD102" s="87"/>
      <c r="AE102" s="87"/>
      <c r="AF102" s="87"/>
      <c r="AG102" s="141"/>
    </row>
    <row r="103" spans="1:33" ht="18">
      <c r="A103" s="166" t="s">
        <v>1523</v>
      </c>
      <c r="B103" s="176" t="s">
        <v>1232</v>
      </c>
      <c r="C103" s="167" t="s">
        <v>437</v>
      </c>
      <c r="D103" s="143" t="str">
        <f>"PRD_SNJ_"&amp;
_xlfn.XLOOKUP(商品マスタ[[#This Row],[仕入先]],テーブル1[仕入先名],テーブル1[仕入先コード],"XXX",0,1)&amp;
"_"&amp;
商品マスタ[[#This Row],[シリアル]]&amp;
"_"&amp;
TEXT(COUNTIFS(商品マスタ!$C$3:C103,商品マスタ[[#This Row],[仕入先]],商品マスタ!$E$3:E103,商品マスタ[[#This Row],[商品名]]), "00")</f>
        <v>PRD_SNJ_SBR_0007_01</v>
      </c>
      <c r="E103" s="87" t="s">
        <v>448</v>
      </c>
      <c r="F103" s="87">
        <f>IF(COUNTIFS($C$3:C103,商品マスタ[[#This Row],[仕入先]],$E$3:E103,商品マスタ[[#This Row],[商品名]]) = 1, 1,0)</f>
        <v>1</v>
      </c>
      <c r="G103" s="133" t="str">
        <f>TEXT(SUMIF($C$3:C103,商品マスタ[[#This Row],[仕入先]],$F$3:F103), "0000")</f>
        <v>0007</v>
      </c>
      <c r="H103" s="87" t="s">
        <v>365</v>
      </c>
      <c r="I103" s="87" t="s">
        <v>449</v>
      </c>
      <c r="J103" s="87" t="s">
        <v>376</v>
      </c>
      <c r="K103" s="87" t="s">
        <v>450</v>
      </c>
      <c r="L103" s="134">
        <v>1600</v>
      </c>
      <c r="M103" s="157">
        <v>45944</v>
      </c>
      <c r="N103" s="134"/>
      <c r="O103" s="135" t="str">
        <f>IF(COUNT(商品マスタ[[#This Row],[参考上代
（税込)]]) &gt; 0, (商品マスタ[[#This Row],[参考上代
（税込)]]-商品マスタ[[#This Row],[国内定価
（15％）]])/(商品マスタ[[#This Row],[参考上代
（税込)]]/1.08), "")</f>
        <v/>
      </c>
      <c r="P103" s="136">
        <v>0.1</v>
      </c>
      <c r="Q103" s="137">
        <f>商品マスタ[[#This Row],[仕入
単価]]*商品マスタ[[#This Row],[標準国内送料率]]</f>
        <v>160</v>
      </c>
      <c r="R103" s="134"/>
      <c r="S103" s="134">
        <f>IF(ISBLANK(商品マスタ[[#This Row],[実績
国内送料]]),商品マスタ[[#This Row],[標準国内送料]],)</f>
        <v>160</v>
      </c>
      <c r="T103" s="134">
        <f>商品マスタ[[#This Row],[仕入
単価]]+商品マスタ[[#This Row],[国内送料]]</f>
        <v>1760</v>
      </c>
      <c r="U103" s="134">
        <f>ROUNDUP(商品マスタ[[#This Row],[仕入単価+国内送料]]/0.8,-1)</f>
        <v>2200</v>
      </c>
      <c r="V103" s="134">
        <f>商品マスタ[[#This Row],[海外定価
（20％）]]-商品マスタ[[#This Row],[仕入単価+国内送料]]</f>
        <v>440</v>
      </c>
      <c r="W103" s="87">
        <f>ROUNDUP(商品マスタ[[#This Row],[仕入単価+国内送料]]/0.85,-1)</f>
        <v>2080</v>
      </c>
      <c r="X103" s="134">
        <f>商品マスタ[[#This Row],[国内定価
（15％）]]-商品マスタ[[#This Row],[仕入単価+国内送料]]</f>
        <v>320</v>
      </c>
      <c r="Y103" s="139">
        <v>0.08</v>
      </c>
      <c r="Z103" s="87"/>
      <c r="AA103" s="87"/>
      <c r="AB103" s="87"/>
      <c r="AC103" s="140"/>
      <c r="AD103" s="87"/>
      <c r="AE103" s="87"/>
      <c r="AF103" s="87"/>
      <c r="AG103" s="141"/>
    </row>
    <row r="104" spans="1:33" ht="18">
      <c r="A104" s="166" t="s">
        <v>1523</v>
      </c>
      <c r="B104" s="176" t="s">
        <v>1232</v>
      </c>
      <c r="C104" s="167" t="s">
        <v>437</v>
      </c>
      <c r="D104" s="143" t="str">
        <f>"PRD_SNJ_"&amp;
_xlfn.XLOOKUP(商品マスタ[[#This Row],[仕入先]],テーブル1[仕入先名],テーブル1[仕入先コード],"XXX",0,1)&amp;
"_"&amp;
商品マスタ[[#This Row],[シリアル]]&amp;
"_"&amp;
TEXT(COUNTIFS(商品マスタ!$C$3:C104,商品マスタ[[#This Row],[仕入先]],商品マスタ!$E$3:E104,商品マスタ[[#This Row],[商品名]]), "00")</f>
        <v>PRD_SNJ_SBR_0008_01</v>
      </c>
      <c r="E104" s="87" t="s">
        <v>451</v>
      </c>
      <c r="F104" s="87">
        <f>IF(COUNTIFS($C$3:C104,商品マスタ[[#This Row],[仕入先]],$E$3:E104,商品マスタ[[#This Row],[商品名]]) = 1, 1,0)</f>
        <v>1</v>
      </c>
      <c r="G104" s="133" t="str">
        <f>TEXT(SUMIF($C$3:C104,商品マスタ[[#This Row],[仕入先]],$F$3:F104), "0000")</f>
        <v>0008</v>
      </c>
      <c r="H104" s="87" t="s">
        <v>365</v>
      </c>
      <c r="I104" s="87" t="s">
        <v>443</v>
      </c>
      <c r="J104" s="87" t="s">
        <v>376</v>
      </c>
      <c r="K104" s="87" t="s">
        <v>452</v>
      </c>
      <c r="L104" s="134">
        <v>2600</v>
      </c>
      <c r="M104" s="157">
        <v>45944</v>
      </c>
      <c r="N104" s="134"/>
      <c r="O104" s="135" t="str">
        <f>IF(COUNT(商品マスタ[[#This Row],[参考上代
（税込)]]) &gt; 0, (商品マスタ[[#This Row],[参考上代
（税込)]]-商品マスタ[[#This Row],[国内定価
（15％）]])/(商品マスタ[[#This Row],[参考上代
（税込)]]/1.08), "")</f>
        <v/>
      </c>
      <c r="P104" s="136">
        <v>0.1</v>
      </c>
      <c r="Q104" s="137">
        <f>商品マスタ[[#This Row],[仕入
単価]]*商品マスタ[[#This Row],[標準国内送料率]]</f>
        <v>260</v>
      </c>
      <c r="R104" s="134"/>
      <c r="S104" s="134">
        <f>IF(ISBLANK(商品マスタ[[#This Row],[実績
国内送料]]),商品マスタ[[#This Row],[標準国内送料]],)</f>
        <v>260</v>
      </c>
      <c r="T104" s="134">
        <f>商品マスタ[[#This Row],[仕入
単価]]+商品マスタ[[#This Row],[国内送料]]</f>
        <v>2860</v>
      </c>
      <c r="U104" s="134">
        <f>ROUNDUP(商品マスタ[[#This Row],[仕入単価+国内送料]]/0.8,-1)</f>
        <v>3580</v>
      </c>
      <c r="V104" s="134">
        <f>商品マスタ[[#This Row],[海外定価
（20％）]]-商品マスタ[[#This Row],[仕入単価+国内送料]]</f>
        <v>720</v>
      </c>
      <c r="W104" s="87">
        <f>ROUNDUP(商品マスタ[[#This Row],[仕入単価+国内送料]]/0.85,-1)</f>
        <v>3370</v>
      </c>
      <c r="X104" s="134">
        <f>商品マスタ[[#This Row],[国内定価
（15％）]]-商品マスタ[[#This Row],[仕入単価+国内送料]]</f>
        <v>510</v>
      </c>
      <c r="Y104" s="139">
        <v>0.08</v>
      </c>
      <c r="Z104" s="87"/>
      <c r="AA104" s="87"/>
      <c r="AB104" s="87"/>
      <c r="AC104" s="140"/>
      <c r="AD104" s="87"/>
      <c r="AE104" s="87"/>
      <c r="AF104" s="87"/>
      <c r="AG104" s="141"/>
    </row>
    <row r="105" spans="1:33" ht="18">
      <c r="A105" s="166" t="s">
        <v>1523</v>
      </c>
      <c r="B105" s="176" t="s">
        <v>1232</v>
      </c>
      <c r="C105" s="167" t="s">
        <v>437</v>
      </c>
      <c r="D105" s="143" t="str">
        <f>"PRD_SNJ_"&amp;
_xlfn.XLOOKUP(商品マスタ[[#This Row],[仕入先]],テーブル1[仕入先名],テーブル1[仕入先コード],"XXX",0,1)&amp;
"_"&amp;
商品マスタ[[#This Row],[シリアル]]&amp;
"_"&amp;
TEXT(COUNTIFS(商品マスタ!$C$3:C105,商品マスタ[[#This Row],[仕入先]],商品マスタ!$E$3:E105,商品マスタ[[#This Row],[商品名]]), "00")</f>
        <v>PRD_SNJ_SBR_0009_01</v>
      </c>
      <c r="E105" s="87" t="s">
        <v>391</v>
      </c>
      <c r="F105" s="87">
        <f>IF(COUNTIFS($C$3:C105,商品マスタ[[#This Row],[仕入先]],$E$3:E105,商品マスタ[[#This Row],[商品名]]) = 1, 1,0)</f>
        <v>1</v>
      </c>
      <c r="G105" s="133" t="str">
        <f>TEXT(SUMIF($C$3:C105,商品マスタ[[#This Row],[仕入先]],$F$3:F105), "0000")</f>
        <v>0009</v>
      </c>
      <c r="H105" s="87" t="s">
        <v>365</v>
      </c>
      <c r="I105" s="87" t="s">
        <v>392</v>
      </c>
      <c r="J105" s="87" t="s">
        <v>393</v>
      </c>
      <c r="K105" s="87" t="s">
        <v>442</v>
      </c>
      <c r="L105" s="134">
        <v>2400</v>
      </c>
      <c r="M105" s="157">
        <v>45944</v>
      </c>
      <c r="N105" s="134"/>
      <c r="O105" s="135" t="str">
        <f>IF(COUNT(商品マスタ[[#This Row],[参考上代
（税込)]]) &gt; 0, (商品マスタ[[#This Row],[参考上代
（税込)]]-商品マスタ[[#This Row],[国内定価
（15％）]])/(商品マスタ[[#This Row],[参考上代
（税込)]]/1.08), "")</f>
        <v/>
      </c>
      <c r="P105" s="136">
        <v>0.1</v>
      </c>
      <c r="Q105" s="137">
        <f>商品マスタ[[#This Row],[仕入
単価]]*商品マスタ[[#This Row],[標準国内送料率]]</f>
        <v>240</v>
      </c>
      <c r="R105" s="134"/>
      <c r="S105" s="134">
        <f>IF(ISBLANK(商品マスタ[[#This Row],[実績
国内送料]]),商品マスタ[[#This Row],[標準国内送料]],)</f>
        <v>240</v>
      </c>
      <c r="T105" s="134">
        <f>商品マスタ[[#This Row],[仕入
単価]]+商品マスタ[[#This Row],[国内送料]]</f>
        <v>2640</v>
      </c>
      <c r="U105" s="134">
        <f>ROUNDUP(商品マスタ[[#This Row],[仕入単価+国内送料]]/0.8,-1)</f>
        <v>3300</v>
      </c>
      <c r="V105" s="134">
        <f>商品マスタ[[#This Row],[海外定価
（20％）]]-商品マスタ[[#This Row],[仕入単価+国内送料]]</f>
        <v>660</v>
      </c>
      <c r="W105" s="87">
        <f>ROUNDUP(商品マスタ[[#This Row],[仕入単価+国内送料]]/0.85,-1)</f>
        <v>3110</v>
      </c>
      <c r="X105" s="134">
        <f>商品マスタ[[#This Row],[国内定価
（15％）]]-商品マスタ[[#This Row],[仕入単価+国内送料]]</f>
        <v>470</v>
      </c>
      <c r="Y105" s="139">
        <v>0.08</v>
      </c>
      <c r="Z105" s="87"/>
      <c r="AA105" s="87"/>
      <c r="AB105" s="87"/>
      <c r="AC105" s="140"/>
      <c r="AD105" s="87"/>
      <c r="AE105" s="87"/>
      <c r="AF105" s="87"/>
      <c r="AG105" s="141"/>
    </row>
    <row r="106" spans="1:33" ht="18">
      <c r="A106" s="166" t="s">
        <v>1523</v>
      </c>
      <c r="B106" s="176" t="s">
        <v>1232</v>
      </c>
      <c r="C106" s="167" t="s">
        <v>437</v>
      </c>
      <c r="D106" s="143" t="str">
        <f>"PRD_SNJ_"&amp;
_xlfn.XLOOKUP(商品マスタ[[#This Row],[仕入先]],テーブル1[仕入先名],テーブル1[仕入先コード],"XXX",0,1)&amp;
"_"&amp;
商品マスタ[[#This Row],[シリアル]]&amp;
"_"&amp;
TEXT(COUNTIFS(商品マスタ!$C$3:C106,商品マスタ[[#This Row],[仕入先]],商品マスタ!$E$3:E106,商品マスタ[[#This Row],[商品名]]), "00")</f>
        <v>PRD_SNJ_SBR_0010_01</v>
      </c>
      <c r="E106" s="87" t="s">
        <v>453</v>
      </c>
      <c r="F106" s="87">
        <f>IF(COUNTIFS($C$3:C106,商品マスタ[[#This Row],[仕入先]],$E$3:E106,商品マスタ[[#This Row],[商品名]]) = 1, 1,0)</f>
        <v>1</v>
      </c>
      <c r="G106" s="133" t="str">
        <f>TEXT(SUMIF($C$3:C106,商品マスタ[[#This Row],[仕入先]],$F$3:F106), "0000")</f>
        <v>0010</v>
      </c>
      <c r="H106" s="87" t="s">
        <v>365</v>
      </c>
      <c r="I106" s="87" t="s">
        <v>454</v>
      </c>
      <c r="J106" s="87" t="s">
        <v>376</v>
      </c>
      <c r="K106" s="87" t="s">
        <v>455</v>
      </c>
      <c r="L106" s="134">
        <v>2200</v>
      </c>
      <c r="M106" s="157">
        <v>45944</v>
      </c>
      <c r="N106" s="134"/>
      <c r="O106" s="135" t="str">
        <f>IF(COUNT(商品マスタ[[#This Row],[参考上代
（税込)]]) &gt; 0, (商品マスタ[[#This Row],[参考上代
（税込)]]-商品マスタ[[#This Row],[国内定価
（15％）]])/(商品マスタ[[#This Row],[参考上代
（税込)]]/1.08), "")</f>
        <v/>
      </c>
      <c r="P106" s="136">
        <v>0.1</v>
      </c>
      <c r="Q106" s="137">
        <f>商品マスタ[[#This Row],[仕入
単価]]*商品マスタ[[#This Row],[標準国内送料率]]</f>
        <v>220</v>
      </c>
      <c r="R106" s="134"/>
      <c r="S106" s="134">
        <f>IF(ISBLANK(商品マスタ[[#This Row],[実績
国内送料]]),商品マスタ[[#This Row],[標準国内送料]],)</f>
        <v>220</v>
      </c>
      <c r="T106" s="134">
        <f>商品マスタ[[#This Row],[仕入
単価]]+商品マスタ[[#This Row],[国内送料]]</f>
        <v>2420</v>
      </c>
      <c r="U106" s="134">
        <f>ROUNDUP(商品マスタ[[#This Row],[仕入単価+国内送料]]/0.8,-1)</f>
        <v>3030</v>
      </c>
      <c r="V106" s="134">
        <f>商品マスタ[[#This Row],[海外定価
（20％）]]-商品マスタ[[#This Row],[仕入単価+国内送料]]</f>
        <v>610</v>
      </c>
      <c r="W106" s="87">
        <f>ROUNDUP(商品マスタ[[#This Row],[仕入単価+国内送料]]/0.85,-1)</f>
        <v>2850</v>
      </c>
      <c r="X106" s="134">
        <f>商品マスタ[[#This Row],[国内定価
（15％）]]-商品マスタ[[#This Row],[仕入単価+国内送料]]</f>
        <v>430</v>
      </c>
      <c r="Y106" s="139">
        <v>0.08</v>
      </c>
      <c r="Z106" s="87"/>
      <c r="AA106" s="87"/>
      <c r="AB106" s="87"/>
      <c r="AC106" s="140"/>
      <c r="AD106" s="87"/>
      <c r="AE106" s="87"/>
      <c r="AF106" s="87"/>
      <c r="AG106" s="141"/>
    </row>
    <row r="107" spans="1:33" ht="18">
      <c r="A107" s="166" t="s">
        <v>1523</v>
      </c>
      <c r="B107" s="176" t="s">
        <v>1232</v>
      </c>
      <c r="C107" s="167" t="s">
        <v>437</v>
      </c>
      <c r="D107" s="143" t="str">
        <f>"PRD_SNJ_"&amp;
_xlfn.XLOOKUP(商品マスタ[[#This Row],[仕入先]],テーブル1[仕入先名],テーブル1[仕入先コード],"XXX",0,1)&amp;
"_"&amp;
商品マスタ[[#This Row],[シリアル]]&amp;
"_"&amp;
TEXT(COUNTIFS(商品マスタ!$C$3:C107,商品マスタ[[#This Row],[仕入先]],商品マスタ!$E$3:E107,商品マスタ[[#This Row],[商品名]]), "00")</f>
        <v>PRD_SNJ_SBR_0011_01</v>
      </c>
      <c r="E107" s="87" t="s">
        <v>456</v>
      </c>
      <c r="F107" s="87">
        <f>IF(COUNTIFS($C$3:C107,商品マスタ[[#This Row],[仕入先]],$E$3:E107,商品マスタ[[#This Row],[商品名]]) = 1, 1,0)</f>
        <v>1</v>
      </c>
      <c r="G107" s="133" t="str">
        <f>TEXT(SUMIF($C$3:C107,商品マスタ[[#This Row],[仕入先]],$F$3:F107), "0000")</f>
        <v>0011</v>
      </c>
      <c r="H107" s="87" t="s">
        <v>365</v>
      </c>
      <c r="I107" s="87" t="s">
        <v>457</v>
      </c>
      <c r="J107" s="87" t="s">
        <v>458</v>
      </c>
      <c r="K107" s="87" t="s">
        <v>459</v>
      </c>
      <c r="L107" s="134">
        <v>2900</v>
      </c>
      <c r="M107" s="157">
        <v>45944</v>
      </c>
      <c r="N107" s="134"/>
      <c r="O107" s="135" t="str">
        <f>IF(COUNT(商品マスタ[[#This Row],[参考上代
（税込)]]) &gt; 0, (商品マスタ[[#This Row],[参考上代
（税込)]]-商品マスタ[[#This Row],[国内定価
（15％）]])/(商品マスタ[[#This Row],[参考上代
（税込)]]/1.08), "")</f>
        <v/>
      </c>
      <c r="P107" s="136">
        <v>0.1</v>
      </c>
      <c r="Q107" s="137">
        <f>商品マスタ[[#This Row],[仕入
単価]]*商品マスタ[[#This Row],[標準国内送料率]]</f>
        <v>290</v>
      </c>
      <c r="R107" s="134"/>
      <c r="S107" s="134">
        <f>IF(ISBLANK(商品マスタ[[#This Row],[実績
国内送料]]),商品マスタ[[#This Row],[標準国内送料]],)</f>
        <v>290</v>
      </c>
      <c r="T107" s="134">
        <f>商品マスタ[[#This Row],[仕入
単価]]+商品マスタ[[#This Row],[国内送料]]</f>
        <v>3190</v>
      </c>
      <c r="U107" s="134">
        <f>ROUNDUP(商品マスタ[[#This Row],[仕入単価+国内送料]]/0.8,-1)</f>
        <v>3990</v>
      </c>
      <c r="V107" s="134">
        <f>商品マスタ[[#This Row],[海外定価
（20％）]]-商品マスタ[[#This Row],[仕入単価+国内送料]]</f>
        <v>800</v>
      </c>
      <c r="W107" s="87">
        <f>ROUNDUP(商品マスタ[[#This Row],[仕入単価+国内送料]]/0.85,-1)</f>
        <v>3760</v>
      </c>
      <c r="X107" s="134">
        <f>商品マスタ[[#This Row],[国内定価
（15％）]]-商品マスタ[[#This Row],[仕入単価+国内送料]]</f>
        <v>570</v>
      </c>
      <c r="Y107" s="139">
        <v>0.08</v>
      </c>
      <c r="Z107" s="87"/>
      <c r="AA107" s="87"/>
      <c r="AB107" s="87"/>
      <c r="AC107" s="140"/>
      <c r="AD107" s="87"/>
      <c r="AE107" s="87"/>
      <c r="AF107" s="87"/>
      <c r="AG107" s="141"/>
    </row>
    <row r="108" spans="1:33" ht="18">
      <c r="A108" s="166" t="s">
        <v>1523</v>
      </c>
      <c r="B108" s="176" t="s">
        <v>1232</v>
      </c>
      <c r="C108" s="167" t="s">
        <v>437</v>
      </c>
      <c r="D108" s="143" t="str">
        <f>"PRD_SNJ_"&amp;
_xlfn.XLOOKUP(商品マスタ[[#This Row],[仕入先]],テーブル1[仕入先名],テーブル1[仕入先コード],"XXX",0,1)&amp;
"_"&amp;
商品マスタ[[#This Row],[シリアル]]&amp;
"_"&amp;
TEXT(COUNTIFS(商品マスタ!$C$3:C108,商品マスタ[[#This Row],[仕入先]],商品マスタ!$E$3:E108,商品マスタ[[#This Row],[商品名]]), "00")</f>
        <v>PRD_SNJ_SBR_0012_01</v>
      </c>
      <c r="E108" s="87" t="s">
        <v>460</v>
      </c>
      <c r="F108" s="87">
        <f>IF(COUNTIFS($C$3:C108,商品マスタ[[#This Row],[仕入先]],$E$3:E108,商品マスタ[[#This Row],[商品名]]) = 1, 1,0)</f>
        <v>1</v>
      </c>
      <c r="G108" s="133" t="str">
        <f>TEXT(SUMIF($C$3:C108,商品マスタ[[#This Row],[仕入先]],$F$3:F108), "0000")</f>
        <v>0012</v>
      </c>
      <c r="H108" s="87" t="s">
        <v>365</v>
      </c>
      <c r="I108" s="87" t="s">
        <v>461</v>
      </c>
      <c r="J108" s="87" t="s">
        <v>462</v>
      </c>
      <c r="K108" s="87" t="s">
        <v>463</v>
      </c>
      <c r="L108" s="134">
        <v>1880</v>
      </c>
      <c r="M108" s="157">
        <v>45944</v>
      </c>
      <c r="N108" s="134"/>
      <c r="O108" s="135" t="str">
        <f>IF(COUNT(商品マスタ[[#This Row],[参考上代
（税込)]]) &gt; 0, (商品マスタ[[#This Row],[参考上代
（税込)]]-商品マスタ[[#This Row],[国内定価
（15％）]])/(商品マスタ[[#This Row],[参考上代
（税込)]]/1.08), "")</f>
        <v/>
      </c>
      <c r="P108" s="136">
        <v>0.1</v>
      </c>
      <c r="Q108" s="137">
        <f>商品マスタ[[#This Row],[仕入
単価]]*商品マスタ[[#This Row],[標準国内送料率]]</f>
        <v>188</v>
      </c>
      <c r="R108" s="134"/>
      <c r="S108" s="134">
        <f>IF(ISBLANK(商品マスタ[[#This Row],[実績
国内送料]]),商品マスタ[[#This Row],[標準国内送料]],)</f>
        <v>188</v>
      </c>
      <c r="T108" s="134">
        <f>商品マスタ[[#This Row],[仕入
単価]]+商品マスタ[[#This Row],[国内送料]]</f>
        <v>2068</v>
      </c>
      <c r="U108" s="134">
        <f>ROUNDUP(商品マスタ[[#This Row],[仕入単価+国内送料]]/0.8,-1)</f>
        <v>2590</v>
      </c>
      <c r="V108" s="134">
        <f>商品マスタ[[#This Row],[海外定価
（20％）]]-商品マスタ[[#This Row],[仕入単価+国内送料]]</f>
        <v>522</v>
      </c>
      <c r="W108" s="87">
        <f>ROUNDUP(商品マスタ[[#This Row],[仕入単価+国内送料]]/0.85,-1)</f>
        <v>2440</v>
      </c>
      <c r="X108" s="134">
        <f>商品マスタ[[#This Row],[国内定価
（15％）]]-商品マスタ[[#This Row],[仕入単価+国内送料]]</f>
        <v>372</v>
      </c>
      <c r="Y108" s="139">
        <v>0.08</v>
      </c>
      <c r="Z108" s="87"/>
      <c r="AA108" s="87"/>
      <c r="AB108" s="87"/>
      <c r="AC108" s="140"/>
      <c r="AD108" s="87"/>
      <c r="AE108" s="87"/>
      <c r="AF108" s="87"/>
      <c r="AG108" s="141"/>
    </row>
    <row r="109" spans="1:33" ht="18">
      <c r="A109" s="166" t="s">
        <v>1523</v>
      </c>
      <c r="B109" s="176" t="s">
        <v>1232</v>
      </c>
      <c r="C109" s="167" t="s">
        <v>437</v>
      </c>
      <c r="D109" s="143" t="str">
        <f>"PRD_SNJ_"&amp;
_xlfn.XLOOKUP(商品マスタ[[#This Row],[仕入先]],テーブル1[仕入先名],テーブル1[仕入先コード],"XXX",0,1)&amp;
"_"&amp;
商品マスタ[[#This Row],[シリアル]]&amp;
"_"&amp;
TEXT(COUNTIFS(商品マスタ!$C$3:C109,商品マスタ[[#This Row],[仕入先]],商品マスタ!$E$3:E109,商品マスタ[[#This Row],[商品名]]), "00")</f>
        <v>PRD_SNJ_SBR_0013_01</v>
      </c>
      <c r="E109" s="87" t="s">
        <v>464</v>
      </c>
      <c r="F109" s="87">
        <f>IF(COUNTIFS($C$3:C109,商品マスタ[[#This Row],[仕入先]],$E$3:E109,商品マスタ[[#This Row],[商品名]]) = 1, 1,0)</f>
        <v>1</v>
      </c>
      <c r="G109" s="133" t="str">
        <f>TEXT(SUMIF($C$3:C109,商品マスタ[[#This Row],[仕入先]],$F$3:F109), "0000")</f>
        <v>0013</v>
      </c>
      <c r="H109" s="87" t="s">
        <v>365</v>
      </c>
      <c r="I109" s="87" t="s">
        <v>465</v>
      </c>
      <c r="J109" s="87" t="s">
        <v>367</v>
      </c>
      <c r="K109" s="87" t="s">
        <v>466</v>
      </c>
      <c r="L109" s="134">
        <v>2750</v>
      </c>
      <c r="M109" s="157">
        <v>45944</v>
      </c>
      <c r="N109" s="134"/>
      <c r="O109" s="135" t="str">
        <f>IF(COUNT(商品マスタ[[#This Row],[参考上代
（税込)]]) &gt; 0, (商品マスタ[[#This Row],[参考上代
（税込)]]-商品マスタ[[#This Row],[国内定価
（15％）]])/(商品マスタ[[#This Row],[参考上代
（税込)]]/1.08), "")</f>
        <v/>
      </c>
      <c r="P109" s="136">
        <v>0.1</v>
      </c>
      <c r="Q109" s="137">
        <f>商品マスタ[[#This Row],[仕入
単価]]*商品マスタ[[#This Row],[標準国内送料率]]</f>
        <v>275</v>
      </c>
      <c r="R109" s="134"/>
      <c r="S109" s="134">
        <f>IF(ISBLANK(商品マスタ[[#This Row],[実績
国内送料]]),商品マスタ[[#This Row],[標準国内送料]],)</f>
        <v>275</v>
      </c>
      <c r="T109" s="134">
        <f>商品マスタ[[#This Row],[仕入
単価]]+商品マスタ[[#This Row],[国内送料]]</f>
        <v>3025</v>
      </c>
      <c r="U109" s="134">
        <f>ROUNDUP(商品マスタ[[#This Row],[仕入単価+国内送料]]/0.8,-1)</f>
        <v>3790</v>
      </c>
      <c r="V109" s="134">
        <f>商品マスタ[[#This Row],[海外定価
（20％）]]-商品マスタ[[#This Row],[仕入単価+国内送料]]</f>
        <v>765</v>
      </c>
      <c r="W109" s="87">
        <f>ROUNDUP(商品マスタ[[#This Row],[仕入単価+国内送料]]/0.85,-1)</f>
        <v>3560</v>
      </c>
      <c r="X109" s="134">
        <f>商品マスタ[[#This Row],[国内定価
（15％）]]-商品マスタ[[#This Row],[仕入単価+国内送料]]</f>
        <v>535</v>
      </c>
      <c r="Y109" s="139">
        <v>0.08</v>
      </c>
      <c r="Z109" s="87"/>
      <c r="AA109" s="87"/>
      <c r="AB109" s="87"/>
      <c r="AC109" s="140"/>
      <c r="AD109" s="87"/>
      <c r="AE109" s="87"/>
      <c r="AF109" s="87"/>
      <c r="AG109" s="141"/>
    </row>
    <row r="110" spans="1:33" ht="18">
      <c r="A110" s="166" t="s">
        <v>1523</v>
      </c>
      <c r="B110" s="176" t="s">
        <v>1232</v>
      </c>
      <c r="C110" s="167" t="s">
        <v>437</v>
      </c>
      <c r="D110" s="143" t="str">
        <f>"PRD_SNJ_"&amp;
_xlfn.XLOOKUP(商品マスタ[[#This Row],[仕入先]],テーブル1[仕入先名],テーブル1[仕入先コード],"XXX",0,1)&amp;
"_"&amp;
商品マスタ[[#This Row],[シリアル]]&amp;
"_"&amp;
TEXT(COUNTIFS(商品マスタ!$C$3:C110,商品マスタ[[#This Row],[仕入先]],商品マスタ!$E$3:E110,商品マスタ[[#This Row],[商品名]]), "00")</f>
        <v>PRD_SNJ_SBR_0014_01</v>
      </c>
      <c r="E110" s="87" t="s">
        <v>467</v>
      </c>
      <c r="F110" s="87">
        <f>IF(COUNTIFS($C$3:C110,商品マスタ[[#This Row],[仕入先]],$E$3:E110,商品マスタ[[#This Row],[商品名]]) = 1, 1,0)</f>
        <v>1</v>
      </c>
      <c r="G110" s="133" t="str">
        <f>TEXT(SUMIF($C$3:C110,商品マスタ[[#This Row],[仕入先]],$F$3:F110), "0000")</f>
        <v>0014</v>
      </c>
      <c r="H110" s="87" t="s">
        <v>365</v>
      </c>
      <c r="I110" s="87" t="s">
        <v>468</v>
      </c>
      <c r="J110" s="87" t="s">
        <v>387</v>
      </c>
      <c r="K110" s="87" t="s">
        <v>411</v>
      </c>
      <c r="L110" s="134">
        <v>2000</v>
      </c>
      <c r="M110" s="157">
        <v>45944</v>
      </c>
      <c r="N110" s="134"/>
      <c r="O110" s="135" t="str">
        <f>IF(COUNT(商品マスタ[[#This Row],[参考上代
（税込)]]) &gt; 0, (商品マスタ[[#This Row],[参考上代
（税込)]]-商品マスタ[[#This Row],[国内定価
（15％）]])/(商品マスタ[[#This Row],[参考上代
（税込)]]/1.08), "")</f>
        <v/>
      </c>
      <c r="P110" s="136">
        <v>0.1</v>
      </c>
      <c r="Q110" s="137">
        <f>商品マスタ[[#This Row],[仕入
単価]]*商品マスタ[[#This Row],[標準国内送料率]]</f>
        <v>200</v>
      </c>
      <c r="R110" s="134"/>
      <c r="S110" s="134">
        <f>IF(ISBLANK(商品マスタ[[#This Row],[実績
国内送料]]),商品マスタ[[#This Row],[標準国内送料]],)</f>
        <v>200</v>
      </c>
      <c r="T110" s="134">
        <f>商品マスタ[[#This Row],[仕入
単価]]+商品マスタ[[#This Row],[国内送料]]</f>
        <v>2200</v>
      </c>
      <c r="U110" s="134">
        <f>ROUNDUP(商品マスタ[[#This Row],[仕入単価+国内送料]]/0.8,-1)</f>
        <v>2750</v>
      </c>
      <c r="V110" s="134">
        <f>商品マスタ[[#This Row],[海外定価
（20％）]]-商品マスタ[[#This Row],[仕入単価+国内送料]]</f>
        <v>550</v>
      </c>
      <c r="W110" s="87">
        <f>ROUNDUP(商品マスタ[[#This Row],[仕入単価+国内送料]]/0.85,-1)</f>
        <v>2590</v>
      </c>
      <c r="X110" s="134">
        <f>商品マスタ[[#This Row],[国内定価
（15％）]]-商品マスタ[[#This Row],[仕入単価+国内送料]]</f>
        <v>390</v>
      </c>
      <c r="Y110" s="139">
        <v>0.08</v>
      </c>
      <c r="Z110" s="87"/>
      <c r="AA110" s="87"/>
      <c r="AB110" s="87"/>
      <c r="AC110" s="140"/>
      <c r="AD110" s="87"/>
      <c r="AE110" s="87"/>
      <c r="AF110" s="87"/>
      <c r="AG110" s="141"/>
    </row>
    <row r="111" spans="1:33" ht="18">
      <c r="A111" s="166" t="s">
        <v>1523</v>
      </c>
      <c r="B111" s="176" t="s">
        <v>1232</v>
      </c>
      <c r="C111" s="167" t="s">
        <v>437</v>
      </c>
      <c r="D111" s="143" t="str">
        <f>"PRD_SNJ_"&amp;
_xlfn.XLOOKUP(商品マスタ[[#This Row],[仕入先]],テーブル1[仕入先名],テーブル1[仕入先コード],"XXX",0,1)&amp;
"_"&amp;
商品マスタ[[#This Row],[シリアル]]&amp;
"_"&amp;
TEXT(COUNTIFS(商品マスタ!$C$3:C111,商品マスタ[[#This Row],[仕入先]],商品マスタ!$E$3:E111,商品マスタ[[#This Row],[商品名]]), "00")</f>
        <v>PRD_SNJ_SBR_0015_01</v>
      </c>
      <c r="E111" s="87" t="s">
        <v>469</v>
      </c>
      <c r="F111" s="87">
        <f>IF(COUNTIFS($C$3:C111,商品マスタ[[#This Row],[仕入先]],$E$3:E111,商品マスタ[[#This Row],[商品名]]) = 1, 1,0)</f>
        <v>1</v>
      </c>
      <c r="G111" s="133" t="str">
        <f>TEXT(SUMIF($C$3:C111,商品マスタ[[#This Row],[仕入先]],$F$3:F111), "0000")</f>
        <v>0015</v>
      </c>
      <c r="H111" s="87" t="s">
        <v>365</v>
      </c>
      <c r="I111" s="87" t="s">
        <v>470</v>
      </c>
      <c r="J111" s="87" t="s">
        <v>471</v>
      </c>
      <c r="K111" s="87" t="s">
        <v>472</v>
      </c>
      <c r="L111" s="134">
        <v>1800</v>
      </c>
      <c r="M111" s="157">
        <v>45944</v>
      </c>
      <c r="N111" s="134"/>
      <c r="O111" s="135" t="str">
        <f>IF(COUNT(商品マスタ[[#This Row],[参考上代
（税込)]]) &gt; 0, (商品マスタ[[#This Row],[参考上代
（税込)]]-商品マスタ[[#This Row],[国内定価
（15％）]])/(商品マスタ[[#This Row],[参考上代
（税込)]]/1.08), "")</f>
        <v/>
      </c>
      <c r="P111" s="136">
        <v>0.1</v>
      </c>
      <c r="Q111" s="137">
        <f>商品マスタ[[#This Row],[仕入
単価]]*商品マスタ[[#This Row],[標準国内送料率]]</f>
        <v>180</v>
      </c>
      <c r="R111" s="134"/>
      <c r="S111" s="134">
        <f>IF(ISBLANK(商品マスタ[[#This Row],[実績
国内送料]]),商品マスタ[[#This Row],[標準国内送料]],)</f>
        <v>180</v>
      </c>
      <c r="T111" s="134">
        <f>商品マスタ[[#This Row],[仕入
単価]]+商品マスタ[[#This Row],[国内送料]]</f>
        <v>1980</v>
      </c>
      <c r="U111" s="134">
        <f>ROUNDUP(商品マスタ[[#This Row],[仕入単価+国内送料]]/0.8,-1)</f>
        <v>2480</v>
      </c>
      <c r="V111" s="134">
        <f>商品マスタ[[#This Row],[海外定価
（20％）]]-商品マスタ[[#This Row],[仕入単価+国内送料]]</f>
        <v>500</v>
      </c>
      <c r="W111" s="87">
        <f>ROUNDUP(商品マスタ[[#This Row],[仕入単価+国内送料]]/0.85,-1)</f>
        <v>2330</v>
      </c>
      <c r="X111" s="134">
        <f>商品マスタ[[#This Row],[国内定価
（15％）]]-商品マスタ[[#This Row],[仕入単価+国内送料]]</f>
        <v>350</v>
      </c>
      <c r="Y111" s="139">
        <v>0.08</v>
      </c>
      <c r="Z111" s="87"/>
      <c r="AA111" s="87"/>
      <c r="AB111" s="87"/>
      <c r="AC111" s="140"/>
      <c r="AD111" s="87"/>
      <c r="AE111" s="87"/>
      <c r="AF111" s="87"/>
      <c r="AG111" s="141"/>
    </row>
    <row r="112" spans="1:33" ht="18">
      <c r="A112" s="166" t="s">
        <v>1523</v>
      </c>
      <c r="B112" s="176" t="s">
        <v>1232</v>
      </c>
      <c r="C112" s="167" t="s">
        <v>135</v>
      </c>
      <c r="D112" s="143" t="str">
        <f>"PRD_SNJ_"&amp;
_xlfn.XLOOKUP(商品マスタ[[#This Row],[仕入先]],テーブル1[仕入先名],テーブル1[仕入先コード],"XXX",0,1)&amp;
"_"&amp;
商品マスタ[[#This Row],[シリアル]]&amp;
"_"&amp;
TEXT(COUNTIFS(商品マスタ!$C$3:C112,商品マスタ[[#This Row],[仕入先]],商品マスタ!$E$3:E112,商品マスタ[[#This Row],[商品名]]), "00")</f>
        <v>PRD_SNJ_HEF_0001_01</v>
      </c>
      <c r="E112" s="87" t="s">
        <v>473</v>
      </c>
      <c r="F112" s="87">
        <f>IF(COUNTIFS($C$3:C112,商品マスタ[[#This Row],[仕入先]],$E$3:E112,商品マスタ[[#This Row],[商品名]]) = 1, 1,0)</f>
        <v>1</v>
      </c>
      <c r="G112" s="133" t="str">
        <f>TEXT(SUMIF($C$3:C112,商品マスタ[[#This Row],[仕入先]],$F$3:F112), "0000")</f>
        <v>0001</v>
      </c>
      <c r="H112" s="87" t="s">
        <v>365</v>
      </c>
      <c r="I112" s="87" t="s">
        <v>474</v>
      </c>
      <c r="J112" s="87" t="s">
        <v>367</v>
      </c>
      <c r="K112" s="87" t="s">
        <v>442</v>
      </c>
      <c r="L112" s="134">
        <v>3000</v>
      </c>
      <c r="M112" s="157">
        <v>45951</v>
      </c>
      <c r="N112" s="134"/>
      <c r="O112" s="135" t="str">
        <f>IF(COUNT(商品マスタ[[#This Row],[参考上代
（税込)]]) &gt; 0, (商品マスタ[[#This Row],[参考上代
（税込)]]-商品マスタ[[#This Row],[国内定価
（15％）]])/(商品マスタ[[#This Row],[参考上代
（税込)]]/1.08), "")</f>
        <v/>
      </c>
      <c r="P112" s="136">
        <v>0.1</v>
      </c>
      <c r="Q112" s="137">
        <f>商品マスタ[[#This Row],[仕入
単価]]*商品マスタ[[#This Row],[標準国内送料率]]</f>
        <v>300</v>
      </c>
      <c r="R112" s="134"/>
      <c r="S112" s="134">
        <f>IF(ISBLANK(商品マスタ[[#This Row],[実績
国内送料]]),商品マスタ[[#This Row],[標準国内送料]],)</f>
        <v>300</v>
      </c>
      <c r="T112" s="134">
        <f>商品マスタ[[#This Row],[仕入
単価]]+商品マスタ[[#This Row],[国内送料]]</f>
        <v>3300</v>
      </c>
      <c r="U112" s="134">
        <f>ROUNDUP(商品マスタ[[#This Row],[仕入単価+国内送料]]/0.8,-1)</f>
        <v>4130</v>
      </c>
      <c r="V112" s="134">
        <f>商品マスタ[[#This Row],[海外定価
（20％）]]-商品マスタ[[#This Row],[仕入単価+国内送料]]</f>
        <v>830</v>
      </c>
      <c r="W112" s="87">
        <f>ROUNDUP(商品マスタ[[#This Row],[仕入単価+国内送料]]/0.85,-1)</f>
        <v>3890</v>
      </c>
      <c r="X112" s="134">
        <f>商品マスタ[[#This Row],[国内定価
（15％）]]-商品マスタ[[#This Row],[仕入単価+国内送料]]</f>
        <v>590</v>
      </c>
      <c r="Y112" s="139">
        <v>0.08</v>
      </c>
      <c r="Z112" s="87"/>
      <c r="AA112" s="87"/>
      <c r="AB112" s="87"/>
      <c r="AC112" s="140"/>
      <c r="AD112" s="87"/>
      <c r="AE112" s="87"/>
      <c r="AF112" s="87"/>
      <c r="AG112" s="141"/>
    </row>
    <row r="113" spans="1:33" ht="18">
      <c r="A113" s="166" t="s">
        <v>1523</v>
      </c>
      <c r="B113" s="176" t="s">
        <v>1232</v>
      </c>
      <c r="C113" s="167" t="s">
        <v>135</v>
      </c>
      <c r="D113" s="143" t="str">
        <f>"PRD_SNJ_"&amp;
_xlfn.XLOOKUP(商品マスタ[[#This Row],[仕入先]],テーブル1[仕入先名],テーブル1[仕入先コード],"XXX",0,1)&amp;
"_"&amp;
商品マスタ[[#This Row],[シリアル]]&amp;
"_"&amp;
TEXT(COUNTIFS(商品マスタ!$C$3:C113,商品マスタ[[#This Row],[仕入先]],商品マスタ!$E$3:E113,商品マスタ[[#This Row],[商品名]]), "00")</f>
        <v>PRD_SNJ_HEF_0002_01</v>
      </c>
      <c r="E113" s="87" t="s">
        <v>475</v>
      </c>
      <c r="F113" s="87">
        <f>IF(COUNTIFS($C$3:C113,商品マスタ[[#This Row],[仕入先]],$E$3:E113,商品マスタ[[#This Row],[商品名]]) = 1, 1,0)</f>
        <v>1</v>
      </c>
      <c r="G113" s="133" t="str">
        <f>TEXT(SUMIF($C$3:C113,商品マスタ[[#This Row],[仕入先]],$F$3:F113), "0000")</f>
        <v>0002</v>
      </c>
      <c r="H113" s="87" t="s">
        <v>365</v>
      </c>
      <c r="I113" s="87" t="s">
        <v>476</v>
      </c>
      <c r="J113" s="87" t="s">
        <v>376</v>
      </c>
      <c r="K113" s="87" t="s">
        <v>477</v>
      </c>
      <c r="L113" s="134">
        <v>1800</v>
      </c>
      <c r="M113" s="157">
        <v>45951</v>
      </c>
      <c r="N113" s="134"/>
      <c r="O113" s="135" t="str">
        <f>IF(COUNT(商品マスタ[[#This Row],[参考上代
（税込)]]) &gt; 0, (商品マスタ[[#This Row],[参考上代
（税込)]]-商品マスタ[[#This Row],[国内定価
（15％）]])/(商品マスタ[[#This Row],[参考上代
（税込)]]/1.08), "")</f>
        <v/>
      </c>
      <c r="P113" s="136">
        <v>0.1</v>
      </c>
      <c r="Q113" s="137">
        <f>商品マスタ[[#This Row],[仕入
単価]]*商品マスタ[[#This Row],[標準国内送料率]]</f>
        <v>180</v>
      </c>
      <c r="R113" s="134"/>
      <c r="S113" s="134">
        <f>IF(ISBLANK(商品マスタ[[#This Row],[実績
国内送料]]),商品マスタ[[#This Row],[標準国内送料]],)</f>
        <v>180</v>
      </c>
      <c r="T113" s="134">
        <f>商品マスタ[[#This Row],[仕入
単価]]+商品マスタ[[#This Row],[国内送料]]</f>
        <v>1980</v>
      </c>
      <c r="U113" s="134">
        <f>ROUNDUP(商品マスタ[[#This Row],[仕入単価+国内送料]]/0.8,-1)</f>
        <v>2480</v>
      </c>
      <c r="V113" s="134">
        <f>商品マスタ[[#This Row],[海外定価
（20％）]]-商品マスタ[[#This Row],[仕入単価+国内送料]]</f>
        <v>500</v>
      </c>
      <c r="W113" s="87">
        <f>ROUNDUP(商品マスタ[[#This Row],[仕入単価+国内送料]]/0.85,-1)</f>
        <v>2330</v>
      </c>
      <c r="X113" s="134">
        <f>商品マスタ[[#This Row],[国内定価
（15％）]]-商品マスタ[[#This Row],[仕入単価+国内送料]]</f>
        <v>350</v>
      </c>
      <c r="Y113" s="139">
        <v>0.08</v>
      </c>
      <c r="Z113" s="87"/>
      <c r="AA113" s="87"/>
      <c r="AB113" s="87"/>
      <c r="AC113" s="140"/>
      <c r="AD113" s="87"/>
      <c r="AE113" s="87"/>
      <c r="AF113" s="87"/>
      <c r="AG113" s="141"/>
    </row>
    <row r="114" spans="1:33" ht="18">
      <c r="A114" s="166" t="s">
        <v>1523</v>
      </c>
      <c r="B114" s="176" t="s">
        <v>1232</v>
      </c>
      <c r="C114" s="167" t="s">
        <v>135</v>
      </c>
      <c r="D114" s="143" t="str">
        <f>"PRD_SNJ_"&amp;
_xlfn.XLOOKUP(商品マスタ[[#This Row],[仕入先]],テーブル1[仕入先名],テーブル1[仕入先コード],"XXX",0,1)&amp;
"_"&amp;
商品マスタ[[#This Row],[シリアル]]&amp;
"_"&amp;
TEXT(COUNTIFS(商品マスタ!$C$3:C114,商品マスタ[[#This Row],[仕入先]],商品マスタ!$E$3:E114,商品マスタ[[#This Row],[商品名]]), "00")</f>
        <v>PRD_SNJ_HEF_0003_01</v>
      </c>
      <c r="E114" s="87" t="s">
        <v>478</v>
      </c>
      <c r="F114" s="87">
        <f>IF(COUNTIFS($C$3:C114,商品マスタ[[#This Row],[仕入先]],$E$3:E114,商品マスタ[[#This Row],[商品名]]) = 1, 1,0)</f>
        <v>1</v>
      </c>
      <c r="G114" s="133" t="str">
        <f>TEXT(SUMIF($C$3:C114,商品マスタ[[#This Row],[仕入先]],$F$3:F114), "0000")</f>
        <v>0003</v>
      </c>
      <c r="H114" s="87" t="s">
        <v>365</v>
      </c>
      <c r="I114" s="87" t="s">
        <v>474</v>
      </c>
      <c r="J114" s="87" t="s">
        <v>367</v>
      </c>
      <c r="K114" s="87" t="s">
        <v>442</v>
      </c>
      <c r="L114" s="134">
        <v>4800</v>
      </c>
      <c r="M114" s="157">
        <v>45951</v>
      </c>
      <c r="N114" s="134"/>
      <c r="O114" s="135" t="str">
        <f>IF(COUNT(商品マスタ[[#This Row],[参考上代
（税込)]]) &gt; 0, (商品マスタ[[#This Row],[参考上代
（税込)]]-商品マスタ[[#This Row],[国内定価
（15％）]])/(商品マスタ[[#This Row],[参考上代
（税込)]]/1.08), "")</f>
        <v/>
      </c>
      <c r="P114" s="136">
        <v>0.1</v>
      </c>
      <c r="Q114" s="137">
        <f>商品マスタ[[#This Row],[仕入
単価]]*商品マスタ[[#This Row],[標準国内送料率]]</f>
        <v>480</v>
      </c>
      <c r="R114" s="134"/>
      <c r="S114" s="134">
        <f>IF(ISBLANK(商品マスタ[[#This Row],[実績
国内送料]]),商品マスタ[[#This Row],[標準国内送料]],)</f>
        <v>480</v>
      </c>
      <c r="T114" s="134">
        <f>商品マスタ[[#This Row],[仕入
単価]]+商品マスタ[[#This Row],[国内送料]]</f>
        <v>5280</v>
      </c>
      <c r="U114" s="134">
        <f>ROUNDUP(商品マスタ[[#This Row],[仕入単価+国内送料]]/0.8,-1)</f>
        <v>6600</v>
      </c>
      <c r="V114" s="134">
        <f>商品マスタ[[#This Row],[海外定価
（20％）]]-商品マスタ[[#This Row],[仕入単価+国内送料]]</f>
        <v>1320</v>
      </c>
      <c r="W114" s="87">
        <f>ROUNDUP(商品マスタ[[#This Row],[仕入単価+国内送料]]/0.85,-1)</f>
        <v>6220</v>
      </c>
      <c r="X114" s="134">
        <f>商品マスタ[[#This Row],[国内定価
（15％）]]-商品マスタ[[#This Row],[仕入単価+国内送料]]</f>
        <v>940</v>
      </c>
      <c r="Y114" s="139">
        <v>0.08</v>
      </c>
      <c r="Z114" s="87"/>
      <c r="AA114" s="87"/>
      <c r="AB114" s="87"/>
      <c r="AC114" s="140"/>
      <c r="AD114" s="87"/>
      <c r="AE114" s="87"/>
      <c r="AF114" s="87"/>
      <c r="AG114" s="141"/>
    </row>
    <row r="115" spans="1:33" ht="18">
      <c r="A115" s="166" t="s">
        <v>1523</v>
      </c>
      <c r="B115" s="176" t="s">
        <v>1232</v>
      </c>
      <c r="C115" s="167" t="s">
        <v>135</v>
      </c>
      <c r="D115" s="143" t="str">
        <f>"PRD_SNJ_"&amp;
_xlfn.XLOOKUP(商品マスタ[[#This Row],[仕入先]],テーブル1[仕入先名],テーブル1[仕入先コード],"XXX",0,1)&amp;
"_"&amp;
商品マスタ[[#This Row],[シリアル]]&amp;
"_"&amp;
TEXT(COUNTIFS(商品マスタ!$C$3:C115,商品マスタ[[#This Row],[仕入先]],商品マスタ!$E$3:E115,商品マスタ[[#This Row],[商品名]]), "00")</f>
        <v>PRD_SNJ_HEF_0004_01</v>
      </c>
      <c r="E115" s="87" t="s">
        <v>479</v>
      </c>
      <c r="F115" s="87">
        <f>IF(COUNTIFS($C$3:C115,商品マスタ[[#This Row],[仕入先]],$E$3:E115,商品マスタ[[#This Row],[商品名]]) = 1, 1,0)</f>
        <v>1</v>
      </c>
      <c r="G115" s="133" t="str">
        <f>TEXT(SUMIF($C$3:C115,商品マスタ[[#This Row],[仕入先]],$F$3:F115), "0000")</f>
        <v>0004</v>
      </c>
      <c r="H115" s="87" t="s">
        <v>365</v>
      </c>
      <c r="I115" s="87" t="s">
        <v>461</v>
      </c>
      <c r="J115" s="87" t="s">
        <v>462</v>
      </c>
      <c r="K115" s="87" t="s">
        <v>480</v>
      </c>
      <c r="L115" s="134">
        <v>1500</v>
      </c>
      <c r="M115" s="157">
        <v>45951</v>
      </c>
      <c r="N115" s="134"/>
      <c r="O115" s="135" t="str">
        <f>IF(COUNT(商品マスタ[[#This Row],[参考上代
（税込)]]) &gt; 0, (商品マスタ[[#This Row],[参考上代
（税込)]]-商品マスタ[[#This Row],[国内定価
（15％）]])/(商品マスタ[[#This Row],[参考上代
（税込)]]/1.08), "")</f>
        <v/>
      </c>
      <c r="P115" s="136">
        <v>0.1</v>
      </c>
      <c r="Q115" s="137">
        <f>商品マスタ[[#This Row],[仕入
単価]]*商品マスタ[[#This Row],[標準国内送料率]]</f>
        <v>150</v>
      </c>
      <c r="R115" s="134"/>
      <c r="S115" s="134">
        <f>IF(ISBLANK(商品マスタ[[#This Row],[実績
国内送料]]),商品マスタ[[#This Row],[標準国内送料]],)</f>
        <v>150</v>
      </c>
      <c r="T115" s="134">
        <f>商品マスタ[[#This Row],[仕入
単価]]+商品マスタ[[#This Row],[国内送料]]</f>
        <v>1650</v>
      </c>
      <c r="U115" s="134">
        <f>ROUNDUP(商品マスタ[[#This Row],[仕入単価+国内送料]]/0.8,-1)</f>
        <v>2070</v>
      </c>
      <c r="V115" s="134">
        <f>商品マスタ[[#This Row],[海外定価
（20％）]]-商品マスタ[[#This Row],[仕入単価+国内送料]]</f>
        <v>420</v>
      </c>
      <c r="W115" s="87">
        <f>ROUNDUP(商品マスタ[[#This Row],[仕入単価+国内送料]]/0.85,-1)</f>
        <v>1950</v>
      </c>
      <c r="X115" s="134">
        <f>商品マスタ[[#This Row],[国内定価
（15％）]]-商品マスタ[[#This Row],[仕入単価+国内送料]]</f>
        <v>300</v>
      </c>
      <c r="Y115" s="139">
        <v>0.08</v>
      </c>
      <c r="Z115" s="87"/>
      <c r="AA115" s="87"/>
      <c r="AB115" s="87"/>
      <c r="AC115" s="140"/>
      <c r="AD115" s="87"/>
      <c r="AE115" s="87"/>
      <c r="AF115" s="87"/>
      <c r="AG115" s="141"/>
    </row>
    <row r="116" spans="1:33" ht="18">
      <c r="A116" s="166" t="s">
        <v>1523</v>
      </c>
      <c r="B116" s="176" t="s">
        <v>1232</v>
      </c>
      <c r="C116" s="167" t="s">
        <v>135</v>
      </c>
      <c r="D116" s="143" t="str">
        <f>"PRD_SNJ_"&amp;
_xlfn.XLOOKUP(商品マスタ[[#This Row],[仕入先]],テーブル1[仕入先名],テーブル1[仕入先コード],"XXX",0,1)&amp;
"_"&amp;
商品マスタ[[#This Row],[シリアル]]&amp;
"_"&amp;
TEXT(COUNTIFS(商品マスタ!$C$3:C116,商品マスタ[[#This Row],[仕入先]],商品マスタ!$E$3:E116,商品マスタ[[#This Row],[商品名]]), "00")</f>
        <v>PRD_SNJ_HEF_0005_01</v>
      </c>
      <c r="E116" s="87" t="s">
        <v>435</v>
      </c>
      <c r="F116" s="87">
        <f>IF(COUNTIFS($C$3:C116,商品マスタ[[#This Row],[仕入先]],$E$3:E116,商品マスタ[[#This Row],[商品名]]) = 1, 1,0)</f>
        <v>1</v>
      </c>
      <c r="G116" s="133" t="str">
        <f>TEXT(SUMIF($C$3:C116,商品マスタ[[#This Row],[仕入先]],$F$3:F116), "0000")</f>
        <v>0005</v>
      </c>
      <c r="H116" s="87" t="s">
        <v>481</v>
      </c>
      <c r="I116" s="87" t="s">
        <v>482</v>
      </c>
      <c r="J116" s="87" t="s">
        <v>483</v>
      </c>
      <c r="K116" s="87" t="s">
        <v>484</v>
      </c>
      <c r="L116" s="134">
        <v>1750</v>
      </c>
      <c r="M116" s="157">
        <v>45951</v>
      </c>
      <c r="N116" s="134"/>
      <c r="O116" s="135" t="str">
        <f>IF(COUNT(商品マスタ[[#This Row],[参考上代
（税込)]]) &gt; 0, (商品マスタ[[#This Row],[参考上代
（税込)]]-商品マスタ[[#This Row],[国内定価
（15％）]])/(商品マスタ[[#This Row],[参考上代
（税込)]]/1.08), "")</f>
        <v/>
      </c>
      <c r="P116" s="136">
        <v>0.1</v>
      </c>
      <c r="Q116" s="137">
        <f>商品マスタ[[#This Row],[仕入
単価]]*商品マスタ[[#This Row],[標準国内送料率]]</f>
        <v>175</v>
      </c>
      <c r="R116" s="134"/>
      <c r="S116" s="134">
        <f>IF(ISBLANK(商品マスタ[[#This Row],[実績
国内送料]]),商品マスタ[[#This Row],[標準国内送料]],)</f>
        <v>175</v>
      </c>
      <c r="T116" s="134">
        <f>商品マスタ[[#This Row],[仕入
単価]]+商品マスタ[[#This Row],[国内送料]]</f>
        <v>1925</v>
      </c>
      <c r="U116" s="134">
        <f>ROUNDUP(商品マスタ[[#This Row],[仕入単価+国内送料]]/0.8,-1)</f>
        <v>2410</v>
      </c>
      <c r="V116" s="134">
        <f>商品マスタ[[#This Row],[海外定価
（20％）]]-商品マスタ[[#This Row],[仕入単価+国内送料]]</f>
        <v>485</v>
      </c>
      <c r="W116" s="87">
        <f>ROUNDUP(商品マスタ[[#This Row],[仕入単価+国内送料]]/0.85,-1)</f>
        <v>2270</v>
      </c>
      <c r="X116" s="134">
        <f>商品マスタ[[#This Row],[国内定価
（15％）]]-商品マスタ[[#This Row],[仕入単価+国内送料]]</f>
        <v>345</v>
      </c>
      <c r="Y116" s="139">
        <v>0.08</v>
      </c>
      <c r="Z116" s="87"/>
      <c r="AA116" s="87"/>
      <c r="AB116" s="87"/>
      <c r="AC116" s="140"/>
      <c r="AD116" s="87"/>
      <c r="AE116" s="87"/>
      <c r="AF116" s="87"/>
      <c r="AG116" s="141"/>
    </row>
    <row r="117" spans="1:33" ht="18">
      <c r="A117" s="166" t="s">
        <v>1523</v>
      </c>
      <c r="B117" s="176" t="s">
        <v>1232</v>
      </c>
      <c r="C117" s="167" t="s">
        <v>137</v>
      </c>
      <c r="D117" s="143" t="str">
        <f>"PRD_SNJ_"&amp;
_xlfn.XLOOKUP(商品マスタ[[#This Row],[仕入先]],テーブル1[仕入先名],テーブル1[仕入先コード],"XXX",0,1)&amp;
"_"&amp;
商品マスタ[[#This Row],[シリアル]]&amp;
"_"&amp;
TEXT(COUNTIFS(商品マスタ!$C$3:C117,商品マスタ[[#This Row],[仕入先]],商品マスタ!$E$3:E117,商品マスタ[[#This Row],[商品名]]), "00")</f>
        <v>PRD_SNJ_SEF_0001_01</v>
      </c>
      <c r="E117" s="87" t="s">
        <v>485</v>
      </c>
      <c r="F117" s="87">
        <f>IF(COUNTIFS($C$3:C117,商品マスタ[[#This Row],[仕入先]],$E$3:E117,商品マスタ[[#This Row],[商品名]]) = 1, 1,0)</f>
        <v>1</v>
      </c>
      <c r="G117" s="133" t="str">
        <f>TEXT(SUMIF($C$3:C117,商品マスタ[[#This Row],[仕入先]],$F$3:F117), "0000")</f>
        <v>0001</v>
      </c>
      <c r="H117" s="87" t="s">
        <v>365</v>
      </c>
      <c r="I117" s="87" t="s">
        <v>486</v>
      </c>
      <c r="J117" s="87" t="s">
        <v>367</v>
      </c>
      <c r="K117" s="87" t="s">
        <v>442</v>
      </c>
      <c r="L117" s="134">
        <v>5000</v>
      </c>
      <c r="M117" s="157">
        <v>45960</v>
      </c>
      <c r="N117" s="134"/>
      <c r="O117" s="135" t="str">
        <f>IF(COUNT(商品マスタ[[#This Row],[参考上代
（税込)]]) &gt; 0, (商品マスタ[[#This Row],[参考上代
（税込)]]-商品マスタ[[#This Row],[国内定価
（15％）]])/(商品マスタ[[#This Row],[参考上代
（税込)]]/1.08), "")</f>
        <v/>
      </c>
      <c r="P117" s="136">
        <v>0.1</v>
      </c>
      <c r="Q117" s="137">
        <f>商品マスタ[[#This Row],[仕入
単価]]*商品マスタ[[#This Row],[標準国内送料率]]</f>
        <v>500</v>
      </c>
      <c r="R117" s="134"/>
      <c r="S117" s="134">
        <f>IF(ISBLANK(商品マスタ[[#This Row],[実績
国内送料]]),商品マスタ[[#This Row],[標準国内送料]],)</f>
        <v>500</v>
      </c>
      <c r="T117" s="134">
        <f>商品マスタ[[#This Row],[仕入
単価]]+商品マスタ[[#This Row],[国内送料]]</f>
        <v>5500</v>
      </c>
      <c r="U117" s="134">
        <f>ROUNDUP(商品マスタ[[#This Row],[仕入単価+国内送料]]/0.8,-1)</f>
        <v>6880</v>
      </c>
      <c r="V117" s="134">
        <f>商品マスタ[[#This Row],[海外定価
（20％）]]-商品マスタ[[#This Row],[仕入単価+国内送料]]</f>
        <v>1380</v>
      </c>
      <c r="W117" s="87">
        <f>ROUNDUP(商品マスタ[[#This Row],[仕入単価+国内送料]]/0.85,-1)</f>
        <v>6480</v>
      </c>
      <c r="X117" s="134">
        <f>商品マスタ[[#This Row],[国内定価
（15％）]]-商品マスタ[[#This Row],[仕入単価+国内送料]]</f>
        <v>980</v>
      </c>
      <c r="Y117" s="139">
        <v>0.08</v>
      </c>
      <c r="Z117" s="87"/>
      <c r="AA117" s="87"/>
      <c r="AB117" s="87"/>
      <c r="AC117" s="140"/>
      <c r="AD117" s="87"/>
      <c r="AE117" s="87"/>
      <c r="AF117" s="87"/>
      <c r="AG117" s="141"/>
    </row>
    <row r="118" spans="1:33" ht="18">
      <c r="A118" s="166" t="s">
        <v>1523</v>
      </c>
      <c r="B118" s="176" t="s">
        <v>1232</v>
      </c>
      <c r="C118" s="167" t="s">
        <v>137</v>
      </c>
      <c r="D118" s="143" t="str">
        <f>"PRD_SNJ_"&amp;
_xlfn.XLOOKUP(商品マスタ[[#This Row],[仕入先]],テーブル1[仕入先名],テーブル1[仕入先コード],"XXX",0,1)&amp;
"_"&amp;
商品マスタ[[#This Row],[シリアル]]&amp;
"_"&amp;
TEXT(COUNTIFS(商品マスタ!$C$3:C118,商品マスタ[[#This Row],[仕入先]],商品マスタ!$E$3:E118,商品マスタ[[#This Row],[商品名]]), "00")</f>
        <v>PRD_SNJ_SEF_0002_01</v>
      </c>
      <c r="E118" s="87" t="s">
        <v>372</v>
      </c>
      <c r="F118" s="87">
        <f>IF(COUNTIFS($C$3:C118,商品マスタ[[#This Row],[仕入先]],$E$3:E118,商品マスタ[[#This Row],[商品名]]) = 1, 1,0)</f>
        <v>1</v>
      </c>
      <c r="G118" s="133" t="str">
        <f>TEXT(SUMIF($C$3:C118,商品マスタ[[#This Row],[仕入先]],$F$3:F118), "0000")</f>
        <v>0002</v>
      </c>
      <c r="H118" s="87" t="s">
        <v>365</v>
      </c>
      <c r="I118" s="87" t="s">
        <v>486</v>
      </c>
      <c r="J118" s="87" t="s">
        <v>367</v>
      </c>
      <c r="K118" s="87" t="s">
        <v>442</v>
      </c>
      <c r="L118" s="134">
        <v>4000</v>
      </c>
      <c r="M118" s="157">
        <v>45960</v>
      </c>
      <c r="N118" s="134"/>
      <c r="O118" s="135" t="str">
        <f>IF(COUNT(商品マスタ[[#This Row],[参考上代
（税込)]]) &gt; 0, (商品マスタ[[#This Row],[参考上代
（税込)]]-商品マスタ[[#This Row],[国内定価
（15％）]])/(商品マスタ[[#This Row],[参考上代
（税込)]]/1.08), "")</f>
        <v/>
      </c>
      <c r="P118" s="136">
        <v>0.1</v>
      </c>
      <c r="Q118" s="137">
        <f>商品マスタ[[#This Row],[仕入
単価]]*商品マスタ[[#This Row],[標準国内送料率]]</f>
        <v>400</v>
      </c>
      <c r="R118" s="134"/>
      <c r="S118" s="134">
        <f>IF(ISBLANK(商品マスタ[[#This Row],[実績
国内送料]]),商品マスタ[[#This Row],[標準国内送料]],)</f>
        <v>400</v>
      </c>
      <c r="T118" s="134">
        <f>商品マスタ[[#This Row],[仕入
単価]]+商品マスタ[[#This Row],[国内送料]]</f>
        <v>4400</v>
      </c>
      <c r="U118" s="134">
        <f>ROUNDUP(商品マスタ[[#This Row],[仕入単価+国内送料]]/0.8,-1)</f>
        <v>5500</v>
      </c>
      <c r="V118" s="134">
        <f>商品マスタ[[#This Row],[海外定価
（20％）]]-商品マスタ[[#This Row],[仕入単価+国内送料]]</f>
        <v>1100</v>
      </c>
      <c r="W118" s="87">
        <f>ROUNDUP(商品マスタ[[#This Row],[仕入単価+国内送料]]/0.85,-1)</f>
        <v>5180</v>
      </c>
      <c r="X118" s="134">
        <f>商品マスタ[[#This Row],[国内定価
（15％）]]-商品マスタ[[#This Row],[仕入単価+国内送料]]</f>
        <v>780</v>
      </c>
      <c r="Y118" s="139">
        <v>0.08</v>
      </c>
      <c r="Z118" s="87"/>
      <c r="AA118" s="87"/>
      <c r="AB118" s="87"/>
      <c r="AC118" s="140"/>
      <c r="AD118" s="87"/>
      <c r="AE118" s="87"/>
      <c r="AF118" s="87"/>
      <c r="AG118" s="141"/>
    </row>
    <row r="119" spans="1:33" ht="18">
      <c r="A119" s="166" t="s">
        <v>1523</v>
      </c>
      <c r="B119" s="176" t="s">
        <v>1232</v>
      </c>
      <c r="C119" s="167" t="s">
        <v>137</v>
      </c>
      <c r="D119" s="143" t="str">
        <f>"PRD_SNJ_"&amp;
_xlfn.XLOOKUP(商品マスタ[[#This Row],[仕入先]],テーブル1[仕入先名],テーブル1[仕入先コード],"XXX",0,1)&amp;
"_"&amp;
商品マスタ[[#This Row],[シリアル]]&amp;
"_"&amp;
TEXT(COUNTIFS(商品マスタ!$C$3:C119,商品マスタ[[#This Row],[仕入先]],商品マスタ!$E$3:E119,商品マスタ[[#This Row],[商品名]]), "00")</f>
        <v>PRD_SNJ_SEF_0003_01</v>
      </c>
      <c r="E119" s="87" t="s">
        <v>487</v>
      </c>
      <c r="F119" s="87">
        <f>IF(COUNTIFS($C$3:C119,商品マスタ[[#This Row],[仕入先]],$E$3:E119,商品マスタ[[#This Row],[商品名]]) = 1, 1,0)</f>
        <v>1</v>
      </c>
      <c r="G119" s="133" t="str">
        <f>TEXT(SUMIF($C$3:C119,商品マスタ[[#This Row],[仕入先]],$F$3:F119), "0000")</f>
        <v>0003</v>
      </c>
      <c r="H119" s="87" t="s">
        <v>365</v>
      </c>
      <c r="I119" s="87" t="s">
        <v>486</v>
      </c>
      <c r="J119" s="87" t="s">
        <v>367</v>
      </c>
      <c r="K119" s="87" t="s">
        <v>442</v>
      </c>
      <c r="L119" s="134">
        <v>3700</v>
      </c>
      <c r="M119" s="157">
        <v>45960</v>
      </c>
      <c r="N119" s="134"/>
      <c r="O119" s="135" t="str">
        <f>IF(COUNT(商品マスタ[[#This Row],[参考上代
（税込)]]) &gt; 0, (商品マスタ[[#This Row],[参考上代
（税込)]]-商品マスタ[[#This Row],[国内定価
（15％）]])/(商品マスタ[[#This Row],[参考上代
（税込)]]/1.08), "")</f>
        <v/>
      </c>
      <c r="P119" s="136">
        <v>0.1</v>
      </c>
      <c r="Q119" s="137">
        <f>商品マスタ[[#This Row],[仕入
単価]]*商品マスタ[[#This Row],[標準国内送料率]]</f>
        <v>370</v>
      </c>
      <c r="R119" s="134"/>
      <c r="S119" s="134">
        <f>IF(ISBLANK(商品マスタ[[#This Row],[実績
国内送料]]),商品マスタ[[#This Row],[標準国内送料]],)</f>
        <v>370</v>
      </c>
      <c r="T119" s="134">
        <f>商品マスタ[[#This Row],[仕入
単価]]+商品マスタ[[#This Row],[国内送料]]</f>
        <v>4070</v>
      </c>
      <c r="U119" s="134">
        <f>ROUNDUP(商品マスタ[[#This Row],[仕入単価+国内送料]]/0.8,-1)</f>
        <v>5090</v>
      </c>
      <c r="V119" s="134">
        <f>商品マスタ[[#This Row],[海外定価
（20％）]]-商品マスタ[[#This Row],[仕入単価+国内送料]]</f>
        <v>1020</v>
      </c>
      <c r="W119" s="87">
        <f>ROUNDUP(商品マスタ[[#This Row],[仕入単価+国内送料]]/0.85,-1)</f>
        <v>4790</v>
      </c>
      <c r="X119" s="134">
        <f>商品マスタ[[#This Row],[国内定価
（15％）]]-商品マスタ[[#This Row],[仕入単価+国内送料]]</f>
        <v>720</v>
      </c>
      <c r="Y119" s="139">
        <v>0.08</v>
      </c>
      <c r="Z119" s="87"/>
      <c r="AA119" s="87"/>
      <c r="AB119" s="87"/>
      <c r="AC119" s="140"/>
      <c r="AD119" s="87"/>
      <c r="AE119" s="87"/>
      <c r="AF119" s="87"/>
      <c r="AG119" s="141"/>
    </row>
    <row r="120" spans="1:33" ht="18">
      <c r="A120" s="166" t="s">
        <v>1523</v>
      </c>
      <c r="B120" s="176" t="s">
        <v>1232</v>
      </c>
      <c r="C120" s="167" t="s">
        <v>137</v>
      </c>
      <c r="D120" s="143" t="str">
        <f>"PRD_SNJ_"&amp;
_xlfn.XLOOKUP(商品マスタ[[#This Row],[仕入先]],テーブル1[仕入先名],テーブル1[仕入先コード],"XXX",0,1)&amp;
"_"&amp;
商品マスタ[[#This Row],[シリアル]]&amp;
"_"&amp;
TEXT(COUNTIFS(商品マスタ!$C$3:C120,商品マスタ[[#This Row],[仕入先]],商品マスタ!$E$3:E120,商品マスタ[[#This Row],[商品名]]), "00")</f>
        <v>PRD_SNJ_SEF_0004_01</v>
      </c>
      <c r="E120" s="87" t="s">
        <v>381</v>
      </c>
      <c r="F120" s="87">
        <f>IF(COUNTIFS($C$3:C120,商品マスタ[[#This Row],[仕入先]],$E$3:E120,商品マスタ[[#This Row],[商品名]]) = 1, 1,0)</f>
        <v>1</v>
      </c>
      <c r="G120" s="133" t="str">
        <f>TEXT(SUMIF($C$3:C120,商品マスタ[[#This Row],[仕入先]],$F$3:F120), "0000")</f>
        <v>0004</v>
      </c>
      <c r="H120" s="87" t="s">
        <v>365</v>
      </c>
      <c r="I120" s="87" t="s">
        <v>486</v>
      </c>
      <c r="J120" s="87" t="s">
        <v>367</v>
      </c>
      <c r="K120" s="87" t="s">
        <v>442</v>
      </c>
      <c r="L120" s="134">
        <v>3500</v>
      </c>
      <c r="M120" s="157">
        <v>45960</v>
      </c>
      <c r="N120" s="134"/>
      <c r="O120" s="135" t="str">
        <f>IF(COUNT(商品マスタ[[#This Row],[参考上代
（税込)]]) &gt; 0, (商品マスタ[[#This Row],[参考上代
（税込)]]-商品マスタ[[#This Row],[国内定価
（15％）]])/(商品マスタ[[#This Row],[参考上代
（税込)]]/1.08), "")</f>
        <v/>
      </c>
      <c r="P120" s="136">
        <v>0.1</v>
      </c>
      <c r="Q120" s="137">
        <f>商品マスタ[[#This Row],[仕入
単価]]*商品マスタ[[#This Row],[標準国内送料率]]</f>
        <v>350</v>
      </c>
      <c r="R120" s="134"/>
      <c r="S120" s="134">
        <f>IF(ISBLANK(商品マスタ[[#This Row],[実績
国内送料]]),商品マスタ[[#This Row],[標準国内送料]],)</f>
        <v>350</v>
      </c>
      <c r="T120" s="134">
        <f>商品マスタ[[#This Row],[仕入
単価]]+商品マスタ[[#This Row],[国内送料]]</f>
        <v>3850</v>
      </c>
      <c r="U120" s="134">
        <f>ROUNDUP(商品マスタ[[#This Row],[仕入単価+国内送料]]/0.8,-1)</f>
        <v>4820</v>
      </c>
      <c r="V120" s="134">
        <f>商品マスタ[[#This Row],[海外定価
（20％）]]-商品マスタ[[#This Row],[仕入単価+国内送料]]</f>
        <v>970</v>
      </c>
      <c r="W120" s="87">
        <f>ROUNDUP(商品マスタ[[#This Row],[仕入単価+国内送料]]/0.85,-1)</f>
        <v>4530</v>
      </c>
      <c r="X120" s="134">
        <f>商品マスタ[[#This Row],[国内定価
（15％）]]-商品マスタ[[#This Row],[仕入単価+国内送料]]</f>
        <v>680</v>
      </c>
      <c r="Y120" s="139">
        <v>0.08</v>
      </c>
      <c r="Z120" s="87"/>
      <c r="AA120" s="87"/>
      <c r="AB120" s="87"/>
      <c r="AC120" s="140"/>
      <c r="AD120" s="87"/>
      <c r="AE120" s="87"/>
      <c r="AF120" s="87"/>
      <c r="AG120" s="141"/>
    </row>
    <row r="121" spans="1:33" ht="18">
      <c r="A121" s="166" t="s">
        <v>1523</v>
      </c>
      <c r="B121" s="176" t="s">
        <v>1232</v>
      </c>
      <c r="C121" s="167" t="s">
        <v>137</v>
      </c>
      <c r="D121" s="143" t="str">
        <f>"PRD_SNJ_"&amp;
_xlfn.XLOOKUP(商品マスタ[[#This Row],[仕入先]],テーブル1[仕入先名],テーブル1[仕入先コード],"XXX",0,1)&amp;
"_"&amp;
商品マスタ[[#This Row],[シリアル]]&amp;
"_"&amp;
TEXT(COUNTIFS(商品マスタ!$C$3:C121,商品マスタ[[#This Row],[仕入先]],商品マスタ!$E$3:E121,商品マスタ[[#This Row],[商品名]]), "00")</f>
        <v>PRD_SNJ_SEF_0005_01</v>
      </c>
      <c r="E121" s="87" t="s">
        <v>488</v>
      </c>
      <c r="F121" s="87">
        <f>IF(COUNTIFS($C$3:C121,商品マスタ[[#This Row],[仕入先]],$E$3:E121,商品マスタ[[#This Row],[商品名]]) = 1, 1,0)</f>
        <v>1</v>
      </c>
      <c r="G121" s="133" t="str">
        <f>TEXT(SUMIF($C$3:C121,商品マスタ[[#This Row],[仕入先]],$F$3:F121), "0000")</f>
        <v>0005</v>
      </c>
      <c r="H121" s="87" t="s">
        <v>365</v>
      </c>
      <c r="I121" s="87" t="s">
        <v>486</v>
      </c>
      <c r="J121" s="87" t="s">
        <v>367</v>
      </c>
      <c r="K121" s="87" t="s">
        <v>442</v>
      </c>
      <c r="L121" s="134">
        <v>3300</v>
      </c>
      <c r="M121" s="157">
        <v>45960</v>
      </c>
      <c r="N121" s="134"/>
      <c r="O121" s="135" t="str">
        <f>IF(COUNT(商品マスタ[[#This Row],[参考上代
（税込)]]) &gt; 0, (商品マスタ[[#This Row],[参考上代
（税込)]]-商品マスタ[[#This Row],[国内定価
（15％）]])/(商品マスタ[[#This Row],[参考上代
（税込)]]/1.08), "")</f>
        <v/>
      </c>
      <c r="P121" s="136">
        <v>0.1</v>
      </c>
      <c r="Q121" s="137">
        <f>商品マスタ[[#This Row],[仕入
単価]]*商品マスタ[[#This Row],[標準国内送料率]]</f>
        <v>330</v>
      </c>
      <c r="R121" s="134"/>
      <c r="S121" s="134">
        <f>IF(ISBLANK(商品マスタ[[#This Row],[実績
国内送料]]),商品マスタ[[#This Row],[標準国内送料]],)</f>
        <v>330</v>
      </c>
      <c r="T121" s="134">
        <f>商品マスタ[[#This Row],[仕入
単価]]+商品マスタ[[#This Row],[国内送料]]</f>
        <v>3630</v>
      </c>
      <c r="U121" s="134">
        <f>ROUNDUP(商品マスタ[[#This Row],[仕入単価+国内送料]]/0.8,-1)</f>
        <v>4540</v>
      </c>
      <c r="V121" s="134">
        <f>商品マスタ[[#This Row],[海外定価
（20％）]]-商品マスタ[[#This Row],[仕入単価+国内送料]]</f>
        <v>910</v>
      </c>
      <c r="W121" s="87">
        <f>ROUNDUP(商品マスタ[[#This Row],[仕入単価+国内送料]]/0.85,-1)</f>
        <v>4280</v>
      </c>
      <c r="X121" s="134">
        <f>商品マスタ[[#This Row],[国内定価
（15％）]]-商品マスタ[[#This Row],[仕入単価+国内送料]]</f>
        <v>650</v>
      </c>
      <c r="Y121" s="139">
        <v>0.08</v>
      </c>
      <c r="Z121" s="87"/>
      <c r="AA121" s="87"/>
      <c r="AB121" s="87"/>
      <c r="AC121" s="140"/>
      <c r="AD121" s="87"/>
      <c r="AE121" s="87"/>
      <c r="AF121" s="87"/>
      <c r="AG121" s="141"/>
    </row>
    <row r="122" spans="1:33" ht="18">
      <c r="A122" s="166" t="s">
        <v>1523</v>
      </c>
      <c r="B122" s="176" t="s">
        <v>1232</v>
      </c>
      <c r="C122" s="167" t="s">
        <v>137</v>
      </c>
      <c r="D122" s="143" t="str">
        <f>"PRD_SNJ_"&amp;
_xlfn.XLOOKUP(商品マスタ[[#This Row],[仕入先]],テーブル1[仕入先名],テーブル1[仕入先コード],"XXX",0,1)&amp;
"_"&amp;
商品マスタ[[#This Row],[シリアル]]&amp;
"_"&amp;
TEXT(COUNTIFS(商品マスタ!$C$3:C122,商品マスタ[[#This Row],[仕入先]],商品マスタ!$E$3:E122,商品マスタ[[#This Row],[商品名]]), "00")</f>
        <v>PRD_SNJ_SEF_0006_01</v>
      </c>
      <c r="E122" s="87" t="s">
        <v>489</v>
      </c>
      <c r="F122" s="87">
        <f>IF(COUNTIFS($C$3:C122,商品マスタ[[#This Row],[仕入先]],$E$3:E122,商品マスタ[[#This Row],[商品名]]) = 1, 1,0)</f>
        <v>1</v>
      </c>
      <c r="G122" s="133" t="str">
        <f>TEXT(SUMIF($C$3:C122,商品マスタ[[#This Row],[仕入先]],$F$3:F122), "0000")</f>
        <v>0006</v>
      </c>
      <c r="H122" s="87" t="s">
        <v>365</v>
      </c>
      <c r="I122" s="87" t="s">
        <v>486</v>
      </c>
      <c r="J122" s="87" t="s">
        <v>367</v>
      </c>
      <c r="K122" s="87" t="s">
        <v>442</v>
      </c>
      <c r="L122" s="134">
        <v>3300</v>
      </c>
      <c r="M122" s="157">
        <v>45960</v>
      </c>
      <c r="N122" s="134"/>
      <c r="O122" s="135" t="str">
        <f>IF(COUNT(商品マスタ[[#This Row],[参考上代
（税込)]]) &gt; 0, (商品マスタ[[#This Row],[参考上代
（税込)]]-商品マスタ[[#This Row],[国内定価
（15％）]])/(商品マスタ[[#This Row],[参考上代
（税込)]]/1.08), "")</f>
        <v/>
      </c>
      <c r="P122" s="136">
        <v>0.1</v>
      </c>
      <c r="Q122" s="137">
        <f>商品マスタ[[#This Row],[仕入
単価]]*商品マスタ[[#This Row],[標準国内送料率]]</f>
        <v>330</v>
      </c>
      <c r="R122" s="134"/>
      <c r="S122" s="134">
        <f>IF(ISBLANK(商品マスタ[[#This Row],[実績
国内送料]]),商品マスタ[[#This Row],[標準国内送料]],)</f>
        <v>330</v>
      </c>
      <c r="T122" s="134">
        <f>商品マスタ[[#This Row],[仕入
単価]]+商品マスタ[[#This Row],[国内送料]]</f>
        <v>3630</v>
      </c>
      <c r="U122" s="134">
        <f>ROUNDUP(商品マスタ[[#This Row],[仕入単価+国内送料]]/0.8,-1)</f>
        <v>4540</v>
      </c>
      <c r="V122" s="134">
        <f>商品マスタ[[#This Row],[海外定価
（20％）]]-商品マスタ[[#This Row],[仕入単価+国内送料]]</f>
        <v>910</v>
      </c>
      <c r="W122" s="87">
        <f>ROUNDUP(商品マスタ[[#This Row],[仕入単価+国内送料]]/0.85,-1)</f>
        <v>4280</v>
      </c>
      <c r="X122" s="134">
        <f>商品マスタ[[#This Row],[国内定価
（15％）]]-商品マスタ[[#This Row],[仕入単価+国内送料]]</f>
        <v>650</v>
      </c>
      <c r="Y122" s="139">
        <v>0.08</v>
      </c>
      <c r="Z122" s="87"/>
      <c r="AA122" s="87"/>
      <c r="AB122" s="87"/>
      <c r="AC122" s="140"/>
      <c r="AD122" s="87"/>
      <c r="AE122" s="87"/>
      <c r="AF122" s="87"/>
      <c r="AG122" s="141"/>
    </row>
    <row r="123" spans="1:33" ht="18">
      <c r="A123" s="166" t="s">
        <v>1523</v>
      </c>
      <c r="B123" s="176" t="s">
        <v>1232</v>
      </c>
      <c r="C123" s="167" t="s">
        <v>137</v>
      </c>
      <c r="D123" s="143" t="str">
        <f>"PRD_SNJ_"&amp;
_xlfn.XLOOKUP(商品マスタ[[#This Row],[仕入先]],テーブル1[仕入先名],テーブル1[仕入先コード],"XXX",0,1)&amp;
"_"&amp;
商品マスタ[[#This Row],[シリアル]]&amp;
"_"&amp;
TEXT(COUNTIFS(商品マスタ!$C$3:C123,商品マスタ[[#This Row],[仕入先]],商品マスタ!$E$3:E123,商品マスタ[[#This Row],[商品名]]), "00")</f>
        <v>PRD_SNJ_SEF_0007_01</v>
      </c>
      <c r="E123" s="87" t="s">
        <v>490</v>
      </c>
      <c r="F123" s="87">
        <f>IF(COUNTIFS($C$3:C123,商品マスタ[[#This Row],[仕入先]],$E$3:E123,商品マスタ[[#This Row],[商品名]]) = 1, 1,0)</f>
        <v>1</v>
      </c>
      <c r="G123" s="133" t="str">
        <f>TEXT(SUMIF($C$3:C123,商品マスタ[[#This Row],[仕入先]],$F$3:F123), "0000")</f>
        <v>0007</v>
      </c>
      <c r="H123" s="87" t="s">
        <v>365</v>
      </c>
      <c r="I123" s="87" t="s">
        <v>486</v>
      </c>
      <c r="J123" s="87" t="s">
        <v>367</v>
      </c>
      <c r="K123" s="87" t="s">
        <v>442</v>
      </c>
      <c r="L123" s="134">
        <v>2500</v>
      </c>
      <c r="M123" s="157">
        <v>45960</v>
      </c>
      <c r="N123" s="134"/>
      <c r="O123" s="135" t="str">
        <f>IF(COUNT(商品マスタ[[#This Row],[参考上代
（税込)]]) &gt; 0, (商品マスタ[[#This Row],[参考上代
（税込)]]-商品マスタ[[#This Row],[国内定価
（15％）]])/(商品マスタ[[#This Row],[参考上代
（税込)]]/1.08), "")</f>
        <v/>
      </c>
      <c r="P123" s="136">
        <v>0.1</v>
      </c>
      <c r="Q123" s="137">
        <f>商品マスタ[[#This Row],[仕入
単価]]*商品マスタ[[#This Row],[標準国内送料率]]</f>
        <v>250</v>
      </c>
      <c r="R123" s="134"/>
      <c r="S123" s="134">
        <f>IF(ISBLANK(商品マスタ[[#This Row],[実績
国内送料]]),商品マスタ[[#This Row],[標準国内送料]],)</f>
        <v>250</v>
      </c>
      <c r="T123" s="134">
        <f>商品マスタ[[#This Row],[仕入
単価]]+商品マスタ[[#This Row],[国内送料]]</f>
        <v>2750</v>
      </c>
      <c r="U123" s="134">
        <f>ROUNDUP(商品マスタ[[#This Row],[仕入単価+国内送料]]/0.8,-1)</f>
        <v>3440</v>
      </c>
      <c r="V123" s="134">
        <f>商品マスタ[[#This Row],[海外定価
（20％）]]-商品マスタ[[#This Row],[仕入単価+国内送料]]</f>
        <v>690</v>
      </c>
      <c r="W123" s="87">
        <f>ROUNDUP(商品マスタ[[#This Row],[仕入単価+国内送料]]/0.85,-1)</f>
        <v>3240</v>
      </c>
      <c r="X123" s="134">
        <f>商品マスタ[[#This Row],[国内定価
（15％）]]-商品マスタ[[#This Row],[仕入単価+国内送料]]</f>
        <v>490</v>
      </c>
      <c r="Y123" s="139">
        <v>0.08</v>
      </c>
      <c r="Z123" s="87"/>
      <c r="AA123" s="87"/>
      <c r="AB123" s="87"/>
      <c r="AC123" s="140"/>
      <c r="AD123" s="87"/>
      <c r="AE123" s="87"/>
      <c r="AF123" s="87"/>
      <c r="AG123" s="141"/>
    </row>
    <row r="124" spans="1:33" ht="18">
      <c r="A124" s="166" t="s">
        <v>1523</v>
      </c>
      <c r="B124" s="176" t="s">
        <v>1232</v>
      </c>
      <c r="C124" s="167" t="s">
        <v>137</v>
      </c>
      <c r="D124" s="143" t="str">
        <f>"PRD_SNJ_"&amp;
_xlfn.XLOOKUP(商品マスタ[[#This Row],[仕入先]],テーブル1[仕入先名],テーブル1[仕入先コード],"XXX",0,1)&amp;
"_"&amp;
商品マスタ[[#This Row],[シリアル]]&amp;
"_"&amp;
TEXT(COUNTIFS(商品マスタ!$C$3:C124,商品マスタ[[#This Row],[仕入先]],商品マスタ!$E$3:E124,商品マスタ[[#This Row],[商品名]]), "00")</f>
        <v>PRD_SNJ_SEF_0008_01</v>
      </c>
      <c r="E124" s="87" t="s">
        <v>448</v>
      </c>
      <c r="F124" s="87">
        <f>IF(COUNTIFS($C$3:C124,商品マスタ[[#This Row],[仕入先]],$E$3:E124,商品マスタ[[#This Row],[商品名]]) = 1, 1,0)</f>
        <v>1</v>
      </c>
      <c r="G124" s="133" t="str">
        <f>TEXT(SUMIF($C$3:C124,商品マスタ[[#This Row],[仕入先]],$F$3:F124), "0000")</f>
        <v>0008</v>
      </c>
      <c r="H124" s="87" t="s">
        <v>365</v>
      </c>
      <c r="I124" s="87" t="s">
        <v>486</v>
      </c>
      <c r="J124" s="87" t="s">
        <v>367</v>
      </c>
      <c r="K124" s="87" t="s">
        <v>442</v>
      </c>
      <c r="L124" s="134">
        <v>1800</v>
      </c>
      <c r="M124" s="157">
        <v>45960</v>
      </c>
      <c r="N124" s="134"/>
      <c r="O124" s="135" t="str">
        <f>IF(COUNT(商品マスタ[[#This Row],[参考上代
（税込)]]) &gt; 0, (商品マスタ[[#This Row],[参考上代
（税込)]]-商品マスタ[[#This Row],[国内定価
（15％）]])/(商品マスタ[[#This Row],[参考上代
（税込)]]/1.08), "")</f>
        <v/>
      </c>
      <c r="P124" s="136">
        <v>0.1</v>
      </c>
      <c r="Q124" s="137">
        <f>商品マスタ[[#This Row],[仕入
単価]]*商品マスタ[[#This Row],[標準国内送料率]]</f>
        <v>180</v>
      </c>
      <c r="R124" s="134"/>
      <c r="S124" s="134">
        <f>IF(ISBLANK(商品マスタ[[#This Row],[実績
国内送料]]),商品マスタ[[#This Row],[標準国内送料]],)</f>
        <v>180</v>
      </c>
      <c r="T124" s="134">
        <f>商品マスタ[[#This Row],[仕入
単価]]+商品マスタ[[#This Row],[国内送料]]</f>
        <v>1980</v>
      </c>
      <c r="U124" s="134">
        <f>ROUNDUP(商品マスタ[[#This Row],[仕入単価+国内送料]]/0.8,-1)</f>
        <v>2480</v>
      </c>
      <c r="V124" s="134">
        <f>商品マスタ[[#This Row],[海外定価
（20％）]]-商品マスタ[[#This Row],[仕入単価+国内送料]]</f>
        <v>500</v>
      </c>
      <c r="W124" s="87">
        <f>ROUNDUP(商品マスタ[[#This Row],[仕入単価+国内送料]]/0.85,-1)</f>
        <v>2330</v>
      </c>
      <c r="X124" s="134">
        <f>商品マスタ[[#This Row],[国内定価
（15％）]]-商品マスタ[[#This Row],[仕入単価+国内送料]]</f>
        <v>350</v>
      </c>
      <c r="Y124" s="139">
        <v>0.08</v>
      </c>
      <c r="Z124" s="87"/>
      <c r="AA124" s="87"/>
      <c r="AB124" s="87"/>
      <c r="AC124" s="140"/>
      <c r="AD124" s="87"/>
      <c r="AE124" s="87"/>
      <c r="AF124" s="87"/>
      <c r="AG124" s="141"/>
    </row>
    <row r="125" spans="1:33" ht="18">
      <c r="A125" s="166" t="s">
        <v>1523</v>
      </c>
      <c r="B125" s="176" t="s">
        <v>1232</v>
      </c>
      <c r="C125" s="167" t="s">
        <v>137</v>
      </c>
      <c r="D125" s="143" t="str">
        <f>"PRD_SNJ_"&amp;
_xlfn.XLOOKUP(商品マスタ[[#This Row],[仕入先]],テーブル1[仕入先名],テーブル1[仕入先コード],"XXX",0,1)&amp;
"_"&amp;
商品マスタ[[#This Row],[シリアル]]&amp;
"_"&amp;
TEXT(COUNTIFS(商品マスタ!$C$3:C125,商品マスタ[[#This Row],[仕入先]],商品マスタ!$E$3:E125,商品マスタ[[#This Row],[商品名]]), "00")</f>
        <v>PRD_SNJ_SEF_0009_01</v>
      </c>
      <c r="E125" s="87" t="s">
        <v>491</v>
      </c>
      <c r="F125" s="87">
        <f>IF(COUNTIFS($C$3:C125,商品マスタ[[#This Row],[仕入先]],$E$3:E125,商品マスタ[[#This Row],[商品名]]) = 1, 1,0)</f>
        <v>1</v>
      </c>
      <c r="G125" s="133" t="str">
        <f>TEXT(SUMIF($C$3:C125,商品マスタ[[#This Row],[仕入先]],$F$3:F125), "0000")</f>
        <v>0009</v>
      </c>
      <c r="H125" s="87" t="s">
        <v>365</v>
      </c>
      <c r="I125" s="87" t="s">
        <v>492</v>
      </c>
      <c r="J125" s="87" t="s">
        <v>462</v>
      </c>
      <c r="K125" s="87" t="s">
        <v>480</v>
      </c>
      <c r="L125" s="134">
        <v>1700</v>
      </c>
      <c r="M125" s="157">
        <v>45960</v>
      </c>
      <c r="N125" s="134"/>
      <c r="O125" s="135" t="str">
        <f>IF(COUNT(商品マスタ[[#This Row],[参考上代
（税込)]]) &gt; 0, (商品マスタ[[#This Row],[参考上代
（税込)]]-商品マスタ[[#This Row],[国内定価
（15％）]])/(商品マスタ[[#This Row],[参考上代
（税込)]]/1.08), "")</f>
        <v/>
      </c>
      <c r="P125" s="136">
        <v>0.1</v>
      </c>
      <c r="Q125" s="137">
        <f>商品マスタ[[#This Row],[仕入
単価]]*商品マスタ[[#This Row],[標準国内送料率]]</f>
        <v>170</v>
      </c>
      <c r="R125" s="134"/>
      <c r="S125" s="134">
        <f>IF(ISBLANK(商品マスタ[[#This Row],[実績
国内送料]]),商品マスタ[[#This Row],[標準国内送料]],)</f>
        <v>170</v>
      </c>
      <c r="T125" s="134">
        <f>商品マスタ[[#This Row],[仕入
単価]]+商品マスタ[[#This Row],[国内送料]]</f>
        <v>1870</v>
      </c>
      <c r="U125" s="134">
        <f>ROUNDUP(商品マスタ[[#This Row],[仕入単価+国内送料]]/0.8,-1)</f>
        <v>2340</v>
      </c>
      <c r="V125" s="134">
        <f>商品マスタ[[#This Row],[海外定価
（20％）]]-商品マスタ[[#This Row],[仕入単価+国内送料]]</f>
        <v>470</v>
      </c>
      <c r="W125" s="87">
        <f>ROUNDUP(商品マスタ[[#This Row],[仕入単価+国内送料]]/0.85,-1)</f>
        <v>2200</v>
      </c>
      <c r="X125" s="134">
        <f>商品マスタ[[#This Row],[国内定価
（15％）]]-商品マスタ[[#This Row],[仕入単価+国内送料]]</f>
        <v>330</v>
      </c>
      <c r="Y125" s="139">
        <v>0.08</v>
      </c>
      <c r="Z125" s="87"/>
      <c r="AA125" s="87"/>
      <c r="AB125" s="87"/>
      <c r="AC125" s="140"/>
      <c r="AD125" s="87"/>
      <c r="AE125" s="87"/>
      <c r="AF125" s="87"/>
      <c r="AG125" s="141"/>
    </row>
    <row r="126" spans="1:33" ht="18">
      <c r="A126" s="166" t="s">
        <v>1523</v>
      </c>
      <c r="B126" s="176" t="s">
        <v>1232</v>
      </c>
      <c r="C126" s="167" t="s">
        <v>137</v>
      </c>
      <c r="D126" s="143" t="str">
        <f>"PRD_SNJ_"&amp;
_xlfn.XLOOKUP(商品マスタ[[#This Row],[仕入先]],テーブル1[仕入先名],テーブル1[仕入先コード],"XXX",0,1)&amp;
"_"&amp;
商品マスタ[[#This Row],[シリアル]]&amp;
"_"&amp;
TEXT(COUNTIFS(商品マスタ!$C$3:C126,商品マスタ[[#This Row],[仕入先]],商品マスタ!$E$3:E126,商品マスタ[[#This Row],[商品名]]), "00")</f>
        <v>PRD_SNJ_SEF_0010_01</v>
      </c>
      <c r="E126" s="87" t="s">
        <v>493</v>
      </c>
      <c r="F126" s="87">
        <f>IF(COUNTIFS($C$3:C126,商品マスタ[[#This Row],[仕入先]],$E$3:E126,商品マスタ[[#This Row],[商品名]]) = 1, 1,0)</f>
        <v>1</v>
      </c>
      <c r="G126" s="133" t="str">
        <f>TEXT(SUMIF($C$3:C126,商品マスタ[[#This Row],[仕入先]],$F$3:F126), "0000")</f>
        <v>0010</v>
      </c>
      <c r="H126" s="87" t="s">
        <v>365</v>
      </c>
      <c r="I126" s="87" t="s">
        <v>492</v>
      </c>
      <c r="J126" s="87" t="s">
        <v>462</v>
      </c>
      <c r="K126" s="87" t="s">
        <v>494</v>
      </c>
      <c r="L126" s="134">
        <v>1500</v>
      </c>
      <c r="M126" s="157">
        <v>45960</v>
      </c>
      <c r="N126" s="134"/>
      <c r="O126" s="135" t="str">
        <f>IF(COUNT(商品マスタ[[#This Row],[参考上代
（税込)]]) &gt; 0, (商品マスタ[[#This Row],[参考上代
（税込)]]-商品マスタ[[#This Row],[国内定価
（15％）]])/(商品マスタ[[#This Row],[参考上代
（税込)]]/1.08), "")</f>
        <v/>
      </c>
      <c r="P126" s="136">
        <v>0.1</v>
      </c>
      <c r="Q126" s="137">
        <f>商品マスタ[[#This Row],[仕入
単価]]*商品マスタ[[#This Row],[標準国内送料率]]</f>
        <v>150</v>
      </c>
      <c r="R126" s="134"/>
      <c r="S126" s="134">
        <f>IF(ISBLANK(商品マスタ[[#This Row],[実績
国内送料]]),商品マスタ[[#This Row],[標準国内送料]],)</f>
        <v>150</v>
      </c>
      <c r="T126" s="134">
        <f>商品マスタ[[#This Row],[仕入
単価]]+商品マスタ[[#This Row],[国内送料]]</f>
        <v>1650</v>
      </c>
      <c r="U126" s="134">
        <f>ROUNDUP(商品マスタ[[#This Row],[仕入単価+国内送料]]/0.8,-1)</f>
        <v>2070</v>
      </c>
      <c r="V126" s="134">
        <f>商品マスタ[[#This Row],[海外定価
（20％）]]-商品マスタ[[#This Row],[仕入単価+国内送料]]</f>
        <v>420</v>
      </c>
      <c r="W126" s="87">
        <f>ROUNDUP(商品マスタ[[#This Row],[仕入単価+国内送料]]/0.85,-1)</f>
        <v>1950</v>
      </c>
      <c r="X126" s="134">
        <f>商品マスタ[[#This Row],[国内定価
（15％）]]-商品マスタ[[#This Row],[仕入単価+国内送料]]</f>
        <v>300</v>
      </c>
      <c r="Y126" s="139">
        <v>0.08</v>
      </c>
      <c r="Z126" s="87"/>
      <c r="AA126" s="87"/>
      <c r="AB126" s="87"/>
      <c r="AC126" s="140"/>
      <c r="AD126" s="87"/>
      <c r="AE126" s="87"/>
      <c r="AF126" s="87"/>
      <c r="AG126" s="141"/>
    </row>
    <row r="127" spans="1:33" ht="18">
      <c r="A127" s="166" t="s">
        <v>1523</v>
      </c>
      <c r="B127" s="176" t="s">
        <v>1232</v>
      </c>
      <c r="C127" s="167" t="s">
        <v>137</v>
      </c>
      <c r="D127" s="143" t="str">
        <f>"PRD_SNJ_"&amp;
_xlfn.XLOOKUP(商品マスタ[[#This Row],[仕入先]],テーブル1[仕入先名],テーブル1[仕入先コード],"XXX",0,1)&amp;
"_"&amp;
商品マスタ[[#This Row],[シリアル]]&amp;
"_"&amp;
TEXT(COUNTIFS(商品マスタ!$C$3:C127,商品マスタ[[#This Row],[仕入先]],商品マスタ!$E$3:E127,商品マスタ[[#This Row],[商品名]]), "00")</f>
        <v>PRD_SNJ_SEF_0011_01</v>
      </c>
      <c r="E127" s="87" t="s">
        <v>391</v>
      </c>
      <c r="F127" s="87">
        <f>IF(COUNTIFS($C$3:C127,商品マスタ[[#This Row],[仕入先]],$E$3:E127,商品マスタ[[#This Row],[商品名]]) = 1, 1,0)</f>
        <v>1</v>
      </c>
      <c r="G127" s="133" t="str">
        <f>TEXT(SUMIF($C$3:C127,商品マスタ[[#This Row],[仕入先]],$F$3:F127), "0000")</f>
        <v>0011</v>
      </c>
      <c r="H127" s="87" t="s">
        <v>365</v>
      </c>
      <c r="I127" s="87" t="s">
        <v>495</v>
      </c>
      <c r="J127" s="87" t="s">
        <v>393</v>
      </c>
      <c r="K127" s="87" t="s">
        <v>496</v>
      </c>
      <c r="L127" s="134">
        <v>2500</v>
      </c>
      <c r="M127" s="157">
        <v>45960</v>
      </c>
      <c r="N127" s="134"/>
      <c r="O127" s="135" t="str">
        <f>IF(COUNT(商品マスタ[[#This Row],[参考上代
（税込)]]) &gt; 0, (商品マスタ[[#This Row],[参考上代
（税込)]]-商品マスタ[[#This Row],[国内定価
（15％）]])/(商品マスタ[[#This Row],[参考上代
（税込)]]/1.08), "")</f>
        <v/>
      </c>
      <c r="P127" s="136">
        <v>0.1</v>
      </c>
      <c r="Q127" s="137">
        <f>商品マスタ[[#This Row],[仕入
単価]]*商品マスタ[[#This Row],[標準国内送料率]]</f>
        <v>250</v>
      </c>
      <c r="R127" s="134"/>
      <c r="S127" s="134">
        <f>IF(ISBLANK(商品マスタ[[#This Row],[実績
国内送料]]),商品マスタ[[#This Row],[標準国内送料]],)</f>
        <v>250</v>
      </c>
      <c r="T127" s="134">
        <f>商品マスタ[[#This Row],[仕入
単価]]+商品マスタ[[#This Row],[国内送料]]</f>
        <v>2750</v>
      </c>
      <c r="U127" s="134">
        <f>ROUNDUP(商品マスタ[[#This Row],[仕入単価+国内送料]]/0.8,-1)</f>
        <v>3440</v>
      </c>
      <c r="V127" s="134">
        <f>商品マスタ[[#This Row],[海外定価
（20％）]]-商品マスタ[[#This Row],[仕入単価+国内送料]]</f>
        <v>690</v>
      </c>
      <c r="W127" s="87">
        <f>ROUNDUP(商品マスタ[[#This Row],[仕入単価+国内送料]]/0.85,-1)</f>
        <v>3240</v>
      </c>
      <c r="X127" s="134">
        <f>商品マスタ[[#This Row],[国内定価
（15％）]]-商品マスタ[[#This Row],[仕入単価+国内送料]]</f>
        <v>490</v>
      </c>
      <c r="Y127" s="139">
        <v>0.08</v>
      </c>
      <c r="Z127" s="87"/>
      <c r="AA127" s="87"/>
      <c r="AB127" s="87"/>
      <c r="AC127" s="140"/>
      <c r="AD127" s="87"/>
      <c r="AE127" s="87"/>
      <c r="AF127" s="87"/>
      <c r="AG127" s="141"/>
    </row>
    <row r="128" spans="1:33" ht="18">
      <c r="A128" s="166" t="s">
        <v>1523</v>
      </c>
      <c r="B128" s="176" t="s">
        <v>1232</v>
      </c>
      <c r="C128" s="167" t="s">
        <v>137</v>
      </c>
      <c r="D128" s="143" t="str">
        <f>"PRD_SNJ_"&amp;
_xlfn.XLOOKUP(商品マスタ[[#This Row],[仕入先]],テーブル1[仕入先名],テーブル1[仕入先コード],"XXX",0,1)&amp;
"_"&amp;
商品マスタ[[#This Row],[シリアル]]&amp;
"_"&amp;
TEXT(COUNTIFS(商品マスタ!$C$3:C128,商品マスタ[[#This Row],[仕入先]],商品マスタ!$E$3:E128,商品マスタ[[#This Row],[商品名]]), "00")</f>
        <v>PRD_SNJ_SEF_0012_01</v>
      </c>
      <c r="E128" s="87" t="s">
        <v>408</v>
      </c>
      <c r="F128" s="87">
        <f>IF(COUNTIFS($C$3:C128,商品マスタ[[#This Row],[仕入先]],$E$3:E128,商品マスタ[[#This Row],[商品名]]) = 1, 1,0)</f>
        <v>1</v>
      </c>
      <c r="G128" s="133" t="str">
        <f>TEXT(SUMIF($C$3:C128,商品マスタ[[#This Row],[仕入先]],$F$3:F128), "0000")</f>
        <v>0012</v>
      </c>
      <c r="H128" s="87" t="s">
        <v>365</v>
      </c>
      <c r="I128" s="87" t="s">
        <v>486</v>
      </c>
      <c r="J128" s="87" t="s">
        <v>367</v>
      </c>
      <c r="K128" s="87" t="s">
        <v>466</v>
      </c>
      <c r="L128" s="134">
        <v>4300</v>
      </c>
      <c r="M128" s="157">
        <v>45960</v>
      </c>
      <c r="N128" s="134"/>
      <c r="O128" s="135" t="str">
        <f>IF(COUNT(商品マスタ[[#This Row],[参考上代
（税込)]]) &gt; 0, (商品マスタ[[#This Row],[参考上代
（税込)]]-商品マスタ[[#This Row],[国内定価
（15％）]])/(商品マスタ[[#This Row],[参考上代
（税込)]]/1.08), "")</f>
        <v/>
      </c>
      <c r="P128" s="136">
        <v>0.1</v>
      </c>
      <c r="Q128" s="137">
        <f>商品マスタ[[#This Row],[仕入
単価]]*商品マスタ[[#This Row],[標準国内送料率]]</f>
        <v>430</v>
      </c>
      <c r="R128" s="134"/>
      <c r="S128" s="134">
        <f>IF(ISBLANK(商品マスタ[[#This Row],[実績
国内送料]]),商品マスタ[[#This Row],[標準国内送料]],)</f>
        <v>430</v>
      </c>
      <c r="T128" s="134">
        <f>商品マスタ[[#This Row],[仕入
単価]]+商品マスタ[[#This Row],[国内送料]]</f>
        <v>4730</v>
      </c>
      <c r="U128" s="134">
        <f>ROUNDUP(商品マスタ[[#This Row],[仕入単価+国内送料]]/0.8,-1)</f>
        <v>5920</v>
      </c>
      <c r="V128" s="134">
        <f>商品マスタ[[#This Row],[海外定価
（20％）]]-商品マスタ[[#This Row],[仕入単価+国内送料]]</f>
        <v>1190</v>
      </c>
      <c r="W128" s="87">
        <f>ROUNDUP(商品マスタ[[#This Row],[仕入単価+国内送料]]/0.85,-1)</f>
        <v>5570</v>
      </c>
      <c r="X128" s="134">
        <f>商品マスタ[[#This Row],[国内定価
（15％）]]-商品マスタ[[#This Row],[仕入単価+国内送料]]</f>
        <v>840</v>
      </c>
      <c r="Y128" s="139">
        <v>0.08</v>
      </c>
      <c r="Z128" s="87"/>
      <c r="AA128" s="87"/>
      <c r="AB128" s="87"/>
      <c r="AC128" s="140"/>
      <c r="AD128" s="87"/>
      <c r="AE128" s="87"/>
      <c r="AF128" s="87"/>
      <c r="AG128" s="141"/>
    </row>
    <row r="129" spans="1:33" ht="18">
      <c r="A129" s="166" t="s">
        <v>1523</v>
      </c>
      <c r="B129" s="176" t="s">
        <v>1232</v>
      </c>
      <c r="C129" s="167" t="s">
        <v>137</v>
      </c>
      <c r="D129" s="143" t="str">
        <f>"PRD_SNJ_"&amp;
_xlfn.XLOOKUP(商品マスタ[[#This Row],[仕入先]],テーブル1[仕入先名],テーブル1[仕入先コード],"XXX",0,1)&amp;
"_"&amp;
商品マスタ[[#This Row],[シリアル]]&amp;
"_"&amp;
TEXT(COUNTIFS(商品マスタ!$C$3:C129,商品マスタ[[#This Row],[仕入先]],商品マスタ!$E$3:E129,商品マスタ[[#This Row],[商品名]]), "00")</f>
        <v>PRD_SNJ_SEF_0013_01</v>
      </c>
      <c r="E129" s="87" t="s">
        <v>497</v>
      </c>
      <c r="F129" s="87">
        <f>IF(COUNTIFS($C$3:C129,商品マスタ[[#This Row],[仕入先]],$E$3:E129,商品マスタ[[#This Row],[商品名]]) = 1, 1,0)</f>
        <v>1</v>
      </c>
      <c r="G129" s="133" t="str">
        <f>TEXT(SUMIF($C$3:C129,商品マスタ[[#This Row],[仕入先]],$F$3:F129), "0000")</f>
        <v>0013</v>
      </c>
      <c r="H129" s="87" t="s">
        <v>365</v>
      </c>
      <c r="I129" s="87" t="s">
        <v>486</v>
      </c>
      <c r="J129" s="87" t="s">
        <v>367</v>
      </c>
      <c r="K129" s="87" t="s">
        <v>466</v>
      </c>
      <c r="L129" s="134">
        <v>4300</v>
      </c>
      <c r="M129" s="157">
        <v>45960</v>
      </c>
      <c r="N129" s="134"/>
      <c r="O129" s="135" t="str">
        <f>IF(COUNT(商品マスタ[[#This Row],[参考上代
（税込)]]) &gt; 0, (商品マスタ[[#This Row],[参考上代
（税込)]]-商品マスタ[[#This Row],[国内定価
（15％）]])/(商品マスタ[[#This Row],[参考上代
（税込)]]/1.08), "")</f>
        <v/>
      </c>
      <c r="P129" s="136">
        <v>0.1</v>
      </c>
      <c r="Q129" s="137">
        <f>商品マスタ[[#This Row],[仕入
単価]]*商品マスタ[[#This Row],[標準国内送料率]]</f>
        <v>430</v>
      </c>
      <c r="R129" s="134"/>
      <c r="S129" s="134">
        <f>IF(ISBLANK(商品マスタ[[#This Row],[実績
国内送料]]),商品マスタ[[#This Row],[標準国内送料]],)</f>
        <v>430</v>
      </c>
      <c r="T129" s="134">
        <f>商品マスタ[[#This Row],[仕入
単価]]+商品マスタ[[#This Row],[国内送料]]</f>
        <v>4730</v>
      </c>
      <c r="U129" s="134">
        <f>ROUNDUP(商品マスタ[[#This Row],[仕入単価+国内送料]]/0.8,-1)</f>
        <v>5920</v>
      </c>
      <c r="V129" s="134">
        <f>商品マスタ[[#This Row],[海外定価
（20％）]]-商品マスタ[[#This Row],[仕入単価+国内送料]]</f>
        <v>1190</v>
      </c>
      <c r="W129" s="87">
        <f>ROUNDUP(商品マスタ[[#This Row],[仕入単価+国内送料]]/0.85,-1)</f>
        <v>5570</v>
      </c>
      <c r="X129" s="134">
        <f>商品マスタ[[#This Row],[国内定価
（15％）]]-商品マスタ[[#This Row],[仕入単価+国内送料]]</f>
        <v>840</v>
      </c>
      <c r="Y129" s="139">
        <v>0.08</v>
      </c>
      <c r="Z129" s="87"/>
      <c r="AA129" s="87"/>
      <c r="AB129" s="87"/>
      <c r="AC129" s="140"/>
      <c r="AD129" s="87"/>
      <c r="AE129" s="87"/>
      <c r="AF129" s="87"/>
      <c r="AG129" s="141"/>
    </row>
    <row r="130" spans="1:33" ht="18">
      <c r="A130" s="166" t="s">
        <v>1523</v>
      </c>
      <c r="B130" s="176" t="s">
        <v>1232</v>
      </c>
      <c r="C130" s="167" t="s">
        <v>137</v>
      </c>
      <c r="D130" s="143" t="str">
        <f>"PRD_SNJ_"&amp;
_xlfn.XLOOKUP(商品マスタ[[#This Row],[仕入先]],テーブル1[仕入先名],テーブル1[仕入先コード],"XXX",0,1)&amp;
"_"&amp;
商品マスタ[[#This Row],[シリアル]]&amp;
"_"&amp;
TEXT(COUNTIFS(商品マスタ!$C$3:C130,商品マスタ[[#This Row],[仕入先]],商品マスタ!$E$3:E130,商品マスタ[[#This Row],[商品名]]), "00")</f>
        <v>PRD_SNJ_SEF_0014_01</v>
      </c>
      <c r="E130" s="87" t="s">
        <v>498</v>
      </c>
      <c r="F130" s="87">
        <f>IF(COUNTIFS($C$3:C130,商品マスタ[[#This Row],[仕入先]],$E$3:E130,商品マスタ[[#This Row],[商品名]]) = 1, 1,0)</f>
        <v>1</v>
      </c>
      <c r="G130" s="133" t="str">
        <f>TEXT(SUMIF($C$3:C130,商品マスタ[[#This Row],[仕入先]],$F$3:F130), "0000")</f>
        <v>0014</v>
      </c>
      <c r="H130" s="87" t="s">
        <v>365</v>
      </c>
      <c r="I130" s="87" t="s">
        <v>486</v>
      </c>
      <c r="J130" s="87" t="s">
        <v>367</v>
      </c>
      <c r="K130" s="87" t="s">
        <v>466</v>
      </c>
      <c r="L130" s="134">
        <v>4300</v>
      </c>
      <c r="M130" s="157">
        <v>45960</v>
      </c>
      <c r="N130" s="134"/>
      <c r="O130" s="135" t="str">
        <f>IF(COUNT(商品マスタ[[#This Row],[参考上代
（税込)]]) &gt; 0, (商品マスタ[[#This Row],[参考上代
（税込)]]-商品マスタ[[#This Row],[国内定価
（15％）]])/(商品マスタ[[#This Row],[参考上代
（税込)]]/1.08), "")</f>
        <v/>
      </c>
      <c r="P130" s="136">
        <v>0.1</v>
      </c>
      <c r="Q130" s="137">
        <f>商品マスタ[[#This Row],[仕入
単価]]*商品マスタ[[#This Row],[標準国内送料率]]</f>
        <v>430</v>
      </c>
      <c r="R130" s="134"/>
      <c r="S130" s="134">
        <f>IF(ISBLANK(商品マスタ[[#This Row],[実績
国内送料]]),商品マスタ[[#This Row],[標準国内送料]],)</f>
        <v>430</v>
      </c>
      <c r="T130" s="134">
        <f>商品マスタ[[#This Row],[仕入
単価]]+商品マスタ[[#This Row],[国内送料]]</f>
        <v>4730</v>
      </c>
      <c r="U130" s="134">
        <f>ROUNDUP(商品マスタ[[#This Row],[仕入単価+国内送料]]/0.8,-1)</f>
        <v>5920</v>
      </c>
      <c r="V130" s="134">
        <f>商品マスタ[[#This Row],[海外定価
（20％）]]-商品マスタ[[#This Row],[仕入単価+国内送料]]</f>
        <v>1190</v>
      </c>
      <c r="W130" s="87">
        <f>ROUNDUP(商品マスタ[[#This Row],[仕入単価+国内送料]]/0.85,-1)</f>
        <v>5570</v>
      </c>
      <c r="X130" s="134">
        <f>商品マスタ[[#This Row],[国内定価
（15％）]]-商品マスタ[[#This Row],[仕入単価+国内送料]]</f>
        <v>840</v>
      </c>
      <c r="Y130" s="139">
        <v>0.08</v>
      </c>
      <c r="Z130" s="87"/>
      <c r="AA130" s="87"/>
      <c r="AB130" s="87"/>
      <c r="AC130" s="140"/>
      <c r="AD130" s="87"/>
      <c r="AE130" s="87"/>
      <c r="AF130" s="87"/>
      <c r="AG130" s="141"/>
    </row>
    <row r="131" spans="1:33" ht="18">
      <c r="A131" s="166" t="s">
        <v>1523</v>
      </c>
      <c r="B131" s="176" t="s">
        <v>1232</v>
      </c>
      <c r="C131" s="167" t="s">
        <v>997</v>
      </c>
      <c r="D131" s="143" t="str">
        <f>"PRD_SNJ_"&amp;
_xlfn.XLOOKUP(商品マスタ[[#This Row],[仕入先]],テーブル1[仕入先名],テーブル1[仕入先コード],"XXX",0,1)&amp;
"_"&amp;
商品マスタ[[#This Row],[シリアル]]&amp;
"_"&amp;
TEXT(COUNTIFS(商品マスタ!$C$3:C131,商品マスタ[[#This Row],[仕入先]],商品マスタ!$E$3:E131,商品マスタ[[#This Row],[商品名]]), "00")</f>
        <v>PRD_SNJ_GGM_0001_01</v>
      </c>
      <c r="E131" s="87" t="s">
        <v>499</v>
      </c>
      <c r="F131" s="87">
        <f>IF(COUNTIFS($C$3:C131,商品マスタ[[#This Row],[仕入先]],$E$3:E131,商品マスタ[[#This Row],[商品名]]) = 1, 1,0)</f>
        <v>1</v>
      </c>
      <c r="G131" s="133" t="str">
        <f>TEXT(SUMIF($C$3:C131,商品マスタ[[#This Row],[仕入先]],$F$3:F131), "0000")</f>
        <v>0001</v>
      </c>
      <c r="H131" s="87" t="s">
        <v>365</v>
      </c>
      <c r="I131" s="87" t="s">
        <v>500</v>
      </c>
      <c r="J131" s="87" t="s">
        <v>367</v>
      </c>
      <c r="K131" s="87" t="s">
        <v>442</v>
      </c>
      <c r="L131" s="134">
        <v>7800</v>
      </c>
      <c r="M131" s="157">
        <v>45834</v>
      </c>
      <c r="N131" s="134"/>
      <c r="O131" s="135" t="str">
        <f>IF(COUNT(商品マスタ[[#This Row],[参考上代
（税込)]]) &gt; 0, (商品マスタ[[#This Row],[参考上代
（税込)]]-商品マスタ[[#This Row],[国内定価
（15％）]])/(商品マスタ[[#This Row],[参考上代
（税込)]]/1.08), "")</f>
        <v/>
      </c>
      <c r="P131" s="136">
        <v>0.1</v>
      </c>
      <c r="Q131" s="137">
        <f>商品マスタ[[#This Row],[仕入
単価]]*商品マスタ[[#This Row],[標準国内送料率]]</f>
        <v>780</v>
      </c>
      <c r="R131" s="134"/>
      <c r="S131" s="134">
        <f>IF(ISBLANK(商品マスタ[[#This Row],[実績
国内送料]]),商品マスタ[[#This Row],[標準国内送料]],)</f>
        <v>780</v>
      </c>
      <c r="T131" s="134">
        <f>商品マスタ[[#This Row],[仕入
単価]]+商品マスタ[[#This Row],[国内送料]]</f>
        <v>8580</v>
      </c>
      <c r="U131" s="134">
        <f>ROUNDUP(商品マスタ[[#This Row],[仕入単価+国内送料]]/0.8,-1)</f>
        <v>10730</v>
      </c>
      <c r="V131" s="134">
        <f>商品マスタ[[#This Row],[海外定価
（20％）]]-商品マスタ[[#This Row],[仕入単価+国内送料]]</f>
        <v>2150</v>
      </c>
      <c r="W131" s="87">
        <f>ROUNDUP(商品マスタ[[#This Row],[仕入単価+国内送料]]/0.85,-1)</f>
        <v>10100</v>
      </c>
      <c r="X131" s="134">
        <f>商品マスタ[[#This Row],[国内定価
（15％）]]-商品マスタ[[#This Row],[仕入単価+国内送料]]</f>
        <v>1520</v>
      </c>
      <c r="Y131" s="139">
        <v>0.08</v>
      </c>
      <c r="Z131" s="87"/>
      <c r="AA131" s="87"/>
      <c r="AB131" s="87"/>
      <c r="AC131" s="140"/>
      <c r="AD131" s="87"/>
      <c r="AE131" s="87"/>
      <c r="AF131" s="87"/>
      <c r="AG131" s="141"/>
    </row>
    <row r="132" spans="1:33" ht="18">
      <c r="A132" s="166" t="s">
        <v>1523</v>
      </c>
      <c r="B132" s="176" t="s">
        <v>1232</v>
      </c>
      <c r="C132" s="167" t="s">
        <v>997</v>
      </c>
      <c r="D132" s="143" t="str">
        <f>"PRD_SNJ_"&amp;
_xlfn.XLOOKUP(商品マスタ[[#This Row],[仕入先]],テーブル1[仕入先名],テーブル1[仕入先コード],"XXX",0,1)&amp;
"_"&amp;
商品マスタ[[#This Row],[シリアル]]&amp;
"_"&amp;
TEXT(COUNTIFS(商品マスタ!$C$3:C132,商品マスタ[[#This Row],[仕入先]],商品マスタ!$E$3:E132,商品マスタ[[#This Row],[商品名]]), "00")</f>
        <v>PRD_SNJ_GGM_0002_01</v>
      </c>
      <c r="E132" s="87" t="s">
        <v>501</v>
      </c>
      <c r="F132" s="87">
        <f>IF(COUNTIFS($C$3:C132,商品マスタ[[#This Row],[仕入先]],$E$3:E132,商品マスタ[[#This Row],[商品名]]) = 1, 1,0)</f>
        <v>1</v>
      </c>
      <c r="G132" s="133" t="str">
        <f>TEXT(SUMIF($C$3:C132,商品マスタ[[#This Row],[仕入先]],$F$3:F132), "0000")</f>
        <v>0002</v>
      </c>
      <c r="H132" s="87" t="s">
        <v>365</v>
      </c>
      <c r="I132" s="87" t="s">
        <v>502</v>
      </c>
      <c r="J132" s="87" t="s">
        <v>367</v>
      </c>
      <c r="K132" s="87" t="s">
        <v>503</v>
      </c>
      <c r="L132" s="134">
        <v>7000</v>
      </c>
      <c r="M132" s="157">
        <v>45834</v>
      </c>
      <c r="N132" s="134"/>
      <c r="O132" s="135" t="str">
        <f>IF(COUNT(商品マスタ[[#This Row],[参考上代
（税込)]]) &gt; 0, (商品マスタ[[#This Row],[参考上代
（税込)]]-商品マスタ[[#This Row],[国内定価
（15％）]])/(商品マスタ[[#This Row],[参考上代
（税込)]]/1.08), "")</f>
        <v/>
      </c>
      <c r="P132" s="136">
        <v>0.1</v>
      </c>
      <c r="Q132" s="137">
        <f>商品マスタ[[#This Row],[仕入
単価]]*商品マスタ[[#This Row],[標準国内送料率]]</f>
        <v>700</v>
      </c>
      <c r="R132" s="134"/>
      <c r="S132" s="134">
        <f>IF(ISBLANK(商品マスタ[[#This Row],[実績
国内送料]]),商品マスタ[[#This Row],[標準国内送料]],)</f>
        <v>700</v>
      </c>
      <c r="T132" s="134">
        <f>商品マスタ[[#This Row],[仕入
単価]]+商品マスタ[[#This Row],[国内送料]]</f>
        <v>7700</v>
      </c>
      <c r="U132" s="134">
        <f>ROUNDUP(商品マスタ[[#This Row],[仕入単価+国内送料]]/0.8,-1)</f>
        <v>9630</v>
      </c>
      <c r="V132" s="134">
        <f>商品マスタ[[#This Row],[海外定価
（20％）]]-商品マスタ[[#This Row],[仕入単価+国内送料]]</f>
        <v>1930</v>
      </c>
      <c r="W132" s="87">
        <f>ROUNDUP(商品マスタ[[#This Row],[仕入単価+国内送料]]/0.85,-1)</f>
        <v>9060</v>
      </c>
      <c r="X132" s="134">
        <f>商品マスタ[[#This Row],[国内定価
（15％）]]-商品マスタ[[#This Row],[仕入単価+国内送料]]</f>
        <v>1360</v>
      </c>
      <c r="Y132" s="139">
        <v>0.08</v>
      </c>
      <c r="Z132" s="87"/>
      <c r="AA132" s="87"/>
      <c r="AB132" s="87"/>
      <c r="AC132" s="140"/>
      <c r="AD132" s="87"/>
      <c r="AE132" s="87"/>
      <c r="AF132" s="87"/>
      <c r="AG132" s="141"/>
    </row>
    <row r="133" spans="1:33" ht="18">
      <c r="A133" s="166" t="s">
        <v>1523</v>
      </c>
      <c r="B133" s="176" t="s">
        <v>1232</v>
      </c>
      <c r="C133" s="167" t="s">
        <v>997</v>
      </c>
      <c r="D133" s="143" t="str">
        <f>"PRD_SNJ_"&amp;
_xlfn.XLOOKUP(商品マスタ[[#This Row],[仕入先]],テーブル1[仕入先名],テーブル1[仕入先コード],"XXX",0,1)&amp;
"_"&amp;
商品マスタ[[#This Row],[シリアル]]&amp;
"_"&amp;
TEXT(COUNTIFS(商品マスタ!$C$3:C133,商品マスタ[[#This Row],[仕入先]],商品マスタ!$E$3:E133,商品マスタ[[#This Row],[商品名]]), "00")</f>
        <v>PRD_SNJ_GGM_0003_01</v>
      </c>
      <c r="E133" s="87" t="s">
        <v>504</v>
      </c>
      <c r="F133" s="87">
        <f>IF(COUNTIFS($C$3:C133,商品マスタ[[#This Row],[仕入先]],$E$3:E133,商品マスタ[[#This Row],[商品名]]) = 1, 1,0)</f>
        <v>1</v>
      </c>
      <c r="G133" s="133" t="str">
        <f>TEXT(SUMIF($C$3:C133,商品マスタ[[#This Row],[仕入先]],$F$3:F133), "0000")</f>
        <v>0003</v>
      </c>
      <c r="H133" s="87" t="s">
        <v>365</v>
      </c>
      <c r="I133" s="87" t="s">
        <v>505</v>
      </c>
      <c r="J133" s="87" t="s">
        <v>376</v>
      </c>
      <c r="K133" s="87" t="s">
        <v>442</v>
      </c>
      <c r="L133" s="134">
        <v>3500</v>
      </c>
      <c r="M133" s="157">
        <v>45834</v>
      </c>
      <c r="N133" s="134"/>
      <c r="O133" s="135" t="str">
        <f>IF(COUNT(商品マスタ[[#This Row],[参考上代
（税込)]]) &gt; 0, (商品マスタ[[#This Row],[参考上代
（税込)]]-商品マスタ[[#This Row],[国内定価
（15％）]])/(商品マスタ[[#This Row],[参考上代
（税込)]]/1.08), "")</f>
        <v/>
      </c>
      <c r="P133" s="136">
        <v>0.1</v>
      </c>
      <c r="Q133" s="137">
        <f>商品マスタ[[#This Row],[仕入
単価]]*商品マスタ[[#This Row],[標準国内送料率]]</f>
        <v>350</v>
      </c>
      <c r="R133" s="134"/>
      <c r="S133" s="134">
        <f>IF(ISBLANK(商品マスタ[[#This Row],[実績
国内送料]]),商品マスタ[[#This Row],[標準国内送料]],)</f>
        <v>350</v>
      </c>
      <c r="T133" s="134">
        <f>商品マスタ[[#This Row],[仕入
単価]]+商品マスタ[[#This Row],[国内送料]]</f>
        <v>3850</v>
      </c>
      <c r="U133" s="134">
        <f>ROUNDUP(商品マスタ[[#This Row],[仕入単価+国内送料]]/0.8,-1)</f>
        <v>4820</v>
      </c>
      <c r="V133" s="134">
        <f>商品マスタ[[#This Row],[海外定価
（20％）]]-商品マスタ[[#This Row],[仕入単価+国内送料]]</f>
        <v>970</v>
      </c>
      <c r="W133" s="87">
        <f>ROUNDUP(商品マスタ[[#This Row],[仕入単価+国内送料]]/0.85,-1)</f>
        <v>4530</v>
      </c>
      <c r="X133" s="134">
        <f>商品マスタ[[#This Row],[国内定価
（15％）]]-商品マスタ[[#This Row],[仕入単価+国内送料]]</f>
        <v>680</v>
      </c>
      <c r="Y133" s="139">
        <v>0.08</v>
      </c>
      <c r="Z133" s="87"/>
      <c r="AA133" s="87"/>
      <c r="AB133" s="87"/>
      <c r="AC133" s="140"/>
      <c r="AD133" s="87"/>
      <c r="AE133" s="87"/>
      <c r="AF133" s="87"/>
      <c r="AG133" s="141"/>
    </row>
    <row r="134" spans="1:33" ht="18">
      <c r="A134" s="166" t="s">
        <v>1523</v>
      </c>
      <c r="B134" s="176" t="s">
        <v>1232</v>
      </c>
      <c r="C134" s="167" t="s">
        <v>997</v>
      </c>
      <c r="D134" s="143" t="str">
        <f>"PRD_SNJ_"&amp;
_xlfn.XLOOKUP(商品マスタ[[#This Row],[仕入先]],テーブル1[仕入先名],テーブル1[仕入先コード],"XXX",0,1)&amp;
"_"&amp;
商品マスタ[[#This Row],[シリアル]]&amp;
"_"&amp;
TEXT(COUNTIFS(商品マスタ!$C$3:C134,商品マスタ[[#This Row],[仕入先]],商品マスタ!$E$3:E134,商品マスタ[[#This Row],[商品名]]), "00")</f>
        <v>PRD_SNJ_GGM_0004_01</v>
      </c>
      <c r="E134" s="87" t="s">
        <v>381</v>
      </c>
      <c r="F134" s="87">
        <f>IF(COUNTIFS($C$3:C134,商品マスタ[[#This Row],[仕入先]],$E$3:E134,商品マスタ[[#This Row],[商品名]]) = 1, 1,0)</f>
        <v>1</v>
      </c>
      <c r="G134" s="133" t="str">
        <f>TEXT(SUMIF($C$3:C134,商品マスタ[[#This Row],[仕入先]],$F$3:F134), "0000")</f>
        <v>0004</v>
      </c>
      <c r="H134" s="87" t="s">
        <v>365</v>
      </c>
      <c r="I134" s="87" t="s">
        <v>506</v>
      </c>
      <c r="J134" s="87" t="s">
        <v>376</v>
      </c>
      <c r="K134" s="87" t="s">
        <v>442</v>
      </c>
      <c r="L134" s="134">
        <v>3800</v>
      </c>
      <c r="M134" s="157">
        <v>45834</v>
      </c>
      <c r="N134" s="134"/>
      <c r="O134" s="135" t="str">
        <f>IF(COUNT(商品マスタ[[#This Row],[参考上代
（税込)]]) &gt; 0, (商品マスタ[[#This Row],[参考上代
（税込)]]-商品マスタ[[#This Row],[国内定価
（15％）]])/(商品マスタ[[#This Row],[参考上代
（税込)]]/1.08), "")</f>
        <v/>
      </c>
      <c r="P134" s="136">
        <v>0.1</v>
      </c>
      <c r="Q134" s="137">
        <f>商品マスタ[[#This Row],[仕入
単価]]*商品マスタ[[#This Row],[標準国内送料率]]</f>
        <v>380</v>
      </c>
      <c r="R134" s="134"/>
      <c r="S134" s="134">
        <f>IF(ISBLANK(商品マスタ[[#This Row],[実績
国内送料]]),商品マスタ[[#This Row],[標準国内送料]],)</f>
        <v>380</v>
      </c>
      <c r="T134" s="134">
        <f>商品マスタ[[#This Row],[仕入
単価]]+商品マスタ[[#This Row],[国内送料]]</f>
        <v>4180</v>
      </c>
      <c r="U134" s="134">
        <f>ROUNDUP(商品マスタ[[#This Row],[仕入単価+国内送料]]/0.8,-1)</f>
        <v>5230</v>
      </c>
      <c r="V134" s="134">
        <f>商品マスタ[[#This Row],[海外定価
（20％）]]-商品マスタ[[#This Row],[仕入単価+国内送料]]</f>
        <v>1050</v>
      </c>
      <c r="W134" s="87">
        <f>ROUNDUP(商品マスタ[[#This Row],[仕入単価+国内送料]]/0.85,-1)</f>
        <v>4920</v>
      </c>
      <c r="X134" s="134">
        <f>商品マスタ[[#This Row],[国内定価
（15％）]]-商品マスタ[[#This Row],[仕入単価+国内送料]]</f>
        <v>740</v>
      </c>
      <c r="Y134" s="139">
        <v>0.08</v>
      </c>
      <c r="Z134" s="87"/>
      <c r="AA134" s="87"/>
      <c r="AB134" s="87"/>
      <c r="AC134" s="140"/>
      <c r="AD134" s="87"/>
      <c r="AE134" s="87"/>
      <c r="AF134" s="87"/>
      <c r="AG134" s="141"/>
    </row>
    <row r="135" spans="1:33" ht="18">
      <c r="A135" s="166" t="s">
        <v>1523</v>
      </c>
      <c r="B135" s="176" t="s">
        <v>1232</v>
      </c>
      <c r="C135" s="167" t="s">
        <v>997</v>
      </c>
      <c r="D135" s="143" t="str">
        <f>"PRD_SNJ_"&amp;
_xlfn.XLOOKUP(商品マスタ[[#This Row],[仕入先]],テーブル1[仕入先名],テーブル1[仕入先コード],"XXX",0,1)&amp;
"_"&amp;
商品マスタ[[#This Row],[シリアル]]&amp;
"_"&amp;
TEXT(COUNTIFS(商品マスタ!$C$3:C135,商品マスタ[[#This Row],[仕入先]],商品マスタ!$E$3:E135,商品マスタ[[#This Row],[商品名]]), "00")</f>
        <v>PRD_SNJ_GGM_0005_01</v>
      </c>
      <c r="E135" s="87" t="s">
        <v>372</v>
      </c>
      <c r="F135" s="87">
        <f>IF(COUNTIFS($C$3:C135,商品マスタ[[#This Row],[仕入先]],$E$3:E135,商品マスタ[[#This Row],[商品名]]) = 1, 1,0)</f>
        <v>1</v>
      </c>
      <c r="G135" s="133" t="str">
        <f>TEXT(SUMIF($C$3:C135,商品マスタ[[#This Row],[仕入先]],$F$3:F135), "0000")</f>
        <v>0005</v>
      </c>
      <c r="H135" s="87" t="s">
        <v>365</v>
      </c>
      <c r="I135" s="87" t="s">
        <v>507</v>
      </c>
      <c r="J135" s="87" t="s">
        <v>367</v>
      </c>
      <c r="K135" s="87" t="s">
        <v>442</v>
      </c>
      <c r="L135" s="134">
        <v>4300</v>
      </c>
      <c r="M135" s="157">
        <v>45834</v>
      </c>
      <c r="N135" s="134"/>
      <c r="O135" s="135" t="str">
        <f>IF(COUNT(商品マスタ[[#This Row],[参考上代
（税込)]]) &gt; 0, (商品マスタ[[#This Row],[参考上代
（税込)]]-商品マスタ[[#This Row],[国内定価
（15％）]])/(商品マスタ[[#This Row],[参考上代
（税込)]]/1.08), "")</f>
        <v/>
      </c>
      <c r="P135" s="136">
        <v>0.1</v>
      </c>
      <c r="Q135" s="137">
        <f>商品マスタ[[#This Row],[仕入
単価]]*商品マスタ[[#This Row],[標準国内送料率]]</f>
        <v>430</v>
      </c>
      <c r="R135" s="134"/>
      <c r="S135" s="134">
        <f>IF(ISBLANK(商品マスタ[[#This Row],[実績
国内送料]]),商品マスタ[[#This Row],[標準国内送料]],)</f>
        <v>430</v>
      </c>
      <c r="T135" s="134">
        <f>商品マスタ[[#This Row],[仕入
単価]]+商品マスタ[[#This Row],[国内送料]]</f>
        <v>4730</v>
      </c>
      <c r="U135" s="134">
        <f>ROUNDUP(商品マスタ[[#This Row],[仕入単価+国内送料]]/0.8,-1)</f>
        <v>5920</v>
      </c>
      <c r="V135" s="134">
        <f>商品マスタ[[#This Row],[海外定価
（20％）]]-商品マスタ[[#This Row],[仕入単価+国内送料]]</f>
        <v>1190</v>
      </c>
      <c r="W135" s="87">
        <f>ROUNDUP(商品マスタ[[#This Row],[仕入単価+国内送料]]/0.85,-1)</f>
        <v>5570</v>
      </c>
      <c r="X135" s="134">
        <f>商品マスタ[[#This Row],[国内定価
（15％）]]-商品マスタ[[#This Row],[仕入単価+国内送料]]</f>
        <v>840</v>
      </c>
      <c r="Y135" s="139">
        <v>0.08</v>
      </c>
      <c r="Z135" s="87"/>
      <c r="AA135" s="87"/>
      <c r="AB135" s="87"/>
      <c r="AC135" s="140"/>
      <c r="AD135" s="87"/>
      <c r="AE135" s="87"/>
      <c r="AF135" s="87"/>
      <c r="AG135" s="141"/>
    </row>
    <row r="136" spans="1:33" ht="18">
      <c r="A136" s="166" t="s">
        <v>1523</v>
      </c>
      <c r="B136" s="176" t="s">
        <v>1232</v>
      </c>
      <c r="C136" s="167" t="s">
        <v>997</v>
      </c>
      <c r="D136" s="143" t="str">
        <f>"PRD_SNJ_"&amp;
_xlfn.XLOOKUP(商品マスタ[[#This Row],[仕入先]],テーブル1[仕入先名],テーブル1[仕入先コード],"XXX",0,1)&amp;
"_"&amp;
商品マスタ[[#This Row],[シリアル]]&amp;
"_"&amp;
TEXT(COUNTIFS(商品マスタ!$C$3:C136,商品マスタ[[#This Row],[仕入先]],商品マスタ!$E$3:E136,商品マスタ[[#This Row],[商品名]]), "00")</f>
        <v>PRD_SNJ_GGM_0006_01</v>
      </c>
      <c r="E136" s="87" t="s">
        <v>377</v>
      </c>
      <c r="F136" s="87">
        <f>IF(COUNTIFS($C$3:C136,商品マスタ[[#This Row],[仕入先]],$E$3:E136,商品マスタ[[#This Row],[商品名]]) = 1, 1,0)</f>
        <v>1</v>
      </c>
      <c r="G136" s="133" t="str">
        <f>TEXT(SUMIF($C$3:C136,商品マスタ[[#This Row],[仕入先]],$F$3:F136), "0000")</f>
        <v>0006</v>
      </c>
      <c r="H136" s="87" t="s">
        <v>365</v>
      </c>
      <c r="I136" s="87" t="s">
        <v>506</v>
      </c>
      <c r="J136" s="87" t="s">
        <v>376</v>
      </c>
      <c r="K136" s="87" t="s">
        <v>442</v>
      </c>
      <c r="L136" s="134">
        <v>3500</v>
      </c>
      <c r="M136" s="157">
        <v>45834</v>
      </c>
      <c r="N136" s="134"/>
      <c r="O136" s="135" t="str">
        <f>IF(COUNT(商品マスタ[[#This Row],[参考上代
（税込)]]) &gt; 0, (商品マスタ[[#This Row],[参考上代
（税込)]]-商品マスタ[[#This Row],[国内定価
（15％）]])/(商品マスタ[[#This Row],[参考上代
（税込)]]/1.08), "")</f>
        <v/>
      </c>
      <c r="P136" s="136">
        <v>0.1</v>
      </c>
      <c r="Q136" s="137">
        <f>商品マスタ[[#This Row],[仕入
単価]]*商品マスタ[[#This Row],[標準国内送料率]]</f>
        <v>350</v>
      </c>
      <c r="R136" s="134"/>
      <c r="S136" s="134">
        <f>IF(ISBLANK(商品マスタ[[#This Row],[実績
国内送料]]),商品マスタ[[#This Row],[標準国内送料]],)</f>
        <v>350</v>
      </c>
      <c r="T136" s="134">
        <f>商品マスタ[[#This Row],[仕入
単価]]+商品マスタ[[#This Row],[国内送料]]</f>
        <v>3850</v>
      </c>
      <c r="U136" s="134">
        <f>ROUNDUP(商品マスタ[[#This Row],[仕入単価+国内送料]]/0.8,-1)</f>
        <v>4820</v>
      </c>
      <c r="V136" s="134">
        <f>商品マスタ[[#This Row],[海外定価
（20％）]]-商品マスタ[[#This Row],[仕入単価+国内送料]]</f>
        <v>970</v>
      </c>
      <c r="W136" s="87">
        <f>ROUNDUP(商品マスタ[[#This Row],[仕入単価+国内送料]]/0.85,-1)</f>
        <v>4530</v>
      </c>
      <c r="X136" s="134">
        <f>商品マスタ[[#This Row],[国内定価
（15％）]]-商品マスタ[[#This Row],[仕入単価+国内送料]]</f>
        <v>680</v>
      </c>
      <c r="Y136" s="139">
        <v>0.08</v>
      </c>
      <c r="Z136" s="87"/>
      <c r="AA136" s="87"/>
      <c r="AB136" s="87"/>
      <c r="AC136" s="140"/>
      <c r="AD136" s="87"/>
      <c r="AE136" s="87"/>
      <c r="AF136" s="87"/>
      <c r="AG136" s="141"/>
    </row>
    <row r="137" spans="1:33" ht="18">
      <c r="A137" s="166" t="s">
        <v>1523</v>
      </c>
      <c r="B137" s="176" t="s">
        <v>1232</v>
      </c>
      <c r="C137" s="167" t="s">
        <v>997</v>
      </c>
      <c r="D137" s="143" t="str">
        <f>"PRD_SNJ_"&amp;
_xlfn.XLOOKUP(商品マスタ[[#This Row],[仕入先]],テーブル1[仕入先名],テーブル1[仕入先コード],"XXX",0,1)&amp;
"_"&amp;
商品マスタ[[#This Row],[シリアル]]&amp;
"_"&amp;
TEXT(COUNTIFS(商品マスタ!$C$3:C137,商品マスタ[[#This Row],[仕入先]],商品マスタ!$E$3:E137,商品マスタ[[#This Row],[商品名]]), "00")</f>
        <v>PRD_SNJ_GGM_0007_01</v>
      </c>
      <c r="E137" s="87" t="s">
        <v>379</v>
      </c>
      <c r="F137" s="87">
        <f>IF(COUNTIFS($C$3:C137,商品マスタ[[#This Row],[仕入先]],$E$3:E137,商品マスタ[[#This Row],[商品名]]) = 1, 1,0)</f>
        <v>1</v>
      </c>
      <c r="G137" s="133" t="str">
        <f>TEXT(SUMIF($C$3:C137,商品マスタ[[#This Row],[仕入先]],$F$3:F137), "0000")</f>
        <v>0007</v>
      </c>
      <c r="H137" s="87" t="s">
        <v>365</v>
      </c>
      <c r="I137" s="87" t="s">
        <v>508</v>
      </c>
      <c r="J137" s="87" t="s">
        <v>376</v>
      </c>
      <c r="K137" s="87" t="s">
        <v>442</v>
      </c>
      <c r="L137" s="134">
        <v>2800</v>
      </c>
      <c r="M137" s="157">
        <v>45834</v>
      </c>
      <c r="N137" s="134"/>
      <c r="O137" s="135" t="str">
        <f>IF(COUNT(商品マスタ[[#This Row],[参考上代
（税込)]]) &gt; 0, (商品マスタ[[#This Row],[参考上代
（税込)]]-商品マスタ[[#This Row],[国内定価
（15％）]])/(商品マスタ[[#This Row],[参考上代
（税込)]]/1.08), "")</f>
        <v/>
      </c>
      <c r="P137" s="136">
        <v>0.1</v>
      </c>
      <c r="Q137" s="137">
        <f>商品マスタ[[#This Row],[仕入
単価]]*商品マスタ[[#This Row],[標準国内送料率]]</f>
        <v>280</v>
      </c>
      <c r="R137" s="134"/>
      <c r="S137" s="134">
        <f>IF(ISBLANK(商品マスタ[[#This Row],[実績
国内送料]]),商品マスタ[[#This Row],[標準国内送料]],)</f>
        <v>280</v>
      </c>
      <c r="T137" s="134">
        <f>商品マスタ[[#This Row],[仕入
単価]]+商品マスタ[[#This Row],[国内送料]]</f>
        <v>3080</v>
      </c>
      <c r="U137" s="134">
        <f>ROUNDUP(商品マスタ[[#This Row],[仕入単価+国内送料]]/0.8,-1)</f>
        <v>3850</v>
      </c>
      <c r="V137" s="134">
        <f>商品マスタ[[#This Row],[海外定価
（20％）]]-商品マスタ[[#This Row],[仕入単価+国内送料]]</f>
        <v>770</v>
      </c>
      <c r="W137" s="87">
        <f>ROUNDUP(商品マスタ[[#This Row],[仕入単価+国内送料]]/0.85,-1)</f>
        <v>3630</v>
      </c>
      <c r="X137" s="134">
        <f>商品マスタ[[#This Row],[国内定価
（15％）]]-商品マスタ[[#This Row],[仕入単価+国内送料]]</f>
        <v>550</v>
      </c>
      <c r="Y137" s="139">
        <v>0.08</v>
      </c>
      <c r="Z137" s="87"/>
      <c r="AA137" s="87"/>
      <c r="AB137" s="87"/>
      <c r="AC137" s="140"/>
      <c r="AD137" s="87"/>
      <c r="AE137" s="87"/>
      <c r="AF137" s="87"/>
      <c r="AG137" s="141"/>
    </row>
    <row r="138" spans="1:33" ht="18">
      <c r="A138" s="166" t="s">
        <v>1523</v>
      </c>
      <c r="B138" s="176" t="s">
        <v>1232</v>
      </c>
      <c r="C138" s="167" t="s">
        <v>997</v>
      </c>
      <c r="D138" s="143" t="str">
        <f>"PRD_SNJ_"&amp;
_xlfn.XLOOKUP(商品マスタ[[#This Row],[仕入先]],テーブル1[仕入先名],テーブル1[仕入先コード],"XXX",0,1)&amp;
"_"&amp;
商品マスタ[[#This Row],[シリアル]]&amp;
"_"&amp;
TEXT(COUNTIFS(商品マスタ!$C$3:C138,商品マスタ[[#This Row],[仕入先]],商品マスタ!$E$3:E138,商品マスタ[[#This Row],[商品名]]), "00")</f>
        <v>PRD_SNJ_GGM_0008_01</v>
      </c>
      <c r="E138" s="87" t="s">
        <v>509</v>
      </c>
      <c r="F138" s="87">
        <f>IF(COUNTIFS($C$3:C138,商品マスタ[[#This Row],[仕入先]],$E$3:E138,商品マスタ[[#This Row],[商品名]]) = 1, 1,0)</f>
        <v>1</v>
      </c>
      <c r="G138" s="133" t="str">
        <f>TEXT(SUMIF($C$3:C138,商品マスタ[[#This Row],[仕入先]],$F$3:F138), "0000")</f>
        <v>0008</v>
      </c>
      <c r="H138" s="87" t="s">
        <v>365</v>
      </c>
      <c r="I138" s="87" t="s">
        <v>510</v>
      </c>
      <c r="J138" s="87" t="s">
        <v>376</v>
      </c>
      <c r="K138" s="87" t="s">
        <v>442</v>
      </c>
      <c r="L138" s="134">
        <v>3700</v>
      </c>
      <c r="M138" s="157">
        <v>45834</v>
      </c>
      <c r="N138" s="134"/>
      <c r="O138" s="135" t="str">
        <f>IF(COUNT(商品マスタ[[#This Row],[参考上代
（税込)]]) &gt; 0, (商品マスタ[[#This Row],[参考上代
（税込)]]-商品マスタ[[#This Row],[国内定価
（15％）]])/(商品マスタ[[#This Row],[参考上代
（税込)]]/1.08), "")</f>
        <v/>
      </c>
      <c r="P138" s="136">
        <v>0.1</v>
      </c>
      <c r="Q138" s="137">
        <f>商品マスタ[[#This Row],[仕入
単価]]*商品マスタ[[#This Row],[標準国内送料率]]</f>
        <v>370</v>
      </c>
      <c r="R138" s="134"/>
      <c r="S138" s="134">
        <f>IF(ISBLANK(商品マスタ[[#This Row],[実績
国内送料]]),商品マスタ[[#This Row],[標準国内送料]],)</f>
        <v>370</v>
      </c>
      <c r="T138" s="134">
        <f>商品マスタ[[#This Row],[仕入
単価]]+商品マスタ[[#This Row],[国内送料]]</f>
        <v>4070</v>
      </c>
      <c r="U138" s="134">
        <f>ROUNDUP(商品マスタ[[#This Row],[仕入単価+国内送料]]/0.8,-1)</f>
        <v>5090</v>
      </c>
      <c r="V138" s="134">
        <f>商品マスタ[[#This Row],[海外定価
（20％）]]-商品マスタ[[#This Row],[仕入単価+国内送料]]</f>
        <v>1020</v>
      </c>
      <c r="W138" s="87">
        <f>ROUNDUP(商品マスタ[[#This Row],[仕入単価+国内送料]]/0.85,-1)</f>
        <v>4790</v>
      </c>
      <c r="X138" s="134">
        <f>商品マスタ[[#This Row],[国内定価
（15％）]]-商品マスタ[[#This Row],[仕入単価+国内送料]]</f>
        <v>720</v>
      </c>
      <c r="Y138" s="139">
        <v>0.08</v>
      </c>
      <c r="Z138" s="87"/>
      <c r="AA138" s="87"/>
      <c r="AB138" s="87"/>
      <c r="AC138" s="140"/>
      <c r="AD138" s="87"/>
      <c r="AE138" s="87"/>
      <c r="AF138" s="87"/>
      <c r="AG138" s="141"/>
    </row>
    <row r="139" spans="1:33" ht="18">
      <c r="A139" s="166" t="s">
        <v>1523</v>
      </c>
      <c r="B139" s="176" t="s">
        <v>1232</v>
      </c>
      <c r="C139" s="167" t="s">
        <v>997</v>
      </c>
      <c r="D139" s="143" t="str">
        <f>"PRD_SNJ_"&amp;
_xlfn.XLOOKUP(商品マスタ[[#This Row],[仕入先]],テーブル1[仕入先名],テーブル1[仕入先コード],"XXX",0,1)&amp;
"_"&amp;
商品マスタ[[#This Row],[シリアル]]&amp;
"_"&amp;
TEXT(COUNTIFS(商品マスタ!$C$3:C139,商品マスタ[[#This Row],[仕入先]],商品マスタ!$E$3:E139,商品マスタ[[#This Row],[商品名]]), "00")</f>
        <v>PRD_SNJ_GGM_0009_01</v>
      </c>
      <c r="E139" s="87" t="s">
        <v>391</v>
      </c>
      <c r="F139" s="87">
        <f>IF(COUNTIFS($C$3:C139,商品マスタ[[#This Row],[仕入先]],$E$3:E139,商品マスタ[[#This Row],[商品名]]) = 1, 1,0)</f>
        <v>1</v>
      </c>
      <c r="G139" s="133" t="str">
        <f>TEXT(SUMIF($C$3:C139,商品マスタ[[#This Row],[仕入先]],$F$3:F139), "0000")</f>
        <v>0009</v>
      </c>
      <c r="H139" s="87" t="s">
        <v>365</v>
      </c>
      <c r="I139" s="87" t="s">
        <v>511</v>
      </c>
      <c r="J139" s="87" t="s">
        <v>393</v>
      </c>
      <c r="K139" s="87" t="s">
        <v>442</v>
      </c>
      <c r="L139" s="134">
        <v>2000</v>
      </c>
      <c r="M139" s="157">
        <v>45834</v>
      </c>
      <c r="N139" s="134"/>
      <c r="O139" s="135" t="str">
        <f>IF(COUNT(商品マスタ[[#This Row],[参考上代
（税込)]]) &gt; 0, (商品マスタ[[#This Row],[参考上代
（税込)]]-商品マスタ[[#This Row],[国内定価
（15％）]])/(商品マスタ[[#This Row],[参考上代
（税込)]]/1.08), "")</f>
        <v/>
      </c>
      <c r="P139" s="136">
        <v>0.1</v>
      </c>
      <c r="Q139" s="137">
        <f>商品マスタ[[#This Row],[仕入
単価]]*商品マスタ[[#This Row],[標準国内送料率]]</f>
        <v>200</v>
      </c>
      <c r="R139" s="134"/>
      <c r="S139" s="134">
        <f>IF(ISBLANK(商品マスタ[[#This Row],[実績
国内送料]]),商品マスタ[[#This Row],[標準国内送料]],)</f>
        <v>200</v>
      </c>
      <c r="T139" s="134">
        <f>商品マスタ[[#This Row],[仕入
単価]]+商品マスタ[[#This Row],[国内送料]]</f>
        <v>2200</v>
      </c>
      <c r="U139" s="134">
        <f>ROUNDUP(商品マスタ[[#This Row],[仕入単価+国内送料]]/0.8,-1)</f>
        <v>2750</v>
      </c>
      <c r="V139" s="134">
        <f>商品マスタ[[#This Row],[海外定価
（20％）]]-商品マスタ[[#This Row],[仕入単価+国内送料]]</f>
        <v>550</v>
      </c>
      <c r="W139" s="87">
        <f>ROUNDUP(商品マスタ[[#This Row],[仕入単価+国内送料]]/0.85,-1)</f>
        <v>2590</v>
      </c>
      <c r="X139" s="134">
        <f>商品マスタ[[#This Row],[国内定価
（15％）]]-商品マスタ[[#This Row],[仕入単価+国内送料]]</f>
        <v>390</v>
      </c>
      <c r="Y139" s="139">
        <v>0.08</v>
      </c>
      <c r="Z139" s="87"/>
      <c r="AA139" s="87"/>
      <c r="AB139" s="87"/>
      <c r="AC139" s="140"/>
      <c r="AD139" s="87"/>
      <c r="AE139" s="87"/>
      <c r="AF139" s="87"/>
      <c r="AG139" s="141"/>
    </row>
    <row r="140" spans="1:33" ht="18">
      <c r="A140" s="166" t="s">
        <v>1523</v>
      </c>
      <c r="B140" s="176" t="s">
        <v>1232</v>
      </c>
      <c r="C140" s="167" t="s">
        <v>997</v>
      </c>
      <c r="D140" s="143" t="str">
        <f>"PRD_SNJ_"&amp;
_xlfn.XLOOKUP(商品マスタ[[#This Row],[仕入先]],テーブル1[仕入先名],テーブル1[仕入先コード],"XXX",0,1)&amp;
"_"&amp;
商品マスタ[[#This Row],[シリアル]]&amp;
"_"&amp;
TEXT(COUNTIFS(商品マスタ!$C$3:C140,商品マスタ[[#This Row],[仕入先]],商品マスタ!$E$3:E140,商品マスタ[[#This Row],[商品名]]), "00")</f>
        <v>PRD_SNJ_GGM_0010_01</v>
      </c>
      <c r="E140" s="87" t="s">
        <v>512</v>
      </c>
      <c r="F140" s="87">
        <f>IF(COUNTIFS($C$3:C140,商品マスタ[[#This Row],[仕入先]],$E$3:E140,商品マスタ[[#This Row],[商品名]]) = 1, 1,0)</f>
        <v>1</v>
      </c>
      <c r="G140" s="133" t="str">
        <f>TEXT(SUMIF($C$3:C140,商品マスタ[[#This Row],[仕入先]],$F$3:F140), "0000")</f>
        <v>0010</v>
      </c>
      <c r="H140" s="87" t="s">
        <v>365</v>
      </c>
      <c r="I140" s="87" t="s">
        <v>492</v>
      </c>
      <c r="J140" s="87" t="s">
        <v>462</v>
      </c>
      <c r="K140" s="87" t="s">
        <v>480</v>
      </c>
      <c r="L140" s="134">
        <v>1500</v>
      </c>
      <c r="M140" s="157">
        <v>45834</v>
      </c>
      <c r="N140" s="134"/>
      <c r="O140" s="135" t="str">
        <f>IF(COUNT(商品マスタ[[#This Row],[参考上代
（税込)]]) &gt; 0, (商品マスタ[[#This Row],[参考上代
（税込)]]-商品マスタ[[#This Row],[国内定価
（15％）]])/(商品マスタ[[#This Row],[参考上代
（税込)]]/1.08), "")</f>
        <v/>
      </c>
      <c r="P140" s="136">
        <v>0.1</v>
      </c>
      <c r="Q140" s="137">
        <f>商品マスタ[[#This Row],[仕入
単価]]*商品マスタ[[#This Row],[標準国内送料率]]</f>
        <v>150</v>
      </c>
      <c r="R140" s="134"/>
      <c r="S140" s="134">
        <f>IF(ISBLANK(商品マスタ[[#This Row],[実績
国内送料]]),商品マスタ[[#This Row],[標準国内送料]],)</f>
        <v>150</v>
      </c>
      <c r="T140" s="134">
        <f>商品マスタ[[#This Row],[仕入
単価]]+商品マスタ[[#This Row],[国内送料]]</f>
        <v>1650</v>
      </c>
      <c r="U140" s="134">
        <f>ROUNDUP(商品マスタ[[#This Row],[仕入単価+国内送料]]/0.8,-1)</f>
        <v>2070</v>
      </c>
      <c r="V140" s="134">
        <f>商品マスタ[[#This Row],[海外定価
（20％）]]-商品マスタ[[#This Row],[仕入単価+国内送料]]</f>
        <v>420</v>
      </c>
      <c r="W140" s="87">
        <f>ROUNDUP(商品マスタ[[#This Row],[仕入単価+国内送料]]/0.85,-1)</f>
        <v>1950</v>
      </c>
      <c r="X140" s="134">
        <f>商品マスタ[[#This Row],[国内定価
（15％）]]-商品マスタ[[#This Row],[仕入単価+国内送料]]</f>
        <v>300</v>
      </c>
      <c r="Y140" s="139">
        <v>0.08</v>
      </c>
      <c r="Z140" s="87"/>
      <c r="AA140" s="87"/>
      <c r="AB140" s="87"/>
      <c r="AC140" s="140"/>
      <c r="AD140" s="87"/>
      <c r="AE140" s="87"/>
      <c r="AF140" s="87"/>
      <c r="AG140" s="141"/>
    </row>
    <row r="141" spans="1:33" ht="18">
      <c r="A141" s="166" t="s">
        <v>1523</v>
      </c>
      <c r="B141" s="167" t="s">
        <v>1231</v>
      </c>
      <c r="C141" s="167" t="s">
        <v>997</v>
      </c>
      <c r="D141" s="143" t="str">
        <f>"PRD_SNJ_"&amp;
_xlfn.XLOOKUP(商品マスタ[[#This Row],[仕入先]],テーブル1[仕入先名],テーブル1[仕入先コード],"XXX",0,1)&amp;
"_"&amp;
商品マスタ[[#This Row],[シリアル]]&amp;
"_"&amp;
TEXT(COUNTIFS(商品マスタ!$C$3:C141,商品マスタ[[#This Row],[仕入先]],商品マスタ!$E$3:E141,商品マスタ[[#This Row],[商品名]]), "00")</f>
        <v>PRD_SNJ_GGM_0011_01</v>
      </c>
      <c r="E141" s="87" t="s">
        <v>513</v>
      </c>
      <c r="F141" s="87">
        <f>IF(COUNTIFS($C$3:C141,商品マスタ[[#This Row],[仕入先]],$E$3:E141,商品マスタ[[#This Row],[商品名]]) = 1, 1,0)</f>
        <v>1</v>
      </c>
      <c r="G141" s="133" t="str">
        <f>TEXT(SUMIF($C$3:C141,商品マスタ[[#This Row],[仕入先]],$F$3:F141), "0000")</f>
        <v>0011</v>
      </c>
      <c r="H141" s="87" t="s">
        <v>365</v>
      </c>
      <c r="I141" s="87" t="s">
        <v>514</v>
      </c>
      <c r="J141" s="87" t="s">
        <v>387</v>
      </c>
      <c r="K141" s="87" t="s">
        <v>515</v>
      </c>
      <c r="L141" s="134">
        <v>10575</v>
      </c>
      <c r="M141" s="157">
        <v>45834</v>
      </c>
      <c r="N141" s="134"/>
      <c r="O141" s="135" t="str">
        <f>IF(COUNT(商品マスタ[[#This Row],[参考上代
（税込)]]) &gt; 0, (商品マスタ[[#This Row],[参考上代
（税込)]]-商品マスタ[[#This Row],[国内定価
（15％）]])/(商品マスタ[[#This Row],[参考上代
（税込)]]/1.08), "")</f>
        <v/>
      </c>
      <c r="P141" s="136">
        <v>0.1</v>
      </c>
      <c r="Q141" s="137">
        <f>商品マスタ[[#This Row],[仕入
単価]]*商品マスタ[[#This Row],[標準国内送料率]]</f>
        <v>1057.5</v>
      </c>
      <c r="R141" s="134"/>
      <c r="S141" s="134">
        <f>IF(ISBLANK(商品マスタ[[#This Row],[実績
国内送料]]),商品マスタ[[#This Row],[標準国内送料]],)</f>
        <v>1057.5</v>
      </c>
      <c r="T141" s="134">
        <f>商品マスタ[[#This Row],[仕入
単価]]+商品マスタ[[#This Row],[国内送料]]</f>
        <v>11632.5</v>
      </c>
      <c r="U141" s="134">
        <f>ROUNDUP(商品マスタ[[#This Row],[仕入単価+国内送料]]/0.8,-1)</f>
        <v>14550</v>
      </c>
      <c r="V141" s="134">
        <f>商品マスタ[[#This Row],[海外定価
（20％）]]-商品マスタ[[#This Row],[仕入単価+国内送料]]</f>
        <v>2917.5</v>
      </c>
      <c r="W141" s="87">
        <f>ROUNDUP(商品マスタ[[#This Row],[仕入単価+国内送料]]/0.85,-1)</f>
        <v>13690</v>
      </c>
      <c r="X141" s="134">
        <f>商品マスタ[[#This Row],[国内定価
（15％）]]-商品マスタ[[#This Row],[仕入単価+国内送料]]</f>
        <v>2057.5</v>
      </c>
      <c r="Y141" s="139">
        <v>0.08</v>
      </c>
      <c r="Z141" s="87"/>
      <c r="AA141" s="87"/>
      <c r="AB141" s="87"/>
      <c r="AC141" s="140"/>
      <c r="AD141" s="87"/>
      <c r="AE141" s="87"/>
      <c r="AF141" s="87"/>
      <c r="AG141" s="141"/>
    </row>
    <row r="142" spans="1:33" ht="18">
      <c r="A142" s="166" t="s">
        <v>1523</v>
      </c>
      <c r="B142" s="167" t="s">
        <v>1231</v>
      </c>
      <c r="C142" s="167" t="s">
        <v>997</v>
      </c>
      <c r="D142" s="143" t="str">
        <f>"PRD_SNJ_"&amp;
_xlfn.XLOOKUP(商品マスタ[[#This Row],[仕入先]],テーブル1[仕入先名],テーブル1[仕入先コード],"XXX",0,1)&amp;
"_"&amp;
商品マスタ[[#This Row],[シリアル]]&amp;
"_"&amp;
TEXT(COUNTIFS(商品マスタ!$C$3:C142,商品マスタ[[#This Row],[仕入先]],商品マスタ!$E$3:E142,商品マスタ[[#This Row],[商品名]]), "00")</f>
        <v>PRD_SNJ_GGM_0012_01</v>
      </c>
      <c r="E142" s="87" t="s">
        <v>516</v>
      </c>
      <c r="F142" s="87">
        <f>IF(COUNTIFS($C$3:C142,商品マスタ[[#This Row],[仕入先]],$E$3:E142,商品マスタ[[#This Row],[商品名]]) = 1, 1,0)</f>
        <v>1</v>
      </c>
      <c r="G142" s="133" t="str">
        <f>TEXT(SUMIF($C$3:C142,商品マスタ[[#This Row],[仕入先]],$F$3:F142), "0000")</f>
        <v>0012</v>
      </c>
      <c r="H142" s="87" t="s">
        <v>365</v>
      </c>
      <c r="I142" s="87" t="s">
        <v>517</v>
      </c>
      <c r="J142" s="87" t="s">
        <v>367</v>
      </c>
      <c r="K142" s="87" t="s">
        <v>442</v>
      </c>
      <c r="L142" s="134">
        <v>13000</v>
      </c>
      <c r="M142" s="157">
        <v>45834</v>
      </c>
      <c r="N142" s="134"/>
      <c r="O142" s="135" t="str">
        <f>IF(COUNT(商品マスタ[[#This Row],[参考上代
（税込)]]) &gt; 0, (商品マスタ[[#This Row],[参考上代
（税込)]]-商品マスタ[[#This Row],[国内定価
（15％）]])/(商品マスタ[[#This Row],[参考上代
（税込)]]/1.08), "")</f>
        <v/>
      </c>
      <c r="P142" s="136">
        <v>0.1</v>
      </c>
      <c r="Q142" s="137">
        <f>商品マスタ[[#This Row],[仕入
単価]]*商品マスタ[[#This Row],[標準国内送料率]]</f>
        <v>1300</v>
      </c>
      <c r="R142" s="134"/>
      <c r="S142" s="134">
        <f>IF(ISBLANK(商品マスタ[[#This Row],[実績
国内送料]]),商品マスタ[[#This Row],[標準国内送料]],)</f>
        <v>1300</v>
      </c>
      <c r="T142" s="134">
        <f>商品マスタ[[#This Row],[仕入
単価]]+商品マスタ[[#This Row],[国内送料]]</f>
        <v>14300</v>
      </c>
      <c r="U142" s="134">
        <f>ROUNDUP(商品マスタ[[#This Row],[仕入単価+国内送料]]/0.8,-1)</f>
        <v>17880</v>
      </c>
      <c r="V142" s="134">
        <f>商品マスタ[[#This Row],[海外定価
（20％）]]-商品マスタ[[#This Row],[仕入単価+国内送料]]</f>
        <v>3580</v>
      </c>
      <c r="W142" s="87">
        <f>ROUNDUP(商品マスタ[[#This Row],[仕入単価+国内送料]]/0.85,-1)</f>
        <v>16830</v>
      </c>
      <c r="X142" s="134">
        <f>商品マスタ[[#This Row],[国内定価
（15％）]]-商品マスタ[[#This Row],[仕入単価+国内送料]]</f>
        <v>2530</v>
      </c>
      <c r="Y142" s="139">
        <v>0.08</v>
      </c>
      <c r="Z142" s="87"/>
      <c r="AA142" s="87"/>
      <c r="AB142" s="87"/>
      <c r="AC142" s="140"/>
      <c r="AD142" s="87"/>
      <c r="AE142" s="87"/>
      <c r="AF142" s="87"/>
      <c r="AG142" s="141"/>
    </row>
    <row r="143" spans="1:33" ht="18">
      <c r="A143" s="166" t="s">
        <v>1523</v>
      </c>
      <c r="B143" s="167" t="s">
        <v>1231</v>
      </c>
      <c r="C143" s="167" t="s">
        <v>997</v>
      </c>
      <c r="D143" s="143" t="str">
        <f>"PRD_SNJ_"&amp;
_xlfn.XLOOKUP(商品マスタ[[#This Row],[仕入先]],テーブル1[仕入先名],テーブル1[仕入先コード],"XXX",0,1)&amp;
"_"&amp;
商品マスタ[[#This Row],[シリアル]]&amp;
"_"&amp;
TEXT(COUNTIFS(商品マスタ!$C$3:C143,商品マスタ[[#This Row],[仕入先]],商品マスタ!$E$3:E143,商品マスタ[[#This Row],[商品名]]), "00")</f>
        <v>PRD_SNJ_GGM_0013_01</v>
      </c>
      <c r="E143" s="87" t="s">
        <v>518</v>
      </c>
      <c r="F143" s="87">
        <f>IF(COUNTIFS($C$3:C143,商品マスタ[[#This Row],[仕入先]],$E$3:E143,商品マスタ[[#This Row],[商品名]]) = 1, 1,0)</f>
        <v>1</v>
      </c>
      <c r="G143" s="133" t="str">
        <f>TEXT(SUMIF($C$3:C143,商品マスタ[[#This Row],[仕入先]],$F$3:F143), "0000")</f>
        <v>0013</v>
      </c>
      <c r="H143" s="87" t="s">
        <v>365</v>
      </c>
      <c r="I143" s="87" t="s">
        <v>519</v>
      </c>
      <c r="J143" s="87" t="s">
        <v>367</v>
      </c>
      <c r="K143" s="87" t="s">
        <v>442</v>
      </c>
      <c r="L143" s="134">
        <v>10800</v>
      </c>
      <c r="M143" s="157">
        <v>45834</v>
      </c>
      <c r="N143" s="134"/>
      <c r="O143" s="135" t="str">
        <f>IF(COUNT(商品マスタ[[#This Row],[参考上代
（税込)]]) &gt; 0, (商品マスタ[[#This Row],[参考上代
（税込)]]-商品マスタ[[#This Row],[国内定価
（15％）]])/(商品マスタ[[#This Row],[参考上代
（税込)]]/1.08), "")</f>
        <v/>
      </c>
      <c r="P143" s="136">
        <v>0.1</v>
      </c>
      <c r="Q143" s="137">
        <f>商品マスタ[[#This Row],[仕入
単価]]*商品マスタ[[#This Row],[標準国内送料率]]</f>
        <v>1080</v>
      </c>
      <c r="R143" s="134"/>
      <c r="S143" s="134">
        <f>IF(ISBLANK(商品マスタ[[#This Row],[実績
国内送料]]),商品マスタ[[#This Row],[標準国内送料]],)</f>
        <v>1080</v>
      </c>
      <c r="T143" s="134">
        <f>商品マスタ[[#This Row],[仕入
単価]]+商品マスタ[[#This Row],[国内送料]]</f>
        <v>11880</v>
      </c>
      <c r="U143" s="134">
        <f>ROUNDUP(商品マスタ[[#This Row],[仕入単価+国内送料]]/0.8,-1)</f>
        <v>14850</v>
      </c>
      <c r="V143" s="134">
        <f>商品マスタ[[#This Row],[海外定価
（20％）]]-商品マスタ[[#This Row],[仕入単価+国内送料]]</f>
        <v>2970</v>
      </c>
      <c r="W143" s="87">
        <f>ROUNDUP(商品マスタ[[#This Row],[仕入単価+国内送料]]/0.85,-1)</f>
        <v>13980</v>
      </c>
      <c r="X143" s="134">
        <f>商品マスタ[[#This Row],[国内定価
（15％）]]-商品マスタ[[#This Row],[仕入単価+国内送料]]</f>
        <v>2100</v>
      </c>
      <c r="Y143" s="139">
        <v>0.08</v>
      </c>
      <c r="Z143" s="87"/>
      <c r="AA143" s="87"/>
      <c r="AB143" s="87"/>
      <c r="AC143" s="140"/>
      <c r="AD143" s="87"/>
      <c r="AE143" s="87"/>
      <c r="AF143" s="87"/>
      <c r="AG143" s="141"/>
    </row>
    <row r="144" spans="1:33" ht="18">
      <c r="A144" s="166" t="s">
        <v>1523</v>
      </c>
      <c r="B144" s="167" t="s">
        <v>1231</v>
      </c>
      <c r="C144" s="167" t="s">
        <v>997</v>
      </c>
      <c r="D144" s="143" t="str">
        <f>"PRD_SNJ_"&amp;
_xlfn.XLOOKUP(商品マスタ[[#This Row],[仕入先]],テーブル1[仕入先名],テーブル1[仕入先コード],"XXX",0,1)&amp;
"_"&amp;
商品マスタ[[#This Row],[シリアル]]&amp;
"_"&amp;
TEXT(COUNTIFS(商品マスタ!$C$3:C144,商品マスタ[[#This Row],[仕入先]],商品マスタ!$E$3:E144,商品マスタ[[#This Row],[商品名]]), "00")</f>
        <v>PRD_SNJ_GGM_0014_01</v>
      </c>
      <c r="E144" s="87" t="s">
        <v>520</v>
      </c>
      <c r="F144" s="87">
        <f>IF(COUNTIFS($C$3:C144,商品マスタ[[#This Row],[仕入先]],$E$3:E144,商品マスタ[[#This Row],[商品名]]) = 1, 1,0)</f>
        <v>1</v>
      </c>
      <c r="G144" s="133" t="str">
        <f>TEXT(SUMIF($C$3:C144,商品マスタ[[#This Row],[仕入先]],$F$3:F144), "0000")</f>
        <v>0014</v>
      </c>
      <c r="H144" s="87" t="s">
        <v>365</v>
      </c>
      <c r="I144" s="87" t="s">
        <v>521</v>
      </c>
      <c r="J144" s="87" t="s">
        <v>367</v>
      </c>
      <c r="K144" s="87" t="s">
        <v>442</v>
      </c>
      <c r="L144" s="134">
        <v>9900</v>
      </c>
      <c r="M144" s="157">
        <v>45834</v>
      </c>
      <c r="N144" s="134"/>
      <c r="O144" s="135" t="str">
        <f>IF(COUNT(商品マスタ[[#This Row],[参考上代
（税込)]]) &gt; 0, (商品マスタ[[#This Row],[参考上代
（税込)]]-商品マスタ[[#This Row],[国内定価
（15％）]])/(商品マスタ[[#This Row],[参考上代
（税込)]]/1.08), "")</f>
        <v/>
      </c>
      <c r="P144" s="136">
        <v>0.1</v>
      </c>
      <c r="Q144" s="137">
        <f>商品マスタ[[#This Row],[仕入
単価]]*商品マスタ[[#This Row],[標準国内送料率]]</f>
        <v>990</v>
      </c>
      <c r="R144" s="134"/>
      <c r="S144" s="134">
        <f>IF(ISBLANK(商品マスタ[[#This Row],[実績
国内送料]]),商品マスタ[[#This Row],[標準国内送料]],)</f>
        <v>990</v>
      </c>
      <c r="T144" s="134">
        <f>商品マスタ[[#This Row],[仕入
単価]]+商品マスタ[[#This Row],[国内送料]]</f>
        <v>10890</v>
      </c>
      <c r="U144" s="134">
        <f>ROUNDUP(商品マスタ[[#This Row],[仕入単価+国内送料]]/0.8,-1)</f>
        <v>13620</v>
      </c>
      <c r="V144" s="134">
        <f>商品マスタ[[#This Row],[海外定価
（20％）]]-商品マスタ[[#This Row],[仕入単価+国内送料]]</f>
        <v>2730</v>
      </c>
      <c r="W144" s="87">
        <f>ROUNDUP(商品マスタ[[#This Row],[仕入単価+国内送料]]/0.85,-1)</f>
        <v>12820</v>
      </c>
      <c r="X144" s="134">
        <f>商品マスタ[[#This Row],[国内定価
（15％）]]-商品マスタ[[#This Row],[仕入単価+国内送料]]</f>
        <v>1930</v>
      </c>
      <c r="Y144" s="139">
        <v>0.08</v>
      </c>
      <c r="Z144" s="87"/>
      <c r="AA144" s="87"/>
      <c r="AB144" s="87"/>
      <c r="AC144" s="140"/>
      <c r="AD144" s="87"/>
      <c r="AE144" s="87"/>
      <c r="AF144" s="87"/>
      <c r="AG144" s="141"/>
    </row>
    <row r="145" spans="1:33" ht="18">
      <c r="A145" s="166" t="s">
        <v>1523</v>
      </c>
      <c r="B145" s="167" t="s">
        <v>1231</v>
      </c>
      <c r="C145" s="167" t="s">
        <v>997</v>
      </c>
      <c r="D145" s="143" t="str">
        <f>"PRD_SNJ_"&amp;
_xlfn.XLOOKUP(商品マスタ[[#This Row],[仕入先]],テーブル1[仕入先名],テーブル1[仕入先コード],"XXX",0,1)&amp;
"_"&amp;
商品マスタ[[#This Row],[シリアル]]&amp;
"_"&amp;
TEXT(COUNTIFS(商品マスタ!$C$3:C145,商品マスタ[[#This Row],[仕入先]],商品マスタ!$E$3:E145,商品マスタ[[#This Row],[商品名]]), "00")</f>
        <v>PRD_SNJ_GGM_0015_01</v>
      </c>
      <c r="E145" s="87" t="s">
        <v>522</v>
      </c>
      <c r="F145" s="87">
        <f>IF(COUNTIFS($C$3:C145,商品マスタ[[#This Row],[仕入先]],$E$3:E145,商品マスタ[[#This Row],[商品名]]) = 1, 1,0)</f>
        <v>1</v>
      </c>
      <c r="G145" s="133" t="str">
        <f>TEXT(SUMIF($C$3:C145,商品マスタ[[#This Row],[仕入先]],$F$3:F145), "0000")</f>
        <v>0015</v>
      </c>
      <c r="H145" s="87" t="s">
        <v>365</v>
      </c>
      <c r="I145" s="87" t="s">
        <v>523</v>
      </c>
      <c r="J145" s="87" t="s">
        <v>387</v>
      </c>
      <c r="K145" s="87" t="s">
        <v>524</v>
      </c>
      <c r="L145" s="134">
        <v>5040</v>
      </c>
      <c r="M145" s="157">
        <v>45834</v>
      </c>
      <c r="N145" s="134"/>
      <c r="O145" s="135" t="str">
        <f>IF(COUNT(商品マスタ[[#This Row],[参考上代
（税込)]]) &gt; 0, (商品マスタ[[#This Row],[参考上代
（税込)]]-商品マスタ[[#This Row],[国内定価
（15％）]])/(商品マスタ[[#This Row],[参考上代
（税込)]]/1.08), "")</f>
        <v/>
      </c>
      <c r="P145" s="136">
        <v>0.1</v>
      </c>
      <c r="Q145" s="137">
        <f>商品マスタ[[#This Row],[仕入
単価]]*商品マスタ[[#This Row],[標準国内送料率]]</f>
        <v>504</v>
      </c>
      <c r="R145" s="134"/>
      <c r="S145" s="134">
        <f>IF(ISBLANK(商品マスタ[[#This Row],[実績
国内送料]]),商品マスタ[[#This Row],[標準国内送料]],)</f>
        <v>504</v>
      </c>
      <c r="T145" s="134">
        <f>商品マスタ[[#This Row],[仕入
単価]]+商品マスタ[[#This Row],[国内送料]]</f>
        <v>5544</v>
      </c>
      <c r="U145" s="134">
        <f>ROUNDUP(商品マスタ[[#This Row],[仕入単価+国内送料]]/0.8,-1)</f>
        <v>6930</v>
      </c>
      <c r="V145" s="134">
        <f>商品マスタ[[#This Row],[海外定価
（20％）]]-商品マスタ[[#This Row],[仕入単価+国内送料]]</f>
        <v>1386</v>
      </c>
      <c r="W145" s="87">
        <f>ROUNDUP(商品マスタ[[#This Row],[仕入単価+国内送料]]/0.85,-1)</f>
        <v>6530</v>
      </c>
      <c r="X145" s="134">
        <f>商品マスタ[[#This Row],[国内定価
（15％）]]-商品マスタ[[#This Row],[仕入単価+国内送料]]</f>
        <v>986</v>
      </c>
      <c r="Y145" s="139">
        <v>0.08</v>
      </c>
      <c r="Z145" s="87"/>
      <c r="AA145" s="87"/>
      <c r="AB145" s="87"/>
      <c r="AC145" s="140"/>
      <c r="AD145" s="87"/>
      <c r="AE145" s="87"/>
      <c r="AF145" s="87"/>
      <c r="AG145" s="141"/>
    </row>
    <row r="146" spans="1:33" ht="18">
      <c r="A146" s="166" t="s">
        <v>1523</v>
      </c>
      <c r="B146" s="167" t="s">
        <v>1231</v>
      </c>
      <c r="C146" s="167" t="s">
        <v>997</v>
      </c>
      <c r="D146" s="143" t="str">
        <f>"PRD_SNJ_"&amp;
_xlfn.XLOOKUP(商品マスタ[[#This Row],[仕入先]],テーブル1[仕入先名],テーブル1[仕入先コード],"XXX",0,1)&amp;
"_"&amp;
商品マスタ[[#This Row],[シリアル]]&amp;
"_"&amp;
TEXT(COUNTIFS(商品マスタ!$C$3:C146,商品マスタ[[#This Row],[仕入先]],商品マスタ!$E$3:E146,商品マスタ[[#This Row],[商品名]]), "00")</f>
        <v>PRD_SNJ_GGM_0016_01</v>
      </c>
      <c r="E146" s="87" t="s">
        <v>525</v>
      </c>
      <c r="F146" s="87">
        <f>IF(COUNTIFS($C$3:C146,商品マスタ[[#This Row],[仕入先]],$E$3:E146,商品マスタ[[#This Row],[商品名]]) = 1, 1,0)</f>
        <v>1</v>
      </c>
      <c r="G146" s="133" t="str">
        <f>TEXT(SUMIF($C$3:C146,商品マスタ[[#This Row],[仕入先]],$F$3:F146), "0000")</f>
        <v>0016</v>
      </c>
      <c r="H146" s="87" t="s">
        <v>365</v>
      </c>
      <c r="I146" s="87" t="s">
        <v>526</v>
      </c>
      <c r="J146" s="87" t="s">
        <v>387</v>
      </c>
      <c r="K146" s="87" t="s">
        <v>524</v>
      </c>
      <c r="L146" s="134">
        <v>5715</v>
      </c>
      <c r="M146" s="157">
        <v>45834</v>
      </c>
      <c r="N146" s="134"/>
      <c r="O146" s="135" t="str">
        <f>IF(COUNT(商品マスタ[[#This Row],[参考上代
（税込)]]) &gt; 0, (商品マスタ[[#This Row],[参考上代
（税込)]]-商品マスタ[[#This Row],[国内定価
（15％）]])/(商品マスタ[[#This Row],[参考上代
（税込)]]/1.08), "")</f>
        <v/>
      </c>
      <c r="P146" s="136">
        <v>0.1</v>
      </c>
      <c r="Q146" s="137">
        <f>商品マスタ[[#This Row],[仕入
単価]]*商品マスタ[[#This Row],[標準国内送料率]]</f>
        <v>571.5</v>
      </c>
      <c r="R146" s="134"/>
      <c r="S146" s="134">
        <f>IF(ISBLANK(商品マスタ[[#This Row],[実績
国内送料]]),商品マスタ[[#This Row],[標準国内送料]],)</f>
        <v>571.5</v>
      </c>
      <c r="T146" s="134">
        <f>商品マスタ[[#This Row],[仕入
単価]]+商品マスタ[[#This Row],[国内送料]]</f>
        <v>6286.5</v>
      </c>
      <c r="U146" s="134">
        <f>ROUNDUP(商品マスタ[[#This Row],[仕入単価+国内送料]]/0.8,-1)</f>
        <v>7860</v>
      </c>
      <c r="V146" s="134">
        <f>商品マスタ[[#This Row],[海外定価
（20％）]]-商品マスタ[[#This Row],[仕入単価+国内送料]]</f>
        <v>1573.5</v>
      </c>
      <c r="W146" s="87">
        <f>ROUNDUP(商品マスタ[[#This Row],[仕入単価+国内送料]]/0.85,-1)</f>
        <v>7400</v>
      </c>
      <c r="X146" s="134">
        <f>商品マスタ[[#This Row],[国内定価
（15％）]]-商品マスタ[[#This Row],[仕入単価+国内送料]]</f>
        <v>1113.5</v>
      </c>
      <c r="Y146" s="139">
        <v>0.08</v>
      </c>
      <c r="Z146" s="87"/>
      <c r="AA146" s="87"/>
      <c r="AB146" s="87"/>
      <c r="AC146" s="140"/>
      <c r="AD146" s="87"/>
      <c r="AE146" s="87"/>
      <c r="AF146" s="87"/>
      <c r="AG146" s="141"/>
    </row>
    <row r="147" spans="1:33" ht="18">
      <c r="A147" s="166" t="s">
        <v>1523</v>
      </c>
      <c r="B147" s="167" t="s">
        <v>1231</v>
      </c>
      <c r="C147" s="167" t="s">
        <v>997</v>
      </c>
      <c r="D147" s="143" t="str">
        <f>"PRD_SNJ_"&amp;
_xlfn.XLOOKUP(商品マスタ[[#This Row],[仕入先]],テーブル1[仕入先名],テーブル1[仕入先コード],"XXX",0,1)&amp;
"_"&amp;
商品マスタ[[#This Row],[シリアル]]&amp;
"_"&amp;
TEXT(COUNTIFS(商品マスタ!$C$3:C147,商品マスタ[[#This Row],[仕入先]],商品マスタ!$E$3:E147,商品マスタ[[#This Row],[商品名]]), "00")</f>
        <v>PRD_SNJ_GGM_0017_01</v>
      </c>
      <c r="E147" s="87" t="s">
        <v>527</v>
      </c>
      <c r="F147" s="87">
        <f>IF(COUNTIFS($C$3:C147,商品マスタ[[#This Row],[仕入先]],$E$3:E147,商品マスタ[[#This Row],[商品名]]) = 1, 1,0)</f>
        <v>1</v>
      </c>
      <c r="G147" s="133" t="str">
        <f>TEXT(SUMIF($C$3:C147,商品マスタ[[#This Row],[仕入先]],$F$3:F147), "0000")</f>
        <v>0017</v>
      </c>
      <c r="H147" s="87" t="s">
        <v>365</v>
      </c>
      <c r="I147" s="87" t="s">
        <v>528</v>
      </c>
      <c r="J147" s="87" t="s">
        <v>376</v>
      </c>
      <c r="K147" s="87" t="s">
        <v>442</v>
      </c>
      <c r="L147" s="134">
        <v>7200</v>
      </c>
      <c r="M147" s="157">
        <v>45834</v>
      </c>
      <c r="N147" s="134"/>
      <c r="O147" s="135" t="str">
        <f>IF(COUNT(商品マスタ[[#This Row],[参考上代
（税込)]]) &gt; 0, (商品マスタ[[#This Row],[参考上代
（税込)]]-商品マスタ[[#This Row],[国内定価
（15％）]])/(商品マスタ[[#This Row],[参考上代
（税込)]]/1.08), "")</f>
        <v/>
      </c>
      <c r="P147" s="136">
        <v>0.1</v>
      </c>
      <c r="Q147" s="137">
        <f>商品マスタ[[#This Row],[仕入
単価]]*商品マスタ[[#This Row],[標準国内送料率]]</f>
        <v>720</v>
      </c>
      <c r="R147" s="134"/>
      <c r="S147" s="134">
        <f>IF(ISBLANK(商品マスタ[[#This Row],[実績
国内送料]]),商品マスタ[[#This Row],[標準国内送料]],)</f>
        <v>720</v>
      </c>
      <c r="T147" s="134">
        <f>商品マスタ[[#This Row],[仕入
単価]]+商品マスタ[[#This Row],[国内送料]]</f>
        <v>7920</v>
      </c>
      <c r="U147" s="134">
        <f>ROUNDUP(商品マスタ[[#This Row],[仕入単価+国内送料]]/0.8,-1)</f>
        <v>9900</v>
      </c>
      <c r="V147" s="134">
        <f>商品マスタ[[#This Row],[海外定価
（20％）]]-商品マスタ[[#This Row],[仕入単価+国内送料]]</f>
        <v>1980</v>
      </c>
      <c r="W147" s="87">
        <f>ROUNDUP(商品マスタ[[#This Row],[仕入単価+国内送料]]/0.85,-1)</f>
        <v>9320</v>
      </c>
      <c r="X147" s="134">
        <f>商品マスタ[[#This Row],[国内定価
（15％）]]-商品マスタ[[#This Row],[仕入単価+国内送料]]</f>
        <v>1400</v>
      </c>
      <c r="Y147" s="139">
        <v>0.08</v>
      </c>
      <c r="Z147" s="87"/>
      <c r="AA147" s="87"/>
      <c r="AB147" s="87"/>
      <c r="AC147" s="140"/>
      <c r="AD147" s="87"/>
      <c r="AE147" s="87"/>
      <c r="AF147" s="87"/>
      <c r="AG147" s="141"/>
    </row>
    <row r="148" spans="1:33" ht="18">
      <c r="A148" s="166" t="s">
        <v>1523</v>
      </c>
      <c r="B148" s="167" t="s">
        <v>1231</v>
      </c>
      <c r="C148" s="167" t="s">
        <v>997</v>
      </c>
      <c r="D148" s="143" t="str">
        <f>"PRD_SNJ_"&amp;
_xlfn.XLOOKUP(商品マスタ[[#This Row],[仕入先]],テーブル1[仕入先名],テーブル1[仕入先コード],"XXX",0,1)&amp;
"_"&amp;
商品マスタ[[#This Row],[シリアル]]&amp;
"_"&amp;
TEXT(COUNTIFS(商品マスタ!$C$3:C148,商品マスタ[[#This Row],[仕入先]],商品マスタ!$E$3:E148,商品マスタ[[#This Row],[商品名]]), "00")</f>
        <v>PRD_SNJ_GGM_0018_01</v>
      </c>
      <c r="E148" s="87" t="s">
        <v>529</v>
      </c>
      <c r="F148" s="87">
        <f>IF(COUNTIFS($C$3:C148,商品マスタ[[#This Row],[仕入先]],$E$3:E148,商品マスタ[[#This Row],[商品名]]) = 1, 1,0)</f>
        <v>1</v>
      </c>
      <c r="G148" s="133" t="str">
        <f>TEXT(SUMIF($C$3:C148,商品マスタ[[#This Row],[仕入先]],$F$3:F148), "0000")</f>
        <v>0018</v>
      </c>
      <c r="H148" s="87" t="s">
        <v>365</v>
      </c>
      <c r="I148" s="87" t="s">
        <v>530</v>
      </c>
      <c r="J148" s="87" t="s">
        <v>367</v>
      </c>
      <c r="K148" s="87" t="s">
        <v>442</v>
      </c>
      <c r="L148" s="134">
        <v>7200</v>
      </c>
      <c r="M148" s="157">
        <v>45834</v>
      </c>
      <c r="N148" s="134"/>
      <c r="O148" s="135" t="str">
        <f>IF(COUNT(商品マスタ[[#This Row],[参考上代
（税込)]]) &gt; 0, (商品マスタ[[#This Row],[参考上代
（税込)]]-商品マスタ[[#This Row],[国内定価
（15％）]])/(商品マスタ[[#This Row],[参考上代
（税込)]]/1.08), "")</f>
        <v/>
      </c>
      <c r="P148" s="136">
        <v>0.1</v>
      </c>
      <c r="Q148" s="137">
        <f>商品マスタ[[#This Row],[仕入
単価]]*商品マスタ[[#This Row],[標準国内送料率]]</f>
        <v>720</v>
      </c>
      <c r="R148" s="134"/>
      <c r="S148" s="134">
        <f>IF(ISBLANK(商品マスタ[[#This Row],[実績
国内送料]]),商品マスタ[[#This Row],[標準国内送料]],)</f>
        <v>720</v>
      </c>
      <c r="T148" s="134">
        <f>商品マスタ[[#This Row],[仕入
単価]]+商品マスタ[[#This Row],[国内送料]]</f>
        <v>7920</v>
      </c>
      <c r="U148" s="134">
        <f>ROUNDUP(商品マスタ[[#This Row],[仕入単価+国内送料]]/0.8,-1)</f>
        <v>9900</v>
      </c>
      <c r="V148" s="134">
        <f>商品マスタ[[#This Row],[海外定価
（20％）]]-商品マスタ[[#This Row],[仕入単価+国内送料]]</f>
        <v>1980</v>
      </c>
      <c r="W148" s="87">
        <f>ROUNDUP(商品マスタ[[#This Row],[仕入単価+国内送料]]/0.85,-1)</f>
        <v>9320</v>
      </c>
      <c r="X148" s="134">
        <f>商品マスタ[[#This Row],[国内定価
（15％）]]-商品マスタ[[#This Row],[仕入単価+国内送料]]</f>
        <v>1400</v>
      </c>
      <c r="Y148" s="139">
        <v>0.08</v>
      </c>
      <c r="Z148" s="87"/>
      <c r="AA148" s="87"/>
      <c r="AB148" s="87"/>
      <c r="AC148" s="140"/>
      <c r="AD148" s="87"/>
      <c r="AE148" s="87"/>
      <c r="AF148" s="87"/>
      <c r="AG148" s="141"/>
    </row>
    <row r="149" spans="1:33" ht="18">
      <c r="A149" s="166" t="s">
        <v>1523</v>
      </c>
      <c r="B149" s="167" t="s">
        <v>1231</v>
      </c>
      <c r="C149" s="167" t="s">
        <v>997</v>
      </c>
      <c r="D149" s="143" t="str">
        <f>"PRD_SNJ_"&amp;
_xlfn.XLOOKUP(商品マスタ[[#This Row],[仕入先]],テーブル1[仕入先名],テーブル1[仕入先コード],"XXX",0,1)&amp;
"_"&amp;
商品マスタ[[#This Row],[シリアル]]&amp;
"_"&amp;
TEXT(COUNTIFS(商品マスタ!$C$3:C149,商品マスタ[[#This Row],[仕入先]],商品マスタ!$E$3:E149,商品マスタ[[#This Row],[商品名]]), "00")</f>
        <v>PRD_SNJ_GGM_0019_01</v>
      </c>
      <c r="E149" s="87" t="s">
        <v>531</v>
      </c>
      <c r="F149" s="87">
        <f>IF(COUNTIFS($C$3:C149,商品マスタ[[#This Row],[仕入先]],$E$3:E149,商品マスタ[[#This Row],[商品名]]) = 1, 1,0)</f>
        <v>1</v>
      </c>
      <c r="G149" s="133" t="str">
        <f>TEXT(SUMIF($C$3:C149,商品マスタ[[#This Row],[仕入先]],$F$3:F149), "0000")</f>
        <v>0019</v>
      </c>
      <c r="H149" s="87" t="s">
        <v>365</v>
      </c>
      <c r="I149" s="87" t="s">
        <v>532</v>
      </c>
      <c r="J149" s="87" t="s">
        <v>376</v>
      </c>
      <c r="K149" s="87" t="s">
        <v>442</v>
      </c>
      <c r="L149" s="134">
        <v>4050</v>
      </c>
      <c r="M149" s="157">
        <v>45834</v>
      </c>
      <c r="N149" s="134"/>
      <c r="O149" s="135" t="str">
        <f>IF(COUNT(商品マスタ[[#This Row],[参考上代
（税込)]]) &gt; 0, (商品マスタ[[#This Row],[参考上代
（税込)]]-商品マスタ[[#This Row],[国内定価
（15％）]])/(商品マスタ[[#This Row],[参考上代
（税込)]]/1.08), "")</f>
        <v/>
      </c>
      <c r="P149" s="136">
        <v>0.1</v>
      </c>
      <c r="Q149" s="137">
        <f>商品マスタ[[#This Row],[仕入
単価]]*商品マスタ[[#This Row],[標準国内送料率]]</f>
        <v>405</v>
      </c>
      <c r="R149" s="134"/>
      <c r="S149" s="134">
        <f>IF(ISBLANK(商品マスタ[[#This Row],[実績
国内送料]]),商品マスタ[[#This Row],[標準国内送料]],)</f>
        <v>405</v>
      </c>
      <c r="T149" s="134">
        <f>商品マスタ[[#This Row],[仕入
単価]]+商品マスタ[[#This Row],[国内送料]]</f>
        <v>4455</v>
      </c>
      <c r="U149" s="134">
        <f>ROUNDUP(商品マスタ[[#This Row],[仕入単価+国内送料]]/0.8,-1)</f>
        <v>5570</v>
      </c>
      <c r="V149" s="134">
        <f>商品マスタ[[#This Row],[海外定価
（20％）]]-商品マスタ[[#This Row],[仕入単価+国内送料]]</f>
        <v>1115</v>
      </c>
      <c r="W149" s="87">
        <f>ROUNDUP(商品マスタ[[#This Row],[仕入単価+国内送料]]/0.85,-1)</f>
        <v>5250</v>
      </c>
      <c r="X149" s="134">
        <f>商品マスタ[[#This Row],[国内定価
（15％）]]-商品マスタ[[#This Row],[仕入単価+国内送料]]</f>
        <v>795</v>
      </c>
      <c r="Y149" s="139">
        <v>0.08</v>
      </c>
      <c r="Z149" s="87"/>
      <c r="AA149" s="87"/>
      <c r="AB149" s="87"/>
      <c r="AC149" s="140"/>
      <c r="AD149" s="87"/>
      <c r="AE149" s="87"/>
      <c r="AF149" s="87"/>
      <c r="AG149" s="141"/>
    </row>
    <row r="150" spans="1:33" ht="18">
      <c r="A150" s="166" t="s">
        <v>1523</v>
      </c>
      <c r="B150" s="167" t="s">
        <v>1231</v>
      </c>
      <c r="C150" s="167" t="s">
        <v>997</v>
      </c>
      <c r="D150" s="143" t="str">
        <f>"PRD_SNJ_"&amp;
_xlfn.XLOOKUP(商品マスタ[[#This Row],[仕入先]],テーブル1[仕入先名],テーブル1[仕入先コード],"XXX",0,1)&amp;
"_"&amp;
商品マスタ[[#This Row],[シリアル]]&amp;
"_"&amp;
TEXT(COUNTIFS(商品マスタ!$C$3:C150,商品マスタ[[#This Row],[仕入先]],商品マスタ!$E$3:E150,商品マスタ[[#This Row],[商品名]]), "00")</f>
        <v>PRD_SNJ_GGM_0020_01</v>
      </c>
      <c r="E150" s="87" t="s">
        <v>533</v>
      </c>
      <c r="F150" s="87">
        <f>IF(COUNTIFS($C$3:C150,商品マスタ[[#This Row],[仕入先]],$E$3:E150,商品マスタ[[#This Row],[商品名]]) = 1, 1,0)</f>
        <v>1</v>
      </c>
      <c r="G150" s="133" t="str">
        <f>TEXT(SUMIF($C$3:C150,商品マスタ[[#This Row],[仕入先]],$F$3:F150), "0000")</f>
        <v>0020</v>
      </c>
      <c r="H150" s="87" t="s">
        <v>365</v>
      </c>
      <c r="I150" s="87" t="s">
        <v>534</v>
      </c>
      <c r="J150" s="87" t="s">
        <v>376</v>
      </c>
      <c r="K150" s="87" t="s">
        <v>442</v>
      </c>
      <c r="L150" s="134">
        <v>3420</v>
      </c>
      <c r="M150" s="157">
        <v>45834</v>
      </c>
      <c r="N150" s="134"/>
      <c r="O150" s="135" t="str">
        <f>IF(COUNT(商品マスタ[[#This Row],[参考上代
（税込)]]) &gt; 0, (商品マスタ[[#This Row],[参考上代
（税込)]]-商品マスタ[[#This Row],[国内定価
（15％）]])/(商品マスタ[[#This Row],[参考上代
（税込)]]/1.08), "")</f>
        <v/>
      </c>
      <c r="P150" s="136">
        <v>0.1</v>
      </c>
      <c r="Q150" s="137">
        <f>商品マスタ[[#This Row],[仕入
単価]]*商品マスタ[[#This Row],[標準国内送料率]]</f>
        <v>342</v>
      </c>
      <c r="R150" s="134"/>
      <c r="S150" s="134">
        <f>IF(ISBLANK(商品マスタ[[#This Row],[実績
国内送料]]),商品マスタ[[#This Row],[標準国内送料]],)</f>
        <v>342</v>
      </c>
      <c r="T150" s="134">
        <f>商品マスタ[[#This Row],[仕入
単価]]+商品マスタ[[#This Row],[国内送料]]</f>
        <v>3762</v>
      </c>
      <c r="U150" s="134">
        <f>ROUNDUP(商品マスタ[[#This Row],[仕入単価+国内送料]]/0.8,-1)</f>
        <v>4710</v>
      </c>
      <c r="V150" s="134">
        <f>商品マスタ[[#This Row],[海外定価
（20％）]]-商品マスタ[[#This Row],[仕入単価+国内送料]]</f>
        <v>948</v>
      </c>
      <c r="W150" s="87">
        <f>ROUNDUP(商品マスタ[[#This Row],[仕入単価+国内送料]]/0.85,-1)</f>
        <v>4430</v>
      </c>
      <c r="X150" s="134">
        <f>商品マスタ[[#This Row],[国内定価
（15％）]]-商品マスタ[[#This Row],[仕入単価+国内送料]]</f>
        <v>668</v>
      </c>
      <c r="Y150" s="139">
        <v>0.08</v>
      </c>
      <c r="Z150" s="87"/>
      <c r="AA150" s="87"/>
      <c r="AB150" s="87"/>
      <c r="AC150" s="140"/>
      <c r="AD150" s="87"/>
      <c r="AE150" s="87"/>
      <c r="AF150" s="87"/>
      <c r="AG150" s="141"/>
    </row>
    <row r="151" spans="1:33" ht="18">
      <c r="A151" s="166" t="s">
        <v>1523</v>
      </c>
      <c r="B151" s="167" t="s">
        <v>1231</v>
      </c>
      <c r="C151" s="167" t="s">
        <v>997</v>
      </c>
      <c r="D151" s="143" t="str">
        <f>"PRD_SNJ_"&amp;
_xlfn.XLOOKUP(商品マスタ[[#This Row],[仕入先]],テーブル1[仕入先名],テーブル1[仕入先コード],"XXX",0,1)&amp;
"_"&amp;
商品マスタ[[#This Row],[シリアル]]&amp;
"_"&amp;
TEXT(COUNTIFS(商品マスタ!$C$3:C151,商品マスタ[[#This Row],[仕入先]],商品マスタ!$E$3:E151,商品マスタ[[#This Row],[商品名]]), "00")</f>
        <v>PRD_SNJ_GGM_0021_01</v>
      </c>
      <c r="E151" s="87" t="s">
        <v>535</v>
      </c>
      <c r="F151" s="87">
        <f>IF(COUNTIFS($C$3:C151,商品マスタ[[#This Row],[仕入先]],$E$3:E151,商品マスタ[[#This Row],[商品名]]) = 1, 1,0)</f>
        <v>1</v>
      </c>
      <c r="G151" s="133" t="str">
        <f>TEXT(SUMIF($C$3:C151,商品マスタ[[#This Row],[仕入先]],$F$3:F151), "0000")</f>
        <v>0021</v>
      </c>
      <c r="H151" s="87" t="s">
        <v>365</v>
      </c>
      <c r="I151" s="87" t="s">
        <v>536</v>
      </c>
      <c r="J151" s="87" t="s">
        <v>387</v>
      </c>
      <c r="K151" s="87" t="s">
        <v>537</v>
      </c>
      <c r="L151" s="134">
        <v>6300</v>
      </c>
      <c r="M151" s="157">
        <v>45834</v>
      </c>
      <c r="N151" s="134"/>
      <c r="O151" s="135" t="str">
        <f>IF(COUNT(商品マスタ[[#This Row],[参考上代
（税込)]]) &gt; 0, (商品マスタ[[#This Row],[参考上代
（税込)]]-商品マスタ[[#This Row],[国内定価
（15％）]])/(商品マスタ[[#This Row],[参考上代
（税込)]]/1.08), "")</f>
        <v/>
      </c>
      <c r="P151" s="136">
        <v>0.1</v>
      </c>
      <c r="Q151" s="137">
        <f>商品マスタ[[#This Row],[仕入
単価]]*商品マスタ[[#This Row],[標準国内送料率]]</f>
        <v>630</v>
      </c>
      <c r="R151" s="134"/>
      <c r="S151" s="134">
        <f>IF(ISBLANK(商品マスタ[[#This Row],[実績
国内送料]]),商品マスタ[[#This Row],[標準国内送料]],)</f>
        <v>630</v>
      </c>
      <c r="T151" s="134">
        <f>商品マスタ[[#This Row],[仕入
単価]]+商品マスタ[[#This Row],[国内送料]]</f>
        <v>6930</v>
      </c>
      <c r="U151" s="134">
        <f>ROUNDUP(商品マスタ[[#This Row],[仕入単価+国内送料]]/0.8,-1)</f>
        <v>8670</v>
      </c>
      <c r="V151" s="134">
        <f>商品マスタ[[#This Row],[海外定価
（20％）]]-商品マスタ[[#This Row],[仕入単価+国内送料]]</f>
        <v>1740</v>
      </c>
      <c r="W151" s="87">
        <f>ROUNDUP(商品マスタ[[#This Row],[仕入単価+国内送料]]/0.85,-1)</f>
        <v>8160</v>
      </c>
      <c r="X151" s="134">
        <f>商品マスタ[[#This Row],[国内定価
（15％）]]-商品マスタ[[#This Row],[仕入単価+国内送料]]</f>
        <v>1230</v>
      </c>
      <c r="Y151" s="139">
        <v>0.08</v>
      </c>
      <c r="Z151" s="87"/>
      <c r="AA151" s="87"/>
      <c r="AB151" s="87"/>
      <c r="AC151" s="140"/>
      <c r="AD151" s="87"/>
      <c r="AE151" s="87"/>
      <c r="AF151" s="87"/>
      <c r="AG151" s="141"/>
    </row>
    <row r="152" spans="1:33" ht="18">
      <c r="A152" s="166" t="s">
        <v>1523</v>
      </c>
      <c r="B152" s="167" t="s">
        <v>1231</v>
      </c>
      <c r="C152" s="167" t="s">
        <v>997</v>
      </c>
      <c r="D152" s="143" t="str">
        <f>"PRD_SNJ_"&amp;
_xlfn.XLOOKUP(商品マスタ[[#This Row],[仕入先]],テーブル1[仕入先名],テーブル1[仕入先コード],"XXX",0,1)&amp;
"_"&amp;
商品マスタ[[#This Row],[シリアル]]&amp;
"_"&amp;
TEXT(COUNTIFS(商品マスタ!$C$3:C152,商品マスタ[[#This Row],[仕入先]],商品マスタ!$E$3:E152,商品マスタ[[#This Row],[商品名]]), "00")</f>
        <v>PRD_SNJ_GGM_0022_01</v>
      </c>
      <c r="E152" s="87" t="s">
        <v>538</v>
      </c>
      <c r="F152" s="87">
        <f>IF(COUNTIFS($C$3:C152,商品マスタ[[#This Row],[仕入先]],$E$3:E152,商品マスタ[[#This Row],[商品名]]) = 1, 1,0)</f>
        <v>1</v>
      </c>
      <c r="G152" s="133" t="str">
        <f>TEXT(SUMIF($C$3:C152,商品マスタ[[#This Row],[仕入先]],$F$3:F152), "0000")</f>
        <v>0022</v>
      </c>
      <c r="H152" s="87" t="s">
        <v>365</v>
      </c>
      <c r="I152" s="87" t="s">
        <v>539</v>
      </c>
      <c r="J152" s="87" t="s">
        <v>376</v>
      </c>
      <c r="K152" s="87" t="s">
        <v>442</v>
      </c>
      <c r="L152" s="134">
        <v>6500</v>
      </c>
      <c r="M152" s="157">
        <v>45834</v>
      </c>
      <c r="N152" s="134"/>
      <c r="O152" s="135" t="str">
        <f>IF(COUNT(商品マスタ[[#This Row],[参考上代
（税込)]]) &gt; 0, (商品マスタ[[#This Row],[参考上代
（税込)]]-商品マスタ[[#This Row],[国内定価
（15％）]])/(商品マスタ[[#This Row],[参考上代
（税込)]]/1.08), "")</f>
        <v/>
      </c>
      <c r="P152" s="136">
        <v>0.1</v>
      </c>
      <c r="Q152" s="137">
        <f>商品マスタ[[#This Row],[仕入
単価]]*商品マスタ[[#This Row],[標準国内送料率]]</f>
        <v>650</v>
      </c>
      <c r="R152" s="134"/>
      <c r="S152" s="134">
        <f>IF(ISBLANK(商品マスタ[[#This Row],[実績
国内送料]]),商品マスタ[[#This Row],[標準国内送料]],)</f>
        <v>650</v>
      </c>
      <c r="T152" s="134">
        <f>商品マスタ[[#This Row],[仕入
単価]]+商品マスタ[[#This Row],[国内送料]]</f>
        <v>7150</v>
      </c>
      <c r="U152" s="134">
        <f>ROUNDUP(商品マスタ[[#This Row],[仕入単価+国内送料]]/0.8,-1)</f>
        <v>8940</v>
      </c>
      <c r="V152" s="134">
        <f>商品マスタ[[#This Row],[海外定価
（20％）]]-商品マスタ[[#This Row],[仕入単価+国内送料]]</f>
        <v>1790</v>
      </c>
      <c r="W152" s="87">
        <f>ROUNDUP(商品マスタ[[#This Row],[仕入単価+国内送料]]/0.85,-1)</f>
        <v>8420</v>
      </c>
      <c r="X152" s="134">
        <f>商品マスタ[[#This Row],[国内定価
（15％）]]-商品マスタ[[#This Row],[仕入単価+国内送料]]</f>
        <v>1270</v>
      </c>
      <c r="Y152" s="139">
        <v>0.08</v>
      </c>
      <c r="Z152" s="87"/>
      <c r="AA152" s="87"/>
      <c r="AB152" s="87"/>
      <c r="AC152" s="140"/>
      <c r="AD152" s="87"/>
      <c r="AE152" s="87"/>
      <c r="AF152" s="87"/>
      <c r="AG152" s="141"/>
    </row>
    <row r="153" spans="1:33" ht="18">
      <c r="A153" s="166" t="s">
        <v>1523</v>
      </c>
      <c r="B153" s="167" t="s">
        <v>1231</v>
      </c>
      <c r="C153" s="167" t="s">
        <v>997</v>
      </c>
      <c r="D153" s="143" t="str">
        <f>"PRD_SNJ_"&amp;
_xlfn.XLOOKUP(商品マスタ[[#This Row],[仕入先]],テーブル1[仕入先名],テーブル1[仕入先コード],"XXX",0,1)&amp;
"_"&amp;
商品マスタ[[#This Row],[シリアル]]&amp;
"_"&amp;
TEXT(COUNTIFS(商品マスタ!$C$3:C153,商品マスタ[[#This Row],[仕入先]],商品マスタ!$E$3:E153,商品マスタ[[#This Row],[商品名]]), "00")</f>
        <v>PRD_SNJ_GGM_0023_01</v>
      </c>
      <c r="E153" s="87" t="s">
        <v>540</v>
      </c>
      <c r="F153" s="87">
        <f>IF(COUNTIFS($C$3:C153,商品マスタ[[#This Row],[仕入先]],$E$3:E153,商品マスタ[[#This Row],[商品名]]) = 1, 1,0)</f>
        <v>1</v>
      </c>
      <c r="G153" s="133" t="str">
        <f>TEXT(SUMIF($C$3:C153,商品マスタ[[#This Row],[仕入先]],$F$3:F153), "0000")</f>
        <v>0023</v>
      </c>
      <c r="H153" s="87" t="s">
        <v>365</v>
      </c>
      <c r="I153" s="87" t="s">
        <v>541</v>
      </c>
      <c r="J153" s="87" t="s">
        <v>376</v>
      </c>
      <c r="K153" s="87" t="s">
        <v>442</v>
      </c>
      <c r="L153" s="134">
        <v>6500</v>
      </c>
      <c r="M153" s="157">
        <v>45834</v>
      </c>
      <c r="N153" s="134"/>
      <c r="O153" s="135" t="str">
        <f>IF(COUNT(商品マスタ[[#This Row],[参考上代
（税込)]]) &gt; 0, (商品マスタ[[#This Row],[参考上代
（税込)]]-商品マスタ[[#This Row],[国内定価
（15％）]])/(商品マスタ[[#This Row],[参考上代
（税込)]]/1.08), "")</f>
        <v/>
      </c>
      <c r="P153" s="136">
        <v>0.1</v>
      </c>
      <c r="Q153" s="137">
        <f>商品マスタ[[#This Row],[仕入
単価]]*商品マスタ[[#This Row],[標準国内送料率]]</f>
        <v>650</v>
      </c>
      <c r="R153" s="134"/>
      <c r="S153" s="134">
        <f>IF(ISBLANK(商品マスタ[[#This Row],[実績
国内送料]]),商品マスタ[[#This Row],[標準国内送料]],)</f>
        <v>650</v>
      </c>
      <c r="T153" s="134">
        <f>商品マスタ[[#This Row],[仕入
単価]]+商品マスタ[[#This Row],[国内送料]]</f>
        <v>7150</v>
      </c>
      <c r="U153" s="134">
        <f>ROUNDUP(商品マスタ[[#This Row],[仕入単価+国内送料]]/0.8,-1)</f>
        <v>8940</v>
      </c>
      <c r="V153" s="134">
        <f>商品マスタ[[#This Row],[海外定価
（20％）]]-商品マスタ[[#This Row],[仕入単価+国内送料]]</f>
        <v>1790</v>
      </c>
      <c r="W153" s="87">
        <f>ROUNDUP(商品マスタ[[#This Row],[仕入単価+国内送料]]/0.85,-1)</f>
        <v>8420</v>
      </c>
      <c r="X153" s="134">
        <f>商品マスタ[[#This Row],[国内定価
（15％）]]-商品マスタ[[#This Row],[仕入単価+国内送料]]</f>
        <v>1270</v>
      </c>
      <c r="Y153" s="139">
        <v>0.08</v>
      </c>
      <c r="Z153" s="87"/>
      <c r="AA153" s="87"/>
      <c r="AB153" s="87"/>
      <c r="AC153" s="140"/>
      <c r="AD153" s="87"/>
      <c r="AE153" s="87"/>
      <c r="AF153" s="87"/>
      <c r="AG153" s="141"/>
    </row>
    <row r="154" spans="1:33" ht="18">
      <c r="A154" s="166" t="s">
        <v>1523</v>
      </c>
      <c r="B154" s="167" t="s">
        <v>1231</v>
      </c>
      <c r="C154" s="167" t="s">
        <v>997</v>
      </c>
      <c r="D154" s="143" t="str">
        <f>"PRD_SNJ_"&amp;
_xlfn.XLOOKUP(商品マスタ[[#This Row],[仕入先]],テーブル1[仕入先名],テーブル1[仕入先コード],"XXX",0,1)&amp;
"_"&amp;
商品マスタ[[#This Row],[シリアル]]&amp;
"_"&amp;
TEXT(COUNTIFS(商品マスタ!$C$3:C154,商品マスタ[[#This Row],[仕入先]],商品マスタ!$E$3:E154,商品マスタ[[#This Row],[商品名]]), "00")</f>
        <v>PRD_SNJ_GGM_0024_01</v>
      </c>
      <c r="E154" s="87" t="s">
        <v>542</v>
      </c>
      <c r="F154" s="87">
        <f>IF(COUNTIFS($C$3:C154,商品マスタ[[#This Row],[仕入先]],$E$3:E154,商品マスタ[[#This Row],[商品名]]) = 1, 1,0)</f>
        <v>1</v>
      </c>
      <c r="G154" s="133" t="str">
        <f>TEXT(SUMIF($C$3:C154,商品マスタ[[#This Row],[仕入先]],$F$3:F154), "0000")</f>
        <v>0024</v>
      </c>
      <c r="H154" s="87" t="s">
        <v>365</v>
      </c>
      <c r="I154" s="87" t="s">
        <v>543</v>
      </c>
      <c r="J154" s="87" t="s">
        <v>387</v>
      </c>
      <c r="K154" s="87" t="s">
        <v>544</v>
      </c>
      <c r="L154" s="134">
        <v>6600</v>
      </c>
      <c r="M154" s="157">
        <v>45834</v>
      </c>
      <c r="N154" s="134"/>
      <c r="O154" s="135" t="str">
        <f>IF(COUNT(商品マスタ[[#This Row],[参考上代
（税込)]]) &gt; 0, (商品マスタ[[#This Row],[参考上代
（税込)]]-商品マスタ[[#This Row],[国内定価
（15％）]])/(商品マスタ[[#This Row],[参考上代
（税込)]]/1.08), "")</f>
        <v/>
      </c>
      <c r="P154" s="136">
        <v>0.1</v>
      </c>
      <c r="Q154" s="137">
        <f>商品マスタ[[#This Row],[仕入
単価]]*商品マスタ[[#This Row],[標準国内送料率]]</f>
        <v>660</v>
      </c>
      <c r="R154" s="134"/>
      <c r="S154" s="134">
        <f>IF(ISBLANK(商品マスタ[[#This Row],[実績
国内送料]]),商品マスタ[[#This Row],[標準国内送料]],)</f>
        <v>660</v>
      </c>
      <c r="T154" s="134">
        <f>商品マスタ[[#This Row],[仕入
単価]]+商品マスタ[[#This Row],[国内送料]]</f>
        <v>7260</v>
      </c>
      <c r="U154" s="134">
        <f>ROUNDUP(商品マスタ[[#This Row],[仕入単価+国内送料]]/0.8,-1)</f>
        <v>9080</v>
      </c>
      <c r="V154" s="134">
        <f>商品マスタ[[#This Row],[海外定価
（20％）]]-商品マスタ[[#This Row],[仕入単価+国内送料]]</f>
        <v>1820</v>
      </c>
      <c r="W154" s="87">
        <f>ROUNDUP(商品マスタ[[#This Row],[仕入単価+国内送料]]/0.85,-1)</f>
        <v>8550</v>
      </c>
      <c r="X154" s="134">
        <f>商品マスタ[[#This Row],[国内定価
（15％）]]-商品マスタ[[#This Row],[仕入単価+国内送料]]</f>
        <v>1290</v>
      </c>
      <c r="Y154" s="139">
        <v>0.08</v>
      </c>
      <c r="Z154" s="87"/>
      <c r="AA154" s="87"/>
      <c r="AB154" s="87"/>
      <c r="AC154" s="140"/>
      <c r="AD154" s="87"/>
      <c r="AE154" s="87"/>
      <c r="AF154" s="87"/>
      <c r="AG154" s="141"/>
    </row>
    <row r="155" spans="1:33" ht="18">
      <c r="A155" s="166" t="s">
        <v>1523</v>
      </c>
      <c r="B155" s="167" t="s">
        <v>1231</v>
      </c>
      <c r="C155" s="167" t="s">
        <v>997</v>
      </c>
      <c r="D155" s="143" t="str">
        <f>"PRD_SNJ_"&amp;
_xlfn.XLOOKUP(商品マスタ[[#This Row],[仕入先]],テーブル1[仕入先名],テーブル1[仕入先コード],"XXX",0,1)&amp;
"_"&amp;
商品マスタ[[#This Row],[シリアル]]&amp;
"_"&amp;
TEXT(COUNTIFS(商品マスタ!$C$3:C155,商品マスタ[[#This Row],[仕入先]],商品マスタ!$E$3:E155,商品マスタ[[#This Row],[商品名]]), "00")</f>
        <v>PRD_SNJ_GGM_0025_01</v>
      </c>
      <c r="E155" s="87" t="s">
        <v>545</v>
      </c>
      <c r="F155" s="87">
        <f>IF(COUNTIFS($C$3:C155,商品マスタ[[#This Row],[仕入先]],$E$3:E155,商品マスタ[[#This Row],[商品名]]) = 1, 1,0)</f>
        <v>1</v>
      </c>
      <c r="G155" s="133" t="str">
        <f>TEXT(SUMIF($C$3:C155,商品マスタ[[#This Row],[仕入先]],$F$3:F155), "0000")</f>
        <v>0025</v>
      </c>
      <c r="H155" s="87" t="s">
        <v>365</v>
      </c>
      <c r="I155" s="87" t="s">
        <v>546</v>
      </c>
      <c r="J155" s="87" t="s">
        <v>376</v>
      </c>
      <c r="K155" s="87" t="s">
        <v>442</v>
      </c>
      <c r="L155" s="134">
        <v>7150</v>
      </c>
      <c r="M155" s="157">
        <v>45834</v>
      </c>
      <c r="N155" s="134"/>
      <c r="O155" s="135" t="str">
        <f>IF(COUNT(商品マスタ[[#This Row],[参考上代
（税込)]]) &gt; 0, (商品マスタ[[#This Row],[参考上代
（税込)]]-商品マスタ[[#This Row],[国内定価
（15％）]])/(商品マスタ[[#This Row],[参考上代
（税込)]]/1.08), "")</f>
        <v/>
      </c>
      <c r="P155" s="136">
        <v>0.1</v>
      </c>
      <c r="Q155" s="137">
        <f>商品マスタ[[#This Row],[仕入
単価]]*商品マスタ[[#This Row],[標準国内送料率]]</f>
        <v>715</v>
      </c>
      <c r="R155" s="134"/>
      <c r="S155" s="134">
        <f>IF(ISBLANK(商品マスタ[[#This Row],[実績
国内送料]]),商品マスタ[[#This Row],[標準国内送料]],)</f>
        <v>715</v>
      </c>
      <c r="T155" s="134">
        <f>商品マスタ[[#This Row],[仕入
単価]]+商品マスタ[[#This Row],[国内送料]]</f>
        <v>7865</v>
      </c>
      <c r="U155" s="134">
        <f>ROUNDUP(商品マスタ[[#This Row],[仕入単価+国内送料]]/0.8,-1)</f>
        <v>9840</v>
      </c>
      <c r="V155" s="134">
        <f>商品マスタ[[#This Row],[海外定価
（20％）]]-商品マスタ[[#This Row],[仕入単価+国内送料]]</f>
        <v>1975</v>
      </c>
      <c r="W155" s="87">
        <f>ROUNDUP(商品マスタ[[#This Row],[仕入単価+国内送料]]/0.85,-1)</f>
        <v>9260</v>
      </c>
      <c r="X155" s="134">
        <f>商品マスタ[[#This Row],[国内定価
（15％）]]-商品マスタ[[#This Row],[仕入単価+国内送料]]</f>
        <v>1395</v>
      </c>
      <c r="Y155" s="139">
        <v>0.08</v>
      </c>
      <c r="Z155" s="87"/>
      <c r="AA155" s="87"/>
      <c r="AB155" s="87"/>
      <c r="AC155" s="140"/>
      <c r="AD155" s="87"/>
      <c r="AE155" s="87"/>
      <c r="AF155" s="87"/>
      <c r="AG155" s="141"/>
    </row>
    <row r="156" spans="1:33" ht="18">
      <c r="A156" s="166" t="s">
        <v>1523</v>
      </c>
      <c r="B156" s="167" t="s">
        <v>1231</v>
      </c>
      <c r="C156" s="167" t="s">
        <v>997</v>
      </c>
      <c r="D156" s="143" t="str">
        <f>"PRD_SNJ_"&amp;
_xlfn.XLOOKUP(商品マスタ[[#This Row],[仕入先]],テーブル1[仕入先名],テーブル1[仕入先コード],"XXX",0,1)&amp;
"_"&amp;
商品マスタ[[#This Row],[シリアル]]&amp;
"_"&amp;
TEXT(COUNTIFS(商品マスタ!$C$3:C156,商品マスタ[[#This Row],[仕入先]],商品マスタ!$E$3:E156,商品マスタ[[#This Row],[商品名]]), "00")</f>
        <v>PRD_SNJ_GGM_0026_01</v>
      </c>
      <c r="E156" s="87" t="s">
        <v>547</v>
      </c>
      <c r="F156" s="87">
        <f>IF(COUNTIFS($C$3:C156,商品マスタ[[#This Row],[仕入先]],$E$3:E156,商品マスタ[[#This Row],[商品名]]) = 1, 1,0)</f>
        <v>1</v>
      </c>
      <c r="G156" s="133" t="str">
        <f>TEXT(SUMIF($C$3:C156,商品マスタ[[#This Row],[仕入先]],$F$3:F156), "0000")</f>
        <v>0026</v>
      </c>
      <c r="H156" s="87" t="s">
        <v>365</v>
      </c>
      <c r="I156" s="87" t="s">
        <v>548</v>
      </c>
      <c r="J156" s="87" t="s">
        <v>376</v>
      </c>
      <c r="K156" s="87" t="s">
        <v>442</v>
      </c>
      <c r="L156" s="134">
        <v>7040</v>
      </c>
      <c r="M156" s="157">
        <v>45834</v>
      </c>
      <c r="N156" s="134"/>
      <c r="O156" s="135" t="str">
        <f>IF(COUNT(商品マスタ[[#This Row],[参考上代
（税込)]]) &gt; 0, (商品マスタ[[#This Row],[参考上代
（税込)]]-商品マスタ[[#This Row],[国内定価
（15％）]])/(商品マスタ[[#This Row],[参考上代
（税込)]]/1.08), "")</f>
        <v/>
      </c>
      <c r="P156" s="136">
        <v>0.1</v>
      </c>
      <c r="Q156" s="137">
        <f>商品マスタ[[#This Row],[仕入
単価]]*商品マスタ[[#This Row],[標準国内送料率]]</f>
        <v>704</v>
      </c>
      <c r="R156" s="134"/>
      <c r="S156" s="134">
        <f>IF(ISBLANK(商品マスタ[[#This Row],[実績
国内送料]]),商品マスタ[[#This Row],[標準国内送料]],)</f>
        <v>704</v>
      </c>
      <c r="T156" s="134">
        <f>商品マスタ[[#This Row],[仕入
単価]]+商品マスタ[[#This Row],[国内送料]]</f>
        <v>7744</v>
      </c>
      <c r="U156" s="134">
        <f>ROUNDUP(商品マスタ[[#This Row],[仕入単価+国内送料]]/0.8,-1)</f>
        <v>9680</v>
      </c>
      <c r="V156" s="134">
        <f>商品マスタ[[#This Row],[海外定価
（20％）]]-商品マスタ[[#This Row],[仕入単価+国内送料]]</f>
        <v>1936</v>
      </c>
      <c r="W156" s="87">
        <f>ROUNDUP(商品マスタ[[#This Row],[仕入単価+国内送料]]/0.85,-1)</f>
        <v>9120</v>
      </c>
      <c r="X156" s="134">
        <f>商品マスタ[[#This Row],[国内定価
（15％）]]-商品マスタ[[#This Row],[仕入単価+国内送料]]</f>
        <v>1376</v>
      </c>
      <c r="Y156" s="139">
        <v>0.08</v>
      </c>
      <c r="Z156" s="87"/>
      <c r="AA156" s="87"/>
      <c r="AB156" s="87"/>
      <c r="AC156" s="140"/>
      <c r="AD156" s="87"/>
      <c r="AE156" s="87"/>
      <c r="AF156" s="87"/>
      <c r="AG156" s="141"/>
    </row>
    <row r="157" spans="1:33" ht="18">
      <c r="A157" s="166" t="s">
        <v>1523</v>
      </c>
      <c r="B157" s="167" t="s">
        <v>1231</v>
      </c>
      <c r="C157" s="167" t="s">
        <v>997</v>
      </c>
      <c r="D157" s="143" t="str">
        <f>"PRD_SNJ_"&amp;
_xlfn.XLOOKUP(商品マスタ[[#This Row],[仕入先]],テーブル1[仕入先名],テーブル1[仕入先コード],"XXX",0,1)&amp;
"_"&amp;
商品マスタ[[#This Row],[シリアル]]&amp;
"_"&amp;
TEXT(COUNTIFS(商品マスタ!$C$3:C157,商品マスタ[[#This Row],[仕入先]],商品マスタ!$E$3:E157,商品マスタ[[#This Row],[商品名]]), "00")</f>
        <v>PRD_SNJ_GGM_0027_01</v>
      </c>
      <c r="E157" s="87" t="s">
        <v>549</v>
      </c>
      <c r="F157" s="87">
        <f>IF(COUNTIFS($C$3:C157,商品マスタ[[#This Row],[仕入先]],$E$3:E157,商品マスタ[[#This Row],[商品名]]) = 1, 1,0)</f>
        <v>1</v>
      </c>
      <c r="G157" s="133" t="str">
        <f>TEXT(SUMIF($C$3:C157,商品マスタ[[#This Row],[仕入先]],$F$3:F157), "0000")</f>
        <v>0027</v>
      </c>
      <c r="H157" s="87" t="s">
        <v>365</v>
      </c>
      <c r="I157" s="87" t="s">
        <v>550</v>
      </c>
      <c r="J157" s="87" t="s">
        <v>376</v>
      </c>
      <c r="K157" s="87" t="s">
        <v>442</v>
      </c>
      <c r="L157" s="134">
        <v>7040</v>
      </c>
      <c r="M157" s="157">
        <v>45834</v>
      </c>
      <c r="N157" s="134"/>
      <c r="O157" s="135" t="str">
        <f>IF(COUNT(商品マスタ[[#This Row],[参考上代
（税込)]]) &gt; 0, (商品マスタ[[#This Row],[参考上代
（税込)]]-商品マスタ[[#This Row],[国内定価
（15％）]])/(商品マスタ[[#This Row],[参考上代
（税込)]]/1.08), "")</f>
        <v/>
      </c>
      <c r="P157" s="136">
        <v>0.1</v>
      </c>
      <c r="Q157" s="137">
        <f>商品マスタ[[#This Row],[仕入
単価]]*商品マスタ[[#This Row],[標準国内送料率]]</f>
        <v>704</v>
      </c>
      <c r="R157" s="134"/>
      <c r="S157" s="134">
        <f>IF(ISBLANK(商品マスタ[[#This Row],[実績
国内送料]]),商品マスタ[[#This Row],[標準国内送料]],)</f>
        <v>704</v>
      </c>
      <c r="T157" s="134">
        <f>商品マスタ[[#This Row],[仕入
単価]]+商品マスタ[[#This Row],[国内送料]]</f>
        <v>7744</v>
      </c>
      <c r="U157" s="134">
        <f>ROUNDUP(商品マスタ[[#This Row],[仕入単価+国内送料]]/0.8,-1)</f>
        <v>9680</v>
      </c>
      <c r="V157" s="134">
        <f>商品マスタ[[#This Row],[海外定価
（20％）]]-商品マスタ[[#This Row],[仕入単価+国内送料]]</f>
        <v>1936</v>
      </c>
      <c r="W157" s="87">
        <f>ROUNDUP(商品マスタ[[#This Row],[仕入単価+国内送料]]/0.85,-1)</f>
        <v>9120</v>
      </c>
      <c r="X157" s="134">
        <f>商品マスタ[[#This Row],[国内定価
（15％）]]-商品マスタ[[#This Row],[仕入単価+国内送料]]</f>
        <v>1376</v>
      </c>
      <c r="Y157" s="139">
        <v>0.08</v>
      </c>
      <c r="Z157" s="87"/>
      <c r="AA157" s="87"/>
      <c r="AB157" s="87"/>
      <c r="AC157" s="140"/>
      <c r="AD157" s="87"/>
      <c r="AE157" s="87"/>
      <c r="AF157" s="87"/>
      <c r="AG157" s="141"/>
    </row>
    <row r="158" spans="1:33" ht="18">
      <c r="A158" s="166" t="s">
        <v>1523</v>
      </c>
      <c r="B158" s="167" t="s">
        <v>1231</v>
      </c>
      <c r="C158" s="167" t="s">
        <v>997</v>
      </c>
      <c r="D158" s="143" t="str">
        <f>"PRD_SNJ_"&amp;
_xlfn.XLOOKUP(商品マスタ[[#This Row],[仕入先]],テーブル1[仕入先名],テーブル1[仕入先コード],"XXX",0,1)&amp;
"_"&amp;
商品マスタ[[#This Row],[シリアル]]&amp;
"_"&amp;
TEXT(COUNTIFS(商品マスタ!$C$3:C158,商品マスタ[[#This Row],[仕入先]],商品マスタ!$E$3:E158,商品マスタ[[#This Row],[商品名]]), "00")</f>
        <v>PRD_SNJ_GGM_0028_01</v>
      </c>
      <c r="E158" s="87" t="s">
        <v>551</v>
      </c>
      <c r="F158" s="87">
        <f>IF(COUNTIFS($C$3:C158,商品マスタ[[#This Row],[仕入先]],$E$3:E158,商品マスタ[[#This Row],[商品名]]) = 1, 1,0)</f>
        <v>1</v>
      </c>
      <c r="G158" s="133" t="str">
        <f>TEXT(SUMIF($C$3:C158,商品マスタ[[#This Row],[仕入先]],$F$3:F158), "0000")</f>
        <v>0028</v>
      </c>
      <c r="H158" s="87" t="s">
        <v>365</v>
      </c>
      <c r="I158" s="87" t="s">
        <v>552</v>
      </c>
      <c r="J158" s="87" t="s">
        <v>376</v>
      </c>
      <c r="K158" s="87" t="s">
        <v>442</v>
      </c>
      <c r="L158" s="134">
        <v>7040</v>
      </c>
      <c r="M158" s="157">
        <v>45834</v>
      </c>
      <c r="N158" s="134"/>
      <c r="O158" s="135" t="str">
        <f>IF(COUNT(商品マスタ[[#This Row],[参考上代
（税込)]]) &gt; 0, (商品マスタ[[#This Row],[参考上代
（税込)]]-商品マスタ[[#This Row],[国内定価
（15％）]])/(商品マスタ[[#This Row],[参考上代
（税込)]]/1.08), "")</f>
        <v/>
      </c>
      <c r="P158" s="136">
        <v>0.1</v>
      </c>
      <c r="Q158" s="137">
        <f>商品マスタ[[#This Row],[仕入
単価]]*商品マスタ[[#This Row],[標準国内送料率]]</f>
        <v>704</v>
      </c>
      <c r="R158" s="134"/>
      <c r="S158" s="134">
        <f>IF(ISBLANK(商品マスタ[[#This Row],[実績
国内送料]]),商品マスタ[[#This Row],[標準国内送料]],)</f>
        <v>704</v>
      </c>
      <c r="T158" s="134">
        <f>商品マスタ[[#This Row],[仕入
単価]]+商品マスタ[[#This Row],[国内送料]]</f>
        <v>7744</v>
      </c>
      <c r="U158" s="134">
        <f>ROUNDUP(商品マスタ[[#This Row],[仕入単価+国内送料]]/0.8,-1)</f>
        <v>9680</v>
      </c>
      <c r="V158" s="134">
        <f>商品マスタ[[#This Row],[海外定価
（20％）]]-商品マスタ[[#This Row],[仕入単価+国内送料]]</f>
        <v>1936</v>
      </c>
      <c r="W158" s="87">
        <f>ROUNDUP(商品マスタ[[#This Row],[仕入単価+国内送料]]/0.85,-1)</f>
        <v>9120</v>
      </c>
      <c r="X158" s="134">
        <f>商品マスタ[[#This Row],[国内定価
（15％）]]-商品マスタ[[#This Row],[仕入単価+国内送料]]</f>
        <v>1376</v>
      </c>
      <c r="Y158" s="139">
        <v>0.08</v>
      </c>
      <c r="Z158" s="87"/>
      <c r="AA158" s="87"/>
      <c r="AB158" s="87"/>
      <c r="AC158" s="140"/>
      <c r="AD158" s="87"/>
      <c r="AE158" s="87"/>
      <c r="AF158" s="87"/>
      <c r="AG158" s="141"/>
    </row>
    <row r="159" spans="1:33" ht="18">
      <c r="A159" s="166" t="s">
        <v>1523</v>
      </c>
      <c r="B159" s="167" t="s">
        <v>1231</v>
      </c>
      <c r="C159" s="167" t="s">
        <v>997</v>
      </c>
      <c r="D159" s="143" t="str">
        <f>"PRD_SNJ_"&amp;
_xlfn.XLOOKUP(商品マスタ[[#This Row],[仕入先]],テーブル1[仕入先名],テーブル1[仕入先コード],"XXX",0,1)&amp;
"_"&amp;
商品マスタ[[#This Row],[シリアル]]&amp;
"_"&amp;
TEXT(COUNTIFS(商品マスタ!$C$3:C159,商品マスタ[[#This Row],[仕入先]],商品マスタ!$E$3:E159,商品マスタ[[#This Row],[商品名]]), "00")</f>
        <v>PRD_SNJ_GGM_0029_01</v>
      </c>
      <c r="E159" s="87" t="s">
        <v>553</v>
      </c>
      <c r="F159" s="87">
        <f>IF(COUNTIFS($C$3:C159,商品マスタ[[#This Row],[仕入先]],$E$3:E159,商品マスタ[[#This Row],[商品名]]) = 1, 1,0)</f>
        <v>1</v>
      </c>
      <c r="G159" s="133" t="str">
        <f>TEXT(SUMIF($C$3:C159,商品マスタ[[#This Row],[仕入先]],$F$3:F159), "0000")</f>
        <v>0029</v>
      </c>
      <c r="H159" s="87" t="s">
        <v>365</v>
      </c>
      <c r="I159" s="87" t="s">
        <v>554</v>
      </c>
      <c r="J159" s="87" t="s">
        <v>376</v>
      </c>
      <c r="K159" s="87" t="s">
        <v>442</v>
      </c>
      <c r="L159" s="134">
        <v>4800</v>
      </c>
      <c r="M159" s="157">
        <v>45834</v>
      </c>
      <c r="N159" s="134"/>
      <c r="O159" s="135" t="str">
        <f>IF(COUNT(商品マスタ[[#This Row],[参考上代
（税込)]]) &gt; 0, (商品マスタ[[#This Row],[参考上代
（税込)]]-商品マスタ[[#This Row],[国内定価
（15％）]])/(商品マスタ[[#This Row],[参考上代
（税込)]]/1.08), "")</f>
        <v/>
      </c>
      <c r="P159" s="136">
        <v>0.1</v>
      </c>
      <c r="Q159" s="137">
        <f>商品マスタ[[#This Row],[仕入
単価]]*商品マスタ[[#This Row],[標準国内送料率]]</f>
        <v>480</v>
      </c>
      <c r="R159" s="134"/>
      <c r="S159" s="134">
        <f>IF(ISBLANK(商品マスタ[[#This Row],[実績
国内送料]]),商品マスタ[[#This Row],[標準国内送料]],)</f>
        <v>480</v>
      </c>
      <c r="T159" s="134">
        <f>商品マスタ[[#This Row],[仕入
単価]]+商品マスタ[[#This Row],[国内送料]]</f>
        <v>5280</v>
      </c>
      <c r="U159" s="134">
        <f>ROUNDUP(商品マスタ[[#This Row],[仕入単価+国内送料]]/0.8,-1)</f>
        <v>6600</v>
      </c>
      <c r="V159" s="134">
        <f>商品マスタ[[#This Row],[海外定価
（20％）]]-商品マスタ[[#This Row],[仕入単価+国内送料]]</f>
        <v>1320</v>
      </c>
      <c r="W159" s="87">
        <f>ROUNDUP(商品マスタ[[#This Row],[仕入単価+国内送料]]/0.85,-1)</f>
        <v>6220</v>
      </c>
      <c r="X159" s="134">
        <f>商品マスタ[[#This Row],[国内定価
（15％）]]-商品マスタ[[#This Row],[仕入単価+国内送料]]</f>
        <v>940</v>
      </c>
      <c r="Y159" s="139">
        <v>0.08</v>
      </c>
      <c r="Z159" s="87"/>
      <c r="AA159" s="87"/>
      <c r="AB159" s="87"/>
      <c r="AC159" s="140"/>
      <c r="AD159" s="87"/>
      <c r="AE159" s="87"/>
      <c r="AF159" s="87"/>
      <c r="AG159" s="141"/>
    </row>
    <row r="160" spans="1:33" ht="18">
      <c r="A160" s="166" t="s">
        <v>1523</v>
      </c>
      <c r="B160" s="167" t="s">
        <v>1231</v>
      </c>
      <c r="C160" s="167" t="s">
        <v>997</v>
      </c>
      <c r="D160" s="143" t="str">
        <f>"PRD_SNJ_"&amp;
_xlfn.XLOOKUP(商品マスタ[[#This Row],[仕入先]],テーブル1[仕入先名],テーブル1[仕入先コード],"XXX",0,1)&amp;
"_"&amp;
商品マスタ[[#This Row],[シリアル]]&amp;
"_"&amp;
TEXT(COUNTIFS(商品マスタ!$C$3:C160,商品マスタ[[#This Row],[仕入先]],商品マスタ!$E$3:E160,商品マスタ[[#This Row],[商品名]]), "00")</f>
        <v>PRD_SNJ_GGM_0030_01</v>
      </c>
      <c r="E160" s="87" t="s">
        <v>555</v>
      </c>
      <c r="F160" s="87">
        <f>IF(COUNTIFS($C$3:C160,商品マスタ[[#This Row],[仕入先]],$E$3:E160,商品マスタ[[#This Row],[商品名]]) = 1, 1,0)</f>
        <v>1</v>
      </c>
      <c r="G160" s="133" t="str">
        <f>TEXT(SUMIF($C$3:C160,商品マスタ[[#This Row],[仕入先]],$F$3:F160), "0000")</f>
        <v>0030</v>
      </c>
      <c r="H160" s="87" t="s">
        <v>365</v>
      </c>
      <c r="I160" s="87" t="s">
        <v>556</v>
      </c>
      <c r="J160" s="87" t="s">
        <v>376</v>
      </c>
      <c r="K160" s="87" t="s">
        <v>442</v>
      </c>
      <c r="L160" s="134">
        <v>3680</v>
      </c>
      <c r="M160" s="157">
        <v>45834</v>
      </c>
      <c r="N160" s="134"/>
      <c r="O160" s="135" t="str">
        <f>IF(COUNT(商品マスタ[[#This Row],[参考上代
（税込)]]) &gt; 0, (商品マスタ[[#This Row],[参考上代
（税込)]]-商品マスタ[[#This Row],[国内定価
（15％）]])/(商品マスタ[[#This Row],[参考上代
（税込)]]/1.08), "")</f>
        <v/>
      </c>
      <c r="P160" s="136">
        <v>0.1</v>
      </c>
      <c r="Q160" s="137">
        <f>商品マスタ[[#This Row],[仕入
単価]]*商品マスタ[[#This Row],[標準国内送料率]]</f>
        <v>368</v>
      </c>
      <c r="R160" s="134"/>
      <c r="S160" s="134">
        <f>IF(ISBLANK(商品マスタ[[#This Row],[実績
国内送料]]),商品マスタ[[#This Row],[標準国内送料]],)</f>
        <v>368</v>
      </c>
      <c r="T160" s="134">
        <f>商品マスタ[[#This Row],[仕入
単価]]+商品マスタ[[#This Row],[国内送料]]</f>
        <v>4048</v>
      </c>
      <c r="U160" s="134">
        <f>ROUNDUP(商品マスタ[[#This Row],[仕入単価+国内送料]]/0.8,-1)</f>
        <v>5060</v>
      </c>
      <c r="V160" s="134">
        <f>商品マスタ[[#This Row],[海外定価
（20％）]]-商品マスタ[[#This Row],[仕入単価+国内送料]]</f>
        <v>1012</v>
      </c>
      <c r="W160" s="87">
        <f>ROUNDUP(商品マスタ[[#This Row],[仕入単価+国内送料]]/0.85,-1)</f>
        <v>4770</v>
      </c>
      <c r="X160" s="134">
        <f>商品マスタ[[#This Row],[国内定価
（15％）]]-商品マスタ[[#This Row],[仕入単価+国内送料]]</f>
        <v>722</v>
      </c>
      <c r="Y160" s="139">
        <v>0.08</v>
      </c>
      <c r="Z160" s="87"/>
      <c r="AA160" s="87"/>
      <c r="AB160" s="87"/>
      <c r="AC160" s="140"/>
      <c r="AD160" s="87"/>
      <c r="AE160" s="87"/>
      <c r="AF160" s="87"/>
      <c r="AG160" s="141"/>
    </row>
    <row r="161" spans="1:33" ht="18">
      <c r="A161" s="166" t="s">
        <v>1523</v>
      </c>
      <c r="B161" s="167" t="s">
        <v>1231</v>
      </c>
      <c r="C161" s="167" t="s">
        <v>997</v>
      </c>
      <c r="D161" s="143" t="str">
        <f>"PRD_SNJ_"&amp;
_xlfn.XLOOKUP(商品マスタ[[#This Row],[仕入先]],テーブル1[仕入先名],テーブル1[仕入先コード],"XXX",0,1)&amp;
"_"&amp;
商品マスタ[[#This Row],[シリアル]]&amp;
"_"&amp;
TEXT(COUNTIFS(商品マスタ!$C$3:C161,商品マスタ[[#This Row],[仕入先]],商品マスタ!$E$3:E161,商品マスタ[[#This Row],[商品名]]), "00")</f>
        <v>PRD_SNJ_GGM_0031_01</v>
      </c>
      <c r="E161" s="87" t="s">
        <v>557</v>
      </c>
      <c r="F161" s="87">
        <f>IF(COUNTIFS($C$3:C161,商品マスタ[[#This Row],[仕入先]],$E$3:E161,商品マスタ[[#This Row],[商品名]]) = 1, 1,0)</f>
        <v>1</v>
      </c>
      <c r="G161" s="133" t="str">
        <f>TEXT(SUMIF($C$3:C161,商品マスタ[[#This Row],[仕入先]],$F$3:F161), "0000")</f>
        <v>0031</v>
      </c>
      <c r="H161" s="87" t="s">
        <v>365</v>
      </c>
      <c r="I161" s="87" t="s">
        <v>558</v>
      </c>
      <c r="J161" s="87" t="s">
        <v>376</v>
      </c>
      <c r="K161" s="87" t="s">
        <v>442</v>
      </c>
      <c r="L161" s="134">
        <v>2900</v>
      </c>
      <c r="M161" s="157">
        <v>45834</v>
      </c>
      <c r="N161" s="134"/>
      <c r="O161" s="135" t="str">
        <f>IF(COUNT(商品マスタ[[#This Row],[参考上代
（税込)]]) &gt; 0, (商品マスタ[[#This Row],[参考上代
（税込)]]-商品マスタ[[#This Row],[国内定価
（15％）]])/(商品マスタ[[#This Row],[参考上代
（税込)]]/1.08), "")</f>
        <v/>
      </c>
      <c r="P161" s="136">
        <v>0.1</v>
      </c>
      <c r="Q161" s="137">
        <f>商品マスタ[[#This Row],[仕入
単価]]*商品マスタ[[#This Row],[標準国内送料率]]</f>
        <v>290</v>
      </c>
      <c r="R161" s="134"/>
      <c r="S161" s="134">
        <f>IF(ISBLANK(商品マスタ[[#This Row],[実績
国内送料]]),商品マスタ[[#This Row],[標準国内送料]],)</f>
        <v>290</v>
      </c>
      <c r="T161" s="134">
        <f>商品マスタ[[#This Row],[仕入
単価]]+商品マスタ[[#This Row],[国内送料]]</f>
        <v>3190</v>
      </c>
      <c r="U161" s="134">
        <f>ROUNDUP(商品マスタ[[#This Row],[仕入単価+国内送料]]/0.8,-1)</f>
        <v>3990</v>
      </c>
      <c r="V161" s="134">
        <f>商品マスタ[[#This Row],[海外定価
（20％）]]-商品マスタ[[#This Row],[仕入単価+国内送料]]</f>
        <v>800</v>
      </c>
      <c r="W161" s="87">
        <f>ROUNDUP(商品マスタ[[#This Row],[仕入単価+国内送料]]/0.85,-1)</f>
        <v>3760</v>
      </c>
      <c r="X161" s="134">
        <f>商品マスタ[[#This Row],[国内定価
（15％）]]-商品マスタ[[#This Row],[仕入単価+国内送料]]</f>
        <v>570</v>
      </c>
      <c r="Y161" s="139">
        <v>0.08</v>
      </c>
      <c r="Z161" s="87"/>
      <c r="AA161" s="87"/>
      <c r="AB161" s="87"/>
      <c r="AC161" s="140"/>
      <c r="AD161" s="87"/>
      <c r="AE161" s="87"/>
      <c r="AF161" s="87"/>
      <c r="AG161" s="141"/>
    </row>
    <row r="162" spans="1:33" ht="18">
      <c r="A162" s="166" t="s">
        <v>1523</v>
      </c>
      <c r="B162" s="167" t="s">
        <v>1231</v>
      </c>
      <c r="C162" s="167" t="s">
        <v>997</v>
      </c>
      <c r="D162" s="143" t="str">
        <f>"PRD_SNJ_"&amp;
_xlfn.XLOOKUP(商品マスタ[[#This Row],[仕入先]],テーブル1[仕入先名],テーブル1[仕入先コード],"XXX",0,1)&amp;
"_"&amp;
商品マスタ[[#This Row],[シリアル]]&amp;
"_"&amp;
TEXT(COUNTIFS(商品マスタ!$C$3:C162,商品マスタ[[#This Row],[仕入先]],商品マスタ!$E$3:E162,商品マスタ[[#This Row],[商品名]]), "00")</f>
        <v>PRD_SNJ_GGM_0032_01</v>
      </c>
      <c r="E162" s="87" t="s">
        <v>559</v>
      </c>
      <c r="F162" s="87">
        <f>IF(COUNTIFS($C$3:C162,商品マスタ[[#This Row],[仕入先]],$E$3:E162,商品マスタ[[#This Row],[商品名]]) = 1, 1,0)</f>
        <v>1</v>
      </c>
      <c r="G162" s="133" t="str">
        <f>TEXT(SUMIF($C$3:C162,商品マスタ[[#This Row],[仕入先]],$F$3:F162), "0000")</f>
        <v>0032</v>
      </c>
      <c r="H162" s="87" t="s">
        <v>365</v>
      </c>
      <c r="I162" s="87" t="s">
        <v>560</v>
      </c>
      <c r="J162" s="87" t="s">
        <v>376</v>
      </c>
      <c r="K162" s="87" t="s">
        <v>442</v>
      </c>
      <c r="L162" s="134">
        <v>5900</v>
      </c>
      <c r="M162" s="157">
        <v>45834</v>
      </c>
      <c r="N162" s="134"/>
      <c r="O162" s="135" t="str">
        <f>IF(COUNT(商品マスタ[[#This Row],[参考上代
（税込)]]) &gt; 0, (商品マスタ[[#This Row],[参考上代
（税込)]]-商品マスタ[[#This Row],[国内定価
（15％）]])/(商品マスタ[[#This Row],[参考上代
（税込)]]/1.08), "")</f>
        <v/>
      </c>
      <c r="P162" s="136">
        <v>0.1</v>
      </c>
      <c r="Q162" s="137">
        <f>商品マスタ[[#This Row],[仕入
単価]]*商品マスタ[[#This Row],[標準国内送料率]]</f>
        <v>590</v>
      </c>
      <c r="R162" s="134"/>
      <c r="S162" s="134">
        <f>IF(ISBLANK(商品マスタ[[#This Row],[実績
国内送料]]),商品マスタ[[#This Row],[標準国内送料]],)</f>
        <v>590</v>
      </c>
      <c r="T162" s="134">
        <f>商品マスタ[[#This Row],[仕入
単価]]+商品マスタ[[#This Row],[国内送料]]</f>
        <v>6490</v>
      </c>
      <c r="U162" s="134">
        <f>ROUNDUP(商品マスタ[[#This Row],[仕入単価+国内送料]]/0.8,-1)</f>
        <v>8120</v>
      </c>
      <c r="V162" s="134">
        <f>商品マスタ[[#This Row],[海外定価
（20％）]]-商品マスタ[[#This Row],[仕入単価+国内送料]]</f>
        <v>1630</v>
      </c>
      <c r="W162" s="87">
        <f>ROUNDUP(商品マスタ[[#This Row],[仕入単価+国内送料]]/0.85,-1)</f>
        <v>7640</v>
      </c>
      <c r="X162" s="134">
        <f>商品マスタ[[#This Row],[国内定価
（15％）]]-商品マスタ[[#This Row],[仕入単価+国内送料]]</f>
        <v>1150</v>
      </c>
      <c r="Y162" s="139">
        <v>0.08</v>
      </c>
      <c r="Z162" s="87"/>
      <c r="AA162" s="87"/>
      <c r="AB162" s="87"/>
      <c r="AC162" s="140"/>
      <c r="AD162" s="87"/>
      <c r="AE162" s="87"/>
      <c r="AF162" s="87"/>
      <c r="AG162" s="141"/>
    </row>
    <row r="163" spans="1:33" ht="18">
      <c r="A163" s="166" t="s">
        <v>1523</v>
      </c>
      <c r="B163" s="167" t="s">
        <v>1231</v>
      </c>
      <c r="C163" s="167" t="s">
        <v>997</v>
      </c>
      <c r="D163" s="143" t="str">
        <f>"PRD_SNJ_"&amp;
_xlfn.XLOOKUP(商品マスタ[[#This Row],[仕入先]],テーブル1[仕入先名],テーブル1[仕入先コード],"XXX",0,1)&amp;
"_"&amp;
商品マスタ[[#This Row],[シリアル]]&amp;
"_"&amp;
TEXT(COUNTIFS(商品マスタ!$C$3:C163,商品マスタ[[#This Row],[仕入先]],商品マスタ!$E$3:E163,商品マスタ[[#This Row],[商品名]]), "00")</f>
        <v>PRD_SNJ_GGM_0033_01</v>
      </c>
      <c r="E163" s="87" t="s">
        <v>561</v>
      </c>
      <c r="F163" s="87">
        <f>IF(COUNTIFS($C$3:C163,商品マスタ[[#This Row],[仕入先]],$E$3:E163,商品マスタ[[#This Row],[商品名]]) = 1, 1,0)</f>
        <v>1</v>
      </c>
      <c r="G163" s="133" t="str">
        <f>TEXT(SUMIF($C$3:C163,商品マスタ[[#This Row],[仕入先]],$F$3:F163), "0000")</f>
        <v>0033</v>
      </c>
      <c r="H163" s="87" t="s">
        <v>365</v>
      </c>
      <c r="I163" s="87" t="s">
        <v>562</v>
      </c>
      <c r="J163" s="87" t="s">
        <v>387</v>
      </c>
      <c r="K163" s="87" t="s">
        <v>563</v>
      </c>
      <c r="L163" s="134">
        <v>5500</v>
      </c>
      <c r="M163" s="157">
        <v>45834</v>
      </c>
      <c r="N163" s="134"/>
      <c r="O163" s="135" t="str">
        <f>IF(COUNT(商品マスタ[[#This Row],[参考上代
（税込)]]) &gt; 0, (商品マスタ[[#This Row],[参考上代
（税込)]]-商品マスタ[[#This Row],[国内定価
（15％）]])/(商品マスタ[[#This Row],[参考上代
（税込)]]/1.08), "")</f>
        <v/>
      </c>
      <c r="P163" s="136">
        <v>0.1</v>
      </c>
      <c r="Q163" s="137">
        <f>商品マスタ[[#This Row],[仕入
単価]]*商品マスタ[[#This Row],[標準国内送料率]]</f>
        <v>550</v>
      </c>
      <c r="R163" s="134"/>
      <c r="S163" s="134">
        <f>IF(ISBLANK(商品マスタ[[#This Row],[実績
国内送料]]),商品マスタ[[#This Row],[標準国内送料]],)</f>
        <v>550</v>
      </c>
      <c r="T163" s="134">
        <f>商品マスタ[[#This Row],[仕入
単価]]+商品マスタ[[#This Row],[国内送料]]</f>
        <v>6050</v>
      </c>
      <c r="U163" s="134">
        <f>ROUNDUP(商品マスタ[[#This Row],[仕入単価+国内送料]]/0.8,-1)</f>
        <v>7570</v>
      </c>
      <c r="V163" s="134">
        <f>商品マスタ[[#This Row],[海外定価
（20％）]]-商品マスタ[[#This Row],[仕入単価+国内送料]]</f>
        <v>1520</v>
      </c>
      <c r="W163" s="87">
        <f>ROUNDUP(商品マスタ[[#This Row],[仕入単価+国内送料]]/0.85,-1)</f>
        <v>7120</v>
      </c>
      <c r="X163" s="134">
        <f>商品マスタ[[#This Row],[国内定価
（15％）]]-商品マスタ[[#This Row],[仕入単価+国内送料]]</f>
        <v>1070</v>
      </c>
      <c r="Y163" s="139">
        <v>0.08</v>
      </c>
      <c r="Z163" s="87"/>
      <c r="AA163" s="87"/>
      <c r="AB163" s="87"/>
      <c r="AC163" s="140"/>
      <c r="AD163" s="87"/>
      <c r="AE163" s="87"/>
      <c r="AF163" s="87"/>
      <c r="AG163" s="141"/>
    </row>
    <row r="164" spans="1:33" ht="18">
      <c r="A164" s="166" t="s">
        <v>1523</v>
      </c>
      <c r="B164" s="167" t="s">
        <v>1231</v>
      </c>
      <c r="C164" s="167" t="s">
        <v>997</v>
      </c>
      <c r="D164" s="143" t="str">
        <f>"PRD_SNJ_"&amp;
_xlfn.XLOOKUP(商品マスタ[[#This Row],[仕入先]],テーブル1[仕入先名],テーブル1[仕入先コード],"XXX",0,1)&amp;
"_"&amp;
商品マスタ[[#This Row],[シリアル]]&amp;
"_"&amp;
TEXT(COUNTIFS(商品マスタ!$C$3:C164,商品マスタ[[#This Row],[仕入先]],商品マスタ!$E$3:E164,商品マスタ[[#This Row],[商品名]]), "00")</f>
        <v>PRD_SNJ_GGM_0034_01</v>
      </c>
      <c r="E164" s="87" t="s">
        <v>564</v>
      </c>
      <c r="F164" s="87">
        <f>IF(COUNTIFS($C$3:C164,商品マスタ[[#This Row],[仕入先]],$E$3:E164,商品マスタ[[#This Row],[商品名]]) = 1, 1,0)</f>
        <v>1</v>
      </c>
      <c r="G164" s="133" t="str">
        <f>TEXT(SUMIF($C$3:C164,商品マスタ[[#This Row],[仕入先]],$F$3:F164), "0000")</f>
        <v>0034</v>
      </c>
      <c r="H164" s="87" t="s">
        <v>365</v>
      </c>
      <c r="I164" s="87" t="s">
        <v>550</v>
      </c>
      <c r="J164" s="87" t="s">
        <v>376</v>
      </c>
      <c r="K164" s="87" t="s">
        <v>442</v>
      </c>
      <c r="L164" s="134">
        <v>6400</v>
      </c>
      <c r="M164" s="157">
        <v>45834</v>
      </c>
      <c r="N164" s="134"/>
      <c r="O164" s="135" t="str">
        <f>IF(COUNT(商品マスタ[[#This Row],[参考上代
（税込)]]) &gt; 0, (商品マスタ[[#This Row],[参考上代
（税込)]]-商品マスタ[[#This Row],[国内定価
（15％）]])/(商品マスタ[[#This Row],[参考上代
（税込)]]/1.08), "")</f>
        <v/>
      </c>
      <c r="P164" s="136">
        <v>0.1</v>
      </c>
      <c r="Q164" s="137">
        <f>商品マスタ[[#This Row],[仕入
単価]]*商品マスタ[[#This Row],[標準国内送料率]]</f>
        <v>640</v>
      </c>
      <c r="R164" s="134"/>
      <c r="S164" s="134">
        <f>IF(ISBLANK(商品マスタ[[#This Row],[実績
国内送料]]),商品マスタ[[#This Row],[標準国内送料]],)</f>
        <v>640</v>
      </c>
      <c r="T164" s="134">
        <f>商品マスタ[[#This Row],[仕入
単価]]+商品マスタ[[#This Row],[国内送料]]</f>
        <v>7040</v>
      </c>
      <c r="U164" s="134">
        <f>ROUNDUP(商品マスタ[[#This Row],[仕入単価+国内送料]]/0.8,-1)</f>
        <v>8800</v>
      </c>
      <c r="V164" s="134">
        <f>商品マスタ[[#This Row],[海外定価
（20％）]]-商品マスタ[[#This Row],[仕入単価+国内送料]]</f>
        <v>1760</v>
      </c>
      <c r="W164" s="87">
        <f>ROUNDUP(商品マスタ[[#This Row],[仕入単価+国内送料]]/0.85,-1)</f>
        <v>8290</v>
      </c>
      <c r="X164" s="134">
        <f>商品マスタ[[#This Row],[国内定価
（15％）]]-商品マスタ[[#This Row],[仕入単価+国内送料]]</f>
        <v>1250</v>
      </c>
      <c r="Y164" s="139">
        <v>0.08</v>
      </c>
      <c r="Z164" s="87"/>
      <c r="AA164" s="87"/>
      <c r="AB164" s="87"/>
      <c r="AC164" s="140"/>
      <c r="AD164" s="87"/>
      <c r="AE164" s="87"/>
      <c r="AF164" s="87"/>
      <c r="AG164" s="141"/>
    </row>
    <row r="165" spans="1:33" ht="18">
      <c r="A165" s="166" t="s">
        <v>1523</v>
      </c>
      <c r="B165" s="167" t="s">
        <v>1231</v>
      </c>
      <c r="C165" s="167" t="s">
        <v>997</v>
      </c>
      <c r="D165" s="143" t="str">
        <f>"PRD_SNJ_"&amp;
_xlfn.XLOOKUP(商品マスタ[[#This Row],[仕入先]],テーブル1[仕入先名],テーブル1[仕入先コード],"XXX",0,1)&amp;
"_"&amp;
商品マスタ[[#This Row],[シリアル]]&amp;
"_"&amp;
TEXT(COUNTIFS(商品マスタ!$C$3:C165,商品マスタ[[#This Row],[仕入先]],商品マスタ!$E$3:E165,商品マスタ[[#This Row],[商品名]]), "00")</f>
        <v>PRD_SNJ_GGM_0035_01</v>
      </c>
      <c r="E165" s="87" t="s">
        <v>565</v>
      </c>
      <c r="F165" s="87">
        <f>IF(COUNTIFS($C$3:C165,商品マスタ[[#This Row],[仕入先]],$E$3:E165,商品マスタ[[#This Row],[商品名]]) = 1, 1,0)</f>
        <v>1</v>
      </c>
      <c r="G165" s="133" t="str">
        <f>TEXT(SUMIF($C$3:C165,商品マスタ[[#This Row],[仕入先]],$F$3:F165), "0000")</f>
        <v>0035</v>
      </c>
      <c r="H165" s="87" t="s">
        <v>365</v>
      </c>
      <c r="I165" s="87" t="s">
        <v>566</v>
      </c>
      <c r="J165" s="87" t="s">
        <v>376</v>
      </c>
      <c r="K165" s="87" t="s">
        <v>442</v>
      </c>
      <c r="L165" s="134">
        <v>6100</v>
      </c>
      <c r="M165" s="157">
        <v>45834</v>
      </c>
      <c r="N165" s="134"/>
      <c r="O165" s="135" t="str">
        <f>IF(COUNT(商品マスタ[[#This Row],[参考上代
（税込)]]) &gt; 0, (商品マスタ[[#This Row],[参考上代
（税込)]]-商品マスタ[[#This Row],[国内定価
（15％）]])/(商品マスタ[[#This Row],[参考上代
（税込)]]/1.08), "")</f>
        <v/>
      </c>
      <c r="P165" s="136">
        <v>0.1</v>
      </c>
      <c r="Q165" s="137">
        <f>商品マスタ[[#This Row],[仕入
単価]]*商品マスタ[[#This Row],[標準国内送料率]]</f>
        <v>610</v>
      </c>
      <c r="R165" s="134"/>
      <c r="S165" s="134">
        <f>IF(ISBLANK(商品マスタ[[#This Row],[実績
国内送料]]),商品マスタ[[#This Row],[標準国内送料]],)</f>
        <v>610</v>
      </c>
      <c r="T165" s="134">
        <f>商品マスタ[[#This Row],[仕入
単価]]+商品マスタ[[#This Row],[国内送料]]</f>
        <v>6710</v>
      </c>
      <c r="U165" s="134">
        <f>ROUNDUP(商品マスタ[[#This Row],[仕入単価+国内送料]]/0.8,-1)</f>
        <v>8390</v>
      </c>
      <c r="V165" s="134">
        <f>商品マスタ[[#This Row],[海外定価
（20％）]]-商品マスタ[[#This Row],[仕入単価+国内送料]]</f>
        <v>1680</v>
      </c>
      <c r="W165" s="87">
        <f>ROUNDUP(商品マスタ[[#This Row],[仕入単価+国内送料]]/0.85,-1)</f>
        <v>7900</v>
      </c>
      <c r="X165" s="134">
        <f>商品マスタ[[#This Row],[国内定価
（15％）]]-商品マスタ[[#This Row],[仕入単価+国内送料]]</f>
        <v>1190</v>
      </c>
      <c r="Y165" s="139">
        <v>0.08</v>
      </c>
      <c r="Z165" s="87"/>
      <c r="AA165" s="87"/>
      <c r="AB165" s="87"/>
      <c r="AC165" s="140"/>
      <c r="AD165" s="87"/>
      <c r="AE165" s="87"/>
      <c r="AF165" s="87"/>
      <c r="AG165" s="141"/>
    </row>
    <row r="166" spans="1:33" ht="18">
      <c r="A166" s="166" t="s">
        <v>1523</v>
      </c>
      <c r="B166" s="167" t="s">
        <v>1231</v>
      </c>
      <c r="C166" s="167" t="s">
        <v>997</v>
      </c>
      <c r="D166" s="143" t="str">
        <f>"PRD_SNJ_"&amp;
_xlfn.XLOOKUP(商品マスタ[[#This Row],[仕入先]],テーブル1[仕入先名],テーブル1[仕入先コード],"XXX",0,1)&amp;
"_"&amp;
商品マスタ[[#This Row],[シリアル]]&amp;
"_"&amp;
TEXT(COUNTIFS(商品マスタ!$C$3:C166,商品マスタ[[#This Row],[仕入先]],商品マスタ!$E$3:E166,商品マスタ[[#This Row],[商品名]]), "00")</f>
        <v>PRD_SNJ_GGM_0036_01</v>
      </c>
      <c r="E166" s="87" t="s">
        <v>567</v>
      </c>
      <c r="F166" s="87">
        <f>IF(COUNTIFS($C$3:C166,商品マスタ[[#This Row],[仕入先]],$E$3:E166,商品マスタ[[#This Row],[商品名]]) = 1, 1,0)</f>
        <v>1</v>
      </c>
      <c r="G166" s="133" t="str">
        <f>TEXT(SUMIF($C$3:C166,商品マスタ[[#This Row],[仕入先]],$F$3:F166), "0000")</f>
        <v>0036</v>
      </c>
      <c r="H166" s="87" t="s">
        <v>365</v>
      </c>
      <c r="I166" s="87" t="s">
        <v>568</v>
      </c>
      <c r="J166" s="87" t="s">
        <v>376</v>
      </c>
      <c r="K166" s="87" t="s">
        <v>442</v>
      </c>
      <c r="L166" s="134">
        <v>6200</v>
      </c>
      <c r="M166" s="157">
        <v>45834</v>
      </c>
      <c r="N166" s="134"/>
      <c r="O166" s="135" t="str">
        <f>IF(COUNT(商品マスタ[[#This Row],[参考上代
（税込)]]) &gt; 0, (商品マスタ[[#This Row],[参考上代
（税込)]]-商品マスタ[[#This Row],[国内定価
（15％）]])/(商品マスタ[[#This Row],[参考上代
（税込)]]/1.08), "")</f>
        <v/>
      </c>
      <c r="P166" s="136">
        <v>0.1</v>
      </c>
      <c r="Q166" s="137">
        <f>商品マスタ[[#This Row],[仕入
単価]]*商品マスタ[[#This Row],[標準国内送料率]]</f>
        <v>620</v>
      </c>
      <c r="R166" s="134"/>
      <c r="S166" s="134">
        <f>IF(ISBLANK(商品マスタ[[#This Row],[実績
国内送料]]),商品マスタ[[#This Row],[標準国内送料]],)</f>
        <v>620</v>
      </c>
      <c r="T166" s="134">
        <f>商品マスタ[[#This Row],[仕入
単価]]+商品マスタ[[#This Row],[国内送料]]</f>
        <v>6820</v>
      </c>
      <c r="U166" s="134">
        <f>ROUNDUP(商品マスタ[[#This Row],[仕入単価+国内送料]]/0.8,-1)</f>
        <v>8530</v>
      </c>
      <c r="V166" s="134">
        <f>商品マスタ[[#This Row],[海外定価
（20％）]]-商品マスタ[[#This Row],[仕入単価+国内送料]]</f>
        <v>1710</v>
      </c>
      <c r="W166" s="87">
        <f>ROUNDUP(商品マスタ[[#This Row],[仕入単価+国内送料]]/0.85,-1)</f>
        <v>8030</v>
      </c>
      <c r="X166" s="134">
        <f>商品マスタ[[#This Row],[国内定価
（15％）]]-商品マスタ[[#This Row],[仕入単価+国内送料]]</f>
        <v>1210</v>
      </c>
      <c r="Y166" s="139">
        <v>0.08</v>
      </c>
      <c r="Z166" s="87"/>
      <c r="AA166" s="87"/>
      <c r="AB166" s="87"/>
      <c r="AC166" s="140"/>
      <c r="AD166" s="87"/>
      <c r="AE166" s="87"/>
      <c r="AF166" s="87"/>
      <c r="AG166" s="141"/>
    </row>
    <row r="167" spans="1:33" ht="18">
      <c r="A167" s="166" t="s">
        <v>1523</v>
      </c>
      <c r="B167" s="167" t="s">
        <v>1231</v>
      </c>
      <c r="C167" s="167" t="s">
        <v>997</v>
      </c>
      <c r="D167" s="143" t="str">
        <f>"PRD_SNJ_"&amp;
_xlfn.XLOOKUP(商品マスタ[[#This Row],[仕入先]],テーブル1[仕入先名],テーブル1[仕入先コード],"XXX",0,1)&amp;
"_"&amp;
商品マスタ[[#This Row],[シリアル]]&amp;
"_"&amp;
TEXT(COUNTIFS(商品マスタ!$C$3:C167,商品マスタ[[#This Row],[仕入先]],商品マスタ!$E$3:E167,商品マスタ[[#This Row],[商品名]]), "00")</f>
        <v>PRD_SNJ_GGM_0037_01</v>
      </c>
      <c r="E167" s="87" t="s">
        <v>569</v>
      </c>
      <c r="F167" s="87">
        <f>IF(COUNTIFS($C$3:C167,商品マスタ[[#This Row],[仕入先]],$E$3:E167,商品マスタ[[#This Row],[商品名]]) = 1, 1,0)</f>
        <v>1</v>
      </c>
      <c r="G167" s="133" t="str">
        <f>TEXT(SUMIF($C$3:C167,商品マスタ[[#This Row],[仕入先]],$F$3:F167), "0000")</f>
        <v>0037</v>
      </c>
      <c r="H167" s="87" t="s">
        <v>365</v>
      </c>
      <c r="I167" s="87" t="s">
        <v>548</v>
      </c>
      <c r="J167" s="87" t="s">
        <v>376</v>
      </c>
      <c r="K167" s="87" t="s">
        <v>442</v>
      </c>
      <c r="L167" s="134">
        <v>6200</v>
      </c>
      <c r="M167" s="157">
        <v>45834</v>
      </c>
      <c r="N167" s="134"/>
      <c r="O167" s="135" t="str">
        <f>IF(COUNT(商品マスタ[[#This Row],[参考上代
（税込)]]) &gt; 0, (商品マスタ[[#This Row],[参考上代
（税込)]]-商品マスタ[[#This Row],[国内定価
（15％）]])/(商品マスタ[[#This Row],[参考上代
（税込)]]/1.08), "")</f>
        <v/>
      </c>
      <c r="P167" s="136">
        <v>0.1</v>
      </c>
      <c r="Q167" s="137">
        <f>商品マスタ[[#This Row],[仕入
単価]]*商品マスタ[[#This Row],[標準国内送料率]]</f>
        <v>620</v>
      </c>
      <c r="R167" s="134"/>
      <c r="S167" s="134">
        <f>IF(ISBLANK(商品マスタ[[#This Row],[実績
国内送料]]),商品マスタ[[#This Row],[標準国内送料]],)</f>
        <v>620</v>
      </c>
      <c r="T167" s="134">
        <f>商品マスタ[[#This Row],[仕入
単価]]+商品マスタ[[#This Row],[国内送料]]</f>
        <v>6820</v>
      </c>
      <c r="U167" s="134">
        <f>ROUNDUP(商品マスタ[[#This Row],[仕入単価+国内送料]]/0.8,-1)</f>
        <v>8530</v>
      </c>
      <c r="V167" s="134">
        <f>商品マスタ[[#This Row],[海外定価
（20％）]]-商品マスタ[[#This Row],[仕入単価+国内送料]]</f>
        <v>1710</v>
      </c>
      <c r="W167" s="87">
        <f>ROUNDUP(商品マスタ[[#This Row],[仕入単価+国内送料]]/0.85,-1)</f>
        <v>8030</v>
      </c>
      <c r="X167" s="134">
        <f>商品マスタ[[#This Row],[国内定価
（15％）]]-商品マスタ[[#This Row],[仕入単価+国内送料]]</f>
        <v>1210</v>
      </c>
      <c r="Y167" s="139">
        <v>0.08</v>
      </c>
      <c r="Z167" s="87"/>
      <c r="AA167" s="87"/>
      <c r="AB167" s="87"/>
      <c r="AC167" s="140"/>
      <c r="AD167" s="87"/>
      <c r="AE167" s="87"/>
      <c r="AF167" s="87"/>
      <c r="AG167" s="141"/>
    </row>
    <row r="168" spans="1:33" ht="18">
      <c r="A168" s="166" t="s">
        <v>1523</v>
      </c>
      <c r="B168" s="167" t="s">
        <v>1231</v>
      </c>
      <c r="C168" s="167" t="s">
        <v>997</v>
      </c>
      <c r="D168" s="143" t="str">
        <f>"PRD_SNJ_"&amp;
_xlfn.XLOOKUP(商品マスタ[[#This Row],[仕入先]],テーブル1[仕入先名],テーブル1[仕入先コード],"XXX",0,1)&amp;
"_"&amp;
商品マスタ[[#This Row],[シリアル]]&amp;
"_"&amp;
TEXT(COUNTIFS(商品マスタ!$C$3:C168,商品マスタ[[#This Row],[仕入先]],商品マスタ!$E$3:E168,商品マスタ[[#This Row],[商品名]]), "00")</f>
        <v>PRD_SNJ_GGM_0038_01</v>
      </c>
      <c r="E168" s="87" t="s">
        <v>570</v>
      </c>
      <c r="F168" s="87">
        <f>IF(COUNTIFS($C$3:C168,商品マスタ[[#This Row],[仕入先]],$E$3:E168,商品マスタ[[#This Row],[商品名]]) = 1, 1,0)</f>
        <v>1</v>
      </c>
      <c r="G168" s="133" t="str">
        <f>TEXT(SUMIF($C$3:C168,商品マスタ[[#This Row],[仕入先]],$F$3:F168), "0000")</f>
        <v>0038</v>
      </c>
      <c r="H168" s="87" t="s">
        <v>365</v>
      </c>
      <c r="I168" s="87" t="s">
        <v>571</v>
      </c>
      <c r="J168" s="87" t="s">
        <v>376</v>
      </c>
      <c r="K168" s="87" t="s">
        <v>442</v>
      </c>
      <c r="L168" s="134">
        <v>4600</v>
      </c>
      <c r="M168" s="157">
        <v>45834</v>
      </c>
      <c r="N168" s="134"/>
      <c r="O168" s="135" t="str">
        <f>IF(COUNT(商品マスタ[[#This Row],[参考上代
（税込)]]) &gt; 0, (商品マスタ[[#This Row],[参考上代
（税込)]]-商品マスタ[[#This Row],[国内定価
（15％）]])/(商品マスタ[[#This Row],[参考上代
（税込)]]/1.08), "")</f>
        <v/>
      </c>
      <c r="P168" s="136">
        <v>0.1</v>
      </c>
      <c r="Q168" s="137">
        <f>商品マスタ[[#This Row],[仕入
単価]]*商品マスタ[[#This Row],[標準国内送料率]]</f>
        <v>460</v>
      </c>
      <c r="R168" s="134"/>
      <c r="S168" s="134">
        <f>IF(ISBLANK(商品マスタ[[#This Row],[実績
国内送料]]),商品マスタ[[#This Row],[標準国内送料]],)</f>
        <v>460</v>
      </c>
      <c r="T168" s="134">
        <f>商品マスタ[[#This Row],[仕入
単価]]+商品マスタ[[#This Row],[国内送料]]</f>
        <v>5060</v>
      </c>
      <c r="U168" s="134">
        <f>ROUNDUP(商品マスタ[[#This Row],[仕入単価+国内送料]]/0.8,-1)</f>
        <v>6330</v>
      </c>
      <c r="V168" s="134">
        <f>商品マスタ[[#This Row],[海外定価
（20％）]]-商品マスタ[[#This Row],[仕入単価+国内送料]]</f>
        <v>1270</v>
      </c>
      <c r="W168" s="87">
        <f>ROUNDUP(商品マスタ[[#This Row],[仕入単価+国内送料]]/0.85,-1)</f>
        <v>5960</v>
      </c>
      <c r="X168" s="134">
        <f>商品マスタ[[#This Row],[国内定価
（15％）]]-商品マスタ[[#This Row],[仕入単価+国内送料]]</f>
        <v>900</v>
      </c>
      <c r="Y168" s="139">
        <v>0.08</v>
      </c>
      <c r="Z168" s="87"/>
      <c r="AA168" s="87"/>
      <c r="AB168" s="87"/>
      <c r="AC168" s="140"/>
      <c r="AD168" s="87"/>
      <c r="AE168" s="87"/>
      <c r="AF168" s="87"/>
      <c r="AG168" s="141"/>
    </row>
    <row r="169" spans="1:33" ht="18">
      <c r="A169" s="166" t="s">
        <v>1523</v>
      </c>
      <c r="B169" s="167" t="s">
        <v>1231</v>
      </c>
      <c r="C169" s="167" t="s">
        <v>997</v>
      </c>
      <c r="D169" s="143" t="str">
        <f>"PRD_SNJ_"&amp;
_xlfn.XLOOKUP(商品マスタ[[#This Row],[仕入先]],テーブル1[仕入先名],テーブル1[仕入先コード],"XXX",0,1)&amp;
"_"&amp;
商品マスタ[[#This Row],[シリアル]]&amp;
"_"&amp;
TEXT(COUNTIFS(商品マスタ!$C$3:C169,商品マスタ[[#This Row],[仕入先]],商品マスタ!$E$3:E169,商品マスタ[[#This Row],[商品名]]), "00")</f>
        <v>PRD_SNJ_GGM_0039_01</v>
      </c>
      <c r="E169" s="87" t="s">
        <v>572</v>
      </c>
      <c r="F169" s="87">
        <f>IF(COUNTIFS($C$3:C169,商品マスタ[[#This Row],[仕入先]],$E$3:E169,商品マスタ[[#This Row],[商品名]]) = 1, 1,0)</f>
        <v>1</v>
      </c>
      <c r="G169" s="133" t="str">
        <f>TEXT(SUMIF($C$3:C169,商品マスタ[[#This Row],[仕入先]],$F$3:F169), "0000")</f>
        <v>0039</v>
      </c>
      <c r="H169" s="87" t="s">
        <v>365</v>
      </c>
      <c r="I169" s="87" t="s">
        <v>573</v>
      </c>
      <c r="J169" s="87" t="s">
        <v>387</v>
      </c>
      <c r="K169" s="87" t="s">
        <v>574</v>
      </c>
      <c r="L169" s="134">
        <v>4600</v>
      </c>
      <c r="M169" s="157">
        <v>45834</v>
      </c>
      <c r="N169" s="134"/>
      <c r="O169" s="135" t="str">
        <f>IF(COUNT(商品マスタ[[#This Row],[参考上代
（税込)]]) &gt; 0, (商品マスタ[[#This Row],[参考上代
（税込)]]-商品マスタ[[#This Row],[国内定価
（15％）]])/(商品マスタ[[#This Row],[参考上代
（税込)]]/1.08), "")</f>
        <v/>
      </c>
      <c r="P169" s="136">
        <v>0.1</v>
      </c>
      <c r="Q169" s="137">
        <f>商品マスタ[[#This Row],[仕入
単価]]*商品マスタ[[#This Row],[標準国内送料率]]</f>
        <v>460</v>
      </c>
      <c r="R169" s="134"/>
      <c r="S169" s="134">
        <f>IF(ISBLANK(商品マスタ[[#This Row],[実績
国内送料]]),商品マスタ[[#This Row],[標準国内送料]],)</f>
        <v>460</v>
      </c>
      <c r="T169" s="134">
        <f>商品マスタ[[#This Row],[仕入
単価]]+商品マスタ[[#This Row],[国内送料]]</f>
        <v>5060</v>
      </c>
      <c r="U169" s="134">
        <f>ROUNDUP(商品マスタ[[#This Row],[仕入単価+国内送料]]/0.8,-1)</f>
        <v>6330</v>
      </c>
      <c r="V169" s="134">
        <f>商品マスタ[[#This Row],[海外定価
（20％）]]-商品マスタ[[#This Row],[仕入単価+国内送料]]</f>
        <v>1270</v>
      </c>
      <c r="W169" s="87">
        <f>ROUNDUP(商品マスタ[[#This Row],[仕入単価+国内送料]]/0.85,-1)</f>
        <v>5960</v>
      </c>
      <c r="X169" s="134">
        <f>商品マスタ[[#This Row],[国内定価
（15％）]]-商品マスタ[[#This Row],[仕入単価+国内送料]]</f>
        <v>900</v>
      </c>
      <c r="Y169" s="139">
        <v>0.08</v>
      </c>
      <c r="Z169" s="87"/>
      <c r="AA169" s="87"/>
      <c r="AB169" s="87"/>
      <c r="AC169" s="140"/>
      <c r="AD169" s="87"/>
      <c r="AE169" s="87"/>
      <c r="AF169" s="87"/>
      <c r="AG169" s="141"/>
    </row>
    <row r="170" spans="1:33" ht="18">
      <c r="A170" s="166" t="s">
        <v>1523</v>
      </c>
      <c r="B170" s="167" t="s">
        <v>1231</v>
      </c>
      <c r="C170" s="167" t="s">
        <v>997</v>
      </c>
      <c r="D170" s="143" t="str">
        <f>"PRD_SNJ_"&amp;
_xlfn.XLOOKUP(商品マスタ[[#This Row],[仕入先]],テーブル1[仕入先名],テーブル1[仕入先コード],"XXX",0,1)&amp;
"_"&amp;
商品マスタ[[#This Row],[シリアル]]&amp;
"_"&amp;
TEXT(COUNTIFS(商品マスタ!$C$3:C170,商品マスタ[[#This Row],[仕入先]],商品マスタ!$E$3:E170,商品マスタ[[#This Row],[商品名]]), "00")</f>
        <v>PRD_SNJ_GGM_0040_01</v>
      </c>
      <c r="E170" s="87" t="s">
        <v>575</v>
      </c>
      <c r="F170" s="87">
        <f>IF(COUNTIFS($C$3:C170,商品マスタ[[#This Row],[仕入先]],$E$3:E170,商品マスタ[[#This Row],[商品名]]) = 1, 1,0)</f>
        <v>1</v>
      </c>
      <c r="G170" s="133" t="str">
        <f>TEXT(SUMIF($C$3:C170,商品マスタ[[#This Row],[仕入先]],$F$3:F170), "0000")</f>
        <v>0040</v>
      </c>
      <c r="H170" s="87" t="s">
        <v>365</v>
      </c>
      <c r="I170" s="87" t="s">
        <v>576</v>
      </c>
      <c r="J170" s="87" t="s">
        <v>376</v>
      </c>
      <c r="K170" s="87" t="s">
        <v>442</v>
      </c>
      <c r="L170" s="134">
        <v>5900</v>
      </c>
      <c r="M170" s="157">
        <v>45834</v>
      </c>
      <c r="N170" s="134"/>
      <c r="O170" s="135" t="str">
        <f>IF(COUNT(商品マスタ[[#This Row],[参考上代
（税込)]]) &gt; 0, (商品マスタ[[#This Row],[参考上代
（税込)]]-商品マスタ[[#This Row],[国内定価
（15％）]])/(商品マスタ[[#This Row],[参考上代
（税込)]]/1.08), "")</f>
        <v/>
      </c>
      <c r="P170" s="136">
        <v>0.1</v>
      </c>
      <c r="Q170" s="137">
        <f>商品マスタ[[#This Row],[仕入
単価]]*商品マスタ[[#This Row],[標準国内送料率]]</f>
        <v>590</v>
      </c>
      <c r="R170" s="134"/>
      <c r="S170" s="134">
        <f>IF(ISBLANK(商品マスタ[[#This Row],[実績
国内送料]]),商品マスタ[[#This Row],[標準国内送料]],)</f>
        <v>590</v>
      </c>
      <c r="T170" s="134">
        <f>商品マスタ[[#This Row],[仕入
単価]]+商品マスタ[[#This Row],[国内送料]]</f>
        <v>6490</v>
      </c>
      <c r="U170" s="134">
        <f>ROUNDUP(商品マスタ[[#This Row],[仕入単価+国内送料]]/0.8,-1)</f>
        <v>8120</v>
      </c>
      <c r="V170" s="134">
        <f>商品マスタ[[#This Row],[海外定価
（20％）]]-商品マスタ[[#This Row],[仕入単価+国内送料]]</f>
        <v>1630</v>
      </c>
      <c r="W170" s="87">
        <f>ROUNDUP(商品マスタ[[#This Row],[仕入単価+国内送料]]/0.85,-1)</f>
        <v>7640</v>
      </c>
      <c r="X170" s="134">
        <f>商品マスタ[[#This Row],[国内定価
（15％）]]-商品マスタ[[#This Row],[仕入単価+国内送料]]</f>
        <v>1150</v>
      </c>
      <c r="Y170" s="139">
        <v>0.08</v>
      </c>
      <c r="Z170" s="87"/>
      <c r="AA170" s="87"/>
      <c r="AB170" s="87"/>
      <c r="AC170" s="140"/>
      <c r="AD170" s="87"/>
      <c r="AE170" s="87"/>
      <c r="AF170" s="87"/>
      <c r="AG170" s="141"/>
    </row>
    <row r="171" spans="1:33" ht="18">
      <c r="A171" s="166" t="s">
        <v>1523</v>
      </c>
      <c r="B171" s="167" t="s">
        <v>1231</v>
      </c>
      <c r="C171" s="167" t="s">
        <v>997</v>
      </c>
      <c r="D171" s="143" t="str">
        <f>"PRD_SNJ_"&amp;
_xlfn.XLOOKUP(商品マスタ[[#This Row],[仕入先]],テーブル1[仕入先名],テーブル1[仕入先コード],"XXX",0,1)&amp;
"_"&amp;
商品マスタ[[#This Row],[シリアル]]&amp;
"_"&amp;
TEXT(COUNTIFS(商品マスタ!$C$3:C171,商品マスタ[[#This Row],[仕入先]],商品マスタ!$E$3:E171,商品マスタ[[#This Row],[商品名]]), "00")</f>
        <v>PRD_SNJ_GGM_0041_01</v>
      </c>
      <c r="E171" s="87" t="s">
        <v>577</v>
      </c>
      <c r="F171" s="87">
        <f>IF(COUNTIFS($C$3:C171,商品マスタ[[#This Row],[仕入先]],$E$3:E171,商品マスタ[[#This Row],[商品名]]) = 1, 1,0)</f>
        <v>1</v>
      </c>
      <c r="G171" s="133" t="str">
        <f>TEXT(SUMIF($C$3:C171,商品マスタ[[#This Row],[仕入先]],$F$3:F171), "0000")</f>
        <v>0041</v>
      </c>
      <c r="H171" s="87" t="s">
        <v>365</v>
      </c>
      <c r="I171" s="87" t="s">
        <v>578</v>
      </c>
      <c r="J171" s="87" t="s">
        <v>376</v>
      </c>
      <c r="K171" s="87" t="s">
        <v>442</v>
      </c>
      <c r="L171" s="134">
        <v>4500</v>
      </c>
      <c r="M171" s="157">
        <v>45834</v>
      </c>
      <c r="N171" s="134"/>
      <c r="O171" s="135" t="str">
        <f>IF(COUNT(商品マスタ[[#This Row],[参考上代
（税込)]]) &gt; 0, (商品マスタ[[#This Row],[参考上代
（税込)]]-商品マスタ[[#This Row],[国内定価
（15％）]])/(商品マスタ[[#This Row],[参考上代
（税込)]]/1.08), "")</f>
        <v/>
      </c>
      <c r="P171" s="136">
        <v>0.1</v>
      </c>
      <c r="Q171" s="137">
        <f>商品マスタ[[#This Row],[仕入
単価]]*商品マスタ[[#This Row],[標準国内送料率]]</f>
        <v>450</v>
      </c>
      <c r="R171" s="134"/>
      <c r="S171" s="134">
        <f>IF(ISBLANK(商品マスタ[[#This Row],[実績
国内送料]]),商品マスタ[[#This Row],[標準国内送料]],)</f>
        <v>450</v>
      </c>
      <c r="T171" s="134">
        <f>商品マスタ[[#This Row],[仕入
単価]]+商品マスタ[[#This Row],[国内送料]]</f>
        <v>4950</v>
      </c>
      <c r="U171" s="134">
        <f>ROUNDUP(商品マスタ[[#This Row],[仕入単価+国内送料]]/0.8,-1)</f>
        <v>6190</v>
      </c>
      <c r="V171" s="134">
        <f>商品マスタ[[#This Row],[海外定価
（20％）]]-商品マスタ[[#This Row],[仕入単価+国内送料]]</f>
        <v>1240</v>
      </c>
      <c r="W171" s="87">
        <f>ROUNDUP(商品マスタ[[#This Row],[仕入単価+国内送料]]/0.85,-1)</f>
        <v>5830</v>
      </c>
      <c r="X171" s="134">
        <f>商品マスタ[[#This Row],[国内定価
（15％）]]-商品マスタ[[#This Row],[仕入単価+国内送料]]</f>
        <v>880</v>
      </c>
      <c r="Y171" s="139">
        <v>0.08</v>
      </c>
      <c r="Z171" s="87"/>
      <c r="AA171" s="87"/>
      <c r="AB171" s="87"/>
      <c r="AC171" s="140"/>
      <c r="AD171" s="87"/>
      <c r="AE171" s="87"/>
      <c r="AF171" s="87"/>
      <c r="AG171" s="141"/>
    </row>
    <row r="172" spans="1:33" ht="18">
      <c r="A172" s="166" t="s">
        <v>1523</v>
      </c>
      <c r="B172" s="167" t="s">
        <v>1231</v>
      </c>
      <c r="C172" s="167" t="s">
        <v>997</v>
      </c>
      <c r="D172" s="143" t="str">
        <f>"PRD_SNJ_"&amp;
_xlfn.XLOOKUP(商品マスタ[[#This Row],[仕入先]],テーブル1[仕入先名],テーブル1[仕入先コード],"XXX",0,1)&amp;
"_"&amp;
商品マスタ[[#This Row],[シリアル]]&amp;
"_"&amp;
TEXT(COUNTIFS(商品マスタ!$C$3:C172,商品マスタ[[#This Row],[仕入先]],商品マスタ!$E$3:E172,商品マスタ[[#This Row],[商品名]]), "00")</f>
        <v>PRD_SNJ_GGM_0042_01</v>
      </c>
      <c r="E172" s="87" t="s">
        <v>579</v>
      </c>
      <c r="F172" s="87">
        <f>IF(COUNTIFS($C$3:C172,商品マスタ[[#This Row],[仕入先]],$E$3:E172,商品マスタ[[#This Row],[商品名]]) = 1, 1,0)</f>
        <v>1</v>
      </c>
      <c r="G172" s="133" t="str">
        <f>TEXT(SUMIF($C$3:C172,商品マスタ[[#This Row],[仕入先]],$F$3:F172), "0000")</f>
        <v>0042</v>
      </c>
      <c r="H172" s="87" t="s">
        <v>365</v>
      </c>
      <c r="I172" s="87" t="s">
        <v>580</v>
      </c>
      <c r="J172" s="87" t="s">
        <v>376</v>
      </c>
      <c r="K172" s="87" t="s">
        <v>442</v>
      </c>
      <c r="L172" s="134">
        <v>5800</v>
      </c>
      <c r="M172" s="157">
        <v>45834</v>
      </c>
      <c r="N172" s="134"/>
      <c r="O172" s="135" t="str">
        <f>IF(COUNT(商品マスタ[[#This Row],[参考上代
（税込)]]) &gt; 0, (商品マスタ[[#This Row],[参考上代
（税込)]]-商品マスタ[[#This Row],[国内定価
（15％）]])/(商品マスタ[[#This Row],[参考上代
（税込)]]/1.08), "")</f>
        <v/>
      </c>
      <c r="P172" s="136">
        <v>0.1</v>
      </c>
      <c r="Q172" s="137">
        <f>商品マスタ[[#This Row],[仕入
単価]]*商品マスタ[[#This Row],[標準国内送料率]]</f>
        <v>580</v>
      </c>
      <c r="R172" s="134"/>
      <c r="S172" s="134">
        <f>IF(ISBLANK(商品マスタ[[#This Row],[実績
国内送料]]),商品マスタ[[#This Row],[標準国内送料]],)</f>
        <v>580</v>
      </c>
      <c r="T172" s="134">
        <f>商品マスタ[[#This Row],[仕入
単価]]+商品マスタ[[#This Row],[国内送料]]</f>
        <v>6380</v>
      </c>
      <c r="U172" s="134">
        <f>ROUNDUP(商品マスタ[[#This Row],[仕入単価+国内送料]]/0.8,-1)</f>
        <v>7980</v>
      </c>
      <c r="V172" s="134">
        <f>商品マスタ[[#This Row],[海外定価
（20％）]]-商品マスタ[[#This Row],[仕入単価+国内送料]]</f>
        <v>1600</v>
      </c>
      <c r="W172" s="87">
        <f>ROUNDUP(商品マスタ[[#This Row],[仕入単価+国内送料]]/0.85,-1)</f>
        <v>7510</v>
      </c>
      <c r="X172" s="134">
        <f>商品マスタ[[#This Row],[国内定価
（15％）]]-商品マスタ[[#This Row],[仕入単価+国内送料]]</f>
        <v>1130</v>
      </c>
      <c r="Y172" s="139">
        <v>0.08</v>
      </c>
      <c r="Z172" s="87"/>
      <c r="AA172" s="87"/>
      <c r="AB172" s="87"/>
      <c r="AC172" s="140"/>
      <c r="AD172" s="87"/>
      <c r="AE172" s="87"/>
      <c r="AF172" s="87"/>
      <c r="AG172" s="141"/>
    </row>
    <row r="173" spans="1:33" ht="18">
      <c r="A173" s="166" t="s">
        <v>1523</v>
      </c>
      <c r="B173" s="167" t="s">
        <v>1231</v>
      </c>
      <c r="C173" s="167" t="s">
        <v>997</v>
      </c>
      <c r="D173" s="143" t="str">
        <f>"PRD_SNJ_"&amp;
_xlfn.XLOOKUP(商品マスタ[[#This Row],[仕入先]],テーブル1[仕入先名],テーブル1[仕入先コード],"XXX",0,1)&amp;
"_"&amp;
商品マスタ[[#This Row],[シリアル]]&amp;
"_"&amp;
TEXT(COUNTIFS(商品マスタ!$C$3:C173,商品マスタ[[#This Row],[仕入先]],商品マスタ!$E$3:E173,商品マスタ[[#This Row],[商品名]]), "00")</f>
        <v>PRD_SNJ_GGM_0043_01</v>
      </c>
      <c r="E173" s="87" t="s">
        <v>581</v>
      </c>
      <c r="F173" s="87">
        <f>IF(COUNTIFS($C$3:C173,商品マスタ[[#This Row],[仕入先]],$E$3:E173,商品マスタ[[#This Row],[商品名]]) = 1, 1,0)</f>
        <v>1</v>
      </c>
      <c r="G173" s="133" t="str">
        <f>TEXT(SUMIF($C$3:C173,商品マスタ[[#This Row],[仕入先]],$F$3:F173), "0000")</f>
        <v>0043</v>
      </c>
      <c r="H173" s="87" t="s">
        <v>365</v>
      </c>
      <c r="I173" s="87" t="s">
        <v>582</v>
      </c>
      <c r="J173" s="87" t="s">
        <v>387</v>
      </c>
      <c r="K173" s="87" t="s">
        <v>583</v>
      </c>
      <c r="L173" s="134">
        <v>4300</v>
      </c>
      <c r="M173" s="157">
        <v>45834</v>
      </c>
      <c r="N173" s="134"/>
      <c r="O173" s="135" t="str">
        <f>IF(COUNT(商品マスタ[[#This Row],[参考上代
（税込)]]) &gt; 0, (商品マスタ[[#This Row],[参考上代
（税込)]]-商品マスタ[[#This Row],[国内定価
（15％）]])/(商品マスタ[[#This Row],[参考上代
（税込)]]/1.08), "")</f>
        <v/>
      </c>
      <c r="P173" s="136">
        <v>0.1</v>
      </c>
      <c r="Q173" s="137">
        <f>商品マスタ[[#This Row],[仕入
単価]]*商品マスタ[[#This Row],[標準国内送料率]]</f>
        <v>430</v>
      </c>
      <c r="R173" s="134"/>
      <c r="S173" s="134">
        <f>IF(ISBLANK(商品マスタ[[#This Row],[実績
国内送料]]),商品マスタ[[#This Row],[標準国内送料]],)</f>
        <v>430</v>
      </c>
      <c r="T173" s="134">
        <f>商品マスタ[[#This Row],[仕入
単価]]+商品マスタ[[#This Row],[国内送料]]</f>
        <v>4730</v>
      </c>
      <c r="U173" s="134">
        <f>ROUNDUP(商品マスタ[[#This Row],[仕入単価+国内送料]]/0.8,-1)</f>
        <v>5920</v>
      </c>
      <c r="V173" s="134">
        <f>商品マスタ[[#This Row],[海外定価
（20％）]]-商品マスタ[[#This Row],[仕入単価+国内送料]]</f>
        <v>1190</v>
      </c>
      <c r="W173" s="87">
        <f>ROUNDUP(商品マスタ[[#This Row],[仕入単価+国内送料]]/0.85,-1)</f>
        <v>5570</v>
      </c>
      <c r="X173" s="134">
        <f>商品マスタ[[#This Row],[国内定価
（15％）]]-商品マスタ[[#This Row],[仕入単価+国内送料]]</f>
        <v>840</v>
      </c>
      <c r="Y173" s="139">
        <v>0.08</v>
      </c>
      <c r="Z173" s="87"/>
      <c r="AA173" s="87"/>
      <c r="AB173" s="87"/>
      <c r="AC173" s="140"/>
      <c r="AD173" s="87"/>
      <c r="AE173" s="87"/>
      <c r="AF173" s="87"/>
      <c r="AG173" s="141"/>
    </row>
    <row r="174" spans="1:33" ht="18">
      <c r="A174" s="166" t="s">
        <v>1523</v>
      </c>
      <c r="B174" s="167" t="s">
        <v>1231</v>
      </c>
      <c r="C174" s="167" t="s">
        <v>997</v>
      </c>
      <c r="D174" s="143" t="str">
        <f>"PRD_SNJ_"&amp;
_xlfn.XLOOKUP(商品マスタ[[#This Row],[仕入先]],テーブル1[仕入先名],テーブル1[仕入先コード],"XXX",0,1)&amp;
"_"&amp;
商品マスタ[[#This Row],[シリアル]]&amp;
"_"&amp;
TEXT(COUNTIFS(商品マスタ!$C$3:C174,商品マスタ[[#This Row],[仕入先]],商品マスタ!$E$3:E174,商品マスタ[[#This Row],[商品名]]), "00")</f>
        <v>PRD_SNJ_GGM_0044_01</v>
      </c>
      <c r="E174" s="87" t="s">
        <v>584</v>
      </c>
      <c r="F174" s="87">
        <f>IF(COUNTIFS($C$3:C174,商品マスタ[[#This Row],[仕入先]],$E$3:E174,商品マスタ[[#This Row],[商品名]]) = 1, 1,0)</f>
        <v>1</v>
      </c>
      <c r="G174" s="133" t="str">
        <f>TEXT(SUMIF($C$3:C174,商品マスタ[[#This Row],[仕入先]],$F$3:F174), "0000")</f>
        <v>0044</v>
      </c>
      <c r="H174" s="87" t="s">
        <v>365</v>
      </c>
      <c r="I174" s="87" t="s">
        <v>585</v>
      </c>
      <c r="J174" s="87" t="s">
        <v>376</v>
      </c>
      <c r="K174" s="87" t="s">
        <v>442</v>
      </c>
      <c r="L174" s="134">
        <v>4800</v>
      </c>
      <c r="M174" s="157">
        <v>45834</v>
      </c>
      <c r="N174" s="134"/>
      <c r="O174" s="135" t="str">
        <f>IF(COUNT(商品マスタ[[#This Row],[参考上代
（税込)]]) &gt; 0, (商品マスタ[[#This Row],[参考上代
（税込)]]-商品マスタ[[#This Row],[国内定価
（15％）]])/(商品マスタ[[#This Row],[参考上代
（税込)]]/1.08), "")</f>
        <v/>
      </c>
      <c r="P174" s="136">
        <v>0.1</v>
      </c>
      <c r="Q174" s="137">
        <f>商品マスタ[[#This Row],[仕入
単価]]*商品マスタ[[#This Row],[標準国内送料率]]</f>
        <v>480</v>
      </c>
      <c r="R174" s="134"/>
      <c r="S174" s="134">
        <f>IF(ISBLANK(商品マスタ[[#This Row],[実績
国内送料]]),商品マスタ[[#This Row],[標準国内送料]],)</f>
        <v>480</v>
      </c>
      <c r="T174" s="134">
        <f>商品マスタ[[#This Row],[仕入
単価]]+商品マスタ[[#This Row],[国内送料]]</f>
        <v>5280</v>
      </c>
      <c r="U174" s="134">
        <f>ROUNDUP(商品マスタ[[#This Row],[仕入単価+国内送料]]/0.8,-1)</f>
        <v>6600</v>
      </c>
      <c r="V174" s="134">
        <f>商品マスタ[[#This Row],[海外定価
（20％）]]-商品マスタ[[#This Row],[仕入単価+国内送料]]</f>
        <v>1320</v>
      </c>
      <c r="W174" s="87">
        <f>ROUNDUP(商品マスタ[[#This Row],[仕入単価+国内送料]]/0.85,-1)</f>
        <v>6220</v>
      </c>
      <c r="X174" s="134">
        <f>商品マスタ[[#This Row],[国内定価
（15％）]]-商品マスタ[[#This Row],[仕入単価+国内送料]]</f>
        <v>940</v>
      </c>
      <c r="Y174" s="139">
        <v>0.08</v>
      </c>
      <c r="Z174" s="87"/>
      <c r="AA174" s="87"/>
      <c r="AB174" s="87"/>
      <c r="AC174" s="140"/>
      <c r="AD174" s="87"/>
      <c r="AE174" s="87"/>
      <c r="AF174" s="87"/>
      <c r="AG174" s="141"/>
    </row>
    <row r="175" spans="1:33" ht="18">
      <c r="A175" s="166" t="s">
        <v>1523</v>
      </c>
      <c r="B175" s="167" t="s">
        <v>1231</v>
      </c>
      <c r="C175" s="167" t="s">
        <v>997</v>
      </c>
      <c r="D175" s="143" t="str">
        <f>"PRD_SNJ_"&amp;
_xlfn.XLOOKUP(商品マスタ[[#This Row],[仕入先]],テーブル1[仕入先名],テーブル1[仕入先コード],"XXX",0,1)&amp;
"_"&amp;
商品マスタ[[#This Row],[シリアル]]&amp;
"_"&amp;
TEXT(COUNTIFS(商品マスタ!$C$3:C175,商品マスタ[[#This Row],[仕入先]],商品マスタ!$E$3:E175,商品マスタ[[#This Row],[商品名]]), "00")</f>
        <v>PRD_SNJ_GGM_0045_01</v>
      </c>
      <c r="E175" s="87" t="s">
        <v>586</v>
      </c>
      <c r="F175" s="87">
        <f>IF(COUNTIFS($C$3:C175,商品マスタ[[#This Row],[仕入先]],$E$3:E175,商品マスタ[[#This Row],[商品名]]) = 1, 1,0)</f>
        <v>1</v>
      </c>
      <c r="G175" s="133" t="str">
        <f>TEXT(SUMIF($C$3:C175,商品マスタ[[#This Row],[仕入先]],$F$3:F175), "0000")</f>
        <v>0045</v>
      </c>
      <c r="H175" s="87" t="s">
        <v>365</v>
      </c>
      <c r="I175" s="87" t="s">
        <v>508</v>
      </c>
      <c r="J175" s="87" t="s">
        <v>376</v>
      </c>
      <c r="K175" s="87" t="s">
        <v>442</v>
      </c>
      <c r="L175" s="134">
        <v>5700</v>
      </c>
      <c r="M175" s="157">
        <v>45834</v>
      </c>
      <c r="N175" s="134"/>
      <c r="O175" s="135" t="str">
        <f>IF(COUNT(商品マスタ[[#This Row],[参考上代
（税込)]]) &gt; 0, (商品マスタ[[#This Row],[参考上代
（税込)]]-商品マスタ[[#This Row],[国内定価
（15％）]])/(商品マスタ[[#This Row],[参考上代
（税込)]]/1.08), "")</f>
        <v/>
      </c>
      <c r="P175" s="136">
        <v>0.1</v>
      </c>
      <c r="Q175" s="137">
        <f>商品マスタ[[#This Row],[仕入
単価]]*商品マスタ[[#This Row],[標準国内送料率]]</f>
        <v>570</v>
      </c>
      <c r="R175" s="134"/>
      <c r="S175" s="134">
        <f>IF(ISBLANK(商品マスタ[[#This Row],[実績
国内送料]]),商品マスタ[[#This Row],[標準国内送料]],)</f>
        <v>570</v>
      </c>
      <c r="T175" s="134">
        <f>商品マスタ[[#This Row],[仕入
単価]]+商品マスタ[[#This Row],[国内送料]]</f>
        <v>6270</v>
      </c>
      <c r="U175" s="134">
        <f>ROUNDUP(商品マスタ[[#This Row],[仕入単価+国内送料]]/0.8,-1)</f>
        <v>7840</v>
      </c>
      <c r="V175" s="134">
        <f>商品マスタ[[#This Row],[海外定価
（20％）]]-商品マスタ[[#This Row],[仕入単価+国内送料]]</f>
        <v>1570</v>
      </c>
      <c r="W175" s="87">
        <f>ROUNDUP(商品マスタ[[#This Row],[仕入単価+国内送料]]/0.85,-1)</f>
        <v>7380</v>
      </c>
      <c r="X175" s="134">
        <f>商品マスタ[[#This Row],[国内定価
（15％）]]-商品マスタ[[#This Row],[仕入単価+国内送料]]</f>
        <v>1110</v>
      </c>
      <c r="Y175" s="139">
        <v>0.08</v>
      </c>
      <c r="Z175" s="87"/>
      <c r="AA175" s="87"/>
      <c r="AB175" s="87"/>
      <c r="AC175" s="140"/>
      <c r="AD175" s="87"/>
      <c r="AE175" s="87"/>
      <c r="AF175" s="87"/>
      <c r="AG175" s="141"/>
    </row>
    <row r="176" spans="1:33" ht="18">
      <c r="A176" s="166" t="s">
        <v>1523</v>
      </c>
      <c r="B176" s="167" t="s">
        <v>1231</v>
      </c>
      <c r="C176" s="167" t="s">
        <v>997</v>
      </c>
      <c r="D176" s="143" t="str">
        <f>"PRD_SNJ_"&amp;
_xlfn.XLOOKUP(商品マスタ[[#This Row],[仕入先]],テーブル1[仕入先名],テーブル1[仕入先コード],"XXX",0,1)&amp;
"_"&amp;
商品マスタ[[#This Row],[シリアル]]&amp;
"_"&amp;
TEXT(COUNTIFS(商品マスタ!$C$3:C176,商品マスタ[[#This Row],[仕入先]],商品マスタ!$E$3:E176,商品マスタ[[#This Row],[商品名]]), "00")</f>
        <v>PRD_SNJ_GGM_0046_01</v>
      </c>
      <c r="E176" s="87" t="s">
        <v>587</v>
      </c>
      <c r="F176" s="87">
        <f>IF(COUNTIFS($C$3:C176,商品マスタ[[#This Row],[仕入先]],$E$3:E176,商品マスタ[[#This Row],[商品名]]) = 1, 1,0)</f>
        <v>1</v>
      </c>
      <c r="G176" s="133" t="str">
        <f>TEXT(SUMIF($C$3:C176,商品マスタ[[#This Row],[仕入先]],$F$3:F176), "0000")</f>
        <v>0046</v>
      </c>
      <c r="H176" s="87" t="s">
        <v>365</v>
      </c>
      <c r="I176" s="87" t="s">
        <v>588</v>
      </c>
      <c r="J176" s="87" t="s">
        <v>376</v>
      </c>
      <c r="K176" s="87" t="s">
        <v>442</v>
      </c>
      <c r="L176" s="134">
        <v>5000</v>
      </c>
      <c r="M176" s="157">
        <v>45834</v>
      </c>
      <c r="N176" s="134"/>
      <c r="O176" s="135" t="str">
        <f>IF(COUNT(商品マスタ[[#This Row],[参考上代
（税込)]]) &gt; 0, (商品マスタ[[#This Row],[参考上代
（税込)]]-商品マスタ[[#This Row],[国内定価
（15％）]])/(商品マスタ[[#This Row],[参考上代
（税込)]]/1.08), "")</f>
        <v/>
      </c>
      <c r="P176" s="136">
        <v>0.1</v>
      </c>
      <c r="Q176" s="137">
        <f>商品マスタ[[#This Row],[仕入
単価]]*商品マスタ[[#This Row],[標準国内送料率]]</f>
        <v>500</v>
      </c>
      <c r="R176" s="134"/>
      <c r="S176" s="134">
        <f>IF(ISBLANK(商品マスタ[[#This Row],[実績
国内送料]]),商品マスタ[[#This Row],[標準国内送料]],)</f>
        <v>500</v>
      </c>
      <c r="T176" s="134">
        <f>商品マスタ[[#This Row],[仕入
単価]]+商品マスタ[[#This Row],[国内送料]]</f>
        <v>5500</v>
      </c>
      <c r="U176" s="134">
        <f>ROUNDUP(商品マスタ[[#This Row],[仕入単価+国内送料]]/0.8,-1)</f>
        <v>6880</v>
      </c>
      <c r="V176" s="134">
        <f>商品マスタ[[#This Row],[海外定価
（20％）]]-商品マスタ[[#This Row],[仕入単価+国内送料]]</f>
        <v>1380</v>
      </c>
      <c r="W176" s="87">
        <f>ROUNDUP(商品マスタ[[#This Row],[仕入単価+国内送料]]/0.85,-1)</f>
        <v>6480</v>
      </c>
      <c r="X176" s="134">
        <f>商品マスタ[[#This Row],[国内定価
（15％）]]-商品マスタ[[#This Row],[仕入単価+国内送料]]</f>
        <v>980</v>
      </c>
      <c r="Y176" s="139">
        <v>0.08</v>
      </c>
      <c r="Z176" s="87"/>
      <c r="AA176" s="87"/>
      <c r="AB176" s="87"/>
      <c r="AC176" s="140"/>
      <c r="AD176" s="87"/>
      <c r="AE176" s="87"/>
      <c r="AF176" s="87"/>
      <c r="AG176" s="141"/>
    </row>
    <row r="177" spans="1:33" ht="18">
      <c r="A177" s="166" t="s">
        <v>1523</v>
      </c>
      <c r="B177" s="167" t="s">
        <v>1231</v>
      </c>
      <c r="C177" s="167" t="s">
        <v>997</v>
      </c>
      <c r="D177" s="143" t="str">
        <f>"PRD_SNJ_"&amp;
_xlfn.XLOOKUP(商品マスタ[[#This Row],[仕入先]],テーブル1[仕入先名],テーブル1[仕入先コード],"XXX",0,1)&amp;
"_"&amp;
商品マスタ[[#This Row],[シリアル]]&amp;
"_"&amp;
TEXT(COUNTIFS(商品マスタ!$C$3:C177,商品マスタ[[#This Row],[仕入先]],商品マスタ!$E$3:E177,商品マスタ[[#This Row],[商品名]]), "00")</f>
        <v>PRD_SNJ_GGM_0047_01</v>
      </c>
      <c r="E177" s="87" t="s">
        <v>589</v>
      </c>
      <c r="F177" s="87">
        <f>IF(COUNTIFS($C$3:C177,商品マスタ[[#This Row],[仕入先]],$E$3:E177,商品マスタ[[#This Row],[商品名]]) = 1, 1,0)</f>
        <v>1</v>
      </c>
      <c r="G177" s="133" t="str">
        <f>TEXT(SUMIF($C$3:C177,商品マスタ[[#This Row],[仕入先]],$F$3:F177), "0000")</f>
        <v>0047</v>
      </c>
      <c r="H177" s="87" t="s">
        <v>365</v>
      </c>
      <c r="I177" s="87" t="s">
        <v>585</v>
      </c>
      <c r="J177" s="87" t="s">
        <v>376</v>
      </c>
      <c r="K177" s="87" t="s">
        <v>442</v>
      </c>
      <c r="L177" s="134">
        <v>2480</v>
      </c>
      <c r="M177" s="157">
        <v>45834</v>
      </c>
      <c r="N177" s="134"/>
      <c r="O177" s="135" t="str">
        <f>IF(COUNT(商品マスタ[[#This Row],[参考上代
（税込)]]) &gt; 0, (商品マスタ[[#This Row],[参考上代
（税込)]]-商品マスタ[[#This Row],[国内定価
（15％）]])/(商品マスタ[[#This Row],[参考上代
（税込)]]/1.08), "")</f>
        <v/>
      </c>
      <c r="P177" s="136">
        <v>0.1</v>
      </c>
      <c r="Q177" s="137">
        <f>商品マスタ[[#This Row],[仕入
単価]]*商品マスタ[[#This Row],[標準国内送料率]]</f>
        <v>248</v>
      </c>
      <c r="R177" s="134"/>
      <c r="S177" s="134">
        <f>IF(ISBLANK(商品マスタ[[#This Row],[実績
国内送料]]),商品マスタ[[#This Row],[標準国内送料]],)</f>
        <v>248</v>
      </c>
      <c r="T177" s="134">
        <f>商品マスタ[[#This Row],[仕入
単価]]+商品マスタ[[#This Row],[国内送料]]</f>
        <v>2728</v>
      </c>
      <c r="U177" s="134">
        <f>ROUNDUP(商品マスタ[[#This Row],[仕入単価+国内送料]]/0.8,-1)</f>
        <v>3410</v>
      </c>
      <c r="V177" s="134">
        <f>商品マスタ[[#This Row],[海外定価
（20％）]]-商品マスタ[[#This Row],[仕入単価+国内送料]]</f>
        <v>682</v>
      </c>
      <c r="W177" s="87">
        <f>ROUNDUP(商品マスタ[[#This Row],[仕入単価+国内送料]]/0.85,-1)</f>
        <v>3210</v>
      </c>
      <c r="X177" s="134">
        <f>商品マスタ[[#This Row],[国内定価
（15％）]]-商品マスタ[[#This Row],[仕入単価+国内送料]]</f>
        <v>482</v>
      </c>
      <c r="Y177" s="139">
        <v>0.08</v>
      </c>
      <c r="Z177" s="87"/>
      <c r="AA177" s="87"/>
      <c r="AB177" s="87"/>
      <c r="AC177" s="140"/>
      <c r="AD177" s="87"/>
      <c r="AE177" s="87"/>
      <c r="AF177" s="87"/>
      <c r="AG177" s="141"/>
    </row>
    <row r="178" spans="1:33" ht="18">
      <c r="A178" s="166" t="s">
        <v>1523</v>
      </c>
      <c r="B178" s="167" t="s">
        <v>1231</v>
      </c>
      <c r="C178" s="167" t="s">
        <v>997</v>
      </c>
      <c r="D178" s="143" t="str">
        <f>"PRD_SNJ_"&amp;
_xlfn.XLOOKUP(商品マスタ[[#This Row],[仕入先]],テーブル1[仕入先名],テーブル1[仕入先コード],"XXX",0,1)&amp;
"_"&amp;
商品マスタ[[#This Row],[シリアル]]&amp;
"_"&amp;
TEXT(COUNTIFS(商品マスタ!$C$3:C178,商品マスタ[[#This Row],[仕入先]],商品マスタ!$E$3:E178,商品マスタ[[#This Row],[商品名]]), "00")</f>
        <v>PRD_SNJ_GGM_0048_01</v>
      </c>
      <c r="E178" s="87" t="s">
        <v>590</v>
      </c>
      <c r="F178" s="87">
        <f>IF(COUNTIFS($C$3:C178,商品マスタ[[#This Row],[仕入先]],$E$3:E178,商品マスタ[[#This Row],[商品名]]) = 1, 1,0)</f>
        <v>1</v>
      </c>
      <c r="G178" s="133" t="str">
        <f>TEXT(SUMIF($C$3:C178,商品マスタ[[#This Row],[仕入先]],$F$3:F178), "0000")</f>
        <v>0048</v>
      </c>
      <c r="H178" s="87" t="s">
        <v>591</v>
      </c>
      <c r="I178" s="87" t="s">
        <v>592</v>
      </c>
      <c r="J178" s="87" t="s">
        <v>593</v>
      </c>
      <c r="K178" s="87" t="s">
        <v>594</v>
      </c>
      <c r="L178" s="134">
        <v>105000</v>
      </c>
      <c r="M178" s="157">
        <v>45834</v>
      </c>
      <c r="N178" s="134"/>
      <c r="O178" s="135" t="str">
        <f>IF(COUNT(商品マスタ[[#This Row],[参考上代
（税込)]]) &gt; 0, (商品マスタ[[#This Row],[参考上代
（税込)]]-商品マスタ[[#This Row],[国内定価
（15％）]])/(商品マスタ[[#This Row],[参考上代
（税込)]]/1.08), "")</f>
        <v/>
      </c>
      <c r="P178" s="136">
        <v>0.1</v>
      </c>
      <c r="Q178" s="137">
        <f>商品マスタ[[#This Row],[仕入
単価]]*商品マスタ[[#This Row],[標準国内送料率]]</f>
        <v>10500</v>
      </c>
      <c r="R178" s="134"/>
      <c r="S178" s="134">
        <f>IF(ISBLANK(商品マスタ[[#This Row],[実績
国内送料]]),商品マスタ[[#This Row],[標準国内送料]],)</f>
        <v>10500</v>
      </c>
      <c r="T178" s="134">
        <f>商品マスタ[[#This Row],[仕入
単価]]+商品マスタ[[#This Row],[国内送料]]</f>
        <v>115500</v>
      </c>
      <c r="U178" s="134">
        <f>ROUNDUP(商品マスタ[[#This Row],[仕入単価+国内送料]]/0.8,-1)</f>
        <v>144380</v>
      </c>
      <c r="V178" s="134">
        <f>商品マスタ[[#This Row],[海外定価
（20％）]]-商品マスタ[[#This Row],[仕入単価+国内送料]]</f>
        <v>28880</v>
      </c>
      <c r="W178" s="87">
        <f>ROUNDUP(商品マスタ[[#This Row],[仕入単価+国内送料]]/0.85,-1)</f>
        <v>135890</v>
      </c>
      <c r="X178" s="134">
        <f>商品マスタ[[#This Row],[国内定価
（15％）]]-商品マスタ[[#This Row],[仕入単価+国内送料]]</f>
        <v>20390</v>
      </c>
      <c r="Y178" s="139">
        <v>0.08</v>
      </c>
      <c r="Z178" s="87"/>
      <c r="AA178" s="87"/>
      <c r="AB178" s="87"/>
      <c r="AC178" s="140"/>
      <c r="AD178" s="87"/>
      <c r="AE178" s="87"/>
      <c r="AF178" s="87"/>
      <c r="AG178" s="141"/>
    </row>
    <row r="179" spans="1:33" ht="18">
      <c r="A179" s="166" t="s">
        <v>1523</v>
      </c>
      <c r="B179" s="167" t="s">
        <v>1231</v>
      </c>
      <c r="C179" s="167" t="s">
        <v>997</v>
      </c>
      <c r="D179" s="143" t="str">
        <f>"PRD_SNJ_"&amp;
_xlfn.XLOOKUP(商品マスタ[[#This Row],[仕入先]],テーブル1[仕入先名],テーブル1[仕入先コード],"XXX",0,1)&amp;
"_"&amp;
商品マスタ[[#This Row],[シリアル]]&amp;
"_"&amp;
TEXT(COUNTIFS(商品マスタ!$C$3:C179,商品マスタ[[#This Row],[仕入先]],商品マスタ!$E$3:E179,商品マスタ[[#This Row],[商品名]]), "00")</f>
        <v>PRD_SNJ_GGM_0049_01</v>
      </c>
      <c r="E179" s="87" t="s">
        <v>595</v>
      </c>
      <c r="F179" s="87">
        <f>IF(COUNTIFS($C$3:C179,商品マスタ[[#This Row],[仕入先]],$E$3:E179,商品マスタ[[#This Row],[商品名]]) = 1, 1,0)</f>
        <v>1</v>
      </c>
      <c r="G179" s="133" t="str">
        <f>TEXT(SUMIF($C$3:C179,商品マスタ[[#This Row],[仕入先]],$F$3:F179), "0000")</f>
        <v>0049</v>
      </c>
      <c r="H179" s="87" t="s">
        <v>365</v>
      </c>
      <c r="I179" s="87" t="s">
        <v>500</v>
      </c>
      <c r="J179" s="87" t="s">
        <v>367</v>
      </c>
      <c r="K179" s="87" t="s">
        <v>442</v>
      </c>
      <c r="L179" s="134">
        <v>11000</v>
      </c>
      <c r="M179" s="157">
        <v>45834</v>
      </c>
      <c r="N179" s="134"/>
      <c r="O179" s="135" t="str">
        <f>IF(COUNT(商品マスタ[[#This Row],[参考上代
（税込)]]) &gt; 0, (商品マスタ[[#This Row],[参考上代
（税込)]]-商品マスタ[[#This Row],[国内定価
（15％）]])/(商品マスタ[[#This Row],[参考上代
（税込)]]/1.08), "")</f>
        <v/>
      </c>
      <c r="P179" s="136">
        <v>0.1</v>
      </c>
      <c r="Q179" s="137">
        <f>商品マスタ[[#This Row],[仕入
単価]]*商品マスタ[[#This Row],[標準国内送料率]]</f>
        <v>1100</v>
      </c>
      <c r="R179" s="134"/>
      <c r="S179" s="134">
        <f>IF(ISBLANK(商品マスタ[[#This Row],[実績
国内送料]]),商品マスタ[[#This Row],[標準国内送料]],)</f>
        <v>1100</v>
      </c>
      <c r="T179" s="134">
        <f>商品マスタ[[#This Row],[仕入
単価]]+商品マスタ[[#This Row],[国内送料]]</f>
        <v>12100</v>
      </c>
      <c r="U179" s="134">
        <f>ROUNDUP(商品マスタ[[#This Row],[仕入単価+国内送料]]/0.8,-1)</f>
        <v>15130</v>
      </c>
      <c r="V179" s="134">
        <f>商品マスタ[[#This Row],[海外定価
（20％）]]-商品マスタ[[#This Row],[仕入単価+国内送料]]</f>
        <v>3030</v>
      </c>
      <c r="W179" s="87">
        <f>ROUNDUP(商品マスタ[[#This Row],[仕入単価+国内送料]]/0.85,-1)</f>
        <v>14240</v>
      </c>
      <c r="X179" s="134">
        <f>商品マスタ[[#This Row],[国内定価
（15％）]]-商品マスタ[[#This Row],[仕入単価+国内送料]]</f>
        <v>2140</v>
      </c>
      <c r="Y179" s="139">
        <v>0.08</v>
      </c>
      <c r="Z179" s="87"/>
      <c r="AA179" s="87"/>
      <c r="AB179" s="87"/>
      <c r="AC179" s="140"/>
      <c r="AD179" s="87"/>
      <c r="AE179" s="87"/>
      <c r="AF179" s="87"/>
      <c r="AG179" s="141"/>
    </row>
    <row r="180" spans="1:33" ht="18">
      <c r="A180" s="166" t="s">
        <v>1523</v>
      </c>
      <c r="B180" s="167" t="s">
        <v>1231</v>
      </c>
      <c r="C180" s="167" t="s">
        <v>997</v>
      </c>
      <c r="D180" s="143" t="str">
        <f>"PRD_SNJ_"&amp;
_xlfn.XLOOKUP(商品マスタ[[#This Row],[仕入先]],テーブル1[仕入先名],テーブル1[仕入先コード],"XXX",0,1)&amp;
"_"&amp;
商品マスタ[[#This Row],[シリアル]]&amp;
"_"&amp;
TEXT(COUNTIFS(商品マスタ!$C$3:C180,商品マスタ[[#This Row],[仕入先]],商品マスタ!$E$3:E180,商品マスタ[[#This Row],[商品名]]), "00")</f>
        <v>PRD_SNJ_GGM_0050_01</v>
      </c>
      <c r="E180" s="87" t="s">
        <v>596</v>
      </c>
      <c r="F180" s="87">
        <f>IF(COUNTIFS($C$3:C180,商品マスタ[[#This Row],[仕入先]],$E$3:E180,商品マスタ[[#This Row],[商品名]]) = 1, 1,0)</f>
        <v>1</v>
      </c>
      <c r="G180" s="133" t="str">
        <f>TEXT(SUMIF($C$3:C180,商品マスタ[[#This Row],[仕入先]],$F$3:F180), "0000")</f>
        <v>0050</v>
      </c>
      <c r="H180" s="87" t="s">
        <v>365</v>
      </c>
      <c r="I180" s="87" t="s">
        <v>597</v>
      </c>
      <c r="J180" s="87" t="s">
        <v>387</v>
      </c>
      <c r="K180" s="87" t="s">
        <v>598</v>
      </c>
      <c r="L180" s="134">
        <v>8000</v>
      </c>
      <c r="M180" s="157">
        <v>45834</v>
      </c>
      <c r="N180" s="134"/>
      <c r="O180" s="135" t="str">
        <f>IF(COUNT(商品マスタ[[#This Row],[参考上代
（税込)]]) &gt; 0, (商品マスタ[[#This Row],[参考上代
（税込)]]-商品マスタ[[#This Row],[国内定価
（15％）]])/(商品マスタ[[#This Row],[参考上代
（税込)]]/1.08), "")</f>
        <v/>
      </c>
      <c r="P180" s="136">
        <v>0.1</v>
      </c>
      <c r="Q180" s="137">
        <f>商品マスタ[[#This Row],[仕入
単価]]*商品マスタ[[#This Row],[標準国内送料率]]</f>
        <v>800</v>
      </c>
      <c r="R180" s="134"/>
      <c r="S180" s="134">
        <f>IF(ISBLANK(商品マスタ[[#This Row],[実績
国内送料]]),商品マスタ[[#This Row],[標準国内送料]],)</f>
        <v>800</v>
      </c>
      <c r="T180" s="134">
        <f>商品マスタ[[#This Row],[仕入
単価]]+商品マスタ[[#This Row],[国内送料]]</f>
        <v>8800</v>
      </c>
      <c r="U180" s="134">
        <f>ROUNDUP(商品マスタ[[#This Row],[仕入単価+国内送料]]/0.8,-1)</f>
        <v>11000</v>
      </c>
      <c r="V180" s="134">
        <f>商品マスタ[[#This Row],[海外定価
（20％）]]-商品マスタ[[#This Row],[仕入単価+国内送料]]</f>
        <v>2200</v>
      </c>
      <c r="W180" s="87">
        <f>ROUNDUP(商品マスタ[[#This Row],[仕入単価+国内送料]]/0.85,-1)</f>
        <v>10360</v>
      </c>
      <c r="X180" s="134">
        <f>商品マスタ[[#This Row],[国内定価
（15％）]]-商品マスタ[[#This Row],[仕入単価+国内送料]]</f>
        <v>1560</v>
      </c>
      <c r="Y180" s="139">
        <v>0.08</v>
      </c>
      <c r="Z180" s="87"/>
      <c r="AA180" s="87"/>
      <c r="AB180" s="87"/>
      <c r="AC180" s="140"/>
      <c r="AD180" s="87"/>
      <c r="AE180" s="87"/>
      <c r="AF180" s="87"/>
      <c r="AG180" s="141"/>
    </row>
    <row r="181" spans="1:33" ht="18">
      <c r="A181" s="166" t="s">
        <v>1523</v>
      </c>
      <c r="B181" s="167" t="s">
        <v>1231</v>
      </c>
      <c r="C181" s="167" t="s">
        <v>997</v>
      </c>
      <c r="D181" s="143" t="str">
        <f>"PRD_SNJ_"&amp;
_xlfn.XLOOKUP(商品マスタ[[#This Row],[仕入先]],テーブル1[仕入先名],テーブル1[仕入先コード],"XXX",0,1)&amp;
"_"&amp;
商品マスタ[[#This Row],[シリアル]]&amp;
"_"&amp;
TEXT(COUNTIFS(商品マスタ!$C$3:C181,商品マスタ[[#This Row],[仕入先]],商品マスタ!$E$3:E181,商品マスタ[[#This Row],[商品名]]), "00")</f>
        <v>PRD_SNJ_GGM_0051_01</v>
      </c>
      <c r="E181" s="87" t="s">
        <v>599</v>
      </c>
      <c r="F181" s="87">
        <f>IF(COUNTIFS($C$3:C181,商品マスタ[[#This Row],[仕入先]],$E$3:E181,商品マスタ[[#This Row],[商品名]]) = 1, 1,0)</f>
        <v>1</v>
      </c>
      <c r="G181" s="133" t="str">
        <f>TEXT(SUMIF($C$3:C181,商品マスタ[[#This Row],[仕入先]],$F$3:F181), "0000")</f>
        <v>0051</v>
      </c>
      <c r="H181" s="87" t="s">
        <v>365</v>
      </c>
      <c r="I181" s="87" t="s">
        <v>600</v>
      </c>
      <c r="J181" s="87" t="s">
        <v>376</v>
      </c>
      <c r="K181" s="87" t="s">
        <v>442</v>
      </c>
      <c r="L181" s="134">
        <v>2900</v>
      </c>
      <c r="M181" s="157">
        <v>45834</v>
      </c>
      <c r="N181" s="134"/>
      <c r="O181" s="135" t="str">
        <f>IF(COUNT(商品マスタ[[#This Row],[参考上代
（税込)]]) &gt; 0, (商品マスタ[[#This Row],[参考上代
（税込)]]-商品マスタ[[#This Row],[国内定価
（15％）]])/(商品マスタ[[#This Row],[参考上代
（税込)]]/1.08), "")</f>
        <v/>
      </c>
      <c r="P181" s="136">
        <v>0.1</v>
      </c>
      <c r="Q181" s="137">
        <f>商品マスタ[[#This Row],[仕入
単価]]*商品マスタ[[#This Row],[標準国内送料率]]</f>
        <v>290</v>
      </c>
      <c r="R181" s="134"/>
      <c r="S181" s="134">
        <f>IF(ISBLANK(商品マスタ[[#This Row],[実績
国内送料]]),商品マスタ[[#This Row],[標準国内送料]],)</f>
        <v>290</v>
      </c>
      <c r="T181" s="134">
        <f>商品マスタ[[#This Row],[仕入
単価]]+商品マスタ[[#This Row],[国内送料]]</f>
        <v>3190</v>
      </c>
      <c r="U181" s="134">
        <f>ROUNDUP(商品マスタ[[#This Row],[仕入単価+国内送料]]/0.8,-1)</f>
        <v>3990</v>
      </c>
      <c r="V181" s="134">
        <f>商品マスタ[[#This Row],[海外定価
（20％）]]-商品マスタ[[#This Row],[仕入単価+国内送料]]</f>
        <v>800</v>
      </c>
      <c r="W181" s="87">
        <f>ROUNDUP(商品マスタ[[#This Row],[仕入単価+国内送料]]/0.85,-1)</f>
        <v>3760</v>
      </c>
      <c r="X181" s="134">
        <f>商品マスタ[[#This Row],[国内定価
（15％）]]-商品マスタ[[#This Row],[仕入単価+国内送料]]</f>
        <v>570</v>
      </c>
      <c r="Y181" s="139">
        <v>0.08</v>
      </c>
      <c r="Z181" s="87"/>
      <c r="AA181" s="87"/>
      <c r="AB181" s="87"/>
      <c r="AC181" s="140"/>
      <c r="AD181" s="87"/>
      <c r="AE181" s="87"/>
      <c r="AF181" s="87"/>
      <c r="AG181" s="141"/>
    </row>
    <row r="182" spans="1:33" ht="18">
      <c r="A182" s="166" t="s">
        <v>1523</v>
      </c>
      <c r="B182" s="167" t="s">
        <v>1231</v>
      </c>
      <c r="C182" s="167" t="s">
        <v>997</v>
      </c>
      <c r="D182" s="143" t="str">
        <f>"PRD_SNJ_"&amp;
_xlfn.XLOOKUP(商品マスタ[[#This Row],[仕入先]],テーブル1[仕入先名],テーブル1[仕入先コード],"XXX",0,1)&amp;
"_"&amp;
商品マスタ[[#This Row],[シリアル]]&amp;
"_"&amp;
TEXT(COUNTIFS(商品マスタ!$C$3:C182,商品マスタ[[#This Row],[仕入先]],商品マスタ!$E$3:E182,商品マスタ[[#This Row],[商品名]]), "00")</f>
        <v>PRD_SNJ_GGM_0052_01</v>
      </c>
      <c r="E182" s="87" t="s">
        <v>601</v>
      </c>
      <c r="F182" s="87">
        <f>IF(COUNTIFS($C$3:C182,商品マスタ[[#This Row],[仕入先]],$E$3:E182,商品マスタ[[#This Row],[商品名]]) = 1, 1,0)</f>
        <v>1</v>
      </c>
      <c r="G182" s="133" t="str">
        <f>TEXT(SUMIF($C$3:C182,商品マスタ[[#This Row],[仕入先]],$F$3:F182), "0000")</f>
        <v>0052</v>
      </c>
      <c r="H182" s="87" t="s">
        <v>365</v>
      </c>
      <c r="I182" s="87" t="s">
        <v>506</v>
      </c>
      <c r="J182" s="87" t="s">
        <v>376</v>
      </c>
      <c r="K182" s="87" t="s">
        <v>442</v>
      </c>
      <c r="L182" s="134">
        <v>2900</v>
      </c>
      <c r="M182" s="157">
        <v>45834</v>
      </c>
      <c r="N182" s="134"/>
      <c r="O182" s="135" t="str">
        <f>IF(COUNT(商品マスタ[[#This Row],[参考上代
（税込)]]) &gt; 0, (商品マスタ[[#This Row],[参考上代
（税込)]]-商品マスタ[[#This Row],[国内定価
（15％）]])/(商品マスタ[[#This Row],[参考上代
（税込)]]/1.08), "")</f>
        <v/>
      </c>
      <c r="P182" s="136">
        <v>0.1</v>
      </c>
      <c r="Q182" s="137">
        <f>商品マスタ[[#This Row],[仕入
単価]]*商品マスタ[[#This Row],[標準国内送料率]]</f>
        <v>290</v>
      </c>
      <c r="R182" s="134"/>
      <c r="S182" s="134">
        <f>IF(ISBLANK(商品マスタ[[#This Row],[実績
国内送料]]),商品マスタ[[#This Row],[標準国内送料]],)</f>
        <v>290</v>
      </c>
      <c r="T182" s="134">
        <f>商品マスタ[[#This Row],[仕入
単価]]+商品マスタ[[#This Row],[国内送料]]</f>
        <v>3190</v>
      </c>
      <c r="U182" s="134">
        <f>ROUNDUP(商品マスタ[[#This Row],[仕入単価+国内送料]]/0.8,-1)</f>
        <v>3990</v>
      </c>
      <c r="V182" s="134">
        <f>商品マスタ[[#This Row],[海外定価
（20％）]]-商品マスタ[[#This Row],[仕入単価+国内送料]]</f>
        <v>800</v>
      </c>
      <c r="W182" s="87">
        <f>ROUNDUP(商品マスタ[[#This Row],[仕入単価+国内送料]]/0.85,-1)</f>
        <v>3760</v>
      </c>
      <c r="X182" s="134">
        <f>商品マスタ[[#This Row],[国内定価
（15％）]]-商品マスタ[[#This Row],[仕入単価+国内送料]]</f>
        <v>570</v>
      </c>
      <c r="Y182" s="139">
        <v>0.08</v>
      </c>
      <c r="Z182" s="87"/>
      <c r="AA182" s="87"/>
      <c r="AB182" s="87"/>
      <c r="AC182" s="140"/>
      <c r="AD182" s="87"/>
      <c r="AE182" s="87"/>
      <c r="AF182" s="87"/>
      <c r="AG182" s="141"/>
    </row>
    <row r="183" spans="1:33" ht="18">
      <c r="A183" s="166" t="s">
        <v>1523</v>
      </c>
      <c r="B183" s="167" t="s">
        <v>1231</v>
      </c>
      <c r="C183" s="167" t="s">
        <v>997</v>
      </c>
      <c r="D183" s="143" t="str">
        <f>"PRD_SNJ_"&amp;
_xlfn.XLOOKUP(商品マスタ[[#This Row],[仕入先]],テーブル1[仕入先名],テーブル1[仕入先コード],"XXX",0,1)&amp;
"_"&amp;
商品マスタ[[#This Row],[シリアル]]&amp;
"_"&amp;
TEXT(COUNTIFS(商品マスタ!$C$3:C183,商品マスタ[[#This Row],[仕入先]],商品マスタ!$E$3:E183,商品マスタ[[#This Row],[商品名]]), "00")</f>
        <v>PRD_SNJ_GGM_0053_01</v>
      </c>
      <c r="E183" s="87" t="s">
        <v>602</v>
      </c>
      <c r="F183" s="87">
        <f>IF(COUNTIFS($C$3:C183,商品マスタ[[#This Row],[仕入先]],$E$3:E183,商品マスタ[[#This Row],[商品名]]) = 1, 1,0)</f>
        <v>1</v>
      </c>
      <c r="G183" s="133" t="str">
        <f>TEXT(SUMIF($C$3:C183,商品マスタ[[#This Row],[仕入先]],$F$3:F183), "0000")</f>
        <v>0053</v>
      </c>
      <c r="H183" s="87" t="s">
        <v>365</v>
      </c>
      <c r="I183" s="87" t="s">
        <v>576</v>
      </c>
      <c r="J183" s="87" t="s">
        <v>376</v>
      </c>
      <c r="K183" s="87" t="s">
        <v>442</v>
      </c>
      <c r="L183" s="134">
        <v>1400</v>
      </c>
      <c r="M183" s="157">
        <v>45834</v>
      </c>
      <c r="N183" s="134"/>
      <c r="O183" s="135" t="str">
        <f>IF(COUNT(商品マスタ[[#This Row],[参考上代
（税込)]]) &gt; 0, (商品マスタ[[#This Row],[参考上代
（税込)]]-商品マスタ[[#This Row],[国内定価
（15％）]])/(商品マスタ[[#This Row],[参考上代
（税込)]]/1.08), "")</f>
        <v/>
      </c>
      <c r="P183" s="136">
        <v>0.1</v>
      </c>
      <c r="Q183" s="137">
        <f>商品マスタ[[#This Row],[仕入
単価]]*商品マスタ[[#This Row],[標準国内送料率]]</f>
        <v>140</v>
      </c>
      <c r="R183" s="134"/>
      <c r="S183" s="134">
        <f>IF(ISBLANK(商品マスタ[[#This Row],[実績
国内送料]]),商品マスタ[[#This Row],[標準国内送料]],)</f>
        <v>140</v>
      </c>
      <c r="T183" s="134">
        <f>商品マスタ[[#This Row],[仕入
単価]]+商品マスタ[[#This Row],[国内送料]]</f>
        <v>1540</v>
      </c>
      <c r="U183" s="134">
        <f>ROUNDUP(商品マスタ[[#This Row],[仕入単価+国内送料]]/0.8,-1)</f>
        <v>1930</v>
      </c>
      <c r="V183" s="134">
        <f>商品マスタ[[#This Row],[海外定価
（20％）]]-商品マスタ[[#This Row],[仕入単価+国内送料]]</f>
        <v>390</v>
      </c>
      <c r="W183" s="87">
        <f>ROUNDUP(商品マスタ[[#This Row],[仕入単価+国内送料]]/0.85,-1)</f>
        <v>1820</v>
      </c>
      <c r="X183" s="134">
        <f>商品マスタ[[#This Row],[国内定価
（15％）]]-商品マスタ[[#This Row],[仕入単価+国内送料]]</f>
        <v>280</v>
      </c>
      <c r="Y183" s="139">
        <v>0.08</v>
      </c>
      <c r="Z183" s="87"/>
      <c r="AA183" s="87"/>
      <c r="AB183" s="87"/>
      <c r="AC183" s="140"/>
      <c r="AD183" s="87"/>
      <c r="AE183" s="87"/>
      <c r="AF183" s="87"/>
      <c r="AG183" s="141"/>
    </row>
    <row r="184" spans="1:33" ht="18">
      <c r="A184" s="166" t="s">
        <v>1523</v>
      </c>
      <c r="B184" s="167" t="s">
        <v>1231</v>
      </c>
      <c r="C184" s="167" t="s">
        <v>997</v>
      </c>
      <c r="D184" s="143" t="str">
        <f>"PRD_SNJ_"&amp;
_xlfn.XLOOKUP(商品マスタ[[#This Row],[仕入先]],テーブル1[仕入先名],テーブル1[仕入先コード],"XXX",0,1)&amp;
"_"&amp;
商品マスタ[[#This Row],[シリアル]]&amp;
"_"&amp;
TEXT(COUNTIFS(商品マスタ!$C$3:C184,商品マスタ[[#This Row],[仕入先]],商品マスタ!$E$3:E184,商品マスタ[[#This Row],[商品名]]), "00")</f>
        <v>PRD_SNJ_GGM_0054_01</v>
      </c>
      <c r="E184" s="87" t="s">
        <v>603</v>
      </c>
      <c r="F184" s="87">
        <f>IF(COUNTIFS($C$3:C184,商品マスタ[[#This Row],[仕入先]],$E$3:E184,商品マスタ[[#This Row],[商品名]]) = 1, 1,0)</f>
        <v>1</v>
      </c>
      <c r="G184" s="133" t="str">
        <f>TEXT(SUMIF($C$3:C184,商品マスタ[[#This Row],[仕入先]],$F$3:F184), "0000")</f>
        <v>0054</v>
      </c>
      <c r="H184" s="87" t="s">
        <v>365</v>
      </c>
      <c r="I184" s="87" t="s">
        <v>508</v>
      </c>
      <c r="J184" s="87" t="s">
        <v>376</v>
      </c>
      <c r="K184" s="87" t="s">
        <v>442</v>
      </c>
      <c r="L184" s="134">
        <v>3500</v>
      </c>
      <c r="M184" s="157">
        <v>45834</v>
      </c>
      <c r="N184" s="134"/>
      <c r="O184" s="135" t="str">
        <f>IF(COUNT(商品マスタ[[#This Row],[参考上代
（税込)]]) &gt; 0, (商品マスタ[[#This Row],[参考上代
（税込)]]-商品マスタ[[#This Row],[国内定価
（15％）]])/(商品マスタ[[#This Row],[参考上代
（税込)]]/1.08), "")</f>
        <v/>
      </c>
      <c r="P184" s="136">
        <v>0.1</v>
      </c>
      <c r="Q184" s="137">
        <f>商品マスタ[[#This Row],[仕入
単価]]*商品マスタ[[#This Row],[標準国内送料率]]</f>
        <v>350</v>
      </c>
      <c r="R184" s="134"/>
      <c r="S184" s="134">
        <f>IF(ISBLANK(商品マスタ[[#This Row],[実績
国内送料]]),商品マスタ[[#This Row],[標準国内送料]],)</f>
        <v>350</v>
      </c>
      <c r="T184" s="134">
        <f>商品マスタ[[#This Row],[仕入
単価]]+商品マスタ[[#This Row],[国内送料]]</f>
        <v>3850</v>
      </c>
      <c r="U184" s="134">
        <f>ROUNDUP(商品マスタ[[#This Row],[仕入単価+国内送料]]/0.8,-1)</f>
        <v>4820</v>
      </c>
      <c r="V184" s="134">
        <f>商品マスタ[[#This Row],[海外定価
（20％）]]-商品マスタ[[#This Row],[仕入単価+国内送料]]</f>
        <v>970</v>
      </c>
      <c r="W184" s="87">
        <f>ROUNDUP(商品マスタ[[#This Row],[仕入単価+国内送料]]/0.85,-1)</f>
        <v>4530</v>
      </c>
      <c r="X184" s="134">
        <f>商品マスタ[[#This Row],[国内定価
（15％）]]-商品マスタ[[#This Row],[仕入単価+国内送料]]</f>
        <v>680</v>
      </c>
      <c r="Y184" s="139">
        <v>0.08</v>
      </c>
      <c r="Z184" s="87"/>
      <c r="AA184" s="87"/>
      <c r="AB184" s="87"/>
      <c r="AC184" s="140"/>
      <c r="AD184" s="87"/>
      <c r="AE184" s="87"/>
      <c r="AF184" s="87"/>
      <c r="AG184" s="141"/>
    </row>
    <row r="185" spans="1:33" ht="18">
      <c r="A185" s="166" t="s">
        <v>1523</v>
      </c>
      <c r="B185" s="167" t="s">
        <v>1231</v>
      </c>
      <c r="C185" s="167" t="s">
        <v>997</v>
      </c>
      <c r="D185" s="143" t="str">
        <f>"PRD_SNJ_"&amp;
_xlfn.XLOOKUP(商品マスタ[[#This Row],[仕入先]],テーブル1[仕入先名],テーブル1[仕入先コード],"XXX",0,1)&amp;
"_"&amp;
商品マスタ[[#This Row],[シリアル]]&amp;
"_"&amp;
TEXT(COUNTIFS(商品マスタ!$C$3:C185,商品マスタ[[#This Row],[仕入先]],商品マスタ!$E$3:E185,商品マスタ[[#This Row],[商品名]]), "00")</f>
        <v>PRD_SNJ_GGM_0055_01</v>
      </c>
      <c r="E185" s="87" t="s">
        <v>604</v>
      </c>
      <c r="F185" s="87">
        <f>IF(COUNTIFS($C$3:C185,商品マスタ[[#This Row],[仕入先]],$E$3:E185,商品マスタ[[#This Row],[商品名]]) = 1, 1,0)</f>
        <v>1</v>
      </c>
      <c r="G185" s="133" t="str">
        <f>TEXT(SUMIF($C$3:C185,商品マスタ[[#This Row],[仕入先]],$F$3:F185), "0000")</f>
        <v>0055</v>
      </c>
      <c r="H185" s="87" t="s">
        <v>365</v>
      </c>
      <c r="I185" s="87" t="s">
        <v>600</v>
      </c>
      <c r="J185" s="87" t="s">
        <v>376</v>
      </c>
      <c r="K185" s="87" t="s">
        <v>442</v>
      </c>
      <c r="L185" s="134">
        <v>2900</v>
      </c>
      <c r="M185" s="157">
        <v>45834</v>
      </c>
      <c r="N185" s="134"/>
      <c r="O185" s="135" t="str">
        <f>IF(COUNT(商品マスタ[[#This Row],[参考上代
（税込)]]) &gt; 0, (商品マスタ[[#This Row],[参考上代
（税込)]]-商品マスタ[[#This Row],[国内定価
（15％）]])/(商品マスタ[[#This Row],[参考上代
（税込)]]/1.08), "")</f>
        <v/>
      </c>
      <c r="P185" s="136">
        <v>0.1</v>
      </c>
      <c r="Q185" s="137">
        <f>商品マスタ[[#This Row],[仕入
単価]]*商品マスタ[[#This Row],[標準国内送料率]]</f>
        <v>290</v>
      </c>
      <c r="R185" s="134"/>
      <c r="S185" s="134">
        <f>IF(ISBLANK(商品マスタ[[#This Row],[実績
国内送料]]),商品マスタ[[#This Row],[標準国内送料]],)</f>
        <v>290</v>
      </c>
      <c r="T185" s="134">
        <f>商品マスタ[[#This Row],[仕入
単価]]+商品マスタ[[#This Row],[国内送料]]</f>
        <v>3190</v>
      </c>
      <c r="U185" s="134">
        <f>ROUNDUP(商品マスタ[[#This Row],[仕入単価+国内送料]]/0.8,-1)</f>
        <v>3990</v>
      </c>
      <c r="V185" s="134">
        <f>商品マスタ[[#This Row],[海外定価
（20％）]]-商品マスタ[[#This Row],[仕入単価+国内送料]]</f>
        <v>800</v>
      </c>
      <c r="W185" s="87">
        <f>ROUNDUP(商品マスタ[[#This Row],[仕入単価+国内送料]]/0.85,-1)</f>
        <v>3760</v>
      </c>
      <c r="X185" s="134">
        <f>商品マスタ[[#This Row],[国内定価
（15％）]]-商品マスタ[[#This Row],[仕入単価+国内送料]]</f>
        <v>570</v>
      </c>
      <c r="Y185" s="139">
        <v>0.08</v>
      </c>
      <c r="Z185" s="87"/>
      <c r="AA185" s="87"/>
      <c r="AB185" s="87"/>
      <c r="AC185" s="140"/>
      <c r="AD185" s="87"/>
      <c r="AE185" s="87"/>
      <c r="AF185" s="87"/>
      <c r="AG185" s="141"/>
    </row>
    <row r="186" spans="1:33" ht="18">
      <c r="A186" s="166" t="s">
        <v>1523</v>
      </c>
      <c r="B186" s="167" t="s">
        <v>1231</v>
      </c>
      <c r="C186" s="167" t="s">
        <v>997</v>
      </c>
      <c r="D186" s="143" t="str">
        <f>"PRD_SNJ_"&amp;
_xlfn.XLOOKUP(商品マスタ[[#This Row],[仕入先]],テーブル1[仕入先名],テーブル1[仕入先コード],"XXX",0,1)&amp;
"_"&amp;
商品マスタ[[#This Row],[シリアル]]&amp;
"_"&amp;
TEXT(COUNTIFS(商品マスタ!$C$3:C186,商品マスタ[[#This Row],[仕入先]],商品マスタ!$E$3:E186,商品マスタ[[#This Row],[商品名]]), "00")</f>
        <v>PRD_SNJ_GGM_0056_01</v>
      </c>
      <c r="E186" s="87" t="s">
        <v>605</v>
      </c>
      <c r="F186" s="87">
        <f>IF(COUNTIFS($C$3:C186,商品マスタ[[#This Row],[仕入先]],$E$3:E186,商品マスタ[[#This Row],[商品名]]) = 1, 1,0)</f>
        <v>1</v>
      </c>
      <c r="G186" s="133" t="str">
        <f>TEXT(SUMIF($C$3:C186,商品マスタ[[#This Row],[仕入先]],$F$3:F186), "0000")</f>
        <v>0056</v>
      </c>
      <c r="H186" s="87" t="s">
        <v>365</v>
      </c>
      <c r="I186" s="87" t="s">
        <v>506</v>
      </c>
      <c r="J186" s="87" t="s">
        <v>376</v>
      </c>
      <c r="K186" s="87" t="s">
        <v>442</v>
      </c>
      <c r="L186" s="134">
        <v>2900</v>
      </c>
      <c r="M186" s="157">
        <v>45834</v>
      </c>
      <c r="N186" s="134"/>
      <c r="O186" s="135" t="str">
        <f>IF(COUNT(商品マスタ[[#This Row],[参考上代
（税込)]]) &gt; 0, (商品マスタ[[#This Row],[参考上代
（税込)]]-商品マスタ[[#This Row],[国内定価
（15％）]])/(商品マスタ[[#This Row],[参考上代
（税込)]]/1.08), "")</f>
        <v/>
      </c>
      <c r="P186" s="136">
        <v>0.1</v>
      </c>
      <c r="Q186" s="137">
        <f>商品マスタ[[#This Row],[仕入
単価]]*商品マスタ[[#This Row],[標準国内送料率]]</f>
        <v>290</v>
      </c>
      <c r="R186" s="134"/>
      <c r="S186" s="134">
        <f>IF(ISBLANK(商品マスタ[[#This Row],[実績
国内送料]]),商品マスタ[[#This Row],[標準国内送料]],)</f>
        <v>290</v>
      </c>
      <c r="T186" s="134">
        <f>商品マスタ[[#This Row],[仕入
単価]]+商品マスタ[[#This Row],[国内送料]]</f>
        <v>3190</v>
      </c>
      <c r="U186" s="134">
        <f>ROUNDUP(商品マスタ[[#This Row],[仕入単価+国内送料]]/0.8,-1)</f>
        <v>3990</v>
      </c>
      <c r="V186" s="134">
        <f>商品マスタ[[#This Row],[海外定価
（20％）]]-商品マスタ[[#This Row],[仕入単価+国内送料]]</f>
        <v>800</v>
      </c>
      <c r="W186" s="87">
        <f>ROUNDUP(商品マスタ[[#This Row],[仕入単価+国内送料]]/0.85,-1)</f>
        <v>3760</v>
      </c>
      <c r="X186" s="134">
        <f>商品マスタ[[#This Row],[国内定価
（15％）]]-商品マスタ[[#This Row],[仕入単価+国内送料]]</f>
        <v>570</v>
      </c>
      <c r="Y186" s="139">
        <v>0.08</v>
      </c>
      <c r="Z186" s="87"/>
      <c r="AA186" s="87"/>
      <c r="AB186" s="87"/>
      <c r="AC186" s="140"/>
      <c r="AD186" s="87"/>
      <c r="AE186" s="87"/>
      <c r="AF186" s="87"/>
      <c r="AG186" s="141"/>
    </row>
    <row r="187" spans="1:33" ht="18">
      <c r="A187" s="166" t="s">
        <v>1523</v>
      </c>
      <c r="B187" s="167" t="s">
        <v>1231</v>
      </c>
      <c r="C187" s="167" t="s">
        <v>997</v>
      </c>
      <c r="D187" s="143" t="str">
        <f>"PRD_SNJ_"&amp;
_xlfn.XLOOKUP(商品マスタ[[#This Row],[仕入先]],テーブル1[仕入先名],テーブル1[仕入先コード],"XXX",0,1)&amp;
"_"&amp;
商品マスタ[[#This Row],[シリアル]]&amp;
"_"&amp;
TEXT(COUNTIFS(商品マスタ!$C$3:C187,商品マスタ[[#This Row],[仕入先]],商品マスタ!$E$3:E187,商品マスタ[[#This Row],[商品名]]), "00")</f>
        <v>PRD_SNJ_GGM_0057_01</v>
      </c>
      <c r="E187" s="87" t="s">
        <v>606</v>
      </c>
      <c r="F187" s="87">
        <f>IF(COUNTIFS($C$3:C187,商品マスタ[[#This Row],[仕入先]],$E$3:E187,商品マスタ[[#This Row],[商品名]]) = 1, 1,0)</f>
        <v>1</v>
      </c>
      <c r="G187" s="133" t="str">
        <f>TEXT(SUMIF($C$3:C187,商品マスタ[[#This Row],[仕入先]],$F$3:F187), "0000")</f>
        <v>0057</v>
      </c>
      <c r="H187" s="87" t="s">
        <v>365</v>
      </c>
      <c r="I187" s="87" t="s">
        <v>600</v>
      </c>
      <c r="J187" s="87" t="s">
        <v>376</v>
      </c>
      <c r="K187" s="87" t="s">
        <v>442</v>
      </c>
      <c r="L187" s="134">
        <v>2200</v>
      </c>
      <c r="M187" s="157">
        <v>45834</v>
      </c>
      <c r="N187" s="134"/>
      <c r="O187" s="135" t="str">
        <f>IF(COUNT(商品マスタ[[#This Row],[参考上代
（税込)]]) &gt; 0, (商品マスタ[[#This Row],[参考上代
（税込)]]-商品マスタ[[#This Row],[国内定価
（15％）]])/(商品マスタ[[#This Row],[参考上代
（税込)]]/1.08), "")</f>
        <v/>
      </c>
      <c r="P187" s="136">
        <v>0.1</v>
      </c>
      <c r="Q187" s="137">
        <f>商品マスタ[[#This Row],[仕入
単価]]*商品マスタ[[#This Row],[標準国内送料率]]</f>
        <v>220</v>
      </c>
      <c r="R187" s="134"/>
      <c r="S187" s="134">
        <f>IF(ISBLANK(商品マスタ[[#This Row],[実績
国内送料]]),商品マスタ[[#This Row],[標準国内送料]],)</f>
        <v>220</v>
      </c>
      <c r="T187" s="134">
        <f>商品マスタ[[#This Row],[仕入
単価]]+商品マスタ[[#This Row],[国内送料]]</f>
        <v>2420</v>
      </c>
      <c r="U187" s="134">
        <f>ROUNDUP(商品マスタ[[#This Row],[仕入単価+国内送料]]/0.8,-1)</f>
        <v>3030</v>
      </c>
      <c r="V187" s="134">
        <f>商品マスタ[[#This Row],[海外定価
（20％）]]-商品マスタ[[#This Row],[仕入単価+国内送料]]</f>
        <v>610</v>
      </c>
      <c r="W187" s="87">
        <f>ROUNDUP(商品マスタ[[#This Row],[仕入単価+国内送料]]/0.85,-1)</f>
        <v>2850</v>
      </c>
      <c r="X187" s="134">
        <f>商品マスタ[[#This Row],[国内定価
（15％）]]-商品マスタ[[#This Row],[仕入単価+国内送料]]</f>
        <v>430</v>
      </c>
      <c r="Y187" s="139">
        <v>0.08</v>
      </c>
      <c r="Z187" s="87"/>
      <c r="AA187" s="87"/>
      <c r="AB187" s="87"/>
      <c r="AC187" s="140"/>
      <c r="AD187" s="87"/>
      <c r="AE187" s="87"/>
      <c r="AF187" s="87"/>
      <c r="AG187" s="141"/>
    </row>
    <row r="188" spans="1:33" ht="18">
      <c r="A188" s="166" t="s">
        <v>1523</v>
      </c>
      <c r="B188" s="167" t="s">
        <v>1231</v>
      </c>
      <c r="C188" s="167" t="s">
        <v>997</v>
      </c>
      <c r="D188" s="143" t="str">
        <f>"PRD_SNJ_"&amp;
_xlfn.XLOOKUP(商品マスタ[[#This Row],[仕入先]],テーブル1[仕入先名],テーブル1[仕入先コード],"XXX",0,1)&amp;
"_"&amp;
商品マスタ[[#This Row],[シリアル]]&amp;
"_"&amp;
TEXT(COUNTIFS(商品マスタ!$C$3:C188,商品マスタ[[#This Row],[仕入先]],商品マスタ!$E$3:E188,商品マスタ[[#This Row],[商品名]]), "00")</f>
        <v>PRD_SNJ_GGM_0058_01</v>
      </c>
      <c r="E188" s="87" t="s">
        <v>607</v>
      </c>
      <c r="F188" s="87">
        <f>IF(COUNTIFS($C$3:C188,商品マスタ[[#This Row],[仕入先]],$E$3:E188,商品マスタ[[#This Row],[商品名]]) = 1, 1,0)</f>
        <v>1</v>
      </c>
      <c r="G188" s="133" t="str">
        <f>TEXT(SUMIF($C$3:C188,商品マスタ[[#This Row],[仕入先]],$F$3:F188), "0000")</f>
        <v>0058</v>
      </c>
      <c r="H188" s="87" t="s">
        <v>365</v>
      </c>
      <c r="I188" s="87" t="s">
        <v>608</v>
      </c>
      <c r="J188" s="87" t="s">
        <v>376</v>
      </c>
      <c r="K188" s="87" t="s">
        <v>442</v>
      </c>
      <c r="L188" s="134">
        <v>2800</v>
      </c>
      <c r="M188" s="157">
        <v>45834</v>
      </c>
      <c r="N188" s="134"/>
      <c r="O188" s="135" t="str">
        <f>IF(COUNT(商品マスタ[[#This Row],[参考上代
（税込)]]) &gt; 0, (商品マスタ[[#This Row],[参考上代
（税込)]]-商品マスタ[[#This Row],[国内定価
（15％）]])/(商品マスタ[[#This Row],[参考上代
（税込)]]/1.08), "")</f>
        <v/>
      </c>
      <c r="P188" s="136">
        <v>0.1</v>
      </c>
      <c r="Q188" s="137">
        <f>商品マスタ[[#This Row],[仕入
単価]]*商品マスタ[[#This Row],[標準国内送料率]]</f>
        <v>280</v>
      </c>
      <c r="R188" s="134"/>
      <c r="S188" s="134">
        <f>IF(ISBLANK(商品マスタ[[#This Row],[実績
国内送料]]),商品マスタ[[#This Row],[標準国内送料]],)</f>
        <v>280</v>
      </c>
      <c r="T188" s="134">
        <f>商品マスタ[[#This Row],[仕入
単価]]+商品マスタ[[#This Row],[国内送料]]</f>
        <v>3080</v>
      </c>
      <c r="U188" s="134">
        <f>ROUNDUP(商品マスタ[[#This Row],[仕入単価+国内送料]]/0.8,-1)</f>
        <v>3850</v>
      </c>
      <c r="V188" s="134">
        <f>商品マスタ[[#This Row],[海外定価
（20％）]]-商品マスタ[[#This Row],[仕入単価+国内送料]]</f>
        <v>770</v>
      </c>
      <c r="W188" s="87">
        <f>ROUNDUP(商品マスタ[[#This Row],[仕入単価+国内送料]]/0.85,-1)</f>
        <v>3630</v>
      </c>
      <c r="X188" s="134">
        <f>商品マスタ[[#This Row],[国内定価
（15％）]]-商品マスタ[[#This Row],[仕入単価+国内送料]]</f>
        <v>550</v>
      </c>
      <c r="Y188" s="139">
        <v>0.08</v>
      </c>
      <c r="Z188" s="87"/>
      <c r="AA188" s="87"/>
      <c r="AB188" s="87"/>
      <c r="AC188" s="140"/>
      <c r="AD188" s="87"/>
      <c r="AE188" s="87"/>
      <c r="AF188" s="87"/>
      <c r="AG188" s="141"/>
    </row>
    <row r="189" spans="1:33" ht="18">
      <c r="A189" s="166" t="s">
        <v>1523</v>
      </c>
      <c r="B189" s="167" t="s">
        <v>1231</v>
      </c>
      <c r="C189" s="167" t="s">
        <v>997</v>
      </c>
      <c r="D189" s="143" t="str">
        <f>"PRD_SNJ_"&amp;
_xlfn.XLOOKUP(商品マスタ[[#This Row],[仕入先]],テーブル1[仕入先名],テーブル1[仕入先コード],"XXX",0,1)&amp;
"_"&amp;
商品マスタ[[#This Row],[シリアル]]&amp;
"_"&amp;
TEXT(COUNTIFS(商品マスタ!$C$3:C189,商品マスタ[[#This Row],[仕入先]],商品マスタ!$E$3:E189,商品マスタ[[#This Row],[商品名]]), "00")</f>
        <v>PRD_SNJ_GGM_0059_01</v>
      </c>
      <c r="E189" s="87" t="s">
        <v>609</v>
      </c>
      <c r="F189" s="87">
        <f>IF(COUNTIFS($C$3:C189,商品マスタ[[#This Row],[仕入先]],$E$3:E189,商品マスタ[[#This Row],[商品名]]) = 1, 1,0)</f>
        <v>1</v>
      </c>
      <c r="G189" s="133" t="str">
        <f>TEXT(SUMIF($C$3:C189,商品マスタ[[#This Row],[仕入先]],$F$3:F189), "0000")</f>
        <v>0059</v>
      </c>
      <c r="H189" s="87" t="s">
        <v>365</v>
      </c>
      <c r="I189" s="87" t="s">
        <v>571</v>
      </c>
      <c r="J189" s="87" t="s">
        <v>376</v>
      </c>
      <c r="K189" s="87" t="s">
        <v>442</v>
      </c>
      <c r="L189" s="134">
        <v>2500</v>
      </c>
      <c r="M189" s="157">
        <v>45834</v>
      </c>
      <c r="N189" s="134"/>
      <c r="O189" s="135" t="str">
        <f>IF(COUNT(商品マスタ[[#This Row],[参考上代
（税込)]]) &gt; 0, (商品マスタ[[#This Row],[参考上代
（税込)]]-商品マスタ[[#This Row],[国内定価
（15％）]])/(商品マスタ[[#This Row],[参考上代
（税込)]]/1.08), "")</f>
        <v/>
      </c>
      <c r="P189" s="136">
        <v>0.1</v>
      </c>
      <c r="Q189" s="137">
        <f>商品マスタ[[#This Row],[仕入
単価]]*商品マスタ[[#This Row],[標準国内送料率]]</f>
        <v>250</v>
      </c>
      <c r="R189" s="134"/>
      <c r="S189" s="134">
        <f>IF(ISBLANK(商品マスタ[[#This Row],[実績
国内送料]]),商品マスタ[[#This Row],[標準国内送料]],)</f>
        <v>250</v>
      </c>
      <c r="T189" s="134">
        <f>商品マスタ[[#This Row],[仕入
単価]]+商品マスタ[[#This Row],[国内送料]]</f>
        <v>2750</v>
      </c>
      <c r="U189" s="134">
        <f>ROUNDUP(商品マスタ[[#This Row],[仕入単価+国内送料]]/0.8,-1)</f>
        <v>3440</v>
      </c>
      <c r="V189" s="134">
        <f>商品マスタ[[#This Row],[海外定価
（20％）]]-商品マスタ[[#This Row],[仕入単価+国内送料]]</f>
        <v>690</v>
      </c>
      <c r="W189" s="87">
        <f>ROUNDUP(商品マスタ[[#This Row],[仕入単価+国内送料]]/0.85,-1)</f>
        <v>3240</v>
      </c>
      <c r="X189" s="134">
        <f>商品マスタ[[#This Row],[国内定価
（15％）]]-商品マスタ[[#This Row],[仕入単価+国内送料]]</f>
        <v>490</v>
      </c>
      <c r="Y189" s="139">
        <v>0.08</v>
      </c>
      <c r="Z189" s="87"/>
      <c r="AA189" s="87"/>
      <c r="AB189" s="87"/>
      <c r="AC189" s="140"/>
      <c r="AD189" s="87"/>
      <c r="AE189" s="87"/>
      <c r="AF189" s="87"/>
      <c r="AG189" s="141"/>
    </row>
    <row r="190" spans="1:33" ht="18">
      <c r="A190" s="166" t="s">
        <v>1523</v>
      </c>
      <c r="B190" s="167" t="s">
        <v>1231</v>
      </c>
      <c r="C190" s="167" t="s">
        <v>997</v>
      </c>
      <c r="D190" s="143" t="str">
        <f>"PRD_SNJ_"&amp;
_xlfn.XLOOKUP(商品マスタ[[#This Row],[仕入先]],テーブル1[仕入先名],テーブル1[仕入先コード],"XXX",0,1)&amp;
"_"&amp;
商品マスタ[[#This Row],[シリアル]]&amp;
"_"&amp;
TEXT(COUNTIFS(商品マスタ!$C$3:C190,商品マスタ[[#This Row],[仕入先]],商品マスタ!$E$3:E190,商品マスタ[[#This Row],[商品名]]), "00")</f>
        <v>PRD_SNJ_GGM_0060_01</v>
      </c>
      <c r="E190" s="87" t="s">
        <v>610</v>
      </c>
      <c r="F190" s="87">
        <f>IF(COUNTIFS($C$3:C190,商品マスタ[[#This Row],[仕入先]],$E$3:E190,商品マスタ[[#This Row],[商品名]]) = 1, 1,0)</f>
        <v>1</v>
      </c>
      <c r="G190" s="133" t="str">
        <f>TEXT(SUMIF($C$3:C190,商品マスタ[[#This Row],[仕入先]],$F$3:F190), "0000")</f>
        <v>0060</v>
      </c>
      <c r="H190" s="87" t="s">
        <v>365</v>
      </c>
      <c r="I190" s="87" t="s">
        <v>508</v>
      </c>
      <c r="J190" s="87" t="s">
        <v>376</v>
      </c>
      <c r="K190" s="87" t="s">
        <v>442</v>
      </c>
      <c r="L190" s="134">
        <v>2500</v>
      </c>
      <c r="M190" s="157">
        <v>45834</v>
      </c>
      <c r="N190" s="134"/>
      <c r="O190" s="135" t="str">
        <f>IF(COUNT(商品マスタ[[#This Row],[参考上代
（税込)]]) &gt; 0, (商品マスタ[[#This Row],[参考上代
（税込)]]-商品マスタ[[#This Row],[国内定価
（15％）]])/(商品マスタ[[#This Row],[参考上代
（税込)]]/1.08), "")</f>
        <v/>
      </c>
      <c r="P190" s="136">
        <v>0.1</v>
      </c>
      <c r="Q190" s="137">
        <f>商品マスタ[[#This Row],[仕入
単価]]*商品マスタ[[#This Row],[標準国内送料率]]</f>
        <v>250</v>
      </c>
      <c r="R190" s="134"/>
      <c r="S190" s="134">
        <f>IF(ISBLANK(商品マスタ[[#This Row],[実績
国内送料]]),商品マスタ[[#This Row],[標準国内送料]],)</f>
        <v>250</v>
      </c>
      <c r="T190" s="134">
        <f>商品マスタ[[#This Row],[仕入
単価]]+商品マスタ[[#This Row],[国内送料]]</f>
        <v>2750</v>
      </c>
      <c r="U190" s="134">
        <f>ROUNDUP(商品マスタ[[#This Row],[仕入単価+国内送料]]/0.8,-1)</f>
        <v>3440</v>
      </c>
      <c r="V190" s="134">
        <f>商品マスタ[[#This Row],[海外定価
（20％）]]-商品マスタ[[#This Row],[仕入単価+国内送料]]</f>
        <v>690</v>
      </c>
      <c r="W190" s="87">
        <f>ROUNDUP(商品マスタ[[#This Row],[仕入単価+国内送料]]/0.85,-1)</f>
        <v>3240</v>
      </c>
      <c r="X190" s="134">
        <f>商品マスタ[[#This Row],[国内定価
（15％）]]-商品マスタ[[#This Row],[仕入単価+国内送料]]</f>
        <v>490</v>
      </c>
      <c r="Y190" s="139">
        <v>0.08</v>
      </c>
      <c r="Z190" s="87"/>
      <c r="AA190" s="87"/>
      <c r="AB190" s="87"/>
      <c r="AC190" s="140"/>
      <c r="AD190" s="87"/>
      <c r="AE190" s="87"/>
      <c r="AF190" s="87"/>
      <c r="AG190" s="141"/>
    </row>
    <row r="191" spans="1:33" ht="18">
      <c r="A191" s="166" t="s">
        <v>1523</v>
      </c>
      <c r="B191" s="167" t="s">
        <v>1231</v>
      </c>
      <c r="C191" s="167" t="s">
        <v>997</v>
      </c>
      <c r="D191" s="143" t="str">
        <f>"PRD_SNJ_"&amp;
_xlfn.XLOOKUP(商品マスタ[[#This Row],[仕入先]],テーブル1[仕入先名],テーブル1[仕入先コード],"XXX",0,1)&amp;
"_"&amp;
商品マスタ[[#This Row],[シリアル]]&amp;
"_"&amp;
TEXT(COUNTIFS(商品マスタ!$C$3:C191,商品マスタ[[#This Row],[仕入先]],商品マスタ!$E$3:E191,商品マスタ[[#This Row],[商品名]]), "00")</f>
        <v>PRD_SNJ_GGM_0061_01</v>
      </c>
      <c r="E191" s="87" t="s">
        <v>611</v>
      </c>
      <c r="F191" s="87">
        <f>IF(COUNTIFS($C$3:C191,商品マスタ[[#This Row],[仕入先]],$E$3:E191,商品マスタ[[#This Row],[商品名]]) = 1, 1,0)</f>
        <v>1</v>
      </c>
      <c r="G191" s="133" t="str">
        <f>TEXT(SUMIF($C$3:C191,商品マスタ[[#This Row],[仕入先]],$F$3:F191), "0000")</f>
        <v>0061</v>
      </c>
      <c r="H191" s="87" t="s">
        <v>365</v>
      </c>
      <c r="I191" s="87" t="s">
        <v>548</v>
      </c>
      <c r="J191" s="87" t="s">
        <v>376</v>
      </c>
      <c r="K191" s="87" t="s">
        <v>612</v>
      </c>
      <c r="L191" s="134">
        <v>3500</v>
      </c>
      <c r="M191" s="157">
        <v>45834</v>
      </c>
      <c r="N191" s="134"/>
      <c r="O191" s="135" t="str">
        <f>IF(COUNT(商品マスタ[[#This Row],[参考上代
（税込)]]) &gt; 0, (商品マスタ[[#This Row],[参考上代
（税込)]]-商品マスタ[[#This Row],[国内定価
（15％）]])/(商品マスタ[[#This Row],[参考上代
（税込)]]/1.08), "")</f>
        <v/>
      </c>
      <c r="P191" s="136">
        <v>0.1</v>
      </c>
      <c r="Q191" s="137">
        <f>商品マスタ[[#This Row],[仕入
単価]]*商品マスタ[[#This Row],[標準国内送料率]]</f>
        <v>350</v>
      </c>
      <c r="R191" s="134"/>
      <c r="S191" s="134">
        <f>IF(ISBLANK(商品マスタ[[#This Row],[実績
国内送料]]),商品マスタ[[#This Row],[標準国内送料]],)</f>
        <v>350</v>
      </c>
      <c r="T191" s="134">
        <f>商品マスタ[[#This Row],[仕入
単価]]+商品マスタ[[#This Row],[国内送料]]</f>
        <v>3850</v>
      </c>
      <c r="U191" s="134">
        <f>ROUNDUP(商品マスタ[[#This Row],[仕入単価+国内送料]]/0.8,-1)</f>
        <v>4820</v>
      </c>
      <c r="V191" s="134">
        <f>商品マスタ[[#This Row],[海外定価
（20％）]]-商品マスタ[[#This Row],[仕入単価+国内送料]]</f>
        <v>970</v>
      </c>
      <c r="W191" s="87">
        <f>ROUNDUP(商品マスタ[[#This Row],[仕入単価+国内送料]]/0.85,-1)</f>
        <v>4530</v>
      </c>
      <c r="X191" s="134">
        <f>商品マスタ[[#This Row],[国内定価
（15％）]]-商品マスタ[[#This Row],[仕入単価+国内送料]]</f>
        <v>680</v>
      </c>
      <c r="Y191" s="139">
        <v>0.08</v>
      </c>
      <c r="Z191" s="87"/>
      <c r="AA191" s="87"/>
      <c r="AB191" s="87"/>
      <c r="AC191" s="140"/>
      <c r="AD191" s="87"/>
      <c r="AE191" s="87"/>
      <c r="AF191" s="87"/>
      <c r="AG191" s="141"/>
    </row>
    <row r="192" spans="1:33" ht="18">
      <c r="A192" s="166" t="s">
        <v>1523</v>
      </c>
      <c r="B192" s="167" t="s">
        <v>1231</v>
      </c>
      <c r="C192" s="167" t="s">
        <v>997</v>
      </c>
      <c r="D192" s="143" t="str">
        <f>"PRD_SNJ_"&amp;
_xlfn.XLOOKUP(商品マスタ[[#This Row],[仕入先]],テーブル1[仕入先名],テーブル1[仕入先コード],"XXX",0,1)&amp;
"_"&amp;
商品マスタ[[#This Row],[シリアル]]&amp;
"_"&amp;
TEXT(COUNTIFS(商品マスタ!$C$3:C192,商品マスタ[[#This Row],[仕入先]],商品マスタ!$E$3:E192,商品マスタ[[#This Row],[商品名]]), "00")</f>
        <v>PRD_SNJ_GGM_0062_01</v>
      </c>
      <c r="E192" s="87" t="s">
        <v>613</v>
      </c>
      <c r="F192" s="87">
        <f>IF(COUNTIFS($C$3:C192,商品マスタ[[#This Row],[仕入先]],$E$3:E192,商品マスタ[[#This Row],[商品名]]) = 1, 1,0)</f>
        <v>1</v>
      </c>
      <c r="G192" s="133" t="str">
        <f>TEXT(SUMIF($C$3:C192,商品マスタ[[#This Row],[仕入先]],$F$3:F192), "0000")</f>
        <v>0062</v>
      </c>
      <c r="H192" s="87" t="s">
        <v>365</v>
      </c>
      <c r="I192" s="87" t="s">
        <v>600</v>
      </c>
      <c r="J192" s="87" t="s">
        <v>376</v>
      </c>
      <c r="K192" s="87" t="s">
        <v>442</v>
      </c>
      <c r="L192" s="134">
        <v>2300</v>
      </c>
      <c r="M192" s="157">
        <v>45834</v>
      </c>
      <c r="N192" s="134"/>
      <c r="O192" s="135" t="str">
        <f>IF(COUNT(商品マスタ[[#This Row],[参考上代
（税込)]]) &gt; 0, (商品マスタ[[#This Row],[参考上代
（税込)]]-商品マスタ[[#This Row],[国内定価
（15％）]])/(商品マスタ[[#This Row],[参考上代
（税込)]]/1.08), "")</f>
        <v/>
      </c>
      <c r="P192" s="136">
        <v>0.1</v>
      </c>
      <c r="Q192" s="137">
        <f>商品マスタ[[#This Row],[仕入
単価]]*商品マスタ[[#This Row],[標準国内送料率]]</f>
        <v>230</v>
      </c>
      <c r="R192" s="134"/>
      <c r="S192" s="134">
        <f>IF(ISBLANK(商品マスタ[[#This Row],[実績
国内送料]]),商品マスタ[[#This Row],[標準国内送料]],)</f>
        <v>230</v>
      </c>
      <c r="T192" s="134">
        <f>商品マスタ[[#This Row],[仕入
単価]]+商品マスタ[[#This Row],[国内送料]]</f>
        <v>2530</v>
      </c>
      <c r="U192" s="134">
        <f>ROUNDUP(商品マスタ[[#This Row],[仕入単価+国内送料]]/0.8,-1)</f>
        <v>3170</v>
      </c>
      <c r="V192" s="134">
        <f>商品マスタ[[#This Row],[海外定価
（20％）]]-商品マスタ[[#This Row],[仕入単価+国内送料]]</f>
        <v>640</v>
      </c>
      <c r="W192" s="87">
        <f>ROUNDUP(商品マスタ[[#This Row],[仕入単価+国内送料]]/0.85,-1)</f>
        <v>2980</v>
      </c>
      <c r="X192" s="134">
        <f>商品マスタ[[#This Row],[国内定価
（15％）]]-商品マスタ[[#This Row],[仕入単価+国内送料]]</f>
        <v>450</v>
      </c>
      <c r="Y192" s="139">
        <v>0.08</v>
      </c>
      <c r="Z192" s="87"/>
      <c r="AA192" s="87"/>
      <c r="AB192" s="87"/>
      <c r="AC192" s="140"/>
      <c r="AD192" s="87"/>
      <c r="AE192" s="87"/>
      <c r="AF192" s="87"/>
      <c r="AG192" s="141"/>
    </row>
    <row r="193" spans="1:33" ht="18">
      <c r="A193" s="166" t="s">
        <v>1523</v>
      </c>
      <c r="B193" s="167" t="s">
        <v>1231</v>
      </c>
      <c r="C193" s="167" t="s">
        <v>997</v>
      </c>
      <c r="D193" s="143" t="str">
        <f>"PRD_SNJ_"&amp;
_xlfn.XLOOKUP(商品マスタ[[#This Row],[仕入先]],テーブル1[仕入先名],テーブル1[仕入先コード],"XXX",0,1)&amp;
"_"&amp;
商品マスタ[[#This Row],[シリアル]]&amp;
"_"&amp;
TEXT(COUNTIFS(商品マスタ!$C$3:C193,商品マスタ[[#This Row],[仕入先]],商品マスタ!$E$3:E193,商品マスタ[[#This Row],[商品名]]), "00")</f>
        <v>PRD_SNJ_GGM_0063_01</v>
      </c>
      <c r="E193" s="87" t="s">
        <v>614</v>
      </c>
      <c r="F193" s="87">
        <f>IF(COUNTIFS($C$3:C193,商品マスタ[[#This Row],[仕入先]],$E$3:E193,商品マスタ[[#This Row],[商品名]]) = 1, 1,0)</f>
        <v>1</v>
      </c>
      <c r="G193" s="133" t="str">
        <f>TEXT(SUMIF($C$3:C193,商品マスタ[[#This Row],[仕入先]],$F$3:F193), "0000")</f>
        <v>0063</v>
      </c>
      <c r="H193" s="87" t="s">
        <v>365</v>
      </c>
      <c r="I193" s="87" t="s">
        <v>600</v>
      </c>
      <c r="J193" s="87" t="s">
        <v>376</v>
      </c>
      <c r="K193" s="87" t="s">
        <v>442</v>
      </c>
      <c r="L193" s="134">
        <v>2700</v>
      </c>
      <c r="M193" s="157">
        <v>45834</v>
      </c>
      <c r="N193" s="134"/>
      <c r="O193" s="135" t="str">
        <f>IF(COUNT(商品マスタ[[#This Row],[参考上代
（税込)]]) &gt; 0, (商品マスタ[[#This Row],[参考上代
（税込)]]-商品マスタ[[#This Row],[国内定価
（15％）]])/(商品マスタ[[#This Row],[参考上代
（税込)]]/1.08), "")</f>
        <v/>
      </c>
      <c r="P193" s="136">
        <v>0.1</v>
      </c>
      <c r="Q193" s="137">
        <f>商品マスタ[[#This Row],[仕入
単価]]*商品マスタ[[#This Row],[標準国内送料率]]</f>
        <v>270</v>
      </c>
      <c r="R193" s="134"/>
      <c r="S193" s="134">
        <f>IF(ISBLANK(商品マスタ[[#This Row],[実績
国内送料]]),商品マスタ[[#This Row],[標準国内送料]],)</f>
        <v>270</v>
      </c>
      <c r="T193" s="134">
        <f>商品マスタ[[#This Row],[仕入
単価]]+商品マスタ[[#This Row],[国内送料]]</f>
        <v>2970</v>
      </c>
      <c r="U193" s="134">
        <f>ROUNDUP(商品マスタ[[#This Row],[仕入単価+国内送料]]/0.8,-1)</f>
        <v>3720</v>
      </c>
      <c r="V193" s="134">
        <f>商品マスタ[[#This Row],[海外定価
（20％）]]-商品マスタ[[#This Row],[仕入単価+国内送料]]</f>
        <v>750</v>
      </c>
      <c r="W193" s="87">
        <f>ROUNDUP(商品マスタ[[#This Row],[仕入単価+国内送料]]/0.85,-1)</f>
        <v>3500</v>
      </c>
      <c r="X193" s="134">
        <f>商品マスタ[[#This Row],[国内定価
（15％）]]-商品マスタ[[#This Row],[仕入単価+国内送料]]</f>
        <v>530</v>
      </c>
      <c r="Y193" s="139">
        <v>0.08</v>
      </c>
      <c r="Z193" s="87"/>
      <c r="AA193" s="87"/>
      <c r="AB193" s="87"/>
      <c r="AC193" s="140"/>
      <c r="AD193" s="87"/>
      <c r="AE193" s="87"/>
      <c r="AF193" s="87"/>
      <c r="AG193" s="141"/>
    </row>
    <row r="194" spans="1:33" ht="18">
      <c r="A194" s="166" t="s">
        <v>1523</v>
      </c>
      <c r="B194" s="167" t="s">
        <v>1231</v>
      </c>
      <c r="C194" s="167" t="s">
        <v>997</v>
      </c>
      <c r="D194" s="143" t="str">
        <f>"PRD_SNJ_"&amp;
_xlfn.XLOOKUP(商品マスタ[[#This Row],[仕入先]],テーブル1[仕入先名],テーブル1[仕入先コード],"XXX",0,1)&amp;
"_"&amp;
商品マスタ[[#This Row],[シリアル]]&amp;
"_"&amp;
TEXT(COUNTIFS(商品マスタ!$C$3:C194,商品マスタ[[#This Row],[仕入先]],商品マスタ!$E$3:E194,商品マスタ[[#This Row],[商品名]]), "00")</f>
        <v>PRD_SNJ_GGM_0064_01</v>
      </c>
      <c r="E194" s="87" t="s">
        <v>615</v>
      </c>
      <c r="F194" s="87">
        <f>IF(COUNTIFS($C$3:C194,商品マスタ[[#This Row],[仕入先]],$E$3:E194,商品マスタ[[#This Row],[商品名]]) = 1, 1,0)</f>
        <v>1</v>
      </c>
      <c r="G194" s="133" t="str">
        <f>TEXT(SUMIF($C$3:C194,商品マスタ[[#This Row],[仕入先]],$F$3:F194), "0000")</f>
        <v>0064</v>
      </c>
      <c r="H194" s="87" t="s">
        <v>365</v>
      </c>
      <c r="I194" s="87" t="s">
        <v>600</v>
      </c>
      <c r="J194" s="87" t="s">
        <v>376</v>
      </c>
      <c r="K194" s="87" t="s">
        <v>442</v>
      </c>
      <c r="L194" s="134">
        <v>500</v>
      </c>
      <c r="M194" s="157">
        <v>45834</v>
      </c>
      <c r="N194" s="134"/>
      <c r="O194" s="135" t="str">
        <f>IF(COUNT(商品マスタ[[#This Row],[参考上代
（税込)]]) &gt; 0, (商品マスタ[[#This Row],[参考上代
（税込)]]-商品マスタ[[#This Row],[国内定価
（15％）]])/(商品マスタ[[#This Row],[参考上代
（税込)]]/1.08), "")</f>
        <v/>
      </c>
      <c r="P194" s="136">
        <v>0.1</v>
      </c>
      <c r="Q194" s="137">
        <f>商品マスタ[[#This Row],[仕入
単価]]*商品マスタ[[#This Row],[標準国内送料率]]</f>
        <v>50</v>
      </c>
      <c r="R194" s="134"/>
      <c r="S194" s="134">
        <f>IF(ISBLANK(商品マスタ[[#This Row],[実績
国内送料]]),商品マスタ[[#This Row],[標準国内送料]],)</f>
        <v>50</v>
      </c>
      <c r="T194" s="134">
        <f>商品マスタ[[#This Row],[仕入
単価]]+商品マスタ[[#This Row],[国内送料]]</f>
        <v>550</v>
      </c>
      <c r="U194" s="134">
        <f>ROUNDUP(商品マスタ[[#This Row],[仕入単価+国内送料]]/0.8,-1)</f>
        <v>690</v>
      </c>
      <c r="V194" s="134">
        <f>商品マスタ[[#This Row],[海外定価
（20％）]]-商品マスタ[[#This Row],[仕入単価+国内送料]]</f>
        <v>140</v>
      </c>
      <c r="W194" s="87">
        <f>ROUNDUP(商品マスタ[[#This Row],[仕入単価+国内送料]]/0.85,-1)</f>
        <v>650</v>
      </c>
      <c r="X194" s="134">
        <f>商品マスタ[[#This Row],[国内定価
（15％）]]-商品マスタ[[#This Row],[仕入単価+国内送料]]</f>
        <v>100</v>
      </c>
      <c r="Y194" s="139">
        <v>0.08</v>
      </c>
      <c r="Z194" s="87"/>
      <c r="AA194" s="87"/>
      <c r="AB194" s="87"/>
      <c r="AC194" s="140"/>
      <c r="AD194" s="87"/>
      <c r="AE194" s="87"/>
      <c r="AF194" s="87"/>
      <c r="AG194" s="141"/>
    </row>
    <row r="195" spans="1:33" ht="18">
      <c r="A195" s="166" t="s">
        <v>1523</v>
      </c>
      <c r="B195" s="167" t="s">
        <v>1231</v>
      </c>
      <c r="C195" s="167" t="s">
        <v>997</v>
      </c>
      <c r="D195" s="143" t="str">
        <f>"PRD_SNJ_"&amp;
_xlfn.XLOOKUP(商品マスタ[[#This Row],[仕入先]],テーブル1[仕入先名],テーブル1[仕入先コード],"XXX",0,1)&amp;
"_"&amp;
商品マスタ[[#This Row],[シリアル]]&amp;
"_"&amp;
TEXT(COUNTIFS(商品マスタ!$C$3:C195,商品マスタ[[#This Row],[仕入先]],商品マスタ!$E$3:E195,商品マスタ[[#This Row],[商品名]]), "00")</f>
        <v>PRD_SNJ_GGM_0065_01</v>
      </c>
      <c r="E195" s="87" t="s">
        <v>616</v>
      </c>
      <c r="F195" s="87">
        <f>IF(COUNTIFS($C$3:C195,商品マスタ[[#This Row],[仕入先]],$E$3:E195,商品マスタ[[#This Row],[商品名]]) = 1, 1,0)</f>
        <v>1</v>
      </c>
      <c r="G195" s="133" t="str">
        <f>TEXT(SUMIF($C$3:C195,商品マスタ[[#This Row],[仕入先]],$F$3:F195), "0000")</f>
        <v>0065</v>
      </c>
      <c r="H195" s="87" t="s">
        <v>365</v>
      </c>
      <c r="I195" s="87" t="s">
        <v>600</v>
      </c>
      <c r="J195" s="87" t="s">
        <v>376</v>
      </c>
      <c r="K195" s="87" t="s">
        <v>617</v>
      </c>
      <c r="L195" s="134">
        <v>500</v>
      </c>
      <c r="M195" s="157">
        <v>45834</v>
      </c>
      <c r="N195" s="134"/>
      <c r="O195" s="135" t="str">
        <f>IF(COUNT(商品マスタ[[#This Row],[参考上代
（税込)]]) &gt; 0, (商品マスタ[[#This Row],[参考上代
（税込)]]-商品マスタ[[#This Row],[国内定価
（15％）]])/(商品マスタ[[#This Row],[参考上代
（税込)]]/1.08), "")</f>
        <v/>
      </c>
      <c r="P195" s="136">
        <v>0.1</v>
      </c>
      <c r="Q195" s="137">
        <f>商品マスタ[[#This Row],[仕入
単価]]*商品マスタ[[#This Row],[標準国内送料率]]</f>
        <v>50</v>
      </c>
      <c r="R195" s="134"/>
      <c r="S195" s="134">
        <f>IF(ISBLANK(商品マスタ[[#This Row],[実績
国内送料]]),商品マスタ[[#This Row],[標準国内送料]],)</f>
        <v>50</v>
      </c>
      <c r="T195" s="134">
        <f>商品マスタ[[#This Row],[仕入
単価]]+商品マスタ[[#This Row],[国内送料]]</f>
        <v>550</v>
      </c>
      <c r="U195" s="134">
        <f>ROUNDUP(商品マスタ[[#This Row],[仕入単価+国内送料]]/0.8,-1)</f>
        <v>690</v>
      </c>
      <c r="V195" s="134">
        <f>商品マスタ[[#This Row],[海外定価
（20％）]]-商品マスタ[[#This Row],[仕入単価+国内送料]]</f>
        <v>140</v>
      </c>
      <c r="W195" s="87">
        <f>ROUNDUP(商品マスタ[[#This Row],[仕入単価+国内送料]]/0.85,-1)</f>
        <v>650</v>
      </c>
      <c r="X195" s="134">
        <f>商品マスタ[[#This Row],[国内定価
（15％）]]-商品マスタ[[#This Row],[仕入単価+国内送料]]</f>
        <v>100</v>
      </c>
      <c r="Y195" s="139">
        <v>0.08</v>
      </c>
      <c r="Z195" s="87"/>
      <c r="AA195" s="87"/>
      <c r="AB195" s="87"/>
      <c r="AC195" s="140"/>
      <c r="AD195" s="87"/>
      <c r="AE195" s="87"/>
      <c r="AF195" s="87"/>
      <c r="AG195" s="141"/>
    </row>
    <row r="196" spans="1:33" ht="18">
      <c r="A196" s="166" t="s">
        <v>1523</v>
      </c>
      <c r="B196" s="167" t="s">
        <v>1231</v>
      </c>
      <c r="C196" s="167" t="s">
        <v>997</v>
      </c>
      <c r="D196" s="143" t="str">
        <f>"PRD_SNJ_"&amp;
_xlfn.XLOOKUP(商品マスタ[[#This Row],[仕入先]],テーブル1[仕入先名],テーブル1[仕入先コード],"XXX",0,1)&amp;
"_"&amp;
商品マスタ[[#This Row],[シリアル]]&amp;
"_"&amp;
TEXT(COUNTIFS(商品マスタ!$C$3:C196,商品マスタ[[#This Row],[仕入先]],商品マスタ!$E$3:E196,商品マスタ[[#This Row],[商品名]]), "00")</f>
        <v>PRD_SNJ_GGM_0066_01</v>
      </c>
      <c r="E196" s="87" t="s">
        <v>618</v>
      </c>
      <c r="F196" s="87">
        <f>IF(COUNTIFS($C$3:C196,商品マスタ[[#This Row],[仕入先]],$E$3:E196,商品マスタ[[#This Row],[商品名]]) = 1, 1,0)</f>
        <v>1</v>
      </c>
      <c r="G196" s="133" t="str">
        <f>TEXT(SUMIF($C$3:C196,商品マスタ[[#This Row],[仕入先]],$F$3:F196), "0000")</f>
        <v>0066</v>
      </c>
      <c r="H196" s="87" t="s">
        <v>365</v>
      </c>
      <c r="I196" s="87" t="s">
        <v>600</v>
      </c>
      <c r="J196" s="87" t="s">
        <v>376</v>
      </c>
      <c r="K196" s="87" t="s">
        <v>619</v>
      </c>
      <c r="L196" s="134">
        <v>600</v>
      </c>
      <c r="M196" s="157">
        <v>45834</v>
      </c>
      <c r="N196" s="134"/>
      <c r="O196" s="135" t="str">
        <f>IF(COUNT(商品マスタ[[#This Row],[参考上代
（税込)]]) &gt; 0, (商品マスタ[[#This Row],[参考上代
（税込)]]-商品マスタ[[#This Row],[国内定価
（15％）]])/(商品マスタ[[#This Row],[参考上代
（税込)]]/1.08), "")</f>
        <v/>
      </c>
      <c r="P196" s="136">
        <v>0.1</v>
      </c>
      <c r="Q196" s="137">
        <f>商品マスタ[[#This Row],[仕入
単価]]*商品マスタ[[#This Row],[標準国内送料率]]</f>
        <v>60</v>
      </c>
      <c r="R196" s="134"/>
      <c r="S196" s="134">
        <f>IF(ISBLANK(商品マスタ[[#This Row],[実績
国内送料]]),商品マスタ[[#This Row],[標準国内送料]],)</f>
        <v>60</v>
      </c>
      <c r="T196" s="134">
        <f>商品マスタ[[#This Row],[仕入
単価]]+商品マスタ[[#This Row],[国内送料]]</f>
        <v>660</v>
      </c>
      <c r="U196" s="134">
        <f>ROUNDUP(商品マスタ[[#This Row],[仕入単価+国内送料]]/0.8,-1)</f>
        <v>830</v>
      </c>
      <c r="V196" s="134">
        <f>商品マスタ[[#This Row],[海外定価
（20％）]]-商品マスタ[[#This Row],[仕入単価+国内送料]]</f>
        <v>170</v>
      </c>
      <c r="W196" s="87">
        <f>ROUNDUP(商品マスタ[[#This Row],[仕入単価+国内送料]]/0.85,-1)</f>
        <v>780</v>
      </c>
      <c r="X196" s="134">
        <f>商品マスタ[[#This Row],[国内定価
（15％）]]-商品マスタ[[#This Row],[仕入単価+国内送料]]</f>
        <v>120</v>
      </c>
      <c r="Y196" s="139">
        <v>0.08</v>
      </c>
      <c r="Z196" s="87"/>
      <c r="AA196" s="87"/>
      <c r="AB196" s="87"/>
      <c r="AC196" s="140"/>
      <c r="AD196" s="87"/>
      <c r="AE196" s="87"/>
      <c r="AF196" s="87"/>
      <c r="AG196" s="141"/>
    </row>
    <row r="197" spans="1:33" ht="18">
      <c r="A197" s="166" t="s">
        <v>1523</v>
      </c>
      <c r="B197" s="167" t="s">
        <v>1231</v>
      </c>
      <c r="C197" s="167" t="s">
        <v>997</v>
      </c>
      <c r="D197" s="143" t="str">
        <f>"PRD_SNJ_"&amp;
_xlfn.XLOOKUP(商品マスタ[[#This Row],[仕入先]],テーブル1[仕入先名],テーブル1[仕入先コード],"XXX",0,1)&amp;
"_"&amp;
商品マスタ[[#This Row],[シリアル]]&amp;
"_"&amp;
TEXT(COUNTIFS(商品マスタ!$C$3:C197,商品マスタ[[#This Row],[仕入先]],商品マスタ!$E$3:E197,商品マスタ[[#This Row],[商品名]]), "00")</f>
        <v>PRD_SNJ_GGM_0067_01</v>
      </c>
      <c r="E197" s="87" t="s">
        <v>620</v>
      </c>
      <c r="F197" s="87">
        <f>IF(COUNTIFS($C$3:C197,商品マスタ[[#This Row],[仕入先]],$E$3:E197,商品マスタ[[#This Row],[商品名]]) = 1, 1,0)</f>
        <v>1</v>
      </c>
      <c r="G197" s="133" t="str">
        <f>TEXT(SUMIF($C$3:C197,商品マスタ[[#This Row],[仕入先]],$F$3:F197), "0000")</f>
        <v>0067</v>
      </c>
      <c r="H197" s="87" t="s">
        <v>365</v>
      </c>
      <c r="I197" s="87" t="s">
        <v>621</v>
      </c>
      <c r="J197" s="87" t="s">
        <v>367</v>
      </c>
      <c r="K197" s="87" t="s">
        <v>622</v>
      </c>
      <c r="L197" s="134">
        <v>5100</v>
      </c>
      <c r="M197" s="157">
        <v>45834</v>
      </c>
      <c r="N197" s="134"/>
      <c r="O197" s="135" t="str">
        <f>IF(COUNT(商品マスタ[[#This Row],[参考上代
（税込)]]) &gt; 0, (商品マスタ[[#This Row],[参考上代
（税込)]]-商品マスタ[[#This Row],[国内定価
（15％）]])/(商品マスタ[[#This Row],[参考上代
（税込)]]/1.08), "")</f>
        <v/>
      </c>
      <c r="P197" s="136">
        <v>0.1</v>
      </c>
      <c r="Q197" s="137">
        <f>商品マスタ[[#This Row],[仕入
単価]]*商品マスタ[[#This Row],[標準国内送料率]]</f>
        <v>510</v>
      </c>
      <c r="R197" s="134"/>
      <c r="S197" s="134">
        <f>IF(ISBLANK(商品マスタ[[#This Row],[実績
国内送料]]),商品マスタ[[#This Row],[標準国内送料]],)</f>
        <v>510</v>
      </c>
      <c r="T197" s="134">
        <f>商品マスタ[[#This Row],[仕入
単価]]+商品マスタ[[#This Row],[国内送料]]</f>
        <v>5610</v>
      </c>
      <c r="U197" s="134">
        <f>ROUNDUP(商品マスタ[[#This Row],[仕入単価+国内送料]]/0.8,-1)</f>
        <v>7020</v>
      </c>
      <c r="V197" s="134">
        <f>商品マスタ[[#This Row],[海外定価
（20％）]]-商品マスタ[[#This Row],[仕入単価+国内送料]]</f>
        <v>1410</v>
      </c>
      <c r="W197" s="87">
        <f>ROUNDUP(商品マスタ[[#This Row],[仕入単価+国内送料]]/0.85,-1)</f>
        <v>6600</v>
      </c>
      <c r="X197" s="134">
        <f>商品マスタ[[#This Row],[国内定価
（15％）]]-商品マスタ[[#This Row],[仕入単価+国内送料]]</f>
        <v>990</v>
      </c>
      <c r="Y197" s="139">
        <v>0.08</v>
      </c>
      <c r="Z197" s="87"/>
      <c r="AA197" s="87"/>
      <c r="AB197" s="87"/>
      <c r="AC197" s="140"/>
      <c r="AD197" s="87"/>
      <c r="AE197" s="87"/>
      <c r="AF197" s="87"/>
      <c r="AG197" s="141"/>
    </row>
    <row r="198" spans="1:33" ht="18">
      <c r="A198" s="166" t="s">
        <v>1523</v>
      </c>
      <c r="B198" s="167" t="s">
        <v>1231</v>
      </c>
      <c r="C198" s="167" t="s">
        <v>997</v>
      </c>
      <c r="D198" s="143" t="str">
        <f>"PRD_SNJ_"&amp;
_xlfn.XLOOKUP(商品マスタ[[#This Row],[仕入先]],テーブル1[仕入先名],テーブル1[仕入先コード],"XXX",0,1)&amp;
"_"&amp;
商品マスタ[[#This Row],[シリアル]]&amp;
"_"&amp;
TEXT(COUNTIFS(商品マスタ!$C$3:C198,商品マスタ[[#This Row],[仕入先]],商品マスタ!$E$3:E198,商品マスタ[[#This Row],[商品名]]), "00")</f>
        <v>PRD_SNJ_GGM_0068_01</v>
      </c>
      <c r="E198" s="87" t="s">
        <v>623</v>
      </c>
      <c r="F198" s="87">
        <f>IF(COUNTIFS($C$3:C198,商品マスタ[[#This Row],[仕入先]],$E$3:E198,商品マスタ[[#This Row],[商品名]]) = 1, 1,0)</f>
        <v>1</v>
      </c>
      <c r="G198" s="133" t="str">
        <f>TEXT(SUMIF($C$3:C198,商品マスタ[[#This Row],[仕入先]],$F$3:F198), "0000")</f>
        <v>0068</v>
      </c>
      <c r="H198" s="87" t="s">
        <v>365</v>
      </c>
      <c r="I198" s="87" t="s">
        <v>624</v>
      </c>
      <c r="J198" s="87" t="s">
        <v>367</v>
      </c>
      <c r="K198" s="87" t="s">
        <v>622</v>
      </c>
      <c r="L198" s="134">
        <v>4600</v>
      </c>
      <c r="M198" s="157">
        <v>45834</v>
      </c>
      <c r="N198" s="134"/>
      <c r="O198" s="135" t="str">
        <f>IF(COUNT(商品マスタ[[#This Row],[参考上代
（税込)]]) &gt; 0, (商品マスタ[[#This Row],[参考上代
（税込)]]-商品マスタ[[#This Row],[国内定価
（15％）]])/(商品マスタ[[#This Row],[参考上代
（税込)]]/1.08), "")</f>
        <v/>
      </c>
      <c r="P198" s="136">
        <v>0.1</v>
      </c>
      <c r="Q198" s="137">
        <f>商品マスタ[[#This Row],[仕入
単価]]*商品マスタ[[#This Row],[標準国内送料率]]</f>
        <v>460</v>
      </c>
      <c r="R198" s="134"/>
      <c r="S198" s="134">
        <f>IF(ISBLANK(商品マスタ[[#This Row],[実績
国内送料]]),商品マスタ[[#This Row],[標準国内送料]],)</f>
        <v>460</v>
      </c>
      <c r="T198" s="134">
        <f>商品マスタ[[#This Row],[仕入
単価]]+商品マスタ[[#This Row],[国内送料]]</f>
        <v>5060</v>
      </c>
      <c r="U198" s="134">
        <f>ROUNDUP(商品マスタ[[#This Row],[仕入単価+国内送料]]/0.8,-1)</f>
        <v>6330</v>
      </c>
      <c r="V198" s="134">
        <f>商品マスタ[[#This Row],[海外定価
（20％）]]-商品マスタ[[#This Row],[仕入単価+国内送料]]</f>
        <v>1270</v>
      </c>
      <c r="W198" s="87">
        <f>ROUNDUP(商品マスタ[[#This Row],[仕入単価+国内送料]]/0.85,-1)</f>
        <v>5960</v>
      </c>
      <c r="X198" s="134">
        <f>商品マスタ[[#This Row],[国内定価
（15％）]]-商品マスタ[[#This Row],[仕入単価+国内送料]]</f>
        <v>900</v>
      </c>
      <c r="Y198" s="139">
        <v>0.08</v>
      </c>
      <c r="Z198" s="87"/>
      <c r="AA198" s="87"/>
      <c r="AB198" s="87"/>
      <c r="AC198" s="140"/>
      <c r="AD198" s="87"/>
      <c r="AE198" s="87"/>
      <c r="AF198" s="87"/>
      <c r="AG198" s="141"/>
    </row>
    <row r="199" spans="1:33" ht="18">
      <c r="A199" s="166" t="s">
        <v>1523</v>
      </c>
      <c r="B199" s="167" t="s">
        <v>1231</v>
      </c>
      <c r="C199" s="167" t="s">
        <v>997</v>
      </c>
      <c r="D199" s="143" t="str">
        <f>"PRD_SNJ_"&amp;
_xlfn.XLOOKUP(商品マスタ[[#This Row],[仕入先]],テーブル1[仕入先名],テーブル1[仕入先コード],"XXX",0,1)&amp;
"_"&amp;
商品マスタ[[#This Row],[シリアル]]&amp;
"_"&amp;
TEXT(COUNTIFS(商品マスタ!$C$3:C199,商品マスタ[[#This Row],[仕入先]],商品マスタ!$E$3:E199,商品マスタ[[#This Row],[商品名]]), "00")</f>
        <v>PRD_SNJ_GGM_0069_01</v>
      </c>
      <c r="E199" s="87" t="s">
        <v>625</v>
      </c>
      <c r="F199" s="87">
        <f>IF(COUNTIFS($C$3:C199,商品マスタ[[#This Row],[仕入先]],$E$3:E199,商品マスタ[[#This Row],[商品名]]) = 1, 1,0)</f>
        <v>1</v>
      </c>
      <c r="G199" s="133" t="str">
        <f>TEXT(SUMIF($C$3:C199,商品マスタ[[#This Row],[仕入先]],$F$3:F199), "0000")</f>
        <v>0069</v>
      </c>
      <c r="H199" s="87" t="s">
        <v>365</v>
      </c>
      <c r="I199" s="87" t="s">
        <v>626</v>
      </c>
      <c r="J199" s="87" t="s">
        <v>367</v>
      </c>
      <c r="K199" s="87" t="s">
        <v>442</v>
      </c>
      <c r="L199" s="134">
        <v>6000</v>
      </c>
      <c r="M199" s="157">
        <v>45834</v>
      </c>
      <c r="N199" s="134"/>
      <c r="O199" s="135" t="str">
        <f>IF(COUNT(商品マスタ[[#This Row],[参考上代
（税込)]]) &gt; 0, (商品マスタ[[#This Row],[参考上代
（税込)]]-商品マスタ[[#This Row],[国内定価
（15％）]])/(商品マスタ[[#This Row],[参考上代
（税込)]]/1.08), "")</f>
        <v/>
      </c>
      <c r="P199" s="136">
        <v>0.1</v>
      </c>
      <c r="Q199" s="137">
        <f>商品マスタ[[#This Row],[仕入
単価]]*商品マスタ[[#This Row],[標準国内送料率]]</f>
        <v>600</v>
      </c>
      <c r="R199" s="134"/>
      <c r="S199" s="134">
        <f>IF(ISBLANK(商品マスタ[[#This Row],[実績
国内送料]]),商品マスタ[[#This Row],[標準国内送料]],)</f>
        <v>600</v>
      </c>
      <c r="T199" s="134">
        <f>商品マスタ[[#This Row],[仕入
単価]]+商品マスタ[[#This Row],[国内送料]]</f>
        <v>6600</v>
      </c>
      <c r="U199" s="134">
        <f>ROUNDUP(商品マスタ[[#This Row],[仕入単価+国内送料]]/0.8,-1)</f>
        <v>8250</v>
      </c>
      <c r="V199" s="134">
        <f>商品マスタ[[#This Row],[海外定価
（20％）]]-商品マスタ[[#This Row],[仕入単価+国内送料]]</f>
        <v>1650</v>
      </c>
      <c r="W199" s="87">
        <f>ROUNDUP(商品マスタ[[#This Row],[仕入単価+国内送料]]/0.85,-1)</f>
        <v>7770</v>
      </c>
      <c r="X199" s="134">
        <f>商品マスタ[[#This Row],[国内定価
（15％）]]-商品マスタ[[#This Row],[仕入単価+国内送料]]</f>
        <v>1170</v>
      </c>
      <c r="Y199" s="139">
        <v>0.08</v>
      </c>
      <c r="Z199" s="87"/>
      <c r="AA199" s="87"/>
      <c r="AB199" s="87"/>
      <c r="AC199" s="140"/>
      <c r="AD199" s="87"/>
      <c r="AE199" s="87"/>
      <c r="AF199" s="87"/>
      <c r="AG199" s="141"/>
    </row>
    <row r="200" spans="1:33" ht="18">
      <c r="A200" s="166" t="s">
        <v>1523</v>
      </c>
      <c r="B200" s="167" t="s">
        <v>1231</v>
      </c>
      <c r="C200" s="167" t="s">
        <v>997</v>
      </c>
      <c r="D200" s="143" t="str">
        <f>"PRD_SNJ_"&amp;
_xlfn.XLOOKUP(商品マスタ[[#This Row],[仕入先]],テーブル1[仕入先名],テーブル1[仕入先コード],"XXX",0,1)&amp;
"_"&amp;
商品マスタ[[#This Row],[シリアル]]&amp;
"_"&amp;
TEXT(COUNTIFS(商品マスタ!$C$3:C200,商品マスタ[[#This Row],[仕入先]],商品マスタ!$E$3:E200,商品マスタ[[#This Row],[商品名]]), "00")</f>
        <v>PRD_SNJ_GGM_0070_01</v>
      </c>
      <c r="E200" s="87" t="s">
        <v>627</v>
      </c>
      <c r="F200" s="87">
        <f>IF(COUNTIFS($C$3:C200,商品マスタ[[#This Row],[仕入先]],$E$3:E200,商品マスタ[[#This Row],[商品名]]) = 1, 1,0)</f>
        <v>1</v>
      </c>
      <c r="G200" s="133" t="str">
        <f>TEXT(SUMIF($C$3:C200,商品マスタ[[#This Row],[仕入先]],$F$3:F200), "0000")</f>
        <v>0070</v>
      </c>
      <c r="H200" s="87" t="s">
        <v>365</v>
      </c>
      <c r="I200" s="87" t="s">
        <v>628</v>
      </c>
      <c r="J200" s="87" t="s">
        <v>367</v>
      </c>
      <c r="K200" s="87" t="s">
        <v>442</v>
      </c>
      <c r="L200" s="134">
        <v>4000</v>
      </c>
      <c r="M200" s="157">
        <v>45834</v>
      </c>
      <c r="N200" s="134"/>
      <c r="O200" s="135" t="str">
        <f>IF(COUNT(商品マスタ[[#This Row],[参考上代
（税込)]]) &gt; 0, (商品マスタ[[#This Row],[参考上代
（税込)]]-商品マスタ[[#This Row],[国内定価
（15％）]])/(商品マスタ[[#This Row],[参考上代
（税込)]]/1.08), "")</f>
        <v/>
      </c>
      <c r="P200" s="136">
        <v>0.1</v>
      </c>
      <c r="Q200" s="137">
        <f>商品マスタ[[#This Row],[仕入
単価]]*商品マスタ[[#This Row],[標準国内送料率]]</f>
        <v>400</v>
      </c>
      <c r="R200" s="134"/>
      <c r="S200" s="134">
        <f>IF(ISBLANK(商品マスタ[[#This Row],[実績
国内送料]]),商品マスタ[[#This Row],[標準国内送料]],)</f>
        <v>400</v>
      </c>
      <c r="T200" s="134">
        <f>商品マスタ[[#This Row],[仕入
単価]]+商品マスタ[[#This Row],[国内送料]]</f>
        <v>4400</v>
      </c>
      <c r="U200" s="134">
        <f>ROUNDUP(商品マスタ[[#This Row],[仕入単価+国内送料]]/0.8,-1)</f>
        <v>5500</v>
      </c>
      <c r="V200" s="134">
        <f>商品マスタ[[#This Row],[海外定価
（20％）]]-商品マスタ[[#This Row],[仕入単価+国内送料]]</f>
        <v>1100</v>
      </c>
      <c r="W200" s="87">
        <f>ROUNDUP(商品マスタ[[#This Row],[仕入単価+国内送料]]/0.85,-1)</f>
        <v>5180</v>
      </c>
      <c r="X200" s="134">
        <f>商品マスタ[[#This Row],[国内定価
（15％）]]-商品マスタ[[#This Row],[仕入単価+国内送料]]</f>
        <v>780</v>
      </c>
      <c r="Y200" s="139">
        <v>0.08</v>
      </c>
      <c r="Z200" s="87"/>
      <c r="AA200" s="87"/>
      <c r="AB200" s="87"/>
      <c r="AC200" s="140"/>
      <c r="AD200" s="87"/>
      <c r="AE200" s="87"/>
      <c r="AF200" s="87"/>
      <c r="AG200" s="141"/>
    </row>
    <row r="201" spans="1:33" ht="18">
      <c r="A201" s="166" t="s">
        <v>1523</v>
      </c>
      <c r="B201" s="167" t="s">
        <v>1231</v>
      </c>
      <c r="C201" s="167" t="s">
        <v>997</v>
      </c>
      <c r="D201" s="143" t="str">
        <f>"PRD_SNJ_"&amp;
_xlfn.XLOOKUP(商品マスタ[[#This Row],[仕入先]],テーブル1[仕入先名],テーブル1[仕入先コード],"XXX",0,1)&amp;
"_"&amp;
商品マスタ[[#This Row],[シリアル]]&amp;
"_"&amp;
TEXT(COUNTIFS(商品マスタ!$C$3:C201,商品マスタ[[#This Row],[仕入先]],商品マスタ!$E$3:E201,商品マスタ[[#This Row],[商品名]]), "00")</f>
        <v>PRD_SNJ_GGM_0071_01</v>
      </c>
      <c r="E201" s="87" t="s">
        <v>629</v>
      </c>
      <c r="F201" s="87">
        <f>IF(COUNTIFS($C$3:C201,商品マスタ[[#This Row],[仕入先]],$E$3:E201,商品マスタ[[#This Row],[商品名]]) = 1, 1,0)</f>
        <v>1</v>
      </c>
      <c r="G201" s="133" t="str">
        <f>TEXT(SUMIF($C$3:C201,商品マスタ[[#This Row],[仕入先]],$F$3:F201), "0000")</f>
        <v>0071</v>
      </c>
      <c r="H201" s="87" t="s">
        <v>365</v>
      </c>
      <c r="I201" s="87" t="s">
        <v>506</v>
      </c>
      <c r="J201" s="87" t="s">
        <v>376</v>
      </c>
      <c r="K201" s="87" t="s">
        <v>442</v>
      </c>
      <c r="L201" s="134">
        <v>3200</v>
      </c>
      <c r="M201" s="157">
        <v>45834</v>
      </c>
      <c r="N201" s="134"/>
      <c r="O201" s="135" t="str">
        <f>IF(COUNT(商品マスタ[[#This Row],[参考上代
（税込)]]) &gt; 0, (商品マスタ[[#This Row],[参考上代
（税込)]]-商品マスタ[[#This Row],[国内定価
（15％）]])/(商品マスタ[[#This Row],[参考上代
（税込)]]/1.08), "")</f>
        <v/>
      </c>
      <c r="P201" s="136">
        <v>0.1</v>
      </c>
      <c r="Q201" s="137">
        <f>商品マスタ[[#This Row],[仕入
単価]]*商品マスタ[[#This Row],[標準国内送料率]]</f>
        <v>320</v>
      </c>
      <c r="R201" s="134"/>
      <c r="S201" s="134">
        <f>IF(ISBLANK(商品マスタ[[#This Row],[実績
国内送料]]),商品マスタ[[#This Row],[標準国内送料]],)</f>
        <v>320</v>
      </c>
      <c r="T201" s="134">
        <f>商品マスタ[[#This Row],[仕入
単価]]+商品マスタ[[#This Row],[国内送料]]</f>
        <v>3520</v>
      </c>
      <c r="U201" s="134">
        <f>ROUNDUP(商品マスタ[[#This Row],[仕入単価+国内送料]]/0.8,-1)</f>
        <v>4400</v>
      </c>
      <c r="V201" s="134">
        <f>商品マスタ[[#This Row],[海外定価
（20％）]]-商品マスタ[[#This Row],[仕入単価+国内送料]]</f>
        <v>880</v>
      </c>
      <c r="W201" s="87">
        <f>ROUNDUP(商品マスタ[[#This Row],[仕入単価+国内送料]]/0.85,-1)</f>
        <v>4150</v>
      </c>
      <c r="X201" s="134">
        <f>商品マスタ[[#This Row],[国内定価
（15％）]]-商品マスタ[[#This Row],[仕入単価+国内送料]]</f>
        <v>630</v>
      </c>
      <c r="Y201" s="139">
        <v>0.08</v>
      </c>
      <c r="Z201" s="87"/>
      <c r="AA201" s="87"/>
      <c r="AB201" s="87"/>
      <c r="AC201" s="140"/>
      <c r="AD201" s="87"/>
      <c r="AE201" s="87"/>
      <c r="AF201" s="87"/>
      <c r="AG201" s="141"/>
    </row>
    <row r="202" spans="1:33" ht="18">
      <c r="A202" s="166" t="s">
        <v>1523</v>
      </c>
      <c r="B202" s="167" t="s">
        <v>1231</v>
      </c>
      <c r="C202" s="167" t="s">
        <v>997</v>
      </c>
      <c r="D202" s="143" t="str">
        <f>"PRD_SNJ_"&amp;
_xlfn.XLOOKUP(商品マスタ[[#This Row],[仕入先]],テーブル1[仕入先名],テーブル1[仕入先コード],"XXX",0,1)&amp;
"_"&amp;
商品マスタ[[#This Row],[シリアル]]&amp;
"_"&amp;
TEXT(COUNTIFS(商品マスタ!$C$3:C202,商品マスタ[[#This Row],[仕入先]],商品マスタ!$E$3:E202,商品マスタ[[#This Row],[商品名]]), "00")</f>
        <v>PRD_SNJ_GGM_0072_01</v>
      </c>
      <c r="E202" s="87" t="s">
        <v>630</v>
      </c>
      <c r="F202" s="87">
        <f>IF(COUNTIFS($C$3:C202,商品マスタ[[#This Row],[仕入先]],$E$3:E202,商品マスタ[[#This Row],[商品名]]) = 1, 1,0)</f>
        <v>1</v>
      </c>
      <c r="G202" s="133" t="str">
        <f>TEXT(SUMIF($C$3:C202,商品マスタ[[#This Row],[仕入先]],$F$3:F202), "0000")</f>
        <v>0072</v>
      </c>
      <c r="H202" s="87" t="s">
        <v>365</v>
      </c>
      <c r="I202" s="87" t="s">
        <v>600</v>
      </c>
      <c r="J202" s="87" t="s">
        <v>376</v>
      </c>
      <c r="K202" s="87" t="s">
        <v>631</v>
      </c>
      <c r="L202" s="134">
        <v>3800</v>
      </c>
      <c r="M202" s="157">
        <v>45834</v>
      </c>
      <c r="N202" s="134"/>
      <c r="O202" s="135" t="str">
        <f>IF(COUNT(商品マスタ[[#This Row],[参考上代
（税込)]]) &gt; 0, (商品マスタ[[#This Row],[参考上代
（税込)]]-商品マスタ[[#This Row],[国内定価
（15％）]])/(商品マスタ[[#This Row],[参考上代
（税込)]]/1.08), "")</f>
        <v/>
      </c>
      <c r="P202" s="136">
        <v>0.1</v>
      </c>
      <c r="Q202" s="137">
        <f>商品マスタ[[#This Row],[仕入
単価]]*商品マスタ[[#This Row],[標準国内送料率]]</f>
        <v>380</v>
      </c>
      <c r="R202" s="134"/>
      <c r="S202" s="134">
        <f>IF(ISBLANK(商品マスタ[[#This Row],[実績
国内送料]]),商品マスタ[[#This Row],[標準国内送料]],)</f>
        <v>380</v>
      </c>
      <c r="T202" s="134">
        <f>商品マスタ[[#This Row],[仕入
単価]]+商品マスタ[[#This Row],[国内送料]]</f>
        <v>4180</v>
      </c>
      <c r="U202" s="134">
        <f>ROUNDUP(商品マスタ[[#This Row],[仕入単価+国内送料]]/0.8,-1)</f>
        <v>5230</v>
      </c>
      <c r="V202" s="134">
        <f>商品マスタ[[#This Row],[海外定価
（20％）]]-商品マスタ[[#This Row],[仕入単価+国内送料]]</f>
        <v>1050</v>
      </c>
      <c r="W202" s="87">
        <f>ROUNDUP(商品マスタ[[#This Row],[仕入単価+国内送料]]/0.85,-1)</f>
        <v>4920</v>
      </c>
      <c r="X202" s="134">
        <f>商品マスタ[[#This Row],[国内定価
（15％）]]-商品マスタ[[#This Row],[仕入単価+国内送料]]</f>
        <v>740</v>
      </c>
      <c r="Y202" s="139">
        <v>0.08</v>
      </c>
      <c r="Z202" s="87"/>
      <c r="AA202" s="87"/>
      <c r="AB202" s="87"/>
      <c r="AC202" s="140"/>
      <c r="AD202" s="87"/>
      <c r="AE202" s="87"/>
      <c r="AF202" s="87"/>
      <c r="AG202" s="141"/>
    </row>
    <row r="203" spans="1:33" ht="18">
      <c r="A203" s="166" t="s">
        <v>1523</v>
      </c>
      <c r="B203" s="167" t="s">
        <v>1231</v>
      </c>
      <c r="C203" s="167" t="s">
        <v>997</v>
      </c>
      <c r="D203" s="143" t="str">
        <f>"PRD_SNJ_"&amp;
_xlfn.XLOOKUP(商品マスタ[[#This Row],[仕入先]],テーブル1[仕入先名],テーブル1[仕入先コード],"XXX",0,1)&amp;
"_"&amp;
商品マスタ[[#This Row],[シリアル]]&amp;
"_"&amp;
TEXT(COUNTIFS(商品マスタ!$C$3:C203,商品マスタ[[#This Row],[仕入先]],商品マスタ!$E$3:E203,商品マスタ[[#This Row],[商品名]]), "00")</f>
        <v>PRD_SNJ_GGM_0073_01</v>
      </c>
      <c r="E203" s="87" t="s">
        <v>632</v>
      </c>
      <c r="F203" s="87">
        <f>IF(COUNTIFS($C$3:C203,商品マスタ[[#This Row],[仕入先]],$E$3:E203,商品マスタ[[#This Row],[商品名]]) = 1, 1,0)</f>
        <v>1</v>
      </c>
      <c r="G203" s="133" t="str">
        <f>TEXT(SUMIF($C$3:C203,商品マスタ[[#This Row],[仕入先]],$F$3:F203), "0000")</f>
        <v>0073</v>
      </c>
      <c r="H203" s="87" t="s">
        <v>365</v>
      </c>
      <c r="I203" s="87" t="s">
        <v>633</v>
      </c>
      <c r="J203" s="87" t="s">
        <v>367</v>
      </c>
      <c r="K203" s="87" t="s">
        <v>634</v>
      </c>
      <c r="L203" s="134">
        <v>2500</v>
      </c>
      <c r="M203" s="157">
        <v>45834</v>
      </c>
      <c r="N203" s="134"/>
      <c r="O203" s="135" t="str">
        <f>IF(COUNT(商品マスタ[[#This Row],[参考上代
（税込)]]) &gt; 0, (商品マスタ[[#This Row],[参考上代
（税込)]]-商品マスタ[[#This Row],[国内定価
（15％）]])/(商品マスタ[[#This Row],[参考上代
（税込)]]/1.08), "")</f>
        <v/>
      </c>
      <c r="P203" s="136">
        <v>0.1</v>
      </c>
      <c r="Q203" s="137">
        <f>商品マスタ[[#This Row],[仕入
単価]]*商品マスタ[[#This Row],[標準国内送料率]]</f>
        <v>250</v>
      </c>
      <c r="R203" s="134"/>
      <c r="S203" s="134">
        <f>IF(ISBLANK(商品マスタ[[#This Row],[実績
国内送料]]),商品マスタ[[#This Row],[標準国内送料]],)</f>
        <v>250</v>
      </c>
      <c r="T203" s="134">
        <f>商品マスタ[[#This Row],[仕入
単価]]+商品マスタ[[#This Row],[国内送料]]</f>
        <v>2750</v>
      </c>
      <c r="U203" s="134">
        <f>ROUNDUP(商品マスタ[[#This Row],[仕入単価+国内送料]]/0.8,-1)</f>
        <v>3440</v>
      </c>
      <c r="V203" s="134">
        <f>商品マスタ[[#This Row],[海外定価
（20％）]]-商品マスタ[[#This Row],[仕入単価+国内送料]]</f>
        <v>690</v>
      </c>
      <c r="W203" s="87">
        <f>ROUNDUP(商品マスタ[[#This Row],[仕入単価+国内送料]]/0.85,-1)</f>
        <v>3240</v>
      </c>
      <c r="X203" s="134">
        <f>商品マスタ[[#This Row],[国内定価
（15％）]]-商品マスタ[[#This Row],[仕入単価+国内送料]]</f>
        <v>490</v>
      </c>
      <c r="Y203" s="139">
        <v>0.08</v>
      </c>
      <c r="Z203" s="87"/>
      <c r="AA203" s="87"/>
      <c r="AB203" s="87"/>
      <c r="AC203" s="140"/>
      <c r="AD203" s="87"/>
      <c r="AE203" s="87"/>
      <c r="AF203" s="87"/>
      <c r="AG203" s="141"/>
    </row>
    <row r="204" spans="1:33" ht="18">
      <c r="A204" s="166" t="s">
        <v>1523</v>
      </c>
      <c r="B204" s="167" t="s">
        <v>1231</v>
      </c>
      <c r="C204" s="167" t="s">
        <v>997</v>
      </c>
      <c r="D204" s="143" t="str">
        <f>"PRD_SNJ_"&amp;
_xlfn.XLOOKUP(商品マスタ[[#This Row],[仕入先]],テーブル1[仕入先名],テーブル1[仕入先コード],"XXX",0,1)&amp;
"_"&amp;
商品マスタ[[#This Row],[シリアル]]&amp;
"_"&amp;
TEXT(COUNTIFS(商品マスタ!$C$3:C204,商品マスタ[[#This Row],[仕入先]],商品マスタ!$E$3:E204,商品マスタ[[#This Row],[商品名]]), "00")</f>
        <v>PRD_SNJ_GGM_0074_01</v>
      </c>
      <c r="E204" s="87" t="s">
        <v>635</v>
      </c>
      <c r="F204" s="87">
        <f>IF(COUNTIFS($C$3:C204,商品マスタ[[#This Row],[仕入先]],$E$3:E204,商品マスタ[[#This Row],[商品名]]) = 1, 1,0)</f>
        <v>1</v>
      </c>
      <c r="G204" s="133" t="str">
        <f>TEXT(SUMIF($C$3:C204,商品マスタ[[#This Row],[仕入先]],$F$3:F204), "0000")</f>
        <v>0074</v>
      </c>
      <c r="H204" s="87" t="s">
        <v>365</v>
      </c>
      <c r="I204" s="87" t="s">
        <v>636</v>
      </c>
      <c r="J204" s="87" t="s">
        <v>376</v>
      </c>
      <c r="K204" s="87" t="s">
        <v>442</v>
      </c>
      <c r="L204" s="134">
        <v>2500</v>
      </c>
      <c r="M204" s="157">
        <v>45834</v>
      </c>
      <c r="N204" s="134"/>
      <c r="O204" s="135" t="str">
        <f>IF(COUNT(商品マスタ[[#This Row],[参考上代
（税込)]]) &gt; 0, (商品マスタ[[#This Row],[参考上代
（税込)]]-商品マスタ[[#This Row],[国内定価
（15％）]])/(商品マスタ[[#This Row],[参考上代
（税込)]]/1.08), "")</f>
        <v/>
      </c>
      <c r="P204" s="136">
        <v>0.1</v>
      </c>
      <c r="Q204" s="137">
        <f>商品マスタ[[#This Row],[仕入
単価]]*商品マスタ[[#This Row],[標準国内送料率]]</f>
        <v>250</v>
      </c>
      <c r="R204" s="134"/>
      <c r="S204" s="134">
        <f>IF(ISBLANK(商品マスタ[[#This Row],[実績
国内送料]]),商品マスタ[[#This Row],[標準国内送料]],)</f>
        <v>250</v>
      </c>
      <c r="T204" s="134">
        <f>商品マスタ[[#This Row],[仕入
単価]]+商品マスタ[[#This Row],[国内送料]]</f>
        <v>2750</v>
      </c>
      <c r="U204" s="134">
        <f>ROUNDUP(商品マスタ[[#This Row],[仕入単価+国内送料]]/0.8,-1)</f>
        <v>3440</v>
      </c>
      <c r="V204" s="134">
        <f>商品マスタ[[#This Row],[海外定価
（20％）]]-商品マスタ[[#This Row],[仕入単価+国内送料]]</f>
        <v>690</v>
      </c>
      <c r="W204" s="87">
        <f>ROUNDUP(商品マスタ[[#This Row],[仕入単価+国内送料]]/0.85,-1)</f>
        <v>3240</v>
      </c>
      <c r="X204" s="134">
        <f>商品マスタ[[#This Row],[国内定価
（15％）]]-商品マスタ[[#This Row],[仕入単価+国内送料]]</f>
        <v>490</v>
      </c>
      <c r="Y204" s="139">
        <v>0.08</v>
      </c>
      <c r="Z204" s="87"/>
      <c r="AA204" s="87"/>
      <c r="AB204" s="87"/>
      <c r="AC204" s="140"/>
      <c r="AD204" s="87"/>
      <c r="AE204" s="87"/>
      <c r="AF204" s="87"/>
      <c r="AG204" s="141"/>
    </row>
    <row r="205" spans="1:33" ht="18">
      <c r="A205" s="166" t="s">
        <v>1523</v>
      </c>
      <c r="B205" s="167" t="s">
        <v>1231</v>
      </c>
      <c r="C205" s="167" t="s">
        <v>997</v>
      </c>
      <c r="D205" s="143" t="str">
        <f>"PRD_SNJ_"&amp;
_xlfn.XLOOKUP(商品マスタ[[#This Row],[仕入先]],テーブル1[仕入先名],テーブル1[仕入先コード],"XXX",0,1)&amp;
"_"&amp;
商品マスタ[[#This Row],[シリアル]]&amp;
"_"&amp;
TEXT(COUNTIFS(商品マスタ!$C$3:C205,商品マスタ[[#This Row],[仕入先]],商品マスタ!$E$3:E205,商品マスタ[[#This Row],[商品名]]), "00")</f>
        <v>PRD_SNJ_GGM_0075_01</v>
      </c>
      <c r="E205" s="87" t="s">
        <v>637</v>
      </c>
      <c r="F205" s="87">
        <f>IF(COUNTIFS($C$3:C205,商品マスタ[[#This Row],[仕入先]],$E$3:E205,商品マスタ[[#This Row],[商品名]]) = 1, 1,0)</f>
        <v>1</v>
      </c>
      <c r="G205" s="133" t="str">
        <f>TEXT(SUMIF($C$3:C205,商品マスタ[[#This Row],[仕入先]],$F$3:F205), "0000")</f>
        <v>0075</v>
      </c>
      <c r="H205" s="87" t="s">
        <v>365</v>
      </c>
      <c r="I205" s="87" t="s">
        <v>638</v>
      </c>
      <c r="J205" s="87" t="s">
        <v>367</v>
      </c>
      <c r="K205" s="87" t="s">
        <v>442</v>
      </c>
      <c r="L205" s="134">
        <v>3500</v>
      </c>
      <c r="M205" s="157">
        <v>45834</v>
      </c>
      <c r="N205" s="134"/>
      <c r="O205" s="135" t="str">
        <f>IF(COUNT(商品マスタ[[#This Row],[参考上代
（税込)]]) &gt; 0, (商品マスタ[[#This Row],[参考上代
（税込)]]-商品マスタ[[#This Row],[国内定価
（15％）]])/(商品マスタ[[#This Row],[参考上代
（税込)]]/1.08), "")</f>
        <v/>
      </c>
      <c r="P205" s="136">
        <v>0.1</v>
      </c>
      <c r="Q205" s="137">
        <f>商品マスタ[[#This Row],[仕入
単価]]*商品マスタ[[#This Row],[標準国内送料率]]</f>
        <v>350</v>
      </c>
      <c r="R205" s="134"/>
      <c r="S205" s="134">
        <f>IF(ISBLANK(商品マスタ[[#This Row],[実績
国内送料]]),商品マスタ[[#This Row],[標準国内送料]],)</f>
        <v>350</v>
      </c>
      <c r="T205" s="134">
        <f>商品マスタ[[#This Row],[仕入
単価]]+商品マスタ[[#This Row],[国内送料]]</f>
        <v>3850</v>
      </c>
      <c r="U205" s="134">
        <f>ROUNDUP(商品マスタ[[#This Row],[仕入単価+国内送料]]/0.8,-1)</f>
        <v>4820</v>
      </c>
      <c r="V205" s="134">
        <f>商品マスタ[[#This Row],[海外定価
（20％）]]-商品マスタ[[#This Row],[仕入単価+国内送料]]</f>
        <v>970</v>
      </c>
      <c r="W205" s="87">
        <f>ROUNDUP(商品マスタ[[#This Row],[仕入単価+国内送料]]/0.85,-1)</f>
        <v>4530</v>
      </c>
      <c r="X205" s="134">
        <f>商品マスタ[[#This Row],[国内定価
（15％）]]-商品マスタ[[#This Row],[仕入単価+国内送料]]</f>
        <v>680</v>
      </c>
      <c r="Y205" s="139">
        <v>0.08</v>
      </c>
      <c r="Z205" s="87"/>
      <c r="AA205" s="87"/>
      <c r="AB205" s="87"/>
      <c r="AC205" s="140"/>
      <c r="AD205" s="87"/>
      <c r="AE205" s="87"/>
      <c r="AF205" s="87"/>
      <c r="AG205" s="141"/>
    </row>
    <row r="206" spans="1:33" ht="18">
      <c r="A206" s="166" t="s">
        <v>1523</v>
      </c>
      <c r="B206" s="167" t="s">
        <v>1231</v>
      </c>
      <c r="C206" s="167" t="s">
        <v>997</v>
      </c>
      <c r="D206" s="143" t="str">
        <f>"PRD_SNJ_"&amp;
_xlfn.XLOOKUP(商品マスタ[[#This Row],[仕入先]],テーブル1[仕入先名],テーブル1[仕入先コード],"XXX",0,1)&amp;
"_"&amp;
商品マスタ[[#This Row],[シリアル]]&amp;
"_"&amp;
TEXT(COUNTIFS(商品マスタ!$C$3:C206,商品マスタ[[#This Row],[仕入先]],商品マスタ!$E$3:E206,商品マスタ[[#This Row],[商品名]]), "00")</f>
        <v>PRD_SNJ_GGM_0076_01</v>
      </c>
      <c r="E206" s="87" t="s">
        <v>639</v>
      </c>
      <c r="F206" s="87">
        <f>IF(COUNTIFS($C$3:C206,商品マスタ[[#This Row],[仕入先]],$E$3:E206,商品マスタ[[#This Row],[商品名]]) = 1, 1,0)</f>
        <v>1</v>
      </c>
      <c r="G206" s="133" t="str">
        <f>TEXT(SUMIF($C$3:C206,商品マスタ[[#This Row],[仕入先]],$F$3:F206), "0000")</f>
        <v>0076</v>
      </c>
      <c r="H206" s="87" t="s">
        <v>365</v>
      </c>
      <c r="I206" s="87" t="s">
        <v>640</v>
      </c>
      <c r="J206" s="87" t="s">
        <v>387</v>
      </c>
      <c r="K206" s="87" t="s">
        <v>641</v>
      </c>
      <c r="L206" s="134">
        <v>2400</v>
      </c>
      <c r="M206" s="157">
        <v>45834</v>
      </c>
      <c r="N206" s="134"/>
      <c r="O206" s="135" t="str">
        <f>IF(COUNT(商品マスタ[[#This Row],[参考上代
（税込)]]) &gt; 0, (商品マスタ[[#This Row],[参考上代
（税込)]]-商品マスタ[[#This Row],[国内定価
（15％）]])/(商品マスタ[[#This Row],[参考上代
（税込)]]/1.08), "")</f>
        <v/>
      </c>
      <c r="P206" s="136">
        <v>0.1</v>
      </c>
      <c r="Q206" s="137">
        <f>商品マスタ[[#This Row],[仕入
単価]]*商品マスタ[[#This Row],[標準国内送料率]]</f>
        <v>240</v>
      </c>
      <c r="R206" s="134"/>
      <c r="S206" s="134">
        <f>IF(ISBLANK(商品マスタ[[#This Row],[実績
国内送料]]),商品マスタ[[#This Row],[標準国内送料]],)</f>
        <v>240</v>
      </c>
      <c r="T206" s="134">
        <f>商品マスタ[[#This Row],[仕入
単価]]+商品マスタ[[#This Row],[国内送料]]</f>
        <v>2640</v>
      </c>
      <c r="U206" s="134">
        <f>ROUNDUP(商品マスタ[[#This Row],[仕入単価+国内送料]]/0.8,-1)</f>
        <v>3300</v>
      </c>
      <c r="V206" s="134">
        <f>商品マスタ[[#This Row],[海外定価
（20％）]]-商品マスタ[[#This Row],[仕入単価+国内送料]]</f>
        <v>660</v>
      </c>
      <c r="W206" s="87">
        <f>ROUNDUP(商品マスタ[[#This Row],[仕入単価+国内送料]]/0.85,-1)</f>
        <v>3110</v>
      </c>
      <c r="X206" s="134">
        <f>商品マスタ[[#This Row],[国内定価
（15％）]]-商品マスタ[[#This Row],[仕入単価+国内送料]]</f>
        <v>470</v>
      </c>
      <c r="Y206" s="139">
        <v>0.08</v>
      </c>
      <c r="Z206" s="87"/>
      <c r="AA206" s="87"/>
      <c r="AB206" s="87"/>
      <c r="AC206" s="140"/>
      <c r="AD206" s="87"/>
      <c r="AE206" s="87"/>
      <c r="AF206" s="87"/>
      <c r="AG206" s="141"/>
    </row>
    <row r="207" spans="1:33" ht="18">
      <c r="A207" s="166" t="s">
        <v>1519</v>
      </c>
      <c r="B207" s="167" t="s">
        <v>1235</v>
      </c>
      <c r="C207" s="167" t="s">
        <v>997</v>
      </c>
      <c r="D207" s="143" t="str">
        <f>"PRD_SNJ_"&amp;
_xlfn.XLOOKUP(商品マスタ[[#This Row],[仕入先]],テーブル1[仕入先名],テーブル1[仕入先コード],"XXX",0,1)&amp;
"_"&amp;
商品マスタ[[#This Row],[シリアル]]&amp;
"_"&amp;
TEXT(COUNTIFS(商品マスタ!$C$3:C207,商品マスタ[[#This Row],[仕入先]],商品マスタ!$E$3:E207,商品マスタ[[#This Row],[商品名]]), "00")</f>
        <v>PRD_SNJ_GGM_0077_01</v>
      </c>
      <c r="E207" s="87" t="s">
        <v>642</v>
      </c>
      <c r="F207" s="87">
        <f>IF(COUNTIFS($C$3:C207,商品マスタ[[#This Row],[仕入先]],$E$3:E207,商品マスタ[[#This Row],[商品名]]) = 1, 1,0)</f>
        <v>1</v>
      </c>
      <c r="G207" s="133" t="str">
        <f>TEXT(SUMIF($C$3:C207,商品マスタ[[#This Row],[仕入先]],$F$3:F207), "0000")</f>
        <v>0077</v>
      </c>
      <c r="H207" s="87" t="s">
        <v>365</v>
      </c>
      <c r="I207" s="87" t="s">
        <v>643</v>
      </c>
      <c r="J207" s="87" t="s">
        <v>367</v>
      </c>
      <c r="K207" s="87" t="s">
        <v>634</v>
      </c>
      <c r="L207" s="134">
        <v>3530</v>
      </c>
      <c r="M207" s="157">
        <v>45834</v>
      </c>
      <c r="N207" s="134"/>
      <c r="O207" s="135" t="str">
        <f>IF(COUNT(商品マスタ[[#This Row],[参考上代
（税込)]]) &gt; 0, (商品マスタ[[#This Row],[参考上代
（税込)]]-商品マスタ[[#This Row],[国内定価
（15％）]])/(商品マスタ[[#This Row],[参考上代
（税込)]]/1.08), "")</f>
        <v/>
      </c>
      <c r="P207" s="136">
        <v>0.1</v>
      </c>
      <c r="Q207" s="137">
        <f>商品マスタ[[#This Row],[仕入
単価]]*商品マスタ[[#This Row],[標準国内送料率]]</f>
        <v>353</v>
      </c>
      <c r="R207" s="134"/>
      <c r="S207" s="134">
        <f>IF(ISBLANK(商品マスタ[[#This Row],[実績
国内送料]]),商品マスタ[[#This Row],[標準国内送料]],)</f>
        <v>353</v>
      </c>
      <c r="T207" s="134">
        <f>商品マスタ[[#This Row],[仕入
単価]]+商品マスタ[[#This Row],[国内送料]]</f>
        <v>3883</v>
      </c>
      <c r="U207" s="134">
        <f>ROUNDUP(商品マスタ[[#This Row],[仕入単価+国内送料]]/0.8,-1)</f>
        <v>4860</v>
      </c>
      <c r="V207" s="134">
        <f>商品マスタ[[#This Row],[海外定価
（20％）]]-商品マスタ[[#This Row],[仕入単価+国内送料]]</f>
        <v>977</v>
      </c>
      <c r="W207" s="87">
        <f>ROUNDUP(商品マスタ[[#This Row],[仕入単価+国内送料]]/0.85,-1)</f>
        <v>4570</v>
      </c>
      <c r="X207" s="134">
        <f>商品マスタ[[#This Row],[国内定価
（15％）]]-商品マスタ[[#This Row],[仕入単価+国内送料]]</f>
        <v>687</v>
      </c>
      <c r="Y207" s="139">
        <v>0.08</v>
      </c>
      <c r="Z207" s="87"/>
      <c r="AA207" s="87"/>
      <c r="AB207" s="87"/>
      <c r="AC207" s="140"/>
      <c r="AD207" s="87"/>
      <c r="AE207" s="87"/>
      <c r="AF207" s="87"/>
      <c r="AG207" s="141"/>
    </row>
    <row r="208" spans="1:33" ht="18">
      <c r="A208" s="166" t="s">
        <v>1519</v>
      </c>
      <c r="B208" s="167" t="s">
        <v>1235</v>
      </c>
      <c r="C208" s="167" t="s">
        <v>997</v>
      </c>
      <c r="D208" s="143" t="str">
        <f>"PRD_SNJ_"&amp;
_xlfn.XLOOKUP(商品マスタ[[#This Row],[仕入先]],テーブル1[仕入先名],テーブル1[仕入先コード],"XXX",0,1)&amp;
"_"&amp;
商品マスタ[[#This Row],[シリアル]]&amp;
"_"&amp;
TEXT(COUNTIFS(商品マスタ!$C$3:C208,商品マスタ[[#This Row],[仕入先]],商品マスタ!$E$3:E208,商品マスタ[[#This Row],[商品名]]), "00")</f>
        <v>PRD_SNJ_GGM_0078_01</v>
      </c>
      <c r="E208" s="87" t="s">
        <v>644</v>
      </c>
      <c r="F208" s="87">
        <f>IF(COUNTIFS($C$3:C208,商品マスタ[[#This Row],[仕入先]],$E$3:E208,商品マスタ[[#This Row],[商品名]]) = 1, 1,0)</f>
        <v>1</v>
      </c>
      <c r="G208" s="133" t="str">
        <f>TEXT(SUMIF($C$3:C208,商品マスタ[[#This Row],[仕入先]],$F$3:F208), "0000")</f>
        <v>0078</v>
      </c>
      <c r="H208" s="87" t="s">
        <v>365</v>
      </c>
      <c r="I208" s="87" t="s">
        <v>621</v>
      </c>
      <c r="J208" s="87" t="s">
        <v>367</v>
      </c>
      <c r="K208" s="87" t="s">
        <v>634</v>
      </c>
      <c r="L208" s="134">
        <v>3800</v>
      </c>
      <c r="M208" s="157">
        <v>45834</v>
      </c>
      <c r="N208" s="134"/>
      <c r="O208" s="135" t="str">
        <f>IF(COUNT(商品マスタ[[#This Row],[参考上代
（税込)]]) &gt; 0, (商品マスタ[[#This Row],[参考上代
（税込)]]-商品マスタ[[#This Row],[国内定価
（15％）]])/(商品マスタ[[#This Row],[参考上代
（税込)]]/1.08), "")</f>
        <v/>
      </c>
      <c r="P208" s="136">
        <v>0.1</v>
      </c>
      <c r="Q208" s="137">
        <f>商品マスタ[[#This Row],[仕入
単価]]*商品マスタ[[#This Row],[標準国内送料率]]</f>
        <v>380</v>
      </c>
      <c r="R208" s="134"/>
      <c r="S208" s="134">
        <f>IF(ISBLANK(商品マスタ[[#This Row],[実績
国内送料]]),商品マスタ[[#This Row],[標準国内送料]],)</f>
        <v>380</v>
      </c>
      <c r="T208" s="134">
        <f>商品マスタ[[#This Row],[仕入
単価]]+商品マスタ[[#This Row],[国内送料]]</f>
        <v>4180</v>
      </c>
      <c r="U208" s="134">
        <f>ROUNDUP(商品マスタ[[#This Row],[仕入単価+国内送料]]/0.8,-1)</f>
        <v>5230</v>
      </c>
      <c r="V208" s="134">
        <f>商品マスタ[[#This Row],[海外定価
（20％）]]-商品マスタ[[#This Row],[仕入単価+国内送料]]</f>
        <v>1050</v>
      </c>
      <c r="W208" s="87">
        <f>ROUNDUP(商品マスタ[[#This Row],[仕入単価+国内送料]]/0.85,-1)</f>
        <v>4920</v>
      </c>
      <c r="X208" s="134">
        <f>商品マスタ[[#This Row],[国内定価
（15％）]]-商品マスタ[[#This Row],[仕入単価+国内送料]]</f>
        <v>740</v>
      </c>
      <c r="Y208" s="139">
        <v>0.08</v>
      </c>
      <c r="Z208" s="87"/>
      <c r="AA208" s="87"/>
      <c r="AB208" s="87"/>
      <c r="AC208" s="140"/>
      <c r="AD208" s="87"/>
      <c r="AE208" s="87"/>
      <c r="AF208" s="87"/>
      <c r="AG208" s="141"/>
    </row>
    <row r="209" spans="1:33" ht="18">
      <c r="A209" s="166" t="s">
        <v>1519</v>
      </c>
      <c r="B209" s="167" t="s">
        <v>1235</v>
      </c>
      <c r="C209" s="167" t="s">
        <v>997</v>
      </c>
      <c r="D209" s="143" t="str">
        <f>"PRD_SNJ_"&amp;
_xlfn.XLOOKUP(商品マスタ[[#This Row],[仕入先]],テーブル1[仕入先名],テーブル1[仕入先コード],"XXX",0,1)&amp;
"_"&amp;
商品マスタ[[#This Row],[シリアル]]&amp;
"_"&amp;
TEXT(COUNTIFS(商品マスタ!$C$3:C209,商品マスタ[[#This Row],[仕入先]],商品マスタ!$E$3:E209,商品マスタ[[#This Row],[商品名]]), "00")</f>
        <v>PRD_SNJ_GGM_0079_01</v>
      </c>
      <c r="E209" s="87" t="s">
        <v>645</v>
      </c>
      <c r="F209" s="87">
        <f>IF(COUNTIFS($C$3:C209,商品マスタ[[#This Row],[仕入先]],$E$3:E209,商品マスタ[[#This Row],[商品名]]) = 1, 1,0)</f>
        <v>1</v>
      </c>
      <c r="G209" s="133" t="str">
        <f>TEXT(SUMIF($C$3:C209,商品マスタ[[#This Row],[仕入先]],$F$3:F209), "0000")</f>
        <v>0079</v>
      </c>
      <c r="H209" s="87" t="s">
        <v>365</v>
      </c>
      <c r="I209" s="87" t="s">
        <v>628</v>
      </c>
      <c r="J209" s="87" t="s">
        <v>367</v>
      </c>
      <c r="K209" s="87" t="s">
        <v>646</v>
      </c>
      <c r="L209" s="134">
        <v>3550</v>
      </c>
      <c r="M209" s="157">
        <v>45834</v>
      </c>
      <c r="N209" s="134"/>
      <c r="O209" s="135" t="str">
        <f>IF(COUNT(商品マスタ[[#This Row],[参考上代
（税込)]]) &gt; 0, (商品マスタ[[#This Row],[参考上代
（税込)]]-商品マスタ[[#This Row],[国内定価
（15％）]])/(商品マスタ[[#This Row],[参考上代
（税込)]]/1.08), "")</f>
        <v/>
      </c>
      <c r="P209" s="136">
        <v>0.1</v>
      </c>
      <c r="Q209" s="137">
        <f>商品マスタ[[#This Row],[仕入
単価]]*商品マスタ[[#This Row],[標準国内送料率]]</f>
        <v>355</v>
      </c>
      <c r="R209" s="134"/>
      <c r="S209" s="134">
        <f>IF(ISBLANK(商品マスタ[[#This Row],[実績
国内送料]]),商品マスタ[[#This Row],[標準国内送料]],)</f>
        <v>355</v>
      </c>
      <c r="T209" s="134">
        <f>商品マスタ[[#This Row],[仕入
単価]]+商品マスタ[[#This Row],[国内送料]]</f>
        <v>3905</v>
      </c>
      <c r="U209" s="134">
        <f>ROUNDUP(商品マスタ[[#This Row],[仕入単価+国内送料]]/0.8,-1)</f>
        <v>4890</v>
      </c>
      <c r="V209" s="134">
        <f>商品マスタ[[#This Row],[海外定価
（20％）]]-商品マスタ[[#This Row],[仕入単価+国内送料]]</f>
        <v>985</v>
      </c>
      <c r="W209" s="87">
        <f>ROUNDUP(商品マスタ[[#This Row],[仕入単価+国内送料]]/0.85,-1)</f>
        <v>4600</v>
      </c>
      <c r="X209" s="134">
        <f>商品マスタ[[#This Row],[国内定価
（15％）]]-商品マスタ[[#This Row],[仕入単価+国内送料]]</f>
        <v>695</v>
      </c>
      <c r="Y209" s="139">
        <v>0.08</v>
      </c>
      <c r="Z209" s="87"/>
      <c r="AA209" s="87"/>
      <c r="AB209" s="87"/>
      <c r="AC209" s="140"/>
      <c r="AD209" s="87"/>
      <c r="AE209" s="87"/>
      <c r="AF209" s="87"/>
      <c r="AG209" s="141"/>
    </row>
    <row r="210" spans="1:33" ht="18">
      <c r="A210" s="166" t="s">
        <v>1519</v>
      </c>
      <c r="B210" s="167" t="s">
        <v>1235</v>
      </c>
      <c r="C210" s="167" t="s">
        <v>997</v>
      </c>
      <c r="D210" s="143" t="str">
        <f>"PRD_SNJ_"&amp;
_xlfn.XLOOKUP(商品マスタ[[#This Row],[仕入先]],テーブル1[仕入先名],テーブル1[仕入先コード],"XXX",0,1)&amp;
"_"&amp;
商品マスタ[[#This Row],[シリアル]]&amp;
"_"&amp;
TEXT(COUNTIFS(商品マスタ!$C$3:C210,商品マスタ[[#This Row],[仕入先]],商品マスタ!$E$3:E210,商品マスタ[[#This Row],[商品名]]), "00")</f>
        <v>PRD_SNJ_GGM_0080_01</v>
      </c>
      <c r="E210" s="87" t="s">
        <v>647</v>
      </c>
      <c r="F210" s="87">
        <f>IF(COUNTIFS($C$3:C210,商品マスタ[[#This Row],[仕入先]],$E$3:E210,商品マスタ[[#This Row],[商品名]]) = 1, 1,0)</f>
        <v>1</v>
      </c>
      <c r="G210" s="133" t="str">
        <f>TEXT(SUMIF($C$3:C210,商品マスタ[[#This Row],[仕入先]],$F$3:F210), "0000")</f>
        <v>0080</v>
      </c>
      <c r="H210" s="87" t="s">
        <v>365</v>
      </c>
      <c r="I210" s="87" t="s">
        <v>648</v>
      </c>
      <c r="J210" s="87" t="s">
        <v>393</v>
      </c>
      <c r="K210" s="87" t="s">
        <v>442</v>
      </c>
      <c r="L210" s="134">
        <v>3550</v>
      </c>
      <c r="M210" s="157">
        <v>45834</v>
      </c>
      <c r="N210" s="134"/>
      <c r="O210" s="135" t="str">
        <f>IF(COUNT(商品マスタ[[#This Row],[参考上代
（税込)]]) &gt; 0, (商品マスタ[[#This Row],[参考上代
（税込)]]-商品マスタ[[#This Row],[国内定価
（15％）]])/(商品マスタ[[#This Row],[参考上代
（税込)]]/1.08), "")</f>
        <v/>
      </c>
      <c r="P210" s="136">
        <v>0.1</v>
      </c>
      <c r="Q210" s="137">
        <f>商品マスタ[[#This Row],[仕入
単価]]*商品マスタ[[#This Row],[標準国内送料率]]</f>
        <v>355</v>
      </c>
      <c r="R210" s="134"/>
      <c r="S210" s="134">
        <f>IF(ISBLANK(商品マスタ[[#This Row],[実績
国内送料]]),商品マスタ[[#This Row],[標準国内送料]],)</f>
        <v>355</v>
      </c>
      <c r="T210" s="134">
        <f>商品マスタ[[#This Row],[仕入
単価]]+商品マスタ[[#This Row],[国内送料]]</f>
        <v>3905</v>
      </c>
      <c r="U210" s="134">
        <f>ROUNDUP(商品マスタ[[#This Row],[仕入単価+国内送料]]/0.8,-1)</f>
        <v>4890</v>
      </c>
      <c r="V210" s="134">
        <f>商品マスタ[[#This Row],[海外定価
（20％）]]-商品マスタ[[#This Row],[仕入単価+国内送料]]</f>
        <v>985</v>
      </c>
      <c r="W210" s="87">
        <f>ROUNDUP(商品マスタ[[#This Row],[仕入単価+国内送料]]/0.85,-1)</f>
        <v>4600</v>
      </c>
      <c r="X210" s="134">
        <f>商品マスタ[[#This Row],[国内定価
（15％）]]-商品マスタ[[#This Row],[仕入単価+国内送料]]</f>
        <v>695</v>
      </c>
      <c r="Y210" s="139">
        <v>0.08</v>
      </c>
      <c r="Z210" s="87"/>
      <c r="AA210" s="87"/>
      <c r="AB210" s="87"/>
      <c r="AC210" s="140"/>
      <c r="AD210" s="87"/>
      <c r="AE210" s="87"/>
      <c r="AF210" s="87"/>
      <c r="AG210" s="141"/>
    </row>
    <row r="211" spans="1:33" ht="18">
      <c r="A211" s="166" t="s">
        <v>1519</v>
      </c>
      <c r="B211" s="167" t="s">
        <v>1235</v>
      </c>
      <c r="C211" s="167" t="s">
        <v>997</v>
      </c>
      <c r="D211" s="143" t="str">
        <f>"PRD_SNJ_"&amp;
_xlfn.XLOOKUP(商品マスタ[[#This Row],[仕入先]],テーブル1[仕入先名],テーブル1[仕入先コード],"XXX",0,1)&amp;
"_"&amp;
商品マスタ[[#This Row],[シリアル]]&amp;
"_"&amp;
TEXT(COUNTIFS(商品マスタ!$C$3:C211,商品マスタ[[#This Row],[仕入先]],商品マスタ!$E$3:E211,商品マスタ[[#This Row],[商品名]]), "00")</f>
        <v>PRD_SNJ_GGM_0081_01</v>
      </c>
      <c r="E211" s="87" t="s">
        <v>649</v>
      </c>
      <c r="F211" s="87">
        <f>IF(COUNTIFS($C$3:C211,商品マスタ[[#This Row],[仕入先]],$E$3:E211,商品マスタ[[#This Row],[商品名]]) = 1, 1,0)</f>
        <v>1</v>
      </c>
      <c r="G211" s="133" t="str">
        <f>TEXT(SUMIF($C$3:C211,商品マスタ[[#This Row],[仕入先]],$F$3:F211), "0000")</f>
        <v>0081</v>
      </c>
      <c r="H211" s="87" t="s">
        <v>365</v>
      </c>
      <c r="I211" s="87" t="s">
        <v>530</v>
      </c>
      <c r="J211" s="87" t="s">
        <v>367</v>
      </c>
      <c r="K211" s="87" t="s">
        <v>442</v>
      </c>
      <c r="L211" s="134">
        <v>1260</v>
      </c>
      <c r="M211" s="157">
        <v>45834</v>
      </c>
      <c r="N211" s="134"/>
      <c r="O211" s="135" t="str">
        <f>IF(COUNT(商品マスタ[[#This Row],[参考上代
（税込)]]) &gt; 0, (商品マスタ[[#This Row],[参考上代
（税込)]]-商品マスタ[[#This Row],[国内定価
（15％）]])/(商品マスタ[[#This Row],[参考上代
（税込)]]/1.08), "")</f>
        <v/>
      </c>
      <c r="P211" s="136">
        <v>0.1</v>
      </c>
      <c r="Q211" s="137">
        <f>商品マスタ[[#This Row],[仕入
単価]]*商品マスタ[[#This Row],[標準国内送料率]]</f>
        <v>126</v>
      </c>
      <c r="R211" s="134"/>
      <c r="S211" s="134">
        <f>IF(ISBLANK(商品マスタ[[#This Row],[実績
国内送料]]),商品マスタ[[#This Row],[標準国内送料]],)</f>
        <v>126</v>
      </c>
      <c r="T211" s="134">
        <f>商品マスタ[[#This Row],[仕入
単価]]+商品マスタ[[#This Row],[国内送料]]</f>
        <v>1386</v>
      </c>
      <c r="U211" s="134">
        <f>ROUNDUP(商品マスタ[[#This Row],[仕入単価+国内送料]]/0.8,-1)</f>
        <v>1740</v>
      </c>
      <c r="V211" s="134">
        <f>商品マスタ[[#This Row],[海外定価
（20％）]]-商品マスタ[[#This Row],[仕入単価+国内送料]]</f>
        <v>354</v>
      </c>
      <c r="W211" s="87">
        <f>ROUNDUP(商品マスタ[[#This Row],[仕入単価+国内送料]]/0.85,-1)</f>
        <v>1640</v>
      </c>
      <c r="X211" s="134">
        <f>商品マスタ[[#This Row],[国内定価
（15％）]]-商品マスタ[[#This Row],[仕入単価+国内送料]]</f>
        <v>254</v>
      </c>
      <c r="Y211" s="139">
        <v>0.08</v>
      </c>
      <c r="Z211" s="87"/>
      <c r="AA211" s="87"/>
      <c r="AB211" s="87"/>
      <c r="AC211" s="140"/>
      <c r="AD211" s="87"/>
      <c r="AE211" s="87"/>
      <c r="AF211" s="87"/>
      <c r="AG211" s="141"/>
    </row>
    <row r="212" spans="1:33" ht="18">
      <c r="A212" s="166" t="s">
        <v>1519</v>
      </c>
      <c r="B212" s="167" t="s">
        <v>1235</v>
      </c>
      <c r="C212" s="167" t="s">
        <v>997</v>
      </c>
      <c r="D212" s="143" t="str">
        <f>"PRD_SNJ_"&amp;
_xlfn.XLOOKUP(商品マスタ[[#This Row],[仕入先]],テーブル1[仕入先名],テーブル1[仕入先コード],"XXX",0,1)&amp;
"_"&amp;
商品マスタ[[#This Row],[シリアル]]&amp;
"_"&amp;
TEXT(COUNTIFS(商品マスタ!$C$3:C212,商品マスタ[[#This Row],[仕入先]],商品マスタ!$E$3:E212,商品マスタ[[#This Row],[商品名]]), "00")</f>
        <v>PRD_SNJ_GGM_0082_01</v>
      </c>
      <c r="E212" s="87" t="s">
        <v>650</v>
      </c>
      <c r="F212" s="87">
        <f>IF(COUNTIFS($C$3:C212,商品マスタ[[#This Row],[仕入先]],$E$3:E212,商品マスタ[[#This Row],[商品名]]) = 1, 1,0)</f>
        <v>1</v>
      </c>
      <c r="G212" s="133" t="str">
        <f>TEXT(SUMIF($C$3:C212,商品マスタ[[#This Row],[仕入先]],$F$3:F212), "0000")</f>
        <v>0082</v>
      </c>
      <c r="H212" s="87" t="s">
        <v>365</v>
      </c>
      <c r="I212" s="87" t="s">
        <v>651</v>
      </c>
      <c r="J212" s="87" t="s">
        <v>367</v>
      </c>
      <c r="K212" s="87" t="s">
        <v>442</v>
      </c>
      <c r="L212" s="134">
        <v>1260</v>
      </c>
      <c r="M212" s="157">
        <v>45834</v>
      </c>
      <c r="N212" s="134"/>
      <c r="O212" s="135" t="str">
        <f>IF(COUNT(商品マスタ[[#This Row],[参考上代
（税込)]]) &gt; 0, (商品マスタ[[#This Row],[参考上代
（税込)]]-商品マスタ[[#This Row],[国内定価
（15％）]])/(商品マスタ[[#This Row],[参考上代
（税込)]]/1.08), "")</f>
        <v/>
      </c>
      <c r="P212" s="136">
        <v>0.1</v>
      </c>
      <c r="Q212" s="137">
        <f>商品マスタ[[#This Row],[仕入
単価]]*商品マスタ[[#This Row],[標準国内送料率]]</f>
        <v>126</v>
      </c>
      <c r="R212" s="134"/>
      <c r="S212" s="134">
        <f>IF(ISBLANK(商品マスタ[[#This Row],[実績
国内送料]]),商品マスタ[[#This Row],[標準国内送料]],)</f>
        <v>126</v>
      </c>
      <c r="T212" s="134">
        <f>商品マスタ[[#This Row],[仕入
単価]]+商品マスタ[[#This Row],[国内送料]]</f>
        <v>1386</v>
      </c>
      <c r="U212" s="134">
        <f>ROUNDUP(商品マスタ[[#This Row],[仕入単価+国内送料]]/0.8,-1)</f>
        <v>1740</v>
      </c>
      <c r="V212" s="134">
        <f>商品マスタ[[#This Row],[海外定価
（20％）]]-商品マスタ[[#This Row],[仕入単価+国内送料]]</f>
        <v>354</v>
      </c>
      <c r="W212" s="87">
        <f>ROUNDUP(商品マスタ[[#This Row],[仕入単価+国内送料]]/0.85,-1)</f>
        <v>1640</v>
      </c>
      <c r="X212" s="134">
        <f>商品マスタ[[#This Row],[国内定価
（15％）]]-商品マスタ[[#This Row],[仕入単価+国内送料]]</f>
        <v>254</v>
      </c>
      <c r="Y212" s="139">
        <v>0.08</v>
      </c>
      <c r="Z212" s="87"/>
      <c r="AA212" s="87"/>
      <c r="AB212" s="87"/>
      <c r="AC212" s="140"/>
      <c r="AD212" s="87"/>
      <c r="AE212" s="87"/>
      <c r="AF212" s="87"/>
      <c r="AG212" s="141"/>
    </row>
    <row r="213" spans="1:33" ht="18">
      <c r="A213" s="166" t="s">
        <v>1519</v>
      </c>
      <c r="B213" s="167" t="s">
        <v>1235</v>
      </c>
      <c r="C213" s="167" t="s">
        <v>997</v>
      </c>
      <c r="D213" s="143" t="str">
        <f>"PRD_SNJ_"&amp;
_xlfn.XLOOKUP(商品マスタ[[#This Row],[仕入先]],テーブル1[仕入先名],テーブル1[仕入先コード],"XXX",0,1)&amp;
"_"&amp;
商品マスタ[[#This Row],[シリアル]]&amp;
"_"&amp;
TEXT(COUNTIFS(商品マスタ!$C$3:C213,商品マスタ[[#This Row],[仕入先]],商品マスタ!$E$3:E213,商品マスタ[[#This Row],[商品名]]), "00")</f>
        <v>PRD_SNJ_GGM_0083_01</v>
      </c>
      <c r="E213" s="87" t="s">
        <v>652</v>
      </c>
      <c r="F213" s="87">
        <f>IF(COUNTIFS($C$3:C213,商品マスタ[[#This Row],[仕入先]],$E$3:E213,商品マスタ[[#This Row],[商品名]]) = 1, 1,0)</f>
        <v>1</v>
      </c>
      <c r="G213" s="133" t="str">
        <f>TEXT(SUMIF($C$3:C213,商品マスタ[[#This Row],[仕入先]],$F$3:F213), "0000")</f>
        <v>0083</v>
      </c>
      <c r="H213" s="87" t="s">
        <v>365</v>
      </c>
      <c r="I213" s="87" t="s">
        <v>492</v>
      </c>
      <c r="J213" s="87" t="s">
        <v>462</v>
      </c>
      <c r="K213" s="87" t="s">
        <v>480</v>
      </c>
      <c r="L213" s="134">
        <v>1500</v>
      </c>
      <c r="M213" s="157">
        <v>45834</v>
      </c>
      <c r="N213" s="134"/>
      <c r="O213" s="135" t="str">
        <f>IF(COUNT(商品マスタ[[#This Row],[参考上代
（税込)]]) &gt; 0, (商品マスタ[[#This Row],[参考上代
（税込)]]-商品マスタ[[#This Row],[国内定価
（15％）]])/(商品マスタ[[#This Row],[参考上代
（税込)]]/1.08), "")</f>
        <v/>
      </c>
      <c r="P213" s="136">
        <v>0.1</v>
      </c>
      <c r="Q213" s="137">
        <f>商品マスタ[[#This Row],[仕入
単価]]*商品マスタ[[#This Row],[標準国内送料率]]</f>
        <v>150</v>
      </c>
      <c r="R213" s="134"/>
      <c r="S213" s="134">
        <f>IF(ISBLANK(商品マスタ[[#This Row],[実績
国内送料]]),商品マスタ[[#This Row],[標準国内送料]],)</f>
        <v>150</v>
      </c>
      <c r="T213" s="134">
        <f>商品マスタ[[#This Row],[仕入
単価]]+商品マスタ[[#This Row],[国内送料]]</f>
        <v>1650</v>
      </c>
      <c r="U213" s="134">
        <f>ROUNDUP(商品マスタ[[#This Row],[仕入単価+国内送料]]/0.8,-1)</f>
        <v>2070</v>
      </c>
      <c r="V213" s="134">
        <f>商品マスタ[[#This Row],[海外定価
（20％）]]-商品マスタ[[#This Row],[仕入単価+国内送料]]</f>
        <v>420</v>
      </c>
      <c r="W213" s="87">
        <f>ROUNDUP(商品マスタ[[#This Row],[仕入単価+国内送料]]/0.85,-1)</f>
        <v>1950</v>
      </c>
      <c r="X213" s="134">
        <f>商品マスタ[[#This Row],[国内定価
（15％）]]-商品マスタ[[#This Row],[仕入単価+国内送料]]</f>
        <v>300</v>
      </c>
      <c r="Y213" s="139">
        <v>0.08</v>
      </c>
      <c r="Z213" s="87"/>
      <c r="AA213" s="87"/>
      <c r="AB213" s="87"/>
      <c r="AC213" s="140"/>
      <c r="AD213" s="87"/>
      <c r="AE213" s="87"/>
      <c r="AF213" s="87"/>
      <c r="AG213" s="141"/>
    </row>
    <row r="214" spans="1:33" ht="18">
      <c r="A214" s="166" t="s">
        <v>1519</v>
      </c>
      <c r="B214" s="167" t="s">
        <v>1235</v>
      </c>
      <c r="C214" s="167" t="s">
        <v>997</v>
      </c>
      <c r="D214" s="143" t="str">
        <f>"PRD_SNJ_"&amp;
_xlfn.XLOOKUP(商品マスタ[[#This Row],[仕入先]],テーブル1[仕入先名],テーブル1[仕入先コード],"XXX",0,1)&amp;
"_"&amp;
商品マスタ[[#This Row],[シリアル]]&amp;
"_"&amp;
TEXT(COUNTIFS(商品マスタ!$C$3:C214,商品マスタ[[#This Row],[仕入先]],商品マスタ!$E$3:E214,商品マスタ[[#This Row],[商品名]]), "00")</f>
        <v>PRD_SNJ_GGM_0084_01</v>
      </c>
      <c r="E214" s="87" t="s">
        <v>653</v>
      </c>
      <c r="F214" s="87">
        <f>IF(COUNTIFS($C$3:C214,商品マスタ[[#This Row],[仕入先]],$E$3:E214,商品マスタ[[#This Row],[商品名]]) = 1, 1,0)</f>
        <v>1</v>
      </c>
      <c r="G214" s="133" t="str">
        <f>TEXT(SUMIF($C$3:C214,商品マスタ[[#This Row],[仕入先]],$F$3:F214), "0000")</f>
        <v>0084</v>
      </c>
      <c r="H214" s="87" t="s">
        <v>365</v>
      </c>
      <c r="I214" s="87" t="s">
        <v>492</v>
      </c>
      <c r="J214" s="87" t="s">
        <v>462</v>
      </c>
      <c r="K214" s="87" t="s">
        <v>654</v>
      </c>
      <c r="L214" s="134">
        <v>300</v>
      </c>
      <c r="M214" s="157">
        <v>45834</v>
      </c>
      <c r="N214" s="134"/>
      <c r="O214" s="135" t="str">
        <f>IF(COUNT(商品マスタ[[#This Row],[参考上代
（税込)]]) &gt; 0, (商品マスタ[[#This Row],[参考上代
（税込)]]-商品マスタ[[#This Row],[国内定価
（15％）]])/(商品マスタ[[#This Row],[参考上代
（税込)]]/1.08), "")</f>
        <v/>
      </c>
      <c r="P214" s="136">
        <v>0.1</v>
      </c>
      <c r="Q214" s="137">
        <f>商品マスタ[[#This Row],[仕入
単価]]*商品マスタ[[#This Row],[標準国内送料率]]</f>
        <v>30</v>
      </c>
      <c r="R214" s="134"/>
      <c r="S214" s="134">
        <f>IF(ISBLANK(商品マスタ[[#This Row],[実績
国内送料]]),商品マスタ[[#This Row],[標準国内送料]],)</f>
        <v>30</v>
      </c>
      <c r="T214" s="134">
        <f>商品マスタ[[#This Row],[仕入
単価]]+商品マスタ[[#This Row],[国内送料]]</f>
        <v>330</v>
      </c>
      <c r="U214" s="134">
        <f>ROUNDUP(商品マスタ[[#This Row],[仕入単価+国内送料]]/0.8,-1)</f>
        <v>420</v>
      </c>
      <c r="V214" s="134">
        <f>商品マスタ[[#This Row],[海外定価
（20％）]]-商品マスタ[[#This Row],[仕入単価+国内送料]]</f>
        <v>90</v>
      </c>
      <c r="W214" s="87">
        <f>ROUNDUP(商品マスタ[[#This Row],[仕入単価+国内送料]]/0.85,-1)</f>
        <v>390</v>
      </c>
      <c r="X214" s="134">
        <f>商品マスタ[[#This Row],[国内定価
（15％）]]-商品マスタ[[#This Row],[仕入単価+国内送料]]</f>
        <v>60</v>
      </c>
      <c r="Y214" s="139">
        <v>0.08</v>
      </c>
      <c r="Z214" s="87"/>
      <c r="AA214" s="87"/>
      <c r="AB214" s="87"/>
      <c r="AC214" s="140"/>
      <c r="AD214" s="87"/>
      <c r="AE214" s="87"/>
      <c r="AF214" s="87"/>
      <c r="AG214" s="141"/>
    </row>
    <row r="215" spans="1:33" ht="18">
      <c r="A215" s="166" t="s">
        <v>1519</v>
      </c>
      <c r="B215" s="167" t="s">
        <v>1235</v>
      </c>
      <c r="C215" s="167" t="s">
        <v>997</v>
      </c>
      <c r="D215" s="143" t="str">
        <f>"PRD_SNJ_"&amp;
_xlfn.XLOOKUP(商品マスタ[[#This Row],[仕入先]],テーブル1[仕入先名],テーブル1[仕入先コード],"XXX",0,1)&amp;
"_"&amp;
商品マスタ[[#This Row],[シリアル]]&amp;
"_"&amp;
TEXT(COUNTIFS(商品マスタ!$C$3:C215,商品マスタ[[#This Row],[仕入先]],商品マスタ!$E$3:E215,商品マスタ[[#This Row],[商品名]]), "00")</f>
        <v>PRD_SNJ_GGM_0085_01</v>
      </c>
      <c r="E215" s="87" t="s">
        <v>655</v>
      </c>
      <c r="F215" s="87">
        <f>IF(COUNTIFS($C$3:C215,商品マスタ[[#This Row],[仕入先]],$E$3:E215,商品マスタ[[#This Row],[商品名]]) = 1, 1,0)</f>
        <v>1</v>
      </c>
      <c r="G215" s="133" t="str">
        <f>TEXT(SUMIF($C$3:C215,商品マスタ[[#This Row],[仕入先]],$F$3:F215), "0000")</f>
        <v>0085</v>
      </c>
      <c r="H215" s="87" t="s">
        <v>365</v>
      </c>
      <c r="I215" s="87" t="s">
        <v>656</v>
      </c>
      <c r="J215" s="87" t="s">
        <v>367</v>
      </c>
      <c r="K215" s="87" t="s">
        <v>657</v>
      </c>
      <c r="L215" s="134">
        <v>1400</v>
      </c>
      <c r="M215" s="157">
        <v>45834</v>
      </c>
      <c r="N215" s="134"/>
      <c r="O215" s="135" t="str">
        <f>IF(COUNT(商品マスタ[[#This Row],[参考上代
（税込)]]) &gt; 0, (商品マスタ[[#This Row],[参考上代
（税込)]]-商品マスタ[[#This Row],[国内定価
（15％）]])/(商品マスタ[[#This Row],[参考上代
（税込)]]/1.08), "")</f>
        <v/>
      </c>
      <c r="P215" s="136">
        <v>0.1</v>
      </c>
      <c r="Q215" s="137">
        <f>商品マスタ[[#This Row],[仕入
単価]]*商品マスタ[[#This Row],[標準国内送料率]]</f>
        <v>140</v>
      </c>
      <c r="R215" s="134"/>
      <c r="S215" s="134">
        <f>IF(ISBLANK(商品マスタ[[#This Row],[実績
国内送料]]),商品マスタ[[#This Row],[標準国内送料]],)</f>
        <v>140</v>
      </c>
      <c r="T215" s="134">
        <f>商品マスタ[[#This Row],[仕入
単価]]+商品マスタ[[#This Row],[国内送料]]</f>
        <v>1540</v>
      </c>
      <c r="U215" s="134">
        <f>ROUNDUP(商品マスタ[[#This Row],[仕入単価+国内送料]]/0.8,-1)</f>
        <v>1930</v>
      </c>
      <c r="V215" s="134">
        <f>商品マスタ[[#This Row],[海外定価
（20％）]]-商品マスタ[[#This Row],[仕入単価+国内送料]]</f>
        <v>390</v>
      </c>
      <c r="W215" s="87">
        <f>ROUNDUP(商品マスタ[[#This Row],[仕入単価+国内送料]]/0.85,-1)</f>
        <v>1820</v>
      </c>
      <c r="X215" s="134">
        <f>商品マスタ[[#This Row],[国内定価
（15％）]]-商品マスタ[[#This Row],[仕入単価+国内送料]]</f>
        <v>280</v>
      </c>
      <c r="Y215" s="139">
        <v>0.08</v>
      </c>
      <c r="Z215" s="87"/>
      <c r="AA215" s="87"/>
      <c r="AB215" s="87"/>
      <c r="AC215" s="140"/>
      <c r="AD215" s="87"/>
      <c r="AE215" s="87"/>
      <c r="AF215" s="87"/>
      <c r="AG215" s="141"/>
    </row>
    <row r="216" spans="1:33" ht="18">
      <c r="A216" s="166" t="s">
        <v>1519</v>
      </c>
      <c r="B216" s="167" t="s">
        <v>1235</v>
      </c>
      <c r="C216" s="167" t="s">
        <v>997</v>
      </c>
      <c r="D216" s="143" t="str">
        <f>"PRD_SNJ_"&amp;
_xlfn.XLOOKUP(商品マスタ[[#This Row],[仕入先]],テーブル1[仕入先名],テーブル1[仕入先コード],"XXX",0,1)&amp;
"_"&amp;
商品マスタ[[#This Row],[シリアル]]&amp;
"_"&amp;
TEXT(COUNTIFS(商品マスタ!$C$3:C216,商品マスタ[[#This Row],[仕入先]],商品マスタ!$E$3:E216,商品マスタ[[#This Row],[商品名]]), "00")</f>
        <v>PRD_SNJ_GGM_0086_01</v>
      </c>
      <c r="E216" s="87" t="s">
        <v>658</v>
      </c>
      <c r="F216" s="87">
        <f>IF(COUNTIFS($C$3:C216,商品マスタ[[#This Row],[仕入先]],$E$3:E216,商品マスタ[[#This Row],[商品名]]) = 1, 1,0)</f>
        <v>1</v>
      </c>
      <c r="G216" s="133" t="str">
        <f>TEXT(SUMIF($C$3:C216,商品マスタ[[#This Row],[仕入先]],$F$3:F216), "0000")</f>
        <v>0086</v>
      </c>
      <c r="H216" s="87" t="s">
        <v>365</v>
      </c>
      <c r="I216" s="87" t="s">
        <v>626</v>
      </c>
      <c r="J216" s="87" t="s">
        <v>367</v>
      </c>
      <c r="K216" s="87" t="s">
        <v>659</v>
      </c>
      <c r="L216" s="134">
        <v>1850</v>
      </c>
      <c r="M216" s="157">
        <v>45834</v>
      </c>
      <c r="N216" s="134"/>
      <c r="O216" s="135" t="str">
        <f>IF(COUNT(商品マスタ[[#This Row],[参考上代
（税込)]]) &gt; 0, (商品マスタ[[#This Row],[参考上代
（税込)]]-商品マスタ[[#This Row],[国内定価
（15％）]])/(商品マスタ[[#This Row],[参考上代
（税込)]]/1.08), "")</f>
        <v/>
      </c>
      <c r="P216" s="136">
        <v>0.1</v>
      </c>
      <c r="Q216" s="137">
        <f>商品マスタ[[#This Row],[仕入
単価]]*商品マスタ[[#This Row],[標準国内送料率]]</f>
        <v>185</v>
      </c>
      <c r="R216" s="134"/>
      <c r="S216" s="134">
        <f>IF(ISBLANK(商品マスタ[[#This Row],[実績
国内送料]]),商品マスタ[[#This Row],[標準国内送料]],)</f>
        <v>185</v>
      </c>
      <c r="T216" s="134">
        <f>商品マスタ[[#This Row],[仕入
単価]]+商品マスタ[[#This Row],[国内送料]]</f>
        <v>2035</v>
      </c>
      <c r="U216" s="134">
        <f>ROUNDUP(商品マスタ[[#This Row],[仕入単価+国内送料]]/0.8,-1)</f>
        <v>2550</v>
      </c>
      <c r="V216" s="134">
        <f>商品マスタ[[#This Row],[海外定価
（20％）]]-商品マスタ[[#This Row],[仕入単価+国内送料]]</f>
        <v>515</v>
      </c>
      <c r="W216" s="87">
        <f>ROUNDUP(商品マスタ[[#This Row],[仕入単価+国内送料]]/0.85,-1)</f>
        <v>2400</v>
      </c>
      <c r="X216" s="134">
        <f>商品マスタ[[#This Row],[国内定価
（15％）]]-商品マスタ[[#This Row],[仕入単価+国内送料]]</f>
        <v>365</v>
      </c>
      <c r="Y216" s="139">
        <v>0.08</v>
      </c>
      <c r="Z216" s="87"/>
      <c r="AA216" s="87"/>
      <c r="AB216" s="87"/>
      <c r="AC216" s="140"/>
      <c r="AD216" s="87"/>
      <c r="AE216" s="87"/>
      <c r="AF216" s="87"/>
      <c r="AG216" s="141"/>
    </row>
    <row r="217" spans="1:33" ht="18">
      <c r="A217" s="166" t="s">
        <v>1519</v>
      </c>
      <c r="B217" s="167" t="s">
        <v>1235</v>
      </c>
      <c r="C217" s="167" t="s">
        <v>997</v>
      </c>
      <c r="D217" s="143" t="str">
        <f>"PRD_SNJ_"&amp;
_xlfn.XLOOKUP(商品マスタ[[#This Row],[仕入先]],テーブル1[仕入先名],テーブル1[仕入先コード],"XXX",0,1)&amp;
"_"&amp;
商品マスタ[[#This Row],[シリアル]]&amp;
"_"&amp;
TEXT(COUNTIFS(商品マスタ!$C$3:C217,商品マスタ[[#This Row],[仕入先]],商品マスタ!$E$3:E217,商品マスタ[[#This Row],[商品名]]), "00")</f>
        <v>PRD_SNJ_GGM_0087_01</v>
      </c>
      <c r="E217" s="87" t="s">
        <v>660</v>
      </c>
      <c r="F217" s="87">
        <f>IF(COUNTIFS($C$3:C217,商品マスタ[[#This Row],[仕入先]],$E$3:E217,商品マスタ[[#This Row],[商品名]]) = 1, 1,0)</f>
        <v>1</v>
      </c>
      <c r="G217" s="133" t="str">
        <f>TEXT(SUMIF($C$3:C217,商品マスタ[[#This Row],[仕入先]],$F$3:F217), "0000")</f>
        <v>0087</v>
      </c>
      <c r="H217" s="87" t="s">
        <v>365</v>
      </c>
      <c r="I217" s="87" t="s">
        <v>661</v>
      </c>
      <c r="J217" s="87" t="s">
        <v>416</v>
      </c>
      <c r="K217" s="87" t="s">
        <v>662</v>
      </c>
      <c r="L217" s="134">
        <v>5100</v>
      </c>
      <c r="M217" s="157">
        <v>45834</v>
      </c>
      <c r="N217" s="134"/>
      <c r="O217" s="135" t="str">
        <f>IF(COUNT(商品マスタ[[#This Row],[参考上代
（税込)]]) &gt; 0, (商品マスタ[[#This Row],[参考上代
（税込)]]-商品マスタ[[#This Row],[国内定価
（15％）]])/(商品マスタ[[#This Row],[参考上代
（税込)]]/1.08), "")</f>
        <v/>
      </c>
      <c r="P217" s="136">
        <v>0.1</v>
      </c>
      <c r="Q217" s="137">
        <f>商品マスタ[[#This Row],[仕入
単価]]*商品マスタ[[#This Row],[標準国内送料率]]</f>
        <v>510</v>
      </c>
      <c r="R217" s="134"/>
      <c r="S217" s="134">
        <f>IF(ISBLANK(商品マスタ[[#This Row],[実績
国内送料]]),商品マスタ[[#This Row],[標準国内送料]],)</f>
        <v>510</v>
      </c>
      <c r="T217" s="134">
        <f>商品マスタ[[#This Row],[仕入
単価]]+商品マスタ[[#This Row],[国内送料]]</f>
        <v>5610</v>
      </c>
      <c r="U217" s="134">
        <f>ROUNDUP(商品マスタ[[#This Row],[仕入単価+国内送料]]/0.8,-1)</f>
        <v>7020</v>
      </c>
      <c r="V217" s="134">
        <f>商品マスタ[[#This Row],[海外定価
（20％）]]-商品マスタ[[#This Row],[仕入単価+国内送料]]</f>
        <v>1410</v>
      </c>
      <c r="W217" s="87">
        <f>ROUNDUP(商品マスタ[[#This Row],[仕入単価+国内送料]]/0.85,-1)</f>
        <v>6600</v>
      </c>
      <c r="X217" s="134">
        <f>商品マスタ[[#This Row],[国内定価
（15％）]]-商品マスタ[[#This Row],[仕入単価+国内送料]]</f>
        <v>990</v>
      </c>
      <c r="Y217" s="139">
        <v>0.08</v>
      </c>
      <c r="Z217" s="87"/>
      <c r="AA217" s="87"/>
      <c r="AB217" s="87"/>
      <c r="AC217" s="140"/>
      <c r="AD217" s="87"/>
      <c r="AE217" s="87"/>
      <c r="AF217" s="87"/>
      <c r="AG217" s="141"/>
    </row>
    <row r="218" spans="1:33" ht="18">
      <c r="A218" s="166" t="s">
        <v>1519</v>
      </c>
      <c r="B218" s="167" t="s">
        <v>1235</v>
      </c>
      <c r="C218" s="167" t="s">
        <v>997</v>
      </c>
      <c r="D218" s="143" t="str">
        <f>"PRD_SNJ_"&amp;
_xlfn.XLOOKUP(商品マスタ[[#This Row],[仕入先]],テーブル1[仕入先名],テーブル1[仕入先コード],"XXX",0,1)&amp;
"_"&amp;
商品マスタ[[#This Row],[シリアル]]&amp;
"_"&amp;
TEXT(COUNTIFS(商品マスタ!$C$3:C218,商品マスタ[[#This Row],[仕入先]],商品マスタ!$E$3:E218,商品マスタ[[#This Row],[商品名]]), "00")</f>
        <v>PRD_SNJ_GGM_0088_01</v>
      </c>
      <c r="E218" s="87" t="s">
        <v>663</v>
      </c>
      <c r="F218" s="87">
        <f>IF(COUNTIFS($C$3:C218,商品マスタ[[#This Row],[仕入先]],$E$3:E218,商品マスタ[[#This Row],[商品名]]) = 1, 1,0)</f>
        <v>1</v>
      </c>
      <c r="G218" s="133" t="str">
        <f>TEXT(SUMIF($C$3:C218,商品マスタ[[#This Row],[仕入先]],$F$3:F218), "0000")</f>
        <v>0088</v>
      </c>
      <c r="H218" s="87" t="s">
        <v>365</v>
      </c>
      <c r="I218" s="87" t="s">
        <v>664</v>
      </c>
      <c r="J218" s="87" t="s">
        <v>416</v>
      </c>
      <c r="K218" s="87" t="s">
        <v>665</v>
      </c>
      <c r="L218" s="134">
        <v>4500</v>
      </c>
      <c r="M218" s="157">
        <v>45834</v>
      </c>
      <c r="N218" s="134"/>
      <c r="O218" s="135" t="str">
        <f>IF(COUNT(商品マスタ[[#This Row],[参考上代
（税込)]]) &gt; 0, (商品マスタ[[#This Row],[参考上代
（税込)]]-商品マスタ[[#This Row],[国内定価
（15％）]])/(商品マスタ[[#This Row],[参考上代
（税込)]]/1.08), "")</f>
        <v/>
      </c>
      <c r="P218" s="136">
        <v>0.1</v>
      </c>
      <c r="Q218" s="137">
        <f>商品マスタ[[#This Row],[仕入
単価]]*商品マスタ[[#This Row],[標準国内送料率]]</f>
        <v>450</v>
      </c>
      <c r="R218" s="134"/>
      <c r="S218" s="134">
        <f>IF(ISBLANK(商品マスタ[[#This Row],[実績
国内送料]]),商品マスタ[[#This Row],[標準国内送料]],)</f>
        <v>450</v>
      </c>
      <c r="T218" s="134">
        <f>商品マスタ[[#This Row],[仕入
単価]]+商品マスタ[[#This Row],[国内送料]]</f>
        <v>4950</v>
      </c>
      <c r="U218" s="134">
        <f>ROUNDUP(商品マスタ[[#This Row],[仕入単価+国内送料]]/0.8,-1)</f>
        <v>6190</v>
      </c>
      <c r="V218" s="134">
        <f>商品マスタ[[#This Row],[海外定価
（20％）]]-商品マスタ[[#This Row],[仕入単価+国内送料]]</f>
        <v>1240</v>
      </c>
      <c r="W218" s="87">
        <f>ROUNDUP(商品マスタ[[#This Row],[仕入単価+国内送料]]/0.85,-1)</f>
        <v>5830</v>
      </c>
      <c r="X218" s="134">
        <f>商品マスタ[[#This Row],[国内定価
（15％）]]-商品マスタ[[#This Row],[仕入単価+国内送料]]</f>
        <v>880</v>
      </c>
      <c r="Y218" s="139">
        <v>0.08</v>
      </c>
      <c r="Z218" s="87"/>
      <c r="AA218" s="87"/>
      <c r="AB218" s="87"/>
      <c r="AC218" s="140"/>
      <c r="AD218" s="87"/>
      <c r="AE218" s="87"/>
      <c r="AF218" s="87"/>
      <c r="AG218" s="141"/>
    </row>
    <row r="219" spans="1:33" ht="18">
      <c r="A219" s="166" t="s">
        <v>1519</v>
      </c>
      <c r="B219" s="167" t="s">
        <v>1235</v>
      </c>
      <c r="C219" s="167" t="s">
        <v>997</v>
      </c>
      <c r="D219" s="143" t="str">
        <f>"PRD_SNJ_"&amp;
_xlfn.XLOOKUP(商品マスタ[[#This Row],[仕入先]],テーブル1[仕入先名],テーブル1[仕入先コード],"XXX",0,1)&amp;
"_"&amp;
商品マスタ[[#This Row],[シリアル]]&amp;
"_"&amp;
TEXT(COUNTIFS(商品マスタ!$C$3:C219,商品マスタ[[#This Row],[仕入先]],商品マスタ!$E$3:E219,商品マスタ[[#This Row],[商品名]]), "00")</f>
        <v>PRD_SNJ_GGM_0089_01</v>
      </c>
      <c r="E219" s="87" t="s">
        <v>666</v>
      </c>
      <c r="F219" s="87">
        <f>IF(COUNTIFS($C$3:C219,商品マスタ[[#This Row],[仕入先]],$E$3:E219,商品マスタ[[#This Row],[商品名]]) = 1, 1,0)</f>
        <v>1</v>
      </c>
      <c r="G219" s="133" t="str">
        <f>TEXT(SUMIF($C$3:C219,商品マスタ[[#This Row],[仕入先]],$F$3:F219), "0000")</f>
        <v>0089</v>
      </c>
      <c r="H219" s="87" t="s">
        <v>365</v>
      </c>
      <c r="I219" s="87" t="s">
        <v>667</v>
      </c>
      <c r="J219" s="87" t="s">
        <v>387</v>
      </c>
      <c r="K219" s="87" t="s">
        <v>668</v>
      </c>
      <c r="L219" s="134">
        <v>7000</v>
      </c>
      <c r="M219" s="157">
        <v>45834</v>
      </c>
      <c r="N219" s="134"/>
      <c r="O219" s="135" t="str">
        <f>IF(COUNT(商品マスタ[[#This Row],[参考上代
（税込)]]) &gt; 0, (商品マスタ[[#This Row],[参考上代
（税込)]]-商品マスタ[[#This Row],[国内定価
（15％）]])/(商品マスタ[[#This Row],[参考上代
（税込)]]/1.08), "")</f>
        <v/>
      </c>
      <c r="P219" s="136">
        <v>0.1</v>
      </c>
      <c r="Q219" s="137">
        <f>商品マスタ[[#This Row],[仕入
単価]]*商品マスタ[[#This Row],[標準国内送料率]]</f>
        <v>700</v>
      </c>
      <c r="R219" s="134"/>
      <c r="S219" s="134">
        <f>IF(ISBLANK(商品マスタ[[#This Row],[実績
国内送料]]),商品マスタ[[#This Row],[標準国内送料]],)</f>
        <v>700</v>
      </c>
      <c r="T219" s="134">
        <f>商品マスタ[[#This Row],[仕入
単価]]+商品マスタ[[#This Row],[国内送料]]</f>
        <v>7700</v>
      </c>
      <c r="U219" s="134">
        <f>ROUNDUP(商品マスタ[[#This Row],[仕入単価+国内送料]]/0.8,-1)</f>
        <v>9630</v>
      </c>
      <c r="V219" s="134">
        <f>商品マスタ[[#This Row],[海外定価
（20％）]]-商品マスタ[[#This Row],[仕入単価+国内送料]]</f>
        <v>1930</v>
      </c>
      <c r="W219" s="87">
        <f>ROUNDUP(商品マスタ[[#This Row],[仕入単価+国内送料]]/0.85,-1)</f>
        <v>9060</v>
      </c>
      <c r="X219" s="134">
        <f>商品マスタ[[#This Row],[国内定価
（15％）]]-商品マスタ[[#This Row],[仕入単価+国内送料]]</f>
        <v>1360</v>
      </c>
      <c r="Y219" s="139">
        <v>0.08</v>
      </c>
      <c r="Z219" s="87"/>
      <c r="AA219" s="87"/>
      <c r="AB219" s="87"/>
      <c r="AC219" s="140"/>
      <c r="AD219" s="87"/>
      <c r="AE219" s="87"/>
      <c r="AF219" s="87"/>
      <c r="AG219" s="141"/>
    </row>
    <row r="220" spans="1:33" ht="18">
      <c r="A220" s="166" t="s">
        <v>1519</v>
      </c>
      <c r="B220" s="167" t="s">
        <v>1235</v>
      </c>
      <c r="C220" s="167" t="s">
        <v>997</v>
      </c>
      <c r="D220" s="143" t="str">
        <f>"PRD_SNJ_"&amp;
_xlfn.XLOOKUP(商品マスタ[[#This Row],[仕入先]],テーブル1[仕入先名],テーブル1[仕入先コード],"XXX",0,1)&amp;
"_"&amp;
商品マスタ[[#This Row],[シリアル]]&amp;
"_"&amp;
TEXT(COUNTIFS(商品マスタ!$C$3:C220,商品マスタ[[#This Row],[仕入先]],商品マスタ!$E$3:E220,商品マスタ[[#This Row],[商品名]]), "00")</f>
        <v>PRD_SNJ_GGM_0090_01</v>
      </c>
      <c r="E220" s="87" t="s">
        <v>669</v>
      </c>
      <c r="F220" s="87">
        <f>IF(COUNTIFS($C$3:C220,商品マスタ[[#This Row],[仕入先]],$E$3:E220,商品マスタ[[#This Row],[商品名]]) = 1, 1,0)</f>
        <v>1</v>
      </c>
      <c r="G220" s="133" t="str">
        <f>TEXT(SUMIF($C$3:C220,商品マスタ[[#This Row],[仕入先]],$F$3:F220), "0000")</f>
        <v>0090</v>
      </c>
      <c r="H220" s="87" t="s">
        <v>365</v>
      </c>
      <c r="I220" s="87" t="s">
        <v>667</v>
      </c>
      <c r="J220" s="87" t="s">
        <v>387</v>
      </c>
      <c r="K220" s="87" t="s">
        <v>668</v>
      </c>
      <c r="L220" s="134">
        <v>6500</v>
      </c>
      <c r="M220" s="157">
        <v>45834</v>
      </c>
      <c r="N220" s="134"/>
      <c r="O220" s="135" t="str">
        <f>IF(COUNT(商品マスタ[[#This Row],[参考上代
（税込)]]) &gt; 0, (商品マスタ[[#This Row],[参考上代
（税込)]]-商品マスタ[[#This Row],[国内定価
（15％）]])/(商品マスタ[[#This Row],[参考上代
（税込)]]/1.08), "")</f>
        <v/>
      </c>
      <c r="P220" s="136">
        <v>0.1</v>
      </c>
      <c r="Q220" s="137">
        <f>商品マスタ[[#This Row],[仕入
単価]]*商品マスタ[[#This Row],[標準国内送料率]]</f>
        <v>650</v>
      </c>
      <c r="R220" s="134"/>
      <c r="S220" s="134">
        <f>IF(ISBLANK(商品マスタ[[#This Row],[実績
国内送料]]),商品マスタ[[#This Row],[標準国内送料]],)</f>
        <v>650</v>
      </c>
      <c r="T220" s="134">
        <f>商品マスタ[[#This Row],[仕入
単価]]+商品マスタ[[#This Row],[国内送料]]</f>
        <v>7150</v>
      </c>
      <c r="U220" s="134">
        <f>ROUNDUP(商品マスタ[[#This Row],[仕入単価+国内送料]]/0.8,-1)</f>
        <v>8940</v>
      </c>
      <c r="V220" s="134">
        <f>商品マスタ[[#This Row],[海外定価
（20％）]]-商品マスタ[[#This Row],[仕入単価+国内送料]]</f>
        <v>1790</v>
      </c>
      <c r="W220" s="87">
        <f>ROUNDUP(商品マスタ[[#This Row],[仕入単価+国内送料]]/0.85,-1)</f>
        <v>8420</v>
      </c>
      <c r="X220" s="134">
        <f>商品マスタ[[#This Row],[国内定価
（15％）]]-商品マスタ[[#This Row],[仕入単価+国内送料]]</f>
        <v>1270</v>
      </c>
      <c r="Y220" s="139">
        <v>0.08</v>
      </c>
      <c r="Z220" s="87"/>
      <c r="AA220" s="87"/>
      <c r="AB220" s="87"/>
      <c r="AC220" s="140"/>
      <c r="AD220" s="87"/>
      <c r="AE220" s="87"/>
      <c r="AF220" s="87"/>
      <c r="AG220" s="141"/>
    </row>
    <row r="221" spans="1:33" ht="18">
      <c r="A221" s="166" t="s">
        <v>1519</v>
      </c>
      <c r="B221" s="167" t="s">
        <v>1235</v>
      </c>
      <c r="C221" s="167" t="s">
        <v>997</v>
      </c>
      <c r="D221" s="143" t="str">
        <f>"PRD_SNJ_"&amp;
_xlfn.XLOOKUP(商品マスタ[[#This Row],[仕入先]],テーブル1[仕入先名],テーブル1[仕入先コード],"XXX",0,1)&amp;
"_"&amp;
商品マスタ[[#This Row],[シリアル]]&amp;
"_"&amp;
TEXT(COUNTIFS(商品マスタ!$C$3:C221,商品マスタ[[#This Row],[仕入先]],商品マスタ!$E$3:E221,商品マスタ[[#This Row],[商品名]]), "00")</f>
        <v>PRD_SNJ_GGM_0091_01</v>
      </c>
      <c r="E221" s="87" t="s">
        <v>670</v>
      </c>
      <c r="F221" s="87">
        <f>IF(COUNTIFS($C$3:C221,商品マスタ[[#This Row],[仕入先]],$E$3:E221,商品マスタ[[#This Row],[商品名]]) = 1, 1,0)</f>
        <v>1</v>
      </c>
      <c r="G221" s="133" t="str">
        <f>TEXT(SUMIF($C$3:C221,商品マスタ[[#This Row],[仕入先]],$F$3:F221), "0000")</f>
        <v>0091</v>
      </c>
      <c r="H221" s="87" t="s">
        <v>365</v>
      </c>
      <c r="I221" s="87" t="s">
        <v>671</v>
      </c>
      <c r="J221" s="87" t="s">
        <v>376</v>
      </c>
      <c r="K221" s="87" t="s">
        <v>442</v>
      </c>
      <c r="L221" s="134">
        <v>5700</v>
      </c>
      <c r="M221" s="157">
        <v>45834</v>
      </c>
      <c r="N221" s="134"/>
      <c r="O221" s="135" t="str">
        <f>IF(COUNT(商品マスタ[[#This Row],[参考上代
（税込)]]) &gt; 0, (商品マスタ[[#This Row],[参考上代
（税込)]]-商品マスタ[[#This Row],[国内定価
（15％）]])/(商品マスタ[[#This Row],[参考上代
（税込)]]/1.08), "")</f>
        <v/>
      </c>
      <c r="P221" s="136">
        <v>0.1</v>
      </c>
      <c r="Q221" s="137">
        <f>商品マスタ[[#This Row],[仕入
単価]]*商品マスタ[[#This Row],[標準国内送料率]]</f>
        <v>570</v>
      </c>
      <c r="R221" s="134"/>
      <c r="S221" s="134">
        <f>IF(ISBLANK(商品マスタ[[#This Row],[実績
国内送料]]),商品マスタ[[#This Row],[標準国内送料]],)</f>
        <v>570</v>
      </c>
      <c r="T221" s="134">
        <f>商品マスタ[[#This Row],[仕入
単価]]+商品マスタ[[#This Row],[国内送料]]</f>
        <v>6270</v>
      </c>
      <c r="U221" s="134">
        <f>ROUNDUP(商品マスタ[[#This Row],[仕入単価+国内送料]]/0.8,-1)</f>
        <v>7840</v>
      </c>
      <c r="V221" s="134">
        <f>商品マスタ[[#This Row],[海外定価
（20％）]]-商品マスタ[[#This Row],[仕入単価+国内送料]]</f>
        <v>1570</v>
      </c>
      <c r="W221" s="87">
        <f>ROUNDUP(商品マスタ[[#This Row],[仕入単価+国内送料]]/0.85,-1)</f>
        <v>7380</v>
      </c>
      <c r="X221" s="134">
        <f>商品マスタ[[#This Row],[国内定価
（15％）]]-商品マスタ[[#This Row],[仕入単価+国内送料]]</f>
        <v>1110</v>
      </c>
      <c r="Y221" s="139">
        <v>0.08</v>
      </c>
      <c r="Z221" s="87"/>
      <c r="AA221" s="87"/>
      <c r="AB221" s="87"/>
      <c r="AC221" s="140"/>
      <c r="AD221" s="87"/>
      <c r="AE221" s="87"/>
      <c r="AF221" s="87"/>
      <c r="AG221" s="141"/>
    </row>
    <row r="222" spans="1:33" ht="18">
      <c r="A222" s="166" t="s">
        <v>1519</v>
      </c>
      <c r="B222" s="167" t="s">
        <v>1235</v>
      </c>
      <c r="C222" s="167" t="s">
        <v>997</v>
      </c>
      <c r="D222" s="143" t="str">
        <f>"PRD_SNJ_"&amp;
_xlfn.XLOOKUP(商品マスタ[[#This Row],[仕入先]],テーブル1[仕入先名],テーブル1[仕入先コード],"XXX",0,1)&amp;
"_"&amp;
商品マスタ[[#This Row],[シリアル]]&amp;
"_"&amp;
TEXT(COUNTIFS(商品マスタ!$C$3:C222,商品マスタ[[#This Row],[仕入先]],商品マスタ!$E$3:E222,商品マスタ[[#This Row],[商品名]]), "00")</f>
        <v>PRD_SNJ_GGM_0092_01</v>
      </c>
      <c r="E222" s="87" t="s">
        <v>672</v>
      </c>
      <c r="F222" s="87">
        <f>IF(COUNTIFS($C$3:C222,商品マスタ[[#This Row],[仕入先]],$E$3:E222,商品マスタ[[#This Row],[商品名]]) = 1, 1,0)</f>
        <v>1</v>
      </c>
      <c r="G222" s="133" t="str">
        <f>TEXT(SUMIF($C$3:C222,商品マスタ[[#This Row],[仕入先]],$F$3:F222), "0000")</f>
        <v>0092</v>
      </c>
      <c r="H222" s="87" t="s">
        <v>365</v>
      </c>
      <c r="I222" s="87" t="s">
        <v>671</v>
      </c>
      <c r="J222" s="87" t="s">
        <v>376</v>
      </c>
      <c r="K222" s="87" t="s">
        <v>442</v>
      </c>
      <c r="L222" s="134">
        <v>5000</v>
      </c>
      <c r="M222" s="157">
        <v>45834</v>
      </c>
      <c r="N222" s="134"/>
      <c r="O222" s="135" t="str">
        <f>IF(COUNT(商品マスタ[[#This Row],[参考上代
（税込)]]) &gt; 0, (商品マスタ[[#This Row],[参考上代
（税込)]]-商品マスタ[[#This Row],[国内定価
（15％）]])/(商品マスタ[[#This Row],[参考上代
（税込)]]/1.08), "")</f>
        <v/>
      </c>
      <c r="P222" s="136">
        <v>0.1</v>
      </c>
      <c r="Q222" s="137">
        <f>商品マスタ[[#This Row],[仕入
単価]]*商品マスタ[[#This Row],[標準国内送料率]]</f>
        <v>500</v>
      </c>
      <c r="R222" s="134"/>
      <c r="S222" s="134">
        <f>IF(ISBLANK(商品マスタ[[#This Row],[実績
国内送料]]),商品マスタ[[#This Row],[標準国内送料]],)</f>
        <v>500</v>
      </c>
      <c r="T222" s="134">
        <f>商品マスタ[[#This Row],[仕入
単価]]+商品マスタ[[#This Row],[国内送料]]</f>
        <v>5500</v>
      </c>
      <c r="U222" s="134">
        <f>ROUNDUP(商品マスタ[[#This Row],[仕入単価+国内送料]]/0.8,-1)</f>
        <v>6880</v>
      </c>
      <c r="V222" s="134">
        <f>商品マスタ[[#This Row],[海外定価
（20％）]]-商品マスタ[[#This Row],[仕入単価+国内送料]]</f>
        <v>1380</v>
      </c>
      <c r="W222" s="87">
        <f>ROUNDUP(商品マスタ[[#This Row],[仕入単価+国内送料]]/0.85,-1)</f>
        <v>6480</v>
      </c>
      <c r="X222" s="134">
        <f>商品マスタ[[#This Row],[国内定価
（15％）]]-商品マスタ[[#This Row],[仕入単価+国内送料]]</f>
        <v>980</v>
      </c>
      <c r="Y222" s="139">
        <v>0.08</v>
      </c>
      <c r="Z222" s="87"/>
      <c r="AA222" s="87"/>
      <c r="AB222" s="87"/>
      <c r="AC222" s="140"/>
      <c r="AD222" s="87"/>
      <c r="AE222" s="87"/>
      <c r="AF222" s="87"/>
      <c r="AG222" s="141"/>
    </row>
    <row r="223" spans="1:33" ht="18">
      <c r="A223" s="166" t="s">
        <v>1519</v>
      </c>
      <c r="B223" s="167" t="s">
        <v>1235</v>
      </c>
      <c r="C223" s="167" t="s">
        <v>997</v>
      </c>
      <c r="D223" s="143" t="str">
        <f>"PRD_SNJ_"&amp;
_xlfn.XLOOKUP(商品マスタ[[#This Row],[仕入先]],テーブル1[仕入先名],テーブル1[仕入先コード],"XXX",0,1)&amp;
"_"&amp;
商品マスタ[[#This Row],[シリアル]]&amp;
"_"&amp;
TEXT(COUNTIFS(商品マスタ!$C$3:C223,商品マスタ[[#This Row],[仕入先]],商品マスタ!$E$3:E223,商品マスタ[[#This Row],[商品名]]), "00")</f>
        <v>PRD_SNJ_GGM_0093_01</v>
      </c>
      <c r="E223" s="87" t="s">
        <v>673</v>
      </c>
      <c r="F223" s="87">
        <f>IF(COUNTIFS($C$3:C223,商品マスタ[[#This Row],[仕入先]],$E$3:E223,商品マスタ[[#This Row],[商品名]]) = 1, 1,0)</f>
        <v>1</v>
      </c>
      <c r="G223" s="133" t="str">
        <f>TEXT(SUMIF($C$3:C223,商品マスタ[[#This Row],[仕入先]],$F$3:F223), "0000")</f>
        <v>0093</v>
      </c>
      <c r="H223" s="87" t="s">
        <v>365</v>
      </c>
      <c r="I223" s="87" t="s">
        <v>674</v>
      </c>
      <c r="J223" s="87" t="s">
        <v>675</v>
      </c>
      <c r="K223" s="87" t="s">
        <v>676</v>
      </c>
      <c r="L223" s="134">
        <v>1800</v>
      </c>
      <c r="M223" s="157">
        <v>45834</v>
      </c>
      <c r="N223" s="134"/>
      <c r="O223" s="135" t="str">
        <f>IF(COUNT(商品マスタ[[#This Row],[参考上代
（税込)]]) &gt; 0, (商品マスタ[[#This Row],[参考上代
（税込)]]-商品マスタ[[#This Row],[国内定価
（15％）]])/(商品マスタ[[#This Row],[参考上代
（税込)]]/1.08), "")</f>
        <v/>
      </c>
      <c r="P223" s="136">
        <v>0.1</v>
      </c>
      <c r="Q223" s="137">
        <f>商品マスタ[[#This Row],[仕入
単価]]*商品マスタ[[#This Row],[標準国内送料率]]</f>
        <v>180</v>
      </c>
      <c r="R223" s="134"/>
      <c r="S223" s="134">
        <f>IF(ISBLANK(商品マスタ[[#This Row],[実績
国内送料]]),商品マスタ[[#This Row],[標準国内送料]],)</f>
        <v>180</v>
      </c>
      <c r="T223" s="134">
        <f>商品マスタ[[#This Row],[仕入
単価]]+商品マスタ[[#This Row],[国内送料]]</f>
        <v>1980</v>
      </c>
      <c r="U223" s="134">
        <f>ROUNDUP(商品マスタ[[#This Row],[仕入単価+国内送料]]/0.8,-1)</f>
        <v>2480</v>
      </c>
      <c r="V223" s="134">
        <f>商品マスタ[[#This Row],[海外定価
（20％）]]-商品マスタ[[#This Row],[仕入単価+国内送料]]</f>
        <v>500</v>
      </c>
      <c r="W223" s="87">
        <f>ROUNDUP(商品マスタ[[#This Row],[仕入単価+国内送料]]/0.85,-1)</f>
        <v>2330</v>
      </c>
      <c r="X223" s="134">
        <f>商品マスタ[[#This Row],[国内定価
（15％）]]-商品マスタ[[#This Row],[仕入単価+国内送料]]</f>
        <v>350</v>
      </c>
      <c r="Y223" s="139">
        <v>0.08</v>
      </c>
      <c r="Z223" s="87"/>
      <c r="AA223" s="87"/>
      <c r="AB223" s="87"/>
      <c r="AC223" s="140"/>
      <c r="AD223" s="87"/>
      <c r="AE223" s="87"/>
      <c r="AF223" s="87"/>
      <c r="AG223" s="141"/>
    </row>
    <row r="224" spans="1:33" ht="18">
      <c r="A224" s="166" t="s">
        <v>1519</v>
      </c>
      <c r="B224" s="167" t="s">
        <v>1235</v>
      </c>
      <c r="C224" s="167" t="s">
        <v>997</v>
      </c>
      <c r="D224" s="143" t="str">
        <f>"PRD_SNJ_"&amp;
_xlfn.XLOOKUP(商品マスタ[[#This Row],[仕入先]],テーブル1[仕入先名],テーブル1[仕入先コード],"XXX",0,1)&amp;
"_"&amp;
商品マスタ[[#This Row],[シリアル]]&amp;
"_"&amp;
TEXT(COUNTIFS(商品マスタ!$C$3:C224,商品マスタ[[#This Row],[仕入先]],商品マスタ!$E$3:E224,商品マスタ[[#This Row],[商品名]]), "00")</f>
        <v>PRD_SNJ_GGM_0094_01</v>
      </c>
      <c r="E224" s="87" t="s">
        <v>677</v>
      </c>
      <c r="F224" s="87">
        <f>IF(COUNTIFS($C$3:C224,商品マスタ[[#This Row],[仕入先]],$E$3:E224,商品マスタ[[#This Row],[商品名]]) = 1, 1,0)</f>
        <v>1</v>
      </c>
      <c r="G224" s="133" t="str">
        <f>TEXT(SUMIF($C$3:C224,商品マスタ[[#This Row],[仕入先]],$F$3:F224), "0000")</f>
        <v>0094</v>
      </c>
      <c r="H224" s="87" t="s">
        <v>365</v>
      </c>
      <c r="I224" s="87" t="s">
        <v>678</v>
      </c>
      <c r="J224" s="87" t="s">
        <v>675</v>
      </c>
      <c r="K224" s="87" t="s">
        <v>676</v>
      </c>
      <c r="L224" s="134">
        <v>2000</v>
      </c>
      <c r="M224" s="157">
        <v>45834</v>
      </c>
      <c r="N224" s="134"/>
      <c r="O224" s="135" t="str">
        <f>IF(COUNT(商品マスタ[[#This Row],[参考上代
（税込)]]) &gt; 0, (商品マスタ[[#This Row],[参考上代
（税込)]]-商品マスタ[[#This Row],[国内定価
（15％）]])/(商品マスタ[[#This Row],[参考上代
（税込)]]/1.08), "")</f>
        <v/>
      </c>
      <c r="P224" s="136">
        <v>0.1</v>
      </c>
      <c r="Q224" s="137">
        <f>商品マスタ[[#This Row],[仕入
単価]]*商品マスタ[[#This Row],[標準国内送料率]]</f>
        <v>200</v>
      </c>
      <c r="R224" s="134"/>
      <c r="S224" s="134">
        <f>IF(ISBLANK(商品マスタ[[#This Row],[実績
国内送料]]),商品マスタ[[#This Row],[標準国内送料]],)</f>
        <v>200</v>
      </c>
      <c r="T224" s="134">
        <f>商品マスタ[[#This Row],[仕入
単価]]+商品マスタ[[#This Row],[国内送料]]</f>
        <v>2200</v>
      </c>
      <c r="U224" s="134">
        <f>ROUNDUP(商品マスタ[[#This Row],[仕入単価+国内送料]]/0.8,-1)</f>
        <v>2750</v>
      </c>
      <c r="V224" s="134">
        <f>商品マスタ[[#This Row],[海外定価
（20％）]]-商品マスタ[[#This Row],[仕入単価+国内送料]]</f>
        <v>550</v>
      </c>
      <c r="W224" s="87">
        <f>ROUNDUP(商品マスタ[[#This Row],[仕入単価+国内送料]]/0.85,-1)</f>
        <v>2590</v>
      </c>
      <c r="X224" s="134">
        <f>商品マスタ[[#This Row],[国内定価
（15％）]]-商品マスタ[[#This Row],[仕入単価+国内送料]]</f>
        <v>390</v>
      </c>
      <c r="Y224" s="139">
        <v>0.08</v>
      </c>
      <c r="Z224" s="87"/>
      <c r="AA224" s="87"/>
      <c r="AB224" s="87"/>
      <c r="AC224" s="140"/>
      <c r="AD224" s="87"/>
      <c r="AE224" s="87"/>
      <c r="AF224" s="87"/>
      <c r="AG224" s="141"/>
    </row>
    <row r="225" spans="1:33" ht="18">
      <c r="A225" s="169" t="s">
        <v>1524</v>
      </c>
      <c r="B225" s="168" t="s">
        <v>1229</v>
      </c>
      <c r="C225" s="168" t="s">
        <v>139</v>
      </c>
      <c r="D225" s="143" t="str">
        <f>"PRD_SNJ_"&amp;
_xlfn.XLOOKUP(商品マスタ[[#This Row],[仕入先]],テーブル1[仕入先名],テーブル1[仕入先コード],"XXX",0,1)&amp;
"_"&amp;
商品マスタ[[#This Row],[シリアル]]&amp;
"_"&amp;
TEXT(COUNTIFS(商品マスタ!$C$3:C225,商品マスタ[[#This Row],[仕入先]],商品マスタ!$E$3:E225,商品マスタ[[#This Row],[商品名]]), "00")</f>
        <v>PRD_SNJ_NRS_0001_01</v>
      </c>
      <c r="E225" s="87" t="s">
        <v>679</v>
      </c>
      <c r="F225" s="87">
        <f>IF(COUNTIFS($C$3:C225,商品マスタ[[#This Row],[仕入先]],$E$3:E225,商品マスタ[[#This Row],[商品名]]) = 1, 1,0)</f>
        <v>1</v>
      </c>
      <c r="G225" s="133" t="str">
        <f>TEXT(SUMIF($C$3:C225,商品マスタ[[#This Row],[仕入先]],$F$3:F225), "0000")</f>
        <v>0001</v>
      </c>
      <c r="H225" s="87" t="s">
        <v>365</v>
      </c>
      <c r="I225" s="87" t="s">
        <v>680</v>
      </c>
      <c r="J225" s="87" t="s">
        <v>416</v>
      </c>
      <c r="K225" s="87" t="s">
        <v>681</v>
      </c>
      <c r="L225" s="134">
        <v>4800</v>
      </c>
      <c r="M225" s="157">
        <v>45912</v>
      </c>
      <c r="N225" s="134"/>
      <c r="O225" s="135" t="str">
        <f>IF(COUNT(商品マスタ[[#This Row],[参考上代
（税込)]]) &gt; 0, (商品マスタ[[#This Row],[参考上代
（税込)]]-商品マスタ[[#This Row],[国内定価
（15％）]])/(商品マスタ[[#This Row],[参考上代
（税込)]]/1.08), "")</f>
        <v/>
      </c>
      <c r="P225" s="136">
        <v>0.1</v>
      </c>
      <c r="Q225" s="137">
        <f>商品マスタ[[#This Row],[仕入
単価]]*商品マスタ[[#This Row],[標準国内送料率]]</f>
        <v>480</v>
      </c>
      <c r="R225" s="134"/>
      <c r="S225" s="134">
        <f>IF(ISBLANK(商品マスタ[[#This Row],[実績
国内送料]]),商品マスタ[[#This Row],[標準国内送料]],)</f>
        <v>480</v>
      </c>
      <c r="T225" s="134">
        <f>商品マスタ[[#This Row],[仕入
単価]]+商品マスタ[[#This Row],[国内送料]]</f>
        <v>5280</v>
      </c>
      <c r="U225" s="134">
        <f>ROUNDUP(商品マスタ[[#This Row],[仕入単価+国内送料]]/0.8,-1)</f>
        <v>6600</v>
      </c>
      <c r="V225" s="134">
        <f>商品マスタ[[#This Row],[海外定価
（20％）]]-商品マスタ[[#This Row],[仕入単価+国内送料]]</f>
        <v>1320</v>
      </c>
      <c r="W225" s="87">
        <f>ROUNDUP(商品マスタ[[#This Row],[仕入単価+国内送料]]/0.85,-1)</f>
        <v>6220</v>
      </c>
      <c r="X225" s="134">
        <f>商品マスタ[[#This Row],[国内定価
（15％）]]-商品マスタ[[#This Row],[仕入単価+国内送料]]</f>
        <v>940</v>
      </c>
      <c r="Y225" s="139">
        <v>0.08</v>
      </c>
      <c r="Z225" s="87"/>
      <c r="AA225" s="87"/>
      <c r="AB225" s="87"/>
      <c r="AC225" s="140"/>
      <c r="AD225" s="87"/>
      <c r="AE225" s="87"/>
      <c r="AF225" s="87"/>
      <c r="AG225" s="141"/>
    </row>
    <row r="226" spans="1:33" ht="18">
      <c r="A226" s="169" t="s">
        <v>1524</v>
      </c>
      <c r="B226" s="168" t="s">
        <v>1229</v>
      </c>
      <c r="C226" s="168" t="s">
        <v>139</v>
      </c>
      <c r="D226" s="143" t="str">
        <f>"PRD_SNJ_"&amp;
_xlfn.XLOOKUP(商品マスタ[[#This Row],[仕入先]],テーブル1[仕入先名],テーブル1[仕入先コード],"XXX",0,1)&amp;
"_"&amp;
商品マスタ[[#This Row],[シリアル]]&amp;
"_"&amp;
TEXT(COUNTIFS(商品マスタ!$C$3:C226,商品マスタ[[#This Row],[仕入先]],商品マスタ!$E$3:E226,商品マスタ[[#This Row],[商品名]]), "00")</f>
        <v>PRD_SNJ_NRS_0002_01</v>
      </c>
      <c r="E226" s="87" t="s">
        <v>682</v>
      </c>
      <c r="F226" s="87">
        <f>IF(COUNTIFS($C$3:C226,商品マスタ[[#This Row],[仕入先]],$E$3:E226,商品マスタ[[#This Row],[商品名]]) = 1, 1,0)</f>
        <v>1</v>
      </c>
      <c r="G226" s="133" t="str">
        <f>TEXT(SUMIF($C$3:C226,商品マスタ[[#This Row],[仕入先]],$F$3:F226), "0000")</f>
        <v>0002</v>
      </c>
      <c r="H226" s="87" t="s">
        <v>365</v>
      </c>
      <c r="I226" s="87" t="s">
        <v>683</v>
      </c>
      <c r="J226" s="87" t="s">
        <v>684</v>
      </c>
      <c r="K226" s="87" t="s">
        <v>685</v>
      </c>
      <c r="L226" s="134">
        <v>1900</v>
      </c>
      <c r="M226" s="157">
        <v>45912</v>
      </c>
      <c r="N226" s="134"/>
      <c r="O226" s="135" t="str">
        <f>IF(COUNT(商品マスタ[[#This Row],[参考上代
（税込)]]) &gt; 0, (商品マスタ[[#This Row],[参考上代
（税込)]]-商品マスタ[[#This Row],[国内定価
（15％）]])/(商品マスタ[[#This Row],[参考上代
（税込)]]/1.08), "")</f>
        <v/>
      </c>
      <c r="P226" s="136">
        <v>0.1</v>
      </c>
      <c r="Q226" s="137">
        <f>商品マスタ[[#This Row],[仕入
単価]]*商品マスタ[[#This Row],[標準国内送料率]]</f>
        <v>190</v>
      </c>
      <c r="R226" s="134"/>
      <c r="S226" s="134">
        <f>IF(ISBLANK(商品マスタ[[#This Row],[実績
国内送料]]),商品マスタ[[#This Row],[標準国内送料]],)</f>
        <v>190</v>
      </c>
      <c r="T226" s="134">
        <f>商品マスタ[[#This Row],[仕入
単価]]+商品マスタ[[#This Row],[国内送料]]</f>
        <v>2090</v>
      </c>
      <c r="U226" s="134">
        <f>ROUNDUP(商品マスタ[[#This Row],[仕入単価+国内送料]]/0.8,-1)</f>
        <v>2620</v>
      </c>
      <c r="V226" s="134">
        <f>商品マスタ[[#This Row],[海外定価
（20％）]]-商品マスタ[[#This Row],[仕入単価+国内送料]]</f>
        <v>530</v>
      </c>
      <c r="W226" s="87">
        <f>ROUNDUP(商品マスタ[[#This Row],[仕入単価+国内送料]]/0.85,-1)</f>
        <v>2460</v>
      </c>
      <c r="X226" s="134">
        <f>商品マスタ[[#This Row],[国内定価
（15％）]]-商品マスタ[[#This Row],[仕入単価+国内送料]]</f>
        <v>370</v>
      </c>
      <c r="Y226" s="139">
        <v>0.08</v>
      </c>
      <c r="Z226" s="87"/>
      <c r="AA226" s="87"/>
      <c r="AB226" s="87"/>
      <c r="AC226" s="140"/>
      <c r="AD226" s="87"/>
      <c r="AE226" s="87"/>
      <c r="AF226" s="87"/>
      <c r="AG226" s="141"/>
    </row>
    <row r="227" spans="1:33" ht="18">
      <c r="A227" s="169" t="s">
        <v>1524</v>
      </c>
      <c r="B227" s="168" t="s">
        <v>1229</v>
      </c>
      <c r="C227" s="168" t="s">
        <v>139</v>
      </c>
      <c r="D227" s="143" t="str">
        <f>"PRD_SNJ_"&amp;
_xlfn.XLOOKUP(商品マスタ[[#This Row],[仕入先]],テーブル1[仕入先名],テーブル1[仕入先コード],"XXX",0,1)&amp;
"_"&amp;
商品マスタ[[#This Row],[シリアル]]&amp;
"_"&amp;
TEXT(COUNTIFS(商品マスタ!$C$3:C227,商品マスタ[[#This Row],[仕入先]],商品マスタ!$E$3:E227,商品マスタ[[#This Row],[商品名]]), "00")</f>
        <v>PRD_SNJ_NRS_0003_01</v>
      </c>
      <c r="E227" s="87" t="s">
        <v>686</v>
      </c>
      <c r="F227" s="87">
        <f>IF(COUNTIFS($C$3:C227,商品マスタ[[#This Row],[仕入先]],$E$3:E227,商品マスタ[[#This Row],[商品名]]) = 1, 1,0)</f>
        <v>1</v>
      </c>
      <c r="G227" s="133" t="str">
        <f>TEXT(SUMIF($C$3:C227,商品マスタ[[#This Row],[仕入先]],$F$3:F227), "0000")</f>
        <v>0003</v>
      </c>
      <c r="H227" s="87" t="s">
        <v>365</v>
      </c>
      <c r="I227" s="87" t="s">
        <v>687</v>
      </c>
      <c r="J227" s="87" t="s">
        <v>416</v>
      </c>
      <c r="K227" s="87" t="s">
        <v>688</v>
      </c>
      <c r="L227" s="134">
        <v>3000</v>
      </c>
      <c r="M227" s="157">
        <v>45912</v>
      </c>
      <c r="N227" s="134"/>
      <c r="O227" s="135" t="str">
        <f>IF(COUNT(商品マスタ[[#This Row],[参考上代
（税込)]]) &gt; 0, (商品マスタ[[#This Row],[参考上代
（税込)]]-商品マスタ[[#This Row],[国内定価
（15％）]])/(商品マスタ[[#This Row],[参考上代
（税込)]]/1.08), "")</f>
        <v/>
      </c>
      <c r="P227" s="136">
        <v>0.1</v>
      </c>
      <c r="Q227" s="137">
        <f>商品マスタ[[#This Row],[仕入
単価]]*商品マスタ[[#This Row],[標準国内送料率]]</f>
        <v>300</v>
      </c>
      <c r="R227" s="134"/>
      <c r="S227" s="134">
        <f>IF(ISBLANK(商品マスタ[[#This Row],[実績
国内送料]]),商品マスタ[[#This Row],[標準国内送料]],)</f>
        <v>300</v>
      </c>
      <c r="T227" s="134">
        <f>商品マスタ[[#This Row],[仕入
単価]]+商品マスタ[[#This Row],[国内送料]]</f>
        <v>3300</v>
      </c>
      <c r="U227" s="134">
        <f>ROUNDUP(商品マスタ[[#This Row],[仕入単価+国内送料]]/0.8,-1)</f>
        <v>4130</v>
      </c>
      <c r="V227" s="134">
        <f>商品マスタ[[#This Row],[海外定価
（20％）]]-商品マスタ[[#This Row],[仕入単価+国内送料]]</f>
        <v>830</v>
      </c>
      <c r="W227" s="87">
        <f>ROUNDUP(商品マスタ[[#This Row],[仕入単価+国内送料]]/0.85,-1)</f>
        <v>3890</v>
      </c>
      <c r="X227" s="134">
        <f>商品マスタ[[#This Row],[国内定価
（15％）]]-商品マスタ[[#This Row],[仕入単価+国内送料]]</f>
        <v>590</v>
      </c>
      <c r="Y227" s="139">
        <v>0.08</v>
      </c>
      <c r="Z227" s="87"/>
      <c r="AA227" s="87"/>
      <c r="AB227" s="87"/>
      <c r="AC227" s="140"/>
      <c r="AD227" s="87"/>
      <c r="AE227" s="87"/>
      <c r="AF227" s="87"/>
      <c r="AG227" s="141"/>
    </row>
    <row r="228" spans="1:33" ht="18">
      <c r="A228" s="169" t="s">
        <v>1524</v>
      </c>
      <c r="B228" s="168" t="s">
        <v>1229</v>
      </c>
      <c r="C228" s="168" t="s">
        <v>139</v>
      </c>
      <c r="D228" s="143" t="str">
        <f>"PRD_SNJ_"&amp;
_xlfn.XLOOKUP(商品マスタ[[#This Row],[仕入先]],テーブル1[仕入先名],テーブル1[仕入先コード],"XXX",0,1)&amp;
"_"&amp;
商品マスタ[[#This Row],[シリアル]]&amp;
"_"&amp;
TEXT(COUNTIFS(商品マスタ!$C$3:C228,商品マスタ[[#This Row],[仕入先]],商品マスタ!$E$3:E228,商品マスタ[[#This Row],[商品名]]), "00")</f>
        <v>PRD_SNJ_NRS_0004_01</v>
      </c>
      <c r="E228" s="87" t="s">
        <v>689</v>
      </c>
      <c r="F228" s="87">
        <f>IF(COUNTIFS($C$3:C228,商品マスタ[[#This Row],[仕入先]],$E$3:E228,商品マスタ[[#This Row],[商品名]]) = 1, 1,0)</f>
        <v>1</v>
      </c>
      <c r="G228" s="133" t="str">
        <f>TEXT(SUMIF($C$3:C228,商品マスタ[[#This Row],[仕入先]],$F$3:F228), "0000")</f>
        <v>0004</v>
      </c>
      <c r="H228" s="87" t="s">
        <v>424</v>
      </c>
      <c r="I228" s="87" t="s">
        <v>690</v>
      </c>
      <c r="J228" s="87" t="s">
        <v>416</v>
      </c>
      <c r="K228" s="87" t="s">
        <v>691</v>
      </c>
      <c r="L228" s="134">
        <v>3500</v>
      </c>
      <c r="M228" s="157">
        <v>45912</v>
      </c>
      <c r="N228" s="134"/>
      <c r="O228" s="135" t="str">
        <f>IF(COUNT(商品マスタ[[#This Row],[参考上代
（税込)]]) &gt; 0, (商品マスタ[[#This Row],[参考上代
（税込)]]-商品マスタ[[#This Row],[国内定価
（15％）]])/(商品マスタ[[#This Row],[参考上代
（税込)]]/1.08), "")</f>
        <v/>
      </c>
      <c r="P228" s="136">
        <v>0.1</v>
      </c>
      <c r="Q228" s="137">
        <f>商品マスタ[[#This Row],[仕入
単価]]*商品マスタ[[#This Row],[標準国内送料率]]</f>
        <v>350</v>
      </c>
      <c r="R228" s="134"/>
      <c r="S228" s="134">
        <f>IF(ISBLANK(商品マスタ[[#This Row],[実績
国内送料]]),商品マスタ[[#This Row],[標準国内送料]],)</f>
        <v>350</v>
      </c>
      <c r="T228" s="134">
        <f>商品マスタ[[#This Row],[仕入
単価]]+商品マスタ[[#This Row],[国内送料]]</f>
        <v>3850</v>
      </c>
      <c r="U228" s="134">
        <f>ROUNDUP(商品マスタ[[#This Row],[仕入単価+国内送料]]/0.8,-1)</f>
        <v>4820</v>
      </c>
      <c r="V228" s="134">
        <f>商品マスタ[[#This Row],[海外定価
（20％）]]-商品マスタ[[#This Row],[仕入単価+国内送料]]</f>
        <v>970</v>
      </c>
      <c r="W228" s="87">
        <f>ROUNDUP(商品マスタ[[#This Row],[仕入単価+国内送料]]/0.85,-1)</f>
        <v>4530</v>
      </c>
      <c r="X228" s="134">
        <f>商品マスタ[[#This Row],[国内定価
（15％）]]-商品マスタ[[#This Row],[仕入単価+国内送料]]</f>
        <v>680</v>
      </c>
      <c r="Y228" s="139">
        <v>0.08</v>
      </c>
      <c r="Z228" s="87"/>
      <c r="AA228" s="87"/>
      <c r="AB228" s="87"/>
      <c r="AC228" s="140"/>
      <c r="AD228" s="87"/>
      <c r="AE228" s="87"/>
      <c r="AF228" s="87"/>
      <c r="AG228" s="141"/>
    </row>
    <row r="229" spans="1:33" ht="18">
      <c r="A229" s="169" t="s">
        <v>1524</v>
      </c>
      <c r="B229" s="168" t="s">
        <v>1229</v>
      </c>
      <c r="C229" s="168" t="s">
        <v>139</v>
      </c>
      <c r="D229" s="143" t="str">
        <f>"PRD_SNJ_"&amp;
_xlfn.XLOOKUP(商品マスタ[[#This Row],[仕入先]],テーブル1[仕入先名],テーブル1[仕入先コード],"XXX",0,1)&amp;
"_"&amp;
商品マスタ[[#This Row],[シリアル]]&amp;
"_"&amp;
TEXT(COUNTIFS(商品マスタ!$C$3:C229,商品マスタ[[#This Row],[仕入先]],商品マスタ!$E$3:E229,商品マスタ[[#This Row],[商品名]]), "00")</f>
        <v>PRD_SNJ_NRS_0005_01</v>
      </c>
      <c r="E229" s="87" t="s">
        <v>692</v>
      </c>
      <c r="F229" s="87">
        <f>IF(COUNTIFS($C$3:C229,商品マスタ[[#This Row],[仕入先]],$E$3:E229,商品マスタ[[#This Row],[商品名]]) = 1, 1,0)</f>
        <v>1</v>
      </c>
      <c r="G229" s="133" t="str">
        <f>TEXT(SUMIF($C$3:C229,商品マスタ[[#This Row],[仕入先]],$F$3:F229), "0000")</f>
        <v>0005</v>
      </c>
      <c r="H229" s="87" t="s">
        <v>424</v>
      </c>
      <c r="I229" s="87" t="s">
        <v>693</v>
      </c>
      <c r="J229" s="87" t="s">
        <v>416</v>
      </c>
      <c r="K229" s="87" t="s">
        <v>694</v>
      </c>
      <c r="L229" s="134">
        <v>1400</v>
      </c>
      <c r="M229" s="157">
        <v>45912</v>
      </c>
      <c r="N229" s="134"/>
      <c r="O229" s="135" t="str">
        <f>IF(COUNT(商品マスタ[[#This Row],[参考上代
（税込)]]) &gt; 0, (商品マスタ[[#This Row],[参考上代
（税込)]]-商品マスタ[[#This Row],[国内定価
（15％）]])/(商品マスタ[[#This Row],[参考上代
（税込)]]/1.08), "")</f>
        <v/>
      </c>
      <c r="P229" s="136">
        <v>0.1</v>
      </c>
      <c r="Q229" s="137">
        <f>商品マスタ[[#This Row],[仕入
単価]]*商品マスタ[[#This Row],[標準国内送料率]]</f>
        <v>140</v>
      </c>
      <c r="R229" s="134"/>
      <c r="S229" s="134">
        <f>IF(ISBLANK(商品マスタ[[#This Row],[実績
国内送料]]),商品マスタ[[#This Row],[標準国内送料]],)</f>
        <v>140</v>
      </c>
      <c r="T229" s="134">
        <f>商品マスタ[[#This Row],[仕入
単価]]+商品マスタ[[#This Row],[国内送料]]</f>
        <v>1540</v>
      </c>
      <c r="U229" s="134">
        <f>ROUNDUP(商品マスタ[[#This Row],[仕入単価+国内送料]]/0.8,-1)</f>
        <v>1930</v>
      </c>
      <c r="V229" s="134">
        <f>商品マスタ[[#This Row],[海外定価
（20％）]]-商品マスタ[[#This Row],[仕入単価+国内送料]]</f>
        <v>390</v>
      </c>
      <c r="W229" s="87">
        <f>ROUNDUP(商品マスタ[[#This Row],[仕入単価+国内送料]]/0.85,-1)</f>
        <v>1820</v>
      </c>
      <c r="X229" s="134">
        <f>商品マスタ[[#This Row],[国内定価
（15％）]]-商品マスタ[[#This Row],[仕入単価+国内送料]]</f>
        <v>280</v>
      </c>
      <c r="Y229" s="139">
        <v>0.08</v>
      </c>
      <c r="Z229" s="87"/>
      <c r="AA229" s="87"/>
      <c r="AB229" s="87"/>
      <c r="AC229" s="140"/>
      <c r="AD229" s="87"/>
      <c r="AE229" s="87"/>
      <c r="AF229" s="87"/>
      <c r="AG229" s="141"/>
    </row>
    <row r="230" spans="1:33" ht="18">
      <c r="A230" s="169" t="s">
        <v>1524</v>
      </c>
      <c r="B230" s="168" t="s">
        <v>1229</v>
      </c>
      <c r="C230" s="168" t="s">
        <v>139</v>
      </c>
      <c r="D230" s="143" t="str">
        <f>"PRD_SNJ_"&amp;
_xlfn.XLOOKUP(商品マスタ[[#This Row],[仕入先]],テーブル1[仕入先名],テーブル1[仕入先コード],"XXX",0,1)&amp;
"_"&amp;
商品マスタ[[#This Row],[シリアル]]&amp;
"_"&amp;
TEXT(COUNTIFS(商品マスタ!$C$3:C230,商品マスタ[[#This Row],[仕入先]],商品マスタ!$E$3:E230,商品マスタ[[#This Row],[商品名]]), "00")</f>
        <v>PRD_SNJ_NRS_0006_01</v>
      </c>
      <c r="E230" s="87" t="s">
        <v>996</v>
      </c>
      <c r="F230" s="87">
        <f>IF(COUNTIFS($C$3:C230,商品マスタ[[#This Row],[仕入先]],$E$3:E230,商品マスタ[[#This Row],[商品名]]) = 1, 1,0)</f>
        <v>1</v>
      </c>
      <c r="G230" s="133" t="str">
        <f>TEXT(SUMIF($C$3:C230,商品マスタ[[#This Row],[仕入先]],$F$3:F230), "0000")</f>
        <v>0006</v>
      </c>
      <c r="H230" s="87" t="s">
        <v>424</v>
      </c>
      <c r="I230" s="87" t="s">
        <v>695</v>
      </c>
      <c r="J230" s="87" t="s">
        <v>416</v>
      </c>
      <c r="K230" s="87" t="s">
        <v>696</v>
      </c>
      <c r="L230" s="134">
        <v>1300</v>
      </c>
      <c r="M230" s="157">
        <v>45912</v>
      </c>
      <c r="N230" s="134"/>
      <c r="O230" s="135" t="str">
        <f>IF(COUNT(商品マスタ[[#This Row],[参考上代
（税込)]]) &gt; 0, (商品マスタ[[#This Row],[参考上代
（税込)]]-商品マスタ[[#This Row],[国内定価
（15％）]])/(商品マスタ[[#This Row],[参考上代
（税込)]]/1.08), "")</f>
        <v/>
      </c>
      <c r="P230" s="136">
        <v>0.1</v>
      </c>
      <c r="Q230" s="137">
        <f>商品マスタ[[#This Row],[仕入
単価]]*商品マスタ[[#This Row],[標準国内送料率]]</f>
        <v>130</v>
      </c>
      <c r="R230" s="134"/>
      <c r="S230" s="134">
        <f>IF(ISBLANK(商品マスタ[[#This Row],[実績
国内送料]]),商品マスタ[[#This Row],[標準国内送料]],)</f>
        <v>130</v>
      </c>
      <c r="T230" s="134">
        <f>商品マスタ[[#This Row],[仕入
単価]]+商品マスタ[[#This Row],[国内送料]]</f>
        <v>1430</v>
      </c>
      <c r="U230" s="134">
        <f>ROUNDUP(商品マスタ[[#This Row],[仕入単価+国内送料]]/0.8,-1)</f>
        <v>1790</v>
      </c>
      <c r="V230" s="134">
        <f>商品マスタ[[#This Row],[海外定価
（20％）]]-商品マスタ[[#This Row],[仕入単価+国内送料]]</f>
        <v>360</v>
      </c>
      <c r="W230" s="87">
        <f>ROUNDUP(商品マスタ[[#This Row],[仕入単価+国内送料]]/0.85,-1)</f>
        <v>1690</v>
      </c>
      <c r="X230" s="134">
        <f>商品マスタ[[#This Row],[国内定価
（15％）]]-商品マスタ[[#This Row],[仕入単価+国内送料]]</f>
        <v>260</v>
      </c>
      <c r="Y230" s="139">
        <v>0.08</v>
      </c>
      <c r="Z230" s="87"/>
      <c r="AA230" s="87"/>
      <c r="AB230" s="87"/>
      <c r="AC230" s="140"/>
      <c r="AD230" s="87"/>
      <c r="AE230" s="87"/>
      <c r="AF230" s="87"/>
      <c r="AG230" s="141"/>
    </row>
    <row r="231" spans="1:33" ht="18">
      <c r="A231" s="169" t="s">
        <v>1524</v>
      </c>
      <c r="B231" s="168" t="s">
        <v>1229</v>
      </c>
      <c r="C231" s="168" t="s">
        <v>139</v>
      </c>
      <c r="D231" s="143" t="str">
        <f>"PRD_SNJ_"&amp;
_xlfn.XLOOKUP(商品マスタ[[#This Row],[仕入先]],テーブル1[仕入先名],テーブル1[仕入先コード],"XXX",0,1)&amp;
"_"&amp;
商品マスタ[[#This Row],[シリアル]]&amp;
"_"&amp;
TEXT(COUNTIFS(商品マスタ!$C$3:C231,商品マスタ[[#This Row],[仕入先]],商品マスタ!$E$3:E231,商品マスタ[[#This Row],[商品名]]), "00")</f>
        <v>PRD_SNJ_NRS_0007_01</v>
      </c>
      <c r="E231" s="87" t="s">
        <v>697</v>
      </c>
      <c r="F231" s="87">
        <f>IF(COUNTIFS($C$3:C231,商品マスタ[[#This Row],[仕入先]],$E$3:E231,商品マスタ[[#This Row],[商品名]]) = 1, 1,0)</f>
        <v>1</v>
      </c>
      <c r="G231" s="133" t="str">
        <f>TEXT(SUMIF($C$3:C231,商品マスタ[[#This Row],[仕入先]],$F$3:F231), "0000")</f>
        <v>0007</v>
      </c>
      <c r="H231" s="87" t="s">
        <v>424</v>
      </c>
      <c r="I231" s="87" t="s">
        <v>693</v>
      </c>
      <c r="J231" s="87" t="s">
        <v>416</v>
      </c>
      <c r="K231" s="87" t="s">
        <v>694</v>
      </c>
      <c r="L231" s="134">
        <v>1950</v>
      </c>
      <c r="M231" s="157">
        <v>45912</v>
      </c>
      <c r="N231" s="134"/>
      <c r="O231" s="135" t="str">
        <f>IF(COUNT(商品マスタ[[#This Row],[参考上代
（税込)]]) &gt; 0, (商品マスタ[[#This Row],[参考上代
（税込)]]-商品マスタ[[#This Row],[国内定価
（15％）]])/(商品マスタ[[#This Row],[参考上代
（税込)]]/1.08), "")</f>
        <v/>
      </c>
      <c r="P231" s="136">
        <v>0.1</v>
      </c>
      <c r="Q231" s="137">
        <f>商品マスタ[[#This Row],[仕入
単価]]*商品マスタ[[#This Row],[標準国内送料率]]</f>
        <v>195</v>
      </c>
      <c r="R231" s="134"/>
      <c r="S231" s="134">
        <f>IF(ISBLANK(商品マスタ[[#This Row],[実績
国内送料]]),商品マスタ[[#This Row],[標準国内送料]],)</f>
        <v>195</v>
      </c>
      <c r="T231" s="134">
        <f>商品マスタ[[#This Row],[仕入
単価]]+商品マスタ[[#This Row],[国内送料]]</f>
        <v>2145</v>
      </c>
      <c r="U231" s="134">
        <f>ROUNDUP(商品マスタ[[#This Row],[仕入単価+国内送料]]/0.8,-1)</f>
        <v>2690</v>
      </c>
      <c r="V231" s="134">
        <f>商品マスタ[[#This Row],[海外定価
（20％）]]-商品マスタ[[#This Row],[仕入単価+国内送料]]</f>
        <v>545</v>
      </c>
      <c r="W231" s="87">
        <f>ROUNDUP(商品マスタ[[#This Row],[仕入単価+国内送料]]/0.85,-1)</f>
        <v>2530</v>
      </c>
      <c r="X231" s="134">
        <f>商品マスタ[[#This Row],[国内定価
（15％）]]-商品マスタ[[#This Row],[仕入単価+国内送料]]</f>
        <v>385</v>
      </c>
      <c r="Y231" s="139">
        <v>0.08</v>
      </c>
      <c r="Z231" s="87"/>
      <c r="AA231" s="87"/>
      <c r="AB231" s="87"/>
      <c r="AC231" s="140"/>
      <c r="AD231" s="87"/>
      <c r="AE231" s="87"/>
      <c r="AF231" s="87"/>
      <c r="AG231" s="141"/>
    </row>
    <row r="232" spans="1:33" ht="18">
      <c r="A232" s="169" t="s">
        <v>1524</v>
      </c>
      <c r="B232" s="168" t="s">
        <v>1229</v>
      </c>
      <c r="C232" s="168" t="s">
        <v>139</v>
      </c>
      <c r="D232" s="143" t="str">
        <f>"PRD_SNJ_"&amp;
_xlfn.XLOOKUP(商品マスタ[[#This Row],[仕入先]],テーブル1[仕入先名],テーブル1[仕入先コード],"XXX",0,1)&amp;
"_"&amp;
商品マスタ[[#This Row],[シリアル]]&amp;
"_"&amp;
TEXT(COUNTIFS(商品マスタ!$C$3:C232,商品マスタ[[#This Row],[仕入先]],商品マスタ!$E$3:E232,商品マスタ[[#This Row],[商品名]]), "00")</f>
        <v>PRD_SNJ_NRS_0008_01</v>
      </c>
      <c r="E232" s="87" t="s">
        <v>698</v>
      </c>
      <c r="F232" s="87">
        <f>IF(COUNTIFS($C$3:C232,商品マスタ[[#This Row],[仕入先]],$E$3:E232,商品マスタ[[#This Row],[商品名]]) = 1, 1,0)</f>
        <v>1</v>
      </c>
      <c r="G232" s="133" t="str">
        <f>TEXT(SUMIF($C$3:C232,商品マスタ[[#This Row],[仕入先]],$F$3:F232), "0000")</f>
        <v>0008</v>
      </c>
      <c r="H232" s="87" t="s">
        <v>424</v>
      </c>
      <c r="I232" s="87" t="s">
        <v>699</v>
      </c>
      <c r="J232" s="87" t="s">
        <v>416</v>
      </c>
      <c r="K232" s="87" t="s">
        <v>700</v>
      </c>
      <c r="L232" s="134">
        <v>1950</v>
      </c>
      <c r="M232" s="157">
        <v>45912</v>
      </c>
      <c r="N232" s="134"/>
      <c r="O232" s="135" t="str">
        <f>IF(COUNT(商品マスタ[[#This Row],[参考上代
（税込)]]) &gt; 0, (商品マスタ[[#This Row],[参考上代
（税込)]]-商品マスタ[[#This Row],[国内定価
（15％）]])/(商品マスタ[[#This Row],[参考上代
（税込)]]/1.08), "")</f>
        <v/>
      </c>
      <c r="P232" s="136">
        <v>0.1</v>
      </c>
      <c r="Q232" s="137">
        <f>商品マスタ[[#This Row],[仕入
単価]]*商品マスタ[[#This Row],[標準国内送料率]]</f>
        <v>195</v>
      </c>
      <c r="R232" s="134"/>
      <c r="S232" s="134">
        <f>IF(ISBLANK(商品マスタ[[#This Row],[実績
国内送料]]),商品マスタ[[#This Row],[標準国内送料]],)</f>
        <v>195</v>
      </c>
      <c r="T232" s="134">
        <f>商品マスタ[[#This Row],[仕入
単価]]+商品マスタ[[#This Row],[国内送料]]</f>
        <v>2145</v>
      </c>
      <c r="U232" s="134">
        <f>ROUNDUP(商品マスタ[[#This Row],[仕入単価+国内送料]]/0.8,-1)</f>
        <v>2690</v>
      </c>
      <c r="V232" s="134">
        <f>商品マスタ[[#This Row],[海外定価
（20％）]]-商品マスタ[[#This Row],[仕入単価+国内送料]]</f>
        <v>545</v>
      </c>
      <c r="W232" s="87">
        <f>ROUNDUP(商品マスタ[[#This Row],[仕入単価+国内送料]]/0.85,-1)</f>
        <v>2530</v>
      </c>
      <c r="X232" s="134">
        <f>商品マスタ[[#This Row],[国内定価
（15％）]]-商品マスタ[[#This Row],[仕入単価+国内送料]]</f>
        <v>385</v>
      </c>
      <c r="Y232" s="139">
        <v>0.08</v>
      </c>
      <c r="Z232" s="87"/>
      <c r="AA232" s="87"/>
      <c r="AB232" s="87"/>
      <c r="AC232" s="140"/>
      <c r="AD232" s="87"/>
      <c r="AE232" s="87"/>
      <c r="AF232" s="87"/>
      <c r="AG232" s="141"/>
    </row>
    <row r="233" spans="1:33" ht="18">
      <c r="A233" s="169" t="s">
        <v>1524</v>
      </c>
      <c r="B233" s="168" t="s">
        <v>1229</v>
      </c>
      <c r="C233" s="168" t="s">
        <v>139</v>
      </c>
      <c r="D233" s="143" t="str">
        <f>"PRD_SNJ_"&amp;
_xlfn.XLOOKUP(商品マスタ[[#This Row],[仕入先]],テーブル1[仕入先名],テーブル1[仕入先コード],"XXX",0,1)&amp;
"_"&amp;
商品マスタ[[#This Row],[シリアル]]&amp;
"_"&amp;
TEXT(COUNTIFS(商品マスタ!$C$3:C233,商品マスタ[[#This Row],[仕入先]],商品マスタ!$E$3:E233,商品マスタ[[#This Row],[商品名]]), "00")</f>
        <v>PRD_SNJ_NRS_0009_01</v>
      </c>
      <c r="E233" s="87" t="s">
        <v>701</v>
      </c>
      <c r="F233" s="87">
        <f>IF(COUNTIFS($C$3:C233,商品マスタ[[#This Row],[仕入先]],$E$3:E233,商品マスタ[[#This Row],[商品名]]) = 1, 1,0)</f>
        <v>1</v>
      </c>
      <c r="G233" s="133" t="str">
        <f>TEXT(SUMIF($C$3:C233,商品マスタ[[#This Row],[仕入先]],$F$3:F233), "0000")</f>
        <v>0009</v>
      </c>
      <c r="H233" s="87" t="s">
        <v>424</v>
      </c>
      <c r="I233" s="87" t="s">
        <v>702</v>
      </c>
      <c r="J233" s="87" t="s">
        <v>416</v>
      </c>
      <c r="K233" s="87" t="s">
        <v>703</v>
      </c>
      <c r="L233" s="134">
        <v>700</v>
      </c>
      <c r="M233" s="157">
        <v>45912</v>
      </c>
      <c r="N233" s="134"/>
      <c r="O233" s="135" t="str">
        <f>IF(COUNT(商品マスタ[[#This Row],[参考上代
（税込)]]) &gt; 0, (商品マスタ[[#This Row],[参考上代
（税込)]]-商品マスタ[[#This Row],[国内定価
（15％）]])/(商品マスタ[[#This Row],[参考上代
（税込)]]/1.08), "")</f>
        <v/>
      </c>
      <c r="P233" s="136">
        <v>0.1</v>
      </c>
      <c r="Q233" s="137">
        <f>商品マスタ[[#This Row],[仕入
単価]]*商品マスタ[[#This Row],[標準国内送料率]]</f>
        <v>70</v>
      </c>
      <c r="R233" s="134"/>
      <c r="S233" s="134">
        <f>IF(ISBLANK(商品マスタ[[#This Row],[実績
国内送料]]),商品マスタ[[#This Row],[標準国内送料]],)</f>
        <v>70</v>
      </c>
      <c r="T233" s="134">
        <f>商品マスタ[[#This Row],[仕入
単価]]+商品マスタ[[#This Row],[国内送料]]</f>
        <v>770</v>
      </c>
      <c r="U233" s="134">
        <f>ROUNDUP(商品マスタ[[#This Row],[仕入単価+国内送料]]/0.8,-1)</f>
        <v>970</v>
      </c>
      <c r="V233" s="134">
        <f>商品マスタ[[#This Row],[海外定価
（20％）]]-商品マスタ[[#This Row],[仕入単価+国内送料]]</f>
        <v>200</v>
      </c>
      <c r="W233" s="87">
        <f>ROUNDUP(商品マスタ[[#This Row],[仕入単価+国内送料]]/0.85,-1)</f>
        <v>910</v>
      </c>
      <c r="X233" s="134">
        <f>商品マスタ[[#This Row],[国内定価
（15％）]]-商品マスタ[[#This Row],[仕入単価+国内送料]]</f>
        <v>140</v>
      </c>
      <c r="Y233" s="139">
        <v>0.08</v>
      </c>
      <c r="Z233" s="87"/>
      <c r="AA233" s="87"/>
      <c r="AB233" s="87"/>
      <c r="AC233" s="140"/>
      <c r="AD233" s="87"/>
      <c r="AE233" s="87"/>
      <c r="AF233" s="87"/>
      <c r="AG233" s="141"/>
    </row>
    <row r="234" spans="1:33" ht="18">
      <c r="A234" s="169" t="s">
        <v>1524</v>
      </c>
      <c r="B234" s="168" t="s">
        <v>1229</v>
      </c>
      <c r="C234" s="168" t="s">
        <v>139</v>
      </c>
      <c r="D234" s="143" t="str">
        <f>"PRD_SNJ_"&amp;
_xlfn.XLOOKUP(商品マスタ[[#This Row],[仕入先]],テーブル1[仕入先名],テーブル1[仕入先コード],"XXX",0,1)&amp;
"_"&amp;
商品マスタ[[#This Row],[シリアル]]&amp;
"_"&amp;
TEXT(COUNTIFS(商品マスタ!$C$3:C234,商品マスタ[[#This Row],[仕入先]],商品マスタ!$E$3:E234,商品マスタ[[#This Row],[商品名]]), "00")</f>
        <v>PRD_SNJ_NRS_0010_01</v>
      </c>
      <c r="E234" s="87" t="s">
        <v>704</v>
      </c>
      <c r="F234" s="87">
        <f>IF(COUNTIFS($C$3:C234,商品マスタ[[#This Row],[仕入先]],$E$3:E234,商品マスタ[[#This Row],[商品名]]) = 1, 1,0)</f>
        <v>1</v>
      </c>
      <c r="G234" s="133" t="str">
        <f>TEXT(SUMIF($C$3:C234,商品マスタ[[#This Row],[仕入先]],$F$3:F234), "0000")</f>
        <v>0010</v>
      </c>
      <c r="H234" s="87" t="s">
        <v>365</v>
      </c>
      <c r="I234" s="87" t="s">
        <v>705</v>
      </c>
      <c r="J234" s="87" t="s">
        <v>416</v>
      </c>
      <c r="K234" s="87" t="s">
        <v>706</v>
      </c>
      <c r="L234" s="134">
        <v>2200</v>
      </c>
      <c r="M234" s="157">
        <v>45912</v>
      </c>
      <c r="N234" s="134"/>
      <c r="O234" s="135" t="str">
        <f>IF(COUNT(商品マスタ[[#This Row],[参考上代
（税込)]]) &gt; 0, (商品マスタ[[#This Row],[参考上代
（税込)]]-商品マスタ[[#This Row],[国内定価
（15％）]])/(商品マスタ[[#This Row],[参考上代
（税込)]]/1.08), "")</f>
        <v/>
      </c>
      <c r="P234" s="136">
        <v>0.1</v>
      </c>
      <c r="Q234" s="137">
        <f>商品マスタ[[#This Row],[仕入
単価]]*商品マスタ[[#This Row],[標準国内送料率]]</f>
        <v>220</v>
      </c>
      <c r="R234" s="134"/>
      <c r="S234" s="134">
        <f>IF(ISBLANK(商品マスタ[[#This Row],[実績
国内送料]]),商品マスタ[[#This Row],[標準国内送料]],)</f>
        <v>220</v>
      </c>
      <c r="T234" s="134">
        <f>商品マスタ[[#This Row],[仕入
単価]]+商品マスタ[[#This Row],[国内送料]]</f>
        <v>2420</v>
      </c>
      <c r="U234" s="134">
        <f>ROUNDUP(商品マスタ[[#This Row],[仕入単価+国内送料]]/0.8,-1)</f>
        <v>3030</v>
      </c>
      <c r="V234" s="134">
        <f>商品マスタ[[#This Row],[海外定価
（20％）]]-商品マスタ[[#This Row],[仕入単価+国内送料]]</f>
        <v>610</v>
      </c>
      <c r="W234" s="87">
        <f>ROUNDUP(商品マスタ[[#This Row],[仕入単価+国内送料]]/0.85,-1)</f>
        <v>2850</v>
      </c>
      <c r="X234" s="134">
        <f>商品マスタ[[#This Row],[国内定価
（15％）]]-商品マスタ[[#This Row],[仕入単価+国内送料]]</f>
        <v>430</v>
      </c>
      <c r="Y234" s="139">
        <v>0.08</v>
      </c>
      <c r="Z234" s="87"/>
      <c r="AA234" s="87"/>
      <c r="AB234" s="87"/>
      <c r="AC234" s="140"/>
      <c r="AD234" s="87"/>
      <c r="AE234" s="87"/>
      <c r="AF234" s="87"/>
      <c r="AG234" s="141"/>
    </row>
    <row r="235" spans="1:33" ht="18">
      <c r="A235" s="169" t="s">
        <v>1524</v>
      </c>
      <c r="B235" s="168" t="s">
        <v>1229</v>
      </c>
      <c r="C235" s="168" t="s">
        <v>139</v>
      </c>
      <c r="D235" s="143" t="str">
        <f>"PRD_SNJ_"&amp;
_xlfn.XLOOKUP(商品マスタ[[#This Row],[仕入先]],テーブル1[仕入先名],テーブル1[仕入先コード],"XXX",0,1)&amp;
"_"&amp;
商品マスタ[[#This Row],[シリアル]]&amp;
"_"&amp;
TEXT(COUNTIFS(商品マスタ!$C$3:C235,商品マスタ[[#This Row],[仕入先]],商品マスタ!$E$3:E235,商品マスタ[[#This Row],[商品名]]), "00")</f>
        <v>PRD_SNJ_NRS_0011_01</v>
      </c>
      <c r="E235" s="87" t="s">
        <v>707</v>
      </c>
      <c r="F235" s="87">
        <f>IF(COUNTIFS($C$3:C235,商品マスタ[[#This Row],[仕入先]],$E$3:E235,商品マスタ[[#This Row],[商品名]]) = 1, 1,0)</f>
        <v>1</v>
      </c>
      <c r="G235" s="133" t="str">
        <f>TEXT(SUMIF($C$3:C235,商品マスタ[[#This Row],[仕入先]],$F$3:F235), "0000")</f>
        <v>0011</v>
      </c>
      <c r="H235" s="87" t="s">
        <v>365</v>
      </c>
      <c r="I235" s="87" t="s">
        <v>708</v>
      </c>
      <c r="J235" s="87" t="s">
        <v>709</v>
      </c>
      <c r="K235" s="87" t="s">
        <v>710</v>
      </c>
      <c r="L235" s="134">
        <v>750</v>
      </c>
      <c r="M235" s="157">
        <v>45912</v>
      </c>
      <c r="N235" s="134"/>
      <c r="O235" s="135" t="str">
        <f>IF(COUNT(商品マスタ[[#This Row],[参考上代
（税込)]]) &gt; 0, (商品マスタ[[#This Row],[参考上代
（税込)]]-商品マスタ[[#This Row],[国内定価
（15％）]])/(商品マスタ[[#This Row],[参考上代
（税込)]]/1.08), "")</f>
        <v/>
      </c>
      <c r="P235" s="136">
        <v>0.1</v>
      </c>
      <c r="Q235" s="137">
        <f>商品マスタ[[#This Row],[仕入
単価]]*商品マスタ[[#This Row],[標準国内送料率]]</f>
        <v>75</v>
      </c>
      <c r="R235" s="134"/>
      <c r="S235" s="134">
        <f>IF(ISBLANK(商品マスタ[[#This Row],[実績
国内送料]]),商品マスタ[[#This Row],[標準国内送料]],)</f>
        <v>75</v>
      </c>
      <c r="T235" s="134">
        <f>商品マスタ[[#This Row],[仕入
単価]]+商品マスタ[[#This Row],[国内送料]]</f>
        <v>825</v>
      </c>
      <c r="U235" s="134">
        <f>ROUNDUP(商品マスタ[[#This Row],[仕入単価+国内送料]]/0.8,-1)</f>
        <v>1040</v>
      </c>
      <c r="V235" s="134">
        <f>商品マスタ[[#This Row],[海外定価
（20％）]]-商品マスタ[[#This Row],[仕入単価+国内送料]]</f>
        <v>215</v>
      </c>
      <c r="W235" s="87">
        <f>ROUNDUP(商品マスタ[[#This Row],[仕入単価+国内送料]]/0.85,-1)</f>
        <v>980</v>
      </c>
      <c r="X235" s="134">
        <f>商品マスタ[[#This Row],[国内定価
（15％）]]-商品マスタ[[#This Row],[仕入単価+国内送料]]</f>
        <v>155</v>
      </c>
      <c r="Y235" s="139">
        <v>0.08</v>
      </c>
      <c r="Z235" s="87"/>
      <c r="AA235" s="87"/>
      <c r="AB235" s="87"/>
      <c r="AC235" s="140"/>
      <c r="AD235" s="87"/>
      <c r="AE235" s="87"/>
      <c r="AF235" s="87"/>
      <c r="AG235" s="141"/>
    </row>
    <row r="236" spans="1:33" ht="18">
      <c r="A236" s="169" t="s">
        <v>1524</v>
      </c>
      <c r="B236" s="168" t="s">
        <v>1229</v>
      </c>
      <c r="C236" s="168" t="s">
        <v>139</v>
      </c>
      <c r="D236" s="143" t="str">
        <f>"PRD_SNJ_"&amp;
_xlfn.XLOOKUP(商品マスタ[[#This Row],[仕入先]],テーブル1[仕入先名],テーブル1[仕入先コード],"XXX",0,1)&amp;
"_"&amp;
商品マスタ[[#This Row],[シリアル]]&amp;
"_"&amp;
TEXT(COUNTIFS(商品マスタ!$C$3:C236,商品マスタ[[#This Row],[仕入先]],商品マスタ!$E$3:E236,商品マスタ[[#This Row],[商品名]]), "00")</f>
        <v>PRD_SNJ_NRS_0012_01</v>
      </c>
      <c r="E236" s="87" t="s">
        <v>711</v>
      </c>
      <c r="F236" s="87">
        <f>IF(COUNTIFS($C$3:C236,商品マスタ[[#This Row],[仕入先]],$E$3:E236,商品マスタ[[#This Row],[商品名]]) = 1, 1,0)</f>
        <v>1</v>
      </c>
      <c r="G236" s="133" t="str">
        <f>TEXT(SUMIF($C$3:C236,商品マスタ[[#This Row],[仕入先]],$F$3:F236), "0000")</f>
        <v>0012</v>
      </c>
      <c r="H236" s="87" t="s">
        <v>365</v>
      </c>
      <c r="I236" s="87" t="s">
        <v>712</v>
      </c>
      <c r="J236" s="87" t="s">
        <v>709</v>
      </c>
      <c r="K236" s="87" t="s">
        <v>710</v>
      </c>
      <c r="L236" s="134">
        <v>1000</v>
      </c>
      <c r="M236" s="157">
        <v>45912</v>
      </c>
      <c r="N236" s="134"/>
      <c r="O236" s="135" t="str">
        <f>IF(COUNT(商品マスタ[[#This Row],[参考上代
（税込)]]) &gt; 0, (商品マスタ[[#This Row],[参考上代
（税込)]]-商品マスタ[[#This Row],[国内定価
（15％）]])/(商品マスタ[[#This Row],[参考上代
（税込)]]/1.08), "")</f>
        <v/>
      </c>
      <c r="P236" s="136">
        <v>0.1</v>
      </c>
      <c r="Q236" s="137">
        <f>商品マスタ[[#This Row],[仕入
単価]]*商品マスタ[[#This Row],[標準国内送料率]]</f>
        <v>100</v>
      </c>
      <c r="R236" s="134"/>
      <c r="S236" s="134">
        <f>IF(ISBLANK(商品マスタ[[#This Row],[実績
国内送料]]),商品マスタ[[#This Row],[標準国内送料]],)</f>
        <v>100</v>
      </c>
      <c r="T236" s="134">
        <f>商品マスタ[[#This Row],[仕入
単価]]+商品マスタ[[#This Row],[国内送料]]</f>
        <v>1100</v>
      </c>
      <c r="U236" s="134">
        <f>ROUNDUP(商品マスタ[[#This Row],[仕入単価+国内送料]]/0.8,-1)</f>
        <v>1380</v>
      </c>
      <c r="V236" s="134">
        <f>商品マスタ[[#This Row],[海外定価
（20％）]]-商品マスタ[[#This Row],[仕入単価+国内送料]]</f>
        <v>280</v>
      </c>
      <c r="W236" s="87">
        <f>ROUNDUP(商品マスタ[[#This Row],[仕入単価+国内送料]]/0.85,-1)</f>
        <v>1300</v>
      </c>
      <c r="X236" s="134">
        <f>商品マスタ[[#This Row],[国内定価
（15％）]]-商品マスタ[[#This Row],[仕入単価+国内送料]]</f>
        <v>200</v>
      </c>
      <c r="Y236" s="139">
        <v>0.08</v>
      </c>
      <c r="Z236" s="87"/>
      <c r="AA236" s="87"/>
      <c r="AB236" s="87"/>
      <c r="AC236" s="140"/>
      <c r="AD236" s="87"/>
      <c r="AE236" s="87"/>
      <c r="AF236" s="87"/>
      <c r="AG236" s="141"/>
    </row>
    <row r="237" spans="1:33" ht="18">
      <c r="A237" s="169" t="s">
        <v>1524</v>
      </c>
      <c r="B237" s="168" t="s">
        <v>1229</v>
      </c>
      <c r="C237" s="168" t="s">
        <v>139</v>
      </c>
      <c r="D237" s="143" t="str">
        <f>"PRD_SNJ_"&amp;
_xlfn.XLOOKUP(商品マスタ[[#This Row],[仕入先]],テーブル1[仕入先名],テーブル1[仕入先コード],"XXX",0,1)&amp;
"_"&amp;
商品マスタ[[#This Row],[シリアル]]&amp;
"_"&amp;
TEXT(COUNTIFS(商品マスタ!$C$3:C237,商品マスタ[[#This Row],[仕入先]],商品マスタ!$E$3:E237,商品マスタ[[#This Row],[商品名]]), "00")</f>
        <v>PRD_SNJ_NRS_0013_01</v>
      </c>
      <c r="E237" s="87" t="s">
        <v>713</v>
      </c>
      <c r="F237" s="87">
        <f>IF(COUNTIFS($C$3:C237,商品マスタ[[#This Row],[仕入先]],$E$3:E237,商品マスタ[[#This Row],[商品名]]) = 1, 1,0)</f>
        <v>1</v>
      </c>
      <c r="G237" s="133" t="str">
        <f>TEXT(SUMIF($C$3:C237,商品マスタ[[#This Row],[仕入先]],$F$3:F237), "0000")</f>
        <v>0013</v>
      </c>
      <c r="H237" s="87" t="s">
        <v>365</v>
      </c>
      <c r="I237" s="87" t="s">
        <v>714</v>
      </c>
      <c r="J237" s="87" t="s">
        <v>709</v>
      </c>
      <c r="K237" s="87" t="s">
        <v>710</v>
      </c>
      <c r="L237" s="134">
        <v>700</v>
      </c>
      <c r="M237" s="157">
        <v>45912</v>
      </c>
      <c r="N237" s="134"/>
      <c r="O237" s="135" t="str">
        <f>IF(COUNT(商品マスタ[[#This Row],[参考上代
（税込)]]) &gt; 0, (商品マスタ[[#This Row],[参考上代
（税込)]]-商品マスタ[[#This Row],[国内定価
（15％）]])/(商品マスタ[[#This Row],[参考上代
（税込)]]/1.08), "")</f>
        <v/>
      </c>
      <c r="P237" s="136">
        <v>0.1</v>
      </c>
      <c r="Q237" s="137">
        <f>商品マスタ[[#This Row],[仕入
単価]]*商品マスタ[[#This Row],[標準国内送料率]]</f>
        <v>70</v>
      </c>
      <c r="R237" s="134"/>
      <c r="S237" s="134">
        <f>IF(ISBLANK(商品マスタ[[#This Row],[実績
国内送料]]),商品マスタ[[#This Row],[標準国内送料]],)</f>
        <v>70</v>
      </c>
      <c r="T237" s="134">
        <f>商品マスタ[[#This Row],[仕入
単価]]+商品マスタ[[#This Row],[国内送料]]</f>
        <v>770</v>
      </c>
      <c r="U237" s="134">
        <f>ROUNDUP(商品マスタ[[#This Row],[仕入単価+国内送料]]/0.8,-1)</f>
        <v>970</v>
      </c>
      <c r="V237" s="134">
        <f>商品マスタ[[#This Row],[海外定価
（20％）]]-商品マスタ[[#This Row],[仕入単価+国内送料]]</f>
        <v>200</v>
      </c>
      <c r="W237" s="87">
        <f>ROUNDUP(商品マスタ[[#This Row],[仕入単価+国内送料]]/0.85,-1)</f>
        <v>910</v>
      </c>
      <c r="X237" s="134">
        <f>商品マスタ[[#This Row],[国内定価
（15％）]]-商品マスタ[[#This Row],[仕入単価+国内送料]]</f>
        <v>140</v>
      </c>
      <c r="Y237" s="139">
        <v>0.08</v>
      </c>
      <c r="Z237" s="87"/>
      <c r="AA237" s="87"/>
      <c r="AB237" s="87"/>
      <c r="AC237" s="140"/>
      <c r="AD237" s="87"/>
      <c r="AE237" s="87"/>
      <c r="AF237" s="87"/>
      <c r="AG237" s="141"/>
    </row>
    <row r="238" spans="1:33" ht="18">
      <c r="A238" s="169" t="s">
        <v>1524</v>
      </c>
      <c r="B238" s="168" t="s">
        <v>1229</v>
      </c>
      <c r="C238" s="168" t="s">
        <v>139</v>
      </c>
      <c r="D238" s="143" t="str">
        <f>"PRD_SNJ_"&amp;
_xlfn.XLOOKUP(商品マスタ[[#This Row],[仕入先]],テーブル1[仕入先名],テーブル1[仕入先コード],"XXX",0,1)&amp;
"_"&amp;
商品マスタ[[#This Row],[シリアル]]&amp;
"_"&amp;
TEXT(COUNTIFS(商品マスタ!$C$3:C238,商品マスタ[[#This Row],[仕入先]],商品マスタ!$E$3:E238,商品マスタ[[#This Row],[商品名]]), "00")</f>
        <v>PRD_SNJ_NRS_0014_01</v>
      </c>
      <c r="E238" s="87" t="s">
        <v>715</v>
      </c>
      <c r="F238" s="87">
        <f>IF(COUNTIFS($C$3:C238,商品マスタ[[#This Row],[仕入先]],$E$3:E238,商品マスタ[[#This Row],[商品名]]) = 1, 1,0)</f>
        <v>1</v>
      </c>
      <c r="G238" s="133" t="str">
        <f>TEXT(SUMIF($C$3:C238,商品マスタ[[#This Row],[仕入先]],$F$3:F238), "0000")</f>
        <v>0014</v>
      </c>
      <c r="H238" s="87" t="s">
        <v>365</v>
      </c>
      <c r="I238" s="87" t="s">
        <v>716</v>
      </c>
      <c r="J238" s="87" t="s">
        <v>709</v>
      </c>
      <c r="K238" s="87" t="s">
        <v>710</v>
      </c>
      <c r="L238" s="134">
        <v>1000</v>
      </c>
      <c r="M238" s="157">
        <v>45912</v>
      </c>
      <c r="N238" s="134"/>
      <c r="O238" s="135" t="str">
        <f>IF(COUNT(商品マスタ[[#This Row],[参考上代
（税込)]]) &gt; 0, (商品マスタ[[#This Row],[参考上代
（税込)]]-商品マスタ[[#This Row],[国内定価
（15％）]])/(商品マスタ[[#This Row],[参考上代
（税込)]]/1.08), "")</f>
        <v/>
      </c>
      <c r="P238" s="136">
        <v>0.1</v>
      </c>
      <c r="Q238" s="137">
        <f>商品マスタ[[#This Row],[仕入
単価]]*商品マスタ[[#This Row],[標準国内送料率]]</f>
        <v>100</v>
      </c>
      <c r="R238" s="134"/>
      <c r="S238" s="134">
        <f>IF(ISBLANK(商品マスタ[[#This Row],[実績
国内送料]]),商品マスタ[[#This Row],[標準国内送料]],)</f>
        <v>100</v>
      </c>
      <c r="T238" s="134">
        <f>商品マスタ[[#This Row],[仕入
単価]]+商品マスタ[[#This Row],[国内送料]]</f>
        <v>1100</v>
      </c>
      <c r="U238" s="134">
        <f>ROUNDUP(商品マスタ[[#This Row],[仕入単価+国内送料]]/0.8,-1)</f>
        <v>1380</v>
      </c>
      <c r="V238" s="134">
        <f>商品マスタ[[#This Row],[海外定価
（20％）]]-商品マスタ[[#This Row],[仕入単価+国内送料]]</f>
        <v>280</v>
      </c>
      <c r="W238" s="87">
        <f>ROUNDUP(商品マスタ[[#This Row],[仕入単価+国内送料]]/0.85,-1)</f>
        <v>1300</v>
      </c>
      <c r="X238" s="134">
        <f>商品マスタ[[#This Row],[国内定価
（15％）]]-商品マスタ[[#This Row],[仕入単価+国内送料]]</f>
        <v>200</v>
      </c>
      <c r="Y238" s="139">
        <v>0.08</v>
      </c>
      <c r="Z238" s="87"/>
      <c r="AA238" s="87"/>
      <c r="AB238" s="87"/>
      <c r="AC238" s="140"/>
      <c r="AD238" s="87"/>
      <c r="AE238" s="87"/>
      <c r="AF238" s="87"/>
      <c r="AG238" s="141"/>
    </row>
    <row r="239" spans="1:33" ht="18">
      <c r="A239" s="169" t="s">
        <v>1524</v>
      </c>
      <c r="B239" s="168" t="s">
        <v>1229</v>
      </c>
      <c r="C239" s="168" t="s">
        <v>141</v>
      </c>
      <c r="D239" s="143" t="str">
        <f>"PRD_SNJ_"&amp;
_xlfn.XLOOKUP(商品マスタ[[#This Row],[仕入先]],テーブル1[仕入先名],テーブル1[仕入先コード],"XXX",0,1)&amp;
"_"&amp;
商品マスタ[[#This Row],[シリアル]]&amp;
"_"&amp;
TEXT(COUNTIFS(商品マスタ!$C$3:C239,商品マスタ[[#This Row],[仕入先]],商品マスタ!$E$3:E239,商品マスタ[[#This Row],[商品名]]), "00")</f>
        <v>PRD_SNJ_ESF_0001_01</v>
      </c>
      <c r="E239" s="87" t="s">
        <v>717</v>
      </c>
      <c r="F239" s="87">
        <f>IF(COUNTIFS($C$3:C239,商品マスタ[[#This Row],[仕入先]],$E$3:E239,商品マスタ[[#This Row],[商品名]]) = 1, 1,0)</f>
        <v>1</v>
      </c>
      <c r="G239" s="133" t="str">
        <f>TEXT(SUMIF($C$3:C239,商品マスタ[[#This Row],[仕入先]],$F$3:F239), "0000")</f>
        <v>0001</v>
      </c>
      <c r="H239" s="87" t="s">
        <v>365</v>
      </c>
      <c r="I239" s="87" t="s">
        <v>461</v>
      </c>
      <c r="J239" s="87" t="s">
        <v>684</v>
      </c>
      <c r="K239" s="87" t="s">
        <v>718</v>
      </c>
      <c r="L239" s="134">
        <v>7400</v>
      </c>
      <c r="M239" s="157">
        <v>45955</v>
      </c>
      <c r="N239" s="134"/>
      <c r="O239" s="135" t="str">
        <f>IF(COUNT(商品マスタ[[#This Row],[参考上代
（税込)]]) &gt; 0, (商品マスタ[[#This Row],[参考上代
（税込)]]-商品マスタ[[#This Row],[国内定価
（15％）]])/(商品マスタ[[#This Row],[参考上代
（税込)]]/1.08), "")</f>
        <v/>
      </c>
      <c r="P239" s="136">
        <v>0.1</v>
      </c>
      <c r="Q239" s="137">
        <f>商品マスタ[[#This Row],[仕入
単価]]*商品マスタ[[#This Row],[標準国内送料率]]</f>
        <v>740</v>
      </c>
      <c r="R239" s="134"/>
      <c r="S239" s="134">
        <f>IF(ISBLANK(商品マスタ[[#This Row],[実績
国内送料]]),商品マスタ[[#This Row],[標準国内送料]],)</f>
        <v>740</v>
      </c>
      <c r="T239" s="134">
        <f>商品マスタ[[#This Row],[仕入
単価]]+商品マスタ[[#This Row],[国内送料]]</f>
        <v>8140</v>
      </c>
      <c r="U239" s="134">
        <f>ROUNDUP(商品マスタ[[#This Row],[仕入単価+国内送料]]/0.8,-1)</f>
        <v>10180</v>
      </c>
      <c r="V239" s="134">
        <f>商品マスタ[[#This Row],[海外定価
（20％）]]-商品マスタ[[#This Row],[仕入単価+国内送料]]</f>
        <v>2040</v>
      </c>
      <c r="W239" s="87">
        <f>ROUNDUP(商品マスタ[[#This Row],[仕入単価+国内送料]]/0.85,-1)</f>
        <v>9580</v>
      </c>
      <c r="X239" s="134">
        <f>商品マスタ[[#This Row],[国内定価
（15％）]]-商品マスタ[[#This Row],[仕入単価+国内送料]]</f>
        <v>1440</v>
      </c>
      <c r="Y239" s="139">
        <v>0.08</v>
      </c>
      <c r="Z239" s="87"/>
      <c r="AA239" s="87"/>
      <c r="AB239" s="87"/>
      <c r="AC239" s="140"/>
      <c r="AD239" s="87"/>
      <c r="AE239" s="87"/>
      <c r="AF239" s="87"/>
      <c r="AG239" s="141"/>
    </row>
    <row r="240" spans="1:33" ht="18">
      <c r="A240" s="169" t="s">
        <v>1524</v>
      </c>
      <c r="B240" s="168" t="s">
        <v>1229</v>
      </c>
      <c r="C240" s="168" t="s">
        <v>141</v>
      </c>
      <c r="D240" s="143" t="str">
        <f>"PRD_SNJ_"&amp;
_xlfn.XLOOKUP(商品マスタ[[#This Row],[仕入先]],テーブル1[仕入先名],テーブル1[仕入先コード],"XXX",0,1)&amp;
"_"&amp;
商品マスタ[[#This Row],[シリアル]]&amp;
"_"&amp;
TEXT(COUNTIFS(商品マスタ!$C$3:C240,商品マスタ[[#This Row],[仕入先]],商品マスタ!$E$3:E240,商品マスタ[[#This Row],[商品名]]), "00")</f>
        <v>PRD_SNJ_ESF_0002_01</v>
      </c>
      <c r="E240" s="87" t="s">
        <v>719</v>
      </c>
      <c r="F240" s="87">
        <f>IF(COUNTIFS($C$3:C240,商品マスタ[[#This Row],[仕入先]],$E$3:E240,商品マスタ[[#This Row],[商品名]]) = 1, 1,0)</f>
        <v>1</v>
      </c>
      <c r="G240" s="133" t="str">
        <f>TEXT(SUMIF($C$3:C240,商品マスタ[[#This Row],[仕入先]],$F$3:F240), "0000")</f>
        <v>0002</v>
      </c>
      <c r="H240" s="87" t="s">
        <v>424</v>
      </c>
      <c r="I240" s="87" t="s">
        <v>720</v>
      </c>
      <c r="J240" s="87" t="s">
        <v>721</v>
      </c>
      <c r="K240" s="87" t="s">
        <v>722</v>
      </c>
      <c r="L240" s="134">
        <v>440</v>
      </c>
      <c r="M240" s="157">
        <v>45955</v>
      </c>
      <c r="N240" s="134"/>
      <c r="O240" s="135" t="str">
        <f>IF(COUNT(商品マスタ[[#This Row],[参考上代
（税込)]]) &gt; 0, (商品マスタ[[#This Row],[参考上代
（税込)]]-商品マスタ[[#This Row],[国内定価
（15％）]])/(商品マスタ[[#This Row],[参考上代
（税込)]]/1.08), "")</f>
        <v/>
      </c>
      <c r="P240" s="136">
        <v>0.1</v>
      </c>
      <c r="Q240" s="137">
        <f>商品マスタ[[#This Row],[仕入
単価]]*商品マスタ[[#This Row],[標準国内送料率]]</f>
        <v>44</v>
      </c>
      <c r="R240" s="134"/>
      <c r="S240" s="134">
        <f>IF(ISBLANK(商品マスタ[[#This Row],[実績
国内送料]]),商品マスタ[[#This Row],[標準国内送料]],)</f>
        <v>44</v>
      </c>
      <c r="T240" s="134">
        <f>商品マスタ[[#This Row],[仕入
単価]]+商品マスタ[[#This Row],[国内送料]]</f>
        <v>484</v>
      </c>
      <c r="U240" s="134">
        <f>ROUNDUP(商品マスタ[[#This Row],[仕入単価+国内送料]]/0.8,-1)</f>
        <v>610</v>
      </c>
      <c r="V240" s="134">
        <f>商品マスタ[[#This Row],[海外定価
（20％）]]-商品マスタ[[#This Row],[仕入単価+国内送料]]</f>
        <v>126</v>
      </c>
      <c r="W240" s="87">
        <f>ROUNDUP(商品マスタ[[#This Row],[仕入単価+国内送料]]/0.85,-1)</f>
        <v>570</v>
      </c>
      <c r="X240" s="134">
        <f>商品マスタ[[#This Row],[国内定価
（15％）]]-商品マスタ[[#This Row],[仕入単価+国内送料]]</f>
        <v>86</v>
      </c>
      <c r="Y240" s="139">
        <v>0.08</v>
      </c>
      <c r="Z240" s="87"/>
      <c r="AA240" s="87"/>
      <c r="AB240" s="87"/>
      <c r="AC240" s="140"/>
      <c r="AD240" s="87"/>
      <c r="AE240" s="87"/>
      <c r="AF240" s="87"/>
      <c r="AG240" s="141"/>
    </row>
    <row r="241" spans="1:33" ht="18">
      <c r="A241" s="169" t="s">
        <v>1524</v>
      </c>
      <c r="B241" s="168" t="s">
        <v>1229</v>
      </c>
      <c r="C241" s="168" t="s">
        <v>141</v>
      </c>
      <c r="D241" s="143" t="str">
        <f>"PRD_SNJ_"&amp;
_xlfn.XLOOKUP(商品マスタ[[#This Row],[仕入先]],テーブル1[仕入先名],テーブル1[仕入先コード],"XXX",0,1)&amp;
"_"&amp;
商品マスタ[[#This Row],[シリアル]]&amp;
"_"&amp;
TEXT(COUNTIFS(商品マスタ!$C$3:C241,商品マスタ[[#This Row],[仕入先]],商品マスタ!$E$3:E241,商品マスタ[[#This Row],[商品名]]), "00")</f>
        <v>PRD_SNJ_ESF_0003_01</v>
      </c>
      <c r="E241" s="87" t="s">
        <v>723</v>
      </c>
      <c r="F241" s="87">
        <f>IF(COUNTIFS($C$3:C241,商品マスタ[[#This Row],[仕入先]],$E$3:E241,商品マスタ[[#This Row],[商品名]]) = 1, 1,0)</f>
        <v>1</v>
      </c>
      <c r="G241" s="133" t="str">
        <f>TEXT(SUMIF($C$3:C241,商品マスタ[[#This Row],[仕入先]],$F$3:F241), "0000")</f>
        <v>0003</v>
      </c>
      <c r="H241" s="87" t="s">
        <v>424</v>
      </c>
      <c r="I241" s="87" t="s">
        <v>724</v>
      </c>
      <c r="J241" s="87" t="s">
        <v>721</v>
      </c>
      <c r="K241" s="87" t="s">
        <v>725</v>
      </c>
      <c r="L241" s="134">
        <v>880</v>
      </c>
      <c r="M241" s="157">
        <v>45955</v>
      </c>
      <c r="N241" s="134"/>
      <c r="O241" s="135" t="str">
        <f>IF(COUNT(商品マスタ[[#This Row],[参考上代
（税込)]]) &gt; 0, (商品マスタ[[#This Row],[参考上代
（税込)]]-商品マスタ[[#This Row],[国内定価
（15％）]])/(商品マスタ[[#This Row],[参考上代
（税込)]]/1.08), "")</f>
        <v/>
      </c>
      <c r="P241" s="136">
        <v>0.1</v>
      </c>
      <c r="Q241" s="137">
        <f>商品マスタ[[#This Row],[仕入
単価]]*商品マスタ[[#This Row],[標準国内送料率]]</f>
        <v>88</v>
      </c>
      <c r="R241" s="134"/>
      <c r="S241" s="134">
        <f>IF(ISBLANK(商品マスタ[[#This Row],[実績
国内送料]]),商品マスタ[[#This Row],[標準国内送料]],)</f>
        <v>88</v>
      </c>
      <c r="T241" s="134">
        <f>商品マスタ[[#This Row],[仕入
単価]]+商品マスタ[[#This Row],[国内送料]]</f>
        <v>968</v>
      </c>
      <c r="U241" s="134">
        <f>ROUNDUP(商品マスタ[[#This Row],[仕入単価+国内送料]]/0.8,-1)</f>
        <v>1210</v>
      </c>
      <c r="V241" s="134">
        <f>商品マスタ[[#This Row],[海外定価
（20％）]]-商品マスタ[[#This Row],[仕入単価+国内送料]]</f>
        <v>242</v>
      </c>
      <c r="W241" s="87">
        <f>ROUNDUP(商品マスタ[[#This Row],[仕入単価+国内送料]]/0.85,-1)</f>
        <v>1140</v>
      </c>
      <c r="X241" s="134">
        <f>商品マスタ[[#This Row],[国内定価
（15％）]]-商品マスタ[[#This Row],[仕入単価+国内送料]]</f>
        <v>172</v>
      </c>
      <c r="Y241" s="139">
        <v>0.08</v>
      </c>
      <c r="Z241" s="87"/>
      <c r="AA241" s="87"/>
      <c r="AB241" s="87"/>
      <c r="AC241" s="140"/>
      <c r="AD241" s="87"/>
      <c r="AE241" s="87"/>
      <c r="AF241" s="87"/>
      <c r="AG241" s="141"/>
    </row>
    <row r="242" spans="1:33" ht="18">
      <c r="A242" s="169" t="s">
        <v>1524</v>
      </c>
      <c r="B242" s="168" t="s">
        <v>1229</v>
      </c>
      <c r="C242" s="168" t="s">
        <v>141</v>
      </c>
      <c r="D242" s="143" t="str">
        <f>"PRD_SNJ_"&amp;
_xlfn.XLOOKUP(商品マスタ[[#This Row],[仕入先]],テーブル1[仕入先名],テーブル1[仕入先コード],"XXX",0,1)&amp;
"_"&amp;
商品マスタ[[#This Row],[シリアル]]&amp;
"_"&amp;
TEXT(COUNTIFS(商品マスタ!$C$3:C242,商品マスタ[[#This Row],[仕入先]],商品マスタ!$E$3:E242,商品マスタ[[#This Row],[商品名]]), "00")</f>
        <v>PRD_SNJ_ESF_0004_01</v>
      </c>
      <c r="E242" s="87" t="s">
        <v>726</v>
      </c>
      <c r="F242" s="87">
        <f>IF(COUNTIFS($C$3:C242,商品マスタ[[#This Row],[仕入先]],$E$3:E242,商品マスタ[[#This Row],[商品名]]) = 1, 1,0)</f>
        <v>1</v>
      </c>
      <c r="G242" s="133" t="str">
        <f>TEXT(SUMIF($C$3:C242,商品マスタ[[#This Row],[仕入先]],$F$3:F242), "0000")</f>
        <v>0004</v>
      </c>
      <c r="H242" s="87" t="s">
        <v>424</v>
      </c>
      <c r="I242" s="87" t="s">
        <v>727</v>
      </c>
      <c r="J242" s="87" t="s">
        <v>721</v>
      </c>
      <c r="K242" s="87" t="s">
        <v>728</v>
      </c>
      <c r="L242" s="134">
        <v>980</v>
      </c>
      <c r="M242" s="157">
        <v>45955</v>
      </c>
      <c r="N242" s="134"/>
      <c r="O242" s="135" t="str">
        <f>IF(COUNT(商品マスタ[[#This Row],[参考上代
（税込)]]) &gt; 0, (商品マスタ[[#This Row],[参考上代
（税込)]]-商品マスタ[[#This Row],[国内定価
（15％）]])/(商品マスタ[[#This Row],[参考上代
（税込)]]/1.08), "")</f>
        <v/>
      </c>
      <c r="P242" s="136">
        <v>0.1</v>
      </c>
      <c r="Q242" s="137">
        <f>商品マスタ[[#This Row],[仕入
単価]]*商品マスタ[[#This Row],[標準国内送料率]]</f>
        <v>98</v>
      </c>
      <c r="R242" s="134"/>
      <c r="S242" s="134">
        <f>IF(ISBLANK(商品マスタ[[#This Row],[実績
国内送料]]),商品マスタ[[#This Row],[標準国内送料]],)</f>
        <v>98</v>
      </c>
      <c r="T242" s="134">
        <f>商品マスタ[[#This Row],[仕入
単価]]+商品マスタ[[#This Row],[国内送料]]</f>
        <v>1078</v>
      </c>
      <c r="U242" s="134">
        <f>ROUNDUP(商品マスタ[[#This Row],[仕入単価+国内送料]]/0.8,-1)</f>
        <v>1350</v>
      </c>
      <c r="V242" s="134">
        <f>商品マスタ[[#This Row],[海外定価
（20％）]]-商品マスタ[[#This Row],[仕入単価+国内送料]]</f>
        <v>272</v>
      </c>
      <c r="W242" s="87">
        <f>ROUNDUP(商品マスタ[[#This Row],[仕入単価+国内送料]]/0.85,-1)</f>
        <v>1270</v>
      </c>
      <c r="X242" s="134">
        <f>商品マスタ[[#This Row],[国内定価
（15％）]]-商品マスタ[[#This Row],[仕入単価+国内送料]]</f>
        <v>192</v>
      </c>
      <c r="Y242" s="139">
        <v>0.08</v>
      </c>
      <c r="Z242" s="87"/>
      <c r="AA242" s="87"/>
      <c r="AB242" s="87"/>
      <c r="AC242" s="140"/>
      <c r="AD242" s="87"/>
      <c r="AE242" s="87"/>
      <c r="AF242" s="87"/>
      <c r="AG242" s="141"/>
    </row>
    <row r="243" spans="1:33" ht="18">
      <c r="A243" s="169" t="s">
        <v>1524</v>
      </c>
      <c r="B243" s="168" t="s">
        <v>1229</v>
      </c>
      <c r="C243" s="168" t="s">
        <v>141</v>
      </c>
      <c r="D243" s="143" t="str">
        <f>"PRD_SNJ_"&amp;
_xlfn.XLOOKUP(商品マスタ[[#This Row],[仕入先]],テーブル1[仕入先名],テーブル1[仕入先コード],"XXX",0,1)&amp;
"_"&amp;
商品マスタ[[#This Row],[シリアル]]&amp;
"_"&amp;
TEXT(COUNTIFS(商品マスタ!$C$3:C243,商品マスタ[[#This Row],[仕入先]],商品マスタ!$E$3:E243,商品マスタ[[#This Row],[商品名]]), "00")</f>
        <v>PRD_SNJ_ESF_0005_01</v>
      </c>
      <c r="E243" s="87" t="s">
        <v>729</v>
      </c>
      <c r="F243" s="87">
        <f>IF(COUNTIFS($C$3:C243,商品マスタ[[#This Row],[仕入先]],$E$3:E243,商品マスタ[[#This Row],[商品名]]) = 1, 1,0)</f>
        <v>1</v>
      </c>
      <c r="G243" s="133" t="str">
        <f>TEXT(SUMIF($C$3:C243,商品マスタ[[#This Row],[仕入先]],$F$3:F243), "0000")</f>
        <v>0005</v>
      </c>
      <c r="H243" s="87" t="s">
        <v>424</v>
      </c>
      <c r="I243" s="87" t="s">
        <v>730</v>
      </c>
      <c r="J243" s="87" t="s">
        <v>721</v>
      </c>
      <c r="K243" s="87" t="s">
        <v>731</v>
      </c>
      <c r="L243" s="134">
        <v>1950</v>
      </c>
      <c r="M243" s="157">
        <v>45955</v>
      </c>
      <c r="N243" s="134"/>
      <c r="O243" s="135" t="str">
        <f>IF(COUNT(商品マスタ[[#This Row],[参考上代
（税込)]]) &gt; 0, (商品マスタ[[#This Row],[参考上代
（税込)]]-商品マスタ[[#This Row],[国内定価
（15％）]])/(商品マスタ[[#This Row],[参考上代
（税込)]]/1.08), "")</f>
        <v/>
      </c>
      <c r="P243" s="136">
        <v>0.1</v>
      </c>
      <c r="Q243" s="137">
        <f>商品マスタ[[#This Row],[仕入
単価]]*商品マスタ[[#This Row],[標準国内送料率]]</f>
        <v>195</v>
      </c>
      <c r="R243" s="134"/>
      <c r="S243" s="134">
        <f>IF(ISBLANK(商品マスタ[[#This Row],[実績
国内送料]]),商品マスタ[[#This Row],[標準国内送料]],)</f>
        <v>195</v>
      </c>
      <c r="T243" s="134">
        <f>商品マスタ[[#This Row],[仕入
単価]]+商品マスタ[[#This Row],[国内送料]]</f>
        <v>2145</v>
      </c>
      <c r="U243" s="134">
        <f>ROUNDUP(商品マスタ[[#This Row],[仕入単価+国内送料]]/0.8,-1)</f>
        <v>2690</v>
      </c>
      <c r="V243" s="134">
        <f>商品マスタ[[#This Row],[海外定価
（20％）]]-商品マスタ[[#This Row],[仕入単価+国内送料]]</f>
        <v>545</v>
      </c>
      <c r="W243" s="87">
        <f>ROUNDUP(商品マスタ[[#This Row],[仕入単価+国内送料]]/0.85,-1)</f>
        <v>2530</v>
      </c>
      <c r="X243" s="134">
        <f>商品マスタ[[#This Row],[国内定価
（15％）]]-商品マスタ[[#This Row],[仕入単価+国内送料]]</f>
        <v>385</v>
      </c>
      <c r="Y243" s="139">
        <v>0.08</v>
      </c>
      <c r="Z243" s="87"/>
      <c r="AA243" s="87"/>
      <c r="AB243" s="87"/>
      <c r="AC243" s="140"/>
      <c r="AD243" s="87"/>
      <c r="AE243" s="87"/>
      <c r="AF243" s="87"/>
      <c r="AG243" s="141"/>
    </row>
    <row r="244" spans="1:33" ht="18">
      <c r="A244" s="169" t="s">
        <v>1524</v>
      </c>
      <c r="B244" s="168" t="s">
        <v>1229</v>
      </c>
      <c r="C244" s="168" t="s">
        <v>141</v>
      </c>
      <c r="D244" s="143" t="str">
        <f>"PRD_SNJ_"&amp;
_xlfn.XLOOKUP(商品マスタ[[#This Row],[仕入先]],テーブル1[仕入先名],テーブル1[仕入先コード],"XXX",0,1)&amp;
"_"&amp;
商品マスタ[[#This Row],[シリアル]]&amp;
"_"&amp;
TEXT(COUNTIFS(商品マスタ!$C$3:C244,商品マスタ[[#This Row],[仕入先]],商品マスタ!$E$3:E244,商品マスタ[[#This Row],[商品名]]), "00")</f>
        <v>PRD_SNJ_ESF_0006_01</v>
      </c>
      <c r="E244" s="87" t="s">
        <v>732</v>
      </c>
      <c r="F244" s="87">
        <f>IF(COUNTIFS($C$3:C244,商品マスタ[[#This Row],[仕入先]],$E$3:E244,商品マスタ[[#This Row],[商品名]]) = 1, 1,0)</f>
        <v>1</v>
      </c>
      <c r="G244" s="133" t="str">
        <f>TEXT(SUMIF($C$3:C244,商品マスタ[[#This Row],[仕入先]],$F$3:F244), "0000")</f>
        <v>0006</v>
      </c>
      <c r="H244" s="87" t="s">
        <v>424</v>
      </c>
      <c r="I244" s="87" t="s">
        <v>733</v>
      </c>
      <c r="J244" s="87" t="s">
        <v>721</v>
      </c>
      <c r="K244" s="87" t="s">
        <v>734</v>
      </c>
      <c r="L244" s="134">
        <v>580</v>
      </c>
      <c r="M244" s="157">
        <v>45955</v>
      </c>
      <c r="N244" s="134"/>
      <c r="O244" s="135" t="str">
        <f>IF(COUNT(商品マスタ[[#This Row],[参考上代
（税込)]]) &gt; 0, (商品マスタ[[#This Row],[参考上代
（税込)]]-商品マスタ[[#This Row],[国内定価
（15％）]])/(商品マスタ[[#This Row],[参考上代
（税込)]]/1.08), "")</f>
        <v/>
      </c>
      <c r="P244" s="136">
        <v>0.1</v>
      </c>
      <c r="Q244" s="137">
        <f>商品マスタ[[#This Row],[仕入
単価]]*商品マスタ[[#This Row],[標準国内送料率]]</f>
        <v>58</v>
      </c>
      <c r="R244" s="134"/>
      <c r="S244" s="134">
        <f>IF(ISBLANK(商品マスタ[[#This Row],[実績
国内送料]]),商品マスタ[[#This Row],[標準国内送料]],)</f>
        <v>58</v>
      </c>
      <c r="T244" s="134">
        <f>商品マスタ[[#This Row],[仕入
単価]]+商品マスタ[[#This Row],[国内送料]]</f>
        <v>638</v>
      </c>
      <c r="U244" s="134">
        <f>ROUNDUP(商品マスタ[[#This Row],[仕入単価+国内送料]]/0.8,-1)</f>
        <v>800</v>
      </c>
      <c r="V244" s="134">
        <f>商品マスタ[[#This Row],[海外定価
（20％）]]-商品マスタ[[#This Row],[仕入単価+国内送料]]</f>
        <v>162</v>
      </c>
      <c r="W244" s="87">
        <f>ROUNDUP(商品マスタ[[#This Row],[仕入単価+国内送料]]/0.85,-1)</f>
        <v>760</v>
      </c>
      <c r="X244" s="134">
        <f>商品マスタ[[#This Row],[国内定価
（15％）]]-商品マスタ[[#This Row],[仕入単価+国内送料]]</f>
        <v>122</v>
      </c>
      <c r="Y244" s="139">
        <v>0.08</v>
      </c>
      <c r="Z244" s="87"/>
      <c r="AA244" s="87"/>
      <c r="AB244" s="87"/>
      <c r="AC244" s="140"/>
      <c r="AD244" s="87"/>
      <c r="AE244" s="87"/>
      <c r="AF244" s="87"/>
      <c r="AG244" s="141"/>
    </row>
    <row r="245" spans="1:33" ht="18">
      <c r="A245" s="169" t="s">
        <v>1524</v>
      </c>
      <c r="B245" s="168" t="s">
        <v>1229</v>
      </c>
      <c r="C245" s="168" t="s">
        <v>141</v>
      </c>
      <c r="D245" s="143" t="str">
        <f>"PRD_SNJ_"&amp;
_xlfn.XLOOKUP(商品マスタ[[#This Row],[仕入先]],テーブル1[仕入先名],テーブル1[仕入先コード],"XXX",0,1)&amp;
"_"&amp;
商品マスタ[[#This Row],[シリアル]]&amp;
"_"&amp;
TEXT(COUNTIFS(商品マスタ!$C$3:C245,商品マスタ[[#This Row],[仕入先]],商品マスタ!$E$3:E245,商品マスタ[[#This Row],[商品名]]), "00")</f>
        <v>PRD_SNJ_ESF_0007_01</v>
      </c>
      <c r="E245" s="87" t="s">
        <v>735</v>
      </c>
      <c r="F245" s="87">
        <f>IF(COUNTIFS($C$3:C245,商品マスタ[[#This Row],[仕入先]],$E$3:E245,商品マスタ[[#This Row],[商品名]]) = 1, 1,0)</f>
        <v>1</v>
      </c>
      <c r="G245" s="133" t="str">
        <f>TEXT(SUMIF($C$3:C245,商品マスタ[[#This Row],[仕入先]],$F$3:F245), "0000")</f>
        <v>0007</v>
      </c>
      <c r="H245" s="87" t="s">
        <v>424</v>
      </c>
      <c r="I245" s="87" t="s">
        <v>724</v>
      </c>
      <c r="J245" s="87" t="s">
        <v>721</v>
      </c>
      <c r="K245" s="87" t="s">
        <v>725</v>
      </c>
      <c r="L245" s="134">
        <v>1160</v>
      </c>
      <c r="M245" s="157">
        <v>45955</v>
      </c>
      <c r="N245" s="134"/>
      <c r="O245" s="135" t="str">
        <f>IF(COUNT(商品マスタ[[#This Row],[参考上代
（税込)]]) &gt; 0, (商品マスタ[[#This Row],[参考上代
（税込)]]-商品マスタ[[#This Row],[国内定価
（15％）]])/(商品マスタ[[#This Row],[参考上代
（税込)]]/1.08), "")</f>
        <v/>
      </c>
      <c r="P245" s="136">
        <v>0.1</v>
      </c>
      <c r="Q245" s="137">
        <f>商品マスタ[[#This Row],[仕入
単価]]*商品マスタ[[#This Row],[標準国内送料率]]</f>
        <v>116</v>
      </c>
      <c r="R245" s="134"/>
      <c r="S245" s="134">
        <f>IF(ISBLANK(商品マスタ[[#This Row],[実績
国内送料]]),商品マスタ[[#This Row],[標準国内送料]],)</f>
        <v>116</v>
      </c>
      <c r="T245" s="134">
        <f>商品マスタ[[#This Row],[仕入
単価]]+商品マスタ[[#This Row],[国内送料]]</f>
        <v>1276</v>
      </c>
      <c r="U245" s="134">
        <f>ROUNDUP(商品マスタ[[#This Row],[仕入単価+国内送料]]/0.8,-1)</f>
        <v>1600</v>
      </c>
      <c r="V245" s="134">
        <f>商品マスタ[[#This Row],[海外定価
（20％）]]-商品マスタ[[#This Row],[仕入単価+国内送料]]</f>
        <v>324</v>
      </c>
      <c r="W245" s="87">
        <f>ROUNDUP(商品マスタ[[#This Row],[仕入単価+国内送料]]/0.85,-1)</f>
        <v>1510</v>
      </c>
      <c r="X245" s="134">
        <f>商品マスタ[[#This Row],[国内定価
（15％）]]-商品マスタ[[#This Row],[仕入単価+国内送料]]</f>
        <v>234</v>
      </c>
      <c r="Y245" s="139">
        <v>0.08</v>
      </c>
      <c r="Z245" s="87"/>
      <c r="AA245" s="87"/>
      <c r="AB245" s="87"/>
      <c r="AC245" s="140"/>
      <c r="AD245" s="87"/>
      <c r="AE245" s="87"/>
      <c r="AF245" s="87"/>
      <c r="AG245" s="141"/>
    </row>
    <row r="246" spans="1:33" ht="18">
      <c r="A246" s="169" t="s">
        <v>1524</v>
      </c>
      <c r="B246" s="168" t="s">
        <v>1229</v>
      </c>
      <c r="C246" s="168" t="s">
        <v>141</v>
      </c>
      <c r="D246" s="143" t="str">
        <f>"PRD_SNJ_"&amp;
_xlfn.XLOOKUP(商品マスタ[[#This Row],[仕入先]],テーブル1[仕入先名],テーブル1[仕入先コード],"XXX",0,1)&amp;
"_"&amp;
商品マスタ[[#This Row],[シリアル]]&amp;
"_"&amp;
TEXT(COUNTIFS(商品マスタ!$C$3:C246,商品マスタ[[#This Row],[仕入先]],商品マスタ!$E$3:E246,商品マスタ[[#This Row],[商品名]]), "00")</f>
        <v>PRD_SNJ_ESF_0008_01</v>
      </c>
      <c r="E246" s="87" t="s">
        <v>736</v>
      </c>
      <c r="F246" s="87">
        <f>IF(COUNTIFS($C$3:C246,商品マスタ[[#This Row],[仕入先]],$E$3:E246,商品マスタ[[#This Row],[商品名]]) = 1, 1,0)</f>
        <v>1</v>
      </c>
      <c r="G246" s="133" t="str">
        <f>TEXT(SUMIF($C$3:C246,商品マスタ[[#This Row],[仕入先]],$F$3:F246), "0000")</f>
        <v>0008</v>
      </c>
      <c r="H246" s="87" t="s">
        <v>424</v>
      </c>
      <c r="I246" s="87" t="s">
        <v>737</v>
      </c>
      <c r="J246" s="87" t="s">
        <v>721</v>
      </c>
      <c r="K246" s="87" t="s">
        <v>728</v>
      </c>
      <c r="L246" s="134">
        <v>1290</v>
      </c>
      <c r="M246" s="157">
        <v>45955</v>
      </c>
      <c r="N246" s="134"/>
      <c r="O246" s="135" t="str">
        <f>IF(COUNT(商品マスタ[[#This Row],[参考上代
（税込)]]) &gt; 0, (商品マスタ[[#This Row],[参考上代
（税込)]]-商品マスタ[[#This Row],[国内定価
（15％）]])/(商品マスタ[[#This Row],[参考上代
（税込)]]/1.08), "")</f>
        <v/>
      </c>
      <c r="P246" s="136">
        <v>0.1</v>
      </c>
      <c r="Q246" s="137">
        <f>商品マスタ[[#This Row],[仕入
単価]]*商品マスタ[[#This Row],[標準国内送料率]]</f>
        <v>129</v>
      </c>
      <c r="R246" s="134"/>
      <c r="S246" s="134">
        <f>IF(ISBLANK(商品マスタ[[#This Row],[実績
国内送料]]),商品マスタ[[#This Row],[標準国内送料]],)</f>
        <v>129</v>
      </c>
      <c r="T246" s="134">
        <f>商品マスタ[[#This Row],[仕入
単価]]+商品マスタ[[#This Row],[国内送料]]</f>
        <v>1419</v>
      </c>
      <c r="U246" s="134">
        <f>ROUNDUP(商品マスタ[[#This Row],[仕入単価+国内送料]]/0.8,-1)</f>
        <v>1780</v>
      </c>
      <c r="V246" s="134">
        <f>商品マスタ[[#This Row],[海外定価
（20％）]]-商品マスタ[[#This Row],[仕入単価+国内送料]]</f>
        <v>361</v>
      </c>
      <c r="W246" s="87">
        <f>ROUNDUP(商品マスタ[[#This Row],[仕入単価+国内送料]]/0.85,-1)</f>
        <v>1670</v>
      </c>
      <c r="X246" s="134">
        <f>商品マスタ[[#This Row],[国内定価
（15％）]]-商品マスタ[[#This Row],[仕入単価+国内送料]]</f>
        <v>251</v>
      </c>
      <c r="Y246" s="139">
        <v>0.08</v>
      </c>
      <c r="Z246" s="87"/>
      <c r="AA246" s="87"/>
      <c r="AB246" s="87"/>
      <c r="AC246" s="140"/>
      <c r="AD246" s="87"/>
      <c r="AE246" s="87"/>
      <c r="AF246" s="87"/>
      <c r="AG246" s="141"/>
    </row>
    <row r="247" spans="1:33" ht="18">
      <c r="A247" s="169" t="s">
        <v>1524</v>
      </c>
      <c r="B247" s="168" t="s">
        <v>1229</v>
      </c>
      <c r="C247" s="168" t="s">
        <v>141</v>
      </c>
      <c r="D247" s="143" t="str">
        <f>"PRD_SNJ_"&amp;
_xlfn.XLOOKUP(商品マスタ[[#This Row],[仕入先]],テーブル1[仕入先名],テーブル1[仕入先コード],"XXX",0,1)&amp;
"_"&amp;
商品マスタ[[#This Row],[シリアル]]&amp;
"_"&amp;
TEXT(COUNTIFS(商品マスタ!$C$3:C247,商品マスタ[[#This Row],[仕入先]],商品マスタ!$E$3:E247,商品マスタ[[#This Row],[商品名]]), "00")</f>
        <v>PRD_SNJ_ESF_0009_01</v>
      </c>
      <c r="E247" s="87" t="s">
        <v>738</v>
      </c>
      <c r="F247" s="87">
        <f>IF(COUNTIFS($C$3:C247,商品マスタ[[#This Row],[仕入先]],$E$3:E247,商品マスタ[[#This Row],[商品名]]) = 1, 1,0)</f>
        <v>1</v>
      </c>
      <c r="G247" s="133" t="str">
        <f>TEXT(SUMIF($C$3:C247,商品マスタ[[#This Row],[仕入先]],$F$3:F247), "0000")</f>
        <v>0009</v>
      </c>
      <c r="H247" s="87" t="s">
        <v>424</v>
      </c>
      <c r="I247" s="87" t="s">
        <v>739</v>
      </c>
      <c r="J247" s="87" t="s">
        <v>721</v>
      </c>
      <c r="K247" s="87" t="s">
        <v>731</v>
      </c>
      <c r="L247" s="134">
        <v>2500</v>
      </c>
      <c r="M247" s="157">
        <v>45955</v>
      </c>
      <c r="N247" s="134"/>
      <c r="O247" s="135" t="str">
        <f>IF(COUNT(商品マスタ[[#This Row],[参考上代
（税込)]]) &gt; 0, (商品マスタ[[#This Row],[参考上代
（税込)]]-商品マスタ[[#This Row],[国内定価
（15％）]])/(商品マスタ[[#This Row],[参考上代
（税込)]]/1.08), "")</f>
        <v/>
      </c>
      <c r="P247" s="136">
        <v>0.1</v>
      </c>
      <c r="Q247" s="137">
        <f>商品マスタ[[#This Row],[仕入
単価]]*商品マスタ[[#This Row],[標準国内送料率]]</f>
        <v>250</v>
      </c>
      <c r="R247" s="134"/>
      <c r="S247" s="134">
        <f>IF(ISBLANK(商品マスタ[[#This Row],[実績
国内送料]]),商品マスタ[[#This Row],[標準国内送料]],)</f>
        <v>250</v>
      </c>
      <c r="T247" s="134">
        <f>商品マスタ[[#This Row],[仕入
単価]]+商品マスタ[[#This Row],[国内送料]]</f>
        <v>2750</v>
      </c>
      <c r="U247" s="134">
        <f>ROUNDUP(商品マスタ[[#This Row],[仕入単価+国内送料]]/0.8,-1)</f>
        <v>3440</v>
      </c>
      <c r="V247" s="134">
        <f>商品マスタ[[#This Row],[海外定価
（20％）]]-商品マスタ[[#This Row],[仕入単価+国内送料]]</f>
        <v>690</v>
      </c>
      <c r="W247" s="87">
        <f>ROUNDUP(商品マスタ[[#This Row],[仕入単価+国内送料]]/0.85,-1)</f>
        <v>3240</v>
      </c>
      <c r="X247" s="134">
        <f>商品マスタ[[#This Row],[国内定価
（15％）]]-商品マスタ[[#This Row],[仕入単価+国内送料]]</f>
        <v>490</v>
      </c>
      <c r="Y247" s="139">
        <v>0.08</v>
      </c>
      <c r="Z247" s="87"/>
      <c r="AA247" s="87"/>
      <c r="AB247" s="87"/>
      <c r="AC247" s="140"/>
      <c r="AD247" s="87"/>
      <c r="AE247" s="87"/>
      <c r="AF247" s="87"/>
      <c r="AG247" s="141"/>
    </row>
    <row r="248" spans="1:33" ht="18">
      <c r="A248" s="169" t="s">
        <v>1524</v>
      </c>
      <c r="B248" s="168" t="s">
        <v>1229</v>
      </c>
      <c r="C248" s="168" t="s">
        <v>141</v>
      </c>
      <c r="D248" s="143" t="str">
        <f>"PRD_SNJ_"&amp;
_xlfn.XLOOKUP(商品マスタ[[#This Row],[仕入先]],テーブル1[仕入先名],テーブル1[仕入先コード],"XXX",0,1)&amp;
"_"&amp;
商品マスタ[[#This Row],[シリアル]]&amp;
"_"&amp;
TEXT(COUNTIFS(商品マスタ!$C$3:C248,商品マスタ[[#This Row],[仕入先]],商品マスタ!$E$3:E248,商品マスタ[[#This Row],[商品名]]), "00")</f>
        <v>PRD_SNJ_ESF_0010_01</v>
      </c>
      <c r="E248" s="87" t="s">
        <v>740</v>
      </c>
      <c r="F248" s="87">
        <f>IF(COUNTIFS($C$3:C248,商品マスタ[[#This Row],[仕入先]],$E$3:E248,商品マスタ[[#This Row],[商品名]]) = 1, 1,0)</f>
        <v>1</v>
      </c>
      <c r="G248" s="133" t="str">
        <f>TEXT(SUMIF($C$3:C248,商品マスタ[[#This Row],[仕入先]],$F$3:F248), "0000")</f>
        <v>0010</v>
      </c>
      <c r="H248" s="87" t="s">
        <v>424</v>
      </c>
      <c r="I248" s="87" t="s">
        <v>741</v>
      </c>
      <c r="J248" s="87" t="s">
        <v>721</v>
      </c>
      <c r="K248" s="87" t="s">
        <v>725</v>
      </c>
      <c r="L248" s="134">
        <v>1020</v>
      </c>
      <c r="M248" s="157">
        <v>45955</v>
      </c>
      <c r="N248" s="134"/>
      <c r="O248" s="135" t="str">
        <f>IF(COUNT(商品マスタ[[#This Row],[参考上代
（税込)]]) &gt; 0, (商品マスタ[[#This Row],[参考上代
（税込)]]-商品マスタ[[#This Row],[国内定価
（15％）]])/(商品マスタ[[#This Row],[参考上代
（税込)]]/1.08), "")</f>
        <v/>
      </c>
      <c r="P248" s="136">
        <v>0.1</v>
      </c>
      <c r="Q248" s="137">
        <f>商品マスタ[[#This Row],[仕入
単価]]*商品マスタ[[#This Row],[標準国内送料率]]</f>
        <v>102</v>
      </c>
      <c r="R248" s="134"/>
      <c r="S248" s="134">
        <f>IF(ISBLANK(商品マスタ[[#This Row],[実績
国内送料]]),商品マスタ[[#This Row],[標準国内送料]],)</f>
        <v>102</v>
      </c>
      <c r="T248" s="134">
        <f>商品マスタ[[#This Row],[仕入
単価]]+商品マスタ[[#This Row],[国内送料]]</f>
        <v>1122</v>
      </c>
      <c r="U248" s="134">
        <f>ROUNDUP(商品マスタ[[#This Row],[仕入単価+国内送料]]/0.8,-1)</f>
        <v>1410</v>
      </c>
      <c r="V248" s="134">
        <f>商品マスタ[[#This Row],[海外定価
（20％）]]-商品マスタ[[#This Row],[仕入単価+国内送料]]</f>
        <v>288</v>
      </c>
      <c r="W248" s="87">
        <f>ROUNDUP(商品マスタ[[#This Row],[仕入単価+国内送料]]/0.85,-1)</f>
        <v>1320</v>
      </c>
      <c r="X248" s="134">
        <f>商品マスタ[[#This Row],[国内定価
（15％）]]-商品マスタ[[#This Row],[仕入単価+国内送料]]</f>
        <v>198</v>
      </c>
      <c r="Y248" s="139">
        <v>0.08</v>
      </c>
      <c r="Z248" s="87"/>
      <c r="AA248" s="87"/>
      <c r="AB248" s="87"/>
      <c r="AC248" s="140"/>
      <c r="AD248" s="87"/>
      <c r="AE248" s="87"/>
      <c r="AF248" s="87"/>
      <c r="AG248" s="141"/>
    </row>
    <row r="249" spans="1:33" ht="18">
      <c r="A249" s="169" t="s">
        <v>1524</v>
      </c>
      <c r="B249" s="168" t="s">
        <v>1229</v>
      </c>
      <c r="C249" s="168" t="s">
        <v>141</v>
      </c>
      <c r="D249" s="143" t="str">
        <f>"PRD_SNJ_"&amp;
_xlfn.XLOOKUP(商品マスタ[[#This Row],[仕入先]],テーブル1[仕入先名],テーブル1[仕入先コード],"XXX",0,1)&amp;
"_"&amp;
商品マスタ[[#This Row],[シリアル]]&amp;
"_"&amp;
TEXT(COUNTIFS(商品マスタ!$C$3:C249,商品マスタ[[#This Row],[仕入先]],商品マスタ!$E$3:E249,商品マスタ[[#This Row],[商品名]]), "00")</f>
        <v>PRD_SNJ_ESF_0011_01</v>
      </c>
      <c r="E249" s="87" t="s">
        <v>742</v>
      </c>
      <c r="F249" s="87">
        <f>IF(COUNTIFS($C$3:C249,商品マスタ[[#This Row],[仕入先]],$E$3:E249,商品マスタ[[#This Row],[商品名]]) = 1, 1,0)</f>
        <v>1</v>
      </c>
      <c r="G249" s="133" t="str">
        <f>TEXT(SUMIF($C$3:C249,商品マスタ[[#This Row],[仕入先]],$F$3:F249), "0000")</f>
        <v>0011</v>
      </c>
      <c r="H249" s="87" t="s">
        <v>424</v>
      </c>
      <c r="I249" s="87" t="s">
        <v>743</v>
      </c>
      <c r="J249" s="87" t="s">
        <v>684</v>
      </c>
      <c r="K249" s="87" t="s">
        <v>744</v>
      </c>
      <c r="L249" s="134">
        <v>850</v>
      </c>
      <c r="M249" s="157">
        <v>45955</v>
      </c>
      <c r="N249" s="134"/>
      <c r="O249" s="135" t="str">
        <f>IF(COUNT(商品マスタ[[#This Row],[参考上代
（税込)]]) &gt; 0, (商品マスタ[[#This Row],[参考上代
（税込)]]-商品マスタ[[#This Row],[国内定価
（15％）]])/(商品マスタ[[#This Row],[参考上代
（税込)]]/1.08), "")</f>
        <v/>
      </c>
      <c r="P249" s="136">
        <v>0.1</v>
      </c>
      <c r="Q249" s="137">
        <f>商品マスタ[[#This Row],[仕入
単価]]*商品マスタ[[#This Row],[標準国内送料率]]</f>
        <v>85</v>
      </c>
      <c r="R249" s="134"/>
      <c r="S249" s="134">
        <f>IF(ISBLANK(商品マスタ[[#This Row],[実績
国内送料]]),商品マスタ[[#This Row],[標準国内送料]],)</f>
        <v>85</v>
      </c>
      <c r="T249" s="134">
        <f>商品マスタ[[#This Row],[仕入
単価]]+商品マスタ[[#This Row],[国内送料]]</f>
        <v>935</v>
      </c>
      <c r="U249" s="134">
        <f>ROUNDUP(商品マスタ[[#This Row],[仕入単価+国内送料]]/0.8,-1)</f>
        <v>1170</v>
      </c>
      <c r="V249" s="134">
        <f>商品マスタ[[#This Row],[海外定価
（20％）]]-商品マスタ[[#This Row],[仕入単価+国内送料]]</f>
        <v>235</v>
      </c>
      <c r="W249" s="87">
        <f>ROUNDUP(商品マスタ[[#This Row],[仕入単価+国内送料]]/0.85,-1)</f>
        <v>1100</v>
      </c>
      <c r="X249" s="134">
        <f>商品マスタ[[#This Row],[国内定価
（15％）]]-商品マスタ[[#This Row],[仕入単価+国内送料]]</f>
        <v>165</v>
      </c>
      <c r="Y249" s="139">
        <v>0.08</v>
      </c>
      <c r="Z249" s="87"/>
      <c r="AA249" s="87"/>
      <c r="AB249" s="87"/>
      <c r="AC249" s="140"/>
      <c r="AD249" s="87"/>
      <c r="AE249" s="87"/>
      <c r="AF249" s="87"/>
      <c r="AG249" s="141"/>
    </row>
    <row r="250" spans="1:33" ht="18">
      <c r="A250" s="169" t="s">
        <v>1524</v>
      </c>
      <c r="B250" s="168" t="s">
        <v>1229</v>
      </c>
      <c r="C250" s="168" t="s">
        <v>141</v>
      </c>
      <c r="D250" s="143" t="str">
        <f>"PRD_SNJ_"&amp;
_xlfn.XLOOKUP(商品マスタ[[#This Row],[仕入先]],テーブル1[仕入先名],テーブル1[仕入先コード],"XXX",0,1)&amp;
"_"&amp;
商品マスタ[[#This Row],[シリアル]]&amp;
"_"&amp;
TEXT(COUNTIFS(商品マスタ!$C$3:C250,商品マスタ[[#This Row],[仕入先]],商品マスタ!$E$3:E250,商品マスタ[[#This Row],[商品名]]), "00")</f>
        <v>PRD_SNJ_ESF_0012_01</v>
      </c>
      <c r="E250" s="87" t="s">
        <v>745</v>
      </c>
      <c r="F250" s="87">
        <f>IF(COUNTIFS($C$3:C250,商品マスタ[[#This Row],[仕入先]],$E$3:E250,商品マスタ[[#This Row],[商品名]]) = 1, 1,0)</f>
        <v>1</v>
      </c>
      <c r="G250" s="133" t="str">
        <f>TEXT(SUMIF($C$3:C250,商品マスタ[[#This Row],[仕入先]],$F$3:F250), "0000")</f>
        <v>0012</v>
      </c>
      <c r="H250" s="87" t="s">
        <v>424</v>
      </c>
      <c r="I250" s="87" t="s">
        <v>743</v>
      </c>
      <c r="J250" s="87" t="s">
        <v>684</v>
      </c>
      <c r="K250" s="87" t="s">
        <v>744</v>
      </c>
      <c r="L250" s="134">
        <v>850</v>
      </c>
      <c r="M250" s="157">
        <v>45955</v>
      </c>
      <c r="N250" s="134"/>
      <c r="O250" s="135" t="str">
        <f>IF(COUNT(商品マスタ[[#This Row],[参考上代
（税込)]]) &gt; 0, (商品マスタ[[#This Row],[参考上代
（税込)]]-商品マスタ[[#This Row],[国内定価
（15％）]])/(商品マスタ[[#This Row],[参考上代
（税込)]]/1.08), "")</f>
        <v/>
      </c>
      <c r="P250" s="136">
        <v>0.1</v>
      </c>
      <c r="Q250" s="137">
        <f>商品マスタ[[#This Row],[仕入
単価]]*商品マスタ[[#This Row],[標準国内送料率]]</f>
        <v>85</v>
      </c>
      <c r="R250" s="134"/>
      <c r="S250" s="134">
        <f>IF(ISBLANK(商品マスタ[[#This Row],[実績
国内送料]]),商品マスタ[[#This Row],[標準国内送料]],)</f>
        <v>85</v>
      </c>
      <c r="T250" s="134">
        <f>商品マスタ[[#This Row],[仕入
単価]]+商品マスタ[[#This Row],[国内送料]]</f>
        <v>935</v>
      </c>
      <c r="U250" s="134">
        <f>ROUNDUP(商品マスタ[[#This Row],[仕入単価+国内送料]]/0.8,-1)</f>
        <v>1170</v>
      </c>
      <c r="V250" s="134">
        <f>商品マスタ[[#This Row],[海外定価
（20％）]]-商品マスタ[[#This Row],[仕入単価+国内送料]]</f>
        <v>235</v>
      </c>
      <c r="W250" s="87">
        <f>ROUNDUP(商品マスタ[[#This Row],[仕入単価+国内送料]]/0.85,-1)</f>
        <v>1100</v>
      </c>
      <c r="X250" s="134">
        <f>商品マスタ[[#This Row],[国内定価
（15％）]]-商品マスタ[[#This Row],[仕入単価+国内送料]]</f>
        <v>165</v>
      </c>
      <c r="Y250" s="139">
        <v>0.08</v>
      </c>
      <c r="Z250" s="87"/>
      <c r="AA250" s="87"/>
      <c r="AB250" s="87"/>
      <c r="AC250" s="140"/>
      <c r="AD250" s="87"/>
      <c r="AE250" s="87"/>
      <c r="AF250" s="87"/>
      <c r="AG250" s="141"/>
    </row>
    <row r="251" spans="1:33" ht="18">
      <c r="A251" s="169" t="s">
        <v>1524</v>
      </c>
      <c r="B251" s="168" t="s">
        <v>1229</v>
      </c>
      <c r="C251" s="168" t="s">
        <v>141</v>
      </c>
      <c r="D251" s="143" t="str">
        <f>"PRD_SNJ_"&amp;
_xlfn.XLOOKUP(商品マスタ[[#This Row],[仕入先]],テーブル1[仕入先名],テーブル1[仕入先コード],"XXX",0,1)&amp;
"_"&amp;
商品マスタ[[#This Row],[シリアル]]&amp;
"_"&amp;
TEXT(COUNTIFS(商品マスタ!$C$3:C251,商品マスタ[[#This Row],[仕入先]],商品マスタ!$E$3:E251,商品マスタ[[#This Row],[商品名]]), "00")</f>
        <v>PRD_SNJ_ESF_0013_01</v>
      </c>
      <c r="E251" s="87" t="s">
        <v>746</v>
      </c>
      <c r="F251" s="87">
        <f>IF(COUNTIFS($C$3:C251,商品マスタ[[#This Row],[仕入先]],$E$3:E251,商品マスタ[[#This Row],[商品名]]) = 1, 1,0)</f>
        <v>1</v>
      </c>
      <c r="G251" s="133" t="str">
        <f>TEXT(SUMIF($C$3:C251,商品マスタ[[#This Row],[仕入先]],$F$3:F251), "0000")</f>
        <v>0013</v>
      </c>
      <c r="H251" s="87" t="s">
        <v>424</v>
      </c>
      <c r="I251" s="87" t="s">
        <v>747</v>
      </c>
      <c r="J251" s="87" t="s">
        <v>748</v>
      </c>
      <c r="K251" s="87" t="s">
        <v>749</v>
      </c>
      <c r="L251" s="134">
        <v>720</v>
      </c>
      <c r="M251" s="157">
        <v>45955</v>
      </c>
      <c r="N251" s="134"/>
      <c r="O251" s="135" t="str">
        <f>IF(COUNT(商品マスタ[[#This Row],[参考上代
（税込)]]) &gt; 0, (商品マスタ[[#This Row],[参考上代
（税込)]]-商品マスタ[[#This Row],[国内定価
（15％）]])/(商品マスタ[[#This Row],[参考上代
（税込)]]/1.08), "")</f>
        <v/>
      </c>
      <c r="P251" s="136">
        <v>0.1</v>
      </c>
      <c r="Q251" s="137">
        <f>商品マスタ[[#This Row],[仕入
単価]]*商品マスタ[[#This Row],[標準国内送料率]]</f>
        <v>72</v>
      </c>
      <c r="R251" s="134"/>
      <c r="S251" s="134">
        <f>IF(ISBLANK(商品マスタ[[#This Row],[実績
国内送料]]),商品マスタ[[#This Row],[標準国内送料]],)</f>
        <v>72</v>
      </c>
      <c r="T251" s="134">
        <f>商品マスタ[[#This Row],[仕入
単価]]+商品マスタ[[#This Row],[国内送料]]</f>
        <v>792</v>
      </c>
      <c r="U251" s="134">
        <f>ROUNDUP(商品マスタ[[#This Row],[仕入単価+国内送料]]/0.8,-1)</f>
        <v>990</v>
      </c>
      <c r="V251" s="134">
        <f>商品マスタ[[#This Row],[海外定価
（20％）]]-商品マスタ[[#This Row],[仕入単価+国内送料]]</f>
        <v>198</v>
      </c>
      <c r="W251" s="87">
        <f>ROUNDUP(商品マスタ[[#This Row],[仕入単価+国内送料]]/0.85,-1)</f>
        <v>940</v>
      </c>
      <c r="X251" s="134">
        <f>商品マスタ[[#This Row],[国内定価
（15％）]]-商品マスタ[[#This Row],[仕入単価+国内送料]]</f>
        <v>148</v>
      </c>
      <c r="Y251" s="139">
        <v>0.08</v>
      </c>
      <c r="Z251" s="87"/>
      <c r="AA251" s="87"/>
      <c r="AB251" s="87"/>
      <c r="AC251" s="140"/>
      <c r="AD251" s="87"/>
      <c r="AE251" s="87"/>
      <c r="AF251" s="87"/>
      <c r="AG251" s="141"/>
    </row>
    <row r="252" spans="1:33" ht="18">
      <c r="A252" s="169" t="s">
        <v>1524</v>
      </c>
      <c r="B252" s="168" t="s">
        <v>1229</v>
      </c>
      <c r="C252" s="168" t="s">
        <v>141</v>
      </c>
      <c r="D252" s="143" t="str">
        <f>"PRD_SNJ_"&amp;
_xlfn.XLOOKUP(商品マスタ[[#This Row],[仕入先]],テーブル1[仕入先名],テーブル1[仕入先コード],"XXX",0,1)&amp;
"_"&amp;
商品マスタ[[#This Row],[シリアル]]&amp;
"_"&amp;
TEXT(COUNTIFS(商品マスタ!$C$3:C252,商品マスタ[[#This Row],[仕入先]],商品マスタ!$E$3:E252,商品マスタ[[#This Row],[商品名]]), "00")</f>
        <v>PRD_SNJ_ESF_0014_01</v>
      </c>
      <c r="E252" s="87" t="s">
        <v>750</v>
      </c>
      <c r="F252" s="87">
        <f>IF(COUNTIFS($C$3:C252,商品マスタ[[#This Row],[仕入先]],$E$3:E252,商品マスタ[[#This Row],[商品名]]) = 1, 1,0)</f>
        <v>1</v>
      </c>
      <c r="G252" s="133" t="str">
        <f>TEXT(SUMIF($C$3:C252,商品マスタ[[#This Row],[仕入先]],$F$3:F252), "0000")</f>
        <v>0014</v>
      </c>
      <c r="H252" s="87" t="s">
        <v>424</v>
      </c>
      <c r="I252" s="87" t="s">
        <v>751</v>
      </c>
      <c r="J252" s="87" t="s">
        <v>684</v>
      </c>
      <c r="K252" s="87" t="s">
        <v>749</v>
      </c>
      <c r="L252" s="134">
        <v>2060</v>
      </c>
      <c r="M252" s="157">
        <v>45955</v>
      </c>
      <c r="N252" s="134"/>
      <c r="O252" s="135" t="str">
        <f>IF(COUNT(商品マスタ[[#This Row],[参考上代
（税込)]]) &gt; 0, (商品マスタ[[#This Row],[参考上代
（税込)]]-商品マスタ[[#This Row],[国内定価
（15％）]])/(商品マスタ[[#This Row],[参考上代
（税込)]]/1.08), "")</f>
        <v/>
      </c>
      <c r="P252" s="136">
        <v>0.1</v>
      </c>
      <c r="Q252" s="137">
        <f>商品マスタ[[#This Row],[仕入
単価]]*商品マスタ[[#This Row],[標準国内送料率]]</f>
        <v>206</v>
      </c>
      <c r="R252" s="134"/>
      <c r="S252" s="134">
        <f>IF(ISBLANK(商品マスタ[[#This Row],[実績
国内送料]]),商品マスタ[[#This Row],[標準国内送料]],)</f>
        <v>206</v>
      </c>
      <c r="T252" s="134">
        <f>商品マスタ[[#This Row],[仕入
単価]]+商品マスタ[[#This Row],[国内送料]]</f>
        <v>2266</v>
      </c>
      <c r="U252" s="134">
        <f>ROUNDUP(商品マスタ[[#This Row],[仕入単価+国内送料]]/0.8,-1)</f>
        <v>2840</v>
      </c>
      <c r="V252" s="134">
        <f>商品マスタ[[#This Row],[海外定価
（20％）]]-商品マスタ[[#This Row],[仕入単価+国内送料]]</f>
        <v>574</v>
      </c>
      <c r="W252" s="87">
        <f>ROUNDUP(商品マスタ[[#This Row],[仕入単価+国内送料]]/0.85,-1)</f>
        <v>2670</v>
      </c>
      <c r="X252" s="134">
        <f>商品マスタ[[#This Row],[国内定価
（15％）]]-商品マスタ[[#This Row],[仕入単価+国内送料]]</f>
        <v>404</v>
      </c>
      <c r="Y252" s="139">
        <v>0.08</v>
      </c>
      <c r="Z252" s="87"/>
      <c r="AA252" s="87"/>
      <c r="AB252" s="87"/>
      <c r="AC252" s="140"/>
      <c r="AD252" s="87"/>
      <c r="AE252" s="87"/>
      <c r="AF252" s="87"/>
      <c r="AG252" s="141"/>
    </row>
    <row r="253" spans="1:33" ht="18">
      <c r="A253" s="169" t="s">
        <v>1524</v>
      </c>
      <c r="B253" s="168" t="s">
        <v>1229</v>
      </c>
      <c r="C253" s="168" t="s">
        <v>141</v>
      </c>
      <c r="D253" s="143" t="str">
        <f>"PRD_SNJ_"&amp;
_xlfn.XLOOKUP(商品マスタ[[#This Row],[仕入先]],テーブル1[仕入先名],テーブル1[仕入先コード],"XXX",0,1)&amp;
"_"&amp;
商品マスタ[[#This Row],[シリアル]]&amp;
"_"&amp;
TEXT(COUNTIFS(商品マスタ!$C$3:C253,商品マスタ[[#This Row],[仕入先]],商品マスタ!$E$3:E253,商品マスタ[[#This Row],[商品名]]), "00")</f>
        <v>PRD_SNJ_ESF_0015_01</v>
      </c>
      <c r="E253" s="87" t="s">
        <v>752</v>
      </c>
      <c r="F253" s="87">
        <f>IF(COUNTIFS($C$3:C253,商品マスタ[[#This Row],[仕入先]],$E$3:E253,商品マスタ[[#This Row],[商品名]]) = 1, 1,0)</f>
        <v>1</v>
      </c>
      <c r="G253" s="133" t="str">
        <f>TEXT(SUMIF($C$3:C253,商品マスタ[[#This Row],[仕入先]],$F$3:F253), "0000")</f>
        <v>0015</v>
      </c>
      <c r="H253" s="87" t="s">
        <v>424</v>
      </c>
      <c r="I253" s="87" t="s">
        <v>747</v>
      </c>
      <c r="J253" s="87" t="s">
        <v>748</v>
      </c>
      <c r="K253" s="87" t="s">
        <v>749</v>
      </c>
      <c r="L253" s="134">
        <v>720</v>
      </c>
      <c r="M253" s="157">
        <v>45955</v>
      </c>
      <c r="N253" s="134"/>
      <c r="O253" s="135" t="str">
        <f>IF(COUNT(商品マスタ[[#This Row],[参考上代
（税込)]]) &gt; 0, (商品マスタ[[#This Row],[参考上代
（税込)]]-商品マスタ[[#This Row],[国内定価
（15％）]])/(商品マスタ[[#This Row],[参考上代
（税込)]]/1.08), "")</f>
        <v/>
      </c>
      <c r="P253" s="136">
        <v>0.1</v>
      </c>
      <c r="Q253" s="137">
        <f>商品マスタ[[#This Row],[仕入
単価]]*商品マスタ[[#This Row],[標準国内送料率]]</f>
        <v>72</v>
      </c>
      <c r="R253" s="134"/>
      <c r="S253" s="134">
        <f>IF(ISBLANK(商品マスタ[[#This Row],[実績
国内送料]]),商品マスタ[[#This Row],[標準国内送料]],)</f>
        <v>72</v>
      </c>
      <c r="T253" s="134">
        <f>商品マスタ[[#This Row],[仕入
単価]]+商品マスタ[[#This Row],[国内送料]]</f>
        <v>792</v>
      </c>
      <c r="U253" s="134">
        <f>ROUNDUP(商品マスタ[[#This Row],[仕入単価+国内送料]]/0.8,-1)</f>
        <v>990</v>
      </c>
      <c r="V253" s="134">
        <f>商品マスタ[[#This Row],[海外定価
（20％）]]-商品マスタ[[#This Row],[仕入単価+国内送料]]</f>
        <v>198</v>
      </c>
      <c r="W253" s="87">
        <f>ROUNDUP(商品マスタ[[#This Row],[仕入単価+国内送料]]/0.85,-1)</f>
        <v>940</v>
      </c>
      <c r="X253" s="134">
        <f>商品マスタ[[#This Row],[国内定価
（15％）]]-商品マスタ[[#This Row],[仕入単価+国内送料]]</f>
        <v>148</v>
      </c>
      <c r="Y253" s="139">
        <v>0.08</v>
      </c>
      <c r="Z253" s="87"/>
      <c r="AA253" s="87"/>
      <c r="AB253" s="87"/>
      <c r="AC253" s="140"/>
      <c r="AD253" s="87"/>
      <c r="AE253" s="87"/>
      <c r="AF253" s="87"/>
      <c r="AG253" s="141"/>
    </row>
    <row r="254" spans="1:33" ht="18">
      <c r="A254" s="169" t="s">
        <v>1524</v>
      </c>
      <c r="B254" s="168" t="s">
        <v>1229</v>
      </c>
      <c r="C254" s="168" t="s">
        <v>141</v>
      </c>
      <c r="D254" s="143" t="str">
        <f>"PRD_SNJ_"&amp;
_xlfn.XLOOKUP(商品マスタ[[#This Row],[仕入先]],テーブル1[仕入先名],テーブル1[仕入先コード],"XXX",0,1)&amp;
"_"&amp;
商品マスタ[[#This Row],[シリアル]]&amp;
"_"&amp;
TEXT(COUNTIFS(商品マスタ!$C$3:C254,商品マスタ[[#This Row],[仕入先]],商品マスタ!$E$3:E254,商品マスタ[[#This Row],[商品名]]), "00")</f>
        <v>PRD_SNJ_ESF_0016_01</v>
      </c>
      <c r="E254" s="87" t="s">
        <v>753</v>
      </c>
      <c r="F254" s="87">
        <f>IF(COUNTIFS($C$3:C254,商品マスタ[[#This Row],[仕入先]],$E$3:E254,商品マスタ[[#This Row],[商品名]]) = 1, 1,0)</f>
        <v>1</v>
      </c>
      <c r="G254" s="133" t="str">
        <f>TEXT(SUMIF($C$3:C254,商品マスタ[[#This Row],[仕入先]],$F$3:F254), "0000")</f>
        <v>0016</v>
      </c>
      <c r="H254" s="87" t="s">
        <v>424</v>
      </c>
      <c r="I254" s="87" t="s">
        <v>751</v>
      </c>
      <c r="J254" s="87" t="s">
        <v>684</v>
      </c>
      <c r="K254" s="87" t="s">
        <v>749</v>
      </c>
      <c r="L254" s="134">
        <v>2060</v>
      </c>
      <c r="M254" s="157">
        <v>45955</v>
      </c>
      <c r="N254" s="134"/>
      <c r="O254" s="135" t="str">
        <f>IF(COUNT(商品マスタ[[#This Row],[参考上代
（税込)]]) &gt; 0, (商品マスタ[[#This Row],[参考上代
（税込)]]-商品マスタ[[#This Row],[国内定価
（15％）]])/(商品マスタ[[#This Row],[参考上代
（税込)]]/1.08), "")</f>
        <v/>
      </c>
      <c r="P254" s="136">
        <v>0.1</v>
      </c>
      <c r="Q254" s="137">
        <f>商品マスタ[[#This Row],[仕入
単価]]*商品マスタ[[#This Row],[標準国内送料率]]</f>
        <v>206</v>
      </c>
      <c r="R254" s="134"/>
      <c r="S254" s="134">
        <f>IF(ISBLANK(商品マスタ[[#This Row],[実績
国内送料]]),商品マスタ[[#This Row],[標準国内送料]],)</f>
        <v>206</v>
      </c>
      <c r="T254" s="134">
        <f>商品マスタ[[#This Row],[仕入
単価]]+商品マスタ[[#This Row],[国内送料]]</f>
        <v>2266</v>
      </c>
      <c r="U254" s="134">
        <f>ROUNDUP(商品マスタ[[#This Row],[仕入単価+国内送料]]/0.8,-1)</f>
        <v>2840</v>
      </c>
      <c r="V254" s="134">
        <f>商品マスタ[[#This Row],[海外定価
（20％）]]-商品マスタ[[#This Row],[仕入単価+国内送料]]</f>
        <v>574</v>
      </c>
      <c r="W254" s="87">
        <f>ROUNDUP(商品マスタ[[#This Row],[仕入単価+国内送料]]/0.85,-1)</f>
        <v>2670</v>
      </c>
      <c r="X254" s="134">
        <f>商品マスタ[[#This Row],[国内定価
（15％）]]-商品マスタ[[#This Row],[仕入単価+国内送料]]</f>
        <v>404</v>
      </c>
      <c r="Y254" s="139">
        <v>0.08</v>
      </c>
      <c r="Z254" s="87"/>
      <c r="AA254" s="87"/>
      <c r="AB254" s="87"/>
      <c r="AC254" s="140"/>
      <c r="AD254" s="87"/>
      <c r="AE254" s="87"/>
      <c r="AF254" s="87"/>
      <c r="AG254" s="141"/>
    </row>
    <row r="255" spans="1:33" ht="18">
      <c r="A255" s="169" t="s">
        <v>1524</v>
      </c>
      <c r="B255" s="168" t="s">
        <v>1229</v>
      </c>
      <c r="C255" s="168" t="s">
        <v>141</v>
      </c>
      <c r="D255" s="143" t="str">
        <f>"PRD_SNJ_"&amp;
_xlfn.XLOOKUP(商品マスタ[[#This Row],[仕入先]],テーブル1[仕入先名],テーブル1[仕入先コード],"XXX",0,1)&amp;
"_"&amp;
商品マスタ[[#This Row],[シリアル]]&amp;
"_"&amp;
TEXT(COUNTIFS(商品マスタ!$C$3:C255,商品マスタ[[#This Row],[仕入先]],商品マスタ!$E$3:E255,商品マスタ[[#This Row],[商品名]]), "00")</f>
        <v>PRD_SNJ_ESF_0017_01</v>
      </c>
      <c r="E255" s="87" t="s">
        <v>754</v>
      </c>
      <c r="F255" s="87">
        <f>IF(COUNTIFS($C$3:C255,商品マスタ[[#This Row],[仕入先]],$E$3:E255,商品マスタ[[#This Row],[商品名]]) = 1, 1,0)</f>
        <v>1</v>
      </c>
      <c r="G255" s="133" t="str">
        <f>TEXT(SUMIF($C$3:C255,商品マスタ[[#This Row],[仕入先]],$F$3:F255), "0000")</f>
        <v>0017</v>
      </c>
      <c r="H255" s="87" t="s">
        <v>424</v>
      </c>
      <c r="I255" s="87" t="s">
        <v>755</v>
      </c>
      <c r="J255" s="87" t="s">
        <v>721</v>
      </c>
      <c r="K255" s="87" t="s">
        <v>756</v>
      </c>
      <c r="L255" s="134">
        <v>290</v>
      </c>
      <c r="M255" s="157">
        <v>45955</v>
      </c>
      <c r="N255" s="134"/>
      <c r="O255" s="135" t="str">
        <f>IF(COUNT(商品マスタ[[#This Row],[参考上代
（税込)]]) &gt; 0, (商品マスタ[[#This Row],[参考上代
（税込)]]-商品マスタ[[#This Row],[国内定価
（15％）]])/(商品マスタ[[#This Row],[参考上代
（税込)]]/1.08), "")</f>
        <v/>
      </c>
      <c r="P255" s="136">
        <v>0.1</v>
      </c>
      <c r="Q255" s="137">
        <f>商品マスタ[[#This Row],[仕入
単価]]*商品マスタ[[#This Row],[標準国内送料率]]</f>
        <v>29</v>
      </c>
      <c r="R255" s="134"/>
      <c r="S255" s="134">
        <f>IF(ISBLANK(商品マスタ[[#This Row],[実績
国内送料]]),商品マスタ[[#This Row],[標準国内送料]],)</f>
        <v>29</v>
      </c>
      <c r="T255" s="134">
        <f>商品マスタ[[#This Row],[仕入
単価]]+商品マスタ[[#This Row],[国内送料]]</f>
        <v>319</v>
      </c>
      <c r="U255" s="134">
        <f>ROUNDUP(商品マスタ[[#This Row],[仕入単価+国内送料]]/0.8,-1)</f>
        <v>400</v>
      </c>
      <c r="V255" s="134">
        <f>商品マスタ[[#This Row],[海外定価
（20％）]]-商品マスタ[[#This Row],[仕入単価+国内送料]]</f>
        <v>81</v>
      </c>
      <c r="W255" s="87">
        <f>ROUNDUP(商品マスタ[[#This Row],[仕入単価+国内送料]]/0.85,-1)</f>
        <v>380</v>
      </c>
      <c r="X255" s="134">
        <f>商品マスタ[[#This Row],[国内定価
（15％）]]-商品マスタ[[#This Row],[仕入単価+国内送料]]</f>
        <v>61</v>
      </c>
      <c r="Y255" s="139">
        <v>0.08</v>
      </c>
      <c r="Z255" s="87"/>
      <c r="AA255" s="87"/>
      <c r="AB255" s="87"/>
      <c r="AC255" s="140"/>
      <c r="AD255" s="87"/>
      <c r="AE255" s="87"/>
      <c r="AF255" s="87"/>
      <c r="AG255" s="141"/>
    </row>
    <row r="256" spans="1:33" ht="18">
      <c r="A256" s="169" t="s">
        <v>1524</v>
      </c>
      <c r="B256" s="168" t="s">
        <v>1229</v>
      </c>
      <c r="C256" s="168" t="s">
        <v>141</v>
      </c>
      <c r="D256" s="143" t="str">
        <f>"PRD_SNJ_"&amp;
_xlfn.XLOOKUP(商品マスタ[[#This Row],[仕入先]],テーブル1[仕入先名],テーブル1[仕入先コード],"XXX",0,1)&amp;
"_"&amp;
商品マスタ[[#This Row],[シリアル]]&amp;
"_"&amp;
TEXT(COUNTIFS(商品マスタ!$C$3:C256,商品マスタ[[#This Row],[仕入先]],商品マスタ!$E$3:E256,商品マスタ[[#This Row],[商品名]]), "00")</f>
        <v>PRD_SNJ_ESF_0018_01</v>
      </c>
      <c r="E256" s="87" t="s">
        <v>757</v>
      </c>
      <c r="F256" s="87">
        <f>IF(COUNTIFS($C$3:C256,商品マスタ[[#This Row],[仕入先]],$E$3:E256,商品マスタ[[#This Row],[商品名]]) = 1, 1,0)</f>
        <v>1</v>
      </c>
      <c r="G256" s="133" t="str">
        <f>TEXT(SUMIF($C$3:C256,商品マスタ[[#This Row],[仕入先]],$F$3:F256), "0000")</f>
        <v>0018</v>
      </c>
      <c r="H256" s="87" t="s">
        <v>424</v>
      </c>
      <c r="I256" s="87" t="s">
        <v>758</v>
      </c>
      <c r="J256" s="87" t="s">
        <v>721</v>
      </c>
      <c r="K256" s="87" t="s">
        <v>759</v>
      </c>
      <c r="L256" s="134">
        <v>490</v>
      </c>
      <c r="M256" s="157">
        <v>45955</v>
      </c>
      <c r="N256" s="134"/>
      <c r="O256" s="135" t="str">
        <f>IF(COUNT(商品マスタ[[#This Row],[参考上代
（税込)]]) &gt; 0, (商品マスタ[[#This Row],[参考上代
（税込)]]-商品マスタ[[#This Row],[国内定価
（15％）]])/(商品マスタ[[#This Row],[参考上代
（税込)]]/1.08), "")</f>
        <v/>
      </c>
      <c r="P256" s="136">
        <v>0.1</v>
      </c>
      <c r="Q256" s="137">
        <f>商品マスタ[[#This Row],[仕入
単価]]*商品マスタ[[#This Row],[標準国内送料率]]</f>
        <v>49</v>
      </c>
      <c r="R256" s="134"/>
      <c r="S256" s="134">
        <f>IF(ISBLANK(商品マスタ[[#This Row],[実績
国内送料]]),商品マスタ[[#This Row],[標準国内送料]],)</f>
        <v>49</v>
      </c>
      <c r="T256" s="134">
        <f>商品マスタ[[#This Row],[仕入
単価]]+商品マスタ[[#This Row],[国内送料]]</f>
        <v>539</v>
      </c>
      <c r="U256" s="134">
        <f>ROUNDUP(商品マスタ[[#This Row],[仕入単価+国内送料]]/0.8,-1)</f>
        <v>680</v>
      </c>
      <c r="V256" s="134">
        <f>商品マスタ[[#This Row],[海外定価
（20％）]]-商品マスタ[[#This Row],[仕入単価+国内送料]]</f>
        <v>141</v>
      </c>
      <c r="W256" s="87">
        <f>ROUNDUP(商品マスタ[[#This Row],[仕入単価+国内送料]]/0.85,-1)</f>
        <v>640</v>
      </c>
      <c r="X256" s="134">
        <f>商品マスタ[[#This Row],[国内定価
（15％）]]-商品マスタ[[#This Row],[仕入単価+国内送料]]</f>
        <v>101</v>
      </c>
      <c r="Y256" s="139">
        <v>0.08</v>
      </c>
      <c r="Z256" s="87"/>
      <c r="AA256" s="87"/>
      <c r="AB256" s="87"/>
      <c r="AC256" s="140"/>
      <c r="AD256" s="87"/>
      <c r="AE256" s="87"/>
      <c r="AF256" s="87"/>
      <c r="AG256" s="141"/>
    </row>
    <row r="257" spans="1:33" ht="18">
      <c r="A257" s="169" t="s">
        <v>1524</v>
      </c>
      <c r="B257" s="168" t="s">
        <v>1229</v>
      </c>
      <c r="C257" s="168" t="s">
        <v>141</v>
      </c>
      <c r="D257" s="143" t="str">
        <f>"PRD_SNJ_"&amp;
_xlfn.XLOOKUP(商品マスタ[[#This Row],[仕入先]],テーブル1[仕入先名],テーブル1[仕入先コード],"XXX",0,1)&amp;
"_"&amp;
商品マスタ[[#This Row],[シリアル]]&amp;
"_"&amp;
TEXT(COUNTIFS(商品マスタ!$C$3:C257,商品マスタ[[#This Row],[仕入先]],商品マスタ!$E$3:E257,商品マスタ[[#This Row],[商品名]]), "00")</f>
        <v>PRD_SNJ_ESF_0019_01</v>
      </c>
      <c r="E257" s="87" t="s">
        <v>760</v>
      </c>
      <c r="F257" s="87">
        <f>IF(COUNTIFS($C$3:C257,商品マスタ[[#This Row],[仕入先]],$E$3:E257,商品マスタ[[#This Row],[商品名]]) = 1, 1,0)</f>
        <v>1</v>
      </c>
      <c r="G257" s="133" t="str">
        <f>TEXT(SUMIF($C$3:C257,商品マスタ[[#This Row],[仕入先]],$F$3:F257), "0000")</f>
        <v>0019</v>
      </c>
      <c r="H257" s="87" t="s">
        <v>424</v>
      </c>
      <c r="I257" s="87" t="s">
        <v>743</v>
      </c>
      <c r="J257" s="87" t="s">
        <v>721</v>
      </c>
      <c r="K257" s="87" t="s">
        <v>761</v>
      </c>
      <c r="L257" s="134">
        <v>405</v>
      </c>
      <c r="M257" s="157">
        <v>45955</v>
      </c>
      <c r="N257" s="134"/>
      <c r="O257" s="135" t="str">
        <f>IF(COUNT(商品マスタ[[#This Row],[参考上代
（税込)]]) &gt; 0, (商品マスタ[[#This Row],[参考上代
（税込)]]-商品マスタ[[#This Row],[国内定価
（15％）]])/(商品マスタ[[#This Row],[参考上代
（税込)]]/1.08), "")</f>
        <v/>
      </c>
      <c r="P257" s="136">
        <v>0.1</v>
      </c>
      <c r="Q257" s="137">
        <f>商品マスタ[[#This Row],[仕入
単価]]*商品マスタ[[#This Row],[標準国内送料率]]</f>
        <v>40.5</v>
      </c>
      <c r="R257" s="134"/>
      <c r="S257" s="134">
        <f>IF(ISBLANK(商品マスタ[[#This Row],[実績
国内送料]]),商品マスタ[[#This Row],[標準国内送料]],)</f>
        <v>40.5</v>
      </c>
      <c r="T257" s="134">
        <f>商品マスタ[[#This Row],[仕入
単価]]+商品マスタ[[#This Row],[国内送料]]</f>
        <v>445.5</v>
      </c>
      <c r="U257" s="134">
        <f>ROUNDUP(商品マスタ[[#This Row],[仕入単価+国内送料]]/0.8,-1)</f>
        <v>560</v>
      </c>
      <c r="V257" s="134">
        <f>商品マスタ[[#This Row],[海外定価
（20％）]]-商品マスタ[[#This Row],[仕入単価+国内送料]]</f>
        <v>114.5</v>
      </c>
      <c r="W257" s="87">
        <f>ROUNDUP(商品マスタ[[#This Row],[仕入単価+国内送料]]/0.85,-1)</f>
        <v>530</v>
      </c>
      <c r="X257" s="134">
        <f>商品マスタ[[#This Row],[国内定価
（15％）]]-商品マスタ[[#This Row],[仕入単価+国内送料]]</f>
        <v>84.5</v>
      </c>
      <c r="Y257" s="139">
        <v>0.08</v>
      </c>
      <c r="Z257" s="87"/>
      <c r="AA257" s="87"/>
      <c r="AB257" s="87"/>
      <c r="AC257" s="140"/>
      <c r="AD257" s="87"/>
      <c r="AE257" s="87"/>
      <c r="AF257" s="87"/>
      <c r="AG257" s="141"/>
    </row>
    <row r="258" spans="1:33" ht="18">
      <c r="A258" s="169" t="s">
        <v>1524</v>
      </c>
      <c r="B258" s="168" t="s">
        <v>1229</v>
      </c>
      <c r="C258" s="168" t="s">
        <v>141</v>
      </c>
      <c r="D258" s="143" t="str">
        <f>"PRD_SNJ_"&amp;
_xlfn.XLOOKUP(商品マスタ[[#This Row],[仕入先]],テーブル1[仕入先名],テーブル1[仕入先コード],"XXX",0,1)&amp;
"_"&amp;
商品マスタ[[#This Row],[シリアル]]&amp;
"_"&amp;
TEXT(COUNTIFS(商品マスタ!$C$3:C258,商品マスタ[[#This Row],[仕入先]],商品マスタ!$E$3:E258,商品マスタ[[#This Row],[商品名]]), "00")</f>
        <v>PRD_SNJ_ESF_0020_01</v>
      </c>
      <c r="E258" s="87" t="s">
        <v>762</v>
      </c>
      <c r="F258" s="87">
        <f>IF(COUNTIFS($C$3:C258,商品マスタ[[#This Row],[仕入先]],$E$3:E258,商品マスタ[[#This Row],[商品名]]) = 1, 1,0)</f>
        <v>1</v>
      </c>
      <c r="G258" s="133" t="str">
        <f>TEXT(SUMIF($C$3:C258,商品マスタ[[#This Row],[仕入先]],$F$3:F258), "0000")</f>
        <v>0020</v>
      </c>
      <c r="H258" s="87" t="s">
        <v>424</v>
      </c>
      <c r="I258" s="87" t="s">
        <v>763</v>
      </c>
      <c r="J258" s="87" t="s">
        <v>684</v>
      </c>
      <c r="K258" s="87" t="s">
        <v>764</v>
      </c>
      <c r="L258" s="134">
        <v>595</v>
      </c>
      <c r="M258" s="157">
        <v>45955</v>
      </c>
      <c r="N258" s="134"/>
      <c r="O258" s="135" t="str">
        <f>IF(COUNT(商品マスタ[[#This Row],[参考上代
（税込)]]) &gt; 0, (商品マスタ[[#This Row],[参考上代
（税込)]]-商品マスタ[[#This Row],[国内定価
（15％）]])/(商品マスタ[[#This Row],[参考上代
（税込)]]/1.08), "")</f>
        <v/>
      </c>
      <c r="P258" s="136">
        <v>0.1</v>
      </c>
      <c r="Q258" s="137">
        <f>商品マスタ[[#This Row],[仕入
単価]]*商品マスタ[[#This Row],[標準国内送料率]]</f>
        <v>59.5</v>
      </c>
      <c r="R258" s="134"/>
      <c r="S258" s="134">
        <f>IF(ISBLANK(商品マスタ[[#This Row],[実績
国内送料]]),商品マスタ[[#This Row],[標準国内送料]],)</f>
        <v>59.5</v>
      </c>
      <c r="T258" s="134">
        <f>商品マスタ[[#This Row],[仕入
単価]]+商品マスタ[[#This Row],[国内送料]]</f>
        <v>654.5</v>
      </c>
      <c r="U258" s="134">
        <f>ROUNDUP(商品マスタ[[#This Row],[仕入単価+国内送料]]/0.8,-1)</f>
        <v>820</v>
      </c>
      <c r="V258" s="134">
        <f>商品マスタ[[#This Row],[海外定価
（20％）]]-商品マスタ[[#This Row],[仕入単価+国内送料]]</f>
        <v>165.5</v>
      </c>
      <c r="W258" s="87">
        <f>ROUNDUP(商品マスタ[[#This Row],[仕入単価+国内送料]]/0.85,-1)</f>
        <v>770</v>
      </c>
      <c r="X258" s="134">
        <f>商品マスタ[[#This Row],[国内定価
（15％）]]-商品マスタ[[#This Row],[仕入単価+国内送料]]</f>
        <v>115.5</v>
      </c>
      <c r="Y258" s="139">
        <v>0.08</v>
      </c>
      <c r="Z258" s="87"/>
      <c r="AA258" s="87"/>
      <c r="AB258" s="87"/>
      <c r="AC258" s="140"/>
      <c r="AD258" s="87"/>
      <c r="AE258" s="87"/>
      <c r="AF258" s="87"/>
      <c r="AG258" s="141"/>
    </row>
    <row r="259" spans="1:33" ht="18">
      <c r="A259" s="169" t="s">
        <v>1524</v>
      </c>
      <c r="B259" s="168" t="s">
        <v>1229</v>
      </c>
      <c r="C259" s="168" t="s">
        <v>141</v>
      </c>
      <c r="D259" s="143" t="str">
        <f>"PRD_SNJ_"&amp;
_xlfn.XLOOKUP(商品マスタ[[#This Row],[仕入先]],テーブル1[仕入先名],テーブル1[仕入先コード],"XXX",0,1)&amp;
"_"&amp;
商品マスタ[[#This Row],[シリアル]]&amp;
"_"&amp;
TEXT(COUNTIFS(商品マスタ!$C$3:C259,商品マスタ[[#This Row],[仕入先]],商品マスタ!$E$3:E259,商品マスタ[[#This Row],[商品名]]), "00")</f>
        <v>PRD_SNJ_ESF_0021_01</v>
      </c>
      <c r="E259" s="87" t="s">
        <v>765</v>
      </c>
      <c r="F259" s="87">
        <f>IF(COUNTIFS($C$3:C259,商品マスタ[[#This Row],[仕入先]],$E$3:E259,商品マスタ[[#This Row],[商品名]]) = 1, 1,0)</f>
        <v>1</v>
      </c>
      <c r="G259" s="133" t="str">
        <f>TEXT(SUMIF($C$3:C259,商品マスタ[[#This Row],[仕入先]],$F$3:F259), "0000")</f>
        <v>0021</v>
      </c>
      <c r="H259" s="87" t="s">
        <v>424</v>
      </c>
      <c r="I259" s="87" t="s">
        <v>766</v>
      </c>
      <c r="J259" s="87" t="s">
        <v>721</v>
      </c>
      <c r="K259" s="87" t="s">
        <v>767</v>
      </c>
      <c r="L259" s="134">
        <v>2790</v>
      </c>
      <c r="M259" s="157">
        <v>45955</v>
      </c>
      <c r="N259" s="134"/>
      <c r="O259" s="135" t="str">
        <f>IF(COUNT(商品マスタ[[#This Row],[参考上代
（税込)]]) &gt; 0, (商品マスタ[[#This Row],[参考上代
（税込)]]-商品マスタ[[#This Row],[国内定価
（15％）]])/(商品マスタ[[#This Row],[参考上代
（税込)]]/1.08), "")</f>
        <v/>
      </c>
      <c r="P259" s="136">
        <v>0.1</v>
      </c>
      <c r="Q259" s="137">
        <f>商品マスタ[[#This Row],[仕入
単価]]*商品マスタ[[#This Row],[標準国内送料率]]</f>
        <v>279</v>
      </c>
      <c r="R259" s="134"/>
      <c r="S259" s="134">
        <f>IF(ISBLANK(商品マスタ[[#This Row],[実績
国内送料]]),商品マスタ[[#This Row],[標準国内送料]],)</f>
        <v>279</v>
      </c>
      <c r="T259" s="134">
        <f>商品マスタ[[#This Row],[仕入
単価]]+商品マスタ[[#This Row],[国内送料]]</f>
        <v>3069</v>
      </c>
      <c r="U259" s="134">
        <f>ROUNDUP(商品マスタ[[#This Row],[仕入単価+国内送料]]/0.8,-1)</f>
        <v>3840</v>
      </c>
      <c r="V259" s="134">
        <f>商品マスタ[[#This Row],[海外定価
（20％）]]-商品マスタ[[#This Row],[仕入単価+国内送料]]</f>
        <v>771</v>
      </c>
      <c r="W259" s="87">
        <f>ROUNDUP(商品マスタ[[#This Row],[仕入単価+国内送料]]/0.85,-1)</f>
        <v>3620</v>
      </c>
      <c r="X259" s="134">
        <f>商品マスタ[[#This Row],[国内定価
（15％）]]-商品マスタ[[#This Row],[仕入単価+国内送料]]</f>
        <v>551</v>
      </c>
      <c r="Y259" s="139">
        <v>0.08</v>
      </c>
      <c r="Z259" s="87"/>
      <c r="AA259" s="87"/>
      <c r="AB259" s="87"/>
      <c r="AC259" s="140"/>
      <c r="AD259" s="87"/>
      <c r="AE259" s="87"/>
      <c r="AF259" s="87"/>
      <c r="AG259" s="141"/>
    </row>
    <row r="260" spans="1:33" ht="18">
      <c r="A260" s="169" t="s">
        <v>1524</v>
      </c>
      <c r="B260" s="168" t="s">
        <v>1229</v>
      </c>
      <c r="C260" s="168" t="s">
        <v>141</v>
      </c>
      <c r="D260" s="143" t="str">
        <f>"PRD_SNJ_"&amp;
_xlfn.XLOOKUP(商品マスタ[[#This Row],[仕入先]],テーブル1[仕入先名],テーブル1[仕入先コード],"XXX",0,1)&amp;
"_"&amp;
商品マスタ[[#This Row],[シリアル]]&amp;
"_"&amp;
TEXT(COUNTIFS(商品マスタ!$C$3:C260,商品マスタ[[#This Row],[仕入先]],商品マスタ!$E$3:E260,商品マスタ[[#This Row],[商品名]]), "00")</f>
        <v>PRD_SNJ_ESF_0022_01</v>
      </c>
      <c r="E260" s="87" t="s">
        <v>768</v>
      </c>
      <c r="F260" s="87">
        <f>IF(COUNTIFS($C$3:C260,商品マスタ[[#This Row],[仕入先]],$E$3:E260,商品マスタ[[#This Row],[商品名]]) = 1, 1,0)</f>
        <v>1</v>
      </c>
      <c r="G260" s="133" t="str">
        <f>TEXT(SUMIF($C$3:C260,商品マスタ[[#This Row],[仕入先]],$F$3:F260), "0000")</f>
        <v>0022</v>
      </c>
      <c r="H260" s="87" t="s">
        <v>424</v>
      </c>
      <c r="I260" s="87" t="s">
        <v>769</v>
      </c>
      <c r="J260" s="87" t="s">
        <v>748</v>
      </c>
      <c r="K260" s="87" t="s">
        <v>770</v>
      </c>
      <c r="L260" s="134">
        <v>910</v>
      </c>
      <c r="M260" s="157">
        <v>45955</v>
      </c>
      <c r="N260" s="134"/>
      <c r="O260" s="135" t="str">
        <f>IF(COUNT(商品マスタ[[#This Row],[参考上代
（税込)]]) &gt; 0, (商品マスタ[[#This Row],[参考上代
（税込)]]-商品マスタ[[#This Row],[国内定価
（15％）]])/(商品マスタ[[#This Row],[参考上代
（税込)]]/1.08), "")</f>
        <v/>
      </c>
      <c r="P260" s="136">
        <v>0.1</v>
      </c>
      <c r="Q260" s="137">
        <f>商品マスタ[[#This Row],[仕入
単価]]*商品マスタ[[#This Row],[標準国内送料率]]</f>
        <v>91</v>
      </c>
      <c r="R260" s="134"/>
      <c r="S260" s="134">
        <f>IF(ISBLANK(商品マスタ[[#This Row],[実績
国内送料]]),商品マスタ[[#This Row],[標準国内送料]],)</f>
        <v>91</v>
      </c>
      <c r="T260" s="134">
        <f>商品マスタ[[#This Row],[仕入
単価]]+商品マスタ[[#This Row],[国内送料]]</f>
        <v>1001</v>
      </c>
      <c r="U260" s="134">
        <f>ROUNDUP(商品マスタ[[#This Row],[仕入単価+国内送料]]/0.8,-1)</f>
        <v>1260</v>
      </c>
      <c r="V260" s="134">
        <f>商品マスタ[[#This Row],[海外定価
（20％）]]-商品マスタ[[#This Row],[仕入単価+国内送料]]</f>
        <v>259</v>
      </c>
      <c r="W260" s="87">
        <f>ROUNDUP(商品マスタ[[#This Row],[仕入単価+国内送料]]/0.85,-1)</f>
        <v>1180</v>
      </c>
      <c r="X260" s="134">
        <f>商品マスタ[[#This Row],[国内定価
（15％）]]-商品マスタ[[#This Row],[仕入単価+国内送料]]</f>
        <v>179</v>
      </c>
      <c r="Y260" s="139">
        <v>0.08</v>
      </c>
      <c r="Z260" s="87"/>
      <c r="AA260" s="87"/>
      <c r="AB260" s="87"/>
      <c r="AC260" s="140"/>
      <c r="AD260" s="87"/>
      <c r="AE260" s="87"/>
      <c r="AF260" s="87"/>
      <c r="AG260" s="141"/>
    </row>
    <row r="261" spans="1:33" ht="18">
      <c r="A261" s="169" t="s">
        <v>1524</v>
      </c>
      <c r="B261" s="168" t="s">
        <v>1229</v>
      </c>
      <c r="C261" s="168" t="s">
        <v>141</v>
      </c>
      <c r="D261" s="143" t="str">
        <f>"PRD_SNJ_"&amp;
_xlfn.XLOOKUP(商品マスタ[[#This Row],[仕入先]],テーブル1[仕入先名],テーブル1[仕入先コード],"XXX",0,1)&amp;
"_"&amp;
商品マスタ[[#This Row],[シリアル]]&amp;
"_"&amp;
TEXT(COUNTIFS(商品マスタ!$C$3:C261,商品マスタ[[#This Row],[仕入先]],商品マスタ!$E$3:E261,商品マスタ[[#This Row],[商品名]]), "00")</f>
        <v>PRD_SNJ_ESF_0023_01</v>
      </c>
      <c r="E261" s="87" t="s">
        <v>771</v>
      </c>
      <c r="F261" s="87">
        <f>IF(COUNTIFS($C$3:C261,商品マスタ[[#This Row],[仕入先]],$E$3:E261,商品マスタ[[#This Row],[商品名]]) = 1, 1,0)</f>
        <v>1</v>
      </c>
      <c r="G261" s="133" t="str">
        <f>TEXT(SUMIF($C$3:C261,商品マスタ[[#This Row],[仕入先]],$F$3:F261), "0000")</f>
        <v>0023</v>
      </c>
      <c r="H261" s="87" t="s">
        <v>424</v>
      </c>
      <c r="I261" s="87" t="s">
        <v>772</v>
      </c>
      <c r="J261" s="87" t="s">
        <v>748</v>
      </c>
      <c r="K261" s="87" t="s">
        <v>773</v>
      </c>
      <c r="L261" s="134">
        <v>1445</v>
      </c>
      <c r="M261" s="157">
        <v>45955</v>
      </c>
      <c r="N261" s="134"/>
      <c r="O261" s="135" t="str">
        <f>IF(COUNT(商品マスタ[[#This Row],[参考上代
（税込)]]) &gt; 0, (商品マスタ[[#This Row],[参考上代
（税込)]]-商品マスタ[[#This Row],[国内定価
（15％）]])/(商品マスタ[[#This Row],[参考上代
（税込)]]/1.08), "")</f>
        <v/>
      </c>
      <c r="P261" s="136">
        <v>0.1</v>
      </c>
      <c r="Q261" s="137">
        <f>商品マスタ[[#This Row],[仕入
単価]]*商品マスタ[[#This Row],[標準国内送料率]]</f>
        <v>144.5</v>
      </c>
      <c r="R261" s="134"/>
      <c r="S261" s="134">
        <f>IF(ISBLANK(商品マスタ[[#This Row],[実績
国内送料]]),商品マスタ[[#This Row],[標準国内送料]],)</f>
        <v>144.5</v>
      </c>
      <c r="T261" s="134">
        <f>商品マスタ[[#This Row],[仕入
単価]]+商品マスタ[[#This Row],[国内送料]]</f>
        <v>1589.5</v>
      </c>
      <c r="U261" s="134">
        <f>ROUNDUP(商品マスタ[[#This Row],[仕入単価+国内送料]]/0.8,-1)</f>
        <v>1990</v>
      </c>
      <c r="V261" s="134">
        <f>商品マスタ[[#This Row],[海外定価
（20％）]]-商品マスタ[[#This Row],[仕入単価+国内送料]]</f>
        <v>400.5</v>
      </c>
      <c r="W261" s="87">
        <f>ROUNDUP(商品マスタ[[#This Row],[仕入単価+国内送料]]/0.85,-1)</f>
        <v>1870</v>
      </c>
      <c r="X261" s="134">
        <f>商品マスタ[[#This Row],[国内定価
（15％）]]-商品マスタ[[#This Row],[仕入単価+国内送料]]</f>
        <v>280.5</v>
      </c>
      <c r="Y261" s="139">
        <v>0.08</v>
      </c>
      <c r="Z261" s="87"/>
      <c r="AA261" s="87"/>
      <c r="AB261" s="87"/>
      <c r="AC261" s="140"/>
      <c r="AD261" s="87"/>
      <c r="AE261" s="87"/>
      <c r="AF261" s="87"/>
      <c r="AG261" s="141"/>
    </row>
    <row r="262" spans="1:33" ht="18">
      <c r="A262" s="169" t="s">
        <v>1524</v>
      </c>
      <c r="B262" s="168" t="s">
        <v>1229</v>
      </c>
      <c r="C262" s="168" t="s">
        <v>141</v>
      </c>
      <c r="D262" s="143" t="str">
        <f>"PRD_SNJ_"&amp;
_xlfn.XLOOKUP(商品マスタ[[#This Row],[仕入先]],テーブル1[仕入先名],テーブル1[仕入先コード],"XXX",0,1)&amp;
"_"&amp;
商品マスタ[[#This Row],[シリアル]]&amp;
"_"&amp;
TEXT(COUNTIFS(商品マスタ!$C$3:C262,商品マスタ[[#This Row],[仕入先]],商品マスタ!$E$3:E262,商品マスタ[[#This Row],[商品名]]), "00")</f>
        <v>PRD_SNJ_ESF_0024_01</v>
      </c>
      <c r="E262" s="87" t="s">
        <v>774</v>
      </c>
      <c r="F262" s="87">
        <f>IF(COUNTIFS($C$3:C262,商品マスタ[[#This Row],[仕入先]],$E$3:E262,商品マスタ[[#This Row],[商品名]]) = 1, 1,0)</f>
        <v>1</v>
      </c>
      <c r="G262" s="133" t="str">
        <f>TEXT(SUMIF($C$3:C262,商品マスタ[[#This Row],[仕入先]],$F$3:F262), "0000")</f>
        <v>0024</v>
      </c>
      <c r="H262" s="87" t="s">
        <v>424</v>
      </c>
      <c r="I262" s="87" t="s">
        <v>775</v>
      </c>
      <c r="J262" s="87" t="s">
        <v>748</v>
      </c>
      <c r="K262" s="87" t="s">
        <v>773</v>
      </c>
      <c r="L262" s="134">
        <v>1045</v>
      </c>
      <c r="M262" s="157">
        <v>45955</v>
      </c>
      <c r="N262" s="134"/>
      <c r="O262" s="135" t="str">
        <f>IF(COUNT(商品マスタ[[#This Row],[参考上代
（税込)]]) &gt; 0, (商品マスタ[[#This Row],[参考上代
（税込)]]-商品マスタ[[#This Row],[国内定価
（15％）]])/(商品マスタ[[#This Row],[参考上代
（税込)]]/1.08), "")</f>
        <v/>
      </c>
      <c r="P262" s="136">
        <v>0.1</v>
      </c>
      <c r="Q262" s="137">
        <f>商品マスタ[[#This Row],[仕入
単価]]*商品マスタ[[#This Row],[標準国内送料率]]</f>
        <v>104.5</v>
      </c>
      <c r="R262" s="134"/>
      <c r="S262" s="134">
        <f>IF(ISBLANK(商品マスタ[[#This Row],[実績
国内送料]]),商品マスタ[[#This Row],[標準国内送料]],)</f>
        <v>104.5</v>
      </c>
      <c r="T262" s="134">
        <f>商品マスタ[[#This Row],[仕入
単価]]+商品マスタ[[#This Row],[国内送料]]</f>
        <v>1149.5</v>
      </c>
      <c r="U262" s="134">
        <f>ROUNDUP(商品マスタ[[#This Row],[仕入単価+国内送料]]/0.8,-1)</f>
        <v>1440</v>
      </c>
      <c r="V262" s="134">
        <f>商品マスタ[[#This Row],[海外定価
（20％）]]-商品マスタ[[#This Row],[仕入単価+国内送料]]</f>
        <v>290.5</v>
      </c>
      <c r="W262" s="87">
        <f>ROUNDUP(商品マスタ[[#This Row],[仕入単価+国内送料]]/0.85,-1)</f>
        <v>1360</v>
      </c>
      <c r="X262" s="134">
        <f>商品マスタ[[#This Row],[国内定価
（15％）]]-商品マスタ[[#This Row],[仕入単価+国内送料]]</f>
        <v>210.5</v>
      </c>
      <c r="Y262" s="139">
        <v>0.08</v>
      </c>
      <c r="Z262" s="87"/>
      <c r="AA262" s="87"/>
      <c r="AB262" s="87"/>
      <c r="AC262" s="140"/>
      <c r="AD262" s="87"/>
      <c r="AE262" s="87"/>
      <c r="AF262" s="87"/>
      <c r="AG262" s="141"/>
    </row>
    <row r="263" spans="1:33" ht="18">
      <c r="A263" s="169" t="s">
        <v>1524</v>
      </c>
      <c r="B263" s="168" t="s">
        <v>1229</v>
      </c>
      <c r="C263" s="168" t="s">
        <v>141</v>
      </c>
      <c r="D263" s="143" t="str">
        <f>"PRD_SNJ_"&amp;
_xlfn.XLOOKUP(商品マスタ[[#This Row],[仕入先]],テーブル1[仕入先名],テーブル1[仕入先コード],"XXX",0,1)&amp;
"_"&amp;
商品マスタ[[#This Row],[シリアル]]&amp;
"_"&amp;
TEXT(COUNTIFS(商品マスタ!$C$3:C263,商品マスタ[[#This Row],[仕入先]],商品マスタ!$E$3:E263,商品マスタ[[#This Row],[商品名]]), "00")</f>
        <v>PRD_SNJ_ESF_0025_01</v>
      </c>
      <c r="E263" s="87" t="s">
        <v>776</v>
      </c>
      <c r="F263" s="87">
        <f>IF(COUNTIFS($C$3:C263,商品マスタ[[#This Row],[仕入先]],$E$3:E263,商品マスタ[[#This Row],[商品名]]) = 1, 1,0)</f>
        <v>1</v>
      </c>
      <c r="G263" s="133" t="str">
        <f>TEXT(SUMIF($C$3:C263,商品マスタ[[#This Row],[仕入先]],$F$3:F263), "0000")</f>
        <v>0025</v>
      </c>
      <c r="H263" s="87" t="s">
        <v>424</v>
      </c>
      <c r="I263" s="87" t="s">
        <v>777</v>
      </c>
      <c r="J263" s="87" t="s">
        <v>684</v>
      </c>
      <c r="K263" s="87" t="s">
        <v>778</v>
      </c>
      <c r="L263" s="134">
        <v>1410</v>
      </c>
      <c r="M263" s="157">
        <v>45955</v>
      </c>
      <c r="N263" s="134"/>
      <c r="O263" s="135" t="str">
        <f>IF(COUNT(商品マスタ[[#This Row],[参考上代
（税込)]]) &gt; 0, (商品マスタ[[#This Row],[参考上代
（税込)]]-商品マスタ[[#This Row],[国内定価
（15％）]])/(商品マスタ[[#This Row],[参考上代
（税込)]]/1.08), "")</f>
        <v/>
      </c>
      <c r="P263" s="136">
        <v>0.1</v>
      </c>
      <c r="Q263" s="137">
        <f>商品マスタ[[#This Row],[仕入
単価]]*商品マスタ[[#This Row],[標準国内送料率]]</f>
        <v>141</v>
      </c>
      <c r="R263" s="134"/>
      <c r="S263" s="134">
        <f>IF(ISBLANK(商品マスタ[[#This Row],[実績
国内送料]]),商品マスタ[[#This Row],[標準国内送料]],)</f>
        <v>141</v>
      </c>
      <c r="T263" s="134">
        <f>商品マスタ[[#This Row],[仕入
単価]]+商品マスタ[[#This Row],[国内送料]]</f>
        <v>1551</v>
      </c>
      <c r="U263" s="134">
        <f>ROUNDUP(商品マスタ[[#This Row],[仕入単価+国内送料]]/0.8,-1)</f>
        <v>1940</v>
      </c>
      <c r="V263" s="134">
        <f>商品マスタ[[#This Row],[海外定価
（20％）]]-商品マスタ[[#This Row],[仕入単価+国内送料]]</f>
        <v>389</v>
      </c>
      <c r="W263" s="87">
        <f>ROUNDUP(商品マスタ[[#This Row],[仕入単価+国内送料]]/0.85,-1)</f>
        <v>1830</v>
      </c>
      <c r="X263" s="134">
        <f>商品マスタ[[#This Row],[国内定価
（15％）]]-商品マスタ[[#This Row],[仕入単価+国内送料]]</f>
        <v>279</v>
      </c>
      <c r="Y263" s="139">
        <v>0.08</v>
      </c>
      <c r="Z263" s="87"/>
      <c r="AA263" s="87"/>
      <c r="AB263" s="87"/>
      <c r="AC263" s="140"/>
      <c r="AD263" s="87"/>
      <c r="AE263" s="87"/>
      <c r="AF263" s="87"/>
      <c r="AG263" s="141"/>
    </row>
    <row r="264" spans="1:33" ht="18">
      <c r="A264" s="169" t="s">
        <v>1524</v>
      </c>
      <c r="B264" s="168" t="s">
        <v>1229</v>
      </c>
      <c r="C264" s="168" t="s">
        <v>141</v>
      </c>
      <c r="D264" s="143" t="str">
        <f>"PRD_SNJ_"&amp;
_xlfn.XLOOKUP(商品マスタ[[#This Row],[仕入先]],テーブル1[仕入先名],テーブル1[仕入先コード],"XXX",0,1)&amp;
"_"&amp;
商品マスタ[[#This Row],[シリアル]]&amp;
"_"&amp;
TEXT(COUNTIFS(商品マスタ!$C$3:C264,商品マスタ[[#This Row],[仕入先]],商品マスタ!$E$3:E264,商品マスタ[[#This Row],[商品名]]), "00")</f>
        <v>PRD_SNJ_ESF_0026_01</v>
      </c>
      <c r="E264" s="87" t="s">
        <v>779</v>
      </c>
      <c r="F264" s="87">
        <f>IF(COUNTIFS($C$3:C264,商品マスタ[[#This Row],[仕入先]],$E$3:E264,商品マスタ[[#This Row],[商品名]]) = 1, 1,0)</f>
        <v>1</v>
      </c>
      <c r="G264" s="133" t="str">
        <f>TEXT(SUMIF($C$3:C264,商品マスタ[[#This Row],[仕入先]],$F$3:F264), "0000")</f>
        <v>0026</v>
      </c>
      <c r="H264" s="87" t="s">
        <v>424</v>
      </c>
      <c r="I264" s="87" t="s">
        <v>780</v>
      </c>
      <c r="J264" s="87" t="s">
        <v>684</v>
      </c>
      <c r="K264" s="87" t="s">
        <v>778</v>
      </c>
      <c r="L264" s="134">
        <v>1210</v>
      </c>
      <c r="M264" s="157">
        <v>45955</v>
      </c>
      <c r="N264" s="134"/>
      <c r="O264" s="135" t="str">
        <f>IF(COUNT(商品マスタ[[#This Row],[参考上代
（税込)]]) &gt; 0, (商品マスタ[[#This Row],[参考上代
（税込)]]-商品マスタ[[#This Row],[国内定価
（15％）]])/(商品マスタ[[#This Row],[参考上代
（税込)]]/1.08), "")</f>
        <v/>
      </c>
      <c r="P264" s="136">
        <v>0.1</v>
      </c>
      <c r="Q264" s="137">
        <f>商品マスタ[[#This Row],[仕入
単価]]*商品マスタ[[#This Row],[標準国内送料率]]</f>
        <v>121</v>
      </c>
      <c r="R264" s="134"/>
      <c r="S264" s="134">
        <f>IF(ISBLANK(商品マスタ[[#This Row],[実績
国内送料]]),商品マスタ[[#This Row],[標準国内送料]],)</f>
        <v>121</v>
      </c>
      <c r="T264" s="134">
        <f>商品マスタ[[#This Row],[仕入
単価]]+商品マスタ[[#This Row],[国内送料]]</f>
        <v>1331</v>
      </c>
      <c r="U264" s="134">
        <f>ROUNDUP(商品マスタ[[#This Row],[仕入単価+国内送料]]/0.8,-1)</f>
        <v>1670</v>
      </c>
      <c r="V264" s="134">
        <f>商品マスタ[[#This Row],[海外定価
（20％）]]-商品マスタ[[#This Row],[仕入単価+国内送料]]</f>
        <v>339</v>
      </c>
      <c r="W264" s="87">
        <f>ROUNDUP(商品マスタ[[#This Row],[仕入単価+国内送料]]/0.85,-1)</f>
        <v>1570</v>
      </c>
      <c r="X264" s="134">
        <f>商品マスタ[[#This Row],[国内定価
（15％）]]-商品マスタ[[#This Row],[仕入単価+国内送料]]</f>
        <v>239</v>
      </c>
      <c r="Y264" s="139">
        <v>0.08</v>
      </c>
      <c r="Z264" s="87"/>
      <c r="AA264" s="87"/>
      <c r="AB264" s="87"/>
      <c r="AC264" s="140"/>
      <c r="AD264" s="87"/>
      <c r="AE264" s="87"/>
      <c r="AF264" s="87"/>
      <c r="AG264" s="141"/>
    </row>
    <row r="265" spans="1:33" ht="18">
      <c r="A265" s="169" t="s">
        <v>1524</v>
      </c>
      <c r="B265" s="168" t="s">
        <v>1229</v>
      </c>
      <c r="C265" s="168" t="s">
        <v>141</v>
      </c>
      <c r="D265" s="143" t="str">
        <f>"PRD_SNJ_"&amp;
_xlfn.XLOOKUP(商品マスタ[[#This Row],[仕入先]],テーブル1[仕入先名],テーブル1[仕入先コード],"XXX",0,1)&amp;
"_"&amp;
商品マスタ[[#This Row],[シリアル]]&amp;
"_"&amp;
TEXT(COUNTIFS(商品マスタ!$C$3:C265,商品マスタ[[#This Row],[仕入先]],商品マスタ!$E$3:E265,商品マスタ[[#This Row],[商品名]]), "00")</f>
        <v>PRD_SNJ_ESF_0027_01</v>
      </c>
      <c r="E265" s="87" t="s">
        <v>781</v>
      </c>
      <c r="F265" s="87">
        <f>IF(COUNTIFS($C$3:C265,商品マスタ[[#This Row],[仕入先]],$E$3:E265,商品マスタ[[#This Row],[商品名]]) = 1, 1,0)</f>
        <v>1</v>
      </c>
      <c r="G265" s="133" t="str">
        <f>TEXT(SUMIF($C$3:C265,商品マスタ[[#This Row],[仕入先]],$F$3:F265), "0000")</f>
        <v>0027</v>
      </c>
      <c r="H265" s="87" t="s">
        <v>424</v>
      </c>
      <c r="I265" s="87" t="s">
        <v>769</v>
      </c>
      <c r="J265" s="87" t="s">
        <v>684</v>
      </c>
      <c r="K265" s="87" t="s">
        <v>782</v>
      </c>
      <c r="L265" s="134">
        <v>1760</v>
      </c>
      <c r="M265" s="157">
        <v>45955</v>
      </c>
      <c r="N265" s="134"/>
      <c r="O265" s="135" t="str">
        <f>IF(COUNT(商品マスタ[[#This Row],[参考上代
（税込)]]) &gt; 0, (商品マスタ[[#This Row],[参考上代
（税込)]]-商品マスタ[[#This Row],[国内定価
（15％）]])/(商品マスタ[[#This Row],[参考上代
（税込)]]/1.08), "")</f>
        <v/>
      </c>
      <c r="P265" s="136">
        <v>0.1</v>
      </c>
      <c r="Q265" s="137">
        <f>商品マスタ[[#This Row],[仕入
単価]]*商品マスタ[[#This Row],[標準国内送料率]]</f>
        <v>176</v>
      </c>
      <c r="R265" s="134"/>
      <c r="S265" s="134">
        <f>IF(ISBLANK(商品マスタ[[#This Row],[実績
国内送料]]),商品マスタ[[#This Row],[標準国内送料]],)</f>
        <v>176</v>
      </c>
      <c r="T265" s="134">
        <f>商品マスタ[[#This Row],[仕入
単価]]+商品マスタ[[#This Row],[国内送料]]</f>
        <v>1936</v>
      </c>
      <c r="U265" s="134">
        <f>ROUNDUP(商品マスタ[[#This Row],[仕入単価+国内送料]]/0.8,-1)</f>
        <v>2420</v>
      </c>
      <c r="V265" s="134">
        <f>商品マスタ[[#This Row],[海外定価
（20％）]]-商品マスタ[[#This Row],[仕入単価+国内送料]]</f>
        <v>484</v>
      </c>
      <c r="W265" s="87">
        <f>ROUNDUP(商品マスタ[[#This Row],[仕入単価+国内送料]]/0.85,-1)</f>
        <v>2280</v>
      </c>
      <c r="X265" s="134">
        <f>商品マスタ[[#This Row],[国内定価
（15％）]]-商品マスタ[[#This Row],[仕入単価+国内送料]]</f>
        <v>344</v>
      </c>
      <c r="Y265" s="139">
        <v>0.08</v>
      </c>
      <c r="Z265" s="87"/>
      <c r="AA265" s="87"/>
      <c r="AB265" s="87"/>
      <c r="AC265" s="140"/>
      <c r="AD265" s="87"/>
      <c r="AE265" s="87"/>
      <c r="AF265" s="87"/>
      <c r="AG265" s="141"/>
    </row>
    <row r="266" spans="1:33" ht="18">
      <c r="A266" s="169" t="s">
        <v>1524</v>
      </c>
      <c r="B266" s="168" t="s">
        <v>1229</v>
      </c>
      <c r="C266" s="168" t="s">
        <v>141</v>
      </c>
      <c r="D266" s="143" t="str">
        <f>"PRD_SNJ_"&amp;
_xlfn.XLOOKUP(商品マスタ[[#This Row],[仕入先]],テーブル1[仕入先名],テーブル1[仕入先コード],"XXX",0,1)&amp;
"_"&amp;
商品マスタ[[#This Row],[シリアル]]&amp;
"_"&amp;
TEXT(COUNTIFS(商品マスタ!$C$3:C266,商品マスタ[[#This Row],[仕入先]],商品マスタ!$E$3:E266,商品マスタ[[#This Row],[商品名]]), "00")</f>
        <v>PRD_SNJ_ESF_0028_01</v>
      </c>
      <c r="E266" s="87" t="s">
        <v>783</v>
      </c>
      <c r="F266" s="87">
        <f>IF(COUNTIFS($C$3:C266,商品マスタ[[#This Row],[仕入先]],$E$3:E266,商品マスタ[[#This Row],[商品名]]) = 1, 1,0)</f>
        <v>1</v>
      </c>
      <c r="G266" s="133" t="str">
        <f>TEXT(SUMIF($C$3:C266,商品マスタ[[#This Row],[仕入先]],$F$3:F266), "0000")</f>
        <v>0028</v>
      </c>
      <c r="H266" s="87" t="s">
        <v>424</v>
      </c>
      <c r="I266" s="87" t="s">
        <v>777</v>
      </c>
      <c r="J266" s="87" t="s">
        <v>684</v>
      </c>
      <c r="K266" s="87" t="s">
        <v>784</v>
      </c>
      <c r="L266" s="134">
        <v>1410</v>
      </c>
      <c r="M266" s="157">
        <v>45955</v>
      </c>
      <c r="N266" s="134"/>
      <c r="O266" s="135" t="str">
        <f>IF(COUNT(商品マスタ[[#This Row],[参考上代
（税込)]]) &gt; 0, (商品マスタ[[#This Row],[参考上代
（税込)]]-商品マスタ[[#This Row],[国内定価
（15％）]])/(商品マスタ[[#This Row],[参考上代
（税込)]]/1.08), "")</f>
        <v/>
      </c>
      <c r="P266" s="136">
        <v>0.1</v>
      </c>
      <c r="Q266" s="137">
        <f>商品マスタ[[#This Row],[仕入
単価]]*商品マスタ[[#This Row],[標準国内送料率]]</f>
        <v>141</v>
      </c>
      <c r="R266" s="134"/>
      <c r="S266" s="134">
        <f>IF(ISBLANK(商品マスタ[[#This Row],[実績
国内送料]]),商品マスタ[[#This Row],[標準国内送料]],)</f>
        <v>141</v>
      </c>
      <c r="T266" s="134">
        <f>商品マスタ[[#This Row],[仕入
単価]]+商品マスタ[[#This Row],[国内送料]]</f>
        <v>1551</v>
      </c>
      <c r="U266" s="134">
        <f>ROUNDUP(商品マスタ[[#This Row],[仕入単価+国内送料]]/0.8,-1)</f>
        <v>1940</v>
      </c>
      <c r="V266" s="134">
        <f>商品マスタ[[#This Row],[海外定価
（20％）]]-商品マスタ[[#This Row],[仕入単価+国内送料]]</f>
        <v>389</v>
      </c>
      <c r="W266" s="87">
        <f>ROUNDUP(商品マスタ[[#This Row],[仕入単価+国内送料]]/0.85,-1)</f>
        <v>1830</v>
      </c>
      <c r="X266" s="134">
        <f>商品マスタ[[#This Row],[国内定価
（15％）]]-商品マスタ[[#This Row],[仕入単価+国内送料]]</f>
        <v>279</v>
      </c>
      <c r="Y266" s="139">
        <v>0.08</v>
      </c>
      <c r="Z266" s="87"/>
      <c r="AA266" s="87"/>
      <c r="AB266" s="87"/>
      <c r="AC266" s="140"/>
      <c r="AD266" s="87"/>
      <c r="AE266" s="87"/>
      <c r="AF266" s="87"/>
      <c r="AG266" s="141"/>
    </row>
    <row r="267" spans="1:33" ht="18">
      <c r="A267" s="169" t="s">
        <v>1524</v>
      </c>
      <c r="B267" s="168" t="s">
        <v>1229</v>
      </c>
      <c r="C267" s="168" t="s">
        <v>141</v>
      </c>
      <c r="D267" s="143" t="str">
        <f>"PRD_SNJ_"&amp;
_xlfn.XLOOKUP(商品マスタ[[#This Row],[仕入先]],テーブル1[仕入先名],テーブル1[仕入先コード],"XXX",0,1)&amp;
"_"&amp;
商品マスタ[[#This Row],[シリアル]]&amp;
"_"&amp;
TEXT(COUNTIFS(商品マスタ!$C$3:C267,商品マスタ[[#This Row],[仕入先]],商品マスタ!$E$3:E267,商品マスタ[[#This Row],[商品名]]), "00")</f>
        <v>PRD_SNJ_ESF_0029_01</v>
      </c>
      <c r="E267" s="87" t="s">
        <v>785</v>
      </c>
      <c r="F267" s="87">
        <f>IF(COUNTIFS($C$3:C267,商品マスタ[[#This Row],[仕入先]],$E$3:E267,商品マスタ[[#This Row],[商品名]]) = 1, 1,0)</f>
        <v>1</v>
      </c>
      <c r="G267" s="133" t="str">
        <f>TEXT(SUMIF($C$3:C267,商品マスタ[[#This Row],[仕入先]],$F$3:F267), "0000")</f>
        <v>0029</v>
      </c>
      <c r="H267" s="87" t="s">
        <v>424</v>
      </c>
      <c r="I267" s="87" t="s">
        <v>780</v>
      </c>
      <c r="J267" s="87" t="s">
        <v>684</v>
      </c>
      <c r="K267" s="87" t="s">
        <v>784</v>
      </c>
      <c r="L267" s="134">
        <v>1210</v>
      </c>
      <c r="M267" s="157">
        <v>45955</v>
      </c>
      <c r="N267" s="134"/>
      <c r="O267" s="135" t="str">
        <f>IF(COUNT(商品マスタ[[#This Row],[参考上代
（税込)]]) &gt; 0, (商品マスタ[[#This Row],[参考上代
（税込)]]-商品マスタ[[#This Row],[国内定価
（15％）]])/(商品マスタ[[#This Row],[参考上代
（税込)]]/1.08), "")</f>
        <v/>
      </c>
      <c r="P267" s="136">
        <v>0.1</v>
      </c>
      <c r="Q267" s="137">
        <f>商品マスタ[[#This Row],[仕入
単価]]*商品マスタ[[#This Row],[標準国内送料率]]</f>
        <v>121</v>
      </c>
      <c r="R267" s="134"/>
      <c r="S267" s="134">
        <f>IF(ISBLANK(商品マスタ[[#This Row],[実績
国内送料]]),商品マスタ[[#This Row],[標準国内送料]],)</f>
        <v>121</v>
      </c>
      <c r="T267" s="134">
        <f>商品マスタ[[#This Row],[仕入
単価]]+商品マスタ[[#This Row],[国内送料]]</f>
        <v>1331</v>
      </c>
      <c r="U267" s="134">
        <f>ROUNDUP(商品マスタ[[#This Row],[仕入単価+国内送料]]/0.8,-1)</f>
        <v>1670</v>
      </c>
      <c r="V267" s="134">
        <f>商品マスタ[[#This Row],[海外定価
（20％）]]-商品マスタ[[#This Row],[仕入単価+国内送料]]</f>
        <v>339</v>
      </c>
      <c r="W267" s="87">
        <f>ROUNDUP(商品マスタ[[#This Row],[仕入単価+国内送料]]/0.85,-1)</f>
        <v>1570</v>
      </c>
      <c r="X267" s="134">
        <f>商品マスタ[[#This Row],[国内定価
（15％）]]-商品マスタ[[#This Row],[仕入単価+国内送料]]</f>
        <v>239</v>
      </c>
      <c r="Y267" s="139">
        <v>0.08</v>
      </c>
      <c r="Z267" s="87"/>
      <c r="AA267" s="87"/>
      <c r="AB267" s="87"/>
      <c r="AC267" s="140"/>
      <c r="AD267" s="87"/>
      <c r="AE267" s="87"/>
      <c r="AF267" s="87"/>
      <c r="AG267" s="141"/>
    </row>
    <row r="268" spans="1:33" ht="18">
      <c r="A268" s="169" t="s">
        <v>1524</v>
      </c>
      <c r="B268" s="168" t="s">
        <v>1229</v>
      </c>
      <c r="C268" s="168" t="s">
        <v>141</v>
      </c>
      <c r="D268" s="143" t="str">
        <f>"PRD_SNJ_"&amp;
_xlfn.XLOOKUP(商品マスタ[[#This Row],[仕入先]],テーブル1[仕入先名],テーブル1[仕入先コード],"XXX",0,1)&amp;
"_"&amp;
商品マスタ[[#This Row],[シリアル]]&amp;
"_"&amp;
TEXT(COUNTIFS(商品マスタ!$C$3:C268,商品マスタ[[#This Row],[仕入先]],商品マスタ!$E$3:E268,商品マスタ[[#This Row],[商品名]]), "00")</f>
        <v>PRD_SNJ_ESF_0030_01</v>
      </c>
      <c r="E268" s="87" t="s">
        <v>786</v>
      </c>
      <c r="F268" s="87">
        <f>IF(COUNTIFS($C$3:C268,商品マスタ[[#This Row],[仕入先]],$E$3:E268,商品マスタ[[#This Row],[商品名]]) = 1, 1,0)</f>
        <v>1</v>
      </c>
      <c r="G268" s="133" t="str">
        <f>TEXT(SUMIF($C$3:C268,商品マスタ[[#This Row],[仕入先]],$F$3:F268), "0000")</f>
        <v>0030</v>
      </c>
      <c r="H268" s="87" t="s">
        <v>424</v>
      </c>
      <c r="I268" s="87" t="s">
        <v>747</v>
      </c>
      <c r="J268" s="87" t="s">
        <v>721</v>
      </c>
      <c r="K268" s="87" t="s">
        <v>749</v>
      </c>
      <c r="L268" s="134">
        <v>480</v>
      </c>
      <c r="M268" s="157">
        <v>45955</v>
      </c>
      <c r="N268" s="134"/>
      <c r="O268" s="135" t="str">
        <f>IF(COUNT(商品マスタ[[#This Row],[参考上代
（税込)]]) &gt; 0, (商品マスタ[[#This Row],[参考上代
（税込)]]-商品マスタ[[#This Row],[国内定価
（15％）]])/(商品マスタ[[#This Row],[参考上代
（税込)]]/1.08), "")</f>
        <v/>
      </c>
      <c r="P268" s="136">
        <v>0.1</v>
      </c>
      <c r="Q268" s="137">
        <f>商品マスタ[[#This Row],[仕入
単価]]*商品マスタ[[#This Row],[標準国内送料率]]</f>
        <v>48</v>
      </c>
      <c r="R268" s="134"/>
      <c r="S268" s="134">
        <f>IF(ISBLANK(商品マスタ[[#This Row],[実績
国内送料]]),商品マスタ[[#This Row],[標準国内送料]],)</f>
        <v>48</v>
      </c>
      <c r="T268" s="134">
        <f>商品マスタ[[#This Row],[仕入
単価]]+商品マスタ[[#This Row],[国内送料]]</f>
        <v>528</v>
      </c>
      <c r="U268" s="134">
        <f>ROUNDUP(商品マスタ[[#This Row],[仕入単価+国内送料]]/0.8,-1)</f>
        <v>660</v>
      </c>
      <c r="V268" s="134">
        <f>商品マスタ[[#This Row],[海外定価
（20％）]]-商品マスタ[[#This Row],[仕入単価+国内送料]]</f>
        <v>132</v>
      </c>
      <c r="W268" s="87">
        <f>ROUNDUP(商品マスタ[[#This Row],[仕入単価+国内送料]]/0.85,-1)</f>
        <v>630</v>
      </c>
      <c r="X268" s="134">
        <f>商品マスタ[[#This Row],[国内定価
（15％）]]-商品マスタ[[#This Row],[仕入単価+国内送料]]</f>
        <v>102</v>
      </c>
      <c r="Y268" s="139">
        <v>0.08</v>
      </c>
      <c r="Z268" s="87"/>
      <c r="AA268" s="87"/>
      <c r="AB268" s="87"/>
      <c r="AC268" s="140"/>
      <c r="AD268" s="87"/>
      <c r="AE268" s="87"/>
      <c r="AF268" s="87"/>
      <c r="AG268" s="141"/>
    </row>
    <row r="269" spans="1:33" ht="18">
      <c r="A269" s="169" t="s">
        <v>1524</v>
      </c>
      <c r="B269" s="168" t="s">
        <v>1229</v>
      </c>
      <c r="C269" s="168" t="s">
        <v>141</v>
      </c>
      <c r="D269" s="143" t="str">
        <f>"PRD_SNJ_"&amp;
_xlfn.XLOOKUP(商品マスタ[[#This Row],[仕入先]],テーブル1[仕入先名],テーブル1[仕入先コード],"XXX",0,1)&amp;
"_"&amp;
商品マスタ[[#This Row],[シリアル]]&amp;
"_"&amp;
TEXT(COUNTIFS(商品マスタ!$C$3:C269,商品マスタ[[#This Row],[仕入先]],商品マスタ!$E$3:E269,商品マスタ[[#This Row],[商品名]]), "00")</f>
        <v>PRD_SNJ_ESF_0031_01</v>
      </c>
      <c r="E269" s="87" t="s">
        <v>787</v>
      </c>
      <c r="F269" s="87">
        <f>IF(COUNTIFS($C$3:C269,商品マスタ[[#This Row],[仕入先]],$E$3:E269,商品マスタ[[#This Row],[商品名]]) = 1, 1,0)</f>
        <v>1</v>
      </c>
      <c r="G269" s="133" t="str">
        <f>TEXT(SUMIF($C$3:C269,商品マスタ[[#This Row],[仕入先]],$F$3:F269), "0000")</f>
        <v>0031</v>
      </c>
      <c r="H269" s="87" t="s">
        <v>424</v>
      </c>
      <c r="I269" s="87" t="s">
        <v>788</v>
      </c>
      <c r="J269" s="87" t="s">
        <v>721</v>
      </c>
      <c r="K269" s="87" t="s">
        <v>749</v>
      </c>
      <c r="L269" s="134">
        <v>780</v>
      </c>
      <c r="M269" s="157">
        <v>45955</v>
      </c>
      <c r="N269" s="134"/>
      <c r="O269" s="135" t="str">
        <f>IF(COUNT(商品マスタ[[#This Row],[参考上代
（税込)]]) &gt; 0, (商品マスタ[[#This Row],[参考上代
（税込)]]-商品マスタ[[#This Row],[国内定価
（15％）]])/(商品マスタ[[#This Row],[参考上代
（税込)]]/1.08), "")</f>
        <v/>
      </c>
      <c r="P269" s="136">
        <v>0.1</v>
      </c>
      <c r="Q269" s="137">
        <f>商品マスタ[[#This Row],[仕入
単価]]*商品マスタ[[#This Row],[標準国内送料率]]</f>
        <v>78</v>
      </c>
      <c r="R269" s="134"/>
      <c r="S269" s="134">
        <f>IF(ISBLANK(商品マスタ[[#This Row],[実績
国内送料]]),商品マスタ[[#This Row],[標準国内送料]],)</f>
        <v>78</v>
      </c>
      <c r="T269" s="134">
        <f>商品マスタ[[#This Row],[仕入
単価]]+商品マスタ[[#This Row],[国内送料]]</f>
        <v>858</v>
      </c>
      <c r="U269" s="134">
        <f>ROUNDUP(商品マスタ[[#This Row],[仕入単価+国内送料]]/0.8,-1)</f>
        <v>1080</v>
      </c>
      <c r="V269" s="134">
        <f>商品マスタ[[#This Row],[海外定価
（20％）]]-商品マスタ[[#This Row],[仕入単価+国内送料]]</f>
        <v>222</v>
      </c>
      <c r="W269" s="87">
        <f>ROUNDUP(商品マスタ[[#This Row],[仕入単価+国内送料]]/0.85,-1)</f>
        <v>1010</v>
      </c>
      <c r="X269" s="134">
        <f>商品マスタ[[#This Row],[国内定価
（15％）]]-商品マスタ[[#This Row],[仕入単価+国内送料]]</f>
        <v>152</v>
      </c>
      <c r="Y269" s="139">
        <v>0.08</v>
      </c>
      <c r="Z269" s="87"/>
      <c r="AA269" s="87"/>
      <c r="AB269" s="87"/>
      <c r="AC269" s="140"/>
      <c r="AD269" s="87"/>
      <c r="AE269" s="87"/>
      <c r="AF269" s="87"/>
      <c r="AG269" s="141"/>
    </row>
    <row r="270" spans="1:33" ht="18">
      <c r="A270" s="169" t="s">
        <v>1524</v>
      </c>
      <c r="B270" s="168" t="s">
        <v>1229</v>
      </c>
      <c r="C270" s="168" t="s">
        <v>141</v>
      </c>
      <c r="D270" s="143" t="str">
        <f>"PRD_SNJ_"&amp;
_xlfn.XLOOKUP(商品マスタ[[#This Row],[仕入先]],テーブル1[仕入先名],テーブル1[仕入先コード],"XXX",0,1)&amp;
"_"&amp;
商品マスタ[[#This Row],[シリアル]]&amp;
"_"&amp;
TEXT(COUNTIFS(商品マスタ!$C$3:C270,商品マスタ[[#This Row],[仕入先]],商品マスタ!$E$3:E270,商品マスタ[[#This Row],[商品名]]), "00")</f>
        <v>PRD_SNJ_ESF_0032_01</v>
      </c>
      <c r="E270" s="87" t="s">
        <v>789</v>
      </c>
      <c r="F270" s="87">
        <f>IF(COUNTIFS($C$3:C270,商品マスタ[[#This Row],[仕入先]],$E$3:E270,商品マスタ[[#This Row],[商品名]]) = 1, 1,0)</f>
        <v>1</v>
      </c>
      <c r="G270" s="133" t="str">
        <f>TEXT(SUMIF($C$3:C270,商品マスタ[[#This Row],[仕入先]],$F$3:F270), "0000")</f>
        <v>0032</v>
      </c>
      <c r="H270" s="87" t="s">
        <v>424</v>
      </c>
      <c r="I270" s="87" t="s">
        <v>747</v>
      </c>
      <c r="J270" s="87" t="s">
        <v>721</v>
      </c>
      <c r="K270" s="87" t="s">
        <v>749</v>
      </c>
      <c r="L270" s="134">
        <v>480</v>
      </c>
      <c r="M270" s="157">
        <v>45955</v>
      </c>
      <c r="N270" s="134"/>
      <c r="O270" s="135" t="str">
        <f>IF(COUNT(商品マスタ[[#This Row],[参考上代
（税込)]]) &gt; 0, (商品マスタ[[#This Row],[参考上代
（税込)]]-商品マスタ[[#This Row],[国内定価
（15％）]])/(商品マスタ[[#This Row],[参考上代
（税込)]]/1.08), "")</f>
        <v/>
      </c>
      <c r="P270" s="136">
        <v>0.1</v>
      </c>
      <c r="Q270" s="137">
        <f>商品マスタ[[#This Row],[仕入
単価]]*商品マスタ[[#This Row],[標準国内送料率]]</f>
        <v>48</v>
      </c>
      <c r="R270" s="134"/>
      <c r="S270" s="134">
        <f>IF(ISBLANK(商品マスタ[[#This Row],[実績
国内送料]]),商品マスタ[[#This Row],[標準国内送料]],)</f>
        <v>48</v>
      </c>
      <c r="T270" s="134">
        <f>商品マスタ[[#This Row],[仕入
単価]]+商品マスタ[[#This Row],[国内送料]]</f>
        <v>528</v>
      </c>
      <c r="U270" s="134">
        <f>ROUNDUP(商品マスタ[[#This Row],[仕入単価+国内送料]]/0.8,-1)</f>
        <v>660</v>
      </c>
      <c r="V270" s="134">
        <f>商品マスタ[[#This Row],[海外定価
（20％）]]-商品マスタ[[#This Row],[仕入単価+国内送料]]</f>
        <v>132</v>
      </c>
      <c r="W270" s="87">
        <f>ROUNDUP(商品マスタ[[#This Row],[仕入単価+国内送料]]/0.85,-1)</f>
        <v>630</v>
      </c>
      <c r="X270" s="134">
        <f>商品マスタ[[#This Row],[国内定価
（15％）]]-商品マスタ[[#This Row],[仕入単価+国内送料]]</f>
        <v>102</v>
      </c>
      <c r="Y270" s="139">
        <v>0.08</v>
      </c>
      <c r="Z270" s="87"/>
      <c r="AA270" s="87"/>
      <c r="AB270" s="87"/>
      <c r="AC270" s="140"/>
      <c r="AD270" s="87"/>
      <c r="AE270" s="87"/>
      <c r="AF270" s="87"/>
      <c r="AG270" s="141"/>
    </row>
    <row r="271" spans="1:33" ht="18">
      <c r="A271" s="169" t="s">
        <v>1524</v>
      </c>
      <c r="B271" s="168" t="s">
        <v>1229</v>
      </c>
      <c r="C271" s="168" t="s">
        <v>141</v>
      </c>
      <c r="D271" s="143" t="str">
        <f>"PRD_SNJ_"&amp;
_xlfn.XLOOKUP(商品マスタ[[#This Row],[仕入先]],テーブル1[仕入先名],テーブル1[仕入先コード],"XXX",0,1)&amp;
"_"&amp;
商品マスタ[[#This Row],[シリアル]]&amp;
"_"&amp;
TEXT(COUNTIFS(商品マスタ!$C$3:C271,商品マスタ[[#This Row],[仕入先]],商品マスタ!$E$3:E271,商品マスタ[[#This Row],[商品名]]), "00")</f>
        <v>PRD_SNJ_ESF_0033_01</v>
      </c>
      <c r="E271" s="87" t="s">
        <v>790</v>
      </c>
      <c r="F271" s="87">
        <f>IF(COUNTIFS($C$3:C271,商品マスタ[[#This Row],[仕入先]],$E$3:E271,商品マスタ[[#This Row],[商品名]]) = 1, 1,0)</f>
        <v>1</v>
      </c>
      <c r="G271" s="133" t="str">
        <f>TEXT(SUMIF($C$3:C271,商品マスタ[[#This Row],[仕入先]],$F$3:F271), "0000")</f>
        <v>0033</v>
      </c>
      <c r="H271" s="87" t="s">
        <v>424</v>
      </c>
      <c r="I271" s="87" t="s">
        <v>788</v>
      </c>
      <c r="J271" s="87" t="s">
        <v>721</v>
      </c>
      <c r="K271" s="87" t="s">
        <v>749</v>
      </c>
      <c r="L271" s="134">
        <v>780</v>
      </c>
      <c r="M271" s="157">
        <v>45955</v>
      </c>
      <c r="N271" s="134"/>
      <c r="O271" s="135" t="str">
        <f>IF(COUNT(商品マスタ[[#This Row],[参考上代
（税込)]]) &gt; 0, (商品マスタ[[#This Row],[参考上代
（税込)]]-商品マスタ[[#This Row],[国内定価
（15％）]])/(商品マスタ[[#This Row],[参考上代
（税込)]]/1.08), "")</f>
        <v/>
      </c>
      <c r="P271" s="136">
        <v>0.1</v>
      </c>
      <c r="Q271" s="137">
        <f>商品マスタ[[#This Row],[仕入
単価]]*商品マスタ[[#This Row],[標準国内送料率]]</f>
        <v>78</v>
      </c>
      <c r="R271" s="134"/>
      <c r="S271" s="134">
        <f>IF(ISBLANK(商品マスタ[[#This Row],[実績
国内送料]]),商品マスタ[[#This Row],[標準国内送料]],)</f>
        <v>78</v>
      </c>
      <c r="T271" s="134">
        <f>商品マスタ[[#This Row],[仕入
単価]]+商品マスタ[[#This Row],[国内送料]]</f>
        <v>858</v>
      </c>
      <c r="U271" s="134">
        <f>ROUNDUP(商品マスタ[[#This Row],[仕入単価+国内送料]]/0.8,-1)</f>
        <v>1080</v>
      </c>
      <c r="V271" s="134">
        <f>商品マスタ[[#This Row],[海外定価
（20％）]]-商品マスタ[[#This Row],[仕入単価+国内送料]]</f>
        <v>222</v>
      </c>
      <c r="W271" s="87">
        <f>ROUNDUP(商品マスタ[[#This Row],[仕入単価+国内送料]]/0.85,-1)</f>
        <v>1010</v>
      </c>
      <c r="X271" s="134">
        <f>商品マスタ[[#This Row],[国内定価
（15％）]]-商品マスタ[[#This Row],[仕入単価+国内送料]]</f>
        <v>152</v>
      </c>
      <c r="Y271" s="139">
        <v>0.08</v>
      </c>
      <c r="Z271" s="87"/>
      <c r="AA271" s="87"/>
      <c r="AB271" s="87"/>
      <c r="AC271" s="140"/>
      <c r="AD271" s="87"/>
      <c r="AE271" s="87"/>
      <c r="AF271" s="87"/>
      <c r="AG271" s="141"/>
    </row>
    <row r="272" spans="1:33" ht="18">
      <c r="A272" s="169" t="s">
        <v>1524</v>
      </c>
      <c r="B272" s="168" t="s">
        <v>1229</v>
      </c>
      <c r="C272" s="168" t="s">
        <v>141</v>
      </c>
      <c r="D272" s="143" t="str">
        <f>"PRD_SNJ_"&amp;
_xlfn.XLOOKUP(商品マスタ[[#This Row],[仕入先]],テーブル1[仕入先名],テーブル1[仕入先コード],"XXX",0,1)&amp;
"_"&amp;
商品マスタ[[#This Row],[シリアル]]&amp;
"_"&amp;
TEXT(COUNTIFS(商品マスタ!$C$3:C272,商品マスタ[[#This Row],[仕入先]],商品マスタ!$E$3:E272,商品マスタ[[#This Row],[商品名]]), "00")</f>
        <v>PRD_SNJ_ESF_0034_01</v>
      </c>
      <c r="E272" s="87" t="s">
        <v>791</v>
      </c>
      <c r="F272" s="87">
        <f>IF(COUNTIFS($C$3:C272,商品マスタ[[#This Row],[仕入先]],$E$3:E272,商品マスタ[[#This Row],[商品名]]) = 1, 1,0)</f>
        <v>1</v>
      </c>
      <c r="G272" s="133" t="str">
        <f>TEXT(SUMIF($C$3:C272,商品マスタ[[#This Row],[仕入先]],$F$3:F272), "0000")</f>
        <v>0034</v>
      </c>
      <c r="H272" s="87" t="s">
        <v>424</v>
      </c>
      <c r="I272" s="87" t="s">
        <v>792</v>
      </c>
      <c r="J272" s="87" t="s">
        <v>721</v>
      </c>
      <c r="K272" s="87" t="s">
        <v>793</v>
      </c>
      <c r="L272" s="134">
        <v>280</v>
      </c>
      <c r="M272" s="157">
        <v>45955</v>
      </c>
      <c r="N272" s="134"/>
      <c r="O272" s="135" t="str">
        <f>IF(COUNT(商品マスタ[[#This Row],[参考上代
（税込)]]) &gt; 0, (商品マスタ[[#This Row],[参考上代
（税込)]]-商品マスタ[[#This Row],[国内定価
（15％）]])/(商品マスタ[[#This Row],[参考上代
（税込)]]/1.08), "")</f>
        <v/>
      </c>
      <c r="P272" s="136">
        <v>0.1</v>
      </c>
      <c r="Q272" s="137">
        <f>商品マスタ[[#This Row],[仕入
単価]]*商品マスタ[[#This Row],[標準国内送料率]]</f>
        <v>28</v>
      </c>
      <c r="R272" s="134"/>
      <c r="S272" s="134">
        <f>IF(ISBLANK(商品マスタ[[#This Row],[実績
国内送料]]),商品マスタ[[#This Row],[標準国内送料]],)</f>
        <v>28</v>
      </c>
      <c r="T272" s="134">
        <f>商品マスタ[[#This Row],[仕入
単価]]+商品マスタ[[#This Row],[国内送料]]</f>
        <v>308</v>
      </c>
      <c r="U272" s="134">
        <f>ROUNDUP(商品マスタ[[#This Row],[仕入単価+国内送料]]/0.8,-1)</f>
        <v>390</v>
      </c>
      <c r="V272" s="134">
        <f>商品マスタ[[#This Row],[海外定価
（20％）]]-商品マスタ[[#This Row],[仕入単価+国内送料]]</f>
        <v>82</v>
      </c>
      <c r="W272" s="87">
        <f>ROUNDUP(商品マスタ[[#This Row],[仕入単価+国内送料]]/0.85,-1)</f>
        <v>370</v>
      </c>
      <c r="X272" s="134">
        <f>商品マスタ[[#This Row],[国内定価
（15％）]]-商品マスタ[[#This Row],[仕入単価+国内送料]]</f>
        <v>62</v>
      </c>
      <c r="Y272" s="139">
        <v>0.08</v>
      </c>
      <c r="Z272" s="87"/>
      <c r="AA272" s="87"/>
      <c r="AB272" s="87"/>
      <c r="AC272" s="140"/>
      <c r="AD272" s="87"/>
      <c r="AE272" s="87"/>
      <c r="AF272" s="87"/>
      <c r="AG272" s="141"/>
    </row>
    <row r="273" spans="1:33" ht="18">
      <c r="A273" s="166" t="s">
        <v>1524</v>
      </c>
      <c r="B273" s="167" t="s">
        <v>1229</v>
      </c>
      <c r="C273" s="167" t="s">
        <v>52</v>
      </c>
      <c r="D273" s="143" t="str">
        <f>"PRD_SNJ_"&amp;
_xlfn.XLOOKUP(商品マスタ[[#This Row],[仕入先]],テーブル1[仕入先名],テーブル1[仕入先コード],"XXX",0,1)&amp;
"_"&amp;
商品マスタ[[#This Row],[シリアル]]&amp;
"_"&amp;
TEXT(COUNTIFS(商品マスタ!$C$3:C273,商品マスタ[[#This Row],[仕入先]],商品マスタ!$E$3:E273,商品マスタ[[#This Row],[商品名]]), "00")</f>
        <v>PRD_SNJ_SKK_0001_01</v>
      </c>
      <c r="E273" s="87" t="s">
        <v>794</v>
      </c>
      <c r="F273" s="87">
        <f>IF(COUNTIFS($C$3:C273,商品マスタ[[#This Row],[仕入先]],$E$3:E273,商品マスタ[[#This Row],[商品名]]) = 1, 1,0)</f>
        <v>1</v>
      </c>
      <c r="G273" s="133" t="str">
        <f>TEXT(SUMIF($C$3:C273,商品マスタ[[#This Row],[仕入先]],$F$3:F273), "0000")</f>
        <v>0001</v>
      </c>
      <c r="H273" s="87" t="s">
        <v>795</v>
      </c>
      <c r="I273" s="87"/>
      <c r="J273" s="87"/>
      <c r="K273" s="87"/>
      <c r="L273" s="134">
        <v>300</v>
      </c>
      <c r="M273" s="157"/>
      <c r="N273" s="134"/>
      <c r="O273" s="135" t="str">
        <f>IF(COUNT(商品マスタ[[#This Row],[参考上代
（税込)]]) &gt; 0, (商品マスタ[[#This Row],[参考上代
（税込)]]-商品マスタ[[#This Row],[国内定価
（15％）]])/(商品マスタ[[#This Row],[参考上代
（税込)]]/1.08), "")</f>
        <v/>
      </c>
      <c r="P273" s="136">
        <v>0.1</v>
      </c>
      <c r="Q273" s="137">
        <f>商品マスタ[[#This Row],[仕入
単価]]*商品マスタ[[#This Row],[標準国内送料率]]</f>
        <v>30</v>
      </c>
      <c r="R273" s="134"/>
      <c r="S273" s="134">
        <f>IF(ISBLANK(商品マスタ[[#This Row],[実績
国内送料]]),商品マスタ[[#This Row],[標準国内送料]],)</f>
        <v>30</v>
      </c>
      <c r="T273" s="134">
        <f>商品マスタ[[#This Row],[仕入
単価]]+商品マスタ[[#This Row],[国内送料]]</f>
        <v>330</v>
      </c>
      <c r="U273" s="134">
        <f>ROUNDUP(商品マスタ[[#This Row],[仕入単価+国内送料]]/0.8,-1)</f>
        <v>420</v>
      </c>
      <c r="V273" s="134">
        <f>商品マスタ[[#This Row],[海外定価
（20％）]]-商品マスタ[[#This Row],[仕入単価+国内送料]]</f>
        <v>90</v>
      </c>
      <c r="W273" s="87">
        <f>ROUNDUP(商品マスタ[[#This Row],[仕入単価+国内送料]]/0.85,-1)</f>
        <v>390</v>
      </c>
      <c r="X273" s="134">
        <f>商品マスタ[[#This Row],[国内定価
（15％）]]-商品マスタ[[#This Row],[仕入単価+国内送料]]</f>
        <v>60</v>
      </c>
      <c r="Y273" s="139">
        <v>0.08</v>
      </c>
      <c r="Z273" s="87"/>
      <c r="AA273" s="87"/>
      <c r="AB273" s="87"/>
      <c r="AC273" s="140"/>
      <c r="AD273" s="87"/>
      <c r="AE273" s="87"/>
      <c r="AF273" s="87"/>
      <c r="AG273" s="141"/>
    </row>
    <row r="274" spans="1:33" ht="18">
      <c r="A274" s="166" t="s">
        <v>1524</v>
      </c>
      <c r="B274" s="167" t="s">
        <v>1229</v>
      </c>
      <c r="C274" s="167" t="s">
        <v>52</v>
      </c>
      <c r="D274" s="143" t="str">
        <f>"PRD_SNJ_"&amp;
_xlfn.XLOOKUP(商品マスタ[[#This Row],[仕入先]],テーブル1[仕入先名],テーブル1[仕入先コード],"XXX",0,1)&amp;
"_"&amp;
商品マスタ[[#This Row],[シリアル]]&amp;
"_"&amp;
TEXT(COUNTIFS(商品マスタ!$C$3:C274,商品マスタ[[#This Row],[仕入先]],商品マスタ!$E$3:E274,商品マスタ[[#This Row],[商品名]]), "00")</f>
        <v>PRD_SNJ_SKK_0002_01</v>
      </c>
      <c r="E274" s="87" t="s">
        <v>796</v>
      </c>
      <c r="F274" s="87">
        <f>IF(COUNTIFS($C$3:C274,商品マスタ[[#This Row],[仕入先]],$E$3:E274,商品マスタ[[#This Row],[商品名]]) = 1, 1,0)</f>
        <v>1</v>
      </c>
      <c r="G274" s="133" t="str">
        <f>TEXT(SUMIF($C$3:C274,商品マスタ[[#This Row],[仕入先]],$F$3:F274), "0000")</f>
        <v>0002</v>
      </c>
      <c r="H274" s="87" t="s">
        <v>795</v>
      </c>
      <c r="I274" s="87"/>
      <c r="J274" s="87"/>
      <c r="K274" s="87"/>
      <c r="L274" s="134">
        <v>360</v>
      </c>
      <c r="M274" s="157"/>
      <c r="N274" s="134"/>
      <c r="O274" s="135" t="str">
        <f>IF(COUNT(商品マスタ[[#This Row],[参考上代
（税込)]]) &gt; 0, (商品マスタ[[#This Row],[参考上代
（税込)]]-商品マスタ[[#This Row],[国内定価
（15％）]])/(商品マスタ[[#This Row],[参考上代
（税込)]]/1.08), "")</f>
        <v/>
      </c>
      <c r="P274" s="136">
        <v>0.1</v>
      </c>
      <c r="Q274" s="137">
        <f>商品マスタ[[#This Row],[仕入
単価]]*商品マスタ[[#This Row],[標準国内送料率]]</f>
        <v>36</v>
      </c>
      <c r="R274" s="134"/>
      <c r="S274" s="134">
        <f>IF(ISBLANK(商品マスタ[[#This Row],[実績
国内送料]]),商品マスタ[[#This Row],[標準国内送料]],)</f>
        <v>36</v>
      </c>
      <c r="T274" s="134">
        <f>商品マスタ[[#This Row],[仕入
単価]]+商品マスタ[[#This Row],[国内送料]]</f>
        <v>396</v>
      </c>
      <c r="U274" s="134">
        <f>ROUNDUP(商品マスタ[[#This Row],[仕入単価+国内送料]]/0.8,-1)</f>
        <v>500</v>
      </c>
      <c r="V274" s="134">
        <f>商品マスタ[[#This Row],[海外定価
（20％）]]-商品マスタ[[#This Row],[仕入単価+国内送料]]</f>
        <v>104</v>
      </c>
      <c r="W274" s="87">
        <f>ROUNDUP(商品マスタ[[#This Row],[仕入単価+国内送料]]/0.85,-1)</f>
        <v>470</v>
      </c>
      <c r="X274" s="134">
        <f>商品マスタ[[#This Row],[国内定価
（15％）]]-商品マスタ[[#This Row],[仕入単価+国内送料]]</f>
        <v>74</v>
      </c>
      <c r="Y274" s="139">
        <v>0.08</v>
      </c>
      <c r="Z274" s="87"/>
      <c r="AA274" s="87"/>
      <c r="AB274" s="87"/>
      <c r="AC274" s="140"/>
      <c r="AD274" s="87"/>
      <c r="AE274" s="87"/>
      <c r="AF274" s="87"/>
      <c r="AG274" s="141"/>
    </row>
    <row r="275" spans="1:33" ht="18">
      <c r="A275" s="166" t="s">
        <v>1524</v>
      </c>
      <c r="B275" s="167" t="s">
        <v>1229</v>
      </c>
      <c r="C275" s="167" t="s">
        <v>52</v>
      </c>
      <c r="D275" s="143" t="str">
        <f>"PRD_SNJ_"&amp;
_xlfn.XLOOKUP(商品マスタ[[#This Row],[仕入先]],テーブル1[仕入先名],テーブル1[仕入先コード],"XXX",0,1)&amp;
"_"&amp;
商品マスタ[[#This Row],[シリアル]]&amp;
"_"&amp;
TEXT(COUNTIFS(商品マスタ!$C$3:C275,商品マスタ[[#This Row],[仕入先]],商品マスタ!$E$3:E275,商品マスタ[[#This Row],[商品名]]), "00")</f>
        <v>PRD_SNJ_SKK_0003_01</v>
      </c>
      <c r="E275" s="87" t="s">
        <v>797</v>
      </c>
      <c r="F275" s="87">
        <f>IF(COUNTIFS($C$3:C275,商品マスタ[[#This Row],[仕入先]],$E$3:E275,商品マスタ[[#This Row],[商品名]]) = 1, 1,0)</f>
        <v>1</v>
      </c>
      <c r="G275" s="133" t="str">
        <f>TEXT(SUMIF($C$3:C275,商品マスタ[[#This Row],[仕入先]],$F$3:F275), "0000")</f>
        <v>0003</v>
      </c>
      <c r="H275" s="87" t="s">
        <v>795</v>
      </c>
      <c r="I275" s="87"/>
      <c r="J275" s="87"/>
      <c r="K275" s="87"/>
      <c r="L275" s="134">
        <v>300</v>
      </c>
      <c r="M275" s="157"/>
      <c r="N275" s="134"/>
      <c r="O275" s="135" t="str">
        <f>IF(COUNT(商品マスタ[[#This Row],[参考上代
（税込)]]) &gt; 0, (商品マスタ[[#This Row],[参考上代
（税込)]]-商品マスタ[[#This Row],[国内定価
（15％）]])/(商品マスタ[[#This Row],[参考上代
（税込)]]/1.08), "")</f>
        <v/>
      </c>
      <c r="P275" s="136">
        <v>0.1</v>
      </c>
      <c r="Q275" s="137">
        <f>商品マスタ[[#This Row],[仕入
単価]]*商品マスタ[[#This Row],[標準国内送料率]]</f>
        <v>30</v>
      </c>
      <c r="R275" s="134"/>
      <c r="S275" s="134">
        <f>IF(ISBLANK(商品マスタ[[#This Row],[実績
国内送料]]),商品マスタ[[#This Row],[標準国内送料]],)</f>
        <v>30</v>
      </c>
      <c r="T275" s="134">
        <f>商品マスタ[[#This Row],[仕入
単価]]+商品マスタ[[#This Row],[国内送料]]</f>
        <v>330</v>
      </c>
      <c r="U275" s="134">
        <f>ROUNDUP(商品マスタ[[#This Row],[仕入単価+国内送料]]/0.8,-1)</f>
        <v>420</v>
      </c>
      <c r="V275" s="134">
        <f>商品マスタ[[#This Row],[海外定価
（20％）]]-商品マスタ[[#This Row],[仕入単価+国内送料]]</f>
        <v>90</v>
      </c>
      <c r="W275" s="87">
        <f>ROUNDUP(商品マスタ[[#This Row],[仕入単価+国内送料]]/0.85,-1)</f>
        <v>390</v>
      </c>
      <c r="X275" s="134">
        <f>商品マスタ[[#This Row],[国内定価
（15％）]]-商品マスタ[[#This Row],[仕入単価+国内送料]]</f>
        <v>60</v>
      </c>
      <c r="Y275" s="139">
        <v>0.08</v>
      </c>
      <c r="Z275" s="87"/>
      <c r="AA275" s="87"/>
      <c r="AB275" s="87"/>
      <c r="AC275" s="140"/>
      <c r="AD275" s="87"/>
      <c r="AE275" s="87"/>
      <c r="AF275" s="87"/>
      <c r="AG275" s="141"/>
    </row>
    <row r="276" spans="1:33" ht="18">
      <c r="A276" s="166" t="s">
        <v>1524</v>
      </c>
      <c r="B276" s="167" t="s">
        <v>1229</v>
      </c>
      <c r="C276" s="167" t="s">
        <v>143</v>
      </c>
      <c r="D276" s="143" t="str">
        <f>"PRD_SNJ_"&amp;
_xlfn.XLOOKUP(商品マスタ[[#This Row],[仕入先]],テーブル1[仕入先名],テーブル1[仕入先コード],"XXX",0,1)&amp;
"_"&amp;
商品マスタ[[#This Row],[シリアル]]&amp;
"_"&amp;
TEXT(COUNTIFS(商品マスタ!$C$3:C276,商品マスタ[[#This Row],[仕入先]],商品マスタ!$E$3:E276,商品マスタ[[#This Row],[商品名]]), "00")</f>
        <v>PRD_SNJ_STF_0001_01</v>
      </c>
      <c r="E276" s="87" t="s">
        <v>798</v>
      </c>
      <c r="F276" s="87">
        <f>IF(COUNTIFS($C$3:C276,商品マスタ[[#This Row],[仕入先]],$E$3:E276,商品マスタ[[#This Row],[商品名]]) = 1, 1,0)</f>
        <v>1</v>
      </c>
      <c r="G276" s="133" t="str">
        <f>TEXT(SUMIF($C$3:C276,商品マスタ[[#This Row],[仕入先]],$F$3:F276), "0000")</f>
        <v>0001</v>
      </c>
      <c r="H276" s="87" t="s">
        <v>795</v>
      </c>
      <c r="I276" s="87"/>
      <c r="J276" s="87"/>
      <c r="K276" s="87"/>
      <c r="L276" s="134">
        <v>120</v>
      </c>
      <c r="M276" s="157"/>
      <c r="N276" s="134"/>
      <c r="O276" s="135" t="str">
        <f>IF(COUNT(商品マスタ[[#This Row],[参考上代
（税込)]]) &gt; 0, (商品マスタ[[#This Row],[参考上代
（税込)]]-商品マスタ[[#This Row],[国内定価
（15％）]])/(商品マスタ[[#This Row],[参考上代
（税込)]]/1.08), "")</f>
        <v/>
      </c>
      <c r="P276" s="136">
        <v>0.1</v>
      </c>
      <c r="Q276" s="137">
        <f>商品マスタ[[#This Row],[仕入
単価]]*商品マスタ[[#This Row],[標準国内送料率]]</f>
        <v>12</v>
      </c>
      <c r="R276" s="134"/>
      <c r="S276" s="134">
        <f>IF(ISBLANK(商品マスタ[[#This Row],[実績
国内送料]]),商品マスタ[[#This Row],[標準国内送料]],)</f>
        <v>12</v>
      </c>
      <c r="T276" s="134">
        <f>商品マスタ[[#This Row],[仕入
単価]]+商品マスタ[[#This Row],[国内送料]]</f>
        <v>132</v>
      </c>
      <c r="U276" s="134">
        <f>ROUNDUP(商品マスタ[[#This Row],[仕入単価+国内送料]]/0.8,-1)</f>
        <v>170</v>
      </c>
      <c r="V276" s="134">
        <f>商品マスタ[[#This Row],[海外定価
（20％）]]-商品マスタ[[#This Row],[仕入単価+国内送料]]</f>
        <v>38</v>
      </c>
      <c r="W276" s="87">
        <f>ROUNDUP(商品マスタ[[#This Row],[仕入単価+国内送料]]/0.85,-1)</f>
        <v>160</v>
      </c>
      <c r="X276" s="134">
        <f>商品マスタ[[#This Row],[国内定価
（15％）]]-商品マスタ[[#This Row],[仕入単価+国内送料]]</f>
        <v>28</v>
      </c>
      <c r="Y276" s="139">
        <v>0.08</v>
      </c>
      <c r="Z276" s="87"/>
      <c r="AA276" s="87"/>
      <c r="AB276" s="87"/>
      <c r="AC276" s="140"/>
      <c r="AD276" s="87"/>
      <c r="AE276" s="87"/>
      <c r="AF276" s="87"/>
      <c r="AG276" s="141"/>
    </row>
    <row r="277" spans="1:33" ht="18">
      <c r="A277" s="166" t="s">
        <v>1524</v>
      </c>
      <c r="B277" s="167" t="s">
        <v>1229</v>
      </c>
      <c r="C277" s="167" t="s">
        <v>143</v>
      </c>
      <c r="D277" s="143" t="str">
        <f>"PRD_SNJ_"&amp;
_xlfn.XLOOKUP(商品マスタ[[#This Row],[仕入先]],テーブル1[仕入先名],テーブル1[仕入先コード],"XXX",0,1)&amp;
"_"&amp;
商品マスタ[[#This Row],[シリアル]]&amp;
"_"&amp;
TEXT(COUNTIFS(商品マスタ!$C$3:C277,商品マスタ[[#This Row],[仕入先]],商品マスタ!$E$3:E277,商品マスタ[[#This Row],[商品名]]), "00")</f>
        <v>PRD_SNJ_STF_0002_01</v>
      </c>
      <c r="E277" s="87" t="s">
        <v>799</v>
      </c>
      <c r="F277" s="87">
        <f>IF(COUNTIFS($C$3:C277,商品マスタ[[#This Row],[仕入先]],$E$3:E277,商品マスタ[[#This Row],[商品名]]) = 1, 1,0)</f>
        <v>1</v>
      </c>
      <c r="G277" s="133" t="str">
        <f>TEXT(SUMIF($C$3:C277,商品マスタ[[#This Row],[仕入先]],$F$3:F277), "0000")</f>
        <v>0002</v>
      </c>
      <c r="H277" s="87" t="s">
        <v>795</v>
      </c>
      <c r="I277" s="87"/>
      <c r="J277" s="87"/>
      <c r="K277" s="87"/>
      <c r="L277" s="134">
        <v>300</v>
      </c>
      <c r="M277" s="157"/>
      <c r="N277" s="134"/>
      <c r="O277" s="135" t="str">
        <f>IF(COUNT(商品マスタ[[#This Row],[参考上代
（税込)]]) &gt; 0, (商品マスタ[[#This Row],[参考上代
（税込)]]-商品マスタ[[#This Row],[国内定価
（15％）]])/(商品マスタ[[#This Row],[参考上代
（税込)]]/1.08), "")</f>
        <v/>
      </c>
      <c r="P277" s="136">
        <v>0.1</v>
      </c>
      <c r="Q277" s="137">
        <f>商品マスタ[[#This Row],[仕入
単価]]*商品マスタ[[#This Row],[標準国内送料率]]</f>
        <v>30</v>
      </c>
      <c r="R277" s="134"/>
      <c r="S277" s="134">
        <f>IF(ISBLANK(商品マスタ[[#This Row],[実績
国内送料]]),商品マスタ[[#This Row],[標準国内送料]],)</f>
        <v>30</v>
      </c>
      <c r="T277" s="134">
        <f>商品マスタ[[#This Row],[仕入
単価]]+商品マスタ[[#This Row],[国内送料]]</f>
        <v>330</v>
      </c>
      <c r="U277" s="134">
        <f>ROUNDUP(商品マスタ[[#This Row],[仕入単価+国内送料]]/0.8,-1)</f>
        <v>420</v>
      </c>
      <c r="V277" s="134">
        <f>商品マスタ[[#This Row],[海外定価
（20％）]]-商品マスタ[[#This Row],[仕入単価+国内送料]]</f>
        <v>90</v>
      </c>
      <c r="W277" s="87">
        <f>ROUNDUP(商品マスタ[[#This Row],[仕入単価+国内送料]]/0.85,-1)</f>
        <v>390</v>
      </c>
      <c r="X277" s="134">
        <f>商品マスタ[[#This Row],[国内定価
（15％）]]-商品マスタ[[#This Row],[仕入単価+国内送料]]</f>
        <v>60</v>
      </c>
      <c r="Y277" s="139">
        <v>0.08</v>
      </c>
      <c r="Z277" s="87"/>
      <c r="AA277" s="87"/>
      <c r="AB277" s="87"/>
      <c r="AC277" s="140"/>
      <c r="AD277" s="87"/>
      <c r="AE277" s="87"/>
      <c r="AF277" s="87"/>
      <c r="AG277" s="141"/>
    </row>
    <row r="278" spans="1:33" ht="18">
      <c r="A278" s="166" t="s">
        <v>1524</v>
      </c>
      <c r="B278" s="167" t="s">
        <v>1229</v>
      </c>
      <c r="C278" s="167" t="s">
        <v>143</v>
      </c>
      <c r="D278" s="143" t="str">
        <f>"PRD_SNJ_"&amp;
_xlfn.XLOOKUP(商品マスタ[[#This Row],[仕入先]],テーブル1[仕入先名],テーブル1[仕入先コード],"XXX",0,1)&amp;
"_"&amp;
商品マスタ[[#This Row],[シリアル]]&amp;
"_"&amp;
TEXT(COUNTIFS(商品マスタ!$C$3:C278,商品マスタ[[#This Row],[仕入先]],商品マスタ!$E$3:E278,商品マスタ[[#This Row],[商品名]]), "00")</f>
        <v>PRD_SNJ_STF_0003_01</v>
      </c>
      <c r="E278" s="87" t="s">
        <v>800</v>
      </c>
      <c r="F278" s="87">
        <f>IF(COUNTIFS($C$3:C278,商品マスタ[[#This Row],[仕入先]],$E$3:E278,商品マスタ[[#This Row],[商品名]]) = 1, 1,0)</f>
        <v>1</v>
      </c>
      <c r="G278" s="133" t="str">
        <f>TEXT(SUMIF($C$3:C278,商品マスタ[[#This Row],[仕入先]],$F$3:F278), "0000")</f>
        <v>0003</v>
      </c>
      <c r="H278" s="87" t="s">
        <v>795</v>
      </c>
      <c r="I278" s="87"/>
      <c r="J278" s="87"/>
      <c r="K278" s="87"/>
      <c r="L278" s="134">
        <v>300</v>
      </c>
      <c r="M278" s="157"/>
      <c r="N278" s="134"/>
      <c r="O278" s="135" t="str">
        <f>IF(COUNT(商品マスタ[[#This Row],[参考上代
（税込)]]) &gt; 0, (商品マスタ[[#This Row],[参考上代
（税込)]]-商品マスタ[[#This Row],[国内定価
（15％）]])/(商品マスタ[[#This Row],[参考上代
（税込)]]/1.08), "")</f>
        <v/>
      </c>
      <c r="P278" s="136">
        <v>0.1</v>
      </c>
      <c r="Q278" s="137">
        <f>商品マスタ[[#This Row],[仕入
単価]]*商品マスタ[[#This Row],[標準国内送料率]]</f>
        <v>30</v>
      </c>
      <c r="R278" s="134"/>
      <c r="S278" s="134">
        <f>IF(ISBLANK(商品マスタ[[#This Row],[実績
国内送料]]),商品マスタ[[#This Row],[標準国内送料]],)</f>
        <v>30</v>
      </c>
      <c r="T278" s="134">
        <f>商品マスタ[[#This Row],[仕入
単価]]+商品マスタ[[#This Row],[国内送料]]</f>
        <v>330</v>
      </c>
      <c r="U278" s="134">
        <f>ROUNDUP(商品マスタ[[#This Row],[仕入単価+国内送料]]/0.8,-1)</f>
        <v>420</v>
      </c>
      <c r="V278" s="134">
        <f>商品マスタ[[#This Row],[海外定価
（20％）]]-商品マスタ[[#This Row],[仕入単価+国内送料]]</f>
        <v>90</v>
      </c>
      <c r="W278" s="87">
        <f>ROUNDUP(商品マスタ[[#This Row],[仕入単価+国内送料]]/0.85,-1)</f>
        <v>390</v>
      </c>
      <c r="X278" s="134">
        <f>商品マスタ[[#This Row],[国内定価
（15％）]]-商品マスタ[[#This Row],[仕入単価+国内送料]]</f>
        <v>60</v>
      </c>
      <c r="Y278" s="139">
        <v>0.08</v>
      </c>
      <c r="Z278" s="87"/>
      <c r="AA278" s="87"/>
      <c r="AB278" s="87"/>
      <c r="AC278" s="140"/>
      <c r="AD278" s="87"/>
      <c r="AE278" s="87"/>
      <c r="AF278" s="87"/>
      <c r="AG278" s="141"/>
    </row>
    <row r="279" spans="1:33" ht="18">
      <c r="A279" s="166" t="s">
        <v>1524</v>
      </c>
      <c r="B279" s="167" t="s">
        <v>1229</v>
      </c>
      <c r="C279" s="167" t="s">
        <v>36</v>
      </c>
      <c r="D279" s="143" t="str">
        <f>"PRD_SNJ_"&amp;
_xlfn.XLOOKUP(商品マスタ[[#This Row],[仕入先]],テーブル1[仕入先名],テーブル1[仕入先コード],"XXX",0,1)&amp;
"_"&amp;
商品マスタ[[#This Row],[シリアル]]&amp;
"_"&amp;
TEXT(COUNTIFS(商品マスタ!$C$3:C279,商品マスタ[[#This Row],[仕入先]],商品マスタ!$E$3:E279,商品マスタ[[#This Row],[商品名]]), "00")</f>
        <v>PRD_SNJ_MTY_0001_01</v>
      </c>
      <c r="E279" s="87" t="s">
        <v>801</v>
      </c>
      <c r="F279" s="87">
        <f>IF(COUNTIFS($C$3:C279,商品マスタ[[#This Row],[仕入先]],$E$3:E279,商品マスタ[[#This Row],[商品名]]) = 1, 1,0)</f>
        <v>1</v>
      </c>
      <c r="G279" s="133" t="str">
        <f>TEXT(SUMIF($C$3:C279,商品マスタ[[#This Row],[仕入先]],$F$3:F279), "0000")</f>
        <v>0001</v>
      </c>
      <c r="H279" s="87" t="s">
        <v>795</v>
      </c>
      <c r="I279" s="87"/>
      <c r="J279" s="87"/>
      <c r="K279" s="87"/>
      <c r="L279" s="134">
        <v>780</v>
      </c>
      <c r="M279" s="157"/>
      <c r="N279" s="134"/>
      <c r="O279" s="135" t="str">
        <f>IF(COUNT(商品マスタ[[#This Row],[参考上代
（税込)]]) &gt; 0, (商品マスタ[[#This Row],[参考上代
（税込)]]-商品マスタ[[#This Row],[国内定価
（15％）]])/(商品マスタ[[#This Row],[参考上代
（税込)]]/1.08), "")</f>
        <v/>
      </c>
      <c r="P279" s="136">
        <v>0.1</v>
      </c>
      <c r="Q279" s="137">
        <f>商品マスタ[[#This Row],[仕入
単価]]*商品マスタ[[#This Row],[標準国内送料率]]</f>
        <v>78</v>
      </c>
      <c r="R279" s="134"/>
      <c r="S279" s="134">
        <f>IF(ISBLANK(商品マスタ[[#This Row],[実績
国内送料]]),商品マスタ[[#This Row],[標準国内送料]],)</f>
        <v>78</v>
      </c>
      <c r="T279" s="134">
        <f>商品マスタ[[#This Row],[仕入
単価]]+商品マスタ[[#This Row],[国内送料]]</f>
        <v>858</v>
      </c>
      <c r="U279" s="134">
        <f>ROUNDUP(商品マスタ[[#This Row],[仕入単価+国内送料]]/0.8,-1)</f>
        <v>1080</v>
      </c>
      <c r="V279" s="134">
        <f>商品マスタ[[#This Row],[海外定価
（20％）]]-商品マスタ[[#This Row],[仕入単価+国内送料]]</f>
        <v>222</v>
      </c>
      <c r="W279" s="87">
        <f>ROUNDUP(商品マスタ[[#This Row],[仕入単価+国内送料]]/0.85,-1)</f>
        <v>1010</v>
      </c>
      <c r="X279" s="134">
        <f>商品マスタ[[#This Row],[国内定価
（15％）]]-商品マスタ[[#This Row],[仕入単価+国内送料]]</f>
        <v>152</v>
      </c>
      <c r="Y279" s="139">
        <v>0.08</v>
      </c>
      <c r="Z279" s="87"/>
      <c r="AA279" s="87"/>
      <c r="AB279" s="87"/>
      <c r="AC279" s="140"/>
      <c r="AD279" s="87"/>
      <c r="AE279" s="87"/>
      <c r="AF279" s="87"/>
      <c r="AG279" s="141"/>
    </row>
    <row r="280" spans="1:33" ht="18">
      <c r="A280" s="166" t="s">
        <v>1524</v>
      </c>
      <c r="B280" s="167" t="s">
        <v>1229</v>
      </c>
      <c r="C280" s="167" t="s">
        <v>36</v>
      </c>
      <c r="D280" s="143" t="str">
        <f>"PRD_SNJ_"&amp;
_xlfn.XLOOKUP(商品マスタ[[#This Row],[仕入先]],テーブル1[仕入先名],テーブル1[仕入先コード],"XXX",0,1)&amp;
"_"&amp;
商品マスタ[[#This Row],[シリアル]]&amp;
"_"&amp;
TEXT(COUNTIFS(商品マスタ!$C$3:C280,商品マスタ[[#This Row],[仕入先]],商品マスタ!$E$3:E280,商品マスタ[[#This Row],[商品名]]), "00")</f>
        <v>PRD_SNJ_MTY_0002_01</v>
      </c>
      <c r="E280" s="87" t="s">
        <v>802</v>
      </c>
      <c r="F280" s="87">
        <f>IF(COUNTIFS($C$3:C280,商品マスタ[[#This Row],[仕入先]],$E$3:E280,商品マスタ[[#This Row],[商品名]]) = 1, 1,0)</f>
        <v>1</v>
      </c>
      <c r="G280" s="133" t="str">
        <f>TEXT(SUMIF($C$3:C280,商品マスタ[[#This Row],[仕入先]],$F$3:F280), "0000")</f>
        <v>0002</v>
      </c>
      <c r="H280" s="87" t="s">
        <v>591</v>
      </c>
      <c r="I280" s="87"/>
      <c r="J280" s="87"/>
      <c r="K280" s="87"/>
      <c r="L280" s="134"/>
      <c r="M280" s="157"/>
      <c r="N280" s="134"/>
      <c r="O280" s="135" t="str">
        <f>IF(COUNT(商品マスタ[[#This Row],[参考上代
（税込)]]) &gt; 0, (商品マスタ[[#This Row],[参考上代
（税込)]]-商品マスタ[[#This Row],[国内定価
（15％）]])/(商品マスタ[[#This Row],[参考上代
（税込)]]/1.08), "")</f>
        <v/>
      </c>
      <c r="P280" s="136">
        <v>0.1</v>
      </c>
      <c r="Q280" s="137">
        <f>商品マスタ[[#This Row],[仕入
単価]]*商品マスタ[[#This Row],[標準国内送料率]]</f>
        <v>0</v>
      </c>
      <c r="R280" s="134"/>
      <c r="S280" s="134">
        <f>IF(ISBLANK(商品マスタ[[#This Row],[実績
国内送料]]),商品マスタ[[#This Row],[標準国内送料]],)</f>
        <v>0</v>
      </c>
      <c r="T280" s="134">
        <f>商品マスタ[[#This Row],[仕入
単価]]+商品マスタ[[#This Row],[国内送料]]</f>
        <v>0</v>
      </c>
      <c r="U280" s="134">
        <f>ROUNDUP(商品マスタ[[#This Row],[仕入単価+国内送料]]/0.8,-1)</f>
        <v>0</v>
      </c>
      <c r="V280" s="134">
        <f>商品マスタ[[#This Row],[海外定価
（20％）]]-商品マスタ[[#This Row],[仕入単価+国内送料]]</f>
        <v>0</v>
      </c>
      <c r="W280" s="87">
        <f>ROUNDUP(商品マスタ[[#This Row],[仕入単価+国内送料]]/0.85,-1)</f>
        <v>0</v>
      </c>
      <c r="X280" s="134">
        <f>商品マスタ[[#This Row],[国内定価
（15％）]]-商品マスタ[[#This Row],[仕入単価+国内送料]]</f>
        <v>0</v>
      </c>
      <c r="Y280" s="139">
        <v>0.08</v>
      </c>
      <c r="Z280" s="87"/>
      <c r="AA280" s="87"/>
      <c r="AB280" s="87"/>
      <c r="AC280" s="140"/>
      <c r="AD280" s="87"/>
      <c r="AE280" s="87"/>
      <c r="AF280" s="87"/>
      <c r="AG280" s="141"/>
    </row>
    <row r="281" spans="1:33" ht="18">
      <c r="A281" s="166" t="s">
        <v>1519</v>
      </c>
      <c r="B281" s="167" t="s">
        <v>1235</v>
      </c>
      <c r="C281" s="167" t="s">
        <v>15</v>
      </c>
      <c r="D281" s="143" t="str">
        <f>"PRD_SNJ_"&amp;
_xlfn.XLOOKUP(商品マスタ[[#This Row],[仕入先]],テーブル1[仕入先名],テーブル1[仕入先コード],"XXX",0,1)&amp;
"_"&amp;
商品マスタ[[#This Row],[シリアル]]&amp;
"_"&amp;
TEXT(COUNTIFS(商品マスタ!$C$3:C281,商品マスタ[[#This Row],[仕入先]],商品マスタ!$E$3:E281,商品マスタ[[#This Row],[商品名]]), "00")</f>
        <v>PRD_SNJ_NNS_0008_01</v>
      </c>
      <c r="E281" s="87" t="s">
        <v>803</v>
      </c>
      <c r="F281" s="87">
        <f>IF(COUNTIFS($C$3:C281,商品マスタ[[#This Row],[仕入先]],$E$3:E281,商品マスタ[[#This Row],[商品名]]) = 1, 1,0)</f>
        <v>1</v>
      </c>
      <c r="G281" s="133" t="str">
        <f>TEXT(SUMIF($C$3:C281,商品マスタ[[#This Row],[仕入先]],$F$3:F281), "0000")</f>
        <v>0008</v>
      </c>
      <c r="H281" s="87" t="s">
        <v>804</v>
      </c>
      <c r="I281" s="87"/>
      <c r="J281" s="87"/>
      <c r="K281" s="87"/>
      <c r="L281" s="134">
        <v>456</v>
      </c>
      <c r="M281" s="157"/>
      <c r="N281" s="134"/>
      <c r="O281" s="135" t="str">
        <f>IF(COUNT(商品マスタ[[#This Row],[参考上代
（税込)]]) &gt; 0, (商品マスタ[[#This Row],[参考上代
（税込)]]-商品マスタ[[#This Row],[国内定価
（15％）]])/(商品マスタ[[#This Row],[参考上代
（税込)]]/1.08), "")</f>
        <v/>
      </c>
      <c r="P281" s="136">
        <v>0.1</v>
      </c>
      <c r="Q281" s="137">
        <f>商品マスタ[[#This Row],[仕入
単価]]*商品マスタ[[#This Row],[標準国内送料率]]</f>
        <v>45.6</v>
      </c>
      <c r="R281" s="134"/>
      <c r="S281" s="134">
        <f>IF(ISBLANK(商品マスタ[[#This Row],[実績
国内送料]]),商品マスタ[[#This Row],[標準国内送料]],)</f>
        <v>45.6</v>
      </c>
      <c r="T281" s="134">
        <f>商品マスタ[[#This Row],[仕入
単価]]+商品マスタ[[#This Row],[国内送料]]</f>
        <v>501.6</v>
      </c>
      <c r="U281" s="134">
        <f>ROUNDUP(商品マスタ[[#This Row],[仕入単価+国内送料]]/0.8,-1)</f>
        <v>630</v>
      </c>
      <c r="V281" s="134">
        <f>商品マスタ[[#This Row],[海外定価
（20％）]]-商品マスタ[[#This Row],[仕入単価+国内送料]]</f>
        <v>128.39999999999998</v>
      </c>
      <c r="W281" s="87">
        <f>ROUNDUP(商品マスタ[[#This Row],[仕入単価+国内送料]]/0.85,-1)</f>
        <v>600</v>
      </c>
      <c r="X281" s="134">
        <f>商品マスタ[[#This Row],[国内定価
（15％）]]-商品マスタ[[#This Row],[仕入単価+国内送料]]</f>
        <v>98.399999999999977</v>
      </c>
      <c r="Y281" s="139">
        <v>0.08</v>
      </c>
      <c r="Z281" s="87"/>
      <c r="AA281" s="87"/>
      <c r="AB281" s="87"/>
      <c r="AC281" s="140"/>
      <c r="AD281" s="87"/>
      <c r="AE281" s="87"/>
      <c r="AF281" s="87"/>
      <c r="AG281" s="141"/>
    </row>
    <row r="282" spans="1:33" ht="18">
      <c r="A282" s="166" t="s">
        <v>1523</v>
      </c>
      <c r="B282" s="167" t="s">
        <v>1231</v>
      </c>
      <c r="C282" s="167" t="s">
        <v>997</v>
      </c>
      <c r="D282" s="143" t="str">
        <f>"PRD_SNJ_"&amp;
_xlfn.XLOOKUP(商品マスタ[[#This Row],[仕入先]],テーブル1[仕入先名],テーブル1[仕入先コード],"XXX",0,1)&amp;
"_"&amp;
商品マスタ[[#This Row],[シリアル]]&amp;
"_"&amp;
TEXT(COUNTIFS(商品マスタ!$C$3:C282,商品マスタ[[#This Row],[仕入先]],商品マスタ!$E$3:E282,商品マスタ[[#This Row],[商品名]]), "00")</f>
        <v>PRD_SNJ_GGM_0095_01</v>
      </c>
      <c r="E282" s="87" t="s">
        <v>805</v>
      </c>
      <c r="F282" s="87">
        <f>IF(COUNTIFS($C$3:C282,商品マスタ[[#This Row],[仕入先]],$E$3:E282,商品マスタ[[#This Row],[商品名]]) = 1, 1,0)</f>
        <v>1</v>
      </c>
      <c r="G282" s="133" t="str">
        <f>TEXT(SUMIF($C$3:C282,商品マスタ[[#This Row],[仕入先]],$F$3:F282), "0000")</f>
        <v>0095</v>
      </c>
      <c r="H282" s="87" t="s">
        <v>899</v>
      </c>
      <c r="I282" s="87" t="s">
        <v>1016</v>
      </c>
      <c r="J282" s="87">
        <v>1</v>
      </c>
      <c r="K282" s="87"/>
      <c r="L282" s="134">
        <v>2000</v>
      </c>
      <c r="M282" s="157"/>
      <c r="N282" s="134"/>
      <c r="O282" s="135" t="str">
        <f>IF(COUNT(商品マスタ[[#This Row],[参考上代
（税込)]]) &gt; 0, (商品マスタ[[#This Row],[参考上代
（税込)]]-商品マスタ[[#This Row],[国内定価
（15％）]])/(商品マスタ[[#This Row],[参考上代
（税込)]]/1.08), "")</f>
        <v/>
      </c>
      <c r="P282" s="136">
        <v>0.1</v>
      </c>
      <c r="Q282" s="137">
        <f>商品マスタ[[#This Row],[仕入
単価]]*商品マスタ[[#This Row],[標準国内送料率]]</f>
        <v>200</v>
      </c>
      <c r="R282" s="134">
        <v>0</v>
      </c>
      <c r="S282" s="134">
        <f>IF(ISBLANK(商品マスタ[[#This Row],[実績
国内送料]]),商品マスタ[[#This Row],[標準国内送料]],)</f>
        <v>0</v>
      </c>
      <c r="T282" s="134">
        <f>商品マスタ[[#This Row],[仕入
単価]]+商品マスタ[[#This Row],[国内送料]]</f>
        <v>2000</v>
      </c>
      <c r="U282" s="134">
        <f>ROUNDUP(商品マスタ[[#This Row],[仕入単価+国内送料]]/0.8,-1)</f>
        <v>2500</v>
      </c>
      <c r="V282" s="134">
        <f>商品マスタ[[#This Row],[海外定価
（20％）]]-商品マスタ[[#This Row],[仕入単価+国内送料]]</f>
        <v>500</v>
      </c>
      <c r="W282" s="87">
        <f>ROUNDUP(商品マスタ[[#This Row],[仕入単価+国内送料]]/0.85,-1)</f>
        <v>2360</v>
      </c>
      <c r="X282" s="134">
        <f>商品マスタ[[#This Row],[国内定価
（15％）]]-商品マスタ[[#This Row],[仕入単価+国内送料]]</f>
        <v>360</v>
      </c>
      <c r="Y282" s="139">
        <v>0.08</v>
      </c>
      <c r="Z282" s="87"/>
      <c r="AA282" s="87"/>
      <c r="AB282" s="87"/>
      <c r="AC282" s="140"/>
      <c r="AD282" s="87"/>
      <c r="AE282" s="87"/>
      <c r="AF282" s="87"/>
      <c r="AG282" s="141"/>
    </row>
    <row r="283" spans="1:33" ht="18">
      <c r="A283" s="166" t="s">
        <v>1518</v>
      </c>
      <c r="B283" s="167" t="s">
        <v>1247</v>
      </c>
      <c r="C283" s="167" t="s">
        <v>145</v>
      </c>
      <c r="D283" s="143" t="str">
        <f>"PRD_SNJ_"&amp;
_xlfn.XLOOKUP(商品マスタ[[#This Row],[仕入先]],テーブル1[仕入先名],テーブル1[仕入先コード],"XXX",0,1)&amp;
"_"&amp;
商品マスタ[[#This Row],[シリアル]]&amp;
"_"&amp;
TEXT(COUNTIFS(商品マスタ!$C$3:C283,商品マスタ[[#This Row],[仕入先]],商品マスタ!$E$3:E283,商品マスタ[[#This Row],[商品名]]), "00")</f>
        <v>PRD_SNJ_CCL_0001_01</v>
      </c>
      <c r="E283" s="87" t="s">
        <v>926</v>
      </c>
      <c r="F283" s="87">
        <f>IF(COUNTIFS($C$3:C283,商品マスタ[[#This Row],[仕入先]],$E$3:E283,商品マスタ[[#This Row],[商品名]]) = 1, 1,0)</f>
        <v>1</v>
      </c>
      <c r="G283" s="133" t="str">
        <f>TEXT(SUMIF($C$3:C283,商品マスタ[[#This Row],[仕入先]],$F$3:F283), "0000")</f>
        <v>0001</v>
      </c>
      <c r="H283" s="87" t="s">
        <v>365</v>
      </c>
      <c r="I283" s="87"/>
      <c r="J283" s="87"/>
      <c r="K283" s="87"/>
      <c r="L283" s="134">
        <v>1767</v>
      </c>
      <c r="M283" s="157"/>
      <c r="N283" s="134"/>
      <c r="O283" s="135" t="str">
        <f>IF(COUNT(商品マスタ[[#This Row],[参考上代
（税込)]]) &gt; 0, (商品マスタ[[#This Row],[参考上代
（税込)]]-商品マスタ[[#This Row],[国内定価
（15％）]])/(商品マスタ[[#This Row],[参考上代
（税込)]]/1.08), "")</f>
        <v/>
      </c>
      <c r="P283" s="136">
        <v>0.1</v>
      </c>
      <c r="Q283" s="134">
        <f>商品マスタ[[#This Row],[仕入
単価]]*商品マスタ[[#This Row],[標準国内送料率]]</f>
        <v>176.70000000000002</v>
      </c>
      <c r="R283" s="134"/>
      <c r="S283" s="134">
        <f>IF(ISBLANK(商品マスタ[[#This Row],[実績
国内送料]]),商品マスタ[[#This Row],[標準国内送料]],)</f>
        <v>176.70000000000002</v>
      </c>
      <c r="T283" s="134">
        <f>商品マスタ[[#This Row],[仕入
単価]]+商品マスタ[[#This Row],[国内送料]]</f>
        <v>1943.7</v>
      </c>
      <c r="U283" s="134">
        <f>ROUNDUP(商品マスタ[[#This Row],[仕入単価+国内送料]]/0.8,-1)</f>
        <v>2430</v>
      </c>
      <c r="V283" s="134">
        <f>商品マスタ[[#This Row],[海外定価
（20％）]]-商品マスタ[[#This Row],[仕入単価+国内送料]]</f>
        <v>486.29999999999995</v>
      </c>
      <c r="W283" s="87">
        <f>ROUNDUP(商品マスタ[[#This Row],[仕入単価+国内送料]]/0.85,-1)</f>
        <v>2290</v>
      </c>
      <c r="X283" s="134">
        <f>商品マスタ[[#This Row],[国内定価
（15％）]]-商品マスタ[[#This Row],[仕入単価+国内送料]]</f>
        <v>346.29999999999995</v>
      </c>
      <c r="Y283" s="139">
        <v>0.1</v>
      </c>
      <c r="Z283" s="87"/>
      <c r="AA283" s="87"/>
      <c r="AB283" s="87"/>
      <c r="AC283" s="140"/>
      <c r="AD283" s="87"/>
      <c r="AE283" s="87"/>
      <c r="AF283" s="87"/>
      <c r="AG283" s="141"/>
    </row>
    <row r="284" spans="1:33" ht="18">
      <c r="A284" s="166" t="s">
        <v>1521</v>
      </c>
      <c r="B284" s="167" t="s">
        <v>1517</v>
      </c>
      <c r="C284" s="167" t="s">
        <v>147</v>
      </c>
      <c r="D284" s="143" t="str">
        <f>"PRD_SNJ_"&amp;
_xlfn.XLOOKUP(商品マスタ[[#This Row],[仕入先]],テーブル1[仕入先名],テーブル1[仕入先コード],"XXX",0,1)&amp;
"_"&amp;
商品マスタ[[#This Row],[シリアル]]&amp;
"_"&amp;
TEXT(COUNTIFS(商品マスタ!$C$3:C284,商品マスタ[[#This Row],[仕入先]],商品マスタ!$E$3:E284,商品マスタ[[#This Row],[商品名]]), "00")</f>
        <v>PRD_SNJ_YMT_0001_01</v>
      </c>
      <c r="E284" s="87" t="s">
        <v>806</v>
      </c>
      <c r="F284" s="87">
        <f>IF(COUNTIFS($C$3:C284,商品マスタ[[#This Row],[仕入先]],$E$3:E284,商品マスタ[[#This Row],[商品名]]) = 1, 1,0)</f>
        <v>1</v>
      </c>
      <c r="G284" s="133" t="str">
        <f>TEXT(SUMIF($C$3:C284,商品マスタ[[#This Row],[仕入先]],$F$3:F284), "0000")</f>
        <v>0001</v>
      </c>
      <c r="H284" s="87" t="s">
        <v>591</v>
      </c>
      <c r="I284" s="87"/>
      <c r="J284" s="87"/>
      <c r="K284" s="87"/>
      <c r="L284" s="134">
        <v>2110</v>
      </c>
      <c r="M284" s="157"/>
      <c r="N284" s="134"/>
      <c r="O284" s="135" t="str">
        <f>IF(COUNT(商品マスタ[[#This Row],[参考上代
（税込)]]) &gt; 0, (商品マスタ[[#This Row],[参考上代
（税込)]]-商品マスタ[[#This Row],[国内定価
（15％）]])/(商品マスタ[[#This Row],[参考上代
（税込)]]/1.08), "")</f>
        <v/>
      </c>
      <c r="P284" s="136">
        <v>0.1</v>
      </c>
      <c r="Q284" s="134">
        <f>商品マスタ[[#This Row],[仕入
単価]]*商品マスタ[[#This Row],[標準国内送料率]]</f>
        <v>211</v>
      </c>
      <c r="R284" s="134"/>
      <c r="S284" s="134">
        <f>IF(ISBLANK(商品マスタ[[#This Row],[実績
国内送料]]),商品マスタ[[#This Row],[標準国内送料]],)</f>
        <v>211</v>
      </c>
      <c r="T284" s="134">
        <f>商品マスタ[[#This Row],[仕入
単価]]+商品マスタ[[#This Row],[国内送料]]</f>
        <v>2321</v>
      </c>
      <c r="U284" s="134">
        <f>ROUNDUP(商品マスタ[[#This Row],[仕入単価+国内送料]]/0.8,-1)</f>
        <v>2910</v>
      </c>
      <c r="V284" s="134">
        <f>商品マスタ[[#This Row],[海外定価
（20％）]]-商品マスタ[[#This Row],[仕入単価+国内送料]]</f>
        <v>589</v>
      </c>
      <c r="W284" s="87">
        <f>ROUNDUP(商品マスタ[[#This Row],[仕入単価+国内送料]]/0.85,-1)</f>
        <v>2740</v>
      </c>
      <c r="X284" s="134">
        <f>商品マスタ[[#This Row],[国内定価
（15％）]]-商品マスタ[[#This Row],[仕入単価+国内送料]]</f>
        <v>419</v>
      </c>
      <c r="Y284" s="139">
        <v>0.1</v>
      </c>
      <c r="Z284" s="87"/>
      <c r="AA284" s="87"/>
      <c r="AB284" s="87"/>
      <c r="AC284" s="140"/>
      <c r="AD284" s="87"/>
      <c r="AE284" s="87"/>
      <c r="AF284" s="87"/>
      <c r="AG284" s="141"/>
    </row>
    <row r="285" spans="1:33" ht="18">
      <c r="A285" s="166" t="s">
        <v>1524</v>
      </c>
      <c r="B285" s="167" t="s">
        <v>1229</v>
      </c>
      <c r="C285" s="167" t="s">
        <v>869</v>
      </c>
      <c r="D285" s="143" t="str">
        <f>"PRD_SNJ_"&amp;
_xlfn.XLOOKUP(商品マスタ[[#This Row],[仕入先]],テーブル1[仕入先名],テーブル1[仕入先コード],"XXX",0,1)&amp;
"_"&amp;
商品マスタ[[#This Row],[シリアル]]&amp;
"_"&amp;
TEXT(COUNTIFS(商品マスタ!$C$3:C285,商品マスタ[[#This Row],[仕入先]],商品マスタ!$E$3:E285,商品マスタ[[#This Row],[商品名]]), "00")</f>
        <v>PRD_SNJ_GYB_0001_01</v>
      </c>
      <c r="E285" s="87" t="s">
        <v>875</v>
      </c>
      <c r="F285" s="87">
        <f>IF(COUNTIFS($C$3:C285,商品マスタ[[#This Row],[仕入先]],$E$3:E285,商品マスタ[[#This Row],[商品名]]) = 1, 1,0)</f>
        <v>1</v>
      </c>
      <c r="G285" s="133" t="str">
        <f>TEXT(SUMIF($C$3:C285,商品マスタ[[#This Row],[仕入先]],$F$3:F285), "0000")</f>
        <v>0001</v>
      </c>
      <c r="H285" s="87" t="s">
        <v>900</v>
      </c>
      <c r="I285" s="87" t="s">
        <v>898</v>
      </c>
      <c r="J285" s="87">
        <v>600</v>
      </c>
      <c r="K285" s="87"/>
      <c r="L285" s="152">
        <v>42000</v>
      </c>
      <c r="M285" s="157"/>
      <c r="N285" s="152"/>
      <c r="O285" s="135" t="str">
        <f>IF(COUNT(商品マスタ[[#This Row],[参考上代
（税込)]]) &gt; 0, (商品マスタ[[#This Row],[参考上代
（税込)]]-商品マスタ[[#This Row],[国内定価
（15％）]])/(商品マスタ[[#This Row],[参考上代
（税込)]]/1.08), "")</f>
        <v/>
      </c>
      <c r="P285" s="136">
        <v>0.1</v>
      </c>
      <c r="Q285" s="134">
        <f>商品マスタ[[#This Row],[仕入
単価]]*商品マスタ[[#This Row],[標準国内送料率]]</f>
        <v>4200</v>
      </c>
      <c r="R285" s="134"/>
      <c r="S285" s="134">
        <f>IF(ISBLANK(商品マスタ[[#This Row],[実績
国内送料]]),商品マスタ[[#This Row],[標準国内送料]],)</f>
        <v>4200</v>
      </c>
      <c r="T285" s="134">
        <f>商品マスタ[[#This Row],[仕入
単価]]+商品マスタ[[#This Row],[国内送料]]</f>
        <v>46200</v>
      </c>
      <c r="U285" s="134">
        <f>ROUNDUP(商品マスタ[[#This Row],[仕入単価+国内送料]]/0.8,-1)</f>
        <v>57750</v>
      </c>
      <c r="V285" s="134">
        <f>商品マスタ[[#This Row],[海外定価
（20％）]]-商品マスタ[[#This Row],[仕入単価+国内送料]]</f>
        <v>11550</v>
      </c>
      <c r="W285" s="87">
        <f>ROUNDUP(商品マスタ[[#This Row],[仕入単価+国内送料]]/0.85,-1)</f>
        <v>54360</v>
      </c>
      <c r="X285" s="134">
        <f>商品マスタ[[#This Row],[国内定価
（15％）]]-商品マスタ[[#This Row],[仕入単価+国内送料]]</f>
        <v>8160</v>
      </c>
      <c r="Y285" s="139">
        <v>0.08</v>
      </c>
      <c r="Z285" s="87" t="s">
        <v>911</v>
      </c>
      <c r="AA285" s="87" t="s">
        <v>370</v>
      </c>
      <c r="AB285" s="87"/>
      <c r="AC285" s="140"/>
      <c r="AD285" s="87"/>
      <c r="AE285" s="87"/>
      <c r="AF285" s="87"/>
      <c r="AG285" s="141"/>
    </row>
    <row r="286" spans="1:33" ht="18">
      <c r="A286" s="166" t="s">
        <v>1524</v>
      </c>
      <c r="B286" s="167" t="s">
        <v>1229</v>
      </c>
      <c r="C286" s="167" t="s">
        <v>869</v>
      </c>
      <c r="D286" s="143" t="str">
        <f>"PRD_SNJ_"&amp;
_xlfn.XLOOKUP(商品マスタ[[#This Row],[仕入先]],テーブル1[仕入先名],テーブル1[仕入先コード],"XXX",0,1)&amp;
"_"&amp;
商品マスタ[[#This Row],[シリアル]]&amp;
"_"&amp;
TEXT(COUNTIFS(商品マスタ!$C$3:C286,商品マスタ[[#This Row],[仕入先]],商品マスタ!$E$3:E286,商品マスタ[[#This Row],[商品名]]), "00")</f>
        <v>PRD_SNJ_GYB_0002_01</v>
      </c>
      <c r="E286" s="87" t="s">
        <v>876</v>
      </c>
      <c r="F286" s="87">
        <f>IF(COUNTIFS($C$3:C286,商品マスタ[[#This Row],[仕入先]],$E$3:E286,商品マスタ[[#This Row],[商品名]]) = 1, 1,0)</f>
        <v>1</v>
      </c>
      <c r="G286" s="133" t="str">
        <f>TEXT(SUMIF($C$3:C286,商品マスタ[[#This Row],[仕入先]],$F$3:F286), "0000")</f>
        <v>0002</v>
      </c>
      <c r="H286" s="87" t="s">
        <v>900</v>
      </c>
      <c r="I286" s="87" t="s">
        <v>898</v>
      </c>
      <c r="J286" s="87">
        <v>600</v>
      </c>
      <c r="K286" s="87"/>
      <c r="L286" s="152">
        <v>42000</v>
      </c>
      <c r="M286" s="157"/>
      <c r="N286" s="152"/>
      <c r="O286" s="135" t="str">
        <f>IF(COUNT(商品マスタ[[#This Row],[参考上代
（税込)]]) &gt; 0, (商品マスタ[[#This Row],[参考上代
（税込)]]-商品マスタ[[#This Row],[国内定価
（15％）]])/(商品マスタ[[#This Row],[参考上代
（税込)]]/1.08), "")</f>
        <v/>
      </c>
      <c r="P286" s="136">
        <v>0.1</v>
      </c>
      <c r="Q286" s="134">
        <f>商品マスタ[[#This Row],[仕入
単価]]*商品マスタ[[#This Row],[標準国内送料率]]</f>
        <v>4200</v>
      </c>
      <c r="R286" s="134"/>
      <c r="S286" s="134">
        <f>IF(ISBLANK(商品マスタ[[#This Row],[実績
国内送料]]),商品マスタ[[#This Row],[標準国内送料]],)</f>
        <v>4200</v>
      </c>
      <c r="T286" s="134">
        <f>商品マスタ[[#This Row],[仕入
単価]]+商品マスタ[[#This Row],[国内送料]]</f>
        <v>46200</v>
      </c>
      <c r="U286" s="134">
        <f>ROUNDUP(商品マスタ[[#This Row],[仕入単価+国内送料]]/0.8,-1)</f>
        <v>57750</v>
      </c>
      <c r="V286" s="134">
        <f>商品マスタ[[#This Row],[海外定価
（20％）]]-商品マスタ[[#This Row],[仕入単価+国内送料]]</f>
        <v>11550</v>
      </c>
      <c r="W286" s="87">
        <f>ROUNDUP(商品マスタ[[#This Row],[仕入単価+国内送料]]/0.85,-1)</f>
        <v>54360</v>
      </c>
      <c r="X286" s="134">
        <f>商品マスタ[[#This Row],[国内定価
（15％）]]-商品マスタ[[#This Row],[仕入単価+国内送料]]</f>
        <v>8160</v>
      </c>
      <c r="Y286" s="139">
        <v>0.08</v>
      </c>
      <c r="Z286" s="87" t="s">
        <v>911</v>
      </c>
      <c r="AA286" s="87" t="s">
        <v>370</v>
      </c>
      <c r="AB286" s="87"/>
      <c r="AC286" s="140"/>
      <c r="AD286" s="87"/>
      <c r="AE286" s="87"/>
      <c r="AF286" s="87"/>
      <c r="AG286" s="141"/>
    </row>
    <row r="287" spans="1:33" ht="18">
      <c r="A287" s="166" t="s">
        <v>1521</v>
      </c>
      <c r="B287" s="167" t="s">
        <v>1517</v>
      </c>
      <c r="C287" s="167" t="s">
        <v>869</v>
      </c>
      <c r="D287" s="143" t="str">
        <f>"PRD_SNJ_"&amp;
_xlfn.XLOOKUP(商品マスタ[[#This Row],[仕入先]],テーブル1[仕入先名],テーブル1[仕入先コード],"XXX",0,1)&amp;
"_"&amp;
商品マスタ[[#This Row],[シリアル]]&amp;
"_"&amp;
TEXT(COUNTIFS(商品マスタ!$C$3:C287,商品マスタ[[#This Row],[仕入先]],商品マスタ!$E$3:E287,商品マスタ[[#This Row],[商品名]]), "00")</f>
        <v>PRD_SNJ_GYB_0003_01</v>
      </c>
      <c r="E287" s="87" t="s">
        <v>877</v>
      </c>
      <c r="F287" s="87">
        <f>IF(COUNTIFS($C$3:C287,商品マスタ[[#This Row],[仕入先]],$E$3:E287,商品マスタ[[#This Row],[商品名]]) = 1, 1,0)</f>
        <v>1</v>
      </c>
      <c r="G287" s="133" t="str">
        <f>TEXT(SUMIF($C$3:C287,商品マスタ[[#This Row],[仕入先]],$F$3:F287), "0000")</f>
        <v>0003</v>
      </c>
      <c r="H287" s="87" t="s">
        <v>900</v>
      </c>
      <c r="I287" s="87" t="s">
        <v>898</v>
      </c>
      <c r="J287" s="87">
        <v>600</v>
      </c>
      <c r="K287" s="87"/>
      <c r="L287" s="152">
        <v>25200</v>
      </c>
      <c r="M287" s="157"/>
      <c r="N287" s="152"/>
      <c r="O287" s="135" t="str">
        <f>IF(COUNT(商品マスタ[[#This Row],[参考上代
（税込)]]) &gt; 0, (商品マスタ[[#This Row],[参考上代
（税込)]]-商品マスタ[[#This Row],[国内定価
（15％）]])/(商品マスタ[[#This Row],[参考上代
（税込)]]/1.08), "")</f>
        <v/>
      </c>
      <c r="P287" s="136">
        <v>0.1</v>
      </c>
      <c r="Q287" s="134">
        <f>商品マスタ[[#This Row],[仕入
単価]]*商品マスタ[[#This Row],[標準国内送料率]]</f>
        <v>2520</v>
      </c>
      <c r="R287" s="134"/>
      <c r="S287" s="134">
        <f>IF(ISBLANK(商品マスタ[[#This Row],[実績
国内送料]]),商品マスタ[[#This Row],[標準国内送料]],)</f>
        <v>2520</v>
      </c>
      <c r="T287" s="134">
        <f>商品マスタ[[#This Row],[仕入
単価]]+商品マスタ[[#This Row],[国内送料]]</f>
        <v>27720</v>
      </c>
      <c r="U287" s="134">
        <f>ROUNDUP(商品マスタ[[#This Row],[仕入単価+国内送料]]/0.8,-1)</f>
        <v>34650</v>
      </c>
      <c r="V287" s="134">
        <f>商品マスタ[[#This Row],[海外定価
（20％）]]-商品マスタ[[#This Row],[仕入単価+国内送料]]</f>
        <v>6930</v>
      </c>
      <c r="W287" s="87">
        <f>ROUNDUP(商品マスタ[[#This Row],[仕入単価+国内送料]]/0.85,-1)</f>
        <v>32620</v>
      </c>
      <c r="X287" s="134">
        <f>商品マスタ[[#This Row],[国内定価
（15％）]]-商品マスタ[[#This Row],[仕入単価+国内送料]]</f>
        <v>4900</v>
      </c>
      <c r="Y287" s="139">
        <v>0.08</v>
      </c>
      <c r="Z287" s="87" t="s">
        <v>911</v>
      </c>
      <c r="AA287" s="87" t="s">
        <v>370</v>
      </c>
      <c r="AB287" s="87"/>
      <c r="AC287" s="140"/>
      <c r="AD287" s="87"/>
      <c r="AE287" s="87"/>
      <c r="AF287" s="87"/>
      <c r="AG287" s="141"/>
    </row>
    <row r="288" spans="1:33" ht="18">
      <c r="A288" s="166" t="s">
        <v>1521</v>
      </c>
      <c r="B288" s="167" t="s">
        <v>1517</v>
      </c>
      <c r="C288" s="167" t="s">
        <v>869</v>
      </c>
      <c r="D288" s="143" t="str">
        <f>"PRD_SNJ_"&amp;
_xlfn.XLOOKUP(商品マスタ[[#This Row],[仕入先]],テーブル1[仕入先名],テーブル1[仕入先コード],"XXX",0,1)&amp;
"_"&amp;
商品マスタ[[#This Row],[シリアル]]&amp;
"_"&amp;
TEXT(COUNTIFS(商品マスタ!$C$3:C288,商品マスタ[[#This Row],[仕入先]],商品マスタ!$E$3:E288,商品マスタ[[#This Row],[商品名]]), "00")</f>
        <v>PRD_SNJ_GYB_0004_01</v>
      </c>
      <c r="E288" s="87" t="s">
        <v>878</v>
      </c>
      <c r="F288" s="87">
        <f>IF(COUNTIFS($C$3:C288,商品マスタ[[#This Row],[仕入先]],$E$3:E288,商品マスタ[[#This Row],[商品名]]) = 1, 1,0)</f>
        <v>1</v>
      </c>
      <c r="G288" s="133" t="str">
        <f>TEXT(SUMIF($C$3:C288,商品マスタ[[#This Row],[仕入先]],$F$3:F288), "0000")</f>
        <v>0004</v>
      </c>
      <c r="H288" s="87" t="s">
        <v>900</v>
      </c>
      <c r="I288" s="87" t="s">
        <v>898</v>
      </c>
      <c r="J288" s="87">
        <v>600</v>
      </c>
      <c r="K288" s="87"/>
      <c r="L288" s="152">
        <v>27000</v>
      </c>
      <c r="M288" s="157"/>
      <c r="N288" s="152"/>
      <c r="O288" s="135" t="str">
        <f>IF(COUNT(商品マスタ[[#This Row],[参考上代
（税込)]]) &gt; 0, (商品マスタ[[#This Row],[参考上代
（税込)]]-商品マスタ[[#This Row],[国内定価
（15％）]])/(商品マスタ[[#This Row],[参考上代
（税込)]]/1.08), "")</f>
        <v/>
      </c>
      <c r="P288" s="136">
        <v>0.1</v>
      </c>
      <c r="Q288" s="134">
        <f>商品マスタ[[#This Row],[仕入
単価]]*商品マスタ[[#This Row],[標準国内送料率]]</f>
        <v>2700</v>
      </c>
      <c r="R288" s="134"/>
      <c r="S288" s="134">
        <f>IF(ISBLANK(商品マスタ[[#This Row],[実績
国内送料]]),商品マスタ[[#This Row],[標準国内送料]],)</f>
        <v>2700</v>
      </c>
      <c r="T288" s="134">
        <f>商品マスタ[[#This Row],[仕入
単価]]+商品マスタ[[#This Row],[国内送料]]</f>
        <v>29700</v>
      </c>
      <c r="U288" s="134">
        <f>ROUNDUP(商品マスタ[[#This Row],[仕入単価+国内送料]]/0.8,-1)</f>
        <v>37130</v>
      </c>
      <c r="V288" s="134">
        <f>商品マスタ[[#This Row],[海外定価
（20％）]]-商品マスタ[[#This Row],[仕入単価+国内送料]]</f>
        <v>7430</v>
      </c>
      <c r="W288" s="87">
        <f>ROUNDUP(商品マスタ[[#This Row],[仕入単価+国内送料]]/0.85,-1)</f>
        <v>34950</v>
      </c>
      <c r="X288" s="134">
        <f>商品マスタ[[#This Row],[国内定価
（15％）]]-商品マスタ[[#This Row],[仕入単価+国内送料]]</f>
        <v>5250</v>
      </c>
      <c r="Y288" s="139">
        <v>0.08</v>
      </c>
      <c r="Z288" s="87" t="s">
        <v>911</v>
      </c>
      <c r="AA288" s="87" t="s">
        <v>370</v>
      </c>
      <c r="AB288" s="87"/>
      <c r="AC288" s="140"/>
      <c r="AD288" s="87"/>
      <c r="AE288" s="87"/>
      <c r="AF288" s="87"/>
      <c r="AG288" s="141"/>
    </row>
    <row r="289" spans="1:33" ht="18">
      <c r="A289" s="166" t="s">
        <v>1521</v>
      </c>
      <c r="B289" s="167" t="s">
        <v>1517</v>
      </c>
      <c r="C289" s="167" t="s">
        <v>869</v>
      </c>
      <c r="D289" s="143" t="str">
        <f>"PRD_SNJ_"&amp;
_xlfn.XLOOKUP(商品マスタ[[#This Row],[仕入先]],テーブル1[仕入先名],テーブル1[仕入先コード],"XXX",0,1)&amp;
"_"&amp;
商品マスタ[[#This Row],[シリアル]]&amp;
"_"&amp;
TEXT(COUNTIFS(商品マスタ!$C$3:C289,商品マスタ[[#This Row],[仕入先]],商品マスタ!$E$3:E289,商品マスタ[[#This Row],[商品名]]), "00")</f>
        <v>PRD_SNJ_GYB_0005_01</v>
      </c>
      <c r="E289" s="87" t="s">
        <v>879</v>
      </c>
      <c r="F289" s="87">
        <f>IF(COUNTIFS($C$3:C289,商品マスタ[[#This Row],[仕入先]],$E$3:E289,商品マスタ[[#This Row],[商品名]]) = 1, 1,0)</f>
        <v>1</v>
      </c>
      <c r="G289" s="133" t="str">
        <f>TEXT(SUMIF($C$3:C289,商品マスタ[[#This Row],[仕入先]],$F$3:F289), "0000")</f>
        <v>0005</v>
      </c>
      <c r="H289" s="87" t="s">
        <v>900</v>
      </c>
      <c r="I289" s="87" t="s">
        <v>898</v>
      </c>
      <c r="J289" s="87">
        <v>600</v>
      </c>
      <c r="K289" s="87"/>
      <c r="L289" s="152">
        <v>27000</v>
      </c>
      <c r="M289" s="157"/>
      <c r="N289" s="152"/>
      <c r="O289" s="135" t="str">
        <f>IF(COUNT(商品マスタ[[#This Row],[参考上代
（税込)]]) &gt; 0, (商品マスタ[[#This Row],[参考上代
（税込)]]-商品マスタ[[#This Row],[国内定価
（15％）]])/(商品マスタ[[#This Row],[参考上代
（税込)]]/1.08), "")</f>
        <v/>
      </c>
      <c r="P289" s="136">
        <v>0.1</v>
      </c>
      <c r="Q289" s="134">
        <f>商品マスタ[[#This Row],[仕入
単価]]*商品マスタ[[#This Row],[標準国内送料率]]</f>
        <v>2700</v>
      </c>
      <c r="R289" s="134"/>
      <c r="S289" s="134">
        <f>IF(ISBLANK(商品マスタ[[#This Row],[実績
国内送料]]),商品マスタ[[#This Row],[標準国内送料]],)</f>
        <v>2700</v>
      </c>
      <c r="T289" s="134">
        <f>商品マスタ[[#This Row],[仕入
単価]]+商品マスタ[[#This Row],[国内送料]]</f>
        <v>29700</v>
      </c>
      <c r="U289" s="134">
        <f>ROUNDUP(商品マスタ[[#This Row],[仕入単価+国内送料]]/0.8,-1)</f>
        <v>37130</v>
      </c>
      <c r="V289" s="134">
        <f>商品マスタ[[#This Row],[海外定価
（20％）]]-商品マスタ[[#This Row],[仕入単価+国内送料]]</f>
        <v>7430</v>
      </c>
      <c r="W289" s="87">
        <f>ROUNDUP(商品マスタ[[#This Row],[仕入単価+国内送料]]/0.85,-1)</f>
        <v>34950</v>
      </c>
      <c r="X289" s="134">
        <f>商品マスタ[[#This Row],[国内定価
（15％）]]-商品マスタ[[#This Row],[仕入単価+国内送料]]</f>
        <v>5250</v>
      </c>
      <c r="Y289" s="139">
        <v>0.08</v>
      </c>
      <c r="Z289" s="87" t="s">
        <v>911</v>
      </c>
      <c r="AA289" s="87" t="s">
        <v>370</v>
      </c>
      <c r="AB289" s="87"/>
      <c r="AC289" s="140"/>
      <c r="AD289" s="87"/>
      <c r="AE289" s="87"/>
      <c r="AF289" s="87"/>
      <c r="AG289" s="141"/>
    </row>
    <row r="290" spans="1:33" ht="18">
      <c r="A290" s="166" t="s">
        <v>1519</v>
      </c>
      <c r="B290" s="167" t="s">
        <v>1235</v>
      </c>
      <c r="C290" s="167" t="s">
        <v>869</v>
      </c>
      <c r="D290" s="143" t="str">
        <f>"PRD_SNJ_"&amp;
_xlfn.XLOOKUP(商品マスタ[[#This Row],[仕入先]],テーブル1[仕入先名],テーブル1[仕入先コード],"XXX",0,1)&amp;
"_"&amp;
商品マスタ[[#This Row],[シリアル]]&amp;
"_"&amp;
TEXT(COUNTIFS(商品マスタ!$C$3:C290,商品マスタ[[#This Row],[仕入先]],商品マスタ!$E$3:E290,商品マスタ[[#This Row],[商品名]]), "00")</f>
        <v>PRD_SNJ_GYB_0006_01</v>
      </c>
      <c r="E290" s="87" t="s">
        <v>880</v>
      </c>
      <c r="F290" s="87">
        <f>IF(COUNTIFS($C$3:C290,商品マスタ[[#This Row],[仕入先]],$E$3:E290,商品マスタ[[#This Row],[商品名]]) = 1, 1,0)</f>
        <v>1</v>
      </c>
      <c r="G290" s="133" t="str">
        <f>TEXT(SUMIF($C$3:C290,商品マスタ[[#This Row],[仕入先]],$F$3:F290), "0000")</f>
        <v>0006</v>
      </c>
      <c r="H290" s="87" t="s">
        <v>900</v>
      </c>
      <c r="I290" s="87" t="s">
        <v>898</v>
      </c>
      <c r="J290" s="87">
        <v>600</v>
      </c>
      <c r="K290" s="87"/>
      <c r="L290" s="152">
        <v>27000</v>
      </c>
      <c r="M290" s="157"/>
      <c r="N290" s="152"/>
      <c r="O290" s="135" t="str">
        <f>IF(COUNT(商品マスタ[[#This Row],[参考上代
（税込)]]) &gt; 0, (商品マスタ[[#This Row],[参考上代
（税込)]]-商品マスタ[[#This Row],[国内定価
（15％）]])/(商品マスタ[[#This Row],[参考上代
（税込)]]/1.08), "")</f>
        <v/>
      </c>
      <c r="P290" s="136">
        <v>0.1</v>
      </c>
      <c r="Q290" s="134">
        <f>商品マスタ[[#This Row],[仕入
単価]]*商品マスタ[[#This Row],[標準国内送料率]]</f>
        <v>2700</v>
      </c>
      <c r="R290" s="134"/>
      <c r="S290" s="134">
        <f>IF(ISBLANK(商品マスタ[[#This Row],[実績
国内送料]]),商品マスタ[[#This Row],[標準国内送料]],)</f>
        <v>2700</v>
      </c>
      <c r="T290" s="134">
        <f>商品マスタ[[#This Row],[仕入
単価]]+商品マスタ[[#This Row],[国内送料]]</f>
        <v>29700</v>
      </c>
      <c r="U290" s="134">
        <f>ROUNDUP(商品マスタ[[#This Row],[仕入単価+国内送料]]/0.8,-1)</f>
        <v>37130</v>
      </c>
      <c r="V290" s="134">
        <f>商品マスタ[[#This Row],[海外定価
（20％）]]-商品マスタ[[#This Row],[仕入単価+国内送料]]</f>
        <v>7430</v>
      </c>
      <c r="W290" s="87">
        <f>ROUNDUP(商品マスタ[[#This Row],[仕入単価+国内送料]]/0.85,-1)</f>
        <v>34950</v>
      </c>
      <c r="X290" s="134">
        <f>商品マスタ[[#This Row],[国内定価
（15％）]]-商品マスタ[[#This Row],[仕入単価+国内送料]]</f>
        <v>5250</v>
      </c>
      <c r="Y290" s="139">
        <v>0.08</v>
      </c>
      <c r="Z290" s="87" t="s">
        <v>911</v>
      </c>
      <c r="AA290" s="87" t="s">
        <v>370</v>
      </c>
      <c r="AB290" s="87"/>
      <c r="AC290" s="140"/>
      <c r="AD290" s="87"/>
      <c r="AE290" s="87"/>
      <c r="AF290" s="87"/>
      <c r="AG290" s="141"/>
    </row>
    <row r="291" spans="1:33" ht="18">
      <c r="A291" s="166" t="s">
        <v>1521</v>
      </c>
      <c r="B291" s="167" t="s">
        <v>1517</v>
      </c>
      <c r="C291" s="167" t="s">
        <v>869</v>
      </c>
      <c r="D291" s="143" t="str">
        <f>"PRD_SNJ_"&amp;
_xlfn.XLOOKUP(商品マスタ[[#This Row],[仕入先]],テーブル1[仕入先名],テーブル1[仕入先コード],"XXX",0,1)&amp;
"_"&amp;
商品マスタ[[#This Row],[シリアル]]&amp;
"_"&amp;
TEXT(COUNTIFS(商品マスタ!$C$3:C291,商品マスタ[[#This Row],[仕入先]],商品マスタ!$E$3:E291,商品マスタ[[#This Row],[商品名]]), "00")</f>
        <v>PRD_SNJ_GYB_0007_01</v>
      </c>
      <c r="E291" s="87" t="s">
        <v>881</v>
      </c>
      <c r="F291" s="87">
        <f>IF(COUNTIFS($C$3:C291,商品マスタ[[#This Row],[仕入先]],$E$3:E291,商品マスタ[[#This Row],[商品名]]) = 1, 1,0)</f>
        <v>1</v>
      </c>
      <c r="G291" s="133" t="str">
        <f>TEXT(SUMIF($C$3:C291,商品マスタ[[#This Row],[仕入先]],$F$3:F291), "0000")</f>
        <v>0007</v>
      </c>
      <c r="H291" s="87" t="s">
        <v>900</v>
      </c>
      <c r="I291" s="87" t="s">
        <v>898</v>
      </c>
      <c r="J291" s="87">
        <v>600</v>
      </c>
      <c r="K291" s="87"/>
      <c r="L291" s="152">
        <v>24000</v>
      </c>
      <c r="M291" s="157"/>
      <c r="N291" s="152"/>
      <c r="O291" s="135" t="str">
        <f>IF(COUNT(商品マスタ[[#This Row],[参考上代
（税込)]]) &gt; 0, (商品マスタ[[#This Row],[参考上代
（税込)]]-商品マスタ[[#This Row],[国内定価
（15％）]])/(商品マスタ[[#This Row],[参考上代
（税込)]]/1.08), "")</f>
        <v/>
      </c>
      <c r="P291" s="136">
        <v>0.1</v>
      </c>
      <c r="Q291" s="134">
        <f>商品マスタ[[#This Row],[仕入
単価]]*商品マスタ[[#This Row],[標準国内送料率]]</f>
        <v>2400</v>
      </c>
      <c r="R291" s="134"/>
      <c r="S291" s="134">
        <f>IF(ISBLANK(商品マスタ[[#This Row],[実績
国内送料]]),商品マスタ[[#This Row],[標準国内送料]],)</f>
        <v>2400</v>
      </c>
      <c r="T291" s="134">
        <f>商品マスタ[[#This Row],[仕入
単価]]+商品マスタ[[#This Row],[国内送料]]</f>
        <v>26400</v>
      </c>
      <c r="U291" s="134">
        <f>ROUNDUP(商品マスタ[[#This Row],[仕入単価+国内送料]]/0.8,-1)</f>
        <v>33000</v>
      </c>
      <c r="V291" s="134">
        <f>商品マスタ[[#This Row],[海外定価
（20％）]]-商品マスタ[[#This Row],[仕入単価+国内送料]]</f>
        <v>6600</v>
      </c>
      <c r="W291" s="87">
        <f>ROUNDUP(商品マスタ[[#This Row],[仕入単価+国内送料]]/0.85,-1)</f>
        <v>31060</v>
      </c>
      <c r="X291" s="134">
        <f>商品マスタ[[#This Row],[国内定価
（15％）]]-商品マスタ[[#This Row],[仕入単価+国内送料]]</f>
        <v>4660</v>
      </c>
      <c r="Y291" s="139">
        <v>0.08</v>
      </c>
      <c r="Z291" s="87" t="s">
        <v>911</v>
      </c>
      <c r="AA291" s="87" t="s">
        <v>370</v>
      </c>
      <c r="AB291" s="87"/>
      <c r="AC291" s="140"/>
      <c r="AD291" s="87"/>
      <c r="AE291" s="87"/>
      <c r="AF291" s="87"/>
      <c r="AG291" s="141"/>
    </row>
    <row r="292" spans="1:33" ht="18">
      <c r="A292" s="166" t="s">
        <v>1521</v>
      </c>
      <c r="B292" s="167" t="s">
        <v>1517</v>
      </c>
      <c r="C292" s="167" t="s">
        <v>869</v>
      </c>
      <c r="D292" s="143" t="str">
        <f>"PRD_SNJ_"&amp;
_xlfn.XLOOKUP(商品マスタ[[#This Row],[仕入先]],テーブル1[仕入先名],テーブル1[仕入先コード],"XXX",0,1)&amp;
"_"&amp;
商品マスタ[[#This Row],[シリアル]]&amp;
"_"&amp;
TEXT(COUNTIFS(商品マスタ!$C$3:C292,商品マスタ[[#This Row],[仕入先]],商品マスタ!$E$3:E292,商品マスタ[[#This Row],[商品名]]), "00")</f>
        <v>PRD_SNJ_GYB_0008_01</v>
      </c>
      <c r="E292" s="87" t="s">
        <v>882</v>
      </c>
      <c r="F292" s="87">
        <f>IF(COUNTIFS($C$3:C292,商品マスタ[[#This Row],[仕入先]],$E$3:E292,商品マスタ[[#This Row],[商品名]]) = 1, 1,0)</f>
        <v>1</v>
      </c>
      <c r="G292" s="133" t="str">
        <f>TEXT(SUMIF($C$3:C292,商品マスタ[[#This Row],[仕入先]],$F$3:F292), "0000")</f>
        <v>0008</v>
      </c>
      <c r="H292" s="87" t="s">
        <v>900</v>
      </c>
      <c r="I292" s="87" t="s">
        <v>898</v>
      </c>
      <c r="J292" s="87">
        <v>600</v>
      </c>
      <c r="K292" s="87"/>
      <c r="L292" s="152">
        <v>27000</v>
      </c>
      <c r="M292" s="157"/>
      <c r="N292" s="152"/>
      <c r="O292" s="135" t="str">
        <f>IF(COUNT(商品マスタ[[#This Row],[参考上代
（税込)]]) &gt; 0, (商品マスタ[[#This Row],[参考上代
（税込)]]-商品マスタ[[#This Row],[国内定価
（15％）]])/(商品マスタ[[#This Row],[参考上代
（税込)]]/1.08), "")</f>
        <v/>
      </c>
      <c r="P292" s="136">
        <v>0.1</v>
      </c>
      <c r="Q292" s="134">
        <f>商品マスタ[[#This Row],[仕入
単価]]*商品マスタ[[#This Row],[標準国内送料率]]</f>
        <v>2700</v>
      </c>
      <c r="R292" s="134"/>
      <c r="S292" s="134">
        <f>IF(ISBLANK(商品マスタ[[#This Row],[実績
国内送料]]),商品マスタ[[#This Row],[標準国内送料]],)</f>
        <v>2700</v>
      </c>
      <c r="T292" s="134">
        <f>商品マスタ[[#This Row],[仕入
単価]]+商品マスタ[[#This Row],[国内送料]]</f>
        <v>29700</v>
      </c>
      <c r="U292" s="134">
        <f>ROUNDUP(商品マスタ[[#This Row],[仕入単価+国内送料]]/0.8,-1)</f>
        <v>37130</v>
      </c>
      <c r="V292" s="134">
        <f>商品マスタ[[#This Row],[海外定価
（20％）]]-商品マスタ[[#This Row],[仕入単価+国内送料]]</f>
        <v>7430</v>
      </c>
      <c r="W292" s="87">
        <f>ROUNDUP(商品マスタ[[#This Row],[仕入単価+国内送料]]/0.85,-1)</f>
        <v>34950</v>
      </c>
      <c r="X292" s="134">
        <f>商品マスタ[[#This Row],[国内定価
（15％）]]-商品マスタ[[#This Row],[仕入単価+国内送料]]</f>
        <v>5250</v>
      </c>
      <c r="Y292" s="139">
        <v>0.08</v>
      </c>
      <c r="Z292" s="87" t="s">
        <v>911</v>
      </c>
      <c r="AA292" s="87" t="s">
        <v>370</v>
      </c>
      <c r="AB292" s="87"/>
      <c r="AC292" s="140"/>
      <c r="AD292" s="87"/>
      <c r="AE292" s="87"/>
      <c r="AF292" s="87"/>
      <c r="AG292" s="141"/>
    </row>
    <row r="293" spans="1:33" ht="18">
      <c r="A293" s="166" t="s">
        <v>1238</v>
      </c>
      <c r="B293" s="167" t="s">
        <v>1238</v>
      </c>
      <c r="C293" s="167" t="s">
        <v>869</v>
      </c>
      <c r="D293" s="143" t="str">
        <f>"PRD_SNJ_"&amp;
_xlfn.XLOOKUP(商品マスタ[[#This Row],[仕入先]],テーブル1[仕入先名],テーブル1[仕入先コード],"XXX",0,1)&amp;
"_"&amp;
商品マスタ[[#This Row],[シリアル]]&amp;
"_"&amp;
TEXT(COUNTIFS(商品マスタ!$C$3:C293,商品マスタ[[#This Row],[仕入先]],商品マスタ!$E$3:E293,商品マスタ[[#This Row],[商品名]]), "00")</f>
        <v>PRD_SNJ_GYB_0009_01</v>
      </c>
      <c r="E293" s="87" t="s">
        <v>883</v>
      </c>
      <c r="F293" s="87">
        <f>IF(COUNTIFS($C$3:C293,商品マスタ[[#This Row],[仕入先]],$E$3:E293,商品マスタ[[#This Row],[商品名]]) = 1, 1,0)</f>
        <v>1</v>
      </c>
      <c r="G293" s="133" t="str">
        <f>TEXT(SUMIF($C$3:C293,商品マスタ[[#This Row],[仕入先]],$F$3:F293), "0000")</f>
        <v>0009</v>
      </c>
      <c r="H293" s="87" t="s">
        <v>900</v>
      </c>
      <c r="I293" s="87" t="s">
        <v>898</v>
      </c>
      <c r="J293" s="87">
        <v>600</v>
      </c>
      <c r="K293" s="87"/>
      <c r="L293" s="152">
        <v>36000</v>
      </c>
      <c r="M293" s="157"/>
      <c r="N293" s="152"/>
      <c r="O293" s="135" t="str">
        <f>IF(COUNT(商品マスタ[[#This Row],[参考上代
（税込)]]) &gt; 0, (商品マスタ[[#This Row],[参考上代
（税込)]]-商品マスタ[[#This Row],[国内定価
（15％）]])/(商品マスタ[[#This Row],[参考上代
（税込)]]/1.08), "")</f>
        <v/>
      </c>
      <c r="P293" s="136">
        <v>0.1</v>
      </c>
      <c r="Q293" s="134">
        <f>商品マスタ[[#This Row],[仕入
単価]]*商品マスタ[[#This Row],[標準国内送料率]]</f>
        <v>3600</v>
      </c>
      <c r="R293" s="134"/>
      <c r="S293" s="134">
        <f>IF(ISBLANK(商品マスタ[[#This Row],[実績
国内送料]]),商品マスタ[[#This Row],[標準国内送料]],)</f>
        <v>3600</v>
      </c>
      <c r="T293" s="134">
        <f>商品マスタ[[#This Row],[仕入
単価]]+商品マスタ[[#This Row],[国内送料]]</f>
        <v>39600</v>
      </c>
      <c r="U293" s="134">
        <f>ROUNDUP(商品マスタ[[#This Row],[仕入単価+国内送料]]/0.8,-1)</f>
        <v>49500</v>
      </c>
      <c r="V293" s="134">
        <f>商品マスタ[[#This Row],[海外定価
（20％）]]-商品マスタ[[#This Row],[仕入単価+国内送料]]</f>
        <v>9900</v>
      </c>
      <c r="W293" s="87">
        <f>ROUNDUP(商品マスタ[[#This Row],[仕入単価+国内送料]]/0.85,-1)</f>
        <v>46590</v>
      </c>
      <c r="X293" s="134">
        <f>商品マスタ[[#This Row],[国内定価
（15％）]]-商品マスタ[[#This Row],[仕入単価+国内送料]]</f>
        <v>6990</v>
      </c>
      <c r="Y293" s="139">
        <v>0.08</v>
      </c>
      <c r="Z293" s="87" t="s">
        <v>911</v>
      </c>
      <c r="AA293" s="87" t="s">
        <v>370</v>
      </c>
      <c r="AB293" s="87"/>
      <c r="AC293" s="140"/>
      <c r="AD293" s="87"/>
      <c r="AE293" s="87"/>
      <c r="AF293" s="87"/>
      <c r="AG293" s="141"/>
    </row>
    <row r="294" spans="1:33" ht="18">
      <c r="A294" s="166" t="s">
        <v>1238</v>
      </c>
      <c r="B294" s="167" t="s">
        <v>1238</v>
      </c>
      <c r="C294" s="167" t="s">
        <v>869</v>
      </c>
      <c r="D294" s="143" t="str">
        <f>"PRD_SNJ_"&amp;
_xlfn.XLOOKUP(商品マスタ[[#This Row],[仕入先]],テーブル1[仕入先名],テーブル1[仕入先コード],"XXX",0,1)&amp;
"_"&amp;
商品マスタ[[#This Row],[シリアル]]&amp;
"_"&amp;
TEXT(COUNTIFS(商品マスタ!$C$3:C294,商品マスタ[[#This Row],[仕入先]],商品マスタ!$E$3:E294,商品マスタ[[#This Row],[商品名]]), "00")</f>
        <v>PRD_SNJ_GYB_0010_01</v>
      </c>
      <c r="E294" s="87" t="s">
        <v>884</v>
      </c>
      <c r="F294" s="87">
        <f>IF(COUNTIFS($C$3:C294,商品マスタ[[#This Row],[仕入先]],$E$3:E294,商品マスタ[[#This Row],[商品名]]) = 1, 1,0)</f>
        <v>1</v>
      </c>
      <c r="G294" s="133" t="str">
        <f>TEXT(SUMIF($C$3:C294,商品マスタ[[#This Row],[仕入先]],$F$3:F294), "0000")</f>
        <v>0010</v>
      </c>
      <c r="H294" s="87" t="s">
        <v>900</v>
      </c>
      <c r="I294" s="87" t="s">
        <v>898</v>
      </c>
      <c r="J294" s="87">
        <v>600</v>
      </c>
      <c r="K294" s="87"/>
      <c r="L294" s="152">
        <v>36000</v>
      </c>
      <c r="M294" s="157"/>
      <c r="N294" s="152"/>
      <c r="O294" s="135" t="str">
        <f>IF(COUNT(商品マスタ[[#This Row],[参考上代
（税込)]]) &gt; 0, (商品マスタ[[#This Row],[参考上代
（税込)]]-商品マスタ[[#This Row],[国内定価
（15％）]])/(商品マスタ[[#This Row],[参考上代
（税込)]]/1.08), "")</f>
        <v/>
      </c>
      <c r="P294" s="136">
        <v>0.1</v>
      </c>
      <c r="Q294" s="134">
        <f>商品マスタ[[#This Row],[仕入
単価]]*商品マスタ[[#This Row],[標準国内送料率]]</f>
        <v>3600</v>
      </c>
      <c r="R294" s="134"/>
      <c r="S294" s="134">
        <f>IF(ISBLANK(商品マスタ[[#This Row],[実績
国内送料]]),商品マスタ[[#This Row],[標準国内送料]],)</f>
        <v>3600</v>
      </c>
      <c r="T294" s="134">
        <f>商品マスタ[[#This Row],[仕入
単価]]+商品マスタ[[#This Row],[国内送料]]</f>
        <v>39600</v>
      </c>
      <c r="U294" s="134">
        <f>ROUNDUP(商品マスタ[[#This Row],[仕入単価+国内送料]]/0.8,-1)</f>
        <v>49500</v>
      </c>
      <c r="V294" s="134">
        <f>商品マスタ[[#This Row],[海外定価
（20％）]]-商品マスタ[[#This Row],[仕入単価+国内送料]]</f>
        <v>9900</v>
      </c>
      <c r="W294" s="87">
        <f>ROUNDUP(商品マスタ[[#This Row],[仕入単価+国内送料]]/0.85,-1)</f>
        <v>46590</v>
      </c>
      <c r="X294" s="134">
        <f>商品マスタ[[#This Row],[国内定価
（15％）]]-商品マスタ[[#This Row],[仕入単価+国内送料]]</f>
        <v>6990</v>
      </c>
      <c r="Y294" s="139">
        <v>0.08</v>
      </c>
      <c r="Z294" s="87" t="s">
        <v>911</v>
      </c>
      <c r="AA294" s="87" t="s">
        <v>370</v>
      </c>
      <c r="AB294" s="87"/>
      <c r="AC294" s="140"/>
      <c r="AD294" s="87"/>
      <c r="AE294" s="87"/>
      <c r="AF294" s="87"/>
      <c r="AG294" s="141"/>
    </row>
    <row r="295" spans="1:33" ht="18">
      <c r="A295" s="166" t="s">
        <v>1518</v>
      </c>
      <c r="B295" s="167" t="s">
        <v>1247</v>
      </c>
      <c r="C295" s="167" t="s">
        <v>13</v>
      </c>
      <c r="D295" s="143" t="str">
        <f>"PRD_SNJ_"&amp;
_xlfn.XLOOKUP(商品マスタ[[#This Row],[仕入先]],テーブル1[仕入先名],テーブル1[仕入先コード],"XXX",0,1)&amp;
"_"&amp;
商品マスタ[[#This Row],[シリアル]]&amp;
"_"&amp;
TEXT(COUNTIFS(商品マスタ!$C$3:C295,商品マスタ[[#This Row],[仕入先]],商品マスタ!$E$3:E295,商品マスタ[[#This Row],[商品名]]), "00")</f>
        <v>PRD_SNJ_NAO_0001_01</v>
      </c>
      <c r="E295" s="87" t="s">
        <v>885</v>
      </c>
      <c r="F295" s="87">
        <f>IF(COUNTIFS($C$3:C295,商品マスタ[[#This Row],[仕入先]],$E$3:E295,商品マスタ[[#This Row],[商品名]]) = 1, 1,0)</f>
        <v>1</v>
      </c>
      <c r="G295" s="133" t="str">
        <f>TEXT(SUMIF($C$3:C295,商品マスタ[[#This Row],[仕入先]],$F$3:F295), "0000")</f>
        <v>0001</v>
      </c>
      <c r="H295" s="87" t="s">
        <v>901</v>
      </c>
      <c r="I295" s="87"/>
      <c r="J295" s="87">
        <v>1</v>
      </c>
      <c r="K295" s="87" t="s">
        <v>902</v>
      </c>
      <c r="L295" s="152">
        <v>1060</v>
      </c>
      <c r="M295" s="157"/>
      <c r="N295" s="152">
        <v>1630.7692307692307</v>
      </c>
      <c r="O295" s="135">
        <f>IF(COUNT(商品マスタ[[#This Row],[参考上代
（税込)]]) &gt; 0, (商品マスタ[[#This Row],[参考上代
（税込)]]-商品マスタ[[#This Row],[国内定価
（15％）]])/(商品マスタ[[#This Row],[参考上代
（税込)]]/1.08), "")</f>
        <v>0.16607547169811318</v>
      </c>
      <c r="P295" s="136">
        <v>0.1</v>
      </c>
      <c r="Q295" s="134">
        <f>商品マスタ[[#This Row],[仕入
単価]]*商品マスタ[[#This Row],[標準国内送料率]]</f>
        <v>106</v>
      </c>
      <c r="R295" s="134"/>
      <c r="S295" s="134">
        <f>IF(ISBLANK(商品マスタ[[#This Row],[実績
国内送料]]),商品マスタ[[#This Row],[標準国内送料]],)</f>
        <v>106</v>
      </c>
      <c r="T295" s="134">
        <f>商品マスタ[[#This Row],[仕入
単価]]+商品マスタ[[#This Row],[国内送料]]</f>
        <v>1166</v>
      </c>
      <c r="U295" s="134">
        <f>ROUNDUP(商品マスタ[[#This Row],[仕入単価+国内送料]]/0.8,-1)</f>
        <v>1460</v>
      </c>
      <c r="V295" s="134">
        <f>商品マスタ[[#This Row],[海外定価
（20％）]]-商品マスタ[[#This Row],[仕入単価+国内送料]]</f>
        <v>294</v>
      </c>
      <c r="W295" s="87">
        <f>ROUNDUP(商品マスタ[[#This Row],[仕入単価+国内送料]]/0.85,-1)</f>
        <v>1380</v>
      </c>
      <c r="X295" s="134">
        <f>商品マスタ[[#This Row],[国内定価
（15％）]]-商品マスタ[[#This Row],[仕入単価+国内送料]]</f>
        <v>214</v>
      </c>
      <c r="Y295" s="139">
        <v>0.08</v>
      </c>
      <c r="Z295" s="87" t="s">
        <v>912</v>
      </c>
      <c r="AA295" s="87" t="s">
        <v>171</v>
      </c>
      <c r="AB295" s="87" t="s">
        <v>262</v>
      </c>
      <c r="AC295" s="140"/>
      <c r="AD295" s="87"/>
      <c r="AE295" s="87"/>
      <c r="AF295" s="87" t="s">
        <v>940</v>
      </c>
      <c r="AG295" s="141"/>
    </row>
    <row r="296" spans="1:33" ht="18">
      <c r="A296" s="166" t="s">
        <v>1518</v>
      </c>
      <c r="B296" s="167" t="s">
        <v>1247</v>
      </c>
      <c r="C296" s="167" t="s">
        <v>13</v>
      </c>
      <c r="D296" s="143" t="str">
        <f>"PRD_SNJ_"&amp;
_xlfn.XLOOKUP(商品マスタ[[#This Row],[仕入先]],テーブル1[仕入先名],テーブル1[仕入先コード],"XXX",0,1)&amp;
"_"&amp;
商品マスタ[[#This Row],[シリアル]]&amp;
"_"&amp;
TEXT(COUNTIFS(商品マスタ!$C$3:C296,商品マスタ[[#This Row],[仕入先]],商品マスタ!$E$3:E296,商品マスタ[[#This Row],[商品名]]), "00")</f>
        <v>PRD_SNJ_NAO_0002_01</v>
      </c>
      <c r="E296" s="87" t="s">
        <v>886</v>
      </c>
      <c r="F296" s="87">
        <f>IF(COUNTIFS($C$3:C296,商品マスタ[[#This Row],[仕入先]],$E$3:E296,商品マスタ[[#This Row],[商品名]]) = 1, 1,0)</f>
        <v>1</v>
      </c>
      <c r="G296" s="133" t="str">
        <f>TEXT(SUMIF($C$3:C296,商品マスタ[[#This Row],[仕入先]],$F$3:F296), "0000")</f>
        <v>0002</v>
      </c>
      <c r="H296" s="87" t="s">
        <v>901</v>
      </c>
      <c r="I296" s="87"/>
      <c r="J296" s="87">
        <v>1</v>
      </c>
      <c r="K296" s="87" t="s">
        <v>903</v>
      </c>
      <c r="L296" s="152">
        <v>2500</v>
      </c>
      <c r="M296" s="157"/>
      <c r="N296" s="152">
        <v>3846.1538461538462</v>
      </c>
      <c r="O296" s="135">
        <f>IF(COUNT(商品マスタ[[#This Row],[参考上代
（税込)]]) &gt; 0, (商品マスタ[[#This Row],[参考上代
（税込)]]-商品マスタ[[#This Row],[国内定価
（15％）]])/(商品マスタ[[#This Row],[参考上代
（税込)]]/1.08), "")</f>
        <v>0.17020800000000003</v>
      </c>
      <c r="P296" s="136">
        <v>0.1</v>
      </c>
      <c r="Q296" s="134">
        <f>商品マスタ[[#This Row],[仕入
単価]]*商品マスタ[[#This Row],[標準国内送料率]]</f>
        <v>250</v>
      </c>
      <c r="R296" s="134"/>
      <c r="S296" s="134">
        <f>IF(ISBLANK(商品マスタ[[#This Row],[実績
国内送料]]),商品マスタ[[#This Row],[標準国内送料]],)</f>
        <v>250</v>
      </c>
      <c r="T296" s="134">
        <f>商品マスタ[[#This Row],[仕入
単価]]+商品マスタ[[#This Row],[国内送料]]</f>
        <v>2750</v>
      </c>
      <c r="U296" s="134">
        <f>ROUNDUP(商品マスタ[[#This Row],[仕入単価+国内送料]]/0.8,-1)</f>
        <v>3440</v>
      </c>
      <c r="V296" s="134">
        <f>商品マスタ[[#This Row],[海外定価
（20％）]]-商品マスタ[[#This Row],[仕入単価+国内送料]]</f>
        <v>690</v>
      </c>
      <c r="W296" s="87">
        <f>ROUNDUP(商品マスタ[[#This Row],[仕入単価+国内送料]]/0.85,-1)</f>
        <v>3240</v>
      </c>
      <c r="X296" s="134">
        <f>商品マスタ[[#This Row],[国内定価
（15％）]]-商品マスタ[[#This Row],[仕入単価+国内送料]]</f>
        <v>490</v>
      </c>
      <c r="Y296" s="139">
        <v>0.08</v>
      </c>
      <c r="Z296" s="87" t="s">
        <v>913</v>
      </c>
      <c r="AA296" s="87" t="s">
        <v>171</v>
      </c>
      <c r="AB296" s="87" t="s">
        <v>262</v>
      </c>
      <c r="AC296" s="140"/>
      <c r="AD296" s="87"/>
      <c r="AE296" s="87"/>
      <c r="AF296" s="87" t="s">
        <v>940</v>
      </c>
      <c r="AG296" s="141"/>
    </row>
    <row r="297" spans="1:33" ht="18">
      <c r="A297" s="166" t="s">
        <v>1518</v>
      </c>
      <c r="B297" s="167" t="s">
        <v>1247</v>
      </c>
      <c r="C297" s="167" t="s">
        <v>13</v>
      </c>
      <c r="D297" s="143" t="str">
        <f>"PRD_SNJ_"&amp;
_xlfn.XLOOKUP(商品マスタ[[#This Row],[仕入先]],テーブル1[仕入先名],テーブル1[仕入先コード],"XXX",0,1)&amp;
"_"&amp;
商品マスタ[[#This Row],[シリアル]]&amp;
"_"&amp;
TEXT(COUNTIFS(商品マスタ!$C$3:C297,商品マスタ[[#This Row],[仕入先]],商品マスタ!$E$3:E297,商品マスタ[[#This Row],[商品名]]), "00")</f>
        <v>PRD_SNJ_NAO_0003_01</v>
      </c>
      <c r="E297" s="87" t="s">
        <v>887</v>
      </c>
      <c r="F297" s="87">
        <f>IF(COUNTIFS($C$3:C297,商品マスタ[[#This Row],[仕入先]],$E$3:E297,商品マスタ[[#This Row],[商品名]]) = 1, 1,0)</f>
        <v>1</v>
      </c>
      <c r="G297" s="133" t="str">
        <f>TEXT(SUMIF($C$3:C297,商品マスタ[[#This Row],[仕入先]],$F$3:F297), "0000")</f>
        <v>0003</v>
      </c>
      <c r="H297" s="87" t="s">
        <v>901</v>
      </c>
      <c r="I297" s="87"/>
      <c r="J297" s="87">
        <v>1</v>
      </c>
      <c r="K297" s="87" t="s">
        <v>904</v>
      </c>
      <c r="L297" s="152">
        <v>3470</v>
      </c>
      <c r="M297" s="157"/>
      <c r="N297" s="152">
        <v>5338.4615384615381</v>
      </c>
      <c r="O297" s="135">
        <f>IF(COUNT(商品マスタ[[#This Row],[参考上代
（税込)]]) &gt; 0, (商品マスタ[[#This Row],[参考上代
（税込)]]-商品マスタ[[#This Row],[国内定価
（15％）]])/(商品マスタ[[#This Row],[参考上代
（税込)]]/1.08), "")</f>
        <v>0.1696253602305475</v>
      </c>
      <c r="P297" s="136">
        <v>0.1</v>
      </c>
      <c r="Q297" s="134">
        <f>商品マスタ[[#This Row],[仕入
単価]]*商品マスタ[[#This Row],[標準国内送料率]]</f>
        <v>347</v>
      </c>
      <c r="R297" s="134"/>
      <c r="S297" s="134">
        <f>IF(ISBLANK(商品マスタ[[#This Row],[実績
国内送料]]),商品マスタ[[#This Row],[標準国内送料]],)</f>
        <v>347</v>
      </c>
      <c r="T297" s="134">
        <f>商品マスタ[[#This Row],[仕入
単価]]+商品マスタ[[#This Row],[国内送料]]</f>
        <v>3817</v>
      </c>
      <c r="U297" s="134">
        <f>ROUNDUP(商品マスタ[[#This Row],[仕入単価+国内送料]]/0.8,-1)</f>
        <v>4780</v>
      </c>
      <c r="V297" s="134">
        <f>商品マスタ[[#This Row],[海外定価
（20％）]]-商品マスタ[[#This Row],[仕入単価+国内送料]]</f>
        <v>963</v>
      </c>
      <c r="W297" s="87">
        <f>ROUNDUP(商品マスタ[[#This Row],[仕入単価+国内送料]]/0.85,-1)</f>
        <v>4500</v>
      </c>
      <c r="X297" s="134">
        <f>商品マスタ[[#This Row],[国内定価
（15％）]]-商品マスタ[[#This Row],[仕入単価+国内送料]]</f>
        <v>683</v>
      </c>
      <c r="Y297" s="139">
        <v>0.08</v>
      </c>
      <c r="Z297" s="87" t="s">
        <v>914</v>
      </c>
      <c r="AA297" s="87" t="s">
        <v>171</v>
      </c>
      <c r="AB297" s="87" t="s">
        <v>262</v>
      </c>
      <c r="AC297" s="140"/>
      <c r="AD297" s="87"/>
      <c r="AE297" s="87"/>
      <c r="AF297" s="87" t="s">
        <v>940</v>
      </c>
      <c r="AG297" s="141"/>
    </row>
    <row r="298" spans="1:33" ht="18">
      <c r="A298" s="166" t="s">
        <v>1518</v>
      </c>
      <c r="B298" s="167" t="s">
        <v>1247</v>
      </c>
      <c r="C298" s="167" t="s">
        <v>13</v>
      </c>
      <c r="D298" s="143" t="str">
        <f>"PRD_SNJ_"&amp;
_xlfn.XLOOKUP(商品マスタ[[#This Row],[仕入先]],テーブル1[仕入先名],テーブル1[仕入先コード],"XXX",0,1)&amp;
"_"&amp;
商品マスタ[[#This Row],[シリアル]]&amp;
"_"&amp;
TEXT(COUNTIFS(商品マスタ!$C$3:C298,商品マスタ[[#This Row],[仕入先]],商品マスタ!$E$3:E298,商品マスタ[[#This Row],[商品名]]), "00")</f>
        <v>PRD_SNJ_NAO_0004_01</v>
      </c>
      <c r="E298" s="87" t="s">
        <v>888</v>
      </c>
      <c r="F298" s="87">
        <f>IF(COUNTIFS($C$3:C298,商品マスタ[[#This Row],[仕入先]],$E$3:E298,商品マスタ[[#This Row],[商品名]]) = 1, 1,0)</f>
        <v>1</v>
      </c>
      <c r="G298" s="133" t="str">
        <f>TEXT(SUMIF($C$3:C298,商品マスタ[[#This Row],[仕入先]],$F$3:F298), "0000")</f>
        <v>0004</v>
      </c>
      <c r="H298" s="87" t="s">
        <v>901</v>
      </c>
      <c r="I298" s="87"/>
      <c r="J298" s="87">
        <v>1</v>
      </c>
      <c r="K298" s="87" t="s">
        <v>905</v>
      </c>
      <c r="L298" s="152">
        <v>2414</v>
      </c>
      <c r="M298" s="157"/>
      <c r="N298" s="152">
        <v>3713.8461538461538</v>
      </c>
      <c r="O298" s="135">
        <f>IF(COUNT(商品マスタ[[#This Row],[参考上代
（税込)]]) &gt; 0, (商品マスタ[[#This Row],[参考上代
（税込)]]-商品マスタ[[#This Row],[国内定価
（15％）]])/(商品マスタ[[#This Row],[参考上代
（税込)]]/1.08), "")</f>
        <v>0.16978458989229495</v>
      </c>
      <c r="P298" s="136">
        <v>0.1</v>
      </c>
      <c r="Q298" s="134">
        <f>商品マスタ[[#This Row],[仕入
単価]]*商品マスタ[[#This Row],[標準国内送料率]]</f>
        <v>241.4</v>
      </c>
      <c r="R298" s="134"/>
      <c r="S298" s="134">
        <f>IF(ISBLANK(商品マスタ[[#This Row],[実績
国内送料]]),商品マスタ[[#This Row],[標準国内送料]],)</f>
        <v>241.4</v>
      </c>
      <c r="T298" s="134">
        <f>商品マスタ[[#This Row],[仕入
単価]]+商品マスタ[[#This Row],[国内送料]]</f>
        <v>2655.4</v>
      </c>
      <c r="U298" s="134">
        <f>ROUNDUP(商品マスタ[[#This Row],[仕入単価+国内送料]]/0.8,-1)</f>
        <v>3320</v>
      </c>
      <c r="V298" s="134">
        <f>商品マスタ[[#This Row],[海外定価
（20％）]]-商品マスタ[[#This Row],[仕入単価+国内送料]]</f>
        <v>664.59999999999991</v>
      </c>
      <c r="W298" s="87">
        <f>ROUNDUP(商品マスタ[[#This Row],[仕入単価+国内送料]]/0.85,-1)</f>
        <v>3130</v>
      </c>
      <c r="X298" s="134">
        <f>商品マスタ[[#This Row],[国内定価
（15％）]]-商品マスタ[[#This Row],[仕入単価+国内送料]]</f>
        <v>474.59999999999991</v>
      </c>
      <c r="Y298" s="139">
        <v>0.08</v>
      </c>
      <c r="Z298" s="87" t="s">
        <v>913</v>
      </c>
      <c r="AA298" s="87" t="s">
        <v>171</v>
      </c>
      <c r="AB298" s="87" t="s">
        <v>262</v>
      </c>
      <c r="AC298" s="140"/>
      <c r="AD298" s="87"/>
      <c r="AE298" s="87"/>
      <c r="AF298" s="87" t="s">
        <v>940</v>
      </c>
      <c r="AG298" s="141"/>
    </row>
    <row r="299" spans="1:33" ht="18">
      <c r="A299" s="166" t="s">
        <v>1518</v>
      </c>
      <c r="B299" s="167" t="s">
        <v>1247</v>
      </c>
      <c r="C299" s="167" t="s">
        <v>13</v>
      </c>
      <c r="D299" s="143" t="str">
        <f>"PRD_SNJ_"&amp;
_xlfn.XLOOKUP(商品マスタ[[#This Row],[仕入先]],テーブル1[仕入先名],テーブル1[仕入先コード],"XXX",0,1)&amp;
"_"&amp;
商品マスタ[[#This Row],[シリアル]]&amp;
"_"&amp;
TEXT(COUNTIFS(商品マスタ!$C$3:C299,商品マスタ[[#This Row],[仕入先]],商品マスタ!$E$3:E299,商品マスタ[[#This Row],[商品名]]), "00")</f>
        <v>PRD_SNJ_NAO_0005_01</v>
      </c>
      <c r="E299" s="87" t="s">
        <v>889</v>
      </c>
      <c r="F299" s="87">
        <f>IF(COUNTIFS($C$3:C299,商品マスタ[[#This Row],[仕入先]],$E$3:E299,商品マスタ[[#This Row],[商品名]]) = 1, 1,0)</f>
        <v>1</v>
      </c>
      <c r="G299" s="133" t="str">
        <f>TEXT(SUMIF($C$3:C299,商品マスタ[[#This Row],[仕入先]],$F$3:F299), "0000")</f>
        <v>0005</v>
      </c>
      <c r="H299" s="87" t="s">
        <v>901</v>
      </c>
      <c r="I299" s="87"/>
      <c r="J299" s="87">
        <v>1</v>
      </c>
      <c r="K299" s="87" t="s">
        <v>906</v>
      </c>
      <c r="L299" s="152">
        <v>4875</v>
      </c>
      <c r="M299" s="157"/>
      <c r="N299" s="152">
        <v>7500</v>
      </c>
      <c r="O299" s="135">
        <f>IF(COUNT(商品マスタ[[#This Row],[参考上代
（税込)]]) &gt; 0, (商品マスタ[[#This Row],[参考上代
（税込)]]-商品マスタ[[#This Row],[国内定価
（15％）]])/(商品マスタ[[#This Row],[参考上代
（税込)]]/1.08), "")</f>
        <v>0.17136000000000001</v>
      </c>
      <c r="P299" s="136">
        <v>0.1</v>
      </c>
      <c r="Q299" s="134">
        <f>商品マスタ[[#This Row],[仕入
単価]]*商品マスタ[[#This Row],[標準国内送料率]]</f>
        <v>487.5</v>
      </c>
      <c r="R299" s="134"/>
      <c r="S299" s="134">
        <f>IF(ISBLANK(商品マスタ[[#This Row],[実績
国内送料]]),商品マスタ[[#This Row],[標準国内送料]],)</f>
        <v>487.5</v>
      </c>
      <c r="T299" s="134">
        <f>商品マスタ[[#This Row],[仕入
単価]]+商品マスタ[[#This Row],[国内送料]]</f>
        <v>5362.5</v>
      </c>
      <c r="U299" s="134">
        <f>ROUNDUP(商品マスタ[[#This Row],[仕入単価+国内送料]]/0.8,-1)</f>
        <v>6710</v>
      </c>
      <c r="V299" s="134">
        <f>商品マスタ[[#This Row],[海外定価
（20％）]]-商品マスタ[[#This Row],[仕入単価+国内送料]]</f>
        <v>1347.5</v>
      </c>
      <c r="W299" s="87">
        <f>ROUNDUP(商品マスタ[[#This Row],[仕入単価+国内送料]]/0.85,-1)</f>
        <v>6310</v>
      </c>
      <c r="X299" s="134">
        <f>商品マスタ[[#This Row],[国内定価
（15％）]]-商品マスタ[[#This Row],[仕入単価+国内送料]]</f>
        <v>947.5</v>
      </c>
      <c r="Y299" s="139">
        <v>0.08</v>
      </c>
      <c r="Z299" s="87" t="s">
        <v>915</v>
      </c>
      <c r="AA299" s="87" t="s">
        <v>171</v>
      </c>
      <c r="AB299" s="87" t="s">
        <v>916</v>
      </c>
      <c r="AC299" s="140"/>
      <c r="AD299" s="87"/>
      <c r="AE299" s="87"/>
      <c r="AF299" s="87" t="s">
        <v>940</v>
      </c>
      <c r="AG299" s="141"/>
    </row>
    <row r="300" spans="1:33" ht="18">
      <c r="A300" s="166" t="s">
        <v>1518</v>
      </c>
      <c r="B300" s="167" t="s">
        <v>1247</v>
      </c>
      <c r="C300" s="167" t="s">
        <v>13</v>
      </c>
      <c r="D300" s="143" t="str">
        <f>"PRD_SNJ_"&amp;
_xlfn.XLOOKUP(商品マスタ[[#This Row],[仕入先]],テーブル1[仕入先名],テーブル1[仕入先コード],"XXX",0,1)&amp;
"_"&amp;
商品マスタ[[#This Row],[シリアル]]&amp;
"_"&amp;
TEXT(COUNTIFS(商品マスタ!$C$3:C300,商品マスタ[[#This Row],[仕入先]],商品マスタ!$E$3:E300,商品マスタ[[#This Row],[商品名]]), "00")</f>
        <v>PRD_SNJ_NAO_0006_01</v>
      </c>
      <c r="E300" s="87" t="s">
        <v>890</v>
      </c>
      <c r="F300" s="87">
        <f>IF(COUNTIFS($C$3:C300,商品マスタ[[#This Row],[仕入先]],$E$3:E300,商品マスタ[[#This Row],[商品名]]) = 1, 1,0)</f>
        <v>1</v>
      </c>
      <c r="G300" s="133" t="str">
        <f>TEXT(SUMIF($C$3:C300,商品マスタ[[#This Row],[仕入先]],$F$3:F300), "0000")</f>
        <v>0006</v>
      </c>
      <c r="H300" s="87" t="s">
        <v>901</v>
      </c>
      <c r="I300" s="87"/>
      <c r="J300" s="87">
        <v>1</v>
      </c>
      <c r="K300" s="87" t="s">
        <v>905</v>
      </c>
      <c r="L300" s="152">
        <v>2729</v>
      </c>
      <c r="M300" s="157"/>
      <c r="N300" s="152">
        <v>4198.4615384615381</v>
      </c>
      <c r="O300" s="135">
        <f>IF(COUNT(商品マスタ[[#This Row],[参考上代
（税込)]]) &gt; 0, (商品マスタ[[#This Row],[参考上代
（税込)]]-商品マスタ[[#This Row],[国内定価
（15％）]])/(商品マスタ[[#This Row],[参考上代
（税込)]]/1.08), "")</f>
        <v>0.16938072554049094</v>
      </c>
      <c r="P300" s="136">
        <v>0.1</v>
      </c>
      <c r="Q300" s="134">
        <f>商品マスタ[[#This Row],[仕入
単価]]*商品マスタ[[#This Row],[標準国内送料率]]</f>
        <v>272.90000000000003</v>
      </c>
      <c r="R300" s="134"/>
      <c r="S300" s="134">
        <f>IF(ISBLANK(商品マスタ[[#This Row],[実績
国内送料]]),商品マスタ[[#This Row],[標準国内送料]],)</f>
        <v>272.90000000000003</v>
      </c>
      <c r="T300" s="134">
        <f>商品マスタ[[#This Row],[仕入
単価]]+商品マスタ[[#This Row],[国内送料]]</f>
        <v>3001.9</v>
      </c>
      <c r="U300" s="134">
        <f>ROUNDUP(商品マスタ[[#This Row],[仕入単価+国内送料]]/0.8,-1)</f>
        <v>3760</v>
      </c>
      <c r="V300" s="134">
        <f>商品マスタ[[#This Row],[海外定価
（20％）]]-商品マスタ[[#This Row],[仕入単価+国内送料]]</f>
        <v>758.09999999999991</v>
      </c>
      <c r="W300" s="87">
        <f>ROUNDUP(商品マスタ[[#This Row],[仕入単価+国内送料]]/0.85,-1)</f>
        <v>3540</v>
      </c>
      <c r="X300" s="134">
        <f>商品マスタ[[#This Row],[国内定価
（15％）]]-商品マスタ[[#This Row],[仕入単価+国内送料]]</f>
        <v>538.09999999999991</v>
      </c>
      <c r="Y300" s="139">
        <v>0.08</v>
      </c>
      <c r="Z300" s="87" t="s">
        <v>915</v>
      </c>
      <c r="AA300" s="87" t="s">
        <v>171</v>
      </c>
      <c r="AB300" s="87" t="s">
        <v>916</v>
      </c>
      <c r="AC300" s="140"/>
      <c r="AD300" s="87"/>
      <c r="AE300" s="87"/>
      <c r="AF300" s="87" t="s">
        <v>940</v>
      </c>
      <c r="AG300" s="141"/>
    </row>
    <row r="301" spans="1:33" ht="18">
      <c r="A301" s="166" t="s">
        <v>1524</v>
      </c>
      <c r="B301" s="167" t="s">
        <v>1229</v>
      </c>
      <c r="C301" s="167" t="s">
        <v>870</v>
      </c>
      <c r="D301" s="143" t="str">
        <f>"PRD_SNJ_"&amp;
_xlfn.XLOOKUP(商品マスタ[[#This Row],[仕入先]],テーブル1[仕入先名],テーブル1[仕入先コード],"XXX",0,1)&amp;
"_"&amp;
商品マスタ[[#This Row],[シリアル]]&amp;
"_"&amp;
TEXT(COUNTIFS(商品マスタ!$C$3:C301,商品マスタ[[#This Row],[仕入先]],商品マスタ!$E$3:E301,商品マスタ[[#This Row],[商品名]]), "00")</f>
        <v>PRD_SNJ_STK_0001_01</v>
      </c>
      <c r="E301" s="87" t="s">
        <v>891</v>
      </c>
      <c r="F301" s="87">
        <f>IF(COUNTIFS($C$3:C301,商品マスタ[[#This Row],[仕入先]],$E$3:E301,商品マスタ[[#This Row],[商品名]]) = 1, 1,0)</f>
        <v>1</v>
      </c>
      <c r="G301" s="133" t="str">
        <f>TEXT(SUMIF($C$3:C301,商品マスタ[[#This Row],[仕入先]],$F$3:F301), "0000")</f>
        <v>0001</v>
      </c>
      <c r="H301" s="87" t="s">
        <v>899</v>
      </c>
      <c r="I301" s="87"/>
      <c r="J301" s="87">
        <v>1</v>
      </c>
      <c r="K301" s="87"/>
      <c r="L301" s="152">
        <v>4440</v>
      </c>
      <c r="M301" s="157"/>
      <c r="N301" s="152">
        <v>6343</v>
      </c>
      <c r="O301" s="135">
        <f>IF(COUNT(商品マスタ[[#This Row],[参考上代
（税込)]]) &gt; 0, (商品マスタ[[#This Row],[参考上代
（税込)]]-商品マスタ[[#This Row],[国内定価
（15％）]])/(商品マスタ[[#This Row],[参考上代
（税込)]]/1.08), "")</f>
        <v>0.18950654264543593</v>
      </c>
      <c r="P301" s="136">
        <v>0.1</v>
      </c>
      <c r="Q301" s="134">
        <f>商品マスタ[[#This Row],[仕入
単価]]*商品マスタ[[#This Row],[標準国内送料率]]</f>
        <v>444</v>
      </c>
      <c r="R301" s="134">
        <v>0</v>
      </c>
      <c r="S301" s="134">
        <f>IF(ISBLANK(商品マスタ[[#This Row],[実績
国内送料]]),商品マスタ[[#This Row],[標準国内送料]],)</f>
        <v>0</v>
      </c>
      <c r="T301" s="134">
        <f>商品マスタ[[#This Row],[仕入
単価]]+商品マスタ[[#This Row],[国内送料]]</f>
        <v>4440</v>
      </c>
      <c r="U301" s="134">
        <f>ROUNDUP(商品マスタ[[#This Row],[仕入単価+国内送料]]/0.8,-1)</f>
        <v>5550</v>
      </c>
      <c r="V301" s="134">
        <f>商品マスタ[[#This Row],[海外定価
（20％）]]-商品マスタ[[#This Row],[仕入単価+国内送料]]</f>
        <v>1110</v>
      </c>
      <c r="W301" s="87">
        <f>ROUNDUP(商品マスタ[[#This Row],[仕入単価+国内送料]]/0.85,-1)</f>
        <v>5230</v>
      </c>
      <c r="X301" s="134">
        <f>商品マスタ[[#This Row],[国内定価
（15％）]]-商品マスタ[[#This Row],[仕入単価+国内送料]]</f>
        <v>790</v>
      </c>
      <c r="Y301" s="139">
        <v>0.08</v>
      </c>
      <c r="Z301" s="87"/>
      <c r="AA301" s="87" t="s">
        <v>907</v>
      </c>
      <c r="AB301" s="87"/>
      <c r="AC301" s="140"/>
      <c r="AD301" s="87"/>
      <c r="AE301" s="87"/>
      <c r="AF301" s="87" t="s">
        <v>940</v>
      </c>
      <c r="AG301" s="141"/>
    </row>
    <row r="302" spans="1:33" ht="18">
      <c r="A302" s="166" t="s">
        <v>1524</v>
      </c>
      <c r="B302" s="167" t="s">
        <v>1229</v>
      </c>
      <c r="C302" s="167" t="s">
        <v>870</v>
      </c>
      <c r="D302" s="143" t="str">
        <f>"PRD_SNJ_"&amp;
_xlfn.XLOOKUP(商品マスタ[[#This Row],[仕入先]],テーブル1[仕入先名],テーブル1[仕入先コード],"XXX",0,1)&amp;
"_"&amp;
商品マスタ[[#This Row],[シリアル]]&amp;
"_"&amp;
TEXT(COUNTIFS(商品マスタ!$C$3:C302,商品マスタ[[#This Row],[仕入先]],商品マスタ!$E$3:E302,商品マスタ[[#This Row],[商品名]]), "00")</f>
        <v>PRD_SNJ_STK_0002_01</v>
      </c>
      <c r="E302" s="87" t="s">
        <v>892</v>
      </c>
      <c r="F302" s="87">
        <f>IF(COUNTIFS($C$3:C302,商品マスタ[[#This Row],[仕入先]],$E$3:E302,商品マスタ[[#This Row],[商品名]]) = 1, 1,0)</f>
        <v>1</v>
      </c>
      <c r="G302" s="133" t="str">
        <f>TEXT(SUMIF($C$3:C302,商品マスタ[[#This Row],[仕入先]],$F$3:F302), "0000")</f>
        <v>0002</v>
      </c>
      <c r="H302" s="87" t="s">
        <v>899</v>
      </c>
      <c r="I302" s="87"/>
      <c r="J302" s="87">
        <v>1</v>
      </c>
      <c r="K302" s="87"/>
      <c r="L302" s="152">
        <v>5445</v>
      </c>
      <c r="M302" s="157"/>
      <c r="N302" s="152">
        <v>7778</v>
      </c>
      <c r="O302" s="135">
        <f>IF(COUNT(商品マスタ[[#This Row],[参考上代
（税込)]]) &gt; 0, (商品マスタ[[#This Row],[参考上代
（税込)]]-商品マスタ[[#This Row],[国内定価
（15％）]])/(商品マスタ[[#This Row],[参考上代
（税込)]]/1.08), "")</f>
        <v>0.18995114425302137</v>
      </c>
      <c r="P302" s="136">
        <v>0.1</v>
      </c>
      <c r="Q302" s="134">
        <f>商品マスタ[[#This Row],[仕入
単価]]*商品マスタ[[#This Row],[標準国内送料率]]</f>
        <v>544.5</v>
      </c>
      <c r="R302" s="134">
        <v>0</v>
      </c>
      <c r="S302" s="134">
        <f>IF(ISBLANK(商品マスタ[[#This Row],[実績
国内送料]]),商品マスタ[[#This Row],[標準国内送料]],)</f>
        <v>0</v>
      </c>
      <c r="T302" s="134">
        <f>商品マスタ[[#This Row],[仕入
単価]]+商品マスタ[[#This Row],[国内送料]]</f>
        <v>5445</v>
      </c>
      <c r="U302" s="134">
        <f>ROUNDUP(商品マスタ[[#This Row],[仕入単価+国内送料]]/0.8,-1)</f>
        <v>6810</v>
      </c>
      <c r="V302" s="134">
        <f>商品マスタ[[#This Row],[海外定価
（20％）]]-商品マスタ[[#This Row],[仕入単価+国内送料]]</f>
        <v>1365</v>
      </c>
      <c r="W302" s="87">
        <f>ROUNDUP(商品マスタ[[#This Row],[仕入単価+国内送料]]/0.85,-1)</f>
        <v>6410</v>
      </c>
      <c r="X302" s="134">
        <f>商品マスタ[[#This Row],[国内定価
（15％）]]-商品マスタ[[#This Row],[仕入単価+国内送料]]</f>
        <v>965</v>
      </c>
      <c r="Y302" s="139">
        <v>0.08</v>
      </c>
      <c r="Z302" s="87"/>
      <c r="AA302" s="87" t="s">
        <v>908</v>
      </c>
      <c r="AB302" s="87"/>
      <c r="AC302" s="140"/>
      <c r="AD302" s="87"/>
      <c r="AE302" s="87"/>
      <c r="AF302" s="87" t="s">
        <v>940</v>
      </c>
      <c r="AG302" s="141"/>
    </row>
    <row r="303" spans="1:33" ht="18">
      <c r="A303" s="166" t="s">
        <v>1524</v>
      </c>
      <c r="B303" s="167" t="s">
        <v>1229</v>
      </c>
      <c r="C303" s="167" t="s">
        <v>870</v>
      </c>
      <c r="D303" s="143" t="str">
        <f>"PRD_SNJ_"&amp;
_xlfn.XLOOKUP(商品マスタ[[#This Row],[仕入先]],テーブル1[仕入先名],テーブル1[仕入先コード],"XXX",0,1)&amp;
"_"&amp;
商品マスタ[[#This Row],[シリアル]]&amp;
"_"&amp;
TEXT(COUNTIFS(商品マスタ!$C$3:C303,商品マスタ[[#This Row],[仕入先]],商品マスタ!$E$3:E303,商品マスタ[[#This Row],[商品名]]), "00")</f>
        <v>PRD_SNJ_STK_0003_01</v>
      </c>
      <c r="E303" s="87" t="s">
        <v>893</v>
      </c>
      <c r="F303" s="87">
        <f>IF(COUNTIFS($C$3:C303,商品マスタ[[#This Row],[仕入先]],$E$3:E303,商品マスタ[[#This Row],[商品名]]) = 1, 1,0)</f>
        <v>1</v>
      </c>
      <c r="G303" s="133" t="str">
        <f>TEXT(SUMIF($C$3:C303,商品マスタ[[#This Row],[仕入先]],$F$3:F303), "0000")</f>
        <v>0003</v>
      </c>
      <c r="H303" s="87" t="s">
        <v>899</v>
      </c>
      <c r="I303" s="87"/>
      <c r="J303" s="87">
        <v>1</v>
      </c>
      <c r="K303" s="87"/>
      <c r="L303" s="152">
        <v>3040</v>
      </c>
      <c r="M303" s="157"/>
      <c r="N303" s="152">
        <v>4343</v>
      </c>
      <c r="O303" s="135">
        <f>IF(COUNT(商品マスタ[[#This Row],[参考上代
（税込)]]) &gt; 0, (商品マスタ[[#This Row],[参考上代
（税込)]]-商品マスタ[[#This Row],[国内定価
（15％）]])/(商品マスタ[[#This Row],[参考上代
（税込)]]/1.08), "")</f>
        <v>0.18973981119042138</v>
      </c>
      <c r="P303" s="136">
        <v>0.1</v>
      </c>
      <c r="Q303" s="134">
        <f>商品マスタ[[#This Row],[仕入
単価]]*商品マスタ[[#This Row],[標準国内送料率]]</f>
        <v>304</v>
      </c>
      <c r="R303" s="134">
        <v>0</v>
      </c>
      <c r="S303" s="134">
        <f>IF(ISBLANK(商品マスタ[[#This Row],[実績
国内送料]]),商品マスタ[[#This Row],[標準国内送料]],)</f>
        <v>0</v>
      </c>
      <c r="T303" s="134">
        <f>商品マスタ[[#This Row],[仕入
単価]]+商品マスタ[[#This Row],[国内送料]]</f>
        <v>3040</v>
      </c>
      <c r="U303" s="134">
        <f>ROUNDUP(商品マスタ[[#This Row],[仕入単価+国内送料]]/0.8,-1)</f>
        <v>3800</v>
      </c>
      <c r="V303" s="134">
        <f>商品マスタ[[#This Row],[海外定価
（20％）]]-商品マスタ[[#This Row],[仕入単価+国内送料]]</f>
        <v>760</v>
      </c>
      <c r="W303" s="87">
        <f>ROUNDUP(商品マスタ[[#This Row],[仕入単価+国内送料]]/0.85,-1)</f>
        <v>3580</v>
      </c>
      <c r="X303" s="134">
        <f>商品マスタ[[#This Row],[国内定価
（15％）]]-商品マスタ[[#This Row],[仕入単価+国内送料]]</f>
        <v>540</v>
      </c>
      <c r="Y303" s="139">
        <v>0.08</v>
      </c>
      <c r="Z303" s="87"/>
      <c r="AA303" s="87" t="s">
        <v>909</v>
      </c>
      <c r="AB303" s="87"/>
      <c r="AC303" s="140"/>
      <c r="AD303" s="87"/>
      <c r="AE303" s="87"/>
      <c r="AF303" s="87" t="s">
        <v>940</v>
      </c>
      <c r="AG303" s="141"/>
    </row>
    <row r="304" spans="1:33" ht="18">
      <c r="A304" s="166" t="s">
        <v>1524</v>
      </c>
      <c r="B304" s="167" t="s">
        <v>1229</v>
      </c>
      <c r="C304" s="167" t="s">
        <v>870</v>
      </c>
      <c r="D304" s="143" t="str">
        <f>"PRD_SNJ_"&amp;
_xlfn.XLOOKUP(商品マスタ[[#This Row],[仕入先]],テーブル1[仕入先名],テーブル1[仕入先コード],"XXX",0,1)&amp;
"_"&amp;
商品マスタ[[#This Row],[シリアル]]&amp;
"_"&amp;
TEXT(COUNTIFS(商品マスタ!$C$3:C304,商品マスタ[[#This Row],[仕入先]],商品マスタ!$E$3:E304,商品マスタ[[#This Row],[商品名]]), "00")</f>
        <v>PRD_SNJ_STK_0004_01</v>
      </c>
      <c r="E304" s="87" t="s">
        <v>894</v>
      </c>
      <c r="F304" s="87">
        <f>IF(COUNTIFS($C$3:C304,商品マスタ[[#This Row],[仕入先]],$E$3:E304,商品マスタ[[#This Row],[商品名]]) = 1, 1,0)</f>
        <v>1</v>
      </c>
      <c r="G304" s="133" t="str">
        <f>TEXT(SUMIF($C$3:C304,商品マスタ[[#This Row],[仕入先]],$F$3:F304), "0000")</f>
        <v>0004</v>
      </c>
      <c r="H304" s="87" t="s">
        <v>899</v>
      </c>
      <c r="I304" s="87"/>
      <c r="J304" s="87">
        <v>1</v>
      </c>
      <c r="K304" s="87"/>
      <c r="L304" s="152">
        <v>3610</v>
      </c>
      <c r="M304" s="157"/>
      <c r="N304" s="152">
        <v>5157</v>
      </c>
      <c r="O304" s="135">
        <f>IF(COUNT(商品マスタ[[#This Row],[参考上代
（税込)]]) &gt; 0, (商品マスタ[[#This Row],[参考上代
（税込)]]-商品マスタ[[#This Row],[国内定価
（15％）]])/(商品マスタ[[#This Row],[参考上代
（税込)]]/1.08), "")</f>
        <v>0.18994764397905758</v>
      </c>
      <c r="P304" s="136">
        <v>0.1</v>
      </c>
      <c r="Q304" s="134">
        <f>商品マスタ[[#This Row],[仕入
単価]]*商品マスタ[[#This Row],[標準国内送料率]]</f>
        <v>361</v>
      </c>
      <c r="R304" s="134">
        <v>0</v>
      </c>
      <c r="S304" s="134">
        <f>IF(ISBLANK(商品マスタ[[#This Row],[実績
国内送料]]),商品マスタ[[#This Row],[標準国内送料]],)</f>
        <v>0</v>
      </c>
      <c r="T304" s="134">
        <f>商品マスタ[[#This Row],[仕入
単価]]+商品マスタ[[#This Row],[国内送料]]</f>
        <v>3610</v>
      </c>
      <c r="U304" s="134">
        <f>ROUNDUP(商品マスタ[[#This Row],[仕入単価+国内送料]]/0.8,-1)</f>
        <v>4520</v>
      </c>
      <c r="V304" s="134">
        <f>商品マスタ[[#This Row],[海外定価
（20％）]]-商品マスタ[[#This Row],[仕入単価+国内送料]]</f>
        <v>910</v>
      </c>
      <c r="W304" s="87">
        <f>ROUNDUP(商品マスタ[[#This Row],[仕入単価+国内送料]]/0.85,-1)</f>
        <v>4250</v>
      </c>
      <c r="X304" s="134">
        <f>商品マスタ[[#This Row],[国内定価
（15％）]]-商品マスタ[[#This Row],[仕入単価+国内送料]]</f>
        <v>640</v>
      </c>
      <c r="Y304" s="139">
        <v>0.08</v>
      </c>
      <c r="Z304" s="87"/>
      <c r="AA304" s="87" t="s">
        <v>910</v>
      </c>
      <c r="AB304" s="87"/>
      <c r="AC304" s="140"/>
      <c r="AD304" s="87"/>
      <c r="AE304" s="87"/>
      <c r="AF304" s="87" t="s">
        <v>940</v>
      </c>
      <c r="AG304" s="141"/>
    </row>
    <row r="305" spans="1:33" ht="18">
      <c r="A305" s="166" t="s">
        <v>1524</v>
      </c>
      <c r="B305" s="167" t="s">
        <v>1229</v>
      </c>
      <c r="C305" s="167" t="s">
        <v>870</v>
      </c>
      <c r="D305" s="143" t="str">
        <f>"PRD_SNJ_"&amp;
_xlfn.XLOOKUP(商品マスタ[[#This Row],[仕入先]],テーブル1[仕入先名],テーブル1[仕入先コード],"XXX",0,1)&amp;
"_"&amp;
商品マスタ[[#This Row],[シリアル]]&amp;
"_"&amp;
TEXT(COUNTIFS(商品マスタ!$C$3:C305,商品マスタ[[#This Row],[仕入先]],商品マスタ!$E$3:E305,商品マスタ[[#This Row],[商品名]]), "00")</f>
        <v>PRD_SNJ_STK_0005_01</v>
      </c>
      <c r="E305" s="87" t="s">
        <v>895</v>
      </c>
      <c r="F305" s="87">
        <f>IF(COUNTIFS($C$3:C305,商品マスタ[[#This Row],[仕入先]],$E$3:E305,商品マスタ[[#This Row],[商品名]]) = 1, 1,0)</f>
        <v>1</v>
      </c>
      <c r="G305" s="133" t="str">
        <f>TEXT(SUMIF($C$3:C305,商品マスタ[[#This Row],[仕入先]],$F$3:F305), "0000")</f>
        <v>0005</v>
      </c>
      <c r="H305" s="87" t="s">
        <v>899</v>
      </c>
      <c r="I305" s="87"/>
      <c r="J305" s="87">
        <v>1</v>
      </c>
      <c r="K305" s="87"/>
      <c r="L305" s="152">
        <v>3786</v>
      </c>
      <c r="M305" s="157"/>
      <c r="N305" s="152">
        <v>5408</v>
      </c>
      <c r="O305" s="135">
        <f>IF(COUNT(商品マスタ[[#This Row],[参考上代
（税込)]]) &gt; 0, (商品マスタ[[#This Row],[参考上代
（税込)]]-商品マスタ[[#This Row],[国内定価
（15％）]])/(商品マスタ[[#This Row],[参考上代
（税込)]]/1.08), "")</f>
        <v>0.18931952662721896</v>
      </c>
      <c r="P305" s="136">
        <v>0.1</v>
      </c>
      <c r="Q305" s="134">
        <f>商品マスタ[[#This Row],[仕入
単価]]*商品マスタ[[#This Row],[標準国内送料率]]</f>
        <v>378.6</v>
      </c>
      <c r="R305" s="134">
        <v>0</v>
      </c>
      <c r="S305" s="134">
        <f>IF(ISBLANK(商品マスタ[[#This Row],[実績
国内送料]]),商品マスタ[[#This Row],[標準国内送料]],)</f>
        <v>0</v>
      </c>
      <c r="T305" s="134">
        <f>商品マスタ[[#This Row],[仕入
単価]]+商品マスタ[[#This Row],[国内送料]]</f>
        <v>3786</v>
      </c>
      <c r="U305" s="134">
        <f>ROUNDUP(商品マスタ[[#This Row],[仕入単価+国内送料]]/0.8,-1)</f>
        <v>4740</v>
      </c>
      <c r="V305" s="134">
        <f>商品マスタ[[#This Row],[海外定価
（20％）]]-商品マスタ[[#This Row],[仕入単価+国内送料]]</f>
        <v>954</v>
      </c>
      <c r="W305" s="87">
        <f>ROUNDUP(商品マスタ[[#This Row],[仕入単価+国内送料]]/0.85,-1)</f>
        <v>4460</v>
      </c>
      <c r="X305" s="134">
        <f>商品マスタ[[#This Row],[国内定価
（15％）]]-商品マスタ[[#This Row],[仕入単価+国内送料]]</f>
        <v>674</v>
      </c>
      <c r="Y305" s="139">
        <v>0.08</v>
      </c>
      <c r="Z305" s="87"/>
      <c r="AA305" s="87"/>
      <c r="AB305" s="87"/>
      <c r="AC305" s="140"/>
      <c r="AD305" s="87"/>
      <c r="AE305" s="87"/>
      <c r="AF305" s="87" t="s">
        <v>940</v>
      </c>
      <c r="AG305" s="141"/>
    </row>
    <row r="306" spans="1:33" ht="18">
      <c r="A306" s="166" t="s">
        <v>1524</v>
      </c>
      <c r="B306" s="167" t="s">
        <v>1229</v>
      </c>
      <c r="C306" s="167" t="s">
        <v>870</v>
      </c>
      <c r="D306" s="143" t="str">
        <f>"PRD_SNJ_"&amp;
_xlfn.XLOOKUP(商品マスタ[[#This Row],[仕入先]],テーブル1[仕入先名],テーブル1[仕入先コード],"XXX",0,1)&amp;
"_"&amp;
商品マスタ[[#This Row],[シリアル]]&amp;
"_"&amp;
TEXT(COUNTIFS(商品マスタ!$C$3:C306,商品マスタ[[#This Row],[仕入先]],商品マスタ!$E$3:E306,商品マスタ[[#This Row],[商品名]]), "00")</f>
        <v>PRD_SNJ_STK_0006_01</v>
      </c>
      <c r="E306" s="87" t="s">
        <v>896</v>
      </c>
      <c r="F306" s="87">
        <f>IF(COUNTIFS($C$3:C306,商品マスタ[[#This Row],[仕入先]],$E$3:E306,商品マスタ[[#This Row],[商品名]]) = 1, 1,0)</f>
        <v>1</v>
      </c>
      <c r="G306" s="133" t="str">
        <f>TEXT(SUMIF($C$3:C306,商品マスタ[[#This Row],[仕入先]],$F$3:F306), "0000")</f>
        <v>0006</v>
      </c>
      <c r="H306" s="87" t="s">
        <v>899</v>
      </c>
      <c r="I306" s="87"/>
      <c r="J306" s="87">
        <v>1</v>
      </c>
      <c r="K306" s="87"/>
      <c r="L306" s="152">
        <v>3889</v>
      </c>
      <c r="M306" s="157"/>
      <c r="N306" s="152">
        <v>5556</v>
      </c>
      <c r="O306" s="135">
        <f>IF(COUNT(商品マスタ[[#This Row],[参考上代
（税込)]]) &gt; 0, (商品マスタ[[#This Row],[参考上代
（税込)]]-商品マスタ[[#This Row],[国内定価
（15％）]])/(商品マスタ[[#This Row],[参考上代
（税込)]]/1.08), "")</f>
        <v>0.18971922246220302</v>
      </c>
      <c r="P306" s="136">
        <v>0.1</v>
      </c>
      <c r="Q306" s="134">
        <f>商品マスタ[[#This Row],[仕入
単価]]*商品マスタ[[#This Row],[標準国内送料率]]</f>
        <v>388.90000000000003</v>
      </c>
      <c r="R306" s="134">
        <v>0</v>
      </c>
      <c r="S306" s="134">
        <f>IF(ISBLANK(商品マスタ[[#This Row],[実績
国内送料]]),商品マスタ[[#This Row],[標準国内送料]],)</f>
        <v>0</v>
      </c>
      <c r="T306" s="134">
        <f>商品マスタ[[#This Row],[仕入
単価]]+商品マスタ[[#This Row],[国内送料]]</f>
        <v>3889</v>
      </c>
      <c r="U306" s="134">
        <f>ROUNDUP(商品マスタ[[#This Row],[仕入単価+国内送料]]/0.8,-1)</f>
        <v>4870</v>
      </c>
      <c r="V306" s="134">
        <f>商品マスタ[[#This Row],[海外定価
（20％）]]-商品マスタ[[#This Row],[仕入単価+国内送料]]</f>
        <v>981</v>
      </c>
      <c r="W306" s="87">
        <f>ROUNDUP(商品マスタ[[#This Row],[仕入単価+国内送料]]/0.85,-1)</f>
        <v>4580</v>
      </c>
      <c r="X306" s="134">
        <f>商品マスタ[[#This Row],[国内定価
（15％）]]-商品マスタ[[#This Row],[仕入単価+国内送料]]</f>
        <v>691</v>
      </c>
      <c r="Y306" s="139">
        <v>0.08</v>
      </c>
      <c r="Z306" s="87"/>
      <c r="AA306" s="87"/>
      <c r="AB306" s="87"/>
      <c r="AC306" s="140"/>
      <c r="AD306" s="87"/>
      <c r="AE306" s="87"/>
      <c r="AF306" s="87" t="s">
        <v>940</v>
      </c>
      <c r="AG306" s="141"/>
    </row>
    <row r="307" spans="1:33" ht="18">
      <c r="A307" s="166" t="s">
        <v>1524</v>
      </c>
      <c r="B307" s="167" t="s">
        <v>1229</v>
      </c>
      <c r="C307" s="167" t="s">
        <v>870</v>
      </c>
      <c r="D307" s="143" t="str">
        <f>"PRD_SNJ_"&amp;
_xlfn.XLOOKUP(商品マスタ[[#This Row],[仕入先]],テーブル1[仕入先名],テーブル1[仕入先コード],"XXX",0,1)&amp;
"_"&amp;
商品マスタ[[#This Row],[シリアル]]&amp;
"_"&amp;
TEXT(COUNTIFS(商品マスタ!$C$3:C307,商品マスタ[[#This Row],[仕入先]],商品マスタ!$E$3:E307,商品マスタ[[#This Row],[商品名]]), "00")</f>
        <v>PRD_SNJ_STK_0007_01</v>
      </c>
      <c r="E307" s="87" t="s">
        <v>897</v>
      </c>
      <c r="F307" s="87">
        <f>IF(COUNTIFS($C$3:C307,商品マスタ[[#This Row],[仕入先]],$E$3:E307,商品マスタ[[#This Row],[商品名]]) = 1, 1,0)</f>
        <v>1</v>
      </c>
      <c r="G307" s="133" t="str">
        <f>TEXT(SUMIF($C$3:C307,商品マスタ[[#This Row],[仕入先]],$F$3:F307), "0000")</f>
        <v>0007</v>
      </c>
      <c r="H307" s="87" t="s">
        <v>899</v>
      </c>
      <c r="I307" s="87"/>
      <c r="J307" s="87">
        <v>1</v>
      </c>
      <c r="K307" s="87"/>
      <c r="L307" s="152">
        <v>4537</v>
      </c>
      <c r="M307" s="157"/>
      <c r="N307" s="152">
        <v>6481</v>
      </c>
      <c r="O307" s="135">
        <f>IF(COUNT(商品マスタ[[#This Row],[参考上代
（税込)]]) &gt; 0, (商品マスタ[[#This Row],[参考上代
（税込)]]-商品マスタ[[#This Row],[国内定価
（15％）]])/(商品マスタ[[#This Row],[参考上代
（税込)]]/1.08), "")</f>
        <v>0.19013732448696191</v>
      </c>
      <c r="P307" s="136">
        <v>0.1</v>
      </c>
      <c r="Q307" s="134">
        <f>商品マスタ[[#This Row],[仕入
単価]]*商品マスタ[[#This Row],[標準国内送料率]]</f>
        <v>453.70000000000005</v>
      </c>
      <c r="R307" s="134">
        <v>0</v>
      </c>
      <c r="S307" s="134">
        <f>IF(ISBLANK(商品マスタ[[#This Row],[実績
国内送料]]),商品マスタ[[#This Row],[標準国内送料]],)</f>
        <v>0</v>
      </c>
      <c r="T307" s="134">
        <f>商品マスタ[[#This Row],[仕入
単価]]+商品マスタ[[#This Row],[国内送料]]</f>
        <v>4537</v>
      </c>
      <c r="U307" s="134">
        <f>ROUNDUP(商品マスタ[[#This Row],[仕入単価+国内送料]]/0.8,-1)</f>
        <v>5680</v>
      </c>
      <c r="V307" s="134">
        <f>商品マスタ[[#This Row],[海外定価
（20％）]]-商品マスタ[[#This Row],[仕入単価+国内送料]]</f>
        <v>1143</v>
      </c>
      <c r="W307" s="87">
        <f>ROUNDUP(商品マスタ[[#This Row],[仕入単価+国内送料]]/0.85,-1)</f>
        <v>5340</v>
      </c>
      <c r="X307" s="134">
        <f>商品マスタ[[#This Row],[国内定価
（15％）]]-商品マスタ[[#This Row],[仕入単価+国内送料]]</f>
        <v>803</v>
      </c>
      <c r="Y307" s="139">
        <v>0.08</v>
      </c>
      <c r="Z307" s="87"/>
      <c r="AA307" s="87"/>
      <c r="AB307" s="87"/>
      <c r="AC307" s="140"/>
      <c r="AD307" s="87"/>
      <c r="AE307" s="87"/>
      <c r="AF307" s="87" t="s">
        <v>940</v>
      </c>
      <c r="AG307" s="141"/>
    </row>
    <row r="308" spans="1:33" ht="18">
      <c r="A308" s="166" t="s">
        <v>1521</v>
      </c>
      <c r="B308" s="167" t="s">
        <v>1517</v>
      </c>
      <c r="C308" s="167" t="s">
        <v>918</v>
      </c>
      <c r="D308" s="143" t="str">
        <f>"PRD_SNJ_"&amp;
_xlfn.XLOOKUP(商品マスタ[[#This Row],[仕入先]],テーブル1[仕入先名],テーブル1[仕入先コード],"XXX",0,1)&amp;
"_"&amp;
商品マスタ[[#This Row],[シリアル]]&amp;
"_"&amp;
TEXT(COUNTIFS(商品マスタ!$C$3:C308,商品マスタ[[#This Row],[仕入先]],商品マスタ!$E$3:E308,商品マスタ[[#This Row],[商品名]]), "00")</f>
        <v>PRD_SNJ_AUT_0001_01</v>
      </c>
      <c r="E308" s="87" t="s">
        <v>919</v>
      </c>
      <c r="F308" s="87">
        <f>IF(COUNTIFS($C$3:C308,商品マスタ[[#This Row],[仕入先]],$E$3:E308,商品マスタ[[#This Row],[商品名]]) = 1, 1,0)</f>
        <v>1</v>
      </c>
      <c r="G308" s="133" t="str">
        <f>TEXT(SUMIF($C$3:C308,商品マスタ[[#This Row],[仕入先]],$F$3:F308), "0000")</f>
        <v>0001</v>
      </c>
      <c r="H308" s="87" t="s">
        <v>901</v>
      </c>
      <c r="I308" s="153" t="s">
        <v>921</v>
      </c>
      <c r="J308" s="87">
        <v>1</v>
      </c>
      <c r="K308" s="87"/>
      <c r="L308" s="134">
        <v>3139</v>
      </c>
      <c r="M308" s="157"/>
      <c r="N308" s="134">
        <v>3950</v>
      </c>
      <c r="O308" s="135">
        <f>IF(COUNT(商品マスタ[[#This Row],[参考上代
（税込)]]) &gt; 0, (商品マスタ[[#This Row],[参考上代
（税込)]]-商品マスタ[[#This Row],[国内定価
（15％）]])/(商品マスタ[[#This Row],[参考上代
（税込)]]/1.08), "")</f>
        <v>6.8354430379746839E-2</v>
      </c>
      <c r="P308" s="136">
        <v>0.1</v>
      </c>
      <c r="Q308" s="134">
        <f>商品マスタ[[#This Row],[仕入
単価]]*商品マスタ[[#This Row],[標準国内送料率]]</f>
        <v>313.90000000000003</v>
      </c>
      <c r="R308" s="134">
        <v>0</v>
      </c>
      <c r="S308" s="134">
        <f>IF(ISBLANK(商品マスタ[[#This Row],[実績
国内送料]]),商品マスタ[[#This Row],[標準国内送料]],)</f>
        <v>0</v>
      </c>
      <c r="T308" s="134">
        <f>商品マスタ[[#This Row],[仕入
単価]]+商品マスタ[[#This Row],[国内送料]]</f>
        <v>3139</v>
      </c>
      <c r="U308" s="134">
        <f>ROUNDUP(商品マスタ[[#This Row],[仕入単価+国内送料]]/0.8,-1)</f>
        <v>3930</v>
      </c>
      <c r="V308" s="134">
        <f>商品マスタ[[#This Row],[海外定価
（20％）]]-商品マスタ[[#This Row],[仕入単価+国内送料]]</f>
        <v>791</v>
      </c>
      <c r="W308" s="87">
        <f>ROUNDUP(商品マスタ[[#This Row],[仕入単価+国内送料]]/0.85,-1)</f>
        <v>3700</v>
      </c>
      <c r="X308" s="134">
        <f>商品マスタ[[#This Row],[国内定価
（15％）]]-商品マスタ[[#This Row],[仕入単価+国内送料]]</f>
        <v>561</v>
      </c>
      <c r="Y308" s="139">
        <v>0.08</v>
      </c>
      <c r="Z308" s="87"/>
      <c r="AA308" s="87" t="s">
        <v>399</v>
      </c>
      <c r="AB308" s="87" t="s">
        <v>172</v>
      </c>
      <c r="AC308" s="140"/>
      <c r="AD308" s="87"/>
      <c r="AE308" s="87"/>
      <c r="AF308" s="87" t="s">
        <v>940</v>
      </c>
      <c r="AG308" s="141"/>
    </row>
    <row r="309" spans="1:33" ht="18">
      <c r="A309" s="166" t="s">
        <v>1521</v>
      </c>
      <c r="B309" s="167" t="s">
        <v>1517</v>
      </c>
      <c r="C309" s="167" t="s">
        <v>918</v>
      </c>
      <c r="D309" s="143" t="str">
        <f>"PRD_SNJ_"&amp;
_xlfn.XLOOKUP(商品マスタ[[#This Row],[仕入先]],テーブル1[仕入先名],テーブル1[仕入先コード],"XXX",0,1)&amp;
"_"&amp;
商品マスタ[[#This Row],[シリアル]]&amp;
"_"&amp;
TEXT(COUNTIFS(商品マスタ!$C$3:C309,商品マスタ[[#This Row],[仕入先]],商品マスタ!$E$3:E309,商品マスタ[[#This Row],[商品名]]), "00")</f>
        <v>PRD_SNJ_AUT_0002_01</v>
      </c>
      <c r="E309" s="87" t="s">
        <v>920</v>
      </c>
      <c r="F309" s="87">
        <f>IF(COUNTIFS($C$3:C309,商品マスタ[[#This Row],[仕入先]],$E$3:E309,商品マスタ[[#This Row],[商品名]]) = 1, 1,0)</f>
        <v>1</v>
      </c>
      <c r="G309" s="133" t="str">
        <f>TEXT(SUMIF($C$3:C309,商品マスタ[[#This Row],[仕入先]],$F$3:F309), "0000")</f>
        <v>0002</v>
      </c>
      <c r="H309" s="87" t="s">
        <v>901</v>
      </c>
      <c r="I309" s="153" t="s">
        <v>922</v>
      </c>
      <c r="J309" s="87">
        <v>1</v>
      </c>
      <c r="K309" s="87"/>
      <c r="L309" s="134">
        <v>6760</v>
      </c>
      <c r="M309" s="157"/>
      <c r="N309" s="134">
        <v>8800</v>
      </c>
      <c r="O309" s="135">
        <f>IF(COUNT(商品マスタ[[#This Row],[参考上代
（税込)]]) &gt; 0, (商品マスタ[[#This Row],[参考上代
（税込)]]-商品マスタ[[#This Row],[国内定価
（15％）]])/(商品マスタ[[#This Row],[参考上代
（税込)]]/1.08), "")</f>
        <v>0.10309090909090909</v>
      </c>
      <c r="P309" s="136">
        <v>0.1</v>
      </c>
      <c r="Q309" s="134">
        <f>商品マスタ[[#This Row],[仕入
単価]]*商品マスタ[[#This Row],[標準国内送料率]]</f>
        <v>676</v>
      </c>
      <c r="R309" s="134">
        <v>0</v>
      </c>
      <c r="S309" s="134">
        <f>IF(ISBLANK(商品マスタ[[#This Row],[実績
国内送料]]),商品マスタ[[#This Row],[標準国内送料]],)</f>
        <v>0</v>
      </c>
      <c r="T309" s="134">
        <f>商品マスタ[[#This Row],[仕入
単価]]+商品マスタ[[#This Row],[国内送料]]</f>
        <v>6760</v>
      </c>
      <c r="U309" s="134">
        <f>ROUNDUP(商品マスタ[[#This Row],[仕入単価+国内送料]]/0.8,-1)</f>
        <v>8450</v>
      </c>
      <c r="V309" s="134">
        <f>商品マスタ[[#This Row],[海外定価
（20％）]]-商品マスタ[[#This Row],[仕入単価+国内送料]]</f>
        <v>1690</v>
      </c>
      <c r="W309" s="87">
        <f>ROUNDUP(商品マスタ[[#This Row],[仕入単価+国内送料]]/0.85,-1)</f>
        <v>7960</v>
      </c>
      <c r="X309" s="134">
        <f>商品マスタ[[#This Row],[国内定価
（15％）]]-商品マスタ[[#This Row],[仕入単価+国内送料]]</f>
        <v>1200</v>
      </c>
      <c r="Y309" s="139">
        <v>0.08</v>
      </c>
      <c r="Z309" s="87"/>
      <c r="AA309" s="87" t="s">
        <v>399</v>
      </c>
      <c r="AB309" s="87" t="s">
        <v>172</v>
      </c>
      <c r="AC309" s="140"/>
      <c r="AD309" s="87"/>
      <c r="AE309" s="87"/>
      <c r="AF309" s="87" t="s">
        <v>940</v>
      </c>
      <c r="AG309" s="141"/>
    </row>
    <row r="310" spans="1:33" ht="18">
      <c r="A310" s="166" t="s">
        <v>1524</v>
      </c>
      <c r="B310" s="167" t="s">
        <v>1229</v>
      </c>
      <c r="C310" s="167" t="s">
        <v>868</v>
      </c>
      <c r="D310" s="143" t="str">
        <f>"PRD_SNJ_"&amp;
_xlfn.XLOOKUP(商品マスタ[[#This Row],[仕入先]],テーブル1[仕入先名],テーブル1[仕入先コード],"XXX",0,1)&amp;
"_"&amp;
商品マスタ[[#This Row],[シリアル]]&amp;
"_"&amp;
TEXT(COUNTIFS(商品マスタ!$C$3:C310,商品マスタ[[#This Row],[仕入先]],商品マスタ!$E$3:E310,商品マスタ[[#This Row],[商品名]]), "00")</f>
        <v>PRD_SNJ_BTD_0001_01</v>
      </c>
      <c r="E310" s="87" t="s">
        <v>929</v>
      </c>
      <c r="F310" s="87">
        <f>IF(COUNTIFS($C$3:C310,商品マスタ[[#This Row],[仕入先]],$E$3:E310,商品マスタ[[#This Row],[商品名]]) = 1, 1,0)</f>
        <v>1</v>
      </c>
      <c r="G310" s="133" t="str">
        <f>TEXT(SUMIF($C$3:C310,商品マスタ[[#This Row],[仕入先]],$F$3:F310), "0000")</f>
        <v>0001</v>
      </c>
      <c r="H310" s="87" t="s">
        <v>935</v>
      </c>
      <c r="I310" s="87" t="s">
        <v>936</v>
      </c>
      <c r="J310" s="87">
        <v>1</v>
      </c>
      <c r="K310" s="87" t="s">
        <v>937</v>
      </c>
      <c r="L310" s="134">
        <v>2700</v>
      </c>
      <c r="M310" s="179">
        <v>45982</v>
      </c>
      <c r="N310" s="134"/>
      <c r="O310" s="135" t="str">
        <f>IF(COUNT(商品マスタ[[#This Row],[参考上代
（税込)]]) &gt; 0, (商品マスタ[[#This Row],[参考上代
（税込)]]-商品マスタ[[#This Row],[国内定価
（15％）]])/(商品マスタ[[#This Row],[参考上代
（税込)]]/1.08), "")</f>
        <v/>
      </c>
      <c r="P310" s="136">
        <v>0.1</v>
      </c>
      <c r="Q310" s="134">
        <f>商品マスタ[[#This Row],[仕入
単価]]*商品マスタ[[#This Row],[標準国内送料率]]</f>
        <v>270</v>
      </c>
      <c r="R310" s="134">
        <v>1280</v>
      </c>
      <c r="S310" s="134">
        <f>IF(ISBLANK(商品マスタ[[#This Row],[実績
国内送料]]),商品マスタ[[#This Row],[標準国内送料]],)</f>
        <v>0</v>
      </c>
      <c r="T310" s="134">
        <f>商品マスタ[[#This Row],[仕入
単価]]+商品マスタ[[#This Row],[国内送料]]</f>
        <v>2700</v>
      </c>
      <c r="U310" s="134">
        <f>ROUNDUP(商品マスタ[[#This Row],[仕入単価+国内送料]]/0.8,-1)</f>
        <v>3380</v>
      </c>
      <c r="V310" s="134">
        <f>商品マスタ[[#This Row],[海外定価
（20％）]]-商品マスタ[[#This Row],[仕入単価+国内送料]]</f>
        <v>680</v>
      </c>
      <c r="W310" s="87">
        <f>ROUNDUP(商品マスタ[[#This Row],[仕入単価+国内送料]]/0.85,-1)</f>
        <v>3180</v>
      </c>
      <c r="X310" s="134">
        <f>商品マスタ[[#This Row],[国内定価
（15％）]]-商品マスタ[[#This Row],[仕入単価+国内送料]]</f>
        <v>480</v>
      </c>
      <c r="Y310" s="139">
        <v>0.08</v>
      </c>
      <c r="Z310" s="87"/>
      <c r="AA310" s="87" t="s">
        <v>938</v>
      </c>
      <c r="AB310" s="87" t="s">
        <v>939</v>
      </c>
      <c r="AC310" s="140"/>
      <c r="AD310" s="71" t="s">
        <v>944</v>
      </c>
      <c r="AE310" s="87"/>
      <c r="AF310" s="87" t="s">
        <v>940</v>
      </c>
      <c r="AG310" s="141"/>
    </row>
    <row r="311" spans="1:33" ht="18">
      <c r="A311" s="166" t="s">
        <v>1238</v>
      </c>
      <c r="B311" s="167" t="s">
        <v>1238</v>
      </c>
      <c r="C311" s="167" t="s">
        <v>868</v>
      </c>
      <c r="D311" s="143" t="str">
        <f>"PRD_SNJ_"&amp;
_xlfn.XLOOKUP(商品マスタ[[#This Row],[仕入先]],テーブル1[仕入先名],テーブル1[仕入先コード],"XXX",0,1)&amp;
"_"&amp;
商品マスタ[[#This Row],[シリアル]]&amp;
"_"&amp;
TEXT(COUNTIFS(商品マスタ!$C$3:C311,商品マスタ[[#This Row],[仕入先]],商品マスタ!$E$3:E311,商品マスタ[[#This Row],[商品名]]), "00")</f>
        <v>PRD_SNJ_BTD_0002_01</v>
      </c>
      <c r="E311" s="87" t="s">
        <v>930</v>
      </c>
      <c r="F311" s="87">
        <f>IF(COUNTIFS($C$3:C311,商品マスタ[[#This Row],[仕入先]],$E$3:E311,商品マスタ[[#This Row],[商品名]]) = 1, 1,0)</f>
        <v>1</v>
      </c>
      <c r="G311" s="133" t="str">
        <f>TEXT(SUMIF($C$3:C311,商品マスタ[[#This Row],[仕入先]],$F$3:F311), "0000")</f>
        <v>0002</v>
      </c>
      <c r="H311" s="87" t="s">
        <v>935</v>
      </c>
      <c r="I311" s="87" t="s">
        <v>936</v>
      </c>
      <c r="J311" s="87">
        <v>1</v>
      </c>
      <c r="K311" s="87" t="s">
        <v>937</v>
      </c>
      <c r="L311" s="134">
        <v>2950</v>
      </c>
      <c r="M311" s="179">
        <v>45982</v>
      </c>
      <c r="N311" s="134"/>
      <c r="O311" s="135" t="str">
        <f>IF(COUNT(商品マスタ[[#This Row],[参考上代
（税込)]]) &gt; 0, (商品マスタ[[#This Row],[参考上代
（税込)]]-商品マスタ[[#This Row],[国内定価
（15％）]])/(商品マスタ[[#This Row],[参考上代
（税込)]]/1.08), "")</f>
        <v/>
      </c>
      <c r="P311" s="136">
        <v>0.1</v>
      </c>
      <c r="Q311" s="134">
        <f>商品マスタ[[#This Row],[仕入
単価]]*商品マスタ[[#This Row],[標準国内送料率]]</f>
        <v>295</v>
      </c>
      <c r="R311" s="134">
        <v>1280</v>
      </c>
      <c r="S311" s="134">
        <f>IF(ISBLANK(商品マスタ[[#This Row],[実績
国内送料]]),商品マスタ[[#This Row],[標準国内送料]],)</f>
        <v>0</v>
      </c>
      <c r="T311" s="134">
        <f>商品マスタ[[#This Row],[仕入
単価]]+商品マスタ[[#This Row],[国内送料]]</f>
        <v>2950</v>
      </c>
      <c r="U311" s="134">
        <f>ROUNDUP(商品マスタ[[#This Row],[仕入単価+国内送料]]/0.8,-1)</f>
        <v>3690</v>
      </c>
      <c r="V311" s="134">
        <f>商品マスタ[[#This Row],[海外定価
（20％）]]-商品マスタ[[#This Row],[仕入単価+国内送料]]</f>
        <v>740</v>
      </c>
      <c r="W311" s="87">
        <f>ROUNDUP(商品マスタ[[#This Row],[仕入単価+国内送料]]/0.85,-1)</f>
        <v>3480</v>
      </c>
      <c r="X311" s="134">
        <f>商品マスタ[[#This Row],[国内定価
（15％）]]-商品マスタ[[#This Row],[仕入単価+国内送料]]</f>
        <v>530</v>
      </c>
      <c r="Y311" s="139">
        <v>0.08</v>
      </c>
      <c r="Z311" s="87"/>
      <c r="AA311" s="87" t="s">
        <v>938</v>
      </c>
      <c r="AB311" s="87" t="s">
        <v>939</v>
      </c>
      <c r="AC311" s="140"/>
      <c r="AD311" s="71" t="s">
        <v>945</v>
      </c>
      <c r="AE311" s="87"/>
      <c r="AF311" s="87" t="s">
        <v>940</v>
      </c>
      <c r="AG311" s="141"/>
    </row>
    <row r="312" spans="1:33" ht="18">
      <c r="A312" s="166" t="s">
        <v>1524</v>
      </c>
      <c r="B312" s="167" t="s">
        <v>1229</v>
      </c>
      <c r="C312" s="167" t="s">
        <v>868</v>
      </c>
      <c r="D312" s="143" t="str">
        <f>"PRD_SNJ_"&amp;
_xlfn.XLOOKUP(商品マスタ[[#This Row],[仕入先]],テーブル1[仕入先名],テーブル1[仕入先コード],"XXX",0,1)&amp;
"_"&amp;
商品マスタ[[#This Row],[シリアル]]&amp;
"_"&amp;
TEXT(COUNTIFS(商品マスタ!$C$3:C312,商品マスタ[[#This Row],[仕入先]],商品マスタ!$E$3:E312,商品マスタ[[#This Row],[商品名]]), "00")</f>
        <v>PRD_SNJ_BTD_0003_01</v>
      </c>
      <c r="E312" s="87" t="s">
        <v>931</v>
      </c>
      <c r="F312" s="87">
        <f>IF(COUNTIFS($C$3:C312,商品マスタ[[#This Row],[仕入先]],$E$3:E312,商品マスタ[[#This Row],[商品名]]) = 1, 1,0)</f>
        <v>1</v>
      </c>
      <c r="G312" s="133" t="str">
        <f>TEXT(SUMIF($C$3:C312,商品マスタ[[#This Row],[仕入先]],$F$3:F312), "0000")</f>
        <v>0003</v>
      </c>
      <c r="H312" s="87" t="s">
        <v>416</v>
      </c>
      <c r="I312" s="87" t="s">
        <v>936</v>
      </c>
      <c r="J312" s="87">
        <v>40</v>
      </c>
      <c r="K312" s="87" t="s">
        <v>937</v>
      </c>
      <c r="L312" s="134">
        <v>9800</v>
      </c>
      <c r="M312" s="179">
        <v>45982</v>
      </c>
      <c r="N312" s="134"/>
      <c r="O312" s="135" t="str">
        <f>IF(COUNT(商品マスタ[[#This Row],[参考上代
（税込)]]) &gt; 0, (商品マスタ[[#This Row],[参考上代
（税込)]]-商品マスタ[[#This Row],[国内定価
（15％）]])/(商品マスタ[[#This Row],[参考上代
（税込)]]/1.08), "")</f>
        <v/>
      </c>
      <c r="P312" s="136">
        <v>0.1</v>
      </c>
      <c r="Q312" s="134">
        <f>商品マスタ[[#This Row],[仕入
単価]]*商品マスタ[[#This Row],[標準国内送料率]]</f>
        <v>980</v>
      </c>
      <c r="R312" s="134">
        <v>1700</v>
      </c>
      <c r="S312" s="134">
        <f>IF(ISBLANK(商品マスタ[[#This Row],[実績
国内送料]]),商品マスタ[[#This Row],[標準国内送料]],)</f>
        <v>0</v>
      </c>
      <c r="T312" s="134">
        <f>商品マスタ[[#This Row],[仕入
単価]]+商品マスタ[[#This Row],[国内送料]]</f>
        <v>9800</v>
      </c>
      <c r="U312" s="134">
        <f>ROUNDUP(商品マスタ[[#This Row],[仕入単価+国内送料]]/0.8,-1)</f>
        <v>12250</v>
      </c>
      <c r="V312" s="134">
        <f>商品マスタ[[#This Row],[海外定価
（20％）]]-商品マスタ[[#This Row],[仕入単価+国内送料]]</f>
        <v>2450</v>
      </c>
      <c r="W312" s="87">
        <f>ROUNDUP(商品マスタ[[#This Row],[仕入単価+国内送料]]/0.85,-1)</f>
        <v>11530</v>
      </c>
      <c r="X312" s="134">
        <f>商品マスタ[[#This Row],[国内定価
（15％）]]-商品マスタ[[#This Row],[仕入単価+国内送料]]</f>
        <v>1730</v>
      </c>
      <c r="Y312" s="139">
        <v>0.08</v>
      </c>
      <c r="Z312" s="87"/>
      <c r="AA312" s="87" t="s">
        <v>938</v>
      </c>
      <c r="AB312" s="87" t="s">
        <v>939</v>
      </c>
      <c r="AC312" s="140"/>
      <c r="AD312" s="71" t="s">
        <v>941</v>
      </c>
      <c r="AE312" s="87"/>
      <c r="AF312" s="87" t="s">
        <v>940</v>
      </c>
      <c r="AG312" s="141"/>
    </row>
    <row r="313" spans="1:33" ht="18">
      <c r="A313" s="166" t="s">
        <v>1524</v>
      </c>
      <c r="B313" s="167" t="s">
        <v>1229</v>
      </c>
      <c r="C313" s="167" t="s">
        <v>868</v>
      </c>
      <c r="D313" s="143" t="str">
        <f>"PRD_SNJ_"&amp;
_xlfn.XLOOKUP(商品マスタ[[#This Row],[仕入先]],テーブル1[仕入先名],テーブル1[仕入先コード],"XXX",0,1)&amp;
"_"&amp;
商品マスタ[[#This Row],[シリアル]]&amp;
"_"&amp;
TEXT(COUNTIFS(商品マスタ!$C$3:C313,商品マスタ[[#This Row],[仕入先]],商品マスタ!$E$3:E313,商品マスタ[[#This Row],[商品名]]), "00")</f>
        <v>PRD_SNJ_BTD_0004_01</v>
      </c>
      <c r="E313" s="87" t="s">
        <v>932</v>
      </c>
      <c r="F313" s="87">
        <f>IF(COUNTIFS($C$3:C313,商品マスタ[[#This Row],[仕入先]],$E$3:E313,商品マスタ[[#This Row],[商品名]]) = 1, 1,0)</f>
        <v>1</v>
      </c>
      <c r="G313" s="133" t="str">
        <f>TEXT(SUMIF($C$3:C313,商品マスタ[[#This Row],[仕入先]],$F$3:F313), "0000")</f>
        <v>0004</v>
      </c>
      <c r="H313" s="87" t="s">
        <v>942</v>
      </c>
      <c r="I313" s="87" t="s">
        <v>936</v>
      </c>
      <c r="J313" s="87">
        <v>40</v>
      </c>
      <c r="K313" s="87" t="s">
        <v>937</v>
      </c>
      <c r="L313" s="134">
        <v>19600</v>
      </c>
      <c r="M313" s="179">
        <v>45982</v>
      </c>
      <c r="N313" s="134"/>
      <c r="O313" s="135" t="str">
        <f>IF(COUNT(商品マスタ[[#This Row],[参考上代
（税込)]]) &gt; 0, (商品マスタ[[#This Row],[参考上代
（税込)]]-商品マスタ[[#This Row],[国内定価
（15％）]])/(商品マスタ[[#This Row],[参考上代
（税込)]]/1.08), "")</f>
        <v/>
      </c>
      <c r="P313" s="136">
        <v>0.1</v>
      </c>
      <c r="Q313" s="134">
        <f>商品マスタ[[#This Row],[仕入
単価]]*商品マスタ[[#This Row],[標準国内送料率]]</f>
        <v>1960</v>
      </c>
      <c r="R313" s="134">
        <v>1700</v>
      </c>
      <c r="S313" s="134">
        <f>IF(ISBLANK(商品マスタ[[#This Row],[実績
国内送料]]),商品マスタ[[#This Row],[標準国内送料]],)</f>
        <v>0</v>
      </c>
      <c r="T313" s="134">
        <f>商品マスタ[[#This Row],[仕入
単価]]+商品マスタ[[#This Row],[国内送料]]</f>
        <v>19600</v>
      </c>
      <c r="U313" s="134">
        <f>ROUNDUP(商品マスタ[[#This Row],[仕入単価+国内送料]]/0.8,-1)</f>
        <v>24500</v>
      </c>
      <c r="V313" s="134">
        <f>商品マスタ[[#This Row],[海外定価
（20％）]]-商品マスタ[[#This Row],[仕入単価+国内送料]]</f>
        <v>4900</v>
      </c>
      <c r="W313" s="87">
        <f>ROUNDUP(商品マスタ[[#This Row],[仕入単価+国内送料]]/0.85,-1)</f>
        <v>23060</v>
      </c>
      <c r="X313" s="134">
        <f>商品マスタ[[#This Row],[国内定価
（15％）]]-商品マスタ[[#This Row],[仕入単価+国内送料]]</f>
        <v>3460</v>
      </c>
      <c r="Y313" s="139">
        <v>0.08</v>
      </c>
      <c r="Z313" s="87"/>
      <c r="AA313" s="87" t="s">
        <v>938</v>
      </c>
      <c r="AB313" s="87" t="s">
        <v>939</v>
      </c>
      <c r="AC313" s="140"/>
      <c r="AD313" s="71" t="s">
        <v>941</v>
      </c>
      <c r="AE313" s="87"/>
      <c r="AF313" s="87" t="s">
        <v>940</v>
      </c>
      <c r="AG313" s="141"/>
    </row>
    <row r="314" spans="1:33" ht="18">
      <c r="A314" s="166" t="s">
        <v>1238</v>
      </c>
      <c r="B314" s="167" t="s">
        <v>1238</v>
      </c>
      <c r="C314" s="167" t="s">
        <v>868</v>
      </c>
      <c r="D314" s="143" t="str">
        <f>"PRD_SNJ_"&amp;
_xlfn.XLOOKUP(商品マスタ[[#This Row],[仕入先]],テーブル1[仕入先名],テーブル1[仕入先コード],"XXX",0,1)&amp;
"_"&amp;
商品マスタ[[#This Row],[シリアル]]&amp;
"_"&amp;
TEXT(COUNTIFS(商品マスタ!$C$3:C314,商品マスタ[[#This Row],[仕入先]],商品マスタ!$E$3:E314,商品マスタ[[#This Row],[商品名]]), "00")</f>
        <v>PRD_SNJ_BTD_0005_01</v>
      </c>
      <c r="E314" s="87" t="s">
        <v>933</v>
      </c>
      <c r="F314" s="87">
        <f>IF(COUNTIFS($C$3:C314,商品マスタ[[#This Row],[仕入先]],$E$3:E314,商品マスタ[[#This Row],[商品名]]) = 1, 1,0)</f>
        <v>1</v>
      </c>
      <c r="G314" s="133" t="str">
        <f>TEXT(SUMIF($C$3:C314,商品マスタ[[#This Row],[仕入先]],$F$3:F314), "0000")</f>
        <v>0005</v>
      </c>
      <c r="H314" s="87" t="s">
        <v>416</v>
      </c>
      <c r="I314" s="87" t="s">
        <v>936</v>
      </c>
      <c r="J314" s="87">
        <v>44</v>
      </c>
      <c r="K314" s="87" t="s">
        <v>937</v>
      </c>
      <c r="L314" s="134">
        <v>12980</v>
      </c>
      <c r="M314" s="179">
        <v>45982</v>
      </c>
      <c r="N314" s="134"/>
      <c r="O314" s="135" t="str">
        <f>IF(COUNT(商品マスタ[[#This Row],[参考上代
（税込)]]) &gt; 0, (商品マスタ[[#This Row],[参考上代
（税込)]]-商品マスタ[[#This Row],[国内定価
（15％）]])/(商品マスタ[[#This Row],[参考上代
（税込)]]/1.08), "")</f>
        <v/>
      </c>
      <c r="P314" s="136">
        <v>0.1</v>
      </c>
      <c r="Q314" s="134">
        <f>商品マスタ[[#This Row],[仕入
単価]]*商品マスタ[[#This Row],[標準国内送料率]]</f>
        <v>1298</v>
      </c>
      <c r="R314" s="134">
        <v>1700</v>
      </c>
      <c r="S314" s="134">
        <f>IF(ISBLANK(商品マスタ[[#This Row],[実績
国内送料]]),商品マスタ[[#This Row],[標準国内送料]],)</f>
        <v>0</v>
      </c>
      <c r="T314" s="134">
        <f>商品マスタ[[#This Row],[仕入
単価]]+商品マスタ[[#This Row],[国内送料]]</f>
        <v>12980</v>
      </c>
      <c r="U314" s="134">
        <f>ROUNDUP(商品マスタ[[#This Row],[仕入単価+国内送料]]/0.8,-1)</f>
        <v>16230</v>
      </c>
      <c r="V314" s="134">
        <f>商品マスタ[[#This Row],[海外定価
（20％）]]-商品マスタ[[#This Row],[仕入単価+国内送料]]</f>
        <v>3250</v>
      </c>
      <c r="W314" s="87">
        <f>ROUNDUP(商品マスタ[[#This Row],[仕入単価+国内送料]]/0.85,-1)</f>
        <v>15280</v>
      </c>
      <c r="X314" s="134">
        <f>商品マスタ[[#This Row],[国内定価
（15％）]]-商品マスタ[[#This Row],[仕入単価+国内送料]]</f>
        <v>2300</v>
      </c>
      <c r="Y314" s="139">
        <v>0.08</v>
      </c>
      <c r="Z314" s="87"/>
      <c r="AA314" s="87" t="s">
        <v>938</v>
      </c>
      <c r="AB314" s="87" t="s">
        <v>939</v>
      </c>
      <c r="AC314" s="140"/>
      <c r="AD314" s="71" t="s">
        <v>945</v>
      </c>
      <c r="AE314" s="87"/>
      <c r="AF314" s="87" t="s">
        <v>940</v>
      </c>
      <c r="AG314" s="141"/>
    </row>
    <row r="315" spans="1:33" ht="18">
      <c r="A315" s="166" t="s">
        <v>1238</v>
      </c>
      <c r="B315" s="167" t="s">
        <v>1238</v>
      </c>
      <c r="C315" s="167" t="s">
        <v>868</v>
      </c>
      <c r="D315" s="143" t="str">
        <f>"PRD_SNJ_"&amp;
_xlfn.XLOOKUP(商品マスタ[[#This Row],[仕入先]],テーブル1[仕入先名],テーブル1[仕入先コード],"XXX",0,1)&amp;
"_"&amp;
商品マスタ[[#This Row],[シリアル]]&amp;
"_"&amp;
TEXT(COUNTIFS(商品マスタ!$C$3:C315,商品マスタ[[#This Row],[仕入先]],商品マスタ!$E$3:E315,商品マスタ[[#This Row],[商品名]]), "00")</f>
        <v>PRD_SNJ_BTD_0006_01</v>
      </c>
      <c r="E315" s="87" t="s">
        <v>934</v>
      </c>
      <c r="F315" s="87">
        <f>IF(COUNTIFS($C$3:C315,商品マスタ[[#This Row],[仕入先]],$E$3:E315,商品マスタ[[#This Row],[商品名]]) = 1, 1,0)</f>
        <v>1</v>
      </c>
      <c r="G315" s="133" t="str">
        <f>TEXT(SUMIF($C$3:C315,商品マスタ[[#This Row],[仕入先]],$F$3:F315), "0000")</f>
        <v>0006</v>
      </c>
      <c r="H315" s="87" t="s">
        <v>942</v>
      </c>
      <c r="I315" s="87" t="s">
        <v>936</v>
      </c>
      <c r="J315" s="87">
        <v>88</v>
      </c>
      <c r="K315" s="87" t="s">
        <v>937</v>
      </c>
      <c r="L315" s="134">
        <v>25960</v>
      </c>
      <c r="M315" s="179">
        <v>45982</v>
      </c>
      <c r="N315" s="134"/>
      <c r="O315" s="135" t="str">
        <f>IF(COUNT(商品マスタ[[#This Row],[参考上代
（税込)]]) &gt; 0, (商品マスタ[[#This Row],[参考上代
（税込)]]-商品マスタ[[#This Row],[国内定価
（15％）]])/(商品マスタ[[#This Row],[参考上代
（税込)]]/1.08), "")</f>
        <v/>
      </c>
      <c r="P315" s="136">
        <v>0.1</v>
      </c>
      <c r="Q315" s="134">
        <f>商品マスタ[[#This Row],[仕入
単価]]*商品マスタ[[#This Row],[標準国内送料率]]</f>
        <v>2596</v>
      </c>
      <c r="R315" s="134">
        <v>1700</v>
      </c>
      <c r="S315" s="134">
        <f>IF(ISBLANK(商品マスタ[[#This Row],[実績
国内送料]]),商品マスタ[[#This Row],[標準国内送料]],)</f>
        <v>0</v>
      </c>
      <c r="T315" s="134">
        <f>商品マスタ[[#This Row],[仕入
単価]]+商品マスタ[[#This Row],[国内送料]]</f>
        <v>25960</v>
      </c>
      <c r="U315" s="134">
        <f>ROUNDUP(商品マスタ[[#This Row],[仕入単価+国内送料]]/0.8,-1)</f>
        <v>32450</v>
      </c>
      <c r="V315" s="134">
        <f>商品マスタ[[#This Row],[海外定価
（20％）]]-商品マスタ[[#This Row],[仕入単価+国内送料]]</f>
        <v>6490</v>
      </c>
      <c r="W315" s="87">
        <f>ROUNDUP(商品マスタ[[#This Row],[仕入単価+国内送料]]/0.85,-1)</f>
        <v>30550</v>
      </c>
      <c r="X315" s="134">
        <f>商品マスタ[[#This Row],[国内定価
（15％）]]-商品マスタ[[#This Row],[仕入単価+国内送料]]</f>
        <v>4590</v>
      </c>
      <c r="Y315" s="139">
        <v>0.08</v>
      </c>
      <c r="Z315" s="87"/>
      <c r="AA315" s="87" t="s">
        <v>938</v>
      </c>
      <c r="AB315" s="87" t="s">
        <v>939</v>
      </c>
      <c r="AC315" s="140"/>
      <c r="AD315" s="71" t="s">
        <v>945</v>
      </c>
      <c r="AE315" s="87"/>
      <c r="AF315" s="87" t="s">
        <v>940</v>
      </c>
      <c r="AG315" s="141"/>
    </row>
    <row r="316" spans="1:33" ht="18">
      <c r="A316" s="166" t="s">
        <v>1523</v>
      </c>
      <c r="B316" s="167" t="s">
        <v>1231</v>
      </c>
      <c r="C316" s="167" t="s">
        <v>868</v>
      </c>
      <c r="D316" s="143" t="str">
        <f>"PRD_SNJ_"&amp;
_xlfn.XLOOKUP(商品マスタ[[#This Row],[仕入先]],テーブル1[仕入先名],テーブル1[仕入先コード],"XXX",0,1)&amp;
"_"&amp;
商品マスタ[[#This Row],[シリアル]]&amp;
"_"&amp;
TEXT(COUNTIFS(商品マスタ!$C$3:C316,商品マスタ[[#This Row],[仕入先]],商品マスタ!$E$3:E316,商品マスタ[[#This Row],[商品名]]), "00")</f>
        <v>PRD_SNJ_BTD_0007_01</v>
      </c>
      <c r="E316" s="87" t="s">
        <v>943</v>
      </c>
      <c r="F316" s="87">
        <f>IF(COUNTIFS($C$3:C316,商品マスタ[[#This Row],[仕入先]],$E$3:E316,商品マスタ[[#This Row],[商品名]]) = 1, 1,0)</f>
        <v>1</v>
      </c>
      <c r="G316" s="133" t="str">
        <f>TEXT(SUMIF($C$3:C316,商品マスタ[[#This Row],[仕入先]],$F$3:F316), "0000")</f>
        <v>0007</v>
      </c>
      <c r="H316" s="87" t="s">
        <v>481</v>
      </c>
      <c r="I316" s="87"/>
      <c r="J316" s="87">
        <v>1</v>
      </c>
      <c r="K316" s="87"/>
      <c r="L316" s="154">
        <v>540</v>
      </c>
      <c r="M316" s="179">
        <v>45982</v>
      </c>
      <c r="N316" s="134"/>
      <c r="O316" s="135" t="str">
        <f>IF(COUNT(商品マスタ[[#This Row],[参考上代
（税込)]]) &gt; 0, (商品マスタ[[#This Row],[参考上代
（税込)]]-商品マスタ[[#This Row],[国内定価
（15％）]])/(商品マスタ[[#This Row],[参考上代
（税込)]]/1.08), "")</f>
        <v/>
      </c>
      <c r="P316" s="136">
        <v>0.1</v>
      </c>
      <c r="Q316" s="134">
        <f>商品マスタ[[#This Row],[仕入
単価]]*商品マスタ[[#This Row],[標準国内送料率]]</f>
        <v>54</v>
      </c>
      <c r="R316" s="134"/>
      <c r="S316" s="134">
        <f>IF(ISBLANK(商品マスタ[[#This Row],[実績
国内送料]]),商品マスタ[[#This Row],[標準国内送料]],)</f>
        <v>54</v>
      </c>
      <c r="T316" s="134">
        <f>商品マスタ[[#This Row],[仕入
単価]]+商品マスタ[[#This Row],[国内送料]]</f>
        <v>594</v>
      </c>
      <c r="U316" s="134">
        <f>ROUNDUP(商品マスタ[[#This Row],[仕入単価+国内送料]]/0.8,-1)</f>
        <v>750</v>
      </c>
      <c r="V316" s="134">
        <f>商品マスタ[[#This Row],[海外定価
（20％）]]-商品マスタ[[#This Row],[仕入単価+国内送料]]</f>
        <v>156</v>
      </c>
      <c r="W316" s="87">
        <f>ROUNDUP(商品マスタ[[#This Row],[仕入単価+国内送料]]/0.85,-1)</f>
        <v>700</v>
      </c>
      <c r="X316" s="134">
        <f>商品マスタ[[#This Row],[国内定価
（15％）]]-商品マスタ[[#This Row],[仕入単価+国内送料]]</f>
        <v>106</v>
      </c>
      <c r="Y316" s="139">
        <v>0.08</v>
      </c>
      <c r="Z316" s="87"/>
      <c r="AA316" s="87"/>
      <c r="AB316" s="87"/>
      <c r="AC316" s="140"/>
      <c r="AD316" s="87"/>
      <c r="AE316" s="87"/>
      <c r="AF316" s="87"/>
      <c r="AG316" s="141"/>
    </row>
    <row r="317" spans="1:33" ht="18">
      <c r="A317" s="166" t="s">
        <v>1519</v>
      </c>
      <c r="B317" s="167" t="s">
        <v>1235</v>
      </c>
      <c r="C317" s="167" t="s">
        <v>946</v>
      </c>
      <c r="D317" s="143" t="str">
        <f>"PRD_SNJ_"&amp;
_xlfn.XLOOKUP(商品マスタ[[#This Row],[仕入先]],テーブル1[仕入先名],テーブル1[仕入先コード],"XXX",0,1)&amp;
"_"&amp;
商品マスタ[[#This Row],[シリアル]]&amp;
"_"&amp;
TEXT(COUNTIFS(商品マスタ!$C$3:C317,商品マスタ[[#This Row],[仕入先]],商品マスタ!$E$3:E317,商品マスタ[[#This Row],[商品名]]), "00")</f>
        <v>PRD_SNJ_NVP_0001_01</v>
      </c>
      <c r="E317" s="87" t="s">
        <v>947</v>
      </c>
      <c r="F317" s="87">
        <f>IF(COUNTIFS($C$3:C317,商品マスタ[[#This Row],[仕入先]],$E$3:E317,商品マスタ[[#This Row],[商品名]]) = 1, 1,0)</f>
        <v>1</v>
      </c>
      <c r="G317" s="133" t="str">
        <f>TEXT(SUMIF($C$3:C317,商品マスタ[[#This Row],[仕入先]],$F$3:F317), "0000")</f>
        <v>0001</v>
      </c>
      <c r="H317" s="87" t="s">
        <v>937</v>
      </c>
      <c r="I317" s="87"/>
      <c r="J317" s="87">
        <v>1</v>
      </c>
      <c r="K317" s="87" t="s">
        <v>958</v>
      </c>
      <c r="L317" s="134">
        <v>2778</v>
      </c>
      <c r="M317" s="157"/>
      <c r="N317" s="134">
        <v>5600</v>
      </c>
      <c r="O317" s="155" t="s">
        <v>810</v>
      </c>
      <c r="P317" s="156">
        <v>0.1</v>
      </c>
      <c r="Q317" s="134">
        <f>商品マスタ[[#This Row],[仕入
単価]]*商品マスタ[[#This Row],[標準国内送料率]]</f>
        <v>277.8</v>
      </c>
      <c r="R317" s="87">
        <v>1272</v>
      </c>
      <c r="S317" s="134">
        <f>IF(ISBLANK(商品マスタ[[#This Row],[実績
国内送料]]),商品マスタ[[#This Row],[標準国内送料]],)</f>
        <v>0</v>
      </c>
      <c r="T317" s="134">
        <f>商品マスタ[[#This Row],[仕入
単価]]+商品マスタ[[#This Row],[国内送料]]</f>
        <v>2778</v>
      </c>
      <c r="U317" s="134">
        <f>ROUNDUP(商品マスタ[[#This Row],[仕入単価+国内送料]]/0.8,-1)</f>
        <v>3480</v>
      </c>
      <c r="V317" s="134">
        <f>商品マスタ[[#This Row],[海外定価
（20％）]]-商品マスタ[[#This Row],[仕入単価+国内送料]]</f>
        <v>702</v>
      </c>
      <c r="W317" s="87">
        <f>ROUNDUP(商品マスタ[[#This Row],[仕入単価+国内送料]]/0.85,-1)</f>
        <v>3270</v>
      </c>
      <c r="X317" s="134">
        <f>商品マスタ[[#This Row],[国内定価
（15％）]]-商品マスタ[[#This Row],[仕入単価+国内送料]]</f>
        <v>492</v>
      </c>
      <c r="Y317" s="139">
        <v>0.08</v>
      </c>
      <c r="Z317" s="87" t="s">
        <v>959</v>
      </c>
      <c r="AA317" s="87" t="s">
        <v>960</v>
      </c>
      <c r="AB317" s="87" t="s">
        <v>939</v>
      </c>
      <c r="AC317" s="140" t="s">
        <v>959</v>
      </c>
      <c r="AD317" s="87" t="s">
        <v>961</v>
      </c>
      <c r="AE317" s="87"/>
      <c r="AF317" s="87" t="s">
        <v>940</v>
      </c>
      <c r="AG317" s="141"/>
    </row>
    <row r="318" spans="1:33" ht="18">
      <c r="A318" s="166" t="s">
        <v>1524</v>
      </c>
      <c r="B318" s="167" t="s">
        <v>1229</v>
      </c>
      <c r="C318" s="86" t="s">
        <v>928</v>
      </c>
      <c r="D318" s="143" t="str">
        <f>"PRD_SNJ_"&amp;
_xlfn.XLOOKUP(商品マスタ[[#This Row],[仕入先]],テーブル1[仕入先名],テーブル1[仕入先コード],"XXX",0,1)&amp;
"_"&amp;
商品マスタ[[#This Row],[シリアル]]&amp;
"_"&amp;
TEXT(COUNTIFS(商品マスタ!$C$3:C318,商品マスタ[[#This Row],[仕入先]],商品マスタ!$E$3:E318,商品マスタ[[#This Row],[商品名]]), "00")</f>
        <v>PRD_SNJ_KTR_0001_01</v>
      </c>
      <c r="E318" s="87" t="s">
        <v>948</v>
      </c>
      <c r="F318" s="87">
        <f>IF(COUNTIFS($C$3:C318,商品マスタ[[#This Row],[仕入先]],$E$3:E318,商品マスタ[[#This Row],[商品名]]) = 1, 1,0)</f>
        <v>1</v>
      </c>
      <c r="G318" s="133" t="str">
        <f>TEXT(SUMIF($C$3:C318,商品マスタ[[#This Row],[仕入先]],$F$3:F318), "0000")</f>
        <v>0001</v>
      </c>
      <c r="H318" s="87" t="s">
        <v>962</v>
      </c>
      <c r="I318" s="87" t="s">
        <v>963</v>
      </c>
      <c r="J318" s="87">
        <v>1</v>
      </c>
      <c r="K318" s="87" t="s">
        <v>964</v>
      </c>
      <c r="L318" s="134">
        <v>4200</v>
      </c>
      <c r="M318" s="157"/>
      <c r="N318" s="134"/>
      <c r="O318" s="155" t="s">
        <v>810</v>
      </c>
      <c r="P318" s="156">
        <v>0.1</v>
      </c>
      <c r="Q318" s="134">
        <f>商品マスタ[[#This Row],[仕入
単価]]*商品マスタ[[#This Row],[標準国内送料率]]</f>
        <v>420</v>
      </c>
      <c r="R318" s="134">
        <v>0</v>
      </c>
      <c r="S318" s="134">
        <f>IF(ISBLANK(商品マスタ[[#This Row],[実績
国内送料]]),商品マスタ[[#This Row],[標準国内送料]],)</f>
        <v>0</v>
      </c>
      <c r="T318" s="134">
        <f>商品マスタ[[#This Row],[仕入
単価]]+商品マスタ[[#This Row],[国内送料]]</f>
        <v>4200</v>
      </c>
      <c r="U318" s="134">
        <f>ROUNDUP(商品マスタ[[#This Row],[仕入単価+国内送料]]/0.8,-1)</f>
        <v>5250</v>
      </c>
      <c r="V318" s="134">
        <f>商品マスタ[[#This Row],[海外定価
（20％）]]-商品マスタ[[#This Row],[仕入単価+国内送料]]</f>
        <v>1050</v>
      </c>
      <c r="W318" s="87">
        <f>ROUNDUP(商品マスタ[[#This Row],[仕入単価+国内送料]]/0.85,-1)</f>
        <v>4950</v>
      </c>
      <c r="X318" s="134">
        <f>商品マスタ[[#This Row],[国内定価
（15％）]]-商品マスタ[[#This Row],[仕入単価+国内送料]]</f>
        <v>750</v>
      </c>
      <c r="Y318" s="139">
        <v>0.08</v>
      </c>
      <c r="Z318" s="87" t="s">
        <v>965</v>
      </c>
      <c r="AA318" s="87" t="s">
        <v>938</v>
      </c>
      <c r="AB318" s="87" t="s">
        <v>966</v>
      </c>
      <c r="AC318" s="140"/>
      <c r="AD318" s="87" t="s">
        <v>967</v>
      </c>
      <c r="AE318" s="87"/>
      <c r="AF318" s="87"/>
      <c r="AG318" s="141"/>
    </row>
    <row r="319" spans="1:33" ht="18">
      <c r="A319" s="166" t="s">
        <v>1524</v>
      </c>
      <c r="B319" s="167" t="s">
        <v>1229</v>
      </c>
      <c r="C319" s="86" t="s">
        <v>928</v>
      </c>
      <c r="D319" s="143" t="str">
        <f>"PRD_SNJ_"&amp;
_xlfn.XLOOKUP(商品マスタ[[#This Row],[仕入先]],テーブル1[仕入先名],テーブル1[仕入先コード],"XXX",0,1)&amp;
"_"&amp;
商品マスタ[[#This Row],[シリアル]]&amp;
"_"&amp;
TEXT(COUNTIFS(商品マスタ!$C$3:C319,商品マスタ[[#This Row],[仕入先]],商品マスタ!$E$3:E319,商品マスタ[[#This Row],[商品名]]), "00")</f>
        <v>PRD_SNJ_KTR_0002_01</v>
      </c>
      <c r="E319" s="87" t="s">
        <v>949</v>
      </c>
      <c r="F319" s="87">
        <f>IF(COUNTIFS($C$3:C319,商品マスタ[[#This Row],[仕入先]],$E$3:E319,商品マスタ[[#This Row],[商品名]]) = 1, 1,0)</f>
        <v>1</v>
      </c>
      <c r="G319" s="133" t="str">
        <f>TEXT(SUMIF($C$3:C319,商品マスタ[[#This Row],[仕入先]],$F$3:F319), "0000")</f>
        <v>0002</v>
      </c>
      <c r="H319" s="87" t="s">
        <v>962</v>
      </c>
      <c r="I319" s="87" t="s">
        <v>968</v>
      </c>
      <c r="J319" s="87">
        <v>1</v>
      </c>
      <c r="K319" s="87" t="s">
        <v>964</v>
      </c>
      <c r="L319" s="134">
        <v>3950</v>
      </c>
      <c r="M319" s="157"/>
      <c r="N319" s="134"/>
      <c r="O319" s="155" t="s">
        <v>810</v>
      </c>
      <c r="P319" s="156">
        <v>0.1</v>
      </c>
      <c r="Q319" s="134">
        <f>商品マスタ[[#This Row],[仕入
単価]]*商品マスタ[[#This Row],[標準国内送料率]]</f>
        <v>395</v>
      </c>
      <c r="R319" s="134">
        <v>0</v>
      </c>
      <c r="S319" s="134">
        <f>IF(ISBLANK(商品マスタ[[#This Row],[実績
国内送料]]),商品マスタ[[#This Row],[標準国内送料]],)</f>
        <v>0</v>
      </c>
      <c r="T319" s="134">
        <f>商品マスタ[[#This Row],[仕入
単価]]+商品マスタ[[#This Row],[国内送料]]</f>
        <v>3950</v>
      </c>
      <c r="U319" s="134">
        <f>ROUNDUP(商品マスタ[[#This Row],[仕入単価+国内送料]]/0.8,-1)</f>
        <v>4940</v>
      </c>
      <c r="V319" s="134">
        <f>商品マスタ[[#This Row],[海外定価
（20％）]]-商品マスタ[[#This Row],[仕入単価+国内送料]]</f>
        <v>990</v>
      </c>
      <c r="W319" s="87">
        <f>ROUNDUP(商品マスタ[[#This Row],[仕入単価+国内送料]]/0.85,-1)</f>
        <v>4650</v>
      </c>
      <c r="X319" s="134">
        <f>商品マスタ[[#This Row],[国内定価
（15％）]]-商品マスタ[[#This Row],[仕入単価+国内送料]]</f>
        <v>700</v>
      </c>
      <c r="Y319" s="139">
        <v>0.08</v>
      </c>
      <c r="Z319" s="87" t="s">
        <v>965</v>
      </c>
      <c r="AA319" s="87" t="s">
        <v>938</v>
      </c>
      <c r="AB319" s="87" t="s">
        <v>966</v>
      </c>
      <c r="AC319" s="140"/>
      <c r="AD319" s="87" t="s">
        <v>969</v>
      </c>
      <c r="AE319" s="87"/>
      <c r="AF319" s="87"/>
      <c r="AG319" s="141"/>
    </row>
    <row r="320" spans="1:33" ht="18">
      <c r="A320" s="166" t="s">
        <v>1524</v>
      </c>
      <c r="B320" s="167" t="s">
        <v>1229</v>
      </c>
      <c r="C320" s="86" t="s">
        <v>928</v>
      </c>
      <c r="D320" s="143" t="str">
        <f>"PRD_SNJ_"&amp;
_xlfn.XLOOKUP(商品マスタ[[#This Row],[仕入先]],テーブル1[仕入先名],テーブル1[仕入先コード],"XXX",0,1)&amp;
"_"&amp;
商品マスタ[[#This Row],[シリアル]]&amp;
"_"&amp;
TEXT(COUNTIFS(商品マスタ!$C$3:C320,商品マスタ[[#This Row],[仕入先]],商品マスタ!$E$3:E320,商品マスタ[[#This Row],[商品名]]), "00")</f>
        <v>PRD_SNJ_KTR_0003_01</v>
      </c>
      <c r="E320" s="87" t="s">
        <v>950</v>
      </c>
      <c r="F320" s="87">
        <f>IF(COUNTIFS($C$3:C320,商品マスタ[[#This Row],[仕入先]],$E$3:E320,商品マスタ[[#This Row],[商品名]]) = 1, 1,0)</f>
        <v>1</v>
      </c>
      <c r="G320" s="133" t="str">
        <f>TEXT(SUMIF($C$3:C320,商品マスタ[[#This Row],[仕入先]],$F$3:F320), "0000")</f>
        <v>0003</v>
      </c>
      <c r="H320" s="87" t="s">
        <v>962</v>
      </c>
      <c r="I320" s="87" t="s">
        <v>970</v>
      </c>
      <c r="J320" s="87">
        <v>1</v>
      </c>
      <c r="K320" s="87" t="s">
        <v>964</v>
      </c>
      <c r="L320" s="134">
        <v>4700</v>
      </c>
      <c r="M320" s="157"/>
      <c r="N320" s="134"/>
      <c r="O320" s="155" t="s">
        <v>810</v>
      </c>
      <c r="P320" s="156">
        <v>0.1</v>
      </c>
      <c r="Q320" s="134">
        <f>商品マスタ[[#This Row],[仕入
単価]]*商品マスタ[[#This Row],[標準国内送料率]]</f>
        <v>470</v>
      </c>
      <c r="R320" s="134">
        <v>0</v>
      </c>
      <c r="S320" s="134">
        <f>IF(ISBLANK(商品マスタ[[#This Row],[実績
国内送料]]),商品マスタ[[#This Row],[標準国内送料]],)</f>
        <v>0</v>
      </c>
      <c r="T320" s="134">
        <f>商品マスタ[[#This Row],[仕入
単価]]+商品マスタ[[#This Row],[国内送料]]</f>
        <v>4700</v>
      </c>
      <c r="U320" s="134">
        <f>ROUNDUP(商品マスタ[[#This Row],[仕入単価+国内送料]]/0.8,-1)</f>
        <v>5880</v>
      </c>
      <c r="V320" s="134">
        <f>商品マスタ[[#This Row],[海外定価
（20％）]]-商品マスタ[[#This Row],[仕入単価+国内送料]]</f>
        <v>1180</v>
      </c>
      <c r="W320" s="87">
        <f>ROUNDUP(商品マスタ[[#This Row],[仕入単価+国内送料]]/0.85,-1)</f>
        <v>5530</v>
      </c>
      <c r="X320" s="134">
        <f>商品マスタ[[#This Row],[国内定価
（15％）]]-商品マスタ[[#This Row],[仕入単価+国内送料]]</f>
        <v>830</v>
      </c>
      <c r="Y320" s="139">
        <v>0.08</v>
      </c>
      <c r="Z320" s="87" t="s">
        <v>965</v>
      </c>
      <c r="AA320" s="87" t="s">
        <v>938</v>
      </c>
      <c r="AB320" s="87" t="s">
        <v>966</v>
      </c>
      <c r="AC320" s="140"/>
      <c r="AD320" s="87" t="s">
        <v>971</v>
      </c>
      <c r="AE320" s="87"/>
      <c r="AF320" s="87"/>
      <c r="AG320" s="141"/>
    </row>
    <row r="321" spans="1:33" ht="18">
      <c r="A321" s="166" t="s">
        <v>1521</v>
      </c>
      <c r="B321" s="167" t="s">
        <v>1517</v>
      </c>
      <c r="C321" s="86" t="s">
        <v>928</v>
      </c>
      <c r="D321" s="143" t="str">
        <f>"PRD_SNJ_"&amp;
_xlfn.XLOOKUP(商品マスタ[[#This Row],[仕入先]],テーブル1[仕入先名],テーブル1[仕入先コード],"XXX",0,1)&amp;
"_"&amp;
商品マスタ[[#This Row],[シリアル]]&amp;
"_"&amp;
TEXT(COUNTIFS(商品マスタ!$C$3:C321,商品マスタ[[#This Row],[仕入先]],商品マスタ!$E$3:E321,商品マスタ[[#This Row],[商品名]]), "00")</f>
        <v>PRD_SNJ_KTR_0004_01</v>
      </c>
      <c r="E321" s="87" t="s">
        <v>951</v>
      </c>
      <c r="F321" s="87">
        <f>IF(COUNTIFS($C$3:C321,商品マスタ[[#This Row],[仕入先]],$E$3:E321,商品マスタ[[#This Row],[商品名]]) = 1, 1,0)</f>
        <v>1</v>
      </c>
      <c r="G321" s="133" t="str">
        <f>TEXT(SUMIF($C$3:C321,商品マスタ[[#This Row],[仕入先]],$F$3:F321), "0000")</f>
        <v>0004</v>
      </c>
      <c r="H321" s="87" t="s">
        <v>962</v>
      </c>
      <c r="I321" s="87" t="s">
        <v>972</v>
      </c>
      <c r="J321" s="87">
        <v>1</v>
      </c>
      <c r="K321" s="87" t="s">
        <v>964</v>
      </c>
      <c r="L321" s="134">
        <v>4500</v>
      </c>
      <c r="M321" s="157"/>
      <c r="N321" s="134"/>
      <c r="O321" s="155" t="s">
        <v>810</v>
      </c>
      <c r="P321" s="156">
        <v>0.1</v>
      </c>
      <c r="Q321" s="134">
        <f>商品マスタ[[#This Row],[仕入
単価]]*商品マスタ[[#This Row],[標準国内送料率]]</f>
        <v>450</v>
      </c>
      <c r="R321" s="134">
        <v>0</v>
      </c>
      <c r="S321" s="134">
        <f>IF(ISBLANK(商品マスタ[[#This Row],[実績
国内送料]]),商品マスタ[[#This Row],[標準国内送料]],)</f>
        <v>0</v>
      </c>
      <c r="T321" s="134">
        <f>商品マスタ[[#This Row],[仕入
単価]]+商品マスタ[[#This Row],[国内送料]]</f>
        <v>4500</v>
      </c>
      <c r="U321" s="134">
        <f>ROUNDUP(商品マスタ[[#This Row],[仕入単価+国内送料]]/0.8,-1)</f>
        <v>5630</v>
      </c>
      <c r="V321" s="134">
        <f>商品マスタ[[#This Row],[海外定価
（20％）]]-商品マスタ[[#This Row],[仕入単価+国内送料]]</f>
        <v>1130</v>
      </c>
      <c r="W321" s="87">
        <f>ROUNDUP(商品マスタ[[#This Row],[仕入単価+国内送料]]/0.85,-1)</f>
        <v>5300</v>
      </c>
      <c r="X321" s="134">
        <f>商品マスタ[[#This Row],[国内定価
（15％）]]-商品マスタ[[#This Row],[仕入単価+国内送料]]</f>
        <v>800</v>
      </c>
      <c r="Y321" s="139">
        <v>0.08</v>
      </c>
      <c r="Z321" s="87" t="s">
        <v>965</v>
      </c>
      <c r="AA321" s="87" t="s">
        <v>938</v>
      </c>
      <c r="AB321" s="87" t="s">
        <v>966</v>
      </c>
      <c r="AC321" s="140"/>
      <c r="AD321" s="87" t="s">
        <v>973</v>
      </c>
      <c r="AE321" s="87"/>
      <c r="AF321" s="87"/>
      <c r="AG321" s="141"/>
    </row>
    <row r="322" spans="1:33" ht="18">
      <c r="A322" s="166" t="s">
        <v>1517</v>
      </c>
      <c r="B322" s="167" t="s">
        <v>1252</v>
      </c>
      <c r="C322" s="86" t="s">
        <v>928</v>
      </c>
      <c r="D322" s="143" t="str">
        <f>"PRD_SNJ_"&amp;
_xlfn.XLOOKUP(商品マスタ[[#This Row],[仕入先]],テーブル1[仕入先名],テーブル1[仕入先コード],"XXX",0,1)&amp;
"_"&amp;
商品マスタ[[#This Row],[シリアル]]&amp;
"_"&amp;
TEXT(COUNTIFS(商品マスタ!$C$3:C322,商品マスタ[[#This Row],[仕入先]],商品マスタ!$E$3:E322,商品マスタ[[#This Row],[商品名]]), "00")</f>
        <v>PRD_SNJ_KTR_0005_01</v>
      </c>
      <c r="E322" s="87" t="s">
        <v>952</v>
      </c>
      <c r="F322" s="87">
        <f>IF(COUNTIFS($C$3:C322,商品マスタ[[#This Row],[仕入先]],$E$3:E322,商品マスタ[[#This Row],[商品名]]) = 1, 1,0)</f>
        <v>1</v>
      </c>
      <c r="G322" s="133" t="str">
        <f>TEXT(SUMIF($C$3:C322,商品マスタ[[#This Row],[仕入先]],$F$3:F322), "0000")</f>
        <v>0005</v>
      </c>
      <c r="H322" s="87" t="s">
        <v>962</v>
      </c>
      <c r="I322" s="87" t="s">
        <v>974</v>
      </c>
      <c r="J322" s="87">
        <v>1</v>
      </c>
      <c r="K322" s="87" t="s">
        <v>964</v>
      </c>
      <c r="L322" s="134">
        <v>4300</v>
      </c>
      <c r="M322" s="157"/>
      <c r="N322" s="134"/>
      <c r="O322" s="155" t="s">
        <v>810</v>
      </c>
      <c r="P322" s="156">
        <v>0.1</v>
      </c>
      <c r="Q322" s="134">
        <f>商品マスタ[[#This Row],[仕入
単価]]*商品マスタ[[#This Row],[標準国内送料率]]</f>
        <v>430</v>
      </c>
      <c r="R322" s="134">
        <v>0</v>
      </c>
      <c r="S322" s="134">
        <f>IF(ISBLANK(商品マスタ[[#This Row],[実績
国内送料]]),商品マスタ[[#This Row],[標準国内送料]],)</f>
        <v>0</v>
      </c>
      <c r="T322" s="134">
        <f>商品マスタ[[#This Row],[仕入
単価]]+商品マスタ[[#This Row],[国内送料]]</f>
        <v>4300</v>
      </c>
      <c r="U322" s="134">
        <f>ROUNDUP(商品マスタ[[#This Row],[仕入単価+国内送料]]/0.8,-1)</f>
        <v>5380</v>
      </c>
      <c r="V322" s="134">
        <f>商品マスタ[[#This Row],[海外定価
（20％）]]-商品マスタ[[#This Row],[仕入単価+国内送料]]</f>
        <v>1080</v>
      </c>
      <c r="W322" s="87">
        <f>ROUNDUP(商品マスタ[[#This Row],[仕入単価+国内送料]]/0.85,-1)</f>
        <v>5060</v>
      </c>
      <c r="X322" s="134">
        <f>商品マスタ[[#This Row],[国内定価
（15％）]]-商品マスタ[[#This Row],[仕入単価+国内送料]]</f>
        <v>760</v>
      </c>
      <c r="Y322" s="139">
        <v>0.08</v>
      </c>
      <c r="Z322" s="87" t="s">
        <v>965</v>
      </c>
      <c r="AA322" s="87" t="s">
        <v>938</v>
      </c>
      <c r="AB322" s="87" t="s">
        <v>966</v>
      </c>
      <c r="AC322" s="140"/>
      <c r="AD322" s="87" t="s">
        <v>975</v>
      </c>
      <c r="AE322" s="87"/>
      <c r="AF322" s="87"/>
      <c r="AG322" s="141"/>
    </row>
    <row r="323" spans="1:33" ht="18">
      <c r="A323" s="166" t="s">
        <v>1524</v>
      </c>
      <c r="B323" s="167" t="s">
        <v>1229</v>
      </c>
      <c r="C323" s="86" t="s">
        <v>928</v>
      </c>
      <c r="D323" s="143" t="str">
        <f>"PRD_SNJ_"&amp;
_xlfn.XLOOKUP(商品マスタ[[#This Row],[仕入先]],テーブル1[仕入先名],テーブル1[仕入先コード],"XXX",0,1)&amp;
"_"&amp;
商品マスタ[[#This Row],[シリアル]]&amp;
"_"&amp;
TEXT(COUNTIFS(商品マスタ!$C$3:C323,商品マスタ[[#This Row],[仕入先]],商品マスタ!$E$3:E323,商品マスタ[[#This Row],[商品名]]), "00")</f>
        <v>PRD_SNJ_KTR_0006_01</v>
      </c>
      <c r="E323" s="87" t="s">
        <v>953</v>
      </c>
      <c r="F323" s="87">
        <f>IF(COUNTIFS($C$3:C323,商品マスタ[[#This Row],[仕入先]],$E$3:E323,商品マスタ[[#This Row],[商品名]]) = 1, 1,0)</f>
        <v>1</v>
      </c>
      <c r="G323" s="133" t="str">
        <f>TEXT(SUMIF($C$3:C323,商品マスタ[[#This Row],[仕入先]],$F$3:F323), "0000")</f>
        <v>0006</v>
      </c>
      <c r="H323" s="87" t="s">
        <v>962</v>
      </c>
      <c r="I323" s="87" t="s">
        <v>976</v>
      </c>
      <c r="J323" s="87">
        <v>1</v>
      </c>
      <c r="K323" s="87" t="s">
        <v>964</v>
      </c>
      <c r="L323" s="134">
        <v>3700</v>
      </c>
      <c r="M323" s="157"/>
      <c r="N323" s="134"/>
      <c r="O323" s="155" t="s">
        <v>810</v>
      </c>
      <c r="P323" s="156">
        <v>0.1</v>
      </c>
      <c r="Q323" s="134">
        <f>商品マスタ[[#This Row],[仕入
単価]]*商品マスタ[[#This Row],[標準国内送料率]]</f>
        <v>370</v>
      </c>
      <c r="R323" s="134">
        <v>0</v>
      </c>
      <c r="S323" s="134">
        <f>IF(ISBLANK(商品マスタ[[#This Row],[実績
国内送料]]),商品マスタ[[#This Row],[標準国内送料]],)</f>
        <v>0</v>
      </c>
      <c r="T323" s="134">
        <f>商品マスタ[[#This Row],[仕入
単価]]+商品マスタ[[#This Row],[国内送料]]</f>
        <v>3700</v>
      </c>
      <c r="U323" s="134">
        <f>ROUNDUP(商品マスタ[[#This Row],[仕入単価+国内送料]]/0.8,-1)</f>
        <v>4630</v>
      </c>
      <c r="V323" s="134">
        <f>商品マスタ[[#This Row],[海外定価
（20％）]]-商品マスタ[[#This Row],[仕入単価+国内送料]]</f>
        <v>930</v>
      </c>
      <c r="W323" s="87">
        <f>ROUNDUP(商品マスタ[[#This Row],[仕入単価+国内送料]]/0.85,-1)</f>
        <v>4360</v>
      </c>
      <c r="X323" s="134">
        <f>商品マスタ[[#This Row],[国内定価
（15％）]]-商品マスタ[[#This Row],[仕入単価+国内送料]]</f>
        <v>660</v>
      </c>
      <c r="Y323" s="139">
        <v>0.08</v>
      </c>
      <c r="Z323" s="87" t="s">
        <v>965</v>
      </c>
      <c r="AA323" s="87" t="s">
        <v>938</v>
      </c>
      <c r="AB323" s="87" t="s">
        <v>966</v>
      </c>
      <c r="AC323" s="140"/>
      <c r="AD323" s="87" t="s">
        <v>977</v>
      </c>
      <c r="AE323" s="87"/>
      <c r="AF323" s="87"/>
      <c r="AG323" s="141"/>
    </row>
    <row r="324" spans="1:33" ht="18">
      <c r="A324" s="166" t="s">
        <v>1517</v>
      </c>
      <c r="B324" s="167" t="s">
        <v>1252</v>
      </c>
      <c r="C324" s="86" t="s">
        <v>928</v>
      </c>
      <c r="D324" s="143" t="str">
        <f>"PRD_SNJ_"&amp;
_xlfn.XLOOKUP(商品マスタ[[#This Row],[仕入先]],テーブル1[仕入先名],テーブル1[仕入先コード],"XXX",0,1)&amp;
"_"&amp;
商品マスタ[[#This Row],[シリアル]]&amp;
"_"&amp;
TEXT(COUNTIFS(商品マスタ!$C$3:C324,商品マスタ[[#This Row],[仕入先]],商品マスタ!$E$3:E324,商品マスタ[[#This Row],[商品名]]), "00")</f>
        <v>PRD_SNJ_KTR_0007_01</v>
      </c>
      <c r="E324" s="87" t="s">
        <v>954</v>
      </c>
      <c r="F324" s="87">
        <f>IF(COUNTIFS($C$3:C324,商品マスタ[[#This Row],[仕入先]],$E$3:E324,商品マスタ[[#This Row],[商品名]]) = 1, 1,0)</f>
        <v>1</v>
      </c>
      <c r="G324" s="133" t="str">
        <f>TEXT(SUMIF($C$3:C324,商品マスタ[[#This Row],[仕入先]],$F$3:F324), "0000")</f>
        <v>0007</v>
      </c>
      <c r="H324" s="87" t="s">
        <v>962</v>
      </c>
      <c r="I324" s="87" t="s">
        <v>978</v>
      </c>
      <c r="J324" s="87">
        <v>1</v>
      </c>
      <c r="K324" s="87" t="s">
        <v>964</v>
      </c>
      <c r="L324" s="134">
        <v>3900</v>
      </c>
      <c r="M324" s="157"/>
      <c r="N324" s="134"/>
      <c r="O324" s="155" t="s">
        <v>810</v>
      </c>
      <c r="P324" s="156">
        <v>0.1</v>
      </c>
      <c r="Q324" s="134">
        <f>商品マスタ[[#This Row],[仕入
単価]]*商品マスタ[[#This Row],[標準国内送料率]]</f>
        <v>390</v>
      </c>
      <c r="R324" s="134">
        <v>0</v>
      </c>
      <c r="S324" s="134">
        <f>IF(ISBLANK(商品マスタ[[#This Row],[実績
国内送料]]),商品マスタ[[#This Row],[標準国内送料]],)</f>
        <v>0</v>
      </c>
      <c r="T324" s="134">
        <f>商品マスタ[[#This Row],[仕入
単価]]+商品マスタ[[#This Row],[国内送料]]</f>
        <v>3900</v>
      </c>
      <c r="U324" s="134">
        <f>ROUNDUP(商品マスタ[[#This Row],[仕入単価+国内送料]]/0.8,-1)</f>
        <v>4880</v>
      </c>
      <c r="V324" s="134">
        <f>商品マスタ[[#This Row],[海外定価
（20％）]]-商品マスタ[[#This Row],[仕入単価+国内送料]]</f>
        <v>980</v>
      </c>
      <c r="W324" s="87">
        <f>ROUNDUP(商品マスタ[[#This Row],[仕入単価+国内送料]]/0.85,-1)</f>
        <v>4590</v>
      </c>
      <c r="X324" s="134">
        <f>商品マスタ[[#This Row],[国内定価
（15％）]]-商品マスタ[[#This Row],[仕入単価+国内送料]]</f>
        <v>690</v>
      </c>
      <c r="Y324" s="139">
        <v>0.08</v>
      </c>
      <c r="Z324" s="87" t="s">
        <v>965</v>
      </c>
      <c r="AA324" s="87" t="s">
        <v>938</v>
      </c>
      <c r="AB324" s="87" t="s">
        <v>966</v>
      </c>
      <c r="AC324" s="140"/>
      <c r="AD324" s="87" t="s">
        <v>979</v>
      </c>
      <c r="AE324" s="87"/>
      <c r="AF324" s="87"/>
      <c r="AG324" s="141"/>
    </row>
    <row r="325" spans="1:33" ht="18">
      <c r="A325" s="166" t="s">
        <v>1521</v>
      </c>
      <c r="B325" s="167" t="s">
        <v>1517</v>
      </c>
      <c r="C325" s="86" t="s">
        <v>928</v>
      </c>
      <c r="D325" s="143" t="str">
        <f>"PRD_SNJ_"&amp;
_xlfn.XLOOKUP(商品マスタ[[#This Row],[仕入先]],テーブル1[仕入先名],テーブル1[仕入先コード],"XXX",0,1)&amp;
"_"&amp;
商品マスタ[[#This Row],[シリアル]]&amp;
"_"&amp;
TEXT(COUNTIFS(商品マスタ!$C$3:C325,商品マスタ[[#This Row],[仕入先]],商品マスタ!$E$3:E325,商品マスタ[[#This Row],[商品名]]), "00")</f>
        <v>PRD_SNJ_KTR_0008_01</v>
      </c>
      <c r="E325" s="87" t="s">
        <v>955</v>
      </c>
      <c r="F325" s="87">
        <f>IF(COUNTIFS($C$3:C325,商品マスタ[[#This Row],[仕入先]],$E$3:E325,商品マスタ[[#This Row],[商品名]]) = 1, 1,0)</f>
        <v>1</v>
      </c>
      <c r="G325" s="133" t="str">
        <f>TEXT(SUMIF($C$3:C325,商品マスタ[[#This Row],[仕入先]],$F$3:F325), "0000")</f>
        <v>0008</v>
      </c>
      <c r="H325" s="87" t="s">
        <v>962</v>
      </c>
      <c r="I325" s="87" t="s">
        <v>980</v>
      </c>
      <c r="J325" s="87">
        <v>1</v>
      </c>
      <c r="K325" s="87" t="s">
        <v>964</v>
      </c>
      <c r="L325" s="134">
        <v>3400</v>
      </c>
      <c r="M325" s="157"/>
      <c r="N325" s="134"/>
      <c r="O325" s="155" t="s">
        <v>810</v>
      </c>
      <c r="P325" s="156">
        <v>0.1</v>
      </c>
      <c r="Q325" s="134">
        <f>商品マスタ[[#This Row],[仕入
単価]]*商品マスタ[[#This Row],[標準国内送料率]]</f>
        <v>340</v>
      </c>
      <c r="R325" s="134">
        <v>0</v>
      </c>
      <c r="S325" s="134">
        <f>IF(ISBLANK(商品マスタ[[#This Row],[実績
国内送料]]),商品マスタ[[#This Row],[標準国内送料]],)</f>
        <v>0</v>
      </c>
      <c r="T325" s="134">
        <f>商品マスタ[[#This Row],[仕入
単価]]+商品マスタ[[#This Row],[国内送料]]</f>
        <v>3400</v>
      </c>
      <c r="U325" s="134">
        <f>ROUNDUP(商品マスタ[[#This Row],[仕入単価+国内送料]]/0.8,-1)</f>
        <v>4250</v>
      </c>
      <c r="V325" s="134">
        <f>商品マスタ[[#This Row],[海外定価
（20％）]]-商品マスタ[[#This Row],[仕入単価+国内送料]]</f>
        <v>850</v>
      </c>
      <c r="W325" s="87">
        <f>ROUNDUP(商品マスタ[[#This Row],[仕入単価+国内送料]]/0.85,-1)</f>
        <v>4000</v>
      </c>
      <c r="X325" s="134">
        <f>商品マスタ[[#This Row],[国内定価
（15％）]]-商品マスタ[[#This Row],[仕入単価+国内送料]]</f>
        <v>600</v>
      </c>
      <c r="Y325" s="139">
        <v>0.08</v>
      </c>
      <c r="Z325" s="87" t="s">
        <v>965</v>
      </c>
      <c r="AA325" s="87" t="s">
        <v>938</v>
      </c>
      <c r="AB325" s="87" t="s">
        <v>966</v>
      </c>
      <c r="AC325" s="140"/>
      <c r="AD325" s="87" t="s">
        <v>981</v>
      </c>
      <c r="AE325" s="87"/>
      <c r="AF325" s="87"/>
      <c r="AG325" s="141"/>
    </row>
    <row r="326" spans="1:33" ht="18">
      <c r="A326" s="166" t="s">
        <v>1517</v>
      </c>
      <c r="B326" s="167" t="s">
        <v>1252</v>
      </c>
      <c r="C326" s="86" t="s">
        <v>928</v>
      </c>
      <c r="D326" s="143" t="str">
        <f>"PRD_SNJ_"&amp;
_xlfn.XLOOKUP(商品マスタ[[#This Row],[仕入先]],テーブル1[仕入先名],テーブル1[仕入先コード],"XXX",0,1)&amp;
"_"&amp;
商品マスタ[[#This Row],[シリアル]]&amp;
"_"&amp;
TEXT(COUNTIFS(商品マスタ!$C$3:C326,商品マスタ[[#This Row],[仕入先]],商品マスタ!$E$3:E326,商品マスタ[[#This Row],[商品名]]), "00")</f>
        <v>PRD_SNJ_KTR_0009_01</v>
      </c>
      <c r="E326" s="87" t="s">
        <v>956</v>
      </c>
      <c r="F326" s="87">
        <f>IF(COUNTIFS($C$3:C326,商品マスタ[[#This Row],[仕入先]],$E$3:E326,商品マスタ[[#This Row],[商品名]]) = 1, 1,0)</f>
        <v>1</v>
      </c>
      <c r="G326" s="133" t="str">
        <f>TEXT(SUMIF($C$3:C326,商品マスタ[[#This Row],[仕入先]],$F$3:F326), "0000")</f>
        <v>0009</v>
      </c>
      <c r="H326" s="87" t="s">
        <v>962</v>
      </c>
      <c r="I326" s="87" t="s">
        <v>982</v>
      </c>
      <c r="J326" s="87">
        <v>1</v>
      </c>
      <c r="K326" s="87" t="s">
        <v>964</v>
      </c>
      <c r="L326" s="134">
        <v>4300</v>
      </c>
      <c r="M326" s="157"/>
      <c r="N326" s="134"/>
      <c r="O326" s="155" t="s">
        <v>810</v>
      </c>
      <c r="P326" s="156">
        <v>0.1</v>
      </c>
      <c r="Q326" s="134">
        <f>商品マスタ[[#This Row],[仕入
単価]]*商品マスタ[[#This Row],[標準国内送料率]]</f>
        <v>430</v>
      </c>
      <c r="R326" s="134">
        <v>0</v>
      </c>
      <c r="S326" s="134">
        <f>IF(ISBLANK(商品マスタ[[#This Row],[実績
国内送料]]),商品マスタ[[#This Row],[標準国内送料]],)</f>
        <v>0</v>
      </c>
      <c r="T326" s="134">
        <f>商品マスタ[[#This Row],[仕入
単価]]+商品マスタ[[#This Row],[国内送料]]</f>
        <v>4300</v>
      </c>
      <c r="U326" s="134">
        <f>ROUNDUP(商品マスタ[[#This Row],[仕入単価+国内送料]]/0.8,-1)</f>
        <v>5380</v>
      </c>
      <c r="V326" s="134">
        <f>商品マスタ[[#This Row],[海外定価
（20％）]]-商品マスタ[[#This Row],[仕入単価+国内送料]]</f>
        <v>1080</v>
      </c>
      <c r="W326" s="87">
        <f>ROUNDUP(商品マスタ[[#This Row],[仕入単価+国内送料]]/0.85,-1)</f>
        <v>5060</v>
      </c>
      <c r="X326" s="134">
        <f>商品マスタ[[#This Row],[国内定価
（15％）]]-商品マスタ[[#This Row],[仕入単価+国内送料]]</f>
        <v>760</v>
      </c>
      <c r="Y326" s="139">
        <v>0.08</v>
      </c>
      <c r="Z326" s="87" t="s">
        <v>965</v>
      </c>
      <c r="AA326" s="87" t="s">
        <v>938</v>
      </c>
      <c r="AB326" s="87" t="s">
        <v>966</v>
      </c>
      <c r="AC326" s="140"/>
      <c r="AD326" s="87" t="s">
        <v>983</v>
      </c>
      <c r="AE326" s="87"/>
      <c r="AF326" s="87"/>
      <c r="AG326" s="141"/>
    </row>
    <row r="327" spans="1:33" ht="18">
      <c r="A327" s="166" t="s">
        <v>1521</v>
      </c>
      <c r="B327" s="167" t="s">
        <v>1517</v>
      </c>
      <c r="C327" s="86" t="s">
        <v>928</v>
      </c>
      <c r="D327" s="143" t="str">
        <f>"PRD_SNJ_"&amp;
_xlfn.XLOOKUP(商品マスタ[[#This Row],[仕入先]],テーブル1[仕入先名],テーブル1[仕入先コード],"XXX",0,1)&amp;
"_"&amp;
商品マスタ[[#This Row],[シリアル]]&amp;
"_"&amp;
TEXT(COUNTIFS(商品マスタ!$C$3:C327,商品マスタ[[#This Row],[仕入先]],商品マスタ!$E$3:E327,商品マスタ[[#This Row],[商品名]]), "00")</f>
        <v>PRD_SNJ_KTR_0010_01</v>
      </c>
      <c r="E327" s="87" t="s">
        <v>957</v>
      </c>
      <c r="F327" s="87">
        <f>IF(COUNTIFS($C$3:C327,商品マスタ[[#This Row],[仕入先]],$E$3:E327,商品マスタ[[#This Row],[商品名]]) = 1, 1,0)</f>
        <v>1</v>
      </c>
      <c r="G327" s="133" t="str">
        <f>TEXT(SUMIF($C$3:C327,商品マスタ[[#This Row],[仕入先]],$F$3:F327), "0000")</f>
        <v>0010</v>
      </c>
      <c r="H327" s="87" t="s">
        <v>962</v>
      </c>
      <c r="I327" s="87" t="s">
        <v>984</v>
      </c>
      <c r="J327" s="87">
        <v>1</v>
      </c>
      <c r="K327" s="87" t="s">
        <v>964</v>
      </c>
      <c r="L327" s="134">
        <v>3500</v>
      </c>
      <c r="M327" s="157"/>
      <c r="N327" s="134"/>
      <c r="O327" s="155" t="s">
        <v>810</v>
      </c>
      <c r="P327" s="156">
        <v>0.1</v>
      </c>
      <c r="Q327" s="134">
        <f>商品マスタ[[#This Row],[仕入
単価]]*商品マスタ[[#This Row],[標準国内送料率]]</f>
        <v>350</v>
      </c>
      <c r="R327" s="134">
        <v>0</v>
      </c>
      <c r="S327" s="134">
        <f>IF(ISBLANK(商品マスタ[[#This Row],[実績
国内送料]]),商品マスタ[[#This Row],[標準国内送料]],)</f>
        <v>0</v>
      </c>
      <c r="T327" s="134">
        <f>商品マスタ[[#This Row],[仕入
単価]]+商品マスタ[[#This Row],[国内送料]]</f>
        <v>3500</v>
      </c>
      <c r="U327" s="134">
        <f>ROUNDUP(商品マスタ[[#This Row],[仕入単価+国内送料]]/0.8,-1)</f>
        <v>4380</v>
      </c>
      <c r="V327" s="134">
        <f>商品マスタ[[#This Row],[海外定価
（20％）]]-商品マスタ[[#This Row],[仕入単価+国内送料]]</f>
        <v>880</v>
      </c>
      <c r="W327" s="87">
        <f>ROUNDUP(商品マスタ[[#This Row],[仕入単価+国内送料]]/0.85,-1)</f>
        <v>4120</v>
      </c>
      <c r="X327" s="134">
        <f>商品マスタ[[#This Row],[国内定価
（15％）]]-商品マスタ[[#This Row],[仕入単価+国内送料]]</f>
        <v>620</v>
      </c>
      <c r="Y327" s="139">
        <v>0.08</v>
      </c>
      <c r="Z327" s="87" t="s">
        <v>965</v>
      </c>
      <c r="AA327" s="87" t="s">
        <v>938</v>
      </c>
      <c r="AB327" s="87" t="s">
        <v>966</v>
      </c>
      <c r="AC327" s="140"/>
      <c r="AD327" s="87" t="s">
        <v>985</v>
      </c>
      <c r="AE327" s="87"/>
      <c r="AF327" s="87"/>
      <c r="AG327" s="141"/>
    </row>
    <row r="328" spans="1:33" ht="18">
      <c r="A328" s="166" t="s">
        <v>1524</v>
      </c>
      <c r="B328" s="167" t="s">
        <v>1229</v>
      </c>
      <c r="C328" s="86" t="s">
        <v>986</v>
      </c>
      <c r="D328" s="143" t="str">
        <f>"PRD_SNJ_"&amp;
_xlfn.XLOOKUP(商品マスタ[[#This Row],[仕入先]],テーブル1[仕入先名],テーブル1[仕入先コード],"XXX",0,1)&amp;
"_"&amp;
商品マスタ[[#This Row],[シリアル]]&amp;
"_"&amp;
TEXT(COUNTIFS(商品マスタ!$C$3:C328,商品マスタ[[#This Row],[仕入先]],商品マスタ!$E$3:E328,商品マスタ[[#This Row],[商品名]]), "00")</f>
        <v>PRD_SNJ_OTS_0001_01</v>
      </c>
      <c r="E328" s="87" t="s">
        <v>988</v>
      </c>
      <c r="F328" s="87">
        <f>IF(COUNTIFS($C$3:C328,商品マスタ[[#This Row],[仕入先]],$E$3:E328,商品マスタ[[#This Row],[商品名]]) = 1, 1,0)</f>
        <v>1</v>
      </c>
      <c r="G328" s="133" t="str">
        <f>TEXT(SUMIF($C$3:C328,商品マスタ[[#This Row],[仕入先]],$F$3:F328), "0000")</f>
        <v>0001</v>
      </c>
      <c r="H328" s="87" t="s">
        <v>962</v>
      </c>
      <c r="I328" s="87" t="s">
        <v>992</v>
      </c>
      <c r="J328" s="87">
        <v>1</v>
      </c>
      <c r="K328" s="87"/>
      <c r="L328" s="134">
        <v>4440</v>
      </c>
      <c r="M328" s="157"/>
      <c r="N328" s="134"/>
      <c r="O328" s="135" t="str">
        <f>IF(COUNT(商品マスタ[[#This Row],[参考上代
（税込)]]) &gt; 0, (商品マスタ[[#This Row],[参考上代
（税込)]]-商品マスタ[[#This Row],[国内定価
（15％）]])/(商品マスタ[[#This Row],[参考上代
（税込)]]/1.08), "")</f>
        <v/>
      </c>
      <c r="P328" s="136">
        <v>0.15</v>
      </c>
      <c r="Q328" s="134">
        <f>商品マスタ[[#This Row],[仕入
単価]]*商品マスタ[[#This Row],[標準国内送料率]]</f>
        <v>666</v>
      </c>
      <c r="R328" s="134"/>
      <c r="S328" s="134">
        <f>IF(ISBLANK(商品マスタ[[#This Row],[実績
国内送料]]),商品マスタ[[#This Row],[標準国内送料]],)</f>
        <v>666</v>
      </c>
      <c r="T328" s="134">
        <f>商品マスタ[[#This Row],[仕入
単価]]+商品マスタ[[#This Row],[国内送料]]</f>
        <v>5106</v>
      </c>
      <c r="U328" s="134">
        <f>ROUNDUP(商品マスタ[[#This Row],[仕入単価+国内送料]]/0.8,-1)</f>
        <v>6390</v>
      </c>
      <c r="V328" s="134">
        <f>商品マスタ[[#This Row],[海外定価
（20％）]]-商品マスタ[[#This Row],[仕入単価+国内送料]]</f>
        <v>1284</v>
      </c>
      <c r="W328" s="87">
        <f>ROUNDUP(商品マスタ[[#This Row],[仕入単価+国内送料]]/0.85,-1)</f>
        <v>6010</v>
      </c>
      <c r="X328" s="134">
        <f>商品マスタ[[#This Row],[国内定価
（15％）]]-商品マスタ[[#This Row],[仕入単価+国内送料]]</f>
        <v>904</v>
      </c>
      <c r="Y328" s="139">
        <v>0.08</v>
      </c>
      <c r="Z328" s="87" t="s">
        <v>995</v>
      </c>
      <c r="AA328" s="87" t="s">
        <v>960</v>
      </c>
      <c r="AB328" s="87"/>
      <c r="AC328" s="140"/>
      <c r="AD328" s="87"/>
      <c r="AE328" s="87"/>
      <c r="AF328" s="87"/>
      <c r="AG328" s="141"/>
    </row>
    <row r="329" spans="1:33" ht="18">
      <c r="A329" s="166" t="s">
        <v>1524</v>
      </c>
      <c r="B329" s="167" t="s">
        <v>1229</v>
      </c>
      <c r="C329" s="86" t="s">
        <v>986</v>
      </c>
      <c r="D329" s="143" t="str">
        <f>"PRD_SNJ_"&amp;
_xlfn.XLOOKUP(商品マスタ[[#This Row],[仕入先]],テーブル1[仕入先名],テーブル1[仕入先コード],"XXX",0,1)&amp;
"_"&amp;
商品マスタ[[#This Row],[シリアル]]&amp;
"_"&amp;
TEXT(COUNTIFS(商品マスタ!$C$3:C329,商品マスタ[[#This Row],[仕入先]],商品マスタ!$E$3:E329,商品マスタ[[#This Row],[商品名]]), "00")</f>
        <v>PRD_SNJ_OTS_0002_01</v>
      </c>
      <c r="E329" s="87" t="s">
        <v>989</v>
      </c>
      <c r="F329" s="87">
        <f>IF(COUNTIFS($C$3:C329,商品マスタ[[#This Row],[仕入先]],$E$3:E329,商品マスタ[[#This Row],[商品名]]) = 1, 1,0)</f>
        <v>1</v>
      </c>
      <c r="G329" s="133" t="str">
        <f>TEXT(SUMIF($C$3:C329,商品マスタ[[#This Row],[仕入先]],$F$3:F329), "0000")</f>
        <v>0002</v>
      </c>
      <c r="H329" s="87" t="s">
        <v>962</v>
      </c>
      <c r="I329" s="87" t="s">
        <v>993</v>
      </c>
      <c r="J329" s="87">
        <v>1</v>
      </c>
      <c r="K329" s="87"/>
      <c r="L329" s="134">
        <v>3080</v>
      </c>
      <c r="M329" s="157"/>
      <c r="N329" s="134"/>
      <c r="O329" s="135" t="str">
        <f>IF(COUNT(商品マスタ[[#This Row],[参考上代
（税込)]]) &gt; 0, (商品マスタ[[#This Row],[参考上代
（税込)]]-商品マスタ[[#This Row],[国内定価
（15％）]])/(商品マスタ[[#This Row],[参考上代
（税込)]]/1.08), "")</f>
        <v/>
      </c>
      <c r="P329" s="136">
        <v>0.15</v>
      </c>
      <c r="Q329" s="134">
        <f>商品マスタ[[#This Row],[仕入
単価]]*商品マスタ[[#This Row],[標準国内送料率]]</f>
        <v>462</v>
      </c>
      <c r="R329" s="134"/>
      <c r="S329" s="134">
        <f>IF(ISBLANK(商品マスタ[[#This Row],[実績
国内送料]]),商品マスタ[[#This Row],[標準国内送料]],)</f>
        <v>462</v>
      </c>
      <c r="T329" s="134">
        <f>商品マスタ[[#This Row],[仕入
単価]]+商品マスタ[[#This Row],[国内送料]]</f>
        <v>3542</v>
      </c>
      <c r="U329" s="134">
        <f>ROUNDUP(商品マスタ[[#This Row],[仕入単価+国内送料]]/0.8,-1)</f>
        <v>4430</v>
      </c>
      <c r="V329" s="134">
        <f>商品マスタ[[#This Row],[海外定価
（20％）]]-商品マスタ[[#This Row],[仕入単価+国内送料]]</f>
        <v>888</v>
      </c>
      <c r="W329" s="87">
        <f>ROUNDUP(商品マスタ[[#This Row],[仕入単価+国内送料]]/0.85,-1)</f>
        <v>4170</v>
      </c>
      <c r="X329" s="134">
        <f>商品マスタ[[#This Row],[国内定価
（15％）]]-商品マスタ[[#This Row],[仕入単価+国内送料]]</f>
        <v>628</v>
      </c>
      <c r="Y329" s="139">
        <v>0.08</v>
      </c>
      <c r="Z329" s="87" t="s">
        <v>995</v>
      </c>
      <c r="AA329" s="87" t="s">
        <v>960</v>
      </c>
      <c r="AB329" s="87"/>
      <c r="AC329" s="140"/>
      <c r="AD329" s="87"/>
      <c r="AE329" s="87"/>
      <c r="AF329" s="87"/>
      <c r="AG329" s="141"/>
    </row>
    <row r="330" spans="1:33" ht="18">
      <c r="A330" s="166" t="s">
        <v>1524</v>
      </c>
      <c r="B330" s="167" t="s">
        <v>1229</v>
      </c>
      <c r="C330" s="86" t="s">
        <v>986</v>
      </c>
      <c r="D330" s="143" t="str">
        <f>"PRD_SNJ_"&amp;
_xlfn.XLOOKUP(商品マスタ[[#This Row],[仕入先]],テーブル1[仕入先名],テーブル1[仕入先コード],"XXX",0,1)&amp;
"_"&amp;
商品マスタ[[#This Row],[シリアル]]&amp;
"_"&amp;
TEXT(COUNTIFS(商品マスタ!$C$3:C330,商品マスタ[[#This Row],[仕入先]],商品マスタ!$E$3:E330,商品マスタ[[#This Row],[商品名]]), "00")</f>
        <v>PRD_SNJ_OTS_0003_01</v>
      </c>
      <c r="E330" s="87" t="s">
        <v>990</v>
      </c>
      <c r="F330" s="87">
        <f>IF(COUNTIFS($C$3:C330,商品マスタ[[#This Row],[仕入先]],$E$3:E330,商品マスタ[[#This Row],[商品名]]) = 1, 1,0)</f>
        <v>1</v>
      </c>
      <c r="G330" s="133" t="str">
        <f>TEXT(SUMIF($C$3:C330,商品マスタ[[#This Row],[仕入先]],$F$3:F330), "0000")</f>
        <v>0003</v>
      </c>
      <c r="H330" s="87" t="s">
        <v>962</v>
      </c>
      <c r="I330" s="87" t="s">
        <v>994</v>
      </c>
      <c r="J330" s="87">
        <v>1</v>
      </c>
      <c r="K330" s="87"/>
      <c r="L330" s="134">
        <v>5240</v>
      </c>
      <c r="M330" s="157"/>
      <c r="N330" s="134"/>
      <c r="O330" s="135" t="str">
        <f>IF(COUNT(商品マスタ[[#This Row],[参考上代
（税込)]]) &gt; 0, (商品マスタ[[#This Row],[参考上代
（税込)]]-商品マスタ[[#This Row],[国内定価
（15％）]])/(商品マスタ[[#This Row],[参考上代
（税込)]]/1.08), "")</f>
        <v/>
      </c>
      <c r="P330" s="136">
        <v>0.15</v>
      </c>
      <c r="Q330" s="134">
        <f>商品マスタ[[#This Row],[仕入
単価]]*商品マスタ[[#This Row],[標準国内送料率]]</f>
        <v>786</v>
      </c>
      <c r="R330" s="134"/>
      <c r="S330" s="134">
        <f>IF(ISBLANK(商品マスタ[[#This Row],[実績
国内送料]]),商品マスタ[[#This Row],[標準国内送料]],)</f>
        <v>786</v>
      </c>
      <c r="T330" s="134">
        <f>商品マスタ[[#This Row],[仕入
単価]]+商品マスタ[[#This Row],[国内送料]]</f>
        <v>6026</v>
      </c>
      <c r="U330" s="134">
        <f>ROUNDUP(商品マスタ[[#This Row],[仕入単価+国内送料]]/0.8,-1)</f>
        <v>7540</v>
      </c>
      <c r="V330" s="134">
        <f>商品マスタ[[#This Row],[海外定価
（20％）]]-商品マスタ[[#This Row],[仕入単価+国内送料]]</f>
        <v>1514</v>
      </c>
      <c r="W330" s="87">
        <f>ROUNDUP(商品マスタ[[#This Row],[仕入単価+国内送料]]/0.85,-1)</f>
        <v>7090</v>
      </c>
      <c r="X330" s="134">
        <f>商品マスタ[[#This Row],[国内定価
（15％）]]-商品マスタ[[#This Row],[仕入単価+国内送料]]</f>
        <v>1064</v>
      </c>
      <c r="Y330" s="139">
        <v>0.08</v>
      </c>
      <c r="Z330" s="87" t="s">
        <v>995</v>
      </c>
      <c r="AA330" s="87" t="s">
        <v>938</v>
      </c>
      <c r="AB330" s="87"/>
      <c r="AC330" s="140"/>
      <c r="AD330" s="87"/>
      <c r="AE330" s="87"/>
      <c r="AF330" s="87"/>
      <c r="AG330" s="141"/>
    </row>
    <row r="331" spans="1:33" ht="18">
      <c r="A331" s="166" t="s">
        <v>1524</v>
      </c>
      <c r="B331" s="167" t="s">
        <v>1229</v>
      </c>
      <c r="C331" s="86" t="s">
        <v>986</v>
      </c>
      <c r="D331" s="143" t="str">
        <f>"PRD_SNJ_"&amp;
_xlfn.XLOOKUP(商品マスタ[[#This Row],[仕入先]],テーブル1[仕入先名],テーブル1[仕入先コード],"XXX",0,1)&amp;
"_"&amp;
商品マスタ[[#This Row],[シリアル]]&amp;
"_"&amp;
TEXT(COUNTIFS(商品マスタ!$C$3:C331,商品マスタ[[#This Row],[仕入先]],商品マスタ!$E$3:E331,商品マスタ[[#This Row],[商品名]]), "00")</f>
        <v>PRD_SNJ_OTS_0004_01</v>
      </c>
      <c r="E331" s="87" t="s">
        <v>991</v>
      </c>
      <c r="F331" s="87">
        <f>IF(COUNTIFS($C$3:C331,商品マスタ[[#This Row],[仕入先]],$E$3:E331,商品マスタ[[#This Row],[商品名]]) = 1, 1,0)</f>
        <v>1</v>
      </c>
      <c r="G331" s="133" t="str">
        <f>TEXT(SUMIF($C$3:C331,商品マスタ[[#This Row],[仕入先]],$F$3:F331), "0000")</f>
        <v>0004</v>
      </c>
      <c r="H331" s="87" t="s">
        <v>962</v>
      </c>
      <c r="I331" s="87" t="s">
        <v>994</v>
      </c>
      <c r="J331" s="87">
        <v>1</v>
      </c>
      <c r="K331" s="87"/>
      <c r="L331" s="134">
        <v>3452</v>
      </c>
      <c r="M331" s="157"/>
      <c r="N331" s="134"/>
      <c r="O331" s="135" t="str">
        <f>IF(COUNT(商品マスタ[[#This Row],[参考上代
（税込)]]) &gt; 0, (商品マスタ[[#This Row],[参考上代
（税込)]]-商品マスタ[[#This Row],[国内定価
（15％）]])/(商品マスタ[[#This Row],[参考上代
（税込)]]/1.08), "")</f>
        <v/>
      </c>
      <c r="P331" s="136">
        <v>0.15</v>
      </c>
      <c r="Q331" s="134">
        <f>商品マスタ[[#This Row],[仕入
単価]]*商品マスタ[[#This Row],[標準国内送料率]]</f>
        <v>517.79999999999995</v>
      </c>
      <c r="R331" s="134"/>
      <c r="S331" s="134">
        <f>IF(ISBLANK(商品マスタ[[#This Row],[実績
国内送料]]),商品マスタ[[#This Row],[標準国内送料]],)</f>
        <v>517.79999999999995</v>
      </c>
      <c r="T331" s="134">
        <f>商品マスタ[[#This Row],[仕入
単価]]+商品マスタ[[#This Row],[国内送料]]</f>
        <v>3969.8</v>
      </c>
      <c r="U331" s="134">
        <f>ROUNDUP(商品マスタ[[#This Row],[仕入単価+国内送料]]/0.8,-1)</f>
        <v>4970</v>
      </c>
      <c r="V331" s="134">
        <f>商品マスタ[[#This Row],[海外定価
（20％）]]-商品マスタ[[#This Row],[仕入単価+国内送料]]</f>
        <v>1000.1999999999998</v>
      </c>
      <c r="W331" s="87">
        <f>ROUNDUP(商品マスタ[[#This Row],[仕入単価+国内送料]]/0.85,-1)</f>
        <v>4680</v>
      </c>
      <c r="X331" s="134">
        <f>商品マスタ[[#This Row],[国内定価
（15％）]]-商品マスタ[[#This Row],[仕入単価+国内送料]]</f>
        <v>710.19999999999982</v>
      </c>
      <c r="Y331" s="139">
        <v>0.08</v>
      </c>
      <c r="Z331" s="87" t="s">
        <v>995</v>
      </c>
      <c r="AA331" s="87" t="s">
        <v>938</v>
      </c>
      <c r="AB331" s="87"/>
      <c r="AC331" s="140"/>
      <c r="AD331" s="87"/>
      <c r="AE331" s="87"/>
      <c r="AF331" s="87"/>
      <c r="AG331" s="141"/>
    </row>
    <row r="332" spans="1:33" ht="18">
      <c r="A332" s="166" t="s">
        <v>1523</v>
      </c>
      <c r="B332" s="167" t="s">
        <v>1231</v>
      </c>
      <c r="C332" s="167" t="s">
        <v>998</v>
      </c>
      <c r="D332" s="143" t="str">
        <f>"PRD_SNJ_"&amp;
_xlfn.XLOOKUP(商品マスタ[[#This Row],[仕入先]],テーブル1[仕入先名],テーブル1[仕入先コード],"XXX",0,1)&amp;
"_"&amp;
商品マスタ[[#This Row],[シリアル]]&amp;
"_"&amp;
TEXT(COUNTIFS(商品マスタ!$C$3:C332,商品マスタ[[#This Row],[仕入先]],商品マスタ!$E$3:E332,商品マスタ[[#This Row],[商品名]]), "00")</f>
        <v>PRD_SNJ_GGM_0096_01</v>
      </c>
      <c r="E332" s="87" t="s">
        <v>999</v>
      </c>
      <c r="F332" s="87">
        <f>IF(COUNTIFS($C$3:C332,商品マスタ[[#This Row],[仕入先]],$E$3:E332,商品マスタ[[#This Row],[商品名]]) = 1, 1,0)</f>
        <v>1</v>
      </c>
      <c r="G332" s="133" t="str">
        <f>TEXT(SUMIF($C$3:C332,商品マスタ[[#This Row],[仕入先]],$F$3:F332), "0000")</f>
        <v>0096</v>
      </c>
      <c r="H332" s="87" t="s">
        <v>901</v>
      </c>
      <c r="I332" s="87" t="s">
        <v>1000</v>
      </c>
      <c r="J332" s="87">
        <v>1</v>
      </c>
      <c r="K332" s="87"/>
      <c r="L332" s="134">
        <v>1500</v>
      </c>
      <c r="M332" s="157">
        <v>45957</v>
      </c>
      <c r="N332" s="134"/>
      <c r="O332" s="135" t="str">
        <f>IF(COUNT(商品マスタ[[#This Row],[参考上代
（税込)]]) &gt; 0, (商品マスタ[[#This Row],[参考上代
（税込)]]-商品マスタ[[#This Row],[国内定価
（15％）]])/(商品マスタ[[#This Row],[参考上代
（税込)]]/1.08), "")</f>
        <v/>
      </c>
      <c r="P332" s="136">
        <v>0.15</v>
      </c>
      <c r="Q332" s="134">
        <f>商品マスタ[[#This Row],[仕入
単価]]*商品マスタ[[#This Row],[標準国内送料率]]</f>
        <v>225</v>
      </c>
      <c r="R332" s="134"/>
      <c r="S332" s="134">
        <f>IF(ISBLANK(商品マスタ[[#This Row],[実績
国内送料]]),商品マスタ[[#This Row],[標準国内送料]],)</f>
        <v>225</v>
      </c>
      <c r="T332" s="134">
        <f>商品マスタ[[#This Row],[仕入
単価]]+商品マスタ[[#This Row],[国内送料]]</f>
        <v>1725</v>
      </c>
      <c r="U332" s="134">
        <f>ROUNDUP(商品マスタ[[#This Row],[仕入単価+国内送料]]/0.8,-1)</f>
        <v>2160</v>
      </c>
      <c r="V332" s="134">
        <f>商品マスタ[[#This Row],[海外定価
（20％）]]-商品マスタ[[#This Row],[仕入単価+国内送料]]</f>
        <v>435</v>
      </c>
      <c r="W332" s="87">
        <f>ROUNDUP(商品マスタ[[#This Row],[仕入単価+国内送料]]/0.85,-1)</f>
        <v>2030</v>
      </c>
      <c r="X332" s="134">
        <f>商品マスタ[[#This Row],[国内定価
（15％）]]-商品マスタ[[#This Row],[仕入単価+国内送料]]</f>
        <v>305</v>
      </c>
      <c r="Y332" s="139">
        <v>0.08</v>
      </c>
      <c r="Z332" s="87"/>
      <c r="AA332" s="87" t="s">
        <v>370</v>
      </c>
      <c r="AB332" s="87"/>
      <c r="AC332" s="140"/>
      <c r="AD332" s="87"/>
      <c r="AE332" s="87"/>
      <c r="AF332" s="87"/>
      <c r="AG332" s="141"/>
    </row>
    <row r="333" spans="1:33" ht="18">
      <c r="A333" s="166" t="s">
        <v>1517</v>
      </c>
      <c r="B333" s="167" t="s">
        <v>1252</v>
      </c>
      <c r="C333" s="167" t="s">
        <v>1002</v>
      </c>
      <c r="D333" s="143" t="str">
        <f>"PRD_SNJ_"&amp;
_xlfn.XLOOKUP(商品マスタ[[#This Row],[仕入先]],テーブル1[仕入先名],テーブル1[仕入先コード],"XXX",0,1)&amp;
"_"&amp;
商品マスタ[[#This Row],[シリアル]]&amp;
"_"&amp;
TEXT(COUNTIFS(商品マスタ!$C$3:C333,商品マスタ[[#This Row],[仕入先]],商品マスタ!$E$3:E333,商品マスタ[[#This Row],[商品名]]), "00")</f>
        <v>PRD_SNJ_YAS_0001_01</v>
      </c>
      <c r="E333" s="87" t="s">
        <v>1004</v>
      </c>
      <c r="F333" s="87">
        <f>IF(COUNTIFS($C$3:C333,商品マスタ[[#This Row],[仕入先]],$E$3:E333,商品マスタ[[#This Row],[商品名]]) = 1, 1,0)</f>
        <v>1</v>
      </c>
      <c r="G333" s="133" t="str">
        <f>TEXT(SUMIF($C$3:C333,商品マスタ[[#This Row],[仕入先]],$F$3:F333), "0000")</f>
        <v>0001</v>
      </c>
      <c r="H333" s="87" t="s">
        <v>1008</v>
      </c>
      <c r="I333" s="87" t="s">
        <v>1010</v>
      </c>
      <c r="J333" s="87">
        <v>180</v>
      </c>
      <c r="K333" s="87" t="s">
        <v>1012</v>
      </c>
      <c r="L333" s="134">
        <v>420</v>
      </c>
      <c r="M333" s="157">
        <v>45992</v>
      </c>
      <c r="N333" s="134"/>
      <c r="O333" s="135" t="str">
        <f>IF(COUNT(商品マスタ[[#This Row],[参考上代
（税込)]]) &gt; 0, (商品マスタ[[#This Row],[参考上代
（税込)]]-商品マスタ[[#This Row],[国内定価
（15％）]])/(商品マスタ[[#This Row],[参考上代
（税込)]]/1.08), "")</f>
        <v/>
      </c>
      <c r="P333" s="136">
        <v>0.1</v>
      </c>
      <c r="Q333" s="134">
        <f>商品マスタ[[#This Row],[仕入
単価]]*商品マスタ[[#This Row],[標準国内送料率]]</f>
        <v>42</v>
      </c>
      <c r="R333" s="134">
        <v>0</v>
      </c>
      <c r="S333" s="134">
        <f>IF(ISBLANK(商品マスタ[[#This Row],[実績
国内送料]]),商品マスタ[[#This Row],[標準国内送料]],)</f>
        <v>0</v>
      </c>
      <c r="T333" s="134">
        <f>商品マスタ[[#This Row],[仕入
単価]]+商品マスタ[[#This Row],[国内送料]]</f>
        <v>420</v>
      </c>
      <c r="U333" s="134">
        <f>ROUNDUP(商品マスタ[[#This Row],[仕入単価+国内送料]]/0.8,-1)</f>
        <v>530</v>
      </c>
      <c r="V333" s="134">
        <f>商品マスタ[[#This Row],[海外定価
（20％）]]-商品マスタ[[#This Row],[仕入単価+国内送料]]</f>
        <v>110</v>
      </c>
      <c r="W333" s="87">
        <f>ROUNDUP(商品マスタ[[#This Row],[仕入単価+国内送料]]/0.85,-1)</f>
        <v>500</v>
      </c>
      <c r="X333" s="134">
        <f>商品マスタ[[#This Row],[国内定価
（15％）]]-商品マスタ[[#This Row],[仕入単価+国内送料]]</f>
        <v>80</v>
      </c>
      <c r="Y333" s="139">
        <v>0.08</v>
      </c>
      <c r="Z333" s="87" t="s">
        <v>1014</v>
      </c>
      <c r="AA333" s="87" t="s">
        <v>960</v>
      </c>
      <c r="AB333" s="87"/>
      <c r="AC333" s="140"/>
      <c r="AD333" s="87"/>
      <c r="AE333" s="87"/>
      <c r="AF333" s="87"/>
      <c r="AG333" s="141"/>
    </row>
    <row r="334" spans="1:33" ht="18">
      <c r="A334" s="166" t="s">
        <v>1517</v>
      </c>
      <c r="B334" s="167" t="s">
        <v>1252</v>
      </c>
      <c r="C334" s="167" t="s">
        <v>1002</v>
      </c>
      <c r="D334" s="143" t="str">
        <f>"PRD_SNJ_"&amp;
_xlfn.XLOOKUP(商品マスタ[[#This Row],[仕入先]],テーブル1[仕入先名],テーブル1[仕入先コード],"XXX",0,1)&amp;
"_"&amp;
商品マスタ[[#This Row],[シリアル]]&amp;
"_"&amp;
TEXT(COUNTIFS(商品マスタ!$C$3:C334,商品マスタ[[#This Row],[仕入先]],商品マスタ!$E$3:E334,商品マスタ[[#This Row],[商品名]]), "00")</f>
        <v>PRD_SNJ_YAS_0002_01</v>
      </c>
      <c r="E334" s="87" t="s">
        <v>1005</v>
      </c>
      <c r="F334" s="87">
        <f>IF(COUNTIFS($C$3:C334,商品マスタ[[#This Row],[仕入先]],$E$3:E334,商品マスタ[[#This Row],[商品名]]) = 1, 1,0)</f>
        <v>1</v>
      </c>
      <c r="G334" s="133" t="str">
        <f>TEXT(SUMIF($C$3:C334,商品マスタ[[#This Row],[仕入先]],$F$3:F334), "0000")</f>
        <v>0002</v>
      </c>
      <c r="H334" s="87" t="s">
        <v>1009</v>
      </c>
      <c r="I334" s="87" t="s">
        <v>1011</v>
      </c>
      <c r="J334" s="87">
        <v>72</v>
      </c>
      <c r="K334" s="87" t="s">
        <v>1013</v>
      </c>
      <c r="L334" s="134">
        <v>945</v>
      </c>
      <c r="M334" s="157">
        <v>45992</v>
      </c>
      <c r="N334" s="134"/>
      <c r="O334" s="135" t="str">
        <f>IF(COUNT(商品マスタ[[#This Row],[参考上代
（税込)]]) &gt; 0, (商品マスタ[[#This Row],[参考上代
（税込)]]-商品マスタ[[#This Row],[国内定価
（15％）]])/(商品マスタ[[#This Row],[参考上代
（税込)]]/1.08), "")</f>
        <v/>
      </c>
      <c r="P334" s="136">
        <v>0.1</v>
      </c>
      <c r="Q334" s="134">
        <f>商品マスタ[[#This Row],[仕入
単価]]*商品マスタ[[#This Row],[標準国内送料率]]</f>
        <v>94.5</v>
      </c>
      <c r="R334" s="134">
        <v>0</v>
      </c>
      <c r="S334" s="134">
        <f>IF(ISBLANK(商品マスタ[[#This Row],[実績
国内送料]]),商品マスタ[[#This Row],[標準国内送料]],)</f>
        <v>0</v>
      </c>
      <c r="T334" s="134">
        <f>商品マスタ[[#This Row],[仕入
単価]]+商品マスタ[[#This Row],[国内送料]]</f>
        <v>945</v>
      </c>
      <c r="U334" s="134">
        <f>ROUNDUP(商品マスタ[[#This Row],[仕入単価+国内送料]]/0.8,-1)</f>
        <v>1190</v>
      </c>
      <c r="V334" s="134">
        <f>商品マスタ[[#This Row],[海外定価
（20％）]]-商品マスタ[[#This Row],[仕入単価+国内送料]]</f>
        <v>245</v>
      </c>
      <c r="W334" s="87">
        <f>ROUNDUP(商品マスタ[[#This Row],[仕入単価+国内送料]]/0.85,-1)</f>
        <v>1120</v>
      </c>
      <c r="X334" s="134">
        <f>商品マスタ[[#This Row],[国内定価
（15％）]]-商品マスタ[[#This Row],[仕入単価+国内送料]]</f>
        <v>175</v>
      </c>
      <c r="Y334" s="139">
        <v>0.08</v>
      </c>
      <c r="Z334" s="87" t="s">
        <v>1014</v>
      </c>
      <c r="AA334" s="87" t="s">
        <v>960</v>
      </c>
      <c r="AB334" s="87"/>
      <c r="AC334" s="140"/>
      <c r="AD334" s="87"/>
      <c r="AE334" s="87"/>
      <c r="AF334" s="87"/>
      <c r="AG334" s="141"/>
    </row>
    <row r="335" spans="1:33" ht="18">
      <c r="A335" s="166" t="s">
        <v>1517</v>
      </c>
      <c r="B335" s="167" t="s">
        <v>1252</v>
      </c>
      <c r="C335" s="167" t="s">
        <v>1002</v>
      </c>
      <c r="D335" s="143" t="str">
        <f>"PRD_SNJ_"&amp;
_xlfn.XLOOKUP(商品マスタ[[#This Row],[仕入先]],テーブル1[仕入先名],テーブル1[仕入先コード],"XXX",0,1)&amp;
"_"&amp;
商品マスタ[[#This Row],[シリアル]]&amp;
"_"&amp;
TEXT(COUNTIFS(商品マスタ!$C$3:C335,商品マスタ[[#This Row],[仕入先]],商品マスタ!$E$3:E335,商品マスタ[[#This Row],[商品名]]), "00")</f>
        <v>PRD_SNJ_YAS_0003_01</v>
      </c>
      <c r="E335" s="87" t="s">
        <v>1006</v>
      </c>
      <c r="F335" s="87">
        <f>IF(COUNTIFS($C$3:C335,商品マスタ[[#This Row],[仕入先]],$E$3:E335,商品マスタ[[#This Row],[商品名]]) = 1, 1,0)</f>
        <v>1</v>
      </c>
      <c r="G335" s="133" t="str">
        <f>TEXT(SUMIF($C$3:C335,商品マスタ[[#This Row],[仕入先]],$F$3:F335), "0000")</f>
        <v>0003</v>
      </c>
      <c r="H335" s="87" t="s">
        <v>1008</v>
      </c>
      <c r="I335" s="87" t="s">
        <v>1010</v>
      </c>
      <c r="J335" s="87">
        <v>180</v>
      </c>
      <c r="K335" s="87" t="s">
        <v>1012</v>
      </c>
      <c r="L335" s="134">
        <v>385</v>
      </c>
      <c r="M335" s="157">
        <v>45992</v>
      </c>
      <c r="N335" s="134"/>
      <c r="O335" s="135" t="str">
        <f>IF(COUNT(商品マスタ[[#This Row],[参考上代
（税込)]]) &gt; 0, (商品マスタ[[#This Row],[参考上代
（税込)]]-商品マスタ[[#This Row],[国内定価
（15％）]])/(商品マスタ[[#This Row],[参考上代
（税込)]]/1.08), "")</f>
        <v/>
      </c>
      <c r="P335" s="136">
        <v>0.1</v>
      </c>
      <c r="Q335" s="134">
        <f>商品マスタ[[#This Row],[仕入
単価]]*商品マスタ[[#This Row],[標準国内送料率]]</f>
        <v>38.5</v>
      </c>
      <c r="R335" s="134">
        <v>0</v>
      </c>
      <c r="S335" s="134">
        <f>IF(ISBLANK(商品マスタ[[#This Row],[実績
国内送料]]),商品マスタ[[#This Row],[標準国内送料]],)</f>
        <v>0</v>
      </c>
      <c r="T335" s="134">
        <f>商品マスタ[[#This Row],[仕入
単価]]+商品マスタ[[#This Row],[国内送料]]</f>
        <v>385</v>
      </c>
      <c r="U335" s="134">
        <f>ROUNDUP(商品マスタ[[#This Row],[仕入単価+国内送料]]/0.8,-1)</f>
        <v>490</v>
      </c>
      <c r="V335" s="134">
        <f>商品マスタ[[#This Row],[海外定価
（20％）]]-商品マスタ[[#This Row],[仕入単価+国内送料]]</f>
        <v>105</v>
      </c>
      <c r="W335" s="87">
        <f>ROUNDUP(商品マスタ[[#This Row],[仕入単価+国内送料]]/0.85,-1)</f>
        <v>460</v>
      </c>
      <c r="X335" s="134">
        <f>商品マスタ[[#This Row],[国内定価
（15％）]]-商品マスタ[[#This Row],[仕入単価+国内送料]]</f>
        <v>75</v>
      </c>
      <c r="Y335" s="139">
        <v>0.08</v>
      </c>
      <c r="Z335" s="87" t="s">
        <v>1015</v>
      </c>
      <c r="AA335" s="87" t="s">
        <v>960</v>
      </c>
      <c r="AB335" s="87"/>
      <c r="AC335" s="140"/>
      <c r="AD335" s="87"/>
      <c r="AE335" s="87"/>
      <c r="AF335" s="87"/>
      <c r="AG335" s="141"/>
    </row>
    <row r="336" spans="1:33" ht="18">
      <c r="A336" s="166" t="s">
        <v>1517</v>
      </c>
      <c r="B336" s="167" t="s">
        <v>1252</v>
      </c>
      <c r="C336" s="167" t="s">
        <v>1002</v>
      </c>
      <c r="D336" s="143" t="str">
        <f>"PRD_SNJ_"&amp;
_xlfn.XLOOKUP(商品マスタ[[#This Row],[仕入先]],テーブル1[仕入先名],テーブル1[仕入先コード],"XXX",0,1)&amp;
"_"&amp;
商品マスタ[[#This Row],[シリアル]]&amp;
"_"&amp;
TEXT(COUNTIFS(商品マスタ!$C$3:C336,商品マスタ[[#This Row],[仕入先]],商品マスタ!$E$3:E336,商品マスタ[[#This Row],[商品名]]), "00")</f>
        <v>PRD_SNJ_YAS_0004_01</v>
      </c>
      <c r="E336" s="87" t="s">
        <v>1007</v>
      </c>
      <c r="F336" s="87">
        <f>IF(COUNTIFS($C$3:C336,商品マスタ[[#This Row],[仕入先]],$E$3:E336,商品マスタ[[#This Row],[商品名]]) = 1, 1,0)</f>
        <v>1</v>
      </c>
      <c r="G336" s="133" t="str">
        <f>TEXT(SUMIF($C$3:C336,商品マスタ[[#This Row],[仕入先]],$F$3:F336), "0000")</f>
        <v>0004</v>
      </c>
      <c r="H336" s="87" t="s">
        <v>1008</v>
      </c>
      <c r="I336" s="87" t="s">
        <v>1011</v>
      </c>
      <c r="J336" s="87">
        <v>72</v>
      </c>
      <c r="K336" s="87" t="s">
        <v>1013</v>
      </c>
      <c r="L336" s="134">
        <v>840</v>
      </c>
      <c r="M336" s="157">
        <v>45992</v>
      </c>
      <c r="N336" s="134"/>
      <c r="O336" s="135" t="str">
        <f>IF(COUNT(商品マスタ[[#This Row],[参考上代
（税込)]]) &gt; 0, (商品マスタ[[#This Row],[参考上代
（税込)]]-商品マスタ[[#This Row],[国内定価
（15％）]])/(商品マスタ[[#This Row],[参考上代
（税込)]]/1.08), "")</f>
        <v/>
      </c>
      <c r="P336" s="136">
        <v>0.1</v>
      </c>
      <c r="Q336" s="134">
        <f>商品マスタ[[#This Row],[仕入
単価]]*商品マスタ[[#This Row],[標準国内送料率]]</f>
        <v>84</v>
      </c>
      <c r="R336" s="134">
        <v>0</v>
      </c>
      <c r="S336" s="134">
        <f>IF(ISBLANK(商品マスタ[[#This Row],[実績
国内送料]]),商品マスタ[[#This Row],[標準国内送料]],)</f>
        <v>0</v>
      </c>
      <c r="T336" s="134">
        <f>商品マスタ[[#This Row],[仕入
単価]]+商品マスタ[[#This Row],[国内送料]]</f>
        <v>840</v>
      </c>
      <c r="U336" s="134">
        <f>ROUNDUP(商品マスタ[[#This Row],[仕入単価+国内送料]]/0.8,-1)</f>
        <v>1050</v>
      </c>
      <c r="V336" s="134">
        <f>商品マスタ[[#This Row],[海外定価
（20％）]]-商品マスタ[[#This Row],[仕入単価+国内送料]]</f>
        <v>210</v>
      </c>
      <c r="W336" s="87">
        <f>ROUNDUP(商品マスタ[[#This Row],[仕入単価+国内送料]]/0.85,-1)</f>
        <v>990</v>
      </c>
      <c r="X336" s="134">
        <f>商品マスタ[[#This Row],[国内定価
（15％）]]-商品マスタ[[#This Row],[仕入単価+国内送料]]</f>
        <v>150</v>
      </c>
      <c r="Y336" s="139">
        <v>0.08</v>
      </c>
      <c r="Z336" s="87" t="s">
        <v>1015</v>
      </c>
      <c r="AA336" s="87" t="s">
        <v>960</v>
      </c>
      <c r="AB336" s="87"/>
      <c r="AC336" s="140"/>
      <c r="AD336" s="87"/>
      <c r="AE336" s="87"/>
      <c r="AF336" s="87"/>
      <c r="AG336" s="141"/>
    </row>
    <row r="337" spans="1:33" ht="18">
      <c r="A337" s="166" t="s">
        <v>1517</v>
      </c>
      <c r="B337" s="167" t="s">
        <v>1252</v>
      </c>
      <c r="C337" s="167" t="s">
        <v>1257</v>
      </c>
      <c r="D337" s="143" t="str">
        <f>"PRD_SNJ_"&amp;
_xlfn.XLOOKUP(商品マスタ[[#This Row],[仕入先]],テーブル1[仕入先名],テーブル1[仕入先コード],"XXX",0,1)&amp;
"_"&amp;
商品マスタ[[#This Row],[シリアル]]&amp;
"_"&amp;
TEXT(COUNTIFS(商品マスタ!$C$3:C337,商品マスタ[[#This Row],[仕入先]],商品マスタ!$E$3:E337,商品マスタ[[#This Row],[商品名]]), "00")</f>
        <v>PRD_SNJ_YAS_0005_01</v>
      </c>
      <c r="E337" s="87" t="s">
        <v>1353</v>
      </c>
      <c r="F337" s="87">
        <f>IF(COUNTIFS($C$3:C337,商品マスタ[[#This Row],[仕入先]],$E$3:E337,商品マスタ[[#This Row],[商品名]]) = 1, 1,0)</f>
        <v>1</v>
      </c>
      <c r="G337" s="133" t="str">
        <f>TEXT(SUMIF($C$3:C337,商品マスタ[[#This Row],[仕入先]],$F$3:F337), "0000")</f>
        <v>0005</v>
      </c>
      <c r="H337" s="87" t="s">
        <v>804</v>
      </c>
      <c r="I337" s="87" t="s">
        <v>1440</v>
      </c>
      <c r="J337" s="87" t="s">
        <v>1475</v>
      </c>
      <c r="K337" s="87"/>
      <c r="L337" s="134">
        <v>1239</v>
      </c>
      <c r="M337" s="157"/>
      <c r="N337" s="134"/>
      <c r="O337" s="135" t="str">
        <f>IF(COUNT(商品マスタ[[#This Row],[参考上代
（税込)]]) &gt; 0, (商品マスタ[[#This Row],[参考上代
（税込)]]-商品マスタ[[#This Row],[国内定価
（15％）]])/(商品マスタ[[#This Row],[参考上代
（税込)]]/1.08), "")</f>
        <v/>
      </c>
      <c r="P337" s="136">
        <v>0.1</v>
      </c>
      <c r="Q337" s="134">
        <f>商品マスタ[[#This Row],[仕入
単価]]*商品マスタ[[#This Row],[標準国内送料率]]</f>
        <v>123.9</v>
      </c>
      <c r="R337" s="134">
        <v>0</v>
      </c>
      <c r="S337" s="134">
        <f>IF(ISBLANK(商品マスタ[[#This Row],[実績
国内送料]]),商品マスタ[[#This Row],[標準国内送料]],)</f>
        <v>0</v>
      </c>
      <c r="T337" s="134">
        <f>商品マスタ[[#This Row],[仕入
単価]]+商品マスタ[[#This Row],[国内送料]]</f>
        <v>1239</v>
      </c>
      <c r="U337" s="134">
        <f>ROUNDUP(商品マスタ[[#This Row],[仕入単価+国内送料]]/0.8,-1)</f>
        <v>1550</v>
      </c>
      <c r="V337" s="134">
        <f>商品マスタ[[#This Row],[海外定価
（20％）]]-商品マスタ[[#This Row],[仕入単価+国内送料]]</f>
        <v>311</v>
      </c>
      <c r="W337" s="87">
        <f>ROUNDUP(商品マスタ[[#This Row],[仕入単価+国内送料]]/0.85,-1)</f>
        <v>1460</v>
      </c>
      <c r="X337" s="134">
        <f>商品マスタ[[#This Row],[国内定価
（15％）]]-商品マスタ[[#This Row],[仕入単価+国内送料]]</f>
        <v>221</v>
      </c>
      <c r="Y337" s="139">
        <v>0.08</v>
      </c>
      <c r="Z337" s="87"/>
      <c r="AA337" s="87"/>
      <c r="AB337" s="87"/>
      <c r="AC337" s="140"/>
      <c r="AD337" s="87"/>
      <c r="AE337" s="87"/>
      <c r="AF337" s="87"/>
      <c r="AG337" s="141"/>
    </row>
    <row r="338" spans="1:33" ht="18">
      <c r="A338" s="166" t="s">
        <v>1517</v>
      </c>
      <c r="B338" s="167" t="s">
        <v>1252</v>
      </c>
      <c r="C338" s="167" t="s">
        <v>1257</v>
      </c>
      <c r="D338" s="143" t="str">
        <f>"PRD_SNJ_"&amp;
_xlfn.XLOOKUP(商品マスタ[[#This Row],[仕入先]],テーブル1[仕入先名],テーブル1[仕入先コード],"XXX",0,1)&amp;
"_"&amp;
商品マスタ[[#This Row],[シリアル]]&amp;
"_"&amp;
TEXT(COUNTIFS(商品マスタ!$C$3:C338,商品マスタ[[#This Row],[仕入先]],商品マスタ!$E$3:E338,商品マスタ[[#This Row],[商品名]]), "00")</f>
        <v>PRD_SNJ_YAS_0006_01</v>
      </c>
      <c r="E338" s="87" t="s">
        <v>1896</v>
      </c>
      <c r="F338" s="87">
        <f>IF(COUNTIFS($C$3:C338,商品マスタ[[#This Row],[仕入先]],$E$3:E338,商品マスタ[[#This Row],[商品名]]) = 1, 1,0)</f>
        <v>1</v>
      </c>
      <c r="G338" s="133" t="str">
        <f>TEXT(SUMIF($C$3:C338,商品マスタ[[#This Row],[仕入先]],$F$3:F338), "0000")</f>
        <v>0006</v>
      </c>
      <c r="H338" s="87" t="s">
        <v>1009</v>
      </c>
      <c r="I338" s="87" t="s">
        <v>1897</v>
      </c>
      <c r="J338" s="87" t="s">
        <v>1898</v>
      </c>
      <c r="K338" s="87"/>
      <c r="L338" s="134">
        <v>2030</v>
      </c>
      <c r="M338" s="157"/>
      <c r="N338" s="134"/>
      <c r="O338" s="135" t="str">
        <f>IF(COUNT(商品マスタ[[#This Row],[参考上代
（税込)]]) &gt; 0, (商品マスタ[[#This Row],[参考上代
（税込)]]-商品マスタ[[#This Row],[国内定価
（15％）]])/(商品マスタ[[#This Row],[参考上代
（税込)]]/1.08), "")</f>
        <v/>
      </c>
      <c r="P338" s="136">
        <v>0.1</v>
      </c>
      <c r="Q338" s="134">
        <f>商品マスタ[[#This Row],[仕入
単価]]*商品マスタ[[#This Row],[標準国内送料率]]</f>
        <v>203</v>
      </c>
      <c r="R338" s="134">
        <v>0</v>
      </c>
      <c r="S338" s="134">
        <f>IF(ISBLANK(商品マスタ[[#This Row],[実績
国内送料]]),商品マスタ[[#This Row],[標準国内送料]],)</f>
        <v>0</v>
      </c>
      <c r="T338" s="134">
        <f>商品マスタ[[#This Row],[仕入
単価]]+商品マスタ[[#This Row],[国内送料]]</f>
        <v>2030</v>
      </c>
      <c r="U338" s="134">
        <f>ROUNDUP(商品マスタ[[#This Row],[仕入単価+国内送料]]/0.8,-1)</f>
        <v>2540</v>
      </c>
      <c r="V338" s="134">
        <f>商品マスタ[[#This Row],[海外定価
（20％）]]-商品マスタ[[#This Row],[仕入単価+国内送料]]</f>
        <v>510</v>
      </c>
      <c r="W338" s="87">
        <f>ROUNDUP(商品マスタ[[#This Row],[仕入単価+国内送料]]/0.85,-1)</f>
        <v>2390</v>
      </c>
      <c r="X338" s="134">
        <f>商品マスタ[[#This Row],[国内定価
（15％）]]-商品マスタ[[#This Row],[仕入単価+国内送料]]</f>
        <v>360</v>
      </c>
      <c r="Y338" s="139">
        <v>0.08</v>
      </c>
      <c r="Z338" s="87"/>
      <c r="AA338" s="87"/>
      <c r="AB338" s="87"/>
      <c r="AC338" s="140"/>
      <c r="AD338" s="87"/>
      <c r="AE338" s="87"/>
      <c r="AF338" s="87"/>
      <c r="AG338" s="141"/>
    </row>
    <row r="339" spans="1:33" ht="18">
      <c r="A339" s="166" t="s">
        <v>1519</v>
      </c>
      <c r="B339" s="167" t="s">
        <v>1236</v>
      </c>
      <c r="C339" s="167" t="s">
        <v>1019</v>
      </c>
      <c r="D339" s="143" t="str">
        <f>"PRD_SNJ_"&amp;
_xlfn.XLOOKUP(商品マスタ[[#This Row],[仕入先]],テーブル1[仕入先名],テーブル1[仕入先コード],"XXX",0,1)&amp;
"_"&amp;
商品マスタ[[#This Row],[シリアル]]&amp;
"_"&amp;
TEXT(COUNTIFS(商品マスタ!$C$3:C339,商品マスタ[[#This Row],[仕入先]],商品マスタ!$E$3:E339,商品マスタ[[#This Row],[商品名]]), "00")</f>
        <v>PRD_SNJ_FJK_0001_01</v>
      </c>
      <c r="E339" s="87" t="s">
        <v>1030</v>
      </c>
      <c r="F339" s="87">
        <f>IF(COUNTIFS($C$3:C339,商品マスタ[[#This Row],[仕入先]],$E$3:E339,商品マスタ[[#This Row],[商品名]]) = 1, 1,0)</f>
        <v>1</v>
      </c>
      <c r="G339" s="133" t="str">
        <f>TEXT(SUMIF($C$3:C339,商品マスタ[[#This Row],[仕入先]],$F$3:F339), "0000")</f>
        <v>0001</v>
      </c>
      <c r="H339" s="87" t="s">
        <v>1023</v>
      </c>
      <c r="I339" s="87" t="s">
        <v>1024</v>
      </c>
      <c r="J339" s="87">
        <v>1</v>
      </c>
      <c r="K339" s="87" t="s">
        <v>1025</v>
      </c>
      <c r="L339" s="134">
        <v>3000</v>
      </c>
      <c r="M339" s="157">
        <v>46002</v>
      </c>
      <c r="N339" s="134"/>
      <c r="O339" s="135" t="str">
        <f>IF(COUNT(商品マスタ[[#This Row],[参考上代
（税込)]]) &gt; 0, (商品マスタ[[#This Row],[参考上代
（税込)]]-商品マスタ[[#This Row],[国内定価
（15％）]])/(商品マスタ[[#This Row],[参考上代
（税込)]]/1.08), "")</f>
        <v/>
      </c>
      <c r="P339" s="136">
        <v>0.1</v>
      </c>
      <c r="Q339" s="134">
        <f>商品マスタ[[#This Row],[仕入
単価]]*商品マスタ[[#This Row],[標準国内送料率]]</f>
        <v>300</v>
      </c>
      <c r="R339" s="134">
        <v>0</v>
      </c>
      <c r="S339" s="134">
        <f>IF(ISBLANK(商品マスタ[[#This Row],[実績
国内送料]]),商品マスタ[[#This Row],[標準国内送料]],)</f>
        <v>0</v>
      </c>
      <c r="T339" s="134">
        <f>商品マスタ[[#This Row],[仕入
単価]]+商品マスタ[[#This Row],[国内送料]]</f>
        <v>3000</v>
      </c>
      <c r="U339" s="134">
        <f>ROUNDUP(商品マスタ[[#This Row],[仕入単価+国内送料]]/0.8,-1)</f>
        <v>3750</v>
      </c>
      <c r="V339" s="134">
        <f>商品マスタ[[#This Row],[海外定価
（20％）]]-商品マスタ[[#This Row],[仕入単価+国内送料]]</f>
        <v>750</v>
      </c>
      <c r="W339" s="87">
        <f>ROUNDUP(商品マスタ[[#This Row],[仕入単価+国内送料]]/0.85,-1)</f>
        <v>3530</v>
      </c>
      <c r="X339" s="134">
        <f>商品マスタ[[#This Row],[国内定価
（15％）]]-商品マスタ[[#This Row],[仕入単価+国内送料]]</f>
        <v>530</v>
      </c>
      <c r="Y339" s="139">
        <v>0.08</v>
      </c>
      <c r="Z339" s="87" t="s">
        <v>1026</v>
      </c>
      <c r="AA339" s="87" t="s">
        <v>171</v>
      </c>
      <c r="AB339" s="87"/>
      <c r="AC339" s="140"/>
      <c r="AD339" s="87"/>
      <c r="AE339" s="87"/>
      <c r="AF339" s="87"/>
      <c r="AG339" s="141"/>
    </row>
    <row r="340" spans="1:33" ht="18">
      <c r="A340" s="166" t="s">
        <v>1517</v>
      </c>
      <c r="B340" s="167" t="s">
        <v>1250</v>
      </c>
      <c r="C340" s="167" t="s">
        <v>1021</v>
      </c>
      <c r="D340" s="143" t="str">
        <f>"PRD_SNJ_"&amp;
_xlfn.XLOOKUP(商品マスタ[[#This Row],[仕入先]],テーブル1[仕入先名],テーブル1[仕入先コード],"XXX",0,1)&amp;
"_"&amp;
商品マスタ[[#This Row],[シリアル]]&amp;
"_"&amp;
TEXT(COUNTIFS(商品マスタ!$C$3:C340,商品マスタ[[#This Row],[仕入先]],商品マスタ!$E$3:E340,商品マスタ[[#This Row],[商品名]]), "00")</f>
        <v>PRD_SNJ_JKS_0001_01</v>
      </c>
      <c r="E340" s="87" t="s">
        <v>1027</v>
      </c>
      <c r="F340" s="87">
        <f>IF(COUNTIFS($C$3:C340,商品マスタ[[#This Row],[仕入先]],$E$3:E340,商品マスタ[[#This Row],[商品名]]) = 1, 1,0)</f>
        <v>1</v>
      </c>
      <c r="G340" s="133" t="str">
        <f>TEXT(SUMIF($C$3:C340,商品マスタ[[#This Row],[仕入先]],$F$3:F340), "0000")</f>
        <v>0001</v>
      </c>
      <c r="H340" s="87" t="s">
        <v>1029</v>
      </c>
      <c r="I340" s="87"/>
      <c r="J340" s="87">
        <v>1</v>
      </c>
      <c r="K340" s="87"/>
      <c r="L340" s="134">
        <v>375</v>
      </c>
      <c r="M340" s="157">
        <v>46002</v>
      </c>
      <c r="N340" s="134"/>
      <c r="O340" s="135" t="str">
        <f>IF(COUNT(商品マスタ[[#This Row],[参考上代
（税込)]]) &gt; 0, (商品マスタ[[#This Row],[参考上代
（税込)]]-商品マスタ[[#This Row],[国内定価
（15％）]])/(商品マスタ[[#This Row],[参考上代
（税込)]]/1.08), "")</f>
        <v/>
      </c>
      <c r="P340" s="136">
        <v>0.1</v>
      </c>
      <c r="Q340" s="134">
        <f>商品マスタ[[#This Row],[仕入
単価]]*商品マスタ[[#This Row],[標準国内送料率]]</f>
        <v>37.5</v>
      </c>
      <c r="R340" s="134">
        <v>0</v>
      </c>
      <c r="S340" s="134">
        <f>IF(ISBLANK(商品マスタ[[#This Row],[実績
国内送料]]),商品マスタ[[#This Row],[標準国内送料]],)</f>
        <v>0</v>
      </c>
      <c r="T340" s="134">
        <f>商品マスタ[[#This Row],[仕入
単価]]+商品マスタ[[#This Row],[国内送料]]</f>
        <v>375</v>
      </c>
      <c r="U340" s="134">
        <f>ROUNDUP(商品マスタ[[#This Row],[仕入単価+国内送料]]/0.8,-1)</f>
        <v>470</v>
      </c>
      <c r="V340" s="134">
        <f>商品マスタ[[#This Row],[海外定価
（20％）]]-商品マスタ[[#This Row],[仕入単価+国内送料]]</f>
        <v>95</v>
      </c>
      <c r="W340" s="87">
        <f>ROUNDUP(商品マスタ[[#This Row],[仕入単価+国内送料]]/0.85,-1)</f>
        <v>450</v>
      </c>
      <c r="X340" s="134">
        <f>商品マスタ[[#This Row],[国内定価
（15％）]]-商品マスタ[[#This Row],[仕入単価+国内送料]]</f>
        <v>75</v>
      </c>
      <c r="Y340" s="139">
        <v>0.1</v>
      </c>
      <c r="Z340" s="87"/>
      <c r="AA340" s="87"/>
      <c r="AB340" s="87"/>
      <c r="AC340" s="140"/>
      <c r="AD340" s="87"/>
      <c r="AE340" s="87"/>
      <c r="AF340" s="87"/>
      <c r="AG340" s="141"/>
    </row>
    <row r="341" spans="1:33" ht="18">
      <c r="A341" s="166" t="s">
        <v>1517</v>
      </c>
      <c r="B341" s="167" t="s">
        <v>1250</v>
      </c>
      <c r="C341" s="167" t="s">
        <v>1021</v>
      </c>
      <c r="D341" s="143" t="str">
        <f>"PRD_SNJ_"&amp;
_xlfn.XLOOKUP(商品マスタ[[#This Row],[仕入先]],テーブル1[仕入先名],テーブル1[仕入先コード],"XXX",0,1)&amp;
"_"&amp;
商品マスタ[[#This Row],[シリアル]]&amp;
"_"&amp;
TEXT(COUNTIFS(商品マスタ!$C$3:C341,商品マスタ[[#This Row],[仕入先]],商品マスタ!$E$3:E341,商品マスタ[[#This Row],[商品名]]), "00")</f>
        <v>PRD_SNJ_JKS_0002_01</v>
      </c>
      <c r="E341" s="87" t="s">
        <v>1028</v>
      </c>
      <c r="F341" s="87">
        <f>IF(COUNTIFS($C$3:C341,商品マスタ[[#This Row],[仕入先]],$E$3:E341,商品マスタ[[#This Row],[商品名]]) = 1, 1,0)</f>
        <v>1</v>
      </c>
      <c r="G341" s="133" t="str">
        <f>TEXT(SUMIF($C$3:C341,商品マスタ[[#This Row],[仕入先]],$F$3:F341), "0000")</f>
        <v>0002</v>
      </c>
      <c r="H341" s="87" t="s">
        <v>1029</v>
      </c>
      <c r="I341" s="87"/>
      <c r="J341" s="87">
        <v>1</v>
      </c>
      <c r="K341" s="87"/>
      <c r="L341" s="134">
        <v>750</v>
      </c>
      <c r="M341" s="157">
        <v>46002</v>
      </c>
      <c r="N341" s="134"/>
      <c r="O341" s="135" t="str">
        <f>IF(COUNT(商品マスタ[[#This Row],[参考上代
（税込)]]) &gt; 0, (商品マスタ[[#This Row],[参考上代
（税込)]]-商品マスタ[[#This Row],[国内定価
（15％）]])/(商品マスタ[[#This Row],[参考上代
（税込)]]/1.08), "")</f>
        <v/>
      </c>
      <c r="P341" s="136">
        <v>0.1</v>
      </c>
      <c r="Q341" s="134">
        <f>商品マスタ[[#This Row],[仕入
単価]]*商品マスタ[[#This Row],[標準国内送料率]]</f>
        <v>75</v>
      </c>
      <c r="R341" s="134">
        <v>0</v>
      </c>
      <c r="S341" s="134">
        <f>IF(ISBLANK(商品マスタ[[#This Row],[実績
国内送料]]),商品マスタ[[#This Row],[標準国内送料]],)</f>
        <v>0</v>
      </c>
      <c r="T341" s="134">
        <f>商品マスタ[[#This Row],[仕入
単価]]+商品マスタ[[#This Row],[国内送料]]</f>
        <v>750</v>
      </c>
      <c r="U341" s="134">
        <f>ROUNDUP(商品マスタ[[#This Row],[仕入単価+国内送料]]/0.8,-1)</f>
        <v>940</v>
      </c>
      <c r="V341" s="134">
        <f>商品マスタ[[#This Row],[海外定価
（20％）]]-商品マスタ[[#This Row],[仕入単価+国内送料]]</f>
        <v>190</v>
      </c>
      <c r="W341" s="87">
        <f>ROUNDUP(商品マスタ[[#This Row],[仕入単価+国内送料]]/0.85,-1)</f>
        <v>890</v>
      </c>
      <c r="X341" s="134">
        <f>商品マスタ[[#This Row],[国内定価
（15％）]]-商品マスタ[[#This Row],[仕入単価+国内送料]]</f>
        <v>140</v>
      </c>
      <c r="Y341" s="139">
        <v>0.1</v>
      </c>
      <c r="Z341" s="87"/>
      <c r="AA341" s="87"/>
      <c r="AB341" s="87"/>
      <c r="AC341" s="140"/>
      <c r="AD341" s="87"/>
      <c r="AE341" s="87"/>
      <c r="AF341" s="87"/>
      <c r="AG341" s="141"/>
    </row>
    <row r="342" spans="1:33" ht="18">
      <c r="A342" s="166" t="s">
        <v>1525</v>
      </c>
      <c r="B342" s="167" t="s">
        <v>1240</v>
      </c>
      <c r="C342" s="167" t="s">
        <v>1032</v>
      </c>
      <c r="D342" s="143" t="str">
        <f>"PRD_SNJ_"&amp;
_xlfn.XLOOKUP(商品マスタ[[#This Row],[仕入先]],テーブル1[仕入先名],テーブル1[仕入先コード],"XXX",0,1)&amp;
"_"&amp;
商品マスタ[[#This Row],[シリアル]]&amp;
"_"&amp;
TEXT(COUNTIFS(商品マスタ!$C$3:C342,商品マスタ[[#This Row],[仕入先]],商品マスタ!$E$3:E342,商品マスタ[[#This Row],[商品名]]), "00")</f>
        <v>PRD_SNJ_DNB_0001_01</v>
      </c>
      <c r="E342" s="87" t="s">
        <v>1034</v>
      </c>
      <c r="F342" s="87">
        <f>IF(COUNTIFS($C$3:C342,商品マスタ[[#This Row],[仕入先]],$E$3:E342,商品マスタ[[#This Row],[商品名]]) = 1, 1,0)</f>
        <v>1</v>
      </c>
      <c r="G342" s="133" t="str">
        <f>TEXT(SUMIF($C$3:C342,商品マスタ[[#This Row],[仕入先]],$F$3:F342), "0000")</f>
        <v>0001</v>
      </c>
      <c r="H342" s="87" t="s">
        <v>1043</v>
      </c>
      <c r="I342" s="87"/>
      <c r="J342" s="87">
        <v>1</v>
      </c>
      <c r="K342" s="87"/>
      <c r="L342" s="134">
        <v>686000</v>
      </c>
      <c r="M342" s="157">
        <v>46010</v>
      </c>
      <c r="N342" s="134"/>
      <c r="O342" s="135" t="str">
        <f>IF(COUNT(商品マスタ[[#This Row],[参考上代
（税込)]]) &gt; 0, (商品マスタ[[#This Row],[参考上代
（税込)]]-商品マスタ[[#This Row],[国内定価
（15％）]])/(商品マスタ[[#This Row],[参考上代
（税込)]]/1.08), "")</f>
        <v/>
      </c>
      <c r="P342" s="136">
        <v>0.1</v>
      </c>
      <c r="Q342" s="134">
        <f>商品マスタ[[#This Row],[仕入
単価]]*商品マスタ[[#This Row],[標準国内送料率]]</f>
        <v>68600</v>
      </c>
      <c r="R342" s="134">
        <v>0</v>
      </c>
      <c r="S342" s="134">
        <f>IF(ISBLANK(商品マスタ[[#This Row],[実績
国内送料]]),商品マスタ[[#This Row],[標準国内送料]],)</f>
        <v>0</v>
      </c>
      <c r="T342" s="134">
        <f>商品マスタ[[#This Row],[仕入
単価]]+商品マスタ[[#This Row],[国内送料]]</f>
        <v>686000</v>
      </c>
      <c r="U342" s="134">
        <f>ROUNDUP(商品マスタ[[#This Row],[仕入単価+国内送料]]/0.8,-1)</f>
        <v>857500</v>
      </c>
      <c r="V342" s="134">
        <f>商品マスタ[[#This Row],[海外定価
（20％）]]-商品マスタ[[#This Row],[仕入単価+国内送料]]</f>
        <v>171500</v>
      </c>
      <c r="W342" s="87">
        <f>ROUNDUP(商品マスタ[[#This Row],[仕入単価+国内送料]]/0.85,-1)</f>
        <v>807060</v>
      </c>
      <c r="X342" s="134">
        <f>商品マスタ[[#This Row],[国内定価
（15％）]]-商品マスタ[[#This Row],[仕入単価+国内送料]]</f>
        <v>121060</v>
      </c>
      <c r="Y342" s="139">
        <v>0.1</v>
      </c>
      <c r="Z342" s="87" t="s">
        <v>1044</v>
      </c>
      <c r="AA342" s="87" t="s">
        <v>1044</v>
      </c>
      <c r="AB342" s="87"/>
      <c r="AC342" s="140"/>
      <c r="AD342" s="87"/>
      <c r="AE342" s="87"/>
      <c r="AF342" s="87"/>
      <c r="AG342" s="141"/>
    </row>
    <row r="343" spans="1:33" ht="18">
      <c r="A343" s="166" t="s">
        <v>1525</v>
      </c>
      <c r="B343" s="167" t="s">
        <v>1240</v>
      </c>
      <c r="C343" s="167" t="s">
        <v>1032</v>
      </c>
      <c r="D343" s="143" t="str">
        <f>"PRD_SNJ_"&amp;
_xlfn.XLOOKUP(商品マスタ[[#This Row],[仕入先]],テーブル1[仕入先名],テーブル1[仕入先コード],"XXX",0,1)&amp;
"_"&amp;
商品マスタ[[#This Row],[シリアル]]&amp;
"_"&amp;
TEXT(COUNTIFS(商品マスタ!$C$3:C343,商品マスタ[[#This Row],[仕入先]],商品マスタ!$E$3:E343,商品マスタ[[#This Row],[商品名]]), "00")</f>
        <v>PRD_SNJ_DNB_0002_01</v>
      </c>
      <c r="E343" s="87" t="s">
        <v>1035</v>
      </c>
      <c r="F343" s="87">
        <f>IF(COUNTIFS($C$3:C343,商品マスタ[[#This Row],[仕入先]],$E$3:E343,商品マスタ[[#This Row],[商品名]]) = 1, 1,0)</f>
        <v>1</v>
      </c>
      <c r="G343" s="133" t="str">
        <f>TEXT(SUMIF($C$3:C343,商品マスタ[[#This Row],[仕入先]],$F$3:F343), "0000")</f>
        <v>0002</v>
      </c>
      <c r="H343" s="87" t="s">
        <v>1043</v>
      </c>
      <c r="I343" s="87"/>
      <c r="J343" s="87">
        <v>1</v>
      </c>
      <c r="K343" s="87"/>
      <c r="L343" s="134">
        <v>476000</v>
      </c>
      <c r="M343" s="157">
        <v>46010</v>
      </c>
      <c r="N343" s="134"/>
      <c r="O343" s="135" t="str">
        <f>IF(COUNT(商品マスタ[[#This Row],[参考上代
（税込)]]) &gt; 0, (商品マスタ[[#This Row],[参考上代
（税込)]]-商品マスタ[[#This Row],[国内定価
（15％）]])/(商品マスタ[[#This Row],[参考上代
（税込)]]/1.08), "")</f>
        <v/>
      </c>
      <c r="P343" s="136">
        <v>0.1</v>
      </c>
      <c r="Q343" s="134">
        <f>商品マスタ[[#This Row],[仕入
単価]]*商品マスタ[[#This Row],[標準国内送料率]]</f>
        <v>47600</v>
      </c>
      <c r="R343" s="134">
        <v>0</v>
      </c>
      <c r="S343" s="134">
        <f>IF(ISBLANK(商品マスタ[[#This Row],[実績
国内送料]]),商品マスタ[[#This Row],[標準国内送料]],)</f>
        <v>0</v>
      </c>
      <c r="T343" s="134">
        <f>商品マスタ[[#This Row],[仕入
単価]]+商品マスタ[[#This Row],[国内送料]]</f>
        <v>476000</v>
      </c>
      <c r="U343" s="134">
        <f>ROUNDUP(商品マスタ[[#This Row],[仕入単価+国内送料]]/0.8,-1)</f>
        <v>595000</v>
      </c>
      <c r="V343" s="134">
        <f>商品マスタ[[#This Row],[海外定価
（20％）]]-商品マスタ[[#This Row],[仕入単価+国内送料]]</f>
        <v>119000</v>
      </c>
      <c r="W343" s="87">
        <f>ROUNDUP(商品マスタ[[#This Row],[仕入単価+国内送料]]/0.85,-1)</f>
        <v>560000</v>
      </c>
      <c r="X343" s="134">
        <f>商品マスタ[[#This Row],[国内定価
（15％）]]-商品マスタ[[#This Row],[仕入単価+国内送料]]</f>
        <v>84000</v>
      </c>
      <c r="Y343" s="139">
        <v>0.1</v>
      </c>
      <c r="Z343" s="87"/>
      <c r="AA343" s="87"/>
      <c r="AB343" s="87"/>
      <c r="AC343" s="140"/>
      <c r="AD343" s="87"/>
      <c r="AE343" s="87"/>
      <c r="AF343" s="87"/>
      <c r="AG343" s="141"/>
    </row>
    <row r="344" spans="1:33" ht="18">
      <c r="A344" s="166" t="s">
        <v>1525</v>
      </c>
      <c r="B344" s="167" t="s">
        <v>1240</v>
      </c>
      <c r="C344" s="167" t="s">
        <v>1032</v>
      </c>
      <c r="D344" s="143" t="str">
        <f>"PRD_SNJ_"&amp;
_xlfn.XLOOKUP(商品マスタ[[#This Row],[仕入先]],テーブル1[仕入先名],テーブル1[仕入先コード],"XXX",0,1)&amp;
"_"&amp;
商品マスタ[[#This Row],[シリアル]]&amp;
"_"&amp;
TEXT(COUNTIFS(商品マスタ!$C$3:C344,商品マスタ[[#This Row],[仕入先]],商品マスタ!$E$3:E344,商品マスタ[[#This Row],[商品名]]), "00")</f>
        <v>PRD_SNJ_DNB_0003_01</v>
      </c>
      <c r="E344" s="87" t="s">
        <v>1036</v>
      </c>
      <c r="F344" s="87">
        <f>IF(COUNTIFS($C$3:C344,商品マスタ[[#This Row],[仕入先]],$E$3:E344,商品マスタ[[#This Row],[商品名]]) = 1, 1,0)</f>
        <v>1</v>
      </c>
      <c r="G344" s="133" t="str">
        <f>TEXT(SUMIF($C$3:C344,商品マスタ[[#This Row],[仕入先]],$F$3:F344), "0000")</f>
        <v>0003</v>
      </c>
      <c r="H344" s="87" t="s">
        <v>1043</v>
      </c>
      <c r="I344" s="87"/>
      <c r="J344" s="87">
        <v>1</v>
      </c>
      <c r="K344" s="87"/>
      <c r="L344" s="134">
        <v>266000</v>
      </c>
      <c r="M344" s="157">
        <v>46010</v>
      </c>
      <c r="N344" s="134"/>
      <c r="O344" s="135" t="str">
        <f>IF(COUNT(商品マスタ[[#This Row],[参考上代
（税込)]]) &gt; 0, (商品マスタ[[#This Row],[参考上代
（税込)]]-商品マスタ[[#This Row],[国内定価
（15％）]])/(商品マスタ[[#This Row],[参考上代
（税込)]]/1.08), "")</f>
        <v/>
      </c>
      <c r="P344" s="136">
        <v>0.1</v>
      </c>
      <c r="Q344" s="134">
        <f>商品マスタ[[#This Row],[仕入
単価]]*商品マスタ[[#This Row],[標準国内送料率]]</f>
        <v>26600</v>
      </c>
      <c r="R344" s="134">
        <v>0</v>
      </c>
      <c r="S344" s="134">
        <f>IF(ISBLANK(商品マスタ[[#This Row],[実績
国内送料]]),商品マスタ[[#This Row],[標準国内送料]],)</f>
        <v>0</v>
      </c>
      <c r="T344" s="134">
        <f>商品マスタ[[#This Row],[仕入
単価]]+商品マスタ[[#This Row],[国内送料]]</f>
        <v>266000</v>
      </c>
      <c r="U344" s="134">
        <f>ROUNDUP(商品マスタ[[#This Row],[仕入単価+国内送料]]/0.8,-1)</f>
        <v>332500</v>
      </c>
      <c r="V344" s="134">
        <f>商品マスタ[[#This Row],[海外定価
（20％）]]-商品マスタ[[#This Row],[仕入単価+国内送料]]</f>
        <v>66500</v>
      </c>
      <c r="W344" s="87">
        <f>ROUNDUP(商品マスタ[[#This Row],[仕入単価+国内送料]]/0.85,-1)</f>
        <v>312950</v>
      </c>
      <c r="X344" s="134">
        <f>商品マスタ[[#This Row],[国内定価
（15％）]]-商品マスタ[[#This Row],[仕入単価+国内送料]]</f>
        <v>46950</v>
      </c>
      <c r="Y344" s="139">
        <v>0.1</v>
      </c>
      <c r="Z344" s="87"/>
      <c r="AA344" s="87"/>
      <c r="AB344" s="87"/>
      <c r="AC344" s="140"/>
      <c r="AD344" s="87"/>
      <c r="AE344" s="87"/>
      <c r="AF344" s="87"/>
      <c r="AG344" s="141"/>
    </row>
    <row r="345" spans="1:33" ht="18">
      <c r="A345" s="166" t="s">
        <v>1525</v>
      </c>
      <c r="B345" s="167" t="s">
        <v>1240</v>
      </c>
      <c r="C345" s="167" t="s">
        <v>1032</v>
      </c>
      <c r="D345" s="143" t="str">
        <f>"PRD_SNJ_"&amp;
_xlfn.XLOOKUP(商品マスタ[[#This Row],[仕入先]],テーブル1[仕入先名],テーブル1[仕入先コード],"XXX",0,1)&amp;
"_"&amp;
商品マスタ[[#This Row],[シリアル]]&amp;
"_"&amp;
TEXT(COUNTIFS(商品マスタ!$C$3:C345,商品マスタ[[#This Row],[仕入先]],商品マスタ!$E$3:E345,商品マスタ[[#This Row],[商品名]]), "00")</f>
        <v>PRD_SNJ_DNB_0004_01</v>
      </c>
      <c r="E345" s="87" t="s">
        <v>1037</v>
      </c>
      <c r="F345" s="87">
        <f>IF(COUNTIFS($C$3:C345,商品マスタ[[#This Row],[仕入先]],$E$3:E345,商品マスタ[[#This Row],[商品名]]) = 1, 1,0)</f>
        <v>1</v>
      </c>
      <c r="G345" s="133" t="str">
        <f>TEXT(SUMIF($C$3:C345,商品マスタ[[#This Row],[仕入先]],$F$3:F345), "0000")</f>
        <v>0004</v>
      </c>
      <c r="H345" s="87" t="s">
        <v>1043</v>
      </c>
      <c r="I345" s="87"/>
      <c r="J345" s="87">
        <v>1</v>
      </c>
      <c r="K345" s="87"/>
      <c r="L345" s="134">
        <v>686000</v>
      </c>
      <c r="M345" s="157">
        <v>46010</v>
      </c>
      <c r="N345" s="134"/>
      <c r="O345" s="135" t="str">
        <f>IF(COUNT(商品マスタ[[#This Row],[参考上代
（税込)]]) &gt; 0, (商品マスタ[[#This Row],[参考上代
（税込)]]-商品マスタ[[#This Row],[国内定価
（15％）]])/(商品マスタ[[#This Row],[参考上代
（税込)]]/1.08), "")</f>
        <v/>
      </c>
      <c r="P345" s="136">
        <v>0.1</v>
      </c>
      <c r="Q345" s="134">
        <f>商品マスタ[[#This Row],[仕入
単価]]*商品マスタ[[#This Row],[標準国内送料率]]</f>
        <v>68600</v>
      </c>
      <c r="R345" s="134">
        <v>0</v>
      </c>
      <c r="S345" s="134">
        <f>IF(ISBLANK(商品マスタ[[#This Row],[実績
国内送料]]),商品マスタ[[#This Row],[標準国内送料]],)</f>
        <v>0</v>
      </c>
      <c r="T345" s="134">
        <f>商品マスタ[[#This Row],[仕入
単価]]+商品マスタ[[#This Row],[国内送料]]</f>
        <v>686000</v>
      </c>
      <c r="U345" s="134">
        <f>ROUNDUP(商品マスタ[[#This Row],[仕入単価+国内送料]]/0.8,-1)</f>
        <v>857500</v>
      </c>
      <c r="V345" s="134">
        <f>商品マスタ[[#This Row],[海外定価
（20％）]]-商品マスタ[[#This Row],[仕入単価+国内送料]]</f>
        <v>171500</v>
      </c>
      <c r="W345" s="87">
        <f>ROUNDUP(商品マスタ[[#This Row],[仕入単価+国内送料]]/0.85,-1)</f>
        <v>807060</v>
      </c>
      <c r="X345" s="134">
        <f>商品マスタ[[#This Row],[国内定価
（15％）]]-商品マスタ[[#This Row],[仕入単価+国内送料]]</f>
        <v>121060</v>
      </c>
      <c r="Y345" s="139">
        <v>0.1</v>
      </c>
      <c r="Z345" s="87"/>
      <c r="AA345" s="87"/>
      <c r="AB345" s="87"/>
      <c r="AC345" s="140"/>
      <c r="AD345" s="87"/>
      <c r="AE345" s="87"/>
      <c r="AF345" s="87"/>
      <c r="AG345" s="141"/>
    </row>
    <row r="346" spans="1:33" ht="18">
      <c r="A346" s="166" t="s">
        <v>1525</v>
      </c>
      <c r="B346" s="167" t="s">
        <v>1240</v>
      </c>
      <c r="C346" s="167" t="s">
        <v>1032</v>
      </c>
      <c r="D346" s="143" t="str">
        <f>"PRD_SNJ_"&amp;
_xlfn.XLOOKUP(商品マスタ[[#This Row],[仕入先]],テーブル1[仕入先名],テーブル1[仕入先コード],"XXX",0,1)&amp;
"_"&amp;
商品マスタ[[#This Row],[シリアル]]&amp;
"_"&amp;
TEXT(COUNTIFS(商品マスタ!$C$3:C346,商品マスタ[[#This Row],[仕入先]],商品マスタ!$E$3:E346,商品マスタ[[#This Row],[商品名]]), "00")</f>
        <v>PRD_SNJ_DNB_0005_01</v>
      </c>
      <c r="E346" s="87" t="s">
        <v>1038</v>
      </c>
      <c r="F346" s="87">
        <f>IF(COUNTIFS($C$3:C346,商品マスタ[[#This Row],[仕入先]],$E$3:E346,商品マスタ[[#This Row],[商品名]]) = 1, 1,0)</f>
        <v>1</v>
      </c>
      <c r="G346" s="133" t="str">
        <f>TEXT(SUMIF($C$3:C346,商品マスタ[[#This Row],[仕入先]],$F$3:F346), "0000")</f>
        <v>0005</v>
      </c>
      <c r="H346" s="87" t="s">
        <v>1043</v>
      </c>
      <c r="I346" s="87"/>
      <c r="J346" s="87">
        <v>1</v>
      </c>
      <c r="K346" s="87"/>
      <c r="L346" s="134">
        <v>546000</v>
      </c>
      <c r="M346" s="157">
        <v>46010</v>
      </c>
      <c r="N346" s="134"/>
      <c r="O346" s="135" t="str">
        <f>IF(COUNT(商品マスタ[[#This Row],[参考上代
（税込)]]) &gt; 0, (商品マスタ[[#This Row],[参考上代
（税込)]]-商品マスタ[[#This Row],[国内定価
（15％）]])/(商品マスタ[[#This Row],[参考上代
（税込)]]/1.08), "")</f>
        <v/>
      </c>
      <c r="P346" s="136">
        <v>0.1</v>
      </c>
      <c r="Q346" s="134">
        <f>商品マスタ[[#This Row],[仕入
単価]]*商品マスタ[[#This Row],[標準国内送料率]]</f>
        <v>54600</v>
      </c>
      <c r="R346" s="134">
        <v>0</v>
      </c>
      <c r="S346" s="134">
        <f>IF(ISBLANK(商品マスタ[[#This Row],[実績
国内送料]]),商品マスタ[[#This Row],[標準国内送料]],)</f>
        <v>0</v>
      </c>
      <c r="T346" s="134">
        <f>商品マスタ[[#This Row],[仕入
単価]]+商品マスタ[[#This Row],[国内送料]]</f>
        <v>546000</v>
      </c>
      <c r="U346" s="134">
        <f>ROUNDUP(商品マスタ[[#This Row],[仕入単価+国内送料]]/0.8,-1)</f>
        <v>682500</v>
      </c>
      <c r="V346" s="134">
        <f>商品マスタ[[#This Row],[海外定価
（20％）]]-商品マスタ[[#This Row],[仕入単価+国内送料]]</f>
        <v>136500</v>
      </c>
      <c r="W346" s="87">
        <f>ROUNDUP(商品マスタ[[#This Row],[仕入単価+国内送料]]/0.85,-1)</f>
        <v>642360</v>
      </c>
      <c r="X346" s="134">
        <f>商品マスタ[[#This Row],[国内定価
（15％）]]-商品マスタ[[#This Row],[仕入単価+国内送料]]</f>
        <v>96360</v>
      </c>
      <c r="Y346" s="139">
        <v>0.1</v>
      </c>
      <c r="Z346" s="87"/>
      <c r="AA346" s="87"/>
      <c r="AB346" s="87"/>
      <c r="AC346" s="140"/>
      <c r="AD346" s="87"/>
      <c r="AE346" s="87"/>
      <c r="AF346" s="87"/>
      <c r="AG346" s="141"/>
    </row>
    <row r="347" spans="1:33" ht="18">
      <c r="A347" s="166" t="s">
        <v>1525</v>
      </c>
      <c r="B347" s="167" t="s">
        <v>1240</v>
      </c>
      <c r="C347" s="167" t="s">
        <v>1032</v>
      </c>
      <c r="D347" s="143" t="str">
        <f>"PRD_SNJ_"&amp;
_xlfn.XLOOKUP(商品マスタ[[#This Row],[仕入先]],テーブル1[仕入先名],テーブル1[仕入先コード],"XXX",0,1)&amp;
"_"&amp;
商品マスタ[[#This Row],[シリアル]]&amp;
"_"&amp;
TEXT(COUNTIFS(商品マスタ!$C$3:C347,商品マスタ[[#This Row],[仕入先]],商品マスタ!$E$3:E347,商品マスタ[[#This Row],[商品名]]), "00")</f>
        <v>PRD_SNJ_DNB_0006_01</v>
      </c>
      <c r="E347" s="87" t="s">
        <v>1039</v>
      </c>
      <c r="F347" s="87">
        <f>IF(COUNTIFS($C$3:C347,商品マスタ[[#This Row],[仕入先]],$E$3:E347,商品マスタ[[#This Row],[商品名]]) = 1, 1,0)</f>
        <v>1</v>
      </c>
      <c r="G347" s="133" t="str">
        <f>TEXT(SUMIF($C$3:C347,商品マスタ[[#This Row],[仕入先]],$F$3:F347), "0000")</f>
        <v>0006</v>
      </c>
      <c r="H347" s="87" t="s">
        <v>1043</v>
      </c>
      <c r="I347" s="87"/>
      <c r="J347" s="87">
        <v>1</v>
      </c>
      <c r="K347" s="87"/>
      <c r="L347" s="134">
        <v>245000</v>
      </c>
      <c r="M347" s="157">
        <v>46010</v>
      </c>
      <c r="N347" s="134"/>
      <c r="O347" s="135" t="str">
        <f>IF(COUNT(商品マスタ[[#This Row],[参考上代
（税込)]]) &gt; 0, (商品マスタ[[#This Row],[参考上代
（税込)]]-商品マスタ[[#This Row],[国内定価
（15％）]])/(商品マスタ[[#This Row],[参考上代
（税込)]]/1.08), "")</f>
        <v/>
      </c>
      <c r="P347" s="136">
        <v>0.1</v>
      </c>
      <c r="Q347" s="134">
        <f>商品マスタ[[#This Row],[仕入
単価]]*商品マスタ[[#This Row],[標準国内送料率]]</f>
        <v>24500</v>
      </c>
      <c r="R347" s="134">
        <v>0</v>
      </c>
      <c r="S347" s="134">
        <f>IF(ISBLANK(商品マスタ[[#This Row],[実績
国内送料]]),商品マスタ[[#This Row],[標準国内送料]],)</f>
        <v>0</v>
      </c>
      <c r="T347" s="134">
        <f>商品マスタ[[#This Row],[仕入
単価]]+商品マスタ[[#This Row],[国内送料]]</f>
        <v>245000</v>
      </c>
      <c r="U347" s="134">
        <f>ROUNDUP(商品マスタ[[#This Row],[仕入単価+国内送料]]/0.8,-1)</f>
        <v>306250</v>
      </c>
      <c r="V347" s="134">
        <f>商品マスタ[[#This Row],[海外定価
（20％）]]-商品マスタ[[#This Row],[仕入単価+国内送料]]</f>
        <v>61250</v>
      </c>
      <c r="W347" s="87">
        <f>ROUNDUP(商品マスタ[[#This Row],[仕入単価+国内送料]]/0.85,-1)</f>
        <v>288240</v>
      </c>
      <c r="X347" s="134">
        <f>商品マスタ[[#This Row],[国内定価
（15％）]]-商品マスタ[[#This Row],[仕入単価+国内送料]]</f>
        <v>43240</v>
      </c>
      <c r="Y347" s="139">
        <v>0.1</v>
      </c>
      <c r="Z347" s="87"/>
      <c r="AA347" s="87"/>
      <c r="AB347" s="87"/>
      <c r="AC347" s="140"/>
      <c r="AD347" s="87"/>
      <c r="AE347" s="87"/>
      <c r="AF347" s="87"/>
      <c r="AG347" s="141"/>
    </row>
    <row r="348" spans="1:33" ht="18">
      <c r="A348" s="166" t="s">
        <v>1525</v>
      </c>
      <c r="B348" s="167" t="s">
        <v>1240</v>
      </c>
      <c r="C348" s="167" t="s">
        <v>1032</v>
      </c>
      <c r="D348" s="143" t="str">
        <f>"PRD_SNJ_"&amp;
_xlfn.XLOOKUP(商品マスタ[[#This Row],[仕入先]],テーブル1[仕入先名],テーブル1[仕入先コード],"XXX",0,1)&amp;
"_"&amp;
商品マスタ[[#This Row],[シリアル]]&amp;
"_"&amp;
TEXT(COUNTIFS(商品マスタ!$C$3:C348,商品マスタ[[#This Row],[仕入先]],商品マスタ!$E$3:E348,商品マスタ[[#This Row],[商品名]]), "00")</f>
        <v>PRD_SNJ_DNB_0007_01</v>
      </c>
      <c r="E348" s="87" t="s">
        <v>1040</v>
      </c>
      <c r="F348" s="87">
        <f>IF(COUNTIFS($C$3:C348,商品マスタ[[#This Row],[仕入先]],$E$3:E348,商品マスタ[[#This Row],[商品名]]) = 1, 1,0)</f>
        <v>1</v>
      </c>
      <c r="G348" s="133" t="str">
        <f>TEXT(SUMIF($C$3:C348,商品マスタ[[#This Row],[仕入先]],$F$3:F348), "0000")</f>
        <v>0007</v>
      </c>
      <c r="H348" s="87" t="s">
        <v>1043</v>
      </c>
      <c r="I348" s="87"/>
      <c r="J348" s="87">
        <v>1</v>
      </c>
      <c r="K348" s="87"/>
      <c r="L348" s="134">
        <v>572727</v>
      </c>
      <c r="M348" s="157">
        <v>46010</v>
      </c>
      <c r="N348" s="134"/>
      <c r="O348" s="135" t="str">
        <f>IF(COUNT(商品マスタ[[#This Row],[参考上代
（税込)]]) &gt; 0, (商品マスタ[[#This Row],[参考上代
（税込)]]-商品マスタ[[#This Row],[国内定価
（15％）]])/(商品マスタ[[#This Row],[参考上代
（税込)]]/1.08), "")</f>
        <v/>
      </c>
      <c r="P348" s="136">
        <v>0.1</v>
      </c>
      <c r="Q348" s="134">
        <f>商品マスタ[[#This Row],[仕入
単価]]*商品マスタ[[#This Row],[標準国内送料率]]</f>
        <v>57272.700000000004</v>
      </c>
      <c r="R348" s="134">
        <v>0</v>
      </c>
      <c r="S348" s="134">
        <f>IF(ISBLANK(商品マスタ[[#This Row],[実績
国内送料]]),商品マスタ[[#This Row],[標準国内送料]],)</f>
        <v>0</v>
      </c>
      <c r="T348" s="134">
        <f>商品マスタ[[#This Row],[仕入
単価]]+商品マスタ[[#This Row],[国内送料]]</f>
        <v>572727</v>
      </c>
      <c r="U348" s="134">
        <f>ROUNDUP(商品マスタ[[#This Row],[仕入単価+国内送料]]/0.8,-1)</f>
        <v>715910</v>
      </c>
      <c r="V348" s="134">
        <f>商品マスタ[[#This Row],[海外定価
（20％）]]-商品マスタ[[#This Row],[仕入単価+国内送料]]</f>
        <v>143183</v>
      </c>
      <c r="W348" s="87">
        <f>ROUNDUP(商品マスタ[[#This Row],[仕入単価+国内送料]]/0.85,-1)</f>
        <v>673800</v>
      </c>
      <c r="X348" s="134">
        <f>商品マスタ[[#This Row],[国内定価
（15％）]]-商品マスタ[[#This Row],[仕入単価+国内送料]]</f>
        <v>101073</v>
      </c>
      <c r="Y348" s="139">
        <v>0.1</v>
      </c>
      <c r="Z348" s="87"/>
      <c r="AA348" s="87"/>
      <c r="AB348" s="87"/>
      <c r="AC348" s="140"/>
      <c r="AD348" s="87"/>
      <c r="AE348" s="87"/>
      <c r="AF348" s="87"/>
      <c r="AG348" s="141"/>
    </row>
    <row r="349" spans="1:33" ht="18">
      <c r="A349" s="166" t="s">
        <v>1525</v>
      </c>
      <c r="B349" s="167" t="s">
        <v>1240</v>
      </c>
      <c r="C349" s="167" t="s">
        <v>1032</v>
      </c>
      <c r="D349" s="143" t="str">
        <f>"PRD_SNJ_"&amp;
_xlfn.XLOOKUP(商品マスタ[[#This Row],[仕入先]],テーブル1[仕入先名],テーブル1[仕入先コード],"XXX",0,1)&amp;
"_"&amp;
商品マスタ[[#This Row],[シリアル]]&amp;
"_"&amp;
TEXT(COUNTIFS(商品マスタ!$C$3:C349,商品マスタ[[#This Row],[仕入先]],商品マスタ!$E$3:E349,商品マスタ[[#This Row],[商品名]]), "00")</f>
        <v>PRD_SNJ_DNB_0008_01</v>
      </c>
      <c r="E349" s="87" t="s">
        <v>1041</v>
      </c>
      <c r="F349" s="87">
        <f>IF(COUNTIFS($C$3:C349,商品マスタ[[#This Row],[仕入先]],$E$3:E349,商品マスタ[[#This Row],[商品名]]) = 1, 1,0)</f>
        <v>1</v>
      </c>
      <c r="G349" s="133" t="str">
        <f>TEXT(SUMIF($C$3:C349,商品マスタ[[#This Row],[仕入先]],$F$3:F349), "0000")</f>
        <v>0008</v>
      </c>
      <c r="H349" s="87" t="s">
        <v>1043</v>
      </c>
      <c r="I349" s="87"/>
      <c r="J349" s="87">
        <v>1</v>
      </c>
      <c r="K349" s="87"/>
      <c r="L349" s="134">
        <v>350000</v>
      </c>
      <c r="M349" s="157">
        <v>46010</v>
      </c>
      <c r="N349" s="134"/>
      <c r="O349" s="135" t="str">
        <f>IF(COUNT(商品マスタ[[#This Row],[参考上代
（税込)]]) &gt; 0, (商品マスタ[[#This Row],[参考上代
（税込)]]-商品マスタ[[#This Row],[国内定価
（15％）]])/(商品マスタ[[#This Row],[参考上代
（税込)]]/1.08), "")</f>
        <v/>
      </c>
      <c r="P349" s="136">
        <v>0.1</v>
      </c>
      <c r="Q349" s="134">
        <f>商品マスタ[[#This Row],[仕入
単価]]*商品マスタ[[#This Row],[標準国内送料率]]</f>
        <v>35000</v>
      </c>
      <c r="R349" s="134">
        <v>0</v>
      </c>
      <c r="S349" s="134">
        <f>IF(ISBLANK(商品マスタ[[#This Row],[実績
国内送料]]),商品マスタ[[#This Row],[標準国内送料]],)</f>
        <v>0</v>
      </c>
      <c r="T349" s="134">
        <f>商品マスタ[[#This Row],[仕入
単価]]+商品マスタ[[#This Row],[国内送料]]</f>
        <v>350000</v>
      </c>
      <c r="U349" s="134">
        <f>ROUNDUP(商品マスタ[[#This Row],[仕入単価+国内送料]]/0.8,-1)</f>
        <v>437500</v>
      </c>
      <c r="V349" s="134">
        <f>商品マスタ[[#This Row],[海外定価
（20％）]]-商品マスタ[[#This Row],[仕入単価+国内送料]]</f>
        <v>87500</v>
      </c>
      <c r="W349" s="87">
        <f>ROUNDUP(商品マスタ[[#This Row],[仕入単価+国内送料]]/0.85,-1)</f>
        <v>411770</v>
      </c>
      <c r="X349" s="134">
        <f>商品マスタ[[#This Row],[国内定価
（15％）]]-商品マスタ[[#This Row],[仕入単価+国内送料]]</f>
        <v>61770</v>
      </c>
      <c r="Y349" s="139">
        <v>0.1</v>
      </c>
      <c r="Z349" s="87"/>
      <c r="AA349" s="87"/>
      <c r="AB349" s="87"/>
      <c r="AC349" s="140"/>
      <c r="AD349" s="87"/>
      <c r="AE349" s="87"/>
      <c r="AF349" s="87"/>
      <c r="AG349" s="141"/>
    </row>
    <row r="350" spans="1:33" ht="18">
      <c r="A350" s="166" t="s">
        <v>1525</v>
      </c>
      <c r="B350" s="167" t="s">
        <v>1240</v>
      </c>
      <c r="C350" s="167" t="s">
        <v>1032</v>
      </c>
      <c r="D350" s="143" t="str">
        <f>"PRD_SNJ_"&amp;
_xlfn.XLOOKUP(商品マスタ[[#This Row],[仕入先]],テーブル1[仕入先名],テーブル1[仕入先コード],"XXX",0,1)&amp;
"_"&amp;
商品マスタ[[#This Row],[シリアル]]&amp;
"_"&amp;
TEXT(COUNTIFS(商品マスタ!$C$3:C350,商品マスタ[[#This Row],[仕入先]],商品マスタ!$E$3:E350,商品マスタ[[#This Row],[商品名]]), "00")</f>
        <v>PRD_SNJ_DNB_0009_01</v>
      </c>
      <c r="E350" s="87" t="s">
        <v>1042</v>
      </c>
      <c r="F350" s="87">
        <f>IF(COUNTIFS($C$3:C350,商品マスタ[[#This Row],[仕入先]],$E$3:E350,商品マスタ[[#This Row],[商品名]]) = 1, 1,0)</f>
        <v>1</v>
      </c>
      <c r="G350" s="133" t="str">
        <f>TEXT(SUMIF($C$3:C350,商品マスタ[[#This Row],[仕入先]],$F$3:F350), "0000")</f>
        <v>0009</v>
      </c>
      <c r="H350" s="87" t="s">
        <v>1043</v>
      </c>
      <c r="I350" s="87"/>
      <c r="J350" s="87">
        <v>1</v>
      </c>
      <c r="K350" s="87"/>
      <c r="L350" s="134">
        <v>252000</v>
      </c>
      <c r="M350" s="157">
        <v>46010</v>
      </c>
      <c r="N350" s="134"/>
      <c r="O350" s="135" t="str">
        <f>IF(COUNT(商品マスタ[[#This Row],[参考上代
（税込)]]) &gt; 0, (商品マスタ[[#This Row],[参考上代
（税込)]]-商品マスタ[[#This Row],[国内定価
（15％）]])/(商品マスタ[[#This Row],[参考上代
（税込)]]/1.08), "")</f>
        <v/>
      </c>
      <c r="P350" s="136">
        <v>0.1</v>
      </c>
      <c r="Q350" s="134">
        <f>商品マスタ[[#This Row],[仕入
単価]]*商品マスタ[[#This Row],[標準国内送料率]]</f>
        <v>25200</v>
      </c>
      <c r="R350" s="134">
        <v>0</v>
      </c>
      <c r="S350" s="134">
        <f>IF(ISBLANK(商品マスタ[[#This Row],[実績
国内送料]]),商品マスタ[[#This Row],[標準国内送料]],)</f>
        <v>0</v>
      </c>
      <c r="T350" s="134">
        <f>商品マスタ[[#This Row],[仕入
単価]]+商品マスタ[[#This Row],[国内送料]]</f>
        <v>252000</v>
      </c>
      <c r="U350" s="134">
        <f>ROUNDUP(商品マスタ[[#This Row],[仕入単価+国内送料]]/0.8,-1)</f>
        <v>315000</v>
      </c>
      <c r="V350" s="134">
        <f>商品マスタ[[#This Row],[海外定価
（20％）]]-商品マスタ[[#This Row],[仕入単価+国内送料]]</f>
        <v>63000</v>
      </c>
      <c r="W350" s="87">
        <f>ROUNDUP(商品マスタ[[#This Row],[仕入単価+国内送料]]/0.85,-1)</f>
        <v>296480</v>
      </c>
      <c r="X350" s="134">
        <f>商品マスタ[[#This Row],[国内定価
（15％）]]-商品マスタ[[#This Row],[仕入単価+国内送料]]</f>
        <v>44480</v>
      </c>
      <c r="Y350" s="139">
        <v>0.1</v>
      </c>
      <c r="Z350" s="87"/>
      <c r="AA350" s="87"/>
      <c r="AB350" s="87"/>
      <c r="AC350" s="140"/>
      <c r="AD350" s="87"/>
      <c r="AE350" s="87"/>
      <c r="AF350" s="87"/>
      <c r="AG350" s="141"/>
    </row>
    <row r="351" spans="1:33" ht="18">
      <c r="A351" s="166" t="s">
        <v>1523</v>
      </c>
      <c r="B351" s="176" t="s">
        <v>1232</v>
      </c>
      <c r="C351" s="167" t="s">
        <v>1046</v>
      </c>
      <c r="D351" s="143" t="str">
        <f>"PRD_SNJ_"&amp;
_xlfn.XLOOKUP(商品マスタ[[#This Row],[仕入先]],テーブル1[仕入先名],テーブル1[仕入先コード],"XXX",0,1)&amp;
"_"&amp;
商品マスタ[[#This Row],[シリアル]]&amp;
"_"&amp;
TEXT(COUNTIFS(商品マスタ!$C$3:C351,商品マスタ[[#This Row],[仕入先]],商品マスタ!$E$3:E351,商品マスタ[[#This Row],[商品名]]), "00")</f>
        <v>PRD_SNJ_APK_0001_01</v>
      </c>
      <c r="E351" s="87" t="s">
        <v>1048</v>
      </c>
      <c r="F351" s="87">
        <f>IF(COUNTIFS($C$3:C351,商品マスタ[[#This Row],[仕入先]],$E$3:E351,商品マスタ[[#This Row],[商品名]]) = 1, 1,0)</f>
        <v>1</v>
      </c>
      <c r="G351" s="133" t="str">
        <f>TEXT(SUMIF($C$3:C351,商品マスタ[[#This Row],[仕入先]],$F$3:F351), "0000")</f>
        <v>0001</v>
      </c>
      <c r="H351" s="87" t="s">
        <v>1047</v>
      </c>
      <c r="I351" s="87"/>
      <c r="J351" s="87">
        <v>1</v>
      </c>
      <c r="K351" s="87"/>
      <c r="L351" s="134">
        <v>3850</v>
      </c>
      <c r="M351" s="157">
        <v>45971</v>
      </c>
      <c r="N351" s="134"/>
      <c r="O351" s="135" t="str">
        <f>IF(COUNT(商品マスタ[[#This Row],[参考上代
（税込)]]) &gt; 0, (商品マスタ[[#This Row],[参考上代
（税込)]]-商品マスタ[[#This Row],[国内定価
（15％）]])/(商品マスタ[[#This Row],[参考上代
（税込)]]/1.08), "")</f>
        <v/>
      </c>
      <c r="P351" s="136">
        <v>0.1</v>
      </c>
      <c r="Q351" s="134">
        <f>商品マスタ[[#This Row],[仕入
単価]]*商品マスタ[[#This Row],[標準国内送料率]]</f>
        <v>385</v>
      </c>
      <c r="R351" s="134"/>
      <c r="S351" s="134">
        <f>IF(ISBLANK(商品マスタ[[#This Row],[実績
国内送料]]),商品マスタ[[#This Row],[標準国内送料]],)</f>
        <v>385</v>
      </c>
      <c r="T351" s="134">
        <f>商品マスタ[[#This Row],[仕入
単価]]+商品マスタ[[#This Row],[国内送料]]</f>
        <v>4235</v>
      </c>
      <c r="U351" s="134">
        <f>ROUNDUP(商品マスタ[[#This Row],[仕入単価+国内送料]]/0.8,-1)</f>
        <v>5300</v>
      </c>
      <c r="V351" s="134">
        <f>商品マスタ[[#This Row],[海外定価
（20％）]]-商品マスタ[[#This Row],[仕入単価+国内送料]]</f>
        <v>1065</v>
      </c>
      <c r="W351" s="87">
        <f>ROUNDUP(商品マスタ[[#This Row],[仕入単価+国内送料]]/0.85,-1)</f>
        <v>4990</v>
      </c>
      <c r="X351" s="134">
        <f>商品マスタ[[#This Row],[国内定価
（15％）]]-商品マスタ[[#This Row],[仕入単価+国内送料]]</f>
        <v>755</v>
      </c>
      <c r="Y351" s="139">
        <v>0.08</v>
      </c>
      <c r="Z351" s="87"/>
      <c r="AA351" s="87"/>
      <c r="AB351" s="87"/>
      <c r="AC351" s="140"/>
      <c r="AD351" s="87"/>
      <c r="AE351" s="87"/>
      <c r="AF351" s="87"/>
      <c r="AG351" s="141"/>
    </row>
    <row r="352" spans="1:33" ht="18">
      <c r="A352" s="166" t="s">
        <v>1523</v>
      </c>
      <c r="B352" s="176" t="s">
        <v>1232</v>
      </c>
      <c r="C352" s="167" t="s">
        <v>1046</v>
      </c>
      <c r="D352" s="143" t="str">
        <f>"PRD_SNJ_"&amp;
_xlfn.XLOOKUP(商品マスタ[[#This Row],[仕入先]],テーブル1[仕入先名],テーブル1[仕入先コード],"XXX",0,1)&amp;
"_"&amp;
商品マスタ[[#This Row],[シリアル]]&amp;
"_"&amp;
TEXT(COUNTIFS(商品マスタ!$C$3:C352,商品マスタ[[#This Row],[仕入先]],商品マスタ!$E$3:E352,商品マスタ[[#This Row],[商品名]]), "00")</f>
        <v>PRD_SNJ_APK_0002_01</v>
      </c>
      <c r="E352" s="87" t="s">
        <v>1049</v>
      </c>
      <c r="F352" s="87">
        <f>IF(COUNTIFS($C$3:C352,商品マスタ[[#This Row],[仕入先]],$E$3:E352,商品マスタ[[#This Row],[商品名]]) = 1, 1,0)</f>
        <v>1</v>
      </c>
      <c r="G352" s="133" t="str">
        <f>TEXT(SUMIF($C$3:C352,商品マスタ[[#This Row],[仕入先]],$F$3:F352), "0000")</f>
        <v>0002</v>
      </c>
      <c r="H352" s="87" t="s">
        <v>1047</v>
      </c>
      <c r="I352" s="87"/>
      <c r="J352" s="87">
        <v>1</v>
      </c>
      <c r="K352" s="87"/>
      <c r="L352" s="134">
        <v>4400</v>
      </c>
      <c r="M352" s="157">
        <v>45971</v>
      </c>
      <c r="N352" s="134"/>
      <c r="O352" s="135" t="str">
        <f>IF(COUNT(商品マスタ[[#This Row],[参考上代
（税込)]]) &gt; 0, (商品マスタ[[#This Row],[参考上代
（税込)]]-商品マスタ[[#This Row],[国内定価
（15％）]])/(商品マスタ[[#This Row],[参考上代
（税込)]]/1.08), "")</f>
        <v/>
      </c>
      <c r="P352" s="136">
        <v>0.1</v>
      </c>
      <c r="Q352" s="134">
        <f>商品マスタ[[#This Row],[仕入
単価]]*商品マスタ[[#This Row],[標準国内送料率]]</f>
        <v>440</v>
      </c>
      <c r="R352" s="134">
        <v>0</v>
      </c>
      <c r="S352" s="134">
        <f>IF(ISBLANK(商品マスタ[[#This Row],[実績
国内送料]]),商品マスタ[[#This Row],[標準国内送料]],)</f>
        <v>0</v>
      </c>
      <c r="T352" s="134">
        <f>商品マスタ[[#This Row],[仕入
単価]]+商品マスタ[[#This Row],[国内送料]]</f>
        <v>4400</v>
      </c>
      <c r="U352" s="134">
        <f>ROUNDUP(商品マスタ[[#This Row],[仕入単価+国内送料]]/0.8,-1)</f>
        <v>5500</v>
      </c>
      <c r="V352" s="134">
        <f>商品マスタ[[#This Row],[海外定価
（20％）]]-商品マスタ[[#This Row],[仕入単価+国内送料]]</f>
        <v>1100</v>
      </c>
      <c r="W352" s="87">
        <f>ROUNDUP(商品マスタ[[#This Row],[仕入単価+国内送料]]/0.85,-1)</f>
        <v>5180</v>
      </c>
      <c r="X352" s="134">
        <f>商品マスタ[[#This Row],[国内定価
（15％）]]-商品マスタ[[#This Row],[仕入単価+国内送料]]</f>
        <v>780</v>
      </c>
      <c r="Y352" s="139">
        <v>0.08</v>
      </c>
      <c r="Z352" s="87"/>
      <c r="AA352" s="87"/>
      <c r="AB352" s="87"/>
      <c r="AC352" s="140"/>
      <c r="AD352" s="87"/>
      <c r="AE352" s="87"/>
      <c r="AF352" s="87"/>
      <c r="AG352" s="141"/>
    </row>
    <row r="353" spans="1:33" ht="18">
      <c r="A353" s="166" t="s">
        <v>1523</v>
      </c>
      <c r="B353" s="176" t="s">
        <v>1232</v>
      </c>
      <c r="C353" s="167" t="s">
        <v>1046</v>
      </c>
      <c r="D353" s="143" t="str">
        <f>"PRD_SNJ_"&amp;
_xlfn.XLOOKUP(商品マスタ[[#This Row],[仕入先]],テーブル1[仕入先名],テーブル1[仕入先コード],"XXX",0,1)&amp;
"_"&amp;
商品マスタ[[#This Row],[シリアル]]&amp;
"_"&amp;
TEXT(COUNTIFS(商品マスタ!$C$3:C353,商品マスタ[[#This Row],[仕入先]],商品マスタ!$E$3:E353,商品マスタ[[#This Row],[商品名]]), "00")</f>
        <v>PRD_SNJ_APK_0003_01</v>
      </c>
      <c r="E353" s="87" t="s">
        <v>1050</v>
      </c>
      <c r="F353" s="87">
        <f>IF(COUNTIFS($C$3:C353,商品マスタ[[#This Row],[仕入先]],$E$3:E353,商品マスタ[[#This Row],[商品名]]) = 1, 1,0)</f>
        <v>1</v>
      </c>
      <c r="G353" s="133" t="str">
        <f>TEXT(SUMIF($C$3:C353,商品マスタ[[#This Row],[仕入先]],$F$3:F353), "0000")</f>
        <v>0003</v>
      </c>
      <c r="H353" s="87" t="s">
        <v>1047</v>
      </c>
      <c r="I353" s="87"/>
      <c r="J353" s="87">
        <v>1</v>
      </c>
      <c r="K353" s="87"/>
      <c r="L353" s="134">
        <v>2800</v>
      </c>
      <c r="M353" s="157">
        <v>45971</v>
      </c>
      <c r="N353" s="134"/>
      <c r="O353" s="135" t="str">
        <f>IF(COUNT(商品マスタ[[#This Row],[参考上代
（税込)]]) &gt; 0, (商品マスタ[[#This Row],[参考上代
（税込)]]-商品マスタ[[#This Row],[国内定価
（15％）]])/(商品マスタ[[#This Row],[参考上代
（税込)]]/1.08), "")</f>
        <v/>
      </c>
      <c r="P353" s="136">
        <v>0.1</v>
      </c>
      <c r="Q353" s="134">
        <f>商品マスタ[[#This Row],[仕入
単価]]*商品マスタ[[#This Row],[標準国内送料率]]</f>
        <v>280</v>
      </c>
      <c r="R353" s="134"/>
      <c r="S353" s="134">
        <f>IF(ISBLANK(商品マスタ[[#This Row],[実績
国内送料]]),商品マスタ[[#This Row],[標準国内送料]],)</f>
        <v>280</v>
      </c>
      <c r="T353" s="134">
        <f>商品マスタ[[#This Row],[仕入
単価]]+商品マスタ[[#This Row],[国内送料]]</f>
        <v>3080</v>
      </c>
      <c r="U353" s="134">
        <f>ROUNDUP(商品マスタ[[#This Row],[仕入単価+国内送料]]/0.8,-1)</f>
        <v>3850</v>
      </c>
      <c r="V353" s="134">
        <f>商品マスタ[[#This Row],[海外定価
（20％）]]-商品マスタ[[#This Row],[仕入単価+国内送料]]</f>
        <v>770</v>
      </c>
      <c r="W353" s="87">
        <f>ROUNDUP(商品マスタ[[#This Row],[仕入単価+国内送料]]/0.85,-1)</f>
        <v>3630</v>
      </c>
      <c r="X353" s="134">
        <f>商品マスタ[[#This Row],[国内定価
（15％）]]-商品マスタ[[#This Row],[仕入単価+国内送料]]</f>
        <v>550</v>
      </c>
      <c r="Y353" s="139">
        <v>0.08</v>
      </c>
      <c r="Z353" s="87"/>
      <c r="AA353" s="87"/>
      <c r="AB353" s="87"/>
      <c r="AC353" s="140"/>
      <c r="AD353" s="87"/>
      <c r="AE353" s="87"/>
      <c r="AF353" s="87"/>
      <c r="AG353" s="141"/>
    </row>
    <row r="354" spans="1:33" ht="18">
      <c r="A354" s="166" t="s">
        <v>1523</v>
      </c>
      <c r="B354" s="176" t="s">
        <v>1232</v>
      </c>
      <c r="C354" s="167" t="s">
        <v>1046</v>
      </c>
      <c r="D354" s="143" t="str">
        <f>"PRD_SNJ_"&amp;
_xlfn.XLOOKUP(商品マスタ[[#This Row],[仕入先]],テーブル1[仕入先名],テーブル1[仕入先コード],"XXX",0,1)&amp;
"_"&amp;
商品マスタ[[#This Row],[シリアル]]&amp;
"_"&amp;
TEXT(COUNTIFS(商品マスタ!$C$3:C354,商品マスタ[[#This Row],[仕入先]],商品マスタ!$E$3:E354,商品マスタ[[#This Row],[商品名]]), "00")</f>
        <v>PRD_SNJ_APK_0004_01</v>
      </c>
      <c r="E354" s="87" t="s">
        <v>1051</v>
      </c>
      <c r="F354" s="87">
        <f>IF(COUNTIFS($C$3:C354,商品マスタ[[#This Row],[仕入先]],$E$3:E354,商品マスタ[[#This Row],[商品名]]) = 1, 1,0)</f>
        <v>1</v>
      </c>
      <c r="G354" s="133" t="str">
        <f>TEXT(SUMIF($C$3:C354,商品マスタ[[#This Row],[仕入先]],$F$3:F354), "0000")</f>
        <v>0004</v>
      </c>
      <c r="H354" s="87" t="s">
        <v>1047</v>
      </c>
      <c r="I354" s="87"/>
      <c r="J354" s="87">
        <v>1</v>
      </c>
      <c r="K354" s="87"/>
      <c r="L354" s="134">
        <v>2350</v>
      </c>
      <c r="M354" s="157">
        <v>45971</v>
      </c>
      <c r="N354" s="134"/>
      <c r="O354" s="135" t="str">
        <f>IF(COUNT(商品マスタ[[#This Row],[参考上代
（税込)]]) &gt; 0, (商品マスタ[[#This Row],[参考上代
（税込)]]-商品マスタ[[#This Row],[国内定価
（15％）]])/(商品マスタ[[#This Row],[参考上代
（税込)]]/1.08), "")</f>
        <v/>
      </c>
      <c r="P354" s="136">
        <v>0.1</v>
      </c>
      <c r="Q354" s="134">
        <f>商品マスタ[[#This Row],[仕入
単価]]*商品マスタ[[#This Row],[標準国内送料率]]</f>
        <v>235</v>
      </c>
      <c r="R354" s="134"/>
      <c r="S354" s="134">
        <f>IF(ISBLANK(商品マスタ[[#This Row],[実績
国内送料]]),商品マスタ[[#This Row],[標準国内送料]],)</f>
        <v>235</v>
      </c>
      <c r="T354" s="134">
        <f>商品マスタ[[#This Row],[仕入
単価]]+商品マスタ[[#This Row],[国内送料]]</f>
        <v>2585</v>
      </c>
      <c r="U354" s="134">
        <f>ROUNDUP(商品マスタ[[#This Row],[仕入単価+国内送料]]/0.8,-1)</f>
        <v>3240</v>
      </c>
      <c r="V354" s="134">
        <f>商品マスタ[[#This Row],[海外定価
（20％）]]-商品マスタ[[#This Row],[仕入単価+国内送料]]</f>
        <v>655</v>
      </c>
      <c r="W354" s="87">
        <f>ROUNDUP(商品マスタ[[#This Row],[仕入単価+国内送料]]/0.85,-1)</f>
        <v>3050</v>
      </c>
      <c r="X354" s="134">
        <f>商品マスタ[[#This Row],[国内定価
（15％）]]-商品マスタ[[#This Row],[仕入単価+国内送料]]</f>
        <v>465</v>
      </c>
      <c r="Y354" s="139">
        <v>0.08</v>
      </c>
      <c r="Z354" s="87"/>
      <c r="AA354" s="87"/>
      <c r="AB354" s="87"/>
      <c r="AC354" s="140"/>
      <c r="AD354" s="87"/>
      <c r="AE354" s="87"/>
      <c r="AF354" s="87"/>
      <c r="AG354" s="141"/>
    </row>
    <row r="355" spans="1:33" ht="18">
      <c r="A355" s="166" t="s">
        <v>1523</v>
      </c>
      <c r="B355" s="176" t="s">
        <v>1232</v>
      </c>
      <c r="C355" s="167" t="s">
        <v>1046</v>
      </c>
      <c r="D355" s="143" t="str">
        <f>"PRD_SNJ_"&amp;
_xlfn.XLOOKUP(商品マスタ[[#This Row],[仕入先]],テーブル1[仕入先名],テーブル1[仕入先コード],"XXX",0,1)&amp;
"_"&amp;
商品マスタ[[#This Row],[シリアル]]&amp;
"_"&amp;
TEXT(COUNTIFS(商品マスタ!$C$3:C355,商品マスタ[[#This Row],[仕入先]],商品マスタ!$E$3:E355,商品マスタ[[#This Row],[商品名]]), "00")</f>
        <v>PRD_SNJ_APK_0005_01</v>
      </c>
      <c r="E355" s="87" t="s">
        <v>1052</v>
      </c>
      <c r="F355" s="87">
        <f>IF(COUNTIFS($C$3:C355,商品マスタ[[#This Row],[仕入先]],$E$3:E355,商品マスタ[[#This Row],[商品名]]) = 1, 1,0)</f>
        <v>1</v>
      </c>
      <c r="G355" s="133" t="str">
        <f>TEXT(SUMIF($C$3:C355,商品マスタ[[#This Row],[仕入先]],$F$3:F355), "0000")</f>
        <v>0005</v>
      </c>
      <c r="H355" s="87" t="s">
        <v>1047</v>
      </c>
      <c r="I355" s="87"/>
      <c r="J355" s="87">
        <v>1</v>
      </c>
      <c r="K355" s="87"/>
      <c r="L355" s="134">
        <v>2573</v>
      </c>
      <c r="M355" s="157">
        <v>45971</v>
      </c>
      <c r="N355" s="134"/>
      <c r="O355" s="135" t="str">
        <f>IF(COUNT(商品マスタ[[#This Row],[参考上代
（税込)]]) &gt; 0, (商品マスタ[[#This Row],[参考上代
（税込)]]-商品マスタ[[#This Row],[国内定価
（15％）]])/(商品マスタ[[#This Row],[参考上代
（税込)]]/1.08), "")</f>
        <v/>
      </c>
      <c r="P355" s="136">
        <v>0.1</v>
      </c>
      <c r="Q355" s="134">
        <f>商品マスタ[[#This Row],[仕入
単価]]*商品マスタ[[#This Row],[標準国内送料率]]</f>
        <v>257.3</v>
      </c>
      <c r="R355" s="134"/>
      <c r="S355" s="134">
        <f>IF(ISBLANK(商品マスタ[[#This Row],[実績
国内送料]]),商品マスタ[[#This Row],[標準国内送料]],)</f>
        <v>257.3</v>
      </c>
      <c r="T355" s="134">
        <f>商品マスタ[[#This Row],[仕入
単価]]+商品マスタ[[#This Row],[国内送料]]</f>
        <v>2830.3</v>
      </c>
      <c r="U355" s="134">
        <f>ROUNDUP(商品マスタ[[#This Row],[仕入単価+国内送料]]/0.8,-1)</f>
        <v>3540</v>
      </c>
      <c r="V355" s="134">
        <f>商品マスタ[[#This Row],[海外定価
（20％）]]-商品マスタ[[#This Row],[仕入単価+国内送料]]</f>
        <v>709.69999999999982</v>
      </c>
      <c r="W355" s="87">
        <f>ROUNDUP(商品マスタ[[#This Row],[仕入単価+国内送料]]/0.85,-1)</f>
        <v>3330</v>
      </c>
      <c r="X355" s="134">
        <f>商品マスタ[[#This Row],[国内定価
（15％）]]-商品マスタ[[#This Row],[仕入単価+国内送料]]</f>
        <v>499.69999999999982</v>
      </c>
      <c r="Y355" s="139">
        <v>0.08</v>
      </c>
      <c r="Z355" s="87"/>
      <c r="AA355" s="87"/>
      <c r="AB355" s="87"/>
      <c r="AC355" s="140"/>
      <c r="AD355" s="87"/>
      <c r="AE355" s="87"/>
      <c r="AF355" s="87"/>
      <c r="AG355" s="141"/>
    </row>
    <row r="356" spans="1:33" ht="18">
      <c r="A356" s="166" t="s">
        <v>1523</v>
      </c>
      <c r="B356" s="176" t="s">
        <v>1232</v>
      </c>
      <c r="C356" s="167" t="s">
        <v>1046</v>
      </c>
      <c r="D356" s="143" t="str">
        <f>"PRD_SNJ_"&amp;
_xlfn.XLOOKUP(商品マスタ[[#This Row],[仕入先]],テーブル1[仕入先名],テーブル1[仕入先コード],"XXX",0,1)&amp;
"_"&amp;
商品マスタ[[#This Row],[シリアル]]&amp;
"_"&amp;
TEXT(COUNTIFS(商品マスタ!$C$3:C356,商品マスタ[[#This Row],[仕入先]],商品マスタ!$E$3:E356,商品マスタ[[#This Row],[商品名]]), "00")</f>
        <v>PRD_SNJ_APK_0006_01</v>
      </c>
      <c r="E356" s="87" t="s">
        <v>1053</v>
      </c>
      <c r="F356" s="87">
        <f>IF(COUNTIFS($C$3:C356,商品マスタ[[#This Row],[仕入先]],$E$3:E356,商品マスタ[[#This Row],[商品名]]) = 1, 1,0)</f>
        <v>1</v>
      </c>
      <c r="G356" s="133" t="str">
        <f>TEXT(SUMIF($C$3:C356,商品マスタ[[#This Row],[仕入先]],$F$3:F356), "0000")</f>
        <v>0006</v>
      </c>
      <c r="H356" s="87" t="s">
        <v>1047</v>
      </c>
      <c r="I356" s="87"/>
      <c r="J356" s="87">
        <v>1</v>
      </c>
      <c r="K356" s="87"/>
      <c r="L356" s="134">
        <v>2350</v>
      </c>
      <c r="M356" s="157">
        <v>45971</v>
      </c>
      <c r="N356" s="134"/>
      <c r="O356" s="135" t="str">
        <f>IF(COUNT(商品マスタ[[#This Row],[参考上代
（税込)]]) &gt; 0, (商品マスタ[[#This Row],[参考上代
（税込)]]-商品マスタ[[#This Row],[国内定価
（15％）]])/(商品マスタ[[#This Row],[参考上代
（税込)]]/1.08), "")</f>
        <v/>
      </c>
      <c r="P356" s="136">
        <v>0.1</v>
      </c>
      <c r="Q356" s="134">
        <f>商品マスタ[[#This Row],[仕入
単価]]*商品マスタ[[#This Row],[標準国内送料率]]</f>
        <v>235</v>
      </c>
      <c r="R356" s="134"/>
      <c r="S356" s="134">
        <f>IF(ISBLANK(商品マスタ[[#This Row],[実績
国内送料]]),商品マスタ[[#This Row],[標準国内送料]],)</f>
        <v>235</v>
      </c>
      <c r="T356" s="134">
        <f>商品マスタ[[#This Row],[仕入
単価]]+商品マスタ[[#This Row],[国内送料]]</f>
        <v>2585</v>
      </c>
      <c r="U356" s="134">
        <f>ROUNDUP(商品マスタ[[#This Row],[仕入単価+国内送料]]/0.8,-1)</f>
        <v>3240</v>
      </c>
      <c r="V356" s="134">
        <f>商品マスタ[[#This Row],[海外定価
（20％）]]-商品マスタ[[#This Row],[仕入単価+国内送料]]</f>
        <v>655</v>
      </c>
      <c r="W356" s="87">
        <f>ROUNDUP(商品マスタ[[#This Row],[仕入単価+国内送料]]/0.85,-1)</f>
        <v>3050</v>
      </c>
      <c r="X356" s="134">
        <f>商品マスタ[[#This Row],[国内定価
（15％）]]-商品マスタ[[#This Row],[仕入単価+国内送料]]</f>
        <v>465</v>
      </c>
      <c r="Y356" s="139">
        <v>0.08</v>
      </c>
      <c r="Z356" s="87"/>
      <c r="AA356" s="87"/>
      <c r="AB356" s="87"/>
      <c r="AC356" s="140"/>
      <c r="AD356" s="87"/>
      <c r="AE356" s="87"/>
      <c r="AF356" s="87"/>
      <c r="AG356" s="141"/>
    </row>
    <row r="357" spans="1:33" ht="18">
      <c r="A357" s="166" t="s">
        <v>1523</v>
      </c>
      <c r="B357" s="176" t="s">
        <v>1232</v>
      </c>
      <c r="C357" s="167" t="s">
        <v>1046</v>
      </c>
      <c r="D357" s="143" t="str">
        <f>"PRD_SNJ_"&amp;
_xlfn.XLOOKUP(商品マスタ[[#This Row],[仕入先]],テーブル1[仕入先名],テーブル1[仕入先コード],"XXX",0,1)&amp;
"_"&amp;
商品マスタ[[#This Row],[シリアル]]&amp;
"_"&amp;
TEXT(COUNTIFS(商品マスタ!$C$3:C357,商品マスタ[[#This Row],[仕入先]],商品マスタ!$E$3:E357,商品マスタ[[#This Row],[商品名]]), "00")</f>
        <v>PRD_SNJ_APK_0007_01</v>
      </c>
      <c r="E357" s="87" t="s">
        <v>1054</v>
      </c>
      <c r="F357" s="87">
        <f>IF(COUNTIFS($C$3:C357,商品マスタ[[#This Row],[仕入先]],$E$3:E357,商品マスタ[[#This Row],[商品名]]) = 1, 1,0)</f>
        <v>1</v>
      </c>
      <c r="G357" s="133" t="str">
        <f>TEXT(SUMIF($C$3:C357,商品マスタ[[#This Row],[仕入先]],$F$3:F357), "0000")</f>
        <v>0007</v>
      </c>
      <c r="H357" s="87" t="s">
        <v>1047</v>
      </c>
      <c r="I357" s="87"/>
      <c r="J357" s="87">
        <v>1</v>
      </c>
      <c r="K357" s="87"/>
      <c r="L357" s="134">
        <v>1705</v>
      </c>
      <c r="M357" s="157">
        <v>45971</v>
      </c>
      <c r="N357" s="134"/>
      <c r="O357" s="135" t="str">
        <f>IF(COUNT(商品マスタ[[#This Row],[参考上代
（税込)]]) &gt; 0, (商品マスタ[[#This Row],[参考上代
（税込)]]-商品マスタ[[#This Row],[国内定価
（15％）]])/(商品マスタ[[#This Row],[参考上代
（税込)]]/1.08), "")</f>
        <v/>
      </c>
      <c r="P357" s="136">
        <v>0.1</v>
      </c>
      <c r="Q357" s="134">
        <f>商品マスタ[[#This Row],[仕入
単価]]*商品マスタ[[#This Row],[標準国内送料率]]</f>
        <v>170.5</v>
      </c>
      <c r="R357" s="134"/>
      <c r="S357" s="134">
        <f>IF(ISBLANK(商品マスタ[[#This Row],[実績
国内送料]]),商品マスタ[[#This Row],[標準国内送料]],)</f>
        <v>170.5</v>
      </c>
      <c r="T357" s="134">
        <f>商品マスタ[[#This Row],[仕入
単価]]+商品マスタ[[#This Row],[国内送料]]</f>
        <v>1875.5</v>
      </c>
      <c r="U357" s="134">
        <f>ROUNDUP(商品マスタ[[#This Row],[仕入単価+国内送料]]/0.8,-1)</f>
        <v>2350</v>
      </c>
      <c r="V357" s="134">
        <f>商品マスタ[[#This Row],[海外定価
（20％）]]-商品マスタ[[#This Row],[仕入単価+国内送料]]</f>
        <v>474.5</v>
      </c>
      <c r="W357" s="87">
        <f>ROUNDUP(商品マスタ[[#This Row],[仕入単価+国内送料]]/0.85,-1)</f>
        <v>2210</v>
      </c>
      <c r="X357" s="134">
        <f>商品マスタ[[#This Row],[国内定価
（15％）]]-商品マスタ[[#This Row],[仕入単価+国内送料]]</f>
        <v>334.5</v>
      </c>
      <c r="Y357" s="139">
        <v>0.08</v>
      </c>
      <c r="Z357" s="87"/>
      <c r="AA357" s="87"/>
      <c r="AB357" s="87"/>
      <c r="AC357" s="140"/>
      <c r="AD357" s="87"/>
      <c r="AE357" s="87"/>
      <c r="AF357" s="87"/>
      <c r="AG357" s="141"/>
    </row>
    <row r="358" spans="1:33" ht="18">
      <c r="A358" s="166" t="s">
        <v>1523</v>
      </c>
      <c r="B358" s="176" t="s">
        <v>1232</v>
      </c>
      <c r="C358" s="167" t="s">
        <v>1046</v>
      </c>
      <c r="D358" s="143" t="str">
        <f>"PRD_SNJ_"&amp;
_xlfn.XLOOKUP(商品マスタ[[#This Row],[仕入先]],テーブル1[仕入先名],テーブル1[仕入先コード],"XXX",0,1)&amp;
"_"&amp;
商品マスタ[[#This Row],[シリアル]]&amp;
"_"&amp;
TEXT(COUNTIFS(商品マスタ!$C$3:C358,商品マスタ[[#This Row],[仕入先]],商品マスタ!$E$3:E358,商品マスタ[[#This Row],[商品名]]), "00")</f>
        <v>PRD_SNJ_APK_0008_01</v>
      </c>
      <c r="E358" s="87" t="s">
        <v>1055</v>
      </c>
      <c r="F358" s="87">
        <f>IF(COUNTIFS($C$3:C358,商品マスタ[[#This Row],[仕入先]],$E$3:E358,商品マスタ[[#This Row],[商品名]]) = 1, 1,0)</f>
        <v>1</v>
      </c>
      <c r="G358" s="133" t="str">
        <f>TEXT(SUMIF($C$3:C358,商品マスタ[[#This Row],[仕入先]],$F$3:F358), "0000")</f>
        <v>0008</v>
      </c>
      <c r="H358" s="87" t="s">
        <v>1047</v>
      </c>
      <c r="I358" s="87"/>
      <c r="J358" s="87">
        <v>1</v>
      </c>
      <c r="K358" s="87"/>
      <c r="L358" s="134">
        <v>1705</v>
      </c>
      <c r="M358" s="157">
        <v>45971</v>
      </c>
      <c r="N358" s="134"/>
      <c r="O358" s="135" t="str">
        <f>IF(COUNT(商品マスタ[[#This Row],[参考上代
（税込)]]) &gt; 0, (商品マスタ[[#This Row],[参考上代
（税込)]]-商品マスタ[[#This Row],[国内定価
（15％）]])/(商品マスタ[[#This Row],[参考上代
（税込)]]/1.08), "")</f>
        <v/>
      </c>
      <c r="P358" s="136">
        <v>0.1</v>
      </c>
      <c r="Q358" s="134">
        <f>商品マスタ[[#This Row],[仕入
単価]]*商品マスタ[[#This Row],[標準国内送料率]]</f>
        <v>170.5</v>
      </c>
      <c r="R358" s="134"/>
      <c r="S358" s="134">
        <f>IF(ISBLANK(商品マスタ[[#This Row],[実績
国内送料]]),商品マスタ[[#This Row],[標準国内送料]],)</f>
        <v>170.5</v>
      </c>
      <c r="T358" s="134">
        <f>商品マスタ[[#This Row],[仕入
単価]]+商品マスタ[[#This Row],[国内送料]]</f>
        <v>1875.5</v>
      </c>
      <c r="U358" s="134">
        <f>ROUNDUP(商品マスタ[[#This Row],[仕入単価+国内送料]]/0.8,-1)</f>
        <v>2350</v>
      </c>
      <c r="V358" s="134">
        <f>商品マスタ[[#This Row],[海外定価
（20％）]]-商品マスタ[[#This Row],[仕入単価+国内送料]]</f>
        <v>474.5</v>
      </c>
      <c r="W358" s="87">
        <f>ROUNDUP(商品マスタ[[#This Row],[仕入単価+国内送料]]/0.85,-1)</f>
        <v>2210</v>
      </c>
      <c r="X358" s="134">
        <f>商品マスタ[[#This Row],[国内定価
（15％）]]-商品マスタ[[#This Row],[仕入単価+国内送料]]</f>
        <v>334.5</v>
      </c>
      <c r="Y358" s="139">
        <v>0.08</v>
      </c>
      <c r="Z358" s="87"/>
      <c r="AA358" s="87"/>
      <c r="AB358" s="87"/>
      <c r="AC358" s="140"/>
      <c r="AD358" s="87"/>
      <c r="AE358" s="87"/>
      <c r="AF358" s="87"/>
      <c r="AG358" s="141"/>
    </row>
    <row r="359" spans="1:33" ht="18">
      <c r="A359" s="166" t="s">
        <v>1523</v>
      </c>
      <c r="B359" s="176" t="s">
        <v>1232</v>
      </c>
      <c r="C359" s="167" t="s">
        <v>1046</v>
      </c>
      <c r="D359" s="143" t="str">
        <f>"PRD_SNJ_"&amp;
_xlfn.XLOOKUP(商品マスタ[[#This Row],[仕入先]],テーブル1[仕入先名],テーブル1[仕入先コード],"XXX",0,1)&amp;
"_"&amp;
商品マスタ[[#This Row],[シリアル]]&amp;
"_"&amp;
TEXT(COUNTIFS(商品マスタ!$C$3:C359,商品マスタ[[#This Row],[仕入先]],商品マスタ!$E$3:E359,商品マスタ[[#This Row],[商品名]]), "00")</f>
        <v>PRD_SNJ_APK_0009_01</v>
      </c>
      <c r="E359" s="87" t="s">
        <v>1056</v>
      </c>
      <c r="F359" s="87">
        <f>IF(COUNTIFS($C$3:C359,商品マスタ[[#This Row],[仕入先]],$E$3:E359,商品マスタ[[#This Row],[商品名]]) = 1, 1,0)</f>
        <v>1</v>
      </c>
      <c r="G359" s="133" t="str">
        <f>TEXT(SUMIF($C$3:C359,商品マスタ[[#This Row],[仕入先]],$F$3:F359), "0000")</f>
        <v>0009</v>
      </c>
      <c r="H359" s="87" t="s">
        <v>1047</v>
      </c>
      <c r="I359" s="87"/>
      <c r="J359" s="87">
        <v>1</v>
      </c>
      <c r="K359" s="87"/>
      <c r="L359" s="134">
        <v>1760</v>
      </c>
      <c r="M359" s="157">
        <v>45971</v>
      </c>
      <c r="N359" s="134"/>
      <c r="O359" s="135" t="str">
        <f>IF(COUNT(商品マスタ[[#This Row],[参考上代
（税込)]]) &gt; 0, (商品マスタ[[#This Row],[参考上代
（税込)]]-商品マスタ[[#This Row],[国内定価
（15％）]])/(商品マスタ[[#This Row],[参考上代
（税込)]]/1.08), "")</f>
        <v/>
      </c>
      <c r="P359" s="136">
        <v>0.1</v>
      </c>
      <c r="Q359" s="134">
        <f>商品マスタ[[#This Row],[仕入
単価]]*商品マスタ[[#This Row],[標準国内送料率]]</f>
        <v>176</v>
      </c>
      <c r="R359" s="134"/>
      <c r="S359" s="134">
        <f>IF(ISBLANK(商品マスタ[[#This Row],[実績
国内送料]]),商品マスタ[[#This Row],[標準国内送料]],)</f>
        <v>176</v>
      </c>
      <c r="T359" s="134">
        <f>商品マスタ[[#This Row],[仕入
単価]]+商品マスタ[[#This Row],[国内送料]]</f>
        <v>1936</v>
      </c>
      <c r="U359" s="134">
        <f>ROUNDUP(商品マスタ[[#This Row],[仕入単価+国内送料]]/0.8,-1)</f>
        <v>2420</v>
      </c>
      <c r="V359" s="134">
        <f>商品マスタ[[#This Row],[海外定価
（20％）]]-商品マスタ[[#This Row],[仕入単価+国内送料]]</f>
        <v>484</v>
      </c>
      <c r="W359" s="87">
        <f>ROUNDUP(商品マスタ[[#This Row],[仕入単価+国内送料]]/0.85,-1)</f>
        <v>2280</v>
      </c>
      <c r="X359" s="134">
        <f>商品マスタ[[#This Row],[国内定価
（15％）]]-商品マスタ[[#This Row],[仕入単価+国内送料]]</f>
        <v>344</v>
      </c>
      <c r="Y359" s="139">
        <v>0.08</v>
      </c>
      <c r="Z359" s="87"/>
      <c r="AA359" s="87"/>
      <c r="AB359" s="87"/>
      <c r="AC359" s="140"/>
      <c r="AD359" s="87"/>
      <c r="AE359" s="87"/>
      <c r="AF359" s="87"/>
      <c r="AG359" s="141"/>
    </row>
    <row r="360" spans="1:33" ht="18">
      <c r="A360" s="166" t="s">
        <v>1523</v>
      </c>
      <c r="B360" s="176" t="s">
        <v>1232</v>
      </c>
      <c r="C360" s="171" t="s">
        <v>1062</v>
      </c>
      <c r="D360" s="143" t="str">
        <f>"PRD_SNJ_"&amp;
_xlfn.XLOOKUP(商品マスタ[[#This Row],[仕入先]],テーブル1[仕入先名],テーブル1[仕入先コード],"XXX",0,1)&amp;
"_"&amp;
商品マスタ[[#This Row],[シリアル]]&amp;
"_"&amp;
TEXT(COUNTIFS(商品マスタ!$C$3:C360,商品マスタ[[#This Row],[仕入先]],商品マスタ!$E$3:E360,商品マスタ[[#This Row],[商品名]]), "00")</f>
        <v>PRD_SNJ_SDH_0001_01</v>
      </c>
      <c r="E360" s="63" t="s">
        <v>372</v>
      </c>
      <c r="F360" s="87">
        <f>IF(COUNTIFS($C$3:C360,商品マスタ[[#This Row],[仕入先]],$E$3:E360,商品マスタ[[#This Row],[商品名]]) = 1, 1,0)</f>
        <v>1</v>
      </c>
      <c r="G360" s="133" t="str">
        <f>TEXT(SUMIF($C$3:C360,商品マスタ[[#This Row],[仕入先]],$F$3:F360), "0000")</f>
        <v>0001</v>
      </c>
      <c r="H360" s="87" t="s">
        <v>1047</v>
      </c>
      <c r="I360" s="87"/>
      <c r="J360" s="87">
        <v>1</v>
      </c>
      <c r="K360" s="87"/>
      <c r="L360" s="134">
        <v>3800</v>
      </c>
      <c r="M360" s="157"/>
      <c r="N360" s="134"/>
      <c r="O360" s="135" t="str">
        <f>IF(COUNT(商品マスタ[[#This Row],[参考上代
（税込)]]) &gt; 0, (商品マスタ[[#This Row],[参考上代
（税込)]]-商品マスタ[[#This Row],[国内定価
（15％）]])/(商品マスタ[[#This Row],[参考上代
（税込)]]/1.08), "")</f>
        <v/>
      </c>
      <c r="P360" s="136">
        <v>0.1</v>
      </c>
      <c r="Q360" s="134">
        <f>商品マスタ[[#This Row],[仕入
単価]]*商品マスタ[[#This Row],[標準国内送料率]]</f>
        <v>380</v>
      </c>
      <c r="R360" s="134"/>
      <c r="S360" s="134">
        <f>IF(ISBLANK(商品マスタ[[#This Row],[実績
国内送料]]),商品マスタ[[#This Row],[標準国内送料]],)</f>
        <v>380</v>
      </c>
      <c r="T360" s="134">
        <f>商品マスタ[[#This Row],[仕入
単価]]+商品マスタ[[#This Row],[国内送料]]</f>
        <v>4180</v>
      </c>
      <c r="U360" s="134">
        <f>ROUNDUP(商品マスタ[[#This Row],[仕入単価+国内送料]]/0.8,-1)</f>
        <v>5230</v>
      </c>
      <c r="V360" s="134">
        <f>商品マスタ[[#This Row],[海外定価
（20％）]]-商品マスタ[[#This Row],[仕入単価+国内送料]]</f>
        <v>1050</v>
      </c>
      <c r="W360" s="87">
        <f>ROUNDUP(商品マスタ[[#This Row],[仕入単価+国内送料]]/0.85,-1)</f>
        <v>4920</v>
      </c>
      <c r="X360" s="134">
        <f>商品マスタ[[#This Row],[国内定価
（15％）]]-商品マスタ[[#This Row],[仕入単価+国内送料]]</f>
        <v>740</v>
      </c>
      <c r="Y360" s="139"/>
      <c r="Z360" s="87"/>
      <c r="AA360" s="87"/>
      <c r="AB360" s="87"/>
      <c r="AC360" s="140"/>
      <c r="AD360" s="87"/>
      <c r="AE360" s="87"/>
      <c r="AF360" s="87"/>
      <c r="AG360" s="141"/>
    </row>
    <row r="361" spans="1:33" ht="18">
      <c r="A361" s="166" t="s">
        <v>1523</v>
      </c>
      <c r="B361" s="176" t="s">
        <v>1232</v>
      </c>
      <c r="C361" s="171" t="s">
        <v>1062</v>
      </c>
      <c r="D361" s="143" t="str">
        <f>"PRD_SNJ_"&amp;
_xlfn.XLOOKUP(商品マスタ[[#This Row],[仕入先]],テーブル1[仕入先名],テーブル1[仕入先コード],"XXX",0,1)&amp;
"_"&amp;
商品マスタ[[#This Row],[シリアル]]&amp;
"_"&amp;
TEXT(COUNTIFS(商品マスタ!$C$3:C361,商品マスタ[[#This Row],[仕入先]],商品マスタ!$E$3:E361,商品マスタ[[#This Row],[商品名]]), "00")</f>
        <v>PRD_SNJ_SDH_0002_01</v>
      </c>
      <c r="E361" s="63" t="s">
        <v>1071</v>
      </c>
      <c r="F361" s="87">
        <f>IF(COUNTIFS($C$3:C361,商品マスタ[[#This Row],[仕入先]],$E$3:E361,商品マスタ[[#This Row],[商品名]]) = 1, 1,0)</f>
        <v>1</v>
      </c>
      <c r="G361" s="133" t="str">
        <f>TEXT(SUMIF($C$3:C361,商品マスタ[[#This Row],[仕入先]],$F$3:F361), "0000")</f>
        <v>0002</v>
      </c>
      <c r="H361" s="87" t="s">
        <v>1047</v>
      </c>
      <c r="I361" s="87"/>
      <c r="J361" s="87">
        <v>1</v>
      </c>
      <c r="K361" s="87"/>
      <c r="L361" s="134">
        <v>4250</v>
      </c>
      <c r="M361" s="157"/>
      <c r="N361" s="134"/>
      <c r="O361" s="135" t="str">
        <f>IF(COUNT(商品マスタ[[#This Row],[参考上代
（税込)]]) &gt; 0, (商品マスタ[[#This Row],[参考上代
（税込)]]-商品マスタ[[#This Row],[国内定価
（15％）]])/(商品マスタ[[#This Row],[参考上代
（税込)]]/1.08), "")</f>
        <v/>
      </c>
      <c r="P361" s="136">
        <v>0.1</v>
      </c>
      <c r="Q361" s="134">
        <f>商品マスタ[[#This Row],[仕入
単価]]*商品マスタ[[#This Row],[標準国内送料率]]</f>
        <v>425</v>
      </c>
      <c r="R361" s="134"/>
      <c r="S361" s="134">
        <f>IF(ISBLANK(商品マスタ[[#This Row],[実績
国内送料]]),商品マスタ[[#This Row],[標準国内送料]],)</f>
        <v>425</v>
      </c>
      <c r="T361" s="134">
        <f>商品マスタ[[#This Row],[仕入
単価]]+商品マスタ[[#This Row],[国内送料]]</f>
        <v>4675</v>
      </c>
      <c r="U361" s="134">
        <f>ROUNDUP(商品マスタ[[#This Row],[仕入単価+国内送料]]/0.8,-1)</f>
        <v>5850</v>
      </c>
      <c r="V361" s="134">
        <f>商品マスタ[[#This Row],[海外定価
（20％）]]-商品マスタ[[#This Row],[仕入単価+国内送料]]</f>
        <v>1175</v>
      </c>
      <c r="W361" s="87">
        <f>ROUNDUP(商品マスタ[[#This Row],[仕入単価+国内送料]]/0.85,-1)</f>
        <v>5500</v>
      </c>
      <c r="X361" s="134">
        <f>商品マスタ[[#This Row],[国内定価
（15％）]]-商品マスタ[[#This Row],[仕入単価+国内送料]]</f>
        <v>825</v>
      </c>
      <c r="Y361" s="139"/>
      <c r="Z361" s="87"/>
      <c r="AA361" s="87"/>
      <c r="AB361" s="87"/>
      <c r="AC361" s="140"/>
      <c r="AD361" s="87"/>
      <c r="AE361" s="87"/>
      <c r="AF361" s="87"/>
      <c r="AG361" s="141"/>
    </row>
    <row r="362" spans="1:33" ht="18">
      <c r="A362" s="166" t="s">
        <v>1523</v>
      </c>
      <c r="B362" s="176" t="s">
        <v>1232</v>
      </c>
      <c r="C362" s="171" t="s">
        <v>1062</v>
      </c>
      <c r="D362" s="143" t="str">
        <f>"PRD_SNJ_"&amp;
_xlfn.XLOOKUP(商品マスタ[[#This Row],[仕入先]],テーブル1[仕入先名],テーブル1[仕入先コード],"XXX",0,1)&amp;
"_"&amp;
商品マスタ[[#This Row],[シリアル]]&amp;
"_"&amp;
TEXT(COUNTIFS(商品マスタ!$C$3:C362,商品マスタ[[#This Row],[仕入先]],商品マスタ!$E$3:E362,商品マスタ[[#This Row],[商品名]]), "00")</f>
        <v>PRD_SNJ_SDH_0003_01</v>
      </c>
      <c r="E362" s="63" t="s">
        <v>1072</v>
      </c>
      <c r="F362" s="87">
        <f>IF(COUNTIFS($C$3:C362,商品マスタ[[#This Row],[仕入先]],$E$3:E362,商品マスタ[[#This Row],[商品名]]) = 1, 1,0)</f>
        <v>1</v>
      </c>
      <c r="G362" s="133" t="str">
        <f>TEXT(SUMIF($C$3:C362,商品マスタ[[#This Row],[仕入先]],$F$3:F362), "0000")</f>
        <v>0003</v>
      </c>
      <c r="H362" s="87" t="s">
        <v>1047</v>
      </c>
      <c r="I362" s="87"/>
      <c r="J362" s="87">
        <v>1</v>
      </c>
      <c r="K362" s="87"/>
      <c r="L362" s="134">
        <v>4350</v>
      </c>
      <c r="M362" s="157"/>
      <c r="N362" s="134"/>
      <c r="O362" s="135" t="str">
        <f>IF(COUNT(商品マスタ[[#This Row],[参考上代
（税込)]]) &gt; 0, (商品マスタ[[#This Row],[参考上代
（税込)]]-商品マスタ[[#This Row],[国内定価
（15％）]])/(商品マスタ[[#This Row],[参考上代
（税込)]]/1.08), "")</f>
        <v/>
      </c>
      <c r="P362" s="136">
        <v>0.1</v>
      </c>
      <c r="Q362" s="134">
        <f>商品マスタ[[#This Row],[仕入
単価]]*商品マスタ[[#This Row],[標準国内送料率]]</f>
        <v>435</v>
      </c>
      <c r="R362" s="134"/>
      <c r="S362" s="134">
        <f>IF(ISBLANK(商品マスタ[[#This Row],[実績
国内送料]]),商品マスタ[[#This Row],[標準国内送料]],)</f>
        <v>435</v>
      </c>
      <c r="T362" s="134">
        <f>商品マスタ[[#This Row],[仕入
単価]]+商品マスタ[[#This Row],[国内送料]]</f>
        <v>4785</v>
      </c>
      <c r="U362" s="134">
        <f>ROUNDUP(商品マスタ[[#This Row],[仕入単価+国内送料]]/0.8,-1)</f>
        <v>5990</v>
      </c>
      <c r="V362" s="134">
        <f>商品マスタ[[#This Row],[海外定価
（20％）]]-商品マスタ[[#This Row],[仕入単価+国内送料]]</f>
        <v>1205</v>
      </c>
      <c r="W362" s="87">
        <f>ROUNDUP(商品マスタ[[#This Row],[仕入単価+国内送料]]/0.85,-1)</f>
        <v>5630</v>
      </c>
      <c r="X362" s="134">
        <f>商品マスタ[[#This Row],[国内定価
（15％）]]-商品マスタ[[#This Row],[仕入単価+国内送料]]</f>
        <v>845</v>
      </c>
      <c r="Y362" s="139"/>
      <c r="Z362" s="87"/>
      <c r="AA362" s="87"/>
      <c r="AB362" s="87"/>
      <c r="AC362" s="140"/>
      <c r="AD362" s="87"/>
      <c r="AE362" s="87"/>
      <c r="AF362" s="87"/>
      <c r="AG362" s="141"/>
    </row>
    <row r="363" spans="1:33" ht="18">
      <c r="A363" s="166" t="s">
        <v>1523</v>
      </c>
      <c r="B363" s="176" t="s">
        <v>1232</v>
      </c>
      <c r="C363" s="171" t="s">
        <v>1062</v>
      </c>
      <c r="D363" s="143" t="str">
        <f>"PRD_SNJ_"&amp;
_xlfn.XLOOKUP(商品マスタ[[#This Row],[仕入先]],テーブル1[仕入先名],テーブル1[仕入先コード],"XXX",0,1)&amp;
"_"&amp;
商品マスタ[[#This Row],[シリアル]]&amp;
"_"&amp;
TEXT(COUNTIFS(商品マスタ!$C$3:C363,商品マスタ[[#This Row],[仕入先]],商品マスタ!$E$3:E363,商品マスタ[[#This Row],[商品名]]), "00")</f>
        <v>PRD_SNJ_SDH_0004_01</v>
      </c>
      <c r="E363" s="63" t="s">
        <v>374</v>
      </c>
      <c r="F363" s="87">
        <f>IF(COUNTIFS($C$3:C363,商品マスタ[[#This Row],[仕入先]],$E$3:E363,商品マスタ[[#This Row],[商品名]]) = 1, 1,0)</f>
        <v>1</v>
      </c>
      <c r="G363" s="133" t="str">
        <f>TEXT(SUMIF($C$3:C363,商品マスタ[[#This Row],[仕入先]],$F$3:F363), "0000")</f>
        <v>0004</v>
      </c>
      <c r="H363" s="87" t="s">
        <v>1047</v>
      </c>
      <c r="I363" s="87"/>
      <c r="J363" s="87">
        <v>1</v>
      </c>
      <c r="K363" s="87"/>
      <c r="L363" s="134">
        <v>3580</v>
      </c>
      <c r="M363" s="157"/>
      <c r="N363" s="134"/>
      <c r="O363" s="135" t="str">
        <f>IF(COUNT(商品マスタ[[#This Row],[参考上代
（税込)]]) &gt; 0, (商品マスタ[[#This Row],[参考上代
（税込)]]-商品マスタ[[#This Row],[国内定価
（15％）]])/(商品マスタ[[#This Row],[参考上代
（税込)]]/1.08), "")</f>
        <v/>
      </c>
      <c r="P363" s="136">
        <v>0.1</v>
      </c>
      <c r="Q363" s="134">
        <f>商品マスタ[[#This Row],[仕入
単価]]*商品マスタ[[#This Row],[標準国内送料率]]</f>
        <v>358</v>
      </c>
      <c r="R363" s="134"/>
      <c r="S363" s="134">
        <f>IF(ISBLANK(商品マスタ[[#This Row],[実績
国内送料]]),商品マスタ[[#This Row],[標準国内送料]],)</f>
        <v>358</v>
      </c>
      <c r="T363" s="134">
        <f>商品マスタ[[#This Row],[仕入
単価]]+商品マスタ[[#This Row],[国内送料]]</f>
        <v>3938</v>
      </c>
      <c r="U363" s="134">
        <f>ROUNDUP(商品マスタ[[#This Row],[仕入単価+国内送料]]/0.8,-1)</f>
        <v>4930</v>
      </c>
      <c r="V363" s="134">
        <f>商品マスタ[[#This Row],[海外定価
（20％）]]-商品マスタ[[#This Row],[仕入単価+国内送料]]</f>
        <v>992</v>
      </c>
      <c r="W363" s="87">
        <f>ROUNDUP(商品マスタ[[#This Row],[仕入単価+国内送料]]/0.85,-1)</f>
        <v>4640</v>
      </c>
      <c r="X363" s="134">
        <f>商品マスタ[[#This Row],[国内定価
（15％）]]-商品マスタ[[#This Row],[仕入単価+国内送料]]</f>
        <v>702</v>
      </c>
      <c r="Y363" s="139"/>
      <c r="Z363" s="87"/>
      <c r="AA363" s="87"/>
      <c r="AB363" s="87"/>
      <c r="AC363" s="140"/>
      <c r="AD363" s="87"/>
      <c r="AE363" s="87"/>
      <c r="AF363" s="87"/>
      <c r="AG363" s="141"/>
    </row>
    <row r="364" spans="1:33" ht="18">
      <c r="A364" s="166" t="s">
        <v>1523</v>
      </c>
      <c r="B364" s="176" t="s">
        <v>1232</v>
      </c>
      <c r="C364" s="171" t="s">
        <v>1062</v>
      </c>
      <c r="D364" s="143" t="str">
        <f>"PRD_SNJ_"&amp;
_xlfn.XLOOKUP(商品マスタ[[#This Row],[仕入先]],テーブル1[仕入先名],テーブル1[仕入先コード],"XXX",0,1)&amp;
"_"&amp;
商品マスタ[[#This Row],[シリアル]]&amp;
"_"&amp;
TEXT(COUNTIFS(商品マスタ!$C$3:C364,商品マスタ[[#This Row],[仕入先]],商品マスタ!$E$3:E364,商品マスタ[[#This Row],[商品名]]), "00")</f>
        <v>PRD_SNJ_SDH_0005_01</v>
      </c>
      <c r="E364" s="63" t="s">
        <v>377</v>
      </c>
      <c r="F364" s="87">
        <f>IF(COUNTIFS($C$3:C364,商品マスタ[[#This Row],[仕入先]],$E$3:E364,商品マスタ[[#This Row],[商品名]]) = 1, 1,0)</f>
        <v>1</v>
      </c>
      <c r="G364" s="133" t="str">
        <f>TEXT(SUMIF($C$3:C364,商品マスタ[[#This Row],[仕入先]],$F$3:F364), "0000")</f>
        <v>0005</v>
      </c>
      <c r="H364" s="87" t="s">
        <v>1047</v>
      </c>
      <c r="I364" s="87"/>
      <c r="J364" s="87">
        <v>1</v>
      </c>
      <c r="K364" s="87"/>
      <c r="L364" s="134">
        <v>3250</v>
      </c>
      <c r="M364" s="157"/>
      <c r="N364" s="134"/>
      <c r="O364" s="135" t="str">
        <f>IF(COUNT(商品マスタ[[#This Row],[参考上代
（税込)]]) &gt; 0, (商品マスタ[[#This Row],[参考上代
（税込)]]-商品マスタ[[#This Row],[国内定価
（15％）]])/(商品マスタ[[#This Row],[参考上代
（税込)]]/1.08), "")</f>
        <v/>
      </c>
      <c r="P364" s="136">
        <v>0.1</v>
      </c>
      <c r="Q364" s="134">
        <f>商品マスタ[[#This Row],[仕入
単価]]*商品マスタ[[#This Row],[標準国内送料率]]</f>
        <v>325</v>
      </c>
      <c r="R364" s="134"/>
      <c r="S364" s="134">
        <f>IF(ISBLANK(商品マスタ[[#This Row],[実績
国内送料]]),商品マスタ[[#This Row],[標準国内送料]],)</f>
        <v>325</v>
      </c>
      <c r="T364" s="134">
        <f>商品マスタ[[#This Row],[仕入
単価]]+商品マスタ[[#This Row],[国内送料]]</f>
        <v>3575</v>
      </c>
      <c r="U364" s="134">
        <f>ROUNDUP(商品マスタ[[#This Row],[仕入単価+国内送料]]/0.8,-1)</f>
        <v>4470</v>
      </c>
      <c r="V364" s="134">
        <f>商品マスタ[[#This Row],[海外定価
（20％）]]-商品マスタ[[#This Row],[仕入単価+国内送料]]</f>
        <v>895</v>
      </c>
      <c r="W364" s="87">
        <f>ROUNDUP(商品マスタ[[#This Row],[仕入単価+国内送料]]/0.85,-1)</f>
        <v>4210</v>
      </c>
      <c r="X364" s="134">
        <f>商品マスタ[[#This Row],[国内定価
（15％）]]-商品マスタ[[#This Row],[仕入単価+国内送料]]</f>
        <v>635</v>
      </c>
      <c r="Y364" s="139"/>
      <c r="Z364" s="87"/>
      <c r="AA364" s="87"/>
      <c r="AB364" s="87"/>
      <c r="AC364" s="140"/>
      <c r="AD364" s="87"/>
      <c r="AE364" s="87"/>
      <c r="AF364" s="87"/>
      <c r="AG364" s="141"/>
    </row>
    <row r="365" spans="1:33" ht="18">
      <c r="A365" s="166" t="s">
        <v>1523</v>
      </c>
      <c r="B365" s="176" t="s">
        <v>1232</v>
      </c>
      <c r="C365" s="171" t="s">
        <v>1062</v>
      </c>
      <c r="D365" s="143" t="str">
        <f>"PRD_SNJ_"&amp;
_xlfn.XLOOKUP(商品マスタ[[#This Row],[仕入先]],テーブル1[仕入先名],テーブル1[仕入先コード],"XXX",0,1)&amp;
"_"&amp;
商品マスタ[[#This Row],[シリアル]]&amp;
"_"&amp;
TEXT(COUNTIFS(商品マスタ!$C$3:C365,商品マスタ[[#This Row],[仕入先]],商品マスタ!$E$3:E365,商品マスタ[[#This Row],[商品名]]), "00")</f>
        <v>PRD_SNJ_SDH_0006_01</v>
      </c>
      <c r="E365" s="63" t="s">
        <v>1073</v>
      </c>
      <c r="F365" s="87">
        <f>IF(COUNTIFS($C$3:C365,商品マスタ[[#This Row],[仕入先]],$E$3:E365,商品マスタ[[#This Row],[商品名]]) = 1, 1,0)</f>
        <v>1</v>
      </c>
      <c r="G365" s="133" t="str">
        <f>TEXT(SUMIF($C$3:C365,商品マスタ[[#This Row],[仕入先]],$F$3:F365), "0000")</f>
        <v>0006</v>
      </c>
      <c r="H365" s="87" t="s">
        <v>1047</v>
      </c>
      <c r="I365" s="87"/>
      <c r="J365" s="87">
        <v>1</v>
      </c>
      <c r="K365" s="87"/>
      <c r="L365" s="134">
        <v>3000</v>
      </c>
      <c r="M365" s="157"/>
      <c r="N365" s="134"/>
      <c r="O365" s="135" t="str">
        <f>IF(COUNT(商品マスタ[[#This Row],[参考上代
（税込)]]) &gt; 0, (商品マスタ[[#This Row],[参考上代
（税込)]]-商品マスタ[[#This Row],[国内定価
（15％）]])/(商品マスタ[[#This Row],[参考上代
（税込)]]/1.08), "")</f>
        <v/>
      </c>
      <c r="P365" s="136">
        <v>0.1</v>
      </c>
      <c r="Q365" s="134">
        <f>商品マスタ[[#This Row],[仕入
単価]]*商品マスタ[[#This Row],[標準国内送料率]]</f>
        <v>300</v>
      </c>
      <c r="R365" s="134"/>
      <c r="S365" s="134">
        <f>IF(ISBLANK(商品マスタ[[#This Row],[実績
国内送料]]),商品マスタ[[#This Row],[標準国内送料]],)</f>
        <v>300</v>
      </c>
      <c r="T365" s="134">
        <f>商品マスタ[[#This Row],[仕入
単価]]+商品マスタ[[#This Row],[国内送料]]</f>
        <v>3300</v>
      </c>
      <c r="U365" s="134">
        <f>ROUNDUP(商品マスタ[[#This Row],[仕入単価+国内送料]]/0.8,-1)</f>
        <v>4130</v>
      </c>
      <c r="V365" s="134">
        <f>商品マスタ[[#This Row],[海外定価
（20％）]]-商品マスタ[[#This Row],[仕入単価+国内送料]]</f>
        <v>830</v>
      </c>
      <c r="W365" s="87">
        <f>ROUNDUP(商品マスタ[[#This Row],[仕入単価+国内送料]]/0.85,-1)</f>
        <v>3890</v>
      </c>
      <c r="X365" s="134">
        <f>商品マスタ[[#This Row],[国内定価
（15％）]]-商品マスタ[[#This Row],[仕入単価+国内送料]]</f>
        <v>590</v>
      </c>
      <c r="Y365" s="139"/>
      <c r="Z365" s="87"/>
      <c r="AA365" s="87"/>
      <c r="AB365" s="87"/>
      <c r="AC365" s="140"/>
      <c r="AD365" s="87"/>
      <c r="AE365" s="87"/>
      <c r="AF365" s="87"/>
      <c r="AG365" s="141"/>
    </row>
    <row r="366" spans="1:33" ht="18">
      <c r="A366" s="166" t="s">
        <v>1523</v>
      </c>
      <c r="B366" s="176" t="s">
        <v>1232</v>
      </c>
      <c r="C366" s="171" t="s">
        <v>1062</v>
      </c>
      <c r="D366" s="143" t="str">
        <f>"PRD_SNJ_"&amp;
_xlfn.XLOOKUP(商品マスタ[[#This Row],[仕入先]],テーブル1[仕入先名],テーブル1[仕入先コード],"XXX",0,1)&amp;
"_"&amp;
商品マスタ[[#This Row],[シリアル]]&amp;
"_"&amp;
TEXT(COUNTIFS(商品マスタ!$C$3:C366,商品マスタ[[#This Row],[仕入先]],商品マスタ!$E$3:E366,商品マスタ[[#This Row],[商品名]]), "00")</f>
        <v>PRD_SNJ_SDH_0007_01</v>
      </c>
      <c r="E366" s="63" t="s">
        <v>381</v>
      </c>
      <c r="F366" s="87">
        <f>IF(COUNTIFS($C$3:C366,商品マスタ[[#This Row],[仕入先]],$E$3:E366,商品マスタ[[#This Row],[商品名]]) = 1, 1,0)</f>
        <v>1</v>
      </c>
      <c r="G366" s="133" t="str">
        <f>TEXT(SUMIF($C$3:C366,商品マスタ[[#This Row],[仕入先]],$F$3:F366), "0000")</f>
        <v>0007</v>
      </c>
      <c r="H366" s="87" t="s">
        <v>1047</v>
      </c>
      <c r="I366" s="87"/>
      <c r="J366" s="87">
        <v>1</v>
      </c>
      <c r="K366" s="87"/>
      <c r="L366" s="134">
        <v>3050</v>
      </c>
      <c r="M366" s="157"/>
      <c r="N366" s="134"/>
      <c r="O366" s="135" t="str">
        <f>IF(COUNT(商品マスタ[[#This Row],[参考上代
（税込)]]) &gt; 0, (商品マスタ[[#This Row],[参考上代
（税込)]]-商品マスタ[[#This Row],[国内定価
（15％）]])/(商品マスタ[[#This Row],[参考上代
（税込)]]/1.08), "")</f>
        <v/>
      </c>
      <c r="P366" s="136">
        <v>0.1</v>
      </c>
      <c r="Q366" s="134">
        <f>商品マスタ[[#This Row],[仕入
単価]]*商品マスタ[[#This Row],[標準国内送料率]]</f>
        <v>305</v>
      </c>
      <c r="R366" s="134"/>
      <c r="S366" s="134">
        <f>IF(ISBLANK(商品マスタ[[#This Row],[実績
国内送料]]),商品マスタ[[#This Row],[標準国内送料]],)</f>
        <v>305</v>
      </c>
      <c r="T366" s="134">
        <f>商品マスタ[[#This Row],[仕入
単価]]+商品マスタ[[#This Row],[国内送料]]</f>
        <v>3355</v>
      </c>
      <c r="U366" s="134">
        <f>ROUNDUP(商品マスタ[[#This Row],[仕入単価+国内送料]]/0.8,-1)</f>
        <v>4200</v>
      </c>
      <c r="V366" s="134">
        <f>商品マスタ[[#This Row],[海外定価
（20％）]]-商品マスタ[[#This Row],[仕入単価+国内送料]]</f>
        <v>845</v>
      </c>
      <c r="W366" s="87">
        <f>ROUNDUP(商品マスタ[[#This Row],[仕入単価+国内送料]]/0.85,-1)</f>
        <v>3950</v>
      </c>
      <c r="X366" s="134">
        <f>商品マスタ[[#This Row],[国内定価
（15％）]]-商品マスタ[[#This Row],[仕入単価+国内送料]]</f>
        <v>595</v>
      </c>
      <c r="Y366" s="139"/>
      <c r="Z366" s="87"/>
      <c r="AA366" s="87"/>
      <c r="AB366" s="87"/>
      <c r="AC366" s="140"/>
      <c r="AD366" s="87"/>
      <c r="AE366" s="87"/>
      <c r="AF366" s="87"/>
      <c r="AG366" s="141"/>
    </row>
    <row r="367" spans="1:33" ht="18">
      <c r="A367" s="166" t="s">
        <v>1523</v>
      </c>
      <c r="B367" s="176" t="s">
        <v>1232</v>
      </c>
      <c r="C367" s="171" t="s">
        <v>1062</v>
      </c>
      <c r="D367" s="143" t="str">
        <f>"PRD_SNJ_"&amp;
_xlfn.XLOOKUP(商品マスタ[[#This Row],[仕入先]],テーブル1[仕入先名],テーブル1[仕入先コード],"XXX",0,1)&amp;
"_"&amp;
商品マスタ[[#This Row],[シリアル]]&amp;
"_"&amp;
TEXT(COUNTIFS(商品マスタ!$C$3:C367,商品マスタ[[#This Row],[仕入先]],商品マスタ!$E$3:E367,商品マスタ[[#This Row],[商品名]]), "00")</f>
        <v>PRD_SNJ_SDH_0008_01</v>
      </c>
      <c r="E367" s="63" t="s">
        <v>379</v>
      </c>
      <c r="F367" s="87">
        <f>IF(COUNTIFS($C$3:C367,商品マスタ[[#This Row],[仕入先]],$E$3:E367,商品マスタ[[#This Row],[商品名]]) = 1, 1,0)</f>
        <v>1</v>
      </c>
      <c r="G367" s="133" t="str">
        <f>TEXT(SUMIF($C$3:C367,商品マスタ[[#This Row],[仕入先]],$F$3:F367), "0000")</f>
        <v>0008</v>
      </c>
      <c r="H367" s="87" t="s">
        <v>1047</v>
      </c>
      <c r="I367" s="87"/>
      <c r="J367" s="87">
        <v>1</v>
      </c>
      <c r="K367" s="87"/>
      <c r="L367" s="134">
        <v>2660</v>
      </c>
      <c r="M367" s="157"/>
      <c r="N367" s="134"/>
      <c r="O367" s="135" t="str">
        <f>IF(COUNT(商品マスタ[[#This Row],[参考上代
（税込)]]) &gt; 0, (商品マスタ[[#This Row],[参考上代
（税込)]]-商品マスタ[[#This Row],[国内定価
（15％）]])/(商品マスタ[[#This Row],[参考上代
（税込)]]/1.08), "")</f>
        <v/>
      </c>
      <c r="P367" s="136">
        <v>0.1</v>
      </c>
      <c r="Q367" s="134">
        <f>商品マスタ[[#This Row],[仕入
単価]]*商品マスタ[[#This Row],[標準国内送料率]]</f>
        <v>266</v>
      </c>
      <c r="R367" s="134"/>
      <c r="S367" s="134">
        <f>IF(ISBLANK(商品マスタ[[#This Row],[実績
国内送料]]),商品マスタ[[#This Row],[標準国内送料]],)</f>
        <v>266</v>
      </c>
      <c r="T367" s="134">
        <f>商品マスタ[[#This Row],[仕入
単価]]+商品マスタ[[#This Row],[国内送料]]</f>
        <v>2926</v>
      </c>
      <c r="U367" s="134">
        <f>ROUNDUP(商品マスタ[[#This Row],[仕入単価+国内送料]]/0.8,-1)</f>
        <v>3660</v>
      </c>
      <c r="V367" s="134">
        <f>商品マスタ[[#This Row],[海外定価
（20％）]]-商品マスタ[[#This Row],[仕入単価+国内送料]]</f>
        <v>734</v>
      </c>
      <c r="W367" s="87">
        <f>ROUNDUP(商品マスタ[[#This Row],[仕入単価+国内送料]]/0.85,-1)</f>
        <v>3450</v>
      </c>
      <c r="X367" s="134">
        <f>商品マスタ[[#This Row],[国内定価
（15％）]]-商品マスタ[[#This Row],[仕入単価+国内送料]]</f>
        <v>524</v>
      </c>
      <c r="Y367" s="139"/>
      <c r="Z367" s="87"/>
      <c r="AA367" s="87"/>
      <c r="AB367" s="87"/>
      <c r="AC367" s="140"/>
      <c r="AD367" s="87"/>
      <c r="AE367" s="87"/>
      <c r="AF367" s="87"/>
      <c r="AG367" s="141"/>
    </row>
    <row r="368" spans="1:33" ht="18">
      <c r="A368" s="166" t="s">
        <v>1523</v>
      </c>
      <c r="B368" s="176" t="s">
        <v>1232</v>
      </c>
      <c r="C368" s="171" t="s">
        <v>1062</v>
      </c>
      <c r="D368" s="143" t="str">
        <f>"PRD_SNJ_"&amp;
_xlfn.XLOOKUP(商品マスタ[[#This Row],[仕入先]],テーブル1[仕入先名],テーブル1[仕入先コード],"XXX",0,1)&amp;
"_"&amp;
商品マスタ[[#This Row],[シリアル]]&amp;
"_"&amp;
TEXT(COUNTIFS(商品マスタ!$C$3:C368,商品マスタ[[#This Row],[仕入先]],商品マスタ!$E$3:E368,商品マスタ[[#This Row],[商品名]]), "00")</f>
        <v>PRD_SNJ_SDH_0009_01</v>
      </c>
      <c r="E368" s="63" t="s">
        <v>509</v>
      </c>
      <c r="F368" s="87">
        <f>IF(COUNTIFS($C$3:C368,商品マスタ[[#This Row],[仕入先]],$E$3:E368,商品マスタ[[#This Row],[商品名]]) = 1, 1,0)</f>
        <v>1</v>
      </c>
      <c r="G368" s="133" t="str">
        <f>TEXT(SUMIF($C$3:C368,商品マスタ[[#This Row],[仕入先]],$F$3:F368), "0000")</f>
        <v>0009</v>
      </c>
      <c r="H368" s="87" t="s">
        <v>1047</v>
      </c>
      <c r="I368" s="87"/>
      <c r="J368" s="87">
        <v>1</v>
      </c>
      <c r="K368" s="87"/>
      <c r="L368" s="134">
        <v>2750</v>
      </c>
      <c r="M368" s="157"/>
      <c r="N368" s="134"/>
      <c r="O368" s="135" t="str">
        <f>IF(COUNT(商品マスタ[[#This Row],[参考上代
（税込)]]) &gt; 0, (商品マスタ[[#This Row],[参考上代
（税込)]]-商品マスタ[[#This Row],[国内定価
（15％）]])/(商品マスタ[[#This Row],[参考上代
（税込)]]/1.08), "")</f>
        <v/>
      </c>
      <c r="P368" s="136">
        <v>0.1</v>
      </c>
      <c r="Q368" s="134">
        <f>商品マスタ[[#This Row],[仕入
単価]]*商品マスタ[[#This Row],[標準国内送料率]]</f>
        <v>275</v>
      </c>
      <c r="R368" s="134"/>
      <c r="S368" s="134">
        <f>IF(ISBLANK(商品マスタ[[#This Row],[実績
国内送料]]),商品マスタ[[#This Row],[標準国内送料]],)</f>
        <v>275</v>
      </c>
      <c r="T368" s="134">
        <f>商品マスタ[[#This Row],[仕入
単価]]+商品マスタ[[#This Row],[国内送料]]</f>
        <v>3025</v>
      </c>
      <c r="U368" s="134">
        <f>ROUNDUP(商品マスタ[[#This Row],[仕入単価+国内送料]]/0.8,-1)</f>
        <v>3790</v>
      </c>
      <c r="V368" s="134">
        <f>商品マスタ[[#This Row],[海外定価
（20％）]]-商品マスタ[[#This Row],[仕入単価+国内送料]]</f>
        <v>765</v>
      </c>
      <c r="W368" s="87">
        <f>ROUNDUP(商品マスタ[[#This Row],[仕入単価+国内送料]]/0.85,-1)</f>
        <v>3560</v>
      </c>
      <c r="X368" s="134">
        <f>商品マスタ[[#This Row],[国内定価
（15％）]]-商品マスタ[[#This Row],[仕入単価+国内送料]]</f>
        <v>535</v>
      </c>
      <c r="Y368" s="139"/>
      <c r="Z368" s="87"/>
      <c r="AA368" s="87"/>
      <c r="AB368" s="87"/>
      <c r="AC368" s="140"/>
      <c r="AD368" s="87"/>
      <c r="AE368" s="87"/>
      <c r="AF368" s="87"/>
      <c r="AG368" s="141"/>
    </row>
    <row r="369" spans="1:33" ht="18">
      <c r="A369" s="166" t="s">
        <v>1523</v>
      </c>
      <c r="B369" s="176" t="s">
        <v>1232</v>
      </c>
      <c r="C369" s="171" t="s">
        <v>1062</v>
      </c>
      <c r="D369" s="143" t="str">
        <f>"PRD_SNJ_"&amp;
_xlfn.XLOOKUP(商品マスタ[[#This Row],[仕入先]],テーブル1[仕入先名],テーブル1[仕入先コード],"XXX",0,1)&amp;
"_"&amp;
商品マスタ[[#This Row],[シリアル]]&amp;
"_"&amp;
TEXT(COUNTIFS(商品マスタ!$C$3:C369,商品マスタ[[#This Row],[仕入先]],商品マスタ!$E$3:E369,商品マスタ[[#This Row],[商品名]]), "00")</f>
        <v>PRD_SNJ_SDH_0010_01</v>
      </c>
      <c r="E369" s="63" t="s">
        <v>1067</v>
      </c>
      <c r="F369" s="87">
        <f>IF(COUNTIFS($C$3:C369,商品マスタ[[#This Row],[仕入先]],$E$3:E369,商品マスタ[[#This Row],[商品名]]) = 1, 1,0)</f>
        <v>1</v>
      </c>
      <c r="G369" s="133" t="str">
        <f>TEXT(SUMIF($C$3:C369,商品マスタ[[#This Row],[仕入先]],$F$3:F369), "0000")</f>
        <v>0010</v>
      </c>
      <c r="H369" s="87" t="s">
        <v>1047</v>
      </c>
      <c r="I369" s="87"/>
      <c r="J369" s="87">
        <v>1</v>
      </c>
      <c r="K369" s="87"/>
      <c r="L369" s="134">
        <v>1250</v>
      </c>
      <c r="M369" s="157"/>
      <c r="N369" s="134"/>
      <c r="O369" s="135" t="str">
        <f>IF(COUNT(商品マスタ[[#This Row],[参考上代
（税込)]]) &gt; 0, (商品マスタ[[#This Row],[参考上代
（税込)]]-商品マスタ[[#This Row],[国内定価
（15％）]])/(商品マスタ[[#This Row],[参考上代
（税込)]]/1.08), "")</f>
        <v/>
      </c>
      <c r="P369" s="136">
        <v>0.1</v>
      </c>
      <c r="Q369" s="134">
        <f>商品マスタ[[#This Row],[仕入
単価]]*商品マスタ[[#This Row],[標準国内送料率]]</f>
        <v>125</v>
      </c>
      <c r="R369" s="134"/>
      <c r="S369" s="134">
        <f>IF(ISBLANK(商品マスタ[[#This Row],[実績
国内送料]]),商品マスタ[[#This Row],[標準国内送料]],)</f>
        <v>125</v>
      </c>
      <c r="T369" s="134">
        <f>商品マスタ[[#This Row],[仕入
単価]]+商品マスタ[[#This Row],[国内送料]]</f>
        <v>1375</v>
      </c>
      <c r="U369" s="134">
        <f>ROUNDUP(商品マスタ[[#This Row],[仕入単価+国内送料]]/0.8,-1)</f>
        <v>1720</v>
      </c>
      <c r="V369" s="134">
        <f>商品マスタ[[#This Row],[海外定価
（20％）]]-商品マスタ[[#This Row],[仕入単価+国内送料]]</f>
        <v>345</v>
      </c>
      <c r="W369" s="87">
        <f>ROUNDUP(商品マスタ[[#This Row],[仕入単価+国内送料]]/0.85,-1)</f>
        <v>1620</v>
      </c>
      <c r="X369" s="134">
        <f>商品マスタ[[#This Row],[国内定価
（15％）]]-商品マスタ[[#This Row],[仕入単価+国内送料]]</f>
        <v>245</v>
      </c>
      <c r="Y369" s="139"/>
      <c r="Z369" s="87"/>
      <c r="AA369" s="87"/>
      <c r="AB369" s="87"/>
      <c r="AC369" s="140"/>
      <c r="AD369" s="87"/>
      <c r="AE369" s="87"/>
      <c r="AF369" s="87"/>
      <c r="AG369" s="141"/>
    </row>
    <row r="370" spans="1:33" ht="18">
      <c r="A370" s="166" t="s">
        <v>1523</v>
      </c>
      <c r="B370" s="176" t="s">
        <v>1232</v>
      </c>
      <c r="C370" s="171" t="s">
        <v>1062</v>
      </c>
      <c r="D370" s="143" t="str">
        <f>"PRD_SNJ_"&amp;
_xlfn.XLOOKUP(商品マスタ[[#This Row],[仕入先]],テーブル1[仕入先名],テーブル1[仕入先コード],"XXX",0,1)&amp;
"_"&amp;
商品マスタ[[#This Row],[シリアル]]&amp;
"_"&amp;
TEXT(COUNTIFS(商品マスタ!$C$3:C370,商品マスタ[[#This Row],[仕入先]],商品マスタ!$E$3:E370,商品マスタ[[#This Row],[商品名]]), "00")</f>
        <v>PRD_SNJ_SDH_0011_01</v>
      </c>
      <c r="E370" s="63" t="s">
        <v>1074</v>
      </c>
      <c r="F370" s="87">
        <f>IF(COUNTIFS($C$3:C370,商品マスタ[[#This Row],[仕入先]],$E$3:E370,商品マスタ[[#This Row],[商品名]]) = 1, 1,0)</f>
        <v>1</v>
      </c>
      <c r="G370" s="133" t="str">
        <f>TEXT(SUMIF($C$3:C370,商品マスタ[[#This Row],[仕入先]],$F$3:F370), "0000")</f>
        <v>0011</v>
      </c>
      <c r="H370" s="87" t="s">
        <v>1047</v>
      </c>
      <c r="I370" s="87"/>
      <c r="J370" s="87">
        <v>1</v>
      </c>
      <c r="K370" s="87"/>
      <c r="L370" s="134">
        <v>1000</v>
      </c>
      <c r="M370" s="157"/>
      <c r="N370" s="134"/>
      <c r="O370" s="135" t="str">
        <f>IF(COUNT(商品マスタ[[#This Row],[参考上代
（税込)]]) &gt; 0, (商品マスタ[[#This Row],[参考上代
（税込)]]-商品マスタ[[#This Row],[国内定価
（15％）]])/(商品マスタ[[#This Row],[参考上代
（税込)]]/1.08), "")</f>
        <v/>
      </c>
      <c r="P370" s="136">
        <v>0.1</v>
      </c>
      <c r="Q370" s="134">
        <f>商品マスタ[[#This Row],[仕入
単価]]*商品マスタ[[#This Row],[標準国内送料率]]</f>
        <v>100</v>
      </c>
      <c r="R370" s="134"/>
      <c r="S370" s="134">
        <f>IF(ISBLANK(商品マスタ[[#This Row],[実績
国内送料]]),商品マスタ[[#This Row],[標準国内送料]],)</f>
        <v>100</v>
      </c>
      <c r="T370" s="134">
        <f>商品マスタ[[#This Row],[仕入
単価]]+商品マスタ[[#This Row],[国内送料]]</f>
        <v>1100</v>
      </c>
      <c r="U370" s="134">
        <f>ROUNDUP(商品マスタ[[#This Row],[仕入単価+国内送料]]/0.8,-1)</f>
        <v>1380</v>
      </c>
      <c r="V370" s="134">
        <f>商品マスタ[[#This Row],[海外定価
（20％）]]-商品マスタ[[#This Row],[仕入単価+国内送料]]</f>
        <v>280</v>
      </c>
      <c r="W370" s="87">
        <f>ROUNDUP(商品マスタ[[#This Row],[仕入単価+国内送料]]/0.85,-1)</f>
        <v>1300</v>
      </c>
      <c r="X370" s="134">
        <f>商品マスタ[[#This Row],[国内定価
（15％）]]-商品マスタ[[#This Row],[仕入単価+国内送料]]</f>
        <v>200</v>
      </c>
      <c r="Y370" s="139"/>
      <c r="Z370" s="87"/>
      <c r="AA370" s="87"/>
      <c r="AB370" s="87"/>
      <c r="AC370" s="140"/>
      <c r="AD370" s="87"/>
      <c r="AE370" s="87"/>
      <c r="AF370" s="87"/>
      <c r="AG370" s="141"/>
    </row>
    <row r="371" spans="1:33" ht="18">
      <c r="A371" s="166" t="s">
        <v>1523</v>
      </c>
      <c r="B371" s="176" t="s">
        <v>1232</v>
      </c>
      <c r="C371" s="171" t="s">
        <v>1062</v>
      </c>
      <c r="D371" s="143" t="str">
        <f>"PRD_SNJ_"&amp;
_xlfn.XLOOKUP(商品マスタ[[#This Row],[仕入先]],テーブル1[仕入先名],テーブル1[仕入先コード],"XXX",0,1)&amp;
"_"&amp;
商品マスタ[[#This Row],[シリアル]]&amp;
"_"&amp;
TEXT(COUNTIFS(商品マスタ!$C$3:C371,商品マスタ[[#This Row],[仕入先]],商品マスタ!$E$3:E371,商品マスタ[[#This Row],[商品名]]), "00")</f>
        <v>PRD_SNJ_SDH_0012_01</v>
      </c>
      <c r="E371" s="63" t="s">
        <v>1075</v>
      </c>
      <c r="F371" s="87">
        <f>IF(COUNTIFS($C$3:C371,商品マスタ[[#This Row],[仕入先]],$E$3:E371,商品マスタ[[#This Row],[商品名]]) = 1, 1,0)</f>
        <v>1</v>
      </c>
      <c r="G371" s="133" t="str">
        <f>TEXT(SUMIF($C$3:C371,商品マスタ[[#This Row],[仕入先]],$F$3:F371), "0000")</f>
        <v>0012</v>
      </c>
      <c r="H371" s="87" t="s">
        <v>1047</v>
      </c>
      <c r="I371" s="87"/>
      <c r="J371" s="87">
        <v>1</v>
      </c>
      <c r="K371" s="87"/>
      <c r="L371" s="134">
        <v>1000</v>
      </c>
      <c r="M371" s="157"/>
      <c r="N371" s="134"/>
      <c r="O371" s="135" t="str">
        <f>IF(COUNT(商品マスタ[[#This Row],[参考上代
（税込)]]) &gt; 0, (商品マスタ[[#This Row],[参考上代
（税込)]]-商品マスタ[[#This Row],[国内定価
（15％）]])/(商品マスタ[[#This Row],[参考上代
（税込)]]/1.08), "")</f>
        <v/>
      </c>
      <c r="P371" s="136">
        <v>0.1</v>
      </c>
      <c r="Q371" s="134">
        <f>商品マスタ[[#This Row],[仕入
単価]]*商品マスタ[[#This Row],[標準国内送料率]]</f>
        <v>100</v>
      </c>
      <c r="R371" s="134"/>
      <c r="S371" s="134">
        <f>IF(ISBLANK(商品マスタ[[#This Row],[実績
国内送料]]),商品マスタ[[#This Row],[標準国内送料]],)</f>
        <v>100</v>
      </c>
      <c r="T371" s="134">
        <f>商品マスタ[[#This Row],[仕入
単価]]+商品マスタ[[#This Row],[国内送料]]</f>
        <v>1100</v>
      </c>
      <c r="U371" s="134">
        <f>ROUNDUP(商品マスタ[[#This Row],[仕入単価+国内送料]]/0.8,-1)</f>
        <v>1380</v>
      </c>
      <c r="V371" s="134">
        <f>商品マスタ[[#This Row],[海外定価
（20％）]]-商品マスタ[[#This Row],[仕入単価+国内送料]]</f>
        <v>280</v>
      </c>
      <c r="W371" s="87">
        <f>ROUNDUP(商品マスタ[[#This Row],[仕入単価+国内送料]]/0.85,-1)</f>
        <v>1300</v>
      </c>
      <c r="X371" s="134">
        <f>商品マスタ[[#This Row],[国内定価
（15％）]]-商品マスタ[[#This Row],[仕入単価+国内送料]]</f>
        <v>200</v>
      </c>
      <c r="Y371" s="139"/>
      <c r="Z371" s="87"/>
      <c r="AA371" s="87"/>
      <c r="AB371" s="87"/>
      <c r="AC371" s="140"/>
      <c r="AD371" s="87"/>
      <c r="AE371" s="87"/>
      <c r="AF371" s="87"/>
      <c r="AG371" s="141"/>
    </row>
    <row r="372" spans="1:33" ht="18">
      <c r="A372" s="166" t="s">
        <v>1523</v>
      </c>
      <c r="B372" s="176" t="s">
        <v>1232</v>
      </c>
      <c r="C372" s="171" t="s">
        <v>1062</v>
      </c>
      <c r="D372" s="143" t="str">
        <f>"PRD_SNJ_"&amp;
_xlfn.XLOOKUP(商品マスタ[[#This Row],[仕入先]],テーブル1[仕入先名],テーブル1[仕入先コード],"XXX",0,1)&amp;
"_"&amp;
商品マスタ[[#This Row],[シリアル]]&amp;
"_"&amp;
TEXT(COUNTIFS(商品マスタ!$C$3:C372,商品マスタ[[#This Row],[仕入先]],商品マスタ!$E$3:E372,商品マスタ[[#This Row],[商品名]]), "00")</f>
        <v>PRD_SNJ_SDH_0013_01</v>
      </c>
      <c r="E372" s="63" t="s">
        <v>448</v>
      </c>
      <c r="F372" s="87">
        <f>IF(COUNTIFS($C$3:C372,商品マスタ[[#This Row],[仕入先]],$E$3:E372,商品マスタ[[#This Row],[商品名]]) = 1, 1,0)</f>
        <v>1</v>
      </c>
      <c r="G372" s="133" t="str">
        <f>TEXT(SUMIF($C$3:C372,商品マスタ[[#This Row],[仕入先]],$F$3:F372), "0000")</f>
        <v>0013</v>
      </c>
      <c r="H372" s="87" t="s">
        <v>1047</v>
      </c>
      <c r="I372" s="87"/>
      <c r="J372" s="87">
        <v>1</v>
      </c>
      <c r="K372" s="87"/>
      <c r="L372" s="134">
        <v>1300</v>
      </c>
      <c r="M372" s="157"/>
      <c r="N372" s="134"/>
      <c r="O372" s="135" t="str">
        <f>IF(COUNT(商品マスタ[[#This Row],[参考上代
（税込)]]) &gt; 0, (商品マスタ[[#This Row],[参考上代
（税込)]]-商品マスタ[[#This Row],[国内定価
（15％）]])/(商品マスタ[[#This Row],[参考上代
（税込)]]/1.08), "")</f>
        <v/>
      </c>
      <c r="P372" s="136">
        <v>0.1</v>
      </c>
      <c r="Q372" s="134">
        <f>商品マスタ[[#This Row],[仕入
単価]]*商品マスタ[[#This Row],[標準国内送料率]]</f>
        <v>130</v>
      </c>
      <c r="R372" s="134"/>
      <c r="S372" s="134">
        <f>IF(ISBLANK(商品マスタ[[#This Row],[実績
国内送料]]),商品マスタ[[#This Row],[標準国内送料]],)</f>
        <v>130</v>
      </c>
      <c r="T372" s="134">
        <f>商品マスタ[[#This Row],[仕入
単価]]+商品マスタ[[#This Row],[国内送料]]</f>
        <v>1430</v>
      </c>
      <c r="U372" s="134">
        <f>ROUNDUP(商品マスタ[[#This Row],[仕入単価+国内送料]]/0.8,-1)</f>
        <v>1790</v>
      </c>
      <c r="V372" s="134">
        <f>商品マスタ[[#This Row],[海外定価
（20％）]]-商品マスタ[[#This Row],[仕入単価+国内送料]]</f>
        <v>360</v>
      </c>
      <c r="W372" s="87">
        <f>ROUNDUP(商品マスタ[[#This Row],[仕入単価+国内送料]]/0.85,-1)</f>
        <v>1690</v>
      </c>
      <c r="X372" s="134">
        <f>商品マスタ[[#This Row],[国内定価
（15％）]]-商品マスタ[[#This Row],[仕入単価+国内送料]]</f>
        <v>260</v>
      </c>
      <c r="Y372" s="139"/>
      <c r="Z372" s="87"/>
      <c r="AA372" s="87"/>
      <c r="AB372" s="87"/>
      <c r="AC372" s="140"/>
      <c r="AD372" s="87"/>
      <c r="AE372" s="87"/>
      <c r="AF372" s="87"/>
      <c r="AG372" s="141"/>
    </row>
    <row r="373" spans="1:33" ht="18">
      <c r="A373" s="166" t="s">
        <v>1523</v>
      </c>
      <c r="B373" s="176" t="s">
        <v>1232</v>
      </c>
      <c r="C373" s="171" t="s">
        <v>1062</v>
      </c>
      <c r="D373" s="143" t="str">
        <f>"PRD_SNJ_"&amp;
_xlfn.XLOOKUP(商品マスタ[[#This Row],[仕入先]],テーブル1[仕入先名],テーブル1[仕入先コード],"XXX",0,1)&amp;
"_"&amp;
商品マスタ[[#This Row],[シリアル]]&amp;
"_"&amp;
TEXT(COUNTIFS(商品マスタ!$C$3:C373,商品マスタ[[#This Row],[仕入先]],商品マスタ!$E$3:E373,商品マスタ[[#This Row],[商品名]]), "00")</f>
        <v>PRD_SNJ_SDH_0014_01</v>
      </c>
      <c r="E373" s="63" t="s">
        <v>1076</v>
      </c>
      <c r="F373" s="87">
        <f>IF(COUNTIFS($C$3:C373,商品マスタ[[#This Row],[仕入先]],$E$3:E373,商品マスタ[[#This Row],[商品名]]) = 1, 1,0)</f>
        <v>1</v>
      </c>
      <c r="G373" s="133" t="str">
        <f>TEXT(SUMIF($C$3:C373,商品マスタ[[#This Row],[仕入先]],$F$3:F373), "0000")</f>
        <v>0014</v>
      </c>
      <c r="H373" s="87" t="s">
        <v>1047</v>
      </c>
      <c r="I373" s="87"/>
      <c r="J373" s="87">
        <v>1</v>
      </c>
      <c r="K373" s="87"/>
      <c r="L373" s="134">
        <v>1400</v>
      </c>
      <c r="M373" s="157"/>
      <c r="N373" s="134"/>
      <c r="O373" s="135" t="str">
        <f>IF(COUNT(商品マスタ[[#This Row],[参考上代
（税込)]]) &gt; 0, (商品マスタ[[#This Row],[参考上代
（税込)]]-商品マスタ[[#This Row],[国内定価
（15％）]])/(商品マスタ[[#This Row],[参考上代
（税込)]]/1.08), "")</f>
        <v/>
      </c>
      <c r="P373" s="136">
        <v>0.1</v>
      </c>
      <c r="Q373" s="134">
        <f>商品マスタ[[#This Row],[仕入
単価]]*商品マスタ[[#This Row],[標準国内送料率]]</f>
        <v>140</v>
      </c>
      <c r="R373" s="134"/>
      <c r="S373" s="134">
        <f>IF(ISBLANK(商品マスタ[[#This Row],[実績
国内送料]]),商品マスタ[[#This Row],[標準国内送料]],)</f>
        <v>140</v>
      </c>
      <c r="T373" s="134">
        <f>商品マスタ[[#This Row],[仕入
単価]]+商品マスタ[[#This Row],[国内送料]]</f>
        <v>1540</v>
      </c>
      <c r="U373" s="134">
        <f>ROUNDUP(商品マスタ[[#This Row],[仕入単価+国内送料]]/0.8,-1)</f>
        <v>1930</v>
      </c>
      <c r="V373" s="134">
        <f>商品マスタ[[#This Row],[海外定価
（20％）]]-商品マスタ[[#This Row],[仕入単価+国内送料]]</f>
        <v>390</v>
      </c>
      <c r="W373" s="87">
        <f>ROUNDUP(商品マスタ[[#This Row],[仕入単価+国内送料]]/0.85,-1)</f>
        <v>1820</v>
      </c>
      <c r="X373" s="134">
        <f>商品マスタ[[#This Row],[国内定価
（15％）]]-商品マスタ[[#This Row],[仕入単価+国内送料]]</f>
        <v>280</v>
      </c>
      <c r="Y373" s="139"/>
      <c r="Z373" s="87"/>
      <c r="AA373" s="87"/>
      <c r="AB373" s="87"/>
      <c r="AC373" s="140"/>
      <c r="AD373" s="87"/>
      <c r="AE373" s="87"/>
      <c r="AF373" s="87"/>
      <c r="AG373" s="141"/>
    </row>
    <row r="374" spans="1:33" ht="18">
      <c r="A374" s="166" t="s">
        <v>1523</v>
      </c>
      <c r="B374" s="176" t="s">
        <v>1232</v>
      </c>
      <c r="C374" s="171" t="s">
        <v>1062</v>
      </c>
      <c r="D374" s="143" t="str">
        <f>"PRD_SNJ_"&amp;
_xlfn.XLOOKUP(商品マスタ[[#This Row],[仕入先]],テーブル1[仕入先名],テーブル1[仕入先コード],"XXX",0,1)&amp;
"_"&amp;
商品マスタ[[#This Row],[シリアル]]&amp;
"_"&amp;
TEXT(COUNTIFS(商品マスタ!$C$3:C374,商品マスタ[[#This Row],[仕入先]],商品マスタ!$E$3:E374,商品マスタ[[#This Row],[商品名]]), "00")</f>
        <v>PRD_SNJ_SDH_0015_01</v>
      </c>
      <c r="E374" s="63" t="s">
        <v>1077</v>
      </c>
      <c r="F374" s="87">
        <f>IF(COUNTIFS($C$3:C374,商品マスタ[[#This Row],[仕入先]],$E$3:E374,商品マスタ[[#This Row],[商品名]]) = 1, 1,0)</f>
        <v>1</v>
      </c>
      <c r="G374" s="133" t="str">
        <f>TEXT(SUMIF($C$3:C374,商品マスタ[[#This Row],[仕入先]],$F$3:F374), "0000")</f>
        <v>0015</v>
      </c>
      <c r="H374" s="87" t="s">
        <v>1047</v>
      </c>
      <c r="I374" s="87"/>
      <c r="J374" s="87">
        <v>1</v>
      </c>
      <c r="K374" s="87"/>
      <c r="L374" s="134">
        <v>1750</v>
      </c>
      <c r="M374" s="157"/>
      <c r="N374" s="134"/>
      <c r="O374" s="135" t="str">
        <f>IF(COUNT(商品マスタ[[#This Row],[参考上代
（税込)]]) &gt; 0, (商品マスタ[[#This Row],[参考上代
（税込)]]-商品マスタ[[#This Row],[国内定価
（15％）]])/(商品マスタ[[#This Row],[参考上代
（税込)]]/1.08), "")</f>
        <v/>
      </c>
      <c r="P374" s="136">
        <v>0.1</v>
      </c>
      <c r="Q374" s="134">
        <f>商品マスタ[[#This Row],[仕入
単価]]*商品マスタ[[#This Row],[標準国内送料率]]</f>
        <v>175</v>
      </c>
      <c r="R374" s="134"/>
      <c r="S374" s="134">
        <f>IF(ISBLANK(商品マスタ[[#This Row],[実績
国内送料]]),商品マスタ[[#This Row],[標準国内送料]],)</f>
        <v>175</v>
      </c>
      <c r="T374" s="134">
        <f>商品マスタ[[#This Row],[仕入
単価]]+商品マスタ[[#This Row],[国内送料]]</f>
        <v>1925</v>
      </c>
      <c r="U374" s="134">
        <f>ROUNDUP(商品マスタ[[#This Row],[仕入単価+国内送料]]/0.8,-1)</f>
        <v>2410</v>
      </c>
      <c r="V374" s="134">
        <f>商品マスタ[[#This Row],[海外定価
（20％）]]-商品マスタ[[#This Row],[仕入単価+国内送料]]</f>
        <v>485</v>
      </c>
      <c r="W374" s="87">
        <f>ROUNDUP(商品マスタ[[#This Row],[仕入単価+国内送料]]/0.85,-1)</f>
        <v>2270</v>
      </c>
      <c r="X374" s="134">
        <f>商品マスタ[[#This Row],[国内定価
（15％）]]-商品マスタ[[#This Row],[仕入単価+国内送料]]</f>
        <v>345</v>
      </c>
      <c r="Y374" s="139"/>
      <c r="Z374" s="87"/>
      <c r="AA374" s="87"/>
      <c r="AB374" s="87"/>
      <c r="AC374" s="140"/>
      <c r="AD374" s="87"/>
      <c r="AE374" s="87"/>
      <c r="AF374" s="87"/>
      <c r="AG374" s="141"/>
    </row>
    <row r="375" spans="1:33" ht="18">
      <c r="A375" s="166" t="s">
        <v>1523</v>
      </c>
      <c r="B375" s="176" t="s">
        <v>1232</v>
      </c>
      <c r="C375" s="171" t="s">
        <v>1061</v>
      </c>
      <c r="D375" s="143" t="str">
        <f>"PRD_SNJ_"&amp;
_xlfn.XLOOKUP(商品マスタ[[#This Row],[仕入先]],テーブル1[仕入先名],テーブル1[仕入先コード],"XXX",0,1)&amp;
"_"&amp;
商品マスタ[[#This Row],[シリアル]]&amp;
"_"&amp;
TEXT(COUNTIFS(商品マスタ!$C$3:C375,商品マスタ[[#This Row],[仕入先]],商品マスタ!$E$3:E375,商品マスタ[[#This Row],[商品名]]), "00")</f>
        <v>PRD_SNJ_YUK_0001_01</v>
      </c>
      <c r="E375" s="63" t="s">
        <v>1063</v>
      </c>
      <c r="F375" s="87">
        <f>IF(COUNTIFS($C$3:C375,商品マスタ[[#This Row],[仕入先]],$E$3:E375,商品マスタ[[#This Row],[商品名]]) = 1, 1,0)</f>
        <v>1</v>
      </c>
      <c r="G375" s="133" t="str">
        <f>TEXT(SUMIF($C$3:C375,商品マスタ[[#This Row],[仕入先]],$F$3:F375), "0000")</f>
        <v>0001</v>
      </c>
      <c r="H375" s="87" t="s">
        <v>1047</v>
      </c>
      <c r="I375" s="87"/>
      <c r="J375" s="87"/>
      <c r="K375" s="87"/>
      <c r="L375" s="134">
        <v>1450</v>
      </c>
      <c r="M375" s="157"/>
      <c r="N375" s="134"/>
      <c r="O375" s="135" t="str">
        <f>IF(COUNT(商品マスタ[[#This Row],[参考上代
（税込)]]) &gt; 0, (商品マスタ[[#This Row],[参考上代
（税込)]]-商品マスタ[[#This Row],[国内定価
（15％）]])/(商品マスタ[[#This Row],[参考上代
（税込)]]/1.08), "")</f>
        <v/>
      </c>
      <c r="P375" s="136">
        <v>0.1</v>
      </c>
      <c r="Q375" s="134">
        <f>商品マスタ[[#This Row],[仕入
単価]]*商品マスタ[[#This Row],[標準国内送料率]]</f>
        <v>145</v>
      </c>
      <c r="R375" s="134"/>
      <c r="S375" s="134">
        <f>IF(ISBLANK(商品マスタ[[#This Row],[実績
国内送料]]),商品マスタ[[#This Row],[標準国内送料]],)</f>
        <v>145</v>
      </c>
      <c r="T375" s="134">
        <f>商品マスタ[[#This Row],[仕入
単価]]+商品マスタ[[#This Row],[国内送料]]</f>
        <v>1595</v>
      </c>
      <c r="U375" s="134">
        <f>ROUNDUP(商品マスタ[[#This Row],[仕入単価+国内送料]]/0.8,-1)</f>
        <v>2000</v>
      </c>
      <c r="V375" s="134">
        <f>商品マスタ[[#This Row],[海外定価
（20％）]]-商品マスタ[[#This Row],[仕入単価+国内送料]]</f>
        <v>405</v>
      </c>
      <c r="W375" s="87">
        <f>ROUNDUP(商品マスタ[[#This Row],[仕入単価+国内送料]]/0.85,-1)</f>
        <v>1880</v>
      </c>
      <c r="X375" s="134">
        <f>商品マスタ[[#This Row],[国内定価
（15％）]]-商品マスタ[[#This Row],[仕入単価+国内送料]]</f>
        <v>285</v>
      </c>
      <c r="Y375" s="139"/>
      <c r="Z375" s="87"/>
      <c r="AA375" s="87"/>
      <c r="AB375" s="87"/>
      <c r="AC375" s="140"/>
      <c r="AD375" s="87"/>
      <c r="AE375" s="87"/>
      <c r="AF375" s="87"/>
      <c r="AG375" s="141"/>
    </row>
    <row r="376" spans="1:33" ht="18">
      <c r="A376" s="166" t="s">
        <v>1523</v>
      </c>
      <c r="B376" s="176" t="s">
        <v>1232</v>
      </c>
      <c r="C376" s="171" t="s">
        <v>1061</v>
      </c>
      <c r="D376" s="143" t="str">
        <f>"PRD_SNJ_"&amp;
_xlfn.XLOOKUP(商品マスタ[[#This Row],[仕入先]],テーブル1[仕入先名],テーブル1[仕入先コード],"XXX",0,1)&amp;
"_"&amp;
商品マスタ[[#This Row],[シリアル]]&amp;
"_"&amp;
TEXT(COUNTIFS(商品マスタ!$C$3:C376,商品マスタ[[#This Row],[仕入先]],商品マスタ!$E$3:E376,商品マスタ[[#This Row],[商品名]]), "00")</f>
        <v>PRD_SNJ_YUK_0002_01</v>
      </c>
      <c r="E376" s="63" t="s">
        <v>1064</v>
      </c>
      <c r="F376" s="87">
        <f>IF(COUNTIFS($C$3:C376,商品マスタ[[#This Row],[仕入先]],$E$3:E376,商品マスタ[[#This Row],[商品名]]) = 1, 1,0)</f>
        <v>1</v>
      </c>
      <c r="G376" s="133" t="str">
        <f>TEXT(SUMIF($C$3:C376,商品マスタ[[#This Row],[仕入先]],$F$3:F376), "0000")</f>
        <v>0002</v>
      </c>
      <c r="H376" s="87" t="s">
        <v>1047</v>
      </c>
      <c r="I376" s="87"/>
      <c r="J376" s="87"/>
      <c r="K376" s="87"/>
      <c r="L376" s="134">
        <v>4000</v>
      </c>
      <c r="M376" s="157"/>
      <c r="N376" s="134"/>
      <c r="O376" s="135" t="str">
        <f>IF(COUNT(商品マスタ[[#This Row],[参考上代
（税込)]]) &gt; 0, (商品マスタ[[#This Row],[参考上代
（税込)]]-商品マスタ[[#This Row],[国内定価
（15％）]])/(商品マスタ[[#This Row],[参考上代
（税込)]]/1.08), "")</f>
        <v/>
      </c>
      <c r="P376" s="136">
        <v>0.1</v>
      </c>
      <c r="Q376" s="134">
        <f>商品マスタ[[#This Row],[仕入
単価]]*商品マスタ[[#This Row],[標準国内送料率]]</f>
        <v>400</v>
      </c>
      <c r="R376" s="134"/>
      <c r="S376" s="134">
        <f>IF(ISBLANK(商品マスタ[[#This Row],[実績
国内送料]]),商品マスタ[[#This Row],[標準国内送料]],)</f>
        <v>400</v>
      </c>
      <c r="T376" s="134">
        <f>商品マスタ[[#This Row],[仕入
単価]]+商品マスタ[[#This Row],[国内送料]]</f>
        <v>4400</v>
      </c>
      <c r="U376" s="134">
        <f>ROUNDUP(商品マスタ[[#This Row],[仕入単価+国内送料]]/0.8,-1)</f>
        <v>5500</v>
      </c>
      <c r="V376" s="134">
        <f>商品マスタ[[#This Row],[海外定価
（20％）]]-商品マスタ[[#This Row],[仕入単価+国内送料]]</f>
        <v>1100</v>
      </c>
      <c r="W376" s="87">
        <f>ROUNDUP(商品マスタ[[#This Row],[仕入単価+国内送料]]/0.85,-1)</f>
        <v>5180</v>
      </c>
      <c r="X376" s="134">
        <f>商品マスタ[[#This Row],[国内定価
（15％）]]-商品マスタ[[#This Row],[仕入単価+国内送料]]</f>
        <v>780</v>
      </c>
      <c r="Y376" s="139"/>
      <c r="Z376" s="87"/>
      <c r="AA376" s="87"/>
      <c r="AB376" s="87"/>
      <c r="AC376" s="140"/>
      <c r="AD376" s="87"/>
      <c r="AE376" s="87"/>
      <c r="AF376" s="87"/>
      <c r="AG376" s="141"/>
    </row>
    <row r="377" spans="1:33" ht="18">
      <c r="A377" s="166" t="s">
        <v>1523</v>
      </c>
      <c r="B377" s="176" t="s">
        <v>1232</v>
      </c>
      <c r="C377" s="171" t="s">
        <v>1061</v>
      </c>
      <c r="D377" s="143" t="str">
        <f>"PRD_SNJ_"&amp;
_xlfn.XLOOKUP(商品マスタ[[#This Row],[仕入先]],テーブル1[仕入先名],テーブル1[仕入先コード],"XXX",0,1)&amp;
"_"&amp;
商品マスタ[[#This Row],[シリアル]]&amp;
"_"&amp;
TEXT(COUNTIFS(商品マスタ!$C$3:C377,商品マスタ[[#This Row],[仕入先]],商品マスタ!$E$3:E377,商品マスタ[[#This Row],[商品名]]), "00")</f>
        <v>PRD_SNJ_YUK_0003_01</v>
      </c>
      <c r="E377" s="63" t="s">
        <v>1065</v>
      </c>
      <c r="F377" s="87">
        <f>IF(COUNTIFS($C$3:C377,商品マスタ[[#This Row],[仕入先]],$E$3:E377,商品マスタ[[#This Row],[商品名]]) = 1, 1,0)</f>
        <v>1</v>
      </c>
      <c r="G377" s="133" t="str">
        <f>TEXT(SUMIF($C$3:C377,商品マスタ[[#This Row],[仕入先]],$F$3:F377), "0000")</f>
        <v>0003</v>
      </c>
      <c r="H377" s="87" t="s">
        <v>1047</v>
      </c>
      <c r="I377" s="87"/>
      <c r="J377" s="87"/>
      <c r="K377" s="87"/>
      <c r="L377" s="134">
        <v>4000</v>
      </c>
      <c r="M377" s="157"/>
      <c r="N377" s="134"/>
      <c r="O377" s="135" t="str">
        <f>IF(COUNT(商品マスタ[[#This Row],[参考上代
（税込)]]) &gt; 0, (商品マスタ[[#This Row],[参考上代
（税込)]]-商品マスタ[[#This Row],[国内定価
（15％）]])/(商品マスタ[[#This Row],[参考上代
（税込)]]/1.08), "")</f>
        <v/>
      </c>
      <c r="P377" s="136">
        <v>0.1</v>
      </c>
      <c r="Q377" s="134">
        <f>商品マスタ[[#This Row],[仕入
単価]]*商品マスタ[[#This Row],[標準国内送料率]]</f>
        <v>400</v>
      </c>
      <c r="R377" s="134"/>
      <c r="S377" s="134">
        <f>IF(ISBLANK(商品マスタ[[#This Row],[実績
国内送料]]),商品マスタ[[#This Row],[標準国内送料]],)</f>
        <v>400</v>
      </c>
      <c r="T377" s="134">
        <f>商品マスタ[[#This Row],[仕入
単価]]+商品マスタ[[#This Row],[国内送料]]</f>
        <v>4400</v>
      </c>
      <c r="U377" s="134">
        <f>ROUNDUP(商品マスタ[[#This Row],[仕入単価+国内送料]]/0.8,-1)</f>
        <v>5500</v>
      </c>
      <c r="V377" s="134">
        <f>商品マスタ[[#This Row],[海外定価
（20％）]]-商品マスタ[[#This Row],[仕入単価+国内送料]]</f>
        <v>1100</v>
      </c>
      <c r="W377" s="87">
        <f>ROUNDUP(商品マスタ[[#This Row],[仕入単価+国内送料]]/0.85,-1)</f>
        <v>5180</v>
      </c>
      <c r="X377" s="134">
        <f>商品マスタ[[#This Row],[国内定価
（15％）]]-商品マスタ[[#This Row],[仕入単価+国内送料]]</f>
        <v>780</v>
      </c>
      <c r="Y377" s="139"/>
      <c r="Z377" s="87"/>
      <c r="AA377" s="87"/>
      <c r="AB377" s="87"/>
      <c r="AC377" s="140"/>
      <c r="AD377" s="87"/>
      <c r="AE377" s="87"/>
      <c r="AF377" s="87"/>
      <c r="AG377" s="141"/>
    </row>
    <row r="378" spans="1:33" ht="18">
      <c r="A378" s="166" t="s">
        <v>1523</v>
      </c>
      <c r="B378" s="176" t="s">
        <v>1232</v>
      </c>
      <c r="C378" s="171" t="s">
        <v>1061</v>
      </c>
      <c r="D378" s="143" t="str">
        <f>"PRD_SNJ_"&amp;
_xlfn.XLOOKUP(商品マスタ[[#This Row],[仕入先]],テーブル1[仕入先名],テーブル1[仕入先コード],"XXX",0,1)&amp;
"_"&amp;
商品マスタ[[#This Row],[シリアル]]&amp;
"_"&amp;
TEXT(COUNTIFS(商品マスタ!$C$3:C378,商品マスタ[[#This Row],[仕入先]],商品マスタ!$E$3:E378,商品マスタ[[#This Row],[商品名]]), "00")</f>
        <v>PRD_SNJ_YUK_0004_01</v>
      </c>
      <c r="E378" s="63" t="s">
        <v>1066</v>
      </c>
      <c r="F378" s="87">
        <f>IF(COUNTIFS($C$3:C378,商品マスタ[[#This Row],[仕入先]],$E$3:E378,商品マスタ[[#This Row],[商品名]]) = 1, 1,0)</f>
        <v>1</v>
      </c>
      <c r="G378" s="133" t="str">
        <f>TEXT(SUMIF($C$3:C378,商品マスタ[[#This Row],[仕入先]],$F$3:F378), "0000")</f>
        <v>0004</v>
      </c>
      <c r="H378" s="87" t="s">
        <v>1047</v>
      </c>
      <c r="I378" s="87"/>
      <c r="J378" s="87"/>
      <c r="K378" s="87"/>
      <c r="L378" s="134">
        <v>2650</v>
      </c>
      <c r="M378" s="157"/>
      <c r="N378" s="134"/>
      <c r="O378" s="135" t="str">
        <f>IF(COUNT(商品マスタ[[#This Row],[参考上代
（税込)]]) &gt; 0, (商品マスタ[[#This Row],[参考上代
（税込)]]-商品マスタ[[#This Row],[国内定価
（15％）]])/(商品マスタ[[#This Row],[参考上代
（税込)]]/1.08), "")</f>
        <v/>
      </c>
      <c r="P378" s="136">
        <v>0.1</v>
      </c>
      <c r="Q378" s="134">
        <f>商品マスタ[[#This Row],[仕入
単価]]*商品マスタ[[#This Row],[標準国内送料率]]</f>
        <v>265</v>
      </c>
      <c r="R378" s="134"/>
      <c r="S378" s="134">
        <f>IF(ISBLANK(商品マスタ[[#This Row],[実績
国内送料]]),商品マスタ[[#This Row],[標準国内送料]],)</f>
        <v>265</v>
      </c>
      <c r="T378" s="134">
        <f>商品マスタ[[#This Row],[仕入
単価]]+商品マスタ[[#This Row],[国内送料]]</f>
        <v>2915</v>
      </c>
      <c r="U378" s="134">
        <f>ROUNDUP(商品マスタ[[#This Row],[仕入単価+国内送料]]/0.8,-1)</f>
        <v>3650</v>
      </c>
      <c r="V378" s="134">
        <f>商品マスタ[[#This Row],[海外定価
（20％）]]-商品マスタ[[#This Row],[仕入単価+国内送料]]</f>
        <v>735</v>
      </c>
      <c r="W378" s="87">
        <f>ROUNDUP(商品マスタ[[#This Row],[仕入単価+国内送料]]/0.85,-1)</f>
        <v>3430</v>
      </c>
      <c r="X378" s="134">
        <f>商品マスタ[[#This Row],[国内定価
（15％）]]-商品マスタ[[#This Row],[仕入単価+国内送料]]</f>
        <v>515</v>
      </c>
      <c r="Y378" s="139"/>
      <c r="Z378" s="87"/>
      <c r="AA378" s="87"/>
      <c r="AB378" s="87"/>
      <c r="AC378" s="140"/>
      <c r="AD378" s="87"/>
      <c r="AE378" s="87"/>
      <c r="AF378" s="87"/>
      <c r="AG378" s="141"/>
    </row>
    <row r="379" spans="1:33" ht="18">
      <c r="A379" s="166" t="s">
        <v>1523</v>
      </c>
      <c r="B379" s="176" t="s">
        <v>1232</v>
      </c>
      <c r="C379" s="171" t="s">
        <v>1061</v>
      </c>
      <c r="D379" s="143" t="str">
        <f>"PRD_SNJ_"&amp;
_xlfn.XLOOKUP(商品マスタ[[#This Row],[仕入先]],テーブル1[仕入先名],テーブル1[仕入先コード],"XXX",0,1)&amp;
"_"&amp;
商品マスタ[[#This Row],[シリアル]]&amp;
"_"&amp;
TEXT(COUNTIFS(商品マスタ!$C$3:C379,商品マスタ[[#This Row],[仕入先]],商品マスタ!$E$3:E379,商品マスタ[[#This Row],[商品名]]), "00")</f>
        <v>PRD_SNJ_YUK_0005_01</v>
      </c>
      <c r="E379" s="63" t="s">
        <v>1068</v>
      </c>
      <c r="F379" s="87">
        <f>IF(COUNTIFS($C$3:C379,商品マスタ[[#This Row],[仕入先]],$E$3:E379,商品マスタ[[#This Row],[商品名]]) = 1, 1,0)</f>
        <v>1</v>
      </c>
      <c r="G379" s="133" t="str">
        <f>TEXT(SUMIF($C$3:C379,商品マスタ[[#This Row],[仕入先]],$F$3:F379), "0000")</f>
        <v>0005</v>
      </c>
      <c r="H379" s="87" t="s">
        <v>1047</v>
      </c>
      <c r="I379" s="87"/>
      <c r="J379" s="87"/>
      <c r="K379" s="87"/>
      <c r="L379" s="134">
        <v>1450</v>
      </c>
      <c r="M379" s="157"/>
      <c r="N379" s="134"/>
      <c r="O379" s="135" t="str">
        <f>IF(COUNT(商品マスタ[[#This Row],[参考上代
（税込)]]) &gt; 0, (商品マスタ[[#This Row],[参考上代
（税込)]]-商品マスタ[[#This Row],[国内定価
（15％）]])/(商品マスタ[[#This Row],[参考上代
（税込)]]/1.08), "")</f>
        <v/>
      </c>
      <c r="P379" s="136">
        <v>0.1</v>
      </c>
      <c r="Q379" s="134">
        <f>商品マスタ[[#This Row],[仕入
単価]]*商品マスタ[[#This Row],[標準国内送料率]]</f>
        <v>145</v>
      </c>
      <c r="R379" s="134"/>
      <c r="S379" s="134">
        <f>IF(ISBLANK(商品マスタ[[#This Row],[実績
国内送料]]),商品マスタ[[#This Row],[標準国内送料]],)</f>
        <v>145</v>
      </c>
      <c r="T379" s="134">
        <f>商品マスタ[[#This Row],[仕入
単価]]+商品マスタ[[#This Row],[国内送料]]</f>
        <v>1595</v>
      </c>
      <c r="U379" s="134">
        <f>ROUNDUP(商品マスタ[[#This Row],[仕入単価+国内送料]]/0.8,-1)</f>
        <v>2000</v>
      </c>
      <c r="V379" s="134">
        <f>商品マスタ[[#This Row],[海外定価
（20％）]]-商品マスタ[[#This Row],[仕入単価+国内送料]]</f>
        <v>405</v>
      </c>
      <c r="W379" s="87">
        <f>ROUNDUP(商品マスタ[[#This Row],[仕入単価+国内送料]]/0.85,-1)</f>
        <v>1880</v>
      </c>
      <c r="X379" s="134">
        <f>商品マスタ[[#This Row],[国内定価
（15％）]]-商品マスタ[[#This Row],[仕入単価+国内送料]]</f>
        <v>285</v>
      </c>
      <c r="Y379" s="139"/>
      <c r="Z379" s="87"/>
      <c r="AA379" s="87"/>
      <c r="AB379" s="87"/>
      <c r="AC379" s="140"/>
      <c r="AD379" s="87"/>
      <c r="AE379" s="87"/>
      <c r="AF379" s="87"/>
      <c r="AG379" s="141"/>
    </row>
    <row r="380" spans="1:33" ht="18">
      <c r="A380" s="166" t="s">
        <v>1523</v>
      </c>
      <c r="B380" s="176" t="s">
        <v>1232</v>
      </c>
      <c r="C380" s="171" t="s">
        <v>1061</v>
      </c>
      <c r="D380" s="143" t="str">
        <f>"PRD_SNJ_"&amp;
_xlfn.XLOOKUP(商品マスタ[[#This Row],[仕入先]],テーブル1[仕入先名],テーブル1[仕入先コード],"XXX",0,1)&amp;
"_"&amp;
商品マスタ[[#This Row],[シリアル]]&amp;
"_"&amp;
TEXT(COUNTIFS(商品マスタ!$C$3:C380,商品マスタ[[#This Row],[仕入先]],商品マスタ!$E$3:E380,商品マスタ[[#This Row],[商品名]]), "00")</f>
        <v>PRD_SNJ_YUK_0006_01</v>
      </c>
      <c r="E380" s="63" t="s">
        <v>1069</v>
      </c>
      <c r="F380" s="87">
        <f>IF(COUNTIFS($C$3:C380,商品マスタ[[#This Row],[仕入先]],$E$3:E380,商品マスタ[[#This Row],[商品名]]) = 1, 1,0)</f>
        <v>1</v>
      </c>
      <c r="G380" s="133" t="str">
        <f>TEXT(SUMIF($C$3:C380,商品マスタ[[#This Row],[仕入先]],$F$3:F380), "0000")</f>
        <v>0006</v>
      </c>
      <c r="H380" s="87" t="s">
        <v>1047</v>
      </c>
      <c r="I380" s="87"/>
      <c r="J380" s="87"/>
      <c r="K380" s="87"/>
      <c r="L380" s="134">
        <v>1250</v>
      </c>
      <c r="M380" s="157"/>
      <c r="N380" s="134"/>
      <c r="O380" s="135" t="str">
        <f>IF(COUNT(商品マスタ[[#This Row],[参考上代
（税込)]]) &gt; 0, (商品マスタ[[#This Row],[参考上代
（税込)]]-商品マスタ[[#This Row],[国内定価
（15％）]])/(商品マスタ[[#This Row],[参考上代
（税込)]]/1.08), "")</f>
        <v/>
      </c>
      <c r="P380" s="136">
        <v>0.1</v>
      </c>
      <c r="Q380" s="134">
        <f>商品マスタ[[#This Row],[仕入
単価]]*商品マスタ[[#This Row],[標準国内送料率]]</f>
        <v>125</v>
      </c>
      <c r="R380" s="134"/>
      <c r="S380" s="134">
        <f>IF(ISBLANK(商品マスタ[[#This Row],[実績
国内送料]]),商品マスタ[[#This Row],[標準国内送料]],)</f>
        <v>125</v>
      </c>
      <c r="T380" s="134">
        <f>商品マスタ[[#This Row],[仕入
単価]]+商品マスタ[[#This Row],[国内送料]]</f>
        <v>1375</v>
      </c>
      <c r="U380" s="134">
        <f>ROUNDUP(商品マスタ[[#This Row],[仕入単価+国内送料]]/0.8,-1)</f>
        <v>1720</v>
      </c>
      <c r="V380" s="134">
        <f>商品マスタ[[#This Row],[海外定価
（20％）]]-商品マスタ[[#This Row],[仕入単価+国内送料]]</f>
        <v>345</v>
      </c>
      <c r="W380" s="87">
        <f>ROUNDUP(商品マスタ[[#This Row],[仕入単価+国内送料]]/0.85,-1)</f>
        <v>1620</v>
      </c>
      <c r="X380" s="134">
        <f>商品マスタ[[#This Row],[国内定価
（15％）]]-商品マスタ[[#This Row],[仕入単価+国内送料]]</f>
        <v>245</v>
      </c>
      <c r="Y380" s="139"/>
      <c r="Z380" s="87"/>
      <c r="AA380" s="87"/>
      <c r="AB380" s="87"/>
      <c r="AC380" s="140"/>
      <c r="AD380" s="87"/>
      <c r="AE380" s="87"/>
      <c r="AF380" s="87"/>
      <c r="AG380" s="141"/>
    </row>
    <row r="381" spans="1:33" ht="18">
      <c r="A381" s="166" t="s">
        <v>1523</v>
      </c>
      <c r="B381" s="176" t="s">
        <v>1232</v>
      </c>
      <c r="C381" s="171" t="s">
        <v>1061</v>
      </c>
      <c r="D381" s="143" t="str">
        <f>"PRD_SNJ_"&amp;
_xlfn.XLOOKUP(商品マスタ[[#This Row],[仕入先]],テーブル1[仕入先名],テーブル1[仕入先コード],"XXX",0,1)&amp;
"_"&amp;
商品マスタ[[#This Row],[シリアル]]&amp;
"_"&amp;
TEXT(COUNTIFS(商品マスタ!$C$3:C381,商品マスタ[[#This Row],[仕入先]],商品マスタ!$E$3:E381,商品マスタ[[#This Row],[商品名]]), "00")</f>
        <v>PRD_SNJ_YUK_0007_01</v>
      </c>
      <c r="E381" s="63" t="s">
        <v>1070</v>
      </c>
      <c r="F381" s="87">
        <f>IF(COUNTIFS($C$3:C381,商品マスタ[[#This Row],[仕入先]],$E$3:E381,商品マスタ[[#This Row],[商品名]]) = 1, 1,0)</f>
        <v>1</v>
      </c>
      <c r="G381" s="133" t="str">
        <f>TEXT(SUMIF($C$3:C381,商品マスタ[[#This Row],[仕入先]],$F$3:F381), "0000")</f>
        <v>0007</v>
      </c>
      <c r="H381" s="87" t="s">
        <v>1047</v>
      </c>
      <c r="I381" s="87"/>
      <c r="J381" s="87"/>
      <c r="K381" s="87"/>
      <c r="L381" s="134">
        <v>1250</v>
      </c>
      <c r="M381" s="157"/>
      <c r="N381" s="134"/>
      <c r="O381" s="135" t="str">
        <f>IF(COUNT(商品マスタ[[#This Row],[参考上代
（税込)]]) &gt; 0, (商品マスタ[[#This Row],[参考上代
（税込)]]-商品マスタ[[#This Row],[国内定価
（15％）]])/(商品マスタ[[#This Row],[参考上代
（税込)]]/1.08), "")</f>
        <v/>
      </c>
      <c r="P381" s="136">
        <v>0.1</v>
      </c>
      <c r="Q381" s="134">
        <f>商品マスタ[[#This Row],[仕入
単価]]*商品マスタ[[#This Row],[標準国内送料率]]</f>
        <v>125</v>
      </c>
      <c r="R381" s="134"/>
      <c r="S381" s="134">
        <f>IF(ISBLANK(商品マスタ[[#This Row],[実績
国内送料]]),商品マスタ[[#This Row],[標準国内送料]],)</f>
        <v>125</v>
      </c>
      <c r="T381" s="134">
        <f>商品マスタ[[#This Row],[仕入
単価]]+商品マスタ[[#This Row],[国内送料]]</f>
        <v>1375</v>
      </c>
      <c r="U381" s="134">
        <f>ROUNDUP(商品マスタ[[#This Row],[仕入単価+国内送料]]/0.8,-1)</f>
        <v>1720</v>
      </c>
      <c r="V381" s="134">
        <f>商品マスタ[[#This Row],[海外定価
（20％）]]-商品マスタ[[#This Row],[仕入単価+国内送料]]</f>
        <v>345</v>
      </c>
      <c r="W381" s="87">
        <f>ROUNDUP(商品マスタ[[#This Row],[仕入単価+国内送料]]/0.85,-1)</f>
        <v>1620</v>
      </c>
      <c r="X381" s="134">
        <f>商品マスタ[[#This Row],[国内定価
（15％）]]-商品マスタ[[#This Row],[仕入単価+国内送料]]</f>
        <v>245</v>
      </c>
      <c r="Y381" s="139"/>
      <c r="Z381" s="87"/>
      <c r="AA381" s="87"/>
      <c r="AB381" s="87"/>
      <c r="AC381" s="140"/>
      <c r="AD381" s="87"/>
      <c r="AE381" s="87"/>
      <c r="AF381" s="87"/>
      <c r="AG381" s="141"/>
    </row>
    <row r="382" spans="1:33" ht="18">
      <c r="A382" s="166" t="s">
        <v>1524</v>
      </c>
      <c r="B382" s="167" t="s">
        <v>1229</v>
      </c>
      <c r="C382" s="167" t="s">
        <v>68</v>
      </c>
      <c r="D382" s="143" t="str">
        <f>"PRD_SNJ_"&amp;
_xlfn.XLOOKUP(商品マスタ[[#This Row],[仕入先]],テーブル1[仕入先名],テーブル1[仕入先コード],"XXX",0,1)&amp;
"_"&amp;
商品マスタ[[#This Row],[シリアル]]&amp;
"_"&amp;
TEXT(COUNTIFS(商品マスタ!$C$3:C382,商品マスタ[[#This Row],[仕入先]],商品マスタ!$E$3:E382,商品マスタ[[#This Row],[商品名]]), "00")</f>
        <v>PRD_SNJ_NBT_0001_01</v>
      </c>
      <c r="E382" s="87" t="s">
        <v>1078</v>
      </c>
      <c r="F382" s="87">
        <f>IF(COUNTIFS($C$3:C382,商品マスタ[[#This Row],[仕入先]],$E$3:E382,商品マスタ[[#This Row],[商品名]]) = 1, 1,0)</f>
        <v>1</v>
      </c>
      <c r="G382" s="133" t="str">
        <f>TEXT(SUMIF($C$3:C382,商品マスタ[[#This Row],[仕入先]],$F$3:F382), "0000")</f>
        <v>0001</v>
      </c>
      <c r="H382" s="87" t="s">
        <v>901</v>
      </c>
      <c r="I382" s="87"/>
      <c r="J382" s="87">
        <v>60</v>
      </c>
      <c r="K382" s="87"/>
      <c r="L382" s="134">
        <v>220</v>
      </c>
      <c r="M382" s="157"/>
      <c r="N382" s="134"/>
      <c r="O382" s="135" t="str">
        <f>IF(COUNT(商品マスタ[[#This Row],[参考上代
（税込)]]) &gt; 0, (商品マスタ[[#This Row],[参考上代
（税込)]]-商品マスタ[[#This Row],[国内定価
（15％）]])/(商品マスタ[[#This Row],[参考上代
（税込)]]/1.08), "")</f>
        <v/>
      </c>
      <c r="P382" s="136">
        <v>0.1</v>
      </c>
      <c r="Q382" s="134">
        <f>商品マスタ[[#This Row],[仕入
単価]]*商品マスタ[[#This Row],[標準国内送料率]]</f>
        <v>22</v>
      </c>
      <c r="R382" s="134">
        <v>1940</v>
      </c>
      <c r="S382" s="134">
        <f>IF(ISBLANK(商品マスタ[[#This Row],[実績
国内送料]]),商品マスタ[[#This Row],[標準国内送料]],)</f>
        <v>0</v>
      </c>
      <c r="T382" s="134">
        <f>商品マスタ[[#This Row],[仕入
単価]]+商品マスタ[[#This Row],[国内送料]]</f>
        <v>220</v>
      </c>
      <c r="U382" s="134">
        <f>ROUNDUP(商品マスタ[[#This Row],[仕入単価+国内送料]]/0.8,-1)</f>
        <v>280</v>
      </c>
      <c r="V382" s="134">
        <f>商品マスタ[[#This Row],[海外定価
（20％）]]-商品マスタ[[#This Row],[仕入単価+国内送料]]</f>
        <v>60</v>
      </c>
      <c r="W382" s="87">
        <f>ROUNDUP(商品マスタ[[#This Row],[仕入単価+国内送料]]/0.85,-1)</f>
        <v>260</v>
      </c>
      <c r="X382" s="134">
        <f>商品マスタ[[#This Row],[国内定価
（15％）]]-商品マスタ[[#This Row],[仕入単価+国内送料]]</f>
        <v>40</v>
      </c>
      <c r="Y382" s="139">
        <v>0.08</v>
      </c>
      <c r="Z382" s="87"/>
      <c r="AA382" s="87"/>
      <c r="AB382" s="87"/>
      <c r="AC382" s="140"/>
      <c r="AD382" s="87"/>
      <c r="AE382" s="87"/>
      <c r="AF382" s="87"/>
      <c r="AG382" s="141"/>
    </row>
    <row r="383" spans="1:33" ht="18">
      <c r="A383" s="166" t="s">
        <v>1521</v>
      </c>
      <c r="B383" s="170" t="s">
        <v>1522</v>
      </c>
      <c r="C383" s="171" t="s">
        <v>1062</v>
      </c>
      <c r="D383" s="143" t="str">
        <f>"PRD_SNJ_"&amp;
_xlfn.XLOOKUP(商品マスタ[[#This Row],[仕入先]],テーブル1[仕入先名],テーブル1[仕入先コード],"XXX",0,1)&amp;
"_"&amp;
商品マスタ[[#This Row],[シリアル]]&amp;
"_"&amp;
TEXT(COUNTIFS(商品マスタ!$C$3:C383,商品マスタ[[#This Row],[仕入先]],商品マスタ!$E$3:E383,商品マスタ[[#This Row],[商品名]]), "00")</f>
        <v>PRD_SNJ_SDH_0016_01</v>
      </c>
      <c r="E383" s="87" t="s">
        <v>1079</v>
      </c>
      <c r="F383" s="87">
        <f>IF(COUNTIFS($C$3:C383,商品マスタ[[#This Row],[仕入先]],$E$3:E383,商品マスタ[[#This Row],[商品名]]) = 1, 1,0)</f>
        <v>1</v>
      </c>
      <c r="G383" s="133" t="str">
        <f>TEXT(SUMIF($C$3:C383,商品マスタ[[#This Row],[仕入先]],$F$3:F383), "0000")</f>
        <v>0016</v>
      </c>
      <c r="H383" s="87" t="s">
        <v>1047</v>
      </c>
      <c r="I383" s="87"/>
      <c r="J383" s="87">
        <v>1</v>
      </c>
      <c r="K383" s="87"/>
      <c r="L383" s="134">
        <v>15000</v>
      </c>
      <c r="M383" s="157"/>
      <c r="N383" s="134"/>
      <c r="O383" s="135" t="str">
        <f>IF(COUNT(商品マスタ[[#This Row],[参考上代
（税込)]]) &gt; 0, (商品マスタ[[#This Row],[参考上代
（税込)]]-商品マスタ[[#This Row],[国内定価
（15％）]])/(商品マスタ[[#This Row],[参考上代
（税込)]]/1.08), "")</f>
        <v/>
      </c>
      <c r="P383" s="136">
        <v>0.1</v>
      </c>
      <c r="Q383" s="134">
        <f>商品マスタ[[#This Row],[仕入
単価]]*商品マスタ[[#This Row],[標準国内送料率]]</f>
        <v>1500</v>
      </c>
      <c r="R383" s="134">
        <v>0</v>
      </c>
      <c r="S383" s="134">
        <f>IF(ISBLANK(商品マスタ[[#This Row],[実績
国内送料]]),商品マスタ[[#This Row],[標準国内送料]],)</f>
        <v>0</v>
      </c>
      <c r="T383" s="134">
        <f>商品マスタ[[#This Row],[仕入
単価]]+商品マスタ[[#This Row],[国内送料]]</f>
        <v>15000</v>
      </c>
      <c r="U383" s="134">
        <f>ROUNDUP(商品マスタ[[#This Row],[仕入単価+国内送料]]/0.8,-1)</f>
        <v>18750</v>
      </c>
      <c r="V383" s="134">
        <f>商品マスタ[[#This Row],[海外定価
（20％）]]-商品マスタ[[#This Row],[仕入単価+国内送料]]</f>
        <v>3750</v>
      </c>
      <c r="W383" s="87">
        <f>ROUNDUP(商品マスタ[[#This Row],[仕入単価+国内送料]]/0.85,-1)</f>
        <v>17650</v>
      </c>
      <c r="X383" s="134">
        <f>商品マスタ[[#This Row],[国内定価
（15％）]]-商品マスタ[[#This Row],[仕入単価+国内送料]]</f>
        <v>2650</v>
      </c>
      <c r="Y383" s="139">
        <v>0.08</v>
      </c>
      <c r="Z383" s="87"/>
      <c r="AA383" s="87"/>
      <c r="AB383" s="87"/>
      <c r="AC383" s="140"/>
      <c r="AD383" s="87"/>
      <c r="AE383" s="87"/>
      <c r="AF383" s="87"/>
      <c r="AG383" s="141"/>
    </row>
    <row r="384" spans="1:33" ht="18">
      <c r="A384" s="166" t="s">
        <v>1523</v>
      </c>
      <c r="B384" s="170" t="s">
        <v>1232</v>
      </c>
      <c r="C384" s="167" t="s">
        <v>1103</v>
      </c>
      <c r="D384" s="143" t="str">
        <f>"PRD_SNJ_"&amp;
_xlfn.XLOOKUP(商品マスタ[[#This Row],[仕入先]],テーブル1[仕入先名],テーブル1[仕入先コード],"XXX",0,1)&amp;
"_"&amp;
商品マスタ[[#This Row],[シリアル]]&amp;
"_"&amp;
TEXT(COUNTIFS(商品マスタ!$C$3:C384,商品マスタ[[#This Row],[仕入先]],商品マスタ!$E$3:E384,商品マスタ[[#This Row],[商品名]]), "00")</f>
        <v>PRD_SNJ_KDK_0001_01</v>
      </c>
      <c r="E384" s="63" t="s">
        <v>1104</v>
      </c>
      <c r="F384" s="87">
        <f>IF(COUNTIFS($C$3:C384,商品マスタ[[#This Row],[仕入先]],$E$3:E384,商品マスタ[[#This Row],[商品名]]) = 1, 1,0)</f>
        <v>1</v>
      </c>
      <c r="G384" s="133" t="str">
        <f>TEXT(SUMIF($C$3:C384,商品マスタ[[#This Row],[仕入先]],$F$3:F384), "0000")</f>
        <v>0001</v>
      </c>
      <c r="H384" s="87" t="s">
        <v>1047</v>
      </c>
      <c r="I384" s="87"/>
      <c r="J384" s="87">
        <v>1</v>
      </c>
      <c r="K384" s="87"/>
      <c r="L384" s="134">
        <v>11000</v>
      </c>
      <c r="M384" s="157"/>
      <c r="N384" s="134"/>
      <c r="O384" s="135" t="str">
        <f>IF(COUNT(商品マスタ[[#This Row],[参考上代
（税込)]]) &gt; 0, (商品マスタ[[#This Row],[参考上代
（税込)]]-商品マスタ[[#This Row],[国内定価
（15％）]])/(商品マスタ[[#This Row],[参考上代
（税込)]]/1.08), "")</f>
        <v/>
      </c>
      <c r="P384" s="136">
        <v>0.1</v>
      </c>
      <c r="Q384" s="134">
        <f>商品マスタ[[#This Row],[仕入
単価]]*商品マスタ[[#This Row],[標準国内送料率]]</f>
        <v>1100</v>
      </c>
      <c r="R384" s="134"/>
      <c r="S384" s="134">
        <f>IF(ISBLANK(商品マスタ[[#This Row],[実績
国内送料]]),商品マスタ[[#This Row],[標準国内送料]],)</f>
        <v>1100</v>
      </c>
      <c r="T384" s="134">
        <f>商品マスタ[[#This Row],[仕入
単価]]+商品マスタ[[#This Row],[国内送料]]</f>
        <v>12100</v>
      </c>
      <c r="U384" s="134">
        <f>ROUNDUP(商品マスタ[[#This Row],[仕入単価+国内送料]]/0.8,-1)</f>
        <v>15130</v>
      </c>
      <c r="V384" s="134">
        <f>商品マスタ[[#This Row],[海外定価
（20％）]]-商品マスタ[[#This Row],[仕入単価+国内送料]]</f>
        <v>3030</v>
      </c>
      <c r="W384" s="87">
        <f>ROUNDUP(商品マスタ[[#This Row],[仕入単価+国内送料]]/0.85,-1)</f>
        <v>14240</v>
      </c>
      <c r="X384" s="134">
        <f>商品マスタ[[#This Row],[国内定価
（15％）]]-商品マスタ[[#This Row],[仕入単価+国内送料]]</f>
        <v>2140</v>
      </c>
      <c r="Y384" s="139">
        <v>0.08</v>
      </c>
      <c r="Z384" s="87"/>
      <c r="AA384" s="87"/>
      <c r="AB384" s="87"/>
      <c r="AC384" s="140"/>
      <c r="AD384" s="87"/>
      <c r="AE384" s="87"/>
      <c r="AF384" s="87"/>
      <c r="AG384" s="141"/>
    </row>
    <row r="385" spans="1:33" ht="18">
      <c r="A385" s="166" t="s">
        <v>1523</v>
      </c>
      <c r="B385" s="170" t="s">
        <v>1232</v>
      </c>
      <c r="C385" s="167" t="s">
        <v>1103</v>
      </c>
      <c r="D385" s="143" t="str">
        <f>"PRD_SNJ_"&amp;
_xlfn.XLOOKUP(商品マスタ[[#This Row],[仕入先]],テーブル1[仕入先名],テーブル1[仕入先コード],"XXX",0,1)&amp;
"_"&amp;
商品マスタ[[#This Row],[シリアル]]&amp;
"_"&amp;
TEXT(COUNTIFS(商品マスタ!$C$3:C385,商品マスタ[[#This Row],[仕入先]],商品マスタ!$E$3:E385,商品マスタ[[#This Row],[商品名]]), "00")</f>
        <v>PRD_SNJ_KDK_0002_01</v>
      </c>
      <c r="E385" s="63" t="s">
        <v>1105</v>
      </c>
      <c r="F385" s="87">
        <f>IF(COUNTIFS($C$3:C385,商品マスタ[[#This Row],[仕入先]],$E$3:E385,商品マスタ[[#This Row],[商品名]]) = 1, 1,0)</f>
        <v>1</v>
      </c>
      <c r="G385" s="133" t="str">
        <f>TEXT(SUMIF($C$3:C385,商品マスタ[[#This Row],[仕入先]],$F$3:F385), "0000")</f>
        <v>0002</v>
      </c>
      <c r="H385" s="87" t="s">
        <v>1047</v>
      </c>
      <c r="I385" s="87"/>
      <c r="J385" s="87">
        <v>1</v>
      </c>
      <c r="K385" s="87"/>
      <c r="L385" s="134">
        <v>8000</v>
      </c>
      <c r="M385" s="157"/>
      <c r="N385" s="134"/>
      <c r="O385" s="135" t="str">
        <f>IF(COUNT(商品マスタ[[#This Row],[参考上代
（税込)]]) &gt; 0, (商品マスタ[[#This Row],[参考上代
（税込)]]-商品マスタ[[#This Row],[国内定価
（15％）]])/(商品マスタ[[#This Row],[参考上代
（税込)]]/1.08), "")</f>
        <v/>
      </c>
      <c r="P385" s="136">
        <v>0.1</v>
      </c>
      <c r="Q385" s="134">
        <f>商品マスタ[[#This Row],[仕入
単価]]*商品マスタ[[#This Row],[標準国内送料率]]</f>
        <v>800</v>
      </c>
      <c r="R385" s="134"/>
      <c r="S385" s="134">
        <f>IF(ISBLANK(商品マスタ[[#This Row],[実績
国内送料]]),商品マスタ[[#This Row],[標準国内送料]],)</f>
        <v>800</v>
      </c>
      <c r="T385" s="134">
        <f>商品マスタ[[#This Row],[仕入
単価]]+商品マスタ[[#This Row],[国内送料]]</f>
        <v>8800</v>
      </c>
      <c r="U385" s="134">
        <f>ROUNDUP(商品マスタ[[#This Row],[仕入単価+国内送料]]/0.8,-1)</f>
        <v>11000</v>
      </c>
      <c r="V385" s="134">
        <f>商品マスタ[[#This Row],[海外定価
（20％）]]-商品マスタ[[#This Row],[仕入単価+国内送料]]</f>
        <v>2200</v>
      </c>
      <c r="W385" s="87">
        <f>ROUNDUP(商品マスタ[[#This Row],[仕入単価+国内送料]]/0.85,-1)</f>
        <v>10360</v>
      </c>
      <c r="X385" s="134">
        <f>商品マスタ[[#This Row],[国内定価
（15％）]]-商品マスタ[[#This Row],[仕入単価+国内送料]]</f>
        <v>1560</v>
      </c>
      <c r="Y385" s="139">
        <v>0.08</v>
      </c>
      <c r="Z385" s="87"/>
      <c r="AA385" s="87"/>
      <c r="AB385" s="87"/>
      <c r="AC385" s="140"/>
      <c r="AD385" s="87"/>
      <c r="AE385" s="87"/>
      <c r="AF385" s="87"/>
      <c r="AG385" s="141"/>
    </row>
    <row r="386" spans="1:33" ht="18">
      <c r="A386" s="166" t="s">
        <v>1523</v>
      </c>
      <c r="B386" s="167" t="s">
        <v>1231</v>
      </c>
      <c r="C386" s="167" t="s">
        <v>998</v>
      </c>
      <c r="D386" s="143" t="str">
        <f>"PRD_SNJ_"&amp;
_xlfn.XLOOKUP(商品マスタ[[#This Row],[仕入先]],テーブル1[仕入先名],テーブル1[仕入先コード],"XXX",0,1)&amp;
"_"&amp;
商品マスタ[[#This Row],[シリアル]]&amp;
"_"&amp;
TEXT(COUNTIFS(商品マスタ!$C$3:C386,商品マスタ[[#This Row],[仕入先]],商品マスタ!$E$3:E386,商品マスタ[[#This Row],[商品名]]), "00")</f>
        <v>PRD_SNJ_GGM_0097_01</v>
      </c>
      <c r="E386" s="87" t="s">
        <v>1111</v>
      </c>
      <c r="F386" s="87">
        <f>IF(COUNTIFS($C$3:C386,商品マスタ[[#This Row],[仕入先]],$E$3:E386,商品マスタ[[#This Row],[商品名]]) = 1, 1,0)</f>
        <v>1</v>
      </c>
      <c r="G386" s="133" t="str">
        <f>TEXT(SUMIF($C$3:C386,商品マスタ[[#This Row],[仕入先]],$F$3:F386), "0000")</f>
        <v>0097</v>
      </c>
      <c r="H386" s="87" t="s">
        <v>1047</v>
      </c>
      <c r="I386" s="87" t="s">
        <v>1112</v>
      </c>
      <c r="J386" s="87">
        <v>1</v>
      </c>
      <c r="K386" s="87" t="s">
        <v>1113</v>
      </c>
      <c r="L386" s="134">
        <v>4000</v>
      </c>
      <c r="M386" s="157">
        <v>46080</v>
      </c>
      <c r="N386" s="134"/>
      <c r="O386" s="135" t="str">
        <f>IF(COUNT(商品マスタ[[#This Row],[参考上代
（税込)]]) &gt; 0, (商品マスタ[[#This Row],[参考上代
（税込)]]-商品マスタ[[#This Row],[国内定価
（15％）]])/(商品マスタ[[#This Row],[参考上代
（税込)]]/1.08), "")</f>
        <v/>
      </c>
      <c r="P386" s="136">
        <v>0.1</v>
      </c>
      <c r="Q386" s="134">
        <f>商品マスタ[[#This Row],[仕入
単価]]*商品マスタ[[#This Row],[標準国内送料率]]</f>
        <v>400</v>
      </c>
      <c r="R386" s="134">
        <v>0</v>
      </c>
      <c r="S386" s="134">
        <f>IF(ISBLANK(商品マスタ[[#This Row],[実績
国内送料]]),商品マスタ[[#This Row],[標準国内送料]],)</f>
        <v>0</v>
      </c>
      <c r="T386" s="134">
        <f>商品マスタ[[#This Row],[仕入
単価]]+商品マスタ[[#This Row],[国内送料]]</f>
        <v>4000</v>
      </c>
      <c r="U386" s="134">
        <f>ROUNDUP(商品マスタ[[#This Row],[仕入単価+国内送料]]/0.8,-1)</f>
        <v>5000</v>
      </c>
      <c r="V386" s="134">
        <f>商品マスタ[[#This Row],[海外定価
（20％）]]-商品マスタ[[#This Row],[仕入単価+国内送料]]</f>
        <v>1000</v>
      </c>
      <c r="W386" s="87">
        <f>ROUNDUP(商品マスタ[[#This Row],[仕入単価+国内送料]]/0.85,-1)</f>
        <v>4710</v>
      </c>
      <c r="X386" s="134">
        <f>商品マスタ[[#This Row],[国内定価
（15％）]]-商品マスタ[[#This Row],[仕入単価+国内送料]]</f>
        <v>710</v>
      </c>
      <c r="Y386" s="139">
        <v>0.08</v>
      </c>
      <c r="Z386" s="87" t="s">
        <v>1114</v>
      </c>
      <c r="AA386" s="87" t="s">
        <v>370</v>
      </c>
      <c r="AB386" s="87"/>
      <c r="AC386" s="140"/>
      <c r="AD386" s="87"/>
      <c r="AE386" s="87"/>
      <c r="AF386" s="87"/>
      <c r="AG386" s="141"/>
    </row>
    <row r="387" spans="1:33" ht="18">
      <c r="A387" s="166" t="s">
        <v>1520</v>
      </c>
      <c r="B387" s="167" t="s">
        <v>1226</v>
      </c>
      <c r="C387" s="167" t="s">
        <v>1115</v>
      </c>
      <c r="D387" s="143" t="str">
        <f>"PRD_SNJ_"&amp;
_xlfn.XLOOKUP(商品マスタ[[#This Row],[仕入先]],テーブル1[仕入先名],テーブル1[仕入先コード],"XXX",0,1)&amp;
"_"&amp;
商品マスタ[[#This Row],[シリアル]]&amp;
"_"&amp;
TEXT(COUNTIFS(商品マスタ!$C$3:C387,商品マスタ[[#This Row],[仕入先]],商品マスタ!$E$3:E387,商品マスタ[[#This Row],[商品名]]), "00")</f>
        <v>PRD_SNJ_KYS_0001_01</v>
      </c>
      <c r="E387" s="87" t="s">
        <v>1121</v>
      </c>
      <c r="F387" s="87">
        <f>IF(COUNTIFS($C$3:C387,商品マスタ[[#This Row],[仕入先]],$E$3:E387,商品マスタ[[#This Row],[商品名]]) = 1, 1,0)</f>
        <v>1</v>
      </c>
      <c r="G387" s="133" t="str">
        <f>TEXT(SUMIF($C$3:C387,商品マスタ[[#This Row],[仕入先]],$F$3:F387), "0000")</f>
        <v>0001</v>
      </c>
      <c r="H387" s="87" t="s">
        <v>424</v>
      </c>
      <c r="I387" s="87" t="s">
        <v>1117</v>
      </c>
      <c r="J387" s="87">
        <v>1</v>
      </c>
      <c r="K387" s="87"/>
      <c r="L387" s="134">
        <v>1041</v>
      </c>
      <c r="M387" s="157">
        <v>46002</v>
      </c>
      <c r="N387" s="134"/>
      <c r="O387" s="135" t="str">
        <f>IF(COUNT(商品マスタ[[#This Row],[参考上代
（税込)]]) &gt; 0, (商品マスタ[[#This Row],[参考上代
（税込)]]-商品マスタ[[#This Row],[国内定価
（15％）]])/(商品マスタ[[#This Row],[参考上代
（税込)]]/1.08), "")</f>
        <v/>
      </c>
      <c r="P387" s="136">
        <v>0.1</v>
      </c>
      <c r="Q387" s="134">
        <f>商品マスタ[[#This Row],[仕入
単価]]*商品マスタ[[#This Row],[標準国内送料率]]</f>
        <v>104.10000000000001</v>
      </c>
      <c r="R387" s="134">
        <v>0</v>
      </c>
      <c r="S387" s="134">
        <f>IF(ISBLANK(商品マスタ[[#This Row],[実績
国内送料]]),商品マスタ[[#This Row],[標準国内送料]],)</f>
        <v>0</v>
      </c>
      <c r="T387" s="134">
        <f>商品マスタ[[#This Row],[仕入
単価]]+商品マスタ[[#This Row],[国内送料]]</f>
        <v>1041</v>
      </c>
      <c r="U387" s="134">
        <f>ROUNDUP(商品マスタ[[#This Row],[仕入単価+国内送料]]/0.8,-1)</f>
        <v>1310</v>
      </c>
      <c r="V387" s="134">
        <f>商品マスタ[[#This Row],[海外定価
（20％）]]-商品マスタ[[#This Row],[仕入単価+国内送料]]</f>
        <v>269</v>
      </c>
      <c r="W387" s="87">
        <f>ROUNDUP(商品マスタ[[#This Row],[仕入単価+国内送料]]/0.85,-1)</f>
        <v>1230</v>
      </c>
      <c r="X387" s="134">
        <f>商品マスタ[[#This Row],[国内定価
（15％）]]-商品マスタ[[#This Row],[仕入単価+国内送料]]</f>
        <v>189</v>
      </c>
      <c r="Y387" s="139">
        <v>0.08</v>
      </c>
      <c r="Z387" s="87"/>
      <c r="AA387" s="87"/>
      <c r="AB387" s="87"/>
      <c r="AC387" s="140"/>
      <c r="AD387" s="87"/>
      <c r="AE387" s="87"/>
      <c r="AF387" s="87"/>
      <c r="AG387" s="141"/>
    </row>
    <row r="388" spans="1:33" ht="18">
      <c r="A388" s="166" t="s">
        <v>1520</v>
      </c>
      <c r="B388" s="167" t="s">
        <v>1226</v>
      </c>
      <c r="C388" s="167" t="s">
        <v>1115</v>
      </c>
      <c r="D388" s="143" t="str">
        <f>"PRD_SNJ_"&amp;
_xlfn.XLOOKUP(商品マスタ[[#This Row],[仕入先]],テーブル1[仕入先名],テーブル1[仕入先コード],"XXX",0,1)&amp;
"_"&amp;
商品マスタ[[#This Row],[シリアル]]&amp;
"_"&amp;
TEXT(COUNTIFS(商品マスタ!$C$3:C388,商品マスタ[[#This Row],[仕入先]],商品マスタ!$E$3:E388,商品マスタ[[#This Row],[商品名]]), "00")</f>
        <v>PRD_SNJ_KYS_0002_01</v>
      </c>
      <c r="E388" s="87" t="s">
        <v>1122</v>
      </c>
      <c r="F388" s="87">
        <f>IF(COUNTIFS($C$3:C388,商品マスタ[[#This Row],[仕入先]],$E$3:E388,商品マスタ[[#This Row],[商品名]]) = 1, 1,0)</f>
        <v>1</v>
      </c>
      <c r="G388" s="133" t="str">
        <f>TEXT(SUMIF($C$3:C388,商品マスタ[[#This Row],[仕入先]],$F$3:F388), "0000")</f>
        <v>0002</v>
      </c>
      <c r="H388" s="87" t="s">
        <v>424</v>
      </c>
      <c r="I388" s="87" t="s">
        <v>1118</v>
      </c>
      <c r="J388" s="87">
        <v>1</v>
      </c>
      <c r="K388" s="87"/>
      <c r="L388" s="134">
        <v>561</v>
      </c>
      <c r="M388" s="157">
        <v>46002</v>
      </c>
      <c r="N388" s="134"/>
      <c r="O388" s="135" t="str">
        <f>IF(COUNT(商品マスタ[[#This Row],[参考上代
（税込)]]) &gt; 0, (商品マスタ[[#This Row],[参考上代
（税込)]]-商品マスタ[[#This Row],[国内定価
（15％）]])/(商品マスタ[[#This Row],[参考上代
（税込)]]/1.08), "")</f>
        <v/>
      </c>
      <c r="P388" s="136">
        <v>0.1</v>
      </c>
      <c r="Q388" s="134">
        <f>商品マスタ[[#This Row],[仕入
単価]]*商品マスタ[[#This Row],[標準国内送料率]]</f>
        <v>56.1</v>
      </c>
      <c r="R388" s="134">
        <v>0</v>
      </c>
      <c r="S388" s="134">
        <f>IF(ISBLANK(商品マスタ[[#This Row],[実績
国内送料]]),商品マスタ[[#This Row],[標準国内送料]],)</f>
        <v>0</v>
      </c>
      <c r="T388" s="134">
        <f>商品マスタ[[#This Row],[仕入
単価]]+商品マスタ[[#This Row],[国内送料]]</f>
        <v>561</v>
      </c>
      <c r="U388" s="134">
        <f>ROUNDUP(商品マスタ[[#This Row],[仕入単価+国内送料]]/0.8,-1)</f>
        <v>710</v>
      </c>
      <c r="V388" s="134">
        <f>商品マスタ[[#This Row],[海外定価
（20％）]]-商品マスタ[[#This Row],[仕入単価+国内送料]]</f>
        <v>149</v>
      </c>
      <c r="W388" s="87">
        <f>ROUNDUP(商品マスタ[[#This Row],[仕入単価+国内送料]]/0.85,-1)</f>
        <v>660</v>
      </c>
      <c r="X388" s="134">
        <f>商品マスタ[[#This Row],[国内定価
（15％）]]-商品マスタ[[#This Row],[仕入単価+国内送料]]</f>
        <v>99</v>
      </c>
      <c r="Y388" s="139">
        <v>0.08</v>
      </c>
      <c r="Z388" s="87"/>
      <c r="AA388" s="87"/>
      <c r="AB388" s="87"/>
      <c r="AC388" s="140"/>
      <c r="AD388" s="87"/>
      <c r="AE388" s="87"/>
      <c r="AF388" s="87"/>
      <c r="AG388" s="141"/>
    </row>
    <row r="389" spans="1:33" ht="18">
      <c r="A389" s="166" t="s">
        <v>1520</v>
      </c>
      <c r="B389" s="167" t="s">
        <v>1226</v>
      </c>
      <c r="C389" s="167" t="s">
        <v>1115</v>
      </c>
      <c r="D389" s="143" t="str">
        <f>"PRD_SNJ_"&amp;
_xlfn.XLOOKUP(商品マスタ[[#This Row],[仕入先]],テーブル1[仕入先名],テーブル1[仕入先コード],"XXX",0,1)&amp;
"_"&amp;
商品マスタ[[#This Row],[シリアル]]&amp;
"_"&amp;
TEXT(COUNTIFS(商品マスタ!$C$3:C389,商品マスタ[[#This Row],[仕入先]],商品マスタ!$E$3:E389,商品マスタ[[#This Row],[商品名]]), "00")</f>
        <v>PRD_SNJ_KYS_0003_01</v>
      </c>
      <c r="E389" s="87" t="s">
        <v>1123</v>
      </c>
      <c r="F389" s="87">
        <f>IF(COUNTIFS($C$3:C389,商品マスタ[[#This Row],[仕入先]],$E$3:E389,商品マスタ[[#This Row],[商品名]]) = 1, 1,0)</f>
        <v>1</v>
      </c>
      <c r="G389" s="133" t="str">
        <f>TEXT(SUMIF($C$3:C389,商品マスタ[[#This Row],[仕入先]],$F$3:F389), "0000")</f>
        <v>0003</v>
      </c>
      <c r="H389" s="87" t="s">
        <v>481</v>
      </c>
      <c r="I389" s="87" t="s">
        <v>227</v>
      </c>
      <c r="J389" s="87">
        <v>1</v>
      </c>
      <c r="K389" s="87"/>
      <c r="L389" s="134">
        <v>320</v>
      </c>
      <c r="M389" s="157">
        <v>46002</v>
      </c>
      <c r="N389" s="134"/>
      <c r="O389" s="135" t="str">
        <f>IF(COUNT(商品マスタ[[#This Row],[参考上代
（税込)]]) &gt; 0, (商品マスタ[[#This Row],[参考上代
（税込)]]-商品マスタ[[#This Row],[国内定価
（15％）]])/(商品マスタ[[#This Row],[参考上代
（税込)]]/1.08), "")</f>
        <v/>
      </c>
      <c r="P389" s="136">
        <v>0.1</v>
      </c>
      <c r="Q389" s="134">
        <f>商品マスタ[[#This Row],[仕入
単価]]*商品マスタ[[#This Row],[標準国内送料率]]</f>
        <v>32</v>
      </c>
      <c r="R389" s="134">
        <v>0</v>
      </c>
      <c r="S389" s="134">
        <f>IF(ISBLANK(商品マスタ[[#This Row],[実績
国内送料]]),商品マスタ[[#This Row],[標準国内送料]],)</f>
        <v>0</v>
      </c>
      <c r="T389" s="134">
        <f>商品マスタ[[#This Row],[仕入
単価]]+商品マスタ[[#This Row],[国内送料]]</f>
        <v>320</v>
      </c>
      <c r="U389" s="134">
        <f>ROUNDUP(商品マスタ[[#This Row],[仕入単価+国内送料]]/0.8,-1)</f>
        <v>400</v>
      </c>
      <c r="V389" s="134">
        <f>商品マスタ[[#This Row],[海外定価
（20％）]]-商品マスタ[[#This Row],[仕入単価+国内送料]]</f>
        <v>80</v>
      </c>
      <c r="W389" s="87">
        <f>ROUNDUP(商品マスタ[[#This Row],[仕入単価+国内送料]]/0.85,-1)</f>
        <v>380</v>
      </c>
      <c r="X389" s="134">
        <f>商品マスタ[[#This Row],[国内定価
（15％）]]-商品マスタ[[#This Row],[仕入単価+国内送料]]</f>
        <v>60</v>
      </c>
      <c r="Y389" s="139">
        <v>0.08</v>
      </c>
      <c r="Z389" s="87"/>
      <c r="AA389" s="87"/>
      <c r="AB389" s="87"/>
      <c r="AC389" s="140"/>
      <c r="AD389" s="87"/>
      <c r="AE389" s="87"/>
      <c r="AF389" s="87"/>
      <c r="AG389" s="141"/>
    </row>
    <row r="390" spans="1:33" ht="18">
      <c r="A390" s="166" t="s">
        <v>1520</v>
      </c>
      <c r="B390" s="167" t="s">
        <v>1226</v>
      </c>
      <c r="C390" s="167" t="s">
        <v>1115</v>
      </c>
      <c r="D390" s="143" t="str">
        <f>"PRD_SNJ_"&amp;
_xlfn.XLOOKUP(商品マスタ[[#This Row],[仕入先]],テーブル1[仕入先名],テーブル1[仕入先コード],"XXX",0,1)&amp;
"_"&amp;
商品マスタ[[#This Row],[シリアル]]&amp;
"_"&amp;
TEXT(COUNTIFS(商品マスタ!$C$3:C390,商品マスタ[[#This Row],[仕入先]],商品マスタ!$E$3:E390,商品マスタ[[#This Row],[商品名]]), "00")</f>
        <v>PRD_SNJ_KYS_0004_01</v>
      </c>
      <c r="E390" s="87" t="s">
        <v>1124</v>
      </c>
      <c r="F390" s="87">
        <f>IF(COUNTIFS($C$3:C390,商品マスタ[[#This Row],[仕入先]],$E$3:E390,商品マスタ[[#This Row],[商品名]]) = 1, 1,0)</f>
        <v>1</v>
      </c>
      <c r="G390" s="133" t="str">
        <f>TEXT(SUMIF($C$3:C390,商品マスタ[[#This Row],[仕入先]],$F$3:F390), "0000")</f>
        <v>0004</v>
      </c>
      <c r="H390" s="87" t="s">
        <v>481</v>
      </c>
      <c r="I390" s="87" t="s">
        <v>1119</v>
      </c>
      <c r="J390" s="87">
        <v>1</v>
      </c>
      <c r="K390" s="87"/>
      <c r="L390" s="134">
        <v>560</v>
      </c>
      <c r="M390" s="157">
        <v>46002</v>
      </c>
      <c r="N390" s="134"/>
      <c r="O390" s="135" t="str">
        <f>IF(COUNT(商品マスタ[[#This Row],[参考上代
（税込)]]) &gt; 0, (商品マスタ[[#This Row],[参考上代
（税込)]]-商品マスタ[[#This Row],[国内定価
（15％）]])/(商品マスタ[[#This Row],[参考上代
（税込)]]/1.08), "")</f>
        <v/>
      </c>
      <c r="P390" s="136">
        <v>0.1</v>
      </c>
      <c r="Q390" s="134">
        <f>商品マスタ[[#This Row],[仕入
単価]]*商品マスタ[[#This Row],[標準国内送料率]]</f>
        <v>56</v>
      </c>
      <c r="R390" s="134">
        <v>0</v>
      </c>
      <c r="S390" s="134">
        <f>IF(ISBLANK(商品マスタ[[#This Row],[実績
国内送料]]),商品マスタ[[#This Row],[標準国内送料]],)</f>
        <v>0</v>
      </c>
      <c r="T390" s="134">
        <f>商品マスタ[[#This Row],[仕入
単価]]+商品マスタ[[#This Row],[国内送料]]</f>
        <v>560</v>
      </c>
      <c r="U390" s="134">
        <f>ROUNDUP(商品マスタ[[#This Row],[仕入単価+国内送料]]/0.8,-1)</f>
        <v>700</v>
      </c>
      <c r="V390" s="134">
        <f>商品マスタ[[#This Row],[海外定価
（20％）]]-商品マスタ[[#This Row],[仕入単価+国内送料]]</f>
        <v>140</v>
      </c>
      <c r="W390" s="87">
        <f>ROUNDUP(商品マスタ[[#This Row],[仕入単価+国内送料]]/0.85,-1)</f>
        <v>660</v>
      </c>
      <c r="X390" s="134">
        <f>商品マスタ[[#This Row],[国内定価
（15％）]]-商品マスタ[[#This Row],[仕入単価+国内送料]]</f>
        <v>100</v>
      </c>
      <c r="Y390" s="139">
        <v>0.08</v>
      </c>
      <c r="Z390" s="87"/>
      <c r="AA390" s="87"/>
      <c r="AB390" s="87"/>
      <c r="AC390" s="140"/>
      <c r="AD390" s="87"/>
      <c r="AE390" s="87"/>
      <c r="AF390" s="87"/>
      <c r="AG390" s="141"/>
    </row>
    <row r="391" spans="1:33" ht="18">
      <c r="A391" s="166" t="s">
        <v>1520</v>
      </c>
      <c r="B391" s="167" t="s">
        <v>1226</v>
      </c>
      <c r="C391" s="167" t="s">
        <v>1115</v>
      </c>
      <c r="D391" s="143" t="str">
        <f>"PRD_SNJ_"&amp;
_xlfn.XLOOKUP(商品マスタ[[#This Row],[仕入先]],テーブル1[仕入先名],テーブル1[仕入先コード],"XXX",0,1)&amp;
"_"&amp;
商品マスタ[[#This Row],[シリアル]]&amp;
"_"&amp;
TEXT(COUNTIFS(商品マスタ!$C$3:C391,商品マスタ[[#This Row],[仕入先]],商品マスタ!$E$3:E391,商品マスタ[[#This Row],[商品名]]), "00")</f>
        <v>PRD_SNJ_KYS_0005_01</v>
      </c>
      <c r="E391" s="87" t="s">
        <v>1125</v>
      </c>
      <c r="F391" s="87">
        <f>IF(COUNTIFS($C$3:C391,商品マスタ[[#This Row],[仕入先]],$E$3:E391,商品マスタ[[#This Row],[商品名]]) = 1, 1,0)</f>
        <v>1</v>
      </c>
      <c r="G391" s="133" t="str">
        <f>TEXT(SUMIF($C$3:C391,商品マスタ[[#This Row],[仕入先]],$F$3:F391), "0000")</f>
        <v>0005</v>
      </c>
      <c r="H391" s="87" t="s">
        <v>481</v>
      </c>
      <c r="I391" s="87" t="s">
        <v>1120</v>
      </c>
      <c r="J391" s="87">
        <v>1</v>
      </c>
      <c r="K391" s="87"/>
      <c r="L391" s="134">
        <v>1527</v>
      </c>
      <c r="M391" s="157">
        <v>46002</v>
      </c>
      <c r="N391" s="134"/>
      <c r="O391" s="135" t="str">
        <f>IF(COUNT(商品マスタ[[#This Row],[参考上代
（税込)]]) &gt; 0, (商品マスタ[[#This Row],[参考上代
（税込)]]-商品マスタ[[#This Row],[国内定価
（15％）]])/(商品マスタ[[#This Row],[参考上代
（税込)]]/1.08), "")</f>
        <v/>
      </c>
      <c r="P391" s="136">
        <v>0.1</v>
      </c>
      <c r="Q391" s="134">
        <f>商品マスタ[[#This Row],[仕入
単価]]*商品マスタ[[#This Row],[標準国内送料率]]</f>
        <v>152.70000000000002</v>
      </c>
      <c r="R391" s="134">
        <v>0</v>
      </c>
      <c r="S391" s="134">
        <f>IF(ISBLANK(商品マスタ[[#This Row],[実績
国内送料]]),商品マスタ[[#This Row],[標準国内送料]],)</f>
        <v>0</v>
      </c>
      <c r="T391" s="134">
        <f>商品マスタ[[#This Row],[仕入
単価]]+商品マスタ[[#This Row],[国内送料]]</f>
        <v>1527</v>
      </c>
      <c r="U391" s="134">
        <f>ROUNDUP(商品マスタ[[#This Row],[仕入単価+国内送料]]/0.8,-1)</f>
        <v>1910</v>
      </c>
      <c r="V391" s="134">
        <f>商品マスタ[[#This Row],[海外定価
（20％）]]-商品マスタ[[#This Row],[仕入単価+国内送料]]</f>
        <v>383</v>
      </c>
      <c r="W391" s="87">
        <f>ROUNDUP(商品マスタ[[#This Row],[仕入単価+国内送料]]/0.85,-1)</f>
        <v>1800</v>
      </c>
      <c r="X391" s="134">
        <f>商品マスタ[[#This Row],[国内定価
（15％）]]-商品マスタ[[#This Row],[仕入単価+国内送料]]</f>
        <v>273</v>
      </c>
      <c r="Y391" s="139">
        <v>0.08</v>
      </c>
      <c r="Z391" s="87"/>
      <c r="AA391" s="87"/>
      <c r="AB391" s="87"/>
      <c r="AC391" s="140"/>
      <c r="AD391" s="87"/>
      <c r="AE391" s="87"/>
      <c r="AF391" s="87"/>
      <c r="AG391" s="141"/>
    </row>
    <row r="392" spans="1:33" ht="18">
      <c r="A392" s="166" t="s">
        <v>1520</v>
      </c>
      <c r="B392" s="167" t="s">
        <v>1226</v>
      </c>
      <c r="C392" s="167" t="s">
        <v>1115</v>
      </c>
      <c r="D392" s="143" t="str">
        <f>"PRD_SNJ_"&amp;
_xlfn.XLOOKUP(商品マスタ[[#This Row],[仕入先]],テーブル1[仕入先名],テーブル1[仕入先コード],"XXX",0,1)&amp;
"_"&amp;
商品マスタ[[#This Row],[シリアル]]&amp;
"_"&amp;
TEXT(COUNTIFS(商品マスタ!$C$3:C392,商品マスタ[[#This Row],[仕入先]],商品マスタ!$E$3:E392,商品マスタ[[#This Row],[商品名]]), "00")</f>
        <v>PRD_SNJ_KYS_0006_01</v>
      </c>
      <c r="E392" s="87" t="s">
        <v>1140</v>
      </c>
      <c r="F392" s="87">
        <f>IF(COUNTIFS($C$3:C392,商品マスタ[[#This Row],[仕入先]],$E$3:E392,商品マスタ[[#This Row],[商品名]]) = 1, 1,0)</f>
        <v>1</v>
      </c>
      <c r="G392" s="133" t="str">
        <f>TEXT(SUMIF($C$3:C392,商品マスタ[[#This Row],[仕入先]],$F$3:F392), "0000")</f>
        <v>0006</v>
      </c>
      <c r="H392" s="87" t="s">
        <v>1138</v>
      </c>
      <c r="I392" s="87" t="s">
        <v>1139</v>
      </c>
      <c r="J392" s="87">
        <v>1</v>
      </c>
      <c r="K392" s="87"/>
      <c r="L392" s="134">
        <v>4760</v>
      </c>
      <c r="M392" s="157">
        <v>46048</v>
      </c>
      <c r="N392" s="134"/>
      <c r="O392" s="135" t="str">
        <f>IF(COUNT(商品マスタ[[#This Row],[参考上代
（税込)]]) &gt; 0, (商品マスタ[[#This Row],[参考上代
（税込)]]-商品マスタ[[#This Row],[国内定価
（15％）]])/(商品マスタ[[#This Row],[参考上代
（税込)]]/1.08), "")</f>
        <v/>
      </c>
      <c r="P392" s="136">
        <v>0.1</v>
      </c>
      <c r="Q392" s="134">
        <f>商品マスタ[[#This Row],[仕入
単価]]*商品マスタ[[#This Row],[標準国内送料率]]</f>
        <v>476</v>
      </c>
      <c r="R392" s="134">
        <v>0</v>
      </c>
      <c r="S392" s="134">
        <f>IF(ISBLANK(商品マスタ[[#This Row],[実績
国内送料]]),商品マスタ[[#This Row],[標準国内送料]],)</f>
        <v>0</v>
      </c>
      <c r="T392" s="134">
        <f>商品マスタ[[#This Row],[仕入
単価]]+商品マスタ[[#This Row],[国内送料]]</f>
        <v>4760</v>
      </c>
      <c r="U392" s="134">
        <f>ROUNDUP(商品マスタ[[#This Row],[仕入単価+国内送料]]/0.8,-1)</f>
        <v>5950</v>
      </c>
      <c r="V392" s="134">
        <f>商品マスタ[[#This Row],[海外定価
（20％）]]-商品マスタ[[#This Row],[仕入単価+国内送料]]</f>
        <v>1190</v>
      </c>
      <c r="W392" s="87">
        <f>ROUNDUP(商品マスタ[[#This Row],[仕入単価+国内送料]]/0.85,-1)</f>
        <v>5600</v>
      </c>
      <c r="X392" s="134">
        <f>商品マスタ[[#This Row],[国内定価
（15％）]]-商品マスタ[[#This Row],[仕入単価+国内送料]]</f>
        <v>840</v>
      </c>
      <c r="Y392" s="139">
        <v>0.08</v>
      </c>
      <c r="Z392" s="87"/>
      <c r="AA392" s="87" t="s">
        <v>171</v>
      </c>
      <c r="AB392" s="87"/>
      <c r="AC392" s="140"/>
      <c r="AD392" s="87"/>
      <c r="AE392" s="87"/>
      <c r="AF392" s="87"/>
      <c r="AG392" s="141"/>
    </row>
    <row r="393" spans="1:33" ht="18">
      <c r="A393" s="166" t="s">
        <v>1520</v>
      </c>
      <c r="B393" s="167" t="s">
        <v>1226</v>
      </c>
      <c r="C393" s="167" t="s">
        <v>1115</v>
      </c>
      <c r="D393" s="143" t="str">
        <f>"PRD_SNJ_"&amp;
_xlfn.XLOOKUP(商品マスタ[[#This Row],[仕入先]],テーブル1[仕入先名],テーブル1[仕入先コード],"XXX",0,1)&amp;
"_"&amp;
商品マスタ[[#This Row],[シリアル]]&amp;
"_"&amp;
TEXT(COUNTIFS(商品マスタ!$C$3:C393,商品マスタ[[#This Row],[仕入先]],商品マスタ!$E$3:E393,商品マスタ[[#This Row],[商品名]]), "00")</f>
        <v>PRD_SNJ_KYS_0007_01</v>
      </c>
      <c r="E393" s="87" t="s">
        <v>1141</v>
      </c>
      <c r="F393" s="87">
        <f>IF(COUNTIFS($C$3:C393,商品マスタ[[#This Row],[仕入先]],$E$3:E393,商品マスタ[[#This Row],[商品名]]) = 1, 1,0)</f>
        <v>1</v>
      </c>
      <c r="G393" s="133" t="str">
        <f>TEXT(SUMIF($C$3:C393,商品マスタ[[#This Row],[仕入先]],$F$3:F393), "0000")</f>
        <v>0007</v>
      </c>
      <c r="H393" s="87" t="s">
        <v>1138</v>
      </c>
      <c r="I393" s="87" t="s">
        <v>1139</v>
      </c>
      <c r="J393" s="87">
        <v>1</v>
      </c>
      <c r="K393" s="87"/>
      <c r="L393" s="134">
        <v>3740</v>
      </c>
      <c r="M393" s="157">
        <v>46048</v>
      </c>
      <c r="N393" s="134"/>
      <c r="O393" s="135" t="str">
        <f>IF(COUNT(商品マスタ[[#This Row],[参考上代
（税込)]]) &gt; 0, (商品マスタ[[#This Row],[参考上代
（税込)]]-商品マスタ[[#This Row],[国内定価
（15％）]])/(商品マスタ[[#This Row],[参考上代
（税込)]]/1.08), "")</f>
        <v/>
      </c>
      <c r="P393" s="136">
        <v>0.1</v>
      </c>
      <c r="Q393" s="134">
        <f>商品マスタ[[#This Row],[仕入
単価]]*商品マスタ[[#This Row],[標準国内送料率]]</f>
        <v>374</v>
      </c>
      <c r="R393" s="134">
        <v>0</v>
      </c>
      <c r="S393" s="134">
        <f>IF(ISBLANK(商品マスタ[[#This Row],[実績
国内送料]]),商品マスタ[[#This Row],[標準国内送料]],)</f>
        <v>0</v>
      </c>
      <c r="T393" s="134">
        <f>商品マスタ[[#This Row],[仕入
単価]]+商品マスタ[[#This Row],[国内送料]]</f>
        <v>3740</v>
      </c>
      <c r="U393" s="134">
        <f>ROUNDUP(商品マスタ[[#This Row],[仕入単価+国内送料]]/0.8,-1)</f>
        <v>4680</v>
      </c>
      <c r="V393" s="134">
        <f>商品マスタ[[#This Row],[海外定価
（20％）]]-商品マスタ[[#This Row],[仕入単価+国内送料]]</f>
        <v>940</v>
      </c>
      <c r="W393" s="87">
        <f>ROUNDUP(商品マスタ[[#This Row],[仕入単価+国内送料]]/0.85,-1)</f>
        <v>4400</v>
      </c>
      <c r="X393" s="134">
        <f>商品マスタ[[#This Row],[国内定価
（15％）]]-商品マスタ[[#This Row],[仕入単価+国内送料]]</f>
        <v>660</v>
      </c>
      <c r="Y393" s="139">
        <v>0.08</v>
      </c>
      <c r="Z393" s="87"/>
      <c r="AA393" s="87" t="s">
        <v>171</v>
      </c>
      <c r="AB393" s="87"/>
      <c r="AC393" s="140"/>
      <c r="AD393" s="87"/>
      <c r="AE393" s="87"/>
      <c r="AF393" s="87"/>
      <c r="AG393" s="141"/>
    </row>
    <row r="394" spans="1:33" ht="18">
      <c r="A394" s="166" t="s">
        <v>1520</v>
      </c>
      <c r="B394" s="167" t="s">
        <v>1226</v>
      </c>
      <c r="C394" s="167" t="s">
        <v>1115</v>
      </c>
      <c r="D394" s="143" t="str">
        <f>"PRD_SNJ_"&amp;
_xlfn.XLOOKUP(商品マスタ[[#This Row],[仕入先]],テーブル1[仕入先名],テーブル1[仕入先コード],"XXX",0,1)&amp;
"_"&amp;
商品マスタ[[#This Row],[シリアル]]&amp;
"_"&amp;
TEXT(COUNTIFS(商品マスタ!$C$3:C394,商品マスタ[[#This Row],[仕入先]],商品マスタ!$E$3:E394,商品マスタ[[#This Row],[商品名]]), "00")</f>
        <v>PRD_SNJ_KYS_0008_01</v>
      </c>
      <c r="E394" s="87" t="s">
        <v>1142</v>
      </c>
      <c r="F394" s="87">
        <f>IF(COUNTIFS($C$3:C394,商品マスタ[[#This Row],[仕入先]],$E$3:E394,商品マスタ[[#This Row],[商品名]]) = 1, 1,0)</f>
        <v>1</v>
      </c>
      <c r="G394" s="133" t="str">
        <f>TEXT(SUMIF($C$3:C394,商品マスタ[[#This Row],[仕入先]],$F$3:F394), "0000")</f>
        <v>0008</v>
      </c>
      <c r="H394" s="87" t="s">
        <v>1138</v>
      </c>
      <c r="I394" s="87" t="s">
        <v>1139</v>
      </c>
      <c r="J394" s="87">
        <v>1</v>
      </c>
      <c r="K394" s="87"/>
      <c r="L394" s="134">
        <v>3060</v>
      </c>
      <c r="M394" s="157">
        <v>46048</v>
      </c>
      <c r="N394" s="134"/>
      <c r="O394" s="135" t="str">
        <f>IF(COUNT(商品マスタ[[#This Row],[参考上代
（税込)]]) &gt; 0, (商品マスタ[[#This Row],[参考上代
（税込)]]-商品マスタ[[#This Row],[国内定価
（15％）]])/(商品マスタ[[#This Row],[参考上代
（税込)]]/1.08), "")</f>
        <v/>
      </c>
      <c r="P394" s="136">
        <v>0.1</v>
      </c>
      <c r="Q394" s="134">
        <f>商品マスタ[[#This Row],[仕入
単価]]*商品マスタ[[#This Row],[標準国内送料率]]</f>
        <v>306</v>
      </c>
      <c r="R394" s="134">
        <v>0</v>
      </c>
      <c r="S394" s="134">
        <f>IF(ISBLANK(商品マスタ[[#This Row],[実績
国内送料]]),商品マスタ[[#This Row],[標準国内送料]],)</f>
        <v>0</v>
      </c>
      <c r="T394" s="134">
        <f>商品マスタ[[#This Row],[仕入
単価]]+商品マスタ[[#This Row],[国内送料]]</f>
        <v>3060</v>
      </c>
      <c r="U394" s="134">
        <f>ROUNDUP(商品マスタ[[#This Row],[仕入単価+国内送料]]/0.8,-1)</f>
        <v>3830</v>
      </c>
      <c r="V394" s="134">
        <f>商品マスタ[[#This Row],[海外定価
（20％）]]-商品マスタ[[#This Row],[仕入単価+国内送料]]</f>
        <v>770</v>
      </c>
      <c r="W394" s="87">
        <f>ROUNDUP(商品マスタ[[#This Row],[仕入単価+国内送料]]/0.85,-1)</f>
        <v>3600</v>
      </c>
      <c r="X394" s="134">
        <f>商品マスタ[[#This Row],[国内定価
（15％）]]-商品マスタ[[#This Row],[仕入単価+国内送料]]</f>
        <v>540</v>
      </c>
      <c r="Y394" s="139">
        <v>0.08</v>
      </c>
      <c r="Z394" s="87"/>
      <c r="AA394" s="87" t="s">
        <v>171</v>
      </c>
      <c r="AB394" s="87"/>
      <c r="AC394" s="140"/>
      <c r="AD394" s="87"/>
      <c r="AE394" s="87"/>
      <c r="AF394" s="87"/>
      <c r="AG394" s="141"/>
    </row>
    <row r="395" spans="1:33" ht="18">
      <c r="A395" s="166" t="s">
        <v>1523</v>
      </c>
      <c r="B395" s="167" t="s">
        <v>1231</v>
      </c>
      <c r="C395" s="167" t="s">
        <v>1254</v>
      </c>
      <c r="D395" s="143" t="str">
        <f>"PRD_SNJ_"&amp;
_xlfn.XLOOKUP(商品マスタ[[#This Row],[仕入先]],テーブル1[仕入先名],テーブル1[仕入先コード],"XXX",0,1)&amp;
"_"&amp;
商品マスタ[[#This Row],[シリアル]]&amp;
"_"&amp;
TEXT(COUNTIFS(商品マスタ!$C$3:C395,商品マスタ[[#This Row],[仕入先]],商品マスタ!$E$3:E395,商品マスタ[[#This Row],[商品名]]), "00")</f>
        <v>PRD_SNJ_SFD_0001_01</v>
      </c>
      <c r="E395" s="87" t="s">
        <v>1481</v>
      </c>
      <c r="F395" s="87">
        <f>IF(COUNTIFS($C$3:C395,商品マスタ[[#This Row],[仕入先]],$E$3:E395,商品マスタ[[#This Row],[商品名]]) = 1, 1,0)</f>
        <v>1</v>
      </c>
      <c r="G395" s="133" t="str">
        <f>TEXT(SUMIF($C$3:C395,商品マスタ[[#This Row],[仕入先]],$F$3:F395), "0000")</f>
        <v>0001</v>
      </c>
      <c r="H395" s="87" t="s">
        <v>365</v>
      </c>
      <c r="I395" s="87" t="s">
        <v>1428</v>
      </c>
      <c r="J395" s="87" t="s">
        <v>1463</v>
      </c>
      <c r="K395" s="87"/>
      <c r="L395" s="134">
        <v>8700</v>
      </c>
      <c r="M395" s="157">
        <v>46037</v>
      </c>
      <c r="N395" s="134"/>
      <c r="O395" s="135" t="str">
        <f>IF(COUNT(商品マスタ[[#This Row],[参考上代
（税込)]]) &gt; 0, (商品マスタ[[#This Row],[参考上代
（税込)]]-商品マスタ[[#This Row],[国内定価
（15％）]])/(商品マスタ[[#This Row],[参考上代
（税込)]]/1.08), "")</f>
        <v/>
      </c>
      <c r="P395" s="136">
        <v>0.1</v>
      </c>
      <c r="Q395" s="134">
        <f>商品マスタ[[#This Row],[仕入
単価]]*商品マスタ[[#This Row],[標準国内送料率]]</f>
        <v>870</v>
      </c>
      <c r="R395" s="134">
        <v>0</v>
      </c>
      <c r="S395" s="134">
        <f>IF(ISBLANK(商品マスタ[[#This Row],[実績
国内送料]]),商品マスタ[[#This Row],[標準国内送料]],)</f>
        <v>0</v>
      </c>
      <c r="T395" s="134">
        <f>商品マスタ[[#This Row],[仕入
単価]]+商品マスタ[[#This Row],[国内送料]]</f>
        <v>8700</v>
      </c>
      <c r="U395" s="134">
        <f>ROUNDUP(商品マスタ[[#This Row],[仕入単価+国内送料]]/0.8,-1)</f>
        <v>10880</v>
      </c>
      <c r="V395" s="134">
        <f>商品マスタ[[#This Row],[海外定価
（20％）]]-商品マスタ[[#This Row],[仕入単価+国内送料]]</f>
        <v>2180</v>
      </c>
      <c r="W395" s="87">
        <f>ROUNDUP(商品マスタ[[#This Row],[仕入単価+国内送料]]/0.85,-1)</f>
        <v>10240</v>
      </c>
      <c r="X395" s="134">
        <f>商品マスタ[[#This Row],[国内定価
（15％）]]-商品マスタ[[#This Row],[仕入単価+国内送料]]</f>
        <v>1540</v>
      </c>
      <c r="Y395" s="139">
        <v>0.08</v>
      </c>
      <c r="Z395" s="87"/>
      <c r="AA395" s="87"/>
      <c r="AB395" s="87"/>
      <c r="AC395" s="140"/>
      <c r="AD395" s="87"/>
      <c r="AE395" s="87"/>
      <c r="AF395" s="87"/>
      <c r="AG395" s="141" t="s">
        <v>1417</v>
      </c>
    </row>
    <row r="396" spans="1:33" ht="18">
      <c r="A396" s="166" t="s">
        <v>1523</v>
      </c>
      <c r="B396" s="167" t="s">
        <v>1231</v>
      </c>
      <c r="C396" s="167" t="s">
        <v>1254</v>
      </c>
      <c r="D396" s="143" t="str">
        <f>"PRD_SNJ_"&amp;
_xlfn.XLOOKUP(商品マスタ[[#This Row],[仕入先]],テーブル1[仕入先名],テーブル1[仕入先コード],"XXX",0,1)&amp;
"_"&amp;
商品マスタ[[#This Row],[シリアル]]&amp;
"_"&amp;
TEXT(COUNTIFS(商品マスタ!$C$3:C396,商品マスタ[[#This Row],[仕入先]],商品マスタ!$E$3:E396,商品マスタ[[#This Row],[商品名]]), "00")</f>
        <v>PRD_SNJ_SFD_0002_01</v>
      </c>
      <c r="E396" s="87" t="s">
        <v>1289</v>
      </c>
      <c r="F396" s="87">
        <f>IF(COUNTIFS($C$3:C396,商品マスタ[[#This Row],[仕入先]],$E$3:E396,商品マスタ[[#This Row],[商品名]]) = 1, 1,0)</f>
        <v>1</v>
      </c>
      <c r="G396" s="133" t="str">
        <f>TEXT(SUMIF($C$3:C396,商品マスタ[[#This Row],[仕入先]],$F$3:F396), "0000")</f>
        <v>0002</v>
      </c>
      <c r="H396" s="87" t="s">
        <v>365</v>
      </c>
      <c r="I396" s="87" t="s">
        <v>1429</v>
      </c>
      <c r="J396" s="87" t="s">
        <v>1463</v>
      </c>
      <c r="K396" s="87"/>
      <c r="L396" s="134">
        <v>10800</v>
      </c>
      <c r="M396" s="157">
        <v>46037</v>
      </c>
      <c r="N396" s="134"/>
      <c r="O396" s="135" t="str">
        <f>IF(COUNT(商品マスタ[[#This Row],[参考上代
（税込)]]) &gt; 0, (商品マスタ[[#This Row],[参考上代
（税込)]]-商品マスタ[[#This Row],[国内定価
（15％）]])/(商品マスタ[[#This Row],[参考上代
（税込)]]/1.08), "")</f>
        <v/>
      </c>
      <c r="P396" s="136">
        <v>0.1</v>
      </c>
      <c r="Q396" s="134">
        <f>商品マスタ[[#This Row],[仕入
単価]]*商品マスタ[[#This Row],[標準国内送料率]]</f>
        <v>1080</v>
      </c>
      <c r="R396" s="134">
        <v>0</v>
      </c>
      <c r="S396" s="134">
        <f>IF(ISBLANK(商品マスタ[[#This Row],[実績
国内送料]]),商品マスタ[[#This Row],[標準国内送料]],)</f>
        <v>0</v>
      </c>
      <c r="T396" s="134">
        <f>商品マスタ[[#This Row],[仕入
単価]]+商品マスタ[[#This Row],[国内送料]]</f>
        <v>10800</v>
      </c>
      <c r="U396" s="134">
        <f>ROUNDUP(商品マスタ[[#This Row],[仕入単価+国内送料]]/0.8,-1)</f>
        <v>13500</v>
      </c>
      <c r="V396" s="134">
        <f>商品マスタ[[#This Row],[海外定価
（20％）]]-商品マスタ[[#This Row],[仕入単価+国内送料]]</f>
        <v>2700</v>
      </c>
      <c r="W396" s="87">
        <f>ROUNDUP(商品マスタ[[#This Row],[仕入単価+国内送料]]/0.85,-1)</f>
        <v>12710</v>
      </c>
      <c r="X396" s="134">
        <f>商品マスタ[[#This Row],[国内定価
（15％）]]-商品マスタ[[#This Row],[仕入単価+国内送料]]</f>
        <v>1910</v>
      </c>
      <c r="Y396" s="139">
        <v>0.08</v>
      </c>
      <c r="Z396" s="87"/>
      <c r="AA396" s="87"/>
      <c r="AB396" s="87"/>
      <c r="AC396" s="140"/>
      <c r="AD396" s="87"/>
      <c r="AE396" s="87"/>
      <c r="AF396" s="87"/>
      <c r="AG396" s="141" t="s">
        <v>1417</v>
      </c>
    </row>
    <row r="397" spans="1:33" ht="18">
      <c r="A397" s="166" t="s">
        <v>1523</v>
      </c>
      <c r="B397" s="167" t="s">
        <v>1231</v>
      </c>
      <c r="C397" s="167" t="s">
        <v>1254</v>
      </c>
      <c r="D397" s="143" t="str">
        <f>"PRD_SNJ_"&amp;
_xlfn.XLOOKUP(商品マスタ[[#This Row],[仕入先]],テーブル1[仕入先名],テーブル1[仕入先コード],"XXX",0,1)&amp;
"_"&amp;
商品マスタ[[#This Row],[シリアル]]&amp;
"_"&amp;
TEXT(COUNTIFS(商品マスタ!$C$3:C397,商品マスタ[[#This Row],[仕入先]],商品マスタ!$E$3:E397,商品マスタ[[#This Row],[商品名]]), "00")</f>
        <v>PRD_SNJ_SFD_0003_01</v>
      </c>
      <c r="E397" s="87" t="s">
        <v>1290</v>
      </c>
      <c r="F397" s="87">
        <f>IF(COUNTIFS($C$3:C397,商品マスタ[[#This Row],[仕入先]],$E$3:E397,商品マスタ[[#This Row],[商品名]]) = 1, 1,0)</f>
        <v>1</v>
      </c>
      <c r="G397" s="133" t="str">
        <f>TEXT(SUMIF($C$3:C397,商品マスタ[[#This Row],[仕入先]],$F$3:F397), "0000")</f>
        <v>0003</v>
      </c>
      <c r="H397" s="87" t="s">
        <v>365</v>
      </c>
      <c r="I397" s="87" t="s">
        <v>1430</v>
      </c>
      <c r="J397" s="87" t="s">
        <v>1463</v>
      </c>
      <c r="K397" s="87"/>
      <c r="L397" s="134">
        <v>4100</v>
      </c>
      <c r="M397" s="157">
        <v>46037</v>
      </c>
      <c r="N397" s="134"/>
      <c r="O397" s="135" t="str">
        <f>IF(COUNT(商品マスタ[[#This Row],[参考上代
（税込)]]) &gt; 0, (商品マスタ[[#This Row],[参考上代
（税込)]]-商品マスタ[[#This Row],[国内定価
（15％）]])/(商品マスタ[[#This Row],[参考上代
（税込)]]/1.08), "")</f>
        <v/>
      </c>
      <c r="P397" s="136">
        <v>0.1</v>
      </c>
      <c r="Q397" s="134">
        <f>商品マスタ[[#This Row],[仕入
単価]]*商品マスタ[[#This Row],[標準国内送料率]]</f>
        <v>410</v>
      </c>
      <c r="R397" s="134">
        <v>0</v>
      </c>
      <c r="S397" s="134">
        <f>IF(ISBLANK(商品マスタ[[#This Row],[実績
国内送料]]),商品マスタ[[#This Row],[標準国内送料]],)</f>
        <v>0</v>
      </c>
      <c r="T397" s="134">
        <f>商品マスタ[[#This Row],[仕入
単価]]+商品マスタ[[#This Row],[国内送料]]</f>
        <v>4100</v>
      </c>
      <c r="U397" s="134">
        <f>ROUNDUP(商品マスタ[[#This Row],[仕入単価+国内送料]]/0.8,-1)</f>
        <v>5130</v>
      </c>
      <c r="V397" s="134">
        <f>商品マスタ[[#This Row],[海外定価
（20％）]]-商品マスタ[[#This Row],[仕入単価+国内送料]]</f>
        <v>1030</v>
      </c>
      <c r="W397" s="87">
        <f>ROUNDUP(商品マスタ[[#This Row],[仕入単価+国内送料]]/0.85,-1)</f>
        <v>4830</v>
      </c>
      <c r="X397" s="134">
        <f>商品マスタ[[#This Row],[国内定価
（15％）]]-商品マスタ[[#This Row],[仕入単価+国内送料]]</f>
        <v>730</v>
      </c>
      <c r="Y397" s="139">
        <v>0.08</v>
      </c>
      <c r="Z397" s="87"/>
      <c r="AA397" s="87"/>
      <c r="AB397" s="87"/>
      <c r="AC397" s="140"/>
      <c r="AD397" s="87"/>
      <c r="AE397" s="87"/>
      <c r="AF397" s="87"/>
      <c r="AG397" s="141" t="s">
        <v>1417</v>
      </c>
    </row>
    <row r="398" spans="1:33" ht="18">
      <c r="A398" s="166" t="s">
        <v>1523</v>
      </c>
      <c r="B398" s="167" t="s">
        <v>1231</v>
      </c>
      <c r="C398" s="167" t="s">
        <v>1254</v>
      </c>
      <c r="D398" s="143" t="str">
        <f>"PRD_SNJ_"&amp;
_xlfn.XLOOKUP(商品マスタ[[#This Row],[仕入先]],テーブル1[仕入先名],テーブル1[仕入先コード],"XXX",0,1)&amp;
"_"&amp;
商品マスタ[[#This Row],[シリアル]]&amp;
"_"&amp;
TEXT(COUNTIFS(商品マスタ!$C$3:C398,商品マスタ[[#This Row],[仕入先]],商品マスタ!$E$3:E398,商品マスタ[[#This Row],[商品名]]), "00")</f>
        <v>PRD_SNJ_SFD_0004_01</v>
      </c>
      <c r="E398" s="87" t="s">
        <v>1291</v>
      </c>
      <c r="F398" s="87">
        <f>IF(COUNTIFS($C$3:C398,商品マスタ[[#This Row],[仕入先]],$E$3:E398,商品マスタ[[#This Row],[商品名]]) = 1, 1,0)</f>
        <v>1</v>
      </c>
      <c r="G398" s="133" t="str">
        <f>TEXT(SUMIF($C$3:C398,商品マスタ[[#This Row],[仕入先]],$F$3:F398), "0000")</f>
        <v>0004</v>
      </c>
      <c r="H398" s="87" t="s">
        <v>365</v>
      </c>
      <c r="I398" s="87" t="s">
        <v>1431</v>
      </c>
      <c r="J398" s="87" t="s">
        <v>1463</v>
      </c>
      <c r="K398" s="87"/>
      <c r="L398" s="134">
        <v>4300</v>
      </c>
      <c r="M398" s="157">
        <v>46037</v>
      </c>
      <c r="N398" s="134"/>
      <c r="O398" s="135" t="str">
        <f>IF(COUNT(商品マスタ[[#This Row],[参考上代
（税込)]]) &gt; 0, (商品マスタ[[#This Row],[参考上代
（税込)]]-商品マスタ[[#This Row],[国内定価
（15％）]])/(商品マスタ[[#This Row],[参考上代
（税込)]]/1.08), "")</f>
        <v/>
      </c>
      <c r="P398" s="136">
        <v>0.1</v>
      </c>
      <c r="Q398" s="134">
        <f>商品マスタ[[#This Row],[仕入
単価]]*商品マスタ[[#This Row],[標準国内送料率]]</f>
        <v>430</v>
      </c>
      <c r="R398" s="134">
        <v>0</v>
      </c>
      <c r="S398" s="134">
        <f>IF(ISBLANK(商品マスタ[[#This Row],[実績
国内送料]]),商品マスタ[[#This Row],[標準国内送料]],)</f>
        <v>0</v>
      </c>
      <c r="T398" s="134">
        <f>商品マスタ[[#This Row],[仕入
単価]]+商品マスタ[[#This Row],[国内送料]]</f>
        <v>4300</v>
      </c>
      <c r="U398" s="134">
        <f>ROUNDUP(商品マスタ[[#This Row],[仕入単価+国内送料]]/0.8,-1)</f>
        <v>5380</v>
      </c>
      <c r="V398" s="134">
        <f>商品マスタ[[#This Row],[海外定価
（20％）]]-商品マスタ[[#This Row],[仕入単価+国内送料]]</f>
        <v>1080</v>
      </c>
      <c r="W398" s="87">
        <f>ROUNDUP(商品マスタ[[#This Row],[仕入単価+国内送料]]/0.85,-1)</f>
        <v>5060</v>
      </c>
      <c r="X398" s="134">
        <f>商品マスタ[[#This Row],[国内定価
（15％）]]-商品マスタ[[#This Row],[仕入単価+国内送料]]</f>
        <v>760</v>
      </c>
      <c r="Y398" s="139">
        <v>0.08</v>
      </c>
      <c r="Z398" s="87"/>
      <c r="AA398" s="87"/>
      <c r="AB398" s="87"/>
      <c r="AC398" s="140"/>
      <c r="AD398" s="87"/>
      <c r="AE398" s="87"/>
      <c r="AF398" s="87"/>
      <c r="AG398" s="141" t="s">
        <v>1417</v>
      </c>
    </row>
    <row r="399" spans="1:33" ht="18">
      <c r="A399" s="166" t="s">
        <v>1523</v>
      </c>
      <c r="B399" s="167" t="s">
        <v>1231</v>
      </c>
      <c r="C399" s="167" t="s">
        <v>1254</v>
      </c>
      <c r="D399" s="143" t="str">
        <f>"PRD_SNJ_"&amp;
_xlfn.XLOOKUP(商品マスタ[[#This Row],[仕入先]],テーブル1[仕入先名],テーブル1[仕入先コード],"XXX",0,1)&amp;
"_"&amp;
商品マスタ[[#This Row],[シリアル]]&amp;
"_"&amp;
TEXT(COUNTIFS(商品マスタ!$C$3:C399,商品マスタ[[#This Row],[仕入先]],商品マスタ!$E$3:E399,商品マスタ[[#This Row],[商品名]]), "00")</f>
        <v>PRD_SNJ_SFD_0005_01</v>
      </c>
      <c r="E399" s="87" t="s">
        <v>1292</v>
      </c>
      <c r="F399" s="87">
        <f>IF(COUNTIFS($C$3:C399,商品マスタ[[#This Row],[仕入先]],$E$3:E399,商品マスタ[[#This Row],[商品名]]) = 1, 1,0)</f>
        <v>1</v>
      </c>
      <c r="G399" s="133" t="str">
        <f>TEXT(SUMIF($C$3:C399,商品マスタ[[#This Row],[仕入先]],$F$3:F399), "0000")</f>
        <v>0005</v>
      </c>
      <c r="H399" s="87" t="s">
        <v>365</v>
      </c>
      <c r="I399" s="87" t="s">
        <v>1432</v>
      </c>
      <c r="J399" s="87" t="s">
        <v>1463</v>
      </c>
      <c r="K399" s="87"/>
      <c r="L399" s="134">
        <v>4750</v>
      </c>
      <c r="M399" s="157">
        <v>46037</v>
      </c>
      <c r="N399" s="134"/>
      <c r="O399" s="135" t="str">
        <f>IF(COUNT(商品マスタ[[#This Row],[参考上代
（税込)]]) &gt; 0, (商品マスタ[[#This Row],[参考上代
（税込)]]-商品マスタ[[#This Row],[国内定価
（15％）]])/(商品マスタ[[#This Row],[参考上代
（税込)]]/1.08), "")</f>
        <v/>
      </c>
      <c r="P399" s="136">
        <v>0.1</v>
      </c>
      <c r="Q399" s="134">
        <f>商品マスタ[[#This Row],[仕入
単価]]*商品マスタ[[#This Row],[標準国内送料率]]</f>
        <v>475</v>
      </c>
      <c r="R399" s="134">
        <v>0</v>
      </c>
      <c r="S399" s="134">
        <f>IF(ISBLANK(商品マスタ[[#This Row],[実績
国内送料]]),商品マスタ[[#This Row],[標準国内送料]],)</f>
        <v>0</v>
      </c>
      <c r="T399" s="134">
        <f>商品マスタ[[#This Row],[仕入
単価]]+商品マスタ[[#This Row],[国内送料]]</f>
        <v>4750</v>
      </c>
      <c r="U399" s="134">
        <f>ROUNDUP(商品マスタ[[#This Row],[仕入単価+国内送料]]/0.8,-1)</f>
        <v>5940</v>
      </c>
      <c r="V399" s="134">
        <f>商品マスタ[[#This Row],[海外定価
（20％）]]-商品マスタ[[#This Row],[仕入単価+国内送料]]</f>
        <v>1190</v>
      </c>
      <c r="W399" s="87">
        <f>ROUNDUP(商品マスタ[[#This Row],[仕入単価+国内送料]]/0.85,-1)</f>
        <v>5590</v>
      </c>
      <c r="X399" s="134">
        <f>商品マスタ[[#This Row],[国内定価
（15％）]]-商品マスタ[[#This Row],[仕入単価+国内送料]]</f>
        <v>840</v>
      </c>
      <c r="Y399" s="139">
        <v>0.08</v>
      </c>
      <c r="Z399" s="87"/>
      <c r="AA399" s="87"/>
      <c r="AB399" s="87"/>
      <c r="AC399" s="140"/>
      <c r="AD399" s="87"/>
      <c r="AE399" s="87"/>
      <c r="AF399" s="87"/>
      <c r="AG399" s="141" t="s">
        <v>1417</v>
      </c>
    </row>
    <row r="400" spans="1:33" ht="18">
      <c r="A400" s="166" t="s">
        <v>1523</v>
      </c>
      <c r="B400" s="167" t="s">
        <v>1231</v>
      </c>
      <c r="C400" s="167" t="s">
        <v>1254</v>
      </c>
      <c r="D400" s="143" t="str">
        <f>"PRD_SNJ_"&amp;
_xlfn.XLOOKUP(商品マスタ[[#This Row],[仕入先]],テーブル1[仕入先名],テーブル1[仕入先コード],"XXX",0,1)&amp;
"_"&amp;
商品マスタ[[#This Row],[シリアル]]&amp;
"_"&amp;
TEXT(COUNTIFS(商品マスタ!$C$3:C400,商品マスタ[[#This Row],[仕入先]],商品マスタ!$E$3:E400,商品マスタ[[#This Row],[商品名]]), "00")</f>
        <v>PRD_SNJ_SFD_0006_01</v>
      </c>
      <c r="E400" s="87" t="s">
        <v>1293</v>
      </c>
      <c r="F400" s="87">
        <f>IF(COUNTIFS($C$3:C400,商品マスタ[[#This Row],[仕入先]],$E$3:E400,商品マスタ[[#This Row],[商品名]]) = 1, 1,0)</f>
        <v>1</v>
      </c>
      <c r="G400" s="133" t="str">
        <f>TEXT(SUMIF($C$3:C400,商品マスタ[[#This Row],[仕入先]],$F$3:F400), "0000")</f>
        <v>0006</v>
      </c>
      <c r="H400" s="87" t="s">
        <v>365</v>
      </c>
      <c r="I400" s="87" t="s">
        <v>1428</v>
      </c>
      <c r="J400" s="87" t="s">
        <v>1463</v>
      </c>
      <c r="K400" s="87"/>
      <c r="L400" s="134">
        <v>8900</v>
      </c>
      <c r="M400" s="157">
        <v>46037</v>
      </c>
      <c r="N400" s="134"/>
      <c r="O400" s="135" t="str">
        <f>IF(COUNT(商品マスタ[[#This Row],[参考上代
（税込)]]) &gt; 0, (商品マスタ[[#This Row],[参考上代
（税込)]]-商品マスタ[[#This Row],[国内定価
（15％）]])/(商品マスタ[[#This Row],[参考上代
（税込)]]/1.08), "")</f>
        <v/>
      </c>
      <c r="P400" s="136">
        <v>0.1</v>
      </c>
      <c r="Q400" s="134">
        <f>商品マスタ[[#This Row],[仕入
単価]]*商品マスタ[[#This Row],[標準国内送料率]]</f>
        <v>890</v>
      </c>
      <c r="R400" s="134">
        <v>0</v>
      </c>
      <c r="S400" s="134">
        <f>IF(ISBLANK(商品マスタ[[#This Row],[実績
国内送料]]),商品マスタ[[#This Row],[標準国内送料]],)</f>
        <v>0</v>
      </c>
      <c r="T400" s="134">
        <f>商品マスタ[[#This Row],[仕入
単価]]+商品マスタ[[#This Row],[国内送料]]</f>
        <v>8900</v>
      </c>
      <c r="U400" s="134">
        <f>ROUNDUP(商品マスタ[[#This Row],[仕入単価+国内送料]]/0.8,-1)</f>
        <v>11130</v>
      </c>
      <c r="V400" s="134">
        <f>商品マスタ[[#This Row],[海外定価
（20％）]]-商品マスタ[[#This Row],[仕入単価+国内送料]]</f>
        <v>2230</v>
      </c>
      <c r="W400" s="87">
        <f>ROUNDUP(商品マスタ[[#This Row],[仕入単価+国内送料]]/0.85,-1)</f>
        <v>10480</v>
      </c>
      <c r="X400" s="134">
        <f>商品マスタ[[#This Row],[国内定価
（15％）]]-商品マスタ[[#This Row],[仕入単価+国内送料]]</f>
        <v>1580</v>
      </c>
      <c r="Y400" s="139">
        <v>0.08</v>
      </c>
      <c r="Z400" s="87"/>
      <c r="AA400" s="87"/>
      <c r="AB400" s="87"/>
      <c r="AC400" s="140"/>
      <c r="AD400" s="87"/>
      <c r="AE400" s="87"/>
      <c r="AF400" s="87"/>
      <c r="AG400" s="141" t="s">
        <v>1417</v>
      </c>
    </row>
    <row r="401" spans="1:33" ht="18">
      <c r="A401" s="166" t="s">
        <v>1523</v>
      </c>
      <c r="B401" s="167" t="s">
        <v>1231</v>
      </c>
      <c r="C401" s="167" t="s">
        <v>1254</v>
      </c>
      <c r="D401" s="143" t="str">
        <f>"PRD_SNJ_"&amp;
_xlfn.XLOOKUP(商品マスタ[[#This Row],[仕入先]],テーブル1[仕入先名],テーブル1[仕入先コード],"XXX",0,1)&amp;
"_"&amp;
商品マスタ[[#This Row],[シリアル]]&amp;
"_"&amp;
TEXT(COUNTIFS(商品マスタ!$C$3:C401,商品マスタ[[#This Row],[仕入先]],商品マスタ!$E$3:E401,商品マスタ[[#This Row],[商品名]]), "00")</f>
        <v>PRD_SNJ_SFD_0007_01</v>
      </c>
      <c r="E401" s="87" t="s">
        <v>1294</v>
      </c>
      <c r="F401" s="87">
        <f>IF(COUNTIFS($C$3:C401,商品マスタ[[#This Row],[仕入先]],$E$3:E401,商品マスタ[[#This Row],[商品名]]) = 1, 1,0)</f>
        <v>1</v>
      </c>
      <c r="G401" s="133" t="str">
        <f>TEXT(SUMIF($C$3:C401,商品マスタ[[#This Row],[仕入先]],$F$3:F401), "0000")</f>
        <v>0007</v>
      </c>
      <c r="H401" s="87" t="s">
        <v>365</v>
      </c>
      <c r="I401" s="87" t="s">
        <v>1429</v>
      </c>
      <c r="J401" s="87" t="s">
        <v>1463</v>
      </c>
      <c r="K401" s="87"/>
      <c r="L401" s="134">
        <v>11600</v>
      </c>
      <c r="M401" s="157">
        <v>46037</v>
      </c>
      <c r="N401" s="134"/>
      <c r="O401" s="135" t="str">
        <f>IF(COUNT(商品マスタ[[#This Row],[参考上代
（税込)]]) &gt; 0, (商品マスタ[[#This Row],[参考上代
（税込)]]-商品マスタ[[#This Row],[国内定価
（15％）]])/(商品マスタ[[#This Row],[参考上代
（税込)]]/1.08), "")</f>
        <v/>
      </c>
      <c r="P401" s="136">
        <v>0.1</v>
      </c>
      <c r="Q401" s="134">
        <f>商品マスタ[[#This Row],[仕入
単価]]*商品マスタ[[#This Row],[標準国内送料率]]</f>
        <v>1160</v>
      </c>
      <c r="R401" s="134">
        <v>0</v>
      </c>
      <c r="S401" s="134">
        <f>IF(ISBLANK(商品マスタ[[#This Row],[実績
国内送料]]),商品マスタ[[#This Row],[標準国内送料]],)</f>
        <v>0</v>
      </c>
      <c r="T401" s="134">
        <f>商品マスタ[[#This Row],[仕入
単価]]+商品マスタ[[#This Row],[国内送料]]</f>
        <v>11600</v>
      </c>
      <c r="U401" s="134">
        <f>ROUNDUP(商品マスタ[[#This Row],[仕入単価+国内送料]]/0.8,-1)</f>
        <v>14500</v>
      </c>
      <c r="V401" s="134">
        <f>商品マスタ[[#This Row],[海外定価
（20％）]]-商品マスタ[[#This Row],[仕入単価+国内送料]]</f>
        <v>2900</v>
      </c>
      <c r="W401" s="87">
        <f>ROUNDUP(商品マスタ[[#This Row],[仕入単価+国内送料]]/0.85,-1)</f>
        <v>13650</v>
      </c>
      <c r="X401" s="134">
        <f>商品マスタ[[#This Row],[国内定価
（15％）]]-商品マスタ[[#This Row],[仕入単価+国内送料]]</f>
        <v>2050</v>
      </c>
      <c r="Y401" s="139">
        <v>0.08</v>
      </c>
      <c r="Z401" s="87"/>
      <c r="AA401" s="87"/>
      <c r="AB401" s="87"/>
      <c r="AC401" s="140"/>
      <c r="AD401" s="87"/>
      <c r="AE401" s="87"/>
      <c r="AF401" s="87"/>
      <c r="AG401" s="141" t="s">
        <v>1417</v>
      </c>
    </row>
    <row r="402" spans="1:33" ht="18">
      <c r="A402" s="166" t="s">
        <v>1523</v>
      </c>
      <c r="B402" s="167" t="s">
        <v>1231</v>
      </c>
      <c r="C402" s="167" t="s">
        <v>1254</v>
      </c>
      <c r="D402" s="143" t="str">
        <f>"PRD_SNJ_"&amp;
_xlfn.XLOOKUP(商品マスタ[[#This Row],[仕入先]],テーブル1[仕入先名],テーブル1[仕入先コード],"XXX",0,1)&amp;
"_"&amp;
商品マスタ[[#This Row],[シリアル]]&amp;
"_"&amp;
TEXT(COUNTIFS(商品マスタ!$C$3:C402,商品マスタ[[#This Row],[仕入先]],商品マスタ!$E$3:E402,商品マスタ[[#This Row],[商品名]]), "00")</f>
        <v>PRD_SNJ_SFD_0008_01</v>
      </c>
      <c r="E402" s="87" t="s">
        <v>1295</v>
      </c>
      <c r="F402" s="87">
        <f>IF(COUNTIFS($C$3:C402,商品マスタ[[#This Row],[仕入先]],$E$3:E402,商品マスタ[[#This Row],[商品名]]) = 1, 1,0)</f>
        <v>1</v>
      </c>
      <c r="G402" s="133" t="str">
        <f>TEXT(SUMIF($C$3:C402,商品マスタ[[#This Row],[仕入先]],$F$3:F402), "0000")</f>
        <v>0008</v>
      </c>
      <c r="H402" s="87" t="s">
        <v>365</v>
      </c>
      <c r="I402" s="87" t="s">
        <v>1430</v>
      </c>
      <c r="J402" s="87" t="s">
        <v>1463</v>
      </c>
      <c r="K402" s="87"/>
      <c r="L402" s="134">
        <v>4400</v>
      </c>
      <c r="M402" s="157">
        <v>46037</v>
      </c>
      <c r="N402" s="134"/>
      <c r="O402" s="135" t="str">
        <f>IF(COUNT(商品マスタ[[#This Row],[参考上代
（税込)]]) &gt; 0, (商品マスタ[[#This Row],[参考上代
（税込)]]-商品マスタ[[#This Row],[国内定価
（15％）]])/(商品マスタ[[#This Row],[参考上代
（税込)]]/1.08), "")</f>
        <v/>
      </c>
      <c r="P402" s="136">
        <v>0.1</v>
      </c>
      <c r="Q402" s="134">
        <f>商品マスタ[[#This Row],[仕入
単価]]*商品マスタ[[#This Row],[標準国内送料率]]</f>
        <v>440</v>
      </c>
      <c r="R402" s="134">
        <v>0</v>
      </c>
      <c r="S402" s="134">
        <f>IF(ISBLANK(商品マスタ[[#This Row],[実績
国内送料]]),商品マスタ[[#This Row],[標準国内送料]],)</f>
        <v>0</v>
      </c>
      <c r="T402" s="134">
        <f>商品マスタ[[#This Row],[仕入
単価]]+商品マスタ[[#This Row],[国内送料]]</f>
        <v>4400</v>
      </c>
      <c r="U402" s="134">
        <f>ROUNDUP(商品マスタ[[#This Row],[仕入単価+国内送料]]/0.8,-1)</f>
        <v>5500</v>
      </c>
      <c r="V402" s="134">
        <f>商品マスタ[[#This Row],[海外定価
（20％）]]-商品マスタ[[#This Row],[仕入単価+国内送料]]</f>
        <v>1100</v>
      </c>
      <c r="W402" s="87">
        <f>ROUNDUP(商品マスタ[[#This Row],[仕入単価+国内送料]]/0.85,-1)</f>
        <v>5180</v>
      </c>
      <c r="X402" s="134">
        <f>商品マスタ[[#This Row],[国内定価
（15％）]]-商品マスタ[[#This Row],[仕入単価+国内送料]]</f>
        <v>780</v>
      </c>
      <c r="Y402" s="139">
        <v>0.08</v>
      </c>
      <c r="Z402" s="87"/>
      <c r="AA402" s="87"/>
      <c r="AB402" s="87"/>
      <c r="AC402" s="140"/>
      <c r="AD402" s="87"/>
      <c r="AE402" s="87"/>
      <c r="AF402" s="87"/>
      <c r="AG402" s="141" t="s">
        <v>1417</v>
      </c>
    </row>
    <row r="403" spans="1:33" ht="18">
      <c r="A403" s="166" t="s">
        <v>1523</v>
      </c>
      <c r="B403" s="167" t="s">
        <v>1231</v>
      </c>
      <c r="C403" s="167" t="s">
        <v>1254</v>
      </c>
      <c r="D403" s="143" t="str">
        <f>"PRD_SNJ_"&amp;
_xlfn.XLOOKUP(商品マスタ[[#This Row],[仕入先]],テーブル1[仕入先名],テーブル1[仕入先コード],"XXX",0,1)&amp;
"_"&amp;
商品マスタ[[#This Row],[シリアル]]&amp;
"_"&amp;
TEXT(COUNTIFS(商品マスタ!$C$3:C403,商品マスタ[[#This Row],[仕入先]],商品マスタ!$E$3:E403,商品マスタ[[#This Row],[商品名]]), "00")</f>
        <v>PRD_SNJ_SFD_0009_01</v>
      </c>
      <c r="E403" s="87" t="s">
        <v>1296</v>
      </c>
      <c r="F403" s="87">
        <f>IF(COUNTIFS($C$3:C403,商品マスタ[[#This Row],[仕入先]],$E$3:E403,商品マスタ[[#This Row],[商品名]]) = 1, 1,0)</f>
        <v>1</v>
      </c>
      <c r="G403" s="133" t="str">
        <f>TEXT(SUMIF($C$3:C403,商品マスタ[[#This Row],[仕入先]],$F$3:F403), "0000")</f>
        <v>0009</v>
      </c>
      <c r="H403" s="87" t="s">
        <v>365</v>
      </c>
      <c r="I403" s="87" t="s">
        <v>1431</v>
      </c>
      <c r="J403" s="87" t="s">
        <v>1463</v>
      </c>
      <c r="K403" s="87"/>
      <c r="L403" s="134">
        <v>4600</v>
      </c>
      <c r="M403" s="157">
        <v>46037</v>
      </c>
      <c r="N403" s="134"/>
      <c r="O403" s="135" t="str">
        <f>IF(COUNT(商品マスタ[[#This Row],[参考上代
（税込)]]) &gt; 0, (商品マスタ[[#This Row],[参考上代
（税込)]]-商品マスタ[[#This Row],[国内定価
（15％）]])/(商品マスタ[[#This Row],[参考上代
（税込)]]/1.08), "")</f>
        <v/>
      </c>
      <c r="P403" s="136">
        <v>0.1</v>
      </c>
      <c r="Q403" s="134">
        <f>商品マスタ[[#This Row],[仕入
単価]]*商品マスタ[[#This Row],[標準国内送料率]]</f>
        <v>460</v>
      </c>
      <c r="R403" s="134">
        <v>0</v>
      </c>
      <c r="S403" s="134">
        <f>IF(ISBLANK(商品マスタ[[#This Row],[実績
国内送料]]),商品マスタ[[#This Row],[標準国内送料]],)</f>
        <v>0</v>
      </c>
      <c r="T403" s="134">
        <f>商品マスタ[[#This Row],[仕入
単価]]+商品マスタ[[#This Row],[国内送料]]</f>
        <v>4600</v>
      </c>
      <c r="U403" s="134">
        <f>ROUNDUP(商品マスタ[[#This Row],[仕入単価+国内送料]]/0.8,-1)</f>
        <v>5750</v>
      </c>
      <c r="V403" s="134">
        <f>商品マスタ[[#This Row],[海外定価
（20％）]]-商品マスタ[[#This Row],[仕入単価+国内送料]]</f>
        <v>1150</v>
      </c>
      <c r="W403" s="87">
        <f>ROUNDUP(商品マスタ[[#This Row],[仕入単価+国内送料]]/0.85,-1)</f>
        <v>5420</v>
      </c>
      <c r="X403" s="134">
        <f>商品マスタ[[#This Row],[国内定価
（15％）]]-商品マスタ[[#This Row],[仕入単価+国内送料]]</f>
        <v>820</v>
      </c>
      <c r="Y403" s="139">
        <v>0.08</v>
      </c>
      <c r="Z403" s="87"/>
      <c r="AA403" s="87"/>
      <c r="AB403" s="87"/>
      <c r="AC403" s="140"/>
      <c r="AD403" s="87"/>
      <c r="AE403" s="87"/>
      <c r="AF403" s="87"/>
      <c r="AG403" s="141" t="s">
        <v>1417</v>
      </c>
    </row>
    <row r="404" spans="1:33" ht="18">
      <c r="A404" s="166" t="s">
        <v>1523</v>
      </c>
      <c r="B404" s="167" t="s">
        <v>1231</v>
      </c>
      <c r="C404" s="167" t="s">
        <v>1254</v>
      </c>
      <c r="D404" s="143" t="str">
        <f>"PRD_SNJ_"&amp;
_xlfn.XLOOKUP(商品マスタ[[#This Row],[仕入先]],テーブル1[仕入先名],テーブル1[仕入先コード],"XXX",0,1)&amp;
"_"&amp;
商品マスタ[[#This Row],[シリアル]]&amp;
"_"&amp;
TEXT(COUNTIFS(商品マスタ!$C$3:C404,商品マスタ[[#This Row],[仕入先]],商品マスタ!$E$3:E404,商品マスタ[[#This Row],[商品名]]), "00")</f>
        <v>PRD_SNJ_SFD_0010_01</v>
      </c>
      <c r="E404" s="87" t="s">
        <v>1297</v>
      </c>
      <c r="F404" s="87">
        <f>IF(COUNTIFS($C$3:C404,商品マスタ[[#This Row],[仕入先]],$E$3:E404,商品マスタ[[#This Row],[商品名]]) = 1, 1,0)</f>
        <v>1</v>
      </c>
      <c r="G404" s="133" t="str">
        <f>TEXT(SUMIF($C$3:C404,商品マスタ[[#This Row],[仕入先]],$F$3:F404), "0000")</f>
        <v>0010</v>
      </c>
      <c r="H404" s="87" t="s">
        <v>365</v>
      </c>
      <c r="I404" s="87" t="s">
        <v>1432</v>
      </c>
      <c r="J404" s="87" t="s">
        <v>1463</v>
      </c>
      <c r="K404" s="87"/>
      <c r="L404" s="134">
        <v>4870</v>
      </c>
      <c r="M404" s="157">
        <v>46037</v>
      </c>
      <c r="N404" s="134"/>
      <c r="O404" s="135" t="str">
        <f>IF(COUNT(商品マスタ[[#This Row],[参考上代
（税込)]]) &gt; 0, (商品マスタ[[#This Row],[参考上代
（税込)]]-商品マスタ[[#This Row],[国内定価
（15％）]])/(商品マスタ[[#This Row],[参考上代
（税込)]]/1.08), "")</f>
        <v/>
      </c>
      <c r="P404" s="136">
        <v>0.1</v>
      </c>
      <c r="Q404" s="134">
        <f>商品マスタ[[#This Row],[仕入
単価]]*商品マスタ[[#This Row],[標準国内送料率]]</f>
        <v>487</v>
      </c>
      <c r="R404" s="134">
        <v>0</v>
      </c>
      <c r="S404" s="134">
        <f>IF(ISBLANK(商品マスタ[[#This Row],[実績
国内送料]]),商品マスタ[[#This Row],[標準国内送料]],)</f>
        <v>0</v>
      </c>
      <c r="T404" s="134">
        <f>商品マスタ[[#This Row],[仕入
単価]]+商品マスタ[[#This Row],[国内送料]]</f>
        <v>4870</v>
      </c>
      <c r="U404" s="134">
        <f>ROUNDUP(商品マスタ[[#This Row],[仕入単価+国内送料]]/0.8,-1)</f>
        <v>6090</v>
      </c>
      <c r="V404" s="134">
        <f>商品マスタ[[#This Row],[海外定価
（20％）]]-商品マスタ[[#This Row],[仕入単価+国内送料]]</f>
        <v>1220</v>
      </c>
      <c r="W404" s="87">
        <f>ROUNDUP(商品マスタ[[#This Row],[仕入単価+国内送料]]/0.85,-1)</f>
        <v>5730</v>
      </c>
      <c r="X404" s="134">
        <f>商品マスタ[[#This Row],[国内定価
（15％）]]-商品マスタ[[#This Row],[仕入単価+国内送料]]</f>
        <v>860</v>
      </c>
      <c r="Y404" s="139">
        <v>0.08</v>
      </c>
      <c r="Z404" s="87"/>
      <c r="AA404" s="87"/>
      <c r="AB404" s="87"/>
      <c r="AC404" s="140"/>
      <c r="AD404" s="87"/>
      <c r="AE404" s="87"/>
      <c r="AF404" s="87"/>
      <c r="AG404" s="141" t="s">
        <v>1417</v>
      </c>
    </row>
    <row r="405" spans="1:33" ht="18">
      <c r="A405" s="166" t="s">
        <v>1523</v>
      </c>
      <c r="B405" s="167" t="s">
        <v>1231</v>
      </c>
      <c r="C405" s="167" t="s">
        <v>1254</v>
      </c>
      <c r="D405" s="143" t="str">
        <f>"PRD_SNJ_"&amp;
_xlfn.XLOOKUP(商品マスタ[[#This Row],[仕入先]],テーブル1[仕入先名],テーブル1[仕入先コード],"XXX",0,1)&amp;
"_"&amp;
商品マスタ[[#This Row],[シリアル]]&amp;
"_"&amp;
TEXT(COUNTIFS(商品マスタ!$C$3:C405,商品マスタ[[#This Row],[仕入先]],商品マスタ!$E$3:E405,商品マスタ[[#This Row],[商品名]]), "00")</f>
        <v>PRD_SNJ_SFD_0011_01</v>
      </c>
      <c r="E405" s="87" t="s">
        <v>1298</v>
      </c>
      <c r="F405" s="87">
        <f>IF(COUNTIFS($C$3:C405,商品マスタ[[#This Row],[仕入先]],$E$3:E405,商品マスタ[[#This Row],[商品名]]) = 1, 1,0)</f>
        <v>1</v>
      </c>
      <c r="G405" s="133" t="str">
        <f>TEXT(SUMIF($C$3:C405,商品マスタ[[#This Row],[仕入先]],$F$3:F405), "0000")</f>
        <v>0011</v>
      </c>
      <c r="H405" s="87" t="s">
        <v>365</v>
      </c>
      <c r="I405" s="87" t="s">
        <v>1428</v>
      </c>
      <c r="J405" s="87" t="s">
        <v>1463</v>
      </c>
      <c r="K405" s="87"/>
      <c r="L405" s="134">
        <v>9000</v>
      </c>
      <c r="M405" s="157">
        <v>46037</v>
      </c>
      <c r="N405" s="134"/>
      <c r="O405" s="135" t="str">
        <f>IF(COUNT(商品マスタ[[#This Row],[参考上代
（税込)]]) &gt; 0, (商品マスタ[[#This Row],[参考上代
（税込)]]-商品マスタ[[#This Row],[国内定価
（15％）]])/(商品マスタ[[#This Row],[参考上代
（税込)]]/1.08), "")</f>
        <v/>
      </c>
      <c r="P405" s="136">
        <v>0.1</v>
      </c>
      <c r="Q405" s="134">
        <f>商品マスタ[[#This Row],[仕入
単価]]*商品マスタ[[#This Row],[標準国内送料率]]</f>
        <v>900</v>
      </c>
      <c r="R405" s="134">
        <v>0</v>
      </c>
      <c r="S405" s="134">
        <f>IF(ISBLANK(商品マスタ[[#This Row],[実績
国内送料]]),商品マスタ[[#This Row],[標準国内送料]],)</f>
        <v>0</v>
      </c>
      <c r="T405" s="134">
        <f>商品マスタ[[#This Row],[仕入
単価]]+商品マスタ[[#This Row],[国内送料]]</f>
        <v>9000</v>
      </c>
      <c r="U405" s="134">
        <f>ROUNDUP(商品マスタ[[#This Row],[仕入単価+国内送料]]/0.8,-1)</f>
        <v>11250</v>
      </c>
      <c r="V405" s="134">
        <f>商品マスタ[[#This Row],[海外定価
（20％）]]-商品マスタ[[#This Row],[仕入単価+国内送料]]</f>
        <v>2250</v>
      </c>
      <c r="W405" s="87">
        <f>ROUNDUP(商品マスタ[[#This Row],[仕入単価+国内送料]]/0.85,-1)</f>
        <v>10590</v>
      </c>
      <c r="X405" s="134">
        <f>商品マスタ[[#This Row],[国内定価
（15％）]]-商品マスタ[[#This Row],[仕入単価+国内送料]]</f>
        <v>1590</v>
      </c>
      <c r="Y405" s="139">
        <v>0.08</v>
      </c>
      <c r="Z405" s="87"/>
      <c r="AA405" s="87"/>
      <c r="AB405" s="87"/>
      <c r="AC405" s="140"/>
      <c r="AD405" s="87"/>
      <c r="AE405" s="87"/>
      <c r="AF405" s="87"/>
      <c r="AG405" s="141" t="s">
        <v>1417</v>
      </c>
    </row>
    <row r="406" spans="1:33" ht="18">
      <c r="A406" s="166" t="s">
        <v>1523</v>
      </c>
      <c r="B406" s="167" t="s">
        <v>1231</v>
      </c>
      <c r="C406" s="167" t="s">
        <v>1254</v>
      </c>
      <c r="D406" s="143" t="str">
        <f>"PRD_SNJ_"&amp;
_xlfn.XLOOKUP(商品マスタ[[#This Row],[仕入先]],テーブル1[仕入先名],テーブル1[仕入先コード],"XXX",0,1)&amp;
"_"&amp;
商品マスタ[[#This Row],[シリアル]]&amp;
"_"&amp;
TEXT(COUNTIFS(商品マスタ!$C$3:C406,商品マスタ[[#This Row],[仕入先]],商品マスタ!$E$3:E406,商品マスタ[[#This Row],[商品名]]), "00")</f>
        <v>PRD_SNJ_SFD_0012_01</v>
      </c>
      <c r="E406" s="87" t="s">
        <v>1299</v>
      </c>
      <c r="F406" s="87">
        <f>IF(COUNTIFS($C$3:C406,商品マスタ[[#This Row],[仕入先]],$E$3:E406,商品マスタ[[#This Row],[商品名]]) = 1, 1,0)</f>
        <v>1</v>
      </c>
      <c r="G406" s="133" t="str">
        <f>TEXT(SUMIF($C$3:C406,商品マスタ[[#This Row],[仕入先]],$F$3:F406), "0000")</f>
        <v>0012</v>
      </c>
      <c r="H406" s="87" t="s">
        <v>365</v>
      </c>
      <c r="I406" s="87" t="s">
        <v>1429</v>
      </c>
      <c r="J406" s="87" t="s">
        <v>1463</v>
      </c>
      <c r="K406" s="87"/>
      <c r="L406" s="134">
        <v>12100</v>
      </c>
      <c r="M406" s="157">
        <v>46037</v>
      </c>
      <c r="N406" s="134"/>
      <c r="O406" s="135" t="str">
        <f>IF(COUNT(商品マスタ[[#This Row],[参考上代
（税込)]]) &gt; 0, (商品マスタ[[#This Row],[参考上代
（税込)]]-商品マスタ[[#This Row],[国内定価
（15％）]])/(商品マスタ[[#This Row],[参考上代
（税込)]]/1.08), "")</f>
        <v/>
      </c>
      <c r="P406" s="136">
        <v>0.1</v>
      </c>
      <c r="Q406" s="134">
        <f>商品マスタ[[#This Row],[仕入
単価]]*商品マスタ[[#This Row],[標準国内送料率]]</f>
        <v>1210</v>
      </c>
      <c r="R406" s="134">
        <v>0</v>
      </c>
      <c r="S406" s="134">
        <f>IF(ISBLANK(商品マスタ[[#This Row],[実績
国内送料]]),商品マスタ[[#This Row],[標準国内送料]],)</f>
        <v>0</v>
      </c>
      <c r="T406" s="134">
        <f>商品マスタ[[#This Row],[仕入
単価]]+商品マスタ[[#This Row],[国内送料]]</f>
        <v>12100</v>
      </c>
      <c r="U406" s="134">
        <f>ROUNDUP(商品マスタ[[#This Row],[仕入単価+国内送料]]/0.8,-1)</f>
        <v>15130</v>
      </c>
      <c r="V406" s="134">
        <f>商品マスタ[[#This Row],[海外定価
（20％）]]-商品マスタ[[#This Row],[仕入単価+国内送料]]</f>
        <v>3030</v>
      </c>
      <c r="W406" s="87">
        <f>ROUNDUP(商品マスタ[[#This Row],[仕入単価+国内送料]]/0.85,-1)</f>
        <v>14240</v>
      </c>
      <c r="X406" s="134">
        <f>商品マスタ[[#This Row],[国内定価
（15％）]]-商品マスタ[[#This Row],[仕入単価+国内送料]]</f>
        <v>2140</v>
      </c>
      <c r="Y406" s="139">
        <v>0.08</v>
      </c>
      <c r="Z406" s="87"/>
      <c r="AA406" s="87"/>
      <c r="AB406" s="87"/>
      <c r="AC406" s="140"/>
      <c r="AD406" s="87"/>
      <c r="AE406" s="87"/>
      <c r="AF406" s="87"/>
      <c r="AG406" s="141" t="s">
        <v>1417</v>
      </c>
    </row>
    <row r="407" spans="1:33" ht="18">
      <c r="A407" s="166" t="s">
        <v>1523</v>
      </c>
      <c r="B407" s="167" t="s">
        <v>1231</v>
      </c>
      <c r="C407" s="167" t="s">
        <v>1254</v>
      </c>
      <c r="D407" s="143" t="str">
        <f>"PRD_SNJ_"&amp;
_xlfn.XLOOKUP(商品マスタ[[#This Row],[仕入先]],テーブル1[仕入先名],テーブル1[仕入先コード],"XXX",0,1)&amp;
"_"&amp;
商品マスタ[[#This Row],[シリアル]]&amp;
"_"&amp;
TEXT(COUNTIFS(商品マスタ!$C$3:C407,商品マスタ[[#This Row],[仕入先]],商品マスタ!$E$3:E407,商品マスタ[[#This Row],[商品名]]), "00")</f>
        <v>PRD_SNJ_SFD_0013_01</v>
      </c>
      <c r="E407" s="87" t="s">
        <v>1300</v>
      </c>
      <c r="F407" s="87">
        <f>IF(COUNTIFS($C$3:C407,商品マスタ[[#This Row],[仕入先]],$E$3:E407,商品マスタ[[#This Row],[商品名]]) = 1, 1,0)</f>
        <v>1</v>
      </c>
      <c r="G407" s="133" t="str">
        <f>TEXT(SUMIF($C$3:C407,商品マスタ[[#This Row],[仕入先]],$F$3:F407), "0000")</f>
        <v>0013</v>
      </c>
      <c r="H407" s="87" t="s">
        <v>365</v>
      </c>
      <c r="I407" s="87" t="s">
        <v>1430</v>
      </c>
      <c r="J407" s="87" t="s">
        <v>1463</v>
      </c>
      <c r="K407" s="87"/>
      <c r="L407" s="134">
        <v>4500</v>
      </c>
      <c r="M407" s="157">
        <v>46037</v>
      </c>
      <c r="N407" s="134"/>
      <c r="O407" s="135" t="str">
        <f>IF(COUNT(商品マスタ[[#This Row],[参考上代
（税込)]]) &gt; 0, (商品マスタ[[#This Row],[参考上代
（税込)]]-商品マスタ[[#This Row],[国内定価
（15％）]])/(商品マスタ[[#This Row],[参考上代
（税込)]]/1.08), "")</f>
        <v/>
      </c>
      <c r="P407" s="136">
        <v>0.1</v>
      </c>
      <c r="Q407" s="134">
        <f>商品マスタ[[#This Row],[仕入
単価]]*商品マスタ[[#This Row],[標準国内送料率]]</f>
        <v>450</v>
      </c>
      <c r="R407" s="134">
        <v>0</v>
      </c>
      <c r="S407" s="134">
        <f>IF(ISBLANK(商品マスタ[[#This Row],[実績
国内送料]]),商品マスタ[[#This Row],[標準国内送料]],)</f>
        <v>0</v>
      </c>
      <c r="T407" s="134">
        <f>商品マスタ[[#This Row],[仕入
単価]]+商品マスタ[[#This Row],[国内送料]]</f>
        <v>4500</v>
      </c>
      <c r="U407" s="134">
        <f>ROUNDUP(商品マスタ[[#This Row],[仕入単価+国内送料]]/0.8,-1)</f>
        <v>5630</v>
      </c>
      <c r="V407" s="134">
        <f>商品マスタ[[#This Row],[海外定価
（20％）]]-商品マスタ[[#This Row],[仕入単価+国内送料]]</f>
        <v>1130</v>
      </c>
      <c r="W407" s="87">
        <f>ROUNDUP(商品マスタ[[#This Row],[仕入単価+国内送料]]/0.85,-1)</f>
        <v>5300</v>
      </c>
      <c r="X407" s="134">
        <f>商品マスタ[[#This Row],[国内定価
（15％）]]-商品マスタ[[#This Row],[仕入単価+国内送料]]</f>
        <v>800</v>
      </c>
      <c r="Y407" s="139">
        <v>0.08</v>
      </c>
      <c r="Z407" s="87"/>
      <c r="AA407" s="87"/>
      <c r="AB407" s="87"/>
      <c r="AC407" s="140"/>
      <c r="AD407" s="87"/>
      <c r="AE407" s="87"/>
      <c r="AF407" s="87"/>
      <c r="AG407" s="141" t="s">
        <v>1417</v>
      </c>
    </row>
    <row r="408" spans="1:33" ht="18">
      <c r="A408" s="166" t="s">
        <v>1523</v>
      </c>
      <c r="B408" s="167" t="s">
        <v>1231</v>
      </c>
      <c r="C408" s="167" t="s">
        <v>1254</v>
      </c>
      <c r="D408" s="143" t="str">
        <f>"PRD_SNJ_"&amp;
_xlfn.XLOOKUP(商品マスタ[[#This Row],[仕入先]],テーブル1[仕入先名],テーブル1[仕入先コード],"XXX",0,1)&amp;
"_"&amp;
商品マスタ[[#This Row],[シリアル]]&amp;
"_"&amp;
TEXT(COUNTIFS(商品マスタ!$C$3:C408,商品マスタ[[#This Row],[仕入先]],商品マスタ!$E$3:E408,商品マスタ[[#This Row],[商品名]]), "00")</f>
        <v>PRD_SNJ_SFD_0014_01</v>
      </c>
      <c r="E408" s="87" t="s">
        <v>1301</v>
      </c>
      <c r="F408" s="87">
        <f>IF(COUNTIFS($C$3:C408,商品マスタ[[#This Row],[仕入先]],$E$3:E408,商品マスタ[[#This Row],[商品名]]) = 1, 1,0)</f>
        <v>1</v>
      </c>
      <c r="G408" s="133" t="str">
        <f>TEXT(SUMIF($C$3:C408,商品マスタ[[#This Row],[仕入先]],$F$3:F408), "0000")</f>
        <v>0014</v>
      </c>
      <c r="H408" s="87" t="s">
        <v>365</v>
      </c>
      <c r="I408" s="87" t="s">
        <v>1431</v>
      </c>
      <c r="J408" s="87" t="s">
        <v>1463</v>
      </c>
      <c r="K408" s="87"/>
      <c r="L408" s="134">
        <v>4800</v>
      </c>
      <c r="M408" s="157">
        <v>46037</v>
      </c>
      <c r="N408" s="134"/>
      <c r="O408" s="135" t="str">
        <f>IF(COUNT(商品マスタ[[#This Row],[参考上代
（税込)]]) &gt; 0, (商品マスタ[[#This Row],[参考上代
（税込)]]-商品マスタ[[#This Row],[国内定価
（15％）]])/(商品マスタ[[#This Row],[参考上代
（税込)]]/1.08), "")</f>
        <v/>
      </c>
      <c r="P408" s="136">
        <v>0.1</v>
      </c>
      <c r="Q408" s="134">
        <f>商品マスタ[[#This Row],[仕入
単価]]*商品マスタ[[#This Row],[標準国内送料率]]</f>
        <v>480</v>
      </c>
      <c r="R408" s="134">
        <v>0</v>
      </c>
      <c r="S408" s="134">
        <f>IF(ISBLANK(商品マスタ[[#This Row],[実績
国内送料]]),商品マスタ[[#This Row],[標準国内送料]],)</f>
        <v>0</v>
      </c>
      <c r="T408" s="134">
        <f>商品マスタ[[#This Row],[仕入
単価]]+商品マスタ[[#This Row],[国内送料]]</f>
        <v>4800</v>
      </c>
      <c r="U408" s="134">
        <f>ROUNDUP(商品マスタ[[#This Row],[仕入単価+国内送料]]/0.8,-1)</f>
        <v>6000</v>
      </c>
      <c r="V408" s="134">
        <f>商品マスタ[[#This Row],[海外定価
（20％）]]-商品マスタ[[#This Row],[仕入単価+国内送料]]</f>
        <v>1200</v>
      </c>
      <c r="W408" s="87">
        <f>ROUNDUP(商品マスタ[[#This Row],[仕入単価+国内送料]]/0.85,-1)</f>
        <v>5650</v>
      </c>
      <c r="X408" s="134">
        <f>商品マスタ[[#This Row],[国内定価
（15％）]]-商品マスタ[[#This Row],[仕入単価+国内送料]]</f>
        <v>850</v>
      </c>
      <c r="Y408" s="139">
        <v>0.08</v>
      </c>
      <c r="Z408" s="87"/>
      <c r="AA408" s="87"/>
      <c r="AB408" s="87"/>
      <c r="AC408" s="140"/>
      <c r="AD408" s="87"/>
      <c r="AE408" s="87"/>
      <c r="AF408" s="87"/>
      <c r="AG408" s="141" t="s">
        <v>1417</v>
      </c>
    </row>
    <row r="409" spans="1:33" ht="18">
      <c r="A409" s="166" t="s">
        <v>1523</v>
      </c>
      <c r="B409" s="167" t="s">
        <v>1231</v>
      </c>
      <c r="C409" s="167" t="s">
        <v>1254</v>
      </c>
      <c r="D409" s="143" t="str">
        <f>"PRD_SNJ_"&amp;
_xlfn.XLOOKUP(商品マスタ[[#This Row],[仕入先]],テーブル1[仕入先名],テーブル1[仕入先コード],"XXX",0,1)&amp;
"_"&amp;
商品マスタ[[#This Row],[シリアル]]&amp;
"_"&amp;
TEXT(COUNTIFS(商品マスタ!$C$3:C409,商品マスタ[[#This Row],[仕入先]],商品マスタ!$E$3:E409,商品マスタ[[#This Row],[商品名]]), "00")</f>
        <v>PRD_SNJ_SFD_0015_01</v>
      </c>
      <c r="E409" s="87" t="s">
        <v>1302</v>
      </c>
      <c r="F409" s="87">
        <f>IF(COUNTIFS($C$3:C409,商品マスタ[[#This Row],[仕入先]],$E$3:E409,商品マスタ[[#This Row],[商品名]]) = 1, 1,0)</f>
        <v>1</v>
      </c>
      <c r="G409" s="133" t="str">
        <f>TEXT(SUMIF($C$3:C409,商品マスタ[[#This Row],[仕入先]],$F$3:F409), "0000")</f>
        <v>0015</v>
      </c>
      <c r="H409" s="87" t="s">
        <v>365</v>
      </c>
      <c r="I409" s="87" t="s">
        <v>1432</v>
      </c>
      <c r="J409" s="87" t="s">
        <v>1463</v>
      </c>
      <c r="K409" s="87"/>
      <c r="L409" s="134">
        <v>5170</v>
      </c>
      <c r="M409" s="157">
        <v>46037</v>
      </c>
      <c r="N409" s="134"/>
      <c r="O409" s="135" t="str">
        <f>IF(COUNT(商品マスタ[[#This Row],[参考上代
（税込)]]) &gt; 0, (商品マスタ[[#This Row],[参考上代
（税込)]]-商品マスタ[[#This Row],[国内定価
（15％）]])/(商品マスタ[[#This Row],[参考上代
（税込)]]/1.08), "")</f>
        <v/>
      </c>
      <c r="P409" s="136">
        <v>0.1</v>
      </c>
      <c r="Q409" s="134">
        <f>商品マスタ[[#This Row],[仕入
単価]]*商品マスタ[[#This Row],[標準国内送料率]]</f>
        <v>517</v>
      </c>
      <c r="R409" s="134">
        <v>0</v>
      </c>
      <c r="S409" s="134">
        <f>IF(ISBLANK(商品マスタ[[#This Row],[実績
国内送料]]),商品マスタ[[#This Row],[標準国内送料]],)</f>
        <v>0</v>
      </c>
      <c r="T409" s="134">
        <f>商品マスタ[[#This Row],[仕入
単価]]+商品マスタ[[#This Row],[国内送料]]</f>
        <v>5170</v>
      </c>
      <c r="U409" s="134">
        <f>ROUNDUP(商品マスタ[[#This Row],[仕入単価+国内送料]]/0.8,-1)</f>
        <v>6470</v>
      </c>
      <c r="V409" s="134">
        <f>商品マスタ[[#This Row],[海外定価
（20％）]]-商品マスタ[[#This Row],[仕入単価+国内送料]]</f>
        <v>1300</v>
      </c>
      <c r="W409" s="87">
        <f>ROUNDUP(商品マスタ[[#This Row],[仕入単価+国内送料]]/0.85,-1)</f>
        <v>6090</v>
      </c>
      <c r="X409" s="134">
        <f>商品マスタ[[#This Row],[国内定価
（15％）]]-商品マスタ[[#This Row],[仕入単価+国内送料]]</f>
        <v>920</v>
      </c>
      <c r="Y409" s="139">
        <v>0.08</v>
      </c>
      <c r="Z409" s="87"/>
      <c r="AA409" s="87"/>
      <c r="AB409" s="87"/>
      <c r="AC409" s="140"/>
      <c r="AD409" s="87"/>
      <c r="AE409" s="87"/>
      <c r="AF409" s="87"/>
      <c r="AG409" s="141" t="s">
        <v>1417</v>
      </c>
    </row>
    <row r="410" spans="1:33" ht="18">
      <c r="A410" s="166" t="s">
        <v>1523</v>
      </c>
      <c r="B410" s="167" t="s">
        <v>1231</v>
      </c>
      <c r="C410" s="167" t="s">
        <v>1254</v>
      </c>
      <c r="D410" s="143" t="str">
        <f>"PRD_SNJ_"&amp;
_xlfn.XLOOKUP(商品マスタ[[#This Row],[仕入先]],テーブル1[仕入先名],テーブル1[仕入先コード],"XXX",0,1)&amp;
"_"&amp;
商品マスタ[[#This Row],[シリアル]]&amp;
"_"&amp;
TEXT(COUNTIFS(商品マスタ!$C$3:C410,商品マスタ[[#This Row],[仕入先]],商品マスタ!$E$3:E410,商品マスタ[[#This Row],[商品名]]), "00")</f>
        <v>PRD_SNJ_SFD_0016_01</v>
      </c>
      <c r="E410" s="87" t="s">
        <v>1418</v>
      </c>
      <c r="F410" s="87">
        <f>IF(COUNTIFS($C$3:C410,商品マスタ[[#This Row],[仕入先]],$E$3:E410,商品マスタ[[#This Row],[商品名]]) = 1, 1,0)</f>
        <v>1</v>
      </c>
      <c r="G410" s="133" t="str">
        <f>TEXT(SUMIF($C$3:C410,商品マスタ[[#This Row],[仕入先]],$F$3:F410), "0000")</f>
        <v>0016</v>
      </c>
      <c r="H410" s="87" t="s">
        <v>365</v>
      </c>
      <c r="I410" s="87" t="s">
        <v>1428</v>
      </c>
      <c r="J410" s="87" t="s">
        <v>1463</v>
      </c>
      <c r="K410" s="87"/>
      <c r="L410" s="134">
        <v>5650</v>
      </c>
      <c r="M410" s="157">
        <v>46037</v>
      </c>
      <c r="N410" s="134"/>
      <c r="O410" s="135" t="str">
        <f>IF(COUNT(商品マスタ[[#This Row],[参考上代
（税込)]]) &gt; 0, (商品マスタ[[#This Row],[参考上代
（税込)]]-商品マスタ[[#This Row],[国内定価
（15％）]])/(商品マスタ[[#This Row],[参考上代
（税込)]]/1.08), "")</f>
        <v/>
      </c>
      <c r="P410" s="136">
        <v>0.1</v>
      </c>
      <c r="Q410" s="134">
        <f>商品マスタ[[#This Row],[仕入
単価]]*商品マスタ[[#This Row],[標準国内送料率]]</f>
        <v>565</v>
      </c>
      <c r="R410" s="134">
        <v>0</v>
      </c>
      <c r="S410" s="134">
        <f>IF(ISBLANK(商品マスタ[[#This Row],[実績
国内送料]]),商品マスタ[[#This Row],[標準国内送料]],)</f>
        <v>0</v>
      </c>
      <c r="T410" s="134">
        <f>商品マスタ[[#This Row],[仕入
単価]]+商品マスタ[[#This Row],[国内送料]]</f>
        <v>5650</v>
      </c>
      <c r="U410" s="134">
        <f>ROUNDUP(商品マスタ[[#This Row],[仕入単価+国内送料]]/0.8,-1)</f>
        <v>7070</v>
      </c>
      <c r="V410" s="134">
        <f>商品マスタ[[#This Row],[海外定価
（20％）]]-商品マスタ[[#This Row],[仕入単価+国内送料]]</f>
        <v>1420</v>
      </c>
      <c r="W410" s="87">
        <f>ROUNDUP(商品マスタ[[#This Row],[仕入単価+国内送料]]/0.85,-1)</f>
        <v>6650</v>
      </c>
      <c r="X410" s="134">
        <f>商品マスタ[[#This Row],[国内定価
（15％）]]-商品マスタ[[#This Row],[仕入単価+国内送料]]</f>
        <v>1000</v>
      </c>
      <c r="Y410" s="139">
        <v>0.08</v>
      </c>
      <c r="Z410" s="87"/>
      <c r="AA410" s="87"/>
      <c r="AB410" s="87"/>
      <c r="AC410" s="140"/>
      <c r="AD410" s="87"/>
      <c r="AE410" s="87"/>
      <c r="AF410" s="87"/>
      <c r="AG410" s="141" t="s">
        <v>1417</v>
      </c>
    </row>
    <row r="411" spans="1:33" ht="18">
      <c r="A411" s="166" t="s">
        <v>1523</v>
      </c>
      <c r="B411" s="167" t="s">
        <v>1231</v>
      </c>
      <c r="C411" s="167" t="s">
        <v>1254</v>
      </c>
      <c r="D411" s="143" t="str">
        <f>"PRD_SNJ_"&amp;
_xlfn.XLOOKUP(商品マスタ[[#This Row],[仕入先]],テーブル1[仕入先名],テーブル1[仕入先コード],"XXX",0,1)&amp;
"_"&amp;
商品マスタ[[#This Row],[シリアル]]&amp;
"_"&amp;
TEXT(COUNTIFS(商品マスタ!$C$3:C411,商品マスタ[[#This Row],[仕入先]],商品マスタ!$E$3:E411,商品マスタ[[#This Row],[商品名]]), "00")</f>
        <v>PRD_SNJ_SFD_0017_01</v>
      </c>
      <c r="E411" s="87" t="s">
        <v>1419</v>
      </c>
      <c r="F411" s="87">
        <f>IF(COUNTIFS($C$3:C411,商品マスタ[[#This Row],[仕入先]],$E$3:E411,商品マスタ[[#This Row],[商品名]]) = 1, 1,0)</f>
        <v>1</v>
      </c>
      <c r="G411" s="133" t="str">
        <f>TEXT(SUMIF($C$3:C411,商品マスタ[[#This Row],[仕入先]],$F$3:F411), "0000")</f>
        <v>0017</v>
      </c>
      <c r="H411" s="87" t="s">
        <v>365</v>
      </c>
      <c r="I411" s="87" t="s">
        <v>1429</v>
      </c>
      <c r="J411" s="87" t="s">
        <v>1463</v>
      </c>
      <c r="K411" s="87"/>
      <c r="L411" s="134">
        <v>7250</v>
      </c>
      <c r="M411" s="157">
        <v>46037</v>
      </c>
      <c r="N411" s="134"/>
      <c r="O411" s="135" t="str">
        <f>IF(COUNT(商品マスタ[[#This Row],[参考上代
（税込)]]) &gt; 0, (商品マスタ[[#This Row],[参考上代
（税込)]]-商品マスタ[[#This Row],[国内定価
（15％）]])/(商品マスタ[[#This Row],[参考上代
（税込)]]/1.08), "")</f>
        <v/>
      </c>
      <c r="P411" s="136">
        <v>0.1</v>
      </c>
      <c r="Q411" s="134">
        <f>商品マスタ[[#This Row],[仕入
単価]]*商品マスタ[[#This Row],[標準国内送料率]]</f>
        <v>725</v>
      </c>
      <c r="R411" s="134">
        <v>0</v>
      </c>
      <c r="S411" s="134">
        <f>IF(ISBLANK(商品マスタ[[#This Row],[実績
国内送料]]),商品マスタ[[#This Row],[標準国内送料]],)</f>
        <v>0</v>
      </c>
      <c r="T411" s="134">
        <f>商品マスタ[[#This Row],[仕入
単価]]+商品マスタ[[#This Row],[国内送料]]</f>
        <v>7250</v>
      </c>
      <c r="U411" s="134">
        <f>ROUNDUP(商品マスタ[[#This Row],[仕入単価+国内送料]]/0.8,-1)</f>
        <v>9070</v>
      </c>
      <c r="V411" s="134">
        <f>商品マスタ[[#This Row],[海外定価
（20％）]]-商品マスタ[[#This Row],[仕入単価+国内送料]]</f>
        <v>1820</v>
      </c>
      <c r="W411" s="87">
        <f>ROUNDUP(商品マスタ[[#This Row],[仕入単価+国内送料]]/0.85,-1)</f>
        <v>8530</v>
      </c>
      <c r="X411" s="134">
        <f>商品マスタ[[#This Row],[国内定価
（15％）]]-商品マスタ[[#This Row],[仕入単価+国内送料]]</f>
        <v>1280</v>
      </c>
      <c r="Y411" s="139">
        <v>0.08</v>
      </c>
      <c r="Z411" s="87"/>
      <c r="AA411" s="87"/>
      <c r="AB411" s="87"/>
      <c r="AC411" s="140"/>
      <c r="AD411" s="87"/>
      <c r="AE411" s="87"/>
      <c r="AF411" s="87"/>
      <c r="AG411" s="141" t="s">
        <v>1417</v>
      </c>
    </row>
    <row r="412" spans="1:33" ht="18">
      <c r="A412" s="166" t="s">
        <v>1523</v>
      </c>
      <c r="B412" s="167" t="s">
        <v>1231</v>
      </c>
      <c r="C412" s="167" t="s">
        <v>1254</v>
      </c>
      <c r="D412" s="143" t="str">
        <f>"PRD_SNJ_"&amp;
_xlfn.XLOOKUP(商品マスタ[[#This Row],[仕入先]],テーブル1[仕入先名],テーブル1[仕入先コード],"XXX",0,1)&amp;
"_"&amp;
商品マスタ[[#This Row],[シリアル]]&amp;
"_"&amp;
TEXT(COUNTIFS(商品マスタ!$C$3:C412,商品マスタ[[#This Row],[仕入先]],商品マスタ!$E$3:E412,商品マスタ[[#This Row],[商品名]]), "00")</f>
        <v>PRD_SNJ_SFD_0018_01</v>
      </c>
      <c r="E412" s="87" t="s">
        <v>1420</v>
      </c>
      <c r="F412" s="87">
        <f>IF(COUNTIFS($C$3:C412,商品マスタ[[#This Row],[仕入先]],$E$3:E412,商品マスタ[[#This Row],[商品名]]) = 1, 1,0)</f>
        <v>1</v>
      </c>
      <c r="G412" s="133" t="str">
        <f>TEXT(SUMIF($C$3:C412,商品マスタ[[#This Row],[仕入先]],$F$3:F412), "0000")</f>
        <v>0018</v>
      </c>
      <c r="H412" s="87" t="s">
        <v>365</v>
      </c>
      <c r="I412" s="87" t="s">
        <v>1430</v>
      </c>
      <c r="J412" s="87" t="s">
        <v>1463</v>
      </c>
      <c r="K412" s="87"/>
      <c r="L412" s="134">
        <v>3300</v>
      </c>
      <c r="M412" s="157">
        <v>46037</v>
      </c>
      <c r="N412" s="134"/>
      <c r="O412" s="135" t="str">
        <f>IF(COUNT(商品マスタ[[#This Row],[参考上代
（税込)]]) &gt; 0, (商品マスタ[[#This Row],[参考上代
（税込)]]-商品マスタ[[#This Row],[国内定価
（15％）]])/(商品マスタ[[#This Row],[参考上代
（税込)]]/1.08), "")</f>
        <v/>
      </c>
      <c r="P412" s="136">
        <v>0.1</v>
      </c>
      <c r="Q412" s="134">
        <f>商品マスタ[[#This Row],[仕入
単価]]*商品マスタ[[#This Row],[標準国内送料率]]</f>
        <v>330</v>
      </c>
      <c r="R412" s="134">
        <v>0</v>
      </c>
      <c r="S412" s="134">
        <f>IF(ISBLANK(商品マスタ[[#This Row],[実績
国内送料]]),商品マスタ[[#This Row],[標準国内送料]],)</f>
        <v>0</v>
      </c>
      <c r="T412" s="134">
        <f>商品マスタ[[#This Row],[仕入
単価]]+商品マスタ[[#This Row],[国内送料]]</f>
        <v>3300</v>
      </c>
      <c r="U412" s="134">
        <f>ROUNDUP(商品マスタ[[#This Row],[仕入単価+国内送料]]/0.8,-1)</f>
        <v>4130</v>
      </c>
      <c r="V412" s="134">
        <f>商品マスタ[[#This Row],[海外定価
（20％）]]-商品マスタ[[#This Row],[仕入単価+国内送料]]</f>
        <v>830</v>
      </c>
      <c r="W412" s="87">
        <f>ROUNDUP(商品マスタ[[#This Row],[仕入単価+国内送料]]/0.85,-1)</f>
        <v>3890</v>
      </c>
      <c r="X412" s="134">
        <f>商品マスタ[[#This Row],[国内定価
（15％）]]-商品マスタ[[#This Row],[仕入単価+国内送料]]</f>
        <v>590</v>
      </c>
      <c r="Y412" s="139">
        <v>0.08</v>
      </c>
      <c r="Z412" s="87"/>
      <c r="AA412" s="87"/>
      <c r="AB412" s="87"/>
      <c r="AC412" s="140"/>
      <c r="AD412" s="87"/>
      <c r="AE412" s="87"/>
      <c r="AF412" s="87"/>
      <c r="AG412" s="141" t="s">
        <v>1417</v>
      </c>
    </row>
    <row r="413" spans="1:33" ht="18">
      <c r="A413" s="166" t="s">
        <v>1523</v>
      </c>
      <c r="B413" s="167" t="s">
        <v>1231</v>
      </c>
      <c r="C413" s="167" t="s">
        <v>1254</v>
      </c>
      <c r="D413" s="143" t="str">
        <f>"PRD_SNJ_"&amp;
_xlfn.XLOOKUP(商品マスタ[[#This Row],[仕入先]],テーブル1[仕入先名],テーブル1[仕入先コード],"XXX",0,1)&amp;
"_"&amp;
商品マスタ[[#This Row],[シリアル]]&amp;
"_"&amp;
TEXT(COUNTIFS(商品マスタ!$C$3:C413,商品マスタ[[#This Row],[仕入先]],商品マスタ!$E$3:E413,商品マスタ[[#This Row],[商品名]]), "00")</f>
        <v>PRD_SNJ_SFD_0019_01</v>
      </c>
      <c r="E413" s="87" t="s">
        <v>1421</v>
      </c>
      <c r="F413" s="87">
        <f>IF(COUNTIFS($C$3:C413,商品マスタ[[#This Row],[仕入先]],$E$3:E413,商品マスタ[[#This Row],[商品名]]) = 1, 1,0)</f>
        <v>1</v>
      </c>
      <c r="G413" s="133" t="str">
        <f>TEXT(SUMIF($C$3:C413,商品マスタ[[#This Row],[仕入先]],$F$3:F413), "0000")</f>
        <v>0019</v>
      </c>
      <c r="H413" s="87" t="s">
        <v>365</v>
      </c>
      <c r="I413" s="87" t="s">
        <v>1431</v>
      </c>
      <c r="J413" s="87" t="s">
        <v>1463</v>
      </c>
      <c r="K413" s="87"/>
      <c r="L413" s="134">
        <v>3300</v>
      </c>
      <c r="M413" s="157">
        <v>46037</v>
      </c>
      <c r="N413" s="134"/>
      <c r="O413" s="135" t="str">
        <f>IF(COUNT(商品マスタ[[#This Row],[参考上代
（税込)]]) &gt; 0, (商品マスタ[[#This Row],[参考上代
（税込)]]-商品マスタ[[#This Row],[国内定価
（15％）]])/(商品マスタ[[#This Row],[参考上代
（税込)]]/1.08), "")</f>
        <v/>
      </c>
      <c r="P413" s="136">
        <v>0.1</v>
      </c>
      <c r="Q413" s="134">
        <f>商品マスタ[[#This Row],[仕入
単価]]*商品マスタ[[#This Row],[標準国内送料率]]</f>
        <v>330</v>
      </c>
      <c r="R413" s="134">
        <v>0</v>
      </c>
      <c r="S413" s="134">
        <f>IF(ISBLANK(商品マスタ[[#This Row],[実績
国内送料]]),商品マスタ[[#This Row],[標準国内送料]],)</f>
        <v>0</v>
      </c>
      <c r="T413" s="134">
        <f>商品マスタ[[#This Row],[仕入
単価]]+商品マスタ[[#This Row],[国内送料]]</f>
        <v>3300</v>
      </c>
      <c r="U413" s="134">
        <f>ROUNDUP(商品マスタ[[#This Row],[仕入単価+国内送料]]/0.8,-1)</f>
        <v>4130</v>
      </c>
      <c r="V413" s="134">
        <f>商品マスタ[[#This Row],[海外定価
（20％）]]-商品マスタ[[#This Row],[仕入単価+国内送料]]</f>
        <v>830</v>
      </c>
      <c r="W413" s="87">
        <f>ROUNDUP(商品マスタ[[#This Row],[仕入単価+国内送料]]/0.85,-1)</f>
        <v>3890</v>
      </c>
      <c r="X413" s="134">
        <f>商品マスタ[[#This Row],[国内定価
（15％）]]-商品マスタ[[#This Row],[仕入単価+国内送料]]</f>
        <v>590</v>
      </c>
      <c r="Y413" s="139">
        <v>0.08</v>
      </c>
      <c r="Z413" s="87"/>
      <c r="AA413" s="87"/>
      <c r="AB413" s="87"/>
      <c r="AC413" s="140"/>
      <c r="AD413" s="87"/>
      <c r="AE413" s="87"/>
      <c r="AF413" s="87"/>
      <c r="AG413" s="141" t="s">
        <v>1417</v>
      </c>
    </row>
    <row r="414" spans="1:33" ht="18">
      <c r="A414" s="166" t="s">
        <v>1523</v>
      </c>
      <c r="B414" s="167" t="s">
        <v>1231</v>
      </c>
      <c r="C414" s="167" t="s">
        <v>1254</v>
      </c>
      <c r="D414" s="143" t="str">
        <f>"PRD_SNJ_"&amp;
_xlfn.XLOOKUP(商品マスタ[[#This Row],[仕入先]],テーブル1[仕入先名],テーブル1[仕入先コード],"XXX",0,1)&amp;
"_"&amp;
商品マスタ[[#This Row],[シリアル]]&amp;
"_"&amp;
TEXT(COUNTIFS(商品マスタ!$C$3:C414,商品マスタ[[#This Row],[仕入先]],商品マスタ!$E$3:E414,商品マスタ[[#This Row],[商品名]]), "00")</f>
        <v>PRD_SNJ_SFD_0020_01</v>
      </c>
      <c r="E414" s="87" t="s">
        <v>1422</v>
      </c>
      <c r="F414" s="87">
        <f>IF(COUNTIFS($C$3:C414,商品マスタ[[#This Row],[仕入先]],$E$3:E414,商品マスタ[[#This Row],[商品名]]) = 1, 1,0)</f>
        <v>1</v>
      </c>
      <c r="G414" s="133" t="str">
        <f>TEXT(SUMIF($C$3:C414,商品マスタ[[#This Row],[仕入先]],$F$3:F414), "0000")</f>
        <v>0020</v>
      </c>
      <c r="H414" s="87" t="s">
        <v>365</v>
      </c>
      <c r="I414" s="87" t="s">
        <v>1432</v>
      </c>
      <c r="J414" s="87" t="s">
        <v>1463</v>
      </c>
      <c r="K414" s="87"/>
      <c r="L414" s="134">
        <v>3350</v>
      </c>
      <c r="M414" s="157">
        <v>46037</v>
      </c>
      <c r="N414" s="134"/>
      <c r="O414" s="135" t="str">
        <f>IF(COUNT(商品マスタ[[#This Row],[参考上代
（税込)]]) &gt; 0, (商品マスタ[[#This Row],[参考上代
（税込)]]-商品マスタ[[#This Row],[国内定価
（15％）]])/(商品マスタ[[#This Row],[参考上代
（税込)]]/1.08), "")</f>
        <v/>
      </c>
      <c r="P414" s="136">
        <v>0.1</v>
      </c>
      <c r="Q414" s="134">
        <f>商品マスタ[[#This Row],[仕入
単価]]*商品マスタ[[#This Row],[標準国内送料率]]</f>
        <v>335</v>
      </c>
      <c r="R414" s="134">
        <v>0</v>
      </c>
      <c r="S414" s="134">
        <f>IF(ISBLANK(商品マスタ[[#This Row],[実績
国内送料]]),商品マスタ[[#This Row],[標準国内送料]],)</f>
        <v>0</v>
      </c>
      <c r="T414" s="134">
        <f>商品マスタ[[#This Row],[仕入
単価]]+商品マスタ[[#This Row],[国内送料]]</f>
        <v>3350</v>
      </c>
      <c r="U414" s="134">
        <f>ROUNDUP(商品マスタ[[#This Row],[仕入単価+国内送料]]/0.8,-1)</f>
        <v>4190</v>
      </c>
      <c r="V414" s="134">
        <f>商品マスタ[[#This Row],[海外定価
（20％）]]-商品マスタ[[#This Row],[仕入単価+国内送料]]</f>
        <v>840</v>
      </c>
      <c r="W414" s="87">
        <f>ROUNDUP(商品マスタ[[#This Row],[仕入単価+国内送料]]/0.85,-1)</f>
        <v>3950</v>
      </c>
      <c r="X414" s="134">
        <f>商品マスタ[[#This Row],[国内定価
（15％）]]-商品マスタ[[#This Row],[仕入単価+国内送料]]</f>
        <v>600</v>
      </c>
      <c r="Y414" s="139">
        <v>0.08</v>
      </c>
      <c r="Z414" s="87"/>
      <c r="AA414" s="87"/>
      <c r="AB414" s="87"/>
      <c r="AC414" s="140"/>
      <c r="AD414" s="87"/>
      <c r="AE414" s="87"/>
      <c r="AF414" s="87"/>
      <c r="AG414" s="141" t="s">
        <v>1417</v>
      </c>
    </row>
    <row r="415" spans="1:33" ht="18">
      <c r="A415" s="166" t="s">
        <v>1523</v>
      </c>
      <c r="B415" s="167" t="s">
        <v>1231</v>
      </c>
      <c r="C415" s="167" t="s">
        <v>1254</v>
      </c>
      <c r="D415" s="143" t="str">
        <f>"PRD_SNJ_"&amp;
_xlfn.XLOOKUP(商品マスタ[[#This Row],[仕入先]],テーブル1[仕入先名],テーブル1[仕入先コード],"XXX",0,1)&amp;
"_"&amp;
商品マスタ[[#This Row],[シリアル]]&amp;
"_"&amp;
TEXT(COUNTIFS(商品マスタ!$C$3:C415,商品マスタ[[#This Row],[仕入先]],商品マスタ!$E$3:E415,商品マスタ[[#This Row],[商品名]]), "00")</f>
        <v>PRD_SNJ_SFD_0021_01</v>
      </c>
      <c r="E415" s="87" t="s">
        <v>1423</v>
      </c>
      <c r="F415" s="87">
        <f>IF(COUNTIFS($C$3:C415,商品マスタ[[#This Row],[仕入先]],$E$3:E415,商品マスタ[[#This Row],[商品名]]) = 1, 1,0)</f>
        <v>1</v>
      </c>
      <c r="G415" s="133" t="str">
        <f>TEXT(SUMIF($C$3:C415,商品マスタ[[#This Row],[仕入先]],$F$3:F415), "0000")</f>
        <v>0021</v>
      </c>
      <c r="H415" s="87" t="s">
        <v>365</v>
      </c>
      <c r="I415" s="87" t="s">
        <v>1428</v>
      </c>
      <c r="J415" s="87" t="s">
        <v>1463</v>
      </c>
      <c r="K415" s="87"/>
      <c r="L415" s="134">
        <v>5950</v>
      </c>
      <c r="M415" s="157">
        <v>46037</v>
      </c>
      <c r="N415" s="134"/>
      <c r="O415" s="135" t="str">
        <f>IF(COUNT(商品マスタ[[#This Row],[参考上代
（税込)]]) &gt; 0, (商品マスタ[[#This Row],[参考上代
（税込)]]-商品マスタ[[#This Row],[国内定価
（15％）]])/(商品マスタ[[#This Row],[参考上代
（税込)]]/1.08), "")</f>
        <v/>
      </c>
      <c r="P415" s="136">
        <v>0.1</v>
      </c>
      <c r="Q415" s="134">
        <f>商品マスタ[[#This Row],[仕入
単価]]*商品マスタ[[#This Row],[標準国内送料率]]</f>
        <v>595</v>
      </c>
      <c r="R415" s="134">
        <v>0</v>
      </c>
      <c r="S415" s="134">
        <f>IF(ISBLANK(商品マスタ[[#This Row],[実績
国内送料]]),商品マスタ[[#This Row],[標準国内送料]],)</f>
        <v>0</v>
      </c>
      <c r="T415" s="134">
        <f>商品マスタ[[#This Row],[仕入
単価]]+商品マスタ[[#This Row],[国内送料]]</f>
        <v>5950</v>
      </c>
      <c r="U415" s="134">
        <f>ROUNDUP(商品マスタ[[#This Row],[仕入単価+国内送料]]/0.8,-1)</f>
        <v>7440</v>
      </c>
      <c r="V415" s="134">
        <f>商品マスタ[[#This Row],[海外定価
（20％）]]-商品マスタ[[#This Row],[仕入単価+国内送料]]</f>
        <v>1490</v>
      </c>
      <c r="W415" s="87">
        <f>ROUNDUP(商品マスタ[[#This Row],[仕入単価+国内送料]]/0.85,-1)</f>
        <v>7000</v>
      </c>
      <c r="X415" s="134">
        <f>商品マスタ[[#This Row],[国内定価
（15％）]]-商品マスタ[[#This Row],[仕入単価+国内送料]]</f>
        <v>1050</v>
      </c>
      <c r="Y415" s="139">
        <v>0.08</v>
      </c>
      <c r="Z415" s="87"/>
      <c r="AA415" s="87"/>
      <c r="AB415" s="87"/>
      <c r="AC415" s="140"/>
      <c r="AD415" s="87"/>
      <c r="AE415" s="87"/>
      <c r="AF415" s="87"/>
      <c r="AG415" s="141" t="s">
        <v>1417</v>
      </c>
    </row>
    <row r="416" spans="1:33" ht="18">
      <c r="A416" s="166" t="s">
        <v>1523</v>
      </c>
      <c r="B416" s="167" t="s">
        <v>1231</v>
      </c>
      <c r="C416" s="167" t="s">
        <v>1254</v>
      </c>
      <c r="D416" s="143" t="str">
        <f>"PRD_SNJ_"&amp;
_xlfn.XLOOKUP(商品マスタ[[#This Row],[仕入先]],テーブル1[仕入先名],テーブル1[仕入先コード],"XXX",0,1)&amp;
"_"&amp;
商品マスタ[[#This Row],[シリアル]]&amp;
"_"&amp;
TEXT(COUNTIFS(商品マスタ!$C$3:C416,商品マスタ[[#This Row],[仕入先]],商品マスタ!$E$3:E416,商品マスタ[[#This Row],[商品名]]), "00")</f>
        <v>PRD_SNJ_SFD_0022_01</v>
      </c>
      <c r="E416" s="87" t="s">
        <v>1424</v>
      </c>
      <c r="F416" s="87">
        <f>IF(COUNTIFS($C$3:C416,商品マスタ[[#This Row],[仕入先]],$E$3:E416,商品マスタ[[#This Row],[商品名]]) = 1, 1,0)</f>
        <v>1</v>
      </c>
      <c r="G416" s="133" t="str">
        <f>TEXT(SUMIF($C$3:C416,商品マスタ[[#This Row],[仕入先]],$F$3:F416), "0000")</f>
        <v>0022</v>
      </c>
      <c r="H416" s="87" t="s">
        <v>365</v>
      </c>
      <c r="I416" s="87" t="s">
        <v>1429</v>
      </c>
      <c r="J416" s="87" t="s">
        <v>1463</v>
      </c>
      <c r="K416" s="87"/>
      <c r="L416" s="134">
        <v>7250</v>
      </c>
      <c r="M416" s="157">
        <v>46037</v>
      </c>
      <c r="N416" s="134"/>
      <c r="O416" s="135" t="str">
        <f>IF(COUNT(商品マスタ[[#This Row],[参考上代
（税込)]]) &gt; 0, (商品マスタ[[#This Row],[参考上代
（税込)]]-商品マスタ[[#This Row],[国内定価
（15％）]])/(商品マスタ[[#This Row],[参考上代
（税込)]]/1.08), "")</f>
        <v/>
      </c>
      <c r="P416" s="136">
        <v>0.1</v>
      </c>
      <c r="Q416" s="134">
        <f>商品マスタ[[#This Row],[仕入
単価]]*商品マスタ[[#This Row],[標準国内送料率]]</f>
        <v>725</v>
      </c>
      <c r="R416" s="134">
        <v>0</v>
      </c>
      <c r="S416" s="134">
        <f>IF(ISBLANK(商品マスタ[[#This Row],[実績
国内送料]]),商品マスタ[[#This Row],[標準国内送料]],)</f>
        <v>0</v>
      </c>
      <c r="T416" s="134">
        <f>商品マスタ[[#This Row],[仕入
単価]]+商品マスタ[[#This Row],[国内送料]]</f>
        <v>7250</v>
      </c>
      <c r="U416" s="134">
        <f>ROUNDUP(商品マスタ[[#This Row],[仕入単価+国内送料]]/0.8,-1)</f>
        <v>9070</v>
      </c>
      <c r="V416" s="134">
        <f>商品マスタ[[#This Row],[海外定価
（20％）]]-商品マスタ[[#This Row],[仕入単価+国内送料]]</f>
        <v>1820</v>
      </c>
      <c r="W416" s="87">
        <f>ROUNDUP(商品マスタ[[#This Row],[仕入単価+国内送料]]/0.85,-1)</f>
        <v>8530</v>
      </c>
      <c r="X416" s="134">
        <f>商品マスタ[[#This Row],[国内定価
（15％）]]-商品マスタ[[#This Row],[仕入単価+国内送料]]</f>
        <v>1280</v>
      </c>
      <c r="Y416" s="139">
        <v>0.08</v>
      </c>
      <c r="Z416" s="87"/>
      <c r="AA416" s="87"/>
      <c r="AB416" s="87"/>
      <c r="AC416" s="140"/>
      <c r="AD416" s="87"/>
      <c r="AE416" s="87"/>
      <c r="AF416" s="87"/>
      <c r="AG416" s="141" t="s">
        <v>1417</v>
      </c>
    </row>
    <row r="417" spans="1:33" ht="18">
      <c r="A417" s="166" t="s">
        <v>1523</v>
      </c>
      <c r="B417" s="167" t="s">
        <v>1231</v>
      </c>
      <c r="C417" s="167" t="s">
        <v>1254</v>
      </c>
      <c r="D417" s="143" t="str">
        <f>"PRD_SNJ_"&amp;
_xlfn.XLOOKUP(商品マスタ[[#This Row],[仕入先]],テーブル1[仕入先名],テーブル1[仕入先コード],"XXX",0,1)&amp;
"_"&amp;
商品マスタ[[#This Row],[シリアル]]&amp;
"_"&amp;
TEXT(COUNTIFS(商品マスタ!$C$3:C417,商品マスタ[[#This Row],[仕入先]],商品マスタ!$E$3:E417,商品マスタ[[#This Row],[商品名]]), "00")</f>
        <v>PRD_SNJ_SFD_0023_01</v>
      </c>
      <c r="E417" s="87" t="s">
        <v>1425</v>
      </c>
      <c r="F417" s="87">
        <f>IF(COUNTIFS($C$3:C417,商品マスタ[[#This Row],[仕入先]],$E$3:E417,商品マスタ[[#This Row],[商品名]]) = 1, 1,0)</f>
        <v>1</v>
      </c>
      <c r="G417" s="133" t="str">
        <f>TEXT(SUMIF($C$3:C417,商品マスタ[[#This Row],[仕入先]],$F$3:F417), "0000")</f>
        <v>0023</v>
      </c>
      <c r="H417" s="87" t="s">
        <v>365</v>
      </c>
      <c r="I417" s="87" t="s">
        <v>1430</v>
      </c>
      <c r="J417" s="87" t="s">
        <v>1463</v>
      </c>
      <c r="K417" s="87"/>
      <c r="L417" s="134">
        <v>3300</v>
      </c>
      <c r="M417" s="157">
        <v>46037</v>
      </c>
      <c r="N417" s="134"/>
      <c r="O417" s="135" t="str">
        <f>IF(COUNT(商品マスタ[[#This Row],[参考上代
（税込)]]) &gt; 0, (商品マスタ[[#This Row],[参考上代
（税込)]]-商品マスタ[[#This Row],[国内定価
（15％）]])/(商品マスタ[[#This Row],[参考上代
（税込)]]/1.08), "")</f>
        <v/>
      </c>
      <c r="P417" s="136">
        <v>0.1</v>
      </c>
      <c r="Q417" s="134">
        <f>商品マスタ[[#This Row],[仕入
単価]]*商品マスタ[[#This Row],[標準国内送料率]]</f>
        <v>330</v>
      </c>
      <c r="R417" s="134">
        <v>0</v>
      </c>
      <c r="S417" s="134">
        <f>IF(ISBLANK(商品マスタ[[#This Row],[実績
国内送料]]),商品マスタ[[#This Row],[標準国内送料]],)</f>
        <v>0</v>
      </c>
      <c r="T417" s="134">
        <f>商品マスタ[[#This Row],[仕入
単価]]+商品マスタ[[#This Row],[国内送料]]</f>
        <v>3300</v>
      </c>
      <c r="U417" s="134">
        <f>ROUNDUP(商品マスタ[[#This Row],[仕入単価+国内送料]]/0.8,-1)</f>
        <v>4130</v>
      </c>
      <c r="V417" s="134">
        <f>商品マスタ[[#This Row],[海外定価
（20％）]]-商品マスタ[[#This Row],[仕入単価+国内送料]]</f>
        <v>830</v>
      </c>
      <c r="W417" s="87">
        <f>ROUNDUP(商品マスタ[[#This Row],[仕入単価+国内送料]]/0.85,-1)</f>
        <v>3890</v>
      </c>
      <c r="X417" s="134">
        <f>商品マスタ[[#This Row],[国内定価
（15％）]]-商品マスタ[[#This Row],[仕入単価+国内送料]]</f>
        <v>590</v>
      </c>
      <c r="Y417" s="139">
        <v>0.08</v>
      </c>
      <c r="Z417" s="87"/>
      <c r="AA417" s="87"/>
      <c r="AB417" s="87"/>
      <c r="AC417" s="140"/>
      <c r="AD417" s="87"/>
      <c r="AE417" s="87"/>
      <c r="AF417" s="87"/>
      <c r="AG417" s="141" t="s">
        <v>1417</v>
      </c>
    </row>
    <row r="418" spans="1:33" ht="18">
      <c r="A418" s="166" t="s">
        <v>1523</v>
      </c>
      <c r="B418" s="167" t="s">
        <v>1231</v>
      </c>
      <c r="C418" s="167" t="s">
        <v>1254</v>
      </c>
      <c r="D418" s="143" t="str">
        <f>"PRD_SNJ_"&amp;
_xlfn.XLOOKUP(商品マスタ[[#This Row],[仕入先]],テーブル1[仕入先名],テーブル1[仕入先コード],"XXX",0,1)&amp;
"_"&amp;
商品マスタ[[#This Row],[シリアル]]&amp;
"_"&amp;
TEXT(COUNTIFS(商品マスタ!$C$3:C418,商品マスタ[[#This Row],[仕入先]],商品マスタ!$E$3:E418,商品マスタ[[#This Row],[商品名]]), "00")</f>
        <v>PRD_SNJ_SFD_0024_01</v>
      </c>
      <c r="E418" s="87" t="s">
        <v>1426</v>
      </c>
      <c r="F418" s="87">
        <f>IF(COUNTIFS($C$3:C418,商品マスタ[[#This Row],[仕入先]],$E$3:E418,商品マスタ[[#This Row],[商品名]]) = 1, 1,0)</f>
        <v>1</v>
      </c>
      <c r="G418" s="133" t="str">
        <f>TEXT(SUMIF($C$3:C418,商品マスタ[[#This Row],[仕入先]],$F$3:F418), "0000")</f>
        <v>0024</v>
      </c>
      <c r="H418" s="87" t="s">
        <v>365</v>
      </c>
      <c r="I418" s="87" t="s">
        <v>1431</v>
      </c>
      <c r="J418" s="87" t="s">
        <v>1463</v>
      </c>
      <c r="K418" s="87"/>
      <c r="L418" s="134">
        <v>3300</v>
      </c>
      <c r="M418" s="157">
        <v>46037</v>
      </c>
      <c r="N418" s="134"/>
      <c r="O418" s="135" t="str">
        <f>IF(COUNT(商品マスタ[[#This Row],[参考上代
（税込)]]) &gt; 0, (商品マスタ[[#This Row],[参考上代
（税込)]]-商品マスタ[[#This Row],[国内定価
（15％）]])/(商品マスタ[[#This Row],[参考上代
（税込)]]/1.08), "")</f>
        <v/>
      </c>
      <c r="P418" s="136">
        <v>0.1</v>
      </c>
      <c r="Q418" s="134">
        <f>商品マスタ[[#This Row],[仕入
単価]]*商品マスタ[[#This Row],[標準国内送料率]]</f>
        <v>330</v>
      </c>
      <c r="R418" s="134">
        <v>0</v>
      </c>
      <c r="S418" s="134">
        <f>IF(ISBLANK(商品マスタ[[#This Row],[実績
国内送料]]),商品マスタ[[#This Row],[標準国内送料]],)</f>
        <v>0</v>
      </c>
      <c r="T418" s="134">
        <f>商品マスタ[[#This Row],[仕入
単価]]+商品マスタ[[#This Row],[国内送料]]</f>
        <v>3300</v>
      </c>
      <c r="U418" s="134">
        <f>ROUNDUP(商品マスタ[[#This Row],[仕入単価+国内送料]]/0.8,-1)</f>
        <v>4130</v>
      </c>
      <c r="V418" s="134">
        <f>商品マスタ[[#This Row],[海外定価
（20％）]]-商品マスタ[[#This Row],[仕入単価+国内送料]]</f>
        <v>830</v>
      </c>
      <c r="W418" s="87">
        <f>ROUNDUP(商品マスタ[[#This Row],[仕入単価+国内送料]]/0.85,-1)</f>
        <v>3890</v>
      </c>
      <c r="X418" s="134">
        <f>商品マスタ[[#This Row],[国内定価
（15％）]]-商品マスタ[[#This Row],[仕入単価+国内送料]]</f>
        <v>590</v>
      </c>
      <c r="Y418" s="139">
        <v>0.08</v>
      </c>
      <c r="Z418" s="87"/>
      <c r="AA418" s="87"/>
      <c r="AB418" s="87"/>
      <c r="AC418" s="140"/>
      <c r="AD418" s="87"/>
      <c r="AE418" s="87"/>
      <c r="AF418" s="87"/>
      <c r="AG418" s="141" t="s">
        <v>1417</v>
      </c>
    </row>
    <row r="419" spans="1:33" ht="18">
      <c r="A419" s="166" t="s">
        <v>1523</v>
      </c>
      <c r="B419" s="167" t="s">
        <v>1231</v>
      </c>
      <c r="C419" s="167" t="s">
        <v>1254</v>
      </c>
      <c r="D419" s="143" t="str">
        <f>"PRD_SNJ_"&amp;
_xlfn.XLOOKUP(商品マスタ[[#This Row],[仕入先]],テーブル1[仕入先名],テーブル1[仕入先コード],"XXX",0,1)&amp;
"_"&amp;
商品マスタ[[#This Row],[シリアル]]&amp;
"_"&amp;
TEXT(COUNTIFS(商品マスタ!$C$3:C419,商品マスタ[[#This Row],[仕入先]],商品マスタ!$E$3:E419,商品マスタ[[#This Row],[商品名]]), "00")</f>
        <v>PRD_SNJ_SFD_0025_01</v>
      </c>
      <c r="E419" s="87" t="s">
        <v>1427</v>
      </c>
      <c r="F419" s="87">
        <f>IF(COUNTIFS($C$3:C419,商品マスタ[[#This Row],[仕入先]],$E$3:E419,商品マスタ[[#This Row],[商品名]]) = 1, 1,0)</f>
        <v>1</v>
      </c>
      <c r="G419" s="133" t="str">
        <f>TEXT(SUMIF($C$3:C419,商品マスタ[[#This Row],[仕入先]],$F$3:F419), "0000")</f>
        <v>0025</v>
      </c>
      <c r="H419" s="87" t="s">
        <v>365</v>
      </c>
      <c r="I419" s="87" t="s">
        <v>1432</v>
      </c>
      <c r="J419" s="87" t="s">
        <v>1463</v>
      </c>
      <c r="K419" s="87"/>
      <c r="L419" s="134">
        <v>3350</v>
      </c>
      <c r="M419" s="157">
        <v>46037</v>
      </c>
      <c r="N419" s="134"/>
      <c r="O419" s="135" t="str">
        <f>IF(COUNT(商品マスタ[[#This Row],[参考上代
（税込)]]) &gt; 0, (商品マスタ[[#This Row],[参考上代
（税込)]]-商品マスタ[[#This Row],[国内定価
（15％）]])/(商品マスタ[[#This Row],[参考上代
（税込)]]/1.08), "")</f>
        <v/>
      </c>
      <c r="P419" s="136">
        <v>0.1</v>
      </c>
      <c r="Q419" s="134">
        <f>商品マスタ[[#This Row],[仕入
単価]]*商品マスタ[[#This Row],[標準国内送料率]]</f>
        <v>335</v>
      </c>
      <c r="R419" s="134">
        <v>0</v>
      </c>
      <c r="S419" s="134">
        <f>IF(ISBLANK(商品マスタ[[#This Row],[実績
国内送料]]),商品マスタ[[#This Row],[標準国内送料]],)</f>
        <v>0</v>
      </c>
      <c r="T419" s="134">
        <f>商品マスタ[[#This Row],[仕入
単価]]+商品マスタ[[#This Row],[国内送料]]</f>
        <v>3350</v>
      </c>
      <c r="U419" s="134">
        <f>ROUNDUP(商品マスタ[[#This Row],[仕入単価+国内送料]]/0.8,-1)</f>
        <v>4190</v>
      </c>
      <c r="V419" s="134">
        <f>商品マスタ[[#This Row],[海外定価
（20％）]]-商品マスタ[[#This Row],[仕入単価+国内送料]]</f>
        <v>840</v>
      </c>
      <c r="W419" s="87">
        <f>ROUNDUP(商品マスタ[[#This Row],[仕入単価+国内送料]]/0.85,-1)</f>
        <v>3950</v>
      </c>
      <c r="X419" s="134">
        <f>商品マスタ[[#This Row],[国内定価
（15％）]]-商品マスタ[[#This Row],[仕入単価+国内送料]]</f>
        <v>600</v>
      </c>
      <c r="Y419" s="139">
        <v>0.08</v>
      </c>
      <c r="Z419" s="87"/>
      <c r="AA419" s="87"/>
      <c r="AB419" s="87"/>
      <c r="AC419" s="140"/>
      <c r="AD419" s="87"/>
      <c r="AE419" s="87"/>
      <c r="AF419" s="87"/>
      <c r="AG419" s="141"/>
    </row>
    <row r="420" spans="1:33" ht="18">
      <c r="A420" s="166" t="s">
        <v>1524</v>
      </c>
      <c r="B420" s="167" t="s">
        <v>1229</v>
      </c>
      <c r="C420" s="167" t="s">
        <v>1255</v>
      </c>
      <c r="D420" s="143" t="str">
        <f>"PRD_SNJ_"&amp;
_xlfn.XLOOKUP(商品マスタ[[#This Row],[仕入先]],テーブル1[仕入先名],テーブル1[仕入先コード],"XXX",0,1)&amp;
"_"&amp;
商品マスタ[[#This Row],[シリアル]]&amp;
"_"&amp;
TEXT(COUNTIFS(商品マスタ!$C$3:C420,商品マスタ[[#This Row],[仕入先]],商品マスタ!$E$3:E420,商品マスタ[[#This Row],[商品名]]), "00")</f>
        <v>PRD_SNJ_YMN_0001_01</v>
      </c>
      <c r="E420" s="87" t="s">
        <v>1303</v>
      </c>
      <c r="F420" s="87">
        <f>IF(COUNTIFS($C$3:C420,商品マスタ[[#This Row],[仕入先]],$E$3:E420,商品マスタ[[#This Row],[商品名]]) = 1, 1,0)</f>
        <v>1</v>
      </c>
      <c r="G420" s="133" t="str">
        <f>TEXT(SUMIF($C$3:C420,商品マスタ[[#This Row],[仕入先]],$F$3:F420), "0000")</f>
        <v>0001</v>
      </c>
      <c r="H420" s="87" t="s">
        <v>481</v>
      </c>
      <c r="I420" s="87" t="s">
        <v>299</v>
      </c>
      <c r="J420" s="87" t="s">
        <v>1464</v>
      </c>
      <c r="K420" s="87"/>
      <c r="L420" s="134">
        <v>700</v>
      </c>
      <c r="M420" s="157"/>
      <c r="N420" s="134"/>
      <c r="O420" s="135" t="str">
        <f>IF(COUNT(商品マスタ[[#This Row],[参考上代
（税込)]]) &gt; 0, (商品マスタ[[#This Row],[参考上代
（税込)]]-商品マスタ[[#This Row],[国内定価
（15％）]])/(商品マスタ[[#This Row],[参考上代
（税込)]]/1.08), "")</f>
        <v/>
      </c>
      <c r="P420" s="136">
        <v>0.1</v>
      </c>
      <c r="Q420" s="134">
        <f>商品マスタ[[#This Row],[仕入
単価]]*商品マスタ[[#This Row],[標準国内送料率]]</f>
        <v>70</v>
      </c>
      <c r="R420" s="134">
        <v>0</v>
      </c>
      <c r="S420" s="134">
        <f>IF(ISBLANK(商品マスタ[[#This Row],[実績
国内送料]]),商品マスタ[[#This Row],[標準国内送料]],)</f>
        <v>0</v>
      </c>
      <c r="T420" s="134">
        <f>商品マスタ[[#This Row],[仕入
単価]]+商品マスタ[[#This Row],[国内送料]]</f>
        <v>700</v>
      </c>
      <c r="U420" s="134">
        <f>ROUNDUP(商品マスタ[[#This Row],[仕入単価+国内送料]]/0.8,-1)</f>
        <v>880</v>
      </c>
      <c r="V420" s="134">
        <f>商品マスタ[[#This Row],[海外定価
（20％）]]-商品マスタ[[#This Row],[仕入単価+国内送料]]</f>
        <v>180</v>
      </c>
      <c r="W420" s="87">
        <f>ROUNDUP(商品マスタ[[#This Row],[仕入単価+国内送料]]/0.85,-1)</f>
        <v>830</v>
      </c>
      <c r="X420" s="134">
        <f>商品マスタ[[#This Row],[国内定価
（15％）]]-商品マスタ[[#This Row],[仕入単価+国内送料]]</f>
        <v>130</v>
      </c>
      <c r="Y420" s="139">
        <v>0.08</v>
      </c>
      <c r="Z420" s="87"/>
      <c r="AA420" s="87"/>
      <c r="AB420" s="87"/>
      <c r="AC420" s="140"/>
      <c r="AD420" s="87"/>
      <c r="AE420" s="87"/>
      <c r="AF420" s="87"/>
      <c r="AG420" s="141"/>
    </row>
    <row r="421" spans="1:33" ht="18">
      <c r="A421" s="166" t="s">
        <v>1524</v>
      </c>
      <c r="B421" s="167" t="s">
        <v>1229</v>
      </c>
      <c r="C421" s="167" t="s">
        <v>1255</v>
      </c>
      <c r="D421" s="143" t="str">
        <f>"PRD_SNJ_"&amp;
_xlfn.XLOOKUP(商品マスタ[[#This Row],[仕入先]],テーブル1[仕入先名],テーブル1[仕入先コード],"XXX",0,1)&amp;
"_"&amp;
商品マスタ[[#This Row],[シリアル]]&amp;
"_"&amp;
TEXT(COUNTIFS(商品マスタ!$C$3:C421,商品マスタ[[#This Row],[仕入先]],商品マスタ!$E$3:E421,商品マスタ[[#This Row],[商品名]]), "00")</f>
        <v>PRD_SNJ_YMN_0001_02</v>
      </c>
      <c r="E421" s="87" t="s">
        <v>1303</v>
      </c>
      <c r="F421" s="87">
        <f>IF(COUNTIFS($C$3:C421,商品マスタ[[#This Row],[仕入先]],$E$3:E421,商品マスタ[[#This Row],[商品名]]) = 1, 1,0)</f>
        <v>0</v>
      </c>
      <c r="G421" s="133" t="str">
        <f>TEXT(SUMIF($C$3:C421,商品マスタ[[#This Row],[仕入先]],$F$3:F421), "0000")</f>
        <v>0001</v>
      </c>
      <c r="H421" s="87" t="s">
        <v>481</v>
      </c>
      <c r="I421" s="87" t="s">
        <v>1433</v>
      </c>
      <c r="J421" s="87" t="s">
        <v>1464</v>
      </c>
      <c r="K421" s="87"/>
      <c r="L421" s="134">
        <v>380</v>
      </c>
      <c r="M421" s="157"/>
      <c r="N421" s="134"/>
      <c r="O421" s="135" t="str">
        <f>IF(COUNT(商品マスタ[[#This Row],[参考上代
（税込)]]) &gt; 0, (商品マスタ[[#This Row],[参考上代
（税込)]]-商品マスタ[[#This Row],[国内定価
（15％）]])/(商品マスタ[[#This Row],[参考上代
（税込)]]/1.08), "")</f>
        <v/>
      </c>
      <c r="P421" s="136">
        <v>0.1</v>
      </c>
      <c r="Q421" s="134">
        <f>商品マスタ[[#This Row],[仕入
単価]]*商品マスタ[[#This Row],[標準国内送料率]]</f>
        <v>38</v>
      </c>
      <c r="R421" s="134">
        <v>0</v>
      </c>
      <c r="S421" s="134">
        <f>IF(ISBLANK(商品マスタ[[#This Row],[実績
国内送料]]),商品マスタ[[#This Row],[標準国内送料]],)</f>
        <v>0</v>
      </c>
      <c r="T421" s="134">
        <f>商品マスタ[[#This Row],[仕入
単価]]+商品マスタ[[#This Row],[国内送料]]</f>
        <v>380</v>
      </c>
      <c r="U421" s="134">
        <f>ROUNDUP(商品マスタ[[#This Row],[仕入単価+国内送料]]/0.8,-1)</f>
        <v>480</v>
      </c>
      <c r="V421" s="134">
        <f>商品マスタ[[#This Row],[海外定価
（20％）]]-商品マスタ[[#This Row],[仕入単価+国内送料]]</f>
        <v>100</v>
      </c>
      <c r="W421" s="87">
        <f>ROUNDUP(商品マスタ[[#This Row],[仕入単価+国内送料]]/0.85,-1)</f>
        <v>450</v>
      </c>
      <c r="X421" s="134">
        <f>商品マスタ[[#This Row],[国内定価
（15％）]]-商品マスタ[[#This Row],[仕入単価+国内送料]]</f>
        <v>70</v>
      </c>
      <c r="Y421" s="139">
        <v>0.08</v>
      </c>
      <c r="Z421" s="87"/>
      <c r="AA421" s="87"/>
      <c r="AB421" s="87"/>
      <c r="AC421" s="140"/>
      <c r="AD421" s="87"/>
      <c r="AE421" s="87"/>
      <c r="AF421" s="87"/>
      <c r="AG421" s="141"/>
    </row>
    <row r="422" spans="1:33" ht="18">
      <c r="A422" s="166" t="s">
        <v>1524</v>
      </c>
      <c r="B422" s="167" t="s">
        <v>1229</v>
      </c>
      <c r="C422" s="167" t="s">
        <v>1255</v>
      </c>
      <c r="D422" s="143" t="str">
        <f>"PRD_SNJ_"&amp;
_xlfn.XLOOKUP(商品マスタ[[#This Row],[仕入先]],テーブル1[仕入先名],テーブル1[仕入先コード],"XXX",0,1)&amp;
"_"&amp;
商品マスタ[[#This Row],[シリアル]]&amp;
"_"&amp;
TEXT(COUNTIFS(商品マスタ!$C$3:C422,商品マスタ[[#This Row],[仕入先]],商品マスタ!$E$3:E422,商品マスタ[[#This Row],[商品名]]), "00")</f>
        <v>PRD_SNJ_YMN_0002_01</v>
      </c>
      <c r="E422" s="87" t="s">
        <v>1304</v>
      </c>
      <c r="F422" s="87">
        <f>IF(COUNTIFS($C$3:C422,商品マスタ[[#This Row],[仕入先]],$E$3:E422,商品マスタ[[#This Row],[商品名]]) = 1, 1,0)</f>
        <v>1</v>
      </c>
      <c r="G422" s="133" t="str">
        <f>TEXT(SUMIF($C$3:C422,商品マスタ[[#This Row],[仕入先]],$F$3:F422), "0000")</f>
        <v>0002</v>
      </c>
      <c r="H422" s="87" t="s">
        <v>481</v>
      </c>
      <c r="I422" s="87" t="s">
        <v>1434</v>
      </c>
      <c r="J422" s="87" t="s">
        <v>1464</v>
      </c>
      <c r="K422" s="87"/>
      <c r="L422" s="134">
        <v>470</v>
      </c>
      <c r="M422" s="157"/>
      <c r="N422" s="134"/>
      <c r="O422" s="135" t="str">
        <f>IF(COUNT(商品マスタ[[#This Row],[参考上代
（税込)]]) &gt; 0, (商品マスタ[[#This Row],[参考上代
（税込)]]-商品マスタ[[#This Row],[国内定価
（15％）]])/(商品マスタ[[#This Row],[参考上代
（税込)]]/1.08), "")</f>
        <v/>
      </c>
      <c r="P422" s="136">
        <v>0.1</v>
      </c>
      <c r="Q422" s="134">
        <f>商品マスタ[[#This Row],[仕入
単価]]*商品マスタ[[#This Row],[標準国内送料率]]</f>
        <v>47</v>
      </c>
      <c r="R422" s="134">
        <v>0</v>
      </c>
      <c r="S422" s="134">
        <f>IF(ISBLANK(商品マスタ[[#This Row],[実績
国内送料]]),商品マスタ[[#This Row],[標準国内送料]],)</f>
        <v>0</v>
      </c>
      <c r="T422" s="134">
        <f>商品マスタ[[#This Row],[仕入
単価]]+商品マスタ[[#This Row],[国内送料]]</f>
        <v>470</v>
      </c>
      <c r="U422" s="134">
        <f>ROUNDUP(商品マスタ[[#This Row],[仕入単価+国内送料]]/0.8,-1)</f>
        <v>590</v>
      </c>
      <c r="V422" s="134">
        <f>商品マスタ[[#This Row],[海外定価
（20％）]]-商品マスタ[[#This Row],[仕入単価+国内送料]]</f>
        <v>120</v>
      </c>
      <c r="W422" s="87">
        <f>ROUNDUP(商品マスタ[[#This Row],[仕入単価+国内送料]]/0.85,-1)</f>
        <v>560</v>
      </c>
      <c r="X422" s="134">
        <f>商品マスタ[[#This Row],[国内定価
（15％）]]-商品マスタ[[#This Row],[仕入単価+国内送料]]</f>
        <v>90</v>
      </c>
      <c r="Y422" s="139">
        <v>0.08</v>
      </c>
      <c r="Z422" s="87"/>
      <c r="AA422" s="87"/>
      <c r="AB422" s="87"/>
      <c r="AC422" s="140"/>
      <c r="AD422" s="87"/>
      <c r="AE422" s="87"/>
      <c r="AF422" s="87"/>
      <c r="AG422" s="141"/>
    </row>
    <row r="423" spans="1:33" ht="18">
      <c r="A423" s="166" t="s">
        <v>1524</v>
      </c>
      <c r="B423" s="167" t="s">
        <v>1229</v>
      </c>
      <c r="C423" s="167" t="s">
        <v>1255</v>
      </c>
      <c r="D423" s="143" t="str">
        <f>"PRD_SNJ_"&amp;
_xlfn.XLOOKUP(商品マスタ[[#This Row],[仕入先]],テーブル1[仕入先名],テーブル1[仕入先コード],"XXX",0,1)&amp;
"_"&amp;
商品マスタ[[#This Row],[シリアル]]&amp;
"_"&amp;
TEXT(COUNTIFS(商品マスタ!$C$3:C423,商品マスタ[[#This Row],[仕入先]],商品マスタ!$E$3:E423,商品マスタ[[#This Row],[商品名]]), "00")</f>
        <v>PRD_SNJ_YMN_0003_01</v>
      </c>
      <c r="E423" s="87" t="s">
        <v>1305</v>
      </c>
      <c r="F423" s="87">
        <f>IF(COUNTIFS($C$3:C423,商品マスタ[[#This Row],[仕入先]],$E$3:E423,商品マスタ[[#This Row],[商品名]]) = 1, 1,0)</f>
        <v>1</v>
      </c>
      <c r="G423" s="133" t="str">
        <f>TEXT(SUMIF($C$3:C423,商品マスタ[[#This Row],[仕入先]],$F$3:F423), "0000")</f>
        <v>0003</v>
      </c>
      <c r="H423" s="87" t="s">
        <v>481</v>
      </c>
      <c r="I423" s="87" t="s">
        <v>1435</v>
      </c>
      <c r="J423" s="87" t="s">
        <v>1464</v>
      </c>
      <c r="K423" s="87"/>
      <c r="L423" s="134">
        <v>430</v>
      </c>
      <c r="M423" s="157"/>
      <c r="N423" s="134"/>
      <c r="O423" s="135" t="str">
        <f>IF(COUNT(商品マスタ[[#This Row],[参考上代
（税込)]]) &gt; 0, (商品マスタ[[#This Row],[参考上代
（税込)]]-商品マスタ[[#This Row],[国内定価
（15％）]])/(商品マスタ[[#This Row],[参考上代
（税込)]]/1.08), "")</f>
        <v/>
      </c>
      <c r="P423" s="136">
        <v>0.1</v>
      </c>
      <c r="Q423" s="134">
        <f>商品マスタ[[#This Row],[仕入
単価]]*商品マスタ[[#This Row],[標準国内送料率]]</f>
        <v>43</v>
      </c>
      <c r="R423" s="134">
        <v>0</v>
      </c>
      <c r="S423" s="134">
        <f>IF(ISBLANK(商品マスタ[[#This Row],[実績
国内送料]]),商品マスタ[[#This Row],[標準国内送料]],)</f>
        <v>0</v>
      </c>
      <c r="T423" s="134">
        <f>商品マスタ[[#This Row],[仕入
単価]]+商品マスタ[[#This Row],[国内送料]]</f>
        <v>430</v>
      </c>
      <c r="U423" s="134">
        <f>ROUNDUP(商品マスタ[[#This Row],[仕入単価+国内送料]]/0.8,-1)</f>
        <v>540</v>
      </c>
      <c r="V423" s="134">
        <f>商品マスタ[[#This Row],[海外定価
（20％）]]-商品マスタ[[#This Row],[仕入単価+国内送料]]</f>
        <v>110</v>
      </c>
      <c r="W423" s="87">
        <f>ROUNDUP(商品マスタ[[#This Row],[仕入単価+国内送料]]/0.85,-1)</f>
        <v>510</v>
      </c>
      <c r="X423" s="134">
        <f>商品マスタ[[#This Row],[国内定価
（15％）]]-商品マスタ[[#This Row],[仕入単価+国内送料]]</f>
        <v>80</v>
      </c>
      <c r="Y423" s="139">
        <v>0.08</v>
      </c>
      <c r="Z423" s="87"/>
      <c r="AA423" s="87"/>
      <c r="AB423" s="87"/>
      <c r="AC423" s="140"/>
      <c r="AD423" s="87"/>
      <c r="AE423" s="87"/>
      <c r="AF423" s="87"/>
      <c r="AG423" s="141"/>
    </row>
    <row r="424" spans="1:33" ht="18">
      <c r="A424" s="166" t="s">
        <v>1524</v>
      </c>
      <c r="B424" s="167" t="s">
        <v>1229</v>
      </c>
      <c r="C424" s="167" t="s">
        <v>1255</v>
      </c>
      <c r="D424" s="143" t="str">
        <f>"PRD_SNJ_"&amp;
_xlfn.XLOOKUP(商品マスタ[[#This Row],[仕入先]],テーブル1[仕入先名],テーブル1[仕入先コード],"XXX",0,1)&amp;
"_"&amp;
商品マスタ[[#This Row],[シリアル]]&amp;
"_"&amp;
TEXT(COUNTIFS(商品マスタ!$C$3:C424,商品マスタ[[#This Row],[仕入先]],商品マスタ!$E$3:E424,商品マスタ[[#This Row],[商品名]]), "00")</f>
        <v>PRD_SNJ_YMN_0004_01</v>
      </c>
      <c r="E424" s="87" t="s">
        <v>1306</v>
      </c>
      <c r="F424" s="87">
        <f>IF(COUNTIFS($C$3:C424,商品マスタ[[#This Row],[仕入先]],$E$3:E424,商品マスタ[[#This Row],[商品名]]) = 1, 1,0)</f>
        <v>1</v>
      </c>
      <c r="G424" s="133" t="str">
        <f>TEXT(SUMIF($C$3:C424,商品マスタ[[#This Row],[仕入先]],$F$3:F424), "0000")</f>
        <v>0004</v>
      </c>
      <c r="H424" s="87" t="s">
        <v>481</v>
      </c>
      <c r="I424" s="87" t="s">
        <v>1436</v>
      </c>
      <c r="J424" s="87" t="s">
        <v>1464</v>
      </c>
      <c r="K424" s="87"/>
      <c r="L424" s="134">
        <v>420</v>
      </c>
      <c r="M424" s="157"/>
      <c r="N424" s="134"/>
      <c r="O424" s="135" t="str">
        <f>IF(COUNT(商品マスタ[[#This Row],[参考上代
（税込)]]) &gt; 0, (商品マスタ[[#This Row],[参考上代
（税込)]]-商品マスタ[[#This Row],[国内定価
（15％）]])/(商品マスタ[[#This Row],[参考上代
（税込)]]/1.08), "")</f>
        <v/>
      </c>
      <c r="P424" s="136">
        <v>0.1</v>
      </c>
      <c r="Q424" s="134">
        <f>商品マスタ[[#This Row],[仕入
単価]]*商品マスタ[[#This Row],[標準国内送料率]]</f>
        <v>42</v>
      </c>
      <c r="R424" s="134">
        <v>0</v>
      </c>
      <c r="S424" s="134">
        <f>IF(ISBLANK(商品マスタ[[#This Row],[実績
国内送料]]),商品マスタ[[#This Row],[標準国内送料]],)</f>
        <v>0</v>
      </c>
      <c r="T424" s="134">
        <f>商品マスタ[[#This Row],[仕入
単価]]+商品マスタ[[#This Row],[国内送料]]</f>
        <v>420</v>
      </c>
      <c r="U424" s="134">
        <f>ROUNDUP(商品マスタ[[#This Row],[仕入単価+国内送料]]/0.8,-1)</f>
        <v>530</v>
      </c>
      <c r="V424" s="134">
        <f>商品マスタ[[#This Row],[海外定価
（20％）]]-商品マスタ[[#This Row],[仕入単価+国内送料]]</f>
        <v>110</v>
      </c>
      <c r="W424" s="87">
        <f>ROUNDUP(商品マスタ[[#This Row],[仕入単価+国内送料]]/0.85,-1)</f>
        <v>500</v>
      </c>
      <c r="X424" s="134">
        <f>商品マスタ[[#This Row],[国内定価
（15％）]]-商品マスタ[[#This Row],[仕入単価+国内送料]]</f>
        <v>80</v>
      </c>
      <c r="Y424" s="139">
        <v>0.08</v>
      </c>
      <c r="Z424" s="87"/>
      <c r="AA424" s="87"/>
      <c r="AB424" s="87"/>
      <c r="AC424" s="140"/>
      <c r="AD424" s="87"/>
      <c r="AE424" s="87"/>
      <c r="AF424" s="87"/>
      <c r="AG424" s="141"/>
    </row>
    <row r="425" spans="1:33" ht="18">
      <c r="A425" s="166" t="s">
        <v>1524</v>
      </c>
      <c r="B425" s="167" t="s">
        <v>1229</v>
      </c>
      <c r="C425" s="167" t="s">
        <v>1255</v>
      </c>
      <c r="D425" s="143" t="str">
        <f>"PRD_SNJ_"&amp;
_xlfn.XLOOKUP(商品マスタ[[#This Row],[仕入先]],テーブル1[仕入先名],テーブル1[仕入先コード],"XXX",0,1)&amp;
"_"&amp;
商品マスタ[[#This Row],[シリアル]]&amp;
"_"&amp;
TEXT(COUNTIFS(商品マスタ!$C$3:C425,商品マスタ[[#This Row],[仕入先]],商品マスタ!$E$3:E425,商品マスタ[[#This Row],[商品名]]), "00")</f>
        <v>PRD_SNJ_YMN_0005_01</v>
      </c>
      <c r="E425" s="87" t="s">
        <v>1307</v>
      </c>
      <c r="F425" s="87">
        <f>IF(COUNTIFS($C$3:C425,商品マスタ[[#This Row],[仕入先]],$E$3:E425,商品マスタ[[#This Row],[商品名]]) = 1, 1,0)</f>
        <v>1</v>
      </c>
      <c r="G425" s="133" t="str">
        <f>TEXT(SUMIF($C$3:C425,商品マスタ[[#This Row],[仕入先]],$F$3:F425), "0000")</f>
        <v>0005</v>
      </c>
      <c r="H425" s="87" t="s">
        <v>481</v>
      </c>
      <c r="I425" s="87" t="s">
        <v>227</v>
      </c>
      <c r="J425" s="87" t="s">
        <v>1464</v>
      </c>
      <c r="K425" s="87"/>
      <c r="L425" s="134">
        <v>340</v>
      </c>
      <c r="M425" s="157"/>
      <c r="N425" s="134"/>
      <c r="O425" s="135" t="str">
        <f>IF(COUNT(商品マスタ[[#This Row],[参考上代
（税込)]]) &gt; 0, (商品マスタ[[#This Row],[参考上代
（税込)]]-商品マスタ[[#This Row],[国内定価
（15％）]])/(商品マスタ[[#This Row],[参考上代
（税込)]]/1.08), "")</f>
        <v/>
      </c>
      <c r="P425" s="136">
        <v>0.1</v>
      </c>
      <c r="Q425" s="134">
        <f>商品マスタ[[#This Row],[仕入
単価]]*商品マスタ[[#This Row],[標準国内送料率]]</f>
        <v>34</v>
      </c>
      <c r="R425" s="134">
        <v>0</v>
      </c>
      <c r="S425" s="134">
        <f>IF(ISBLANK(商品マスタ[[#This Row],[実績
国内送料]]),商品マスタ[[#This Row],[標準国内送料]],)</f>
        <v>0</v>
      </c>
      <c r="T425" s="134">
        <f>商品マスタ[[#This Row],[仕入
単価]]+商品マスタ[[#This Row],[国内送料]]</f>
        <v>340</v>
      </c>
      <c r="U425" s="134">
        <f>ROUNDUP(商品マスタ[[#This Row],[仕入単価+国内送料]]/0.8,-1)</f>
        <v>430</v>
      </c>
      <c r="V425" s="134">
        <f>商品マスタ[[#This Row],[海外定価
（20％）]]-商品マスタ[[#This Row],[仕入単価+国内送料]]</f>
        <v>90</v>
      </c>
      <c r="W425" s="87">
        <f>ROUNDUP(商品マスタ[[#This Row],[仕入単価+国内送料]]/0.85,-1)</f>
        <v>400</v>
      </c>
      <c r="X425" s="134">
        <f>商品マスタ[[#This Row],[国内定価
（15％）]]-商品マスタ[[#This Row],[仕入単価+国内送料]]</f>
        <v>60</v>
      </c>
      <c r="Y425" s="139">
        <v>0.08</v>
      </c>
      <c r="Z425" s="87"/>
      <c r="AA425" s="87"/>
      <c r="AB425" s="87"/>
      <c r="AC425" s="140"/>
      <c r="AD425" s="87"/>
      <c r="AE425" s="87"/>
      <c r="AF425" s="87"/>
      <c r="AG425" s="141"/>
    </row>
    <row r="426" spans="1:33" ht="18">
      <c r="A426" s="166" t="s">
        <v>1524</v>
      </c>
      <c r="B426" s="167" t="s">
        <v>1229</v>
      </c>
      <c r="C426" s="167" t="s">
        <v>1255</v>
      </c>
      <c r="D426" s="143" t="str">
        <f>"PRD_SNJ_"&amp;
_xlfn.XLOOKUP(商品マスタ[[#This Row],[仕入先]],テーブル1[仕入先名],テーブル1[仕入先コード],"XXX",0,1)&amp;
"_"&amp;
商品マスタ[[#This Row],[シリアル]]&amp;
"_"&amp;
TEXT(COUNTIFS(商品マスタ!$C$3:C426,商品マスタ[[#This Row],[仕入先]],商品マスタ!$E$3:E426,商品マスタ[[#This Row],[商品名]]), "00")</f>
        <v>PRD_SNJ_YMN_0006_01</v>
      </c>
      <c r="E426" s="87" t="s">
        <v>1308</v>
      </c>
      <c r="F426" s="87">
        <f>IF(COUNTIFS($C$3:C426,商品マスタ[[#This Row],[仕入先]],$E$3:E426,商品マスタ[[#This Row],[商品名]]) = 1, 1,0)</f>
        <v>1</v>
      </c>
      <c r="G426" s="133" t="str">
        <f>TEXT(SUMIF($C$3:C426,商品マスタ[[#This Row],[仕入先]],$F$3:F426), "0000")</f>
        <v>0006</v>
      </c>
      <c r="H426" s="87" t="s">
        <v>481</v>
      </c>
      <c r="I426" s="87" t="s">
        <v>1437</v>
      </c>
      <c r="J426" s="87" t="s">
        <v>1464</v>
      </c>
      <c r="K426" s="87"/>
      <c r="L426" s="134">
        <v>340</v>
      </c>
      <c r="M426" s="157"/>
      <c r="N426" s="134"/>
      <c r="O426" s="135" t="str">
        <f>IF(COUNT(商品マスタ[[#This Row],[参考上代
（税込)]]) &gt; 0, (商品マスタ[[#This Row],[参考上代
（税込)]]-商品マスタ[[#This Row],[国内定価
（15％）]])/(商品マスタ[[#This Row],[参考上代
（税込)]]/1.08), "")</f>
        <v/>
      </c>
      <c r="P426" s="136">
        <v>0.1</v>
      </c>
      <c r="Q426" s="134">
        <f>商品マスタ[[#This Row],[仕入
単価]]*商品マスタ[[#This Row],[標準国内送料率]]</f>
        <v>34</v>
      </c>
      <c r="R426" s="134">
        <v>0</v>
      </c>
      <c r="S426" s="134">
        <f>IF(ISBLANK(商品マスタ[[#This Row],[実績
国内送料]]),商品マスタ[[#This Row],[標準国内送料]],)</f>
        <v>0</v>
      </c>
      <c r="T426" s="134">
        <f>商品マスタ[[#This Row],[仕入
単価]]+商品マスタ[[#This Row],[国内送料]]</f>
        <v>340</v>
      </c>
      <c r="U426" s="134">
        <f>ROUNDUP(商品マスタ[[#This Row],[仕入単価+国内送料]]/0.8,-1)</f>
        <v>430</v>
      </c>
      <c r="V426" s="134">
        <f>商品マスタ[[#This Row],[海外定価
（20％）]]-商品マスタ[[#This Row],[仕入単価+国内送料]]</f>
        <v>90</v>
      </c>
      <c r="W426" s="87">
        <f>ROUNDUP(商品マスタ[[#This Row],[仕入単価+国内送料]]/0.85,-1)</f>
        <v>400</v>
      </c>
      <c r="X426" s="134">
        <f>商品マスタ[[#This Row],[国内定価
（15％）]]-商品マスタ[[#This Row],[仕入単価+国内送料]]</f>
        <v>60</v>
      </c>
      <c r="Y426" s="139">
        <v>0.08</v>
      </c>
      <c r="Z426" s="87"/>
      <c r="AA426" s="87"/>
      <c r="AB426" s="87"/>
      <c r="AC426" s="140"/>
      <c r="AD426" s="87"/>
      <c r="AE426" s="87"/>
      <c r="AF426" s="87"/>
      <c r="AG426" s="141"/>
    </row>
    <row r="427" spans="1:33" ht="18">
      <c r="A427" s="166" t="s">
        <v>1524</v>
      </c>
      <c r="B427" s="167" t="s">
        <v>1229</v>
      </c>
      <c r="C427" s="167" t="s">
        <v>1255</v>
      </c>
      <c r="D427" s="143" t="str">
        <f>"PRD_SNJ_"&amp;
_xlfn.XLOOKUP(商品マスタ[[#This Row],[仕入先]],テーブル1[仕入先名],テーブル1[仕入先コード],"XXX",0,1)&amp;
"_"&amp;
商品マスタ[[#This Row],[シリアル]]&amp;
"_"&amp;
TEXT(COUNTIFS(商品マスタ!$C$3:C427,商品マスタ[[#This Row],[仕入先]],商品マスタ!$E$3:E427,商品マスタ[[#This Row],[商品名]]), "00")</f>
        <v>PRD_SNJ_YMN_0007_01</v>
      </c>
      <c r="E427" s="87" t="s">
        <v>1309</v>
      </c>
      <c r="F427" s="87">
        <f>IF(COUNTIFS($C$3:C427,商品マスタ[[#This Row],[仕入先]],$E$3:E427,商品マスタ[[#This Row],[商品名]]) = 1, 1,0)</f>
        <v>1</v>
      </c>
      <c r="G427" s="133" t="str">
        <f>TEXT(SUMIF($C$3:C427,商品マスタ[[#This Row],[仕入先]],$F$3:F427), "0000")</f>
        <v>0007</v>
      </c>
      <c r="H427" s="87" t="s">
        <v>481</v>
      </c>
      <c r="I427" s="87" t="s">
        <v>1437</v>
      </c>
      <c r="J427" s="87" t="s">
        <v>1464</v>
      </c>
      <c r="K427" s="87"/>
      <c r="L427" s="134">
        <v>340</v>
      </c>
      <c r="M427" s="157"/>
      <c r="N427" s="134"/>
      <c r="O427" s="135" t="str">
        <f>IF(COUNT(商品マスタ[[#This Row],[参考上代
（税込)]]) &gt; 0, (商品マスタ[[#This Row],[参考上代
（税込)]]-商品マスタ[[#This Row],[国内定価
（15％）]])/(商品マスタ[[#This Row],[参考上代
（税込)]]/1.08), "")</f>
        <v/>
      </c>
      <c r="P427" s="136">
        <v>0.1</v>
      </c>
      <c r="Q427" s="134">
        <f>商品マスタ[[#This Row],[仕入
単価]]*商品マスタ[[#This Row],[標準国内送料率]]</f>
        <v>34</v>
      </c>
      <c r="R427" s="134">
        <v>0</v>
      </c>
      <c r="S427" s="134">
        <f>IF(ISBLANK(商品マスタ[[#This Row],[実績
国内送料]]),商品マスタ[[#This Row],[標準国内送料]],)</f>
        <v>0</v>
      </c>
      <c r="T427" s="134">
        <f>商品マスタ[[#This Row],[仕入
単価]]+商品マスタ[[#This Row],[国内送料]]</f>
        <v>340</v>
      </c>
      <c r="U427" s="134">
        <f>ROUNDUP(商品マスタ[[#This Row],[仕入単価+国内送料]]/0.8,-1)</f>
        <v>430</v>
      </c>
      <c r="V427" s="134">
        <f>商品マスタ[[#This Row],[海外定価
（20％）]]-商品マスタ[[#This Row],[仕入単価+国内送料]]</f>
        <v>90</v>
      </c>
      <c r="W427" s="87">
        <f>ROUNDUP(商品マスタ[[#This Row],[仕入単価+国内送料]]/0.85,-1)</f>
        <v>400</v>
      </c>
      <c r="X427" s="134">
        <f>商品マスタ[[#This Row],[国内定価
（15％）]]-商品マスタ[[#This Row],[仕入単価+国内送料]]</f>
        <v>60</v>
      </c>
      <c r="Y427" s="139">
        <v>0.08</v>
      </c>
      <c r="Z427" s="87"/>
      <c r="AA427" s="87"/>
      <c r="AB427" s="87"/>
      <c r="AC427" s="140"/>
      <c r="AD427" s="87"/>
      <c r="AE427" s="87"/>
      <c r="AF427" s="87"/>
      <c r="AG427" s="141"/>
    </row>
    <row r="428" spans="1:33" ht="18">
      <c r="A428" s="166" t="s">
        <v>1524</v>
      </c>
      <c r="B428" s="167" t="s">
        <v>1229</v>
      </c>
      <c r="C428" s="167" t="s">
        <v>1255</v>
      </c>
      <c r="D428" s="143" t="str">
        <f>"PRD_SNJ_"&amp;
_xlfn.XLOOKUP(商品マスタ[[#This Row],[仕入先]],テーブル1[仕入先名],テーブル1[仕入先コード],"XXX",0,1)&amp;
"_"&amp;
商品マスタ[[#This Row],[シリアル]]&amp;
"_"&amp;
TEXT(COUNTIFS(商品マスタ!$C$3:C428,商品マスタ[[#This Row],[仕入先]],商品マスタ!$E$3:E428,商品マスタ[[#This Row],[商品名]]), "00")</f>
        <v>PRD_SNJ_YMN_0008_01</v>
      </c>
      <c r="E428" s="87" t="s">
        <v>1310</v>
      </c>
      <c r="F428" s="87">
        <f>IF(COUNTIFS($C$3:C428,商品マスタ[[#This Row],[仕入先]],$E$3:E428,商品マスタ[[#This Row],[商品名]]) = 1, 1,0)</f>
        <v>1</v>
      </c>
      <c r="G428" s="133" t="str">
        <f>TEXT(SUMIF($C$3:C428,商品マスタ[[#This Row],[仕入先]],$F$3:F428), "0000")</f>
        <v>0008</v>
      </c>
      <c r="H428" s="87" t="s">
        <v>481</v>
      </c>
      <c r="I428" s="87" t="s">
        <v>1437</v>
      </c>
      <c r="J428" s="87" t="s">
        <v>1464</v>
      </c>
      <c r="K428" s="87"/>
      <c r="L428" s="134">
        <v>340</v>
      </c>
      <c r="M428" s="157"/>
      <c r="N428" s="134"/>
      <c r="O428" s="135" t="str">
        <f>IF(COUNT(商品マスタ[[#This Row],[参考上代
（税込)]]) &gt; 0, (商品マスタ[[#This Row],[参考上代
（税込)]]-商品マスタ[[#This Row],[国内定価
（15％）]])/(商品マスタ[[#This Row],[参考上代
（税込)]]/1.08), "")</f>
        <v/>
      </c>
      <c r="P428" s="136">
        <v>0.1</v>
      </c>
      <c r="Q428" s="134">
        <f>商品マスタ[[#This Row],[仕入
単価]]*商品マスタ[[#This Row],[標準国内送料率]]</f>
        <v>34</v>
      </c>
      <c r="R428" s="134">
        <v>0</v>
      </c>
      <c r="S428" s="134">
        <f>IF(ISBLANK(商品マスタ[[#This Row],[実績
国内送料]]),商品マスタ[[#This Row],[標準国内送料]],)</f>
        <v>0</v>
      </c>
      <c r="T428" s="134">
        <f>商品マスタ[[#This Row],[仕入
単価]]+商品マスタ[[#This Row],[国内送料]]</f>
        <v>340</v>
      </c>
      <c r="U428" s="134">
        <f>ROUNDUP(商品マスタ[[#This Row],[仕入単価+国内送料]]/0.8,-1)</f>
        <v>430</v>
      </c>
      <c r="V428" s="134">
        <f>商品マスタ[[#This Row],[海外定価
（20％）]]-商品マスタ[[#This Row],[仕入単価+国内送料]]</f>
        <v>90</v>
      </c>
      <c r="W428" s="87">
        <f>ROUNDUP(商品マスタ[[#This Row],[仕入単価+国内送料]]/0.85,-1)</f>
        <v>400</v>
      </c>
      <c r="X428" s="134">
        <f>商品マスタ[[#This Row],[国内定価
（15％）]]-商品マスタ[[#This Row],[仕入単価+国内送料]]</f>
        <v>60</v>
      </c>
      <c r="Y428" s="139">
        <v>0.08</v>
      </c>
      <c r="Z428" s="87"/>
      <c r="AA428" s="87"/>
      <c r="AB428" s="87"/>
      <c r="AC428" s="140"/>
      <c r="AD428" s="87"/>
      <c r="AE428" s="87"/>
      <c r="AF428" s="87"/>
      <c r="AG428" s="141"/>
    </row>
    <row r="429" spans="1:33" ht="18">
      <c r="A429" s="166" t="s">
        <v>1524</v>
      </c>
      <c r="B429" s="167" t="s">
        <v>1229</v>
      </c>
      <c r="C429" s="167" t="s">
        <v>1255</v>
      </c>
      <c r="D429" s="143" t="str">
        <f>"PRD_SNJ_"&amp;
_xlfn.XLOOKUP(商品マスタ[[#This Row],[仕入先]],テーブル1[仕入先名],テーブル1[仕入先コード],"XXX",0,1)&amp;
"_"&amp;
商品マスタ[[#This Row],[シリアル]]&amp;
"_"&amp;
TEXT(COUNTIFS(商品マスタ!$C$3:C429,商品マスタ[[#This Row],[仕入先]],商品マスタ!$E$3:E429,商品マスタ[[#This Row],[商品名]]), "00")</f>
        <v>PRD_SNJ_YMN_0009_01</v>
      </c>
      <c r="E429" s="87" t="s">
        <v>1311</v>
      </c>
      <c r="F429" s="87">
        <f>IF(COUNTIFS($C$3:C429,商品マスタ[[#This Row],[仕入先]],$E$3:E429,商品マスタ[[#This Row],[商品名]]) = 1, 1,0)</f>
        <v>1</v>
      </c>
      <c r="G429" s="133" t="str">
        <f>TEXT(SUMIF($C$3:C429,商品マスタ[[#This Row],[仕入先]],$F$3:F429), "0000")</f>
        <v>0009</v>
      </c>
      <c r="H429" s="87" t="s">
        <v>481</v>
      </c>
      <c r="I429" s="87" t="s">
        <v>227</v>
      </c>
      <c r="J429" s="87" t="s">
        <v>1464</v>
      </c>
      <c r="K429" s="87"/>
      <c r="L429" s="134">
        <v>340</v>
      </c>
      <c r="M429" s="157"/>
      <c r="N429" s="134"/>
      <c r="O429" s="135" t="str">
        <f>IF(COUNT(商品マスタ[[#This Row],[参考上代
（税込)]]) &gt; 0, (商品マスタ[[#This Row],[参考上代
（税込)]]-商品マスタ[[#This Row],[国内定価
（15％）]])/(商品マスタ[[#This Row],[参考上代
（税込)]]/1.08), "")</f>
        <v/>
      </c>
      <c r="P429" s="136">
        <v>0.1</v>
      </c>
      <c r="Q429" s="134">
        <f>商品マスタ[[#This Row],[仕入
単価]]*商品マスタ[[#This Row],[標準国内送料率]]</f>
        <v>34</v>
      </c>
      <c r="R429" s="134">
        <v>0</v>
      </c>
      <c r="S429" s="134">
        <f>IF(ISBLANK(商品マスタ[[#This Row],[実績
国内送料]]),商品マスタ[[#This Row],[標準国内送料]],)</f>
        <v>0</v>
      </c>
      <c r="T429" s="134">
        <f>商品マスタ[[#This Row],[仕入
単価]]+商品マスタ[[#This Row],[国内送料]]</f>
        <v>340</v>
      </c>
      <c r="U429" s="134">
        <f>ROUNDUP(商品マスタ[[#This Row],[仕入単価+国内送料]]/0.8,-1)</f>
        <v>430</v>
      </c>
      <c r="V429" s="134">
        <f>商品マスタ[[#This Row],[海外定価
（20％）]]-商品マスタ[[#This Row],[仕入単価+国内送料]]</f>
        <v>90</v>
      </c>
      <c r="W429" s="87">
        <f>ROUNDUP(商品マスタ[[#This Row],[仕入単価+国内送料]]/0.85,-1)</f>
        <v>400</v>
      </c>
      <c r="X429" s="134">
        <f>商品マスタ[[#This Row],[国内定価
（15％）]]-商品マスタ[[#This Row],[仕入単価+国内送料]]</f>
        <v>60</v>
      </c>
      <c r="Y429" s="139">
        <v>0.08</v>
      </c>
      <c r="Z429" s="87"/>
      <c r="AA429" s="87"/>
      <c r="AB429" s="87"/>
      <c r="AC429" s="140"/>
      <c r="AD429" s="87"/>
      <c r="AE429" s="87"/>
      <c r="AF429" s="87"/>
      <c r="AG429" s="141"/>
    </row>
    <row r="430" spans="1:33" ht="18">
      <c r="A430" s="166" t="s">
        <v>1524</v>
      </c>
      <c r="B430" s="167" t="s">
        <v>1229</v>
      </c>
      <c r="C430" s="167" t="s">
        <v>1255</v>
      </c>
      <c r="D430" s="143" t="str">
        <f>"PRD_SNJ_"&amp;
_xlfn.XLOOKUP(商品マスタ[[#This Row],[仕入先]],テーブル1[仕入先名],テーブル1[仕入先コード],"XXX",0,1)&amp;
"_"&amp;
商品マスタ[[#This Row],[シリアル]]&amp;
"_"&amp;
TEXT(COUNTIFS(商品マスタ!$C$3:C430,商品マスタ[[#This Row],[仕入先]],商品マスタ!$E$3:E430,商品マスタ[[#This Row],[商品名]]), "00")</f>
        <v>PRD_SNJ_YMN_0010_01</v>
      </c>
      <c r="E430" s="87" t="s">
        <v>1312</v>
      </c>
      <c r="F430" s="87">
        <f>IF(COUNTIFS($C$3:C430,商品マスタ[[#This Row],[仕入先]],$E$3:E430,商品マスタ[[#This Row],[商品名]]) = 1, 1,0)</f>
        <v>1</v>
      </c>
      <c r="G430" s="133" t="str">
        <f>TEXT(SUMIF($C$3:C430,商品マスタ[[#This Row],[仕入先]],$F$3:F430), "0000")</f>
        <v>0010</v>
      </c>
      <c r="H430" s="87" t="s">
        <v>481</v>
      </c>
      <c r="I430" s="87" t="s">
        <v>227</v>
      </c>
      <c r="J430" s="87" t="s">
        <v>1464</v>
      </c>
      <c r="K430" s="87"/>
      <c r="L430" s="134">
        <v>340</v>
      </c>
      <c r="M430" s="157"/>
      <c r="N430" s="134"/>
      <c r="O430" s="135" t="str">
        <f>IF(COUNT(商品マスタ[[#This Row],[参考上代
（税込)]]) &gt; 0, (商品マスタ[[#This Row],[参考上代
（税込)]]-商品マスタ[[#This Row],[国内定価
（15％）]])/(商品マスタ[[#This Row],[参考上代
（税込)]]/1.08), "")</f>
        <v/>
      </c>
      <c r="P430" s="136">
        <v>0.1</v>
      </c>
      <c r="Q430" s="134">
        <f>商品マスタ[[#This Row],[仕入
単価]]*商品マスタ[[#This Row],[標準国内送料率]]</f>
        <v>34</v>
      </c>
      <c r="R430" s="134">
        <v>0</v>
      </c>
      <c r="S430" s="134">
        <f>IF(ISBLANK(商品マスタ[[#This Row],[実績
国内送料]]),商品マスタ[[#This Row],[標準国内送料]],)</f>
        <v>0</v>
      </c>
      <c r="T430" s="134">
        <f>商品マスタ[[#This Row],[仕入
単価]]+商品マスタ[[#This Row],[国内送料]]</f>
        <v>340</v>
      </c>
      <c r="U430" s="134">
        <f>ROUNDUP(商品マスタ[[#This Row],[仕入単価+国内送料]]/0.8,-1)</f>
        <v>430</v>
      </c>
      <c r="V430" s="134">
        <f>商品マスタ[[#This Row],[海外定価
（20％）]]-商品マスタ[[#This Row],[仕入単価+国内送料]]</f>
        <v>90</v>
      </c>
      <c r="W430" s="87">
        <f>ROUNDUP(商品マスタ[[#This Row],[仕入単価+国内送料]]/0.85,-1)</f>
        <v>400</v>
      </c>
      <c r="X430" s="134">
        <f>商品マスタ[[#This Row],[国内定価
（15％）]]-商品マスタ[[#This Row],[仕入単価+国内送料]]</f>
        <v>60</v>
      </c>
      <c r="Y430" s="139">
        <v>0.08</v>
      </c>
      <c r="Z430" s="87"/>
      <c r="AA430" s="87"/>
      <c r="AB430" s="87"/>
      <c r="AC430" s="140"/>
      <c r="AD430" s="87"/>
      <c r="AE430" s="87"/>
      <c r="AF430" s="87"/>
      <c r="AG430" s="141"/>
    </row>
    <row r="431" spans="1:33" ht="18">
      <c r="A431" s="166" t="s">
        <v>1520</v>
      </c>
      <c r="B431" s="167" t="s">
        <v>1222</v>
      </c>
      <c r="C431" s="167" t="s">
        <v>1255</v>
      </c>
      <c r="D431" s="143" t="str">
        <f>"PRD_SNJ_"&amp;
_xlfn.XLOOKUP(商品マスタ[[#This Row],[仕入先]],テーブル1[仕入先名],テーブル1[仕入先コード],"XXX",0,1)&amp;
"_"&amp;
商品マスタ[[#This Row],[シリアル]]&amp;
"_"&amp;
TEXT(COUNTIFS(商品マスタ!$C$3:C431,商品マスタ[[#This Row],[仕入先]],商品マスタ!$E$3:E431,商品マスタ[[#This Row],[商品名]]), "00")</f>
        <v>PRD_SNJ_YMN_0011_01</v>
      </c>
      <c r="E431" s="87" t="s">
        <v>1313</v>
      </c>
      <c r="F431" s="87">
        <f>IF(COUNTIFS($C$3:C431,商品マスタ[[#This Row],[仕入先]],$E$3:E431,商品マスタ[[#This Row],[商品名]]) = 1, 1,0)</f>
        <v>1</v>
      </c>
      <c r="G431" s="133" t="str">
        <f>TEXT(SUMIF($C$3:C431,商品マスタ[[#This Row],[仕入先]],$F$3:F431), "0000")</f>
        <v>0011</v>
      </c>
      <c r="H431" s="87" t="s">
        <v>481</v>
      </c>
      <c r="I431" s="87" t="s">
        <v>227</v>
      </c>
      <c r="J431" s="87" t="s">
        <v>1464</v>
      </c>
      <c r="K431" s="87"/>
      <c r="L431" s="134">
        <v>340</v>
      </c>
      <c r="M431" s="157"/>
      <c r="N431" s="134"/>
      <c r="O431" s="135" t="str">
        <f>IF(COUNT(商品マスタ[[#This Row],[参考上代
（税込)]]) &gt; 0, (商品マスタ[[#This Row],[参考上代
（税込)]]-商品マスタ[[#This Row],[国内定価
（15％）]])/(商品マスタ[[#This Row],[参考上代
（税込)]]/1.08), "")</f>
        <v/>
      </c>
      <c r="P431" s="136">
        <v>0.1</v>
      </c>
      <c r="Q431" s="134">
        <f>商品マスタ[[#This Row],[仕入
単価]]*商品マスタ[[#This Row],[標準国内送料率]]</f>
        <v>34</v>
      </c>
      <c r="R431" s="134">
        <v>0</v>
      </c>
      <c r="S431" s="134">
        <f>IF(ISBLANK(商品マスタ[[#This Row],[実績
国内送料]]),商品マスタ[[#This Row],[標準国内送料]],)</f>
        <v>0</v>
      </c>
      <c r="T431" s="134">
        <f>商品マスタ[[#This Row],[仕入
単価]]+商品マスタ[[#This Row],[国内送料]]</f>
        <v>340</v>
      </c>
      <c r="U431" s="134">
        <f>ROUNDUP(商品マスタ[[#This Row],[仕入単価+国内送料]]/0.8,-1)</f>
        <v>430</v>
      </c>
      <c r="V431" s="134">
        <f>商品マスタ[[#This Row],[海外定価
（20％）]]-商品マスタ[[#This Row],[仕入単価+国内送料]]</f>
        <v>90</v>
      </c>
      <c r="W431" s="87">
        <f>ROUNDUP(商品マスタ[[#This Row],[仕入単価+国内送料]]/0.85,-1)</f>
        <v>400</v>
      </c>
      <c r="X431" s="134">
        <f>商品マスタ[[#This Row],[国内定価
（15％）]]-商品マスタ[[#This Row],[仕入単価+国内送料]]</f>
        <v>60</v>
      </c>
      <c r="Y431" s="139">
        <v>0.08</v>
      </c>
      <c r="Z431" s="87"/>
      <c r="AA431" s="87"/>
      <c r="AB431" s="87"/>
      <c r="AC431" s="140"/>
      <c r="AD431" s="87"/>
      <c r="AE431" s="87"/>
      <c r="AF431" s="87"/>
      <c r="AG431" s="141"/>
    </row>
    <row r="432" spans="1:33" ht="18">
      <c r="A432" s="166" t="s">
        <v>1520</v>
      </c>
      <c r="B432" s="167" t="s">
        <v>1222</v>
      </c>
      <c r="C432" s="167" t="s">
        <v>1255</v>
      </c>
      <c r="D432" s="143" t="str">
        <f>"PRD_SNJ_"&amp;
_xlfn.XLOOKUP(商品マスタ[[#This Row],[仕入先]],テーブル1[仕入先名],テーブル1[仕入先コード],"XXX",0,1)&amp;
"_"&amp;
商品マスタ[[#This Row],[シリアル]]&amp;
"_"&amp;
TEXT(COUNTIFS(商品マスタ!$C$3:C432,商品マスタ[[#This Row],[仕入先]],商品マスタ!$E$3:E432,商品マスタ[[#This Row],[商品名]]), "00")</f>
        <v>PRD_SNJ_YMN_0012_01</v>
      </c>
      <c r="E432" s="87" t="s">
        <v>1314</v>
      </c>
      <c r="F432" s="87">
        <f>IF(COUNTIFS($C$3:C432,商品マスタ[[#This Row],[仕入先]],$E$3:E432,商品マスタ[[#This Row],[商品名]]) = 1, 1,0)</f>
        <v>1</v>
      </c>
      <c r="G432" s="133" t="str">
        <f>TEXT(SUMIF($C$3:C432,商品マスタ[[#This Row],[仕入先]],$F$3:F432), "0000")</f>
        <v>0012</v>
      </c>
      <c r="H432" s="87" t="s">
        <v>481</v>
      </c>
      <c r="I432" s="87" t="s">
        <v>227</v>
      </c>
      <c r="J432" s="87" t="s">
        <v>1464</v>
      </c>
      <c r="K432" s="87"/>
      <c r="L432" s="134">
        <v>340</v>
      </c>
      <c r="M432" s="157"/>
      <c r="N432" s="134"/>
      <c r="O432" s="135" t="str">
        <f>IF(COUNT(商品マスタ[[#This Row],[参考上代
（税込)]]) &gt; 0, (商品マスタ[[#This Row],[参考上代
（税込)]]-商品マスタ[[#This Row],[国内定価
（15％）]])/(商品マスタ[[#This Row],[参考上代
（税込)]]/1.08), "")</f>
        <v/>
      </c>
      <c r="P432" s="136">
        <v>0.1</v>
      </c>
      <c r="Q432" s="134">
        <f>商品マスタ[[#This Row],[仕入
単価]]*商品マスタ[[#This Row],[標準国内送料率]]</f>
        <v>34</v>
      </c>
      <c r="R432" s="134">
        <v>0</v>
      </c>
      <c r="S432" s="134">
        <f>IF(ISBLANK(商品マスタ[[#This Row],[実績
国内送料]]),商品マスタ[[#This Row],[標準国内送料]],)</f>
        <v>0</v>
      </c>
      <c r="T432" s="134">
        <f>商品マスタ[[#This Row],[仕入
単価]]+商品マスタ[[#This Row],[国内送料]]</f>
        <v>340</v>
      </c>
      <c r="U432" s="134">
        <f>ROUNDUP(商品マスタ[[#This Row],[仕入単価+国内送料]]/0.8,-1)</f>
        <v>430</v>
      </c>
      <c r="V432" s="134">
        <f>商品マスタ[[#This Row],[海外定価
（20％）]]-商品マスタ[[#This Row],[仕入単価+国内送料]]</f>
        <v>90</v>
      </c>
      <c r="W432" s="87">
        <f>ROUNDUP(商品マスタ[[#This Row],[仕入単価+国内送料]]/0.85,-1)</f>
        <v>400</v>
      </c>
      <c r="X432" s="134">
        <f>商品マスタ[[#This Row],[国内定価
（15％）]]-商品マスタ[[#This Row],[仕入単価+国内送料]]</f>
        <v>60</v>
      </c>
      <c r="Y432" s="139">
        <v>0.08</v>
      </c>
      <c r="Z432" s="87"/>
      <c r="AA432" s="87"/>
      <c r="AB432" s="87"/>
      <c r="AC432" s="140"/>
      <c r="AD432" s="87"/>
      <c r="AE432" s="87"/>
      <c r="AF432" s="87"/>
      <c r="AG432" s="141"/>
    </row>
    <row r="433" spans="1:33" ht="18">
      <c r="A433" s="166" t="s">
        <v>1520</v>
      </c>
      <c r="B433" s="167" t="s">
        <v>1222</v>
      </c>
      <c r="C433" s="167" t="s">
        <v>1255</v>
      </c>
      <c r="D433" s="143" t="str">
        <f>"PRD_SNJ_"&amp;
_xlfn.XLOOKUP(商品マスタ[[#This Row],[仕入先]],テーブル1[仕入先名],テーブル1[仕入先コード],"XXX",0,1)&amp;
"_"&amp;
商品マスタ[[#This Row],[シリアル]]&amp;
"_"&amp;
TEXT(COUNTIFS(商品マスタ!$C$3:C433,商品マスタ[[#This Row],[仕入先]],商品マスタ!$E$3:E433,商品マスタ[[#This Row],[商品名]]), "00")</f>
        <v>PRD_SNJ_YMN_0013_01</v>
      </c>
      <c r="E433" s="87" t="s">
        <v>1315</v>
      </c>
      <c r="F433" s="87">
        <f>IF(COUNTIFS($C$3:C433,商品マスタ[[#This Row],[仕入先]],$E$3:E433,商品マスタ[[#This Row],[商品名]]) = 1, 1,0)</f>
        <v>1</v>
      </c>
      <c r="G433" s="133" t="str">
        <f>TEXT(SUMIF($C$3:C433,商品マスタ[[#This Row],[仕入先]],$F$3:F433), "0000")</f>
        <v>0013</v>
      </c>
      <c r="H433" s="87" t="s">
        <v>481</v>
      </c>
      <c r="I433" s="87" t="s">
        <v>227</v>
      </c>
      <c r="J433" s="87" t="s">
        <v>1464</v>
      </c>
      <c r="K433" s="87"/>
      <c r="L433" s="134">
        <v>340</v>
      </c>
      <c r="M433" s="157"/>
      <c r="N433" s="134"/>
      <c r="O433" s="135" t="str">
        <f>IF(COUNT(商品マスタ[[#This Row],[参考上代
（税込)]]) &gt; 0, (商品マスタ[[#This Row],[参考上代
（税込)]]-商品マスタ[[#This Row],[国内定価
（15％）]])/(商品マスタ[[#This Row],[参考上代
（税込)]]/1.08), "")</f>
        <v/>
      </c>
      <c r="P433" s="136">
        <v>0.1</v>
      </c>
      <c r="Q433" s="134">
        <f>商品マスタ[[#This Row],[仕入
単価]]*商品マスタ[[#This Row],[標準国内送料率]]</f>
        <v>34</v>
      </c>
      <c r="R433" s="134">
        <v>0</v>
      </c>
      <c r="S433" s="134">
        <f>IF(ISBLANK(商品マスタ[[#This Row],[実績
国内送料]]),商品マスタ[[#This Row],[標準国内送料]],)</f>
        <v>0</v>
      </c>
      <c r="T433" s="134">
        <f>商品マスタ[[#This Row],[仕入
単価]]+商品マスタ[[#This Row],[国内送料]]</f>
        <v>340</v>
      </c>
      <c r="U433" s="134">
        <f>ROUNDUP(商品マスタ[[#This Row],[仕入単価+国内送料]]/0.8,-1)</f>
        <v>430</v>
      </c>
      <c r="V433" s="134">
        <f>商品マスタ[[#This Row],[海外定価
（20％）]]-商品マスタ[[#This Row],[仕入単価+国内送料]]</f>
        <v>90</v>
      </c>
      <c r="W433" s="87">
        <f>ROUNDUP(商品マスタ[[#This Row],[仕入単価+国内送料]]/0.85,-1)</f>
        <v>400</v>
      </c>
      <c r="X433" s="134">
        <f>商品マスタ[[#This Row],[国内定価
（15％）]]-商品マスタ[[#This Row],[仕入単価+国内送料]]</f>
        <v>60</v>
      </c>
      <c r="Y433" s="139">
        <v>0.08</v>
      </c>
      <c r="Z433" s="87"/>
      <c r="AA433" s="87"/>
      <c r="AB433" s="87"/>
      <c r="AC433" s="140"/>
      <c r="AD433" s="87"/>
      <c r="AE433" s="87"/>
      <c r="AF433" s="87"/>
      <c r="AG433" s="141"/>
    </row>
    <row r="434" spans="1:33" ht="18">
      <c r="A434" s="166" t="s">
        <v>1524</v>
      </c>
      <c r="B434" s="167" t="s">
        <v>1229</v>
      </c>
      <c r="C434" s="167" t="s">
        <v>1255</v>
      </c>
      <c r="D434" s="143" t="str">
        <f>"PRD_SNJ_"&amp;
_xlfn.XLOOKUP(商品マスタ[[#This Row],[仕入先]],テーブル1[仕入先名],テーブル1[仕入先コード],"XXX",0,1)&amp;
"_"&amp;
商品マスタ[[#This Row],[シリアル]]&amp;
"_"&amp;
TEXT(COUNTIFS(商品マスタ!$C$3:C434,商品マスタ[[#This Row],[仕入先]],商品マスタ!$E$3:E434,商品マスタ[[#This Row],[商品名]]), "00")</f>
        <v>PRD_SNJ_YMN_0014_01</v>
      </c>
      <c r="E434" s="87" t="s">
        <v>1316</v>
      </c>
      <c r="F434" s="87">
        <f>IF(COUNTIFS($C$3:C434,商品マスタ[[#This Row],[仕入先]],$E$3:E434,商品マスタ[[#This Row],[商品名]]) = 1, 1,0)</f>
        <v>1</v>
      </c>
      <c r="G434" s="133" t="str">
        <f>TEXT(SUMIF($C$3:C434,商品マスタ[[#This Row],[仕入先]],$F$3:F434), "0000")</f>
        <v>0014</v>
      </c>
      <c r="H434" s="87" t="s">
        <v>481</v>
      </c>
      <c r="I434" s="87" t="s">
        <v>227</v>
      </c>
      <c r="J434" s="87" t="s">
        <v>1464</v>
      </c>
      <c r="K434" s="87"/>
      <c r="L434" s="134">
        <v>340</v>
      </c>
      <c r="M434" s="157"/>
      <c r="N434" s="134"/>
      <c r="O434" s="135" t="str">
        <f>IF(COUNT(商品マスタ[[#This Row],[参考上代
（税込)]]) &gt; 0, (商品マスタ[[#This Row],[参考上代
（税込)]]-商品マスタ[[#This Row],[国内定価
（15％）]])/(商品マスタ[[#This Row],[参考上代
（税込)]]/1.08), "")</f>
        <v/>
      </c>
      <c r="P434" s="136">
        <v>0.1</v>
      </c>
      <c r="Q434" s="134">
        <f>商品マスタ[[#This Row],[仕入
単価]]*商品マスタ[[#This Row],[標準国内送料率]]</f>
        <v>34</v>
      </c>
      <c r="R434" s="134">
        <v>0</v>
      </c>
      <c r="S434" s="134">
        <f>IF(ISBLANK(商品マスタ[[#This Row],[実績
国内送料]]),商品マスタ[[#This Row],[標準国内送料]],)</f>
        <v>0</v>
      </c>
      <c r="T434" s="134">
        <f>商品マスタ[[#This Row],[仕入
単価]]+商品マスタ[[#This Row],[国内送料]]</f>
        <v>340</v>
      </c>
      <c r="U434" s="134">
        <f>ROUNDUP(商品マスタ[[#This Row],[仕入単価+国内送料]]/0.8,-1)</f>
        <v>430</v>
      </c>
      <c r="V434" s="134">
        <f>商品マスタ[[#This Row],[海外定価
（20％）]]-商品マスタ[[#This Row],[仕入単価+国内送料]]</f>
        <v>90</v>
      </c>
      <c r="W434" s="87">
        <f>ROUNDUP(商品マスタ[[#This Row],[仕入単価+国内送料]]/0.85,-1)</f>
        <v>400</v>
      </c>
      <c r="X434" s="134">
        <f>商品マスタ[[#This Row],[国内定価
（15％）]]-商品マスタ[[#This Row],[仕入単価+国内送料]]</f>
        <v>60</v>
      </c>
      <c r="Y434" s="139">
        <v>0.08</v>
      </c>
      <c r="Z434" s="87"/>
      <c r="AA434" s="87"/>
      <c r="AB434" s="87"/>
      <c r="AC434" s="140"/>
      <c r="AD434" s="87"/>
      <c r="AE434" s="87"/>
      <c r="AF434" s="87"/>
      <c r="AG434" s="141"/>
    </row>
    <row r="435" spans="1:33" ht="18">
      <c r="A435" s="166" t="s">
        <v>1524</v>
      </c>
      <c r="B435" s="167" t="s">
        <v>1229</v>
      </c>
      <c r="C435" s="167" t="s">
        <v>1255</v>
      </c>
      <c r="D435" s="143" t="str">
        <f>"PRD_SNJ_"&amp;
_xlfn.XLOOKUP(商品マスタ[[#This Row],[仕入先]],テーブル1[仕入先名],テーブル1[仕入先コード],"XXX",0,1)&amp;
"_"&amp;
商品マスタ[[#This Row],[シリアル]]&amp;
"_"&amp;
TEXT(COUNTIFS(商品マスタ!$C$3:C435,商品マスタ[[#This Row],[仕入先]],商品マスタ!$E$3:E435,商品マスタ[[#This Row],[商品名]]), "00")</f>
        <v>PRD_SNJ_YMN_0014_02</v>
      </c>
      <c r="E435" s="87" t="s">
        <v>1308</v>
      </c>
      <c r="F435" s="87">
        <f>IF(COUNTIFS($C$3:C435,商品マスタ[[#This Row],[仕入先]],$E$3:E435,商品マスタ[[#This Row],[商品名]]) = 1, 1,0)</f>
        <v>0</v>
      </c>
      <c r="G435" s="133" t="str">
        <f>TEXT(SUMIF($C$3:C435,商品マスタ[[#This Row],[仕入先]],$F$3:F435), "0000")</f>
        <v>0014</v>
      </c>
      <c r="H435" s="87" t="s">
        <v>481</v>
      </c>
      <c r="I435" s="87" t="s">
        <v>238</v>
      </c>
      <c r="J435" s="87" t="s">
        <v>1464</v>
      </c>
      <c r="K435" s="87"/>
      <c r="L435" s="134">
        <v>500</v>
      </c>
      <c r="M435" s="157"/>
      <c r="N435" s="134"/>
      <c r="O435" s="135" t="str">
        <f>IF(COUNT(商品マスタ[[#This Row],[参考上代
（税込)]]) &gt; 0, (商品マスタ[[#This Row],[参考上代
（税込)]]-商品マスタ[[#This Row],[国内定価
（15％）]])/(商品マスタ[[#This Row],[参考上代
（税込)]]/1.08), "")</f>
        <v/>
      </c>
      <c r="P435" s="136">
        <v>0.1</v>
      </c>
      <c r="Q435" s="134">
        <f>商品マスタ[[#This Row],[仕入
単価]]*商品マスタ[[#This Row],[標準国内送料率]]</f>
        <v>50</v>
      </c>
      <c r="R435" s="134">
        <v>0</v>
      </c>
      <c r="S435" s="134">
        <f>IF(ISBLANK(商品マスタ[[#This Row],[実績
国内送料]]),商品マスタ[[#This Row],[標準国内送料]],)</f>
        <v>0</v>
      </c>
      <c r="T435" s="134">
        <f>商品マスタ[[#This Row],[仕入
単価]]+商品マスタ[[#This Row],[国内送料]]</f>
        <v>500</v>
      </c>
      <c r="U435" s="134">
        <f>ROUNDUP(商品マスタ[[#This Row],[仕入単価+国内送料]]/0.8,-1)</f>
        <v>630</v>
      </c>
      <c r="V435" s="134">
        <f>商品マスタ[[#This Row],[海外定価
（20％）]]-商品マスタ[[#This Row],[仕入単価+国内送料]]</f>
        <v>130</v>
      </c>
      <c r="W435" s="87">
        <f>ROUNDUP(商品マスタ[[#This Row],[仕入単価+国内送料]]/0.85,-1)</f>
        <v>590</v>
      </c>
      <c r="X435" s="134">
        <f>商品マスタ[[#This Row],[国内定価
（15％）]]-商品マスタ[[#This Row],[仕入単価+国内送料]]</f>
        <v>90</v>
      </c>
      <c r="Y435" s="139">
        <v>0.08</v>
      </c>
      <c r="Z435" s="87"/>
      <c r="AA435" s="87"/>
      <c r="AB435" s="87"/>
      <c r="AC435" s="140"/>
      <c r="AD435" s="87"/>
      <c r="AE435" s="87"/>
      <c r="AF435" s="87"/>
      <c r="AG435" s="141"/>
    </row>
    <row r="436" spans="1:33" ht="18">
      <c r="A436" s="166" t="s">
        <v>1524</v>
      </c>
      <c r="B436" s="167" t="s">
        <v>1229</v>
      </c>
      <c r="C436" s="167" t="s">
        <v>1255</v>
      </c>
      <c r="D436" s="143" t="str">
        <f>"PRD_SNJ_"&amp;
_xlfn.XLOOKUP(商品マスタ[[#This Row],[仕入先]],テーブル1[仕入先名],テーブル1[仕入先コード],"XXX",0,1)&amp;
"_"&amp;
商品マスタ[[#This Row],[シリアル]]&amp;
"_"&amp;
TEXT(COUNTIFS(商品マスタ!$C$3:C436,商品マスタ[[#This Row],[仕入先]],商品マスタ!$E$3:E436,商品マスタ[[#This Row],[商品名]]), "00")</f>
        <v>PRD_SNJ_YMN_0014_02</v>
      </c>
      <c r="E436" s="87" t="s">
        <v>1309</v>
      </c>
      <c r="F436" s="87">
        <f>IF(COUNTIFS($C$3:C436,商品マスタ[[#This Row],[仕入先]],$E$3:E436,商品マスタ[[#This Row],[商品名]]) = 1, 1,0)</f>
        <v>0</v>
      </c>
      <c r="G436" s="133" t="str">
        <f>TEXT(SUMIF($C$3:C436,商品マスタ[[#This Row],[仕入先]],$F$3:F436), "0000")</f>
        <v>0014</v>
      </c>
      <c r="H436" s="87" t="s">
        <v>481</v>
      </c>
      <c r="I436" s="87" t="s">
        <v>238</v>
      </c>
      <c r="J436" s="87" t="s">
        <v>1464</v>
      </c>
      <c r="K436" s="87"/>
      <c r="L436" s="134">
        <v>500</v>
      </c>
      <c r="M436" s="157"/>
      <c r="N436" s="134"/>
      <c r="O436" s="135" t="str">
        <f>IF(COUNT(商品マスタ[[#This Row],[参考上代
（税込)]]) &gt; 0, (商品マスタ[[#This Row],[参考上代
（税込)]]-商品マスタ[[#This Row],[国内定価
（15％）]])/(商品マスタ[[#This Row],[参考上代
（税込)]]/1.08), "")</f>
        <v/>
      </c>
      <c r="P436" s="136">
        <v>0.1</v>
      </c>
      <c r="Q436" s="134">
        <f>商品マスタ[[#This Row],[仕入
単価]]*商品マスタ[[#This Row],[標準国内送料率]]</f>
        <v>50</v>
      </c>
      <c r="R436" s="134">
        <v>0</v>
      </c>
      <c r="S436" s="134">
        <f>IF(ISBLANK(商品マスタ[[#This Row],[実績
国内送料]]),商品マスタ[[#This Row],[標準国内送料]],)</f>
        <v>0</v>
      </c>
      <c r="T436" s="134">
        <f>商品マスタ[[#This Row],[仕入
単価]]+商品マスタ[[#This Row],[国内送料]]</f>
        <v>500</v>
      </c>
      <c r="U436" s="134">
        <f>ROUNDUP(商品マスタ[[#This Row],[仕入単価+国内送料]]/0.8,-1)</f>
        <v>630</v>
      </c>
      <c r="V436" s="134">
        <f>商品マスタ[[#This Row],[海外定価
（20％）]]-商品マスタ[[#This Row],[仕入単価+国内送料]]</f>
        <v>130</v>
      </c>
      <c r="W436" s="87">
        <f>ROUNDUP(商品マスタ[[#This Row],[仕入単価+国内送料]]/0.85,-1)</f>
        <v>590</v>
      </c>
      <c r="X436" s="134">
        <f>商品マスタ[[#This Row],[国内定価
（15％）]]-商品マスタ[[#This Row],[仕入単価+国内送料]]</f>
        <v>90</v>
      </c>
      <c r="Y436" s="139">
        <v>0.08</v>
      </c>
      <c r="Z436" s="87"/>
      <c r="AA436" s="87"/>
      <c r="AB436" s="87"/>
      <c r="AC436" s="140"/>
      <c r="AD436" s="87"/>
      <c r="AE436" s="87"/>
      <c r="AF436" s="87"/>
      <c r="AG436" s="141"/>
    </row>
    <row r="437" spans="1:33" ht="18">
      <c r="A437" s="166" t="s">
        <v>1524</v>
      </c>
      <c r="B437" s="167" t="s">
        <v>1229</v>
      </c>
      <c r="C437" s="167" t="s">
        <v>1255</v>
      </c>
      <c r="D437" s="143" t="str">
        <f>"PRD_SNJ_"&amp;
_xlfn.XLOOKUP(商品マスタ[[#This Row],[仕入先]],テーブル1[仕入先名],テーブル1[仕入先コード],"XXX",0,1)&amp;
"_"&amp;
商品マスタ[[#This Row],[シリアル]]&amp;
"_"&amp;
TEXT(COUNTIFS(商品マスタ!$C$3:C437,商品マスタ[[#This Row],[仕入先]],商品マスタ!$E$3:E437,商品マスタ[[#This Row],[商品名]]), "00")</f>
        <v>PRD_SNJ_YMN_0014_02</v>
      </c>
      <c r="E437" s="87" t="s">
        <v>1310</v>
      </c>
      <c r="F437" s="87">
        <f>IF(COUNTIFS($C$3:C437,商品マスタ[[#This Row],[仕入先]],$E$3:E437,商品マスタ[[#This Row],[商品名]]) = 1, 1,0)</f>
        <v>0</v>
      </c>
      <c r="G437" s="133" t="str">
        <f>TEXT(SUMIF($C$3:C437,商品マスタ[[#This Row],[仕入先]],$F$3:F437), "0000")</f>
        <v>0014</v>
      </c>
      <c r="H437" s="87" t="s">
        <v>481</v>
      </c>
      <c r="I437" s="87" t="s">
        <v>238</v>
      </c>
      <c r="J437" s="87" t="s">
        <v>1464</v>
      </c>
      <c r="K437" s="87"/>
      <c r="L437" s="134">
        <v>500</v>
      </c>
      <c r="M437" s="157"/>
      <c r="N437" s="134"/>
      <c r="O437" s="135" t="str">
        <f>IF(COUNT(商品マスタ[[#This Row],[参考上代
（税込)]]) &gt; 0, (商品マスタ[[#This Row],[参考上代
（税込)]]-商品マスタ[[#This Row],[国内定価
（15％）]])/(商品マスタ[[#This Row],[参考上代
（税込)]]/1.08), "")</f>
        <v/>
      </c>
      <c r="P437" s="136">
        <v>0.1</v>
      </c>
      <c r="Q437" s="134">
        <f>商品マスタ[[#This Row],[仕入
単価]]*商品マスタ[[#This Row],[標準国内送料率]]</f>
        <v>50</v>
      </c>
      <c r="R437" s="134">
        <v>0</v>
      </c>
      <c r="S437" s="134">
        <f>IF(ISBLANK(商品マスタ[[#This Row],[実績
国内送料]]),商品マスタ[[#This Row],[標準国内送料]],)</f>
        <v>0</v>
      </c>
      <c r="T437" s="134">
        <f>商品マスタ[[#This Row],[仕入
単価]]+商品マスタ[[#This Row],[国内送料]]</f>
        <v>500</v>
      </c>
      <c r="U437" s="134">
        <f>ROUNDUP(商品マスタ[[#This Row],[仕入単価+国内送料]]/0.8,-1)</f>
        <v>630</v>
      </c>
      <c r="V437" s="134">
        <f>商品マスタ[[#This Row],[海外定価
（20％）]]-商品マスタ[[#This Row],[仕入単価+国内送料]]</f>
        <v>130</v>
      </c>
      <c r="W437" s="87">
        <f>ROUNDUP(商品マスタ[[#This Row],[仕入単価+国内送料]]/0.85,-1)</f>
        <v>590</v>
      </c>
      <c r="X437" s="134">
        <f>商品マスタ[[#This Row],[国内定価
（15％）]]-商品マスタ[[#This Row],[仕入単価+国内送料]]</f>
        <v>90</v>
      </c>
      <c r="Y437" s="139">
        <v>0.08</v>
      </c>
      <c r="Z437" s="87"/>
      <c r="AA437" s="87"/>
      <c r="AB437" s="87"/>
      <c r="AC437" s="140"/>
      <c r="AD437" s="87"/>
      <c r="AE437" s="87"/>
      <c r="AF437" s="87"/>
      <c r="AG437" s="141"/>
    </row>
    <row r="438" spans="1:33" ht="18">
      <c r="A438" s="166" t="s">
        <v>1524</v>
      </c>
      <c r="B438" s="167" t="s">
        <v>1229</v>
      </c>
      <c r="C438" s="167" t="s">
        <v>1255</v>
      </c>
      <c r="D438" s="143" t="str">
        <f>"PRD_SNJ_"&amp;
_xlfn.XLOOKUP(商品マスタ[[#This Row],[仕入先]],テーブル1[仕入先名],テーブル1[仕入先コード],"XXX",0,1)&amp;
"_"&amp;
商品マスタ[[#This Row],[シリアル]]&amp;
"_"&amp;
TEXT(COUNTIFS(商品マスタ!$C$3:C438,商品マスタ[[#This Row],[仕入先]],商品マスタ!$E$3:E438,商品マスタ[[#This Row],[商品名]]), "00")</f>
        <v>PRD_SNJ_YMN_0014_02</v>
      </c>
      <c r="E438" s="87" t="s">
        <v>1312</v>
      </c>
      <c r="F438" s="87">
        <f>IF(COUNTIFS($C$3:C438,商品マスタ[[#This Row],[仕入先]],$E$3:E438,商品マスタ[[#This Row],[商品名]]) = 1, 1,0)</f>
        <v>0</v>
      </c>
      <c r="G438" s="133" t="str">
        <f>TEXT(SUMIF($C$3:C438,商品マスタ[[#This Row],[仕入先]],$F$3:F438), "0000")</f>
        <v>0014</v>
      </c>
      <c r="H438" s="87" t="s">
        <v>481</v>
      </c>
      <c r="I438" s="87" t="s">
        <v>238</v>
      </c>
      <c r="J438" s="87" t="s">
        <v>1464</v>
      </c>
      <c r="K438" s="87"/>
      <c r="L438" s="134">
        <v>500</v>
      </c>
      <c r="M438" s="157"/>
      <c r="N438" s="134"/>
      <c r="O438" s="135" t="str">
        <f>IF(COUNT(商品マスタ[[#This Row],[参考上代
（税込)]]) &gt; 0, (商品マスタ[[#This Row],[参考上代
（税込)]]-商品マスタ[[#This Row],[国内定価
（15％）]])/(商品マスタ[[#This Row],[参考上代
（税込)]]/1.08), "")</f>
        <v/>
      </c>
      <c r="P438" s="136">
        <v>0.1</v>
      </c>
      <c r="Q438" s="134">
        <f>商品マスタ[[#This Row],[仕入
単価]]*商品マスタ[[#This Row],[標準国内送料率]]</f>
        <v>50</v>
      </c>
      <c r="R438" s="134">
        <v>0</v>
      </c>
      <c r="S438" s="134">
        <f>IF(ISBLANK(商品マスタ[[#This Row],[実績
国内送料]]),商品マスタ[[#This Row],[標準国内送料]],)</f>
        <v>0</v>
      </c>
      <c r="T438" s="134">
        <f>商品マスタ[[#This Row],[仕入
単価]]+商品マスタ[[#This Row],[国内送料]]</f>
        <v>500</v>
      </c>
      <c r="U438" s="134">
        <f>ROUNDUP(商品マスタ[[#This Row],[仕入単価+国内送料]]/0.8,-1)</f>
        <v>630</v>
      </c>
      <c r="V438" s="134">
        <f>商品マスタ[[#This Row],[海外定価
（20％）]]-商品マスタ[[#This Row],[仕入単価+国内送料]]</f>
        <v>130</v>
      </c>
      <c r="W438" s="87">
        <f>ROUNDUP(商品マスタ[[#This Row],[仕入単価+国内送料]]/0.85,-1)</f>
        <v>590</v>
      </c>
      <c r="X438" s="134">
        <f>商品マスタ[[#This Row],[国内定価
（15％）]]-商品マスタ[[#This Row],[仕入単価+国内送料]]</f>
        <v>90</v>
      </c>
      <c r="Y438" s="139">
        <v>0.08</v>
      </c>
      <c r="Z438" s="87"/>
      <c r="AA438" s="87"/>
      <c r="AB438" s="87"/>
      <c r="AC438" s="140"/>
      <c r="AD438" s="87"/>
      <c r="AE438" s="87"/>
      <c r="AF438" s="87"/>
      <c r="AG438" s="141"/>
    </row>
    <row r="439" spans="1:33" ht="18">
      <c r="A439" s="166" t="s">
        <v>1524</v>
      </c>
      <c r="B439" s="167" t="s">
        <v>1229</v>
      </c>
      <c r="C439" s="167" t="s">
        <v>1255</v>
      </c>
      <c r="D439" s="143" t="str">
        <f>"PRD_SNJ_"&amp;
_xlfn.XLOOKUP(商品マスタ[[#This Row],[仕入先]],テーブル1[仕入先名],テーブル1[仕入先コード],"XXX",0,1)&amp;
"_"&amp;
商品マスタ[[#This Row],[シリアル]]&amp;
"_"&amp;
TEXT(COUNTIFS(商品マスタ!$C$3:C439,商品マスタ[[#This Row],[仕入先]],商品マスタ!$E$3:E439,商品マスタ[[#This Row],[商品名]]), "00")</f>
        <v>PRD_SNJ_YMN_0015_01</v>
      </c>
      <c r="E439" s="87" t="s">
        <v>1317</v>
      </c>
      <c r="F439" s="87">
        <f>IF(COUNTIFS($C$3:C439,商品マスタ[[#This Row],[仕入先]],$E$3:E439,商品マスタ[[#This Row],[商品名]]) = 1, 1,0)</f>
        <v>1</v>
      </c>
      <c r="G439" s="133" t="str">
        <f>TEXT(SUMIF($C$3:C439,商品マスタ[[#This Row],[仕入先]],$F$3:F439), "0000")</f>
        <v>0015</v>
      </c>
      <c r="H439" s="87" t="s">
        <v>481</v>
      </c>
      <c r="I439" s="87" t="s">
        <v>1438</v>
      </c>
      <c r="J439" s="87" t="s">
        <v>1464</v>
      </c>
      <c r="K439" s="87"/>
      <c r="L439" s="134">
        <v>270</v>
      </c>
      <c r="M439" s="157"/>
      <c r="N439" s="134"/>
      <c r="O439" s="135" t="str">
        <f>IF(COUNT(商品マスタ[[#This Row],[参考上代
（税込)]]) &gt; 0, (商品マスタ[[#This Row],[参考上代
（税込)]]-商品マスタ[[#This Row],[国内定価
（15％）]])/(商品マスタ[[#This Row],[参考上代
（税込)]]/1.08), "")</f>
        <v/>
      </c>
      <c r="P439" s="136">
        <v>0.1</v>
      </c>
      <c r="Q439" s="134">
        <f>商品マスタ[[#This Row],[仕入
単価]]*商品マスタ[[#This Row],[標準国内送料率]]</f>
        <v>27</v>
      </c>
      <c r="R439" s="134">
        <v>0</v>
      </c>
      <c r="S439" s="134">
        <f>IF(ISBLANK(商品マスタ[[#This Row],[実績
国内送料]]),商品マスタ[[#This Row],[標準国内送料]],)</f>
        <v>0</v>
      </c>
      <c r="T439" s="134">
        <f>商品マスタ[[#This Row],[仕入
単価]]+商品マスタ[[#This Row],[国内送料]]</f>
        <v>270</v>
      </c>
      <c r="U439" s="134">
        <f>ROUNDUP(商品マスタ[[#This Row],[仕入単価+国内送料]]/0.8,-1)</f>
        <v>340</v>
      </c>
      <c r="V439" s="134">
        <f>商品マスタ[[#This Row],[海外定価
（20％）]]-商品マスタ[[#This Row],[仕入単価+国内送料]]</f>
        <v>70</v>
      </c>
      <c r="W439" s="87">
        <f>ROUNDUP(商品マスタ[[#This Row],[仕入単価+国内送料]]/0.85,-1)</f>
        <v>320</v>
      </c>
      <c r="X439" s="134">
        <f>商品マスタ[[#This Row],[国内定価
（15％）]]-商品マスタ[[#This Row],[仕入単価+国内送料]]</f>
        <v>50</v>
      </c>
      <c r="Y439" s="139">
        <v>0.08</v>
      </c>
      <c r="Z439" s="87"/>
      <c r="AA439" s="87"/>
      <c r="AB439" s="87"/>
      <c r="AC439" s="140"/>
      <c r="AD439" s="87"/>
      <c r="AE439" s="87"/>
      <c r="AF439" s="87"/>
      <c r="AG439" s="141"/>
    </row>
    <row r="440" spans="1:33" ht="18">
      <c r="A440" s="166" t="s">
        <v>1524</v>
      </c>
      <c r="B440" s="167" t="s">
        <v>1229</v>
      </c>
      <c r="C440" s="167" t="s">
        <v>1255</v>
      </c>
      <c r="D440" s="143" t="str">
        <f>"PRD_SNJ_"&amp;
_xlfn.XLOOKUP(商品マスタ[[#This Row],[仕入先]],テーブル1[仕入先名],テーブル1[仕入先コード],"XXX",0,1)&amp;
"_"&amp;
商品マスタ[[#This Row],[シリアル]]&amp;
"_"&amp;
TEXT(COUNTIFS(商品マスタ!$C$3:C440,商品マスタ[[#This Row],[仕入先]],商品マスタ!$E$3:E440,商品マスタ[[#This Row],[商品名]]), "00")</f>
        <v>PRD_SNJ_YMN_0016_01</v>
      </c>
      <c r="E440" s="87" t="s">
        <v>1318</v>
      </c>
      <c r="F440" s="87">
        <f>IF(COUNTIFS($C$3:C440,商品マスタ[[#This Row],[仕入先]],$E$3:E440,商品マスタ[[#This Row],[商品名]]) = 1, 1,0)</f>
        <v>1</v>
      </c>
      <c r="G440" s="133" t="str">
        <f>TEXT(SUMIF($C$3:C440,商品マスタ[[#This Row],[仕入先]],$F$3:F440), "0000")</f>
        <v>0016</v>
      </c>
      <c r="H440" s="87" t="s">
        <v>481</v>
      </c>
      <c r="I440" s="87" t="s">
        <v>1439</v>
      </c>
      <c r="J440" s="87" t="s">
        <v>1464</v>
      </c>
      <c r="K440" s="87"/>
      <c r="L440" s="134">
        <v>660</v>
      </c>
      <c r="M440" s="157"/>
      <c r="N440" s="134"/>
      <c r="O440" s="135" t="str">
        <f>IF(COUNT(商品マスタ[[#This Row],[参考上代
（税込)]]) &gt; 0, (商品マスタ[[#This Row],[参考上代
（税込)]]-商品マスタ[[#This Row],[国内定価
（15％）]])/(商品マスタ[[#This Row],[参考上代
（税込)]]/1.08), "")</f>
        <v/>
      </c>
      <c r="P440" s="136">
        <v>0.1</v>
      </c>
      <c r="Q440" s="134">
        <f>商品マスタ[[#This Row],[仕入
単価]]*商品マスタ[[#This Row],[標準国内送料率]]</f>
        <v>66</v>
      </c>
      <c r="R440" s="134">
        <v>0</v>
      </c>
      <c r="S440" s="134">
        <f>IF(ISBLANK(商品マスタ[[#This Row],[実績
国内送料]]),商品マスタ[[#This Row],[標準国内送料]],)</f>
        <v>0</v>
      </c>
      <c r="T440" s="134">
        <f>商品マスタ[[#This Row],[仕入
単価]]+商品マスタ[[#This Row],[国内送料]]</f>
        <v>660</v>
      </c>
      <c r="U440" s="134">
        <f>ROUNDUP(商品マスタ[[#This Row],[仕入単価+国内送料]]/0.8,-1)</f>
        <v>830</v>
      </c>
      <c r="V440" s="134">
        <f>商品マスタ[[#This Row],[海外定価
（20％）]]-商品マスタ[[#This Row],[仕入単価+国内送料]]</f>
        <v>170</v>
      </c>
      <c r="W440" s="87">
        <f>ROUNDUP(商品マスタ[[#This Row],[仕入単価+国内送料]]/0.85,-1)</f>
        <v>780</v>
      </c>
      <c r="X440" s="134">
        <f>商品マスタ[[#This Row],[国内定価
（15％）]]-商品マスタ[[#This Row],[仕入単価+国内送料]]</f>
        <v>120</v>
      </c>
      <c r="Y440" s="139">
        <v>0.08</v>
      </c>
      <c r="Z440" s="87"/>
      <c r="AA440" s="87"/>
      <c r="AB440" s="87"/>
      <c r="AC440" s="140"/>
      <c r="AD440" s="87"/>
      <c r="AE440" s="87"/>
      <c r="AF440" s="87"/>
      <c r="AG440" s="141"/>
    </row>
    <row r="441" spans="1:33" ht="18">
      <c r="A441" s="166" t="s">
        <v>1524</v>
      </c>
      <c r="B441" s="167" t="s">
        <v>1229</v>
      </c>
      <c r="C441" s="167" t="s">
        <v>1255</v>
      </c>
      <c r="D441" s="143" t="str">
        <f>"PRD_SNJ_"&amp;
_xlfn.XLOOKUP(商品マスタ[[#This Row],[仕入先]],テーブル1[仕入先名],テーブル1[仕入先コード],"XXX",0,1)&amp;
"_"&amp;
商品マスタ[[#This Row],[シリアル]]&amp;
"_"&amp;
TEXT(COUNTIFS(商品マスタ!$C$3:C441,商品マスタ[[#This Row],[仕入先]],商品マスタ!$E$3:E441,商品マスタ[[#This Row],[商品名]]), "00")</f>
        <v>PRD_SNJ_YMN_0017_01</v>
      </c>
      <c r="E441" s="87" t="s">
        <v>1319</v>
      </c>
      <c r="F441" s="87">
        <f>IF(COUNTIFS($C$3:C441,商品マスタ[[#This Row],[仕入先]],$E$3:E441,商品マスタ[[#This Row],[商品名]]) = 1, 1,0)</f>
        <v>1</v>
      </c>
      <c r="G441" s="133" t="str">
        <f>TEXT(SUMIF($C$3:C441,商品マスタ[[#This Row],[仕入先]],$F$3:F441), "0000")</f>
        <v>0017</v>
      </c>
      <c r="H441" s="87" t="s">
        <v>481</v>
      </c>
      <c r="I441" s="87" t="s">
        <v>1440</v>
      </c>
      <c r="J441" s="87" t="s">
        <v>1464</v>
      </c>
      <c r="K441" s="87"/>
      <c r="L441" s="134">
        <v>660</v>
      </c>
      <c r="M441" s="157"/>
      <c r="N441" s="134"/>
      <c r="O441" s="135" t="str">
        <f>IF(COUNT(商品マスタ[[#This Row],[参考上代
（税込)]]) &gt; 0, (商品マスタ[[#This Row],[参考上代
（税込)]]-商品マスタ[[#This Row],[国内定価
（15％）]])/(商品マスタ[[#This Row],[参考上代
（税込)]]/1.08), "")</f>
        <v/>
      </c>
      <c r="P441" s="136">
        <v>0.1</v>
      </c>
      <c r="Q441" s="134">
        <f>商品マスタ[[#This Row],[仕入
単価]]*商品マスタ[[#This Row],[標準国内送料率]]</f>
        <v>66</v>
      </c>
      <c r="R441" s="134">
        <v>0</v>
      </c>
      <c r="S441" s="134">
        <f>IF(ISBLANK(商品マスタ[[#This Row],[実績
国内送料]]),商品マスタ[[#This Row],[標準国内送料]],)</f>
        <v>0</v>
      </c>
      <c r="T441" s="134">
        <f>商品マスタ[[#This Row],[仕入
単価]]+商品マスタ[[#This Row],[国内送料]]</f>
        <v>660</v>
      </c>
      <c r="U441" s="134">
        <f>ROUNDUP(商品マスタ[[#This Row],[仕入単価+国内送料]]/0.8,-1)</f>
        <v>830</v>
      </c>
      <c r="V441" s="134">
        <f>商品マスタ[[#This Row],[海外定価
（20％）]]-商品マスタ[[#This Row],[仕入単価+国内送料]]</f>
        <v>170</v>
      </c>
      <c r="W441" s="87">
        <f>ROUNDUP(商品マスタ[[#This Row],[仕入単価+国内送料]]/0.85,-1)</f>
        <v>780</v>
      </c>
      <c r="X441" s="134">
        <f>商品マスタ[[#This Row],[国内定価
（15％）]]-商品マスタ[[#This Row],[仕入単価+国内送料]]</f>
        <v>120</v>
      </c>
      <c r="Y441" s="139">
        <v>0.08</v>
      </c>
      <c r="Z441" s="87"/>
      <c r="AA441" s="87"/>
      <c r="AB441" s="87"/>
      <c r="AC441" s="140"/>
      <c r="AD441" s="87"/>
      <c r="AE441" s="87"/>
      <c r="AF441" s="87"/>
      <c r="AG441" s="141"/>
    </row>
    <row r="442" spans="1:33" ht="18">
      <c r="A442" s="166" t="s">
        <v>1524</v>
      </c>
      <c r="B442" s="167" t="s">
        <v>1229</v>
      </c>
      <c r="C442" s="167" t="s">
        <v>1255</v>
      </c>
      <c r="D442" s="143" t="str">
        <f>"PRD_SNJ_"&amp;
_xlfn.XLOOKUP(商品マスタ[[#This Row],[仕入先]],テーブル1[仕入先名],テーブル1[仕入先コード],"XXX",0,1)&amp;
"_"&amp;
商品マスタ[[#This Row],[シリアル]]&amp;
"_"&amp;
TEXT(COUNTIFS(商品マスタ!$C$3:C442,商品マスタ[[#This Row],[仕入先]],商品マスタ!$E$3:E442,商品マスタ[[#This Row],[商品名]]), "00")</f>
        <v>PRD_SNJ_YMN_0018_01</v>
      </c>
      <c r="E442" s="87" t="s">
        <v>1320</v>
      </c>
      <c r="F442" s="87">
        <f>IF(COUNTIFS($C$3:C442,商品マスタ[[#This Row],[仕入先]],$E$3:E442,商品マスタ[[#This Row],[商品名]]) = 1, 1,0)</f>
        <v>1</v>
      </c>
      <c r="G442" s="133" t="str">
        <f>TEXT(SUMIF($C$3:C442,商品マスタ[[#This Row],[仕入先]],$F$3:F442), "0000")</f>
        <v>0018</v>
      </c>
      <c r="H442" s="87" t="s">
        <v>481</v>
      </c>
      <c r="I442" s="87" t="s">
        <v>242</v>
      </c>
      <c r="J442" s="87" t="s">
        <v>1464</v>
      </c>
      <c r="K442" s="87"/>
      <c r="L442" s="134">
        <v>700</v>
      </c>
      <c r="M442" s="157"/>
      <c r="N442" s="134"/>
      <c r="O442" s="135" t="str">
        <f>IF(COUNT(商品マスタ[[#This Row],[参考上代
（税込)]]) &gt; 0, (商品マスタ[[#This Row],[参考上代
（税込)]]-商品マスタ[[#This Row],[国内定価
（15％）]])/(商品マスタ[[#This Row],[参考上代
（税込)]]/1.08), "")</f>
        <v/>
      </c>
      <c r="P442" s="136">
        <v>0.1</v>
      </c>
      <c r="Q442" s="134">
        <f>商品マスタ[[#This Row],[仕入
単価]]*商品マスタ[[#This Row],[標準国内送料率]]</f>
        <v>70</v>
      </c>
      <c r="R442" s="134">
        <v>0</v>
      </c>
      <c r="S442" s="134">
        <f>IF(ISBLANK(商品マスタ[[#This Row],[実績
国内送料]]),商品マスタ[[#This Row],[標準国内送料]],)</f>
        <v>0</v>
      </c>
      <c r="T442" s="134">
        <f>商品マスタ[[#This Row],[仕入
単価]]+商品マスタ[[#This Row],[国内送料]]</f>
        <v>700</v>
      </c>
      <c r="U442" s="134">
        <f>ROUNDUP(商品マスタ[[#This Row],[仕入単価+国内送料]]/0.8,-1)</f>
        <v>880</v>
      </c>
      <c r="V442" s="134">
        <f>商品マスタ[[#This Row],[海外定価
（20％）]]-商品マスタ[[#This Row],[仕入単価+国内送料]]</f>
        <v>180</v>
      </c>
      <c r="W442" s="87">
        <f>ROUNDUP(商品マスタ[[#This Row],[仕入単価+国内送料]]/0.85,-1)</f>
        <v>830</v>
      </c>
      <c r="X442" s="134">
        <f>商品マスタ[[#This Row],[国内定価
（15％）]]-商品マスタ[[#This Row],[仕入単価+国内送料]]</f>
        <v>130</v>
      </c>
      <c r="Y442" s="139">
        <v>0.08</v>
      </c>
      <c r="Z442" s="87"/>
      <c r="AA442" s="87"/>
      <c r="AB442" s="87"/>
      <c r="AC442" s="140"/>
      <c r="AD442" s="87"/>
      <c r="AE442" s="87"/>
      <c r="AF442" s="87"/>
      <c r="AG442" s="141"/>
    </row>
    <row r="443" spans="1:33" ht="18">
      <c r="A443" s="166" t="s">
        <v>1524</v>
      </c>
      <c r="B443" s="167" t="s">
        <v>1229</v>
      </c>
      <c r="C443" s="167" t="s">
        <v>1255</v>
      </c>
      <c r="D443" s="143" t="str">
        <f>"PRD_SNJ_"&amp;
_xlfn.XLOOKUP(商品マスタ[[#This Row],[仕入先]],テーブル1[仕入先名],テーブル1[仕入先コード],"XXX",0,1)&amp;
"_"&amp;
商品マスタ[[#This Row],[シリアル]]&amp;
"_"&amp;
TEXT(COUNTIFS(商品マスタ!$C$3:C443,商品マスタ[[#This Row],[仕入先]],商品マスタ!$E$3:E443,商品マスタ[[#This Row],[商品名]]), "00")</f>
        <v>PRD_SNJ_YMN_0019_01</v>
      </c>
      <c r="E443" s="87" t="s">
        <v>1321</v>
      </c>
      <c r="F443" s="87">
        <f>IF(COUNTIFS($C$3:C443,商品マスタ[[#This Row],[仕入先]],$E$3:E443,商品マスタ[[#This Row],[商品名]]) = 1, 1,0)</f>
        <v>1</v>
      </c>
      <c r="G443" s="133" t="str">
        <f>TEXT(SUMIF($C$3:C443,商品マスタ[[#This Row],[仕入先]],$F$3:F443), "0000")</f>
        <v>0019</v>
      </c>
      <c r="H443" s="87" t="s">
        <v>481</v>
      </c>
      <c r="I443" s="87" t="s">
        <v>308</v>
      </c>
      <c r="J443" s="87" t="s">
        <v>1464</v>
      </c>
      <c r="K443" s="87"/>
      <c r="L443" s="134">
        <v>440</v>
      </c>
      <c r="M443" s="157"/>
      <c r="N443" s="134"/>
      <c r="O443" s="135" t="str">
        <f>IF(COUNT(商品マスタ[[#This Row],[参考上代
（税込)]]) &gt; 0, (商品マスタ[[#This Row],[参考上代
（税込)]]-商品マスタ[[#This Row],[国内定価
（15％）]])/(商品マスタ[[#This Row],[参考上代
（税込)]]/1.08), "")</f>
        <v/>
      </c>
      <c r="P443" s="136">
        <v>0.1</v>
      </c>
      <c r="Q443" s="134">
        <f>商品マスタ[[#This Row],[仕入
単価]]*商品マスタ[[#This Row],[標準国内送料率]]</f>
        <v>44</v>
      </c>
      <c r="R443" s="134">
        <v>0</v>
      </c>
      <c r="S443" s="134">
        <f>IF(ISBLANK(商品マスタ[[#This Row],[実績
国内送料]]),商品マスタ[[#This Row],[標準国内送料]],)</f>
        <v>0</v>
      </c>
      <c r="T443" s="134">
        <f>商品マスタ[[#This Row],[仕入
単価]]+商品マスタ[[#This Row],[国内送料]]</f>
        <v>440</v>
      </c>
      <c r="U443" s="134">
        <f>ROUNDUP(商品マスタ[[#This Row],[仕入単価+国内送料]]/0.8,-1)</f>
        <v>550</v>
      </c>
      <c r="V443" s="134">
        <f>商品マスタ[[#This Row],[海外定価
（20％）]]-商品マスタ[[#This Row],[仕入単価+国内送料]]</f>
        <v>110</v>
      </c>
      <c r="W443" s="87">
        <f>ROUNDUP(商品マスタ[[#This Row],[仕入単価+国内送料]]/0.85,-1)</f>
        <v>520</v>
      </c>
      <c r="X443" s="134">
        <f>商品マスタ[[#This Row],[国内定価
（15％）]]-商品マスタ[[#This Row],[仕入単価+国内送料]]</f>
        <v>80</v>
      </c>
      <c r="Y443" s="139">
        <v>0.08</v>
      </c>
      <c r="Z443" s="87"/>
      <c r="AA443" s="87"/>
      <c r="AB443" s="87"/>
      <c r="AC443" s="140"/>
      <c r="AD443" s="87"/>
      <c r="AE443" s="87"/>
      <c r="AF443" s="87"/>
      <c r="AG443" s="141"/>
    </row>
    <row r="444" spans="1:33" ht="18">
      <c r="A444" s="166" t="s">
        <v>1524</v>
      </c>
      <c r="B444" s="167" t="s">
        <v>1229</v>
      </c>
      <c r="C444" s="167" t="s">
        <v>1255</v>
      </c>
      <c r="D444" s="143" t="str">
        <f>"PRD_SNJ_"&amp;
_xlfn.XLOOKUP(商品マスタ[[#This Row],[仕入先]],テーブル1[仕入先名],テーブル1[仕入先コード],"XXX",0,1)&amp;
"_"&amp;
商品マスタ[[#This Row],[シリアル]]&amp;
"_"&amp;
TEXT(COUNTIFS(商品マスタ!$C$3:C444,商品マスタ[[#This Row],[仕入先]],商品マスタ!$E$3:E444,商品マスタ[[#This Row],[商品名]]), "00")</f>
        <v>PRD_SNJ_YMN_0019_02</v>
      </c>
      <c r="E444" s="87" t="s">
        <v>1321</v>
      </c>
      <c r="F444" s="87">
        <f>IF(COUNTIFS($C$3:C444,商品マスタ[[#This Row],[仕入先]],$E$3:E444,商品マスタ[[#This Row],[商品名]]) = 1, 1,0)</f>
        <v>0</v>
      </c>
      <c r="G444" s="133" t="str">
        <f>TEXT(SUMIF($C$3:C444,商品マスタ[[#This Row],[仕入先]],$F$3:F444), "0000")</f>
        <v>0019</v>
      </c>
      <c r="H444" s="87" t="s">
        <v>481</v>
      </c>
      <c r="I444" s="87" t="s">
        <v>227</v>
      </c>
      <c r="J444" s="87" t="s">
        <v>1464</v>
      </c>
      <c r="K444" s="87"/>
      <c r="L444" s="134">
        <v>280</v>
      </c>
      <c r="M444" s="157"/>
      <c r="N444" s="134"/>
      <c r="O444" s="135" t="str">
        <f>IF(COUNT(商品マスタ[[#This Row],[参考上代
（税込)]]) &gt; 0, (商品マスタ[[#This Row],[参考上代
（税込)]]-商品マスタ[[#This Row],[国内定価
（15％）]])/(商品マスタ[[#This Row],[参考上代
（税込)]]/1.08), "")</f>
        <v/>
      </c>
      <c r="P444" s="136">
        <v>0.1</v>
      </c>
      <c r="Q444" s="134">
        <f>商品マスタ[[#This Row],[仕入
単価]]*商品マスタ[[#This Row],[標準国内送料率]]</f>
        <v>28</v>
      </c>
      <c r="R444" s="134">
        <v>0</v>
      </c>
      <c r="S444" s="134">
        <f>IF(ISBLANK(商品マスタ[[#This Row],[実績
国内送料]]),商品マスタ[[#This Row],[標準国内送料]],)</f>
        <v>0</v>
      </c>
      <c r="T444" s="134">
        <f>商品マスタ[[#This Row],[仕入
単価]]+商品マスタ[[#This Row],[国内送料]]</f>
        <v>280</v>
      </c>
      <c r="U444" s="134">
        <f>ROUNDUP(商品マスタ[[#This Row],[仕入単価+国内送料]]/0.8,-1)</f>
        <v>350</v>
      </c>
      <c r="V444" s="134">
        <f>商品マスタ[[#This Row],[海外定価
（20％）]]-商品マスタ[[#This Row],[仕入単価+国内送料]]</f>
        <v>70</v>
      </c>
      <c r="W444" s="87">
        <f>ROUNDUP(商品マスタ[[#This Row],[仕入単価+国内送料]]/0.85,-1)</f>
        <v>330</v>
      </c>
      <c r="X444" s="134">
        <f>商品マスタ[[#This Row],[国内定価
（15％）]]-商品マスタ[[#This Row],[仕入単価+国内送料]]</f>
        <v>50</v>
      </c>
      <c r="Y444" s="139">
        <v>0.08</v>
      </c>
      <c r="Z444" s="87"/>
      <c r="AA444" s="87"/>
      <c r="AB444" s="87"/>
      <c r="AC444" s="140"/>
      <c r="AD444" s="87"/>
      <c r="AE444" s="87"/>
      <c r="AF444" s="87"/>
      <c r="AG444" s="141"/>
    </row>
    <row r="445" spans="1:33" ht="18">
      <c r="A445" s="166" t="s">
        <v>1524</v>
      </c>
      <c r="B445" s="167" t="s">
        <v>1229</v>
      </c>
      <c r="C445" s="167" t="s">
        <v>1255</v>
      </c>
      <c r="D445" s="143" t="str">
        <f>"PRD_SNJ_"&amp;
_xlfn.XLOOKUP(商品マスタ[[#This Row],[仕入先]],テーブル1[仕入先名],テーブル1[仕入先コード],"XXX",0,1)&amp;
"_"&amp;
商品マスタ[[#This Row],[シリアル]]&amp;
"_"&amp;
TEXT(COUNTIFS(商品マスタ!$C$3:C445,商品マスタ[[#This Row],[仕入先]],商品マスタ!$E$3:E445,商品マスタ[[#This Row],[商品名]]), "00")</f>
        <v>PRD_SNJ_YMN_0020_01</v>
      </c>
      <c r="E445" s="87" t="s">
        <v>1322</v>
      </c>
      <c r="F445" s="87">
        <f>IF(COUNTIFS($C$3:C445,商品マスタ[[#This Row],[仕入先]],$E$3:E445,商品マスタ[[#This Row],[商品名]]) = 1, 1,0)</f>
        <v>1</v>
      </c>
      <c r="G445" s="133" t="str">
        <f>TEXT(SUMIF($C$3:C445,商品マスタ[[#This Row],[仕入先]],$F$3:F445), "0000")</f>
        <v>0020</v>
      </c>
      <c r="H445" s="87" t="s">
        <v>481</v>
      </c>
      <c r="I445" s="87" t="s">
        <v>231</v>
      </c>
      <c r="J445" s="87" t="s">
        <v>1464</v>
      </c>
      <c r="K445" s="87"/>
      <c r="L445" s="134">
        <v>320</v>
      </c>
      <c r="M445" s="157"/>
      <c r="N445" s="134"/>
      <c r="O445" s="135" t="str">
        <f>IF(COUNT(商品マスタ[[#This Row],[参考上代
（税込)]]) &gt; 0, (商品マスタ[[#This Row],[参考上代
（税込)]]-商品マスタ[[#This Row],[国内定価
（15％）]])/(商品マスタ[[#This Row],[参考上代
（税込)]]/1.08), "")</f>
        <v/>
      </c>
      <c r="P445" s="136">
        <v>0.1</v>
      </c>
      <c r="Q445" s="134">
        <f>商品マスタ[[#This Row],[仕入
単価]]*商品マスタ[[#This Row],[標準国内送料率]]</f>
        <v>32</v>
      </c>
      <c r="R445" s="134">
        <v>0</v>
      </c>
      <c r="S445" s="134">
        <f>IF(ISBLANK(商品マスタ[[#This Row],[実績
国内送料]]),商品マスタ[[#This Row],[標準国内送料]],)</f>
        <v>0</v>
      </c>
      <c r="T445" s="134">
        <f>商品マスタ[[#This Row],[仕入
単価]]+商品マスタ[[#This Row],[国内送料]]</f>
        <v>320</v>
      </c>
      <c r="U445" s="134">
        <f>ROUNDUP(商品マスタ[[#This Row],[仕入単価+国内送料]]/0.8,-1)</f>
        <v>400</v>
      </c>
      <c r="V445" s="134">
        <f>商品マスタ[[#This Row],[海外定価
（20％）]]-商品マスタ[[#This Row],[仕入単価+国内送料]]</f>
        <v>80</v>
      </c>
      <c r="W445" s="87">
        <f>ROUNDUP(商品マスタ[[#This Row],[仕入単価+国内送料]]/0.85,-1)</f>
        <v>380</v>
      </c>
      <c r="X445" s="134">
        <f>商品マスタ[[#This Row],[国内定価
（15％）]]-商品マスタ[[#This Row],[仕入単価+国内送料]]</f>
        <v>60</v>
      </c>
      <c r="Y445" s="139">
        <v>0.08</v>
      </c>
      <c r="Z445" s="87"/>
      <c r="AA445" s="87"/>
      <c r="AB445" s="87"/>
      <c r="AC445" s="140"/>
      <c r="AD445" s="87"/>
      <c r="AE445" s="87"/>
      <c r="AF445" s="87"/>
      <c r="AG445" s="141"/>
    </row>
    <row r="446" spans="1:33" ht="18">
      <c r="A446" s="166" t="s">
        <v>1524</v>
      </c>
      <c r="B446" s="167" t="s">
        <v>1229</v>
      </c>
      <c r="C446" s="167" t="s">
        <v>1255</v>
      </c>
      <c r="D446" s="143" t="str">
        <f>"PRD_SNJ_"&amp;
_xlfn.XLOOKUP(商品マスタ[[#This Row],[仕入先]],テーブル1[仕入先名],テーブル1[仕入先コード],"XXX",0,1)&amp;
"_"&amp;
商品マスタ[[#This Row],[シリアル]]&amp;
"_"&amp;
TEXT(COUNTIFS(商品マスタ!$C$3:C446,商品マスタ[[#This Row],[仕入先]],商品マスタ!$E$3:E446,商品マスタ[[#This Row],[商品名]]), "00")</f>
        <v>PRD_SNJ_YMN_0021_01</v>
      </c>
      <c r="E446" s="87" t="s">
        <v>1323</v>
      </c>
      <c r="F446" s="87">
        <f>IF(COUNTIFS($C$3:C446,商品マスタ[[#This Row],[仕入先]],$E$3:E446,商品マスタ[[#This Row],[商品名]]) = 1, 1,0)</f>
        <v>1</v>
      </c>
      <c r="G446" s="133" t="str">
        <f>TEXT(SUMIF($C$3:C446,商品マスタ[[#This Row],[仕入先]],$F$3:F446), "0000")</f>
        <v>0021</v>
      </c>
      <c r="H446" s="87" t="s">
        <v>481</v>
      </c>
      <c r="I446" s="87" t="s">
        <v>1441</v>
      </c>
      <c r="J446" s="87" t="s">
        <v>1464</v>
      </c>
      <c r="K446" s="87"/>
      <c r="L446" s="134">
        <v>310</v>
      </c>
      <c r="M446" s="157"/>
      <c r="N446" s="134"/>
      <c r="O446" s="135" t="str">
        <f>IF(COUNT(商品マスタ[[#This Row],[参考上代
（税込)]]) &gt; 0, (商品マスタ[[#This Row],[参考上代
（税込)]]-商品マスタ[[#This Row],[国内定価
（15％）]])/(商品マスタ[[#This Row],[参考上代
（税込)]]/1.08), "")</f>
        <v/>
      </c>
      <c r="P446" s="136">
        <v>0.1</v>
      </c>
      <c r="Q446" s="134">
        <f>商品マスタ[[#This Row],[仕入
単価]]*商品マスタ[[#This Row],[標準国内送料率]]</f>
        <v>31</v>
      </c>
      <c r="R446" s="134">
        <v>0</v>
      </c>
      <c r="S446" s="134">
        <f>IF(ISBLANK(商品マスタ[[#This Row],[実績
国内送料]]),商品マスタ[[#This Row],[標準国内送料]],)</f>
        <v>0</v>
      </c>
      <c r="T446" s="134">
        <f>商品マスタ[[#This Row],[仕入
単価]]+商品マスタ[[#This Row],[国内送料]]</f>
        <v>310</v>
      </c>
      <c r="U446" s="134">
        <f>ROUNDUP(商品マスタ[[#This Row],[仕入単価+国内送料]]/0.8,-1)</f>
        <v>390</v>
      </c>
      <c r="V446" s="134">
        <f>商品マスタ[[#This Row],[海外定価
（20％）]]-商品マスタ[[#This Row],[仕入単価+国内送料]]</f>
        <v>80</v>
      </c>
      <c r="W446" s="87">
        <f>ROUNDUP(商品マスタ[[#This Row],[仕入単価+国内送料]]/0.85,-1)</f>
        <v>370</v>
      </c>
      <c r="X446" s="134">
        <f>商品マスタ[[#This Row],[国内定価
（15％）]]-商品マスタ[[#This Row],[仕入単価+国内送料]]</f>
        <v>60</v>
      </c>
      <c r="Y446" s="139">
        <v>0.08</v>
      </c>
      <c r="Z446" s="87"/>
      <c r="AA446" s="87"/>
      <c r="AB446" s="87"/>
      <c r="AC446" s="140"/>
      <c r="AD446" s="87"/>
      <c r="AE446" s="87"/>
      <c r="AF446" s="87"/>
      <c r="AG446" s="141"/>
    </row>
    <row r="447" spans="1:33" ht="18">
      <c r="A447" s="166" t="s">
        <v>1524</v>
      </c>
      <c r="B447" s="167" t="s">
        <v>1229</v>
      </c>
      <c r="C447" s="167" t="s">
        <v>1255</v>
      </c>
      <c r="D447" s="143" t="str">
        <f>"PRD_SNJ_"&amp;
_xlfn.XLOOKUP(商品マスタ[[#This Row],[仕入先]],テーブル1[仕入先名],テーブル1[仕入先コード],"XXX",0,1)&amp;
"_"&amp;
商品マスタ[[#This Row],[シリアル]]&amp;
"_"&amp;
TEXT(COUNTIFS(商品マスタ!$C$3:C447,商品マスタ[[#This Row],[仕入先]],商品マスタ!$E$3:E447,商品マスタ[[#This Row],[商品名]]), "00")</f>
        <v>PRD_SNJ_YMN_0022_01</v>
      </c>
      <c r="E447" s="87" t="s">
        <v>1324</v>
      </c>
      <c r="F447" s="87">
        <f>IF(COUNTIFS($C$3:C447,商品マスタ[[#This Row],[仕入先]],$E$3:E447,商品マスタ[[#This Row],[商品名]]) = 1, 1,0)</f>
        <v>1</v>
      </c>
      <c r="G447" s="133" t="str">
        <f>TEXT(SUMIF($C$3:C447,商品マスタ[[#This Row],[仕入先]],$F$3:F447), "0000")</f>
        <v>0022</v>
      </c>
      <c r="H447" s="87" t="s">
        <v>481</v>
      </c>
      <c r="I447" s="87" t="s">
        <v>1441</v>
      </c>
      <c r="J447" s="87" t="s">
        <v>1464</v>
      </c>
      <c r="K447" s="87"/>
      <c r="L447" s="134">
        <v>310</v>
      </c>
      <c r="M447" s="157"/>
      <c r="N447" s="134"/>
      <c r="O447" s="135" t="str">
        <f>IF(COUNT(商品マスタ[[#This Row],[参考上代
（税込)]]) &gt; 0, (商品マスタ[[#This Row],[参考上代
（税込)]]-商品マスタ[[#This Row],[国内定価
（15％）]])/(商品マスタ[[#This Row],[参考上代
（税込)]]/1.08), "")</f>
        <v/>
      </c>
      <c r="P447" s="136">
        <v>0.1</v>
      </c>
      <c r="Q447" s="134">
        <f>商品マスタ[[#This Row],[仕入
単価]]*商品マスタ[[#This Row],[標準国内送料率]]</f>
        <v>31</v>
      </c>
      <c r="R447" s="134">
        <v>0</v>
      </c>
      <c r="S447" s="134">
        <f>IF(ISBLANK(商品マスタ[[#This Row],[実績
国内送料]]),商品マスタ[[#This Row],[標準国内送料]],)</f>
        <v>0</v>
      </c>
      <c r="T447" s="134">
        <f>商品マスタ[[#This Row],[仕入
単価]]+商品マスタ[[#This Row],[国内送料]]</f>
        <v>310</v>
      </c>
      <c r="U447" s="134">
        <f>ROUNDUP(商品マスタ[[#This Row],[仕入単価+国内送料]]/0.8,-1)</f>
        <v>390</v>
      </c>
      <c r="V447" s="134">
        <f>商品マスタ[[#This Row],[海外定価
（20％）]]-商品マスタ[[#This Row],[仕入単価+国内送料]]</f>
        <v>80</v>
      </c>
      <c r="W447" s="87">
        <f>ROUNDUP(商品マスタ[[#This Row],[仕入単価+国内送料]]/0.85,-1)</f>
        <v>370</v>
      </c>
      <c r="X447" s="134">
        <f>商品マスタ[[#This Row],[国内定価
（15％）]]-商品マスタ[[#This Row],[仕入単価+国内送料]]</f>
        <v>60</v>
      </c>
      <c r="Y447" s="139">
        <v>0.08</v>
      </c>
      <c r="Z447" s="87"/>
      <c r="AA447" s="87"/>
      <c r="AB447" s="87"/>
      <c r="AC447" s="140"/>
      <c r="AD447" s="87"/>
      <c r="AE447" s="87"/>
      <c r="AF447" s="87"/>
      <c r="AG447" s="141"/>
    </row>
    <row r="448" spans="1:33" ht="18">
      <c r="A448" s="166" t="s">
        <v>1524</v>
      </c>
      <c r="B448" s="167" t="s">
        <v>1229</v>
      </c>
      <c r="C448" s="167" t="s">
        <v>1255</v>
      </c>
      <c r="D448" s="143" t="str">
        <f>"PRD_SNJ_"&amp;
_xlfn.XLOOKUP(商品マスタ[[#This Row],[仕入先]],テーブル1[仕入先名],テーブル1[仕入先コード],"XXX",0,1)&amp;
"_"&amp;
商品マスタ[[#This Row],[シリアル]]&amp;
"_"&amp;
TEXT(COUNTIFS(商品マスタ!$C$3:C448,商品マスタ[[#This Row],[仕入先]],商品マスタ!$E$3:E448,商品マスタ[[#This Row],[商品名]]), "00")</f>
        <v>PRD_SNJ_YMN_0023_01</v>
      </c>
      <c r="E448" s="87" t="s">
        <v>1325</v>
      </c>
      <c r="F448" s="87">
        <f>IF(COUNTIFS($C$3:C448,商品マスタ[[#This Row],[仕入先]],$E$3:E448,商品マスタ[[#This Row],[商品名]]) = 1, 1,0)</f>
        <v>1</v>
      </c>
      <c r="G448" s="133" t="str">
        <f>TEXT(SUMIF($C$3:C448,商品マスタ[[#This Row],[仕入先]],$F$3:F448), "0000")</f>
        <v>0023</v>
      </c>
      <c r="H448" s="87" t="s">
        <v>481</v>
      </c>
      <c r="I448" s="87" t="s">
        <v>231</v>
      </c>
      <c r="J448" s="87" t="s">
        <v>1464</v>
      </c>
      <c r="K448" s="87"/>
      <c r="L448" s="134">
        <v>310</v>
      </c>
      <c r="M448" s="157"/>
      <c r="N448" s="134"/>
      <c r="O448" s="135" t="str">
        <f>IF(COUNT(商品マスタ[[#This Row],[参考上代
（税込)]]) &gt; 0, (商品マスタ[[#This Row],[参考上代
（税込)]]-商品マスタ[[#This Row],[国内定価
（15％）]])/(商品マスタ[[#This Row],[参考上代
（税込)]]/1.08), "")</f>
        <v/>
      </c>
      <c r="P448" s="136">
        <v>0.1</v>
      </c>
      <c r="Q448" s="134">
        <f>商品マスタ[[#This Row],[仕入
単価]]*商品マスタ[[#This Row],[標準国内送料率]]</f>
        <v>31</v>
      </c>
      <c r="R448" s="134">
        <v>0</v>
      </c>
      <c r="S448" s="134">
        <f>IF(ISBLANK(商品マスタ[[#This Row],[実績
国内送料]]),商品マスタ[[#This Row],[標準国内送料]],)</f>
        <v>0</v>
      </c>
      <c r="T448" s="134">
        <f>商品マスタ[[#This Row],[仕入
単価]]+商品マスタ[[#This Row],[国内送料]]</f>
        <v>310</v>
      </c>
      <c r="U448" s="134">
        <f>ROUNDUP(商品マスタ[[#This Row],[仕入単価+国内送料]]/0.8,-1)</f>
        <v>390</v>
      </c>
      <c r="V448" s="134">
        <f>商品マスタ[[#This Row],[海外定価
（20％）]]-商品マスタ[[#This Row],[仕入単価+国内送料]]</f>
        <v>80</v>
      </c>
      <c r="W448" s="87">
        <f>ROUNDUP(商品マスタ[[#This Row],[仕入単価+国内送料]]/0.85,-1)</f>
        <v>370</v>
      </c>
      <c r="X448" s="134">
        <f>商品マスタ[[#This Row],[国内定価
（15％）]]-商品マスタ[[#This Row],[仕入単価+国内送料]]</f>
        <v>60</v>
      </c>
      <c r="Y448" s="139">
        <v>0.08</v>
      </c>
      <c r="Z448" s="87"/>
      <c r="AA448" s="87"/>
      <c r="AB448" s="87"/>
      <c r="AC448" s="140"/>
      <c r="AD448" s="87"/>
      <c r="AE448" s="87"/>
      <c r="AF448" s="87"/>
      <c r="AG448" s="141"/>
    </row>
    <row r="449" spans="1:33" ht="18">
      <c r="A449" s="166" t="s">
        <v>1524</v>
      </c>
      <c r="B449" s="167" t="s">
        <v>1229</v>
      </c>
      <c r="C449" s="167" t="s">
        <v>1255</v>
      </c>
      <c r="D449" s="143" t="str">
        <f>"PRD_SNJ_"&amp;
_xlfn.XLOOKUP(商品マスタ[[#This Row],[仕入先]],テーブル1[仕入先名],テーブル1[仕入先コード],"XXX",0,1)&amp;
"_"&amp;
商品マスタ[[#This Row],[シリアル]]&amp;
"_"&amp;
TEXT(COUNTIFS(商品マスタ!$C$3:C449,商品マスタ[[#This Row],[仕入先]],商品マスタ!$E$3:E449,商品マスタ[[#This Row],[商品名]]), "00")</f>
        <v>PRD_SNJ_YMN_0024_01</v>
      </c>
      <c r="E449" s="87" t="s">
        <v>1326</v>
      </c>
      <c r="F449" s="87">
        <f>IF(COUNTIFS($C$3:C449,商品マスタ[[#This Row],[仕入先]],$E$3:E449,商品マスタ[[#This Row],[商品名]]) = 1, 1,0)</f>
        <v>1</v>
      </c>
      <c r="G449" s="133" t="str">
        <f>TEXT(SUMIF($C$3:C449,商品マスタ[[#This Row],[仕入先]],$F$3:F449), "0000")</f>
        <v>0024</v>
      </c>
      <c r="H449" s="87" t="s">
        <v>481</v>
      </c>
      <c r="I449" s="87" t="s">
        <v>1442</v>
      </c>
      <c r="J449" s="87" t="s">
        <v>1464</v>
      </c>
      <c r="K449" s="87"/>
      <c r="L449" s="134">
        <v>260</v>
      </c>
      <c r="M449" s="157"/>
      <c r="N449" s="134"/>
      <c r="O449" s="135" t="str">
        <f>IF(COUNT(商品マスタ[[#This Row],[参考上代
（税込)]]) &gt; 0, (商品マスタ[[#This Row],[参考上代
（税込)]]-商品マスタ[[#This Row],[国内定価
（15％）]])/(商品マスタ[[#This Row],[参考上代
（税込)]]/1.08), "")</f>
        <v/>
      </c>
      <c r="P449" s="136">
        <v>0.1</v>
      </c>
      <c r="Q449" s="134">
        <f>商品マスタ[[#This Row],[仕入
単価]]*商品マスタ[[#This Row],[標準国内送料率]]</f>
        <v>26</v>
      </c>
      <c r="R449" s="134">
        <v>0</v>
      </c>
      <c r="S449" s="134">
        <f>IF(ISBLANK(商品マスタ[[#This Row],[実績
国内送料]]),商品マスタ[[#This Row],[標準国内送料]],)</f>
        <v>0</v>
      </c>
      <c r="T449" s="134">
        <f>商品マスタ[[#This Row],[仕入
単価]]+商品マスタ[[#This Row],[国内送料]]</f>
        <v>260</v>
      </c>
      <c r="U449" s="134">
        <f>ROUNDUP(商品マスタ[[#This Row],[仕入単価+国内送料]]/0.8,-1)</f>
        <v>330</v>
      </c>
      <c r="V449" s="134">
        <f>商品マスタ[[#This Row],[海外定価
（20％）]]-商品マスタ[[#This Row],[仕入単価+国内送料]]</f>
        <v>70</v>
      </c>
      <c r="W449" s="87">
        <f>ROUNDUP(商品マスタ[[#This Row],[仕入単価+国内送料]]/0.85,-1)</f>
        <v>310</v>
      </c>
      <c r="X449" s="134">
        <f>商品マスタ[[#This Row],[国内定価
（15％）]]-商品マスタ[[#This Row],[仕入単価+国内送料]]</f>
        <v>50</v>
      </c>
      <c r="Y449" s="139">
        <v>0.08</v>
      </c>
      <c r="Z449" s="87"/>
      <c r="AA449" s="87"/>
      <c r="AB449" s="87"/>
      <c r="AC449" s="140"/>
      <c r="AD449" s="87"/>
      <c r="AE449" s="87"/>
      <c r="AF449" s="87"/>
      <c r="AG449" s="141"/>
    </row>
    <row r="450" spans="1:33" ht="18">
      <c r="A450" s="166" t="s">
        <v>1524</v>
      </c>
      <c r="B450" s="167" t="s">
        <v>1229</v>
      </c>
      <c r="C450" s="167" t="s">
        <v>1255</v>
      </c>
      <c r="D450" s="143" t="str">
        <f>"PRD_SNJ_"&amp;
_xlfn.XLOOKUP(商品マスタ[[#This Row],[仕入先]],テーブル1[仕入先名],テーブル1[仕入先コード],"XXX",0,1)&amp;
"_"&amp;
商品マスタ[[#This Row],[シリアル]]&amp;
"_"&amp;
TEXT(COUNTIFS(商品マスタ!$C$3:C450,商品マスタ[[#This Row],[仕入先]],商品マスタ!$E$3:E450,商品マスタ[[#This Row],[商品名]]), "00")</f>
        <v>PRD_SNJ_YMN_0025_01</v>
      </c>
      <c r="E450" s="87" t="s">
        <v>1327</v>
      </c>
      <c r="F450" s="87">
        <f>IF(COUNTIFS($C$3:C450,商品マスタ[[#This Row],[仕入先]],$E$3:E450,商品マスタ[[#This Row],[商品名]]) = 1, 1,0)</f>
        <v>1</v>
      </c>
      <c r="G450" s="133" t="str">
        <f>TEXT(SUMIF($C$3:C450,商品マスタ[[#This Row],[仕入先]],$F$3:F450), "0000")</f>
        <v>0025</v>
      </c>
      <c r="H450" s="87" t="s">
        <v>481</v>
      </c>
      <c r="I450" s="87" t="s">
        <v>1443</v>
      </c>
      <c r="J450" s="87" t="s">
        <v>1464</v>
      </c>
      <c r="K450" s="87"/>
      <c r="L450" s="134">
        <v>330</v>
      </c>
      <c r="M450" s="157"/>
      <c r="N450" s="134"/>
      <c r="O450" s="135" t="str">
        <f>IF(COUNT(商品マスタ[[#This Row],[参考上代
（税込)]]) &gt; 0, (商品マスタ[[#This Row],[参考上代
（税込)]]-商品マスタ[[#This Row],[国内定価
（15％）]])/(商品マスタ[[#This Row],[参考上代
（税込)]]/1.08), "")</f>
        <v/>
      </c>
      <c r="P450" s="136">
        <v>0.1</v>
      </c>
      <c r="Q450" s="134">
        <f>商品マスタ[[#This Row],[仕入
単価]]*商品マスタ[[#This Row],[標準国内送料率]]</f>
        <v>33</v>
      </c>
      <c r="R450" s="134">
        <v>0</v>
      </c>
      <c r="S450" s="134">
        <f>IF(ISBLANK(商品マスタ[[#This Row],[実績
国内送料]]),商品マスタ[[#This Row],[標準国内送料]],)</f>
        <v>0</v>
      </c>
      <c r="T450" s="134">
        <f>商品マスタ[[#This Row],[仕入
単価]]+商品マスタ[[#This Row],[国内送料]]</f>
        <v>330</v>
      </c>
      <c r="U450" s="134">
        <f>ROUNDUP(商品マスタ[[#This Row],[仕入単価+国内送料]]/0.8,-1)</f>
        <v>420</v>
      </c>
      <c r="V450" s="134">
        <f>商品マスタ[[#This Row],[海外定価
（20％）]]-商品マスタ[[#This Row],[仕入単価+国内送料]]</f>
        <v>90</v>
      </c>
      <c r="W450" s="87">
        <f>ROUNDUP(商品マスタ[[#This Row],[仕入単価+国内送料]]/0.85,-1)</f>
        <v>390</v>
      </c>
      <c r="X450" s="134">
        <f>商品マスタ[[#This Row],[国内定価
（15％）]]-商品マスタ[[#This Row],[仕入単価+国内送料]]</f>
        <v>60</v>
      </c>
      <c r="Y450" s="139">
        <v>0.08</v>
      </c>
      <c r="Z450" s="87"/>
      <c r="AA450" s="87"/>
      <c r="AB450" s="87"/>
      <c r="AC450" s="140"/>
      <c r="AD450" s="87"/>
      <c r="AE450" s="87"/>
      <c r="AF450" s="87"/>
      <c r="AG450" s="141"/>
    </row>
    <row r="451" spans="1:33" ht="18">
      <c r="A451" s="166" t="s">
        <v>1524</v>
      </c>
      <c r="B451" s="167" t="s">
        <v>1229</v>
      </c>
      <c r="C451" s="167" t="s">
        <v>1255</v>
      </c>
      <c r="D451" s="143" t="str">
        <f>"PRD_SNJ_"&amp;
_xlfn.XLOOKUP(商品マスタ[[#This Row],[仕入先]],テーブル1[仕入先名],テーブル1[仕入先コード],"XXX",0,1)&amp;
"_"&amp;
商品マスタ[[#This Row],[シリアル]]&amp;
"_"&amp;
TEXT(COUNTIFS(商品マスタ!$C$3:C451,商品マスタ[[#This Row],[仕入先]],商品マスタ!$E$3:E451,商品マスタ[[#This Row],[商品名]]), "00")</f>
        <v>PRD_SNJ_YMN_0026_01</v>
      </c>
      <c r="E451" s="87" t="s">
        <v>1328</v>
      </c>
      <c r="F451" s="87">
        <f>IF(COUNTIFS($C$3:C451,商品マスタ[[#This Row],[仕入先]],$E$3:E451,商品マスタ[[#This Row],[商品名]]) = 1, 1,0)</f>
        <v>1</v>
      </c>
      <c r="G451" s="133" t="str">
        <f>TEXT(SUMIF($C$3:C451,商品マスタ[[#This Row],[仕入先]],$F$3:F451), "0000")</f>
        <v>0026</v>
      </c>
      <c r="H451" s="87" t="s">
        <v>481</v>
      </c>
      <c r="I451" s="87" t="s">
        <v>1444</v>
      </c>
      <c r="J451" s="87" t="s">
        <v>1464</v>
      </c>
      <c r="K451" s="87"/>
      <c r="L451" s="134">
        <v>420</v>
      </c>
      <c r="M451" s="157"/>
      <c r="N451" s="134"/>
      <c r="O451" s="135" t="str">
        <f>IF(COUNT(商品マスタ[[#This Row],[参考上代
（税込)]]) &gt; 0, (商品マスタ[[#This Row],[参考上代
（税込)]]-商品マスタ[[#This Row],[国内定価
（15％）]])/(商品マスタ[[#This Row],[参考上代
（税込)]]/1.08), "")</f>
        <v/>
      </c>
      <c r="P451" s="136">
        <v>0.1</v>
      </c>
      <c r="Q451" s="134">
        <f>商品マスタ[[#This Row],[仕入
単価]]*商品マスタ[[#This Row],[標準国内送料率]]</f>
        <v>42</v>
      </c>
      <c r="R451" s="134">
        <v>0</v>
      </c>
      <c r="S451" s="134">
        <f>IF(ISBLANK(商品マスタ[[#This Row],[実績
国内送料]]),商品マスタ[[#This Row],[標準国内送料]],)</f>
        <v>0</v>
      </c>
      <c r="T451" s="134">
        <f>商品マスタ[[#This Row],[仕入
単価]]+商品マスタ[[#This Row],[国内送料]]</f>
        <v>420</v>
      </c>
      <c r="U451" s="134">
        <f>ROUNDUP(商品マスタ[[#This Row],[仕入単価+国内送料]]/0.8,-1)</f>
        <v>530</v>
      </c>
      <c r="V451" s="134">
        <f>商品マスタ[[#This Row],[海外定価
（20％）]]-商品マスタ[[#This Row],[仕入単価+国内送料]]</f>
        <v>110</v>
      </c>
      <c r="W451" s="87">
        <f>ROUNDUP(商品マスタ[[#This Row],[仕入単価+国内送料]]/0.85,-1)</f>
        <v>500</v>
      </c>
      <c r="X451" s="134">
        <f>商品マスタ[[#This Row],[国内定価
（15％）]]-商品マスタ[[#This Row],[仕入単価+国内送料]]</f>
        <v>80</v>
      </c>
      <c r="Y451" s="139">
        <v>0.08</v>
      </c>
      <c r="Z451" s="87"/>
      <c r="AA451" s="87"/>
      <c r="AB451" s="87"/>
      <c r="AC451" s="140"/>
      <c r="AD451" s="87"/>
      <c r="AE451" s="87"/>
      <c r="AF451" s="87"/>
      <c r="AG451" s="141"/>
    </row>
    <row r="452" spans="1:33" ht="18">
      <c r="A452" s="166" t="s">
        <v>1524</v>
      </c>
      <c r="B452" s="167" t="s">
        <v>1229</v>
      </c>
      <c r="C452" s="167" t="s">
        <v>1255</v>
      </c>
      <c r="D452" s="143" t="str">
        <f>"PRD_SNJ_"&amp;
_xlfn.XLOOKUP(商品マスタ[[#This Row],[仕入先]],テーブル1[仕入先名],テーブル1[仕入先コード],"XXX",0,1)&amp;
"_"&amp;
商品マスタ[[#This Row],[シリアル]]&amp;
"_"&amp;
TEXT(COUNTIFS(商品マスタ!$C$3:C452,商品マスタ[[#This Row],[仕入先]],商品マスタ!$E$3:E452,商品マスタ[[#This Row],[商品名]]), "00")</f>
        <v>PRD_SNJ_YMN_0027_01</v>
      </c>
      <c r="E452" s="87" t="s">
        <v>1329</v>
      </c>
      <c r="F452" s="87">
        <f>IF(COUNTIFS($C$3:C452,商品マスタ[[#This Row],[仕入先]],$E$3:E452,商品マスタ[[#This Row],[商品名]]) = 1, 1,0)</f>
        <v>1</v>
      </c>
      <c r="G452" s="133" t="str">
        <f>TEXT(SUMIF($C$3:C452,商品マスタ[[#This Row],[仕入先]],$F$3:F452), "0000")</f>
        <v>0027</v>
      </c>
      <c r="H452" s="87" t="s">
        <v>481</v>
      </c>
      <c r="I452" s="87" t="s">
        <v>231</v>
      </c>
      <c r="J452" s="87" t="s">
        <v>1464</v>
      </c>
      <c r="K452" s="87"/>
      <c r="L452" s="134">
        <v>350</v>
      </c>
      <c r="M452" s="157"/>
      <c r="N452" s="134"/>
      <c r="O452" s="135" t="str">
        <f>IF(COUNT(商品マスタ[[#This Row],[参考上代
（税込)]]) &gt; 0, (商品マスタ[[#This Row],[参考上代
（税込)]]-商品マスタ[[#This Row],[国内定価
（15％）]])/(商品マスタ[[#This Row],[参考上代
（税込)]]/1.08), "")</f>
        <v/>
      </c>
      <c r="P452" s="136">
        <v>0.1</v>
      </c>
      <c r="Q452" s="134">
        <f>商品マスタ[[#This Row],[仕入
単価]]*商品マスタ[[#This Row],[標準国内送料率]]</f>
        <v>35</v>
      </c>
      <c r="R452" s="134">
        <v>0</v>
      </c>
      <c r="S452" s="134">
        <f>IF(ISBLANK(商品マスタ[[#This Row],[実績
国内送料]]),商品マスタ[[#This Row],[標準国内送料]],)</f>
        <v>0</v>
      </c>
      <c r="T452" s="134">
        <f>商品マスタ[[#This Row],[仕入
単価]]+商品マスタ[[#This Row],[国内送料]]</f>
        <v>350</v>
      </c>
      <c r="U452" s="134">
        <f>ROUNDUP(商品マスタ[[#This Row],[仕入単価+国内送料]]/0.8,-1)</f>
        <v>440</v>
      </c>
      <c r="V452" s="134">
        <f>商品マスタ[[#This Row],[海外定価
（20％）]]-商品マスタ[[#This Row],[仕入単価+国内送料]]</f>
        <v>90</v>
      </c>
      <c r="W452" s="87">
        <f>ROUNDUP(商品マスタ[[#This Row],[仕入単価+国内送料]]/0.85,-1)</f>
        <v>420</v>
      </c>
      <c r="X452" s="134">
        <f>商品マスタ[[#This Row],[国内定価
（15％）]]-商品マスタ[[#This Row],[仕入単価+国内送料]]</f>
        <v>70</v>
      </c>
      <c r="Y452" s="139">
        <v>0.08</v>
      </c>
      <c r="Z452" s="87"/>
      <c r="AA452" s="87"/>
      <c r="AB452" s="87"/>
      <c r="AC452" s="140"/>
      <c r="AD452" s="87"/>
      <c r="AE452" s="87"/>
      <c r="AF452" s="87"/>
      <c r="AG452" s="141"/>
    </row>
    <row r="453" spans="1:33" ht="18">
      <c r="A453" s="166" t="s">
        <v>1524</v>
      </c>
      <c r="B453" s="167" t="s">
        <v>1229</v>
      </c>
      <c r="C453" s="167" t="s">
        <v>1255</v>
      </c>
      <c r="D453" s="143" t="str">
        <f>"PRD_SNJ_"&amp;
_xlfn.XLOOKUP(商品マスタ[[#This Row],[仕入先]],テーブル1[仕入先名],テーブル1[仕入先コード],"XXX",0,1)&amp;
"_"&amp;
商品マスタ[[#This Row],[シリアル]]&amp;
"_"&amp;
TEXT(COUNTIFS(商品マスタ!$C$3:C453,商品マスタ[[#This Row],[仕入先]],商品マスタ!$E$3:E453,商品マスタ[[#This Row],[商品名]]), "00")</f>
        <v>PRD_SNJ_YMN_0028_01</v>
      </c>
      <c r="E453" s="87" t="s">
        <v>1330</v>
      </c>
      <c r="F453" s="87">
        <f>IF(COUNTIFS($C$3:C453,商品マスタ[[#This Row],[仕入先]],$E$3:E453,商品マスタ[[#This Row],[商品名]]) = 1, 1,0)</f>
        <v>1</v>
      </c>
      <c r="G453" s="133" t="str">
        <f>TEXT(SUMIF($C$3:C453,商品マスタ[[#This Row],[仕入先]],$F$3:F453), "0000")</f>
        <v>0028</v>
      </c>
      <c r="H453" s="87" t="s">
        <v>481</v>
      </c>
      <c r="I453" s="87" t="s">
        <v>1437</v>
      </c>
      <c r="J453" s="87" t="s">
        <v>1464</v>
      </c>
      <c r="K453" s="87"/>
      <c r="L453" s="134">
        <v>280</v>
      </c>
      <c r="M453" s="157"/>
      <c r="N453" s="134"/>
      <c r="O453" s="135" t="str">
        <f>IF(COUNT(商品マスタ[[#This Row],[参考上代
（税込)]]) &gt; 0, (商品マスタ[[#This Row],[参考上代
（税込)]]-商品マスタ[[#This Row],[国内定価
（15％）]])/(商品マスタ[[#This Row],[参考上代
（税込)]]/1.08), "")</f>
        <v/>
      </c>
      <c r="P453" s="136">
        <v>0.1</v>
      </c>
      <c r="Q453" s="134">
        <f>商品マスタ[[#This Row],[仕入
単価]]*商品マスタ[[#This Row],[標準国内送料率]]</f>
        <v>28</v>
      </c>
      <c r="R453" s="134">
        <v>0</v>
      </c>
      <c r="S453" s="134">
        <f>IF(ISBLANK(商品マスタ[[#This Row],[実績
国内送料]]),商品マスタ[[#This Row],[標準国内送料]],)</f>
        <v>0</v>
      </c>
      <c r="T453" s="134">
        <f>商品マスタ[[#This Row],[仕入
単価]]+商品マスタ[[#This Row],[国内送料]]</f>
        <v>280</v>
      </c>
      <c r="U453" s="134">
        <f>ROUNDUP(商品マスタ[[#This Row],[仕入単価+国内送料]]/0.8,-1)</f>
        <v>350</v>
      </c>
      <c r="V453" s="134">
        <f>商品マスタ[[#This Row],[海外定価
（20％）]]-商品マスタ[[#This Row],[仕入単価+国内送料]]</f>
        <v>70</v>
      </c>
      <c r="W453" s="87">
        <f>ROUNDUP(商品マスタ[[#This Row],[仕入単価+国内送料]]/0.85,-1)</f>
        <v>330</v>
      </c>
      <c r="X453" s="134">
        <f>商品マスタ[[#This Row],[国内定価
（15％）]]-商品マスタ[[#This Row],[仕入単価+国内送料]]</f>
        <v>50</v>
      </c>
      <c r="Y453" s="139">
        <v>0.08</v>
      </c>
      <c r="Z453" s="87"/>
      <c r="AA453" s="87"/>
      <c r="AB453" s="87"/>
      <c r="AC453" s="140"/>
      <c r="AD453" s="87"/>
      <c r="AE453" s="87"/>
      <c r="AF453" s="87"/>
      <c r="AG453" s="141"/>
    </row>
    <row r="454" spans="1:33" ht="18">
      <c r="A454" s="166" t="s">
        <v>1524</v>
      </c>
      <c r="B454" s="167" t="s">
        <v>1229</v>
      </c>
      <c r="C454" s="167" t="s">
        <v>1256</v>
      </c>
      <c r="D454" s="143" t="str">
        <f>"PRD_SNJ_"&amp;
_xlfn.XLOOKUP(商品マスタ[[#This Row],[仕入先]],テーブル1[仕入先名],テーブル1[仕入先コード],"XXX",0,1)&amp;
"_"&amp;
商品マスタ[[#This Row],[シリアル]]&amp;
"_"&amp;
TEXT(COUNTIFS(商品マスタ!$C$3:C454,商品マスタ[[#This Row],[仕入先]],商品マスタ!$E$3:E454,商品マスタ[[#This Row],[商品名]]), "00")</f>
        <v>PRD_SNJ_OTS_0005_01</v>
      </c>
      <c r="E454" s="87" t="s">
        <v>1331</v>
      </c>
      <c r="F454" s="87">
        <f>IF(COUNTIFS($C$3:C454,商品マスタ[[#This Row],[仕入先]],$E$3:E454,商品マスタ[[#This Row],[商品名]]) = 1, 1,0)</f>
        <v>1</v>
      </c>
      <c r="G454" s="133" t="str">
        <f>TEXT(SUMIF($C$3:C454,商品マスタ[[#This Row],[仕入先]],$F$3:F454), "0000")</f>
        <v>0005</v>
      </c>
      <c r="H454" s="87" t="s">
        <v>481</v>
      </c>
      <c r="I454" s="87" t="s">
        <v>251</v>
      </c>
      <c r="J454" s="87" t="s">
        <v>1465</v>
      </c>
      <c r="K454" s="87"/>
      <c r="L454" s="134">
        <v>365</v>
      </c>
      <c r="M454" s="157"/>
      <c r="N454" s="134"/>
      <c r="O454" s="135" t="str">
        <f>IF(COUNT(商品マスタ[[#This Row],[参考上代
（税込)]]) &gt; 0, (商品マスタ[[#This Row],[参考上代
（税込)]]-商品マスタ[[#This Row],[国内定価
（15％）]])/(商品マスタ[[#This Row],[参考上代
（税込)]]/1.08), "")</f>
        <v/>
      </c>
      <c r="P454" s="136">
        <v>0.1</v>
      </c>
      <c r="Q454" s="134">
        <f>商品マスタ[[#This Row],[仕入
単価]]*商品マスタ[[#This Row],[標準国内送料率]]</f>
        <v>36.5</v>
      </c>
      <c r="R454" s="134">
        <v>0</v>
      </c>
      <c r="S454" s="134">
        <f>IF(ISBLANK(商品マスタ[[#This Row],[実績
国内送料]]),商品マスタ[[#This Row],[標準国内送料]],)</f>
        <v>0</v>
      </c>
      <c r="T454" s="134">
        <f>商品マスタ[[#This Row],[仕入
単価]]+商品マスタ[[#This Row],[国内送料]]</f>
        <v>365</v>
      </c>
      <c r="U454" s="134">
        <f>ROUNDUP(商品マスタ[[#This Row],[仕入単価+国内送料]]/0.8,-1)</f>
        <v>460</v>
      </c>
      <c r="V454" s="134">
        <f>商品マスタ[[#This Row],[海外定価
（20％）]]-商品マスタ[[#This Row],[仕入単価+国内送料]]</f>
        <v>95</v>
      </c>
      <c r="W454" s="87">
        <f>ROUNDUP(商品マスタ[[#This Row],[仕入単価+国内送料]]/0.85,-1)</f>
        <v>430</v>
      </c>
      <c r="X454" s="134">
        <f>商品マスタ[[#This Row],[国内定価
（15％）]]-商品マスタ[[#This Row],[仕入単価+国内送料]]</f>
        <v>65</v>
      </c>
      <c r="Y454" s="139">
        <v>0.08</v>
      </c>
      <c r="Z454" s="87"/>
      <c r="AA454" s="87"/>
      <c r="AB454" s="87"/>
      <c r="AC454" s="140"/>
      <c r="AD454" s="87"/>
      <c r="AE454" s="87"/>
      <c r="AF454" s="87"/>
      <c r="AG454" s="141"/>
    </row>
    <row r="455" spans="1:33" ht="18">
      <c r="A455" s="166" t="s">
        <v>1524</v>
      </c>
      <c r="B455" s="167" t="s">
        <v>1229</v>
      </c>
      <c r="C455" s="167" t="s">
        <v>1256</v>
      </c>
      <c r="D455" s="143" t="str">
        <f>"PRD_SNJ_"&amp;
_xlfn.XLOOKUP(商品マスタ[[#This Row],[仕入先]],テーブル1[仕入先名],テーブル1[仕入先コード],"XXX",0,1)&amp;
"_"&amp;
商品マスタ[[#This Row],[シリアル]]&amp;
"_"&amp;
TEXT(COUNTIFS(商品マスタ!$C$3:C455,商品マスタ[[#This Row],[仕入先]],商品マスタ!$E$3:E455,商品マスタ[[#This Row],[商品名]]), "00")</f>
        <v>PRD_SNJ_OTS_0006_01</v>
      </c>
      <c r="E455" s="87" t="s">
        <v>1332</v>
      </c>
      <c r="F455" s="87">
        <f>IF(COUNTIFS($C$3:C455,商品マスタ[[#This Row],[仕入先]],$E$3:E455,商品マスタ[[#This Row],[商品名]]) = 1, 1,0)</f>
        <v>1</v>
      </c>
      <c r="G455" s="133" t="str">
        <f>TEXT(SUMIF($C$3:C455,商品マスタ[[#This Row],[仕入先]],$F$3:F455), "0000")</f>
        <v>0006</v>
      </c>
      <c r="H455" s="87" t="s">
        <v>424</v>
      </c>
      <c r="I455" s="87" t="s">
        <v>1445</v>
      </c>
      <c r="J455" s="87" t="s">
        <v>1465</v>
      </c>
      <c r="K455" s="87"/>
      <c r="L455" s="134" t="s">
        <v>1479</v>
      </c>
      <c r="M455" s="157"/>
      <c r="N455" s="134"/>
      <c r="O455" s="135" t="str">
        <f>IF(COUNT(商品マスタ[[#This Row],[参考上代
（税込)]]) &gt; 0, (商品マスタ[[#This Row],[参考上代
（税込)]]-商品マスタ[[#This Row],[国内定価
（15％）]])/(商品マスタ[[#This Row],[参考上代
（税込)]]/1.08), "")</f>
        <v/>
      </c>
      <c r="P455" s="136">
        <v>0.1</v>
      </c>
      <c r="Q455" s="134" t="e">
        <f>商品マスタ[[#This Row],[仕入
単価]]*商品マスタ[[#This Row],[標準国内送料率]]</f>
        <v>#VALUE!</v>
      </c>
      <c r="R455" s="134">
        <v>0</v>
      </c>
      <c r="S455" s="134">
        <f>IF(ISBLANK(商品マスタ[[#This Row],[実績
国内送料]]),商品マスタ[[#This Row],[標準国内送料]],)</f>
        <v>0</v>
      </c>
      <c r="T455" s="134" t="e">
        <f>商品マスタ[[#This Row],[仕入
単価]]+商品マスタ[[#This Row],[国内送料]]</f>
        <v>#VALUE!</v>
      </c>
      <c r="U455" s="134" t="e">
        <f>ROUNDUP(商品マスタ[[#This Row],[仕入単価+国内送料]]/0.8,-1)</f>
        <v>#VALUE!</v>
      </c>
      <c r="V455" s="134" t="e">
        <f>商品マスタ[[#This Row],[海外定価
（20％）]]-商品マスタ[[#This Row],[仕入単価+国内送料]]</f>
        <v>#VALUE!</v>
      </c>
      <c r="W455" s="87" t="e">
        <f>ROUNDUP(商品マスタ[[#This Row],[仕入単価+国内送料]]/0.85,-1)</f>
        <v>#VALUE!</v>
      </c>
      <c r="X455" s="134" t="e">
        <f>商品マスタ[[#This Row],[国内定価
（15％）]]-商品マスタ[[#This Row],[仕入単価+国内送料]]</f>
        <v>#VALUE!</v>
      </c>
      <c r="Y455" s="139">
        <v>0.08</v>
      </c>
      <c r="Z455" s="87"/>
      <c r="AA455" s="87"/>
      <c r="AB455" s="87"/>
      <c r="AC455" s="140"/>
      <c r="AD455" s="87"/>
      <c r="AE455" s="87"/>
      <c r="AF455" s="87"/>
      <c r="AG455" s="141"/>
    </row>
    <row r="456" spans="1:33" ht="18">
      <c r="A456" s="166" t="s">
        <v>1524</v>
      </c>
      <c r="B456" s="167" t="s">
        <v>1229</v>
      </c>
      <c r="C456" s="167" t="s">
        <v>1256</v>
      </c>
      <c r="D456" s="143" t="str">
        <f>"PRD_SNJ_"&amp;
_xlfn.XLOOKUP(商品マスタ[[#This Row],[仕入先]],テーブル1[仕入先名],テーブル1[仕入先コード],"XXX",0,1)&amp;
"_"&amp;
商品マスタ[[#This Row],[シリアル]]&amp;
"_"&amp;
TEXT(COUNTIFS(商品マスタ!$C$3:C456,商品マスタ[[#This Row],[仕入先]],商品マスタ!$E$3:E456,商品マスタ[[#This Row],[商品名]]), "00")</f>
        <v>PRD_SNJ_OTS_0007_01</v>
      </c>
      <c r="E456" s="87" t="s">
        <v>1333</v>
      </c>
      <c r="F456" s="87">
        <f>IF(COUNTIFS($C$3:C456,商品マスタ[[#This Row],[仕入先]],$E$3:E456,商品マスタ[[#This Row],[商品名]]) = 1, 1,0)</f>
        <v>1</v>
      </c>
      <c r="G456" s="133" t="str">
        <f>TEXT(SUMIF($C$3:C456,商品マスタ[[#This Row],[仕入先]],$F$3:F456), "0000")</f>
        <v>0007</v>
      </c>
      <c r="H456" s="87" t="s">
        <v>795</v>
      </c>
      <c r="I456" s="87" t="s">
        <v>1446</v>
      </c>
      <c r="J456" s="87" t="s">
        <v>1466</v>
      </c>
      <c r="K456" s="87"/>
      <c r="L456" s="134" t="s">
        <v>1479</v>
      </c>
      <c r="M456" s="157"/>
      <c r="N456" s="134"/>
      <c r="O456" s="135" t="str">
        <f>IF(COUNT(商品マスタ[[#This Row],[参考上代
（税込)]]) &gt; 0, (商品マスタ[[#This Row],[参考上代
（税込)]]-商品マスタ[[#This Row],[国内定価
（15％）]])/(商品マスタ[[#This Row],[参考上代
（税込)]]/1.08), "")</f>
        <v/>
      </c>
      <c r="P456" s="136">
        <v>0.1</v>
      </c>
      <c r="Q456" s="134" t="e">
        <f>商品マスタ[[#This Row],[仕入
単価]]*商品マスタ[[#This Row],[標準国内送料率]]</f>
        <v>#VALUE!</v>
      </c>
      <c r="R456" s="134">
        <v>0</v>
      </c>
      <c r="S456" s="134">
        <f>IF(ISBLANK(商品マスタ[[#This Row],[実績
国内送料]]),商品マスタ[[#This Row],[標準国内送料]],)</f>
        <v>0</v>
      </c>
      <c r="T456" s="134" t="e">
        <f>商品マスタ[[#This Row],[仕入
単価]]+商品マスタ[[#This Row],[国内送料]]</f>
        <v>#VALUE!</v>
      </c>
      <c r="U456" s="134" t="e">
        <f>ROUNDUP(商品マスタ[[#This Row],[仕入単価+国内送料]]/0.8,-1)</f>
        <v>#VALUE!</v>
      </c>
      <c r="V456" s="134" t="e">
        <f>商品マスタ[[#This Row],[海外定価
（20％）]]-商品マスタ[[#This Row],[仕入単価+国内送料]]</f>
        <v>#VALUE!</v>
      </c>
      <c r="W456" s="87" t="e">
        <f>ROUNDUP(商品マスタ[[#This Row],[仕入単価+国内送料]]/0.85,-1)</f>
        <v>#VALUE!</v>
      </c>
      <c r="X456" s="134" t="e">
        <f>商品マスタ[[#This Row],[国内定価
（15％）]]-商品マスタ[[#This Row],[仕入単価+国内送料]]</f>
        <v>#VALUE!</v>
      </c>
      <c r="Y456" s="139">
        <v>0.08</v>
      </c>
      <c r="Z456" s="87"/>
      <c r="AA456" s="87"/>
      <c r="AB456" s="87"/>
      <c r="AC456" s="140"/>
      <c r="AD456" s="87"/>
      <c r="AE456" s="87"/>
      <c r="AF456" s="87"/>
      <c r="AG456" s="141"/>
    </row>
    <row r="457" spans="1:33" ht="18">
      <c r="A457" s="166" t="s">
        <v>1524</v>
      </c>
      <c r="B457" s="167" t="s">
        <v>1229</v>
      </c>
      <c r="C457" s="167" t="s">
        <v>1256</v>
      </c>
      <c r="D457" s="143" t="str">
        <f>"PRD_SNJ_"&amp;
_xlfn.XLOOKUP(商品マスタ[[#This Row],[仕入先]],テーブル1[仕入先名],テーブル1[仕入先コード],"XXX",0,1)&amp;
"_"&amp;
商品マスタ[[#This Row],[シリアル]]&amp;
"_"&amp;
TEXT(COUNTIFS(商品マスタ!$C$3:C457,商品マスタ[[#This Row],[仕入先]],商品マスタ!$E$3:E457,商品マスタ[[#This Row],[商品名]]), "00")</f>
        <v>PRD_SNJ_OTS_0008_01</v>
      </c>
      <c r="E457" s="87" t="s">
        <v>1334</v>
      </c>
      <c r="F457" s="87">
        <f>IF(COUNTIFS($C$3:C457,商品マスタ[[#This Row],[仕入先]],$E$3:E457,商品マスタ[[#This Row],[商品名]]) = 1, 1,0)</f>
        <v>1</v>
      </c>
      <c r="G457" s="133" t="str">
        <f>TEXT(SUMIF($C$3:C457,商品マスタ[[#This Row],[仕入先]],$F$3:F457), "0000")</f>
        <v>0008</v>
      </c>
      <c r="H457" s="87" t="s">
        <v>795</v>
      </c>
      <c r="I457" s="87" t="s">
        <v>1446</v>
      </c>
      <c r="J457" s="87" t="s">
        <v>1466</v>
      </c>
      <c r="K457" s="87"/>
      <c r="L457" s="134" t="s">
        <v>1479</v>
      </c>
      <c r="M457" s="157"/>
      <c r="N457" s="134"/>
      <c r="O457" s="135" t="str">
        <f>IF(COUNT(商品マスタ[[#This Row],[参考上代
（税込)]]) &gt; 0, (商品マスタ[[#This Row],[参考上代
（税込)]]-商品マスタ[[#This Row],[国内定価
（15％）]])/(商品マスタ[[#This Row],[参考上代
（税込)]]/1.08), "")</f>
        <v/>
      </c>
      <c r="P457" s="136">
        <v>0.1</v>
      </c>
      <c r="Q457" s="134" t="e">
        <f>商品マスタ[[#This Row],[仕入
単価]]*商品マスタ[[#This Row],[標準国内送料率]]</f>
        <v>#VALUE!</v>
      </c>
      <c r="R457" s="134">
        <v>0</v>
      </c>
      <c r="S457" s="134">
        <f>IF(ISBLANK(商品マスタ[[#This Row],[実績
国内送料]]),商品マスタ[[#This Row],[標準国内送料]],)</f>
        <v>0</v>
      </c>
      <c r="T457" s="134" t="e">
        <f>商品マスタ[[#This Row],[仕入
単価]]+商品マスタ[[#This Row],[国内送料]]</f>
        <v>#VALUE!</v>
      </c>
      <c r="U457" s="134" t="e">
        <f>ROUNDUP(商品マスタ[[#This Row],[仕入単価+国内送料]]/0.8,-1)</f>
        <v>#VALUE!</v>
      </c>
      <c r="V457" s="134" t="e">
        <f>商品マスタ[[#This Row],[海外定価
（20％）]]-商品マスタ[[#This Row],[仕入単価+国内送料]]</f>
        <v>#VALUE!</v>
      </c>
      <c r="W457" s="87" t="e">
        <f>ROUNDUP(商品マスタ[[#This Row],[仕入単価+国内送料]]/0.85,-1)</f>
        <v>#VALUE!</v>
      </c>
      <c r="X457" s="134" t="e">
        <f>商品マスタ[[#This Row],[国内定価
（15％）]]-商品マスタ[[#This Row],[仕入単価+国内送料]]</f>
        <v>#VALUE!</v>
      </c>
      <c r="Y457" s="139">
        <v>0.08</v>
      </c>
      <c r="Z457" s="87"/>
      <c r="AA457" s="87"/>
      <c r="AB457" s="87"/>
      <c r="AC457" s="140"/>
      <c r="AD457" s="87"/>
      <c r="AE457" s="87"/>
      <c r="AF457" s="87"/>
      <c r="AG457" s="141"/>
    </row>
    <row r="458" spans="1:33" ht="18">
      <c r="A458" s="166" t="s">
        <v>1524</v>
      </c>
      <c r="B458" s="167" t="s">
        <v>1229</v>
      </c>
      <c r="C458" s="167" t="s">
        <v>1256</v>
      </c>
      <c r="D458" s="143" t="str">
        <f>"PRD_SNJ_"&amp;
_xlfn.XLOOKUP(商品マスタ[[#This Row],[仕入先]],テーブル1[仕入先名],テーブル1[仕入先コード],"XXX",0,1)&amp;
"_"&amp;
商品マスタ[[#This Row],[シリアル]]&amp;
"_"&amp;
TEXT(COUNTIFS(商品マスタ!$C$3:C458,商品マスタ[[#This Row],[仕入先]],商品マスタ!$E$3:E458,商品マスタ[[#This Row],[商品名]]), "00")</f>
        <v>PRD_SNJ_OTS_0009_01</v>
      </c>
      <c r="E458" s="87" t="s">
        <v>1335</v>
      </c>
      <c r="F458" s="87">
        <f>IF(COUNTIFS($C$3:C458,商品マスタ[[#This Row],[仕入先]],$E$3:E458,商品マスタ[[#This Row],[商品名]]) = 1, 1,0)</f>
        <v>1</v>
      </c>
      <c r="G458" s="133" t="str">
        <f>TEXT(SUMIF($C$3:C458,商品マスタ[[#This Row],[仕入先]],$F$3:F458), "0000")</f>
        <v>0009</v>
      </c>
      <c r="H458" s="87" t="s">
        <v>795</v>
      </c>
      <c r="I458" s="87" t="s">
        <v>1445</v>
      </c>
      <c r="J458" s="87" t="s">
        <v>1466</v>
      </c>
      <c r="K458" s="87"/>
      <c r="L458" s="134" t="s">
        <v>1479</v>
      </c>
      <c r="M458" s="157"/>
      <c r="N458" s="134"/>
      <c r="O458" s="135" t="str">
        <f>IF(COUNT(商品マスタ[[#This Row],[参考上代
（税込)]]) &gt; 0, (商品マスタ[[#This Row],[参考上代
（税込)]]-商品マスタ[[#This Row],[国内定価
（15％）]])/(商品マスタ[[#This Row],[参考上代
（税込)]]/1.08), "")</f>
        <v/>
      </c>
      <c r="P458" s="136">
        <v>0.1</v>
      </c>
      <c r="Q458" s="134" t="e">
        <f>商品マスタ[[#This Row],[仕入
単価]]*商品マスタ[[#This Row],[標準国内送料率]]</f>
        <v>#VALUE!</v>
      </c>
      <c r="R458" s="134">
        <v>0</v>
      </c>
      <c r="S458" s="134">
        <f>IF(ISBLANK(商品マスタ[[#This Row],[実績
国内送料]]),商品マスタ[[#This Row],[標準国内送料]],)</f>
        <v>0</v>
      </c>
      <c r="T458" s="134" t="e">
        <f>商品マスタ[[#This Row],[仕入
単価]]+商品マスタ[[#This Row],[国内送料]]</f>
        <v>#VALUE!</v>
      </c>
      <c r="U458" s="134" t="e">
        <f>ROUNDUP(商品マスタ[[#This Row],[仕入単価+国内送料]]/0.8,-1)</f>
        <v>#VALUE!</v>
      </c>
      <c r="V458" s="134" t="e">
        <f>商品マスタ[[#This Row],[海外定価
（20％）]]-商品マスタ[[#This Row],[仕入単価+国内送料]]</f>
        <v>#VALUE!</v>
      </c>
      <c r="W458" s="87" t="e">
        <f>ROUNDUP(商品マスタ[[#This Row],[仕入単価+国内送料]]/0.85,-1)</f>
        <v>#VALUE!</v>
      </c>
      <c r="X458" s="134" t="e">
        <f>商品マスタ[[#This Row],[国内定価
（15％）]]-商品マスタ[[#This Row],[仕入単価+国内送料]]</f>
        <v>#VALUE!</v>
      </c>
      <c r="Y458" s="139">
        <v>0.08</v>
      </c>
      <c r="Z458" s="87"/>
      <c r="AA458" s="87"/>
      <c r="AB458" s="87"/>
      <c r="AC458" s="140"/>
      <c r="AD458" s="87"/>
      <c r="AE458" s="87"/>
      <c r="AF458" s="87"/>
      <c r="AG458" s="141"/>
    </row>
    <row r="459" spans="1:33" ht="18">
      <c r="A459" s="166" t="s">
        <v>1524</v>
      </c>
      <c r="B459" s="167" t="s">
        <v>1229</v>
      </c>
      <c r="C459" s="167" t="s">
        <v>1256</v>
      </c>
      <c r="D459" s="143" t="str">
        <f>"PRD_SNJ_"&amp;
_xlfn.XLOOKUP(商品マスタ[[#This Row],[仕入先]],テーブル1[仕入先名],テーブル1[仕入先コード],"XXX",0,1)&amp;
"_"&amp;
商品マスタ[[#This Row],[シリアル]]&amp;
"_"&amp;
TEXT(COUNTIFS(商品マスタ!$C$3:C459,商品マスタ[[#This Row],[仕入先]],商品マスタ!$E$3:E459,商品マスタ[[#This Row],[商品名]]), "00")</f>
        <v>PRD_SNJ_OTS_0010_01</v>
      </c>
      <c r="E459" s="87" t="s">
        <v>1336</v>
      </c>
      <c r="F459" s="87">
        <f>IF(COUNTIFS($C$3:C459,商品マスタ[[#This Row],[仕入先]],$E$3:E459,商品マスタ[[#This Row],[商品名]]) = 1, 1,0)</f>
        <v>1</v>
      </c>
      <c r="G459" s="133" t="str">
        <f>TEXT(SUMIF($C$3:C459,商品マスタ[[#This Row],[仕入先]],$F$3:F459), "0000")</f>
        <v>0010</v>
      </c>
      <c r="H459" s="87" t="s">
        <v>481</v>
      </c>
      <c r="I459" s="87" t="s">
        <v>299</v>
      </c>
      <c r="J459" s="87" t="s">
        <v>1467</v>
      </c>
      <c r="K459" s="87"/>
      <c r="L459" s="134" t="s">
        <v>1479</v>
      </c>
      <c r="M459" s="157"/>
      <c r="N459" s="134"/>
      <c r="O459" s="135" t="str">
        <f>IF(COUNT(商品マスタ[[#This Row],[参考上代
（税込)]]) &gt; 0, (商品マスタ[[#This Row],[参考上代
（税込)]]-商品マスタ[[#This Row],[国内定価
（15％）]])/(商品マスタ[[#This Row],[参考上代
（税込)]]/1.08), "")</f>
        <v/>
      </c>
      <c r="P459" s="136">
        <v>0.1</v>
      </c>
      <c r="Q459" s="134" t="e">
        <f>商品マスタ[[#This Row],[仕入
単価]]*商品マスタ[[#This Row],[標準国内送料率]]</f>
        <v>#VALUE!</v>
      </c>
      <c r="R459" s="134">
        <v>0</v>
      </c>
      <c r="S459" s="134">
        <f>IF(ISBLANK(商品マスタ[[#This Row],[実績
国内送料]]),商品マスタ[[#This Row],[標準国内送料]],)</f>
        <v>0</v>
      </c>
      <c r="T459" s="134" t="e">
        <f>商品マスタ[[#This Row],[仕入
単価]]+商品マスタ[[#This Row],[国内送料]]</f>
        <v>#VALUE!</v>
      </c>
      <c r="U459" s="134" t="e">
        <f>ROUNDUP(商品マスタ[[#This Row],[仕入単価+国内送料]]/0.8,-1)</f>
        <v>#VALUE!</v>
      </c>
      <c r="V459" s="134" t="e">
        <f>商品マスタ[[#This Row],[海外定価
（20％）]]-商品マスタ[[#This Row],[仕入単価+国内送料]]</f>
        <v>#VALUE!</v>
      </c>
      <c r="W459" s="87" t="e">
        <f>ROUNDUP(商品マスタ[[#This Row],[仕入単価+国内送料]]/0.85,-1)</f>
        <v>#VALUE!</v>
      </c>
      <c r="X459" s="134" t="e">
        <f>商品マスタ[[#This Row],[国内定価
（15％）]]-商品マスタ[[#This Row],[仕入単価+国内送料]]</f>
        <v>#VALUE!</v>
      </c>
      <c r="Y459" s="139">
        <v>0.08</v>
      </c>
      <c r="Z459" s="87"/>
      <c r="AA459" s="87"/>
      <c r="AB459" s="87"/>
      <c r="AC459" s="140"/>
      <c r="AD459" s="87"/>
      <c r="AE459" s="87"/>
      <c r="AF459" s="87"/>
      <c r="AG459" s="141"/>
    </row>
    <row r="460" spans="1:33" ht="18">
      <c r="A460" s="166" t="s">
        <v>1524</v>
      </c>
      <c r="B460" s="167" t="s">
        <v>1229</v>
      </c>
      <c r="C460" s="167" t="s">
        <v>1256</v>
      </c>
      <c r="D460" s="143" t="str">
        <f>"PRD_SNJ_"&amp;
_xlfn.XLOOKUP(商品マスタ[[#This Row],[仕入先]],テーブル1[仕入先名],テーブル1[仕入先コード],"XXX",0,1)&amp;
"_"&amp;
商品マスタ[[#This Row],[シリアル]]&amp;
"_"&amp;
TEXT(COUNTIFS(商品マスタ!$C$3:C460,商品マスタ[[#This Row],[仕入先]],商品マスタ!$E$3:E460,商品マスタ[[#This Row],[商品名]]), "00")</f>
        <v>PRD_SNJ_OTS_0011_01</v>
      </c>
      <c r="E460" s="87" t="s">
        <v>1337</v>
      </c>
      <c r="F460" s="87">
        <f>IF(COUNTIFS($C$3:C460,商品マスタ[[#This Row],[仕入先]],$E$3:E460,商品マスタ[[#This Row],[商品名]]) = 1, 1,0)</f>
        <v>1</v>
      </c>
      <c r="G460" s="133" t="str">
        <f>TEXT(SUMIF($C$3:C460,商品マスタ[[#This Row],[仕入先]],$F$3:F460), "0000")</f>
        <v>0011</v>
      </c>
      <c r="H460" s="87" t="s">
        <v>481</v>
      </c>
      <c r="I460" s="87" t="s">
        <v>308</v>
      </c>
      <c r="J460" s="87" t="s">
        <v>1467</v>
      </c>
      <c r="K460" s="87"/>
      <c r="L460" s="134" t="s">
        <v>1479</v>
      </c>
      <c r="M460" s="157"/>
      <c r="N460" s="134"/>
      <c r="O460" s="135" t="str">
        <f>IF(COUNT(商品マスタ[[#This Row],[参考上代
（税込)]]) &gt; 0, (商品マスタ[[#This Row],[参考上代
（税込)]]-商品マスタ[[#This Row],[国内定価
（15％）]])/(商品マスタ[[#This Row],[参考上代
（税込)]]/1.08), "")</f>
        <v/>
      </c>
      <c r="P460" s="136">
        <v>0.1</v>
      </c>
      <c r="Q460" s="134" t="e">
        <f>商品マスタ[[#This Row],[仕入
単価]]*商品マスタ[[#This Row],[標準国内送料率]]</f>
        <v>#VALUE!</v>
      </c>
      <c r="R460" s="134">
        <v>0</v>
      </c>
      <c r="S460" s="134">
        <f>IF(ISBLANK(商品マスタ[[#This Row],[実績
国内送料]]),商品マスタ[[#This Row],[標準国内送料]],)</f>
        <v>0</v>
      </c>
      <c r="T460" s="134" t="e">
        <f>商品マスタ[[#This Row],[仕入
単価]]+商品マスタ[[#This Row],[国内送料]]</f>
        <v>#VALUE!</v>
      </c>
      <c r="U460" s="134" t="e">
        <f>ROUNDUP(商品マスタ[[#This Row],[仕入単価+国内送料]]/0.8,-1)</f>
        <v>#VALUE!</v>
      </c>
      <c r="V460" s="134" t="e">
        <f>商品マスタ[[#This Row],[海外定価
（20％）]]-商品マスタ[[#This Row],[仕入単価+国内送料]]</f>
        <v>#VALUE!</v>
      </c>
      <c r="W460" s="87" t="e">
        <f>ROUNDUP(商品マスタ[[#This Row],[仕入単価+国内送料]]/0.85,-1)</f>
        <v>#VALUE!</v>
      </c>
      <c r="X460" s="134" t="e">
        <f>商品マスタ[[#This Row],[国内定価
（15％）]]-商品マスタ[[#This Row],[仕入単価+国内送料]]</f>
        <v>#VALUE!</v>
      </c>
      <c r="Y460" s="139">
        <v>0.08</v>
      </c>
      <c r="Z460" s="87"/>
      <c r="AA460" s="87"/>
      <c r="AB460" s="87"/>
      <c r="AC460" s="140"/>
      <c r="AD460" s="87"/>
      <c r="AE460" s="87"/>
      <c r="AF460" s="87"/>
      <c r="AG460" s="141"/>
    </row>
    <row r="461" spans="1:33" ht="18">
      <c r="A461" s="166" t="s">
        <v>1524</v>
      </c>
      <c r="B461" s="167" t="s">
        <v>1229</v>
      </c>
      <c r="C461" s="167" t="s">
        <v>1256</v>
      </c>
      <c r="D461" s="143" t="str">
        <f>"PRD_SNJ_"&amp;
_xlfn.XLOOKUP(商品マスタ[[#This Row],[仕入先]],テーブル1[仕入先名],テーブル1[仕入先コード],"XXX",0,1)&amp;
"_"&amp;
商品マスタ[[#This Row],[シリアル]]&amp;
"_"&amp;
TEXT(COUNTIFS(商品マスタ!$C$3:C461,商品マスタ[[#This Row],[仕入先]],商品マスタ!$E$3:E461,商品マスタ[[#This Row],[商品名]]), "00")</f>
        <v>PRD_SNJ_OTS_0012_01</v>
      </c>
      <c r="E461" s="87" t="s">
        <v>1338</v>
      </c>
      <c r="F461" s="87">
        <f>IF(COUNTIFS($C$3:C461,商品マスタ[[#This Row],[仕入先]],$E$3:E461,商品マスタ[[#This Row],[商品名]]) = 1, 1,0)</f>
        <v>1</v>
      </c>
      <c r="G461" s="133" t="str">
        <f>TEXT(SUMIF($C$3:C461,商品マスタ[[#This Row],[仕入先]],$F$3:F461), "0000")</f>
        <v>0012</v>
      </c>
      <c r="H461" s="87" t="s">
        <v>795</v>
      </c>
      <c r="I461" s="87" t="s">
        <v>1433</v>
      </c>
      <c r="J461" s="87" t="s">
        <v>1468</v>
      </c>
      <c r="K461" s="87"/>
      <c r="L461" s="134" t="s">
        <v>1479</v>
      </c>
      <c r="M461" s="157"/>
      <c r="N461" s="134"/>
      <c r="O461" s="135" t="str">
        <f>IF(COUNT(商品マスタ[[#This Row],[参考上代
（税込)]]) &gt; 0, (商品マスタ[[#This Row],[参考上代
（税込)]]-商品マスタ[[#This Row],[国内定価
（15％）]])/(商品マスタ[[#This Row],[参考上代
（税込)]]/1.08), "")</f>
        <v/>
      </c>
      <c r="P461" s="136">
        <v>0.1</v>
      </c>
      <c r="Q461" s="134" t="e">
        <f>商品マスタ[[#This Row],[仕入
単価]]*商品マスタ[[#This Row],[標準国内送料率]]</f>
        <v>#VALUE!</v>
      </c>
      <c r="R461" s="134">
        <v>0</v>
      </c>
      <c r="S461" s="134">
        <f>IF(ISBLANK(商品マスタ[[#This Row],[実績
国内送料]]),商品マスタ[[#This Row],[標準国内送料]],)</f>
        <v>0</v>
      </c>
      <c r="T461" s="134" t="e">
        <f>商品マスタ[[#This Row],[仕入
単価]]+商品マスタ[[#This Row],[国内送料]]</f>
        <v>#VALUE!</v>
      </c>
      <c r="U461" s="134" t="e">
        <f>ROUNDUP(商品マスタ[[#This Row],[仕入単価+国内送料]]/0.8,-1)</f>
        <v>#VALUE!</v>
      </c>
      <c r="V461" s="134" t="e">
        <f>商品マスタ[[#This Row],[海外定価
（20％）]]-商品マスタ[[#This Row],[仕入単価+国内送料]]</f>
        <v>#VALUE!</v>
      </c>
      <c r="W461" s="87" t="e">
        <f>ROUNDUP(商品マスタ[[#This Row],[仕入単価+国内送料]]/0.85,-1)</f>
        <v>#VALUE!</v>
      </c>
      <c r="X461" s="134" t="e">
        <f>商品マスタ[[#This Row],[国内定価
（15％）]]-商品マスタ[[#This Row],[仕入単価+国内送料]]</f>
        <v>#VALUE!</v>
      </c>
      <c r="Y461" s="139">
        <v>0.08</v>
      </c>
      <c r="Z461" s="87"/>
      <c r="AA461" s="87"/>
      <c r="AB461" s="87"/>
      <c r="AC461" s="140"/>
      <c r="AD461" s="87"/>
      <c r="AE461" s="87"/>
      <c r="AF461" s="87"/>
      <c r="AG461" s="141"/>
    </row>
    <row r="462" spans="1:33" ht="18">
      <c r="A462" s="166" t="s">
        <v>1524</v>
      </c>
      <c r="B462" s="167" t="s">
        <v>1229</v>
      </c>
      <c r="C462" s="167" t="s">
        <v>1256</v>
      </c>
      <c r="D462" s="143" t="str">
        <f>"PRD_SNJ_"&amp;
_xlfn.XLOOKUP(商品マスタ[[#This Row],[仕入先]],テーブル1[仕入先名],テーブル1[仕入先コード],"XXX",0,1)&amp;
"_"&amp;
商品マスタ[[#This Row],[シリアル]]&amp;
"_"&amp;
TEXT(COUNTIFS(商品マスタ!$C$3:C462,商品マスタ[[#This Row],[仕入先]],商品マスタ!$E$3:E462,商品マスタ[[#This Row],[商品名]]), "00")</f>
        <v>PRD_SNJ_OTS_0013_01</v>
      </c>
      <c r="E462" s="87" t="s">
        <v>1339</v>
      </c>
      <c r="F462" s="87">
        <f>IF(COUNTIFS($C$3:C462,商品マスタ[[#This Row],[仕入先]],$E$3:E462,商品マスタ[[#This Row],[商品名]]) = 1, 1,0)</f>
        <v>1</v>
      </c>
      <c r="G462" s="133" t="str">
        <f>TEXT(SUMIF($C$3:C462,商品マスタ[[#This Row],[仕入先]],$F$3:F462), "0000")</f>
        <v>0013</v>
      </c>
      <c r="H462" s="87" t="s">
        <v>481</v>
      </c>
      <c r="I462" s="87" t="s">
        <v>1119</v>
      </c>
      <c r="J462" s="87" t="s">
        <v>1469</v>
      </c>
      <c r="K462" s="87"/>
      <c r="L462" s="134" t="s">
        <v>1479</v>
      </c>
      <c r="M462" s="157"/>
      <c r="N462" s="134"/>
      <c r="O462" s="135" t="str">
        <f>IF(COUNT(商品マスタ[[#This Row],[参考上代
（税込)]]) &gt; 0, (商品マスタ[[#This Row],[参考上代
（税込)]]-商品マスタ[[#This Row],[国内定価
（15％）]])/(商品マスタ[[#This Row],[参考上代
（税込)]]/1.08), "")</f>
        <v/>
      </c>
      <c r="P462" s="136">
        <v>0.1</v>
      </c>
      <c r="Q462" s="134" t="e">
        <f>商品マスタ[[#This Row],[仕入
単価]]*商品マスタ[[#This Row],[標準国内送料率]]</f>
        <v>#VALUE!</v>
      </c>
      <c r="R462" s="134">
        <v>0</v>
      </c>
      <c r="S462" s="134">
        <f>IF(ISBLANK(商品マスタ[[#This Row],[実績
国内送料]]),商品マスタ[[#This Row],[標準国内送料]],)</f>
        <v>0</v>
      </c>
      <c r="T462" s="134" t="e">
        <f>商品マスタ[[#This Row],[仕入
単価]]+商品マスタ[[#This Row],[国内送料]]</f>
        <v>#VALUE!</v>
      </c>
      <c r="U462" s="134" t="e">
        <f>ROUNDUP(商品マスタ[[#This Row],[仕入単価+国内送料]]/0.8,-1)</f>
        <v>#VALUE!</v>
      </c>
      <c r="V462" s="134" t="e">
        <f>商品マスタ[[#This Row],[海外定価
（20％）]]-商品マスタ[[#This Row],[仕入単価+国内送料]]</f>
        <v>#VALUE!</v>
      </c>
      <c r="W462" s="87" t="e">
        <f>ROUNDUP(商品マスタ[[#This Row],[仕入単価+国内送料]]/0.85,-1)</f>
        <v>#VALUE!</v>
      </c>
      <c r="X462" s="134" t="e">
        <f>商品マスタ[[#This Row],[国内定価
（15％）]]-商品マスタ[[#This Row],[仕入単価+国内送料]]</f>
        <v>#VALUE!</v>
      </c>
      <c r="Y462" s="139">
        <v>0.08</v>
      </c>
      <c r="Z462" s="87"/>
      <c r="AA462" s="87"/>
      <c r="AB462" s="87"/>
      <c r="AC462" s="140"/>
      <c r="AD462" s="87"/>
      <c r="AE462" s="87"/>
      <c r="AF462" s="87"/>
      <c r="AG462" s="141"/>
    </row>
    <row r="463" spans="1:33" ht="18">
      <c r="A463" s="166" t="s">
        <v>1524</v>
      </c>
      <c r="B463" s="167" t="s">
        <v>1229</v>
      </c>
      <c r="C463" s="167" t="s">
        <v>52</v>
      </c>
      <c r="D463" s="143" t="str">
        <f>"PRD_SNJ_"&amp;
_xlfn.XLOOKUP(商品マスタ[[#This Row],[仕入先]],テーブル1[仕入先名],テーブル1[仕入先コード],"XXX",0,1)&amp;
"_"&amp;
商品マスタ[[#This Row],[シリアル]]&amp;
"_"&amp;
TEXT(COUNTIFS(商品マスタ!$C$3:C463,商品マスタ[[#This Row],[仕入先]],商品マスタ!$E$3:E463,商品マスタ[[#This Row],[商品名]]), "00")</f>
        <v>PRD_SNJ_SKK_0004_01</v>
      </c>
      <c r="E463" s="87" t="s">
        <v>1340</v>
      </c>
      <c r="F463" s="87">
        <f>IF(COUNTIFS($C$3:C463,商品マスタ[[#This Row],[仕入先]],$E$3:E463,商品マスタ[[#This Row],[商品名]]) = 1, 1,0)</f>
        <v>1</v>
      </c>
      <c r="G463" s="133" t="str">
        <f>TEXT(SUMIF($C$3:C463,商品マスタ[[#This Row],[仕入先]],$F$3:F463), "0000")</f>
        <v>0004</v>
      </c>
      <c r="H463" s="87" t="s">
        <v>481</v>
      </c>
      <c r="I463" s="87" t="s">
        <v>1447</v>
      </c>
      <c r="J463" s="87" t="s">
        <v>1470</v>
      </c>
      <c r="K463" s="87"/>
      <c r="L463" s="134">
        <v>61</v>
      </c>
      <c r="M463" s="157"/>
      <c r="N463" s="134"/>
      <c r="O463" s="135" t="str">
        <f>IF(COUNT(商品マスタ[[#This Row],[参考上代
（税込)]]) &gt; 0, (商品マスタ[[#This Row],[参考上代
（税込)]]-商品マスタ[[#This Row],[国内定価
（15％）]])/(商品マスタ[[#This Row],[参考上代
（税込)]]/1.08), "")</f>
        <v/>
      </c>
      <c r="P463" s="136">
        <v>0.1</v>
      </c>
      <c r="Q463" s="134">
        <f>商品マスタ[[#This Row],[仕入
単価]]*商品マスタ[[#This Row],[標準国内送料率]]</f>
        <v>6.1000000000000005</v>
      </c>
      <c r="R463" s="134">
        <v>0</v>
      </c>
      <c r="S463" s="134">
        <f>IF(ISBLANK(商品マスタ[[#This Row],[実績
国内送料]]),商品マスタ[[#This Row],[標準国内送料]],)</f>
        <v>0</v>
      </c>
      <c r="T463" s="134">
        <f>商品マスタ[[#This Row],[仕入
単価]]+商品マスタ[[#This Row],[国内送料]]</f>
        <v>61</v>
      </c>
      <c r="U463" s="134">
        <f>ROUNDUP(商品マスタ[[#This Row],[仕入単価+国内送料]]/0.8,-1)</f>
        <v>80</v>
      </c>
      <c r="V463" s="134">
        <f>商品マスタ[[#This Row],[海外定価
（20％）]]-商品マスタ[[#This Row],[仕入単価+国内送料]]</f>
        <v>19</v>
      </c>
      <c r="W463" s="87">
        <f>ROUNDUP(商品マスタ[[#This Row],[仕入単価+国内送料]]/0.85,-1)</f>
        <v>80</v>
      </c>
      <c r="X463" s="134">
        <f>商品マスタ[[#This Row],[国内定価
（15％）]]-商品マスタ[[#This Row],[仕入単価+国内送料]]</f>
        <v>19</v>
      </c>
      <c r="Y463" s="139">
        <v>0.08</v>
      </c>
      <c r="Z463" s="87"/>
      <c r="AA463" s="87"/>
      <c r="AB463" s="87"/>
      <c r="AC463" s="140"/>
      <c r="AD463" s="87"/>
      <c r="AE463" s="87"/>
      <c r="AF463" s="87"/>
      <c r="AG463" s="141"/>
    </row>
    <row r="464" spans="1:33" ht="18">
      <c r="A464" s="166" t="s">
        <v>1524</v>
      </c>
      <c r="B464" s="167" t="s">
        <v>1229</v>
      </c>
      <c r="C464" s="167" t="s">
        <v>52</v>
      </c>
      <c r="D464" s="143" t="str">
        <f>"PRD_SNJ_"&amp;
_xlfn.XLOOKUP(商品マスタ[[#This Row],[仕入先]],テーブル1[仕入先名],テーブル1[仕入先コード],"XXX",0,1)&amp;
"_"&amp;
商品マスタ[[#This Row],[シリアル]]&amp;
"_"&amp;
TEXT(COUNTIFS(商品マスタ!$C$3:C464,商品マスタ[[#This Row],[仕入先]],商品マスタ!$E$3:E464,商品マスタ[[#This Row],[商品名]]), "00")</f>
        <v>PRD_SNJ_SKK_0005_01</v>
      </c>
      <c r="E464" s="87" t="s">
        <v>1341</v>
      </c>
      <c r="F464" s="87">
        <f>IF(COUNTIFS($C$3:C464,商品マスタ[[#This Row],[仕入先]],$E$3:E464,商品マスタ[[#This Row],[商品名]]) = 1, 1,0)</f>
        <v>1</v>
      </c>
      <c r="G464" s="133" t="str">
        <f>TEXT(SUMIF($C$3:C464,商品マスタ[[#This Row],[仕入先]],$F$3:F464), "0000")</f>
        <v>0005</v>
      </c>
      <c r="H464" s="87" t="s">
        <v>481</v>
      </c>
      <c r="I464" s="87" t="s">
        <v>1442</v>
      </c>
      <c r="J464" s="87" t="s">
        <v>1470</v>
      </c>
      <c r="K464" s="87"/>
      <c r="L464" s="134">
        <v>61</v>
      </c>
      <c r="M464" s="157"/>
      <c r="N464" s="134"/>
      <c r="O464" s="135" t="str">
        <f>IF(COUNT(商品マスタ[[#This Row],[参考上代
（税込)]]) &gt; 0, (商品マスタ[[#This Row],[参考上代
（税込)]]-商品マスタ[[#This Row],[国内定価
（15％）]])/(商品マスタ[[#This Row],[参考上代
（税込)]]/1.08), "")</f>
        <v/>
      </c>
      <c r="P464" s="136">
        <v>0.1</v>
      </c>
      <c r="Q464" s="134">
        <f>商品マスタ[[#This Row],[仕入
単価]]*商品マスタ[[#This Row],[標準国内送料率]]</f>
        <v>6.1000000000000005</v>
      </c>
      <c r="R464" s="134">
        <v>0</v>
      </c>
      <c r="S464" s="134">
        <f>IF(ISBLANK(商品マスタ[[#This Row],[実績
国内送料]]),商品マスタ[[#This Row],[標準国内送料]],)</f>
        <v>0</v>
      </c>
      <c r="T464" s="134">
        <f>商品マスタ[[#This Row],[仕入
単価]]+商品マスタ[[#This Row],[国内送料]]</f>
        <v>61</v>
      </c>
      <c r="U464" s="134">
        <f>ROUNDUP(商品マスタ[[#This Row],[仕入単価+国内送料]]/0.8,-1)</f>
        <v>80</v>
      </c>
      <c r="V464" s="134">
        <f>商品マスタ[[#This Row],[海外定価
（20％）]]-商品マスタ[[#This Row],[仕入単価+国内送料]]</f>
        <v>19</v>
      </c>
      <c r="W464" s="87">
        <f>ROUNDUP(商品マスタ[[#This Row],[仕入単価+国内送料]]/0.85,-1)</f>
        <v>80</v>
      </c>
      <c r="X464" s="134">
        <f>商品マスタ[[#This Row],[国内定価
（15％）]]-商品マスタ[[#This Row],[仕入単価+国内送料]]</f>
        <v>19</v>
      </c>
      <c r="Y464" s="139">
        <v>0.08</v>
      </c>
      <c r="Z464" s="87"/>
      <c r="AA464" s="87"/>
      <c r="AB464" s="87"/>
      <c r="AC464" s="140"/>
      <c r="AD464" s="87"/>
      <c r="AE464" s="87"/>
      <c r="AF464" s="87"/>
      <c r="AG464" s="141"/>
    </row>
    <row r="465" spans="1:33" ht="18">
      <c r="A465" s="166" t="s">
        <v>1524</v>
      </c>
      <c r="B465" s="167" t="s">
        <v>1229</v>
      </c>
      <c r="C465" s="167" t="s">
        <v>52</v>
      </c>
      <c r="D465" s="143" t="str">
        <f>"PRD_SNJ_"&amp;
_xlfn.XLOOKUP(商品マスタ[[#This Row],[仕入先]],テーブル1[仕入先名],テーブル1[仕入先コード],"XXX",0,1)&amp;
"_"&amp;
商品マスタ[[#This Row],[シリアル]]&amp;
"_"&amp;
TEXT(COUNTIFS(商品マスタ!$C$3:C465,商品マスタ[[#This Row],[仕入先]],商品マスタ!$E$3:E465,商品マスタ[[#This Row],[商品名]]), "00")</f>
        <v>PRD_SNJ_SKK_0006_01</v>
      </c>
      <c r="E465" s="87" t="s">
        <v>1342</v>
      </c>
      <c r="F465" s="87">
        <f>IF(COUNTIFS($C$3:C465,商品マスタ[[#This Row],[仕入先]],$E$3:E465,商品マスタ[[#This Row],[商品名]]) = 1, 1,0)</f>
        <v>1</v>
      </c>
      <c r="G465" s="133" t="str">
        <f>TEXT(SUMIF($C$3:C465,商品マスタ[[#This Row],[仕入先]],$F$3:F465), "0000")</f>
        <v>0006</v>
      </c>
      <c r="H465" s="87" t="s">
        <v>481</v>
      </c>
      <c r="I465" s="87" t="s">
        <v>1448</v>
      </c>
      <c r="J465" s="87" t="s">
        <v>1470</v>
      </c>
      <c r="K465" s="87"/>
      <c r="L465" s="134">
        <v>61</v>
      </c>
      <c r="M465" s="157"/>
      <c r="N465" s="134"/>
      <c r="O465" s="135" t="str">
        <f>IF(COUNT(商品マスタ[[#This Row],[参考上代
（税込)]]) &gt; 0, (商品マスタ[[#This Row],[参考上代
（税込)]]-商品マスタ[[#This Row],[国内定価
（15％）]])/(商品マスタ[[#This Row],[参考上代
（税込)]]/1.08), "")</f>
        <v/>
      </c>
      <c r="P465" s="136">
        <v>0.1</v>
      </c>
      <c r="Q465" s="134">
        <f>商品マスタ[[#This Row],[仕入
単価]]*商品マスタ[[#This Row],[標準国内送料率]]</f>
        <v>6.1000000000000005</v>
      </c>
      <c r="R465" s="134">
        <v>0</v>
      </c>
      <c r="S465" s="134">
        <f>IF(ISBLANK(商品マスタ[[#This Row],[実績
国内送料]]),商品マスタ[[#This Row],[標準国内送料]],)</f>
        <v>0</v>
      </c>
      <c r="T465" s="134">
        <f>商品マスタ[[#This Row],[仕入
単価]]+商品マスタ[[#This Row],[国内送料]]</f>
        <v>61</v>
      </c>
      <c r="U465" s="134">
        <f>ROUNDUP(商品マスタ[[#This Row],[仕入単価+国内送料]]/0.8,-1)</f>
        <v>80</v>
      </c>
      <c r="V465" s="134">
        <f>商品マスタ[[#This Row],[海外定価
（20％）]]-商品マスタ[[#This Row],[仕入単価+国内送料]]</f>
        <v>19</v>
      </c>
      <c r="W465" s="87">
        <f>ROUNDUP(商品マスタ[[#This Row],[仕入単価+国内送料]]/0.85,-1)</f>
        <v>80</v>
      </c>
      <c r="X465" s="134">
        <f>商品マスタ[[#This Row],[国内定価
（15％）]]-商品マスタ[[#This Row],[仕入単価+国内送料]]</f>
        <v>19</v>
      </c>
      <c r="Y465" s="139">
        <v>0.08</v>
      </c>
      <c r="Z465" s="87"/>
      <c r="AA465" s="87"/>
      <c r="AB465" s="87"/>
      <c r="AC465" s="140"/>
      <c r="AD465" s="87"/>
      <c r="AE465" s="87"/>
      <c r="AF465" s="87"/>
      <c r="AG465" s="141"/>
    </row>
    <row r="466" spans="1:33" ht="18">
      <c r="A466" s="166" t="s">
        <v>1524</v>
      </c>
      <c r="B466" s="167" t="s">
        <v>1229</v>
      </c>
      <c r="C466" s="167" t="s">
        <v>52</v>
      </c>
      <c r="D466" s="143" t="str">
        <f>"PRD_SNJ_"&amp;
_xlfn.XLOOKUP(商品マスタ[[#This Row],[仕入先]],テーブル1[仕入先名],テーブル1[仕入先コード],"XXX",0,1)&amp;
"_"&amp;
商品マスタ[[#This Row],[シリアル]]&amp;
"_"&amp;
TEXT(COUNTIFS(商品マスタ!$C$3:C466,商品マスタ[[#This Row],[仕入先]],商品マスタ!$E$3:E466,商品マスタ[[#This Row],[商品名]]), "00")</f>
        <v>PRD_SNJ_SKK_0007_01</v>
      </c>
      <c r="E466" s="87" t="s">
        <v>1343</v>
      </c>
      <c r="F466" s="87">
        <f>IF(COUNTIFS($C$3:C466,商品マスタ[[#This Row],[仕入先]],$E$3:E466,商品マスタ[[#This Row],[商品名]]) = 1, 1,0)</f>
        <v>1</v>
      </c>
      <c r="G466" s="133" t="str">
        <f>TEXT(SUMIF($C$3:C466,商品マスタ[[#This Row],[仕入先]],$F$3:F466), "0000")</f>
        <v>0007</v>
      </c>
      <c r="H466" s="87" t="s">
        <v>481</v>
      </c>
      <c r="I466" s="87" t="s">
        <v>1442</v>
      </c>
      <c r="J466" s="87" t="s">
        <v>1470</v>
      </c>
      <c r="K466" s="87"/>
      <c r="L466" s="134">
        <v>61</v>
      </c>
      <c r="M466" s="157"/>
      <c r="N466" s="134"/>
      <c r="O466" s="135" t="str">
        <f>IF(COUNT(商品マスタ[[#This Row],[参考上代
（税込)]]) &gt; 0, (商品マスタ[[#This Row],[参考上代
（税込)]]-商品マスタ[[#This Row],[国内定価
（15％）]])/(商品マスタ[[#This Row],[参考上代
（税込)]]/1.08), "")</f>
        <v/>
      </c>
      <c r="P466" s="136">
        <v>0.1</v>
      </c>
      <c r="Q466" s="134">
        <f>商品マスタ[[#This Row],[仕入
単価]]*商品マスタ[[#This Row],[標準国内送料率]]</f>
        <v>6.1000000000000005</v>
      </c>
      <c r="R466" s="134">
        <v>0</v>
      </c>
      <c r="S466" s="134">
        <f>IF(ISBLANK(商品マスタ[[#This Row],[実績
国内送料]]),商品マスタ[[#This Row],[標準国内送料]],)</f>
        <v>0</v>
      </c>
      <c r="T466" s="134">
        <f>商品マスタ[[#This Row],[仕入
単価]]+商品マスタ[[#This Row],[国内送料]]</f>
        <v>61</v>
      </c>
      <c r="U466" s="134">
        <f>ROUNDUP(商品マスタ[[#This Row],[仕入単価+国内送料]]/0.8,-1)</f>
        <v>80</v>
      </c>
      <c r="V466" s="134">
        <f>商品マスタ[[#This Row],[海外定価
（20％）]]-商品マスタ[[#This Row],[仕入単価+国内送料]]</f>
        <v>19</v>
      </c>
      <c r="W466" s="87">
        <f>ROUNDUP(商品マスタ[[#This Row],[仕入単価+国内送料]]/0.85,-1)</f>
        <v>80</v>
      </c>
      <c r="X466" s="134">
        <f>商品マスタ[[#This Row],[国内定価
（15％）]]-商品マスタ[[#This Row],[仕入単価+国内送料]]</f>
        <v>19</v>
      </c>
      <c r="Y466" s="139">
        <v>0.08</v>
      </c>
      <c r="Z466" s="87"/>
      <c r="AA466" s="87"/>
      <c r="AB466" s="87"/>
      <c r="AC466" s="140"/>
      <c r="AD466" s="87"/>
      <c r="AE466" s="87"/>
      <c r="AF466" s="87"/>
      <c r="AG466" s="141"/>
    </row>
    <row r="467" spans="1:33" ht="18">
      <c r="A467" s="166" t="s">
        <v>1524</v>
      </c>
      <c r="B467" s="167" t="s">
        <v>1229</v>
      </c>
      <c r="C467" s="167" t="s">
        <v>52</v>
      </c>
      <c r="D467" s="143" t="str">
        <f>"PRD_SNJ_"&amp;
_xlfn.XLOOKUP(商品マスタ[[#This Row],[仕入先]],テーブル1[仕入先名],テーブル1[仕入先コード],"XXX",0,1)&amp;
"_"&amp;
商品マスタ[[#This Row],[シリアル]]&amp;
"_"&amp;
TEXT(COUNTIFS(商品マスタ!$C$3:C467,商品マスタ[[#This Row],[仕入先]],商品マスタ!$E$3:E467,商品マスタ[[#This Row],[商品名]]), "00")</f>
        <v>PRD_SNJ_SKK_0008_01</v>
      </c>
      <c r="E467" s="87" t="s">
        <v>1344</v>
      </c>
      <c r="F467" s="87">
        <f>IF(COUNTIFS($C$3:C467,商品マスタ[[#This Row],[仕入先]],$E$3:E467,商品マスタ[[#This Row],[商品名]]) = 1, 1,0)</f>
        <v>1</v>
      </c>
      <c r="G467" s="133" t="str">
        <f>TEXT(SUMIF($C$3:C467,商品マスタ[[#This Row],[仕入先]],$F$3:F467), "0000")</f>
        <v>0008</v>
      </c>
      <c r="H467" s="87" t="s">
        <v>481</v>
      </c>
      <c r="I467" s="87" t="s">
        <v>1449</v>
      </c>
      <c r="J467" s="87" t="s">
        <v>1470</v>
      </c>
      <c r="K467" s="87"/>
      <c r="L467" s="134">
        <v>61</v>
      </c>
      <c r="M467" s="157"/>
      <c r="N467" s="134"/>
      <c r="O467" s="135" t="str">
        <f>IF(COUNT(商品マスタ[[#This Row],[参考上代
（税込)]]) &gt; 0, (商品マスタ[[#This Row],[参考上代
（税込)]]-商品マスタ[[#This Row],[国内定価
（15％）]])/(商品マスタ[[#This Row],[参考上代
（税込)]]/1.08), "")</f>
        <v/>
      </c>
      <c r="P467" s="136">
        <v>0.1</v>
      </c>
      <c r="Q467" s="134">
        <f>商品マスタ[[#This Row],[仕入
単価]]*商品マスタ[[#This Row],[標準国内送料率]]</f>
        <v>6.1000000000000005</v>
      </c>
      <c r="R467" s="134">
        <v>0</v>
      </c>
      <c r="S467" s="134">
        <f>IF(ISBLANK(商品マスタ[[#This Row],[実績
国内送料]]),商品マスタ[[#This Row],[標準国内送料]],)</f>
        <v>0</v>
      </c>
      <c r="T467" s="134">
        <f>商品マスタ[[#This Row],[仕入
単価]]+商品マスタ[[#This Row],[国内送料]]</f>
        <v>61</v>
      </c>
      <c r="U467" s="134">
        <f>ROUNDUP(商品マスタ[[#This Row],[仕入単価+国内送料]]/0.8,-1)</f>
        <v>80</v>
      </c>
      <c r="V467" s="134">
        <f>商品マスタ[[#This Row],[海外定価
（20％）]]-商品マスタ[[#This Row],[仕入単価+国内送料]]</f>
        <v>19</v>
      </c>
      <c r="W467" s="87">
        <f>ROUNDUP(商品マスタ[[#This Row],[仕入単価+国内送料]]/0.85,-1)</f>
        <v>80</v>
      </c>
      <c r="X467" s="134">
        <f>商品マスタ[[#This Row],[国内定価
（15％）]]-商品マスタ[[#This Row],[仕入単価+国内送料]]</f>
        <v>19</v>
      </c>
      <c r="Y467" s="139">
        <v>0.08</v>
      </c>
      <c r="Z467" s="87"/>
      <c r="AA467" s="87"/>
      <c r="AB467" s="87"/>
      <c r="AC467" s="140"/>
      <c r="AD467" s="87"/>
      <c r="AE467" s="87"/>
      <c r="AF467" s="87"/>
      <c r="AG467" s="141"/>
    </row>
    <row r="468" spans="1:33" ht="18">
      <c r="A468" s="166" t="s">
        <v>1524</v>
      </c>
      <c r="B468" s="167" t="s">
        <v>1229</v>
      </c>
      <c r="C468" s="167" t="s">
        <v>52</v>
      </c>
      <c r="D468" s="143" t="str">
        <f>"PRD_SNJ_"&amp;
_xlfn.XLOOKUP(商品マスタ[[#This Row],[仕入先]],テーブル1[仕入先名],テーブル1[仕入先コード],"XXX",0,1)&amp;
"_"&amp;
商品マスタ[[#This Row],[シリアル]]&amp;
"_"&amp;
TEXT(COUNTIFS(商品マスタ!$C$3:C468,商品マスタ[[#This Row],[仕入先]],商品マスタ!$E$3:E468,商品マスタ[[#This Row],[商品名]]), "00")</f>
        <v>PRD_SNJ_SKK_0009_01</v>
      </c>
      <c r="E468" s="87" t="s">
        <v>1345</v>
      </c>
      <c r="F468" s="87">
        <f>IF(COUNTIFS($C$3:C468,商品マスタ[[#This Row],[仕入先]],$E$3:E468,商品マスタ[[#This Row],[商品名]]) = 1, 1,0)</f>
        <v>1</v>
      </c>
      <c r="G468" s="133" t="str">
        <f>TEXT(SUMIF($C$3:C468,商品マスタ[[#This Row],[仕入先]],$F$3:F468), "0000")</f>
        <v>0009</v>
      </c>
      <c r="H468" s="87" t="s">
        <v>481</v>
      </c>
      <c r="I468" s="87" t="s">
        <v>1449</v>
      </c>
      <c r="J468" s="87" t="s">
        <v>1470</v>
      </c>
      <c r="K468" s="87"/>
      <c r="L468" s="134">
        <v>61</v>
      </c>
      <c r="M468" s="157"/>
      <c r="N468" s="134"/>
      <c r="O468" s="135" t="str">
        <f>IF(COUNT(商品マスタ[[#This Row],[参考上代
（税込)]]) &gt; 0, (商品マスタ[[#This Row],[参考上代
（税込)]]-商品マスタ[[#This Row],[国内定価
（15％）]])/(商品マスタ[[#This Row],[参考上代
（税込)]]/1.08), "")</f>
        <v/>
      </c>
      <c r="P468" s="136">
        <v>0.1</v>
      </c>
      <c r="Q468" s="134">
        <f>商品マスタ[[#This Row],[仕入
単価]]*商品マスタ[[#This Row],[標準国内送料率]]</f>
        <v>6.1000000000000005</v>
      </c>
      <c r="R468" s="134">
        <v>0</v>
      </c>
      <c r="S468" s="134">
        <f>IF(ISBLANK(商品マスタ[[#This Row],[実績
国内送料]]),商品マスタ[[#This Row],[標準国内送料]],)</f>
        <v>0</v>
      </c>
      <c r="T468" s="134">
        <f>商品マスタ[[#This Row],[仕入
単価]]+商品マスタ[[#This Row],[国内送料]]</f>
        <v>61</v>
      </c>
      <c r="U468" s="134">
        <f>ROUNDUP(商品マスタ[[#This Row],[仕入単価+国内送料]]/0.8,-1)</f>
        <v>80</v>
      </c>
      <c r="V468" s="134">
        <f>商品マスタ[[#This Row],[海外定価
（20％）]]-商品マスタ[[#This Row],[仕入単価+国内送料]]</f>
        <v>19</v>
      </c>
      <c r="W468" s="87">
        <f>ROUNDUP(商品マスタ[[#This Row],[仕入単価+国内送料]]/0.85,-1)</f>
        <v>80</v>
      </c>
      <c r="X468" s="134">
        <f>商品マスタ[[#This Row],[国内定価
（15％）]]-商品マスタ[[#This Row],[仕入単価+国内送料]]</f>
        <v>19</v>
      </c>
      <c r="Y468" s="139">
        <v>0.08</v>
      </c>
      <c r="Z468" s="87"/>
      <c r="AA468" s="87"/>
      <c r="AB468" s="87"/>
      <c r="AC468" s="140"/>
      <c r="AD468" s="87"/>
      <c r="AE468" s="87"/>
      <c r="AF468" s="87"/>
      <c r="AG468" s="141"/>
    </row>
    <row r="469" spans="1:33" ht="18">
      <c r="A469" s="166" t="s">
        <v>1524</v>
      </c>
      <c r="B469" s="167" t="s">
        <v>1229</v>
      </c>
      <c r="C469" s="167" t="s">
        <v>52</v>
      </c>
      <c r="D469" s="143" t="str">
        <f>"PRD_SNJ_"&amp;
_xlfn.XLOOKUP(商品マスタ[[#This Row],[仕入先]],テーブル1[仕入先名],テーブル1[仕入先コード],"XXX",0,1)&amp;
"_"&amp;
商品マスタ[[#This Row],[シリアル]]&amp;
"_"&amp;
TEXT(COUNTIFS(商品マスタ!$C$3:C469,商品マスタ[[#This Row],[仕入先]],商品マスタ!$E$3:E469,商品マスタ[[#This Row],[商品名]]), "00")</f>
        <v>PRD_SNJ_SKK_0010_01</v>
      </c>
      <c r="E469" s="87" t="s">
        <v>1346</v>
      </c>
      <c r="F469" s="87">
        <f>IF(COUNTIFS($C$3:C469,商品マスタ[[#This Row],[仕入先]],$E$3:E469,商品マスタ[[#This Row],[商品名]]) = 1, 1,0)</f>
        <v>1</v>
      </c>
      <c r="G469" s="133" t="str">
        <f>TEXT(SUMIF($C$3:C469,商品マスタ[[#This Row],[仕入先]],$F$3:F469), "0000")</f>
        <v>0010</v>
      </c>
      <c r="H469" s="87" t="s">
        <v>481</v>
      </c>
      <c r="I469" s="87" t="s">
        <v>231</v>
      </c>
      <c r="J469" s="87" t="s">
        <v>1470</v>
      </c>
      <c r="K469" s="87"/>
      <c r="L469" s="134">
        <v>61</v>
      </c>
      <c r="M469" s="157"/>
      <c r="N469" s="134"/>
      <c r="O469" s="135" t="str">
        <f>IF(COUNT(商品マスタ[[#This Row],[参考上代
（税込)]]) &gt; 0, (商品マスタ[[#This Row],[参考上代
（税込)]]-商品マスタ[[#This Row],[国内定価
（15％）]])/(商品マスタ[[#This Row],[参考上代
（税込)]]/1.08), "")</f>
        <v/>
      </c>
      <c r="P469" s="136">
        <v>0.1</v>
      </c>
      <c r="Q469" s="134">
        <f>商品マスタ[[#This Row],[仕入
単価]]*商品マスタ[[#This Row],[標準国内送料率]]</f>
        <v>6.1000000000000005</v>
      </c>
      <c r="R469" s="134">
        <v>0</v>
      </c>
      <c r="S469" s="134">
        <f>IF(ISBLANK(商品マスタ[[#This Row],[実績
国内送料]]),商品マスタ[[#This Row],[標準国内送料]],)</f>
        <v>0</v>
      </c>
      <c r="T469" s="134">
        <f>商品マスタ[[#This Row],[仕入
単価]]+商品マスタ[[#This Row],[国内送料]]</f>
        <v>61</v>
      </c>
      <c r="U469" s="134">
        <f>ROUNDUP(商品マスタ[[#This Row],[仕入単価+国内送料]]/0.8,-1)</f>
        <v>80</v>
      </c>
      <c r="V469" s="134">
        <f>商品マスタ[[#This Row],[海外定価
（20％）]]-商品マスタ[[#This Row],[仕入単価+国内送料]]</f>
        <v>19</v>
      </c>
      <c r="W469" s="87">
        <f>ROUNDUP(商品マスタ[[#This Row],[仕入単価+国内送料]]/0.85,-1)</f>
        <v>80</v>
      </c>
      <c r="X469" s="134">
        <f>商品マスタ[[#This Row],[国内定価
（15％）]]-商品マスタ[[#This Row],[仕入単価+国内送料]]</f>
        <v>19</v>
      </c>
      <c r="Y469" s="139">
        <v>0.08</v>
      </c>
      <c r="Z469" s="87"/>
      <c r="AA469" s="87"/>
      <c r="AB469" s="87"/>
      <c r="AC469" s="140"/>
      <c r="AD469" s="87"/>
      <c r="AE469" s="87"/>
      <c r="AF469" s="87"/>
      <c r="AG469" s="141"/>
    </row>
    <row r="470" spans="1:33" ht="18">
      <c r="A470" s="166" t="s">
        <v>1524</v>
      </c>
      <c r="B470" s="167" t="s">
        <v>1229</v>
      </c>
      <c r="C470" s="167" t="s">
        <v>52</v>
      </c>
      <c r="D470" s="143" t="str">
        <f>"PRD_SNJ_"&amp;
_xlfn.XLOOKUP(商品マスタ[[#This Row],[仕入先]],テーブル1[仕入先名],テーブル1[仕入先コード],"XXX",0,1)&amp;
"_"&amp;
商品マスタ[[#This Row],[シリアル]]&amp;
"_"&amp;
TEXT(COUNTIFS(商品マスタ!$C$3:C470,商品マスタ[[#This Row],[仕入先]],商品マスタ!$E$3:E470,商品マスタ[[#This Row],[商品名]]), "00")</f>
        <v>PRD_SNJ_SKK_0010_02</v>
      </c>
      <c r="E470" s="87" t="s">
        <v>794</v>
      </c>
      <c r="F470" s="87">
        <f>IF(COUNTIFS($C$3:C470,商品マスタ[[#This Row],[仕入先]],$E$3:E470,商品マスタ[[#This Row],[商品名]]) = 1, 1,0)</f>
        <v>0</v>
      </c>
      <c r="G470" s="133" t="str">
        <f>TEXT(SUMIF($C$3:C470,商品マスタ[[#This Row],[仕入先]],$F$3:F470), "0000")</f>
        <v>0010</v>
      </c>
      <c r="H470" s="87" t="s">
        <v>481</v>
      </c>
      <c r="I470" s="87" t="s">
        <v>227</v>
      </c>
      <c r="J470" s="87" t="s">
        <v>1471</v>
      </c>
      <c r="K470" s="87"/>
      <c r="L470" s="134">
        <v>300</v>
      </c>
      <c r="M470" s="157"/>
      <c r="N470" s="134"/>
      <c r="O470" s="135" t="str">
        <f>IF(COUNT(商品マスタ[[#This Row],[参考上代
（税込)]]) &gt; 0, (商品マスタ[[#This Row],[参考上代
（税込)]]-商品マスタ[[#This Row],[国内定価
（15％）]])/(商品マスタ[[#This Row],[参考上代
（税込)]]/1.08), "")</f>
        <v/>
      </c>
      <c r="P470" s="136">
        <v>0.1</v>
      </c>
      <c r="Q470" s="134">
        <f>商品マスタ[[#This Row],[仕入
単価]]*商品マスタ[[#This Row],[標準国内送料率]]</f>
        <v>30</v>
      </c>
      <c r="R470" s="134">
        <v>0</v>
      </c>
      <c r="S470" s="134">
        <f>IF(ISBLANK(商品マスタ[[#This Row],[実績
国内送料]]),商品マスタ[[#This Row],[標準国内送料]],)</f>
        <v>0</v>
      </c>
      <c r="T470" s="134">
        <f>商品マスタ[[#This Row],[仕入
単価]]+商品マスタ[[#This Row],[国内送料]]</f>
        <v>300</v>
      </c>
      <c r="U470" s="134">
        <f>ROUNDUP(商品マスタ[[#This Row],[仕入単価+国内送料]]/0.8,-1)</f>
        <v>380</v>
      </c>
      <c r="V470" s="134">
        <f>商品マスタ[[#This Row],[海外定価
（20％）]]-商品マスタ[[#This Row],[仕入単価+国内送料]]</f>
        <v>80</v>
      </c>
      <c r="W470" s="87">
        <f>ROUNDUP(商品マスタ[[#This Row],[仕入単価+国内送料]]/0.85,-1)</f>
        <v>360</v>
      </c>
      <c r="X470" s="134">
        <f>商品マスタ[[#This Row],[国内定価
（15％）]]-商品マスタ[[#This Row],[仕入単価+国内送料]]</f>
        <v>60</v>
      </c>
      <c r="Y470" s="139">
        <v>0.08</v>
      </c>
      <c r="Z470" s="87"/>
      <c r="AA470" s="87"/>
      <c r="AB470" s="87"/>
      <c r="AC470" s="140"/>
      <c r="AD470" s="87"/>
      <c r="AE470" s="87"/>
      <c r="AF470" s="87"/>
      <c r="AG470" s="141"/>
    </row>
    <row r="471" spans="1:33" ht="18">
      <c r="A471" s="166" t="s">
        <v>1524</v>
      </c>
      <c r="B471" s="167" t="s">
        <v>1229</v>
      </c>
      <c r="C471" s="167" t="s">
        <v>52</v>
      </c>
      <c r="D471" s="143" t="str">
        <f>"PRD_SNJ_"&amp;
_xlfn.XLOOKUP(商品マスタ[[#This Row],[仕入先]],テーブル1[仕入先名],テーブル1[仕入先コード],"XXX",0,1)&amp;
"_"&amp;
商品マスタ[[#This Row],[シリアル]]&amp;
"_"&amp;
TEXT(COUNTIFS(商品マスタ!$C$3:C471,商品マスタ[[#This Row],[仕入先]],商品マスタ!$E$3:E471,商品マスタ[[#This Row],[商品名]]), "00")</f>
        <v>PRD_SNJ_SKK_0010_02</v>
      </c>
      <c r="E471" s="87" t="s">
        <v>796</v>
      </c>
      <c r="F471" s="87">
        <f>IF(COUNTIFS($C$3:C471,商品マスタ[[#This Row],[仕入先]],$E$3:E471,商品マスタ[[#This Row],[商品名]]) = 1, 1,0)</f>
        <v>0</v>
      </c>
      <c r="G471" s="133" t="str">
        <f>TEXT(SUMIF($C$3:C471,商品マスタ[[#This Row],[仕入先]],$F$3:F471), "0000")</f>
        <v>0010</v>
      </c>
      <c r="H471" s="87" t="s">
        <v>481</v>
      </c>
      <c r="I471" s="87" t="s">
        <v>1436</v>
      </c>
      <c r="J471" s="87" t="s">
        <v>1471</v>
      </c>
      <c r="K471" s="87"/>
      <c r="L471" s="134">
        <v>360</v>
      </c>
      <c r="M471" s="157"/>
      <c r="N471" s="134"/>
      <c r="O471" s="135" t="str">
        <f>IF(COUNT(商品マスタ[[#This Row],[参考上代
（税込)]]) &gt; 0, (商品マスタ[[#This Row],[参考上代
（税込)]]-商品マスタ[[#This Row],[国内定価
（15％）]])/(商品マスタ[[#This Row],[参考上代
（税込)]]/1.08), "")</f>
        <v/>
      </c>
      <c r="P471" s="136">
        <v>0.1</v>
      </c>
      <c r="Q471" s="134">
        <f>商品マスタ[[#This Row],[仕入
単価]]*商品マスタ[[#This Row],[標準国内送料率]]</f>
        <v>36</v>
      </c>
      <c r="R471" s="134">
        <v>0</v>
      </c>
      <c r="S471" s="134">
        <f>IF(ISBLANK(商品マスタ[[#This Row],[実績
国内送料]]),商品マスタ[[#This Row],[標準国内送料]],)</f>
        <v>0</v>
      </c>
      <c r="T471" s="134">
        <f>商品マスタ[[#This Row],[仕入
単価]]+商品マスタ[[#This Row],[国内送料]]</f>
        <v>360</v>
      </c>
      <c r="U471" s="134">
        <f>ROUNDUP(商品マスタ[[#This Row],[仕入単価+国内送料]]/0.8,-1)</f>
        <v>450</v>
      </c>
      <c r="V471" s="134">
        <f>商品マスタ[[#This Row],[海外定価
（20％）]]-商品マスタ[[#This Row],[仕入単価+国内送料]]</f>
        <v>90</v>
      </c>
      <c r="W471" s="87">
        <f>ROUNDUP(商品マスタ[[#This Row],[仕入単価+国内送料]]/0.85,-1)</f>
        <v>430</v>
      </c>
      <c r="X471" s="134">
        <f>商品マスタ[[#This Row],[国内定価
（15％）]]-商品マスタ[[#This Row],[仕入単価+国内送料]]</f>
        <v>70</v>
      </c>
      <c r="Y471" s="139">
        <v>0.08</v>
      </c>
      <c r="Z471" s="87"/>
      <c r="AA471" s="87"/>
      <c r="AB471" s="87"/>
      <c r="AC471" s="140"/>
      <c r="AD471" s="87"/>
      <c r="AE471" s="87"/>
      <c r="AF471" s="87"/>
      <c r="AG471" s="141"/>
    </row>
    <row r="472" spans="1:33" ht="18">
      <c r="A472" s="166" t="s">
        <v>1524</v>
      </c>
      <c r="B472" s="167" t="s">
        <v>1229</v>
      </c>
      <c r="C472" s="167" t="s">
        <v>52</v>
      </c>
      <c r="D472" s="143" t="str">
        <f>"PRD_SNJ_"&amp;
_xlfn.XLOOKUP(商品マスタ[[#This Row],[仕入先]],テーブル1[仕入先名],テーブル1[仕入先コード],"XXX",0,1)&amp;
"_"&amp;
商品マスタ[[#This Row],[シリアル]]&amp;
"_"&amp;
TEXT(COUNTIFS(商品マスタ!$C$3:C472,商品マスタ[[#This Row],[仕入先]],商品マスタ!$E$3:E472,商品マスタ[[#This Row],[商品名]]), "00")</f>
        <v>PRD_SNJ_SKK_0010_02</v>
      </c>
      <c r="E472" s="87" t="s">
        <v>797</v>
      </c>
      <c r="F472" s="87">
        <f>IF(COUNTIFS($C$3:C472,商品マスタ[[#This Row],[仕入先]],$E$3:E472,商品マスタ[[#This Row],[商品名]]) = 1, 1,0)</f>
        <v>0</v>
      </c>
      <c r="G472" s="133" t="str">
        <f>TEXT(SUMIF($C$3:C472,商品マスタ[[#This Row],[仕入先]],$F$3:F472), "0000")</f>
        <v>0010</v>
      </c>
      <c r="H472" s="87" t="s">
        <v>481</v>
      </c>
      <c r="I472" s="87" t="s">
        <v>334</v>
      </c>
      <c r="J472" s="87" t="s">
        <v>1471</v>
      </c>
      <c r="K472" s="87"/>
      <c r="L472" s="134">
        <v>300</v>
      </c>
      <c r="M472" s="157"/>
      <c r="N472" s="134"/>
      <c r="O472" s="135" t="str">
        <f>IF(COUNT(商品マスタ[[#This Row],[参考上代
（税込)]]) &gt; 0, (商品マスタ[[#This Row],[参考上代
（税込)]]-商品マスタ[[#This Row],[国内定価
（15％）]])/(商品マスタ[[#This Row],[参考上代
（税込)]]/1.08), "")</f>
        <v/>
      </c>
      <c r="P472" s="136">
        <v>0.1</v>
      </c>
      <c r="Q472" s="134">
        <f>商品マスタ[[#This Row],[仕入
単価]]*商品マスタ[[#This Row],[標準国内送料率]]</f>
        <v>30</v>
      </c>
      <c r="R472" s="134">
        <v>0</v>
      </c>
      <c r="S472" s="134">
        <f>IF(ISBLANK(商品マスタ[[#This Row],[実績
国内送料]]),商品マスタ[[#This Row],[標準国内送料]],)</f>
        <v>0</v>
      </c>
      <c r="T472" s="134">
        <f>商品マスタ[[#This Row],[仕入
単価]]+商品マスタ[[#This Row],[国内送料]]</f>
        <v>300</v>
      </c>
      <c r="U472" s="134">
        <f>ROUNDUP(商品マスタ[[#This Row],[仕入単価+国内送料]]/0.8,-1)</f>
        <v>380</v>
      </c>
      <c r="V472" s="134">
        <f>商品マスタ[[#This Row],[海外定価
（20％）]]-商品マスタ[[#This Row],[仕入単価+国内送料]]</f>
        <v>80</v>
      </c>
      <c r="W472" s="87">
        <f>ROUNDUP(商品マスタ[[#This Row],[仕入単価+国内送料]]/0.85,-1)</f>
        <v>360</v>
      </c>
      <c r="X472" s="134">
        <f>商品マスタ[[#This Row],[国内定価
（15％）]]-商品マスタ[[#This Row],[仕入単価+国内送料]]</f>
        <v>60</v>
      </c>
      <c r="Y472" s="139">
        <v>0.08</v>
      </c>
      <c r="Z472" s="87"/>
      <c r="AA472" s="87"/>
      <c r="AB472" s="87"/>
      <c r="AC472" s="140"/>
      <c r="AD472" s="87"/>
      <c r="AE472" s="87"/>
      <c r="AF472" s="87"/>
      <c r="AG472" s="141"/>
    </row>
    <row r="473" spans="1:33" ht="18">
      <c r="A473" s="166" t="s">
        <v>1524</v>
      </c>
      <c r="B473" s="167" t="s">
        <v>1229</v>
      </c>
      <c r="C473" s="167" t="s">
        <v>52</v>
      </c>
      <c r="D473" s="143" t="str">
        <f>"PRD_SNJ_"&amp;
_xlfn.XLOOKUP(商品マスタ[[#This Row],[仕入先]],テーブル1[仕入先名],テーブル1[仕入先コード],"XXX",0,1)&amp;
"_"&amp;
商品マスタ[[#This Row],[シリアル]]&amp;
"_"&amp;
TEXT(COUNTIFS(商品マスタ!$C$3:C473,商品マスタ[[#This Row],[仕入先]],商品マスタ!$E$3:E473,商品マスタ[[#This Row],[商品名]]), "00")</f>
        <v>PRD_SNJ_SKK_0011_01</v>
      </c>
      <c r="E473" s="87" t="s">
        <v>1347</v>
      </c>
      <c r="F473" s="87">
        <f>IF(COUNTIFS($C$3:C473,商品マスタ[[#This Row],[仕入先]],$E$3:E473,商品マスタ[[#This Row],[商品名]]) = 1, 1,0)</f>
        <v>1</v>
      </c>
      <c r="G473" s="133" t="str">
        <f>TEXT(SUMIF($C$3:C473,商品マスタ[[#This Row],[仕入先]],$F$3:F473), "0000")</f>
        <v>0011</v>
      </c>
      <c r="H473" s="87" t="s">
        <v>481</v>
      </c>
      <c r="I473" s="87" t="s">
        <v>1450</v>
      </c>
      <c r="J473" s="87" t="s">
        <v>1472</v>
      </c>
      <c r="K473" s="87"/>
      <c r="L473" s="134">
        <v>237</v>
      </c>
      <c r="M473" s="157"/>
      <c r="N473" s="134"/>
      <c r="O473" s="135" t="str">
        <f>IF(COUNT(商品マスタ[[#This Row],[参考上代
（税込)]]) &gt; 0, (商品マスタ[[#This Row],[参考上代
（税込)]]-商品マスタ[[#This Row],[国内定価
（15％）]])/(商品マスタ[[#This Row],[参考上代
（税込)]]/1.08), "")</f>
        <v/>
      </c>
      <c r="P473" s="136">
        <v>0.1</v>
      </c>
      <c r="Q473" s="134">
        <f>商品マスタ[[#This Row],[仕入
単価]]*商品マスタ[[#This Row],[標準国内送料率]]</f>
        <v>23.700000000000003</v>
      </c>
      <c r="R473" s="134">
        <v>0</v>
      </c>
      <c r="S473" s="134">
        <f>IF(ISBLANK(商品マスタ[[#This Row],[実績
国内送料]]),商品マスタ[[#This Row],[標準国内送料]],)</f>
        <v>0</v>
      </c>
      <c r="T473" s="134">
        <f>商品マスタ[[#This Row],[仕入
単価]]+商品マスタ[[#This Row],[国内送料]]</f>
        <v>237</v>
      </c>
      <c r="U473" s="134">
        <f>ROUNDUP(商品マスタ[[#This Row],[仕入単価+国内送料]]/0.8,-1)</f>
        <v>300</v>
      </c>
      <c r="V473" s="134">
        <f>商品マスタ[[#This Row],[海外定価
（20％）]]-商品マスタ[[#This Row],[仕入単価+国内送料]]</f>
        <v>63</v>
      </c>
      <c r="W473" s="87">
        <f>ROUNDUP(商品マスタ[[#This Row],[仕入単価+国内送料]]/0.85,-1)</f>
        <v>280</v>
      </c>
      <c r="X473" s="134">
        <f>商品マスタ[[#This Row],[国内定価
（15％）]]-商品マスタ[[#This Row],[仕入単価+国内送料]]</f>
        <v>43</v>
      </c>
      <c r="Y473" s="139">
        <v>0.08</v>
      </c>
      <c r="Z473" s="87"/>
      <c r="AA473" s="87"/>
      <c r="AB473" s="87"/>
      <c r="AC473" s="140"/>
      <c r="AD473" s="87"/>
      <c r="AE473" s="87"/>
      <c r="AF473" s="87"/>
      <c r="AG473" s="141"/>
    </row>
    <row r="474" spans="1:33" ht="18">
      <c r="A474" s="166" t="s">
        <v>1524</v>
      </c>
      <c r="B474" s="167" t="s">
        <v>1229</v>
      </c>
      <c r="C474" s="167" t="s">
        <v>52</v>
      </c>
      <c r="D474" s="143" t="str">
        <f>"PRD_SNJ_"&amp;
_xlfn.XLOOKUP(商品マスタ[[#This Row],[仕入先]],テーブル1[仕入先名],テーブル1[仕入先コード],"XXX",0,1)&amp;
"_"&amp;
商品マスタ[[#This Row],[シリアル]]&amp;
"_"&amp;
TEXT(COUNTIFS(商品マスタ!$C$3:C474,商品マスタ[[#This Row],[仕入先]],商品マスタ!$E$3:E474,商品マスタ[[#This Row],[商品名]]), "00")</f>
        <v>PRD_SNJ_SKK_0012_01</v>
      </c>
      <c r="E474" s="87" t="s">
        <v>1348</v>
      </c>
      <c r="F474" s="87">
        <f>IF(COUNTIFS($C$3:C474,商品マスタ[[#This Row],[仕入先]],$E$3:E474,商品マスタ[[#This Row],[商品名]]) = 1, 1,0)</f>
        <v>1</v>
      </c>
      <c r="G474" s="133" t="str">
        <f>TEXT(SUMIF($C$3:C474,商品マスタ[[#This Row],[仕入先]],$F$3:F474), "0000")</f>
        <v>0012</v>
      </c>
      <c r="H474" s="87" t="s">
        <v>481</v>
      </c>
      <c r="I474" s="87" t="s">
        <v>1451</v>
      </c>
      <c r="J474" s="87" t="s">
        <v>1473</v>
      </c>
      <c r="K474" s="87"/>
      <c r="L474" s="134">
        <v>270</v>
      </c>
      <c r="M474" s="157"/>
      <c r="N474" s="134"/>
      <c r="O474" s="135" t="str">
        <f>IF(COUNT(商品マスタ[[#This Row],[参考上代
（税込)]]) &gt; 0, (商品マスタ[[#This Row],[参考上代
（税込)]]-商品マスタ[[#This Row],[国内定価
（15％）]])/(商品マスタ[[#This Row],[参考上代
（税込)]]/1.08), "")</f>
        <v/>
      </c>
      <c r="P474" s="136">
        <v>0.1</v>
      </c>
      <c r="Q474" s="134">
        <f>商品マスタ[[#This Row],[仕入
単価]]*商品マスタ[[#This Row],[標準国内送料率]]</f>
        <v>27</v>
      </c>
      <c r="R474" s="134">
        <v>0</v>
      </c>
      <c r="S474" s="134">
        <f>IF(ISBLANK(商品マスタ[[#This Row],[実績
国内送料]]),商品マスタ[[#This Row],[標準国内送料]],)</f>
        <v>0</v>
      </c>
      <c r="T474" s="134">
        <f>商品マスタ[[#This Row],[仕入
単価]]+商品マスタ[[#This Row],[国内送料]]</f>
        <v>270</v>
      </c>
      <c r="U474" s="134">
        <f>ROUNDUP(商品マスタ[[#This Row],[仕入単価+国内送料]]/0.8,-1)</f>
        <v>340</v>
      </c>
      <c r="V474" s="134">
        <f>商品マスタ[[#This Row],[海外定価
（20％）]]-商品マスタ[[#This Row],[仕入単価+国内送料]]</f>
        <v>70</v>
      </c>
      <c r="W474" s="87">
        <f>ROUNDUP(商品マスタ[[#This Row],[仕入単価+国内送料]]/0.85,-1)</f>
        <v>320</v>
      </c>
      <c r="X474" s="134">
        <f>商品マスタ[[#This Row],[国内定価
（15％）]]-商品マスタ[[#This Row],[仕入単価+国内送料]]</f>
        <v>50</v>
      </c>
      <c r="Y474" s="139">
        <v>0.08</v>
      </c>
      <c r="Z474" s="87"/>
      <c r="AA474" s="87"/>
      <c r="AB474" s="87"/>
      <c r="AC474" s="140"/>
      <c r="AD474" s="87"/>
      <c r="AE474" s="87"/>
      <c r="AF474" s="87"/>
      <c r="AG474" s="141"/>
    </row>
    <row r="475" spans="1:33" ht="18">
      <c r="A475" s="166" t="s">
        <v>1524</v>
      </c>
      <c r="B475" s="167" t="s">
        <v>1229</v>
      </c>
      <c r="C475" s="167" t="s">
        <v>52</v>
      </c>
      <c r="D475" s="143" t="str">
        <f>"PRD_SNJ_"&amp;
_xlfn.XLOOKUP(商品マスタ[[#This Row],[仕入先]],テーブル1[仕入先名],テーブル1[仕入先コード],"XXX",0,1)&amp;
"_"&amp;
商品マスタ[[#This Row],[シリアル]]&amp;
"_"&amp;
TEXT(COUNTIFS(商品マスタ!$C$3:C475,商品マスタ[[#This Row],[仕入先]],商品マスタ!$E$3:E475,商品マスタ[[#This Row],[商品名]]), "00")</f>
        <v>PRD_SNJ_SKK_0013_01</v>
      </c>
      <c r="E475" s="87" t="s">
        <v>1349</v>
      </c>
      <c r="F475" s="87">
        <f>IF(COUNTIFS($C$3:C475,商品マスタ[[#This Row],[仕入先]],$E$3:E475,商品マスタ[[#This Row],[商品名]]) = 1, 1,0)</f>
        <v>1</v>
      </c>
      <c r="G475" s="133" t="str">
        <f>TEXT(SUMIF($C$3:C475,商品マスタ[[#This Row],[仕入先]],$F$3:F475), "0000")</f>
        <v>0013</v>
      </c>
      <c r="H475" s="87" t="s">
        <v>481</v>
      </c>
      <c r="I475" s="87" t="s">
        <v>1444</v>
      </c>
      <c r="J475" s="87" t="s">
        <v>1474</v>
      </c>
      <c r="K475" s="87"/>
      <c r="L475" s="134">
        <v>174</v>
      </c>
      <c r="M475" s="157"/>
      <c r="N475" s="134"/>
      <c r="O475" s="135" t="str">
        <f>IF(COUNT(商品マスタ[[#This Row],[参考上代
（税込)]]) &gt; 0, (商品マスタ[[#This Row],[参考上代
（税込)]]-商品マスタ[[#This Row],[国内定価
（15％）]])/(商品マスタ[[#This Row],[参考上代
（税込)]]/1.08), "")</f>
        <v/>
      </c>
      <c r="P475" s="136">
        <v>0.1</v>
      </c>
      <c r="Q475" s="134">
        <f>商品マスタ[[#This Row],[仕入
単価]]*商品マスタ[[#This Row],[標準国内送料率]]</f>
        <v>17.400000000000002</v>
      </c>
      <c r="R475" s="134">
        <v>0</v>
      </c>
      <c r="S475" s="134">
        <f>IF(ISBLANK(商品マスタ[[#This Row],[実績
国内送料]]),商品マスタ[[#This Row],[標準国内送料]],)</f>
        <v>0</v>
      </c>
      <c r="T475" s="134">
        <f>商品マスタ[[#This Row],[仕入
単価]]+商品マスタ[[#This Row],[国内送料]]</f>
        <v>174</v>
      </c>
      <c r="U475" s="134">
        <f>ROUNDUP(商品マスタ[[#This Row],[仕入単価+国内送料]]/0.8,-1)</f>
        <v>220</v>
      </c>
      <c r="V475" s="134">
        <f>商品マスタ[[#This Row],[海外定価
（20％）]]-商品マスタ[[#This Row],[仕入単価+国内送料]]</f>
        <v>46</v>
      </c>
      <c r="W475" s="87">
        <f>ROUNDUP(商品マスタ[[#This Row],[仕入単価+国内送料]]/0.85,-1)</f>
        <v>210</v>
      </c>
      <c r="X475" s="134">
        <f>商品マスタ[[#This Row],[国内定価
（15％）]]-商品マスタ[[#This Row],[仕入単価+国内送料]]</f>
        <v>36</v>
      </c>
      <c r="Y475" s="139">
        <v>0.08</v>
      </c>
      <c r="Z475" s="87"/>
      <c r="AA475" s="87"/>
      <c r="AB475" s="87"/>
      <c r="AC475" s="140"/>
      <c r="AD475" s="87"/>
      <c r="AE475" s="87"/>
      <c r="AF475" s="87"/>
      <c r="AG475" s="141"/>
    </row>
    <row r="476" spans="1:33" ht="18">
      <c r="A476" s="166" t="s">
        <v>1524</v>
      </c>
      <c r="B476" s="167" t="s">
        <v>1229</v>
      </c>
      <c r="C476" s="167" t="s">
        <v>52</v>
      </c>
      <c r="D476" s="143" t="str">
        <f>"PRD_SNJ_"&amp;
_xlfn.XLOOKUP(商品マスタ[[#This Row],[仕入先]],テーブル1[仕入先名],テーブル1[仕入先コード],"XXX",0,1)&amp;
"_"&amp;
商品マスタ[[#This Row],[シリアル]]&amp;
"_"&amp;
TEXT(COUNTIFS(商品マスタ!$C$3:C476,商品マスタ[[#This Row],[仕入先]],商品マスタ!$E$3:E476,商品マスタ[[#This Row],[商品名]]), "00")</f>
        <v>PRD_SNJ_SKK_0014_01</v>
      </c>
      <c r="E476" s="87" t="s">
        <v>1350</v>
      </c>
      <c r="F476" s="87">
        <f>IF(COUNTIFS($C$3:C476,商品マスタ[[#This Row],[仕入先]],$E$3:E476,商品マスタ[[#This Row],[商品名]]) = 1, 1,0)</f>
        <v>1</v>
      </c>
      <c r="G476" s="133" t="str">
        <f>TEXT(SUMIF($C$3:C476,商品マスタ[[#This Row],[仕入先]],$F$3:F476), "0000")</f>
        <v>0014</v>
      </c>
      <c r="H476" s="87" t="s">
        <v>481</v>
      </c>
      <c r="I476" s="87" t="s">
        <v>1437</v>
      </c>
      <c r="J476" s="87" t="s">
        <v>1474</v>
      </c>
      <c r="K476" s="87"/>
      <c r="L476" s="134">
        <v>174</v>
      </c>
      <c r="M476" s="157"/>
      <c r="N476" s="134"/>
      <c r="O476" s="135" t="str">
        <f>IF(COUNT(商品マスタ[[#This Row],[参考上代
（税込)]]) &gt; 0, (商品マスタ[[#This Row],[参考上代
（税込)]]-商品マスタ[[#This Row],[国内定価
（15％）]])/(商品マスタ[[#This Row],[参考上代
（税込)]]/1.08), "")</f>
        <v/>
      </c>
      <c r="P476" s="136">
        <v>0.1</v>
      </c>
      <c r="Q476" s="134">
        <f>商品マスタ[[#This Row],[仕入
単価]]*商品マスタ[[#This Row],[標準国内送料率]]</f>
        <v>17.400000000000002</v>
      </c>
      <c r="R476" s="134">
        <v>0</v>
      </c>
      <c r="S476" s="134">
        <f>IF(ISBLANK(商品マスタ[[#This Row],[実績
国内送料]]),商品マスタ[[#This Row],[標準国内送料]],)</f>
        <v>0</v>
      </c>
      <c r="T476" s="134">
        <f>商品マスタ[[#This Row],[仕入
単価]]+商品マスタ[[#This Row],[国内送料]]</f>
        <v>174</v>
      </c>
      <c r="U476" s="134">
        <f>ROUNDUP(商品マスタ[[#This Row],[仕入単価+国内送料]]/0.8,-1)</f>
        <v>220</v>
      </c>
      <c r="V476" s="134">
        <f>商品マスタ[[#This Row],[海外定価
（20％）]]-商品マスタ[[#This Row],[仕入単価+国内送料]]</f>
        <v>46</v>
      </c>
      <c r="W476" s="87">
        <f>ROUNDUP(商品マスタ[[#This Row],[仕入単価+国内送料]]/0.85,-1)</f>
        <v>210</v>
      </c>
      <c r="X476" s="134">
        <f>商品マスタ[[#This Row],[国内定価
（15％）]]-商品マスタ[[#This Row],[仕入単価+国内送料]]</f>
        <v>36</v>
      </c>
      <c r="Y476" s="139">
        <v>0.08</v>
      </c>
      <c r="Z476" s="87"/>
      <c r="AA476" s="87"/>
      <c r="AB476" s="87"/>
      <c r="AC476" s="140"/>
      <c r="AD476" s="87"/>
      <c r="AE476" s="87"/>
      <c r="AF476" s="87"/>
      <c r="AG476" s="141"/>
    </row>
    <row r="477" spans="1:33" ht="18">
      <c r="A477" s="166" t="s">
        <v>1524</v>
      </c>
      <c r="B477" s="167" t="s">
        <v>1229</v>
      </c>
      <c r="C477" s="167" t="s">
        <v>52</v>
      </c>
      <c r="D477" s="143" t="str">
        <f>"PRD_SNJ_"&amp;
_xlfn.XLOOKUP(商品マスタ[[#This Row],[仕入先]],テーブル1[仕入先名],テーブル1[仕入先コード],"XXX",0,1)&amp;
"_"&amp;
商品マスタ[[#This Row],[シリアル]]&amp;
"_"&amp;
TEXT(COUNTIFS(商品マスタ!$C$3:C477,商品マスタ[[#This Row],[仕入先]],商品マスタ!$E$3:E477,商品マスタ[[#This Row],[商品名]]), "00")</f>
        <v>PRD_SNJ_SKK_0015_01</v>
      </c>
      <c r="E477" s="87" t="s">
        <v>1351</v>
      </c>
      <c r="F477" s="87">
        <f>IF(COUNTIFS($C$3:C477,商品マスタ[[#This Row],[仕入先]],$E$3:E477,商品マスタ[[#This Row],[商品名]]) = 1, 1,0)</f>
        <v>1</v>
      </c>
      <c r="G477" s="133" t="str">
        <f>TEXT(SUMIF($C$3:C477,商品マスタ[[#This Row],[仕入先]],$F$3:F477), "0000")</f>
        <v>0015</v>
      </c>
      <c r="H477" s="87" t="s">
        <v>481</v>
      </c>
      <c r="I477" s="87" t="s">
        <v>1452</v>
      </c>
      <c r="J477" s="87" t="s">
        <v>1474</v>
      </c>
      <c r="K477" s="87"/>
      <c r="L477" s="134">
        <v>156</v>
      </c>
      <c r="M477" s="157"/>
      <c r="N477" s="134"/>
      <c r="O477" s="135" t="str">
        <f>IF(COUNT(商品マスタ[[#This Row],[参考上代
（税込)]]) &gt; 0, (商品マスタ[[#This Row],[参考上代
（税込)]]-商品マスタ[[#This Row],[国内定価
（15％）]])/(商品マスタ[[#This Row],[参考上代
（税込)]]/1.08), "")</f>
        <v/>
      </c>
      <c r="P477" s="136">
        <v>0.1</v>
      </c>
      <c r="Q477" s="134">
        <f>商品マスタ[[#This Row],[仕入
単価]]*商品マスタ[[#This Row],[標準国内送料率]]</f>
        <v>15.600000000000001</v>
      </c>
      <c r="R477" s="134">
        <v>0</v>
      </c>
      <c r="S477" s="134">
        <f>IF(ISBLANK(商品マスタ[[#This Row],[実績
国内送料]]),商品マスタ[[#This Row],[標準国内送料]],)</f>
        <v>0</v>
      </c>
      <c r="T477" s="134">
        <f>商品マスタ[[#This Row],[仕入
単価]]+商品マスタ[[#This Row],[国内送料]]</f>
        <v>156</v>
      </c>
      <c r="U477" s="134">
        <f>ROUNDUP(商品マスタ[[#This Row],[仕入単価+国内送料]]/0.8,-1)</f>
        <v>200</v>
      </c>
      <c r="V477" s="134">
        <f>商品マスタ[[#This Row],[海外定価
（20％）]]-商品マスタ[[#This Row],[仕入単価+国内送料]]</f>
        <v>44</v>
      </c>
      <c r="W477" s="87">
        <f>ROUNDUP(商品マスタ[[#This Row],[仕入単価+国内送料]]/0.85,-1)</f>
        <v>190</v>
      </c>
      <c r="X477" s="134">
        <f>商品マスタ[[#This Row],[国内定価
（15％）]]-商品マスタ[[#This Row],[仕入単価+国内送料]]</f>
        <v>34</v>
      </c>
      <c r="Y477" s="139">
        <v>0.08</v>
      </c>
      <c r="Z477" s="87"/>
      <c r="AA477" s="87"/>
      <c r="AB477" s="87"/>
      <c r="AC477" s="140"/>
      <c r="AD477" s="87"/>
      <c r="AE477" s="87"/>
      <c r="AF477" s="87"/>
      <c r="AG477" s="141"/>
    </row>
    <row r="478" spans="1:33" s="53" customFormat="1" ht="18">
      <c r="A478" s="166" t="s">
        <v>1524</v>
      </c>
      <c r="B478" s="167" t="s">
        <v>1229</v>
      </c>
      <c r="C478" s="167" t="s">
        <v>52</v>
      </c>
      <c r="D478" s="143" t="str">
        <f>"PRD_SNJ_"&amp;
_xlfn.XLOOKUP(商品マスタ[[#This Row],[仕入先]],テーブル1[仕入先名],テーブル1[仕入先コード],"XXX",0,1)&amp;
"_"&amp;
商品マスタ[[#This Row],[シリアル]]&amp;
"_"&amp;
TEXT(COUNTIFS(商品マスタ!$C$3:C478,商品マスタ[[#This Row],[仕入先]],商品マスタ!$E$3:E478,商品マスタ[[#This Row],[商品名]]), "00")</f>
        <v>PRD_SNJ_SKK_0016_01</v>
      </c>
      <c r="E478" s="87" t="s">
        <v>1352</v>
      </c>
      <c r="F478" s="87">
        <f>IF(COUNTIFS($C$3:C478,商品マスタ[[#This Row],[仕入先]],$E$3:E478,商品マスタ[[#This Row],[商品名]]) = 1, 1,0)</f>
        <v>1</v>
      </c>
      <c r="G478" s="133" t="str">
        <f>TEXT(SUMIF($C$3:C478,商品マスタ[[#This Row],[仕入先]],$F$3:F478), "0000")</f>
        <v>0016</v>
      </c>
      <c r="H478" s="87" t="s">
        <v>481</v>
      </c>
      <c r="I478" s="87" t="s">
        <v>1453</v>
      </c>
      <c r="J478" s="87" t="s">
        <v>1474</v>
      </c>
      <c r="K478" s="87"/>
      <c r="L478" s="134">
        <v>156</v>
      </c>
      <c r="M478" s="157"/>
      <c r="N478" s="134"/>
      <c r="O478" s="135" t="str">
        <f>IF(COUNT(商品マスタ[[#This Row],[参考上代
（税込)]]) &gt; 0, (商品マスタ[[#This Row],[参考上代
（税込)]]-商品マスタ[[#This Row],[国内定価
（15％）]])/(商品マスタ[[#This Row],[参考上代
（税込)]]/1.08), "")</f>
        <v/>
      </c>
      <c r="P478" s="136">
        <v>0.1</v>
      </c>
      <c r="Q478" s="134">
        <f>商品マスタ[[#This Row],[仕入
単価]]*商品マスタ[[#This Row],[標準国内送料率]]</f>
        <v>15.600000000000001</v>
      </c>
      <c r="R478" s="134">
        <v>0</v>
      </c>
      <c r="S478" s="134">
        <f>IF(ISBLANK(商品マスタ[[#This Row],[実績
国内送料]]),商品マスタ[[#This Row],[標準国内送料]],)</f>
        <v>0</v>
      </c>
      <c r="T478" s="134">
        <f>商品マスタ[[#This Row],[仕入
単価]]+商品マスタ[[#This Row],[国内送料]]</f>
        <v>156</v>
      </c>
      <c r="U478" s="134">
        <f>ROUNDUP(商品マスタ[[#This Row],[仕入単価+国内送料]]/0.8,-1)</f>
        <v>200</v>
      </c>
      <c r="V478" s="134">
        <f>商品マスタ[[#This Row],[海外定価
（20％）]]-商品マスタ[[#This Row],[仕入単価+国内送料]]</f>
        <v>44</v>
      </c>
      <c r="W478" s="87">
        <f>ROUNDUP(商品マスタ[[#This Row],[仕入単価+国内送料]]/0.85,-1)</f>
        <v>190</v>
      </c>
      <c r="X478" s="134">
        <f>商品マスタ[[#This Row],[国内定価
（15％）]]-商品マスタ[[#This Row],[仕入単価+国内送料]]</f>
        <v>34</v>
      </c>
      <c r="Y478" s="139">
        <v>0.08</v>
      </c>
      <c r="Z478" s="87"/>
      <c r="AA478" s="87"/>
      <c r="AB478" s="87"/>
      <c r="AC478" s="140"/>
      <c r="AD478" s="87"/>
      <c r="AE478" s="87"/>
      <c r="AF478" s="87"/>
      <c r="AG478" s="141"/>
    </row>
    <row r="479" spans="1:33" ht="18">
      <c r="A479" s="166" t="s">
        <v>1520</v>
      </c>
      <c r="B479" s="167" t="s">
        <v>1222</v>
      </c>
      <c r="C479" s="167" t="s">
        <v>1258</v>
      </c>
      <c r="D479" s="143" t="str">
        <f>"PRD_SNJ_"&amp;
_xlfn.XLOOKUP(商品マスタ[[#This Row],[仕入先]],テーブル1[仕入先名],テーブル1[仕入先コード],"XXX",0,1)&amp;
"_"&amp;
商品マスタ[[#This Row],[シリアル]]&amp;
"_"&amp;
TEXT(COUNTIFS(商品マスタ!$C$3:C479,商品マスタ[[#This Row],[仕入先]],商品マスタ!$E$3:E479,商品マスタ[[#This Row],[商品名]]), "00")</f>
        <v>PRD_SNJ_SSK_0001_01</v>
      </c>
      <c r="E479" s="87" t="s">
        <v>1354</v>
      </c>
      <c r="F479" s="87">
        <f>IF(COUNTIFS($C$3:C479,商品マスタ[[#This Row],[仕入先]],$E$3:E479,商品マスタ[[#This Row],[商品名]]) = 1, 1,0)</f>
        <v>1</v>
      </c>
      <c r="G479" s="133" t="str">
        <f>TEXT(SUMIF($C$3:C479,商品マスタ[[#This Row],[仕入先]],$F$3:F479), "0000")</f>
        <v>0001</v>
      </c>
      <c r="H479" s="87" t="s">
        <v>1009</v>
      </c>
      <c r="I479" s="87" t="s">
        <v>1011</v>
      </c>
      <c r="J479" s="87" t="s">
        <v>1476</v>
      </c>
      <c r="K479" s="87"/>
      <c r="L479" s="134">
        <v>3000</v>
      </c>
      <c r="M479" s="157"/>
      <c r="N479" s="134"/>
      <c r="O479" s="135" t="str">
        <f>IF(COUNT(商品マスタ[[#This Row],[参考上代
（税込)]]) &gt; 0, (商品マスタ[[#This Row],[参考上代
（税込)]]-商品マスタ[[#This Row],[国内定価
（15％）]])/(商品マスタ[[#This Row],[参考上代
（税込)]]/1.08), "")</f>
        <v/>
      </c>
      <c r="P479" s="136">
        <v>0.1</v>
      </c>
      <c r="Q479" s="134">
        <f>商品マスタ[[#This Row],[仕入
単価]]*商品マスタ[[#This Row],[標準国内送料率]]</f>
        <v>300</v>
      </c>
      <c r="R479" s="134">
        <v>0</v>
      </c>
      <c r="S479" s="134">
        <f>IF(ISBLANK(商品マスタ[[#This Row],[実績
国内送料]]),商品マスタ[[#This Row],[標準国内送料]],)</f>
        <v>0</v>
      </c>
      <c r="T479" s="134">
        <f>商品マスタ[[#This Row],[仕入
単価]]+商品マスタ[[#This Row],[国内送料]]</f>
        <v>3000</v>
      </c>
      <c r="U479" s="134">
        <f>ROUNDUP(商品マスタ[[#This Row],[仕入単価+国内送料]]/0.8,-1)</f>
        <v>3750</v>
      </c>
      <c r="V479" s="134">
        <f>商品マスタ[[#This Row],[海外定価
（20％）]]-商品マスタ[[#This Row],[仕入単価+国内送料]]</f>
        <v>750</v>
      </c>
      <c r="W479" s="87">
        <f>ROUNDUP(商品マスタ[[#This Row],[仕入単価+国内送料]]/0.85,-1)</f>
        <v>3530</v>
      </c>
      <c r="X479" s="134">
        <f>商品マスタ[[#This Row],[国内定価
（15％）]]-商品マスタ[[#This Row],[仕入単価+国内送料]]</f>
        <v>530</v>
      </c>
      <c r="Y479" s="139">
        <v>0.1</v>
      </c>
      <c r="Z479" s="87"/>
      <c r="AA479" s="87"/>
      <c r="AB479" s="87"/>
      <c r="AC479" s="140"/>
      <c r="AD479" s="87"/>
      <c r="AE479" s="87"/>
      <c r="AF479" s="87"/>
      <c r="AG479" s="141"/>
    </row>
    <row r="480" spans="1:33" ht="18">
      <c r="A480" s="166" t="s">
        <v>1520</v>
      </c>
      <c r="B480" s="167" t="s">
        <v>1222</v>
      </c>
      <c r="C480" s="167" t="s">
        <v>1258</v>
      </c>
      <c r="D480" s="143" t="str">
        <f>"PRD_SNJ_"&amp;
_xlfn.XLOOKUP(商品マスタ[[#This Row],[仕入先]],テーブル1[仕入先名],テーブル1[仕入先コード],"XXX",0,1)&amp;
"_"&amp;
商品マスタ[[#This Row],[シリアル]]&amp;
"_"&amp;
TEXT(COUNTIFS(商品マスタ!$C$3:C480,商品マスタ[[#This Row],[仕入先]],商品マスタ!$E$3:E480,商品マスタ[[#This Row],[商品名]]), "00")</f>
        <v>PRD_SNJ_SSK_0002_01</v>
      </c>
      <c r="E480" s="87" t="s">
        <v>1355</v>
      </c>
      <c r="F480" s="87">
        <f>IF(COUNTIFS($C$3:C480,商品マスタ[[#This Row],[仕入先]],$E$3:E480,商品マスタ[[#This Row],[商品名]]) = 1, 1,0)</f>
        <v>1</v>
      </c>
      <c r="G480" s="133" t="str">
        <f>TEXT(SUMIF($C$3:C480,商品マスタ[[#This Row],[仕入先]],$F$3:F480), "0000")</f>
        <v>0002</v>
      </c>
      <c r="H480" s="87" t="s">
        <v>1009</v>
      </c>
      <c r="I480" s="87" t="s">
        <v>1011</v>
      </c>
      <c r="J480" s="87" t="s">
        <v>1476</v>
      </c>
      <c r="K480" s="87"/>
      <c r="L480" s="134">
        <v>2000</v>
      </c>
      <c r="M480" s="157"/>
      <c r="N480" s="134"/>
      <c r="O480" s="135" t="str">
        <f>IF(COUNT(商品マスタ[[#This Row],[参考上代
（税込)]]) &gt; 0, (商品マスタ[[#This Row],[参考上代
（税込)]]-商品マスタ[[#This Row],[国内定価
（15％）]])/(商品マスタ[[#This Row],[参考上代
（税込)]]/1.08), "")</f>
        <v/>
      </c>
      <c r="P480" s="136">
        <v>0.1</v>
      </c>
      <c r="Q480" s="134">
        <f>商品マスタ[[#This Row],[仕入
単価]]*商品マスタ[[#This Row],[標準国内送料率]]</f>
        <v>200</v>
      </c>
      <c r="R480" s="134">
        <v>0</v>
      </c>
      <c r="S480" s="134">
        <f>IF(ISBLANK(商品マスタ[[#This Row],[実績
国内送料]]),商品マスタ[[#This Row],[標準国内送料]],)</f>
        <v>0</v>
      </c>
      <c r="T480" s="134">
        <f>商品マスタ[[#This Row],[仕入
単価]]+商品マスタ[[#This Row],[国内送料]]</f>
        <v>2000</v>
      </c>
      <c r="U480" s="134">
        <f>ROUNDUP(商品マスタ[[#This Row],[仕入単価+国内送料]]/0.8,-1)</f>
        <v>2500</v>
      </c>
      <c r="V480" s="134">
        <f>商品マスタ[[#This Row],[海外定価
（20％）]]-商品マスタ[[#This Row],[仕入単価+国内送料]]</f>
        <v>500</v>
      </c>
      <c r="W480" s="87">
        <f>ROUNDUP(商品マスタ[[#This Row],[仕入単価+国内送料]]/0.85,-1)</f>
        <v>2360</v>
      </c>
      <c r="X480" s="134">
        <f>商品マスタ[[#This Row],[国内定価
（15％）]]-商品マスタ[[#This Row],[仕入単価+国内送料]]</f>
        <v>360</v>
      </c>
      <c r="Y480" s="139">
        <v>0.1</v>
      </c>
      <c r="Z480" s="87"/>
      <c r="AA480" s="87"/>
      <c r="AB480" s="87"/>
      <c r="AC480" s="140"/>
      <c r="AD480" s="87"/>
      <c r="AE480" s="87"/>
      <c r="AF480" s="87"/>
      <c r="AG480" s="141"/>
    </row>
    <row r="481" spans="1:33" ht="18">
      <c r="A481" s="166" t="s">
        <v>1520</v>
      </c>
      <c r="B481" s="167" t="s">
        <v>1222</v>
      </c>
      <c r="C481" s="167" t="s">
        <v>1258</v>
      </c>
      <c r="D481" s="143" t="str">
        <f>"PRD_SNJ_"&amp;
_xlfn.XLOOKUP(商品マスタ[[#This Row],[仕入先]],テーブル1[仕入先名],テーブル1[仕入先コード],"XXX",0,1)&amp;
"_"&amp;
商品マスタ[[#This Row],[シリアル]]&amp;
"_"&amp;
TEXT(COUNTIFS(商品マスタ!$C$3:C481,商品マスタ[[#This Row],[仕入先]],商品マスタ!$E$3:E481,商品マスタ[[#This Row],[商品名]]), "00")</f>
        <v>PRD_SNJ_SSK_0003_01</v>
      </c>
      <c r="E481" s="87" t="s">
        <v>1356</v>
      </c>
      <c r="F481" s="87">
        <f>IF(COUNTIFS($C$3:C481,商品マスタ[[#This Row],[仕入先]],$E$3:E481,商品マスタ[[#This Row],[商品名]]) = 1, 1,0)</f>
        <v>1</v>
      </c>
      <c r="G481" s="133" t="str">
        <f>TEXT(SUMIF($C$3:C481,商品マスタ[[#This Row],[仕入先]],$F$3:F481), "0000")</f>
        <v>0003</v>
      </c>
      <c r="H481" s="87" t="s">
        <v>1009</v>
      </c>
      <c r="I481" s="87" t="s">
        <v>1011</v>
      </c>
      <c r="J481" s="87" t="s">
        <v>1476</v>
      </c>
      <c r="K481" s="87"/>
      <c r="L481" s="134">
        <v>1255</v>
      </c>
      <c r="M481" s="157"/>
      <c r="N481" s="134"/>
      <c r="O481" s="135" t="str">
        <f>IF(COUNT(商品マスタ[[#This Row],[参考上代
（税込)]]) &gt; 0, (商品マスタ[[#This Row],[参考上代
（税込)]]-商品マスタ[[#This Row],[国内定価
（15％）]])/(商品マスタ[[#This Row],[参考上代
（税込)]]/1.08), "")</f>
        <v/>
      </c>
      <c r="P481" s="136">
        <v>0.1</v>
      </c>
      <c r="Q481" s="134">
        <f>商品マスタ[[#This Row],[仕入
単価]]*商品マスタ[[#This Row],[標準国内送料率]]</f>
        <v>125.5</v>
      </c>
      <c r="R481" s="134">
        <v>0</v>
      </c>
      <c r="S481" s="134">
        <f>IF(ISBLANK(商品マスタ[[#This Row],[実績
国内送料]]),商品マスタ[[#This Row],[標準国内送料]],)</f>
        <v>0</v>
      </c>
      <c r="T481" s="134">
        <f>商品マスタ[[#This Row],[仕入
単価]]+商品マスタ[[#This Row],[国内送料]]</f>
        <v>1255</v>
      </c>
      <c r="U481" s="134">
        <f>ROUNDUP(商品マスタ[[#This Row],[仕入単価+国内送料]]/0.8,-1)</f>
        <v>1570</v>
      </c>
      <c r="V481" s="134">
        <f>商品マスタ[[#This Row],[海外定価
（20％）]]-商品マスタ[[#This Row],[仕入単価+国内送料]]</f>
        <v>315</v>
      </c>
      <c r="W481" s="87">
        <f>ROUNDUP(商品マスタ[[#This Row],[仕入単価+国内送料]]/0.85,-1)</f>
        <v>1480</v>
      </c>
      <c r="X481" s="134">
        <f>商品マスタ[[#This Row],[国内定価
（15％）]]-商品マスタ[[#This Row],[仕入単価+国内送料]]</f>
        <v>225</v>
      </c>
      <c r="Y481" s="139">
        <v>0.1</v>
      </c>
      <c r="Z481" s="87"/>
      <c r="AA481" s="87"/>
      <c r="AB481" s="87"/>
      <c r="AC481" s="140"/>
      <c r="AD481" s="87"/>
      <c r="AE481" s="87"/>
      <c r="AF481" s="87"/>
      <c r="AG481" s="141"/>
    </row>
    <row r="482" spans="1:33" ht="18">
      <c r="A482" s="166" t="s">
        <v>1520</v>
      </c>
      <c r="B482" s="167" t="s">
        <v>1222</v>
      </c>
      <c r="C482" s="167" t="s">
        <v>1258</v>
      </c>
      <c r="D482" s="143" t="str">
        <f>"PRD_SNJ_"&amp;
_xlfn.XLOOKUP(商品マスタ[[#This Row],[仕入先]],テーブル1[仕入先名],テーブル1[仕入先コード],"XXX",0,1)&amp;
"_"&amp;
商品マスタ[[#This Row],[シリアル]]&amp;
"_"&amp;
TEXT(COUNTIFS(商品マスタ!$C$3:C482,商品マスタ[[#This Row],[仕入先]],商品マスタ!$E$3:E482,商品マスタ[[#This Row],[商品名]]), "00")</f>
        <v>PRD_SNJ_SSK_0004_01</v>
      </c>
      <c r="E482" s="87" t="s">
        <v>1357</v>
      </c>
      <c r="F482" s="87">
        <f>IF(COUNTIFS($C$3:C482,商品マスタ[[#This Row],[仕入先]],$E$3:E482,商品マスタ[[#This Row],[商品名]]) = 1, 1,0)</f>
        <v>1</v>
      </c>
      <c r="G482" s="133" t="str">
        <f>TEXT(SUMIF($C$3:C482,商品マスタ[[#This Row],[仕入先]],$F$3:F482), "0000")</f>
        <v>0004</v>
      </c>
      <c r="H482" s="87" t="s">
        <v>1009</v>
      </c>
      <c r="I482" s="87" t="s">
        <v>1011</v>
      </c>
      <c r="J482" s="87" t="s">
        <v>1476</v>
      </c>
      <c r="K482" s="87"/>
      <c r="L482" s="134">
        <v>1817</v>
      </c>
      <c r="M482" s="157"/>
      <c r="N482" s="134"/>
      <c r="O482" s="135" t="str">
        <f>IF(COUNT(商品マスタ[[#This Row],[参考上代
（税込)]]) &gt; 0, (商品マスタ[[#This Row],[参考上代
（税込)]]-商品マスタ[[#This Row],[国内定価
（15％）]])/(商品マスタ[[#This Row],[参考上代
（税込)]]/1.08), "")</f>
        <v/>
      </c>
      <c r="P482" s="136">
        <v>0.1</v>
      </c>
      <c r="Q482" s="134">
        <f>商品マスタ[[#This Row],[仕入
単価]]*商品マスタ[[#This Row],[標準国内送料率]]</f>
        <v>181.70000000000002</v>
      </c>
      <c r="R482" s="134">
        <v>0</v>
      </c>
      <c r="S482" s="134">
        <f>IF(ISBLANK(商品マスタ[[#This Row],[実績
国内送料]]),商品マスタ[[#This Row],[標準国内送料]],)</f>
        <v>0</v>
      </c>
      <c r="T482" s="134">
        <f>商品マスタ[[#This Row],[仕入
単価]]+商品マスタ[[#This Row],[国内送料]]</f>
        <v>1817</v>
      </c>
      <c r="U482" s="134">
        <f>ROUNDUP(商品マスタ[[#This Row],[仕入単価+国内送料]]/0.8,-1)</f>
        <v>2280</v>
      </c>
      <c r="V482" s="134">
        <f>商品マスタ[[#This Row],[海外定価
（20％）]]-商品マスタ[[#This Row],[仕入単価+国内送料]]</f>
        <v>463</v>
      </c>
      <c r="W482" s="87">
        <f>ROUNDUP(商品マスタ[[#This Row],[仕入単価+国内送料]]/0.85,-1)</f>
        <v>2140</v>
      </c>
      <c r="X482" s="134">
        <f>商品マスタ[[#This Row],[国内定価
（15％）]]-商品マスタ[[#This Row],[仕入単価+国内送料]]</f>
        <v>323</v>
      </c>
      <c r="Y482" s="139">
        <v>0.1</v>
      </c>
      <c r="Z482" s="87"/>
      <c r="AA482" s="87"/>
      <c r="AB482" s="87"/>
      <c r="AC482" s="140"/>
      <c r="AD482" s="87"/>
      <c r="AE482" s="87"/>
      <c r="AF482" s="87"/>
      <c r="AG482" s="141"/>
    </row>
    <row r="483" spans="1:33" ht="18">
      <c r="A483" s="166" t="s">
        <v>1520</v>
      </c>
      <c r="B483" s="167" t="s">
        <v>1222</v>
      </c>
      <c r="C483" s="167" t="s">
        <v>1259</v>
      </c>
      <c r="D483" s="143" t="str">
        <f>"PRD_SNJ_"&amp;
_xlfn.XLOOKUP(商品マスタ[[#This Row],[仕入先]],テーブル1[仕入先名],テーブル1[仕入先コード],"XXX",0,1)&amp;
"_"&amp;
商品マスタ[[#This Row],[シリアル]]&amp;
"_"&amp;
TEXT(COUNTIFS(商品マスタ!$C$3:C483,商品マスタ[[#This Row],[仕入先]],商品マスタ!$E$3:E483,商品マスタ[[#This Row],[商品名]]), "00")</f>
        <v>PRD_SNJ_HMR_0001_01</v>
      </c>
      <c r="E483" s="87" t="s">
        <v>1358</v>
      </c>
      <c r="F483" s="87">
        <f>IF(COUNTIFS($C$3:C483,商品マスタ[[#This Row],[仕入先]],$E$3:E483,商品マスタ[[#This Row],[商品名]]) = 1, 1,0)</f>
        <v>1</v>
      </c>
      <c r="G483" s="133" t="str">
        <f>TEXT(SUMIF($C$3:C483,商品マスタ[[#This Row],[仕入先]],$F$3:F483), "0000")</f>
        <v>0001</v>
      </c>
      <c r="H483" s="87" t="s">
        <v>1009</v>
      </c>
      <c r="I483" s="87" t="s">
        <v>1011</v>
      </c>
      <c r="J483" s="87" t="s">
        <v>1476</v>
      </c>
      <c r="K483" s="87"/>
      <c r="L483" s="134">
        <v>2376</v>
      </c>
      <c r="M483" s="157"/>
      <c r="N483" s="134"/>
      <c r="O483" s="135" t="str">
        <f>IF(COUNT(商品マスタ[[#This Row],[参考上代
（税込)]]) &gt; 0, (商品マスタ[[#This Row],[参考上代
（税込)]]-商品マスタ[[#This Row],[国内定価
（15％）]])/(商品マスタ[[#This Row],[参考上代
（税込)]]/1.08), "")</f>
        <v/>
      </c>
      <c r="P483" s="136">
        <v>0.1</v>
      </c>
      <c r="Q483" s="134">
        <f>商品マスタ[[#This Row],[仕入
単価]]*商品マスタ[[#This Row],[標準国内送料率]]</f>
        <v>237.60000000000002</v>
      </c>
      <c r="R483" s="134">
        <v>0</v>
      </c>
      <c r="S483" s="134">
        <f>IF(ISBLANK(商品マスタ[[#This Row],[実績
国内送料]]),商品マスタ[[#This Row],[標準国内送料]],)</f>
        <v>0</v>
      </c>
      <c r="T483" s="134">
        <f>商品マスタ[[#This Row],[仕入
単価]]+商品マスタ[[#This Row],[国内送料]]</f>
        <v>2376</v>
      </c>
      <c r="U483" s="134">
        <f>ROUNDUP(商品マスタ[[#This Row],[仕入単価+国内送料]]/0.8,-1)</f>
        <v>2970</v>
      </c>
      <c r="V483" s="134">
        <f>商品マスタ[[#This Row],[海外定価
（20％）]]-商品マスタ[[#This Row],[仕入単価+国内送料]]</f>
        <v>594</v>
      </c>
      <c r="W483" s="87">
        <f>ROUNDUP(商品マスタ[[#This Row],[仕入単価+国内送料]]/0.85,-1)</f>
        <v>2800</v>
      </c>
      <c r="X483" s="134">
        <f>商品マスタ[[#This Row],[国内定価
（15％）]]-商品マスタ[[#This Row],[仕入単価+国内送料]]</f>
        <v>424</v>
      </c>
      <c r="Y483" s="139">
        <v>0.1</v>
      </c>
      <c r="Z483" s="87"/>
      <c r="AA483" s="87"/>
      <c r="AB483" s="87"/>
      <c r="AC483" s="140"/>
      <c r="AD483" s="87"/>
      <c r="AE483" s="87"/>
      <c r="AF483" s="87"/>
      <c r="AG483" s="141"/>
    </row>
    <row r="484" spans="1:33" ht="18">
      <c r="A484" s="166" t="s">
        <v>1520</v>
      </c>
      <c r="B484" s="167" t="s">
        <v>1222</v>
      </c>
      <c r="C484" s="167" t="s">
        <v>1259</v>
      </c>
      <c r="D484" s="143" t="str">
        <f>"PRD_SNJ_"&amp;
_xlfn.XLOOKUP(商品マスタ[[#This Row],[仕入先]],テーブル1[仕入先名],テーブル1[仕入先コード],"XXX",0,1)&amp;
"_"&amp;
商品マスタ[[#This Row],[シリアル]]&amp;
"_"&amp;
TEXT(COUNTIFS(商品マスタ!$C$3:C484,商品マスタ[[#This Row],[仕入先]],商品マスタ!$E$3:E484,商品マスタ[[#This Row],[商品名]]), "00")</f>
        <v>PRD_SNJ_HMR_0002_01</v>
      </c>
      <c r="E484" s="87" t="s">
        <v>1359</v>
      </c>
      <c r="F484" s="87">
        <f>IF(COUNTIFS($C$3:C484,商品マスタ[[#This Row],[仕入先]],$E$3:E484,商品マスタ[[#This Row],[商品名]]) = 1, 1,0)</f>
        <v>1</v>
      </c>
      <c r="G484" s="133" t="str">
        <f>TEXT(SUMIF($C$3:C484,商品マスタ[[#This Row],[仕入先]],$F$3:F484), "0000")</f>
        <v>0002</v>
      </c>
      <c r="H484" s="87" t="s">
        <v>1009</v>
      </c>
      <c r="I484" s="87" t="s">
        <v>1011</v>
      </c>
      <c r="J484" s="87" t="s">
        <v>1476</v>
      </c>
      <c r="K484" s="87"/>
      <c r="L484" s="134">
        <v>865</v>
      </c>
      <c r="M484" s="157"/>
      <c r="N484" s="134"/>
      <c r="O484" s="135" t="str">
        <f>IF(COUNT(商品マスタ[[#This Row],[参考上代
（税込)]]) &gt; 0, (商品マスタ[[#This Row],[参考上代
（税込)]]-商品マスタ[[#This Row],[国内定価
（15％）]])/(商品マスタ[[#This Row],[参考上代
（税込)]]/1.08), "")</f>
        <v/>
      </c>
      <c r="P484" s="136">
        <v>0.1</v>
      </c>
      <c r="Q484" s="134">
        <f>商品マスタ[[#This Row],[仕入
単価]]*商品マスタ[[#This Row],[標準国内送料率]]</f>
        <v>86.5</v>
      </c>
      <c r="R484" s="134">
        <v>0</v>
      </c>
      <c r="S484" s="134">
        <f>IF(ISBLANK(商品マスタ[[#This Row],[実績
国内送料]]),商品マスタ[[#This Row],[標準国内送料]],)</f>
        <v>0</v>
      </c>
      <c r="T484" s="134">
        <f>商品マスタ[[#This Row],[仕入
単価]]+商品マスタ[[#This Row],[国内送料]]</f>
        <v>865</v>
      </c>
      <c r="U484" s="134">
        <f>ROUNDUP(商品マスタ[[#This Row],[仕入単価+国内送料]]/0.8,-1)</f>
        <v>1090</v>
      </c>
      <c r="V484" s="134">
        <f>商品マスタ[[#This Row],[海外定価
（20％）]]-商品マスタ[[#This Row],[仕入単価+国内送料]]</f>
        <v>225</v>
      </c>
      <c r="W484" s="87">
        <f>ROUNDUP(商品マスタ[[#This Row],[仕入単価+国内送料]]/0.85,-1)</f>
        <v>1020</v>
      </c>
      <c r="X484" s="134">
        <f>商品マスタ[[#This Row],[国内定価
（15％）]]-商品マスタ[[#This Row],[仕入単価+国内送料]]</f>
        <v>155</v>
      </c>
      <c r="Y484" s="139">
        <v>0.1</v>
      </c>
      <c r="Z484" s="87"/>
      <c r="AA484" s="87"/>
      <c r="AB484" s="87"/>
      <c r="AC484" s="140"/>
      <c r="AD484" s="87"/>
      <c r="AE484" s="87"/>
      <c r="AF484" s="87"/>
      <c r="AG484" s="141"/>
    </row>
    <row r="485" spans="1:33" ht="18">
      <c r="A485" s="166" t="s">
        <v>1520</v>
      </c>
      <c r="B485" s="167" t="s">
        <v>1222</v>
      </c>
      <c r="C485" s="167" t="s">
        <v>1259</v>
      </c>
      <c r="D485" s="143" t="str">
        <f>"PRD_SNJ_"&amp;
_xlfn.XLOOKUP(商品マスタ[[#This Row],[仕入先]],テーブル1[仕入先名],テーブル1[仕入先コード],"XXX",0,1)&amp;
"_"&amp;
商品マスタ[[#This Row],[シリアル]]&amp;
"_"&amp;
TEXT(COUNTIFS(商品マスタ!$C$3:C485,商品マスタ[[#This Row],[仕入先]],商品マスタ!$E$3:E485,商品マスタ[[#This Row],[商品名]]), "00")</f>
        <v>PRD_SNJ_HMR_0003_01</v>
      </c>
      <c r="E485" s="87" t="s">
        <v>1360</v>
      </c>
      <c r="F485" s="87">
        <f>IF(COUNTIFS($C$3:C485,商品マスタ[[#This Row],[仕入先]],$E$3:E485,商品マスタ[[#This Row],[商品名]]) = 1, 1,0)</f>
        <v>1</v>
      </c>
      <c r="G485" s="133" t="str">
        <f>TEXT(SUMIF($C$3:C485,商品マスタ[[#This Row],[仕入先]],$F$3:F485), "0000")</f>
        <v>0003</v>
      </c>
      <c r="H485" s="87" t="s">
        <v>1009</v>
      </c>
      <c r="I485" s="87" t="s">
        <v>1011</v>
      </c>
      <c r="J485" s="87" t="s">
        <v>1476</v>
      </c>
      <c r="K485" s="87"/>
      <c r="L485" s="134">
        <v>562</v>
      </c>
      <c r="M485" s="157"/>
      <c r="N485" s="134"/>
      <c r="O485" s="135" t="str">
        <f>IF(COUNT(商品マスタ[[#This Row],[参考上代
（税込)]]) &gt; 0, (商品マスタ[[#This Row],[参考上代
（税込)]]-商品マスタ[[#This Row],[国内定価
（15％）]])/(商品マスタ[[#This Row],[参考上代
（税込)]]/1.08), "")</f>
        <v/>
      </c>
      <c r="P485" s="136">
        <v>0.1</v>
      </c>
      <c r="Q485" s="134">
        <f>商品マスタ[[#This Row],[仕入
単価]]*商品マスタ[[#This Row],[標準国内送料率]]</f>
        <v>56.2</v>
      </c>
      <c r="R485" s="134">
        <v>0</v>
      </c>
      <c r="S485" s="134">
        <f>IF(ISBLANK(商品マスタ[[#This Row],[実績
国内送料]]),商品マスタ[[#This Row],[標準国内送料]],)</f>
        <v>0</v>
      </c>
      <c r="T485" s="134">
        <f>商品マスタ[[#This Row],[仕入
単価]]+商品マスタ[[#This Row],[国内送料]]</f>
        <v>562</v>
      </c>
      <c r="U485" s="134">
        <f>ROUNDUP(商品マスタ[[#This Row],[仕入単価+国内送料]]/0.8,-1)</f>
        <v>710</v>
      </c>
      <c r="V485" s="134">
        <f>商品マスタ[[#This Row],[海外定価
（20％）]]-商品マスタ[[#This Row],[仕入単価+国内送料]]</f>
        <v>148</v>
      </c>
      <c r="W485" s="87">
        <f>ROUNDUP(商品マスタ[[#This Row],[仕入単価+国内送料]]/0.85,-1)</f>
        <v>670</v>
      </c>
      <c r="X485" s="134">
        <f>商品マスタ[[#This Row],[国内定価
（15％）]]-商品マスタ[[#This Row],[仕入単価+国内送料]]</f>
        <v>108</v>
      </c>
      <c r="Y485" s="139">
        <v>0.1</v>
      </c>
      <c r="Z485" s="87"/>
      <c r="AA485" s="87"/>
      <c r="AB485" s="87"/>
      <c r="AC485" s="140"/>
      <c r="AD485" s="87"/>
      <c r="AE485" s="87"/>
      <c r="AF485" s="87"/>
      <c r="AG485" s="141"/>
    </row>
    <row r="486" spans="1:33" ht="18">
      <c r="A486" s="166" t="s">
        <v>1520</v>
      </c>
      <c r="B486" s="167" t="s">
        <v>1222</v>
      </c>
      <c r="C486" s="167" t="s">
        <v>1259</v>
      </c>
      <c r="D486" s="143" t="str">
        <f>"PRD_SNJ_"&amp;
_xlfn.XLOOKUP(商品マスタ[[#This Row],[仕入先]],テーブル1[仕入先名],テーブル1[仕入先コード],"XXX",0,1)&amp;
"_"&amp;
商品マスタ[[#This Row],[シリアル]]&amp;
"_"&amp;
TEXT(COUNTIFS(商品マスタ!$C$3:C486,商品マスタ[[#This Row],[仕入先]],商品マスタ!$E$3:E486,商品マスタ[[#This Row],[商品名]]), "00")</f>
        <v>PRD_SNJ_HMR_0004_01</v>
      </c>
      <c r="E486" s="87" t="s">
        <v>1361</v>
      </c>
      <c r="F486" s="87">
        <f>IF(COUNTIFS($C$3:C486,商品マスタ[[#This Row],[仕入先]],$E$3:E486,商品マスタ[[#This Row],[商品名]]) = 1, 1,0)</f>
        <v>1</v>
      </c>
      <c r="G486" s="133" t="str">
        <f>TEXT(SUMIF($C$3:C486,商品マスタ[[#This Row],[仕入先]],$F$3:F486), "0000")</f>
        <v>0004</v>
      </c>
      <c r="H486" s="87" t="s">
        <v>1009</v>
      </c>
      <c r="I486" s="87" t="s">
        <v>1011</v>
      </c>
      <c r="J486" s="87" t="s">
        <v>1476</v>
      </c>
      <c r="K486" s="87"/>
      <c r="L486" s="134">
        <v>524</v>
      </c>
      <c r="M486" s="157"/>
      <c r="N486" s="134"/>
      <c r="O486" s="135" t="str">
        <f>IF(COUNT(商品マスタ[[#This Row],[参考上代
（税込)]]) &gt; 0, (商品マスタ[[#This Row],[参考上代
（税込)]]-商品マスタ[[#This Row],[国内定価
（15％）]])/(商品マスタ[[#This Row],[参考上代
（税込)]]/1.08), "")</f>
        <v/>
      </c>
      <c r="P486" s="136">
        <v>0.1</v>
      </c>
      <c r="Q486" s="134">
        <f>商品マスタ[[#This Row],[仕入
単価]]*商品マスタ[[#This Row],[標準国内送料率]]</f>
        <v>52.400000000000006</v>
      </c>
      <c r="R486" s="134">
        <v>0</v>
      </c>
      <c r="S486" s="134">
        <f>IF(ISBLANK(商品マスタ[[#This Row],[実績
国内送料]]),商品マスタ[[#This Row],[標準国内送料]],)</f>
        <v>0</v>
      </c>
      <c r="T486" s="134">
        <f>商品マスタ[[#This Row],[仕入
単価]]+商品マスタ[[#This Row],[国内送料]]</f>
        <v>524</v>
      </c>
      <c r="U486" s="134">
        <f>ROUNDUP(商品マスタ[[#This Row],[仕入単価+国内送料]]/0.8,-1)</f>
        <v>660</v>
      </c>
      <c r="V486" s="134">
        <f>商品マスタ[[#This Row],[海外定価
（20％）]]-商品マスタ[[#This Row],[仕入単価+国内送料]]</f>
        <v>136</v>
      </c>
      <c r="W486" s="87">
        <f>ROUNDUP(商品マスタ[[#This Row],[仕入単価+国内送料]]/0.85,-1)</f>
        <v>620</v>
      </c>
      <c r="X486" s="134">
        <f>商品マスタ[[#This Row],[国内定価
（15％）]]-商品マスタ[[#This Row],[仕入単価+国内送料]]</f>
        <v>96</v>
      </c>
      <c r="Y486" s="139">
        <v>0.1</v>
      </c>
      <c r="Z486" s="87"/>
      <c r="AA486" s="87"/>
      <c r="AB486" s="87"/>
      <c r="AC486" s="140"/>
      <c r="AD486" s="87"/>
      <c r="AE486" s="87"/>
      <c r="AF486" s="87"/>
      <c r="AG486" s="141"/>
    </row>
    <row r="487" spans="1:33" ht="18">
      <c r="A487" s="166" t="s">
        <v>1520</v>
      </c>
      <c r="B487" s="167" t="s">
        <v>1222</v>
      </c>
      <c r="C487" s="167" t="s">
        <v>1260</v>
      </c>
      <c r="D487" s="143" t="str">
        <f>"PRD_SNJ_"&amp;
_xlfn.XLOOKUP(商品マスタ[[#This Row],[仕入先]],テーブル1[仕入先名],テーブル1[仕入先コード],"XXX",0,1)&amp;
"_"&amp;
商品マスタ[[#This Row],[シリアル]]&amp;
"_"&amp;
TEXT(COUNTIFS(商品マスタ!$C$3:C487,商品マスタ[[#This Row],[仕入先]],商品マスタ!$E$3:E487,商品マスタ[[#This Row],[商品名]]), "00")</f>
        <v>PRD_SNJ_YMG_0001_01</v>
      </c>
      <c r="E487" s="87" t="s">
        <v>1362</v>
      </c>
      <c r="F487" s="87">
        <f>IF(COUNTIFS($C$3:C487,商品マスタ[[#This Row],[仕入先]],$E$3:E487,商品マスタ[[#This Row],[商品名]]) = 1, 1,0)</f>
        <v>1</v>
      </c>
      <c r="G487" s="133" t="str">
        <f>TEXT(SUMIF($C$3:C487,商品マスタ[[#This Row],[仕入先]],$F$3:F487), "0000")</f>
        <v>0001</v>
      </c>
      <c r="H487" s="87" t="s">
        <v>1009</v>
      </c>
      <c r="I487" s="87" t="s">
        <v>1011</v>
      </c>
      <c r="J487" s="87" t="s">
        <v>1476</v>
      </c>
      <c r="K487" s="87"/>
      <c r="L487" s="134">
        <v>1134</v>
      </c>
      <c r="M487" s="157"/>
      <c r="N487" s="134"/>
      <c r="O487" s="135" t="str">
        <f>IF(COUNT(商品マスタ[[#This Row],[参考上代
（税込)]]) &gt; 0, (商品マスタ[[#This Row],[参考上代
（税込)]]-商品マスタ[[#This Row],[国内定価
（15％）]])/(商品マスタ[[#This Row],[参考上代
（税込)]]/1.08), "")</f>
        <v/>
      </c>
      <c r="P487" s="136">
        <v>0.1</v>
      </c>
      <c r="Q487" s="134">
        <f>商品マスタ[[#This Row],[仕入
単価]]*商品マスタ[[#This Row],[標準国内送料率]]</f>
        <v>113.4</v>
      </c>
      <c r="R487" s="134">
        <v>0</v>
      </c>
      <c r="S487" s="134">
        <f>IF(ISBLANK(商品マスタ[[#This Row],[実績
国内送料]]),商品マスタ[[#This Row],[標準国内送料]],)</f>
        <v>0</v>
      </c>
      <c r="T487" s="134">
        <f>商品マスタ[[#This Row],[仕入
単価]]+商品マスタ[[#This Row],[国内送料]]</f>
        <v>1134</v>
      </c>
      <c r="U487" s="134">
        <f>ROUNDUP(商品マスタ[[#This Row],[仕入単価+国内送料]]/0.8,-1)</f>
        <v>1420</v>
      </c>
      <c r="V487" s="134">
        <f>商品マスタ[[#This Row],[海外定価
（20％）]]-商品マスタ[[#This Row],[仕入単価+国内送料]]</f>
        <v>286</v>
      </c>
      <c r="W487" s="87">
        <f>ROUNDUP(商品マスタ[[#This Row],[仕入単価+国内送料]]/0.85,-1)</f>
        <v>1340</v>
      </c>
      <c r="X487" s="134">
        <f>商品マスタ[[#This Row],[国内定価
（15％）]]-商品マスタ[[#This Row],[仕入単価+国内送料]]</f>
        <v>206</v>
      </c>
      <c r="Y487" s="139">
        <v>0.1</v>
      </c>
      <c r="Z487" s="87"/>
      <c r="AA487" s="87"/>
      <c r="AB487" s="87"/>
      <c r="AC487" s="140"/>
      <c r="AD487" s="87"/>
      <c r="AE487" s="87"/>
      <c r="AF487" s="87"/>
      <c r="AG487" s="141"/>
    </row>
    <row r="488" spans="1:33" ht="18">
      <c r="A488" s="166" t="s">
        <v>1520</v>
      </c>
      <c r="B488" s="167" t="s">
        <v>1222</v>
      </c>
      <c r="C488" s="167" t="s">
        <v>1260</v>
      </c>
      <c r="D488" s="143" t="str">
        <f>"PRD_SNJ_"&amp;
_xlfn.XLOOKUP(商品マスタ[[#This Row],[仕入先]],テーブル1[仕入先名],テーブル1[仕入先コード],"XXX",0,1)&amp;
"_"&amp;
商品マスタ[[#This Row],[シリアル]]&amp;
"_"&amp;
TEXT(COUNTIFS(商品マスタ!$C$3:C488,商品マスタ[[#This Row],[仕入先]],商品マスタ!$E$3:E488,商品マスタ[[#This Row],[商品名]]), "00")</f>
        <v>PRD_SNJ_YMG_0002_01</v>
      </c>
      <c r="E488" s="87" t="s">
        <v>1363</v>
      </c>
      <c r="F488" s="87">
        <f>IF(COUNTIFS($C$3:C488,商品マスタ[[#This Row],[仕入先]],$E$3:E488,商品マスタ[[#This Row],[商品名]]) = 1, 1,0)</f>
        <v>1</v>
      </c>
      <c r="G488" s="133" t="str">
        <f>TEXT(SUMIF($C$3:C488,商品マスタ[[#This Row],[仕入先]],$F$3:F488), "0000")</f>
        <v>0002</v>
      </c>
      <c r="H488" s="87" t="s">
        <v>1009</v>
      </c>
      <c r="I488" s="87" t="s">
        <v>1011</v>
      </c>
      <c r="J488" s="87" t="s">
        <v>1476</v>
      </c>
      <c r="K488" s="87"/>
      <c r="L488" s="134">
        <v>799</v>
      </c>
      <c r="M488" s="157"/>
      <c r="N488" s="134"/>
      <c r="O488" s="135" t="str">
        <f>IF(COUNT(商品マスタ[[#This Row],[参考上代
（税込)]]) &gt; 0, (商品マスタ[[#This Row],[参考上代
（税込)]]-商品マスタ[[#This Row],[国内定価
（15％）]])/(商品マスタ[[#This Row],[参考上代
（税込)]]/1.08), "")</f>
        <v/>
      </c>
      <c r="P488" s="136">
        <v>0.1</v>
      </c>
      <c r="Q488" s="134">
        <f>商品マスタ[[#This Row],[仕入
単価]]*商品マスタ[[#This Row],[標準国内送料率]]</f>
        <v>79.900000000000006</v>
      </c>
      <c r="R488" s="134">
        <v>0</v>
      </c>
      <c r="S488" s="134">
        <f>IF(ISBLANK(商品マスタ[[#This Row],[実績
国内送料]]),商品マスタ[[#This Row],[標準国内送料]],)</f>
        <v>0</v>
      </c>
      <c r="T488" s="134">
        <f>商品マスタ[[#This Row],[仕入
単価]]+商品マスタ[[#This Row],[国内送料]]</f>
        <v>799</v>
      </c>
      <c r="U488" s="134">
        <f>ROUNDUP(商品マスタ[[#This Row],[仕入単価+国内送料]]/0.8,-1)</f>
        <v>1000</v>
      </c>
      <c r="V488" s="134">
        <f>商品マスタ[[#This Row],[海外定価
（20％）]]-商品マスタ[[#This Row],[仕入単価+国内送料]]</f>
        <v>201</v>
      </c>
      <c r="W488" s="87">
        <f>ROUNDUP(商品マスタ[[#This Row],[仕入単価+国内送料]]/0.85,-1)</f>
        <v>940</v>
      </c>
      <c r="X488" s="134">
        <f>商品マスタ[[#This Row],[国内定価
（15％）]]-商品マスタ[[#This Row],[仕入単価+国内送料]]</f>
        <v>141</v>
      </c>
      <c r="Y488" s="139">
        <v>0.1</v>
      </c>
      <c r="Z488" s="87"/>
      <c r="AA488" s="87"/>
      <c r="AB488" s="87"/>
      <c r="AC488" s="140"/>
      <c r="AD488" s="87"/>
      <c r="AE488" s="87"/>
      <c r="AF488" s="87"/>
      <c r="AG488" s="141"/>
    </row>
    <row r="489" spans="1:33" ht="18">
      <c r="A489" s="166" t="s">
        <v>1520</v>
      </c>
      <c r="B489" s="167" t="s">
        <v>1222</v>
      </c>
      <c r="C489" s="167" t="s">
        <v>1260</v>
      </c>
      <c r="D489" s="143" t="str">
        <f>"PRD_SNJ_"&amp;
_xlfn.XLOOKUP(商品マスタ[[#This Row],[仕入先]],テーブル1[仕入先名],テーブル1[仕入先コード],"XXX",0,1)&amp;
"_"&amp;
商品マスタ[[#This Row],[シリアル]]&amp;
"_"&amp;
TEXT(COUNTIFS(商品マスタ!$C$3:C489,商品マスタ[[#This Row],[仕入先]],商品マスタ!$E$3:E489,商品マスタ[[#This Row],[商品名]]), "00")</f>
        <v>PRD_SNJ_YMG_0003_01</v>
      </c>
      <c r="E489" s="87" t="s">
        <v>1364</v>
      </c>
      <c r="F489" s="87">
        <f>IF(COUNTIFS($C$3:C489,商品マスタ[[#This Row],[仕入先]],$E$3:E489,商品マスタ[[#This Row],[商品名]]) = 1, 1,0)</f>
        <v>1</v>
      </c>
      <c r="G489" s="133" t="str">
        <f>TEXT(SUMIF($C$3:C489,商品マスタ[[#This Row],[仕入先]],$F$3:F489), "0000")</f>
        <v>0003</v>
      </c>
      <c r="H489" s="87" t="s">
        <v>1009</v>
      </c>
      <c r="I489" s="87" t="s">
        <v>1011</v>
      </c>
      <c r="J489" s="87" t="s">
        <v>1476</v>
      </c>
      <c r="K489" s="87"/>
      <c r="L489" s="134">
        <v>665</v>
      </c>
      <c r="M489" s="157"/>
      <c r="N489" s="134"/>
      <c r="O489" s="135" t="str">
        <f>IF(COUNT(商品マスタ[[#This Row],[参考上代
（税込)]]) &gt; 0, (商品マスタ[[#This Row],[参考上代
（税込)]]-商品マスタ[[#This Row],[国内定価
（15％）]])/(商品マスタ[[#This Row],[参考上代
（税込)]]/1.08), "")</f>
        <v/>
      </c>
      <c r="P489" s="136">
        <v>0.1</v>
      </c>
      <c r="Q489" s="134">
        <f>商品マスタ[[#This Row],[仕入
単価]]*商品マスタ[[#This Row],[標準国内送料率]]</f>
        <v>66.5</v>
      </c>
      <c r="R489" s="134">
        <v>0</v>
      </c>
      <c r="S489" s="134">
        <f>IF(ISBLANK(商品マスタ[[#This Row],[実績
国内送料]]),商品マスタ[[#This Row],[標準国内送料]],)</f>
        <v>0</v>
      </c>
      <c r="T489" s="134">
        <f>商品マスタ[[#This Row],[仕入
単価]]+商品マスタ[[#This Row],[国内送料]]</f>
        <v>665</v>
      </c>
      <c r="U489" s="134">
        <f>ROUNDUP(商品マスタ[[#This Row],[仕入単価+国内送料]]/0.8,-1)</f>
        <v>840</v>
      </c>
      <c r="V489" s="134">
        <f>商品マスタ[[#This Row],[海外定価
（20％）]]-商品マスタ[[#This Row],[仕入単価+国内送料]]</f>
        <v>175</v>
      </c>
      <c r="W489" s="87">
        <f>ROUNDUP(商品マスタ[[#This Row],[仕入単価+国内送料]]/0.85,-1)</f>
        <v>790</v>
      </c>
      <c r="X489" s="134">
        <f>商品マスタ[[#This Row],[国内定価
（15％）]]-商品マスタ[[#This Row],[仕入単価+国内送料]]</f>
        <v>125</v>
      </c>
      <c r="Y489" s="139">
        <v>0.1</v>
      </c>
      <c r="Z489" s="87"/>
      <c r="AA489" s="87"/>
      <c r="AB489" s="87"/>
      <c r="AC489" s="140"/>
      <c r="AD489" s="87"/>
      <c r="AE489" s="87"/>
      <c r="AF489" s="87"/>
      <c r="AG489" s="141"/>
    </row>
    <row r="490" spans="1:33" ht="18">
      <c r="A490" s="166" t="s">
        <v>1520</v>
      </c>
      <c r="B490" s="167" t="s">
        <v>1222</v>
      </c>
      <c r="C490" s="167" t="s">
        <v>1261</v>
      </c>
      <c r="D490" s="143" t="str">
        <f>"PRD_SNJ_"&amp;
_xlfn.XLOOKUP(商品マスタ[[#This Row],[仕入先]],テーブル1[仕入先名],テーブル1[仕入先コード],"XXX",0,1)&amp;
"_"&amp;
商品マスタ[[#This Row],[シリアル]]&amp;
"_"&amp;
TEXT(COUNTIFS(商品マスタ!$C$3:C490,商品マスタ[[#This Row],[仕入先]],商品マスタ!$E$3:E490,商品マスタ[[#This Row],[商品名]]), "00")</f>
        <v>PRD_SNJ_EIS_0001_01</v>
      </c>
      <c r="E490" s="87" t="s">
        <v>1365</v>
      </c>
      <c r="F490" s="87">
        <f>IF(COUNTIFS($C$3:C490,商品マスタ[[#This Row],[仕入先]],$E$3:E490,商品マスタ[[#This Row],[商品名]]) = 1, 1,0)</f>
        <v>1</v>
      </c>
      <c r="G490" s="133" t="str">
        <f>TEXT(SUMIF($C$3:C490,商品マスタ[[#This Row],[仕入先]],$F$3:F490), "0000")</f>
        <v>0001</v>
      </c>
      <c r="H490" s="87" t="s">
        <v>1009</v>
      </c>
      <c r="I490" s="87" t="s">
        <v>1011</v>
      </c>
      <c r="J490" s="87" t="s">
        <v>1476</v>
      </c>
      <c r="K490" s="87"/>
      <c r="L490" s="134">
        <v>1300</v>
      </c>
      <c r="M490" s="157"/>
      <c r="N490" s="134"/>
      <c r="O490" s="135" t="str">
        <f>IF(COUNT(商品マスタ[[#This Row],[参考上代
（税込)]]) &gt; 0, (商品マスタ[[#This Row],[参考上代
（税込)]]-商品マスタ[[#This Row],[国内定価
（15％）]])/(商品マスタ[[#This Row],[参考上代
（税込)]]/1.08), "")</f>
        <v/>
      </c>
      <c r="P490" s="136">
        <v>0.1</v>
      </c>
      <c r="Q490" s="134">
        <f>商品マスタ[[#This Row],[仕入
単価]]*商品マスタ[[#This Row],[標準国内送料率]]</f>
        <v>130</v>
      </c>
      <c r="R490" s="134">
        <v>0</v>
      </c>
      <c r="S490" s="134">
        <f>IF(ISBLANK(商品マスタ[[#This Row],[実績
国内送料]]),商品マスタ[[#This Row],[標準国内送料]],)</f>
        <v>0</v>
      </c>
      <c r="T490" s="134">
        <f>商品マスタ[[#This Row],[仕入
単価]]+商品マスタ[[#This Row],[国内送料]]</f>
        <v>1300</v>
      </c>
      <c r="U490" s="134">
        <f>ROUNDUP(商品マスタ[[#This Row],[仕入単価+国内送料]]/0.8,-1)</f>
        <v>1630</v>
      </c>
      <c r="V490" s="134">
        <f>商品マスタ[[#This Row],[海外定価
（20％）]]-商品マスタ[[#This Row],[仕入単価+国内送料]]</f>
        <v>330</v>
      </c>
      <c r="W490" s="87">
        <f>ROUNDUP(商品マスタ[[#This Row],[仕入単価+国内送料]]/0.85,-1)</f>
        <v>1530</v>
      </c>
      <c r="X490" s="134">
        <f>商品マスタ[[#This Row],[国内定価
（15％）]]-商品マスタ[[#This Row],[仕入単価+国内送料]]</f>
        <v>230</v>
      </c>
      <c r="Y490" s="139">
        <v>0.1</v>
      </c>
      <c r="Z490" s="87"/>
      <c r="AA490" s="87"/>
      <c r="AB490" s="87"/>
      <c r="AC490" s="140"/>
      <c r="AD490" s="87"/>
      <c r="AE490" s="87"/>
      <c r="AF490" s="87"/>
      <c r="AG490" s="141"/>
    </row>
    <row r="491" spans="1:33" ht="18">
      <c r="A491" s="166" t="s">
        <v>1520</v>
      </c>
      <c r="B491" s="167" t="s">
        <v>1222</v>
      </c>
      <c r="C491" s="167" t="s">
        <v>1261</v>
      </c>
      <c r="D491" s="143" t="str">
        <f>"PRD_SNJ_"&amp;
_xlfn.XLOOKUP(商品マスタ[[#This Row],[仕入先]],テーブル1[仕入先名],テーブル1[仕入先コード],"XXX",0,1)&amp;
"_"&amp;
商品マスタ[[#This Row],[シリアル]]&amp;
"_"&amp;
TEXT(COUNTIFS(商品マスタ!$C$3:C491,商品マスタ[[#This Row],[仕入先]],商品マスタ!$E$3:E491,商品マスタ[[#This Row],[商品名]]), "00")</f>
        <v>PRD_SNJ_EIS_0002_01</v>
      </c>
      <c r="E491" s="87" t="s">
        <v>1366</v>
      </c>
      <c r="F491" s="87">
        <f>IF(COUNTIFS($C$3:C491,商品マスタ[[#This Row],[仕入先]],$E$3:E491,商品マスタ[[#This Row],[商品名]]) = 1, 1,0)</f>
        <v>1</v>
      </c>
      <c r="G491" s="133" t="str">
        <f>TEXT(SUMIF($C$3:C491,商品マスタ[[#This Row],[仕入先]],$F$3:F491), "0000")</f>
        <v>0002</v>
      </c>
      <c r="H491" s="87" t="s">
        <v>1009</v>
      </c>
      <c r="I491" s="87" t="s">
        <v>1011</v>
      </c>
      <c r="J491" s="87" t="s">
        <v>1476</v>
      </c>
      <c r="K491" s="87"/>
      <c r="L491" s="134">
        <v>2000</v>
      </c>
      <c r="M491" s="157"/>
      <c r="N491" s="134"/>
      <c r="O491" s="135" t="str">
        <f>IF(COUNT(商品マスタ[[#This Row],[参考上代
（税込)]]) &gt; 0, (商品マスタ[[#This Row],[参考上代
（税込)]]-商品マスタ[[#This Row],[国内定価
（15％）]])/(商品マスタ[[#This Row],[参考上代
（税込)]]/1.08), "")</f>
        <v/>
      </c>
      <c r="P491" s="136">
        <v>0.1</v>
      </c>
      <c r="Q491" s="134">
        <f>商品マスタ[[#This Row],[仕入
単価]]*商品マスタ[[#This Row],[標準国内送料率]]</f>
        <v>200</v>
      </c>
      <c r="R491" s="134">
        <v>0</v>
      </c>
      <c r="S491" s="134">
        <f>IF(ISBLANK(商品マスタ[[#This Row],[実績
国内送料]]),商品マスタ[[#This Row],[標準国内送料]],)</f>
        <v>0</v>
      </c>
      <c r="T491" s="134">
        <f>商品マスタ[[#This Row],[仕入
単価]]+商品マスタ[[#This Row],[国内送料]]</f>
        <v>2000</v>
      </c>
      <c r="U491" s="134">
        <f>ROUNDUP(商品マスタ[[#This Row],[仕入単価+国内送料]]/0.8,-1)</f>
        <v>2500</v>
      </c>
      <c r="V491" s="134">
        <f>商品マスタ[[#This Row],[海外定価
（20％）]]-商品マスタ[[#This Row],[仕入単価+国内送料]]</f>
        <v>500</v>
      </c>
      <c r="W491" s="87">
        <f>ROUNDUP(商品マスタ[[#This Row],[仕入単価+国内送料]]/0.85,-1)</f>
        <v>2360</v>
      </c>
      <c r="X491" s="134">
        <f>商品マスタ[[#This Row],[国内定価
（15％）]]-商品マスタ[[#This Row],[仕入単価+国内送料]]</f>
        <v>360</v>
      </c>
      <c r="Y491" s="139">
        <v>0.1</v>
      </c>
      <c r="Z491" s="87"/>
      <c r="AA491" s="87"/>
      <c r="AB491" s="87"/>
      <c r="AC491" s="140"/>
      <c r="AD491" s="87"/>
      <c r="AE491" s="87"/>
      <c r="AF491" s="87"/>
      <c r="AG491" s="141"/>
    </row>
    <row r="492" spans="1:33" ht="18">
      <c r="A492" s="166" t="s">
        <v>1520</v>
      </c>
      <c r="B492" s="167" t="s">
        <v>1222</v>
      </c>
      <c r="C492" s="167" t="s">
        <v>1261</v>
      </c>
      <c r="D492" s="143" t="str">
        <f>"PRD_SNJ_"&amp;
_xlfn.XLOOKUP(商品マスタ[[#This Row],[仕入先]],テーブル1[仕入先名],テーブル1[仕入先コード],"XXX",0,1)&amp;
"_"&amp;
商品マスタ[[#This Row],[シリアル]]&amp;
"_"&amp;
TEXT(COUNTIFS(商品マスタ!$C$3:C492,商品マスタ[[#This Row],[仕入先]],商品マスタ!$E$3:E492,商品マスタ[[#This Row],[商品名]]), "00")</f>
        <v>PRD_SNJ_EIS_0003_01</v>
      </c>
      <c r="E492" s="87" t="s">
        <v>1367</v>
      </c>
      <c r="F492" s="87">
        <f>IF(COUNTIFS($C$3:C492,商品マスタ[[#This Row],[仕入先]],$E$3:E492,商品マスタ[[#This Row],[商品名]]) = 1, 1,0)</f>
        <v>1</v>
      </c>
      <c r="G492" s="133" t="str">
        <f>TEXT(SUMIF($C$3:C492,商品マスタ[[#This Row],[仕入先]],$F$3:F492), "0000")</f>
        <v>0003</v>
      </c>
      <c r="H492" s="87" t="s">
        <v>1009</v>
      </c>
      <c r="I492" s="87" t="s">
        <v>1011</v>
      </c>
      <c r="J492" s="87" t="s">
        <v>1476</v>
      </c>
      <c r="K492" s="87"/>
      <c r="L492" s="134">
        <v>1200</v>
      </c>
      <c r="M492" s="157"/>
      <c r="N492" s="134"/>
      <c r="O492" s="135" t="str">
        <f>IF(COUNT(商品マスタ[[#This Row],[参考上代
（税込)]]) &gt; 0, (商品マスタ[[#This Row],[参考上代
（税込)]]-商品マスタ[[#This Row],[国内定価
（15％）]])/(商品マスタ[[#This Row],[参考上代
（税込)]]/1.08), "")</f>
        <v/>
      </c>
      <c r="P492" s="136">
        <v>0.1</v>
      </c>
      <c r="Q492" s="134">
        <f>商品マスタ[[#This Row],[仕入
単価]]*商品マスタ[[#This Row],[標準国内送料率]]</f>
        <v>120</v>
      </c>
      <c r="R492" s="134">
        <v>0</v>
      </c>
      <c r="S492" s="134">
        <f>IF(ISBLANK(商品マスタ[[#This Row],[実績
国内送料]]),商品マスタ[[#This Row],[標準国内送料]],)</f>
        <v>0</v>
      </c>
      <c r="T492" s="134">
        <f>商品マスタ[[#This Row],[仕入
単価]]+商品マスタ[[#This Row],[国内送料]]</f>
        <v>1200</v>
      </c>
      <c r="U492" s="134">
        <f>ROUNDUP(商品マスタ[[#This Row],[仕入単価+国内送料]]/0.8,-1)</f>
        <v>1500</v>
      </c>
      <c r="V492" s="134">
        <f>商品マスタ[[#This Row],[海外定価
（20％）]]-商品マスタ[[#This Row],[仕入単価+国内送料]]</f>
        <v>300</v>
      </c>
      <c r="W492" s="87">
        <f>ROUNDUP(商品マスタ[[#This Row],[仕入単価+国内送料]]/0.85,-1)</f>
        <v>1420</v>
      </c>
      <c r="X492" s="134">
        <f>商品マスタ[[#This Row],[国内定価
（15％）]]-商品マスタ[[#This Row],[仕入単価+国内送料]]</f>
        <v>220</v>
      </c>
      <c r="Y492" s="139">
        <v>0.1</v>
      </c>
      <c r="Z492" s="87"/>
      <c r="AA492" s="87"/>
      <c r="AB492" s="87"/>
      <c r="AC492" s="140"/>
      <c r="AD492" s="87"/>
      <c r="AE492" s="87"/>
      <c r="AF492" s="87"/>
      <c r="AG492" s="141"/>
    </row>
    <row r="493" spans="1:33" ht="18">
      <c r="A493" s="166" t="s">
        <v>1520</v>
      </c>
      <c r="B493" s="167" t="s">
        <v>1222</v>
      </c>
      <c r="C493" s="167" t="s">
        <v>1262</v>
      </c>
      <c r="D493" s="143" t="str">
        <f>"PRD_SNJ_"&amp;
_xlfn.XLOOKUP(商品マスタ[[#This Row],[仕入先]],テーブル1[仕入先名],テーブル1[仕入先コード],"XXX",0,1)&amp;
"_"&amp;
商品マスタ[[#This Row],[シリアル]]&amp;
"_"&amp;
TEXT(COUNTIFS(商品マスタ!$C$3:C493,商品マスタ[[#This Row],[仕入先]],商品マスタ!$E$3:E493,商品マスタ[[#This Row],[商品名]]), "00")</f>
        <v>PRD_SNJ_NGY_0001_01</v>
      </c>
      <c r="E493" s="87" t="s">
        <v>1368</v>
      </c>
      <c r="F493" s="87">
        <f>IF(COUNTIFS($C$3:C493,商品マスタ[[#This Row],[仕入先]],$E$3:E493,商品マスタ[[#This Row],[商品名]]) = 1, 1,0)</f>
        <v>1</v>
      </c>
      <c r="G493" s="133" t="str">
        <f>TEXT(SUMIF($C$3:C493,商品マスタ[[#This Row],[仕入先]],$F$3:F493), "0000")</f>
        <v>0001</v>
      </c>
      <c r="H493" s="87" t="s">
        <v>1009</v>
      </c>
      <c r="I493" s="87" t="s">
        <v>1011</v>
      </c>
      <c r="J493" s="87" t="s">
        <v>1476</v>
      </c>
      <c r="K493" s="87"/>
      <c r="L493" s="134">
        <v>861</v>
      </c>
      <c r="M493" s="157"/>
      <c r="N493" s="134"/>
      <c r="O493" s="135" t="str">
        <f>IF(COUNT(商品マスタ[[#This Row],[参考上代
（税込)]]) &gt; 0, (商品マスタ[[#This Row],[参考上代
（税込)]]-商品マスタ[[#This Row],[国内定価
（15％）]])/(商品マスタ[[#This Row],[参考上代
（税込)]]/1.08), "")</f>
        <v/>
      </c>
      <c r="P493" s="136">
        <v>0.1</v>
      </c>
      <c r="Q493" s="134">
        <f>商品マスタ[[#This Row],[仕入
単価]]*商品マスタ[[#This Row],[標準国内送料率]]</f>
        <v>86.100000000000009</v>
      </c>
      <c r="R493" s="134">
        <v>0</v>
      </c>
      <c r="S493" s="134">
        <f>IF(ISBLANK(商品マスタ[[#This Row],[実績
国内送料]]),商品マスタ[[#This Row],[標準国内送料]],)</f>
        <v>0</v>
      </c>
      <c r="T493" s="134">
        <f>商品マスタ[[#This Row],[仕入
単価]]+商品マスタ[[#This Row],[国内送料]]</f>
        <v>861</v>
      </c>
      <c r="U493" s="134">
        <f>ROUNDUP(商品マスタ[[#This Row],[仕入単価+国内送料]]/0.8,-1)</f>
        <v>1080</v>
      </c>
      <c r="V493" s="134">
        <f>商品マスタ[[#This Row],[海外定価
（20％）]]-商品マスタ[[#This Row],[仕入単価+国内送料]]</f>
        <v>219</v>
      </c>
      <c r="W493" s="87">
        <f>ROUNDUP(商品マスタ[[#This Row],[仕入単価+国内送料]]/0.85,-1)</f>
        <v>1020</v>
      </c>
      <c r="X493" s="134">
        <f>商品マスタ[[#This Row],[国内定価
（15％）]]-商品マスタ[[#This Row],[仕入単価+国内送料]]</f>
        <v>159</v>
      </c>
      <c r="Y493" s="139">
        <v>0.1</v>
      </c>
      <c r="Z493" s="87"/>
      <c r="AA493" s="87"/>
      <c r="AB493" s="87"/>
      <c r="AC493" s="140"/>
      <c r="AD493" s="87"/>
      <c r="AE493" s="87"/>
      <c r="AF493" s="87"/>
      <c r="AG493" s="141"/>
    </row>
    <row r="494" spans="1:33" ht="18">
      <c r="A494" s="166" t="s">
        <v>1520</v>
      </c>
      <c r="B494" s="167" t="s">
        <v>1222</v>
      </c>
      <c r="C494" s="167" t="s">
        <v>1262</v>
      </c>
      <c r="D494" s="143" t="str">
        <f>"PRD_SNJ_"&amp;
_xlfn.XLOOKUP(商品マスタ[[#This Row],[仕入先]],テーブル1[仕入先名],テーブル1[仕入先コード],"XXX",0,1)&amp;
"_"&amp;
商品マスタ[[#This Row],[シリアル]]&amp;
"_"&amp;
TEXT(COUNTIFS(商品マスタ!$C$3:C494,商品マスタ[[#This Row],[仕入先]],商品マスタ!$E$3:E494,商品マスタ[[#This Row],[商品名]]), "00")</f>
        <v>PRD_SNJ_NGY_0002_01</v>
      </c>
      <c r="E494" s="87" t="s">
        <v>1369</v>
      </c>
      <c r="F494" s="87">
        <f>IF(COUNTIFS($C$3:C494,商品マスタ[[#This Row],[仕入先]],$E$3:E494,商品マスタ[[#This Row],[商品名]]) = 1, 1,0)</f>
        <v>1</v>
      </c>
      <c r="G494" s="133" t="str">
        <f>TEXT(SUMIF($C$3:C494,商品マスタ[[#This Row],[仕入先]],$F$3:F494), "0000")</f>
        <v>0002</v>
      </c>
      <c r="H494" s="87" t="s">
        <v>1009</v>
      </c>
      <c r="I494" s="87" t="s">
        <v>1011</v>
      </c>
      <c r="J494" s="87" t="s">
        <v>1476</v>
      </c>
      <c r="K494" s="87"/>
      <c r="L494" s="134">
        <v>1224</v>
      </c>
      <c r="M494" s="157"/>
      <c r="N494" s="134"/>
      <c r="O494" s="135" t="str">
        <f>IF(COUNT(商品マスタ[[#This Row],[参考上代
（税込)]]) &gt; 0, (商品マスタ[[#This Row],[参考上代
（税込)]]-商品マスタ[[#This Row],[国内定価
（15％）]])/(商品マスタ[[#This Row],[参考上代
（税込)]]/1.08), "")</f>
        <v/>
      </c>
      <c r="P494" s="136">
        <v>0.1</v>
      </c>
      <c r="Q494" s="134">
        <f>商品マスタ[[#This Row],[仕入
単価]]*商品マスタ[[#This Row],[標準国内送料率]]</f>
        <v>122.4</v>
      </c>
      <c r="R494" s="134">
        <v>0</v>
      </c>
      <c r="S494" s="134">
        <f>IF(ISBLANK(商品マスタ[[#This Row],[実績
国内送料]]),商品マスタ[[#This Row],[標準国内送料]],)</f>
        <v>0</v>
      </c>
      <c r="T494" s="134">
        <f>商品マスタ[[#This Row],[仕入
単価]]+商品マスタ[[#This Row],[国内送料]]</f>
        <v>1224</v>
      </c>
      <c r="U494" s="134">
        <f>ROUNDUP(商品マスタ[[#This Row],[仕入単価+国内送料]]/0.8,-1)</f>
        <v>1530</v>
      </c>
      <c r="V494" s="134">
        <f>商品マスタ[[#This Row],[海外定価
（20％）]]-商品マスタ[[#This Row],[仕入単価+国内送料]]</f>
        <v>306</v>
      </c>
      <c r="W494" s="87">
        <f>ROUNDUP(商品マスタ[[#This Row],[仕入単価+国内送料]]/0.85,-1)</f>
        <v>1440</v>
      </c>
      <c r="X494" s="134">
        <f>商品マスタ[[#This Row],[国内定価
（15％）]]-商品マスタ[[#This Row],[仕入単価+国内送料]]</f>
        <v>216</v>
      </c>
      <c r="Y494" s="139">
        <v>0.1</v>
      </c>
      <c r="Z494" s="87"/>
      <c r="AA494" s="87"/>
      <c r="AB494" s="87"/>
      <c r="AC494" s="140"/>
      <c r="AD494" s="87"/>
      <c r="AE494" s="87"/>
      <c r="AF494" s="87"/>
      <c r="AG494" s="141"/>
    </row>
    <row r="495" spans="1:33" ht="18">
      <c r="A495" s="166" t="s">
        <v>1520</v>
      </c>
      <c r="B495" s="167" t="s">
        <v>1222</v>
      </c>
      <c r="C495" s="167" t="s">
        <v>1263</v>
      </c>
      <c r="D495" s="143" t="str">
        <f>"PRD_SNJ_"&amp;
_xlfn.XLOOKUP(商品マスタ[[#This Row],[仕入先]],テーブル1[仕入先名],テーブル1[仕入先コード],"XXX",0,1)&amp;
"_"&amp;
商品マスタ[[#This Row],[シリアル]]&amp;
"_"&amp;
TEXT(COUNTIFS(商品マスタ!$C$3:C495,商品マスタ[[#This Row],[仕入先]],商品マスタ!$E$3:E495,商品マスタ[[#This Row],[商品名]]), "00")</f>
        <v>PRD_SNJ_KND_0001_01</v>
      </c>
      <c r="E495" s="87" t="s">
        <v>1370</v>
      </c>
      <c r="F495" s="87">
        <f>IF(COUNTIFS($C$3:C495,商品マスタ[[#This Row],[仕入先]],$E$3:E495,商品マスタ[[#This Row],[商品名]]) = 1, 1,0)</f>
        <v>1</v>
      </c>
      <c r="G495" s="133" t="str">
        <f>TEXT(SUMIF($C$3:C495,商品マスタ[[#This Row],[仕入先]],$F$3:F495), "0000")</f>
        <v>0001</v>
      </c>
      <c r="H495" s="87" t="s">
        <v>1009</v>
      </c>
      <c r="I495" s="87" t="s">
        <v>1011</v>
      </c>
      <c r="J495" s="87" t="s">
        <v>1476</v>
      </c>
      <c r="K495" s="87"/>
      <c r="L495" s="134">
        <v>2670</v>
      </c>
      <c r="M495" s="157"/>
      <c r="N495" s="134"/>
      <c r="O495" s="135" t="str">
        <f>IF(COUNT(商品マスタ[[#This Row],[参考上代
（税込)]]) &gt; 0, (商品マスタ[[#This Row],[参考上代
（税込)]]-商品マスタ[[#This Row],[国内定価
（15％）]])/(商品マスタ[[#This Row],[参考上代
（税込)]]/1.08), "")</f>
        <v/>
      </c>
      <c r="P495" s="136">
        <v>0.1</v>
      </c>
      <c r="Q495" s="134">
        <f>商品マスタ[[#This Row],[仕入
単価]]*商品マスタ[[#This Row],[標準国内送料率]]</f>
        <v>267</v>
      </c>
      <c r="R495" s="134">
        <v>0</v>
      </c>
      <c r="S495" s="134">
        <f>IF(ISBLANK(商品マスタ[[#This Row],[実績
国内送料]]),商品マスタ[[#This Row],[標準国内送料]],)</f>
        <v>0</v>
      </c>
      <c r="T495" s="134">
        <f>商品マスタ[[#This Row],[仕入
単価]]+商品マスタ[[#This Row],[国内送料]]</f>
        <v>2670</v>
      </c>
      <c r="U495" s="134">
        <f>ROUNDUP(商品マスタ[[#This Row],[仕入単価+国内送料]]/0.8,-1)</f>
        <v>3340</v>
      </c>
      <c r="V495" s="134">
        <f>商品マスタ[[#This Row],[海外定価
（20％）]]-商品マスタ[[#This Row],[仕入単価+国内送料]]</f>
        <v>670</v>
      </c>
      <c r="W495" s="87">
        <f>ROUNDUP(商品マスタ[[#This Row],[仕入単価+国内送料]]/0.85,-1)</f>
        <v>3150</v>
      </c>
      <c r="X495" s="134">
        <f>商品マスタ[[#This Row],[国内定価
（15％）]]-商品マスタ[[#This Row],[仕入単価+国内送料]]</f>
        <v>480</v>
      </c>
      <c r="Y495" s="139">
        <v>0.1</v>
      </c>
      <c r="Z495" s="87"/>
      <c r="AA495" s="87"/>
      <c r="AB495" s="87"/>
      <c r="AC495" s="140"/>
      <c r="AD495" s="87"/>
      <c r="AE495" s="87"/>
      <c r="AF495" s="87"/>
      <c r="AG495" s="141"/>
    </row>
    <row r="496" spans="1:33" ht="18">
      <c r="A496" s="166" t="s">
        <v>1520</v>
      </c>
      <c r="B496" s="167" t="s">
        <v>1222</v>
      </c>
      <c r="C496" s="167" t="s">
        <v>1263</v>
      </c>
      <c r="D496" s="143" t="str">
        <f>"PRD_SNJ_"&amp;
_xlfn.XLOOKUP(商品マスタ[[#This Row],[仕入先]],テーブル1[仕入先名],テーブル1[仕入先コード],"XXX",0,1)&amp;
"_"&amp;
商品マスタ[[#This Row],[シリアル]]&amp;
"_"&amp;
TEXT(COUNTIFS(商品マスタ!$C$3:C496,商品マスタ[[#This Row],[仕入先]],商品マスタ!$E$3:E496,商品マスタ[[#This Row],[商品名]]), "00")</f>
        <v>PRD_SNJ_KND_0002_01</v>
      </c>
      <c r="E496" s="87" t="s">
        <v>1371</v>
      </c>
      <c r="F496" s="87">
        <f>IF(COUNTIFS($C$3:C496,商品マスタ[[#This Row],[仕入先]],$E$3:E496,商品マスタ[[#This Row],[商品名]]) = 1, 1,0)</f>
        <v>1</v>
      </c>
      <c r="G496" s="133" t="str">
        <f>TEXT(SUMIF($C$3:C496,商品マスタ[[#This Row],[仕入先]],$F$3:F496), "0000")</f>
        <v>0002</v>
      </c>
      <c r="H496" s="87" t="s">
        <v>1009</v>
      </c>
      <c r="I496" s="87" t="s">
        <v>1011</v>
      </c>
      <c r="J496" s="87" t="s">
        <v>1476</v>
      </c>
      <c r="K496" s="87"/>
      <c r="L496" s="134">
        <v>1400</v>
      </c>
      <c r="M496" s="157"/>
      <c r="N496" s="134"/>
      <c r="O496" s="135" t="str">
        <f>IF(COUNT(商品マスタ[[#This Row],[参考上代
（税込)]]) &gt; 0, (商品マスタ[[#This Row],[参考上代
（税込)]]-商品マスタ[[#This Row],[国内定価
（15％）]])/(商品マスタ[[#This Row],[参考上代
（税込)]]/1.08), "")</f>
        <v/>
      </c>
      <c r="P496" s="136">
        <v>0.1</v>
      </c>
      <c r="Q496" s="134">
        <f>商品マスタ[[#This Row],[仕入
単価]]*商品マスタ[[#This Row],[標準国内送料率]]</f>
        <v>140</v>
      </c>
      <c r="R496" s="134">
        <v>0</v>
      </c>
      <c r="S496" s="134">
        <f>IF(ISBLANK(商品マスタ[[#This Row],[実績
国内送料]]),商品マスタ[[#This Row],[標準国内送料]],)</f>
        <v>0</v>
      </c>
      <c r="T496" s="134">
        <f>商品マスタ[[#This Row],[仕入
単価]]+商品マスタ[[#This Row],[国内送料]]</f>
        <v>1400</v>
      </c>
      <c r="U496" s="134">
        <f>ROUNDUP(商品マスタ[[#This Row],[仕入単価+国内送料]]/0.8,-1)</f>
        <v>1750</v>
      </c>
      <c r="V496" s="134">
        <f>商品マスタ[[#This Row],[海外定価
（20％）]]-商品マスタ[[#This Row],[仕入単価+国内送料]]</f>
        <v>350</v>
      </c>
      <c r="W496" s="87">
        <f>ROUNDUP(商品マスタ[[#This Row],[仕入単価+国内送料]]/0.85,-1)</f>
        <v>1650</v>
      </c>
      <c r="X496" s="134">
        <f>商品マスタ[[#This Row],[国内定価
（15％）]]-商品マスタ[[#This Row],[仕入単価+国内送料]]</f>
        <v>250</v>
      </c>
      <c r="Y496" s="139">
        <v>0.1</v>
      </c>
      <c r="Z496" s="87"/>
      <c r="AA496" s="87"/>
      <c r="AB496" s="87"/>
      <c r="AC496" s="140"/>
      <c r="AD496" s="87"/>
      <c r="AE496" s="87"/>
      <c r="AF496" s="87"/>
      <c r="AG496" s="141"/>
    </row>
    <row r="497" spans="1:33" ht="18">
      <c r="A497" s="166" t="s">
        <v>1520</v>
      </c>
      <c r="B497" s="167" t="s">
        <v>1222</v>
      </c>
      <c r="C497" s="167" t="s">
        <v>1264</v>
      </c>
      <c r="D497" s="143" t="str">
        <f>"PRD_SNJ_"&amp;
_xlfn.XLOOKUP(商品マスタ[[#This Row],[仕入先]],テーブル1[仕入先名],テーブル1[仕入先コード],"XXX",0,1)&amp;
"_"&amp;
商品マスタ[[#This Row],[シリアル]]&amp;
"_"&amp;
TEXT(COUNTIFS(商品マスタ!$C$3:C497,商品マスタ[[#This Row],[仕入先]],商品マスタ!$E$3:E497,商品マスタ[[#This Row],[商品名]]), "00")</f>
        <v>PRD_SNJ_UMG_0001_01</v>
      </c>
      <c r="E497" s="87" t="s">
        <v>1366</v>
      </c>
      <c r="F497" s="87">
        <f>IF(COUNTIFS($C$3:C497,商品マスタ[[#This Row],[仕入先]],$E$3:E497,商品マスタ[[#This Row],[商品名]]) = 1, 1,0)</f>
        <v>1</v>
      </c>
      <c r="G497" s="133" t="str">
        <f>TEXT(SUMIF($C$3:C497,商品マスタ[[#This Row],[仕入先]],$F$3:F497), "0000")</f>
        <v>0001</v>
      </c>
      <c r="H497" s="87" t="s">
        <v>1009</v>
      </c>
      <c r="I497" s="87" t="s">
        <v>1011</v>
      </c>
      <c r="J497" s="87" t="s">
        <v>1476</v>
      </c>
      <c r="K497" s="87"/>
      <c r="L497" s="134">
        <v>2120</v>
      </c>
      <c r="M497" s="157"/>
      <c r="N497" s="134"/>
      <c r="O497" s="135" t="str">
        <f>IF(COUNT(商品マスタ[[#This Row],[参考上代
（税込)]]) &gt; 0, (商品マスタ[[#This Row],[参考上代
（税込)]]-商品マスタ[[#This Row],[国内定価
（15％）]])/(商品マスタ[[#This Row],[参考上代
（税込)]]/1.08), "")</f>
        <v/>
      </c>
      <c r="P497" s="136">
        <v>0.1</v>
      </c>
      <c r="Q497" s="134">
        <f>商品マスタ[[#This Row],[仕入
単価]]*商品マスタ[[#This Row],[標準国内送料率]]</f>
        <v>212</v>
      </c>
      <c r="R497" s="134">
        <v>0</v>
      </c>
      <c r="S497" s="134">
        <f>IF(ISBLANK(商品マスタ[[#This Row],[実績
国内送料]]),商品マスタ[[#This Row],[標準国内送料]],)</f>
        <v>0</v>
      </c>
      <c r="T497" s="134">
        <f>商品マスタ[[#This Row],[仕入
単価]]+商品マスタ[[#This Row],[国内送料]]</f>
        <v>2120</v>
      </c>
      <c r="U497" s="134">
        <f>ROUNDUP(商品マスタ[[#This Row],[仕入単価+国内送料]]/0.8,-1)</f>
        <v>2650</v>
      </c>
      <c r="V497" s="134">
        <f>商品マスタ[[#This Row],[海外定価
（20％）]]-商品マスタ[[#This Row],[仕入単価+国内送料]]</f>
        <v>530</v>
      </c>
      <c r="W497" s="87">
        <f>ROUNDUP(商品マスタ[[#This Row],[仕入単価+国内送料]]/0.85,-1)</f>
        <v>2500</v>
      </c>
      <c r="X497" s="134">
        <f>商品マスタ[[#This Row],[国内定価
（15％）]]-商品マスタ[[#This Row],[仕入単価+国内送料]]</f>
        <v>380</v>
      </c>
      <c r="Y497" s="139">
        <v>0.1</v>
      </c>
      <c r="Z497" s="87"/>
      <c r="AA497" s="87"/>
      <c r="AB497" s="87"/>
      <c r="AC497" s="140"/>
      <c r="AD497" s="87"/>
      <c r="AE497" s="87"/>
      <c r="AF497" s="87"/>
      <c r="AG497" s="141"/>
    </row>
    <row r="498" spans="1:33" ht="18">
      <c r="A498" s="166" t="s">
        <v>1520</v>
      </c>
      <c r="B498" s="167" t="s">
        <v>1222</v>
      </c>
      <c r="C498" s="167" t="s">
        <v>1264</v>
      </c>
      <c r="D498" s="143" t="str">
        <f>"PRD_SNJ_"&amp;
_xlfn.XLOOKUP(商品マスタ[[#This Row],[仕入先]],テーブル1[仕入先名],テーブル1[仕入先コード],"XXX",0,1)&amp;
"_"&amp;
商品マスタ[[#This Row],[シリアル]]&amp;
"_"&amp;
TEXT(COUNTIFS(商品マスタ!$C$3:C498,商品マスタ[[#This Row],[仕入先]],商品マスタ!$E$3:E498,商品マスタ[[#This Row],[商品名]]), "00")</f>
        <v>PRD_SNJ_UMG_0002_01</v>
      </c>
      <c r="E498" s="87" t="s">
        <v>1365</v>
      </c>
      <c r="F498" s="87">
        <f>IF(COUNTIFS($C$3:C498,商品マスタ[[#This Row],[仕入先]],$E$3:E498,商品マスタ[[#This Row],[商品名]]) = 1, 1,0)</f>
        <v>1</v>
      </c>
      <c r="G498" s="133" t="str">
        <f>TEXT(SUMIF($C$3:C498,商品マスタ[[#This Row],[仕入先]],$F$3:F498), "0000")</f>
        <v>0002</v>
      </c>
      <c r="H498" s="87" t="s">
        <v>1009</v>
      </c>
      <c r="I498" s="87" t="s">
        <v>1011</v>
      </c>
      <c r="J498" s="87" t="s">
        <v>1476</v>
      </c>
      <c r="K498" s="87"/>
      <c r="L498" s="134">
        <v>1120</v>
      </c>
      <c r="M498" s="157"/>
      <c r="N498" s="134"/>
      <c r="O498" s="135" t="str">
        <f>IF(COUNT(商品マスタ[[#This Row],[参考上代
（税込)]]) &gt; 0, (商品マスタ[[#This Row],[参考上代
（税込)]]-商品マスタ[[#This Row],[国内定価
（15％）]])/(商品マスタ[[#This Row],[参考上代
（税込)]]/1.08), "")</f>
        <v/>
      </c>
      <c r="P498" s="136">
        <v>0.1</v>
      </c>
      <c r="Q498" s="134">
        <f>商品マスタ[[#This Row],[仕入
単価]]*商品マスタ[[#This Row],[標準国内送料率]]</f>
        <v>112</v>
      </c>
      <c r="R498" s="134">
        <v>0</v>
      </c>
      <c r="S498" s="134">
        <f>IF(ISBLANK(商品マスタ[[#This Row],[実績
国内送料]]),商品マスタ[[#This Row],[標準国内送料]],)</f>
        <v>0</v>
      </c>
      <c r="T498" s="134">
        <f>商品マスタ[[#This Row],[仕入
単価]]+商品マスタ[[#This Row],[国内送料]]</f>
        <v>1120</v>
      </c>
      <c r="U498" s="134">
        <f>ROUNDUP(商品マスタ[[#This Row],[仕入単価+国内送料]]/0.8,-1)</f>
        <v>1400</v>
      </c>
      <c r="V498" s="134">
        <f>商品マスタ[[#This Row],[海外定価
（20％）]]-商品マスタ[[#This Row],[仕入単価+国内送料]]</f>
        <v>280</v>
      </c>
      <c r="W498" s="87">
        <f>ROUNDUP(商品マスタ[[#This Row],[仕入単価+国内送料]]/0.85,-1)</f>
        <v>1320</v>
      </c>
      <c r="X498" s="134">
        <f>商品マスタ[[#This Row],[国内定価
（15％）]]-商品マスタ[[#This Row],[仕入単価+国内送料]]</f>
        <v>200</v>
      </c>
      <c r="Y498" s="139">
        <v>0.1</v>
      </c>
      <c r="Z498" s="87"/>
      <c r="AA498" s="87"/>
      <c r="AB498" s="87"/>
      <c r="AC498" s="140"/>
      <c r="AD498" s="87"/>
      <c r="AE498" s="87"/>
      <c r="AF498" s="87"/>
      <c r="AG498" s="141"/>
    </row>
    <row r="499" spans="1:33" ht="18">
      <c r="A499" s="166" t="s">
        <v>1520</v>
      </c>
      <c r="B499" s="167" t="s">
        <v>1222</v>
      </c>
      <c r="C499" s="167" t="s">
        <v>1264</v>
      </c>
      <c r="D499" s="143" t="str">
        <f>"PRD_SNJ_"&amp;
_xlfn.XLOOKUP(商品マスタ[[#This Row],[仕入先]],テーブル1[仕入先名],テーブル1[仕入先コード],"XXX",0,1)&amp;
"_"&amp;
商品マスタ[[#This Row],[シリアル]]&amp;
"_"&amp;
TEXT(COUNTIFS(商品マスタ!$C$3:C499,商品マスタ[[#This Row],[仕入先]],商品マスタ!$E$3:E499,商品マスタ[[#This Row],[商品名]]), "00")</f>
        <v>PRD_SNJ_UMG_0003_01</v>
      </c>
      <c r="E499" s="87" t="s">
        <v>1372</v>
      </c>
      <c r="F499" s="87">
        <f>IF(COUNTIFS($C$3:C499,商品マスタ[[#This Row],[仕入先]],$E$3:E499,商品マスタ[[#This Row],[商品名]]) = 1, 1,0)</f>
        <v>1</v>
      </c>
      <c r="G499" s="133" t="str">
        <f>TEXT(SUMIF($C$3:C499,商品マスタ[[#This Row],[仕入先]],$F$3:F499), "0000")</f>
        <v>0003</v>
      </c>
      <c r="H499" s="87" t="s">
        <v>1009</v>
      </c>
      <c r="I499" s="87" t="s">
        <v>1011</v>
      </c>
      <c r="J499" s="87" t="s">
        <v>1476</v>
      </c>
      <c r="K499" s="87"/>
      <c r="L499" s="134">
        <v>1990</v>
      </c>
      <c r="M499" s="157"/>
      <c r="N499" s="134"/>
      <c r="O499" s="135" t="str">
        <f>IF(COUNT(商品マスタ[[#This Row],[参考上代
（税込)]]) &gt; 0, (商品マスタ[[#This Row],[参考上代
（税込)]]-商品マスタ[[#This Row],[国内定価
（15％）]])/(商品マスタ[[#This Row],[参考上代
（税込)]]/1.08), "")</f>
        <v/>
      </c>
      <c r="P499" s="136">
        <v>0.1</v>
      </c>
      <c r="Q499" s="134">
        <f>商品マスタ[[#This Row],[仕入
単価]]*商品マスタ[[#This Row],[標準国内送料率]]</f>
        <v>199</v>
      </c>
      <c r="R499" s="134">
        <v>0</v>
      </c>
      <c r="S499" s="134">
        <f>IF(ISBLANK(商品マスタ[[#This Row],[実績
国内送料]]),商品マスタ[[#This Row],[標準国内送料]],)</f>
        <v>0</v>
      </c>
      <c r="T499" s="134">
        <f>商品マスタ[[#This Row],[仕入
単価]]+商品マスタ[[#This Row],[国内送料]]</f>
        <v>1990</v>
      </c>
      <c r="U499" s="134">
        <f>ROUNDUP(商品マスタ[[#This Row],[仕入単価+国内送料]]/0.8,-1)</f>
        <v>2490</v>
      </c>
      <c r="V499" s="134">
        <f>商品マスタ[[#This Row],[海外定価
（20％）]]-商品マスタ[[#This Row],[仕入単価+国内送料]]</f>
        <v>500</v>
      </c>
      <c r="W499" s="87">
        <f>ROUNDUP(商品マスタ[[#This Row],[仕入単価+国内送料]]/0.85,-1)</f>
        <v>2350</v>
      </c>
      <c r="X499" s="134">
        <f>商品マスタ[[#This Row],[国内定価
（15％）]]-商品マスタ[[#This Row],[仕入単価+国内送料]]</f>
        <v>360</v>
      </c>
      <c r="Y499" s="139">
        <v>0.1</v>
      </c>
      <c r="Z499" s="87"/>
      <c r="AA499" s="87"/>
      <c r="AB499" s="87"/>
      <c r="AC499" s="140"/>
      <c r="AD499" s="87"/>
      <c r="AE499" s="87"/>
      <c r="AF499" s="87"/>
      <c r="AG499" s="141"/>
    </row>
    <row r="500" spans="1:33" ht="18">
      <c r="A500" s="166" t="s">
        <v>1520</v>
      </c>
      <c r="B500" s="167" t="s">
        <v>1222</v>
      </c>
      <c r="C500" s="167" t="s">
        <v>1264</v>
      </c>
      <c r="D500" s="143" t="str">
        <f>"PRD_SNJ_"&amp;
_xlfn.XLOOKUP(商品マスタ[[#This Row],[仕入先]],テーブル1[仕入先名],テーブル1[仕入先コード],"XXX",0,1)&amp;
"_"&amp;
商品マスタ[[#This Row],[シリアル]]&amp;
"_"&amp;
TEXT(COUNTIFS(商品マスタ!$C$3:C500,商品マスタ[[#This Row],[仕入先]],商品マスタ!$E$3:E500,商品マスタ[[#This Row],[商品名]]), "00")</f>
        <v>PRD_SNJ_UMG_0004_01</v>
      </c>
      <c r="E500" s="87" t="s">
        <v>1373</v>
      </c>
      <c r="F500" s="87">
        <f>IF(COUNTIFS($C$3:C500,商品マスタ[[#This Row],[仕入先]],$E$3:E500,商品マスタ[[#This Row],[商品名]]) = 1, 1,0)</f>
        <v>1</v>
      </c>
      <c r="G500" s="133" t="str">
        <f>TEXT(SUMIF($C$3:C500,商品マスタ[[#This Row],[仕入先]],$F$3:F500), "0000")</f>
        <v>0004</v>
      </c>
      <c r="H500" s="87" t="s">
        <v>1009</v>
      </c>
      <c r="I500" s="87" t="s">
        <v>1011</v>
      </c>
      <c r="J500" s="87" t="s">
        <v>1476</v>
      </c>
      <c r="K500" s="87"/>
      <c r="L500" s="134">
        <v>765</v>
      </c>
      <c r="M500" s="157"/>
      <c r="N500" s="134"/>
      <c r="O500" s="135" t="str">
        <f>IF(COUNT(商品マスタ[[#This Row],[参考上代
（税込)]]) &gt; 0, (商品マスタ[[#This Row],[参考上代
（税込)]]-商品マスタ[[#This Row],[国内定価
（15％）]])/(商品マスタ[[#This Row],[参考上代
（税込)]]/1.08), "")</f>
        <v/>
      </c>
      <c r="P500" s="136">
        <v>0.1</v>
      </c>
      <c r="Q500" s="134">
        <f>商品マスタ[[#This Row],[仕入
単価]]*商品マスタ[[#This Row],[標準国内送料率]]</f>
        <v>76.5</v>
      </c>
      <c r="R500" s="134">
        <v>0</v>
      </c>
      <c r="S500" s="134">
        <f>IF(ISBLANK(商品マスタ[[#This Row],[実績
国内送料]]),商品マスタ[[#This Row],[標準国内送料]],)</f>
        <v>0</v>
      </c>
      <c r="T500" s="134">
        <f>商品マスタ[[#This Row],[仕入
単価]]+商品マスタ[[#This Row],[国内送料]]</f>
        <v>765</v>
      </c>
      <c r="U500" s="134">
        <f>ROUNDUP(商品マスタ[[#This Row],[仕入単価+国内送料]]/0.8,-1)</f>
        <v>960</v>
      </c>
      <c r="V500" s="134">
        <f>商品マスタ[[#This Row],[海外定価
（20％）]]-商品マスタ[[#This Row],[仕入単価+国内送料]]</f>
        <v>195</v>
      </c>
      <c r="W500" s="87">
        <f>ROUNDUP(商品マスタ[[#This Row],[仕入単価+国内送料]]/0.85,-1)</f>
        <v>900</v>
      </c>
      <c r="X500" s="134">
        <f>商品マスタ[[#This Row],[国内定価
（15％）]]-商品マスタ[[#This Row],[仕入単価+国内送料]]</f>
        <v>135</v>
      </c>
      <c r="Y500" s="139">
        <v>0.1</v>
      </c>
      <c r="Z500" s="87"/>
      <c r="AA500" s="87"/>
      <c r="AB500" s="87"/>
      <c r="AC500" s="140"/>
      <c r="AD500" s="87"/>
      <c r="AE500" s="87"/>
      <c r="AF500" s="87"/>
      <c r="AG500" s="141"/>
    </row>
    <row r="501" spans="1:33" ht="18">
      <c r="A501" s="166" t="s">
        <v>1520</v>
      </c>
      <c r="B501" s="167" t="s">
        <v>1222</v>
      </c>
      <c r="C501" s="167" t="s">
        <v>1265</v>
      </c>
      <c r="D501" s="143" t="str">
        <f>"PRD_SNJ_"&amp;
_xlfn.XLOOKUP(商品マスタ[[#This Row],[仕入先]],テーブル1[仕入先名],テーブル1[仕入先コード],"XXX",0,1)&amp;
"_"&amp;
商品マスタ[[#This Row],[シリアル]]&amp;
"_"&amp;
TEXT(COUNTIFS(商品マスタ!$C$3:C501,商品マスタ[[#This Row],[仕入先]],商品マスタ!$E$3:E501,商品マスタ[[#This Row],[商品名]]), "00")</f>
        <v>PRD_SNJ_GRS_0001_01</v>
      </c>
      <c r="E501" s="87" t="s">
        <v>1374</v>
      </c>
      <c r="F501" s="87">
        <f>IF(COUNTIFS($C$3:C501,商品マスタ[[#This Row],[仕入先]],$E$3:E501,商品マスタ[[#This Row],[商品名]]) = 1, 1,0)</f>
        <v>1</v>
      </c>
      <c r="G501" s="133" t="str">
        <f>TEXT(SUMIF($C$3:C501,商品マスタ[[#This Row],[仕入先]],$F$3:F501), "0000")</f>
        <v>0001</v>
      </c>
      <c r="H501" s="87" t="s">
        <v>1009</v>
      </c>
      <c r="I501" s="87" t="s">
        <v>1011</v>
      </c>
      <c r="J501" s="87" t="s">
        <v>1476</v>
      </c>
      <c r="K501" s="87"/>
      <c r="L501" s="134">
        <v>998</v>
      </c>
      <c r="M501" s="157"/>
      <c r="N501" s="134"/>
      <c r="O501" s="135" t="str">
        <f>IF(COUNT(商品マスタ[[#This Row],[参考上代
（税込)]]) &gt; 0, (商品マスタ[[#This Row],[参考上代
（税込)]]-商品マスタ[[#This Row],[国内定価
（15％）]])/(商品マスタ[[#This Row],[参考上代
（税込)]]/1.08), "")</f>
        <v/>
      </c>
      <c r="P501" s="136">
        <v>0.1</v>
      </c>
      <c r="Q501" s="134">
        <f>商品マスタ[[#This Row],[仕入
単価]]*商品マスタ[[#This Row],[標準国内送料率]]</f>
        <v>99.800000000000011</v>
      </c>
      <c r="R501" s="134">
        <v>0</v>
      </c>
      <c r="S501" s="134">
        <f>IF(ISBLANK(商品マスタ[[#This Row],[実績
国内送料]]),商品マスタ[[#This Row],[標準国内送料]],)</f>
        <v>0</v>
      </c>
      <c r="T501" s="134">
        <f>商品マスタ[[#This Row],[仕入
単価]]+商品マスタ[[#This Row],[国内送料]]</f>
        <v>998</v>
      </c>
      <c r="U501" s="134">
        <f>ROUNDUP(商品マスタ[[#This Row],[仕入単価+国内送料]]/0.8,-1)</f>
        <v>1250</v>
      </c>
      <c r="V501" s="134">
        <f>商品マスタ[[#This Row],[海外定価
（20％）]]-商品マスタ[[#This Row],[仕入単価+国内送料]]</f>
        <v>252</v>
      </c>
      <c r="W501" s="87">
        <f>ROUNDUP(商品マスタ[[#This Row],[仕入単価+国内送料]]/0.85,-1)</f>
        <v>1180</v>
      </c>
      <c r="X501" s="134">
        <f>商品マスタ[[#This Row],[国内定価
（15％）]]-商品マスタ[[#This Row],[仕入単価+国内送料]]</f>
        <v>182</v>
      </c>
      <c r="Y501" s="139">
        <v>0.1</v>
      </c>
      <c r="Z501" s="87"/>
      <c r="AA501" s="87"/>
      <c r="AB501" s="87"/>
      <c r="AC501" s="140"/>
      <c r="AD501" s="87"/>
      <c r="AE501" s="87"/>
      <c r="AF501" s="87"/>
      <c r="AG501" s="141"/>
    </row>
    <row r="502" spans="1:33" ht="18">
      <c r="A502" s="166" t="s">
        <v>1520</v>
      </c>
      <c r="B502" s="167" t="s">
        <v>1222</v>
      </c>
      <c r="C502" s="167" t="s">
        <v>1265</v>
      </c>
      <c r="D502" s="143" t="str">
        <f>"PRD_SNJ_"&amp;
_xlfn.XLOOKUP(商品マスタ[[#This Row],[仕入先]],テーブル1[仕入先名],テーブル1[仕入先コード],"XXX",0,1)&amp;
"_"&amp;
商品マスタ[[#This Row],[シリアル]]&amp;
"_"&amp;
TEXT(COUNTIFS(商品マスタ!$C$3:C502,商品マスタ[[#This Row],[仕入先]],商品マスタ!$E$3:E502,商品マスタ[[#This Row],[商品名]]), "00")</f>
        <v>PRD_SNJ_GRS_0002_01</v>
      </c>
      <c r="E502" s="87" t="s">
        <v>1375</v>
      </c>
      <c r="F502" s="87">
        <f>IF(COUNTIFS($C$3:C502,商品マスタ[[#This Row],[仕入先]],$E$3:E502,商品マスタ[[#This Row],[商品名]]) = 1, 1,0)</f>
        <v>1</v>
      </c>
      <c r="G502" s="133" t="str">
        <f>TEXT(SUMIF($C$3:C502,商品マスタ[[#This Row],[仕入先]],$F$3:F502), "0000")</f>
        <v>0002</v>
      </c>
      <c r="H502" s="87" t="s">
        <v>1009</v>
      </c>
      <c r="I502" s="87" t="s">
        <v>1011</v>
      </c>
      <c r="J502" s="87" t="s">
        <v>1476</v>
      </c>
      <c r="K502" s="87"/>
      <c r="L502" s="134">
        <v>867</v>
      </c>
      <c r="M502" s="157"/>
      <c r="N502" s="134"/>
      <c r="O502" s="135" t="str">
        <f>IF(COUNT(商品マスタ[[#This Row],[参考上代
（税込)]]) &gt; 0, (商品マスタ[[#This Row],[参考上代
（税込)]]-商品マスタ[[#This Row],[国内定価
（15％）]])/(商品マスタ[[#This Row],[参考上代
（税込)]]/1.08), "")</f>
        <v/>
      </c>
      <c r="P502" s="136">
        <v>0.1</v>
      </c>
      <c r="Q502" s="134">
        <f>商品マスタ[[#This Row],[仕入
単価]]*商品マスタ[[#This Row],[標準国内送料率]]</f>
        <v>86.7</v>
      </c>
      <c r="R502" s="134">
        <v>0</v>
      </c>
      <c r="S502" s="134">
        <f>IF(ISBLANK(商品マスタ[[#This Row],[実績
国内送料]]),商品マスタ[[#This Row],[標準国内送料]],)</f>
        <v>0</v>
      </c>
      <c r="T502" s="134">
        <f>商品マスタ[[#This Row],[仕入
単価]]+商品マスタ[[#This Row],[国内送料]]</f>
        <v>867</v>
      </c>
      <c r="U502" s="134">
        <f>ROUNDUP(商品マスタ[[#This Row],[仕入単価+国内送料]]/0.8,-1)</f>
        <v>1090</v>
      </c>
      <c r="V502" s="134">
        <f>商品マスタ[[#This Row],[海外定価
（20％）]]-商品マスタ[[#This Row],[仕入単価+国内送料]]</f>
        <v>223</v>
      </c>
      <c r="W502" s="87">
        <f>ROUNDUP(商品マスタ[[#This Row],[仕入単価+国内送料]]/0.85,-1)</f>
        <v>1020</v>
      </c>
      <c r="X502" s="134">
        <f>商品マスタ[[#This Row],[国内定価
（15％）]]-商品マスタ[[#This Row],[仕入単価+国内送料]]</f>
        <v>153</v>
      </c>
      <c r="Y502" s="139">
        <v>0.1</v>
      </c>
      <c r="Z502" s="87"/>
      <c r="AA502" s="87"/>
      <c r="AB502" s="87"/>
      <c r="AC502" s="140"/>
      <c r="AD502" s="87"/>
      <c r="AE502" s="87"/>
      <c r="AF502" s="87"/>
      <c r="AG502" s="141"/>
    </row>
    <row r="503" spans="1:33" ht="18">
      <c r="A503" s="166" t="s">
        <v>1520</v>
      </c>
      <c r="B503" s="167" t="s">
        <v>1222</v>
      </c>
      <c r="C503" s="167" t="s">
        <v>1265</v>
      </c>
      <c r="D503" s="143" t="str">
        <f>"PRD_SNJ_"&amp;
_xlfn.XLOOKUP(商品マスタ[[#This Row],[仕入先]],テーブル1[仕入先名],テーブル1[仕入先コード],"XXX",0,1)&amp;
"_"&amp;
商品マスタ[[#This Row],[シリアル]]&amp;
"_"&amp;
TEXT(COUNTIFS(商品マスタ!$C$3:C503,商品マスタ[[#This Row],[仕入先]],商品マスタ!$E$3:E503,商品マスタ[[#This Row],[商品名]]), "00")</f>
        <v>PRD_SNJ_GRS_0003_01</v>
      </c>
      <c r="E503" s="87" t="s">
        <v>1376</v>
      </c>
      <c r="F503" s="87">
        <f>IF(COUNTIFS($C$3:C503,商品マスタ[[#This Row],[仕入先]],$E$3:E503,商品マスタ[[#This Row],[商品名]]) = 1, 1,0)</f>
        <v>1</v>
      </c>
      <c r="G503" s="133" t="str">
        <f>TEXT(SUMIF($C$3:C503,商品マスタ[[#This Row],[仕入先]],$F$3:F503), "0000")</f>
        <v>0003</v>
      </c>
      <c r="H503" s="87" t="s">
        <v>1009</v>
      </c>
      <c r="I503" s="87" t="s">
        <v>1011</v>
      </c>
      <c r="J503" s="87" t="s">
        <v>1476</v>
      </c>
      <c r="K503" s="87"/>
      <c r="L503" s="134">
        <v>1962</v>
      </c>
      <c r="M503" s="157"/>
      <c r="N503" s="134"/>
      <c r="O503" s="135" t="str">
        <f>IF(COUNT(商品マスタ[[#This Row],[参考上代
（税込)]]) &gt; 0, (商品マスタ[[#This Row],[参考上代
（税込)]]-商品マスタ[[#This Row],[国内定価
（15％）]])/(商品マスタ[[#This Row],[参考上代
（税込)]]/1.08), "")</f>
        <v/>
      </c>
      <c r="P503" s="136">
        <v>0.1</v>
      </c>
      <c r="Q503" s="134">
        <f>商品マスタ[[#This Row],[仕入
単価]]*商品マスタ[[#This Row],[標準国内送料率]]</f>
        <v>196.20000000000002</v>
      </c>
      <c r="R503" s="134">
        <v>0</v>
      </c>
      <c r="S503" s="134">
        <f>IF(ISBLANK(商品マスタ[[#This Row],[実績
国内送料]]),商品マスタ[[#This Row],[標準国内送料]],)</f>
        <v>0</v>
      </c>
      <c r="T503" s="134">
        <f>商品マスタ[[#This Row],[仕入
単価]]+商品マスタ[[#This Row],[国内送料]]</f>
        <v>1962</v>
      </c>
      <c r="U503" s="134">
        <f>ROUNDUP(商品マスタ[[#This Row],[仕入単価+国内送料]]/0.8,-1)</f>
        <v>2460</v>
      </c>
      <c r="V503" s="134">
        <f>商品マスタ[[#This Row],[海外定価
（20％）]]-商品マスタ[[#This Row],[仕入単価+国内送料]]</f>
        <v>498</v>
      </c>
      <c r="W503" s="87">
        <f>ROUNDUP(商品マスタ[[#This Row],[仕入単価+国内送料]]/0.85,-1)</f>
        <v>2310</v>
      </c>
      <c r="X503" s="134">
        <f>商品マスタ[[#This Row],[国内定価
（15％）]]-商品マスタ[[#This Row],[仕入単価+国内送料]]</f>
        <v>348</v>
      </c>
      <c r="Y503" s="139">
        <v>0.1</v>
      </c>
      <c r="Z503" s="87"/>
      <c r="AA503" s="87"/>
      <c r="AB503" s="87"/>
      <c r="AC503" s="140"/>
      <c r="AD503" s="87"/>
      <c r="AE503" s="87"/>
      <c r="AF503" s="87"/>
      <c r="AG503" s="141"/>
    </row>
    <row r="504" spans="1:33" ht="18">
      <c r="A504" s="166" t="s">
        <v>1520</v>
      </c>
      <c r="B504" s="167" t="s">
        <v>1222</v>
      </c>
      <c r="C504" s="167" t="s">
        <v>1265</v>
      </c>
      <c r="D504" s="143" t="str">
        <f>"PRD_SNJ_"&amp;
_xlfn.XLOOKUP(商品マスタ[[#This Row],[仕入先]],テーブル1[仕入先名],テーブル1[仕入先コード],"XXX",0,1)&amp;
"_"&amp;
商品マスタ[[#This Row],[シリアル]]&amp;
"_"&amp;
TEXT(COUNTIFS(商品マスタ!$C$3:C504,商品マスタ[[#This Row],[仕入先]],商品マスタ!$E$3:E504,商品マスタ[[#This Row],[商品名]]), "00")</f>
        <v>PRD_SNJ_GRS_0004_01</v>
      </c>
      <c r="E504" s="87" t="s">
        <v>1377</v>
      </c>
      <c r="F504" s="87">
        <f>IF(COUNTIFS($C$3:C504,商品マスタ[[#This Row],[仕入先]],$E$3:E504,商品マスタ[[#This Row],[商品名]]) = 1, 1,0)</f>
        <v>1</v>
      </c>
      <c r="G504" s="133" t="str">
        <f>TEXT(SUMIF($C$3:C504,商品マスタ[[#This Row],[仕入先]],$F$3:F504), "0000")</f>
        <v>0004</v>
      </c>
      <c r="H504" s="87" t="s">
        <v>1009</v>
      </c>
      <c r="I504" s="87" t="s">
        <v>1011</v>
      </c>
      <c r="J504" s="87" t="s">
        <v>1476</v>
      </c>
      <c r="K504" s="87"/>
      <c r="L504" s="134">
        <v>1147</v>
      </c>
      <c r="M504" s="157"/>
      <c r="N504" s="134"/>
      <c r="O504" s="135" t="str">
        <f>IF(COUNT(商品マスタ[[#This Row],[参考上代
（税込)]]) &gt; 0, (商品マスタ[[#This Row],[参考上代
（税込)]]-商品マスタ[[#This Row],[国内定価
（15％）]])/(商品マスタ[[#This Row],[参考上代
（税込)]]/1.08), "")</f>
        <v/>
      </c>
      <c r="P504" s="136">
        <v>0.1</v>
      </c>
      <c r="Q504" s="134">
        <f>商品マスタ[[#This Row],[仕入
単価]]*商品マスタ[[#This Row],[標準国内送料率]]</f>
        <v>114.7</v>
      </c>
      <c r="R504" s="134">
        <v>0</v>
      </c>
      <c r="S504" s="134">
        <f>IF(ISBLANK(商品マスタ[[#This Row],[実績
国内送料]]),商品マスタ[[#This Row],[標準国内送料]],)</f>
        <v>0</v>
      </c>
      <c r="T504" s="134">
        <f>商品マスタ[[#This Row],[仕入
単価]]+商品マスタ[[#This Row],[国内送料]]</f>
        <v>1147</v>
      </c>
      <c r="U504" s="134">
        <f>ROUNDUP(商品マスタ[[#This Row],[仕入単価+国内送料]]/0.8,-1)</f>
        <v>1440</v>
      </c>
      <c r="V504" s="134">
        <f>商品マスタ[[#This Row],[海外定価
（20％）]]-商品マスタ[[#This Row],[仕入単価+国内送料]]</f>
        <v>293</v>
      </c>
      <c r="W504" s="87">
        <f>ROUNDUP(商品マスタ[[#This Row],[仕入単価+国内送料]]/0.85,-1)</f>
        <v>1350</v>
      </c>
      <c r="X504" s="134">
        <f>商品マスタ[[#This Row],[国内定価
（15％）]]-商品マスタ[[#This Row],[仕入単価+国内送料]]</f>
        <v>203</v>
      </c>
      <c r="Y504" s="139">
        <v>0.1</v>
      </c>
      <c r="Z504" s="87"/>
      <c r="AA504" s="87"/>
      <c r="AB504" s="87"/>
      <c r="AC504" s="140"/>
      <c r="AD504" s="87"/>
      <c r="AE504" s="87"/>
      <c r="AF504" s="87"/>
      <c r="AG504" s="141"/>
    </row>
    <row r="505" spans="1:33" ht="18">
      <c r="A505" s="166" t="s">
        <v>1520</v>
      </c>
      <c r="B505" s="167" t="s">
        <v>1222</v>
      </c>
      <c r="C505" s="167" t="s">
        <v>1266</v>
      </c>
      <c r="D505" s="143" t="str">
        <f>"PRD_SNJ_"&amp;
_xlfn.XLOOKUP(商品マスタ[[#This Row],[仕入先]],テーブル1[仕入先名],テーブル1[仕入先コード],"XXX",0,1)&amp;
"_"&amp;
商品マスタ[[#This Row],[シリアル]]&amp;
"_"&amp;
TEXT(COUNTIFS(商品マスタ!$C$3:C505,商品マスタ[[#This Row],[仕入先]],商品マスタ!$E$3:E505,商品マスタ[[#This Row],[商品名]]), "00")</f>
        <v>PRD_SNJ_INM_0001_01</v>
      </c>
      <c r="E505" s="87" t="s">
        <v>1378</v>
      </c>
      <c r="F505" s="87">
        <f>IF(COUNTIFS($C$3:C505,商品マスタ[[#This Row],[仕入先]],$E$3:E505,商品マスタ[[#This Row],[商品名]]) = 1, 1,0)</f>
        <v>1</v>
      </c>
      <c r="G505" s="133" t="str">
        <f>TEXT(SUMIF($C$3:C505,商品マスタ[[#This Row],[仕入先]],$F$3:F505), "0000")</f>
        <v>0001</v>
      </c>
      <c r="H505" s="87" t="s">
        <v>1009</v>
      </c>
      <c r="I505" s="87" t="s">
        <v>1011</v>
      </c>
      <c r="J505" s="87" t="s">
        <v>1476</v>
      </c>
      <c r="K505" s="87"/>
      <c r="L505" s="134">
        <v>2808</v>
      </c>
      <c r="M505" s="157"/>
      <c r="N505" s="134"/>
      <c r="O505" s="135" t="str">
        <f>IF(COUNT(商品マスタ[[#This Row],[参考上代
（税込)]]) &gt; 0, (商品マスタ[[#This Row],[参考上代
（税込)]]-商品マスタ[[#This Row],[国内定価
（15％）]])/(商品マスタ[[#This Row],[参考上代
（税込)]]/1.08), "")</f>
        <v/>
      </c>
      <c r="P505" s="136">
        <v>0.1</v>
      </c>
      <c r="Q505" s="134">
        <f>商品マスタ[[#This Row],[仕入
単価]]*商品マスタ[[#This Row],[標準国内送料率]]</f>
        <v>280.8</v>
      </c>
      <c r="R505" s="134">
        <v>0</v>
      </c>
      <c r="S505" s="134">
        <f>IF(ISBLANK(商品マスタ[[#This Row],[実績
国内送料]]),商品マスタ[[#This Row],[標準国内送料]],)</f>
        <v>0</v>
      </c>
      <c r="T505" s="134">
        <f>商品マスタ[[#This Row],[仕入
単価]]+商品マスタ[[#This Row],[国内送料]]</f>
        <v>2808</v>
      </c>
      <c r="U505" s="134">
        <f>ROUNDUP(商品マスタ[[#This Row],[仕入単価+国内送料]]/0.8,-1)</f>
        <v>3510</v>
      </c>
      <c r="V505" s="134">
        <f>商品マスタ[[#This Row],[海外定価
（20％）]]-商品マスタ[[#This Row],[仕入単価+国内送料]]</f>
        <v>702</v>
      </c>
      <c r="W505" s="87">
        <f>ROUNDUP(商品マスタ[[#This Row],[仕入単価+国内送料]]/0.85,-1)</f>
        <v>3310</v>
      </c>
      <c r="X505" s="134">
        <f>商品マスタ[[#This Row],[国内定価
（15％）]]-商品マスタ[[#This Row],[仕入単価+国内送料]]</f>
        <v>502</v>
      </c>
      <c r="Y505" s="139">
        <v>0.1</v>
      </c>
      <c r="Z505" s="87"/>
      <c r="AA505" s="87"/>
      <c r="AB505" s="87"/>
      <c r="AC505" s="140"/>
      <c r="AD505" s="87"/>
      <c r="AE505" s="87"/>
      <c r="AF505" s="87"/>
      <c r="AG505" s="141"/>
    </row>
    <row r="506" spans="1:33" ht="18">
      <c r="A506" s="166" t="s">
        <v>1520</v>
      </c>
      <c r="B506" s="167" t="s">
        <v>1222</v>
      </c>
      <c r="C506" s="167" t="s">
        <v>1266</v>
      </c>
      <c r="D506" s="143" t="str">
        <f>"PRD_SNJ_"&amp;
_xlfn.XLOOKUP(商品マスタ[[#This Row],[仕入先]],テーブル1[仕入先名],テーブル1[仕入先コード],"XXX",0,1)&amp;
"_"&amp;
商品マスタ[[#This Row],[シリアル]]&amp;
"_"&amp;
TEXT(COUNTIFS(商品マスタ!$C$3:C506,商品マスタ[[#This Row],[仕入先]],商品マスタ!$E$3:E506,商品マスタ[[#This Row],[商品名]]), "00")</f>
        <v>PRD_SNJ_INM_0002_01</v>
      </c>
      <c r="E506" s="87" t="s">
        <v>1379</v>
      </c>
      <c r="F506" s="87">
        <f>IF(COUNTIFS($C$3:C506,商品マスタ[[#This Row],[仕入先]],$E$3:E506,商品マスタ[[#This Row],[商品名]]) = 1, 1,0)</f>
        <v>1</v>
      </c>
      <c r="G506" s="133" t="str">
        <f>TEXT(SUMIF($C$3:C506,商品マスタ[[#This Row],[仕入先]],$F$3:F506), "0000")</f>
        <v>0002</v>
      </c>
      <c r="H506" s="87" t="s">
        <v>1009</v>
      </c>
      <c r="I506" s="87" t="s">
        <v>1011</v>
      </c>
      <c r="J506" s="87" t="s">
        <v>1476</v>
      </c>
      <c r="K506" s="87"/>
      <c r="L506" s="134">
        <v>2872</v>
      </c>
      <c r="M506" s="157"/>
      <c r="N506" s="134"/>
      <c r="O506" s="135" t="str">
        <f>IF(COUNT(商品マスタ[[#This Row],[参考上代
（税込)]]) &gt; 0, (商品マスタ[[#This Row],[参考上代
（税込)]]-商品マスタ[[#This Row],[国内定価
（15％）]])/(商品マスタ[[#This Row],[参考上代
（税込)]]/1.08), "")</f>
        <v/>
      </c>
      <c r="P506" s="136">
        <v>0.1</v>
      </c>
      <c r="Q506" s="134">
        <f>商品マスタ[[#This Row],[仕入
単価]]*商品マスタ[[#This Row],[標準国内送料率]]</f>
        <v>287.2</v>
      </c>
      <c r="R506" s="134">
        <v>0</v>
      </c>
      <c r="S506" s="134">
        <f>IF(ISBLANK(商品マスタ[[#This Row],[実績
国内送料]]),商品マスタ[[#This Row],[標準国内送料]],)</f>
        <v>0</v>
      </c>
      <c r="T506" s="134">
        <f>商品マスタ[[#This Row],[仕入
単価]]+商品マスタ[[#This Row],[国内送料]]</f>
        <v>2872</v>
      </c>
      <c r="U506" s="134">
        <f>ROUNDUP(商品マスタ[[#This Row],[仕入単価+国内送料]]/0.8,-1)</f>
        <v>3590</v>
      </c>
      <c r="V506" s="134">
        <f>商品マスタ[[#This Row],[海外定価
（20％）]]-商品マスタ[[#This Row],[仕入単価+国内送料]]</f>
        <v>718</v>
      </c>
      <c r="W506" s="87">
        <f>ROUNDUP(商品マスタ[[#This Row],[仕入単価+国内送料]]/0.85,-1)</f>
        <v>3380</v>
      </c>
      <c r="X506" s="134">
        <f>商品マスタ[[#This Row],[国内定価
（15％）]]-商品マスタ[[#This Row],[仕入単価+国内送料]]</f>
        <v>508</v>
      </c>
      <c r="Y506" s="139">
        <v>0.1</v>
      </c>
      <c r="Z506" s="87"/>
      <c r="AA506" s="87"/>
      <c r="AB506" s="87"/>
      <c r="AC506" s="140"/>
      <c r="AD506" s="87"/>
      <c r="AE506" s="87"/>
      <c r="AF506" s="87"/>
      <c r="AG506" s="141"/>
    </row>
    <row r="507" spans="1:33" ht="18">
      <c r="A507" s="166" t="s">
        <v>1520</v>
      </c>
      <c r="B507" s="167" t="s">
        <v>1222</v>
      </c>
      <c r="C507" s="167" t="s">
        <v>1267</v>
      </c>
      <c r="D507" s="143" t="str">
        <f>"PRD_SNJ_"&amp;
_xlfn.XLOOKUP(商品マスタ[[#This Row],[仕入先]],テーブル1[仕入先名],テーブル1[仕入先コード],"XXX",0,1)&amp;
"_"&amp;
商品マスタ[[#This Row],[シリアル]]&amp;
"_"&amp;
TEXT(COUNTIFS(商品マスタ!$C$3:C507,商品マスタ[[#This Row],[仕入先]],商品マスタ!$E$3:E507,商品マスタ[[#This Row],[商品名]]), "00")</f>
        <v>PRD_SNJ_OBM_0001_01</v>
      </c>
      <c r="E507" s="87" t="s">
        <v>1380</v>
      </c>
      <c r="F507" s="87">
        <f>IF(COUNTIFS($C$3:C507,商品マスタ[[#This Row],[仕入先]],$E$3:E507,商品マスタ[[#This Row],[商品名]]) = 1, 1,0)</f>
        <v>1</v>
      </c>
      <c r="G507" s="133" t="str">
        <f>TEXT(SUMIF($C$3:C507,商品マスタ[[#This Row],[仕入先]],$F$3:F507), "0000")</f>
        <v>0001</v>
      </c>
      <c r="H507" s="87" t="s">
        <v>1009</v>
      </c>
      <c r="I507" s="87" t="s">
        <v>1011</v>
      </c>
      <c r="J507" s="87" t="s">
        <v>1476</v>
      </c>
      <c r="K507" s="87"/>
      <c r="L507" s="134">
        <v>1540</v>
      </c>
      <c r="M507" s="157"/>
      <c r="N507" s="134"/>
      <c r="O507" s="135" t="str">
        <f>IF(COUNT(商品マスタ[[#This Row],[参考上代
（税込)]]) &gt; 0, (商品マスタ[[#This Row],[参考上代
（税込)]]-商品マスタ[[#This Row],[国内定価
（15％）]])/(商品マスタ[[#This Row],[参考上代
（税込)]]/1.08), "")</f>
        <v/>
      </c>
      <c r="P507" s="136">
        <v>0.1</v>
      </c>
      <c r="Q507" s="134">
        <f>商品マスタ[[#This Row],[仕入
単価]]*商品マスタ[[#This Row],[標準国内送料率]]</f>
        <v>154</v>
      </c>
      <c r="R507" s="134">
        <v>0</v>
      </c>
      <c r="S507" s="134">
        <f>IF(ISBLANK(商品マスタ[[#This Row],[実績
国内送料]]),商品マスタ[[#This Row],[標準国内送料]],)</f>
        <v>0</v>
      </c>
      <c r="T507" s="134">
        <f>商品マスタ[[#This Row],[仕入
単価]]+商品マスタ[[#This Row],[国内送料]]</f>
        <v>1540</v>
      </c>
      <c r="U507" s="134">
        <f>ROUNDUP(商品マスタ[[#This Row],[仕入単価+国内送料]]/0.8,-1)</f>
        <v>1930</v>
      </c>
      <c r="V507" s="134">
        <f>商品マスタ[[#This Row],[海外定価
（20％）]]-商品マスタ[[#This Row],[仕入単価+国内送料]]</f>
        <v>390</v>
      </c>
      <c r="W507" s="87">
        <f>ROUNDUP(商品マスタ[[#This Row],[仕入単価+国内送料]]/0.85,-1)</f>
        <v>1820</v>
      </c>
      <c r="X507" s="134">
        <f>商品マスタ[[#This Row],[国内定価
（15％）]]-商品マスタ[[#This Row],[仕入単価+国内送料]]</f>
        <v>280</v>
      </c>
      <c r="Y507" s="139">
        <v>0.1</v>
      </c>
      <c r="Z507" s="87"/>
      <c r="AA507" s="87"/>
      <c r="AB507" s="87"/>
      <c r="AC507" s="140"/>
      <c r="AD507" s="87"/>
      <c r="AE507" s="87"/>
      <c r="AF507" s="87"/>
      <c r="AG507" s="141"/>
    </row>
    <row r="508" spans="1:33" ht="18">
      <c r="A508" s="166" t="s">
        <v>1520</v>
      </c>
      <c r="B508" s="167" t="s">
        <v>1222</v>
      </c>
      <c r="C508" s="167" t="s">
        <v>1267</v>
      </c>
      <c r="D508" s="143" t="str">
        <f>"PRD_SNJ_"&amp;
_xlfn.XLOOKUP(商品マスタ[[#This Row],[仕入先]],テーブル1[仕入先名],テーブル1[仕入先コード],"XXX",0,1)&amp;
"_"&amp;
商品マスタ[[#This Row],[シリアル]]&amp;
"_"&amp;
TEXT(COUNTIFS(商品マスタ!$C$3:C508,商品マスタ[[#This Row],[仕入先]],商品マスタ!$E$3:E508,商品マスタ[[#This Row],[商品名]]), "00")</f>
        <v>PRD_SNJ_OBM_0002_01</v>
      </c>
      <c r="E508" s="87" t="s">
        <v>1381</v>
      </c>
      <c r="F508" s="87">
        <f>IF(COUNTIFS($C$3:C508,商品マスタ[[#This Row],[仕入先]],$E$3:E508,商品マスタ[[#This Row],[商品名]]) = 1, 1,0)</f>
        <v>1</v>
      </c>
      <c r="G508" s="133" t="str">
        <f>TEXT(SUMIF($C$3:C508,商品マスタ[[#This Row],[仕入先]],$F$3:F508), "0000")</f>
        <v>0002</v>
      </c>
      <c r="H508" s="87" t="s">
        <v>1009</v>
      </c>
      <c r="I508" s="87" t="s">
        <v>1011</v>
      </c>
      <c r="J508" s="87" t="s">
        <v>1476</v>
      </c>
      <c r="K508" s="87"/>
      <c r="L508" s="134">
        <v>10800</v>
      </c>
      <c r="M508" s="157"/>
      <c r="N508" s="134"/>
      <c r="O508" s="135" t="str">
        <f>IF(COUNT(商品マスタ[[#This Row],[参考上代
（税込)]]) &gt; 0, (商品マスタ[[#This Row],[参考上代
（税込)]]-商品マスタ[[#This Row],[国内定価
（15％）]])/(商品マスタ[[#This Row],[参考上代
（税込)]]/1.08), "")</f>
        <v/>
      </c>
      <c r="P508" s="136">
        <v>0.1</v>
      </c>
      <c r="Q508" s="134">
        <f>商品マスタ[[#This Row],[仕入
単価]]*商品マスタ[[#This Row],[標準国内送料率]]</f>
        <v>1080</v>
      </c>
      <c r="R508" s="134">
        <v>0</v>
      </c>
      <c r="S508" s="134">
        <f>IF(ISBLANK(商品マスタ[[#This Row],[実績
国内送料]]),商品マスタ[[#This Row],[標準国内送料]],)</f>
        <v>0</v>
      </c>
      <c r="T508" s="134">
        <f>商品マスタ[[#This Row],[仕入
単価]]+商品マスタ[[#This Row],[国内送料]]</f>
        <v>10800</v>
      </c>
      <c r="U508" s="134">
        <f>ROUNDUP(商品マスタ[[#This Row],[仕入単価+国内送料]]/0.8,-1)</f>
        <v>13500</v>
      </c>
      <c r="V508" s="134">
        <f>商品マスタ[[#This Row],[海外定価
（20％）]]-商品マスタ[[#This Row],[仕入単価+国内送料]]</f>
        <v>2700</v>
      </c>
      <c r="W508" s="87">
        <f>ROUNDUP(商品マスタ[[#This Row],[仕入単価+国内送料]]/0.85,-1)</f>
        <v>12710</v>
      </c>
      <c r="X508" s="134">
        <f>商品マスタ[[#This Row],[国内定価
（15％）]]-商品マスタ[[#This Row],[仕入単価+国内送料]]</f>
        <v>1910</v>
      </c>
      <c r="Y508" s="139">
        <v>0.1</v>
      </c>
      <c r="Z508" s="87"/>
      <c r="AA508" s="87"/>
      <c r="AB508" s="87"/>
      <c r="AC508" s="140"/>
      <c r="AD508" s="87"/>
      <c r="AE508" s="87"/>
      <c r="AF508" s="87"/>
      <c r="AG508" s="141"/>
    </row>
    <row r="509" spans="1:33" ht="18">
      <c r="A509" s="166" t="s">
        <v>1520</v>
      </c>
      <c r="B509" s="167" t="s">
        <v>1222</v>
      </c>
      <c r="C509" s="167" t="s">
        <v>1267</v>
      </c>
      <c r="D509" s="143" t="str">
        <f>"PRD_SNJ_"&amp;
_xlfn.XLOOKUP(商品マスタ[[#This Row],[仕入先]],テーブル1[仕入先名],テーブル1[仕入先コード],"XXX",0,1)&amp;
"_"&amp;
商品マスタ[[#This Row],[シリアル]]&amp;
"_"&amp;
TEXT(COUNTIFS(商品マスタ!$C$3:C509,商品マスタ[[#This Row],[仕入先]],商品マスタ!$E$3:E509,商品マスタ[[#This Row],[商品名]]), "00")</f>
        <v>PRD_SNJ_OBM_0003_01</v>
      </c>
      <c r="E509" s="87" t="s">
        <v>1382</v>
      </c>
      <c r="F509" s="87">
        <f>IF(COUNTIFS($C$3:C509,商品マスタ[[#This Row],[仕入先]],$E$3:E509,商品マスタ[[#This Row],[商品名]]) = 1, 1,0)</f>
        <v>1</v>
      </c>
      <c r="G509" s="133" t="str">
        <f>TEXT(SUMIF($C$3:C509,商品マスタ[[#This Row],[仕入先]],$F$3:F509), "0000")</f>
        <v>0003</v>
      </c>
      <c r="H509" s="87" t="s">
        <v>1009</v>
      </c>
      <c r="I509" s="87" t="s">
        <v>1011</v>
      </c>
      <c r="J509" s="87" t="s">
        <v>1476</v>
      </c>
      <c r="K509" s="87"/>
      <c r="L509" s="134">
        <v>1382</v>
      </c>
      <c r="M509" s="157"/>
      <c r="N509" s="134"/>
      <c r="O509" s="135" t="str">
        <f>IF(COUNT(商品マスタ[[#This Row],[参考上代
（税込)]]) &gt; 0, (商品マスタ[[#This Row],[参考上代
（税込)]]-商品マスタ[[#This Row],[国内定価
（15％）]])/(商品マスタ[[#This Row],[参考上代
（税込)]]/1.08), "")</f>
        <v/>
      </c>
      <c r="P509" s="136">
        <v>0.1</v>
      </c>
      <c r="Q509" s="134">
        <f>商品マスタ[[#This Row],[仕入
単価]]*商品マスタ[[#This Row],[標準国内送料率]]</f>
        <v>138.20000000000002</v>
      </c>
      <c r="R509" s="134">
        <v>0</v>
      </c>
      <c r="S509" s="134">
        <f>IF(ISBLANK(商品マスタ[[#This Row],[実績
国内送料]]),商品マスタ[[#This Row],[標準国内送料]],)</f>
        <v>0</v>
      </c>
      <c r="T509" s="134">
        <f>商品マスタ[[#This Row],[仕入
単価]]+商品マスタ[[#This Row],[国内送料]]</f>
        <v>1382</v>
      </c>
      <c r="U509" s="134">
        <f>ROUNDUP(商品マスタ[[#This Row],[仕入単価+国内送料]]/0.8,-1)</f>
        <v>1730</v>
      </c>
      <c r="V509" s="134">
        <f>商品マスタ[[#This Row],[海外定価
（20％）]]-商品マスタ[[#This Row],[仕入単価+国内送料]]</f>
        <v>348</v>
      </c>
      <c r="W509" s="87">
        <f>ROUNDUP(商品マスタ[[#This Row],[仕入単価+国内送料]]/0.85,-1)</f>
        <v>1630</v>
      </c>
      <c r="X509" s="134">
        <f>商品マスタ[[#This Row],[国内定価
（15％）]]-商品マスタ[[#This Row],[仕入単価+国内送料]]</f>
        <v>248</v>
      </c>
      <c r="Y509" s="139">
        <v>0.1</v>
      </c>
      <c r="Z509" s="87"/>
      <c r="AA509" s="87"/>
      <c r="AB509" s="87"/>
      <c r="AC509" s="140"/>
      <c r="AD509" s="87"/>
      <c r="AE509" s="87"/>
      <c r="AF509" s="87"/>
      <c r="AG509" s="141"/>
    </row>
    <row r="510" spans="1:33" ht="18">
      <c r="A510" s="166" t="s">
        <v>1520</v>
      </c>
      <c r="B510" s="167" t="s">
        <v>1223</v>
      </c>
      <c r="C510" s="167" t="s">
        <v>1268</v>
      </c>
      <c r="D510" s="143" t="str">
        <f>"PRD_SNJ_"&amp;
_xlfn.XLOOKUP(商品マスタ[[#This Row],[仕入先]],テーブル1[仕入先名],テーブル1[仕入先コード],"XXX",0,1)&amp;
"_"&amp;
商品マスタ[[#This Row],[シリアル]]&amp;
"_"&amp;
TEXT(COUNTIFS(商品マスタ!$C$3:C510,商品マスタ[[#This Row],[仕入先]],商品マスタ!$E$3:E510,商品マスタ[[#This Row],[商品名]]), "00")</f>
        <v>PRD_SNJ_NBC_0001_01</v>
      </c>
      <c r="E510" s="87" t="s">
        <v>1383</v>
      </c>
      <c r="F510" s="87">
        <f>IF(COUNTIFS($C$3:C510,商品マスタ[[#This Row],[仕入先]],$E$3:E510,商品マスタ[[#This Row],[商品名]]) = 1, 1,0)</f>
        <v>1</v>
      </c>
      <c r="G510" s="133" t="str">
        <f>TEXT(SUMIF($C$3:C510,商品マスタ[[#This Row],[仕入先]],$F$3:F510), "0000")</f>
        <v>0001</v>
      </c>
      <c r="H510" s="87" t="s">
        <v>1009</v>
      </c>
      <c r="I510" s="87" t="s">
        <v>1011</v>
      </c>
      <c r="J510" s="87" t="s">
        <v>1476</v>
      </c>
      <c r="K510" s="87"/>
      <c r="L510" s="134">
        <v>720</v>
      </c>
      <c r="M510" s="157"/>
      <c r="N510" s="134"/>
      <c r="O510" s="135" t="str">
        <f>IF(COUNT(商品マスタ[[#This Row],[参考上代
（税込)]]) &gt; 0, (商品マスタ[[#This Row],[参考上代
（税込)]]-商品マスタ[[#This Row],[国内定価
（15％）]])/(商品マスタ[[#This Row],[参考上代
（税込)]]/1.08), "")</f>
        <v/>
      </c>
      <c r="P510" s="136">
        <v>0.1</v>
      </c>
      <c r="Q510" s="134">
        <f>商品マスタ[[#This Row],[仕入
単価]]*商品マスタ[[#This Row],[標準国内送料率]]</f>
        <v>72</v>
      </c>
      <c r="R510" s="134">
        <v>0</v>
      </c>
      <c r="S510" s="134">
        <f>IF(ISBLANK(商品マスタ[[#This Row],[実績
国内送料]]),商品マスタ[[#This Row],[標準国内送料]],)</f>
        <v>0</v>
      </c>
      <c r="T510" s="134">
        <f>商品マスタ[[#This Row],[仕入
単価]]+商品マスタ[[#This Row],[国内送料]]</f>
        <v>720</v>
      </c>
      <c r="U510" s="134">
        <f>ROUNDUP(商品マスタ[[#This Row],[仕入単価+国内送料]]/0.8,-1)</f>
        <v>900</v>
      </c>
      <c r="V510" s="134">
        <f>商品マスタ[[#This Row],[海外定価
（20％）]]-商品マスタ[[#This Row],[仕入単価+国内送料]]</f>
        <v>180</v>
      </c>
      <c r="W510" s="87">
        <f>ROUNDUP(商品マスタ[[#This Row],[仕入単価+国内送料]]/0.85,-1)</f>
        <v>850</v>
      </c>
      <c r="X510" s="134">
        <f>商品マスタ[[#This Row],[国内定価
（15％）]]-商品マスタ[[#This Row],[仕入単価+国内送料]]</f>
        <v>130</v>
      </c>
      <c r="Y510" s="139">
        <v>0.1</v>
      </c>
      <c r="Z510" s="87"/>
      <c r="AA510" s="87"/>
      <c r="AB510" s="87"/>
      <c r="AC510" s="140"/>
      <c r="AD510" s="87"/>
      <c r="AE510" s="87"/>
      <c r="AF510" s="87"/>
      <c r="AG510" s="141"/>
    </row>
    <row r="511" spans="1:33" ht="18">
      <c r="A511" s="166" t="s">
        <v>1520</v>
      </c>
      <c r="B511" s="167" t="s">
        <v>1223</v>
      </c>
      <c r="C511" s="167" t="s">
        <v>1268</v>
      </c>
      <c r="D511" s="143" t="str">
        <f>"PRD_SNJ_"&amp;
_xlfn.XLOOKUP(商品マスタ[[#This Row],[仕入先]],テーブル1[仕入先名],テーブル1[仕入先コード],"XXX",0,1)&amp;
"_"&amp;
商品マスタ[[#This Row],[シリアル]]&amp;
"_"&amp;
TEXT(COUNTIFS(商品マスタ!$C$3:C511,商品マスタ[[#This Row],[仕入先]],商品マスタ!$E$3:E511,商品マスタ[[#This Row],[商品名]]), "00")</f>
        <v>PRD_SNJ_NBC_0002_01</v>
      </c>
      <c r="E511" s="87" t="s">
        <v>1384</v>
      </c>
      <c r="F511" s="87">
        <f>IF(COUNTIFS($C$3:C511,商品マスタ[[#This Row],[仕入先]],$E$3:E511,商品マスタ[[#This Row],[商品名]]) = 1, 1,0)</f>
        <v>1</v>
      </c>
      <c r="G511" s="133" t="str">
        <f>TEXT(SUMIF($C$3:C511,商品マスタ[[#This Row],[仕入先]],$F$3:F511), "0000")</f>
        <v>0002</v>
      </c>
      <c r="H511" s="87" t="s">
        <v>1009</v>
      </c>
      <c r="I511" s="87" t="s">
        <v>1011</v>
      </c>
      <c r="J511" s="87" t="s">
        <v>1476</v>
      </c>
      <c r="K511" s="87"/>
      <c r="L511" s="134">
        <v>672</v>
      </c>
      <c r="M511" s="157"/>
      <c r="N511" s="134"/>
      <c r="O511" s="135" t="str">
        <f>IF(COUNT(商品マスタ[[#This Row],[参考上代
（税込)]]) &gt; 0, (商品マスタ[[#This Row],[参考上代
（税込)]]-商品マスタ[[#This Row],[国内定価
（15％）]])/(商品マスタ[[#This Row],[参考上代
（税込)]]/1.08), "")</f>
        <v/>
      </c>
      <c r="P511" s="136">
        <v>0.1</v>
      </c>
      <c r="Q511" s="134">
        <f>商品マスタ[[#This Row],[仕入
単価]]*商品マスタ[[#This Row],[標準国内送料率]]</f>
        <v>67.2</v>
      </c>
      <c r="R511" s="134">
        <v>0</v>
      </c>
      <c r="S511" s="134">
        <f>IF(ISBLANK(商品マスタ[[#This Row],[実績
国内送料]]),商品マスタ[[#This Row],[標準国内送料]],)</f>
        <v>0</v>
      </c>
      <c r="T511" s="134">
        <f>商品マスタ[[#This Row],[仕入
単価]]+商品マスタ[[#This Row],[国内送料]]</f>
        <v>672</v>
      </c>
      <c r="U511" s="134">
        <f>ROUNDUP(商品マスタ[[#This Row],[仕入単価+国内送料]]/0.8,-1)</f>
        <v>840</v>
      </c>
      <c r="V511" s="134">
        <f>商品マスタ[[#This Row],[海外定価
（20％）]]-商品マスタ[[#This Row],[仕入単価+国内送料]]</f>
        <v>168</v>
      </c>
      <c r="W511" s="87">
        <f>ROUNDUP(商品マスタ[[#This Row],[仕入単価+国内送料]]/0.85,-1)</f>
        <v>800</v>
      </c>
      <c r="X511" s="134">
        <f>商品マスタ[[#This Row],[国内定価
（15％）]]-商品マスタ[[#This Row],[仕入単価+国内送料]]</f>
        <v>128</v>
      </c>
      <c r="Y511" s="139">
        <v>0.1</v>
      </c>
      <c r="Z511" s="87"/>
      <c r="AA511" s="87"/>
      <c r="AB511" s="87"/>
      <c r="AC511" s="140"/>
      <c r="AD511" s="87"/>
      <c r="AE511" s="87"/>
      <c r="AF511" s="87"/>
      <c r="AG511" s="141"/>
    </row>
    <row r="512" spans="1:33" ht="18">
      <c r="A512" s="166" t="s">
        <v>1520</v>
      </c>
      <c r="B512" s="167" t="s">
        <v>1223</v>
      </c>
      <c r="C512" s="167" t="s">
        <v>1268</v>
      </c>
      <c r="D512" s="143" t="str">
        <f>"PRD_SNJ_"&amp;
_xlfn.XLOOKUP(商品マスタ[[#This Row],[仕入先]],テーブル1[仕入先名],テーブル1[仕入先コード],"XXX",0,1)&amp;
"_"&amp;
商品マスタ[[#This Row],[シリアル]]&amp;
"_"&amp;
TEXT(COUNTIFS(商品マスタ!$C$3:C512,商品マスタ[[#This Row],[仕入先]],商品マスタ!$E$3:E512,商品マスタ[[#This Row],[商品名]]), "00")</f>
        <v>PRD_SNJ_NBC_0003_01</v>
      </c>
      <c r="E512" s="87" t="s">
        <v>1385</v>
      </c>
      <c r="F512" s="87">
        <f>IF(COUNTIFS($C$3:C512,商品マスタ[[#This Row],[仕入先]],$E$3:E512,商品マスタ[[#This Row],[商品名]]) = 1, 1,0)</f>
        <v>1</v>
      </c>
      <c r="G512" s="133" t="str">
        <f>TEXT(SUMIF($C$3:C512,商品マスタ[[#This Row],[仕入先]],$F$3:F512), "0000")</f>
        <v>0003</v>
      </c>
      <c r="H512" s="87" t="s">
        <v>1009</v>
      </c>
      <c r="I512" s="87" t="s">
        <v>1011</v>
      </c>
      <c r="J512" s="87" t="s">
        <v>1476</v>
      </c>
      <c r="K512" s="87"/>
      <c r="L512" s="134">
        <v>672</v>
      </c>
      <c r="M512" s="157"/>
      <c r="N512" s="134"/>
      <c r="O512" s="135" t="str">
        <f>IF(COUNT(商品マスタ[[#This Row],[参考上代
（税込)]]) &gt; 0, (商品マスタ[[#This Row],[参考上代
（税込)]]-商品マスタ[[#This Row],[国内定価
（15％）]])/(商品マスタ[[#This Row],[参考上代
（税込)]]/1.08), "")</f>
        <v/>
      </c>
      <c r="P512" s="136">
        <v>0.1</v>
      </c>
      <c r="Q512" s="134">
        <f>商品マスタ[[#This Row],[仕入
単価]]*商品マスタ[[#This Row],[標準国内送料率]]</f>
        <v>67.2</v>
      </c>
      <c r="R512" s="134">
        <v>0</v>
      </c>
      <c r="S512" s="134">
        <f>IF(ISBLANK(商品マスタ[[#This Row],[実績
国内送料]]),商品マスタ[[#This Row],[標準国内送料]],)</f>
        <v>0</v>
      </c>
      <c r="T512" s="134">
        <f>商品マスタ[[#This Row],[仕入
単価]]+商品マスタ[[#This Row],[国内送料]]</f>
        <v>672</v>
      </c>
      <c r="U512" s="134">
        <f>ROUNDUP(商品マスタ[[#This Row],[仕入単価+国内送料]]/0.8,-1)</f>
        <v>840</v>
      </c>
      <c r="V512" s="134">
        <f>商品マスタ[[#This Row],[海外定価
（20％）]]-商品マスタ[[#This Row],[仕入単価+国内送料]]</f>
        <v>168</v>
      </c>
      <c r="W512" s="87">
        <f>ROUNDUP(商品マスタ[[#This Row],[仕入単価+国内送料]]/0.85,-1)</f>
        <v>800</v>
      </c>
      <c r="X512" s="134">
        <f>商品マスタ[[#This Row],[国内定価
（15％）]]-商品マスタ[[#This Row],[仕入単価+国内送料]]</f>
        <v>128</v>
      </c>
      <c r="Y512" s="139">
        <v>0.1</v>
      </c>
      <c r="Z512" s="87"/>
      <c r="AA512" s="87"/>
      <c r="AB512" s="87"/>
      <c r="AC512" s="140"/>
      <c r="AD512" s="87"/>
      <c r="AE512" s="87"/>
      <c r="AF512" s="87"/>
      <c r="AG512" s="141"/>
    </row>
    <row r="513" spans="1:33" ht="18">
      <c r="A513" s="166" t="s">
        <v>1520</v>
      </c>
      <c r="B513" s="167" t="s">
        <v>1223</v>
      </c>
      <c r="C513" s="167" t="s">
        <v>1268</v>
      </c>
      <c r="D513" s="143" t="str">
        <f>"PRD_SNJ_"&amp;
_xlfn.XLOOKUP(商品マスタ[[#This Row],[仕入先]],テーブル1[仕入先名],テーブル1[仕入先コード],"XXX",0,1)&amp;
"_"&amp;
商品マスタ[[#This Row],[シリアル]]&amp;
"_"&amp;
TEXT(COUNTIFS(商品マスタ!$C$3:C513,商品マスタ[[#This Row],[仕入先]],商品マスタ!$E$3:E513,商品マスタ[[#This Row],[商品名]]), "00")</f>
        <v>PRD_SNJ_NBC_0004_01</v>
      </c>
      <c r="E513" s="87" t="s">
        <v>1386</v>
      </c>
      <c r="F513" s="87">
        <f>IF(COUNTIFS($C$3:C513,商品マスタ[[#This Row],[仕入先]],$E$3:E513,商品マスタ[[#This Row],[商品名]]) = 1, 1,0)</f>
        <v>1</v>
      </c>
      <c r="G513" s="133" t="str">
        <f>TEXT(SUMIF($C$3:C513,商品マスタ[[#This Row],[仕入先]],$F$3:F513), "0000")</f>
        <v>0004</v>
      </c>
      <c r="H513" s="87" t="s">
        <v>1009</v>
      </c>
      <c r="I513" s="87" t="s">
        <v>1011</v>
      </c>
      <c r="J513" s="87" t="s">
        <v>1476</v>
      </c>
      <c r="K513" s="87"/>
      <c r="L513" s="134">
        <v>672</v>
      </c>
      <c r="M513" s="157"/>
      <c r="N513" s="134"/>
      <c r="O513" s="135" t="str">
        <f>IF(COUNT(商品マスタ[[#This Row],[参考上代
（税込)]]) &gt; 0, (商品マスタ[[#This Row],[参考上代
（税込)]]-商品マスタ[[#This Row],[国内定価
（15％）]])/(商品マスタ[[#This Row],[参考上代
（税込)]]/1.08), "")</f>
        <v/>
      </c>
      <c r="P513" s="136">
        <v>0.1</v>
      </c>
      <c r="Q513" s="134">
        <f>商品マスタ[[#This Row],[仕入
単価]]*商品マスタ[[#This Row],[標準国内送料率]]</f>
        <v>67.2</v>
      </c>
      <c r="R513" s="134">
        <v>0</v>
      </c>
      <c r="S513" s="134">
        <f>IF(ISBLANK(商品マスタ[[#This Row],[実績
国内送料]]),商品マスタ[[#This Row],[標準国内送料]],)</f>
        <v>0</v>
      </c>
      <c r="T513" s="134">
        <f>商品マスタ[[#This Row],[仕入
単価]]+商品マスタ[[#This Row],[国内送料]]</f>
        <v>672</v>
      </c>
      <c r="U513" s="134">
        <f>ROUNDUP(商品マスタ[[#This Row],[仕入単価+国内送料]]/0.8,-1)</f>
        <v>840</v>
      </c>
      <c r="V513" s="134">
        <f>商品マスタ[[#This Row],[海外定価
（20％）]]-商品マスタ[[#This Row],[仕入単価+国内送料]]</f>
        <v>168</v>
      </c>
      <c r="W513" s="87">
        <f>ROUNDUP(商品マスタ[[#This Row],[仕入単価+国内送料]]/0.85,-1)</f>
        <v>800</v>
      </c>
      <c r="X513" s="134">
        <f>商品マスタ[[#This Row],[国内定価
（15％）]]-商品マスタ[[#This Row],[仕入単価+国内送料]]</f>
        <v>128</v>
      </c>
      <c r="Y513" s="139">
        <v>0.1</v>
      </c>
      <c r="Z513" s="87"/>
      <c r="AA513" s="87"/>
      <c r="AB513" s="87"/>
      <c r="AC513" s="140"/>
      <c r="AD513" s="87"/>
      <c r="AE513" s="87"/>
      <c r="AF513" s="87"/>
      <c r="AG513" s="141"/>
    </row>
    <row r="514" spans="1:33" ht="18">
      <c r="A514" s="166" t="s">
        <v>1520</v>
      </c>
      <c r="B514" s="167" t="s">
        <v>1222</v>
      </c>
      <c r="C514" s="167" t="s">
        <v>1269</v>
      </c>
      <c r="D514" s="143" t="str">
        <f>"PRD_SNJ_"&amp;
_xlfn.XLOOKUP(商品マスタ[[#This Row],[仕入先]],テーブル1[仕入先名],テーブル1[仕入先コード],"XXX",0,1)&amp;
"_"&amp;
商品マスタ[[#This Row],[シリアル]]&amp;
"_"&amp;
TEXT(COUNTIFS(商品マスタ!$C$3:C514,商品マスタ[[#This Row],[仕入先]],商品マスタ!$E$3:E514,商品マスタ[[#This Row],[商品名]]), "00")</f>
        <v>PRD_SNJ_KBR_0001_01</v>
      </c>
      <c r="E514" s="87" t="s">
        <v>1387</v>
      </c>
      <c r="F514" s="87">
        <f>IF(COUNTIFS($C$3:C514,商品マスタ[[#This Row],[仕入先]],$E$3:E514,商品マスタ[[#This Row],[商品名]]) = 1, 1,0)</f>
        <v>1</v>
      </c>
      <c r="G514" s="133" t="str">
        <f>TEXT(SUMIF($C$3:C514,商品マスタ[[#This Row],[仕入先]],$F$3:F514), "0000")</f>
        <v>0001</v>
      </c>
      <c r="H514" s="87" t="s">
        <v>1009</v>
      </c>
      <c r="I514" s="87" t="s">
        <v>1011</v>
      </c>
      <c r="J514" s="87" t="s">
        <v>1476</v>
      </c>
      <c r="K514" s="87"/>
      <c r="L514" s="134">
        <v>1188</v>
      </c>
      <c r="M514" s="157"/>
      <c r="N514" s="134"/>
      <c r="O514" s="135" t="str">
        <f>IF(COUNT(商品マスタ[[#This Row],[参考上代
（税込)]]) &gt; 0, (商品マスタ[[#This Row],[参考上代
（税込)]]-商品マスタ[[#This Row],[国内定価
（15％）]])/(商品マスタ[[#This Row],[参考上代
（税込)]]/1.08), "")</f>
        <v/>
      </c>
      <c r="P514" s="136">
        <v>0.1</v>
      </c>
      <c r="Q514" s="134">
        <f>商品マスタ[[#This Row],[仕入
単価]]*商品マスタ[[#This Row],[標準国内送料率]]</f>
        <v>118.80000000000001</v>
      </c>
      <c r="R514" s="134">
        <v>0</v>
      </c>
      <c r="S514" s="134">
        <f>IF(ISBLANK(商品マスタ[[#This Row],[実績
国内送料]]),商品マスタ[[#This Row],[標準国内送料]],)</f>
        <v>0</v>
      </c>
      <c r="T514" s="134">
        <f>商品マスタ[[#This Row],[仕入
単価]]+商品マスタ[[#This Row],[国内送料]]</f>
        <v>1188</v>
      </c>
      <c r="U514" s="134">
        <f>ROUNDUP(商品マスタ[[#This Row],[仕入単価+国内送料]]/0.8,-1)</f>
        <v>1490</v>
      </c>
      <c r="V514" s="134">
        <f>商品マスタ[[#This Row],[海外定価
（20％）]]-商品マスタ[[#This Row],[仕入単価+国内送料]]</f>
        <v>302</v>
      </c>
      <c r="W514" s="87">
        <f>ROUNDUP(商品マスタ[[#This Row],[仕入単価+国内送料]]/0.85,-1)</f>
        <v>1400</v>
      </c>
      <c r="X514" s="134">
        <f>商品マスタ[[#This Row],[国内定価
（15％）]]-商品マスタ[[#This Row],[仕入単価+国内送料]]</f>
        <v>212</v>
      </c>
      <c r="Y514" s="139">
        <v>0.1</v>
      </c>
      <c r="Z514" s="87"/>
      <c r="AA514" s="87"/>
      <c r="AB514" s="87"/>
      <c r="AC514" s="140"/>
      <c r="AD514" s="87"/>
      <c r="AE514" s="87"/>
      <c r="AF514" s="87"/>
      <c r="AG514" s="141"/>
    </row>
    <row r="515" spans="1:33" ht="18">
      <c r="A515" s="166" t="s">
        <v>1520</v>
      </c>
      <c r="B515" s="167" t="s">
        <v>1222</v>
      </c>
      <c r="C515" s="167" t="s">
        <v>1269</v>
      </c>
      <c r="D515" s="143" t="str">
        <f>"PRD_SNJ_"&amp;
_xlfn.XLOOKUP(商品マスタ[[#This Row],[仕入先]],テーブル1[仕入先名],テーブル1[仕入先コード],"XXX",0,1)&amp;
"_"&amp;
商品マスタ[[#This Row],[シリアル]]&amp;
"_"&amp;
TEXT(COUNTIFS(商品マスタ!$C$3:C515,商品マスタ[[#This Row],[仕入先]],商品マスタ!$E$3:E515,商品マスタ[[#This Row],[商品名]]), "00")</f>
        <v>PRD_SNJ_KBR_0002_01</v>
      </c>
      <c r="E515" s="87" t="s">
        <v>1388</v>
      </c>
      <c r="F515" s="87">
        <f>IF(COUNTIFS($C$3:C515,商品マスタ[[#This Row],[仕入先]],$E$3:E515,商品マスタ[[#This Row],[商品名]]) = 1, 1,0)</f>
        <v>1</v>
      </c>
      <c r="G515" s="133" t="str">
        <f>TEXT(SUMIF($C$3:C515,商品マスタ[[#This Row],[仕入先]],$F$3:F515), "0000")</f>
        <v>0002</v>
      </c>
      <c r="H515" s="87" t="s">
        <v>1009</v>
      </c>
      <c r="I515" s="87" t="s">
        <v>1454</v>
      </c>
      <c r="J515" s="87" t="s">
        <v>1476</v>
      </c>
      <c r="K515" s="87"/>
      <c r="L515" s="134">
        <v>558</v>
      </c>
      <c r="M515" s="157"/>
      <c r="N515" s="134"/>
      <c r="O515" s="135" t="str">
        <f>IF(COUNT(商品マスタ[[#This Row],[参考上代
（税込)]]) &gt; 0, (商品マスタ[[#This Row],[参考上代
（税込)]]-商品マスタ[[#This Row],[国内定価
（15％）]])/(商品マスタ[[#This Row],[参考上代
（税込)]]/1.08), "")</f>
        <v/>
      </c>
      <c r="P515" s="136">
        <v>0.1</v>
      </c>
      <c r="Q515" s="134">
        <f>商品マスタ[[#This Row],[仕入
単価]]*商品マスタ[[#This Row],[標準国内送料率]]</f>
        <v>55.800000000000004</v>
      </c>
      <c r="R515" s="134">
        <v>0</v>
      </c>
      <c r="S515" s="134">
        <f>IF(ISBLANK(商品マスタ[[#This Row],[実績
国内送料]]),商品マスタ[[#This Row],[標準国内送料]],)</f>
        <v>0</v>
      </c>
      <c r="T515" s="134">
        <f>商品マスタ[[#This Row],[仕入
単価]]+商品マスタ[[#This Row],[国内送料]]</f>
        <v>558</v>
      </c>
      <c r="U515" s="134">
        <f>ROUNDUP(商品マスタ[[#This Row],[仕入単価+国内送料]]/0.8,-1)</f>
        <v>700</v>
      </c>
      <c r="V515" s="134">
        <f>商品マスタ[[#This Row],[海外定価
（20％）]]-商品マスタ[[#This Row],[仕入単価+国内送料]]</f>
        <v>142</v>
      </c>
      <c r="W515" s="87">
        <f>ROUNDUP(商品マスタ[[#This Row],[仕入単価+国内送料]]/0.85,-1)</f>
        <v>660</v>
      </c>
      <c r="X515" s="134">
        <f>商品マスタ[[#This Row],[国内定価
（15％）]]-商品マスタ[[#This Row],[仕入単価+国内送料]]</f>
        <v>102</v>
      </c>
      <c r="Y515" s="139">
        <v>0.1</v>
      </c>
      <c r="Z515" s="87"/>
      <c r="AA515" s="87"/>
      <c r="AB515" s="87"/>
      <c r="AC515" s="140"/>
      <c r="AD515" s="87"/>
      <c r="AE515" s="87"/>
      <c r="AF515" s="87"/>
      <c r="AG515" s="141"/>
    </row>
    <row r="516" spans="1:33" ht="18">
      <c r="A516" s="166" t="s">
        <v>1520</v>
      </c>
      <c r="B516" s="167" t="s">
        <v>1222</v>
      </c>
      <c r="C516" s="167" t="s">
        <v>1269</v>
      </c>
      <c r="D516" s="143" t="str">
        <f>"PRD_SNJ_"&amp;
_xlfn.XLOOKUP(商品マスタ[[#This Row],[仕入先]],テーブル1[仕入先名],テーブル1[仕入先コード],"XXX",0,1)&amp;
"_"&amp;
商品マスタ[[#This Row],[シリアル]]&amp;
"_"&amp;
TEXT(COUNTIFS(商品マスタ!$C$3:C516,商品マスタ[[#This Row],[仕入先]],商品マスタ!$E$3:E516,商品マスタ[[#This Row],[商品名]]), "00")</f>
        <v>PRD_SNJ_KBR_0003_01</v>
      </c>
      <c r="E516" s="87" t="s">
        <v>1389</v>
      </c>
      <c r="F516" s="87">
        <f>IF(COUNTIFS($C$3:C516,商品マスタ[[#This Row],[仕入先]],$E$3:E516,商品マスタ[[#This Row],[商品名]]) = 1, 1,0)</f>
        <v>1</v>
      </c>
      <c r="G516" s="133" t="str">
        <f>TEXT(SUMIF($C$3:C516,商品マスタ[[#This Row],[仕入先]],$F$3:F516), "0000")</f>
        <v>0003</v>
      </c>
      <c r="H516" s="87" t="s">
        <v>1009</v>
      </c>
      <c r="I516" s="87" t="s">
        <v>1455</v>
      </c>
      <c r="J516" s="87" t="s">
        <v>1476</v>
      </c>
      <c r="K516" s="87"/>
      <c r="L516" s="134">
        <v>5610</v>
      </c>
      <c r="M516" s="157"/>
      <c r="N516" s="134"/>
      <c r="O516" s="135" t="str">
        <f>IF(COUNT(商品マスタ[[#This Row],[参考上代
（税込)]]) &gt; 0, (商品マスタ[[#This Row],[参考上代
（税込)]]-商品マスタ[[#This Row],[国内定価
（15％）]])/(商品マスタ[[#This Row],[参考上代
（税込)]]/1.08), "")</f>
        <v/>
      </c>
      <c r="P516" s="136">
        <v>0.1</v>
      </c>
      <c r="Q516" s="134">
        <f>商品マスタ[[#This Row],[仕入
単価]]*商品マスタ[[#This Row],[標準国内送料率]]</f>
        <v>561</v>
      </c>
      <c r="R516" s="134">
        <v>0</v>
      </c>
      <c r="S516" s="134">
        <f>IF(ISBLANK(商品マスタ[[#This Row],[実績
国内送料]]),商品マスタ[[#This Row],[標準国内送料]],)</f>
        <v>0</v>
      </c>
      <c r="T516" s="134">
        <f>商品マスタ[[#This Row],[仕入
単価]]+商品マスタ[[#This Row],[国内送料]]</f>
        <v>5610</v>
      </c>
      <c r="U516" s="134">
        <f>ROUNDUP(商品マスタ[[#This Row],[仕入単価+国内送料]]/0.8,-1)</f>
        <v>7020</v>
      </c>
      <c r="V516" s="134">
        <f>商品マスタ[[#This Row],[海外定価
（20％）]]-商品マスタ[[#This Row],[仕入単価+国内送料]]</f>
        <v>1410</v>
      </c>
      <c r="W516" s="87">
        <f>ROUNDUP(商品マスタ[[#This Row],[仕入単価+国内送料]]/0.85,-1)</f>
        <v>6600</v>
      </c>
      <c r="X516" s="134">
        <f>商品マスタ[[#This Row],[国内定価
（15％）]]-商品マスタ[[#This Row],[仕入単価+国内送料]]</f>
        <v>990</v>
      </c>
      <c r="Y516" s="139">
        <v>0.1</v>
      </c>
      <c r="Z516" s="87"/>
      <c r="AA516" s="87"/>
      <c r="AB516" s="87"/>
      <c r="AC516" s="140"/>
      <c r="AD516" s="87"/>
      <c r="AE516" s="87"/>
      <c r="AF516" s="87"/>
      <c r="AG516" s="141"/>
    </row>
    <row r="517" spans="1:33" ht="18">
      <c r="A517" s="166" t="s">
        <v>1520</v>
      </c>
      <c r="B517" s="167" t="s">
        <v>1222</v>
      </c>
      <c r="C517" s="167" t="s">
        <v>1269</v>
      </c>
      <c r="D517" s="143" t="str">
        <f>"PRD_SNJ_"&amp;
_xlfn.XLOOKUP(商品マスタ[[#This Row],[仕入先]],テーブル1[仕入先名],テーブル1[仕入先コード],"XXX",0,1)&amp;
"_"&amp;
商品マスタ[[#This Row],[シリアル]]&amp;
"_"&amp;
TEXT(COUNTIFS(商品マスタ!$C$3:C517,商品マスタ[[#This Row],[仕入先]],商品マスタ!$E$3:E517,商品マスタ[[#This Row],[商品名]]), "00")</f>
        <v>PRD_SNJ_KBR_0004_01</v>
      </c>
      <c r="E517" s="87" t="s">
        <v>1390</v>
      </c>
      <c r="F517" s="87">
        <f>IF(COUNTIFS($C$3:C517,商品マスタ[[#This Row],[仕入先]],$E$3:E517,商品マスタ[[#This Row],[商品名]]) = 1, 1,0)</f>
        <v>1</v>
      </c>
      <c r="G517" s="133" t="str">
        <f>TEXT(SUMIF($C$3:C517,商品マスタ[[#This Row],[仕入先]],$F$3:F517), "0000")</f>
        <v>0004</v>
      </c>
      <c r="H517" s="87" t="s">
        <v>1009</v>
      </c>
      <c r="I517" s="87" t="s">
        <v>1456</v>
      </c>
      <c r="J517" s="87" t="s">
        <v>1476</v>
      </c>
      <c r="K517" s="87"/>
      <c r="L517" s="134">
        <v>10800</v>
      </c>
      <c r="M517" s="157"/>
      <c r="N517" s="134"/>
      <c r="O517" s="135" t="str">
        <f>IF(COUNT(商品マスタ[[#This Row],[参考上代
（税込)]]) &gt; 0, (商品マスタ[[#This Row],[参考上代
（税込)]]-商品マスタ[[#This Row],[国内定価
（15％）]])/(商品マスタ[[#This Row],[参考上代
（税込)]]/1.08), "")</f>
        <v/>
      </c>
      <c r="P517" s="136">
        <v>0.1</v>
      </c>
      <c r="Q517" s="134">
        <f>商品マスタ[[#This Row],[仕入
単価]]*商品マスタ[[#This Row],[標準国内送料率]]</f>
        <v>1080</v>
      </c>
      <c r="R517" s="134">
        <v>0</v>
      </c>
      <c r="S517" s="134">
        <f>IF(ISBLANK(商品マスタ[[#This Row],[実績
国内送料]]),商品マスタ[[#This Row],[標準国内送料]],)</f>
        <v>0</v>
      </c>
      <c r="T517" s="134">
        <f>商品マスタ[[#This Row],[仕入
単価]]+商品マスタ[[#This Row],[国内送料]]</f>
        <v>10800</v>
      </c>
      <c r="U517" s="134">
        <f>ROUNDUP(商品マスタ[[#This Row],[仕入単価+国内送料]]/0.8,-1)</f>
        <v>13500</v>
      </c>
      <c r="V517" s="134">
        <f>商品マスタ[[#This Row],[海外定価
（20％）]]-商品マスタ[[#This Row],[仕入単価+国内送料]]</f>
        <v>2700</v>
      </c>
      <c r="W517" s="87">
        <f>ROUNDUP(商品マスタ[[#This Row],[仕入単価+国内送料]]/0.85,-1)</f>
        <v>12710</v>
      </c>
      <c r="X517" s="134">
        <f>商品マスタ[[#This Row],[国内定価
（15％）]]-商品マスタ[[#This Row],[仕入単価+国内送料]]</f>
        <v>1910</v>
      </c>
      <c r="Y517" s="139">
        <v>0.1</v>
      </c>
      <c r="Z517" s="87"/>
      <c r="AA517" s="87"/>
      <c r="AB517" s="87"/>
      <c r="AC517" s="140"/>
      <c r="AD517" s="87"/>
      <c r="AE517" s="87"/>
      <c r="AF517" s="87"/>
      <c r="AG517" s="141"/>
    </row>
    <row r="518" spans="1:33" ht="18">
      <c r="A518" s="166" t="s">
        <v>1520</v>
      </c>
      <c r="B518" s="167" t="s">
        <v>1224</v>
      </c>
      <c r="C518" s="167" t="s">
        <v>11</v>
      </c>
      <c r="D518" s="143" t="str">
        <f>"PRD_SNJ_"&amp;
_xlfn.XLOOKUP(商品マスタ[[#This Row],[仕入先]],テーブル1[仕入先名],テーブル1[仕入先コード],"XXX",0,1)&amp;
"_"&amp;
商品マスタ[[#This Row],[シリアル]]&amp;
"_"&amp;
TEXT(COUNTIFS(商品マスタ!$C$3:C518,商品マスタ[[#This Row],[仕入先]],商品マスタ!$E$3:E518,商品マスタ[[#This Row],[商品名]]), "00")</f>
        <v>PRD_SNJ_NKH_0001_01</v>
      </c>
      <c r="E518" s="87" t="s">
        <v>1391</v>
      </c>
      <c r="F518" s="87">
        <f>IF(COUNTIFS($C$3:C518,商品マスタ[[#This Row],[仕入先]],$E$3:E518,商品マスタ[[#This Row],[商品名]]) = 1, 1,0)</f>
        <v>1</v>
      </c>
      <c r="G518" s="133" t="str">
        <f>TEXT(SUMIF($C$3:C518,商品マスタ[[#This Row],[仕入先]],$F$3:F518), "0000")</f>
        <v>0001</v>
      </c>
      <c r="H518" s="87" t="s">
        <v>1009</v>
      </c>
      <c r="I518" s="87" t="s">
        <v>1011</v>
      </c>
      <c r="J518" s="87" t="s">
        <v>1476</v>
      </c>
      <c r="K518" s="87"/>
      <c r="L518" s="134">
        <v>3850</v>
      </c>
      <c r="M518" s="157"/>
      <c r="N518" s="134"/>
      <c r="O518" s="135" t="str">
        <f>IF(COUNT(商品マスタ[[#This Row],[参考上代
（税込)]]) &gt; 0, (商品マスタ[[#This Row],[参考上代
（税込)]]-商品マスタ[[#This Row],[国内定価
（15％）]])/(商品マスタ[[#This Row],[参考上代
（税込)]]/1.08), "")</f>
        <v/>
      </c>
      <c r="P518" s="136">
        <v>0.1</v>
      </c>
      <c r="Q518" s="134">
        <f>商品マスタ[[#This Row],[仕入
単価]]*商品マスタ[[#This Row],[標準国内送料率]]</f>
        <v>385</v>
      </c>
      <c r="R518" s="134">
        <v>0</v>
      </c>
      <c r="S518" s="134">
        <f>IF(ISBLANK(商品マスタ[[#This Row],[実績
国内送料]]),商品マスタ[[#This Row],[標準国内送料]],)</f>
        <v>0</v>
      </c>
      <c r="T518" s="134">
        <f>商品マスタ[[#This Row],[仕入
単価]]+商品マスタ[[#This Row],[国内送料]]</f>
        <v>3850</v>
      </c>
      <c r="U518" s="134">
        <f>ROUNDUP(商品マスタ[[#This Row],[仕入単価+国内送料]]/0.8,-1)</f>
        <v>4820</v>
      </c>
      <c r="V518" s="134">
        <f>商品マスタ[[#This Row],[海外定価
（20％）]]-商品マスタ[[#This Row],[仕入単価+国内送料]]</f>
        <v>970</v>
      </c>
      <c r="W518" s="87">
        <f>ROUNDUP(商品マスタ[[#This Row],[仕入単価+国内送料]]/0.85,-1)</f>
        <v>4530</v>
      </c>
      <c r="X518" s="134">
        <f>商品マスタ[[#This Row],[国内定価
（15％）]]-商品マスタ[[#This Row],[仕入単価+国内送料]]</f>
        <v>680</v>
      </c>
      <c r="Y518" s="139">
        <v>0.1</v>
      </c>
      <c r="Z518" s="87"/>
      <c r="AA518" s="87"/>
      <c r="AB518" s="87"/>
      <c r="AC518" s="140"/>
      <c r="AD518" s="87"/>
      <c r="AE518" s="87"/>
      <c r="AF518" s="87"/>
      <c r="AG518" s="141"/>
    </row>
    <row r="519" spans="1:33" ht="18">
      <c r="A519" s="166" t="s">
        <v>1520</v>
      </c>
      <c r="B519" s="167" t="s">
        <v>1222</v>
      </c>
      <c r="C519" s="167" t="s">
        <v>1270</v>
      </c>
      <c r="D519" s="143" t="str">
        <f>"PRD_SNJ_"&amp;
_xlfn.XLOOKUP(商品マスタ[[#This Row],[仕入先]],テーブル1[仕入先名],テーブル1[仕入先コード],"XXX",0,1)&amp;
"_"&amp;
商品マスタ[[#This Row],[シリアル]]&amp;
"_"&amp;
TEXT(COUNTIFS(商品マスタ!$C$3:C519,商品マスタ[[#This Row],[仕入先]],商品マスタ!$E$3:E519,商品マスタ[[#This Row],[商品名]]), "00")</f>
        <v>PRD_SNJ_WKT_0001_01</v>
      </c>
      <c r="E519" s="87" t="s">
        <v>1392</v>
      </c>
      <c r="F519" s="87">
        <f>IF(COUNTIFS($C$3:C519,商品マスタ[[#This Row],[仕入先]],$E$3:E519,商品マスタ[[#This Row],[商品名]]) = 1, 1,0)</f>
        <v>1</v>
      </c>
      <c r="G519" s="133" t="str">
        <f>TEXT(SUMIF($C$3:C519,商品マスタ[[#This Row],[仕入先]],$F$3:F519), "0000")</f>
        <v>0001</v>
      </c>
      <c r="H519" s="87" t="s">
        <v>1009</v>
      </c>
      <c r="I519" s="87" t="s">
        <v>1457</v>
      </c>
      <c r="J519" s="87" t="s">
        <v>1476</v>
      </c>
      <c r="K519" s="87"/>
      <c r="L519" s="134">
        <v>1810</v>
      </c>
      <c r="M519" s="157"/>
      <c r="N519" s="134"/>
      <c r="O519" s="135" t="str">
        <f>IF(COUNT(商品マスタ[[#This Row],[参考上代
（税込)]]) &gt; 0, (商品マスタ[[#This Row],[参考上代
（税込)]]-商品マスタ[[#This Row],[国内定価
（15％）]])/(商品マスタ[[#This Row],[参考上代
（税込)]]/1.08), "")</f>
        <v/>
      </c>
      <c r="P519" s="136">
        <v>0.1</v>
      </c>
      <c r="Q519" s="134">
        <f>商品マスタ[[#This Row],[仕入
単価]]*商品マスタ[[#This Row],[標準国内送料率]]</f>
        <v>181</v>
      </c>
      <c r="R519" s="134">
        <v>0</v>
      </c>
      <c r="S519" s="134">
        <f>IF(ISBLANK(商品マスタ[[#This Row],[実績
国内送料]]),商品マスタ[[#This Row],[標準国内送料]],)</f>
        <v>0</v>
      </c>
      <c r="T519" s="134">
        <f>商品マスタ[[#This Row],[仕入
単価]]+商品マスタ[[#This Row],[国内送料]]</f>
        <v>1810</v>
      </c>
      <c r="U519" s="134">
        <f>ROUNDUP(商品マスタ[[#This Row],[仕入単価+国内送料]]/0.8,-1)</f>
        <v>2270</v>
      </c>
      <c r="V519" s="134">
        <f>商品マスタ[[#This Row],[海外定価
（20％）]]-商品マスタ[[#This Row],[仕入単価+国内送料]]</f>
        <v>460</v>
      </c>
      <c r="W519" s="87">
        <f>ROUNDUP(商品マスタ[[#This Row],[仕入単価+国内送料]]/0.85,-1)</f>
        <v>2130</v>
      </c>
      <c r="X519" s="134">
        <f>商品マスタ[[#This Row],[国内定価
（15％）]]-商品マスタ[[#This Row],[仕入単価+国内送料]]</f>
        <v>320</v>
      </c>
      <c r="Y519" s="139">
        <v>0.1</v>
      </c>
      <c r="Z519" s="87"/>
      <c r="AA519" s="87"/>
      <c r="AB519" s="87"/>
      <c r="AC519" s="140"/>
      <c r="AD519" s="87"/>
      <c r="AE519" s="87"/>
      <c r="AF519" s="87"/>
      <c r="AG519" s="141"/>
    </row>
    <row r="520" spans="1:33" ht="18">
      <c r="A520" s="166" t="s">
        <v>1520</v>
      </c>
      <c r="B520" s="167" t="s">
        <v>1222</v>
      </c>
      <c r="C520" s="167" t="s">
        <v>1270</v>
      </c>
      <c r="D520" s="143" t="str">
        <f>"PRD_SNJ_"&amp;
_xlfn.XLOOKUP(商品マスタ[[#This Row],[仕入先]],テーブル1[仕入先名],テーブル1[仕入先コード],"XXX",0,1)&amp;
"_"&amp;
商品マスタ[[#This Row],[シリアル]]&amp;
"_"&amp;
TEXT(COUNTIFS(商品マスタ!$C$3:C520,商品マスタ[[#This Row],[仕入先]],商品マスタ!$E$3:E520,商品マスタ[[#This Row],[商品名]]), "00")</f>
        <v>PRD_SNJ_WKT_0002_01</v>
      </c>
      <c r="E520" s="87" t="s">
        <v>1393</v>
      </c>
      <c r="F520" s="87">
        <f>IF(COUNTIFS($C$3:C520,商品マスタ[[#This Row],[仕入先]],$E$3:E520,商品マスタ[[#This Row],[商品名]]) = 1, 1,0)</f>
        <v>1</v>
      </c>
      <c r="G520" s="133" t="str">
        <f>TEXT(SUMIF($C$3:C520,商品マスタ[[#This Row],[仕入先]],$F$3:F520), "0000")</f>
        <v>0002</v>
      </c>
      <c r="H520" s="87" t="s">
        <v>1009</v>
      </c>
      <c r="I520" s="87" t="s">
        <v>1458</v>
      </c>
      <c r="J520" s="87" t="s">
        <v>1476</v>
      </c>
      <c r="K520" s="87"/>
      <c r="L520" s="134">
        <v>1170</v>
      </c>
      <c r="M520" s="157"/>
      <c r="N520" s="134"/>
      <c r="O520" s="135" t="str">
        <f>IF(COUNT(商品マスタ[[#This Row],[参考上代
（税込)]]) &gt; 0, (商品マスタ[[#This Row],[参考上代
（税込)]]-商品マスタ[[#This Row],[国内定価
（15％）]])/(商品マスタ[[#This Row],[参考上代
（税込)]]/1.08), "")</f>
        <v/>
      </c>
      <c r="P520" s="136">
        <v>0.1</v>
      </c>
      <c r="Q520" s="134">
        <f>商品マスタ[[#This Row],[仕入
単価]]*商品マスタ[[#This Row],[標準国内送料率]]</f>
        <v>117</v>
      </c>
      <c r="R520" s="134">
        <v>0</v>
      </c>
      <c r="S520" s="134">
        <f>IF(ISBLANK(商品マスタ[[#This Row],[実績
国内送料]]),商品マスタ[[#This Row],[標準国内送料]],)</f>
        <v>0</v>
      </c>
      <c r="T520" s="134">
        <f>商品マスタ[[#This Row],[仕入
単価]]+商品マスタ[[#This Row],[国内送料]]</f>
        <v>1170</v>
      </c>
      <c r="U520" s="134">
        <f>ROUNDUP(商品マスタ[[#This Row],[仕入単価+国内送料]]/0.8,-1)</f>
        <v>1470</v>
      </c>
      <c r="V520" s="134">
        <f>商品マスタ[[#This Row],[海外定価
（20％）]]-商品マスタ[[#This Row],[仕入単価+国内送料]]</f>
        <v>300</v>
      </c>
      <c r="W520" s="87">
        <f>ROUNDUP(商品マスタ[[#This Row],[仕入単価+国内送料]]/0.85,-1)</f>
        <v>1380</v>
      </c>
      <c r="X520" s="134">
        <f>商品マスタ[[#This Row],[国内定価
（15％）]]-商品マスタ[[#This Row],[仕入単価+国内送料]]</f>
        <v>210</v>
      </c>
      <c r="Y520" s="139">
        <v>0.1</v>
      </c>
      <c r="Z520" s="87"/>
      <c r="AA520" s="87"/>
      <c r="AB520" s="87"/>
      <c r="AC520" s="140"/>
      <c r="AD520" s="87"/>
      <c r="AE520" s="87"/>
      <c r="AF520" s="87"/>
      <c r="AG520" s="141"/>
    </row>
    <row r="521" spans="1:33" ht="18">
      <c r="A521" s="166" t="s">
        <v>1520</v>
      </c>
      <c r="B521" s="167" t="s">
        <v>1222</v>
      </c>
      <c r="C521" s="167" t="s">
        <v>1270</v>
      </c>
      <c r="D521" s="143" t="str">
        <f>"PRD_SNJ_"&amp;
_xlfn.XLOOKUP(商品マスタ[[#This Row],[仕入先]],テーブル1[仕入先名],テーブル1[仕入先コード],"XXX",0,1)&amp;
"_"&amp;
商品マスタ[[#This Row],[シリアル]]&amp;
"_"&amp;
TEXT(COUNTIFS(商品マスタ!$C$3:C521,商品マスタ[[#This Row],[仕入先]],商品マスタ!$E$3:E521,商品マスタ[[#This Row],[商品名]]), "00")</f>
        <v>PRD_SNJ_WKT_0003_01</v>
      </c>
      <c r="E521" s="87" t="s">
        <v>1394</v>
      </c>
      <c r="F521" s="87">
        <f>IF(COUNTIFS($C$3:C521,商品マスタ[[#This Row],[仕入先]],$E$3:E521,商品マスタ[[#This Row],[商品名]]) = 1, 1,0)</f>
        <v>1</v>
      </c>
      <c r="G521" s="133" t="str">
        <f>TEXT(SUMIF($C$3:C521,商品マスタ[[#This Row],[仕入先]],$F$3:F521), "0000")</f>
        <v>0003</v>
      </c>
      <c r="H521" s="87" t="s">
        <v>1009</v>
      </c>
      <c r="I521" s="87" t="s">
        <v>1011</v>
      </c>
      <c r="J521" s="87" t="s">
        <v>1476</v>
      </c>
      <c r="K521" s="87"/>
      <c r="L521" s="134">
        <v>1110</v>
      </c>
      <c r="M521" s="157"/>
      <c r="N521" s="134"/>
      <c r="O521" s="135" t="str">
        <f>IF(COUNT(商品マスタ[[#This Row],[参考上代
（税込)]]) &gt; 0, (商品マスタ[[#This Row],[参考上代
（税込)]]-商品マスタ[[#This Row],[国内定価
（15％）]])/(商品マスタ[[#This Row],[参考上代
（税込)]]/1.08), "")</f>
        <v/>
      </c>
      <c r="P521" s="136">
        <v>0.1</v>
      </c>
      <c r="Q521" s="134">
        <f>商品マスタ[[#This Row],[仕入
単価]]*商品マスタ[[#This Row],[標準国内送料率]]</f>
        <v>111</v>
      </c>
      <c r="R521" s="134">
        <v>0</v>
      </c>
      <c r="S521" s="134">
        <f>IF(ISBLANK(商品マスタ[[#This Row],[実績
国内送料]]),商品マスタ[[#This Row],[標準国内送料]],)</f>
        <v>0</v>
      </c>
      <c r="T521" s="134">
        <f>商品マスタ[[#This Row],[仕入
単価]]+商品マスタ[[#This Row],[国内送料]]</f>
        <v>1110</v>
      </c>
      <c r="U521" s="134">
        <f>ROUNDUP(商品マスタ[[#This Row],[仕入単価+国内送料]]/0.8,-1)</f>
        <v>1390</v>
      </c>
      <c r="V521" s="134">
        <f>商品マスタ[[#This Row],[海外定価
（20％）]]-商品マスタ[[#This Row],[仕入単価+国内送料]]</f>
        <v>280</v>
      </c>
      <c r="W521" s="87">
        <f>ROUNDUP(商品マスタ[[#This Row],[仕入単価+国内送料]]/0.85,-1)</f>
        <v>1310</v>
      </c>
      <c r="X521" s="134">
        <f>商品マスタ[[#This Row],[国内定価
（15％）]]-商品マスタ[[#This Row],[仕入単価+国内送料]]</f>
        <v>200</v>
      </c>
      <c r="Y521" s="139">
        <v>0.1</v>
      </c>
      <c r="Z521" s="87"/>
      <c r="AA521" s="87"/>
      <c r="AB521" s="87"/>
      <c r="AC521" s="140"/>
      <c r="AD521" s="87"/>
      <c r="AE521" s="87"/>
      <c r="AF521" s="87"/>
      <c r="AG521" s="141"/>
    </row>
    <row r="522" spans="1:33" ht="18">
      <c r="A522" s="166" t="s">
        <v>1520</v>
      </c>
      <c r="B522" s="167" t="s">
        <v>1226</v>
      </c>
      <c r="C522" s="167" t="s">
        <v>1115</v>
      </c>
      <c r="D522" s="143" t="str">
        <f>"PRD_SNJ_"&amp;
_xlfn.XLOOKUP(商品マスタ[[#This Row],[仕入先]],テーブル1[仕入先名],テーブル1[仕入先コード],"XXX",0,1)&amp;
"_"&amp;
商品マスタ[[#This Row],[シリアル]]&amp;
"_"&amp;
TEXT(COUNTIFS(商品マスタ!$C$3:C522,商品マスタ[[#This Row],[仕入先]],商品マスタ!$E$3:E522,商品マスタ[[#This Row],[商品名]]), "00")</f>
        <v>PRD_SNJ_KYS_0009_01</v>
      </c>
      <c r="E522" s="87" t="s">
        <v>1395</v>
      </c>
      <c r="F522" s="87">
        <f>IF(COUNTIFS($C$3:C522,商品マスタ[[#This Row],[仕入先]],$E$3:E522,商品マスタ[[#This Row],[商品名]]) = 1, 1,0)</f>
        <v>1</v>
      </c>
      <c r="G522" s="133" t="str">
        <f>TEXT(SUMIF($C$3:C522,商品マスタ[[#This Row],[仕入先]],$F$3:F522), "0000")</f>
        <v>0009</v>
      </c>
      <c r="H522" s="87" t="s">
        <v>424</v>
      </c>
      <c r="I522" s="87" t="s">
        <v>1117</v>
      </c>
      <c r="J522" s="87" t="s">
        <v>390</v>
      </c>
      <c r="K522" s="87"/>
      <c r="L522" s="134">
        <v>1124</v>
      </c>
      <c r="M522" s="157"/>
      <c r="N522" s="134"/>
      <c r="O522" s="135" t="str">
        <f>IF(COUNT(商品マスタ[[#This Row],[参考上代
（税込)]]) &gt; 0, (商品マスタ[[#This Row],[参考上代
（税込)]]-商品マスタ[[#This Row],[国内定価
（15％）]])/(商品マスタ[[#This Row],[参考上代
（税込)]]/1.08), "")</f>
        <v/>
      </c>
      <c r="P522" s="136">
        <v>0.1</v>
      </c>
      <c r="Q522" s="134">
        <f>商品マスタ[[#This Row],[仕入
単価]]*商品マスタ[[#This Row],[標準国内送料率]]</f>
        <v>112.4</v>
      </c>
      <c r="R522" s="134">
        <v>0</v>
      </c>
      <c r="S522" s="134">
        <f>IF(ISBLANK(商品マスタ[[#This Row],[実績
国内送料]]),商品マスタ[[#This Row],[標準国内送料]],)</f>
        <v>0</v>
      </c>
      <c r="T522" s="134">
        <f>商品マスタ[[#This Row],[仕入
単価]]+商品マスタ[[#This Row],[国内送料]]</f>
        <v>1124</v>
      </c>
      <c r="U522" s="134">
        <f>ROUNDUP(商品マスタ[[#This Row],[仕入単価+国内送料]]/0.8,-1)</f>
        <v>1410</v>
      </c>
      <c r="V522" s="134">
        <f>商品マスタ[[#This Row],[海外定価
（20％）]]-商品マスタ[[#This Row],[仕入単価+国内送料]]</f>
        <v>286</v>
      </c>
      <c r="W522" s="87">
        <f>ROUNDUP(商品マスタ[[#This Row],[仕入単価+国内送料]]/0.85,-1)</f>
        <v>1330</v>
      </c>
      <c r="X522" s="134">
        <f>商品マスタ[[#This Row],[国内定価
（15％）]]-商品マスタ[[#This Row],[仕入単価+国内送料]]</f>
        <v>206</v>
      </c>
      <c r="Y522" s="139">
        <v>0.08</v>
      </c>
      <c r="Z522" s="87"/>
      <c r="AA522" s="87"/>
      <c r="AB522" s="87"/>
      <c r="AC522" s="140"/>
      <c r="AD522" s="87"/>
      <c r="AE522" s="87"/>
      <c r="AF522" s="87"/>
      <c r="AG522" s="141"/>
    </row>
    <row r="523" spans="1:33" ht="18">
      <c r="A523" s="166" t="s">
        <v>1520</v>
      </c>
      <c r="B523" s="167" t="s">
        <v>1226</v>
      </c>
      <c r="C523" s="167" t="s">
        <v>1115</v>
      </c>
      <c r="D523" s="143" t="str">
        <f>"PRD_SNJ_"&amp;
_xlfn.XLOOKUP(商品マスタ[[#This Row],[仕入先]],テーブル1[仕入先名],テーブル1[仕入先コード],"XXX",0,1)&amp;
"_"&amp;
商品マスタ[[#This Row],[シリアル]]&amp;
"_"&amp;
TEXT(COUNTIFS(商品マスタ!$C$3:C523,商品マスタ[[#This Row],[仕入先]],商品マスタ!$E$3:E523,商品マスタ[[#This Row],[商品名]]), "00")</f>
        <v>PRD_SNJ_KYS_0009_02</v>
      </c>
      <c r="E523" s="87" t="s">
        <v>1395</v>
      </c>
      <c r="F523" s="87">
        <f>IF(COUNTIFS($C$3:C523,商品マスタ[[#This Row],[仕入先]],$E$3:E523,商品マスタ[[#This Row],[商品名]]) = 1, 1,0)</f>
        <v>0</v>
      </c>
      <c r="G523" s="133" t="str">
        <f>TEXT(SUMIF($C$3:C523,商品マスタ[[#This Row],[仕入先]],$F$3:F523), "0000")</f>
        <v>0009</v>
      </c>
      <c r="H523" s="87" t="s">
        <v>424</v>
      </c>
      <c r="I523" s="87" t="s">
        <v>1118</v>
      </c>
      <c r="J523" s="87" t="s">
        <v>390</v>
      </c>
      <c r="K523" s="87"/>
      <c r="L523" s="134">
        <v>605</v>
      </c>
      <c r="M523" s="157"/>
      <c r="N523" s="134"/>
      <c r="O523" s="135" t="str">
        <f>IF(COUNT(商品マスタ[[#This Row],[参考上代
（税込)]]) &gt; 0, (商品マスタ[[#This Row],[参考上代
（税込)]]-商品マスタ[[#This Row],[国内定価
（15％）]])/(商品マスタ[[#This Row],[参考上代
（税込)]]/1.08), "")</f>
        <v/>
      </c>
      <c r="P523" s="136">
        <v>0.1</v>
      </c>
      <c r="Q523" s="134">
        <f>商品マスタ[[#This Row],[仕入
単価]]*商品マスタ[[#This Row],[標準国内送料率]]</f>
        <v>60.5</v>
      </c>
      <c r="R523" s="134">
        <v>0</v>
      </c>
      <c r="S523" s="134">
        <f>IF(ISBLANK(商品マスタ[[#This Row],[実績
国内送料]]),商品マスタ[[#This Row],[標準国内送料]],)</f>
        <v>0</v>
      </c>
      <c r="T523" s="134">
        <f>商品マスタ[[#This Row],[仕入
単価]]+商品マスタ[[#This Row],[国内送料]]</f>
        <v>605</v>
      </c>
      <c r="U523" s="134">
        <f>ROUNDUP(商品マスタ[[#This Row],[仕入単価+国内送料]]/0.8,-1)</f>
        <v>760</v>
      </c>
      <c r="V523" s="134">
        <f>商品マスタ[[#This Row],[海外定価
（20％）]]-商品マスタ[[#This Row],[仕入単価+国内送料]]</f>
        <v>155</v>
      </c>
      <c r="W523" s="87">
        <f>ROUNDUP(商品マスタ[[#This Row],[仕入単価+国内送料]]/0.85,-1)</f>
        <v>720</v>
      </c>
      <c r="X523" s="134">
        <f>商品マスタ[[#This Row],[国内定価
（15％）]]-商品マスタ[[#This Row],[仕入単価+国内送料]]</f>
        <v>115</v>
      </c>
      <c r="Y523" s="139">
        <v>0.08</v>
      </c>
      <c r="Z523" s="87"/>
      <c r="AA523" s="87"/>
      <c r="AB523" s="87"/>
      <c r="AC523" s="140"/>
      <c r="AD523" s="87"/>
      <c r="AE523" s="87"/>
      <c r="AF523" s="87"/>
      <c r="AG523" s="141"/>
    </row>
    <row r="524" spans="1:33" ht="18">
      <c r="A524" s="166" t="s">
        <v>1520</v>
      </c>
      <c r="B524" s="167" t="s">
        <v>1226</v>
      </c>
      <c r="C524" s="167" t="s">
        <v>1115</v>
      </c>
      <c r="D524" s="143" t="str">
        <f>"PRD_SNJ_"&amp;
_xlfn.XLOOKUP(商品マスタ[[#This Row],[仕入先]],テーブル1[仕入先名],テーブル1[仕入先コード],"XXX",0,1)&amp;
"_"&amp;
商品マスタ[[#This Row],[シリアル]]&amp;
"_"&amp;
TEXT(COUNTIFS(商品マスタ!$C$3:C524,商品マスタ[[#This Row],[仕入先]],商品マスタ!$E$3:E524,商品マスタ[[#This Row],[商品名]]), "00")</f>
        <v>PRD_SNJ_KYS_0010_01</v>
      </c>
      <c r="E524" s="87" t="s">
        <v>1396</v>
      </c>
      <c r="F524" s="87">
        <f>IF(COUNTIFS($C$3:C524,商品マスタ[[#This Row],[仕入先]],$E$3:E524,商品マスタ[[#This Row],[商品名]]) = 1, 1,0)</f>
        <v>1</v>
      </c>
      <c r="G524" s="133" t="str">
        <f>TEXT(SUMIF($C$3:C524,商品マスタ[[#This Row],[仕入先]],$F$3:F524), "0000")</f>
        <v>0010</v>
      </c>
      <c r="H524" s="87" t="s">
        <v>481</v>
      </c>
      <c r="I524" s="87" t="s">
        <v>227</v>
      </c>
      <c r="J524" s="87" t="s">
        <v>462</v>
      </c>
      <c r="K524" s="87"/>
      <c r="L524" s="134">
        <v>345</v>
      </c>
      <c r="M524" s="157"/>
      <c r="N524" s="134"/>
      <c r="O524" s="135" t="str">
        <f>IF(COUNT(商品マスタ[[#This Row],[参考上代
（税込)]]) &gt; 0, (商品マスタ[[#This Row],[参考上代
（税込)]]-商品マスタ[[#This Row],[国内定価
（15％）]])/(商品マスタ[[#This Row],[参考上代
（税込)]]/1.08), "")</f>
        <v/>
      </c>
      <c r="P524" s="136">
        <v>0.1</v>
      </c>
      <c r="Q524" s="134">
        <f>商品マスタ[[#This Row],[仕入
単価]]*商品マスタ[[#This Row],[標準国内送料率]]</f>
        <v>34.5</v>
      </c>
      <c r="R524" s="134">
        <v>0</v>
      </c>
      <c r="S524" s="134">
        <f>IF(ISBLANK(商品マスタ[[#This Row],[実績
国内送料]]),商品マスタ[[#This Row],[標準国内送料]],)</f>
        <v>0</v>
      </c>
      <c r="T524" s="134">
        <f>商品マスタ[[#This Row],[仕入
単価]]+商品マスタ[[#This Row],[国内送料]]</f>
        <v>345</v>
      </c>
      <c r="U524" s="134">
        <f>ROUNDUP(商品マスタ[[#This Row],[仕入単価+国内送料]]/0.8,-1)</f>
        <v>440</v>
      </c>
      <c r="V524" s="134">
        <f>商品マスタ[[#This Row],[海外定価
（20％）]]-商品マスタ[[#This Row],[仕入単価+国内送料]]</f>
        <v>95</v>
      </c>
      <c r="W524" s="87">
        <f>ROUNDUP(商品マスタ[[#This Row],[仕入単価+国内送料]]/0.85,-1)</f>
        <v>410</v>
      </c>
      <c r="X524" s="134">
        <f>商品マスタ[[#This Row],[国内定価
（15％）]]-商品マスタ[[#This Row],[仕入単価+国内送料]]</f>
        <v>65</v>
      </c>
      <c r="Y524" s="139">
        <v>0.08</v>
      </c>
      <c r="Z524" s="87"/>
      <c r="AA524" s="87"/>
      <c r="AB524" s="87"/>
      <c r="AC524" s="140"/>
      <c r="AD524" s="87"/>
      <c r="AE524" s="87"/>
      <c r="AF524" s="87"/>
      <c r="AG524" s="141"/>
    </row>
    <row r="525" spans="1:33" ht="18">
      <c r="A525" s="166" t="s">
        <v>1520</v>
      </c>
      <c r="B525" s="167" t="s">
        <v>1226</v>
      </c>
      <c r="C525" s="167" t="s">
        <v>1115</v>
      </c>
      <c r="D525" s="143" t="str">
        <f>"PRD_SNJ_"&amp;
_xlfn.XLOOKUP(商品マスタ[[#This Row],[仕入先]],テーブル1[仕入先名],テーブル1[仕入先コード],"XXX",0,1)&amp;
"_"&amp;
商品マスタ[[#This Row],[シリアル]]&amp;
"_"&amp;
TEXT(COUNTIFS(商品マスタ!$C$3:C525,商品マスタ[[#This Row],[仕入先]],商品マスタ!$E$3:E525,商品マスタ[[#This Row],[商品名]]), "00")</f>
        <v>PRD_SNJ_KYS_0010_02</v>
      </c>
      <c r="E525" s="87" t="s">
        <v>1396</v>
      </c>
      <c r="F525" s="87">
        <f>IF(COUNTIFS($C$3:C525,商品マスタ[[#This Row],[仕入先]],$E$3:E525,商品マスタ[[#This Row],[商品名]]) = 1, 1,0)</f>
        <v>0</v>
      </c>
      <c r="G525" s="133" t="str">
        <f>TEXT(SUMIF($C$3:C525,商品マスタ[[#This Row],[仕入先]],$F$3:F525), "0000")</f>
        <v>0010</v>
      </c>
      <c r="H525" s="87" t="s">
        <v>481</v>
      </c>
      <c r="I525" s="87" t="s">
        <v>1119</v>
      </c>
      <c r="J525" s="87" t="s">
        <v>462</v>
      </c>
      <c r="K525" s="87"/>
      <c r="L525" s="134">
        <v>604</v>
      </c>
      <c r="M525" s="157"/>
      <c r="N525" s="134"/>
      <c r="O525" s="135" t="str">
        <f>IF(COUNT(商品マスタ[[#This Row],[参考上代
（税込)]]) &gt; 0, (商品マスタ[[#This Row],[参考上代
（税込)]]-商品マスタ[[#This Row],[国内定価
（15％）]])/(商品マスタ[[#This Row],[参考上代
（税込)]]/1.08), "")</f>
        <v/>
      </c>
      <c r="P525" s="136">
        <v>0.1</v>
      </c>
      <c r="Q525" s="134">
        <f>商品マスタ[[#This Row],[仕入
単価]]*商品マスタ[[#This Row],[標準国内送料率]]</f>
        <v>60.400000000000006</v>
      </c>
      <c r="R525" s="134">
        <v>0</v>
      </c>
      <c r="S525" s="134">
        <f>IF(ISBLANK(商品マスタ[[#This Row],[実績
国内送料]]),商品マスタ[[#This Row],[標準国内送料]],)</f>
        <v>0</v>
      </c>
      <c r="T525" s="134">
        <f>商品マスタ[[#This Row],[仕入
単価]]+商品マスタ[[#This Row],[国内送料]]</f>
        <v>604</v>
      </c>
      <c r="U525" s="134">
        <f>ROUNDUP(商品マスタ[[#This Row],[仕入単価+国内送料]]/0.8,-1)</f>
        <v>760</v>
      </c>
      <c r="V525" s="134">
        <f>商品マスタ[[#This Row],[海外定価
（20％）]]-商品マスタ[[#This Row],[仕入単価+国内送料]]</f>
        <v>156</v>
      </c>
      <c r="W525" s="87">
        <f>ROUNDUP(商品マスタ[[#This Row],[仕入単価+国内送料]]/0.85,-1)</f>
        <v>720</v>
      </c>
      <c r="X525" s="134">
        <f>商品マスタ[[#This Row],[国内定価
（15％）]]-商品マスタ[[#This Row],[仕入単価+国内送料]]</f>
        <v>116</v>
      </c>
      <c r="Y525" s="139">
        <v>0.08</v>
      </c>
      <c r="Z525" s="87"/>
      <c r="AA525" s="87"/>
      <c r="AB525" s="87"/>
      <c r="AC525" s="140"/>
      <c r="AD525" s="87"/>
      <c r="AE525" s="87"/>
      <c r="AF525" s="87"/>
      <c r="AG525" s="141"/>
    </row>
    <row r="526" spans="1:33" ht="18">
      <c r="A526" s="166" t="s">
        <v>1520</v>
      </c>
      <c r="B526" s="167" t="s">
        <v>1226</v>
      </c>
      <c r="C526" s="167" t="s">
        <v>1115</v>
      </c>
      <c r="D526" s="143" t="str">
        <f>"PRD_SNJ_"&amp;
_xlfn.XLOOKUP(商品マスタ[[#This Row],[仕入先]],テーブル1[仕入先名],テーブル1[仕入先コード],"XXX",0,1)&amp;
"_"&amp;
商品マスタ[[#This Row],[シリアル]]&amp;
"_"&amp;
TEXT(COUNTIFS(商品マスタ!$C$3:C526,商品マスタ[[#This Row],[仕入先]],商品マスタ!$E$3:E526,商品マスタ[[#This Row],[商品名]]), "00")</f>
        <v>PRD_SNJ_KYS_0010_03</v>
      </c>
      <c r="E526" s="87" t="s">
        <v>1396</v>
      </c>
      <c r="F526" s="87">
        <f>IF(COUNTIFS($C$3:C526,商品マスタ[[#This Row],[仕入先]],$E$3:E526,商品マスタ[[#This Row],[商品名]]) = 1, 1,0)</f>
        <v>0</v>
      </c>
      <c r="G526" s="133" t="str">
        <f>TEXT(SUMIF($C$3:C526,商品マスタ[[#This Row],[仕入先]],$F$3:F526), "0000")</f>
        <v>0010</v>
      </c>
      <c r="H526" s="87" t="s">
        <v>481</v>
      </c>
      <c r="I526" s="87" t="s">
        <v>1120</v>
      </c>
      <c r="J526" s="87" t="s">
        <v>462</v>
      </c>
      <c r="K526" s="87"/>
      <c r="L526" s="134">
        <v>1649</v>
      </c>
      <c r="M526" s="157"/>
      <c r="N526" s="134"/>
      <c r="O526" s="135" t="str">
        <f>IF(COUNT(商品マスタ[[#This Row],[参考上代
（税込)]]) &gt; 0, (商品マスタ[[#This Row],[参考上代
（税込)]]-商品マスタ[[#This Row],[国内定価
（15％）]])/(商品マスタ[[#This Row],[参考上代
（税込)]]/1.08), "")</f>
        <v/>
      </c>
      <c r="P526" s="136">
        <v>0.1</v>
      </c>
      <c r="Q526" s="134">
        <f>商品マスタ[[#This Row],[仕入
単価]]*商品マスタ[[#This Row],[標準国内送料率]]</f>
        <v>164.9</v>
      </c>
      <c r="R526" s="134">
        <v>0</v>
      </c>
      <c r="S526" s="134">
        <f>IF(ISBLANK(商品マスタ[[#This Row],[実績
国内送料]]),商品マスタ[[#This Row],[標準国内送料]],)</f>
        <v>0</v>
      </c>
      <c r="T526" s="134">
        <f>商品マスタ[[#This Row],[仕入
単価]]+商品マスタ[[#This Row],[国内送料]]</f>
        <v>1649</v>
      </c>
      <c r="U526" s="134">
        <f>ROUNDUP(商品マスタ[[#This Row],[仕入単価+国内送料]]/0.8,-1)</f>
        <v>2070</v>
      </c>
      <c r="V526" s="134">
        <f>商品マスタ[[#This Row],[海外定価
（20％）]]-商品マスタ[[#This Row],[仕入単価+国内送料]]</f>
        <v>421</v>
      </c>
      <c r="W526" s="87">
        <f>ROUNDUP(商品マスタ[[#This Row],[仕入単価+国内送料]]/0.85,-1)</f>
        <v>1940</v>
      </c>
      <c r="X526" s="134">
        <f>商品マスタ[[#This Row],[国内定価
（15％）]]-商品マスタ[[#This Row],[仕入単価+国内送料]]</f>
        <v>291</v>
      </c>
      <c r="Y526" s="139">
        <v>0.08</v>
      </c>
      <c r="Z526" s="87"/>
      <c r="AA526" s="87"/>
      <c r="AB526" s="87"/>
      <c r="AC526" s="140"/>
      <c r="AD526" s="87"/>
      <c r="AE526" s="87"/>
      <c r="AF526" s="87"/>
      <c r="AG526" s="141"/>
    </row>
    <row r="527" spans="1:33" ht="18">
      <c r="A527" s="166" t="s">
        <v>1520</v>
      </c>
      <c r="B527" s="167" t="s">
        <v>1226</v>
      </c>
      <c r="C527" s="167" t="s">
        <v>1115</v>
      </c>
      <c r="D527" s="143" t="str">
        <f>"PRD_SNJ_"&amp;
_xlfn.XLOOKUP(商品マスタ[[#This Row],[仕入先]],テーブル1[仕入先名],テーブル1[仕入先コード],"XXX",0,1)&amp;
"_"&amp;
商品マスタ[[#This Row],[シリアル]]&amp;
"_"&amp;
TEXT(COUNTIFS(商品マスタ!$C$3:C527,商品マスタ[[#This Row],[仕入先]],商品マスタ!$E$3:E527,商品マスタ[[#This Row],[商品名]]), "00")</f>
        <v>PRD_SNJ_KYS_0011_01</v>
      </c>
      <c r="E527" s="87" t="s">
        <v>1397</v>
      </c>
      <c r="F527" s="87">
        <f>IF(COUNTIFS($C$3:C527,商品マスタ[[#This Row],[仕入先]],$E$3:E527,商品マスタ[[#This Row],[商品名]]) = 1, 1,0)</f>
        <v>1</v>
      </c>
      <c r="G527" s="133" t="str">
        <f>TEXT(SUMIF($C$3:C527,商品マスタ[[#This Row],[仕入先]],$F$3:F527), "0000")</f>
        <v>0011</v>
      </c>
      <c r="H527" s="87" t="s">
        <v>481</v>
      </c>
      <c r="I527" s="87" t="s">
        <v>308</v>
      </c>
      <c r="J527" s="87" t="s">
        <v>462</v>
      </c>
      <c r="K527" s="87"/>
      <c r="L527" s="134" t="s">
        <v>1480</v>
      </c>
      <c r="M527" s="157"/>
      <c r="N527" s="134"/>
      <c r="O527" s="135" t="str">
        <f>IF(COUNT(商品マスタ[[#This Row],[参考上代
（税込)]]) &gt; 0, (商品マスタ[[#This Row],[参考上代
（税込)]]-商品マスタ[[#This Row],[国内定価
（15％）]])/(商品マスタ[[#This Row],[参考上代
（税込)]]/1.08), "")</f>
        <v/>
      </c>
      <c r="P527" s="136">
        <v>0.1</v>
      </c>
      <c r="Q527" s="134" t="e">
        <f>商品マスタ[[#This Row],[仕入
単価]]*商品マスタ[[#This Row],[標準国内送料率]]</f>
        <v>#VALUE!</v>
      </c>
      <c r="R527" s="134">
        <v>0</v>
      </c>
      <c r="S527" s="134">
        <f>IF(ISBLANK(商品マスタ[[#This Row],[実績
国内送料]]),商品マスタ[[#This Row],[標準国内送料]],)</f>
        <v>0</v>
      </c>
      <c r="T527" s="134" t="e">
        <f>商品マスタ[[#This Row],[仕入
単価]]+商品マスタ[[#This Row],[国内送料]]</f>
        <v>#VALUE!</v>
      </c>
      <c r="U527" s="134" t="e">
        <f>ROUNDUP(商品マスタ[[#This Row],[仕入単価+国内送料]]/0.8,-1)</f>
        <v>#VALUE!</v>
      </c>
      <c r="V527" s="134" t="e">
        <f>商品マスタ[[#This Row],[海外定価
（20％）]]-商品マスタ[[#This Row],[仕入単価+国内送料]]</f>
        <v>#VALUE!</v>
      </c>
      <c r="W527" s="87" t="e">
        <f>ROUNDUP(商品マスタ[[#This Row],[仕入単価+国内送料]]/0.85,-1)</f>
        <v>#VALUE!</v>
      </c>
      <c r="X527" s="134" t="e">
        <f>商品マスタ[[#This Row],[国内定価
（15％）]]-商品マスタ[[#This Row],[仕入単価+国内送料]]</f>
        <v>#VALUE!</v>
      </c>
      <c r="Y527" s="139">
        <v>0.08</v>
      </c>
      <c r="Z527" s="87"/>
      <c r="AA527" s="87"/>
      <c r="AB527" s="87"/>
      <c r="AC527" s="140"/>
      <c r="AD527" s="87"/>
      <c r="AE527" s="87"/>
      <c r="AF527" s="87"/>
      <c r="AG527" s="141"/>
    </row>
    <row r="528" spans="1:33" ht="18">
      <c r="A528" s="166" t="s">
        <v>1520</v>
      </c>
      <c r="B528" s="167" t="s">
        <v>1226</v>
      </c>
      <c r="C528" s="167" t="s">
        <v>1115</v>
      </c>
      <c r="D528" s="143" t="str">
        <f>"PRD_SNJ_"&amp;
_xlfn.XLOOKUP(商品マスタ[[#This Row],[仕入先]],テーブル1[仕入先名],テーブル1[仕入先コード],"XXX",0,1)&amp;
"_"&amp;
商品マスタ[[#This Row],[シリアル]]&amp;
"_"&amp;
TEXT(COUNTIFS(商品マスタ!$C$3:C528,商品マスタ[[#This Row],[仕入先]],商品マスタ!$E$3:E528,商品マスタ[[#This Row],[商品名]]), "00")</f>
        <v>PRD_SNJ_KYS_0012_01</v>
      </c>
      <c r="E528" s="87" t="s">
        <v>1398</v>
      </c>
      <c r="F528" s="87">
        <f>IF(COUNTIFS($C$3:C528,商品マスタ[[#This Row],[仕入先]],$E$3:E528,商品マスタ[[#This Row],[商品名]]) = 1, 1,0)</f>
        <v>1</v>
      </c>
      <c r="G528" s="133" t="str">
        <f>TEXT(SUMIF($C$3:C528,商品マスタ[[#This Row],[仕入先]],$F$3:F528), "0000")</f>
        <v>0012</v>
      </c>
      <c r="H528" s="87" t="s">
        <v>481</v>
      </c>
      <c r="I528" s="87" t="s">
        <v>308</v>
      </c>
      <c r="J528" s="87" t="s">
        <v>462</v>
      </c>
      <c r="K528" s="87"/>
      <c r="L528" s="134" t="s">
        <v>1480</v>
      </c>
      <c r="M528" s="157"/>
      <c r="N528" s="134"/>
      <c r="O528" s="135" t="str">
        <f>IF(COUNT(商品マスタ[[#This Row],[参考上代
（税込)]]) &gt; 0, (商品マスタ[[#This Row],[参考上代
（税込)]]-商品マスタ[[#This Row],[国内定価
（15％）]])/(商品マスタ[[#This Row],[参考上代
（税込)]]/1.08), "")</f>
        <v/>
      </c>
      <c r="P528" s="136">
        <v>0.1</v>
      </c>
      <c r="Q528" s="134" t="e">
        <f>商品マスタ[[#This Row],[仕入
単価]]*商品マスタ[[#This Row],[標準国内送料率]]</f>
        <v>#VALUE!</v>
      </c>
      <c r="R528" s="134">
        <v>0</v>
      </c>
      <c r="S528" s="134">
        <f>IF(ISBLANK(商品マスタ[[#This Row],[実績
国内送料]]),商品マスタ[[#This Row],[標準国内送料]],)</f>
        <v>0</v>
      </c>
      <c r="T528" s="134" t="e">
        <f>商品マスタ[[#This Row],[仕入
単価]]+商品マスタ[[#This Row],[国内送料]]</f>
        <v>#VALUE!</v>
      </c>
      <c r="U528" s="134" t="e">
        <f>ROUNDUP(商品マスタ[[#This Row],[仕入単価+国内送料]]/0.8,-1)</f>
        <v>#VALUE!</v>
      </c>
      <c r="V528" s="134" t="e">
        <f>商品マスタ[[#This Row],[海外定価
（20％）]]-商品マスタ[[#This Row],[仕入単価+国内送料]]</f>
        <v>#VALUE!</v>
      </c>
      <c r="W528" s="87" t="e">
        <f>ROUNDUP(商品マスタ[[#This Row],[仕入単価+国内送料]]/0.85,-1)</f>
        <v>#VALUE!</v>
      </c>
      <c r="X528" s="134" t="e">
        <f>商品マスタ[[#This Row],[国内定価
（15％）]]-商品マスタ[[#This Row],[仕入単価+国内送料]]</f>
        <v>#VALUE!</v>
      </c>
      <c r="Y528" s="139">
        <v>0.08</v>
      </c>
      <c r="Z528" s="87"/>
      <c r="AA528" s="87"/>
      <c r="AB528" s="87"/>
      <c r="AC528" s="140"/>
      <c r="AD528" s="87"/>
      <c r="AE528" s="87"/>
      <c r="AF528" s="87"/>
      <c r="AG528" s="141"/>
    </row>
    <row r="529" spans="1:33" ht="18">
      <c r="A529" s="166" t="s">
        <v>1520</v>
      </c>
      <c r="B529" s="167" t="s">
        <v>1223</v>
      </c>
      <c r="C529" s="167" t="s">
        <v>1268</v>
      </c>
      <c r="D529" s="143" t="str">
        <f>"PRD_SNJ_"&amp;
_xlfn.XLOOKUP(商品マスタ[[#This Row],[仕入先]],テーブル1[仕入先名],テーブル1[仕入先コード],"XXX",0,1)&amp;
"_"&amp;
商品マスタ[[#This Row],[シリアル]]&amp;
"_"&amp;
TEXT(COUNTIFS(商品マスタ!$C$3:C529,商品マスタ[[#This Row],[仕入先]],商品マスタ!$E$3:E529,商品マスタ[[#This Row],[商品名]]), "00")</f>
        <v>PRD_SNJ_NBC_0005_01</v>
      </c>
      <c r="E529" s="87" t="s">
        <v>1399</v>
      </c>
      <c r="F529" s="87">
        <f>IF(COUNTIFS($C$3:C529,商品マスタ[[#This Row],[仕入先]],$E$3:E529,商品マスタ[[#This Row],[商品名]]) = 1, 1,0)</f>
        <v>1</v>
      </c>
      <c r="G529" s="133" t="str">
        <f>TEXT(SUMIF($C$3:C529,商品マスタ[[#This Row],[仕入先]],$F$3:F529), "0000")</f>
        <v>0005</v>
      </c>
      <c r="H529" s="87" t="s">
        <v>1009</v>
      </c>
      <c r="I529" s="87" t="s">
        <v>1459</v>
      </c>
      <c r="J529" s="87" t="s">
        <v>1477</v>
      </c>
      <c r="K529" s="87"/>
      <c r="L529" s="134">
        <v>256</v>
      </c>
      <c r="M529" s="157"/>
      <c r="N529" s="134"/>
      <c r="O529" s="135" t="str">
        <f>IF(COUNT(商品マスタ[[#This Row],[参考上代
（税込)]]) &gt; 0, (商品マスタ[[#This Row],[参考上代
（税込)]]-商品マスタ[[#This Row],[国内定価
（15％）]])/(商品マスタ[[#This Row],[参考上代
（税込)]]/1.08), "")</f>
        <v/>
      </c>
      <c r="P529" s="136">
        <v>0.1</v>
      </c>
      <c r="Q529" s="134">
        <f>商品マスタ[[#This Row],[仕入
単価]]*商品マスタ[[#This Row],[標準国内送料率]]</f>
        <v>25.6</v>
      </c>
      <c r="R529" s="134">
        <v>0</v>
      </c>
      <c r="S529" s="134">
        <f>IF(ISBLANK(商品マスタ[[#This Row],[実績
国内送料]]),商品マスタ[[#This Row],[標準国内送料]],)</f>
        <v>0</v>
      </c>
      <c r="T529" s="134">
        <f>商品マスタ[[#This Row],[仕入
単価]]+商品マスタ[[#This Row],[国内送料]]</f>
        <v>256</v>
      </c>
      <c r="U529" s="134">
        <f>ROUNDUP(商品マスタ[[#This Row],[仕入単価+国内送料]]/0.8,-1)</f>
        <v>320</v>
      </c>
      <c r="V529" s="134">
        <f>商品マスタ[[#This Row],[海外定価
（20％）]]-商品マスタ[[#This Row],[仕入単価+国内送料]]</f>
        <v>64</v>
      </c>
      <c r="W529" s="87">
        <f>ROUNDUP(商品マスタ[[#This Row],[仕入単価+国内送料]]/0.85,-1)</f>
        <v>310</v>
      </c>
      <c r="X529" s="134">
        <f>商品マスタ[[#This Row],[国内定価
（15％）]]-商品マスタ[[#This Row],[仕入単価+国内送料]]</f>
        <v>54</v>
      </c>
      <c r="Y529" s="139">
        <v>0.1</v>
      </c>
      <c r="Z529" s="87"/>
      <c r="AA529" s="87"/>
      <c r="AB529" s="87"/>
      <c r="AC529" s="140"/>
      <c r="AD529" s="87"/>
      <c r="AE529" s="87"/>
      <c r="AF529" s="87"/>
      <c r="AG529" s="141"/>
    </row>
    <row r="530" spans="1:33" ht="18">
      <c r="A530" s="166" t="s">
        <v>1520</v>
      </c>
      <c r="B530" s="167" t="s">
        <v>1223</v>
      </c>
      <c r="C530" s="167" t="s">
        <v>1268</v>
      </c>
      <c r="D530" s="143" t="str">
        <f>"PRD_SNJ_"&amp;
_xlfn.XLOOKUP(商品マスタ[[#This Row],[仕入先]],テーブル1[仕入先名],テーブル1[仕入先コード],"XXX",0,1)&amp;
"_"&amp;
商品マスタ[[#This Row],[シリアル]]&amp;
"_"&amp;
TEXT(COUNTIFS(商品マスタ!$C$3:C530,商品マスタ[[#This Row],[仕入先]],商品マスタ!$E$3:E530,商品マスタ[[#This Row],[商品名]]), "00")</f>
        <v>PRD_SNJ_NBC_0006_01</v>
      </c>
      <c r="E530" s="87" t="s">
        <v>1400</v>
      </c>
      <c r="F530" s="87">
        <f>IF(COUNTIFS($C$3:C530,商品マスタ[[#This Row],[仕入先]],$E$3:E530,商品マスタ[[#This Row],[商品名]]) = 1, 1,0)</f>
        <v>1</v>
      </c>
      <c r="G530" s="133" t="str">
        <f>TEXT(SUMIF($C$3:C530,商品マスタ[[#This Row],[仕入先]],$F$3:F530), "0000")</f>
        <v>0006</v>
      </c>
      <c r="H530" s="87" t="s">
        <v>1009</v>
      </c>
      <c r="I530" s="87" t="s">
        <v>1459</v>
      </c>
      <c r="J530" s="87" t="s">
        <v>1477</v>
      </c>
      <c r="K530" s="87"/>
      <c r="L530" s="134">
        <v>256</v>
      </c>
      <c r="M530" s="157"/>
      <c r="N530" s="134"/>
      <c r="O530" s="135" t="str">
        <f>IF(COUNT(商品マスタ[[#This Row],[参考上代
（税込)]]) &gt; 0, (商品マスタ[[#This Row],[参考上代
（税込)]]-商品マスタ[[#This Row],[国内定価
（15％）]])/(商品マスタ[[#This Row],[参考上代
（税込)]]/1.08), "")</f>
        <v/>
      </c>
      <c r="P530" s="136">
        <v>0.1</v>
      </c>
      <c r="Q530" s="134">
        <f>商品マスタ[[#This Row],[仕入
単価]]*商品マスタ[[#This Row],[標準国内送料率]]</f>
        <v>25.6</v>
      </c>
      <c r="R530" s="134">
        <v>0</v>
      </c>
      <c r="S530" s="134">
        <f>IF(ISBLANK(商品マスタ[[#This Row],[実績
国内送料]]),商品マスタ[[#This Row],[標準国内送料]],)</f>
        <v>0</v>
      </c>
      <c r="T530" s="134">
        <f>商品マスタ[[#This Row],[仕入
単価]]+商品マスタ[[#This Row],[国内送料]]</f>
        <v>256</v>
      </c>
      <c r="U530" s="134">
        <f>ROUNDUP(商品マスタ[[#This Row],[仕入単価+国内送料]]/0.8,-1)</f>
        <v>320</v>
      </c>
      <c r="V530" s="134">
        <f>商品マスタ[[#This Row],[海外定価
（20％）]]-商品マスタ[[#This Row],[仕入単価+国内送料]]</f>
        <v>64</v>
      </c>
      <c r="W530" s="87">
        <f>ROUNDUP(商品マスタ[[#This Row],[仕入単価+国内送料]]/0.85,-1)</f>
        <v>310</v>
      </c>
      <c r="X530" s="134">
        <f>商品マスタ[[#This Row],[国内定価
（15％）]]-商品マスタ[[#This Row],[仕入単価+国内送料]]</f>
        <v>54</v>
      </c>
      <c r="Y530" s="139">
        <v>0.1</v>
      </c>
      <c r="Z530" s="87"/>
      <c r="AA530" s="87"/>
      <c r="AB530" s="87"/>
      <c r="AC530" s="140"/>
      <c r="AD530" s="87"/>
      <c r="AE530" s="87"/>
      <c r="AF530" s="87"/>
      <c r="AG530" s="141"/>
    </row>
    <row r="531" spans="1:33" ht="18">
      <c r="A531" s="166" t="s">
        <v>1520</v>
      </c>
      <c r="B531" s="167" t="s">
        <v>1223</v>
      </c>
      <c r="C531" s="167" t="s">
        <v>1268</v>
      </c>
      <c r="D531" s="143" t="str">
        <f>"PRD_SNJ_"&amp;
_xlfn.XLOOKUP(商品マスタ[[#This Row],[仕入先]],テーブル1[仕入先名],テーブル1[仕入先コード],"XXX",0,1)&amp;
"_"&amp;
商品マスタ[[#This Row],[シリアル]]&amp;
"_"&amp;
TEXT(COUNTIFS(商品マスタ!$C$3:C531,商品マスタ[[#This Row],[仕入先]],商品マスタ!$E$3:E531,商品マスタ[[#This Row],[商品名]]), "00")</f>
        <v>PRD_SNJ_NBC_0007_01</v>
      </c>
      <c r="E531" s="87" t="s">
        <v>1401</v>
      </c>
      <c r="F531" s="87">
        <f>IF(COUNTIFS($C$3:C531,商品マスタ[[#This Row],[仕入先]],$E$3:E531,商品マスタ[[#This Row],[商品名]]) = 1, 1,0)</f>
        <v>1</v>
      </c>
      <c r="G531" s="133" t="str">
        <f>TEXT(SUMIF($C$3:C531,商品マスタ[[#This Row],[仕入先]],$F$3:F531), "0000")</f>
        <v>0007</v>
      </c>
      <c r="H531" s="87" t="s">
        <v>1009</v>
      </c>
      <c r="I531" s="87" t="s">
        <v>1459</v>
      </c>
      <c r="J531" s="87" t="s">
        <v>1477</v>
      </c>
      <c r="K531" s="87"/>
      <c r="L531" s="134">
        <v>256</v>
      </c>
      <c r="M531" s="157"/>
      <c r="N531" s="134"/>
      <c r="O531" s="135" t="str">
        <f>IF(COUNT(商品マスタ[[#This Row],[参考上代
（税込)]]) &gt; 0, (商品マスタ[[#This Row],[参考上代
（税込)]]-商品マスタ[[#This Row],[国内定価
（15％）]])/(商品マスタ[[#This Row],[参考上代
（税込)]]/1.08), "")</f>
        <v/>
      </c>
      <c r="P531" s="136">
        <v>0.1</v>
      </c>
      <c r="Q531" s="134">
        <f>商品マスタ[[#This Row],[仕入
単価]]*商品マスタ[[#This Row],[標準国内送料率]]</f>
        <v>25.6</v>
      </c>
      <c r="R531" s="134">
        <v>0</v>
      </c>
      <c r="S531" s="134">
        <f>IF(ISBLANK(商品マスタ[[#This Row],[実績
国内送料]]),商品マスタ[[#This Row],[標準国内送料]],)</f>
        <v>0</v>
      </c>
      <c r="T531" s="134">
        <f>商品マスタ[[#This Row],[仕入
単価]]+商品マスタ[[#This Row],[国内送料]]</f>
        <v>256</v>
      </c>
      <c r="U531" s="134">
        <f>ROUNDUP(商品マスタ[[#This Row],[仕入単価+国内送料]]/0.8,-1)</f>
        <v>320</v>
      </c>
      <c r="V531" s="134">
        <f>商品マスタ[[#This Row],[海外定価
（20％）]]-商品マスタ[[#This Row],[仕入単価+国内送料]]</f>
        <v>64</v>
      </c>
      <c r="W531" s="87">
        <f>ROUNDUP(商品マスタ[[#This Row],[仕入単価+国内送料]]/0.85,-1)</f>
        <v>310</v>
      </c>
      <c r="X531" s="134">
        <f>商品マスタ[[#This Row],[国内定価
（15％）]]-商品マスタ[[#This Row],[仕入単価+国内送料]]</f>
        <v>54</v>
      </c>
      <c r="Y531" s="139">
        <v>0.1</v>
      </c>
      <c r="Z531" s="87"/>
      <c r="AA531" s="87"/>
      <c r="AB531" s="87"/>
      <c r="AC531" s="140"/>
      <c r="AD531" s="87"/>
      <c r="AE531" s="87"/>
      <c r="AF531" s="87"/>
      <c r="AG531" s="141"/>
    </row>
    <row r="532" spans="1:33" ht="18">
      <c r="A532" s="166" t="s">
        <v>1520</v>
      </c>
      <c r="B532" s="167" t="s">
        <v>1223</v>
      </c>
      <c r="C532" s="167" t="s">
        <v>1268</v>
      </c>
      <c r="D532" s="143" t="str">
        <f>"PRD_SNJ_"&amp;
_xlfn.XLOOKUP(商品マスタ[[#This Row],[仕入先]],テーブル1[仕入先名],テーブル1[仕入先コード],"XXX",0,1)&amp;
"_"&amp;
商品マスタ[[#This Row],[シリアル]]&amp;
"_"&amp;
TEXT(COUNTIFS(商品マスタ!$C$3:C532,商品マスタ[[#This Row],[仕入先]],商品マスタ!$E$3:E532,商品マスタ[[#This Row],[商品名]]), "00")</f>
        <v>PRD_SNJ_NBC_0008_01</v>
      </c>
      <c r="E532" s="87" t="s">
        <v>1402</v>
      </c>
      <c r="F532" s="87">
        <f>IF(COUNTIFS($C$3:C532,商品マスタ[[#This Row],[仕入先]],$E$3:E532,商品マスタ[[#This Row],[商品名]]) = 1, 1,0)</f>
        <v>1</v>
      </c>
      <c r="G532" s="133" t="str">
        <f>TEXT(SUMIF($C$3:C532,商品マスタ[[#This Row],[仕入先]],$F$3:F532), "0000")</f>
        <v>0008</v>
      </c>
      <c r="H532" s="87" t="s">
        <v>1009</v>
      </c>
      <c r="I532" s="87" t="s">
        <v>1459</v>
      </c>
      <c r="J532" s="87" t="s">
        <v>1477</v>
      </c>
      <c r="K532" s="87"/>
      <c r="L532" s="134">
        <v>256</v>
      </c>
      <c r="M532" s="157"/>
      <c r="N532" s="134"/>
      <c r="O532" s="135" t="str">
        <f>IF(COUNT(商品マスタ[[#This Row],[参考上代
（税込)]]) &gt; 0, (商品マスタ[[#This Row],[参考上代
（税込)]]-商品マスタ[[#This Row],[国内定価
（15％）]])/(商品マスタ[[#This Row],[参考上代
（税込)]]/1.08), "")</f>
        <v/>
      </c>
      <c r="P532" s="136">
        <v>0.1</v>
      </c>
      <c r="Q532" s="134">
        <f>商品マスタ[[#This Row],[仕入
単価]]*商品マスタ[[#This Row],[標準国内送料率]]</f>
        <v>25.6</v>
      </c>
      <c r="R532" s="134">
        <v>0</v>
      </c>
      <c r="S532" s="134">
        <f>IF(ISBLANK(商品マスタ[[#This Row],[実績
国内送料]]),商品マスタ[[#This Row],[標準国内送料]],)</f>
        <v>0</v>
      </c>
      <c r="T532" s="134">
        <f>商品マスタ[[#This Row],[仕入
単価]]+商品マスタ[[#This Row],[国内送料]]</f>
        <v>256</v>
      </c>
      <c r="U532" s="134">
        <f>ROUNDUP(商品マスタ[[#This Row],[仕入単価+国内送料]]/0.8,-1)</f>
        <v>320</v>
      </c>
      <c r="V532" s="134">
        <f>商品マスタ[[#This Row],[海外定価
（20％）]]-商品マスタ[[#This Row],[仕入単価+国内送料]]</f>
        <v>64</v>
      </c>
      <c r="W532" s="87">
        <f>ROUNDUP(商品マスタ[[#This Row],[仕入単価+国内送料]]/0.85,-1)</f>
        <v>310</v>
      </c>
      <c r="X532" s="134">
        <f>商品マスタ[[#This Row],[国内定価
（15％）]]-商品マスタ[[#This Row],[仕入単価+国内送料]]</f>
        <v>54</v>
      </c>
      <c r="Y532" s="139">
        <v>0.1</v>
      </c>
      <c r="Z532" s="87"/>
      <c r="AA532" s="87"/>
      <c r="AB532" s="87"/>
      <c r="AC532" s="140"/>
      <c r="AD532" s="87"/>
      <c r="AE532" s="87"/>
      <c r="AF532" s="87"/>
      <c r="AG532" s="141"/>
    </row>
    <row r="533" spans="1:33" ht="18">
      <c r="A533" s="166" t="s">
        <v>1520</v>
      </c>
      <c r="B533" s="167" t="s">
        <v>1223</v>
      </c>
      <c r="C533" s="167" t="s">
        <v>1268</v>
      </c>
      <c r="D533" s="143" t="str">
        <f>"PRD_SNJ_"&amp;
_xlfn.XLOOKUP(商品マスタ[[#This Row],[仕入先]],テーブル1[仕入先名],テーブル1[仕入先コード],"XXX",0,1)&amp;
"_"&amp;
商品マスタ[[#This Row],[シリアル]]&amp;
"_"&amp;
TEXT(COUNTIFS(商品マスタ!$C$3:C533,商品マスタ[[#This Row],[仕入先]],商品マスタ!$E$3:E533,商品マスタ[[#This Row],[商品名]]), "00")</f>
        <v>PRD_SNJ_NBC_0009_01</v>
      </c>
      <c r="E533" s="87" t="s">
        <v>1403</v>
      </c>
      <c r="F533" s="87">
        <f>IF(COUNTIFS($C$3:C533,商品マスタ[[#This Row],[仕入先]],$E$3:E533,商品マスタ[[#This Row],[商品名]]) = 1, 1,0)</f>
        <v>1</v>
      </c>
      <c r="G533" s="133" t="str">
        <f>TEXT(SUMIF($C$3:C533,商品マスタ[[#This Row],[仕入先]],$F$3:F533), "0000")</f>
        <v>0009</v>
      </c>
      <c r="H533" s="87" t="s">
        <v>1009</v>
      </c>
      <c r="I533" s="87" t="s">
        <v>1459</v>
      </c>
      <c r="J533" s="87" t="s">
        <v>1477</v>
      </c>
      <c r="K533" s="87"/>
      <c r="L533" s="134">
        <v>256</v>
      </c>
      <c r="M533" s="157"/>
      <c r="N533" s="134"/>
      <c r="O533" s="135" t="str">
        <f>IF(COUNT(商品マスタ[[#This Row],[参考上代
（税込)]]) &gt; 0, (商品マスタ[[#This Row],[参考上代
（税込)]]-商品マスタ[[#This Row],[国内定価
（15％）]])/(商品マスタ[[#This Row],[参考上代
（税込)]]/1.08), "")</f>
        <v/>
      </c>
      <c r="P533" s="136">
        <v>0.1</v>
      </c>
      <c r="Q533" s="134">
        <f>商品マスタ[[#This Row],[仕入
単価]]*商品マスタ[[#This Row],[標準国内送料率]]</f>
        <v>25.6</v>
      </c>
      <c r="R533" s="134">
        <v>0</v>
      </c>
      <c r="S533" s="134">
        <f>IF(ISBLANK(商品マスタ[[#This Row],[実績
国内送料]]),商品マスタ[[#This Row],[標準国内送料]],)</f>
        <v>0</v>
      </c>
      <c r="T533" s="134">
        <f>商品マスタ[[#This Row],[仕入
単価]]+商品マスタ[[#This Row],[国内送料]]</f>
        <v>256</v>
      </c>
      <c r="U533" s="134">
        <f>ROUNDUP(商品マスタ[[#This Row],[仕入単価+国内送料]]/0.8,-1)</f>
        <v>320</v>
      </c>
      <c r="V533" s="134">
        <f>商品マスタ[[#This Row],[海外定価
（20％）]]-商品マスタ[[#This Row],[仕入単価+国内送料]]</f>
        <v>64</v>
      </c>
      <c r="W533" s="87">
        <f>ROUNDUP(商品マスタ[[#This Row],[仕入単価+国内送料]]/0.85,-1)</f>
        <v>310</v>
      </c>
      <c r="X533" s="134">
        <f>商品マスタ[[#This Row],[国内定価
（15％）]]-商品マスタ[[#This Row],[仕入単価+国内送料]]</f>
        <v>54</v>
      </c>
      <c r="Y533" s="139">
        <v>0.1</v>
      </c>
      <c r="Z533" s="87"/>
      <c r="AA533" s="87"/>
      <c r="AB533" s="87"/>
      <c r="AC533" s="140"/>
      <c r="AD533" s="87"/>
      <c r="AE533" s="87"/>
      <c r="AF533" s="87"/>
      <c r="AG533" s="141"/>
    </row>
    <row r="534" spans="1:33" ht="18">
      <c r="A534" s="166" t="s">
        <v>1520</v>
      </c>
      <c r="B534" s="167" t="s">
        <v>1223</v>
      </c>
      <c r="C534" s="167" t="s">
        <v>1268</v>
      </c>
      <c r="D534" s="143" t="str">
        <f>"PRD_SNJ_"&amp;
_xlfn.XLOOKUP(商品マスタ[[#This Row],[仕入先]],テーブル1[仕入先名],テーブル1[仕入先コード],"XXX",0,1)&amp;
"_"&amp;
商品マスタ[[#This Row],[シリアル]]&amp;
"_"&amp;
TEXT(COUNTIFS(商品マスタ!$C$3:C534,商品マスタ[[#This Row],[仕入先]],商品マスタ!$E$3:E534,商品マスタ[[#This Row],[商品名]]), "00")</f>
        <v>PRD_SNJ_NBC_0010_01</v>
      </c>
      <c r="E534" s="87" t="s">
        <v>1404</v>
      </c>
      <c r="F534" s="87">
        <f>IF(COUNTIFS($C$3:C534,商品マスタ[[#This Row],[仕入先]],$E$3:E534,商品マスタ[[#This Row],[商品名]]) = 1, 1,0)</f>
        <v>1</v>
      </c>
      <c r="G534" s="133" t="str">
        <f>TEXT(SUMIF($C$3:C534,商品マスタ[[#This Row],[仕入先]],$F$3:F534), "0000")</f>
        <v>0010</v>
      </c>
      <c r="H534" s="87" t="s">
        <v>1009</v>
      </c>
      <c r="I534" s="87" t="s">
        <v>1459</v>
      </c>
      <c r="J534" s="87" t="s">
        <v>1477</v>
      </c>
      <c r="K534" s="87"/>
      <c r="L534" s="134">
        <v>252</v>
      </c>
      <c r="M534" s="157"/>
      <c r="N534" s="134"/>
      <c r="O534" s="135" t="str">
        <f>IF(COUNT(商品マスタ[[#This Row],[参考上代
（税込)]]) &gt; 0, (商品マスタ[[#This Row],[参考上代
（税込)]]-商品マスタ[[#This Row],[国内定価
（15％）]])/(商品マスタ[[#This Row],[参考上代
（税込)]]/1.08), "")</f>
        <v/>
      </c>
      <c r="P534" s="136">
        <v>0.1</v>
      </c>
      <c r="Q534" s="134">
        <f>商品マスタ[[#This Row],[仕入
単価]]*商品マスタ[[#This Row],[標準国内送料率]]</f>
        <v>25.200000000000003</v>
      </c>
      <c r="R534" s="134">
        <v>0</v>
      </c>
      <c r="S534" s="134">
        <f>IF(ISBLANK(商品マスタ[[#This Row],[実績
国内送料]]),商品マスタ[[#This Row],[標準国内送料]],)</f>
        <v>0</v>
      </c>
      <c r="T534" s="134">
        <f>商品マスタ[[#This Row],[仕入
単価]]+商品マスタ[[#This Row],[国内送料]]</f>
        <v>252</v>
      </c>
      <c r="U534" s="134">
        <f>ROUNDUP(商品マスタ[[#This Row],[仕入単価+国内送料]]/0.8,-1)</f>
        <v>320</v>
      </c>
      <c r="V534" s="134">
        <f>商品マスタ[[#This Row],[海外定価
（20％）]]-商品マスタ[[#This Row],[仕入単価+国内送料]]</f>
        <v>68</v>
      </c>
      <c r="W534" s="87">
        <f>ROUNDUP(商品マスタ[[#This Row],[仕入単価+国内送料]]/0.85,-1)</f>
        <v>300</v>
      </c>
      <c r="X534" s="134">
        <f>商品マスタ[[#This Row],[国内定価
（15％）]]-商品マスタ[[#This Row],[仕入単価+国内送料]]</f>
        <v>48</v>
      </c>
      <c r="Y534" s="139">
        <v>0.1</v>
      </c>
      <c r="Z534" s="87"/>
      <c r="AA534" s="87"/>
      <c r="AB534" s="87"/>
      <c r="AC534" s="140"/>
      <c r="AD534" s="87"/>
      <c r="AE534" s="87"/>
      <c r="AF534" s="87"/>
      <c r="AG534" s="141"/>
    </row>
    <row r="535" spans="1:33" ht="18">
      <c r="A535" s="166" t="s">
        <v>1521</v>
      </c>
      <c r="B535" s="167" t="s">
        <v>1517</v>
      </c>
      <c r="C535" s="167" t="s">
        <v>1271</v>
      </c>
      <c r="D535" s="143" t="str">
        <f>"PRD_SNJ_"&amp;
_xlfn.XLOOKUP(商品マスタ[[#This Row],[仕入先]],テーブル1[仕入先名],テーブル1[仕入先コード],"XXX",0,1)&amp;
"_"&amp;
商品マスタ[[#This Row],[シリアル]]&amp;
"_"&amp;
TEXT(COUNTIFS(商品マスタ!$C$3:C535,商品マスタ[[#This Row],[仕入先]],商品マスタ!$E$3:E535,商品マスタ[[#This Row],[商品名]]), "00")</f>
        <v>PRD_SNJ_BND_0001_01</v>
      </c>
      <c r="E535" s="87" t="s">
        <v>1405</v>
      </c>
      <c r="F535" s="87">
        <f>IF(COUNTIFS($C$3:C535,商品マスタ[[#This Row],[仕入先]],$E$3:E535,商品マスタ[[#This Row],[商品名]]) = 1, 1,0)</f>
        <v>1</v>
      </c>
      <c r="G535" s="133" t="str">
        <f>TEXT(SUMIF($C$3:C535,商品マスタ[[#This Row],[仕入先]],$F$3:F535), "0000")</f>
        <v>0001</v>
      </c>
      <c r="H535" s="87" t="s">
        <v>1478</v>
      </c>
      <c r="I535" s="87" t="s">
        <v>1460</v>
      </c>
      <c r="J535" s="87" t="s">
        <v>416</v>
      </c>
      <c r="K535" s="87"/>
      <c r="L535" s="134">
        <v>2780</v>
      </c>
      <c r="M535" s="157"/>
      <c r="N535" s="134"/>
      <c r="O535" s="135" t="str">
        <f>IF(COUNT(商品マスタ[[#This Row],[参考上代
（税込)]]) &gt; 0, (商品マスタ[[#This Row],[参考上代
（税込)]]-商品マスタ[[#This Row],[国内定価
（15％）]])/(商品マスタ[[#This Row],[参考上代
（税込)]]/1.08), "")</f>
        <v/>
      </c>
      <c r="P535" s="136">
        <v>0.1</v>
      </c>
      <c r="Q535" s="134">
        <f>商品マスタ[[#This Row],[仕入
単価]]*商品マスタ[[#This Row],[標準国内送料率]]</f>
        <v>278</v>
      </c>
      <c r="R535" s="134"/>
      <c r="S535" s="134">
        <f>IF(ISBLANK(商品マスタ[[#This Row],[実績
国内送料]]),商品マスタ[[#This Row],[標準国内送料]],)</f>
        <v>278</v>
      </c>
      <c r="T535" s="134">
        <f>商品マスタ[[#This Row],[仕入
単価]]+商品マスタ[[#This Row],[国内送料]]</f>
        <v>3058</v>
      </c>
      <c r="U535" s="134">
        <f>ROUNDUP(商品マスタ[[#This Row],[仕入単価+国内送料]]/0.8,-1)</f>
        <v>3830</v>
      </c>
      <c r="V535" s="134">
        <f>商品マスタ[[#This Row],[海外定価
（20％）]]-商品マスタ[[#This Row],[仕入単価+国内送料]]</f>
        <v>772</v>
      </c>
      <c r="W535" s="87">
        <f>ROUNDUP(商品マスタ[[#This Row],[仕入単価+国内送料]]/0.85,-1)</f>
        <v>3600</v>
      </c>
      <c r="X535" s="134">
        <f>商品マスタ[[#This Row],[国内定価
（15％）]]-商品マスタ[[#This Row],[仕入単価+国内送料]]</f>
        <v>542</v>
      </c>
      <c r="Y535" s="139">
        <v>0.1</v>
      </c>
      <c r="Z535" s="87"/>
      <c r="AA535" s="87"/>
      <c r="AB535" s="87"/>
      <c r="AC535" s="140"/>
      <c r="AD535" s="87"/>
      <c r="AE535" s="87"/>
      <c r="AF535" s="87"/>
      <c r="AG535" s="141"/>
    </row>
    <row r="536" spans="1:33" ht="18">
      <c r="A536" s="166" t="s">
        <v>1521</v>
      </c>
      <c r="B536" s="167" t="s">
        <v>1517</v>
      </c>
      <c r="C536" s="167" t="s">
        <v>1271</v>
      </c>
      <c r="D536" s="143" t="str">
        <f>"PRD_SNJ_"&amp;
_xlfn.XLOOKUP(商品マスタ[[#This Row],[仕入先]],テーブル1[仕入先名],テーブル1[仕入先コード],"XXX",0,1)&amp;
"_"&amp;
商品マスタ[[#This Row],[シリアル]]&amp;
"_"&amp;
TEXT(COUNTIFS(商品マスタ!$C$3:C536,商品マスタ[[#This Row],[仕入先]],商品マスタ!$E$3:E536,商品マスタ[[#This Row],[商品名]]), "00")</f>
        <v>PRD_SNJ_BND_0002_01</v>
      </c>
      <c r="E536" s="87" t="s">
        <v>1406</v>
      </c>
      <c r="F536" s="87">
        <f>IF(COUNTIFS($C$3:C536,商品マスタ[[#This Row],[仕入先]],$E$3:E536,商品マスタ[[#This Row],[商品名]]) = 1, 1,0)</f>
        <v>1</v>
      </c>
      <c r="G536" s="133" t="str">
        <f>TEXT(SUMIF($C$3:C536,商品マスタ[[#This Row],[仕入先]],$F$3:F536), "0000")</f>
        <v>0002</v>
      </c>
      <c r="H536" s="87" t="s">
        <v>1478</v>
      </c>
      <c r="I536" s="87" t="s">
        <v>1461</v>
      </c>
      <c r="J536" s="87" t="s">
        <v>416</v>
      </c>
      <c r="K536" s="87"/>
      <c r="L536" s="134">
        <v>3580</v>
      </c>
      <c r="M536" s="157"/>
      <c r="N536" s="134"/>
      <c r="O536" s="135" t="str">
        <f>IF(COUNT(商品マスタ[[#This Row],[参考上代
（税込)]]) &gt; 0, (商品マスタ[[#This Row],[参考上代
（税込)]]-商品マスタ[[#This Row],[国内定価
（15％）]])/(商品マスタ[[#This Row],[参考上代
（税込)]]/1.08), "")</f>
        <v/>
      </c>
      <c r="P536" s="136">
        <v>0.1</v>
      </c>
      <c r="Q536" s="134">
        <f>商品マスタ[[#This Row],[仕入
単価]]*商品マスタ[[#This Row],[標準国内送料率]]</f>
        <v>358</v>
      </c>
      <c r="R536" s="134"/>
      <c r="S536" s="134">
        <f>IF(ISBLANK(商品マスタ[[#This Row],[実績
国内送料]]),商品マスタ[[#This Row],[標準国内送料]],)</f>
        <v>358</v>
      </c>
      <c r="T536" s="134">
        <f>商品マスタ[[#This Row],[仕入
単価]]+商品マスタ[[#This Row],[国内送料]]</f>
        <v>3938</v>
      </c>
      <c r="U536" s="134">
        <f>ROUNDUP(商品マスタ[[#This Row],[仕入単価+国内送料]]/0.8,-1)</f>
        <v>4930</v>
      </c>
      <c r="V536" s="134">
        <f>商品マスタ[[#This Row],[海外定価
（20％）]]-商品マスタ[[#This Row],[仕入単価+国内送料]]</f>
        <v>992</v>
      </c>
      <c r="W536" s="87">
        <f>ROUNDUP(商品マスタ[[#This Row],[仕入単価+国内送料]]/0.85,-1)</f>
        <v>4640</v>
      </c>
      <c r="X536" s="134">
        <f>商品マスタ[[#This Row],[国内定価
（15％）]]-商品マスタ[[#This Row],[仕入単価+国内送料]]</f>
        <v>702</v>
      </c>
      <c r="Y536" s="139">
        <v>0.1</v>
      </c>
      <c r="Z536" s="87"/>
      <c r="AA536" s="87"/>
      <c r="AB536" s="87"/>
      <c r="AC536" s="140"/>
      <c r="AD536" s="87"/>
      <c r="AE536" s="87"/>
      <c r="AF536" s="87"/>
      <c r="AG536" s="141"/>
    </row>
    <row r="537" spans="1:33" ht="18">
      <c r="A537" s="166" t="s">
        <v>1521</v>
      </c>
      <c r="B537" s="167" t="s">
        <v>1517</v>
      </c>
      <c r="C537" s="167" t="s">
        <v>1271</v>
      </c>
      <c r="D537" s="143" t="str">
        <f>"PRD_SNJ_"&amp;
_xlfn.XLOOKUP(商品マスタ[[#This Row],[仕入先]],テーブル1[仕入先名],テーブル1[仕入先コード],"XXX",0,1)&amp;
"_"&amp;
商品マスタ[[#This Row],[シリアル]]&amp;
"_"&amp;
TEXT(COUNTIFS(商品マスタ!$C$3:C537,商品マスタ[[#This Row],[仕入先]],商品マスタ!$E$3:E537,商品マスタ[[#This Row],[商品名]]), "00")</f>
        <v>PRD_SNJ_BND_0003_01</v>
      </c>
      <c r="E537" s="87" t="s">
        <v>1407</v>
      </c>
      <c r="F537" s="87">
        <f>IF(COUNTIFS($C$3:C537,商品マスタ[[#This Row],[仕入先]],$E$3:E537,商品マスタ[[#This Row],[商品名]]) = 1, 1,0)</f>
        <v>1</v>
      </c>
      <c r="G537" s="133" t="str">
        <f>TEXT(SUMIF($C$3:C537,商品マスタ[[#This Row],[仕入先]],$F$3:F537), "0000")</f>
        <v>0003</v>
      </c>
      <c r="H537" s="87" t="s">
        <v>1478</v>
      </c>
      <c r="I537" s="87" t="s">
        <v>1460</v>
      </c>
      <c r="J537" s="87" t="s">
        <v>416</v>
      </c>
      <c r="K537" s="87"/>
      <c r="L537" s="134">
        <v>2780</v>
      </c>
      <c r="M537" s="157"/>
      <c r="N537" s="134"/>
      <c r="O537" s="135" t="str">
        <f>IF(COUNT(商品マスタ[[#This Row],[参考上代
（税込)]]) &gt; 0, (商品マスタ[[#This Row],[参考上代
（税込)]]-商品マスタ[[#This Row],[国内定価
（15％）]])/(商品マスタ[[#This Row],[参考上代
（税込)]]/1.08), "")</f>
        <v/>
      </c>
      <c r="P537" s="136">
        <v>0.1</v>
      </c>
      <c r="Q537" s="134">
        <f>商品マスタ[[#This Row],[仕入
単価]]*商品マスタ[[#This Row],[標準国内送料率]]</f>
        <v>278</v>
      </c>
      <c r="R537" s="134"/>
      <c r="S537" s="134">
        <f>IF(ISBLANK(商品マスタ[[#This Row],[実績
国内送料]]),商品マスタ[[#This Row],[標準国内送料]],)</f>
        <v>278</v>
      </c>
      <c r="T537" s="134">
        <f>商品マスタ[[#This Row],[仕入
単価]]+商品マスタ[[#This Row],[国内送料]]</f>
        <v>3058</v>
      </c>
      <c r="U537" s="134">
        <f>ROUNDUP(商品マスタ[[#This Row],[仕入単価+国内送料]]/0.8,-1)</f>
        <v>3830</v>
      </c>
      <c r="V537" s="134">
        <f>商品マスタ[[#This Row],[海外定価
（20％）]]-商品マスタ[[#This Row],[仕入単価+国内送料]]</f>
        <v>772</v>
      </c>
      <c r="W537" s="87">
        <f>ROUNDUP(商品マスタ[[#This Row],[仕入単価+国内送料]]/0.85,-1)</f>
        <v>3600</v>
      </c>
      <c r="X537" s="134">
        <f>商品マスタ[[#This Row],[国内定価
（15％）]]-商品マスタ[[#This Row],[仕入単価+国内送料]]</f>
        <v>542</v>
      </c>
      <c r="Y537" s="139">
        <v>0.1</v>
      </c>
      <c r="Z537" s="87"/>
      <c r="AA537" s="87"/>
      <c r="AB537" s="87"/>
      <c r="AC537" s="140"/>
      <c r="AD537" s="87"/>
      <c r="AE537" s="87"/>
      <c r="AF537" s="87"/>
      <c r="AG537" s="141"/>
    </row>
    <row r="538" spans="1:33" ht="18">
      <c r="A538" s="166" t="s">
        <v>1521</v>
      </c>
      <c r="B538" s="167" t="s">
        <v>1517</v>
      </c>
      <c r="C538" s="167" t="s">
        <v>1271</v>
      </c>
      <c r="D538" s="143" t="str">
        <f>"PRD_SNJ_"&amp;
_xlfn.XLOOKUP(商品マスタ[[#This Row],[仕入先]],テーブル1[仕入先名],テーブル1[仕入先コード],"XXX",0,1)&amp;
"_"&amp;
商品マスタ[[#This Row],[シリアル]]&amp;
"_"&amp;
TEXT(COUNTIFS(商品マスタ!$C$3:C538,商品マスタ[[#This Row],[仕入先]],商品マスタ!$E$3:E538,商品マスタ[[#This Row],[商品名]]), "00")</f>
        <v>PRD_SNJ_BND_0004_01</v>
      </c>
      <c r="E538" s="87" t="s">
        <v>1408</v>
      </c>
      <c r="F538" s="87">
        <f>IF(COUNTIFS($C$3:C538,商品マスタ[[#This Row],[仕入先]],$E$3:E538,商品マスタ[[#This Row],[商品名]]) = 1, 1,0)</f>
        <v>1</v>
      </c>
      <c r="G538" s="133" t="str">
        <f>TEXT(SUMIF($C$3:C538,商品マスタ[[#This Row],[仕入先]],$F$3:F538), "0000")</f>
        <v>0004</v>
      </c>
      <c r="H538" s="87" t="s">
        <v>1478</v>
      </c>
      <c r="I538" s="87" t="s">
        <v>1461</v>
      </c>
      <c r="J538" s="87" t="s">
        <v>416</v>
      </c>
      <c r="K538" s="87"/>
      <c r="L538" s="134">
        <v>4820</v>
      </c>
      <c r="M538" s="157"/>
      <c r="N538" s="134"/>
      <c r="O538" s="135" t="str">
        <f>IF(COUNT(商品マスタ[[#This Row],[参考上代
（税込)]]) &gt; 0, (商品マスタ[[#This Row],[参考上代
（税込)]]-商品マスタ[[#This Row],[国内定価
（15％）]])/(商品マスタ[[#This Row],[参考上代
（税込)]]/1.08), "")</f>
        <v/>
      </c>
      <c r="P538" s="136">
        <v>0.1</v>
      </c>
      <c r="Q538" s="134">
        <f>商品マスタ[[#This Row],[仕入
単価]]*商品マスタ[[#This Row],[標準国内送料率]]</f>
        <v>482</v>
      </c>
      <c r="R538" s="134"/>
      <c r="S538" s="134">
        <f>IF(ISBLANK(商品マスタ[[#This Row],[実績
国内送料]]),商品マスタ[[#This Row],[標準国内送料]],)</f>
        <v>482</v>
      </c>
      <c r="T538" s="134">
        <f>商品マスタ[[#This Row],[仕入
単価]]+商品マスタ[[#This Row],[国内送料]]</f>
        <v>5302</v>
      </c>
      <c r="U538" s="134">
        <f>ROUNDUP(商品マスタ[[#This Row],[仕入単価+国内送料]]/0.8,-1)</f>
        <v>6630</v>
      </c>
      <c r="V538" s="134">
        <f>商品マスタ[[#This Row],[海外定価
（20％）]]-商品マスタ[[#This Row],[仕入単価+国内送料]]</f>
        <v>1328</v>
      </c>
      <c r="W538" s="87">
        <f>ROUNDUP(商品マスタ[[#This Row],[仕入単価+国内送料]]/0.85,-1)</f>
        <v>6240</v>
      </c>
      <c r="X538" s="134">
        <f>商品マスタ[[#This Row],[国内定価
（15％）]]-商品マスタ[[#This Row],[仕入単価+国内送料]]</f>
        <v>938</v>
      </c>
      <c r="Y538" s="139">
        <v>0.1</v>
      </c>
      <c r="Z538" s="87"/>
      <c r="AA538" s="87"/>
      <c r="AB538" s="87"/>
      <c r="AC538" s="140"/>
      <c r="AD538" s="87"/>
      <c r="AE538" s="87"/>
      <c r="AF538" s="87"/>
      <c r="AG538" s="141"/>
    </row>
    <row r="539" spans="1:33" ht="18">
      <c r="A539" s="166" t="s">
        <v>1521</v>
      </c>
      <c r="B539" s="167" t="s">
        <v>1517</v>
      </c>
      <c r="C539" s="167" t="s">
        <v>1271</v>
      </c>
      <c r="D539" s="143" t="str">
        <f>"PRD_SNJ_"&amp;
_xlfn.XLOOKUP(商品マスタ[[#This Row],[仕入先]],テーブル1[仕入先名],テーブル1[仕入先コード],"XXX",0,1)&amp;
"_"&amp;
商品マスタ[[#This Row],[シリアル]]&amp;
"_"&amp;
TEXT(COUNTIFS(商品マスタ!$C$3:C539,商品マスタ[[#This Row],[仕入先]],商品マスタ!$E$3:E539,商品マスタ[[#This Row],[商品名]]), "00")</f>
        <v>PRD_SNJ_BND_0005_01</v>
      </c>
      <c r="E539" s="87" t="s">
        <v>1409</v>
      </c>
      <c r="F539" s="87">
        <f>IF(COUNTIFS($C$3:C539,商品マスタ[[#This Row],[仕入先]],$E$3:E539,商品マスタ[[#This Row],[商品名]]) = 1, 1,0)</f>
        <v>1</v>
      </c>
      <c r="G539" s="133" t="str">
        <f>TEXT(SUMIF($C$3:C539,商品マスタ[[#This Row],[仕入先]],$F$3:F539), "0000")</f>
        <v>0005</v>
      </c>
      <c r="H539" s="87" t="s">
        <v>1478</v>
      </c>
      <c r="I539" s="87" t="s">
        <v>1460</v>
      </c>
      <c r="J539" s="87" t="s">
        <v>416</v>
      </c>
      <c r="K539" s="87"/>
      <c r="L539" s="134">
        <v>3910</v>
      </c>
      <c r="M539" s="157"/>
      <c r="N539" s="134"/>
      <c r="O539" s="135" t="str">
        <f>IF(COUNT(商品マスタ[[#This Row],[参考上代
（税込)]]) &gt; 0, (商品マスタ[[#This Row],[参考上代
（税込)]]-商品マスタ[[#This Row],[国内定価
（15％）]])/(商品マスタ[[#This Row],[参考上代
（税込)]]/1.08), "")</f>
        <v/>
      </c>
      <c r="P539" s="136">
        <v>0.1</v>
      </c>
      <c r="Q539" s="134">
        <f>商品マスタ[[#This Row],[仕入
単価]]*商品マスタ[[#This Row],[標準国内送料率]]</f>
        <v>391</v>
      </c>
      <c r="R539" s="134"/>
      <c r="S539" s="134">
        <f>IF(ISBLANK(商品マスタ[[#This Row],[実績
国内送料]]),商品マスタ[[#This Row],[標準国内送料]],)</f>
        <v>391</v>
      </c>
      <c r="T539" s="134">
        <f>商品マスタ[[#This Row],[仕入
単価]]+商品マスタ[[#This Row],[国内送料]]</f>
        <v>4301</v>
      </c>
      <c r="U539" s="134">
        <f>ROUNDUP(商品マスタ[[#This Row],[仕入単価+国内送料]]/0.8,-1)</f>
        <v>5380</v>
      </c>
      <c r="V539" s="134">
        <f>商品マスタ[[#This Row],[海外定価
（20％）]]-商品マスタ[[#This Row],[仕入単価+国内送料]]</f>
        <v>1079</v>
      </c>
      <c r="W539" s="87">
        <f>ROUNDUP(商品マスタ[[#This Row],[仕入単価+国内送料]]/0.85,-1)</f>
        <v>5060</v>
      </c>
      <c r="X539" s="134">
        <f>商品マスタ[[#This Row],[国内定価
（15％）]]-商品マスタ[[#This Row],[仕入単価+国内送料]]</f>
        <v>759</v>
      </c>
      <c r="Y539" s="139">
        <v>0.1</v>
      </c>
      <c r="Z539" s="87"/>
      <c r="AA539" s="87"/>
      <c r="AB539" s="87"/>
      <c r="AC539" s="140"/>
      <c r="AD539" s="87"/>
      <c r="AE539" s="87"/>
      <c r="AF539" s="87"/>
      <c r="AG539" s="141"/>
    </row>
    <row r="540" spans="1:33" ht="18">
      <c r="A540" s="166" t="s">
        <v>1521</v>
      </c>
      <c r="B540" s="167" t="s">
        <v>1517</v>
      </c>
      <c r="C540" s="167" t="s">
        <v>1271</v>
      </c>
      <c r="D540" s="143" t="str">
        <f>"PRD_SNJ_"&amp;
_xlfn.XLOOKUP(商品マスタ[[#This Row],[仕入先]],テーブル1[仕入先名],テーブル1[仕入先コード],"XXX",0,1)&amp;
"_"&amp;
商品マスタ[[#This Row],[シリアル]]&amp;
"_"&amp;
TEXT(COUNTIFS(商品マスタ!$C$3:C540,商品マスタ[[#This Row],[仕入先]],商品マスタ!$E$3:E540,商品マスタ[[#This Row],[商品名]]), "00")</f>
        <v>PRD_SNJ_BND_0006_01</v>
      </c>
      <c r="E540" s="87" t="s">
        <v>1410</v>
      </c>
      <c r="F540" s="87">
        <f>IF(COUNTIFS($C$3:C540,商品マスタ[[#This Row],[仕入先]],$E$3:E540,商品マスタ[[#This Row],[商品名]]) = 1, 1,0)</f>
        <v>1</v>
      </c>
      <c r="G540" s="133" t="str">
        <f>TEXT(SUMIF($C$3:C540,商品マスタ[[#This Row],[仕入先]],$F$3:F540), "0000")</f>
        <v>0006</v>
      </c>
      <c r="H540" s="87" t="s">
        <v>1478</v>
      </c>
      <c r="I540" s="87" t="s">
        <v>1460</v>
      </c>
      <c r="J540" s="87" t="s">
        <v>416</v>
      </c>
      <c r="K540" s="87"/>
      <c r="L540" s="134">
        <v>3910</v>
      </c>
      <c r="M540" s="157"/>
      <c r="N540" s="134"/>
      <c r="O540" s="135" t="str">
        <f>IF(COUNT(商品マスタ[[#This Row],[参考上代
（税込)]]) &gt; 0, (商品マスタ[[#This Row],[参考上代
（税込)]]-商品マスタ[[#This Row],[国内定価
（15％）]])/(商品マスタ[[#This Row],[参考上代
（税込)]]/1.08), "")</f>
        <v/>
      </c>
      <c r="P540" s="136">
        <v>0.1</v>
      </c>
      <c r="Q540" s="134">
        <f>商品マスタ[[#This Row],[仕入
単価]]*商品マスタ[[#This Row],[標準国内送料率]]</f>
        <v>391</v>
      </c>
      <c r="R540" s="134"/>
      <c r="S540" s="134">
        <f>IF(ISBLANK(商品マスタ[[#This Row],[実績
国内送料]]),商品マスタ[[#This Row],[標準国内送料]],)</f>
        <v>391</v>
      </c>
      <c r="T540" s="134">
        <f>商品マスタ[[#This Row],[仕入
単価]]+商品マスタ[[#This Row],[国内送料]]</f>
        <v>4301</v>
      </c>
      <c r="U540" s="134">
        <f>ROUNDUP(商品マスタ[[#This Row],[仕入単価+国内送料]]/0.8,-1)</f>
        <v>5380</v>
      </c>
      <c r="V540" s="134">
        <f>商品マスタ[[#This Row],[海外定価
（20％）]]-商品マスタ[[#This Row],[仕入単価+国内送料]]</f>
        <v>1079</v>
      </c>
      <c r="W540" s="87">
        <f>ROUNDUP(商品マスタ[[#This Row],[仕入単価+国内送料]]/0.85,-1)</f>
        <v>5060</v>
      </c>
      <c r="X540" s="134">
        <f>商品マスタ[[#This Row],[国内定価
（15％）]]-商品マスタ[[#This Row],[仕入単価+国内送料]]</f>
        <v>759</v>
      </c>
      <c r="Y540" s="139">
        <v>0.1</v>
      </c>
      <c r="Z540" s="87"/>
      <c r="AA540" s="87"/>
      <c r="AB540" s="87"/>
      <c r="AC540" s="140"/>
      <c r="AD540" s="87"/>
      <c r="AE540" s="87"/>
      <c r="AF540" s="87"/>
      <c r="AG540" s="141"/>
    </row>
    <row r="541" spans="1:33" ht="18">
      <c r="A541" s="166" t="s">
        <v>1521</v>
      </c>
      <c r="B541" s="167" t="s">
        <v>1517</v>
      </c>
      <c r="C541" s="167" t="s">
        <v>1271</v>
      </c>
      <c r="D541" s="143" t="str">
        <f>"PRD_SNJ_"&amp;
_xlfn.XLOOKUP(商品マスタ[[#This Row],[仕入先]],テーブル1[仕入先名],テーブル1[仕入先コード],"XXX",0,1)&amp;
"_"&amp;
商品マスタ[[#This Row],[シリアル]]&amp;
"_"&amp;
TEXT(COUNTIFS(商品マスタ!$C$3:C541,商品マスタ[[#This Row],[仕入先]],商品マスタ!$E$3:E541,商品マスタ[[#This Row],[商品名]]), "00")</f>
        <v>PRD_SNJ_BND_0007_01</v>
      </c>
      <c r="E541" s="87" t="s">
        <v>1411</v>
      </c>
      <c r="F541" s="87">
        <f>IF(COUNTIFS($C$3:C541,商品マスタ[[#This Row],[仕入先]],$E$3:E541,商品マスタ[[#This Row],[商品名]]) = 1, 1,0)</f>
        <v>1</v>
      </c>
      <c r="G541" s="133" t="str">
        <f>TEXT(SUMIF($C$3:C541,商品マスタ[[#This Row],[仕入先]],$F$3:F541), "0000")</f>
        <v>0007</v>
      </c>
      <c r="H541" s="87" t="s">
        <v>1478</v>
      </c>
      <c r="I541" s="87" t="s">
        <v>1460</v>
      </c>
      <c r="J541" s="87" t="s">
        <v>416</v>
      </c>
      <c r="K541" s="87"/>
      <c r="L541" s="134">
        <v>3070</v>
      </c>
      <c r="M541" s="157"/>
      <c r="N541" s="134"/>
      <c r="O541" s="135" t="str">
        <f>IF(COUNT(商品マスタ[[#This Row],[参考上代
（税込)]]) &gt; 0, (商品マスタ[[#This Row],[参考上代
（税込)]]-商品マスタ[[#This Row],[国内定価
（15％）]])/(商品マスタ[[#This Row],[参考上代
（税込)]]/1.08), "")</f>
        <v/>
      </c>
      <c r="P541" s="136">
        <v>0.1</v>
      </c>
      <c r="Q541" s="134">
        <f>商品マスタ[[#This Row],[仕入
単価]]*商品マスタ[[#This Row],[標準国内送料率]]</f>
        <v>307</v>
      </c>
      <c r="R541" s="134"/>
      <c r="S541" s="134">
        <f>IF(ISBLANK(商品マスタ[[#This Row],[実績
国内送料]]),商品マスタ[[#This Row],[標準国内送料]],)</f>
        <v>307</v>
      </c>
      <c r="T541" s="134">
        <f>商品マスタ[[#This Row],[仕入
単価]]+商品マスタ[[#This Row],[国内送料]]</f>
        <v>3377</v>
      </c>
      <c r="U541" s="134">
        <f>ROUNDUP(商品マスタ[[#This Row],[仕入単価+国内送料]]/0.8,-1)</f>
        <v>4230</v>
      </c>
      <c r="V541" s="134">
        <f>商品マスタ[[#This Row],[海外定価
（20％）]]-商品マスタ[[#This Row],[仕入単価+国内送料]]</f>
        <v>853</v>
      </c>
      <c r="W541" s="87">
        <f>ROUNDUP(商品マスタ[[#This Row],[仕入単価+国内送料]]/0.85,-1)</f>
        <v>3980</v>
      </c>
      <c r="X541" s="134">
        <f>商品マスタ[[#This Row],[国内定価
（15％）]]-商品マスタ[[#This Row],[仕入単価+国内送料]]</f>
        <v>603</v>
      </c>
      <c r="Y541" s="139">
        <v>0.1</v>
      </c>
      <c r="Z541" s="87"/>
      <c r="AA541" s="87"/>
      <c r="AB541" s="87"/>
      <c r="AC541" s="140"/>
      <c r="AD541" s="87"/>
      <c r="AE541" s="87"/>
      <c r="AF541" s="87"/>
      <c r="AG541" s="141"/>
    </row>
    <row r="542" spans="1:33" ht="18">
      <c r="A542" s="166" t="s">
        <v>1521</v>
      </c>
      <c r="B542" s="167" t="s">
        <v>1517</v>
      </c>
      <c r="C542" s="167" t="s">
        <v>1271</v>
      </c>
      <c r="D542" s="143" t="str">
        <f>"PRD_SNJ_"&amp;
_xlfn.XLOOKUP(商品マスタ[[#This Row],[仕入先]],テーブル1[仕入先名],テーブル1[仕入先コード],"XXX",0,1)&amp;
"_"&amp;
商品マスタ[[#This Row],[シリアル]]&amp;
"_"&amp;
TEXT(COUNTIFS(商品マスタ!$C$3:C542,商品マスタ[[#This Row],[仕入先]],商品マスタ!$E$3:E542,商品マスタ[[#This Row],[商品名]]), "00")</f>
        <v>PRD_SNJ_BND_0008_01</v>
      </c>
      <c r="E542" s="87" t="s">
        <v>1412</v>
      </c>
      <c r="F542" s="87">
        <f>IF(COUNTIFS($C$3:C542,商品マスタ[[#This Row],[仕入先]],$E$3:E542,商品マスタ[[#This Row],[商品名]]) = 1, 1,0)</f>
        <v>1</v>
      </c>
      <c r="G542" s="133" t="str">
        <f>TEXT(SUMIF($C$3:C542,商品マスタ[[#This Row],[仕入先]],$F$3:F542), "0000")</f>
        <v>0008</v>
      </c>
      <c r="H542" s="87" t="s">
        <v>1478</v>
      </c>
      <c r="I542" s="87" t="s">
        <v>1460</v>
      </c>
      <c r="J542" s="87" t="s">
        <v>416</v>
      </c>
      <c r="K542" s="87"/>
      <c r="L542" s="134">
        <v>3740</v>
      </c>
      <c r="M542" s="157"/>
      <c r="N542" s="134"/>
      <c r="O542" s="135" t="str">
        <f>IF(COUNT(商品マスタ[[#This Row],[参考上代
（税込)]]) &gt; 0, (商品マスタ[[#This Row],[参考上代
（税込)]]-商品マスタ[[#This Row],[国内定価
（15％）]])/(商品マスタ[[#This Row],[参考上代
（税込)]]/1.08), "")</f>
        <v/>
      </c>
      <c r="P542" s="136">
        <v>0.1</v>
      </c>
      <c r="Q542" s="134">
        <f>商品マスタ[[#This Row],[仕入
単価]]*商品マスタ[[#This Row],[標準国内送料率]]</f>
        <v>374</v>
      </c>
      <c r="R542" s="134"/>
      <c r="S542" s="134">
        <f>IF(ISBLANK(商品マスタ[[#This Row],[実績
国内送料]]),商品マスタ[[#This Row],[標準国内送料]],)</f>
        <v>374</v>
      </c>
      <c r="T542" s="134">
        <f>商品マスタ[[#This Row],[仕入
単価]]+商品マスタ[[#This Row],[国内送料]]</f>
        <v>4114</v>
      </c>
      <c r="U542" s="134">
        <f>ROUNDUP(商品マスタ[[#This Row],[仕入単価+国内送料]]/0.8,-1)</f>
        <v>5150</v>
      </c>
      <c r="V542" s="134">
        <f>商品マスタ[[#This Row],[海外定価
（20％）]]-商品マスタ[[#This Row],[仕入単価+国内送料]]</f>
        <v>1036</v>
      </c>
      <c r="W542" s="87">
        <f>ROUNDUP(商品マスタ[[#This Row],[仕入単価+国内送料]]/0.85,-1)</f>
        <v>4840</v>
      </c>
      <c r="X542" s="134">
        <f>商品マスタ[[#This Row],[国内定価
（15％）]]-商品マスタ[[#This Row],[仕入単価+国内送料]]</f>
        <v>726</v>
      </c>
      <c r="Y542" s="139">
        <v>0.1</v>
      </c>
      <c r="Z542" s="87"/>
      <c r="AA542" s="87"/>
      <c r="AB542" s="87"/>
      <c r="AC542" s="140"/>
      <c r="AD542" s="87"/>
      <c r="AE542" s="87"/>
      <c r="AF542" s="87"/>
      <c r="AG542" s="141"/>
    </row>
    <row r="543" spans="1:33" ht="18">
      <c r="A543" s="166" t="s">
        <v>1521</v>
      </c>
      <c r="B543" s="167" t="s">
        <v>1517</v>
      </c>
      <c r="C543" s="167" t="s">
        <v>1271</v>
      </c>
      <c r="D543" s="143" t="str">
        <f>"PRD_SNJ_"&amp;
_xlfn.XLOOKUP(商品マスタ[[#This Row],[仕入先]],テーブル1[仕入先名],テーブル1[仕入先コード],"XXX",0,1)&amp;
"_"&amp;
商品マスタ[[#This Row],[シリアル]]&amp;
"_"&amp;
TEXT(COUNTIFS(商品マスタ!$C$3:C543,商品マスタ[[#This Row],[仕入先]],商品マスタ!$E$3:E543,商品マスタ[[#This Row],[商品名]]), "00")</f>
        <v>PRD_SNJ_BND_0009_01</v>
      </c>
      <c r="E543" s="87" t="s">
        <v>1413</v>
      </c>
      <c r="F543" s="87">
        <f>IF(COUNTIFS($C$3:C543,商品マスタ[[#This Row],[仕入先]],$E$3:E543,商品マスタ[[#This Row],[商品名]]) = 1, 1,0)</f>
        <v>1</v>
      </c>
      <c r="G543" s="133" t="str">
        <f>TEXT(SUMIF($C$3:C543,商品マスタ[[#This Row],[仕入先]],$F$3:F543), "0000")</f>
        <v>0009</v>
      </c>
      <c r="H543" s="87" t="s">
        <v>1478</v>
      </c>
      <c r="I543" s="87" t="s">
        <v>1460</v>
      </c>
      <c r="J543" s="87" t="s">
        <v>416</v>
      </c>
      <c r="K543" s="87"/>
      <c r="L543" s="134">
        <v>3580</v>
      </c>
      <c r="M543" s="157"/>
      <c r="N543" s="134"/>
      <c r="O543" s="135" t="str">
        <f>IF(COUNT(商品マスタ[[#This Row],[参考上代
（税込)]]) &gt; 0, (商品マスタ[[#This Row],[参考上代
（税込)]]-商品マスタ[[#This Row],[国内定価
（15％）]])/(商品マスタ[[#This Row],[参考上代
（税込)]]/1.08), "")</f>
        <v/>
      </c>
      <c r="P543" s="136">
        <v>0.1</v>
      </c>
      <c r="Q543" s="134">
        <f>商品マスタ[[#This Row],[仕入
単価]]*商品マスタ[[#This Row],[標準国内送料率]]</f>
        <v>358</v>
      </c>
      <c r="R543" s="134"/>
      <c r="S543" s="134">
        <f>IF(ISBLANK(商品マスタ[[#This Row],[実績
国内送料]]),商品マスタ[[#This Row],[標準国内送料]],)</f>
        <v>358</v>
      </c>
      <c r="T543" s="134">
        <f>商品マスタ[[#This Row],[仕入
単価]]+商品マスタ[[#This Row],[国内送料]]</f>
        <v>3938</v>
      </c>
      <c r="U543" s="134">
        <f>ROUNDUP(商品マスタ[[#This Row],[仕入単価+国内送料]]/0.8,-1)</f>
        <v>4930</v>
      </c>
      <c r="V543" s="134">
        <f>商品マスタ[[#This Row],[海外定価
（20％）]]-商品マスタ[[#This Row],[仕入単価+国内送料]]</f>
        <v>992</v>
      </c>
      <c r="W543" s="87">
        <f>ROUNDUP(商品マスタ[[#This Row],[仕入単価+国内送料]]/0.85,-1)</f>
        <v>4640</v>
      </c>
      <c r="X543" s="134">
        <f>商品マスタ[[#This Row],[国内定価
（15％）]]-商品マスタ[[#This Row],[仕入単価+国内送料]]</f>
        <v>702</v>
      </c>
      <c r="Y543" s="139">
        <v>0.1</v>
      </c>
      <c r="Z543" s="87"/>
      <c r="AA543" s="87"/>
      <c r="AB543" s="87"/>
      <c r="AC543" s="140"/>
      <c r="AD543" s="87"/>
      <c r="AE543" s="87"/>
      <c r="AF543" s="87"/>
      <c r="AG543" s="141"/>
    </row>
    <row r="544" spans="1:33" ht="18">
      <c r="A544" s="166" t="s">
        <v>1521</v>
      </c>
      <c r="B544" s="167" t="s">
        <v>1517</v>
      </c>
      <c r="C544" s="167" t="s">
        <v>1271</v>
      </c>
      <c r="D544" s="143" t="str">
        <f>"PRD_SNJ_"&amp;
_xlfn.XLOOKUP(商品マスタ[[#This Row],[仕入先]],テーブル1[仕入先名],テーブル1[仕入先コード],"XXX",0,1)&amp;
"_"&amp;
商品マスタ[[#This Row],[シリアル]]&amp;
"_"&amp;
TEXT(COUNTIFS(商品マスタ!$C$3:C544,商品マスタ[[#This Row],[仕入先]],商品マスタ!$E$3:E544,商品マスタ[[#This Row],[商品名]]), "00")</f>
        <v>PRD_SNJ_BND_0010_01</v>
      </c>
      <c r="E544" s="87" t="s">
        <v>1414</v>
      </c>
      <c r="F544" s="87">
        <f>IF(COUNTIFS($C$3:C544,商品マスタ[[#This Row],[仕入先]],$E$3:E544,商品マスタ[[#This Row],[商品名]]) = 1, 1,0)</f>
        <v>1</v>
      </c>
      <c r="G544" s="133" t="str">
        <f>TEXT(SUMIF($C$3:C544,商品マスタ[[#This Row],[仕入先]],$F$3:F544), "0000")</f>
        <v>0010</v>
      </c>
      <c r="H544" s="87" t="s">
        <v>1478</v>
      </c>
      <c r="I544" s="87" t="s">
        <v>1460</v>
      </c>
      <c r="J544" s="87" t="s">
        <v>416</v>
      </c>
      <c r="K544" s="87"/>
      <c r="L544" s="134">
        <v>2780</v>
      </c>
      <c r="M544" s="157"/>
      <c r="N544" s="134"/>
      <c r="O544" s="135" t="str">
        <f>IF(COUNT(商品マスタ[[#This Row],[参考上代
（税込)]]) &gt; 0, (商品マスタ[[#This Row],[参考上代
（税込)]]-商品マスタ[[#This Row],[国内定価
（15％）]])/(商品マスタ[[#This Row],[参考上代
（税込)]]/1.08), "")</f>
        <v/>
      </c>
      <c r="P544" s="136">
        <v>0.1</v>
      </c>
      <c r="Q544" s="134">
        <f>商品マスタ[[#This Row],[仕入
単価]]*商品マスタ[[#This Row],[標準国内送料率]]</f>
        <v>278</v>
      </c>
      <c r="R544" s="134"/>
      <c r="S544" s="134">
        <f>IF(ISBLANK(商品マスタ[[#This Row],[実績
国内送料]]),商品マスタ[[#This Row],[標準国内送料]],)</f>
        <v>278</v>
      </c>
      <c r="T544" s="134">
        <f>商品マスタ[[#This Row],[仕入
単価]]+商品マスタ[[#This Row],[国内送料]]</f>
        <v>3058</v>
      </c>
      <c r="U544" s="134">
        <f>ROUNDUP(商品マスタ[[#This Row],[仕入単価+国内送料]]/0.8,-1)</f>
        <v>3830</v>
      </c>
      <c r="V544" s="134">
        <f>商品マスタ[[#This Row],[海外定価
（20％）]]-商品マスタ[[#This Row],[仕入単価+国内送料]]</f>
        <v>772</v>
      </c>
      <c r="W544" s="87">
        <f>ROUNDUP(商品マスタ[[#This Row],[仕入単価+国内送料]]/0.85,-1)</f>
        <v>3600</v>
      </c>
      <c r="X544" s="134">
        <f>商品マスタ[[#This Row],[国内定価
（15％）]]-商品マスタ[[#This Row],[仕入単価+国内送料]]</f>
        <v>542</v>
      </c>
      <c r="Y544" s="139">
        <v>0.1</v>
      </c>
      <c r="Z544" s="87"/>
      <c r="AA544" s="87"/>
      <c r="AB544" s="87"/>
      <c r="AC544" s="140"/>
      <c r="AD544" s="87"/>
      <c r="AE544" s="87"/>
      <c r="AF544" s="87"/>
      <c r="AG544" s="141"/>
    </row>
    <row r="545" spans="1:33" ht="18">
      <c r="A545" s="166" t="s">
        <v>1520</v>
      </c>
      <c r="B545" s="167" t="s">
        <v>1222</v>
      </c>
      <c r="C545" s="167" t="s">
        <v>1272</v>
      </c>
      <c r="D545" s="143" t="str">
        <f>"PRD_SNJ_"&amp;
_xlfn.XLOOKUP(商品マスタ[[#This Row],[仕入先]],テーブル1[仕入先名],テーブル1[仕入先コード],"XXX",0,1)&amp;
"_"&amp;
商品マスタ[[#This Row],[シリアル]]&amp;
"_"&amp;
TEXT(COUNTIFS(商品マスタ!$C$3:C545,商品マスタ[[#This Row],[仕入先]],商品マスタ!$E$3:E545,商品マスタ[[#This Row],[商品名]]), "00")</f>
        <v>PRD_SNJ_KNT_0001_01</v>
      </c>
      <c r="E545" s="87" t="s">
        <v>1415</v>
      </c>
      <c r="F545" s="87">
        <f>IF(COUNTIFS($C$3:C545,商品マスタ[[#This Row],[仕入先]],$E$3:E545,商品マスタ[[#This Row],[商品名]]) = 1, 1,0)</f>
        <v>1</v>
      </c>
      <c r="G545" s="133" t="str">
        <f>TEXT(SUMIF($C$3:C545,商品マスタ[[#This Row],[仕入先]],$F$3:F545), "0000")</f>
        <v>0001</v>
      </c>
      <c r="H545" s="87" t="s">
        <v>1478</v>
      </c>
      <c r="I545" s="87" t="s">
        <v>1462</v>
      </c>
      <c r="J545" s="87" t="s">
        <v>416</v>
      </c>
      <c r="K545" s="87"/>
      <c r="L545" s="134">
        <v>600</v>
      </c>
      <c r="M545" s="157"/>
      <c r="N545" s="134"/>
      <c r="O545" s="135" t="str">
        <f>IF(COUNT(商品マスタ[[#This Row],[参考上代
（税込)]]) &gt; 0, (商品マスタ[[#This Row],[参考上代
（税込)]]-商品マスタ[[#This Row],[国内定価
（15％）]])/(商品マスタ[[#This Row],[参考上代
（税込)]]/1.08), "")</f>
        <v/>
      </c>
      <c r="P545" s="136">
        <v>0.1</v>
      </c>
      <c r="Q545" s="134">
        <f>商品マスタ[[#This Row],[仕入
単価]]*商品マスタ[[#This Row],[標準国内送料率]]</f>
        <v>60</v>
      </c>
      <c r="R545" s="134"/>
      <c r="S545" s="134">
        <f>IF(ISBLANK(商品マスタ[[#This Row],[実績
国内送料]]),商品マスタ[[#This Row],[標準国内送料]],)</f>
        <v>60</v>
      </c>
      <c r="T545" s="134">
        <f>商品マスタ[[#This Row],[仕入
単価]]+商品マスタ[[#This Row],[国内送料]]</f>
        <v>660</v>
      </c>
      <c r="U545" s="134">
        <f>ROUNDUP(商品マスタ[[#This Row],[仕入単価+国内送料]]/0.8,-1)</f>
        <v>830</v>
      </c>
      <c r="V545" s="134">
        <f>商品マスタ[[#This Row],[海外定価
（20％）]]-商品マスタ[[#This Row],[仕入単価+国内送料]]</f>
        <v>170</v>
      </c>
      <c r="W545" s="87">
        <f>ROUNDUP(商品マスタ[[#This Row],[仕入単価+国内送料]]/0.85,-1)</f>
        <v>780</v>
      </c>
      <c r="X545" s="134">
        <f>商品マスタ[[#This Row],[国内定価
（15％）]]-商品マスタ[[#This Row],[仕入単価+国内送料]]</f>
        <v>120</v>
      </c>
      <c r="Y545" s="139">
        <v>0.1</v>
      </c>
      <c r="Z545" s="87"/>
      <c r="AA545" s="87"/>
      <c r="AB545" s="87"/>
      <c r="AC545" s="140"/>
      <c r="AD545" s="87"/>
      <c r="AE545" s="87"/>
      <c r="AF545" s="87"/>
      <c r="AG545" s="141"/>
    </row>
    <row r="546" spans="1:33" ht="18">
      <c r="A546" s="166" t="s">
        <v>1520</v>
      </c>
      <c r="B546" s="167" t="s">
        <v>1222</v>
      </c>
      <c r="C546" s="167" t="s">
        <v>1272</v>
      </c>
      <c r="D546" s="143" t="str">
        <f>"PRD_SNJ_"&amp;
_xlfn.XLOOKUP(商品マスタ[[#This Row],[仕入先]],テーブル1[仕入先名],テーブル1[仕入先コード],"XXX",0,1)&amp;
"_"&amp;
商品マスタ[[#This Row],[シリアル]]&amp;
"_"&amp;
TEXT(COUNTIFS(商品マスタ!$C$3:C546,商品マスタ[[#This Row],[仕入先]],商品マスタ!$E$3:E546,商品マスタ[[#This Row],[商品名]]), "00")</f>
        <v>PRD_SNJ_KNT_0002_01</v>
      </c>
      <c r="E546" s="87" t="s">
        <v>1416</v>
      </c>
      <c r="F546" s="87">
        <f>IF(COUNTIFS($C$3:C546,商品マスタ[[#This Row],[仕入先]],$E$3:E546,商品マスタ[[#This Row],[商品名]]) = 1, 1,0)</f>
        <v>1</v>
      </c>
      <c r="G546" s="133" t="str">
        <f>TEXT(SUMIF($C$3:C546,商品マスタ[[#This Row],[仕入先]],$F$3:F546), "0000")</f>
        <v>0002</v>
      </c>
      <c r="H546" s="87" t="s">
        <v>1478</v>
      </c>
      <c r="I546" s="87" t="s">
        <v>1462</v>
      </c>
      <c r="J546" s="87" t="s">
        <v>416</v>
      </c>
      <c r="K546" s="87"/>
      <c r="L546" s="134">
        <v>600</v>
      </c>
      <c r="M546" s="157"/>
      <c r="N546" s="134"/>
      <c r="O546" s="135" t="str">
        <f>IF(COUNT(商品マスタ[[#This Row],[参考上代
（税込)]]) &gt; 0, (商品マスタ[[#This Row],[参考上代
（税込)]]-商品マスタ[[#This Row],[国内定価
（15％）]])/(商品マスタ[[#This Row],[参考上代
（税込)]]/1.08), "")</f>
        <v/>
      </c>
      <c r="P546" s="136">
        <v>0.1</v>
      </c>
      <c r="Q546" s="134">
        <f>商品マスタ[[#This Row],[仕入
単価]]*商品マスタ[[#This Row],[標準国内送料率]]</f>
        <v>60</v>
      </c>
      <c r="R546" s="134"/>
      <c r="S546" s="134">
        <f>IF(ISBLANK(商品マスタ[[#This Row],[実績
国内送料]]),商品マスタ[[#This Row],[標準国内送料]],)</f>
        <v>60</v>
      </c>
      <c r="T546" s="134">
        <f>商品マスタ[[#This Row],[仕入
単価]]+商品マスタ[[#This Row],[国内送料]]</f>
        <v>660</v>
      </c>
      <c r="U546" s="134">
        <f>ROUNDUP(商品マスタ[[#This Row],[仕入単価+国内送料]]/0.8,-1)</f>
        <v>830</v>
      </c>
      <c r="V546" s="134">
        <f>商品マスタ[[#This Row],[海外定価
（20％）]]-商品マスタ[[#This Row],[仕入単価+国内送料]]</f>
        <v>170</v>
      </c>
      <c r="W546" s="87">
        <f>ROUNDUP(商品マスタ[[#This Row],[仕入単価+国内送料]]/0.85,-1)</f>
        <v>780</v>
      </c>
      <c r="X546" s="134">
        <f>商品マスタ[[#This Row],[国内定価
（15％）]]-商品マスタ[[#This Row],[仕入単価+国内送料]]</f>
        <v>120</v>
      </c>
      <c r="Y546" s="139">
        <v>0.1</v>
      </c>
      <c r="Z546" s="87"/>
      <c r="AA546" s="87"/>
      <c r="AB546" s="87"/>
      <c r="AC546" s="140"/>
      <c r="AD546" s="87"/>
      <c r="AE546" s="87"/>
      <c r="AF546" s="87"/>
      <c r="AG546" s="141"/>
    </row>
    <row r="547" spans="1:33" ht="18">
      <c r="A547" s="166" t="s">
        <v>1524</v>
      </c>
      <c r="B547" s="167" t="s">
        <v>1229</v>
      </c>
      <c r="C547" s="167" t="s">
        <v>1526</v>
      </c>
      <c r="D547" s="143" t="str">
        <f>"PRD_SNJ_"&amp;
_xlfn.XLOOKUP(商品マスタ[[#This Row],[仕入先]],テーブル1[仕入先名],テーブル1[仕入先コード],"XXX",0,1)&amp;
"_"&amp;
商品マスタ[[#This Row],[シリアル]]&amp;
"_"&amp;
TEXT(COUNTIFS(商品マスタ!$C$3:C547,商品マスタ[[#This Row],[仕入先]],商品マスタ!$E$3:E547,商品マスタ[[#This Row],[商品名]]), "00")</f>
        <v>PRD_SNJ_SMK_0001_01</v>
      </c>
      <c r="E547" s="87" t="s">
        <v>1540</v>
      </c>
      <c r="F547" s="87">
        <f>IF(COUNTIFS($C$3:C547,商品マスタ[[#This Row],[仕入先]],$E$3:E547,商品マスタ[[#This Row],[商品名]]) = 1, 1,0)</f>
        <v>1</v>
      </c>
      <c r="G547" s="133" t="str">
        <f>TEXT(SUMIF($C$3:C547,商品マスタ[[#This Row],[仕入先]],$F$3:F547), "0000")</f>
        <v>0001</v>
      </c>
      <c r="H547" s="87" t="s">
        <v>901</v>
      </c>
      <c r="I547" s="87" t="s">
        <v>1620</v>
      </c>
      <c r="J547" s="87" t="s">
        <v>1621</v>
      </c>
      <c r="K547" s="87" t="s">
        <v>1656</v>
      </c>
      <c r="L547" s="134">
        <v>8400</v>
      </c>
      <c r="M547" s="157">
        <v>46052</v>
      </c>
      <c r="N547" s="134"/>
      <c r="O547" s="135" t="str">
        <f>IF(COUNT(商品マスタ[[#This Row],[参考上代
（税込)]]) &gt; 0, (商品マスタ[[#This Row],[参考上代
（税込)]]-商品マスタ[[#This Row],[国内定価
（15％）]])/(商品マスタ[[#This Row],[参考上代
（税込)]]/1.08), "")</f>
        <v/>
      </c>
      <c r="P547" s="136">
        <v>0.1</v>
      </c>
      <c r="Q547" s="134">
        <f>商品マスタ[[#This Row],[仕入
単価]]*商品マスタ[[#This Row],[標準国内送料率]]</f>
        <v>840</v>
      </c>
      <c r="R547" s="134"/>
      <c r="S547" s="134">
        <f>IF(ISBLANK(商品マスタ[[#This Row],[実績
国内送料]]),商品マスタ[[#This Row],[標準国内送料]],)</f>
        <v>840</v>
      </c>
      <c r="T547" s="134">
        <f>商品マスタ[[#This Row],[仕入
単価]]+商品マスタ[[#This Row],[国内送料]]</f>
        <v>9240</v>
      </c>
      <c r="U547" s="134">
        <f>ROUNDUP(商品マスタ[[#This Row],[仕入単価+国内送料]]/0.8,-1)</f>
        <v>11550</v>
      </c>
      <c r="V547" s="134">
        <f>商品マスタ[[#This Row],[海外定価
（20％）]]-商品マスタ[[#This Row],[仕入単価+国内送料]]</f>
        <v>2310</v>
      </c>
      <c r="W547" s="87">
        <f>ROUNDUP(商品マスタ[[#This Row],[仕入単価+国内送料]]/0.85,-1)</f>
        <v>10880</v>
      </c>
      <c r="X547" s="134">
        <f>商品マスタ[[#This Row],[国内定価
（15％）]]-商品マスタ[[#This Row],[仕入単価+国内送料]]</f>
        <v>1640</v>
      </c>
      <c r="Y547" s="139">
        <v>0.08</v>
      </c>
      <c r="Z547" s="87" t="s">
        <v>1658</v>
      </c>
      <c r="AA547" s="87" t="s">
        <v>938</v>
      </c>
      <c r="AB547" s="87" t="s">
        <v>1659</v>
      </c>
      <c r="AC547" s="140">
        <v>4974037709280</v>
      </c>
      <c r="AD547" s="87" t="s">
        <v>1660</v>
      </c>
      <c r="AE547" s="87"/>
      <c r="AF547" s="87"/>
      <c r="AG547" s="141"/>
    </row>
    <row r="548" spans="1:33" ht="18">
      <c r="A548" s="166" t="s">
        <v>1521</v>
      </c>
      <c r="B548" s="167" t="s">
        <v>1517</v>
      </c>
      <c r="C548" s="167" t="s">
        <v>1526</v>
      </c>
      <c r="D548" s="143" t="str">
        <f>"PRD_SNJ_"&amp;
_xlfn.XLOOKUP(商品マスタ[[#This Row],[仕入先]],テーブル1[仕入先名],テーブル1[仕入先コード],"XXX",0,1)&amp;
"_"&amp;
商品マスタ[[#This Row],[シリアル]]&amp;
"_"&amp;
TEXT(COUNTIFS(商品マスタ!$C$3:C548,商品マスタ[[#This Row],[仕入先]],商品マスタ!$E$3:E548,商品マスタ[[#This Row],[商品名]]), "00")</f>
        <v>PRD_SNJ_SMK_0002_01</v>
      </c>
      <c r="E548" s="87" t="s">
        <v>1541</v>
      </c>
      <c r="F548" s="87">
        <f>IF(COUNTIFS($C$3:C548,商品マスタ[[#This Row],[仕入先]],$E$3:E548,商品マスタ[[#This Row],[商品名]]) = 1, 1,0)</f>
        <v>1</v>
      </c>
      <c r="G548" s="133" t="str">
        <f>TEXT(SUMIF($C$3:C548,商品マスタ[[#This Row],[仕入先]],$F$3:F548), "0000")</f>
        <v>0002</v>
      </c>
      <c r="H548" s="87" t="s">
        <v>901</v>
      </c>
      <c r="I548" s="87" t="s">
        <v>1620</v>
      </c>
      <c r="J548" s="87" t="s">
        <v>1621</v>
      </c>
      <c r="K548" s="87" t="s">
        <v>1656</v>
      </c>
      <c r="L548" s="134">
        <v>8400</v>
      </c>
      <c r="M548" s="157">
        <v>46052</v>
      </c>
      <c r="N548" s="134"/>
      <c r="O548" s="135" t="str">
        <f>IF(COUNT(商品マスタ[[#This Row],[参考上代
（税込)]]) &gt; 0, (商品マスタ[[#This Row],[参考上代
（税込)]]-商品マスタ[[#This Row],[国内定価
（15％）]])/(商品マスタ[[#This Row],[参考上代
（税込)]]/1.08), "")</f>
        <v/>
      </c>
      <c r="P548" s="136">
        <v>0.1</v>
      </c>
      <c r="Q548" s="134">
        <f>商品マスタ[[#This Row],[仕入
単価]]*商品マスタ[[#This Row],[標準国内送料率]]</f>
        <v>840</v>
      </c>
      <c r="R548" s="134"/>
      <c r="S548" s="134">
        <f>IF(ISBLANK(商品マスタ[[#This Row],[実績
国内送料]]),商品マスタ[[#This Row],[標準国内送料]],)</f>
        <v>840</v>
      </c>
      <c r="T548" s="134">
        <f>商品マスタ[[#This Row],[仕入
単価]]+商品マスタ[[#This Row],[国内送料]]</f>
        <v>9240</v>
      </c>
      <c r="U548" s="134">
        <f>ROUNDUP(商品マスタ[[#This Row],[仕入単価+国内送料]]/0.8,-1)</f>
        <v>11550</v>
      </c>
      <c r="V548" s="134">
        <f>商品マスタ[[#This Row],[海外定価
（20％）]]-商品マスタ[[#This Row],[仕入単価+国内送料]]</f>
        <v>2310</v>
      </c>
      <c r="W548" s="87">
        <f>ROUNDUP(商品マスタ[[#This Row],[仕入単価+国内送料]]/0.85,-1)</f>
        <v>10880</v>
      </c>
      <c r="X548" s="134">
        <f>商品マスタ[[#This Row],[国内定価
（15％）]]-商品マスタ[[#This Row],[仕入単価+国内送料]]</f>
        <v>1640</v>
      </c>
      <c r="Y548" s="139">
        <v>0.08</v>
      </c>
      <c r="Z548" s="87" t="s">
        <v>1658</v>
      </c>
      <c r="AA548" s="87" t="s">
        <v>938</v>
      </c>
      <c r="AB548" s="87" t="s">
        <v>1659</v>
      </c>
      <c r="AC548" s="140">
        <v>4974037505325</v>
      </c>
      <c r="AD548" s="87" t="s">
        <v>1661</v>
      </c>
      <c r="AE548" s="87"/>
      <c r="AF548" s="87"/>
      <c r="AG548" s="141"/>
    </row>
    <row r="549" spans="1:33" ht="18">
      <c r="A549" s="166" t="s">
        <v>1524</v>
      </c>
      <c r="B549" s="167" t="s">
        <v>1229</v>
      </c>
      <c r="C549" s="167" t="s">
        <v>1526</v>
      </c>
      <c r="D549" s="143" t="str">
        <f>"PRD_SNJ_"&amp;
_xlfn.XLOOKUP(商品マスタ[[#This Row],[仕入先]],テーブル1[仕入先名],テーブル1[仕入先コード],"XXX",0,1)&amp;
"_"&amp;
商品マスタ[[#This Row],[シリアル]]&amp;
"_"&amp;
TEXT(COUNTIFS(商品マスタ!$C$3:C549,商品マスタ[[#This Row],[仕入先]],商品マスタ!$E$3:E549,商品マスタ[[#This Row],[商品名]]), "00")</f>
        <v>PRD_SNJ_SMK_0003_01</v>
      </c>
      <c r="E549" s="87" t="s">
        <v>1542</v>
      </c>
      <c r="F549" s="87">
        <f>IF(COUNTIFS($C$3:C549,商品マスタ[[#This Row],[仕入先]],$E$3:E549,商品マスタ[[#This Row],[商品名]]) = 1, 1,0)</f>
        <v>1</v>
      </c>
      <c r="G549" s="133" t="str">
        <f>TEXT(SUMIF($C$3:C549,商品マスタ[[#This Row],[仕入先]],$F$3:F549), "0000")</f>
        <v>0003</v>
      </c>
      <c r="H549" s="87" t="s">
        <v>901</v>
      </c>
      <c r="I549" s="87" t="s">
        <v>1620</v>
      </c>
      <c r="J549" s="87" t="s">
        <v>1621</v>
      </c>
      <c r="K549" s="87" t="s">
        <v>1656</v>
      </c>
      <c r="L549" s="134">
        <v>8400</v>
      </c>
      <c r="M549" s="157">
        <v>46052</v>
      </c>
      <c r="N549" s="134"/>
      <c r="O549" s="135" t="str">
        <f>IF(COUNT(商品マスタ[[#This Row],[参考上代
（税込)]]) &gt; 0, (商品マスタ[[#This Row],[参考上代
（税込)]]-商品マスタ[[#This Row],[国内定価
（15％）]])/(商品マスタ[[#This Row],[参考上代
（税込)]]/1.08), "")</f>
        <v/>
      </c>
      <c r="P549" s="136">
        <v>0.1</v>
      </c>
      <c r="Q549" s="134">
        <f>商品マスタ[[#This Row],[仕入
単価]]*商品マスタ[[#This Row],[標準国内送料率]]</f>
        <v>840</v>
      </c>
      <c r="R549" s="134"/>
      <c r="S549" s="134">
        <f>IF(ISBLANK(商品マスタ[[#This Row],[実績
国内送料]]),商品マスタ[[#This Row],[標準国内送料]],)</f>
        <v>840</v>
      </c>
      <c r="T549" s="134">
        <f>商品マスタ[[#This Row],[仕入
単価]]+商品マスタ[[#This Row],[国内送料]]</f>
        <v>9240</v>
      </c>
      <c r="U549" s="134">
        <f>ROUNDUP(商品マスタ[[#This Row],[仕入単価+国内送料]]/0.8,-1)</f>
        <v>11550</v>
      </c>
      <c r="V549" s="134">
        <f>商品マスタ[[#This Row],[海外定価
（20％）]]-商品マスタ[[#This Row],[仕入単価+国内送料]]</f>
        <v>2310</v>
      </c>
      <c r="W549" s="87">
        <f>ROUNDUP(商品マスタ[[#This Row],[仕入単価+国内送料]]/0.85,-1)</f>
        <v>10880</v>
      </c>
      <c r="X549" s="134">
        <f>商品マスタ[[#This Row],[国内定価
（15％）]]-商品マスタ[[#This Row],[仕入単価+国内送料]]</f>
        <v>1640</v>
      </c>
      <c r="Y549" s="139">
        <v>0.08</v>
      </c>
      <c r="Z549" s="87" t="s">
        <v>1658</v>
      </c>
      <c r="AA549" s="87" t="s">
        <v>938</v>
      </c>
      <c r="AB549" s="87" t="s">
        <v>1659</v>
      </c>
      <c r="AC549" s="140">
        <v>4974037806675</v>
      </c>
      <c r="AD549" s="87" t="s">
        <v>1662</v>
      </c>
      <c r="AE549" s="87"/>
      <c r="AF549" s="87"/>
      <c r="AG549" s="141"/>
    </row>
    <row r="550" spans="1:33" ht="18">
      <c r="A550" s="166" t="s">
        <v>1524</v>
      </c>
      <c r="B550" s="167" t="s">
        <v>1229</v>
      </c>
      <c r="C550" s="167" t="s">
        <v>1527</v>
      </c>
      <c r="D550" s="143" t="str">
        <f>"PRD_SNJ_"&amp;
_xlfn.XLOOKUP(商品マスタ[[#This Row],[仕入先]],テーブル1[仕入先名],テーブル1[仕入先コード],"XXX",0,1)&amp;
"_"&amp;
商品マスタ[[#This Row],[シリアル]]&amp;
"_"&amp;
TEXT(COUNTIFS(商品マスタ!$C$3:C550,商品マスタ[[#This Row],[仕入先]],商品マスタ!$E$3:E550,商品マスタ[[#This Row],[商品名]]), "00")</f>
        <v>PRD_SNJ_OUJ_0001_01</v>
      </c>
      <c r="E550" s="87" t="s">
        <v>1543</v>
      </c>
      <c r="F550" s="87">
        <f>IF(COUNTIFS($C$3:C550,商品マスタ[[#This Row],[仕入先]],$E$3:E550,商品マスタ[[#This Row],[商品名]]) = 1, 1,0)</f>
        <v>1</v>
      </c>
      <c r="G550" s="133" t="str">
        <f>TEXT(SUMIF($C$3:C550,商品マスタ[[#This Row],[仕入先]],$F$3:F550), "0000")</f>
        <v>0001</v>
      </c>
      <c r="H550" s="87" t="s">
        <v>1735</v>
      </c>
      <c r="I550" s="87" t="s">
        <v>1120</v>
      </c>
      <c r="J550" s="87" t="s">
        <v>1622</v>
      </c>
      <c r="K550" s="87" t="s">
        <v>1657</v>
      </c>
      <c r="L550" s="134">
        <v>40000</v>
      </c>
      <c r="M550" s="157">
        <v>46052</v>
      </c>
      <c r="N550" s="134"/>
      <c r="O550" s="135" t="str">
        <f>IF(COUNT(商品マスタ[[#This Row],[参考上代
（税込)]]) &gt; 0, (商品マスタ[[#This Row],[参考上代
（税込)]]-商品マスタ[[#This Row],[国内定価
（15％）]])/(商品マスタ[[#This Row],[参考上代
（税込)]]/1.08), "")</f>
        <v/>
      </c>
      <c r="P550" s="136">
        <v>0.1</v>
      </c>
      <c r="Q550" s="134">
        <f>商品マスタ[[#This Row],[仕入
単価]]*商品マスタ[[#This Row],[標準国内送料率]]</f>
        <v>4000</v>
      </c>
      <c r="R550" s="134"/>
      <c r="S550" s="134">
        <f>IF(ISBLANK(商品マスタ[[#This Row],[実績
国内送料]]),商品マスタ[[#This Row],[標準国内送料]],)</f>
        <v>4000</v>
      </c>
      <c r="T550" s="134">
        <f>商品マスタ[[#This Row],[仕入
単価]]+商品マスタ[[#This Row],[国内送料]]</f>
        <v>44000</v>
      </c>
      <c r="U550" s="134">
        <f>ROUNDUP(商品マスタ[[#This Row],[仕入単価+国内送料]]/0.8,-1)</f>
        <v>55000</v>
      </c>
      <c r="V550" s="134">
        <f>商品マスタ[[#This Row],[海外定価
（20％）]]-商品マスタ[[#This Row],[仕入単価+国内送料]]</f>
        <v>11000</v>
      </c>
      <c r="W550" s="87">
        <f>ROUNDUP(商品マスタ[[#This Row],[仕入単価+国内送料]]/0.85,-1)</f>
        <v>51770</v>
      </c>
      <c r="X550" s="134">
        <f>商品マスタ[[#This Row],[国内定価
（15％）]]-商品マスタ[[#This Row],[仕入単価+国内送料]]</f>
        <v>7770</v>
      </c>
      <c r="Y550" s="139">
        <v>0.08</v>
      </c>
      <c r="Z550" s="87" t="s">
        <v>1663</v>
      </c>
      <c r="AA550" s="87" t="s">
        <v>938</v>
      </c>
      <c r="AB550" s="87" t="s">
        <v>1664</v>
      </c>
      <c r="AC550" s="140"/>
      <c r="AD550" s="87" t="s">
        <v>1665</v>
      </c>
      <c r="AE550" s="87"/>
      <c r="AF550" s="87"/>
      <c r="AG550" s="141"/>
    </row>
    <row r="551" spans="1:33" ht="18">
      <c r="A551" s="166" t="s">
        <v>1524</v>
      </c>
      <c r="B551" s="167" t="s">
        <v>1229</v>
      </c>
      <c r="C551" s="167" t="s">
        <v>1527</v>
      </c>
      <c r="D551" s="143" t="str">
        <f>"PRD_SNJ_"&amp;
_xlfn.XLOOKUP(商品マスタ[[#This Row],[仕入先]],テーブル1[仕入先名],テーブル1[仕入先コード],"XXX",0,1)&amp;
"_"&amp;
商品マスタ[[#This Row],[シリアル]]&amp;
"_"&amp;
TEXT(COUNTIFS(商品マスタ!$C$3:C551,商品マスタ[[#This Row],[仕入先]],商品マスタ!$E$3:E551,商品マスタ[[#This Row],[商品名]]), "00")</f>
        <v>PRD_SNJ_OUJ_0002_01</v>
      </c>
      <c r="E551" s="87" t="s">
        <v>1544</v>
      </c>
      <c r="F551" s="87">
        <f>IF(COUNTIFS($C$3:C551,商品マスタ[[#This Row],[仕入先]],$E$3:E551,商品マスタ[[#This Row],[商品名]]) = 1, 1,0)</f>
        <v>1</v>
      </c>
      <c r="G551" s="133" t="str">
        <f>TEXT(SUMIF($C$3:C551,商品マスタ[[#This Row],[仕入先]],$F$3:F551), "0000")</f>
        <v>0002</v>
      </c>
      <c r="H551" s="87" t="s">
        <v>1735</v>
      </c>
      <c r="I551" s="87" t="s">
        <v>1120</v>
      </c>
      <c r="J551" s="87" t="s">
        <v>1622</v>
      </c>
      <c r="K551" s="87" t="s">
        <v>1657</v>
      </c>
      <c r="L551" s="134">
        <v>40000</v>
      </c>
      <c r="M551" s="157">
        <v>46052</v>
      </c>
      <c r="N551" s="134"/>
      <c r="O551" s="135" t="str">
        <f>IF(COUNT(商品マスタ[[#This Row],[参考上代
（税込)]]) &gt; 0, (商品マスタ[[#This Row],[参考上代
（税込)]]-商品マスタ[[#This Row],[国内定価
（15％）]])/(商品マスタ[[#This Row],[参考上代
（税込)]]/1.08), "")</f>
        <v/>
      </c>
      <c r="P551" s="136">
        <v>0.1</v>
      </c>
      <c r="Q551" s="134">
        <f>商品マスタ[[#This Row],[仕入
単価]]*商品マスタ[[#This Row],[標準国内送料率]]</f>
        <v>4000</v>
      </c>
      <c r="R551" s="134"/>
      <c r="S551" s="134">
        <f>IF(ISBLANK(商品マスタ[[#This Row],[実績
国内送料]]),商品マスタ[[#This Row],[標準国内送料]],)</f>
        <v>4000</v>
      </c>
      <c r="T551" s="134">
        <f>商品マスタ[[#This Row],[仕入
単価]]+商品マスタ[[#This Row],[国内送料]]</f>
        <v>44000</v>
      </c>
      <c r="U551" s="134">
        <f>ROUNDUP(商品マスタ[[#This Row],[仕入単価+国内送料]]/0.8,-1)</f>
        <v>55000</v>
      </c>
      <c r="V551" s="134">
        <f>商品マスタ[[#This Row],[海外定価
（20％）]]-商品マスタ[[#This Row],[仕入単価+国内送料]]</f>
        <v>11000</v>
      </c>
      <c r="W551" s="87">
        <f>ROUNDUP(商品マスタ[[#This Row],[仕入単価+国内送料]]/0.85,-1)</f>
        <v>51770</v>
      </c>
      <c r="X551" s="134">
        <f>商品マスタ[[#This Row],[国内定価
（15％）]]-商品マスタ[[#This Row],[仕入単価+国内送料]]</f>
        <v>7770</v>
      </c>
      <c r="Y551" s="139">
        <v>0.08</v>
      </c>
      <c r="Z551" s="87" t="s">
        <v>1663</v>
      </c>
      <c r="AA551" s="87" t="s">
        <v>938</v>
      </c>
      <c r="AB551" s="87" t="s">
        <v>1664</v>
      </c>
      <c r="AC551" s="140"/>
      <c r="AD551" s="87"/>
      <c r="AE551" s="87"/>
      <c r="AF551" s="87"/>
      <c r="AG551" s="141"/>
    </row>
    <row r="552" spans="1:33" ht="18">
      <c r="A552" s="166" t="s">
        <v>1524</v>
      </c>
      <c r="B552" s="167" t="s">
        <v>1229</v>
      </c>
      <c r="C552" s="167" t="s">
        <v>1527</v>
      </c>
      <c r="D552" s="143" t="str">
        <f>"PRD_SNJ_"&amp;
_xlfn.XLOOKUP(商品マスタ[[#This Row],[仕入先]],テーブル1[仕入先名],テーブル1[仕入先コード],"XXX",0,1)&amp;
"_"&amp;
商品マスタ[[#This Row],[シリアル]]&amp;
"_"&amp;
TEXT(COUNTIFS(商品マスタ!$C$3:C552,商品マスタ[[#This Row],[仕入先]],商品マスタ!$E$3:E552,商品マスタ[[#This Row],[商品名]]), "00")</f>
        <v>PRD_SNJ_OUJ_0003_01</v>
      </c>
      <c r="E552" s="87" t="s">
        <v>1545</v>
      </c>
      <c r="F552" s="87">
        <f>IF(COUNTIFS($C$3:C552,商品マスタ[[#This Row],[仕入先]],$E$3:E552,商品マスタ[[#This Row],[商品名]]) = 1, 1,0)</f>
        <v>1</v>
      </c>
      <c r="G552" s="133" t="str">
        <f>TEXT(SUMIF($C$3:C552,商品マスタ[[#This Row],[仕入先]],$F$3:F552), "0000")</f>
        <v>0003</v>
      </c>
      <c r="H552" s="87" t="s">
        <v>1735</v>
      </c>
      <c r="I552" s="87" t="s">
        <v>1120</v>
      </c>
      <c r="J552" s="87" t="s">
        <v>1622</v>
      </c>
      <c r="K552" s="87" t="s">
        <v>1657</v>
      </c>
      <c r="L552" s="134">
        <v>49000</v>
      </c>
      <c r="M552" s="157">
        <v>46052</v>
      </c>
      <c r="N552" s="134"/>
      <c r="O552" s="135" t="str">
        <f>IF(COUNT(商品マスタ[[#This Row],[参考上代
（税込)]]) &gt; 0, (商品マスタ[[#This Row],[参考上代
（税込)]]-商品マスタ[[#This Row],[国内定価
（15％）]])/(商品マスタ[[#This Row],[参考上代
（税込)]]/1.08), "")</f>
        <v/>
      </c>
      <c r="P552" s="136">
        <v>0.1</v>
      </c>
      <c r="Q552" s="134">
        <f>商品マスタ[[#This Row],[仕入
単価]]*商品マスタ[[#This Row],[標準国内送料率]]</f>
        <v>4900</v>
      </c>
      <c r="R552" s="134"/>
      <c r="S552" s="134">
        <f>IF(ISBLANK(商品マスタ[[#This Row],[実績
国内送料]]),商品マスタ[[#This Row],[標準国内送料]],)</f>
        <v>4900</v>
      </c>
      <c r="T552" s="134">
        <f>商品マスタ[[#This Row],[仕入
単価]]+商品マスタ[[#This Row],[国内送料]]</f>
        <v>53900</v>
      </c>
      <c r="U552" s="134">
        <f>ROUNDUP(商品マスタ[[#This Row],[仕入単価+国内送料]]/0.8,-1)</f>
        <v>67380</v>
      </c>
      <c r="V552" s="134">
        <f>商品マスタ[[#This Row],[海外定価
（20％）]]-商品マスタ[[#This Row],[仕入単価+国内送料]]</f>
        <v>13480</v>
      </c>
      <c r="W552" s="87">
        <f>ROUNDUP(商品マスタ[[#This Row],[仕入単価+国内送料]]/0.85,-1)</f>
        <v>63420</v>
      </c>
      <c r="X552" s="134">
        <f>商品マスタ[[#This Row],[国内定価
（15％）]]-商品マスタ[[#This Row],[仕入単価+国内送料]]</f>
        <v>9520</v>
      </c>
      <c r="Y552" s="139">
        <v>0.08</v>
      </c>
      <c r="Z552" s="87" t="s">
        <v>1663</v>
      </c>
      <c r="AA552" s="87" t="s">
        <v>938</v>
      </c>
      <c r="AB552" s="87" t="s">
        <v>1664</v>
      </c>
      <c r="AC552" s="140"/>
      <c r="AD552" s="87"/>
      <c r="AE552" s="87"/>
      <c r="AF552" s="87"/>
      <c r="AG552" s="141"/>
    </row>
    <row r="553" spans="1:33" ht="18">
      <c r="A553" s="166" t="s">
        <v>1524</v>
      </c>
      <c r="B553" s="167" t="s">
        <v>1229</v>
      </c>
      <c r="C553" s="167" t="s">
        <v>1527</v>
      </c>
      <c r="D553" s="143" t="str">
        <f>"PRD_SNJ_"&amp;
_xlfn.XLOOKUP(商品マスタ[[#This Row],[仕入先]],テーブル1[仕入先名],テーブル1[仕入先コード],"XXX",0,1)&amp;
"_"&amp;
商品マスタ[[#This Row],[シリアル]]&amp;
"_"&amp;
TEXT(COUNTIFS(商品マスタ!$C$3:C553,商品マスタ[[#This Row],[仕入先]],商品マスタ!$E$3:E553,商品マスタ[[#This Row],[商品名]]), "00")</f>
        <v>PRD_SNJ_OUJ_0004_01</v>
      </c>
      <c r="E553" s="87" t="s">
        <v>1546</v>
      </c>
      <c r="F553" s="87">
        <f>IF(COUNTIFS($C$3:C553,商品マスタ[[#This Row],[仕入先]],$E$3:E553,商品マスタ[[#This Row],[商品名]]) = 1, 1,0)</f>
        <v>1</v>
      </c>
      <c r="G553" s="133" t="str">
        <f>TEXT(SUMIF($C$3:C553,商品マスタ[[#This Row],[仕入先]],$F$3:F553), "0000")</f>
        <v>0004</v>
      </c>
      <c r="H553" s="87" t="s">
        <v>1735</v>
      </c>
      <c r="I553" s="87" t="s">
        <v>1120</v>
      </c>
      <c r="J553" s="87" t="s">
        <v>1622</v>
      </c>
      <c r="K553" s="87" t="s">
        <v>1657</v>
      </c>
      <c r="L553" s="134">
        <v>54000</v>
      </c>
      <c r="M553" s="157">
        <v>46052</v>
      </c>
      <c r="N553" s="134"/>
      <c r="O553" s="135" t="str">
        <f>IF(COUNT(商品マスタ[[#This Row],[参考上代
（税込)]]) &gt; 0, (商品マスタ[[#This Row],[参考上代
（税込)]]-商品マスタ[[#This Row],[国内定価
（15％）]])/(商品マスタ[[#This Row],[参考上代
（税込)]]/1.08), "")</f>
        <v/>
      </c>
      <c r="P553" s="136">
        <v>0.1</v>
      </c>
      <c r="Q553" s="134">
        <f>商品マスタ[[#This Row],[仕入
単価]]*商品マスタ[[#This Row],[標準国内送料率]]</f>
        <v>5400</v>
      </c>
      <c r="R553" s="134"/>
      <c r="S553" s="134">
        <f>IF(ISBLANK(商品マスタ[[#This Row],[実績
国内送料]]),商品マスタ[[#This Row],[標準国内送料]],)</f>
        <v>5400</v>
      </c>
      <c r="T553" s="134">
        <f>商品マスタ[[#This Row],[仕入
単価]]+商品マスタ[[#This Row],[国内送料]]</f>
        <v>59400</v>
      </c>
      <c r="U553" s="134">
        <f>ROUNDUP(商品マスタ[[#This Row],[仕入単価+国内送料]]/0.8,-1)</f>
        <v>74250</v>
      </c>
      <c r="V553" s="134">
        <f>商品マスタ[[#This Row],[海外定価
（20％）]]-商品マスタ[[#This Row],[仕入単価+国内送料]]</f>
        <v>14850</v>
      </c>
      <c r="W553" s="87">
        <f>ROUNDUP(商品マスタ[[#This Row],[仕入単価+国内送料]]/0.85,-1)</f>
        <v>69890</v>
      </c>
      <c r="X553" s="134">
        <f>商品マスタ[[#This Row],[国内定価
（15％）]]-商品マスタ[[#This Row],[仕入単価+国内送料]]</f>
        <v>10490</v>
      </c>
      <c r="Y553" s="139">
        <v>0.08</v>
      </c>
      <c r="Z553" s="87" t="s">
        <v>1666</v>
      </c>
      <c r="AA553" s="87" t="s">
        <v>938</v>
      </c>
      <c r="AB553" s="87" t="s">
        <v>1664</v>
      </c>
      <c r="AC553" s="140"/>
      <c r="AD553" s="87"/>
      <c r="AE553" s="87"/>
      <c r="AF553" s="87"/>
      <c r="AG553" s="141"/>
    </row>
    <row r="554" spans="1:33" ht="18">
      <c r="A554" s="166" t="s">
        <v>1524</v>
      </c>
      <c r="B554" s="167" t="s">
        <v>1229</v>
      </c>
      <c r="C554" s="167" t="s">
        <v>1527</v>
      </c>
      <c r="D554" s="143" t="str">
        <f>"PRD_SNJ_"&amp;
_xlfn.XLOOKUP(商品マスタ[[#This Row],[仕入先]],テーブル1[仕入先名],テーブル1[仕入先コード],"XXX",0,1)&amp;
"_"&amp;
商品マスタ[[#This Row],[シリアル]]&amp;
"_"&amp;
TEXT(COUNTIFS(商品マスタ!$C$3:C554,商品マスタ[[#This Row],[仕入先]],商品マスタ!$E$3:E554,商品マスタ[[#This Row],[商品名]]), "00")</f>
        <v>PRD_SNJ_OUJ_0005_01</v>
      </c>
      <c r="E554" s="87" t="s">
        <v>1547</v>
      </c>
      <c r="F554" s="87">
        <f>IF(COUNTIFS($C$3:C554,商品マスタ[[#This Row],[仕入先]],$E$3:E554,商品マスタ[[#This Row],[商品名]]) = 1, 1,0)</f>
        <v>1</v>
      </c>
      <c r="G554" s="133" t="str">
        <f>TEXT(SUMIF($C$3:C554,商品マスタ[[#This Row],[仕入先]],$F$3:F554), "0000")</f>
        <v>0005</v>
      </c>
      <c r="H554" s="87" t="s">
        <v>1735</v>
      </c>
      <c r="I554" s="87" t="s">
        <v>1120</v>
      </c>
      <c r="J554" s="87" t="s">
        <v>1622</v>
      </c>
      <c r="K554" s="87" t="s">
        <v>1657</v>
      </c>
      <c r="L554" s="134">
        <v>35000</v>
      </c>
      <c r="M554" s="157">
        <v>46052</v>
      </c>
      <c r="N554" s="134"/>
      <c r="O554" s="135" t="str">
        <f>IF(COUNT(商品マスタ[[#This Row],[参考上代
（税込)]]) &gt; 0, (商品マスタ[[#This Row],[参考上代
（税込)]]-商品マスタ[[#This Row],[国内定価
（15％）]])/(商品マスタ[[#This Row],[参考上代
（税込)]]/1.08), "")</f>
        <v/>
      </c>
      <c r="P554" s="136">
        <v>0.1</v>
      </c>
      <c r="Q554" s="134">
        <f>商品マスタ[[#This Row],[仕入
単価]]*商品マスタ[[#This Row],[標準国内送料率]]</f>
        <v>3500</v>
      </c>
      <c r="R554" s="134"/>
      <c r="S554" s="134">
        <f>IF(ISBLANK(商品マスタ[[#This Row],[実績
国内送料]]),商品マスタ[[#This Row],[標準国内送料]],)</f>
        <v>3500</v>
      </c>
      <c r="T554" s="134">
        <f>商品マスタ[[#This Row],[仕入
単価]]+商品マスタ[[#This Row],[国内送料]]</f>
        <v>38500</v>
      </c>
      <c r="U554" s="134">
        <f>ROUNDUP(商品マスタ[[#This Row],[仕入単価+国内送料]]/0.8,-1)</f>
        <v>48130</v>
      </c>
      <c r="V554" s="134">
        <f>商品マスタ[[#This Row],[海外定価
（20％）]]-商品マスタ[[#This Row],[仕入単価+国内送料]]</f>
        <v>9630</v>
      </c>
      <c r="W554" s="87">
        <f>ROUNDUP(商品マスタ[[#This Row],[仕入単価+国内送料]]/0.85,-1)</f>
        <v>45300</v>
      </c>
      <c r="X554" s="134">
        <f>商品マスタ[[#This Row],[国内定価
（15％）]]-商品マスタ[[#This Row],[仕入単価+国内送料]]</f>
        <v>6800</v>
      </c>
      <c r="Y554" s="139">
        <v>0.08</v>
      </c>
      <c r="Z554" s="87" t="s">
        <v>1663</v>
      </c>
      <c r="AA554" s="87" t="s">
        <v>938</v>
      </c>
      <c r="AB554" s="87" t="s">
        <v>1664</v>
      </c>
      <c r="AC554" s="140"/>
      <c r="AD554" s="87"/>
      <c r="AE554" s="87"/>
      <c r="AF554" s="87"/>
      <c r="AG554" s="141"/>
    </row>
    <row r="555" spans="1:33" ht="18">
      <c r="A555" s="166" t="s">
        <v>1524</v>
      </c>
      <c r="B555" s="167" t="s">
        <v>1229</v>
      </c>
      <c r="C555" s="167" t="s">
        <v>1527</v>
      </c>
      <c r="D555" s="143" t="str">
        <f>"PRD_SNJ_"&amp;
_xlfn.XLOOKUP(商品マスタ[[#This Row],[仕入先]],テーブル1[仕入先名],テーブル1[仕入先コード],"XXX",0,1)&amp;
"_"&amp;
商品マスタ[[#This Row],[シリアル]]&amp;
"_"&amp;
TEXT(COUNTIFS(商品マスタ!$C$3:C555,商品マスタ[[#This Row],[仕入先]],商品マスタ!$E$3:E555,商品マスタ[[#This Row],[商品名]]), "00")</f>
        <v>PRD_SNJ_OUJ_0006_01</v>
      </c>
      <c r="E555" s="87" t="s">
        <v>1548</v>
      </c>
      <c r="F555" s="87">
        <f>IF(COUNTIFS($C$3:C555,商品マスタ[[#This Row],[仕入先]],$E$3:E555,商品マスタ[[#This Row],[商品名]]) = 1, 1,0)</f>
        <v>1</v>
      </c>
      <c r="G555" s="133" t="str">
        <f>TEXT(SUMIF($C$3:C555,商品マスタ[[#This Row],[仕入先]],$F$3:F555), "0000")</f>
        <v>0006</v>
      </c>
      <c r="H555" s="87" t="s">
        <v>1735</v>
      </c>
      <c r="I555" s="87" t="s">
        <v>1445</v>
      </c>
      <c r="J555" s="87" t="s">
        <v>1622</v>
      </c>
      <c r="K555" s="87" t="s">
        <v>1657</v>
      </c>
      <c r="L555" s="134">
        <v>36000</v>
      </c>
      <c r="M555" s="157">
        <v>46052</v>
      </c>
      <c r="N555" s="134"/>
      <c r="O555" s="135" t="str">
        <f>IF(COUNT(商品マスタ[[#This Row],[参考上代
（税込)]]) &gt; 0, (商品マスタ[[#This Row],[参考上代
（税込)]]-商品マスタ[[#This Row],[国内定価
（15％）]])/(商品マスタ[[#This Row],[参考上代
（税込)]]/1.08), "")</f>
        <v/>
      </c>
      <c r="P555" s="136">
        <v>0.1</v>
      </c>
      <c r="Q555" s="134">
        <f>商品マスタ[[#This Row],[仕入
単価]]*商品マスタ[[#This Row],[標準国内送料率]]</f>
        <v>3600</v>
      </c>
      <c r="R555" s="134"/>
      <c r="S555" s="134">
        <f>IF(ISBLANK(商品マスタ[[#This Row],[実績
国内送料]]),商品マスタ[[#This Row],[標準国内送料]],)</f>
        <v>3600</v>
      </c>
      <c r="T555" s="134">
        <f>商品マスタ[[#This Row],[仕入
単価]]+商品マスタ[[#This Row],[国内送料]]</f>
        <v>39600</v>
      </c>
      <c r="U555" s="134">
        <f>ROUNDUP(商品マスタ[[#This Row],[仕入単価+国内送料]]/0.8,-1)</f>
        <v>49500</v>
      </c>
      <c r="V555" s="134">
        <f>商品マスタ[[#This Row],[海外定価
（20％）]]-商品マスタ[[#This Row],[仕入単価+国内送料]]</f>
        <v>9900</v>
      </c>
      <c r="W555" s="87">
        <f>ROUNDUP(商品マスタ[[#This Row],[仕入単価+国内送料]]/0.85,-1)</f>
        <v>46590</v>
      </c>
      <c r="X555" s="134">
        <f>商品マスタ[[#This Row],[国内定価
（15％）]]-商品マスタ[[#This Row],[仕入単価+国内送料]]</f>
        <v>6990</v>
      </c>
      <c r="Y555" s="139">
        <v>0.08</v>
      </c>
      <c r="Z555" s="87" t="s">
        <v>1666</v>
      </c>
      <c r="AA555" s="87" t="s">
        <v>938</v>
      </c>
      <c r="AB555" s="87" t="s">
        <v>1664</v>
      </c>
      <c r="AC555" s="140"/>
      <c r="AD555" s="87"/>
      <c r="AE555" s="87"/>
      <c r="AF555" s="87"/>
      <c r="AG555" s="141"/>
    </row>
    <row r="556" spans="1:33" ht="18">
      <c r="A556" s="166" t="s">
        <v>1524</v>
      </c>
      <c r="B556" s="167" t="s">
        <v>1229</v>
      </c>
      <c r="C556" s="167" t="s">
        <v>1527</v>
      </c>
      <c r="D556" s="143" t="str">
        <f>"PRD_SNJ_"&amp;
_xlfn.XLOOKUP(商品マスタ[[#This Row],[仕入先]],テーブル1[仕入先名],テーブル1[仕入先コード],"XXX",0,1)&amp;
"_"&amp;
商品マスタ[[#This Row],[シリアル]]&amp;
"_"&amp;
TEXT(COUNTIFS(商品マスタ!$C$3:C556,商品マスタ[[#This Row],[仕入先]],商品マスタ!$E$3:E556,商品マスタ[[#This Row],[商品名]]), "00")</f>
        <v>PRD_SNJ_OUJ_0007_01</v>
      </c>
      <c r="E556" s="87" t="s">
        <v>1549</v>
      </c>
      <c r="F556" s="87">
        <f>IF(COUNTIFS($C$3:C556,商品マスタ[[#This Row],[仕入先]],$E$3:E556,商品マスタ[[#This Row],[商品名]]) = 1, 1,0)</f>
        <v>1</v>
      </c>
      <c r="G556" s="133" t="str">
        <f>TEXT(SUMIF($C$3:C556,商品マスタ[[#This Row],[仕入先]],$F$3:F556), "0000")</f>
        <v>0007</v>
      </c>
      <c r="H556" s="87" t="s">
        <v>1735</v>
      </c>
      <c r="I556" s="87" t="s">
        <v>1445</v>
      </c>
      <c r="J556" s="87" t="s">
        <v>1622</v>
      </c>
      <c r="K556" s="87" t="s">
        <v>1657</v>
      </c>
      <c r="L556" s="134">
        <v>48600</v>
      </c>
      <c r="M556" s="157">
        <v>46052</v>
      </c>
      <c r="N556" s="134"/>
      <c r="O556" s="135" t="str">
        <f>IF(COUNT(商品マスタ[[#This Row],[参考上代
（税込)]]) &gt; 0, (商品マスタ[[#This Row],[参考上代
（税込)]]-商品マスタ[[#This Row],[国内定価
（15％）]])/(商品マスタ[[#This Row],[参考上代
（税込)]]/1.08), "")</f>
        <v/>
      </c>
      <c r="P556" s="136">
        <v>0.1</v>
      </c>
      <c r="Q556" s="134">
        <f>商品マスタ[[#This Row],[仕入
単価]]*商品マスタ[[#This Row],[標準国内送料率]]</f>
        <v>4860</v>
      </c>
      <c r="R556" s="134"/>
      <c r="S556" s="134">
        <f>IF(ISBLANK(商品マスタ[[#This Row],[実績
国内送料]]),商品マスタ[[#This Row],[標準国内送料]],)</f>
        <v>4860</v>
      </c>
      <c r="T556" s="134">
        <f>商品マスタ[[#This Row],[仕入
単価]]+商品マスタ[[#This Row],[国内送料]]</f>
        <v>53460</v>
      </c>
      <c r="U556" s="134">
        <f>ROUNDUP(商品マスタ[[#This Row],[仕入単価+国内送料]]/0.8,-1)</f>
        <v>66830</v>
      </c>
      <c r="V556" s="134">
        <f>商品マスタ[[#This Row],[海外定価
（20％）]]-商品マスタ[[#This Row],[仕入単価+国内送料]]</f>
        <v>13370</v>
      </c>
      <c r="W556" s="87">
        <f>ROUNDUP(商品マスタ[[#This Row],[仕入単価+国内送料]]/0.85,-1)</f>
        <v>62900</v>
      </c>
      <c r="X556" s="134">
        <f>商品マスタ[[#This Row],[国内定価
（15％）]]-商品マスタ[[#This Row],[仕入単価+国内送料]]</f>
        <v>9440</v>
      </c>
      <c r="Y556" s="139">
        <v>0.08</v>
      </c>
      <c r="Z556" s="87" t="s">
        <v>1666</v>
      </c>
      <c r="AA556" s="87" t="s">
        <v>938</v>
      </c>
      <c r="AB556" s="87" t="s">
        <v>1664</v>
      </c>
      <c r="AC556" s="140"/>
      <c r="AD556" s="87"/>
      <c r="AE556" s="87"/>
      <c r="AF556" s="87"/>
      <c r="AG556" s="141"/>
    </row>
    <row r="557" spans="1:33" ht="18">
      <c r="A557" s="166" t="s">
        <v>1524</v>
      </c>
      <c r="B557" s="167" t="s">
        <v>1229</v>
      </c>
      <c r="C557" s="167" t="s">
        <v>1527</v>
      </c>
      <c r="D557" s="143" t="str">
        <f>"PRD_SNJ_"&amp;
_xlfn.XLOOKUP(商品マスタ[[#This Row],[仕入先]],テーブル1[仕入先名],テーブル1[仕入先コード],"XXX",0,1)&amp;
"_"&amp;
商品マスタ[[#This Row],[シリアル]]&amp;
"_"&amp;
TEXT(COUNTIFS(商品マスタ!$C$3:C557,商品マスタ[[#This Row],[仕入先]],商品マスタ!$E$3:E557,商品マスタ[[#This Row],[商品名]]), "00")</f>
        <v>PRD_SNJ_OUJ_0008_01</v>
      </c>
      <c r="E557" s="87" t="s">
        <v>1550</v>
      </c>
      <c r="F557" s="87">
        <f>IF(COUNTIFS($C$3:C557,商品マスタ[[#This Row],[仕入先]],$E$3:E557,商品マスタ[[#This Row],[商品名]]) = 1, 1,0)</f>
        <v>1</v>
      </c>
      <c r="G557" s="133" t="str">
        <f>TEXT(SUMIF($C$3:C557,商品マスタ[[#This Row],[仕入先]],$F$3:F557), "0000")</f>
        <v>0008</v>
      </c>
      <c r="H557" s="87" t="s">
        <v>1735</v>
      </c>
      <c r="I557" s="87" t="s">
        <v>1445</v>
      </c>
      <c r="J557" s="87" t="s">
        <v>1622</v>
      </c>
      <c r="K557" s="87" t="s">
        <v>1657</v>
      </c>
      <c r="L557" s="134">
        <v>48600</v>
      </c>
      <c r="M557" s="157">
        <v>46052</v>
      </c>
      <c r="N557" s="134"/>
      <c r="O557" s="135" t="str">
        <f>IF(COUNT(商品マスタ[[#This Row],[参考上代
（税込)]]) &gt; 0, (商品マスタ[[#This Row],[参考上代
（税込)]]-商品マスタ[[#This Row],[国内定価
（15％）]])/(商品マスタ[[#This Row],[参考上代
（税込)]]/1.08), "")</f>
        <v/>
      </c>
      <c r="P557" s="136">
        <v>0.1</v>
      </c>
      <c r="Q557" s="134">
        <f>商品マスタ[[#This Row],[仕入
単価]]*商品マスタ[[#This Row],[標準国内送料率]]</f>
        <v>4860</v>
      </c>
      <c r="R557" s="134"/>
      <c r="S557" s="134">
        <f>IF(ISBLANK(商品マスタ[[#This Row],[実績
国内送料]]),商品マスタ[[#This Row],[標準国内送料]],)</f>
        <v>4860</v>
      </c>
      <c r="T557" s="134">
        <f>商品マスタ[[#This Row],[仕入
単価]]+商品マスタ[[#This Row],[国内送料]]</f>
        <v>53460</v>
      </c>
      <c r="U557" s="134">
        <f>ROUNDUP(商品マスタ[[#This Row],[仕入単価+国内送料]]/0.8,-1)</f>
        <v>66830</v>
      </c>
      <c r="V557" s="134">
        <f>商品マスタ[[#This Row],[海外定価
（20％）]]-商品マスタ[[#This Row],[仕入単価+国内送料]]</f>
        <v>13370</v>
      </c>
      <c r="W557" s="87">
        <f>ROUNDUP(商品マスタ[[#This Row],[仕入単価+国内送料]]/0.85,-1)</f>
        <v>62900</v>
      </c>
      <c r="X557" s="134">
        <f>商品マスタ[[#This Row],[国内定価
（15％）]]-商品マスタ[[#This Row],[仕入単価+国内送料]]</f>
        <v>9440</v>
      </c>
      <c r="Y557" s="139">
        <v>0.08</v>
      </c>
      <c r="Z557" s="87" t="s">
        <v>1666</v>
      </c>
      <c r="AA557" s="87" t="s">
        <v>938</v>
      </c>
      <c r="AB557" s="87" t="s">
        <v>1664</v>
      </c>
      <c r="AC557" s="140"/>
      <c r="AD557" s="87"/>
      <c r="AE557" s="87"/>
      <c r="AF557" s="87"/>
      <c r="AG557" s="141"/>
    </row>
    <row r="558" spans="1:33" ht="18">
      <c r="A558" s="166" t="s">
        <v>1524</v>
      </c>
      <c r="B558" s="167" t="s">
        <v>1229</v>
      </c>
      <c r="C558" s="167" t="s">
        <v>1527</v>
      </c>
      <c r="D558" s="143" t="str">
        <f>"PRD_SNJ_"&amp;
_xlfn.XLOOKUP(商品マスタ[[#This Row],[仕入先]],テーブル1[仕入先名],テーブル1[仕入先コード],"XXX",0,1)&amp;
"_"&amp;
商品マスタ[[#This Row],[シリアル]]&amp;
"_"&amp;
TEXT(COUNTIFS(商品マスタ!$C$3:C558,商品マスタ[[#This Row],[仕入先]],商品マスタ!$E$3:E558,商品マスタ[[#This Row],[商品名]]), "00")</f>
        <v>PRD_SNJ_OUJ_0009_01</v>
      </c>
      <c r="E558" s="87" t="s">
        <v>1551</v>
      </c>
      <c r="F558" s="87">
        <f>IF(COUNTIFS($C$3:C558,商品マスタ[[#This Row],[仕入先]],$E$3:E558,商品マスタ[[#This Row],[商品名]]) = 1, 1,0)</f>
        <v>1</v>
      </c>
      <c r="G558" s="133" t="str">
        <f>TEXT(SUMIF($C$3:C558,商品マスタ[[#This Row],[仕入先]],$F$3:F558), "0000")</f>
        <v>0009</v>
      </c>
      <c r="H558" s="87" t="s">
        <v>1735</v>
      </c>
      <c r="I558" s="87" t="s">
        <v>242</v>
      </c>
      <c r="J558" s="87" t="s">
        <v>1622</v>
      </c>
      <c r="K558" s="87" t="s">
        <v>1657</v>
      </c>
      <c r="L558" s="134">
        <v>29760</v>
      </c>
      <c r="M558" s="157">
        <v>46052</v>
      </c>
      <c r="N558" s="134"/>
      <c r="O558" s="135" t="str">
        <f>IF(COUNT(商品マスタ[[#This Row],[参考上代
（税込)]]) &gt; 0, (商品マスタ[[#This Row],[参考上代
（税込)]]-商品マスタ[[#This Row],[国内定価
（15％）]])/(商品マスタ[[#This Row],[参考上代
（税込)]]/1.08), "")</f>
        <v/>
      </c>
      <c r="P558" s="136">
        <v>0.1</v>
      </c>
      <c r="Q558" s="134">
        <f>商品マスタ[[#This Row],[仕入
単価]]*商品マスタ[[#This Row],[標準国内送料率]]</f>
        <v>2976</v>
      </c>
      <c r="R558" s="134"/>
      <c r="S558" s="134">
        <f>IF(ISBLANK(商品マスタ[[#This Row],[実績
国内送料]]),商品マスタ[[#This Row],[標準国内送料]],)</f>
        <v>2976</v>
      </c>
      <c r="T558" s="134">
        <f>商品マスタ[[#This Row],[仕入
単価]]+商品マスタ[[#This Row],[国内送料]]</f>
        <v>32736</v>
      </c>
      <c r="U558" s="134">
        <f>ROUNDUP(商品マスタ[[#This Row],[仕入単価+国内送料]]/0.8,-1)</f>
        <v>40920</v>
      </c>
      <c r="V558" s="134">
        <f>商品マスタ[[#This Row],[海外定価
（20％）]]-商品マスタ[[#This Row],[仕入単価+国内送料]]</f>
        <v>8184</v>
      </c>
      <c r="W558" s="87">
        <f>ROUNDUP(商品マスタ[[#This Row],[仕入単価+国内送料]]/0.85,-1)</f>
        <v>38520</v>
      </c>
      <c r="X558" s="134">
        <f>商品マスタ[[#This Row],[国内定価
（15％）]]-商品マスタ[[#This Row],[仕入単価+国内送料]]</f>
        <v>5784</v>
      </c>
      <c r="Y558" s="139">
        <v>0.08</v>
      </c>
      <c r="Z558" s="87" t="s">
        <v>1666</v>
      </c>
      <c r="AA558" s="87" t="s">
        <v>938</v>
      </c>
      <c r="AB558" s="87" t="s">
        <v>1664</v>
      </c>
      <c r="AC558" s="140"/>
      <c r="AD558" s="87"/>
      <c r="AE558" s="87"/>
      <c r="AF558" s="87"/>
      <c r="AG558" s="141"/>
    </row>
    <row r="559" spans="1:33" ht="18">
      <c r="A559" s="166" t="s">
        <v>1524</v>
      </c>
      <c r="B559" s="167" t="s">
        <v>1229</v>
      </c>
      <c r="C559" s="167" t="s">
        <v>1527</v>
      </c>
      <c r="D559" s="143" t="str">
        <f>"PRD_SNJ_"&amp;
_xlfn.XLOOKUP(商品マスタ[[#This Row],[仕入先]],テーブル1[仕入先名],テーブル1[仕入先コード],"XXX",0,1)&amp;
"_"&amp;
商品マスタ[[#This Row],[シリアル]]&amp;
"_"&amp;
TEXT(COUNTIFS(商品マスタ!$C$3:C559,商品マスタ[[#This Row],[仕入先]],商品マスタ!$E$3:E559,商品マスタ[[#This Row],[商品名]]), "00")</f>
        <v>PRD_SNJ_OUJ_0010_01</v>
      </c>
      <c r="E559" s="87" t="s">
        <v>1552</v>
      </c>
      <c r="F559" s="87">
        <f>IF(COUNTIFS($C$3:C559,商品マスタ[[#This Row],[仕入先]],$E$3:E559,商品マスタ[[#This Row],[商品名]]) = 1, 1,0)</f>
        <v>1</v>
      </c>
      <c r="G559" s="133" t="str">
        <f>TEXT(SUMIF($C$3:C559,商品マスタ[[#This Row],[仕入先]],$F$3:F559), "0000")</f>
        <v>0010</v>
      </c>
      <c r="H559" s="87" t="s">
        <v>1735</v>
      </c>
      <c r="I559" s="87" t="s">
        <v>242</v>
      </c>
      <c r="J559" s="87" t="s">
        <v>1622</v>
      </c>
      <c r="K559" s="87" t="s">
        <v>1657</v>
      </c>
      <c r="L559" s="134">
        <v>29760</v>
      </c>
      <c r="M559" s="157">
        <v>46052</v>
      </c>
      <c r="N559" s="134"/>
      <c r="O559" s="135" t="str">
        <f>IF(COUNT(商品マスタ[[#This Row],[参考上代
（税込)]]) &gt; 0, (商品マスタ[[#This Row],[参考上代
（税込)]]-商品マスタ[[#This Row],[国内定価
（15％）]])/(商品マスタ[[#This Row],[参考上代
（税込)]]/1.08), "")</f>
        <v/>
      </c>
      <c r="P559" s="136">
        <v>0.1</v>
      </c>
      <c r="Q559" s="134">
        <f>商品マスタ[[#This Row],[仕入
単価]]*商品マスタ[[#This Row],[標準国内送料率]]</f>
        <v>2976</v>
      </c>
      <c r="R559" s="134"/>
      <c r="S559" s="134">
        <f>IF(ISBLANK(商品マスタ[[#This Row],[実績
国内送料]]),商品マスタ[[#This Row],[標準国内送料]],)</f>
        <v>2976</v>
      </c>
      <c r="T559" s="134">
        <f>商品マスタ[[#This Row],[仕入
単価]]+商品マスタ[[#This Row],[国内送料]]</f>
        <v>32736</v>
      </c>
      <c r="U559" s="134">
        <f>ROUNDUP(商品マスタ[[#This Row],[仕入単価+国内送料]]/0.8,-1)</f>
        <v>40920</v>
      </c>
      <c r="V559" s="134">
        <f>商品マスタ[[#This Row],[海外定価
（20％）]]-商品マスタ[[#This Row],[仕入単価+国内送料]]</f>
        <v>8184</v>
      </c>
      <c r="W559" s="87">
        <f>ROUNDUP(商品マスタ[[#This Row],[仕入単価+国内送料]]/0.85,-1)</f>
        <v>38520</v>
      </c>
      <c r="X559" s="134">
        <f>商品マスタ[[#This Row],[国内定価
（15％）]]-商品マスタ[[#This Row],[仕入単価+国内送料]]</f>
        <v>5784</v>
      </c>
      <c r="Y559" s="139">
        <v>0.08</v>
      </c>
      <c r="Z559" s="87" t="s">
        <v>1666</v>
      </c>
      <c r="AA559" s="87" t="s">
        <v>938</v>
      </c>
      <c r="AB559" s="87" t="s">
        <v>1664</v>
      </c>
      <c r="AC559" s="140"/>
      <c r="AD559" s="87"/>
      <c r="AE559" s="87"/>
      <c r="AF559" s="87"/>
      <c r="AG559" s="141"/>
    </row>
    <row r="560" spans="1:33" ht="18">
      <c r="A560" s="166" t="s">
        <v>1238</v>
      </c>
      <c r="B560" s="167" t="s">
        <v>1238</v>
      </c>
      <c r="C560" s="167" t="s">
        <v>1528</v>
      </c>
      <c r="D560" s="143" t="str">
        <f>"PRD_SNJ_"&amp;
_xlfn.XLOOKUP(商品マスタ[[#This Row],[仕入先]],テーブル1[仕入先名],テーブル1[仕入先コード],"XXX",0,1)&amp;
"_"&amp;
商品マスタ[[#This Row],[シリアル]]&amp;
"_"&amp;
TEXT(COUNTIFS(商品マスタ!$C$3:C560,商品マスタ[[#This Row],[仕入先]],商品マスタ!$E$3:E560,商品マスタ[[#This Row],[商品名]]), "00")</f>
        <v>PRD_SNJ_TSF_0001_01</v>
      </c>
      <c r="E560" s="87" t="s">
        <v>1553</v>
      </c>
      <c r="F560" s="87">
        <f>IF(COUNTIFS($C$3:C560,商品マスタ[[#This Row],[仕入先]],$E$3:E560,商品マスタ[[#This Row],[商品名]]) = 1, 1,0)</f>
        <v>1</v>
      </c>
      <c r="G560" s="133" t="str">
        <f>TEXT(SUMIF($C$3:C560,商品マスタ[[#This Row],[仕入先]],$F$3:F560), "0000")</f>
        <v>0001</v>
      </c>
      <c r="H560" s="87" t="s">
        <v>1736</v>
      </c>
      <c r="I560" s="87" t="s">
        <v>261</v>
      </c>
      <c r="J560" s="87" t="s">
        <v>1623</v>
      </c>
      <c r="K560" s="87" t="s">
        <v>1478</v>
      </c>
      <c r="L560" s="134">
        <v>15120</v>
      </c>
      <c r="M560" s="157">
        <v>46052</v>
      </c>
      <c r="N560" s="134">
        <v>20000</v>
      </c>
      <c r="O560" s="135">
        <f>IF(COUNT(商品マスタ[[#This Row],[参考上代
（税込)]]) &gt; 0, (商品マスタ[[#This Row],[参考上代
（税込)]]-商品マスタ[[#This Row],[国内定価
（15％）]])/(商品マスタ[[#This Row],[参考上代
（税込)]]/1.08), "")</f>
        <v>2.3220000000000001E-2</v>
      </c>
      <c r="P560" s="136">
        <v>0.1</v>
      </c>
      <c r="Q560" s="134">
        <f>商品マスタ[[#This Row],[仕入
単価]]*商品マスタ[[#This Row],[標準国内送料率]]</f>
        <v>1512</v>
      </c>
      <c r="R560" s="134"/>
      <c r="S560" s="134">
        <f>IF(ISBLANK(商品マスタ[[#This Row],[実績
国内送料]]),商品マスタ[[#This Row],[標準国内送料]],)</f>
        <v>1512</v>
      </c>
      <c r="T560" s="134">
        <f>商品マスタ[[#This Row],[仕入
単価]]+商品マスタ[[#This Row],[国内送料]]</f>
        <v>16632</v>
      </c>
      <c r="U560" s="134">
        <f>ROUNDUP(商品マスタ[[#This Row],[仕入単価+国内送料]]/0.8,-1)</f>
        <v>20790</v>
      </c>
      <c r="V560" s="134">
        <f>商品マスタ[[#This Row],[海外定価
（20％）]]-商品マスタ[[#This Row],[仕入単価+国内送料]]</f>
        <v>4158</v>
      </c>
      <c r="W560" s="87">
        <f>ROUNDUP(商品マスタ[[#This Row],[仕入単価+国内送料]]/0.85,-1)</f>
        <v>19570</v>
      </c>
      <c r="X560" s="134">
        <f>商品マスタ[[#This Row],[国内定価
（15％）]]-商品マスタ[[#This Row],[仕入単価+国内送料]]</f>
        <v>2938</v>
      </c>
      <c r="Y560" s="139">
        <v>0.08</v>
      </c>
      <c r="Z560" s="87" t="s">
        <v>1667</v>
      </c>
      <c r="AA560" s="87" t="s">
        <v>960</v>
      </c>
      <c r="AB560" s="87" t="s">
        <v>1668</v>
      </c>
      <c r="AC560" s="140">
        <v>4541290200030</v>
      </c>
      <c r="AD560" s="87"/>
      <c r="AE560" s="87"/>
      <c r="AF560" s="87"/>
      <c r="AG560" s="141" t="s">
        <v>1733</v>
      </c>
    </row>
    <row r="561" spans="1:33" ht="18">
      <c r="A561" s="166" t="s">
        <v>1238</v>
      </c>
      <c r="B561" s="167" t="s">
        <v>1238</v>
      </c>
      <c r="C561" s="167" t="s">
        <v>1528</v>
      </c>
      <c r="D561" s="143" t="str">
        <f>"PRD_SNJ_"&amp;
_xlfn.XLOOKUP(商品マスタ[[#This Row],[仕入先]],テーブル1[仕入先名],テーブル1[仕入先コード],"XXX",0,1)&amp;
"_"&amp;
商品マスタ[[#This Row],[シリアル]]&amp;
"_"&amp;
TEXT(COUNTIFS(商品マスタ!$C$3:C561,商品マスタ[[#This Row],[仕入先]],商品マスタ!$E$3:E561,商品マスタ[[#This Row],[商品名]]), "00")</f>
        <v>PRD_SNJ_TSF_0002_01</v>
      </c>
      <c r="E561" s="87" t="s">
        <v>1554</v>
      </c>
      <c r="F561" s="87">
        <f>IF(COUNTIFS($C$3:C561,商品マスタ[[#This Row],[仕入先]],$E$3:E561,商品マスタ[[#This Row],[商品名]]) = 1, 1,0)</f>
        <v>1</v>
      </c>
      <c r="G561" s="133" t="str">
        <f>TEXT(SUMIF($C$3:C561,商品マスタ[[#This Row],[仕入先]],$F$3:F561), "0000")</f>
        <v>0002</v>
      </c>
      <c r="H561" s="87" t="s">
        <v>1736</v>
      </c>
      <c r="I561" s="87" t="s">
        <v>261</v>
      </c>
      <c r="J561" s="87" t="s">
        <v>1623</v>
      </c>
      <c r="K561" s="87" t="s">
        <v>1478</v>
      </c>
      <c r="L561" s="134">
        <v>15120</v>
      </c>
      <c r="M561" s="157">
        <v>46052</v>
      </c>
      <c r="N561" s="134">
        <v>20000</v>
      </c>
      <c r="O561" s="135">
        <f>IF(COUNT(商品マスタ[[#This Row],[参考上代
（税込)]]) &gt; 0, (商品マスタ[[#This Row],[参考上代
（税込)]]-商品マスタ[[#This Row],[国内定価
（15％）]])/(商品マスタ[[#This Row],[参考上代
（税込)]]/1.08), "")</f>
        <v>2.3220000000000001E-2</v>
      </c>
      <c r="P561" s="136">
        <v>0.1</v>
      </c>
      <c r="Q561" s="134">
        <f>商品マスタ[[#This Row],[仕入
単価]]*商品マスタ[[#This Row],[標準国内送料率]]</f>
        <v>1512</v>
      </c>
      <c r="R561" s="134"/>
      <c r="S561" s="134">
        <f>IF(ISBLANK(商品マスタ[[#This Row],[実績
国内送料]]),商品マスタ[[#This Row],[標準国内送料]],)</f>
        <v>1512</v>
      </c>
      <c r="T561" s="134">
        <f>商品マスタ[[#This Row],[仕入
単価]]+商品マスタ[[#This Row],[国内送料]]</f>
        <v>16632</v>
      </c>
      <c r="U561" s="134">
        <f>ROUNDUP(商品マスタ[[#This Row],[仕入単価+国内送料]]/0.8,-1)</f>
        <v>20790</v>
      </c>
      <c r="V561" s="134">
        <f>商品マスタ[[#This Row],[海外定価
（20％）]]-商品マスタ[[#This Row],[仕入単価+国内送料]]</f>
        <v>4158</v>
      </c>
      <c r="W561" s="87">
        <f>ROUNDUP(商品マスタ[[#This Row],[仕入単価+国内送料]]/0.85,-1)</f>
        <v>19570</v>
      </c>
      <c r="X561" s="134">
        <f>商品マスタ[[#This Row],[国内定価
（15％）]]-商品マスタ[[#This Row],[仕入単価+国内送料]]</f>
        <v>2938</v>
      </c>
      <c r="Y561" s="139">
        <v>0.08</v>
      </c>
      <c r="Z561" s="87" t="s">
        <v>1667</v>
      </c>
      <c r="AA561" s="87" t="s">
        <v>960</v>
      </c>
      <c r="AB561" s="87" t="s">
        <v>1668</v>
      </c>
      <c r="AC561" s="140">
        <v>4541290200047</v>
      </c>
      <c r="AD561" s="87"/>
      <c r="AE561" s="87"/>
      <c r="AF561" s="87"/>
      <c r="AG561" s="141" t="s">
        <v>1733</v>
      </c>
    </row>
    <row r="562" spans="1:33" ht="18">
      <c r="A562" s="166" t="s">
        <v>1238</v>
      </c>
      <c r="B562" s="167" t="s">
        <v>1238</v>
      </c>
      <c r="C562" s="167" t="s">
        <v>1528</v>
      </c>
      <c r="D562" s="143" t="str">
        <f>"PRD_SNJ_"&amp;
_xlfn.XLOOKUP(商品マスタ[[#This Row],[仕入先]],テーブル1[仕入先名],テーブル1[仕入先コード],"XXX",0,1)&amp;
"_"&amp;
商品マスタ[[#This Row],[シリアル]]&amp;
"_"&amp;
TEXT(COUNTIFS(商品マスタ!$C$3:C562,商品マスタ[[#This Row],[仕入先]],商品マスタ!$E$3:E562,商品マスタ[[#This Row],[商品名]]), "00")</f>
        <v>PRD_SNJ_TSF_0003_01</v>
      </c>
      <c r="E562" s="87" t="s">
        <v>1555</v>
      </c>
      <c r="F562" s="87">
        <f>IF(COUNTIFS($C$3:C562,商品マスタ[[#This Row],[仕入先]],$E$3:E562,商品マスタ[[#This Row],[商品名]]) = 1, 1,0)</f>
        <v>1</v>
      </c>
      <c r="G562" s="133" t="str">
        <f>TEXT(SUMIF($C$3:C562,商品マスタ[[#This Row],[仕入先]],$F$3:F562), "0000")</f>
        <v>0003</v>
      </c>
      <c r="H562" s="87" t="s">
        <v>1736</v>
      </c>
      <c r="I562" s="87" t="s">
        <v>261</v>
      </c>
      <c r="J562" s="87" t="s">
        <v>1623</v>
      </c>
      <c r="K562" s="87" t="s">
        <v>1478</v>
      </c>
      <c r="L562" s="134">
        <v>15120</v>
      </c>
      <c r="M562" s="157">
        <v>46052</v>
      </c>
      <c r="N562" s="134">
        <v>20000</v>
      </c>
      <c r="O562" s="135">
        <f>IF(COUNT(商品マスタ[[#This Row],[参考上代
（税込)]]) &gt; 0, (商品マスタ[[#This Row],[参考上代
（税込)]]-商品マスタ[[#This Row],[国内定価
（15％）]])/(商品マスタ[[#This Row],[参考上代
（税込)]]/1.08), "")</f>
        <v>2.3220000000000001E-2</v>
      </c>
      <c r="P562" s="136">
        <v>0.1</v>
      </c>
      <c r="Q562" s="134">
        <f>商品マスタ[[#This Row],[仕入
単価]]*商品マスタ[[#This Row],[標準国内送料率]]</f>
        <v>1512</v>
      </c>
      <c r="R562" s="134"/>
      <c r="S562" s="134">
        <f>IF(ISBLANK(商品マスタ[[#This Row],[実績
国内送料]]),商品マスタ[[#This Row],[標準国内送料]],)</f>
        <v>1512</v>
      </c>
      <c r="T562" s="134">
        <f>商品マスタ[[#This Row],[仕入
単価]]+商品マスタ[[#This Row],[国内送料]]</f>
        <v>16632</v>
      </c>
      <c r="U562" s="134">
        <f>ROUNDUP(商品マスタ[[#This Row],[仕入単価+国内送料]]/0.8,-1)</f>
        <v>20790</v>
      </c>
      <c r="V562" s="134">
        <f>商品マスタ[[#This Row],[海外定価
（20％）]]-商品マスタ[[#This Row],[仕入単価+国内送料]]</f>
        <v>4158</v>
      </c>
      <c r="W562" s="87">
        <f>ROUNDUP(商品マスタ[[#This Row],[仕入単価+国内送料]]/0.85,-1)</f>
        <v>19570</v>
      </c>
      <c r="X562" s="134">
        <f>商品マスタ[[#This Row],[国内定価
（15％）]]-商品マスタ[[#This Row],[仕入単価+国内送料]]</f>
        <v>2938</v>
      </c>
      <c r="Y562" s="139">
        <v>0.08</v>
      </c>
      <c r="Z562" s="87" t="s">
        <v>1667</v>
      </c>
      <c r="AA562" s="87" t="s">
        <v>960</v>
      </c>
      <c r="AB562" s="87" t="s">
        <v>1668</v>
      </c>
      <c r="AC562" s="140">
        <v>4541290200061</v>
      </c>
      <c r="AD562" s="87"/>
      <c r="AE562" s="87"/>
      <c r="AF562" s="87"/>
      <c r="AG562" s="141" t="s">
        <v>1733</v>
      </c>
    </row>
    <row r="563" spans="1:33" ht="18">
      <c r="A563" s="166" t="s">
        <v>1520</v>
      </c>
      <c r="B563" s="167" t="s">
        <v>1226</v>
      </c>
      <c r="C563" s="167" t="s">
        <v>1528</v>
      </c>
      <c r="D563" s="143" t="str">
        <f>"PRD_SNJ_"&amp;
_xlfn.XLOOKUP(商品マスタ[[#This Row],[仕入先]],テーブル1[仕入先名],テーブル1[仕入先コード],"XXX",0,1)&amp;
"_"&amp;
商品マスタ[[#This Row],[シリアル]]&amp;
"_"&amp;
TEXT(COUNTIFS(商品マスタ!$C$3:C563,商品マスタ[[#This Row],[仕入先]],商品マスタ!$E$3:E563,商品マスタ[[#This Row],[商品名]]), "00")</f>
        <v>PRD_SNJ_TSF_0004_01</v>
      </c>
      <c r="E563" s="87" t="s">
        <v>1556</v>
      </c>
      <c r="F563" s="87">
        <f>IF(COUNTIFS($C$3:C563,商品マスタ[[#This Row],[仕入先]],$E$3:E563,商品マスタ[[#This Row],[商品名]]) = 1, 1,0)</f>
        <v>1</v>
      </c>
      <c r="G563" s="133" t="str">
        <f>TEXT(SUMIF($C$3:C563,商品マスタ[[#This Row],[仕入先]],$F$3:F563), "0000")</f>
        <v>0004</v>
      </c>
      <c r="H563" s="87" t="s">
        <v>1736</v>
      </c>
      <c r="I563" s="87" t="s">
        <v>261</v>
      </c>
      <c r="J563" s="87" t="s">
        <v>1623</v>
      </c>
      <c r="K563" s="87" t="s">
        <v>1478</v>
      </c>
      <c r="L563" s="134">
        <v>15120</v>
      </c>
      <c r="M563" s="157">
        <v>46052</v>
      </c>
      <c r="N563" s="134">
        <v>20000</v>
      </c>
      <c r="O563" s="135">
        <f>IF(COUNT(商品マスタ[[#This Row],[参考上代
（税込)]]) &gt; 0, (商品マスタ[[#This Row],[参考上代
（税込)]]-商品マスタ[[#This Row],[国内定価
（15％）]])/(商品マスタ[[#This Row],[参考上代
（税込)]]/1.08), "")</f>
        <v>2.3220000000000001E-2</v>
      </c>
      <c r="P563" s="136">
        <v>0.1</v>
      </c>
      <c r="Q563" s="134">
        <f>商品マスタ[[#This Row],[仕入
単価]]*商品マスタ[[#This Row],[標準国内送料率]]</f>
        <v>1512</v>
      </c>
      <c r="R563" s="134"/>
      <c r="S563" s="134">
        <f>IF(ISBLANK(商品マスタ[[#This Row],[実績
国内送料]]),商品マスタ[[#This Row],[標準国内送料]],)</f>
        <v>1512</v>
      </c>
      <c r="T563" s="134">
        <f>商品マスタ[[#This Row],[仕入
単価]]+商品マスタ[[#This Row],[国内送料]]</f>
        <v>16632</v>
      </c>
      <c r="U563" s="134">
        <f>ROUNDUP(商品マスタ[[#This Row],[仕入単価+国内送料]]/0.8,-1)</f>
        <v>20790</v>
      </c>
      <c r="V563" s="134">
        <f>商品マスタ[[#This Row],[海外定価
（20％）]]-商品マスタ[[#This Row],[仕入単価+国内送料]]</f>
        <v>4158</v>
      </c>
      <c r="W563" s="87">
        <f>ROUNDUP(商品マスタ[[#This Row],[仕入単価+国内送料]]/0.85,-1)</f>
        <v>19570</v>
      </c>
      <c r="X563" s="134">
        <f>商品マスタ[[#This Row],[国内定価
（15％）]]-商品マスタ[[#This Row],[仕入単価+国内送料]]</f>
        <v>2938</v>
      </c>
      <c r="Y563" s="139">
        <v>0.08</v>
      </c>
      <c r="Z563" s="87" t="s">
        <v>1667</v>
      </c>
      <c r="AA563" s="87" t="s">
        <v>960</v>
      </c>
      <c r="AB563" s="87" t="s">
        <v>1668</v>
      </c>
      <c r="AC563" s="140">
        <v>4541290200153</v>
      </c>
      <c r="AD563" s="87"/>
      <c r="AE563" s="87"/>
      <c r="AF563" s="87"/>
      <c r="AG563" s="141" t="s">
        <v>1733</v>
      </c>
    </row>
    <row r="564" spans="1:33" ht="18">
      <c r="A564" s="166" t="s">
        <v>1238</v>
      </c>
      <c r="B564" s="167" t="s">
        <v>1238</v>
      </c>
      <c r="C564" s="167" t="s">
        <v>1528</v>
      </c>
      <c r="D564" s="143" t="str">
        <f>"PRD_SNJ_"&amp;
_xlfn.XLOOKUP(商品マスタ[[#This Row],[仕入先]],テーブル1[仕入先名],テーブル1[仕入先コード],"XXX",0,1)&amp;
"_"&amp;
商品マスタ[[#This Row],[シリアル]]&amp;
"_"&amp;
TEXT(COUNTIFS(商品マスタ!$C$3:C564,商品マスタ[[#This Row],[仕入先]],商品マスタ!$E$3:E564,商品マスタ[[#This Row],[商品名]]), "00")</f>
        <v>PRD_SNJ_TSF_0005_01</v>
      </c>
      <c r="E564" s="87" t="s">
        <v>1557</v>
      </c>
      <c r="F564" s="87">
        <f>IF(COUNTIFS($C$3:C564,商品マスタ[[#This Row],[仕入先]],$E$3:E564,商品マスタ[[#This Row],[商品名]]) = 1, 1,0)</f>
        <v>1</v>
      </c>
      <c r="G564" s="133" t="str">
        <f>TEXT(SUMIF($C$3:C564,商品マスタ[[#This Row],[仕入先]],$F$3:F564), "0000")</f>
        <v>0005</v>
      </c>
      <c r="H564" s="87" t="s">
        <v>1736</v>
      </c>
      <c r="I564" s="87" t="s">
        <v>261</v>
      </c>
      <c r="J564" s="87" t="s">
        <v>1623</v>
      </c>
      <c r="K564" s="87" t="s">
        <v>1478</v>
      </c>
      <c r="L564" s="134">
        <v>15120</v>
      </c>
      <c r="M564" s="157">
        <v>46052</v>
      </c>
      <c r="N564" s="134">
        <v>20000</v>
      </c>
      <c r="O564" s="135">
        <f>IF(COUNT(商品マスタ[[#This Row],[参考上代
（税込)]]) &gt; 0, (商品マスタ[[#This Row],[参考上代
（税込)]]-商品マスタ[[#This Row],[国内定価
（15％）]])/(商品マスタ[[#This Row],[参考上代
（税込)]]/1.08), "")</f>
        <v>2.3220000000000001E-2</v>
      </c>
      <c r="P564" s="136">
        <v>0.1</v>
      </c>
      <c r="Q564" s="134">
        <f>商品マスタ[[#This Row],[仕入
単価]]*商品マスタ[[#This Row],[標準国内送料率]]</f>
        <v>1512</v>
      </c>
      <c r="R564" s="134"/>
      <c r="S564" s="134">
        <f>IF(ISBLANK(商品マスタ[[#This Row],[実績
国内送料]]),商品マスタ[[#This Row],[標準国内送料]],)</f>
        <v>1512</v>
      </c>
      <c r="T564" s="134">
        <f>商品マスタ[[#This Row],[仕入
単価]]+商品マスタ[[#This Row],[国内送料]]</f>
        <v>16632</v>
      </c>
      <c r="U564" s="134">
        <f>ROUNDUP(商品マスタ[[#This Row],[仕入単価+国内送料]]/0.8,-1)</f>
        <v>20790</v>
      </c>
      <c r="V564" s="134">
        <f>商品マスタ[[#This Row],[海外定価
（20％）]]-商品マスタ[[#This Row],[仕入単価+国内送料]]</f>
        <v>4158</v>
      </c>
      <c r="W564" s="87">
        <f>ROUNDUP(商品マスタ[[#This Row],[仕入単価+国内送料]]/0.85,-1)</f>
        <v>19570</v>
      </c>
      <c r="X564" s="134">
        <f>商品マスタ[[#This Row],[国内定価
（15％）]]-商品マスタ[[#This Row],[仕入単価+国内送料]]</f>
        <v>2938</v>
      </c>
      <c r="Y564" s="139">
        <v>0.08</v>
      </c>
      <c r="Z564" s="87" t="s">
        <v>1667</v>
      </c>
      <c r="AA564" s="87" t="s">
        <v>960</v>
      </c>
      <c r="AB564" s="87" t="s">
        <v>1668</v>
      </c>
      <c r="AC564" s="140">
        <v>4541290200160</v>
      </c>
      <c r="AD564" s="87"/>
      <c r="AE564" s="87"/>
      <c r="AF564" s="87"/>
      <c r="AG564" s="141" t="s">
        <v>1733</v>
      </c>
    </row>
    <row r="565" spans="1:33" ht="18">
      <c r="A565" s="166" t="s">
        <v>1238</v>
      </c>
      <c r="B565" s="167" t="s">
        <v>1238</v>
      </c>
      <c r="C565" s="167" t="s">
        <v>1528</v>
      </c>
      <c r="D565" s="143" t="str">
        <f>"PRD_SNJ_"&amp;
_xlfn.XLOOKUP(商品マスタ[[#This Row],[仕入先]],テーブル1[仕入先名],テーブル1[仕入先コード],"XXX",0,1)&amp;
"_"&amp;
商品マスタ[[#This Row],[シリアル]]&amp;
"_"&amp;
TEXT(COUNTIFS(商品マスタ!$C$3:C565,商品マスタ[[#This Row],[仕入先]],商品マスタ!$E$3:E565,商品マスタ[[#This Row],[商品名]]), "00")</f>
        <v>PRD_SNJ_TSF_0006_01</v>
      </c>
      <c r="E565" s="87" t="s">
        <v>1558</v>
      </c>
      <c r="F565" s="87">
        <f>IF(COUNTIFS($C$3:C565,商品マスタ[[#This Row],[仕入先]],$E$3:E565,商品マスタ[[#This Row],[商品名]]) = 1, 1,0)</f>
        <v>1</v>
      </c>
      <c r="G565" s="133" t="str">
        <f>TEXT(SUMIF($C$3:C565,商品マスタ[[#This Row],[仕入先]],$F$3:F565), "0000")</f>
        <v>0006</v>
      </c>
      <c r="H565" s="87" t="s">
        <v>1736</v>
      </c>
      <c r="I565" s="87" t="s">
        <v>261</v>
      </c>
      <c r="J565" s="87" t="s">
        <v>1623</v>
      </c>
      <c r="K565" s="87" t="s">
        <v>1478</v>
      </c>
      <c r="L565" s="134">
        <v>15960</v>
      </c>
      <c r="M565" s="157">
        <v>46052</v>
      </c>
      <c r="N565" s="134">
        <v>21111.11</v>
      </c>
      <c r="O565" s="135">
        <f>IF(COUNT(商品マスタ[[#This Row],[参考上代
（税込)]]) &gt; 0, (商品マスタ[[#This Row],[参考上代
（税込)]]-商品マスタ[[#This Row],[国内定価
（15％）]])/(商品マスタ[[#This Row],[参考上代
（税込)]]/1.08), "")</f>
        <v>2.3077839109359986E-2</v>
      </c>
      <c r="P565" s="136">
        <v>0.1</v>
      </c>
      <c r="Q565" s="134">
        <f>商品マスタ[[#This Row],[仕入
単価]]*商品マスタ[[#This Row],[標準国内送料率]]</f>
        <v>1596</v>
      </c>
      <c r="R565" s="134"/>
      <c r="S565" s="134">
        <f>IF(ISBLANK(商品マスタ[[#This Row],[実績
国内送料]]),商品マスタ[[#This Row],[標準国内送料]],)</f>
        <v>1596</v>
      </c>
      <c r="T565" s="134">
        <f>商品マスタ[[#This Row],[仕入
単価]]+商品マスタ[[#This Row],[国内送料]]</f>
        <v>17556</v>
      </c>
      <c r="U565" s="134">
        <f>ROUNDUP(商品マスタ[[#This Row],[仕入単価+国内送料]]/0.8,-1)</f>
        <v>21950</v>
      </c>
      <c r="V565" s="134">
        <f>商品マスタ[[#This Row],[海外定価
（20％）]]-商品マスタ[[#This Row],[仕入単価+国内送料]]</f>
        <v>4394</v>
      </c>
      <c r="W565" s="87">
        <f>ROUNDUP(商品マスタ[[#This Row],[仕入単価+国内送料]]/0.85,-1)</f>
        <v>20660</v>
      </c>
      <c r="X565" s="134">
        <f>商品マスタ[[#This Row],[国内定価
（15％）]]-商品マスタ[[#This Row],[仕入単価+国内送料]]</f>
        <v>3104</v>
      </c>
      <c r="Y565" s="139">
        <v>0.08</v>
      </c>
      <c r="Z565" s="87" t="s">
        <v>1667</v>
      </c>
      <c r="AA565" s="87" t="s">
        <v>960</v>
      </c>
      <c r="AB565" s="87" t="s">
        <v>1668</v>
      </c>
      <c r="AC565" s="140">
        <v>4541290200184</v>
      </c>
      <c r="AD565" s="87"/>
      <c r="AE565" s="87"/>
      <c r="AF565" s="87"/>
      <c r="AG565" s="141" t="s">
        <v>1733</v>
      </c>
    </row>
    <row r="566" spans="1:33" ht="18">
      <c r="A566" s="166" t="s">
        <v>1238</v>
      </c>
      <c r="B566" s="167" t="s">
        <v>1238</v>
      </c>
      <c r="C566" s="167" t="s">
        <v>1528</v>
      </c>
      <c r="D566" s="143" t="str">
        <f>"PRD_SNJ_"&amp;
_xlfn.XLOOKUP(商品マスタ[[#This Row],[仕入先]],テーブル1[仕入先名],テーブル1[仕入先コード],"XXX",0,1)&amp;
"_"&amp;
商品マスタ[[#This Row],[シリアル]]&amp;
"_"&amp;
TEXT(COUNTIFS(商品マスタ!$C$3:C566,商品マスタ[[#This Row],[仕入先]],商品マスタ!$E$3:E566,商品マスタ[[#This Row],[商品名]]), "00")</f>
        <v>PRD_SNJ_TSF_0007_01</v>
      </c>
      <c r="E566" s="87" t="s">
        <v>1559</v>
      </c>
      <c r="F566" s="87">
        <f>IF(COUNTIFS($C$3:C566,商品マスタ[[#This Row],[仕入先]],$E$3:E566,商品マスタ[[#This Row],[商品名]]) = 1, 1,0)</f>
        <v>1</v>
      </c>
      <c r="G566" s="133" t="str">
        <f>TEXT(SUMIF($C$3:C566,商品マスタ[[#This Row],[仕入先]],$F$3:F566), "0000")</f>
        <v>0007</v>
      </c>
      <c r="H566" s="87" t="s">
        <v>1736</v>
      </c>
      <c r="I566" s="87" t="s">
        <v>261</v>
      </c>
      <c r="J566" s="87" t="s">
        <v>1623</v>
      </c>
      <c r="K566" s="87" t="s">
        <v>1478</v>
      </c>
      <c r="L566" s="134">
        <v>15960</v>
      </c>
      <c r="M566" s="157">
        <v>46052</v>
      </c>
      <c r="N566" s="134">
        <v>21111.11</v>
      </c>
      <c r="O566" s="135">
        <f>IF(COUNT(商品マスタ[[#This Row],[参考上代
（税込)]]) &gt; 0, (商品マスタ[[#This Row],[参考上代
（税込)]]-商品マスタ[[#This Row],[国内定価
（15％）]])/(商品マスタ[[#This Row],[参考上代
（税込)]]/1.08), "")</f>
        <v>2.3077839109359986E-2</v>
      </c>
      <c r="P566" s="136">
        <v>0.1</v>
      </c>
      <c r="Q566" s="134">
        <f>商品マスタ[[#This Row],[仕入
単価]]*商品マスタ[[#This Row],[標準国内送料率]]</f>
        <v>1596</v>
      </c>
      <c r="R566" s="134"/>
      <c r="S566" s="134">
        <f>IF(ISBLANK(商品マスタ[[#This Row],[実績
国内送料]]),商品マスタ[[#This Row],[標準国内送料]],)</f>
        <v>1596</v>
      </c>
      <c r="T566" s="134">
        <f>商品マスタ[[#This Row],[仕入
単価]]+商品マスタ[[#This Row],[国内送料]]</f>
        <v>17556</v>
      </c>
      <c r="U566" s="134">
        <f>ROUNDUP(商品マスタ[[#This Row],[仕入単価+国内送料]]/0.8,-1)</f>
        <v>21950</v>
      </c>
      <c r="V566" s="134">
        <f>商品マスタ[[#This Row],[海外定価
（20％）]]-商品マスタ[[#This Row],[仕入単価+国内送料]]</f>
        <v>4394</v>
      </c>
      <c r="W566" s="87">
        <f>ROUNDUP(商品マスタ[[#This Row],[仕入単価+国内送料]]/0.85,-1)</f>
        <v>20660</v>
      </c>
      <c r="X566" s="134">
        <f>商品マスタ[[#This Row],[国内定価
（15％）]]-商品マスタ[[#This Row],[仕入単価+国内送料]]</f>
        <v>3104</v>
      </c>
      <c r="Y566" s="139">
        <v>0.08</v>
      </c>
      <c r="Z566" s="87" t="s">
        <v>1667</v>
      </c>
      <c r="AA566" s="87" t="s">
        <v>960</v>
      </c>
      <c r="AB566" s="87" t="s">
        <v>1668</v>
      </c>
      <c r="AC566" s="140">
        <v>4541290200191</v>
      </c>
      <c r="AD566" s="87"/>
      <c r="AE566" s="87"/>
      <c r="AF566" s="87"/>
      <c r="AG566" s="141" t="s">
        <v>1733</v>
      </c>
    </row>
    <row r="567" spans="1:33" ht="18">
      <c r="A567" s="166" t="s">
        <v>1520</v>
      </c>
      <c r="B567" s="167" t="s">
        <v>1226</v>
      </c>
      <c r="C567" s="167" t="s">
        <v>1528</v>
      </c>
      <c r="D567" s="143" t="str">
        <f>"PRD_SNJ_"&amp;
_xlfn.XLOOKUP(商品マスタ[[#This Row],[仕入先]],テーブル1[仕入先名],テーブル1[仕入先コード],"XXX",0,1)&amp;
"_"&amp;
商品マスタ[[#This Row],[シリアル]]&amp;
"_"&amp;
TEXT(COUNTIFS(商品マスタ!$C$3:C567,商品マスタ[[#This Row],[仕入先]],商品マスタ!$E$3:E567,商品マスタ[[#This Row],[商品名]]), "00")</f>
        <v>PRD_SNJ_TSF_0008_01</v>
      </c>
      <c r="E567" s="87" t="s">
        <v>1560</v>
      </c>
      <c r="F567" s="87">
        <f>IF(COUNTIFS($C$3:C567,商品マスタ[[#This Row],[仕入先]],$E$3:E567,商品マスタ[[#This Row],[商品名]]) = 1, 1,0)</f>
        <v>1</v>
      </c>
      <c r="G567" s="133" t="str">
        <f>TEXT(SUMIF($C$3:C567,商品マスタ[[#This Row],[仕入先]],$F$3:F567), "0000")</f>
        <v>0008</v>
      </c>
      <c r="H567" s="87" t="s">
        <v>1736</v>
      </c>
      <c r="I567" s="87" t="s">
        <v>261</v>
      </c>
      <c r="J567" s="87" t="s">
        <v>1623</v>
      </c>
      <c r="K567" s="87" t="s">
        <v>1478</v>
      </c>
      <c r="L567" s="134">
        <v>15960</v>
      </c>
      <c r="M567" s="157">
        <v>46052</v>
      </c>
      <c r="N567" s="134">
        <v>21111.11</v>
      </c>
      <c r="O567" s="135">
        <f>IF(COUNT(商品マスタ[[#This Row],[参考上代
（税込)]]) &gt; 0, (商品マスタ[[#This Row],[参考上代
（税込)]]-商品マスタ[[#This Row],[国内定価
（15％）]])/(商品マスタ[[#This Row],[参考上代
（税込)]]/1.08), "")</f>
        <v>2.3077839109359986E-2</v>
      </c>
      <c r="P567" s="136">
        <v>0.1</v>
      </c>
      <c r="Q567" s="134">
        <f>商品マスタ[[#This Row],[仕入
単価]]*商品マスタ[[#This Row],[標準国内送料率]]</f>
        <v>1596</v>
      </c>
      <c r="R567" s="134"/>
      <c r="S567" s="134">
        <f>IF(ISBLANK(商品マスタ[[#This Row],[実績
国内送料]]),商品マスタ[[#This Row],[標準国内送料]],)</f>
        <v>1596</v>
      </c>
      <c r="T567" s="134">
        <f>商品マスタ[[#This Row],[仕入
単価]]+商品マスタ[[#This Row],[国内送料]]</f>
        <v>17556</v>
      </c>
      <c r="U567" s="134">
        <f>ROUNDUP(商品マスタ[[#This Row],[仕入単価+国内送料]]/0.8,-1)</f>
        <v>21950</v>
      </c>
      <c r="V567" s="134">
        <f>商品マスタ[[#This Row],[海外定価
（20％）]]-商品マスタ[[#This Row],[仕入単価+国内送料]]</f>
        <v>4394</v>
      </c>
      <c r="W567" s="87">
        <f>ROUNDUP(商品マスタ[[#This Row],[仕入単価+国内送料]]/0.85,-1)</f>
        <v>20660</v>
      </c>
      <c r="X567" s="134">
        <f>商品マスタ[[#This Row],[国内定価
（15％）]]-商品マスタ[[#This Row],[仕入単価+国内送料]]</f>
        <v>3104</v>
      </c>
      <c r="Y567" s="139">
        <v>0.08</v>
      </c>
      <c r="Z567" s="87" t="s">
        <v>1667</v>
      </c>
      <c r="AA567" s="87" t="s">
        <v>960</v>
      </c>
      <c r="AB567" s="87" t="s">
        <v>1668</v>
      </c>
      <c r="AC567" s="140">
        <v>4541290200214</v>
      </c>
      <c r="AD567" s="87"/>
      <c r="AE567" s="87"/>
      <c r="AF567" s="87"/>
      <c r="AG567" s="141" t="s">
        <v>1733</v>
      </c>
    </row>
    <row r="568" spans="1:33" ht="18">
      <c r="A568" s="166" t="s">
        <v>1238</v>
      </c>
      <c r="B568" s="167" t="s">
        <v>1238</v>
      </c>
      <c r="C568" s="167" t="s">
        <v>1528</v>
      </c>
      <c r="D568" s="143" t="str">
        <f>"PRD_SNJ_"&amp;
_xlfn.XLOOKUP(商品マスタ[[#This Row],[仕入先]],テーブル1[仕入先名],テーブル1[仕入先コード],"XXX",0,1)&amp;
"_"&amp;
商品マスタ[[#This Row],[シリアル]]&amp;
"_"&amp;
TEXT(COUNTIFS(商品マスタ!$C$3:C568,商品マスタ[[#This Row],[仕入先]],商品マスタ!$E$3:E568,商品マスタ[[#This Row],[商品名]]), "00")</f>
        <v>PRD_SNJ_TSF_0009_01</v>
      </c>
      <c r="E568" s="87" t="s">
        <v>1561</v>
      </c>
      <c r="F568" s="87">
        <f>IF(COUNTIFS($C$3:C568,商品マスタ[[#This Row],[仕入先]],$E$3:E568,商品マスタ[[#This Row],[商品名]]) = 1, 1,0)</f>
        <v>1</v>
      </c>
      <c r="G568" s="133" t="str">
        <f>TEXT(SUMIF($C$3:C568,商品マスタ[[#This Row],[仕入先]],$F$3:F568), "0000")</f>
        <v>0009</v>
      </c>
      <c r="H568" s="87" t="s">
        <v>1736</v>
      </c>
      <c r="I568" s="87" t="s">
        <v>261</v>
      </c>
      <c r="J568" s="87" t="s">
        <v>1623</v>
      </c>
      <c r="K568" s="87" t="s">
        <v>1478</v>
      </c>
      <c r="L568" s="134">
        <v>17640</v>
      </c>
      <c r="M568" s="157">
        <v>46052</v>
      </c>
      <c r="N568" s="134">
        <v>23333.33</v>
      </c>
      <c r="O568" s="135">
        <f>IF(COUNT(商品マスタ[[#This Row],[参考上代
（税込)]]) &gt; 0, (商品マスタ[[#This Row],[参考上代
（税込)]]-商品マスタ[[#This Row],[国内定価
（15％）]])/(商品マスタ[[#This Row],[参考上代
（税込)]]/1.08), "")</f>
        <v>2.3296991899570352E-2</v>
      </c>
      <c r="P568" s="136">
        <v>0.1</v>
      </c>
      <c r="Q568" s="134">
        <f>商品マスタ[[#This Row],[仕入
単価]]*商品マスタ[[#This Row],[標準国内送料率]]</f>
        <v>1764</v>
      </c>
      <c r="R568" s="134"/>
      <c r="S568" s="134">
        <f>IF(ISBLANK(商品マスタ[[#This Row],[実績
国内送料]]),商品マスタ[[#This Row],[標準国内送料]],)</f>
        <v>1764</v>
      </c>
      <c r="T568" s="134">
        <f>商品マスタ[[#This Row],[仕入
単価]]+商品マスタ[[#This Row],[国内送料]]</f>
        <v>19404</v>
      </c>
      <c r="U568" s="134">
        <f>ROUNDUP(商品マスタ[[#This Row],[仕入単価+国内送料]]/0.8,-1)</f>
        <v>24260</v>
      </c>
      <c r="V568" s="134">
        <f>商品マスタ[[#This Row],[海外定価
（20％）]]-商品マスタ[[#This Row],[仕入単価+国内送料]]</f>
        <v>4856</v>
      </c>
      <c r="W568" s="87">
        <f>ROUNDUP(商品マスタ[[#This Row],[仕入単価+国内送料]]/0.85,-1)</f>
        <v>22830</v>
      </c>
      <c r="X568" s="134">
        <f>商品マスタ[[#This Row],[国内定価
（15％）]]-商品マスタ[[#This Row],[仕入単価+国内送料]]</f>
        <v>3426</v>
      </c>
      <c r="Y568" s="139">
        <v>0.08</v>
      </c>
      <c r="Z568" s="87" t="s">
        <v>1667</v>
      </c>
      <c r="AA568" s="87" t="s">
        <v>960</v>
      </c>
      <c r="AB568" s="87" t="s">
        <v>1668</v>
      </c>
      <c r="AC568" s="140">
        <v>4541290200238</v>
      </c>
      <c r="AD568" s="87"/>
      <c r="AE568" s="87"/>
      <c r="AF568" s="87"/>
      <c r="AG568" s="141" t="s">
        <v>1733</v>
      </c>
    </row>
    <row r="569" spans="1:33" ht="18">
      <c r="A569" s="166" t="s">
        <v>1238</v>
      </c>
      <c r="B569" s="167" t="s">
        <v>1238</v>
      </c>
      <c r="C569" s="167" t="s">
        <v>1528</v>
      </c>
      <c r="D569" s="143" t="str">
        <f>"PRD_SNJ_"&amp;
_xlfn.XLOOKUP(商品マスタ[[#This Row],[仕入先]],テーブル1[仕入先名],テーブル1[仕入先コード],"XXX",0,1)&amp;
"_"&amp;
商品マスタ[[#This Row],[シリアル]]&amp;
"_"&amp;
TEXT(COUNTIFS(商品マスタ!$C$3:C569,商品マスタ[[#This Row],[仕入先]],商品マスタ!$E$3:E569,商品マスタ[[#This Row],[商品名]]), "00")</f>
        <v>PRD_SNJ_TSF_0010_01</v>
      </c>
      <c r="E569" s="87" t="s">
        <v>1562</v>
      </c>
      <c r="F569" s="87">
        <f>IF(COUNTIFS($C$3:C569,商品マスタ[[#This Row],[仕入先]],$E$3:E569,商品マスタ[[#This Row],[商品名]]) = 1, 1,0)</f>
        <v>1</v>
      </c>
      <c r="G569" s="133" t="str">
        <f>TEXT(SUMIF($C$3:C569,商品マスタ[[#This Row],[仕入先]],$F$3:F569), "0000")</f>
        <v>0010</v>
      </c>
      <c r="H569" s="87" t="s">
        <v>901</v>
      </c>
      <c r="I569" s="87" t="s">
        <v>261</v>
      </c>
      <c r="J569" s="87" t="s">
        <v>1623</v>
      </c>
      <c r="K569" s="87"/>
      <c r="L569" s="134">
        <v>17640</v>
      </c>
      <c r="M569" s="157">
        <v>46052</v>
      </c>
      <c r="N569" s="134">
        <v>23333.33</v>
      </c>
      <c r="O569" s="135">
        <f>IF(COUNT(商品マスタ[[#This Row],[参考上代
（税込)]]) &gt; 0, (商品マスタ[[#This Row],[参考上代
（税込)]]-商品マスタ[[#This Row],[国内定価
（15％）]])/(商品マスタ[[#This Row],[参考上代
（税込)]]/1.08), "")</f>
        <v>2.3296991899570352E-2</v>
      </c>
      <c r="P569" s="136">
        <v>0.1</v>
      </c>
      <c r="Q569" s="134">
        <f>商品マスタ[[#This Row],[仕入
単価]]*商品マスタ[[#This Row],[標準国内送料率]]</f>
        <v>1764</v>
      </c>
      <c r="R569" s="134"/>
      <c r="S569" s="134">
        <f>IF(ISBLANK(商品マスタ[[#This Row],[実績
国内送料]]),商品マスタ[[#This Row],[標準国内送料]],)</f>
        <v>1764</v>
      </c>
      <c r="T569" s="134">
        <f>商品マスタ[[#This Row],[仕入
単価]]+商品マスタ[[#This Row],[国内送料]]</f>
        <v>19404</v>
      </c>
      <c r="U569" s="134">
        <f>ROUNDUP(商品マスタ[[#This Row],[仕入単価+国内送料]]/0.8,-1)</f>
        <v>24260</v>
      </c>
      <c r="V569" s="134">
        <f>商品マスタ[[#This Row],[海外定価
（20％）]]-商品マスタ[[#This Row],[仕入単価+国内送料]]</f>
        <v>4856</v>
      </c>
      <c r="W569" s="87">
        <f>ROUNDUP(商品マスタ[[#This Row],[仕入単価+国内送料]]/0.85,-1)</f>
        <v>22830</v>
      </c>
      <c r="X569" s="134">
        <f>商品マスタ[[#This Row],[国内定価
（15％）]]-商品マスタ[[#This Row],[仕入単価+国内送料]]</f>
        <v>3426</v>
      </c>
      <c r="Y569" s="139">
        <v>0.08</v>
      </c>
      <c r="Z569" s="87" t="s">
        <v>1667</v>
      </c>
      <c r="AA569" s="87" t="s">
        <v>960</v>
      </c>
      <c r="AB569" s="87" t="s">
        <v>1668</v>
      </c>
      <c r="AC569" s="140">
        <v>4541290200252</v>
      </c>
      <c r="AD569" s="87"/>
      <c r="AE569" s="87"/>
      <c r="AF569" s="87"/>
      <c r="AG569" s="141" t="s">
        <v>1733</v>
      </c>
    </row>
    <row r="570" spans="1:33" ht="18">
      <c r="A570" s="166" t="s">
        <v>1238</v>
      </c>
      <c r="B570" s="167" t="s">
        <v>1238</v>
      </c>
      <c r="C570" s="167" t="s">
        <v>1528</v>
      </c>
      <c r="D570" s="143" t="str">
        <f>"PRD_SNJ_"&amp;
_xlfn.XLOOKUP(商品マスタ[[#This Row],[仕入先]],テーブル1[仕入先名],テーブル1[仕入先コード],"XXX",0,1)&amp;
"_"&amp;
商品マスタ[[#This Row],[シリアル]]&amp;
"_"&amp;
TEXT(COUNTIFS(商品マスタ!$C$3:C570,商品マスタ[[#This Row],[仕入先]],商品マスタ!$E$3:E570,商品マスタ[[#This Row],[商品名]]), "00")</f>
        <v>PRD_SNJ_TSF_0011_01</v>
      </c>
      <c r="E570" s="87" t="s">
        <v>1563</v>
      </c>
      <c r="F570" s="87">
        <f>IF(COUNTIFS($C$3:C570,商品マスタ[[#This Row],[仕入先]],$E$3:E570,商品マスタ[[#This Row],[商品名]]) = 1, 1,0)</f>
        <v>1</v>
      </c>
      <c r="G570" s="133" t="str">
        <f>TEXT(SUMIF($C$3:C570,商品マスタ[[#This Row],[仕入先]],$F$3:F570), "0000")</f>
        <v>0011</v>
      </c>
      <c r="H570" s="87" t="s">
        <v>901</v>
      </c>
      <c r="I570" s="87" t="s">
        <v>308</v>
      </c>
      <c r="J570" s="87" t="s">
        <v>1623</v>
      </c>
      <c r="K570" s="87"/>
      <c r="L570" s="134">
        <v>26880</v>
      </c>
      <c r="M570" s="157">
        <v>46052</v>
      </c>
      <c r="N570" s="134">
        <v>35555.56</v>
      </c>
      <c r="O570" s="135">
        <f>IF(COUNT(商品マスタ[[#This Row],[参考上代
（税込)]]) &gt; 0, (商品マスタ[[#This Row],[参考上代
（税込)]]-商品マスタ[[#This Row],[国内定価
（15％）]])/(商品マスタ[[#This Row],[参考上代
（税込)]]/1.08), "")</f>
        <v>2.325388209326467E-2</v>
      </c>
      <c r="P570" s="136">
        <v>0.1</v>
      </c>
      <c r="Q570" s="134">
        <f>商品マスタ[[#This Row],[仕入
単価]]*商品マスタ[[#This Row],[標準国内送料率]]</f>
        <v>2688</v>
      </c>
      <c r="R570" s="134"/>
      <c r="S570" s="134">
        <f>IF(ISBLANK(商品マスタ[[#This Row],[実績
国内送料]]),商品マスタ[[#This Row],[標準国内送料]],)</f>
        <v>2688</v>
      </c>
      <c r="T570" s="134">
        <f>商品マスタ[[#This Row],[仕入
単価]]+商品マスタ[[#This Row],[国内送料]]</f>
        <v>29568</v>
      </c>
      <c r="U570" s="134">
        <f>ROUNDUP(商品マスタ[[#This Row],[仕入単価+国内送料]]/0.8,-1)</f>
        <v>36960</v>
      </c>
      <c r="V570" s="134">
        <f>商品マスタ[[#This Row],[海外定価
（20％）]]-商品マスタ[[#This Row],[仕入単価+国内送料]]</f>
        <v>7392</v>
      </c>
      <c r="W570" s="87">
        <f>ROUNDUP(商品マスタ[[#This Row],[仕入単価+国内送料]]/0.85,-1)</f>
        <v>34790</v>
      </c>
      <c r="X570" s="134">
        <f>商品マスタ[[#This Row],[国内定価
（15％）]]-商品マスタ[[#This Row],[仕入単価+国内送料]]</f>
        <v>5222</v>
      </c>
      <c r="Y570" s="139">
        <v>0.08</v>
      </c>
      <c r="Z570" s="87" t="s">
        <v>1669</v>
      </c>
      <c r="AA570" s="87" t="s">
        <v>1670</v>
      </c>
      <c r="AB570" s="87" t="s">
        <v>1668</v>
      </c>
      <c r="AC570" s="140">
        <v>4541290300013</v>
      </c>
      <c r="AD570" s="87"/>
      <c r="AE570" s="87"/>
      <c r="AF570" s="87"/>
      <c r="AG570" s="141"/>
    </row>
    <row r="571" spans="1:33" ht="18">
      <c r="A571" s="166" t="s">
        <v>1238</v>
      </c>
      <c r="B571" s="167" t="s">
        <v>1238</v>
      </c>
      <c r="C571" s="167" t="s">
        <v>1528</v>
      </c>
      <c r="D571" s="143" t="str">
        <f>"PRD_SNJ_"&amp;
_xlfn.XLOOKUP(商品マスタ[[#This Row],[仕入先]],テーブル1[仕入先名],テーブル1[仕入先コード],"XXX",0,1)&amp;
"_"&amp;
商品マスタ[[#This Row],[シリアル]]&amp;
"_"&amp;
TEXT(COUNTIFS(商品マスタ!$C$3:C571,商品マスタ[[#This Row],[仕入先]],商品マスタ!$E$3:E571,商品マスタ[[#This Row],[商品名]]), "00")</f>
        <v>PRD_SNJ_TSF_0012_01</v>
      </c>
      <c r="E571" s="87" t="s">
        <v>1564</v>
      </c>
      <c r="F571" s="87">
        <f>IF(COUNTIFS($C$3:C571,商品マスタ[[#This Row],[仕入先]],$E$3:E571,商品マスタ[[#This Row],[商品名]]) = 1, 1,0)</f>
        <v>1</v>
      </c>
      <c r="G571" s="133" t="str">
        <f>TEXT(SUMIF($C$3:C571,商品マスタ[[#This Row],[仕入先]],$F$3:F571), "0000")</f>
        <v>0012</v>
      </c>
      <c r="H571" s="87" t="s">
        <v>901</v>
      </c>
      <c r="I571" s="87" t="s">
        <v>1624</v>
      </c>
      <c r="J571" s="87" t="s">
        <v>1625</v>
      </c>
      <c r="K571" s="87"/>
      <c r="L571" s="134">
        <v>21000</v>
      </c>
      <c r="M571" s="157">
        <v>46052</v>
      </c>
      <c r="N571" s="134">
        <v>27777.78</v>
      </c>
      <c r="O571" s="135">
        <f>IF(COUNT(商品マスタ[[#This Row],[参考上代
（税込)]]) &gt; 0, (商品マスタ[[#This Row],[参考上代
（税込)]]-商品マスタ[[#This Row],[国内定価
（15％）]])/(商品マスタ[[#This Row],[参考上代
（税込)]]/1.08), "")</f>
        <v>2.3241684540665195E-2</v>
      </c>
      <c r="P571" s="136">
        <v>0.1</v>
      </c>
      <c r="Q571" s="134">
        <f>商品マスタ[[#This Row],[仕入
単価]]*商品マスタ[[#This Row],[標準国内送料率]]</f>
        <v>2100</v>
      </c>
      <c r="R571" s="134"/>
      <c r="S571" s="134">
        <f>IF(ISBLANK(商品マスタ[[#This Row],[実績
国内送料]]),商品マスタ[[#This Row],[標準国内送料]],)</f>
        <v>2100</v>
      </c>
      <c r="T571" s="134">
        <f>商品マスタ[[#This Row],[仕入
単価]]+商品マスタ[[#This Row],[国内送料]]</f>
        <v>23100</v>
      </c>
      <c r="U571" s="134">
        <f>ROUNDUP(商品マスタ[[#This Row],[仕入単価+国内送料]]/0.8,-1)</f>
        <v>28880</v>
      </c>
      <c r="V571" s="134">
        <f>商品マスタ[[#This Row],[海外定価
（20％）]]-商品マスタ[[#This Row],[仕入単価+国内送料]]</f>
        <v>5780</v>
      </c>
      <c r="W571" s="87">
        <f>ROUNDUP(商品マスタ[[#This Row],[仕入単価+国内送料]]/0.85,-1)</f>
        <v>27180</v>
      </c>
      <c r="X571" s="134">
        <f>商品マスタ[[#This Row],[国内定価
（15％）]]-商品マスタ[[#This Row],[仕入単価+国内送料]]</f>
        <v>4080</v>
      </c>
      <c r="Y571" s="139">
        <v>0.08</v>
      </c>
      <c r="Z571" s="87" t="s">
        <v>1671</v>
      </c>
      <c r="AA571" s="87" t="s">
        <v>960</v>
      </c>
      <c r="AB571" s="87" t="s">
        <v>1668</v>
      </c>
      <c r="AC571" s="140">
        <v>4541290400003</v>
      </c>
      <c r="AD571" s="87"/>
      <c r="AE571" s="87"/>
      <c r="AF571" s="87"/>
      <c r="AG571" s="141"/>
    </row>
    <row r="572" spans="1:33" ht="18">
      <c r="A572" s="166" t="s">
        <v>1524</v>
      </c>
      <c r="B572" s="167" t="s">
        <v>1229</v>
      </c>
      <c r="C572" s="167" t="s">
        <v>1529</v>
      </c>
      <c r="D572" s="143" t="str">
        <f>"PRD_SNJ_"&amp;
_xlfn.XLOOKUP(商品マスタ[[#This Row],[仕入先]],テーブル1[仕入先名],テーブル1[仕入先コード],"XXX",0,1)&amp;
"_"&amp;
商品マスタ[[#This Row],[シリアル]]&amp;
"_"&amp;
TEXT(COUNTIFS(商品マスタ!$C$3:C572,商品マスタ[[#This Row],[仕入先]],商品マスタ!$E$3:E572,商品マスタ[[#This Row],[商品名]]), "00")</f>
        <v>PRD_SNJ_KGS_0001_01</v>
      </c>
      <c r="E572" s="87" t="s">
        <v>1565</v>
      </c>
      <c r="F572" s="87">
        <f>IF(COUNTIFS($C$3:C572,商品マスタ[[#This Row],[仕入先]],$E$3:E572,商品マスタ[[#This Row],[商品名]]) = 1, 1,0)</f>
        <v>1</v>
      </c>
      <c r="G572" s="133" t="str">
        <f>TEXT(SUMIF($C$3:C572,商品マスタ[[#This Row],[仕入先]],$F$3:F572), "0000")</f>
        <v>0001</v>
      </c>
      <c r="H572" s="87" t="s">
        <v>901</v>
      </c>
      <c r="I572" s="87">
        <v>10</v>
      </c>
      <c r="J572" s="87" t="s">
        <v>1626</v>
      </c>
      <c r="K572" s="87"/>
      <c r="L572" s="134">
        <v>1300</v>
      </c>
      <c r="M572" s="157">
        <v>46052</v>
      </c>
      <c r="N572" s="134"/>
      <c r="O572" s="135" t="str">
        <f>IF(COUNT(商品マスタ[[#This Row],[参考上代
（税込)]]) &gt; 0, (商品マスタ[[#This Row],[参考上代
（税込)]]-商品マスタ[[#This Row],[国内定価
（15％）]])/(商品マスタ[[#This Row],[参考上代
（税込)]]/1.08), "")</f>
        <v/>
      </c>
      <c r="P572" s="136">
        <v>0.1</v>
      </c>
      <c r="Q572" s="134">
        <f>商品マスタ[[#This Row],[仕入
単価]]*商品マスタ[[#This Row],[標準国内送料率]]</f>
        <v>130</v>
      </c>
      <c r="R572" s="134"/>
      <c r="S572" s="134">
        <f>IF(ISBLANK(商品マスタ[[#This Row],[実績
国内送料]]),商品マスタ[[#This Row],[標準国内送料]],)</f>
        <v>130</v>
      </c>
      <c r="T572" s="134">
        <f>商品マスタ[[#This Row],[仕入
単価]]+商品マスタ[[#This Row],[国内送料]]</f>
        <v>1430</v>
      </c>
      <c r="U572" s="134">
        <f>ROUNDUP(商品マスタ[[#This Row],[仕入単価+国内送料]]/0.8,-1)</f>
        <v>1790</v>
      </c>
      <c r="V572" s="134">
        <f>商品マスタ[[#This Row],[海外定価
（20％）]]-商品マスタ[[#This Row],[仕入単価+国内送料]]</f>
        <v>360</v>
      </c>
      <c r="W572" s="87">
        <f>ROUNDUP(商品マスタ[[#This Row],[仕入単価+国内送料]]/0.85,-1)</f>
        <v>1690</v>
      </c>
      <c r="X572" s="134">
        <f>商品マスタ[[#This Row],[国内定価
（15％）]]-商品マスタ[[#This Row],[仕入単価+国内送料]]</f>
        <v>260</v>
      </c>
      <c r="Y572" s="139">
        <v>0.08</v>
      </c>
      <c r="Z572" s="87" t="s">
        <v>1672</v>
      </c>
      <c r="AA572" s="87" t="s">
        <v>960</v>
      </c>
      <c r="AB572" s="87" t="s">
        <v>1668</v>
      </c>
      <c r="AC572" s="140"/>
      <c r="AD572" s="87" t="s">
        <v>1673</v>
      </c>
      <c r="AE572" s="87"/>
      <c r="AF572" s="87"/>
      <c r="AG572" s="141"/>
    </row>
    <row r="573" spans="1:33" ht="18">
      <c r="A573" s="166" t="s">
        <v>1524</v>
      </c>
      <c r="B573" s="167" t="s">
        <v>1229</v>
      </c>
      <c r="C573" s="167" t="s">
        <v>1529</v>
      </c>
      <c r="D573" s="143" t="str">
        <f>"PRD_SNJ_"&amp;
_xlfn.XLOOKUP(商品マスタ[[#This Row],[仕入先]],テーブル1[仕入先名],テーブル1[仕入先コード],"XXX",0,1)&amp;
"_"&amp;
商品マスタ[[#This Row],[シリアル]]&amp;
"_"&amp;
TEXT(COUNTIFS(商品マスタ!$C$3:C573,商品マスタ[[#This Row],[仕入先]],商品マスタ!$E$3:E573,商品マスタ[[#This Row],[商品名]]), "00")</f>
        <v>PRD_SNJ_KGS_0001_02</v>
      </c>
      <c r="E573" s="87" t="s">
        <v>1565</v>
      </c>
      <c r="F573" s="87">
        <f>IF(COUNTIFS($C$3:C573,商品マスタ[[#This Row],[仕入先]],$E$3:E573,商品マスタ[[#This Row],[商品名]]) = 1, 1,0)</f>
        <v>0</v>
      </c>
      <c r="G573" s="133" t="str">
        <f>TEXT(SUMIF($C$3:C573,商品マスタ[[#This Row],[仕入先]],$F$3:F573), "0000")</f>
        <v>0001</v>
      </c>
      <c r="H573" s="87" t="s">
        <v>901</v>
      </c>
      <c r="I573" s="87">
        <v>20</v>
      </c>
      <c r="J573" s="87" t="s">
        <v>1627</v>
      </c>
      <c r="K573" s="87"/>
      <c r="L573" s="134">
        <v>1200</v>
      </c>
      <c r="M573" s="157">
        <v>46052</v>
      </c>
      <c r="N573" s="134"/>
      <c r="O573" s="135" t="str">
        <f>IF(COUNT(商品マスタ[[#This Row],[参考上代
（税込)]]) &gt; 0, (商品マスタ[[#This Row],[参考上代
（税込)]]-商品マスタ[[#This Row],[国内定価
（15％）]])/(商品マスタ[[#This Row],[参考上代
（税込)]]/1.08), "")</f>
        <v/>
      </c>
      <c r="P573" s="136">
        <v>0.1</v>
      </c>
      <c r="Q573" s="134">
        <f>商品マスタ[[#This Row],[仕入
単価]]*商品マスタ[[#This Row],[標準国内送料率]]</f>
        <v>120</v>
      </c>
      <c r="R573" s="134"/>
      <c r="S573" s="134">
        <f>IF(ISBLANK(商品マスタ[[#This Row],[実績
国内送料]]),商品マスタ[[#This Row],[標準国内送料]],)</f>
        <v>120</v>
      </c>
      <c r="T573" s="134">
        <f>商品マスタ[[#This Row],[仕入
単価]]+商品マスタ[[#This Row],[国内送料]]</f>
        <v>1320</v>
      </c>
      <c r="U573" s="134">
        <f>ROUNDUP(商品マスタ[[#This Row],[仕入単価+国内送料]]/0.8,-1)</f>
        <v>1650</v>
      </c>
      <c r="V573" s="134">
        <f>商品マスタ[[#This Row],[海外定価
（20％）]]-商品マスタ[[#This Row],[仕入単価+国内送料]]</f>
        <v>330</v>
      </c>
      <c r="W573" s="87">
        <f>ROUNDUP(商品マスタ[[#This Row],[仕入単価+国内送料]]/0.85,-1)</f>
        <v>1560</v>
      </c>
      <c r="X573" s="134">
        <f>商品マスタ[[#This Row],[国内定価
（15％）]]-商品マスタ[[#This Row],[仕入単価+国内送料]]</f>
        <v>240</v>
      </c>
      <c r="Y573" s="139">
        <v>0.08</v>
      </c>
      <c r="Z573" s="87" t="s">
        <v>1672</v>
      </c>
      <c r="AA573" s="87" t="s">
        <v>960</v>
      </c>
      <c r="AB573" s="87" t="s">
        <v>1668</v>
      </c>
      <c r="AC573" s="140"/>
      <c r="AD573" s="87" t="s">
        <v>1673</v>
      </c>
      <c r="AE573" s="87"/>
      <c r="AF573" s="87"/>
      <c r="AG573" s="141"/>
    </row>
    <row r="574" spans="1:33" ht="18">
      <c r="A574" s="166" t="s">
        <v>1524</v>
      </c>
      <c r="B574" s="167" t="s">
        <v>1229</v>
      </c>
      <c r="C574" s="167" t="s">
        <v>1530</v>
      </c>
      <c r="D574" s="143" t="str">
        <f>"PRD_SNJ_"&amp;
_xlfn.XLOOKUP(商品マスタ[[#This Row],[仕入先]],テーブル1[仕入先名],テーブル1[仕入先コード],"XXX",0,1)&amp;
"_"&amp;
商品マスタ[[#This Row],[シリアル]]&amp;
"_"&amp;
TEXT(COUNTIFS(商品マスタ!$C$3:C574,商品マスタ[[#This Row],[仕入先]],商品マスタ!$E$3:E574,商品マスタ[[#This Row],[商品名]]), "00")</f>
        <v>PRD_SNJ_FJT_0001_01</v>
      </c>
      <c r="E574" s="87" t="s">
        <v>1566</v>
      </c>
      <c r="F574" s="87">
        <f>IF(COUNTIFS($C$3:C574,商品マスタ[[#This Row],[仕入先]],$E$3:E574,商品マスタ[[#This Row],[商品名]]) = 1, 1,0)</f>
        <v>1</v>
      </c>
      <c r="G574" s="133" t="str">
        <f>TEXT(SUMIF($C$3:C574,商品マスタ[[#This Row],[仕入先]],$F$3:F574), "0000")</f>
        <v>0001</v>
      </c>
      <c r="H574" s="87" t="s">
        <v>901</v>
      </c>
      <c r="I574" s="87">
        <v>60</v>
      </c>
      <c r="J574" s="87">
        <v>60</v>
      </c>
      <c r="K574" s="87"/>
      <c r="L574" s="134">
        <v>700</v>
      </c>
      <c r="M574" s="157">
        <v>46052</v>
      </c>
      <c r="N574" s="134">
        <v>833.33</v>
      </c>
      <c r="O574" s="135">
        <f>IF(COUNT(商品マスタ[[#This Row],[参考上代
（税込)]]) &gt; 0, (商品マスタ[[#This Row],[参考上代
（税込)]]-商品マスタ[[#This Row],[国内定価
（15％）]])/(商品マスタ[[#This Row],[参考上代
（税込)]]/1.08), "")</f>
        <v>-9.9364717458869781E-2</v>
      </c>
      <c r="P574" s="136">
        <v>0.1</v>
      </c>
      <c r="Q574" s="134">
        <f>商品マスタ[[#This Row],[仕入
単価]]*商品マスタ[[#This Row],[標準国内送料率]]</f>
        <v>70</v>
      </c>
      <c r="R574" s="134"/>
      <c r="S574" s="134">
        <f>IF(ISBLANK(商品マスタ[[#This Row],[実績
国内送料]]),商品マスタ[[#This Row],[標準国内送料]],)</f>
        <v>70</v>
      </c>
      <c r="T574" s="134">
        <f>商品マスタ[[#This Row],[仕入
単価]]+商品マスタ[[#This Row],[国内送料]]</f>
        <v>770</v>
      </c>
      <c r="U574" s="134">
        <f>ROUNDUP(商品マスタ[[#This Row],[仕入単価+国内送料]]/0.8,-1)</f>
        <v>970</v>
      </c>
      <c r="V574" s="134">
        <f>商品マスタ[[#This Row],[海外定価
（20％）]]-商品マスタ[[#This Row],[仕入単価+国内送料]]</f>
        <v>200</v>
      </c>
      <c r="W574" s="87">
        <f>ROUNDUP(商品マスタ[[#This Row],[仕入単価+国内送料]]/0.85,-1)</f>
        <v>910</v>
      </c>
      <c r="X574" s="134">
        <f>商品マスタ[[#This Row],[国内定価
（15％）]]-商品マスタ[[#This Row],[仕入単価+国内送料]]</f>
        <v>140</v>
      </c>
      <c r="Y574" s="139">
        <v>0.08</v>
      </c>
      <c r="Z574" s="87" t="s">
        <v>1674</v>
      </c>
      <c r="AA574" s="87" t="s">
        <v>1670</v>
      </c>
      <c r="AB574" s="87" t="s">
        <v>1675</v>
      </c>
      <c r="AC574" s="140">
        <v>4539297310401</v>
      </c>
      <c r="AD574" s="87" t="s">
        <v>1676</v>
      </c>
      <c r="AE574" s="87"/>
      <c r="AF574" s="87"/>
      <c r="AG574" s="141" t="s">
        <v>1734</v>
      </c>
    </row>
    <row r="575" spans="1:33" ht="18">
      <c r="A575" s="166" t="s">
        <v>1524</v>
      </c>
      <c r="B575" s="167" t="s">
        <v>1229</v>
      </c>
      <c r="C575" s="167" t="s">
        <v>1530</v>
      </c>
      <c r="D575" s="143" t="str">
        <f>"PRD_SNJ_"&amp;
_xlfn.XLOOKUP(商品マスタ[[#This Row],[仕入先]],テーブル1[仕入先名],テーブル1[仕入先コード],"XXX",0,1)&amp;
"_"&amp;
商品マスタ[[#This Row],[シリアル]]&amp;
"_"&amp;
TEXT(COUNTIFS(商品マスタ!$C$3:C575,商品マスタ[[#This Row],[仕入先]],商品マスタ!$E$3:E575,商品マスタ[[#This Row],[商品名]]), "00")</f>
        <v>PRD_SNJ_FJT_0002_01</v>
      </c>
      <c r="E575" s="87" t="s">
        <v>1567</v>
      </c>
      <c r="F575" s="87">
        <f>IF(COUNTIFS($C$3:C575,商品マスタ[[#This Row],[仕入先]],$E$3:E575,商品マスタ[[#This Row],[商品名]]) = 1, 1,0)</f>
        <v>1</v>
      </c>
      <c r="G575" s="133" t="str">
        <f>TEXT(SUMIF($C$3:C575,商品マスタ[[#This Row],[仕入先]],$F$3:F575), "0000")</f>
        <v>0002</v>
      </c>
      <c r="H575" s="87" t="s">
        <v>901</v>
      </c>
      <c r="I575" s="87">
        <v>60</v>
      </c>
      <c r="J575" s="87">
        <v>60</v>
      </c>
      <c r="K575" s="87"/>
      <c r="L575" s="134">
        <v>700</v>
      </c>
      <c r="M575" s="157">
        <v>46052</v>
      </c>
      <c r="N575" s="134">
        <v>833.33</v>
      </c>
      <c r="O575" s="135">
        <f>IF(COUNT(商品マスタ[[#This Row],[参考上代
（税込)]]) &gt; 0, (商品マスタ[[#This Row],[参考上代
（税込)]]-商品マスタ[[#This Row],[国内定価
（15％）]])/(商品マスタ[[#This Row],[参考上代
（税込)]]/1.08), "")</f>
        <v>-9.9364717458869781E-2</v>
      </c>
      <c r="P575" s="136">
        <v>0.1</v>
      </c>
      <c r="Q575" s="134">
        <f>商品マスタ[[#This Row],[仕入
単価]]*商品マスタ[[#This Row],[標準国内送料率]]</f>
        <v>70</v>
      </c>
      <c r="R575" s="134"/>
      <c r="S575" s="134">
        <f>IF(ISBLANK(商品マスタ[[#This Row],[実績
国内送料]]),商品マスタ[[#This Row],[標準国内送料]],)</f>
        <v>70</v>
      </c>
      <c r="T575" s="134">
        <f>商品マスタ[[#This Row],[仕入
単価]]+商品マスタ[[#This Row],[国内送料]]</f>
        <v>770</v>
      </c>
      <c r="U575" s="134">
        <f>ROUNDUP(商品マスタ[[#This Row],[仕入単価+国内送料]]/0.8,-1)</f>
        <v>970</v>
      </c>
      <c r="V575" s="134">
        <f>商品マスタ[[#This Row],[海外定価
（20％）]]-商品マスタ[[#This Row],[仕入単価+国内送料]]</f>
        <v>200</v>
      </c>
      <c r="W575" s="87">
        <f>ROUNDUP(商品マスタ[[#This Row],[仕入単価+国内送料]]/0.85,-1)</f>
        <v>910</v>
      </c>
      <c r="X575" s="134">
        <f>商品マスタ[[#This Row],[国内定価
（15％）]]-商品マスタ[[#This Row],[仕入単価+国内送料]]</f>
        <v>140</v>
      </c>
      <c r="Y575" s="139">
        <v>0.08</v>
      </c>
      <c r="Z575" s="87" t="s">
        <v>1677</v>
      </c>
      <c r="AA575" s="87" t="s">
        <v>1670</v>
      </c>
      <c r="AB575" s="87" t="s">
        <v>1675</v>
      </c>
      <c r="AC575" s="140">
        <v>4539297310302</v>
      </c>
      <c r="AD575" s="87" t="s">
        <v>1676</v>
      </c>
      <c r="AE575" s="87"/>
      <c r="AF575" s="87"/>
      <c r="AG575" s="141" t="s">
        <v>1734</v>
      </c>
    </row>
    <row r="576" spans="1:33" ht="18">
      <c r="A576" s="166" t="s">
        <v>1524</v>
      </c>
      <c r="B576" s="167" t="s">
        <v>1229</v>
      </c>
      <c r="C576" s="167" t="s">
        <v>1530</v>
      </c>
      <c r="D576" s="143" t="str">
        <f>"PRD_SNJ_"&amp;
_xlfn.XLOOKUP(商品マスタ[[#This Row],[仕入先]],テーブル1[仕入先名],テーブル1[仕入先コード],"XXX",0,1)&amp;
"_"&amp;
商品マスタ[[#This Row],[シリアル]]&amp;
"_"&amp;
TEXT(COUNTIFS(商品マスタ!$C$3:C576,商品マスタ[[#This Row],[仕入先]],商品マスタ!$E$3:E576,商品マスタ[[#This Row],[商品名]]), "00")</f>
        <v>PRD_SNJ_FJT_0003_01</v>
      </c>
      <c r="E576" s="87" t="s">
        <v>1568</v>
      </c>
      <c r="F576" s="87">
        <f>IF(COUNTIFS($C$3:C576,商品マスタ[[#This Row],[仕入先]],$E$3:E576,商品マスタ[[#This Row],[商品名]]) = 1, 1,0)</f>
        <v>1</v>
      </c>
      <c r="G576" s="133" t="str">
        <f>TEXT(SUMIF($C$3:C576,商品マスタ[[#This Row],[仕入先]],$F$3:F576), "0000")</f>
        <v>0003</v>
      </c>
      <c r="H576" s="87" t="s">
        <v>901</v>
      </c>
      <c r="I576" s="87">
        <v>60</v>
      </c>
      <c r="J576" s="87">
        <v>60</v>
      </c>
      <c r="K576" s="87"/>
      <c r="L576" s="134">
        <v>700</v>
      </c>
      <c r="M576" s="157">
        <v>46052</v>
      </c>
      <c r="N576" s="134">
        <v>833.33</v>
      </c>
      <c r="O576" s="135">
        <f>IF(COUNT(商品マスタ[[#This Row],[参考上代
（税込)]]) &gt; 0, (商品マスタ[[#This Row],[参考上代
（税込)]]-商品マスタ[[#This Row],[国内定価
（15％）]])/(商品マスタ[[#This Row],[参考上代
（税込)]]/1.08), "")</f>
        <v>-9.9364717458869781E-2</v>
      </c>
      <c r="P576" s="136">
        <v>0.1</v>
      </c>
      <c r="Q576" s="134">
        <f>商品マスタ[[#This Row],[仕入
単価]]*商品マスタ[[#This Row],[標準国内送料率]]</f>
        <v>70</v>
      </c>
      <c r="R576" s="134"/>
      <c r="S576" s="134">
        <f>IF(ISBLANK(商品マスタ[[#This Row],[実績
国内送料]]),商品マスタ[[#This Row],[標準国内送料]],)</f>
        <v>70</v>
      </c>
      <c r="T576" s="134">
        <f>商品マスタ[[#This Row],[仕入
単価]]+商品マスタ[[#This Row],[国内送料]]</f>
        <v>770</v>
      </c>
      <c r="U576" s="134">
        <f>ROUNDUP(商品マスタ[[#This Row],[仕入単価+国内送料]]/0.8,-1)</f>
        <v>970</v>
      </c>
      <c r="V576" s="134">
        <f>商品マスタ[[#This Row],[海外定価
（20％）]]-商品マスタ[[#This Row],[仕入単価+国内送料]]</f>
        <v>200</v>
      </c>
      <c r="W576" s="87">
        <f>ROUNDUP(商品マスタ[[#This Row],[仕入単価+国内送料]]/0.85,-1)</f>
        <v>910</v>
      </c>
      <c r="X576" s="134">
        <f>商品マスタ[[#This Row],[国内定価
（15％）]]-商品マスタ[[#This Row],[仕入単価+国内送料]]</f>
        <v>140</v>
      </c>
      <c r="Y576" s="139">
        <v>0.08</v>
      </c>
      <c r="Z576" s="87" t="s">
        <v>1674</v>
      </c>
      <c r="AA576" s="87" t="s">
        <v>1670</v>
      </c>
      <c r="AB576" s="87" t="s">
        <v>1675</v>
      </c>
      <c r="AC576" s="140">
        <v>4539297310203</v>
      </c>
      <c r="AD576" s="87" t="s">
        <v>1678</v>
      </c>
      <c r="AE576" s="87"/>
      <c r="AF576" s="87"/>
      <c r="AG576" s="141" t="s">
        <v>1734</v>
      </c>
    </row>
    <row r="577" spans="1:33" ht="18">
      <c r="A577" s="166" t="s">
        <v>1524</v>
      </c>
      <c r="B577" s="167" t="s">
        <v>1229</v>
      </c>
      <c r="C577" s="167" t="s">
        <v>1530</v>
      </c>
      <c r="D577" s="143" t="str">
        <f>"PRD_SNJ_"&amp;
_xlfn.XLOOKUP(商品マスタ[[#This Row],[仕入先]],テーブル1[仕入先名],テーブル1[仕入先コード],"XXX",0,1)&amp;
"_"&amp;
商品マスタ[[#This Row],[シリアル]]&amp;
"_"&amp;
TEXT(COUNTIFS(商品マスタ!$C$3:C577,商品マスタ[[#This Row],[仕入先]],商品マスタ!$E$3:E577,商品マスタ[[#This Row],[商品名]]), "00")</f>
        <v>PRD_SNJ_FJT_0004_01</v>
      </c>
      <c r="E577" s="87" t="s">
        <v>1569</v>
      </c>
      <c r="F577" s="87">
        <f>IF(COUNTIFS($C$3:C577,商品マスタ[[#This Row],[仕入先]],$E$3:E577,商品マスタ[[#This Row],[商品名]]) = 1, 1,0)</f>
        <v>1</v>
      </c>
      <c r="G577" s="133" t="str">
        <f>TEXT(SUMIF($C$3:C577,商品マスタ[[#This Row],[仕入先]],$F$3:F577), "0000")</f>
        <v>0004</v>
      </c>
      <c r="H577" s="87" t="s">
        <v>901</v>
      </c>
      <c r="I577" s="87">
        <v>60</v>
      </c>
      <c r="J577" s="87">
        <v>60</v>
      </c>
      <c r="K577" s="87"/>
      <c r="L577" s="134">
        <v>700</v>
      </c>
      <c r="M577" s="157">
        <v>46052</v>
      </c>
      <c r="N577" s="134">
        <v>833.33</v>
      </c>
      <c r="O577" s="135">
        <f>IF(COUNT(商品マスタ[[#This Row],[参考上代
（税込)]]) &gt; 0, (商品マスタ[[#This Row],[参考上代
（税込)]]-商品マスタ[[#This Row],[国内定価
（15％）]])/(商品マスタ[[#This Row],[参考上代
（税込)]]/1.08), "")</f>
        <v>-9.9364717458869781E-2</v>
      </c>
      <c r="P577" s="136">
        <v>0.1</v>
      </c>
      <c r="Q577" s="134">
        <f>商品マスタ[[#This Row],[仕入
単価]]*商品マスタ[[#This Row],[標準国内送料率]]</f>
        <v>70</v>
      </c>
      <c r="R577" s="134"/>
      <c r="S577" s="134">
        <f>IF(ISBLANK(商品マスタ[[#This Row],[実績
国内送料]]),商品マスタ[[#This Row],[標準国内送料]],)</f>
        <v>70</v>
      </c>
      <c r="T577" s="134">
        <f>商品マスタ[[#This Row],[仕入
単価]]+商品マスタ[[#This Row],[国内送料]]</f>
        <v>770</v>
      </c>
      <c r="U577" s="134">
        <f>ROUNDUP(商品マスタ[[#This Row],[仕入単価+国内送料]]/0.8,-1)</f>
        <v>970</v>
      </c>
      <c r="V577" s="134">
        <f>商品マスタ[[#This Row],[海外定価
（20％）]]-商品マスタ[[#This Row],[仕入単価+国内送料]]</f>
        <v>200</v>
      </c>
      <c r="W577" s="87">
        <f>ROUNDUP(商品マスタ[[#This Row],[仕入単価+国内送料]]/0.85,-1)</f>
        <v>910</v>
      </c>
      <c r="X577" s="134">
        <f>商品マスタ[[#This Row],[国内定価
（15％）]]-商品マスタ[[#This Row],[仕入単価+国内送料]]</f>
        <v>140</v>
      </c>
      <c r="Y577" s="139">
        <v>0.08</v>
      </c>
      <c r="Z577" s="87" t="s">
        <v>1679</v>
      </c>
      <c r="AA577" s="87" t="s">
        <v>1670</v>
      </c>
      <c r="AB577" s="87" t="s">
        <v>1675</v>
      </c>
      <c r="AC577" s="140">
        <v>4539297310104</v>
      </c>
      <c r="AD577" s="87" t="s">
        <v>1678</v>
      </c>
      <c r="AE577" s="87"/>
      <c r="AF577" s="87"/>
      <c r="AG577" s="141" t="s">
        <v>1734</v>
      </c>
    </row>
    <row r="578" spans="1:33" ht="18">
      <c r="A578" s="166" t="s">
        <v>1524</v>
      </c>
      <c r="B578" s="167" t="s">
        <v>1229</v>
      </c>
      <c r="C578" s="167" t="s">
        <v>1530</v>
      </c>
      <c r="D578" s="143" t="str">
        <f>"PRD_SNJ_"&amp;
_xlfn.XLOOKUP(商品マスタ[[#This Row],[仕入先]],テーブル1[仕入先名],テーブル1[仕入先コード],"XXX",0,1)&amp;
"_"&amp;
商品マスタ[[#This Row],[シリアル]]&amp;
"_"&amp;
TEXT(COUNTIFS(商品マスタ!$C$3:C578,商品マスタ[[#This Row],[仕入先]],商品マスタ!$E$3:E578,商品マスタ[[#This Row],[商品名]]), "00")</f>
        <v>PRD_SNJ_FJT_0005_01</v>
      </c>
      <c r="E578" s="87" t="s">
        <v>1570</v>
      </c>
      <c r="F578" s="87">
        <f>IF(COUNTIFS($C$3:C578,商品マスタ[[#This Row],[仕入先]],$E$3:E578,商品マスタ[[#This Row],[商品名]]) = 1, 1,0)</f>
        <v>1</v>
      </c>
      <c r="G578" s="133" t="str">
        <f>TEXT(SUMIF($C$3:C578,商品マスタ[[#This Row],[仕入先]],$F$3:F578), "0000")</f>
        <v>0005</v>
      </c>
      <c r="H578" s="87" t="s">
        <v>901</v>
      </c>
      <c r="I578" s="87">
        <v>40</v>
      </c>
      <c r="J578" s="87">
        <v>40</v>
      </c>
      <c r="K578" s="87"/>
      <c r="L578" s="134">
        <v>1375</v>
      </c>
      <c r="M578" s="157">
        <v>46052</v>
      </c>
      <c r="N578" s="134">
        <v>1666.67</v>
      </c>
      <c r="O578" s="135">
        <f>IF(COUNT(商品マスタ[[#This Row],[参考上代
（税込)]]) &gt; 0, (商品マスタ[[#This Row],[参考上代
（税込)]]-商品マスタ[[#This Row],[国内定価
（15％）]])/(商品マスタ[[#This Row],[参考上代
（税込)]]/1.08), "")</f>
        <v>-7.3437693124613707E-2</v>
      </c>
      <c r="P578" s="136">
        <v>0.1</v>
      </c>
      <c r="Q578" s="134">
        <f>商品マスタ[[#This Row],[仕入
単価]]*商品マスタ[[#This Row],[標準国内送料率]]</f>
        <v>137.5</v>
      </c>
      <c r="R578" s="134"/>
      <c r="S578" s="134">
        <f>IF(ISBLANK(商品マスタ[[#This Row],[実績
国内送料]]),商品マスタ[[#This Row],[標準国内送料]],)</f>
        <v>137.5</v>
      </c>
      <c r="T578" s="134">
        <f>商品マスタ[[#This Row],[仕入
単価]]+商品マスタ[[#This Row],[国内送料]]</f>
        <v>1512.5</v>
      </c>
      <c r="U578" s="134">
        <f>ROUNDUP(商品マスタ[[#This Row],[仕入単価+国内送料]]/0.8,-1)</f>
        <v>1900</v>
      </c>
      <c r="V578" s="134">
        <f>商品マスタ[[#This Row],[海外定価
（20％）]]-商品マスタ[[#This Row],[仕入単価+国内送料]]</f>
        <v>387.5</v>
      </c>
      <c r="W578" s="87">
        <f>ROUNDUP(商品マスタ[[#This Row],[仕入単価+国内送料]]/0.85,-1)</f>
        <v>1780</v>
      </c>
      <c r="X578" s="134">
        <f>商品マスタ[[#This Row],[国内定価
（15％）]]-商品マスタ[[#This Row],[仕入単価+国内送料]]</f>
        <v>267.5</v>
      </c>
      <c r="Y578" s="139">
        <v>0.08</v>
      </c>
      <c r="Z578" s="87" t="s">
        <v>1680</v>
      </c>
      <c r="AA578" s="87" t="s">
        <v>1670</v>
      </c>
      <c r="AB578" s="87" t="s">
        <v>1675</v>
      </c>
      <c r="AC578" s="140">
        <v>4539297110704</v>
      </c>
      <c r="AD578" s="87" t="s">
        <v>1681</v>
      </c>
      <c r="AE578" s="87"/>
      <c r="AF578" s="87"/>
      <c r="AG578" s="141" t="s">
        <v>1734</v>
      </c>
    </row>
    <row r="579" spans="1:33" ht="18">
      <c r="A579" s="166" t="s">
        <v>1524</v>
      </c>
      <c r="B579" s="167" t="s">
        <v>1229</v>
      </c>
      <c r="C579" s="167" t="s">
        <v>1530</v>
      </c>
      <c r="D579" s="143" t="str">
        <f>"PRD_SNJ_"&amp;
_xlfn.XLOOKUP(商品マスタ[[#This Row],[仕入先]],テーブル1[仕入先名],テーブル1[仕入先コード],"XXX",0,1)&amp;
"_"&amp;
商品マスタ[[#This Row],[シリアル]]&amp;
"_"&amp;
TEXT(COUNTIFS(商品マスタ!$C$3:C579,商品マスタ[[#This Row],[仕入先]],商品マスタ!$E$3:E579,商品マスタ[[#This Row],[商品名]]), "00")</f>
        <v>PRD_SNJ_FJT_0006_01</v>
      </c>
      <c r="E579" s="87" t="s">
        <v>1571</v>
      </c>
      <c r="F579" s="87">
        <f>IF(COUNTIFS($C$3:C579,商品マスタ[[#This Row],[仕入先]],$E$3:E579,商品マスタ[[#This Row],[商品名]]) = 1, 1,0)</f>
        <v>1</v>
      </c>
      <c r="G579" s="133" t="str">
        <f>TEXT(SUMIF($C$3:C579,商品マスタ[[#This Row],[仕入先]],$F$3:F579), "0000")</f>
        <v>0006</v>
      </c>
      <c r="H579" s="87" t="s">
        <v>901</v>
      </c>
      <c r="I579" s="87">
        <v>60</v>
      </c>
      <c r="J579" s="87">
        <v>60</v>
      </c>
      <c r="K579" s="87"/>
      <c r="L579" s="134">
        <v>775</v>
      </c>
      <c r="M579" s="157">
        <v>46052</v>
      </c>
      <c r="N579" s="134">
        <v>925.93</v>
      </c>
      <c r="O579" s="135">
        <f>IF(COUNT(商品マスタ[[#This Row],[参考上代
（税込)]]) &gt; 0, (商品マスタ[[#This Row],[参考上代
（税込)]]-商品マスタ[[#This Row],[国内定価
（15％）]])/(商品マスタ[[#This Row],[参考上代
（税込)]]/1.08), "")</f>
        <v>-9.8058816541207294E-2</v>
      </c>
      <c r="P579" s="136">
        <v>0.1</v>
      </c>
      <c r="Q579" s="134">
        <f>商品マスタ[[#This Row],[仕入
単価]]*商品マスタ[[#This Row],[標準国内送料率]]</f>
        <v>77.5</v>
      </c>
      <c r="R579" s="134"/>
      <c r="S579" s="134">
        <f>IF(ISBLANK(商品マスタ[[#This Row],[実績
国内送料]]),商品マスタ[[#This Row],[標準国内送料]],)</f>
        <v>77.5</v>
      </c>
      <c r="T579" s="134">
        <f>商品マスタ[[#This Row],[仕入
単価]]+商品マスタ[[#This Row],[国内送料]]</f>
        <v>852.5</v>
      </c>
      <c r="U579" s="134">
        <f>ROUNDUP(商品マスタ[[#This Row],[仕入単価+国内送料]]/0.8,-1)</f>
        <v>1070</v>
      </c>
      <c r="V579" s="134">
        <f>商品マスタ[[#This Row],[海外定価
（20％）]]-商品マスタ[[#This Row],[仕入単価+国内送料]]</f>
        <v>217.5</v>
      </c>
      <c r="W579" s="87">
        <f>ROUNDUP(商品マスタ[[#This Row],[仕入単価+国内送料]]/0.85,-1)</f>
        <v>1010</v>
      </c>
      <c r="X579" s="134">
        <f>商品マスタ[[#This Row],[国内定価
（15％）]]-商品マスタ[[#This Row],[仕入単価+国内送料]]</f>
        <v>157.5</v>
      </c>
      <c r="Y579" s="139">
        <v>0.08</v>
      </c>
      <c r="Z579" s="87" t="s">
        <v>1680</v>
      </c>
      <c r="AA579" s="87" t="s">
        <v>1670</v>
      </c>
      <c r="AB579" s="87" t="s">
        <v>1675</v>
      </c>
      <c r="AC579" s="140">
        <v>4539297310807</v>
      </c>
      <c r="AD579" s="87" t="s">
        <v>1682</v>
      </c>
      <c r="AE579" s="87"/>
      <c r="AF579" s="87"/>
      <c r="AG579" s="141" t="s">
        <v>1734</v>
      </c>
    </row>
    <row r="580" spans="1:33" ht="18">
      <c r="A580" s="166" t="s">
        <v>1524</v>
      </c>
      <c r="B580" s="167" t="s">
        <v>1229</v>
      </c>
      <c r="C580" s="167" t="s">
        <v>1530</v>
      </c>
      <c r="D580" s="143" t="str">
        <f>"PRD_SNJ_"&amp;
_xlfn.XLOOKUP(商品マスタ[[#This Row],[仕入先]],テーブル1[仕入先名],テーブル1[仕入先コード],"XXX",0,1)&amp;
"_"&amp;
商品マスタ[[#This Row],[シリアル]]&amp;
"_"&amp;
TEXT(COUNTIFS(商品マスタ!$C$3:C580,商品マスタ[[#This Row],[仕入先]],商品マスタ!$E$3:E580,商品マスタ[[#This Row],[商品名]]), "00")</f>
        <v>PRD_SNJ_FJT_0007_01</v>
      </c>
      <c r="E580" s="87" t="s">
        <v>1572</v>
      </c>
      <c r="F580" s="87">
        <f>IF(COUNTIFS($C$3:C580,商品マスタ[[#This Row],[仕入先]],$E$3:E580,商品マスタ[[#This Row],[商品名]]) = 1, 1,0)</f>
        <v>1</v>
      </c>
      <c r="G580" s="133" t="str">
        <f>TEXT(SUMIF($C$3:C580,商品マスタ[[#This Row],[仕入先]],$F$3:F580), "0000")</f>
        <v>0007</v>
      </c>
      <c r="H580" s="87" t="s">
        <v>901</v>
      </c>
      <c r="I580" s="87">
        <v>60</v>
      </c>
      <c r="J580" s="87">
        <v>60</v>
      </c>
      <c r="K580" s="87"/>
      <c r="L580" s="134">
        <v>625</v>
      </c>
      <c r="M580" s="157">
        <v>46052</v>
      </c>
      <c r="N580" s="134">
        <v>740.74</v>
      </c>
      <c r="O580" s="135">
        <f>IF(COUNT(商品マスタ[[#This Row],[参考上代
（税込)]]) &gt; 0, (商品マスタ[[#This Row],[参考上代
（税込)]]-商品マスタ[[#This Row],[国内定価
（15％）]])/(商品マスタ[[#This Row],[参考上代
（税込)]]/1.08), "")</f>
        <v>-0.10098118098118097</v>
      </c>
      <c r="P580" s="136">
        <v>0.1</v>
      </c>
      <c r="Q580" s="134">
        <f>商品マスタ[[#This Row],[仕入
単価]]*商品マスタ[[#This Row],[標準国内送料率]]</f>
        <v>62.5</v>
      </c>
      <c r="R580" s="134"/>
      <c r="S580" s="134">
        <f>IF(ISBLANK(商品マスタ[[#This Row],[実績
国内送料]]),商品マスタ[[#This Row],[標準国内送料]],)</f>
        <v>62.5</v>
      </c>
      <c r="T580" s="134">
        <f>商品マスタ[[#This Row],[仕入
単価]]+商品マスタ[[#This Row],[国内送料]]</f>
        <v>687.5</v>
      </c>
      <c r="U580" s="134">
        <f>ROUNDUP(商品マスタ[[#This Row],[仕入単価+国内送料]]/0.8,-1)</f>
        <v>860</v>
      </c>
      <c r="V580" s="134">
        <f>商品マスタ[[#This Row],[海外定価
（20％）]]-商品マスタ[[#This Row],[仕入単価+国内送料]]</f>
        <v>172.5</v>
      </c>
      <c r="W580" s="87">
        <f>ROUNDUP(商品マスタ[[#This Row],[仕入単価+国内送料]]/0.85,-1)</f>
        <v>810</v>
      </c>
      <c r="X580" s="134">
        <f>商品マスタ[[#This Row],[国内定価
（15％）]]-商品マスタ[[#This Row],[仕入単価+国内送料]]</f>
        <v>122.5</v>
      </c>
      <c r="Y580" s="139">
        <v>0.08</v>
      </c>
      <c r="Z580" s="87" t="s">
        <v>1680</v>
      </c>
      <c r="AA580" s="87" t="s">
        <v>1670</v>
      </c>
      <c r="AB580" s="87" t="s">
        <v>1675</v>
      </c>
      <c r="AC580" s="140">
        <v>4539297310739</v>
      </c>
      <c r="AD580" s="87" t="s">
        <v>1683</v>
      </c>
      <c r="AE580" s="87"/>
      <c r="AF580" s="87"/>
      <c r="AG580" s="141" t="s">
        <v>1734</v>
      </c>
    </row>
    <row r="581" spans="1:33" ht="18">
      <c r="A581" s="166" t="s">
        <v>1524</v>
      </c>
      <c r="B581" s="167" t="s">
        <v>1229</v>
      </c>
      <c r="C581" s="167" t="s">
        <v>1530</v>
      </c>
      <c r="D581" s="143" t="str">
        <f>"PRD_SNJ_"&amp;
_xlfn.XLOOKUP(商品マスタ[[#This Row],[仕入先]],テーブル1[仕入先名],テーブル1[仕入先コード],"XXX",0,1)&amp;
"_"&amp;
商品マスタ[[#This Row],[シリアル]]&amp;
"_"&amp;
TEXT(COUNTIFS(商品マスタ!$C$3:C581,商品マスタ[[#This Row],[仕入先]],商品マスタ!$E$3:E581,商品マスタ[[#This Row],[商品名]]), "00")</f>
        <v>PRD_SNJ_FJT_0008_01</v>
      </c>
      <c r="E581" s="87" t="s">
        <v>1573</v>
      </c>
      <c r="F581" s="87">
        <f>IF(COUNTIFS($C$3:C581,商品マスタ[[#This Row],[仕入先]],$E$3:E581,商品マスタ[[#This Row],[商品名]]) = 1, 1,0)</f>
        <v>1</v>
      </c>
      <c r="G581" s="133" t="str">
        <f>TEXT(SUMIF($C$3:C581,商品マスタ[[#This Row],[仕入先]],$F$3:F581), "0000")</f>
        <v>0008</v>
      </c>
      <c r="H581" s="87" t="s">
        <v>901</v>
      </c>
      <c r="I581" s="87">
        <v>60</v>
      </c>
      <c r="J581" s="87">
        <v>60</v>
      </c>
      <c r="K581" s="87"/>
      <c r="L581" s="134">
        <v>550</v>
      </c>
      <c r="M581" s="157">
        <v>46052</v>
      </c>
      <c r="N581" s="134">
        <v>648.15</v>
      </c>
      <c r="O581" s="135">
        <f>IF(COUNT(商品マスタ[[#This Row],[参考上代
（税込)]]) &gt; 0, (商品マスタ[[#This Row],[参考上代
（税込)]]-商品マスタ[[#This Row],[国内定価
（15％）]])/(商品マスタ[[#This Row],[参考上代
（税込)]]/1.08), "")</f>
        <v>-0.11972228650775289</v>
      </c>
      <c r="P581" s="136">
        <v>0.1</v>
      </c>
      <c r="Q581" s="134">
        <f>商品マスタ[[#This Row],[仕入
単価]]*商品マスタ[[#This Row],[標準国内送料率]]</f>
        <v>55</v>
      </c>
      <c r="R581" s="134"/>
      <c r="S581" s="134">
        <f>IF(ISBLANK(商品マスタ[[#This Row],[実績
国内送料]]),商品マスタ[[#This Row],[標準国内送料]],)</f>
        <v>55</v>
      </c>
      <c r="T581" s="134">
        <f>商品マスタ[[#This Row],[仕入
単価]]+商品マスタ[[#This Row],[国内送料]]</f>
        <v>605</v>
      </c>
      <c r="U581" s="134">
        <f>ROUNDUP(商品マスタ[[#This Row],[仕入単価+国内送料]]/0.8,-1)</f>
        <v>760</v>
      </c>
      <c r="V581" s="134">
        <f>商品マスタ[[#This Row],[海外定価
（20％）]]-商品マスタ[[#This Row],[仕入単価+国内送料]]</f>
        <v>155</v>
      </c>
      <c r="W581" s="87">
        <f>ROUNDUP(商品マスタ[[#This Row],[仕入単価+国内送料]]/0.85,-1)</f>
        <v>720</v>
      </c>
      <c r="X581" s="134">
        <f>商品マスタ[[#This Row],[国内定価
（15％）]]-商品マスタ[[#This Row],[仕入単価+国内送料]]</f>
        <v>115</v>
      </c>
      <c r="Y581" s="139">
        <v>0.08</v>
      </c>
      <c r="Z581" s="87" t="s">
        <v>1680</v>
      </c>
      <c r="AA581" s="87" t="s">
        <v>1670</v>
      </c>
      <c r="AB581" s="87" t="s">
        <v>1675</v>
      </c>
      <c r="AC581" s="140">
        <v>4539297310616</v>
      </c>
      <c r="AD581" s="87" t="s">
        <v>1684</v>
      </c>
      <c r="AE581" s="87"/>
      <c r="AF581" s="87"/>
      <c r="AG581" s="141" t="s">
        <v>1734</v>
      </c>
    </row>
    <row r="582" spans="1:33" ht="18">
      <c r="A582" s="166" t="s">
        <v>1524</v>
      </c>
      <c r="B582" s="167" t="s">
        <v>1229</v>
      </c>
      <c r="C582" s="167" t="s">
        <v>1530</v>
      </c>
      <c r="D582" s="143" t="str">
        <f>"PRD_SNJ_"&amp;
_xlfn.XLOOKUP(商品マスタ[[#This Row],[仕入先]],テーブル1[仕入先名],テーブル1[仕入先コード],"XXX",0,1)&amp;
"_"&amp;
商品マスタ[[#This Row],[シリアル]]&amp;
"_"&amp;
TEXT(COUNTIFS(商品マスタ!$C$3:C582,商品マスタ[[#This Row],[仕入先]],商品マスタ!$E$3:E582,商品マスタ[[#This Row],[商品名]]), "00")</f>
        <v>PRD_SNJ_FJT_0009_01</v>
      </c>
      <c r="E582" s="87" t="s">
        <v>1574</v>
      </c>
      <c r="F582" s="87">
        <f>IF(COUNTIFS($C$3:C582,商品マスタ[[#This Row],[仕入先]],$E$3:E582,商品マスタ[[#This Row],[商品名]]) = 1, 1,0)</f>
        <v>1</v>
      </c>
      <c r="G582" s="133" t="str">
        <f>TEXT(SUMIF($C$3:C582,商品マスタ[[#This Row],[仕入先]],$F$3:F582), "0000")</f>
        <v>0009</v>
      </c>
      <c r="H582" s="87" t="s">
        <v>901</v>
      </c>
      <c r="I582" s="87">
        <v>60</v>
      </c>
      <c r="J582" s="87">
        <v>60</v>
      </c>
      <c r="K582" s="87"/>
      <c r="L582" s="134">
        <v>475</v>
      </c>
      <c r="M582" s="157">
        <v>46052</v>
      </c>
      <c r="N582" s="134">
        <v>555.55999999999995</v>
      </c>
      <c r="O582" s="135">
        <f>IF(COUNT(商品マスタ[[#This Row],[参考上代
（税込)]]) &gt; 0, (商品マスタ[[#This Row],[参考上代
（税込)]]-商品マスタ[[#This Row],[国内定価
（15％）]])/(商品マスタ[[#This Row],[参考上代
（税込)]]/1.08), "")</f>
        <v>-0.12527035783713744</v>
      </c>
      <c r="P582" s="136">
        <v>0.1</v>
      </c>
      <c r="Q582" s="134">
        <f>商品マスタ[[#This Row],[仕入
単価]]*商品マスタ[[#This Row],[標準国内送料率]]</f>
        <v>47.5</v>
      </c>
      <c r="R582" s="134"/>
      <c r="S582" s="134">
        <f>IF(ISBLANK(商品マスタ[[#This Row],[実績
国内送料]]),商品マスタ[[#This Row],[標準国内送料]],)</f>
        <v>47.5</v>
      </c>
      <c r="T582" s="134">
        <f>商品マスタ[[#This Row],[仕入
単価]]+商品マスタ[[#This Row],[国内送料]]</f>
        <v>522.5</v>
      </c>
      <c r="U582" s="134">
        <f>ROUNDUP(商品マスタ[[#This Row],[仕入単価+国内送料]]/0.8,-1)</f>
        <v>660</v>
      </c>
      <c r="V582" s="134">
        <f>商品マスタ[[#This Row],[海外定価
（20％）]]-商品マスタ[[#This Row],[仕入単価+国内送料]]</f>
        <v>137.5</v>
      </c>
      <c r="W582" s="87">
        <f>ROUNDUP(商品マスタ[[#This Row],[仕入単価+国内送料]]/0.85,-1)</f>
        <v>620</v>
      </c>
      <c r="X582" s="134">
        <f>商品マスタ[[#This Row],[国内定価
（15％）]]-商品マスタ[[#This Row],[仕入単価+国内送料]]</f>
        <v>97.5</v>
      </c>
      <c r="Y582" s="139">
        <v>0.08</v>
      </c>
      <c r="Z582" s="87" t="s">
        <v>1667</v>
      </c>
      <c r="AA582" s="87" t="s">
        <v>1670</v>
      </c>
      <c r="AB582" s="87" t="s">
        <v>1675</v>
      </c>
      <c r="AC582" s="140">
        <v>4539297310500</v>
      </c>
      <c r="AD582" s="87" t="s">
        <v>1685</v>
      </c>
      <c r="AE582" s="87"/>
      <c r="AF582" s="87"/>
      <c r="AG582" s="141" t="s">
        <v>1734</v>
      </c>
    </row>
    <row r="583" spans="1:33" ht="18">
      <c r="A583" s="166" t="s">
        <v>1524</v>
      </c>
      <c r="B583" s="167" t="s">
        <v>1229</v>
      </c>
      <c r="C583" s="167" t="s">
        <v>1530</v>
      </c>
      <c r="D583" s="143" t="str">
        <f>"PRD_SNJ_"&amp;
_xlfn.XLOOKUP(商品マスタ[[#This Row],[仕入先]],テーブル1[仕入先名],テーブル1[仕入先コード],"XXX",0,1)&amp;
"_"&amp;
商品マスタ[[#This Row],[シリアル]]&amp;
"_"&amp;
TEXT(COUNTIFS(商品マスタ!$C$3:C583,商品マスタ[[#This Row],[仕入先]],商品マスタ!$E$3:E583,商品マスタ[[#This Row],[商品名]]), "00")</f>
        <v>PRD_SNJ_FJT_0010_01</v>
      </c>
      <c r="E583" s="87" t="s">
        <v>1575</v>
      </c>
      <c r="F583" s="87">
        <f>IF(COUNTIFS($C$3:C583,商品マスタ[[#This Row],[仕入先]],$E$3:E583,商品マスタ[[#This Row],[商品名]]) = 1, 1,0)</f>
        <v>1</v>
      </c>
      <c r="G583" s="133" t="str">
        <f>TEXT(SUMIF($C$3:C583,商品マスタ[[#This Row],[仕入先]],$F$3:F583), "0000")</f>
        <v>0010</v>
      </c>
      <c r="H583" s="87" t="s">
        <v>901</v>
      </c>
      <c r="I583" s="87">
        <v>48</v>
      </c>
      <c r="J583" s="87">
        <v>48</v>
      </c>
      <c r="K583" s="87"/>
      <c r="L583" s="134">
        <v>705</v>
      </c>
      <c r="M583" s="157">
        <v>46052</v>
      </c>
      <c r="N583" s="134">
        <v>833.33</v>
      </c>
      <c r="O583" s="135">
        <f>IF(COUNT(商品マスタ[[#This Row],[参考上代
（税込)]]) &gt; 0, (商品マスタ[[#This Row],[参考上代
（税込)]]-商品マスタ[[#This Row],[国内定価
（15％）]])/(商品マスタ[[#This Row],[参考上代
（税込)]]/1.08), "")</f>
        <v>-0.11232476929907714</v>
      </c>
      <c r="P583" s="136">
        <v>0.1</v>
      </c>
      <c r="Q583" s="134">
        <f>商品マスタ[[#This Row],[仕入
単価]]*商品マスタ[[#This Row],[標準国内送料率]]</f>
        <v>70.5</v>
      </c>
      <c r="R583" s="134"/>
      <c r="S583" s="134">
        <f>IF(ISBLANK(商品マスタ[[#This Row],[実績
国内送料]]),商品マスタ[[#This Row],[標準国内送料]],)</f>
        <v>70.5</v>
      </c>
      <c r="T583" s="134">
        <f>商品マスタ[[#This Row],[仕入
単価]]+商品マスタ[[#This Row],[国内送料]]</f>
        <v>775.5</v>
      </c>
      <c r="U583" s="134">
        <f>ROUNDUP(商品マスタ[[#This Row],[仕入単価+国内送料]]/0.8,-1)</f>
        <v>970</v>
      </c>
      <c r="V583" s="134">
        <f>商品マスタ[[#This Row],[海外定価
（20％）]]-商品マスタ[[#This Row],[仕入単価+国内送料]]</f>
        <v>194.5</v>
      </c>
      <c r="W583" s="87">
        <f>ROUNDUP(商品マスタ[[#This Row],[仕入単価+国内送料]]/0.85,-1)</f>
        <v>920</v>
      </c>
      <c r="X583" s="134">
        <f>商品マスタ[[#This Row],[国内定価
（15％）]]-商品マスタ[[#This Row],[仕入単価+国内送料]]</f>
        <v>144.5</v>
      </c>
      <c r="Y583" s="139">
        <v>0.08</v>
      </c>
      <c r="Z583" s="87" t="s">
        <v>1667</v>
      </c>
      <c r="AA583" s="87" t="s">
        <v>1670</v>
      </c>
      <c r="AB583" s="87" t="s">
        <v>1675</v>
      </c>
      <c r="AC583" s="140">
        <v>4539297310906</v>
      </c>
      <c r="AD583" s="87" t="s">
        <v>1686</v>
      </c>
      <c r="AE583" s="87"/>
      <c r="AF583" s="87"/>
      <c r="AG583" s="141" t="s">
        <v>1734</v>
      </c>
    </row>
    <row r="584" spans="1:33" ht="18">
      <c r="A584" s="166" t="s">
        <v>1524</v>
      </c>
      <c r="B584" s="167" t="s">
        <v>1229</v>
      </c>
      <c r="C584" s="167" t="s">
        <v>1530</v>
      </c>
      <c r="D584" s="143" t="str">
        <f>"PRD_SNJ_"&amp;
_xlfn.XLOOKUP(商品マスタ[[#This Row],[仕入先]],テーブル1[仕入先名],テーブル1[仕入先コード],"XXX",0,1)&amp;
"_"&amp;
商品マスタ[[#This Row],[シリアル]]&amp;
"_"&amp;
TEXT(COUNTIFS(商品マスタ!$C$3:C584,商品マスタ[[#This Row],[仕入先]],商品マスタ!$E$3:E584,商品マスタ[[#This Row],[商品名]]), "00")</f>
        <v>PRD_SNJ_FJT_0011_01</v>
      </c>
      <c r="E584" s="87" t="s">
        <v>1576</v>
      </c>
      <c r="F584" s="87">
        <f>IF(COUNTIFS($C$3:C584,商品マスタ[[#This Row],[仕入先]],$E$3:E584,商品マスタ[[#This Row],[商品名]]) = 1, 1,0)</f>
        <v>1</v>
      </c>
      <c r="G584" s="133" t="str">
        <f>TEXT(SUMIF($C$3:C584,商品マスタ[[#This Row],[仕入先]],$F$3:F584), "0000")</f>
        <v>0011</v>
      </c>
      <c r="H584" s="87" t="s">
        <v>901</v>
      </c>
      <c r="I584" s="87">
        <v>48</v>
      </c>
      <c r="J584" s="87">
        <v>48</v>
      </c>
      <c r="K584" s="87"/>
      <c r="L584" s="134">
        <v>705</v>
      </c>
      <c r="M584" s="157">
        <v>46052</v>
      </c>
      <c r="N584" s="134">
        <v>833.33</v>
      </c>
      <c r="O584" s="135">
        <f>IF(COUNT(商品マスタ[[#This Row],[参考上代
（税込)]]) &gt; 0, (商品マスタ[[#This Row],[参考上代
（税込)]]-商品マスタ[[#This Row],[国内定価
（15％）]])/(商品マスタ[[#This Row],[参考上代
（税込)]]/1.08), "")</f>
        <v>-0.11232476929907714</v>
      </c>
      <c r="P584" s="136">
        <v>0.1</v>
      </c>
      <c r="Q584" s="134">
        <f>商品マスタ[[#This Row],[仕入
単価]]*商品マスタ[[#This Row],[標準国内送料率]]</f>
        <v>70.5</v>
      </c>
      <c r="R584" s="134"/>
      <c r="S584" s="134">
        <f>IF(ISBLANK(商品マスタ[[#This Row],[実績
国内送料]]),商品マスタ[[#This Row],[標準国内送料]],)</f>
        <v>70.5</v>
      </c>
      <c r="T584" s="134">
        <f>商品マスタ[[#This Row],[仕入
単価]]+商品マスタ[[#This Row],[国内送料]]</f>
        <v>775.5</v>
      </c>
      <c r="U584" s="134">
        <f>ROUNDUP(商品マスタ[[#This Row],[仕入単価+国内送料]]/0.8,-1)</f>
        <v>970</v>
      </c>
      <c r="V584" s="134">
        <f>商品マスタ[[#This Row],[海外定価
（20％）]]-商品マスタ[[#This Row],[仕入単価+国内送料]]</f>
        <v>194.5</v>
      </c>
      <c r="W584" s="87">
        <f>ROUNDUP(商品マスタ[[#This Row],[仕入単価+国内送料]]/0.85,-1)</f>
        <v>920</v>
      </c>
      <c r="X584" s="134">
        <f>商品マスタ[[#This Row],[国内定価
（15％）]]-商品マスタ[[#This Row],[仕入単価+国内送料]]</f>
        <v>144.5</v>
      </c>
      <c r="Y584" s="139">
        <v>0.08</v>
      </c>
      <c r="Z584" s="87" t="s">
        <v>1667</v>
      </c>
      <c r="AA584" s="87" t="s">
        <v>1670</v>
      </c>
      <c r="AB584" s="87" t="s">
        <v>1675</v>
      </c>
      <c r="AC584" s="140">
        <v>4539297310913</v>
      </c>
      <c r="AD584" s="87" t="s">
        <v>1687</v>
      </c>
      <c r="AE584" s="87"/>
      <c r="AF584" s="87"/>
      <c r="AG584" s="141" t="s">
        <v>1734</v>
      </c>
    </row>
    <row r="585" spans="1:33" ht="18">
      <c r="A585" s="166" t="s">
        <v>1524</v>
      </c>
      <c r="B585" s="167" t="s">
        <v>1229</v>
      </c>
      <c r="C585" s="167" t="s">
        <v>1530</v>
      </c>
      <c r="D585" s="143" t="str">
        <f>"PRD_SNJ_"&amp;
_xlfn.XLOOKUP(商品マスタ[[#This Row],[仕入先]],テーブル1[仕入先名],テーブル1[仕入先コード],"XXX",0,1)&amp;
"_"&amp;
商品マスタ[[#This Row],[シリアル]]&amp;
"_"&amp;
TEXT(COUNTIFS(商品マスタ!$C$3:C585,商品マスタ[[#This Row],[仕入先]],商品マスタ!$E$3:E585,商品マスタ[[#This Row],[商品名]]), "00")</f>
        <v>PRD_SNJ_FJT_0012_01</v>
      </c>
      <c r="E585" s="87" t="s">
        <v>1577</v>
      </c>
      <c r="F585" s="87">
        <f>IF(COUNTIFS($C$3:C585,商品マスタ[[#This Row],[仕入先]],$E$3:E585,商品マスタ[[#This Row],[商品名]]) = 1, 1,0)</f>
        <v>1</v>
      </c>
      <c r="G585" s="133" t="str">
        <f>TEXT(SUMIF($C$3:C585,商品マスタ[[#This Row],[仕入先]],$F$3:F585), "0000")</f>
        <v>0012</v>
      </c>
      <c r="H585" s="87" t="s">
        <v>901</v>
      </c>
      <c r="I585" s="87">
        <v>48</v>
      </c>
      <c r="J585" s="87">
        <v>48</v>
      </c>
      <c r="K585" s="87"/>
      <c r="L585" s="134">
        <v>705</v>
      </c>
      <c r="M585" s="157">
        <v>46052</v>
      </c>
      <c r="N585" s="134">
        <v>833.33</v>
      </c>
      <c r="O585" s="135">
        <f>IF(COUNT(商品マスタ[[#This Row],[参考上代
（税込)]]) &gt; 0, (商品マスタ[[#This Row],[参考上代
（税込)]]-商品マスタ[[#This Row],[国内定価
（15％）]])/(商品マスタ[[#This Row],[参考上代
（税込)]]/1.08), "")</f>
        <v>-0.11232476929907714</v>
      </c>
      <c r="P585" s="136">
        <v>0.1</v>
      </c>
      <c r="Q585" s="134">
        <f>商品マスタ[[#This Row],[仕入
単価]]*商品マスタ[[#This Row],[標準国内送料率]]</f>
        <v>70.5</v>
      </c>
      <c r="R585" s="134"/>
      <c r="S585" s="134">
        <f>IF(ISBLANK(商品マスタ[[#This Row],[実績
国内送料]]),商品マスタ[[#This Row],[標準国内送料]],)</f>
        <v>70.5</v>
      </c>
      <c r="T585" s="134">
        <f>商品マスタ[[#This Row],[仕入
単価]]+商品マスタ[[#This Row],[国内送料]]</f>
        <v>775.5</v>
      </c>
      <c r="U585" s="134">
        <f>ROUNDUP(商品マスタ[[#This Row],[仕入単価+国内送料]]/0.8,-1)</f>
        <v>970</v>
      </c>
      <c r="V585" s="134">
        <f>商品マスタ[[#This Row],[海外定価
（20％）]]-商品マスタ[[#This Row],[仕入単価+国内送料]]</f>
        <v>194.5</v>
      </c>
      <c r="W585" s="87">
        <f>ROUNDUP(商品マスタ[[#This Row],[仕入単価+国内送料]]/0.85,-1)</f>
        <v>920</v>
      </c>
      <c r="X585" s="134">
        <f>商品マスタ[[#This Row],[国内定価
（15％）]]-商品マスタ[[#This Row],[仕入単価+国内送料]]</f>
        <v>144.5</v>
      </c>
      <c r="Y585" s="139">
        <v>0.08</v>
      </c>
      <c r="Z585" s="87" t="s">
        <v>1667</v>
      </c>
      <c r="AA585" s="87" t="s">
        <v>1670</v>
      </c>
      <c r="AB585" s="87" t="s">
        <v>1675</v>
      </c>
      <c r="AC585" s="140">
        <v>4539297310920</v>
      </c>
      <c r="AD585" s="87" t="s">
        <v>1688</v>
      </c>
      <c r="AE585" s="87"/>
      <c r="AF585" s="87"/>
      <c r="AG585" s="141" t="s">
        <v>1734</v>
      </c>
    </row>
    <row r="586" spans="1:33" ht="18">
      <c r="A586" s="166" t="s">
        <v>1524</v>
      </c>
      <c r="B586" s="167" t="s">
        <v>1229</v>
      </c>
      <c r="C586" s="167" t="s">
        <v>1530</v>
      </c>
      <c r="D586" s="143" t="str">
        <f>"PRD_SNJ_"&amp;
_xlfn.XLOOKUP(商品マスタ[[#This Row],[仕入先]],テーブル1[仕入先名],テーブル1[仕入先コード],"XXX",0,1)&amp;
"_"&amp;
商品マスタ[[#This Row],[シリアル]]&amp;
"_"&amp;
TEXT(COUNTIFS(商品マスタ!$C$3:C586,商品マスタ[[#This Row],[仕入先]],商品マスタ!$E$3:E586,商品マスタ[[#This Row],[商品名]]), "00")</f>
        <v>PRD_SNJ_FJT_0013_01</v>
      </c>
      <c r="E586" s="87" t="s">
        <v>1578</v>
      </c>
      <c r="F586" s="87">
        <f>IF(COUNTIFS($C$3:C586,商品マスタ[[#This Row],[仕入先]],$E$3:E586,商品マスタ[[#This Row],[商品名]]) = 1, 1,0)</f>
        <v>1</v>
      </c>
      <c r="G586" s="133" t="str">
        <f>TEXT(SUMIF($C$3:C586,商品マスタ[[#This Row],[仕入先]],$F$3:F586), "0000")</f>
        <v>0013</v>
      </c>
      <c r="H586" s="87" t="s">
        <v>901</v>
      </c>
      <c r="I586" s="87">
        <v>100</v>
      </c>
      <c r="J586" s="87">
        <v>100</v>
      </c>
      <c r="K586" s="87"/>
      <c r="L586" s="134">
        <v>445</v>
      </c>
      <c r="M586" s="157">
        <v>46052</v>
      </c>
      <c r="N586" s="134">
        <v>518.52</v>
      </c>
      <c r="O586" s="135">
        <f>IF(COUNT(商品マスタ[[#This Row],[参考上代
（税込)]]) &gt; 0, (商品マスタ[[#This Row],[参考上代
（税込)]]-商品マスタ[[#This Row],[国内定価
（15％）]])/(商品マスタ[[#This Row],[参考上代
（税込)]]/1.08), "")</f>
        <v>-0.12805369127516783</v>
      </c>
      <c r="P586" s="136">
        <v>0.1</v>
      </c>
      <c r="Q586" s="134">
        <f>商品マスタ[[#This Row],[仕入
単価]]*商品マスタ[[#This Row],[標準国内送料率]]</f>
        <v>44.5</v>
      </c>
      <c r="R586" s="134"/>
      <c r="S586" s="134">
        <f>IF(ISBLANK(商品マスタ[[#This Row],[実績
国内送料]]),商品マスタ[[#This Row],[標準国内送料]],)</f>
        <v>44.5</v>
      </c>
      <c r="T586" s="134">
        <f>商品マスタ[[#This Row],[仕入
単価]]+商品マスタ[[#This Row],[国内送料]]</f>
        <v>489.5</v>
      </c>
      <c r="U586" s="134">
        <f>ROUNDUP(商品マスタ[[#This Row],[仕入単価+国内送料]]/0.8,-1)</f>
        <v>620</v>
      </c>
      <c r="V586" s="134">
        <f>商品マスタ[[#This Row],[海外定価
（20％）]]-商品マスタ[[#This Row],[仕入単価+国内送料]]</f>
        <v>130.5</v>
      </c>
      <c r="W586" s="87">
        <f>ROUNDUP(商品マスタ[[#This Row],[仕入単価+国内送料]]/0.85,-1)</f>
        <v>580</v>
      </c>
      <c r="X586" s="134">
        <f>商品マスタ[[#This Row],[国内定価
（15％）]]-商品マスタ[[#This Row],[仕入単価+国内送料]]</f>
        <v>90.5</v>
      </c>
      <c r="Y586" s="139">
        <v>0.08</v>
      </c>
      <c r="Z586" s="87" t="s">
        <v>1689</v>
      </c>
      <c r="AA586" s="87" t="s">
        <v>1670</v>
      </c>
      <c r="AB586" s="87" t="s">
        <v>1675</v>
      </c>
      <c r="AC586" s="140">
        <v>4539297340309</v>
      </c>
      <c r="AD586" s="87" t="s">
        <v>1690</v>
      </c>
      <c r="AE586" s="87"/>
      <c r="AF586" s="87"/>
      <c r="AG586" s="141" t="s">
        <v>1734</v>
      </c>
    </row>
    <row r="587" spans="1:33" ht="18">
      <c r="A587" s="166" t="s">
        <v>1524</v>
      </c>
      <c r="B587" s="167" t="s">
        <v>1229</v>
      </c>
      <c r="C587" s="167" t="s">
        <v>1530</v>
      </c>
      <c r="D587" s="143" t="str">
        <f>"PRD_SNJ_"&amp;
_xlfn.XLOOKUP(商品マスタ[[#This Row],[仕入先]],テーブル1[仕入先名],テーブル1[仕入先コード],"XXX",0,1)&amp;
"_"&amp;
商品マスタ[[#This Row],[シリアル]]&amp;
"_"&amp;
TEXT(COUNTIFS(商品マスタ!$C$3:C587,商品マスタ[[#This Row],[仕入先]],商品マスタ!$E$3:E587,商品マスタ[[#This Row],[商品名]]), "00")</f>
        <v>PRD_SNJ_FJT_0014_01</v>
      </c>
      <c r="E587" s="87" t="s">
        <v>1579</v>
      </c>
      <c r="F587" s="87">
        <f>IF(COUNTIFS($C$3:C587,商品マスタ[[#This Row],[仕入先]],$E$3:E587,商品マスタ[[#This Row],[商品名]]) = 1, 1,0)</f>
        <v>1</v>
      </c>
      <c r="G587" s="133" t="str">
        <f>TEXT(SUMIF($C$3:C587,商品マスタ[[#This Row],[仕入先]],$F$3:F587), "0000")</f>
        <v>0014</v>
      </c>
      <c r="H587" s="87" t="s">
        <v>901</v>
      </c>
      <c r="I587" s="87">
        <v>100</v>
      </c>
      <c r="J587" s="87">
        <v>100</v>
      </c>
      <c r="K587" s="87"/>
      <c r="L587" s="134">
        <v>445</v>
      </c>
      <c r="M587" s="157">
        <v>46052</v>
      </c>
      <c r="N587" s="134">
        <v>518.52</v>
      </c>
      <c r="O587" s="135">
        <f>IF(COUNT(商品マスタ[[#This Row],[参考上代
（税込)]]) &gt; 0, (商品マスタ[[#This Row],[参考上代
（税込)]]-商品マスタ[[#This Row],[国内定価
（15％）]])/(商品マスタ[[#This Row],[参考上代
（税込)]]/1.08), "")</f>
        <v>-0.12805369127516783</v>
      </c>
      <c r="P587" s="136">
        <v>0.1</v>
      </c>
      <c r="Q587" s="134">
        <f>商品マスタ[[#This Row],[仕入
単価]]*商品マスタ[[#This Row],[標準国内送料率]]</f>
        <v>44.5</v>
      </c>
      <c r="R587" s="134"/>
      <c r="S587" s="134">
        <f>IF(ISBLANK(商品マスタ[[#This Row],[実績
国内送料]]),商品マスタ[[#This Row],[標準国内送料]],)</f>
        <v>44.5</v>
      </c>
      <c r="T587" s="134">
        <f>商品マスタ[[#This Row],[仕入
単価]]+商品マスタ[[#This Row],[国内送料]]</f>
        <v>489.5</v>
      </c>
      <c r="U587" s="134">
        <f>ROUNDUP(商品マスタ[[#This Row],[仕入単価+国内送料]]/0.8,-1)</f>
        <v>620</v>
      </c>
      <c r="V587" s="134">
        <f>商品マスタ[[#This Row],[海外定価
（20％）]]-商品マスタ[[#This Row],[仕入単価+国内送料]]</f>
        <v>130.5</v>
      </c>
      <c r="W587" s="87">
        <f>ROUNDUP(商品マスタ[[#This Row],[仕入単価+国内送料]]/0.85,-1)</f>
        <v>580</v>
      </c>
      <c r="X587" s="134">
        <f>商品マスタ[[#This Row],[国内定価
（15％）]]-商品マスタ[[#This Row],[仕入単価+国内送料]]</f>
        <v>90.5</v>
      </c>
      <c r="Y587" s="139">
        <v>0.08</v>
      </c>
      <c r="Z587" s="87" t="s">
        <v>1689</v>
      </c>
      <c r="AA587" s="87" t="s">
        <v>1670</v>
      </c>
      <c r="AB587" s="87" t="s">
        <v>1675</v>
      </c>
      <c r="AC587" s="140">
        <v>4539297340408</v>
      </c>
      <c r="AD587" s="87" t="s">
        <v>1691</v>
      </c>
      <c r="AE587" s="87"/>
      <c r="AF587" s="87"/>
      <c r="AG587" s="141" t="s">
        <v>1734</v>
      </c>
    </row>
    <row r="588" spans="1:33" ht="18">
      <c r="A588" s="166" t="s">
        <v>1524</v>
      </c>
      <c r="B588" s="167" t="s">
        <v>1229</v>
      </c>
      <c r="C588" s="167" t="s">
        <v>1530</v>
      </c>
      <c r="D588" s="143" t="str">
        <f>"PRD_SNJ_"&amp;
_xlfn.XLOOKUP(商品マスタ[[#This Row],[仕入先]],テーブル1[仕入先名],テーブル1[仕入先コード],"XXX",0,1)&amp;
"_"&amp;
商品マスタ[[#This Row],[シリアル]]&amp;
"_"&amp;
TEXT(COUNTIFS(商品マスタ!$C$3:C588,商品マスタ[[#This Row],[仕入先]],商品マスタ!$E$3:E588,商品マスタ[[#This Row],[商品名]]), "00")</f>
        <v>PRD_SNJ_FJT_0015_01</v>
      </c>
      <c r="E588" s="87" t="s">
        <v>1580</v>
      </c>
      <c r="F588" s="87">
        <f>IF(COUNTIFS($C$3:C588,商品マスタ[[#This Row],[仕入先]],$E$3:E588,商品マスタ[[#This Row],[商品名]]) = 1, 1,0)</f>
        <v>1</v>
      </c>
      <c r="G588" s="133" t="str">
        <f>TEXT(SUMIF($C$3:C588,商品マスタ[[#This Row],[仕入先]],$F$3:F588), "0000")</f>
        <v>0015</v>
      </c>
      <c r="H588" s="87" t="s">
        <v>901</v>
      </c>
      <c r="I588" s="87">
        <v>100</v>
      </c>
      <c r="J588" s="87">
        <v>100</v>
      </c>
      <c r="K588" s="87"/>
      <c r="L588" s="134">
        <v>445</v>
      </c>
      <c r="M588" s="157">
        <v>46052</v>
      </c>
      <c r="N588" s="134">
        <v>518.52</v>
      </c>
      <c r="O588" s="135">
        <f>IF(COUNT(商品マスタ[[#This Row],[参考上代
（税込)]]) &gt; 0, (商品マスタ[[#This Row],[参考上代
（税込)]]-商品マスタ[[#This Row],[国内定価
（15％）]])/(商品マスタ[[#This Row],[参考上代
（税込)]]/1.08), "")</f>
        <v>-0.12805369127516783</v>
      </c>
      <c r="P588" s="136">
        <v>0.1</v>
      </c>
      <c r="Q588" s="134">
        <f>商品マスタ[[#This Row],[仕入
単価]]*商品マスタ[[#This Row],[標準国内送料率]]</f>
        <v>44.5</v>
      </c>
      <c r="R588" s="134"/>
      <c r="S588" s="134">
        <f>IF(ISBLANK(商品マスタ[[#This Row],[実績
国内送料]]),商品マスタ[[#This Row],[標準国内送料]],)</f>
        <v>44.5</v>
      </c>
      <c r="T588" s="134">
        <f>商品マスタ[[#This Row],[仕入
単価]]+商品マスタ[[#This Row],[国内送料]]</f>
        <v>489.5</v>
      </c>
      <c r="U588" s="134">
        <f>ROUNDUP(商品マスタ[[#This Row],[仕入単価+国内送料]]/0.8,-1)</f>
        <v>620</v>
      </c>
      <c r="V588" s="134">
        <f>商品マスタ[[#This Row],[海外定価
（20％）]]-商品マスタ[[#This Row],[仕入単価+国内送料]]</f>
        <v>130.5</v>
      </c>
      <c r="W588" s="87">
        <f>ROUNDUP(商品マスタ[[#This Row],[仕入単価+国内送料]]/0.85,-1)</f>
        <v>580</v>
      </c>
      <c r="X588" s="134">
        <f>商品マスタ[[#This Row],[国内定価
（15％）]]-商品マスタ[[#This Row],[仕入単価+国内送料]]</f>
        <v>90.5</v>
      </c>
      <c r="Y588" s="139">
        <v>0.08</v>
      </c>
      <c r="Z588" s="87" t="s">
        <v>1689</v>
      </c>
      <c r="AA588" s="87" t="s">
        <v>1670</v>
      </c>
      <c r="AB588" s="87" t="s">
        <v>1675</v>
      </c>
      <c r="AC588" s="140">
        <v>4539297340507</v>
      </c>
      <c r="AD588" s="87" t="s">
        <v>1692</v>
      </c>
      <c r="AE588" s="87"/>
      <c r="AF588" s="87"/>
      <c r="AG588" s="141" t="s">
        <v>1734</v>
      </c>
    </row>
    <row r="589" spans="1:33" ht="18">
      <c r="A589" s="166" t="s">
        <v>1524</v>
      </c>
      <c r="B589" s="167" t="s">
        <v>1229</v>
      </c>
      <c r="C589" s="167" t="s">
        <v>1530</v>
      </c>
      <c r="D589" s="143" t="str">
        <f>"PRD_SNJ_"&amp;
_xlfn.XLOOKUP(商品マスタ[[#This Row],[仕入先]],テーブル1[仕入先名],テーブル1[仕入先コード],"XXX",0,1)&amp;
"_"&amp;
商品マスタ[[#This Row],[シリアル]]&amp;
"_"&amp;
TEXT(COUNTIFS(商品マスタ!$C$3:C589,商品マスタ[[#This Row],[仕入先]],商品マスタ!$E$3:E589,商品マスタ[[#This Row],[商品名]]), "00")</f>
        <v>PRD_SNJ_FJT_0016_01</v>
      </c>
      <c r="E589" s="87" t="s">
        <v>1581</v>
      </c>
      <c r="F589" s="87">
        <f>IF(COUNTIFS($C$3:C589,商品マスタ[[#This Row],[仕入先]],$E$3:E589,商品マスタ[[#This Row],[商品名]]) = 1, 1,0)</f>
        <v>1</v>
      </c>
      <c r="G589" s="133" t="str">
        <f>TEXT(SUMIF($C$3:C589,商品マスタ[[#This Row],[仕入先]],$F$3:F589), "0000")</f>
        <v>0016</v>
      </c>
      <c r="H589" s="87" t="s">
        <v>901</v>
      </c>
      <c r="I589" s="87">
        <v>100</v>
      </c>
      <c r="J589" s="87">
        <v>100</v>
      </c>
      <c r="K589" s="87"/>
      <c r="L589" s="134">
        <v>445</v>
      </c>
      <c r="M589" s="157">
        <v>46052</v>
      </c>
      <c r="N589" s="134">
        <v>518.52</v>
      </c>
      <c r="O589" s="135">
        <f>IF(COUNT(商品マスタ[[#This Row],[参考上代
（税込)]]) &gt; 0, (商品マスタ[[#This Row],[参考上代
（税込)]]-商品マスタ[[#This Row],[国内定価
（15％）]])/(商品マスタ[[#This Row],[参考上代
（税込)]]/1.08), "")</f>
        <v>-0.12805369127516783</v>
      </c>
      <c r="P589" s="136">
        <v>0.1</v>
      </c>
      <c r="Q589" s="134">
        <f>商品マスタ[[#This Row],[仕入
単価]]*商品マスタ[[#This Row],[標準国内送料率]]</f>
        <v>44.5</v>
      </c>
      <c r="R589" s="134"/>
      <c r="S589" s="134">
        <f>IF(ISBLANK(商品マスタ[[#This Row],[実績
国内送料]]),商品マスタ[[#This Row],[標準国内送料]],)</f>
        <v>44.5</v>
      </c>
      <c r="T589" s="134">
        <f>商品マスタ[[#This Row],[仕入
単価]]+商品マスタ[[#This Row],[国内送料]]</f>
        <v>489.5</v>
      </c>
      <c r="U589" s="134">
        <f>ROUNDUP(商品マスタ[[#This Row],[仕入単価+国内送料]]/0.8,-1)</f>
        <v>620</v>
      </c>
      <c r="V589" s="134">
        <f>商品マスタ[[#This Row],[海外定価
（20％）]]-商品マスタ[[#This Row],[仕入単価+国内送料]]</f>
        <v>130.5</v>
      </c>
      <c r="W589" s="87">
        <f>ROUNDUP(商品マスタ[[#This Row],[仕入単価+国内送料]]/0.85,-1)</f>
        <v>580</v>
      </c>
      <c r="X589" s="134">
        <f>商品マスタ[[#This Row],[国内定価
（15％）]]-商品マスタ[[#This Row],[仕入単価+国内送料]]</f>
        <v>90.5</v>
      </c>
      <c r="Y589" s="139">
        <v>0.08</v>
      </c>
      <c r="Z589" s="87" t="s">
        <v>1689</v>
      </c>
      <c r="AA589" s="87" t="s">
        <v>1670</v>
      </c>
      <c r="AB589" s="87" t="s">
        <v>1675</v>
      </c>
      <c r="AC589" s="140">
        <v>4539297340606</v>
      </c>
      <c r="AD589" s="87" t="s">
        <v>1693</v>
      </c>
      <c r="AE589" s="87"/>
      <c r="AF589" s="87"/>
      <c r="AG589" s="141" t="s">
        <v>1734</v>
      </c>
    </row>
    <row r="590" spans="1:33" ht="18">
      <c r="A590" s="166" t="s">
        <v>1524</v>
      </c>
      <c r="B590" s="167" t="s">
        <v>1229</v>
      </c>
      <c r="C590" s="167" t="s">
        <v>1530</v>
      </c>
      <c r="D590" s="143" t="str">
        <f>"PRD_SNJ_"&amp;
_xlfn.XLOOKUP(商品マスタ[[#This Row],[仕入先]],テーブル1[仕入先名],テーブル1[仕入先コード],"XXX",0,1)&amp;
"_"&amp;
商品マスタ[[#This Row],[シリアル]]&amp;
"_"&amp;
TEXT(COUNTIFS(商品マスタ!$C$3:C590,商品マスタ[[#This Row],[仕入先]],商品マスタ!$E$3:E590,商品マスタ[[#This Row],[商品名]]), "00")</f>
        <v>PRD_SNJ_FJT_0017_01</v>
      </c>
      <c r="E590" s="87" t="s">
        <v>1582</v>
      </c>
      <c r="F590" s="87">
        <f>IF(COUNTIFS($C$3:C590,商品マスタ[[#This Row],[仕入先]],$E$3:E590,商品マスタ[[#This Row],[商品名]]) = 1, 1,0)</f>
        <v>1</v>
      </c>
      <c r="G590" s="133" t="str">
        <f>TEXT(SUMIF($C$3:C590,商品マスタ[[#This Row],[仕入先]],$F$3:F590), "0000")</f>
        <v>0017</v>
      </c>
      <c r="H590" s="87" t="s">
        <v>901</v>
      </c>
      <c r="I590" s="87">
        <v>60</v>
      </c>
      <c r="J590" s="87">
        <v>60</v>
      </c>
      <c r="K590" s="87"/>
      <c r="L590" s="134">
        <v>588</v>
      </c>
      <c r="M590" s="157">
        <v>46052</v>
      </c>
      <c r="N590" s="134">
        <v>694.44</v>
      </c>
      <c r="O590" s="135">
        <f>IF(COUNT(商品マスタ[[#This Row],[参考上代
（税込)]]) &gt; 0, (商品マスタ[[#This Row],[参考上代
（税込)]]-商品マスタ[[#This Row],[国内定価
（15％）]])/(商品マスタ[[#This Row],[参考上代
（税込)]]/1.08), "")</f>
        <v>-0.11751166407465</v>
      </c>
      <c r="P590" s="136">
        <v>0.1</v>
      </c>
      <c r="Q590" s="134">
        <f>商品マスタ[[#This Row],[仕入
単価]]*商品マスタ[[#This Row],[標準国内送料率]]</f>
        <v>58.800000000000004</v>
      </c>
      <c r="R590" s="134"/>
      <c r="S590" s="134">
        <f>IF(ISBLANK(商品マスタ[[#This Row],[実績
国内送料]]),商品マスタ[[#This Row],[標準国内送料]],)</f>
        <v>58.800000000000004</v>
      </c>
      <c r="T590" s="134">
        <f>商品マスタ[[#This Row],[仕入
単価]]+商品マスタ[[#This Row],[国内送料]]</f>
        <v>646.79999999999995</v>
      </c>
      <c r="U590" s="134">
        <f>ROUNDUP(商品マスタ[[#This Row],[仕入単価+国内送料]]/0.8,-1)</f>
        <v>810</v>
      </c>
      <c r="V590" s="134">
        <f>商品マスタ[[#This Row],[海外定価
（20％）]]-商品マスタ[[#This Row],[仕入単価+国内送料]]</f>
        <v>163.20000000000005</v>
      </c>
      <c r="W590" s="87">
        <f>ROUNDUP(商品マスタ[[#This Row],[仕入単価+国内送料]]/0.85,-1)</f>
        <v>770</v>
      </c>
      <c r="X590" s="134">
        <f>商品マスタ[[#This Row],[国内定価
（15％）]]-商品マスタ[[#This Row],[仕入単価+国内送料]]</f>
        <v>123.20000000000005</v>
      </c>
      <c r="Y590" s="139">
        <v>0.08</v>
      </c>
      <c r="Z590" s="87" t="s">
        <v>1694</v>
      </c>
      <c r="AA590" s="87" t="s">
        <v>1670</v>
      </c>
      <c r="AB590" s="87" t="s">
        <v>1675</v>
      </c>
      <c r="AC590" s="140">
        <v>4539297141104</v>
      </c>
      <c r="AD590" s="87" t="s">
        <v>1695</v>
      </c>
      <c r="AE590" s="87"/>
      <c r="AF590" s="87"/>
      <c r="AG590" s="141" t="s">
        <v>1734</v>
      </c>
    </row>
    <row r="591" spans="1:33" ht="18">
      <c r="A591" s="166" t="s">
        <v>1524</v>
      </c>
      <c r="B591" s="167" t="s">
        <v>1229</v>
      </c>
      <c r="C591" s="167" t="s">
        <v>1530</v>
      </c>
      <c r="D591" s="143" t="str">
        <f>"PRD_SNJ_"&amp;
_xlfn.XLOOKUP(商品マスタ[[#This Row],[仕入先]],テーブル1[仕入先名],テーブル1[仕入先コード],"XXX",0,1)&amp;
"_"&amp;
商品マスタ[[#This Row],[シリアル]]&amp;
"_"&amp;
TEXT(COUNTIFS(商品マスタ!$C$3:C591,商品マスタ[[#This Row],[仕入先]],商品マスタ!$E$3:E591,商品マスタ[[#This Row],[商品名]]), "00")</f>
        <v>PRD_SNJ_FJT_0018_01</v>
      </c>
      <c r="E591" s="87" t="s">
        <v>1583</v>
      </c>
      <c r="F591" s="87">
        <f>IF(COUNTIFS($C$3:C591,商品マスタ[[#This Row],[仕入先]],$E$3:E591,商品マスタ[[#This Row],[商品名]]) = 1, 1,0)</f>
        <v>1</v>
      </c>
      <c r="G591" s="133" t="str">
        <f>TEXT(SUMIF($C$3:C591,商品マスタ[[#This Row],[仕入先]],$F$3:F591), "0000")</f>
        <v>0018</v>
      </c>
      <c r="H591" s="87" t="s">
        <v>901</v>
      </c>
      <c r="I591" s="87">
        <v>40</v>
      </c>
      <c r="J591" s="87">
        <v>40</v>
      </c>
      <c r="K591" s="87"/>
      <c r="L591" s="134">
        <v>1000</v>
      </c>
      <c r="M591" s="157">
        <v>46052</v>
      </c>
      <c r="N591" s="134">
        <v>1203.7</v>
      </c>
      <c r="O591" s="135">
        <f>IF(COUNT(商品マスタ[[#This Row],[参考上代
（税込)]]) &gt; 0, (商品マスタ[[#This Row],[参考上代
（税込)]]-商品マスタ[[#This Row],[国内定価
（15％）]])/(商品マスタ[[#This Row],[参考上代
（税込)]]/1.08), "")</f>
        <v>-8.6403588934119757E-2</v>
      </c>
      <c r="P591" s="136">
        <v>0.1</v>
      </c>
      <c r="Q591" s="134">
        <f>商品マスタ[[#This Row],[仕入
単価]]*商品マスタ[[#This Row],[標準国内送料率]]</f>
        <v>100</v>
      </c>
      <c r="R591" s="134"/>
      <c r="S591" s="134">
        <f>IF(ISBLANK(商品マスタ[[#This Row],[実績
国内送料]]),商品マスタ[[#This Row],[標準国内送料]],)</f>
        <v>100</v>
      </c>
      <c r="T591" s="134">
        <f>商品マスタ[[#This Row],[仕入
単価]]+商品マスタ[[#This Row],[国内送料]]</f>
        <v>1100</v>
      </c>
      <c r="U591" s="134">
        <f>ROUNDUP(商品マスタ[[#This Row],[仕入単価+国内送料]]/0.8,-1)</f>
        <v>1380</v>
      </c>
      <c r="V591" s="134">
        <f>商品マスタ[[#This Row],[海外定価
（20％）]]-商品マスタ[[#This Row],[仕入単価+国内送料]]</f>
        <v>280</v>
      </c>
      <c r="W591" s="87">
        <f>ROUNDUP(商品マスタ[[#This Row],[仕入単価+国内送料]]/0.85,-1)</f>
        <v>1300</v>
      </c>
      <c r="X591" s="134">
        <f>商品マスタ[[#This Row],[国内定価
（15％）]]-商品マスタ[[#This Row],[仕入単価+国内送料]]</f>
        <v>200</v>
      </c>
      <c r="Y591" s="139">
        <v>0.08</v>
      </c>
      <c r="Z591" s="87" t="s">
        <v>1689</v>
      </c>
      <c r="AA591" s="87" t="s">
        <v>1670</v>
      </c>
      <c r="AB591" s="87" t="s">
        <v>1675</v>
      </c>
      <c r="AC591" s="140">
        <v>4539297140305</v>
      </c>
      <c r="AD591" s="87" t="s">
        <v>1696</v>
      </c>
      <c r="AE591" s="87"/>
      <c r="AF591" s="87"/>
      <c r="AG591" s="141" t="s">
        <v>1734</v>
      </c>
    </row>
    <row r="592" spans="1:33" ht="18">
      <c r="A592" s="166" t="s">
        <v>1524</v>
      </c>
      <c r="B592" s="167" t="s">
        <v>1229</v>
      </c>
      <c r="C592" s="167" t="s">
        <v>1530</v>
      </c>
      <c r="D592" s="143" t="str">
        <f>"PRD_SNJ_"&amp;
_xlfn.XLOOKUP(商品マスタ[[#This Row],[仕入先]],テーブル1[仕入先名],テーブル1[仕入先コード],"XXX",0,1)&amp;
"_"&amp;
商品マスタ[[#This Row],[シリアル]]&amp;
"_"&amp;
TEXT(COUNTIFS(商品マスタ!$C$3:C592,商品マスタ[[#This Row],[仕入先]],商品マスタ!$E$3:E592,商品マスタ[[#This Row],[商品名]]), "00")</f>
        <v>PRD_SNJ_FJT_0019_01</v>
      </c>
      <c r="E592" s="87" t="s">
        <v>1584</v>
      </c>
      <c r="F592" s="87">
        <f>IF(COUNTIFS($C$3:C592,商品マスタ[[#This Row],[仕入先]],$E$3:E592,商品マスタ[[#This Row],[商品名]]) = 1, 1,0)</f>
        <v>1</v>
      </c>
      <c r="G592" s="133" t="str">
        <f>TEXT(SUMIF($C$3:C592,商品マスタ[[#This Row],[仕入先]],$F$3:F592), "0000")</f>
        <v>0019</v>
      </c>
      <c r="H592" s="87" t="s">
        <v>901</v>
      </c>
      <c r="I592" s="87">
        <v>60</v>
      </c>
      <c r="J592" s="87">
        <v>60</v>
      </c>
      <c r="K592" s="87"/>
      <c r="L592" s="134">
        <v>573</v>
      </c>
      <c r="M592" s="157">
        <v>46052</v>
      </c>
      <c r="N592" s="134">
        <v>675.93</v>
      </c>
      <c r="O592" s="135">
        <f>IF(COUNT(商品マスタ[[#This Row],[参考上代
（税込)]]) &gt; 0, (商品マスタ[[#This Row],[参考上代
（税込)]]-商品マスタ[[#This Row],[国内定価
（15％）]])/(商品マスタ[[#This Row],[参考上代
（税込)]]/1.08), "")</f>
        <v>-0.11834894145843515</v>
      </c>
      <c r="P592" s="136">
        <v>0.1</v>
      </c>
      <c r="Q592" s="134">
        <f>商品マスタ[[#This Row],[仕入
単価]]*商品マスタ[[#This Row],[標準国内送料率]]</f>
        <v>57.300000000000004</v>
      </c>
      <c r="R592" s="134"/>
      <c r="S592" s="134">
        <f>IF(ISBLANK(商品マスタ[[#This Row],[実績
国内送料]]),商品マスタ[[#This Row],[標準国内送料]],)</f>
        <v>57.300000000000004</v>
      </c>
      <c r="T592" s="134">
        <f>商品マスタ[[#This Row],[仕入
単価]]+商品マスタ[[#This Row],[国内送料]]</f>
        <v>630.29999999999995</v>
      </c>
      <c r="U592" s="134">
        <f>ROUNDUP(商品マスタ[[#This Row],[仕入単価+国内送料]]/0.8,-1)</f>
        <v>790</v>
      </c>
      <c r="V592" s="134">
        <f>商品マスタ[[#This Row],[海外定価
（20％）]]-商品マスタ[[#This Row],[仕入単価+国内送料]]</f>
        <v>159.70000000000005</v>
      </c>
      <c r="W592" s="87">
        <f>ROUNDUP(商品マスタ[[#This Row],[仕入単価+国内送料]]/0.85,-1)</f>
        <v>750</v>
      </c>
      <c r="X592" s="134">
        <f>商品マスタ[[#This Row],[国内定価
（15％）]]-商品マスタ[[#This Row],[仕入単価+国内送料]]</f>
        <v>119.70000000000005</v>
      </c>
      <c r="Y592" s="139">
        <v>0.08</v>
      </c>
      <c r="Z592" s="87" t="s">
        <v>1679</v>
      </c>
      <c r="AA592" s="87" t="s">
        <v>1670</v>
      </c>
      <c r="AB592" s="87" t="s">
        <v>1675</v>
      </c>
      <c r="AC592" s="140">
        <v>4539297131006</v>
      </c>
      <c r="AD592" s="87" t="s">
        <v>1697</v>
      </c>
      <c r="AE592" s="87"/>
      <c r="AF592" s="87"/>
      <c r="AG592" s="141" t="s">
        <v>1734</v>
      </c>
    </row>
    <row r="593" spans="1:33" ht="18">
      <c r="A593" s="166" t="s">
        <v>1524</v>
      </c>
      <c r="B593" s="167" t="s">
        <v>1229</v>
      </c>
      <c r="C593" s="167" t="s">
        <v>1530</v>
      </c>
      <c r="D593" s="143" t="str">
        <f>"PRD_SNJ_"&amp;
_xlfn.XLOOKUP(商品マスタ[[#This Row],[仕入先]],テーブル1[仕入先名],テーブル1[仕入先コード],"XXX",0,1)&amp;
"_"&amp;
商品マスタ[[#This Row],[シリアル]]&amp;
"_"&amp;
TEXT(COUNTIFS(商品マスタ!$C$3:C593,商品マスタ[[#This Row],[仕入先]],商品マスタ!$E$3:E593,商品マスタ[[#This Row],[商品名]]), "00")</f>
        <v>PRD_SNJ_FJT_0020_01</v>
      </c>
      <c r="E593" s="87" t="s">
        <v>1585</v>
      </c>
      <c r="F593" s="87">
        <f>IF(COUNTIFS($C$3:C593,商品マスタ[[#This Row],[仕入先]],$E$3:E593,商品マスタ[[#This Row],[商品名]]) = 1, 1,0)</f>
        <v>1</v>
      </c>
      <c r="G593" s="133" t="str">
        <f>TEXT(SUMIF($C$3:C593,商品マスタ[[#This Row],[仕入先]],$F$3:F593), "0000")</f>
        <v>0020</v>
      </c>
      <c r="H593" s="87" t="s">
        <v>901</v>
      </c>
      <c r="I593" s="87">
        <v>45</v>
      </c>
      <c r="J593" s="87">
        <v>45</v>
      </c>
      <c r="K593" s="87"/>
      <c r="L593" s="134">
        <v>775</v>
      </c>
      <c r="M593" s="157">
        <v>46052</v>
      </c>
      <c r="N593" s="134">
        <v>925.93</v>
      </c>
      <c r="O593" s="135">
        <f>IF(COUNT(商品マスタ[[#This Row],[参考上代
（税込)]]) &gt; 0, (商品マスタ[[#This Row],[参考上代
（税込)]]-商品マスタ[[#This Row],[国内定価
（15％）]])/(商品マスタ[[#This Row],[参考上代
（税込)]]/1.08), "")</f>
        <v>-9.8058816541207294E-2</v>
      </c>
      <c r="P593" s="136">
        <v>0.1</v>
      </c>
      <c r="Q593" s="134">
        <f>商品マスタ[[#This Row],[仕入
単価]]*商品マスタ[[#This Row],[標準国内送料率]]</f>
        <v>77.5</v>
      </c>
      <c r="R593" s="134"/>
      <c r="S593" s="134">
        <f>IF(ISBLANK(商品マスタ[[#This Row],[実績
国内送料]]),商品マスタ[[#This Row],[標準国内送料]],)</f>
        <v>77.5</v>
      </c>
      <c r="T593" s="134">
        <f>商品マスタ[[#This Row],[仕入
単価]]+商品マスタ[[#This Row],[国内送料]]</f>
        <v>852.5</v>
      </c>
      <c r="U593" s="134">
        <f>ROUNDUP(商品マスタ[[#This Row],[仕入単価+国内送料]]/0.8,-1)</f>
        <v>1070</v>
      </c>
      <c r="V593" s="134">
        <f>商品マスタ[[#This Row],[海外定価
（20％）]]-商品マスタ[[#This Row],[仕入単価+国内送料]]</f>
        <v>217.5</v>
      </c>
      <c r="W593" s="87">
        <f>ROUNDUP(商品マスタ[[#This Row],[仕入単価+国内送料]]/0.85,-1)</f>
        <v>1010</v>
      </c>
      <c r="X593" s="134">
        <f>商品マスタ[[#This Row],[国内定価
（15％）]]-商品マスタ[[#This Row],[仕入単価+国内送料]]</f>
        <v>157.5</v>
      </c>
      <c r="Y593" s="139">
        <v>0.08</v>
      </c>
      <c r="Z593" s="87" t="s">
        <v>1679</v>
      </c>
      <c r="AA593" s="87" t="s">
        <v>1670</v>
      </c>
      <c r="AB593" s="87" t="s">
        <v>1675</v>
      </c>
      <c r="AC593" s="140">
        <v>4539297159987</v>
      </c>
      <c r="AD593" s="87" t="s">
        <v>1698</v>
      </c>
      <c r="AE593" s="87"/>
      <c r="AF593" s="87"/>
      <c r="AG593" s="141" t="s">
        <v>1734</v>
      </c>
    </row>
    <row r="594" spans="1:33" ht="18">
      <c r="A594" s="166" t="s">
        <v>1524</v>
      </c>
      <c r="B594" s="167" t="s">
        <v>1229</v>
      </c>
      <c r="C594" s="167" t="s">
        <v>1530</v>
      </c>
      <c r="D594" s="143" t="str">
        <f>"PRD_SNJ_"&amp;
_xlfn.XLOOKUP(商品マスタ[[#This Row],[仕入先]],テーブル1[仕入先名],テーブル1[仕入先コード],"XXX",0,1)&amp;
"_"&amp;
商品マスタ[[#This Row],[シリアル]]&amp;
"_"&amp;
TEXT(COUNTIFS(商品マスタ!$C$3:C594,商品マスタ[[#This Row],[仕入先]],商品マスタ!$E$3:E594,商品マスタ[[#This Row],[商品名]]), "00")</f>
        <v>PRD_SNJ_FJT_0021_01</v>
      </c>
      <c r="E594" s="87" t="s">
        <v>1586</v>
      </c>
      <c r="F594" s="87">
        <f>IF(COUNTIFS($C$3:C594,商品マスタ[[#This Row],[仕入先]],$E$3:E594,商品マスタ[[#This Row],[商品名]]) = 1, 1,0)</f>
        <v>1</v>
      </c>
      <c r="G594" s="133" t="str">
        <f>TEXT(SUMIF($C$3:C594,商品マスタ[[#This Row],[仕入先]],$F$3:F594), "0000")</f>
        <v>0021</v>
      </c>
      <c r="H594" s="87" t="s">
        <v>901</v>
      </c>
      <c r="I594" s="87">
        <v>60</v>
      </c>
      <c r="J594" s="87">
        <v>60</v>
      </c>
      <c r="K594" s="87"/>
      <c r="L594" s="134">
        <v>690</v>
      </c>
      <c r="M594" s="157">
        <v>46052</v>
      </c>
      <c r="N594" s="134">
        <v>833.33</v>
      </c>
      <c r="O594" s="135">
        <f>IF(COUNT(商品マスタ[[#This Row],[参考上代
（税込)]]) &gt; 0, (商品マスタ[[#This Row],[参考上代
（税込)]]-商品マスタ[[#This Row],[国内定価
（15％）]])/(商品マスタ[[#This Row],[参考上代
（税込)]]/1.08), "")</f>
        <v>-8.6404665618662418E-2</v>
      </c>
      <c r="P594" s="136">
        <v>0.1</v>
      </c>
      <c r="Q594" s="134">
        <f>商品マスタ[[#This Row],[仕入
単価]]*商品マスタ[[#This Row],[標準国内送料率]]</f>
        <v>69</v>
      </c>
      <c r="R594" s="134"/>
      <c r="S594" s="134">
        <f>IF(ISBLANK(商品マスタ[[#This Row],[実績
国内送料]]),商品マスタ[[#This Row],[標準国内送料]],)</f>
        <v>69</v>
      </c>
      <c r="T594" s="134">
        <f>商品マスタ[[#This Row],[仕入
単価]]+商品マスタ[[#This Row],[国内送料]]</f>
        <v>759</v>
      </c>
      <c r="U594" s="134">
        <f>ROUNDUP(商品マスタ[[#This Row],[仕入単価+国内送料]]/0.8,-1)</f>
        <v>950</v>
      </c>
      <c r="V594" s="134">
        <f>商品マスタ[[#This Row],[海外定価
（20％）]]-商品マスタ[[#This Row],[仕入単価+国内送料]]</f>
        <v>191</v>
      </c>
      <c r="W594" s="87">
        <f>ROUNDUP(商品マスタ[[#This Row],[仕入単価+国内送料]]/0.85,-1)</f>
        <v>900</v>
      </c>
      <c r="X594" s="134">
        <f>商品マスタ[[#This Row],[国内定価
（15％）]]-商品マスタ[[#This Row],[仕入単価+国内送料]]</f>
        <v>141</v>
      </c>
      <c r="Y594" s="139">
        <v>0.08</v>
      </c>
      <c r="Z594" s="87" t="s">
        <v>1699</v>
      </c>
      <c r="AA594" s="87" t="s">
        <v>1670</v>
      </c>
      <c r="AB594" s="87" t="s">
        <v>1675</v>
      </c>
      <c r="AC594" s="140">
        <v>4539297350308</v>
      </c>
      <c r="AD594" s="87" t="s">
        <v>1700</v>
      </c>
      <c r="AE594" s="87"/>
      <c r="AF594" s="87"/>
      <c r="AG594" s="141" t="s">
        <v>1734</v>
      </c>
    </row>
    <row r="595" spans="1:33" ht="18">
      <c r="A595" s="166" t="s">
        <v>1524</v>
      </c>
      <c r="B595" s="167" t="s">
        <v>1229</v>
      </c>
      <c r="C595" s="167" t="s">
        <v>1530</v>
      </c>
      <c r="D595" s="143" t="str">
        <f>"PRD_SNJ_"&amp;
_xlfn.XLOOKUP(商品マスタ[[#This Row],[仕入先]],テーブル1[仕入先名],テーブル1[仕入先コード],"XXX",0,1)&amp;
"_"&amp;
商品マスタ[[#This Row],[シリアル]]&amp;
"_"&amp;
TEXT(COUNTIFS(商品マスタ!$C$3:C595,商品マスタ[[#This Row],[仕入先]],商品マスタ!$E$3:E595,商品マスタ[[#This Row],[商品名]]), "00")</f>
        <v>PRD_SNJ_FJT_0022_01</v>
      </c>
      <c r="E595" s="87" t="s">
        <v>1587</v>
      </c>
      <c r="F595" s="87">
        <f>IF(COUNTIFS($C$3:C595,商品マスタ[[#This Row],[仕入先]],$E$3:E595,商品マスタ[[#This Row],[商品名]]) = 1, 1,0)</f>
        <v>1</v>
      </c>
      <c r="G595" s="133" t="str">
        <f>TEXT(SUMIF($C$3:C595,商品マスタ[[#This Row],[仕入先]],$F$3:F595), "0000")</f>
        <v>0022</v>
      </c>
      <c r="H595" s="87" t="s">
        <v>901</v>
      </c>
      <c r="I595" s="87">
        <v>50</v>
      </c>
      <c r="J595" s="87">
        <v>50</v>
      </c>
      <c r="K595" s="87"/>
      <c r="L595" s="134">
        <v>1049</v>
      </c>
      <c r="M595" s="157">
        <v>46052</v>
      </c>
      <c r="N595" s="134">
        <v>1263.8900000000001</v>
      </c>
      <c r="O595" s="135">
        <f>IF(COUNT(商品マスタ[[#This Row],[参考上代
（税込)]]) &gt; 0, (商品マスタ[[#This Row],[参考上代
（税込)]]-商品マスタ[[#This Row],[国内定価
（15％）]])/(商品マスタ[[#This Row],[参考上代
（税込)]]/1.08), "")</f>
        <v>-8.21264508778453E-2</v>
      </c>
      <c r="P595" s="136">
        <v>0.1</v>
      </c>
      <c r="Q595" s="134">
        <f>商品マスタ[[#This Row],[仕入
単価]]*商品マスタ[[#This Row],[標準国内送料率]]</f>
        <v>104.9</v>
      </c>
      <c r="R595" s="134"/>
      <c r="S595" s="134">
        <f>IF(ISBLANK(商品マスタ[[#This Row],[実績
国内送料]]),商品マスタ[[#This Row],[標準国内送料]],)</f>
        <v>104.9</v>
      </c>
      <c r="T595" s="134">
        <f>商品マスタ[[#This Row],[仕入
単価]]+商品マスタ[[#This Row],[国内送料]]</f>
        <v>1153.9000000000001</v>
      </c>
      <c r="U595" s="134">
        <f>ROUNDUP(商品マスタ[[#This Row],[仕入単価+国内送料]]/0.8,-1)</f>
        <v>1450</v>
      </c>
      <c r="V595" s="134">
        <f>商品マスタ[[#This Row],[海外定価
（20％）]]-商品マスタ[[#This Row],[仕入単価+国内送料]]</f>
        <v>296.09999999999991</v>
      </c>
      <c r="W595" s="87">
        <f>ROUNDUP(商品マスタ[[#This Row],[仕入単価+国内送料]]/0.85,-1)</f>
        <v>1360</v>
      </c>
      <c r="X595" s="134">
        <f>商品マスタ[[#This Row],[国内定価
（15％）]]-商品マスタ[[#This Row],[仕入単価+国内送料]]</f>
        <v>206.09999999999991</v>
      </c>
      <c r="Y595" s="139">
        <v>0.08</v>
      </c>
      <c r="Z595" s="87" t="s">
        <v>1694</v>
      </c>
      <c r="AA595" s="87" t="s">
        <v>1670</v>
      </c>
      <c r="AB595" s="87" t="s">
        <v>1675</v>
      </c>
      <c r="AC595" s="140">
        <v>4539297130306</v>
      </c>
      <c r="AD595" s="87" t="s">
        <v>1701</v>
      </c>
      <c r="AE595" s="87"/>
      <c r="AF595" s="87"/>
      <c r="AG595" s="141" t="s">
        <v>1734</v>
      </c>
    </row>
    <row r="596" spans="1:33" ht="18">
      <c r="A596" s="166" t="s">
        <v>1524</v>
      </c>
      <c r="B596" s="167" t="s">
        <v>1229</v>
      </c>
      <c r="C596" s="167" t="s">
        <v>1530</v>
      </c>
      <c r="D596" s="143" t="str">
        <f>"PRD_SNJ_"&amp;
_xlfn.XLOOKUP(商品マスタ[[#This Row],[仕入先]],テーブル1[仕入先名],テーブル1[仕入先コード],"XXX",0,1)&amp;
"_"&amp;
商品マスタ[[#This Row],[シリアル]]&amp;
"_"&amp;
TEXT(COUNTIFS(商品マスタ!$C$3:C596,商品マスタ[[#This Row],[仕入先]],商品マスタ!$E$3:E596,商品マスタ[[#This Row],[商品名]]), "00")</f>
        <v>PRD_SNJ_FJT_0023_01</v>
      </c>
      <c r="E596" s="87" t="s">
        <v>1588</v>
      </c>
      <c r="F596" s="87">
        <f>IF(COUNTIFS($C$3:C596,商品マスタ[[#This Row],[仕入先]],$E$3:E596,商品マスタ[[#This Row],[商品名]]) = 1, 1,0)</f>
        <v>1</v>
      </c>
      <c r="G596" s="133" t="str">
        <f>TEXT(SUMIF($C$3:C596,商品マスタ[[#This Row],[仕入先]],$F$3:F596), "0000")</f>
        <v>0023</v>
      </c>
      <c r="H596" s="87" t="s">
        <v>901</v>
      </c>
      <c r="I596" s="87">
        <v>60</v>
      </c>
      <c r="J596" s="87">
        <v>60</v>
      </c>
      <c r="K596" s="87"/>
      <c r="L596" s="134">
        <v>625</v>
      </c>
      <c r="M596" s="157">
        <v>46052</v>
      </c>
      <c r="N596" s="134">
        <v>740.74</v>
      </c>
      <c r="O596" s="135">
        <f>IF(COUNT(商品マスタ[[#This Row],[参考上代
（税込)]]) &gt; 0, (商品マスタ[[#This Row],[参考上代
（税込)]]-商品マスタ[[#This Row],[国内定価
（15％）]])/(商品マスタ[[#This Row],[参考上代
（税込)]]/1.08), "")</f>
        <v>-0.10098118098118097</v>
      </c>
      <c r="P596" s="136">
        <v>0.1</v>
      </c>
      <c r="Q596" s="134">
        <f>商品マスタ[[#This Row],[仕入
単価]]*商品マスタ[[#This Row],[標準国内送料率]]</f>
        <v>62.5</v>
      </c>
      <c r="R596" s="134"/>
      <c r="S596" s="134">
        <f>IF(ISBLANK(商品マスタ[[#This Row],[実績
国内送料]]),商品マスタ[[#This Row],[標準国内送料]],)</f>
        <v>62.5</v>
      </c>
      <c r="T596" s="134">
        <f>商品マスタ[[#This Row],[仕入
単価]]+商品マスタ[[#This Row],[国内送料]]</f>
        <v>687.5</v>
      </c>
      <c r="U596" s="134">
        <f>ROUNDUP(商品マスタ[[#This Row],[仕入単価+国内送料]]/0.8,-1)</f>
        <v>860</v>
      </c>
      <c r="V596" s="134">
        <f>商品マスタ[[#This Row],[海外定価
（20％）]]-商品マスタ[[#This Row],[仕入単価+国内送料]]</f>
        <v>172.5</v>
      </c>
      <c r="W596" s="87">
        <f>ROUNDUP(商品マスタ[[#This Row],[仕入単価+国内送料]]/0.85,-1)</f>
        <v>810</v>
      </c>
      <c r="X596" s="134">
        <f>商品マスタ[[#This Row],[国内定価
（15％）]]-商品マスタ[[#This Row],[仕入単価+国内送料]]</f>
        <v>122.5</v>
      </c>
      <c r="Y596" s="139">
        <v>0.08</v>
      </c>
      <c r="Z596" s="87" t="s">
        <v>1694</v>
      </c>
      <c r="AA596" s="87" t="s">
        <v>1670</v>
      </c>
      <c r="AB596" s="87" t="s">
        <v>1675</v>
      </c>
      <c r="AC596" s="140">
        <v>4539297350407</v>
      </c>
      <c r="AD596" s="87" t="s">
        <v>1702</v>
      </c>
      <c r="AE596" s="87"/>
      <c r="AF596" s="87"/>
      <c r="AG596" s="141" t="s">
        <v>1734</v>
      </c>
    </row>
    <row r="597" spans="1:33" ht="18">
      <c r="A597" s="166" t="s">
        <v>1524</v>
      </c>
      <c r="B597" s="167" t="s">
        <v>1229</v>
      </c>
      <c r="C597" s="167" t="s">
        <v>1530</v>
      </c>
      <c r="D597" s="143" t="str">
        <f>"PRD_SNJ_"&amp;
_xlfn.XLOOKUP(商品マスタ[[#This Row],[仕入先]],テーブル1[仕入先名],テーブル1[仕入先コード],"XXX",0,1)&amp;
"_"&amp;
商品マスタ[[#This Row],[シリアル]]&amp;
"_"&amp;
TEXT(COUNTIFS(商品マスタ!$C$3:C597,商品マスタ[[#This Row],[仕入先]],商品マスタ!$E$3:E597,商品マスタ[[#This Row],[商品名]]), "00")</f>
        <v>PRD_SNJ_FJT_0024_01</v>
      </c>
      <c r="E597" s="87" t="s">
        <v>1589</v>
      </c>
      <c r="F597" s="87">
        <f>IF(COUNTIFS($C$3:C597,商品マスタ[[#This Row],[仕入先]],$E$3:E597,商品マスタ[[#This Row],[商品名]]) = 1, 1,0)</f>
        <v>1</v>
      </c>
      <c r="G597" s="133" t="str">
        <f>TEXT(SUMIF($C$3:C597,商品マスタ[[#This Row],[仕入先]],$F$3:F597), "0000")</f>
        <v>0024</v>
      </c>
      <c r="H597" s="87" t="s">
        <v>901</v>
      </c>
      <c r="I597" s="87" t="s">
        <v>1628</v>
      </c>
      <c r="J597" s="87" t="s">
        <v>1629</v>
      </c>
      <c r="K597" s="87"/>
      <c r="L597" s="134">
        <v>1275</v>
      </c>
      <c r="M597" s="157">
        <v>46052</v>
      </c>
      <c r="N597" s="134">
        <v>1543.52</v>
      </c>
      <c r="O597" s="135">
        <f>IF(COUNT(商品マスタ[[#This Row],[参考上代
（税込)]]) &gt; 0, (商品マスタ[[#This Row],[参考上代
（税込)]]-商品マスタ[[#This Row],[国内定価
（15％）]])/(商品マスタ[[#This Row],[参考上代
（税込)]]/1.08), "")</f>
        <v>-7.4503990877993184E-2</v>
      </c>
      <c r="P597" s="136">
        <v>0.1</v>
      </c>
      <c r="Q597" s="134">
        <f>商品マスタ[[#This Row],[仕入
単価]]*商品マスタ[[#This Row],[標準国内送料率]]</f>
        <v>127.5</v>
      </c>
      <c r="R597" s="134"/>
      <c r="S597" s="134">
        <f>IF(ISBLANK(商品マスタ[[#This Row],[実績
国内送料]]),商品マスタ[[#This Row],[標準国内送料]],)</f>
        <v>127.5</v>
      </c>
      <c r="T597" s="134">
        <f>商品マスタ[[#This Row],[仕入
単価]]+商品マスタ[[#This Row],[国内送料]]</f>
        <v>1402.5</v>
      </c>
      <c r="U597" s="134">
        <f>ROUNDUP(商品マスタ[[#This Row],[仕入単価+国内送料]]/0.8,-1)</f>
        <v>1760</v>
      </c>
      <c r="V597" s="134">
        <f>商品マスタ[[#This Row],[海外定価
（20％）]]-商品マスタ[[#This Row],[仕入単価+国内送料]]</f>
        <v>357.5</v>
      </c>
      <c r="W597" s="87">
        <f>ROUNDUP(商品マスタ[[#This Row],[仕入単価+国内送料]]/0.85,-1)</f>
        <v>1650</v>
      </c>
      <c r="X597" s="134">
        <f>商品マスタ[[#This Row],[国内定価
（15％）]]-商品マスタ[[#This Row],[仕入単価+国内送料]]</f>
        <v>247.5</v>
      </c>
      <c r="Y597" s="139">
        <v>0.08</v>
      </c>
      <c r="Z597" s="87" t="s">
        <v>1703</v>
      </c>
      <c r="AA597" s="87" t="s">
        <v>938</v>
      </c>
      <c r="AB597" s="87" t="s">
        <v>1675</v>
      </c>
      <c r="AC597" s="140">
        <v>4560136800319</v>
      </c>
      <c r="AD597" s="87" t="s">
        <v>1704</v>
      </c>
      <c r="AE597" s="87"/>
      <c r="AF597" s="87"/>
      <c r="AG597" s="141"/>
    </row>
    <row r="598" spans="1:33" ht="18">
      <c r="A598" s="166" t="s">
        <v>1524</v>
      </c>
      <c r="B598" s="167" t="s">
        <v>1229</v>
      </c>
      <c r="C598" s="167" t="s">
        <v>1530</v>
      </c>
      <c r="D598" s="143" t="str">
        <f>"PRD_SNJ_"&amp;
_xlfn.XLOOKUP(商品マスタ[[#This Row],[仕入先]],テーブル1[仕入先名],テーブル1[仕入先コード],"XXX",0,1)&amp;
"_"&amp;
商品マスタ[[#This Row],[シリアル]]&amp;
"_"&amp;
TEXT(COUNTIFS(商品マスタ!$C$3:C598,商品マスタ[[#This Row],[仕入先]],商品マスタ!$E$3:E598,商品マスタ[[#This Row],[商品名]]), "00")</f>
        <v>PRD_SNJ_FJT_0025_01</v>
      </c>
      <c r="E598" s="87" t="s">
        <v>1590</v>
      </c>
      <c r="F598" s="87">
        <f>IF(COUNTIFS($C$3:C598,商品マスタ[[#This Row],[仕入先]],$E$3:E598,商品マスタ[[#This Row],[商品名]]) = 1, 1,0)</f>
        <v>1</v>
      </c>
      <c r="G598" s="133" t="str">
        <f>TEXT(SUMIF($C$3:C598,商品マスタ[[#This Row],[仕入先]],$F$3:F598), "0000")</f>
        <v>0025</v>
      </c>
      <c r="H598" s="87" t="s">
        <v>901</v>
      </c>
      <c r="I598" s="87" t="s">
        <v>1628</v>
      </c>
      <c r="J598" s="87" t="s">
        <v>1629</v>
      </c>
      <c r="K598" s="87"/>
      <c r="L598" s="134">
        <v>1275</v>
      </c>
      <c r="M598" s="157">
        <v>46052</v>
      </c>
      <c r="N598" s="134">
        <v>1543.52</v>
      </c>
      <c r="O598" s="135">
        <f>IF(COUNT(商品マスタ[[#This Row],[参考上代
（税込)]]) &gt; 0, (商品マスタ[[#This Row],[参考上代
（税込)]]-商品マスタ[[#This Row],[国内定価
（15％）]])/(商品マスタ[[#This Row],[参考上代
（税込)]]/1.08), "")</f>
        <v>-7.4503990877993184E-2</v>
      </c>
      <c r="P598" s="136">
        <v>0.1</v>
      </c>
      <c r="Q598" s="134">
        <f>商品マスタ[[#This Row],[仕入
単価]]*商品マスタ[[#This Row],[標準国内送料率]]</f>
        <v>127.5</v>
      </c>
      <c r="R598" s="134"/>
      <c r="S598" s="134">
        <f>IF(ISBLANK(商品マスタ[[#This Row],[実績
国内送料]]),商品マスタ[[#This Row],[標準国内送料]],)</f>
        <v>127.5</v>
      </c>
      <c r="T598" s="134">
        <f>商品マスタ[[#This Row],[仕入
単価]]+商品マスタ[[#This Row],[国内送料]]</f>
        <v>1402.5</v>
      </c>
      <c r="U598" s="134">
        <f>ROUNDUP(商品マスタ[[#This Row],[仕入単価+国内送料]]/0.8,-1)</f>
        <v>1760</v>
      </c>
      <c r="V598" s="134">
        <f>商品マスタ[[#This Row],[海外定価
（20％）]]-商品マスタ[[#This Row],[仕入単価+国内送料]]</f>
        <v>357.5</v>
      </c>
      <c r="W598" s="87">
        <f>ROUNDUP(商品マスタ[[#This Row],[仕入単価+国内送料]]/0.85,-1)</f>
        <v>1650</v>
      </c>
      <c r="X598" s="134">
        <f>商品マスタ[[#This Row],[国内定価
（15％）]]-商品マスタ[[#This Row],[仕入単価+国内送料]]</f>
        <v>247.5</v>
      </c>
      <c r="Y598" s="139">
        <v>0.08</v>
      </c>
      <c r="Z598" s="87" t="s">
        <v>1703</v>
      </c>
      <c r="AA598" s="87" t="s">
        <v>938</v>
      </c>
      <c r="AB598" s="87" t="s">
        <v>1675</v>
      </c>
      <c r="AC598" s="140">
        <v>4560136800302</v>
      </c>
      <c r="AD598" s="87" t="s">
        <v>1705</v>
      </c>
      <c r="AE598" s="87"/>
      <c r="AF598" s="87"/>
      <c r="AG598" s="141"/>
    </row>
    <row r="599" spans="1:33" ht="18">
      <c r="A599" s="166" t="s">
        <v>1524</v>
      </c>
      <c r="B599" s="167" t="s">
        <v>1229</v>
      </c>
      <c r="C599" s="167" t="s">
        <v>1530</v>
      </c>
      <c r="D599" s="143" t="str">
        <f>"PRD_SNJ_"&amp;
_xlfn.XLOOKUP(商品マスタ[[#This Row],[仕入先]],テーブル1[仕入先名],テーブル1[仕入先コード],"XXX",0,1)&amp;
"_"&amp;
商品マスタ[[#This Row],[シリアル]]&amp;
"_"&amp;
TEXT(COUNTIFS(商品マスタ!$C$3:C599,商品マスタ[[#This Row],[仕入先]],商品マスタ!$E$3:E599,商品マスタ[[#This Row],[商品名]]), "00")</f>
        <v>PRD_SNJ_FJT_0026_01</v>
      </c>
      <c r="E599" s="87" t="s">
        <v>1591</v>
      </c>
      <c r="F599" s="87">
        <f>IF(COUNTIFS($C$3:C599,商品マスタ[[#This Row],[仕入先]],$E$3:E599,商品マスタ[[#This Row],[商品名]]) = 1, 1,0)</f>
        <v>1</v>
      </c>
      <c r="G599" s="133" t="str">
        <f>TEXT(SUMIF($C$3:C599,商品マスタ[[#This Row],[仕入先]],$F$3:F599), "0000")</f>
        <v>0026</v>
      </c>
      <c r="H599" s="87" t="s">
        <v>901</v>
      </c>
      <c r="I599" s="87" t="s">
        <v>1628</v>
      </c>
      <c r="J599" s="87" t="s">
        <v>1629</v>
      </c>
      <c r="K599" s="87"/>
      <c r="L599" s="134">
        <v>1275</v>
      </c>
      <c r="M599" s="157">
        <v>46052</v>
      </c>
      <c r="N599" s="134">
        <v>1543.52</v>
      </c>
      <c r="O599" s="135">
        <f>IF(COUNT(商品マスタ[[#This Row],[参考上代
（税込)]]) &gt; 0, (商品マスタ[[#This Row],[参考上代
（税込)]]-商品マスタ[[#This Row],[国内定価
（15％）]])/(商品マスタ[[#This Row],[参考上代
（税込)]]/1.08), "")</f>
        <v>-7.4503990877993184E-2</v>
      </c>
      <c r="P599" s="136">
        <v>0.1</v>
      </c>
      <c r="Q599" s="134">
        <f>商品マスタ[[#This Row],[仕入
単価]]*商品マスタ[[#This Row],[標準国内送料率]]</f>
        <v>127.5</v>
      </c>
      <c r="R599" s="134"/>
      <c r="S599" s="134">
        <f>IF(ISBLANK(商品マスタ[[#This Row],[実績
国内送料]]),商品マスタ[[#This Row],[標準国内送料]],)</f>
        <v>127.5</v>
      </c>
      <c r="T599" s="134">
        <f>商品マスタ[[#This Row],[仕入
単価]]+商品マスタ[[#This Row],[国内送料]]</f>
        <v>1402.5</v>
      </c>
      <c r="U599" s="134">
        <f>ROUNDUP(商品マスタ[[#This Row],[仕入単価+国内送料]]/0.8,-1)</f>
        <v>1760</v>
      </c>
      <c r="V599" s="134">
        <f>商品マスタ[[#This Row],[海外定価
（20％）]]-商品マスタ[[#This Row],[仕入単価+国内送料]]</f>
        <v>357.5</v>
      </c>
      <c r="W599" s="87">
        <f>ROUNDUP(商品マスタ[[#This Row],[仕入単価+国内送料]]/0.85,-1)</f>
        <v>1650</v>
      </c>
      <c r="X599" s="134">
        <f>商品マスタ[[#This Row],[国内定価
（15％）]]-商品マスタ[[#This Row],[仕入単価+国内送料]]</f>
        <v>247.5</v>
      </c>
      <c r="Y599" s="139">
        <v>0.08</v>
      </c>
      <c r="Z599" s="87" t="s">
        <v>1703</v>
      </c>
      <c r="AA599" s="87" t="s">
        <v>938</v>
      </c>
      <c r="AB599" s="87" t="s">
        <v>1675</v>
      </c>
      <c r="AC599" s="140">
        <v>4560136800296</v>
      </c>
      <c r="AD599" s="87" t="s">
        <v>1706</v>
      </c>
      <c r="AE599" s="87"/>
      <c r="AF599" s="87"/>
      <c r="AG599" s="141"/>
    </row>
    <row r="600" spans="1:33" ht="18">
      <c r="A600" s="166" t="s">
        <v>1524</v>
      </c>
      <c r="B600" s="167" t="s">
        <v>1229</v>
      </c>
      <c r="C600" s="167" t="s">
        <v>1530</v>
      </c>
      <c r="D600" s="143" t="str">
        <f>"PRD_SNJ_"&amp;
_xlfn.XLOOKUP(商品マスタ[[#This Row],[仕入先]],テーブル1[仕入先名],テーブル1[仕入先コード],"XXX",0,1)&amp;
"_"&amp;
商品マスタ[[#This Row],[シリアル]]&amp;
"_"&amp;
TEXT(COUNTIFS(商品マスタ!$C$3:C600,商品マスタ[[#This Row],[仕入先]],商品マスタ!$E$3:E600,商品マスタ[[#This Row],[商品名]]), "00")</f>
        <v>PRD_SNJ_FJT_0027_01</v>
      </c>
      <c r="E600" s="87" t="s">
        <v>1592</v>
      </c>
      <c r="F600" s="87">
        <f>IF(COUNTIFS($C$3:C600,商品マスタ[[#This Row],[仕入先]],$E$3:E600,商品マスタ[[#This Row],[商品名]]) = 1, 1,0)</f>
        <v>1</v>
      </c>
      <c r="G600" s="133" t="str">
        <f>TEXT(SUMIF($C$3:C600,商品マスタ[[#This Row],[仕入先]],$F$3:F600), "0000")</f>
        <v>0027</v>
      </c>
      <c r="H600" s="87" t="s">
        <v>901</v>
      </c>
      <c r="I600" s="87" t="s">
        <v>1630</v>
      </c>
      <c r="J600" s="87" t="s">
        <v>1631</v>
      </c>
      <c r="K600" s="87"/>
      <c r="L600" s="134">
        <v>1150</v>
      </c>
      <c r="M600" s="157">
        <v>46052</v>
      </c>
      <c r="N600" s="134">
        <v>1388.89</v>
      </c>
      <c r="O600" s="135">
        <f>IF(COUNT(商品マスタ[[#This Row],[参考上代
（税込)]]) &gt; 0, (商品マスタ[[#This Row],[参考上代
（税込)]]-商品マスタ[[#This Row],[国内定価
（15％）]])/(商品マスタ[[#This Row],[参考上代
（税込)]]/1.08), "")</f>
        <v>-7.862307310154143E-2</v>
      </c>
      <c r="P600" s="136">
        <v>0.1</v>
      </c>
      <c r="Q600" s="134">
        <f>商品マスタ[[#This Row],[仕入
単価]]*商品マスタ[[#This Row],[標準国内送料率]]</f>
        <v>115</v>
      </c>
      <c r="R600" s="134"/>
      <c r="S600" s="134">
        <f>IF(ISBLANK(商品マスタ[[#This Row],[実績
国内送料]]),商品マスタ[[#This Row],[標準国内送料]],)</f>
        <v>115</v>
      </c>
      <c r="T600" s="134">
        <f>商品マスタ[[#This Row],[仕入
単価]]+商品マスタ[[#This Row],[国内送料]]</f>
        <v>1265</v>
      </c>
      <c r="U600" s="134">
        <f>ROUNDUP(商品マスタ[[#This Row],[仕入単価+国内送料]]/0.8,-1)</f>
        <v>1590</v>
      </c>
      <c r="V600" s="134">
        <f>商品マスタ[[#This Row],[海外定価
（20％）]]-商品マスタ[[#This Row],[仕入単価+国内送料]]</f>
        <v>325</v>
      </c>
      <c r="W600" s="87">
        <f>ROUNDUP(商品マスタ[[#This Row],[仕入単価+国内送料]]/0.85,-1)</f>
        <v>1490</v>
      </c>
      <c r="X600" s="134">
        <f>商品マスタ[[#This Row],[国内定価
（15％）]]-商品マスタ[[#This Row],[仕入単価+国内送料]]</f>
        <v>225</v>
      </c>
      <c r="Y600" s="139">
        <v>0.08</v>
      </c>
      <c r="Z600" s="87" t="s">
        <v>1707</v>
      </c>
      <c r="AA600" s="87" t="s">
        <v>1708</v>
      </c>
      <c r="AB600" s="87" t="s">
        <v>1675</v>
      </c>
      <c r="AC600" s="140">
        <v>4589683736889</v>
      </c>
      <c r="AD600" s="87" t="s">
        <v>1709</v>
      </c>
      <c r="AE600" s="87"/>
      <c r="AF600" s="87"/>
      <c r="AG600" s="141"/>
    </row>
    <row r="601" spans="1:33" ht="18">
      <c r="A601" s="166" t="s">
        <v>1524</v>
      </c>
      <c r="B601" s="167" t="s">
        <v>1229</v>
      </c>
      <c r="C601" s="167" t="s">
        <v>1530</v>
      </c>
      <c r="D601" s="143" t="str">
        <f>"PRD_SNJ_"&amp;
_xlfn.XLOOKUP(商品マスタ[[#This Row],[仕入先]],テーブル1[仕入先名],テーブル1[仕入先コード],"XXX",0,1)&amp;
"_"&amp;
商品マスタ[[#This Row],[シリアル]]&amp;
"_"&amp;
TEXT(COUNTIFS(商品マスタ!$C$3:C601,商品マスタ[[#This Row],[仕入先]],商品マスタ!$E$3:E601,商品マスタ[[#This Row],[商品名]]), "00")</f>
        <v>PRD_SNJ_FJT_0028_01</v>
      </c>
      <c r="E601" s="87" t="s">
        <v>1593</v>
      </c>
      <c r="F601" s="87">
        <f>IF(COUNTIFS($C$3:C601,商品マスタ[[#This Row],[仕入先]],$E$3:E601,商品マスタ[[#This Row],[商品名]]) = 1, 1,0)</f>
        <v>1</v>
      </c>
      <c r="G601" s="133" t="str">
        <f>TEXT(SUMIF($C$3:C601,商品マスタ[[#This Row],[仕入先]],$F$3:F601), "0000")</f>
        <v>0028</v>
      </c>
      <c r="H601" s="87" t="s">
        <v>901</v>
      </c>
      <c r="I601" s="87" t="s">
        <v>1632</v>
      </c>
      <c r="J601" s="87" t="s">
        <v>1633</v>
      </c>
      <c r="K601" s="87"/>
      <c r="L601" s="134">
        <v>1900</v>
      </c>
      <c r="M601" s="157">
        <v>46052</v>
      </c>
      <c r="N601" s="134">
        <v>2314.81</v>
      </c>
      <c r="O601" s="135">
        <f>IF(COUNT(商品マスタ[[#This Row],[参考上代
（税込)]]) &gt; 0, (商品マスタ[[#This Row],[参考上代
（税込)]]-商品マスタ[[#This Row],[国内定価
（15％）]])/(商品マスタ[[#This Row],[参考上代
（税込)]]/1.08), "")</f>
        <v>-6.7739987299173604E-2</v>
      </c>
      <c r="P601" s="136">
        <v>0.1</v>
      </c>
      <c r="Q601" s="134">
        <f>商品マスタ[[#This Row],[仕入
単価]]*商品マスタ[[#This Row],[標準国内送料率]]</f>
        <v>190</v>
      </c>
      <c r="R601" s="134"/>
      <c r="S601" s="134">
        <f>IF(ISBLANK(商品マスタ[[#This Row],[実績
国内送料]]),商品マスタ[[#This Row],[標準国内送料]],)</f>
        <v>190</v>
      </c>
      <c r="T601" s="134">
        <f>商品マスタ[[#This Row],[仕入
単価]]+商品マスタ[[#This Row],[国内送料]]</f>
        <v>2090</v>
      </c>
      <c r="U601" s="134">
        <f>ROUNDUP(商品マスタ[[#This Row],[仕入単価+国内送料]]/0.8,-1)</f>
        <v>2620</v>
      </c>
      <c r="V601" s="134">
        <f>商品マスタ[[#This Row],[海外定価
（20％）]]-商品マスタ[[#This Row],[仕入単価+国内送料]]</f>
        <v>530</v>
      </c>
      <c r="W601" s="87">
        <f>ROUNDUP(商品マスタ[[#This Row],[仕入単価+国内送料]]/0.85,-1)</f>
        <v>2460</v>
      </c>
      <c r="X601" s="134">
        <f>商品マスタ[[#This Row],[国内定価
（15％）]]-商品マスタ[[#This Row],[仕入単価+国内送料]]</f>
        <v>370</v>
      </c>
      <c r="Y601" s="139">
        <v>0.08</v>
      </c>
      <c r="Z601" s="87" t="s">
        <v>1707</v>
      </c>
      <c r="AA601" s="87" t="s">
        <v>1708</v>
      </c>
      <c r="AB601" s="87" t="s">
        <v>1675</v>
      </c>
      <c r="AC601" s="140">
        <v>4589683736933</v>
      </c>
      <c r="AD601" s="87" t="s">
        <v>1710</v>
      </c>
      <c r="AE601" s="87"/>
      <c r="AF601" s="87"/>
      <c r="AG601" s="141"/>
    </row>
    <row r="602" spans="1:33" ht="18">
      <c r="A602" s="166" t="s">
        <v>1524</v>
      </c>
      <c r="B602" s="167" t="s">
        <v>1229</v>
      </c>
      <c r="C602" s="167" t="s">
        <v>1530</v>
      </c>
      <c r="D602" s="143" t="str">
        <f>"PRD_SNJ_"&amp;
_xlfn.XLOOKUP(商品マスタ[[#This Row],[仕入先]],テーブル1[仕入先名],テーブル1[仕入先コード],"XXX",0,1)&amp;
"_"&amp;
商品マスタ[[#This Row],[シリアル]]&amp;
"_"&amp;
TEXT(COUNTIFS(商品マスタ!$C$3:C602,商品マスタ[[#This Row],[仕入先]],商品マスタ!$E$3:E602,商品マスタ[[#This Row],[商品名]]), "00")</f>
        <v>PRD_SNJ_FJT_0029_01</v>
      </c>
      <c r="E602" s="87" t="s">
        <v>1594</v>
      </c>
      <c r="F602" s="87">
        <f>IF(COUNTIFS($C$3:C602,商品マスタ[[#This Row],[仕入先]],$E$3:E602,商品マスタ[[#This Row],[商品名]]) = 1, 1,0)</f>
        <v>1</v>
      </c>
      <c r="G602" s="133" t="str">
        <f>TEXT(SUMIF($C$3:C602,商品マスタ[[#This Row],[仕入先]],$F$3:F602), "0000")</f>
        <v>0029</v>
      </c>
      <c r="H602" s="87" t="s">
        <v>901</v>
      </c>
      <c r="I602" s="87" t="s">
        <v>1634</v>
      </c>
      <c r="J602" s="87" t="s">
        <v>1629</v>
      </c>
      <c r="K602" s="87"/>
      <c r="L602" s="134">
        <v>775</v>
      </c>
      <c r="M602" s="157">
        <v>46052</v>
      </c>
      <c r="N602" s="134">
        <v>925.93</v>
      </c>
      <c r="O602" s="135">
        <f>IF(COUNT(商品マスタ[[#This Row],[参考上代
（税込)]]) &gt; 0, (商品マスタ[[#This Row],[参考上代
（税込)]]-商品マスタ[[#This Row],[国内定価
（15％）]])/(商品マスタ[[#This Row],[参考上代
（税込)]]/1.08), "")</f>
        <v>-9.8058816541207294E-2</v>
      </c>
      <c r="P602" s="136">
        <v>0.1</v>
      </c>
      <c r="Q602" s="134">
        <f>商品マスタ[[#This Row],[仕入
単価]]*商品マスタ[[#This Row],[標準国内送料率]]</f>
        <v>77.5</v>
      </c>
      <c r="R602" s="134"/>
      <c r="S602" s="134">
        <f>IF(ISBLANK(商品マスタ[[#This Row],[実績
国内送料]]),商品マスタ[[#This Row],[標準国内送料]],)</f>
        <v>77.5</v>
      </c>
      <c r="T602" s="134">
        <f>商品マスタ[[#This Row],[仕入
単価]]+商品マスタ[[#This Row],[国内送料]]</f>
        <v>852.5</v>
      </c>
      <c r="U602" s="134">
        <f>ROUNDUP(商品マスタ[[#This Row],[仕入単価+国内送料]]/0.8,-1)</f>
        <v>1070</v>
      </c>
      <c r="V602" s="134">
        <f>商品マスタ[[#This Row],[海外定価
（20％）]]-商品マスタ[[#This Row],[仕入単価+国内送料]]</f>
        <v>217.5</v>
      </c>
      <c r="W602" s="87">
        <f>ROUNDUP(商品マスタ[[#This Row],[仕入単価+国内送料]]/0.85,-1)</f>
        <v>1010</v>
      </c>
      <c r="X602" s="134">
        <f>商品マスタ[[#This Row],[国内定価
（15％）]]-商品マスタ[[#This Row],[仕入単価+国内送料]]</f>
        <v>157.5</v>
      </c>
      <c r="Y602" s="139">
        <v>0.08</v>
      </c>
      <c r="Z602" s="87" t="s">
        <v>1703</v>
      </c>
      <c r="AA602" s="87" t="s">
        <v>938</v>
      </c>
      <c r="AB602" s="87" t="s">
        <v>1675</v>
      </c>
      <c r="AC602" s="140">
        <v>4562216373782</v>
      </c>
      <c r="AD602" s="87" t="s">
        <v>1711</v>
      </c>
      <c r="AE602" s="87"/>
      <c r="AF602" s="87"/>
      <c r="AG602" s="141"/>
    </row>
    <row r="603" spans="1:33" ht="18">
      <c r="A603" s="166" t="s">
        <v>1524</v>
      </c>
      <c r="B603" s="167" t="s">
        <v>1229</v>
      </c>
      <c r="C603" s="167" t="s">
        <v>1530</v>
      </c>
      <c r="D603" s="143" t="str">
        <f>"PRD_SNJ_"&amp;
_xlfn.XLOOKUP(商品マスタ[[#This Row],[仕入先]],テーブル1[仕入先名],テーブル1[仕入先コード],"XXX",0,1)&amp;
"_"&amp;
商品マスタ[[#This Row],[シリアル]]&amp;
"_"&amp;
TEXT(COUNTIFS(商品マスタ!$C$3:C603,商品マスタ[[#This Row],[仕入先]],商品マスタ!$E$3:E603,商品マスタ[[#This Row],[商品名]]), "00")</f>
        <v>PRD_SNJ_FJT_0030_01</v>
      </c>
      <c r="E603" s="87" t="s">
        <v>1595</v>
      </c>
      <c r="F603" s="87">
        <f>IF(COUNTIFS($C$3:C603,商品マスタ[[#This Row],[仕入先]],$E$3:E603,商品マスタ[[#This Row],[商品名]]) = 1, 1,0)</f>
        <v>1</v>
      </c>
      <c r="G603" s="133" t="str">
        <f>TEXT(SUMIF($C$3:C603,商品マスタ[[#This Row],[仕入先]],$F$3:F603), "0000")</f>
        <v>0030</v>
      </c>
      <c r="H603" s="87" t="s">
        <v>901</v>
      </c>
      <c r="I603" s="87" t="s">
        <v>1621</v>
      </c>
      <c r="J603" s="87" t="s">
        <v>1621</v>
      </c>
      <c r="K603" s="87"/>
      <c r="L603" s="134">
        <v>272</v>
      </c>
      <c r="M603" s="157">
        <v>46052</v>
      </c>
      <c r="N603" s="134">
        <v>324.07</v>
      </c>
      <c r="O603" s="135">
        <f>IF(COUNT(商品マスタ[[#This Row],[参考上代
（税込)]]) &gt; 0, (商品マスタ[[#This Row],[参考上代
（税込)]]-商品マスタ[[#This Row],[国内定価
（15％）]])/(商品マスタ[[#This Row],[参考上代
（税込)]]/1.08), "")</f>
        <v>-0.11974079674144479</v>
      </c>
      <c r="P603" s="136">
        <v>0.1</v>
      </c>
      <c r="Q603" s="134">
        <f>商品マスタ[[#This Row],[仕入
単価]]*商品マスタ[[#This Row],[標準国内送料率]]</f>
        <v>27.200000000000003</v>
      </c>
      <c r="R603" s="134"/>
      <c r="S603" s="134">
        <f>IF(ISBLANK(商品マスタ[[#This Row],[実績
国内送料]]),商品マスタ[[#This Row],[標準国内送料]],)</f>
        <v>27.200000000000003</v>
      </c>
      <c r="T603" s="134">
        <f>商品マスタ[[#This Row],[仕入
単価]]+商品マスタ[[#This Row],[国内送料]]</f>
        <v>299.2</v>
      </c>
      <c r="U603" s="134">
        <f>ROUNDUP(商品マスタ[[#This Row],[仕入単価+国内送料]]/0.8,-1)</f>
        <v>380</v>
      </c>
      <c r="V603" s="134">
        <f>商品マスタ[[#This Row],[海外定価
（20％）]]-商品マスタ[[#This Row],[仕入単価+国内送料]]</f>
        <v>80.800000000000011</v>
      </c>
      <c r="W603" s="87">
        <f>ROUNDUP(商品マスタ[[#This Row],[仕入単価+国内送料]]/0.85,-1)</f>
        <v>360</v>
      </c>
      <c r="X603" s="134">
        <f>商品マスタ[[#This Row],[国内定価
（15％）]]-商品マスタ[[#This Row],[仕入単価+国内送料]]</f>
        <v>60.800000000000011</v>
      </c>
      <c r="Y603" s="139">
        <v>0.08</v>
      </c>
      <c r="Z603" s="87" t="s">
        <v>959</v>
      </c>
      <c r="AA603" s="87" t="s">
        <v>938</v>
      </c>
      <c r="AB603" s="87" t="s">
        <v>1675</v>
      </c>
      <c r="AC603" s="140">
        <v>4539297320707</v>
      </c>
      <c r="AD603" s="87" t="s">
        <v>1712</v>
      </c>
      <c r="AE603" s="87"/>
      <c r="AF603" s="87"/>
      <c r="AG603" s="141"/>
    </row>
    <row r="604" spans="1:33" ht="18">
      <c r="A604" s="166" t="s">
        <v>1524</v>
      </c>
      <c r="B604" s="167" t="s">
        <v>1229</v>
      </c>
      <c r="C604" s="167" t="s">
        <v>1530</v>
      </c>
      <c r="D604" s="143" t="str">
        <f>"PRD_SNJ_"&amp;
_xlfn.XLOOKUP(商品マスタ[[#This Row],[仕入先]],テーブル1[仕入先名],テーブル1[仕入先コード],"XXX",0,1)&amp;
"_"&amp;
商品マスタ[[#This Row],[シリアル]]&amp;
"_"&amp;
TEXT(COUNTIFS(商品マスタ!$C$3:C604,商品マスタ[[#This Row],[仕入先]],商品マスタ!$E$3:E604,商品マスタ[[#This Row],[商品名]]), "00")</f>
        <v>PRD_SNJ_FJT_0031_01</v>
      </c>
      <c r="E604" s="87" t="s">
        <v>1596</v>
      </c>
      <c r="F604" s="87">
        <f>IF(COUNTIFS($C$3:C604,商品マスタ[[#This Row],[仕入先]],$E$3:E604,商品マスタ[[#This Row],[商品名]]) = 1, 1,0)</f>
        <v>1</v>
      </c>
      <c r="G604" s="133" t="str">
        <f>TEXT(SUMIF($C$3:C604,商品マスタ[[#This Row],[仕入先]],$F$3:F604), "0000")</f>
        <v>0031</v>
      </c>
      <c r="H604" s="87" t="s">
        <v>901</v>
      </c>
      <c r="I604" s="87" t="s">
        <v>1621</v>
      </c>
      <c r="J604" s="87" t="s">
        <v>1621</v>
      </c>
      <c r="K604" s="87"/>
      <c r="L604" s="134">
        <v>272</v>
      </c>
      <c r="M604" s="157">
        <v>46052</v>
      </c>
      <c r="N604" s="134">
        <v>324.07</v>
      </c>
      <c r="O604" s="135">
        <f>IF(COUNT(商品マスタ[[#This Row],[参考上代
（税込)]]) &gt; 0, (商品マスタ[[#This Row],[参考上代
（税込)]]-商品マスタ[[#This Row],[国内定価
（15％）]])/(商品マスタ[[#This Row],[参考上代
（税込)]]/1.08), "")</f>
        <v>-0.11974079674144479</v>
      </c>
      <c r="P604" s="136">
        <v>0.1</v>
      </c>
      <c r="Q604" s="134">
        <f>商品マスタ[[#This Row],[仕入
単価]]*商品マスタ[[#This Row],[標準国内送料率]]</f>
        <v>27.200000000000003</v>
      </c>
      <c r="R604" s="134"/>
      <c r="S604" s="134">
        <f>IF(ISBLANK(商品マスタ[[#This Row],[実績
国内送料]]),商品マスタ[[#This Row],[標準国内送料]],)</f>
        <v>27.200000000000003</v>
      </c>
      <c r="T604" s="134">
        <f>商品マスタ[[#This Row],[仕入
単価]]+商品マスタ[[#This Row],[国内送料]]</f>
        <v>299.2</v>
      </c>
      <c r="U604" s="134">
        <f>ROUNDUP(商品マスタ[[#This Row],[仕入単価+国内送料]]/0.8,-1)</f>
        <v>380</v>
      </c>
      <c r="V604" s="134">
        <f>商品マスタ[[#This Row],[海外定価
（20％）]]-商品マスタ[[#This Row],[仕入単価+国内送料]]</f>
        <v>80.800000000000011</v>
      </c>
      <c r="W604" s="87">
        <f>ROUNDUP(商品マスタ[[#This Row],[仕入単価+国内送料]]/0.85,-1)</f>
        <v>360</v>
      </c>
      <c r="X604" s="134">
        <f>商品マスタ[[#This Row],[国内定価
（15％）]]-商品マスタ[[#This Row],[仕入単価+国内送料]]</f>
        <v>60.800000000000011</v>
      </c>
      <c r="Y604" s="139">
        <v>0.08</v>
      </c>
      <c r="Z604" s="87" t="s">
        <v>959</v>
      </c>
      <c r="AA604" s="87" t="s">
        <v>938</v>
      </c>
      <c r="AB604" s="87" t="s">
        <v>1675</v>
      </c>
      <c r="AC604" s="140">
        <v>4539297320806</v>
      </c>
      <c r="AD604" s="87" t="s">
        <v>1713</v>
      </c>
      <c r="AE604" s="87"/>
      <c r="AF604" s="87"/>
      <c r="AG604" s="141"/>
    </row>
    <row r="605" spans="1:33" ht="18">
      <c r="A605" s="166" t="s">
        <v>1524</v>
      </c>
      <c r="B605" s="167" t="s">
        <v>1229</v>
      </c>
      <c r="C605" s="167" t="s">
        <v>1530</v>
      </c>
      <c r="D605" s="143" t="str">
        <f>"PRD_SNJ_"&amp;
_xlfn.XLOOKUP(商品マスタ[[#This Row],[仕入先]],テーブル1[仕入先名],テーブル1[仕入先コード],"XXX",0,1)&amp;
"_"&amp;
商品マスタ[[#This Row],[シリアル]]&amp;
"_"&amp;
TEXT(COUNTIFS(商品マスタ!$C$3:C605,商品マスタ[[#This Row],[仕入先]],商品マスタ!$E$3:E605,商品マスタ[[#This Row],[商品名]]), "00")</f>
        <v>PRD_SNJ_FJT_0032_01</v>
      </c>
      <c r="E605" s="87" t="s">
        <v>1741</v>
      </c>
      <c r="F605" s="87">
        <f>IF(COUNTIFS($C$3:C605,商品マスタ[[#This Row],[仕入先]],$E$3:E605,商品マスタ[[#This Row],[商品名]]) = 1, 1,0)</f>
        <v>1</v>
      </c>
      <c r="G605" s="133" t="str">
        <f>TEXT(SUMIF($C$3:C605,商品マスタ[[#This Row],[仕入先]],$F$3:F605), "0000")</f>
        <v>0032</v>
      </c>
      <c r="H605" s="87" t="s">
        <v>901</v>
      </c>
      <c r="I605" s="87" t="s">
        <v>1621</v>
      </c>
      <c r="J605" s="87" t="s">
        <v>1621</v>
      </c>
      <c r="K605" s="87"/>
      <c r="L605" s="134">
        <v>272</v>
      </c>
      <c r="M605" s="157">
        <v>46052</v>
      </c>
      <c r="N605" s="134">
        <v>324.07</v>
      </c>
      <c r="O605" s="135">
        <f>IF(COUNT(商品マスタ[[#This Row],[参考上代
（税込)]]) &gt; 0, (商品マスタ[[#This Row],[参考上代
（税込)]]-商品マスタ[[#This Row],[国内定価
（15％）]])/(商品マスタ[[#This Row],[参考上代
（税込)]]/1.08), "")</f>
        <v>-0.11974079674144479</v>
      </c>
      <c r="P605" s="136">
        <v>0.1</v>
      </c>
      <c r="Q605" s="134">
        <f>商品マスタ[[#This Row],[仕入
単価]]*商品マスタ[[#This Row],[標準国内送料率]]</f>
        <v>27.200000000000003</v>
      </c>
      <c r="R605" s="134"/>
      <c r="S605" s="134">
        <f>IF(ISBLANK(商品マスタ[[#This Row],[実績
国内送料]]),商品マスタ[[#This Row],[標準国内送料]],)</f>
        <v>27.200000000000003</v>
      </c>
      <c r="T605" s="134">
        <f>商品マスタ[[#This Row],[仕入
単価]]+商品マスタ[[#This Row],[国内送料]]</f>
        <v>299.2</v>
      </c>
      <c r="U605" s="134">
        <f>ROUNDUP(商品マスタ[[#This Row],[仕入単価+国内送料]]/0.8,-1)</f>
        <v>380</v>
      </c>
      <c r="V605" s="134">
        <f>商品マスタ[[#This Row],[海外定価
（20％）]]-商品マスタ[[#This Row],[仕入単価+国内送料]]</f>
        <v>80.800000000000011</v>
      </c>
      <c r="W605" s="87">
        <f>ROUNDUP(商品マスタ[[#This Row],[仕入単価+国内送料]]/0.85,-1)</f>
        <v>360</v>
      </c>
      <c r="X605" s="134">
        <f>商品マスタ[[#This Row],[国内定価
（15％）]]-商品マスタ[[#This Row],[仕入単価+国内送料]]</f>
        <v>60.800000000000011</v>
      </c>
      <c r="Y605" s="139">
        <v>0.08</v>
      </c>
      <c r="Z605" s="87" t="s">
        <v>959</v>
      </c>
      <c r="AA605" s="87" t="s">
        <v>938</v>
      </c>
      <c r="AB605" s="87" t="s">
        <v>1675</v>
      </c>
      <c r="AC605" s="140">
        <v>4539297320905</v>
      </c>
      <c r="AD605" s="87" t="s">
        <v>1714</v>
      </c>
      <c r="AE605" s="87"/>
      <c r="AF605" s="87"/>
      <c r="AG605" s="141"/>
    </row>
    <row r="606" spans="1:33" ht="18">
      <c r="A606" s="166" t="s">
        <v>1524</v>
      </c>
      <c r="B606" s="167" t="s">
        <v>1229</v>
      </c>
      <c r="C606" s="167" t="s">
        <v>1530</v>
      </c>
      <c r="D606" s="143" t="str">
        <f>"PRD_SNJ_"&amp;
_xlfn.XLOOKUP(商品マスタ[[#This Row],[仕入先]],テーブル1[仕入先名],テーブル1[仕入先コード],"XXX",0,1)&amp;
"_"&amp;
商品マスタ[[#This Row],[シリアル]]&amp;
"_"&amp;
TEXT(COUNTIFS(商品マスタ!$C$3:C606,商品マスタ[[#This Row],[仕入先]],商品マスタ!$E$3:E606,商品マスタ[[#This Row],[商品名]]), "00")</f>
        <v>PRD_SNJ_FJT_0033_01</v>
      </c>
      <c r="E606" s="87" t="s">
        <v>1597</v>
      </c>
      <c r="F606" s="87">
        <f>IF(COUNTIFS($C$3:C606,商品マスタ[[#This Row],[仕入先]],$E$3:E606,商品マスタ[[#This Row],[商品名]]) = 1, 1,0)</f>
        <v>1</v>
      </c>
      <c r="G606" s="133" t="str">
        <f>TEXT(SUMIF($C$3:C606,商品マスタ[[#This Row],[仕入先]],$F$3:F606), "0000")</f>
        <v>0033</v>
      </c>
      <c r="H606" s="87" t="s">
        <v>901</v>
      </c>
      <c r="I606" s="87" t="s">
        <v>1621</v>
      </c>
      <c r="J606" s="87" t="s">
        <v>1621</v>
      </c>
      <c r="K606" s="87"/>
      <c r="L606" s="134">
        <v>272</v>
      </c>
      <c r="M606" s="157">
        <v>46052</v>
      </c>
      <c r="N606" s="134">
        <v>324.07</v>
      </c>
      <c r="O606" s="135">
        <f>IF(COUNT(商品マスタ[[#This Row],[参考上代
（税込)]]) &gt; 0, (商品マスタ[[#This Row],[参考上代
（税込)]]-商品マスタ[[#This Row],[国内定価
（15％）]])/(商品マスタ[[#This Row],[参考上代
（税込)]]/1.08), "")</f>
        <v>-0.11974079674144479</v>
      </c>
      <c r="P606" s="136">
        <v>0.1</v>
      </c>
      <c r="Q606" s="134">
        <f>商品マスタ[[#This Row],[仕入
単価]]*商品マスタ[[#This Row],[標準国内送料率]]</f>
        <v>27.200000000000003</v>
      </c>
      <c r="R606" s="134"/>
      <c r="S606" s="134">
        <f>IF(ISBLANK(商品マスタ[[#This Row],[実績
国内送料]]),商品マスタ[[#This Row],[標準国内送料]],)</f>
        <v>27.200000000000003</v>
      </c>
      <c r="T606" s="134">
        <f>商品マスタ[[#This Row],[仕入
単価]]+商品マスタ[[#This Row],[国内送料]]</f>
        <v>299.2</v>
      </c>
      <c r="U606" s="134">
        <f>ROUNDUP(商品マスタ[[#This Row],[仕入単価+国内送料]]/0.8,-1)</f>
        <v>380</v>
      </c>
      <c r="V606" s="134">
        <f>商品マスタ[[#This Row],[海外定価
（20％）]]-商品マスタ[[#This Row],[仕入単価+国内送料]]</f>
        <v>80.800000000000011</v>
      </c>
      <c r="W606" s="87">
        <f>ROUNDUP(商品マスタ[[#This Row],[仕入単価+国内送料]]/0.85,-1)</f>
        <v>360</v>
      </c>
      <c r="X606" s="134">
        <f>商品マスタ[[#This Row],[国内定価
（15％）]]-商品マスタ[[#This Row],[仕入単価+国内送料]]</f>
        <v>60.800000000000011</v>
      </c>
      <c r="Y606" s="139">
        <v>0.08</v>
      </c>
      <c r="Z606" s="87" t="s">
        <v>959</v>
      </c>
      <c r="AA606" s="87" t="s">
        <v>938</v>
      </c>
      <c r="AB606" s="87" t="s">
        <v>1675</v>
      </c>
      <c r="AC606" s="140">
        <v>4539297321001</v>
      </c>
      <c r="AD606" s="87" t="s">
        <v>1715</v>
      </c>
      <c r="AE606" s="87"/>
      <c r="AF606" s="87"/>
      <c r="AG606" s="141"/>
    </row>
    <row r="607" spans="1:33" ht="18">
      <c r="A607" s="166" t="s">
        <v>1524</v>
      </c>
      <c r="B607" s="167" t="s">
        <v>1229</v>
      </c>
      <c r="C607" s="167" t="s">
        <v>1530</v>
      </c>
      <c r="D607" s="143" t="str">
        <f>"PRD_SNJ_"&amp;
_xlfn.XLOOKUP(商品マスタ[[#This Row],[仕入先]],テーブル1[仕入先名],テーブル1[仕入先コード],"XXX",0,1)&amp;
"_"&amp;
商品マスタ[[#This Row],[シリアル]]&amp;
"_"&amp;
TEXT(COUNTIFS(商品マスタ!$C$3:C607,商品マスタ[[#This Row],[仕入先]],商品マスタ!$E$3:E607,商品マスタ[[#This Row],[商品名]]), "00")</f>
        <v>PRD_SNJ_FJT_0034_01</v>
      </c>
      <c r="E607" s="87" t="s">
        <v>1598</v>
      </c>
      <c r="F607" s="87">
        <f>IF(COUNTIFS($C$3:C607,商品マスタ[[#This Row],[仕入先]],$E$3:E607,商品マスタ[[#This Row],[商品名]]) = 1, 1,0)</f>
        <v>1</v>
      </c>
      <c r="G607" s="133" t="str">
        <f>TEXT(SUMIF($C$3:C607,商品マスタ[[#This Row],[仕入先]],$F$3:F607), "0000")</f>
        <v>0034</v>
      </c>
      <c r="H607" s="87" t="s">
        <v>901</v>
      </c>
      <c r="I607" s="87" t="s">
        <v>1625</v>
      </c>
      <c r="J607" s="87" t="s">
        <v>1625</v>
      </c>
      <c r="K607" s="87"/>
      <c r="L607" s="134">
        <v>705</v>
      </c>
      <c r="M607" s="157">
        <v>46052</v>
      </c>
      <c r="N607" s="134">
        <v>839.81</v>
      </c>
      <c r="O607" s="135">
        <f>IF(COUNT(商品マスタ[[#This Row],[参考上代
（税込)]]) &gt; 0, (商品マスタ[[#This Row],[参考上代
（税込)]]-商品マスタ[[#This Row],[国内定価
（15％）]])/(商品マスタ[[#This Row],[参考上代
（税込)]]/1.08), "")</f>
        <v>-0.10312475440873539</v>
      </c>
      <c r="P607" s="136">
        <v>0.1</v>
      </c>
      <c r="Q607" s="134">
        <f>商品マスタ[[#This Row],[仕入
単価]]*商品マスタ[[#This Row],[標準国内送料率]]</f>
        <v>70.5</v>
      </c>
      <c r="R607" s="134"/>
      <c r="S607" s="134">
        <f>IF(ISBLANK(商品マスタ[[#This Row],[実績
国内送料]]),商品マスタ[[#This Row],[標準国内送料]],)</f>
        <v>70.5</v>
      </c>
      <c r="T607" s="134">
        <f>商品マスタ[[#This Row],[仕入
単価]]+商品マスタ[[#This Row],[国内送料]]</f>
        <v>775.5</v>
      </c>
      <c r="U607" s="134">
        <f>ROUNDUP(商品マスタ[[#This Row],[仕入単価+国内送料]]/0.8,-1)</f>
        <v>970</v>
      </c>
      <c r="V607" s="134">
        <f>商品マスタ[[#This Row],[海外定価
（20％）]]-商品マスタ[[#This Row],[仕入単価+国内送料]]</f>
        <v>194.5</v>
      </c>
      <c r="W607" s="87">
        <f>ROUNDUP(商品マスタ[[#This Row],[仕入単価+国内送料]]/0.85,-1)</f>
        <v>920</v>
      </c>
      <c r="X607" s="134">
        <f>商品マスタ[[#This Row],[国内定価
（15％）]]-商品マスタ[[#This Row],[仕入単価+国内送料]]</f>
        <v>144.5</v>
      </c>
      <c r="Y607" s="139">
        <v>0.08</v>
      </c>
      <c r="Z607" s="87" t="s">
        <v>1716</v>
      </c>
      <c r="AA607" s="87" t="s">
        <v>960</v>
      </c>
      <c r="AB607" s="87" t="s">
        <v>1675</v>
      </c>
      <c r="AC607" s="140">
        <v>4580470180809</v>
      </c>
      <c r="AD607" s="87" t="s">
        <v>1717</v>
      </c>
      <c r="AE607" s="87"/>
      <c r="AF607" s="87"/>
      <c r="AG607" s="141"/>
    </row>
    <row r="608" spans="1:33" ht="18">
      <c r="A608" s="166" t="s">
        <v>1524</v>
      </c>
      <c r="B608" s="167" t="s">
        <v>1229</v>
      </c>
      <c r="C608" s="167" t="s">
        <v>1530</v>
      </c>
      <c r="D608" s="143" t="str">
        <f>"PRD_SNJ_"&amp;
_xlfn.XLOOKUP(商品マスタ[[#This Row],[仕入先]],テーブル1[仕入先名],テーブル1[仕入先コード],"XXX",0,1)&amp;
"_"&amp;
商品マスタ[[#This Row],[シリアル]]&amp;
"_"&amp;
TEXT(COUNTIFS(商品マスタ!$C$3:C608,商品マスタ[[#This Row],[仕入先]],商品マスタ!$E$3:E608,商品マスタ[[#This Row],[商品名]]), "00")</f>
        <v>PRD_SNJ_FJT_0035_01</v>
      </c>
      <c r="E608" s="87" t="s">
        <v>1599</v>
      </c>
      <c r="F608" s="87">
        <f>IF(COUNTIFS($C$3:C608,商品マスタ[[#This Row],[仕入先]],$E$3:E608,商品マスタ[[#This Row],[商品名]]) = 1, 1,0)</f>
        <v>1</v>
      </c>
      <c r="G608" s="133" t="str">
        <f>TEXT(SUMIF($C$3:C608,商品マスタ[[#This Row],[仕入先]],$F$3:F608), "0000")</f>
        <v>0035</v>
      </c>
      <c r="H608" s="87" t="s">
        <v>901</v>
      </c>
      <c r="I608" s="87" t="s">
        <v>1635</v>
      </c>
      <c r="J608" s="87" t="s">
        <v>1635</v>
      </c>
      <c r="K608" s="87"/>
      <c r="L608" s="134">
        <v>588</v>
      </c>
      <c r="M608" s="157">
        <v>46052</v>
      </c>
      <c r="N608" s="134">
        <v>694.44</v>
      </c>
      <c r="O608" s="135">
        <f>IF(COUNT(商品マスタ[[#This Row],[参考上代
（税込)]]) &gt; 0, (商品マスタ[[#This Row],[参考上代
（税込)]]-商品マスタ[[#This Row],[国内定価
（15％）]])/(商品マスタ[[#This Row],[参考上代
（税込)]]/1.08), "")</f>
        <v>-0.11751166407465</v>
      </c>
      <c r="P608" s="136">
        <v>0.1</v>
      </c>
      <c r="Q608" s="134">
        <f>商品マスタ[[#This Row],[仕入
単価]]*商品マスタ[[#This Row],[標準国内送料率]]</f>
        <v>58.800000000000004</v>
      </c>
      <c r="R608" s="134"/>
      <c r="S608" s="134">
        <f>IF(ISBLANK(商品マスタ[[#This Row],[実績
国内送料]]),商品マスタ[[#This Row],[標準国内送料]],)</f>
        <v>58.800000000000004</v>
      </c>
      <c r="T608" s="134">
        <f>商品マスタ[[#This Row],[仕入
単価]]+商品マスタ[[#This Row],[国内送料]]</f>
        <v>646.79999999999995</v>
      </c>
      <c r="U608" s="134">
        <f>ROUNDUP(商品マスタ[[#This Row],[仕入単価+国内送料]]/0.8,-1)</f>
        <v>810</v>
      </c>
      <c r="V608" s="134">
        <f>商品マスタ[[#This Row],[海外定価
（20％）]]-商品マスタ[[#This Row],[仕入単価+国内送料]]</f>
        <v>163.20000000000005</v>
      </c>
      <c r="W608" s="87">
        <f>ROUNDUP(商品マスタ[[#This Row],[仕入単価+国内送料]]/0.85,-1)</f>
        <v>770</v>
      </c>
      <c r="X608" s="134">
        <f>商品マスタ[[#This Row],[国内定価
（15％）]]-商品マスタ[[#This Row],[仕入単価+国内送料]]</f>
        <v>123.20000000000005</v>
      </c>
      <c r="Y608" s="139">
        <v>0.08</v>
      </c>
      <c r="Z608" s="87" t="s">
        <v>1674</v>
      </c>
      <c r="AA608" s="87" t="s">
        <v>960</v>
      </c>
      <c r="AB608" s="87" t="s">
        <v>1675</v>
      </c>
      <c r="AC608" s="140">
        <v>4595988686019</v>
      </c>
      <c r="AD608" s="87" t="s">
        <v>1718</v>
      </c>
      <c r="AE608" s="87"/>
      <c r="AF608" s="87"/>
      <c r="AG608" s="141"/>
    </row>
    <row r="609" spans="1:33" ht="18">
      <c r="A609" s="166" t="s">
        <v>1520</v>
      </c>
      <c r="B609" s="167" t="s">
        <v>1223</v>
      </c>
      <c r="C609" s="167" t="s">
        <v>1530</v>
      </c>
      <c r="D609" s="143" t="str">
        <f>"PRD_SNJ_"&amp;
_xlfn.XLOOKUP(商品マスタ[[#This Row],[仕入先]],テーブル1[仕入先名],テーブル1[仕入先コード],"XXX",0,1)&amp;
"_"&amp;
商品マスタ[[#This Row],[シリアル]]&amp;
"_"&amp;
TEXT(COUNTIFS(商品マスタ!$C$3:C609,商品マスタ[[#This Row],[仕入先]],商品マスタ!$E$3:E609,商品マスタ[[#This Row],[商品名]]), "00")</f>
        <v>PRD_SNJ_FJT_0036_01</v>
      </c>
      <c r="E609" s="87" t="s">
        <v>1600</v>
      </c>
      <c r="F609" s="87">
        <f>IF(COUNTIFS($C$3:C609,商品マスタ[[#This Row],[仕入先]],$E$3:E609,商品マスタ[[#This Row],[商品名]]) = 1, 1,0)</f>
        <v>1</v>
      </c>
      <c r="G609" s="133" t="str">
        <f>TEXT(SUMIF($C$3:C609,商品マスタ[[#This Row],[仕入先]],$F$3:F609), "0000")</f>
        <v>0036</v>
      </c>
      <c r="H609" s="87" t="s">
        <v>1737</v>
      </c>
      <c r="I609" s="87" t="s">
        <v>1636</v>
      </c>
      <c r="J609" s="87" t="s">
        <v>1636</v>
      </c>
      <c r="K609" s="87"/>
      <c r="L609" s="134">
        <v>1375</v>
      </c>
      <c r="M609" s="157">
        <v>46052</v>
      </c>
      <c r="N609" s="134">
        <v>1666.67</v>
      </c>
      <c r="O609" s="135">
        <f>IF(COUNT(商品マスタ[[#This Row],[参考上代
（税込)]]) &gt; 0, (商品マスタ[[#This Row],[参考上代
（税込)]]-商品マスタ[[#This Row],[国内定価
（15％）]])/(商品マスタ[[#This Row],[参考上代
（税込)]]/1.08), "")</f>
        <v>-7.3437693124613707E-2</v>
      </c>
      <c r="P609" s="136">
        <v>0.1</v>
      </c>
      <c r="Q609" s="134">
        <f>商品マスタ[[#This Row],[仕入
単価]]*商品マスタ[[#This Row],[標準国内送料率]]</f>
        <v>137.5</v>
      </c>
      <c r="R609" s="134"/>
      <c r="S609" s="134">
        <f>IF(ISBLANK(商品マスタ[[#This Row],[実績
国内送料]]),商品マスタ[[#This Row],[標準国内送料]],)</f>
        <v>137.5</v>
      </c>
      <c r="T609" s="134">
        <f>商品マスタ[[#This Row],[仕入
単価]]+商品マスタ[[#This Row],[国内送料]]</f>
        <v>1512.5</v>
      </c>
      <c r="U609" s="134">
        <f>ROUNDUP(商品マスタ[[#This Row],[仕入単価+国内送料]]/0.8,-1)</f>
        <v>1900</v>
      </c>
      <c r="V609" s="134">
        <f>商品マスタ[[#This Row],[海外定価
（20％）]]-商品マスタ[[#This Row],[仕入単価+国内送料]]</f>
        <v>387.5</v>
      </c>
      <c r="W609" s="87">
        <f>ROUNDUP(商品マスタ[[#This Row],[仕入単価+国内送料]]/0.85,-1)</f>
        <v>1780</v>
      </c>
      <c r="X609" s="134">
        <f>商品マスタ[[#This Row],[国内定価
（15％）]]-商品マスタ[[#This Row],[仕入単価+国内送料]]</f>
        <v>267.5</v>
      </c>
      <c r="Y609" s="139">
        <v>0.1</v>
      </c>
      <c r="Z609" s="87"/>
      <c r="AA609" s="87" t="s">
        <v>960</v>
      </c>
      <c r="AB609" s="87" t="s">
        <v>1675</v>
      </c>
      <c r="AC609" s="140">
        <v>4562205661586</v>
      </c>
      <c r="AD609" s="87" t="s">
        <v>1719</v>
      </c>
      <c r="AE609" s="87"/>
      <c r="AF609" s="87"/>
      <c r="AG609" s="141"/>
    </row>
    <row r="610" spans="1:33" ht="18">
      <c r="A610" s="166" t="s">
        <v>1524</v>
      </c>
      <c r="B610" s="167" t="s">
        <v>1229</v>
      </c>
      <c r="C610" s="167" t="s">
        <v>1530</v>
      </c>
      <c r="D610" s="143" t="str">
        <f>"PRD_SNJ_"&amp;
_xlfn.XLOOKUP(商品マスタ[[#This Row],[仕入先]],テーブル1[仕入先名],テーブル1[仕入先コード],"XXX",0,1)&amp;
"_"&amp;
商品マスタ[[#This Row],[シリアル]]&amp;
"_"&amp;
TEXT(COUNTIFS(商品マスタ!$C$3:C610,商品マスタ[[#This Row],[仕入先]],商品マスタ!$E$3:E610,商品マスタ[[#This Row],[商品名]]), "00")</f>
        <v>PRD_SNJ_FJT_0037_01</v>
      </c>
      <c r="E610" s="87" t="s">
        <v>1601</v>
      </c>
      <c r="F610" s="87">
        <f>IF(COUNTIFS($C$3:C610,商品マスタ[[#This Row],[仕入先]],$E$3:E610,商品マスタ[[#This Row],[商品名]]) = 1, 1,0)</f>
        <v>1</v>
      </c>
      <c r="G610" s="133" t="str">
        <f>TEXT(SUMIF($C$3:C610,商品マスタ[[#This Row],[仕入先]],$F$3:F610), "0000")</f>
        <v>0037</v>
      </c>
      <c r="H610" s="87" t="s">
        <v>1737</v>
      </c>
      <c r="I610" s="87" t="s">
        <v>1637</v>
      </c>
      <c r="J610" s="87" t="s">
        <v>1637</v>
      </c>
      <c r="K610" s="87"/>
      <c r="L610" s="134">
        <v>625</v>
      </c>
      <c r="M610" s="157">
        <v>46052</v>
      </c>
      <c r="N610" s="134">
        <v>740.74</v>
      </c>
      <c r="O610" s="135">
        <f>IF(COUNT(商品マスタ[[#This Row],[参考上代
（税込)]]) &gt; 0, (商品マスタ[[#This Row],[参考上代
（税込)]]-商品マスタ[[#This Row],[国内定価
（15％）]])/(商品マスタ[[#This Row],[参考上代
（税込)]]/1.08), "")</f>
        <v>-0.10098118098118097</v>
      </c>
      <c r="P610" s="136">
        <v>0.1</v>
      </c>
      <c r="Q610" s="134">
        <f>商品マスタ[[#This Row],[仕入
単価]]*商品マスタ[[#This Row],[標準国内送料率]]</f>
        <v>62.5</v>
      </c>
      <c r="R610" s="134"/>
      <c r="S610" s="134">
        <f>IF(ISBLANK(商品マスタ[[#This Row],[実績
国内送料]]),商品マスタ[[#This Row],[標準国内送料]],)</f>
        <v>62.5</v>
      </c>
      <c r="T610" s="134">
        <f>商品マスタ[[#This Row],[仕入
単価]]+商品マスタ[[#This Row],[国内送料]]</f>
        <v>687.5</v>
      </c>
      <c r="U610" s="134">
        <f>ROUNDUP(商品マスタ[[#This Row],[仕入単価+国内送料]]/0.8,-1)</f>
        <v>860</v>
      </c>
      <c r="V610" s="134">
        <f>商品マスタ[[#This Row],[海外定価
（20％）]]-商品マスタ[[#This Row],[仕入単価+国内送料]]</f>
        <v>172.5</v>
      </c>
      <c r="W610" s="87">
        <f>ROUNDUP(商品マスタ[[#This Row],[仕入単価+国内送料]]/0.85,-1)</f>
        <v>810</v>
      </c>
      <c r="X610" s="134">
        <f>商品マスタ[[#This Row],[国内定価
（15％）]]-商品マスタ[[#This Row],[仕入単価+国内送料]]</f>
        <v>122.5</v>
      </c>
      <c r="Y610" s="139">
        <v>0.08</v>
      </c>
      <c r="Z610" s="87" t="s">
        <v>1720</v>
      </c>
      <c r="AA610" s="87" t="s">
        <v>960</v>
      </c>
      <c r="AB610" s="87" t="s">
        <v>1675</v>
      </c>
      <c r="AC610" s="140">
        <v>4562205661593</v>
      </c>
      <c r="AD610" s="87" t="s">
        <v>1721</v>
      </c>
      <c r="AE610" s="87"/>
      <c r="AF610" s="87"/>
      <c r="AG610" s="141"/>
    </row>
    <row r="611" spans="1:33" ht="18">
      <c r="A611" s="166" t="s">
        <v>1524</v>
      </c>
      <c r="B611" s="167" t="s">
        <v>1229</v>
      </c>
      <c r="C611" s="167" t="s">
        <v>46</v>
      </c>
      <c r="D611" s="143" t="str">
        <f>"PRD_SNJ_"&amp;
_xlfn.XLOOKUP(商品マスタ[[#This Row],[仕入先]],テーブル1[仕入先名],テーブル1[仕入先コード],"XXX",0,1)&amp;
"_"&amp;
商品マスタ[[#This Row],[シリアル]]&amp;
"_"&amp;
TEXT(COUNTIFS(商品マスタ!$C$3:C611,商品マスタ[[#This Row],[仕入先]],商品マスタ!$E$3:E611,商品マスタ[[#This Row],[商品名]]), "00")</f>
        <v>PRD_SNJ_YSS_0001_01</v>
      </c>
      <c r="E611" s="87" t="s">
        <v>1602</v>
      </c>
      <c r="F611" s="87">
        <f>IF(COUNTIFS($C$3:C611,商品マスタ[[#This Row],[仕入先]],$E$3:E611,商品マスタ[[#This Row],[商品名]]) = 1, 1,0)</f>
        <v>1</v>
      </c>
      <c r="G611" s="133" t="str">
        <f>TEXT(SUMIF($C$3:C611,商品マスタ[[#This Row],[仕入先]],$F$3:F611), "0000")</f>
        <v>0001</v>
      </c>
      <c r="H611" s="87" t="s">
        <v>1738</v>
      </c>
      <c r="I611" s="87" t="s">
        <v>1638</v>
      </c>
      <c r="J611" s="87">
        <v>54</v>
      </c>
      <c r="K611" s="87"/>
      <c r="L611" s="134">
        <v>300</v>
      </c>
      <c r="M611" s="157">
        <v>46052</v>
      </c>
      <c r="N611" s="134"/>
      <c r="O611" s="135" t="str">
        <f>IF(COUNT(商品マスタ[[#This Row],[参考上代
（税込)]]) &gt; 0, (商品マスタ[[#This Row],[参考上代
（税込)]]-商品マスタ[[#This Row],[国内定価
（15％）]])/(商品マスタ[[#This Row],[参考上代
（税込)]]/1.08), "")</f>
        <v/>
      </c>
      <c r="P611" s="136">
        <v>0.1</v>
      </c>
      <c r="Q611" s="134">
        <f>商品マスタ[[#This Row],[仕入
単価]]*商品マスタ[[#This Row],[標準国内送料率]]</f>
        <v>30</v>
      </c>
      <c r="R611" s="134"/>
      <c r="S611" s="134">
        <f>IF(ISBLANK(商品マスタ[[#This Row],[実績
国内送料]]),商品マスタ[[#This Row],[標準国内送料]],)</f>
        <v>30</v>
      </c>
      <c r="T611" s="134">
        <f>商品マスタ[[#This Row],[仕入
単価]]+商品マスタ[[#This Row],[国内送料]]</f>
        <v>330</v>
      </c>
      <c r="U611" s="134">
        <f>ROUNDUP(商品マスタ[[#This Row],[仕入単価+国内送料]]/0.8,-1)</f>
        <v>420</v>
      </c>
      <c r="V611" s="134">
        <f>商品マスタ[[#This Row],[海外定価
（20％）]]-商品マスタ[[#This Row],[仕入単価+国内送料]]</f>
        <v>90</v>
      </c>
      <c r="W611" s="87">
        <f>ROUNDUP(商品マスタ[[#This Row],[仕入単価+国内送料]]/0.85,-1)</f>
        <v>390</v>
      </c>
      <c r="X611" s="134">
        <f>商品マスタ[[#This Row],[国内定価
（15％）]]-商品マスタ[[#This Row],[仕入単価+国内送料]]</f>
        <v>60</v>
      </c>
      <c r="Y611" s="139">
        <v>0.08</v>
      </c>
      <c r="Z611" s="87" t="s">
        <v>1699</v>
      </c>
      <c r="AA611" s="87" t="s">
        <v>1670</v>
      </c>
      <c r="AB611" s="87" t="s">
        <v>1671</v>
      </c>
      <c r="AC611" s="140">
        <v>4931063042644</v>
      </c>
      <c r="AD611" s="87" t="s">
        <v>1722</v>
      </c>
      <c r="AE611" s="87"/>
      <c r="AF611" s="87"/>
      <c r="AG611" s="141"/>
    </row>
    <row r="612" spans="1:33" ht="18">
      <c r="A612" s="166" t="s">
        <v>1524</v>
      </c>
      <c r="B612" s="167" t="s">
        <v>1229</v>
      </c>
      <c r="C612" s="167" t="s">
        <v>46</v>
      </c>
      <c r="D612" s="143" t="str">
        <f>"PRD_SNJ_"&amp;
_xlfn.XLOOKUP(商品マスタ[[#This Row],[仕入先]],テーブル1[仕入先名],テーブル1[仕入先コード],"XXX",0,1)&amp;
"_"&amp;
商品マスタ[[#This Row],[シリアル]]&amp;
"_"&amp;
TEXT(COUNTIFS(商品マスタ!$C$3:C612,商品マスタ[[#This Row],[仕入先]],商品マスタ!$E$3:E612,商品マスタ[[#This Row],[商品名]]), "00")</f>
        <v>PRD_SNJ_YSS_0002_01</v>
      </c>
      <c r="E612" s="87" t="s">
        <v>1603</v>
      </c>
      <c r="F612" s="87">
        <f>IF(COUNTIFS($C$3:C612,商品マスタ[[#This Row],[仕入先]],$E$3:E612,商品マスタ[[#This Row],[商品名]]) = 1, 1,0)</f>
        <v>1</v>
      </c>
      <c r="G612" s="133" t="str">
        <f>TEXT(SUMIF($C$3:C612,商品マスタ[[#This Row],[仕入先]],$F$3:F612), "0000")</f>
        <v>0002</v>
      </c>
      <c r="H612" s="87" t="s">
        <v>1739</v>
      </c>
      <c r="I612" s="87" t="s">
        <v>1639</v>
      </c>
      <c r="J612" s="87">
        <v>50</v>
      </c>
      <c r="K612" s="87"/>
      <c r="L612" s="134">
        <v>950</v>
      </c>
      <c r="M612" s="157">
        <v>46052</v>
      </c>
      <c r="N612" s="134">
        <v>1034.26</v>
      </c>
      <c r="O612" s="135">
        <f>IF(COUNT(商品マスタ[[#This Row],[参考上代
（税込)]]) &gt; 0, (商品マスタ[[#This Row],[参考上代
（税込)]]-商品マスタ[[#This Row],[国内定価
（15％）]])/(商品マスタ[[#This Row],[参考上代
（税込)]]/1.08), "")</f>
        <v>-0.20439657339547118</v>
      </c>
      <c r="P612" s="136">
        <v>0.1</v>
      </c>
      <c r="Q612" s="134">
        <f>商品マスタ[[#This Row],[仕入
単価]]*商品マスタ[[#This Row],[標準国内送料率]]</f>
        <v>95</v>
      </c>
      <c r="R612" s="134"/>
      <c r="S612" s="134">
        <f>IF(ISBLANK(商品マスタ[[#This Row],[実績
国内送料]]),商品マスタ[[#This Row],[標準国内送料]],)</f>
        <v>95</v>
      </c>
      <c r="T612" s="134">
        <f>商品マスタ[[#This Row],[仕入
単価]]+商品マスタ[[#This Row],[国内送料]]</f>
        <v>1045</v>
      </c>
      <c r="U612" s="134">
        <f>ROUNDUP(商品マスタ[[#This Row],[仕入単価+国内送料]]/0.8,-1)</f>
        <v>1310</v>
      </c>
      <c r="V612" s="134">
        <f>商品マスタ[[#This Row],[海外定価
（20％）]]-商品マスタ[[#This Row],[仕入単価+国内送料]]</f>
        <v>265</v>
      </c>
      <c r="W612" s="87">
        <f>ROUNDUP(商品マスタ[[#This Row],[仕入単価+国内送料]]/0.85,-1)</f>
        <v>1230</v>
      </c>
      <c r="X612" s="134">
        <f>商品マスタ[[#This Row],[国内定価
（15％）]]-商品マスタ[[#This Row],[仕入単価+国内送料]]</f>
        <v>185</v>
      </c>
      <c r="Y612" s="139">
        <v>0.08</v>
      </c>
      <c r="Z612" s="87" t="s">
        <v>915</v>
      </c>
      <c r="AA612" s="87" t="s">
        <v>960</v>
      </c>
      <c r="AB612" s="87" t="s">
        <v>1671</v>
      </c>
      <c r="AC612" s="140">
        <v>4931063050441</v>
      </c>
      <c r="AD612" s="87" t="s">
        <v>1723</v>
      </c>
      <c r="AE612" s="87"/>
      <c r="AF612" s="87"/>
      <c r="AG612" s="141"/>
    </row>
    <row r="613" spans="1:33" ht="18">
      <c r="A613" s="166" t="s">
        <v>1524</v>
      </c>
      <c r="B613" s="167" t="s">
        <v>1229</v>
      </c>
      <c r="C613" s="167" t="s">
        <v>46</v>
      </c>
      <c r="D613" s="143" t="str">
        <f>"PRD_SNJ_"&amp;
_xlfn.XLOOKUP(商品マスタ[[#This Row],[仕入先]],テーブル1[仕入先名],テーブル1[仕入先コード],"XXX",0,1)&amp;
"_"&amp;
商品マスタ[[#This Row],[シリアル]]&amp;
"_"&amp;
TEXT(COUNTIFS(商品マスタ!$C$3:C613,商品マスタ[[#This Row],[仕入先]],商品マスタ!$E$3:E613,商品マスタ[[#This Row],[商品名]]), "00")</f>
        <v>PRD_SNJ_YSS_0002_02</v>
      </c>
      <c r="E613" s="87" t="s">
        <v>1603</v>
      </c>
      <c r="F613" s="87">
        <f>IF(COUNTIFS($C$3:C613,商品マスタ[[#This Row],[仕入先]],$E$3:E613,商品マスタ[[#This Row],[商品名]]) = 1, 1,0)</f>
        <v>0</v>
      </c>
      <c r="G613" s="133" t="str">
        <f>TEXT(SUMIF($C$3:C613,商品マスタ[[#This Row],[仕入先]],$F$3:F613), "0000")</f>
        <v>0002</v>
      </c>
      <c r="H613" s="87" t="s">
        <v>1736</v>
      </c>
      <c r="I613" s="87" t="s">
        <v>1640</v>
      </c>
      <c r="J613" s="87">
        <v>28</v>
      </c>
      <c r="K613" s="87"/>
      <c r="L613" s="134">
        <v>2100</v>
      </c>
      <c r="M613" s="157">
        <v>46052</v>
      </c>
      <c r="N613" s="134">
        <v>2937.04</v>
      </c>
      <c r="O613" s="135">
        <f>IF(COUNT(商品マスタ[[#This Row],[参考上代
（税込)]]) &gt; 0, (商品マスタ[[#This Row],[参考上代
（税込)]]-商品マスタ[[#This Row],[国内定価
（15％）]])/(商品マスタ[[#This Row],[参考上代
（税込)]]/1.08), "")</f>
        <v>7.9809331844305817E-2</v>
      </c>
      <c r="P613" s="136">
        <v>0.1</v>
      </c>
      <c r="Q613" s="134">
        <f>商品マスタ[[#This Row],[仕入
単価]]*商品マスタ[[#This Row],[標準国内送料率]]</f>
        <v>210</v>
      </c>
      <c r="R613" s="134"/>
      <c r="S613" s="134">
        <f>IF(ISBLANK(商品マスタ[[#This Row],[実績
国内送料]]),商品マスタ[[#This Row],[標準国内送料]],)</f>
        <v>210</v>
      </c>
      <c r="T613" s="134">
        <f>商品マスタ[[#This Row],[仕入
単価]]+商品マスタ[[#This Row],[国内送料]]</f>
        <v>2310</v>
      </c>
      <c r="U613" s="134">
        <f>ROUNDUP(商品マスタ[[#This Row],[仕入単価+国内送料]]/0.8,-1)</f>
        <v>2890</v>
      </c>
      <c r="V613" s="134">
        <f>商品マスタ[[#This Row],[海外定価
（20％）]]-商品マスタ[[#This Row],[仕入単価+国内送料]]</f>
        <v>580</v>
      </c>
      <c r="W613" s="87">
        <f>ROUNDUP(商品マスタ[[#This Row],[仕入単価+国内送料]]/0.85,-1)</f>
        <v>2720</v>
      </c>
      <c r="X613" s="134">
        <f>商品マスタ[[#This Row],[国内定価
（15％）]]-商品マスタ[[#This Row],[仕入単価+国内送料]]</f>
        <v>410</v>
      </c>
      <c r="Y613" s="139">
        <v>0.08</v>
      </c>
      <c r="Z613" s="87" t="s">
        <v>915</v>
      </c>
      <c r="AA613" s="87" t="s">
        <v>960</v>
      </c>
      <c r="AB613" s="87" t="s">
        <v>1671</v>
      </c>
      <c r="AC613" s="140">
        <v>4931063050359</v>
      </c>
      <c r="AD613" s="87" t="s">
        <v>1723</v>
      </c>
      <c r="AE613" s="87"/>
      <c r="AF613" s="87"/>
      <c r="AG613" s="141"/>
    </row>
    <row r="614" spans="1:33" ht="18">
      <c r="A614" s="166" t="s">
        <v>1524</v>
      </c>
      <c r="B614" s="167" t="s">
        <v>1229</v>
      </c>
      <c r="C614" s="167" t="s">
        <v>46</v>
      </c>
      <c r="D614" s="143" t="str">
        <f>"PRD_SNJ_"&amp;
_xlfn.XLOOKUP(商品マスタ[[#This Row],[仕入先]],テーブル1[仕入先名],テーブル1[仕入先コード],"XXX",0,1)&amp;
"_"&amp;
商品マスタ[[#This Row],[シリアル]]&amp;
"_"&amp;
TEXT(COUNTIFS(商品マスタ!$C$3:C614,商品マスタ[[#This Row],[仕入先]],商品マスタ!$E$3:E614,商品マスタ[[#This Row],[商品名]]), "00")</f>
        <v>PRD_SNJ_YSS_0003_01</v>
      </c>
      <c r="E614" s="87" t="s">
        <v>1604</v>
      </c>
      <c r="F614" s="87">
        <f>IF(COUNTIFS($C$3:C614,商品マスタ[[#This Row],[仕入先]],$E$3:E614,商品マスタ[[#This Row],[商品名]]) = 1, 1,0)</f>
        <v>1</v>
      </c>
      <c r="G614" s="133" t="str">
        <f>TEXT(SUMIF($C$3:C614,商品マスタ[[#This Row],[仕入先]],$F$3:F614), "0000")</f>
        <v>0003</v>
      </c>
      <c r="H614" s="87" t="s">
        <v>1739</v>
      </c>
      <c r="I614" s="87" t="s">
        <v>1641</v>
      </c>
      <c r="J614" s="87">
        <v>50</v>
      </c>
      <c r="K614" s="87"/>
      <c r="L614" s="134">
        <v>670</v>
      </c>
      <c r="M614" s="157">
        <v>46052</v>
      </c>
      <c r="N614" s="134">
        <v>907.41</v>
      </c>
      <c r="O614" s="135">
        <f>IF(COUNT(商品マスタ[[#This Row],[参考上代
（税込)]]) &gt; 0, (商品マスタ[[#This Row],[参考上代
（税込)]]-商品マスタ[[#This Row],[国内定価
（15％）]])/(商品マスタ[[#This Row],[参考上代
（税込)]]/1.08), "")</f>
        <v>4.4525407478427578E-2</v>
      </c>
      <c r="P614" s="136">
        <v>0.1</v>
      </c>
      <c r="Q614" s="134">
        <f>商品マスタ[[#This Row],[仕入
単価]]*商品マスタ[[#This Row],[標準国内送料率]]</f>
        <v>67</v>
      </c>
      <c r="R614" s="134"/>
      <c r="S614" s="134">
        <f>IF(ISBLANK(商品マスタ[[#This Row],[実績
国内送料]]),商品マスタ[[#This Row],[標準国内送料]],)</f>
        <v>67</v>
      </c>
      <c r="T614" s="134">
        <f>商品マスタ[[#This Row],[仕入
単価]]+商品マスタ[[#This Row],[国内送料]]</f>
        <v>737</v>
      </c>
      <c r="U614" s="134">
        <f>ROUNDUP(商品マスタ[[#This Row],[仕入単価+国内送料]]/0.8,-1)</f>
        <v>930</v>
      </c>
      <c r="V614" s="134">
        <f>商品マスタ[[#This Row],[海外定価
（20％）]]-商品マスタ[[#This Row],[仕入単価+国内送料]]</f>
        <v>193</v>
      </c>
      <c r="W614" s="87">
        <f>ROUNDUP(商品マスタ[[#This Row],[仕入単価+国内送料]]/0.85,-1)</f>
        <v>870</v>
      </c>
      <c r="X614" s="134">
        <f>商品マスタ[[#This Row],[国内定価
（15％）]]-商品マスタ[[#This Row],[仕入単価+国内送料]]</f>
        <v>133</v>
      </c>
      <c r="Y614" s="139">
        <v>0.08</v>
      </c>
      <c r="Z614" s="87" t="s">
        <v>1674</v>
      </c>
      <c r="AA614" s="87" t="s">
        <v>960</v>
      </c>
      <c r="AB614" s="87" t="s">
        <v>1671</v>
      </c>
      <c r="AC614" s="140">
        <v>4931063050519</v>
      </c>
      <c r="AD614" s="87" t="s">
        <v>1723</v>
      </c>
      <c r="AE614" s="87"/>
      <c r="AF614" s="87"/>
      <c r="AG614" s="141"/>
    </row>
    <row r="615" spans="1:33" ht="18">
      <c r="A615" s="166" t="s">
        <v>1524</v>
      </c>
      <c r="B615" s="167" t="s">
        <v>1229</v>
      </c>
      <c r="C615" s="167" t="s">
        <v>46</v>
      </c>
      <c r="D615" s="143" t="str">
        <f>"PRD_SNJ_"&amp;
_xlfn.XLOOKUP(商品マスタ[[#This Row],[仕入先]],テーブル1[仕入先名],テーブル1[仕入先コード],"XXX",0,1)&amp;
"_"&amp;
商品マスタ[[#This Row],[シリアル]]&amp;
"_"&amp;
TEXT(COUNTIFS(商品マスタ!$C$3:C615,商品マスタ[[#This Row],[仕入先]],商品マスタ!$E$3:E615,商品マスタ[[#This Row],[商品名]]), "00")</f>
        <v>PRD_SNJ_YSS_0004_01</v>
      </c>
      <c r="E615" s="87" t="s">
        <v>1605</v>
      </c>
      <c r="F615" s="87">
        <f>IF(COUNTIFS($C$3:C615,商品マスタ[[#This Row],[仕入先]],$E$3:E615,商品マスタ[[#This Row],[商品名]]) = 1, 1,0)</f>
        <v>1</v>
      </c>
      <c r="G615" s="133" t="str">
        <f>TEXT(SUMIF($C$3:C615,商品マスタ[[#This Row],[仕入先]],$F$3:F615), "0000")</f>
        <v>0004</v>
      </c>
      <c r="H615" s="87" t="s">
        <v>900</v>
      </c>
      <c r="I615" s="87" t="s">
        <v>1642</v>
      </c>
      <c r="J615" s="87">
        <v>40</v>
      </c>
      <c r="K615" s="87"/>
      <c r="L615" s="134">
        <v>400</v>
      </c>
      <c r="M615" s="157">
        <v>46052</v>
      </c>
      <c r="N615" s="134"/>
      <c r="O615" s="135" t="str">
        <f>IF(COUNT(商品マスタ[[#This Row],[参考上代
（税込)]]) &gt; 0, (商品マスタ[[#This Row],[参考上代
（税込)]]-商品マスタ[[#This Row],[国内定価
（15％）]])/(商品マスタ[[#This Row],[参考上代
（税込)]]/1.08), "")</f>
        <v/>
      </c>
      <c r="P615" s="136">
        <v>0.1</v>
      </c>
      <c r="Q615" s="134">
        <f>商品マスタ[[#This Row],[仕入
単価]]*商品マスタ[[#This Row],[標準国内送料率]]</f>
        <v>40</v>
      </c>
      <c r="R615" s="134"/>
      <c r="S615" s="134">
        <f>IF(ISBLANK(商品マスタ[[#This Row],[実績
国内送料]]),商品マスタ[[#This Row],[標準国内送料]],)</f>
        <v>40</v>
      </c>
      <c r="T615" s="134">
        <f>商品マスタ[[#This Row],[仕入
単価]]+商品マスタ[[#This Row],[国内送料]]</f>
        <v>440</v>
      </c>
      <c r="U615" s="134">
        <f>ROUNDUP(商品マスタ[[#This Row],[仕入単価+国内送料]]/0.8,-1)</f>
        <v>550</v>
      </c>
      <c r="V615" s="134">
        <f>商品マスタ[[#This Row],[海外定価
（20％）]]-商品マスタ[[#This Row],[仕入単価+国内送料]]</f>
        <v>110</v>
      </c>
      <c r="W615" s="87">
        <f>ROUNDUP(商品マスタ[[#This Row],[仕入単価+国内送料]]/0.85,-1)</f>
        <v>520</v>
      </c>
      <c r="X615" s="134">
        <f>商品マスタ[[#This Row],[国内定価
（15％）]]-商品マスタ[[#This Row],[仕入単価+国内送料]]</f>
        <v>80</v>
      </c>
      <c r="Y615" s="139">
        <v>0.08</v>
      </c>
      <c r="Z615" s="87" t="s">
        <v>1699</v>
      </c>
      <c r="AA615" s="87" t="s">
        <v>960</v>
      </c>
      <c r="AB615" s="87" t="s">
        <v>1671</v>
      </c>
      <c r="AC615" s="140">
        <v>4931063443083</v>
      </c>
      <c r="AD615" s="87" t="s">
        <v>1724</v>
      </c>
      <c r="AE615" s="87"/>
      <c r="AF615" s="87"/>
      <c r="AG615" s="141"/>
    </row>
    <row r="616" spans="1:33" ht="18">
      <c r="A616" s="166" t="s">
        <v>1524</v>
      </c>
      <c r="B616" s="167" t="s">
        <v>1229</v>
      </c>
      <c r="C616" s="167" t="s">
        <v>46</v>
      </c>
      <c r="D616" s="143" t="str">
        <f>"PRD_SNJ_"&amp;
_xlfn.XLOOKUP(商品マスタ[[#This Row],[仕入先]],テーブル1[仕入先名],テーブル1[仕入先コード],"XXX",0,1)&amp;
"_"&amp;
商品マスタ[[#This Row],[シリアル]]&amp;
"_"&amp;
TEXT(COUNTIFS(商品マスタ!$C$3:C616,商品マスタ[[#This Row],[仕入先]],商品マスタ!$E$3:E616,商品マスタ[[#This Row],[商品名]]), "00")</f>
        <v>PRD_SNJ_YSS_0005_01</v>
      </c>
      <c r="E616" s="87" t="s">
        <v>1606</v>
      </c>
      <c r="F616" s="87">
        <f>IF(COUNTIFS($C$3:C616,商品マスタ[[#This Row],[仕入先]],$E$3:E616,商品マスタ[[#This Row],[商品名]]) = 1, 1,0)</f>
        <v>1</v>
      </c>
      <c r="G616" s="133" t="str">
        <f>TEXT(SUMIF($C$3:C616,商品マスタ[[#This Row],[仕入先]],$F$3:F616), "0000")</f>
        <v>0005</v>
      </c>
      <c r="H616" s="87" t="s">
        <v>900</v>
      </c>
      <c r="I616" s="87" t="s">
        <v>1643</v>
      </c>
      <c r="J616" s="87">
        <v>40</v>
      </c>
      <c r="K616" s="87"/>
      <c r="L616" s="134">
        <v>550</v>
      </c>
      <c r="M616" s="157">
        <v>46052</v>
      </c>
      <c r="N616" s="134">
        <v>760.19</v>
      </c>
      <c r="O616" s="135">
        <f>IF(COUNT(商品マスタ[[#This Row],[参考上代
（税込)]]) &gt; 0, (商品マスタ[[#This Row],[参考上代
（税込)]]-商品マスタ[[#This Row],[国内定価
（15％）]])/(商品マスタ[[#This Row],[参考上代
（税込)]]/1.08), "")</f>
        <v>5.7097830805456606E-2</v>
      </c>
      <c r="P616" s="136">
        <v>0.1</v>
      </c>
      <c r="Q616" s="134">
        <f>商品マスタ[[#This Row],[仕入
単価]]*商品マスタ[[#This Row],[標準国内送料率]]</f>
        <v>55</v>
      </c>
      <c r="R616" s="134"/>
      <c r="S616" s="134">
        <f>IF(ISBLANK(商品マスタ[[#This Row],[実績
国内送料]]),商品マスタ[[#This Row],[標準国内送料]],)</f>
        <v>55</v>
      </c>
      <c r="T616" s="134">
        <f>商品マスタ[[#This Row],[仕入
単価]]+商品マスタ[[#This Row],[国内送料]]</f>
        <v>605</v>
      </c>
      <c r="U616" s="134">
        <f>ROUNDUP(商品マスタ[[#This Row],[仕入単価+国内送料]]/0.8,-1)</f>
        <v>760</v>
      </c>
      <c r="V616" s="134">
        <f>商品マスタ[[#This Row],[海外定価
（20％）]]-商品マスタ[[#This Row],[仕入単価+国内送料]]</f>
        <v>155</v>
      </c>
      <c r="W616" s="87">
        <f>ROUNDUP(商品マスタ[[#This Row],[仕入単価+国内送料]]/0.85,-1)</f>
        <v>720</v>
      </c>
      <c r="X616" s="134">
        <f>商品マスタ[[#This Row],[国内定価
（15％）]]-商品マスタ[[#This Row],[仕入単価+国内送料]]</f>
        <v>115</v>
      </c>
      <c r="Y616" s="139">
        <v>0.08</v>
      </c>
      <c r="Z616" s="87" t="s">
        <v>1699</v>
      </c>
      <c r="AA616" s="87" t="s">
        <v>1670</v>
      </c>
      <c r="AB616" s="87" t="s">
        <v>1671</v>
      </c>
      <c r="AC616" s="140">
        <v>4931063500045</v>
      </c>
      <c r="AD616" s="87" t="s">
        <v>1725</v>
      </c>
      <c r="AE616" s="87"/>
      <c r="AF616" s="87"/>
      <c r="AG616" s="141"/>
    </row>
    <row r="617" spans="1:33" ht="18">
      <c r="A617" s="166" t="s">
        <v>1524</v>
      </c>
      <c r="B617" s="167" t="s">
        <v>1229</v>
      </c>
      <c r="C617" s="167" t="s">
        <v>46</v>
      </c>
      <c r="D617" s="143" t="str">
        <f>"PRD_SNJ_"&amp;
_xlfn.XLOOKUP(商品マスタ[[#This Row],[仕入先]],テーブル1[仕入先名],テーブル1[仕入先コード],"XXX",0,1)&amp;
"_"&amp;
商品マスタ[[#This Row],[シリアル]]&amp;
"_"&amp;
TEXT(COUNTIFS(商品マスタ!$C$3:C617,商品マスタ[[#This Row],[仕入先]],商品マスタ!$E$3:E617,商品マスタ[[#This Row],[商品名]]), "00")</f>
        <v>PRD_SNJ_YSS_0006_01</v>
      </c>
      <c r="E617" s="87" t="s">
        <v>1607</v>
      </c>
      <c r="F617" s="87">
        <f>IF(COUNTIFS($C$3:C617,商品マスタ[[#This Row],[仕入先]],$E$3:E617,商品マスタ[[#This Row],[商品名]]) = 1, 1,0)</f>
        <v>1</v>
      </c>
      <c r="G617" s="133" t="str">
        <f>TEXT(SUMIF($C$3:C617,商品マスタ[[#This Row],[仕入先]],$F$3:F617), "0000")</f>
        <v>0006</v>
      </c>
      <c r="H617" s="87" t="s">
        <v>900</v>
      </c>
      <c r="I617" s="87" t="s">
        <v>1643</v>
      </c>
      <c r="J617" s="87">
        <v>40</v>
      </c>
      <c r="K617" s="87"/>
      <c r="L617" s="134">
        <v>330</v>
      </c>
      <c r="M617" s="157">
        <v>46052</v>
      </c>
      <c r="N617" s="134">
        <v>420.37</v>
      </c>
      <c r="O617" s="135">
        <f>IF(COUNT(商品マスタ[[#This Row],[参考上代
（税込)]]) &gt; 0, (商品マスタ[[#This Row],[参考上代
（税込)]]-商品マスタ[[#This Row],[国内定価
（15％）]])/(商品マスタ[[#This Row],[参考上代
（税込)]]/1.08), "")</f>
        <v>-2.4741061445869104E-2</v>
      </c>
      <c r="P617" s="136">
        <v>0.1</v>
      </c>
      <c r="Q617" s="134">
        <f>商品マスタ[[#This Row],[仕入
単価]]*商品マスタ[[#This Row],[標準国内送料率]]</f>
        <v>33</v>
      </c>
      <c r="R617" s="134"/>
      <c r="S617" s="134">
        <f>IF(ISBLANK(商品マスタ[[#This Row],[実績
国内送料]]),商品マスタ[[#This Row],[標準国内送料]],)</f>
        <v>33</v>
      </c>
      <c r="T617" s="134">
        <f>商品マスタ[[#This Row],[仕入
単価]]+商品マスタ[[#This Row],[国内送料]]</f>
        <v>363</v>
      </c>
      <c r="U617" s="134">
        <f>ROUNDUP(商品マスタ[[#This Row],[仕入単価+国内送料]]/0.8,-1)</f>
        <v>460</v>
      </c>
      <c r="V617" s="134">
        <f>商品マスタ[[#This Row],[海外定価
（20％）]]-商品マスタ[[#This Row],[仕入単価+国内送料]]</f>
        <v>97</v>
      </c>
      <c r="W617" s="87">
        <f>ROUNDUP(商品マスタ[[#This Row],[仕入単価+国内送料]]/0.85,-1)</f>
        <v>430</v>
      </c>
      <c r="X617" s="134">
        <f>商品マスタ[[#This Row],[国内定価
（15％）]]-商品マスタ[[#This Row],[仕入単価+国内送料]]</f>
        <v>67</v>
      </c>
      <c r="Y617" s="139">
        <v>0.08</v>
      </c>
      <c r="Z617" s="87" t="s">
        <v>1667</v>
      </c>
      <c r="AA617" s="87" t="s">
        <v>960</v>
      </c>
      <c r="AB617" s="87" t="s">
        <v>1671</v>
      </c>
      <c r="AC617" s="140">
        <v>4931063060242</v>
      </c>
      <c r="AD617" s="87" t="s">
        <v>1726</v>
      </c>
      <c r="AE617" s="87"/>
      <c r="AF617" s="87"/>
      <c r="AG617" s="141"/>
    </row>
    <row r="618" spans="1:33" ht="18">
      <c r="A618" s="166" t="s">
        <v>1524</v>
      </c>
      <c r="B618" s="167" t="s">
        <v>1229</v>
      </c>
      <c r="C618" s="167" t="s">
        <v>46</v>
      </c>
      <c r="D618" s="143" t="str">
        <f>"PRD_SNJ_"&amp;
_xlfn.XLOOKUP(商品マスタ[[#This Row],[仕入先]],テーブル1[仕入先名],テーブル1[仕入先コード],"XXX",0,1)&amp;
"_"&amp;
商品マスタ[[#This Row],[シリアル]]&amp;
"_"&amp;
TEXT(COUNTIFS(商品マスタ!$C$3:C618,商品マスタ[[#This Row],[仕入先]],商品マスタ!$E$3:E618,商品マスタ[[#This Row],[商品名]]), "00")</f>
        <v>PRD_SNJ_YSS_0007_01</v>
      </c>
      <c r="E618" s="87" t="s">
        <v>1608</v>
      </c>
      <c r="F618" s="87">
        <f>IF(COUNTIFS($C$3:C618,商品マスタ[[#This Row],[仕入先]],$E$3:E618,商品マスタ[[#This Row],[商品名]]) = 1, 1,0)</f>
        <v>1</v>
      </c>
      <c r="G618" s="133" t="str">
        <f>TEXT(SUMIF($C$3:C618,商品マスタ[[#This Row],[仕入先]],$F$3:F618), "0000")</f>
        <v>0007</v>
      </c>
      <c r="H618" s="87" t="s">
        <v>900</v>
      </c>
      <c r="I618" s="87" t="s">
        <v>1643</v>
      </c>
      <c r="J618" s="87">
        <v>60</v>
      </c>
      <c r="K618" s="87"/>
      <c r="L618" s="134">
        <v>730</v>
      </c>
      <c r="M618" s="157">
        <v>46052</v>
      </c>
      <c r="N618" s="134">
        <v>914.81</v>
      </c>
      <c r="O618" s="135">
        <f>IF(COUNT(商品マスタ[[#This Row],[参考上代
（税込)]]) &gt; 0, (商品マスタ[[#This Row],[参考上代
（税込)]]-商品マスタ[[#This Row],[国内定価
（15％）]])/(商品マスタ[[#This Row],[参考上代
（税込)]]/1.08), "")</f>
        <v>-4.1544364403537419E-2</v>
      </c>
      <c r="P618" s="136">
        <v>0.1</v>
      </c>
      <c r="Q618" s="134">
        <f>商品マスタ[[#This Row],[仕入
単価]]*商品マスタ[[#This Row],[標準国内送料率]]</f>
        <v>73</v>
      </c>
      <c r="R618" s="134"/>
      <c r="S618" s="134">
        <f>IF(ISBLANK(商品マスタ[[#This Row],[実績
国内送料]]),商品マスタ[[#This Row],[標準国内送料]],)</f>
        <v>73</v>
      </c>
      <c r="T618" s="134">
        <f>商品マスタ[[#This Row],[仕入
単価]]+商品マスタ[[#This Row],[国内送料]]</f>
        <v>803</v>
      </c>
      <c r="U618" s="134">
        <f>ROUNDUP(商品マスタ[[#This Row],[仕入単価+国内送料]]/0.8,-1)</f>
        <v>1010</v>
      </c>
      <c r="V618" s="134">
        <f>商品マスタ[[#This Row],[海外定価
（20％）]]-商品マスタ[[#This Row],[仕入単価+国内送料]]</f>
        <v>207</v>
      </c>
      <c r="W618" s="87">
        <f>ROUNDUP(商品マスタ[[#This Row],[仕入単価+国内送料]]/0.85,-1)</f>
        <v>950</v>
      </c>
      <c r="X618" s="134">
        <f>商品マスタ[[#This Row],[国内定価
（15％）]]-商品マスタ[[#This Row],[仕入単価+国内送料]]</f>
        <v>147</v>
      </c>
      <c r="Y618" s="139">
        <v>0.08</v>
      </c>
      <c r="Z618" s="87" t="s">
        <v>1699</v>
      </c>
      <c r="AA618" s="87" t="s">
        <v>1670</v>
      </c>
      <c r="AB618" s="87" t="s">
        <v>1671</v>
      </c>
      <c r="AC618" s="140">
        <v>4931063430113</v>
      </c>
      <c r="AD618" s="87" t="s">
        <v>1727</v>
      </c>
      <c r="AE618" s="87"/>
      <c r="AF618" s="87"/>
      <c r="AG618" s="141"/>
    </row>
    <row r="619" spans="1:33" ht="18">
      <c r="A619" s="166" t="s">
        <v>1521</v>
      </c>
      <c r="B619" s="167" t="s">
        <v>1517</v>
      </c>
      <c r="C619" s="167" t="s">
        <v>1531</v>
      </c>
      <c r="D619" s="143" t="str">
        <f>"PRD_SNJ_"&amp;
_xlfn.XLOOKUP(商品マスタ[[#This Row],[仕入先]],テーブル1[仕入先名],テーブル1[仕入先コード],"XXX",0,1)&amp;
"_"&amp;
商品マスタ[[#This Row],[シリアル]]&amp;
"_"&amp;
TEXT(COUNTIFS(商品マスタ!$C$3:C619,商品マスタ[[#This Row],[仕入先]],商品マスタ!$E$3:E619,商品マスタ[[#This Row],[商品名]]), "00")</f>
        <v>PRD_SNJ_AKS_0001_01</v>
      </c>
      <c r="E619" s="87" t="s">
        <v>1609</v>
      </c>
      <c r="F619" s="87">
        <f>IF(COUNTIFS($C$3:C619,商品マスタ[[#This Row],[仕入先]],$E$3:E619,商品マスタ[[#This Row],[商品名]]) = 1, 1,0)</f>
        <v>1</v>
      </c>
      <c r="G619" s="133" t="str">
        <f>TEXT(SUMIF($C$3:C619,商品マスタ[[#This Row],[仕入先]],$F$3:F619), "0000")</f>
        <v>0001</v>
      </c>
      <c r="H619" s="87" t="s">
        <v>900</v>
      </c>
      <c r="I619" s="87" t="s">
        <v>1644</v>
      </c>
      <c r="J619" s="87" t="s">
        <v>1645</v>
      </c>
      <c r="K619" s="87"/>
      <c r="L619" s="134">
        <v>340</v>
      </c>
      <c r="M619" s="157">
        <v>46052</v>
      </c>
      <c r="N619" s="134">
        <v>500</v>
      </c>
      <c r="O619" s="135">
        <f>IF(COUNT(商品マスタ[[#This Row],[参考上代
（税込)]]) &gt; 0, (商品マスタ[[#This Row],[参考上代
（税込)]]-商品マスタ[[#This Row],[国内定価
（15％）]])/(商品マスタ[[#This Row],[参考上代
（税込)]]/1.08), "")</f>
        <v>0.12960000000000002</v>
      </c>
      <c r="P619" s="136">
        <v>0.1</v>
      </c>
      <c r="Q619" s="134">
        <f>商品マスタ[[#This Row],[仕入
単価]]*商品マスタ[[#This Row],[標準国内送料率]]</f>
        <v>34</v>
      </c>
      <c r="R619" s="134"/>
      <c r="S619" s="134">
        <f>IF(ISBLANK(商品マスタ[[#This Row],[実績
国内送料]]),商品マスタ[[#This Row],[標準国内送料]],)</f>
        <v>34</v>
      </c>
      <c r="T619" s="134">
        <f>商品マスタ[[#This Row],[仕入
単価]]+商品マスタ[[#This Row],[国内送料]]</f>
        <v>374</v>
      </c>
      <c r="U619" s="134">
        <f>ROUNDUP(商品マスタ[[#This Row],[仕入単価+国内送料]]/0.8,-1)</f>
        <v>470</v>
      </c>
      <c r="V619" s="134">
        <f>商品マスタ[[#This Row],[海外定価
（20％）]]-商品マスタ[[#This Row],[仕入単価+国内送料]]</f>
        <v>96</v>
      </c>
      <c r="W619" s="87">
        <f>ROUNDUP(商品マスタ[[#This Row],[仕入単価+国内送料]]/0.85,-1)</f>
        <v>440</v>
      </c>
      <c r="X619" s="134">
        <f>商品マスタ[[#This Row],[国内定価
（15％）]]-商品マスタ[[#This Row],[仕入単価+国内送料]]</f>
        <v>66</v>
      </c>
      <c r="Y619" s="139">
        <v>0.08</v>
      </c>
      <c r="Z619" s="87" t="s">
        <v>1667</v>
      </c>
      <c r="AA619" s="87" t="s">
        <v>960</v>
      </c>
      <c r="AB619" s="87" t="s">
        <v>939</v>
      </c>
      <c r="AC619" s="140">
        <v>4580223790026</v>
      </c>
      <c r="AD619" s="87" t="s">
        <v>1728</v>
      </c>
      <c r="AE619" s="87"/>
      <c r="AF619" s="87"/>
      <c r="AG619" s="141"/>
    </row>
    <row r="620" spans="1:33" ht="18">
      <c r="A620" s="166" t="s">
        <v>1521</v>
      </c>
      <c r="B620" s="167" t="s">
        <v>1517</v>
      </c>
      <c r="C620" s="167" t="s">
        <v>1531</v>
      </c>
      <c r="D620" s="143" t="str">
        <f>"PRD_SNJ_"&amp;
_xlfn.XLOOKUP(商品マスタ[[#This Row],[仕入先]],テーブル1[仕入先名],テーブル1[仕入先コード],"XXX",0,1)&amp;
"_"&amp;
商品マスタ[[#This Row],[シリアル]]&amp;
"_"&amp;
TEXT(COUNTIFS(商品マスタ!$C$3:C620,商品マスタ[[#This Row],[仕入先]],商品マスタ!$E$3:E620,商品マスタ[[#This Row],[商品名]]), "00")</f>
        <v>PRD_SNJ_AKS_0002_01</v>
      </c>
      <c r="E620" s="87" t="s">
        <v>1610</v>
      </c>
      <c r="F620" s="87">
        <f>IF(COUNTIFS($C$3:C620,商品マスタ[[#This Row],[仕入先]],$E$3:E620,商品マスタ[[#This Row],[商品名]]) = 1, 1,0)</f>
        <v>1</v>
      </c>
      <c r="G620" s="133" t="str">
        <f>TEXT(SUMIF($C$3:C620,商品マスタ[[#This Row],[仕入先]],$F$3:F620), "0000")</f>
        <v>0002</v>
      </c>
      <c r="H620" s="87" t="s">
        <v>900</v>
      </c>
      <c r="I620" s="87" t="s">
        <v>1646</v>
      </c>
      <c r="J620" s="87" t="s">
        <v>1647</v>
      </c>
      <c r="K620" s="87"/>
      <c r="L620" s="134">
        <v>240</v>
      </c>
      <c r="M620" s="157">
        <v>46052</v>
      </c>
      <c r="N620" s="134">
        <v>370.37</v>
      </c>
      <c r="O620" s="135">
        <f>IF(COUNT(商品マスタ[[#This Row],[参考上代
（税込)]]) &gt; 0, (商品マスタ[[#This Row],[参考上代
（税込)]]-商品マスタ[[#This Row],[国内定価
（15％）]])/(商品マスタ[[#This Row],[参考上代
（税込)]]/1.08), "")</f>
        <v>0.14687906687906691</v>
      </c>
      <c r="P620" s="136">
        <v>0.1</v>
      </c>
      <c r="Q620" s="134">
        <f>商品マスタ[[#This Row],[仕入
単価]]*商品マスタ[[#This Row],[標準国内送料率]]</f>
        <v>24</v>
      </c>
      <c r="R620" s="134"/>
      <c r="S620" s="134">
        <f>IF(ISBLANK(商品マスタ[[#This Row],[実績
国内送料]]),商品マスタ[[#This Row],[標準国内送料]],)</f>
        <v>24</v>
      </c>
      <c r="T620" s="134">
        <f>商品マスタ[[#This Row],[仕入
単価]]+商品マスタ[[#This Row],[国内送料]]</f>
        <v>264</v>
      </c>
      <c r="U620" s="134">
        <f>ROUNDUP(商品マスタ[[#This Row],[仕入単価+国内送料]]/0.8,-1)</f>
        <v>330</v>
      </c>
      <c r="V620" s="134">
        <f>商品マスタ[[#This Row],[海外定価
（20％）]]-商品マスタ[[#This Row],[仕入単価+国内送料]]</f>
        <v>66</v>
      </c>
      <c r="W620" s="87">
        <f>ROUNDUP(商品マスタ[[#This Row],[仕入単価+国内送料]]/0.85,-1)</f>
        <v>320</v>
      </c>
      <c r="X620" s="134">
        <f>商品マスタ[[#This Row],[国内定価
（15％）]]-商品マスタ[[#This Row],[仕入単価+国内送料]]</f>
        <v>56</v>
      </c>
      <c r="Y620" s="139">
        <v>0.08</v>
      </c>
      <c r="Z620" s="87" t="s">
        <v>1667</v>
      </c>
      <c r="AA620" s="87" t="s">
        <v>960</v>
      </c>
      <c r="AB620" s="87" t="s">
        <v>939</v>
      </c>
      <c r="AC620" s="140">
        <v>4580223792716</v>
      </c>
      <c r="AD620" s="87" t="s">
        <v>1729</v>
      </c>
      <c r="AE620" s="87"/>
      <c r="AF620" s="87"/>
      <c r="AG620" s="141"/>
    </row>
    <row r="621" spans="1:33" ht="18">
      <c r="A621" s="166" t="s">
        <v>1520</v>
      </c>
      <c r="B621" s="167" t="s">
        <v>1226</v>
      </c>
      <c r="C621" s="167" t="s">
        <v>1531</v>
      </c>
      <c r="D621" s="143" t="str">
        <f>"PRD_SNJ_"&amp;
_xlfn.XLOOKUP(商品マスタ[[#This Row],[仕入先]],テーブル1[仕入先名],テーブル1[仕入先コード],"XXX",0,1)&amp;
"_"&amp;
商品マスタ[[#This Row],[シリアル]]&amp;
"_"&amp;
TEXT(COUNTIFS(商品マスタ!$C$3:C621,商品マスタ[[#This Row],[仕入先]],商品マスタ!$E$3:E621,商品マスタ[[#This Row],[商品名]]), "00")</f>
        <v>PRD_SNJ_AKS_0003_01</v>
      </c>
      <c r="E621" s="87" t="s">
        <v>1611</v>
      </c>
      <c r="F621" s="87">
        <f>IF(COUNTIFS($C$3:C621,商品マスタ[[#This Row],[仕入先]],$E$3:E621,商品マスタ[[#This Row],[商品名]]) = 1, 1,0)</f>
        <v>1</v>
      </c>
      <c r="G621" s="133" t="str">
        <f>TEXT(SUMIF($C$3:C621,商品マスタ[[#This Row],[仕入先]],$F$3:F621), "0000")</f>
        <v>0003</v>
      </c>
      <c r="H621" s="87" t="s">
        <v>1737</v>
      </c>
      <c r="I621" s="87" t="s">
        <v>1648</v>
      </c>
      <c r="J621" s="87" t="s">
        <v>1647</v>
      </c>
      <c r="K621" s="87"/>
      <c r="L621" s="134">
        <v>204</v>
      </c>
      <c r="M621" s="157">
        <v>46052</v>
      </c>
      <c r="N621" s="134">
        <v>300</v>
      </c>
      <c r="O621" s="135">
        <f>IF(COUNT(商品マスタ[[#This Row],[参考上代
（税込)]]) &gt; 0, (商品マスタ[[#This Row],[参考上代
（税込)]]-商品マスタ[[#This Row],[国内定価
（15％）]])/(商品マスタ[[#This Row],[参考上代
（税込)]]/1.08), "")</f>
        <v>0.108</v>
      </c>
      <c r="P621" s="136">
        <v>0.1</v>
      </c>
      <c r="Q621" s="134">
        <f>商品マスタ[[#This Row],[仕入
単価]]*商品マスタ[[#This Row],[標準国内送料率]]</f>
        <v>20.400000000000002</v>
      </c>
      <c r="R621" s="134"/>
      <c r="S621" s="134">
        <f>IF(ISBLANK(商品マスタ[[#This Row],[実績
国内送料]]),商品マスタ[[#This Row],[標準国内送料]],)</f>
        <v>20.400000000000002</v>
      </c>
      <c r="T621" s="134">
        <f>商品マスタ[[#This Row],[仕入
単価]]+商品マスタ[[#This Row],[国内送料]]</f>
        <v>224.4</v>
      </c>
      <c r="U621" s="134">
        <f>ROUNDUP(商品マスタ[[#This Row],[仕入単価+国内送料]]/0.8,-1)</f>
        <v>290</v>
      </c>
      <c r="V621" s="134">
        <f>商品マスタ[[#This Row],[海外定価
（20％）]]-商品マスタ[[#This Row],[仕入単価+国内送料]]</f>
        <v>65.599999999999994</v>
      </c>
      <c r="W621" s="87">
        <f>ROUNDUP(商品マスタ[[#This Row],[仕入単価+国内送料]]/0.85,-1)</f>
        <v>270</v>
      </c>
      <c r="X621" s="134">
        <f>商品マスタ[[#This Row],[国内定価
（15％）]]-商品マスタ[[#This Row],[仕入単価+国内送料]]</f>
        <v>45.599999999999994</v>
      </c>
      <c r="Y621" s="139">
        <v>0.08</v>
      </c>
      <c r="Z621" s="87" t="s">
        <v>1674</v>
      </c>
      <c r="AA621" s="87" t="s">
        <v>960</v>
      </c>
      <c r="AB621" s="87" t="s">
        <v>939</v>
      </c>
      <c r="AC621" s="140">
        <v>4580223790262</v>
      </c>
      <c r="AD621" s="87" t="s">
        <v>1730</v>
      </c>
      <c r="AE621" s="87"/>
      <c r="AF621" s="87"/>
      <c r="AG621" s="141"/>
    </row>
    <row r="622" spans="1:33" ht="18">
      <c r="A622" s="166" t="s">
        <v>1518</v>
      </c>
      <c r="B622" s="167" t="s">
        <v>1248</v>
      </c>
      <c r="C622" s="167" t="s">
        <v>1531</v>
      </c>
      <c r="D622" s="143" t="str">
        <f>"PRD_SNJ_"&amp;
_xlfn.XLOOKUP(商品マスタ[[#This Row],[仕入先]],テーブル1[仕入先名],テーブル1[仕入先コード],"XXX",0,1)&amp;
"_"&amp;
商品マスタ[[#This Row],[シリアル]]&amp;
"_"&amp;
TEXT(COUNTIFS(商品マスタ!$C$3:C622,商品マスタ[[#This Row],[仕入先]],商品マスタ!$E$3:E622,商品マスタ[[#This Row],[商品名]]), "00")</f>
        <v>PRD_SNJ_AKS_0004_01</v>
      </c>
      <c r="E622" s="87" t="s">
        <v>1612</v>
      </c>
      <c r="F622" s="87">
        <f>IF(COUNTIFS($C$3:C622,商品マスタ[[#This Row],[仕入先]],$E$3:E622,商品マスタ[[#This Row],[商品名]]) = 1, 1,0)</f>
        <v>1</v>
      </c>
      <c r="G622" s="133" t="str">
        <f>TEXT(SUMIF($C$3:C622,商品マスタ[[#This Row],[仕入先]],$F$3:F622), "0000")</f>
        <v>0004</v>
      </c>
      <c r="H622" s="87" t="s">
        <v>1737</v>
      </c>
      <c r="I622" s="87" t="s">
        <v>1648</v>
      </c>
      <c r="J622" s="87" t="s">
        <v>1647</v>
      </c>
      <c r="K622" s="87"/>
      <c r="L622" s="134">
        <v>204</v>
      </c>
      <c r="M622" s="157">
        <v>46052</v>
      </c>
      <c r="N622" s="134">
        <v>300</v>
      </c>
      <c r="O622" s="135">
        <f>IF(COUNT(商品マスタ[[#This Row],[参考上代
（税込)]]) &gt; 0, (商品マスタ[[#This Row],[参考上代
（税込)]]-商品マスタ[[#This Row],[国内定価
（15％）]])/(商品マスタ[[#This Row],[参考上代
（税込)]]/1.08), "")</f>
        <v>0.108</v>
      </c>
      <c r="P622" s="136">
        <v>0.1</v>
      </c>
      <c r="Q622" s="134">
        <f>商品マスタ[[#This Row],[仕入
単価]]*商品マスタ[[#This Row],[標準国内送料率]]</f>
        <v>20.400000000000002</v>
      </c>
      <c r="R622" s="134"/>
      <c r="S622" s="134">
        <f>IF(ISBLANK(商品マスタ[[#This Row],[実績
国内送料]]),商品マスタ[[#This Row],[標準国内送料]],)</f>
        <v>20.400000000000002</v>
      </c>
      <c r="T622" s="134">
        <f>商品マスタ[[#This Row],[仕入
単価]]+商品マスタ[[#This Row],[国内送料]]</f>
        <v>224.4</v>
      </c>
      <c r="U622" s="134">
        <f>ROUNDUP(商品マスタ[[#This Row],[仕入単価+国内送料]]/0.8,-1)</f>
        <v>290</v>
      </c>
      <c r="V622" s="134">
        <f>商品マスタ[[#This Row],[海外定価
（20％）]]-商品マスタ[[#This Row],[仕入単価+国内送料]]</f>
        <v>65.599999999999994</v>
      </c>
      <c r="W622" s="87">
        <f>ROUNDUP(商品マスタ[[#This Row],[仕入単価+国内送料]]/0.85,-1)</f>
        <v>270</v>
      </c>
      <c r="X622" s="134">
        <f>商品マスタ[[#This Row],[国内定価
（15％）]]-商品マスタ[[#This Row],[仕入単価+国内送料]]</f>
        <v>45.599999999999994</v>
      </c>
      <c r="Y622" s="139">
        <v>0.08</v>
      </c>
      <c r="Z622" s="87" t="s">
        <v>1674</v>
      </c>
      <c r="AA622" s="87" t="s">
        <v>960</v>
      </c>
      <c r="AB622" s="87" t="s">
        <v>939</v>
      </c>
      <c r="AC622" s="140">
        <v>4580223790279</v>
      </c>
      <c r="AD622" s="87" t="s">
        <v>1731</v>
      </c>
      <c r="AE622" s="87"/>
      <c r="AF622" s="87"/>
      <c r="AG622" s="141"/>
    </row>
    <row r="623" spans="1:33" ht="18">
      <c r="A623" s="166" t="s">
        <v>1518</v>
      </c>
      <c r="B623" s="167" t="s">
        <v>1248</v>
      </c>
      <c r="C623" s="167" t="s">
        <v>1531</v>
      </c>
      <c r="D623" s="143" t="str">
        <f>"PRD_SNJ_"&amp;
_xlfn.XLOOKUP(商品マスタ[[#This Row],[仕入先]],テーブル1[仕入先名],テーブル1[仕入先コード],"XXX",0,1)&amp;
"_"&amp;
商品マスタ[[#This Row],[シリアル]]&amp;
"_"&amp;
TEXT(COUNTIFS(商品マスタ!$C$3:C623,商品マスタ[[#This Row],[仕入先]],商品マスタ!$E$3:E623,商品マスタ[[#This Row],[商品名]]), "00")</f>
        <v>PRD_SNJ_AKS_0005_01</v>
      </c>
      <c r="E623" s="87" t="s">
        <v>1613</v>
      </c>
      <c r="F623" s="87">
        <f>IF(COUNTIFS($C$3:C623,商品マスタ[[#This Row],[仕入先]],$E$3:E623,商品マスタ[[#This Row],[商品名]]) = 1, 1,0)</f>
        <v>1</v>
      </c>
      <c r="G623" s="133" t="str">
        <f>TEXT(SUMIF($C$3:C623,商品マスタ[[#This Row],[仕入先]],$F$3:F623), "0000")</f>
        <v>0005</v>
      </c>
      <c r="H623" s="87" t="s">
        <v>1737</v>
      </c>
      <c r="I623" s="87" t="s">
        <v>1648</v>
      </c>
      <c r="J623" s="87" t="s">
        <v>1647</v>
      </c>
      <c r="K623" s="87"/>
      <c r="L623" s="134">
        <v>204</v>
      </c>
      <c r="M623" s="157">
        <v>46052</v>
      </c>
      <c r="N623" s="134">
        <v>300</v>
      </c>
      <c r="O623" s="135">
        <f>IF(COUNT(商品マスタ[[#This Row],[参考上代
（税込)]]) &gt; 0, (商品マスタ[[#This Row],[参考上代
（税込)]]-商品マスタ[[#This Row],[国内定価
（15％）]])/(商品マスタ[[#This Row],[参考上代
（税込)]]/1.08), "")</f>
        <v>0.108</v>
      </c>
      <c r="P623" s="136">
        <v>0.1</v>
      </c>
      <c r="Q623" s="134">
        <f>商品マスタ[[#This Row],[仕入
単価]]*商品マスタ[[#This Row],[標準国内送料率]]</f>
        <v>20.400000000000002</v>
      </c>
      <c r="R623" s="134"/>
      <c r="S623" s="134">
        <f>IF(ISBLANK(商品マスタ[[#This Row],[実績
国内送料]]),商品マスタ[[#This Row],[標準国内送料]],)</f>
        <v>20.400000000000002</v>
      </c>
      <c r="T623" s="134">
        <f>商品マスタ[[#This Row],[仕入
単価]]+商品マスタ[[#This Row],[国内送料]]</f>
        <v>224.4</v>
      </c>
      <c r="U623" s="134">
        <f>ROUNDUP(商品マスタ[[#This Row],[仕入単価+国内送料]]/0.8,-1)</f>
        <v>290</v>
      </c>
      <c r="V623" s="134">
        <f>商品マスタ[[#This Row],[海外定価
（20％）]]-商品マスタ[[#This Row],[仕入単価+国内送料]]</f>
        <v>65.599999999999994</v>
      </c>
      <c r="W623" s="87">
        <f>ROUNDUP(商品マスタ[[#This Row],[仕入単価+国内送料]]/0.85,-1)</f>
        <v>270</v>
      </c>
      <c r="X623" s="134">
        <f>商品マスタ[[#This Row],[国内定価
（15％）]]-商品マスタ[[#This Row],[仕入単価+国内送料]]</f>
        <v>45.599999999999994</v>
      </c>
      <c r="Y623" s="139">
        <v>0.08</v>
      </c>
      <c r="Z623" s="87" t="s">
        <v>1674</v>
      </c>
      <c r="AA623" s="87" t="s">
        <v>960</v>
      </c>
      <c r="AB623" s="87" t="s">
        <v>939</v>
      </c>
      <c r="AC623" s="140">
        <v>4580223790972</v>
      </c>
      <c r="AD623" s="87" t="s">
        <v>1732</v>
      </c>
      <c r="AE623" s="87"/>
      <c r="AF623" s="87"/>
      <c r="AG623" s="141"/>
    </row>
    <row r="624" spans="1:33" ht="18">
      <c r="A624" s="166" t="s">
        <v>1521</v>
      </c>
      <c r="B624" s="167" t="s">
        <v>1517</v>
      </c>
      <c r="C624" s="167" t="s">
        <v>1532</v>
      </c>
      <c r="D624" s="143" t="str">
        <f>"PRD_SNJ_"&amp;
_xlfn.XLOOKUP(商品マスタ[[#This Row],[仕入先]],テーブル1[仕入先名],テーブル1[仕入先コード],"XXX",0,1)&amp;
"_"&amp;
商品マスタ[[#This Row],[シリアル]]&amp;
"_"&amp;
TEXT(COUNTIFS(商品マスタ!$C$3:C624,商品マスタ[[#This Row],[仕入先]],商品マスタ!$E$3:E624,商品マスタ[[#This Row],[商品名]]), "00")</f>
        <v>PRD_SNJ_MIO_0001_01</v>
      </c>
      <c r="E624" s="87" t="s">
        <v>1614</v>
      </c>
      <c r="F624" s="87">
        <f>IF(COUNTIFS($C$3:C624,商品マスタ[[#This Row],[仕入先]],$E$3:E624,商品マスタ[[#This Row],[商品名]]) = 1, 1,0)</f>
        <v>1</v>
      </c>
      <c r="G624" s="133" t="str">
        <f>TEXT(SUMIF($C$3:C624,商品マスタ[[#This Row],[仕入先]],$F$3:F624), "0000")</f>
        <v>0001</v>
      </c>
      <c r="H624" s="87" t="s">
        <v>1740</v>
      </c>
      <c r="I624" s="87" t="s">
        <v>283</v>
      </c>
      <c r="J624" s="87" t="s">
        <v>1649</v>
      </c>
      <c r="K624" s="87"/>
      <c r="L624" s="134">
        <v>385</v>
      </c>
      <c r="M624" s="157">
        <v>46052</v>
      </c>
      <c r="N624" s="134"/>
      <c r="O624" s="135" t="str">
        <f>IF(COUNT(商品マスタ[[#This Row],[参考上代
（税込)]]) &gt; 0, (商品マスタ[[#This Row],[参考上代
（税込)]]-商品マスタ[[#This Row],[国内定価
（15％）]])/(商品マスタ[[#This Row],[参考上代
（税込)]]/1.08), "")</f>
        <v/>
      </c>
      <c r="P624" s="136">
        <v>0.1</v>
      </c>
      <c r="Q624" s="134">
        <f>商品マスタ[[#This Row],[仕入
単価]]*商品マスタ[[#This Row],[標準国内送料率]]</f>
        <v>38.5</v>
      </c>
      <c r="R624" s="134"/>
      <c r="S624" s="134">
        <f>IF(ISBLANK(商品マスタ[[#This Row],[実績
国内送料]]),商品マスタ[[#This Row],[標準国内送料]],)</f>
        <v>38.5</v>
      </c>
      <c r="T624" s="134">
        <f>商品マスタ[[#This Row],[仕入
単価]]+商品マスタ[[#This Row],[国内送料]]</f>
        <v>423.5</v>
      </c>
      <c r="U624" s="134">
        <f>ROUNDUP(商品マスタ[[#This Row],[仕入単価+国内送料]]/0.8,-1)</f>
        <v>530</v>
      </c>
      <c r="V624" s="134">
        <f>商品マスタ[[#This Row],[海外定価
（20％）]]-商品マスタ[[#This Row],[仕入単価+国内送料]]</f>
        <v>106.5</v>
      </c>
      <c r="W624" s="87">
        <f>ROUNDUP(商品マスタ[[#This Row],[仕入単価+国内送料]]/0.85,-1)</f>
        <v>500</v>
      </c>
      <c r="X624" s="134">
        <f>商品マスタ[[#This Row],[国内定価
（15％）]]-商品マスタ[[#This Row],[仕入単価+国内送料]]</f>
        <v>76.5</v>
      </c>
      <c r="Y624" s="139">
        <v>0.08</v>
      </c>
      <c r="Z624" s="87"/>
      <c r="AA624" s="87"/>
      <c r="AB624" s="87"/>
      <c r="AC624" s="140"/>
      <c r="AD624" s="87"/>
      <c r="AE624" s="87"/>
      <c r="AF624" s="87"/>
      <c r="AG624" s="141"/>
    </row>
    <row r="625" spans="1:33" ht="18">
      <c r="A625" s="166" t="s">
        <v>1521</v>
      </c>
      <c r="B625" s="167" t="s">
        <v>1517</v>
      </c>
      <c r="C625" s="167" t="s">
        <v>1532</v>
      </c>
      <c r="D625" s="143" t="str">
        <f>"PRD_SNJ_"&amp;
_xlfn.XLOOKUP(商品マスタ[[#This Row],[仕入先]],テーブル1[仕入先名],テーブル1[仕入先コード],"XXX",0,1)&amp;
"_"&amp;
商品マスタ[[#This Row],[シリアル]]&amp;
"_"&amp;
TEXT(COUNTIFS(商品マスタ!$C$3:C625,商品マスタ[[#This Row],[仕入先]],商品マスタ!$E$3:E625,商品マスタ[[#This Row],[商品名]]), "00")</f>
        <v>PRD_SNJ_MIO_0002_01</v>
      </c>
      <c r="E625" s="87" t="s">
        <v>1615</v>
      </c>
      <c r="F625" s="87">
        <f>IF(COUNTIFS($C$3:C625,商品マスタ[[#This Row],[仕入先]],$E$3:E625,商品マスタ[[#This Row],[商品名]]) = 1, 1,0)</f>
        <v>1</v>
      </c>
      <c r="G625" s="133" t="str">
        <f>TEXT(SUMIF($C$3:C625,商品マスタ[[#This Row],[仕入先]],$F$3:F625), "0000")</f>
        <v>0002</v>
      </c>
      <c r="H625" s="87" t="s">
        <v>1740</v>
      </c>
      <c r="I625" s="87" t="s">
        <v>283</v>
      </c>
      <c r="J625" s="87" t="s">
        <v>1649</v>
      </c>
      <c r="K625" s="87"/>
      <c r="L625" s="134">
        <v>385</v>
      </c>
      <c r="M625" s="157">
        <v>46052</v>
      </c>
      <c r="N625" s="134"/>
      <c r="O625" s="135" t="str">
        <f>IF(COUNT(商品マスタ[[#This Row],[参考上代
（税込)]]) &gt; 0, (商品マスタ[[#This Row],[参考上代
（税込)]]-商品マスタ[[#This Row],[国内定価
（15％）]])/(商品マスタ[[#This Row],[参考上代
（税込)]]/1.08), "")</f>
        <v/>
      </c>
      <c r="P625" s="136">
        <v>0.1</v>
      </c>
      <c r="Q625" s="134">
        <f>商品マスタ[[#This Row],[仕入
単価]]*商品マスタ[[#This Row],[標準国内送料率]]</f>
        <v>38.5</v>
      </c>
      <c r="R625" s="134"/>
      <c r="S625" s="134">
        <f>IF(ISBLANK(商品マスタ[[#This Row],[実績
国内送料]]),商品マスタ[[#This Row],[標準国内送料]],)</f>
        <v>38.5</v>
      </c>
      <c r="T625" s="134">
        <f>商品マスタ[[#This Row],[仕入
単価]]+商品マスタ[[#This Row],[国内送料]]</f>
        <v>423.5</v>
      </c>
      <c r="U625" s="134">
        <f>ROUNDUP(商品マスタ[[#This Row],[仕入単価+国内送料]]/0.8,-1)</f>
        <v>530</v>
      </c>
      <c r="V625" s="134">
        <f>商品マスタ[[#This Row],[海外定価
（20％）]]-商品マスタ[[#This Row],[仕入単価+国内送料]]</f>
        <v>106.5</v>
      </c>
      <c r="W625" s="87">
        <f>ROUNDUP(商品マスタ[[#This Row],[仕入単価+国内送料]]/0.85,-1)</f>
        <v>500</v>
      </c>
      <c r="X625" s="134">
        <f>商品マスタ[[#This Row],[国内定価
（15％）]]-商品マスタ[[#This Row],[仕入単価+国内送料]]</f>
        <v>76.5</v>
      </c>
      <c r="Y625" s="139">
        <v>0.08</v>
      </c>
      <c r="Z625" s="87"/>
      <c r="AA625" s="87"/>
      <c r="AB625" s="87"/>
      <c r="AC625" s="140"/>
      <c r="AD625" s="87"/>
      <c r="AE625" s="87"/>
      <c r="AF625" s="87"/>
      <c r="AG625" s="141"/>
    </row>
    <row r="626" spans="1:33" ht="18">
      <c r="A626" s="166" t="s">
        <v>1521</v>
      </c>
      <c r="B626" s="167" t="s">
        <v>1517</v>
      </c>
      <c r="C626" s="167" t="s">
        <v>1532</v>
      </c>
      <c r="D626" s="143" t="str">
        <f>"PRD_SNJ_"&amp;
_xlfn.XLOOKUP(商品マスタ[[#This Row],[仕入先]],テーブル1[仕入先名],テーブル1[仕入先コード],"XXX",0,1)&amp;
"_"&amp;
商品マスタ[[#This Row],[シリアル]]&amp;
"_"&amp;
TEXT(COUNTIFS(商品マスタ!$C$3:C626,商品マスタ[[#This Row],[仕入先]],商品マスタ!$E$3:E626,商品マスタ[[#This Row],[商品名]]), "00")</f>
        <v>PRD_SNJ_MIO_0003_01</v>
      </c>
      <c r="E626" s="87" t="s">
        <v>1616</v>
      </c>
      <c r="F626" s="87">
        <f>IF(COUNTIFS($C$3:C626,商品マスタ[[#This Row],[仕入先]],$E$3:E626,商品マスタ[[#This Row],[商品名]]) = 1, 1,0)</f>
        <v>1</v>
      </c>
      <c r="G626" s="133" t="str">
        <f>TEXT(SUMIF($C$3:C626,商品マスタ[[#This Row],[仕入先]],$F$3:F626), "0000")</f>
        <v>0003</v>
      </c>
      <c r="H626" s="87" t="s">
        <v>1740</v>
      </c>
      <c r="I626" s="87" t="s">
        <v>283</v>
      </c>
      <c r="J626" s="87" t="s">
        <v>1649</v>
      </c>
      <c r="K626" s="87"/>
      <c r="L626" s="134">
        <v>385</v>
      </c>
      <c r="M626" s="157">
        <v>46052</v>
      </c>
      <c r="N626" s="134"/>
      <c r="O626" s="135" t="str">
        <f>IF(COUNT(商品マスタ[[#This Row],[参考上代
（税込)]]) &gt; 0, (商品マスタ[[#This Row],[参考上代
（税込)]]-商品マスタ[[#This Row],[国内定価
（15％）]])/(商品マスタ[[#This Row],[参考上代
（税込)]]/1.08), "")</f>
        <v/>
      </c>
      <c r="P626" s="136">
        <v>0.1</v>
      </c>
      <c r="Q626" s="134">
        <f>商品マスタ[[#This Row],[仕入
単価]]*商品マスタ[[#This Row],[標準国内送料率]]</f>
        <v>38.5</v>
      </c>
      <c r="R626" s="134"/>
      <c r="S626" s="134">
        <f>IF(ISBLANK(商品マスタ[[#This Row],[実績
国内送料]]),商品マスタ[[#This Row],[標準国内送料]],)</f>
        <v>38.5</v>
      </c>
      <c r="T626" s="134">
        <f>商品マスタ[[#This Row],[仕入
単価]]+商品マスタ[[#This Row],[国内送料]]</f>
        <v>423.5</v>
      </c>
      <c r="U626" s="134">
        <f>ROUNDUP(商品マスタ[[#This Row],[仕入単価+国内送料]]/0.8,-1)</f>
        <v>530</v>
      </c>
      <c r="V626" s="134">
        <f>商品マスタ[[#This Row],[海外定価
（20％）]]-商品マスタ[[#This Row],[仕入単価+国内送料]]</f>
        <v>106.5</v>
      </c>
      <c r="W626" s="87">
        <f>ROUNDUP(商品マスタ[[#This Row],[仕入単価+国内送料]]/0.85,-1)</f>
        <v>500</v>
      </c>
      <c r="X626" s="134">
        <f>商品マスタ[[#This Row],[国内定価
（15％）]]-商品マスタ[[#This Row],[仕入単価+国内送料]]</f>
        <v>76.5</v>
      </c>
      <c r="Y626" s="139">
        <v>0.08</v>
      </c>
      <c r="Z626" s="87"/>
      <c r="AA626" s="87"/>
      <c r="AB626" s="87"/>
      <c r="AC626" s="140"/>
      <c r="AD626" s="87"/>
      <c r="AE626" s="87"/>
      <c r="AF626" s="87"/>
      <c r="AG626" s="141"/>
    </row>
    <row r="627" spans="1:33" ht="18">
      <c r="A627" s="166" t="s">
        <v>1521</v>
      </c>
      <c r="B627" s="167" t="s">
        <v>1517</v>
      </c>
      <c r="C627" s="167" t="s">
        <v>1532</v>
      </c>
      <c r="D627" s="143" t="str">
        <f>"PRD_SNJ_"&amp;
_xlfn.XLOOKUP(商品マスタ[[#This Row],[仕入先]],テーブル1[仕入先名],テーブル1[仕入先コード],"XXX",0,1)&amp;
"_"&amp;
商品マスタ[[#This Row],[シリアル]]&amp;
"_"&amp;
TEXT(COUNTIFS(商品マスタ!$C$3:C627,商品マスタ[[#This Row],[仕入先]],商品マスタ!$E$3:E627,商品マスタ[[#This Row],[商品名]]), "00")</f>
        <v>PRD_SNJ_MIO_0004_01</v>
      </c>
      <c r="E627" s="87" t="s">
        <v>1617</v>
      </c>
      <c r="F627" s="87">
        <f>IF(COUNTIFS($C$3:C627,商品マスタ[[#This Row],[仕入先]],$E$3:E627,商品マスタ[[#This Row],[商品名]]) = 1, 1,0)</f>
        <v>1</v>
      </c>
      <c r="G627" s="133" t="str">
        <f>TEXT(SUMIF($C$3:C627,商品マスタ[[#This Row],[仕入先]],$F$3:F627), "0000")</f>
        <v>0004</v>
      </c>
      <c r="H627" s="87" t="s">
        <v>1740</v>
      </c>
      <c r="I627" s="87" t="s">
        <v>1650</v>
      </c>
      <c r="J627" s="87" t="s">
        <v>1651</v>
      </c>
      <c r="K627" s="87"/>
      <c r="L627" s="134">
        <v>655</v>
      </c>
      <c r="M627" s="157">
        <v>46052</v>
      </c>
      <c r="N627" s="134"/>
      <c r="O627" s="135" t="str">
        <f>IF(COUNT(商品マスタ[[#This Row],[参考上代
（税込)]]) &gt; 0, (商品マスタ[[#This Row],[参考上代
（税込)]]-商品マスタ[[#This Row],[国内定価
（15％）]])/(商品マスタ[[#This Row],[参考上代
（税込)]]/1.08), "")</f>
        <v/>
      </c>
      <c r="P627" s="136">
        <v>0.1</v>
      </c>
      <c r="Q627" s="134">
        <f>商品マスタ[[#This Row],[仕入
単価]]*商品マスタ[[#This Row],[標準国内送料率]]</f>
        <v>65.5</v>
      </c>
      <c r="R627" s="134"/>
      <c r="S627" s="134">
        <f>IF(ISBLANK(商品マスタ[[#This Row],[実績
国内送料]]),商品マスタ[[#This Row],[標準国内送料]],)</f>
        <v>65.5</v>
      </c>
      <c r="T627" s="134">
        <f>商品マスタ[[#This Row],[仕入
単価]]+商品マスタ[[#This Row],[国内送料]]</f>
        <v>720.5</v>
      </c>
      <c r="U627" s="134">
        <f>ROUNDUP(商品マスタ[[#This Row],[仕入単価+国内送料]]/0.8,-1)</f>
        <v>910</v>
      </c>
      <c r="V627" s="134">
        <f>商品マスタ[[#This Row],[海外定価
（20％）]]-商品マスタ[[#This Row],[仕入単価+国内送料]]</f>
        <v>189.5</v>
      </c>
      <c r="W627" s="87">
        <f>ROUNDUP(商品マスタ[[#This Row],[仕入単価+国内送料]]/0.85,-1)</f>
        <v>850</v>
      </c>
      <c r="X627" s="134">
        <f>商品マスタ[[#This Row],[国内定価
（15％）]]-商品マスタ[[#This Row],[仕入単価+国内送料]]</f>
        <v>129.5</v>
      </c>
      <c r="Y627" s="139">
        <v>0.08</v>
      </c>
      <c r="Z627" s="87"/>
      <c r="AA627" s="87"/>
      <c r="AB627" s="87"/>
      <c r="AC627" s="140"/>
      <c r="AD627" s="87"/>
      <c r="AE627" s="87"/>
      <c r="AF627" s="87"/>
      <c r="AG627" s="141"/>
    </row>
    <row r="628" spans="1:33" ht="18">
      <c r="A628" s="166" t="s">
        <v>1521</v>
      </c>
      <c r="B628" s="167" t="s">
        <v>1517</v>
      </c>
      <c r="C628" s="167" t="s">
        <v>1532</v>
      </c>
      <c r="D628" s="143" t="str">
        <f>"PRD_SNJ_"&amp;
_xlfn.XLOOKUP(商品マスタ[[#This Row],[仕入先]],テーブル1[仕入先名],テーブル1[仕入先コード],"XXX",0,1)&amp;
"_"&amp;
商品マスタ[[#This Row],[シリアル]]&amp;
"_"&amp;
TEXT(COUNTIFS(商品マスタ!$C$3:C628,商品マスタ[[#This Row],[仕入先]],商品マスタ!$E$3:E628,商品マスタ[[#This Row],[商品名]]), "00")</f>
        <v>PRD_SNJ_MIO_0005_01</v>
      </c>
      <c r="E628" s="87" t="s">
        <v>1618</v>
      </c>
      <c r="F628" s="87">
        <f>IF(COUNTIFS($C$3:C628,商品マスタ[[#This Row],[仕入先]],$E$3:E628,商品マスタ[[#This Row],[商品名]]) = 1, 1,0)</f>
        <v>1</v>
      </c>
      <c r="G628" s="133" t="str">
        <f>TEXT(SUMIF($C$3:C628,商品マスタ[[#This Row],[仕入先]],$F$3:F628), "0000")</f>
        <v>0005</v>
      </c>
      <c r="H628" s="87" t="s">
        <v>1740</v>
      </c>
      <c r="I628" s="87" t="s">
        <v>1652</v>
      </c>
      <c r="J628" s="87" t="s">
        <v>1653</v>
      </c>
      <c r="K628" s="87"/>
      <c r="L628" s="134">
        <v>655</v>
      </c>
      <c r="M628" s="157">
        <v>46052</v>
      </c>
      <c r="N628" s="134"/>
      <c r="O628" s="135" t="str">
        <f>IF(COUNT(商品マスタ[[#This Row],[参考上代
（税込)]]) &gt; 0, (商品マスタ[[#This Row],[参考上代
（税込)]]-商品マスタ[[#This Row],[国内定価
（15％）]])/(商品マスタ[[#This Row],[参考上代
（税込)]]/1.08), "")</f>
        <v/>
      </c>
      <c r="P628" s="136">
        <v>0.1</v>
      </c>
      <c r="Q628" s="134">
        <f>商品マスタ[[#This Row],[仕入
単価]]*商品マスタ[[#This Row],[標準国内送料率]]</f>
        <v>65.5</v>
      </c>
      <c r="R628" s="134"/>
      <c r="S628" s="134">
        <f>IF(ISBLANK(商品マスタ[[#This Row],[実績
国内送料]]),商品マスタ[[#This Row],[標準国内送料]],)</f>
        <v>65.5</v>
      </c>
      <c r="T628" s="134">
        <f>商品マスタ[[#This Row],[仕入
単価]]+商品マスタ[[#This Row],[国内送料]]</f>
        <v>720.5</v>
      </c>
      <c r="U628" s="134">
        <f>ROUNDUP(商品マスタ[[#This Row],[仕入単価+国内送料]]/0.8,-1)</f>
        <v>910</v>
      </c>
      <c r="V628" s="134">
        <f>商品マスタ[[#This Row],[海外定価
（20％）]]-商品マスタ[[#This Row],[仕入単価+国内送料]]</f>
        <v>189.5</v>
      </c>
      <c r="W628" s="87">
        <f>ROUNDUP(商品マスタ[[#This Row],[仕入単価+国内送料]]/0.85,-1)</f>
        <v>850</v>
      </c>
      <c r="X628" s="134">
        <f>商品マスタ[[#This Row],[国内定価
（15％）]]-商品マスタ[[#This Row],[仕入単価+国内送料]]</f>
        <v>129.5</v>
      </c>
      <c r="Y628" s="139">
        <v>0.08</v>
      </c>
      <c r="Z628" s="87"/>
      <c r="AA628" s="87"/>
      <c r="AB628" s="87"/>
      <c r="AC628" s="140"/>
      <c r="AD628" s="87"/>
      <c r="AE628" s="87"/>
      <c r="AF628" s="87"/>
      <c r="AG628" s="141"/>
    </row>
    <row r="629" spans="1:33" ht="18">
      <c r="A629" s="166" t="s">
        <v>1521</v>
      </c>
      <c r="B629" s="167" t="s">
        <v>1517</v>
      </c>
      <c r="C629" s="167" t="s">
        <v>1532</v>
      </c>
      <c r="D629" s="143" t="str">
        <f>"PRD_SNJ_"&amp;
_xlfn.XLOOKUP(商品マスタ[[#This Row],[仕入先]],テーブル1[仕入先名],テーブル1[仕入先コード],"XXX",0,1)&amp;
"_"&amp;
商品マスタ[[#This Row],[シリアル]]&amp;
"_"&amp;
TEXT(COUNTIFS(商品マスタ!$C$3:C629,商品マスタ[[#This Row],[仕入先]],商品マスタ!$E$3:E629,商品マスタ[[#This Row],[商品名]]), "00")</f>
        <v>PRD_SNJ_MIO_0006_01</v>
      </c>
      <c r="E629" s="87" t="s">
        <v>1619</v>
      </c>
      <c r="F629" s="87">
        <f>IF(COUNTIFS($C$3:C629,商品マスタ[[#This Row],[仕入先]],$E$3:E629,商品マスタ[[#This Row],[商品名]]) = 1, 1,0)</f>
        <v>1</v>
      </c>
      <c r="G629" s="133" t="str">
        <f>TEXT(SUMIF($C$3:C629,商品マスタ[[#This Row],[仕入先]],$F$3:F629), "0000")</f>
        <v>0006</v>
      </c>
      <c r="H629" s="87" t="s">
        <v>1740</v>
      </c>
      <c r="I629" s="87" t="s">
        <v>1654</v>
      </c>
      <c r="J629" s="87" t="s">
        <v>1655</v>
      </c>
      <c r="K629" s="87"/>
      <c r="L629" s="134">
        <v>450</v>
      </c>
      <c r="M629" s="157">
        <v>46052</v>
      </c>
      <c r="N629" s="134"/>
      <c r="O629" s="135" t="str">
        <f>IF(COUNT(商品マスタ[[#This Row],[参考上代
（税込)]]) &gt; 0, (商品マスタ[[#This Row],[参考上代
（税込)]]-商品マスタ[[#This Row],[国内定価
（15％）]])/(商品マスタ[[#This Row],[参考上代
（税込)]]/1.08), "")</f>
        <v/>
      </c>
      <c r="P629" s="136">
        <v>0.1</v>
      </c>
      <c r="Q629" s="134">
        <f>商品マスタ[[#This Row],[仕入
単価]]*商品マスタ[[#This Row],[標準国内送料率]]</f>
        <v>45</v>
      </c>
      <c r="R629" s="134"/>
      <c r="S629" s="134">
        <f>IF(ISBLANK(商品マスタ[[#This Row],[実績
国内送料]]),商品マスタ[[#This Row],[標準国内送料]],)</f>
        <v>45</v>
      </c>
      <c r="T629" s="134">
        <f>商品マスタ[[#This Row],[仕入
単価]]+商品マスタ[[#This Row],[国内送料]]</f>
        <v>495</v>
      </c>
      <c r="U629" s="134">
        <f>ROUNDUP(商品マスタ[[#This Row],[仕入単価+国内送料]]/0.8,-1)</f>
        <v>620</v>
      </c>
      <c r="V629" s="134">
        <f>商品マスタ[[#This Row],[海外定価
（20％）]]-商品マスタ[[#This Row],[仕入単価+国内送料]]</f>
        <v>125</v>
      </c>
      <c r="W629" s="87">
        <f>ROUNDUP(商品マスタ[[#This Row],[仕入単価+国内送料]]/0.85,-1)</f>
        <v>590</v>
      </c>
      <c r="X629" s="134">
        <f>商品マスタ[[#This Row],[国内定価
（15％）]]-商品マスタ[[#This Row],[仕入単価+国内送料]]</f>
        <v>95</v>
      </c>
      <c r="Y629" s="139">
        <v>0.08</v>
      </c>
      <c r="Z629" s="87"/>
      <c r="AA629" s="87"/>
      <c r="AB629" s="87"/>
      <c r="AC629" s="140"/>
      <c r="AD629" s="87"/>
      <c r="AE629" s="87"/>
      <c r="AF629" s="87"/>
      <c r="AG629" s="141"/>
    </row>
    <row r="630" spans="1:33" ht="18">
      <c r="A630" s="166" t="s">
        <v>1519</v>
      </c>
      <c r="B630" s="167" t="s">
        <v>1235</v>
      </c>
      <c r="C630" s="167" t="s">
        <v>1826</v>
      </c>
      <c r="D630" s="143" t="str">
        <f>"PRD_SNJ_"&amp;
_xlfn.XLOOKUP(商品マスタ[[#This Row],[仕入先]],テーブル1[仕入先名],テーブル1[仕入先コード],"XXX",0,1)&amp;
"_"&amp;
商品マスタ[[#This Row],[シリアル]]&amp;
"_"&amp;
TEXT(COUNTIFS(商品マスタ!$C$3:C630,商品マスタ[[#This Row],[仕入先]],商品マスタ!$E$3:E630,商品マスタ[[#This Row],[商品名]]), "00")</f>
        <v>PRD_SNJ_MTS_0001_01</v>
      </c>
      <c r="E630" s="87" t="s">
        <v>1827</v>
      </c>
      <c r="F630" s="87">
        <f>IF(COUNTIFS($C$3:C630,商品マスタ[[#This Row],[仕入先]],$E$3:E630,商品マスタ[[#This Row],[商品名]]) = 1, 1,0)</f>
        <v>1</v>
      </c>
      <c r="G630" s="133" t="str">
        <f>TEXT(SUMIF($C$3:C630,商品マスタ[[#This Row],[仕入先]],$F$3:F630), "0000")</f>
        <v>0001</v>
      </c>
      <c r="H630" s="87" t="s">
        <v>1834</v>
      </c>
      <c r="I630" s="87" t="s">
        <v>1119</v>
      </c>
      <c r="J630" s="87"/>
      <c r="K630" s="87"/>
      <c r="L630" s="134">
        <v>500</v>
      </c>
      <c r="M630" s="157">
        <v>46056</v>
      </c>
      <c r="N630" s="134"/>
      <c r="O630" s="135" t="str">
        <f>IF(COUNT(商品マスタ[[#This Row],[参考上代
（税込)]]) &gt; 0, (商品マスタ[[#This Row],[参考上代
（税込)]]-商品マスタ[[#This Row],[国内定価
（15％）]])/(商品マスタ[[#This Row],[参考上代
（税込)]]/1.08), "")</f>
        <v/>
      </c>
      <c r="P630" s="136">
        <v>0.1</v>
      </c>
      <c r="Q630" s="134">
        <f>商品マスタ[[#This Row],[仕入
単価]]*商品マスタ[[#This Row],[標準国内送料率]]</f>
        <v>50</v>
      </c>
      <c r="R630" s="134"/>
      <c r="S630" s="134">
        <f>IF(ISBLANK(商品マスタ[[#This Row],[実績
国内送料]]),商品マスタ[[#This Row],[標準国内送料]],)</f>
        <v>50</v>
      </c>
      <c r="T630" s="134">
        <f>商品マスタ[[#This Row],[仕入
単価]]+商品マスタ[[#This Row],[国内送料]]</f>
        <v>550</v>
      </c>
      <c r="U630" s="134">
        <f>ROUNDUP(商品マスタ[[#This Row],[仕入単価+国内送料]]/0.8,-1)</f>
        <v>690</v>
      </c>
      <c r="V630" s="134">
        <f>商品マスタ[[#This Row],[海外定価
（20％）]]-商品マスタ[[#This Row],[仕入単価+国内送料]]</f>
        <v>140</v>
      </c>
      <c r="W630" s="87">
        <f>ROUNDUP(商品マスタ[[#This Row],[仕入単価+国内送料]]/0.85,-1)</f>
        <v>650</v>
      </c>
      <c r="X630" s="134">
        <f>商品マスタ[[#This Row],[国内定価
（15％）]]-商品マスタ[[#This Row],[仕入単価+国内送料]]</f>
        <v>100</v>
      </c>
      <c r="Y630" s="139">
        <v>0.08</v>
      </c>
      <c r="Z630" s="87"/>
      <c r="AA630" s="87" t="s">
        <v>1670</v>
      </c>
      <c r="AB630" s="87"/>
      <c r="AC630" s="140"/>
      <c r="AD630" s="87" t="s">
        <v>1839</v>
      </c>
      <c r="AE630" s="87"/>
      <c r="AF630" s="87"/>
      <c r="AG630" s="141"/>
    </row>
    <row r="631" spans="1:33" ht="18">
      <c r="A631" s="166" t="s">
        <v>1519</v>
      </c>
      <c r="B631" s="167" t="s">
        <v>1235</v>
      </c>
      <c r="C631" s="167" t="s">
        <v>1826</v>
      </c>
      <c r="D631" s="143" t="str">
        <f>"PRD_SNJ_"&amp;
_xlfn.XLOOKUP(商品マスタ[[#This Row],[仕入先]],テーブル1[仕入先名],テーブル1[仕入先コード],"XXX",0,1)&amp;
"_"&amp;
商品マスタ[[#This Row],[シリアル]]&amp;
"_"&amp;
TEXT(COUNTIFS(商品マスタ!$C$3:C631,商品マスタ[[#This Row],[仕入先]],商品マスタ!$E$3:E631,商品マスタ[[#This Row],[商品名]]), "00")</f>
        <v>PRD_SNJ_MTS_0002_01</v>
      </c>
      <c r="E631" s="87" t="s">
        <v>1828</v>
      </c>
      <c r="F631" s="87">
        <f>IF(COUNTIFS($C$3:C631,商品マスタ[[#This Row],[仕入先]],$E$3:E631,商品マスタ[[#This Row],[商品名]]) = 1, 1,0)</f>
        <v>1</v>
      </c>
      <c r="G631" s="133" t="str">
        <f>TEXT(SUMIF($C$3:C631,商品マスタ[[#This Row],[仕入先]],$F$3:F631), "0000")</f>
        <v>0002</v>
      </c>
      <c r="H631" s="87" t="s">
        <v>365</v>
      </c>
      <c r="I631" s="87" t="s">
        <v>1835</v>
      </c>
      <c r="J631" s="87"/>
      <c r="K631" s="87"/>
      <c r="L631" s="134">
        <v>550</v>
      </c>
      <c r="M631" s="157">
        <v>46056</v>
      </c>
      <c r="N631" s="134"/>
      <c r="O631" s="135" t="str">
        <f>IF(COUNT(商品マスタ[[#This Row],[参考上代
（税込)]]) &gt; 0, (商品マスタ[[#This Row],[参考上代
（税込)]]-商品マスタ[[#This Row],[国内定価
（15％）]])/(商品マスタ[[#This Row],[参考上代
（税込)]]/1.08), "")</f>
        <v/>
      </c>
      <c r="P631" s="136">
        <v>0.1</v>
      </c>
      <c r="Q631" s="134">
        <f>商品マスタ[[#This Row],[仕入
単価]]*商品マスタ[[#This Row],[標準国内送料率]]</f>
        <v>55</v>
      </c>
      <c r="R631" s="134"/>
      <c r="S631" s="134">
        <f>IF(ISBLANK(商品マスタ[[#This Row],[実績
国内送料]]),商品マスタ[[#This Row],[標準国内送料]],)</f>
        <v>55</v>
      </c>
      <c r="T631" s="134">
        <f>商品マスタ[[#This Row],[仕入
単価]]+商品マスタ[[#This Row],[国内送料]]</f>
        <v>605</v>
      </c>
      <c r="U631" s="134">
        <f>ROUNDUP(商品マスタ[[#This Row],[仕入単価+国内送料]]/0.8,-1)</f>
        <v>760</v>
      </c>
      <c r="V631" s="134">
        <f>商品マスタ[[#This Row],[海外定価
（20％）]]-商品マスタ[[#This Row],[仕入単価+国内送料]]</f>
        <v>155</v>
      </c>
      <c r="W631" s="87">
        <f>ROUNDUP(商品マスタ[[#This Row],[仕入単価+国内送料]]/0.85,-1)</f>
        <v>720</v>
      </c>
      <c r="X631" s="134">
        <f>商品マスタ[[#This Row],[国内定価
（15％）]]-商品マスタ[[#This Row],[仕入単価+国内送料]]</f>
        <v>115</v>
      </c>
      <c r="Y631" s="139">
        <v>0.08</v>
      </c>
      <c r="Z631" s="87"/>
      <c r="AA631" s="87" t="s">
        <v>1670</v>
      </c>
      <c r="AB631" s="87"/>
      <c r="AC631" s="140"/>
      <c r="AD631" s="87" t="s">
        <v>1840</v>
      </c>
      <c r="AE631" s="87"/>
      <c r="AF631" s="87"/>
      <c r="AG631" s="141"/>
    </row>
    <row r="632" spans="1:33" ht="18">
      <c r="A632" s="166" t="s">
        <v>1519</v>
      </c>
      <c r="B632" s="167" t="s">
        <v>1235</v>
      </c>
      <c r="C632" s="167" t="s">
        <v>1826</v>
      </c>
      <c r="D632" s="143" t="str">
        <f>"PRD_SNJ_"&amp;
_xlfn.XLOOKUP(商品マスタ[[#This Row],[仕入先]],テーブル1[仕入先名],テーブル1[仕入先コード],"XXX",0,1)&amp;
"_"&amp;
商品マスタ[[#This Row],[シリアル]]&amp;
"_"&amp;
TEXT(COUNTIFS(商品マスタ!$C$3:C632,商品マスタ[[#This Row],[仕入先]],商品マスタ!$E$3:E632,商品マスタ[[#This Row],[商品名]]), "00")</f>
        <v>PRD_SNJ_MTS_0003_01</v>
      </c>
      <c r="E632" s="87" t="s">
        <v>1951</v>
      </c>
      <c r="F632" s="87">
        <f>IF(COUNTIFS($C$3:C632,商品マスタ[[#This Row],[仕入先]],$E$3:E632,商品マスタ[[#This Row],[商品名]]) = 1, 1,0)</f>
        <v>1</v>
      </c>
      <c r="G632" s="133" t="str">
        <f>TEXT(SUMIF($C$3:C632,商品マスタ[[#This Row],[仕入先]],$F$3:F632), "0000")</f>
        <v>0003</v>
      </c>
      <c r="H632" s="87" t="s">
        <v>365</v>
      </c>
      <c r="I632" s="87" t="s">
        <v>1835</v>
      </c>
      <c r="J632" s="87"/>
      <c r="K632" s="87"/>
      <c r="L632" s="134">
        <v>440</v>
      </c>
      <c r="M632" s="157">
        <v>46092</v>
      </c>
      <c r="N632" s="134"/>
      <c r="O632" s="135" t="str">
        <f>IF(COUNT(商品マスタ[[#This Row],[参考上代
（税込)]]) &gt; 0, (商品マスタ[[#This Row],[参考上代
（税込)]]-商品マスタ[[#This Row],[国内定価
（15％）]])/(商品マスタ[[#This Row],[参考上代
（税込)]]/1.08), "")</f>
        <v/>
      </c>
      <c r="P632" s="136">
        <v>0.1</v>
      </c>
      <c r="Q632" s="134">
        <f>商品マスタ[[#This Row],[仕入
単価]]*商品マスタ[[#This Row],[標準国内送料率]]</f>
        <v>44</v>
      </c>
      <c r="R632" s="134"/>
      <c r="S632" s="134">
        <f>IF(ISBLANK(商品マスタ[[#This Row],[実績
国内送料]]),商品マスタ[[#This Row],[標準国内送料]],)</f>
        <v>44</v>
      </c>
      <c r="T632" s="134">
        <f>商品マスタ[[#This Row],[仕入
単価]]+商品マスタ[[#This Row],[国内送料]]</f>
        <v>484</v>
      </c>
      <c r="U632" s="134">
        <f>ROUNDUP(商品マスタ[[#This Row],[仕入単価+国内送料]]/0.8,-1)</f>
        <v>610</v>
      </c>
      <c r="V632" s="134">
        <f>商品マスタ[[#This Row],[海外定価
（20％）]]-商品マスタ[[#This Row],[仕入単価+国内送料]]</f>
        <v>126</v>
      </c>
      <c r="W632" s="87">
        <f>ROUNDUP(商品マスタ[[#This Row],[仕入単価+国内送料]]/0.85,-1)</f>
        <v>570</v>
      </c>
      <c r="X632" s="134">
        <f>商品マスタ[[#This Row],[国内定価
（15％）]]-商品マスタ[[#This Row],[仕入単価+国内送料]]</f>
        <v>86</v>
      </c>
      <c r="Y632" s="139">
        <v>0.08</v>
      </c>
      <c r="Z632" s="87"/>
      <c r="AA632" s="87"/>
      <c r="AB632" s="87"/>
      <c r="AC632" s="140"/>
      <c r="AD632" s="87"/>
      <c r="AE632" s="87"/>
      <c r="AF632" s="87"/>
      <c r="AG632" s="141"/>
    </row>
    <row r="633" spans="1:33" ht="18">
      <c r="A633" s="166" t="s">
        <v>1521</v>
      </c>
      <c r="B633" s="167" t="s">
        <v>1517</v>
      </c>
      <c r="C633" s="167" t="s">
        <v>1826</v>
      </c>
      <c r="D633" s="143" t="str">
        <f>"PRD_SNJ_"&amp;
_xlfn.XLOOKUP(商品マスタ[[#This Row],[仕入先]],テーブル1[仕入先名],テーブル1[仕入先コード],"XXX",0,1)&amp;
"_"&amp;
商品マスタ[[#This Row],[シリアル]]&amp;
"_"&amp;
TEXT(COUNTIFS(商品マスタ!$C$3:C633,商品マスタ[[#This Row],[仕入先]],商品マスタ!$E$3:E633,商品マスタ[[#This Row],[商品名]]), "00")</f>
        <v>PRD_SNJ_MTS_0004_01</v>
      </c>
      <c r="E633" s="87" t="s">
        <v>1829</v>
      </c>
      <c r="F633" s="87">
        <f>IF(COUNTIFS($C$3:C633,商品マスタ[[#This Row],[仕入先]],$E$3:E633,商品マスタ[[#This Row],[商品名]]) = 1, 1,0)</f>
        <v>1</v>
      </c>
      <c r="G633" s="133" t="str">
        <f>TEXT(SUMIF($C$3:C633,商品マスタ[[#This Row],[仕入先]],$F$3:F633), "0000")</f>
        <v>0004</v>
      </c>
      <c r="H633" s="87" t="s">
        <v>1836</v>
      </c>
      <c r="I633" s="87" t="s">
        <v>1837</v>
      </c>
      <c r="J633" s="87"/>
      <c r="K633" s="87"/>
      <c r="L633" s="134">
        <v>900</v>
      </c>
      <c r="M633" s="157">
        <v>46056</v>
      </c>
      <c r="N633" s="134"/>
      <c r="O633" s="135" t="str">
        <f>IF(COUNT(商品マスタ[[#This Row],[参考上代
（税込)]]) &gt; 0, (商品マスタ[[#This Row],[参考上代
（税込)]]-商品マスタ[[#This Row],[国内定価
（15％）]])/(商品マスタ[[#This Row],[参考上代
（税込)]]/1.08), "")</f>
        <v/>
      </c>
      <c r="P633" s="136">
        <v>0.1</v>
      </c>
      <c r="Q633" s="134">
        <f>商品マスタ[[#This Row],[仕入
単価]]*商品マスタ[[#This Row],[標準国内送料率]]</f>
        <v>90</v>
      </c>
      <c r="R633" s="134"/>
      <c r="S633" s="134">
        <f>IF(ISBLANK(商品マスタ[[#This Row],[実績
国内送料]]),商品マスタ[[#This Row],[標準国内送料]],)</f>
        <v>90</v>
      </c>
      <c r="T633" s="134">
        <f>商品マスタ[[#This Row],[仕入
単価]]+商品マスタ[[#This Row],[国内送料]]</f>
        <v>990</v>
      </c>
      <c r="U633" s="134">
        <f>ROUNDUP(商品マスタ[[#This Row],[仕入単価+国内送料]]/0.8,-1)</f>
        <v>1240</v>
      </c>
      <c r="V633" s="134">
        <f>商品マスタ[[#This Row],[海外定価
（20％）]]-商品マスタ[[#This Row],[仕入単価+国内送料]]</f>
        <v>250</v>
      </c>
      <c r="W633" s="87">
        <f>ROUNDUP(商品マスタ[[#This Row],[仕入単価+国内送料]]/0.85,-1)</f>
        <v>1170</v>
      </c>
      <c r="X633" s="134">
        <f>商品マスタ[[#This Row],[国内定価
（15％）]]-商品マスタ[[#This Row],[仕入単価+国内送料]]</f>
        <v>180</v>
      </c>
      <c r="Y633" s="139">
        <v>0.08</v>
      </c>
      <c r="Z633" s="87"/>
      <c r="AA633" s="87" t="s">
        <v>960</v>
      </c>
      <c r="AB633" s="87"/>
      <c r="AC633" s="140"/>
      <c r="AD633" s="87" t="s">
        <v>1841</v>
      </c>
      <c r="AE633" s="87"/>
      <c r="AF633" s="87"/>
      <c r="AG633" s="141"/>
    </row>
    <row r="634" spans="1:33" ht="18">
      <c r="A634" s="166" t="s">
        <v>1521</v>
      </c>
      <c r="B634" s="167" t="s">
        <v>1517</v>
      </c>
      <c r="C634" s="167" t="s">
        <v>1826</v>
      </c>
      <c r="D634" s="143" t="str">
        <f>"PRD_SNJ_"&amp;
_xlfn.XLOOKUP(商品マスタ[[#This Row],[仕入先]],テーブル1[仕入先名],テーブル1[仕入先コード],"XXX",0,1)&amp;
"_"&amp;
商品マスタ[[#This Row],[シリアル]]&amp;
"_"&amp;
TEXT(COUNTIFS(商品マスタ!$C$3:C634,商品マスタ[[#This Row],[仕入先]],商品マスタ!$E$3:E634,商品マスタ[[#This Row],[商品名]]), "00")</f>
        <v>PRD_SNJ_MTS_0005_01</v>
      </c>
      <c r="E634" s="87" t="s">
        <v>1830</v>
      </c>
      <c r="F634" s="87">
        <f>IF(COUNTIFS($C$3:C634,商品マスタ[[#This Row],[仕入先]],$E$3:E634,商品マスタ[[#This Row],[商品名]]) = 1, 1,0)</f>
        <v>1</v>
      </c>
      <c r="G634" s="133" t="str">
        <f>TEXT(SUMIF($C$3:C634,商品マスタ[[#This Row],[仕入先]],$F$3:F634), "0000")</f>
        <v>0005</v>
      </c>
      <c r="H634" s="87" t="s">
        <v>424</v>
      </c>
      <c r="I634" s="87"/>
      <c r="J634" s="87"/>
      <c r="K634" s="87"/>
      <c r="L634" s="134">
        <v>800</v>
      </c>
      <c r="M634" s="157">
        <v>46056</v>
      </c>
      <c r="N634" s="134"/>
      <c r="O634" s="135" t="str">
        <f>IF(COUNT(商品マスタ[[#This Row],[参考上代
（税込)]]) &gt; 0, (商品マスタ[[#This Row],[参考上代
（税込)]]-商品マスタ[[#This Row],[国内定価
（15％）]])/(商品マスタ[[#This Row],[参考上代
（税込)]]/1.08), "")</f>
        <v/>
      </c>
      <c r="P634" s="136">
        <v>0.1</v>
      </c>
      <c r="Q634" s="134">
        <f>商品マスタ[[#This Row],[仕入
単価]]*商品マスタ[[#This Row],[標準国内送料率]]</f>
        <v>80</v>
      </c>
      <c r="R634" s="134"/>
      <c r="S634" s="134">
        <f>IF(ISBLANK(商品マスタ[[#This Row],[実績
国内送料]]),商品マスタ[[#This Row],[標準国内送料]],)</f>
        <v>80</v>
      </c>
      <c r="T634" s="134">
        <f>商品マスタ[[#This Row],[仕入
単価]]+商品マスタ[[#This Row],[国内送料]]</f>
        <v>880</v>
      </c>
      <c r="U634" s="134">
        <f>ROUNDUP(商品マスタ[[#This Row],[仕入単価+国内送料]]/0.8,-1)</f>
        <v>1100</v>
      </c>
      <c r="V634" s="134">
        <f>商品マスタ[[#This Row],[海外定価
（20％）]]-商品マスタ[[#This Row],[仕入単価+国内送料]]</f>
        <v>220</v>
      </c>
      <c r="W634" s="87">
        <f>ROUNDUP(商品マスタ[[#This Row],[仕入単価+国内送料]]/0.85,-1)</f>
        <v>1040</v>
      </c>
      <c r="X634" s="134">
        <f>商品マスタ[[#This Row],[国内定価
（15％）]]-商品マスタ[[#This Row],[仕入単価+国内送料]]</f>
        <v>160</v>
      </c>
      <c r="Y634" s="139">
        <v>0.08</v>
      </c>
      <c r="Z634" s="87"/>
      <c r="AA634" s="87" t="s">
        <v>960</v>
      </c>
      <c r="AB634" s="87"/>
      <c r="AC634" s="140"/>
      <c r="AD634" s="87"/>
      <c r="AE634" s="87"/>
      <c r="AF634" s="87"/>
      <c r="AG634" s="141"/>
    </row>
    <row r="635" spans="1:33" ht="18">
      <c r="A635" s="166" t="s">
        <v>1521</v>
      </c>
      <c r="B635" s="167" t="s">
        <v>1517</v>
      </c>
      <c r="C635" s="167" t="s">
        <v>1826</v>
      </c>
      <c r="D635" s="143" t="str">
        <f>"PRD_SNJ_"&amp;
_xlfn.XLOOKUP(商品マスタ[[#This Row],[仕入先]],テーブル1[仕入先名],テーブル1[仕入先コード],"XXX",0,1)&amp;
"_"&amp;
商品マスタ[[#This Row],[シリアル]]&amp;
"_"&amp;
TEXT(COUNTIFS(商品マスタ!$C$3:C635,商品マスタ[[#This Row],[仕入先]],商品マスタ!$E$3:E635,商品マスタ[[#This Row],[商品名]]), "00")</f>
        <v>PRD_SNJ_MTS_0006_01</v>
      </c>
      <c r="E635" s="87" t="s">
        <v>1831</v>
      </c>
      <c r="F635" s="87">
        <f>IF(COUNTIFS($C$3:C635,商品マスタ[[#This Row],[仕入先]],$E$3:E635,商品マスタ[[#This Row],[商品名]]) = 1, 1,0)</f>
        <v>1</v>
      </c>
      <c r="G635" s="133" t="str">
        <f>TEXT(SUMIF($C$3:C635,商品マスタ[[#This Row],[仕入先]],$F$3:F635), "0000")</f>
        <v>0006</v>
      </c>
      <c r="H635" s="87" t="s">
        <v>424</v>
      </c>
      <c r="I635" s="87"/>
      <c r="J635" s="87"/>
      <c r="K635" s="87"/>
      <c r="L635" s="134">
        <v>800</v>
      </c>
      <c r="M635" s="157">
        <v>46056</v>
      </c>
      <c r="N635" s="134"/>
      <c r="O635" s="135" t="str">
        <f>IF(COUNT(商品マスタ[[#This Row],[参考上代
（税込)]]) &gt; 0, (商品マスタ[[#This Row],[参考上代
（税込)]]-商品マスタ[[#This Row],[国内定価
（15％）]])/(商品マスタ[[#This Row],[参考上代
（税込)]]/1.08), "")</f>
        <v/>
      </c>
      <c r="P635" s="136">
        <v>0.1</v>
      </c>
      <c r="Q635" s="134">
        <f>商品マスタ[[#This Row],[仕入
単価]]*商品マスタ[[#This Row],[標準国内送料率]]</f>
        <v>80</v>
      </c>
      <c r="R635" s="134"/>
      <c r="S635" s="134">
        <f>IF(ISBLANK(商品マスタ[[#This Row],[実績
国内送料]]),商品マスタ[[#This Row],[標準国内送料]],)</f>
        <v>80</v>
      </c>
      <c r="T635" s="134">
        <f>商品マスタ[[#This Row],[仕入
単価]]+商品マスタ[[#This Row],[国内送料]]</f>
        <v>880</v>
      </c>
      <c r="U635" s="134">
        <f>ROUNDUP(商品マスタ[[#This Row],[仕入単価+国内送料]]/0.8,-1)</f>
        <v>1100</v>
      </c>
      <c r="V635" s="134">
        <f>商品マスタ[[#This Row],[海外定価
（20％）]]-商品マスタ[[#This Row],[仕入単価+国内送料]]</f>
        <v>220</v>
      </c>
      <c r="W635" s="87">
        <f>ROUNDUP(商品マスタ[[#This Row],[仕入単価+国内送料]]/0.85,-1)</f>
        <v>1040</v>
      </c>
      <c r="X635" s="134">
        <f>商品マスタ[[#This Row],[国内定価
（15％）]]-商品マスタ[[#This Row],[仕入単価+国内送料]]</f>
        <v>160</v>
      </c>
      <c r="Y635" s="139">
        <v>0.08</v>
      </c>
      <c r="Z635" s="87"/>
      <c r="AA635" s="87" t="s">
        <v>960</v>
      </c>
      <c r="AB635" s="87"/>
      <c r="AC635" s="140"/>
      <c r="AD635" s="87"/>
      <c r="AE635" s="87"/>
      <c r="AF635" s="87"/>
      <c r="AG635" s="141"/>
    </row>
    <row r="636" spans="1:33" ht="18">
      <c r="A636" s="166" t="s">
        <v>1521</v>
      </c>
      <c r="B636" s="167" t="s">
        <v>1517</v>
      </c>
      <c r="C636" s="167" t="s">
        <v>1826</v>
      </c>
      <c r="D636" s="143" t="str">
        <f>"PRD_SNJ_"&amp;
_xlfn.XLOOKUP(商品マスタ[[#This Row],[仕入先]],テーブル1[仕入先名],テーブル1[仕入先コード],"XXX",0,1)&amp;
"_"&amp;
商品マスタ[[#This Row],[シリアル]]&amp;
"_"&amp;
TEXT(COUNTIFS(商品マスタ!$C$3:C636,商品マスタ[[#This Row],[仕入先]],商品マスタ!$E$3:E636,商品マスタ[[#This Row],[商品名]]), "00")</f>
        <v>PRD_SNJ_MTS_0007_01</v>
      </c>
      <c r="E636" s="87" t="s">
        <v>1832</v>
      </c>
      <c r="F636" s="87">
        <f>IF(COUNTIFS($C$3:C636,商品マスタ[[#This Row],[仕入先]],$E$3:E636,商品マスタ[[#This Row],[商品名]]) = 1, 1,0)</f>
        <v>1</v>
      </c>
      <c r="G636" s="133" t="str">
        <f>TEXT(SUMIF($C$3:C636,商品マスタ[[#This Row],[仕入先]],$F$3:F636), "0000")</f>
        <v>0007</v>
      </c>
      <c r="H636" s="87" t="s">
        <v>424</v>
      </c>
      <c r="I636" s="87"/>
      <c r="J636" s="87"/>
      <c r="K636" s="87"/>
      <c r="L636" s="134">
        <v>800</v>
      </c>
      <c r="M636" s="157">
        <v>46056</v>
      </c>
      <c r="N636" s="134"/>
      <c r="O636" s="135" t="str">
        <f>IF(COUNT(商品マスタ[[#This Row],[参考上代
（税込)]]) &gt; 0, (商品マスタ[[#This Row],[参考上代
（税込)]]-商品マスタ[[#This Row],[国内定価
（15％）]])/(商品マスタ[[#This Row],[参考上代
（税込)]]/1.08), "")</f>
        <v/>
      </c>
      <c r="P636" s="136">
        <v>0.1</v>
      </c>
      <c r="Q636" s="134">
        <f>商品マスタ[[#This Row],[仕入
単価]]*商品マスタ[[#This Row],[標準国内送料率]]</f>
        <v>80</v>
      </c>
      <c r="R636" s="134"/>
      <c r="S636" s="134">
        <f>IF(ISBLANK(商品マスタ[[#This Row],[実績
国内送料]]),商品マスタ[[#This Row],[標準国内送料]],)</f>
        <v>80</v>
      </c>
      <c r="T636" s="134">
        <f>商品マスタ[[#This Row],[仕入
単価]]+商品マスタ[[#This Row],[国内送料]]</f>
        <v>880</v>
      </c>
      <c r="U636" s="134">
        <f>ROUNDUP(商品マスタ[[#This Row],[仕入単価+国内送料]]/0.8,-1)</f>
        <v>1100</v>
      </c>
      <c r="V636" s="134">
        <f>商品マスタ[[#This Row],[海外定価
（20％）]]-商品マスタ[[#This Row],[仕入単価+国内送料]]</f>
        <v>220</v>
      </c>
      <c r="W636" s="87">
        <f>ROUNDUP(商品マスタ[[#This Row],[仕入単価+国内送料]]/0.85,-1)</f>
        <v>1040</v>
      </c>
      <c r="X636" s="134">
        <f>商品マスタ[[#This Row],[国内定価
（15％）]]-商品マスタ[[#This Row],[仕入単価+国内送料]]</f>
        <v>160</v>
      </c>
      <c r="Y636" s="139">
        <v>0.08</v>
      </c>
      <c r="Z636" s="87"/>
      <c r="AA636" s="87" t="s">
        <v>960</v>
      </c>
      <c r="AB636" s="87"/>
      <c r="AC636" s="140"/>
      <c r="AD636" s="87" t="s">
        <v>1842</v>
      </c>
      <c r="AE636" s="87"/>
      <c r="AF636" s="87"/>
      <c r="AG636" s="141"/>
    </row>
    <row r="637" spans="1:33" ht="18">
      <c r="A637" s="166" t="s">
        <v>1520</v>
      </c>
      <c r="B637" s="167" t="s">
        <v>1821</v>
      </c>
      <c r="C637" s="167" t="s">
        <v>1826</v>
      </c>
      <c r="D637" s="143" t="str">
        <f>"PRD_SNJ_"&amp;
_xlfn.XLOOKUP(商品マスタ[[#This Row],[仕入先]],テーブル1[仕入先名],テーブル1[仕入先コード],"XXX",0,1)&amp;
"_"&amp;
商品マスタ[[#This Row],[シリアル]]&amp;
"_"&amp;
TEXT(COUNTIFS(商品マスタ!$C$3:C637,商品マスタ[[#This Row],[仕入先]],商品マスタ!$E$3:E637,商品マスタ[[#This Row],[商品名]]), "00")</f>
        <v>PRD_SNJ_MTS_0008_01</v>
      </c>
      <c r="E637" s="87" t="s">
        <v>1833</v>
      </c>
      <c r="F637" s="87">
        <f>IF(COUNTIFS($C$3:C637,商品マスタ[[#This Row],[仕入先]],$E$3:E637,商品マスタ[[#This Row],[商品名]]) = 1, 1,0)</f>
        <v>1</v>
      </c>
      <c r="G637" s="133" t="str">
        <f>TEXT(SUMIF($C$3:C637,商品マスタ[[#This Row],[仕入先]],$F$3:F637), "0000")</f>
        <v>0008</v>
      </c>
      <c r="H637" s="87" t="s">
        <v>1009</v>
      </c>
      <c r="I637" s="87" t="s">
        <v>1838</v>
      </c>
      <c r="J637" s="87"/>
      <c r="K637" s="87"/>
      <c r="L637" s="134">
        <v>700</v>
      </c>
      <c r="M637" s="157">
        <v>46056</v>
      </c>
      <c r="N637" s="134"/>
      <c r="O637" s="135" t="str">
        <f>IF(COUNT(商品マスタ[[#This Row],[参考上代
（税込)]]) &gt; 0, (商品マスタ[[#This Row],[参考上代
（税込)]]-商品マスタ[[#This Row],[国内定価
（15％）]])/(商品マスタ[[#This Row],[参考上代
（税込)]]/1.08), "")</f>
        <v/>
      </c>
      <c r="P637" s="136">
        <v>0.1</v>
      </c>
      <c r="Q637" s="134">
        <f>商品マスタ[[#This Row],[仕入
単価]]*商品マスタ[[#This Row],[標準国内送料率]]</f>
        <v>70</v>
      </c>
      <c r="R637" s="134"/>
      <c r="S637" s="134">
        <f>IF(ISBLANK(商品マスタ[[#This Row],[実績
国内送料]]),商品マスタ[[#This Row],[標準国内送料]],)</f>
        <v>70</v>
      </c>
      <c r="T637" s="134">
        <f>商品マスタ[[#This Row],[仕入
単価]]+商品マスタ[[#This Row],[国内送料]]</f>
        <v>770</v>
      </c>
      <c r="U637" s="134">
        <f>ROUNDUP(商品マスタ[[#This Row],[仕入単価+国内送料]]/0.8,-1)</f>
        <v>970</v>
      </c>
      <c r="V637" s="134">
        <f>商品マスタ[[#This Row],[海外定価
（20％）]]-商品マスタ[[#This Row],[仕入単価+国内送料]]</f>
        <v>200</v>
      </c>
      <c r="W637" s="87">
        <f>ROUNDUP(商品マスタ[[#This Row],[仕入単価+国内送料]]/0.85,-1)</f>
        <v>910</v>
      </c>
      <c r="X637" s="134">
        <f>商品マスタ[[#This Row],[国内定価
（15％）]]-商品マスタ[[#This Row],[仕入単価+国内送料]]</f>
        <v>140</v>
      </c>
      <c r="Y637" s="139">
        <v>0.08</v>
      </c>
      <c r="Z637" s="87"/>
      <c r="AA637" s="87" t="s">
        <v>960</v>
      </c>
      <c r="AB637" s="87"/>
      <c r="AC637" s="140"/>
      <c r="AD637" s="87"/>
      <c r="AE637" s="87"/>
      <c r="AF637" s="87"/>
      <c r="AG637" s="141"/>
    </row>
    <row r="638" spans="1:33" ht="18">
      <c r="A638" s="166" t="s">
        <v>1521</v>
      </c>
      <c r="B638" s="167" t="s">
        <v>1517</v>
      </c>
      <c r="C638" s="167" t="s">
        <v>34</v>
      </c>
      <c r="D638" s="143" t="str">
        <f>"PRD_SNJ_"&amp;
_xlfn.XLOOKUP(商品マスタ[[#This Row],[仕入先]],テーブル1[仕入先名],テーブル1[仕入先コード],"XXX",0,1)&amp;
"_"&amp;
商品マスタ[[#This Row],[シリアル]]&amp;
"_"&amp;
TEXT(COUNTIFS(商品マスタ!$C$3:C638,商品マスタ[[#This Row],[仕入先]],商品マスタ!$E$3:E638,商品マスタ[[#This Row],[商品名]]), "00")</f>
        <v>PRD_SNJ_VGW_0001_01</v>
      </c>
      <c r="E638" s="87" t="s">
        <v>1845</v>
      </c>
      <c r="F638" s="87">
        <f>IF(COUNTIFS($C$3:C638,商品マスタ[[#This Row],[仕入先]],$E$3:E638,商品マスタ[[#This Row],[商品名]]) = 1, 1,0)</f>
        <v>1</v>
      </c>
      <c r="G638" s="133" t="str">
        <f>TEXT(SUMIF($C$3:C638,商品マスタ[[#This Row],[仕入先]],$F$3:F638), "0000")</f>
        <v>0001</v>
      </c>
      <c r="H638" s="87" t="s">
        <v>1737</v>
      </c>
      <c r="I638" s="87" t="s">
        <v>367</v>
      </c>
      <c r="J638" s="87" t="s">
        <v>1848</v>
      </c>
      <c r="K638" s="87" t="s">
        <v>1848</v>
      </c>
      <c r="L638" s="134">
        <v>310</v>
      </c>
      <c r="M638" s="157">
        <v>45663</v>
      </c>
      <c r="N638" s="134"/>
      <c r="O638" s="135" t="str">
        <f>IF(COUNT(商品マスタ[[#This Row],[参考上代
（税込)]]) &gt; 0, (商品マスタ[[#This Row],[参考上代
（税込)]]-商品マスタ[[#This Row],[国内定価
（15％）]])/(商品マスタ[[#This Row],[参考上代
（税込)]]/1.08), "")</f>
        <v/>
      </c>
      <c r="P638" s="136">
        <v>0.1</v>
      </c>
      <c r="Q638" s="134">
        <f>商品マスタ[[#This Row],[仕入
単価]]*商品マスタ[[#This Row],[標準国内送料率]]</f>
        <v>31</v>
      </c>
      <c r="R638" s="134"/>
      <c r="S638" s="134">
        <f>IF(ISBLANK(商品マスタ[[#This Row],[実績
国内送料]]),商品マスタ[[#This Row],[標準国内送料]],)</f>
        <v>31</v>
      </c>
      <c r="T638" s="134">
        <f>商品マスタ[[#This Row],[仕入
単価]]+商品マスタ[[#This Row],[国内送料]]</f>
        <v>341</v>
      </c>
      <c r="U638" s="134">
        <f>ROUNDUP(商品マスタ[[#This Row],[仕入単価+国内送料]]/0.8,-1)</f>
        <v>430</v>
      </c>
      <c r="V638" s="134">
        <f>商品マスタ[[#This Row],[海外定価
（20％）]]-商品マスタ[[#This Row],[仕入単価+国内送料]]</f>
        <v>89</v>
      </c>
      <c r="W638" s="87">
        <f>ROUNDUP(商品マスタ[[#This Row],[仕入単価+国内送料]]/0.85,-1)</f>
        <v>410</v>
      </c>
      <c r="X638" s="134">
        <f>商品マスタ[[#This Row],[国内定価
（15％）]]-商品マスタ[[#This Row],[仕入単価+国内送料]]</f>
        <v>69</v>
      </c>
      <c r="Y638" s="139">
        <v>0.08</v>
      </c>
      <c r="Z638" s="87"/>
      <c r="AA638" s="87" t="s">
        <v>960</v>
      </c>
      <c r="AB638" s="87"/>
      <c r="AC638" s="140"/>
      <c r="AD638" s="87" t="s">
        <v>1851</v>
      </c>
      <c r="AE638" s="87"/>
      <c r="AF638" s="87"/>
      <c r="AG638" s="141" t="s">
        <v>1852</v>
      </c>
    </row>
    <row r="639" spans="1:33" ht="18">
      <c r="A639" s="166" t="s">
        <v>1521</v>
      </c>
      <c r="B639" s="167" t="s">
        <v>1517</v>
      </c>
      <c r="C639" s="167" t="s">
        <v>34</v>
      </c>
      <c r="D639" s="143" t="str">
        <f>"PRD_SNJ_"&amp;
_xlfn.XLOOKUP(商品マスタ[[#This Row],[仕入先]],テーブル1[仕入先名],テーブル1[仕入先コード],"XXX",0,1)&amp;
"_"&amp;
商品マスタ[[#This Row],[シリアル]]&amp;
"_"&amp;
TEXT(COUNTIFS(商品マスタ!$C$3:C639,商品マスタ[[#This Row],[仕入先]],商品マスタ!$E$3:E639,商品マスタ[[#This Row],[商品名]]), "00")</f>
        <v>PRD_SNJ_VGW_0002_01</v>
      </c>
      <c r="E639" s="87" t="s">
        <v>1846</v>
      </c>
      <c r="F639" s="87">
        <f>IF(COUNTIFS($C$3:C639,商品マスタ[[#This Row],[仕入先]],$E$3:E639,商品マスタ[[#This Row],[商品名]]) = 1, 1,0)</f>
        <v>1</v>
      </c>
      <c r="G639" s="133" t="str">
        <f>TEXT(SUMIF($C$3:C639,商品マスタ[[#This Row],[仕入先]],$F$3:F639), "0000")</f>
        <v>0002</v>
      </c>
      <c r="H639" s="87" t="s">
        <v>900</v>
      </c>
      <c r="I639" s="87" t="s">
        <v>462</v>
      </c>
      <c r="J639" s="87" t="s">
        <v>1849</v>
      </c>
      <c r="K639" s="87" t="s">
        <v>1849</v>
      </c>
      <c r="L639" s="134">
        <v>340</v>
      </c>
      <c r="M639" s="157">
        <v>45663</v>
      </c>
      <c r="N639" s="134"/>
      <c r="O639" s="135" t="str">
        <f>IF(COUNT(商品マスタ[[#This Row],[参考上代
（税込)]]) &gt; 0, (商品マスタ[[#This Row],[参考上代
（税込)]]-商品マスタ[[#This Row],[国内定価
（15％）]])/(商品マスタ[[#This Row],[参考上代
（税込)]]/1.08), "")</f>
        <v/>
      </c>
      <c r="P639" s="136">
        <v>0.1</v>
      </c>
      <c r="Q639" s="134">
        <f>商品マスタ[[#This Row],[仕入
単価]]*商品マスタ[[#This Row],[標準国内送料率]]</f>
        <v>34</v>
      </c>
      <c r="R639" s="134"/>
      <c r="S639" s="134">
        <f>IF(ISBLANK(商品マスタ[[#This Row],[実績
国内送料]]),商品マスタ[[#This Row],[標準国内送料]],)</f>
        <v>34</v>
      </c>
      <c r="T639" s="134">
        <f>商品マスタ[[#This Row],[仕入
単価]]+商品マスタ[[#This Row],[国内送料]]</f>
        <v>374</v>
      </c>
      <c r="U639" s="134">
        <f>ROUNDUP(商品マスタ[[#This Row],[仕入単価+国内送料]]/0.8,-1)</f>
        <v>470</v>
      </c>
      <c r="V639" s="134">
        <f>商品マスタ[[#This Row],[海外定価
（20％）]]-商品マスタ[[#This Row],[仕入単価+国内送料]]</f>
        <v>96</v>
      </c>
      <c r="W639" s="87">
        <f>ROUNDUP(商品マスタ[[#This Row],[仕入単価+国内送料]]/0.85,-1)</f>
        <v>440</v>
      </c>
      <c r="X639" s="134">
        <f>商品マスタ[[#This Row],[国内定価
（15％）]]-商品マスタ[[#This Row],[仕入単価+国内送料]]</f>
        <v>66</v>
      </c>
      <c r="Y639" s="139">
        <v>0.08</v>
      </c>
      <c r="Z639" s="87"/>
      <c r="AA639" s="87" t="s">
        <v>960</v>
      </c>
      <c r="AB639" s="87"/>
      <c r="AC639" s="140"/>
      <c r="AD639" s="87" t="s">
        <v>1853</v>
      </c>
      <c r="AE639" s="87"/>
      <c r="AF639" s="87"/>
      <c r="AG639" s="141" t="s">
        <v>1854</v>
      </c>
    </row>
    <row r="640" spans="1:33" ht="18">
      <c r="A640" s="166" t="s">
        <v>1520</v>
      </c>
      <c r="B640" s="167" t="s">
        <v>1821</v>
      </c>
      <c r="C640" s="167" t="s">
        <v>34</v>
      </c>
      <c r="D640" s="143" t="str">
        <f>"PRD_SNJ_"&amp;
_xlfn.XLOOKUP(商品マスタ[[#This Row],[仕入先]],テーブル1[仕入先名],テーブル1[仕入先コード],"XXX",0,1)&amp;
"_"&amp;
商品マスタ[[#This Row],[シリアル]]&amp;
"_"&amp;
TEXT(COUNTIFS(商品マスタ!$C$3:C640,商品マスタ[[#This Row],[仕入先]],商品マスタ!$E$3:E640,商品マスタ[[#This Row],[商品名]]), "00")</f>
        <v>PRD_SNJ_VGW_0003_01</v>
      </c>
      <c r="E640" s="87" t="s">
        <v>1847</v>
      </c>
      <c r="F640" s="87">
        <f>IF(COUNTIFS($C$3:C640,商品マスタ[[#This Row],[仕入先]],$E$3:E640,商品マスタ[[#This Row],[商品名]]) = 1, 1,0)</f>
        <v>1</v>
      </c>
      <c r="G640" s="133" t="str">
        <f>TEXT(SUMIF($C$3:C640,商品マスタ[[#This Row],[仕入先]],$F$3:F640), "0000")</f>
        <v>0003</v>
      </c>
      <c r="H640" s="87" t="s">
        <v>1737</v>
      </c>
      <c r="I640" s="87" t="s">
        <v>367</v>
      </c>
      <c r="J640" s="87" t="s">
        <v>1850</v>
      </c>
      <c r="K640" s="87" t="s">
        <v>1850</v>
      </c>
      <c r="L640" s="134">
        <v>205</v>
      </c>
      <c r="M640" s="157">
        <v>45663</v>
      </c>
      <c r="N640" s="134"/>
      <c r="O640" s="135" t="str">
        <f>IF(COUNT(商品マスタ[[#This Row],[参考上代
（税込)]]) &gt; 0, (商品マスタ[[#This Row],[参考上代
（税込)]]-商品マスタ[[#This Row],[国内定価
（15％）]])/(商品マスタ[[#This Row],[参考上代
（税込)]]/1.08), "")</f>
        <v/>
      </c>
      <c r="P640" s="136">
        <v>0.1</v>
      </c>
      <c r="Q640" s="134">
        <f>商品マスタ[[#This Row],[仕入
単価]]*商品マスタ[[#This Row],[標準国内送料率]]</f>
        <v>20.5</v>
      </c>
      <c r="R640" s="134"/>
      <c r="S640" s="134">
        <f>IF(ISBLANK(商品マスタ[[#This Row],[実績
国内送料]]),商品マスタ[[#This Row],[標準国内送料]],)</f>
        <v>20.5</v>
      </c>
      <c r="T640" s="134">
        <f>商品マスタ[[#This Row],[仕入
単価]]+商品マスタ[[#This Row],[国内送料]]</f>
        <v>225.5</v>
      </c>
      <c r="U640" s="134">
        <f>ROUNDUP(商品マスタ[[#This Row],[仕入単価+国内送料]]/0.8,-1)</f>
        <v>290</v>
      </c>
      <c r="V640" s="134">
        <f>商品マスタ[[#This Row],[海外定価
（20％）]]-商品マスタ[[#This Row],[仕入単価+国内送料]]</f>
        <v>64.5</v>
      </c>
      <c r="W640" s="87">
        <f>ROUNDUP(商品マスタ[[#This Row],[仕入単価+国内送料]]/0.85,-1)</f>
        <v>270</v>
      </c>
      <c r="X640" s="134">
        <f>商品マスタ[[#This Row],[国内定価
（15％）]]-商品マスタ[[#This Row],[仕入単価+国内送料]]</f>
        <v>44.5</v>
      </c>
      <c r="Y640" s="139">
        <v>0.08</v>
      </c>
      <c r="Z640" s="87"/>
      <c r="AA640" s="87" t="s">
        <v>960</v>
      </c>
      <c r="AB640" s="87"/>
      <c r="AC640" s="140"/>
      <c r="AD640" s="87" t="s">
        <v>1855</v>
      </c>
      <c r="AE640" s="87"/>
      <c r="AF640" s="87"/>
      <c r="AG640" s="141" t="s">
        <v>1856</v>
      </c>
    </row>
    <row r="641" spans="1:33" ht="18">
      <c r="A641" s="166" t="s">
        <v>1521</v>
      </c>
      <c r="B641" s="167" t="s">
        <v>1517</v>
      </c>
      <c r="C641" s="167" t="s">
        <v>946</v>
      </c>
      <c r="D641" s="143" t="str">
        <f>"PRD_SNJ_"&amp;
_xlfn.XLOOKUP(商品マスタ[[#This Row],[仕入先]],テーブル1[仕入先名],テーブル1[仕入先コード],"XXX",0,1)&amp;
"_"&amp;
商品マスタ[[#This Row],[シリアル]]&amp;
"_"&amp;
TEXT(COUNTIFS(商品マスタ!$C$3:C641,商品マスタ[[#This Row],[仕入先]],商品マスタ!$E$3:E641,商品マスタ[[#This Row],[商品名]]), "00")</f>
        <v>PRD_SNJ_NVP_0002_01</v>
      </c>
      <c r="E641" s="87" t="s">
        <v>1886</v>
      </c>
      <c r="F641" s="87">
        <f>IF(COUNTIFS($C$3:C641,商品マスタ[[#This Row],[仕入先]],$E$3:E641,商品マスタ[[#This Row],[商品名]]) = 1, 1,0)</f>
        <v>1</v>
      </c>
      <c r="G641" s="133" t="str">
        <f>TEXT(SUMIF($C$3:C641,商品マスタ[[#This Row],[仕入先]],$F$3:F641), "0000")</f>
        <v>0002</v>
      </c>
      <c r="H641" s="87" t="s">
        <v>900</v>
      </c>
      <c r="I641" s="87" t="s">
        <v>1888</v>
      </c>
      <c r="J641" s="87" t="s">
        <v>1887</v>
      </c>
      <c r="K641" s="87"/>
      <c r="L641" s="134">
        <f>498/1.08</f>
        <v>461.11111111111109</v>
      </c>
      <c r="M641" s="157">
        <v>46059</v>
      </c>
      <c r="N641" s="134">
        <v>690</v>
      </c>
      <c r="O641" s="135">
        <f>IF(COUNT(商品マスタ[[#This Row],[参考上代
（税込)]]) &gt; 0, (商品マスタ[[#This Row],[参考上代
（税込)]]-商品マスタ[[#This Row],[国内定価
（15％）]])/(商品マスタ[[#This Row],[参考上代
（税込)]]/1.08), "")</f>
        <v>0.21913043478260871</v>
      </c>
      <c r="P641" s="136">
        <v>0.1</v>
      </c>
      <c r="Q641" s="134">
        <f>商品マスタ[[#This Row],[仕入
単価]]*商品マスタ[[#This Row],[標準国内送料率]]</f>
        <v>46.111111111111114</v>
      </c>
      <c r="R641" s="134">
        <v>0</v>
      </c>
      <c r="S641" s="134">
        <f>IF(ISBLANK(商品マスタ[[#This Row],[実績
国内送料]]),商品マスタ[[#This Row],[標準国内送料]],)</f>
        <v>0</v>
      </c>
      <c r="T641" s="134">
        <f>商品マスタ[[#This Row],[仕入
単価]]+商品マスタ[[#This Row],[国内送料]]</f>
        <v>461.11111111111109</v>
      </c>
      <c r="U641" s="134">
        <f>ROUNDUP(商品マスタ[[#This Row],[仕入単価+国内送料]]/0.8,-1)</f>
        <v>580</v>
      </c>
      <c r="V641" s="134">
        <f>商品マスタ[[#This Row],[海外定価
（20％）]]-商品マスタ[[#This Row],[仕入単価+国内送料]]</f>
        <v>118.88888888888891</v>
      </c>
      <c r="W641" s="87">
        <f>ROUNDUP(商品マスタ[[#This Row],[仕入単価+国内送料]]/0.85,-1)</f>
        <v>550</v>
      </c>
      <c r="X641" s="134">
        <f>商品マスタ[[#This Row],[国内定価
（15％）]]-商品マスタ[[#This Row],[仕入単価+国内送料]]</f>
        <v>88.888888888888914</v>
      </c>
      <c r="Y641" s="139">
        <v>0.08</v>
      </c>
      <c r="Z641" s="87" t="s">
        <v>1889</v>
      </c>
      <c r="AA641" s="87" t="s">
        <v>1890</v>
      </c>
      <c r="AB641" s="87"/>
      <c r="AC641" s="140"/>
      <c r="AD641" s="87" t="s">
        <v>1891</v>
      </c>
      <c r="AE641" s="87"/>
      <c r="AF641" s="87"/>
      <c r="AG641" s="141" t="s">
        <v>1892</v>
      </c>
    </row>
    <row r="642" spans="1:33" ht="18">
      <c r="A642" s="166"/>
      <c r="B642" s="167"/>
      <c r="C642" s="167"/>
      <c r="D642" s="143" t="str">
        <f>"PRD_SNJ_"&amp;
_xlfn.XLOOKUP(商品マスタ[[#This Row],[仕入先]],テーブル1[仕入先名],テーブル1[仕入先コード],"XXX",0,1)&amp;
"_"&amp;
商品マスタ[[#This Row],[シリアル]]&amp;
"_"&amp;
TEXT(COUNTIFS(商品マスタ!$C$3:C642,商品マスタ[[#This Row],[仕入先]],商品マスタ!$E$3:E642,商品マスタ[[#This Row],[商品名]]), "00")</f>
        <v>PRD_SNJ__0000_00</v>
      </c>
      <c r="E642" s="87"/>
      <c r="F642" s="87">
        <f>IF(COUNTIFS($C$3:C642,商品マスタ[[#This Row],[仕入先]],$E$3:E642,商品マスタ[[#This Row],[商品名]]) = 1, 1,0)</f>
        <v>0</v>
      </c>
      <c r="G642" s="133" t="str">
        <f>TEXT(SUMIF($C$3:C642,商品マスタ[[#This Row],[仕入先]],$F$3:F642), "0000")</f>
        <v>0000</v>
      </c>
      <c r="H642" s="87"/>
      <c r="I642" s="87"/>
      <c r="J642" s="87"/>
      <c r="K642" s="87"/>
      <c r="L642" s="134"/>
      <c r="M642" s="157"/>
      <c r="N642" s="134"/>
      <c r="O642" s="135" t="str">
        <f>IF(COUNT(商品マスタ[[#This Row],[参考上代
（税込)]]) &gt; 0, (商品マスタ[[#This Row],[参考上代
（税込)]]-商品マスタ[[#This Row],[国内定価
（15％）]])/(商品マスタ[[#This Row],[参考上代
（税込)]]/1.08), "")</f>
        <v/>
      </c>
      <c r="P642" s="136">
        <v>0.1</v>
      </c>
      <c r="Q642" s="134">
        <f>商品マスタ[[#This Row],[仕入
単価]]*商品マスタ[[#This Row],[標準国内送料率]]</f>
        <v>0</v>
      </c>
      <c r="R642" s="134"/>
      <c r="S642" s="134">
        <f>IF(ISBLANK(商品マスタ[[#This Row],[実績
国内送料]]),商品マスタ[[#This Row],[標準国内送料]],)</f>
        <v>0</v>
      </c>
      <c r="T642" s="134">
        <f>商品マスタ[[#This Row],[仕入
単価]]+商品マスタ[[#This Row],[国内送料]]</f>
        <v>0</v>
      </c>
      <c r="U642" s="134">
        <f>ROUNDUP(商品マスタ[[#This Row],[仕入単価+国内送料]]/0.8,-1)</f>
        <v>0</v>
      </c>
      <c r="V642" s="134">
        <f>商品マスタ[[#This Row],[海外定価
（20％）]]-商品マスタ[[#This Row],[仕入単価+国内送料]]</f>
        <v>0</v>
      </c>
      <c r="W642" s="87">
        <f>ROUNDUP(商品マスタ[[#This Row],[仕入単価+国内送料]]/0.85,-1)</f>
        <v>0</v>
      </c>
      <c r="X642" s="134">
        <f>商品マスタ[[#This Row],[国内定価
（15％）]]-商品マスタ[[#This Row],[仕入単価+国内送料]]</f>
        <v>0</v>
      </c>
      <c r="Y642" s="139"/>
      <c r="Z642" s="87"/>
      <c r="AA642" s="87"/>
      <c r="AB642" s="87"/>
      <c r="AC642" s="140"/>
      <c r="AD642" s="87"/>
      <c r="AE642" s="87"/>
      <c r="AF642" s="87"/>
      <c r="AG642" s="141"/>
    </row>
    <row r="643" spans="1:33" ht="18">
      <c r="A643" s="166"/>
      <c r="B643" s="167"/>
      <c r="C643" s="167"/>
      <c r="D643" s="143" t="str">
        <f>"PRD_SNJ_"&amp;
_xlfn.XLOOKUP(商品マスタ[[#This Row],[仕入先]],テーブル1[仕入先名],テーブル1[仕入先コード],"XXX",0,1)&amp;
"_"&amp;
商品マスタ[[#This Row],[シリアル]]&amp;
"_"&amp;
TEXT(COUNTIFS(商品マスタ!$C$3:C643,商品マスタ[[#This Row],[仕入先]],商品マスタ!$E$3:E643,商品マスタ[[#This Row],[商品名]]), "00")</f>
        <v>PRD_SNJ__0000_00</v>
      </c>
      <c r="E643" s="87"/>
      <c r="F643" s="87">
        <f>IF(COUNTIFS($C$3:C643,商品マスタ[[#This Row],[仕入先]],$E$3:E643,商品マスタ[[#This Row],[商品名]]) = 1, 1,0)</f>
        <v>0</v>
      </c>
      <c r="G643" s="133" t="str">
        <f>TEXT(SUMIF($C$3:C643,商品マスタ[[#This Row],[仕入先]],$F$3:F643), "0000")</f>
        <v>0000</v>
      </c>
      <c r="H643" s="87"/>
      <c r="I643" s="87"/>
      <c r="J643" s="87"/>
      <c r="K643" s="87"/>
      <c r="L643" s="134"/>
      <c r="M643" s="157"/>
      <c r="N643" s="134"/>
      <c r="O643" s="135" t="str">
        <f>IF(COUNT(商品マスタ[[#This Row],[参考上代
（税込)]]) &gt; 0, (商品マスタ[[#This Row],[参考上代
（税込)]]-商品マスタ[[#This Row],[国内定価
（15％）]])/(商品マスタ[[#This Row],[参考上代
（税込)]]/1.08), "")</f>
        <v/>
      </c>
      <c r="P643" s="136">
        <v>0.1</v>
      </c>
      <c r="Q643" s="134">
        <f>商品マスタ[[#This Row],[仕入
単価]]*商品マスタ[[#This Row],[標準国内送料率]]</f>
        <v>0</v>
      </c>
      <c r="R643" s="134"/>
      <c r="S643" s="134">
        <f>IF(ISBLANK(商品マスタ[[#This Row],[実績
国内送料]]),商品マスタ[[#This Row],[標準国内送料]],)</f>
        <v>0</v>
      </c>
      <c r="T643" s="134">
        <f>商品マスタ[[#This Row],[仕入
単価]]+商品マスタ[[#This Row],[国内送料]]</f>
        <v>0</v>
      </c>
      <c r="U643" s="134">
        <f>ROUNDUP(商品マスタ[[#This Row],[仕入単価+国内送料]]/0.8,-1)</f>
        <v>0</v>
      </c>
      <c r="V643" s="134">
        <f>商品マスタ[[#This Row],[海外定価
（20％）]]-商品マスタ[[#This Row],[仕入単価+国内送料]]</f>
        <v>0</v>
      </c>
      <c r="W643" s="87">
        <f>ROUNDUP(商品マスタ[[#This Row],[仕入単価+国内送料]]/0.85,-1)</f>
        <v>0</v>
      </c>
      <c r="X643" s="134">
        <f>商品マスタ[[#This Row],[国内定価
（15％）]]-商品マスタ[[#This Row],[仕入単価+国内送料]]</f>
        <v>0</v>
      </c>
      <c r="Y643" s="139"/>
      <c r="Z643" s="87"/>
      <c r="AA643" s="87"/>
      <c r="AB643" s="87"/>
      <c r="AC643" s="140"/>
      <c r="AD643" s="87"/>
      <c r="AE643" s="87"/>
      <c r="AF643" s="87"/>
      <c r="AG643" s="141"/>
    </row>
    <row r="644" spans="1:33" ht="18">
      <c r="A644" s="166"/>
      <c r="B644" s="167"/>
      <c r="C644" s="167"/>
      <c r="D644" s="143" t="str">
        <f>"PRD_SNJ_"&amp;
_xlfn.XLOOKUP(商品マスタ[[#This Row],[仕入先]],テーブル1[仕入先名],テーブル1[仕入先コード],"XXX",0,1)&amp;
"_"&amp;
商品マスタ[[#This Row],[シリアル]]&amp;
"_"&amp;
TEXT(COUNTIFS(商品マスタ!$C$3:C644,商品マスタ[[#This Row],[仕入先]],商品マスタ!$E$3:E644,商品マスタ[[#This Row],[商品名]]), "00")</f>
        <v>PRD_SNJ__0000_00</v>
      </c>
      <c r="E644" s="87"/>
      <c r="F644" s="87">
        <f>IF(COUNTIFS($C$3:C644,商品マスタ[[#This Row],[仕入先]],$E$3:E644,商品マスタ[[#This Row],[商品名]]) = 1, 1,0)</f>
        <v>0</v>
      </c>
      <c r="G644" s="133" t="str">
        <f>TEXT(SUMIF($C$3:C644,商品マスタ[[#This Row],[仕入先]],$F$3:F644), "0000")</f>
        <v>0000</v>
      </c>
      <c r="H644" s="87"/>
      <c r="I644" s="87"/>
      <c r="J644" s="87"/>
      <c r="K644" s="87"/>
      <c r="L644" s="134"/>
      <c r="M644" s="157"/>
      <c r="N644" s="134"/>
      <c r="O644" s="135" t="str">
        <f>IF(COUNT(商品マスタ[[#This Row],[参考上代
（税込)]]) &gt; 0, (商品マスタ[[#This Row],[参考上代
（税込)]]-商品マスタ[[#This Row],[国内定価
（15％）]])/(商品マスタ[[#This Row],[参考上代
（税込)]]/1.08), "")</f>
        <v/>
      </c>
      <c r="P644" s="136">
        <v>0.1</v>
      </c>
      <c r="Q644" s="134">
        <f>商品マスタ[[#This Row],[仕入
単価]]*商品マスタ[[#This Row],[標準国内送料率]]</f>
        <v>0</v>
      </c>
      <c r="R644" s="134"/>
      <c r="S644" s="134">
        <f>IF(ISBLANK(商品マスタ[[#This Row],[実績
国内送料]]),商品マスタ[[#This Row],[標準国内送料]],)</f>
        <v>0</v>
      </c>
      <c r="T644" s="134">
        <f>商品マスタ[[#This Row],[仕入
単価]]+商品マスタ[[#This Row],[国内送料]]</f>
        <v>0</v>
      </c>
      <c r="U644" s="134">
        <f>ROUNDUP(商品マスタ[[#This Row],[仕入単価+国内送料]]/0.8,-1)</f>
        <v>0</v>
      </c>
      <c r="V644" s="134">
        <f>商品マスタ[[#This Row],[海外定価
（20％）]]-商品マスタ[[#This Row],[仕入単価+国内送料]]</f>
        <v>0</v>
      </c>
      <c r="W644" s="87">
        <f>ROUNDUP(商品マスタ[[#This Row],[仕入単価+国内送料]]/0.85,-1)</f>
        <v>0</v>
      </c>
      <c r="X644" s="134">
        <f>商品マスタ[[#This Row],[国内定価
（15％）]]-商品マスタ[[#This Row],[仕入単価+国内送料]]</f>
        <v>0</v>
      </c>
      <c r="Y644" s="139"/>
      <c r="Z644" s="87"/>
      <c r="AA644" s="87"/>
      <c r="AB644" s="87"/>
      <c r="AC644" s="140"/>
      <c r="AD644" s="87"/>
      <c r="AE644" s="87"/>
      <c r="AF644" s="87"/>
      <c r="AG644" s="141"/>
    </row>
    <row r="645" spans="1:33" ht="18">
      <c r="A645" s="166"/>
      <c r="B645" s="167"/>
      <c r="C645" s="167"/>
      <c r="D645" s="143" t="str">
        <f>"PRD_SNJ_"&amp;
_xlfn.XLOOKUP(商品マスタ[[#This Row],[仕入先]],テーブル1[仕入先名],テーブル1[仕入先コード],"XXX",0,1)&amp;
"_"&amp;
商品マスタ[[#This Row],[シリアル]]&amp;
"_"&amp;
TEXT(COUNTIFS(商品マスタ!$C$3:C645,商品マスタ[[#This Row],[仕入先]],商品マスタ!$E$3:E645,商品マスタ[[#This Row],[商品名]]), "00")</f>
        <v>PRD_SNJ__0000_00</v>
      </c>
      <c r="E645" s="87"/>
      <c r="F645" s="87">
        <f>IF(COUNTIFS($C$3:C645,商品マスタ[[#This Row],[仕入先]],$E$3:E645,商品マスタ[[#This Row],[商品名]]) = 1, 1,0)</f>
        <v>0</v>
      </c>
      <c r="G645" s="133" t="str">
        <f>TEXT(SUMIF($C$3:C645,商品マスタ[[#This Row],[仕入先]],$F$3:F645), "0000")</f>
        <v>0000</v>
      </c>
      <c r="H645" s="87"/>
      <c r="I645" s="87"/>
      <c r="J645" s="87"/>
      <c r="K645" s="87"/>
      <c r="L645" s="134"/>
      <c r="M645" s="157"/>
      <c r="N645" s="134"/>
      <c r="O645" s="135" t="str">
        <f>IF(COUNT(商品マスタ[[#This Row],[参考上代
（税込)]]) &gt; 0, (商品マスタ[[#This Row],[参考上代
（税込)]]-商品マスタ[[#This Row],[国内定価
（15％）]])/(商品マスタ[[#This Row],[参考上代
（税込)]]/1.08), "")</f>
        <v/>
      </c>
      <c r="P645" s="136">
        <v>0.1</v>
      </c>
      <c r="Q645" s="134">
        <f>商品マスタ[[#This Row],[仕入
単価]]*商品マスタ[[#This Row],[標準国内送料率]]</f>
        <v>0</v>
      </c>
      <c r="R645" s="134"/>
      <c r="S645" s="134">
        <f>IF(ISBLANK(商品マスタ[[#This Row],[実績
国内送料]]),商品マスタ[[#This Row],[標準国内送料]],)</f>
        <v>0</v>
      </c>
      <c r="T645" s="134">
        <f>商品マスタ[[#This Row],[仕入
単価]]+商品マスタ[[#This Row],[国内送料]]</f>
        <v>0</v>
      </c>
      <c r="U645" s="134">
        <f>ROUNDUP(商品マスタ[[#This Row],[仕入単価+国内送料]]/0.8,-1)</f>
        <v>0</v>
      </c>
      <c r="V645" s="134">
        <f>商品マスタ[[#This Row],[海外定価
（20％）]]-商品マスタ[[#This Row],[仕入単価+国内送料]]</f>
        <v>0</v>
      </c>
      <c r="W645" s="87">
        <f>ROUNDUP(商品マスタ[[#This Row],[仕入単価+国内送料]]/0.85,-1)</f>
        <v>0</v>
      </c>
      <c r="X645" s="134">
        <f>商品マスタ[[#This Row],[国内定価
（15％）]]-商品マスタ[[#This Row],[仕入単価+国内送料]]</f>
        <v>0</v>
      </c>
      <c r="Y645" s="139"/>
      <c r="Z645" s="87"/>
      <c r="AA645" s="87"/>
      <c r="AB645" s="87"/>
      <c r="AC645" s="140"/>
      <c r="AD645" s="87"/>
      <c r="AE645" s="87"/>
      <c r="AF645" s="87"/>
      <c r="AG645" s="141"/>
    </row>
    <row r="646" spans="1:33" ht="18">
      <c r="A646" s="166"/>
      <c r="B646" s="167"/>
      <c r="C646" s="167"/>
      <c r="D646" s="143" t="str">
        <f>"PRD_SNJ_"&amp;
_xlfn.XLOOKUP(商品マスタ[[#This Row],[仕入先]],テーブル1[仕入先名],テーブル1[仕入先コード],"XXX",0,1)&amp;
"_"&amp;
商品マスタ[[#This Row],[シリアル]]&amp;
"_"&amp;
TEXT(COUNTIFS(商品マスタ!$C$3:C646,商品マスタ[[#This Row],[仕入先]],商品マスタ!$E$3:E646,商品マスタ[[#This Row],[商品名]]), "00")</f>
        <v>PRD_SNJ__0000_00</v>
      </c>
      <c r="E646" s="87"/>
      <c r="F646" s="87">
        <f>IF(COUNTIFS($C$3:C646,商品マスタ[[#This Row],[仕入先]],$E$3:E646,商品マスタ[[#This Row],[商品名]]) = 1, 1,0)</f>
        <v>0</v>
      </c>
      <c r="G646" s="133" t="str">
        <f>TEXT(SUMIF($C$3:C646,商品マスタ[[#This Row],[仕入先]],$F$3:F646), "0000")</f>
        <v>0000</v>
      </c>
      <c r="H646" s="87"/>
      <c r="I646" s="87"/>
      <c r="J646" s="87"/>
      <c r="K646" s="87"/>
      <c r="L646" s="134"/>
      <c r="M646" s="157"/>
      <c r="N646" s="134"/>
      <c r="O646" s="135" t="str">
        <f>IF(COUNT(商品マスタ[[#This Row],[参考上代
（税込)]]) &gt; 0, (商品マスタ[[#This Row],[参考上代
（税込)]]-商品マスタ[[#This Row],[国内定価
（15％）]])/(商品マスタ[[#This Row],[参考上代
（税込)]]/1.08), "")</f>
        <v/>
      </c>
      <c r="P646" s="136">
        <v>0.1</v>
      </c>
      <c r="Q646" s="134">
        <f>商品マスタ[[#This Row],[仕入
単価]]*商品マスタ[[#This Row],[標準国内送料率]]</f>
        <v>0</v>
      </c>
      <c r="R646" s="134"/>
      <c r="S646" s="134">
        <f>IF(ISBLANK(商品マスタ[[#This Row],[実績
国内送料]]),商品マスタ[[#This Row],[標準国内送料]],)</f>
        <v>0</v>
      </c>
      <c r="T646" s="134">
        <f>商品マスタ[[#This Row],[仕入
単価]]+商品マスタ[[#This Row],[国内送料]]</f>
        <v>0</v>
      </c>
      <c r="U646" s="134">
        <f>ROUNDUP(商品マスタ[[#This Row],[仕入単価+国内送料]]/0.8,-1)</f>
        <v>0</v>
      </c>
      <c r="V646" s="134">
        <f>商品マスタ[[#This Row],[海外定価
（20％）]]-商品マスタ[[#This Row],[仕入単価+国内送料]]</f>
        <v>0</v>
      </c>
      <c r="W646" s="87">
        <f>ROUNDUP(商品マスタ[[#This Row],[仕入単価+国内送料]]/0.85,-1)</f>
        <v>0</v>
      </c>
      <c r="X646" s="134">
        <f>商品マスタ[[#This Row],[国内定価
（15％）]]-商品マスタ[[#This Row],[仕入単価+国内送料]]</f>
        <v>0</v>
      </c>
      <c r="Y646" s="139"/>
      <c r="Z646" s="87"/>
      <c r="AA646" s="87"/>
      <c r="AB646" s="87"/>
      <c r="AC646" s="140"/>
      <c r="AD646" s="87"/>
      <c r="AE646" s="87"/>
      <c r="AF646" s="87"/>
      <c r="AG646" s="141"/>
    </row>
    <row r="647" spans="1:33" ht="18">
      <c r="A647" s="166"/>
      <c r="B647" s="167"/>
      <c r="C647" s="167"/>
      <c r="D647" s="143" t="str">
        <f>"PRD_SNJ_"&amp;
_xlfn.XLOOKUP(商品マスタ[[#This Row],[仕入先]],テーブル1[仕入先名],テーブル1[仕入先コード],"XXX",0,1)&amp;
"_"&amp;
商品マスタ[[#This Row],[シリアル]]&amp;
"_"&amp;
TEXT(COUNTIFS(商品マスタ!$C$3:C647,商品マスタ[[#This Row],[仕入先]],商品マスタ!$E$3:E647,商品マスタ[[#This Row],[商品名]]), "00")</f>
        <v>PRD_SNJ__0000_00</v>
      </c>
      <c r="E647" s="87"/>
      <c r="F647" s="87">
        <f>IF(COUNTIFS($C$3:C647,商品マスタ[[#This Row],[仕入先]],$E$3:E647,商品マスタ[[#This Row],[商品名]]) = 1, 1,0)</f>
        <v>0</v>
      </c>
      <c r="G647" s="133" t="str">
        <f>TEXT(SUMIF($C$3:C647,商品マスタ[[#This Row],[仕入先]],$F$3:F647), "0000")</f>
        <v>0000</v>
      </c>
      <c r="H647" s="87"/>
      <c r="I647" s="87"/>
      <c r="J647" s="87"/>
      <c r="K647" s="87"/>
      <c r="L647" s="134"/>
      <c r="M647" s="157"/>
      <c r="N647" s="134"/>
      <c r="O647" s="135" t="str">
        <f>IF(COUNT(商品マスタ[[#This Row],[参考上代
（税込)]]) &gt; 0, (商品マスタ[[#This Row],[参考上代
（税込)]]-商品マスタ[[#This Row],[国内定価
（15％）]])/(商品マスタ[[#This Row],[参考上代
（税込)]]/1.08), "")</f>
        <v/>
      </c>
      <c r="P647" s="136">
        <v>0.1</v>
      </c>
      <c r="Q647" s="134">
        <f>商品マスタ[[#This Row],[仕入
単価]]*商品マスタ[[#This Row],[標準国内送料率]]</f>
        <v>0</v>
      </c>
      <c r="R647" s="134"/>
      <c r="S647" s="134">
        <f>IF(ISBLANK(商品マスタ[[#This Row],[実績
国内送料]]),商品マスタ[[#This Row],[標準国内送料]],)</f>
        <v>0</v>
      </c>
      <c r="T647" s="134">
        <f>商品マスタ[[#This Row],[仕入
単価]]+商品マスタ[[#This Row],[国内送料]]</f>
        <v>0</v>
      </c>
      <c r="U647" s="134">
        <f>ROUNDUP(商品マスタ[[#This Row],[仕入単価+国内送料]]/0.8,-1)</f>
        <v>0</v>
      </c>
      <c r="V647" s="134">
        <f>商品マスタ[[#This Row],[海外定価
（20％）]]-商品マスタ[[#This Row],[仕入単価+国内送料]]</f>
        <v>0</v>
      </c>
      <c r="W647" s="87">
        <f>ROUNDUP(商品マスタ[[#This Row],[仕入単価+国内送料]]/0.85,-1)</f>
        <v>0</v>
      </c>
      <c r="X647" s="134">
        <f>商品マスタ[[#This Row],[国内定価
（15％）]]-商品マスタ[[#This Row],[仕入単価+国内送料]]</f>
        <v>0</v>
      </c>
      <c r="Y647" s="139"/>
      <c r="Z647" s="87"/>
      <c r="AA647" s="87"/>
      <c r="AB647" s="87"/>
      <c r="AC647" s="140"/>
      <c r="AD647" s="87"/>
      <c r="AE647" s="87"/>
      <c r="AF647" s="87"/>
      <c r="AG647" s="141"/>
    </row>
    <row r="648" spans="1:33" ht="18">
      <c r="A648" s="166"/>
      <c r="B648" s="167"/>
      <c r="C648" s="167"/>
      <c r="D648" s="143" t="str">
        <f>"PRD_SNJ_"&amp;
_xlfn.XLOOKUP(商品マスタ[[#This Row],[仕入先]],テーブル1[仕入先名],テーブル1[仕入先コード],"XXX",0,1)&amp;
"_"&amp;
商品マスタ[[#This Row],[シリアル]]&amp;
"_"&amp;
TEXT(COUNTIFS(商品マスタ!$C$3:C648,商品マスタ[[#This Row],[仕入先]],商品マスタ!$E$3:E648,商品マスタ[[#This Row],[商品名]]), "00")</f>
        <v>PRD_SNJ__0000_00</v>
      </c>
      <c r="E648" s="87"/>
      <c r="F648" s="87">
        <f>IF(COUNTIFS($C$3:C648,商品マスタ[[#This Row],[仕入先]],$E$3:E648,商品マスタ[[#This Row],[商品名]]) = 1, 1,0)</f>
        <v>0</v>
      </c>
      <c r="G648" s="133" t="str">
        <f>TEXT(SUMIF($C$3:C648,商品マスタ[[#This Row],[仕入先]],$F$3:F648), "0000")</f>
        <v>0000</v>
      </c>
      <c r="H648" s="87"/>
      <c r="I648" s="87"/>
      <c r="J648" s="87"/>
      <c r="K648" s="87"/>
      <c r="L648" s="134"/>
      <c r="M648" s="157"/>
      <c r="N648" s="134"/>
      <c r="O648" s="135" t="str">
        <f>IF(COUNT(商品マスタ[[#This Row],[参考上代
（税込)]]) &gt; 0, (商品マスタ[[#This Row],[参考上代
（税込)]]-商品マスタ[[#This Row],[国内定価
（15％）]])/(商品マスタ[[#This Row],[参考上代
（税込)]]/1.08), "")</f>
        <v/>
      </c>
      <c r="P648" s="136">
        <v>0.1</v>
      </c>
      <c r="Q648" s="134">
        <f>商品マスタ[[#This Row],[仕入
単価]]*商品マスタ[[#This Row],[標準国内送料率]]</f>
        <v>0</v>
      </c>
      <c r="R648" s="134"/>
      <c r="S648" s="134">
        <f>IF(ISBLANK(商品マスタ[[#This Row],[実績
国内送料]]),商品マスタ[[#This Row],[標準国内送料]],)</f>
        <v>0</v>
      </c>
      <c r="T648" s="134">
        <f>商品マスタ[[#This Row],[仕入
単価]]+商品マスタ[[#This Row],[国内送料]]</f>
        <v>0</v>
      </c>
      <c r="U648" s="134">
        <f>ROUNDUP(商品マスタ[[#This Row],[仕入単価+国内送料]]/0.8,-1)</f>
        <v>0</v>
      </c>
      <c r="V648" s="134">
        <f>商品マスタ[[#This Row],[海外定価
（20％）]]-商品マスタ[[#This Row],[仕入単価+国内送料]]</f>
        <v>0</v>
      </c>
      <c r="W648" s="87">
        <f>ROUNDUP(商品マスタ[[#This Row],[仕入単価+国内送料]]/0.85,-1)</f>
        <v>0</v>
      </c>
      <c r="X648" s="134">
        <f>商品マスタ[[#This Row],[国内定価
（15％）]]-商品マスタ[[#This Row],[仕入単価+国内送料]]</f>
        <v>0</v>
      </c>
      <c r="Y648" s="139"/>
      <c r="Z648" s="87"/>
      <c r="AA648" s="87"/>
      <c r="AB648" s="87"/>
      <c r="AC648" s="140"/>
      <c r="AD648" s="87"/>
      <c r="AE648" s="87"/>
      <c r="AF648" s="87"/>
      <c r="AG648" s="141"/>
    </row>
    <row r="649" spans="1:33" ht="18">
      <c r="A649" s="166"/>
      <c r="B649" s="167"/>
      <c r="C649" s="167"/>
      <c r="D649" s="143" t="str">
        <f>"PRD_SNJ_"&amp;
_xlfn.XLOOKUP(商品マスタ[[#This Row],[仕入先]],テーブル1[仕入先名],テーブル1[仕入先コード],"XXX",0,1)&amp;
"_"&amp;
商品マスタ[[#This Row],[シリアル]]&amp;
"_"&amp;
TEXT(COUNTIFS(商品マスタ!$C$3:C649,商品マスタ[[#This Row],[仕入先]],商品マスタ!$E$3:E649,商品マスタ[[#This Row],[商品名]]), "00")</f>
        <v>PRD_SNJ__0000_00</v>
      </c>
      <c r="E649" s="87"/>
      <c r="F649" s="87">
        <f>IF(COUNTIFS($C$3:C649,商品マスタ[[#This Row],[仕入先]],$E$3:E649,商品マスタ[[#This Row],[商品名]]) = 1, 1,0)</f>
        <v>0</v>
      </c>
      <c r="G649" s="133" t="str">
        <f>TEXT(SUMIF($C$3:C649,商品マスタ[[#This Row],[仕入先]],$F$3:F649), "0000")</f>
        <v>0000</v>
      </c>
      <c r="H649" s="87"/>
      <c r="I649" s="87"/>
      <c r="J649" s="87"/>
      <c r="K649" s="87"/>
      <c r="L649" s="134"/>
      <c r="M649" s="157"/>
      <c r="N649" s="134"/>
      <c r="O649" s="135" t="str">
        <f>IF(COUNT(商品マスタ[[#This Row],[参考上代
（税込)]]) &gt; 0, (商品マスタ[[#This Row],[参考上代
（税込)]]-商品マスタ[[#This Row],[国内定価
（15％）]])/(商品マスタ[[#This Row],[参考上代
（税込)]]/1.08), "")</f>
        <v/>
      </c>
      <c r="P649" s="136">
        <v>0.1</v>
      </c>
      <c r="Q649" s="134">
        <f>商品マスタ[[#This Row],[仕入
単価]]*商品マスタ[[#This Row],[標準国内送料率]]</f>
        <v>0</v>
      </c>
      <c r="R649" s="134"/>
      <c r="S649" s="134">
        <f>IF(ISBLANK(商品マスタ[[#This Row],[実績
国内送料]]),商品マスタ[[#This Row],[標準国内送料]],)</f>
        <v>0</v>
      </c>
      <c r="T649" s="134">
        <f>商品マスタ[[#This Row],[仕入
単価]]+商品マスタ[[#This Row],[国内送料]]</f>
        <v>0</v>
      </c>
      <c r="U649" s="134">
        <f>ROUNDUP(商品マスタ[[#This Row],[仕入単価+国内送料]]/0.8,-1)</f>
        <v>0</v>
      </c>
      <c r="V649" s="134">
        <f>商品マスタ[[#This Row],[海外定価
（20％）]]-商品マスタ[[#This Row],[仕入単価+国内送料]]</f>
        <v>0</v>
      </c>
      <c r="W649" s="87">
        <f>ROUNDUP(商品マスタ[[#This Row],[仕入単価+国内送料]]/0.85,-1)</f>
        <v>0</v>
      </c>
      <c r="X649" s="134">
        <f>商品マスタ[[#This Row],[国内定価
（15％）]]-商品マスタ[[#This Row],[仕入単価+国内送料]]</f>
        <v>0</v>
      </c>
      <c r="Y649" s="139"/>
      <c r="Z649" s="87"/>
      <c r="AA649" s="87"/>
      <c r="AB649" s="87"/>
      <c r="AC649" s="140"/>
      <c r="AD649" s="87"/>
      <c r="AE649" s="87"/>
      <c r="AF649" s="87"/>
      <c r="AG649" s="141"/>
    </row>
    <row r="650" spans="1:33" ht="18">
      <c r="A650" s="166"/>
      <c r="B650" s="167"/>
      <c r="C650" s="167"/>
      <c r="D650" s="143" t="str">
        <f>"PRD_SNJ_"&amp;
_xlfn.XLOOKUP(商品マスタ[[#This Row],[仕入先]],テーブル1[仕入先名],テーブル1[仕入先コード],"XXX",0,1)&amp;
"_"&amp;
商品マスタ[[#This Row],[シリアル]]&amp;
"_"&amp;
TEXT(COUNTIFS(商品マスタ!$C$3:C650,商品マスタ[[#This Row],[仕入先]],商品マスタ!$E$3:E650,商品マスタ[[#This Row],[商品名]]), "00")</f>
        <v>PRD_SNJ__0000_00</v>
      </c>
      <c r="E650" s="87"/>
      <c r="F650" s="87">
        <f>IF(COUNTIFS($C$3:C650,商品マスタ[[#This Row],[仕入先]],$E$3:E650,商品マスタ[[#This Row],[商品名]]) = 1, 1,0)</f>
        <v>0</v>
      </c>
      <c r="G650" s="133" t="str">
        <f>TEXT(SUMIF($C$3:C650,商品マスタ[[#This Row],[仕入先]],$F$3:F650), "0000")</f>
        <v>0000</v>
      </c>
      <c r="H650" s="87"/>
      <c r="I650" s="87"/>
      <c r="J650" s="87"/>
      <c r="K650" s="87"/>
      <c r="L650" s="134"/>
      <c r="M650" s="157"/>
      <c r="N650" s="134"/>
      <c r="O650" s="135" t="str">
        <f>IF(COUNT(商品マスタ[[#This Row],[参考上代
（税込)]]) &gt; 0, (商品マスタ[[#This Row],[参考上代
（税込)]]-商品マスタ[[#This Row],[国内定価
（15％）]])/(商品マスタ[[#This Row],[参考上代
（税込)]]/1.08), "")</f>
        <v/>
      </c>
      <c r="P650" s="136">
        <v>0.1</v>
      </c>
      <c r="Q650" s="134">
        <f>商品マスタ[[#This Row],[仕入
単価]]*商品マスタ[[#This Row],[標準国内送料率]]</f>
        <v>0</v>
      </c>
      <c r="R650" s="134"/>
      <c r="S650" s="134">
        <f>IF(ISBLANK(商品マスタ[[#This Row],[実績
国内送料]]),商品マスタ[[#This Row],[標準国内送料]],)</f>
        <v>0</v>
      </c>
      <c r="T650" s="134">
        <f>商品マスタ[[#This Row],[仕入
単価]]+商品マスタ[[#This Row],[国内送料]]</f>
        <v>0</v>
      </c>
      <c r="U650" s="134">
        <f>ROUNDUP(商品マスタ[[#This Row],[仕入単価+国内送料]]/0.8,-1)</f>
        <v>0</v>
      </c>
      <c r="V650" s="134">
        <f>商品マスタ[[#This Row],[海外定価
（20％）]]-商品マスタ[[#This Row],[仕入単価+国内送料]]</f>
        <v>0</v>
      </c>
      <c r="W650" s="87">
        <f>ROUNDUP(商品マスタ[[#This Row],[仕入単価+国内送料]]/0.85,-1)</f>
        <v>0</v>
      </c>
      <c r="X650" s="134">
        <f>商品マスタ[[#This Row],[国内定価
（15％）]]-商品マスタ[[#This Row],[仕入単価+国内送料]]</f>
        <v>0</v>
      </c>
      <c r="Y650" s="139"/>
      <c r="Z650" s="87"/>
      <c r="AA650" s="87"/>
      <c r="AB650" s="87"/>
      <c r="AC650" s="140"/>
      <c r="AD650" s="87"/>
      <c r="AE650" s="87"/>
      <c r="AF650" s="87"/>
      <c r="AG650" s="141"/>
    </row>
    <row r="651" spans="1:33" ht="18">
      <c r="A651" s="166"/>
      <c r="B651" s="167"/>
      <c r="C651" s="167"/>
      <c r="D651" s="143" t="str">
        <f>"PRD_SNJ_"&amp;
_xlfn.XLOOKUP(商品マスタ[[#This Row],[仕入先]],テーブル1[仕入先名],テーブル1[仕入先コード],"XXX",0,1)&amp;
"_"&amp;
商品マスタ[[#This Row],[シリアル]]&amp;
"_"&amp;
TEXT(COUNTIFS(商品マスタ!$C$3:C651,商品マスタ[[#This Row],[仕入先]],商品マスタ!$E$3:E651,商品マスタ[[#This Row],[商品名]]), "00")</f>
        <v>PRD_SNJ__0000_00</v>
      </c>
      <c r="E651" s="87"/>
      <c r="F651" s="87">
        <f>IF(COUNTIFS($C$3:C651,商品マスタ[[#This Row],[仕入先]],$E$3:E651,商品マスタ[[#This Row],[商品名]]) = 1, 1,0)</f>
        <v>0</v>
      </c>
      <c r="G651" s="133" t="str">
        <f>TEXT(SUMIF($C$3:C651,商品マスタ[[#This Row],[仕入先]],$F$3:F651), "0000")</f>
        <v>0000</v>
      </c>
      <c r="H651" s="87"/>
      <c r="I651" s="87"/>
      <c r="J651" s="87"/>
      <c r="K651" s="87"/>
      <c r="L651" s="134"/>
      <c r="M651" s="157"/>
      <c r="N651" s="134"/>
      <c r="O651" s="135" t="str">
        <f>IF(COUNT(商品マスタ[[#This Row],[参考上代
（税込)]]) &gt; 0, (商品マスタ[[#This Row],[参考上代
（税込)]]-商品マスタ[[#This Row],[国内定価
（15％）]])/(商品マスタ[[#This Row],[参考上代
（税込)]]/1.08), "")</f>
        <v/>
      </c>
      <c r="P651" s="136">
        <v>0.1</v>
      </c>
      <c r="Q651" s="134">
        <f>商品マスタ[[#This Row],[仕入
単価]]*商品マスタ[[#This Row],[標準国内送料率]]</f>
        <v>0</v>
      </c>
      <c r="R651" s="134"/>
      <c r="S651" s="134">
        <f>IF(ISBLANK(商品マスタ[[#This Row],[実績
国内送料]]),商品マスタ[[#This Row],[標準国内送料]],)</f>
        <v>0</v>
      </c>
      <c r="T651" s="134">
        <f>商品マスタ[[#This Row],[仕入
単価]]+商品マスタ[[#This Row],[国内送料]]</f>
        <v>0</v>
      </c>
      <c r="U651" s="134">
        <f>ROUNDUP(商品マスタ[[#This Row],[仕入単価+国内送料]]/0.8,-1)</f>
        <v>0</v>
      </c>
      <c r="V651" s="134">
        <f>商品マスタ[[#This Row],[海外定価
（20％）]]-商品マスタ[[#This Row],[仕入単価+国内送料]]</f>
        <v>0</v>
      </c>
      <c r="W651" s="87">
        <f>ROUNDUP(商品マスタ[[#This Row],[仕入単価+国内送料]]/0.85,-1)</f>
        <v>0</v>
      </c>
      <c r="X651" s="134">
        <f>商品マスタ[[#This Row],[国内定価
（15％）]]-商品マスタ[[#This Row],[仕入単価+国内送料]]</f>
        <v>0</v>
      </c>
      <c r="Y651" s="139"/>
      <c r="Z651" s="87"/>
      <c r="AA651" s="87"/>
      <c r="AB651" s="87"/>
      <c r="AC651" s="140"/>
      <c r="AD651" s="87"/>
      <c r="AE651" s="87"/>
      <c r="AF651" s="87"/>
      <c r="AG651" s="141"/>
    </row>
    <row r="652" spans="1:33" ht="18">
      <c r="A652" s="166"/>
      <c r="B652" s="167"/>
      <c r="C652" s="167"/>
      <c r="D652" s="143" t="str">
        <f>"PRD_SNJ_"&amp;
_xlfn.XLOOKUP(商品マスタ[[#This Row],[仕入先]],テーブル1[仕入先名],テーブル1[仕入先コード],"XXX",0,1)&amp;
"_"&amp;
商品マスタ[[#This Row],[シリアル]]&amp;
"_"&amp;
TEXT(COUNTIFS(商品マスタ!$C$3:C652,商品マスタ[[#This Row],[仕入先]],商品マスタ!$E$3:E652,商品マスタ[[#This Row],[商品名]]), "00")</f>
        <v>PRD_SNJ__0000_00</v>
      </c>
      <c r="E652" s="87"/>
      <c r="F652" s="87">
        <f>IF(COUNTIFS($C$3:C652,商品マスタ[[#This Row],[仕入先]],$E$3:E652,商品マスタ[[#This Row],[商品名]]) = 1, 1,0)</f>
        <v>0</v>
      </c>
      <c r="G652" s="133" t="str">
        <f>TEXT(SUMIF($C$3:C652,商品マスタ[[#This Row],[仕入先]],$F$3:F652), "0000")</f>
        <v>0000</v>
      </c>
      <c r="H652" s="87"/>
      <c r="I652" s="87"/>
      <c r="J652" s="87"/>
      <c r="K652" s="87"/>
      <c r="L652" s="134"/>
      <c r="M652" s="157"/>
      <c r="N652" s="134"/>
      <c r="O652" s="135" t="str">
        <f>IF(COUNT(商品マスタ[[#This Row],[参考上代
（税込)]]) &gt; 0, (商品マスタ[[#This Row],[参考上代
（税込)]]-商品マスタ[[#This Row],[国内定価
（15％）]])/(商品マスタ[[#This Row],[参考上代
（税込)]]/1.08), "")</f>
        <v/>
      </c>
      <c r="P652" s="136">
        <v>0.1</v>
      </c>
      <c r="Q652" s="134">
        <f>商品マスタ[[#This Row],[仕入
単価]]*商品マスタ[[#This Row],[標準国内送料率]]</f>
        <v>0</v>
      </c>
      <c r="R652" s="134"/>
      <c r="S652" s="134">
        <f>IF(ISBLANK(商品マスタ[[#This Row],[実績
国内送料]]),商品マスタ[[#This Row],[標準国内送料]],)</f>
        <v>0</v>
      </c>
      <c r="T652" s="134">
        <f>商品マスタ[[#This Row],[仕入
単価]]+商品マスタ[[#This Row],[国内送料]]</f>
        <v>0</v>
      </c>
      <c r="U652" s="134">
        <f>ROUNDUP(商品マスタ[[#This Row],[仕入単価+国内送料]]/0.8,-1)</f>
        <v>0</v>
      </c>
      <c r="V652" s="134">
        <f>商品マスタ[[#This Row],[海外定価
（20％）]]-商品マスタ[[#This Row],[仕入単価+国内送料]]</f>
        <v>0</v>
      </c>
      <c r="W652" s="87">
        <f>ROUNDUP(商品マスタ[[#This Row],[仕入単価+国内送料]]/0.85,-1)</f>
        <v>0</v>
      </c>
      <c r="X652" s="134">
        <f>商品マスタ[[#This Row],[国内定価
（15％）]]-商品マスタ[[#This Row],[仕入単価+国内送料]]</f>
        <v>0</v>
      </c>
      <c r="Y652" s="139"/>
      <c r="Z652" s="87"/>
      <c r="AA652" s="87"/>
      <c r="AB652" s="87"/>
      <c r="AC652" s="140"/>
      <c r="AD652" s="87"/>
      <c r="AE652" s="87"/>
      <c r="AF652" s="87"/>
      <c r="AG652" s="141"/>
    </row>
    <row r="653" spans="1:33" ht="18">
      <c r="A653" s="166"/>
      <c r="B653" s="167"/>
      <c r="C653" s="167"/>
      <c r="D653" s="143" t="str">
        <f>"PRD_SNJ_"&amp;
_xlfn.XLOOKUP(商品マスタ[[#This Row],[仕入先]],テーブル1[仕入先名],テーブル1[仕入先コード],"XXX",0,1)&amp;
"_"&amp;
商品マスタ[[#This Row],[シリアル]]&amp;
"_"&amp;
TEXT(COUNTIFS(商品マスタ!$C$3:C653,商品マスタ[[#This Row],[仕入先]],商品マスタ!$E$3:E653,商品マスタ[[#This Row],[商品名]]), "00")</f>
        <v>PRD_SNJ__0000_00</v>
      </c>
      <c r="E653" s="87"/>
      <c r="F653" s="87">
        <f>IF(COUNTIFS($C$3:C653,商品マスタ[[#This Row],[仕入先]],$E$3:E653,商品マスタ[[#This Row],[商品名]]) = 1, 1,0)</f>
        <v>0</v>
      </c>
      <c r="G653" s="133" t="str">
        <f>TEXT(SUMIF($C$3:C653,商品マスタ[[#This Row],[仕入先]],$F$3:F653), "0000")</f>
        <v>0000</v>
      </c>
      <c r="H653" s="87"/>
      <c r="I653" s="87"/>
      <c r="J653" s="87"/>
      <c r="K653" s="87"/>
      <c r="L653" s="134"/>
      <c r="M653" s="157"/>
      <c r="N653" s="134"/>
      <c r="O653" s="135" t="str">
        <f>IF(COUNT(商品マスタ[[#This Row],[参考上代
（税込)]]) &gt; 0, (商品マスタ[[#This Row],[参考上代
（税込)]]-商品マスタ[[#This Row],[国内定価
（15％）]])/(商品マスタ[[#This Row],[参考上代
（税込)]]/1.08), "")</f>
        <v/>
      </c>
      <c r="P653" s="136">
        <v>0.1</v>
      </c>
      <c r="Q653" s="134">
        <f>商品マスタ[[#This Row],[仕入
単価]]*商品マスタ[[#This Row],[標準国内送料率]]</f>
        <v>0</v>
      </c>
      <c r="R653" s="134"/>
      <c r="S653" s="134">
        <f>IF(ISBLANK(商品マスタ[[#This Row],[実績
国内送料]]),商品マスタ[[#This Row],[標準国内送料]],)</f>
        <v>0</v>
      </c>
      <c r="T653" s="134">
        <f>商品マスタ[[#This Row],[仕入
単価]]+商品マスタ[[#This Row],[国内送料]]</f>
        <v>0</v>
      </c>
      <c r="U653" s="134">
        <f>ROUNDUP(商品マスタ[[#This Row],[仕入単価+国内送料]]/0.8,-1)</f>
        <v>0</v>
      </c>
      <c r="V653" s="134">
        <f>商品マスタ[[#This Row],[海外定価
（20％）]]-商品マスタ[[#This Row],[仕入単価+国内送料]]</f>
        <v>0</v>
      </c>
      <c r="W653" s="87">
        <f>ROUNDUP(商品マスタ[[#This Row],[仕入単価+国内送料]]/0.85,-1)</f>
        <v>0</v>
      </c>
      <c r="X653" s="134">
        <f>商品マスタ[[#This Row],[国内定価
（15％）]]-商品マスタ[[#This Row],[仕入単価+国内送料]]</f>
        <v>0</v>
      </c>
      <c r="Y653" s="139"/>
      <c r="Z653" s="87"/>
      <c r="AA653" s="87"/>
      <c r="AB653" s="87"/>
      <c r="AC653" s="140"/>
      <c r="AD653" s="87"/>
      <c r="AE653" s="87"/>
      <c r="AF653" s="87"/>
      <c r="AG653" s="141"/>
    </row>
    <row r="654" spans="1:33" ht="18">
      <c r="A654" s="166"/>
      <c r="B654" s="167"/>
      <c r="C654" s="167"/>
      <c r="D654" s="143" t="str">
        <f>"PRD_SNJ_"&amp;
_xlfn.XLOOKUP(商品マスタ[[#This Row],[仕入先]],テーブル1[仕入先名],テーブル1[仕入先コード],"XXX",0,1)&amp;
"_"&amp;
商品マスタ[[#This Row],[シリアル]]&amp;
"_"&amp;
TEXT(COUNTIFS(商品マスタ!$C$3:C654,商品マスタ[[#This Row],[仕入先]],商品マスタ!$E$3:E654,商品マスタ[[#This Row],[商品名]]), "00")</f>
        <v>PRD_SNJ__0000_00</v>
      </c>
      <c r="E654" s="87"/>
      <c r="F654" s="87">
        <f>IF(COUNTIFS($C$3:C654,商品マスタ[[#This Row],[仕入先]],$E$3:E654,商品マスタ[[#This Row],[商品名]]) = 1, 1,0)</f>
        <v>0</v>
      </c>
      <c r="G654" s="133" t="str">
        <f>TEXT(SUMIF($C$3:C654,商品マスタ[[#This Row],[仕入先]],$F$3:F654), "0000")</f>
        <v>0000</v>
      </c>
      <c r="H654" s="87"/>
      <c r="I654" s="87"/>
      <c r="J654" s="87"/>
      <c r="K654" s="87"/>
      <c r="L654" s="134"/>
      <c r="M654" s="157"/>
      <c r="N654" s="134"/>
      <c r="O654" s="135" t="str">
        <f>IF(COUNT(商品マスタ[[#This Row],[参考上代
（税込)]]) &gt; 0, (商品マスタ[[#This Row],[参考上代
（税込)]]-商品マスタ[[#This Row],[国内定価
（15％）]])/(商品マスタ[[#This Row],[参考上代
（税込)]]/1.08), "")</f>
        <v/>
      </c>
      <c r="P654" s="136">
        <v>0.1</v>
      </c>
      <c r="Q654" s="134">
        <f>商品マスタ[[#This Row],[仕入
単価]]*商品マスタ[[#This Row],[標準国内送料率]]</f>
        <v>0</v>
      </c>
      <c r="R654" s="134"/>
      <c r="S654" s="134">
        <f>IF(ISBLANK(商品マスタ[[#This Row],[実績
国内送料]]),商品マスタ[[#This Row],[標準国内送料]],)</f>
        <v>0</v>
      </c>
      <c r="T654" s="134">
        <f>商品マスタ[[#This Row],[仕入
単価]]+商品マスタ[[#This Row],[国内送料]]</f>
        <v>0</v>
      </c>
      <c r="U654" s="134">
        <f>ROUNDUP(商品マスタ[[#This Row],[仕入単価+国内送料]]/0.8,-1)</f>
        <v>0</v>
      </c>
      <c r="V654" s="134">
        <f>商品マスタ[[#This Row],[海外定価
（20％）]]-商品マスタ[[#This Row],[仕入単価+国内送料]]</f>
        <v>0</v>
      </c>
      <c r="W654" s="87">
        <f>ROUNDUP(商品マスタ[[#This Row],[仕入単価+国内送料]]/0.85,-1)</f>
        <v>0</v>
      </c>
      <c r="X654" s="134">
        <f>商品マスタ[[#This Row],[国内定価
（15％）]]-商品マスタ[[#This Row],[仕入単価+国内送料]]</f>
        <v>0</v>
      </c>
      <c r="Y654" s="139"/>
      <c r="Z654" s="87"/>
      <c r="AA654" s="87"/>
      <c r="AB654" s="87"/>
      <c r="AC654" s="140"/>
      <c r="AD654" s="87"/>
      <c r="AE654" s="87"/>
      <c r="AF654" s="87"/>
      <c r="AG654" s="141"/>
    </row>
    <row r="655" spans="1:33" ht="18">
      <c r="A655" s="166"/>
      <c r="B655" s="167"/>
      <c r="C655" s="167"/>
      <c r="D655" s="143" t="str">
        <f>"PRD_SNJ_"&amp;
_xlfn.XLOOKUP(商品マスタ[[#This Row],[仕入先]],テーブル1[仕入先名],テーブル1[仕入先コード],"XXX",0,1)&amp;
"_"&amp;
商品マスタ[[#This Row],[シリアル]]&amp;
"_"&amp;
TEXT(COUNTIFS(商品マスタ!$C$3:C655,商品マスタ[[#This Row],[仕入先]],商品マスタ!$E$3:E655,商品マスタ[[#This Row],[商品名]]), "00")</f>
        <v>PRD_SNJ__0000_00</v>
      </c>
      <c r="E655" s="87"/>
      <c r="F655" s="87">
        <f>IF(COUNTIFS($C$3:C655,商品マスタ[[#This Row],[仕入先]],$E$3:E655,商品マスタ[[#This Row],[商品名]]) = 1, 1,0)</f>
        <v>0</v>
      </c>
      <c r="G655" s="133" t="str">
        <f>TEXT(SUMIF($C$3:C655,商品マスタ[[#This Row],[仕入先]],$F$3:F655), "0000")</f>
        <v>0000</v>
      </c>
      <c r="H655" s="87"/>
      <c r="I655" s="87"/>
      <c r="J655" s="87"/>
      <c r="K655" s="87"/>
      <c r="L655" s="134"/>
      <c r="M655" s="157"/>
      <c r="N655" s="134"/>
      <c r="O655" s="135" t="str">
        <f>IF(COUNT(商品マスタ[[#This Row],[参考上代
（税込)]]) &gt; 0, (商品マスタ[[#This Row],[参考上代
（税込)]]-商品マスタ[[#This Row],[国内定価
（15％）]])/(商品マスタ[[#This Row],[参考上代
（税込)]]/1.08), "")</f>
        <v/>
      </c>
      <c r="P655" s="136">
        <v>0.1</v>
      </c>
      <c r="Q655" s="134">
        <f>商品マスタ[[#This Row],[仕入
単価]]*商品マスタ[[#This Row],[標準国内送料率]]</f>
        <v>0</v>
      </c>
      <c r="R655" s="134"/>
      <c r="S655" s="134">
        <f>IF(ISBLANK(商品マスタ[[#This Row],[実績
国内送料]]),商品マスタ[[#This Row],[標準国内送料]],)</f>
        <v>0</v>
      </c>
      <c r="T655" s="134">
        <f>商品マスタ[[#This Row],[仕入
単価]]+商品マスタ[[#This Row],[国内送料]]</f>
        <v>0</v>
      </c>
      <c r="U655" s="134">
        <f>ROUNDUP(商品マスタ[[#This Row],[仕入単価+国内送料]]/0.8,-1)</f>
        <v>0</v>
      </c>
      <c r="V655" s="134">
        <f>商品マスタ[[#This Row],[海外定価
（20％）]]-商品マスタ[[#This Row],[仕入単価+国内送料]]</f>
        <v>0</v>
      </c>
      <c r="W655" s="87">
        <f>ROUNDUP(商品マスタ[[#This Row],[仕入単価+国内送料]]/0.85,-1)</f>
        <v>0</v>
      </c>
      <c r="X655" s="134">
        <f>商品マスタ[[#This Row],[国内定価
（15％）]]-商品マスタ[[#This Row],[仕入単価+国内送料]]</f>
        <v>0</v>
      </c>
      <c r="Y655" s="139"/>
      <c r="Z655" s="87"/>
      <c r="AA655" s="87"/>
      <c r="AB655" s="87"/>
      <c r="AC655" s="140"/>
      <c r="AD655" s="87"/>
      <c r="AE655" s="87"/>
      <c r="AF655" s="87"/>
      <c r="AG655" s="141"/>
    </row>
    <row r="656" spans="1:33" ht="18">
      <c r="A656" s="166"/>
      <c r="B656" s="167"/>
      <c r="C656" s="167"/>
      <c r="D656" s="143" t="str">
        <f>"PRD_SNJ_"&amp;
_xlfn.XLOOKUP(商品マスタ[[#This Row],[仕入先]],テーブル1[仕入先名],テーブル1[仕入先コード],"XXX",0,1)&amp;
"_"&amp;
商品マスタ[[#This Row],[シリアル]]&amp;
"_"&amp;
TEXT(COUNTIFS(商品マスタ!$C$3:C656,商品マスタ[[#This Row],[仕入先]],商品マスタ!$E$3:E656,商品マスタ[[#This Row],[商品名]]), "00")</f>
        <v>PRD_SNJ__0000_00</v>
      </c>
      <c r="E656" s="87"/>
      <c r="F656" s="87">
        <f>IF(COUNTIFS($C$3:C656,商品マスタ[[#This Row],[仕入先]],$E$3:E656,商品マスタ[[#This Row],[商品名]]) = 1, 1,0)</f>
        <v>0</v>
      </c>
      <c r="G656" s="133" t="str">
        <f>TEXT(SUMIF($C$3:C656,商品マスタ[[#This Row],[仕入先]],$F$3:F656), "0000")</f>
        <v>0000</v>
      </c>
      <c r="H656" s="87"/>
      <c r="I656" s="87"/>
      <c r="J656" s="87"/>
      <c r="K656" s="87"/>
      <c r="L656" s="134"/>
      <c r="M656" s="157"/>
      <c r="N656" s="134"/>
      <c r="O656" s="135" t="str">
        <f>IF(COUNT(商品マスタ[[#This Row],[参考上代
（税込)]]) &gt; 0, (商品マスタ[[#This Row],[参考上代
（税込)]]-商品マスタ[[#This Row],[国内定価
（15％）]])/(商品マスタ[[#This Row],[参考上代
（税込)]]/1.08), "")</f>
        <v/>
      </c>
      <c r="P656" s="136">
        <v>0.1</v>
      </c>
      <c r="Q656" s="134">
        <f>商品マスタ[[#This Row],[仕入
単価]]*商品マスタ[[#This Row],[標準国内送料率]]</f>
        <v>0</v>
      </c>
      <c r="R656" s="134"/>
      <c r="S656" s="134">
        <f>IF(ISBLANK(商品マスタ[[#This Row],[実績
国内送料]]),商品マスタ[[#This Row],[標準国内送料]],)</f>
        <v>0</v>
      </c>
      <c r="T656" s="134">
        <f>商品マスタ[[#This Row],[仕入
単価]]+商品マスタ[[#This Row],[国内送料]]</f>
        <v>0</v>
      </c>
      <c r="U656" s="134">
        <f>ROUNDUP(商品マスタ[[#This Row],[仕入単価+国内送料]]/0.8,-1)</f>
        <v>0</v>
      </c>
      <c r="V656" s="134">
        <f>商品マスタ[[#This Row],[海外定価
（20％）]]-商品マスタ[[#This Row],[仕入単価+国内送料]]</f>
        <v>0</v>
      </c>
      <c r="W656" s="87">
        <f>ROUNDUP(商品マスタ[[#This Row],[仕入単価+国内送料]]/0.85,-1)</f>
        <v>0</v>
      </c>
      <c r="X656" s="134">
        <f>商品マスタ[[#This Row],[国内定価
（15％）]]-商品マスタ[[#This Row],[仕入単価+国内送料]]</f>
        <v>0</v>
      </c>
      <c r="Y656" s="139"/>
      <c r="Z656" s="87"/>
      <c r="AA656" s="87"/>
      <c r="AB656" s="87"/>
      <c r="AC656" s="140"/>
      <c r="AD656" s="87"/>
      <c r="AE656" s="87"/>
      <c r="AF656" s="87"/>
      <c r="AG656" s="141"/>
    </row>
    <row r="657" spans="1:33" ht="18">
      <c r="A657" s="166"/>
      <c r="B657" s="167"/>
      <c r="C657" s="167"/>
      <c r="D657" s="143" t="str">
        <f>"PRD_SNJ_"&amp;
_xlfn.XLOOKUP(商品マスタ[[#This Row],[仕入先]],テーブル1[仕入先名],テーブル1[仕入先コード],"XXX",0,1)&amp;
"_"&amp;
商品マスタ[[#This Row],[シリアル]]&amp;
"_"&amp;
TEXT(COUNTIFS(商品マスタ!$C$3:C657,商品マスタ[[#This Row],[仕入先]],商品マスタ!$E$3:E657,商品マスタ[[#This Row],[商品名]]), "00")</f>
        <v>PRD_SNJ__0000_00</v>
      </c>
      <c r="E657" s="87"/>
      <c r="F657" s="87">
        <f>IF(COUNTIFS($C$3:C657,商品マスタ[[#This Row],[仕入先]],$E$3:E657,商品マスタ[[#This Row],[商品名]]) = 1, 1,0)</f>
        <v>0</v>
      </c>
      <c r="G657" s="133" t="str">
        <f>TEXT(SUMIF($C$3:C657,商品マスタ[[#This Row],[仕入先]],$F$3:F657), "0000")</f>
        <v>0000</v>
      </c>
      <c r="H657" s="87"/>
      <c r="I657" s="87"/>
      <c r="J657" s="87"/>
      <c r="K657" s="87"/>
      <c r="L657" s="134"/>
      <c r="M657" s="157"/>
      <c r="N657" s="134"/>
      <c r="O657" s="135" t="str">
        <f>IF(COUNT(商品マスタ[[#This Row],[参考上代
（税込)]]) &gt; 0, (商品マスタ[[#This Row],[参考上代
（税込)]]-商品マスタ[[#This Row],[国内定価
（15％）]])/(商品マスタ[[#This Row],[参考上代
（税込)]]/1.08), "")</f>
        <v/>
      </c>
      <c r="P657" s="136">
        <v>0.1</v>
      </c>
      <c r="Q657" s="134">
        <f>商品マスタ[[#This Row],[仕入
単価]]*商品マスタ[[#This Row],[標準国内送料率]]</f>
        <v>0</v>
      </c>
      <c r="R657" s="134"/>
      <c r="S657" s="134">
        <f>IF(ISBLANK(商品マスタ[[#This Row],[実績
国内送料]]),商品マスタ[[#This Row],[標準国内送料]],)</f>
        <v>0</v>
      </c>
      <c r="T657" s="134">
        <f>商品マスタ[[#This Row],[仕入
単価]]+商品マスタ[[#This Row],[国内送料]]</f>
        <v>0</v>
      </c>
      <c r="U657" s="134">
        <f>ROUNDUP(商品マスタ[[#This Row],[仕入単価+国内送料]]/0.8,-1)</f>
        <v>0</v>
      </c>
      <c r="V657" s="134">
        <f>商品マスタ[[#This Row],[海外定価
（20％）]]-商品マスタ[[#This Row],[仕入単価+国内送料]]</f>
        <v>0</v>
      </c>
      <c r="W657" s="87">
        <f>ROUNDUP(商品マスタ[[#This Row],[仕入単価+国内送料]]/0.85,-1)</f>
        <v>0</v>
      </c>
      <c r="X657" s="134">
        <f>商品マスタ[[#This Row],[国内定価
（15％）]]-商品マスタ[[#This Row],[仕入単価+国内送料]]</f>
        <v>0</v>
      </c>
      <c r="Y657" s="139"/>
      <c r="Z657" s="87"/>
      <c r="AA657" s="87"/>
      <c r="AB657" s="87"/>
      <c r="AC657" s="140"/>
      <c r="AD657" s="87"/>
      <c r="AE657" s="87"/>
      <c r="AF657" s="87"/>
      <c r="AG657" s="141"/>
    </row>
    <row r="658" spans="1:33" ht="18">
      <c r="A658" s="166"/>
      <c r="B658" s="167"/>
      <c r="C658" s="167"/>
      <c r="D658" s="143" t="str">
        <f>"PRD_SNJ_"&amp;
_xlfn.XLOOKUP(商品マスタ[[#This Row],[仕入先]],テーブル1[仕入先名],テーブル1[仕入先コード],"XXX",0,1)&amp;
"_"&amp;
商品マスタ[[#This Row],[シリアル]]&amp;
"_"&amp;
TEXT(COUNTIFS(商品マスタ!$C$3:C658,商品マスタ[[#This Row],[仕入先]],商品マスタ!$E$3:E658,商品マスタ[[#This Row],[商品名]]), "00")</f>
        <v>PRD_SNJ__0000_00</v>
      </c>
      <c r="E658" s="87"/>
      <c r="F658" s="87">
        <f>IF(COUNTIFS($C$3:C658,商品マスタ[[#This Row],[仕入先]],$E$3:E658,商品マスタ[[#This Row],[商品名]]) = 1, 1,0)</f>
        <v>0</v>
      </c>
      <c r="G658" s="133" t="str">
        <f>TEXT(SUMIF($C$3:C658,商品マスタ[[#This Row],[仕入先]],$F$3:F658), "0000")</f>
        <v>0000</v>
      </c>
      <c r="H658" s="87"/>
      <c r="I658" s="87"/>
      <c r="J658" s="87"/>
      <c r="K658" s="87"/>
      <c r="L658" s="134"/>
      <c r="M658" s="157"/>
      <c r="N658" s="134"/>
      <c r="O658" s="135" t="str">
        <f>IF(COUNT(商品マスタ[[#This Row],[参考上代
（税込)]]) &gt; 0, (商品マスタ[[#This Row],[参考上代
（税込)]]-商品マスタ[[#This Row],[国内定価
（15％）]])/(商品マスタ[[#This Row],[参考上代
（税込)]]/1.08), "")</f>
        <v/>
      </c>
      <c r="P658" s="136">
        <v>0.1</v>
      </c>
      <c r="Q658" s="134">
        <f>商品マスタ[[#This Row],[仕入
単価]]*商品マスタ[[#This Row],[標準国内送料率]]</f>
        <v>0</v>
      </c>
      <c r="R658" s="134"/>
      <c r="S658" s="134">
        <f>IF(ISBLANK(商品マスタ[[#This Row],[実績
国内送料]]),商品マスタ[[#This Row],[標準国内送料]],)</f>
        <v>0</v>
      </c>
      <c r="T658" s="134">
        <f>商品マスタ[[#This Row],[仕入
単価]]+商品マスタ[[#This Row],[国内送料]]</f>
        <v>0</v>
      </c>
      <c r="U658" s="134">
        <f>ROUNDUP(商品マスタ[[#This Row],[仕入単価+国内送料]]/0.8,-1)</f>
        <v>0</v>
      </c>
      <c r="V658" s="134">
        <f>商品マスタ[[#This Row],[海外定価
（20％）]]-商品マスタ[[#This Row],[仕入単価+国内送料]]</f>
        <v>0</v>
      </c>
      <c r="W658" s="87">
        <f>ROUNDUP(商品マスタ[[#This Row],[仕入単価+国内送料]]/0.85,-1)</f>
        <v>0</v>
      </c>
      <c r="X658" s="134">
        <f>商品マスタ[[#This Row],[国内定価
（15％）]]-商品マスタ[[#This Row],[仕入単価+国内送料]]</f>
        <v>0</v>
      </c>
      <c r="Y658" s="139"/>
      <c r="Z658" s="87"/>
      <c r="AA658" s="87"/>
      <c r="AB658" s="87"/>
      <c r="AC658" s="140"/>
      <c r="AD658" s="87"/>
      <c r="AE658" s="87"/>
      <c r="AF658" s="87"/>
      <c r="AG658" s="141"/>
    </row>
    <row r="659" spans="1:33" ht="18">
      <c r="A659" s="166"/>
      <c r="B659" s="167"/>
      <c r="C659" s="167"/>
      <c r="D659" s="143" t="str">
        <f>"PRD_SNJ_"&amp;
_xlfn.XLOOKUP(商品マスタ[[#This Row],[仕入先]],テーブル1[仕入先名],テーブル1[仕入先コード],"XXX",0,1)&amp;
"_"&amp;
商品マスタ[[#This Row],[シリアル]]&amp;
"_"&amp;
TEXT(COUNTIFS(商品マスタ!$C$3:C659,商品マスタ[[#This Row],[仕入先]],商品マスタ!$E$3:E659,商品マスタ[[#This Row],[商品名]]), "00")</f>
        <v>PRD_SNJ__0000_00</v>
      </c>
      <c r="E659" s="87"/>
      <c r="F659" s="87">
        <f>IF(COUNTIFS($C$3:C659,商品マスタ[[#This Row],[仕入先]],$E$3:E659,商品マスタ[[#This Row],[商品名]]) = 1, 1,0)</f>
        <v>0</v>
      </c>
      <c r="G659" s="133" t="str">
        <f>TEXT(SUMIF($C$3:C659,商品マスタ[[#This Row],[仕入先]],$F$3:F659), "0000")</f>
        <v>0000</v>
      </c>
      <c r="H659" s="87"/>
      <c r="I659" s="87"/>
      <c r="J659" s="87"/>
      <c r="K659" s="87"/>
      <c r="L659" s="134"/>
      <c r="M659" s="157"/>
      <c r="N659" s="134"/>
      <c r="O659" s="135" t="str">
        <f>IF(COUNT(商品マスタ[[#This Row],[参考上代
（税込)]]) &gt; 0, (商品マスタ[[#This Row],[参考上代
（税込)]]-商品マスタ[[#This Row],[国内定価
（15％）]])/(商品マスタ[[#This Row],[参考上代
（税込)]]/1.08), "")</f>
        <v/>
      </c>
      <c r="P659" s="136">
        <v>0.1</v>
      </c>
      <c r="Q659" s="134">
        <f>商品マスタ[[#This Row],[仕入
単価]]*商品マスタ[[#This Row],[標準国内送料率]]</f>
        <v>0</v>
      </c>
      <c r="R659" s="134"/>
      <c r="S659" s="134">
        <f>IF(ISBLANK(商品マスタ[[#This Row],[実績
国内送料]]),商品マスタ[[#This Row],[標準国内送料]],)</f>
        <v>0</v>
      </c>
      <c r="T659" s="134">
        <f>商品マスタ[[#This Row],[仕入
単価]]+商品マスタ[[#This Row],[国内送料]]</f>
        <v>0</v>
      </c>
      <c r="U659" s="134">
        <f>ROUNDUP(商品マスタ[[#This Row],[仕入単価+国内送料]]/0.8,-1)</f>
        <v>0</v>
      </c>
      <c r="V659" s="134">
        <f>商品マスタ[[#This Row],[海外定価
（20％）]]-商品マスタ[[#This Row],[仕入単価+国内送料]]</f>
        <v>0</v>
      </c>
      <c r="W659" s="87">
        <f>ROUNDUP(商品マスタ[[#This Row],[仕入単価+国内送料]]/0.85,-1)</f>
        <v>0</v>
      </c>
      <c r="X659" s="134">
        <f>商品マスタ[[#This Row],[国内定価
（15％）]]-商品マスタ[[#This Row],[仕入単価+国内送料]]</f>
        <v>0</v>
      </c>
      <c r="Y659" s="139"/>
      <c r="Z659" s="87"/>
      <c r="AA659" s="87"/>
      <c r="AB659" s="87"/>
      <c r="AC659" s="140"/>
      <c r="AD659" s="87"/>
      <c r="AE659" s="87"/>
      <c r="AF659" s="87"/>
      <c r="AG659" s="141"/>
    </row>
    <row r="660" spans="1:33" ht="18">
      <c r="A660" s="166"/>
      <c r="B660" s="167"/>
      <c r="C660" s="167"/>
      <c r="D660" s="143" t="str">
        <f>"PRD_SNJ_"&amp;
_xlfn.XLOOKUP(商品マスタ[[#This Row],[仕入先]],テーブル1[仕入先名],テーブル1[仕入先コード],"XXX",0,1)&amp;
"_"&amp;
商品マスタ[[#This Row],[シリアル]]&amp;
"_"&amp;
TEXT(COUNTIFS(商品マスタ!$C$3:C660,商品マスタ[[#This Row],[仕入先]],商品マスタ!$E$3:E660,商品マスタ[[#This Row],[商品名]]), "00")</f>
        <v>PRD_SNJ__0000_00</v>
      </c>
      <c r="E660" s="87"/>
      <c r="F660" s="87">
        <f>IF(COUNTIFS($C$3:C660,商品マスタ[[#This Row],[仕入先]],$E$3:E660,商品マスタ[[#This Row],[商品名]]) = 1, 1,0)</f>
        <v>0</v>
      </c>
      <c r="G660" s="133" t="str">
        <f>TEXT(SUMIF($C$3:C660,商品マスタ[[#This Row],[仕入先]],$F$3:F660), "0000")</f>
        <v>0000</v>
      </c>
      <c r="H660" s="87"/>
      <c r="I660" s="87"/>
      <c r="J660" s="87"/>
      <c r="K660" s="87"/>
      <c r="L660" s="134"/>
      <c r="M660" s="157"/>
      <c r="N660" s="134"/>
      <c r="O660" s="135" t="str">
        <f>IF(COUNT(商品マスタ[[#This Row],[参考上代
（税込)]]) &gt; 0, (商品マスタ[[#This Row],[参考上代
（税込)]]-商品マスタ[[#This Row],[国内定価
（15％）]])/(商品マスタ[[#This Row],[参考上代
（税込)]]/1.08), "")</f>
        <v/>
      </c>
      <c r="P660" s="136">
        <v>0.1</v>
      </c>
      <c r="Q660" s="134">
        <f>商品マスタ[[#This Row],[仕入
単価]]*商品マスタ[[#This Row],[標準国内送料率]]</f>
        <v>0</v>
      </c>
      <c r="R660" s="134"/>
      <c r="S660" s="134">
        <f>IF(ISBLANK(商品マスタ[[#This Row],[実績
国内送料]]),商品マスタ[[#This Row],[標準国内送料]],)</f>
        <v>0</v>
      </c>
      <c r="T660" s="134">
        <f>商品マスタ[[#This Row],[仕入
単価]]+商品マスタ[[#This Row],[国内送料]]</f>
        <v>0</v>
      </c>
      <c r="U660" s="134">
        <f>ROUNDUP(商品マスタ[[#This Row],[仕入単価+国内送料]]/0.8,-1)</f>
        <v>0</v>
      </c>
      <c r="V660" s="134">
        <f>商品マスタ[[#This Row],[海外定価
（20％）]]-商品マスタ[[#This Row],[仕入単価+国内送料]]</f>
        <v>0</v>
      </c>
      <c r="W660" s="87">
        <f>ROUNDUP(商品マスタ[[#This Row],[仕入単価+国内送料]]/0.85,-1)</f>
        <v>0</v>
      </c>
      <c r="X660" s="134">
        <f>商品マスタ[[#This Row],[国内定価
（15％）]]-商品マスタ[[#This Row],[仕入単価+国内送料]]</f>
        <v>0</v>
      </c>
      <c r="Y660" s="139"/>
      <c r="Z660" s="87"/>
      <c r="AA660" s="87"/>
      <c r="AB660" s="87"/>
      <c r="AC660" s="140"/>
      <c r="AD660" s="87"/>
      <c r="AE660" s="87"/>
      <c r="AF660" s="87"/>
      <c r="AG660" s="141"/>
    </row>
    <row r="661" spans="1:33" ht="18">
      <c r="A661" s="166"/>
      <c r="B661" s="167"/>
      <c r="C661" s="167"/>
      <c r="D661" s="143" t="str">
        <f>"PRD_SNJ_"&amp;
_xlfn.XLOOKUP(商品マスタ[[#This Row],[仕入先]],テーブル1[仕入先名],テーブル1[仕入先コード],"XXX",0,1)&amp;
"_"&amp;
商品マスタ[[#This Row],[シリアル]]&amp;
"_"&amp;
TEXT(COUNTIFS(商品マスタ!$C$3:C661,商品マスタ[[#This Row],[仕入先]],商品マスタ!$E$3:E661,商品マスタ[[#This Row],[商品名]]), "00")</f>
        <v>PRD_SNJ__0000_00</v>
      </c>
      <c r="E661" s="87"/>
      <c r="F661" s="87">
        <f>IF(COUNTIFS($C$3:C661,商品マスタ[[#This Row],[仕入先]],$E$3:E661,商品マスタ[[#This Row],[商品名]]) = 1, 1,0)</f>
        <v>0</v>
      </c>
      <c r="G661" s="133" t="str">
        <f>TEXT(SUMIF($C$3:C661,商品マスタ[[#This Row],[仕入先]],$F$3:F661), "0000")</f>
        <v>0000</v>
      </c>
      <c r="H661" s="87"/>
      <c r="I661" s="87"/>
      <c r="J661" s="87"/>
      <c r="K661" s="87"/>
      <c r="L661" s="134"/>
      <c r="M661" s="157"/>
      <c r="N661" s="134"/>
      <c r="O661" s="135" t="str">
        <f>IF(COUNT(商品マスタ[[#This Row],[参考上代
（税込)]]) &gt; 0, (商品マスタ[[#This Row],[参考上代
（税込)]]-商品マスタ[[#This Row],[国内定価
（15％）]])/(商品マスタ[[#This Row],[参考上代
（税込)]]/1.08), "")</f>
        <v/>
      </c>
      <c r="P661" s="136">
        <v>0.1</v>
      </c>
      <c r="Q661" s="134">
        <f>商品マスタ[[#This Row],[仕入
単価]]*商品マスタ[[#This Row],[標準国内送料率]]</f>
        <v>0</v>
      </c>
      <c r="R661" s="134"/>
      <c r="S661" s="134">
        <f>IF(ISBLANK(商品マスタ[[#This Row],[実績
国内送料]]),商品マスタ[[#This Row],[標準国内送料]],)</f>
        <v>0</v>
      </c>
      <c r="T661" s="134">
        <f>商品マスタ[[#This Row],[仕入
単価]]+商品マスタ[[#This Row],[国内送料]]</f>
        <v>0</v>
      </c>
      <c r="U661" s="134">
        <f>ROUNDUP(商品マスタ[[#This Row],[仕入単価+国内送料]]/0.8,-1)</f>
        <v>0</v>
      </c>
      <c r="V661" s="134">
        <f>商品マスタ[[#This Row],[海外定価
（20％）]]-商品マスタ[[#This Row],[仕入単価+国内送料]]</f>
        <v>0</v>
      </c>
      <c r="W661" s="87">
        <f>ROUNDUP(商品マスタ[[#This Row],[仕入単価+国内送料]]/0.85,-1)</f>
        <v>0</v>
      </c>
      <c r="X661" s="134">
        <f>商品マスタ[[#This Row],[国内定価
（15％）]]-商品マスタ[[#This Row],[仕入単価+国内送料]]</f>
        <v>0</v>
      </c>
      <c r="Y661" s="139"/>
      <c r="Z661" s="87"/>
      <c r="AA661" s="87"/>
      <c r="AB661" s="87"/>
      <c r="AC661" s="140"/>
      <c r="AD661" s="87"/>
      <c r="AE661" s="87"/>
      <c r="AF661" s="87"/>
      <c r="AG661" s="141"/>
    </row>
    <row r="662" spans="1:33" ht="18">
      <c r="A662" s="166"/>
      <c r="B662" s="167"/>
      <c r="C662" s="167"/>
      <c r="D662" s="143" t="str">
        <f>"PRD_SNJ_"&amp;
_xlfn.XLOOKUP(商品マスタ[[#This Row],[仕入先]],テーブル1[仕入先名],テーブル1[仕入先コード],"XXX",0,1)&amp;
"_"&amp;
商品マスタ[[#This Row],[シリアル]]&amp;
"_"&amp;
TEXT(COUNTIFS(商品マスタ!$C$3:C662,商品マスタ[[#This Row],[仕入先]],商品マスタ!$E$3:E662,商品マスタ[[#This Row],[商品名]]), "00")</f>
        <v>PRD_SNJ__0000_00</v>
      </c>
      <c r="E662" s="87"/>
      <c r="F662" s="87">
        <f>IF(COUNTIFS($C$3:C662,商品マスタ[[#This Row],[仕入先]],$E$3:E662,商品マスタ[[#This Row],[商品名]]) = 1, 1,0)</f>
        <v>0</v>
      </c>
      <c r="G662" s="133" t="str">
        <f>TEXT(SUMIF($C$3:C662,商品マスタ[[#This Row],[仕入先]],$F$3:F662), "0000")</f>
        <v>0000</v>
      </c>
      <c r="H662" s="87"/>
      <c r="I662" s="87"/>
      <c r="J662" s="87"/>
      <c r="K662" s="87"/>
      <c r="L662" s="134"/>
      <c r="M662" s="157"/>
      <c r="N662" s="134"/>
      <c r="O662" s="135" t="str">
        <f>IF(COUNT(商品マスタ[[#This Row],[参考上代
（税込)]]) &gt; 0, (商品マスタ[[#This Row],[参考上代
（税込)]]-商品マスタ[[#This Row],[国内定価
（15％）]])/(商品マスタ[[#This Row],[参考上代
（税込)]]/1.08), "")</f>
        <v/>
      </c>
      <c r="P662" s="136">
        <v>0.1</v>
      </c>
      <c r="Q662" s="134">
        <f>商品マスタ[[#This Row],[仕入
単価]]*商品マスタ[[#This Row],[標準国内送料率]]</f>
        <v>0</v>
      </c>
      <c r="R662" s="134"/>
      <c r="S662" s="134">
        <f>IF(ISBLANK(商品マスタ[[#This Row],[実績
国内送料]]),商品マスタ[[#This Row],[標準国内送料]],)</f>
        <v>0</v>
      </c>
      <c r="T662" s="134">
        <f>商品マスタ[[#This Row],[仕入
単価]]+商品マスタ[[#This Row],[国内送料]]</f>
        <v>0</v>
      </c>
      <c r="U662" s="134">
        <f>ROUNDUP(商品マスタ[[#This Row],[仕入単価+国内送料]]/0.8,-1)</f>
        <v>0</v>
      </c>
      <c r="V662" s="134">
        <f>商品マスタ[[#This Row],[海外定価
（20％）]]-商品マスタ[[#This Row],[仕入単価+国内送料]]</f>
        <v>0</v>
      </c>
      <c r="W662" s="87">
        <f>ROUNDUP(商品マスタ[[#This Row],[仕入単価+国内送料]]/0.85,-1)</f>
        <v>0</v>
      </c>
      <c r="X662" s="134">
        <f>商品マスタ[[#This Row],[国内定価
（15％）]]-商品マスタ[[#This Row],[仕入単価+国内送料]]</f>
        <v>0</v>
      </c>
      <c r="Y662" s="139"/>
      <c r="Z662" s="87"/>
      <c r="AA662" s="87"/>
      <c r="AB662" s="87"/>
      <c r="AC662" s="140"/>
      <c r="AD662" s="87"/>
      <c r="AE662" s="87"/>
      <c r="AF662" s="87"/>
      <c r="AG662" s="141"/>
    </row>
    <row r="663" spans="1:33" ht="18">
      <c r="A663" s="166"/>
      <c r="B663" s="167"/>
      <c r="C663" s="167"/>
      <c r="D663" s="143" t="str">
        <f>"PRD_SNJ_"&amp;
_xlfn.XLOOKUP(商品マスタ[[#This Row],[仕入先]],テーブル1[仕入先名],テーブル1[仕入先コード],"XXX",0,1)&amp;
"_"&amp;
商品マスタ[[#This Row],[シリアル]]&amp;
"_"&amp;
TEXT(COUNTIFS(商品マスタ!$C$3:C663,商品マスタ[[#This Row],[仕入先]],商品マスタ!$E$3:E663,商品マスタ[[#This Row],[商品名]]), "00")</f>
        <v>PRD_SNJ__0000_00</v>
      </c>
      <c r="E663" s="87"/>
      <c r="F663" s="87">
        <f>IF(COUNTIFS($C$3:C663,商品マスタ[[#This Row],[仕入先]],$E$3:E663,商品マスタ[[#This Row],[商品名]]) = 1, 1,0)</f>
        <v>0</v>
      </c>
      <c r="G663" s="133" t="str">
        <f>TEXT(SUMIF($C$3:C663,商品マスタ[[#This Row],[仕入先]],$F$3:F663), "0000")</f>
        <v>0000</v>
      </c>
      <c r="H663" s="87"/>
      <c r="I663" s="87"/>
      <c r="J663" s="87"/>
      <c r="K663" s="87"/>
      <c r="L663" s="134"/>
      <c r="M663" s="157"/>
      <c r="N663" s="134"/>
      <c r="O663" s="135" t="str">
        <f>IF(COUNT(商品マスタ[[#This Row],[参考上代
（税込)]]) &gt; 0, (商品マスタ[[#This Row],[参考上代
（税込)]]-商品マスタ[[#This Row],[国内定価
（15％）]])/(商品マスタ[[#This Row],[参考上代
（税込)]]/1.08), "")</f>
        <v/>
      </c>
      <c r="P663" s="136">
        <v>0.1</v>
      </c>
      <c r="Q663" s="134">
        <f>商品マスタ[[#This Row],[仕入
単価]]*商品マスタ[[#This Row],[標準国内送料率]]</f>
        <v>0</v>
      </c>
      <c r="R663" s="134"/>
      <c r="S663" s="134">
        <f>IF(ISBLANK(商品マスタ[[#This Row],[実績
国内送料]]),商品マスタ[[#This Row],[標準国内送料]],)</f>
        <v>0</v>
      </c>
      <c r="T663" s="134">
        <f>商品マスタ[[#This Row],[仕入
単価]]+商品マスタ[[#This Row],[国内送料]]</f>
        <v>0</v>
      </c>
      <c r="U663" s="134">
        <f>ROUNDUP(商品マスタ[[#This Row],[仕入単価+国内送料]]/0.8,-1)</f>
        <v>0</v>
      </c>
      <c r="V663" s="134">
        <f>商品マスタ[[#This Row],[海外定価
（20％）]]-商品マスタ[[#This Row],[仕入単価+国内送料]]</f>
        <v>0</v>
      </c>
      <c r="W663" s="87">
        <f>ROUNDUP(商品マスタ[[#This Row],[仕入単価+国内送料]]/0.85,-1)</f>
        <v>0</v>
      </c>
      <c r="X663" s="134">
        <f>商品マスタ[[#This Row],[国内定価
（15％）]]-商品マスタ[[#This Row],[仕入単価+国内送料]]</f>
        <v>0</v>
      </c>
      <c r="Y663" s="139"/>
      <c r="Z663" s="87"/>
      <c r="AA663" s="87"/>
      <c r="AB663" s="87"/>
      <c r="AC663" s="140"/>
      <c r="AD663" s="87"/>
      <c r="AE663" s="87"/>
      <c r="AF663" s="87"/>
      <c r="AG663" s="141"/>
    </row>
    <row r="664" spans="1:33" ht="18">
      <c r="A664" s="166"/>
      <c r="B664" s="167"/>
      <c r="C664" s="167"/>
      <c r="D664" s="143" t="str">
        <f>"PRD_SNJ_"&amp;
_xlfn.XLOOKUP(商品マスタ[[#This Row],[仕入先]],テーブル1[仕入先名],テーブル1[仕入先コード],"XXX",0,1)&amp;
"_"&amp;
商品マスタ[[#This Row],[シリアル]]&amp;
"_"&amp;
TEXT(COUNTIFS(商品マスタ!$C$3:C664,商品マスタ[[#This Row],[仕入先]],商品マスタ!$E$3:E664,商品マスタ[[#This Row],[商品名]]), "00")</f>
        <v>PRD_SNJ__0000_00</v>
      </c>
      <c r="E664" s="87"/>
      <c r="F664" s="87">
        <f>IF(COUNTIFS($C$3:C664,商品マスタ[[#This Row],[仕入先]],$E$3:E664,商品マスタ[[#This Row],[商品名]]) = 1, 1,0)</f>
        <v>0</v>
      </c>
      <c r="G664" s="133" t="str">
        <f>TEXT(SUMIF($C$3:C664,商品マスタ[[#This Row],[仕入先]],$F$3:F664), "0000")</f>
        <v>0000</v>
      </c>
      <c r="H664" s="87"/>
      <c r="I664" s="87"/>
      <c r="J664" s="87"/>
      <c r="K664" s="87"/>
      <c r="L664" s="134"/>
      <c r="M664" s="157"/>
      <c r="N664" s="134"/>
      <c r="O664" s="135" t="str">
        <f>IF(COUNT(商品マスタ[[#This Row],[参考上代
（税込)]]) &gt; 0, (商品マスタ[[#This Row],[参考上代
（税込)]]-商品マスタ[[#This Row],[国内定価
（15％）]])/(商品マスタ[[#This Row],[参考上代
（税込)]]/1.08), "")</f>
        <v/>
      </c>
      <c r="P664" s="136">
        <v>0.1</v>
      </c>
      <c r="Q664" s="134">
        <f>商品マスタ[[#This Row],[仕入
単価]]*商品マスタ[[#This Row],[標準国内送料率]]</f>
        <v>0</v>
      </c>
      <c r="R664" s="134"/>
      <c r="S664" s="134">
        <f>IF(ISBLANK(商品マスタ[[#This Row],[実績
国内送料]]),商品マスタ[[#This Row],[標準国内送料]],)</f>
        <v>0</v>
      </c>
      <c r="T664" s="134">
        <f>商品マスタ[[#This Row],[仕入
単価]]+商品マスタ[[#This Row],[国内送料]]</f>
        <v>0</v>
      </c>
      <c r="U664" s="134">
        <f>ROUNDUP(商品マスタ[[#This Row],[仕入単価+国内送料]]/0.8,-1)</f>
        <v>0</v>
      </c>
      <c r="V664" s="134">
        <f>商品マスタ[[#This Row],[海外定価
（20％）]]-商品マスタ[[#This Row],[仕入単価+国内送料]]</f>
        <v>0</v>
      </c>
      <c r="W664" s="87">
        <f>ROUNDUP(商品マスタ[[#This Row],[仕入単価+国内送料]]/0.85,-1)</f>
        <v>0</v>
      </c>
      <c r="X664" s="134">
        <f>商品マスタ[[#This Row],[国内定価
（15％）]]-商品マスタ[[#This Row],[仕入単価+国内送料]]</f>
        <v>0</v>
      </c>
      <c r="Y664" s="139"/>
      <c r="Z664" s="87"/>
      <c r="AA664" s="87"/>
      <c r="AB664" s="87"/>
      <c r="AC664" s="140"/>
      <c r="AD664" s="87"/>
      <c r="AE664" s="87"/>
      <c r="AF664" s="87"/>
      <c r="AG664" s="141"/>
    </row>
    <row r="665" spans="1:33" ht="18">
      <c r="A665" s="166"/>
      <c r="B665" s="167"/>
      <c r="C665" s="167"/>
      <c r="D665" s="143" t="str">
        <f>"PRD_SNJ_"&amp;
_xlfn.XLOOKUP(商品マスタ[[#This Row],[仕入先]],テーブル1[仕入先名],テーブル1[仕入先コード],"XXX",0,1)&amp;
"_"&amp;
商品マスタ[[#This Row],[シリアル]]&amp;
"_"&amp;
TEXT(COUNTIFS(商品マスタ!$C$3:C665,商品マスタ[[#This Row],[仕入先]],商品マスタ!$E$3:E665,商品マスタ[[#This Row],[商品名]]), "00")</f>
        <v>PRD_SNJ__0000_00</v>
      </c>
      <c r="E665" s="87"/>
      <c r="F665" s="87">
        <f>IF(COUNTIFS($C$3:C665,商品マスタ[[#This Row],[仕入先]],$E$3:E665,商品マスタ[[#This Row],[商品名]]) = 1, 1,0)</f>
        <v>0</v>
      </c>
      <c r="G665" s="133" t="str">
        <f>TEXT(SUMIF($C$3:C665,商品マスタ[[#This Row],[仕入先]],$F$3:F665), "0000")</f>
        <v>0000</v>
      </c>
      <c r="H665" s="87"/>
      <c r="I665" s="87"/>
      <c r="J665" s="87"/>
      <c r="K665" s="87"/>
      <c r="L665" s="134"/>
      <c r="M665" s="157"/>
      <c r="N665" s="134"/>
      <c r="O665" s="135" t="str">
        <f>IF(COUNT(商品マスタ[[#This Row],[参考上代
（税込)]]) &gt; 0, (商品マスタ[[#This Row],[参考上代
（税込)]]-商品マスタ[[#This Row],[国内定価
（15％）]])/(商品マスタ[[#This Row],[参考上代
（税込)]]/1.08), "")</f>
        <v/>
      </c>
      <c r="P665" s="136">
        <v>0.1</v>
      </c>
      <c r="Q665" s="134">
        <f>商品マスタ[[#This Row],[仕入
単価]]*商品マスタ[[#This Row],[標準国内送料率]]</f>
        <v>0</v>
      </c>
      <c r="R665" s="134"/>
      <c r="S665" s="134">
        <f>IF(ISBLANK(商品マスタ[[#This Row],[実績
国内送料]]),商品マスタ[[#This Row],[標準国内送料]],)</f>
        <v>0</v>
      </c>
      <c r="T665" s="134">
        <f>商品マスタ[[#This Row],[仕入
単価]]+商品マスタ[[#This Row],[国内送料]]</f>
        <v>0</v>
      </c>
      <c r="U665" s="134">
        <f>ROUNDUP(商品マスタ[[#This Row],[仕入単価+国内送料]]/0.8,-1)</f>
        <v>0</v>
      </c>
      <c r="V665" s="134">
        <f>商品マスタ[[#This Row],[海外定価
（20％）]]-商品マスタ[[#This Row],[仕入単価+国内送料]]</f>
        <v>0</v>
      </c>
      <c r="W665" s="87">
        <f>ROUNDUP(商品マスタ[[#This Row],[仕入単価+国内送料]]/0.85,-1)</f>
        <v>0</v>
      </c>
      <c r="X665" s="134">
        <f>商品マスタ[[#This Row],[国内定価
（15％）]]-商品マスタ[[#This Row],[仕入単価+国内送料]]</f>
        <v>0</v>
      </c>
      <c r="Y665" s="139"/>
      <c r="Z665" s="87"/>
      <c r="AA665" s="87"/>
      <c r="AB665" s="87"/>
      <c r="AC665" s="140"/>
      <c r="AD665" s="87"/>
      <c r="AE665" s="87"/>
      <c r="AF665" s="87"/>
      <c r="AG665" s="141"/>
    </row>
    <row r="666" spans="1:33" ht="18">
      <c r="A666" s="166"/>
      <c r="B666" s="167"/>
      <c r="C666" s="167"/>
      <c r="D666" s="143" t="str">
        <f>"PRD_SNJ_"&amp;
_xlfn.XLOOKUP(商品マスタ[[#This Row],[仕入先]],テーブル1[仕入先名],テーブル1[仕入先コード],"XXX",0,1)&amp;
"_"&amp;
商品マスタ[[#This Row],[シリアル]]&amp;
"_"&amp;
TEXT(COUNTIFS(商品マスタ!$C$3:C666,商品マスタ[[#This Row],[仕入先]],商品マスタ!$E$3:E666,商品マスタ[[#This Row],[商品名]]), "00")</f>
        <v>PRD_SNJ__0000_00</v>
      </c>
      <c r="E666" s="87"/>
      <c r="F666" s="87">
        <f>IF(COUNTIFS($C$3:C666,商品マスタ[[#This Row],[仕入先]],$E$3:E666,商品マスタ[[#This Row],[商品名]]) = 1, 1,0)</f>
        <v>0</v>
      </c>
      <c r="G666" s="133" t="str">
        <f>TEXT(SUMIF($C$3:C666,商品マスタ[[#This Row],[仕入先]],$F$3:F666), "0000")</f>
        <v>0000</v>
      </c>
      <c r="H666" s="87"/>
      <c r="I666" s="87"/>
      <c r="J666" s="87"/>
      <c r="K666" s="87"/>
      <c r="L666" s="134"/>
      <c r="M666" s="157"/>
      <c r="N666" s="134"/>
      <c r="O666" s="135" t="str">
        <f>IF(COUNT(商品マスタ[[#This Row],[参考上代
（税込)]]) &gt; 0, (商品マスタ[[#This Row],[参考上代
（税込)]]-商品マスタ[[#This Row],[国内定価
（15％）]])/(商品マスタ[[#This Row],[参考上代
（税込)]]/1.08), "")</f>
        <v/>
      </c>
      <c r="P666" s="136">
        <v>0.1</v>
      </c>
      <c r="Q666" s="134">
        <f>商品マスタ[[#This Row],[仕入
単価]]*商品マスタ[[#This Row],[標準国内送料率]]</f>
        <v>0</v>
      </c>
      <c r="R666" s="134"/>
      <c r="S666" s="134">
        <f>IF(ISBLANK(商品マスタ[[#This Row],[実績
国内送料]]),商品マスタ[[#This Row],[標準国内送料]],)</f>
        <v>0</v>
      </c>
      <c r="T666" s="134">
        <f>商品マスタ[[#This Row],[仕入
単価]]+商品マスタ[[#This Row],[国内送料]]</f>
        <v>0</v>
      </c>
      <c r="U666" s="134">
        <f>ROUNDUP(商品マスタ[[#This Row],[仕入単価+国内送料]]/0.8,-1)</f>
        <v>0</v>
      </c>
      <c r="V666" s="134">
        <f>商品マスタ[[#This Row],[海外定価
（20％）]]-商品マスタ[[#This Row],[仕入単価+国内送料]]</f>
        <v>0</v>
      </c>
      <c r="W666" s="87">
        <f>ROUNDUP(商品マスタ[[#This Row],[仕入単価+国内送料]]/0.85,-1)</f>
        <v>0</v>
      </c>
      <c r="X666" s="134">
        <f>商品マスタ[[#This Row],[国内定価
（15％）]]-商品マスタ[[#This Row],[仕入単価+国内送料]]</f>
        <v>0</v>
      </c>
      <c r="Y666" s="139"/>
      <c r="Z666" s="87"/>
      <c r="AA666" s="87"/>
      <c r="AB666" s="87"/>
      <c r="AC666" s="140"/>
      <c r="AD666" s="87"/>
      <c r="AE666" s="87"/>
      <c r="AF666" s="87"/>
      <c r="AG666" s="141"/>
    </row>
    <row r="667" spans="1:33" ht="18">
      <c r="A667" s="166"/>
      <c r="B667" s="167"/>
      <c r="C667" s="167"/>
      <c r="D667" s="143" t="str">
        <f>"PRD_SNJ_"&amp;
_xlfn.XLOOKUP(商品マスタ[[#This Row],[仕入先]],テーブル1[仕入先名],テーブル1[仕入先コード],"XXX",0,1)&amp;
"_"&amp;
商品マスタ[[#This Row],[シリアル]]&amp;
"_"&amp;
TEXT(COUNTIFS(商品マスタ!$C$3:C667,商品マスタ[[#This Row],[仕入先]],商品マスタ!$E$3:E667,商品マスタ[[#This Row],[商品名]]), "00")</f>
        <v>PRD_SNJ__0000_00</v>
      </c>
      <c r="E667" s="87"/>
      <c r="F667" s="87">
        <f>IF(COUNTIFS($C$3:C667,商品マスタ[[#This Row],[仕入先]],$E$3:E667,商品マスタ[[#This Row],[商品名]]) = 1, 1,0)</f>
        <v>0</v>
      </c>
      <c r="G667" s="133" t="str">
        <f>TEXT(SUMIF($C$3:C667,商品マスタ[[#This Row],[仕入先]],$F$3:F667), "0000")</f>
        <v>0000</v>
      </c>
      <c r="H667" s="87"/>
      <c r="I667" s="87"/>
      <c r="J667" s="87"/>
      <c r="K667" s="87"/>
      <c r="L667" s="134"/>
      <c r="M667" s="157"/>
      <c r="N667" s="134"/>
      <c r="O667" s="135" t="str">
        <f>IF(COUNT(商品マスタ[[#This Row],[参考上代
（税込)]]) &gt; 0, (商品マスタ[[#This Row],[参考上代
（税込)]]-商品マスタ[[#This Row],[国内定価
（15％）]])/(商品マスタ[[#This Row],[参考上代
（税込)]]/1.08), "")</f>
        <v/>
      </c>
      <c r="P667" s="136">
        <v>0.1</v>
      </c>
      <c r="Q667" s="134">
        <f>商品マスタ[[#This Row],[仕入
単価]]*商品マスタ[[#This Row],[標準国内送料率]]</f>
        <v>0</v>
      </c>
      <c r="R667" s="134"/>
      <c r="S667" s="134">
        <f>IF(ISBLANK(商品マスタ[[#This Row],[実績
国内送料]]),商品マスタ[[#This Row],[標準国内送料]],)</f>
        <v>0</v>
      </c>
      <c r="T667" s="134">
        <f>商品マスタ[[#This Row],[仕入
単価]]+商品マスタ[[#This Row],[国内送料]]</f>
        <v>0</v>
      </c>
      <c r="U667" s="134">
        <f>ROUNDUP(商品マスタ[[#This Row],[仕入単価+国内送料]]/0.8,-1)</f>
        <v>0</v>
      </c>
      <c r="V667" s="134">
        <f>商品マスタ[[#This Row],[海外定価
（20％）]]-商品マスタ[[#This Row],[仕入単価+国内送料]]</f>
        <v>0</v>
      </c>
      <c r="W667" s="87">
        <f>ROUNDUP(商品マスタ[[#This Row],[仕入単価+国内送料]]/0.85,-1)</f>
        <v>0</v>
      </c>
      <c r="X667" s="134">
        <f>商品マスタ[[#This Row],[国内定価
（15％）]]-商品マスタ[[#This Row],[仕入単価+国内送料]]</f>
        <v>0</v>
      </c>
      <c r="Y667" s="139"/>
      <c r="Z667" s="87"/>
      <c r="AA667" s="87"/>
      <c r="AB667" s="87"/>
      <c r="AC667" s="140"/>
      <c r="AD667" s="87"/>
      <c r="AE667" s="87"/>
      <c r="AF667" s="87"/>
      <c r="AG667" s="141"/>
    </row>
    <row r="668" spans="1:33" ht="18">
      <c r="A668" s="166"/>
      <c r="B668" s="167"/>
      <c r="C668" s="167"/>
      <c r="D668" s="143" t="str">
        <f>"PRD_SNJ_"&amp;
_xlfn.XLOOKUP(商品マスタ[[#This Row],[仕入先]],テーブル1[仕入先名],テーブル1[仕入先コード],"XXX",0,1)&amp;
"_"&amp;
商品マスタ[[#This Row],[シリアル]]&amp;
"_"&amp;
TEXT(COUNTIFS(商品マスタ!$C$3:C668,商品マスタ[[#This Row],[仕入先]],商品マスタ!$E$3:E668,商品マスタ[[#This Row],[商品名]]), "00")</f>
        <v>PRD_SNJ__0000_00</v>
      </c>
      <c r="E668" s="87"/>
      <c r="F668" s="87">
        <f>IF(COUNTIFS($C$3:C668,商品マスタ[[#This Row],[仕入先]],$E$3:E668,商品マスタ[[#This Row],[商品名]]) = 1, 1,0)</f>
        <v>0</v>
      </c>
      <c r="G668" s="133" t="str">
        <f>TEXT(SUMIF($C$3:C668,商品マスタ[[#This Row],[仕入先]],$F$3:F668), "0000")</f>
        <v>0000</v>
      </c>
      <c r="H668" s="87"/>
      <c r="I668" s="87"/>
      <c r="J668" s="87"/>
      <c r="K668" s="87"/>
      <c r="L668" s="134"/>
      <c r="M668" s="157"/>
      <c r="N668" s="134"/>
      <c r="O668" s="135" t="str">
        <f>IF(COUNT(商品マスタ[[#This Row],[参考上代
（税込)]]) &gt; 0, (商品マスタ[[#This Row],[参考上代
（税込)]]-商品マスタ[[#This Row],[国内定価
（15％）]])/(商品マスタ[[#This Row],[参考上代
（税込)]]/1.08), "")</f>
        <v/>
      </c>
      <c r="P668" s="136">
        <v>0.1</v>
      </c>
      <c r="Q668" s="134">
        <f>商品マスタ[[#This Row],[仕入
単価]]*商品マスタ[[#This Row],[標準国内送料率]]</f>
        <v>0</v>
      </c>
      <c r="R668" s="134"/>
      <c r="S668" s="134">
        <f>IF(ISBLANK(商品マスタ[[#This Row],[実績
国内送料]]),商品マスタ[[#This Row],[標準国内送料]],)</f>
        <v>0</v>
      </c>
      <c r="T668" s="134">
        <f>商品マスタ[[#This Row],[仕入
単価]]+商品マスタ[[#This Row],[国内送料]]</f>
        <v>0</v>
      </c>
      <c r="U668" s="134">
        <f>ROUNDUP(商品マスタ[[#This Row],[仕入単価+国内送料]]/0.8,-1)</f>
        <v>0</v>
      </c>
      <c r="V668" s="134">
        <f>商品マスタ[[#This Row],[海外定価
（20％）]]-商品マスタ[[#This Row],[仕入単価+国内送料]]</f>
        <v>0</v>
      </c>
      <c r="W668" s="87">
        <f>ROUNDUP(商品マスタ[[#This Row],[仕入単価+国内送料]]/0.85,-1)</f>
        <v>0</v>
      </c>
      <c r="X668" s="134">
        <f>商品マスタ[[#This Row],[国内定価
（15％）]]-商品マスタ[[#This Row],[仕入単価+国内送料]]</f>
        <v>0</v>
      </c>
      <c r="Y668" s="139"/>
      <c r="Z668" s="87"/>
      <c r="AA668" s="87"/>
      <c r="AB668" s="87"/>
      <c r="AC668" s="140"/>
      <c r="AD668" s="87"/>
      <c r="AE668" s="87"/>
      <c r="AF668" s="87"/>
      <c r="AG668" s="141"/>
    </row>
    <row r="669" spans="1:33" ht="18">
      <c r="A669" s="166"/>
      <c r="B669" s="167"/>
      <c r="C669" s="167"/>
      <c r="D669" s="143" t="str">
        <f>"PRD_SNJ_"&amp;
_xlfn.XLOOKUP(商品マスタ[[#This Row],[仕入先]],テーブル1[仕入先名],テーブル1[仕入先コード],"XXX",0,1)&amp;
"_"&amp;
商品マスタ[[#This Row],[シリアル]]&amp;
"_"&amp;
TEXT(COUNTIFS(商品マスタ!$C$3:C669,商品マスタ[[#This Row],[仕入先]],商品マスタ!$E$3:E669,商品マスタ[[#This Row],[商品名]]), "00")</f>
        <v>PRD_SNJ__0000_00</v>
      </c>
      <c r="E669" s="87"/>
      <c r="F669" s="87">
        <f>IF(COUNTIFS($C$3:C669,商品マスタ[[#This Row],[仕入先]],$E$3:E669,商品マスタ[[#This Row],[商品名]]) = 1, 1,0)</f>
        <v>0</v>
      </c>
      <c r="G669" s="133" t="str">
        <f>TEXT(SUMIF($C$3:C669,商品マスタ[[#This Row],[仕入先]],$F$3:F669), "0000")</f>
        <v>0000</v>
      </c>
      <c r="H669" s="87"/>
      <c r="I669" s="87"/>
      <c r="J669" s="87"/>
      <c r="K669" s="87"/>
      <c r="L669" s="134"/>
      <c r="M669" s="157"/>
      <c r="N669" s="134"/>
      <c r="O669" s="135" t="str">
        <f>IF(COUNT(商品マスタ[[#This Row],[参考上代
（税込)]]) &gt; 0, (商品マスタ[[#This Row],[参考上代
（税込)]]-商品マスタ[[#This Row],[国内定価
（15％）]])/(商品マスタ[[#This Row],[参考上代
（税込)]]/1.08), "")</f>
        <v/>
      </c>
      <c r="P669" s="136">
        <v>0.1</v>
      </c>
      <c r="Q669" s="134">
        <f>商品マスタ[[#This Row],[仕入
単価]]*商品マスタ[[#This Row],[標準国内送料率]]</f>
        <v>0</v>
      </c>
      <c r="R669" s="134"/>
      <c r="S669" s="134">
        <f>IF(ISBLANK(商品マスタ[[#This Row],[実績
国内送料]]),商品マスタ[[#This Row],[標準国内送料]],)</f>
        <v>0</v>
      </c>
      <c r="T669" s="134">
        <f>商品マスタ[[#This Row],[仕入
単価]]+商品マスタ[[#This Row],[国内送料]]</f>
        <v>0</v>
      </c>
      <c r="U669" s="134">
        <f>ROUNDUP(商品マスタ[[#This Row],[仕入単価+国内送料]]/0.8,-1)</f>
        <v>0</v>
      </c>
      <c r="V669" s="134">
        <f>商品マスタ[[#This Row],[海外定価
（20％）]]-商品マスタ[[#This Row],[仕入単価+国内送料]]</f>
        <v>0</v>
      </c>
      <c r="W669" s="87">
        <f>ROUNDUP(商品マスタ[[#This Row],[仕入単価+国内送料]]/0.85,-1)</f>
        <v>0</v>
      </c>
      <c r="X669" s="134">
        <f>商品マスタ[[#This Row],[国内定価
（15％）]]-商品マスタ[[#This Row],[仕入単価+国内送料]]</f>
        <v>0</v>
      </c>
      <c r="Y669" s="139"/>
      <c r="Z669" s="87"/>
      <c r="AA669" s="87"/>
      <c r="AB669" s="87"/>
      <c r="AC669" s="140"/>
      <c r="AD669" s="87"/>
      <c r="AE669" s="87"/>
      <c r="AF669" s="87"/>
      <c r="AG669" s="141"/>
    </row>
    <row r="670" spans="1:33" ht="18">
      <c r="A670" s="166"/>
      <c r="B670" s="167"/>
      <c r="C670" s="167"/>
      <c r="D670" s="143" t="str">
        <f>"PRD_SNJ_"&amp;
_xlfn.XLOOKUP(商品マスタ[[#This Row],[仕入先]],テーブル1[仕入先名],テーブル1[仕入先コード],"XXX",0,1)&amp;
"_"&amp;
商品マスタ[[#This Row],[シリアル]]&amp;
"_"&amp;
TEXT(COUNTIFS(商品マスタ!$C$3:C670,商品マスタ[[#This Row],[仕入先]],商品マスタ!$E$3:E670,商品マスタ[[#This Row],[商品名]]), "00")</f>
        <v>PRD_SNJ__0000_00</v>
      </c>
      <c r="E670" s="87"/>
      <c r="F670" s="87">
        <f>IF(COUNTIFS($C$3:C670,商品マスタ[[#This Row],[仕入先]],$E$3:E670,商品マスタ[[#This Row],[商品名]]) = 1, 1,0)</f>
        <v>0</v>
      </c>
      <c r="G670" s="133" t="str">
        <f>TEXT(SUMIF($C$3:C670,商品マスタ[[#This Row],[仕入先]],$F$3:F670), "0000")</f>
        <v>0000</v>
      </c>
      <c r="H670" s="87"/>
      <c r="I670" s="87"/>
      <c r="J670" s="87"/>
      <c r="K670" s="87"/>
      <c r="L670" s="134"/>
      <c r="M670" s="157"/>
      <c r="N670" s="134"/>
      <c r="O670" s="135" t="str">
        <f>IF(COUNT(商品マスタ[[#This Row],[参考上代
（税込)]]) &gt; 0, (商品マスタ[[#This Row],[参考上代
（税込)]]-商品マスタ[[#This Row],[国内定価
（15％）]])/(商品マスタ[[#This Row],[参考上代
（税込)]]/1.08), "")</f>
        <v/>
      </c>
      <c r="P670" s="136">
        <v>0.1</v>
      </c>
      <c r="Q670" s="134">
        <f>商品マスタ[[#This Row],[仕入
単価]]*商品マスタ[[#This Row],[標準国内送料率]]</f>
        <v>0</v>
      </c>
      <c r="R670" s="134"/>
      <c r="S670" s="134">
        <f>IF(ISBLANK(商品マスタ[[#This Row],[実績
国内送料]]),商品マスタ[[#This Row],[標準国内送料]],)</f>
        <v>0</v>
      </c>
      <c r="T670" s="134">
        <f>商品マスタ[[#This Row],[仕入
単価]]+商品マスタ[[#This Row],[国内送料]]</f>
        <v>0</v>
      </c>
      <c r="U670" s="134">
        <f>ROUNDUP(商品マスタ[[#This Row],[仕入単価+国内送料]]/0.8,-1)</f>
        <v>0</v>
      </c>
      <c r="V670" s="134">
        <f>商品マスタ[[#This Row],[海外定価
（20％）]]-商品マスタ[[#This Row],[仕入単価+国内送料]]</f>
        <v>0</v>
      </c>
      <c r="W670" s="87">
        <f>ROUNDUP(商品マスタ[[#This Row],[仕入単価+国内送料]]/0.85,-1)</f>
        <v>0</v>
      </c>
      <c r="X670" s="134">
        <f>商品マスタ[[#This Row],[国内定価
（15％）]]-商品マスタ[[#This Row],[仕入単価+国内送料]]</f>
        <v>0</v>
      </c>
      <c r="Y670" s="139"/>
      <c r="Z670" s="87"/>
      <c r="AA670" s="87"/>
      <c r="AB670" s="87"/>
      <c r="AC670" s="140"/>
      <c r="AD670" s="87"/>
      <c r="AE670" s="87"/>
      <c r="AF670" s="87"/>
      <c r="AG670" s="141"/>
    </row>
    <row r="671" spans="1:33" ht="18">
      <c r="A671" s="166"/>
      <c r="B671" s="167"/>
      <c r="C671" s="167"/>
      <c r="D671" s="143" t="str">
        <f>"PRD_SNJ_"&amp;
_xlfn.XLOOKUP(商品マスタ[[#This Row],[仕入先]],テーブル1[仕入先名],テーブル1[仕入先コード],"XXX",0,1)&amp;
"_"&amp;
商品マスタ[[#This Row],[シリアル]]&amp;
"_"&amp;
TEXT(COUNTIFS(商品マスタ!$C$3:C671,商品マスタ[[#This Row],[仕入先]],商品マスタ!$E$3:E671,商品マスタ[[#This Row],[商品名]]), "00")</f>
        <v>PRD_SNJ__0000_00</v>
      </c>
      <c r="E671" s="87"/>
      <c r="F671" s="87">
        <f>IF(COUNTIFS($C$3:C671,商品マスタ[[#This Row],[仕入先]],$E$3:E671,商品マスタ[[#This Row],[商品名]]) = 1, 1,0)</f>
        <v>0</v>
      </c>
      <c r="G671" s="133" t="str">
        <f>TEXT(SUMIF($C$3:C671,商品マスタ[[#This Row],[仕入先]],$F$3:F671), "0000")</f>
        <v>0000</v>
      </c>
      <c r="H671" s="87"/>
      <c r="I671" s="87"/>
      <c r="J671" s="87"/>
      <c r="K671" s="87"/>
      <c r="L671" s="134"/>
      <c r="M671" s="157"/>
      <c r="N671" s="134"/>
      <c r="O671" s="135" t="str">
        <f>IF(COUNT(商品マスタ[[#This Row],[参考上代
（税込)]]) &gt; 0, (商品マスタ[[#This Row],[参考上代
（税込)]]-商品マスタ[[#This Row],[国内定価
（15％）]])/(商品マスタ[[#This Row],[参考上代
（税込)]]/1.08), "")</f>
        <v/>
      </c>
      <c r="P671" s="136">
        <v>0.1</v>
      </c>
      <c r="Q671" s="134">
        <f>商品マスタ[[#This Row],[仕入
単価]]*商品マスタ[[#This Row],[標準国内送料率]]</f>
        <v>0</v>
      </c>
      <c r="R671" s="134"/>
      <c r="S671" s="134">
        <f>IF(ISBLANK(商品マスタ[[#This Row],[実績
国内送料]]),商品マスタ[[#This Row],[標準国内送料]],)</f>
        <v>0</v>
      </c>
      <c r="T671" s="134">
        <f>商品マスタ[[#This Row],[仕入
単価]]+商品マスタ[[#This Row],[国内送料]]</f>
        <v>0</v>
      </c>
      <c r="U671" s="134">
        <f>ROUNDUP(商品マスタ[[#This Row],[仕入単価+国内送料]]/0.8,-1)</f>
        <v>0</v>
      </c>
      <c r="V671" s="134">
        <f>商品マスタ[[#This Row],[海外定価
（20％）]]-商品マスタ[[#This Row],[仕入単価+国内送料]]</f>
        <v>0</v>
      </c>
      <c r="W671" s="87">
        <f>ROUNDUP(商品マスタ[[#This Row],[仕入単価+国内送料]]/0.85,-1)</f>
        <v>0</v>
      </c>
      <c r="X671" s="134">
        <f>商品マスタ[[#This Row],[国内定価
（15％）]]-商品マスタ[[#This Row],[仕入単価+国内送料]]</f>
        <v>0</v>
      </c>
      <c r="Y671" s="139"/>
      <c r="Z671" s="87"/>
      <c r="AA671" s="87"/>
      <c r="AB671" s="87"/>
      <c r="AC671" s="140"/>
      <c r="AD671" s="87"/>
      <c r="AE671" s="87"/>
      <c r="AF671" s="87"/>
      <c r="AG671" s="141"/>
    </row>
    <row r="672" spans="1:33" ht="18">
      <c r="A672" s="166"/>
      <c r="B672" s="167"/>
      <c r="C672" s="167"/>
      <c r="D672" s="143" t="str">
        <f>"PRD_SNJ_"&amp;
_xlfn.XLOOKUP(商品マスタ[[#This Row],[仕入先]],テーブル1[仕入先名],テーブル1[仕入先コード],"XXX",0,1)&amp;
"_"&amp;
商品マスタ[[#This Row],[シリアル]]&amp;
"_"&amp;
TEXT(COUNTIFS(商品マスタ!$C$3:C672,商品マスタ[[#This Row],[仕入先]],商品マスタ!$E$3:E672,商品マスタ[[#This Row],[商品名]]), "00")</f>
        <v>PRD_SNJ__0000_00</v>
      </c>
      <c r="E672" s="87"/>
      <c r="F672" s="87">
        <f>IF(COUNTIFS($C$3:C672,商品マスタ[[#This Row],[仕入先]],$E$3:E672,商品マスタ[[#This Row],[商品名]]) = 1, 1,0)</f>
        <v>0</v>
      </c>
      <c r="G672" s="133" t="str">
        <f>TEXT(SUMIF($C$3:C672,商品マスタ[[#This Row],[仕入先]],$F$3:F672), "0000")</f>
        <v>0000</v>
      </c>
      <c r="H672" s="87"/>
      <c r="I672" s="87"/>
      <c r="J672" s="87"/>
      <c r="K672" s="87"/>
      <c r="L672" s="134"/>
      <c r="M672" s="157"/>
      <c r="N672" s="134"/>
      <c r="O672" s="135" t="str">
        <f>IF(COUNT(商品マスタ[[#This Row],[参考上代
（税込)]]) &gt; 0, (商品マスタ[[#This Row],[参考上代
（税込)]]-商品マスタ[[#This Row],[国内定価
（15％）]])/(商品マスタ[[#This Row],[参考上代
（税込)]]/1.08), "")</f>
        <v/>
      </c>
      <c r="P672" s="136">
        <v>0.1</v>
      </c>
      <c r="Q672" s="134">
        <f>商品マスタ[[#This Row],[仕入
単価]]*商品マスタ[[#This Row],[標準国内送料率]]</f>
        <v>0</v>
      </c>
      <c r="R672" s="134"/>
      <c r="S672" s="134">
        <f>IF(ISBLANK(商品マスタ[[#This Row],[実績
国内送料]]),商品マスタ[[#This Row],[標準国内送料]],)</f>
        <v>0</v>
      </c>
      <c r="T672" s="134">
        <f>商品マスタ[[#This Row],[仕入
単価]]+商品マスタ[[#This Row],[国内送料]]</f>
        <v>0</v>
      </c>
      <c r="U672" s="134">
        <f>ROUNDUP(商品マスタ[[#This Row],[仕入単価+国内送料]]/0.8,-1)</f>
        <v>0</v>
      </c>
      <c r="V672" s="134">
        <f>商品マスタ[[#This Row],[海外定価
（20％）]]-商品マスタ[[#This Row],[仕入単価+国内送料]]</f>
        <v>0</v>
      </c>
      <c r="W672" s="87">
        <f>ROUNDUP(商品マスタ[[#This Row],[仕入単価+国内送料]]/0.85,-1)</f>
        <v>0</v>
      </c>
      <c r="X672" s="134">
        <f>商品マスタ[[#This Row],[国内定価
（15％）]]-商品マスタ[[#This Row],[仕入単価+国内送料]]</f>
        <v>0</v>
      </c>
      <c r="Y672" s="139"/>
      <c r="Z672" s="87"/>
      <c r="AA672" s="87"/>
      <c r="AB672" s="87"/>
      <c r="AC672" s="140"/>
      <c r="AD672" s="87"/>
      <c r="AE672" s="87"/>
      <c r="AF672" s="87"/>
      <c r="AG672" s="141"/>
    </row>
    <row r="673" spans="1:33" ht="18">
      <c r="A673" s="166"/>
      <c r="B673" s="167"/>
      <c r="C673" s="167"/>
      <c r="D673" s="143" t="str">
        <f>"PRD_SNJ_"&amp;
_xlfn.XLOOKUP(商品マスタ[[#This Row],[仕入先]],テーブル1[仕入先名],テーブル1[仕入先コード],"XXX",0,1)&amp;
"_"&amp;
商品マスタ[[#This Row],[シリアル]]&amp;
"_"&amp;
TEXT(COUNTIFS(商品マスタ!$C$3:C673,商品マスタ[[#This Row],[仕入先]],商品マスタ!$E$3:E673,商品マスタ[[#This Row],[商品名]]), "00")</f>
        <v>PRD_SNJ__0000_00</v>
      </c>
      <c r="E673" s="87"/>
      <c r="F673" s="87">
        <f>IF(COUNTIFS($C$3:C673,商品マスタ[[#This Row],[仕入先]],$E$3:E673,商品マスタ[[#This Row],[商品名]]) = 1, 1,0)</f>
        <v>0</v>
      </c>
      <c r="G673" s="133" t="str">
        <f>TEXT(SUMIF($C$3:C673,商品マスタ[[#This Row],[仕入先]],$F$3:F673), "0000")</f>
        <v>0000</v>
      </c>
      <c r="H673" s="87"/>
      <c r="I673" s="87"/>
      <c r="J673" s="87"/>
      <c r="K673" s="87"/>
      <c r="L673" s="134"/>
      <c r="M673" s="157"/>
      <c r="N673" s="134"/>
      <c r="O673" s="135" t="str">
        <f>IF(COUNT(商品マスタ[[#This Row],[参考上代
（税込)]]) &gt; 0, (商品マスタ[[#This Row],[参考上代
（税込)]]-商品マスタ[[#This Row],[国内定価
（15％）]])/(商品マスタ[[#This Row],[参考上代
（税込)]]/1.08), "")</f>
        <v/>
      </c>
      <c r="P673" s="136">
        <v>0.1</v>
      </c>
      <c r="Q673" s="134">
        <f>商品マスタ[[#This Row],[仕入
単価]]*商品マスタ[[#This Row],[標準国内送料率]]</f>
        <v>0</v>
      </c>
      <c r="R673" s="134"/>
      <c r="S673" s="134">
        <f>IF(ISBLANK(商品マスタ[[#This Row],[実績
国内送料]]),商品マスタ[[#This Row],[標準国内送料]],)</f>
        <v>0</v>
      </c>
      <c r="T673" s="134">
        <f>商品マスタ[[#This Row],[仕入
単価]]+商品マスタ[[#This Row],[国内送料]]</f>
        <v>0</v>
      </c>
      <c r="U673" s="134">
        <f>ROUNDUP(商品マスタ[[#This Row],[仕入単価+国内送料]]/0.8,-1)</f>
        <v>0</v>
      </c>
      <c r="V673" s="134">
        <f>商品マスタ[[#This Row],[海外定価
（20％）]]-商品マスタ[[#This Row],[仕入単価+国内送料]]</f>
        <v>0</v>
      </c>
      <c r="W673" s="87">
        <f>ROUNDUP(商品マスタ[[#This Row],[仕入単価+国内送料]]/0.85,-1)</f>
        <v>0</v>
      </c>
      <c r="X673" s="134">
        <f>商品マスタ[[#This Row],[国内定価
（15％）]]-商品マスタ[[#This Row],[仕入単価+国内送料]]</f>
        <v>0</v>
      </c>
      <c r="Y673" s="139"/>
      <c r="Z673" s="87"/>
      <c r="AA673" s="87"/>
      <c r="AB673" s="87"/>
      <c r="AC673" s="140"/>
      <c r="AD673" s="87"/>
      <c r="AE673" s="87"/>
      <c r="AF673" s="87"/>
      <c r="AG673" s="141"/>
    </row>
    <row r="674" spans="1:33" ht="18">
      <c r="A674" s="166"/>
      <c r="B674" s="167"/>
      <c r="C674" s="167"/>
      <c r="D674" s="143" t="str">
        <f>"PRD_SNJ_"&amp;
_xlfn.XLOOKUP(商品マスタ[[#This Row],[仕入先]],テーブル1[仕入先名],テーブル1[仕入先コード],"XXX",0,1)&amp;
"_"&amp;
商品マスタ[[#This Row],[シリアル]]&amp;
"_"&amp;
TEXT(COUNTIFS(商品マスタ!$C$3:C674,商品マスタ[[#This Row],[仕入先]],商品マスタ!$E$3:E674,商品マスタ[[#This Row],[商品名]]), "00")</f>
        <v>PRD_SNJ__0000_00</v>
      </c>
      <c r="E674" s="87"/>
      <c r="F674" s="87">
        <f>IF(COUNTIFS($C$3:C674,商品マスタ[[#This Row],[仕入先]],$E$3:E674,商品マスタ[[#This Row],[商品名]]) = 1, 1,0)</f>
        <v>0</v>
      </c>
      <c r="G674" s="133" t="str">
        <f>TEXT(SUMIF($C$3:C674,商品マスタ[[#This Row],[仕入先]],$F$3:F674), "0000")</f>
        <v>0000</v>
      </c>
      <c r="H674" s="87"/>
      <c r="I674" s="87"/>
      <c r="J674" s="87"/>
      <c r="K674" s="87"/>
      <c r="L674" s="134"/>
      <c r="M674" s="157"/>
      <c r="N674" s="134"/>
      <c r="O674" s="135" t="str">
        <f>IF(COUNT(商品マスタ[[#This Row],[参考上代
（税込)]]) &gt; 0, (商品マスタ[[#This Row],[参考上代
（税込)]]-商品マスタ[[#This Row],[国内定価
（15％）]])/(商品マスタ[[#This Row],[参考上代
（税込)]]/1.08), "")</f>
        <v/>
      </c>
      <c r="P674" s="136">
        <v>0.1</v>
      </c>
      <c r="Q674" s="134">
        <f>商品マスタ[[#This Row],[仕入
単価]]*商品マスタ[[#This Row],[標準国内送料率]]</f>
        <v>0</v>
      </c>
      <c r="R674" s="134"/>
      <c r="S674" s="134">
        <f>IF(ISBLANK(商品マスタ[[#This Row],[実績
国内送料]]),商品マスタ[[#This Row],[標準国内送料]],)</f>
        <v>0</v>
      </c>
      <c r="T674" s="134">
        <f>商品マスタ[[#This Row],[仕入
単価]]+商品マスタ[[#This Row],[国内送料]]</f>
        <v>0</v>
      </c>
      <c r="U674" s="134">
        <f>ROUNDUP(商品マスタ[[#This Row],[仕入単価+国内送料]]/0.8,-1)</f>
        <v>0</v>
      </c>
      <c r="V674" s="134">
        <f>商品マスタ[[#This Row],[海外定価
（20％）]]-商品マスタ[[#This Row],[仕入単価+国内送料]]</f>
        <v>0</v>
      </c>
      <c r="W674" s="87">
        <f>ROUNDUP(商品マスタ[[#This Row],[仕入単価+国内送料]]/0.85,-1)</f>
        <v>0</v>
      </c>
      <c r="X674" s="134">
        <f>商品マスタ[[#This Row],[国内定価
（15％）]]-商品マスタ[[#This Row],[仕入単価+国内送料]]</f>
        <v>0</v>
      </c>
      <c r="Y674" s="139"/>
      <c r="Z674" s="87"/>
      <c r="AA674" s="87"/>
      <c r="AB674" s="87"/>
      <c r="AC674" s="140"/>
      <c r="AD674" s="87"/>
      <c r="AE674" s="87"/>
      <c r="AF674" s="87"/>
      <c r="AG674" s="141"/>
    </row>
    <row r="675" spans="1:33" ht="18">
      <c r="A675" s="166"/>
      <c r="B675" s="167"/>
      <c r="C675" s="167"/>
      <c r="D675" s="143" t="str">
        <f>"PRD_SNJ_"&amp;
_xlfn.XLOOKUP(商品マスタ[[#This Row],[仕入先]],テーブル1[仕入先名],テーブル1[仕入先コード],"XXX",0,1)&amp;
"_"&amp;
商品マスタ[[#This Row],[シリアル]]&amp;
"_"&amp;
TEXT(COUNTIFS(商品マスタ!$C$3:C675,商品マスタ[[#This Row],[仕入先]],商品マスタ!$E$3:E675,商品マスタ[[#This Row],[商品名]]), "00")</f>
        <v>PRD_SNJ__0000_00</v>
      </c>
      <c r="E675" s="87"/>
      <c r="F675" s="87">
        <f>IF(COUNTIFS($C$3:C675,商品マスタ[[#This Row],[仕入先]],$E$3:E675,商品マスタ[[#This Row],[商品名]]) = 1, 1,0)</f>
        <v>0</v>
      </c>
      <c r="G675" s="133" t="str">
        <f>TEXT(SUMIF($C$3:C675,商品マスタ[[#This Row],[仕入先]],$F$3:F675), "0000")</f>
        <v>0000</v>
      </c>
      <c r="H675" s="87"/>
      <c r="I675" s="87"/>
      <c r="J675" s="87"/>
      <c r="K675" s="87"/>
      <c r="L675" s="134"/>
      <c r="M675" s="157"/>
      <c r="N675" s="134"/>
      <c r="O675" s="135" t="str">
        <f>IF(COUNT(商品マスタ[[#This Row],[参考上代
（税込)]]) &gt; 0, (商品マスタ[[#This Row],[参考上代
（税込)]]-商品マスタ[[#This Row],[国内定価
（15％）]])/(商品マスタ[[#This Row],[参考上代
（税込)]]/1.08), "")</f>
        <v/>
      </c>
      <c r="P675" s="136">
        <v>0.1</v>
      </c>
      <c r="Q675" s="134">
        <f>商品マスタ[[#This Row],[仕入
単価]]*商品マスタ[[#This Row],[標準国内送料率]]</f>
        <v>0</v>
      </c>
      <c r="R675" s="134"/>
      <c r="S675" s="134">
        <f>IF(ISBLANK(商品マスタ[[#This Row],[実績
国内送料]]),商品マスタ[[#This Row],[標準国内送料]],)</f>
        <v>0</v>
      </c>
      <c r="T675" s="134">
        <f>商品マスタ[[#This Row],[仕入
単価]]+商品マスタ[[#This Row],[国内送料]]</f>
        <v>0</v>
      </c>
      <c r="U675" s="134">
        <f>ROUNDUP(商品マスタ[[#This Row],[仕入単価+国内送料]]/0.8,-1)</f>
        <v>0</v>
      </c>
      <c r="V675" s="134">
        <f>商品マスタ[[#This Row],[海外定価
（20％）]]-商品マスタ[[#This Row],[仕入単価+国内送料]]</f>
        <v>0</v>
      </c>
      <c r="W675" s="87">
        <f>ROUNDUP(商品マスタ[[#This Row],[仕入単価+国内送料]]/0.85,-1)</f>
        <v>0</v>
      </c>
      <c r="X675" s="134">
        <f>商品マスタ[[#This Row],[国内定価
（15％）]]-商品マスタ[[#This Row],[仕入単価+国内送料]]</f>
        <v>0</v>
      </c>
      <c r="Y675" s="139"/>
      <c r="Z675" s="87"/>
      <c r="AA675" s="87"/>
      <c r="AB675" s="87"/>
      <c r="AC675" s="140"/>
      <c r="AD675" s="87"/>
      <c r="AE675" s="87"/>
      <c r="AF675" s="87"/>
      <c r="AG675" s="141"/>
    </row>
    <row r="676" spans="1:33" ht="18">
      <c r="A676" s="166"/>
      <c r="B676" s="167"/>
      <c r="C676" s="167"/>
      <c r="D676" s="143" t="str">
        <f>"PRD_SNJ_"&amp;
_xlfn.XLOOKUP(商品マスタ[[#This Row],[仕入先]],テーブル1[仕入先名],テーブル1[仕入先コード],"XXX",0,1)&amp;
"_"&amp;
商品マスタ[[#This Row],[シリアル]]&amp;
"_"&amp;
TEXT(COUNTIFS(商品マスタ!$C$3:C676,商品マスタ[[#This Row],[仕入先]],商品マスタ!$E$3:E676,商品マスタ[[#This Row],[商品名]]), "00")</f>
        <v>PRD_SNJ__0000_00</v>
      </c>
      <c r="E676" s="87"/>
      <c r="F676" s="87">
        <f>IF(COUNTIFS($C$3:C676,商品マスタ[[#This Row],[仕入先]],$E$3:E676,商品マスタ[[#This Row],[商品名]]) = 1, 1,0)</f>
        <v>0</v>
      </c>
      <c r="G676" s="133" t="str">
        <f>TEXT(SUMIF($C$3:C676,商品マスタ[[#This Row],[仕入先]],$F$3:F676), "0000")</f>
        <v>0000</v>
      </c>
      <c r="H676" s="87"/>
      <c r="I676" s="87"/>
      <c r="J676" s="87"/>
      <c r="K676" s="87"/>
      <c r="L676" s="134"/>
      <c r="M676" s="157"/>
      <c r="N676" s="134"/>
      <c r="O676" s="135" t="str">
        <f>IF(COUNT(商品マスタ[[#This Row],[参考上代
（税込)]]) &gt; 0, (商品マスタ[[#This Row],[参考上代
（税込)]]-商品マスタ[[#This Row],[国内定価
（15％）]])/(商品マスタ[[#This Row],[参考上代
（税込)]]/1.08), "")</f>
        <v/>
      </c>
      <c r="P676" s="136">
        <v>0.1</v>
      </c>
      <c r="Q676" s="134">
        <f>商品マスタ[[#This Row],[仕入
単価]]*商品マスタ[[#This Row],[標準国内送料率]]</f>
        <v>0</v>
      </c>
      <c r="R676" s="134"/>
      <c r="S676" s="134">
        <f>IF(ISBLANK(商品マスタ[[#This Row],[実績
国内送料]]),商品マスタ[[#This Row],[標準国内送料]],)</f>
        <v>0</v>
      </c>
      <c r="T676" s="134">
        <f>商品マスタ[[#This Row],[仕入
単価]]+商品マスタ[[#This Row],[国内送料]]</f>
        <v>0</v>
      </c>
      <c r="U676" s="134">
        <f>ROUNDUP(商品マスタ[[#This Row],[仕入単価+国内送料]]/0.8,-1)</f>
        <v>0</v>
      </c>
      <c r="V676" s="134">
        <f>商品マスタ[[#This Row],[海外定価
（20％）]]-商品マスタ[[#This Row],[仕入単価+国内送料]]</f>
        <v>0</v>
      </c>
      <c r="W676" s="87">
        <f>ROUNDUP(商品マスタ[[#This Row],[仕入単価+国内送料]]/0.85,-1)</f>
        <v>0</v>
      </c>
      <c r="X676" s="134">
        <f>商品マスタ[[#This Row],[国内定価
（15％）]]-商品マスタ[[#This Row],[仕入単価+国内送料]]</f>
        <v>0</v>
      </c>
      <c r="Y676" s="139"/>
      <c r="Z676" s="87"/>
      <c r="AA676" s="87"/>
      <c r="AB676" s="87"/>
      <c r="AC676" s="140"/>
      <c r="AD676" s="87"/>
      <c r="AE676" s="87"/>
      <c r="AF676" s="87"/>
      <c r="AG676" s="141"/>
    </row>
    <row r="677" spans="1:33" ht="18">
      <c r="A677" s="166"/>
      <c r="B677" s="167"/>
      <c r="C677" s="167"/>
      <c r="D677" s="143" t="str">
        <f>"PRD_SNJ_"&amp;
_xlfn.XLOOKUP(商品マスタ[[#This Row],[仕入先]],テーブル1[仕入先名],テーブル1[仕入先コード],"XXX",0,1)&amp;
"_"&amp;
商品マスタ[[#This Row],[シリアル]]&amp;
"_"&amp;
TEXT(COUNTIFS(商品マスタ!$C$3:C677,商品マスタ[[#This Row],[仕入先]],商品マスタ!$E$3:E677,商品マスタ[[#This Row],[商品名]]), "00")</f>
        <v>PRD_SNJ__0000_00</v>
      </c>
      <c r="E677" s="87"/>
      <c r="F677" s="87">
        <f>IF(COUNTIFS($C$3:C677,商品マスタ[[#This Row],[仕入先]],$E$3:E677,商品マスタ[[#This Row],[商品名]]) = 1, 1,0)</f>
        <v>0</v>
      </c>
      <c r="G677" s="133" t="str">
        <f>TEXT(SUMIF($C$3:C677,商品マスタ[[#This Row],[仕入先]],$F$3:F677), "0000")</f>
        <v>0000</v>
      </c>
      <c r="H677" s="87"/>
      <c r="I677" s="87"/>
      <c r="J677" s="87"/>
      <c r="K677" s="87"/>
      <c r="L677" s="134"/>
      <c r="M677" s="157"/>
      <c r="N677" s="134"/>
      <c r="O677" s="135" t="str">
        <f>IF(COUNT(商品マスタ[[#This Row],[参考上代
（税込)]]) &gt; 0, (商品マスタ[[#This Row],[参考上代
（税込)]]-商品マスタ[[#This Row],[国内定価
（15％）]])/(商品マスタ[[#This Row],[参考上代
（税込)]]/1.08), "")</f>
        <v/>
      </c>
      <c r="P677" s="136">
        <v>0.1</v>
      </c>
      <c r="Q677" s="134">
        <f>商品マスタ[[#This Row],[仕入
単価]]*商品マスタ[[#This Row],[標準国内送料率]]</f>
        <v>0</v>
      </c>
      <c r="R677" s="134"/>
      <c r="S677" s="134">
        <f>IF(ISBLANK(商品マスタ[[#This Row],[実績
国内送料]]),商品マスタ[[#This Row],[標準国内送料]],)</f>
        <v>0</v>
      </c>
      <c r="T677" s="134">
        <f>商品マスタ[[#This Row],[仕入
単価]]+商品マスタ[[#This Row],[国内送料]]</f>
        <v>0</v>
      </c>
      <c r="U677" s="134">
        <f>ROUNDUP(商品マスタ[[#This Row],[仕入単価+国内送料]]/0.8,-1)</f>
        <v>0</v>
      </c>
      <c r="V677" s="134">
        <f>商品マスタ[[#This Row],[海外定価
（20％）]]-商品マスタ[[#This Row],[仕入単価+国内送料]]</f>
        <v>0</v>
      </c>
      <c r="W677" s="87">
        <f>ROUNDUP(商品マスタ[[#This Row],[仕入単価+国内送料]]/0.85,-1)</f>
        <v>0</v>
      </c>
      <c r="X677" s="134">
        <f>商品マスタ[[#This Row],[国内定価
（15％）]]-商品マスタ[[#This Row],[仕入単価+国内送料]]</f>
        <v>0</v>
      </c>
      <c r="Y677" s="139"/>
      <c r="Z677" s="87"/>
      <c r="AA677" s="87"/>
      <c r="AB677" s="87"/>
      <c r="AC677" s="140"/>
      <c r="AD677" s="87"/>
      <c r="AE677" s="87"/>
      <c r="AF677" s="87"/>
      <c r="AG677" s="141"/>
    </row>
    <row r="678" spans="1:33" ht="18">
      <c r="A678" s="166"/>
      <c r="B678" s="167"/>
      <c r="C678" s="167"/>
      <c r="D678" s="143" t="str">
        <f>"PRD_SNJ_"&amp;
_xlfn.XLOOKUP(商品マスタ[[#This Row],[仕入先]],テーブル1[仕入先名],テーブル1[仕入先コード],"XXX",0,1)&amp;
"_"&amp;
商品マスタ[[#This Row],[シリアル]]&amp;
"_"&amp;
TEXT(COUNTIFS(商品マスタ!$C$3:C678,商品マスタ[[#This Row],[仕入先]],商品マスタ!$E$3:E678,商品マスタ[[#This Row],[商品名]]), "00")</f>
        <v>PRD_SNJ__0000_00</v>
      </c>
      <c r="E678" s="87"/>
      <c r="F678" s="87">
        <f>IF(COUNTIFS($C$3:C678,商品マスタ[[#This Row],[仕入先]],$E$3:E678,商品マスタ[[#This Row],[商品名]]) = 1, 1,0)</f>
        <v>0</v>
      </c>
      <c r="G678" s="133" t="str">
        <f>TEXT(SUMIF($C$3:C678,商品マスタ[[#This Row],[仕入先]],$F$3:F678), "0000")</f>
        <v>0000</v>
      </c>
      <c r="H678" s="87"/>
      <c r="I678" s="87"/>
      <c r="J678" s="87"/>
      <c r="K678" s="87"/>
      <c r="L678" s="134"/>
      <c r="M678" s="157"/>
      <c r="N678" s="134"/>
      <c r="O678" s="135" t="str">
        <f>IF(COUNT(商品マスタ[[#This Row],[参考上代
（税込)]]) &gt; 0, (商品マスタ[[#This Row],[参考上代
（税込)]]-商品マスタ[[#This Row],[国内定価
（15％）]])/(商品マスタ[[#This Row],[参考上代
（税込)]]/1.08), "")</f>
        <v/>
      </c>
      <c r="P678" s="136">
        <v>0.1</v>
      </c>
      <c r="Q678" s="134">
        <f>商品マスタ[[#This Row],[仕入
単価]]*商品マスタ[[#This Row],[標準国内送料率]]</f>
        <v>0</v>
      </c>
      <c r="R678" s="134"/>
      <c r="S678" s="134">
        <f>IF(ISBLANK(商品マスタ[[#This Row],[実績
国内送料]]),商品マスタ[[#This Row],[標準国内送料]],)</f>
        <v>0</v>
      </c>
      <c r="T678" s="134">
        <f>商品マスタ[[#This Row],[仕入
単価]]+商品マスタ[[#This Row],[国内送料]]</f>
        <v>0</v>
      </c>
      <c r="U678" s="134">
        <f>ROUNDUP(商品マスタ[[#This Row],[仕入単価+国内送料]]/0.8,-1)</f>
        <v>0</v>
      </c>
      <c r="V678" s="134">
        <f>商品マスタ[[#This Row],[海外定価
（20％）]]-商品マスタ[[#This Row],[仕入単価+国内送料]]</f>
        <v>0</v>
      </c>
      <c r="W678" s="87">
        <f>ROUNDUP(商品マスタ[[#This Row],[仕入単価+国内送料]]/0.85,-1)</f>
        <v>0</v>
      </c>
      <c r="X678" s="134">
        <f>商品マスタ[[#This Row],[国内定価
（15％）]]-商品マスタ[[#This Row],[仕入単価+国内送料]]</f>
        <v>0</v>
      </c>
      <c r="Y678" s="139"/>
      <c r="Z678" s="87"/>
      <c r="AA678" s="87"/>
      <c r="AB678" s="87"/>
      <c r="AC678" s="140"/>
      <c r="AD678" s="87"/>
      <c r="AE678" s="87"/>
      <c r="AF678" s="87"/>
      <c r="AG678" s="141"/>
    </row>
    <row r="679" spans="1:33" ht="18">
      <c r="A679" s="166"/>
      <c r="B679" s="167"/>
      <c r="C679" s="167"/>
      <c r="D679" s="143" t="str">
        <f>"PRD_SNJ_"&amp;
_xlfn.XLOOKUP(商品マスタ[[#This Row],[仕入先]],テーブル1[仕入先名],テーブル1[仕入先コード],"XXX",0,1)&amp;
"_"&amp;
商品マスタ[[#This Row],[シリアル]]&amp;
"_"&amp;
TEXT(COUNTIFS(商品マスタ!$C$3:C679,商品マスタ[[#This Row],[仕入先]],商品マスタ!$E$3:E679,商品マスタ[[#This Row],[商品名]]), "00")</f>
        <v>PRD_SNJ__0000_00</v>
      </c>
      <c r="E679" s="87"/>
      <c r="F679" s="87">
        <f>IF(COUNTIFS($C$3:C679,商品マスタ[[#This Row],[仕入先]],$E$3:E679,商品マスタ[[#This Row],[商品名]]) = 1, 1,0)</f>
        <v>0</v>
      </c>
      <c r="G679" s="133" t="str">
        <f>TEXT(SUMIF($C$3:C679,商品マスタ[[#This Row],[仕入先]],$F$3:F679), "0000")</f>
        <v>0000</v>
      </c>
      <c r="H679" s="87"/>
      <c r="I679" s="87"/>
      <c r="J679" s="87"/>
      <c r="K679" s="87"/>
      <c r="L679" s="134"/>
      <c r="M679" s="157"/>
      <c r="N679" s="134"/>
      <c r="O679" s="135" t="str">
        <f>IF(COUNT(商品マスタ[[#This Row],[参考上代
（税込)]]) &gt; 0, (商品マスタ[[#This Row],[参考上代
（税込)]]-商品マスタ[[#This Row],[国内定価
（15％）]])/(商品マスタ[[#This Row],[参考上代
（税込)]]/1.08), "")</f>
        <v/>
      </c>
      <c r="P679" s="136">
        <v>0.1</v>
      </c>
      <c r="Q679" s="134">
        <f>商品マスタ[[#This Row],[仕入
単価]]*商品マスタ[[#This Row],[標準国内送料率]]</f>
        <v>0</v>
      </c>
      <c r="R679" s="134"/>
      <c r="S679" s="134">
        <f>IF(ISBLANK(商品マスタ[[#This Row],[実績
国内送料]]),商品マスタ[[#This Row],[標準国内送料]],)</f>
        <v>0</v>
      </c>
      <c r="T679" s="134">
        <f>商品マスタ[[#This Row],[仕入
単価]]+商品マスタ[[#This Row],[国内送料]]</f>
        <v>0</v>
      </c>
      <c r="U679" s="134">
        <f>ROUNDUP(商品マスタ[[#This Row],[仕入単価+国内送料]]/0.8,-1)</f>
        <v>0</v>
      </c>
      <c r="V679" s="134">
        <f>商品マスタ[[#This Row],[海外定価
（20％）]]-商品マスタ[[#This Row],[仕入単価+国内送料]]</f>
        <v>0</v>
      </c>
      <c r="W679" s="87">
        <f>ROUNDUP(商品マスタ[[#This Row],[仕入単価+国内送料]]/0.85,-1)</f>
        <v>0</v>
      </c>
      <c r="X679" s="134">
        <f>商品マスタ[[#This Row],[国内定価
（15％）]]-商品マスタ[[#This Row],[仕入単価+国内送料]]</f>
        <v>0</v>
      </c>
      <c r="Y679" s="139"/>
      <c r="Z679" s="87"/>
      <c r="AA679" s="87"/>
      <c r="AB679" s="87"/>
      <c r="AC679" s="140"/>
      <c r="AD679" s="87"/>
      <c r="AE679" s="87"/>
      <c r="AF679" s="87"/>
      <c r="AG679" s="141"/>
    </row>
    <row r="680" spans="1:33" ht="18">
      <c r="A680" s="166"/>
      <c r="B680" s="167"/>
      <c r="C680" s="167"/>
      <c r="D680" s="143" t="str">
        <f>"PRD_SNJ_"&amp;
_xlfn.XLOOKUP(商品マスタ[[#This Row],[仕入先]],テーブル1[仕入先名],テーブル1[仕入先コード],"XXX",0,1)&amp;
"_"&amp;
商品マスタ[[#This Row],[シリアル]]&amp;
"_"&amp;
TEXT(COUNTIFS(商品マスタ!$C$3:C680,商品マスタ[[#This Row],[仕入先]],商品マスタ!$E$3:E680,商品マスタ[[#This Row],[商品名]]), "00")</f>
        <v>PRD_SNJ__0000_00</v>
      </c>
      <c r="E680" s="87"/>
      <c r="F680" s="87">
        <f>IF(COUNTIFS($C$3:C680,商品マスタ[[#This Row],[仕入先]],$E$3:E680,商品マスタ[[#This Row],[商品名]]) = 1, 1,0)</f>
        <v>0</v>
      </c>
      <c r="G680" s="133" t="str">
        <f>TEXT(SUMIF($C$3:C680,商品マスタ[[#This Row],[仕入先]],$F$3:F680), "0000")</f>
        <v>0000</v>
      </c>
      <c r="H680" s="87"/>
      <c r="I680" s="87"/>
      <c r="J680" s="87"/>
      <c r="K680" s="87"/>
      <c r="L680" s="134"/>
      <c r="M680" s="157"/>
      <c r="N680" s="134"/>
      <c r="O680" s="135" t="str">
        <f>IF(COUNT(商品マスタ[[#This Row],[参考上代
（税込)]]) &gt; 0, (商品マスタ[[#This Row],[参考上代
（税込)]]-商品マスタ[[#This Row],[国内定価
（15％）]])/(商品マスタ[[#This Row],[参考上代
（税込)]]/1.08), "")</f>
        <v/>
      </c>
      <c r="P680" s="136">
        <v>0.1</v>
      </c>
      <c r="Q680" s="134">
        <f>商品マスタ[[#This Row],[仕入
単価]]*商品マスタ[[#This Row],[標準国内送料率]]</f>
        <v>0</v>
      </c>
      <c r="R680" s="134"/>
      <c r="S680" s="134">
        <f>IF(ISBLANK(商品マスタ[[#This Row],[実績
国内送料]]),商品マスタ[[#This Row],[標準国内送料]],)</f>
        <v>0</v>
      </c>
      <c r="T680" s="134">
        <f>商品マスタ[[#This Row],[仕入
単価]]+商品マスタ[[#This Row],[国内送料]]</f>
        <v>0</v>
      </c>
      <c r="U680" s="134">
        <f>ROUNDUP(商品マスタ[[#This Row],[仕入単価+国内送料]]/0.8,-1)</f>
        <v>0</v>
      </c>
      <c r="V680" s="134">
        <f>商品マスタ[[#This Row],[海外定価
（20％）]]-商品マスタ[[#This Row],[仕入単価+国内送料]]</f>
        <v>0</v>
      </c>
      <c r="W680" s="87">
        <f>ROUNDUP(商品マスタ[[#This Row],[仕入単価+国内送料]]/0.85,-1)</f>
        <v>0</v>
      </c>
      <c r="X680" s="134">
        <f>商品マスタ[[#This Row],[国内定価
（15％）]]-商品マスタ[[#This Row],[仕入単価+国内送料]]</f>
        <v>0</v>
      </c>
      <c r="Y680" s="139"/>
      <c r="Z680" s="87"/>
      <c r="AA680" s="87"/>
      <c r="AB680" s="87"/>
      <c r="AC680" s="140"/>
      <c r="AD680" s="87"/>
      <c r="AE680" s="87"/>
      <c r="AF680" s="87"/>
      <c r="AG680" s="141"/>
    </row>
    <row r="681" spans="1:33" ht="18">
      <c r="A681" s="166"/>
      <c r="B681" s="167"/>
      <c r="C681" s="167"/>
      <c r="D681" s="143" t="str">
        <f>"PRD_SNJ_"&amp;
_xlfn.XLOOKUP(商品マスタ[[#This Row],[仕入先]],テーブル1[仕入先名],テーブル1[仕入先コード],"XXX",0,1)&amp;
"_"&amp;
商品マスタ[[#This Row],[シリアル]]&amp;
"_"&amp;
TEXT(COUNTIFS(商品マスタ!$C$3:C681,商品マスタ[[#This Row],[仕入先]],商品マスタ!$E$3:E681,商品マスタ[[#This Row],[商品名]]), "00")</f>
        <v>PRD_SNJ__0000_00</v>
      </c>
      <c r="E681" s="87"/>
      <c r="F681" s="87">
        <f>IF(COUNTIFS($C$3:C681,商品マスタ[[#This Row],[仕入先]],$E$3:E681,商品マスタ[[#This Row],[商品名]]) = 1, 1,0)</f>
        <v>0</v>
      </c>
      <c r="G681" s="133" t="str">
        <f>TEXT(SUMIF($C$3:C681,商品マスタ[[#This Row],[仕入先]],$F$3:F681), "0000")</f>
        <v>0000</v>
      </c>
      <c r="H681" s="87"/>
      <c r="I681" s="87"/>
      <c r="J681" s="87"/>
      <c r="K681" s="87"/>
      <c r="L681" s="134"/>
      <c r="M681" s="157"/>
      <c r="N681" s="134"/>
      <c r="O681" s="135" t="str">
        <f>IF(COUNT(商品マスタ[[#This Row],[参考上代
（税込)]]) &gt; 0, (商品マスタ[[#This Row],[参考上代
（税込)]]-商品マスタ[[#This Row],[国内定価
（15％）]])/(商品マスタ[[#This Row],[参考上代
（税込)]]/1.08), "")</f>
        <v/>
      </c>
      <c r="P681" s="136">
        <v>0.1</v>
      </c>
      <c r="Q681" s="134">
        <f>商品マスタ[[#This Row],[仕入
単価]]*商品マスタ[[#This Row],[標準国内送料率]]</f>
        <v>0</v>
      </c>
      <c r="R681" s="134"/>
      <c r="S681" s="134">
        <f>IF(ISBLANK(商品マスタ[[#This Row],[実績
国内送料]]),商品マスタ[[#This Row],[標準国内送料]],)</f>
        <v>0</v>
      </c>
      <c r="T681" s="134">
        <f>商品マスタ[[#This Row],[仕入
単価]]+商品マスタ[[#This Row],[国内送料]]</f>
        <v>0</v>
      </c>
      <c r="U681" s="134">
        <f>ROUNDUP(商品マスタ[[#This Row],[仕入単価+国内送料]]/0.8,-1)</f>
        <v>0</v>
      </c>
      <c r="V681" s="134">
        <f>商品マスタ[[#This Row],[海外定価
（20％）]]-商品マスタ[[#This Row],[仕入単価+国内送料]]</f>
        <v>0</v>
      </c>
      <c r="W681" s="87">
        <f>ROUNDUP(商品マスタ[[#This Row],[仕入単価+国内送料]]/0.85,-1)</f>
        <v>0</v>
      </c>
      <c r="X681" s="134">
        <f>商品マスタ[[#This Row],[国内定価
（15％）]]-商品マスタ[[#This Row],[仕入単価+国内送料]]</f>
        <v>0</v>
      </c>
      <c r="Y681" s="139"/>
      <c r="Z681" s="87"/>
      <c r="AA681" s="87"/>
      <c r="AB681" s="87"/>
      <c r="AC681" s="140"/>
      <c r="AD681" s="87"/>
      <c r="AE681" s="87"/>
      <c r="AF681" s="87"/>
      <c r="AG681" s="141"/>
    </row>
    <row r="682" spans="1:33" ht="18">
      <c r="A682" s="166"/>
      <c r="B682" s="167"/>
      <c r="C682" s="167"/>
      <c r="D682" s="143" t="str">
        <f>"PRD_SNJ_"&amp;
_xlfn.XLOOKUP(商品マスタ[[#This Row],[仕入先]],テーブル1[仕入先名],テーブル1[仕入先コード],"XXX",0,1)&amp;
"_"&amp;
商品マスタ[[#This Row],[シリアル]]&amp;
"_"&amp;
TEXT(COUNTIFS(商品マスタ!$C$3:C682,商品マスタ[[#This Row],[仕入先]],商品マスタ!$E$3:E682,商品マスタ[[#This Row],[商品名]]), "00")</f>
        <v>PRD_SNJ__0000_00</v>
      </c>
      <c r="E682" s="87"/>
      <c r="F682" s="87">
        <f>IF(COUNTIFS($C$3:C682,商品マスタ[[#This Row],[仕入先]],$E$3:E682,商品マスタ[[#This Row],[商品名]]) = 1, 1,0)</f>
        <v>0</v>
      </c>
      <c r="G682" s="133" t="str">
        <f>TEXT(SUMIF($C$3:C682,商品マスタ[[#This Row],[仕入先]],$F$3:F682), "0000")</f>
        <v>0000</v>
      </c>
      <c r="H682" s="87"/>
      <c r="I682" s="87"/>
      <c r="J682" s="87"/>
      <c r="K682" s="87"/>
      <c r="L682" s="134"/>
      <c r="M682" s="157"/>
      <c r="N682" s="134"/>
      <c r="O682" s="135" t="str">
        <f>IF(COUNT(商品マスタ[[#This Row],[参考上代
（税込)]]) &gt; 0, (商品マスタ[[#This Row],[参考上代
（税込)]]-商品マスタ[[#This Row],[国内定価
（15％）]])/(商品マスタ[[#This Row],[参考上代
（税込)]]/1.08), "")</f>
        <v/>
      </c>
      <c r="P682" s="136">
        <v>0.1</v>
      </c>
      <c r="Q682" s="134">
        <f>商品マスタ[[#This Row],[仕入
単価]]*商品マスタ[[#This Row],[標準国内送料率]]</f>
        <v>0</v>
      </c>
      <c r="R682" s="134"/>
      <c r="S682" s="134">
        <f>IF(ISBLANK(商品マスタ[[#This Row],[実績
国内送料]]),商品マスタ[[#This Row],[標準国内送料]],)</f>
        <v>0</v>
      </c>
      <c r="T682" s="134">
        <f>商品マスタ[[#This Row],[仕入
単価]]+商品マスタ[[#This Row],[国内送料]]</f>
        <v>0</v>
      </c>
      <c r="U682" s="134">
        <f>ROUNDUP(商品マスタ[[#This Row],[仕入単価+国内送料]]/0.8,-1)</f>
        <v>0</v>
      </c>
      <c r="V682" s="134">
        <f>商品マスタ[[#This Row],[海外定価
（20％）]]-商品マスタ[[#This Row],[仕入単価+国内送料]]</f>
        <v>0</v>
      </c>
      <c r="W682" s="87">
        <f>ROUNDUP(商品マスタ[[#This Row],[仕入単価+国内送料]]/0.85,-1)</f>
        <v>0</v>
      </c>
      <c r="X682" s="134">
        <f>商品マスタ[[#This Row],[国内定価
（15％）]]-商品マスタ[[#This Row],[仕入単価+国内送料]]</f>
        <v>0</v>
      </c>
      <c r="Y682" s="139"/>
      <c r="Z682" s="87"/>
      <c r="AA682" s="87"/>
      <c r="AB682" s="87"/>
      <c r="AC682" s="140"/>
      <c r="AD682" s="87"/>
      <c r="AE682" s="87"/>
      <c r="AF682" s="87"/>
      <c r="AG682" s="141"/>
    </row>
    <row r="683" spans="1:33" ht="18">
      <c r="A683" s="166"/>
      <c r="B683" s="167"/>
      <c r="C683" s="167"/>
      <c r="D683" s="143" t="str">
        <f>"PRD_SNJ_"&amp;
_xlfn.XLOOKUP(商品マスタ[[#This Row],[仕入先]],テーブル1[仕入先名],テーブル1[仕入先コード],"XXX",0,1)&amp;
"_"&amp;
商品マスタ[[#This Row],[シリアル]]&amp;
"_"&amp;
TEXT(COUNTIFS(商品マスタ!$C$3:C683,商品マスタ[[#This Row],[仕入先]],商品マスタ!$E$3:E683,商品マスタ[[#This Row],[商品名]]), "00")</f>
        <v>PRD_SNJ__0000_00</v>
      </c>
      <c r="E683" s="87"/>
      <c r="F683" s="87">
        <f>IF(COUNTIFS($C$3:C683,商品マスタ[[#This Row],[仕入先]],$E$3:E683,商品マスタ[[#This Row],[商品名]]) = 1, 1,0)</f>
        <v>0</v>
      </c>
      <c r="G683" s="133" t="str">
        <f>TEXT(SUMIF($C$3:C683,商品マスタ[[#This Row],[仕入先]],$F$3:F683), "0000")</f>
        <v>0000</v>
      </c>
      <c r="H683" s="87"/>
      <c r="I683" s="87"/>
      <c r="J683" s="87"/>
      <c r="K683" s="87"/>
      <c r="L683" s="134"/>
      <c r="M683" s="157"/>
      <c r="N683" s="134"/>
      <c r="O683" s="135" t="str">
        <f>IF(COUNT(商品マスタ[[#This Row],[参考上代
（税込)]]) &gt; 0, (商品マスタ[[#This Row],[参考上代
（税込)]]-商品マスタ[[#This Row],[国内定価
（15％）]])/(商品マスタ[[#This Row],[参考上代
（税込)]]/1.08), "")</f>
        <v/>
      </c>
      <c r="P683" s="136">
        <v>0.1</v>
      </c>
      <c r="Q683" s="134">
        <f>商品マスタ[[#This Row],[仕入
単価]]*商品マスタ[[#This Row],[標準国内送料率]]</f>
        <v>0</v>
      </c>
      <c r="R683" s="134"/>
      <c r="S683" s="134">
        <f>IF(ISBLANK(商品マスタ[[#This Row],[実績
国内送料]]),商品マスタ[[#This Row],[標準国内送料]],)</f>
        <v>0</v>
      </c>
      <c r="T683" s="134">
        <f>商品マスタ[[#This Row],[仕入
単価]]+商品マスタ[[#This Row],[国内送料]]</f>
        <v>0</v>
      </c>
      <c r="U683" s="134">
        <f>ROUNDUP(商品マスタ[[#This Row],[仕入単価+国内送料]]/0.8,-1)</f>
        <v>0</v>
      </c>
      <c r="V683" s="134">
        <f>商品マスタ[[#This Row],[海外定価
（20％）]]-商品マスタ[[#This Row],[仕入単価+国内送料]]</f>
        <v>0</v>
      </c>
      <c r="W683" s="87">
        <f>ROUNDUP(商品マスタ[[#This Row],[仕入単価+国内送料]]/0.85,-1)</f>
        <v>0</v>
      </c>
      <c r="X683" s="134">
        <f>商品マスタ[[#This Row],[国内定価
（15％）]]-商品マスタ[[#This Row],[仕入単価+国内送料]]</f>
        <v>0</v>
      </c>
      <c r="Y683" s="139"/>
      <c r="Z683" s="87"/>
      <c r="AA683" s="87"/>
      <c r="AB683" s="87"/>
      <c r="AC683" s="140"/>
      <c r="AD683" s="87"/>
      <c r="AE683" s="87"/>
      <c r="AF683" s="87"/>
      <c r="AG683" s="141"/>
    </row>
    <row r="684" spans="1:33" ht="18">
      <c r="A684" s="166"/>
      <c r="B684" s="167"/>
      <c r="C684" s="167"/>
      <c r="D684" s="143" t="str">
        <f>"PRD_SNJ_"&amp;
_xlfn.XLOOKUP(商品マスタ[[#This Row],[仕入先]],テーブル1[仕入先名],テーブル1[仕入先コード],"XXX",0,1)&amp;
"_"&amp;
商品マスタ[[#This Row],[シリアル]]&amp;
"_"&amp;
TEXT(COUNTIFS(商品マスタ!$C$3:C684,商品マスタ[[#This Row],[仕入先]],商品マスタ!$E$3:E684,商品マスタ[[#This Row],[商品名]]), "00")</f>
        <v>PRD_SNJ__0000_00</v>
      </c>
      <c r="E684" s="87"/>
      <c r="F684" s="87">
        <f>IF(COUNTIFS($C$3:C684,商品マスタ[[#This Row],[仕入先]],$E$3:E684,商品マスタ[[#This Row],[商品名]]) = 1, 1,0)</f>
        <v>0</v>
      </c>
      <c r="G684" s="133" t="str">
        <f>TEXT(SUMIF($C$3:C684,商品マスタ[[#This Row],[仕入先]],$F$3:F684), "0000")</f>
        <v>0000</v>
      </c>
      <c r="H684" s="87"/>
      <c r="I684" s="87"/>
      <c r="J684" s="87"/>
      <c r="K684" s="87"/>
      <c r="L684" s="134"/>
      <c r="M684" s="157"/>
      <c r="N684" s="134"/>
      <c r="O684" s="135" t="str">
        <f>IF(COUNT(商品マスタ[[#This Row],[参考上代
（税込)]]) &gt; 0, (商品マスタ[[#This Row],[参考上代
（税込)]]-商品マスタ[[#This Row],[国内定価
（15％）]])/(商品マスタ[[#This Row],[参考上代
（税込)]]/1.08), "")</f>
        <v/>
      </c>
      <c r="P684" s="136">
        <v>0.1</v>
      </c>
      <c r="Q684" s="134">
        <f>商品マスタ[[#This Row],[仕入
単価]]*商品マスタ[[#This Row],[標準国内送料率]]</f>
        <v>0</v>
      </c>
      <c r="R684" s="134"/>
      <c r="S684" s="134">
        <f>IF(ISBLANK(商品マスタ[[#This Row],[実績
国内送料]]),商品マスタ[[#This Row],[標準国内送料]],)</f>
        <v>0</v>
      </c>
      <c r="T684" s="134">
        <f>商品マスタ[[#This Row],[仕入
単価]]+商品マスタ[[#This Row],[国内送料]]</f>
        <v>0</v>
      </c>
      <c r="U684" s="134">
        <f>ROUNDUP(商品マスタ[[#This Row],[仕入単価+国内送料]]/0.8,-1)</f>
        <v>0</v>
      </c>
      <c r="V684" s="134">
        <f>商品マスタ[[#This Row],[海外定価
（20％）]]-商品マスタ[[#This Row],[仕入単価+国内送料]]</f>
        <v>0</v>
      </c>
      <c r="W684" s="87">
        <f>ROUNDUP(商品マスタ[[#This Row],[仕入単価+国内送料]]/0.85,-1)</f>
        <v>0</v>
      </c>
      <c r="X684" s="134">
        <f>商品マスタ[[#This Row],[国内定価
（15％）]]-商品マスタ[[#This Row],[仕入単価+国内送料]]</f>
        <v>0</v>
      </c>
      <c r="Y684" s="139"/>
      <c r="Z684" s="87"/>
      <c r="AA684" s="87"/>
      <c r="AB684" s="87"/>
      <c r="AC684" s="140"/>
      <c r="AD684" s="87"/>
      <c r="AE684" s="87"/>
      <c r="AF684" s="87"/>
      <c r="AG684" s="141"/>
    </row>
    <row r="685" spans="1:33" ht="18">
      <c r="A685" s="166"/>
      <c r="B685" s="167"/>
      <c r="C685" s="167"/>
      <c r="D685" s="143" t="str">
        <f>"PRD_SNJ_"&amp;
_xlfn.XLOOKUP(商品マスタ[[#This Row],[仕入先]],テーブル1[仕入先名],テーブル1[仕入先コード],"XXX",0,1)&amp;
"_"&amp;
商品マスタ[[#This Row],[シリアル]]&amp;
"_"&amp;
TEXT(COUNTIFS(商品マスタ!$C$3:C685,商品マスタ[[#This Row],[仕入先]],商品マスタ!$E$3:E685,商品マスタ[[#This Row],[商品名]]), "00")</f>
        <v>PRD_SNJ__0000_00</v>
      </c>
      <c r="E685" s="87"/>
      <c r="F685" s="87">
        <f>IF(COUNTIFS($C$3:C685,商品マスタ[[#This Row],[仕入先]],$E$3:E685,商品マスタ[[#This Row],[商品名]]) = 1, 1,0)</f>
        <v>0</v>
      </c>
      <c r="G685" s="133" t="str">
        <f>TEXT(SUMIF($C$3:C685,商品マスタ[[#This Row],[仕入先]],$F$3:F685), "0000")</f>
        <v>0000</v>
      </c>
      <c r="H685" s="87"/>
      <c r="I685" s="87"/>
      <c r="J685" s="87"/>
      <c r="K685" s="87"/>
      <c r="L685" s="134"/>
      <c r="M685" s="157"/>
      <c r="N685" s="134"/>
      <c r="O685" s="135" t="str">
        <f>IF(COUNT(商品マスタ[[#This Row],[参考上代
（税込)]]) &gt; 0, (商品マスタ[[#This Row],[参考上代
（税込)]]-商品マスタ[[#This Row],[国内定価
（15％）]])/(商品マスタ[[#This Row],[参考上代
（税込)]]/1.08), "")</f>
        <v/>
      </c>
      <c r="P685" s="136">
        <v>0.1</v>
      </c>
      <c r="Q685" s="134">
        <f>商品マスタ[[#This Row],[仕入
単価]]*商品マスタ[[#This Row],[標準国内送料率]]</f>
        <v>0</v>
      </c>
      <c r="R685" s="134"/>
      <c r="S685" s="134">
        <f>IF(ISBLANK(商品マスタ[[#This Row],[実績
国内送料]]),商品マスタ[[#This Row],[標準国内送料]],)</f>
        <v>0</v>
      </c>
      <c r="T685" s="134">
        <f>商品マスタ[[#This Row],[仕入
単価]]+商品マスタ[[#This Row],[国内送料]]</f>
        <v>0</v>
      </c>
      <c r="U685" s="134">
        <f>ROUNDUP(商品マスタ[[#This Row],[仕入単価+国内送料]]/0.8,-1)</f>
        <v>0</v>
      </c>
      <c r="V685" s="134">
        <f>商品マスタ[[#This Row],[海外定価
（20％）]]-商品マスタ[[#This Row],[仕入単価+国内送料]]</f>
        <v>0</v>
      </c>
      <c r="W685" s="87">
        <f>ROUNDUP(商品マスタ[[#This Row],[仕入単価+国内送料]]/0.85,-1)</f>
        <v>0</v>
      </c>
      <c r="X685" s="134">
        <f>商品マスタ[[#This Row],[国内定価
（15％）]]-商品マスタ[[#This Row],[仕入単価+国内送料]]</f>
        <v>0</v>
      </c>
      <c r="Y685" s="139"/>
      <c r="Z685" s="87"/>
      <c r="AA685" s="87"/>
      <c r="AB685" s="87"/>
      <c r="AC685" s="140"/>
      <c r="AD685" s="87"/>
      <c r="AE685" s="87"/>
      <c r="AF685" s="87"/>
      <c r="AG685" s="141"/>
    </row>
    <row r="686" spans="1:33" ht="18">
      <c r="A686" s="166"/>
      <c r="B686" s="167"/>
      <c r="C686" s="167"/>
      <c r="D686" s="143" t="str">
        <f>"PRD_SNJ_"&amp;
_xlfn.XLOOKUP(商品マスタ[[#This Row],[仕入先]],テーブル1[仕入先名],テーブル1[仕入先コード],"XXX",0,1)&amp;
"_"&amp;
商品マスタ[[#This Row],[シリアル]]&amp;
"_"&amp;
TEXT(COUNTIFS(商品マスタ!$C$3:C686,商品マスタ[[#This Row],[仕入先]],商品マスタ!$E$3:E686,商品マスタ[[#This Row],[商品名]]), "00")</f>
        <v>PRD_SNJ__0000_00</v>
      </c>
      <c r="E686" s="87"/>
      <c r="F686" s="87">
        <f>IF(COUNTIFS($C$3:C686,商品マスタ[[#This Row],[仕入先]],$E$3:E686,商品マスタ[[#This Row],[商品名]]) = 1, 1,0)</f>
        <v>0</v>
      </c>
      <c r="G686" s="133" t="str">
        <f>TEXT(SUMIF($C$3:C686,商品マスタ[[#This Row],[仕入先]],$F$3:F686), "0000")</f>
        <v>0000</v>
      </c>
      <c r="H686" s="87"/>
      <c r="I686" s="87"/>
      <c r="J686" s="87"/>
      <c r="K686" s="87"/>
      <c r="L686" s="134"/>
      <c r="M686" s="157"/>
      <c r="N686" s="134"/>
      <c r="O686" s="135" t="str">
        <f>IF(COUNT(商品マスタ[[#This Row],[参考上代
（税込)]]) &gt; 0, (商品マスタ[[#This Row],[参考上代
（税込)]]-商品マスタ[[#This Row],[国内定価
（15％）]])/(商品マスタ[[#This Row],[参考上代
（税込)]]/1.08), "")</f>
        <v/>
      </c>
      <c r="P686" s="136">
        <v>0.1</v>
      </c>
      <c r="Q686" s="134">
        <f>商品マスタ[[#This Row],[仕入
単価]]*商品マスタ[[#This Row],[標準国内送料率]]</f>
        <v>0</v>
      </c>
      <c r="R686" s="134"/>
      <c r="S686" s="134">
        <f>IF(ISBLANK(商品マスタ[[#This Row],[実績
国内送料]]),商品マスタ[[#This Row],[標準国内送料]],)</f>
        <v>0</v>
      </c>
      <c r="T686" s="134">
        <f>商品マスタ[[#This Row],[仕入
単価]]+商品マスタ[[#This Row],[国内送料]]</f>
        <v>0</v>
      </c>
      <c r="U686" s="134">
        <f>ROUNDUP(商品マスタ[[#This Row],[仕入単価+国内送料]]/0.8,-1)</f>
        <v>0</v>
      </c>
      <c r="V686" s="134">
        <f>商品マスタ[[#This Row],[海外定価
（20％）]]-商品マスタ[[#This Row],[仕入単価+国内送料]]</f>
        <v>0</v>
      </c>
      <c r="W686" s="87">
        <f>ROUNDUP(商品マスタ[[#This Row],[仕入単価+国内送料]]/0.85,-1)</f>
        <v>0</v>
      </c>
      <c r="X686" s="134">
        <f>商品マスタ[[#This Row],[国内定価
（15％）]]-商品マスタ[[#This Row],[仕入単価+国内送料]]</f>
        <v>0</v>
      </c>
      <c r="Y686" s="139"/>
      <c r="Z686" s="87"/>
      <c r="AA686" s="87"/>
      <c r="AB686" s="87"/>
      <c r="AC686" s="140"/>
      <c r="AD686" s="87"/>
      <c r="AE686" s="87"/>
      <c r="AF686" s="87"/>
      <c r="AG686" s="141"/>
    </row>
    <row r="687" spans="1:33" ht="18">
      <c r="A687" s="166"/>
      <c r="B687" s="167"/>
      <c r="C687" s="167"/>
      <c r="D687" s="143" t="str">
        <f>"PRD_SNJ_"&amp;
_xlfn.XLOOKUP(商品マスタ[[#This Row],[仕入先]],テーブル1[仕入先名],テーブル1[仕入先コード],"XXX",0,1)&amp;
"_"&amp;
商品マスタ[[#This Row],[シリアル]]&amp;
"_"&amp;
TEXT(COUNTIFS(商品マスタ!$C$3:C687,商品マスタ[[#This Row],[仕入先]],商品マスタ!$E$3:E687,商品マスタ[[#This Row],[商品名]]), "00")</f>
        <v>PRD_SNJ__0000_00</v>
      </c>
      <c r="E687" s="87"/>
      <c r="F687" s="87">
        <f>IF(COUNTIFS($C$3:C687,商品マスタ[[#This Row],[仕入先]],$E$3:E687,商品マスタ[[#This Row],[商品名]]) = 1, 1,0)</f>
        <v>0</v>
      </c>
      <c r="G687" s="133" t="str">
        <f>TEXT(SUMIF($C$3:C687,商品マスタ[[#This Row],[仕入先]],$F$3:F687), "0000")</f>
        <v>0000</v>
      </c>
      <c r="H687" s="87"/>
      <c r="I687" s="87"/>
      <c r="J687" s="87"/>
      <c r="K687" s="87"/>
      <c r="L687" s="134"/>
      <c r="M687" s="157"/>
      <c r="N687" s="134"/>
      <c r="O687" s="135" t="str">
        <f>IF(COUNT(商品マスタ[[#This Row],[参考上代
（税込)]]) &gt; 0, (商品マスタ[[#This Row],[参考上代
（税込)]]-商品マスタ[[#This Row],[国内定価
（15％）]])/(商品マスタ[[#This Row],[参考上代
（税込)]]/1.08), "")</f>
        <v/>
      </c>
      <c r="P687" s="136">
        <v>0.1</v>
      </c>
      <c r="Q687" s="134">
        <f>商品マスタ[[#This Row],[仕入
単価]]*商品マスタ[[#This Row],[標準国内送料率]]</f>
        <v>0</v>
      </c>
      <c r="R687" s="134"/>
      <c r="S687" s="134">
        <f>IF(ISBLANK(商品マスタ[[#This Row],[実績
国内送料]]),商品マスタ[[#This Row],[標準国内送料]],)</f>
        <v>0</v>
      </c>
      <c r="T687" s="134">
        <f>商品マスタ[[#This Row],[仕入
単価]]+商品マスタ[[#This Row],[国内送料]]</f>
        <v>0</v>
      </c>
      <c r="U687" s="134">
        <f>ROUNDUP(商品マスタ[[#This Row],[仕入単価+国内送料]]/0.8,-1)</f>
        <v>0</v>
      </c>
      <c r="V687" s="134">
        <f>商品マスタ[[#This Row],[海外定価
（20％）]]-商品マスタ[[#This Row],[仕入単価+国内送料]]</f>
        <v>0</v>
      </c>
      <c r="W687" s="87">
        <f>ROUNDUP(商品マスタ[[#This Row],[仕入単価+国内送料]]/0.85,-1)</f>
        <v>0</v>
      </c>
      <c r="X687" s="134">
        <f>商品マスタ[[#This Row],[国内定価
（15％）]]-商品マスタ[[#This Row],[仕入単価+国内送料]]</f>
        <v>0</v>
      </c>
      <c r="Y687" s="139"/>
      <c r="Z687" s="87"/>
      <c r="AA687" s="87"/>
      <c r="AB687" s="87"/>
      <c r="AC687" s="140"/>
      <c r="AD687" s="87"/>
      <c r="AE687" s="87"/>
      <c r="AF687" s="87"/>
      <c r="AG687" s="141"/>
    </row>
    <row r="688" spans="1:33" ht="18">
      <c r="A688" s="166"/>
      <c r="B688" s="167"/>
      <c r="C688" s="167"/>
      <c r="D688" s="143" t="str">
        <f>"PRD_SNJ_"&amp;
_xlfn.XLOOKUP(商品マスタ[[#This Row],[仕入先]],テーブル1[仕入先名],テーブル1[仕入先コード],"XXX",0,1)&amp;
"_"&amp;
商品マスタ[[#This Row],[シリアル]]&amp;
"_"&amp;
TEXT(COUNTIFS(商品マスタ!$C$3:C688,商品マスタ[[#This Row],[仕入先]],商品マスタ!$E$3:E688,商品マスタ[[#This Row],[商品名]]), "00")</f>
        <v>PRD_SNJ__0000_00</v>
      </c>
      <c r="E688" s="87"/>
      <c r="F688" s="87">
        <f>IF(COUNTIFS($C$3:C688,商品マスタ[[#This Row],[仕入先]],$E$3:E688,商品マスタ[[#This Row],[商品名]]) = 1, 1,0)</f>
        <v>0</v>
      </c>
      <c r="G688" s="133" t="str">
        <f>TEXT(SUMIF($C$3:C688,商品マスタ[[#This Row],[仕入先]],$F$3:F688), "0000")</f>
        <v>0000</v>
      </c>
      <c r="H688" s="87"/>
      <c r="I688" s="87"/>
      <c r="J688" s="87"/>
      <c r="K688" s="87"/>
      <c r="L688" s="134"/>
      <c r="M688" s="157"/>
      <c r="N688" s="134"/>
      <c r="O688" s="135" t="str">
        <f>IF(COUNT(商品マスタ[[#This Row],[参考上代
（税込)]]) &gt; 0, (商品マスタ[[#This Row],[参考上代
（税込)]]-商品マスタ[[#This Row],[国内定価
（15％）]])/(商品マスタ[[#This Row],[参考上代
（税込)]]/1.08), "")</f>
        <v/>
      </c>
      <c r="P688" s="136">
        <v>0.1</v>
      </c>
      <c r="Q688" s="134">
        <f>商品マスタ[[#This Row],[仕入
単価]]*商品マスタ[[#This Row],[標準国内送料率]]</f>
        <v>0</v>
      </c>
      <c r="R688" s="134"/>
      <c r="S688" s="134">
        <f>IF(ISBLANK(商品マスタ[[#This Row],[実績
国内送料]]),商品マスタ[[#This Row],[標準国内送料]],)</f>
        <v>0</v>
      </c>
      <c r="T688" s="134">
        <f>商品マスタ[[#This Row],[仕入
単価]]+商品マスタ[[#This Row],[国内送料]]</f>
        <v>0</v>
      </c>
      <c r="U688" s="134">
        <f>ROUNDUP(商品マスタ[[#This Row],[仕入単価+国内送料]]/0.8,-1)</f>
        <v>0</v>
      </c>
      <c r="V688" s="134">
        <f>商品マスタ[[#This Row],[海外定価
（20％）]]-商品マスタ[[#This Row],[仕入単価+国内送料]]</f>
        <v>0</v>
      </c>
      <c r="W688" s="87">
        <f>ROUNDUP(商品マスタ[[#This Row],[仕入単価+国内送料]]/0.85,-1)</f>
        <v>0</v>
      </c>
      <c r="X688" s="134">
        <f>商品マスタ[[#This Row],[国内定価
（15％）]]-商品マスタ[[#This Row],[仕入単価+国内送料]]</f>
        <v>0</v>
      </c>
      <c r="Y688" s="139"/>
      <c r="Z688" s="87"/>
      <c r="AA688" s="87"/>
      <c r="AB688" s="87"/>
      <c r="AC688" s="140"/>
      <c r="AD688" s="87"/>
      <c r="AE688" s="87"/>
      <c r="AF688" s="87"/>
      <c r="AG688" s="141"/>
    </row>
    <row r="689" spans="1:33" ht="18">
      <c r="A689" s="166"/>
      <c r="B689" s="167"/>
      <c r="C689" s="167"/>
      <c r="D689" s="143" t="str">
        <f>"PRD_SNJ_"&amp;
_xlfn.XLOOKUP(商品マスタ[[#This Row],[仕入先]],テーブル1[仕入先名],テーブル1[仕入先コード],"XXX",0,1)&amp;
"_"&amp;
商品マスタ[[#This Row],[シリアル]]&amp;
"_"&amp;
TEXT(COUNTIFS(商品マスタ!$C$3:C689,商品マスタ[[#This Row],[仕入先]],商品マスタ!$E$3:E689,商品マスタ[[#This Row],[商品名]]), "00")</f>
        <v>PRD_SNJ__0000_00</v>
      </c>
      <c r="E689" s="87"/>
      <c r="F689" s="87">
        <f>IF(COUNTIFS($C$3:C689,商品マスタ[[#This Row],[仕入先]],$E$3:E689,商品マスタ[[#This Row],[商品名]]) = 1, 1,0)</f>
        <v>0</v>
      </c>
      <c r="G689" s="133" t="str">
        <f>TEXT(SUMIF($C$3:C689,商品マスタ[[#This Row],[仕入先]],$F$3:F689), "0000")</f>
        <v>0000</v>
      </c>
      <c r="H689" s="87"/>
      <c r="I689" s="87"/>
      <c r="J689" s="87"/>
      <c r="K689" s="87"/>
      <c r="L689" s="134"/>
      <c r="M689" s="157"/>
      <c r="N689" s="134"/>
      <c r="O689" s="135" t="str">
        <f>IF(COUNT(商品マスタ[[#This Row],[参考上代
（税込)]]) &gt; 0, (商品マスタ[[#This Row],[参考上代
（税込)]]-商品マスタ[[#This Row],[国内定価
（15％）]])/(商品マスタ[[#This Row],[参考上代
（税込)]]/1.08), "")</f>
        <v/>
      </c>
      <c r="P689" s="136">
        <v>0.1</v>
      </c>
      <c r="Q689" s="134">
        <f>商品マスタ[[#This Row],[仕入
単価]]*商品マスタ[[#This Row],[標準国内送料率]]</f>
        <v>0</v>
      </c>
      <c r="R689" s="134"/>
      <c r="S689" s="134">
        <f>IF(ISBLANK(商品マスタ[[#This Row],[実績
国内送料]]),商品マスタ[[#This Row],[標準国内送料]],)</f>
        <v>0</v>
      </c>
      <c r="T689" s="134">
        <f>商品マスタ[[#This Row],[仕入
単価]]+商品マスタ[[#This Row],[国内送料]]</f>
        <v>0</v>
      </c>
      <c r="U689" s="134">
        <f>ROUNDUP(商品マスタ[[#This Row],[仕入単価+国内送料]]/0.8,-1)</f>
        <v>0</v>
      </c>
      <c r="V689" s="134">
        <f>商品マスタ[[#This Row],[海外定価
（20％）]]-商品マスタ[[#This Row],[仕入単価+国内送料]]</f>
        <v>0</v>
      </c>
      <c r="W689" s="87">
        <f>ROUNDUP(商品マスタ[[#This Row],[仕入単価+国内送料]]/0.85,-1)</f>
        <v>0</v>
      </c>
      <c r="X689" s="134">
        <f>商品マスタ[[#This Row],[国内定価
（15％）]]-商品マスタ[[#This Row],[仕入単価+国内送料]]</f>
        <v>0</v>
      </c>
      <c r="Y689" s="139"/>
      <c r="Z689" s="87"/>
      <c r="AA689" s="87"/>
      <c r="AB689" s="87"/>
      <c r="AC689" s="140"/>
      <c r="AD689" s="87"/>
      <c r="AE689" s="87"/>
      <c r="AF689" s="87"/>
      <c r="AG689" s="141"/>
    </row>
    <row r="690" spans="1:33" ht="18">
      <c r="A690" s="166"/>
      <c r="B690" s="167"/>
      <c r="C690" s="167"/>
      <c r="D690" s="143" t="str">
        <f>"PRD_SNJ_"&amp;
_xlfn.XLOOKUP(商品マスタ[[#This Row],[仕入先]],テーブル1[仕入先名],テーブル1[仕入先コード],"XXX",0,1)&amp;
"_"&amp;
商品マスタ[[#This Row],[シリアル]]&amp;
"_"&amp;
TEXT(COUNTIFS(商品マスタ!$C$3:C690,商品マスタ[[#This Row],[仕入先]],商品マスタ!$E$3:E690,商品マスタ[[#This Row],[商品名]]), "00")</f>
        <v>PRD_SNJ__0000_00</v>
      </c>
      <c r="E690" s="87"/>
      <c r="F690" s="87">
        <f>IF(COUNTIFS($C$3:C690,商品マスタ[[#This Row],[仕入先]],$E$3:E690,商品マスタ[[#This Row],[商品名]]) = 1, 1,0)</f>
        <v>0</v>
      </c>
      <c r="G690" s="133" t="str">
        <f>TEXT(SUMIF($C$3:C690,商品マスタ[[#This Row],[仕入先]],$F$3:F690), "0000")</f>
        <v>0000</v>
      </c>
      <c r="H690" s="87"/>
      <c r="I690" s="87"/>
      <c r="J690" s="87"/>
      <c r="K690" s="87"/>
      <c r="L690" s="134"/>
      <c r="M690" s="157"/>
      <c r="N690" s="134"/>
      <c r="O690" s="135" t="str">
        <f>IF(COUNT(商品マスタ[[#This Row],[参考上代
（税込)]]) &gt; 0, (商品マスタ[[#This Row],[参考上代
（税込)]]-商品マスタ[[#This Row],[国内定価
（15％）]])/(商品マスタ[[#This Row],[参考上代
（税込)]]/1.08), "")</f>
        <v/>
      </c>
      <c r="P690" s="136">
        <v>0.1</v>
      </c>
      <c r="Q690" s="134">
        <f>商品マスタ[[#This Row],[仕入
単価]]*商品マスタ[[#This Row],[標準国内送料率]]</f>
        <v>0</v>
      </c>
      <c r="R690" s="134"/>
      <c r="S690" s="134">
        <f>IF(ISBLANK(商品マスタ[[#This Row],[実績
国内送料]]),商品マスタ[[#This Row],[標準国内送料]],)</f>
        <v>0</v>
      </c>
      <c r="T690" s="134">
        <f>商品マスタ[[#This Row],[仕入
単価]]+商品マスタ[[#This Row],[国内送料]]</f>
        <v>0</v>
      </c>
      <c r="U690" s="134">
        <f>ROUNDUP(商品マスタ[[#This Row],[仕入単価+国内送料]]/0.8,-1)</f>
        <v>0</v>
      </c>
      <c r="V690" s="134">
        <f>商品マスタ[[#This Row],[海外定価
（20％）]]-商品マスタ[[#This Row],[仕入単価+国内送料]]</f>
        <v>0</v>
      </c>
      <c r="W690" s="87">
        <f>ROUNDUP(商品マスタ[[#This Row],[仕入単価+国内送料]]/0.85,-1)</f>
        <v>0</v>
      </c>
      <c r="X690" s="134">
        <f>商品マスタ[[#This Row],[国内定価
（15％）]]-商品マスタ[[#This Row],[仕入単価+国内送料]]</f>
        <v>0</v>
      </c>
      <c r="Y690" s="139"/>
      <c r="Z690" s="87"/>
      <c r="AA690" s="87"/>
      <c r="AB690" s="87"/>
      <c r="AC690" s="140"/>
      <c r="AD690" s="87"/>
      <c r="AE690" s="87"/>
      <c r="AF690" s="87"/>
      <c r="AG690" s="141"/>
    </row>
    <row r="691" spans="1:33" ht="18">
      <c r="A691" s="166"/>
      <c r="B691" s="167"/>
      <c r="C691" s="167"/>
      <c r="D691" s="143" t="str">
        <f>"PRD_SNJ_"&amp;
_xlfn.XLOOKUP(商品マスタ[[#This Row],[仕入先]],テーブル1[仕入先名],テーブル1[仕入先コード],"XXX",0,1)&amp;
"_"&amp;
商品マスタ[[#This Row],[シリアル]]&amp;
"_"&amp;
TEXT(COUNTIFS(商品マスタ!$C$3:C691,商品マスタ[[#This Row],[仕入先]],商品マスタ!$E$3:E691,商品マスタ[[#This Row],[商品名]]), "00")</f>
        <v>PRD_SNJ__0000_00</v>
      </c>
      <c r="E691" s="87"/>
      <c r="F691" s="87">
        <f>IF(COUNTIFS($C$3:C691,商品マスタ[[#This Row],[仕入先]],$E$3:E691,商品マスタ[[#This Row],[商品名]]) = 1, 1,0)</f>
        <v>0</v>
      </c>
      <c r="G691" s="133" t="str">
        <f>TEXT(SUMIF($C$3:C691,商品マスタ[[#This Row],[仕入先]],$F$3:F691), "0000")</f>
        <v>0000</v>
      </c>
      <c r="H691" s="87"/>
      <c r="I691" s="87"/>
      <c r="J691" s="87"/>
      <c r="K691" s="87"/>
      <c r="L691" s="134"/>
      <c r="M691" s="157"/>
      <c r="N691" s="134"/>
      <c r="O691" s="135" t="str">
        <f>IF(COUNT(商品マスタ[[#This Row],[参考上代
（税込)]]) &gt; 0, (商品マスタ[[#This Row],[参考上代
（税込)]]-商品マスタ[[#This Row],[国内定価
（15％）]])/(商品マスタ[[#This Row],[参考上代
（税込)]]/1.08), "")</f>
        <v/>
      </c>
      <c r="P691" s="136">
        <v>0.1</v>
      </c>
      <c r="Q691" s="134">
        <f>商品マスタ[[#This Row],[仕入
単価]]*商品マスタ[[#This Row],[標準国内送料率]]</f>
        <v>0</v>
      </c>
      <c r="R691" s="134"/>
      <c r="S691" s="134">
        <f>IF(ISBLANK(商品マスタ[[#This Row],[実績
国内送料]]),商品マスタ[[#This Row],[標準国内送料]],)</f>
        <v>0</v>
      </c>
      <c r="T691" s="134">
        <f>商品マスタ[[#This Row],[仕入
単価]]+商品マスタ[[#This Row],[国内送料]]</f>
        <v>0</v>
      </c>
      <c r="U691" s="134">
        <f>ROUNDUP(商品マスタ[[#This Row],[仕入単価+国内送料]]/0.8,-1)</f>
        <v>0</v>
      </c>
      <c r="V691" s="134">
        <f>商品マスタ[[#This Row],[海外定価
（20％）]]-商品マスタ[[#This Row],[仕入単価+国内送料]]</f>
        <v>0</v>
      </c>
      <c r="W691" s="87">
        <f>ROUNDUP(商品マスタ[[#This Row],[仕入単価+国内送料]]/0.85,-1)</f>
        <v>0</v>
      </c>
      <c r="X691" s="134">
        <f>商品マスタ[[#This Row],[国内定価
（15％）]]-商品マスタ[[#This Row],[仕入単価+国内送料]]</f>
        <v>0</v>
      </c>
      <c r="Y691" s="139"/>
      <c r="Z691" s="87"/>
      <c r="AA691" s="87"/>
      <c r="AB691" s="87"/>
      <c r="AC691" s="140"/>
      <c r="AD691" s="87"/>
      <c r="AE691" s="87"/>
      <c r="AF691" s="87"/>
      <c r="AG691" s="141"/>
    </row>
    <row r="692" spans="1:33" ht="18">
      <c r="A692" s="166"/>
      <c r="B692" s="167"/>
      <c r="C692" s="167"/>
      <c r="D692" s="143" t="str">
        <f>"PRD_SNJ_"&amp;
_xlfn.XLOOKUP(商品マスタ[[#This Row],[仕入先]],テーブル1[仕入先名],テーブル1[仕入先コード],"XXX",0,1)&amp;
"_"&amp;
商品マスタ[[#This Row],[シリアル]]&amp;
"_"&amp;
TEXT(COUNTIFS(商品マスタ!$C$3:C692,商品マスタ[[#This Row],[仕入先]],商品マスタ!$E$3:E692,商品マスタ[[#This Row],[商品名]]), "00")</f>
        <v>PRD_SNJ__0000_00</v>
      </c>
      <c r="E692" s="87"/>
      <c r="F692" s="87">
        <f>IF(COUNTIFS($C$3:C692,商品マスタ[[#This Row],[仕入先]],$E$3:E692,商品マスタ[[#This Row],[商品名]]) = 1, 1,0)</f>
        <v>0</v>
      </c>
      <c r="G692" s="133" t="str">
        <f>TEXT(SUMIF($C$3:C692,商品マスタ[[#This Row],[仕入先]],$F$3:F692), "0000")</f>
        <v>0000</v>
      </c>
      <c r="H692" s="87"/>
      <c r="I692" s="87"/>
      <c r="J692" s="87"/>
      <c r="K692" s="87"/>
      <c r="L692" s="134"/>
      <c r="M692" s="157"/>
      <c r="N692" s="134"/>
      <c r="O692" s="135" t="str">
        <f>IF(COUNT(商品マスタ[[#This Row],[参考上代
（税込)]]) &gt; 0, (商品マスタ[[#This Row],[参考上代
（税込)]]-商品マスタ[[#This Row],[国内定価
（15％）]])/(商品マスタ[[#This Row],[参考上代
（税込)]]/1.08), "")</f>
        <v/>
      </c>
      <c r="P692" s="136">
        <v>0.1</v>
      </c>
      <c r="Q692" s="134">
        <f>商品マスタ[[#This Row],[仕入
単価]]*商品マスタ[[#This Row],[標準国内送料率]]</f>
        <v>0</v>
      </c>
      <c r="R692" s="134"/>
      <c r="S692" s="134">
        <f>IF(ISBLANK(商品マスタ[[#This Row],[実績
国内送料]]),商品マスタ[[#This Row],[標準国内送料]],)</f>
        <v>0</v>
      </c>
      <c r="T692" s="134">
        <f>商品マスタ[[#This Row],[仕入
単価]]+商品マスタ[[#This Row],[国内送料]]</f>
        <v>0</v>
      </c>
      <c r="U692" s="134">
        <f>ROUNDUP(商品マスタ[[#This Row],[仕入単価+国内送料]]/0.8,-1)</f>
        <v>0</v>
      </c>
      <c r="V692" s="134">
        <f>商品マスタ[[#This Row],[海外定価
（20％）]]-商品マスタ[[#This Row],[仕入単価+国内送料]]</f>
        <v>0</v>
      </c>
      <c r="W692" s="87">
        <f>ROUNDUP(商品マスタ[[#This Row],[仕入単価+国内送料]]/0.85,-1)</f>
        <v>0</v>
      </c>
      <c r="X692" s="134">
        <f>商品マスタ[[#This Row],[国内定価
（15％）]]-商品マスタ[[#This Row],[仕入単価+国内送料]]</f>
        <v>0</v>
      </c>
      <c r="Y692" s="139"/>
      <c r="Z692" s="87"/>
      <c r="AA692" s="87"/>
      <c r="AB692" s="87"/>
      <c r="AC692" s="140"/>
      <c r="AD692" s="87"/>
      <c r="AE692" s="87"/>
      <c r="AF692" s="87"/>
      <c r="AG692" s="141"/>
    </row>
    <row r="693" spans="1:33" ht="18">
      <c r="A693" s="166"/>
      <c r="B693" s="167"/>
      <c r="C693" s="167"/>
      <c r="D693" s="143" t="str">
        <f>"PRD_SNJ_"&amp;
_xlfn.XLOOKUP(商品マスタ[[#This Row],[仕入先]],テーブル1[仕入先名],テーブル1[仕入先コード],"XXX",0,1)&amp;
"_"&amp;
商品マスタ[[#This Row],[シリアル]]&amp;
"_"&amp;
TEXT(COUNTIFS(商品マスタ!$C$3:C693,商品マスタ[[#This Row],[仕入先]],商品マスタ!$E$3:E693,商品マスタ[[#This Row],[商品名]]), "00")</f>
        <v>PRD_SNJ__0000_00</v>
      </c>
      <c r="E693" s="87"/>
      <c r="F693" s="87">
        <f>IF(COUNTIFS($C$3:C693,商品マスタ[[#This Row],[仕入先]],$E$3:E693,商品マスタ[[#This Row],[商品名]]) = 1, 1,0)</f>
        <v>0</v>
      </c>
      <c r="G693" s="133" t="str">
        <f>TEXT(SUMIF($C$3:C693,商品マスタ[[#This Row],[仕入先]],$F$3:F693), "0000")</f>
        <v>0000</v>
      </c>
      <c r="H693" s="87"/>
      <c r="I693" s="87"/>
      <c r="J693" s="87"/>
      <c r="K693" s="87"/>
      <c r="L693" s="134"/>
      <c r="M693" s="157"/>
      <c r="N693" s="134"/>
      <c r="O693" s="135" t="str">
        <f>IF(COUNT(商品マスタ[[#This Row],[参考上代
（税込)]]) &gt; 0, (商品マスタ[[#This Row],[参考上代
（税込)]]-商品マスタ[[#This Row],[国内定価
（15％）]])/(商品マスタ[[#This Row],[参考上代
（税込)]]/1.08), "")</f>
        <v/>
      </c>
      <c r="P693" s="136">
        <v>0.1</v>
      </c>
      <c r="Q693" s="134">
        <f>商品マスタ[[#This Row],[仕入
単価]]*商品マスタ[[#This Row],[標準国内送料率]]</f>
        <v>0</v>
      </c>
      <c r="R693" s="134"/>
      <c r="S693" s="134">
        <f>IF(ISBLANK(商品マスタ[[#This Row],[実績
国内送料]]),商品マスタ[[#This Row],[標準国内送料]],)</f>
        <v>0</v>
      </c>
      <c r="T693" s="134">
        <f>商品マスタ[[#This Row],[仕入
単価]]+商品マスタ[[#This Row],[国内送料]]</f>
        <v>0</v>
      </c>
      <c r="U693" s="134">
        <f>ROUNDUP(商品マスタ[[#This Row],[仕入単価+国内送料]]/0.8,-1)</f>
        <v>0</v>
      </c>
      <c r="V693" s="134">
        <f>商品マスタ[[#This Row],[海外定価
（20％）]]-商品マスタ[[#This Row],[仕入単価+国内送料]]</f>
        <v>0</v>
      </c>
      <c r="W693" s="87">
        <f>ROUNDUP(商品マスタ[[#This Row],[仕入単価+国内送料]]/0.85,-1)</f>
        <v>0</v>
      </c>
      <c r="X693" s="134">
        <f>商品マスタ[[#This Row],[国内定価
（15％）]]-商品マスタ[[#This Row],[仕入単価+国内送料]]</f>
        <v>0</v>
      </c>
      <c r="Y693" s="139"/>
      <c r="Z693" s="87"/>
      <c r="AA693" s="87"/>
      <c r="AB693" s="87"/>
      <c r="AC693" s="140"/>
      <c r="AD693" s="87"/>
      <c r="AE693" s="87"/>
      <c r="AF693" s="87"/>
      <c r="AG693" s="141"/>
    </row>
    <row r="694" spans="1:33" ht="18">
      <c r="A694" s="166"/>
      <c r="B694" s="167"/>
      <c r="C694" s="167"/>
      <c r="D694" s="143" t="str">
        <f>"PRD_SNJ_"&amp;
_xlfn.XLOOKUP(商品マスタ[[#This Row],[仕入先]],テーブル1[仕入先名],テーブル1[仕入先コード],"XXX",0,1)&amp;
"_"&amp;
商品マスタ[[#This Row],[シリアル]]&amp;
"_"&amp;
TEXT(COUNTIFS(商品マスタ!$C$3:C694,商品マスタ[[#This Row],[仕入先]],商品マスタ!$E$3:E694,商品マスタ[[#This Row],[商品名]]), "00")</f>
        <v>PRD_SNJ__0000_00</v>
      </c>
      <c r="E694" s="87"/>
      <c r="F694" s="87">
        <f>IF(COUNTIFS($C$3:C694,商品マスタ[[#This Row],[仕入先]],$E$3:E694,商品マスタ[[#This Row],[商品名]]) = 1, 1,0)</f>
        <v>0</v>
      </c>
      <c r="G694" s="133" t="str">
        <f>TEXT(SUMIF($C$3:C694,商品マスタ[[#This Row],[仕入先]],$F$3:F694), "0000")</f>
        <v>0000</v>
      </c>
      <c r="H694" s="87"/>
      <c r="I694" s="87"/>
      <c r="J694" s="87"/>
      <c r="K694" s="87"/>
      <c r="L694" s="134"/>
      <c r="M694" s="157"/>
      <c r="N694" s="134"/>
      <c r="O694" s="135" t="str">
        <f>IF(COUNT(商品マスタ[[#This Row],[参考上代
（税込)]]) &gt; 0, (商品マスタ[[#This Row],[参考上代
（税込)]]-商品マスタ[[#This Row],[国内定価
（15％）]])/(商品マスタ[[#This Row],[参考上代
（税込)]]/1.08), "")</f>
        <v/>
      </c>
      <c r="P694" s="136">
        <v>0.1</v>
      </c>
      <c r="Q694" s="134">
        <f>商品マスタ[[#This Row],[仕入
単価]]*商品マスタ[[#This Row],[標準国内送料率]]</f>
        <v>0</v>
      </c>
      <c r="R694" s="134"/>
      <c r="S694" s="134">
        <f>IF(ISBLANK(商品マスタ[[#This Row],[実績
国内送料]]),商品マスタ[[#This Row],[標準国内送料]],)</f>
        <v>0</v>
      </c>
      <c r="T694" s="134">
        <f>商品マスタ[[#This Row],[仕入
単価]]+商品マスタ[[#This Row],[国内送料]]</f>
        <v>0</v>
      </c>
      <c r="U694" s="134">
        <f>ROUNDUP(商品マスタ[[#This Row],[仕入単価+国内送料]]/0.8,-1)</f>
        <v>0</v>
      </c>
      <c r="V694" s="134">
        <f>商品マスタ[[#This Row],[海外定価
（20％）]]-商品マスタ[[#This Row],[仕入単価+国内送料]]</f>
        <v>0</v>
      </c>
      <c r="W694" s="87">
        <f>ROUNDUP(商品マスタ[[#This Row],[仕入単価+国内送料]]/0.85,-1)</f>
        <v>0</v>
      </c>
      <c r="X694" s="134">
        <f>商品マスタ[[#This Row],[国内定価
（15％）]]-商品マスタ[[#This Row],[仕入単価+国内送料]]</f>
        <v>0</v>
      </c>
      <c r="Y694" s="139"/>
      <c r="Z694" s="87"/>
      <c r="AA694" s="87"/>
      <c r="AB694" s="87"/>
      <c r="AC694" s="140"/>
      <c r="AD694" s="87"/>
      <c r="AE694" s="87"/>
      <c r="AF694" s="87"/>
      <c r="AG694" s="141"/>
    </row>
    <row r="695" spans="1:33" ht="18">
      <c r="A695" s="166"/>
      <c r="B695" s="167"/>
      <c r="C695" s="167"/>
      <c r="D695" s="143" t="str">
        <f>"PRD_SNJ_"&amp;
_xlfn.XLOOKUP(商品マスタ[[#This Row],[仕入先]],テーブル1[仕入先名],テーブル1[仕入先コード],"XXX",0,1)&amp;
"_"&amp;
商品マスタ[[#This Row],[シリアル]]&amp;
"_"&amp;
TEXT(COUNTIFS(商品マスタ!$C$3:C695,商品マスタ[[#This Row],[仕入先]],商品マスタ!$E$3:E695,商品マスタ[[#This Row],[商品名]]), "00")</f>
        <v>PRD_SNJ__0000_00</v>
      </c>
      <c r="E695" s="87"/>
      <c r="F695" s="87">
        <f>IF(COUNTIFS($C$3:C695,商品マスタ[[#This Row],[仕入先]],$E$3:E695,商品マスタ[[#This Row],[商品名]]) = 1, 1,0)</f>
        <v>0</v>
      </c>
      <c r="G695" s="133" t="str">
        <f>TEXT(SUMIF($C$3:C695,商品マスタ[[#This Row],[仕入先]],$F$3:F695), "0000")</f>
        <v>0000</v>
      </c>
      <c r="H695" s="87"/>
      <c r="I695" s="87"/>
      <c r="J695" s="87"/>
      <c r="K695" s="87"/>
      <c r="L695" s="134"/>
      <c r="M695" s="157"/>
      <c r="N695" s="134"/>
      <c r="O695" s="135" t="str">
        <f>IF(COUNT(商品マスタ[[#This Row],[参考上代
（税込)]]) &gt; 0, (商品マスタ[[#This Row],[参考上代
（税込)]]-商品マスタ[[#This Row],[国内定価
（15％）]])/(商品マスタ[[#This Row],[参考上代
（税込)]]/1.08), "")</f>
        <v/>
      </c>
      <c r="P695" s="136">
        <v>0.1</v>
      </c>
      <c r="Q695" s="134">
        <f>商品マスタ[[#This Row],[仕入
単価]]*商品マスタ[[#This Row],[標準国内送料率]]</f>
        <v>0</v>
      </c>
      <c r="R695" s="134"/>
      <c r="S695" s="134">
        <f>IF(ISBLANK(商品マスタ[[#This Row],[実績
国内送料]]),商品マスタ[[#This Row],[標準国内送料]],)</f>
        <v>0</v>
      </c>
      <c r="T695" s="134">
        <f>商品マスタ[[#This Row],[仕入
単価]]+商品マスタ[[#This Row],[国内送料]]</f>
        <v>0</v>
      </c>
      <c r="U695" s="134">
        <f>ROUNDUP(商品マスタ[[#This Row],[仕入単価+国内送料]]/0.8,-1)</f>
        <v>0</v>
      </c>
      <c r="V695" s="134">
        <f>商品マスタ[[#This Row],[海外定価
（20％）]]-商品マスタ[[#This Row],[仕入単価+国内送料]]</f>
        <v>0</v>
      </c>
      <c r="W695" s="87">
        <f>ROUNDUP(商品マスタ[[#This Row],[仕入単価+国内送料]]/0.85,-1)</f>
        <v>0</v>
      </c>
      <c r="X695" s="134">
        <f>商品マスタ[[#This Row],[国内定価
（15％）]]-商品マスタ[[#This Row],[仕入単価+国内送料]]</f>
        <v>0</v>
      </c>
      <c r="Y695" s="139"/>
      <c r="Z695" s="87"/>
      <c r="AA695" s="87"/>
      <c r="AB695" s="87"/>
      <c r="AC695" s="140"/>
      <c r="AD695" s="87"/>
      <c r="AE695" s="87"/>
      <c r="AF695" s="87"/>
      <c r="AG695" s="141"/>
    </row>
    <row r="696" spans="1:33" ht="18">
      <c r="A696" s="166"/>
      <c r="B696" s="167"/>
      <c r="C696" s="167"/>
      <c r="D696" s="143" t="str">
        <f>"PRD_SNJ_"&amp;
_xlfn.XLOOKUP(商品マスタ[[#This Row],[仕入先]],テーブル1[仕入先名],テーブル1[仕入先コード],"XXX",0,1)&amp;
"_"&amp;
商品マスタ[[#This Row],[シリアル]]&amp;
"_"&amp;
TEXT(COUNTIFS(商品マスタ!$C$3:C696,商品マスタ[[#This Row],[仕入先]],商品マスタ!$E$3:E696,商品マスタ[[#This Row],[商品名]]), "00")</f>
        <v>PRD_SNJ__0000_00</v>
      </c>
      <c r="E696" s="87"/>
      <c r="F696" s="87">
        <f>IF(COUNTIFS($C$3:C696,商品マスタ[[#This Row],[仕入先]],$E$3:E696,商品マスタ[[#This Row],[商品名]]) = 1, 1,0)</f>
        <v>0</v>
      </c>
      <c r="G696" s="133" t="str">
        <f>TEXT(SUMIF($C$3:C696,商品マスタ[[#This Row],[仕入先]],$F$3:F696), "0000")</f>
        <v>0000</v>
      </c>
      <c r="H696" s="87"/>
      <c r="I696" s="87"/>
      <c r="J696" s="87"/>
      <c r="K696" s="87"/>
      <c r="L696" s="134"/>
      <c r="M696" s="157"/>
      <c r="N696" s="134"/>
      <c r="O696" s="135" t="str">
        <f>IF(COUNT(商品マスタ[[#This Row],[参考上代
（税込)]]) &gt; 0, (商品マスタ[[#This Row],[参考上代
（税込)]]-商品マスタ[[#This Row],[国内定価
（15％）]])/(商品マスタ[[#This Row],[参考上代
（税込)]]/1.08), "")</f>
        <v/>
      </c>
      <c r="P696" s="136">
        <v>0.1</v>
      </c>
      <c r="Q696" s="134">
        <f>商品マスタ[[#This Row],[仕入
単価]]*商品マスタ[[#This Row],[標準国内送料率]]</f>
        <v>0</v>
      </c>
      <c r="R696" s="134"/>
      <c r="S696" s="134">
        <f>IF(ISBLANK(商品マスタ[[#This Row],[実績
国内送料]]),商品マスタ[[#This Row],[標準国内送料]],)</f>
        <v>0</v>
      </c>
      <c r="T696" s="134">
        <f>商品マスタ[[#This Row],[仕入
単価]]+商品マスタ[[#This Row],[国内送料]]</f>
        <v>0</v>
      </c>
      <c r="U696" s="134">
        <f>ROUNDUP(商品マスタ[[#This Row],[仕入単価+国内送料]]/0.8,-1)</f>
        <v>0</v>
      </c>
      <c r="V696" s="134">
        <f>商品マスタ[[#This Row],[海外定価
（20％）]]-商品マスタ[[#This Row],[仕入単価+国内送料]]</f>
        <v>0</v>
      </c>
      <c r="W696" s="87">
        <f>ROUNDUP(商品マスタ[[#This Row],[仕入単価+国内送料]]/0.85,-1)</f>
        <v>0</v>
      </c>
      <c r="X696" s="134">
        <f>商品マスタ[[#This Row],[国内定価
（15％）]]-商品マスタ[[#This Row],[仕入単価+国内送料]]</f>
        <v>0</v>
      </c>
      <c r="Y696" s="139"/>
      <c r="Z696" s="87"/>
      <c r="AA696" s="87"/>
      <c r="AB696" s="87"/>
      <c r="AC696" s="140"/>
      <c r="AD696" s="87"/>
      <c r="AE696" s="87"/>
      <c r="AF696" s="87"/>
      <c r="AG696" s="141"/>
    </row>
    <row r="697" spans="1:33" ht="18">
      <c r="A697" s="166"/>
      <c r="B697" s="167"/>
      <c r="C697" s="167"/>
      <c r="D697" s="143" t="str">
        <f>"PRD_SNJ_"&amp;
_xlfn.XLOOKUP(商品マスタ[[#This Row],[仕入先]],テーブル1[仕入先名],テーブル1[仕入先コード],"XXX",0,1)&amp;
"_"&amp;
商品マスタ[[#This Row],[シリアル]]&amp;
"_"&amp;
TEXT(COUNTIFS(商品マスタ!$C$3:C697,商品マスタ[[#This Row],[仕入先]],商品マスタ!$E$3:E697,商品マスタ[[#This Row],[商品名]]), "00")</f>
        <v>PRD_SNJ__0000_00</v>
      </c>
      <c r="E697" s="87"/>
      <c r="F697" s="87">
        <f>IF(COUNTIFS($C$3:C697,商品マスタ[[#This Row],[仕入先]],$E$3:E697,商品マスタ[[#This Row],[商品名]]) = 1, 1,0)</f>
        <v>0</v>
      </c>
      <c r="G697" s="133" t="str">
        <f>TEXT(SUMIF($C$3:C697,商品マスタ[[#This Row],[仕入先]],$F$3:F697), "0000")</f>
        <v>0000</v>
      </c>
      <c r="H697" s="87"/>
      <c r="I697" s="87"/>
      <c r="J697" s="87"/>
      <c r="K697" s="87"/>
      <c r="L697" s="134"/>
      <c r="M697" s="157"/>
      <c r="N697" s="134"/>
      <c r="O697" s="135" t="str">
        <f>IF(COUNT(商品マスタ[[#This Row],[参考上代
（税込)]]) &gt; 0, (商品マスタ[[#This Row],[参考上代
（税込)]]-商品マスタ[[#This Row],[国内定価
（15％）]])/(商品マスタ[[#This Row],[参考上代
（税込)]]/1.08), "")</f>
        <v/>
      </c>
      <c r="P697" s="136">
        <v>0.1</v>
      </c>
      <c r="Q697" s="134">
        <f>商品マスタ[[#This Row],[仕入
単価]]*商品マスタ[[#This Row],[標準国内送料率]]</f>
        <v>0</v>
      </c>
      <c r="R697" s="134"/>
      <c r="S697" s="134">
        <f>IF(ISBLANK(商品マスタ[[#This Row],[実績
国内送料]]),商品マスタ[[#This Row],[標準国内送料]],)</f>
        <v>0</v>
      </c>
      <c r="T697" s="134">
        <f>商品マスタ[[#This Row],[仕入
単価]]+商品マスタ[[#This Row],[国内送料]]</f>
        <v>0</v>
      </c>
      <c r="U697" s="134">
        <f>ROUNDUP(商品マスタ[[#This Row],[仕入単価+国内送料]]/0.8,-1)</f>
        <v>0</v>
      </c>
      <c r="V697" s="134">
        <f>商品マスタ[[#This Row],[海外定価
（20％）]]-商品マスタ[[#This Row],[仕入単価+国内送料]]</f>
        <v>0</v>
      </c>
      <c r="W697" s="87">
        <f>ROUNDUP(商品マスタ[[#This Row],[仕入単価+国内送料]]/0.85,-1)</f>
        <v>0</v>
      </c>
      <c r="X697" s="134">
        <f>商品マスタ[[#This Row],[国内定価
（15％）]]-商品マスタ[[#This Row],[仕入単価+国内送料]]</f>
        <v>0</v>
      </c>
      <c r="Y697" s="139"/>
      <c r="Z697" s="87"/>
      <c r="AA697" s="87"/>
      <c r="AB697" s="87"/>
      <c r="AC697" s="140"/>
      <c r="AD697" s="87"/>
      <c r="AE697" s="87"/>
      <c r="AF697" s="87"/>
      <c r="AG697" s="141"/>
    </row>
    <row r="698" spans="1:33" ht="18">
      <c r="A698" s="166"/>
      <c r="B698" s="167"/>
      <c r="C698" s="167"/>
      <c r="D698" s="143" t="str">
        <f>"PRD_SNJ_"&amp;
_xlfn.XLOOKUP(商品マスタ[[#This Row],[仕入先]],テーブル1[仕入先名],テーブル1[仕入先コード],"XXX",0,1)&amp;
"_"&amp;
商品マスタ[[#This Row],[シリアル]]&amp;
"_"&amp;
TEXT(COUNTIFS(商品マスタ!$C$3:C698,商品マスタ[[#This Row],[仕入先]],商品マスタ!$E$3:E698,商品マスタ[[#This Row],[商品名]]), "00")</f>
        <v>PRD_SNJ__0000_00</v>
      </c>
      <c r="E698" s="87"/>
      <c r="F698" s="87">
        <f>IF(COUNTIFS($C$3:C698,商品マスタ[[#This Row],[仕入先]],$E$3:E698,商品マスタ[[#This Row],[商品名]]) = 1, 1,0)</f>
        <v>0</v>
      </c>
      <c r="G698" s="133" t="str">
        <f>TEXT(SUMIF($C$3:C698,商品マスタ[[#This Row],[仕入先]],$F$3:F698), "0000")</f>
        <v>0000</v>
      </c>
      <c r="H698" s="87"/>
      <c r="I698" s="87"/>
      <c r="J698" s="87"/>
      <c r="K698" s="87"/>
      <c r="L698" s="134"/>
      <c r="M698" s="157"/>
      <c r="N698" s="134"/>
      <c r="O698" s="135" t="str">
        <f>IF(COUNT(商品マスタ[[#This Row],[参考上代
（税込)]]) &gt; 0, (商品マスタ[[#This Row],[参考上代
（税込)]]-商品マスタ[[#This Row],[国内定価
（15％）]])/(商品マスタ[[#This Row],[参考上代
（税込)]]/1.08), "")</f>
        <v/>
      </c>
      <c r="P698" s="136">
        <v>0.1</v>
      </c>
      <c r="Q698" s="134">
        <f>商品マスタ[[#This Row],[仕入
単価]]*商品マスタ[[#This Row],[標準国内送料率]]</f>
        <v>0</v>
      </c>
      <c r="R698" s="134"/>
      <c r="S698" s="134">
        <f>IF(ISBLANK(商品マスタ[[#This Row],[実績
国内送料]]),商品マスタ[[#This Row],[標準国内送料]],)</f>
        <v>0</v>
      </c>
      <c r="T698" s="134">
        <f>商品マスタ[[#This Row],[仕入
単価]]+商品マスタ[[#This Row],[国内送料]]</f>
        <v>0</v>
      </c>
      <c r="U698" s="134">
        <f>ROUNDUP(商品マスタ[[#This Row],[仕入単価+国内送料]]/0.8,-1)</f>
        <v>0</v>
      </c>
      <c r="V698" s="134">
        <f>商品マスタ[[#This Row],[海外定価
（20％）]]-商品マスタ[[#This Row],[仕入単価+国内送料]]</f>
        <v>0</v>
      </c>
      <c r="W698" s="87">
        <f>ROUNDUP(商品マスタ[[#This Row],[仕入単価+国内送料]]/0.85,-1)</f>
        <v>0</v>
      </c>
      <c r="X698" s="134">
        <f>商品マスタ[[#This Row],[国内定価
（15％）]]-商品マスタ[[#This Row],[仕入単価+国内送料]]</f>
        <v>0</v>
      </c>
      <c r="Y698" s="139"/>
      <c r="Z698" s="87"/>
      <c r="AA698" s="87"/>
      <c r="AB698" s="87"/>
      <c r="AC698" s="140"/>
      <c r="AD698" s="87"/>
      <c r="AE698" s="87"/>
      <c r="AF698" s="87"/>
      <c r="AG698" s="141"/>
    </row>
    <row r="699" spans="1:33" ht="18">
      <c r="A699" s="166"/>
      <c r="B699" s="167"/>
      <c r="C699" s="167"/>
      <c r="D699" s="143" t="str">
        <f>"PRD_SNJ_"&amp;
_xlfn.XLOOKUP(商品マスタ[[#This Row],[仕入先]],テーブル1[仕入先名],テーブル1[仕入先コード],"XXX",0,1)&amp;
"_"&amp;
商品マスタ[[#This Row],[シリアル]]&amp;
"_"&amp;
TEXT(COUNTIFS(商品マスタ!$C$3:C699,商品マスタ[[#This Row],[仕入先]],商品マスタ!$E$3:E699,商品マスタ[[#This Row],[商品名]]), "00")</f>
        <v>PRD_SNJ__0000_00</v>
      </c>
      <c r="E699" s="87"/>
      <c r="F699" s="87">
        <f>IF(COUNTIFS($C$3:C699,商品マスタ[[#This Row],[仕入先]],$E$3:E699,商品マスタ[[#This Row],[商品名]]) = 1, 1,0)</f>
        <v>0</v>
      </c>
      <c r="G699" s="133" t="str">
        <f>TEXT(SUMIF($C$3:C699,商品マスタ[[#This Row],[仕入先]],$F$3:F699), "0000")</f>
        <v>0000</v>
      </c>
      <c r="H699" s="87"/>
      <c r="I699" s="87"/>
      <c r="J699" s="87"/>
      <c r="K699" s="87"/>
      <c r="L699" s="134"/>
      <c r="M699" s="157"/>
      <c r="N699" s="134"/>
      <c r="O699" s="135" t="str">
        <f>IF(COUNT(商品マスタ[[#This Row],[参考上代
（税込)]]) &gt; 0, (商品マスタ[[#This Row],[参考上代
（税込)]]-商品マスタ[[#This Row],[国内定価
（15％）]])/(商品マスタ[[#This Row],[参考上代
（税込)]]/1.08), "")</f>
        <v/>
      </c>
      <c r="P699" s="136">
        <v>0.1</v>
      </c>
      <c r="Q699" s="134">
        <f>商品マスタ[[#This Row],[仕入
単価]]*商品マスタ[[#This Row],[標準国内送料率]]</f>
        <v>0</v>
      </c>
      <c r="R699" s="134"/>
      <c r="S699" s="134">
        <f>IF(ISBLANK(商品マスタ[[#This Row],[実績
国内送料]]),商品マスタ[[#This Row],[標準国内送料]],)</f>
        <v>0</v>
      </c>
      <c r="T699" s="134">
        <f>商品マスタ[[#This Row],[仕入
単価]]+商品マスタ[[#This Row],[国内送料]]</f>
        <v>0</v>
      </c>
      <c r="U699" s="134">
        <f>ROUNDUP(商品マスタ[[#This Row],[仕入単価+国内送料]]/0.8,-1)</f>
        <v>0</v>
      </c>
      <c r="V699" s="134">
        <f>商品マスタ[[#This Row],[海外定価
（20％）]]-商品マスタ[[#This Row],[仕入単価+国内送料]]</f>
        <v>0</v>
      </c>
      <c r="W699" s="87">
        <f>ROUNDUP(商品マスタ[[#This Row],[仕入単価+国内送料]]/0.85,-1)</f>
        <v>0</v>
      </c>
      <c r="X699" s="134">
        <f>商品マスタ[[#This Row],[国内定価
（15％）]]-商品マスタ[[#This Row],[仕入単価+国内送料]]</f>
        <v>0</v>
      </c>
      <c r="Y699" s="139"/>
      <c r="Z699" s="87"/>
      <c r="AA699" s="87"/>
      <c r="AB699" s="87"/>
      <c r="AC699" s="140"/>
      <c r="AD699" s="87"/>
      <c r="AE699" s="87"/>
      <c r="AF699" s="87"/>
      <c r="AG699" s="141"/>
    </row>
    <row r="700" spans="1:33" ht="18">
      <c r="A700" s="166"/>
      <c r="B700" s="167"/>
      <c r="C700" s="167"/>
      <c r="D700" s="143" t="str">
        <f>"PRD_SNJ_"&amp;
_xlfn.XLOOKUP(商品マスタ[[#This Row],[仕入先]],テーブル1[仕入先名],テーブル1[仕入先コード],"XXX",0,1)&amp;
"_"&amp;
商品マスタ[[#This Row],[シリアル]]&amp;
"_"&amp;
TEXT(COUNTIFS(商品マスタ!$C$3:C700,商品マスタ[[#This Row],[仕入先]],商品マスタ!$E$3:E700,商品マスタ[[#This Row],[商品名]]), "00")</f>
        <v>PRD_SNJ__0000_00</v>
      </c>
      <c r="E700" s="87"/>
      <c r="F700" s="87">
        <f>IF(COUNTIFS($C$3:C700,商品マスタ[[#This Row],[仕入先]],$E$3:E700,商品マスタ[[#This Row],[商品名]]) = 1, 1,0)</f>
        <v>0</v>
      </c>
      <c r="G700" s="133" t="str">
        <f>TEXT(SUMIF($C$3:C700,商品マスタ[[#This Row],[仕入先]],$F$3:F700), "0000")</f>
        <v>0000</v>
      </c>
      <c r="H700" s="87"/>
      <c r="I700" s="87"/>
      <c r="J700" s="87"/>
      <c r="K700" s="87"/>
      <c r="L700" s="134"/>
      <c r="M700" s="157"/>
      <c r="N700" s="134"/>
      <c r="O700" s="135" t="str">
        <f>IF(COUNT(商品マスタ[[#This Row],[参考上代
（税込)]]) &gt; 0, (商品マスタ[[#This Row],[参考上代
（税込)]]-商品マスタ[[#This Row],[国内定価
（15％）]])/(商品マスタ[[#This Row],[参考上代
（税込)]]/1.08), "")</f>
        <v/>
      </c>
      <c r="P700" s="136">
        <v>0.1</v>
      </c>
      <c r="Q700" s="134">
        <f>商品マスタ[[#This Row],[仕入
単価]]*商品マスタ[[#This Row],[標準国内送料率]]</f>
        <v>0</v>
      </c>
      <c r="R700" s="134"/>
      <c r="S700" s="134">
        <f>IF(ISBLANK(商品マスタ[[#This Row],[実績
国内送料]]),商品マスタ[[#This Row],[標準国内送料]],)</f>
        <v>0</v>
      </c>
      <c r="T700" s="134">
        <f>商品マスタ[[#This Row],[仕入
単価]]+商品マスタ[[#This Row],[国内送料]]</f>
        <v>0</v>
      </c>
      <c r="U700" s="134">
        <f>ROUNDUP(商品マスタ[[#This Row],[仕入単価+国内送料]]/0.8,-1)</f>
        <v>0</v>
      </c>
      <c r="V700" s="134">
        <f>商品マスタ[[#This Row],[海外定価
（20％）]]-商品マスタ[[#This Row],[仕入単価+国内送料]]</f>
        <v>0</v>
      </c>
      <c r="W700" s="87">
        <f>ROUNDUP(商品マスタ[[#This Row],[仕入単価+国内送料]]/0.85,-1)</f>
        <v>0</v>
      </c>
      <c r="X700" s="134">
        <f>商品マスタ[[#This Row],[国内定価
（15％）]]-商品マスタ[[#This Row],[仕入単価+国内送料]]</f>
        <v>0</v>
      </c>
      <c r="Y700" s="139"/>
      <c r="Z700" s="87"/>
      <c r="AA700" s="87"/>
      <c r="AB700" s="87"/>
      <c r="AC700" s="140"/>
      <c r="AD700" s="87"/>
      <c r="AE700" s="87"/>
      <c r="AF700" s="87"/>
      <c r="AG700" s="141"/>
    </row>
    <row r="701" spans="1:33" ht="18">
      <c r="A701" s="166"/>
      <c r="B701" s="167"/>
      <c r="C701" s="167"/>
      <c r="D701" s="143" t="str">
        <f>"PRD_SNJ_"&amp;
_xlfn.XLOOKUP(商品マスタ[[#This Row],[仕入先]],テーブル1[仕入先名],テーブル1[仕入先コード],"XXX",0,1)&amp;
"_"&amp;
商品マスタ[[#This Row],[シリアル]]&amp;
"_"&amp;
TEXT(COUNTIFS(商品マスタ!$C$3:C701,商品マスタ[[#This Row],[仕入先]],商品マスタ!$E$3:E701,商品マスタ[[#This Row],[商品名]]), "00")</f>
        <v>PRD_SNJ__0000_00</v>
      </c>
      <c r="E701" s="87"/>
      <c r="F701" s="87">
        <f>IF(COUNTIFS($C$3:C701,商品マスタ[[#This Row],[仕入先]],$E$3:E701,商品マスタ[[#This Row],[商品名]]) = 1, 1,0)</f>
        <v>0</v>
      </c>
      <c r="G701" s="133" t="str">
        <f>TEXT(SUMIF($C$3:C701,商品マスタ[[#This Row],[仕入先]],$F$3:F701), "0000")</f>
        <v>0000</v>
      </c>
      <c r="H701" s="87"/>
      <c r="I701" s="87"/>
      <c r="J701" s="87"/>
      <c r="K701" s="87"/>
      <c r="L701" s="134"/>
      <c r="M701" s="157"/>
      <c r="N701" s="134"/>
      <c r="O701" s="135" t="str">
        <f>IF(COUNT(商品マスタ[[#This Row],[参考上代
（税込)]]) &gt; 0, (商品マスタ[[#This Row],[参考上代
（税込)]]-商品マスタ[[#This Row],[国内定価
（15％）]])/(商品マスタ[[#This Row],[参考上代
（税込)]]/1.08), "")</f>
        <v/>
      </c>
      <c r="P701" s="136">
        <v>0.1</v>
      </c>
      <c r="Q701" s="134">
        <f>商品マスタ[[#This Row],[仕入
単価]]*商品マスタ[[#This Row],[標準国内送料率]]</f>
        <v>0</v>
      </c>
      <c r="R701" s="134"/>
      <c r="S701" s="134">
        <f>IF(ISBLANK(商品マスタ[[#This Row],[実績
国内送料]]),商品マスタ[[#This Row],[標準国内送料]],)</f>
        <v>0</v>
      </c>
      <c r="T701" s="134">
        <f>商品マスタ[[#This Row],[仕入
単価]]+商品マスタ[[#This Row],[国内送料]]</f>
        <v>0</v>
      </c>
      <c r="U701" s="134">
        <f>ROUNDUP(商品マスタ[[#This Row],[仕入単価+国内送料]]/0.8,-1)</f>
        <v>0</v>
      </c>
      <c r="V701" s="134">
        <f>商品マスタ[[#This Row],[海外定価
（20％）]]-商品マスタ[[#This Row],[仕入単価+国内送料]]</f>
        <v>0</v>
      </c>
      <c r="W701" s="87">
        <f>ROUNDUP(商品マスタ[[#This Row],[仕入単価+国内送料]]/0.85,-1)</f>
        <v>0</v>
      </c>
      <c r="X701" s="134">
        <f>商品マスタ[[#This Row],[国内定価
（15％）]]-商品マスタ[[#This Row],[仕入単価+国内送料]]</f>
        <v>0</v>
      </c>
      <c r="Y701" s="139"/>
      <c r="Z701" s="87"/>
      <c r="AA701" s="87"/>
      <c r="AB701" s="87"/>
      <c r="AC701" s="140"/>
      <c r="AD701" s="87"/>
      <c r="AE701" s="87"/>
      <c r="AF701" s="87"/>
      <c r="AG701" s="141"/>
    </row>
    <row r="702" spans="1:33" ht="18">
      <c r="A702" s="166"/>
      <c r="B702" s="167"/>
      <c r="C702" s="167"/>
      <c r="D702" s="143" t="str">
        <f>"PRD_SNJ_"&amp;
_xlfn.XLOOKUP(商品マスタ[[#This Row],[仕入先]],テーブル1[仕入先名],テーブル1[仕入先コード],"XXX",0,1)&amp;
"_"&amp;
商品マスタ[[#This Row],[シリアル]]&amp;
"_"&amp;
TEXT(COUNTIFS(商品マスタ!$C$3:C702,商品マスタ[[#This Row],[仕入先]],商品マスタ!$E$3:E702,商品マスタ[[#This Row],[商品名]]), "00")</f>
        <v>PRD_SNJ__0000_00</v>
      </c>
      <c r="E702" s="87"/>
      <c r="F702" s="87">
        <f>IF(COUNTIFS($C$3:C702,商品マスタ[[#This Row],[仕入先]],$E$3:E702,商品マスタ[[#This Row],[商品名]]) = 1, 1,0)</f>
        <v>0</v>
      </c>
      <c r="G702" s="133" t="str">
        <f>TEXT(SUMIF($C$3:C702,商品マスタ[[#This Row],[仕入先]],$F$3:F702), "0000")</f>
        <v>0000</v>
      </c>
      <c r="H702" s="87"/>
      <c r="I702" s="87"/>
      <c r="J702" s="87"/>
      <c r="K702" s="87"/>
      <c r="L702" s="134"/>
      <c r="M702" s="157"/>
      <c r="N702" s="134"/>
      <c r="O702" s="135" t="str">
        <f>IF(COUNT(商品マスタ[[#This Row],[参考上代
（税込)]]) &gt; 0, (商品マスタ[[#This Row],[参考上代
（税込)]]-商品マスタ[[#This Row],[国内定価
（15％）]])/(商品マスタ[[#This Row],[参考上代
（税込)]]/1.08), "")</f>
        <v/>
      </c>
      <c r="P702" s="136">
        <v>0.1</v>
      </c>
      <c r="Q702" s="134">
        <f>商品マスタ[[#This Row],[仕入
単価]]*商品マスタ[[#This Row],[標準国内送料率]]</f>
        <v>0</v>
      </c>
      <c r="R702" s="134"/>
      <c r="S702" s="134">
        <f>IF(ISBLANK(商品マスタ[[#This Row],[実績
国内送料]]),商品マスタ[[#This Row],[標準国内送料]],)</f>
        <v>0</v>
      </c>
      <c r="T702" s="134">
        <f>商品マスタ[[#This Row],[仕入
単価]]+商品マスタ[[#This Row],[国内送料]]</f>
        <v>0</v>
      </c>
      <c r="U702" s="134">
        <f>ROUNDUP(商品マスタ[[#This Row],[仕入単価+国内送料]]/0.8,-1)</f>
        <v>0</v>
      </c>
      <c r="V702" s="134">
        <f>商品マスタ[[#This Row],[海外定価
（20％）]]-商品マスタ[[#This Row],[仕入単価+国内送料]]</f>
        <v>0</v>
      </c>
      <c r="W702" s="87">
        <f>ROUNDUP(商品マスタ[[#This Row],[仕入単価+国内送料]]/0.85,-1)</f>
        <v>0</v>
      </c>
      <c r="X702" s="134">
        <f>商品マスタ[[#This Row],[国内定価
（15％）]]-商品マスタ[[#This Row],[仕入単価+国内送料]]</f>
        <v>0</v>
      </c>
      <c r="Y702" s="139"/>
      <c r="Z702" s="87"/>
      <c r="AA702" s="87"/>
      <c r="AB702" s="87"/>
      <c r="AC702" s="140"/>
      <c r="AD702" s="87"/>
      <c r="AE702" s="87"/>
      <c r="AF702" s="87"/>
      <c r="AG702" s="141"/>
    </row>
    <row r="703" spans="1:33" ht="18">
      <c r="A703" s="166"/>
      <c r="B703" s="167"/>
      <c r="C703" s="167"/>
      <c r="D703" s="143" t="str">
        <f>"PRD_SNJ_"&amp;
_xlfn.XLOOKUP(商品マスタ[[#This Row],[仕入先]],テーブル1[仕入先名],テーブル1[仕入先コード],"XXX",0,1)&amp;
"_"&amp;
商品マスタ[[#This Row],[シリアル]]&amp;
"_"&amp;
TEXT(COUNTIFS(商品マスタ!$C$3:C703,商品マスタ[[#This Row],[仕入先]],商品マスタ!$E$3:E703,商品マスタ[[#This Row],[商品名]]), "00")</f>
        <v>PRD_SNJ__0000_00</v>
      </c>
      <c r="E703" s="87"/>
      <c r="F703" s="87">
        <f>IF(COUNTIFS($C$3:C703,商品マスタ[[#This Row],[仕入先]],$E$3:E703,商品マスタ[[#This Row],[商品名]]) = 1, 1,0)</f>
        <v>0</v>
      </c>
      <c r="G703" s="133" t="str">
        <f>TEXT(SUMIF($C$3:C703,商品マスタ[[#This Row],[仕入先]],$F$3:F703), "0000")</f>
        <v>0000</v>
      </c>
      <c r="H703" s="87"/>
      <c r="I703" s="87"/>
      <c r="J703" s="87"/>
      <c r="K703" s="87"/>
      <c r="L703" s="134"/>
      <c r="M703" s="157"/>
      <c r="N703" s="134"/>
      <c r="O703" s="135" t="str">
        <f>IF(COUNT(商品マスタ[[#This Row],[参考上代
（税込)]]) &gt; 0, (商品マスタ[[#This Row],[参考上代
（税込)]]-商品マスタ[[#This Row],[国内定価
（15％）]])/(商品マスタ[[#This Row],[参考上代
（税込)]]/1.08), "")</f>
        <v/>
      </c>
      <c r="P703" s="136">
        <v>0.1</v>
      </c>
      <c r="Q703" s="134">
        <f>商品マスタ[[#This Row],[仕入
単価]]*商品マスタ[[#This Row],[標準国内送料率]]</f>
        <v>0</v>
      </c>
      <c r="R703" s="134"/>
      <c r="S703" s="134">
        <f>IF(ISBLANK(商品マスタ[[#This Row],[実績
国内送料]]),商品マスタ[[#This Row],[標準国内送料]],)</f>
        <v>0</v>
      </c>
      <c r="T703" s="134">
        <f>商品マスタ[[#This Row],[仕入
単価]]+商品マスタ[[#This Row],[国内送料]]</f>
        <v>0</v>
      </c>
      <c r="U703" s="134">
        <f>ROUNDUP(商品マスタ[[#This Row],[仕入単価+国内送料]]/0.8,-1)</f>
        <v>0</v>
      </c>
      <c r="V703" s="134">
        <f>商品マスタ[[#This Row],[海外定価
（20％）]]-商品マスタ[[#This Row],[仕入単価+国内送料]]</f>
        <v>0</v>
      </c>
      <c r="W703" s="87">
        <f>ROUNDUP(商品マスタ[[#This Row],[仕入単価+国内送料]]/0.85,-1)</f>
        <v>0</v>
      </c>
      <c r="X703" s="134">
        <f>商品マスタ[[#This Row],[国内定価
（15％）]]-商品マスタ[[#This Row],[仕入単価+国内送料]]</f>
        <v>0</v>
      </c>
      <c r="Y703" s="139"/>
      <c r="Z703" s="87"/>
      <c r="AA703" s="87"/>
      <c r="AB703" s="87"/>
      <c r="AC703" s="140"/>
      <c r="AD703" s="87"/>
      <c r="AE703" s="87"/>
      <c r="AF703" s="87"/>
      <c r="AG703" s="141"/>
    </row>
    <row r="704" spans="1:33" ht="18">
      <c r="A704" s="166"/>
      <c r="B704" s="167"/>
      <c r="C704" s="167"/>
      <c r="D704" s="143" t="str">
        <f>"PRD_SNJ_"&amp;
_xlfn.XLOOKUP(商品マスタ[[#This Row],[仕入先]],テーブル1[仕入先名],テーブル1[仕入先コード],"XXX",0,1)&amp;
"_"&amp;
商品マスタ[[#This Row],[シリアル]]&amp;
"_"&amp;
TEXT(COUNTIFS(商品マスタ!$C$3:C704,商品マスタ[[#This Row],[仕入先]],商品マスタ!$E$3:E704,商品マスタ[[#This Row],[商品名]]), "00")</f>
        <v>PRD_SNJ__0000_00</v>
      </c>
      <c r="E704" s="87"/>
      <c r="F704" s="87">
        <f>IF(COUNTIFS($C$3:C704,商品マスタ[[#This Row],[仕入先]],$E$3:E704,商品マスタ[[#This Row],[商品名]]) = 1, 1,0)</f>
        <v>0</v>
      </c>
      <c r="G704" s="133" t="str">
        <f>TEXT(SUMIF($C$3:C704,商品マスタ[[#This Row],[仕入先]],$F$3:F704), "0000")</f>
        <v>0000</v>
      </c>
      <c r="H704" s="87"/>
      <c r="I704" s="87"/>
      <c r="J704" s="87"/>
      <c r="K704" s="87"/>
      <c r="L704" s="134"/>
      <c r="M704" s="157"/>
      <c r="N704" s="134"/>
      <c r="O704" s="135" t="str">
        <f>IF(COUNT(商品マスタ[[#This Row],[参考上代
（税込)]]) &gt; 0, (商品マスタ[[#This Row],[参考上代
（税込)]]-商品マスタ[[#This Row],[国内定価
（15％）]])/(商品マスタ[[#This Row],[参考上代
（税込)]]/1.08), "")</f>
        <v/>
      </c>
      <c r="P704" s="136">
        <v>0.1</v>
      </c>
      <c r="Q704" s="134">
        <f>商品マスタ[[#This Row],[仕入
単価]]*商品マスタ[[#This Row],[標準国内送料率]]</f>
        <v>0</v>
      </c>
      <c r="R704" s="134"/>
      <c r="S704" s="134">
        <f>IF(ISBLANK(商品マスタ[[#This Row],[実績
国内送料]]),商品マスタ[[#This Row],[標準国内送料]],)</f>
        <v>0</v>
      </c>
      <c r="T704" s="134">
        <f>商品マスタ[[#This Row],[仕入
単価]]+商品マスタ[[#This Row],[国内送料]]</f>
        <v>0</v>
      </c>
      <c r="U704" s="134">
        <f>ROUNDUP(商品マスタ[[#This Row],[仕入単価+国内送料]]/0.8,-1)</f>
        <v>0</v>
      </c>
      <c r="V704" s="134">
        <f>商品マスタ[[#This Row],[海外定価
（20％）]]-商品マスタ[[#This Row],[仕入単価+国内送料]]</f>
        <v>0</v>
      </c>
      <c r="W704" s="87">
        <f>ROUNDUP(商品マスタ[[#This Row],[仕入単価+国内送料]]/0.85,-1)</f>
        <v>0</v>
      </c>
      <c r="X704" s="134">
        <f>商品マスタ[[#This Row],[国内定価
（15％）]]-商品マスタ[[#This Row],[仕入単価+国内送料]]</f>
        <v>0</v>
      </c>
      <c r="Y704" s="139"/>
      <c r="Z704" s="87"/>
      <c r="AA704" s="87"/>
      <c r="AB704" s="87"/>
      <c r="AC704" s="140"/>
      <c r="AD704" s="87"/>
      <c r="AE704" s="87"/>
      <c r="AF704" s="87"/>
      <c r="AG704" s="141"/>
    </row>
    <row r="705" spans="1:33" ht="18">
      <c r="A705" s="166"/>
      <c r="B705" s="167"/>
      <c r="C705" s="167"/>
      <c r="D705" s="143" t="str">
        <f>"PRD_SNJ_"&amp;
_xlfn.XLOOKUP(商品マスタ[[#This Row],[仕入先]],テーブル1[仕入先名],テーブル1[仕入先コード],"XXX",0,1)&amp;
"_"&amp;
商品マスタ[[#This Row],[シリアル]]&amp;
"_"&amp;
TEXT(COUNTIFS(商品マスタ!$C$3:C705,商品マスタ[[#This Row],[仕入先]],商品マスタ!$E$3:E705,商品マスタ[[#This Row],[商品名]]), "00")</f>
        <v>PRD_SNJ__0000_00</v>
      </c>
      <c r="E705" s="87"/>
      <c r="F705" s="87">
        <f>IF(COUNTIFS($C$3:C705,商品マスタ[[#This Row],[仕入先]],$E$3:E705,商品マスタ[[#This Row],[商品名]]) = 1, 1,0)</f>
        <v>0</v>
      </c>
      <c r="G705" s="133" t="str">
        <f>TEXT(SUMIF($C$3:C705,商品マスタ[[#This Row],[仕入先]],$F$3:F705), "0000")</f>
        <v>0000</v>
      </c>
      <c r="H705" s="87"/>
      <c r="I705" s="87"/>
      <c r="J705" s="87"/>
      <c r="K705" s="87"/>
      <c r="L705" s="134"/>
      <c r="M705" s="157"/>
      <c r="N705" s="134"/>
      <c r="O705" s="135" t="str">
        <f>IF(COUNT(商品マスタ[[#This Row],[参考上代
（税込)]]) &gt; 0, (商品マスタ[[#This Row],[参考上代
（税込)]]-商品マスタ[[#This Row],[国内定価
（15％）]])/(商品マスタ[[#This Row],[参考上代
（税込)]]/1.08), "")</f>
        <v/>
      </c>
      <c r="P705" s="136">
        <v>0.1</v>
      </c>
      <c r="Q705" s="134">
        <f>商品マスタ[[#This Row],[仕入
単価]]*商品マスタ[[#This Row],[標準国内送料率]]</f>
        <v>0</v>
      </c>
      <c r="R705" s="134"/>
      <c r="S705" s="134">
        <f>IF(ISBLANK(商品マスタ[[#This Row],[実績
国内送料]]),商品マスタ[[#This Row],[標準国内送料]],)</f>
        <v>0</v>
      </c>
      <c r="T705" s="134">
        <f>商品マスタ[[#This Row],[仕入
単価]]+商品マスタ[[#This Row],[国内送料]]</f>
        <v>0</v>
      </c>
      <c r="U705" s="134">
        <f>ROUNDUP(商品マスタ[[#This Row],[仕入単価+国内送料]]/0.8,-1)</f>
        <v>0</v>
      </c>
      <c r="V705" s="134">
        <f>商品マスタ[[#This Row],[海外定価
（20％）]]-商品マスタ[[#This Row],[仕入単価+国内送料]]</f>
        <v>0</v>
      </c>
      <c r="W705" s="87">
        <f>ROUNDUP(商品マスタ[[#This Row],[仕入単価+国内送料]]/0.85,-1)</f>
        <v>0</v>
      </c>
      <c r="X705" s="134">
        <f>商品マスタ[[#This Row],[国内定価
（15％）]]-商品マスタ[[#This Row],[仕入単価+国内送料]]</f>
        <v>0</v>
      </c>
      <c r="Y705" s="139"/>
      <c r="Z705" s="87"/>
      <c r="AA705" s="87"/>
      <c r="AB705" s="87"/>
      <c r="AC705" s="140"/>
      <c r="AD705" s="87"/>
      <c r="AE705" s="87"/>
      <c r="AF705" s="87"/>
      <c r="AG705" s="141"/>
    </row>
    <row r="706" spans="1:33" ht="18">
      <c r="A706" s="166"/>
      <c r="B706" s="167"/>
      <c r="C706" s="167"/>
      <c r="D706" s="143" t="str">
        <f>"PRD_SNJ_"&amp;
_xlfn.XLOOKUP(商品マスタ[[#This Row],[仕入先]],テーブル1[仕入先名],テーブル1[仕入先コード],"XXX",0,1)&amp;
"_"&amp;
商品マスタ[[#This Row],[シリアル]]&amp;
"_"&amp;
TEXT(COUNTIFS(商品マスタ!$C$3:C706,商品マスタ[[#This Row],[仕入先]],商品マスタ!$E$3:E706,商品マスタ[[#This Row],[商品名]]), "00")</f>
        <v>PRD_SNJ__0000_00</v>
      </c>
      <c r="E706" s="87"/>
      <c r="F706" s="87">
        <f>IF(COUNTIFS($C$3:C706,商品マスタ[[#This Row],[仕入先]],$E$3:E706,商品マスタ[[#This Row],[商品名]]) = 1, 1,0)</f>
        <v>0</v>
      </c>
      <c r="G706" s="133" t="str">
        <f>TEXT(SUMIF($C$3:C706,商品マスタ[[#This Row],[仕入先]],$F$3:F706), "0000")</f>
        <v>0000</v>
      </c>
      <c r="H706" s="87"/>
      <c r="I706" s="87"/>
      <c r="J706" s="87"/>
      <c r="K706" s="87"/>
      <c r="L706" s="134"/>
      <c r="M706" s="157"/>
      <c r="N706" s="134"/>
      <c r="O706" s="135" t="str">
        <f>IF(COUNT(商品マスタ[[#This Row],[参考上代
（税込)]]) &gt; 0, (商品マスタ[[#This Row],[参考上代
（税込)]]-商品マスタ[[#This Row],[国内定価
（15％）]])/(商品マスタ[[#This Row],[参考上代
（税込)]]/1.08), "")</f>
        <v/>
      </c>
      <c r="P706" s="136">
        <v>0.1</v>
      </c>
      <c r="Q706" s="134">
        <f>商品マスタ[[#This Row],[仕入
単価]]*商品マスタ[[#This Row],[標準国内送料率]]</f>
        <v>0</v>
      </c>
      <c r="R706" s="134"/>
      <c r="S706" s="134">
        <f>IF(ISBLANK(商品マスタ[[#This Row],[実績
国内送料]]),商品マスタ[[#This Row],[標準国内送料]],)</f>
        <v>0</v>
      </c>
      <c r="T706" s="134">
        <f>商品マスタ[[#This Row],[仕入
単価]]+商品マスタ[[#This Row],[国内送料]]</f>
        <v>0</v>
      </c>
      <c r="U706" s="134">
        <f>ROUNDUP(商品マスタ[[#This Row],[仕入単価+国内送料]]/0.8,-1)</f>
        <v>0</v>
      </c>
      <c r="V706" s="134">
        <f>商品マスタ[[#This Row],[海外定価
（20％）]]-商品マスタ[[#This Row],[仕入単価+国内送料]]</f>
        <v>0</v>
      </c>
      <c r="W706" s="87">
        <f>ROUNDUP(商品マスタ[[#This Row],[仕入単価+国内送料]]/0.85,-1)</f>
        <v>0</v>
      </c>
      <c r="X706" s="134">
        <f>商品マスタ[[#This Row],[国内定価
（15％）]]-商品マスタ[[#This Row],[仕入単価+国内送料]]</f>
        <v>0</v>
      </c>
      <c r="Y706" s="139"/>
      <c r="Z706" s="87"/>
      <c r="AA706" s="87"/>
      <c r="AB706" s="87"/>
      <c r="AC706" s="140"/>
      <c r="AD706" s="87"/>
      <c r="AE706" s="87"/>
      <c r="AF706" s="87"/>
      <c r="AG706" s="141"/>
    </row>
    <row r="707" spans="1:33" ht="18">
      <c r="A707" s="166"/>
      <c r="B707" s="167"/>
      <c r="C707" s="167"/>
      <c r="D707" s="143" t="str">
        <f>"PRD_SNJ_"&amp;
_xlfn.XLOOKUP(商品マスタ[[#This Row],[仕入先]],テーブル1[仕入先名],テーブル1[仕入先コード],"XXX",0,1)&amp;
"_"&amp;
商品マスタ[[#This Row],[シリアル]]&amp;
"_"&amp;
TEXT(COUNTIFS(商品マスタ!$C$3:C707,商品マスタ[[#This Row],[仕入先]],商品マスタ!$E$3:E707,商品マスタ[[#This Row],[商品名]]), "00")</f>
        <v>PRD_SNJ__0000_00</v>
      </c>
      <c r="E707" s="87"/>
      <c r="F707" s="87">
        <f>IF(COUNTIFS($C$3:C707,商品マスタ[[#This Row],[仕入先]],$E$3:E707,商品マスタ[[#This Row],[商品名]]) = 1, 1,0)</f>
        <v>0</v>
      </c>
      <c r="G707" s="133" t="str">
        <f>TEXT(SUMIF($C$3:C707,商品マスタ[[#This Row],[仕入先]],$F$3:F707), "0000")</f>
        <v>0000</v>
      </c>
      <c r="H707" s="87"/>
      <c r="I707" s="87"/>
      <c r="J707" s="87"/>
      <c r="K707" s="87"/>
      <c r="L707" s="134"/>
      <c r="M707" s="157"/>
      <c r="N707" s="134"/>
      <c r="O707" s="135" t="str">
        <f>IF(COUNT(商品マスタ[[#This Row],[参考上代
（税込)]]) &gt; 0, (商品マスタ[[#This Row],[参考上代
（税込)]]-商品マスタ[[#This Row],[国内定価
（15％）]])/(商品マスタ[[#This Row],[参考上代
（税込)]]/1.08), "")</f>
        <v/>
      </c>
      <c r="P707" s="136">
        <v>0.1</v>
      </c>
      <c r="Q707" s="134">
        <f>商品マスタ[[#This Row],[仕入
単価]]*商品マスタ[[#This Row],[標準国内送料率]]</f>
        <v>0</v>
      </c>
      <c r="R707" s="134"/>
      <c r="S707" s="134">
        <f>IF(ISBLANK(商品マスタ[[#This Row],[実績
国内送料]]),商品マスタ[[#This Row],[標準国内送料]],)</f>
        <v>0</v>
      </c>
      <c r="T707" s="134">
        <f>商品マスタ[[#This Row],[仕入
単価]]+商品マスタ[[#This Row],[国内送料]]</f>
        <v>0</v>
      </c>
      <c r="U707" s="134">
        <f>ROUNDUP(商品マスタ[[#This Row],[仕入単価+国内送料]]/0.8,-1)</f>
        <v>0</v>
      </c>
      <c r="V707" s="134">
        <f>商品マスタ[[#This Row],[海外定価
（20％）]]-商品マスタ[[#This Row],[仕入単価+国内送料]]</f>
        <v>0</v>
      </c>
      <c r="W707" s="87">
        <f>ROUNDUP(商品マスタ[[#This Row],[仕入単価+国内送料]]/0.85,-1)</f>
        <v>0</v>
      </c>
      <c r="X707" s="134">
        <f>商品マスタ[[#This Row],[国内定価
（15％）]]-商品マスタ[[#This Row],[仕入単価+国内送料]]</f>
        <v>0</v>
      </c>
      <c r="Y707" s="139"/>
      <c r="Z707" s="87"/>
      <c r="AA707" s="87"/>
      <c r="AB707" s="87"/>
      <c r="AC707" s="140"/>
      <c r="AD707" s="87"/>
      <c r="AE707" s="87"/>
      <c r="AF707" s="87"/>
      <c r="AG707" s="141"/>
    </row>
    <row r="708" spans="1:33" ht="18">
      <c r="A708" s="166"/>
      <c r="B708" s="167"/>
      <c r="C708" s="167"/>
      <c r="D708" s="143" t="str">
        <f>"PRD_SNJ_"&amp;
_xlfn.XLOOKUP(商品マスタ[[#This Row],[仕入先]],テーブル1[仕入先名],テーブル1[仕入先コード],"XXX",0,1)&amp;
"_"&amp;
商品マスタ[[#This Row],[シリアル]]&amp;
"_"&amp;
TEXT(COUNTIFS(商品マスタ!$C$3:C708,商品マスタ[[#This Row],[仕入先]],商品マスタ!$E$3:E708,商品マスタ[[#This Row],[商品名]]), "00")</f>
        <v>PRD_SNJ__0000_00</v>
      </c>
      <c r="E708" s="87"/>
      <c r="F708" s="87">
        <f>IF(COUNTIFS($C$3:C708,商品マスタ[[#This Row],[仕入先]],$E$3:E708,商品マスタ[[#This Row],[商品名]]) = 1, 1,0)</f>
        <v>0</v>
      </c>
      <c r="G708" s="133" t="str">
        <f>TEXT(SUMIF($C$3:C708,商品マスタ[[#This Row],[仕入先]],$F$3:F708), "0000")</f>
        <v>0000</v>
      </c>
      <c r="H708" s="87"/>
      <c r="I708" s="87"/>
      <c r="J708" s="87"/>
      <c r="K708" s="87"/>
      <c r="L708" s="134"/>
      <c r="M708" s="157"/>
      <c r="N708" s="134"/>
      <c r="O708" s="135" t="str">
        <f>IF(COUNT(商品マスタ[[#This Row],[参考上代
（税込)]]) &gt; 0, (商品マスタ[[#This Row],[参考上代
（税込)]]-商品マスタ[[#This Row],[国内定価
（15％）]])/(商品マスタ[[#This Row],[参考上代
（税込)]]/1.08), "")</f>
        <v/>
      </c>
      <c r="P708" s="136">
        <v>0.1</v>
      </c>
      <c r="Q708" s="134">
        <f>商品マスタ[[#This Row],[仕入
単価]]*商品マスタ[[#This Row],[標準国内送料率]]</f>
        <v>0</v>
      </c>
      <c r="R708" s="134"/>
      <c r="S708" s="134">
        <f>IF(ISBLANK(商品マスタ[[#This Row],[実績
国内送料]]),商品マスタ[[#This Row],[標準国内送料]],)</f>
        <v>0</v>
      </c>
      <c r="T708" s="134">
        <f>商品マスタ[[#This Row],[仕入
単価]]+商品マスタ[[#This Row],[国内送料]]</f>
        <v>0</v>
      </c>
      <c r="U708" s="134">
        <f>ROUNDUP(商品マスタ[[#This Row],[仕入単価+国内送料]]/0.8,-1)</f>
        <v>0</v>
      </c>
      <c r="V708" s="134">
        <f>商品マスタ[[#This Row],[海外定価
（20％）]]-商品マスタ[[#This Row],[仕入単価+国内送料]]</f>
        <v>0</v>
      </c>
      <c r="W708" s="87">
        <f>ROUNDUP(商品マスタ[[#This Row],[仕入単価+国内送料]]/0.85,-1)</f>
        <v>0</v>
      </c>
      <c r="X708" s="134">
        <f>商品マスタ[[#This Row],[国内定価
（15％）]]-商品マスタ[[#This Row],[仕入単価+国内送料]]</f>
        <v>0</v>
      </c>
      <c r="Y708" s="139"/>
      <c r="Z708" s="87"/>
      <c r="AA708" s="87"/>
      <c r="AB708" s="87"/>
      <c r="AC708" s="140"/>
      <c r="AD708" s="87"/>
      <c r="AE708" s="87"/>
      <c r="AF708" s="87"/>
      <c r="AG708" s="141"/>
    </row>
    <row r="709" spans="1:33" ht="18">
      <c r="A709" s="166"/>
      <c r="B709" s="167"/>
      <c r="C709" s="167"/>
      <c r="D709" s="143" t="str">
        <f>"PRD_SNJ_"&amp;
_xlfn.XLOOKUP(商品マスタ[[#This Row],[仕入先]],テーブル1[仕入先名],テーブル1[仕入先コード],"XXX",0,1)&amp;
"_"&amp;
商品マスタ[[#This Row],[シリアル]]&amp;
"_"&amp;
TEXT(COUNTIFS(商品マスタ!$C$3:C709,商品マスタ[[#This Row],[仕入先]],商品マスタ!$E$3:E709,商品マスタ[[#This Row],[商品名]]), "00")</f>
        <v>PRD_SNJ__0000_00</v>
      </c>
      <c r="E709" s="87"/>
      <c r="F709" s="87">
        <f>IF(COUNTIFS($C$3:C709,商品マスタ[[#This Row],[仕入先]],$E$3:E709,商品マスタ[[#This Row],[商品名]]) = 1, 1,0)</f>
        <v>0</v>
      </c>
      <c r="G709" s="133" t="str">
        <f>TEXT(SUMIF($C$3:C709,商品マスタ[[#This Row],[仕入先]],$F$3:F709), "0000")</f>
        <v>0000</v>
      </c>
      <c r="H709" s="87"/>
      <c r="I709" s="87"/>
      <c r="J709" s="87"/>
      <c r="K709" s="87"/>
      <c r="L709" s="134"/>
      <c r="M709" s="157"/>
      <c r="N709" s="134"/>
      <c r="O709" s="135" t="str">
        <f>IF(COUNT(商品マスタ[[#This Row],[参考上代
（税込)]]) &gt; 0, (商品マスタ[[#This Row],[参考上代
（税込)]]-商品マスタ[[#This Row],[国内定価
（15％）]])/(商品マスタ[[#This Row],[参考上代
（税込)]]/1.08), "")</f>
        <v/>
      </c>
      <c r="P709" s="136">
        <v>0.1</v>
      </c>
      <c r="Q709" s="134">
        <f>商品マスタ[[#This Row],[仕入
単価]]*商品マスタ[[#This Row],[標準国内送料率]]</f>
        <v>0</v>
      </c>
      <c r="R709" s="134"/>
      <c r="S709" s="134">
        <f>IF(ISBLANK(商品マスタ[[#This Row],[実績
国内送料]]),商品マスタ[[#This Row],[標準国内送料]],)</f>
        <v>0</v>
      </c>
      <c r="T709" s="134">
        <f>商品マスタ[[#This Row],[仕入
単価]]+商品マスタ[[#This Row],[国内送料]]</f>
        <v>0</v>
      </c>
      <c r="U709" s="134">
        <f>ROUNDUP(商品マスタ[[#This Row],[仕入単価+国内送料]]/0.8,-1)</f>
        <v>0</v>
      </c>
      <c r="V709" s="134">
        <f>商品マスタ[[#This Row],[海外定価
（20％）]]-商品マスタ[[#This Row],[仕入単価+国内送料]]</f>
        <v>0</v>
      </c>
      <c r="W709" s="87">
        <f>ROUNDUP(商品マスタ[[#This Row],[仕入単価+国内送料]]/0.85,-1)</f>
        <v>0</v>
      </c>
      <c r="X709" s="134">
        <f>商品マスタ[[#This Row],[国内定価
（15％）]]-商品マスタ[[#This Row],[仕入単価+国内送料]]</f>
        <v>0</v>
      </c>
      <c r="Y709" s="139"/>
      <c r="Z709" s="87"/>
      <c r="AA709" s="87"/>
      <c r="AB709" s="87"/>
      <c r="AC709" s="140"/>
      <c r="AD709" s="87"/>
      <c r="AE709" s="87"/>
      <c r="AF709" s="87"/>
      <c r="AG709" s="141"/>
    </row>
    <row r="710" spans="1:33" ht="18">
      <c r="A710" s="166"/>
      <c r="B710" s="167"/>
      <c r="C710" s="167"/>
      <c r="D710" s="143" t="str">
        <f>"PRD_SNJ_"&amp;
_xlfn.XLOOKUP(商品マスタ[[#This Row],[仕入先]],テーブル1[仕入先名],テーブル1[仕入先コード],"XXX",0,1)&amp;
"_"&amp;
商品マスタ[[#This Row],[シリアル]]&amp;
"_"&amp;
TEXT(COUNTIFS(商品マスタ!$C$3:C710,商品マスタ[[#This Row],[仕入先]],商品マスタ!$E$3:E710,商品マスタ[[#This Row],[商品名]]), "00")</f>
        <v>PRD_SNJ__0000_00</v>
      </c>
      <c r="E710" s="87"/>
      <c r="F710" s="87">
        <f>IF(COUNTIFS($C$3:C710,商品マスタ[[#This Row],[仕入先]],$E$3:E710,商品マスタ[[#This Row],[商品名]]) = 1, 1,0)</f>
        <v>0</v>
      </c>
      <c r="G710" s="133" t="str">
        <f>TEXT(SUMIF($C$3:C710,商品マスタ[[#This Row],[仕入先]],$F$3:F710), "0000")</f>
        <v>0000</v>
      </c>
      <c r="H710" s="87"/>
      <c r="I710" s="87"/>
      <c r="J710" s="87"/>
      <c r="K710" s="87"/>
      <c r="L710" s="134"/>
      <c r="M710" s="157"/>
      <c r="N710" s="134"/>
      <c r="O710" s="135" t="str">
        <f>IF(COUNT(商品マスタ[[#This Row],[参考上代
（税込)]]) &gt; 0, (商品マスタ[[#This Row],[参考上代
（税込)]]-商品マスタ[[#This Row],[国内定価
（15％）]])/(商品マスタ[[#This Row],[参考上代
（税込)]]/1.08), "")</f>
        <v/>
      </c>
      <c r="P710" s="136">
        <v>0.1</v>
      </c>
      <c r="Q710" s="134">
        <f>商品マスタ[[#This Row],[仕入
単価]]*商品マスタ[[#This Row],[標準国内送料率]]</f>
        <v>0</v>
      </c>
      <c r="R710" s="134"/>
      <c r="S710" s="134">
        <f>IF(ISBLANK(商品マスタ[[#This Row],[実績
国内送料]]),商品マスタ[[#This Row],[標準国内送料]],)</f>
        <v>0</v>
      </c>
      <c r="T710" s="134">
        <f>商品マスタ[[#This Row],[仕入
単価]]+商品マスタ[[#This Row],[国内送料]]</f>
        <v>0</v>
      </c>
      <c r="U710" s="134">
        <f>ROUNDUP(商品マスタ[[#This Row],[仕入単価+国内送料]]/0.8,-1)</f>
        <v>0</v>
      </c>
      <c r="V710" s="134">
        <f>商品マスタ[[#This Row],[海外定価
（20％）]]-商品マスタ[[#This Row],[仕入単価+国内送料]]</f>
        <v>0</v>
      </c>
      <c r="W710" s="87">
        <f>ROUNDUP(商品マスタ[[#This Row],[仕入単価+国内送料]]/0.85,-1)</f>
        <v>0</v>
      </c>
      <c r="X710" s="134">
        <f>商品マスタ[[#This Row],[国内定価
（15％）]]-商品マスタ[[#This Row],[仕入単価+国内送料]]</f>
        <v>0</v>
      </c>
      <c r="Y710" s="139"/>
      <c r="Z710" s="87"/>
      <c r="AA710" s="87"/>
      <c r="AB710" s="87"/>
      <c r="AC710" s="140"/>
      <c r="AD710" s="87"/>
      <c r="AE710" s="87"/>
      <c r="AF710" s="87"/>
      <c r="AG710" s="141"/>
    </row>
    <row r="711" spans="1:33" ht="18">
      <c r="A711" s="166"/>
      <c r="B711" s="167"/>
      <c r="C711" s="167"/>
      <c r="D711" s="143" t="str">
        <f>"PRD_SNJ_"&amp;
_xlfn.XLOOKUP(商品マスタ[[#This Row],[仕入先]],テーブル1[仕入先名],テーブル1[仕入先コード],"XXX",0,1)&amp;
"_"&amp;
商品マスタ[[#This Row],[シリアル]]&amp;
"_"&amp;
TEXT(COUNTIFS(商品マスタ!$C$3:C711,商品マスタ[[#This Row],[仕入先]],商品マスタ!$E$3:E711,商品マスタ[[#This Row],[商品名]]), "00")</f>
        <v>PRD_SNJ__0000_00</v>
      </c>
      <c r="E711" s="87"/>
      <c r="F711" s="87">
        <f>IF(COUNTIFS($C$3:C711,商品マスタ[[#This Row],[仕入先]],$E$3:E711,商品マスタ[[#This Row],[商品名]]) = 1, 1,0)</f>
        <v>0</v>
      </c>
      <c r="G711" s="133" t="str">
        <f>TEXT(SUMIF($C$3:C711,商品マスタ[[#This Row],[仕入先]],$F$3:F711), "0000")</f>
        <v>0000</v>
      </c>
      <c r="H711" s="87"/>
      <c r="I711" s="87"/>
      <c r="J711" s="87"/>
      <c r="K711" s="87"/>
      <c r="L711" s="134"/>
      <c r="M711" s="157"/>
      <c r="N711" s="134"/>
      <c r="O711" s="135" t="str">
        <f>IF(COUNT(商品マスタ[[#This Row],[参考上代
（税込)]]) &gt; 0, (商品マスタ[[#This Row],[参考上代
（税込)]]-商品マスタ[[#This Row],[国内定価
（15％）]])/(商品マスタ[[#This Row],[参考上代
（税込)]]/1.08), "")</f>
        <v/>
      </c>
      <c r="P711" s="136">
        <v>0.1</v>
      </c>
      <c r="Q711" s="134">
        <f>商品マスタ[[#This Row],[仕入
単価]]*商品マスタ[[#This Row],[標準国内送料率]]</f>
        <v>0</v>
      </c>
      <c r="R711" s="134"/>
      <c r="S711" s="134">
        <f>IF(ISBLANK(商品マスタ[[#This Row],[実績
国内送料]]),商品マスタ[[#This Row],[標準国内送料]],)</f>
        <v>0</v>
      </c>
      <c r="T711" s="134">
        <f>商品マスタ[[#This Row],[仕入
単価]]+商品マスタ[[#This Row],[国内送料]]</f>
        <v>0</v>
      </c>
      <c r="U711" s="134">
        <f>ROUNDUP(商品マスタ[[#This Row],[仕入単価+国内送料]]/0.8,-1)</f>
        <v>0</v>
      </c>
      <c r="V711" s="134">
        <f>商品マスタ[[#This Row],[海外定価
（20％）]]-商品マスタ[[#This Row],[仕入単価+国内送料]]</f>
        <v>0</v>
      </c>
      <c r="W711" s="87">
        <f>ROUNDUP(商品マスタ[[#This Row],[仕入単価+国内送料]]/0.85,-1)</f>
        <v>0</v>
      </c>
      <c r="X711" s="134">
        <f>商品マスタ[[#This Row],[国内定価
（15％）]]-商品マスタ[[#This Row],[仕入単価+国内送料]]</f>
        <v>0</v>
      </c>
      <c r="Y711" s="139"/>
      <c r="Z711" s="87"/>
      <c r="AA711" s="87"/>
      <c r="AB711" s="87"/>
      <c r="AC711" s="140"/>
      <c r="AD711" s="87"/>
      <c r="AE711" s="87"/>
      <c r="AF711" s="87"/>
      <c r="AG711" s="141"/>
    </row>
    <row r="712" spans="1:33" ht="18">
      <c r="A712" s="166"/>
      <c r="B712" s="167"/>
      <c r="C712" s="167"/>
      <c r="D712" s="143" t="str">
        <f>"PRD_SNJ_"&amp;
_xlfn.XLOOKUP(商品マスタ[[#This Row],[仕入先]],テーブル1[仕入先名],テーブル1[仕入先コード],"XXX",0,1)&amp;
"_"&amp;
商品マスタ[[#This Row],[シリアル]]&amp;
"_"&amp;
TEXT(COUNTIFS(商品マスタ!$C$3:C712,商品マスタ[[#This Row],[仕入先]],商品マスタ!$E$3:E712,商品マスタ[[#This Row],[商品名]]), "00")</f>
        <v>PRD_SNJ__0000_00</v>
      </c>
      <c r="E712" s="87"/>
      <c r="F712" s="87">
        <f>IF(COUNTIFS($C$3:C712,商品マスタ[[#This Row],[仕入先]],$E$3:E712,商品マスタ[[#This Row],[商品名]]) = 1, 1,0)</f>
        <v>0</v>
      </c>
      <c r="G712" s="133" t="str">
        <f>TEXT(SUMIF($C$3:C712,商品マスタ[[#This Row],[仕入先]],$F$3:F712), "0000")</f>
        <v>0000</v>
      </c>
      <c r="H712" s="87"/>
      <c r="I712" s="87"/>
      <c r="J712" s="87"/>
      <c r="K712" s="87"/>
      <c r="L712" s="134"/>
      <c r="M712" s="157"/>
      <c r="N712" s="134"/>
      <c r="O712" s="135" t="str">
        <f>IF(COUNT(商品マスタ[[#This Row],[参考上代
（税込)]]) &gt; 0, (商品マスタ[[#This Row],[参考上代
（税込)]]-商品マスタ[[#This Row],[国内定価
（15％）]])/(商品マスタ[[#This Row],[参考上代
（税込)]]/1.08), "")</f>
        <v/>
      </c>
      <c r="P712" s="136">
        <v>0.1</v>
      </c>
      <c r="Q712" s="134">
        <f>商品マスタ[[#This Row],[仕入
単価]]*商品マスタ[[#This Row],[標準国内送料率]]</f>
        <v>0</v>
      </c>
      <c r="R712" s="134"/>
      <c r="S712" s="134">
        <f>IF(ISBLANK(商品マスタ[[#This Row],[実績
国内送料]]),商品マスタ[[#This Row],[標準国内送料]],)</f>
        <v>0</v>
      </c>
      <c r="T712" s="134">
        <f>商品マスタ[[#This Row],[仕入
単価]]+商品マスタ[[#This Row],[国内送料]]</f>
        <v>0</v>
      </c>
      <c r="U712" s="134">
        <f>ROUNDUP(商品マスタ[[#This Row],[仕入単価+国内送料]]/0.8,-1)</f>
        <v>0</v>
      </c>
      <c r="V712" s="134">
        <f>商品マスタ[[#This Row],[海外定価
（20％）]]-商品マスタ[[#This Row],[仕入単価+国内送料]]</f>
        <v>0</v>
      </c>
      <c r="W712" s="87">
        <f>ROUNDUP(商品マスタ[[#This Row],[仕入単価+国内送料]]/0.85,-1)</f>
        <v>0</v>
      </c>
      <c r="X712" s="134">
        <f>商品マスタ[[#This Row],[国内定価
（15％）]]-商品マスタ[[#This Row],[仕入単価+国内送料]]</f>
        <v>0</v>
      </c>
      <c r="Y712" s="139"/>
      <c r="Z712" s="87"/>
      <c r="AA712" s="87"/>
      <c r="AB712" s="87"/>
      <c r="AC712" s="140"/>
      <c r="AD712" s="87"/>
      <c r="AE712" s="87"/>
      <c r="AF712" s="87"/>
      <c r="AG712" s="141"/>
    </row>
    <row r="713" spans="1:33" ht="18">
      <c r="A713" s="166"/>
      <c r="B713" s="167"/>
      <c r="C713" s="167"/>
      <c r="D713" s="143" t="str">
        <f>"PRD_SNJ_"&amp;
_xlfn.XLOOKUP(商品マスタ[[#This Row],[仕入先]],テーブル1[仕入先名],テーブル1[仕入先コード],"XXX",0,1)&amp;
"_"&amp;
商品マスタ[[#This Row],[シリアル]]&amp;
"_"&amp;
TEXT(COUNTIFS(商品マスタ!$C$3:C713,商品マスタ[[#This Row],[仕入先]],商品マスタ!$E$3:E713,商品マスタ[[#This Row],[商品名]]), "00")</f>
        <v>PRD_SNJ__0000_00</v>
      </c>
      <c r="E713" s="87"/>
      <c r="F713" s="87">
        <f>IF(COUNTIFS($C$3:C713,商品マスタ[[#This Row],[仕入先]],$E$3:E713,商品マスタ[[#This Row],[商品名]]) = 1, 1,0)</f>
        <v>0</v>
      </c>
      <c r="G713" s="133" t="str">
        <f>TEXT(SUMIF($C$3:C713,商品マスタ[[#This Row],[仕入先]],$F$3:F713), "0000")</f>
        <v>0000</v>
      </c>
      <c r="H713" s="87"/>
      <c r="I713" s="87"/>
      <c r="J713" s="87"/>
      <c r="K713" s="87"/>
      <c r="L713" s="134"/>
      <c r="M713" s="157"/>
      <c r="N713" s="134"/>
      <c r="O713" s="135" t="str">
        <f>IF(COUNT(商品マスタ[[#This Row],[参考上代
（税込)]]) &gt; 0, (商品マスタ[[#This Row],[参考上代
（税込)]]-商品マスタ[[#This Row],[国内定価
（15％）]])/(商品マスタ[[#This Row],[参考上代
（税込)]]/1.08), "")</f>
        <v/>
      </c>
      <c r="P713" s="136">
        <v>0.1</v>
      </c>
      <c r="Q713" s="134">
        <f>商品マスタ[[#This Row],[仕入
単価]]*商品マスタ[[#This Row],[標準国内送料率]]</f>
        <v>0</v>
      </c>
      <c r="R713" s="134"/>
      <c r="S713" s="134">
        <f>IF(ISBLANK(商品マスタ[[#This Row],[実績
国内送料]]),商品マスタ[[#This Row],[標準国内送料]],)</f>
        <v>0</v>
      </c>
      <c r="T713" s="134">
        <f>商品マスタ[[#This Row],[仕入
単価]]+商品マスタ[[#This Row],[国内送料]]</f>
        <v>0</v>
      </c>
      <c r="U713" s="134">
        <f>ROUNDUP(商品マスタ[[#This Row],[仕入単価+国内送料]]/0.8,-1)</f>
        <v>0</v>
      </c>
      <c r="V713" s="134">
        <f>商品マスタ[[#This Row],[海外定価
（20％）]]-商品マスタ[[#This Row],[仕入単価+国内送料]]</f>
        <v>0</v>
      </c>
      <c r="W713" s="87">
        <f>ROUNDUP(商品マスタ[[#This Row],[仕入単価+国内送料]]/0.85,-1)</f>
        <v>0</v>
      </c>
      <c r="X713" s="134">
        <f>商品マスタ[[#This Row],[国内定価
（15％）]]-商品マスタ[[#This Row],[仕入単価+国内送料]]</f>
        <v>0</v>
      </c>
      <c r="Y713" s="139"/>
      <c r="Z713" s="87"/>
      <c r="AA713" s="87"/>
      <c r="AB713" s="87"/>
      <c r="AC713" s="140"/>
      <c r="AD713" s="87"/>
      <c r="AE713" s="87"/>
      <c r="AF713" s="87"/>
      <c r="AG713" s="141"/>
    </row>
    <row r="714" spans="1:33" ht="18">
      <c r="A714" s="166"/>
      <c r="B714" s="167"/>
      <c r="C714" s="167"/>
      <c r="D714" s="143" t="str">
        <f>"PRD_SNJ_"&amp;
_xlfn.XLOOKUP(商品マスタ[[#This Row],[仕入先]],テーブル1[仕入先名],テーブル1[仕入先コード],"XXX",0,1)&amp;
"_"&amp;
商品マスタ[[#This Row],[シリアル]]&amp;
"_"&amp;
TEXT(COUNTIFS(商品マスタ!$C$3:C714,商品マスタ[[#This Row],[仕入先]],商品マスタ!$E$3:E714,商品マスタ[[#This Row],[商品名]]), "00")</f>
        <v>PRD_SNJ__0000_00</v>
      </c>
      <c r="E714" s="87"/>
      <c r="F714" s="87">
        <f>IF(COUNTIFS($C$3:C714,商品マスタ[[#This Row],[仕入先]],$E$3:E714,商品マスタ[[#This Row],[商品名]]) = 1, 1,0)</f>
        <v>0</v>
      </c>
      <c r="G714" s="133" t="str">
        <f>TEXT(SUMIF($C$3:C714,商品マスタ[[#This Row],[仕入先]],$F$3:F714), "0000")</f>
        <v>0000</v>
      </c>
      <c r="H714" s="87"/>
      <c r="I714" s="87"/>
      <c r="J714" s="87"/>
      <c r="K714" s="87"/>
      <c r="L714" s="134"/>
      <c r="M714" s="157"/>
      <c r="N714" s="134"/>
      <c r="O714" s="135" t="str">
        <f>IF(COUNT(商品マスタ[[#This Row],[参考上代
（税込)]]) &gt; 0, (商品マスタ[[#This Row],[参考上代
（税込)]]-商品マスタ[[#This Row],[国内定価
（15％）]])/(商品マスタ[[#This Row],[参考上代
（税込)]]/1.08), "")</f>
        <v/>
      </c>
      <c r="P714" s="136">
        <v>0.1</v>
      </c>
      <c r="Q714" s="134">
        <f>商品マスタ[[#This Row],[仕入
単価]]*商品マスタ[[#This Row],[標準国内送料率]]</f>
        <v>0</v>
      </c>
      <c r="R714" s="134"/>
      <c r="S714" s="134">
        <f>IF(ISBLANK(商品マスタ[[#This Row],[実績
国内送料]]),商品マスタ[[#This Row],[標準国内送料]],)</f>
        <v>0</v>
      </c>
      <c r="T714" s="134">
        <f>商品マスタ[[#This Row],[仕入
単価]]+商品マスタ[[#This Row],[国内送料]]</f>
        <v>0</v>
      </c>
      <c r="U714" s="134">
        <f>ROUNDUP(商品マスタ[[#This Row],[仕入単価+国内送料]]/0.8,-1)</f>
        <v>0</v>
      </c>
      <c r="V714" s="134">
        <f>商品マスタ[[#This Row],[海外定価
（20％）]]-商品マスタ[[#This Row],[仕入単価+国内送料]]</f>
        <v>0</v>
      </c>
      <c r="W714" s="87">
        <f>ROUNDUP(商品マスタ[[#This Row],[仕入単価+国内送料]]/0.85,-1)</f>
        <v>0</v>
      </c>
      <c r="X714" s="134">
        <f>商品マスタ[[#This Row],[国内定価
（15％）]]-商品マスタ[[#This Row],[仕入単価+国内送料]]</f>
        <v>0</v>
      </c>
      <c r="Y714" s="139"/>
      <c r="Z714" s="87"/>
      <c r="AA714" s="87"/>
      <c r="AB714" s="87"/>
      <c r="AC714" s="140"/>
      <c r="AD714" s="87"/>
      <c r="AE714" s="87"/>
      <c r="AF714" s="87"/>
      <c r="AG714" s="141"/>
    </row>
    <row r="715" spans="1:33" ht="18">
      <c r="A715" s="166"/>
      <c r="B715" s="167"/>
      <c r="C715" s="167"/>
      <c r="D715" s="143" t="str">
        <f>"PRD_SNJ_"&amp;
_xlfn.XLOOKUP(商品マスタ[[#This Row],[仕入先]],テーブル1[仕入先名],テーブル1[仕入先コード],"XXX",0,1)&amp;
"_"&amp;
商品マスタ[[#This Row],[シリアル]]&amp;
"_"&amp;
TEXT(COUNTIFS(商品マスタ!$C$3:C715,商品マスタ[[#This Row],[仕入先]],商品マスタ!$E$3:E715,商品マスタ[[#This Row],[商品名]]), "00")</f>
        <v>PRD_SNJ__0000_00</v>
      </c>
      <c r="E715" s="87"/>
      <c r="F715" s="87">
        <f>IF(COUNTIFS($C$3:C715,商品マスタ[[#This Row],[仕入先]],$E$3:E715,商品マスタ[[#This Row],[商品名]]) = 1, 1,0)</f>
        <v>0</v>
      </c>
      <c r="G715" s="133" t="str">
        <f>TEXT(SUMIF($C$3:C715,商品マスタ[[#This Row],[仕入先]],$F$3:F715), "0000")</f>
        <v>0000</v>
      </c>
      <c r="H715" s="87"/>
      <c r="I715" s="87"/>
      <c r="J715" s="87"/>
      <c r="K715" s="87"/>
      <c r="L715" s="134"/>
      <c r="M715" s="157"/>
      <c r="N715" s="134"/>
      <c r="O715" s="135" t="str">
        <f>IF(COUNT(商品マスタ[[#This Row],[参考上代
（税込)]]) &gt; 0, (商品マスタ[[#This Row],[参考上代
（税込)]]-商品マスタ[[#This Row],[国内定価
（15％）]])/(商品マスタ[[#This Row],[参考上代
（税込)]]/1.08), "")</f>
        <v/>
      </c>
      <c r="P715" s="136">
        <v>0.1</v>
      </c>
      <c r="Q715" s="134">
        <f>商品マスタ[[#This Row],[仕入
単価]]*商品マスタ[[#This Row],[標準国内送料率]]</f>
        <v>0</v>
      </c>
      <c r="R715" s="134"/>
      <c r="S715" s="134">
        <f>IF(ISBLANK(商品マスタ[[#This Row],[実績
国内送料]]),商品マスタ[[#This Row],[標準国内送料]],)</f>
        <v>0</v>
      </c>
      <c r="T715" s="134">
        <f>商品マスタ[[#This Row],[仕入
単価]]+商品マスタ[[#This Row],[国内送料]]</f>
        <v>0</v>
      </c>
      <c r="U715" s="134">
        <f>ROUNDUP(商品マスタ[[#This Row],[仕入単価+国内送料]]/0.8,-1)</f>
        <v>0</v>
      </c>
      <c r="V715" s="134">
        <f>商品マスタ[[#This Row],[海外定価
（20％）]]-商品マスタ[[#This Row],[仕入単価+国内送料]]</f>
        <v>0</v>
      </c>
      <c r="W715" s="87">
        <f>ROUNDUP(商品マスタ[[#This Row],[仕入単価+国内送料]]/0.85,-1)</f>
        <v>0</v>
      </c>
      <c r="X715" s="134">
        <f>商品マスタ[[#This Row],[国内定価
（15％）]]-商品マスタ[[#This Row],[仕入単価+国内送料]]</f>
        <v>0</v>
      </c>
      <c r="Y715" s="139"/>
      <c r="Z715" s="87"/>
      <c r="AA715" s="87"/>
      <c r="AB715" s="87"/>
      <c r="AC715" s="140"/>
      <c r="AD715" s="87"/>
      <c r="AE715" s="87"/>
      <c r="AF715" s="87"/>
      <c r="AG715" s="141"/>
    </row>
    <row r="716" spans="1:33" ht="18">
      <c r="A716" s="166"/>
      <c r="B716" s="167"/>
      <c r="C716" s="167"/>
      <c r="D716" s="143" t="str">
        <f>"PRD_SNJ_"&amp;
_xlfn.XLOOKUP(商品マスタ[[#This Row],[仕入先]],テーブル1[仕入先名],テーブル1[仕入先コード],"XXX",0,1)&amp;
"_"&amp;
商品マスタ[[#This Row],[シリアル]]&amp;
"_"&amp;
TEXT(COUNTIFS(商品マスタ!$C$3:C716,商品マスタ[[#This Row],[仕入先]],商品マスタ!$E$3:E716,商品マスタ[[#This Row],[商品名]]), "00")</f>
        <v>PRD_SNJ__0000_00</v>
      </c>
      <c r="E716" s="87"/>
      <c r="F716" s="87">
        <f>IF(COUNTIFS($C$3:C716,商品マスタ[[#This Row],[仕入先]],$E$3:E716,商品マスタ[[#This Row],[商品名]]) = 1, 1,0)</f>
        <v>0</v>
      </c>
      <c r="G716" s="133" t="str">
        <f>TEXT(SUMIF($C$3:C716,商品マスタ[[#This Row],[仕入先]],$F$3:F716), "0000")</f>
        <v>0000</v>
      </c>
      <c r="H716" s="87"/>
      <c r="I716" s="87"/>
      <c r="J716" s="87"/>
      <c r="K716" s="87"/>
      <c r="L716" s="134"/>
      <c r="M716" s="157"/>
      <c r="N716" s="134"/>
      <c r="O716" s="135" t="str">
        <f>IF(COUNT(商品マスタ[[#This Row],[参考上代
（税込)]]) &gt; 0, (商品マスタ[[#This Row],[参考上代
（税込)]]-商品マスタ[[#This Row],[国内定価
（15％）]])/(商品マスタ[[#This Row],[参考上代
（税込)]]/1.08), "")</f>
        <v/>
      </c>
      <c r="P716" s="136">
        <v>0.1</v>
      </c>
      <c r="Q716" s="134">
        <f>商品マスタ[[#This Row],[仕入
単価]]*商品マスタ[[#This Row],[標準国内送料率]]</f>
        <v>0</v>
      </c>
      <c r="R716" s="134"/>
      <c r="S716" s="134">
        <f>IF(ISBLANK(商品マスタ[[#This Row],[実績
国内送料]]),商品マスタ[[#This Row],[標準国内送料]],)</f>
        <v>0</v>
      </c>
      <c r="T716" s="134">
        <f>商品マスタ[[#This Row],[仕入
単価]]+商品マスタ[[#This Row],[国内送料]]</f>
        <v>0</v>
      </c>
      <c r="U716" s="134">
        <f>ROUNDUP(商品マスタ[[#This Row],[仕入単価+国内送料]]/0.8,-1)</f>
        <v>0</v>
      </c>
      <c r="V716" s="134">
        <f>商品マスタ[[#This Row],[海外定価
（20％）]]-商品マスタ[[#This Row],[仕入単価+国内送料]]</f>
        <v>0</v>
      </c>
      <c r="W716" s="87">
        <f>ROUNDUP(商品マスタ[[#This Row],[仕入単価+国内送料]]/0.85,-1)</f>
        <v>0</v>
      </c>
      <c r="X716" s="134">
        <f>商品マスタ[[#This Row],[国内定価
（15％）]]-商品マスタ[[#This Row],[仕入単価+国内送料]]</f>
        <v>0</v>
      </c>
      <c r="Y716" s="139"/>
      <c r="Z716" s="87"/>
      <c r="AA716" s="87"/>
      <c r="AB716" s="87"/>
      <c r="AC716" s="140"/>
      <c r="AD716" s="87"/>
      <c r="AE716" s="87"/>
      <c r="AF716" s="87"/>
      <c r="AG716" s="141"/>
    </row>
    <row r="717" spans="1:33" ht="18">
      <c r="A717" s="166"/>
      <c r="B717" s="167"/>
      <c r="C717" s="167"/>
      <c r="D717" s="143" t="str">
        <f>"PRD_SNJ_"&amp;
_xlfn.XLOOKUP(商品マスタ[[#This Row],[仕入先]],テーブル1[仕入先名],テーブル1[仕入先コード],"XXX",0,1)&amp;
"_"&amp;
商品マスタ[[#This Row],[シリアル]]&amp;
"_"&amp;
TEXT(COUNTIFS(商品マスタ!$C$3:C717,商品マスタ[[#This Row],[仕入先]],商品マスタ!$E$3:E717,商品マスタ[[#This Row],[商品名]]), "00")</f>
        <v>PRD_SNJ__0000_00</v>
      </c>
      <c r="E717" s="87"/>
      <c r="F717" s="87">
        <f>IF(COUNTIFS($C$3:C717,商品マスタ[[#This Row],[仕入先]],$E$3:E717,商品マスタ[[#This Row],[商品名]]) = 1, 1,0)</f>
        <v>0</v>
      </c>
      <c r="G717" s="133" t="str">
        <f>TEXT(SUMIF($C$3:C717,商品マスタ[[#This Row],[仕入先]],$F$3:F717), "0000")</f>
        <v>0000</v>
      </c>
      <c r="H717" s="87"/>
      <c r="I717" s="87"/>
      <c r="J717" s="87"/>
      <c r="K717" s="87"/>
      <c r="L717" s="134"/>
      <c r="M717" s="157"/>
      <c r="N717" s="134"/>
      <c r="O717" s="135" t="str">
        <f>IF(COUNT(商品マスタ[[#This Row],[参考上代
（税込)]]) &gt; 0, (商品マスタ[[#This Row],[参考上代
（税込)]]-商品マスタ[[#This Row],[国内定価
（15％）]])/(商品マスタ[[#This Row],[参考上代
（税込)]]/1.08), "")</f>
        <v/>
      </c>
      <c r="P717" s="136">
        <v>0.1</v>
      </c>
      <c r="Q717" s="134">
        <f>商品マスタ[[#This Row],[仕入
単価]]*商品マスタ[[#This Row],[標準国内送料率]]</f>
        <v>0</v>
      </c>
      <c r="R717" s="134"/>
      <c r="S717" s="134">
        <f>IF(ISBLANK(商品マスタ[[#This Row],[実績
国内送料]]),商品マスタ[[#This Row],[標準国内送料]],)</f>
        <v>0</v>
      </c>
      <c r="T717" s="134">
        <f>商品マスタ[[#This Row],[仕入
単価]]+商品マスタ[[#This Row],[国内送料]]</f>
        <v>0</v>
      </c>
      <c r="U717" s="134">
        <f>ROUNDUP(商品マスタ[[#This Row],[仕入単価+国内送料]]/0.8,-1)</f>
        <v>0</v>
      </c>
      <c r="V717" s="134">
        <f>商品マスタ[[#This Row],[海外定価
（20％）]]-商品マスタ[[#This Row],[仕入単価+国内送料]]</f>
        <v>0</v>
      </c>
      <c r="W717" s="87">
        <f>ROUNDUP(商品マスタ[[#This Row],[仕入単価+国内送料]]/0.85,-1)</f>
        <v>0</v>
      </c>
      <c r="X717" s="134">
        <f>商品マスタ[[#This Row],[国内定価
（15％）]]-商品マスタ[[#This Row],[仕入単価+国内送料]]</f>
        <v>0</v>
      </c>
      <c r="Y717" s="139"/>
      <c r="Z717" s="87"/>
      <c r="AA717" s="87"/>
      <c r="AB717" s="87"/>
      <c r="AC717" s="140"/>
      <c r="AD717" s="87"/>
      <c r="AE717" s="87"/>
      <c r="AF717" s="87"/>
      <c r="AG717" s="141"/>
    </row>
    <row r="718" spans="1:33" ht="18">
      <c r="A718" s="166"/>
      <c r="B718" s="167"/>
      <c r="C718" s="167"/>
      <c r="D718" s="143" t="str">
        <f>"PRD_SNJ_"&amp;
_xlfn.XLOOKUP(商品マスタ[[#This Row],[仕入先]],テーブル1[仕入先名],テーブル1[仕入先コード],"XXX",0,1)&amp;
"_"&amp;
商品マスタ[[#This Row],[シリアル]]&amp;
"_"&amp;
TEXT(COUNTIFS(商品マスタ!$C$3:C718,商品マスタ[[#This Row],[仕入先]],商品マスタ!$E$3:E718,商品マスタ[[#This Row],[商品名]]), "00")</f>
        <v>PRD_SNJ__0000_00</v>
      </c>
      <c r="E718" s="87"/>
      <c r="F718" s="87">
        <f>IF(COUNTIFS($C$3:C718,商品マスタ[[#This Row],[仕入先]],$E$3:E718,商品マスタ[[#This Row],[商品名]]) = 1, 1,0)</f>
        <v>0</v>
      </c>
      <c r="G718" s="133" t="str">
        <f>TEXT(SUMIF($C$3:C718,商品マスタ[[#This Row],[仕入先]],$F$3:F718), "0000")</f>
        <v>0000</v>
      </c>
      <c r="H718" s="87"/>
      <c r="I718" s="87"/>
      <c r="J718" s="87"/>
      <c r="K718" s="87"/>
      <c r="L718" s="134"/>
      <c r="M718" s="157"/>
      <c r="N718" s="134"/>
      <c r="O718" s="135" t="str">
        <f>IF(COUNT(商品マスタ[[#This Row],[参考上代
（税込)]]) &gt; 0, (商品マスタ[[#This Row],[参考上代
（税込)]]-商品マスタ[[#This Row],[国内定価
（15％）]])/(商品マスタ[[#This Row],[参考上代
（税込)]]/1.08), "")</f>
        <v/>
      </c>
      <c r="P718" s="136">
        <v>0.1</v>
      </c>
      <c r="Q718" s="134">
        <f>商品マスタ[[#This Row],[仕入
単価]]*商品マスタ[[#This Row],[標準国内送料率]]</f>
        <v>0</v>
      </c>
      <c r="R718" s="134"/>
      <c r="S718" s="134">
        <f>IF(ISBLANK(商品マスタ[[#This Row],[実績
国内送料]]),商品マスタ[[#This Row],[標準国内送料]],)</f>
        <v>0</v>
      </c>
      <c r="T718" s="134">
        <f>商品マスタ[[#This Row],[仕入
単価]]+商品マスタ[[#This Row],[国内送料]]</f>
        <v>0</v>
      </c>
      <c r="U718" s="134">
        <f>ROUNDUP(商品マスタ[[#This Row],[仕入単価+国内送料]]/0.8,-1)</f>
        <v>0</v>
      </c>
      <c r="V718" s="134">
        <f>商品マスタ[[#This Row],[海外定価
（20％）]]-商品マスタ[[#This Row],[仕入単価+国内送料]]</f>
        <v>0</v>
      </c>
      <c r="W718" s="87">
        <f>ROUNDUP(商品マスタ[[#This Row],[仕入単価+国内送料]]/0.85,-1)</f>
        <v>0</v>
      </c>
      <c r="X718" s="134">
        <f>商品マスタ[[#This Row],[国内定価
（15％）]]-商品マスタ[[#This Row],[仕入単価+国内送料]]</f>
        <v>0</v>
      </c>
      <c r="Y718" s="139"/>
      <c r="Z718" s="87"/>
      <c r="AA718" s="87"/>
      <c r="AB718" s="87"/>
      <c r="AC718" s="140"/>
      <c r="AD718" s="87"/>
      <c r="AE718" s="87"/>
      <c r="AF718" s="87"/>
      <c r="AG718" s="141"/>
    </row>
    <row r="719" spans="1:33" ht="18">
      <c r="A719" s="166"/>
      <c r="B719" s="167"/>
      <c r="C719" s="167"/>
      <c r="D719" s="143" t="str">
        <f>"PRD_SNJ_"&amp;
_xlfn.XLOOKUP(商品マスタ[[#This Row],[仕入先]],テーブル1[仕入先名],テーブル1[仕入先コード],"XXX",0,1)&amp;
"_"&amp;
商品マスタ[[#This Row],[シリアル]]&amp;
"_"&amp;
TEXT(COUNTIFS(商品マスタ!$C$3:C719,商品マスタ[[#This Row],[仕入先]],商品マスタ!$E$3:E719,商品マスタ[[#This Row],[商品名]]), "00")</f>
        <v>PRD_SNJ__0000_00</v>
      </c>
      <c r="E719" s="87"/>
      <c r="F719" s="87">
        <f>IF(COUNTIFS($C$3:C719,商品マスタ[[#This Row],[仕入先]],$E$3:E719,商品マスタ[[#This Row],[商品名]]) = 1, 1,0)</f>
        <v>0</v>
      </c>
      <c r="G719" s="133" t="str">
        <f>TEXT(SUMIF($C$3:C719,商品マスタ[[#This Row],[仕入先]],$F$3:F719), "0000")</f>
        <v>0000</v>
      </c>
      <c r="H719" s="87"/>
      <c r="I719" s="87"/>
      <c r="J719" s="87"/>
      <c r="K719" s="87"/>
      <c r="L719" s="134"/>
      <c r="M719" s="157"/>
      <c r="N719" s="134"/>
      <c r="O719" s="135" t="str">
        <f>IF(COUNT(商品マスタ[[#This Row],[参考上代
（税込)]]) &gt; 0, (商品マスタ[[#This Row],[参考上代
（税込)]]-商品マスタ[[#This Row],[国内定価
（15％）]])/(商品マスタ[[#This Row],[参考上代
（税込)]]/1.08), "")</f>
        <v/>
      </c>
      <c r="P719" s="136">
        <v>0.1</v>
      </c>
      <c r="Q719" s="134">
        <f>商品マスタ[[#This Row],[仕入
単価]]*商品マスタ[[#This Row],[標準国内送料率]]</f>
        <v>0</v>
      </c>
      <c r="R719" s="134"/>
      <c r="S719" s="134">
        <f>IF(ISBLANK(商品マスタ[[#This Row],[実績
国内送料]]),商品マスタ[[#This Row],[標準国内送料]],)</f>
        <v>0</v>
      </c>
      <c r="T719" s="134">
        <f>商品マスタ[[#This Row],[仕入
単価]]+商品マスタ[[#This Row],[国内送料]]</f>
        <v>0</v>
      </c>
      <c r="U719" s="134">
        <f>ROUNDUP(商品マスタ[[#This Row],[仕入単価+国内送料]]/0.8,-1)</f>
        <v>0</v>
      </c>
      <c r="V719" s="134">
        <f>商品マスタ[[#This Row],[海外定価
（20％）]]-商品マスタ[[#This Row],[仕入単価+国内送料]]</f>
        <v>0</v>
      </c>
      <c r="W719" s="87">
        <f>ROUNDUP(商品マスタ[[#This Row],[仕入単価+国内送料]]/0.85,-1)</f>
        <v>0</v>
      </c>
      <c r="X719" s="134">
        <f>商品マスタ[[#This Row],[国内定価
（15％）]]-商品マスタ[[#This Row],[仕入単価+国内送料]]</f>
        <v>0</v>
      </c>
      <c r="Y719" s="139"/>
      <c r="Z719" s="87"/>
      <c r="AA719" s="87"/>
      <c r="AB719" s="87"/>
      <c r="AC719" s="140"/>
      <c r="AD719" s="87"/>
      <c r="AE719" s="87"/>
      <c r="AF719" s="87"/>
      <c r="AG719" s="141"/>
    </row>
    <row r="720" spans="1:33" ht="18">
      <c r="A720" s="166"/>
      <c r="B720" s="167"/>
      <c r="C720" s="167"/>
      <c r="D720" s="143" t="str">
        <f>"PRD_SNJ_"&amp;
_xlfn.XLOOKUP(商品マスタ[[#This Row],[仕入先]],テーブル1[仕入先名],テーブル1[仕入先コード],"XXX",0,1)&amp;
"_"&amp;
商品マスタ[[#This Row],[シリアル]]&amp;
"_"&amp;
TEXT(COUNTIFS(商品マスタ!$C$3:C720,商品マスタ[[#This Row],[仕入先]],商品マスタ!$E$3:E720,商品マスタ[[#This Row],[商品名]]), "00")</f>
        <v>PRD_SNJ__0000_00</v>
      </c>
      <c r="E720" s="87"/>
      <c r="F720" s="87">
        <f>IF(COUNTIFS($C$3:C720,商品マスタ[[#This Row],[仕入先]],$E$3:E720,商品マスタ[[#This Row],[商品名]]) = 1, 1,0)</f>
        <v>0</v>
      </c>
      <c r="G720" s="133" t="str">
        <f>TEXT(SUMIF($C$3:C720,商品マスタ[[#This Row],[仕入先]],$F$3:F720), "0000")</f>
        <v>0000</v>
      </c>
      <c r="H720" s="87"/>
      <c r="I720" s="87"/>
      <c r="J720" s="87"/>
      <c r="K720" s="87"/>
      <c r="L720" s="134"/>
      <c r="M720" s="157"/>
      <c r="N720" s="134"/>
      <c r="O720" s="135" t="str">
        <f>IF(COUNT(商品マスタ[[#This Row],[参考上代
（税込)]]) &gt; 0, (商品マスタ[[#This Row],[参考上代
（税込)]]-商品マスタ[[#This Row],[国内定価
（15％）]])/(商品マスタ[[#This Row],[参考上代
（税込)]]/1.08), "")</f>
        <v/>
      </c>
      <c r="P720" s="136">
        <v>0.1</v>
      </c>
      <c r="Q720" s="134">
        <f>商品マスタ[[#This Row],[仕入
単価]]*商品マスタ[[#This Row],[標準国内送料率]]</f>
        <v>0</v>
      </c>
      <c r="R720" s="134"/>
      <c r="S720" s="134">
        <f>IF(ISBLANK(商品マスタ[[#This Row],[実績
国内送料]]),商品マスタ[[#This Row],[標準国内送料]],)</f>
        <v>0</v>
      </c>
      <c r="T720" s="134">
        <f>商品マスタ[[#This Row],[仕入
単価]]+商品マスタ[[#This Row],[国内送料]]</f>
        <v>0</v>
      </c>
      <c r="U720" s="134">
        <f>ROUNDUP(商品マスタ[[#This Row],[仕入単価+国内送料]]/0.8,-1)</f>
        <v>0</v>
      </c>
      <c r="V720" s="134">
        <f>商品マスタ[[#This Row],[海外定価
（20％）]]-商品マスタ[[#This Row],[仕入単価+国内送料]]</f>
        <v>0</v>
      </c>
      <c r="W720" s="87">
        <f>ROUNDUP(商品マスタ[[#This Row],[仕入単価+国内送料]]/0.85,-1)</f>
        <v>0</v>
      </c>
      <c r="X720" s="134">
        <f>商品マスタ[[#This Row],[国内定価
（15％）]]-商品マスタ[[#This Row],[仕入単価+国内送料]]</f>
        <v>0</v>
      </c>
      <c r="Y720" s="139"/>
      <c r="Z720" s="87"/>
      <c r="AA720" s="87"/>
      <c r="AB720" s="87"/>
      <c r="AC720" s="140"/>
      <c r="AD720" s="87"/>
      <c r="AE720" s="87"/>
      <c r="AF720" s="87"/>
      <c r="AG720" s="141"/>
    </row>
    <row r="721" spans="1:33" ht="18">
      <c r="A721" s="166"/>
      <c r="B721" s="167"/>
      <c r="C721" s="167"/>
      <c r="D721" s="143" t="str">
        <f>"PRD_SNJ_"&amp;
_xlfn.XLOOKUP(商品マスタ[[#This Row],[仕入先]],テーブル1[仕入先名],テーブル1[仕入先コード],"XXX",0,1)&amp;
"_"&amp;
商品マスタ[[#This Row],[シリアル]]&amp;
"_"&amp;
TEXT(COUNTIFS(商品マスタ!$C$3:C721,商品マスタ[[#This Row],[仕入先]],商品マスタ!$E$3:E721,商品マスタ[[#This Row],[商品名]]), "00")</f>
        <v>PRD_SNJ__0000_00</v>
      </c>
      <c r="E721" s="87"/>
      <c r="F721" s="87">
        <f>IF(COUNTIFS($C$3:C721,商品マスタ[[#This Row],[仕入先]],$E$3:E721,商品マスタ[[#This Row],[商品名]]) = 1, 1,0)</f>
        <v>0</v>
      </c>
      <c r="G721" s="133" t="str">
        <f>TEXT(SUMIF($C$3:C721,商品マスタ[[#This Row],[仕入先]],$F$3:F721), "0000")</f>
        <v>0000</v>
      </c>
      <c r="H721" s="87"/>
      <c r="I721" s="87"/>
      <c r="J721" s="87"/>
      <c r="K721" s="87"/>
      <c r="L721" s="134"/>
      <c r="M721" s="157"/>
      <c r="N721" s="134"/>
      <c r="O721" s="135" t="str">
        <f>IF(COUNT(商品マスタ[[#This Row],[参考上代
（税込)]]) &gt; 0, (商品マスタ[[#This Row],[参考上代
（税込)]]-商品マスタ[[#This Row],[国内定価
（15％）]])/(商品マスタ[[#This Row],[参考上代
（税込)]]/1.08), "")</f>
        <v/>
      </c>
      <c r="P721" s="136">
        <v>0.1</v>
      </c>
      <c r="Q721" s="134">
        <f>商品マスタ[[#This Row],[仕入
単価]]*商品マスタ[[#This Row],[標準国内送料率]]</f>
        <v>0</v>
      </c>
      <c r="R721" s="134"/>
      <c r="S721" s="134">
        <f>IF(ISBLANK(商品マスタ[[#This Row],[実績
国内送料]]),商品マスタ[[#This Row],[標準国内送料]],)</f>
        <v>0</v>
      </c>
      <c r="T721" s="134">
        <f>商品マスタ[[#This Row],[仕入
単価]]+商品マスタ[[#This Row],[国内送料]]</f>
        <v>0</v>
      </c>
      <c r="U721" s="134">
        <f>ROUNDUP(商品マスタ[[#This Row],[仕入単価+国内送料]]/0.8,-1)</f>
        <v>0</v>
      </c>
      <c r="V721" s="134">
        <f>商品マスタ[[#This Row],[海外定価
（20％）]]-商品マスタ[[#This Row],[仕入単価+国内送料]]</f>
        <v>0</v>
      </c>
      <c r="W721" s="87">
        <f>ROUNDUP(商品マスタ[[#This Row],[仕入単価+国内送料]]/0.85,-1)</f>
        <v>0</v>
      </c>
      <c r="X721" s="134">
        <f>商品マスタ[[#This Row],[国内定価
（15％）]]-商品マスタ[[#This Row],[仕入単価+国内送料]]</f>
        <v>0</v>
      </c>
      <c r="Y721" s="139"/>
      <c r="Z721" s="87"/>
      <c r="AA721" s="87"/>
      <c r="AB721" s="87"/>
      <c r="AC721" s="140"/>
      <c r="AD721" s="87"/>
      <c r="AE721" s="87"/>
      <c r="AF721" s="87"/>
      <c r="AG721" s="141"/>
    </row>
    <row r="722" spans="1:33" ht="18">
      <c r="A722" s="166"/>
      <c r="B722" s="167"/>
      <c r="C722" s="167"/>
      <c r="D722" s="143" t="str">
        <f>"PRD_SNJ_"&amp;
_xlfn.XLOOKUP(商品マスタ[[#This Row],[仕入先]],テーブル1[仕入先名],テーブル1[仕入先コード],"XXX",0,1)&amp;
"_"&amp;
商品マスタ[[#This Row],[シリアル]]&amp;
"_"&amp;
TEXT(COUNTIFS(商品マスタ!$C$3:C722,商品マスタ[[#This Row],[仕入先]],商品マスタ!$E$3:E722,商品マスタ[[#This Row],[商品名]]), "00")</f>
        <v>PRD_SNJ__0000_00</v>
      </c>
      <c r="E722" s="87"/>
      <c r="F722" s="87">
        <f>IF(COUNTIFS($C$3:C722,商品マスタ[[#This Row],[仕入先]],$E$3:E722,商品マスタ[[#This Row],[商品名]]) = 1, 1,0)</f>
        <v>0</v>
      </c>
      <c r="G722" s="133" t="str">
        <f>TEXT(SUMIF($C$3:C722,商品マスタ[[#This Row],[仕入先]],$F$3:F722), "0000")</f>
        <v>0000</v>
      </c>
      <c r="H722" s="87"/>
      <c r="I722" s="87"/>
      <c r="J722" s="87"/>
      <c r="K722" s="87"/>
      <c r="L722" s="134"/>
      <c r="M722" s="157"/>
      <c r="N722" s="134"/>
      <c r="O722" s="135" t="str">
        <f>IF(COUNT(商品マスタ[[#This Row],[参考上代
（税込)]]) &gt; 0, (商品マスタ[[#This Row],[参考上代
（税込)]]-商品マスタ[[#This Row],[国内定価
（15％）]])/(商品マスタ[[#This Row],[参考上代
（税込)]]/1.08), "")</f>
        <v/>
      </c>
      <c r="P722" s="136">
        <v>0.1</v>
      </c>
      <c r="Q722" s="134">
        <f>商品マスタ[[#This Row],[仕入
単価]]*商品マスタ[[#This Row],[標準国内送料率]]</f>
        <v>0</v>
      </c>
      <c r="R722" s="134"/>
      <c r="S722" s="134">
        <f>IF(ISBLANK(商品マスタ[[#This Row],[実績
国内送料]]),商品マスタ[[#This Row],[標準国内送料]],)</f>
        <v>0</v>
      </c>
      <c r="T722" s="134">
        <f>商品マスタ[[#This Row],[仕入
単価]]+商品マスタ[[#This Row],[国内送料]]</f>
        <v>0</v>
      </c>
      <c r="U722" s="134">
        <f>ROUNDUP(商品マスタ[[#This Row],[仕入単価+国内送料]]/0.8,-1)</f>
        <v>0</v>
      </c>
      <c r="V722" s="134">
        <f>商品マスタ[[#This Row],[海外定価
（20％）]]-商品マスタ[[#This Row],[仕入単価+国内送料]]</f>
        <v>0</v>
      </c>
      <c r="W722" s="87">
        <f>ROUNDUP(商品マスタ[[#This Row],[仕入単価+国内送料]]/0.85,-1)</f>
        <v>0</v>
      </c>
      <c r="X722" s="134">
        <f>商品マスタ[[#This Row],[国内定価
（15％）]]-商品マスタ[[#This Row],[仕入単価+国内送料]]</f>
        <v>0</v>
      </c>
      <c r="Y722" s="139"/>
      <c r="Z722" s="87"/>
      <c r="AA722" s="87"/>
      <c r="AB722" s="87"/>
      <c r="AC722" s="140"/>
      <c r="AD722" s="87"/>
      <c r="AE722" s="87"/>
      <c r="AF722" s="87"/>
      <c r="AG722" s="141"/>
    </row>
    <row r="723" spans="1:33" ht="18">
      <c r="A723" s="166"/>
      <c r="B723" s="167"/>
      <c r="C723" s="167"/>
      <c r="D723" s="143" t="str">
        <f>"PRD_SNJ_"&amp;
_xlfn.XLOOKUP(商品マスタ[[#This Row],[仕入先]],テーブル1[仕入先名],テーブル1[仕入先コード],"XXX",0,1)&amp;
"_"&amp;
商品マスタ[[#This Row],[シリアル]]&amp;
"_"&amp;
TEXT(COUNTIFS(商品マスタ!$C$3:C723,商品マスタ[[#This Row],[仕入先]],商品マスタ!$E$3:E723,商品マスタ[[#This Row],[商品名]]), "00")</f>
        <v>PRD_SNJ__0000_00</v>
      </c>
      <c r="E723" s="87"/>
      <c r="F723" s="87">
        <f>IF(COUNTIFS($C$3:C723,商品マスタ[[#This Row],[仕入先]],$E$3:E723,商品マスタ[[#This Row],[商品名]]) = 1, 1,0)</f>
        <v>0</v>
      </c>
      <c r="G723" s="133" t="str">
        <f>TEXT(SUMIF($C$3:C723,商品マスタ[[#This Row],[仕入先]],$F$3:F723), "0000")</f>
        <v>0000</v>
      </c>
      <c r="H723" s="87"/>
      <c r="I723" s="87"/>
      <c r="J723" s="87"/>
      <c r="K723" s="87"/>
      <c r="L723" s="134"/>
      <c r="M723" s="157"/>
      <c r="N723" s="134"/>
      <c r="O723" s="135" t="str">
        <f>IF(COUNT(商品マスタ[[#This Row],[参考上代
（税込)]]) &gt; 0, (商品マスタ[[#This Row],[参考上代
（税込)]]-商品マスタ[[#This Row],[国内定価
（15％）]])/(商品マスタ[[#This Row],[参考上代
（税込)]]/1.08), "")</f>
        <v/>
      </c>
      <c r="P723" s="136">
        <v>0.1</v>
      </c>
      <c r="Q723" s="134">
        <f>商品マスタ[[#This Row],[仕入
単価]]*商品マスタ[[#This Row],[標準国内送料率]]</f>
        <v>0</v>
      </c>
      <c r="R723" s="134"/>
      <c r="S723" s="134">
        <f>IF(ISBLANK(商品マスタ[[#This Row],[実績
国内送料]]),商品マスタ[[#This Row],[標準国内送料]],)</f>
        <v>0</v>
      </c>
      <c r="T723" s="134">
        <f>商品マスタ[[#This Row],[仕入
単価]]+商品マスタ[[#This Row],[国内送料]]</f>
        <v>0</v>
      </c>
      <c r="U723" s="134">
        <f>ROUNDUP(商品マスタ[[#This Row],[仕入単価+国内送料]]/0.8,-1)</f>
        <v>0</v>
      </c>
      <c r="V723" s="134">
        <f>商品マスタ[[#This Row],[海外定価
（20％）]]-商品マスタ[[#This Row],[仕入単価+国内送料]]</f>
        <v>0</v>
      </c>
      <c r="W723" s="87">
        <f>ROUNDUP(商品マスタ[[#This Row],[仕入単価+国内送料]]/0.85,-1)</f>
        <v>0</v>
      </c>
      <c r="X723" s="134">
        <f>商品マスタ[[#This Row],[国内定価
（15％）]]-商品マスタ[[#This Row],[仕入単価+国内送料]]</f>
        <v>0</v>
      </c>
      <c r="Y723" s="139"/>
      <c r="Z723" s="87"/>
      <c r="AA723" s="87"/>
      <c r="AB723" s="87"/>
      <c r="AC723" s="140"/>
      <c r="AD723" s="87"/>
      <c r="AE723" s="87"/>
      <c r="AF723" s="87"/>
      <c r="AG723" s="141"/>
    </row>
    <row r="724" spans="1:33" ht="18">
      <c r="A724" s="166"/>
      <c r="B724" s="167"/>
      <c r="C724" s="167"/>
      <c r="D724" s="143" t="str">
        <f>"PRD_SNJ_"&amp;
_xlfn.XLOOKUP(商品マスタ[[#This Row],[仕入先]],テーブル1[仕入先名],テーブル1[仕入先コード],"XXX",0,1)&amp;
"_"&amp;
商品マスタ[[#This Row],[シリアル]]&amp;
"_"&amp;
TEXT(COUNTIFS(商品マスタ!$C$3:C724,商品マスタ[[#This Row],[仕入先]],商品マスタ!$E$3:E724,商品マスタ[[#This Row],[商品名]]), "00")</f>
        <v>PRD_SNJ__0000_00</v>
      </c>
      <c r="E724" s="87"/>
      <c r="F724" s="87">
        <f>IF(COUNTIFS($C$3:C724,商品マスタ[[#This Row],[仕入先]],$E$3:E724,商品マスタ[[#This Row],[商品名]]) = 1, 1,0)</f>
        <v>0</v>
      </c>
      <c r="G724" s="133" t="str">
        <f>TEXT(SUMIF($C$3:C724,商品マスタ[[#This Row],[仕入先]],$F$3:F724), "0000")</f>
        <v>0000</v>
      </c>
      <c r="H724" s="87"/>
      <c r="I724" s="87"/>
      <c r="J724" s="87"/>
      <c r="K724" s="87"/>
      <c r="L724" s="134"/>
      <c r="M724" s="157"/>
      <c r="N724" s="134"/>
      <c r="O724" s="135" t="str">
        <f>IF(COUNT(商品マスタ[[#This Row],[参考上代
（税込)]]) &gt; 0, (商品マスタ[[#This Row],[参考上代
（税込)]]-商品マスタ[[#This Row],[国内定価
（15％）]])/(商品マスタ[[#This Row],[参考上代
（税込)]]/1.08), "")</f>
        <v/>
      </c>
      <c r="P724" s="136">
        <v>0.1</v>
      </c>
      <c r="Q724" s="134">
        <f>商品マスタ[[#This Row],[仕入
単価]]*商品マスタ[[#This Row],[標準国内送料率]]</f>
        <v>0</v>
      </c>
      <c r="R724" s="134"/>
      <c r="S724" s="134">
        <f>IF(ISBLANK(商品マスタ[[#This Row],[実績
国内送料]]),商品マスタ[[#This Row],[標準国内送料]],)</f>
        <v>0</v>
      </c>
      <c r="T724" s="134">
        <f>商品マスタ[[#This Row],[仕入
単価]]+商品マスタ[[#This Row],[国内送料]]</f>
        <v>0</v>
      </c>
      <c r="U724" s="134">
        <f>ROUNDUP(商品マスタ[[#This Row],[仕入単価+国内送料]]/0.8,-1)</f>
        <v>0</v>
      </c>
      <c r="V724" s="134">
        <f>商品マスタ[[#This Row],[海外定価
（20％）]]-商品マスタ[[#This Row],[仕入単価+国内送料]]</f>
        <v>0</v>
      </c>
      <c r="W724" s="87">
        <f>ROUNDUP(商品マスタ[[#This Row],[仕入単価+国内送料]]/0.85,-1)</f>
        <v>0</v>
      </c>
      <c r="X724" s="134">
        <f>商品マスタ[[#This Row],[国内定価
（15％）]]-商品マスタ[[#This Row],[仕入単価+国内送料]]</f>
        <v>0</v>
      </c>
      <c r="Y724" s="139"/>
      <c r="Z724" s="87"/>
      <c r="AA724" s="87"/>
      <c r="AB724" s="87"/>
      <c r="AC724" s="140"/>
      <c r="AD724" s="87"/>
      <c r="AE724" s="87"/>
      <c r="AF724" s="87"/>
      <c r="AG724" s="141"/>
    </row>
    <row r="725" spans="1:33" ht="18">
      <c r="A725" s="166"/>
      <c r="B725" s="167"/>
      <c r="C725" s="167"/>
      <c r="D725" s="143" t="str">
        <f>"PRD_SNJ_"&amp;
_xlfn.XLOOKUP(商品マスタ[[#This Row],[仕入先]],テーブル1[仕入先名],テーブル1[仕入先コード],"XXX",0,1)&amp;
"_"&amp;
商品マスタ[[#This Row],[シリアル]]&amp;
"_"&amp;
TEXT(COUNTIFS(商品マスタ!$C$3:C725,商品マスタ[[#This Row],[仕入先]],商品マスタ!$E$3:E725,商品マスタ[[#This Row],[商品名]]), "00")</f>
        <v>PRD_SNJ__0000_00</v>
      </c>
      <c r="E725" s="87"/>
      <c r="F725" s="87">
        <f>IF(COUNTIFS($C$3:C725,商品マスタ[[#This Row],[仕入先]],$E$3:E725,商品マスタ[[#This Row],[商品名]]) = 1, 1,0)</f>
        <v>0</v>
      </c>
      <c r="G725" s="133" t="str">
        <f>TEXT(SUMIF($C$3:C725,商品マスタ[[#This Row],[仕入先]],$F$3:F725), "0000")</f>
        <v>0000</v>
      </c>
      <c r="H725" s="87"/>
      <c r="I725" s="87"/>
      <c r="J725" s="87"/>
      <c r="K725" s="87"/>
      <c r="L725" s="134"/>
      <c r="M725" s="157"/>
      <c r="N725" s="134"/>
      <c r="O725" s="135" t="str">
        <f>IF(COUNT(商品マスタ[[#This Row],[参考上代
（税込)]]) &gt; 0, (商品マスタ[[#This Row],[参考上代
（税込)]]-商品マスタ[[#This Row],[国内定価
（15％）]])/(商品マスタ[[#This Row],[参考上代
（税込)]]/1.08), "")</f>
        <v/>
      </c>
      <c r="P725" s="136">
        <v>0.1</v>
      </c>
      <c r="Q725" s="134">
        <f>商品マスタ[[#This Row],[仕入
単価]]*商品マスタ[[#This Row],[標準国内送料率]]</f>
        <v>0</v>
      </c>
      <c r="R725" s="134"/>
      <c r="S725" s="134">
        <f>IF(ISBLANK(商品マスタ[[#This Row],[実績
国内送料]]),商品マスタ[[#This Row],[標準国内送料]],)</f>
        <v>0</v>
      </c>
      <c r="T725" s="134">
        <f>商品マスタ[[#This Row],[仕入
単価]]+商品マスタ[[#This Row],[国内送料]]</f>
        <v>0</v>
      </c>
      <c r="U725" s="134">
        <f>ROUNDUP(商品マスタ[[#This Row],[仕入単価+国内送料]]/0.8,-1)</f>
        <v>0</v>
      </c>
      <c r="V725" s="134">
        <f>商品マスタ[[#This Row],[海外定価
（20％）]]-商品マスタ[[#This Row],[仕入単価+国内送料]]</f>
        <v>0</v>
      </c>
      <c r="W725" s="87">
        <f>ROUNDUP(商品マスタ[[#This Row],[仕入単価+国内送料]]/0.85,-1)</f>
        <v>0</v>
      </c>
      <c r="X725" s="134">
        <f>商品マスタ[[#This Row],[国内定価
（15％）]]-商品マスタ[[#This Row],[仕入単価+国内送料]]</f>
        <v>0</v>
      </c>
      <c r="Y725" s="139"/>
      <c r="Z725" s="87"/>
      <c r="AA725" s="87"/>
      <c r="AB725" s="87"/>
      <c r="AC725" s="140"/>
      <c r="AD725" s="87"/>
      <c r="AE725" s="87"/>
      <c r="AF725" s="87"/>
      <c r="AG725" s="141"/>
    </row>
    <row r="726" spans="1:33" ht="18">
      <c r="A726" s="166"/>
      <c r="B726" s="167"/>
      <c r="C726" s="167"/>
      <c r="D726" s="143" t="str">
        <f>"PRD_SNJ_"&amp;
_xlfn.XLOOKUP(商品マスタ[[#This Row],[仕入先]],テーブル1[仕入先名],テーブル1[仕入先コード],"XXX",0,1)&amp;
"_"&amp;
商品マスタ[[#This Row],[シリアル]]&amp;
"_"&amp;
TEXT(COUNTIFS(商品マスタ!$C$3:C726,商品マスタ[[#This Row],[仕入先]],商品マスタ!$E$3:E726,商品マスタ[[#This Row],[商品名]]), "00")</f>
        <v>PRD_SNJ__0000_00</v>
      </c>
      <c r="E726" s="87"/>
      <c r="F726" s="87">
        <f>IF(COUNTIFS($C$3:C726,商品マスタ[[#This Row],[仕入先]],$E$3:E726,商品マスタ[[#This Row],[商品名]]) = 1, 1,0)</f>
        <v>0</v>
      </c>
      <c r="G726" s="133" t="str">
        <f>TEXT(SUMIF($C$3:C726,商品マスタ[[#This Row],[仕入先]],$F$3:F726), "0000")</f>
        <v>0000</v>
      </c>
      <c r="H726" s="87"/>
      <c r="I726" s="87"/>
      <c r="J726" s="87"/>
      <c r="K726" s="87"/>
      <c r="L726" s="134"/>
      <c r="M726" s="157"/>
      <c r="N726" s="134"/>
      <c r="O726" s="135" t="str">
        <f>IF(COUNT(商品マスタ[[#This Row],[参考上代
（税込)]]) &gt; 0, (商品マスタ[[#This Row],[参考上代
（税込)]]-商品マスタ[[#This Row],[国内定価
（15％）]])/(商品マスタ[[#This Row],[参考上代
（税込)]]/1.08), "")</f>
        <v/>
      </c>
      <c r="P726" s="136">
        <v>0.1</v>
      </c>
      <c r="Q726" s="134">
        <f>商品マスタ[[#This Row],[仕入
単価]]*商品マスタ[[#This Row],[標準国内送料率]]</f>
        <v>0</v>
      </c>
      <c r="R726" s="134"/>
      <c r="S726" s="134">
        <f>IF(ISBLANK(商品マスタ[[#This Row],[実績
国内送料]]),商品マスタ[[#This Row],[標準国内送料]],)</f>
        <v>0</v>
      </c>
      <c r="T726" s="134">
        <f>商品マスタ[[#This Row],[仕入
単価]]+商品マスタ[[#This Row],[国内送料]]</f>
        <v>0</v>
      </c>
      <c r="U726" s="134">
        <f>ROUNDUP(商品マスタ[[#This Row],[仕入単価+国内送料]]/0.8,-1)</f>
        <v>0</v>
      </c>
      <c r="V726" s="134">
        <f>商品マスタ[[#This Row],[海外定価
（20％）]]-商品マスタ[[#This Row],[仕入単価+国内送料]]</f>
        <v>0</v>
      </c>
      <c r="W726" s="87">
        <f>ROUNDUP(商品マスタ[[#This Row],[仕入単価+国内送料]]/0.85,-1)</f>
        <v>0</v>
      </c>
      <c r="X726" s="134">
        <f>商品マスタ[[#This Row],[国内定価
（15％）]]-商品マスタ[[#This Row],[仕入単価+国内送料]]</f>
        <v>0</v>
      </c>
      <c r="Y726" s="139"/>
      <c r="Z726" s="87"/>
      <c r="AA726" s="87"/>
      <c r="AB726" s="87"/>
      <c r="AC726" s="140"/>
      <c r="AD726" s="87"/>
      <c r="AE726" s="87"/>
      <c r="AF726" s="87"/>
      <c r="AG726" s="141"/>
    </row>
    <row r="727" spans="1:33" ht="18">
      <c r="A727" s="166"/>
      <c r="B727" s="167"/>
      <c r="C727" s="167"/>
      <c r="D727" s="143" t="str">
        <f>"PRD_SNJ_"&amp;
_xlfn.XLOOKUP(商品マスタ[[#This Row],[仕入先]],テーブル1[仕入先名],テーブル1[仕入先コード],"XXX",0,1)&amp;
"_"&amp;
商品マスタ[[#This Row],[シリアル]]&amp;
"_"&amp;
TEXT(COUNTIFS(商品マスタ!$C$3:C727,商品マスタ[[#This Row],[仕入先]],商品マスタ!$E$3:E727,商品マスタ[[#This Row],[商品名]]), "00")</f>
        <v>PRD_SNJ__0000_00</v>
      </c>
      <c r="E727" s="87"/>
      <c r="F727" s="87">
        <f>IF(COUNTIFS($C$3:C727,商品マスタ[[#This Row],[仕入先]],$E$3:E727,商品マスタ[[#This Row],[商品名]]) = 1, 1,0)</f>
        <v>0</v>
      </c>
      <c r="G727" s="133" t="str">
        <f>TEXT(SUMIF($C$3:C727,商品マスタ[[#This Row],[仕入先]],$F$3:F727), "0000")</f>
        <v>0000</v>
      </c>
      <c r="H727" s="87"/>
      <c r="I727" s="87"/>
      <c r="J727" s="87"/>
      <c r="K727" s="87"/>
      <c r="L727" s="134"/>
      <c r="M727" s="157"/>
      <c r="N727" s="134"/>
      <c r="O727" s="135" t="str">
        <f>IF(COUNT(商品マスタ[[#This Row],[参考上代
（税込)]]) &gt; 0, (商品マスタ[[#This Row],[参考上代
（税込)]]-商品マスタ[[#This Row],[国内定価
（15％）]])/(商品マスタ[[#This Row],[参考上代
（税込)]]/1.08), "")</f>
        <v/>
      </c>
      <c r="P727" s="136">
        <v>0.1</v>
      </c>
      <c r="Q727" s="134">
        <f>商品マスタ[[#This Row],[仕入
単価]]*商品マスタ[[#This Row],[標準国内送料率]]</f>
        <v>0</v>
      </c>
      <c r="R727" s="134"/>
      <c r="S727" s="134">
        <f>IF(ISBLANK(商品マスタ[[#This Row],[実績
国内送料]]),商品マスタ[[#This Row],[標準国内送料]],)</f>
        <v>0</v>
      </c>
      <c r="T727" s="134">
        <f>商品マスタ[[#This Row],[仕入
単価]]+商品マスタ[[#This Row],[国内送料]]</f>
        <v>0</v>
      </c>
      <c r="U727" s="134">
        <f>ROUNDUP(商品マスタ[[#This Row],[仕入単価+国内送料]]/0.8,-1)</f>
        <v>0</v>
      </c>
      <c r="V727" s="134">
        <f>商品マスタ[[#This Row],[海外定価
（20％）]]-商品マスタ[[#This Row],[仕入単価+国内送料]]</f>
        <v>0</v>
      </c>
      <c r="W727" s="87">
        <f>ROUNDUP(商品マスタ[[#This Row],[仕入単価+国内送料]]/0.85,-1)</f>
        <v>0</v>
      </c>
      <c r="X727" s="134">
        <f>商品マスタ[[#This Row],[国内定価
（15％）]]-商品マスタ[[#This Row],[仕入単価+国内送料]]</f>
        <v>0</v>
      </c>
      <c r="Y727" s="139"/>
      <c r="Z727" s="87"/>
      <c r="AA727" s="87"/>
      <c r="AB727" s="87"/>
      <c r="AC727" s="140"/>
      <c r="AD727" s="87"/>
      <c r="AE727" s="87"/>
      <c r="AF727" s="87"/>
      <c r="AG727" s="141"/>
    </row>
    <row r="728" spans="1:33" ht="18">
      <c r="A728" s="166"/>
      <c r="B728" s="167"/>
      <c r="C728" s="167"/>
      <c r="D728" s="143" t="str">
        <f>"PRD_SNJ_"&amp;
_xlfn.XLOOKUP(商品マスタ[[#This Row],[仕入先]],テーブル1[仕入先名],テーブル1[仕入先コード],"XXX",0,1)&amp;
"_"&amp;
商品マスタ[[#This Row],[シリアル]]&amp;
"_"&amp;
TEXT(COUNTIFS(商品マスタ!$C$3:C728,商品マスタ[[#This Row],[仕入先]],商品マスタ!$E$3:E728,商品マスタ[[#This Row],[商品名]]), "00")</f>
        <v>PRD_SNJ__0000_00</v>
      </c>
      <c r="E728" s="87"/>
      <c r="F728" s="87">
        <f>IF(COUNTIFS($C$3:C728,商品マスタ[[#This Row],[仕入先]],$E$3:E728,商品マスタ[[#This Row],[商品名]]) = 1, 1,0)</f>
        <v>0</v>
      </c>
      <c r="G728" s="133" t="str">
        <f>TEXT(SUMIF($C$3:C728,商品マスタ[[#This Row],[仕入先]],$F$3:F728), "0000")</f>
        <v>0000</v>
      </c>
      <c r="H728" s="87"/>
      <c r="I728" s="87"/>
      <c r="J728" s="87"/>
      <c r="K728" s="87"/>
      <c r="L728" s="134"/>
      <c r="M728" s="157"/>
      <c r="N728" s="134"/>
      <c r="O728" s="135" t="str">
        <f>IF(COUNT(商品マスタ[[#This Row],[参考上代
（税込)]]) &gt; 0, (商品マスタ[[#This Row],[参考上代
（税込)]]-商品マスタ[[#This Row],[国内定価
（15％）]])/(商品マスタ[[#This Row],[参考上代
（税込)]]/1.08), "")</f>
        <v/>
      </c>
      <c r="P728" s="136">
        <v>0.1</v>
      </c>
      <c r="Q728" s="134">
        <f>商品マスタ[[#This Row],[仕入
単価]]*商品マスタ[[#This Row],[標準国内送料率]]</f>
        <v>0</v>
      </c>
      <c r="R728" s="134"/>
      <c r="S728" s="134">
        <f>IF(ISBLANK(商品マスタ[[#This Row],[実績
国内送料]]),商品マスタ[[#This Row],[標準国内送料]],)</f>
        <v>0</v>
      </c>
      <c r="T728" s="134">
        <f>商品マスタ[[#This Row],[仕入
単価]]+商品マスタ[[#This Row],[国内送料]]</f>
        <v>0</v>
      </c>
      <c r="U728" s="134">
        <f>ROUNDUP(商品マスタ[[#This Row],[仕入単価+国内送料]]/0.8,-1)</f>
        <v>0</v>
      </c>
      <c r="V728" s="134">
        <f>商品マスタ[[#This Row],[海外定価
（20％）]]-商品マスタ[[#This Row],[仕入単価+国内送料]]</f>
        <v>0</v>
      </c>
      <c r="W728" s="87">
        <f>ROUNDUP(商品マスタ[[#This Row],[仕入単価+国内送料]]/0.85,-1)</f>
        <v>0</v>
      </c>
      <c r="X728" s="134">
        <f>商品マスタ[[#This Row],[国内定価
（15％）]]-商品マスタ[[#This Row],[仕入単価+国内送料]]</f>
        <v>0</v>
      </c>
      <c r="Y728" s="139"/>
      <c r="Z728" s="87"/>
      <c r="AA728" s="87"/>
      <c r="AB728" s="87"/>
      <c r="AC728" s="140"/>
      <c r="AD728" s="87"/>
      <c r="AE728" s="87"/>
      <c r="AF728" s="87"/>
      <c r="AG728" s="141"/>
    </row>
    <row r="729" spans="1:33" ht="18">
      <c r="A729" s="166"/>
      <c r="B729" s="167"/>
      <c r="C729" s="167"/>
      <c r="D729" s="143" t="str">
        <f>"PRD_SNJ_"&amp;
_xlfn.XLOOKUP(商品マスタ[[#This Row],[仕入先]],テーブル1[仕入先名],テーブル1[仕入先コード],"XXX",0,1)&amp;
"_"&amp;
商品マスタ[[#This Row],[シリアル]]&amp;
"_"&amp;
TEXT(COUNTIFS(商品マスタ!$C$3:C729,商品マスタ[[#This Row],[仕入先]],商品マスタ!$E$3:E729,商品マスタ[[#This Row],[商品名]]), "00")</f>
        <v>PRD_SNJ__0000_00</v>
      </c>
      <c r="E729" s="87"/>
      <c r="F729" s="87">
        <f>IF(COUNTIFS($C$3:C729,商品マスタ[[#This Row],[仕入先]],$E$3:E729,商品マスタ[[#This Row],[商品名]]) = 1, 1,0)</f>
        <v>0</v>
      </c>
      <c r="G729" s="133" t="str">
        <f>TEXT(SUMIF($C$3:C729,商品マスタ[[#This Row],[仕入先]],$F$3:F729), "0000")</f>
        <v>0000</v>
      </c>
      <c r="H729" s="87"/>
      <c r="I729" s="87"/>
      <c r="J729" s="87"/>
      <c r="K729" s="87"/>
      <c r="L729" s="134"/>
      <c r="M729" s="157"/>
      <c r="N729" s="134"/>
      <c r="O729" s="135" t="str">
        <f>IF(COUNT(商品マスタ[[#This Row],[参考上代
（税込)]]) &gt; 0, (商品マスタ[[#This Row],[参考上代
（税込)]]-商品マスタ[[#This Row],[国内定価
（15％）]])/(商品マスタ[[#This Row],[参考上代
（税込)]]/1.08), "")</f>
        <v/>
      </c>
      <c r="P729" s="136">
        <v>0.1</v>
      </c>
      <c r="Q729" s="134">
        <f>商品マスタ[[#This Row],[仕入
単価]]*商品マスタ[[#This Row],[標準国内送料率]]</f>
        <v>0</v>
      </c>
      <c r="R729" s="134"/>
      <c r="S729" s="134">
        <f>IF(ISBLANK(商品マスタ[[#This Row],[実績
国内送料]]),商品マスタ[[#This Row],[標準国内送料]],)</f>
        <v>0</v>
      </c>
      <c r="T729" s="134">
        <f>商品マスタ[[#This Row],[仕入
単価]]+商品マスタ[[#This Row],[国内送料]]</f>
        <v>0</v>
      </c>
      <c r="U729" s="134">
        <f>ROUNDUP(商品マスタ[[#This Row],[仕入単価+国内送料]]/0.8,-1)</f>
        <v>0</v>
      </c>
      <c r="V729" s="134">
        <f>商品マスタ[[#This Row],[海外定価
（20％）]]-商品マスタ[[#This Row],[仕入単価+国内送料]]</f>
        <v>0</v>
      </c>
      <c r="W729" s="87">
        <f>ROUNDUP(商品マスタ[[#This Row],[仕入単価+国内送料]]/0.85,-1)</f>
        <v>0</v>
      </c>
      <c r="X729" s="134">
        <f>商品マスタ[[#This Row],[国内定価
（15％）]]-商品マスタ[[#This Row],[仕入単価+国内送料]]</f>
        <v>0</v>
      </c>
      <c r="Y729" s="139"/>
      <c r="Z729" s="87"/>
      <c r="AA729" s="87"/>
      <c r="AB729" s="87"/>
      <c r="AC729" s="140"/>
      <c r="AD729" s="87"/>
      <c r="AE729" s="87"/>
      <c r="AF729" s="87"/>
      <c r="AG729" s="141"/>
    </row>
    <row r="730" spans="1:33" ht="18">
      <c r="A730" s="166"/>
      <c r="B730" s="167"/>
      <c r="C730" s="167"/>
      <c r="D730" s="143" t="str">
        <f>"PRD_SNJ_"&amp;
_xlfn.XLOOKUP(商品マスタ[[#This Row],[仕入先]],テーブル1[仕入先名],テーブル1[仕入先コード],"XXX",0,1)&amp;
"_"&amp;
商品マスタ[[#This Row],[シリアル]]&amp;
"_"&amp;
TEXT(COUNTIFS(商品マスタ!$C$3:C730,商品マスタ[[#This Row],[仕入先]],商品マスタ!$E$3:E730,商品マスタ[[#This Row],[商品名]]), "00")</f>
        <v>PRD_SNJ__0000_00</v>
      </c>
      <c r="E730" s="87"/>
      <c r="F730" s="87">
        <f>IF(COUNTIFS($C$3:C730,商品マスタ[[#This Row],[仕入先]],$E$3:E730,商品マスタ[[#This Row],[商品名]]) = 1, 1,0)</f>
        <v>0</v>
      </c>
      <c r="G730" s="133" t="str">
        <f>TEXT(SUMIF($C$3:C730,商品マスタ[[#This Row],[仕入先]],$F$3:F730), "0000")</f>
        <v>0000</v>
      </c>
      <c r="H730" s="87"/>
      <c r="I730" s="87"/>
      <c r="J730" s="87"/>
      <c r="K730" s="87"/>
      <c r="L730" s="134"/>
      <c r="M730" s="157"/>
      <c r="N730" s="134"/>
      <c r="O730" s="135" t="str">
        <f>IF(COUNT(商品マスタ[[#This Row],[参考上代
（税込)]]) &gt; 0, (商品マスタ[[#This Row],[参考上代
（税込)]]-商品マスタ[[#This Row],[国内定価
（15％）]])/(商品マスタ[[#This Row],[参考上代
（税込)]]/1.08), "")</f>
        <v/>
      </c>
      <c r="P730" s="136">
        <v>0.1</v>
      </c>
      <c r="Q730" s="134">
        <f>商品マスタ[[#This Row],[仕入
単価]]*商品マスタ[[#This Row],[標準国内送料率]]</f>
        <v>0</v>
      </c>
      <c r="R730" s="134"/>
      <c r="S730" s="134">
        <f>IF(ISBLANK(商品マスタ[[#This Row],[実績
国内送料]]),商品マスタ[[#This Row],[標準国内送料]],)</f>
        <v>0</v>
      </c>
      <c r="T730" s="134">
        <f>商品マスタ[[#This Row],[仕入
単価]]+商品マスタ[[#This Row],[国内送料]]</f>
        <v>0</v>
      </c>
      <c r="U730" s="134">
        <f>ROUNDUP(商品マスタ[[#This Row],[仕入単価+国内送料]]/0.8,-1)</f>
        <v>0</v>
      </c>
      <c r="V730" s="134">
        <f>商品マスタ[[#This Row],[海外定価
（20％）]]-商品マスタ[[#This Row],[仕入単価+国内送料]]</f>
        <v>0</v>
      </c>
      <c r="W730" s="87">
        <f>ROUNDUP(商品マスタ[[#This Row],[仕入単価+国内送料]]/0.85,-1)</f>
        <v>0</v>
      </c>
      <c r="X730" s="134">
        <f>商品マスタ[[#This Row],[国内定価
（15％）]]-商品マスタ[[#This Row],[仕入単価+国内送料]]</f>
        <v>0</v>
      </c>
      <c r="Y730" s="139"/>
      <c r="Z730" s="87"/>
      <c r="AA730" s="87"/>
      <c r="AB730" s="87"/>
      <c r="AC730" s="140"/>
      <c r="AD730" s="87"/>
      <c r="AE730" s="87"/>
      <c r="AF730" s="87"/>
      <c r="AG730" s="141"/>
    </row>
    <row r="731" spans="1:33" ht="18">
      <c r="A731" s="166"/>
      <c r="B731" s="167"/>
      <c r="C731" s="167"/>
      <c r="D731" s="143" t="str">
        <f>"PRD_SNJ_"&amp;
_xlfn.XLOOKUP(商品マスタ[[#This Row],[仕入先]],テーブル1[仕入先名],テーブル1[仕入先コード],"XXX",0,1)&amp;
"_"&amp;
商品マスタ[[#This Row],[シリアル]]&amp;
"_"&amp;
TEXT(COUNTIFS(商品マスタ!$C$3:C731,商品マスタ[[#This Row],[仕入先]],商品マスタ!$E$3:E731,商品マスタ[[#This Row],[商品名]]), "00")</f>
        <v>PRD_SNJ__0000_00</v>
      </c>
      <c r="E731" s="87"/>
      <c r="F731" s="87">
        <f>IF(COUNTIFS($C$3:C731,商品マスタ[[#This Row],[仕入先]],$E$3:E731,商品マスタ[[#This Row],[商品名]]) = 1, 1,0)</f>
        <v>0</v>
      </c>
      <c r="G731" s="133" t="str">
        <f>TEXT(SUMIF($C$3:C731,商品マスタ[[#This Row],[仕入先]],$F$3:F731), "0000")</f>
        <v>0000</v>
      </c>
      <c r="H731" s="87"/>
      <c r="I731" s="87"/>
      <c r="J731" s="87"/>
      <c r="K731" s="87"/>
      <c r="L731" s="134"/>
      <c r="M731" s="157"/>
      <c r="N731" s="134"/>
      <c r="O731" s="135" t="str">
        <f>IF(COUNT(商品マスタ[[#This Row],[参考上代
（税込)]]) &gt; 0, (商品マスタ[[#This Row],[参考上代
（税込)]]-商品マスタ[[#This Row],[国内定価
（15％）]])/(商品マスタ[[#This Row],[参考上代
（税込)]]/1.08), "")</f>
        <v/>
      </c>
      <c r="P731" s="136">
        <v>0.1</v>
      </c>
      <c r="Q731" s="134">
        <f>商品マスタ[[#This Row],[仕入
単価]]*商品マスタ[[#This Row],[標準国内送料率]]</f>
        <v>0</v>
      </c>
      <c r="R731" s="134"/>
      <c r="S731" s="134">
        <f>IF(ISBLANK(商品マスタ[[#This Row],[実績
国内送料]]),商品マスタ[[#This Row],[標準国内送料]],)</f>
        <v>0</v>
      </c>
      <c r="T731" s="134">
        <f>商品マスタ[[#This Row],[仕入
単価]]+商品マスタ[[#This Row],[国内送料]]</f>
        <v>0</v>
      </c>
      <c r="U731" s="134">
        <f>ROUNDUP(商品マスタ[[#This Row],[仕入単価+国内送料]]/0.8,-1)</f>
        <v>0</v>
      </c>
      <c r="V731" s="134">
        <f>商品マスタ[[#This Row],[海外定価
（20％）]]-商品マスタ[[#This Row],[仕入単価+国内送料]]</f>
        <v>0</v>
      </c>
      <c r="W731" s="87">
        <f>ROUNDUP(商品マスタ[[#This Row],[仕入単価+国内送料]]/0.85,-1)</f>
        <v>0</v>
      </c>
      <c r="X731" s="134">
        <f>商品マスタ[[#This Row],[国内定価
（15％）]]-商品マスタ[[#This Row],[仕入単価+国内送料]]</f>
        <v>0</v>
      </c>
      <c r="Y731" s="139"/>
      <c r="Z731" s="87"/>
      <c r="AA731" s="87"/>
      <c r="AB731" s="87"/>
      <c r="AC731" s="140"/>
      <c r="AD731" s="87"/>
      <c r="AE731" s="87"/>
      <c r="AF731" s="87"/>
      <c r="AG731" s="141"/>
    </row>
    <row r="732" spans="1:33" ht="18">
      <c r="A732" s="166"/>
      <c r="B732" s="167"/>
      <c r="C732" s="167"/>
      <c r="D732" s="143" t="str">
        <f>"PRD_SNJ_"&amp;
_xlfn.XLOOKUP(商品マスタ[[#This Row],[仕入先]],テーブル1[仕入先名],テーブル1[仕入先コード],"XXX",0,1)&amp;
"_"&amp;
商品マスタ[[#This Row],[シリアル]]&amp;
"_"&amp;
TEXT(COUNTIFS(商品マスタ!$C$3:C732,商品マスタ[[#This Row],[仕入先]],商品マスタ!$E$3:E732,商品マスタ[[#This Row],[商品名]]), "00")</f>
        <v>PRD_SNJ__0000_00</v>
      </c>
      <c r="E732" s="87"/>
      <c r="F732" s="87">
        <f>IF(COUNTIFS($C$3:C732,商品マスタ[[#This Row],[仕入先]],$E$3:E732,商品マスタ[[#This Row],[商品名]]) = 1, 1,0)</f>
        <v>0</v>
      </c>
      <c r="G732" s="133" t="str">
        <f>TEXT(SUMIF($C$3:C732,商品マスタ[[#This Row],[仕入先]],$F$3:F732), "0000")</f>
        <v>0000</v>
      </c>
      <c r="H732" s="87"/>
      <c r="I732" s="87"/>
      <c r="J732" s="87"/>
      <c r="K732" s="87"/>
      <c r="L732" s="134"/>
      <c r="M732" s="157"/>
      <c r="N732" s="134"/>
      <c r="O732" s="135" t="str">
        <f>IF(COUNT(商品マスタ[[#This Row],[参考上代
（税込)]]) &gt; 0, (商品マスタ[[#This Row],[参考上代
（税込)]]-商品マスタ[[#This Row],[国内定価
（15％）]])/(商品マスタ[[#This Row],[参考上代
（税込)]]/1.08), "")</f>
        <v/>
      </c>
      <c r="P732" s="136">
        <v>0.1</v>
      </c>
      <c r="Q732" s="134">
        <f>商品マスタ[[#This Row],[仕入
単価]]*商品マスタ[[#This Row],[標準国内送料率]]</f>
        <v>0</v>
      </c>
      <c r="R732" s="134"/>
      <c r="S732" s="134">
        <f>IF(ISBLANK(商品マスタ[[#This Row],[実績
国内送料]]),商品マスタ[[#This Row],[標準国内送料]],)</f>
        <v>0</v>
      </c>
      <c r="T732" s="134">
        <f>商品マスタ[[#This Row],[仕入
単価]]+商品マスタ[[#This Row],[国内送料]]</f>
        <v>0</v>
      </c>
      <c r="U732" s="134">
        <f>ROUNDUP(商品マスタ[[#This Row],[仕入単価+国内送料]]/0.8,-1)</f>
        <v>0</v>
      </c>
      <c r="V732" s="134">
        <f>商品マスタ[[#This Row],[海外定価
（20％）]]-商品マスタ[[#This Row],[仕入単価+国内送料]]</f>
        <v>0</v>
      </c>
      <c r="W732" s="87">
        <f>ROUNDUP(商品マスタ[[#This Row],[仕入単価+国内送料]]/0.85,-1)</f>
        <v>0</v>
      </c>
      <c r="X732" s="134">
        <f>商品マスタ[[#This Row],[国内定価
（15％）]]-商品マスタ[[#This Row],[仕入単価+国内送料]]</f>
        <v>0</v>
      </c>
      <c r="Y732" s="139"/>
      <c r="Z732" s="87"/>
      <c r="AA732" s="87"/>
      <c r="AB732" s="87"/>
      <c r="AC732" s="140"/>
      <c r="AD732" s="87"/>
      <c r="AE732" s="87"/>
      <c r="AF732" s="87"/>
      <c r="AG732" s="141"/>
    </row>
    <row r="733" spans="1:33" ht="18">
      <c r="A733" s="166"/>
      <c r="B733" s="167"/>
      <c r="C733" s="167"/>
      <c r="D733" s="143" t="str">
        <f>"PRD_SNJ_"&amp;
_xlfn.XLOOKUP(商品マスタ[[#This Row],[仕入先]],テーブル1[仕入先名],テーブル1[仕入先コード],"XXX",0,1)&amp;
"_"&amp;
商品マスタ[[#This Row],[シリアル]]&amp;
"_"&amp;
TEXT(COUNTIFS(商品マスタ!$C$3:C733,商品マスタ[[#This Row],[仕入先]],商品マスタ!$E$3:E733,商品マスタ[[#This Row],[商品名]]), "00")</f>
        <v>PRD_SNJ__0000_00</v>
      </c>
      <c r="E733" s="87"/>
      <c r="F733" s="87">
        <f>IF(COUNTIFS($C$3:C733,商品マスタ[[#This Row],[仕入先]],$E$3:E733,商品マスタ[[#This Row],[商品名]]) = 1, 1,0)</f>
        <v>0</v>
      </c>
      <c r="G733" s="133" t="str">
        <f>TEXT(SUMIF($C$3:C733,商品マスタ[[#This Row],[仕入先]],$F$3:F733), "0000")</f>
        <v>0000</v>
      </c>
      <c r="H733" s="87"/>
      <c r="I733" s="87"/>
      <c r="J733" s="87"/>
      <c r="K733" s="87"/>
      <c r="L733" s="134"/>
      <c r="M733" s="157"/>
      <c r="N733" s="134"/>
      <c r="O733" s="135" t="str">
        <f>IF(COUNT(商品マスタ[[#This Row],[参考上代
（税込)]]) &gt; 0, (商品マスタ[[#This Row],[参考上代
（税込)]]-商品マスタ[[#This Row],[国内定価
（15％）]])/(商品マスタ[[#This Row],[参考上代
（税込)]]/1.08), "")</f>
        <v/>
      </c>
      <c r="P733" s="136">
        <v>0.1</v>
      </c>
      <c r="Q733" s="134">
        <f>商品マスタ[[#This Row],[仕入
単価]]*商品マスタ[[#This Row],[標準国内送料率]]</f>
        <v>0</v>
      </c>
      <c r="R733" s="134"/>
      <c r="S733" s="134">
        <f>IF(ISBLANK(商品マスタ[[#This Row],[実績
国内送料]]),商品マスタ[[#This Row],[標準国内送料]],)</f>
        <v>0</v>
      </c>
      <c r="T733" s="134">
        <f>商品マスタ[[#This Row],[仕入
単価]]+商品マスタ[[#This Row],[国内送料]]</f>
        <v>0</v>
      </c>
      <c r="U733" s="134">
        <f>ROUNDUP(商品マスタ[[#This Row],[仕入単価+国内送料]]/0.8,-1)</f>
        <v>0</v>
      </c>
      <c r="V733" s="134">
        <f>商品マスタ[[#This Row],[海外定価
（20％）]]-商品マスタ[[#This Row],[仕入単価+国内送料]]</f>
        <v>0</v>
      </c>
      <c r="W733" s="87">
        <f>ROUNDUP(商品マスタ[[#This Row],[仕入単価+国内送料]]/0.85,-1)</f>
        <v>0</v>
      </c>
      <c r="X733" s="134">
        <f>商品マスタ[[#This Row],[国内定価
（15％）]]-商品マスタ[[#This Row],[仕入単価+国内送料]]</f>
        <v>0</v>
      </c>
      <c r="Y733" s="139"/>
      <c r="Z733" s="87"/>
      <c r="AA733" s="87"/>
      <c r="AB733" s="87"/>
      <c r="AC733" s="140"/>
      <c r="AD733" s="87"/>
      <c r="AE733" s="87"/>
      <c r="AF733" s="87"/>
      <c r="AG733" s="141"/>
    </row>
    <row r="734" spans="1:33" ht="18">
      <c r="A734" s="166"/>
      <c r="B734" s="167"/>
      <c r="C734" s="167"/>
      <c r="D734" s="143" t="str">
        <f>"PRD_SNJ_"&amp;
_xlfn.XLOOKUP(商品マスタ[[#This Row],[仕入先]],テーブル1[仕入先名],テーブル1[仕入先コード],"XXX",0,1)&amp;
"_"&amp;
商品マスタ[[#This Row],[シリアル]]&amp;
"_"&amp;
TEXT(COUNTIFS(商品マスタ!$C$3:C734,商品マスタ[[#This Row],[仕入先]],商品マスタ!$E$3:E734,商品マスタ[[#This Row],[商品名]]), "00")</f>
        <v>PRD_SNJ__0000_00</v>
      </c>
      <c r="E734" s="87"/>
      <c r="F734" s="87">
        <f>IF(COUNTIFS($C$3:C734,商品マスタ[[#This Row],[仕入先]],$E$3:E734,商品マスタ[[#This Row],[商品名]]) = 1, 1,0)</f>
        <v>0</v>
      </c>
      <c r="G734" s="133" t="str">
        <f>TEXT(SUMIF($C$3:C734,商品マスタ[[#This Row],[仕入先]],$F$3:F734), "0000")</f>
        <v>0000</v>
      </c>
      <c r="H734" s="87"/>
      <c r="I734" s="87"/>
      <c r="J734" s="87"/>
      <c r="K734" s="87"/>
      <c r="L734" s="134"/>
      <c r="M734" s="157"/>
      <c r="N734" s="134"/>
      <c r="O734" s="135" t="str">
        <f>IF(COUNT(商品マスタ[[#This Row],[参考上代
（税込)]]) &gt; 0, (商品マスタ[[#This Row],[参考上代
（税込)]]-商品マスタ[[#This Row],[国内定価
（15％）]])/(商品マスタ[[#This Row],[参考上代
（税込)]]/1.08), "")</f>
        <v/>
      </c>
      <c r="P734" s="136">
        <v>0.1</v>
      </c>
      <c r="Q734" s="134">
        <f>商品マスタ[[#This Row],[仕入
単価]]*商品マスタ[[#This Row],[標準国内送料率]]</f>
        <v>0</v>
      </c>
      <c r="R734" s="134"/>
      <c r="S734" s="134">
        <f>IF(ISBLANK(商品マスタ[[#This Row],[実績
国内送料]]),商品マスタ[[#This Row],[標準国内送料]],)</f>
        <v>0</v>
      </c>
      <c r="T734" s="134">
        <f>商品マスタ[[#This Row],[仕入
単価]]+商品マスタ[[#This Row],[国内送料]]</f>
        <v>0</v>
      </c>
      <c r="U734" s="134">
        <f>ROUNDUP(商品マスタ[[#This Row],[仕入単価+国内送料]]/0.8,-1)</f>
        <v>0</v>
      </c>
      <c r="V734" s="134">
        <f>商品マスタ[[#This Row],[海外定価
（20％）]]-商品マスタ[[#This Row],[仕入単価+国内送料]]</f>
        <v>0</v>
      </c>
      <c r="W734" s="87">
        <f>ROUNDUP(商品マスタ[[#This Row],[仕入単価+国内送料]]/0.85,-1)</f>
        <v>0</v>
      </c>
      <c r="X734" s="134">
        <f>商品マスタ[[#This Row],[国内定価
（15％）]]-商品マスタ[[#This Row],[仕入単価+国内送料]]</f>
        <v>0</v>
      </c>
      <c r="Y734" s="139"/>
      <c r="Z734" s="87"/>
      <c r="AA734" s="87"/>
      <c r="AB734" s="87"/>
      <c r="AC734" s="140"/>
      <c r="AD734" s="87"/>
      <c r="AE734" s="87"/>
      <c r="AF734" s="87"/>
      <c r="AG734" s="141"/>
    </row>
    <row r="735" spans="1:33" ht="18">
      <c r="A735" s="166"/>
      <c r="B735" s="167"/>
      <c r="C735" s="167"/>
      <c r="D735" s="143" t="str">
        <f>"PRD_SNJ_"&amp;
_xlfn.XLOOKUP(商品マスタ[[#This Row],[仕入先]],テーブル1[仕入先名],テーブル1[仕入先コード],"XXX",0,1)&amp;
"_"&amp;
商品マスタ[[#This Row],[シリアル]]&amp;
"_"&amp;
TEXT(COUNTIFS(商品マスタ!$C$3:C735,商品マスタ[[#This Row],[仕入先]],商品マスタ!$E$3:E735,商品マスタ[[#This Row],[商品名]]), "00")</f>
        <v>PRD_SNJ__0000_00</v>
      </c>
      <c r="E735" s="87"/>
      <c r="F735" s="87">
        <f>IF(COUNTIFS($C$3:C735,商品マスタ[[#This Row],[仕入先]],$E$3:E735,商品マスタ[[#This Row],[商品名]]) = 1, 1,0)</f>
        <v>0</v>
      </c>
      <c r="G735" s="133" t="str">
        <f>TEXT(SUMIF($C$3:C735,商品マスタ[[#This Row],[仕入先]],$F$3:F735), "0000")</f>
        <v>0000</v>
      </c>
      <c r="H735" s="87"/>
      <c r="I735" s="87"/>
      <c r="J735" s="87"/>
      <c r="K735" s="87"/>
      <c r="L735" s="134"/>
      <c r="M735" s="157"/>
      <c r="N735" s="134"/>
      <c r="O735" s="135" t="str">
        <f>IF(COUNT(商品マスタ[[#This Row],[参考上代
（税込)]]) &gt; 0, (商品マスタ[[#This Row],[参考上代
（税込)]]-商品マスタ[[#This Row],[国内定価
（15％）]])/(商品マスタ[[#This Row],[参考上代
（税込)]]/1.08), "")</f>
        <v/>
      </c>
      <c r="P735" s="136">
        <v>0.1</v>
      </c>
      <c r="Q735" s="134">
        <f>商品マスタ[[#This Row],[仕入
単価]]*商品マスタ[[#This Row],[標準国内送料率]]</f>
        <v>0</v>
      </c>
      <c r="R735" s="134"/>
      <c r="S735" s="134">
        <f>IF(ISBLANK(商品マスタ[[#This Row],[実績
国内送料]]),商品マスタ[[#This Row],[標準国内送料]],)</f>
        <v>0</v>
      </c>
      <c r="T735" s="134">
        <f>商品マスタ[[#This Row],[仕入
単価]]+商品マスタ[[#This Row],[国内送料]]</f>
        <v>0</v>
      </c>
      <c r="U735" s="134">
        <f>ROUNDUP(商品マスタ[[#This Row],[仕入単価+国内送料]]/0.8,-1)</f>
        <v>0</v>
      </c>
      <c r="V735" s="134">
        <f>商品マスタ[[#This Row],[海外定価
（20％）]]-商品マスタ[[#This Row],[仕入単価+国内送料]]</f>
        <v>0</v>
      </c>
      <c r="W735" s="87">
        <f>ROUNDUP(商品マスタ[[#This Row],[仕入単価+国内送料]]/0.85,-1)</f>
        <v>0</v>
      </c>
      <c r="X735" s="134">
        <f>商品マスタ[[#This Row],[国内定価
（15％）]]-商品マスタ[[#This Row],[仕入単価+国内送料]]</f>
        <v>0</v>
      </c>
      <c r="Y735" s="139"/>
      <c r="Z735" s="87"/>
      <c r="AA735" s="87"/>
      <c r="AB735" s="87"/>
      <c r="AC735" s="140"/>
      <c r="AD735" s="87"/>
      <c r="AE735" s="87"/>
      <c r="AF735" s="87"/>
      <c r="AG735" s="141"/>
    </row>
    <row r="736" spans="1:33" ht="18">
      <c r="A736" s="166"/>
      <c r="B736" s="167"/>
      <c r="C736" s="167"/>
      <c r="D736" s="143" t="str">
        <f>"PRD_SNJ_"&amp;
_xlfn.XLOOKUP(商品マスタ[[#This Row],[仕入先]],テーブル1[仕入先名],テーブル1[仕入先コード],"XXX",0,1)&amp;
"_"&amp;
商品マスタ[[#This Row],[シリアル]]&amp;
"_"&amp;
TEXT(COUNTIFS(商品マスタ!$C$3:C736,商品マスタ[[#This Row],[仕入先]],商品マスタ!$E$3:E736,商品マスタ[[#This Row],[商品名]]), "00")</f>
        <v>PRD_SNJ__0000_00</v>
      </c>
      <c r="E736" s="87"/>
      <c r="F736" s="87">
        <f>IF(COUNTIFS($C$3:C736,商品マスタ[[#This Row],[仕入先]],$E$3:E736,商品マスタ[[#This Row],[商品名]]) = 1, 1,0)</f>
        <v>0</v>
      </c>
      <c r="G736" s="133" t="str">
        <f>TEXT(SUMIF($C$3:C736,商品マスタ[[#This Row],[仕入先]],$F$3:F736), "0000")</f>
        <v>0000</v>
      </c>
      <c r="H736" s="87"/>
      <c r="I736" s="87"/>
      <c r="J736" s="87"/>
      <c r="K736" s="87"/>
      <c r="L736" s="134"/>
      <c r="M736" s="157"/>
      <c r="N736" s="134"/>
      <c r="O736" s="135" t="str">
        <f>IF(COUNT(商品マスタ[[#This Row],[参考上代
（税込)]]) &gt; 0, (商品マスタ[[#This Row],[参考上代
（税込)]]-商品マスタ[[#This Row],[国内定価
（15％）]])/(商品マスタ[[#This Row],[参考上代
（税込)]]/1.08), "")</f>
        <v/>
      </c>
      <c r="P736" s="136">
        <v>0.1</v>
      </c>
      <c r="Q736" s="134">
        <f>商品マスタ[[#This Row],[仕入
単価]]*商品マスタ[[#This Row],[標準国内送料率]]</f>
        <v>0</v>
      </c>
      <c r="R736" s="134"/>
      <c r="S736" s="134">
        <f>IF(ISBLANK(商品マスタ[[#This Row],[実績
国内送料]]),商品マスタ[[#This Row],[標準国内送料]],)</f>
        <v>0</v>
      </c>
      <c r="T736" s="134">
        <f>商品マスタ[[#This Row],[仕入
単価]]+商品マスタ[[#This Row],[国内送料]]</f>
        <v>0</v>
      </c>
      <c r="U736" s="134">
        <f>ROUNDUP(商品マスタ[[#This Row],[仕入単価+国内送料]]/0.8,-1)</f>
        <v>0</v>
      </c>
      <c r="V736" s="134">
        <f>商品マスタ[[#This Row],[海外定価
（20％）]]-商品マスタ[[#This Row],[仕入単価+国内送料]]</f>
        <v>0</v>
      </c>
      <c r="W736" s="87">
        <f>ROUNDUP(商品マスタ[[#This Row],[仕入単価+国内送料]]/0.85,-1)</f>
        <v>0</v>
      </c>
      <c r="X736" s="134">
        <f>商品マスタ[[#This Row],[国内定価
（15％）]]-商品マスタ[[#This Row],[仕入単価+国内送料]]</f>
        <v>0</v>
      </c>
      <c r="Y736" s="139"/>
      <c r="Z736" s="87"/>
      <c r="AA736" s="87"/>
      <c r="AB736" s="87"/>
      <c r="AC736" s="140"/>
      <c r="AD736" s="87"/>
      <c r="AE736" s="87"/>
      <c r="AF736" s="87"/>
      <c r="AG736" s="141"/>
    </row>
    <row r="737" spans="1:33" ht="18">
      <c r="A737" s="166"/>
      <c r="B737" s="167"/>
      <c r="C737" s="167"/>
      <c r="D737" s="143" t="str">
        <f>"PRD_SNJ_"&amp;
_xlfn.XLOOKUP(商品マスタ[[#This Row],[仕入先]],テーブル1[仕入先名],テーブル1[仕入先コード],"XXX",0,1)&amp;
"_"&amp;
商品マスタ[[#This Row],[シリアル]]&amp;
"_"&amp;
TEXT(COUNTIFS(商品マスタ!$C$3:C737,商品マスタ[[#This Row],[仕入先]],商品マスタ!$E$3:E737,商品マスタ[[#This Row],[商品名]]), "00")</f>
        <v>PRD_SNJ__0000_00</v>
      </c>
      <c r="E737" s="87"/>
      <c r="F737" s="87">
        <f>IF(COUNTIFS($C$3:C737,商品マスタ[[#This Row],[仕入先]],$E$3:E737,商品マスタ[[#This Row],[商品名]]) = 1, 1,0)</f>
        <v>0</v>
      </c>
      <c r="G737" s="133" t="str">
        <f>TEXT(SUMIF($C$3:C737,商品マスタ[[#This Row],[仕入先]],$F$3:F737), "0000")</f>
        <v>0000</v>
      </c>
      <c r="H737" s="87"/>
      <c r="I737" s="87"/>
      <c r="J737" s="87"/>
      <c r="K737" s="87"/>
      <c r="L737" s="134"/>
      <c r="M737" s="157"/>
      <c r="N737" s="134"/>
      <c r="O737" s="135" t="str">
        <f>IF(COUNT(商品マスタ[[#This Row],[参考上代
（税込)]]) &gt; 0, (商品マスタ[[#This Row],[参考上代
（税込)]]-商品マスタ[[#This Row],[国内定価
（15％）]])/(商品マスタ[[#This Row],[参考上代
（税込)]]/1.08), "")</f>
        <v/>
      </c>
      <c r="P737" s="136">
        <v>0.1</v>
      </c>
      <c r="Q737" s="134">
        <f>商品マスタ[[#This Row],[仕入
単価]]*商品マスタ[[#This Row],[標準国内送料率]]</f>
        <v>0</v>
      </c>
      <c r="R737" s="134"/>
      <c r="S737" s="134">
        <f>IF(ISBLANK(商品マスタ[[#This Row],[実績
国内送料]]),商品マスタ[[#This Row],[標準国内送料]],)</f>
        <v>0</v>
      </c>
      <c r="T737" s="134">
        <f>商品マスタ[[#This Row],[仕入
単価]]+商品マスタ[[#This Row],[国内送料]]</f>
        <v>0</v>
      </c>
      <c r="U737" s="134">
        <f>ROUNDUP(商品マスタ[[#This Row],[仕入単価+国内送料]]/0.8,-1)</f>
        <v>0</v>
      </c>
      <c r="V737" s="134">
        <f>商品マスタ[[#This Row],[海外定価
（20％）]]-商品マスタ[[#This Row],[仕入単価+国内送料]]</f>
        <v>0</v>
      </c>
      <c r="W737" s="87">
        <f>ROUNDUP(商品マスタ[[#This Row],[仕入単価+国内送料]]/0.85,-1)</f>
        <v>0</v>
      </c>
      <c r="X737" s="134">
        <f>商品マスタ[[#This Row],[国内定価
（15％）]]-商品マスタ[[#This Row],[仕入単価+国内送料]]</f>
        <v>0</v>
      </c>
      <c r="Y737" s="139"/>
      <c r="Z737" s="87"/>
      <c r="AA737" s="87"/>
      <c r="AB737" s="87"/>
      <c r="AC737" s="140"/>
      <c r="AD737" s="87"/>
      <c r="AE737" s="87"/>
      <c r="AF737" s="87"/>
      <c r="AG737" s="141"/>
    </row>
    <row r="738" spans="1:33" ht="18">
      <c r="A738" s="166"/>
      <c r="B738" s="167"/>
      <c r="C738" s="167"/>
      <c r="D738" s="143" t="str">
        <f>"PRD_SNJ_"&amp;
_xlfn.XLOOKUP(商品マスタ[[#This Row],[仕入先]],テーブル1[仕入先名],テーブル1[仕入先コード],"XXX",0,1)&amp;
"_"&amp;
商品マスタ[[#This Row],[シリアル]]&amp;
"_"&amp;
TEXT(COUNTIFS(商品マスタ!$C$3:C738,商品マスタ[[#This Row],[仕入先]],商品マスタ!$E$3:E738,商品マスタ[[#This Row],[商品名]]), "00")</f>
        <v>PRD_SNJ__0000_00</v>
      </c>
      <c r="E738" s="87"/>
      <c r="F738" s="87">
        <f>IF(COUNTIFS($C$3:C738,商品マスタ[[#This Row],[仕入先]],$E$3:E738,商品マスタ[[#This Row],[商品名]]) = 1, 1,0)</f>
        <v>0</v>
      </c>
      <c r="G738" s="133" t="str">
        <f>TEXT(SUMIF($C$3:C738,商品マスタ[[#This Row],[仕入先]],$F$3:F738), "0000")</f>
        <v>0000</v>
      </c>
      <c r="H738" s="87"/>
      <c r="I738" s="87"/>
      <c r="J738" s="87"/>
      <c r="K738" s="87"/>
      <c r="L738" s="134"/>
      <c r="M738" s="157"/>
      <c r="N738" s="134"/>
      <c r="O738" s="135" t="str">
        <f>IF(COUNT(商品マスタ[[#This Row],[参考上代
（税込)]]) &gt; 0, (商品マスタ[[#This Row],[参考上代
（税込)]]-商品マスタ[[#This Row],[国内定価
（15％）]])/(商品マスタ[[#This Row],[参考上代
（税込)]]/1.08), "")</f>
        <v/>
      </c>
      <c r="P738" s="136">
        <v>0.1</v>
      </c>
      <c r="Q738" s="134">
        <f>商品マスタ[[#This Row],[仕入
単価]]*商品マスタ[[#This Row],[標準国内送料率]]</f>
        <v>0</v>
      </c>
      <c r="R738" s="134"/>
      <c r="S738" s="134">
        <f>IF(ISBLANK(商品マスタ[[#This Row],[実績
国内送料]]),商品マスタ[[#This Row],[標準国内送料]],)</f>
        <v>0</v>
      </c>
      <c r="T738" s="134">
        <f>商品マスタ[[#This Row],[仕入
単価]]+商品マスタ[[#This Row],[国内送料]]</f>
        <v>0</v>
      </c>
      <c r="U738" s="134">
        <f>ROUNDUP(商品マスタ[[#This Row],[仕入単価+国内送料]]/0.8,-1)</f>
        <v>0</v>
      </c>
      <c r="V738" s="134">
        <f>商品マスタ[[#This Row],[海外定価
（20％）]]-商品マスタ[[#This Row],[仕入単価+国内送料]]</f>
        <v>0</v>
      </c>
      <c r="W738" s="87">
        <f>ROUNDUP(商品マスタ[[#This Row],[仕入単価+国内送料]]/0.85,-1)</f>
        <v>0</v>
      </c>
      <c r="X738" s="134">
        <f>商品マスタ[[#This Row],[国内定価
（15％）]]-商品マスタ[[#This Row],[仕入単価+国内送料]]</f>
        <v>0</v>
      </c>
      <c r="Y738" s="139"/>
      <c r="Z738" s="87"/>
      <c r="AA738" s="87"/>
      <c r="AB738" s="87"/>
      <c r="AC738" s="140"/>
      <c r="AD738" s="87"/>
      <c r="AE738" s="87"/>
      <c r="AF738" s="87"/>
      <c r="AG738" s="141"/>
    </row>
    <row r="739" spans="1:33" ht="18">
      <c r="A739" s="166"/>
      <c r="B739" s="167"/>
      <c r="C739" s="167"/>
      <c r="D739" s="143" t="str">
        <f>"PRD_SNJ_"&amp;
_xlfn.XLOOKUP(商品マスタ[[#This Row],[仕入先]],テーブル1[仕入先名],テーブル1[仕入先コード],"XXX",0,1)&amp;
"_"&amp;
商品マスタ[[#This Row],[シリアル]]&amp;
"_"&amp;
TEXT(COUNTIFS(商品マスタ!$C$3:C739,商品マスタ[[#This Row],[仕入先]],商品マスタ!$E$3:E739,商品マスタ[[#This Row],[商品名]]), "00")</f>
        <v>PRD_SNJ__0000_00</v>
      </c>
      <c r="E739" s="87"/>
      <c r="F739" s="87">
        <f>IF(COUNTIFS($C$3:C739,商品マスタ[[#This Row],[仕入先]],$E$3:E739,商品マスタ[[#This Row],[商品名]]) = 1, 1,0)</f>
        <v>0</v>
      </c>
      <c r="G739" s="133" t="str">
        <f>TEXT(SUMIF($C$3:C739,商品マスタ[[#This Row],[仕入先]],$F$3:F739), "0000")</f>
        <v>0000</v>
      </c>
      <c r="H739" s="87"/>
      <c r="I739" s="87"/>
      <c r="J739" s="87"/>
      <c r="K739" s="87"/>
      <c r="L739" s="134"/>
      <c r="M739" s="157"/>
      <c r="N739" s="134"/>
      <c r="O739" s="135" t="str">
        <f>IF(COUNT(商品マスタ[[#This Row],[参考上代
（税込)]]) &gt; 0, (商品マスタ[[#This Row],[参考上代
（税込)]]-商品マスタ[[#This Row],[国内定価
（15％）]])/(商品マスタ[[#This Row],[参考上代
（税込)]]/1.08), "")</f>
        <v/>
      </c>
      <c r="P739" s="136">
        <v>0.1</v>
      </c>
      <c r="Q739" s="134">
        <f>商品マスタ[[#This Row],[仕入
単価]]*商品マスタ[[#This Row],[標準国内送料率]]</f>
        <v>0</v>
      </c>
      <c r="R739" s="134"/>
      <c r="S739" s="134">
        <f>IF(ISBLANK(商品マスタ[[#This Row],[実績
国内送料]]),商品マスタ[[#This Row],[標準国内送料]],)</f>
        <v>0</v>
      </c>
      <c r="T739" s="134">
        <f>商品マスタ[[#This Row],[仕入
単価]]+商品マスタ[[#This Row],[国内送料]]</f>
        <v>0</v>
      </c>
      <c r="U739" s="134">
        <f>ROUNDUP(商品マスタ[[#This Row],[仕入単価+国内送料]]/0.8,-1)</f>
        <v>0</v>
      </c>
      <c r="V739" s="134">
        <f>商品マスタ[[#This Row],[海外定価
（20％）]]-商品マスタ[[#This Row],[仕入単価+国内送料]]</f>
        <v>0</v>
      </c>
      <c r="W739" s="87">
        <f>ROUNDUP(商品マスタ[[#This Row],[仕入単価+国内送料]]/0.85,-1)</f>
        <v>0</v>
      </c>
      <c r="X739" s="134">
        <f>商品マスタ[[#This Row],[国内定価
（15％）]]-商品マスタ[[#This Row],[仕入単価+国内送料]]</f>
        <v>0</v>
      </c>
      <c r="Y739" s="139"/>
      <c r="Z739" s="87"/>
      <c r="AA739" s="87"/>
      <c r="AB739" s="87"/>
      <c r="AC739" s="140"/>
      <c r="AD739" s="87"/>
      <c r="AE739" s="87"/>
      <c r="AF739" s="87"/>
      <c r="AG739" s="141"/>
    </row>
    <row r="740" spans="1:33" ht="18">
      <c r="A740" s="166"/>
      <c r="B740" s="167"/>
      <c r="C740" s="167"/>
      <c r="D740" s="143" t="str">
        <f>"PRD_SNJ_"&amp;
_xlfn.XLOOKUP(商品マスタ[[#This Row],[仕入先]],テーブル1[仕入先名],テーブル1[仕入先コード],"XXX",0,1)&amp;
"_"&amp;
商品マスタ[[#This Row],[シリアル]]&amp;
"_"&amp;
TEXT(COUNTIFS(商品マスタ!$C$3:C740,商品マスタ[[#This Row],[仕入先]],商品マスタ!$E$3:E740,商品マスタ[[#This Row],[商品名]]), "00")</f>
        <v>PRD_SNJ__0000_00</v>
      </c>
      <c r="E740" s="87"/>
      <c r="F740" s="87">
        <f>IF(COUNTIFS($C$3:C740,商品マスタ[[#This Row],[仕入先]],$E$3:E740,商品マスタ[[#This Row],[商品名]]) = 1, 1,0)</f>
        <v>0</v>
      </c>
      <c r="G740" s="133" t="str">
        <f>TEXT(SUMIF($C$3:C740,商品マスタ[[#This Row],[仕入先]],$F$3:F740), "0000")</f>
        <v>0000</v>
      </c>
      <c r="H740" s="87"/>
      <c r="I740" s="87"/>
      <c r="J740" s="87"/>
      <c r="K740" s="87"/>
      <c r="L740" s="134"/>
      <c r="M740" s="157"/>
      <c r="N740" s="134"/>
      <c r="O740" s="135" t="str">
        <f>IF(COUNT(商品マスタ[[#This Row],[参考上代
（税込)]]) &gt; 0, (商品マスタ[[#This Row],[参考上代
（税込)]]-商品マスタ[[#This Row],[国内定価
（15％）]])/(商品マスタ[[#This Row],[参考上代
（税込)]]/1.08), "")</f>
        <v/>
      </c>
      <c r="P740" s="136">
        <v>0.1</v>
      </c>
      <c r="Q740" s="134">
        <f>商品マスタ[[#This Row],[仕入
単価]]*商品マスタ[[#This Row],[標準国内送料率]]</f>
        <v>0</v>
      </c>
      <c r="R740" s="134"/>
      <c r="S740" s="134">
        <f>IF(ISBLANK(商品マスタ[[#This Row],[実績
国内送料]]),商品マスタ[[#This Row],[標準国内送料]],)</f>
        <v>0</v>
      </c>
      <c r="T740" s="134">
        <f>商品マスタ[[#This Row],[仕入
単価]]+商品マスタ[[#This Row],[国内送料]]</f>
        <v>0</v>
      </c>
      <c r="U740" s="134">
        <f>ROUNDUP(商品マスタ[[#This Row],[仕入単価+国内送料]]/0.8,-1)</f>
        <v>0</v>
      </c>
      <c r="V740" s="134">
        <f>商品マスタ[[#This Row],[海外定価
（20％）]]-商品マスタ[[#This Row],[仕入単価+国内送料]]</f>
        <v>0</v>
      </c>
      <c r="W740" s="87">
        <f>ROUNDUP(商品マスタ[[#This Row],[仕入単価+国内送料]]/0.85,-1)</f>
        <v>0</v>
      </c>
      <c r="X740" s="134">
        <f>商品マスタ[[#This Row],[国内定価
（15％）]]-商品マスタ[[#This Row],[仕入単価+国内送料]]</f>
        <v>0</v>
      </c>
      <c r="Y740" s="139"/>
      <c r="Z740" s="87"/>
      <c r="AA740" s="87"/>
      <c r="AB740" s="87"/>
      <c r="AC740" s="140"/>
      <c r="AD740" s="87"/>
      <c r="AE740" s="87"/>
      <c r="AF740" s="87"/>
      <c r="AG740" s="141"/>
    </row>
    <row r="741" spans="1:33" ht="18">
      <c r="A741" s="166"/>
      <c r="B741" s="167"/>
      <c r="C741" s="167"/>
      <c r="D741" s="143" t="str">
        <f>"PRD_SNJ_"&amp;
_xlfn.XLOOKUP(商品マスタ[[#This Row],[仕入先]],テーブル1[仕入先名],テーブル1[仕入先コード],"XXX",0,1)&amp;
"_"&amp;
商品マスタ[[#This Row],[シリアル]]&amp;
"_"&amp;
TEXT(COUNTIFS(商品マスタ!$C$3:C741,商品マスタ[[#This Row],[仕入先]],商品マスタ!$E$3:E741,商品マスタ[[#This Row],[商品名]]), "00")</f>
        <v>PRD_SNJ__0000_00</v>
      </c>
      <c r="E741" s="87"/>
      <c r="F741" s="87">
        <f>IF(COUNTIFS($C$3:C741,商品マスタ[[#This Row],[仕入先]],$E$3:E741,商品マスタ[[#This Row],[商品名]]) = 1, 1,0)</f>
        <v>0</v>
      </c>
      <c r="G741" s="133" t="str">
        <f>TEXT(SUMIF($C$3:C741,商品マスタ[[#This Row],[仕入先]],$F$3:F741), "0000")</f>
        <v>0000</v>
      </c>
      <c r="H741" s="87"/>
      <c r="I741" s="87"/>
      <c r="J741" s="87"/>
      <c r="K741" s="87"/>
      <c r="L741" s="134"/>
      <c r="M741" s="157"/>
      <c r="N741" s="134"/>
      <c r="O741" s="135" t="str">
        <f>IF(COUNT(商品マスタ[[#This Row],[参考上代
（税込)]]) &gt; 0, (商品マスタ[[#This Row],[参考上代
（税込)]]-商品マスタ[[#This Row],[国内定価
（15％）]])/(商品マスタ[[#This Row],[参考上代
（税込)]]/1.08), "")</f>
        <v/>
      </c>
      <c r="P741" s="136">
        <v>0.1</v>
      </c>
      <c r="Q741" s="134">
        <f>商品マスタ[[#This Row],[仕入
単価]]*商品マスタ[[#This Row],[標準国内送料率]]</f>
        <v>0</v>
      </c>
      <c r="R741" s="134"/>
      <c r="S741" s="134">
        <f>IF(ISBLANK(商品マスタ[[#This Row],[実績
国内送料]]),商品マスタ[[#This Row],[標準国内送料]],)</f>
        <v>0</v>
      </c>
      <c r="T741" s="134">
        <f>商品マスタ[[#This Row],[仕入
単価]]+商品マスタ[[#This Row],[国内送料]]</f>
        <v>0</v>
      </c>
      <c r="U741" s="134">
        <f>ROUNDUP(商品マスタ[[#This Row],[仕入単価+国内送料]]/0.8,-1)</f>
        <v>0</v>
      </c>
      <c r="V741" s="134">
        <f>商品マスタ[[#This Row],[海外定価
（20％）]]-商品マスタ[[#This Row],[仕入単価+国内送料]]</f>
        <v>0</v>
      </c>
      <c r="W741" s="87">
        <f>ROUNDUP(商品マスタ[[#This Row],[仕入単価+国内送料]]/0.85,-1)</f>
        <v>0</v>
      </c>
      <c r="X741" s="134">
        <f>商品マスタ[[#This Row],[国内定価
（15％）]]-商品マスタ[[#This Row],[仕入単価+国内送料]]</f>
        <v>0</v>
      </c>
      <c r="Y741" s="139"/>
      <c r="Z741" s="87"/>
      <c r="AA741" s="87"/>
      <c r="AB741" s="87"/>
      <c r="AC741" s="140"/>
      <c r="AD741" s="87"/>
      <c r="AE741" s="87"/>
      <c r="AF741" s="87"/>
      <c r="AG741" s="141"/>
    </row>
    <row r="742" spans="1:33" ht="18">
      <c r="A742" s="166"/>
      <c r="B742" s="167"/>
      <c r="C742" s="167"/>
      <c r="D742" s="143" t="str">
        <f>"PRD_SNJ_"&amp;
_xlfn.XLOOKUP(商品マスタ[[#This Row],[仕入先]],テーブル1[仕入先名],テーブル1[仕入先コード],"XXX",0,1)&amp;
"_"&amp;
商品マスタ[[#This Row],[シリアル]]&amp;
"_"&amp;
TEXT(COUNTIFS(商品マスタ!$C$3:C742,商品マスタ[[#This Row],[仕入先]],商品マスタ!$E$3:E742,商品マスタ[[#This Row],[商品名]]), "00")</f>
        <v>PRD_SNJ__0000_00</v>
      </c>
      <c r="E742" s="87"/>
      <c r="F742" s="87">
        <f>IF(COUNTIFS($C$3:C742,商品マスタ[[#This Row],[仕入先]],$E$3:E742,商品マスタ[[#This Row],[商品名]]) = 1, 1,0)</f>
        <v>0</v>
      </c>
      <c r="G742" s="133" t="str">
        <f>TEXT(SUMIF($C$3:C742,商品マスタ[[#This Row],[仕入先]],$F$3:F742), "0000")</f>
        <v>0000</v>
      </c>
      <c r="H742" s="87"/>
      <c r="I742" s="87"/>
      <c r="J742" s="87"/>
      <c r="K742" s="87"/>
      <c r="L742" s="134"/>
      <c r="M742" s="157"/>
      <c r="N742" s="134"/>
      <c r="O742" s="135" t="str">
        <f>IF(COUNT(商品マスタ[[#This Row],[参考上代
（税込)]]) &gt; 0, (商品マスタ[[#This Row],[参考上代
（税込)]]-商品マスタ[[#This Row],[国内定価
（15％）]])/(商品マスタ[[#This Row],[参考上代
（税込)]]/1.08), "")</f>
        <v/>
      </c>
      <c r="P742" s="136">
        <v>0.1</v>
      </c>
      <c r="Q742" s="134">
        <f>商品マスタ[[#This Row],[仕入
単価]]*商品マスタ[[#This Row],[標準国内送料率]]</f>
        <v>0</v>
      </c>
      <c r="R742" s="134"/>
      <c r="S742" s="134">
        <f>IF(ISBLANK(商品マスタ[[#This Row],[実績
国内送料]]),商品マスタ[[#This Row],[標準国内送料]],)</f>
        <v>0</v>
      </c>
      <c r="T742" s="134">
        <f>商品マスタ[[#This Row],[仕入
単価]]+商品マスタ[[#This Row],[国内送料]]</f>
        <v>0</v>
      </c>
      <c r="U742" s="134">
        <f>ROUNDUP(商品マスタ[[#This Row],[仕入単価+国内送料]]/0.8,-1)</f>
        <v>0</v>
      </c>
      <c r="V742" s="134">
        <f>商品マスタ[[#This Row],[海外定価
（20％）]]-商品マスタ[[#This Row],[仕入単価+国内送料]]</f>
        <v>0</v>
      </c>
      <c r="W742" s="87">
        <f>ROUNDUP(商品マスタ[[#This Row],[仕入単価+国内送料]]/0.85,-1)</f>
        <v>0</v>
      </c>
      <c r="X742" s="134">
        <f>商品マスタ[[#This Row],[国内定価
（15％）]]-商品マスタ[[#This Row],[仕入単価+国内送料]]</f>
        <v>0</v>
      </c>
      <c r="Y742" s="139"/>
      <c r="Z742" s="87"/>
      <c r="AA742" s="87"/>
      <c r="AB742" s="87"/>
      <c r="AC742" s="140"/>
      <c r="AD742" s="87"/>
      <c r="AE742" s="87"/>
      <c r="AF742" s="87"/>
      <c r="AG742" s="141"/>
    </row>
    <row r="743" spans="1:33" ht="18">
      <c r="A743" s="166"/>
      <c r="B743" s="167"/>
      <c r="C743" s="167"/>
      <c r="D743" s="143" t="str">
        <f>"PRD_SNJ_"&amp;
_xlfn.XLOOKUP(商品マスタ[[#This Row],[仕入先]],テーブル1[仕入先名],テーブル1[仕入先コード],"XXX",0,1)&amp;
"_"&amp;
商品マスタ[[#This Row],[シリアル]]&amp;
"_"&amp;
TEXT(COUNTIFS(商品マスタ!$C$3:C743,商品マスタ[[#This Row],[仕入先]],商品マスタ!$E$3:E743,商品マスタ[[#This Row],[商品名]]), "00")</f>
        <v>PRD_SNJ__0000_00</v>
      </c>
      <c r="E743" s="87"/>
      <c r="F743" s="87">
        <f>IF(COUNTIFS($C$3:C743,商品マスタ[[#This Row],[仕入先]],$E$3:E743,商品マスタ[[#This Row],[商品名]]) = 1, 1,0)</f>
        <v>0</v>
      </c>
      <c r="G743" s="133" t="str">
        <f>TEXT(SUMIF($C$3:C743,商品マスタ[[#This Row],[仕入先]],$F$3:F743), "0000")</f>
        <v>0000</v>
      </c>
      <c r="H743" s="87"/>
      <c r="I743" s="87"/>
      <c r="J743" s="87"/>
      <c r="K743" s="87"/>
      <c r="L743" s="134"/>
      <c r="M743" s="157"/>
      <c r="N743" s="134"/>
      <c r="O743" s="135" t="str">
        <f>IF(COUNT(商品マスタ[[#This Row],[参考上代
（税込)]]) &gt; 0, (商品マスタ[[#This Row],[参考上代
（税込)]]-商品マスタ[[#This Row],[国内定価
（15％）]])/(商品マスタ[[#This Row],[参考上代
（税込)]]/1.08), "")</f>
        <v/>
      </c>
      <c r="P743" s="136">
        <v>0.1</v>
      </c>
      <c r="Q743" s="134">
        <f>商品マスタ[[#This Row],[仕入
単価]]*商品マスタ[[#This Row],[標準国内送料率]]</f>
        <v>0</v>
      </c>
      <c r="R743" s="134"/>
      <c r="S743" s="134">
        <f>IF(ISBLANK(商品マスタ[[#This Row],[実績
国内送料]]),商品マスタ[[#This Row],[標準国内送料]],)</f>
        <v>0</v>
      </c>
      <c r="T743" s="134">
        <f>商品マスタ[[#This Row],[仕入
単価]]+商品マスタ[[#This Row],[国内送料]]</f>
        <v>0</v>
      </c>
      <c r="U743" s="134">
        <f>ROUNDUP(商品マスタ[[#This Row],[仕入単価+国内送料]]/0.8,-1)</f>
        <v>0</v>
      </c>
      <c r="V743" s="134">
        <f>商品マスタ[[#This Row],[海外定価
（20％）]]-商品マスタ[[#This Row],[仕入単価+国内送料]]</f>
        <v>0</v>
      </c>
      <c r="W743" s="87">
        <f>ROUNDUP(商品マスタ[[#This Row],[仕入単価+国内送料]]/0.85,-1)</f>
        <v>0</v>
      </c>
      <c r="X743" s="134">
        <f>商品マスタ[[#This Row],[国内定価
（15％）]]-商品マスタ[[#This Row],[仕入単価+国内送料]]</f>
        <v>0</v>
      </c>
      <c r="Y743" s="139"/>
      <c r="Z743" s="87"/>
      <c r="AA743" s="87"/>
      <c r="AB743" s="87"/>
      <c r="AC743" s="140"/>
      <c r="AD743" s="87"/>
      <c r="AE743" s="87"/>
      <c r="AF743" s="87"/>
      <c r="AG743" s="141"/>
    </row>
    <row r="744" spans="1:33" ht="18">
      <c r="A744" s="166"/>
      <c r="B744" s="167"/>
      <c r="C744" s="167"/>
      <c r="D744" s="143" t="str">
        <f>"PRD_SNJ_"&amp;
_xlfn.XLOOKUP(商品マスタ[[#This Row],[仕入先]],テーブル1[仕入先名],テーブル1[仕入先コード],"XXX",0,1)&amp;
"_"&amp;
商品マスタ[[#This Row],[シリアル]]&amp;
"_"&amp;
TEXT(COUNTIFS(商品マスタ!$C$3:C744,商品マスタ[[#This Row],[仕入先]],商品マスタ!$E$3:E744,商品マスタ[[#This Row],[商品名]]), "00")</f>
        <v>PRD_SNJ__0000_00</v>
      </c>
      <c r="E744" s="87"/>
      <c r="F744" s="87">
        <f>IF(COUNTIFS($C$3:C744,商品マスタ[[#This Row],[仕入先]],$E$3:E744,商品マスタ[[#This Row],[商品名]]) = 1, 1,0)</f>
        <v>0</v>
      </c>
      <c r="G744" s="133" t="str">
        <f>TEXT(SUMIF($C$3:C744,商品マスタ[[#This Row],[仕入先]],$F$3:F744), "0000")</f>
        <v>0000</v>
      </c>
      <c r="H744" s="87"/>
      <c r="I744" s="87"/>
      <c r="J744" s="87"/>
      <c r="K744" s="87"/>
      <c r="L744" s="134"/>
      <c r="M744" s="157"/>
      <c r="N744" s="134"/>
      <c r="O744" s="135" t="str">
        <f>IF(COUNT(商品マスタ[[#This Row],[参考上代
（税込)]]) &gt; 0, (商品マスタ[[#This Row],[参考上代
（税込)]]-商品マスタ[[#This Row],[国内定価
（15％）]])/(商品マスタ[[#This Row],[参考上代
（税込)]]/1.08), "")</f>
        <v/>
      </c>
      <c r="P744" s="136">
        <v>0.1</v>
      </c>
      <c r="Q744" s="134">
        <f>商品マスタ[[#This Row],[仕入
単価]]*商品マスタ[[#This Row],[標準国内送料率]]</f>
        <v>0</v>
      </c>
      <c r="R744" s="134"/>
      <c r="S744" s="134">
        <f>IF(ISBLANK(商品マスタ[[#This Row],[実績
国内送料]]),商品マスタ[[#This Row],[標準国内送料]],)</f>
        <v>0</v>
      </c>
      <c r="T744" s="134">
        <f>商品マスタ[[#This Row],[仕入
単価]]+商品マスタ[[#This Row],[国内送料]]</f>
        <v>0</v>
      </c>
      <c r="U744" s="134">
        <f>ROUNDUP(商品マスタ[[#This Row],[仕入単価+国内送料]]/0.8,-1)</f>
        <v>0</v>
      </c>
      <c r="V744" s="134">
        <f>商品マスタ[[#This Row],[海外定価
（20％）]]-商品マスタ[[#This Row],[仕入単価+国内送料]]</f>
        <v>0</v>
      </c>
      <c r="W744" s="87">
        <f>ROUNDUP(商品マスタ[[#This Row],[仕入単価+国内送料]]/0.85,-1)</f>
        <v>0</v>
      </c>
      <c r="X744" s="134">
        <f>商品マスタ[[#This Row],[国内定価
（15％）]]-商品マスタ[[#This Row],[仕入単価+国内送料]]</f>
        <v>0</v>
      </c>
      <c r="Y744" s="139"/>
      <c r="Z744" s="87"/>
      <c r="AA744" s="87"/>
      <c r="AB744" s="87"/>
      <c r="AC744" s="140"/>
      <c r="AD744" s="87"/>
      <c r="AE744" s="87"/>
      <c r="AF744" s="87"/>
      <c r="AG744" s="141"/>
    </row>
    <row r="745" spans="1:33" ht="18">
      <c r="A745" s="166"/>
      <c r="B745" s="167"/>
      <c r="C745" s="167"/>
      <c r="D745" s="143" t="str">
        <f>"PRD_SNJ_"&amp;
_xlfn.XLOOKUP(商品マスタ[[#This Row],[仕入先]],テーブル1[仕入先名],テーブル1[仕入先コード],"XXX",0,1)&amp;
"_"&amp;
商品マスタ[[#This Row],[シリアル]]&amp;
"_"&amp;
TEXT(COUNTIFS(商品マスタ!$C$3:C745,商品マスタ[[#This Row],[仕入先]],商品マスタ!$E$3:E745,商品マスタ[[#This Row],[商品名]]), "00")</f>
        <v>PRD_SNJ__0000_00</v>
      </c>
      <c r="E745" s="87"/>
      <c r="F745" s="87">
        <f>IF(COUNTIFS($C$3:C745,商品マスタ[[#This Row],[仕入先]],$E$3:E745,商品マスタ[[#This Row],[商品名]]) = 1, 1,0)</f>
        <v>0</v>
      </c>
      <c r="G745" s="133" t="str">
        <f>TEXT(SUMIF($C$3:C745,商品マスタ[[#This Row],[仕入先]],$F$3:F745), "0000")</f>
        <v>0000</v>
      </c>
      <c r="H745" s="87"/>
      <c r="I745" s="87"/>
      <c r="J745" s="87"/>
      <c r="K745" s="87"/>
      <c r="L745" s="134"/>
      <c r="M745" s="157"/>
      <c r="N745" s="134"/>
      <c r="O745" s="135" t="str">
        <f>IF(COUNT(商品マスタ[[#This Row],[参考上代
（税込)]]) &gt; 0, (商品マスタ[[#This Row],[参考上代
（税込)]]-商品マスタ[[#This Row],[国内定価
（15％）]])/(商品マスタ[[#This Row],[参考上代
（税込)]]/1.08), "")</f>
        <v/>
      </c>
      <c r="P745" s="136">
        <v>0.1</v>
      </c>
      <c r="Q745" s="134">
        <f>商品マスタ[[#This Row],[仕入
単価]]*商品マスタ[[#This Row],[標準国内送料率]]</f>
        <v>0</v>
      </c>
      <c r="R745" s="134"/>
      <c r="S745" s="134">
        <f>IF(ISBLANK(商品マスタ[[#This Row],[実績
国内送料]]),商品マスタ[[#This Row],[標準国内送料]],)</f>
        <v>0</v>
      </c>
      <c r="T745" s="134">
        <f>商品マスタ[[#This Row],[仕入
単価]]+商品マスタ[[#This Row],[国内送料]]</f>
        <v>0</v>
      </c>
      <c r="U745" s="134">
        <f>ROUNDUP(商品マスタ[[#This Row],[仕入単価+国内送料]]/0.8,-1)</f>
        <v>0</v>
      </c>
      <c r="V745" s="134">
        <f>商品マスタ[[#This Row],[海外定価
（20％）]]-商品マスタ[[#This Row],[仕入単価+国内送料]]</f>
        <v>0</v>
      </c>
      <c r="W745" s="87">
        <f>ROUNDUP(商品マスタ[[#This Row],[仕入単価+国内送料]]/0.85,-1)</f>
        <v>0</v>
      </c>
      <c r="X745" s="134">
        <f>商品マスタ[[#This Row],[国内定価
（15％）]]-商品マスタ[[#This Row],[仕入単価+国内送料]]</f>
        <v>0</v>
      </c>
      <c r="Y745" s="139"/>
      <c r="Z745" s="87"/>
      <c r="AA745" s="87"/>
      <c r="AB745" s="87"/>
      <c r="AC745" s="140"/>
      <c r="AD745" s="87"/>
      <c r="AE745" s="87"/>
      <c r="AF745" s="87"/>
      <c r="AG745" s="141"/>
    </row>
    <row r="746" spans="1:33" ht="18">
      <c r="A746" s="166"/>
      <c r="B746" s="167"/>
      <c r="C746" s="167"/>
      <c r="D746" s="143" t="str">
        <f>"PRD_SNJ_"&amp;
_xlfn.XLOOKUP(商品マスタ[[#This Row],[仕入先]],テーブル1[仕入先名],テーブル1[仕入先コード],"XXX",0,1)&amp;
"_"&amp;
商品マスタ[[#This Row],[シリアル]]&amp;
"_"&amp;
TEXT(COUNTIFS(商品マスタ!$C$3:C746,商品マスタ[[#This Row],[仕入先]],商品マスタ!$E$3:E746,商品マスタ[[#This Row],[商品名]]), "00")</f>
        <v>PRD_SNJ__0000_00</v>
      </c>
      <c r="E746" s="87"/>
      <c r="F746" s="87">
        <f>IF(COUNTIFS($C$3:C746,商品マスタ[[#This Row],[仕入先]],$E$3:E746,商品マスタ[[#This Row],[商品名]]) = 1, 1,0)</f>
        <v>0</v>
      </c>
      <c r="G746" s="133" t="str">
        <f>TEXT(SUMIF($C$3:C746,商品マスタ[[#This Row],[仕入先]],$F$3:F746), "0000")</f>
        <v>0000</v>
      </c>
      <c r="H746" s="87"/>
      <c r="I746" s="87"/>
      <c r="J746" s="87"/>
      <c r="K746" s="87"/>
      <c r="L746" s="134"/>
      <c r="M746" s="157"/>
      <c r="N746" s="134"/>
      <c r="O746" s="135" t="str">
        <f>IF(COUNT(商品マスタ[[#This Row],[参考上代
（税込)]]) &gt; 0, (商品マスタ[[#This Row],[参考上代
（税込)]]-商品マスタ[[#This Row],[国内定価
（15％）]])/(商品マスタ[[#This Row],[参考上代
（税込)]]/1.08), "")</f>
        <v/>
      </c>
      <c r="P746" s="136">
        <v>0.1</v>
      </c>
      <c r="Q746" s="134">
        <f>商品マスタ[[#This Row],[仕入
単価]]*商品マスタ[[#This Row],[標準国内送料率]]</f>
        <v>0</v>
      </c>
      <c r="R746" s="134"/>
      <c r="S746" s="134">
        <f>IF(ISBLANK(商品マスタ[[#This Row],[実績
国内送料]]),商品マスタ[[#This Row],[標準国内送料]],)</f>
        <v>0</v>
      </c>
      <c r="T746" s="134">
        <f>商品マスタ[[#This Row],[仕入
単価]]+商品マスタ[[#This Row],[国内送料]]</f>
        <v>0</v>
      </c>
      <c r="U746" s="134">
        <f>ROUNDUP(商品マスタ[[#This Row],[仕入単価+国内送料]]/0.8,-1)</f>
        <v>0</v>
      </c>
      <c r="V746" s="134">
        <f>商品マスタ[[#This Row],[海外定価
（20％）]]-商品マスタ[[#This Row],[仕入単価+国内送料]]</f>
        <v>0</v>
      </c>
      <c r="W746" s="87">
        <f>ROUNDUP(商品マスタ[[#This Row],[仕入単価+国内送料]]/0.85,-1)</f>
        <v>0</v>
      </c>
      <c r="X746" s="134">
        <f>商品マスタ[[#This Row],[国内定価
（15％）]]-商品マスタ[[#This Row],[仕入単価+国内送料]]</f>
        <v>0</v>
      </c>
      <c r="Y746" s="139"/>
      <c r="Z746" s="87"/>
      <c r="AA746" s="87"/>
      <c r="AB746" s="87"/>
      <c r="AC746" s="140"/>
      <c r="AD746" s="87"/>
      <c r="AE746" s="87"/>
      <c r="AF746" s="87"/>
      <c r="AG746" s="141"/>
    </row>
    <row r="747" spans="1:33" ht="18">
      <c r="A747" s="166"/>
      <c r="B747" s="167"/>
      <c r="C747" s="167"/>
      <c r="D747" s="143" t="str">
        <f>"PRD_SNJ_"&amp;
_xlfn.XLOOKUP(商品マスタ[[#This Row],[仕入先]],テーブル1[仕入先名],テーブル1[仕入先コード],"XXX",0,1)&amp;
"_"&amp;
商品マスタ[[#This Row],[シリアル]]&amp;
"_"&amp;
TEXT(COUNTIFS(商品マスタ!$C$3:C747,商品マスタ[[#This Row],[仕入先]],商品マスタ!$E$3:E747,商品マスタ[[#This Row],[商品名]]), "00")</f>
        <v>PRD_SNJ__0000_00</v>
      </c>
      <c r="E747" s="87"/>
      <c r="F747" s="87">
        <f>IF(COUNTIFS($C$3:C747,商品マスタ[[#This Row],[仕入先]],$E$3:E747,商品マスタ[[#This Row],[商品名]]) = 1, 1,0)</f>
        <v>0</v>
      </c>
      <c r="G747" s="133" t="str">
        <f>TEXT(SUMIF($C$3:C747,商品マスタ[[#This Row],[仕入先]],$F$3:F747), "0000")</f>
        <v>0000</v>
      </c>
      <c r="H747" s="87"/>
      <c r="I747" s="87"/>
      <c r="J747" s="87"/>
      <c r="K747" s="87"/>
      <c r="L747" s="134"/>
      <c r="M747" s="157"/>
      <c r="N747" s="134"/>
      <c r="O747" s="135" t="str">
        <f>IF(COUNT(商品マスタ[[#This Row],[参考上代
（税込)]]) &gt; 0, (商品マスタ[[#This Row],[参考上代
（税込)]]-商品マスタ[[#This Row],[国内定価
（15％）]])/(商品マスタ[[#This Row],[参考上代
（税込)]]/1.08), "")</f>
        <v/>
      </c>
      <c r="P747" s="136">
        <v>0.1</v>
      </c>
      <c r="Q747" s="134">
        <f>商品マスタ[[#This Row],[仕入
単価]]*商品マスタ[[#This Row],[標準国内送料率]]</f>
        <v>0</v>
      </c>
      <c r="R747" s="134"/>
      <c r="S747" s="134">
        <f>IF(ISBLANK(商品マスタ[[#This Row],[実績
国内送料]]),商品マスタ[[#This Row],[標準国内送料]],)</f>
        <v>0</v>
      </c>
      <c r="T747" s="134">
        <f>商品マスタ[[#This Row],[仕入
単価]]+商品マスタ[[#This Row],[国内送料]]</f>
        <v>0</v>
      </c>
      <c r="U747" s="134">
        <f>ROUNDUP(商品マスタ[[#This Row],[仕入単価+国内送料]]/0.8,-1)</f>
        <v>0</v>
      </c>
      <c r="V747" s="134">
        <f>商品マスタ[[#This Row],[海外定価
（20％）]]-商品マスタ[[#This Row],[仕入単価+国内送料]]</f>
        <v>0</v>
      </c>
      <c r="W747" s="87">
        <f>ROUNDUP(商品マスタ[[#This Row],[仕入単価+国内送料]]/0.85,-1)</f>
        <v>0</v>
      </c>
      <c r="X747" s="134">
        <f>商品マスタ[[#This Row],[国内定価
（15％）]]-商品マスタ[[#This Row],[仕入単価+国内送料]]</f>
        <v>0</v>
      </c>
      <c r="Y747" s="139"/>
      <c r="Z747" s="87"/>
      <c r="AA747" s="87"/>
      <c r="AB747" s="87"/>
      <c r="AC747" s="140"/>
      <c r="AD747" s="87"/>
      <c r="AE747" s="87"/>
      <c r="AF747" s="87"/>
      <c r="AG747" s="141"/>
    </row>
    <row r="748" spans="1:33" ht="18">
      <c r="A748" s="166"/>
      <c r="B748" s="167"/>
      <c r="C748" s="167"/>
      <c r="D748" s="143" t="str">
        <f>"PRD_SNJ_"&amp;
_xlfn.XLOOKUP(商品マスタ[[#This Row],[仕入先]],テーブル1[仕入先名],テーブル1[仕入先コード],"XXX",0,1)&amp;
"_"&amp;
商品マスタ[[#This Row],[シリアル]]&amp;
"_"&amp;
TEXT(COUNTIFS(商品マスタ!$C$3:C748,商品マスタ[[#This Row],[仕入先]],商品マスタ!$E$3:E748,商品マスタ[[#This Row],[商品名]]), "00")</f>
        <v>PRD_SNJ__0000_00</v>
      </c>
      <c r="E748" s="87"/>
      <c r="F748" s="87">
        <f>IF(COUNTIFS($C$3:C748,商品マスタ[[#This Row],[仕入先]],$E$3:E748,商品マスタ[[#This Row],[商品名]]) = 1, 1,0)</f>
        <v>0</v>
      </c>
      <c r="G748" s="133" t="str">
        <f>TEXT(SUMIF($C$3:C748,商品マスタ[[#This Row],[仕入先]],$F$3:F748), "0000")</f>
        <v>0000</v>
      </c>
      <c r="H748" s="87"/>
      <c r="I748" s="87"/>
      <c r="J748" s="87"/>
      <c r="K748" s="87"/>
      <c r="L748" s="134"/>
      <c r="M748" s="157"/>
      <c r="N748" s="134"/>
      <c r="O748" s="135" t="str">
        <f>IF(COUNT(商品マスタ[[#This Row],[参考上代
（税込)]]) &gt; 0, (商品マスタ[[#This Row],[参考上代
（税込)]]-商品マスタ[[#This Row],[国内定価
（15％）]])/(商品マスタ[[#This Row],[参考上代
（税込)]]/1.08), "")</f>
        <v/>
      </c>
      <c r="P748" s="136">
        <v>0.1</v>
      </c>
      <c r="Q748" s="134">
        <f>商品マスタ[[#This Row],[仕入
単価]]*商品マスタ[[#This Row],[標準国内送料率]]</f>
        <v>0</v>
      </c>
      <c r="R748" s="134"/>
      <c r="S748" s="134">
        <f>IF(ISBLANK(商品マスタ[[#This Row],[実績
国内送料]]),商品マスタ[[#This Row],[標準国内送料]],)</f>
        <v>0</v>
      </c>
      <c r="T748" s="134">
        <f>商品マスタ[[#This Row],[仕入
単価]]+商品マスタ[[#This Row],[国内送料]]</f>
        <v>0</v>
      </c>
      <c r="U748" s="134">
        <f>ROUNDUP(商品マスタ[[#This Row],[仕入単価+国内送料]]/0.8,-1)</f>
        <v>0</v>
      </c>
      <c r="V748" s="134">
        <f>商品マスタ[[#This Row],[海外定価
（20％）]]-商品マスタ[[#This Row],[仕入単価+国内送料]]</f>
        <v>0</v>
      </c>
      <c r="W748" s="87">
        <f>ROUNDUP(商品マスタ[[#This Row],[仕入単価+国内送料]]/0.85,-1)</f>
        <v>0</v>
      </c>
      <c r="X748" s="134">
        <f>商品マスタ[[#This Row],[国内定価
（15％）]]-商品マスタ[[#This Row],[仕入単価+国内送料]]</f>
        <v>0</v>
      </c>
      <c r="Y748" s="139"/>
      <c r="Z748" s="87"/>
      <c r="AA748" s="87"/>
      <c r="AB748" s="87"/>
      <c r="AC748" s="140"/>
      <c r="AD748" s="87"/>
      <c r="AE748" s="87"/>
      <c r="AF748" s="87"/>
      <c r="AG748" s="141"/>
    </row>
    <row r="749" spans="1:33" ht="18">
      <c r="A749" s="166"/>
      <c r="B749" s="167"/>
      <c r="C749" s="167"/>
      <c r="D749" s="143" t="str">
        <f>"PRD_SNJ_"&amp;
_xlfn.XLOOKUP(商品マスタ[[#This Row],[仕入先]],テーブル1[仕入先名],テーブル1[仕入先コード],"XXX",0,1)&amp;
"_"&amp;
商品マスタ[[#This Row],[シリアル]]&amp;
"_"&amp;
TEXT(COUNTIFS(商品マスタ!$C$3:C749,商品マスタ[[#This Row],[仕入先]],商品マスタ!$E$3:E749,商品マスタ[[#This Row],[商品名]]), "00")</f>
        <v>PRD_SNJ__0000_00</v>
      </c>
      <c r="E749" s="87"/>
      <c r="F749" s="87">
        <f>IF(COUNTIFS($C$3:C749,商品マスタ[[#This Row],[仕入先]],$E$3:E749,商品マスタ[[#This Row],[商品名]]) = 1, 1,0)</f>
        <v>0</v>
      </c>
      <c r="G749" s="133" t="str">
        <f>TEXT(SUMIF($C$3:C749,商品マスタ[[#This Row],[仕入先]],$F$3:F749), "0000")</f>
        <v>0000</v>
      </c>
      <c r="H749" s="87"/>
      <c r="I749" s="87"/>
      <c r="J749" s="87"/>
      <c r="K749" s="87"/>
      <c r="L749" s="134"/>
      <c r="M749" s="157"/>
      <c r="N749" s="134"/>
      <c r="O749" s="135" t="str">
        <f>IF(COUNT(商品マスタ[[#This Row],[参考上代
（税込)]]) &gt; 0, (商品マスタ[[#This Row],[参考上代
（税込)]]-商品マスタ[[#This Row],[国内定価
（15％）]])/(商品マスタ[[#This Row],[参考上代
（税込)]]/1.08), "")</f>
        <v/>
      </c>
      <c r="P749" s="136">
        <v>0.1</v>
      </c>
      <c r="Q749" s="134">
        <f>商品マスタ[[#This Row],[仕入
単価]]*商品マスタ[[#This Row],[標準国内送料率]]</f>
        <v>0</v>
      </c>
      <c r="R749" s="134"/>
      <c r="S749" s="134">
        <f>IF(ISBLANK(商品マスタ[[#This Row],[実績
国内送料]]),商品マスタ[[#This Row],[標準国内送料]],)</f>
        <v>0</v>
      </c>
      <c r="T749" s="134">
        <f>商品マスタ[[#This Row],[仕入
単価]]+商品マスタ[[#This Row],[国内送料]]</f>
        <v>0</v>
      </c>
      <c r="U749" s="134">
        <f>ROUNDUP(商品マスタ[[#This Row],[仕入単価+国内送料]]/0.8,-1)</f>
        <v>0</v>
      </c>
      <c r="V749" s="134">
        <f>商品マスタ[[#This Row],[海外定価
（20％）]]-商品マスタ[[#This Row],[仕入単価+国内送料]]</f>
        <v>0</v>
      </c>
      <c r="W749" s="87">
        <f>ROUNDUP(商品マスタ[[#This Row],[仕入単価+国内送料]]/0.85,-1)</f>
        <v>0</v>
      </c>
      <c r="X749" s="134">
        <f>商品マスタ[[#This Row],[国内定価
（15％）]]-商品マスタ[[#This Row],[仕入単価+国内送料]]</f>
        <v>0</v>
      </c>
      <c r="Y749" s="139"/>
      <c r="Z749" s="87"/>
      <c r="AA749" s="87"/>
      <c r="AB749" s="87"/>
      <c r="AC749" s="140"/>
      <c r="AD749" s="87"/>
      <c r="AE749" s="87"/>
      <c r="AF749" s="87"/>
      <c r="AG749" s="141"/>
    </row>
    <row r="750" spans="1:33" ht="18">
      <c r="A750" s="166"/>
      <c r="B750" s="167"/>
      <c r="C750" s="167"/>
      <c r="D750" s="143" t="str">
        <f>"PRD_SNJ_"&amp;
_xlfn.XLOOKUP(商品マスタ[[#This Row],[仕入先]],テーブル1[仕入先名],テーブル1[仕入先コード],"XXX",0,1)&amp;
"_"&amp;
商品マスタ[[#This Row],[シリアル]]&amp;
"_"&amp;
TEXT(COUNTIFS(商品マスタ!$C$3:C750,商品マスタ[[#This Row],[仕入先]],商品マスタ!$E$3:E750,商品マスタ[[#This Row],[商品名]]), "00")</f>
        <v>PRD_SNJ__0000_00</v>
      </c>
      <c r="E750" s="87"/>
      <c r="F750" s="87">
        <f>IF(COUNTIFS($C$3:C750,商品マスタ[[#This Row],[仕入先]],$E$3:E750,商品マスタ[[#This Row],[商品名]]) = 1, 1,0)</f>
        <v>0</v>
      </c>
      <c r="G750" s="133" t="str">
        <f>TEXT(SUMIF($C$3:C750,商品マスタ[[#This Row],[仕入先]],$F$3:F750), "0000")</f>
        <v>0000</v>
      </c>
      <c r="H750" s="87"/>
      <c r="I750" s="87"/>
      <c r="J750" s="87"/>
      <c r="K750" s="87"/>
      <c r="L750" s="134"/>
      <c r="M750" s="157"/>
      <c r="N750" s="134"/>
      <c r="O750" s="135" t="str">
        <f>IF(COUNT(商品マスタ[[#This Row],[参考上代
（税込)]]) &gt; 0, (商品マスタ[[#This Row],[参考上代
（税込)]]-商品マスタ[[#This Row],[国内定価
（15％）]])/(商品マスタ[[#This Row],[参考上代
（税込)]]/1.08), "")</f>
        <v/>
      </c>
      <c r="P750" s="136">
        <v>0.1</v>
      </c>
      <c r="Q750" s="134">
        <f>商品マスタ[[#This Row],[仕入
単価]]*商品マスタ[[#This Row],[標準国内送料率]]</f>
        <v>0</v>
      </c>
      <c r="R750" s="134"/>
      <c r="S750" s="134">
        <f>IF(ISBLANK(商品マスタ[[#This Row],[実績
国内送料]]),商品マスタ[[#This Row],[標準国内送料]],)</f>
        <v>0</v>
      </c>
      <c r="T750" s="134">
        <f>商品マスタ[[#This Row],[仕入
単価]]+商品マスタ[[#This Row],[国内送料]]</f>
        <v>0</v>
      </c>
      <c r="U750" s="134">
        <f>ROUNDUP(商品マスタ[[#This Row],[仕入単価+国内送料]]/0.8,-1)</f>
        <v>0</v>
      </c>
      <c r="V750" s="134">
        <f>商品マスタ[[#This Row],[海外定価
（20％）]]-商品マスタ[[#This Row],[仕入単価+国内送料]]</f>
        <v>0</v>
      </c>
      <c r="W750" s="87">
        <f>ROUNDUP(商品マスタ[[#This Row],[仕入単価+国内送料]]/0.85,-1)</f>
        <v>0</v>
      </c>
      <c r="X750" s="134">
        <f>商品マスタ[[#This Row],[国内定価
（15％）]]-商品マスタ[[#This Row],[仕入単価+国内送料]]</f>
        <v>0</v>
      </c>
      <c r="Y750" s="139"/>
      <c r="Z750" s="87"/>
      <c r="AA750" s="87"/>
      <c r="AB750" s="87"/>
      <c r="AC750" s="140"/>
      <c r="AD750" s="87"/>
      <c r="AE750" s="87"/>
      <c r="AF750" s="87"/>
      <c r="AG750" s="141"/>
    </row>
    <row r="751" spans="1:33" ht="18">
      <c r="A751" s="166"/>
      <c r="B751" s="167"/>
      <c r="C751" s="167"/>
      <c r="D751" s="143" t="str">
        <f>"PRD_SNJ_"&amp;
_xlfn.XLOOKUP(商品マスタ[[#This Row],[仕入先]],テーブル1[仕入先名],テーブル1[仕入先コード],"XXX",0,1)&amp;
"_"&amp;
商品マスタ[[#This Row],[シリアル]]&amp;
"_"&amp;
TEXT(COUNTIFS(商品マスタ!$C$3:C751,商品マスタ[[#This Row],[仕入先]],商品マスタ!$E$3:E751,商品マスタ[[#This Row],[商品名]]), "00")</f>
        <v>PRD_SNJ__0000_00</v>
      </c>
      <c r="E751" s="87"/>
      <c r="F751" s="87">
        <f>IF(COUNTIFS($C$3:C751,商品マスタ[[#This Row],[仕入先]],$E$3:E751,商品マスタ[[#This Row],[商品名]]) = 1, 1,0)</f>
        <v>0</v>
      </c>
      <c r="G751" s="133" t="str">
        <f>TEXT(SUMIF($C$3:C751,商品マスタ[[#This Row],[仕入先]],$F$3:F751), "0000")</f>
        <v>0000</v>
      </c>
      <c r="H751" s="87"/>
      <c r="I751" s="87"/>
      <c r="J751" s="87"/>
      <c r="K751" s="87"/>
      <c r="L751" s="134"/>
      <c r="M751" s="157"/>
      <c r="N751" s="134"/>
      <c r="O751" s="135" t="str">
        <f>IF(COUNT(商品マスタ[[#This Row],[参考上代
（税込)]]) &gt; 0, (商品マスタ[[#This Row],[参考上代
（税込)]]-商品マスタ[[#This Row],[国内定価
（15％）]])/(商品マスタ[[#This Row],[参考上代
（税込)]]/1.08), "")</f>
        <v/>
      </c>
      <c r="P751" s="136">
        <v>0.1</v>
      </c>
      <c r="Q751" s="134">
        <f>商品マスタ[[#This Row],[仕入
単価]]*商品マスタ[[#This Row],[標準国内送料率]]</f>
        <v>0</v>
      </c>
      <c r="R751" s="134"/>
      <c r="S751" s="134">
        <f>IF(ISBLANK(商品マスタ[[#This Row],[実績
国内送料]]),商品マスタ[[#This Row],[標準国内送料]],)</f>
        <v>0</v>
      </c>
      <c r="T751" s="134">
        <f>商品マスタ[[#This Row],[仕入
単価]]+商品マスタ[[#This Row],[国内送料]]</f>
        <v>0</v>
      </c>
      <c r="U751" s="134">
        <f>ROUNDUP(商品マスタ[[#This Row],[仕入単価+国内送料]]/0.8,-1)</f>
        <v>0</v>
      </c>
      <c r="V751" s="134">
        <f>商品マスタ[[#This Row],[海外定価
（20％）]]-商品マスタ[[#This Row],[仕入単価+国内送料]]</f>
        <v>0</v>
      </c>
      <c r="W751" s="87">
        <f>ROUNDUP(商品マスタ[[#This Row],[仕入単価+国内送料]]/0.85,-1)</f>
        <v>0</v>
      </c>
      <c r="X751" s="134">
        <f>商品マスタ[[#This Row],[国内定価
（15％）]]-商品マスタ[[#This Row],[仕入単価+国内送料]]</f>
        <v>0</v>
      </c>
      <c r="Y751" s="139"/>
      <c r="Z751" s="87"/>
      <c r="AA751" s="87"/>
      <c r="AB751" s="87"/>
      <c r="AC751" s="140"/>
      <c r="AD751" s="87"/>
      <c r="AE751" s="87"/>
      <c r="AF751" s="87"/>
      <c r="AG751" s="141"/>
    </row>
    <row r="752" spans="1:33" ht="18">
      <c r="A752" s="166"/>
      <c r="B752" s="167"/>
      <c r="C752" s="167"/>
      <c r="D752" s="143" t="str">
        <f>"PRD_SNJ_"&amp;
_xlfn.XLOOKUP(商品マスタ[[#This Row],[仕入先]],テーブル1[仕入先名],テーブル1[仕入先コード],"XXX",0,1)&amp;
"_"&amp;
商品マスタ[[#This Row],[シリアル]]&amp;
"_"&amp;
TEXT(COUNTIFS(商品マスタ!$C$3:C752,商品マスタ[[#This Row],[仕入先]],商品マスタ!$E$3:E752,商品マスタ[[#This Row],[商品名]]), "00")</f>
        <v>PRD_SNJ__0000_00</v>
      </c>
      <c r="E752" s="87"/>
      <c r="F752" s="87">
        <f>IF(COUNTIFS($C$3:C752,商品マスタ[[#This Row],[仕入先]],$E$3:E752,商品マスタ[[#This Row],[商品名]]) = 1, 1,0)</f>
        <v>0</v>
      </c>
      <c r="G752" s="133" t="str">
        <f>TEXT(SUMIF($C$3:C752,商品マスタ[[#This Row],[仕入先]],$F$3:F752), "0000")</f>
        <v>0000</v>
      </c>
      <c r="H752" s="87"/>
      <c r="I752" s="87"/>
      <c r="J752" s="87"/>
      <c r="K752" s="87"/>
      <c r="L752" s="134"/>
      <c r="M752" s="157"/>
      <c r="N752" s="134"/>
      <c r="O752" s="135" t="str">
        <f>IF(COUNT(商品マスタ[[#This Row],[参考上代
（税込)]]) &gt; 0, (商品マスタ[[#This Row],[参考上代
（税込)]]-商品マスタ[[#This Row],[国内定価
（15％）]])/(商品マスタ[[#This Row],[参考上代
（税込)]]/1.08), "")</f>
        <v/>
      </c>
      <c r="P752" s="136">
        <v>0.1</v>
      </c>
      <c r="Q752" s="134">
        <f>商品マスタ[[#This Row],[仕入
単価]]*商品マスタ[[#This Row],[標準国内送料率]]</f>
        <v>0</v>
      </c>
      <c r="R752" s="134"/>
      <c r="S752" s="134">
        <f>IF(ISBLANK(商品マスタ[[#This Row],[実績
国内送料]]),商品マスタ[[#This Row],[標準国内送料]],)</f>
        <v>0</v>
      </c>
      <c r="T752" s="134">
        <f>商品マスタ[[#This Row],[仕入
単価]]+商品マスタ[[#This Row],[国内送料]]</f>
        <v>0</v>
      </c>
      <c r="U752" s="134">
        <f>ROUNDUP(商品マスタ[[#This Row],[仕入単価+国内送料]]/0.8,-1)</f>
        <v>0</v>
      </c>
      <c r="V752" s="134">
        <f>商品マスタ[[#This Row],[海外定価
（20％）]]-商品マスタ[[#This Row],[仕入単価+国内送料]]</f>
        <v>0</v>
      </c>
      <c r="W752" s="87">
        <f>ROUNDUP(商品マスタ[[#This Row],[仕入単価+国内送料]]/0.85,-1)</f>
        <v>0</v>
      </c>
      <c r="X752" s="134">
        <f>商品マスタ[[#This Row],[国内定価
（15％）]]-商品マスタ[[#This Row],[仕入単価+国内送料]]</f>
        <v>0</v>
      </c>
      <c r="Y752" s="139"/>
      <c r="Z752" s="87"/>
      <c r="AA752" s="87"/>
      <c r="AB752" s="87"/>
      <c r="AC752" s="140"/>
      <c r="AD752" s="87"/>
      <c r="AE752" s="87"/>
      <c r="AF752" s="87"/>
      <c r="AG752" s="141"/>
    </row>
    <row r="753" spans="1:33" ht="18">
      <c r="A753" s="166"/>
      <c r="B753" s="167"/>
      <c r="C753" s="167"/>
      <c r="D753" s="143" t="str">
        <f>"PRD_SNJ_"&amp;
_xlfn.XLOOKUP(商品マスタ[[#This Row],[仕入先]],テーブル1[仕入先名],テーブル1[仕入先コード],"XXX",0,1)&amp;
"_"&amp;
商品マスタ[[#This Row],[シリアル]]&amp;
"_"&amp;
TEXT(COUNTIFS(商品マスタ!$C$3:C753,商品マスタ[[#This Row],[仕入先]],商品マスタ!$E$3:E753,商品マスタ[[#This Row],[商品名]]), "00")</f>
        <v>PRD_SNJ__0000_00</v>
      </c>
      <c r="E753" s="87"/>
      <c r="F753" s="87">
        <f>IF(COUNTIFS($C$3:C753,商品マスタ[[#This Row],[仕入先]],$E$3:E753,商品マスタ[[#This Row],[商品名]]) = 1, 1,0)</f>
        <v>0</v>
      </c>
      <c r="G753" s="133" t="str">
        <f>TEXT(SUMIF($C$3:C753,商品マスタ[[#This Row],[仕入先]],$F$3:F753), "0000")</f>
        <v>0000</v>
      </c>
      <c r="H753" s="87"/>
      <c r="I753" s="87"/>
      <c r="J753" s="87"/>
      <c r="K753" s="87"/>
      <c r="L753" s="134"/>
      <c r="M753" s="157"/>
      <c r="N753" s="134"/>
      <c r="O753" s="135" t="str">
        <f>IF(COUNT(商品マスタ[[#This Row],[参考上代
（税込)]]) &gt; 0, (商品マスタ[[#This Row],[参考上代
（税込)]]-商品マスタ[[#This Row],[国内定価
（15％）]])/(商品マスタ[[#This Row],[参考上代
（税込)]]/1.08), "")</f>
        <v/>
      </c>
      <c r="P753" s="136">
        <v>0.1</v>
      </c>
      <c r="Q753" s="134">
        <f>商品マスタ[[#This Row],[仕入
単価]]*商品マスタ[[#This Row],[標準国内送料率]]</f>
        <v>0</v>
      </c>
      <c r="R753" s="134"/>
      <c r="S753" s="134">
        <f>IF(ISBLANK(商品マスタ[[#This Row],[実績
国内送料]]),商品マスタ[[#This Row],[標準国内送料]],)</f>
        <v>0</v>
      </c>
      <c r="T753" s="134">
        <f>商品マスタ[[#This Row],[仕入
単価]]+商品マスタ[[#This Row],[国内送料]]</f>
        <v>0</v>
      </c>
      <c r="U753" s="134">
        <f>ROUNDUP(商品マスタ[[#This Row],[仕入単価+国内送料]]/0.8,-1)</f>
        <v>0</v>
      </c>
      <c r="V753" s="134">
        <f>商品マスタ[[#This Row],[海外定価
（20％）]]-商品マスタ[[#This Row],[仕入単価+国内送料]]</f>
        <v>0</v>
      </c>
      <c r="W753" s="87">
        <f>ROUNDUP(商品マスタ[[#This Row],[仕入単価+国内送料]]/0.85,-1)</f>
        <v>0</v>
      </c>
      <c r="X753" s="134">
        <f>商品マスタ[[#This Row],[国内定価
（15％）]]-商品マスタ[[#This Row],[仕入単価+国内送料]]</f>
        <v>0</v>
      </c>
      <c r="Y753" s="139"/>
      <c r="Z753" s="87"/>
      <c r="AA753" s="87"/>
      <c r="AB753" s="87"/>
      <c r="AC753" s="140"/>
      <c r="AD753" s="87"/>
      <c r="AE753" s="87"/>
      <c r="AF753" s="87"/>
      <c r="AG753" s="141"/>
    </row>
    <row r="754" spans="1:33" ht="18">
      <c r="A754" s="166"/>
      <c r="B754" s="167"/>
      <c r="C754" s="167"/>
      <c r="D754" s="143" t="str">
        <f>"PRD_SNJ_"&amp;
_xlfn.XLOOKUP(商品マスタ[[#This Row],[仕入先]],テーブル1[仕入先名],テーブル1[仕入先コード],"XXX",0,1)&amp;
"_"&amp;
商品マスタ[[#This Row],[シリアル]]&amp;
"_"&amp;
TEXT(COUNTIFS(商品マスタ!$C$3:C754,商品マスタ[[#This Row],[仕入先]],商品マスタ!$E$3:E754,商品マスタ[[#This Row],[商品名]]), "00")</f>
        <v>PRD_SNJ__0000_00</v>
      </c>
      <c r="E754" s="87"/>
      <c r="F754" s="87">
        <f>IF(COUNTIFS($C$3:C754,商品マスタ[[#This Row],[仕入先]],$E$3:E754,商品マスタ[[#This Row],[商品名]]) = 1, 1,0)</f>
        <v>0</v>
      </c>
      <c r="G754" s="133" t="str">
        <f>TEXT(SUMIF($C$3:C754,商品マスタ[[#This Row],[仕入先]],$F$3:F754), "0000")</f>
        <v>0000</v>
      </c>
      <c r="H754" s="87"/>
      <c r="I754" s="87"/>
      <c r="J754" s="87"/>
      <c r="K754" s="87"/>
      <c r="L754" s="134"/>
      <c r="M754" s="157"/>
      <c r="N754" s="134"/>
      <c r="O754" s="135" t="str">
        <f>IF(COUNT(商品マスタ[[#This Row],[参考上代
（税込)]]) &gt; 0, (商品マスタ[[#This Row],[参考上代
（税込)]]-商品マスタ[[#This Row],[国内定価
（15％）]])/(商品マスタ[[#This Row],[参考上代
（税込)]]/1.08), "")</f>
        <v/>
      </c>
      <c r="P754" s="136">
        <v>0.1</v>
      </c>
      <c r="Q754" s="134">
        <f>商品マスタ[[#This Row],[仕入
単価]]*商品マスタ[[#This Row],[標準国内送料率]]</f>
        <v>0</v>
      </c>
      <c r="R754" s="134"/>
      <c r="S754" s="134">
        <f>IF(ISBLANK(商品マスタ[[#This Row],[実績
国内送料]]),商品マスタ[[#This Row],[標準国内送料]],)</f>
        <v>0</v>
      </c>
      <c r="T754" s="134">
        <f>商品マスタ[[#This Row],[仕入
単価]]+商品マスタ[[#This Row],[国内送料]]</f>
        <v>0</v>
      </c>
      <c r="U754" s="134">
        <f>ROUNDUP(商品マスタ[[#This Row],[仕入単価+国内送料]]/0.8,-1)</f>
        <v>0</v>
      </c>
      <c r="V754" s="134">
        <f>商品マスタ[[#This Row],[海外定価
（20％）]]-商品マスタ[[#This Row],[仕入単価+国内送料]]</f>
        <v>0</v>
      </c>
      <c r="W754" s="87">
        <f>ROUNDUP(商品マスタ[[#This Row],[仕入単価+国内送料]]/0.85,-1)</f>
        <v>0</v>
      </c>
      <c r="X754" s="134">
        <f>商品マスタ[[#This Row],[国内定価
（15％）]]-商品マスタ[[#This Row],[仕入単価+国内送料]]</f>
        <v>0</v>
      </c>
      <c r="Y754" s="139"/>
      <c r="Z754" s="87"/>
      <c r="AA754" s="87"/>
      <c r="AB754" s="87"/>
      <c r="AC754" s="140"/>
      <c r="AD754" s="87"/>
      <c r="AE754" s="87"/>
      <c r="AF754" s="87"/>
      <c r="AG754" s="141"/>
    </row>
    <row r="755" spans="1:33" ht="18">
      <c r="A755" s="166"/>
      <c r="B755" s="167"/>
      <c r="C755" s="167"/>
      <c r="D755" s="143" t="str">
        <f>"PRD_SNJ_"&amp;
_xlfn.XLOOKUP(商品マスタ[[#This Row],[仕入先]],テーブル1[仕入先名],テーブル1[仕入先コード],"XXX",0,1)&amp;
"_"&amp;
商品マスタ[[#This Row],[シリアル]]&amp;
"_"&amp;
TEXT(COUNTIFS(商品マスタ!$C$3:C755,商品マスタ[[#This Row],[仕入先]],商品マスタ!$E$3:E755,商品マスタ[[#This Row],[商品名]]), "00")</f>
        <v>PRD_SNJ__0000_00</v>
      </c>
      <c r="E755" s="87"/>
      <c r="F755" s="87">
        <f>IF(COUNTIFS($C$3:C755,商品マスタ[[#This Row],[仕入先]],$E$3:E755,商品マスタ[[#This Row],[商品名]]) = 1, 1,0)</f>
        <v>0</v>
      </c>
      <c r="G755" s="133" t="str">
        <f>TEXT(SUMIF($C$3:C755,商品マスタ[[#This Row],[仕入先]],$F$3:F755), "0000")</f>
        <v>0000</v>
      </c>
      <c r="H755" s="87"/>
      <c r="I755" s="87"/>
      <c r="J755" s="87"/>
      <c r="K755" s="87"/>
      <c r="L755" s="134"/>
      <c r="M755" s="157"/>
      <c r="N755" s="134"/>
      <c r="O755" s="135" t="str">
        <f>IF(COUNT(商品マスタ[[#This Row],[参考上代
（税込)]]) &gt; 0, (商品マスタ[[#This Row],[参考上代
（税込)]]-商品マスタ[[#This Row],[国内定価
（15％）]])/(商品マスタ[[#This Row],[参考上代
（税込)]]/1.08), "")</f>
        <v/>
      </c>
      <c r="P755" s="136">
        <v>0.1</v>
      </c>
      <c r="Q755" s="134">
        <f>商品マスタ[[#This Row],[仕入
単価]]*商品マスタ[[#This Row],[標準国内送料率]]</f>
        <v>0</v>
      </c>
      <c r="R755" s="134"/>
      <c r="S755" s="134">
        <f>IF(ISBLANK(商品マスタ[[#This Row],[実績
国内送料]]),商品マスタ[[#This Row],[標準国内送料]],)</f>
        <v>0</v>
      </c>
      <c r="T755" s="134">
        <f>商品マスタ[[#This Row],[仕入
単価]]+商品マスタ[[#This Row],[国内送料]]</f>
        <v>0</v>
      </c>
      <c r="U755" s="134">
        <f>ROUNDUP(商品マスタ[[#This Row],[仕入単価+国内送料]]/0.8,-1)</f>
        <v>0</v>
      </c>
      <c r="V755" s="134">
        <f>商品マスタ[[#This Row],[海外定価
（20％）]]-商品マスタ[[#This Row],[仕入単価+国内送料]]</f>
        <v>0</v>
      </c>
      <c r="W755" s="87">
        <f>ROUNDUP(商品マスタ[[#This Row],[仕入単価+国内送料]]/0.85,-1)</f>
        <v>0</v>
      </c>
      <c r="X755" s="134">
        <f>商品マスタ[[#This Row],[国内定価
（15％）]]-商品マスタ[[#This Row],[仕入単価+国内送料]]</f>
        <v>0</v>
      </c>
      <c r="Y755" s="139"/>
      <c r="Z755" s="87"/>
      <c r="AA755" s="87"/>
      <c r="AB755" s="87"/>
      <c r="AC755" s="140"/>
      <c r="AD755" s="87"/>
      <c r="AE755" s="87"/>
      <c r="AF755" s="87"/>
      <c r="AG755" s="141"/>
    </row>
    <row r="756" spans="1:33" ht="18">
      <c r="A756" s="166"/>
      <c r="B756" s="167"/>
      <c r="C756" s="167"/>
      <c r="D756" s="143" t="str">
        <f>"PRD_SNJ_"&amp;
_xlfn.XLOOKUP(商品マスタ[[#This Row],[仕入先]],テーブル1[仕入先名],テーブル1[仕入先コード],"XXX",0,1)&amp;
"_"&amp;
商品マスタ[[#This Row],[シリアル]]&amp;
"_"&amp;
TEXT(COUNTIFS(商品マスタ!$C$3:C756,商品マスタ[[#This Row],[仕入先]],商品マスタ!$E$3:E756,商品マスタ[[#This Row],[商品名]]), "00")</f>
        <v>PRD_SNJ__0000_00</v>
      </c>
      <c r="E756" s="87"/>
      <c r="F756" s="87">
        <f>IF(COUNTIFS($C$3:C756,商品マスタ[[#This Row],[仕入先]],$E$3:E756,商品マスタ[[#This Row],[商品名]]) = 1, 1,0)</f>
        <v>0</v>
      </c>
      <c r="G756" s="133" t="str">
        <f>TEXT(SUMIF($C$3:C756,商品マスタ[[#This Row],[仕入先]],$F$3:F756), "0000")</f>
        <v>0000</v>
      </c>
      <c r="H756" s="87"/>
      <c r="I756" s="87"/>
      <c r="J756" s="87"/>
      <c r="K756" s="87"/>
      <c r="L756" s="134"/>
      <c r="M756" s="157"/>
      <c r="N756" s="134"/>
      <c r="O756" s="135" t="str">
        <f>IF(COUNT(商品マスタ[[#This Row],[参考上代
（税込)]]) &gt; 0, (商品マスタ[[#This Row],[参考上代
（税込)]]-商品マスタ[[#This Row],[国内定価
（15％）]])/(商品マスタ[[#This Row],[参考上代
（税込)]]/1.08), "")</f>
        <v/>
      </c>
      <c r="P756" s="136">
        <v>0.1</v>
      </c>
      <c r="Q756" s="134">
        <f>商品マスタ[[#This Row],[仕入
単価]]*商品マスタ[[#This Row],[標準国内送料率]]</f>
        <v>0</v>
      </c>
      <c r="R756" s="134"/>
      <c r="S756" s="134">
        <f>IF(ISBLANK(商品マスタ[[#This Row],[実績
国内送料]]),商品マスタ[[#This Row],[標準国内送料]],)</f>
        <v>0</v>
      </c>
      <c r="T756" s="134">
        <f>商品マスタ[[#This Row],[仕入
単価]]+商品マスタ[[#This Row],[国内送料]]</f>
        <v>0</v>
      </c>
      <c r="U756" s="134">
        <f>ROUNDUP(商品マスタ[[#This Row],[仕入単価+国内送料]]/0.8,-1)</f>
        <v>0</v>
      </c>
      <c r="V756" s="134">
        <f>商品マスタ[[#This Row],[海外定価
（20％）]]-商品マスタ[[#This Row],[仕入単価+国内送料]]</f>
        <v>0</v>
      </c>
      <c r="W756" s="87">
        <f>ROUNDUP(商品マスタ[[#This Row],[仕入単価+国内送料]]/0.85,-1)</f>
        <v>0</v>
      </c>
      <c r="X756" s="134">
        <f>商品マスタ[[#This Row],[国内定価
（15％）]]-商品マスタ[[#This Row],[仕入単価+国内送料]]</f>
        <v>0</v>
      </c>
      <c r="Y756" s="139"/>
      <c r="Z756" s="87"/>
      <c r="AA756" s="87"/>
      <c r="AB756" s="87"/>
      <c r="AC756" s="140"/>
      <c r="AD756" s="87"/>
      <c r="AE756" s="87"/>
      <c r="AF756" s="87"/>
      <c r="AG756" s="141"/>
    </row>
    <row r="757" spans="1:33" ht="18">
      <c r="A757" s="166"/>
      <c r="B757" s="167"/>
      <c r="C757" s="167"/>
      <c r="D757" s="143" t="str">
        <f>"PRD_SNJ_"&amp;
_xlfn.XLOOKUP(商品マスタ[[#This Row],[仕入先]],テーブル1[仕入先名],テーブル1[仕入先コード],"XXX",0,1)&amp;
"_"&amp;
商品マスタ[[#This Row],[シリアル]]&amp;
"_"&amp;
TEXT(COUNTIFS(商品マスタ!$C$3:C757,商品マスタ[[#This Row],[仕入先]],商品マスタ!$E$3:E757,商品マスタ[[#This Row],[商品名]]), "00")</f>
        <v>PRD_SNJ__0000_00</v>
      </c>
      <c r="E757" s="87"/>
      <c r="F757" s="87">
        <f>IF(COUNTIFS($C$3:C757,商品マスタ[[#This Row],[仕入先]],$E$3:E757,商品マスタ[[#This Row],[商品名]]) = 1, 1,0)</f>
        <v>0</v>
      </c>
      <c r="G757" s="133" t="str">
        <f>TEXT(SUMIF($C$3:C757,商品マスタ[[#This Row],[仕入先]],$F$3:F757), "0000")</f>
        <v>0000</v>
      </c>
      <c r="H757" s="87"/>
      <c r="I757" s="87"/>
      <c r="J757" s="87"/>
      <c r="K757" s="87"/>
      <c r="L757" s="134"/>
      <c r="M757" s="157"/>
      <c r="N757" s="134"/>
      <c r="O757" s="135" t="str">
        <f>IF(COUNT(商品マスタ[[#This Row],[参考上代
（税込)]]) &gt; 0, (商品マスタ[[#This Row],[参考上代
（税込)]]-商品マスタ[[#This Row],[国内定価
（15％）]])/(商品マスタ[[#This Row],[参考上代
（税込)]]/1.08), "")</f>
        <v/>
      </c>
      <c r="P757" s="136">
        <v>0.1</v>
      </c>
      <c r="Q757" s="134">
        <f>商品マスタ[[#This Row],[仕入
単価]]*商品マスタ[[#This Row],[標準国内送料率]]</f>
        <v>0</v>
      </c>
      <c r="R757" s="134"/>
      <c r="S757" s="134">
        <f>IF(ISBLANK(商品マスタ[[#This Row],[実績
国内送料]]),商品マスタ[[#This Row],[標準国内送料]],)</f>
        <v>0</v>
      </c>
      <c r="T757" s="134">
        <f>商品マスタ[[#This Row],[仕入
単価]]+商品マスタ[[#This Row],[国内送料]]</f>
        <v>0</v>
      </c>
      <c r="U757" s="134">
        <f>ROUNDUP(商品マスタ[[#This Row],[仕入単価+国内送料]]/0.8,-1)</f>
        <v>0</v>
      </c>
      <c r="V757" s="134">
        <f>商品マスタ[[#This Row],[海外定価
（20％）]]-商品マスタ[[#This Row],[仕入単価+国内送料]]</f>
        <v>0</v>
      </c>
      <c r="W757" s="87">
        <f>ROUNDUP(商品マスタ[[#This Row],[仕入単価+国内送料]]/0.85,-1)</f>
        <v>0</v>
      </c>
      <c r="X757" s="134">
        <f>商品マスタ[[#This Row],[国内定価
（15％）]]-商品マスタ[[#This Row],[仕入単価+国内送料]]</f>
        <v>0</v>
      </c>
      <c r="Y757" s="139"/>
      <c r="Z757" s="87"/>
      <c r="AA757" s="87"/>
      <c r="AB757" s="87"/>
      <c r="AC757" s="140"/>
      <c r="AD757" s="87"/>
      <c r="AE757" s="87"/>
      <c r="AF757" s="87"/>
      <c r="AG757" s="141"/>
    </row>
    <row r="758" spans="1:33" ht="18">
      <c r="A758" s="166"/>
      <c r="B758" s="167"/>
      <c r="C758" s="167"/>
      <c r="D758" s="143" t="str">
        <f>"PRD_SNJ_"&amp;
_xlfn.XLOOKUP(商品マスタ[[#This Row],[仕入先]],テーブル1[仕入先名],テーブル1[仕入先コード],"XXX",0,1)&amp;
"_"&amp;
商品マスタ[[#This Row],[シリアル]]&amp;
"_"&amp;
TEXT(COUNTIFS(商品マスタ!$C$3:C758,商品マスタ[[#This Row],[仕入先]],商品マスタ!$E$3:E758,商品マスタ[[#This Row],[商品名]]), "00")</f>
        <v>PRD_SNJ__0000_00</v>
      </c>
      <c r="E758" s="87"/>
      <c r="F758" s="87">
        <f>IF(COUNTIFS($C$3:C758,商品マスタ[[#This Row],[仕入先]],$E$3:E758,商品マスタ[[#This Row],[商品名]]) = 1, 1,0)</f>
        <v>0</v>
      </c>
      <c r="G758" s="133" t="str">
        <f>TEXT(SUMIF($C$3:C758,商品マスタ[[#This Row],[仕入先]],$F$3:F758), "0000")</f>
        <v>0000</v>
      </c>
      <c r="H758" s="87"/>
      <c r="I758" s="87"/>
      <c r="J758" s="87"/>
      <c r="K758" s="87"/>
      <c r="L758" s="134"/>
      <c r="M758" s="157"/>
      <c r="N758" s="134"/>
      <c r="O758" s="135" t="str">
        <f>IF(COUNT(商品マスタ[[#This Row],[参考上代
（税込)]]) &gt; 0, (商品マスタ[[#This Row],[参考上代
（税込)]]-商品マスタ[[#This Row],[国内定価
（15％）]])/(商品マスタ[[#This Row],[参考上代
（税込)]]/1.08), "")</f>
        <v/>
      </c>
      <c r="P758" s="136">
        <v>0.1</v>
      </c>
      <c r="Q758" s="134">
        <f>商品マスタ[[#This Row],[仕入
単価]]*商品マスタ[[#This Row],[標準国内送料率]]</f>
        <v>0</v>
      </c>
      <c r="R758" s="134"/>
      <c r="S758" s="134">
        <f>IF(ISBLANK(商品マスタ[[#This Row],[実績
国内送料]]),商品マスタ[[#This Row],[標準国内送料]],)</f>
        <v>0</v>
      </c>
      <c r="T758" s="134">
        <f>商品マスタ[[#This Row],[仕入
単価]]+商品マスタ[[#This Row],[国内送料]]</f>
        <v>0</v>
      </c>
      <c r="U758" s="134">
        <f>ROUNDUP(商品マスタ[[#This Row],[仕入単価+国内送料]]/0.8,-1)</f>
        <v>0</v>
      </c>
      <c r="V758" s="134">
        <f>商品マスタ[[#This Row],[海外定価
（20％）]]-商品マスタ[[#This Row],[仕入単価+国内送料]]</f>
        <v>0</v>
      </c>
      <c r="W758" s="87">
        <f>ROUNDUP(商品マスタ[[#This Row],[仕入単価+国内送料]]/0.85,-1)</f>
        <v>0</v>
      </c>
      <c r="X758" s="134">
        <f>商品マスタ[[#This Row],[国内定価
（15％）]]-商品マスタ[[#This Row],[仕入単価+国内送料]]</f>
        <v>0</v>
      </c>
      <c r="Y758" s="139"/>
      <c r="Z758" s="87"/>
      <c r="AA758" s="87"/>
      <c r="AB758" s="87"/>
      <c r="AC758" s="140"/>
      <c r="AD758" s="87"/>
      <c r="AE758" s="87"/>
      <c r="AF758" s="87"/>
      <c r="AG758" s="141"/>
    </row>
    <row r="759" spans="1:33" ht="18">
      <c r="A759" s="166"/>
      <c r="B759" s="167"/>
      <c r="C759" s="167"/>
      <c r="D759" s="143" t="str">
        <f>"PRD_SNJ_"&amp;
_xlfn.XLOOKUP(商品マスタ[[#This Row],[仕入先]],テーブル1[仕入先名],テーブル1[仕入先コード],"XXX",0,1)&amp;
"_"&amp;
商品マスタ[[#This Row],[シリアル]]&amp;
"_"&amp;
TEXT(COUNTIFS(商品マスタ!$C$3:C759,商品マスタ[[#This Row],[仕入先]],商品マスタ!$E$3:E759,商品マスタ[[#This Row],[商品名]]), "00")</f>
        <v>PRD_SNJ__0000_00</v>
      </c>
      <c r="E759" s="87"/>
      <c r="F759" s="87">
        <f>IF(COUNTIFS($C$3:C759,商品マスタ[[#This Row],[仕入先]],$E$3:E759,商品マスタ[[#This Row],[商品名]]) = 1, 1,0)</f>
        <v>0</v>
      </c>
      <c r="G759" s="133" t="str">
        <f>TEXT(SUMIF($C$3:C759,商品マスタ[[#This Row],[仕入先]],$F$3:F759), "0000")</f>
        <v>0000</v>
      </c>
      <c r="H759" s="87"/>
      <c r="I759" s="87"/>
      <c r="J759" s="87"/>
      <c r="K759" s="87"/>
      <c r="L759" s="134"/>
      <c r="M759" s="157"/>
      <c r="N759" s="134"/>
      <c r="O759" s="135" t="str">
        <f>IF(COUNT(商品マスタ[[#This Row],[参考上代
（税込)]]) &gt; 0, (商品マスタ[[#This Row],[参考上代
（税込)]]-商品マスタ[[#This Row],[国内定価
（15％）]])/(商品マスタ[[#This Row],[参考上代
（税込)]]/1.08), "")</f>
        <v/>
      </c>
      <c r="P759" s="136">
        <v>0.1</v>
      </c>
      <c r="Q759" s="134">
        <f>商品マスタ[[#This Row],[仕入
単価]]*商品マスタ[[#This Row],[標準国内送料率]]</f>
        <v>0</v>
      </c>
      <c r="R759" s="134"/>
      <c r="S759" s="134">
        <f>IF(ISBLANK(商品マスタ[[#This Row],[実績
国内送料]]),商品マスタ[[#This Row],[標準国内送料]],)</f>
        <v>0</v>
      </c>
      <c r="T759" s="134">
        <f>商品マスタ[[#This Row],[仕入
単価]]+商品マスタ[[#This Row],[国内送料]]</f>
        <v>0</v>
      </c>
      <c r="U759" s="134">
        <f>ROUNDUP(商品マスタ[[#This Row],[仕入単価+国内送料]]/0.8,-1)</f>
        <v>0</v>
      </c>
      <c r="V759" s="134">
        <f>商品マスタ[[#This Row],[海外定価
（20％）]]-商品マスタ[[#This Row],[仕入単価+国内送料]]</f>
        <v>0</v>
      </c>
      <c r="W759" s="87">
        <f>ROUNDUP(商品マスタ[[#This Row],[仕入単価+国内送料]]/0.85,-1)</f>
        <v>0</v>
      </c>
      <c r="X759" s="134">
        <f>商品マスタ[[#This Row],[国内定価
（15％）]]-商品マスタ[[#This Row],[仕入単価+国内送料]]</f>
        <v>0</v>
      </c>
      <c r="Y759" s="139"/>
      <c r="Z759" s="87"/>
      <c r="AA759" s="87"/>
      <c r="AB759" s="87"/>
      <c r="AC759" s="140"/>
      <c r="AD759" s="87"/>
      <c r="AE759" s="87"/>
      <c r="AF759" s="87"/>
      <c r="AG759" s="141"/>
    </row>
    <row r="760" spans="1:33" ht="18">
      <c r="A760" s="166"/>
      <c r="B760" s="167"/>
      <c r="C760" s="167"/>
      <c r="D760" s="143" t="str">
        <f>"PRD_SNJ_"&amp;
_xlfn.XLOOKUP(商品マスタ[[#This Row],[仕入先]],テーブル1[仕入先名],テーブル1[仕入先コード],"XXX",0,1)&amp;
"_"&amp;
商品マスタ[[#This Row],[シリアル]]&amp;
"_"&amp;
TEXT(COUNTIFS(商品マスタ!$C$3:C760,商品マスタ[[#This Row],[仕入先]],商品マスタ!$E$3:E760,商品マスタ[[#This Row],[商品名]]), "00")</f>
        <v>PRD_SNJ__0000_00</v>
      </c>
      <c r="E760" s="87"/>
      <c r="F760" s="87">
        <f>IF(COUNTIFS($C$3:C760,商品マスタ[[#This Row],[仕入先]],$E$3:E760,商品マスタ[[#This Row],[商品名]]) = 1, 1,0)</f>
        <v>0</v>
      </c>
      <c r="G760" s="133" t="str">
        <f>TEXT(SUMIF($C$3:C760,商品マスタ[[#This Row],[仕入先]],$F$3:F760), "0000")</f>
        <v>0000</v>
      </c>
      <c r="H760" s="87"/>
      <c r="I760" s="87"/>
      <c r="J760" s="87"/>
      <c r="K760" s="87"/>
      <c r="L760" s="134"/>
      <c r="M760" s="157"/>
      <c r="N760" s="134"/>
      <c r="O760" s="135" t="str">
        <f>IF(COUNT(商品マスタ[[#This Row],[参考上代
（税込)]]) &gt; 0, (商品マスタ[[#This Row],[参考上代
（税込)]]-商品マスタ[[#This Row],[国内定価
（15％）]])/(商品マスタ[[#This Row],[参考上代
（税込)]]/1.08), "")</f>
        <v/>
      </c>
      <c r="P760" s="136">
        <v>0.1</v>
      </c>
      <c r="Q760" s="134">
        <f>商品マスタ[[#This Row],[仕入
単価]]*商品マスタ[[#This Row],[標準国内送料率]]</f>
        <v>0</v>
      </c>
      <c r="R760" s="134"/>
      <c r="S760" s="134">
        <f>IF(ISBLANK(商品マスタ[[#This Row],[実績
国内送料]]),商品マスタ[[#This Row],[標準国内送料]],)</f>
        <v>0</v>
      </c>
      <c r="T760" s="134">
        <f>商品マスタ[[#This Row],[仕入
単価]]+商品マスタ[[#This Row],[国内送料]]</f>
        <v>0</v>
      </c>
      <c r="U760" s="134">
        <f>ROUNDUP(商品マスタ[[#This Row],[仕入単価+国内送料]]/0.8,-1)</f>
        <v>0</v>
      </c>
      <c r="V760" s="134">
        <f>商品マスタ[[#This Row],[海外定価
（20％）]]-商品マスタ[[#This Row],[仕入単価+国内送料]]</f>
        <v>0</v>
      </c>
      <c r="W760" s="87">
        <f>ROUNDUP(商品マスタ[[#This Row],[仕入単価+国内送料]]/0.85,-1)</f>
        <v>0</v>
      </c>
      <c r="X760" s="134">
        <f>商品マスタ[[#This Row],[国内定価
（15％）]]-商品マスタ[[#This Row],[仕入単価+国内送料]]</f>
        <v>0</v>
      </c>
      <c r="Y760" s="139"/>
      <c r="Z760" s="87"/>
      <c r="AA760" s="87"/>
      <c r="AB760" s="87"/>
      <c r="AC760" s="140"/>
      <c r="AD760" s="87"/>
      <c r="AE760" s="87"/>
      <c r="AF760" s="87"/>
      <c r="AG760" s="141"/>
    </row>
    <row r="761" spans="1:33" ht="18">
      <c r="A761" s="166"/>
      <c r="B761" s="167"/>
      <c r="C761" s="167"/>
      <c r="D761" s="143" t="str">
        <f>"PRD_SNJ_"&amp;
_xlfn.XLOOKUP(商品マスタ[[#This Row],[仕入先]],テーブル1[仕入先名],テーブル1[仕入先コード],"XXX",0,1)&amp;
"_"&amp;
商品マスタ[[#This Row],[シリアル]]&amp;
"_"&amp;
TEXT(COUNTIFS(商品マスタ!$C$3:C761,商品マスタ[[#This Row],[仕入先]],商品マスタ!$E$3:E761,商品マスタ[[#This Row],[商品名]]), "00")</f>
        <v>PRD_SNJ__0000_00</v>
      </c>
      <c r="E761" s="87"/>
      <c r="F761" s="87">
        <f>IF(COUNTIFS($C$3:C761,商品マスタ[[#This Row],[仕入先]],$E$3:E761,商品マスタ[[#This Row],[商品名]]) = 1, 1,0)</f>
        <v>0</v>
      </c>
      <c r="G761" s="133" t="str">
        <f>TEXT(SUMIF($C$3:C761,商品マスタ[[#This Row],[仕入先]],$F$3:F761), "0000")</f>
        <v>0000</v>
      </c>
      <c r="H761" s="87"/>
      <c r="I761" s="87"/>
      <c r="J761" s="87"/>
      <c r="K761" s="87"/>
      <c r="L761" s="134"/>
      <c r="M761" s="157"/>
      <c r="N761" s="134"/>
      <c r="O761" s="135" t="str">
        <f>IF(COUNT(商品マスタ[[#This Row],[参考上代
（税込)]]) &gt; 0, (商品マスタ[[#This Row],[参考上代
（税込)]]-商品マスタ[[#This Row],[国内定価
（15％）]])/(商品マスタ[[#This Row],[参考上代
（税込)]]/1.08), "")</f>
        <v/>
      </c>
      <c r="P761" s="136">
        <v>0.1</v>
      </c>
      <c r="Q761" s="134">
        <f>商品マスタ[[#This Row],[仕入
単価]]*商品マスタ[[#This Row],[標準国内送料率]]</f>
        <v>0</v>
      </c>
      <c r="R761" s="134"/>
      <c r="S761" s="134">
        <f>IF(ISBLANK(商品マスタ[[#This Row],[実績
国内送料]]),商品マスタ[[#This Row],[標準国内送料]],)</f>
        <v>0</v>
      </c>
      <c r="T761" s="134">
        <f>商品マスタ[[#This Row],[仕入
単価]]+商品マスタ[[#This Row],[国内送料]]</f>
        <v>0</v>
      </c>
      <c r="U761" s="134">
        <f>ROUNDUP(商品マスタ[[#This Row],[仕入単価+国内送料]]/0.8,-1)</f>
        <v>0</v>
      </c>
      <c r="V761" s="134">
        <f>商品マスタ[[#This Row],[海外定価
（20％）]]-商品マスタ[[#This Row],[仕入単価+国内送料]]</f>
        <v>0</v>
      </c>
      <c r="W761" s="87">
        <f>ROUNDUP(商品マスタ[[#This Row],[仕入単価+国内送料]]/0.85,-1)</f>
        <v>0</v>
      </c>
      <c r="X761" s="134">
        <f>商品マスタ[[#This Row],[国内定価
（15％）]]-商品マスタ[[#This Row],[仕入単価+国内送料]]</f>
        <v>0</v>
      </c>
      <c r="Y761" s="139"/>
      <c r="Z761" s="87"/>
      <c r="AA761" s="87"/>
      <c r="AB761" s="87"/>
      <c r="AC761" s="140"/>
      <c r="AD761" s="87"/>
      <c r="AE761" s="87"/>
      <c r="AF761" s="87"/>
      <c r="AG761" s="141"/>
    </row>
    <row r="762" spans="1:33" ht="18">
      <c r="A762" s="166"/>
      <c r="B762" s="167"/>
      <c r="C762" s="167"/>
      <c r="D762" s="143" t="str">
        <f>"PRD_SNJ_"&amp;
_xlfn.XLOOKUP(商品マスタ[[#This Row],[仕入先]],テーブル1[仕入先名],テーブル1[仕入先コード],"XXX",0,1)&amp;
"_"&amp;
商品マスタ[[#This Row],[シリアル]]&amp;
"_"&amp;
TEXT(COUNTIFS(商品マスタ!$C$3:C762,商品マスタ[[#This Row],[仕入先]],商品マスタ!$E$3:E762,商品マスタ[[#This Row],[商品名]]), "00")</f>
        <v>PRD_SNJ__0000_00</v>
      </c>
      <c r="E762" s="87"/>
      <c r="F762" s="87">
        <f>IF(COUNTIFS($C$3:C762,商品マスタ[[#This Row],[仕入先]],$E$3:E762,商品マスタ[[#This Row],[商品名]]) = 1, 1,0)</f>
        <v>0</v>
      </c>
      <c r="G762" s="133" t="str">
        <f>TEXT(SUMIF($C$3:C762,商品マスタ[[#This Row],[仕入先]],$F$3:F762), "0000")</f>
        <v>0000</v>
      </c>
      <c r="H762" s="87"/>
      <c r="I762" s="87"/>
      <c r="J762" s="87"/>
      <c r="K762" s="87"/>
      <c r="L762" s="134"/>
      <c r="M762" s="157"/>
      <c r="N762" s="134"/>
      <c r="O762" s="135" t="str">
        <f>IF(COUNT(商品マスタ[[#This Row],[参考上代
（税込)]]) &gt; 0, (商品マスタ[[#This Row],[参考上代
（税込)]]-商品マスタ[[#This Row],[国内定価
（15％）]])/(商品マスタ[[#This Row],[参考上代
（税込)]]/1.08), "")</f>
        <v/>
      </c>
      <c r="P762" s="136">
        <v>0.1</v>
      </c>
      <c r="Q762" s="134">
        <f>商品マスタ[[#This Row],[仕入
単価]]*商品マスタ[[#This Row],[標準国内送料率]]</f>
        <v>0</v>
      </c>
      <c r="R762" s="134"/>
      <c r="S762" s="134">
        <f>IF(ISBLANK(商品マスタ[[#This Row],[実績
国内送料]]),商品マスタ[[#This Row],[標準国内送料]],)</f>
        <v>0</v>
      </c>
      <c r="T762" s="134">
        <f>商品マスタ[[#This Row],[仕入
単価]]+商品マスタ[[#This Row],[国内送料]]</f>
        <v>0</v>
      </c>
      <c r="U762" s="134">
        <f>ROUNDUP(商品マスタ[[#This Row],[仕入単価+国内送料]]/0.8,-1)</f>
        <v>0</v>
      </c>
      <c r="V762" s="134">
        <f>商品マスタ[[#This Row],[海外定価
（20％）]]-商品マスタ[[#This Row],[仕入単価+国内送料]]</f>
        <v>0</v>
      </c>
      <c r="W762" s="87">
        <f>ROUNDUP(商品マスタ[[#This Row],[仕入単価+国内送料]]/0.85,-1)</f>
        <v>0</v>
      </c>
      <c r="X762" s="134">
        <f>商品マスタ[[#This Row],[国内定価
（15％）]]-商品マスタ[[#This Row],[仕入単価+国内送料]]</f>
        <v>0</v>
      </c>
      <c r="Y762" s="139"/>
      <c r="Z762" s="87"/>
      <c r="AA762" s="87"/>
      <c r="AB762" s="87"/>
      <c r="AC762" s="140"/>
      <c r="AD762" s="87"/>
      <c r="AE762" s="87"/>
      <c r="AF762" s="87"/>
      <c r="AG762" s="141"/>
    </row>
    <row r="763" spans="1:33" ht="18">
      <c r="A763" s="166"/>
      <c r="B763" s="167"/>
      <c r="C763" s="167"/>
      <c r="D763" s="143" t="str">
        <f>"PRD_SNJ_"&amp;
_xlfn.XLOOKUP(商品マスタ[[#This Row],[仕入先]],テーブル1[仕入先名],テーブル1[仕入先コード],"XXX",0,1)&amp;
"_"&amp;
商品マスタ[[#This Row],[シリアル]]&amp;
"_"&amp;
TEXT(COUNTIFS(商品マスタ!$C$3:C763,商品マスタ[[#This Row],[仕入先]],商品マスタ!$E$3:E763,商品マスタ[[#This Row],[商品名]]), "00")</f>
        <v>PRD_SNJ__0000_00</v>
      </c>
      <c r="E763" s="87"/>
      <c r="F763" s="87">
        <f>IF(COUNTIFS($C$3:C763,商品マスタ[[#This Row],[仕入先]],$E$3:E763,商品マスタ[[#This Row],[商品名]]) = 1, 1,0)</f>
        <v>0</v>
      </c>
      <c r="G763" s="133" t="str">
        <f>TEXT(SUMIF($C$3:C763,商品マスタ[[#This Row],[仕入先]],$F$3:F763), "0000")</f>
        <v>0000</v>
      </c>
      <c r="H763" s="87"/>
      <c r="I763" s="87"/>
      <c r="J763" s="87"/>
      <c r="K763" s="87"/>
      <c r="L763" s="134"/>
      <c r="M763" s="157"/>
      <c r="N763" s="134"/>
      <c r="O763" s="135" t="str">
        <f>IF(COUNT(商品マスタ[[#This Row],[参考上代
（税込)]]) &gt; 0, (商品マスタ[[#This Row],[参考上代
（税込)]]-商品マスタ[[#This Row],[国内定価
（15％）]])/(商品マスタ[[#This Row],[参考上代
（税込)]]/1.08), "")</f>
        <v/>
      </c>
      <c r="P763" s="136">
        <v>0.1</v>
      </c>
      <c r="Q763" s="134">
        <f>商品マスタ[[#This Row],[仕入
単価]]*商品マスタ[[#This Row],[標準国内送料率]]</f>
        <v>0</v>
      </c>
      <c r="R763" s="134"/>
      <c r="S763" s="134">
        <f>IF(ISBLANK(商品マスタ[[#This Row],[実績
国内送料]]),商品マスタ[[#This Row],[標準国内送料]],)</f>
        <v>0</v>
      </c>
      <c r="T763" s="134">
        <f>商品マスタ[[#This Row],[仕入
単価]]+商品マスタ[[#This Row],[国内送料]]</f>
        <v>0</v>
      </c>
      <c r="U763" s="134">
        <f>ROUNDUP(商品マスタ[[#This Row],[仕入単価+国内送料]]/0.8,-1)</f>
        <v>0</v>
      </c>
      <c r="V763" s="134">
        <f>商品マスタ[[#This Row],[海外定価
（20％）]]-商品マスタ[[#This Row],[仕入単価+国内送料]]</f>
        <v>0</v>
      </c>
      <c r="W763" s="87">
        <f>ROUNDUP(商品マスタ[[#This Row],[仕入単価+国内送料]]/0.85,-1)</f>
        <v>0</v>
      </c>
      <c r="X763" s="134">
        <f>商品マスタ[[#This Row],[国内定価
（15％）]]-商品マスタ[[#This Row],[仕入単価+国内送料]]</f>
        <v>0</v>
      </c>
      <c r="Y763" s="139"/>
      <c r="Z763" s="87"/>
      <c r="AA763" s="87"/>
      <c r="AB763" s="87"/>
      <c r="AC763" s="140"/>
      <c r="AD763" s="87"/>
      <c r="AE763" s="87"/>
      <c r="AF763" s="87"/>
      <c r="AG763" s="141"/>
    </row>
    <row r="764" spans="1:33" ht="18">
      <c r="A764" s="166"/>
      <c r="B764" s="167"/>
      <c r="C764" s="167"/>
      <c r="D764" s="143" t="str">
        <f>"PRD_SNJ_"&amp;
_xlfn.XLOOKUP(商品マスタ[[#This Row],[仕入先]],テーブル1[仕入先名],テーブル1[仕入先コード],"XXX",0,1)&amp;
"_"&amp;
商品マスタ[[#This Row],[シリアル]]&amp;
"_"&amp;
TEXT(COUNTIFS(商品マスタ!$C$3:C764,商品マスタ[[#This Row],[仕入先]],商品マスタ!$E$3:E764,商品マスタ[[#This Row],[商品名]]), "00")</f>
        <v>PRD_SNJ__0000_00</v>
      </c>
      <c r="E764" s="87"/>
      <c r="F764" s="87">
        <f>IF(COUNTIFS($C$3:C764,商品マスタ[[#This Row],[仕入先]],$E$3:E764,商品マスタ[[#This Row],[商品名]]) = 1, 1,0)</f>
        <v>0</v>
      </c>
      <c r="G764" s="133" t="str">
        <f>TEXT(SUMIF($C$3:C764,商品マスタ[[#This Row],[仕入先]],$F$3:F764), "0000")</f>
        <v>0000</v>
      </c>
      <c r="H764" s="87"/>
      <c r="I764" s="87"/>
      <c r="J764" s="87"/>
      <c r="K764" s="87"/>
      <c r="L764" s="134"/>
      <c r="M764" s="157"/>
      <c r="N764" s="134"/>
      <c r="O764" s="135" t="str">
        <f>IF(COUNT(商品マスタ[[#This Row],[参考上代
（税込)]]) &gt; 0, (商品マスタ[[#This Row],[参考上代
（税込)]]-商品マスタ[[#This Row],[国内定価
（15％）]])/(商品マスタ[[#This Row],[参考上代
（税込)]]/1.08), "")</f>
        <v/>
      </c>
      <c r="P764" s="136">
        <v>0.1</v>
      </c>
      <c r="Q764" s="134">
        <f>商品マスタ[[#This Row],[仕入
単価]]*商品マスタ[[#This Row],[標準国内送料率]]</f>
        <v>0</v>
      </c>
      <c r="R764" s="134"/>
      <c r="S764" s="134">
        <f>IF(ISBLANK(商品マスタ[[#This Row],[実績
国内送料]]),商品マスタ[[#This Row],[標準国内送料]],)</f>
        <v>0</v>
      </c>
      <c r="T764" s="134">
        <f>商品マスタ[[#This Row],[仕入
単価]]+商品マスタ[[#This Row],[国内送料]]</f>
        <v>0</v>
      </c>
      <c r="U764" s="134">
        <f>ROUNDUP(商品マスタ[[#This Row],[仕入単価+国内送料]]/0.8,-1)</f>
        <v>0</v>
      </c>
      <c r="V764" s="134">
        <f>商品マスタ[[#This Row],[海外定価
（20％）]]-商品マスタ[[#This Row],[仕入単価+国内送料]]</f>
        <v>0</v>
      </c>
      <c r="W764" s="87">
        <f>ROUNDUP(商品マスタ[[#This Row],[仕入単価+国内送料]]/0.85,-1)</f>
        <v>0</v>
      </c>
      <c r="X764" s="134">
        <f>商品マスタ[[#This Row],[国内定価
（15％）]]-商品マスタ[[#This Row],[仕入単価+国内送料]]</f>
        <v>0</v>
      </c>
      <c r="Y764" s="139"/>
      <c r="Z764" s="87"/>
      <c r="AA764" s="87"/>
      <c r="AB764" s="87"/>
      <c r="AC764" s="140"/>
      <c r="AD764" s="87"/>
      <c r="AE764" s="87"/>
      <c r="AF764" s="87"/>
      <c r="AG764" s="141"/>
    </row>
    <row r="765" spans="1:33" ht="18">
      <c r="A765" s="166"/>
      <c r="B765" s="167"/>
      <c r="C765" s="167"/>
      <c r="D765" s="143" t="str">
        <f>"PRD_SNJ_"&amp;
_xlfn.XLOOKUP(商品マスタ[[#This Row],[仕入先]],テーブル1[仕入先名],テーブル1[仕入先コード],"XXX",0,1)&amp;
"_"&amp;
商品マスタ[[#This Row],[シリアル]]&amp;
"_"&amp;
TEXT(COUNTIFS(商品マスタ!$C$3:C765,商品マスタ[[#This Row],[仕入先]],商品マスタ!$E$3:E765,商品マスタ[[#This Row],[商品名]]), "00")</f>
        <v>PRD_SNJ__0000_00</v>
      </c>
      <c r="E765" s="87"/>
      <c r="F765" s="87">
        <f>IF(COUNTIFS($C$3:C765,商品マスタ[[#This Row],[仕入先]],$E$3:E765,商品マスタ[[#This Row],[商品名]]) = 1, 1,0)</f>
        <v>0</v>
      </c>
      <c r="G765" s="133" t="str">
        <f>TEXT(SUMIF($C$3:C765,商品マスタ[[#This Row],[仕入先]],$F$3:F765), "0000")</f>
        <v>0000</v>
      </c>
      <c r="H765" s="87"/>
      <c r="I765" s="87"/>
      <c r="J765" s="87"/>
      <c r="K765" s="87"/>
      <c r="L765" s="134"/>
      <c r="M765" s="157"/>
      <c r="N765" s="134"/>
      <c r="O765" s="135" t="str">
        <f>IF(COUNT(商品マスタ[[#This Row],[参考上代
（税込)]]) &gt; 0, (商品マスタ[[#This Row],[参考上代
（税込)]]-商品マスタ[[#This Row],[国内定価
（15％）]])/(商品マスタ[[#This Row],[参考上代
（税込)]]/1.08), "")</f>
        <v/>
      </c>
      <c r="P765" s="136">
        <v>0.1</v>
      </c>
      <c r="Q765" s="134">
        <f>商品マスタ[[#This Row],[仕入
単価]]*商品マスタ[[#This Row],[標準国内送料率]]</f>
        <v>0</v>
      </c>
      <c r="R765" s="134"/>
      <c r="S765" s="134">
        <f>IF(ISBLANK(商品マスタ[[#This Row],[実績
国内送料]]),商品マスタ[[#This Row],[標準国内送料]],)</f>
        <v>0</v>
      </c>
      <c r="T765" s="134">
        <f>商品マスタ[[#This Row],[仕入
単価]]+商品マスタ[[#This Row],[国内送料]]</f>
        <v>0</v>
      </c>
      <c r="U765" s="134">
        <f>ROUNDUP(商品マスタ[[#This Row],[仕入単価+国内送料]]/0.8,-1)</f>
        <v>0</v>
      </c>
      <c r="V765" s="134">
        <f>商品マスタ[[#This Row],[海外定価
（20％）]]-商品マスタ[[#This Row],[仕入単価+国内送料]]</f>
        <v>0</v>
      </c>
      <c r="W765" s="87">
        <f>ROUNDUP(商品マスタ[[#This Row],[仕入単価+国内送料]]/0.85,-1)</f>
        <v>0</v>
      </c>
      <c r="X765" s="134">
        <f>商品マスタ[[#This Row],[国内定価
（15％）]]-商品マスタ[[#This Row],[仕入単価+国内送料]]</f>
        <v>0</v>
      </c>
      <c r="Y765" s="139"/>
      <c r="Z765" s="87"/>
      <c r="AA765" s="87"/>
      <c r="AB765" s="87"/>
      <c r="AC765" s="140"/>
      <c r="AD765" s="87"/>
      <c r="AE765" s="87"/>
      <c r="AF765" s="87"/>
      <c r="AG765" s="141"/>
    </row>
    <row r="766" spans="1:33" ht="18">
      <c r="A766" s="166"/>
      <c r="B766" s="167"/>
      <c r="C766" s="167"/>
      <c r="D766" s="143" t="str">
        <f>"PRD_SNJ_"&amp;
_xlfn.XLOOKUP(商品マスタ[[#This Row],[仕入先]],テーブル1[仕入先名],テーブル1[仕入先コード],"XXX",0,1)&amp;
"_"&amp;
商品マスタ[[#This Row],[シリアル]]&amp;
"_"&amp;
TEXT(COUNTIFS(商品マスタ!$C$3:C766,商品マスタ[[#This Row],[仕入先]],商品マスタ!$E$3:E766,商品マスタ[[#This Row],[商品名]]), "00")</f>
        <v>PRD_SNJ__0000_00</v>
      </c>
      <c r="E766" s="87"/>
      <c r="F766" s="87">
        <f>IF(COUNTIFS($C$3:C766,商品マスタ[[#This Row],[仕入先]],$E$3:E766,商品マスタ[[#This Row],[商品名]]) = 1, 1,0)</f>
        <v>0</v>
      </c>
      <c r="G766" s="133" t="str">
        <f>TEXT(SUMIF($C$3:C766,商品マスタ[[#This Row],[仕入先]],$F$3:F766), "0000")</f>
        <v>0000</v>
      </c>
      <c r="H766" s="87"/>
      <c r="I766" s="87"/>
      <c r="J766" s="87"/>
      <c r="K766" s="87"/>
      <c r="L766" s="134"/>
      <c r="M766" s="157"/>
      <c r="N766" s="134"/>
      <c r="O766" s="135" t="str">
        <f>IF(COUNT(商品マスタ[[#This Row],[参考上代
（税込)]]) &gt; 0, (商品マスタ[[#This Row],[参考上代
（税込)]]-商品マスタ[[#This Row],[国内定価
（15％）]])/(商品マスタ[[#This Row],[参考上代
（税込)]]/1.08), "")</f>
        <v/>
      </c>
      <c r="P766" s="136">
        <v>0.1</v>
      </c>
      <c r="Q766" s="134">
        <f>商品マスタ[[#This Row],[仕入
単価]]*商品マスタ[[#This Row],[標準国内送料率]]</f>
        <v>0</v>
      </c>
      <c r="R766" s="134"/>
      <c r="S766" s="134">
        <f>IF(ISBLANK(商品マスタ[[#This Row],[実績
国内送料]]),商品マスタ[[#This Row],[標準国内送料]],)</f>
        <v>0</v>
      </c>
      <c r="T766" s="134">
        <f>商品マスタ[[#This Row],[仕入
単価]]+商品マスタ[[#This Row],[国内送料]]</f>
        <v>0</v>
      </c>
      <c r="U766" s="134">
        <f>ROUNDUP(商品マスタ[[#This Row],[仕入単価+国内送料]]/0.8,-1)</f>
        <v>0</v>
      </c>
      <c r="V766" s="134">
        <f>商品マスタ[[#This Row],[海外定価
（20％）]]-商品マスタ[[#This Row],[仕入単価+国内送料]]</f>
        <v>0</v>
      </c>
      <c r="W766" s="87">
        <f>ROUNDUP(商品マスタ[[#This Row],[仕入単価+国内送料]]/0.85,-1)</f>
        <v>0</v>
      </c>
      <c r="X766" s="134">
        <f>商品マスタ[[#This Row],[国内定価
（15％）]]-商品マスタ[[#This Row],[仕入単価+国内送料]]</f>
        <v>0</v>
      </c>
      <c r="Y766" s="139"/>
      <c r="Z766" s="87"/>
      <c r="AA766" s="87"/>
      <c r="AB766" s="87"/>
      <c r="AC766" s="140"/>
      <c r="AD766" s="87"/>
      <c r="AE766" s="87"/>
      <c r="AF766" s="87"/>
      <c r="AG766" s="141"/>
    </row>
    <row r="767" spans="1:33" ht="18">
      <c r="A767" s="166"/>
      <c r="B767" s="167"/>
      <c r="C767" s="167"/>
      <c r="D767" s="143" t="str">
        <f>"PRD_SNJ_"&amp;
_xlfn.XLOOKUP(商品マスタ[[#This Row],[仕入先]],テーブル1[仕入先名],テーブル1[仕入先コード],"XXX",0,1)&amp;
"_"&amp;
商品マスタ[[#This Row],[シリアル]]&amp;
"_"&amp;
TEXT(COUNTIFS(商品マスタ!$C$3:C767,商品マスタ[[#This Row],[仕入先]],商品マスタ!$E$3:E767,商品マスタ[[#This Row],[商品名]]), "00")</f>
        <v>PRD_SNJ__0000_00</v>
      </c>
      <c r="E767" s="87"/>
      <c r="F767" s="87">
        <f>IF(COUNTIFS($C$3:C767,商品マスタ[[#This Row],[仕入先]],$E$3:E767,商品マスタ[[#This Row],[商品名]]) = 1, 1,0)</f>
        <v>0</v>
      </c>
      <c r="G767" s="133" t="str">
        <f>TEXT(SUMIF($C$3:C767,商品マスタ[[#This Row],[仕入先]],$F$3:F767), "0000")</f>
        <v>0000</v>
      </c>
      <c r="H767" s="87"/>
      <c r="I767" s="87"/>
      <c r="J767" s="87"/>
      <c r="K767" s="87"/>
      <c r="L767" s="134"/>
      <c r="M767" s="157"/>
      <c r="N767" s="134"/>
      <c r="O767" s="135" t="str">
        <f>IF(COUNT(商品マスタ[[#This Row],[参考上代
（税込)]]) &gt; 0, (商品マスタ[[#This Row],[参考上代
（税込)]]-商品マスタ[[#This Row],[国内定価
（15％）]])/(商品マスタ[[#This Row],[参考上代
（税込)]]/1.08), "")</f>
        <v/>
      </c>
      <c r="P767" s="136">
        <v>0.1</v>
      </c>
      <c r="Q767" s="134">
        <f>商品マスタ[[#This Row],[仕入
単価]]*商品マスタ[[#This Row],[標準国内送料率]]</f>
        <v>0</v>
      </c>
      <c r="R767" s="134"/>
      <c r="S767" s="134">
        <f>IF(ISBLANK(商品マスタ[[#This Row],[実績
国内送料]]),商品マスタ[[#This Row],[標準国内送料]],)</f>
        <v>0</v>
      </c>
      <c r="T767" s="134">
        <f>商品マスタ[[#This Row],[仕入
単価]]+商品マスタ[[#This Row],[国内送料]]</f>
        <v>0</v>
      </c>
      <c r="U767" s="134">
        <f>ROUNDUP(商品マスタ[[#This Row],[仕入単価+国内送料]]/0.8,-1)</f>
        <v>0</v>
      </c>
      <c r="V767" s="134">
        <f>商品マスタ[[#This Row],[海外定価
（20％）]]-商品マスタ[[#This Row],[仕入単価+国内送料]]</f>
        <v>0</v>
      </c>
      <c r="W767" s="87">
        <f>ROUNDUP(商品マスタ[[#This Row],[仕入単価+国内送料]]/0.85,-1)</f>
        <v>0</v>
      </c>
      <c r="X767" s="134">
        <f>商品マスタ[[#This Row],[国内定価
（15％）]]-商品マスタ[[#This Row],[仕入単価+国内送料]]</f>
        <v>0</v>
      </c>
      <c r="Y767" s="139"/>
      <c r="Z767" s="87"/>
      <c r="AA767" s="87"/>
      <c r="AB767" s="87"/>
      <c r="AC767" s="140"/>
      <c r="AD767" s="87"/>
      <c r="AE767" s="87"/>
      <c r="AF767" s="87"/>
      <c r="AG767" s="141"/>
    </row>
    <row r="768" spans="1:33" ht="18">
      <c r="A768" s="166"/>
      <c r="B768" s="167"/>
      <c r="C768" s="167"/>
      <c r="D768" s="143" t="str">
        <f>"PRD_SNJ_"&amp;
_xlfn.XLOOKUP(商品マスタ[[#This Row],[仕入先]],テーブル1[仕入先名],テーブル1[仕入先コード],"XXX",0,1)&amp;
"_"&amp;
商品マスタ[[#This Row],[シリアル]]&amp;
"_"&amp;
TEXT(COUNTIFS(商品マスタ!$C$3:C768,商品マスタ[[#This Row],[仕入先]],商品マスタ!$E$3:E768,商品マスタ[[#This Row],[商品名]]), "00")</f>
        <v>PRD_SNJ__0000_00</v>
      </c>
      <c r="E768" s="87"/>
      <c r="F768" s="87">
        <f>IF(COUNTIFS($C$3:C768,商品マスタ[[#This Row],[仕入先]],$E$3:E768,商品マスタ[[#This Row],[商品名]]) = 1, 1,0)</f>
        <v>0</v>
      </c>
      <c r="G768" s="133" t="str">
        <f>TEXT(SUMIF($C$3:C768,商品マスタ[[#This Row],[仕入先]],$F$3:F768), "0000")</f>
        <v>0000</v>
      </c>
      <c r="H768" s="87"/>
      <c r="I768" s="87"/>
      <c r="J768" s="87"/>
      <c r="K768" s="87"/>
      <c r="L768" s="134"/>
      <c r="M768" s="157"/>
      <c r="N768" s="134"/>
      <c r="O768" s="135" t="str">
        <f>IF(COUNT(商品マスタ[[#This Row],[参考上代
（税込)]]) &gt; 0, (商品マスタ[[#This Row],[参考上代
（税込)]]-商品マスタ[[#This Row],[国内定価
（15％）]])/(商品マスタ[[#This Row],[参考上代
（税込)]]/1.08), "")</f>
        <v/>
      </c>
      <c r="P768" s="136">
        <v>0.1</v>
      </c>
      <c r="Q768" s="134">
        <f>商品マスタ[[#This Row],[仕入
単価]]*商品マスタ[[#This Row],[標準国内送料率]]</f>
        <v>0</v>
      </c>
      <c r="R768" s="134"/>
      <c r="S768" s="134">
        <f>IF(ISBLANK(商品マスタ[[#This Row],[実績
国内送料]]),商品マスタ[[#This Row],[標準国内送料]],)</f>
        <v>0</v>
      </c>
      <c r="T768" s="134">
        <f>商品マスタ[[#This Row],[仕入
単価]]+商品マスタ[[#This Row],[国内送料]]</f>
        <v>0</v>
      </c>
      <c r="U768" s="134">
        <f>ROUNDUP(商品マスタ[[#This Row],[仕入単価+国内送料]]/0.8,-1)</f>
        <v>0</v>
      </c>
      <c r="V768" s="134">
        <f>商品マスタ[[#This Row],[海外定価
（20％）]]-商品マスタ[[#This Row],[仕入単価+国内送料]]</f>
        <v>0</v>
      </c>
      <c r="W768" s="87">
        <f>ROUNDUP(商品マスタ[[#This Row],[仕入単価+国内送料]]/0.85,-1)</f>
        <v>0</v>
      </c>
      <c r="X768" s="134">
        <f>商品マスタ[[#This Row],[国内定価
（15％）]]-商品マスタ[[#This Row],[仕入単価+国内送料]]</f>
        <v>0</v>
      </c>
      <c r="Y768" s="139"/>
      <c r="Z768" s="87"/>
      <c r="AA768" s="87"/>
      <c r="AB768" s="87"/>
      <c r="AC768" s="140"/>
      <c r="AD768" s="87"/>
      <c r="AE768" s="87"/>
      <c r="AF768" s="87"/>
      <c r="AG768" s="141"/>
    </row>
    <row r="769" spans="1:33" ht="18">
      <c r="A769" s="166"/>
      <c r="B769" s="167"/>
      <c r="C769" s="167"/>
      <c r="D769" s="143" t="str">
        <f>"PRD_SNJ_"&amp;
_xlfn.XLOOKUP(商品マスタ[[#This Row],[仕入先]],テーブル1[仕入先名],テーブル1[仕入先コード],"XXX",0,1)&amp;
"_"&amp;
商品マスタ[[#This Row],[シリアル]]&amp;
"_"&amp;
TEXT(COUNTIFS(商品マスタ!$C$3:C769,商品マスタ[[#This Row],[仕入先]],商品マスタ!$E$3:E769,商品マスタ[[#This Row],[商品名]]), "00")</f>
        <v>PRD_SNJ__0000_00</v>
      </c>
      <c r="E769" s="87"/>
      <c r="F769" s="87">
        <f>IF(COUNTIFS($C$3:C769,商品マスタ[[#This Row],[仕入先]],$E$3:E769,商品マスタ[[#This Row],[商品名]]) = 1, 1,0)</f>
        <v>0</v>
      </c>
      <c r="G769" s="133" t="str">
        <f>TEXT(SUMIF($C$3:C769,商品マスタ[[#This Row],[仕入先]],$F$3:F769), "0000")</f>
        <v>0000</v>
      </c>
      <c r="H769" s="87"/>
      <c r="I769" s="87"/>
      <c r="J769" s="87"/>
      <c r="K769" s="87"/>
      <c r="L769" s="134"/>
      <c r="M769" s="157"/>
      <c r="N769" s="134"/>
      <c r="O769" s="135" t="str">
        <f>IF(COUNT(商品マスタ[[#This Row],[参考上代
（税込)]]) &gt; 0, (商品マスタ[[#This Row],[参考上代
（税込)]]-商品マスタ[[#This Row],[国内定価
（15％）]])/(商品マスタ[[#This Row],[参考上代
（税込)]]/1.08), "")</f>
        <v/>
      </c>
      <c r="P769" s="136">
        <v>0.1</v>
      </c>
      <c r="Q769" s="134">
        <f>商品マスタ[[#This Row],[仕入
単価]]*商品マスタ[[#This Row],[標準国内送料率]]</f>
        <v>0</v>
      </c>
      <c r="R769" s="134"/>
      <c r="S769" s="134">
        <f>IF(ISBLANK(商品マスタ[[#This Row],[実績
国内送料]]),商品マスタ[[#This Row],[標準国内送料]],)</f>
        <v>0</v>
      </c>
      <c r="T769" s="134">
        <f>商品マスタ[[#This Row],[仕入
単価]]+商品マスタ[[#This Row],[国内送料]]</f>
        <v>0</v>
      </c>
      <c r="U769" s="134">
        <f>ROUNDUP(商品マスタ[[#This Row],[仕入単価+国内送料]]/0.8,-1)</f>
        <v>0</v>
      </c>
      <c r="V769" s="134">
        <f>商品マスタ[[#This Row],[海外定価
（20％）]]-商品マスタ[[#This Row],[仕入単価+国内送料]]</f>
        <v>0</v>
      </c>
      <c r="W769" s="87">
        <f>ROUNDUP(商品マスタ[[#This Row],[仕入単価+国内送料]]/0.85,-1)</f>
        <v>0</v>
      </c>
      <c r="X769" s="134">
        <f>商品マスタ[[#This Row],[国内定価
（15％）]]-商品マスタ[[#This Row],[仕入単価+国内送料]]</f>
        <v>0</v>
      </c>
      <c r="Y769" s="139"/>
      <c r="Z769" s="87"/>
      <c r="AA769" s="87"/>
      <c r="AB769" s="87"/>
      <c r="AC769" s="140"/>
      <c r="AD769" s="87"/>
      <c r="AE769" s="87"/>
      <c r="AF769" s="87"/>
      <c r="AG769" s="141"/>
    </row>
    <row r="770" spans="1:33" ht="18">
      <c r="A770" s="166"/>
      <c r="B770" s="167"/>
      <c r="C770" s="167"/>
      <c r="D770" s="143" t="str">
        <f>"PRD_SNJ_"&amp;
_xlfn.XLOOKUP(商品マスタ[[#This Row],[仕入先]],テーブル1[仕入先名],テーブル1[仕入先コード],"XXX",0,1)&amp;
"_"&amp;
商品マスタ[[#This Row],[シリアル]]&amp;
"_"&amp;
TEXT(COUNTIFS(商品マスタ!$C$3:C770,商品マスタ[[#This Row],[仕入先]],商品マスタ!$E$3:E770,商品マスタ[[#This Row],[商品名]]), "00")</f>
        <v>PRD_SNJ__0000_00</v>
      </c>
      <c r="E770" s="87"/>
      <c r="F770" s="87">
        <f>IF(COUNTIFS($C$3:C770,商品マスタ[[#This Row],[仕入先]],$E$3:E770,商品マスタ[[#This Row],[商品名]]) = 1, 1,0)</f>
        <v>0</v>
      </c>
      <c r="G770" s="133" t="str">
        <f>TEXT(SUMIF($C$3:C770,商品マスタ[[#This Row],[仕入先]],$F$3:F770), "0000")</f>
        <v>0000</v>
      </c>
      <c r="H770" s="87"/>
      <c r="I770" s="87"/>
      <c r="J770" s="87"/>
      <c r="K770" s="87"/>
      <c r="L770" s="134"/>
      <c r="M770" s="157"/>
      <c r="N770" s="134"/>
      <c r="O770" s="135" t="str">
        <f>IF(COUNT(商品マスタ[[#This Row],[参考上代
（税込)]]) &gt; 0, (商品マスタ[[#This Row],[参考上代
（税込)]]-商品マスタ[[#This Row],[国内定価
（15％）]])/(商品マスタ[[#This Row],[参考上代
（税込)]]/1.08), "")</f>
        <v/>
      </c>
      <c r="P770" s="136">
        <v>0.1</v>
      </c>
      <c r="Q770" s="134">
        <f>商品マスタ[[#This Row],[仕入
単価]]*商品マスタ[[#This Row],[標準国内送料率]]</f>
        <v>0</v>
      </c>
      <c r="R770" s="134"/>
      <c r="S770" s="134">
        <f>IF(ISBLANK(商品マスタ[[#This Row],[実績
国内送料]]),商品マスタ[[#This Row],[標準国内送料]],)</f>
        <v>0</v>
      </c>
      <c r="T770" s="134">
        <f>商品マスタ[[#This Row],[仕入
単価]]+商品マスタ[[#This Row],[国内送料]]</f>
        <v>0</v>
      </c>
      <c r="U770" s="134">
        <f>ROUNDUP(商品マスタ[[#This Row],[仕入単価+国内送料]]/0.8,-1)</f>
        <v>0</v>
      </c>
      <c r="V770" s="134">
        <f>商品マスタ[[#This Row],[海外定価
（20％）]]-商品マスタ[[#This Row],[仕入単価+国内送料]]</f>
        <v>0</v>
      </c>
      <c r="W770" s="87">
        <f>ROUNDUP(商品マスタ[[#This Row],[仕入単価+国内送料]]/0.85,-1)</f>
        <v>0</v>
      </c>
      <c r="X770" s="134">
        <f>商品マスタ[[#This Row],[国内定価
（15％）]]-商品マスタ[[#This Row],[仕入単価+国内送料]]</f>
        <v>0</v>
      </c>
      <c r="Y770" s="139"/>
      <c r="Z770" s="87"/>
      <c r="AA770" s="87"/>
      <c r="AB770" s="87"/>
      <c r="AC770" s="140"/>
      <c r="AD770" s="87"/>
      <c r="AE770" s="87"/>
      <c r="AF770" s="87"/>
      <c r="AG770" s="141"/>
    </row>
    <row r="771" spans="1:33" ht="18">
      <c r="A771" s="166"/>
      <c r="B771" s="167"/>
      <c r="C771" s="167"/>
      <c r="D771" s="143" t="str">
        <f>"PRD_SNJ_"&amp;
_xlfn.XLOOKUP(商品マスタ[[#This Row],[仕入先]],テーブル1[仕入先名],テーブル1[仕入先コード],"XXX",0,1)&amp;
"_"&amp;
商品マスタ[[#This Row],[シリアル]]&amp;
"_"&amp;
TEXT(COUNTIFS(商品マスタ!$C$3:C771,商品マスタ[[#This Row],[仕入先]],商品マスタ!$E$3:E771,商品マスタ[[#This Row],[商品名]]), "00")</f>
        <v>PRD_SNJ__0000_00</v>
      </c>
      <c r="E771" s="87"/>
      <c r="F771" s="87">
        <f>IF(COUNTIFS($C$3:C771,商品マスタ[[#This Row],[仕入先]],$E$3:E771,商品マスタ[[#This Row],[商品名]]) = 1, 1,0)</f>
        <v>0</v>
      </c>
      <c r="G771" s="133" t="str">
        <f>TEXT(SUMIF($C$3:C771,商品マスタ[[#This Row],[仕入先]],$F$3:F771), "0000")</f>
        <v>0000</v>
      </c>
      <c r="H771" s="87"/>
      <c r="I771" s="87"/>
      <c r="J771" s="87"/>
      <c r="K771" s="87"/>
      <c r="L771" s="134"/>
      <c r="M771" s="157"/>
      <c r="N771" s="134"/>
      <c r="O771" s="135" t="str">
        <f>IF(COUNT(商品マスタ[[#This Row],[参考上代
（税込)]]) &gt; 0, (商品マスタ[[#This Row],[参考上代
（税込)]]-商品マスタ[[#This Row],[国内定価
（15％）]])/(商品マスタ[[#This Row],[参考上代
（税込)]]/1.08), "")</f>
        <v/>
      </c>
      <c r="P771" s="136">
        <v>0.1</v>
      </c>
      <c r="Q771" s="134">
        <f>商品マスタ[[#This Row],[仕入
単価]]*商品マスタ[[#This Row],[標準国内送料率]]</f>
        <v>0</v>
      </c>
      <c r="R771" s="134"/>
      <c r="S771" s="134">
        <f>IF(ISBLANK(商品マスタ[[#This Row],[実績
国内送料]]),商品マスタ[[#This Row],[標準国内送料]],)</f>
        <v>0</v>
      </c>
      <c r="T771" s="134">
        <f>商品マスタ[[#This Row],[仕入
単価]]+商品マスタ[[#This Row],[国内送料]]</f>
        <v>0</v>
      </c>
      <c r="U771" s="134">
        <f>ROUNDUP(商品マスタ[[#This Row],[仕入単価+国内送料]]/0.8,-1)</f>
        <v>0</v>
      </c>
      <c r="V771" s="134">
        <f>商品マスタ[[#This Row],[海外定価
（20％）]]-商品マスタ[[#This Row],[仕入単価+国内送料]]</f>
        <v>0</v>
      </c>
      <c r="W771" s="87">
        <f>ROUNDUP(商品マスタ[[#This Row],[仕入単価+国内送料]]/0.85,-1)</f>
        <v>0</v>
      </c>
      <c r="X771" s="134">
        <f>商品マスタ[[#This Row],[国内定価
（15％）]]-商品マスタ[[#This Row],[仕入単価+国内送料]]</f>
        <v>0</v>
      </c>
      <c r="Y771" s="139"/>
      <c r="Z771" s="87"/>
      <c r="AA771" s="87"/>
      <c r="AB771" s="87"/>
      <c r="AC771" s="140"/>
      <c r="AD771" s="87"/>
      <c r="AE771" s="87"/>
      <c r="AF771" s="87"/>
      <c r="AG771" s="141"/>
    </row>
    <row r="772" spans="1:33" ht="18">
      <c r="A772" s="166"/>
      <c r="B772" s="167"/>
      <c r="C772" s="167"/>
      <c r="D772" s="143" t="str">
        <f>"PRD_SNJ_"&amp;
_xlfn.XLOOKUP(商品マスタ[[#This Row],[仕入先]],テーブル1[仕入先名],テーブル1[仕入先コード],"XXX",0,1)&amp;
"_"&amp;
商品マスタ[[#This Row],[シリアル]]&amp;
"_"&amp;
TEXT(COUNTIFS(商品マスタ!$C$3:C772,商品マスタ[[#This Row],[仕入先]],商品マスタ!$E$3:E772,商品マスタ[[#This Row],[商品名]]), "00")</f>
        <v>PRD_SNJ__0000_00</v>
      </c>
      <c r="E772" s="87"/>
      <c r="F772" s="87">
        <f>IF(COUNTIFS($C$3:C772,商品マスタ[[#This Row],[仕入先]],$E$3:E772,商品マスタ[[#This Row],[商品名]]) = 1, 1,0)</f>
        <v>0</v>
      </c>
      <c r="G772" s="133" t="str">
        <f>TEXT(SUMIF($C$3:C772,商品マスタ[[#This Row],[仕入先]],$F$3:F772), "0000")</f>
        <v>0000</v>
      </c>
      <c r="H772" s="87"/>
      <c r="I772" s="87"/>
      <c r="J772" s="87"/>
      <c r="K772" s="87"/>
      <c r="L772" s="134"/>
      <c r="M772" s="157"/>
      <c r="N772" s="134"/>
      <c r="O772" s="135" t="str">
        <f>IF(COUNT(商品マスタ[[#This Row],[参考上代
（税込)]]) &gt; 0, (商品マスタ[[#This Row],[参考上代
（税込)]]-商品マスタ[[#This Row],[国内定価
（15％）]])/(商品マスタ[[#This Row],[参考上代
（税込)]]/1.08), "")</f>
        <v/>
      </c>
      <c r="P772" s="136">
        <v>0.1</v>
      </c>
      <c r="Q772" s="134">
        <f>商品マスタ[[#This Row],[仕入
単価]]*商品マスタ[[#This Row],[標準国内送料率]]</f>
        <v>0</v>
      </c>
      <c r="R772" s="134"/>
      <c r="S772" s="134">
        <f>IF(ISBLANK(商品マスタ[[#This Row],[実績
国内送料]]),商品マスタ[[#This Row],[標準国内送料]],)</f>
        <v>0</v>
      </c>
      <c r="T772" s="134">
        <f>商品マスタ[[#This Row],[仕入
単価]]+商品マスタ[[#This Row],[国内送料]]</f>
        <v>0</v>
      </c>
      <c r="U772" s="134">
        <f>ROUNDUP(商品マスタ[[#This Row],[仕入単価+国内送料]]/0.8,-1)</f>
        <v>0</v>
      </c>
      <c r="V772" s="134">
        <f>商品マスタ[[#This Row],[海外定価
（20％）]]-商品マスタ[[#This Row],[仕入単価+国内送料]]</f>
        <v>0</v>
      </c>
      <c r="W772" s="87">
        <f>ROUNDUP(商品マスタ[[#This Row],[仕入単価+国内送料]]/0.85,-1)</f>
        <v>0</v>
      </c>
      <c r="X772" s="134">
        <f>商品マスタ[[#This Row],[国内定価
（15％）]]-商品マスタ[[#This Row],[仕入単価+国内送料]]</f>
        <v>0</v>
      </c>
      <c r="Y772" s="139"/>
      <c r="Z772" s="87"/>
      <c r="AA772" s="87"/>
      <c r="AB772" s="87"/>
      <c r="AC772" s="140"/>
      <c r="AD772" s="87"/>
      <c r="AE772" s="87"/>
      <c r="AF772" s="87"/>
      <c r="AG772" s="141"/>
    </row>
    <row r="773" spans="1:33" ht="18">
      <c r="A773" s="166"/>
      <c r="B773" s="167"/>
      <c r="C773" s="167"/>
      <c r="D773" s="143" t="str">
        <f>"PRD_SNJ_"&amp;
_xlfn.XLOOKUP(商品マスタ[[#This Row],[仕入先]],テーブル1[仕入先名],テーブル1[仕入先コード],"XXX",0,1)&amp;
"_"&amp;
商品マスタ[[#This Row],[シリアル]]&amp;
"_"&amp;
TEXT(COUNTIFS(商品マスタ!$C$3:C773,商品マスタ[[#This Row],[仕入先]],商品マスタ!$E$3:E773,商品マスタ[[#This Row],[商品名]]), "00")</f>
        <v>PRD_SNJ__0000_00</v>
      </c>
      <c r="E773" s="87"/>
      <c r="F773" s="87">
        <f>IF(COUNTIFS($C$3:C773,商品マスタ[[#This Row],[仕入先]],$E$3:E773,商品マスタ[[#This Row],[商品名]]) = 1, 1,0)</f>
        <v>0</v>
      </c>
      <c r="G773" s="133" t="str">
        <f>TEXT(SUMIF($C$3:C773,商品マスタ[[#This Row],[仕入先]],$F$3:F773), "0000")</f>
        <v>0000</v>
      </c>
      <c r="H773" s="87"/>
      <c r="I773" s="87"/>
      <c r="J773" s="87"/>
      <c r="K773" s="87"/>
      <c r="L773" s="134"/>
      <c r="M773" s="157"/>
      <c r="N773" s="134"/>
      <c r="O773" s="135" t="str">
        <f>IF(COUNT(商品マスタ[[#This Row],[参考上代
（税込)]]) &gt; 0, (商品マスタ[[#This Row],[参考上代
（税込)]]-商品マスタ[[#This Row],[国内定価
（15％）]])/(商品マスタ[[#This Row],[参考上代
（税込)]]/1.08), "")</f>
        <v/>
      </c>
      <c r="P773" s="136">
        <v>0.1</v>
      </c>
      <c r="Q773" s="134">
        <f>商品マスタ[[#This Row],[仕入
単価]]*商品マスタ[[#This Row],[標準国内送料率]]</f>
        <v>0</v>
      </c>
      <c r="R773" s="134"/>
      <c r="S773" s="134">
        <f>IF(ISBLANK(商品マスタ[[#This Row],[実績
国内送料]]),商品マスタ[[#This Row],[標準国内送料]],)</f>
        <v>0</v>
      </c>
      <c r="T773" s="134">
        <f>商品マスタ[[#This Row],[仕入
単価]]+商品マスタ[[#This Row],[国内送料]]</f>
        <v>0</v>
      </c>
      <c r="U773" s="134">
        <f>ROUNDUP(商品マスタ[[#This Row],[仕入単価+国内送料]]/0.8,-1)</f>
        <v>0</v>
      </c>
      <c r="V773" s="134">
        <f>商品マスタ[[#This Row],[海外定価
（20％）]]-商品マスタ[[#This Row],[仕入単価+国内送料]]</f>
        <v>0</v>
      </c>
      <c r="W773" s="87">
        <f>ROUNDUP(商品マスタ[[#This Row],[仕入単価+国内送料]]/0.85,-1)</f>
        <v>0</v>
      </c>
      <c r="X773" s="134">
        <f>商品マスタ[[#This Row],[国内定価
（15％）]]-商品マスタ[[#This Row],[仕入単価+国内送料]]</f>
        <v>0</v>
      </c>
      <c r="Y773" s="139"/>
      <c r="Z773" s="87"/>
      <c r="AA773" s="87"/>
      <c r="AB773" s="87"/>
      <c r="AC773" s="140"/>
      <c r="AD773" s="87"/>
      <c r="AE773" s="87"/>
      <c r="AF773" s="87"/>
      <c r="AG773" s="141"/>
    </row>
    <row r="774" spans="1:33" ht="18">
      <c r="A774" s="166"/>
      <c r="B774" s="167"/>
      <c r="C774" s="167"/>
      <c r="D774" s="143" t="str">
        <f>"PRD_SNJ_"&amp;
_xlfn.XLOOKUP(商品マスタ[[#This Row],[仕入先]],テーブル1[仕入先名],テーブル1[仕入先コード],"XXX",0,1)&amp;
"_"&amp;
商品マスタ[[#This Row],[シリアル]]&amp;
"_"&amp;
TEXT(COUNTIFS(商品マスタ!$C$3:C774,商品マスタ[[#This Row],[仕入先]],商品マスタ!$E$3:E774,商品マスタ[[#This Row],[商品名]]), "00")</f>
        <v>PRD_SNJ__0000_00</v>
      </c>
      <c r="E774" s="87"/>
      <c r="F774" s="87">
        <f>IF(COUNTIFS($C$3:C774,商品マスタ[[#This Row],[仕入先]],$E$3:E774,商品マスタ[[#This Row],[商品名]]) = 1, 1,0)</f>
        <v>0</v>
      </c>
      <c r="G774" s="133" t="str">
        <f>TEXT(SUMIF($C$3:C774,商品マスタ[[#This Row],[仕入先]],$F$3:F774), "0000")</f>
        <v>0000</v>
      </c>
      <c r="H774" s="87"/>
      <c r="I774" s="87"/>
      <c r="J774" s="87"/>
      <c r="K774" s="87"/>
      <c r="L774" s="134"/>
      <c r="M774" s="157"/>
      <c r="N774" s="134"/>
      <c r="O774" s="135" t="str">
        <f>IF(COUNT(商品マスタ[[#This Row],[参考上代
（税込)]]) &gt; 0, (商品マスタ[[#This Row],[参考上代
（税込)]]-商品マスタ[[#This Row],[国内定価
（15％）]])/(商品マスタ[[#This Row],[参考上代
（税込)]]/1.08), "")</f>
        <v/>
      </c>
      <c r="P774" s="136">
        <v>0.1</v>
      </c>
      <c r="Q774" s="134">
        <f>商品マスタ[[#This Row],[仕入
単価]]*商品マスタ[[#This Row],[標準国内送料率]]</f>
        <v>0</v>
      </c>
      <c r="R774" s="134"/>
      <c r="S774" s="134">
        <f>IF(ISBLANK(商品マスタ[[#This Row],[実績
国内送料]]),商品マスタ[[#This Row],[標準国内送料]],)</f>
        <v>0</v>
      </c>
      <c r="T774" s="134">
        <f>商品マスタ[[#This Row],[仕入
単価]]+商品マスタ[[#This Row],[国内送料]]</f>
        <v>0</v>
      </c>
      <c r="U774" s="134">
        <f>ROUNDUP(商品マスタ[[#This Row],[仕入単価+国内送料]]/0.8,-1)</f>
        <v>0</v>
      </c>
      <c r="V774" s="134">
        <f>商品マスタ[[#This Row],[海外定価
（20％）]]-商品マスタ[[#This Row],[仕入単価+国内送料]]</f>
        <v>0</v>
      </c>
      <c r="W774" s="87">
        <f>ROUNDUP(商品マスタ[[#This Row],[仕入単価+国内送料]]/0.85,-1)</f>
        <v>0</v>
      </c>
      <c r="X774" s="134">
        <f>商品マスタ[[#This Row],[国内定価
（15％）]]-商品マスタ[[#This Row],[仕入単価+国内送料]]</f>
        <v>0</v>
      </c>
      <c r="Y774" s="139"/>
      <c r="Z774" s="87"/>
      <c r="AA774" s="87"/>
      <c r="AB774" s="87"/>
      <c r="AC774" s="140"/>
      <c r="AD774" s="87"/>
      <c r="AE774" s="87"/>
      <c r="AF774" s="87"/>
      <c r="AG774" s="141"/>
    </row>
    <row r="775" spans="1:33" ht="18">
      <c r="A775" s="166"/>
      <c r="B775" s="167"/>
      <c r="C775" s="167"/>
      <c r="D775" s="143" t="str">
        <f>"PRD_SNJ_"&amp;
_xlfn.XLOOKUP(商品マスタ[[#This Row],[仕入先]],テーブル1[仕入先名],テーブル1[仕入先コード],"XXX",0,1)&amp;
"_"&amp;
商品マスタ[[#This Row],[シリアル]]&amp;
"_"&amp;
TEXT(COUNTIFS(商品マスタ!$C$3:C775,商品マスタ[[#This Row],[仕入先]],商品マスタ!$E$3:E775,商品マスタ[[#This Row],[商品名]]), "00")</f>
        <v>PRD_SNJ__0000_00</v>
      </c>
      <c r="E775" s="87"/>
      <c r="F775" s="87">
        <f>IF(COUNTIFS($C$3:C775,商品マスタ[[#This Row],[仕入先]],$E$3:E775,商品マスタ[[#This Row],[商品名]]) = 1, 1,0)</f>
        <v>0</v>
      </c>
      <c r="G775" s="133" t="str">
        <f>TEXT(SUMIF($C$3:C775,商品マスタ[[#This Row],[仕入先]],$F$3:F775), "0000")</f>
        <v>0000</v>
      </c>
      <c r="H775" s="87"/>
      <c r="I775" s="87"/>
      <c r="J775" s="87"/>
      <c r="K775" s="87"/>
      <c r="L775" s="134"/>
      <c r="M775" s="157"/>
      <c r="N775" s="134"/>
      <c r="O775" s="135" t="str">
        <f>IF(COUNT(商品マスタ[[#This Row],[参考上代
（税込)]]) &gt; 0, (商品マスタ[[#This Row],[参考上代
（税込)]]-商品マスタ[[#This Row],[国内定価
（15％）]])/(商品マスタ[[#This Row],[参考上代
（税込)]]/1.08), "")</f>
        <v/>
      </c>
      <c r="P775" s="136">
        <v>0.1</v>
      </c>
      <c r="Q775" s="134">
        <f>商品マスタ[[#This Row],[仕入
単価]]*商品マスタ[[#This Row],[標準国内送料率]]</f>
        <v>0</v>
      </c>
      <c r="R775" s="134"/>
      <c r="S775" s="134">
        <f>IF(ISBLANK(商品マスタ[[#This Row],[実績
国内送料]]),商品マスタ[[#This Row],[標準国内送料]],)</f>
        <v>0</v>
      </c>
      <c r="T775" s="134">
        <f>商品マスタ[[#This Row],[仕入
単価]]+商品マスタ[[#This Row],[国内送料]]</f>
        <v>0</v>
      </c>
      <c r="U775" s="134">
        <f>ROUNDUP(商品マスタ[[#This Row],[仕入単価+国内送料]]/0.8,-1)</f>
        <v>0</v>
      </c>
      <c r="V775" s="134">
        <f>商品マスタ[[#This Row],[海外定価
（20％）]]-商品マスタ[[#This Row],[仕入単価+国内送料]]</f>
        <v>0</v>
      </c>
      <c r="W775" s="87">
        <f>ROUNDUP(商品マスタ[[#This Row],[仕入単価+国内送料]]/0.85,-1)</f>
        <v>0</v>
      </c>
      <c r="X775" s="134">
        <f>商品マスタ[[#This Row],[国内定価
（15％）]]-商品マスタ[[#This Row],[仕入単価+国内送料]]</f>
        <v>0</v>
      </c>
      <c r="Y775" s="139"/>
      <c r="Z775" s="87"/>
      <c r="AA775" s="87"/>
      <c r="AB775" s="87"/>
      <c r="AC775" s="140"/>
      <c r="AD775" s="87"/>
      <c r="AE775" s="87"/>
      <c r="AF775" s="87"/>
      <c r="AG775" s="141"/>
    </row>
    <row r="776" spans="1:33" ht="18">
      <c r="A776" s="166"/>
      <c r="B776" s="167"/>
      <c r="C776" s="167"/>
      <c r="D776" s="143" t="str">
        <f>"PRD_SNJ_"&amp;
_xlfn.XLOOKUP(商品マスタ[[#This Row],[仕入先]],テーブル1[仕入先名],テーブル1[仕入先コード],"XXX",0,1)&amp;
"_"&amp;
商品マスタ[[#This Row],[シリアル]]&amp;
"_"&amp;
TEXT(COUNTIFS(商品マスタ!$C$3:C776,商品マスタ[[#This Row],[仕入先]],商品マスタ!$E$3:E776,商品マスタ[[#This Row],[商品名]]), "00")</f>
        <v>PRD_SNJ__0000_00</v>
      </c>
      <c r="E776" s="87"/>
      <c r="F776" s="87">
        <f>IF(COUNTIFS($C$3:C776,商品マスタ[[#This Row],[仕入先]],$E$3:E776,商品マスタ[[#This Row],[商品名]]) = 1, 1,0)</f>
        <v>0</v>
      </c>
      <c r="G776" s="133" t="str">
        <f>TEXT(SUMIF($C$3:C776,商品マスタ[[#This Row],[仕入先]],$F$3:F776), "0000")</f>
        <v>0000</v>
      </c>
      <c r="H776" s="87"/>
      <c r="I776" s="87"/>
      <c r="J776" s="87"/>
      <c r="K776" s="87"/>
      <c r="L776" s="134"/>
      <c r="M776" s="157"/>
      <c r="N776" s="134"/>
      <c r="O776" s="135" t="str">
        <f>IF(COUNT(商品マスタ[[#This Row],[参考上代
（税込)]]) &gt; 0, (商品マスタ[[#This Row],[参考上代
（税込)]]-商品マスタ[[#This Row],[国内定価
（15％）]])/(商品マスタ[[#This Row],[参考上代
（税込)]]/1.08), "")</f>
        <v/>
      </c>
      <c r="P776" s="136">
        <v>0.1</v>
      </c>
      <c r="Q776" s="134">
        <f>商品マスタ[[#This Row],[仕入
単価]]*商品マスタ[[#This Row],[標準国内送料率]]</f>
        <v>0</v>
      </c>
      <c r="R776" s="134"/>
      <c r="S776" s="134">
        <f>IF(ISBLANK(商品マスタ[[#This Row],[実績
国内送料]]),商品マスタ[[#This Row],[標準国内送料]],)</f>
        <v>0</v>
      </c>
      <c r="T776" s="134">
        <f>商品マスタ[[#This Row],[仕入
単価]]+商品マスタ[[#This Row],[国内送料]]</f>
        <v>0</v>
      </c>
      <c r="U776" s="134">
        <f>ROUNDUP(商品マスタ[[#This Row],[仕入単価+国内送料]]/0.8,-1)</f>
        <v>0</v>
      </c>
      <c r="V776" s="134">
        <f>商品マスタ[[#This Row],[海外定価
（20％）]]-商品マスタ[[#This Row],[仕入単価+国内送料]]</f>
        <v>0</v>
      </c>
      <c r="W776" s="87">
        <f>ROUNDUP(商品マスタ[[#This Row],[仕入単価+国内送料]]/0.85,-1)</f>
        <v>0</v>
      </c>
      <c r="X776" s="134">
        <f>商品マスタ[[#This Row],[国内定価
（15％）]]-商品マスタ[[#This Row],[仕入単価+国内送料]]</f>
        <v>0</v>
      </c>
      <c r="Y776" s="139"/>
      <c r="Z776" s="87"/>
      <c r="AA776" s="87"/>
      <c r="AB776" s="87"/>
      <c r="AC776" s="140"/>
      <c r="AD776" s="87"/>
      <c r="AE776" s="87"/>
      <c r="AF776" s="87"/>
      <c r="AG776" s="141"/>
    </row>
    <row r="777" spans="1:33" ht="18">
      <c r="A777" s="166"/>
      <c r="B777" s="167"/>
      <c r="C777" s="167"/>
      <c r="D777" s="143" t="str">
        <f>"PRD_SNJ_"&amp;
_xlfn.XLOOKUP(商品マスタ[[#This Row],[仕入先]],テーブル1[仕入先名],テーブル1[仕入先コード],"XXX",0,1)&amp;
"_"&amp;
商品マスタ[[#This Row],[シリアル]]&amp;
"_"&amp;
TEXT(COUNTIFS(商品マスタ!$C$3:C777,商品マスタ[[#This Row],[仕入先]],商品マスタ!$E$3:E777,商品マスタ[[#This Row],[商品名]]), "00")</f>
        <v>PRD_SNJ__0000_00</v>
      </c>
      <c r="E777" s="87"/>
      <c r="F777" s="87">
        <f>IF(COUNTIFS($C$3:C777,商品マスタ[[#This Row],[仕入先]],$E$3:E777,商品マスタ[[#This Row],[商品名]]) = 1, 1,0)</f>
        <v>0</v>
      </c>
      <c r="G777" s="133" t="str">
        <f>TEXT(SUMIF($C$3:C777,商品マスタ[[#This Row],[仕入先]],$F$3:F777), "0000")</f>
        <v>0000</v>
      </c>
      <c r="H777" s="87"/>
      <c r="I777" s="87"/>
      <c r="J777" s="87"/>
      <c r="K777" s="87"/>
      <c r="L777" s="134"/>
      <c r="M777" s="157"/>
      <c r="N777" s="134"/>
      <c r="O777" s="135" t="str">
        <f>IF(COUNT(商品マスタ[[#This Row],[参考上代
（税込)]]) &gt; 0, (商品マスタ[[#This Row],[参考上代
（税込)]]-商品マスタ[[#This Row],[国内定価
（15％）]])/(商品マスタ[[#This Row],[参考上代
（税込)]]/1.08), "")</f>
        <v/>
      </c>
      <c r="P777" s="136">
        <v>0.1</v>
      </c>
      <c r="Q777" s="134">
        <f>商品マスタ[[#This Row],[仕入
単価]]*商品マスタ[[#This Row],[標準国内送料率]]</f>
        <v>0</v>
      </c>
      <c r="R777" s="134"/>
      <c r="S777" s="134">
        <f>IF(ISBLANK(商品マスタ[[#This Row],[実績
国内送料]]),商品マスタ[[#This Row],[標準国内送料]],)</f>
        <v>0</v>
      </c>
      <c r="T777" s="134">
        <f>商品マスタ[[#This Row],[仕入
単価]]+商品マスタ[[#This Row],[国内送料]]</f>
        <v>0</v>
      </c>
      <c r="U777" s="134">
        <f>ROUNDUP(商品マスタ[[#This Row],[仕入単価+国内送料]]/0.8,-1)</f>
        <v>0</v>
      </c>
      <c r="V777" s="134">
        <f>商品マスタ[[#This Row],[海外定価
（20％）]]-商品マスタ[[#This Row],[仕入単価+国内送料]]</f>
        <v>0</v>
      </c>
      <c r="W777" s="87">
        <f>ROUNDUP(商品マスタ[[#This Row],[仕入単価+国内送料]]/0.85,-1)</f>
        <v>0</v>
      </c>
      <c r="X777" s="134">
        <f>商品マスタ[[#This Row],[国内定価
（15％）]]-商品マスタ[[#This Row],[仕入単価+国内送料]]</f>
        <v>0</v>
      </c>
      <c r="Y777" s="139"/>
      <c r="Z777" s="87"/>
      <c r="AA777" s="87"/>
      <c r="AB777" s="87"/>
      <c r="AC777" s="140"/>
      <c r="AD777" s="87"/>
      <c r="AE777" s="87"/>
      <c r="AF777" s="87"/>
      <c r="AG777" s="141"/>
    </row>
    <row r="778" spans="1:33" ht="18">
      <c r="A778" s="166"/>
      <c r="B778" s="167"/>
      <c r="C778" s="167"/>
      <c r="D778" s="143" t="str">
        <f>"PRD_SNJ_"&amp;
_xlfn.XLOOKUP(商品マスタ[[#This Row],[仕入先]],テーブル1[仕入先名],テーブル1[仕入先コード],"XXX",0,1)&amp;
"_"&amp;
商品マスタ[[#This Row],[シリアル]]&amp;
"_"&amp;
TEXT(COUNTIFS(商品マスタ!$C$3:C778,商品マスタ[[#This Row],[仕入先]],商品マスタ!$E$3:E778,商品マスタ[[#This Row],[商品名]]), "00")</f>
        <v>PRD_SNJ__0000_00</v>
      </c>
      <c r="E778" s="87"/>
      <c r="F778" s="87">
        <f>IF(COUNTIFS($C$3:C778,商品マスタ[[#This Row],[仕入先]],$E$3:E778,商品マスタ[[#This Row],[商品名]]) = 1, 1,0)</f>
        <v>0</v>
      </c>
      <c r="G778" s="133" t="str">
        <f>TEXT(SUMIF($C$3:C778,商品マスタ[[#This Row],[仕入先]],$F$3:F778), "0000")</f>
        <v>0000</v>
      </c>
      <c r="H778" s="87"/>
      <c r="I778" s="87"/>
      <c r="J778" s="87"/>
      <c r="K778" s="87"/>
      <c r="L778" s="134"/>
      <c r="M778" s="157"/>
      <c r="N778" s="134"/>
      <c r="O778" s="135" t="str">
        <f>IF(COUNT(商品マスタ[[#This Row],[参考上代
（税込)]]) &gt; 0, (商品マスタ[[#This Row],[参考上代
（税込)]]-商品マスタ[[#This Row],[国内定価
（15％）]])/(商品マスタ[[#This Row],[参考上代
（税込)]]/1.08), "")</f>
        <v/>
      </c>
      <c r="P778" s="136">
        <v>0.1</v>
      </c>
      <c r="Q778" s="134">
        <f>商品マスタ[[#This Row],[仕入
単価]]*商品マスタ[[#This Row],[標準国内送料率]]</f>
        <v>0</v>
      </c>
      <c r="R778" s="134"/>
      <c r="S778" s="134">
        <f>IF(ISBLANK(商品マスタ[[#This Row],[実績
国内送料]]),商品マスタ[[#This Row],[標準国内送料]],)</f>
        <v>0</v>
      </c>
      <c r="T778" s="134">
        <f>商品マスタ[[#This Row],[仕入
単価]]+商品マスタ[[#This Row],[国内送料]]</f>
        <v>0</v>
      </c>
      <c r="U778" s="134">
        <f>ROUNDUP(商品マスタ[[#This Row],[仕入単価+国内送料]]/0.8,-1)</f>
        <v>0</v>
      </c>
      <c r="V778" s="134">
        <f>商品マスタ[[#This Row],[海外定価
（20％）]]-商品マスタ[[#This Row],[仕入単価+国内送料]]</f>
        <v>0</v>
      </c>
      <c r="W778" s="87">
        <f>ROUNDUP(商品マスタ[[#This Row],[仕入単価+国内送料]]/0.85,-1)</f>
        <v>0</v>
      </c>
      <c r="X778" s="134">
        <f>商品マスタ[[#This Row],[国内定価
（15％）]]-商品マスタ[[#This Row],[仕入単価+国内送料]]</f>
        <v>0</v>
      </c>
      <c r="Y778" s="139"/>
      <c r="Z778" s="87"/>
      <c r="AA778" s="87"/>
      <c r="AB778" s="87"/>
      <c r="AC778" s="140"/>
      <c r="AD778" s="87"/>
      <c r="AE778" s="87"/>
      <c r="AF778" s="87"/>
      <c r="AG778" s="141"/>
    </row>
    <row r="779" spans="1:33" ht="18">
      <c r="A779" s="166"/>
      <c r="B779" s="167"/>
      <c r="C779" s="167"/>
      <c r="D779" s="143" t="str">
        <f>"PRD_SNJ_"&amp;
_xlfn.XLOOKUP(商品マスタ[[#This Row],[仕入先]],テーブル1[仕入先名],テーブル1[仕入先コード],"XXX",0,1)&amp;
"_"&amp;
商品マスタ[[#This Row],[シリアル]]&amp;
"_"&amp;
TEXT(COUNTIFS(商品マスタ!$C$3:C779,商品マスタ[[#This Row],[仕入先]],商品マスタ!$E$3:E779,商品マスタ[[#This Row],[商品名]]), "00")</f>
        <v>PRD_SNJ__0000_00</v>
      </c>
      <c r="E779" s="87"/>
      <c r="F779" s="87">
        <f>IF(COUNTIFS($C$3:C779,商品マスタ[[#This Row],[仕入先]],$E$3:E779,商品マスタ[[#This Row],[商品名]]) = 1, 1,0)</f>
        <v>0</v>
      </c>
      <c r="G779" s="133" t="str">
        <f>TEXT(SUMIF($C$3:C779,商品マスタ[[#This Row],[仕入先]],$F$3:F779), "0000")</f>
        <v>0000</v>
      </c>
      <c r="H779" s="87"/>
      <c r="I779" s="87"/>
      <c r="J779" s="87"/>
      <c r="K779" s="87"/>
      <c r="L779" s="134"/>
      <c r="M779" s="157"/>
      <c r="N779" s="134"/>
      <c r="O779" s="135" t="str">
        <f>IF(COUNT(商品マスタ[[#This Row],[参考上代
（税込)]]) &gt; 0, (商品マスタ[[#This Row],[参考上代
（税込)]]-商品マスタ[[#This Row],[国内定価
（15％）]])/(商品マスタ[[#This Row],[参考上代
（税込)]]/1.08), "")</f>
        <v/>
      </c>
      <c r="P779" s="136">
        <v>0.1</v>
      </c>
      <c r="Q779" s="134">
        <f>商品マスタ[[#This Row],[仕入
単価]]*商品マスタ[[#This Row],[標準国内送料率]]</f>
        <v>0</v>
      </c>
      <c r="R779" s="134"/>
      <c r="S779" s="134">
        <f>IF(ISBLANK(商品マスタ[[#This Row],[実績
国内送料]]),商品マスタ[[#This Row],[標準国内送料]],)</f>
        <v>0</v>
      </c>
      <c r="T779" s="134">
        <f>商品マスタ[[#This Row],[仕入
単価]]+商品マスタ[[#This Row],[国内送料]]</f>
        <v>0</v>
      </c>
      <c r="U779" s="134">
        <f>ROUNDUP(商品マスタ[[#This Row],[仕入単価+国内送料]]/0.8,-1)</f>
        <v>0</v>
      </c>
      <c r="V779" s="134">
        <f>商品マスタ[[#This Row],[海外定価
（20％）]]-商品マスタ[[#This Row],[仕入単価+国内送料]]</f>
        <v>0</v>
      </c>
      <c r="W779" s="87">
        <f>ROUNDUP(商品マスタ[[#This Row],[仕入単価+国内送料]]/0.85,-1)</f>
        <v>0</v>
      </c>
      <c r="X779" s="134">
        <f>商品マスタ[[#This Row],[国内定価
（15％）]]-商品マスタ[[#This Row],[仕入単価+国内送料]]</f>
        <v>0</v>
      </c>
      <c r="Y779" s="139"/>
      <c r="Z779" s="87"/>
      <c r="AA779" s="87"/>
      <c r="AB779" s="87"/>
      <c r="AC779" s="140"/>
      <c r="AD779" s="87"/>
      <c r="AE779" s="87"/>
      <c r="AF779" s="87"/>
      <c r="AG779" s="141"/>
    </row>
    <row r="780" spans="1:33" ht="18">
      <c r="A780" s="166"/>
      <c r="B780" s="167"/>
      <c r="C780" s="167"/>
      <c r="D780" s="143" t="str">
        <f>"PRD_SNJ_"&amp;
_xlfn.XLOOKUP(商品マスタ[[#This Row],[仕入先]],テーブル1[仕入先名],テーブル1[仕入先コード],"XXX",0,1)&amp;
"_"&amp;
商品マスタ[[#This Row],[シリアル]]&amp;
"_"&amp;
TEXT(COUNTIFS(商品マスタ!$C$3:C780,商品マスタ[[#This Row],[仕入先]],商品マスタ!$E$3:E780,商品マスタ[[#This Row],[商品名]]), "00")</f>
        <v>PRD_SNJ__0000_00</v>
      </c>
      <c r="E780" s="87"/>
      <c r="F780" s="87">
        <f>IF(COUNTIFS($C$3:C780,商品マスタ[[#This Row],[仕入先]],$E$3:E780,商品マスタ[[#This Row],[商品名]]) = 1, 1,0)</f>
        <v>0</v>
      </c>
      <c r="G780" s="133" t="str">
        <f>TEXT(SUMIF($C$3:C780,商品マスタ[[#This Row],[仕入先]],$F$3:F780), "0000")</f>
        <v>0000</v>
      </c>
      <c r="H780" s="87"/>
      <c r="I780" s="87"/>
      <c r="J780" s="87"/>
      <c r="K780" s="87"/>
      <c r="L780" s="134"/>
      <c r="M780" s="157"/>
      <c r="N780" s="134"/>
      <c r="O780" s="135" t="str">
        <f>IF(COUNT(商品マスタ[[#This Row],[参考上代
（税込)]]) &gt; 0, (商品マスタ[[#This Row],[参考上代
（税込)]]-商品マスタ[[#This Row],[国内定価
（15％）]])/(商品マスタ[[#This Row],[参考上代
（税込)]]/1.08), "")</f>
        <v/>
      </c>
      <c r="P780" s="136">
        <v>0.1</v>
      </c>
      <c r="Q780" s="134">
        <f>商品マスタ[[#This Row],[仕入
単価]]*商品マスタ[[#This Row],[標準国内送料率]]</f>
        <v>0</v>
      </c>
      <c r="R780" s="134"/>
      <c r="S780" s="134">
        <f>IF(ISBLANK(商品マスタ[[#This Row],[実績
国内送料]]),商品マスタ[[#This Row],[標準国内送料]],)</f>
        <v>0</v>
      </c>
      <c r="T780" s="134">
        <f>商品マスタ[[#This Row],[仕入
単価]]+商品マスタ[[#This Row],[国内送料]]</f>
        <v>0</v>
      </c>
      <c r="U780" s="134">
        <f>ROUNDUP(商品マスタ[[#This Row],[仕入単価+国内送料]]/0.8,-1)</f>
        <v>0</v>
      </c>
      <c r="V780" s="134">
        <f>商品マスタ[[#This Row],[海外定価
（20％）]]-商品マスタ[[#This Row],[仕入単価+国内送料]]</f>
        <v>0</v>
      </c>
      <c r="W780" s="87">
        <f>ROUNDUP(商品マスタ[[#This Row],[仕入単価+国内送料]]/0.85,-1)</f>
        <v>0</v>
      </c>
      <c r="X780" s="134">
        <f>商品マスタ[[#This Row],[国内定価
（15％）]]-商品マスタ[[#This Row],[仕入単価+国内送料]]</f>
        <v>0</v>
      </c>
      <c r="Y780" s="139"/>
      <c r="Z780" s="87"/>
      <c r="AA780" s="87"/>
      <c r="AB780" s="87"/>
      <c r="AC780" s="140"/>
      <c r="AD780" s="87"/>
      <c r="AE780" s="87"/>
      <c r="AF780" s="87"/>
      <c r="AG780" s="141"/>
    </row>
    <row r="781" spans="1:33" ht="18">
      <c r="A781" s="166"/>
      <c r="B781" s="167"/>
      <c r="C781" s="167"/>
      <c r="D781" s="143" t="str">
        <f>"PRD_SNJ_"&amp;
_xlfn.XLOOKUP(商品マスタ[[#This Row],[仕入先]],テーブル1[仕入先名],テーブル1[仕入先コード],"XXX",0,1)&amp;
"_"&amp;
商品マスタ[[#This Row],[シリアル]]&amp;
"_"&amp;
TEXT(COUNTIFS(商品マスタ!$C$3:C781,商品マスタ[[#This Row],[仕入先]],商品マスタ!$E$3:E781,商品マスタ[[#This Row],[商品名]]), "00")</f>
        <v>PRD_SNJ__0000_00</v>
      </c>
      <c r="E781" s="87"/>
      <c r="F781" s="87">
        <f>IF(COUNTIFS($C$3:C781,商品マスタ[[#This Row],[仕入先]],$E$3:E781,商品マスタ[[#This Row],[商品名]]) = 1, 1,0)</f>
        <v>0</v>
      </c>
      <c r="G781" s="133" t="str">
        <f>TEXT(SUMIF($C$3:C781,商品マスタ[[#This Row],[仕入先]],$F$3:F781), "0000")</f>
        <v>0000</v>
      </c>
      <c r="H781" s="87"/>
      <c r="I781" s="87"/>
      <c r="J781" s="87"/>
      <c r="K781" s="87"/>
      <c r="L781" s="134"/>
      <c r="M781" s="157"/>
      <c r="N781" s="134"/>
      <c r="O781" s="135" t="str">
        <f>IF(COUNT(商品マスタ[[#This Row],[参考上代
（税込)]]) &gt; 0, (商品マスタ[[#This Row],[参考上代
（税込)]]-商品マスタ[[#This Row],[国内定価
（15％）]])/(商品マスタ[[#This Row],[参考上代
（税込)]]/1.08), "")</f>
        <v/>
      </c>
      <c r="P781" s="136">
        <v>0.1</v>
      </c>
      <c r="Q781" s="134">
        <f>商品マスタ[[#This Row],[仕入
単価]]*商品マスタ[[#This Row],[標準国内送料率]]</f>
        <v>0</v>
      </c>
      <c r="R781" s="134"/>
      <c r="S781" s="134">
        <f>IF(ISBLANK(商品マスタ[[#This Row],[実績
国内送料]]),商品マスタ[[#This Row],[標準国内送料]],)</f>
        <v>0</v>
      </c>
      <c r="T781" s="134">
        <f>商品マスタ[[#This Row],[仕入
単価]]+商品マスタ[[#This Row],[国内送料]]</f>
        <v>0</v>
      </c>
      <c r="U781" s="134">
        <f>ROUNDUP(商品マスタ[[#This Row],[仕入単価+国内送料]]/0.8,-1)</f>
        <v>0</v>
      </c>
      <c r="V781" s="134">
        <f>商品マスタ[[#This Row],[海外定価
（20％）]]-商品マスタ[[#This Row],[仕入単価+国内送料]]</f>
        <v>0</v>
      </c>
      <c r="W781" s="87">
        <f>ROUNDUP(商品マスタ[[#This Row],[仕入単価+国内送料]]/0.85,-1)</f>
        <v>0</v>
      </c>
      <c r="X781" s="134">
        <f>商品マスタ[[#This Row],[国内定価
（15％）]]-商品マスタ[[#This Row],[仕入単価+国内送料]]</f>
        <v>0</v>
      </c>
      <c r="Y781" s="139"/>
      <c r="Z781" s="87"/>
      <c r="AA781" s="87"/>
      <c r="AB781" s="87"/>
      <c r="AC781" s="140"/>
      <c r="AD781" s="87"/>
      <c r="AE781" s="87"/>
      <c r="AF781" s="87"/>
      <c r="AG781" s="141"/>
    </row>
    <row r="782" spans="1:33" ht="18">
      <c r="A782" s="166"/>
      <c r="B782" s="167"/>
      <c r="C782" s="167"/>
      <c r="D782" s="143" t="str">
        <f>"PRD_SNJ_"&amp;
_xlfn.XLOOKUP(商品マスタ[[#This Row],[仕入先]],テーブル1[仕入先名],テーブル1[仕入先コード],"XXX",0,1)&amp;
"_"&amp;
商品マスタ[[#This Row],[シリアル]]&amp;
"_"&amp;
TEXT(COUNTIFS(商品マスタ!$C$3:C782,商品マスタ[[#This Row],[仕入先]],商品マスタ!$E$3:E782,商品マスタ[[#This Row],[商品名]]), "00")</f>
        <v>PRD_SNJ__0000_00</v>
      </c>
      <c r="E782" s="87"/>
      <c r="F782" s="87">
        <f>IF(COUNTIFS($C$3:C782,商品マスタ[[#This Row],[仕入先]],$E$3:E782,商品マスタ[[#This Row],[商品名]]) = 1, 1,0)</f>
        <v>0</v>
      </c>
      <c r="G782" s="133" t="str">
        <f>TEXT(SUMIF($C$3:C782,商品マスタ[[#This Row],[仕入先]],$F$3:F782), "0000")</f>
        <v>0000</v>
      </c>
      <c r="H782" s="87"/>
      <c r="I782" s="87"/>
      <c r="J782" s="87"/>
      <c r="K782" s="87"/>
      <c r="L782" s="134"/>
      <c r="M782" s="157"/>
      <c r="N782" s="134"/>
      <c r="O782" s="135" t="str">
        <f>IF(COUNT(商品マスタ[[#This Row],[参考上代
（税込)]]) &gt; 0, (商品マスタ[[#This Row],[参考上代
（税込)]]-商品マスタ[[#This Row],[国内定価
（15％）]])/(商品マスタ[[#This Row],[参考上代
（税込)]]/1.08), "")</f>
        <v/>
      </c>
      <c r="P782" s="136">
        <v>0.1</v>
      </c>
      <c r="Q782" s="134">
        <f>商品マスタ[[#This Row],[仕入
単価]]*商品マスタ[[#This Row],[標準国内送料率]]</f>
        <v>0</v>
      </c>
      <c r="R782" s="134"/>
      <c r="S782" s="134">
        <f>IF(ISBLANK(商品マスタ[[#This Row],[実績
国内送料]]),商品マスタ[[#This Row],[標準国内送料]],)</f>
        <v>0</v>
      </c>
      <c r="T782" s="134">
        <f>商品マスタ[[#This Row],[仕入
単価]]+商品マスタ[[#This Row],[国内送料]]</f>
        <v>0</v>
      </c>
      <c r="U782" s="134">
        <f>ROUNDUP(商品マスタ[[#This Row],[仕入単価+国内送料]]/0.8,-1)</f>
        <v>0</v>
      </c>
      <c r="V782" s="134">
        <f>商品マスタ[[#This Row],[海外定価
（20％）]]-商品マスタ[[#This Row],[仕入単価+国内送料]]</f>
        <v>0</v>
      </c>
      <c r="W782" s="87">
        <f>ROUNDUP(商品マスタ[[#This Row],[仕入単価+国内送料]]/0.85,-1)</f>
        <v>0</v>
      </c>
      <c r="X782" s="134">
        <f>商品マスタ[[#This Row],[国内定価
（15％）]]-商品マスタ[[#This Row],[仕入単価+国内送料]]</f>
        <v>0</v>
      </c>
      <c r="Y782" s="139"/>
      <c r="Z782" s="87"/>
      <c r="AA782" s="87"/>
      <c r="AB782" s="87"/>
      <c r="AC782" s="140"/>
      <c r="AD782" s="87"/>
      <c r="AE782" s="87"/>
      <c r="AF782" s="87"/>
      <c r="AG782" s="141"/>
    </row>
    <row r="783" spans="1:33" ht="18">
      <c r="A783" s="166"/>
      <c r="B783" s="167"/>
      <c r="C783" s="167"/>
      <c r="D783" s="143" t="str">
        <f>"PRD_SNJ_"&amp;
_xlfn.XLOOKUP(商品マスタ[[#This Row],[仕入先]],テーブル1[仕入先名],テーブル1[仕入先コード],"XXX",0,1)&amp;
"_"&amp;
商品マスタ[[#This Row],[シリアル]]&amp;
"_"&amp;
TEXT(COUNTIFS(商品マスタ!$C$3:C783,商品マスタ[[#This Row],[仕入先]],商品マスタ!$E$3:E783,商品マスタ[[#This Row],[商品名]]), "00")</f>
        <v>PRD_SNJ__0000_00</v>
      </c>
      <c r="E783" s="87"/>
      <c r="F783" s="87">
        <f>IF(COUNTIFS($C$3:C783,商品マスタ[[#This Row],[仕入先]],$E$3:E783,商品マスタ[[#This Row],[商品名]]) = 1, 1,0)</f>
        <v>0</v>
      </c>
      <c r="G783" s="133" t="str">
        <f>TEXT(SUMIF($C$3:C783,商品マスタ[[#This Row],[仕入先]],$F$3:F783), "0000")</f>
        <v>0000</v>
      </c>
      <c r="H783" s="87"/>
      <c r="I783" s="87"/>
      <c r="J783" s="87"/>
      <c r="K783" s="87"/>
      <c r="L783" s="134"/>
      <c r="M783" s="157"/>
      <c r="N783" s="134"/>
      <c r="O783" s="135" t="str">
        <f>IF(COUNT(商品マスタ[[#This Row],[参考上代
（税込)]]) &gt; 0, (商品マスタ[[#This Row],[参考上代
（税込)]]-商品マスタ[[#This Row],[国内定価
（15％）]])/(商品マスタ[[#This Row],[参考上代
（税込)]]/1.08), "")</f>
        <v/>
      </c>
      <c r="P783" s="136">
        <v>0.1</v>
      </c>
      <c r="Q783" s="134">
        <f>商品マスタ[[#This Row],[仕入
単価]]*商品マスタ[[#This Row],[標準国内送料率]]</f>
        <v>0</v>
      </c>
      <c r="R783" s="134"/>
      <c r="S783" s="134">
        <f>IF(ISBLANK(商品マスタ[[#This Row],[実績
国内送料]]),商品マスタ[[#This Row],[標準国内送料]],)</f>
        <v>0</v>
      </c>
      <c r="T783" s="134">
        <f>商品マスタ[[#This Row],[仕入
単価]]+商品マスタ[[#This Row],[国内送料]]</f>
        <v>0</v>
      </c>
      <c r="U783" s="134">
        <f>ROUNDUP(商品マスタ[[#This Row],[仕入単価+国内送料]]/0.8,-1)</f>
        <v>0</v>
      </c>
      <c r="V783" s="134">
        <f>商品マスタ[[#This Row],[海外定価
（20％）]]-商品マスタ[[#This Row],[仕入単価+国内送料]]</f>
        <v>0</v>
      </c>
      <c r="W783" s="87">
        <f>ROUNDUP(商品マスタ[[#This Row],[仕入単価+国内送料]]/0.85,-1)</f>
        <v>0</v>
      </c>
      <c r="X783" s="134">
        <f>商品マスタ[[#This Row],[国内定価
（15％）]]-商品マスタ[[#This Row],[仕入単価+国内送料]]</f>
        <v>0</v>
      </c>
      <c r="Y783" s="139"/>
      <c r="Z783" s="87"/>
      <c r="AA783" s="87"/>
      <c r="AB783" s="87"/>
      <c r="AC783" s="140"/>
      <c r="AD783" s="87"/>
      <c r="AE783" s="87"/>
      <c r="AF783" s="87"/>
      <c r="AG783" s="141"/>
    </row>
    <row r="784" spans="1:33" ht="18">
      <c r="A784" s="166"/>
      <c r="B784" s="167"/>
      <c r="C784" s="167"/>
      <c r="D784" s="143" t="str">
        <f>"PRD_SNJ_"&amp;
_xlfn.XLOOKUP(商品マスタ[[#This Row],[仕入先]],テーブル1[仕入先名],テーブル1[仕入先コード],"XXX",0,1)&amp;
"_"&amp;
商品マスタ[[#This Row],[シリアル]]&amp;
"_"&amp;
TEXT(COUNTIFS(商品マスタ!$C$3:C784,商品マスタ[[#This Row],[仕入先]],商品マスタ!$E$3:E784,商品マスタ[[#This Row],[商品名]]), "00")</f>
        <v>PRD_SNJ__0000_00</v>
      </c>
      <c r="E784" s="87"/>
      <c r="F784" s="87">
        <f>IF(COUNTIFS($C$3:C784,商品マスタ[[#This Row],[仕入先]],$E$3:E784,商品マスタ[[#This Row],[商品名]]) = 1, 1,0)</f>
        <v>0</v>
      </c>
      <c r="G784" s="133" t="str">
        <f>TEXT(SUMIF($C$3:C784,商品マスタ[[#This Row],[仕入先]],$F$3:F784), "0000")</f>
        <v>0000</v>
      </c>
      <c r="H784" s="87"/>
      <c r="I784" s="87"/>
      <c r="J784" s="87"/>
      <c r="K784" s="87"/>
      <c r="L784" s="134"/>
      <c r="M784" s="157"/>
      <c r="N784" s="134"/>
      <c r="O784" s="135" t="str">
        <f>IF(COUNT(商品マスタ[[#This Row],[参考上代
（税込)]]) &gt; 0, (商品マスタ[[#This Row],[参考上代
（税込)]]-商品マスタ[[#This Row],[国内定価
（15％）]])/(商品マスタ[[#This Row],[参考上代
（税込)]]/1.08), "")</f>
        <v/>
      </c>
      <c r="P784" s="136">
        <v>0.1</v>
      </c>
      <c r="Q784" s="134">
        <f>商品マスタ[[#This Row],[仕入
単価]]*商品マスタ[[#This Row],[標準国内送料率]]</f>
        <v>0</v>
      </c>
      <c r="R784" s="134"/>
      <c r="S784" s="134">
        <f>IF(ISBLANK(商品マスタ[[#This Row],[実績
国内送料]]),商品マスタ[[#This Row],[標準国内送料]],)</f>
        <v>0</v>
      </c>
      <c r="T784" s="134">
        <f>商品マスタ[[#This Row],[仕入
単価]]+商品マスタ[[#This Row],[国内送料]]</f>
        <v>0</v>
      </c>
      <c r="U784" s="134">
        <f>ROUNDUP(商品マスタ[[#This Row],[仕入単価+国内送料]]/0.8,-1)</f>
        <v>0</v>
      </c>
      <c r="V784" s="134">
        <f>商品マスタ[[#This Row],[海外定価
（20％）]]-商品マスタ[[#This Row],[仕入単価+国内送料]]</f>
        <v>0</v>
      </c>
      <c r="W784" s="87">
        <f>ROUNDUP(商品マスタ[[#This Row],[仕入単価+国内送料]]/0.85,-1)</f>
        <v>0</v>
      </c>
      <c r="X784" s="134">
        <f>商品マスタ[[#This Row],[国内定価
（15％）]]-商品マスタ[[#This Row],[仕入単価+国内送料]]</f>
        <v>0</v>
      </c>
      <c r="Y784" s="139"/>
      <c r="Z784" s="87"/>
      <c r="AA784" s="87"/>
      <c r="AB784" s="87"/>
      <c r="AC784" s="140"/>
      <c r="AD784" s="87"/>
      <c r="AE784" s="87"/>
      <c r="AF784" s="87"/>
      <c r="AG784" s="141"/>
    </row>
    <row r="785" spans="1:33" ht="18">
      <c r="A785" s="166"/>
      <c r="B785" s="167"/>
      <c r="C785" s="167"/>
      <c r="D785" s="143" t="str">
        <f>"PRD_SNJ_"&amp;
_xlfn.XLOOKUP(商品マスタ[[#This Row],[仕入先]],テーブル1[仕入先名],テーブル1[仕入先コード],"XXX",0,1)&amp;
"_"&amp;
商品マスタ[[#This Row],[シリアル]]&amp;
"_"&amp;
TEXT(COUNTIFS(商品マスタ!$C$3:C785,商品マスタ[[#This Row],[仕入先]],商品マスタ!$E$3:E785,商品マスタ[[#This Row],[商品名]]), "00")</f>
        <v>PRD_SNJ__0000_00</v>
      </c>
      <c r="E785" s="87"/>
      <c r="F785" s="87">
        <f>IF(COUNTIFS($C$3:C785,商品マスタ[[#This Row],[仕入先]],$E$3:E785,商品マスタ[[#This Row],[商品名]]) = 1, 1,0)</f>
        <v>0</v>
      </c>
      <c r="G785" s="133" t="str">
        <f>TEXT(SUMIF($C$3:C785,商品マスタ[[#This Row],[仕入先]],$F$3:F785), "0000")</f>
        <v>0000</v>
      </c>
      <c r="H785" s="87"/>
      <c r="I785" s="87"/>
      <c r="J785" s="87"/>
      <c r="K785" s="87"/>
      <c r="L785" s="134"/>
      <c r="M785" s="157"/>
      <c r="N785" s="134"/>
      <c r="O785" s="135" t="str">
        <f>IF(COUNT(商品マスタ[[#This Row],[参考上代
（税込)]]) &gt; 0, (商品マスタ[[#This Row],[参考上代
（税込)]]-商品マスタ[[#This Row],[国内定価
（15％）]])/(商品マスタ[[#This Row],[参考上代
（税込)]]/1.08), "")</f>
        <v/>
      </c>
      <c r="P785" s="136">
        <v>0.1</v>
      </c>
      <c r="Q785" s="134">
        <f>商品マスタ[[#This Row],[仕入
単価]]*商品マスタ[[#This Row],[標準国内送料率]]</f>
        <v>0</v>
      </c>
      <c r="R785" s="134"/>
      <c r="S785" s="134">
        <f>IF(ISBLANK(商品マスタ[[#This Row],[実績
国内送料]]),商品マスタ[[#This Row],[標準国内送料]],)</f>
        <v>0</v>
      </c>
      <c r="T785" s="134">
        <f>商品マスタ[[#This Row],[仕入
単価]]+商品マスタ[[#This Row],[国内送料]]</f>
        <v>0</v>
      </c>
      <c r="U785" s="134">
        <f>ROUNDUP(商品マスタ[[#This Row],[仕入単価+国内送料]]/0.8,-1)</f>
        <v>0</v>
      </c>
      <c r="V785" s="134">
        <f>商品マスタ[[#This Row],[海外定価
（20％）]]-商品マスタ[[#This Row],[仕入単価+国内送料]]</f>
        <v>0</v>
      </c>
      <c r="W785" s="87">
        <f>ROUNDUP(商品マスタ[[#This Row],[仕入単価+国内送料]]/0.85,-1)</f>
        <v>0</v>
      </c>
      <c r="X785" s="134">
        <f>商品マスタ[[#This Row],[国内定価
（15％）]]-商品マスタ[[#This Row],[仕入単価+国内送料]]</f>
        <v>0</v>
      </c>
      <c r="Y785" s="139"/>
      <c r="Z785" s="87"/>
      <c r="AA785" s="87"/>
      <c r="AB785" s="87"/>
      <c r="AC785" s="140"/>
      <c r="AD785" s="87"/>
      <c r="AE785" s="87"/>
      <c r="AF785" s="87"/>
      <c r="AG785" s="141"/>
    </row>
    <row r="786" spans="1:33" ht="18">
      <c r="A786" s="166"/>
      <c r="B786" s="167"/>
      <c r="C786" s="167"/>
      <c r="D786" s="143" t="str">
        <f>"PRD_SNJ_"&amp;
_xlfn.XLOOKUP(商品マスタ[[#This Row],[仕入先]],テーブル1[仕入先名],テーブル1[仕入先コード],"XXX",0,1)&amp;
"_"&amp;
商品マスタ[[#This Row],[シリアル]]&amp;
"_"&amp;
TEXT(COUNTIFS(商品マスタ!$C$3:C786,商品マスタ[[#This Row],[仕入先]],商品マスタ!$E$3:E786,商品マスタ[[#This Row],[商品名]]), "00")</f>
        <v>PRD_SNJ__0000_00</v>
      </c>
      <c r="E786" s="87"/>
      <c r="F786" s="87">
        <f>IF(COUNTIFS($C$3:C786,商品マスタ[[#This Row],[仕入先]],$E$3:E786,商品マスタ[[#This Row],[商品名]]) = 1, 1,0)</f>
        <v>0</v>
      </c>
      <c r="G786" s="133" t="str">
        <f>TEXT(SUMIF($C$3:C786,商品マスタ[[#This Row],[仕入先]],$F$3:F786), "0000")</f>
        <v>0000</v>
      </c>
      <c r="H786" s="87"/>
      <c r="I786" s="87"/>
      <c r="J786" s="87"/>
      <c r="K786" s="87"/>
      <c r="L786" s="134"/>
      <c r="M786" s="157"/>
      <c r="N786" s="134"/>
      <c r="O786" s="135" t="str">
        <f>IF(COUNT(商品マスタ[[#This Row],[参考上代
（税込)]]) &gt; 0, (商品マスタ[[#This Row],[参考上代
（税込)]]-商品マスタ[[#This Row],[国内定価
（15％）]])/(商品マスタ[[#This Row],[参考上代
（税込)]]/1.08), "")</f>
        <v/>
      </c>
      <c r="P786" s="136">
        <v>0.1</v>
      </c>
      <c r="Q786" s="134">
        <f>商品マスタ[[#This Row],[仕入
単価]]*商品マスタ[[#This Row],[標準国内送料率]]</f>
        <v>0</v>
      </c>
      <c r="R786" s="134"/>
      <c r="S786" s="134">
        <f>IF(ISBLANK(商品マスタ[[#This Row],[実績
国内送料]]),商品マスタ[[#This Row],[標準国内送料]],)</f>
        <v>0</v>
      </c>
      <c r="T786" s="134">
        <f>商品マスタ[[#This Row],[仕入
単価]]+商品マスタ[[#This Row],[国内送料]]</f>
        <v>0</v>
      </c>
      <c r="U786" s="134">
        <f>ROUNDUP(商品マスタ[[#This Row],[仕入単価+国内送料]]/0.8,-1)</f>
        <v>0</v>
      </c>
      <c r="V786" s="134">
        <f>商品マスタ[[#This Row],[海外定価
（20％）]]-商品マスタ[[#This Row],[仕入単価+国内送料]]</f>
        <v>0</v>
      </c>
      <c r="W786" s="87">
        <f>ROUNDUP(商品マスタ[[#This Row],[仕入単価+国内送料]]/0.85,-1)</f>
        <v>0</v>
      </c>
      <c r="X786" s="134">
        <f>商品マスタ[[#This Row],[国内定価
（15％）]]-商品マスタ[[#This Row],[仕入単価+国内送料]]</f>
        <v>0</v>
      </c>
      <c r="Y786" s="139"/>
      <c r="Z786" s="87"/>
      <c r="AA786" s="87"/>
      <c r="AB786" s="87"/>
      <c r="AC786" s="140"/>
      <c r="AD786" s="87"/>
      <c r="AE786" s="87"/>
      <c r="AF786" s="87"/>
      <c r="AG786" s="141"/>
    </row>
    <row r="787" spans="1:33" ht="18">
      <c r="A787" s="166"/>
      <c r="B787" s="167"/>
      <c r="C787" s="167"/>
      <c r="D787" s="143" t="str">
        <f>"PRD_SNJ_"&amp;
_xlfn.XLOOKUP(商品マスタ[[#This Row],[仕入先]],テーブル1[仕入先名],テーブル1[仕入先コード],"XXX",0,1)&amp;
"_"&amp;
商品マスタ[[#This Row],[シリアル]]&amp;
"_"&amp;
TEXT(COUNTIFS(商品マスタ!$C$3:C787,商品マスタ[[#This Row],[仕入先]],商品マスタ!$E$3:E787,商品マスタ[[#This Row],[商品名]]), "00")</f>
        <v>PRD_SNJ__0000_00</v>
      </c>
      <c r="E787" s="87"/>
      <c r="F787" s="87">
        <f>IF(COUNTIFS($C$3:C787,商品マスタ[[#This Row],[仕入先]],$E$3:E787,商品マスタ[[#This Row],[商品名]]) = 1, 1,0)</f>
        <v>0</v>
      </c>
      <c r="G787" s="133" t="str">
        <f>TEXT(SUMIF($C$3:C787,商品マスタ[[#This Row],[仕入先]],$F$3:F787), "0000")</f>
        <v>0000</v>
      </c>
      <c r="H787" s="87"/>
      <c r="I787" s="87"/>
      <c r="J787" s="87"/>
      <c r="K787" s="87"/>
      <c r="L787" s="134"/>
      <c r="M787" s="157"/>
      <c r="N787" s="134"/>
      <c r="O787" s="135" t="str">
        <f>IF(COUNT(商品マスタ[[#This Row],[参考上代
（税込)]]) &gt; 0, (商品マスタ[[#This Row],[参考上代
（税込)]]-商品マスタ[[#This Row],[国内定価
（15％）]])/(商品マスタ[[#This Row],[参考上代
（税込)]]/1.08), "")</f>
        <v/>
      </c>
      <c r="P787" s="136">
        <v>0.1</v>
      </c>
      <c r="Q787" s="134">
        <f>商品マスタ[[#This Row],[仕入
単価]]*商品マスタ[[#This Row],[標準国内送料率]]</f>
        <v>0</v>
      </c>
      <c r="R787" s="134"/>
      <c r="S787" s="134">
        <f>IF(ISBLANK(商品マスタ[[#This Row],[実績
国内送料]]),商品マスタ[[#This Row],[標準国内送料]],)</f>
        <v>0</v>
      </c>
      <c r="T787" s="134">
        <f>商品マスタ[[#This Row],[仕入
単価]]+商品マスタ[[#This Row],[国内送料]]</f>
        <v>0</v>
      </c>
      <c r="U787" s="134">
        <f>ROUNDUP(商品マスタ[[#This Row],[仕入単価+国内送料]]/0.8,-1)</f>
        <v>0</v>
      </c>
      <c r="V787" s="134">
        <f>商品マスタ[[#This Row],[海外定価
（20％）]]-商品マスタ[[#This Row],[仕入単価+国内送料]]</f>
        <v>0</v>
      </c>
      <c r="W787" s="87">
        <f>ROUNDUP(商品マスタ[[#This Row],[仕入単価+国内送料]]/0.85,-1)</f>
        <v>0</v>
      </c>
      <c r="X787" s="134">
        <f>商品マスタ[[#This Row],[国内定価
（15％）]]-商品マスタ[[#This Row],[仕入単価+国内送料]]</f>
        <v>0</v>
      </c>
      <c r="Y787" s="139"/>
      <c r="Z787" s="87"/>
      <c r="AA787" s="87"/>
      <c r="AB787" s="87"/>
      <c r="AC787" s="140"/>
      <c r="AD787" s="87"/>
      <c r="AE787" s="87"/>
      <c r="AF787" s="87"/>
      <c r="AG787" s="141"/>
    </row>
    <row r="788" spans="1:33" ht="18">
      <c r="A788" s="166"/>
      <c r="B788" s="167"/>
      <c r="C788" s="167"/>
      <c r="D788" s="143" t="str">
        <f>"PRD_SNJ_"&amp;
_xlfn.XLOOKUP(商品マスタ[[#This Row],[仕入先]],テーブル1[仕入先名],テーブル1[仕入先コード],"XXX",0,1)&amp;
"_"&amp;
商品マスタ[[#This Row],[シリアル]]&amp;
"_"&amp;
TEXT(COUNTIFS(商品マスタ!$C$3:C788,商品マスタ[[#This Row],[仕入先]],商品マスタ!$E$3:E788,商品マスタ[[#This Row],[商品名]]), "00")</f>
        <v>PRD_SNJ__0000_00</v>
      </c>
      <c r="E788" s="87"/>
      <c r="F788" s="87">
        <f>IF(COUNTIFS($C$3:C788,商品マスタ[[#This Row],[仕入先]],$E$3:E788,商品マスタ[[#This Row],[商品名]]) = 1, 1,0)</f>
        <v>0</v>
      </c>
      <c r="G788" s="133" t="str">
        <f>TEXT(SUMIF($C$3:C788,商品マスタ[[#This Row],[仕入先]],$F$3:F788), "0000")</f>
        <v>0000</v>
      </c>
      <c r="H788" s="87"/>
      <c r="I788" s="87"/>
      <c r="J788" s="87"/>
      <c r="K788" s="87"/>
      <c r="L788" s="134"/>
      <c r="M788" s="157"/>
      <c r="N788" s="134"/>
      <c r="O788" s="135" t="str">
        <f>IF(COUNT(商品マスタ[[#This Row],[参考上代
（税込)]]) &gt; 0, (商品マスタ[[#This Row],[参考上代
（税込)]]-商品マスタ[[#This Row],[国内定価
（15％）]])/(商品マスタ[[#This Row],[参考上代
（税込)]]/1.08), "")</f>
        <v/>
      </c>
      <c r="P788" s="136">
        <v>0.1</v>
      </c>
      <c r="Q788" s="134">
        <f>商品マスタ[[#This Row],[仕入
単価]]*商品マスタ[[#This Row],[標準国内送料率]]</f>
        <v>0</v>
      </c>
      <c r="R788" s="134"/>
      <c r="S788" s="134">
        <f>IF(ISBLANK(商品マスタ[[#This Row],[実績
国内送料]]),商品マスタ[[#This Row],[標準国内送料]],)</f>
        <v>0</v>
      </c>
      <c r="T788" s="134">
        <f>商品マスタ[[#This Row],[仕入
単価]]+商品マスタ[[#This Row],[国内送料]]</f>
        <v>0</v>
      </c>
      <c r="U788" s="134">
        <f>ROUNDUP(商品マスタ[[#This Row],[仕入単価+国内送料]]/0.8,-1)</f>
        <v>0</v>
      </c>
      <c r="V788" s="134">
        <f>商品マスタ[[#This Row],[海外定価
（20％）]]-商品マスタ[[#This Row],[仕入単価+国内送料]]</f>
        <v>0</v>
      </c>
      <c r="W788" s="87">
        <f>ROUNDUP(商品マスタ[[#This Row],[仕入単価+国内送料]]/0.85,-1)</f>
        <v>0</v>
      </c>
      <c r="X788" s="134">
        <f>商品マスタ[[#This Row],[国内定価
（15％）]]-商品マスタ[[#This Row],[仕入単価+国内送料]]</f>
        <v>0</v>
      </c>
      <c r="Y788" s="139"/>
      <c r="Z788" s="87"/>
      <c r="AA788" s="87"/>
      <c r="AB788" s="87"/>
      <c r="AC788" s="140"/>
      <c r="AD788" s="87"/>
      <c r="AE788" s="87"/>
      <c r="AF788" s="87"/>
      <c r="AG788" s="141"/>
    </row>
    <row r="789" spans="1:33" ht="18">
      <c r="A789" s="166"/>
      <c r="B789" s="167"/>
      <c r="C789" s="167"/>
      <c r="D789" s="143" t="str">
        <f>"PRD_SNJ_"&amp;
_xlfn.XLOOKUP(商品マスタ[[#This Row],[仕入先]],テーブル1[仕入先名],テーブル1[仕入先コード],"XXX",0,1)&amp;
"_"&amp;
商品マスタ[[#This Row],[シリアル]]&amp;
"_"&amp;
TEXT(COUNTIFS(商品マスタ!$C$3:C789,商品マスタ[[#This Row],[仕入先]],商品マスタ!$E$3:E789,商品マスタ[[#This Row],[商品名]]), "00")</f>
        <v>PRD_SNJ__0000_00</v>
      </c>
      <c r="E789" s="87"/>
      <c r="F789" s="87">
        <f>IF(COUNTIFS($C$3:C789,商品マスタ[[#This Row],[仕入先]],$E$3:E789,商品マスタ[[#This Row],[商品名]]) = 1, 1,0)</f>
        <v>0</v>
      </c>
      <c r="G789" s="133" t="str">
        <f>TEXT(SUMIF($C$3:C789,商品マスタ[[#This Row],[仕入先]],$F$3:F789), "0000")</f>
        <v>0000</v>
      </c>
      <c r="H789" s="87"/>
      <c r="I789" s="87"/>
      <c r="J789" s="87"/>
      <c r="K789" s="87"/>
      <c r="L789" s="134"/>
      <c r="M789" s="157"/>
      <c r="N789" s="134"/>
      <c r="O789" s="135" t="str">
        <f>IF(COUNT(商品マスタ[[#This Row],[参考上代
（税込)]]) &gt; 0, (商品マスタ[[#This Row],[参考上代
（税込)]]-商品マスタ[[#This Row],[国内定価
（15％）]])/(商品マスタ[[#This Row],[参考上代
（税込)]]/1.08), "")</f>
        <v/>
      </c>
      <c r="P789" s="136">
        <v>0.1</v>
      </c>
      <c r="Q789" s="134">
        <f>商品マスタ[[#This Row],[仕入
単価]]*商品マスタ[[#This Row],[標準国内送料率]]</f>
        <v>0</v>
      </c>
      <c r="R789" s="134"/>
      <c r="S789" s="134">
        <f>IF(ISBLANK(商品マスタ[[#This Row],[実績
国内送料]]),商品マスタ[[#This Row],[標準国内送料]],)</f>
        <v>0</v>
      </c>
      <c r="T789" s="134">
        <f>商品マスタ[[#This Row],[仕入
単価]]+商品マスタ[[#This Row],[国内送料]]</f>
        <v>0</v>
      </c>
      <c r="U789" s="134">
        <f>ROUNDUP(商品マスタ[[#This Row],[仕入単価+国内送料]]/0.8,-1)</f>
        <v>0</v>
      </c>
      <c r="V789" s="134">
        <f>商品マスタ[[#This Row],[海外定価
（20％）]]-商品マスタ[[#This Row],[仕入単価+国内送料]]</f>
        <v>0</v>
      </c>
      <c r="W789" s="87">
        <f>ROUNDUP(商品マスタ[[#This Row],[仕入単価+国内送料]]/0.85,-1)</f>
        <v>0</v>
      </c>
      <c r="X789" s="134">
        <f>商品マスタ[[#This Row],[国内定価
（15％）]]-商品マスタ[[#This Row],[仕入単価+国内送料]]</f>
        <v>0</v>
      </c>
      <c r="Y789" s="139"/>
      <c r="Z789" s="87"/>
      <c r="AA789" s="87"/>
      <c r="AB789" s="87"/>
      <c r="AC789" s="140"/>
      <c r="AD789" s="87"/>
      <c r="AE789" s="87"/>
      <c r="AF789" s="87"/>
      <c r="AG789" s="141"/>
    </row>
    <row r="790" spans="1:33" ht="18">
      <c r="A790" s="166"/>
      <c r="B790" s="167"/>
      <c r="C790" s="167"/>
      <c r="D790" s="143" t="str">
        <f>"PRD_SNJ_"&amp;
_xlfn.XLOOKUP(商品マスタ[[#This Row],[仕入先]],テーブル1[仕入先名],テーブル1[仕入先コード],"XXX",0,1)&amp;
"_"&amp;
商品マスタ[[#This Row],[シリアル]]&amp;
"_"&amp;
TEXT(COUNTIFS(商品マスタ!$C$3:C790,商品マスタ[[#This Row],[仕入先]],商品マスタ!$E$3:E790,商品マスタ[[#This Row],[商品名]]), "00")</f>
        <v>PRD_SNJ__0000_00</v>
      </c>
      <c r="E790" s="87"/>
      <c r="F790" s="87">
        <f>IF(COUNTIFS($C$3:C790,商品マスタ[[#This Row],[仕入先]],$E$3:E790,商品マスタ[[#This Row],[商品名]]) = 1, 1,0)</f>
        <v>0</v>
      </c>
      <c r="G790" s="133" t="str">
        <f>TEXT(SUMIF($C$3:C790,商品マスタ[[#This Row],[仕入先]],$F$3:F790), "0000")</f>
        <v>0000</v>
      </c>
      <c r="H790" s="87"/>
      <c r="I790" s="87"/>
      <c r="J790" s="87"/>
      <c r="K790" s="87"/>
      <c r="L790" s="134"/>
      <c r="M790" s="157"/>
      <c r="N790" s="134"/>
      <c r="O790" s="135" t="str">
        <f>IF(COUNT(商品マスタ[[#This Row],[参考上代
（税込)]]) &gt; 0, (商品マスタ[[#This Row],[参考上代
（税込)]]-商品マスタ[[#This Row],[国内定価
（15％）]])/(商品マスタ[[#This Row],[参考上代
（税込)]]/1.08), "")</f>
        <v/>
      </c>
      <c r="P790" s="136">
        <v>0.1</v>
      </c>
      <c r="Q790" s="134">
        <f>商品マスタ[[#This Row],[仕入
単価]]*商品マスタ[[#This Row],[標準国内送料率]]</f>
        <v>0</v>
      </c>
      <c r="R790" s="134"/>
      <c r="S790" s="134">
        <f>IF(ISBLANK(商品マスタ[[#This Row],[実績
国内送料]]),商品マスタ[[#This Row],[標準国内送料]],)</f>
        <v>0</v>
      </c>
      <c r="T790" s="134">
        <f>商品マスタ[[#This Row],[仕入
単価]]+商品マスタ[[#This Row],[国内送料]]</f>
        <v>0</v>
      </c>
      <c r="U790" s="134">
        <f>ROUNDUP(商品マスタ[[#This Row],[仕入単価+国内送料]]/0.8,-1)</f>
        <v>0</v>
      </c>
      <c r="V790" s="134">
        <f>商品マスタ[[#This Row],[海外定価
（20％）]]-商品マスタ[[#This Row],[仕入単価+国内送料]]</f>
        <v>0</v>
      </c>
      <c r="W790" s="87">
        <f>ROUNDUP(商品マスタ[[#This Row],[仕入単価+国内送料]]/0.85,-1)</f>
        <v>0</v>
      </c>
      <c r="X790" s="134">
        <f>商品マスタ[[#This Row],[国内定価
（15％）]]-商品マスタ[[#This Row],[仕入単価+国内送料]]</f>
        <v>0</v>
      </c>
      <c r="Y790" s="139"/>
      <c r="Z790" s="87"/>
      <c r="AA790" s="87"/>
      <c r="AB790" s="87"/>
      <c r="AC790" s="140"/>
      <c r="AD790" s="87"/>
      <c r="AE790" s="87"/>
      <c r="AF790" s="87"/>
      <c r="AG790" s="141"/>
    </row>
    <row r="791" spans="1:33" ht="18">
      <c r="A791" s="166"/>
      <c r="B791" s="167"/>
      <c r="C791" s="167"/>
      <c r="D791" s="143" t="str">
        <f>"PRD_SNJ_"&amp;
_xlfn.XLOOKUP(商品マスタ[[#This Row],[仕入先]],テーブル1[仕入先名],テーブル1[仕入先コード],"XXX",0,1)&amp;
"_"&amp;
商品マスタ[[#This Row],[シリアル]]&amp;
"_"&amp;
TEXT(COUNTIFS(商品マスタ!$C$3:C791,商品マスタ[[#This Row],[仕入先]],商品マスタ!$E$3:E791,商品マスタ[[#This Row],[商品名]]), "00")</f>
        <v>PRD_SNJ__0000_00</v>
      </c>
      <c r="E791" s="87"/>
      <c r="F791" s="87">
        <f>IF(COUNTIFS($C$3:C791,商品マスタ[[#This Row],[仕入先]],$E$3:E791,商品マスタ[[#This Row],[商品名]]) = 1, 1,0)</f>
        <v>0</v>
      </c>
      <c r="G791" s="133" t="str">
        <f>TEXT(SUMIF($C$3:C791,商品マスタ[[#This Row],[仕入先]],$F$3:F791), "0000")</f>
        <v>0000</v>
      </c>
      <c r="H791" s="87"/>
      <c r="I791" s="87"/>
      <c r="J791" s="87"/>
      <c r="K791" s="87"/>
      <c r="L791" s="134"/>
      <c r="M791" s="157"/>
      <c r="N791" s="134"/>
      <c r="O791" s="135" t="str">
        <f>IF(COUNT(商品マスタ[[#This Row],[参考上代
（税込)]]) &gt; 0, (商品マスタ[[#This Row],[参考上代
（税込)]]-商品マスタ[[#This Row],[国内定価
（15％）]])/(商品マスタ[[#This Row],[参考上代
（税込)]]/1.08), "")</f>
        <v/>
      </c>
      <c r="P791" s="136">
        <v>0.1</v>
      </c>
      <c r="Q791" s="134">
        <f>商品マスタ[[#This Row],[仕入
単価]]*商品マスタ[[#This Row],[標準国内送料率]]</f>
        <v>0</v>
      </c>
      <c r="R791" s="134"/>
      <c r="S791" s="134">
        <f>IF(ISBLANK(商品マスタ[[#This Row],[実績
国内送料]]),商品マスタ[[#This Row],[標準国内送料]],)</f>
        <v>0</v>
      </c>
      <c r="T791" s="134">
        <f>商品マスタ[[#This Row],[仕入
単価]]+商品マスタ[[#This Row],[国内送料]]</f>
        <v>0</v>
      </c>
      <c r="U791" s="134">
        <f>ROUNDUP(商品マスタ[[#This Row],[仕入単価+国内送料]]/0.8,-1)</f>
        <v>0</v>
      </c>
      <c r="V791" s="134">
        <f>商品マスタ[[#This Row],[海外定価
（20％）]]-商品マスタ[[#This Row],[仕入単価+国内送料]]</f>
        <v>0</v>
      </c>
      <c r="W791" s="87">
        <f>ROUNDUP(商品マスタ[[#This Row],[仕入単価+国内送料]]/0.85,-1)</f>
        <v>0</v>
      </c>
      <c r="X791" s="134">
        <f>商品マスタ[[#This Row],[国内定価
（15％）]]-商品マスタ[[#This Row],[仕入単価+国内送料]]</f>
        <v>0</v>
      </c>
      <c r="Y791" s="139"/>
      <c r="Z791" s="87"/>
      <c r="AA791" s="87"/>
      <c r="AB791" s="87"/>
      <c r="AC791" s="140"/>
      <c r="AD791" s="87"/>
      <c r="AE791" s="87"/>
      <c r="AF791" s="87"/>
      <c r="AG791" s="141"/>
    </row>
    <row r="792" spans="1:33" ht="18">
      <c r="A792" s="166"/>
      <c r="B792" s="167"/>
      <c r="C792" s="167"/>
      <c r="D792" s="143" t="str">
        <f>"PRD_SNJ_"&amp;
_xlfn.XLOOKUP(商品マスタ[[#This Row],[仕入先]],テーブル1[仕入先名],テーブル1[仕入先コード],"XXX",0,1)&amp;
"_"&amp;
商品マスタ[[#This Row],[シリアル]]&amp;
"_"&amp;
TEXT(COUNTIFS(商品マスタ!$C$3:C792,商品マスタ[[#This Row],[仕入先]],商品マスタ!$E$3:E792,商品マスタ[[#This Row],[商品名]]), "00")</f>
        <v>PRD_SNJ__0000_00</v>
      </c>
      <c r="E792" s="87"/>
      <c r="F792" s="87">
        <f>IF(COUNTIFS($C$3:C792,商品マスタ[[#This Row],[仕入先]],$E$3:E792,商品マスタ[[#This Row],[商品名]]) = 1, 1,0)</f>
        <v>0</v>
      </c>
      <c r="G792" s="133" t="str">
        <f>TEXT(SUMIF($C$3:C792,商品マスタ[[#This Row],[仕入先]],$F$3:F792), "0000")</f>
        <v>0000</v>
      </c>
      <c r="H792" s="87"/>
      <c r="I792" s="87"/>
      <c r="J792" s="87"/>
      <c r="K792" s="87"/>
      <c r="L792" s="134"/>
      <c r="M792" s="157"/>
      <c r="N792" s="134"/>
      <c r="O792" s="135" t="str">
        <f>IF(COUNT(商品マスタ[[#This Row],[参考上代
（税込)]]) &gt; 0, (商品マスタ[[#This Row],[参考上代
（税込)]]-商品マスタ[[#This Row],[国内定価
（15％）]])/(商品マスタ[[#This Row],[参考上代
（税込)]]/1.08), "")</f>
        <v/>
      </c>
      <c r="P792" s="136">
        <v>0.1</v>
      </c>
      <c r="Q792" s="134">
        <f>商品マスタ[[#This Row],[仕入
単価]]*商品マスタ[[#This Row],[標準国内送料率]]</f>
        <v>0</v>
      </c>
      <c r="R792" s="134"/>
      <c r="S792" s="134">
        <f>IF(ISBLANK(商品マスタ[[#This Row],[実績
国内送料]]),商品マスタ[[#This Row],[標準国内送料]],)</f>
        <v>0</v>
      </c>
      <c r="T792" s="134">
        <f>商品マスタ[[#This Row],[仕入
単価]]+商品マスタ[[#This Row],[国内送料]]</f>
        <v>0</v>
      </c>
      <c r="U792" s="134">
        <f>ROUNDUP(商品マスタ[[#This Row],[仕入単価+国内送料]]/0.8,-1)</f>
        <v>0</v>
      </c>
      <c r="V792" s="134">
        <f>商品マスタ[[#This Row],[海外定価
（20％）]]-商品マスタ[[#This Row],[仕入単価+国内送料]]</f>
        <v>0</v>
      </c>
      <c r="W792" s="87">
        <f>ROUNDUP(商品マスタ[[#This Row],[仕入単価+国内送料]]/0.85,-1)</f>
        <v>0</v>
      </c>
      <c r="X792" s="134">
        <f>商品マスタ[[#This Row],[国内定価
（15％）]]-商品マスタ[[#This Row],[仕入単価+国内送料]]</f>
        <v>0</v>
      </c>
      <c r="Y792" s="139"/>
      <c r="Z792" s="87"/>
      <c r="AA792" s="87"/>
      <c r="AB792" s="87"/>
      <c r="AC792" s="140"/>
      <c r="AD792" s="87"/>
      <c r="AE792" s="87"/>
      <c r="AF792" s="87"/>
      <c r="AG792" s="141"/>
    </row>
    <row r="793" spans="1:33" ht="18">
      <c r="A793" s="166"/>
      <c r="B793" s="167"/>
      <c r="C793" s="167"/>
      <c r="D793" s="143" t="str">
        <f>"PRD_SNJ_"&amp;
_xlfn.XLOOKUP(商品マスタ[[#This Row],[仕入先]],テーブル1[仕入先名],テーブル1[仕入先コード],"XXX",0,1)&amp;
"_"&amp;
商品マスタ[[#This Row],[シリアル]]&amp;
"_"&amp;
TEXT(COUNTIFS(商品マスタ!$C$3:C793,商品マスタ[[#This Row],[仕入先]],商品マスタ!$E$3:E793,商品マスタ[[#This Row],[商品名]]), "00")</f>
        <v>PRD_SNJ__0000_00</v>
      </c>
      <c r="E793" s="87"/>
      <c r="F793" s="87">
        <f>IF(COUNTIFS($C$3:C793,商品マスタ[[#This Row],[仕入先]],$E$3:E793,商品マスタ[[#This Row],[商品名]]) = 1, 1,0)</f>
        <v>0</v>
      </c>
      <c r="G793" s="133" t="str">
        <f>TEXT(SUMIF($C$3:C793,商品マスタ[[#This Row],[仕入先]],$F$3:F793), "0000")</f>
        <v>0000</v>
      </c>
      <c r="H793" s="87"/>
      <c r="I793" s="87"/>
      <c r="J793" s="87"/>
      <c r="K793" s="87"/>
      <c r="L793" s="134"/>
      <c r="M793" s="157"/>
      <c r="N793" s="134"/>
      <c r="O793" s="135" t="str">
        <f>IF(COUNT(商品マスタ[[#This Row],[参考上代
（税込)]]) &gt; 0, (商品マスタ[[#This Row],[参考上代
（税込)]]-商品マスタ[[#This Row],[国内定価
（15％）]])/(商品マスタ[[#This Row],[参考上代
（税込)]]/1.08), "")</f>
        <v/>
      </c>
      <c r="P793" s="136">
        <v>0.1</v>
      </c>
      <c r="Q793" s="134">
        <f>商品マスタ[[#This Row],[仕入
単価]]*商品マスタ[[#This Row],[標準国内送料率]]</f>
        <v>0</v>
      </c>
      <c r="R793" s="134"/>
      <c r="S793" s="134">
        <f>IF(ISBLANK(商品マスタ[[#This Row],[実績
国内送料]]),商品マスタ[[#This Row],[標準国内送料]],)</f>
        <v>0</v>
      </c>
      <c r="T793" s="134">
        <f>商品マスタ[[#This Row],[仕入
単価]]+商品マスタ[[#This Row],[国内送料]]</f>
        <v>0</v>
      </c>
      <c r="U793" s="134">
        <f>ROUNDUP(商品マスタ[[#This Row],[仕入単価+国内送料]]/0.8,-1)</f>
        <v>0</v>
      </c>
      <c r="V793" s="134">
        <f>商品マスタ[[#This Row],[海外定価
（20％）]]-商品マスタ[[#This Row],[仕入単価+国内送料]]</f>
        <v>0</v>
      </c>
      <c r="W793" s="87">
        <f>ROUNDUP(商品マスタ[[#This Row],[仕入単価+国内送料]]/0.85,-1)</f>
        <v>0</v>
      </c>
      <c r="X793" s="134">
        <f>商品マスタ[[#This Row],[国内定価
（15％）]]-商品マスタ[[#This Row],[仕入単価+国内送料]]</f>
        <v>0</v>
      </c>
      <c r="Y793" s="139"/>
      <c r="Z793" s="87"/>
      <c r="AA793" s="87"/>
      <c r="AB793" s="87"/>
      <c r="AC793" s="140"/>
      <c r="AD793" s="87"/>
      <c r="AE793" s="87"/>
      <c r="AF793" s="87"/>
      <c r="AG793" s="141"/>
    </row>
    <row r="794" spans="1:33" ht="18">
      <c r="A794" s="166"/>
      <c r="B794" s="167"/>
      <c r="C794" s="167"/>
      <c r="D794" s="143" t="str">
        <f>"PRD_SNJ_"&amp;
_xlfn.XLOOKUP(商品マスタ[[#This Row],[仕入先]],テーブル1[仕入先名],テーブル1[仕入先コード],"XXX",0,1)&amp;
"_"&amp;
商品マスタ[[#This Row],[シリアル]]&amp;
"_"&amp;
TEXT(COUNTIFS(商品マスタ!$C$3:C794,商品マスタ[[#This Row],[仕入先]],商品マスタ!$E$3:E794,商品マスタ[[#This Row],[商品名]]), "00")</f>
        <v>PRD_SNJ__0000_00</v>
      </c>
      <c r="E794" s="87"/>
      <c r="F794" s="87">
        <f>IF(COUNTIFS($C$3:C794,商品マスタ[[#This Row],[仕入先]],$E$3:E794,商品マスタ[[#This Row],[商品名]]) = 1, 1,0)</f>
        <v>0</v>
      </c>
      <c r="G794" s="133" t="str">
        <f>TEXT(SUMIF($C$3:C794,商品マスタ[[#This Row],[仕入先]],$F$3:F794), "0000")</f>
        <v>0000</v>
      </c>
      <c r="H794" s="87"/>
      <c r="I794" s="87"/>
      <c r="J794" s="87"/>
      <c r="K794" s="87"/>
      <c r="L794" s="134"/>
      <c r="M794" s="157"/>
      <c r="N794" s="134"/>
      <c r="O794" s="135" t="str">
        <f>IF(COUNT(商品マスタ[[#This Row],[参考上代
（税込)]]) &gt; 0, (商品マスタ[[#This Row],[参考上代
（税込)]]-商品マスタ[[#This Row],[国内定価
（15％）]])/(商品マスタ[[#This Row],[参考上代
（税込)]]/1.08), "")</f>
        <v/>
      </c>
      <c r="P794" s="136">
        <v>0.1</v>
      </c>
      <c r="Q794" s="134">
        <f>商品マスタ[[#This Row],[仕入
単価]]*商品マスタ[[#This Row],[標準国内送料率]]</f>
        <v>0</v>
      </c>
      <c r="R794" s="134"/>
      <c r="S794" s="134">
        <f>IF(ISBLANK(商品マスタ[[#This Row],[実績
国内送料]]),商品マスタ[[#This Row],[標準国内送料]],)</f>
        <v>0</v>
      </c>
      <c r="T794" s="134">
        <f>商品マスタ[[#This Row],[仕入
単価]]+商品マスタ[[#This Row],[国内送料]]</f>
        <v>0</v>
      </c>
      <c r="U794" s="134">
        <f>ROUNDUP(商品マスタ[[#This Row],[仕入単価+国内送料]]/0.8,-1)</f>
        <v>0</v>
      </c>
      <c r="V794" s="134">
        <f>商品マスタ[[#This Row],[海外定価
（20％）]]-商品マスタ[[#This Row],[仕入単価+国内送料]]</f>
        <v>0</v>
      </c>
      <c r="W794" s="87">
        <f>ROUNDUP(商品マスタ[[#This Row],[仕入単価+国内送料]]/0.85,-1)</f>
        <v>0</v>
      </c>
      <c r="X794" s="134">
        <f>商品マスタ[[#This Row],[国内定価
（15％）]]-商品マスタ[[#This Row],[仕入単価+国内送料]]</f>
        <v>0</v>
      </c>
      <c r="Y794" s="139"/>
      <c r="Z794" s="87"/>
      <c r="AA794" s="87"/>
      <c r="AB794" s="87"/>
      <c r="AC794" s="140"/>
      <c r="AD794" s="87"/>
      <c r="AE794" s="87"/>
      <c r="AF794" s="87"/>
      <c r="AG794" s="141"/>
    </row>
    <row r="795" spans="1:33" ht="18">
      <c r="A795" s="166"/>
      <c r="B795" s="167"/>
      <c r="C795" s="167"/>
      <c r="D795" s="143" t="str">
        <f>"PRD_SNJ_"&amp;
_xlfn.XLOOKUP(商品マスタ[[#This Row],[仕入先]],テーブル1[仕入先名],テーブル1[仕入先コード],"XXX",0,1)&amp;
"_"&amp;
商品マスタ[[#This Row],[シリアル]]&amp;
"_"&amp;
TEXT(COUNTIFS(商品マスタ!$C$3:C795,商品マスタ[[#This Row],[仕入先]],商品マスタ!$E$3:E795,商品マスタ[[#This Row],[商品名]]), "00")</f>
        <v>PRD_SNJ__0000_00</v>
      </c>
      <c r="E795" s="87"/>
      <c r="F795" s="87">
        <f>IF(COUNTIFS($C$3:C795,商品マスタ[[#This Row],[仕入先]],$E$3:E795,商品マスタ[[#This Row],[商品名]]) = 1, 1,0)</f>
        <v>0</v>
      </c>
      <c r="G795" s="133" t="str">
        <f>TEXT(SUMIF($C$3:C795,商品マスタ[[#This Row],[仕入先]],$F$3:F795), "0000")</f>
        <v>0000</v>
      </c>
      <c r="H795" s="87"/>
      <c r="I795" s="87"/>
      <c r="J795" s="87"/>
      <c r="K795" s="87"/>
      <c r="L795" s="134"/>
      <c r="M795" s="157"/>
      <c r="N795" s="134"/>
      <c r="O795" s="135" t="str">
        <f>IF(COUNT(商品マスタ[[#This Row],[参考上代
（税込)]]) &gt; 0, (商品マスタ[[#This Row],[参考上代
（税込)]]-商品マスタ[[#This Row],[国内定価
（15％）]])/(商品マスタ[[#This Row],[参考上代
（税込)]]/1.08), "")</f>
        <v/>
      </c>
      <c r="P795" s="136">
        <v>0.1</v>
      </c>
      <c r="Q795" s="134">
        <f>商品マスタ[[#This Row],[仕入
単価]]*商品マスタ[[#This Row],[標準国内送料率]]</f>
        <v>0</v>
      </c>
      <c r="R795" s="134"/>
      <c r="S795" s="134">
        <f>IF(ISBLANK(商品マスタ[[#This Row],[実績
国内送料]]),商品マスタ[[#This Row],[標準国内送料]],)</f>
        <v>0</v>
      </c>
      <c r="T795" s="134">
        <f>商品マスタ[[#This Row],[仕入
単価]]+商品マスタ[[#This Row],[国内送料]]</f>
        <v>0</v>
      </c>
      <c r="U795" s="134">
        <f>ROUNDUP(商品マスタ[[#This Row],[仕入単価+国内送料]]/0.8,-1)</f>
        <v>0</v>
      </c>
      <c r="V795" s="134">
        <f>商品マスタ[[#This Row],[海外定価
（20％）]]-商品マスタ[[#This Row],[仕入単価+国内送料]]</f>
        <v>0</v>
      </c>
      <c r="W795" s="87">
        <f>ROUNDUP(商品マスタ[[#This Row],[仕入単価+国内送料]]/0.85,-1)</f>
        <v>0</v>
      </c>
      <c r="X795" s="134">
        <f>商品マスタ[[#This Row],[国内定価
（15％）]]-商品マスタ[[#This Row],[仕入単価+国内送料]]</f>
        <v>0</v>
      </c>
      <c r="Y795" s="139"/>
      <c r="Z795" s="87"/>
      <c r="AA795" s="87"/>
      <c r="AB795" s="87"/>
      <c r="AC795" s="140"/>
      <c r="AD795" s="87"/>
      <c r="AE795" s="87"/>
      <c r="AF795" s="87"/>
      <c r="AG795" s="141"/>
    </row>
    <row r="796" spans="1:33" ht="18">
      <c r="A796" s="166"/>
      <c r="B796" s="167"/>
      <c r="C796" s="167"/>
      <c r="D796" s="143" t="str">
        <f>"PRD_SNJ_"&amp;
_xlfn.XLOOKUP(商品マスタ[[#This Row],[仕入先]],テーブル1[仕入先名],テーブル1[仕入先コード],"XXX",0,1)&amp;
"_"&amp;
商品マスタ[[#This Row],[シリアル]]&amp;
"_"&amp;
TEXT(COUNTIFS(商品マスタ!$C$3:C796,商品マスタ[[#This Row],[仕入先]],商品マスタ!$E$3:E796,商品マスタ[[#This Row],[商品名]]), "00")</f>
        <v>PRD_SNJ__0000_00</v>
      </c>
      <c r="E796" s="87"/>
      <c r="F796" s="87">
        <f>IF(COUNTIFS($C$3:C796,商品マスタ[[#This Row],[仕入先]],$E$3:E796,商品マスタ[[#This Row],[商品名]]) = 1, 1,0)</f>
        <v>0</v>
      </c>
      <c r="G796" s="133" t="str">
        <f>TEXT(SUMIF($C$3:C796,商品マスタ[[#This Row],[仕入先]],$F$3:F796), "0000")</f>
        <v>0000</v>
      </c>
      <c r="H796" s="87"/>
      <c r="I796" s="87"/>
      <c r="J796" s="87"/>
      <c r="K796" s="87"/>
      <c r="L796" s="134"/>
      <c r="M796" s="157"/>
      <c r="N796" s="134"/>
      <c r="O796" s="135" t="str">
        <f>IF(COUNT(商品マスタ[[#This Row],[参考上代
（税込)]]) &gt; 0, (商品マスタ[[#This Row],[参考上代
（税込)]]-商品マスタ[[#This Row],[国内定価
（15％）]])/(商品マスタ[[#This Row],[参考上代
（税込)]]/1.08), "")</f>
        <v/>
      </c>
      <c r="P796" s="136">
        <v>0.1</v>
      </c>
      <c r="Q796" s="134">
        <f>商品マスタ[[#This Row],[仕入
単価]]*商品マスタ[[#This Row],[標準国内送料率]]</f>
        <v>0</v>
      </c>
      <c r="R796" s="134"/>
      <c r="S796" s="134">
        <f>IF(ISBLANK(商品マスタ[[#This Row],[実績
国内送料]]),商品マスタ[[#This Row],[標準国内送料]],)</f>
        <v>0</v>
      </c>
      <c r="T796" s="134">
        <f>商品マスタ[[#This Row],[仕入
単価]]+商品マスタ[[#This Row],[国内送料]]</f>
        <v>0</v>
      </c>
      <c r="U796" s="134">
        <f>ROUNDUP(商品マスタ[[#This Row],[仕入単価+国内送料]]/0.8,-1)</f>
        <v>0</v>
      </c>
      <c r="V796" s="134">
        <f>商品マスタ[[#This Row],[海外定価
（20％）]]-商品マスタ[[#This Row],[仕入単価+国内送料]]</f>
        <v>0</v>
      </c>
      <c r="W796" s="87">
        <f>ROUNDUP(商品マスタ[[#This Row],[仕入単価+国内送料]]/0.85,-1)</f>
        <v>0</v>
      </c>
      <c r="X796" s="134">
        <f>商品マスタ[[#This Row],[国内定価
（15％）]]-商品マスタ[[#This Row],[仕入単価+国内送料]]</f>
        <v>0</v>
      </c>
      <c r="Y796" s="139"/>
      <c r="Z796" s="87"/>
      <c r="AA796" s="87"/>
      <c r="AB796" s="87"/>
      <c r="AC796" s="140"/>
      <c r="AD796" s="87"/>
      <c r="AE796" s="87"/>
      <c r="AF796" s="87"/>
      <c r="AG796" s="141"/>
    </row>
    <row r="797" spans="1:33" ht="18">
      <c r="A797" s="166"/>
      <c r="B797" s="167"/>
      <c r="C797" s="167"/>
      <c r="D797" s="143" t="str">
        <f>"PRD_SNJ_"&amp;
_xlfn.XLOOKUP(商品マスタ[[#This Row],[仕入先]],テーブル1[仕入先名],テーブル1[仕入先コード],"XXX",0,1)&amp;
"_"&amp;
商品マスタ[[#This Row],[シリアル]]&amp;
"_"&amp;
TEXT(COUNTIFS(商品マスタ!$C$3:C797,商品マスタ[[#This Row],[仕入先]],商品マスタ!$E$3:E797,商品マスタ[[#This Row],[商品名]]), "00")</f>
        <v>PRD_SNJ__0000_00</v>
      </c>
      <c r="E797" s="87"/>
      <c r="F797" s="87">
        <f>IF(COUNTIFS($C$3:C797,商品マスタ[[#This Row],[仕入先]],$E$3:E797,商品マスタ[[#This Row],[商品名]]) = 1, 1,0)</f>
        <v>0</v>
      </c>
      <c r="G797" s="133" t="str">
        <f>TEXT(SUMIF($C$3:C797,商品マスタ[[#This Row],[仕入先]],$F$3:F797), "0000")</f>
        <v>0000</v>
      </c>
      <c r="H797" s="87"/>
      <c r="I797" s="87"/>
      <c r="J797" s="87"/>
      <c r="K797" s="87"/>
      <c r="L797" s="134"/>
      <c r="M797" s="157"/>
      <c r="N797" s="134"/>
      <c r="O797" s="135" t="str">
        <f>IF(COUNT(商品マスタ[[#This Row],[参考上代
（税込)]]) &gt; 0, (商品マスタ[[#This Row],[参考上代
（税込)]]-商品マスタ[[#This Row],[国内定価
（15％）]])/(商品マスタ[[#This Row],[参考上代
（税込)]]/1.08), "")</f>
        <v/>
      </c>
      <c r="P797" s="136">
        <v>0.1</v>
      </c>
      <c r="Q797" s="134">
        <f>商品マスタ[[#This Row],[仕入
単価]]*商品マスタ[[#This Row],[標準国内送料率]]</f>
        <v>0</v>
      </c>
      <c r="R797" s="134"/>
      <c r="S797" s="134">
        <f>IF(ISBLANK(商品マスタ[[#This Row],[実績
国内送料]]),商品マスタ[[#This Row],[標準国内送料]],)</f>
        <v>0</v>
      </c>
      <c r="T797" s="134">
        <f>商品マスタ[[#This Row],[仕入
単価]]+商品マスタ[[#This Row],[国内送料]]</f>
        <v>0</v>
      </c>
      <c r="U797" s="134">
        <f>ROUNDUP(商品マスタ[[#This Row],[仕入単価+国内送料]]/0.8,-1)</f>
        <v>0</v>
      </c>
      <c r="V797" s="134">
        <f>商品マスタ[[#This Row],[海外定価
（20％）]]-商品マスタ[[#This Row],[仕入単価+国内送料]]</f>
        <v>0</v>
      </c>
      <c r="W797" s="87">
        <f>ROUNDUP(商品マスタ[[#This Row],[仕入単価+国内送料]]/0.85,-1)</f>
        <v>0</v>
      </c>
      <c r="X797" s="134">
        <f>商品マスタ[[#This Row],[国内定価
（15％）]]-商品マスタ[[#This Row],[仕入単価+国内送料]]</f>
        <v>0</v>
      </c>
      <c r="Y797" s="139"/>
      <c r="Z797" s="87"/>
      <c r="AA797" s="87"/>
      <c r="AB797" s="87"/>
      <c r="AC797" s="140"/>
      <c r="AD797" s="87"/>
      <c r="AE797" s="87"/>
      <c r="AF797" s="87"/>
      <c r="AG797" s="141"/>
    </row>
    <row r="798" spans="1:33" ht="18">
      <c r="A798" s="166"/>
      <c r="B798" s="167"/>
      <c r="C798" s="167"/>
      <c r="D798" s="143" t="str">
        <f>"PRD_SNJ_"&amp;
_xlfn.XLOOKUP(商品マスタ[[#This Row],[仕入先]],テーブル1[仕入先名],テーブル1[仕入先コード],"XXX",0,1)&amp;
"_"&amp;
商品マスタ[[#This Row],[シリアル]]&amp;
"_"&amp;
TEXT(COUNTIFS(商品マスタ!$C$3:C798,商品マスタ[[#This Row],[仕入先]],商品マスタ!$E$3:E798,商品マスタ[[#This Row],[商品名]]), "00")</f>
        <v>PRD_SNJ__0000_00</v>
      </c>
      <c r="E798" s="87"/>
      <c r="F798" s="87">
        <f>IF(COUNTIFS($C$3:C798,商品マスタ[[#This Row],[仕入先]],$E$3:E798,商品マスタ[[#This Row],[商品名]]) = 1, 1,0)</f>
        <v>0</v>
      </c>
      <c r="G798" s="133" t="str">
        <f>TEXT(SUMIF($C$3:C798,商品マスタ[[#This Row],[仕入先]],$F$3:F798), "0000")</f>
        <v>0000</v>
      </c>
      <c r="H798" s="87"/>
      <c r="I798" s="87"/>
      <c r="J798" s="87"/>
      <c r="K798" s="87"/>
      <c r="L798" s="134"/>
      <c r="M798" s="157"/>
      <c r="N798" s="134"/>
      <c r="O798" s="135" t="str">
        <f>IF(COUNT(商品マスタ[[#This Row],[参考上代
（税込)]]) &gt; 0, (商品マスタ[[#This Row],[参考上代
（税込)]]-商品マスタ[[#This Row],[国内定価
（15％）]])/(商品マスタ[[#This Row],[参考上代
（税込)]]/1.08), "")</f>
        <v/>
      </c>
      <c r="P798" s="136">
        <v>0.1</v>
      </c>
      <c r="Q798" s="134">
        <f>商品マスタ[[#This Row],[仕入
単価]]*商品マスタ[[#This Row],[標準国内送料率]]</f>
        <v>0</v>
      </c>
      <c r="R798" s="134"/>
      <c r="S798" s="134">
        <f>IF(ISBLANK(商品マスタ[[#This Row],[実績
国内送料]]),商品マスタ[[#This Row],[標準国内送料]],)</f>
        <v>0</v>
      </c>
      <c r="T798" s="134">
        <f>商品マスタ[[#This Row],[仕入
単価]]+商品マスタ[[#This Row],[国内送料]]</f>
        <v>0</v>
      </c>
      <c r="U798" s="134">
        <f>ROUNDUP(商品マスタ[[#This Row],[仕入単価+国内送料]]/0.8,-1)</f>
        <v>0</v>
      </c>
      <c r="V798" s="134">
        <f>商品マスタ[[#This Row],[海外定価
（20％）]]-商品マスタ[[#This Row],[仕入単価+国内送料]]</f>
        <v>0</v>
      </c>
      <c r="W798" s="87">
        <f>ROUNDUP(商品マスタ[[#This Row],[仕入単価+国内送料]]/0.85,-1)</f>
        <v>0</v>
      </c>
      <c r="X798" s="134">
        <f>商品マスタ[[#This Row],[国内定価
（15％）]]-商品マスタ[[#This Row],[仕入単価+国内送料]]</f>
        <v>0</v>
      </c>
      <c r="Y798" s="139"/>
      <c r="Z798" s="87"/>
      <c r="AA798" s="87"/>
      <c r="AB798" s="87"/>
      <c r="AC798" s="140"/>
      <c r="AD798" s="87"/>
      <c r="AE798" s="87"/>
      <c r="AF798" s="87"/>
      <c r="AG798" s="141"/>
    </row>
    <row r="799" spans="1:33" ht="18">
      <c r="A799" s="166"/>
      <c r="B799" s="167"/>
      <c r="C799" s="167"/>
      <c r="D799" s="143" t="str">
        <f>"PRD_SNJ_"&amp;
_xlfn.XLOOKUP(商品マスタ[[#This Row],[仕入先]],テーブル1[仕入先名],テーブル1[仕入先コード],"XXX",0,1)&amp;
"_"&amp;
商品マスタ[[#This Row],[シリアル]]&amp;
"_"&amp;
TEXT(COUNTIFS(商品マスタ!$C$3:C799,商品マスタ[[#This Row],[仕入先]],商品マスタ!$E$3:E799,商品マスタ[[#This Row],[商品名]]), "00")</f>
        <v>PRD_SNJ__0000_00</v>
      </c>
      <c r="E799" s="87"/>
      <c r="F799" s="87">
        <f>IF(COUNTIFS($C$3:C799,商品マスタ[[#This Row],[仕入先]],$E$3:E799,商品マスタ[[#This Row],[商品名]]) = 1, 1,0)</f>
        <v>0</v>
      </c>
      <c r="G799" s="133" t="str">
        <f>TEXT(SUMIF($C$3:C799,商品マスタ[[#This Row],[仕入先]],$F$3:F799), "0000")</f>
        <v>0000</v>
      </c>
      <c r="H799" s="87"/>
      <c r="I799" s="87"/>
      <c r="J799" s="87"/>
      <c r="K799" s="87"/>
      <c r="L799" s="134"/>
      <c r="M799" s="157"/>
      <c r="N799" s="134"/>
      <c r="O799" s="135" t="str">
        <f>IF(COUNT(商品マスタ[[#This Row],[参考上代
（税込)]]) &gt; 0, (商品マスタ[[#This Row],[参考上代
（税込)]]-商品マスタ[[#This Row],[国内定価
（15％）]])/(商品マスタ[[#This Row],[参考上代
（税込)]]/1.08), "")</f>
        <v/>
      </c>
      <c r="P799" s="136">
        <v>0.1</v>
      </c>
      <c r="Q799" s="134">
        <f>商品マスタ[[#This Row],[仕入
単価]]*商品マスタ[[#This Row],[標準国内送料率]]</f>
        <v>0</v>
      </c>
      <c r="R799" s="134"/>
      <c r="S799" s="134">
        <f>IF(ISBLANK(商品マスタ[[#This Row],[実績
国内送料]]),商品マスタ[[#This Row],[標準国内送料]],)</f>
        <v>0</v>
      </c>
      <c r="T799" s="134">
        <f>商品マスタ[[#This Row],[仕入
単価]]+商品マスタ[[#This Row],[国内送料]]</f>
        <v>0</v>
      </c>
      <c r="U799" s="134">
        <f>ROUNDUP(商品マスタ[[#This Row],[仕入単価+国内送料]]/0.8,-1)</f>
        <v>0</v>
      </c>
      <c r="V799" s="134">
        <f>商品マスタ[[#This Row],[海外定価
（20％）]]-商品マスタ[[#This Row],[仕入単価+国内送料]]</f>
        <v>0</v>
      </c>
      <c r="W799" s="87">
        <f>ROUNDUP(商品マスタ[[#This Row],[仕入単価+国内送料]]/0.85,-1)</f>
        <v>0</v>
      </c>
      <c r="X799" s="134">
        <f>商品マスタ[[#This Row],[国内定価
（15％）]]-商品マスタ[[#This Row],[仕入単価+国内送料]]</f>
        <v>0</v>
      </c>
      <c r="Y799" s="139"/>
      <c r="Z799" s="87"/>
      <c r="AA799" s="87"/>
      <c r="AB799" s="87"/>
      <c r="AC799" s="140"/>
      <c r="AD799" s="87"/>
      <c r="AE799" s="87"/>
      <c r="AF799" s="87"/>
      <c r="AG799" s="141"/>
    </row>
    <row r="800" spans="1:33" ht="18">
      <c r="A800" s="166"/>
      <c r="B800" s="167"/>
      <c r="C800" s="167"/>
      <c r="D800" s="143" t="str">
        <f>"PRD_SNJ_"&amp;
_xlfn.XLOOKUP(商品マスタ[[#This Row],[仕入先]],テーブル1[仕入先名],テーブル1[仕入先コード],"XXX",0,1)&amp;
"_"&amp;
商品マスタ[[#This Row],[シリアル]]&amp;
"_"&amp;
TEXT(COUNTIFS(商品マスタ!$C$3:C800,商品マスタ[[#This Row],[仕入先]],商品マスタ!$E$3:E800,商品マスタ[[#This Row],[商品名]]), "00")</f>
        <v>PRD_SNJ__0000_00</v>
      </c>
      <c r="E800" s="87"/>
      <c r="F800" s="87">
        <f>IF(COUNTIFS($C$3:C800,商品マスタ[[#This Row],[仕入先]],$E$3:E800,商品マスタ[[#This Row],[商品名]]) = 1, 1,0)</f>
        <v>0</v>
      </c>
      <c r="G800" s="133" t="str">
        <f>TEXT(SUMIF($C$3:C800,商品マスタ[[#This Row],[仕入先]],$F$3:F800), "0000")</f>
        <v>0000</v>
      </c>
      <c r="H800" s="87"/>
      <c r="I800" s="87"/>
      <c r="J800" s="87"/>
      <c r="K800" s="87"/>
      <c r="L800" s="134"/>
      <c r="M800" s="157"/>
      <c r="N800" s="134"/>
      <c r="O800" s="135" t="str">
        <f>IF(COUNT(商品マスタ[[#This Row],[参考上代
（税込)]]) &gt; 0, (商品マスタ[[#This Row],[参考上代
（税込)]]-商品マスタ[[#This Row],[国内定価
（15％）]])/(商品マスタ[[#This Row],[参考上代
（税込)]]/1.08), "")</f>
        <v/>
      </c>
      <c r="P800" s="136">
        <v>0.1</v>
      </c>
      <c r="Q800" s="134">
        <f>商品マスタ[[#This Row],[仕入
単価]]*商品マスタ[[#This Row],[標準国内送料率]]</f>
        <v>0</v>
      </c>
      <c r="R800" s="134"/>
      <c r="S800" s="134">
        <f>IF(ISBLANK(商品マスタ[[#This Row],[実績
国内送料]]),商品マスタ[[#This Row],[標準国内送料]],)</f>
        <v>0</v>
      </c>
      <c r="T800" s="134">
        <f>商品マスタ[[#This Row],[仕入
単価]]+商品マスタ[[#This Row],[国内送料]]</f>
        <v>0</v>
      </c>
      <c r="U800" s="134">
        <f>ROUNDUP(商品マスタ[[#This Row],[仕入単価+国内送料]]/0.8,-1)</f>
        <v>0</v>
      </c>
      <c r="V800" s="134">
        <f>商品マスタ[[#This Row],[海外定価
（20％）]]-商品マスタ[[#This Row],[仕入単価+国内送料]]</f>
        <v>0</v>
      </c>
      <c r="W800" s="87">
        <f>ROUNDUP(商品マスタ[[#This Row],[仕入単価+国内送料]]/0.85,-1)</f>
        <v>0</v>
      </c>
      <c r="X800" s="134">
        <f>商品マスタ[[#This Row],[国内定価
（15％）]]-商品マスタ[[#This Row],[仕入単価+国内送料]]</f>
        <v>0</v>
      </c>
      <c r="Y800" s="139"/>
      <c r="Z800" s="87"/>
      <c r="AA800" s="87"/>
      <c r="AB800" s="87"/>
      <c r="AC800" s="140"/>
      <c r="AD800" s="87"/>
      <c r="AE800" s="87"/>
      <c r="AF800" s="87"/>
      <c r="AG800" s="141"/>
    </row>
    <row r="801" spans="1:33" ht="18">
      <c r="A801" s="166"/>
      <c r="B801" s="167"/>
      <c r="C801" s="167"/>
      <c r="D801" s="143" t="str">
        <f>"PRD_SNJ_"&amp;
_xlfn.XLOOKUP(商品マスタ[[#This Row],[仕入先]],テーブル1[仕入先名],テーブル1[仕入先コード],"XXX",0,1)&amp;
"_"&amp;
商品マスタ[[#This Row],[シリアル]]&amp;
"_"&amp;
TEXT(COUNTIFS(商品マスタ!$C$3:C801,商品マスタ[[#This Row],[仕入先]],商品マスタ!$E$3:E801,商品マスタ[[#This Row],[商品名]]), "00")</f>
        <v>PRD_SNJ__0000_00</v>
      </c>
      <c r="E801" s="87"/>
      <c r="F801" s="87">
        <f>IF(COUNTIFS($C$3:C801,商品マスタ[[#This Row],[仕入先]],$E$3:E801,商品マスタ[[#This Row],[商品名]]) = 1, 1,0)</f>
        <v>0</v>
      </c>
      <c r="G801" s="133" t="str">
        <f>TEXT(SUMIF($C$3:C801,商品マスタ[[#This Row],[仕入先]],$F$3:F801), "0000")</f>
        <v>0000</v>
      </c>
      <c r="H801" s="87"/>
      <c r="I801" s="87"/>
      <c r="J801" s="87"/>
      <c r="K801" s="87"/>
      <c r="L801" s="134"/>
      <c r="M801" s="157"/>
      <c r="N801" s="134"/>
      <c r="O801" s="135" t="str">
        <f>IF(COUNT(商品マスタ[[#This Row],[参考上代
（税込)]]) &gt; 0, (商品マスタ[[#This Row],[参考上代
（税込)]]-商品マスタ[[#This Row],[国内定価
（15％）]])/(商品マスタ[[#This Row],[参考上代
（税込)]]/1.08), "")</f>
        <v/>
      </c>
      <c r="P801" s="136">
        <v>0.1</v>
      </c>
      <c r="Q801" s="134">
        <f>商品マスタ[[#This Row],[仕入
単価]]*商品マスタ[[#This Row],[標準国内送料率]]</f>
        <v>0</v>
      </c>
      <c r="R801" s="134"/>
      <c r="S801" s="134">
        <f>IF(ISBLANK(商品マスタ[[#This Row],[実績
国内送料]]),商品マスタ[[#This Row],[標準国内送料]],)</f>
        <v>0</v>
      </c>
      <c r="T801" s="134">
        <f>商品マスタ[[#This Row],[仕入
単価]]+商品マスタ[[#This Row],[国内送料]]</f>
        <v>0</v>
      </c>
      <c r="U801" s="134">
        <f>ROUNDUP(商品マスタ[[#This Row],[仕入単価+国内送料]]/0.8,-1)</f>
        <v>0</v>
      </c>
      <c r="V801" s="134">
        <f>商品マスタ[[#This Row],[海外定価
（20％）]]-商品マスタ[[#This Row],[仕入単価+国内送料]]</f>
        <v>0</v>
      </c>
      <c r="W801" s="87">
        <f>ROUNDUP(商品マスタ[[#This Row],[仕入単価+国内送料]]/0.85,-1)</f>
        <v>0</v>
      </c>
      <c r="X801" s="134">
        <f>商品マスタ[[#This Row],[国内定価
（15％）]]-商品マスタ[[#This Row],[仕入単価+国内送料]]</f>
        <v>0</v>
      </c>
      <c r="Y801" s="139"/>
      <c r="Z801" s="87"/>
      <c r="AA801" s="87"/>
      <c r="AB801" s="87"/>
      <c r="AC801" s="140"/>
      <c r="AD801" s="87"/>
      <c r="AE801" s="87"/>
      <c r="AF801" s="87"/>
      <c r="AG801" s="141"/>
    </row>
    <row r="802" spans="1:33" ht="18">
      <c r="A802" s="166"/>
      <c r="B802" s="167"/>
      <c r="C802" s="167"/>
      <c r="D802" s="143" t="str">
        <f>"PRD_SNJ_"&amp;
_xlfn.XLOOKUP(商品マスタ[[#This Row],[仕入先]],テーブル1[仕入先名],テーブル1[仕入先コード],"XXX",0,1)&amp;
"_"&amp;
商品マスタ[[#This Row],[シリアル]]&amp;
"_"&amp;
TEXT(COUNTIFS(商品マスタ!$C$3:C802,商品マスタ[[#This Row],[仕入先]],商品マスタ!$E$3:E802,商品マスタ[[#This Row],[商品名]]), "00")</f>
        <v>PRD_SNJ__0000_00</v>
      </c>
      <c r="E802" s="87"/>
      <c r="F802" s="87">
        <f>IF(COUNTIFS($C$3:C802,商品マスタ[[#This Row],[仕入先]],$E$3:E802,商品マスタ[[#This Row],[商品名]]) = 1, 1,0)</f>
        <v>0</v>
      </c>
      <c r="G802" s="133" t="str">
        <f>TEXT(SUMIF($C$3:C802,商品マスタ[[#This Row],[仕入先]],$F$3:F802), "0000")</f>
        <v>0000</v>
      </c>
      <c r="H802" s="87"/>
      <c r="I802" s="87"/>
      <c r="J802" s="87"/>
      <c r="K802" s="87"/>
      <c r="L802" s="134"/>
      <c r="M802" s="157"/>
      <c r="N802" s="134"/>
      <c r="O802" s="135" t="str">
        <f>IF(COUNT(商品マスタ[[#This Row],[参考上代
（税込)]]) &gt; 0, (商品マスタ[[#This Row],[参考上代
（税込)]]-商品マスタ[[#This Row],[国内定価
（15％）]])/(商品マスタ[[#This Row],[参考上代
（税込)]]/1.08), "")</f>
        <v/>
      </c>
      <c r="P802" s="136">
        <v>0.1</v>
      </c>
      <c r="Q802" s="134">
        <f>商品マスタ[[#This Row],[仕入
単価]]*商品マスタ[[#This Row],[標準国内送料率]]</f>
        <v>0</v>
      </c>
      <c r="R802" s="134"/>
      <c r="S802" s="134">
        <f>IF(ISBLANK(商品マスタ[[#This Row],[実績
国内送料]]),商品マスタ[[#This Row],[標準国内送料]],)</f>
        <v>0</v>
      </c>
      <c r="T802" s="134">
        <f>商品マスタ[[#This Row],[仕入
単価]]+商品マスタ[[#This Row],[国内送料]]</f>
        <v>0</v>
      </c>
      <c r="U802" s="134">
        <f>ROUNDUP(商品マスタ[[#This Row],[仕入単価+国内送料]]/0.8,-1)</f>
        <v>0</v>
      </c>
      <c r="V802" s="134">
        <f>商品マスタ[[#This Row],[海外定価
（20％）]]-商品マスタ[[#This Row],[仕入単価+国内送料]]</f>
        <v>0</v>
      </c>
      <c r="W802" s="87">
        <f>ROUNDUP(商品マスタ[[#This Row],[仕入単価+国内送料]]/0.85,-1)</f>
        <v>0</v>
      </c>
      <c r="X802" s="134">
        <f>商品マスタ[[#This Row],[国内定価
（15％）]]-商品マスタ[[#This Row],[仕入単価+国内送料]]</f>
        <v>0</v>
      </c>
      <c r="Y802" s="139"/>
      <c r="Z802" s="87"/>
      <c r="AA802" s="87"/>
      <c r="AB802" s="87"/>
      <c r="AC802" s="140"/>
      <c r="AD802" s="87"/>
      <c r="AE802" s="87"/>
      <c r="AF802" s="87"/>
      <c r="AG802" s="141"/>
    </row>
    <row r="803" spans="1:33" ht="18">
      <c r="A803" s="166"/>
      <c r="B803" s="167"/>
      <c r="C803" s="167"/>
      <c r="D803" s="143" t="str">
        <f>"PRD_SNJ_"&amp;
_xlfn.XLOOKUP(商品マスタ[[#This Row],[仕入先]],テーブル1[仕入先名],テーブル1[仕入先コード],"XXX",0,1)&amp;
"_"&amp;
商品マスタ[[#This Row],[シリアル]]&amp;
"_"&amp;
TEXT(COUNTIFS(商品マスタ!$C$3:C803,商品マスタ[[#This Row],[仕入先]],商品マスタ!$E$3:E803,商品マスタ[[#This Row],[商品名]]), "00")</f>
        <v>PRD_SNJ__0000_00</v>
      </c>
      <c r="E803" s="87"/>
      <c r="F803" s="87">
        <f>IF(COUNTIFS($C$3:C803,商品マスタ[[#This Row],[仕入先]],$E$3:E803,商品マスタ[[#This Row],[商品名]]) = 1, 1,0)</f>
        <v>0</v>
      </c>
      <c r="G803" s="133" t="str">
        <f>TEXT(SUMIF($C$3:C803,商品マスタ[[#This Row],[仕入先]],$F$3:F803), "0000")</f>
        <v>0000</v>
      </c>
      <c r="H803" s="87"/>
      <c r="I803" s="87"/>
      <c r="J803" s="87"/>
      <c r="K803" s="87"/>
      <c r="L803" s="134"/>
      <c r="M803" s="157"/>
      <c r="N803" s="134"/>
      <c r="O803" s="135" t="str">
        <f>IF(COUNT(商品マスタ[[#This Row],[参考上代
（税込)]]) &gt; 0, (商品マスタ[[#This Row],[参考上代
（税込)]]-商品マスタ[[#This Row],[国内定価
（15％）]])/(商品マスタ[[#This Row],[参考上代
（税込)]]/1.08), "")</f>
        <v/>
      </c>
      <c r="P803" s="136">
        <v>0.1</v>
      </c>
      <c r="Q803" s="134">
        <f>商品マスタ[[#This Row],[仕入
単価]]*商品マスタ[[#This Row],[標準国内送料率]]</f>
        <v>0</v>
      </c>
      <c r="R803" s="134"/>
      <c r="S803" s="134">
        <f>IF(ISBLANK(商品マスタ[[#This Row],[実績
国内送料]]),商品マスタ[[#This Row],[標準国内送料]],)</f>
        <v>0</v>
      </c>
      <c r="T803" s="134">
        <f>商品マスタ[[#This Row],[仕入
単価]]+商品マスタ[[#This Row],[国内送料]]</f>
        <v>0</v>
      </c>
      <c r="U803" s="134">
        <f>ROUNDUP(商品マスタ[[#This Row],[仕入単価+国内送料]]/0.8,-1)</f>
        <v>0</v>
      </c>
      <c r="V803" s="134">
        <f>商品マスタ[[#This Row],[海外定価
（20％）]]-商品マスタ[[#This Row],[仕入単価+国内送料]]</f>
        <v>0</v>
      </c>
      <c r="W803" s="87">
        <f>ROUNDUP(商品マスタ[[#This Row],[仕入単価+国内送料]]/0.85,-1)</f>
        <v>0</v>
      </c>
      <c r="X803" s="134">
        <f>商品マスタ[[#This Row],[国内定価
（15％）]]-商品マスタ[[#This Row],[仕入単価+国内送料]]</f>
        <v>0</v>
      </c>
      <c r="Y803" s="139"/>
      <c r="Z803" s="87"/>
      <c r="AA803" s="87"/>
      <c r="AB803" s="87"/>
      <c r="AC803" s="140"/>
      <c r="AD803" s="87"/>
      <c r="AE803" s="87"/>
      <c r="AF803" s="87"/>
      <c r="AG803" s="141"/>
    </row>
    <row r="804" spans="1:33" ht="18">
      <c r="A804" s="166"/>
      <c r="B804" s="167"/>
      <c r="C804" s="167"/>
      <c r="D804" s="143" t="str">
        <f>"PRD_SNJ_"&amp;
_xlfn.XLOOKUP(商品マスタ[[#This Row],[仕入先]],テーブル1[仕入先名],テーブル1[仕入先コード],"XXX",0,1)&amp;
"_"&amp;
商品マスタ[[#This Row],[シリアル]]&amp;
"_"&amp;
TEXT(COUNTIFS(商品マスタ!$C$3:C804,商品マスタ[[#This Row],[仕入先]],商品マスタ!$E$3:E804,商品マスタ[[#This Row],[商品名]]), "00")</f>
        <v>PRD_SNJ__0000_00</v>
      </c>
      <c r="E804" s="87"/>
      <c r="F804" s="87">
        <f>IF(COUNTIFS($C$3:C804,商品マスタ[[#This Row],[仕入先]],$E$3:E804,商品マスタ[[#This Row],[商品名]]) = 1, 1,0)</f>
        <v>0</v>
      </c>
      <c r="G804" s="133" t="str">
        <f>TEXT(SUMIF($C$3:C804,商品マスタ[[#This Row],[仕入先]],$F$3:F804), "0000")</f>
        <v>0000</v>
      </c>
      <c r="H804" s="87"/>
      <c r="I804" s="87"/>
      <c r="J804" s="87"/>
      <c r="K804" s="87"/>
      <c r="L804" s="134"/>
      <c r="M804" s="157"/>
      <c r="N804" s="134"/>
      <c r="O804" s="135" t="str">
        <f>IF(COUNT(商品マスタ[[#This Row],[参考上代
（税込)]]) &gt; 0, (商品マスタ[[#This Row],[参考上代
（税込)]]-商品マスタ[[#This Row],[国内定価
（15％）]])/(商品マスタ[[#This Row],[参考上代
（税込)]]/1.08), "")</f>
        <v/>
      </c>
      <c r="P804" s="136">
        <v>0.1</v>
      </c>
      <c r="Q804" s="134">
        <f>商品マスタ[[#This Row],[仕入
単価]]*商品マスタ[[#This Row],[標準国内送料率]]</f>
        <v>0</v>
      </c>
      <c r="R804" s="134"/>
      <c r="S804" s="134">
        <f>IF(ISBLANK(商品マスタ[[#This Row],[実績
国内送料]]),商品マスタ[[#This Row],[標準国内送料]],)</f>
        <v>0</v>
      </c>
      <c r="T804" s="134">
        <f>商品マスタ[[#This Row],[仕入
単価]]+商品マスタ[[#This Row],[国内送料]]</f>
        <v>0</v>
      </c>
      <c r="U804" s="134">
        <f>ROUNDUP(商品マスタ[[#This Row],[仕入単価+国内送料]]/0.8,-1)</f>
        <v>0</v>
      </c>
      <c r="V804" s="134">
        <f>商品マスタ[[#This Row],[海外定価
（20％）]]-商品マスタ[[#This Row],[仕入単価+国内送料]]</f>
        <v>0</v>
      </c>
      <c r="W804" s="87">
        <f>ROUNDUP(商品マスタ[[#This Row],[仕入単価+国内送料]]/0.85,-1)</f>
        <v>0</v>
      </c>
      <c r="X804" s="134">
        <f>商品マスタ[[#This Row],[国内定価
（15％）]]-商品マスタ[[#This Row],[仕入単価+国内送料]]</f>
        <v>0</v>
      </c>
      <c r="Y804" s="139"/>
      <c r="Z804" s="87"/>
      <c r="AA804" s="87"/>
      <c r="AB804" s="87"/>
      <c r="AC804" s="140"/>
      <c r="AD804" s="87"/>
      <c r="AE804" s="87"/>
      <c r="AF804" s="87"/>
      <c r="AG804" s="141"/>
    </row>
    <row r="805" spans="1:33" ht="18">
      <c r="A805" s="166"/>
      <c r="B805" s="167"/>
      <c r="C805" s="167"/>
      <c r="D805" s="143" t="str">
        <f>"PRD_SNJ_"&amp;
_xlfn.XLOOKUP(商品マスタ[[#This Row],[仕入先]],テーブル1[仕入先名],テーブル1[仕入先コード],"XXX",0,1)&amp;
"_"&amp;
商品マスタ[[#This Row],[シリアル]]&amp;
"_"&amp;
TEXT(COUNTIFS(商品マスタ!$C$3:C805,商品マスタ[[#This Row],[仕入先]],商品マスタ!$E$3:E805,商品マスタ[[#This Row],[商品名]]), "00")</f>
        <v>PRD_SNJ__0000_00</v>
      </c>
      <c r="E805" s="87"/>
      <c r="F805" s="87">
        <f>IF(COUNTIFS($C$3:C805,商品マスタ[[#This Row],[仕入先]],$E$3:E805,商品マスタ[[#This Row],[商品名]]) = 1, 1,0)</f>
        <v>0</v>
      </c>
      <c r="G805" s="133" t="str">
        <f>TEXT(SUMIF($C$3:C805,商品マスタ[[#This Row],[仕入先]],$F$3:F805), "0000")</f>
        <v>0000</v>
      </c>
      <c r="H805" s="87"/>
      <c r="I805" s="87"/>
      <c r="J805" s="87"/>
      <c r="K805" s="87"/>
      <c r="L805" s="134"/>
      <c r="M805" s="157"/>
      <c r="N805" s="134"/>
      <c r="O805" s="135" t="str">
        <f>IF(COUNT(商品マスタ[[#This Row],[参考上代
（税込)]]) &gt; 0, (商品マスタ[[#This Row],[参考上代
（税込)]]-商品マスタ[[#This Row],[国内定価
（15％）]])/(商品マスタ[[#This Row],[参考上代
（税込)]]/1.08), "")</f>
        <v/>
      </c>
      <c r="P805" s="136">
        <v>0.1</v>
      </c>
      <c r="Q805" s="134">
        <f>商品マスタ[[#This Row],[仕入
単価]]*商品マスタ[[#This Row],[標準国内送料率]]</f>
        <v>0</v>
      </c>
      <c r="R805" s="134"/>
      <c r="S805" s="134">
        <f>IF(ISBLANK(商品マスタ[[#This Row],[実績
国内送料]]),商品マスタ[[#This Row],[標準国内送料]],)</f>
        <v>0</v>
      </c>
      <c r="T805" s="134">
        <f>商品マスタ[[#This Row],[仕入
単価]]+商品マスタ[[#This Row],[国内送料]]</f>
        <v>0</v>
      </c>
      <c r="U805" s="134">
        <f>ROUNDUP(商品マスタ[[#This Row],[仕入単価+国内送料]]/0.8,-1)</f>
        <v>0</v>
      </c>
      <c r="V805" s="134">
        <f>商品マスタ[[#This Row],[海外定価
（20％）]]-商品マスタ[[#This Row],[仕入単価+国内送料]]</f>
        <v>0</v>
      </c>
      <c r="W805" s="87">
        <f>ROUNDUP(商品マスタ[[#This Row],[仕入単価+国内送料]]/0.85,-1)</f>
        <v>0</v>
      </c>
      <c r="X805" s="134">
        <f>商品マスタ[[#This Row],[国内定価
（15％）]]-商品マスタ[[#This Row],[仕入単価+国内送料]]</f>
        <v>0</v>
      </c>
      <c r="Y805" s="139"/>
      <c r="Z805" s="87"/>
      <c r="AA805" s="87"/>
      <c r="AB805" s="87"/>
      <c r="AC805" s="140"/>
      <c r="AD805" s="87"/>
      <c r="AE805" s="87"/>
      <c r="AF805" s="87"/>
      <c r="AG805" s="141"/>
    </row>
    <row r="806" spans="1:33" ht="18">
      <c r="A806" s="166"/>
      <c r="B806" s="167"/>
      <c r="C806" s="167"/>
      <c r="D806" s="143" t="str">
        <f>"PRD_SNJ_"&amp;
_xlfn.XLOOKUP(商品マスタ[[#This Row],[仕入先]],テーブル1[仕入先名],テーブル1[仕入先コード],"XXX",0,1)&amp;
"_"&amp;
商品マスタ[[#This Row],[シリアル]]&amp;
"_"&amp;
TEXT(COUNTIFS(商品マスタ!$C$3:C806,商品マスタ[[#This Row],[仕入先]],商品マスタ!$E$3:E806,商品マスタ[[#This Row],[商品名]]), "00")</f>
        <v>PRD_SNJ__0000_00</v>
      </c>
      <c r="E806" s="87"/>
      <c r="F806" s="87">
        <f>IF(COUNTIFS($C$3:C806,商品マスタ[[#This Row],[仕入先]],$E$3:E806,商品マスタ[[#This Row],[商品名]]) = 1, 1,0)</f>
        <v>0</v>
      </c>
      <c r="G806" s="133" t="str">
        <f>TEXT(SUMIF($C$3:C806,商品マスタ[[#This Row],[仕入先]],$F$3:F806), "0000")</f>
        <v>0000</v>
      </c>
      <c r="H806" s="87"/>
      <c r="I806" s="87"/>
      <c r="J806" s="87"/>
      <c r="K806" s="87"/>
      <c r="L806" s="134"/>
      <c r="M806" s="157"/>
      <c r="N806" s="134"/>
      <c r="O806" s="135" t="str">
        <f>IF(COUNT(商品マスタ[[#This Row],[参考上代
（税込)]]) &gt; 0, (商品マスタ[[#This Row],[参考上代
（税込)]]-商品マスタ[[#This Row],[国内定価
（15％）]])/(商品マスタ[[#This Row],[参考上代
（税込)]]/1.08), "")</f>
        <v/>
      </c>
      <c r="P806" s="136">
        <v>0.1</v>
      </c>
      <c r="Q806" s="134">
        <f>商品マスタ[[#This Row],[仕入
単価]]*商品マスタ[[#This Row],[標準国内送料率]]</f>
        <v>0</v>
      </c>
      <c r="R806" s="134"/>
      <c r="S806" s="134">
        <f>IF(ISBLANK(商品マスタ[[#This Row],[実績
国内送料]]),商品マスタ[[#This Row],[標準国内送料]],)</f>
        <v>0</v>
      </c>
      <c r="T806" s="134">
        <f>商品マスタ[[#This Row],[仕入
単価]]+商品マスタ[[#This Row],[国内送料]]</f>
        <v>0</v>
      </c>
      <c r="U806" s="134">
        <f>ROUNDUP(商品マスタ[[#This Row],[仕入単価+国内送料]]/0.8,-1)</f>
        <v>0</v>
      </c>
      <c r="V806" s="134">
        <f>商品マスタ[[#This Row],[海外定価
（20％）]]-商品マスタ[[#This Row],[仕入単価+国内送料]]</f>
        <v>0</v>
      </c>
      <c r="W806" s="87">
        <f>ROUNDUP(商品マスタ[[#This Row],[仕入単価+国内送料]]/0.85,-1)</f>
        <v>0</v>
      </c>
      <c r="X806" s="134">
        <f>商品マスタ[[#This Row],[国内定価
（15％）]]-商品マスタ[[#This Row],[仕入単価+国内送料]]</f>
        <v>0</v>
      </c>
      <c r="Y806" s="139"/>
      <c r="Z806" s="87"/>
      <c r="AA806" s="87"/>
      <c r="AB806" s="87"/>
      <c r="AC806" s="140"/>
      <c r="AD806" s="87"/>
      <c r="AE806" s="87"/>
      <c r="AF806" s="87"/>
      <c r="AG806" s="141"/>
    </row>
    <row r="807" spans="1:33" ht="18">
      <c r="A807" s="166"/>
      <c r="B807" s="167"/>
      <c r="C807" s="167"/>
      <c r="D807" s="143" t="str">
        <f>"PRD_SNJ_"&amp;
_xlfn.XLOOKUP(商品マスタ[[#This Row],[仕入先]],テーブル1[仕入先名],テーブル1[仕入先コード],"XXX",0,1)&amp;
"_"&amp;
商品マスタ[[#This Row],[シリアル]]&amp;
"_"&amp;
TEXT(COUNTIFS(商品マスタ!$C$3:C807,商品マスタ[[#This Row],[仕入先]],商品マスタ!$E$3:E807,商品マスタ[[#This Row],[商品名]]), "00")</f>
        <v>PRD_SNJ__0000_00</v>
      </c>
      <c r="E807" s="87"/>
      <c r="F807" s="87">
        <f>IF(COUNTIFS($C$3:C807,商品マスタ[[#This Row],[仕入先]],$E$3:E807,商品マスタ[[#This Row],[商品名]]) = 1, 1,0)</f>
        <v>0</v>
      </c>
      <c r="G807" s="133" t="str">
        <f>TEXT(SUMIF($C$3:C807,商品マスタ[[#This Row],[仕入先]],$F$3:F807), "0000")</f>
        <v>0000</v>
      </c>
      <c r="H807" s="87"/>
      <c r="I807" s="87"/>
      <c r="J807" s="87"/>
      <c r="K807" s="87"/>
      <c r="L807" s="134"/>
      <c r="M807" s="157"/>
      <c r="N807" s="134"/>
      <c r="O807" s="135" t="str">
        <f>IF(COUNT(商品マスタ[[#This Row],[参考上代
（税込)]]) &gt; 0, (商品マスタ[[#This Row],[参考上代
（税込)]]-商品マスタ[[#This Row],[国内定価
（15％）]])/(商品マスタ[[#This Row],[参考上代
（税込)]]/1.08), "")</f>
        <v/>
      </c>
      <c r="P807" s="136">
        <v>0.1</v>
      </c>
      <c r="Q807" s="134">
        <f>商品マスタ[[#This Row],[仕入
単価]]*商品マスタ[[#This Row],[標準国内送料率]]</f>
        <v>0</v>
      </c>
      <c r="R807" s="134"/>
      <c r="S807" s="134">
        <f>IF(ISBLANK(商品マスタ[[#This Row],[実績
国内送料]]),商品マスタ[[#This Row],[標準国内送料]],)</f>
        <v>0</v>
      </c>
      <c r="T807" s="134">
        <f>商品マスタ[[#This Row],[仕入
単価]]+商品マスタ[[#This Row],[国内送料]]</f>
        <v>0</v>
      </c>
      <c r="U807" s="134">
        <f>ROUNDUP(商品マスタ[[#This Row],[仕入単価+国内送料]]/0.8,-1)</f>
        <v>0</v>
      </c>
      <c r="V807" s="134">
        <f>商品マスタ[[#This Row],[海外定価
（20％）]]-商品マスタ[[#This Row],[仕入単価+国内送料]]</f>
        <v>0</v>
      </c>
      <c r="W807" s="87">
        <f>ROUNDUP(商品マスタ[[#This Row],[仕入単価+国内送料]]/0.85,-1)</f>
        <v>0</v>
      </c>
      <c r="X807" s="134">
        <f>商品マスタ[[#This Row],[国内定価
（15％）]]-商品マスタ[[#This Row],[仕入単価+国内送料]]</f>
        <v>0</v>
      </c>
      <c r="Y807" s="139"/>
      <c r="Z807" s="87"/>
      <c r="AA807" s="87"/>
      <c r="AB807" s="87"/>
      <c r="AC807" s="140"/>
      <c r="AD807" s="87"/>
      <c r="AE807" s="87"/>
      <c r="AF807" s="87"/>
      <c r="AG807" s="141"/>
    </row>
    <row r="808" spans="1:33" ht="18">
      <c r="A808" s="166"/>
      <c r="B808" s="167"/>
      <c r="C808" s="167"/>
      <c r="D808" s="143" t="str">
        <f>"PRD_SNJ_"&amp;
_xlfn.XLOOKUP(商品マスタ[[#This Row],[仕入先]],テーブル1[仕入先名],テーブル1[仕入先コード],"XXX",0,1)&amp;
"_"&amp;
商品マスタ[[#This Row],[シリアル]]&amp;
"_"&amp;
TEXT(COUNTIFS(商品マスタ!$C$3:C808,商品マスタ[[#This Row],[仕入先]],商品マスタ!$E$3:E808,商品マスタ[[#This Row],[商品名]]), "00")</f>
        <v>PRD_SNJ__0000_00</v>
      </c>
      <c r="E808" s="87"/>
      <c r="F808" s="87">
        <f>IF(COUNTIFS($C$3:C808,商品マスタ[[#This Row],[仕入先]],$E$3:E808,商品マスタ[[#This Row],[商品名]]) = 1, 1,0)</f>
        <v>0</v>
      </c>
      <c r="G808" s="133" t="str">
        <f>TEXT(SUMIF($C$3:C808,商品マスタ[[#This Row],[仕入先]],$F$3:F808), "0000")</f>
        <v>0000</v>
      </c>
      <c r="H808" s="87"/>
      <c r="I808" s="87"/>
      <c r="J808" s="87"/>
      <c r="K808" s="87"/>
      <c r="L808" s="134"/>
      <c r="M808" s="157"/>
      <c r="N808" s="134"/>
      <c r="O808" s="135" t="str">
        <f>IF(COUNT(商品マスタ[[#This Row],[参考上代
（税込)]]) &gt; 0, (商品マスタ[[#This Row],[参考上代
（税込)]]-商品マスタ[[#This Row],[国内定価
（15％）]])/(商品マスタ[[#This Row],[参考上代
（税込)]]/1.08), "")</f>
        <v/>
      </c>
      <c r="P808" s="136">
        <v>0.1</v>
      </c>
      <c r="Q808" s="134">
        <f>商品マスタ[[#This Row],[仕入
単価]]*商品マスタ[[#This Row],[標準国内送料率]]</f>
        <v>0</v>
      </c>
      <c r="R808" s="134"/>
      <c r="S808" s="134">
        <f>IF(ISBLANK(商品マスタ[[#This Row],[実績
国内送料]]),商品マスタ[[#This Row],[標準国内送料]],)</f>
        <v>0</v>
      </c>
      <c r="T808" s="134">
        <f>商品マスタ[[#This Row],[仕入
単価]]+商品マスタ[[#This Row],[国内送料]]</f>
        <v>0</v>
      </c>
      <c r="U808" s="134">
        <f>ROUNDUP(商品マスタ[[#This Row],[仕入単価+国内送料]]/0.8,-1)</f>
        <v>0</v>
      </c>
      <c r="V808" s="134">
        <f>商品マスタ[[#This Row],[海外定価
（20％）]]-商品マスタ[[#This Row],[仕入単価+国内送料]]</f>
        <v>0</v>
      </c>
      <c r="W808" s="87">
        <f>ROUNDUP(商品マスタ[[#This Row],[仕入単価+国内送料]]/0.85,-1)</f>
        <v>0</v>
      </c>
      <c r="X808" s="134">
        <f>商品マスタ[[#This Row],[国内定価
（15％）]]-商品マスタ[[#This Row],[仕入単価+国内送料]]</f>
        <v>0</v>
      </c>
      <c r="Y808" s="139"/>
      <c r="Z808" s="87"/>
      <c r="AA808" s="87"/>
      <c r="AB808" s="87"/>
      <c r="AC808" s="140"/>
      <c r="AD808" s="87"/>
      <c r="AE808" s="87"/>
      <c r="AF808" s="87"/>
      <c r="AG808" s="141"/>
    </row>
    <row r="809" spans="1:33" ht="18">
      <c r="A809" s="166"/>
      <c r="B809" s="167"/>
      <c r="C809" s="167"/>
      <c r="D809" s="143" t="str">
        <f>"PRD_SNJ_"&amp;
_xlfn.XLOOKUP(商品マスタ[[#This Row],[仕入先]],テーブル1[仕入先名],テーブル1[仕入先コード],"XXX",0,1)&amp;
"_"&amp;
商品マスタ[[#This Row],[シリアル]]&amp;
"_"&amp;
TEXT(COUNTIFS(商品マスタ!$C$3:C809,商品マスタ[[#This Row],[仕入先]],商品マスタ!$E$3:E809,商品マスタ[[#This Row],[商品名]]), "00")</f>
        <v>PRD_SNJ__0000_00</v>
      </c>
      <c r="E809" s="87"/>
      <c r="F809" s="87">
        <f>IF(COUNTIFS($C$3:C809,商品マスタ[[#This Row],[仕入先]],$E$3:E809,商品マスタ[[#This Row],[商品名]]) = 1, 1,0)</f>
        <v>0</v>
      </c>
      <c r="G809" s="133" t="str">
        <f>TEXT(SUMIF($C$3:C809,商品マスタ[[#This Row],[仕入先]],$F$3:F809), "0000")</f>
        <v>0000</v>
      </c>
      <c r="H809" s="87"/>
      <c r="I809" s="87"/>
      <c r="J809" s="87"/>
      <c r="K809" s="87"/>
      <c r="L809" s="134"/>
      <c r="M809" s="157"/>
      <c r="N809" s="134"/>
      <c r="O809" s="135" t="str">
        <f>IF(COUNT(商品マスタ[[#This Row],[参考上代
（税込)]]) &gt; 0, (商品マスタ[[#This Row],[参考上代
（税込)]]-商品マスタ[[#This Row],[国内定価
（15％）]])/(商品マスタ[[#This Row],[参考上代
（税込)]]/1.08), "")</f>
        <v/>
      </c>
      <c r="P809" s="136">
        <v>0.1</v>
      </c>
      <c r="Q809" s="134">
        <f>商品マスタ[[#This Row],[仕入
単価]]*商品マスタ[[#This Row],[標準国内送料率]]</f>
        <v>0</v>
      </c>
      <c r="R809" s="134"/>
      <c r="S809" s="134">
        <f>IF(ISBLANK(商品マスタ[[#This Row],[実績
国内送料]]),商品マスタ[[#This Row],[標準国内送料]],)</f>
        <v>0</v>
      </c>
      <c r="T809" s="134">
        <f>商品マスタ[[#This Row],[仕入
単価]]+商品マスタ[[#This Row],[国内送料]]</f>
        <v>0</v>
      </c>
      <c r="U809" s="134">
        <f>ROUNDUP(商品マスタ[[#This Row],[仕入単価+国内送料]]/0.8,-1)</f>
        <v>0</v>
      </c>
      <c r="V809" s="134">
        <f>商品マスタ[[#This Row],[海外定価
（20％）]]-商品マスタ[[#This Row],[仕入単価+国内送料]]</f>
        <v>0</v>
      </c>
      <c r="W809" s="87">
        <f>ROUNDUP(商品マスタ[[#This Row],[仕入単価+国内送料]]/0.85,-1)</f>
        <v>0</v>
      </c>
      <c r="X809" s="134">
        <f>商品マスタ[[#This Row],[国内定価
（15％）]]-商品マスタ[[#This Row],[仕入単価+国内送料]]</f>
        <v>0</v>
      </c>
      <c r="Y809" s="139"/>
      <c r="Z809" s="87"/>
      <c r="AA809" s="87"/>
      <c r="AB809" s="87"/>
      <c r="AC809" s="140"/>
      <c r="AD809" s="87"/>
      <c r="AE809" s="87"/>
      <c r="AF809" s="87"/>
      <c r="AG809" s="141"/>
    </row>
    <row r="810" spans="1:33" ht="18">
      <c r="A810" s="166"/>
      <c r="B810" s="167"/>
      <c r="C810" s="167"/>
      <c r="D810" s="143" t="str">
        <f>"PRD_SNJ_"&amp;
_xlfn.XLOOKUP(商品マスタ[[#This Row],[仕入先]],テーブル1[仕入先名],テーブル1[仕入先コード],"XXX",0,1)&amp;
"_"&amp;
商品マスタ[[#This Row],[シリアル]]&amp;
"_"&amp;
TEXT(COUNTIFS(商品マスタ!$C$3:C810,商品マスタ[[#This Row],[仕入先]],商品マスタ!$E$3:E810,商品マスタ[[#This Row],[商品名]]), "00")</f>
        <v>PRD_SNJ__0000_00</v>
      </c>
      <c r="E810" s="87"/>
      <c r="F810" s="87">
        <f>IF(COUNTIFS($C$3:C810,商品マスタ[[#This Row],[仕入先]],$E$3:E810,商品マスタ[[#This Row],[商品名]]) = 1, 1,0)</f>
        <v>0</v>
      </c>
      <c r="G810" s="133" t="str">
        <f>TEXT(SUMIF($C$3:C810,商品マスタ[[#This Row],[仕入先]],$F$3:F810), "0000")</f>
        <v>0000</v>
      </c>
      <c r="H810" s="87"/>
      <c r="I810" s="87"/>
      <c r="J810" s="87"/>
      <c r="K810" s="87"/>
      <c r="L810" s="134"/>
      <c r="M810" s="157"/>
      <c r="N810" s="134"/>
      <c r="O810" s="135" t="str">
        <f>IF(COUNT(商品マスタ[[#This Row],[参考上代
（税込)]]) &gt; 0, (商品マスタ[[#This Row],[参考上代
（税込)]]-商品マスタ[[#This Row],[国内定価
（15％）]])/(商品マスタ[[#This Row],[参考上代
（税込)]]/1.08), "")</f>
        <v/>
      </c>
      <c r="P810" s="136">
        <v>0.1</v>
      </c>
      <c r="Q810" s="134">
        <f>商品マスタ[[#This Row],[仕入
単価]]*商品マスタ[[#This Row],[標準国内送料率]]</f>
        <v>0</v>
      </c>
      <c r="R810" s="134"/>
      <c r="S810" s="134">
        <f>IF(ISBLANK(商品マスタ[[#This Row],[実績
国内送料]]),商品マスタ[[#This Row],[標準国内送料]],)</f>
        <v>0</v>
      </c>
      <c r="T810" s="134">
        <f>商品マスタ[[#This Row],[仕入
単価]]+商品マスタ[[#This Row],[国内送料]]</f>
        <v>0</v>
      </c>
      <c r="U810" s="134">
        <f>ROUNDUP(商品マスタ[[#This Row],[仕入単価+国内送料]]/0.8,-1)</f>
        <v>0</v>
      </c>
      <c r="V810" s="134">
        <f>商品マスタ[[#This Row],[海外定価
（20％）]]-商品マスタ[[#This Row],[仕入単価+国内送料]]</f>
        <v>0</v>
      </c>
      <c r="W810" s="87">
        <f>ROUNDUP(商品マスタ[[#This Row],[仕入単価+国内送料]]/0.85,-1)</f>
        <v>0</v>
      </c>
      <c r="X810" s="134">
        <f>商品マスタ[[#This Row],[国内定価
（15％）]]-商品マスタ[[#This Row],[仕入単価+国内送料]]</f>
        <v>0</v>
      </c>
      <c r="Y810" s="139"/>
      <c r="Z810" s="87"/>
      <c r="AA810" s="87"/>
      <c r="AB810" s="87"/>
      <c r="AC810" s="140"/>
      <c r="AD810" s="87"/>
      <c r="AE810" s="87"/>
      <c r="AF810" s="87"/>
      <c r="AG810" s="141"/>
    </row>
    <row r="811" spans="1:33" ht="18">
      <c r="A811" s="166"/>
      <c r="B811" s="167"/>
      <c r="C811" s="167"/>
      <c r="D811" s="143" t="str">
        <f>"PRD_SNJ_"&amp;
_xlfn.XLOOKUP(商品マスタ[[#This Row],[仕入先]],テーブル1[仕入先名],テーブル1[仕入先コード],"XXX",0,1)&amp;
"_"&amp;
商品マスタ[[#This Row],[シリアル]]&amp;
"_"&amp;
TEXT(COUNTIFS(商品マスタ!$C$3:C811,商品マスタ[[#This Row],[仕入先]],商品マスタ!$E$3:E811,商品マスタ[[#This Row],[商品名]]), "00")</f>
        <v>PRD_SNJ__0000_00</v>
      </c>
      <c r="E811" s="87"/>
      <c r="F811" s="87">
        <f>IF(COUNTIFS($C$3:C811,商品マスタ[[#This Row],[仕入先]],$E$3:E811,商品マスタ[[#This Row],[商品名]]) = 1, 1,0)</f>
        <v>0</v>
      </c>
      <c r="G811" s="133" t="str">
        <f>TEXT(SUMIF($C$3:C811,商品マスタ[[#This Row],[仕入先]],$F$3:F811), "0000")</f>
        <v>0000</v>
      </c>
      <c r="H811" s="87"/>
      <c r="I811" s="87"/>
      <c r="J811" s="87"/>
      <c r="K811" s="87"/>
      <c r="L811" s="134"/>
      <c r="M811" s="157"/>
      <c r="N811" s="134"/>
      <c r="O811" s="135" t="str">
        <f>IF(COUNT(商品マスタ[[#This Row],[参考上代
（税込)]]) &gt; 0, (商品マスタ[[#This Row],[参考上代
（税込)]]-商品マスタ[[#This Row],[国内定価
（15％）]])/(商品マスタ[[#This Row],[参考上代
（税込)]]/1.08), "")</f>
        <v/>
      </c>
      <c r="P811" s="136">
        <v>0.1</v>
      </c>
      <c r="Q811" s="134">
        <f>商品マスタ[[#This Row],[仕入
単価]]*商品マスタ[[#This Row],[標準国内送料率]]</f>
        <v>0</v>
      </c>
      <c r="R811" s="134"/>
      <c r="S811" s="134">
        <f>IF(ISBLANK(商品マスタ[[#This Row],[実績
国内送料]]),商品マスタ[[#This Row],[標準国内送料]],)</f>
        <v>0</v>
      </c>
      <c r="T811" s="134">
        <f>商品マスタ[[#This Row],[仕入
単価]]+商品マスタ[[#This Row],[国内送料]]</f>
        <v>0</v>
      </c>
      <c r="U811" s="134">
        <f>ROUNDUP(商品マスタ[[#This Row],[仕入単価+国内送料]]/0.8,-1)</f>
        <v>0</v>
      </c>
      <c r="V811" s="134">
        <f>商品マスタ[[#This Row],[海外定価
（20％）]]-商品マスタ[[#This Row],[仕入単価+国内送料]]</f>
        <v>0</v>
      </c>
      <c r="W811" s="87">
        <f>ROUNDUP(商品マスタ[[#This Row],[仕入単価+国内送料]]/0.85,-1)</f>
        <v>0</v>
      </c>
      <c r="X811" s="134">
        <f>商品マスタ[[#This Row],[国内定価
（15％）]]-商品マスタ[[#This Row],[仕入単価+国内送料]]</f>
        <v>0</v>
      </c>
      <c r="Y811" s="139"/>
      <c r="Z811" s="87"/>
      <c r="AA811" s="87"/>
      <c r="AB811" s="87"/>
      <c r="AC811" s="140"/>
      <c r="AD811" s="87"/>
      <c r="AE811" s="87"/>
      <c r="AF811" s="87"/>
      <c r="AG811" s="141"/>
    </row>
    <row r="812" spans="1:33" ht="18">
      <c r="A812" s="166"/>
      <c r="B812" s="167"/>
      <c r="C812" s="167"/>
      <c r="D812" s="143" t="str">
        <f>"PRD_SNJ_"&amp;
_xlfn.XLOOKUP(商品マスタ[[#This Row],[仕入先]],テーブル1[仕入先名],テーブル1[仕入先コード],"XXX",0,1)&amp;
"_"&amp;
商品マスタ[[#This Row],[シリアル]]&amp;
"_"&amp;
TEXT(COUNTIFS(商品マスタ!$C$3:C812,商品マスタ[[#This Row],[仕入先]],商品マスタ!$E$3:E812,商品マスタ[[#This Row],[商品名]]), "00")</f>
        <v>PRD_SNJ__0000_00</v>
      </c>
      <c r="E812" s="87"/>
      <c r="F812" s="87">
        <f>IF(COUNTIFS($C$3:C812,商品マスタ[[#This Row],[仕入先]],$E$3:E812,商品マスタ[[#This Row],[商品名]]) = 1, 1,0)</f>
        <v>0</v>
      </c>
      <c r="G812" s="133" t="str">
        <f>TEXT(SUMIF($C$3:C812,商品マスタ[[#This Row],[仕入先]],$F$3:F812), "0000")</f>
        <v>0000</v>
      </c>
      <c r="H812" s="87"/>
      <c r="I812" s="87"/>
      <c r="J812" s="87"/>
      <c r="K812" s="87"/>
      <c r="L812" s="134"/>
      <c r="M812" s="157"/>
      <c r="N812" s="134"/>
      <c r="O812" s="135" t="str">
        <f>IF(COUNT(商品マスタ[[#This Row],[参考上代
（税込)]]) &gt; 0, (商品マスタ[[#This Row],[参考上代
（税込)]]-商品マスタ[[#This Row],[国内定価
（15％）]])/(商品マスタ[[#This Row],[参考上代
（税込)]]/1.08), "")</f>
        <v/>
      </c>
      <c r="P812" s="136">
        <v>0.1</v>
      </c>
      <c r="Q812" s="134">
        <f>商品マスタ[[#This Row],[仕入
単価]]*商品マスタ[[#This Row],[標準国内送料率]]</f>
        <v>0</v>
      </c>
      <c r="R812" s="134"/>
      <c r="S812" s="134">
        <f>IF(ISBLANK(商品マスタ[[#This Row],[実績
国内送料]]),商品マスタ[[#This Row],[標準国内送料]],)</f>
        <v>0</v>
      </c>
      <c r="T812" s="134">
        <f>商品マスタ[[#This Row],[仕入
単価]]+商品マスタ[[#This Row],[国内送料]]</f>
        <v>0</v>
      </c>
      <c r="U812" s="134">
        <f>ROUNDUP(商品マスタ[[#This Row],[仕入単価+国内送料]]/0.8,-1)</f>
        <v>0</v>
      </c>
      <c r="V812" s="134">
        <f>商品マスタ[[#This Row],[海外定価
（20％）]]-商品マスタ[[#This Row],[仕入単価+国内送料]]</f>
        <v>0</v>
      </c>
      <c r="W812" s="87">
        <f>ROUNDUP(商品マスタ[[#This Row],[仕入単価+国内送料]]/0.85,-1)</f>
        <v>0</v>
      </c>
      <c r="X812" s="134">
        <f>商品マスタ[[#This Row],[国内定価
（15％）]]-商品マスタ[[#This Row],[仕入単価+国内送料]]</f>
        <v>0</v>
      </c>
      <c r="Y812" s="139"/>
      <c r="Z812" s="87"/>
      <c r="AA812" s="87"/>
      <c r="AB812" s="87"/>
      <c r="AC812" s="140"/>
      <c r="AD812" s="87"/>
      <c r="AE812" s="87"/>
      <c r="AF812" s="87"/>
      <c r="AG812" s="141"/>
    </row>
    <row r="813" spans="1:33" ht="18">
      <c r="A813" s="166"/>
      <c r="B813" s="167"/>
      <c r="C813" s="167"/>
      <c r="D813" s="143" t="str">
        <f>"PRD_SNJ_"&amp;
_xlfn.XLOOKUP(商品マスタ[[#This Row],[仕入先]],テーブル1[仕入先名],テーブル1[仕入先コード],"XXX",0,1)&amp;
"_"&amp;
商品マスタ[[#This Row],[シリアル]]&amp;
"_"&amp;
TEXT(COUNTIFS(商品マスタ!$C$3:C813,商品マスタ[[#This Row],[仕入先]],商品マスタ!$E$3:E813,商品マスタ[[#This Row],[商品名]]), "00")</f>
        <v>PRD_SNJ__0000_00</v>
      </c>
      <c r="E813" s="87"/>
      <c r="F813" s="87">
        <f>IF(COUNTIFS($C$3:C813,商品マスタ[[#This Row],[仕入先]],$E$3:E813,商品マスタ[[#This Row],[商品名]]) = 1, 1,0)</f>
        <v>0</v>
      </c>
      <c r="G813" s="133" t="str">
        <f>TEXT(SUMIF($C$3:C813,商品マスタ[[#This Row],[仕入先]],$F$3:F813), "0000")</f>
        <v>0000</v>
      </c>
      <c r="H813" s="87"/>
      <c r="I813" s="87"/>
      <c r="J813" s="87"/>
      <c r="K813" s="87"/>
      <c r="L813" s="134"/>
      <c r="M813" s="157"/>
      <c r="N813" s="134"/>
      <c r="O813" s="135" t="str">
        <f>IF(COUNT(商品マスタ[[#This Row],[参考上代
（税込)]]) &gt; 0, (商品マスタ[[#This Row],[参考上代
（税込)]]-商品マスタ[[#This Row],[国内定価
（15％）]])/(商品マスタ[[#This Row],[参考上代
（税込)]]/1.08), "")</f>
        <v/>
      </c>
      <c r="P813" s="136">
        <v>0.1</v>
      </c>
      <c r="Q813" s="134">
        <f>商品マスタ[[#This Row],[仕入
単価]]*商品マスタ[[#This Row],[標準国内送料率]]</f>
        <v>0</v>
      </c>
      <c r="R813" s="134"/>
      <c r="S813" s="134">
        <f>IF(ISBLANK(商品マスタ[[#This Row],[実績
国内送料]]),商品マスタ[[#This Row],[標準国内送料]],)</f>
        <v>0</v>
      </c>
      <c r="T813" s="134">
        <f>商品マスタ[[#This Row],[仕入
単価]]+商品マスタ[[#This Row],[国内送料]]</f>
        <v>0</v>
      </c>
      <c r="U813" s="134">
        <f>ROUNDUP(商品マスタ[[#This Row],[仕入単価+国内送料]]/0.8,-1)</f>
        <v>0</v>
      </c>
      <c r="V813" s="134">
        <f>商品マスタ[[#This Row],[海外定価
（20％）]]-商品マスタ[[#This Row],[仕入単価+国内送料]]</f>
        <v>0</v>
      </c>
      <c r="W813" s="87">
        <f>ROUNDUP(商品マスタ[[#This Row],[仕入単価+国内送料]]/0.85,-1)</f>
        <v>0</v>
      </c>
      <c r="X813" s="134">
        <f>商品マスタ[[#This Row],[国内定価
（15％）]]-商品マスタ[[#This Row],[仕入単価+国内送料]]</f>
        <v>0</v>
      </c>
      <c r="Y813" s="139"/>
      <c r="Z813" s="87"/>
      <c r="AA813" s="87"/>
      <c r="AB813" s="87"/>
      <c r="AC813" s="140"/>
      <c r="AD813" s="87"/>
      <c r="AE813" s="87"/>
      <c r="AF813" s="87"/>
      <c r="AG813" s="141"/>
    </row>
    <row r="814" spans="1:33" ht="18">
      <c r="A814" s="166"/>
      <c r="B814" s="167"/>
      <c r="C814" s="167"/>
      <c r="D814" s="143" t="str">
        <f>"PRD_SNJ_"&amp;
_xlfn.XLOOKUP(商品マスタ[[#This Row],[仕入先]],テーブル1[仕入先名],テーブル1[仕入先コード],"XXX",0,1)&amp;
"_"&amp;
商品マスタ[[#This Row],[シリアル]]&amp;
"_"&amp;
TEXT(COUNTIFS(商品マスタ!$C$3:C814,商品マスタ[[#This Row],[仕入先]],商品マスタ!$E$3:E814,商品マスタ[[#This Row],[商品名]]), "00")</f>
        <v>PRD_SNJ__0000_00</v>
      </c>
      <c r="E814" s="87"/>
      <c r="F814" s="87">
        <f>IF(COUNTIFS($C$3:C814,商品マスタ[[#This Row],[仕入先]],$E$3:E814,商品マスタ[[#This Row],[商品名]]) = 1, 1,0)</f>
        <v>0</v>
      </c>
      <c r="G814" s="133" t="str">
        <f>TEXT(SUMIF($C$3:C814,商品マスタ[[#This Row],[仕入先]],$F$3:F814), "0000")</f>
        <v>0000</v>
      </c>
      <c r="H814" s="87"/>
      <c r="I814" s="87"/>
      <c r="J814" s="87"/>
      <c r="K814" s="87"/>
      <c r="L814" s="134"/>
      <c r="M814" s="157"/>
      <c r="N814" s="134"/>
      <c r="O814" s="135" t="str">
        <f>IF(COUNT(商品マスタ[[#This Row],[参考上代
（税込)]]) &gt; 0, (商品マスタ[[#This Row],[参考上代
（税込)]]-商品マスタ[[#This Row],[国内定価
（15％）]])/(商品マスタ[[#This Row],[参考上代
（税込)]]/1.08), "")</f>
        <v/>
      </c>
      <c r="P814" s="136">
        <v>0.1</v>
      </c>
      <c r="Q814" s="134">
        <f>商品マスタ[[#This Row],[仕入
単価]]*商品マスタ[[#This Row],[標準国内送料率]]</f>
        <v>0</v>
      </c>
      <c r="R814" s="134"/>
      <c r="S814" s="134">
        <f>IF(ISBLANK(商品マスタ[[#This Row],[実績
国内送料]]),商品マスタ[[#This Row],[標準国内送料]],)</f>
        <v>0</v>
      </c>
      <c r="T814" s="134">
        <f>商品マスタ[[#This Row],[仕入
単価]]+商品マスタ[[#This Row],[国内送料]]</f>
        <v>0</v>
      </c>
      <c r="U814" s="134">
        <f>ROUNDUP(商品マスタ[[#This Row],[仕入単価+国内送料]]/0.8,-1)</f>
        <v>0</v>
      </c>
      <c r="V814" s="134">
        <f>商品マスタ[[#This Row],[海外定価
（20％）]]-商品マスタ[[#This Row],[仕入単価+国内送料]]</f>
        <v>0</v>
      </c>
      <c r="W814" s="87">
        <f>ROUNDUP(商品マスタ[[#This Row],[仕入単価+国内送料]]/0.85,-1)</f>
        <v>0</v>
      </c>
      <c r="X814" s="134">
        <f>商品マスタ[[#This Row],[国内定価
（15％）]]-商品マスタ[[#This Row],[仕入単価+国内送料]]</f>
        <v>0</v>
      </c>
      <c r="Y814" s="139"/>
      <c r="Z814" s="87"/>
      <c r="AA814" s="87"/>
      <c r="AB814" s="87"/>
      <c r="AC814" s="140"/>
      <c r="AD814" s="87"/>
      <c r="AE814" s="87"/>
      <c r="AF814" s="87"/>
      <c r="AG814" s="141"/>
    </row>
    <row r="815" spans="1:33" ht="18">
      <c r="A815" s="166"/>
      <c r="B815" s="167"/>
      <c r="C815" s="167"/>
      <c r="D815" s="143" t="str">
        <f>"PRD_SNJ_"&amp;
_xlfn.XLOOKUP(商品マスタ[[#This Row],[仕入先]],テーブル1[仕入先名],テーブル1[仕入先コード],"XXX",0,1)&amp;
"_"&amp;
商品マスタ[[#This Row],[シリアル]]&amp;
"_"&amp;
TEXT(COUNTIFS(商品マスタ!$C$3:C815,商品マスタ[[#This Row],[仕入先]],商品マスタ!$E$3:E815,商品マスタ[[#This Row],[商品名]]), "00")</f>
        <v>PRD_SNJ__0000_00</v>
      </c>
      <c r="E815" s="87"/>
      <c r="F815" s="87">
        <f>IF(COUNTIFS($C$3:C815,商品マスタ[[#This Row],[仕入先]],$E$3:E815,商品マスタ[[#This Row],[商品名]]) = 1, 1,0)</f>
        <v>0</v>
      </c>
      <c r="G815" s="133" t="str">
        <f>TEXT(SUMIF($C$3:C815,商品マスタ[[#This Row],[仕入先]],$F$3:F815), "0000")</f>
        <v>0000</v>
      </c>
      <c r="H815" s="87"/>
      <c r="I815" s="87"/>
      <c r="J815" s="87"/>
      <c r="K815" s="87"/>
      <c r="L815" s="134"/>
      <c r="M815" s="157"/>
      <c r="N815" s="134"/>
      <c r="O815" s="135" t="str">
        <f>IF(COUNT(商品マスタ[[#This Row],[参考上代
（税込)]]) &gt; 0, (商品マスタ[[#This Row],[参考上代
（税込)]]-商品マスタ[[#This Row],[国内定価
（15％）]])/(商品マスタ[[#This Row],[参考上代
（税込)]]/1.08), "")</f>
        <v/>
      </c>
      <c r="P815" s="136">
        <v>0.1</v>
      </c>
      <c r="Q815" s="134">
        <f>商品マスタ[[#This Row],[仕入
単価]]*商品マスタ[[#This Row],[標準国内送料率]]</f>
        <v>0</v>
      </c>
      <c r="R815" s="134"/>
      <c r="S815" s="134">
        <f>IF(ISBLANK(商品マスタ[[#This Row],[実績
国内送料]]),商品マスタ[[#This Row],[標準国内送料]],)</f>
        <v>0</v>
      </c>
      <c r="T815" s="134">
        <f>商品マスタ[[#This Row],[仕入
単価]]+商品マスタ[[#This Row],[国内送料]]</f>
        <v>0</v>
      </c>
      <c r="U815" s="134">
        <f>ROUNDUP(商品マスタ[[#This Row],[仕入単価+国内送料]]/0.8,-1)</f>
        <v>0</v>
      </c>
      <c r="V815" s="134">
        <f>商品マスタ[[#This Row],[海外定価
（20％）]]-商品マスタ[[#This Row],[仕入単価+国内送料]]</f>
        <v>0</v>
      </c>
      <c r="W815" s="87">
        <f>ROUNDUP(商品マスタ[[#This Row],[仕入単価+国内送料]]/0.85,-1)</f>
        <v>0</v>
      </c>
      <c r="X815" s="134">
        <f>商品マスタ[[#This Row],[国内定価
（15％）]]-商品マスタ[[#This Row],[仕入単価+国内送料]]</f>
        <v>0</v>
      </c>
      <c r="Y815" s="139"/>
      <c r="Z815" s="87"/>
      <c r="AA815" s="87"/>
      <c r="AB815" s="87"/>
      <c r="AC815" s="140"/>
      <c r="AD815" s="87"/>
      <c r="AE815" s="87"/>
      <c r="AF815" s="87"/>
      <c r="AG815" s="141"/>
    </row>
    <row r="816" spans="1:33" ht="18">
      <c r="A816" s="166"/>
      <c r="B816" s="167"/>
      <c r="C816" s="167"/>
      <c r="D816" s="143" t="str">
        <f>"PRD_SNJ_"&amp;
_xlfn.XLOOKUP(商品マスタ[[#This Row],[仕入先]],テーブル1[仕入先名],テーブル1[仕入先コード],"XXX",0,1)&amp;
"_"&amp;
商品マスタ[[#This Row],[シリアル]]&amp;
"_"&amp;
TEXT(COUNTIFS(商品マスタ!$C$3:C816,商品マスタ[[#This Row],[仕入先]],商品マスタ!$E$3:E816,商品マスタ[[#This Row],[商品名]]), "00")</f>
        <v>PRD_SNJ__0000_00</v>
      </c>
      <c r="E816" s="87"/>
      <c r="F816" s="87">
        <f>IF(COUNTIFS($C$3:C816,商品マスタ[[#This Row],[仕入先]],$E$3:E816,商品マスタ[[#This Row],[商品名]]) = 1, 1,0)</f>
        <v>0</v>
      </c>
      <c r="G816" s="133" t="str">
        <f>TEXT(SUMIF($C$3:C816,商品マスタ[[#This Row],[仕入先]],$F$3:F816), "0000")</f>
        <v>0000</v>
      </c>
      <c r="H816" s="87"/>
      <c r="I816" s="87"/>
      <c r="J816" s="87"/>
      <c r="K816" s="87"/>
      <c r="L816" s="134"/>
      <c r="M816" s="157"/>
      <c r="N816" s="134"/>
      <c r="O816" s="135" t="str">
        <f>IF(COUNT(商品マスタ[[#This Row],[参考上代
（税込)]]) &gt; 0, (商品マスタ[[#This Row],[参考上代
（税込)]]-商品マスタ[[#This Row],[国内定価
（15％）]])/(商品マスタ[[#This Row],[参考上代
（税込)]]/1.08), "")</f>
        <v/>
      </c>
      <c r="P816" s="136">
        <v>0.1</v>
      </c>
      <c r="Q816" s="134">
        <f>商品マスタ[[#This Row],[仕入
単価]]*商品マスタ[[#This Row],[標準国内送料率]]</f>
        <v>0</v>
      </c>
      <c r="R816" s="134"/>
      <c r="S816" s="134">
        <f>IF(ISBLANK(商品マスタ[[#This Row],[実績
国内送料]]),商品マスタ[[#This Row],[標準国内送料]],)</f>
        <v>0</v>
      </c>
      <c r="T816" s="134">
        <f>商品マスタ[[#This Row],[仕入
単価]]+商品マスタ[[#This Row],[国内送料]]</f>
        <v>0</v>
      </c>
      <c r="U816" s="134">
        <f>ROUNDUP(商品マスタ[[#This Row],[仕入単価+国内送料]]/0.8,-1)</f>
        <v>0</v>
      </c>
      <c r="V816" s="134">
        <f>商品マスタ[[#This Row],[海外定価
（20％）]]-商品マスタ[[#This Row],[仕入単価+国内送料]]</f>
        <v>0</v>
      </c>
      <c r="W816" s="87">
        <f>ROUNDUP(商品マスタ[[#This Row],[仕入単価+国内送料]]/0.85,-1)</f>
        <v>0</v>
      </c>
      <c r="X816" s="134">
        <f>商品マスタ[[#This Row],[国内定価
（15％）]]-商品マスタ[[#This Row],[仕入単価+国内送料]]</f>
        <v>0</v>
      </c>
      <c r="Y816" s="139"/>
      <c r="Z816" s="87"/>
      <c r="AA816" s="87"/>
      <c r="AB816" s="87"/>
      <c r="AC816" s="140"/>
      <c r="AD816" s="87"/>
      <c r="AE816" s="87"/>
      <c r="AF816" s="87"/>
      <c r="AG816" s="141"/>
    </row>
    <row r="817" spans="1:33" ht="18">
      <c r="A817" s="166"/>
      <c r="B817" s="167"/>
      <c r="C817" s="167"/>
      <c r="D817" s="143" t="str">
        <f>"PRD_SNJ_"&amp;
_xlfn.XLOOKUP(商品マスタ[[#This Row],[仕入先]],テーブル1[仕入先名],テーブル1[仕入先コード],"XXX",0,1)&amp;
"_"&amp;
商品マスタ[[#This Row],[シリアル]]&amp;
"_"&amp;
TEXT(COUNTIFS(商品マスタ!$C$3:C817,商品マスタ[[#This Row],[仕入先]],商品マスタ!$E$3:E817,商品マスタ[[#This Row],[商品名]]), "00")</f>
        <v>PRD_SNJ__0000_00</v>
      </c>
      <c r="E817" s="87"/>
      <c r="F817" s="87">
        <f>IF(COUNTIFS($C$3:C817,商品マスタ[[#This Row],[仕入先]],$E$3:E817,商品マスタ[[#This Row],[商品名]]) = 1, 1,0)</f>
        <v>0</v>
      </c>
      <c r="G817" s="133" t="str">
        <f>TEXT(SUMIF($C$3:C817,商品マスタ[[#This Row],[仕入先]],$F$3:F817), "0000")</f>
        <v>0000</v>
      </c>
      <c r="H817" s="87"/>
      <c r="I817" s="87"/>
      <c r="J817" s="87"/>
      <c r="K817" s="87"/>
      <c r="L817" s="134"/>
      <c r="M817" s="157"/>
      <c r="N817" s="134"/>
      <c r="O817" s="135" t="str">
        <f>IF(COUNT(商品マスタ[[#This Row],[参考上代
（税込)]]) &gt; 0, (商品マスタ[[#This Row],[参考上代
（税込)]]-商品マスタ[[#This Row],[国内定価
（15％）]])/(商品マスタ[[#This Row],[参考上代
（税込)]]/1.08), "")</f>
        <v/>
      </c>
      <c r="P817" s="136">
        <v>0.1</v>
      </c>
      <c r="Q817" s="134">
        <f>商品マスタ[[#This Row],[仕入
単価]]*商品マスタ[[#This Row],[標準国内送料率]]</f>
        <v>0</v>
      </c>
      <c r="R817" s="134"/>
      <c r="S817" s="134">
        <f>IF(ISBLANK(商品マスタ[[#This Row],[実績
国内送料]]),商品マスタ[[#This Row],[標準国内送料]],)</f>
        <v>0</v>
      </c>
      <c r="T817" s="134">
        <f>商品マスタ[[#This Row],[仕入
単価]]+商品マスタ[[#This Row],[国内送料]]</f>
        <v>0</v>
      </c>
      <c r="U817" s="134">
        <f>ROUNDUP(商品マスタ[[#This Row],[仕入単価+国内送料]]/0.8,-1)</f>
        <v>0</v>
      </c>
      <c r="V817" s="134">
        <f>商品マスタ[[#This Row],[海外定価
（20％）]]-商品マスタ[[#This Row],[仕入単価+国内送料]]</f>
        <v>0</v>
      </c>
      <c r="W817" s="87">
        <f>ROUNDUP(商品マスタ[[#This Row],[仕入単価+国内送料]]/0.85,-1)</f>
        <v>0</v>
      </c>
      <c r="X817" s="134">
        <f>商品マスタ[[#This Row],[国内定価
（15％）]]-商品マスタ[[#This Row],[仕入単価+国内送料]]</f>
        <v>0</v>
      </c>
      <c r="Y817" s="139"/>
      <c r="Z817" s="87"/>
      <c r="AA817" s="87"/>
      <c r="AB817" s="87"/>
      <c r="AC817" s="140"/>
      <c r="AD817" s="87"/>
      <c r="AE817" s="87"/>
      <c r="AF817" s="87"/>
      <c r="AG817" s="141"/>
    </row>
    <row r="818" spans="1:33" ht="18">
      <c r="A818" s="166"/>
      <c r="B818" s="167"/>
      <c r="C818" s="167"/>
      <c r="D818" s="143" t="str">
        <f>"PRD_SNJ_"&amp;
_xlfn.XLOOKUP(商品マスタ[[#This Row],[仕入先]],テーブル1[仕入先名],テーブル1[仕入先コード],"XXX",0,1)&amp;
"_"&amp;
商品マスタ[[#This Row],[シリアル]]&amp;
"_"&amp;
TEXT(COUNTIFS(商品マスタ!$C$3:C818,商品マスタ[[#This Row],[仕入先]],商品マスタ!$E$3:E818,商品マスタ[[#This Row],[商品名]]), "00")</f>
        <v>PRD_SNJ__0000_00</v>
      </c>
      <c r="E818" s="87"/>
      <c r="F818" s="87">
        <f>IF(COUNTIFS($C$3:C818,商品マスタ[[#This Row],[仕入先]],$E$3:E818,商品マスタ[[#This Row],[商品名]]) = 1, 1,0)</f>
        <v>0</v>
      </c>
      <c r="G818" s="133" t="str">
        <f>TEXT(SUMIF($C$3:C818,商品マスタ[[#This Row],[仕入先]],$F$3:F818), "0000")</f>
        <v>0000</v>
      </c>
      <c r="H818" s="87"/>
      <c r="I818" s="87"/>
      <c r="J818" s="87"/>
      <c r="K818" s="87"/>
      <c r="L818" s="134"/>
      <c r="M818" s="157"/>
      <c r="N818" s="134"/>
      <c r="O818" s="135" t="str">
        <f>IF(COUNT(商品マスタ[[#This Row],[参考上代
（税込)]]) &gt; 0, (商品マスタ[[#This Row],[参考上代
（税込)]]-商品マスタ[[#This Row],[国内定価
（15％）]])/(商品マスタ[[#This Row],[参考上代
（税込)]]/1.08), "")</f>
        <v/>
      </c>
      <c r="P818" s="136">
        <v>0.1</v>
      </c>
      <c r="Q818" s="134">
        <f>商品マスタ[[#This Row],[仕入
単価]]*商品マスタ[[#This Row],[標準国内送料率]]</f>
        <v>0</v>
      </c>
      <c r="R818" s="134"/>
      <c r="S818" s="134">
        <f>IF(ISBLANK(商品マスタ[[#This Row],[実績
国内送料]]),商品マスタ[[#This Row],[標準国内送料]],)</f>
        <v>0</v>
      </c>
      <c r="T818" s="134">
        <f>商品マスタ[[#This Row],[仕入
単価]]+商品マスタ[[#This Row],[国内送料]]</f>
        <v>0</v>
      </c>
      <c r="U818" s="134">
        <f>ROUNDUP(商品マスタ[[#This Row],[仕入単価+国内送料]]/0.8,-1)</f>
        <v>0</v>
      </c>
      <c r="V818" s="134">
        <f>商品マスタ[[#This Row],[海外定価
（20％）]]-商品マスタ[[#This Row],[仕入単価+国内送料]]</f>
        <v>0</v>
      </c>
      <c r="W818" s="87">
        <f>ROUNDUP(商品マスタ[[#This Row],[仕入単価+国内送料]]/0.85,-1)</f>
        <v>0</v>
      </c>
      <c r="X818" s="134">
        <f>商品マスタ[[#This Row],[国内定価
（15％）]]-商品マスタ[[#This Row],[仕入単価+国内送料]]</f>
        <v>0</v>
      </c>
      <c r="Y818" s="139"/>
      <c r="Z818" s="87"/>
      <c r="AA818" s="87"/>
      <c r="AB818" s="87"/>
      <c r="AC818" s="140"/>
      <c r="AD818" s="87"/>
      <c r="AE818" s="87"/>
      <c r="AF818" s="87"/>
      <c r="AG818" s="141"/>
    </row>
    <row r="819" spans="1:33" ht="18">
      <c r="A819" s="166"/>
      <c r="B819" s="167"/>
      <c r="C819" s="167"/>
      <c r="D819" s="143" t="str">
        <f>"PRD_SNJ_"&amp;
_xlfn.XLOOKUP(商品マスタ[[#This Row],[仕入先]],テーブル1[仕入先名],テーブル1[仕入先コード],"XXX",0,1)&amp;
"_"&amp;
商品マスタ[[#This Row],[シリアル]]&amp;
"_"&amp;
TEXT(COUNTIFS(商品マスタ!$C$3:C819,商品マスタ[[#This Row],[仕入先]],商品マスタ!$E$3:E819,商品マスタ[[#This Row],[商品名]]), "00")</f>
        <v>PRD_SNJ__0000_00</v>
      </c>
      <c r="E819" s="87"/>
      <c r="F819" s="87">
        <f>IF(COUNTIFS($C$3:C819,商品マスタ[[#This Row],[仕入先]],$E$3:E819,商品マスタ[[#This Row],[商品名]]) = 1, 1,0)</f>
        <v>0</v>
      </c>
      <c r="G819" s="133" t="str">
        <f>TEXT(SUMIF($C$3:C819,商品マスタ[[#This Row],[仕入先]],$F$3:F819), "0000")</f>
        <v>0000</v>
      </c>
      <c r="H819" s="87"/>
      <c r="I819" s="87"/>
      <c r="J819" s="87"/>
      <c r="K819" s="87"/>
      <c r="L819" s="134"/>
      <c r="M819" s="157"/>
      <c r="N819" s="134"/>
      <c r="O819" s="135" t="str">
        <f>IF(COUNT(商品マスタ[[#This Row],[参考上代
（税込)]]) &gt; 0, (商品マスタ[[#This Row],[参考上代
（税込)]]-商品マスタ[[#This Row],[国内定価
（15％）]])/(商品マスタ[[#This Row],[参考上代
（税込)]]/1.08), "")</f>
        <v/>
      </c>
      <c r="P819" s="136">
        <v>0.1</v>
      </c>
      <c r="Q819" s="134">
        <f>商品マスタ[[#This Row],[仕入
単価]]*商品マスタ[[#This Row],[標準国内送料率]]</f>
        <v>0</v>
      </c>
      <c r="R819" s="134"/>
      <c r="S819" s="134">
        <f>IF(ISBLANK(商品マスタ[[#This Row],[実績
国内送料]]),商品マスタ[[#This Row],[標準国内送料]],)</f>
        <v>0</v>
      </c>
      <c r="T819" s="134">
        <f>商品マスタ[[#This Row],[仕入
単価]]+商品マスタ[[#This Row],[国内送料]]</f>
        <v>0</v>
      </c>
      <c r="U819" s="134">
        <f>ROUNDUP(商品マスタ[[#This Row],[仕入単価+国内送料]]/0.8,-1)</f>
        <v>0</v>
      </c>
      <c r="V819" s="134">
        <f>商品マスタ[[#This Row],[海外定価
（20％）]]-商品マスタ[[#This Row],[仕入単価+国内送料]]</f>
        <v>0</v>
      </c>
      <c r="W819" s="87">
        <f>ROUNDUP(商品マスタ[[#This Row],[仕入単価+国内送料]]/0.85,-1)</f>
        <v>0</v>
      </c>
      <c r="X819" s="134">
        <f>商品マスタ[[#This Row],[国内定価
（15％）]]-商品マスタ[[#This Row],[仕入単価+国内送料]]</f>
        <v>0</v>
      </c>
      <c r="Y819" s="139"/>
      <c r="Z819" s="87"/>
      <c r="AA819" s="87"/>
      <c r="AB819" s="87"/>
      <c r="AC819" s="140"/>
      <c r="AD819" s="87"/>
      <c r="AE819" s="87"/>
      <c r="AF819" s="87"/>
      <c r="AG819" s="141"/>
    </row>
    <row r="820" spans="1:33" ht="18">
      <c r="A820" s="166"/>
      <c r="B820" s="167"/>
      <c r="C820" s="167"/>
      <c r="D820" s="143" t="str">
        <f>"PRD_SNJ_"&amp;
_xlfn.XLOOKUP(商品マスタ[[#This Row],[仕入先]],テーブル1[仕入先名],テーブル1[仕入先コード],"XXX",0,1)&amp;
"_"&amp;
商品マスタ[[#This Row],[シリアル]]&amp;
"_"&amp;
TEXT(COUNTIFS(商品マスタ!$C$3:C820,商品マスタ[[#This Row],[仕入先]],商品マスタ!$E$3:E820,商品マスタ[[#This Row],[商品名]]), "00")</f>
        <v>PRD_SNJ__0000_00</v>
      </c>
      <c r="E820" s="87"/>
      <c r="F820" s="87">
        <f>IF(COUNTIFS($C$3:C820,商品マスタ[[#This Row],[仕入先]],$E$3:E820,商品マスタ[[#This Row],[商品名]]) = 1, 1,0)</f>
        <v>0</v>
      </c>
      <c r="G820" s="133" t="str">
        <f>TEXT(SUMIF($C$3:C820,商品マスタ[[#This Row],[仕入先]],$F$3:F820), "0000")</f>
        <v>0000</v>
      </c>
      <c r="H820" s="87"/>
      <c r="I820" s="87"/>
      <c r="J820" s="87"/>
      <c r="K820" s="87"/>
      <c r="L820" s="134"/>
      <c r="M820" s="157"/>
      <c r="N820" s="134"/>
      <c r="O820" s="135" t="str">
        <f>IF(COUNT(商品マスタ[[#This Row],[参考上代
（税込)]]) &gt; 0, (商品マスタ[[#This Row],[参考上代
（税込)]]-商品マスタ[[#This Row],[国内定価
（15％）]])/(商品マスタ[[#This Row],[参考上代
（税込)]]/1.08), "")</f>
        <v/>
      </c>
      <c r="P820" s="136">
        <v>0.1</v>
      </c>
      <c r="Q820" s="134">
        <f>商品マスタ[[#This Row],[仕入
単価]]*商品マスタ[[#This Row],[標準国内送料率]]</f>
        <v>0</v>
      </c>
      <c r="R820" s="134"/>
      <c r="S820" s="134">
        <f>IF(ISBLANK(商品マスタ[[#This Row],[実績
国内送料]]),商品マスタ[[#This Row],[標準国内送料]],)</f>
        <v>0</v>
      </c>
      <c r="T820" s="134">
        <f>商品マスタ[[#This Row],[仕入
単価]]+商品マスタ[[#This Row],[国内送料]]</f>
        <v>0</v>
      </c>
      <c r="U820" s="134">
        <f>ROUNDUP(商品マスタ[[#This Row],[仕入単価+国内送料]]/0.8,-1)</f>
        <v>0</v>
      </c>
      <c r="V820" s="134">
        <f>商品マスタ[[#This Row],[海外定価
（20％）]]-商品マスタ[[#This Row],[仕入単価+国内送料]]</f>
        <v>0</v>
      </c>
      <c r="W820" s="87">
        <f>ROUNDUP(商品マスタ[[#This Row],[仕入単価+国内送料]]/0.85,-1)</f>
        <v>0</v>
      </c>
      <c r="X820" s="134">
        <f>商品マスタ[[#This Row],[国内定価
（15％）]]-商品マスタ[[#This Row],[仕入単価+国内送料]]</f>
        <v>0</v>
      </c>
      <c r="Y820" s="139"/>
      <c r="Z820" s="87"/>
      <c r="AA820" s="87"/>
      <c r="AB820" s="87"/>
      <c r="AC820" s="140"/>
      <c r="AD820" s="87"/>
      <c r="AE820" s="87"/>
      <c r="AF820" s="87"/>
      <c r="AG820" s="141"/>
    </row>
    <row r="821" spans="1:33" ht="18">
      <c r="A821" s="166"/>
      <c r="B821" s="167"/>
      <c r="C821" s="167"/>
      <c r="D821" s="143" t="str">
        <f>"PRD_SNJ_"&amp;
_xlfn.XLOOKUP(商品マスタ[[#This Row],[仕入先]],テーブル1[仕入先名],テーブル1[仕入先コード],"XXX",0,1)&amp;
"_"&amp;
商品マスタ[[#This Row],[シリアル]]&amp;
"_"&amp;
TEXT(COUNTIFS(商品マスタ!$C$3:C821,商品マスタ[[#This Row],[仕入先]],商品マスタ!$E$3:E821,商品マスタ[[#This Row],[商品名]]), "00")</f>
        <v>PRD_SNJ__0000_00</v>
      </c>
      <c r="E821" s="87"/>
      <c r="F821" s="87">
        <f>IF(COUNTIFS($C$3:C821,商品マスタ[[#This Row],[仕入先]],$E$3:E821,商品マスタ[[#This Row],[商品名]]) = 1, 1,0)</f>
        <v>0</v>
      </c>
      <c r="G821" s="133" t="str">
        <f>TEXT(SUMIF($C$3:C821,商品マスタ[[#This Row],[仕入先]],$F$3:F821), "0000")</f>
        <v>0000</v>
      </c>
      <c r="H821" s="87"/>
      <c r="I821" s="87"/>
      <c r="J821" s="87"/>
      <c r="K821" s="87"/>
      <c r="L821" s="134"/>
      <c r="M821" s="157"/>
      <c r="N821" s="134"/>
      <c r="O821" s="135" t="str">
        <f>IF(COUNT(商品マスタ[[#This Row],[参考上代
（税込)]]) &gt; 0, (商品マスタ[[#This Row],[参考上代
（税込)]]-商品マスタ[[#This Row],[国内定価
（15％）]])/(商品マスタ[[#This Row],[参考上代
（税込)]]/1.08), "")</f>
        <v/>
      </c>
      <c r="P821" s="136">
        <v>0.1</v>
      </c>
      <c r="Q821" s="134">
        <f>商品マスタ[[#This Row],[仕入
単価]]*商品マスタ[[#This Row],[標準国内送料率]]</f>
        <v>0</v>
      </c>
      <c r="R821" s="134"/>
      <c r="S821" s="134">
        <f>IF(ISBLANK(商品マスタ[[#This Row],[実績
国内送料]]),商品マスタ[[#This Row],[標準国内送料]],)</f>
        <v>0</v>
      </c>
      <c r="T821" s="134">
        <f>商品マスタ[[#This Row],[仕入
単価]]+商品マスタ[[#This Row],[国内送料]]</f>
        <v>0</v>
      </c>
      <c r="U821" s="134">
        <f>ROUNDUP(商品マスタ[[#This Row],[仕入単価+国内送料]]/0.8,-1)</f>
        <v>0</v>
      </c>
      <c r="V821" s="134">
        <f>商品マスタ[[#This Row],[海外定価
（20％）]]-商品マスタ[[#This Row],[仕入単価+国内送料]]</f>
        <v>0</v>
      </c>
      <c r="W821" s="87">
        <f>ROUNDUP(商品マスタ[[#This Row],[仕入単価+国内送料]]/0.85,-1)</f>
        <v>0</v>
      </c>
      <c r="X821" s="134">
        <f>商品マスタ[[#This Row],[国内定価
（15％）]]-商品マスタ[[#This Row],[仕入単価+国内送料]]</f>
        <v>0</v>
      </c>
      <c r="Y821" s="139"/>
      <c r="Z821" s="87"/>
      <c r="AA821" s="87"/>
      <c r="AB821" s="87"/>
      <c r="AC821" s="140"/>
      <c r="AD821" s="87"/>
      <c r="AE821" s="87"/>
      <c r="AF821" s="87"/>
      <c r="AG821" s="141"/>
    </row>
    <row r="822" spans="1:33" ht="18">
      <c r="A822" s="166"/>
      <c r="B822" s="167"/>
      <c r="C822" s="167"/>
      <c r="D822" s="143" t="str">
        <f>"PRD_SNJ_"&amp;
_xlfn.XLOOKUP(商品マスタ[[#This Row],[仕入先]],テーブル1[仕入先名],テーブル1[仕入先コード],"XXX",0,1)&amp;
"_"&amp;
商品マスタ[[#This Row],[シリアル]]&amp;
"_"&amp;
TEXT(COUNTIFS(商品マスタ!$C$3:C822,商品マスタ[[#This Row],[仕入先]],商品マスタ!$E$3:E822,商品マスタ[[#This Row],[商品名]]), "00")</f>
        <v>PRD_SNJ__0000_00</v>
      </c>
      <c r="E822" s="87"/>
      <c r="F822" s="87">
        <f>IF(COUNTIFS($C$3:C822,商品マスタ[[#This Row],[仕入先]],$E$3:E822,商品マスタ[[#This Row],[商品名]]) = 1, 1,0)</f>
        <v>0</v>
      </c>
      <c r="G822" s="133" t="str">
        <f>TEXT(SUMIF($C$3:C822,商品マスタ[[#This Row],[仕入先]],$F$3:F822), "0000")</f>
        <v>0000</v>
      </c>
      <c r="H822" s="87"/>
      <c r="I822" s="87"/>
      <c r="J822" s="87"/>
      <c r="K822" s="87"/>
      <c r="L822" s="134"/>
      <c r="M822" s="157"/>
      <c r="N822" s="134"/>
      <c r="O822" s="135" t="str">
        <f>IF(COUNT(商品マスタ[[#This Row],[参考上代
（税込)]]) &gt; 0, (商品マスタ[[#This Row],[参考上代
（税込)]]-商品マスタ[[#This Row],[国内定価
（15％）]])/(商品マスタ[[#This Row],[参考上代
（税込)]]/1.08), "")</f>
        <v/>
      </c>
      <c r="P822" s="136">
        <v>0.1</v>
      </c>
      <c r="Q822" s="134">
        <f>商品マスタ[[#This Row],[仕入
単価]]*商品マスタ[[#This Row],[標準国内送料率]]</f>
        <v>0</v>
      </c>
      <c r="R822" s="134"/>
      <c r="S822" s="134">
        <f>IF(ISBLANK(商品マスタ[[#This Row],[実績
国内送料]]),商品マスタ[[#This Row],[標準国内送料]],)</f>
        <v>0</v>
      </c>
      <c r="T822" s="134">
        <f>商品マスタ[[#This Row],[仕入
単価]]+商品マスタ[[#This Row],[国内送料]]</f>
        <v>0</v>
      </c>
      <c r="U822" s="134">
        <f>ROUNDUP(商品マスタ[[#This Row],[仕入単価+国内送料]]/0.8,-1)</f>
        <v>0</v>
      </c>
      <c r="V822" s="134">
        <f>商品マスタ[[#This Row],[海外定価
（20％）]]-商品マスタ[[#This Row],[仕入単価+国内送料]]</f>
        <v>0</v>
      </c>
      <c r="W822" s="87">
        <f>ROUNDUP(商品マスタ[[#This Row],[仕入単価+国内送料]]/0.85,-1)</f>
        <v>0</v>
      </c>
      <c r="X822" s="134">
        <f>商品マスタ[[#This Row],[国内定価
（15％）]]-商品マスタ[[#This Row],[仕入単価+国内送料]]</f>
        <v>0</v>
      </c>
      <c r="Y822" s="139"/>
      <c r="Z822" s="87"/>
      <c r="AA822" s="87"/>
      <c r="AB822" s="87"/>
      <c r="AC822" s="140"/>
      <c r="AD822" s="87"/>
      <c r="AE822" s="87"/>
      <c r="AF822" s="87"/>
      <c r="AG822" s="141"/>
    </row>
    <row r="823" spans="1:33" ht="18">
      <c r="A823" s="166"/>
      <c r="B823" s="167"/>
      <c r="C823" s="167"/>
      <c r="D823" s="143" t="str">
        <f>"PRD_SNJ_"&amp;
_xlfn.XLOOKUP(商品マスタ[[#This Row],[仕入先]],テーブル1[仕入先名],テーブル1[仕入先コード],"XXX",0,1)&amp;
"_"&amp;
商品マスタ[[#This Row],[シリアル]]&amp;
"_"&amp;
TEXT(COUNTIFS(商品マスタ!$C$3:C823,商品マスタ[[#This Row],[仕入先]],商品マスタ!$E$3:E823,商品マスタ[[#This Row],[商品名]]), "00")</f>
        <v>PRD_SNJ__0000_00</v>
      </c>
      <c r="E823" s="87"/>
      <c r="F823" s="87">
        <f>IF(COUNTIFS($C$3:C823,商品マスタ[[#This Row],[仕入先]],$E$3:E823,商品マスタ[[#This Row],[商品名]]) = 1, 1,0)</f>
        <v>0</v>
      </c>
      <c r="G823" s="133" t="str">
        <f>TEXT(SUMIF($C$3:C823,商品マスタ[[#This Row],[仕入先]],$F$3:F823), "0000")</f>
        <v>0000</v>
      </c>
      <c r="H823" s="87"/>
      <c r="I823" s="87"/>
      <c r="J823" s="87"/>
      <c r="K823" s="87"/>
      <c r="L823" s="134"/>
      <c r="M823" s="157"/>
      <c r="N823" s="134"/>
      <c r="O823" s="135" t="str">
        <f>IF(COUNT(商品マスタ[[#This Row],[参考上代
（税込)]]) &gt; 0, (商品マスタ[[#This Row],[参考上代
（税込)]]-商品マスタ[[#This Row],[国内定価
（15％）]])/(商品マスタ[[#This Row],[参考上代
（税込)]]/1.08), "")</f>
        <v/>
      </c>
      <c r="P823" s="136">
        <v>0.1</v>
      </c>
      <c r="Q823" s="134">
        <f>商品マスタ[[#This Row],[仕入
単価]]*商品マスタ[[#This Row],[標準国内送料率]]</f>
        <v>0</v>
      </c>
      <c r="R823" s="134"/>
      <c r="S823" s="134">
        <f>IF(ISBLANK(商品マスタ[[#This Row],[実績
国内送料]]),商品マスタ[[#This Row],[標準国内送料]],)</f>
        <v>0</v>
      </c>
      <c r="T823" s="134">
        <f>商品マスタ[[#This Row],[仕入
単価]]+商品マスタ[[#This Row],[国内送料]]</f>
        <v>0</v>
      </c>
      <c r="U823" s="134">
        <f>ROUNDUP(商品マスタ[[#This Row],[仕入単価+国内送料]]/0.8,-1)</f>
        <v>0</v>
      </c>
      <c r="V823" s="134">
        <f>商品マスタ[[#This Row],[海外定価
（20％）]]-商品マスタ[[#This Row],[仕入単価+国内送料]]</f>
        <v>0</v>
      </c>
      <c r="W823" s="87">
        <f>ROUNDUP(商品マスタ[[#This Row],[仕入単価+国内送料]]/0.85,-1)</f>
        <v>0</v>
      </c>
      <c r="X823" s="134">
        <f>商品マスタ[[#This Row],[国内定価
（15％）]]-商品マスタ[[#This Row],[仕入単価+国内送料]]</f>
        <v>0</v>
      </c>
      <c r="Y823" s="139"/>
      <c r="Z823" s="87"/>
      <c r="AA823" s="87"/>
      <c r="AB823" s="87"/>
      <c r="AC823" s="140"/>
      <c r="AD823" s="87"/>
      <c r="AE823" s="87"/>
      <c r="AF823" s="87"/>
      <c r="AG823" s="141"/>
    </row>
    <row r="824" spans="1:33" ht="18">
      <c r="A824" s="166"/>
      <c r="B824" s="167"/>
      <c r="C824" s="167"/>
      <c r="D824" s="143" t="str">
        <f>"PRD_SNJ_"&amp;
_xlfn.XLOOKUP(商品マスタ[[#This Row],[仕入先]],テーブル1[仕入先名],テーブル1[仕入先コード],"XXX",0,1)&amp;
"_"&amp;
商品マスタ[[#This Row],[シリアル]]&amp;
"_"&amp;
TEXT(COUNTIFS(商品マスタ!$C$3:C824,商品マスタ[[#This Row],[仕入先]],商品マスタ!$E$3:E824,商品マスタ[[#This Row],[商品名]]), "00")</f>
        <v>PRD_SNJ__0000_00</v>
      </c>
      <c r="E824" s="87"/>
      <c r="F824" s="87">
        <f>IF(COUNTIFS($C$3:C824,商品マスタ[[#This Row],[仕入先]],$E$3:E824,商品マスタ[[#This Row],[商品名]]) = 1, 1,0)</f>
        <v>0</v>
      </c>
      <c r="G824" s="133" t="str">
        <f>TEXT(SUMIF($C$3:C824,商品マスタ[[#This Row],[仕入先]],$F$3:F824), "0000")</f>
        <v>0000</v>
      </c>
      <c r="H824" s="87"/>
      <c r="I824" s="87"/>
      <c r="J824" s="87"/>
      <c r="K824" s="87"/>
      <c r="L824" s="134"/>
      <c r="M824" s="157"/>
      <c r="N824" s="134"/>
      <c r="O824" s="135" t="str">
        <f>IF(COUNT(商品マスタ[[#This Row],[参考上代
（税込)]]) &gt; 0, (商品マスタ[[#This Row],[参考上代
（税込)]]-商品マスタ[[#This Row],[国内定価
（15％）]])/(商品マスタ[[#This Row],[参考上代
（税込)]]/1.08), "")</f>
        <v/>
      </c>
      <c r="P824" s="136">
        <v>0.1</v>
      </c>
      <c r="Q824" s="134">
        <f>商品マスタ[[#This Row],[仕入
単価]]*商品マスタ[[#This Row],[標準国内送料率]]</f>
        <v>0</v>
      </c>
      <c r="R824" s="134"/>
      <c r="S824" s="134">
        <f>IF(ISBLANK(商品マスタ[[#This Row],[実績
国内送料]]),商品マスタ[[#This Row],[標準国内送料]],)</f>
        <v>0</v>
      </c>
      <c r="T824" s="134">
        <f>商品マスタ[[#This Row],[仕入
単価]]+商品マスタ[[#This Row],[国内送料]]</f>
        <v>0</v>
      </c>
      <c r="U824" s="134">
        <f>ROUNDUP(商品マスタ[[#This Row],[仕入単価+国内送料]]/0.8,-1)</f>
        <v>0</v>
      </c>
      <c r="V824" s="134">
        <f>商品マスタ[[#This Row],[海外定価
（20％）]]-商品マスタ[[#This Row],[仕入単価+国内送料]]</f>
        <v>0</v>
      </c>
      <c r="W824" s="87">
        <f>ROUNDUP(商品マスタ[[#This Row],[仕入単価+国内送料]]/0.85,-1)</f>
        <v>0</v>
      </c>
      <c r="X824" s="134">
        <f>商品マスタ[[#This Row],[国内定価
（15％）]]-商品マスタ[[#This Row],[仕入単価+国内送料]]</f>
        <v>0</v>
      </c>
      <c r="Y824" s="139"/>
      <c r="Z824" s="87"/>
      <c r="AA824" s="87"/>
      <c r="AB824" s="87"/>
      <c r="AC824" s="140"/>
      <c r="AD824" s="87"/>
      <c r="AE824" s="87"/>
      <c r="AF824" s="87"/>
      <c r="AG824" s="141"/>
    </row>
    <row r="825" spans="1:33" ht="18">
      <c r="A825" s="166"/>
      <c r="B825" s="167"/>
      <c r="C825" s="167"/>
      <c r="D825" s="143" t="str">
        <f>"PRD_SNJ_"&amp;
_xlfn.XLOOKUP(商品マスタ[[#This Row],[仕入先]],テーブル1[仕入先名],テーブル1[仕入先コード],"XXX",0,1)&amp;
"_"&amp;
商品マスタ[[#This Row],[シリアル]]&amp;
"_"&amp;
TEXT(COUNTIFS(商品マスタ!$C$3:C825,商品マスタ[[#This Row],[仕入先]],商品マスタ!$E$3:E825,商品マスタ[[#This Row],[商品名]]), "00")</f>
        <v>PRD_SNJ__0000_00</v>
      </c>
      <c r="E825" s="87"/>
      <c r="F825" s="87">
        <f>IF(COUNTIFS($C$3:C825,商品マスタ[[#This Row],[仕入先]],$E$3:E825,商品マスタ[[#This Row],[商品名]]) = 1, 1,0)</f>
        <v>0</v>
      </c>
      <c r="G825" s="133" t="str">
        <f>TEXT(SUMIF($C$3:C825,商品マスタ[[#This Row],[仕入先]],$F$3:F825), "0000")</f>
        <v>0000</v>
      </c>
      <c r="H825" s="87"/>
      <c r="I825" s="87"/>
      <c r="J825" s="87"/>
      <c r="K825" s="87"/>
      <c r="L825" s="134"/>
      <c r="M825" s="157"/>
      <c r="N825" s="134"/>
      <c r="O825" s="135" t="str">
        <f>IF(COUNT(商品マスタ[[#This Row],[参考上代
（税込)]]) &gt; 0, (商品マスタ[[#This Row],[参考上代
（税込)]]-商品マスタ[[#This Row],[国内定価
（15％）]])/(商品マスタ[[#This Row],[参考上代
（税込)]]/1.08), "")</f>
        <v/>
      </c>
      <c r="P825" s="136">
        <v>0.1</v>
      </c>
      <c r="Q825" s="134">
        <f>商品マスタ[[#This Row],[仕入
単価]]*商品マスタ[[#This Row],[標準国内送料率]]</f>
        <v>0</v>
      </c>
      <c r="R825" s="134"/>
      <c r="S825" s="134">
        <f>IF(ISBLANK(商品マスタ[[#This Row],[実績
国内送料]]),商品マスタ[[#This Row],[標準国内送料]],)</f>
        <v>0</v>
      </c>
      <c r="T825" s="134">
        <f>商品マスタ[[#This Row],[仕入
単価]]+商品マスタ[[#This Row],[国内送料]]</f>
        <v>0</v>
      </c>
      <c r="U825" s="134">
        <f>ROUNDUP(商品マスタ[[#This Row],[仕入単価+国内送料]]/0.8,-1)</f>
        <v>0</v>
      </c>
      <c r="V825" s="134">
        <f>商品マスタ[[#This Row],[海外定価
（20％）]]-商品マスタ[[#This Row],[仕入単価+国内送料]]</f>
        <v>0</v>
      </c>
      <c r="W825" s="87">
        <f>ROUNDUP(商品マスタ[[#This Row],[仕入単価+国内送料]]/0.85,-1)</f>
        <v>0</v>
      </c>
      <c r="X825" s="134">
        <f>商品マスタ[[#This Row],[国内定価
（15％）]]-商品マスタ[[#This Row],[仕入単価+国内送料]]</f>
        <v>0</v>
      </c>
      <c r="Y825" s="139"/>
      <c r="Z825" s="87"/>
      <c r="AA825" s="87"/>
      <c r="AB825" s="87"/>
      <c r="AC825" s="140"/>
      <c r="AD825" s="87"/>
      <c r="AE825" s="87"/>
      <c r="AF825" s="87"/>
      <c r="AG825" s="141"/>
    </row>
    <row r="826" spans="1:33" ht="18">
      <c r="A826" s="166"/>
      <c r="B826" s="167"/>
      <c r="C826" s="167"/>
      <c r="D826" s="143" t="str">
        <f>"PRD_SNJ_"&amp;
_xlfn.XLOOKUP(商品マスタ[[#This Row],[仕入先]],テーブル1[仕入先名],テーブル1[仕入先コード],"XXX",0,1)&amp;
"_"&amp;
商品マスタ[[#This Row],[シリアル]]&amp;
"_"&amp;
TEXT(COUNTIFS(商品マスタ!$C$3:C826,商品マスタ[[#This Row],[仕入先]],商品マスタ!$E$3:E826,商品マスタ[[#This Row],[商品名]]), "00")</f>
        <v>PRD_SNJ__0000_00</v>
      </c>
      <c r="E826" s="87"/>
      <c r="F826" s="87">
        <f>IF(COUNTIFS($C$3:C826,商品マスタ[[#This Row],[仕入先]],$E$3:E826,商品マスタ[[#This Row],[商品名]]) = 1, 1,0)</f>
        <v>0</v>
      </c>
      <c r="G826" s="133" t="str">
        <f>TEXT(SUMIF($C$3:C826,商品マスタ[[#This Row],[仕入先]],$F$3:F826), "0000")</f>
        <v>0000</v>
      </c>
      <c r="H826" s="87"/>
      <c r="I826" s="87"/>
      <c r="J826" s="87"/>
      <c r="K826" s="87"/>
      <c r="L826" s="134"/>
      <c r="M826" s="157"/>
      <c r="N826" s="134"/>
      <c r="O826" s="135" t="str">
        <f>IF(COUNT(商品マスタ[[#This Row],[参考上代
（税込)]]) &gt; 0, (商品マスタ[[#This Row],[参考上代
（税込)]]-商品マスタ[[#This Row],[国内定価
（15％）]])/(商品マスタ[[#This Row],[参考上代
（税込)]]/1.08), "")</f>
        <v/>
      </c>
      <c r="P826" s="136">
        <v>0.1</v>
      </c>
      <c r="Q826" s="134">
        <f>商品マスタ[[#This Row],[仕入
単価]]*商品マスタ[[#This Row],[標準国内送料率]]</f>
        <v>0</v>
      </c>
      <c r="R826" s="134"/>
      <c r="S826" s="134">
        <f>IF(ISBLANK(商品マスタ[[#This Row],[実績
国内送料]]),商品マスタ[[#This Row],[標準国内送料]],)</f>
        <v>0</v>
      </c>
      <c r="T826" s="134">
        <f>商品マスタ[[#This Row],[仕入
単価]]+商品マスタ[[#This Row],[国内送料]]</f>
        <v>0</v>
      </c>
      <c r="U826" s="134">
        <f>ROUNDUP(商品マスタ[[#This Row],[仕入単価+国内送料]]/0.8,-1)</f>
        <v>0</v>
      </c>
      <c r="V826" s="134">
        <f>商品マスタ[[#This Row],[海外定価
（20％）]]-商品マスタ[[#This Row],[仕入単価+国内送料]]</f>
        <v>0</v>
      </c>
      <c r="W826" s="87">
        <f>ROUNDUP(商品マスタ[[#This Row],[仕入単価+国内送料]]/0.85,-1)</f>
        <v>0</v>
      </c>
      <c r="X826" s="134">
        <f>商品マスタ[[#This Row],[国内定価
（15％）]]-商品マスタ[[#This Row],[仕入単価+国内送料]]</f>
        <v>0</v>
      </c>
      <c r="Y826" s="139"/>
      <c r="Z826" s="87"/>
      <c r="AA826" s="87"/>
      <c r="AB826" s="87"/>
      <c r="AC826" s="140"/>
      <c r="AD826" s="87"/>
      <c r="AE826" s="87"/>
      <c r="AF826" s="87"/>
      <c r="AG826" s="141"/>
    </row>
    <row r="827" spans="1:33" ht="18">
      <c r="A827" s="166"/>
      <c r="B827" s="167"/>
      <c r="C827" s="167"/>
      <c r="D827" s="143" t="str">
        <f>"PRD_SNJ_"&amp;
_xlfn.XLOOKUP(商品マスタ[[#This Row],[仕入先]],テーブル1[仕入先名],テーブル1[仕入先コード],"XXX",0,1)&amp;
"_"&amp;
商品マスタ[[#This Row],[シリアル]]&amp;
"_"&amp;
TEXT(COUNTIFS(商品マスタ!$C$3:C827,商品マスタ[[#This Row],[仕入先]],商品マスタ!$E$3:E827,商品マスタ[[#This Row],[商品名]]), "00")</f>
        <v>PRD_SNJ__0000_00</v>
      </c>
      <c r="E827" s="87"/>
      <c r="F827" s="87">
        <f>IF(COUNTIFS($C$3:C827,商品マスタ[[#This Row],[仕入先]],$E$3:E827,商品マスタ[[#This Row],[商品名]]) = 1, 1,0)</f>
        <v>0</v>
      </c>
      <c r="G827" s="133" t="str">
        <f>TEXT(SUMIF($C$3:C827,商品マスタ[[#This Row],[仕入先]],$F$3:F827), "0000")</f>
        <v>0000</v>
      </c>
      <c r="H827" s="87"/>
      <c r="I827" s="87"/>
      <c r="J827" s="87"/>
      <c r="K827" s="87"/>
      <c r="L827" s="134"/>
      <c r="M827" s="157"/>
      <c r="N827" s="134"/>
      <c r="O827" s="135" t="str">
        <f>IF(COUNT(商品マスタ[[#This Row],[参考上代
（税込)]]) &gt; 0, (商品マスタ[[#This Row],[参考上代
（税込)]]-商品マスタ[[#This Row],[国内定価
（15％）]])/(商品マスタ[[#This Row],[参考上代
（税込)]]/1.08), "")</f>
        <v/>
      </c>
      <c r="P827" s="136">
        <v>0.1</v>
      </c>
      <c r="Q827" s="134">
        <f>商品マスタ[[#This Row],[仕入
単価]]*商品マスタ[[#This Row],[標準国内送料率]]</f>
        <v>0</v>
      </c>
      <c r="R827" s="134"/>
      <c r="S827" s="134">
        <f>IF(ISBLANK(商品マスタ[[#This Row],[実績
国内送料]]),商品マスタ[[#This Row],[標準国内送料]],)</f>
        <v>0</v>
      </c>
      <c r="T827" s="134">
        <f>商品マスタ[[#This Row],[仕入
単価]]+商品マスタ[[#This Row],[国内送料]]</f>
        <v>0</v>
      </c>
      <c r="U827" s="134">
        <f>ROUNDUP(商品マスタ[[#This Row],[仕入単価+国内送料]]/0.8,-1)</f>
        <v>0</v>
      </c>
      <c r="V827" s="134">
        <f>商品マスタ[[#This Row],[海外定価
（20％）]]-商品マスタ[[#This Row],[仕入単価+国内送料]]</f>
        <v>0</v>
      </c>
      <c r="W827" s="87">
        <f>ROUNDUP(商品マスタ[[#This Row],[仕入単価+国内送料]]/0.85,-1)</f>
        <v>0</v>
      </c>
      <c r="X827" s="134">
        <f>商品マスタ[[#This Row],[国内定価
（15％）]]-商品マスタ[[#This Row],[仕入単価+国内送料]]</f>
        <v>0</v>
      </c>
      <c r="Y827" s="139"/>
      <c r="Z827" s="87"/>
      <c r="AA827" s="87"/>
      <c r="AB827" s="87"/>
      <c r="AC827" s="140"/>
      <c r="AD827" s="87"/>
      <c r="AE827" s="87"/>
      <c r="AF827" s="87"/>
      <c r="AG827" s="141"/>
    </row>
    <row r="828" spans="1:33" ht="18">
      <c r="A828" s="166"/>
      <c r="B828" s="167"/>
      <c r="C828" s="167"/>
      <c r="D828" s="143" t="str">
        <f>"PRD_SNJ_"&amp;
_xlfn.XLOOKUP(商品マスタ[[#This Row],[仕入先]],テーブル1[仕入先名],テーブル1[仕入先コード],"XXX",0,1)&amp;
"_"&amp;
商品マスタ[[#This Row],[シリアル]]&amp;
"_"&amp;
TEXT(COUNTIFS(商品マスタ!$C$3:C828,商品マスタ[[#This Row],[仕入先]],商品マスタ!$E$3:E828,商品マスタ[[#This Row],[商品名]]), "00")</f>
        <v>PRD_SNJ__0000_00</v>
      </c>
      <c r="E828" s="87"/>
      <c r="F828" s="87">
        <f>IF(COUNTIFS($C$3:C828,商品マスタ[[#This Row],[仕入先]],$E$3:E828,商品マスタ[[#This Row],[商品名]]) = 1, 1,0)</f>
        <v>0</v>
      </c>
      <c r="G828" s="133" t="str">
        <f>TEXT(SUMIF($C$3:C828,商品マスタ[[#This Row],[仕入先]],$F$3:F828), "0000")</f>
        <v>0000</v>
      </c>
      <c r="H828" s="87"/>
      <c r="I828" s="87"/>
      <c r="J828" s="87"/>
      <c r="K828" s="87"/>
      <c r="L828" s="134"/>
      <c r="M828" s="157"/>
      <c r="N828" s="134"/>
      <c r="O828" s="135" t="str">
        <f>IF(COUNT(商品マスタ[[#This Row],[参考上代
（税込)]]) &gt; 0, (商品マスタ[[#This Row],[参考上代
（税込)]]-商品マスタ[[#This Row],[国内定価
（15％）]])/(商品マスタ[[#This Row],[参考上代
（税込)]]/1.08), "")</f>
        <v/>
      </c>
      <c r="P828" s="136">
        <v>0.1</v>
      </c>
      <c r="Q828" s="134">
        <f>商品マスタ[[#This Row],[仕入
単価]]*商品マスタ[[#This Row],[標準国内送料率]]</f>
        <v>0</v>
      </c>
      <c r="R828" s="134"/>
      <c r="S828" s="134">
        <f>IF(ISBLANK(商品マスタ[[#This Row],[実績
国内送料]]),商品マスタ[[#This Row],[標準国内送料]],)</f>
        <v>0</v>
      </c>
      <c r="T828" s="134">
        <f>商品マスタ[[#This Row],[仕入
単価]]+商品マスタ[[#This Row],[国内送料]]</f>
        <v>0</v>
      </c>
      <c r="U828" s="134">
        <f>ROUNDUP(商品マスタ[[#This Row],[仕入単価+国内送料]]/0.8,-1)</f>
        <v>0</v>
      </c>
      <c r="V828" s="134">
        <f>商品マスタ[[#This Row],[海外定価
（20％）]]-商品マスタ[[#This Row],[仕入単価+国内送料]]</f>
        <v>0</v>
      </c>
      <c r="W828" s="87">
        <f>ROUNDUP(商品マスタ[[#This Row],[仕入単価+国内送料]]/0.85,-1)</f>
        <v>0</v>
      </c>
      <c r="X828" s="134">
        <f>商品マスタ[[#This Row],[国内定価
（15％）]]-商品マスタ[[#This Row],[仕入単価+国内送料]]</f>
        <v>0</v>
      </c>
      <c r="Y828" s="139"/>
      <c r="Z828" s="87"/>
      <c r="AA828" s="87"/>
      <c r="AB828" s="87"/>
      <c r="AC828" s="140"/>
      <c r="AD828" s="87"/>
      <c r="AE828" s="87"/>
      <c r="AF828" s="87"/>
      <c r="AG828" s="141"/>
    </row>
    <row r="829" spans="1:33" ht="18">
      <c r="A829" s="166"/>
      <c r="B829" s="167"/>
      <c r="C829" s="167"/>
      <c r="D829" s="143" t="str">
        <f>"PRD_SNJ_"&amp;
_xlfn.XLOOKUP(商品マスタ[[#This Row],[仕入先]],テーブル1[仕入先名],テーブル1[仕入先コード],"XXX",0,1)&amp;
"_"&amp;
商品マスタ[[#This Row],[シリアル]]&amp;
"_"&amp;
TEXT(COUNTIFS(商品マスタ!$C$3:C829,商品マスタ[[#This Row],[仕入先]],商品マスタ!$E$3:E829,商品マスタ[[#This Row],[商品名]]), "00")</f>
        <v>PRD_SNJ__0000_00</v>
      </c>
      <c r="E829" s="87"/>
      <c r="F829" s="87">
        <f>IF(COUNTIFS($C$3:C829,商品マスタ[[#This Row],[仕入先]],$E$3:E829,商品マスタ[[#This Row],[商品名]]) = 1, 1,0)</f>
        <v>0</v>
      </c>
      <c r="G829" s="133" t="str">
        <f>TEXT(SUMIF($C$3:C829,商品マスタ[[#This Row],[仕入先]],$F$3:F829), "0000")</f>
        <v>0000</v>
      </c>
      <c r="H829" s="87"/>
      <c r="I829" s="87"/>
      <c r="J829" s="87"/>
      <c r="K829" s="87"/>
      <c r="L829" s="134"/>
      <c r="M829" s="157"/>
      <c r="N829" s="134"/>
      <c r="O829" s="135" t="str">
        <f>IF(COUNT(商品マスタ[[#This Row],[参考上代
（税込)]]) &gt; 0, (商品マスタ[[#This Row],[参考上代
（税込)]]-商品マスタ[[#This Row],[国内定価
（15％）]])/(商品マスタ[[#This Row],[参考上代
（税込)]]/1.08), "")</f>
        <v/>
      </c>
      <c r="P829" s="136">
        <v>0.1</v>
      </c>
      <c r="Q829" s="134">
        <f>商品マスタ[[#This Row],[仕入
単価]]*商品マスタ[[#This Row],[標準国内送料率]]</f>
        <v>0</v>
      </c>
      <c r="R829" s="134"/>
      <c r="S829" s="134">
        <f>IF(ISBLANK(商品マスタ[[#This Row],[実績
国内送料]]),商品マスタ[[#This Row],[標準国内送料]],)</f>
        <v>0</v>
      </c>
      <c r="T829" s="134">
        <f>商品マスタ[[#This Row],[仕入
単価]]+商品マスタ[[#This Row],[国内送料]]</f>
        <v>0</v>
      </c>
      <c r="U829" s="134">
        <f>ROUNDUP(商品マスタ[[#This Row],[仕入単価+国内送料]]/0.8,-1)</f>
        <v>0</v>
      </c>
      <c r="V829" s="134">
        <f>商品マスタ[[#This Row],[海外定価
（20％）]]-商品マスタ[[#This Row],[仕入単価+国内送料]]</f>
        <v>0</v>
      </c>
      <c r="W829" s="87">
        <f>ROUNDUP(商品マスタ[[#This Row],[仕入単価+国内送料]]/0.85,-1)</f>
        <v>0</v>
      </c>
      <c r="X829" s="134">
        <f>商品マスタ[[#This Row],[国内定価
（15％）]]-商品マスタ[[#This Row],[仕入単価+国内送料]]</f>
        <v>0</v>
      </c>
      <c r="Y829" s="139"/>
      <c r="Z829" s="87"/>
      <c r="AA829" s="87"/>
      <c r="AB829" s="87"/>
      <c r="AC829" s="140"/>
      <c r="AD829" s="87"/>
      <c r="AE829" s="87"/>
      <c r="AF829" s="87"/>
      <c r="AG829" s="141"/>
    </row>
    <row r="830" spans="1:33" ht="18">
      <c r="A830" s="166"/>
      <c r="B830" s="167"/>
      <c r="C830" s="167"/>
      <c r="D830" s="143" t="str">
        <f>"PRD_SNJ_"&amp;
_xlfn.XLOOKUP(商品マスタ[[#This Row],[仕入先]],テーブル1[仕入先名],テーブル1[仕入先コード],"XXX",0,1)&amp;
"_"&amp;
商品マスタ[[#This Row],[シリアル]]&amp;
"_"&amp;
TEXT(COUNTIFS(商品マスタ!$C$3:C830,商品マスタ[[#This Row],[仕入先]],商品マスタ!$E$3:E830,商品マスタ[[#This Row],[商品名]]), "00")</f>
        <v>PRD_SNJ__0000_00</v>
      </c>
      <c r="E830" s="87"/>
      <c r="F830" s="87">
        <f>IF(COUNTIFS($C$3:C830,商品マスタ[[#This Row],[仕入先]],$E$3:E830,商品マスタ[[#This Row],[商品名]]) = 1, 1,0)</f>
        <v>0</v>
      </c>
      <c r="G830" s="133" t="str">
        <f>TEXT(SUMIF($C$3:C830,商品マスタ[[#This Row],[仕入先]],$F$3:F830), "0000")</f>
        <v>0000</v>
      </c>
      <c r="H830" s="87"/>
      <c r="I830" s="87"/>
      <c r="J830" s="87"/>
      <c r="K830" s="87"/>
      <c r="L830" s="134"/>
      <c r="M830" s="157"/>
      <c r="N830" s="134"/>
      <c r="O830" s="135" t="str">
        <f>IF(COUNT(商品マスタ[[#This Row],[参考上代
（税込)]]) &gt; 0, (商品マスタ[[#This Row],[参考上代
（税込)]]-商品マスタ[[#This Row],[国内定価
（15％）]])/(商品マスタ[[#This Row],[参考上代
（税込)]]/1.08), "")</f>
        <v/>
      </c>
      <c r="P830" s="136">
        <v>0.1</v>
      </c>
      <c r="Q830" s="134">
        <f>商品マスタ[[#This Row],[仕入
単価]]*商品マスタ[[#This Row],[標準国内送料率]]</f>
        <v>0</v>
      </c>
      <c r="R830" s="134"/>
      <c r="S830" s="134">
        <f>IF(ISBLANK(商品マスタ[[#This Row],[実績
国内送料]]),商品マスタ[[#This Row],[標準国内送料]],)</f>
        <v>0</v>
      </c>
      <c r="T830" s="134">
        <f>商品マスタ[[#This Row],[仕入
単価]]+商品マスタ[[#This Row],[国内送料]]</f>
        <v>0</v>
      </c>
      <c r="U830" s="134">
        <f>ROUNDUP(商品マスタ[[#This Row],[仕入単価+国内送料]]/0.8,-1)</f>
        <v>0</v>
      </c>
      <c r="V830" s="134">
        <f>商品マスタ[[#This Row],[海外定価
（20％）]]-商品マスタ[[#This Row],[仕入単価+国内送料]]</f>
        <v>0</v>
      </c>
      <c r="W830" s="87">
        <f>ROUNDUP(商品マスタ[[#This Row],[仕入単価+国内送料]]/0.85,-1)</f>
        <v>0</v>
      </c>
      <c r="X830" s="134">
        <f>商品マスタ[[#This Row],[国内定価
（15％）]]-商品マスタ[[#This Row],[仕入単価+国内送料]]</f>
        <v>0</v>
      </c>
      <c r="Y830" s="139"/>
      <c r="Z830" s="87"/>
      <c r="AA830" s="87"/>
      <c r="AB830" s="87"/>
      <c r="AC830" s="140"/>
      <c r="AD830" s="87"/>
      <c r="AE830" s="87"/>
      <c r="AF830" s="87"/>
      <c r="AG830" s="141"/>
    </row>
    <row r="831" spans="1:33" ht="18">
      <c r="A831" s="166"/>
      <c r="B831" s="167"/>
      <c r="C831" s="167"/>
      <c r="D831" s="143" t="str">
        <f>"PRD_SNJ_"&amp;
_xlfn.XLOOKUP(商品マスタ[[#This Row],[仕入先]],テーブル1[仕入先名],テーブル1[仕入先コード],"XXX",0,1)&amp;
"_"&amp;
商品マスタ[[#This Row],[シリアル]]&amp;
"_"&amp;
TEXT(COUNTIFS(商品マスタ!$C$3:C831,商品マスタ[[#This Row],[仕入先]],商品マスタ!$E$3:E831,商品マスタ[[#This Row],[商品名]]), "00")</f>
        <v>PRD_SNJ__0000_00</v>
      </c>
      <c r="E831" s="87"/>
      <c r="F831" s="87">
        <f>IF(COUNTIFS($C$3:C831,商品マスタ[[#This Row],[仕入先]],$E$3:E831,商品マスタ[[#This Row],[商品名]]) = 1, 1,0)</f>
        <v>0</v>
      </c>
      <c r="G831" s="133" t="str">
        <f>TEXT(SUMIF($C$3:C831,商品マスタ[[#This Row],[仕入先]],$F$3:F831), "0000")</f>
        <v>0000</v>
      </c>
      <c r="H831" s="87"/>
      <c r="I831" s="87"/>
      <c r="J831" s="87"/>
      <c r="K831" s="87"/>
      <c r="L831" s="134"/>
      <c r="M831" s="157"/>
      <c r="N831" s="134"/>
      <c r="O831" s="135" t="str">
        <f>IF(COUNT(商品マスタ[[#This Row],[参考上代
（税込)]]) &gt; 0, (商品マスタ[[#This Row],[参考上代
（税込)]]-商品マスタ[[#This Row],[国内定価
（15％）]])/(商品マスタ[[#This Row],[参考上代
（税込)]]/1.08), "")</f>
        <v/>
      </c>
      <c r="P831" s="136">
        <v>0.1</v>
      </c>
      <c r="Q831" s="134">
        <f>商品マスタ[[#This Row],[仕入
単価]]*商品マスタ[[#This Row],[標準国内送料率]]</f>
        <v>0</v>
      </c>
      <c r="R831" s="134"/>
      <c r="S831" s="134">
        <f>IF(ISBLANK(商品マスタ[[#This Row],[実績
国内送料]]),商品マスタ[[#This Row],[標準国内送料]],)</f>
        <v>0</v>
      </c>
      <c r="T831" s="134">
        <f>商品マスタ[[#This Row],[仕入
単価]]+商品マスタ[[#This Row],[国内送料]]</f>
        <v>0</v>
      </c>
      <c r="U831" s="134">
        <f>ROUNDUP(商品マスタ[[#This Row],[仕入単価+国内送料]]/0.8,-1)</f>
        <v>0</v>
      </c>
      <c r="V831" s="134">
        <f>商品マスタ[[#This Row],[海外定価
（20％）]]-商品マスタ[[#This Row],[仕入単価+国内送料]]</f>
        <v>0</v>
      </c>
      <c r="W831" s="87">
        <f>ROUNDUP(商品マスタ[[#This Row],[仕入単価+国内送料]]/0.85,-1)</f>
        <v>0</v>
      </c>
      <c r="X831" s="134">
        <f>商品マスタ[[#This Row],[国内定価
（15％）]]-商品マスタ[[#This Row],[仕入単価+国内送料]]</f>
        <v>0</v>
      </c>
      <c r="Y831" s="139"/>
      <c r="Z831" s="87"/>
      <c r="AA831" s="87"/>
      <c r="AB831" s="87"/>
      <c r="AC831" s="140"/>
      <c r="AD831" s="87"/>
      <c r="AE831" s="87"/>
      <c r="AF831" s="87"/>
      <c r="AG831" s="141"/>
    </row>
    <row r="832" spans="1:33" ht="18">
      <c r="A832" s="166"/>
      <c r="B832" s="167"/>
      <c r="C832" s="167"/>
      <c r="D832" s="143" t="str">
        <f>"PRD_SNJ_"&amp;
_xlfn.XLOOKUP(商品マスタ[[#This Row],[仕入先]],テーブル1[仕入先名],テーブル1[仕入先コード],"XXX",0,1)&amp;
"_"&amp;
商品マスタ[[#This Row],[シリアル]]&amp;
"_"&amp;
TEXT(COUNTIFS(商品マスタ!$C$3:C832,商品マスタ[[#This Row],[仕入先]],商品マスタ!$E$3:E832,商品マスタ[[#This Row],[商品名]]), "00")</f>
        <v>PRD_SNJ__0000_00</v>
      </c>
      <c r="E832" s="87"/>
      <c r="F832" s="87">
        <f>IF(COUNTIFS($C$3:C832,商品マスタ[[#This Row],[仕入先]],$E$3:E832,商品マスタ[[#This Row],[商品名]]) = 1, 1,0)</f>
        <v>0</v>
      </c>
      <c r="G832" s="133" t="str">
        <f>TEXT(SUMIF($C$3:C832,商品マスタ[[#This Row],[仕入先]],$F$3:F832), "0000")</f>
        <v>0000</v>
      </c>
      <c r="H832" s="87"/>
      <c r="I832" s="87"/>
      <c r="J832" s="87"/>
      <c r="K832" s="87"/>
      <c r="L832" s="134"/>
      <c r="M832" s="157"/>
      <c r="N832" s="134"/>
      <c r="O832" s="135" t="str">
        <f>IF(COUNT(商品マスタ[[#This Row],[参考上代
（税込)]]) &gt; 0, (商品マスタ[[#This Row],[参考上代
（税込)]]-商品マスタ[[#This Row],[国内定価
（15％）]])/(商品マスタ[[#This Row],[参考上代
（税込)]]/1.08), "")</f>
        <v/>
      </c>
      <c r="P832" s="136">
        <v>0.1</v>
      </c>
      <c r="Q832" s="134">
        <f>商品マスタ[[#This Row],[仕入
単価]]*商品マスタ[[#This Row],[標準国内送料率]]</f>
        <v>0</v>
      </c>
      <c r="R832" s="134"/>
      <c r="S832" s="134">
        <f>IF(ISBLANK(商品マスタ[[#This Row],[実績
国内送料]]),商品マスタ[[#This Row],[標準国内送料]],)</f>
        <v>0</v>
      </c>
      <c r="T832" s="134">
        <f>商品マスタ[[#This Row],[仕入
単価]]+商品マスタ[[#This Row],[国内送料]]</f>
        <v>0</v>
      </c>
      <c r="U832" s="134">
        <f>ROUNDUP(商品マスタ[[#This Row],[仕入単価+国内送料]]/0.8,-1)</f>
        <v>0</v>
      </c>
      <c r="V832" s="134">
        <f>商品マスタ[[#This Row],[海外定価
（20％）]]-商品マスタ[[#This Row],[仕入単価+国内送料]]</f>
        <v>0</v>
      </c>
      <c r="W832" s="87">
        <f>ROUNDUP(商品マスタ[[#This Row],[仕入単価+国内送料]]/0.85,-1)</f>
        <v>0</v>
      </c>
      <c r="X832" s="134">
        <f>商品マスタ[[#This Row],[国内定価
（15％）]]-商品マスタ[[#This Row],[仕入単価+国内送料]]</f>
        <v>0</v>
      </c>
      <c r="Y832" s="139"/>
      <c r="Z832" s="87"/>
      <c r="AA832" s="87"/>
      <c r="AB832" s="87"/>
      <c r="AC832" s="140"/>
      <c r="AD832" s="87"/>
      <c r="AE832" s="87"/>
      <c r="AF832" s="87"/>
      <c r="AG832" s="141"/>
    </row>
    <row r="833" spans="1:33" ht="18">
      <c r="A833" s="166"/>
      <c r="B833" s="167"/>
      <c r="C833" s="167"/>
      <c r="D833" s="143" t="str">
        <f>"PRD_SNJ_"&amp;
_xlfn.XLOOKUP(商品マスタ[[#This Row],[仕入先]],テーブル1[仕入先名],テーブル1[仕入先コード],"XXX",0,1)&amp;
"_"&amp;
商品マスタ[[#This Row],[シリアル]]&amp;
"_"&amp;
TEXT(COUNTIFS(商品マスタ!$C$3:C833,商品マスタ[[#This Row],[仕入先]],商品マスタ!$E$3:E833,商品マスタ[[#This Row],[商品名]]), "00")</f>
        <v>PRD_SNJ__0000_00</v>
      </c>
      <c r="E833" s="87"/>
      <c r="F833" s="87">
        <f>IF(COUNTIFS($C$3:C833,商品マスタ[[#This Row],[仕入先]],$E$3:E833,商品マスタ[[#This Row],[商品名]]) = 1, 1,0)</f>
        <v>0</v>
      </c>
      <c r="G833" s="133" t="str">
        <f>TEXT(SUMIF($C$3:C833,商品マスタ[[#This Row],[仕入先]],$F$3:F833), "0000")</f>
        <v>0000</v>
      </c>
      <c r="H833" s="87"/>
      <c r="I833" s="87"/>
      <c r="J833" s="87"/>
      <c r="K833" s="87"/>
      <c r="L833" s="134"/>
      <c r="M833" s="157"/>
      <c r="N833" s="134"/>
      <c r="O833" s="135" t="str">
        <f>IF(COUNT(商品マスタ[[#This Row],[参考上代
（税込)]]) &gt; 0, (商品マスタ[[#This Row],[参考上代
（税込)]]-商品マスタ[[#This Row],[国内定価
（15％）]])/(商品マスタ[[#This Row],[参考上代
（税込)]]/1.08), "")</f>
        <v/>
      </c>
      <c r="P833" s="136">
        <v>0.1</v>
      </c>
      <c r="Q833" s="134">
        <f>商品マスタ[[#This Row],[仕入
単価]]*商品マスタ[[#This Row],[標準国内送料率]]</f>
        <v>0</v>
      </c>
      <c r="R833" s="134"/>
      <c r="S833" s="134">
        <f>IF(ISBLANK(商品マスタ[[#This Row],[実績
国内送料]]),商品マスタ[[#This Row],[標準国内送料]],)</f>
        <v>0</v>
      </c>
      <c r="T833" s="134">
        <f>商品マスタ[[#This Row],[仕入
単価]]+商品マスタ[[#This Row],[国内送料]]</f>
        <v>0</v>
      </c>
      <c r="U833" s="134">
        <f>ROUNDUP(商品マスタ[[#This Row],[仕入単価+国内送料]]/0.8,-1)</f>
        <v>0</v>
      </c>
      <c r="V833" s="134">
        <f>商品マスタ[[#This Row],[海外定価
（20％）]]-商品マスタ[[#This Row],[仕入単価+国内送料]]</f>
        <v>0</v>
      </c>
      <c r="W833" s="87">
        <f>ROUNDUP(商品マスタ[[#This Row],[仕入単価+国内送料]]/0.85,-1)</f>
        <v>0</v>
      </c>
      <c r="X833" s="134">
        <f>商品マスタ[[#This Row],[国内定価
（15％）]]-商品マスタ[[#This Row],[仕入単価+国内送料]]</f>
        <v>0</v>
      </c>
      <c r="Y833" s="139"/>
      <c r="Z833" s="87"/>
      <c r="AA833" s="87"/>
      <c r="AB833" s="87"/>
      <c r="AC833" s="140"/>
      <c r="AD833" s="87"/>
      <c r="AE833" s="87"/>
      <c r="AF833" s="87"/>
      <c r="AG833" s="141"/>
    </row>
    <row r="834" spans="1:33" ht="18">
      <c r="A834" s="166"/>
      <c r="B834" s="167"/>
      <c r="C834" s="167"/>
      <c r="D834" s="143" t="str">
        <f>"PRD_SNJ_"&amp;
_xlfn.XLOOKUP(商品マスタ[[#This Row],[仕入先]],テーブル1[仕入先名],テーブル1[仕入先コード],"XXX",0,1)&amp;
"_"&amp;
商品マスタ[[#This Row],[シリアル]]&amp;
"_"&amp;
TEXT(COUNTIFS(商品マスタ!$C$3:C834,商品マスタ[[#This Row],[仕入先]],商品マスタ!$E$3:E834,商品マスタ[[#This Row],[商品名]]), "00")</f>
        <v>PRD_SNJ__0000_00</v>
      </c>
      <c r="E834" s="87"/>
      <c r="F834" s="87">
        <f>IF(COUNTIFS($C$3:C834,商品マスタ[[#This Row],[仕入先]],$E$3:E834,商品マスタ[[#This Row],[商品名]]) = 1, 1,0)</f>
        <v>0</v>
      </c>
      <c r="G834" s="133" t="str">
        <f>TEXT(SUMIF($C$3:C834,商品マスタ[[#This Row],[仕入先]],$F$3:F834), "0000")</f>
        <v>0000</v>
      </c>
      <c r="H834" s="87"/>
      <c r="I834" s="87"/>
      <c r="J834" s="87"/>
      <c r="K834" s="87"/>
      <c r="L834" s="134"/>
      <c r="M834" s="157"/>
      <c r="N834" s="134"/>
      <c r="O834" s="135" t="str">
        <f>IF(COUNT(商品マスタ[[#This Row],[参考上代
（税込)]]) &gt; 0, (商品マスタ[[#This Row],[参考上代
（税込)]]-商品マスタ[[#This Row],[国内定価
（15％）]])/(商品マスタ[[#This Row],[参考上代
（税込)]]/1.08), "")</f>
        <v/>
      </c>
      <c r="P834" s="136">
        <v>0.1</v>
      </c>
      <c r="Q834" s="134">
        <f>商品マスタ[[#This Row],[仕入
単価]]*商品マスタ[[#This Row],[標準国内送料率]]</f>
        <v>0</v>
      </c>
      <c r="R834" s="134"/>
      <c r="S834" s="134">
        <f>IF(ISBLANK(商品マスタ[[#This Row],[実績
国内送料]]),商品マスタ[[#This Row],[標準国内送料]],)</f>
        <v>0</v>
      </c>
      <c r="T834" s="134">
        <f>商品マスタ[[#This Row],[仕入
単価]]+商品マスタ[[#This Row],[国内送料]]</f>
        <v>0</v>
      </c>
      <c r="U834" s="134">
        <f>ROUNDUP(商品マスタ[[#This Row],[仕入単価+国内送料]]/0.8,-1)</f>
        <v>0</v>
      </c>
      <c r="V834" s="134">
        <f>商品マスタ[[#This Row],[海外定価
（20％）]]-商品マスタ[[#This Row],[仕入単価+国内送料]]</f>
        <v>0</v>
      </c>
      <c r="W834" s="87">
        <f>ROUNDUP(商品マスタ[[#This Row],[仕入単価+国内送料]]/0.85,-1)</f>
        <v>0</v>
      </c>
      <c r="X834" s="134">
        <f>商品マスタ[[#This Row],[国内定価
（15％）]]-商品マスタ[[#This Row],[仕入単価+国内送料]]</f>
        <v>0</v>
      </c>
      <c r="Y834" s="139"/>
      <c r="Z834" s="87"/>
      <c r="AA834" s="87"/>
      <c r="AB834" s="87"/>
      <c r="AC834" s="140"/>
      <c r="AD834" s="87"/>
      <c r="AE834" s="87"/>
      <c r="AF834" s="87"/>
      <c r="AG834" s="141"/>
    </row>
    <row r="835" spans="1:33" ht="18">
      <c r="A835" s="166"/>
      <c r="B835" s="167"/>
      <c r="C835" s="167"/>
      <c r="D835" s="143" t="str">
        <f>"PRD_SNJ_"&amp;
_xlfn.XLOOKUP(商品マスタ[[#This Row],[仕入先]],テーブル1[仕入先名],テーブル1[仕入先コード],"XXX",0,1)&amp;
"_"&amp;
商品マスタ[[#This Row],[シリアル]]&amp;
"_"&amp;
TEXT(COUNTIFS(商品マスタ!$C$3:C835,商品マスタ[[#This Row],[仕入先]],商品マスタ!$E$3:E835,商品マスタ[[#This Row],[商品名]]), "00")</f>
        <v>PRD_SNJ__0000_00</v>
      </c>
      <c r="E835" s="87"/>
      <c r="F835" s="87">
        <f>IF(COUNTIFS($C$3:C835,商品マスタ[[#This Row],[仕入先]],$E$3:E835,商品マスタ[[#This Row],[商品名]]) = 1, 1,0)</f>
        <v>0</v>
      </c>
      <c r="G835" s="133" t="str">
        <f>TEXT(SUMIF($C$3:C835,商品マスタ[[#This Row],[仕入先]],$F$3:F835), "0000")</f>
        <v>0000</v>
      </c>
      <c r="H835" s="87"/>
      <c r="I835" s="87"/>
      <c r="J835" s="87"/>
      <c r="K835" s="87"/>
      <c r="L835" s="134"/>
      <c r="M835" s="157"/>
      <c r="N835" s="134"/>
      <c r="O835" s="135" t="str">
        <f>IF(COUNT(商品マスタ[[#This Row],[参考上代
（税込)]]) &gt; 0, (商品マスタ[[#This Row],[参考上代
（税込)]]-商品マスタ[[#This Row],[国内定価
（15％）]])/(商品マスタ[[#This Row],[参考上代
（税込)]]/1.08), "")</f>
        <v/>
      </c>
      <c r="P835" s="136">
        <v>0.1</v>
      </c>
      <c r="Q835" s="134">
        <f>商品マスタ[[#This Row],[仕入
単価]]*商品マスタ[[#This Row],[標準国内送料率]]</f>
        <v>0</v>
      </c>
      <c r="R835" s="134"/>
      <c r="S835" s="134">
        <f>IF(ISBLANK(商品マスタ[[#This Row],[実績
国内送料]]),商品マスタ[[#This Row],[標準国内送料]],)</f>
        <v>0</v>
      </c>
      <c r="T835" s="134">
        <f>商品マスタ[[#This Row],[仕入
単価]]+商品マスタ[[#This Row],[国内送料]]</f>
        <v>0</v>
      </c>
      <c r="U835" s="134">
        <f>ROUNDUP(商品マスタ[[#This Row],[仕入単価+国内送料]]/0.8,-1)</f>
        <v>0</v>
      </c>
      <c r="V835" s="134">
        <f>商品マスタ[[#This Row],[海外定価
（20％）]]-商品マスタ[[#This Row],[仕入単価+国内送料]]</f>
        <v>0</v>
      </c>
      <c r="W835" s="87">
        <f>ROUNDUP(商品マスタ[[#This Row],[仕入単価+国内送料]]/0.85,-1)</f>
        <v>0</v>
      </c>
      <c r="X835" s="134">
        <f>商品マスタ[[#This Row],[国内定価
（15％）]]-商品マスタ[[#This Row],[仕入単価+国内送料]]</f>
        <v>0</v>
      </c>
      <c r="Y835" s="139"/>
      <c r="Z835" s="87"/>
      <c r="AA835" s="87"/>
      <c r="AB835" s="87"/>
      <c r="AC835" s="140"/>
      <c r="AD835" s="87"/>
      <c r="AE835" s="87"/>
      <c r="AF835" s="87"/>
      <c r="AG835" s="141"/>
    </row>
    <row r="836" spans="1:33" ht="18">
      <c r="A836" s="166"/>
      <c r="B836" s="167"/>
      <c r="C836" s="167"/>
      <c r="D836" s="143" t="str">
        <f>"PRD_SNJ_"&amp;
_xlfn.XLOOKUP(商品マスタ[[#This Row],[仕入先]],テーブル1[仕入先名],テーブル1[仕入先コード],"XXX",0,1)&amp;
"_"&amp;
商品マスタ[[#This Row],[シリアル]]&amp;
"_"&amp;
TEXT(COUNTIFS(商品マスタ!$C$3:C836,商品マスタ[[#This Row],[仕入先]],商品マスタ!$E$3:E836,商品マスタ[[#This Row],[商品名]]), "00")</f>
        <v>PRD_SNJ__0000_00</v>
      </c>
      <c r="E836" s="87"/>
      <c r="F836" s="87">
        <f>IF(COUNTIFS($C$3:C836,商品マスタ[[#This Row],[仕入先]],$E$3:E836,商品マスタ[[#This Row],[商品名]]) = 1, 1,0)</f>
        <v>0</v>
      </c>
      <c r="G836" s="133" t="str">
        <f>TEXT(SUMIF($C$3:C836,商品マスタ[[#This Row],[仕入先]],$F$3:F836), "0000")</f>
        <v>0000</v>
      </c>
      <c r="H836" s="87"/>
      <c r="I836" s="87"/>
      <c r="J836" s="87"/>
      <c r="K836" s="87"/>
      <c r="L836" s="134"/>
      <c r="M836" s="157"/>
      <c r="N836" s="134"/>
      <c r="O836" s="135" t="str">
        <f>IF(COUNT(商品マスタ[[#This Row],[参考上代
（税込)]]) &gt; 0, (商品マスタ[[#This Row],[参考上代
（税込)]]-商品マスタ[[#This Row],[国内定価
（15％）]])/(商品マスタ[[#This Row],[参考上代
（税込)]]/1.08), "")</f>
        <v/>
      </c>
      <c r="P836" s="136">
        <v>0.1</v>
      </c>
      <c r="Q836" s="134">
        <f>商品マスタ[[#This Row],[仕入
単価]]*商品マスタ[[#This Row],[標準国内送料率]]</f>
        <v>0</v>
      </c>
      <c r="R836" s="134"/>
      <c r="S836" s="134">
        <f>IF(ISBLANK(商品マスタ[[#This Row],[実績
国内送料]]),商品マスタ[[#This Row],[標準国内送料]],)</f>
        <v>0</v>
      </c>
      <c r="T836" s="134">
        <f>商品マスタ[[#This Row],[仕入
単価]]+商品マスタ[[#This Row],[国内送料]]</f>
        <v>0</v>
      </c>
      <c r="U836" s="134">
        <f>ROUNDUP(商品マスタ[[#This Row],[仕入単価+国内送料]]/0.8,-1)</f>
        <v>0</v>
      </c>
      <c r="V836" s="134">
        <f>商品マスタ[[#This Row],[海外定価
（20％）]]-商品マスタ[[#This Row],[仕入単価+国内送料]]</f>
        <v>0</v>
      </c>
      <c r="W836" s="87">
        <f>ROUNDUP(商品マスタ[[#This Row],[仕入単価+国内送料]]/0.85,-1)</f>
        <v>0</v>
      </c>
      <c r="X836" s="134">
        <f>商品マスタ[[#This Row],[国内定価
（15％）]]-商品マスタ[[#This Row],[仕入単価+国内送料]]</f>
        <v>0</v>
      </c>
      <c r="Y836" s="139"/>
      <c r="Z836" s="87"/>
      <c r="AA836" s="87"/>
      <c r="AB836" s="87"/>
      <c r="AC836" s="140"/>
      <c r="AD836" s="87"/>
      <c r="AE836" s="87"/>
      <c r="AF836" s="87"/>
      <c r="AG836" s="141"/>
    </row>
    <row r="837" spans="1:33" ht="18">
      <c r="A837" s="166"/>
      <c r="B837" s="167"/>
      <c r="C837" s="167"/>
      <c r="D837" s="143" t="str">
        <f>"PRD_SNJ_"&amp;
_xlfn.XLOOKUP(商品マスタ[[#This Row],[仕入先]],テーブル1[仕入先名],テーブル1[仕入先コード],"XXX",0,1)&amp;
"_"&amp;
商品マスタ[[#This Row],[シリアル]]&amp;
"_"&amp;
TEXT(COUNTIFS(商品マスタ!$C$3:C837,商品マスタ[[#This Row],[仕入先]],商品マスタ!$E$3:E837,商品マスタ[[#This Row],[商品名]]), "00")</f>
        <v>PRD_SNJ__0000_00</v>
      </c>
      <c r="E837" s="87"/>
      <c r="F837" s="87">
        <f>IF(COUNTIFS($C$3:C837,商品マスタ[[#This Row],[仕入先]],$E$3:E837,商品マスタ[[#This Row],[商品名]]) = 1, 1,0)</f>
        <v>0</v>
      </c>
      <c r="G837" s="133" t="str">
        <f>TEXT(SUMIF($C$3:C837,商品マスタ[[#This Row],[仕入先]],$F$3:F837), "0000")</f>
        <v>0000</v>
      </c>
      <c r="H837" s="87"/>
      <c r="I837" s="87"/>
      <c r="J837" s="87"/>
      <c r="K837" s="87"/>
      <c r="L837" s="134"/>
      <c r="M837" s="157"/>
      <c r="N837" s="134"/>
      <c r="O837" s="135" t="str">
        <f>IF(COUNT(商品マスタ[[#This Row],[参考上代
（税込)]]) &gt; 0, (商品マスタ[[#This Row],[参考上代
（税込)]]-商品マスタ[[#This Row],[国内定価
（15％）]])/(商品マスタ[[#This Row],[参考上代
（税込)]]/1.08), "")</f>
        <v/>
      </c>
      <c r="P837" s="136">
        <v>0.1</v>
      </c>
      <c r="Q837" s="134">
        <f>商品マスタ[[#This Row],[仕入
単価]]*商品マスタ[[#This Row],[標準国内送料率]]</f>
        <v>0</v>
      </c>
      <c r="R837" s="134"/>
      <c r="S837" s="134">
        <f>IF(ISBLANK(商品マスタ[[#This Row],[実績
国内送料]]),商品マスタ[[#This Row],[標準国内送料]],)</f>
        <v>0</v>
      </c>
      <c r="T837" s="134">
        <f>商品マスタ[[#This Row],[仕入
単価]]+商品マスタ[[#This Row],[国内送料]]</f>
        <v>0</v>
      </c>
      <c r="U837" s="134">
        <f>ROUNDUP(商品マスタ[[#This Row],[仕入単価+国内送料]]/0.8,-1)</f>
        <v>0</v>
      </c>
      <c r="V837" s="134">
        <f>商品マスタ[[#This Row],[海外定価
（20％）]]-商品マスタ[[#This Row],[仕入単価+国内送料]]</f>
        <v>0</v>
      </c>
      <c r="W837" s="87">
        <f>ROUNDUP(商品マスタ[[#This Row],[仕入単価+国内送料]]/0.85,-1)</f>
        <v>0</v>
      </c>
      <c r="X837" s="134">
        <f>商品マスタ[[#This Row],[国内定価
（15％）]]-商品マスタ[[#This Row],[仕入単価+国内送料]]</f>
        <v>0</v>
      </c>
      <c r="Y837" s="139"/>
      <c r="Z837" s="87"/>
      <c r="AA837" s="87"/>
      <c r="AB837" s="87"/>
      <c r="AC837" s="140"/>
      <c r="AD837" s="87"/>
      <c r="AE837" s="87"/>
      <c r="AF837" s="87"/>
      <c r="AG837" s="141"/>
    </row>
    <row r="838" spans="1:33" ht="18">
      <c r="A838" s="166"/>
      <c r="B838" s="167"/>
      <c r="C838" s="167"/>
      <c r="D838" s="143" t="str">
        <f>"PRD_SNJ_"&amp;
_xlfn.XLOOKUP(商品マスタ[[#This Row],[仕入先]],テーブル1[仕入先名],テーブル1[仕入先コード],"XXX",0,1)&amp;
"_"&amp;
商品マスタ[[#This Row],[シリアル]]&amp;
"_"&amp;
TEXT(COUNTIFS(商品マスタ!$C$3:C838,商品マスタ[[#This Row],[仕入先]],商品マスタ!$E$3:E838,商品マスタ[[#This Row],[商品名]]), "00")</f>
        <v>PRD_SNJ__0000_00</v>
      </c>
      <c r="E838" s="87"/>
      <c r="F838" s="87">
        <f>IF(COUNTIFS($C$3:C838,商品マスタ[[#This Row],[仕入先]],$E$3:E838,商品マスタ[[#This Row],[商品名]]) = 1, 1,0)</f>
        <v>0</v>
      </c>
      <c r="G838" s="133" t="str">
        <f>TEXT(SUMIF($C$3:C838,商品マスタ[[#This Row],[仕入先]],$F$3:F838), "0000")</f>
        <v>0000</v>
      </c>
      <c r="H838" s="87"/>
      <c r="I838" s="87"/>
      <c r="J838" s="87"/>
      <c r="K838" s="87"/>
      <c r="L838" s="134"/>
      <c r="M838" s="157"/>
      <c r="N838" s="134"/>
      <c r="O838" s="135" t="str">
        <f>IF(COUNT(商品マスタ[[#This Row],[参考上代
（税込)]]) &gt; 0, (商品マスタ[[#This Row],[参考上代
（税込)]]-商品マスタ[[#This Row],[国内定価
（15％）]])/(商品マスタ[[#This Row],[参考上代
（税込)]]/1.08), "")</f>
        <v/>
      </c>
      <c r="P838" s="136">
        <v>0.1</v>
      </c>
      <c r="Q838" s="134">
        <f>商品マスタ[[#This Row],[仕入
単価]]*商品マスタ[[#This Row],[標準国内送料率]]</f>
        <v>0</v>
      </c>
      <c r="R838" s="134"/>
      <c r="S838" s="134">
        <f>IF(ISBLANK(商品マスタ[[#This Row],[実績
国内送料]]),商品マスタ[[#This Row],[標準国内送料]],)</f>
        <v>0</v>
      </c>
      <c r="T838" s="134">
        <f>商品マスタ[[#This Row],[仕入
単価]]+商品マスタ[[#This Row],[国内送料]]</f>
        <v>0</v>
      </c>
      <c r="U838" s="134">
        <f>ROUNDUP(商品マスタ[[#This Row],[仕入単価+国内送料]]/0.8,-1)</f>
        <v>0</v>
      </c>
      <c r="V838" s="134">
        <f>商品マスタ[[#This Row],[海外定価
（20％）]]-商品マスタ[[#This Row],[仕入単価+国内送料]]</f>
        <v>0</v>
      </c>
      <c r="W838" s="87">
        <f>ROUNDUP(商品マスタ[[#This Row],[仕入単価+国内送料]]/0.85,-1)</f>
        <v>0</v>
      </c>
      <c r="X838" s="134">
        <f>商品マスタ[[#This Row],[国内定価
（15％）]]-商品マスタ[[#This Row],[仕入単価+国内送料]]</f>
        <v>0</v>
      </c>
      <c r="Y838" s="139"/>
      <c r="Z838" s="87"/>
      <c r="AA838" s="87"/>
      <c r="AB838" s="87"/>
      <c r="AC838" s="140"/>
      <c r="AD838" s="87"/>
      <c r="AE838" s="87"/>
      <c r="AF838" s="87"/>
      <c r="AG838" s="141"/>
    </row>
    <row r="839" spans="1:33" ht="18">
      <c r="A839" s="166"/>
      <c r="B839" s="167"/>
      <c r="C839" s="167"/>
      <c r="D839" s="143" t="str">
        <f>"PRD_SNJ_"&amp;
_xlfn.XLOOKUP(商品マスタ[[#This Row],[仕入先]],テーブル1[仕入先名],テーブル1[仕入先コード],"XXX",0,1)&amp;
"_"&amp;
商品マスタ[[#This Row],[シリアル]]&amp;
"_"&amp;
TEXT(COUNTIFS(商品マスタ!$C$3:C839,商品マスタ[[#This Row],[仕入先]],商品マスタ!$E$3:E839,商品マスタ[[#This Row],[商品名]]), "00")</f>
        <v>PRD_SNJ__0000_00</v>
      </c>
      <c r="E839" s="87"/>
      <c r="F839" s="87">
        <f>IF(COUNTIFS($C$3:C839,商品マスタ[[#This Row],[仕入先]],$E$3:E839,商品マスタ[[#This Row],[商品名]]) = 1, 1,0)</f>
        <v>0</v>
      </c>
      <c r="G839" s="133" t="str">
        <f>TEXT(SUMIF($C$3:C839,商品マスタ[[#This Row],[仕入先]],$F$3:F839), "0000")</f>
        <v>0000</v>
      </c>
      <c r="H839" s="87"/>
      <c r="I839" s="87"/>
      <c r="J839" s="87"/>
      <c r="K839" s="87"/>
      <c r="L839" s="134"/>
      <c r="M839" s="157"/>
      <c r="N839" s="134"/>
      <c r="O839" s="135" t="str">
        <f>IF(COUNT(商品マスタ[[#This Row],[参考上代
（税込)]]) &gt; 0, (商品マスタ[[#This Row],[参考上代
（税込)]]-商品マスタ[[#This Row],[国内定価
（15％）]])/(商品マスタ[[#This Row],[参考上代
（税込)]]/1.08), "")</f>
        <v/>
      </c>
      <c r="P839" s="136">
        <v>0.1</v>
      </c>
      <c r="Q839" s="134">
        <f>商品マスタ[[#This Row],[仕入
単価]]*商品マスタ[[#This Row],[標準国内送料率]]</f>
        <v>0</v>
      </c>
      <c r="R839" s="134"/>
      <c r="S839" s="134">
        <f>IF(ISBLANK(商品マスタ[[#This Row],[実績
国内送料]]),商品マスタ[[#This Row],[標準国内送料]],)</f>
        <v>0</v>
      </c>
      <c r="T839" s="134">
        <f>商品マスタ[[#This Row],[仕入
単価]]+商品マスタ[[#This Row],[国内送料]]</f>
        <v>0</v>
      </c>
      <c r="U839" s="134">
        <f>ROUNDUP(商品マスタ[[#This Row],[仕入単価+国内送料]]/0.8,-1)</f>
        <v>0</v>
      </c>
      <c r="V839" s="134">
        <f>商品マスタ[[#This Row],[海外定価
（20％）]]-商品マスタ[[#This Row],[仕入単価+国内送料]]</f>
        <v>0</v>
      </c>
      <c r="W839" s="87">
        <f>ROUNDUP(商品マスタ[[#This Row],[仕入単価+国内送料]]/0.85,-1)</f>
        <v>0</v>
      </c>
      <c r="X839" s="134">
        <f>商品マスタ[[#This Row],[国内定価
（15％）]]-商品マスタ[[#This Row],[仕入単価+国内送料]]</f>
        <v>0</v>
      </c>
      <c r="Y839" s="139"/>
      <c r="Z839" s="87"/>
      <c r="AA839" s="87"/>
      <c r="AB839" s="87"/>
      <c r="AC839" s="140"/>
      <c r="AD839" s="87"/>
      <c r="AE839" s="87"/>
      <c r="AF839" s="87"/>
      <c r="AG839" s="141"/>
    </row>
    <row r="840" spans="1:33" ht="18">
      <c r="A840" s="166"/>
      <c r="B840" s="167"/>
      <c r="C840" s="167"/>
      <c r="D840" s="143" t="str">
        <f>"PRD_SNJ_"&amp;
_xlfn.XLOOKUP(商品マスタ[[#This Row],[仕入先]],テーブル1[仕入先名],テーブル1[仕入先コード],"XXX",0,1)&amp;
"_"&amp;
商品マスタ[[#This Row],[シリアル]]&amp;
"_"&amp;
TEXT(COUNTIFS(商品マスタ!$C$3:C840,商品マスタ[[#This Row],[仕入先]],商品マスタ!$E$3:E840,商品マスタ[[#This Row],[商品名]]), "00")</f>
        <v>PRD_SNJ__0000_00</v>
      </c>
      <c r="E840" s="87"/>
      <c r="F840" s="87">
        <f>IF(COUNTIFS($C$3:C840,商品マスタ[[#This Row],[仕入先]],$E$3:E840,商品マスタ[[#This Row],[商品名]]) = 1, 1,0)</f>
        <v>0</v>
      </c>
      <c r="G840" s="133" t="str">
        <f>TEXT(SUMIF($C$3:C840,商品マスタ[[#This Row],[仕入先]],$F$3:F840), "0000")</f>
        <v>0000</v>
      </c>
      <c r="H840" s="87"/>
      <c r="I840" s="87"/>
      <c r="J840" s="87"/>
      <c r="K840" s="87"/>
      <c r="L840" s="134"/>
      <c r="M840" s="157"/>
      <c r="N840" s="134"/>
      <c r="O840" s="135" t="str">
        <f>IF(COUNT(商品マスタ[[#This Row],[参考上代
（税込)]]) &gt; 0, (商品マスタ[[#This Row],[参考上代
（税込)]]-商品マスタ[[#This Row],[国内定価
（15％）]])/(商品マスタ[[#This Row],[参考上代
（税込)]]/1.08), "")</f>
        <v/>
      </c>
      <c r="P840" s="136">
        <v>0.1</v>
      </c>
      <c r="Q840" s="134">
        <f>商品マスタ[[#This Row],[仕入
単価]]*商品マスタ[[#This Row],[標準国内送料率]]</f>
        <v>0</v>
      </c>
      <c r="R840" s="134"/>
      <c r="S840" s="134">
        <f>IF(ISBLANK(商品マスタ[[#This Row],[実績
国内送料]]),商品マスタ[[#This Row],[標準国内送料]],)</f>
        <v>0</v>
      </c>
      <c r="T840" s="134">
        <f>商品マスタ[[#This Row],[仕入
単価]]+商品マスタ[[#This Row],[国内送料]]</f>
        <v>0</v>
      </c>
      <c r="U840" s="134">
        <f>ROUNDUP(商品マスタ[[#This Row],[仕入単価+国内送料]]/0.8,-1)</f>
        <v>0</v>
      </c>
      <c r="V840" s="134">
        <f>商品マスタ[[#This Row],[海外定価
（20％）]]-商品マスタ[[#This Row],[仕入単価+国内送料]]</f>
        <v>0</v>
      </c>
      <c r="W840" s="87">
        <f>ROUNDUP(商品マスタ[[#This Row],[仕入単価+国内送料]]/0.85,-1)</f>
        <v>0</v>
      </c>
      <c r="X840" s="134">
        <f>商品マスタ[[#This Row],[国内定価
（15％）]]-商品マスタ[[#This Row],[仕入単価+国内送料]]</f>
        <v>0</v>
      </c>
      <c r="Y840" s="139"/>
      <c r="Z840" s="87"/>
      <c r="AA840" s="87"/>
      <c r="AB840" s="87"/>
      <c r="AC840" s="140"/>
      <c r="AD840" s="87"/>
      <c r="AE840" s="87"/>
      <c r="AF840" s="87"/>
      <c r="AG840" s="141"/>
    </row>
    <row r="841" spans="1:33" ht="18">
      <c r="A841" s="166"/>
      <c r="B841" s="167"/>
      <c r="C841" s="167"/>
      <c r="D841" s="143" t="str">
        <f>"PRD_SNJ_"&amp;
_xlfn.XLOOKUP(商品マスタ[[#This Row],[仕入先]],テーブル1[仕入先名],テーブル1[仕入先コード],"XXX",0,1)&amp;
"_"&amp;
商品マスタ[[#This Row],[シリアル]]&amp;
"_"&amp;
TEXT(COUNTIFS(商品マスタ!$C$3:C841,商品マスタ[[#This Row],[仕入先]],商品マスタ!$E$3:E841,商品マスタ[[#This Row],[商品名]]), "00")</f>
        <v>PRD_SNJ__0000_00</v>
      </c>
      <c r="E841" s="87"/>
      <c r="F841" s="87">
        <f>IF(COUNTIFS($C$3:C841,商品マスタ[[#This Row],[仕入先]],$E$3:E841,商品マスタ[[#This Row],[商品名]]) = 1, 1,0)</f>
        <v>0</v>
      </c>
      <c r="G841" s="133" t="str">
        <f>TEXT(SUMIF($C$3:C841,商品マスタ[[#This Row],[仕入先]],$F$3:F841), "0000")</f>
        <v>0000</v>
      </c>
      <c r="H841" s="87"/>
      <c r="I841" s="87"/>
      <c r="J841" s="87"/>
      <c r="K841" s="87"/>
      <c r="L841" s="134"/>
      <c r="M841" s="157"/>
      <c r="N841" s="134"/>
      <c r="O841" s="135" t="str">
        <f>IF(COUNT(商品マスタ[[#This Row],[参考上代
（税込)]]) &gt; 0, (商品マスタ[[#This Row],[参考上代
（税込)]]-商品マスタ[[#This Row],[国内定価
（15％）]])/(商品マスタ[[#This Row],[参考上代
（税込)]]/1.08), "")</f>
        <v/>
      </c>
      <c r="P841" s="136">
        <v>0.1</v>
      </c>
      <c r="Q841" s="134">
        <f>商品マスタ[[#This Row],[仕入
単価]]*商品マスタ[[#This Row],[標準国内送料率]]</f>
        <v>0</v>
      </c>
      <c r="R841" s="134"/>
      <c r="S841" s="134">
        <f>IF(ISBLANK(商品マスタ[[#This Row],[実績
国内送料]]),商品マスタ[[#This Row],[標準国内送料]],)</f>
        <v>0</v>
      </c>
      <c r="T841" s="134">
        <f>商品マスタ[[#This Row],[仕入
単価]]+商品マスタ[[#This Row],[国内送料]]</f>
        <v>0</v>
      </c>
      <c r="U841" s="134">
        <f>ROUNDUP(商品マスタ[[#This Row],[仕入単価+国内送料]]/0.8,-1)</f>
        <v>0</v>
      </c>
      <c r="V841" s="134">
        <f>商品マスタ[[#This Row],[海外定価
（20％）]]-商品マスタ[[#This Row],[仕入単価+国内送料]]</f>
        <v>0</v>
      </c>
      <c r="W841" s="87">
        <f>ROUNDUP(商品マスタ[[#This Row],[仕入単価+国内送料]]/0.85,-1)</f>
        <v>0</v>
      </c>
      <c r="X841" s="134">
        <f>商品マスタ[[#This Row],[国内定価
（15％）]]-商品マスタ[[#This Row],[仕入単価+国内送料]]</f>
        <v>0</v>
      </c>
      <c r="Y841" s="139"/>
      <c r="Z841" s="87"/>
      <c r="AA841" s="87"/>
      <c r="AB841" s="87"/>
      <c r="AC841" s="140"/>
      <c r="AD841" s="87"/>
      <c r="AE841" s="87"/>
      <c r="AF841" s="87"/>
      <c r="AG841" s="141"/>
    </row>
    <row r="842" spans="1:33" ht="18">
      <c r="A842" s="166"/>
      <c r="B842" s="167"/>
      <c r="C842" s="167"/>
      <c r="D842" s="143" t="str">
        <f>"PRD_SNJ_"&amp;
_xlfn.XLOOKUP(商品マスタ[[#This Row],[仕入先]],テーブル1[仕入先名],テーブル1[仕入先コード],"XXX",0,1)&amp;
"_"&amp;
商品マスタ[[#This Row],[シリアル]]&amp;
"_"&amp;
TEXT(COUNTIFS(商品マスタ!$C$3:C842,商品マスタ[[#This Row],[仕入先]],商品マスタ!$E$3:E842,商品マスタ[[#This Row],[商品名]]), "00")</f>
        <v>PRD_SNJ__0000_00</v>
      </c>
      <c r="E842" s="87"/>
      <c r="F842" s="87">
        <f>IF(COUNTIFS($C$3:C842,商品マスタ[[#This Row],[仕入先]],$E$3:E842,商品マスタ[[#This Row],[商品名]]) = 1, 1,0)</f>
        <v>0</v>
      </c>
      <c r="G842" s="133" t="str">
        <f>TEXT(SUMIF($C$3:C842,商品マスタ[[#This Row],[仕入先]],$F$3:F842), "0000")</f>
        <v>0000</v>
      </c>
      <c r="H842" s="87"/>
      <c r="I842" s="87"/>
      <c r="J842" s="87"/>
      <c r="K842" s="87"/>
      <c r="L842" s="134"/>
      <c r="M842" s="157"/>
      <c r="N842" s="134"/>
      <c r="O842" s="135" t="str">
        <f>IF(COUNT(商品マスタ[[#This Row],[参考上代
（税込)]]) &gt; 0, (商品マスタ[[#This Row],[参考上代
（税込)]]-商品マスタ[[#This Row],[国内定価
（15％）]])/(商品マスタ[[#This Row],[参考上代
（税込)]]/1.08), "")</f>
        <v/>
      </c>
      <c r="P842" s="136">
        <v>0.1</v>
      </c>
      <c r="Q842" s="134">
        <f>商品マスタ[[#This Row],[仕入
単価]]*商品マスタ[[#This Row],[標準国内送料率]]</f>
        <v>0</v>
      </c>
      <c r="R842" s="134"/>
      <c r="S842" s="134">
        <f>IF(ISBLANK(商品マスタ[[#This Row],[実績
国内送料]]),商品マスタ[[#This Row],[標準国内送料]],)</f>
        <v>0</v>
      </c>
      <c r="T842" s="134">
        <f>商品マスタ[[#This Row],[仕入
単価]]+商品マスタ[[#This Row],[国内送料]]</f>
        <v>0</v>
      </c>
      <c r="U842" s="134">
        <f>ROUNDUP(商品マスタ[[#This Row],[仕入単価+国内送料]]/0.8,-1)</f>
        <v>0</v>
      </c>
      <c r="V842" s="134">
        <f>商品マスタ[[#This Row],[海外定価
（20％）]]-商品マスタ[[#This Row],[仕入単価+国内送料]]</f>
        <v>0</v>
      </c>
      <c r="W842" s="87">
        <f>ROUNDUP(商品マスタ[[#This Row],[仕入単価+国内送料]]/0.85,-1)</f>
        <v>0</v>
      </c>
      <c r="X842" s="134">
        <f>商品マスタ[[#This Row],[国内定価
（15％）]]-商品マスタ[[#This Row],[仕入単価+国内送料]]</f>
        <v>0</v>
      </c>
      <c r="Y842" s="139"/>
      <c r="Z842" s="87"/>
      <c r="AA842" s="87"/>
      <c r="AB842" s="87"/>
      <c r="AC842" s="140"/>
      <c r="AD842" s="87"/>
      <c r="AE842" s="87"/>
      <c r="AF842" s="87"/>
      <c r="AG842" s="141"/>
    </row>
    <row r="843" spans="1:33" ht="18">
      <c r="A843" s="166"/>
      <c r="B843" s="167"/>
      <c r="C843" s="167"/>
      <c r="D843" s="143" t="str">
        <f>"PRD_SNJ_"&amp;
_xlfn.XLOOKUP(商品マスタ[[#This Row],[仕入先]],テーブル1[仕入先名],テーブル1[仕入先コード],"XXX",0,1)&amp;
"_"&amp;
商品マスタ[[#This Row],[シリアル]]&amp;
"_"&amp;
TEXT(COUNTIFS(商品マスタ!$C$3:C843,商品マスタ[[#This Row],[仕入先]],商品マスタ!$E$3:E843,商品マスタ[[#This Row],[商品名]]), "00")</f>
        <v>PRD_SNJ__0000_00</v>
      </c>
      <c r="E843" s="87"/>
      <c r="F843" s="87">
        <f>IF(COUNTIFS($C$3:C843,商品マスタ[[#This Row],[仕入先]],$E$3:E843,商品マスタ[[#This Row],[商品名]]) = 1, 1,0)</f>
        <v>0</v>
      </c>
      <c r="G843" s="133" t="str">
        <f>TEXT(SUMIF($C$3:C843,商品マスタ[[#This Row],[仕入先]],$F$3:F843), "0000")</f>
        <v>0000</v>
      </c>
      <c r="H843" s="87"/>
      <c r="I843" s="87"/>
      <c r="J843" s="87"/>
      <c r="K843" s="87"/>
      <c r="L843" s="134"/>
      <c r="M843" s="157"/>
      <c r="N843" s="134"/>
      <c r="O843" s="135" t="str">
        <f>IF(COUNT(商品マスタ[[#This Row],[参考上代
（税込)]]) &gt; 0, (商品マスタ[[#This Row],[参考上代
（税込)]]-商品マスタ[[#This Row],[国内定価
（15％）]])/(商品マスタ[[#This Row],[参考上代
（税込)]]/1.08), "")</f>
        <v/>
      </c>
      <c r="P843" s="136">
        <v>0.1</v>
      </c>
      <c r="Q843" s="134">
        <f>商品マスタ[[#This Row],[仕入
単価]]*商品マスタ[[#This Row],[標準国内送料率]]</f>
        <v>0</v>
      </c>
      <c r="R843" s="134"/>
      <c r="S843" s="134">
        <f>IF(ISBLANK(商品マスタ[[#This Row],[実績
国内送料]]),商品マスタ[[#This Row],[標準国内送料]],)</f>
        <v>0</v>
      </c>
      <c r="T843" s="134">
        <f>商品マスタ[[#This Row],[仕入
単価]]+商品マスタ[[#This Row],[国内送料]]</f>
        <v>0</v>
      </c>
      <c r="U843" s="134">
        <f>ROUNDUP(商品マスタ[[#This Row],[仕入単価+国内送料]]/0.8,-1)</f>
        <v>0</v>
      </c>
      <c r="V843" s="134">
        <f>商品マスタ[[#This Row],[海外定価
（20％）]]-商品マスタ[[#This Row],[仕入単価+国内送料]]</f>
        <v>0</v>
      </c>
      <c r="W843" s="87">
        <f>ROUNDUP(商品マスタ[[#This Row],[仕入単価+国内送料]]/0.85,-1)</f>
        <v>0</v>
      </c>
      <c r="X843" s="134">
        <f>商品マスタ[[#This Row],[国内定価
（15％）]]-商品マスタ[[#This Row],[仕入単価+国内送料]]</f>
        <v>0</v>
      </c>
      <c r="Y843" s="139"/>
      <c r="Z843" s="87"/>
      <c r="AA843" s="87"/>
      <c r="AB843" s="87"/>
      <c r="AC843" s="140"/>
      <c r="AD843" s="87"/>
      <c r="AE843" s="87"/>
      <c r="AF843" s="87"/>
      <c r="AG843" s="141"/>
    </row>
    <row r="844" spans="1:33" ht="18">
      <c r="A844" s="166"/>
      <c r="B844" s="167"/>
      <c r="C844" s="167"/>
      <c r="D844" s="143" t="str">
        <f>"PRD_SNJ_"&amp;
_xlfn.XLOOKUP(商品マスタ[[#This Row],[仕入先]],テーブル1[仕入先名],テーブル1[仕入先コード],"XXX",0,1)&amp;
"_"&amp;
商品マスタ[[#This Row],[シリアル]]&amp;
"_"&amp;
TEXT(COUNTIFS(商品マスタ!$C$3:C844,商品マスタ[[#This Row],[仕入先]],商品マスタ!$E$3:E844,商品マスタ[[#This Row],[商品名]]), "00")</f>
        <v>PRD_SNJ__0000_00</v>
      </c>
      <c r="E844" s="87"/>
      <c r="F844" s="87">
        <f>IF(COUNTIFS($C$3:C844,商品マスタ[[#This Row],[仕入先]],$E$3:E844,商品マスタ[[#This Row],[商品名]]) = 1, 1,0)</f>
        <v>0</v>
      </c>
      <c r="G844" s="133" t="str">
        <f>TEXT(SUMIF($C$3:C844,商品マスタ[[#This Row],[仕入先]],$F$3:F844), "0000")</f>
        <v>0000</v>
      </c>
      <c r="H844" s="87"/>
      <c r="I844" s="87"/>
      <c r="J844" s="87"/>
      <c r="K844" s="87"/>
      <c r="L844" s="134"/>
      <c r="M844" s="157"/>
      <c r="N844" s="134"/>
      <c r="O844" s="135" t="str">
        <f>IF(COUNT(商品マスタ[[#This Row],[参考上代
（税込)]]) &gt; 0, (商品マスタ[[#This Row],[参考上代
（税込)]]-商品マスタ[[#This Row],[国内定価
（15％）]])/(商品マスタ[[#This Row],[参考上代
（税込)]]/1.08), "")</f>
        <v/>
      </c>
      <c r="P844" s="136">
        <v>0.1</v>
      </c>
      <c r="Q844" s="134">
        <f>商品マスタ[[#This Row],[仕入
単価]]*商品マスタ[[#This Row],[標準国内送料率]]</f>
        <v>0</v>
      </c>
      <c r="R844" s="134"/>
      <c r="S844" s="134">
        <f>IF(ISBLANK(商品マスタ[[#This Row],[実績
国内送料]]),商品マスタ[[#This Row],[標準国内送料]],)</f>
        <v>0</v>
      </c>
      <c r="T844" s="134">
        <f>商品マスタ[[#This Row],[仕入
単価]]+商品マスタ[[#This Row],[国内送料]]</f>
        <v>0</v>
      </c>
      <c r="U844" s="134">
        <f>ROUNDUP(商品マスタ[[#This Row],[仕入単価+国内送料]]/0.8,-1)</f>
        <v>0</v>
      </c>
      <c r="V844" s="134">
        <f>商品マスタ[[#This Row],[海外定価
（20％）]]-商品マスタ[[#This Row],[仕入単価+国内送料]]</f>
        <v>0</v>
      </c>
      <c r="W844" s="87">
        <f>ROUNDUP(商品マスタ[[#This Row],[仕入単価+国内送料]]/0.85,-1)</f>
        <v>0</v>
      </c>
      <c r="X844" s="134">
        <f>商品マスタ[[#This Row],[国内定価
（15％）]]-商品マスタ[[#This Row],[仕入単価+国内送料]]</f>
        <v>0</v>
      </c>
      <c r="Y844" s="139"/>
      <c r="Z844" s="87"/>
      <c r="AA844" s="87"/>
      <c r="AB844" s="87"/>
      <c r="AC844" s="140"/>
      <c r="AD844" s="87"/>
      <c r="AE844" s="87"/>
      <c r="AF844" s="87"/>
      <c r="AG844" s="141"/>
    </row>
    <row r="845" spans="1:33" ht="18">
      <c r="A845" s="166"/>
      <c r="B845" s="167"/>
      <c r="C845" s="167"/>
      <c r="D845" s="143" t="str">
        <f>"PRD_SNJ_"&amp;
_xlfn.XLOOKUP(商品マスタ[[#This Row],[仕入先]],テーブル1[仕入先名],テーブル1[仕入先コード],"XXX",0,1)&amp;
"_"&amp;
商品マスタ[[#This Row],[シリアル]]&amp;
"_"&amp;
TEXT(COUNTIFS(商品マスタ!$C$3:C845,商品マスタ[[#This Row],[仕入先]],商品マスタ!$E$3:E845,商品マスタ[[#This Row],[商品名]]), "00")</f>
        <v>PRD_SNJ__0000_00</v>
      </c>
      <c r="E845" s="87"/>
      <c r="F845" s="87">
        <f>IF(COUNTIFS($C$3:C845,商品マスタ[[#This Row],[仕入先]],$E$3:E845,商品マスタ[[#This Row],[商品名]]) = 1, 1,0)</f>
        <v>0</v>
      </c>
      <c r="G845" s="133" t="str">
        <f>TEXT(SUMIF($C$3:C845,商品マスタ[[#This Row],[仕入先]],$F$3:F845), "0000")</f>
        <v>0000</v>
      </c>
      <c r="H845" s="87"/>
      <c r="I845" s="87"/>
      <c r="J845" s="87"/>
      <c r="K845" s="87"/>
      <c r="L845" s="134"/>
      <c r="M845" s="157"/>
      <c r="N845" s="134"/>
      <c r="O845" s="135" t="str">
        <f>IF(COUNT(商品マスタ[[#This Row],[参考上代
（税込)]]) &gt; 0, (商品マスタ[[#This Row],[参考上代
（税込)]]-商品マスタ[[#This Row],[国内定価
（15％）]])/(商品マスタ[[#This Row],[参考上代
（税込)]]/1.08), "")</f>
        <v/>
      </c>
      <c r="P845" s="136">
        <v>0.1</v>
      </c>
      <c r="Q845" s="134">
        <f>商品マスタ[[#This Row],[仕入
単価]]*商品マスタ[[#This Row],[標準国内送料率]]</f>
        <v>0</v>
      </c>
      <c r="R845" s="134"/>
      <c r="S845" s="134">
        <f>IF(ISBLANK(商品マスタ[[#This Row],[実績
国内送料]]),商品マスタ[[#This Row],[標準国内送料]],)</f>
        <v>0</v>
      </c>
      <c r="T845" s="134">
        <f>商品マスタ[[#This Row],[仕入
単価]]+商品マスタ[[#This Row],[国内送料]]</f>
        <v>0</v>
      </c>
      <c r="U845" s="134">
        <f>ROUNDUP(商品マスタ[[#This Row],[仕入単価+国内送料]]/0.8,-1)</f>
        <v>0</v>
      </c>
      <c r="V845" s="134">
        <f>商品マスタ[[#This Row],[海外定価
（20％）]]-商品マスタ[[#This Row],[仕入単価+国内送料]]</f>
        <v>0</v>
      </c>
      <c r="W845" s="87">
        <f>ROUNDUP(商品マスタ[[#This Row],[仕入単価+国内送料]]/0.85,-1)</f>
        <v>0</v>
      </c>
      <c r="X845" s="134">
        <f>商品マスタ[[#This Row],[国内定価
（15％）]]-商品マスタ[[#This Row],[仕入単価+国内送料]]</f>
        <v>0</v>
      </c>
      <c r="Y845" s="139"/>
      <c r="Z845" s="87"/>
      <c r="AA845" s="87"/>
      <c r="AB845" s="87"/>
      <c r="AC845" s="140"/>
      <c r="AD845" s="87"/>
      <c r="AE845" s="87"/>
      <c r="AF845" s="87"/>
      <c r="AG845" s="141"/>
    </row>
    <row r="846" spans="1:33" ht="18">
      <c r="A846" s="166"/>
      <c r="B846" s="167"/>
      <c r="C846" s="167"/>
      <c r="D846" s="143" t="str">
        <f>"PRD_SNJ_"&amp;
_xlfn.XLOOKUP(商品マスタ[[#This Row],[仕入先]],テーブル1[仕入先名],テーブル1[仕入先コード],"XXX",0,1)&amp;
"_"&amp;
商品マスタ[[#This Row],[シリアル]]&amp;
"_"&amp;
TEXT(COUNTIFS(商品マスタ!$C$3:C846,商品マスタ[[#This Row],[仕入先]],商品マスタ!$E$3:E846,商品マスタ[[#This Row],[商品名]]), "00")</f>
        <v>PRD_SNJ__0000_00</v>
      </c>
      <c r="E846" s="87"/>
      <c r="F846" s="87">
        <f>IF(COUNTIFS($C$3:C846,商品マスタ[[#This Row],[仕入先]],$E$3:E846,商品マスタ[[#This Row],[商品名]]) = 1, 1,0)</f>
        <v>0</v>
      </c>
      <c r="G846" s="133" t="str">
        <f>TEXT(SUMIF($C$3:C846,商品マスタ[[#This Row],[仕入先]],$F$3:F846), "0000")</f>
        <v>0000</v>
      </c>
      <c r="H846" s="87"/>
      <c r="I846" s="87"/>
      <c r="J846" s="87"/>
      <c r="K846" s="87"/>
      <c r="L846" s="134"/>
      <c r="M846" s="157"/>
      <c r="N846" s="134"/>
      <c r="O846" s="135" t="str">
        <f>IF(COUNT(商品マスタ[[#This Row],[参考上代
（税込)]]) &gt; 0, (商品マスタ[[#This Row],[参考上代
（税込)]]-商品マスタ[[#This Row],[国内定価
（15％）]])/(商品マスタ[[#This Row],[参考上代
（税込)]]/1.08), "")</f>
        <v/>
      </c>
      <c r="P846" s="136">
        <v>0.1</v>
      </c>
      <c r="Q846" s="134">
        <f>商品マスタ[[#This Row],[仕入
単価]]*商品マスタ[[#This Row],[標準国内送料率]]</f>
        <v>0</v>
      </c>
      <c r="R846" s="134"/>
      <c r="S846" s="134">
        <f>IF(ISBLANK(商品マスタ[[#This Row],[実績
国内送料]]),商品マスタ[[#This Row],[標準国内送料]],)</f>
        <v>0</v>
      </c>
      <c r="T846" s="134">
        <f>商品マスタ[[#This Row],[仕入
単価]]+商品マスタ[[#This Row],[国内送料]]</f>
        <v>0</v>
      </c>
      <c r="U846" s="134">
        <f>ROUNDUP(商品マスタ[[#This Row],[仕入単価+国内送料]]/0.8,-1)</f>
        <v>0</v>
      </c>
      <c r="V846" s="134">
        <f>商品マスタ[[#This Row],[海外定価
（20％）]]-商品マスタ[[#This Row],[仕入単価+国内送料]]</f>
        <v>0</v>
      </c>
      <c r="W846" s="87">
        <f>ROUNDUP(商品マスタ[[#This Row],[仕入単価+国内送料]]/0.85,-1)</f>
        <v>0</v>
      </c>
      <c r="X846" s="134">
        <f>商品マスタ[[#This Row],[国内定価
（15％）]]-商品マスタ[[#This Row],[仕入単価+国内送料]]</f>
        <v>0</v>
      </c>
      <c r="Y846" s="139"/>
      <c r="Z846" s="87"/>
      <c r="AA846" s="87"/>
      <c r="AB846" s="87"/>
      <c r="AC846" s="140"/>
      <c r="AD846" s="87"/>
      <c r="AE846" s="87"/>
      <c r="AF846" s="87"/>
      <c r="AG846" s="141"/>
    </row>
    <row r="847" spans="1:33" ht="18">
      <c r="A847" s="166"/>
      <c r="B847" s="167"/>
      <c r="C847" s="167"/>
      <c r="D847" s="143" t="str">
        <f>"PRD_SNJ_"&amp;
_xlfn.XLOOKUP(商品マスタ[[#This Row],[仕入先]],テーブル1[仕入先名],テーブル1[仕入先コード],"XXX",0,1)&amp;
"_"&amp;
商品マスタ[[#This Row],[シリアル]]&amp;
"_"&amp;
TEXT(COUNTIFS(商品マスタ!$C$3:C847,商品マスタ[[#This Row],[仕入先]],商品マスタ!$E$3:E847,商品マスタ[[#This Row],[商品名]]), "00")</f>
        <v>PRD_SNJ__0000_00</v>
      </c>
      <c r="E847" s="87"/>
      <c r="F847" s="87">
        <f>IF(COUNTIFS($C$3:C847,商品マスタ[[#This Row],[仕入先]],$E$3:E847,商品マスタ[[#This Row],[商品名]]) = 1, 1,0)</f>
        <v>0</v>
      </c>
      <c r="G847" s="133" t="str">
        <f>TEXT(SUMIF($C$3:C847,商品マスタ[[#This Row],[仕入先]],$F$3:F847), "0000")</f>
        <v>0000</v>
      </c>
      <c r="H847" s="87"/>
      <c r="I847" s="87"/>
      <c r="J847" s="87"/>
      <c r="K847" s="87"/>
      <c r="L847" s="134"/>
      <c r="M847" s="157"/>
      <c r="N847" s="134"/>
      <c r="O847" s="135" t="str">
        <f>IF(COUNT(商品マスタ[[#This Row],[参考上代
（税込)]]) &gt; 0, (商品マスタ[[#This Row],[参考上代
（税込)]]-商品マスタ[[#This Row],[国内定価
（15％）]])/(商品マスタ[[#This Row],[参考上代
（税込)]]/1.08), "")</f>
        <v/>
      </c>
      <c r="P847" s="136">
        <v>0.1</v>
      </c>
      <c r="Q847" s="134">
        <f>商品マスタ[[#This Row],[仕入
単価]]*商品マスタ[[#This Row],[標準国内送料率]]</f>
        <v>0</v>
      </c>
      <c r="R847" s="134"/>
      <c r="S847" s="134">
        <f>IF(ISBLANK(商品マスタ[[#This Row],[実績
国内送料]]),商品マスタ[[#This Row],[標準国内送料]],)</f>
        <v>0</v>
      </c>
      <c r="T847" s="134">
        <f>商品マスタ[[#This Row],[仕入
単価]]+商品マスタ[[#This Row],[国内送料]]</f>
        <v>0</v>
      </c>
      <c r="U847" s="134">
        <f>ROUNDUP(商品マスタ[[#This Row],[仕入単価+国内送料]]/0.8,-1)</f>
        <v>0</v>
      </c>
      <c r="V847" s="134">
        <f>商品マスタ[[#This Row],[海外定価
（20％）]]-商品マスタ[[#This Row],[仕入単価+国内送料]]</f>
        <v>0</v>
      </c>
      <c r="W847" s="87">
        <f>ROUNDUP(商品マスタ[[#This Row],[仕入単価+国内送料]]/0.85,-1)</f>
        <v>0</v>
      </c>
      <c r="X847" s="134">
        <f>商品マスタ[[#This Row],[国内定価
（15％）]]-商品マスタ[[#This Row],[仕入単価+国内送料]]</f>
        <v>0</v>
      </c>
      <c r="Y847" s="139"/>
      <c r="Z847" s="87"/>
      <c r="AA847" s="87"/>
      <c r="AB847" s="87"/>
      <c r="AC847" s="140"/>
      <c r="AD847" s="87"/>
      <c r="AE847" s="87"/>
      <c r="AF847" s="87"/>
      <c r="AG847" s="141"/>
    </row>
    <row r="848" spans="1:33" ht="18">
      <c r="A848" s="166"/>
      <c r="B848" s="167"/>
      <c r="C848" s="167"/>
      <c r="D848" s="143" t="str">
        <f>"PRD_SNJ_"&amp;
_xlfn.XLOOKUP(商品マスタ[[#This Row],[仕入先]],テーブル1[仕入先名],テーブル1[仕入先コード],"XXX",0,1)&amp;
"_"&amp;
商品マスタ[[#This Row],[シリアル]]&amp;
"_"&amp;
TEXT(COUNTIFS(商品マスタ!$C$3:C848,商品マスタ[[#This Row],[仕入先]],商品マスタ!$E$3:E848,商品マスタ[[#This Row],[商品名]]), "00")</f>
        <v>PRD_SNJ__0000_00</v>
      </c>
      <c r="E848" s="87"/>
      <c r="F848" s="87">
        <f>IF(COUNTIFS($C$3:C848,商品マスタ[[#This Row],[仕入先]],$E$3:E848,商品マスタ[[#This Row],[商品名]]) = 1, 1,0)</f>
        <v>0</v>
      </c>
      <c r="G848" s="133" t="str">
        <f>TEXT(SUMIF($C$3:C848,商品マスタ[[#This Row],[仕入先]],$F$3:F848), "0000")</f>
        <v>0000</v>
      </c>
      <c r="H848" s="87"/>
      <c r="I848" s="87"/>
      <c r="J848" s="87"/>
      <c r="K848" s="87"/>
      <c r="L848" s="134"/>
      <c r="M848" s="157"/>
      <c r="N848" s="134"/>
      <c r="O848" s="135" t="str">
        <f>IF(COUNT(商品マスタ[[#This Row],[参考上代
（税込)]]) &gt; 0, (商品マスタ[[#This Row],[参考上代
（税込)]]-商品マスタ[[#This Row],[国内定価
（15％）]])/(商品マスタ[[#This Row],[参考上代
（税込)]]/1.08), "")</f>
        <v/>
      </c>
      <c r="P848" s="136">
        <v>0.1</v>
      </c>
      <c r="Q848" s="134">
        <f>商品マスタ[[#This Row],[仕入
単価]]*商品マスタ[[#This Row],[標準国内送料率]]</f>
        <v>0</v>
      </c>
      <c r="R848" s="134"/>
      <c r="S848" s="134">
        <f>IF(ISBLANK(商品マスタ[[#This Row],[実績
国内送料]]),商品マスタ[[#This Row],[標準国内送料]],)</f>
        <v>0</v>
      </c>
      <c r="T848" s="134">
        <f>商品マスタ[[#This Row],[仕入
単価]]+商品マスタ[[#This Row],[国内送料]]</f>
        <v>0</v>
      </c>
      <c r="U848" s="134">
        <f>ROUNDUP(商品マスタ[[#This Row],[仕入単価+国内送料]]/0.8,-1)</f>
        <v>0</v>
      </c>
      <c r="V848" s="134">
        <f>商品マスタ[[#This Row],[海外定価
（20％）]]-商品マスタ[[#This Row],[仕入単価+国内送料]]</f>
        <v>0</v>
      </c>
      <c r="W848" s="87">
        <f>ROUNDUP(商品マスタ[[#This Row],[仕入単価+国内送料]]/0.85,-1)</f>
        <v>0</v>
      </c>
      <c r="X848" s="134">
        <f>商品マスタ[[#This Row],[国内定価
（15％）]]-商品マスタ[[#This Row],[仕入単価+国内送料]]</f>
        <v>0</v>
      </c>
      <c r="Y848" s="139"/>
      <c r="Z848" s="87"/>
      <c r="AA848" s="87"/>
      <c r="AB848" s="87"/>
      <c r="AC848" s="140"/>
      <c r="AD848" s="87"/>
      <c r="AE848" s="87"/>
      <c r="AF848" s="87"/>
      <c r="AG848" s="141"/>
    </row>
    <row r="849" spans="1:33" ht="18">
      <c r="A849" s="166"/>
      <c r="B849" s="167"/>
      <c r="C849" s="167"/>
      <c r="D849" s="143" t="str">
        <f>"PRD_SNJ_"&amp;
_xlfn.XLOOKUP(商品マスタ[[#This Row],[仕入先]],テーブル1[仕入先名],テーブル1[仕入先コード],"XXX",0,1)&amp;
"_"&amp;
商品マスタ[[#This Row],[シリアル]]&amp;
"_"&amp;
TEXT(COUNTIFS(商品マスタ!$C$3:C849,商品マスタ[[#This Row],[仕入先]],商品マスタ!$E$3:E849,商品マスタ[[#This Row],[商品名]]), "00")</f>
        <v>PRD_SNJ__0000_00</v>
      </c>
      <c r="E849" s="87"/>
      <c r="F849" s="87">
        <f>IF(COUNTIFS($C$3:C849,商品マスタ[[#This Row],[仕入先]],$E$3:E849,商品マスタ[[#This Row],[商品名]]) = 1, 1,0)</f>
        <v>0</v>
      </c>
      <c r="G849" s="133" t="str">
        <f>TEXT(SUMIF($C$3:C849,商品マスタ[[#This Row],[仕入先]],$F$3:F849), "0000")</f>
        <v>0000</v>
      </c>
      <c r="H849" s="87"/>
      <c r="I849" s="87"/>
      <c r="J849" s="87"/>
      <c r="K849" s="87"/>
      <c r="L849" s="134"/>
      <c r="M849" s="157"/>
      <c r="N849" s="134"/>
      <c r="O849" s="135" t="str">
        <f>IF(COUNT(商品マスタ[[#This Row],[参考上代
（税込)]]) &gt; 0, (商品マスタ[[#This Row],[参考上代
（税込)]]-商品マスタ[[#This Row],[国内定価
（15％）]])/(商品マスタ[[#This Row],[参考上代
（税込)]]/1.08), "")</f>
        <v/>
      </c>
      <c r="P849" s="136">
        <v>0.1</v>
      </c>
      <c r="Q849" s="134">
        <f>商品マスタ[[#This Row],[仕入
単価]]*商品マスタ[[#This Row],[標準国内送料率]]</f>
        <v>0</v>
      </c>
      <c r="R849" s="134"/>
      <c r="S849" s="134">
        <f>IF(ISBLANK(商品マスタ[[#This Row],[実績
国内送料]]),商品マスタ[[#This Row],[標準国内送料]],)</f>
        <v>0</v>
      </c>
      <c r="T849" s="134">
        <f>商品マスタ[[#This Row],[仕入
単価]]+商品マスタ[[#This Row],[国内送料]]</f>
        <v>0</v>
      </c>
      <c r="U849" s="134">
        <f>ROUNDUP(商品マスタ[[#This Row],[仕入単価+国内送料]]/0.8,-1)</f>
        <v>0</v>
      </c>
      <c r="V849" s="134">
        <f>商品マスタ[[#This Row],[海外定価
（20％）]]-商品マスタ[[#This Row],[仕入単価+国内送料]]</f>
        <v>0</v>
      </c>
      <c r="W849" s="87">
        <f>ROUNDUP(商品マスタ[[#This Row],[仕入単価+国内送料]]/0.85,-1)</f>
        <v>0</v>
      </c>
      <c r="X849" s="134">
        <f>商品マスタ[[#This Row],[国内定価
（15％）]]-商品マスタ[[#This Row],[仕入単価+国内送料]]</f>
        <v>0</v>
      </c>
      <c r="Y849" s="139"/>
      <c r="Z849" s="87"/>
      <c r="AA849" s="87"/>
      <c r="AB849" s="87"/>
      <c r="AC849" s="140"/>
      <c r="AD849" s="87"/>
      <c r="AE849" s="87"/>
      <c r="AF849" s="87"/>
      <c r="AG849" s="141"/>
    </row>
    <row r="850" spans="1:33" ht="18">
      <c r="A850" s="166"/>
      <c r="B850" s="167"/>
      <c r="C850" s="167"/>
      <c r="D850" s="143" t="str">
        <f>"PRD_SNJ_"&amp;
_xlfn.XLOOKUP(商品マスタ[[#This Row],[仕入先]],テーブル1[仕入先名],テーブル1[仕入先コード],"XXX",0,1)&amp;
"_"&amp;
商品マスタ[[#This Row],[シリアル]]&amp;
"_"&amp;
TEXT(COUNTIFS(商品マスタ!$C$3:C850,商品マスタ[[#This Row],[仕入先]],商品マスタ!$E$3:E850,商品マスタ[[#This Row],[商品名]]), "00")</f>
        <v>PRD_SNJ__0000_00</v>
      </c>
      <c r="E850" s="87"/>
      <c r="F850" s="87">
        <f>IF(COUNTIFS($C$3:C850,商品マスタ[[#This Row],[仕入先]],$E$3:E850,商品マスタ[[#This Row],[商品名]]) = 1, 1,0)</f>
        <v>0</v>
      </c>
      <c r="G850" s="133" t="str">
        <f>TEXT(SUMIF($C$3:C850,商品マスタ[[#This Row],[仕入先]],$F$3:F850), "0000")</f>
        <v>0000</v>
      </c>
      <c r="H850" s="87"/>
      <c r="I850" s="87"/>
      <c r="J850" s="87"/>
      <c r="K850" s="87"/>
      <c r="L850" s="134"/>
      <c r="M850" s="157"/>
      <c r="N850" s="134"/>
      <c r="O850" s="135" t="str">
        <f>IF(COUNT(商品マスタ[[#This Row],[参考上代
（税込)]]) &gt; 0, (商品マスタ[[#This Row],[参考上代
（税込)]]-商品マスタ[[#This Row],[国内定価
（15％）]])/(商品マスタ[[#This Row],[参考上代
（税込)]]/1.08), "")</f>
        <v/>
      </c>
      <c r="P850" s="136">
        <v>0.1</v>
      </c>
      <c r="Q850" s="134">
        <f>商品マスタ[[#This Row],[仕入
単価]]*商品マスタ[[#This Row],[標準国内送料率]]</f>
        <v>0</v>
      </c>
      <c r="R850" s="134"/>
      <c r="S850" s="134">
        <f>IF(ISBLANK(商品マスタ[[#This Row],[実績
国内送料]]),商品マスタ[[#This Row],[標準国内送料]],)</f>
        <v>0</v>
      </c>
      <c r="T850" s="134">
        <f>商品マスタ[[#This Row],[仕入
単価]]+商品マスタ[[#This Row],[国内送料]]</f>
        <v>0</v>
      </c>
      <c r="U850" s="134">
        <f>ROUNDUP(商品マスタ[[#This Row],[仕入単価+国内送料]]/0.8,-1)</f>
        <v>0</v>
      </c>
      <c r="V850" s="134">
        <f>商品マスタ[[#This Row],[海外定価
（20％）]]-商品マスタ[[#This Row],[仕入単価+国内送料]]</f>
        <v>0</v>
      </c>
      <c r="W850" s="87">
        <f>ROUNDUP(商品マスタ[[#This Row],[仕入単価+国内送料]]/0.85,-1)</f>
        <v>0</v>
      </c>
      <c r="X850" s="134">
        <f>商品マスタ[[#This Row],[国内定価
（15％）]]-商品マスタ[[#This Row],[仕入単価+国内送料]]</f>
        <v>0</v>
      </c>
      <c r="Y850" s="139"/>
      <c r="Z850" s="87"/>
      <c r="AA850" s="87"/>
      <c r="AB850" s="87"/>
      <c r="AC850" s="140"/>
      <c r="AD850" s="87"/>
      <c r="AE850" s="87"/>
      <c r="AF850" s="87"/>
      <c r="AG850" s="141"/>
    </row>
    <row r="851" spans="1:33" ht="18">
      <c r="A851" s="166"/>
      <c r="B851" s="167"/>
      <c r="C851" s="167"/>
      <c r="D851" s="143" t="str">
        <f>"PRD_SNJ_"&amp;
_xlfn.XLOOKUP(商品マスタ[[#This Row],[仕入先]],テーブル1[仕入先名],テーブル1[仕入先コード],"XXX",0,1)&amp;
"_"&amp;
商品マスタ[[#This Row],[シリアル]]&amp;
"_"&amp;
TEXT(COUNTIFS(商品マスタ!$C$3:C851,商品マスタ[[#This Row],[仕入先]],商品マスタ!$E$3:E851,商品マスタ[[#This Row],[商品名]]), "00")</f>
        <v>PRD_SNJ__0000_00</v>
      </c>
      <c r="E851" s="87"/>
      <c r="F851" s="87">
        <f>IF(COUNTIFS($C$3:C851,商品マスタ[[#This Row],[仕入先]],$E$3:E851,商品マスタ[[#This Row],[商品名]]) = 1, 1,0)</f>
        <v>0</v>
      </c>
      <c r="G851" s="133" t="str">
        <f>TEXT(SUMIF($C$3:C851,商品マスタ[[#This Row],[仕入先]],$F$3:F851), "0000")</f>
        <v>0000</v>
      </c>
      <c r="H851" s="87"/>
      <c r="I851" s="87"/>
      <c r="J851" s="87"/>
      <c r="K851" s="87"/>
      <c r="L851" s="134"/>
      <c r="M851" s="157"/>
      <c r="N851" s="134"/>
      <c r="O851" s="135" t="str">
        <f>IF(COUNT(商品マスタ[[#This Row],[参考上代
（税込)]]) &gt; 0, (商品マスタ[[#This Row],[参考上代
（税込)]]-商品マスタ[[#This Row],[国内定価
（15％）]])/(商品マスタ[[#This Row],[参考上代
（税込)]]/1.08), "")</f>
        <v/>
      </c>
      <c r="P851" s="136">
        <v>0.1</v>
      </c>
      <c r="Q851" s="134">
        <f>商品マスタ[[#This Row],[仕入
単価]]*商品マスタ[[#This Row],[標準国内送料率]]</f>
        <v>0</v>
      </c>
      <c r="R851" s="134"/>
      <c r="S851" s="134">
        <f>IF(ISBLANK(商品マスタ[[#This Row],[実績
国内送料]]),商品マスタ[[#This Row],[標準国内送料]],)</f>
        <v>0</v>
      </c>
      <c r="T851" s="134">
        <f>商品マスタ[[#This Row],[仕入
単価]]+商品マスタ[[#This Row],[国内送料]]</f>
        <v>0</v>
      </c>
      <c r="U851" s="134">
        <f>ROUNDUP(商品マスタ[[#This Row],[仕入単価+国内送料]]/0.8,-1)</f>
        <v>0</v>
      </c>
      <c r="V851" s="134">
        <f>商品マスタ[[#This Row],[海外定価
（20％）]]-商品マスタ[[#This Row],[仕入単価+国内送料]]</f>
        <v>0</v>
      </c>
      <c r="W851" s="87">
        <f>ROUNDUP(商品マスタ[[#This Row],[仕入単価+国内送料]]/0.85,-1)</f>
        <v>0</v>
      </c>
      <c r="X851" s="134">
        <f>商品マスタ[[#This Row],[国内定価
（15％）]]-商品マスタ[[#This Row],[仕入単価+国内送料]]</f>
        <v>0</v>
      </c>
      <c r="Y851" s="139"/>
      <c r="Z851" s="87"/>
      <c r="AA851" s="87"/>
      <c r="AB851" s="87"/>
      <c r="AC851" s="140"/>
      <c r="AD851" s="87"/>
      <c r="AE851" s="87"/>
      <c r="AF851" s="87"/>
      <c r="AG851" s="141"/>
    </row>
    <row r="852" spans="1:33" ht="18">
      <c r="A852" s="166"/>
      <c r="B852" s="167"/>
      <c r="C852" s="167"/>
      <c r="D852" s="143" t="str">
        <f>"PRD_SNJ_"&amp;
_xlfn.XLOOKUP(商品マスタ[[#This Row],[仕入先]],テーブル1[仕入先名],テーブル1[仕入先コード],"XXX",0,1)&amp;
"_"&amp;
商品マスタ[[#This Row],[シリアル]]&amp;
"_"&amp;
TEXT(COUNTIFS(商品マスタ!$C$3:C852,商品マスタ[[#This Row],[仕入先]],商品マスタ!$E$3:E852,商品マスタ[[#This Row],[商品名]]), "00")</f>
        <v>PRD_SNJ__0000_00</v>
      </c>
      <c r="E852" s="87"/>
      <c r="F852" s="87">
        <f>IF(COUNTIFS($C$3:C852,商品マスタ[[#This Row],[仕入先]],$E$3:E852,商品マスタ[[#This Row],[商品名]]) = 1, 1,0)</f>
        <v>0</v>
      </c>
      <c r="G852" s="133" t="str">
        <f>TEXT(SUMIF($C$3:C852,商品マスタ[[#This Row],[仕入先]],$F$3:F852), "0000")</f>
        <v>0000</v>
      </c>
      <c r="H852" s="87"/>
      <c r="I852" s="87"/>
      <c r="J852" s="87"/>
      <c r="K852" s="87"/>
      <c r="L852" s="134"/>
      <c r="M852" s="157"/>
      <c r="N852" s="134"/>
      <c r="O852" s="135" t="str">
        <f>IF(COUNT(商品マスタ[[#This Row],[参考上代
（税込)]]) &gt; 0, (商品マスタ[[#This Row],[参考上代
（税込)]]-商品マスタ[[#This Row],[国内定価
（15％）]])/(商品マスタ[[#This Row],[参考上代
（税込)]]/1.08), "")</f>
        <v/>
      </c>
      <c r="P852" s="136">
        <v>0.1</v>
      </c>
      <c r="Q852" s="134">
        <f>商品マスタ[[#This Row],[仕入
単価]]*商品マスタ[[#This Row],[標準国内送料率]]</f>
        <v>0</v>
      </c>
      <c r="R852" s="134"/>
      <c r="S852" s="134">
        <f>IF(ISBLANK(商品マスタ[[#This Row],[実績
国内送料]]),商品マスタ[[#This Row],[標準国内送料]],)</f>
        <v>0</v>
      </c>
      <c r="T852" s="134">
        <f>商品マスタ[[#This Row],[仕入
単価]]+商品マスタ[[#This Row],[国内送料]]</f>
        <v>0</v>
      </c>
      <c r="U852" s="134">
        <f>ROUNDUP(商品マスタ[[#This Row],[仕入単価+国内送料]]/0.8,-1)</f>
        <v>0</v>
      </c>
      <c r="V852" s="134">
        <f>商品マスタ[[#This Row],[海外定価
（20％）]]-商品マスタ[[#This Row],[仕入単価+国内送料]]</f>
        <v>0</v>
      </c>
      <c r="W852" s="87">
        <f>ROUNDUP(商品マスタ[[#This Row],[仕入単価+国内送料]]/0.85,-1)</f>
        <v>0</v>
      </c>
      <c r="X852" s="134">
        <f>商品マスタ[[#This Row],[国内定価
（15％）]]-商品マスタ[[#This Row],[仕入単価+国内送料]]</f>
        <v>0</v>
      </c>
      <c r="Y852" s="139"/>
      <c r="Z852" s="87"/>
      <c r="AA852" s="87"/>
      <c r="AB852" s="87"/>
      <c r="AC852" s="140"/>
      <c r="AD852" s="87"/>
      <c r="AE852" s="87"/>
      <c r="AF852" s="87"/>
      <c r="AG852" s="141"/>
    </row>
    <row r="853" spans="1:33" ht="18">
      <c r="A853" s="166"/>
      <c r="B853" s="167"/>
      <c r="C853" s="167"/>
      <c r="D853" s="143" t="str">
        <f>"PRD_SNJ_"&amp;
_xlfn.XLOOKUP(商品マスタ[[#This Row],[仕入先]],テーブル1[仕入先名],テーブル1[仕入先コード],"XXX",0,1)&amp;
"_"&amp;
商品マスタ[[#This Row],[シリアル]]&amp;
"_"&amp;
TEXT(COUNTIFS(商品マスタ!$C$3:C853,商品マスタ[[#This Row],[仕入先]],商品マスタ!$E$3:E853,商品マスタ[[#This Row],[商品名]]), "00")</f>
        <v>PRD_SNJ__0000_00</v>
      </c>
      <c r="E853" s="87"/>
      <c r="F853" s="87">
        <f>IF(COUNTIFS($C$3:C853,商品マスタ[[#This Row],[仕入先]],$E$3:E853,商品マスタ[[#This Row],[商品名]]) = 1, 1,0)</f>
        <v>0</v>
      </c>
      <c r="G853" s="133" t="str">
        <f>TEXT(SUMIF($C$3:C853,商品マスタ[[#This Row],[仕入先]],$F$3:F853), "0000")</f>
        <v>0000</v>
      </c>
      <c r="H853" s="87"/>
      <c r="I853" s="87"/>
      <c r="J853" s="87"/>
      <c r="K853" s="87"/>
      <c r="L853" s="134"/>
      <c r="M853" s="157"/>
      <c r="N853" s="134"/>
      <c r="O853" s="135" t="str">
        <f>IF(COUNT(商品マスタ[[#This Row],[参考上代
（税込)]]) &gt; 0, (商品マスタ[[#This Row],[参考上代
（税込)]]-商品マスタ[[#This Row],[国内定価
（15％）]])/(商品マスタ[[#This Row],[参考上代
（税込)]]/1.08), "")</f>
        <v/>
      </c>
      <c r="P853" s="136">
        <v>0.1</v>
      </c>
      <c r="Q853" s="134">
        <f>商品マスタ[[#This Row],[仕入
単価]]*商品マスタ[[#This Row],[標準国内送料率]]</f>
        <v>0</v>
      </c>
      <c r="R853" s="134"/>
      <c r="S853" s="134">
        <f>IF(ISBLANK(商品マスタ[[#This Row],[実績
国内送料]]),商品マスタ[[#This Row],[標準国内送料]],)</f>
        <v>0</v>
      </c>
      <c r="T853" s="134">
        <f>商品マスタ[[#This Row],[仕入
単価]]+商品マスタ[[#This Row],[国内送料]]</f>
        <v>0</v>
      </c>
      <c r="U853" s="134">
        <f>ROUNDUP(商品マスタ[[#This Row],[仕入単価+国内送料]]/0.8,-1)</f>
        <v>0</v>
      </c>
      <c r="V853" s="134">
        <f>商品マスタ[[#This Row],[海外定価
（20％）]]-商品マスタ[[#This Row],[仕入単価+国内送料]]</f>
        <v>0</v>
      </c>
      <c r="W853" s="87">
        <f>ROUNDUP(商品マスタ[[#This Row],[仕入単価+国内送料]]/0.85,-1)</f>
        <v>0</v>
      </c>
      <c r="X853" s="134">
        <f>商品マスタ[[#This Row],[国内定価
（15％）]]-商品マスタ[[#This Row],[仕入単価+国内送料]]</f>
        <v>0</v>
      </c>
      <c r="Y853" s="139"/>
      <c r="Z853" s="87"/>
      <c r="AA853" s="87"/>
      <c r="AB853" s="87"/>
      <c r="AC853" s="140"/>
      <c r="AD853" s="87"/>
      <c r="AE853" s="87"/>
      <c r="AF853" s="87"/>
      <c r="AG853" s="141"/>
    </row>
    <row r="854" spans="1:33" ht="18">
      <c r="A854" s="166"/>
      <c r="B854" s="167"/>
      <c r="C854" s="167"/>
      <c r="D854" s="143" t="str">
        <f>"PRD_SNJ_"&amp;
_xlfn.XLOOKUP(商品マスタ[[#This Row],[仕入先]],テーブル1[仕入先名],テーブル1[仕入先コード],"XXX",0,1)&amp;
"_"&amp;
商品マスタ[[#This Row],[シリアル]]&amp;
"_"&amp;
TEXT(COUNTIFS(商品マスタ!$C$3:C854,商品マスタ[[#This Row],[仕入先]],商品マスタ!$E$3:E854,商品マスタ[[#This Row],[商品名]]), "00")</f>
        <v>PRD_SNJ__0000_00</v>
      </c>
      <c r="E854" s="87"/>
      <c r="F854" s="87">
        <f>IF(COUNTIFS($C$3:C854,商品マスタ[[#This Row],[仕入先]],$E$3:E854,商品マスタ[[#This Row],[商品名]]) = 1, 1,0)</f>
        <v>0</v>
      </c>
      <c r="G854" s="133" t="str">
        <f>TEXT(SUMIF($C$3:C854,商品マスタ[[#This Row],[仕入先]],$F$3:F854), "0000")</f>
        <v>0000</v>
      </c>
      <c r="H854" s="87"/>
      <c r="I854" s="87"/>
      <c r="J854" s="87"/>
      <c r="K854" s="87"/>
      <c r="L854" s="134"/>
      <c r="M854" s="157"/>
      <c r="N854" s="134"/>
      <c r="O854" s="135" t="str">
        <f>IF(COUNT(商品マスタ[[#This Row],[参考上代
（税込)]]) &gt; 0, (商品マスタ[[#This Row],[参考上代
（税込)]]-商品マスタ[[#This Row],[国内定価
（15％）]])/(商品マスタ[[#This Row],[参考上代
（税込)]]/1.08), "")</f>
        <v/>
      </c>
      <c r="P854" s="136">
        <v>0.1</v>
      </c>
      <c r="Q854" s="134">
        <f>商品マスタ[[#This Row],[仕入
単価]]*商品マスタ[[#This Row],[標準国内送料率]]</f>
        <v>0</v>
      </c>
      <c r="R854" s="134"/>
      <c r="S854" s="134">
        <f>IF(ISBLANK(商品マスタ[[#This Row],[実績
国内送料]]),商品マスタ[[#This Row],[標準国内送料]],)</f>
        <v>0</v>
      </c>
      <c r="T854" s="134">
        <f>商品マスタ[[#This Row],[仕入
単価]]+商品マスタ[[#This Row],[国内送料]]</f>
        <v>0</v>
      </c>
      <c r="U854" s="134">
        <f>ROUNDUP(商品マスタ[[#This Row],[仕入単価+国内送料]]/0.8,-1)</f>
        <v>0</v>
      </c>
      <c r="V854" s="134">
        <f>商品マスタ[[#This Row],[海外定価
（20％）]]-商品マスタ[[#This Row],[仕入単価+国内送料]]</f>
        <v>0</v>
      </c>
      <c r="W854" s="87">
        <f>ROUNDUP(商品マスタ[[#This Row],[仕入単価+国内送料]]/0.85,-1)</f>
        <v>0</v>
      </c>
      <c r="X854" s="134">
        <f>商品マスタ[[#This Row],[国内定価
（15％）]]-商品マスタ[[#This Row],[仕入単価+国内送料]]</f>
        <v>0</v>
      </c>
      <c r="Y854" s="139"/>
      <c r="Z854" s="87"/>
      <c r="AA854" s="87"/>
      <c r="AB854" s="87"/>
      <c r="AC854" s="140"/>
      <c r="AD854" s="87"/>
      <c r="AE854" s="87"/>
      <c r="AF854" s="87"/>
      <c r="AG854" s="141"/>
    </row>
    <row r="855" spans="1:33" ht="18">
      <c r="A855" s="166"/>
      <c r="B855" s="167"/>
      <c r="C855" s="167"/>
      <c r="D855" s="143" t="str">
        <f>"PRD_SNJ_"&amp;
_xlfn.XLOOKUP(商品マスタ[[#This Row],[仕入先]],テーブル1[仕入先名],テーブル1[仕入先コード],"XXX",0,1)&amp;
"_"&amp;
商品マスタ[[#This Row],[シリアル]]&amp;
"_"&amp;
TEXT(COUNTIFS(商品マスタ!$C$3:C855,商品マスタ[[#This Row],[仕入先]],商品マスタ!$E$3:E855,商品マスタ[[#This Row],[商品名]]), "00")</f>
        <v>PRD_SNJ__0000_00</v>
      </c>
      <c r="E855" s="87"/>
      <c r="F855" s="87">
        <f>IF(COUNTIFS($C$3:C855,商品マスタ[[#This Row],[仕入先]],$E$3:E855,商品マスタ[[#This Row],[商品名]]) = 1, 1,0)</f>
        <v>0</v>
      </c>
      <c r="G855" s="133" t="str">
        <f>TEXT(SUMIF($C$3:C855,商品マスタ[[#This Row],[仕入先]],$F$3:F855), "0000")</f>
        <v>0000</v>
      </c>
      <c r="H855" s="87"/>
      <c r="I855" s="87"/>
      <c r="J855" s="87"/>
      <c r="K855" s="87"/>
      <c r="L855" s="134"/>
      <c r="M855" s="157"/>
      <c r="N855" s="134"/>
      <c r="O855" s="135" t="str">
        <f>IF(COUNT(商品マスタ[[#This Row],[参考上代
（税込)]]) &gt; 0, (商品マスタ[[#This Row],[参考上代
（税込)]]-商品マスタ[[#This Row],[国内定価
（15％）]])/(商品マスタ[[#This Row],[参考上代
（税込)]]/1.08), "")</f>
        <v/>
      </c>
      <c r="P855" s="136">
        <v>0.1</v>
      </c>
      <c r="Q855" s="134">
        <f>商品マスタ[[#This Row],[仕入
単価]]*商品マスタ[[#This Row],[標準国内送料率]]</f>
        <v>0</v>
      </c>
      <c r="R855" s="134"/>
      <c r="S855" s="134">
        <f>IF(ISBLANK(商品マスタ[[#This Row],[実績
国内送料]]),商品マスタ[[#This Row],[標準国内送料]],)</f>
        <v>0</v>
      </c>
      <c r="T855" s="134">
        <f>商品マスタ[[#This Row],[仕入
単価]]+商品マスタ[[#This Row],[国内送料]]</f>
        <v>0</v>
      </c>
      <c r="U855" s="134">
        <f>ROUNDUP(商品マスタ[[#This Row],[仕入単価+国内送料]]/0.8,-1)</f>
        <v>0</v>
      </c>
      <c r="V855" s="134">
        <f>商品マスタ[[#This Row],[海外定価
（20％）]]-商品マスタ[[#This Row],[仕入単価+国内送料]]</f>
        <v>0</v>
      </c>
      <c r="W855" s="87">
        <f>ROUNDUP(商品マスタ[[#This Row],[仕入単価+国内送料]]/0.85,-1)</f>
        <v>0</v>
      </c>
      <c r="X855" s="134">
        <f>商品マスタ[[#This Row],[国内定価
（15％）]]-商品マスタ[[#This Row],[仕入単価+国内送料]]</f>
        <v>0</v>
      </c>
      <c r="Y855" s="139"/>
      <c r="Z855" s="87"/>
      <c r="AA855" s="87"/>
      <c r="AB855" s="87"/>
      <c r="AC855" s="140"/>
      <c r="AD855" s="87"/>
      <c r="AE855" s="87"/>
      <c r="AF855" s="87"/>
      <c r="AG855" s="141"/>
    </row>
    <row r="856" spans="1:33" ht="18">
      <c r="A856" s="166"/>
      <c r="B856" s="167"/>
      <c r="C856" s="167"/>
      <c r="D856" s="143" t="str">
        <f>"PRD_SNJ_"&amp;
_xlfn.XLOOKUP(商品マスタ[[#This Row],[仕入先]],テーブル1[仕入先名],テーブル1[仕入先コード],"XXX",0,1)&amp;
"_"&amp;
商品マスタ[[#This Row],[シリアル]]&amp;
"_"&amp;
TEXT(COUNTIFS(商品マスタ!$C$3:C856,商品マスタ[[#This Row],[仕入先]],商品マスタ!$E$3:E856,商品マスタ[[#This Row],[商品名]]), "00")</f>
        <v>PRD_SNJ__0000_00</v>
      </c>
      <c r="E856" s="87"/>
      <c r="F856" s="87">
        <f>IF(COUNTIFS($C$3:C856,商品マスタ[[#This Row],[仕入先]],$E$3:E856,商品マスタ[[#This Row],[商品名]]) = 1, 1,0)</f>
        <v>0</v>
      </c>
      <c r="G856" s="133" t="str">
        <f>TEXT(SUMIF($C$3:C856,商品マスタ[[#This Row],[仕入先]],$F$3:F856), "0000")</f>
        <v>0000</v>
      </c>
      <c r="H856" s="87"/>
      <c r="I856" s="87"/>
      <c r="J856" s="87"/>
      <c r="K856" s="87"/>
      <c r="L856" s="134"/>
      <c r="M856" s="157"/>
      <c r="N856" s="134"/>
      <c r="O856" s="135" t="str">
        <f>IF(COUNT(商品マスタ[[#This Row],[参考上代
（税込)]]) &gt; 0, (商品マスタ[[#This Row],[参考上代
（税込)]]-商品マスタ[[#This Row],[国内定価
（15％）]])/(商品マスタ[[#This Row],[参考上代
（税込)]]/1.08), "")</f>
        <v/>
      </c>
      <c r="P856" s="136">
        <v>0.1</v>
      </c>
      <c r="Q856" s="134">
        <f>商品マスタ[[#This Row],[仕入
単価]]*商品マスタ[[#This Row],[標準国内送料率]]</f>
        <v>0</v>
      </c>
      <c r="R856" s="134"/>
      <c r="S856" s="134">
        <f>IF(ISBLANK(商品マスタ[[#This Row],[実績
国内送料]]),商品マスタ[[#This Row],[標準国内送料]],)</f>
        <v>0</v>
      </c>
      <c r="T856" s="134">
        <f>商品マスタ[[#This Row],[仕入
単価]]+商品マスタ[[#This Row],[国内送料]]</f>
        <v>0</v>
      </c>
      <c r="U856" s="134">
        <f>ROUNDUP(商品マスタ[[#This Row],[仕入単価+国内送料]]/0.8,-1)</f>
        <v>0</v>
      </c>
      <c r="V856" s="134">
        <f>商品マスタ[[#This Row],[海外定価
（20％）]]-商品マスタ[[#This Row],[仕入単価+国内送料]]</f>
        <v>0</v>
      </c>
      <c r="W856" s="87">
        <f>ROUNDUP(商品マスタ[[#This Row],[仕入単価+国内送料]]/0.85,-1)</f>
        <v>0</v>
      </c>
      <c r="X856" s="134">
        <f>商品マスタ[[#This Row],[国内定価
（15％）]]-商品マスタ[[#This Row],[仕入単価+国内送料]]</f>
        <v>0</v>
      </c>
      <c r="Y856" s="139"/>
      <c r="Z856" s="87"/>
      <c r="AA856" s="87"/>
      <c r="AB856" s="87"/>
      <c r="AC856" s="140"/>
      <c r="AD856" s="87"/>
      <c r="AE856" s="87"/>
      <c r="AF856" s="87"/>
      <c r="AG856" s="141"/>
    </row>
    <row r="857" spans="1:33" ht="18">
      <c r="A857" s="166"/>
      <c r="B857" s="167"/>
      <c r="C857" s="167"/>
      <c r="D857" s="143" t="str">
        <f>"PRD_SNJ_"&amp;
_xlfn.XLOOKUP(商品マスタ[[#This Row],[仕入先]],テーブル1[仕入先名],テーブル1[仕入先コード],"XXX",0,1)&amp;
"_"&amp;
商品マスタ[[#This Row],[シリアル]]&amp;
"_"&amp;
TEXT(COUNTIFS(商品マスタ!$C$3:C857,商品マスタ[[#This Row],[仕入先]],商品マスタ!$E$3:E857,商品マスタ[[#This Row],[商品名]]), "00")</f>
        <v>PRD_SNJ__0000_00</v>
      </c>
      <c r="E857" s="87"/>
      <c r="F857" s="87">
        <f>IF(COUNTIFS($C$3:C857,商品マスタ[[#This Row],[仕入先]],$E$3:E857,商品マスタ[[#This Row],[商品名]]) = 1, 1,0)</f>
        <v>0</v>
      </c>
      <c r="G857" s="133" t="str">
        <f>TEXT(SUMIF($C$3:C857,商品マスタ[[#This Row],[仕入先]],$F$3:F857), "0000")</f>
        <v>0000</v>
      </c>
      <c r="H857" s="87"/>
      <c r="I857" s="87"/>
      <c r="J857" s="87"/>
      <c r="K857" s="87"/>
      <c r="L857" s="134"/>
      <c r="M857" s="157"/>
      <c r="N857" s="134"/>
      <c r="O857" s="135" t="str">
        <f>IF(COUNT(商品マスタ[[#This Row],[参考上代
（税込)]]) &gt; 0, (商品マスタ[[#This Row],[参考上代
（税込)]]-商品マスタ[[#This Row],[国内定価
（15％）]])/(商品マスタ[[#This Row],[参考上代
（税込)]]/1.08), "")</f>
        <v/>
      </c>
      <c r="P857" s="136">
        <v>0.1</v>
      </c>
      <c r="Q857" s="134">
        <f>商品マスタ[[#This Row],[仕入
単価]]*商品マスタ[[#This Row],[標準国内送料率]]</f>
        <v>0</v>
      </c>
      <c r="R857" s="134"/>
      <c r="S857" s="134">
        <f>IF(ISBLANK(商品マスタ[[#This Row],[実績
国内送料]]),商品マスタ[[#This Row],[標準国内送料]],)</f>
        <v>0</v>
      </c>
      <c r="T857" s="134">
        <f>商品マスタ[[#This Row],[仕入
単価]]+商品マスタ[[#This Row],[国内送料]]</f>
        <v>0</v>
      </c>
      <c r="U857" s="134">
        <f>ROUNDUP(商品マスタ[[#This Row],[仕入単価+国内送料]]/0.8,-1)</f>
        <v>0</v>
      </c>
      <c r="V857" s="134">
        <f>商品マスタ[[#This Row],[海外定価
（20％）]]-商品マスタ[[#This Row],[仕入単価+国内送料]]</f>
        <v>0</v>
      </c>
      <c r="W857" s="87">
        <f>ROUNDUP(商品マスタ[[#This Row],[仕入単価+国内送料]]/0.85,-1)</f>
        <v>0</v>
      </c>
      <c r="X857" s="134">
        <f>商品マスタ[[#This Row],[国内定価
（15％）]]-商品マスタ[[#This Row],[仕入単価+国内送料]]</f>
        <v>0</v>
      </c>
      <c r="Y857" s="139"/>
      <c r="Z857" s="87"/>
      <c r="AA857" s="87"/>
      <c r="AB857" s="87"/>
      <c r="AC857" s="140"/>
      <c r="AD857" s="87"/>
      <c r="AE857" s="87"/>
      <c r="AF857" s="87"/>
      <c r="AG857" s="141"/>
    </row>
    <row r="858" spans="1:33" ht="18">
      <c r="A858" s="166"/>
      <c r="B858" s="167"/>
      <c r="C858" s="167"/>
      <c r="D858" s="143" t="str">
        <f>"PRD_SNJ_"&amp;
_xlfn.XLOOKUP(商品マスタ[[#This Row],[仕入先]],テーブル1[仕入先名],テーブル1[仕入先コード],"XXX",0,1)&amp;
"_"&amp;
商品マスタ[[#This Row],[シリアル]]&amp;
"_"&amp;
TEXT(COUNTIFS(商品マスタ!$C$3:C858,商品マスタ[[#This Row],[仕入先]],商品マスタ!$E$3:E858,商品マスタ[[#This Row],[商品名]]), "00")</f>
        <v>PRD_SNJ__0000_00</v>
      </c>
      <c r="E858" s="87"/>
      <c r="F858" s="87">
        <f>IF(COUNTIFS($C$3:C858,商品マスタ[[#This Row],[仕入先]],$E$3:E858,商品マスタ[[#This Row],[商品名]]) = 1, 1,0)</f>
        <v>0</v>
      </c>
      <c r="G858" s="133" t="str">
        <f>TEXT(SUMIF($C$3:C858,商品マスタ[[#This Row],[仕入先]],$F$3:F858), "0000")</f>
        <v>0000</v>
      </c>
      <c r="H858" s="87"/>
      <c r="I858" s="87"/>
      <c r="J858" s="87"/>
      <c r="K858" s="87"/>
      <c r="L858" s="134"/>
      <c r="M858" s="157"/>
      <c r="N858" s="134"/>
      <c r="O858" s="135" t="str">
        <f>IF(COUNT(商品マスタ[[#This Row],[参考上代
（税込)]]) &gt; 0, (商品マスタ[[#This Row],[参考上代
（税込)]]-商品マスタ[[#This Row],[国内定価
（15％）]])/(商品マスタ[[#This Row],[参考上代
（税込)]]/1.08), "")</f>
        <v/>
      </c>
      <c r="P858" s="136">
        <v>0.1</v>
      </c>
      <c r="Q858" s="134">
        <f>商品マスタ[[#This Row],[仕入
単価]]*商品マスタ[[#This Row],[標準国内送料率]]</f>
        <v>0</v>
      </c>
      <c r="R858" s="134"/>
      <c r="S858" s="134">
        <f>IF(ISBLANK(商品マスタ[[#This Row],[実績
国内送料]]),商品マスタ[[#This Row],[標準国内送料]],)</f>
        <v>0</v>
      </c>
      <c r="T858" s="134">
        <f>商品マスタ[[#This Row],[仕入
単価]]+商品マスタ[[#This Row],[国内送料]]</f>
        <v>0</v>
      </c>
      <c r="U858" s="134">
        <f>ROUNDUP(商品マスタ[[#This Row],[仕入単価+国内送料]]/0.8,-1)</f>
        <v>0</v>
      </c>
      <c r="V858" s="134">
        <f>商品マスタ[[#This Row],[海外定価
（20％）]]-商品マスタ[[#This Row],[仕入単価+国内送料]]</f>
        <v>0</v>
      </c>
      <c r="W858" s="87">
        <f>ROUNDUP(商品マスタ[[#This Row],[仕入単価+国内送料]]/0.85,-1)</f>
        <v>0</v>
      </c>
      <c r="X858" s="134">
        <f>商品マスタ[[#This Row],[国内定価
（15％）]]-商品マスタ[[#This Row],[仕入単価+国内送料]]</f>
        <v>0</v>
      </c>
      <c r="Y858" s="139"/>
      <c r="Z858" s="87"/>
      <c r="AA858" s="87"/>
      <c r="AB858" s="87"/>
      <c r="AC858" s="140"/>
      <c r="AD858" s="87"/>
      <c r="AE858" s="87"/>
      <c r="AF858" s="87"/>
      <c r="AG858" s="141"/>
    </row>
    <row r="859" spans="1:33" ht="18">
      <c r="A859" s="166"/>
      <c r="B859" s="167"/>
      <c r="C859" s="167"/>
      <c r="D859" s="143" t="str">
        <f>"PRD_SNJ_"&amp;
_xlfn.XLOOKUP(商品マスタ[[#This Row],[仕入先]],テーブル1[仕入先名],テーブル1[仕入先コード],"XXX",0,1)&amp;
"_"&amp;
商品マスタ[[#This Row],[シリアル]]&amp;
"_"&amp;
TEXT(COUNTIFS(商品マスタ!$C$3:C859,商品マスタ[[#This Row],[仕入先]],商品マスタ!$E$3:E859,商品マスタ[[#This Row],[商品名]]), "00")</f>
        <v>PRD_SNJ__0000_00</v>
      </c>
      <c r="E859" s="87"/>
      <c r="F859" s="87">
        <f>IF(COUNTIFS($C$3:C859,商品マスタ[[#This Row],[仕入先]],$E$3:E859,商品マスタ[[#This Row],[商品名]]) = 1, 1,0)</f>
        <v>0</v>
      </c>
      <c r="G859" s="133" t="str">
        <f>TEXT(SUMIF($C$3:C859,商品マスタ[[#This Row],[仕入先]],$F$3:F859), "0000")</f>
        <v>0000</v>
      </c>
      <c r="H859" s="87"/>
      <c r="I859" s="87"/>
      <c r="J859" s="87"/>
      <c r="K859" s="87"/>
      <c r="L859" s="134"/>
      <c r="M859" s="157"/>
      <c r="N859" s="134"/>
      <c r="O859" s="135" t="str">
        <f>IF(COUNT(商品マスタ[[#This Row],[参考上代
（税込)]]) &gt; 0, (商品マスタ[[#This Row],[参考上代
（税込)]]-商品マスタ[[#This Row],[国内定価
（15％）]])/(商品マスタ[[#This Row],[参考上代
（税込)]]/1.08), "")</f>
        <v/>
      </c>
      <c r="P859" s="136">
        <v>0.1</v>
      </c>
      <c r="Q859" s="134">
        <f>商品マスタ[[#This Row],[仕入
単価]]*商品マスタ[[#This Row],[標準国内送料率]]</f>
        <v>0</v>
      </c>
      <c r="R859" s="134"/>
      <c r="S859" s="134">
        <f>IF(ISBLANK(商品マスタ[[#This Row],[実績
国内送料]]),商品マスタ[[#This Row],[標準国内送料]],)</f>
        <v>0</v>
      </c>
      <c r="T859" s="134">
        <f>商品マスタ[[#This Row],[仕入
単価]]+商品マスタ[[#This Row],[国内送料]]</f>
        <v>0</v>
      </c>
      <c r="U859" s="134">
        <f>ROUNDUP(商品マスタ[[#This Row],[仕入単価+国内送料]]/0.8,-1)</f>
        <v>0</v>
      </c>
      <c r="V859" s="134">
        <f>商品マスタ[[#This Row],[海外定価
（20％）]]-商品マスタ[[#This Row],[仕入単価+国内送料]]</f>
        <v>0</v>
      </c>
      <c r="W859" s="87">
        <f>ROUNDUP(商品マスタ[[#This Row],[仕入単価+国内送料]]/0.85,-1)</f>
        <v>0</v>
      </c>
      <c r="X859" s="134">
        <f>商品マスタ[[#This Row],[国内定価
（15％）]]-商品マスタ[[#This Row],[仕入単価+国内送料]]</f>
        <v>0</v>
      </c>
      <c r="Y859" s="139"/>
      <c r="Z859" s="87"/>
      <c r="AA859" s="87"/>
      <c r="AB859" s="87"/>
      <c r="AC859" s="140"/>
      <c r="AD859" s="87"/>
      <c r="AE859" s="87"/>
      <c r="AF859" s="87"/>
      <c r="AG859" s="141"/>
    </row>
    <row r="860" spans="1:33" ht="18">
      <c r="A860" s="166"/>
      <c r="B860" s="167"/>
      <c r="C860" s="167"/>
      <c r="D860" s="143" t="str">
        <f>"PRD_SNJ_"&amp;
_xlfn.XLOOKUP(商品マスタ[[#This Row],[仕入先]],テーブル1[仕入先名],テーブル1[仕入先コード],"XXX",0,1)&amp;
"_"&amp;
商品マスタ[[#This Row],[シリアル]]&amp;
"_"&amp;
TEXT(COUNTIFS(商品マスタ!$C$3:C860,商品マスタ[[#This Row],[仕入先]],商品マスタ!$E$3:E860,商品マスタ[[#This Row],[商品名]]), "00")</f>
        <v>PRD_SNJ__0000_00</v>
      </c>
      <c r="E860" s="87"/>
      <c r="F860" s="87">
        <f>IF(COUNTIFS($C$3:C860,商品マスタ[[#This Row],[仕入先]],$E$3:E860,商品マスタ[[#This Row],[商品名]]) = 1, 1,0)</f>
        <v>0</v>
      </c>
      <c r="G860" s="133" t="str">
        <f>TEXT(SUMIF($C$3:C860,商品マスタ[[#This Row],[仕入先]],$F$3:F860), "0000")</f>
        <v>0000</v>
      </c>
      <c r="H860" s="87"/>
      <c r="I860" s="87"/>
      <c r="J860" s="87"/>
      <c r="K860" s="87"/>
      <c r="L860" s="134"/>
      <c r="M860" s="157"/>
      <c r="N860" s="134"/>
      <c r="O860" s="135" t="str">
        <f>IF(COUNT(商品マスタ[[#This Row],[参考上代
（税込)]]) &gt; 0, (商品マスタ[[#This Row],[参考上代
（税込)]]-商品マスタ[[#This Row],[国内定価
（15％）]])/(商品マスタ[[#This Row],[参考上代
（税込)]]/1.08), "")</f>
        <v/>
      </c>
      <c r="P860" s="136">
        <v>0.1</v>
      </c>
      <c r="Q860" s="134">
        <f>商品マスタ[[#This Row],[仕入
単価]]*商品マスタ[[#This Row],[標準国内送料率]]</f>
        <v>0</v>
      </c>
      <c r="R860" s="134"/>
      <c r="S860" s="134">
        <f>IF(ISBLANK(商品マスタ[[#This Row],[実績
国内送料]]),商品マスタ[[#This Row],[標準国内送料]],)</f>
        <v>0</v>
      </c>
      <c r="T860" s="134">
        <f>商品マスタ[[#This Row],[仕入
単価]]+商品マスタ[[#This Row],[国内送料]]</f>
        <v>0</v>
      </c>
      <c r="U860" s="134">
        <f>ROUNDUP(商品マスタ[[#This Row],[仕入単価+国内送料]]/0.8,-1)</f>
        <v>0</v>
      </c>
      <c r="V860" s="134">
        <f>商品マスタ[[#This Row],[海外定価
（20％）]]-商品マスタ[[#This Row],[仕入単価+国内送料]]</f>
        <v>0</v>
      </c>
      <c r="W860" s="87">
        <f>ROUNDUP(商品マスタ[[#This Row],[仕入単価+国内送料]]/0.85,-1)</f>
        <v>0</v>
      </c>
      <c r="X860" s="134">
        <f>商品マスタ[[#This Row],[国内定価
（15％）]]-商品マスタ[[#This Row],[仕入単価+国内送料]]</f>
        <v>0</v>
      </c>
      <c r="Y860" s="139"/>
      <c r="Z860" s="87"/>
      <c r="AA860" s="87"/>
      <c r="AB860" s="87"/>
      <c r="AC860" s="140"/>
      <c r="AD860" s="87"/>
      <c r="AE860" s="87"/>
      <c r="AF860" s="87"/>
      <c r="AG860" s="141"/>
    </row>
    <row r="861" spans="1:33" ht="18">
      <c r="A861" s="166"/>
      <c r="B861" s="167"/>
      <c r="C861" s="167"/>
      <c r="D861" s="143" t="str">
        <f>"PRD_SNJ_"&amp;
_xlfn.XLOOKUP(商品マスタ[[#This Row],[仕入先]],テーブル1[仕入先名],テーブル1[仕入先コード],"XXX",0,1)&amp;
"_"&amp;
商品マスタ[[#This Row],[シリアル]]&amp;
"_"&amp;
TEXT(COUNTIFS(商品マスタ!$C$3:C861,商品マスタ[[#This Row],[仕入先]],商品マスタ!$E$3:E861,商品マスタ[[#This Row],[商品名]]), "00")</f>
        <v>PRD_SNJ__0000_00</v>
      </c>
      <c r="E861" s="87"/>
      <c r="F861" s="87">
        <f>IF(COUNTIFS($C$3:C861,商品マスタ[[#This Row],[仕入先]],$E$3:E861,商品マスタ[[#This Row],[商品名]]) = 1, 1,0)</f>
        <v>0</v>
      </c>
      <c r="G861" s="133" t="str">
        <f>TEXT(SUMIF($C$3:C861,商品マスタ[[#This Row],[仕入先]],$F$3:F861), "0000")</f>
        <v>0000</v>
      </c>
      <c r="H861" s="87"/>
      <c r="I861" s="87"/>
      <c r="J861" s="87"/>
      <c r="K861" s="87"/>
      <c r="L861" s="134"/>
      <c r="M861" s="157"/>
      <c r="N861" s="134"/>
      <c r="O861" s="135" t="str">
        <f>IF(COUNT(商品マスタ[[#This Row],[参考上代
（税込)]]) &gt; 0, (商品マスタ[[#This Row],[参考上代
（税込)]]-商品マスタ[[#This Row],[国内定価
（15％）]])/(商品マスタ[[#This Row],[参考上代
（税込)]]/1.08), "")</f>
        <v/>
      </c>
      <c r="P861" s="136">
        <v>0.1</v>
      </c>
      <c r="Q861" s="134">
        <f>商品マスタ[[#This Row],[仕入
単価]]*商品マスタ[[#This Row],[標準国内送料率]]</f>
        <v>0</v>
      </c>
      <c r="R861" s="134"/>
      <c r="S861" s="134">
        <f>IF(ISBLANK(商品マスタ[[#This Row],[実績
国内送料]]),商品マスタ[[#This Row],[標準国内送料]],)</f>
        <v>0</v>
      </c>
      <c r="T861" s="134">
        <f>商品マスタ[[#This Row],[仕入
単価]]+商品マスタ[[#This Row],[国内送料]]</f>
        <v>0</v>
      </c>
      <c r="U861" s="134">
        <f>ROUNDUP(商品マスタ[[#This Row],[仕入単価+国内送料]]/0.8,-1)</f>
        <v>0</v>
      </c>
      <c r="V861" s="134">
        <f>商品マスタ[[#This Row],[海外定価
（20％）]]-商品マスタ[[#This Row],[仕入単価+国内送料]]</f>
        <v>0</v>
      </c>
      <c r="W861" s="87">
        <f>ROUNDUP(商品マスタ[[#This Row],[仕入単価+国内送料]]/0.85,-1)</f>
        <v>0</v>
      </c>
      <c r="X861" s="134">
        <f>商品マスタ[[#This Row],[国内定価
（15％）]]-商品マスタ[[#This Row],[仕入単価+国内送料]]</f>
        <v>0</v>
      </c>
      <c r="Y861" s="139"/>
      <c r="Z861" s="87"/>
      <c r="AA861" s="87"/>
      <c r="AB861" s="87"/>
      <c r="AC861" s="140"/>
      <c r="AD861" s="87"/>
      <c r="AE861" s="87"/>
      <c r="AF861" s="87"/>
      <c r="AG861" s="141"/>
    </row>
    <row r="862" spans="1:33" ht="18">
      <c r="A862" s="166"/>
      <c r="B862" s="167"/>
      <c r="C862" s="167"/>
      <c r="D862" s="143" t="str">
        <f>"PRD_SNJ_"&amp;
_xlfn.XLOOKUP(商品マスタ[[#This Row],[仕入先]],テーブル1[仕入先名],テーブル1[仕入先コード],"XXX",0,1)&amp;
"_"&amp;
商品マスタ[[#This Row],[シリアル]]&amp;
"_"&amp;
TEXT(COUNTIFS(商品マスタ!$C$3:C862,商品マスタ[[#This Row],[仕入先]],商品マスタ!$E$3:E862,商品マスタ[[#This Row],[商品名]]), "00")</f>
        <v>PRD_SNJ__0000_00</v>
      </c>
      <c r="E862" s="87"/>
      <c r="F862" s="87">
        <f>IF(COUNTIFS($C$3:C862,商品マスタ[[#This Row],[仕入先]],$E$3:E862,商品マスタ[[#This Row],[商品名]]) = 1, 1,0)</f>
        <v>0</v>
      </c>
      <c r="G862" s="133" t="str">
        <f>TEXT(SUMIF($C$3:C862,商品マスタ[[#This Row],[仕入先]],$F$3:F862), "0000")</f>
        <v>0000</v>
      </c>
      <c r="H862" s="87"/>
      <c r="I862" s="87"/>
      <c r="J862" s="87"/>
      <c r="K862" s="87"/>
      <c r="L862" s="134"/>
      <c r="M862" s="157"/>
      <c r="N862" s="134"/>
      <c r="O862" s="135" t="str">
        <f>IF(COUNT(商品マスタ[[#This Row],[参考上代
（税込)]]) &gt; 0, (商品マスタ[[#This Row],[参考上代
（税込)]]-商品マスタ[[#This Row],[国内定価
（15％）]])/(商品マスタ[[#This Row],[参考上代
（税込)]]/1.08), "")</f>
        <v/>
      </c>
      <c r="P862" s="136">
        <v>0.1</v>
      </c>
      <c r="Q862" s="134">
        <f>商品マスタ[[#This Row],[仕入
単価]]*商品マスタ[[#This Row],[標準国内送料率]]</f>
        <v>0</v>
      </c>
      <c r="R862" s="134"/>
      <c r="S862" s="134">
        <f>IF(ISBLANK(商品マスタ[[#This Row],[実績
国内送料]]),商品マスタ[[#This Row],[標準国内送料]],)</f>
        <v>0</v>
      </c>
      <c r="T862" s="134">
        <f>商品マスタ[[#This Row],[仕入
単価]]+商品マスタ[[#This Row],[国内送料]]</f>
        <v>0</v>
      </c>
      <c r="U862" s="134">
        <f>ROUNDUP(商品マスタ[[#This Row],[仕入単価+国内送料]]/0.8,-1)</f>
        <v>0</v>
      </c>
      <c r="V862" s="134">
        <f>商品マスタ[[#This Row],[海外定価
（20％）]]-商品マスタ[[#This Row],[仕入単価+国内送料]]</f>
        <v>0</v>
      </c>
      <c r="W862" s="87">
        <f>ROUNDUP(商品マスタ[[#This Row],[仕入単価+国内送料]]/0.85,-1)</f>
        <v>0</v>
      </c>
      <c r="X862" s="134">
        <f>商品マスタ[[#This Row],[国内定価
（15％）]]-商品マスタ[[#This Row],[仕入単価+国内送料]]</f>
        <v>0</v>
      </c>
      <c r="Y862" s="139"/>
      <c r="Z862" s="87"/>
      <c r="AA862" s="87"/>
      <c r="AB862" s="87"/>
      <c r="AC862" s="140"/>
      <c r="AD862" s="87"/>
      <c r="AE862" s="87"/>
      <c r="AF862" s="87"/>
      <c r="AG862" s="141"/>
    </row>
    <row r="863" spans="1:33" ht="18">
      <c r="A863" s="166"/>
      <c r="B863" s="167"/>
      <c r="C863" s="167"/>
      <c r="D863" s="143" t="str">
        <f>"PRD_SNJ_"&amp;
_xlfn.XLOOKUP(商品マスタ[[#This Row],[仕入先]],テーブル1[仕入先名],テーブル1[仕入先コード],"XXX",0,1)&amp;
"_"&amp;
商品マスタ[[#This Row],[シリアル]]&amp;
"_"&amp;
TEXT(COUNTIFS(商品マスタ!$C$3:C863,商品マスタ[[#This Row],[仕入先]],商品マスタ!$E$3:E863,商品マスタ[[#This Row],[商品名]]), "00")</f>
        <v>PRD_SNJ__0000_00</v>
      </c>
      <c r="E863" s="87"/>
      <c r="F863" s="87">
        <f>IF(COUNTIFS($C$3:C863,商品マスタ[[#This Row],[仕入先]],$E$3:E863,商品マスタ[[#This Row],[商品名]]) = 1, 1,0)</f>
        <v>0</v>
      </c>
      <c r="G863" s="133" t="str">
        <f>TEXT(SUMIF($C$3:C863,商品マスタ[[#This Row],[仕入先]],$F$3:F863), "0000")</f>
        <v>0000</v>
      </c>
      <c r="H863" s="87"/>
      <c r="I863" s="87"/>
      <c r="J863" s="87"/>
      <c r="K863" s="87"/>
      <c r="L863" s="134"/>
      <c r="M863" s="157"/>
      <c r="N863" s="134"/>
      <c r="O863" s="135" t="str">
        <f>IF(COUNT(商品マスタ[[#This Row],[参考上代
（税込)]]) &gt; 0, (商品マスタ[[#This Row],[参考上代
（税込)]]-商品マスタ[[#This Row],[国内定価
（15％）]])/(商品マスタ[[#This Row],[参考上代
（税込)]]/1.08), "")</f>
        <v/>
      </c>
      <c r="P863" s="136">
        <v>0.1</v>
      </c>
      <c r="Q863" s="134">
        <f>商品マスタ[[#This Row],[仕入
単価]]*商品マスタ[[#This Row],[標準国内送料率]]</f>
        <v>0</v>
      </c>
      <c r="R863" s="134"/>
      <c r="S863" s="134">
        <f>IF(ISBLANK(商品マスタ[[#This Row],[実績
国内送料]]),商品マスタ[[#This Row],[標準国内送料]],)</f>
        <v>0</v>
      </c>
      <c r="T863" s="134">
        <f>商品マスタ[[#This Row],[仕入
単価]]+商品マスタ[[#This Row],[国内送料]]</f>
        <v>0</v>
      </c>
      <c r="U863" s="134">
        <f>ROUNDUP(商品マスタ[[#This Row],[仕入単価+国内送料]]/0.8,-1)</f>
        <v>0</v>
      </c>
      <c r="V863" s="134">
        <f>商品マスタ[[#This Row],[海外定価
（20％）]]-商品マスタ[[#This Row],[仕入単価+国内送料]]</f>
        <v>0</v>
      </c>
      <c r="W863" s="87">
        <f>ROUNDUP(商品マスタ[[#This Row],[仕入単価+国内送料]]/0.85,-1)</f>
        <v>0</v>
      </c>
      <c r="X863" s="134">
        <f>商品マスタ[[#This Row],[国内定価
（15％）]]-商品マスタ[[#This Row],[仕入単価+国内送料]]</f>
        <v>0</v>
      </c>
      <c r="Y863" s="139"/>
      <c r="Z863" s="87"/>
      <c r="AA863" s="87"/>
      <c r="AB863" s="87"/>
      <c r="AC863" s="140"/>
      <c r="AD863" s="87"/>
      <c r="AE863" s="87"/>
      <c r="AF863" s="87"/>
      <c r="AG863" s="141"/>
    </row>
    <row r="864" spans="1:33" ht="18">
      <c r="A864" s="166"/>
      <c r="B864" s="167"/>
      <c r="C864" s="167"/>
      <c r="D864" s="143" t="str">
        <f>"PRD_SNJ_"&amp;
_xlfn.XLOOKUP(商品マスタ[[#This Row],[仕入先]],テーブル1[仕入先名],テーブル1[仕入先コード],"XXX",0,1)&amp;
"_"&amp;
商品マスタ[[#This Row],[シリアル]]&amp;
"_"&amp;
TEXT(COUNTIFS(商品マスタ!$C$3:C864,商品マスタ[[#This Row],[仕入先]],商品マスタ!$E$3:E864,商品マスタ[[#This Row],[商品名]]), "00")</f>
        <v>PRD_SNJ__0000_00</v>
      </c>
      <c r="E864" s="87"/>
      <c r="F864" s="87">
        <f>IF(COUNTIFS($C$3:C864,商品マスタ[[#This Row],[仕入先]],$E$3:E864,商品マスタ[[#This Row],[商品名]]) = 1, 1,0)</f>
        <v>0</v>
      </c>
      <c r="G864" s="133" t="str">
        <f>TEXT(SUMIF($C$3:C864,商品マスタ[[#This Row],[仕入先]],$F$3:F864), "0000")</f>
        <v>0000</v>
      </c>
      <c r="H864" s="87"/>
      <c r="I864" s="87"/>
      <c r="J864" s="87"/>
      <c r="K864" s="87"/>
      <c r="L864" s="134"/>
      <c r="M864" s="157"/>
      <c r="N864" s="134"/>
      <c r="O864" s="135" t="str">
        <f>IF(COUNT(商品マスタ[[#This Row],[参考上代
（税込)]]) &gt; 0, (商品マスタ[[#This Row],[参考上代
（税込)]]-商品マスタ[[#This Row],[国内定価
（15％）]])/(商品マスタ[[#This Row],[参考上代
（税込)]]/1.08), "")</f>
        <v/>
      </c>
      <c r="P864" s="136">
        <v>0.1</v>
      </c>
      <c r="Q864" s="134">
        <f>商品マスタ[[#This Row],[仕入
単価]]*商品マスタ[[#This Row],[標準国内送料率]]</f>
        <v>0</v>
      </c>
      <c r="R864" s="134"/>
      <c r="S864" s="134">
        <f>IF(ISBLANK(商品マスタ[[#This Row],[実績
国内送料]]),商品マスタ[[#This Row],[標準国内送料]],)</f>
        <v>0</v>
      </c>
      <c r="T864" s="134">
        <f>商品マスタ[[#This Row],[仕入
単価]]+商品マスタ[[#This Row],[国内送料]]</f>
        <v>0</v>
      </c>
      <c r="U864" s="134">
        <f>ROUNDUP(商品マスタ[[#This Row],[仕入単価+国内送料]]/0.8,-1)</f>
        <v>0</v>
      </c>
      <c r="V864" s="134">
        <f>商品マスタ[[#This Row],[海外定価
（20％）]]-商品マスタ[[#This Row],[仕入単価+国内送料]]</f>
        <v>0</v>
      </c>
      <c r="W864" s="87">
        <f>ROUNDUP(商品マスタ[[#This Row],[仕入単価+国内送料]]/0.85,-1)</f>
        <v>0</v>
      </c>
      <c r="X864" s="134">
        <f>商品マスタ[[#This Row],[国内定価
（15％）]]-商品マスタ[[#This Row],[仕入単価+国内送料]]</f>
        <v>0</v>
      </c>
      <c r="Y864" s="139"/>
      <c r="Z864" s="87"/>
      <c r="AA864" s="87"/>
      <c r="AB864" s="87"/>
      <c r="AC864" s="140"/>
      <c r="AD864" s="87"/>
      <c r="AE864" s="87"/>
      <c r="AF864" s="87"/>
      <c r="AG864" s="141"/>
    </row>
    <row r="865" spans="1:33" ht="18">
      <c r="A865" s="166"/>
      <c r="B865" s="167"/>
      <c r="C865" s="167"/>
      <c r="D865" s="143" t="str">
        <f>"PRD_SNJ_"&amp;
_xlfn.XLOOKUP(商品マスタ[[#This Row],[仕入先]],テーブル1[仕入先名],テーブル1[仕入先コード],"XXX",0,1)&amp;
"_"&amp;
商品マスタ[[#This Row],[シリアル]]&amp;
"_"&amp;
TEXT(COUNTIFS(商品マスタ!$C$3:C865,商品マスタ[[#This Row],[仕入先]],商品マスタ!$E$3:E865,商品マスタ[[#This Row],[商品名]]), "00")</f>
        <v>PRD_SNJ__0000_00</v>
      </c>
      <c r="E865" s="87"/>
      <c r="F865" s="87">
        <f>IF(COUNTIFS($C$3:C865,商品マスタ[[#This Row],[仕入先]],$E$3:E865,商品マスタ[[#This Row],[商品名]]) = 1, 1,0)</f>
        <v>0</v>
      </c>
      <c r="G865" s="133" t="str">
        <f>TEXT(SUMIF($C$3:C865,商品マスタ[[#This Row],[仕入先]],$F$3:F865), "0000")</f>
        <v>0000</v>
      </c>
      <c r="H865" s="87"/>
      <c r="I865" s="87"/>
      <c r="J865" s="87"/>
      <c r="K865" s="87"/>
      <c r="L865" s="134"/>
      <c r="M865" s="157"/>
      <c r="N865" s="134"/>
      <c r="O865" s="135" t="str">
        <f>IF(COUNT(商品マスタ[[#This Row],[参考上代
（税込)]]) &gt; 0, (商品マスタ[[#This Row],[参考上代
（税込)]]-商品マスタ[[#This Row],[国内定価
（15％）]])/(商品マスタ[[#This Row],[参考上代
（税込)]]/1.08), "")</f>
        <v/>
      </c>
      <c r="P865" s="136">
        <v>0.1</v>
      </c>
      <c r="Q865" s="134">
        <f>商品マスタ[[#This Row],[仕入
単価]]*商品マスタ[[#This Row],[標準国内送料率]]</f>
        <v>0</v>
      </c>
      <c r="R865" s="134"/>
      <c r="S865" s="134">
        <f>IF(ISBLANK(商品マスタ[[#This Row],[実績
国内送料]]),商品マスタ[[#This Row],[標準国内送料]],)</f>
        <v>0</v>
      </c>
      <c r="T865" s="134">
        <f>商品マスタ[[#This Row],[仕入
単価]]+商品マスタ[[#This Row],[国内送料]]</f>
        <v>0</v>
      </c>
      <c r="U865" s="134">
        <f>ROUNDUP(商品マスタ[[#This Row],[仕入単価+国内送料]]/0.8,-1)</f>
        <v>0</v>
      </c>
      <c r="V865" s="134">
        <f>商品マスタ[[#This Row],[海外定価
（20％）]]-商品マスタ[[#This Row],[仕入単価+国内送料]]</f>
        <v>0</v>
      </c>
      <c r="W865" s="87">
        <f>ROUNDUP(商品マスタ[[#This Row],[仕入単価+国内送料]]/0.85,-1)</f>
        <v>0</v>
      </c>
      <c r="X865" s="134">
        <f>商品マスタ[[#This Row],[国内定価
（15％）]]-商品マスタ[[#This Row],[仕入単価+国内送料]]</f>
        <v>0</v>
      </c>
      <c r="Y865" s="139"/>
      <c r="Z865" s="87"/>
      <c r="AA865" s="87"/>
      <c r="AB865" s="87"/>
      <c r="AC865" s="140"/>
      <c r="AD865" s="87"/>
      <c r="AE865" s="87"/>
      <c r="AF865" s="87"/>
      <c r="AG865" s="141"/>
    </row>
    <row r="866" spans="1:33" ht="18">
      <c r="A866" s="166"/>
      <c r="B866" s="167"/>
      <c r="C866" s="167"/>
      <c r="D866" s="143" t="str">
        <f>"PRD_SNJ_"&amp;
_xlfn.XLOOKUP(商品マスタ[[#This Row],[仕入先]],テーブル1[仕入先名],テーブル1[仕入先コード],"XXX",0,1)&amp;
"_"&amp;
商品マスタ[[#This Row],[シリアル]]&amp;
"_"&amp;
TEXT(COUNTIFS(商品マスタ!$C$3:C866,商品マスタ[[#This Row],[仕入先]],商品マスタ!$E$3:E866,商品マスタ[[#This Row],[商品名]]), "00")</f>
        <v>PRD_SNJ__0000_00</v>
      </c>
      <c r="E866" s="87"/>
      <c r="F866" s="87">
        <f>IF(COUNTIFS($C$3:C866,商品マスタ[[#This Row],[仕入先]],$E$3:E866,商品マスタ[[#This Row],[商品名]]) = 1, 1,0)</f>
        <v>0</v>
      </c>
      <c r="G866" s="133" t="str">
        <f>TEXT(SUMIF($C$3:C866,商品マスタ[[#This Row],[仕入先]],$F$3:F866), "0000")</f>
        <v>0000</v>
      </c>
      <c r="H866" s="87"/>
      <c r="I866" s="87"/>
      <c r="J866" s="87"/>
      <c r="K866" s="87"/>
      <c r="L866" s="134"/>
      <c r="M866" s="157"/>
      <c r="N866" s="134"/>
      <c r="O866" s="135" t="str">
        <f>IF(COUNT(商品マスタ[[#This Row],[参考上代
（税込)]]) &gt; 0, (商品マスタ[[#This Row],[参考上代
（税込)]]-商品マスタ[[#This Row],[国内定価
（15％）]])/(商品マスタ[[#This Row],[参考上代
（税込)]]/1.08), "")</f>
        <v/>
      </c>
      <c r="P866" s="136">
        <v>0.1</v>
      </c>
      <c r="Q866" s="134">
        <f>商品マスタ[[#This Row],[仕入
単価]]*商品マスタ[[#This Row],[標準国内送料率]]</f>
        <v>0</v>
      </c>
      <c r="R866" s="134"/>
      <c r="S866" s="134">
        <f>IF(ISBLANK(商品マスタ[[#This Row],[実績
国内送料]]),商品マスタ[[#This Row],[標準国内送料]],)</f>
        <v>0</v>
      </c>
      <c r="T866" s="134">
        <f>商品マスタ[[#This Row],[仕入
単価]]+商品マスタ[[#This Row],[国内送料]]</f>
        <v>0</v>
      </c>
      <c r="U866" s="134">
        <f>ROUNDUP(商品マスタ[[#This Row],[仕入単価+国内送料]]/0.8,-1)</f>
        <v>0</v>
      </c>
      <c r="V866" s="134">
        <f>商品マスタ[[#This Row],[海外定価
（20％）]]-商品マスタ[[#This Row],[仕入単価+国内送料]]</f>
        <v>0</v>
      </c>
      <c r="W866" s="87">
        <f>ROUNDUP(商品マスタ[[#This Row],[仕入単価+国内送料]]/0.85,-1)</f>
        <v>0</v>
      </c>
      <c r="X866" s="134">
        <f>商品マスタ[[#This Row],[国内定価
（15％）]]-商品マスタ[[#This Row],[仕入単価+国内送料]]</f>
        <v>0</v>
      </c>
      <c r="Y866" s="139"/>
      <c r="Z866" s="87"/>
      <c r="AA866" s="87"/>
      <c r="AB866" s="87"/>
      <c r="AC866" s="140"/>
      <c r="AD866" s="87"/>
      <c r="AE866" s="87"/>
      <c r="AF866" s="87"/>
      <c r="AG866" s="141"/>
    </row>
    <row r="867" spans="1:33" ht="18">
      <c r="A867" s="166"/>
      <c r="B867" s="167"/>
      <c r="C867" s="167"/>
      <c r="D867" s="143" t="str">
        <f>"PRD_SNJ_"&amp;
_xlfn.XLOOKUP(商品マスタ[[#This Row],[仕入先]],テーブル1[仕入先名],テーブル1[仕入先コード],"XXX",0,1)&amp;
"_"&amp;
商品マスタ[[#This Row],[シリアル]]&amp;
"_"&amp;
TEXT(COUNTIFS(商品マスタ!$C$3:C867,商品マスタ[[#This Row],[仕入先]],商品マスタ!$E$3:E867,商品マスタ[[#This Row],[商品名]]), "00")</f>
        <v>PRD_SNJ__0000_00</v>
      </c>
      <c r="E867" s="87"/>
      <c r="F867" s="87">
        <f>IF(COUNTIFS($C$3:C867,商品マスタ[[#This Row],[仕入先]],$E$3:E867,商品マスタ[[#This Row],[商品名]]) = 1, 1,0)</f>
        <v>0</v>
      </c>
      <c r="G867" s="133" t="str">
        <f>TEXT(SUMIF($C$3:C867,商品マスタ[[#This Row],[仕入先]],$F$3:F867), "0000")</f>
        <v>0000</v>
      </c>
      <c r="H867" s="87"/>
      <c r="I867" s="87"/>
      <c r="J867" s="87"/>
      <c r="K867" s="87"/>
      <c r="L867" s="134"/>
      <c r="M867" s="157"/>
      <c r="N867" s="134"/>
      <c r="O867" s="135" t="str">
        <f>IF(COUNT(商品マスタ[[#This Row],[参考上代
（税込)]]) &gt; 0, (商品マスタ[[#This Row],[参考上代
（税込)]]-商品マスタ[[#This Row],[国内定価
（15％）]])/(商品マスタ[[#This Row],[参考上代
（税込)]]/1.08), "")</f>
        <v/>
      </c>
      <c r="P867" s="136">
        <v>0.1</v>
      </c>
      <c r="Q867" s="134">
        <f>商品マスタ[[#This Row],[仕入
単価]]*商品マスタ[[#This Row],[標準国内送料率]]</f>
        <v>0</v>
      </c>
      <c r="R867" s="134"/>
      <c r="S867" s="134">
        <f>IF(ISBLANK(商品マスタ[[#This Row],[実績
国内送料]]),商品マスタ[[#This Row],[標準国内送料]],)</f>
        <v>0</v>
      </c>
      <c r="T867" s="134">
        <f>商品マスタ[[#This Row],[仕入
単価]]+商品マスタ[[#This Row],[国内送料]]</f>
        <v>0</v>
      </c>
      <c r="U867" s="134">
        <f>ROUNDUP(商品マスタ[[#This Row],[仕入単価+国内送料]]/0.8,-1)</f>
        <v>0</v>
      </c>
      <c r="V867" s="134">
        <f>商品マスタ[[#This Row],[海外定価
（20％）]]-商品マスタ[[#This Row],[仕入単価+国内送料]]</f>
        <v>0</v>
      </c>
      <c r="W867" s="87">
        <f>ROUNDUP(商品マスタ[[#This Row],[仕入単価+国内送料]]/0.85,-1)</f>
        <v>0</v>
      </c>
      <c r="X867" s="134">
        <f>商品マスタ[[#This Row],[国内定価
（15％）]]-商品マスタ[[#This Row],[仕入単価+国内送料]]</f>
        <v>0</v>
      </c>
      <c r="Y867" s="139"/>
      <c r="Z867" s="87"/>
      <c r="AA867" s="87"/>
      <c r="AB867" s="87"/>
      <c r="AC867" s="140"/>
      <c r="AD867" s="87"/>
      <c r="AE867" s="87"/>
      <c r="AF867" s="87"/>
      <c r="AG867" s="141"/>
    </row>
    <row r="868" spans="1:33" ht="18">
      <c r="A868" s="166"/>
      <c r="B868" s="167"/>
      <c r="C868" s="167"/>
      <c r="D868" s="143" t="str">
        <f>"PRD_SNJ_"&amp;
_xlfn.XLOOKUP(商品マスタ[[#This Row],[仕入先]],テーブル1[仕入先名],テーブル1[仕入先コード],"XXX",0,1)&amp;
"_"&amp;
商品マスタ[[#This Row],[シリアル]]&amp;
"_"&amp;
TEXT(COUNTIFS(商品マスタ!$C$3:C868,商品マスタ[[#This Row],[仕入先]],商品マスタ!$E$3:E868,商品マスタ[[#This Row],[商品名]]), "00")</f>
        <v>PRD_SNJ__0000_00</v>
      </c>
      <c r="E868" s="87"/>
      <c r="F868" s="87">
        <f>IF(COUNTIFS($C$3:C868,商品マスタ[[#This Row],[仕入先]],$E$3:E868,商品マスタ[[#This Row],[商品名]]) = 1, 1,0)</f>
        <v>0</v>
      </c>
      <c r="G868" s="133" t="str">
        <f>TEXT(SUMIF($C$3:C868,商品マスタ[[#This Row],[仕入先]],$F$3:F868), "0000")</f>
        <v>0000</v>
      </c>
      <c r="H868" s="87"/>
      <c r="I868" s="87"/>
      <c r="J868" s="87"/>
      <c r="K868" s="87"/>
      <c r="L868" s="134"/>
      <c r="M868" s="157"/>
      <c r="N868" s="134"/>
      <c r="O868" s="135" t="str">
        <f>IF(COUNT(商品マスタ[[#This Row],[参考上代
（税込)]]) &gt; 0, (商品マスタ[[#This Row],[参考上代
（税込)]]-商品マスタ[[#This Row],[国内定価
（15％）]])/(商品マスタ[[#This Row],[参考上代
（税込)]]/1.08), "")</f>
        <v/>
      </c>
      <c r="P868" s="136">
        <v>0.1</v>
      </c>
      <c r="Q868" s="134">
        <f>商品マスタ[[#This Row],[仕入
単価]]*商品マスタ[[#This Row],[標準国内送料率]]</f>
        <v>0</v>
      </c>
      <c r="R868" s="134"/>
      <c r="S868" s="134">
        <f>IF(ISBLANK(商品マスタ[[#This Row],[実績
国内送料]]),商品マスタ[[#This Row],[標準国内送料]],)</f>
        <v>0</v>
      </c>
      <c r="T868" s="134">
        <f>商品マスタ[[#This Row],[仕入
単価]]+商品マスタ[[#This Row],[国内送料]]</f>
        <v>0</v>
      </c>
      <c r="U868" s="134">
        <f>ROUNDUP(商品マスタ[[#This Row],[仕入単価+国内送料]]/0.8,-1)</f>
        <v>0</v>
      </c>
      <c r="V868" s="134">
        <f>商品マスタ[[#This Row],[海外定価
（20％）]]-商品マスタ[[#This Row],[仕入単価+国内送料]]</f>
        <v>0</v>
      </c>
      <c r="W868" s="87">
        <f>ROUNDUP(商品マスタ[[#This Row],[仕入単価+国内送料]]/0.85,-1)</f>
        <v>0</v>
      </c>
      <c r="X868" s="134">
        <f>商品マスタ[[#This Row],[国内定価
（15％）]]-商品マスタ[[#This Row],[仕入単価+国内送料]]</f>
        <v>0</v>
      </c>
      <c r="Y868" s="139"/>
      <c r="Z868" s="87"/>
      <c r="AA868" s="87"/>
      <c r="AB868" s="87"/>
      <c r="AC868" s="140"/>
      <c r="AD868" s="87"/>
      <c r="AE868" s="87"/>
      <c r="AF868" s="87"/>
      <c r="AG868" s="141"/>
    </row>
    <row r="869" spans="1:33" ht="18">
      <c r="A869" s="166"/>
      <c r="B869" s="167"/>
      <c r="C869" s="167"/>
      <c r="D869" s="143" t="str">
        <f>"PRD_SNJ_"&amp;
_xlfn.XLOOKUP(商品マスタ[[#This Row],[仕入先]],テーブル1[仕入先名],テーブル1[仕入先コード],"XXX",0,1)&amp;
"_"&amp;
商品マスタ[[#This Row],[シリアル]]&amp;
"_"&amp;
TEXT(COUNTIFS(商品マスタ!$C$3:C869,商品マスタ[[#This Row],[仕入先]],商品マスタ!$E$3:E869,商品マスタ[[#This Row],[商品名]]), "00")</f>
        <v>PRD_SNJ__0000_00</v>
      </c>
      <c r="E869" s="87"/>
      <c r="F869" s="87">
        <f>IF(COUNTIFS($C$3:C869,商品マスタ[[#This Row],[仕入先]],$E$3:E869,商品マスタ[[#This Row],[商品名]]) = 1, 1,0)</f>
        <v>0</v>
      </c>
      <c r="G869" s="133" t="str">
        <f>TEXT(SUMIF($C$3:C869,商品マスタ[[#This Row],[仕入先]],$F$3:F869), "0000")</f>
        <v>0000</v>
      </c>
      <c r="H869" s="87"/>
      <c r="I869" s="87"/>
      <c r="J869" s="87"/>
      <c r="K869" s="87"/>
      <c r="L869" s="134"/>
      <c r="M869" s="157"/>
      <c r="N869" s="134"/>
      <c r="O869" s="135" t="str">
        <f>IF(COUNT(商品マスタ[[#This Row],[参考上代
（税込)]]) &gt; 0, (商品マスタ[[#This Row],[参考上代
（税込)]]-商品マスタ[[#This Row],[国内定価
（15％）]])/(商品マスタ[[#This Row],[参考上代
（税込)]]/1.08), "")</f>
        <v/>
      </c>
      <c r="P869" s="136">
        <v>0.1</v>
      </c>
      <c r="Q869" s="134">
        <f>商品マスタ[[#This Row],[仕入
単価]]*商品マスタ[[#This Row],[標準国内送料率]]</f>
        <v>0</v>
      </c>
      <c r="R869" s="134"/>
      <c r="S869" s="134">
        <f>IF(ISBLANK(商品マスタ[[#This Row],[実績
国内送料]]),商品マスタ[[#This Row],[標準国内送料]],)</f>
        <v>0</v>
      </c>
      <c r="T869" s="134">
        <f>商品マスタ[[#This Row],[仕入
単価]]+商品マスタ[[#This Row],[国内送料]]</f>
        <v>0</v>
      </c>
      <c r="U869" s="134">
        <f>ROUNDUP(商品マスタ[[#This Row],[仕入単価+国内送料]]/0.8,-1)</f>
        <v>0</v>
      </c>
      <c r="V869" s="134">
        <f>商品マスタ[[#This Row],[海外定価
（20％）]]-商品マスタ[[#This Row],[仕入単価+国内送料]]</f>
        <v>0</v>
      </c>
      <c r="W869" s="87">
        <f>ROUNDUP(商品マスタ[[#This Row],[仕入単価+国内送料]]/0.85,-1)</f>
        <v>0</v>
      </c>
      <c r="X869" s="134">
        <f>商品マスタ[[#This Row],[国内定価
（15％）]]-商品マスタ[[#This Row],[仕入単価+国内送料]]</f>
        <v>0</v>
      </c>
      <c r="Y869" s="139"/>
      <c r="Z869" s="87"/>
      <c r="AA869" s="87"/>
      <c r="AB869" s="87"/>
      <c r="AC869" s="140"/>
      <c r="AD869" s="87"/>
      <c r="AE869" s="87"/>
      <c r="AF869" s="87"/>
      <c r="AG869" s="141"/>
    </row>
    <row r="870" spans="1:33" ht="18">
      <c r="A870" s="166"/>
      <c r="B870" s="167"/>
      <c r="C870" s="167"/>
      <c r="D870" s="143" t="str">
        <f>"PRD_SNJ_"&amp;
_xlfn.XLOOKUP(商品マスタ[[#This Row],[仕入先]],テーブル1[仕入先名],テーブル1[仕入先コード],"XXX",0,1)&amp;
"_"&amp;
商品マスタ[[#This Row],[シリアル]]&amp;
"_"&amp;
TEXT(COUNTIFS(商品マスタ!$C$3:C870,商品マスタ[[#This Row],[仕入先]],商品マスタ!$E$3:E870,商品マスタ[[#This Row],[商品名]]), "00")</f>
        <v>PRD_SNJ__0000_00</v>
      </c>
      <c r="E870" s="87"/>
      <c r="F870" s="87">
        <f>IF(COUNTIFS($C$3:C870,商品マスタ[[#This Row],[仕入先]],$E$3:E870,商品マスタ[[#This Row],[商品名]]) = 1, 1,0)</f>
        <v>0</v>
      </c>
      <c r="G870" s="133" t="str">
        <f>TEXT(SUMIF($C$3:C870,商品マスタ[[#This Row],[仕入先]],$F$3:F870), "0000")</f>
        <v>0000</v>
      </c>
      <c r="H870" s="87"/>
      <c r="I870" s="87"/>
      <c r="J870" s="87"/>
      <c r="K870" s="87"/>
      <c r="L870" s="134"/>
      <c r="M870" s="157"/>
      <c r="N870" s="134"/>
      <c r="O870" s="135" t="str">
        <f>IF(COUNT(商品マスタ[[#This Row],[参考上代
（税込)]]) &gt; 0, (商品マスタ[[#This Row],[参考上代
（税込)]]-商品マスタ[[#This Row],[国内定価
（15％）]])/(商品マスタ[[#This Row],[参考上代
（税込)]]/1.08), "")</f>
        <v/>
      </c>
      <c r="P870" s="136">
        <v>0.1</v>
      </c>
      <c r="Q870" s="134">
        <f>商品マスタ[[#This Row],[仕入
単価]]*商品マスタ[[#This Row],[標準国内送料率]]</f>
        <v>0</v>
      </c>
      <c r="R870" s="134"/>
      <c r="S870" s="134">
        <f>IF(ISBLANK(商品マスタ[[#This Row],[実績
国内送料]]),商品マスタ[[#This Row],[標準国内送料]],)</f>
        <v>0</v>
      </c>
      <c r="T870" s="134">
        <f>商品マスタ[[#This Row],[仕入
単価]]+商品マスタ[[#This Row],[国内送料]]</f>
        <v>0</v>
      </c>
      <c r="U870" s="134">
        <f>ROUNDUP(商品マスタ[[#This Row],[仕入単価+国内送料]]/0.8,-1)</f>
        <v>0</v>
      </c>
      <c r="V870" s="134">
        <f>商品マスタ[[#This Row],[海外定価
（20％）]]-商品マスタ[[#This Row],[仕入単価+国内送料]]</f>
        <v>0</v>
      </c>
      <c r="W870" s="87">
        <f>ROUNDUP(商品マスタ[[#This Row],[仕入単価+国内送料]]/0.85,-1)</f>
        <v>0</v>
      </c>
      <c r="X870" s="134">
        <f>商品マスタ[[#This Row],[国内定価
（15％）]]-商品マスタ[[#This Row],[仕入単価+国内送料]]</f>
        <v>0</v>
      </c>
      <c r="Y870" s="139"/>
      <c r="Z870" s="87"/>
      <c r="AA870" s="87"/>
      <c r="AB870" s="87"/>
      <c r="AC870" s="140"/>
      <c r="AD870" s="87"/>
      <c r="AE870" s="87"/>
      <c r="AF870" s="87"/>
      <c r="AG870" s="141"/>
    </row>
    <row r="871" spans="1:33" ht="18">
      <c r="A871" s="166"/>
      <c r="B871" s="167"/>
      <c r="C871" s="167"/>
      <c r="D871" s="143" t="str">
        <f>"PRD_SNJ_"&amp;
_xlfn.XLOOKUP(商品マスタ[[#This Row],[仕入先]],テーブル1[仕入先名],テーブル1[仕入先コード],"XXX",0,1)&amp;
"_"&amp;
商品マスタ[[#This Row],[シリアル]]&amp;
"_"&amp;
TEXT(COUNTIFS(商品マスタ!$C$3:C871,商品マスタ[[#This Row],[仕入先]],商品マスタ!$E$3:E871,商品マスタ[[#This Row],[商品名]]), "00")</f>
        <v>PRD_SNJ__0000_00</v>
      </c>
      <c r="E871" s="87"/>
      <c r="F871" s="87">
        <f>IF(COUNTIFS($C$3:C871,商品マスタ[[#This Row],[仕入先]],$E$3:E871,商品マスタ[[#This Row],[商品名]]) = 1, 1,0)</f>
        <v>0</v>
      </c>
      <c r="G871" s="133" t="str">
        <f>TEXT(SUMIF($C$3:C871,商品マスタ[[#This Row],[仕入先]],$F$3:F871), "0000")</f>
        <v>0000</v>
      </c>
      <c r="H871" s="87"/>
      <c r="I871" s="87"/>
      <c r="J871" s="87"/>
      <c r="K871" s="87"/>
      <c r="L871" s="134"/>
      <c r="M871" s="157"/>
      <c r="N871" s="134"/>
      <c r="O871" s="135" t="str">
        <f>IF(COUNT(商品マスタ[[#This Row],[参考上代
（税込)]]) &gt; 0, (商品マスタ[[#This Row],[参考上代
（税込)]]-商品マスタ[[#This Row],[国内定価
（15％）]])/(商品マスタ[[#This Row],[参考上代
（税込)]]/1.08), "")</f>
        <v/>
      </c>
      <c r="P871" s="136">
        <v>0.1</v>
      </c>
      <c r="Q871" s="134">
        <f>商品マスタ[[#This Row],[仕入
単価]]*商品マスタ[[#This Row],[標準国内送料率]]</f>
        <v>0</v>
      </c>
      <c r="R871" s="134"/>
      <c r="S871" s="134">
        <f>IF(ISBLANK(商品マスタ[[#This Row],[実績
国内送料]]),商品マスタ[[#This Row],[標準国内送料]],)</f>
        <v>0</v>
      </c>
      <c r="T871" s="134">
        <f>商品マスタ[[#This Row],[仕入
単価]]+商品マスタ[[#This Row],[国内送料]]</f>
        <v>0</v>
      </c>
      <c r="U871" s="134">
        <f>ROUNDUP(商品マスタ[[#This Row],[仕入単価+国内送料]]/0.8,-1)</f>
        <v>0</v>
      </c>
      <c r="V871" s="134">
        <f>商品マスタ[[#This Row],[海外定価
（20％）]]-商品マスタ[[#This Row],[仕入単価+国内送料]]</f>
        <v>0</v>
      </c>
      <c r="W871" s="87">
        <f>ROUNDUP(商品マスタ[[#This Row],[仕入単価+国内送料]]/0.85,-1)</f>
        <v>0</v>
      </c>
      <c r="X871" s="134">
        <f>商品マスタ[[#This Row],[国内定価
（15％）]]-商品マスタ[[#This Row],[仕入単価+国内送料]]</f>
        <v>0</v>
      </c>
      <c r="Y871" s="139"/>
      <c r="Z871" s="87"/>
      <c r="AA871" s="87"/>
      <c r="AB871" s="87"/>
      <c r="AC871" s="140"/>
      <c r="AD871" s="87"/>
      <c r="AE871" s="87"/>
      <c r="AF871" s="87"/>
      <c r="AG871" s="141"/>
    </row>
    <row r="872" spans="1:33" ht="18">
      <c r="A872" s="166"/>
      <c r="B872" s="167"/>
      <c r="C872" s="167"/>
      <c r="D872" s="143" t="str">
        <f>"PRD_SNJ_"&amp;
_xlfn.XLOOKUP(商品マスタ[[#This Row],[仕入先]],テーブル1[仕入先名],テーブル1[仕入先コード],"XXX",0,1)&amp;
"_"&amp;
商品マスタ[[#This Row],[シリアル]]&amp;
"_"&amp;
TEXT(COUNTIFS(商品マスタ!$C$3:C872,商品マスタ[[#This Row],[仕入先]],商品マスタ!$E$3:E872,商品マスタ[[#This Row],[商品名]]), "00")</f>
        <v>PRD_SNJ__0000_00</v>
      </c>
      <c r="E872" s="87"/>
      <c r="F872" s="87">
        <f>IF(COUNTIFS($C$3:C872,商品マスタ[[#This Row],[仕入先]],$E$3:E872,商品マスタ[[#This Row],[商品名]]) = 1, 1,0)</f>
        <v>0</v>
      </c>
      <c r="G872" s="133" t="str">
        <f>TEXT(SUMIF($C$3:C872,商品マスタ[[#This Row],[仕入先]],$F$3:F872), "0000")</f>
        <v>0000</v>
      </c>
      <c r="H872" s="87"/>
      <c r="I872" s="87"/>
      <c r="J872" s="87"/>
      <c r="K872" s="87"/>
      <c r="L872" s="134"/>
      <c r="M872" s="157"/>
      <c r="N872" s="134"/>
      <c r="O872" s="135" t="str">
        <f>IF(COUNT(商品マスタ[[#This Row],[参考上代
（税込)]]) &gt; 0, (商品マスタ[[#This Row],[参考上代
（税込)]]-商品マスタ[[#This Row],[国内定価
（15％）]])/(商品マスタ[[#This Row],[参考上代
（税込)]]/1.08), "")</f>
        <v/>
      </c>
      <c r="P872" s="136">
        <v>0.1</v>
      </c>
      <c r="Q872" s="134">
        <f>商品マスタ[[#This Row],[仕入
単価]]*商品マスタ[[#This Row],[標準国内送料率]]</f>
        <v>0</v>
      </c>
      <c r="R872" s="134"/>
      <c r="S872" s="134">
        <f>IF(ISBLANK(商品マスタ[[#This Row],[実績
国内送料]]),商品マスタ[[#This Row],[標準国内送料]],)</f>
        <v>0</v>
      </c>
      <c r="T872" s="134">
        <f>商品マスタ[[#This Row],[仕入
単価]]+商品マスタ[[#This Row],[国内送料]]</f>
        <v>0</v>
      </c>
      <c r="U872" s="134">
        <f>ROUNDUP(商品マスタ[[#This Row],[仕入単価+国内送料]]/0.8,-1)</f>
        <v>0</v>
      </c>
      <c r="V872" s="134">
        <f>商品マスタ[[#This Row],[海外定価
（20％）]]-商品マスタ[[#This Row],[仕入単価+国内送料]]</f>
        <v>0</v>
      </c>
      <c r="W872" s="87">
        <f>ROUNDUP(商品マスタ[[#This Row],[仕入単価+国内送料]]/0.85,-1)</f>
        <v>0</v>
      </c>
      <c r="X872" s="134">
        <f>商品マスタ[[#This Row],[国内定価
（15％）]]-商品マスタ[[#This Row],[仕入単価+国内送料]]</f>
        <v>0</v>
      </c>
      <c r="Y872" s="139"/>
      <c r="Z872" s="87"/>
      <c r="AA872" s="87"/>
      <c r="AB872" s="87"/>
      <c r="AC872" s="140"/>
      <c r="AD872" s="87"/>
      <c r="AE872" s="87"/>
      <c r="AF872" s="87"/>
      <c r="AG872" s="141"/>
    </row>
    <row r="873" spans="1:33" ht="18">
      <c r="A873" s="166"/>
      <c r="B873" s="167"/>
      <c r="C873" s="167"/>
      <c r="D873" s="143" t="str">
        <f>"PRD_SNJ_"&amp;
_xlfn.XLOOKUP(商品マスタ[[#This Row],[仕入先]],テーブル1[仕入先名],テーブル1[仕入先コード],"XXX",0,1)&amp;
"_"&amp;
商品マスタ[[#This Row],[シリアル]]&amp;
"_"&amp;
TEXT(COUNTIFS(商品マスタ!$C$3:C873,商品マスタ[[#This Row],[仕入先]],商品マスタ!$E$3:E873,商品マスタ[[#This Row],[商品名]]), "00")</f>
        <v>PRD_SNJ__0000_00</v>
      </c>
      <c r="E873" s="87"/>
      <c r="F873" s="87">
        <f>IF(COUNTIFS($C$3:C873,商品マスタ[[#This Row],[仕入先]],$E$3:E873,商品マスタ[[#This Row],[商品名]]) = 1, 1,0)</f>
        <v>0</v>
      </c>
      <c r="G873" s="133" t="str">
        <f>TEXT(SUMIF($C$3:C873,商品マスタ[[#This Row],[仕入先]],$F$3:F873), "0000")</f>
        <v>0000</v>
      </c>
      <c r="H873" s="87"/>
      <c r="I873" s="87"/>
      <c r="J873" s="87"/>
      <c r="K873" s="87"/>
      <c r="L873" s="134"/>
      <c r="M873" s="157"/>
      <c r="N873" s="134"/>
      <c r="O873" s="135" t="str">
        <f>IF(COUNT(商品マスタ[[#This Row],[参考上代
（税込)]]) &gt; 0, (商品マスタ[[#This Row],[参考上代
（税込)]]-商品マスタ[[#This Row],[国内定価
（15％）]])/(商品マスタ[[#This Row],[参考上代
（税込)]]/1.08), "")</f>
        <v/>
      </c>
      <c r="P873" s="136">
        <v>0.1</v>
      </c>
      <c r="Q873" s="134">
        <f>商品マスタ[[#This Row],[仕入
単価]]*商品マスタ[[#This Row],[標準国内送料率]]</f>
        <v>0</v>
      </c>
      <c r="R873" s="134"/>
      <c r="S873" s="134">
        <f>IF(ISBLANK(商品マスタ[[#This Row],[実績
国内送料]]),商品マスタ[[#This Row],[標準国内送料]],)</f>
        <v>0</v>
      </c>
      <c r="T873" s="134">
        <f>商品マスタ[[#This Row],[仕入
単価]]+商品マスタ[[#This Row],[国内送料]]</f>
        <v>0</v>
      </c>
      <c r="U873" s="134">
        <f>ROUNDUP(商品マスタ[[#This Row],[仕入単価+国内送料]]/0.8,-1)</f>
        <v>0</v>
      </c>
      <c r="V873" s="134">
        <f>商品マスタ[[#This Row],[海外定価
（20％）]]-商品マスタ[[#This Row],[仕入単価+国内送料]]</f>
        <v>0</v>
      </c>
      <c r="W873" s="87">
        <f>ROUNDUP(商品マスタ[[#This Row],[仕入単価+国内送料]]/0.85,-1)</f>
        <v>0</v>
      </c>
      <c r="X873" s="134">
        <f>商品マスタ[[#This Row],[国内定価
（15％）]]-商品マスタ[[#This Row],[仕入単価+国内送料]]</f>
        <v>0</v>
      </c>
      <c r="Y873" s="139"/>
      <c r="Z873" s="87"/>
      <c r="AA873" s="87"/>
      <c r="AB873" s="87"/>
      <c r="AC873" s="140"/>
      <c r="AD873" s="87"/>
      <c r="AE873" s="87"/>
      <c r="AF873" s="87"/>
      <c r="AG873" s="141"/>
    </row>
    <row r="874" spans="1:33" ht="18">
      <c r="A874" s="166"/>
      <c r="B874" s="167"/>
      <c r="C874" s="167"/>
      <c r="D874" s="143" t="str">
        <f>"PRD_SNJ_"&amp;
_xlfn.XLOOKUP(商品マスタ[[#This Row],[仕入先]],テーブル1[仕入先名],テーブル1[仕入先コード],"XXX",0,1)&amp;
"_"&amp;
商品マスタ[[#This Row],[シリアル]]&amp;
"_"&amp;
TEXT(COUNTIFS(商品マスタ!$C$3:C874,商品マスタ[[#This Row],[仕入先]],商品マスタ!$E$3:E874,商品マスタ[[#This Row],[商品名]]), "00")</f>
        <v>PRD_SNJ__0000_00</v>
      </c>
      <c r="E874" s="87"/>
      <c r="F874" s="87">
        <f>IF(COUNTIFS($C$3:C874,商品マスタ[[#This Row],[仕入先]],$E$3:E874,商品マスタ[[#This Row],[商品名]]) = 1, 1,0)</f>
        <v>0</v>
      </c>
      <c r="G874" s="133" t="str">
        <f>TEXT(SUMIF($C$3:C874,商品マスタ[[#This Row],[仕入先]],$F$3:F874), "0000")</f>
        <v>0000</v>
      </c>
      <c r="H874" s="87"/>
      <c r="I874" s="87"/>
      <c r="J874" s="87"/>
      <c r="K874" s="87"/>
      <c r="L874" s="134"/>
      <c r="M874" s="157"/>
      <c r="N874" s="134"/>
      <c r="O874" s="135" t="str">
        <f>IF(COUNT(商品マスタ[[#This Row],[参考上代
（税込)]]) &gt; 0, (商品マスタ[[#This Row],[参考上代
（税込)]]-商品マスタ[[#This Row],[国内定価
（15％）]])/(商品マスタ[[#This Row],[参考上代
（税込)]]/1.08), "")</f>
        <v/>
      </c>
      <c r="P874" s="136">
        <v>0.1</v>
      </c>
      <c r="Q874" s="134">
        <f>商品マスタ[[#This Row],[仕入
単価]]*商品マスタ[[#This Row],[標準国内送料率]]</f>
        <v>0</v>
      </c>
      <c r="R874" s="134"/>
      <c r="S874" s="134">
        <f>IF(ISBLANK(商品マスタ[[#This Row],[実績
国内送料]]),商品マスタ[[#This Row],[標準国内送料]],)</f>
        <v>0</v>
      </c>
      <c r="T874" s="134">
        <f>商品マスタ[[#This Row],[仕入
単価]]+商品マスタ[[#This Row],[国内送料]]</f>
        <v>0</v>
      </c>
      <c r="U874" s="134">
        <f>ROUNDUP(商品マスタ[[#This Row],[仕入単価+国内送料]]/0.8,-1)</f>
        <v>0</v>
      </c>
      <c r="V874" s="134">
        <f>商品マスタ[[#This Row],[海外定価
（20％）]]-商品マスタ[[#This Row],[仕入単価+国内送料]]</f>
        <v>0</v>
      </c>
      <c r="W874" s="87">
        <f>ROUNDUP(商品マスタ[[#This Row],[仕入単価+国内送料]]/0.85,-1)</f>
        <v>0</v>
      </c>
      <c r="X874" s="134">
        <f>商品マスタ[[#This Row],[国内定価
（15％）]]-商品マスタ[[#This Row],[仕入単価+国内送料]]</f>
        <v>0</v>
      </c>
      <c r="Y874" s="139"/>
      <c r="Z874" s="87"/>
      <c r="AA874" s="87"/>
      <c r="AB874" s="87"/>
      <c r="AC874" s="140"/>
      <c r="AD874" s="87"/>
      <c r="AE874" s="87"/>
      <c r="AF874" s="87"/>
      <c r="AG874" s="141"/>
    </row>
    <row r="875" spans="1:33" ht="18">
      <c r="A875" s="166"/>
      <c r="B875" s="167"/>
      <c r="C875" s="167"/>
      <c r="D875" s="143" t="str">
        <f>"PRD_SNJ_"&amp;
_xlfn.XLOOKUP(商品マスタ[[#This Row],[仕入先]],テーブル1[仕入先名],テーブル1[仕入先コード],"XXX",0,1)&amp;
"_"&amp;
商品マスタ[[#This Row],[シリアル]]&amp;
"_"&amp;
TEXT(COUNTIFS(商品マスタ!$C$3:C875,商品マスタ[[#This Row],[仕入先]],商品マスタ!$E$3:E875,商品マスタ[[#This Row],[商品名]]), "00")</f>
        <v>PRD_SNJ__0000_00</v>
      </c>
      <c r="E875" s="87"/>
      <c r="F875" s="87">
        <f>IF(COUNTIFS($C$3:C875,商品マスタ[[#This Row],[仕入先]],$E$3:E875,商品マスタ[[#This Row],[商品名]]) = 1, 1,0)</f>
        <v>0</v>
      </c>
      <c r="G875" s="133" t="str">
        <f>TEXT(SUMIF($C$3:C875,商品マスタ[[#This Row],[仕入先]],$F$3:F875), "0000")</f>
        <v>0000</v>
      </c>
      <c r="H875" s="87"/>
      <c r="I875" s="87"/>
      <c r="J875" s="87"/>
      <c r="K875" s="87"/>
      <c r="L875" s="134"/>
      <c r="M875" s="157"/>
      <c r="N875" s="134"/>
      <c r="O875" s="135" t="str">
        <f>IF(COUNT(商品マスタ[[#This Row],[参考上代
（税込)]]) &gt; 0, (商品マスタ[[#This Row],[参考上代
（税込)]]-商品マスタ[[#This Row],[国内定価
（15％）]])/(商品マスタ[[#This Row],[参考上代
（税込)]]/1.08), "")</f>
        <v/>
      </c>
      <c r="P875" s="136">
        <v>0.1</v>
      </c>
      <c r="Q875" s="134">
        <f>商品マスタ[[#This Row],[仕入
単価]]*商品マスタ[[#This Row],[標準国内送料率]]</f>
        <v>0</v>
      </c>
      <c r="R875" s="134"/>
      <c r="S875" s="134">
        <f>IF(ISBLANK(商品マスタ[[#This Row],[実績
国内送料]]),商品マスタ[[#This Row],[標準国内送料]],)</f>
        <v>0</v>
      </c>
      <c r="T875" s="134">
        <f>商品マスタ[[#This Row],[仕入
単価]]+商品マスタ[[#This Row],[国内送料]]</f>
        <v>0</v>
      </c>
      <c r="U875" s="134">
        <f>ROUNDUP(商品マスタ[[#This Row],[仕入単価+国内送料]]/0.8,-1)</f>
        <v>0</v>
      </c>
      <c r="V875" s="134">
        <f>商品マスタ[[#This Row],[海外定価
（20％）]]-商品マスタ[[#This Row],[仕入単価+国内送料]]</f>
        <v>0</v>
      </c>
      <c r="W875" s="87">
        <f>ROUNDUP(商品マスタ[[#This Row],[仕入単価+国内送料]]/0.85,-1)</f>
        <v>0</v>
      </c>
      <c r="X875" s="134">
        <f>商品マスタ[[#This Row],[国内定価
（15％）]]-商品マスタ[[#This Row],[仕入単価+国内送料]]</f>
        <v>0</v>
      </c>
      <c r="Y875" s="139"/>
      <c r="Z875" s="87"/>
      <c r="AA875" s="87"/>
      <c r="AB875" s="87"/>
      <c r="AC875" s="140"/>
      <c r="AD875" s="87"/>
      <c r="AE875" s="87"/>
      <c r="AF875" s="87"/>
      <c r="AG875" s="141"/>
    </row>
    <row r="876" spans="1:33" ht="18">
      <c r="A876" s="166"/>
      <c r="B876" s="167"/>
      <c r="C876" s="167"/>
      <c r="D876" s="143" t="str">
        <f>"PRD_SNJ_"&amp;
_xlfn.XLOOKUP(商品マスタ[[#This Row],[仕入先]],テーブル1[仕入先名],テーブル1[仕入先コード],"XXX",0,1)&amp;
"_"&amp;
商品マスタ[[#This Row],[シリアル]]&amp;
"_"&amp;
TEXT(COUNTIFS(商品マスタ!$C$3:C876,商品マスタ[[#This Row],[仕入先]],商品マスタ!$E$3:E876,商品マスタ[[#This Row],[商品名]]), "00")</f>
        <v>PRD_SNJ__0000_00</v>
      </c>
      <c r="E876" s="87"/>
      <c r="F876" s="87">
        <f>IF(COUNTIFS($C$3:C876,商品マスタ[[#This Row],[仕入先]],$E$3:E876,商品マスタ[[#This Row],[商品名]]) = 1, 1,0)</f>
        <v>0</v>
      </c>
      <c r="G876" s="133" t="str">
        <f>TEXT(SUMIF($C$3:C876,商品マスタ[[#This Row],[仕入先]],$F$3:F876), "0000")</f>
        <v>0000</v>
      </c>
      <c r="H876" s="87"/>
      <c r="I876" s="87"/>
      <c r="J876" s="87"/>
      <c r="K876" s="87"/>
      <c r="L876" s="134"/>
      <c r="M876" s="157"/>
      <c r="N876" s="134"/>
      <c r="O876" s="135" t="str">
        <f>IF(COUNT(商品マスタ[[#This Row],[参考上代
（税込)]]) &gt; 0, (商品マスタ[[#This Row],[参考上代
（税込)]]-商品マスタ[[#This Row],[国内定価
（15％）]])/(商品マスタ[[#This Row],[参考上代
（税込)]]/1.08), "")</f>
        <v/>
      </c>
      <c r="P876" s="136">
        <v>0.1</v>
      </c>
      <c r="Q876" s="134">
        <f>商品マスタ[[#This Row],[仕入
単価]]*商品マスタ[[#This Row],[標準国内送料率]]</f>
        <v>0</v>
      </c>
      <c r="R876" s="134"/>
      <c r="S876" s="134">
        <f>IF(ISBLANK(商品マスタ[[#This Row],[実績
国内送料]]),商品マスタ[[#This Row],[標準国内送料]],)</f>
        <v>0</v>
      </c>
      <c r="T876" s="134">
        <f>商品マスタ[[#This Row],[仕入
単価]]+商品マスタ[[#This Row],[国内送料]]</f>
        <v>0</v>
      </c>
      <c r="U876" s="134">
        <f>ROUNDUP(商品マスタ[[#This Row],[仕入単価+国内送料]]/0.8,-1)</f>
        <v>0</v>
      </c>
      <c r="V876" s="134">
        <f>商品マスタ[[#This Row],[海外定価
（20％）]]-商品マスタ[[#This Row],[仕入単価+国内送料]]</f>
        <v>0</v>
      </c>
      <c r="W876" s="87">
        <f>ROUNDUP(商品マスタ[[#This Row],[仕入単価+国内送料]]/0.85,-1)</f>
        <v>0</v>
      </c>
      <c r="X876" s="134">
        <f>商品マスタ[[#This Row],[国内定価
（15％）]]-商品マスタ[[#This Row],[仕入単価+国内送料]]</f>
        <v>0</v>
      </c>
      <c r="Y876" s="139"/>
      <c r="Z876" s="87"/>
      <c r="AA876" s="87"/>
      <c r="AB876" s="87"/>
      <c r="AC876" s="140"/>
      <c r="AD876" s="87"/>
      <c r="AE876" s="87"/>
      <c r="AF876" s="87"/>
      <c r="AG876" s="141"/>
    </row>
    <row r="877" spans="1:33" ht="18">
      <c r="A877" s="166"/>
      <c r="B877" s="167"/>
      <c r="C877" s="167"/>
      <c r="D877" s="143" t="str">
        <f>"PRD_SNJ_"&amp;
_xlfn.XLOOKUP(商品マスタ[[#This Row],[仕入先]],テーブル1[仕入先名],テーブル1[仕入先コード],"XXX",0,1)&amp;
"_"&amp;
商品マスタ[[#This Row],[シリアル]]&amp;
"_"&amp;
TEXT(COUNTIFS(商品マスタ!$C$3:C877,商品マスタ[[#This Row],[仕入先]],商品マスタ!$E$3:E877,商品マスタ[[#This Row],[商品名]]), "00")</f>
        <v>PRD_SNJ__0000_00</v>
      </c>
      <c r="E877" s="87"/>
      <c r="F877" s="87">
        <f>IF(COUNTIFS($C$3:C877,商品マスタ[[#This Row],[仕入先]],$E$3:E877,商品マスタ[[#This Row],[商品名]]) = 1, 1,0)</f>
        <v>0</v>
      </c>
      <c r="G877" s="133" t="str">
        <f>TEXT(SUMIF($C$3:C877,商品マスタ[[#This Row],[仕入先]],$F$3:F877), "0000")</f>
        <v>0000</v>
      </c>
      <c r="H877" s="87"/>
      <c r="I877" s="87"/>
      <c r="J877" s="87"/>
      <c r="K877" s="87"/>
      <c r="L877" s="134"/>
      <c r="M877" s="157"/>
      <c r="N877" s="134"/>
      <c r="O877" s="135" t="str">
        <f>IF(COUNT(商品マスタ[[#This Row],[参考上代
（税込)]]) &gt; 0, (商品マスタ[[#This Row],[参考上代
（税込)]]-商品マスタ[[#This Row],[国内定価
（15％）]])/(商品マスタ[[#This Row],[参考上代
（税込)]]/1.08), "")</f>
        <v/>
      </c>
      <c r="P877" s="136">
        <v>0.1</v>
      </c>
      <c r="Q877" s="134">
        <f>商品マスタ[[#This Row],[仕入
単価]]*商品マスタ[[#This Row],[標準国内送料率]]</f>
        <v>0</v>
      </c>
      <c r="R877" s="134"/>
      <c r="S877" s="134">
        <f>IF(ISBLANK(商品マスタ[[#This Row],[実績
国内送料]]),商品マスタ[[#This Row],[標準国内送料]],)</f>
        <v>0</v>
      </c>
      <c r="T877" s="134">
        <f>商品マスタ[[#This Row],[仕入
単価]]+商品マスタ[[#This Row],[国内送料]]</f>
        <v>0</v>
      </c>
      <c r="U877" s="134">
        <f>ROUNDUP(商品マスタ[[#This Row],[仕入単価+国内送料]]/0.8,-1)</f>
        <v>0</v>
      </c>
      <c r="V877" s="134">
        <f>商品マスタ[[#This Row],[海外定価
（20％）]]-商品マスタ[[#This Row],[仕入単価+国内送料]]</f>
        <v>0</v>
      </c>
      <c r="W877" s="87">
        <f>ROUNDUP(商品マスタ[[#This Row],[仕入単価+国内送料]]/0.85,-1)</f>
        <v>0</v>
      </c>
      <c r="X877" s="134">
        <f>商品マスタ[[#This Row],[国内定価
（15％）]]-商品マスタ[[#This Row],[仕入単価+国内送料]]</f>
        <v>0</v>
      </c>
      <c r="Y877" s="139"/>
      <c r="Z877" s="87"/>
      <c r="AA877" s="87"/>
      <c r="AB877" s="87"/>
      <c r="AC877" s="140"/>
      <c r="AD877" s="87"/>
      <c r="AE877" s="87"/>
      <c r="AF877" s="87"/>
      <c r="AG877" s="141"/>
    </row>
    <row r="878" spans="1:33" ht="18">
      <c r="A878" s="166"/>
      <c r="B878" s="167"/>
      <c r="C878" s="167"/>
      <c r="D878" s="143" t="str">
        <f>"PRD_SNJ_"&amp;
_xlfn.XLOOKUP(商品マスタ[[#This Row],[仕入先]],テーブル1[仕入先名],テーブル1[仕入先コード],"XXX",0,1)&amp;
"_"&amp;
商品マスタ[[#This Row],[シリアル]]&amp;
"_"&amp;
TEXT(COUNTIFS(商品マスタ!$C$3:C878,商品マスタ[[#This Row],[仕入先]],商品マスタ!$E$3:E878,商品マスタ[[#This Row],[商品名]]), "00")</f>
        <v>PRD_SNJ__0000_00</v>
      </c>
      <c r="E878" s="87"/>
      <c r="F878" s="87">
        <f>IF(COUNTIFS($C$3:C878,商品マスタ[[#This Row],[仕入先]],$E$3:E878,商品マスタ[[#This Row],[商品名]]) = 1, 1,0)</f>
        <v>0</v>
      </c>
      <c r="G878" s="133" t="str">
        <f>TEXT(SUMIF($C$3:C878,商品マスタ[[#This Row],[仕入先]],$F$3:F878), "0000")</f>
        <v>0000</v>
      </c>
      <c r="H878" s="87"/>
      <c r="I878" s="87"/>
      <c r="J878" s="87"/>
      <c r="K878" s="87"/>
      <c r="L878" s="134"/>
      <c r="M878" s="157"/>
      <c r="N878" s="134"/>
      <c r="O878" s="135" t="str">
        <f>IF(COUNT(商品マスタ[[#This Row],[参考上代
（税込)]]) &gt; 0, (商品マスタ[[#This Row],[参考上代
（税込)]]-商品マスタ[[#This Row],[国内定価
（15％）]])/(商品マスタ[[#This Row],[参考上代
（税込)]]/1.08), "")</f>
        <v/>
      </c>
      <c r="P878" s="136">
        <v>0.1</v>
      </c>
      <c r="Q878" s="134">
        <f>商品マスタ[[#This Row],[仕入
単価]]*商品マスタ[[#This Row],[標準国内送料率]]</f>
        <v>0</v>
      </c>
      <c r="R878" s="134"/>
      <c r="S878" s="134">
        <f>IF(ISBLANK(商品マスタ[[#This Row],[実績
国内送料]]),商品マスタ[[#This Row],[標準国内送料]],)</f>
        <v>0</v>
      </c>
      <c r="T878" s="134">
        <f>商品マスタ[[#This Row],[仕入
単価]]+商品マスタ[[#This Row],[国内送料]]</f>
        <v>0</v>
      </c>
      <c r="U878" s="134">
        <f>ROUNDUP(商品マスタ[[#This Row],[仕入単価+国内送料]]/0.8,-1)</f>
        <v>0</v>
      </c>
      <c r="V878" s="134">
        <f>商品マスタ[[#This Row],[海外定価
（20％）]]-商品マスタ[[#This Row],[仕入単価+国内送料]]</f>
        <v>0</v>
      </c>
      <c r="W878" s="87">
        <f>ROUNDUP(商品マスタ[[#This Row],[仕入単価+国内送料]]/0.85,-1)</f>
        <v>0</v>
      </c>
      <c r="X878" s="134">
        <f>商品マスタ[[#This Row],[国内定価
（15％）]]-商品マスタ[[#This Row],[仕入単価+国内送料]]</f>
        <v>0</v>
      </c>
      <c r="Y878" s="139"/>
      <c r="Z878" s="87"/>
      <c r="AA878" s="87"/>
      <c r="AB878" s="87"/>
      <c r="AC878" s="140"/>
      <c r="AD878" s="87"/>
      <c r="AE878" s="87"/>
      <c r="AF878" s="87"/>
      <c r="AG878" s="141"/>
    </row>
    <row r="879" spans="1:33" ht="18">
      <c r="A879" s="166"/>
      <c r="B879" s="167"/>
      <c r="C879" s="167"/>
      <c r="D879" s="143" t="str">
        <f>"PRD_SNJ_"&amp;
_xlfn.XLOOKUP(商品マスタ[[#This Row],[仕入先]],テーブル1[仕入先名],テーブル1[仕入先コード],"XXX",0,1)&amp;
"_"&amp;
商品マスタ[[#This Row],[シリアル]]&amp;
"_"&amp;
TEXT(COUNTIFS(商品マスタ!$C$3:C879,商品マスタ[[#This Row],[仕入先]],商品マスタ!$E$3:E879,商品マスタ[[#This Row],[商品名]]), "00")</f>
        <v>PRD_SNJ__0000_00</v>
      </c>
      <c r="E879" s="87"/>
      <c r="F879" s="87">
        <f>IF(COUNTIFS($C$3:C879,商品マスタ[[#This Row],[仕入先]],$E$3:E879,商品マスタ[[#This Row],[商品名]]) = 1, 1,0)</f>
        <v>0</v>
      </c>
      <c r="G879" s="133" t="str">
        <f>TEXT(SUMIF($C$3:C879,商品マスタ[[#This Row],[仕入先]],$F$3:F879), "0000")</f>
        <v>0000</v>
      </c>
      <c r="H879" s="87"/>
      <c r="I879" s="87"/>
      <c r="J879" s="87"/>
      <c r="K879" s="87"/>
      <c r="L879" s="134"/>
      <c r="M879" s="157"/>
      <c r="N879" s="134"/>
      <c r="O879" s="135" t="str">
        <f>IF(COUNT(商品マスタ[[#This Row],[参考上代
（税込)]]) &gt; 0, (商品マスタ[[#This Row],[参考上代
（税込)]]-商品マスタ[[#This Row],[国内定価
（15％）]])/(商品マスタ[[#This Row],[参考上代
（税込)]]/1.08), "")</f>
        <v/>
      </c>
      <c r="P879" s="136">
        <v>0.1</v>
      </c>
      <c r="Q879" s="134">
        <f>商品マスタ[[#This Row],[仕入
単価]]*商品マスタ[[#This Row],[標準国内送料率]]</f>
        <v>0</v>
      </c>
      <c r="R879" s="134"/>
      <c r="S879" s="134">
        <f>IF(ISBLANK(商品マスタ[[#This Row],[実績
国内送料]]),商品マスタ[[#This Row],[標準国内送料]],)</f>
        <v>0</v>
      </c>
      <c r="T879" s="134">
        <f>商品マスタ[[#This Row],[仕入
単価]]+商品マスタ[[#This Row],[国内送料]]</f>
        <v>0</v>
      </c>
      <c r="U879" s="134">
        <f>ROUNDUP(商品マスタ[[#This Row],[仕入単価+国内送料]]/0.8,-1)</f>
        <v>0</v>
      </c>
      <c r="V879" s="134">
        <f>商品マスタ[[#This Row],[海外定価
（20％）]]-商品マスタ[[#This Row],[仕入単価+国内送料]]</f>
        <v>0</v>
      </c>
      <c r="W879" s="87">
        <f>ROUNDUP(商品マスタ[[#This Row],[仕入単価+国内送料]]/0.85,-1)</f>
        <v>0</v>
      </c>
      <c r="X879" s="134">
        <f>商品マスタ[[#This Row],[国内定価
（15％）]]-商品マスタ[[#This Row],[仕入単価+国内送料]]</f>
        <v>0</v>
      </c>
      <c r="Y879" s="139"/>
      <c r="Z879" s="87"/>
      <c r="AA879" s="87"/>
      <c r="AB879" s="87"/>
      <c r="AC879" s="140"/>
      <c r="AD879" s="87"/>
      <c r="AE879" s="87"/>
      <c r="AF879" s="87"/>
      <c r="AG879" s="141"/>
    </row>
    <row r="880" spans="1:33" ht="18">
      <c r="A880" s="166"/>
      <c r="B880" s="167"/>
      <c r="C880" s="167"/>
      <c r="D880" s="143" t="str">
        <f>"PRD_SNJ_"&amp;
_xlfn.XLOOKUP(商品マスタ[[#This Row],[仕入先]],テーブル1[仕入先名],テーブル1[仕入先コード],"XXX",0,1)&amp;
"_"&amp;
商品マスタ[[#This Row],[シリアル]]&amp;
"_"&amp;
TEXT(COUNTIFS(商品マスタ!$C$3:C880,商品マスタ[[#This Row],[仕入先]],商品マスタ!$E$3:E880,商品マスタ[[#This Row],[商品名]]), "00")</f>
        <v>PRD_SNJ__0000_00</v>
      </c>
      <c r="E880" s="87"/>
      <c r="F880" s="87">
        <f>IF(COUNTIFS($C$3:C880,商品マスタ[[#This Row],[仕入先]],$E$3:E880,商品マスタ[[#This Row],[商品名]]) = 1, 1,0)</f>
        <v>0</v>
      </c>
      <c r="G880" s="133" t="str">
        <f>TEXT(SUMIF($C$3:C880,商品マスタ[[#This Row],[仕入先]],$F$3:F880), "0000")</f>
        <v>0000</v>
      </c>
      <c r="H880" s="87"/>
      <c r="I880" s="87"/>
      <c r="J880" s="87"/>
      <c r="K880" s="87"/>
      <c r="L880" s="134"/>
      <c r="M880" s="157"/>
      <c r="N880" s="134"/>
      <c r="O880" s="135" t="str">
        <f>IF(COUNT(商品マスタ[[#This Row],[参考上代
（税込)]]) &gt; 0, (商品マスタ[[#This Row],[参考上代
（税込)]]-商品マスタ[[#This Row],[国内定価
（15％）]])/(商品マスタ[[#This Row],[参考上代
（税込)]]/1.08), "")</f>
        <v/>
      </c>
      <c r="P880" s="136">
        <v>0.1</v>
      </c>
      <c r="Q880" s="134">
        <f>商品マスタ[[#This Row],[仕入
単価]]*商品マスタ[[#This Row],[標準国内送料率]]</f>
        <v>0</v>
      </c>
      <c r="R880" s="134"/>
      <c r="S880" s="134">
        <f>IF(ISBLANK(商品マスタ[[#This Row],[実績
国内送料]]),商品マスタ[[#This Row],[標準国内送料]],)</f>
        <v>0</v>
      </c>
      <c r="T880" s="134">
        <f>商品マスタ[[#This Row],[仕入
単価]]+商品マスタ[[#This Row],[国内送料]]</f>
        <v>0</v>
      </c>
      <c r="U880" s="134">
        <f>ROUNDUP(商品マスタ[[#This Row],[仕入単価+国内送料]]/0.8,-1)</f>
        <v>0</v>
      </c>
      <c r="V880" s="134">
        <f>商品マスタ[[#This Row],[海外定価
（20％）]]-商品マスタ[[#This Row],[仕入単価+国内送料]]</f>
        <v>0</v>
      </c>
      <c r="W880" s="87">
        <f>ROUNDUP(商品マスタ[[#This Row],[仕入単価+国内送料]]/0.85,-1)</f>
        <v>0</v>
      </c>
      <c r="X880" s="134">
        <f>商品マスタ[[#This Row],[国内定価
（15％）]]-商品マスタ[[#This Row],[仕入単価+国内送料]]</f>
        <v>0</v>
      </c>
      <c r="Y880" s="139"/>
      <c r="Z880" s="87"/>
      <c r="AA880" s="87"/>
      <c r="AB880" s="87"/>
      <c r="AC880" s="140"/>
      <c r="AD880" s="87"/>
      <c r="AE880" s="87"/>
      <c r="AF880" s="87"/>
      <c r="AG880" s="141"/>
    </row>
    <row r="881" spans="1:33" ht="18">
      <c r="A881" s="166"/>
      <c r="B881" s="167"/>
      <c r="C881" s="167"/>
      <c r="D881" s="143" t="str">
        <f>"PRD_SNJ_"&amp;
_xlfn.XLOOKUP(商品マスタ[[#This Row],[仕入先]],テーブル1[仕入先名],テーブル1[仕入先コード],"XXX",0,1)&amp;
"_"&amp;
商品マスタ[[#This Row],[シリアル]]&amp;
"_"&amp;
TEXT(COUNTIFS(商品マスタ!$C$3:C881,商品マスタ[[#This Row],[仕入先]],商品マスタ!$E$3:E881,商品マスタ[[#This Row],[商品名]]), "00")</f>
        <v>PRD_SNJ__0000_00</v>
      </c>
      <c r="E881" s="87"/>
      <c r="F881" s="87">
        <f>IF(COUNTIFS($C$3:C881,商品マスタ[[#This Row],[仕入先]],$E$3:E881,商品マスタ[[#This Row],[商品名]]) = 1, 1,0)</f>
        <v>0</v>
      </c>
      <c r="G881" s="133" t="str">
        <f>TEXT(SUMIF($C$3:C881,商品マスタ[[#This Row],[仕入先]],$F$3:F881), "0000")</f>
        <v>0000</v>
      </c>
      <c r="H881" s="87"/>
      <c r="I881" s="87"/>
      <c r="J881" s="87"/>
      <c r="K881" s="87"/>
      <c r="L881" s="134"/>
      <c r="M881" s="157"/>
      <c r="N881" s="134"/>
      <c r="O881" s="135" t="str">
        <f>IF(COUNT(商品マスタ[[#This Row],[参考上代
（税込)]]) &gt; 0, (商品マスタ[[#This Row],[参考上代
（税込)]]-商品マスタ[[#This Row],[国内定価
（15％）]])/(商品マスタ[[#This Row],[参考上代
（税込)]]/1.08), "")</f>
        <v/>
      </c>
      <c r="P881" s="136">
        <v>0.1</v>
      </c>
      <c r="Q881" s="134">
        <f>商品マスタ[[#This Row],[仕入
単価]]*商品マスタ[[#This Row],[標準国内送料率]]</f>
        <v>0</v>
      </c>
      <c r="R881" s="134"/>
      <c r="S881" s="134">
        <f>IF(ISBLANK(商品マスタ[[#This Row],[実績
国内送料]]),商品マスタ[[#This Row],[標準国内送料]],)</f>
        <v>0</v>
      </c>
      <c r="T881" s="134">
        <f>商品マスタ[[#This Row],[仕入
単価]]+商品マスタ[[#This Row],[国内送料]]</f>
        <v>0</v>
      </c>
      <c r="U881" s="134">
        <f>ROUNDUP(商品マスタ[[#This Row],[仕入単価+国内送料]]/0.8,-1)</f>
        <v>0</v>
      </c>
      <c r="V881" s="134">
        <f>商品マスタ[[#This Row],[海外定価
（20％）]]-商品マスタ[[#This Row],[仕入単価+国内送料]]</f>
        <v>0</v>
      </c>
      <c r="W881" s="87">
        <f>ROUNDUP(商品マスタ[[#This Row],[仕入単価+国内送料]]/0.85,-1)</f>
        <v>0</v>
      </c>
      <c r="X881" s="134">
        <f>商品マスタ[[#This Row],[国内定価
（15％）]]-商品マスタ[[#This Row],[仕入単価+国内送料]]</f>
        <v>0</v>
      </c>
      <c r="Y881" s="139"/>
      <c r="Z881" s="87"/>
      <c r="AA881" s="87"/>
      <c r="AB881" s="87"/>
      <c r="AC881" s="140"/>
      <c r="AD881" s="87"/>
      <c r="AE881" s="87"/>
      <c r="AF881" s="87"/>
      <c r="AG881" s="141"/>
    </row>
    <row r="882" spans="1:33" ht="18">
      <c r="A882" s="166"/>
      <c r="B882" s="167"/>
      <c r="C882" s="167"/>
      <c r="D882" s="143" t="str">
        <f>"PRD_SNJ_"&amp;
_xlfn.XLOOKUP(商品マスタ[[#This Row],[仕入先]],テーブル1[仕入先名],テーブル1[仕入先コード],"XXX",0,1)&amp;
"_"&amp;
商品マスタ[[#This Row],[シリアル]]&amp;
"_"&amp;
TEXT(COUNTIFS(商品マスタ!$C$3:C882,商品マスタ[[#This Row],[仕入先]],商品マスタ!$E$3:E882,商品マスタ[[#This Row],[商品名]]), "00")</f>
        <v>PRD_SNJ__0000_00</v>
      </c>
      <c r="E882" s="87"/>
      <c r="F882" s="87">
        <f>IF(COUNTIFS($C$3:C882,商品マスタ[[#This Row],[仕入先]],$E$3:E882,商品マスタ[[#This Row],[商品名]]) = 1, 1,0)</f>
        <v>0</v>
      </c>
      <c r="G882" s="133" t="str">
        <f>TEXT(SUMIF($C$3:C882,商品マスタ[[#This Row],[仕入先]],$F$3:F882), "0000")</f>
        <v>0000</v>
      </c>
      <c r="H882" s="87"/>
      <c r="I882" s="87"/>
      <c r="J882" s="87"/>
      <c r="K882" s="87"/>
      <c r="L882" s="134"/>
      <c r="M882" s="157"/>
      <c r="N882" s="134"/>
      <c r="O882" s="135" t="str">
        <f>IF(COUNT(商品マスタ[[#This Row],[参考上代
（税込)]]) &gt; 0, (商品マスタ[[#This Row],[参考上代
（税込)]]-商品マスタ[[#This Row],[国内定価
（15％）]])/(商品マスタ[[#This Row],[参考上代
（税込)]]/1.08), "")</f>
        <v/>
      </c>
      <c r="P882" s="136">
        <v>0.1</v>
      </c>
      <c r="Q882" s="134">
        <f>商品マスタ[[#This Row],[仕入
単価]]*商品マスタ[[#This Row],[標準国内送料率]]</f>
        <v>0</v>
      </c>
      <c r="R882" s="134"/>
      <c r="S882" s="134">
        <f>IF(ISBLANK(商品マスタ[[#This Row],[実績
国内送料]]),商品マスタ[[#This Row],[標準国内送料]],)</f>
        <v>0</v>
      </c>
      <c r="T882" s="134">
        <f>商品マスタ[[#This Row],[仕入
単価]]+商品マスタ[[#This Row],[国内送料]]</f>
        <v>0</v>
      </c>
      <c r="U882" s="134">
        <f>ROUNDUP(商品マスタ[[#This Row],[仕入単価+国内送料]]/0.8,-1)</f>
        <v>0</v>
      </c>
      <c r="V882" s="134">
        <f>商品マスタ[[#This Row],[海外定価
（20％）]]-商品マスタ[[#This Row],[仕入単価+国内送料]]</f>
        <v>0</v>
      </c>
      <c r="W882" s="87">
        <f>ROUNDUP(商品マスタ[[#This Row],[仕入単価+国内送料]]/0.85,-1)</f>
        <v>0</v>
      </c>
      <c r="X882" s="134">
        <f>商品マスタ[[#This Row],[国内定価
（15％）]]-商品マスタ[[#This Row],[仕入単価+国内送料]]</f>
        <v>0</v>
      </c>
      <c r="Y882" s="139"/>
      <c r="Z882" s="87"/>
      <c r="AA882" s="87"/>
      <c r="AB882" s="87"/>
      <c r="AC882" s="140"/>
      <c r="AD882" s="87"/>
      <c r="AE882" s="87"/>
      <c r="AF882" s="87"/>
      <c r="AG882" s="141"/>
    </row>
    <row r="883" spans="1:33" ht="18">
      <c r="A883" s="166"/>
      <c r="B883" s="167"/>
      <c r="C883" s="167"/>
      <c r="D883" s="143" t="str">
        <f>"PRD_SNJ_"&amp;
_xlfn.XLOOKUP(商品マスタ[[#This Row],[仕入先]],テーブル1[仕入先名],テーブル1[仕入先コード],"XXX",0,1)&amp;
"_"&amp;
商品マスタ[[#This Row],[シリアル]]&amp;
"_"&amp;
TEXT(COUNTIFS(商品マスタ!$C$3:C883,商品マスタ[[#This Row],[仕入先]],商品マスタ!$E$3:E883,商品マスタ[[#This Row],[商品名]]), "00")</f>
        <v>PRD_SNJ__0000_00</v>
      </c>
      <c r="E883" s="87"/>
      <c r="F883" s="87">
        <f>IF(COUNTIFS($C$3:C883,商品マスタ[[#This Row],[仕入先]],$E$3:E883,商品マスタ[[#This Row],[商品名]]) = 1, 1,0)</f>
        <v>0</v>
      </c>
      <c r="G883" s="133" t="str">
        <f>TEXT(SUMIF($C$3:C883,商品マスタ[[#This Row],[仕入先]],$F$3:F883), "0000")</f>
        <v>0000</v>
      </c>
      <c r="H883" s="87"/>
      <c r="I883" s="87"/>
      <c r="J883" s="87"/>
      <c r="K883" s="87"/>
      <c r="L883" s="134"/>
      <c r="M883" s="157"/>
      <c r="N883" s="134"/>
      <c r="O883" s="135" t="str">
        <f>IF(COUNT(商品マスタ[[#This Row],[参考上代
（税込)]]) &gt; 0, (商品マスタ[[#This Row],[参考上代
（税込)]]-商品マスタ[[#This Row],[国内定価
（15％）]])/(商品マスタ[[#This Row],[参考上代
（税込)]]/1.08), "")</f>
        <v/>
      </c>
      <c r="P883" s="136">
        <v>0.1</v>
      </c>
      <c r="Q883" s="134">
        <f>商品マスタ[[#This Row],[仕入
単価]]*商品マスタ[[#This Row],[標準国内送料率]]</f>
        <v>0</v>
      </c>
      <c r="R883" s="134"/>
      <c r="S883" s="134">
        <f>IF(ISBLANK(商品マスタ[[#This Row],[実績
国内送料]]),商品マスタ[[#This Row],[標準国内送料]],)</f>
        <v>0</v>
      </c>
      <c r="T883" s="134">
        <f>商品マスタ[[#This Row],[仕入
単価]]+商品マスタ[[#This Row],[国内送料]]</f>
        <v>0</v>
      </c>
      <c r="U883" s="134">
        <f>ROUNDUP(商品マスタ[[#This Row],[仕入単価+国内送料]]/0.8,-1)</f>
        <v>0</v>
      </c>
      <c r="V883" s="134">
        <f>商品マスタ[[#This Row],[海外定価
（20％）]]-商品マスタ[[#This Row],[仕入単価+国内送料]]</f>
        <v>0</v>
      </c>
      <c r="W883" s="87">
        <f>ROUNDUP(商品マスタ[[#This Row],[仕入単価+国内送料]]/0.85,-1)</f>
        <v>0</v>
      </c>
      <c r="X883" s="134">
        <f>商品マスタ[[#This Row],[国内定価
（15％）]]-商品マスタ[[#This Row],[仕入単価+国内送料]]</f>
        <v>0</v>
      </c>
      <c r="Y883" s="139"/>
      <c r="Z883" s="87"/>
      <c r="AA883" s="87"/>
      <c r="AB883" s="87"/>
      <c r="AC883" s="140"/>
      <c r="AD883" s="87"/>
      <c r="AE883" s="87"/>
      <c r="AF883" s="87"/>
      <c r="AG883" s="141"/>
    </row>
    <row r="884" spans="1:33" ht="18">
      <c r="A884" s="166"/>
      <c r="B884" s="167"/>
      <c r="C884" s="167"/>
      <c r="D884" s="143" t="str">
        <f>"PRD_SNJ_"&amp;
_xlfn.XLOOKUP(商品マスタ[[#This Row],[仕入先]],テーブル1[仕入先名],テーブル1[仕入先コード],"XXX",0,1)&amp;
"_"&amp;
商品マスタ[[#This Row],[シリアル]]&amp;
"_"&amp;
TEXT(COUNTIFS(商品マスタ!$C$3:C884,商品マスタ[[#This Row],[仕入先]],商品マスタ!$E$3:E884,商品マスタ[[#This Row],[商品名]]), "00")</f>
        <v>PRD_SNJ__0000_00</v>
      </c>
      <c r="E884" s="87"/>
      <c r="F884" s="87">
        <f>IF(COUNTIFS($C$3:C884,商品マスタ[[#This Row],[仕入先]],$E$3:E884,商品マスタ[[#This Row],[商品名]]) = 1, 1,0)</f>
        <v>0</v>
      </c>
      <c r="G884" s="133" t="str">
        <f>TEXT(SUMIF($C$3:C884,商品マスタ[[#This Row],[仕入先]],$F$3:F884), "0000")</f>
        <v>0000</v>
      </c>
      <c r="H884" s="87"/>
      <c r="I884" s="87"/>
      <c r="J884" s="87"/>
      <c r="K884" s="87"/>
      <c r="L884" s="134"/>
      <c r="M884" s="157"/>
      <c r="N884" s="134"/>
      <c r="O884" s="135" t="str">
        <f>IF(COUNT(商品マスタ[[#This Row],[参考上代
（税込)]]) &gt; 0, (商品マスタ[[#This Row],[参考上代
（税込)]]-商品マスタ[[#This Row],[国内定価
（15％）]])/(商品マスタ[[#This Row],[参考上代
（税込)]]/1.08), "")</f>
        <v/>
      </c>
      <c r="P884" s="136">
        <v>0.1</v>
      </c>
      <c r="Q884" s="134">
        <f>商品マスタ[[#This Row],[仕入
単価]]*商品マスタ[[#This Row],[標準国内送料率]]</f>
        <v>0</v>
      </c>
      <c r="R884" s="134"/>
      <c r="S884" s="134">
        <f>IF(ISBLANK(商品マスタ[[#This Row],[実績
国内送料]]),商品マスタ[[#This Row],[標準国内送料]],)</f>
        <v>0</v>
      </c>
      <c r="T884" s="134">
        <f>商品マスタ[[#This Row],[仕入
単価]]+商品マスタ[[#This Row],[国内送料]]</f>
        <v>0</v>
      </c>
      <c r="U884" s="134">
        <f>ROUNDUP(商品マスタ[[#This Row],[仕入単価+国内送料]]/0.8,-1)</f>
        <v>0</v>
      </c>
      <c r="V884" s="134">
        <f>商品マスタ[[#This Row],[海外定価
（20％）]]-商品マスタ[[#This Row],[仕入単価+国内送料]]</f>
        <v>0</v>
      </c>
      <c r="W884" s="87">
        <f>ROUNDUP(商品マスタ[[#This Row],[仕入単価+国内送料]]/0.85,-1)</f>
        <v>0</v>
      </c>
      <c r="X884" s="134">
        <f>商品マスタ[[#This Row],[国内定価
（15％）]]-商品マスタ[[#This Row],[仕入単価+国内送料]]</f>
        <v>0</v>
      </c>
      <c r="Y884" s="139"/>
      <c r="Z884" s="87"/>
      <c r="AA884" s="87"/>
      <c r="AB884" s="87"/>
      <c r="AC884" s="140"/>
      <c r="AD884" s="87"/>
      <c r="AE884" s="87"/>
      <c r="AF884" s="87"/>
      <c r="AG884" s="141"/>
    </row>
    <row r="885" spans="1:33" ht="18">
      <c r="A885" s="166"/>
      <c r="B885" s="167"/>
      <c r="C885" s="167"/>
      <c r="D885" s="143" t="str">
        <f>"PRD_SNJ_"&amp;
_xlfn.XLOOKUP(商品マスタ[[#This Row],[仕入先]],テーブル1[仕入先名],テーブル1[仕入先コード],"XXX",0,1)&amp;
"_"&amp;
商品マスタ[[#This Row],[シリアル]]&amp;
"_"&amp;
TEXT(COUNTIFS(商品マスタ!$C$3:C885,商品マスタ[[#This Row],[仕入先]],商品マスタ!$E$3:E885,商品マスタ[[#This Row],[商品名]]), "00")</f>
        <v>PRD_SNJ__0000_00</v>
      </c>
      <c r="E885" s="87"/>
      <c r="F885" s="87">
        <f>IF(COUNTIFS($C$3:C885,商品マスタ[[#This Row],[仕入先]],$E$3:E885,商品マスタ[[#This Row],[商品名]]) = 1, 1,0)</f>
        <v>0</v>
      </c>
      <c r="G885" s="133" t="str">
        <f>TEXT(SUMIF($C$3:C885,商品マスタ[[#This Row],[仕入先]],$F$3:F885), "0000")</f>
        <v>0000</v>
      </c>
      <c r="H885" s="87"/>
      <c r="I885" s="87"/>
      <c r="J885" s="87"/>
      <c r="K885" s="87"/>
      <c r="L885" s="134"/>
      <c r="M885" s="157"/>
      <c r="N885" s="134"/>
      <c r="O885" s="135" t="str">
        <f>IF(COUNT(商品マスタ[[#This Row],[参考上代
（税込)]]) &gt; 0, (商品マスタ[[#This Row],[参考上代
（税込)]]-商品マスタ[[#This Row],[国内定価
（15％）]])/(商品マスタ[[#This Row],[参考上代
（税込)]]/1.08), "")</f>
        <v/>
      </c>
      <c r="P885" s="136">
        <v>0.1</v>
      </c>
      <c r="Q885" s="134">
        <f>商品マスタ[[#This Row],[仕入
単価]]*商品マスタ[[#This Row],[標準国内送料率]]</f>
        <v>0</v>
      </c>
      <c r="R885" s="134"/>
      <c r="S885" s="134">
        <f>IF(ISBLANK(商品マスタ[[#This Row],[実績
国内送料]]),商品マスタ[[#This Row],[標準国内送料]],)</f>
        <v>0</v>
      </c>
      <c r="T885" s="134">
        <f>商品マスタ[[#This Row],[仕入
単価]]+商品マスタ[[#This Row],[国内送料]]</f>
        <v>0</v>
      </c>
      <c r="U885" s="134">
        <f>ROUNDUP(商品マスタ[[#This Row],[仕入単価+国内送料]]/0.8,-1)</f>
        <v>0</v>
      </c>
      <c r="V885" s="134">
        <f>商品マスタ[[#This Row],[海外定価
（20％）]]-商品マスタ[[#This Row],[仕入単価+国内送料]]</f>
        <v>0</v>
      </c>
      <c r="W885" s="87">
        <f>ROUNDUP(商品マスタ[[#This Row],[仕入単価+国内送料]]/0.85,-1)</f>
        <v>0</v>
      </c>
      <c r="X885" s="134">
        <f>商品マスタ[[#This Row],[国内定価
（15％）]]-商品マスタ[[#This Row],[仕入単価+国内送料]]</f>
        <v>0</v>
      </c>
      <c r="Y885" s="139"/>
      <c r="Z885" s="87"/>
      <c r="AA885" s="87"/>
      <c r="AB885" s="87"/>
      <c r="AC885" s="140"/>
      <c r="AD885" s="87"/>
      <c r="AE885" s="87"/>
      <c r="AF885" s="87"/>
      <c r="AG885" s="141"/>
    </row>
    <row r="886" spans="1:33" ht="18">
      <c r="A886" s="166"/>
      <c r="B886" s="167"/>
      <c r="C886" s="167"/>
      <c r="D886" s="143" t="str">
        <f>"PRD_SNJ_"&amp;
_xlfn.XLOOKUP(商品マスタ[[#This Row],[仕入先]],テーブル1[仕入先名],テーブル1[仕入先コード],"XXX",0,1)&amp;
"_"&amp;
商品マスタ[[#This Row],[シリアル]]&amp;
"_"&amp;
TEXT(COUNTIFS(商品マスタ!$C$3:C886,商品マスタ[[#This Row],[仕入先]],商品マスタ!$E$3:E886,商品マスタ[[#This Row],[商品名]]), "00")</f>
        <v>PRD_SNJ__0000_00</v>
      </c>
      <c r="E886" s="87"/>
      <c r="F886" s="87">
        <f>IF(COUNTIFS($C$3:C886,商品マスタ[[#This Row],[仕入先]],$E$3:E886,商品マスタ[[#This Row],[商品名]]) = 1, 1,0)</f>
        <v>0</v>
      </c>
      <c r="G886" s="133" t="str">
        <f>TEXT(SUMIF($C$3:C886,商品マスタ[[#This Row],[仕入先]],$F$3:F886), "0000")</f>
        <v>0000</v>
      </c>
      <c r="H886" s="87"/>
      <c r="I886" s="87"/>
      <c r="J886" s="87"/>
      <c r="K886" s="87"/>
      <c r="L886" s="134"/>
      <c r="M886" s="157"/>
      <c r="N886" s="134"/>
      <c r="O886" s="135" t="str">
        <f>IF(COUNT(商品マスタ[[#This Row],[参考上代
（税込)]]) &gt; 0, (商品マスタ[[#This Row],[参考上代
（税込)]]-商品マスタ[[#This Row],[国内定価
（15％）]])/(商品マスタ[[#This Row],[参考上代
（税込)]]/1.08), "")</f>
        <v/>
      </c>
      <c r="P886" s="136">
        <v>0.1</v>
      </c>
      <c r="Q886" s="134">
        <f>商品マスタ[[#This Row],[仕入
単価]]*商品マスタ[[#This Row],[標準国内送料率]]</f>
        <v>0</v>
      </c>
      <c r="R886" s="134"/>
      <c r="S886" s="134">
        <f>IF(ISBLANK(商品マスタ[[#This Row],[実績
国内送料]]),商品マスタ[[#This Row],[標準国内送料]],)</f>
        <v>0</v>
      </c>
      <c r="T886" s="134">
        <f>商品マスタ[[#This Row],[仕入
単価]]+商品マスタ[[#This Row],[国内送料]]</f>
        <v>0</v>
      </c>
      <c r="U886" s="134">
        <f>ROUNDUP(商品マスタ[[#This Row],[仕入単価+国内送料]]/0.8,-1)</f>
        <v>0</v>
      </c>
      <c r="V886" s="134">
        <f>商品マスタ[[#This Row],[海外定価
（20％）]]-商品マスタ[[#This Row],[仕入単価+国内送料]]</f>
        <v>0</v>
      </c>
      <c r="W886" s="87">
        <f>ROUNDUP(商品マスタ[[#This Row],[仕入単価+国内送料]]/0.85,-1)</f>
        <v>0</v>
      </c>
      <c r="X886" s="134">
        <f>商品マスタ[[#This Row],[国内定価
（15％）]]-商品マスタ[[#This Row],[仕入単価+国内送料]]</f>
        <v>0</v>
      </c>
      <c r="Y886" s="139"/>
      <c r="Z886" s="87"/>
      <c r="AA886" s="87"/>
      <c r="AB886" s="87"/>
      <c r="AC886" s="140"/>
      <c r="AD886" s="87"/>
      <c r="AE886" s="87"/>
      <c r="AF886" s="87"/>
      <c r="AG886" s="141"/>
    </row>
    <row r="887" spans="1:33" ht="18">
      <c r="A887" s="166"/>
      <c r="B887" s="167"/>
      <c r="C887" s="167"/>
      <c r="D887" s="143" t="str">
        <f>"PRD_SNJ_"&amp;
_xlfn.XLOOKUP(商品マスタ[[#This Row],[仕入先]],テーブル1[仕入先名],テーブル1[仕入先コード],"XXX",0,1)&amp;
"_"&amp;
商品マスタ[[#This Row],[シリアル]]&amp;
"_"&amp;
TEXT(COUNTIFS(商品マスタ!$C$3:C887,商品マスタ[[#This Row],[仕入先]],商品マスタ!$E$3:E887,商品マスタ[[#This Row],[商品名]]), "00")</f>
        <v>PRD_SNJ__0000_00</v>
      </c>
      <c r="E887" s="87"/>
      <c r="F887" s="87">
        <f>IF(COUNTIFS($C$3:C887,商品マスタ[[#This Row],[仕入先]],$E$3:E887,商品マスタ[[#This Row],[商品名]]) = 1, 1,0)</f>
        <v>0</v>
      </c>
      <c r="G887" s="133" t="str">
        <f>TEXT(SUMIF($C$3:C887,商品マスタ[[#This Row],[仕入先]],$F$3:F887), "0000")</f>
        <v>0000</v>
      </c>
      <c r="H887" s="87"/>
      <c r="I887" s="87"/>
      <c r="J887" s="87"/>
      <c r="K887" s="87"/>
      <c r="L887" s="134"/>
      <c r="M887" s="157"/>
      <c r="N887" s="134"/>
      <c r="O887" s="135" t="str">
        <f>IF(COUNT(商品マスタ[[#This Row],[参考上代
（税込)]]) &gt; 0, (商品マスタ[[#This Row],[参考上代
（税込)]]-商品マスタ[[#This Row],[国内定価
（15％）]])/(商品マスタ[[#This Row],[参考上代
（税込)]]/1.08), "")</f>
        <v/>
      </c>
      <c r="P887" s="136">
        <v>0.1</v>
      </c>
      <c r="Q887" s="134">
        <f>商品マスタ[[#This Row],[仕入
単価]]*商品マスタ[[#This Row],[標準国内送料率]]</f>
        <v>0</v>
      </c>
      <c r="R887" s="134"/>
      <c r="S887" s="134">
        <f>IF(ISBLANK(商品マスタ[[#This Row],[実績
国内送料]]),商品マスタ[[#This Row],[標準国内送料]],)</f>
        <v>0</v>
      </c>
      <c r="T887" s="134">
        <f>商品マスタ[[#This Row],[仕入
単価]]+商品マスタ[[#This Row],[国内送料]]</f>
        <v>0</v>
      </c>
      <c r="U887" s="134">
        <f>ROUNDUP(商品マスタ[[#This Row],[仕入単価+国内送料]]/0.8,-1)</f>
        <v>0</v>
      </c>
      <c r="V887" s="134">
        <f>商品マスタ[[#This Row],[海外定価
（20％）]]-商品マスタ[[#This Row],[仕入単価+国内送料]]</f>
        <v>0</v>
      </c>
      <c r="W887" s="87">
        <f>ROUNDUP(商品マスタ[[#This Row],[仕入単価+国内送料]]/0.85,-1)</f>
        <v>0</v>
      </c>
      <c r="X887" s="134">
        <f>商品マスタ[[#This Row],[国内定価
（15％）]]-商品マスタ[[#This Row],[仕入単価+国内送料]]</f>
        <v>0</v>
      </c>
      <c r="Y887" s="139"/>
      <c r="Z887" s="87"/>
      <c r="AA887" s="87"/>
      <c r="AB887" s="87"/>
      <c r="AC887" s="140"/>
      <c r="AD887" s="87"/>
      <c r="AE887" s="87"/>
      <c r="AF887" s="87"/>
      <c r="AG887" s="141"/>
    </row>
    <row r="888" spans="1:33" ht="18">
      <c r="A888" s="166"/>
      <c r="B888" s="167"/>
      <c r="C888" s="167"/>
      <c r="D888" s="143" t="str">
        <f>"PRD_SNJ_"&amp;
_xlfn.XLOOKUP(商品マスタ[[#This Row],[仕入先]],テーブル1[仕入先名],テーブル1[仕入先コード],"XXX",0,1)&amp;
"_"&amp;
商品マスタ[[#This Row],[シリアル]]&amp;
"_"&amp;
TEXT(COUNTIFS(商品マスタ!$C$3:C888,商品マスタ[[#This Row],[仕入先]],商品マスタ!$E$3:E888,商品マスタ[[#This Row],[商品名]]), "00")</f>
        <v>PRD_SNJ__0000_00</v>
      </c>
      <c r="E888" s="87"/>
      <c r="F888" s="87">
        <f>IF(COUNTIFS($C$3:C888,商品マスタ[[#This Row],[仕入先]],$E$3:E888,商品マスタ[[#This Row],[商品名]]) = 1, 1,0)</f>
        <v>0</v>
      </c>
      <c r="G888" s="133" t="str">
        <f>TEXT(SUMIF($C$3:C888,商品マスタ[[#This Row],[仕入先]],$F$3:F888), "0000")</f>
        <v>0000</v>
      </c>
      <c r="H888" s="87"/>
      <c r="I888" s="87"/>
      <c r="J888" s="87"/>
      <c r="K888" s="87"/>
      <c r="L888" s="134"/>
      <c r="M888" s="157"/>
      <c r="N888" s="134"/>
      <c r="O888" s="135" t="str">
        <f>IF(COUNT(商品マスタ[[#This Row],[参考上代
（税込)]]) &gt; 0, (商品マスタ[[#This Row],[参考上代
（税込)]]-商品マスタ[[#This Row],[国内定価
（15％）]])/(商品マスタ[[#This Row],[参考上代
（税込)]]/1.08), "")</f>
        <v/>
      </c>
      <c r="P888" s="136">
        <v>0.1</v>
      </c>
      <c r="Q888" s="134">
        <f>商品マスタ[[#This Row],[仕入
単価]]*商品マスタ[[#This Row],[標準国内送料率]]</f>
        <v>0</v>
      </c>
      <c r="R888" s="134"/>
      <c r="S888" s="134">
        <f>IF(ISBLANK(商品マスタ[[#This Row],[実績
国内送料]]),商品マスタ[[#This Row],[標準国内送料]],)</f>
        <v>0</v>
      </c>
      <c r="T888" s="134">
        <f>商品マスタ[[#This Row],[仕入
単価]]+商品マスタ[[#This Row],[国内送料]]</f>
        <v>0</v>
      </c>
      <c r="U888" s="134">
        <f>ROUNDUP(商品マスタ[[#This Row],[仕入単価+国内送料]]/0.8,-1)</f>
        <v>0</v>
      </c>
      <c r="V888" s="134">
        <f>商品マスタ[[#This Row],[海外定価
（20％）]]-商品マスタ[[#This Row],[仕入単価+国内送料]]</f>
        <v>0</v>
      </c>
      <c r="W888" s="87">
        <f>ROUNDUP(商品マスタ[[#This Row],[仕入単価+国内送料]]/0.85,-1)</f>
        <v>0</v>
      </c>
      <c r="X888" s="134">
        <f>商品マスタ[[#This Row],[国内定価
（15％）]]-商品マスタ[[#This Row],[仕入単価+国内送料]]</f>
        <v>0</v>
      </c>
      <c r="Y888" s="139"/>
      <c r="Z888" s="87"/>
      <c r="AA888" s="87"/>
      <c r="AB888" s="87"/>
      <c r="AC888" s="140"/>
      <c r="AD888" s="87"/>
      <c r="AE888" s="87"/>
      <c r="AF888" s="87"/>
      <c r="AG888" s="141"/>
    </row>
    <row r="889" spans="1:33" ht="18">
      <c r="A889" s="166"/>
      <c r="B889" s="167"/>
      <c r="C889" s="167"/>
      <c r="D889" s="143" t="str">
        <f>"PRD_SNJ_"&amp;
_xlfn.XLOOKUP(商品マスタ[[#This Row],[仕入先]],テーブル1[仕入先名],テーブル1[仕入先コード],"XXX",0,1)&amp;
"_"&amp;
商品マスタ[[#This Row],[シリアル]]&amp;
"_"&amp;
TEXT(COUNTIFS(商品マスタ!$C$3:C889,商品マスタ[[#This Row],[仕入先]],商品マスタ!$E$3:E889,商品マスタ[[#This Row],[商品名]]), "00")</f>
        <v>PRD_SNJ__0000_00</v>
      </c>
      <c r="E889" s="87"/>
      <c r="F889" s="87">
        <f>IF(COUNTIFS($C$3:C889,商品マスタ[[#This Row],[仕入先]],$E$3:E889,商品マスタ[[#This Row],[商品名]]) = 1, 1,0)</f>
        <v>0</v>
      </c>
      <c r="G889" s="133" t="str">
        <f>TEXT(SUMIF($C$3:C889,商品マスタ[[#This Row],[仕入先]],$F$3:F889), "0000")</f>
        <v>0000</v>
      </c>
      <c r="H889" s="87"/>
      <c r="I889" s="87"/>
      <c r="J889" s="87"/>
      <c r="K889" s="87"/>
      <c r="L889" s="134"/>
      <c r="M889" s="157"/>
      <c r="N889" s="134"/>
      <c r="O889" s="135" t="str">
        <f>IF(COUNT(商品マスタ[[#This Row],[参考上代
（税込)]]) &gt; 0, (商品マスタ[[#This Row],[参考上代
（税込)]]-商品マスタ[[#This Row],[国内定価
（15％）]])/(商品マスタ[[#This Row],[参考上代
（税込)]]/1.08), "")</f>
        <v/>
      </c>
      <c r="P889" s="136">
        <v>0.1</v>
      </c>
      <c r="Q889" s="134">
        <f>商品マスタ[[#This Row],[仕入
単価]]*商品マスタ[[#This Row],[標準国内送料率]]</f>
        <v>0</v>
      </c>
      <c r="R889" s="134"/>
      <c r="S889" s="134">
        <f>IF(ISBLANK(商品マスタ[[#This Row],[実績
国内送料]]),商品マスタ[[#This Row],[標準国内送料]],)</f>
        <v>0</v>
      </c>
      <c r="T889" s="134">
        <f>商品マスタ[[#This Row],[仕入
単価]]+商品マスタ[[#This Row],[国内送料]]</f>
        <v>0</v>
      </c>
      <c r="U889" s="134">
        <f>ROUNDUP(商品マスタ[[#This Row],[仕入単価+国内送料]]/0.8,-1)</f>
        <v>0</v>
      </c>
      <c r="V889" s="134">
        <f>商品マスタ[[#This Row],[海外定価
（20％）]]-商品マスタ[[#This Row],[仕入単価+国内送料]]</f>
        <v>0</v>
      </c>
      <c r="W889" s="87">
        <f>ROUNDUP(商品マスタ[[#This Row],[仕入単価+国内送料]]/0.85,-1)</f>
        <v>0</v>
      </c>
      <c r="X889" s="134">
        <f>商品マスタ[[#This Row],[国内定価
（15％）]]-商品マスタ[[#This Row],[仕入単価+国内送料]]</f>
        <v>0</v>
      </c>
      <c r="Y889" s="139"/>
      <c r="Z889" s="87"/>
      <c r="AA889" s="87"/>
      <c r="AB889" s="87"/>
      <c r="AC889" s="140"/>
      <c r="AD889" s="87"/>
      <c r="AE889" s="87"/>
      <c r="AF889" s="87"/>
      <c r="AG889" s="141"/>
    </row>
    <row r="890" spans="1:33" ht="18">
      <c r="A890" s="166"/>
      <c r="B890" s="167"/>
      <c r="C890" s="167"/>
      <c r="D890" s="143" t="str">
        <f>"PRD_SNJ_"&amp;
_xlfn.XLOOKUP(商品マスタ[[#This Row],[仕入先]],テーブル1[仕入先名],テーブル1[仕入先コード],"XXX",0,1)&amp;
"_"&amp;
商品マスタ[[#This Row],[シリアル]]&amp;
"_"&amp;
TEXT(COUNTIFS(商品マスタ!$C$3:C890,商品マスタ[[#This Row],[仕入先]],商品マスタ!$E$3:E890,商品マスタ[[#This Row],[商品名]]), "00")</f>
        <v>PRD_SNJ__0000_00</v>
      </c>
      <c r="E890" s="87"/>
      <c r="F890" s="87">
        <f>IF(COUNTIFS($C$3:C890,商品マスタ[[#This Row],[仕入先]],$E$3:E890,商品マスタ[[#This Row],[商品名]]) = 1, 1,0)</f>
        <v>0</v>
      </c>
      <c r="G890" s="133" t="str">
        <f>TEXT(SUMIF($C$3:C890,商品マスタ[[#This Row],[仕入先]],$F$3:F890), "0000")</f>
        <v>0000</v>
      </c>
      <c r="H890" s="87"/>
      <c r="I890" s="87"/>
      <c r="J890" s="87"/>
      <c r="K890" s="87"/>
      <c r="L890" s="134"/>
      <c r="M890" s="157"/>
      <c r="N890" s="134"/>
      <c r="O890" s="135" t="str">
        <f>IF(COUNT(商品マスタ[[#This Row],[参考上代
（税込)]]) &gt; 0, (商品マスタ[[#This Row],[参考上代
（税込)]]-商品マスタ[[#This Row],[国内定価
（15％）]])/(商品マスタ[[#This Row],[参考上代
（税込)]]/1.08), "")</f>
        <v/>
      </c>
      <c r="P890" s="136">
        <v>0.1</v>
      </c>
      <c r="Q890" s="134">
        <f>商品マスタ[[#This Row],[仕入
単価]]*商品マスタ[[#This Row],[標準国内送料率]]</f>
        <v>0</v>
      </c>
      <c r="R890" s="134"/>
      <c r="S890" s="134">
        <f>IF(ISBLANK(商品マスタ[[#This Row],[実績
国内送料]]),商品マスタ[[#This Row],[標準国内送料]],)</f>
        <v>0</v>
      </c>
      <c r="T890" s="134">
        <f>商品マスタ[[#This Row],[仕入
単価]]+商品マスタ[[#This Row],[国内送料]]</f>
        <v>0</v>
      </c>
      <c r="U890" s="134">
        <f>ROUNDUP(商品マスタ[[#This Row],[仕入単価+国内送料]]/0.8,-1)</f>
        <v>0</v>
      </c>
      <c r="V890" s="134">
        <f>商品マスタ[[#This Row],[海外定価
（20％）]]-商品マスタ[[#This Row],[仕入単価+国内送料]]</f>
        <v>0</v>
      </c>
      <c r="W890" s="87">
        <f>ROUNDUP(商品マスタ[[#This Row],[仕入単価+国内送料]]/0.85,-1)</f>
        <v>0</v>
      </c>
      <c r="X890" s="134">
        <f>商品マスタ[[#This Row],[国内定価
（15％）]]-商品マスタ[[#This Row],[仕入単価+国内送料]]</f>
        <v>0</v>
      </c>
      <c r="Y890" s="139"/>
      <c r="Z890" s="87"/>
      <c r="AA890" s="87"/>
      <c r="AB890" s="87"/>
      <c r="AC890" s="140"/>
      <c r="AD890" s="87"/>
      <c r="AE890" s="87"/>
      <c r="AF890" s="87"/>
      <c r="AG890" s="141"/>
    </row>
    <row r="891" spans="1:33" ht="18">
      <c r="A891" s="166"/>
      <c r="B891" s="167"/>
      <c r="C891" s="167"/>
      <c r="D891" s="143" t="str">
        <f>"PRD_SNJ_"&amp;
_xlfn.XLOOKUP(商品マスタ[[#This Row],[仕入先]],テーブル1[仕入先名],テーブル1[仕入先コード],"XXX",0,1)&amp;
"_"&amp;
商品マスタ[[#This Row],[シリアル]]&amp;
"_"&amp;
TEXT(COUNTIFS(商品マスタ!$C$3:C891,商品マスタ[[#This Row],[仕入先]],商品マスタ!$E$3:E891,商品マスタ[[#This Row],[商品名]]), "00")</f>
        <v>PRD_SNJ__0000_00</v>
      </c>
      <c r="E891" s="87"/>
      <c r="F891" s="87">
        <f>IF(COUNTIFS($C$3:C891,商品マスタ[[#This Row],[仕入先]],$E$3:E891,商品マスタ[[#This Row],[商品名]]) = 1, 1,0)</f>
        <v>0</v>
      </c>
      <c r="G891" s="133" t="str">
        <f>TEXT(SUMIF($C$3:C891,商品マスタ[[#This Row],[仕入先]],$F$3:F891), "0000")</f>
        <v>0000</v>
      </c>
      <c r="H891" s="87"/>
      <c r="I891" s="87"/>
      <c r="J891" s="87"/>
      <c r="K891" s="87"/>
      <c r="L891" s="134"/>
      <c r="M891" s="157"/>
      <c r="N891" s="134"/>
      <c r="O891" s="135" t="str">
        <f>IF(COUNT(商品マスタ[[#This Row],[参考上代
（税込)]]) &gt; 0, (商品マスタ[[#This Row],[参考上代
（税込)]]-商品マスタ[[#This Row],[国内定価
（15％）]])/(商品マスタ[[#This Row],[参考上代
（税込)]]/1.08), "")</f>
        <v/>
      </c>
      <c r="P891" s="136">
        <v>0.1</v>
      </c>
      <c r="Q891" s="134">
        <f>商品マスタ[[#This Row],[仕入
単価]]*商品マスタ[[#This Row],[標準国内送料率]]</f>
        <v>0</v>
      </c>
      <c r="R891" s="134"/>
      <c r="S891" s="134">
        <f>IF(ISBLANK(商品マスタ[[#This Row],[実績
国内送料]]),商品マスタ[[#This Row],[標準国内送料]],)</f>
        <v>0</v>
      </c>
      <c r="T891" s="134">
        <f>商品マスタ[[#This Row],[仕入
単価]]+商品マスタ[[#This Row],[国内送料]]</f>
        <v>0</v>
      </c>
      <c r="U891" s="134">
        <f>ROUNDUP(商品マスタ[[#This Row],[仕入単価+国内送料]]/0.8,-1)</f>
        <v>0</v>
      </c>
      <c r="V891" s="134">
        <f>商品マスタ[[#This Row],[海外定価
（20％）]]-商品マスタ[[#This Row],[仕入単価+国内送料]]</f>
        <v>0</v>
      </c>
      <c r="W891" s="87">
        <f>ROUNDUP(商品マスタ[[#This Row],[仕入単価+国内送料]]/0.85,-1)</f>
        <v>0</v>
      </c>
      <c r="X891" s="134">
        <f>商品マスタ[[#This Row],[国内定価
（15％）]]-商品マスタ[[#This Row],[仕入単価+国内送料]]</f>
        <v>0</v>
      </c>
      <c r="Y891" s="139"/>
      <c r="Z891" s="87"/>
      <c r="AA891" s="87"/>
      <c r="AB891" s="87"/>
      <c r="AC891" s="140"/>
      <c r="AD891" s="87"/>
      <c r="AE891" s="87"/>
      <c r="AF891" s="87"/>
      <c r="AG891" s="141"/>
    </row>
    <row r="892" spans="1:33" ht="18">
      <c r="A892" s="166"/>
      <c r="B892" s="167"/>
      <c r="C892" s="167"/>
      <c r="D892" s="143" t="str">
        <f>"PRD_SNJ_"&amp;
_xlfn.XLOOKUP(商品マスタ[[#This Row],[仕入先]],テーブル1[仕入先名],テーブル1[仕入先コード],"XXX",0,1)&amp;
"_"&amp;
商品マスタ[[#This Row],[シリアル]]&amp;
"_"&amp;
TEXT(COUNTIFS(商品マスタ!$C$3:C892,商品マスタ[[#This Row],[仕入先]],商品マスタ!$E$3:E892,商品マスタ[[#This Row],[商品名]]), "00")</f>
        <v>PRD_SNJ__0000_00</v>
      </c>
      <c r="E892" s="87"/>
      <c r="F892" s="87">
        <f>IF(COUNTIFS($C$3:C892,商品マスタ[[#This Row],[仕入先]],$E$3:E892,商品マスタ[[#This Row],[商品名]]) = 1, 1,0)</f>
        <v>0</v>
      </c>
      <c r="G892" s="133" t="str">
        <f>TEXT(SUMIF($C$3:C892,商品マスタ[[#This Row],[仕入先]],$F$3:F892), "0000")</f>
        <v>0000</v>
      </c>
      <c r="H892" s="87"/>
      <c r="I892" s="87"/>
      <c r="J892" s="87"/>
      <c r="K892" s="87"/>
      <c r="L892" s="134"/>
      <c r="M892" s="157"/>
      <c r="N892" s="134"/>
      <c r="O892" s="135" t="str">
        <f>IF(COUNT(商品マスタ[[#This Row],[参考上代
（税込)]]) &gt; 0, (商品マスタ[[#This Row],[参考上代
（税込)]]-商品マスタ[[#This Row],[国内定価
（15％）]])/(商品マスタ[[#This Row],[参考上代
（税込)]]/1.08), "")</f>
        <v/>
      </c>
      <c r="P892" s="136">
        <v>0.1</v>
      </c>
      <c r="Q892" s="134">
        <f>商品マスタ[[#This Row],[仕入
単価]]*商品マスタ[[#This Row],[標準国内送料率]]</f>
        <v>0</v>
      </c>
      <c r="R892" s="134"/>
      <c r="S892" s="134">
        <f>IF(ISBLANK(商品マスタ[[#This Row],[実績
国内送料]]),商品マスタ[[#This Row],[標準国内送料]],)</f>
        <v>0</v>
      </c>
      <c r="T892" s="134">
        <f>商品マスタ[[#This Row],[仕入
単価]]+商品マスタ[[#This Row],[国内送料]]</f>
        <v>0</v>
      </c>
      <c r="U892" s="134">
        <f>ROUNDUP(商品マスタ[[#This Row],[仕入単価+国内送料]]/0.8,-1)</f>
        <v>0</v>
      </c>
      <c r="V892" s="134">
        <f>商品マスタ[[#This Row],[海外定価
（20％）]]-商品マスタ[[#This Row],[仕入単価+国内送料]]</f>
        <v>0</v>
      </c>
      <c r="W892" s="87">
        <f>ROUNDUP(商品マスタ[[#This Row],[仕入単価+国内送料]]/0.85,-1)</f>
        <v>0</v>
      </c>
      <c r="X892" s="134">
        <f>商品マスタ[[#This Row],[国内定価
（15％）]]-商品マスタ[[#This Row],[仕入単価+国内送料]]</f>
        <v>0</v>
      </c>
      <c r="Y892" s="139"/>
      <c r="Z892" s="87"/>
      <c r="AA892" s="87"/>
      <c r="AB892" s="87"/>
      <c r="AC892" s="140"/>
      <c r="AD892" s="87"/>
      <c r="AE892" s="87"/>
      <c r="AF892" s="87"/>
      <c r="AG892" s="141"/>
    </row>
    <row r="893" spans="1:33" ht="18">
      <c r="A893" s="166"/>
      <c r="B893" s="167"/>
      <c r="C893" s="167"/>
      <c r="D893" s="143" t="str">
        <f>"PRD_SNJ_"&amp;
_xlfn.XLOOKUP(商品マスタ[[#This Row],[仕入先]],テーブル1[仕入先名],テーブル1[仕入先コード],"XXX",0,1)&amp;
"_"&amp;
商品マスタ[[#This Row],[シリアル]]&amp;
"_"&amp;
TEXT(COUNTIFS(商品マスタ!$C$3:C893,商品マスタ[[#This Row],[仕入先]],商品マスタ!$E$3:E893,商品マスタ[[#This Row],[商品名]]), "00")</f>
        <v>PRD_SNJ__0000_00</v>
      </c>
      <c r="E893" s="87"/>
      <c r="F893" s="87">
        <f>IF(COUNTIFS($C$3:C893,商品マスタ[[#This Row],[仕入先]],$E$3:E893,商品マスタ[[#This Row],[商品名]]) = 1, 1,0)</f>
        <v>0</v>
      </c>
      <c r="G893" s="133" t="str">
        <f>TEXT(SUMIF($C$3:C893,商品マスタ[[#This Row],[仕入先]],$F$3:F893), "0000")</f>
        <v>0000</v>
      </c>
      <c r="H893" s="87"/>
      <c r="I893" s="87"/>
      <c r="J893" s="87"/>
      <c r="K893" s="87"/>
      <c r="L893" s="134"/>
      <c r="M893" s="157"/>
      <c r="N893" s="134"/>
      <c r="O893" s="135" t="str">
        <f>IF(COUNT(商品マスタ[[#This Row],[参考上代
（税込)]]) &gt; 0, (商品マスタ[[#This Row],[参考上代
（税込)]]-商品マスタ[[#This Row],[国内定価
（15％）]])/(商品マスタ[[#This Row],[参考上代
（税込)]]/1.08), "")</f>
        <v/>
      </c>
      <c r="P893" s="136">
        <v>0.1</v>
      </c>
      <c r="Q893" s="134">
        <f>商品マスタ[[#This Row],[仕入
単価]]*商品マスタ[[#This Row],[標準国内送料率]]</f>
        <v>0</v>
      </c>
      <c r="R893" s="134"/>
      <c r="S893" s="134">
        <f>IF(ISBLANK(商品マスタ[[#This Row],[実績
国内送料]]),商品マスタ[[#This Row],[標準国内送料]],)</f>
        <v>0</v>
      </c>
      <c r="T893" s="134">
        <f>商品マスタ[[#This Row],[仕入
単価]]+商品マスタ[[#This Row],[国内送料]]</f>
        <v>0</v>
      </c>
      <c r="U893" s="134">
        <f>ROUNDUP(商品マスタ[[#This Row],[仕入単価+国内送料]]/0.8,-1)</f>
        <v>0</v>
      </c>
      <c r="V893" s="134">
        <f>商品マスタ[[#This Row],[海外定価
（20％）]]-商品マスタ[[#This Row],[仕入単価+国内送料]]</f>
        <v>0</v>
      </c>
      <c r="W893" s="87">
        <f>ROUNDUP(商品マスタ[[#This Row],[仕入単価+国内送料]]/0.85,-1)</f>
        <v>0</v>
      </c>
      <c r="X893" s="134">
        <f>商品マスタ[[#This Row],[国内定価
（15％）]]-商品マスタ[[#This Row],[仕入単価+国内送料]]</f>
        <v>0</v>
      </c>
      <c r="Y893" s="139"/>
      <c r="Z893" s="87"/>
      <c r="AA893" s="87"/>
      <c r="AB893" s="87"/>
      <c r="AC893" s="140"/>
      <c r="AD893" s="87"/>
      <c r="AE893" s="87"/>
      <c r="AF893" s="87"/>
      <c r="AG893" s="141"/>
    </row>
    <row r="894" spans="1:33" ht="18">
      <c r="A894" s="166"/>
      <c r="B894" s="167"/>
      <c r="C894" s="167"/>
      <c r="D894" s="143" t="str">
        <f>"PRD_SNJ_"&amp;
_xlfn.XLOOKUP(商品マスタ[[#This Row],[仕入先]],テーブル1[仕入先名],テーブル1[仕入先コード],"XXX",0,1)&amp;
"_"&amp;
商品マスタ[[#This Row],[シリアル]]&amp;
"_"&amp;
TEXT(COUNTIFS(商品マスタ!$C$3:C894,商品マスタ[[#This Row],[仕入先]],商品マスタ!$E$3:E894,商品マスタ[[#This Row],[商品名]]), "00")</f>
        <v>PRD_SNJ__0000_00</v>
      </c>
      <c r="E894" s="87"/>
      <c r="F894" s="87">
        <f>IF(COUNTIFS($C$3:C894,商品マスタ[[#This Row],[仕入先]],$E$3:E894,商品マスタ[[#This Row],[商品名]]) = 1, 1,0)</f>
        <v>0</v>
      </c>
      <c r="G894" s="133" t="str">
        <f>TEXT(SUMIF($C$3:C894,商品マスタ[[#This Row],[仕入先]],$F$3:F894), "0000")</f>
        <v>0000</v>
      </c>
      <c r="H894" s="87"/>
      <c r="I894" s="87"/>
      <c r="J894" s="87"/>
      <c r="K894" s="87"/>
      <c r="L894" s="134"/>
      <c r="M894" s="157"/>
      <c r="N894" s="134"/>
      <c r="O894" s="135" t="str">
        <f>IF(COUNT(商品マスタ[[#This Row],[参考上代
（税込)]]) &gt; 0, (商品マスタ[[#This Row],[参考上代
（税込)]]-商品マスタ[[#This Row],[国内定価
（15％）]])/(商品マスタ[[#This Row],[参考上代
（税込)]]/1.08), "")</f>
        <v/>
      </c>
      <c r="P894" s="136">
        <v>0.1</v>
      </c>
      <c r="Q894" s="134">
        <f>商品マスタ[[#This Row],[仕入
単価]]*商品マスタ[[#This Row],[標準国内送料率]]</f>
        <v>0</v>
      </c>
      <c r="R894" s="134"/>
      <c r="S894" s="134">
        <f>IF(ISBLANK(商品マスタ[[#This Row],[実績
国内送料]]),商品マスタ[[#This Row],[標準国内送料]],)</f>
        <v>0</v>
      </c>
      <c r="T894" s="134">
        <f>商品マスタ[[#This Row],[仕入
単価]]+商品マスタ[[#This Row],[国内送料]]</f>
        <v>0</v>
      </c>
      <c r="U894" s="134">
        <f>ROUNDUP(商品マスタ[[#This Row],[仕入単価+国内送料]]/0.8,-1)</f>
        <v>0</v>
      </c>
      <c r="V894" s="134">
        <f>商品マスタ[[#This Row],[海外定価
（20％）]]-商品マスタ[[#This Row],[仕入単価+国内送料]]</f>
        <v>0</v>
      </c>
      <c r="W894" s="87">
        <f>ROUNDUP(商品マスタ[[#This Row],[仕入単価+国内送料]]/0.85,-1)</f>
        <v>0</v>
      </c>
      <c r="X894" s="134">
        <f>商品マスタ[[#This Row],[国内定価
（15％）]]-商品マスタ[[#This Row],[仕入単価+国内送料]]</f>
        <v>0</v>
      </c>
      <c r="Y894" s="139"/>
      <c r="Z894" s="87"/>
      <c r="AA894" s="87"/>
      <c r="AB894" s="87"/>
      <c r="AC894" s="140"/>
      <c r="AD894" s="87"/>
      <c r="AE894" s="87"/>
      <c r="AF894" s="87"/>
      <c r="AG894" s="141"/>
    </row>
    <row r="895" spans="1:33" ht="18">
      <c r="A895" s="166"/>
      <c r="B895" s="167"/>
      <c r="C895" s="167"/>
      <c r="D895" s="143" t="str">
        <f>"PRD_SNJ_"&amp;
_xlfn.XLOOKUP(商品マスタ[[#This Row],[仕入先]],テーブル1[仕入先名],テーブル1[仕入先コード],"XXX",0,1)&amp;
"_"&amp;
商品マスタ[[#This Row],[シリアル]]&amp;
"_"&amp;
TEXT(COUNTIFS(商品マスタ!$C$3:C895,商品マスタ[[#This Row],[仕入先]],商品マスタ!$E$3:E895,商品マスタ[[#This Row],[商品名]]), "00")</f>
        <v>PRD_SNJ__0000_00</v>
      </c>
      <c r="E895" s="87"/>
      <c r="F895" s="87">
        <f>IF(COUNTIFS($C$3:C895,商品マスタ[[#This Row],[仕入先]],$E$3:E895,商品マスタ[[#This Row],[商品名]]) = 1, 1,0)</f>
        <v>0</v>
      </c>
      <c r="G895" s="133" t="str">
        <f>TEXT(SUMIF($C$3:C895,商品マスタ[[#This Row],[仕入先]],$F$3:F895), "0000")</f>
        <v>0000</v>
      </c>
      <c r="H895" s="87"/>
      <c r="I895" s="87"/>
      <c r="J895" s="87"/>
      <c r="K895" s="87"/>
      <c r="L895" s="134"/>
      <c r="M895" s="157"/>
      <c r="N895" s="134"/>
      <c r="O895" s="135" t="str">
        <f>IF(COUNT(商品マスタ[[#This Row],[参考上代
（税込)]]) &gt; 0, (商品マスタ[[#This Row],[参考上代
（税込)]]-商品マスタ[[#This Row],[国内定価
（15％）]])/(商品マスタ[[#This Row],[参考上代
（税込)]]/1.08), "")</f>
        <v/>
      </c>
      <c r="P895" s="136">
        <v>0.1</v>
      </c>
      <c r="Q895" s="134">
        <f>商品マスタ[[#This Row],[仕入
単価]]*商品マスタ[[#This Row],[標準国内送料率]]</f>
        <v>0</v>
      </c>
      <c r="R895" s="134"/>
      <c r="S895" s="134">
        <f>IF(ISBLANK(商品マスタ[[#This Row],[実績
国内送料]]),商品マスタ[[#This Row],[標準国内送料]],)</f>
        <v>0</v>
      </c>
      <c r="T895" s="134">
        <f>商品マスタ[[#This Row],[仕入
単価]]+商品マスタ[[#This Row],[国内送料]]</f>
        <v>0</v>
      </c>
      <c r="U895" s="134">
        <f>ROUNDUP(商品マスタ[[#This Row],[仕入単価+国内送料]]/0.8,-1)</f>
        <v>0</v>
      </c>
      <c r="V895" s="134">
        <f>商品マスタ[[#This Row],[海外定価
（20％）]]-商品マスタ[[#This Row],[仕入単価+国内送料]]</f>
        <v>0</v>
      </c>
      <c r="W895" s="87">
        <f>ROUNDUP(商品マスタ[[#This Row],[仕入単価+国内送料]]/0.85,-1)</f>
        <v>0</v>
      </c>
      <c r="X895" s="134">
        <f>商品マスタ[[#This Row],[国内定価
（15％）]]-商品マスタ[[#This Row],[仕入単価+国内送料]]</f>
        <v>0</v>
      </c>
      <c r="Y895" s="139"/>
      <c r="Z895" s="87"/>
      <c r="AA895" s="87"/>
      <c r="AB895" s="87"/>
      <c r="AC895" s="140"/>
      <c r="AD895" s="87"/>
      <c r="AE895" s="87"/>
      <c r="AF895" s="87"/>
      <c r="AG895" s="141"/>
    </row>
    <row r="896" spans="1:33" ht="18">
      <c r="A896" s="166"/>
      <c r="B896" s="167"/>
      <c r="C896" s="167"/>
      <c r="D896" s="143" t="str">
        <f>"PRD_SNJ_"&amp;
_xlfn.XLOOKUP(商品マスタ[[#This Row],[仕入先]],テーブル1[仕入先名],テーブル1[仕入先コード],"XXX",0,1)&amp;
"_"&amp;
商品マスタ[[#This Row],[シリアル]]&amp;
"_"&amp;
TEXT(COUNTIFS(商品マスタ!$C$3:C896,商品マスタ[[#This Row],[仕入先]],商品マスタ!$E$3:E896,商品マスタ[[#This Row],[商品名]]), "00")</f>
        <v>PRD_SNJ__0000_00</v>
      </c>
      <c r="E896" s="87"/>
      <c r="F896" s="87">
        <f>IF(COUNTIFS($C$3:C896,商品マスタ[[#This Row],[仕入先]],$E$3:E896,商品マスタ[[#This Row],[商品名]]) = 1, 1,0)</f>
        <v>0</v>
      </c>
      <c r="G896" s="133" t="str">
        <f>TEXT(SUMIF($C$3:C896,商品マスタ[[#This Row],[仕入先]],$F$3:F896), "0000")</f>
        <v>0000</v>
      </c>
      <c r="H896" s="87"/>
      <c r="I896" s="87"/>
      <c r="J896" s="87"/>
      <c r="K896" s="87"/>
      <c r="L896" s="134"/>
      <c r="M896" s="157"/>
      <c r="N896" s="134"/>
      <c r="O896" s="135" t="str">
        <f>IF(COUNT(商品マスタ[[#This Row],[参考上代
（税込)]]) &gt; 0, (商品マスタ[[#This Row],[参考上代
（税込)]]-商品マスタ[[#This Row],[国内定価
（15％）]])/(商品マスタ[[#This Row],[参考上代
（税込)]]/1.08), "")</f>
        <v/>
      </c>
      <c r="P896" s="136">
        <v>0.1</v>
      </c>
      <c r="Q896" s="134">
        <f>商品マスタ[[#This Row],[仕入
単価]]*商品マスタ[[#This Row],[標準国内送料率]]</f>
        <v>0</v>
      </c>
      <c r="R896" s="134"/>
      <c r="S896" s="134">
        <f>IF(ISBLANK(商品マスタ[[#This Row],[実績
国内送料]]),商品マスタ[[#This Row],[標準国内送料]],)</f>
        <v>0</v>
      </c>
      <c r="T896" s="134">
        <f>商品マスタ[[#This Row],[仕入
単価]]+商品マスタ[[#This Row],[国内送料]]</f>
        <v>0</v>
      </c>
      <c r="U896" s="134">
        <f>ROUNDUP(商品マスタ[[#This Row],[仕入単価+国内送料]]/0.8,-1)</f>
        <v>0</v>
      </c>
      <c r="V896" s="134">
        <f>商品マスタ[[#This Row],[海外定価
（20％）]]-商品マスタ[[#This Row],[仕入単価+国内送料]]</f>
        <v>0</v>
      </c>
      <c r="W896" s="87">
        <f>ROUNDUP(商品マスタ[[#This Row],[仕入単価+国内送料]]/0.85,-1)</f>
        <v>0</v>
      </c>
      <c r="X896" s="134">
        <f>商品マスタ[[#This Row],[国内定価
（15％）]]-商品マスタ[[#This Row],[仕入単価+国内送料]]</f>
        <v>0</v>
      </c>
      <c r="Y896" s="139"/>
      <c r="Z896" s="87"/>
      <c r="AA896" s="87"/>
      <c r="AB896" s="87"/>
      <c r="AC896" s="140"/>
      <c r="AD896" s="87"/>
      <c r="AE896" s="87"/>
      <c r="AF896" s="87"/>
      <c r="AG896" s="141"/>
    </row>
    <row r="897" spans="1:33" ht="18">
      <c r="A897" s="166"/>
      <c r="B897" s="167"/>
      <c r="C897" s="167"/>
      <c r="D897" s="143" t="str">
        <f>"PRD_SNJ_"&amp;
_xlfn.XLOOKUP(商品マスタ[[#This Row],[仕入先]],テーブル1[仕入先名],テーブル1[仕入先コード],"XXX",0,1)&amp;
"_"&amp;
商品マスタ[[#This Row],[シリアル]]&amp;
"_"&amp;
TEXT(COUNTIFS(商品マスタ!$C$3:C897,商品マスタ[[#This Row],[仕入先]],商品マスタ!$E$3:E897,商品マスタ[[#This Row],[商品名]]), "00")</f>
        <v>PRD_SNJ__0000_00</v>
      </c>
      <c r="E897" s="87"/>
      <c r="F897" s="87">
        <f>IF(COUNTIFS($C$3:C897,商品マスタ[[#This Row],[仕入先]],$E$3:E897,商品マスタ[[#This Row],[商品名]]) = 1, 1,0)</f>
        <v>0</v>
      </c>
      <c r="G897" s="133" t="str">
        <f>TEXT(SUMIF($C$3:C897,商品マスタ[[#This Row],[仕入先]],$F$3:F897), "0000")</f>
        <v>0000</v>
      </c>
      <c r="H897" s="87"/>
      <c r="I897" s="87"/>
      <c r="J897" s="87"/>
      <c r="K897" s="87"/>
      <c r="L897" s="134"/>
      <c r="M897" s="157"/>
      <c r="N897" s="134"/>
      <c r="O897" s="135" t="str">
        <f>IF(COUNT(商品マスタ[[#This Row],[参考上代
（税込)]]) &gt; 0, (商品マスタ[[#This Row],[参考上代
（税込)]]-商品マスタ[[#This Row],[国内定価
（15％）]])/(商品マスタ[[#This Row],[参考上代
（税込)]]/1.08), "")</f>
        <v/>
      </c>
      <c r="P897" s="136">
        <v>0.1</v>
      </c>
      <c r="Q897" s="134">
        <f>商品マスタ[[#This Row],[仕入
単価]]*商品マスタ[[#This Row],[標準国内送料率]]</f>
        <v>0</v>
      </c>
      <c r="R897" s="134"/>
      <c r="S897" s="134">
        <f>IF(ISBLANK(商品マスタ[[#This Row],[実績
国内送料]]),商品マスタ[[#This Row],[標準国内送料]],)</f>
        <v>0</v>
      </c>
      <c r="T897" s="134">
        <f>商品マスタ[[#This Row],[仕入
単価]]+商品マスタ[[#This Row],[国内送料]]</f>
        <v>0</v>
      </c>
      <c r="U897" s="134">
        <f>ROUNDUP(商品マスタ[[#This Row],[仕入単価+国内送料]]/0.8,-1)</f>
        <v>0</v>
      </c>
      <c r="V897" s="134">
        <f>商品マスタ[[#This Row],[海外定価
（20％）]]-商品マスタ[[#This Row],[仕入単価+国内送料]]</f>
        <v>0</v>
      </c>
      <c r="W897" s="87">
        <f>ROUNDUP(商品マスタ[[#This Row],[仕入単価+国内送料]]/0.85,-1)</f>
        <v>0</v>
      </c>
      <c r="X897" s="134">
        <f>商品マスタ[[#This Row],[国内定価
（15％）]]-商品マスタ[[#This Row],[仕入単価+国内送料]]</f>
        <v>0</v>
      </c>
      <c r="Y897" s="139"/>
      <c r="Z897" s="87"/>
      <c r="AA897" s="87"/>
      <c r="AB897" s="87"/>
      <c r="AC897" s="140"/>
      <c r="AD897" s="87"/>
      <c r="AE897" s="87"/>
      <c r="AF897" s="87"/>
      <c r="AG897" s="141"/>
    </row>
    <row r="898" spans="1:33" ht="18">
      <c r="A898" s="166"/>
      <c r="B898" s="167"/>
      <c r="C898" s="167"/>
      <c r="D898" s="143" t="str">
        <f>"PRD_SNJ_"&amp;
_xlfn.XLOOKUP(商品マスタ[[#This Row],[仕入先]],テーブル1[仕入先名],テーブル1[仕入先コード],"XXX",0,1)&amp;
"_"&amp;
商品マスタ[[#This Row],[シリアル]]&amp;
"_"&amp;
TEXT(COUNTIFS(商品マスタ!$C$3:C898,商品マスタ[[#This Row],[仕入先]],商品マスタ!$E$3:E898,商品マスタ[[#This Row],[商品名]]), "00")</f>
        <v>PRD_SNJ__0000_00</v>
      </c>
      <c r="E898" s="87"/>
      <c r="F898" s="87">
        <f>IF(COUNTIFS($C$3:C898,商品マスタ[[#This Row],[仕入先]],$E$3:E898,商品マスタ[[#This Row],[商品名]]) = 1, 1,0)</f>
        <v>0</v>
      </c>
      <c r="G898" s="133" t="str">
        <f>TEXT(SUMIF($C$3:C898,商品マスタ[[#This Row],[仕入先]],$F$3:F898), "0000")</f>
        <v>0000</v>
      </c>
      <c r="H898" s="87"/>
      <c r="I898" s="87"/>
      <c r="J898" s="87"/>
      <c r="K898" s="87"/>
      <c r="L898" s="134"/>
      <c r="M898" s="157"/>
      <c r="N898" s="134"/>
      <c r="O898" s="135" t="str">
        <f>IF(COUNT(商品マスタ[[#This Row],[参考上代
（税込)]]) &gt; 0, (商品マスタ[[#This Row],[参考上代
（税込)]]-商品マスタ[[#This Row],[国内定価
（15％）]])/(商品マスタ[[#This Row],[参考上代
（税込)]]/1.08), "")</f>
        <v/>
      </c>
      <c r="P898" s="136">
        <v>0.1</v>
      </c>
      <c r="Q898" s="134">
        <f>商品マスタ[[#This Row],[仕入
単価]]*商品マスタ[[#This Row],[標準国内送料率]]</f>
        <v>0</v>
      </c>
      <c r="R898" s="134"/>
      <c r="S898" s="134">
        <f>IF(ISBLANK(商品マスタ[[#This Row],[実績
国内送料]]),商品マスタ[[#This Row],[標準国内送料]],)</f>
        <v>0</v>
      </c>
      <c r="T898" s="134">
        <f>商品マスタ[[#This Row],[仕入
単価]]+商品マスタ[[#This Row],[国内送料]]</f>
        <v>0</v>
      </c>
      <c r="U898" s="134">
        <f>ROUNDUP(商品マスタ[[#This Row],[仕入単価+国内送料]]/0.8,-1)</f>
        <v>0</v>
      </c>
      <c r="V898" s="134">
        <f>商品マスタ[[#This Row],[海外定価
（20％）]]-商品マスタ[[#This Row],[仕入単価+国内送料]]</f>
        <v>0</v>
      </c>
      <c r="W898" s="87">
        <f>ROUNDUP(商品マスタ[[#This Row],[仕入単価+国内送料]]/0.85,-1)</f>
        <v>0</v>
      </c>
      <c r="X898" s="134">
        <f>商品マスタ[[#This Row],[国内定価
（15％）]]-商品マスタ[[#This Row],[仕入単価+国内送料]]</f>
        <v>0</v>
      </c>
      <c r="Y898" s="139"/>
      <c r="Z898" s="87"/>
      <c r="AA898" s="87"/>
      <c r="AB898" s="87"/>
      <c r="AC898" s="140"/>
      <c r="AD898" s="87"/>
      <c r="AE898" s="87"/>
      <c r="AF898" s="87"/>
      <c r="AG898" s="141"/>
    </row>
    <row r="899" spans="1:33" ht="18">
      <c r="A899" s="166"/>
      <c r="B899" s="167"/>
      <c r="C899" s="167"/>
      <c r="D899" s="143" t="str">
        <f>"PRD_SNJ_"&amp;
_xlfn.XLOOKUP(商品マスタ[[#This Row],[仕入先]],テーブル1[仕入先名],テーブル1[仕入先コード],"XXX",0,1)&amp;
"_"&amp;
商品マスタ[[#This Row],[シリアル]]&amp;
"_"&amp;
TEXT(COUNTIFS(商品マスタ!$C$3:C899,商品マスタ[[#This Row],[仕入先]],商品マスタ!$E$3:E899,商品マスタ[[#This Row],[商品名]]), "00")</f>
        <v>PRD_SNJ__0000_00</v>
      </c>
      <c r="E899" s="87"/>
      <c r="F899" s="87">
        <f>IF(COUNTIFS($C$3:C899,商品マスタ[[#This Row],[仕入先]],$E$3:E899,商品マスタ[[#This Row],[商品名]]) = 1, 1,0)</f>
        <v>0</v>
      </c>
      <c r="G899" s="133" t="str">
        <f>TEXT(SUMIF($C$3:C899,商品マスタ[[#This Row],[仕入先]],$F$3:F899), "0000")</f>
        <v>0000</v>
      </c>
      <c r="H899" s="87"/>
      <c r="I899" s="87"/>
      <c r="J899" s="87"/>
      <c r="K899" s="87"/>
      <c r="L899" s="134"/>
      <c r="M899" s="157"/>
      <c r="N899" s="134"/>
      <c r="O899" s="135" t="str">
        <f>IF(COUNT(商品マスタ[[#This Row],[参考上代
（税込)]]) &gt; 0, (商品マスタ[[#This Row],[参考上代
（税込)]]-商品マスタ[[#This Row],[国内定価
（15％）]])/(商品マスタ[[#This Row],[参考上代
（税込)]]/1.08), "")</f>
        <v/>
      </c>
      <c r="P899" s="136">
        <v>0.1</v>
      </c>
      <c r="Q899" s="134">
        <f>商品マスタ[[#This Row],[仕入
単価]]*商品マスタ[[#This Row],[標準国内送料率]]</f>
        <v>0</v>
      </c>
      <c r="R899" s="134"/>
      <c r="S899" s="134">
        <f>IF(ISBLANK(商品マスタ[[#This Row],[実績
国内送料]]),商品マスタ[[#This Row],[標準国内送料]],)</f>
        <v>0</v>
      </c>
      <c r="T899" s="134">
        <f>商品マスタ[[#This Row],[仕入
単価]]+商品マスタ[[#This Row],[国内送料]]</f>
        <v>0</v>
      </c>
      <c r="U899" s="134">
        <f>ROUNDUP(商品マスタ[[#This Row],[仕入単価+国内送料]]/0.8,-1)</f>
        <v>0</v>
      </c>
      <c r="V899" s="134">
        <f>商品マスタ[[#This Row],[海外定価
（20％）]]-商品マスタ[[#This Row],[仕入単価+国内送料]]</f>
        <v>0</v>
      </c>
      <c r="W899" s="87">
        <f>ROUNDUP(商品マスタ[[#This Row],[仕入単価+国内送料]]/0.85,-1)</f>
        <v>0</v>
      </c>
      <c r="X899" s="134">
        <f>商品マスタ[[#This Row],[国内定価
（15％）]]-商品マスタ[[#This Row],[仕入単価+国内送料]]</f>
        <v>0</v>
      </c>
      <c r="Y899" s="139"/>
      <c r="Z899" s="87"/>
      <c r="AA899" s="87"/>
      <c r="AB899" s="87"/>
      <c r="AC899" s="140"/>
      <c r="AD899" s="87"/>
      <c r="AE899" s="87"/>
      <c r="AF899" s="87"/>
      <c r="AG899" s="141"/>
    </row>
    <row r="900" spans="1:33" ht="18">
      <c r="A900" s="166"/>
      <c r="B900" s="167"/>
      <c r="C900" s="167"/>
      <c r="D900" s="143" t="str">
        <f>"PRD_SNJ_"&amp;
_xlfn.XLOOKUP(商品マスタ[[#This Row],[仕入先]],テーブル1[仕入先名],テーブル1[仕入先コード],"XXX",0,1)&amp;
"_"&amp;
商品マスタ[[#This Row],[シリアル]]&amp;
"_"&amp;
TEXT(COUNTIFS(商品マスタ!$C$3:C900,商品マスタ[[#This Row],[仕入先]],商品マスタ!$E$3:E900,商品マスタ[[#This Row],[商品名]]), "00")</f>
        <v>PRD_SNJ__0000_00</v>
      </c>
      <c r="E900" s="87"/>
      <c r="F900" s="87">
        <f>IF(COUNTIFS($C$3:C900,商品マスタ[[#This Row],[仕入先]],$E$3:E900,商品マスタ[[#This Row],[商品名]]) = 1, 1,0)</f>
        <v>0</v>
      </c>
      <c r="G900" s="133" t="str">
        <f>TEXT(SUMIF($C$3:C900,商品マスタ[[#This Row],[仕入先]],$F$3:F900), "0000")</f>
        <v>0000</v>
      </c>
      <c r="H900" s="87"/>
      <c r="I900" s="87"/>
      <c r="J900" s="87"/>
      <c r="K900" s="87"/>
      <c r="L900" s="134"/>
      <c r="M900" s="157"/>
      <c r="N900" s="134"/>
      <c r="O900" s="135" t="str">
        <f>IF(COUNT(商品マスタ[[#This Row],[参考上代
（税込)]]) &gt; 0, (商品マスタ[[#This Row],[参考上代
（税込)]]-商品マスタ[[#This Row],[国内定価
（15％）]])/(商品マスタ[[#This Row],[参考上代
（税込)]]/1.08), "")</f>
        <v/>
      </c>
      <c r="P900" s="136">
        <v>0.1</v>
      </c>
      <c r="Q900" s="134">
        <f>商品マスタ[[#This Row],[仕入
単価]]*商品マスタ[[#This Row],[標準国内送料率]]</f>
        <v>0</v>
      </c>
      <c r="R900" s="134"/>
      <c r="S900" s="134">
        <f>IF(ISBLANK(商品マスタ[[#This Row],[実績
国内送料]]),商品マスタ[[#This Row],[標準国内送料]],)</f>
        <v>0</v>
      </c>
      <c r="T900" s="134">
        <f>商品マスタ[[#This Row],[仕入
単価]]+商品マスタ[[#This Row],[国内送料]]</f>
        <v>0</v>
      </c>
      <c r="U900" s="134">
        <f>ROUNDUP(商品マスタ[[#This Row],[仕入単価+国内送料]]/0.8,-1)</f>
        <v>0</v>
      </c>
      <c r="V900" s="134">
        <f>商品マスタ[[#This Row],[海外定価
（20％）]]-商品マスタ[[#This Row],[仕入単価+国内送料]]</f>
        <v>0</v>
      </c>
      <c r="W900" s="87">
        <f>ROUNDUP(商品マスタ[[#This Row],[仕入単価+国内送料]]/0.85,-1)</f>
        <v>0</v>
      </c>
      <c r="X900" s="134">
        <f>商品マスタ[[#This Row],[国内定価
（15％）]]-商品マスタ[[#This Row],[仕入単価+国内送料]]</f>
        <v>0</v>
      </c>
      <c r="Y900" s="139"/>
      <c r="Z900" s="87"/>
      <c r="AA900" s="87"/>
      <c r="AB900" s="87"/>
      <c r="AC900" s="140"/>
      <c r="AD900" s="87"/>
      <c r="AE900" s="87"/>
      <c r="AF900" s="87"/>
      <c r="AG900" s="141"/>
    </row>
    <row r="901" spans="1:33" ht="18">
      <c r="A901" s="166"/>
      <c r="B901" s="167"/>
      <c r="C901" s="167"/>
      <c r="D901" s="143" t="str">
        <f>"PRD_SNJ_"&amp;
_xlfn.XLOOKUP(商品マスタ[[#This Row],[仕入先]],テーブル1[仕入先名],テーブル1[仕入先コード],"XXX",0,1)&amp;
"_"&amp;
商品マスタ[[#This Row],[シリアル]]&amp;
"_"&amp;
TEXT(COUNTIFS(商品マスタ!$C$3:C901,商品マスタ[[#This Row],[仕入先]],商品マスタ!$E$3:E901,商品マスタ[[#This Row],[商品名]]), "00")</f>
        <v>PRD_SNJ__0000_00</v>
      </c>
      <c r="E901" s="87"/>
      <c r="F901" s="87">
        <f>IF(COUNTIFS($C$3:C901,商品マスタ[[#This Row],[仕入先]],$E$3:E901,商品マスタ[[#This Row],[商品名]]) = 1, 1,0)</f>
        <v>0</v>
      </c>
      <c r="G901" s="133" t="str">
        <f>TEXT(SUMIF($C$3:C901,商品マスタ[[#This Row],[仕入先]],$F$3:F901), "0000")</f>
        <v>0000</v>
      </c>
      <c r="H901" s="87"/>
      <c r="I901" s="87"/>
      <c r="J901" s="87"/>
      <c r="K901" s="87"/>
      <c r="L901" s="134"/>
      <c r="M901" s="157"/>
      <c r="N901" s="134"/>
      <c r="O901" s="135" t="str">
        <f>IF(COUNT(商品マスタ[[#This Row],[参考上代
（税込)]]) &gt; 0, (商品マスタ[[#This Row],[参考上代
（税込)]]-商品マスタ[[#This Row],[国内定価
（15％）]])/(商品マスタ[[#This Row],[参考上代
（税込)]]/1.08), "")</f>
        <v/>
      </c>
      <c r="P901" s="136">
        <v>0.1</v>
      </c>
      <c r="Q901" s="134">
        <f>商品マスタ[[#This Row],[仕入
単価]]*商品マスタ[[#This Row],[標準国内送料率]]</f>
        <v>0</v>
      </c>
      <c r="R901" s="134"/>
      <c r="S901" s="134">
        <f>IF(ISBLANK(商品マスタ[[#This Row],[実績
国内送料]]),商品マスタ[[#This Row],[標準国内送料]],)</f>
        <v>0</v>
      </c>
      <c r="T901" s="134">
        <f>商品マスタ[[#This Row],[仕入
単価]]+商品マスタ[[#This Row],[国内送料]]</f>
        <v>0</v>
      </c>
      <c r="U901" s="134">
        <f>ROUNDUP(商品マスタ[[#This Row],[仕入単価+国内送料]]/0.8,-1)</f>
        <v>0</v>
      </c>
      <c r="V901" s="134">
        <f>商品マスタ[[#This Row],[海外定価
（20％）]]-商品マスタ[[#This Row],[仕入単価+国内送料]]</f>
        <v>0</v>
      </c>
      <c r="W901" s="87">
        <f>ROUNDUP(商品マスタ[[#This Row],[仕入単価+国内送料]]/0.85,-1)</f>
        <v>0</v>
      </c>
      <c r="X901" s="134">
        <f>商品マスタ[[#This Row],[国内定価
（15％）]]-商品マスタ[[#This Row],[仕入単価+国内送料]]</f>
        <v>0</v>
      </c>
      <c r="Y901" s="139"/>
      <c r="Z901" s="87"/>
      <c r="AA901" s="87"/>
      <c r="AB901" s="87"/>
      <c r="AC901" s="140"/>
      <c r="AD901" s="87"/>
      <c r="AE901" s="87"/>
      <c r="AF901" s="87"/>
      <c r="AG901" s="141"/>
    </row>
    <row r="902" spans="1:33" ht="18">
      <c r="A902" s="166"/>
      <c r="B902" s="167"/>
      <c r="C902" s="167"/>
      <c r="D902" s="143" t="str">
        <f>"PRD_SNJ_"&amp;
_xlfn.XLOOKUP(商品マスタ[[#This Row],[仕入先]],テーブル1[仕入先名],テーブル1[仕入先コード],"XXX",0,1)&amp;
"_"&amp;
商品マスタ[[#This Row],[シリアル]]&amp;
"_"&amp;
TEXT(COUNTIFS(商品マスタ!$C$3:C902,商品マスタ[[#This Row],[仕入先]],商品マスタ!$E$3:E902,商品マスタ[[#This Row],[商品名]]), "00")</f>
        <v>PRD_SNJ__0000_00</v>
      </c>
      <c r="E902" s="87"/>
      <c r="F902" s="87">
        <f>IF(COUNTIFS($C$3:C902,商品マスタ[[#This Row],[仕入先]],$E$3:E902,商品マスタ[[#This Row],[商品名]]) = 1, 1,0)</f>
        <v>0</v>
      </c>
      <c r="G902" s="133" t="str">
        <f>TEXT(SUMIF($C$3:C902,商品マスタ[[#This Row],[仕入先]],$F$3:F902), "0000")</f>
        <v>0000</v>
      </c>
      <c r="H902" s="87"/>
      <c r="I902" s="87"/>
      <c r="J902" s="87"/>
      <c r="K902" s="87"/>
      <c r="L902" s="134"/>
      <c r="M902" s="157"/>
      <c r="N902" s="134"/>
      <c r="O902" s="135" t="str">
        <f>IF(COUNT(商品マスタ[[#This Row],[参考上代
（税込)]]) &gt; 0, (商品マスタ[[#This Row],[参考上代
（税込)]]-商品マスタ[[#This Row],[国内定価
（15％）]])/(商品マスタ[[#This Row],[参考上代
（税込)]]/1.08), "")</f>
        <v/>
      </c>
      <c r="P902" s="136">
        <v>0.1</v>
      </c>
      <c r="Q902" s="134">
        <f>商品マスタ[[#This Row],[仕入
単価]]*商品マスタ[[#This Row],[標準国内送料率]]</f>
        <v>0</v>
      </c>
      <c r="R902" s="134"/>
      <c r="S902" s="134">
        <f>IF(ISBLANK(商品マスタ[[#This Row],[実績
国内送料]]),商品マスタ[[#This Row],[標準国内送料]],)</f>
        <v>0</v>
      </c>
      <c r="T902" s="134">
        <f>商品マスタ[[#This Row],[仕入
単価]]+商品マスタ[[#This Row],[国内送料]]</f>
        <v>0</v>
      </c>
      <c r="U902" s="134">
        <f>ROUNDUP(商品マスタ[[#This Row],[仕入単価+国内送料]]/0.8,-1)</f>
        <v>0</v>
      </c>
      <c r="V902" s="134">
        <f>商品マスタ[[#This Row],[海外定価
（20％）]]-商品マスタ[[#This Row],[仕入単価+国内送料]]</f>
        <v>0</v>
      </c>
      <c r="W902" s="87">
        <f>ROUNDUP(商品マスタ[[#This Row],[仕入単価+国内送料]]/0.85,-1)</f>
        <v>0</v>
      </c>
      <c r="X902" s="134">
        <f>商品マスタ[[#This Row],[国内定価
（15％）]]-商品マスタ[[#This Row],[仕入単価+国内送料]]</f>
        <v>0</v>
      </c>
      <c r="Y902" s="139"/>
      <c r="Z902" s="87"/>
      <c r="AA902" s="87"/>
      <c r="AB902" s="87"/>
      <c r="AC902" s="140"/>
      <c r="AD902" s="87"/>
      <c r="AE902" s="87"/>
      <c r="AF902" s="87"/>
      <c r="AG902" s="141"/>
    </row>
    <row r="903" spans="1:33" ht="18">
      <c r="A903" s="166"/>
      <c r="B903" s="167"/>
      <c r="C903" s="167"/>
      <c r="D903" s="143" t="str">
        <f>"PRD_SNJ_"&amp;
_xlfn.XLOOKUP(商品マスタ[[#This Row],[仕入先]],テーブル1[仕入先名],テーブル1[仕入先コード],"XXX",0,1)&amp;
"_"&amp;
商品マスタ[[#This Row],[シリアル]]&amp;
"_"&amp;
TEXT(COUNTIFS(商品マスタ!$C$3:C903,商品マスタ[[#This Row],[仕入先]],商品マスタ!$E$3:E903,商品マスタ[[#This Row],[商品名]]), "00")</f>
        <v>PRD_SNJ__0000_00</v>
      </c>
      <c r="E903" s="87"/>
      <c r="F903" s="87">
        <f>IF(COUNTIFS($C$3:C903,商品マスタ[[#This Row],[仕入先]],$E$3:E903,商品マスタ[[#This Row],[商品名]]) = 1, 1,0)</f>
        <v>0</v>
      </c>
      <c r="G903" s="133" t="str">
        <f>TEXT(SUMIF($C$3:C903,商品マスタ[[#This Row],[仕入先]],$F$3:F903), "0000")</f>
        <v>0000</v>
      </c>
      <c r="H903" s="87"/>
      <c r="I903" s="87"/>
      <c r="J903" s="87"/>
      <c r="K903" s="87"/>
      <c r="L903" s="134"/>
      <c r="M903" s="157"/>
      <c r="N903" s="134"/>
      <c r="O903" s="135" t="str">
        <f>IF(COUNT(商品マスタ[[#This Row],[参考上代
（税込)]]) &gt; 0, (商品マスタ[[#This Row],[参考上代
（税込)]]-商品マスタ[[#This Row],[国内定価
（15％）]])/(商品マスタ[[#This Row],[参考上代
（税込)]]/1.08), "")</f>
        <v/>
      </c>
      <c r="P903" s="136">
        <v>0.1</v>
      </c>
      <c r="Q903" s="134">
        <f>商品マスタ[[#This Row],[仕入
単価]]*商品マスタ[[#This Row],[標準国内送料率]]</f>
        <v>0</v>
      </c>
      <c r="R903" s="134"/>
      <c r="S903" s="134">
        <f>IF(ISBLANK(商品マスタ[[#This Row],[実績
国内送料]]),商品マスタ[[#This Row],[標準国内送料]],)</f>
        <v>0</v>
      </c>
      <c r="T903" s="134">
        <f>商品マスタ[[#This Row],[仕入
単価]]+商品マスタ[[#This Row],[国内送料]]</f>
        <v>0</v>
      </c>
      <c r="U903" s="134">
        <f>ROUNDUP(商品マスタ[[#This Row],[仕入単価+国内送料]]/0.8,-1)</f>
        <v>0</v>
      </c>
      <c r="V903" s="134">
        <f>商品マスタ[[#This Row],[海外定価
（20％）]]-商品マスタ[[#This Row],[仕入単価+国内送料]]</f>
        <v>0</v>
      </c>
      <c r="W903" s="87">
        <f>ROUNDUP(商品マスタ[[#This Row],[仕入単価+国内送料]]/0.85,-1)</f>
        <v>0</v>
      </c>
      <c r="X903" s="134">
        <f>商品マスタ[[#This Row],[国内定価
（15％）]]-商品マスタ[[#This Row],[仕入単価+国内送料]]</f>
        <v>0</v>
      </c>
      <c r="Y903" s="139"/>
      <c r="Z903" s="87"/>
      <c r="AA903" s="87"/>
      <c r="AB903" s="87"/>
      <c r="AC903" s="140"/>
      <c r="AD903" s="87"/>
      <c r="AE903" s="87"/>
      <c r="AF903" s="87"/>
      <c r="AG903" s="141"/>
    </row>
    <row r="904" spans="1:33" ht="18">
      <c r="A904" s="166"/>
      <c r="B904" s="167"/>
      <c r="C904" s="167"/>
      <c r="D904" s="143" t="str">
        <f>"PRD_SNJ_"&amp;
_xlfn.XLOOKUP(商品マスタ[[#This Row],[仕入先]],テーブル1[仕入先名],テーブル1[仕入先コード],"XXX",0,1)&amp;
"_"&amp;
商品マスタ[[#This Row],[シリアル]]&amp;
"_"&amp;
TEXT(COUNTIFS(商品マスタ!$C$3:C904,商品マスタ[[#This Row],[仕入先]],商品マスタ!$E$3:E904,商品マスタ[[#This Row],[商品名]]), "00")</f>
        <v>PRD_SNJ__0000_00</v>
      </c>
      <c r="E904" s="87"/>
      <c r="F904" s="87">
        <f>IF(COUNTIFS($C$3:C904,商品マスタ[[#This Row],[仕入先]],$E$3:E904,商品マスタ[[#This Row],[商品名]]) = 1, 1,0)</f>
        <v>0</v>
      </c>
      <c r="G904" s="133" t="str">
        <f>TEXT(SUMIF($C$3:C904,商品マスタ[[#This Row],[仕入先]],$F$3:F904), "0000")</f>
        <v>0000</v>
      </c>
      <c r="H904" s="87"/>
      <c r="I904" s="87"/>
      <c r="J904" s="87"/>
      <c r="K904" s="87"/>
      <c r="L904" s="134"/>
      <c r="M904" s="157"/>
      <c r="N904" s="134"/>
      <c r="O904" s="135" t="str">
        <f>IF(COUNT(商品マスタ[[#This Row],[参考上代
（税込)]]) &gt; 0, (商品マスタ[[#This Row],[参考上代
（税込)]]-商品マスタ[[#This Row],[国内定価
（15％）]])/(商品マスタ[[#This Row],[参考上代
（税込)]]/1.08), "")</f>
        <v/>
      </c>
      <c r="P904" s="136">
        <v>0.1</v>
      </c>
      <c r="Q904" s="134">
        <f>商品マスタ[[#This Row],[仕入
単価]]*商品マスタ[[#This Row],[標準国内送料率]]</f>
        <v>0</v>
      </c>
      <c r="R904" s="134"/>
      <c r="S904" s="134">
        <f>IF(ISBLANK(商品マスタ[[#This Row],[実績
国内送料]]),商品マスタ[[#This Row],[標準国内送料]],)</f>
        <v>0</v>
      </c>
      <c r="T904" s="134">
        <f>商品マスタ[[#This Row],[仕入
単価]]+商品マスタ[[#This Row],[国内送料]]</f>
        <v>0</v>
      </c>
      <c r="U904" s="134">
        <f>ROUNDUP(商品マスタ[[#This Row],[仕入単価+国内送料]]/0.8,-1)</f>
        <v>0</v>
      </c>
      <c r="V904" s="134">
        <f>商品マスタ[[#This Row],[海外定価
（20％）]]-商品マスタ[[#This Row],[仕入単価+国内送料]]</f>
        <v>0</v>
      </c>
      <c r="W904" s="87">
        <f>ROUNDUP(商品マスタ[[#This Row],[仕入単価+国内送料]]/0.85,-1)</f>
        <v>0</v>
      </c>
      <c r="X904" s="134">
        <f>商品マスタ[[#This Row],[国内定価
（15％）]]-商品マスタ[[#This Row],[仕入単価+国内送料]]</f>
        <v>0</v>
      </c>
      <c r="Y904" s="139"/>
      <c r="Z904" s="87"/>
      <c r="AA904" s="87"/>
      <c r="AB904" s="87"/>
      <c r="AC904" s="140"/>
      <c r="AD904" s="87"/>
      <c r="AE904" s="87"/>
      <c r="AF904" s="87"/>
      <c r="AG904" s="141"/>
    </row>
    <row r="905" spans="1:33" ht="18">
      <c r="A905" s="166"/>
      <c r="B905" s="167"/>
      <c r="C905" s="167"/>
      <c r="D905" s="143" t="str">
        <f>"PRD_SNJ_"&amp;
_xlfn.XLOOKUP(商品マスタ[[#This Row],[仕入先]],テーブル1[仕入先名],テーブル1[仕入先コード],"XXX",0,1)&amp;
"_"&amp;
商品マスタ[[#This Row],[シリアル]]&amp;
"_"&amp;
TEXT(COUNTIFS(商品マスタ!$C$3:C905,商品マスタ[[#This Row],[仕入先]],商品マスタ!$E$3:E905,商品マスタ[[#This Row],[商品名]]), "00")</f>
        <v>PRD_SNJ__0000_00</v>
      </c>
      <c r="E905" s="87"/>
      <c r="F905" s="87">
        <f>IF(COUNTIFS($C$3:C905,商品マスタ[[#This Row],[仕入先]],$E$3:E905,商品マスタ[[#This Row],[商品名]]) = 1, 1,0)</f>
        <v>0</v>
      </c>
      <c r="G905" s="133" t="str">
        <f>TEXT(SUMIF($C$3:C905,商品マスタ[[#This Row],[仕入先]],$F$3:F905), "0000")</f>
        <v>0000</v>
      </c>
      <c r="H905" s="87"/>
      <c r="I905" s="87"/>
      <c r="J905" s="87"/>
      <c r="K905" s="87"/>
      <c r="L905" s="134"/>
      <c r="M905" s="157"/>
      <c r="N905" s="134"/>
      <c r="O905" s="135" t="str">
        <f>IF(COUNT(商品マスタ[[#This Row],[参考上代
（税込)]]) &gt; 0, (商品マスタ[[#This Row],[参考上代
（税込)]]-商品マスタ[[#This Row],[国内定価
（15％）]])/(商品マスタ[[#This Row],[参考上代
（税込)]]/1.08), "")</f>
        <v/>
      </c>
      <c r="P905" s="136">
        <v>0.1</v>
      </c>
      <c r="Q905" s="134">
        <f>商品マスタ[[#This Row],[仕入
単価]]*商品マスタ[[#This Row],[標準国内送料率]]</f>
        <v>0</v>
      </c>
      <c r="R905" s="134"/>
      <c r="S905" s="134">
        <f>IF(ISBLANK(商品マスタ[[#This Row],[実績
国内送料]]),商品マスタ[[#This Row],[標準国内送料]],)</f>
        <v>0</v>
      </c>
      <c r="T905" s="134">
        <f>商品マスタ[[#This Row],[仕入
単価]]+商品マスタ[[#This Row],[国内送料]]</f>
        <v>0</v>
      </c>
      <c r="U905" s="134">
        <f>ROUNDUP(商品マスタ[[#This Row],[仕入単価+国内送料]]/0.8,-1)</f>
        <v>0</v>
      </c>
      <c r="V905" s="134">
        <f>商品マスタ[[#This Row],[海外定価
（20％）]]-商品マスタ[[#This Row],[仕入単価+国内送料]]</f>
        <v>0</v>
      </c>
      <c r="W905" s="87">
        <f>ROUNDUP(商品マスタ[[#This Row],[仕入単価+国内送料]]/0.85,-1)</f>
        <v>0</v>
      </c>
      <c r="X905" s="134">
        <f>商品マスタ[[#This Row],[国内定価
（15％）]]-商品マスタ[[#This Row],[仕入単価+国内送料]]</f>
        <v>0</v>
      </c>
      <c r="Y905" s="139"/>
      <c r="Z905" s="87"/>
      <c r="AA905" s="87"/>
      <c r="AB905" s="87"/>
      <c r="AC905" s="140"/>
      <c r="AD905" s="87"/>
      <c r="AE905" s="87"/>
      <c r="AF905" s="87"/>
      <c r="AG905" s="141"/>
    </row>
    <row r="906" spans="1:33" ht="18">
      <c r="A906" s="166"/>
      <c r="B906" s="167"/>
      <c r="C906" s="167"/>
      <c r="D906" s="143" t="str">
        <f>"PRD_SNJ_"&amp;
_xlfn.XLOOKUP(商品マスタ[[#This Row],[仕入先]],テーブル1[仕入先名],テーブル1[仕入先コード],"XXX",0,1)&amp;
"_"&amp;
商品マスタ[[#This Row],[シリアル]]&amp;
"_"&amp;
TEXT(COUNTIFS(商品マスタ!$C$3:C906,商品マスタ[[#This Row],[仕入先]],商品マスタ!$E$3:E906,商品マスタ[[#This Row],[商品名]]), "00")</f>
        <v>PRD_SNJ__0000_00</v>
      </c>
      <c r="E906" s="87"/>
      <c r="F906" s="87">
        <f>IF(COUNTIFS($C$3:C906,商品マスタ[[#This Row],[仕入先]],$E$3:E906,商品マスタ[[#This Row],[商品名]]) = 1, 1,0)</f>
        <v>0</v>
      </c>
      <c r="G906" s="133" t="str">
        <f>TEXT(SUMIF($C$3:C906,商品マスタ[[#This Row],[仕入先]],$F$3:F906), "0000")</f>
        <v>0000</v>
      </c>
      <c r="H906" s="87"/>
      <c r="I906" s="87"/>
      <c r="J906" s="87"/>
      <c r="K906" s="87"/>
      <c r="L906" s="134"/>
      <c r="M906" s="157"/>
      <c r="N906" s="134"/>
      <c r="O906" s="135" t="str">
        <f>IF(COUNT(商品マスタ[[#This Row],[参考上代
（税込)]]) &gt; 0, (商品マスタ[[#This Row],[参考上代
（税込)]]-商品マスタ[[#This Row],[国内定価
（15％）]])/(商品マスタ[[#This Row],[参考上代
（税込)]]/1.08), "")</f>
        <v/>
      </c>
      <c r="P906" s="136">
        <v>0.1</v>
      </c>
      <c r="Q906" s="134">
        <f>商品マスタ[[#This Row],[仕入
単価]]*商品マスタ[[#This Row],[標準国内送料率]]</f>
        <v>0</v>
      </c>
      <c r="R906" s="134"/>
      <c r="S906" s="134">
        <f>IF(ISBLANK(商品マスタ[[#This Row],[実績
国内送料]]),商品マスタ[[#This Row],[標準国内送料]],)</f>
        <v>0</v>
      </c>
      <c r="T906" s="134">
        <f>商品マスタ[[#This Row],[仕入
単価]]+商品マスタ[[#This Row],[国内送料]]</f>
        <v>0</v>
      </c>
      <c r="U906" s="134">
        <f>ROUNDUP(商品マスタ[[#This Row],[仕入単価+国内送料]]/0.8,-1)</f>
        <v>0</v>
      </c>
      <c r="V906" s="134">
        <f>商品マスタ[[#This Row],[海外定価
（20％）]]-商品マスタ[[#This Row],[仕入単価+国内送料]]</f>
        <v>0</v>
      </c>
      <c r="W906" s="87">
        <f>ROUNDUP(商品マスタ[[#This Row],[仕入単価+国内送料]]/0.85,-1)</f>
        <v>0</v>
      </c>
      <c r="X906" s="134">
        <f>商品マスタ[[#This Row],[国内定価
（15％）]]-商品マスタ[[#This Row],[仕入単価+国内送料]]</f>
        <v>0</v>
      </c>
      <c r="Y906" s="139"/>
      <c r="Z906" s="87"/>
      <c r="AA906" s="87"/>
      <c r="AB906" s="87"/>
      <c r="AC906" s="140"/>
      <c r="AD906" s="87"/>
      <c r="AE906" s="87"/>
      <c r="AF906" s="87"/>
      <c r="AG906" s="141"/>
    </row>
    <row r="907" spans="1:33" ht="18">
      <c r="A907" s="166"/>
      <c r="B907" s="167"/>
      <c r="C907" s="167"/>
      <c r="D907" s="143" t="str">
        <f>"PRD_SNJ_"&amp;
_xlfn.XLOOKUP(商品マスタ[[#This Row],[仕入先]],テーブル1[仕入先名],テーブル1[仕入先コード],"XXX",0,1)&amp;
"_"&amp;
商品マスタ[[#This Row],[シリアル]]&amp;
"_"&amp;
TEXT(COUNTIFS(商品マスタ!$C$3:C907,商品マスタ[[#This Row],[仕入先]],商品マスタ!$E$3:E907,商品マスタ[[#This Row],[商品名]]), "00")</f>
        <v>PRD_SNJ__0000_00</v>
      </c>
      <c r="E907" s="87"/>
      <c r="F907" s="87">
        <f>IF(COUNTIFS($C$3:C907,商品マスタ[[#This Row],[仕入先]],$E$3:E907,商品マスタ[[#This Row],[商品名]]) = 1, 1,0)</f>
        <v>0</v>
      </c>
      <c r="G907" s="133" t="str">
        <f>TEXT(SUMIF($C$3:C907,商品マスタ[[#This Row],[仕入先]],$F$3:F907), "0000")</f>
        <v>0000</v>
      </c>
      <c r="H907" s="87"/>
      <c r="I907" s="87"/>
      <c r="J907" s="87"/>
      <c r="K907" s="87"/>
      <c r="L907" s="134"/>
      <c r="M907" s="157"/>
      <c r="N907" s="134"/>
      <c r="O907" s="135" t="str">
        <f>IF(COUNT(商品マスタ[[#This Row],[参考上代
（税込)]]) &gt; 0, (商品マスタ[[#This Row],[参考上代
（税込)]]-商品マスタ[[#This Row],[国内定価
（15％）]])/(商品マスタ[[#This Row],[参考上代
（税込)]]/1.08), "")</f>
        <v/>
      </c>
      <c r="P907" s="136">
        <v>0.1</v>
      </c>
      <c r="Q907" s="134">
        <f>商品マスタ[[#This Row],[仕入
単価]]*商品マスタ[[#This Row],[標準国内送料率]]</f>
        <v>0</v>
      </c>
      <c r="R907" s="134"/>
      <c r="S907" s="134">
        <f>IF(ISBLANK(商品マスタ[[#This Row],[実績
国内送料]]),商品マスタ[[#This Row],[標準国内送料]],)</f>
        <v>0</v>
      </c>
      <c r="T907" s="134">
        <f>商品マスタ[[#This Row],[仕入
単価]]+商品マスタ[[#This Row],[国内送料]]</f>
        <v>0</v>
      </c>
      <c r="U907" s="134">
        <f>ROUNDUP(商品マスタ[[#This Row],[仕入単価+国内送料]]/0.8,-1)</f>
        <v>0</v>
      </c>
      <c r="V907" s="134">
        <f>商品マスタ[[#This Row],[海外定価
（20％）]]-商品マスタ[[#This Row],[仕入単価+国内送料]]</f>
        <v>0</v>
      </c>
      <c r="W907" s="87">
        <f>ROUNDUP(商品マスタ[[#This Row],[仕入単価+国内送料]]/0.85,-1)</f>
        <v>0</v>
      </c>
      <c r="X907" s="134">
        <f>商品マスタ[[#This Row],[国内定価
（15％）]]-商品マスタ[[#This Row],[仕入単価+国内送料]]</f>
        <v>0</v>
      </c>
      <c r="Y907" s="139"/>
      <c r="Z907" s="87"/>
      <c r="AA907" s="87"/>
      <c r="AB907" s="87"/>
      <c r="AC907" s="140"/>
      <c r="AD907" s="87"/>
      <c r="AE907" s="87"/>
      <c r="AF907" s="87"/>
      <c r="AG907" s="141"/>
    </row>
    <row r="908" spans="1:33" ht="18">
      <c r="A908" s="166"/>
      <c r="B908" s="167"/>
      <c r="C908" s="167"/>
      <c r="D908" s="143" t="str">
        <f>"PRD_SNJ_"&amp;
_xlfn.XLOOKUP(商品マスタ[[#This Row],[仕入先]],テーブル1[仕入先名],テーブル1[仕入先コード],"XXX",0,1)&amp;
"_"&amp;
商品マスタ[[#This Row],[シリアル]]&amp;
"_"&amp;
TEXT(COUNTIFS(商品マスタ!$C$3:C908,商品マスタ[[#This Row],[仕入先]],商品マスタ!$E$3:E908,商品マスタ[[#This Row],[商品名]]), "00")</f>
        <v>PRD_SNJ__0000_00</v>
      </c>
      <c r="E908" s="87"/>
      <c r="F908" s="87">
        <f>IF(COUNTIFS($C$3:C908,商品マスタ[[#This Row],[仕入先]],$E$3:E908,商品マスタ[[#This Row],[商品名]]) = 1, 1,0)</f>
        <v>0</v>
      </c>
      <c r="G908" s="133" t="str">
        <f>TEXT(SUMIF($C$3:C908,商品マスタ[[#This Row],[仕入先]],$F$3:F908), "0000")</f>
        <v>0000</v>
      </c>
      <c r="H908" s="87"/>
      <c r="I908" s="87"/>
      <c r="J908" s="87"/>
      <c r="K908" s="87"/>
      <c r="L908" s="134"/>
      <c r="M908" s="157"/>
      <c r="N908" s="134"/>
      <c r="O908" s="135" t="str">
        <f>IF(COUNT(商品マスタ[[#This Row],[参考上代
（税込)]]) &gt; 0, (商品マスタ[[#This Row],[参考上代
（税込)]]-商品マスタ[[#This Row],[国内定価
（15％）]])/(商品マスタ[[#This Row],[参考上代
（税込)]]/1.08), "")</f>
        <v/>
      </c>
      <c r="P908" s="136">
        <v>0.1</v>
      </c>
      <c r="Q908" s="134">
        <f>商品マスタ[[#This Row],[仕入
単価]]*商品マスタ[[#This Row],[標準国内送料率]]</f>
        <v>0</v>
      </c>
      <c r="R908" s="134"/>
      <c r="S908" s="134">
        <f>IF(ISBLANK(商品マスタ[[#This Row],[実績
国内送料]]),商品マスタ[[#This Row],[標準国内送料]],)</f>
        <v>0</v>
      </c>
      <c r="T908" s="134">
        <f>商品マスタ[[#This Row],[仕入
単価]]+商品マスタ[[#This Row],[国内送料]]</f>
        <v>0</v>
      </c>
      <c r="U908" s="134">
        <f>ROUNDUP(商品マスタ[[#This Row],[仕入単価+国内送料]]/0.8,-1)</f>
        <v>0</v>
      </c>
      <c r="V908" s="134">
        <f>商品マスタ[[#This Row],[海外定価
（20％）]]-商品マスタ[[#This Row],[仕入単価+国内送料]]</f>
        <v>0</v>
      </c>
      <c r="W908" s="87">
        <f>ROUNDUP(商品マスタ[[#This Row],[仕入単価+国内送料]]/0.85,-1)</f>
        <v>0</v>
      </c>
      <c r="X908" s="134">
        <f>商品マスタ[[#This Row],[国内定価
（15％）]]-商品マスタ[[#This Row],[仕入単価+国内送料]]</f>
        <v>0</v>
      </c>
      <c r="Y908" s="139"/>
      <c r="Z908" s="87"/>
      <c r="AA908" s="87"/>
      <c r="AB908" s="87"/>
      <c r="AC908" s="140"/>
      <c r="AD908" s="87"/>
      <c r="AE908" s="87"/>
      <c r="AF908" s="87"/>
      <c r="AG908" s="141"/>
    </row>
    <row r="909" spans="1:33" ht="18">
      <c r="A909" s="166"/>
      <c r="B909" s="167"/>
      <c r="C909" s="167"/>
      <c r="D909" s="143" t="str">
        <f>"PRD_SNJ_"&amp;
_xlfn.XLOOKUP(商品マスタ[[#This Row],[仕入先]],テーブル1[仕入先名],テーブル1[仕入先コード],"XXX",0,1)&amp;
"_"&amp;
商品マスタ[[#This Row],[シリアル]]&amp;
"_"&amp;
TEXT(COUNTIFS(商品マスタ!$C$3:C909,商品マスタ[[#This Row],[仕入先]],商品マスタ!$E$3:E909,商品マスタ[[#This Row],[商品名]]), "00")</f>
        <v>PRD_SNJ__0000_00</v>
      </c>
      <c r="E909" s="87"/>
      <c r="F909" s="87">
        <f>IF(COUNTIFS($C$3:C909,商品マスタ[[#This Row],[仕入先]],$E$3:E909,商品マスタ[[#This Row],[商品名]]) = 1, 1,0)</f>
        <v>0</v>
      </c>
      <c r="G909" s="133" t="str">
        <f>TEXT(SUMIF($C$3:C909,商品マスタ[[#This Row],[仕入先]],$F$3:F909), "0000")</f>
        <v>0000</v>
      </c>
      <c r="H909" s="87"/>
      <c r="I909" s="87"/>
      <c r="J909" s="87"/>
      <c r="K909" s="87"/>
      <c r="L909" s="134"/>
      <c r="M909" s="157"/>
      <c r="N909" s="134"/>
      <c r="O909" s="135" t="str">
        <f>IF(COUNT(商品マスタ[[#This Row],[参考上代
（税込)]]) &gt; 0, (商品マスタ[[#This Row],[参考上代
（税込)]]-商品マスタ[[#This Row],[国内定価
（15％）]])/(商品マスタ[[#This Row],[参考上代
（税込)]]/1.08), "")</f>
        <v/>
      </c>
      <c r="P909" s="136">
        <v>0.1</v>
      </c>
      <c r="Q909" s="134">
        <f>商品マスタ[[#This Row],[仕入
単価]]*商品マスタ[[#This Row],[標準国内送料率]]</f>
        <v>0</v>
      </c>
      <c r="R909" s="134"/>
      <c r="S909" s="134">
        <f>IF(ISBLANK(商品マスタ[[#This Row],[実績
国内送料]]),商品マスタ[[#This Row],[標準国内送料]],)</f>
        <v>0</v>
      </c>
      <c r="T909" s="134">
        <f>商品マスタ[[#This Row],[仕入
単価]]+商品マスタ[[#This Row],[国内送料]]</f>
        <v>0</v>
      </c>
      <c r="U909" s="134">
        <f>ROUNDUP(商品マスタ[[#This Row],[仕入単価+国内送料]]/0.8,-1)</f>
        <v>0</v>
      </c>
      <c r="V909" s="134">
        <f>商品マスタ[[#This Row],[海外定価
（20％）]]-商品マスタ[[#This Row],[仕入単価+国内送料]]</f>
        <v>0</v>
      </c>
      <c r="W909" s="87">
        <f>ROUNDUP(商品マスタ[[#This Row],[仕入単価+国内送料]]/0.85,-1)</f>
        <v>0</v>
      </c>
      <c r="X909" s="134">
        <f>商品マスタ[[#This Row],[国内定価
（15％）]]-商品マスタ[[#This Row],[仕入単価+国内送料]]</f>
        <v>0</v>
      </c>
      <c r="Y909" s="139"/>
      <c r="Z909" s="87"/>
      <c r="AA909" s="87"/>
      <c r="AB909" s="87"/>
      <c r="AC909" s="140"/>
      <c r="AD909" s="87"/>
      <c r="AE909" s="87"/>
      <c r="AF909" s="158"/>
      <c r="AG909" s="141"/>
    </row>
    <row r="910" spans="1:33" ht="18">
      <c r="A910" s="166"/>
      <c r="B910" s="167"/>
      <c r="C910" s="167"/>
      <c r="D910" s="143" t="str">
        <f>"PRD_SNJ_"&amp;
_xlfn.XLOOKUP(商品マスタ[[#This Row],[仕入先]],テーブル1[仕入先名],テーブル1[仕入先コード],"XXX",0,1)&amp;
"_"&amp;
商品マスタ[[#This Row],[シリアル]]&amp;
"_"&amp;
TEXT(COUNTIFS(商品マスタ!$C$3:C910,商品マスタ[[#This Row],[仕入先]],商品マスタ!$E$3:E910,商品マスタ[[#This Row],[商品名]]), "00")</f>
        <v>PRD_SNJ__0000_00</v>
      </c>
      <c r="E910" s="87"/>
      <c r="F910" s="87">
        <f>IF(COUNTIFS($C$3:C910,商品マスタ[[#This Row],[仕入先]],$E$3:E910,商品マスタ[[#This Row],[商品名]]) = 1, 1,0)</f>
        <v>0</v>
      </c>
      <c r="G910" s="133" t="str">
        <f>TEXT(SUMIF($C$3:C910,商品マスタ[[#This Row],[仕入先]],$F$3:F910), "0000")</f>
        <v>0000</v>
      </c>
      <c r="H910" s="87"/>
      <c r="I910" s="87"/>
      <c r="J910" s="87"/>
      <c r="K910" s="87"/>
      <c r="L910" s="134"/>
      <c r="M910" s="157"/>
      <c r="N910" s="134"/>
      <c r="O910" s="135" t="str">
        <f>IF(COUNT(商品マスタ[[#This Row],[参考上代
（税込)]]) &gt; 0, (商品マスタ[[#This Row],[参考上代
（税込)]]-商品マスタ[[#This Row],[国内定価
（15％）]])/(商品マスタ[[#This Row],[参考上代
（税込)]]/1.08), "")</f>
        <v/>
      </c>
      <c r="P910" s="136">
        <v>0.1</v>
      </c>
      <c r="Q910" s="134">
        <f>商品マスタ[[#This Row],[仕入
単価]]*商品マスタ[[#This Row],[標準国内送料率]]</f>
        <v>0</v>
      </c>
      <c r="R910" s="134"/>
      <c r="S910" s="134">
        <f>IF(ISBLANK(商品マスタ[[#This Row],[実績
国内送料]]),商品マスタ[[#This Row],[標準国内送料]],)</f>
        <v>0</v>
      </c>
      <c r="T910" s="134">
        <f>商品マスタ[[#This Row],[仕入
単価]]+商品マスタ[[#This Row],[国内送料]]</f>
        <v>0</v>
      </c>
      <c r="U910" s="134">
        <f>ROUNDUP(商品マスタ[[#This Row],[仕入単価+国内送料]]/0.8,-1)</f>
        <v>0</v>
      </c>
      <c r="V910" s="134">
        <f>商品マスタ[[#This Row],[海外定価
（20％）]]-商品マスタ[[#This Row],[仕入単価+国内送料]]</f>
        <v>0</v>
      </c>
      <c r="W910" s="87">
        <f>ROUNDUP(商品マスタ[[#This Row],[仕入単価+国内送料]]/0.85,-1)</f>
        <v>0</v>
      </c>
      <c r="X910" s="134">
        <f>商品マスタ[[#This Row],[国内定価
（15％）]]-商品マスタ[[#This Row],[仕入単価+国内送料]]</f>
        <v>0</v>
      </c>
      <c r="Y910" s="139"/>
      <c r="Z910" s="87"/>
      <c r="AA910" s="87"/>
      <c r="AB910" s="87"/>
      <c r="AC910" s="140"/>
      <c r="AD910" s="87"/>
      <c r="AE910" s="87"/>
      <c r="AF910" s="158"/>
      <c r="AG910" s="141"/>
    </row>
    <row r="911" spans="1:33" ht="18">
      <c r="A911" s="166"/>
      <c r="B911" s="167"/>
      <c r="C911" s="167"/>
      <c r="D911" s="143" t="str">
        <f>"PRD_SNJ_"&amp;
_xlfn.XLOOKUP(商品マスタ[[#This Row],[仕入先]],テーブル1[仕入先名],テーブル1[仕入先コード],"XXX",0,1)&amp;
"_"&amp;
商品マスタ[[#This Row],[シリアル]]&amp;
"_"&amp;
TEXT(COUNTIFS(商品マスタ!$C$3:C911,商品マスタ[[#This Row],[仕入先]],商品マスタ!$E$3:E911,商品マスタ[[#This Row],[商品名]]), "00")</f>
        <v>PRD_SNJ__0000_00</v>
      </c>
      <c r="E911" s="87"/>
      <c r="F911" s="87">
        <f>IF(COUNTIFS($C$3:C911,商品マスタ[[#This Row],[仕入先]],$E$3:E911,商品マスタ[[#This Row],[商品名]]) = 1, 1,0)</f>
        <v>0</v>
      </c>
      <c r="G911" s="133" t="str">
        <f>TEXT(SUMIF($C$3:C911,商品マスタ[[#This Row],[仕入先]],$F$3:F911), "0000")</f>
        <v>0000</v>
      </c>
      <c r="H911" s="87"/>
      <c r="I911" s="87"/>
      <c r="J911" s="87"/>
      <c r="K911" s="87"/>
      <c r="L911" s="134"/>
      <c r="M911" s="157"/>
      <c r="N911" s="134"/>
      <c r="O911" s="135" t="str">
        <f>IF(COUNT(商品マスタ[[#This Row],[参考上代
（税込)]]) &gt; 0, (商品マスタ[[#This Row],[参考上代
（税込)]]-商品マスタ[[#This Row],[国内定価
（15％）]])/(商品マスタ[[#This Row],[参考上代
（税込)]]/1.08), "")</f>
        <v/>
      </c>
      <c r="P911" s="136">
        <v>0.1</v>
      </c>
      <c r="Q911" s="134">
        <f>商品マスタ[[#This Row],[仕入
単価]]*商品マスタ[[#This Row],[標準国内送料率]]</f>
        <v>0</v>
      </c>
      <c r="R911" s="134"/>
      <c r="S911" s="134">
        <f>IF(ISBLANK(商品マスタ[[#This Row],[実績
国内送料]]),商品マスタ[[#This Row],[標準国内送料]],)</f>
        <v>0</v>
      </c>
      <c r="T911" s="134">
        <f>商品マスタ[[#This Row],[仕入
単価]]+商品マスタ[[#This Row],[国内送料]]</f>
        <v>0</v>
      </c>
      <c r="U911" s="134">
        <f>ROUNDUP(商品マスタ[[#This Row],[仕入単価+国内送料]]/0.8,-1)</f>
        <v>0</v>
      </c>
      <c r="V911" s="134">
        <f>商品マスタ[[#This Row],[海外定価
（20％）]]-商品マスタ[[#This Row],[仕入単価+国内送料]]</f>
        <v>0</v>
      </c>
      <c r="W911" s="87">
        <f>ROUNDUP(商品マスタ[[#This Row],[仕入単価+国内送料]]/0.85,-1)</f>
        <v>0</v>
      </c>
      <c r="X911" s="134">
        <f>商品マスタ[[#This Row],[国内定価
（15％）]]-商品マスタ[[#This Row],[仕入単価+国内送料]]</f>
        <v>0</v>
      </c>
      <c r="Y911" s="139"/>
      <c r="Z911" s="87"/>
      <c r="AA911" s="87"/>
      <c r="AB911" s="87"/>
      <c r="AC911" s="140"/>
      <c r="AD911" s="87"/>
      <c r="AE911" s="87"/>
      <c r="AF911" s="158"/>
      <c r="AG911" s="141"/>
    </row>
    <row r="912" spans="1:33" ht="18">
      <c r="A912" s="166"/>
      <c r="B912" s="167"/>
      <c r="C912" s="167"/>
      <c r="D912" s="143" t="str">
        <f>"PRD_SNJ_"&amp;
_xlfn.XLOOKUP(商品マスタ[[#This Row],[仕入先]],テーブル1[仕入先名],テーブル1[仕入先コード],"XXX",0,1)&amp;
"_"&amp;
商品マスタ[[#This Row],[シリアル]]&amp;
"_"&amp;
TEXT(COUNTIFS(商品マスタ!$C$3:C912,商品マスタ[[#This Row],[仕入先]],商品マスタ!$E$3:E912,商品マスタ[[#This Row],[商品名]]), "00")</f>
        <v>PRD_SNJ__0000_00</v>
      </c>
      <c r="E912" s="87"/>
      <c r="F912" s="87">
        <f>IF(COUNTIFS($C$3:C912,商品マスタ[[#This Row],[仕入先]],$E$3:E912,商品マスタ[[#This Row],[商品名]]) = 1, 1,0)</f>
        <v>0</v>
      </c>
      <c r="G912" s="133" t="str">
        <f>TEXT(SUMIF($C$3:C912,商品マスタ[[#This Row],[仕入先]],$F$3:F912), "0000")</f>
        <v>0000</v>
      </c>
      <c r="H912" s="87"/>
      <c r="I912" s="87"/>
      <c r="J912" s="87"/>
      <c r="K912" s="87"/>
      <c r="L912" s="134"/>
      <c r="M912" s="157"/>
      <c r="N912" s="134"/>
      <c r="O912" s="135" t="str">
        <f>IF(COUNT(商品マスタ[[#This Row],[参考上代
（税込)]]) &gt; 0, (商品マスタ[[#This Row],[参考上代
（税込)]]-商品マスタ[[#This Row],[国内定価
（15％）]])/(商品マスタ[[#This Row],[参考上代
（税込)]]/1.08), "")</f>
        <v/>
      </c>
      <c r="P912" s="136">
        <v>0.1</v>
      </c>
      <c r="Q912" s="134">
        <f>商品マスタ[[#This Row],[仕入
単価]]*商品マスタ[[#This Row],[標準国内送料率]]</f>
        <v>0</v>
      </c>
      <c r="R912" s="134"/>
      <c r="S912" s="134">
        <f>IF(ISBLANK(商品マスタ[[#This Row],[実績
国内送料]]),商品マスタ[[#This Row],[標準国内送料]],)</f>
        <v>0</v>
      </c>
      <c r="T912" s="134">
        <f>商品マスタ[[#This Row],[仕入
単価]]+商品マスタ[[#This Row],[国内送料]]</f>
        <v>0</v>
      </c>
      <c r="U912" s="134">
        <f>ROUNDUP(商品マスタ[[#This Row],[仕入単価+国内送料]]/0.8,-1)</f>
        <v>0</v>
      </c>
      <c r="V912" s="134">
        <f>商品マスタ[[#This Row],[海外定価
（20％）]]-商品マスタ[[#This Row],[仕入単価+国内送料]]</f>
        <v>0</v>
      </c>
      <c r="W912" s="87">
        <f>ROUNDUP(商品マスタ[[#This Row],[仕入単価+国内送料]]/0.85,-1)</f>
        <v>0</v>
      </c>
      <c r="X912" s="134">
        <f>商品マスタ[[#This Row],[国内定価
（15％）]]-商品マスタ[[#This Row],[仕入単価+国内送料]]</f>
        <v>0</v>
      </c>
      <c r="Y912" s="139"/>
      <c r="Z912" s="87"/>
      <c r="AA912" s="87"/>
      <c r="AB912" s="87"/>
      <c r="AC912" s="140"/>
      <c r="AD912" s="87"/>
      <c r="AE912" s="87"/>
      <c r="AF912" s="158"/>
      <c r="AG912" s="141"/>
    </row>
    <row r="913" spans="1:33" ht="18">
      <c r="A913" s="166"/>
      <c r="B913" s="167"/>
      <c r="C913" s="167"/>
      <c r="D913" s="143" t="str">
        <f>"PRD_SNJ_"&amp;
_xlfn.XLOOKUP(商品マスタ[[#This Row],[仕入先]],テーブル1[仕入先名],テーブル1[仕入先コード],"XXX",0,1)&amp;
"_"&amp;
商品マスタ[[#This Row],[シリアル]]&amp;
"_"&amp;
TEXT(COUNTIFS(商品マスタ!$C$3:C913,商品マスタ[[#This Row],[仕入先]],商品マスタ!$E$3:E913,商品マスタ[[#This Row],[商品名]]), "00")</f>
        <v>PRD_SNJ__0000_00</v>
      </c>
      <c r="E913" s="87"/>
      <c r="F913" s="87">
        <f>IF(COUNTIFS($C$3:C913,商品マスタ[[#This Row],[仕入先]],$E$3:E913,商品マスタ[[#This Row],[商品名]]) = 1, 1,0)</f>
        <v>0</v>
      </c>
      <c r="G913" s="133" t="str">
        <f>TEXT(SUMIF($C$3:C913,商品マスタ[[#This Row],[仕入先]],$F$3:F913), "0000")</f>
        <v>0000</v>
      </c>
      <c r="H913" s="87"/>
      <c r="I913" s="87"/>
      <c r="J913" s="87"/>
      <c r="K913" s="87"/>
      <c r="L913" s="134"/>
      <c r="M913" s="157"/>
      <c r="N913" s="134"/>
      <c r="O913" s="135" t="str">
        <f>IF(COUNT(商品マスタ[[#This Row],[参考上代
（税込)]]) &gt; 0, (商品マスタ[[#This Row],[参考上代
（税込)]]-商品マスタ[[#This Row],[国内定価
（15％）]])/(商品マスタ[[#This Row],[参考上代
（税込)]]/1.08), "")</f>
        <v/>
      </c>
      <c r="P913" s="136">
        <v>0.1</v>
      </c>
      <c r="Q913" s="134">
        <f>商品マスタ[[#This Row],[仕入
単価]]*商品マスタ[[#This Row],[標準国内送料率]]</f>
        <v>0</v>
      </c>
      <c r="R913" s="134"/>
      <c r="S913" s="134">
        <f>IF(ISBLANK(商品マスタ[[#This Row],[実績
国内送料]]),商品マスタ[[#This Row],[標準国内送料]],)</f>
        <v>0</v>
      </c>
      <c r="T913" s="134">
        <f>商品マスタ[[#This Row],[仕入
単価]]+商品マスタ[[#This Row],[国内送料]]</f>
        <v>0</v>
      </c>
      <c r="U913" s="134">
        <f>ROUNDUP(商品マスタ[[#This Row],[仕入単価+国内送料]]/0.8,-1)</f>
        <v>0</v>
      </c>
      <c r="V913" s="134">
        <f>商品マスタ[[#This Row],[海外定価
（20％）]]-商品マスタ[[#This Row],[仕入単価+国内送料]]</f>
        <v>0</v>
      </c>
      <c r="W913" s="87">
        <f>ROUNDUP(商品マスタ[[#This Row],[仕入単価+国内送料]]/0.85,-1)</f>
        <v>0</v>
      </c>
      <c r="X913" s="134">
        <f>商品マスタ[[#This Row],[国内定価
（15％）]]-商品マスタ[[#This Row],[仕入単価+国内送料]]</f>
        <v>0</v>
      </c>
      <c r="Y913" s="139"/>
      <c r="Z913" s="87"/>
      <c r="AA913" s="87"/>
      <c r="AB913" s="87"/>
      <c r="AC913" s="140"/>
      <c r="AD913" s="87"/>
      <c r="AE913" s="87"/>
      <c r="AF913" s="158"/>
      <c r="AG913" s="141"/>
    </row>
    <row r="914" spans="1:33" ht="18">
      <c r="A914" s="166"/>
      <c r="B914" s="167"/>
      <c r="C914" s="167"/>
      <c r="D914" s="143" t="str">
        <f>"PRD_SNJ_"&amp;
_xlfn.XLOOKUP(商品マスタ[[#This Row],[仕入先]],テーブル1[仕入先名],テーブル1[仕入先コード],"XXX",0,1)&amp;
"_"&amp;
商品マスタ[[#This Row],[シリアル]]&amp;
"_"&amp;
TEXT(COUNTIFS(商品マスタ!$C$3:C914,商品マスタ[[#This Row],[仕入先]],商品マスタ!$E$3:E914,商品マスタ[[#This Row],[商品名]]), "00")</f>
        <v>PRD_SNJ__0000_00</v>
      </c>
      <c r="E914" s="87"/>
      <c r="F914" s="87">
        <f>IF(COUNTIFS($C$3:C914,商品マスタ[[#This Row],[仕入先]],$E$3:E914,商品マスタ[[#This Row],[商品名]]) = 1, 1,0)</f>
        <v>0</v>
      </c>
      <c r="G914" s="133" t="str">
        <f>TEXT(SUMIF($C$3:C914,商品マスタ[[#This Row],[仕入先]],$F$3:F914), "0000")</f>
        <v>0000</v>
      </c>
      <c r="H914" s="87"/>
      <c r="I914" s="87"/>
      <c r="J914" s="87"/>
      <c r="K914" s="87"/>
      <c r="L914" s="134"/>
      <c r="M914" s="157"/>
      <c r="N914" s="134"/>
      <c r="O914" s="135" t="str">
        <f>IF(COUNT(商品マスタ[[#This Row],[参考上代
（税込)]]) &gt; 0, (商品マスタ[[#This Row],[参考上代
（税込)]]-商品マスタ[[#This Row],[国内定価
（15％）]])/(商品マスタ[[#This Row],[参考上代
（税込)]]/1.08), "")</f>
        <v/>
      </c>
      <c r="P914" s="136">
        <v>0.1</v>
      </c>
      <c r="Q914" s="134">
        <f>商品マスタ[[#This Row],[仕入
単価]]*商品マスタ[[#This Row],[標準国内送料率]]</f>
        <v>0</v>
      </c>
      <c r="R914" s="134"/>
      <c r="S914" s="134">
        <f>IF(ISBLANK(商品マスタ[[#This Row],[実績
国内送料]]),商品マスタ[[#This Row],[標準国内送料]],)</f>
        <v>0</v>
      </c>
      <c r="T914" s="134">
        <f>商品マスタ[[#This Row],[仕入
単価]]+商品マスタ[[#This Row],[国内送料]]</f>
        <v>0</v>
      </c>
      <c r="U914" s="134">
        <f>ROUNDUP(商品マスタ[[#This Row],[仕入単価+国内送料]]/0.8,-1)</f>
        <v>0</v>
      </c>
      <c r="V914" s="134">
        <f>商品マスタ[[#This Row],[海外定価
（20％）]]-商品マスタ[[#This Row],[仕入単価+国内送料]]</f>
        <v>0</v>
      </c>
      <c r="W914" s="87">
        <f>ROUNDUP(商品マスタ[[#This Row],[仕入単価+国内送料]]/0.85,-1)</f>
        <v>0</v>
      </c>
      <c r="X914" s="134">
        <f>商品マスタ[[#This Row],[国内定価
（15％）]]-商品マスタ[[#This Row],[仕入単価+国内送料]]</f>
        <v>0</v>
      </c>
      <c r="Y914" s="139"/>
      <c r="Z914" s="87"/>
      <c r="AA914" s="87"/>
      <c r="AB914" s="87"/>
      <c r="AC914" s="140"/>
      <c r="AD914" s="87"/>
      <c r="AE914" s="87"/>
      <c r="AF914" s="158"/>
      <c r="AG914" s="141"/>
    </row>
    <row r="915" spans="1:33" ht="18">
      <c r="A915" s="166"/>
      <c r="B915" s="167"/>
      <c r="C915" s="167"/>
      <c r="D915" s="143" t="str">
        <f>"PRD_SNJ_"&amp;
_xlfn.XLOOKUP(商品マスタ[[#This Row],[仕入先]],テーブル1[仕入先名],テーブル1[仕入先コード],"XXX",0,1)&amp;
"_"&amp;
商品マスタ[[#This Row],[シリアル]]&amp;
"_"&amp;
TEXT(COUNTIFS(商品マスタ!$C$3:C915,商品マスタ[[#This Row],[仕入先]],商品マスタ!$E$3:E915,商品マスタ[[#This Row],[商品名]]), "00")</f>
        <v>PRD_SNJ__0000_00</v>
      </c>
      <c r="E915" s="87"/>
      <c r="F915" s="87">
        <f>IF(COUNTIFS($C$3:C915,商品マスタ[[#This Row],[仕入先]],$E$3:E915,商品マスタ[[#This Row],[商品名]]) = 1, 1,0)</f>
        <v>0</v>
      </c>
      <c r="G915" s="133" t="str">
        <f>TEXT(SUMIF($C$3:C915,商品マスタ[[#This Row],[仕入先]],$F$3:F915), "0000")</f>
        <v>0000</v>
      </c>
      <c r="H915" s="87"/>
      <c r="I915" s="87"/>
      <c r="J915" s="87"/>
      <c r="K915" s="87"/>
      <c r="L915" s="134"/>
      <c r="M915" s="157"/>
      <c r="N915" s="134"/>
      <c r="O915" s="135" t="str">
        <f>IF(COUNT(商品マスタ[[#This Row],[参考上代
（税込)]]) &gt; 0, (商品マスタ[[#This Row],[参考上代
（税込)]]-商品マスタ[[#This Row],[国内定価
（15％）]])/(商品マスタ[[#This Row],[参考上代
（税込)]]/1.08), "")</f>
        <v/>
      </c>
      <c r="P915" s="136">
        <v>0.1</v>
      </c>
      <c r="Q915" s="134">
        <f>商品マスタ[[#This Row],[仕入
単価]]*商品マスタ[[#This Row],[標準国内送料率]]</f>
        <v>0</v>
      </c>
      <c r="R915" s="134"/>
      <c r="S915" s="134">
        <f>IF(ISBLANK(商品マスタ[[#This Row],[実績
国内送料]]),商品マスタ[[#This Row],[標準国内送料]],)</f>
        <v>0</v>
      </c>
      <c r="T915" s="134">
        <f>商品マスタ[[#This Row],[仕入
単価]]+商品マスタ[[#This Row],[国内送料]]</f>
        <v>0</v>
      </c>
      <c r="U915" s="134">
        <f>ROUNDUP(商品マスタ[[#This Row],[仕入単価+国内送料]]/0.8,-1)</f>
        <v>0</v>
      </c>
      <c r="V915" s="134">
        <f>商品マスタ[[#This Row],[海外定価
（20％）]]-商品マスタ[[#This Row],[仕入単価+国内送料]]</f>
        <v>0</v>
      </c>
      <c r="W915" s="87">
        <f>ROUNDUP(商品マスタ[[#This Row],[仕入単価+国内送料]]/0.85,-1)</f>
        <v>0</v>
      </c>
      <c r="X915" s="134">
        <f>商品マスタ[[#This Row],[国内定価
（15％）]]-商品マスタ[[#This Row],[仕入単価+国内送料]]</f>
        <v>0</v>
      </c>
      <c r="Y915" s="139"/>
      <c r="Z915" s="87"/>
      <c r="AA915" s="87"/>
      <c r="AB915" s="87"/>
      <c r="AC915" s="140"/>
      <c r="AD915" s="87"/>
      <c r="AE915" s="87"/>
      <c r="AF915" s="158"/>
      <c r="AG915" s="141"/>
    </row>
    <row r="916" spans="1:33" ht="18">
      <c r="A916" s="166"/>
      <c r="B916" s="167"/>
      <c r="C916" s="167"/>
      <c r="D916" s="143" t="str">
        <f>"PRD_SNJ_"&amp;
_xlfn.XLOOKUP(商品マスタ[[#This Row],[仕入先]],テーブル1[仕入先名],テーブル1[仕入先コード],"XXX",0,1)&amp;
"_"&amp;
商品マスタ[[#This Row],[シリアル]]&amp;
"_"&amp;
TEXT(COUNTIFS(商品マスタ!$C$3:C916,商品マスタ[[#This Row],[仕入先]],商品マスタ!$E$3:E916,商品マスタ[[#This Row],[商品名]]), "00")</f>
        <v>PRD_SNJ__0000_00</v>
      </c>
      <c r="E916" s="87"/>
      <c r="F916" s="87">
        <f>IF(COUNTIFS($C$3:C916,商品マスタ[[#This Row],[仕入先]],$E$3:E916,商品マスタ[[#This Row],[商品名]]) = 1, 1,0)</f>
        <v>0</v>
      </c>
      <c r="G916" s="133" t="str">
        <f>TEXT(SUMIF($C$3:C916,商品マスタ[[#This Row],[仕入先]],$F$3:F916), "0000")</f>
        <v>0000</v>
      </c>
      <c r="H916" s="87"/>
      <c r="I916" s="87"/>
      <c r="J916" s="87"/>
      <c r="K916" s="87"/>
      <c r="L916" s="134"/>
      <c r="M916" s="157"/>
      <c r="N916" s="134"/>
      <c r="O916" s="135" t="str">
        <f>IF(COUNT(商品マスタ[[#This Row],[参考上代
（税込)]]) &gt; 0, (商品マスタ[[#This Row],[参考上代
（税込)]]-商品マスタ[[#This Row],[国内定価
（15％）]])/(商品マスタ[[#This Row],[参考上代
（税込)]]/1.08), "")</f>
        <v/>
      </c>
      <c r="P916" s="136">
        <v>0.1</v>
      </c>
      <c r="Q916" s="134">
        <f>商品マスタ[[#This Row],[仕入
単価]]*商品マスタ[[#This Row],[標準国内送料率]]</f>
        <v>0</v>
      </c>
      <c r="R916" s="134"/>
      <c r="S916" s="134">
        <f>IF(ISBLANK(商品マスタ[[#This Row],[実績
国内送料]]),商品マスタ[[#This Row],[標準国内送料]],)</f>
        <v>0</v>
      </c>
      <c r="T916" s="134">
        <f>商品マスタ[[#This Row],[仕入
単価]]+商品マスタ[[#This Row],[国内送料]]</f>
        <v>0</v>
      </c>
      <c r="U916" s="134">
        <f>ROUNDUP(商品マスタ[[#This Row],[仕入単価+国内送料]]/0.8,-1)</f>
        <v>0</v>
      </c>
      <c r="V916" s="134">
        <f>商品マスタ[[#This Row],[海外定価
（20％）]]-商品マスタ[[#This Row],[仕入単価+国内送料]]</f>
        <v>0</v>
      </c>
      <c r="W916" s="87">
        <f>ROUNDUP(商品マスタ[[#This Row],[仕入単価+国内送料]]/0.85,-1)</f>
        <v>0</v>
      </c>
      <c r="X916" s="134">
        <f>商品マスタ[[#This Row],[国内定価
（15％）]]-商品マスタ[[#This Row],[仕入単価+国内送料]]</f>
        <v>0</v>
      </c>
      <c r="Y916" s="139"/>
      <c r="Z916" s="87"/>
      <c r="AA916" s="87"/>
      <c r="AB916" s="87"/>
      <c r="AC916" s="140"/>
      <c r="AD916" s="87"/>
      <c r="AE916" s="87"/>
      <c r="AF916" s="158"/>
      <c r="AG916" s="141"/>
    </row>
    <row r="917" spans="1:33" ht="18">
      <c r="A917" s="166"/>
      <c r="B917" s="167"/>
      <c r="C917" s="167"/>
      <c r="D917" s="143" t="str">
        <f>"PRD_SNJ_"&amp;
_xlfn.XLOOKUP(商品マスタ[[#This Row],[仕入先]],テーブル1[仕入先名],テーブル1[仕入先コード],"XXX",0,1)&amp;
"_"&amp;
商品マスタ[[#This Row],[シリアル]]&amp;
"_"&amp;
TEXT(COUNTIFS(商品マスタ!$C$3:C917,商品マスタ[[#This Row],[仕入先]],商品マスタ!$E$3:E917,商品マスタ[[#This Row],[商品名]]), "00")</f>
        <v>PRD_SNJ__0000_00</v>
      </c>
      <c r="E917" s="87"/>
      <c r="F917" s="87">
        <f>IF(COUNTIFS($C$3:C917,商品マスタ[[#This Row],[仕入先]],$E$3:E917,商品マスタ[[#This Row],[商品名]]) = 1, 1,0)</f>
        <v>0</v>
      </c>
      <c r="G917" s="133" t="str">
        <f>TEXT(SUMIF($C$3:C917,商品マスタ[[#This Row],[仕入先]],$F$3:F917), "0000")</f>
        <v>0000</v>
      </c>
      <c r="H917" s="87"/>
      <c r="I917" s="87"/>
      <c r="J917" s="87"/>
      <c r="K917" s="87"/>
      <c r="L917" s="134"/>
      <c r="M917" s="157"/>
      <c r="N917" s="134"/>
      <c r="O917" s="135" t="str">
        <f>IF(COUNT(商品マスタ[[#This Row],[参考上代
（税込)]]) &gt; 0, (商品マスタ[[#This Row],[参考上代
（税込)]]-商品マスタ[[#This Row],[国内定価
（15％）]])/(商品マスタ[[#This Row],[参考上代
（税込)]]/1.08), "")</f>
        <v/>
      </c>
      <c r="P917" s="136">
        <v>0.1</v>
      </c>
      <c r="Q917" s="134">
        <f>商品マスタ[[#This Row],[仕入
単価]]*商品マスタ[[#This Row],[標準国内送料率]]</f>
        <v>0</v>
      </c>
      <c r="R917" s="134"/>
      <c r="S917" s="134">
        <f>IF(ISBLANK(商品マスタ[[#This Row],[実績
国内送料]]),商品マスタ[[#This Row],[標準国内送料]],)</f>
        <v>0</v>
      </c>
      <c r="T917" s="134">
        <f>商品マスタ[[#This Row],[仕入
単価]]+商品マスタ[[#This Row],[国内送料]]</f>
        <v>0</v>
      </c>
      <c r="U917" s="134">
        <f>ROUNDUP(商品マスタ[[#This Row],[仕入単価+国内送料]]/0.8,-1)</f>
        <v>0</v>
      </c>
      <c r="V917" s="134">
        <f>商品マスタ[[#This Row],[海外定価
（20％）]]-商品マスタ[[#This Row],[仕入単価+国内送料]]</f>
        <v>0</v>
      </c>
      <c r="W917" s="87">
        <f>ROUNDUP(商品マスタ[[#This Row],[仕入単価+国内送料]]/0.85,-1)</f>
        <v>0</v>
      </c>
      <c r="X917" s="134">
        <f>商品マスタ[[#This Row],[国内定価
（15％）]]-商品マスタ[[#This Row],[仕入単価+国内送料]]</f>
        <v>0</v>
      </c>
      <c r="Y917" s="139"/>
      <c r="Z917" s="87"/>
      <c r="AA917" s="87"/>
      <c r="AB917" s="87"/>
      <c r="AC917" s="140"/>
      <c r="AD917" s="87"/>
      <c r="AE917" s="87"/>
      <c r="AF917" s="158"/>
      <c r="AG917" s="141"/>
    </row>
    <row r="918" spans="1:33" ht="18">
      <c r="A918" s="166"/>
      <c r="B918" s="167"/>
      <c r="C918" s="167"/>
      <c r="D918" s="143" t="str">
        <f>"PRD_SNJ_"&amp;
_xlfn.XLOOKUP(商品マスタ[[#This Row],[仕入先]],テーブル1[仕入先名],テーブル1[仕入先コード],"XXX",0,1)&amp;
"_"&amp;
商品マスタ[[#This Row],[シリアル]]&amp;
"_"&amp;
TEXT(COUNTIFS(商品マスタ!$C$3:C918,商品マスタ[[#This Row],[仕入先]],商品マスタ!$E$3:E918,商品マスタ[[#This Row],[商品名]]), "00")</f>
        <v>PRD_SNJ__0000_00</v>
      </c>
      <c r="E918" s="87"/>
      <c r="F918" s="87">
        <f>IF(COUNTIFS($C$3:C918,商品マスタ[[#This Row],[仕入先]],$E$3:E918,商品マスタ[[#This Row],[商品名]]) = 1, 1,0)</f>
        <v>0</v>
      </c>
      <c r="G918" s="133" t="str">
        <f>TEXT(SUMIF($C$3:C918,商品マスタ[[#This Row],[仕入先]],$F$3:F918), "0000")</f>
        <v>0000</v>
      </c>
      <c r="H918" s="87"/>
      <c r="I918" s="87"/>
      <c r="J918" s="87"/>
      <c r="K918" s="87"/>
      <c r="L918" s="134"/>
      <c r="M918" s="157"/>
      <c r="N918" s="134"/>
      <c r="O918" s="135" t="str">
        <f>IF(COUNT(商品マスタ[[#This Row],[参考上代
（税込)]]) &gt; 0, (商品マスタ[[#This Row],[参考上代
（税込)]]-商品マスタ[[#This Row],[国内定価
（15％）]])/(商品マスタ[[#This Row],[参考上代
（税込)]]/1.08), "")</f>
        <v/>
      </c>
      <c r="P918" s="136">
        <v>0.1</v>
      </c>
      <c r="Q918" s="134">
        <f>商品マスタ[[#This Row],[仕入
単価]]*商品マスタ[[#This Row],[標準国内送料率]]</f>
        <v>0</v>
      </c>
      <c r="R918" s="134"/>
      <c r="S918" s="134">
        <f>IF(ISBLANK(商品マスタ[[#This Row],[実績
国内送料]]),商品マスタ[[#This Row],[標準国内送料]],)</f>
        <v>0</v>
      </c>
      <c r="T918" s="134">
        <f>商品マスタ[[#This Row],[仕入
単価]]+商品マスタ[[#This Row],[国内送料]]</f>
        <v>0</v>
      </c>
      <c r="U918" s="134">
        <f>ROUNDUP(商品マスタ[[#This Row],[仕入単価+国内送料]]/0.8,-1)</f>
        <v>0</v>
      </c>
      <c r="V918" s="134">
        <f>商品マスタ[[#This Row],[海外定価
（20％）]]-商品マスタ[[#This Row],[仕入単価+国内送料]]</f>
        <v>0</v>
      </c>
      <c r="W918" s="87">
        <f>ROUNDUP(商品マスタ[[#This Row],[仕入単価+国内送料]]/0.85,-1)</f>
        <v>0</v>
      </c>
      <c r="X918" s="134">
        <f>商品マスタ[[#This Row],[国内定価
（15％）]]-商品マスタ[[#This Row],[仕入単価+国内送料]]</f>
        <v>0</v>
      </c>
      <c r="Y918" s="139"/>
      <c r="Z918" s="87"/>
      <c r="AA918" s="87"/>
      <c r="AB918" s="87"/>
      <c r="AC918" s="140"/>
      <c r="AD918" s="87"/>
      <c r="AE918" s="87"/>
      <c r="AF918" s="158"/>
      <c r="AG918" s="141"/>
    </row>
    <row r="919" spans="1:33" ht="18">
      <c r="A919" s="166"/>
      <c r="B919" s="167"/>
      <c r="C919" s="167"/>
      <c r="D919" s="143" t="str">
        <f>"PRD_SNJ_"&amp;
_xlfn.XLOOKUP(商品マスタ[[#This Row],[仕入先]],テーブル1[仕入先名],テーブル1[仕入先コード],"XXX",0,1)&amp;
"_"&amp;
商品マスタ[[#This Row],[シリアル]]&amp;
"_"&amp;
TEXT(COUNTIFS(商品マスタ!$C$3:C919,商品マスタ[[#This Row],[仕入先]],商品マスタ!$E$3:E919,商品マスタ[[#This Row],[商品名]]), "00")</f>
        <v>PRD_SNJ__0000_00</v>
      </c>
      <c r="E919" s="87"/>
      <c r="F919" s="87">
        <f>IF(COUNTIFS($C$3:C919,商品マスタ[[#This Row],[仕入先]],$E$3:E919,商品マスタ[[#This Row],[商品名]]) = 1, 1,0)</f>
        <v>0</v>
      </c>
      <c r="G919" s="133" t="str">
        <f>TEXT(SUMIF($C$3:C919,商品マスタ[[#This Row],[仕入先]],$F$3:F919), "0000")</f>
        <v>0000</v>
      </c>
      <c r="H919" s="87"/>
      <c r="I919" s="87"/>
      <c r="J919" s="87"/>
      <c r="K919" s="87"/>
      <c r="L919" s="134"/>
      <c r="M919" s="157"/>
      <c r="N919" s="134"/>
      <c r="O919" s="135" t="str">
        <f>IF(COUNT(商品マスタ[[#This Row],[参考上代
（税込)]]) &gt; 0, (商品マスタ[[#This Row],[参考上代
（税込)]]-商品マスタ[[#This Row],[国内定価
（15％）]])/(商品マスタ[[#This Row],[参考上代
（税込)]]/1.08), "")</f>
        <v/>
      </c>
      <c r="P919" s="136">
        <v>0.1</v>
      </c>
      <c r="Q919" s="134">
        <f>商品マスタ[[#This Row],[仕入
単価]]*商品マスタ[[#This Row],[標準国内送料率]]</f>
        <v>0</v>
      </c>
      <c r="R919" s="134"/>
      <c r="S919" s="134">
        <f>IF(ISBLANK(商品マスタ[[#This Row],[実績
国内送料]]),商品マスタ[[#This Row],[標準国内送料]],)</f>
        <v>0</v>
      </c>
      <c r="T919" s="134">
        <f>商品マスタ[[#This Row],[仕入
単価]]+商品マスタ[[#This Row],[国内送料]]</f>
        <v>0</v>
      </c>
      <c r="U919" s="134">
        <f>ROUNDUP(商品マスタ[[#This Row],[仕入単価+国内送料]]/0.8,-1)</f>
        <v>0</v>
      </c>
      <c r="V919" s="134">
        <f>商品マスタ[[#This Row],[海外定価
（20％）]]-商品マスタ[[#This Row],[仕入単価+国内送料]]</f>
        <v>0</v>
      </c>
      <c r="W919" s="87">
        <f>ROUNDUP(商品マスタ[[#This Row],[仕入単価+国内送料]]/0.85,-1)</f>
        <v>0</v>
      </c>
      <c r="X919" s="134">
        <f>商品マスタ[[#This Row],[国内定価
（15％）]]-商品マスタ[[#This Row],[仕入単価+国内送料]]</f>
        <v>0</v>
      </c>
      <c r="Y919" s="139"/>
      <c r="Z919" s="87"/>
      <c r="AA919" s="87"/>
      <c r="AB919" s="87"/>
      <c r="AC919" s="140"/>
      <c r="AD919" s="87"/>
      <c r="AE919" s="87"/>
      <c r="AF919" s="158"/>
      <c r="AG919" s="141"/>
    </row>
    <row r="920" spans="1:33" ht="18">
      <c r="A920" s="166"/>
      <c r="B920" s="167"/>
      <c r="C920" s="167"/>
      <c r="D920" s="143" t="str">
        <f>"PRD_SNJ_"&amp;
_xlfn.XLOOKUP(商品マスタ[[#This Row],[仕入先]],テーブル1[仕入先名],テーブル1[仕入先コード],"XXX",0,1)&amp;
"_"&amp;
商品マスタ[[#This Row],[シリアル]]&amp;
"_"&amp;
TEXT(COUNTIFS(商品マスタ!$C$3:C920,商品マスタ[[#This Row],[仕入先]],商品マスタ!$E$3:E920,商品マスタ[[#This Row],[商品名]]), "00")</f>
        <v>PRD_SNJ__0000_00</v>
      </c>
      <c r="E920" s="87"/>
      <c r="F920" s="87">
        <f>IF(COUNTIFS($C$3:C920,商品マスタ[[#This Row],[仕入先]],$E$3:E920,商品マスタ[[#This Row],[商品名]]) = 1, 1,0)</f>
        <v>0</v>
      </c>
      <c r="G920" s="133" t="str">
        <f>TEXT(SUMIF($C$3:C920,商品マスタ[[#This Row],[仕入先]],$F$3:F920), "0000")</f>
        <v>0000</v>
      </c>
      <c r="H920" s="87"/>
      <c r="I920" s="87"/>
      <c r="J920" s="87"/>
      <c r="K920" s="87"/>
      <c r="L920" s="134"/>
      <c r="M920" s="157"/>
      <c r="N920" s="134"/>
      <c r="O920" s="135" t="str">
        <f>IF(COUNT(商品マスタ[[#This Row],[参考上代
（税込)]]) &gt; 0, (商品マスタ[[#This Row],[参考上代
（税込)]]-商品マスタ[[#This Row],[国内定価
（15％）]])/(商品マスタ[[#This Row],[参考上代
（税込)]]/1.08), "")</f>
        <v/>
      </c>
      <c r="P920" s="136">
        <v>0.1</v>
      </c>
      <c r="Q920" s="134">
        <f>商品マスタ[[#This Row],[仕入
単価]]*商品マスタ[[#This Row],[標準国内送料率]]</f>
        <v>0</v>
      </c>
      <c r="R920" s="134"/>
      <c r="S920" s="134">
        <f>IF(ISBLANK(商品マスタ[[#This Row],[実績
国内送料]]),商品マスタ[[#This Row],[標準国内送料]],)</f>
        <v>0</v>
      </c>
      <c r="T920" s="134">
        <f>商品マスタ[[#This Row],[仕入
単価]]+商品マスタ[[#This Row],[国内送料]]</f>
        <v>0</v>
      </c>
      <c r="U920" s="134">
        <f>ROUNDUP(商品マスタ[[#This Row],[仕入単価+国内送料]]/0.8,-1)</f>
        <v>0</v>
      </c>
      <c r="V920" s="134">
        <f>商品マスタ[[#This Row],[海外定価
（20％）]]-商品マスタ[[#This Row],[仕入単価+国内送料]]</f>
        <v>0</v>
      </c>
      <c r="W920" s="87">
        <f>ROUNDUP(商品マスタ[[#This Row],[仕入単価+国内送料]]/0.85,-1)</f>
        <v>0</v>
      </c>
      <c r="X920" s="134">
        <f>商品マスタ[[#This Row],[国内定価
（15％）]]-商品マスタ[[#This Row],[仕入単価+国内送料]]</f>
        <v>0</v>
      </c>
      <c r="Y920" s="139"/>
      <c r="Z920" s="87"/>
      <c r="AA920" s="87"/>
      <c r="AB920" s="87"/>
      <c r="AC920" s="140"/>
      <c r="AD920" s="87"/>
      <c r="AE920" s="87"/>
      <c r="AF920" s="158"/>
      <c r="AG920" s="141"/>
    </row>
    <row r="921" spans="1:33" ht="18">
      <c r="A921" s="166"/>
      <c r="B921" s="167"/>
      <c r="C921" s="167"/>
      <c r="D921" s="143" t="str">
        <f>"PRD_SNJ_"&amp;
_xlfn.XLOOKUP(商品マスタ[[#This Row],[仕入先]],テーブル1[仕入先名],テーブル1[仕入先コード],"XXX",0,1)&amp;
"_"&amp;
商品マスタ[[#This Row],[シリアル]]&amp;
"_"&amp;
TEXT(COUNTIFS(商品マスタ!$C$3:C921,商品マスタ[[#This Row],[仕入先]],商品マスタ!$E$3:E921,商品マスタ[[#This Row],[商品名]]), "00")</f>
        <v>PRD_SNJ__0000_00</v>
      </c>
      <c r="E921" s="87"/>
      <c r="F921" s="87">
        <f>IF(COUNTIFS($C$3:C921,商品マスタ[[#This Row],[仕入先]],$E$3:E921,商品マスタ[[#This Row],[商品名]]) = 1, 1,0)</f>
        <v>0</v>
      </c>
      <c r="G921" s="133" t="str">
        <f>TEXT(SUMIF($C$3:C921,商品マスタ[[#This Row],[仕入先]],$F$3:F921), "0000")</f>
        <v>0000</v>
      </c>
      <c r="H921" s="87"/>
      <c r="I921" s="87"/>
      <c r="J921" s="87"/>
      <c r="K921" s="87"/>
      <c r="L921" s="134"/>
      <c r="M921" s="157"/>
      <c r="N921" s="134"/>
      <c r="O921" s="135" t="str">
        <f>IF(COUNT(商品マスタ[[#This Row],[参考上代
（税込)]]) &gt; 0, (商品マスタ[[#This Row],[参考上代
（税込)]]-商品マスタ[[#This Row],[国内定価
（15％）]])/(商品マスタ[[#This Row],[参考上代
（税込)]]/1.08), "")</f>
        <v/>
      </c>
      <c r="P921" s="136">
        <v>0.1</v>
      </c>
      <c r="Q921" s="134">
        <f>商品マスタ[[#This Row],[仕入
単価]]*商品マスタ[[#This Row],[標準国内送料率]]</f>
        <v>0</v>
      </c>
      <c r="R921" s="134"/>
      <c r="S921" s="134">
        <f>IF(ISBLANK(商品マスタ[[#This Row],[実績
国内送料]]),商品マスタ[[#This Row],[標準国内送料]],)</f>
        <v>0</v>
      </c>
      <c r="T921" s="134">
        <f>商品マスタ[[#This Row],[仕入
単価]]+商品マスタ[[#This Row],[国内送料]]</f>
        <v>0</v>
      </c>
      <c r="U921" s="134">
        <f>ROUNDUP(商品マスタ[[#This Row],[仕入単価+国内送料]]/0.8,-1)</f>
        <v>0</v>
      </c>
      <c r="V921" s="134">
        <f>商品マスタ[[#This Row],[海外定価
（20％）]]-商品マスタ[[#This Row],[仕入単価+国内送料]]</f>
        <v>0</v>
      </c>
      <c r="W921" s="87">
        <f>ROUNDUP(商品マスタ[[#This Row],[仕入単価+国内送料]]/0.85,-1)</f>
        <v>0</v>
      </c>
      <c r="X921" s="134">
        <f>商品マスタ[[#This Row],[国内定価
（15％）]]-商品マスタ[[#This Row],[仕入単価+国内送料]]</f>
        <v>0</v>
      </c>
      <c r="Y921" s="139"/>
      <c r="Z921" s="87"/>
      <c r="AA921" s="87"/>
      <c r="AB921" s="87"/>
      <c r="AC921" s="140"/>
      <c r="AD921" s="87"/>
      <c r="AE921" s="87"/>
      <c r="AF921" s="158"/>
      <c r="AG921" s="141"/>
    </row>
    <row r="922" spans="1:33" ht="18">
      <c r="A922" s="166"/>
      <c r="B922" s="167"/>
      <c r="C922" s="167"/>
      <c r="D922" s="143" t="str">
        <f>"PRD_SNJ_"&amp;
_xlfn.XLOOKUP(商品マスタ[[#This Row],[仕入先]],テーブル1[仕入先名],テーブル1[仕入先コード],"XXX",0,1)&amp;
"_"&amp;
商品マスタ[[#This Row],[シリアル]]&amp;
"_"&amp;
TEXT(COUNTIFS(商品マスタ!$C$3:C922,商品マスタ[[#This Row],[仕入先]],商品マスタ!$E$3:E922,商品マスタ[[#This Row],[商品名]]), "00")</f>
        <v>PRD_SNJ__0000_00</v>
      </c>
      <c r="E922" s="87"/>
      <c r="F922" s="87">
        <f>IF(COUNTIFS($C$3:C922,商品マスタ[[#This Row],[仕入先]],$E$3:E922,商品マスタ[[#This Row],[商品名]]) = 1, 1,0)</f>
        <v>0</v>
      </c>
      <c r="G922" s="133" t="str">
        <f>TEXT(SUMIF($C$3:C922,商品マスタ[[#This Row],[仕入先]],$F$3:F922), "0000")</f>
        <v>0000</v>
      </c>
      <c r="H922" s="87"/>
      <c r="I922" s="87"/>
      <c r="J922" s="87"/>
      <c r="K922" s="87"/>
      <c r="L922" s="134"/>
      <c r="M922" s="157"/>
      <c r="N922" s="134"/>
      <c r="O922" s="135" t="str">
        <f>IF(COUNT(商品マスタ[[#This Row],[参考上代
（税込)]]) &gt; 0, (商品マスタ[[#This Row],[参考上代
（税込)]]-商品マスタ[[#This Row],[国内定価
（15％）]])/(商品マスタ[[#This Row],[参考上代
（税込)]]/1.08), "")</f>
        <v/>
      </c>
      <c r="P922" s="136">
        <v>0.1</v>
      </c>
      <c r="Q922" s="134">
        <f>商品マスタ[[#This Row],[仕入
単価]]*商品マスタ[[#This Row],[標準国内送料率]]</f>
        <v>0</v>
      </c>
      <c r="R922" s="134"/>
      <c r="S922" s="134">
        <f>IF(ISBLANK(商品マスタ[[#This Row],[実績
国内送料]]),商品マスタ[[#This Row],[標準国内送料]],)</f>
        <v>0</v>
      </c>
      <c r="T922" s="134">
        <f>商品マスタ[[#This Row],[仕入
単価]]+商品マスタ[[#This Row],[国内送料]]</f>
        <v>0</v>
      </c>
      <c r="U922" s="134">
        <f>ROUNDUP(商品マスタ[[#This Row],[仕入単価+国内送料]]/0.8,-1)</f>
        <v>0</v>
      </c>
      <c r="V922" s="134">
        <f>商品マスタ[[#This Row],[海外定価
（20％）]]-商品マスタ[[#This Row],[仕入単価+国内送料]]</f>
        <v>0</v>
      </c>
      <c r="W922" s="87">
        <f>ROUNDUP(商品マスタ[[#This Row],[仕入単価+国内送料]]/0.85,-1)</f>
        <v>0</v>
      </c>
      <c r="X922" s="134">
        <f>商品マスタ[[#This Row],[国内定価
（15％）]]-商品マスタ[[#This Row],[仕入単価+国内送料]]</f>
        <v>0</v>
      </c>
      <c r="Y922" s="139"/>
      <c r="Z922" s="87"/>
      <c r="AA922" s="87"/>
      <c r="AB922" s="87"/>
      <c r="AC922" s="140"/>
      <c r="AD922" s="87"/>
      <c r="AE922" s="87"/>
      <c r="AF922" s="158"/>
      <c r="AG922" s="141"/>
    </row>
    <row r="923" spans="1:33" ht="18">
      <c r="A923" s="166"/>
      <c r="B923" s="167"/>
      <c r="C923" s="167"/>
      <c r="D923" s="143" t="str">
        <f>"PRD_SNJ_"&amp;
_xlfn.XLOOKUP(商品マスタ[[#This Row],[仕入先]],テーブル1[仕入先名],テーブル1[仕入先コード],"XXX",0,1)&amp;
"_"&amp;
商品マスタ[[#This Row],[シリアル]]&amp;
"_"&amp;
TEXT(COUNTIFS(商品マスタ!$C$3:C923,商品マスタ[[#This Row],[仕入先]],商品マスタ!$E$3:E923,商品マスタ[[#This Row],[商品名]]), "00")</f>
        <v>PRD_SNJ__0000_00</v>
      </c>
      <c r="E923" s="87"/>
      <c r="F923" s="87">
        <f>IF(COUNTIFS($C$3:C923,商品マスタ[[#This Row],[仕入先]],$E$3:E923,商品マスタ[[#This Row],[商品名]]) = 1, 1,0)</f>
        <v>0</v>
      </c>
      <c r="G923" s="133" t="str">
        <f>TEXT(SUMIF($C$3:C923,商品マスタ[[#This Row],[仕入先]],$F$3:F923), "0000")</f>
        <v>0000</v>
      </c>
      <c r="H923" s="87"/>
      <c r="I923" s="87"/>
      <c r="J923" s="87"/>
      <c r="K923" s="87"/>
      <c r="L923" s="134"/>
      <c r="M923" s="157"/>
      <c r="N923" s="134"/>
      <c r="O923" s="135" t="str">
        <f>IF(COUNT(商品マスタ[[#This Row],[参考上代
（税込)]]) &gt; 0, (商品マスタ[[#This Row],[参考上代
（税込)]]-商品マスタ[[#This Row],[国内定価
（15％）]])/(商品マスタ[[#This Row],[参考上代
（税込)]]/1.08), "")</f>
        <v/>
      </c>
      <c r="P923" s="136">
        <v>0.1</v>
      </c>
      <c r="Q923" s="134">
        <f>商品マスタ[[#This Row],[仕入
単価]]*商品マスタ[[#This Row],[標準国内送料率]]</f>
        <v>0</v>
      </c>
      <c r="R923" s="134"/>
      <c r="S923" s="134">
        <f>IF(ISBLANK(商品マスタ[[#This Row],[実績
国内送料]]),商品マスタ[[#This Row],[標準国内送料]],)</f>
        <v>0</v>
      </c>
      <c r="T923" s="134">
        <f>商品マスタ[[#This Row],[仕入
単価]]+商品マスタ[[#This Row],[国内送料]]</f>
        <v>0</v>
      </c>
      <c r="U923" s="134">
        <f>ROUNDUP(商品マスタ[[#This Row],[仕入単価+国内送料]]/0.8,-1)</f>
        <v>0</v>
      </c>
      <c r="V923" s="134">
        <f>商品マスタ[[#This Row],[海外定価
（20％）]]-商品マスタ[[#This Row],[仕入単価+国内送料]]</f>
        <v>0</v>
      </c>
      <c r="W923" s="87">
        <f>ROUNDUP(商品マスタ[[#This Row],[仕入単価+国内送料]]/0.85,-1)</f>
        <v>0</v>
      </c>
      <c r="X923" s="134">
        <f>商品マスタ[[#This Row],[国内定価
（15％）]]-商品マスタ[[#This Row],[仕入単価+国内送料]]</f>
        <v>0</v>
      </c>
      <c r="Y923" s="139"/>
      <c r="Z923" s="87"/>
      <c r="AA923" s="87"/>
      <c r="AB923" s="87"/>
      <c r="AC923" s="140"/>
      <c r="AD923" s="87"/>
      <c r="AE923" s="87"/>
      <c r="AF923" s="158"/>
      <c r="AG923" s="141"/>
    </row>
    <row r="924" spans="1:33" ht="18">
      <c r="A924" s="166"/>
      <c r="B924" s="167"/>
      <c r="C924" s="167"/>
      <c r="D924" s="143" t="str">
        <f>"PRD_SNJ_"&amp;
_xlfn.XLOOKUP(商品マスタ[[#This Row],[仕入先]],テーブル1[仕入先名],テーブル1[仕入先コード],"XXX",0,1)&amp;
"_"&amp;
商品マスタ[[#This Row],[シリアル]]&amp;
"_"&amp;
TEXT(COUNTIFS(商品マスタ!$C$3:C924,商品マスタ[[#This Row],[仕入先]],商品マスタ!$E$3:E924,商品マスタ[[#This Row],[商品名]]), "00")</f>
        <v>PRD_SNJ__0000_00</v>
      </c>
      <c r="E924" s="87"/>
      <c r="F924" s="87">
        <f>IF(COUNTIFS($C$3:C924,商品マスタ[[#This Row],[仕入先]],$E$3:E924,商品マスタ[[#This Row],[商品名]]) = 1, 1,0)</f>
        <v>0</v>
      </c>
      <c r="G924" s="133" t="str">
        <f>TEXT(SUMIF($C$3:C924,商品マスタ[[#This Row],[仕入先]],$F$3:F924), "0000")</f>
        <v>0000</v>
      </c>
      <c r="H924" s="87"/>
      <c r="I924" s="87"/>
      <c r="J924" s="87"/>
      <c r="K924" s="87"/>
      <c r="L924" s="134"/>
      <c r="M924" s="157"/>
      <c r="N924" s="134"/>
      <c r="O924" s="135" t="str">
        <f>IF(COUNT(商品マスタ[[#This Row],[参考上代
（税込)]]) &gt; 0, (商品マスタ[[#This Row],[参考上代
（税込)]]-商品マスタ[[#This Row],[国内定価
（15％）]])/(商品マスタ[[#This Row],[参考上代
（税込)]]/1.08), "")</f>
        <v/>
      </c>
      <c r="P924" s="136">
        <v>0.1</v>
      </c>
      <c r="Q924" s="134">
        <f>商品マスタ[[#This Row],[仕入
単価]]*商品マスタ[[#This Row],[標準国内送料率]]</f>
        <v>0</v>
      </c>
      <c r="R924" s="134"/>
      <c r="S924" s="134">
        <f>IF(ISBLANK(商品マスタ[[#This Row],[実績
国内送料]]),商品マスタ[[#This Row],[標準国内送料]],)</f>
        <v>0</v>
      </c>
      <c r="T924" s="134">
        <f>商品マスタ[[#This Row],[仕入
単価]]+商品マスタ[[#This Row],[国内送料]]</f>
        <v>0</v>
      </c>
      <c r="U924" s="134">
        <f>ROUNDUP(商品マスタ[[#This Row],[仕入単価+国内送料]]/0.8,-1)</f>
        <v>0</v>
      </c>
      <c r="V924" s="134">
        <f>商品マスタ[[#This Row],[海外定価
（20％）]]-商品マスタ[[#This Row],[仕入単価+国内送料]]</f>
        <v>0</v>
      </c>
      <c r="W924" s="87">
        <f>ROUNDUP(商品マスタ[[#This Row],[仕入単価+国内送料]]/0.85,-1)</f>
        <v>0</v>
      </c>
      <c r="X924" s="134">
        <f>商品マスタ[[#This Row],[国内定価
（15％）]]-商品マスタ[[#This Row],[仕入単価+国内送料]]</f>
        <v>0</v>
      </c>
      <c r="Y924" s="139"/>
      <c r="Z924" s="87"/>
      <c r="AA924" s="87"/>
      <c r="AB924" s="87"/>
      <c r="AC924" s="140"/>
      <c r="AD924" s="87"/>
      <c r="AE924" s="87"/>
      <c r="AF924" s="158"/>
      <c r="AG924" s="141"/>
    </row>
    <row r="925" spans="1:33" ht="18">
      <c r="A925" s="166"/>
      <c r="B925" s="167"/>
      <c r="C925" s="167"/>
      <c r="D925" s="143" t="str">
        <f>"PRD_SNJ_"&amp;
_xlfn.XLOOKUP(商品マスタ[[#This Row],[仕入先]],テーブル1[仕入先名],テーブル1[仕入先コード],"XXX",0,1)&amp;
"_"&amp;
商品マスタ[[#This Row],[シリアル]]&amp;
"_"&amp;
TEXT(COUNTIFS(商品マスタ!$C$3:C925,商品マスタ[[#This Row],[仕入先]],商品マスタ!$E$3:E925,商品マスタ[[#This Row],[商品名]]), "00")</f>
        <v>PRD_SNJ__0000_00</v>
      </c>
      <c r="E925" s="87"/>
      <c r="F925" s="87">
        <f>IF(COUNTIFS($C$3:C925,商品マスタ[[#This Row],[仕入先]],$E$3:E925,商品マスタ[[#This Row],[商品名]]) = 1, 1,0)</f>
        <v>0</v>
      </c>
      <c r="G925" s="133" t="str">
        <f>TEXT(SUMIF($C$3:C925,商品マスタ[[#This Row],[仕入先]],$F$3:F925), "0000")</f>
        <v>0000</v>
      </c>
      <c r="H925" s="87"/>
      <c r="I925" s="87"/>
      <c r="J925" s="87"/>
      <c r="K925" s="87"/>
      <c r="L925" s="134"/>
      <c r="M925" s="157"/>
      <c r="N925" s="134"/>
      <c r="O925" s="135" t="str">
        <f>IF(COUNT(商品マスタ[[#This Row],[参考上代
（税込)]]) &gt; 0, (商品マスタ[[#This Row],[参考上代
（税込)]]-商品マスタ[[#This Row],[国内定価
（15％）]])/(商品マスタ[[#This Row],[参考上代
（税込)]]/1.08), "")</f>
        <v/>
      </c>
      <c r="P925" s="136">
        <v>0.1</v>
      </c>
      <c r="Q925" s="134">
        <f>商品マスタ[[#This Row],[仕入
単価]]*商品マスタ[[#This Row],[標準国内送料率]]</f>
        <v>0</v>
      </c>
      <c r="R925" s="134"/>
      <c r="S925" s="134">
        <f>IF(ISBLANK(商品マスタ[[#This Row],[実績
国内送料]]),商品マスタ[[#This Row],[標準国内送料]],)</f>
        <v>0</v>
      </c>
      <c r="T925" s="134">
        <f>商品マスタ[[#This Row],[仕入
単価]]+商品マスタ[[#This Row],[国内送料]]</f>
        <v>0</v>
      </c>
      <c r="U925" s="134">
        <f>ROUNDUP(商品マスタ[[#This Row],[仕入単価+国内送料]]/0.8,-1)</f>
        <v>0</v>
      </c>
      <c r="V925" s="134">
        <f>商品マスタ[[#This Row],[海外定価
（20％）]]-商品マスタ[[#This Row],[仕入単価+国内送料]]</f>
        <v>0</v>
      </c>
      <c r="W925" s="87">
        <f>ROUNDUP(商品マスタ[[#This Row],[仕入単価+国内送料]]/0.85,-1)</f>
        <v>0</v>
      </c>
      <c r="X925" s="134">
        <f>商品マスタ[[#This Row],[国内定価
（15％）]]-商品マスタ[[#This Row],[仕入単価+国内送料]]</f>
        <v>0</v>
      </c>
      <c r="Y925" s="139"/>
      <c r="Z925" s="87"/>
      <c r="AA925" s="87"/>
      <c r="AB925" s="87"/>
      <c r="AC925" s="140"/>
      <c r="AD925" s="87"/>
      <c r="AE925" s="87"/>
      <c r="AF925" s="158"/>
      <c r="AG925" s="141"/>
    </row>
    <row r="926" spans="1:33" ht="18">
      <c r="A926" s="166"/>
      <c r="B926" s="167"/>
      <c r="C926" s="167"/>
      <c r="D926" s="143" t="str">
        <f>"PRD_SNJ_"&amp;
_xlfn.XLOOKUP(商品マスタ[[#This Row],[仕入先]],テーブル1[仕入先名],テーブル1[仕入先コード],"XXX",0,1)&amp;
"_"&amp;
商品マスタ[[#This Row],[シリアル]]&amp;
"_"&amp;
TEXT(COUNTIFS(商品マスタ!$C$3:C926,商品マスタ[[#This Row],[仕入先]],商品マスタ!$E$3:E926,商品マスタ[[#This Row],[商品名]]), "00")</f>
        <v>PRD_SNJ__0000_00</v>
      </c>
      <c r="E926" s="87"/>
      <c r="F926" s="87">
        <f>IF(COUNTIFS($C$3:C926,商品マスタ[[#This Row],[仕入先]],$E$3:E926,商品マスタ[[#This Row],[商品名]]) = 1, 1,0)</f>
        <v>0</v>
      </c>
      <c r="G926" s="133" t="str">
        <f>TEXT(SUMIF($C$3:C926,商品マスタ[[#This Row],[仕入先]],$F$3:F926), "0000")</f>
        <v>0000</v>
      </c>
      <c r="H926" s="87"/>
      <c r="I926" s="87"/>
      <c r="J926" s="87"/>
      <c r="K926" s="87"/>
      <c r="L926" s="134"/>
      <c r="M926" s="157"/>
      <c r="N926" s="134"/>
      <c r="O926" s="135" t="str">
        <f>IF(COUNT(商品マスタ[[#This Row],[参考上代
（税込)]]) &gt; 0, (商品マスタ[[#This Row],[参考上代
（税込)]]-商品マスタ[[#This Row],[国内定価
（15％）]])/(商品マスタ[[#This Row],[参考上代
（税込)]]/1.08), "")</f>
        <v/>
      </c>
      <c r="P926" s="136">
        <v>0.1</v>
      </c>
      <c r="Q926" s="134">
        <f>商品マスタ[[#This Row],[仕入
単価]]*商品マスタ[[#This Row],[標準国内送料率]]</f>
        <v>0</v>
      </c>
      <c r="R926" s="134"/>
      <c r="S926" s="134">
        <f>IF(ISBLANK(商品マスタ[[#This Row],[実績
国内送料]]),商品マスタ[[#This Row],[標準国内送料]],)</f>
        <v>0</v>
      </c>
      <c r="T926" s="134">
        <f>商品マスタ[[#This Row],[仕入
単価]]+商品マスタ[[#This Row],[国内送料]]</f>
        <v>0</v>
      </c>
      <c r="U926" s="134">
        <f>ROUNDUP(商品マスタ[[#This Row],[仕入単価+国内送料]]/0.8,-1)</f>
        <v>0</v>
      </c>
      <c r="V926" s="134">
        <f>商品マスタ[[#This Row],[海外定価
（20％）]]-商品マスタ[[#This Row],[仕入単価+国内送料]]</f>
        <v>0</v>
      </c>
      <c r="W926" s="87">
        <f>ROUNDUP(商品マスタ[[#This Row],[仕入単価+国内送料]]/0.85,-1)</f>
        <v>0</v>
      </c>
      <c r="X926" s="134">
        <f>商品マスタ[[#This Row],[国内定価
（15％）]]-商品マスタ[[#This Row],[仕入単価+国内送料]]</f>
        <v>0</v>
      </c>
      <c r="Y926" s="139"/>
      <c r="Z926" s="87"/>
      <c r="AA926" s="87"/>
      <c r="AB926" s="87"/>
      <c r="AC926" s="140"/>
      <c r="AD926" s="87"/>
      <c r="AE926" s="87"/>
      <c r="AF926" s="158"/>
      <c r="AG926" s="141"/>
    </row>
    <row r="927" spans="1:33" ht="18">
      <c r="A927" s="166"/>
      <c r="B927" s="167"/>
      <c r="C927" s="167"/>
      <c r="D927" s="143" t="str">
        <f>"PRD_SNJ_"&amp;
_xlfn.XLOOKUP(商品マスタ[[#This Row],[仕入先]],テーブル1[仕入先名],テーブル1[仕入先コード],"XXX",0,1)&amp;
"_"&amp;
商品マスタ[[#This Row],[シリアル]]&amp;
"_"&amp;
TEXT(COUNTIFS(商品マスタ!$C$3:C927,商品マスタ[[#This Row],[仕入先]],商品マスタ!$E$3:E927,商品マスタ[[#This Row],[商品名]]), "00")</f>
        <v>PRD_SNJ__0000_00</v>
      </c>
      <c r="E927" s="87"/>
      <c r="F927" s="87">
        <f>IF(COUNTIFS($C$3:C927,商品マスタ[[#This Row],[仕入先]],$E$3:E927,商品マスタ[[#This Row],[商品名]]) = 1, 1,0)</f>
        <v>0</v>
      </c>
      <c r="G927" s="133" t="str">
        <f>TEXT(SUMIF($C$3:C927,商品マスタ[[#This Row],[仕入先]],$F$3:F927), "0000")</f>
        <v>0000</v>
      </c>
      <c r="H927" s="87"/>
      <c r="I927" s="87"/>
      <c r="J927" s="87"/>
      <c r="K927" s="87"/>
      <c r="L927" s="134"/>
      <c r="M927" s="157"/>
      <c r="N927" s="134"/>
      <c r="O927" s="135" t="str">
        <f>IF(COUNT(商品マスタ[[#This Row],[参考上代
（税込)]]) &gt; 0, (商品マスタ[[#This Row],[参考上代
（税込)]]-商品マスタ[[#This Row],[国内定価
（15％）]])/(商品マスタ[[#This Row],[参考上代
（税込)]]/1.08), "")</f>
        <v/>
      </c>
      <c r="P927" s="136">
        <v>0.1</v>
      </c>
      <c r="Q927" s="134">
        <f>商品マスタ[[#This Row],[仕入
単価]]*商品マスタ[[#This Row],[標準国内送料率]]</f>
        <v>0</v>
      </c>
      <c r="R927" s="134"/>
      <c r="S927" s="134">
        <f>IF(ISBLANK(商品マスタ[[#This Row],[実績
国内送料]]),商品マスタ[[#This Row],[標準国内送料]],)</f>
        <v>0</v>
      </c>
      <c r="T927" s="134">
        <f>商品マスタ[[#This Row],[仕入
単価]]+商品マスタ[[#This Row],[国内送料]]</f>
        <v>0</v>
      </c>
      <c r="U927" s="134">
        <f>ROUNDUP(商品マスタ[[#This Row],[仕入単価+国内送料]]/0.8,-1)</f>
        <v>0</v>
      </c>
      <c r="V927" s="134">
        <f>商品マスタ[[#This Row],[海外定価
（20％）]]-商品マスタ[[#This Row],[仕入単価+国内送料]]</f>
        <v>0</v>
      </c>
      <c r="W927" s="87">
        <f>ROUNDUP(商品マスタ[[#This Row],[仕入単価+国内送料]]/0.85,-1)</f>
        <v>0</v>
      </c>
      <c r="X927" s="134">
        <f>商品マスタ[[#This Row],[国内定価
（15％）]]-商品マスタ[[#This Row],[仕入単価+国内送料]]</f>
        <v>0</v>
      </c>
      <c r="Y927" s="139"/>
      <c r="Z927" s="87"/>
      <c r="AA927" s="87"/>
      <c r="AB927" s="87"/>
      <c r="AC927" s="140"/>
      <c r="AD927" s="87"/>
      <c r="AE927" s="87"/>
      <c r="AF927" s="158"/>
      <c r="AG927" s="141"/>
    </row>
    <row r="928" spans="1:33" ht="18">
      <c r="A928" s="166"/>
      <c r="B928" s="167"/>
      <c r="C928" s="167"/>
      <c r="D928" s="143" t="str">
        <f>"PRD_SNJ_"&amp;
_xlfn.XLOOKUP(商品マスタ[[#This Row],[仕入先]],テーブル1[仕入先名],テーブル1[仕入先コード],"XXX",0,1)&amp;
"_"&amp;
商品マスタ[[#This Row],[シリアル]]&amp;
"_"&amp;
TEXT(COUNTIFS(商品マスタ!$C$3:C928,商品マスタ[[#This Row],[仕入先]],商品マスタ!$E$3:E928,商品マスタ[[#This Row],[商品名]]), "00")</f>
        <v>PRD_SNJ__0000_00</v>
      </c>
      <c r="E928" s="87"/>
      <c r="F928" s="87">
        <f>IF(COUNTIFS($C$3:C928,商品マスタ[[#This Row],[仕入先]],$E$3:E928,商品マスタ[[#This Row],[商品名]]) = 1, 1,0)</f>
        <v>0</v>
      </c>
      <c r="G928" s="133" t="str">
        <f>TEXT(SUMIF($C$3:C928,商品マスタ[[#This Row],[仕入先]],$F$3:F928), "0000")</f>
        <v>0000</v>
      </c>
      <c r="H928" s="87"/>
      <c r="I928" s="87"/>
      <c r="J928" s="87"/>
      <c r="K928" s="87"/>
      <c r="L928" s="134"/>
      <c r="M928" s="157"/>
      <c r="N928" s="134"/>
      <c r="O928" s="135" t="str">
        <f>IF(COUNT(商品マスタ[[#This Row],[参考上代
（税込)]]) &gt; 0, (商品マスタ[[#This Row],[参考上代
（税込)]]-商品マスタ[[#This Row],[国内定価
（15％）]])/(商品マスタ[[#This Row],[参考上代
（税込)]]/1.08), "")</f>
        <v/>
      </c>
      <c r="P928" s="136">
        <v>0.1</v>
      </c>
      <c r="Q928" s="134">
        <f>商品マスタ[[#This Row],[仕入
単価]]*商品マスタ[[#This Row],[標準国内送料率]]</f>
        <v>0</v>
      </c>
      <c r="R928" s="134"/>
      <c r="S928" s="134">
        <f>IF(ISBLANK(商品マスタ[[#This Row],[実績
国内送料]]),商品マスタ[[#This Row],[標準国内送料]],)</f>
        <v>0</v>
      </c>
      <c r="T928" s="134">
        <f>商品マスタ[[#This Row],[仕入
単価]]+商品マスタ[[#This Row],[国内送料]]</f>
        <v>0</v>
      </c>
      <c r="U928" s="134">
        <f>ROUNDUP(商品マスタ[[#This Row],[仕入単価+国内送料]]/0.8,-1)</f>
        <v>0</v>
      </c>
      <c r="V928" s="134">
        <f>商品マスタ[[#This Row],[海外定価
（20％）]]-商品マスタ[[#This Row],[仕入単価+国内送料]]</f>
        <v>0</v>
      </c>
      <c r="W928" s="87">
        <f>ROUNDUP(商品マスタ[[#This Row],[仕入単価+国内送料]]/0.85,-1)</f>
        <v>0</v>
      </c>
      <c r="X928" s="134">
        <f>商品マスタ[[#This Row],[国内定価
（15％）]]-商品マスタ[[#This Row],[仕入単価+国内送料]]</f>
        <v>0</v>
      </c>
      <c r="Y928" s="139"/>
      <c r="Z928" s="87"/>
      <c r="AA928" s="87"/>
      <c r="AB928" s="87"/>
      <c r="AC928" s="140"/>
      <c r="AD928" s="87"/>
      <c r="AE928" s="87"/>
      <c r="AF928" s="158"/>
      <c r="AG928" s="141"/>
    </row>
    <row r="929" spans="1:33" ht="18">
      <c r="A929" s="166"/>
      <c r="B929" s="167"/>
      <c r="C929" s="167"/>
      <c r="D929" s="143" t="str">
        <f>"PRD_SNJ_"&amp;
_xlfn.XLOOKUP(商品マスタ[[#This Row],[仕入先]],テーブル1[仕入先名],テーブル1[仕入先コード],"XXX",0,1)&amp;
"_"&amp;
商品マスタ[[#This Row],[シリアル]]&amp;
"_"&amp;
TEXT(COUNTIFS(商品マスタ!$C$3:C929,商品マスタ[[#This Row],[仕入先]],商品マスタ!$E$3:E929,商品マスタ[[#This Row],[商品名]]), "00")</f>
        <v>PRD_SNJ__0000_00</v>
      </c>
      <c r="E929" s="87"/>
      <c r="F929" s="87">
        <f>IF(COUNTIFS($C$3:C929,商品マスタ[[#This Row],[仕入先]],$E$3:E929,商品マスタ[[#This Row],[商品名]]) = 1, 1,0)</f>
        <v>0</v>
      </c>
      <c r="G929" s="133" t="str">
        <f>TEXT(SUMIF($C$3:C929,商品マスタ[[#This Row],[仕入先]],$F$3:F929), "0000")</f>
        <v>0000</v>
      </c>
      <c r="H929" s="87"/>
      <c r="I929" s="87"/>
      <c r="J929" s="87"/>
      <c r="K929" s="87"/>
      <c r="L929" s="134"/>
      <c r="M929" s="157"/>
      <c r="N929" s="134"/>
      <c r="O929" s="135" t="str">
        <f>IF(COUNT(商品マスタ[[#This Row],[参考上代
（税込)]]) &gt; 0, (商品マスタ[[#This Row],[参考上代
（税込)]]-商品マスタ[[#This Row],[国内定価
（15％）]])/(商品マスタ[[#This Row],[参考上代
（税込)]]/1.08), "")</f>
        <v/>
      </c>
      <c r="P929" s="136">
        <v>0.1</v>
      </c>
      <c r="Q929" s="134">
        <f>商品マスタ[[#This Row],[仕入
単価]]*商品マスタ[[#This Row],[標準国内送料率]]</f>
        <v>0</v>
      </c>
      <c r="R929" s="134"/>
      <c r="S929" s="134">
        <f>IF(ISBLANK(商品マスタ[[#This Row],[実績
国内送料]]),商品マスタ[[#This Row],[標準国内送料]],)</f>
        <v>0</v>
      </c>
      <c r="T929" s="134">
        <f>商品マスタ[[#This Row],[仕入
単価]]+商品マスタ[[#This Row],[国内送料]]</f>
        <v>0</v>
      </c>
      <c r="U929" s="134">
        <f>ROUNDUP(商品マスタ[[#This Row],[仕入単価+国内送料]]/0.8,-1)</f>
        <v>0</v>
      </c>
      <c r="V929" s="134">
        <f>商品マスタ[[#This Row],[海外定価
（20％）]]-商品マスタ[[#This Row],[仕入単価+国内送料]]</f>
        <v>0</v>
      </c>
      <c r="W929" s="87">
        <f>ROUNDUP(商品マスタ[[#This Row],[仕入単価+国内送料]]/0.85,-1)</f>
        <v>0</v>
      </c>
      <c r="X929" s="134">
        <f>商品マスタ[[#This Row],[国内定価
（15％）]]-商品マスタ[[#This Row],[仕入単価+国内送料]]</f>
        <v>0</v>
      </c>
      <c r="Y929" s="139"/>
      <c r="Z929" s="87"/>
      <c r="AA929" s="87"/>
      <c r="AB929" s="87"/>
      <c r="AC929" s="140"/>
      <c r="AD929" s="87"/>
      <c r="AE929" s="87"/>
      <c r="AF929" s="158"/>
      <c r="AG929" s="141"/>
    </row>
    <row r="930" spans="1:33" ht="18">
      <c r="A930" s="166"/>
      <c r="B930" s="167"/>
      <c r="C930" s="167"/>
      <c r="D930" s="143" t="str">
        <f>"PRD_SNJ_"&amp;
_xlfn.XLOOKUP(商品マスタ[[#This Row],[仕入先]],テーブル1[仕入先名],テーブル1[仕入先コード],"XXX",0,1)&amp;
"_"&amp;
商品マスタ[[#This Row],[シリアル]]&amp;
"_"&amp;
TEXT(COUNTIFS(商品マスタ!$C$3:C930,商品マスタ[[#This Row],[仕入先]],商品マスタ!$E$3:E930,商品マスタ[[#This Row],[商品名]]), "00")</f>
        <v>PRD_SNJ__0000_00</v>
      </c>
      <c r="E930" s="87"/>
      <c r="F930" s="87">
        <f>IF(COUNTIFS($C$3:C930,商品マスタ[[#This Row],[仕入先]],$E$3:E930,商品マスタ[[#This Row],[商品名]]) = 1, 1,0)</f>
        <v>0</v>
      </c>
      <c r="G930" s="133" t="str">
        <f>TEXT(SUMIF($C$3:C930,商品マスタ[[#This Row],[仕入先]],$F$3:F930), "0000")</f>
        <v>0000</v>
      </c>
      <c r="H930" s="87"/>
      <c r="I930" s="87"/>
      <c r="J930" s="87"/>
      <c r="K930" s="87"/>
      <c r="L930" s="134"/>
      <c r="M930" s="157"/>
      <c r="N930" s="134"/>
      <c r="O930" s="135" t="str">
        <f>IF(COUNT(商品マスタ[[#This Row],[参考上代
（税込)]]) &gt; 0, (商品マスタ[[#This Row],[参考上代
（税込)]]-商品マスタ[[#This Row],[国内定価
（15％）]])/(商品マスタ[[#This Row],[参考上代
（税込)]]/1.08), "")</f>
        <v/>
      </c>
      <c r="P930" s="136">
        <v>0.1</v>
      </c>
      <c r="Q930" s="134">
        <f>商品マスタ[[#This Row],[仕入
単価]]*商品マスタ[[#This Row],[標準国内送料率]]</f>
        <v>0</v>
      </c>
      <c r="R930" s="134"/>
      <c r="S930" s="134">
        <f>IF(ISBLANK(商品マスタ[[#This Row],[実績
国内送料]]),商品マスタ[[#This Row],[標準国内送料]],)</f>
        <v>0</v>
      </c>
      <c r="T930" s="134">
        <f>商品マスタ[[#This Row],[仕入
単価]]+商品マスタ[[#This Row],[国内送料]]</f>
        <v>0</v>
      </c>
      <c r="U930" s="134">
        <f>ROUNDUP(商品マスタ[[#This Row],[仕入単価+国内送料]]/0.8,-1)</f>
        <v>0</v>
      </c>
      <c r="V930" s="134">
        <f>商品マスタ[[#This Row],[海外定価
（20％）]]-商品マスタ[[#This Row],[仕入単価+国内送料]]</f>
        <v>0</v>
      </c>
      <c r="W930" s="87">
        <f>ROUNDUP(商品マスタ[[#This Row],[仕入単価+国内送料]]/0.85,-1)</f>
        <v>0</v>
      </c>
      <c r="X930" s="134">
        <f>商品マスタ[[#This Row],[国内定価
（15％）]]-商品マスタ[[#This Row],[仕入単価+国内送料]]</f>
        <v>0</v>
      </c>
      <c r="Y930" s="139"/>
      <c r="Z930" s="87"/>
      <c r="AA930" s="87"/>
      <c r="AB930" s="87"/>
      <c r="AC930" s="140"/>
      <c r="AD930" s="87"/>
      <c r="AE930" s="87"/>
      <c r="AF930" s="158"/>
      <c r="AG930" s="141"/>
    </row>
    <row r="931" spans="1:33" ht="18">
      <c r="A931" s="166"/>
      <c r="B931" s="167"/>
      <c r="C931" s="167"/>
      <c r="D931" s="143" t="str">
        <f>"PRD_SNJ_"&amp;
_xlfn.XLOOKUP(商品マスタ[[#This Row],[仕入先]],テーブル1[仕入先名],テーブル1[仕入先コード],"XXX",0,1)&amp;
"_"&amp;
商品マスタ[[#This Row],[シリアル]]&amp;
"_"&amp;
TEXT(COUNTIFS(商品マスタ!$C$3:C931,商品マスタ[[#This Row],[仕入先]],商品マスタ!$E$3:E931,商品マスタ[[#This Row],[商品名]]), "00")</f>
        <v>PRD_SNJ__0000_00</v>
      </c>
      <c r="E931" s="87"/>
      <c r="F931" s="87">
        <f>IF(COUNTIFS($C$3:C931,商品マスタ[[#This Row],[仕入先]],$E$3:E931,商品マスタ[[#This Row],[商品名]]) = 1, 1,0)</f>
        <v>0</v>
      </c>
      <c r="G931" s="133" t="str">
        <f>TEXT(SUMIF($C$3:C931,商品マスタ[[#This Row],[仕入先]],$F$3:F931), "0000")</f>
        <v>0000</v>
      </c>
      <c r="H931" s="87"/>
      <c r="I931" s="87"/>
      <c r="J931" s="87"/>
      <c r="K931" s="87"/>
      <c r="L931" s="134"/>
      <c r="M931" s="157"/>
      <c r="N931" s="134"/>
      <c r="O931" s="135" t="str">
        <f>IF(COUNT(商品マスタ[[#This Row],[参考上代
（税込)]]) &gt; 0, (商品マスタ[[#This Row],[参考上代
（税込)]]-商品マスタ[[#This Row],[国内定価
（15％）]])/(商品マスタ[[#This Row],[参考上代
（税込)]]/1.08), "")</f>
        <v/>
      </c>
      <c r="P931" s="136">
        <v>0.1</v>
      </c>
      <c r="Q931" s="134">
        <f>商品マスタ[[#This Row],[仕入
単価]]*商品マスタ[[#This Row],[標準国内送料率]]</f>
        <v>0</v>
      </c>
      <c r="R931" s="134"/>
      <c r="S931" s="134">
        <f>IF(ISBLANK(商品マスタ[[#This Row],[実績
国内送料]]),商品マスタ[[#This Row],[標準国内送料]],)</f>
        <v>0</v>
      </c>
      <c r="T931" s="134">
        <f>商品マスタ[[#This Row],[仕入
単価]]+商品マスタ[[#This Row],[国内送料]]</f>
        <v>0</v>
      </c>
      <c r="U931" s="134">
        <f>ROUNDUP(商品マスタ[[#This Row],[仕入単価+国内送料]]/0.8,-1)</f>
        <v>0</v>
      </c>
      <c r="V931" s="134">
        <f>商品マスタ[[#This Row],[海外定価
（20％）]]-商品マスタ[[#This Row],[仕入単価+国内送料]]</f>
        <v>0</v>
      </c>
      <c r="W931" s="87">
        <f>ROUNDUP(商品マスタ[[#This Row],[仕入単価+国内送料]]/0.85,-1)</f>
        <v>0</v>
      </c>
      <c r="X931" s="134">
        <f>商品マスタ[[#This Row],[国内定価
（15％）]]-商品マスタ[[#This Row],[仕入単価+国内送料]]</f>
        <v>0</v>
      </c>
      <c r="Y931" s="139"/>
      <c r="Z931" s="87"/>
      <c r="AA931" s="87"/>
      <c r="AB931" s="87"/>
      <c r="AC931" s="140"/>
      <c r="AD931" s="87"/>
      <c r="AE931" s="87"/>
      <c r="AF931" s="158"/>
      <c r="AG931" s="141"/>
    </row>
    <row r="932" spans="1:33" ht="18">
      <c r="A932" s="166"/>
      <c r="B932" s="167"/>
      <c r="C932" s="167"/>
      <c r="D932" s="143" t="str">
        <f>"PRD_SNJ_"&amp;
_xlfn.XLOOKUP(商品マスタ[[#This Row],[仕入先]],テーブル1[仕入先名],テーブル1[仕入先コード],"XXX",0,1)&amp;
"_"&amp;
商品マスタ[[#This Row],[シリアル]]&amp;
"_"&amp;
TEXT(COUNTIFS(商品マスタ!$C$3:C932,商品マスタ[[#This Row],[仕入先]],商品マスタ!$E$3:E932,商品マスタ[[#This Row],[商品名]]), "00")</f>
        <v>PRD_SNJ__0000_00</v>
      </c>
      <c r="E932" s="87"/>
      <c r="F932" s="87">
        <f>IF(COUNTIFS($C$3:C932,商品マスタ[[#This Row],[仕入先]],$E$3:E932,商品マスタ[[#This Row],[商品名]]) = 1, 1,0)</f>
        <v>0</v>
      </c>
      <c r="G932" s="133" t="str">
        <f>TEXT(SUMIF($C$3:C932,商品マスタ[[#This Row],[仕入先]],$F$3:F932), "0000")</f>
        <v>0000</v>
      </c>
      <c r="H932" s="87"/>
      <c r="I932" s="87"/>
      <c r="J932" s="87"/>
      <c r="K932" s="87"/>
      <c r="L932" s="134"/>
      <c r="M932" s="157"/>
      <c r="N932" s="134"/>
      <c r="O932" s="135" t="str">
        <f>IF(COUNT(商品マスタ[[#This Row],[参考上代
（税込)]]) &gt; 0, (商品マスタ[[#This Row],[参考上代
（税込)]]-商品マスタ[[#This Row],[国内定価
（15％）]])/(商品マスタ[[#This Row],[参考上代
（税込)]]/1.08), "")</f>
        <v/>
      </c>
      <c r="P932" s="136">
        <v>0.1</v>
      </c>
      <c r="Q932" s="134">
        <f>商品マスタ[[#This Row],[仕入
単価]]*商品マスタ[[#This Row],[標準国内送料率]]</f>
        <v>0</v>
      </c>
      <c r="R932" s="134"/>
      <c r="S932" s="134">
        <f>IF(ISBLANK(商品マスタ[[#This Row],[実績
国内送料]]),商品マスタ[[#This Row],[標準国内送料]],)</f>
        <v>0</v>
      </c>
      <c r="T932" s="134">
        <f>商品マスタ[[#This Row],[仕入
単価]]+商品マスタ[[#This Row],[国内送料]]</f>
        <v>0</v>
      </c>
      <c r="U932" s="134">
        <f>ROUNDUP(商品マスタ[[#This Row],[仕入単価+国内送料]]/0.8,-1)</f>
        <v>0</v>
      </c>
      <c r="V932" s="134">
        <f>商品マスタ[[#This Row],[海外定価
（20％）]]-商品マスタ[[#This Row],[仕入単価+国内送料]]</f>
        <v>0</v>
      </c>
      <c r="W932" s="87">
        <f>ROUNDUP(商品マスタ[[#This Row],[仕入単価+国内送料]]/0.85,-1)</f>
        <v>0</v>
      </c>
      <c r="X932" s="134">
        <f>商品マスタ[[#This Row],[国内定価
（15％）]]-商品マスタ[[#This Row],[仕入単価+国内送料]]</f>
        <v>0</v>
      </c>
      <c r="Y932" s="139"/>
      <c r="Z932" s="87"/>
      <c r="AA932" s="87"/>
      <c r="AB932" s="87"/>
      <c r="AC932" s="140"/>
      <c r="AD932" s="87"/>
      <c r="AE932" s="87"/>
      <c r="AF932" s="158"/>
      <c r="AG932" s="141"/>
    </row>
    <row r="933" spans="1:33" ht="18">
      <c r="A933" s="166"/>
      <c r="B933" s="167"/>
      <c r="C933" s="167"/>
      <c r="D933" s="143" t="str">
        <f>"PRD_SNJ_"&amp;
_xlfn.XLOOKUP(商品マスタ[[#This Row],[仕入先]],テーブル1[仕入先名],テーブル1[仕入先コード],"XXX",0,1)&amp;
"_"&amp;
商品マスタ[[#This Row],[シリアル]]&amp;
"_"&amp;
TEXT(COUNTIFS(商品マスタ!$C$3:C933,商品マスタ[[#This Row],[仕入先]],商品マスタ!$E$3:E933,商品マスタ[[#This Row],[商品名]]), "00")</f>
        <v>PRD_SNJ__0000_00</v>
      </c>
      <c r="E933" s="87"/>
      <c r="F933" s="87">
        <f>IF(COUNTIFS($C$3:C933,商品マスタ[[#This Row],[仕入先]],$E$3:E933,商品マスタ[[#This Row],[商品名]]) = 1, 1,0)</f>
        <v>0</v>
      </c>
      <c r="G933" s="133" t="str">
        <f>TEXT(SUMIF($C$3:C933,商品マスタ[[#This Row],[仕入先]],$F$3:F933), "0000")</f>
        <v>0000</v>
      </c>
      <c r="H933" s="87"/>
      <c r="I933" s="87"/>
      <c r="J933" s="87"/>
      <c r="K933" s="87"/>
      <c r="L933" s="134"/>
      <c r="M933" s="157"/>
      <c r="N933" s="134"/>
      <c r="O933" s="135" t="str">
        <f>IF(COUNT(商品マスタ[[#This Row],[参考上代
（税込)]]) &gt; 0, (商品マスタ[[#This Row],[参考上代
（税込)]]-商品マスタ[[#This Row],[国内定価
（15％）]])/(商品マスタ[[#This Row],[参考上代
（税込)]]/1.08), "")</f>
        <v/>
      </c>
      <c r="P933" s="136">
        <v>0.1</v>
      </c>
      <c r="Q933" s="134">
        <f>商品マスタ[[#This Row],[仕入
単価]]*商品マスタ[[#This Row],[標準国内送料率]]</f>
        <v>0</v>
      </c>
      <c r="R933" s="134"/>
      <c r="S933" s="134">
        <f>IF(ISBLANK(商品マスタ[[#This Row],[実績
国内送料]]),商品マスタ[[#This Row],[標準国内送料]],)</f>
        <v>0</v>
      </c>
      <c r="T933" s="134">
        <f>商品マスタ[[#This Row],[仕入
単価]]+商品マスタ[[#This Row],[国内送料]]</f>
        <v>0</v>
      </c>
      <c r="U933" s="134">
        <f>ROUNDUP(商品マスタ[[#This Row],[仕入単価+国内送料]]/0.8,-1)</f>
        <v>0</v>
      </c>
      <c r="V933" s="134">
        <f>商品マスタ[[#This Row],[海外定価
（20％）]]-商品マスタ[[#This Row],[仕入単価+国内送料]]</f>
        <v>0</v>
      </c>
      <c r="W933" s="87">
        <f>ROUNDUP(商品マスタ[[#This Row],[仕入単価+国内送料]]/0.85,-1)</f>
        <v>0</v>
      </c>
      <c r="X933" s="134">
        <f>商品マスタ[[#This Row],[国内定価
（15％）]]-商品マスタ[[#This Row],[仕入単価+国内送料]]</f>
        <v>0</v>
      </c>
      <c r="Y933" s="139"/>
      <c r="Z933" s="87"/>
      <c r="AA933" s="87"/>
      <c r="AB933" s="87"/>
      <c r="AC933" s="140"/>
      <c r="AD933" s="87"/>
      <c r="AE933" s="87"/>
      <c r="AF933" s="158"/>
      <c r="AG933" s="141"/>
    </row>
    <row r="934" spans="1:33" ht="18">
      <c r="A934" s="166"/>
      <c r="B934" s="167"/>
      <c r="C934" s="167"/>
      <c r="D934" s="143" t="str">
        <f>"PRD_SNJ_"&amp;
_xlfn.XLOOKUP(商品マスタ[[#This Row],[仕入先]],テーブル1[仕入先名],テーブル1[仕入先コード],"XXX",0,1)&amp;
"_"&amp;
商品マスタ[[#This Row],[シリアル]]&amp;
"_"&amp;
TEXT(COUNTIFS(商品マスタ!$C$3:C934,商品マスタ[[#This Row],[仕入先]],商品マスタ!$E$3:E934,商品マスタ[[#This Row],[商品名]]), "00")</f>
        <v>PRD_SNJ__0000_00</v>
      </c>
      <c r="E934" s="87"/>
      <c r="F934" s="87">
        <f>IF(COUNTIFS($C$3:C934,商品マスタ[[#This Row],[仕入先]],$E$3:E934,商品マスタ[[#This Row],[商品名]]) = 1, 1,0)</f>
        <v>0</v>
      </c>
      <c r="G934" s="133" t="str">
        <f>TEXT(SUMIF($C$3:C934,商品マスタ[[#This Row],[仕入先]],$F$3:F934), "0000")</f>
        <v>0000</v>
      </c>
      <c r="H934" s="87"/>
      <c r="I934" s="87"/>
      <c r="J934" s="87"/>
      <c r="K934" s="87"/>
      <c r="L934" s="134"/>
      <c r="M934" s="157"/>
      <c r="N934" s="134"/>
      <c r="O934" s="135" t="str">
        <f>IF(COUNT(商品マスタ[[#This Row],[参考上代
（税込)]]) &gt; 0, (商品マスタ[[#This Row],[参考上代
（税込)]]-商品マスタ[[#This Row],[国内定価
（15％）]])/(商品マスタ[[#This Row],[参考上代
（税込)]]/1.08), "")</f>
        <v/>
      </c>
      <c r="P934" s="136">
        <v>0.1</v>
      </c>
      <c r="Q934" s="134">
        <f>商品マスタ[[#This Row],[仕入
単価]]*商品マスタ[[#This Row],[標準国内送料率]]</f>
        <v>0</v>
      </c>
      <c r="R934" s="134"/>
      <c r="S934" s="134">
        <f>IF(ISBLANK(商品マスタ[[#This Row],[実績
国内送料]]),商品マスタ[[#This Row],[標準国内送料]],)</f>
        <v>0</v>
      </c>
      <c r="T934" s="134">
        <f>商品マスタ[[#This Row],[仕入
単価]]+商品マスタ[[#This Row],[国内送料]]</f>
        <v>0</v>
      </c>
      <c r="U934" s="134">
        <f>ROUNDUP(商品マスタ[[#This Row],[仕入単価+国内送料]]/0.8,-1)</f>
        <v>0</v>
      </c>
      <c r="V934" s="134">
        <f>商品マスタ[[#This Row],[海外定価
（20％）]]-商品マスタ[[#This Row],[仕入単価+国内送料]]</f>
        <v>0</v>
      </c>
      <c r="W934" s="87">
        <f>ROUNDUP(商品マスタ[[#This Row],[仕入単価+国内送料]]/0.85,-1)</f>
        <v>0</v>
      </c>
      <c r="X934" s="134">
        <f>商品マスタ[[#This Row],[国内定価
（15％）]]-商品マスタ[[#This Row],[仕入単価+国内送料]]</f>
        <v>0</v>
      </c>
      <c r="Y934" s="139"/>
      <c r="Z934" s="87"/>
      <c r="AA934" s="87"/>
      <c r="AB934" s="87"/>
      <c r="AC934" s="140"/>
      <c r="AD934" s="87"/>
      <c r="AE934" s="87"/>
      <c r="AF934" s="158"/>
      <c r="AG934" s="141"/>
    </row>
    <row r="935" spans="1:33" ht="18">
      <c r="A935" s="166"/>
      <c r="B935" s="167"/>
      <c r="C935" s="167"/>
      <c r="D935" s="143" t="str">
        <f>"PRD_SNJ_"&amp;
_xlfn.XLOOKUP(商品マスタ[[#This Row],[仕入先]],テーブル1[仕入先名],テーブル1[仕入先コード],"XXX",0,1)&amp;
"_"&amp;
商品マスタ[[#This Row],[シリアル]]&amp;
"_"&amp;
TEXT(COUNTIFS(商品マスタ!$C$3:C935,商品マスタ[[#This Row],[仕入先]],商品マスタ!$E$3:E935,商品マスタ[[#This Row],[商品名]]), "00")</f>
        <v>PRD_SNJ__0000_00</v>
      </c>
      <c r="E935" s="87"/>
      <c r="F935" s="87">
        <f>IF(COUNTIFS($C$3:C935,商品マスタ[[#This Row],[仕入先]],$E$3:E935,商品マスタ[[#This Row],[商品名]]) = 1, 1,0)</f>
        <v>0</v>
      </c>
      <c r="G935" s="133" t="str">
        <f>TEXT(SUMIF($C$3:C935,商品マスタ[[#This Row],[仕入先]],$F$3:F935), "0000")</f>
        <v>0000</v>
      </c>
      <c r="H935" s="87"/>
      <c r="I935" s="87"/>
      <c r="J935" s="87"/>
      <c r="K935" s="87"/>
      <c r="L935" s="134"/>
      <c r="M935" s="157"/>
      <c r="N935" s="134"/>
      <c r="O935" s="135" t="str">
        <f>IF(COUNT(商品マスタ[[#This Row],[参考上代
（税込)]]) &gt; 0, (商品マスタ[[#This Row],[参考上代
（税込)]]-商品マスタ[[#This Row],[国内定価
（15％）]])/(商品マスタ[[#This Row],[参考上代
（税込)]]/1.08), "")</f>
        <v/>
      </c>
      <c r="P935" s="136">
        <v>0.1</v>
      </c>
      <c r="Q935" s="134">
        <f>商品マスタ[[#This Row],[仕入
単価]]*商品マスタ[[#This Row],[標準国内送料率]]</f>
        <v>0</v>
      </c>
      <c r="R935" s="134"/>
      <c r="S935" s="134">
        <f>IF(ISBLANK(商品マスタ[[#This Row],[実績
国内送料]]),商品マスタ[[#This Row],[標準国内送料]],)</f>
        <v>0</v>
      </c>
      <c r="T935" s="134">
        <f>商品マスタ[[#This Row],[仕入
単価]]+商品マスタ[[#This Row],[国内送料]]</f>
        <v>0</v>
      </c>
      <c r="U935" s="134">
        <f>ROUNDUP(商品マスタ[[#This Row],[仕入単価+国内送料]]/0.8,-1)</f>
        <v>0</v>
      </c>
      <c r="V935" s="134">
        <f>商品マスタ[[#This Row],[海外定価
（20％）]]-商品マスタ[[#This Row],[仕入単価+国内送料]]</f>
        <v>0</v>
      </c>
      <c r="W935" s="87">
        <f>ROUNDUP(商品マスタ[[#This Row],[仕入単価+国内送料]]/0.85,-1)</f>
        <v>0</v>
      </c>
      <c r="X935" s="134">
        <f>商品マスタ[[#This Row],[国内定価
（15％）]]-商品マスタ[[#This Row],[仕入単価+国内送料]]</f>
        <v>0</v>
      </c>
      <c r="Y935" s="139"/>
      <c r="Z935" s="87"/>
      <c r="AA935" s="87"/>
      <c r="AB935" s="87"/>
      <c r="AC935" s="140"/>
      <c r="AD935" s="87"/>
      <c r="AE935" s="87"/>
      <c r="AF935" s="158"/>
      <c r="AG935" s="141"/>
    </row>
    <row r="936" spans="1:33" ht="18">
      <c r="A936" s="166"/>
      <c r="B936" s="167"/>
      <c r="C936" s="167"/>
      <c r="D936" s="143" t="str">
        <f>"PRD_SNJ_"&amp;
_xlfn.XLOOKUP(商品マスタ[[#This Row],[仕入先]],テーブル1[仕入先名],テーブル1[仕入先コード],"XXX",0,1)&amp;
"_"&amp;
商品マスタ[[#This Row],[シリアル]]&amp;
"_"&amp;
TEXT(COUNTIFS(商品マスタ!$C$3:C936,商品マスタ[[#This Row],[仕入先]],商品マスタ!$E$3:E936,商品マスタ[[#This Row],[商品名]]), "00")</f>
        <v>PRD_SNJ__0000_00</v>
      </c>
      <c r="E936" s="87"/>
      <c r="F936" s="87">
        <f>IF(COUNTIFS($C$3:C936,商品マスタ[[#This Row],[仕入先]],$E$3:E936,商品マスタ[[#This Row],[商品名]]) = 1, 1,0)</f>
        <v>0</v>
      </c>
      <c r="G936" s="133" t="str">
        <f>TEXT(SUMIF($C$3:C936,商品マスタ[[#This Row],[仕入先]],$F$3:F936), "0000")</f>
        <v>0000</v>
      </c>
      <c r="H936" s="87"/>
      <c r="I936" s="87"/>
      <c r="J936" s="87"/>
      <c r="K936" s="87"/>
      <c r="L936" s="134"/>
      <c r="M936" s="157"/>
      <c r="N936" s="134"/>
      <c r="O936" s="135" t="str">
        <f>IF(COUNT(商品マスタ[[#This Row],[参考上代
（税込)]]) &gt; 0, (商品マスタ[[#This Row],[参考上代
（税込)]]-商品マスタ[[#This Row],[国内定価
（15％）]])/(商品マスタ[[#This Row],[参考上代
（税込)]]/1.08), "")</f>
        <v/>
      </c>
      <c r="P936" s="136">
        <v>0.1</v>
      </c>
      <c r="Q936" s="134">
        <f>商品マスタ[[#This Row],[仕入
単価]]*商品マスタ[[#This Row],[標準国内送料率]]</f>
        <v>0</v>
      </c>
      <c r="R936" s="134"/>
      <c r="S936" s="134">
        <f>IF(ISBLANK(商品マスタ[[#This Row],[実績
国内送料]]),商品マスタ[[#This Row],[標準国内送料]],)</f>
        <v>0</v>
      </c>
      <c r="T936" s="134">
        <f>商品マスタ[[#This Row],[仕入
単価]]+商品マスタ[[#This Row],[国内送料]]</f>
        <v>0</v>
      </c>
      <c r="U936" s="134">
        <f>ROUNDUP(商品マスタ[[#This Row],[仕入単価+国内送料]]/0.8,-1)</f>
        <v>0</v>
      </c>
      <c r="V936" s="134">
        <f>商品マスタ[[#This Row],[海外定価
（20％）]]-商品マスタ[[#This Row],[仕入単価+国内送料]]</f>
        <v>0</v>
      </c>
      <c r="W936" s="87">
        <f>ROUNDUP(商品マスタ[[#This Row],[仕入単価+国内送料]]/0.85,-1)</f>
        <v>0</v>
      </c>
      <c r="X936" s="134">
        <f>商品マスタ[[#This Row],[国内定価
（15％）]]-商品マスタ[[#This Row],[仕入単価+国内送料]]</f>
        <v>0</v>
      </c>
      <c r="Y936" s="139"/>
      <c r="Z936" s="87"/>
      <c r="AA936" s="87"/>
      <c r="AB936" s="87"/>
      <c r="AC936" s="140"/>
      <c r="AD936" s="87"/>
      <c r="AE936" s="87"/>
      <c r="AF936" s="158"/>
      <c r="AG936" s="141"/>
    </row>
    <row r="937" spans="1:33" ht="18">
      <c r="A937" s="166"/>
      <c r="B937" s="167"/>
      <c r="C937" s="167"/>
      <c r="D937" s="143" t="str">
        <f>"PRD_SNJ_"&amp;
_xlfn.XLOOKUP(商品マスタ[[#This Row],[仕入先]],テーブル1[仕入先名],テーブル1[仕入先コード],"XXX",0,1)&amp;
"_"&amp;
商品マスタ[[#This Row],[シリアル]]&amp;
"_"&amp;
TEXT(COUNTIFS(商品マスタ!$C$3:C937,商品マスタ[[#This Row],[仕入先]],商品マスタ!$E$3:E937,商品マスタ[[#This Row],[商品名]]), "00")</f>
        <v>PRD_SNJ__0000_00</v>
      </c>
      <c r="E937" s="87"/>
      <c r="F937" s="87">
        <f>IF(COUNTIFS($C$3:C937,商品マスタ[[#This Row],[仕入先]],$E$3:E937,商品マスタ[[#This Row],[商品名]]) = 1, 1,0)</f>
        <v>0</v>
      </c>
      <c r="G937" s="133" t="str">
        <f>TEXT(SUMIF($C$3:C937,商品マスタ[[#This Row],[仕入先]],$F$3:F937), "0000")</f>
        <v>0000</v>
      </c>
      <c r="H937" s="87"/>
      <c r="I937" s="87"/>
      <c r="J937" s="87"/>
      <c r="K937" s="87"/>
      <c r="L937" s="134"/>
      <c r="M937" s="157"/>
      <c r="N937" s="134"/>
      <c r="O937" s="135" t="str">
        <f>IF(COUNT(商品マスタ[[#This Row],[参考上代
（税込)]]) &gt; 0, (商品マスタ[[#This Row],[参考上代
（税込)]]-商品マスタ[[#This Row],[国内定価
（15％）]])/(商品マスタ[[#This Row],[参考上代
（税込)]]/1.08), "")</f>
        <v/>
      </c>
      <c r="P937" s="136">
        <v>0.1</v>
      </c>
      <c r="Q937" s="134">
        <f>商品マスタ[[#This Row],[仕入
単価]]*商品マスタ[[#This Row],[標準国内送料率]]</f>
        <v>0</v>
      </c>
      <c r="R937" s="134"/>
      <c r="S937" s="134">
        <f>IF(ISBLANK(商品マスタ[[#This Row],[実績
国内送料]]),商品マスタ[[#This Row],[標準国内送料]],)</f>
        <v>0</v>
      </c>
      <c r="T937" s="134">
        <f>商品マスタ[[#This Row],[仕入
単価]]+商品マスタ[[#This Row],[国内送料]]</f>
        <v>0</v>
      </c>
      <c r="U937" s="134">
        <f>ROUNDUP(商品マスタ[[#This Row],[仕入単価+国内送料]]/0.8,-1)</f>
        <v>0</v>
      </c>
      <c r="V937" s="134">
        <f>商品マスタ[[#This Row],[海外定価
（20％）]]-商品マスタ[[#This Row],[仕入単価+国内送料]]</f>
        <v>0</v>
      </c>
      <c r="W937" s="87">
        <f>ROUNDUP(商品マスタ[[#This Row],[仕入単価+国内送料]]/0.85,-1)</f>
        <v>0</v>
      </c>
      <c r="X937" s="134">
        <f>商品マスタ[[#This Row],[国内定価
（15％）]]-商品マスタ[[#This Row],[仕入単価+国内送料]]</f>
        <v>0</v>
      </c>
      <c r="Y937" s="139"/>
      <c r="Z937" s="87"/>
      <c r="AA937" s="87"/>
      <c r="AB937" s="87"/>
      <c r="AC937" s="140"/>
      <c r="AD937" s="87"/>
      <c r="AE937" s="87"/>
      <c r="AF937" s="158"/>
      <c r="AG937" s="141"/>
    </row>
    <row r="938" spans="1:33" ht="18">
      <c r="A938" s="166"/>
      <c r="B938" s="167"/>
      <c r="C938" s="167"/>
      <c r="D938" s="143" t="str">
        <f>"PRD_SNJ_"&amp;
_xlfn.XLOOKUP(商品マスタ[[#This Row],[仕入先]],テーブル1[仕入先名],テーブル1[仕入先コード],"XXX",0,1)&amp;
"_"&amp;
商品マスタ[[#This Row],[シリアル]]&amp;
"_"&amp;
TEXT(COUNTIFS(商品マスタ!$C$3:C938,商品マスタ[[#This Row],[仕入先]],商品マスタ!$E$3:E938,商品マスタ[[#This Row],[商品名]]), "00")</f>
        <v>PRD_SNJ__0000_00</v>
      </c>
      <c r="E938" s="87"/>
      <c r="F938" s="87">
        <f>IF(COUNTIFS($C$3:C938,商品マスタ[[#This Row],[仕入先]],$E$3:E938,商品マスタ[[#This Row],[商品名]]) = 1, 1,0)</f>
        <v>0</v>
      </c>
      <c r="G938" s="133" t="str">
        <f>TEXT(SUMIF($C$3:C938,商品マスタ[[#This Row],[仕入先]],$F$3:F938), "0000")</f>
        <v>0000</v>
      </c>
      <c r="H938" s="87"/>
      <c r="I938" s="87"/>
      <c r="J938" s="87"/>
      <c r="K938" s="87"/>
      <c r="L938" s="134"/>
      <c r="M938" s="157"/>
      <c r="N938" s="134"/>
      <c r="O938" s="135" t="str">
        <f>IF(COUNT(商品マスタ[[#This Row],[参考上代
（税込)]]) &gt; 0, (商品マスタ[[#This Row],[参考上代
（税込)]]-商品マスタ[[#This Row],[国内定価
（15％）]])/(商品マスタ[[#This Row],[参考上代
（税込)]]/1.08), "")</f>
        <v/>
      </c>
      <c r="P938" s="136">
        <v>0.1</v>
      </c>
      <c r="Q938" s="134">
        <f>商品マスタ[[#This Row],[仕入
単価]]*商品マスタ[[#This Row],[標準国内送料率]]</f>
        <v>0</v>
      </c>
      <c r="R938" s="134"/>
      <c r="S938" s="134">
        <f>IF(ISBLANK(商品マスタ[[#This Row],[実績
国内送料]]),商品マスタ[[#This Row],[標準国内送料]],)</f>
        <v>0</v>
      </c>
      <c r="T938" s="134">
        <f>商品マスタ[[#This Row],[仕入
単価]]+商品マスタ[[#This Row],[国内送料]]</f>
        <v>0</v>
      </c>
      <c r="U938" s="134">
        <f>ROUNDUP(商品マスタ[[#This Row],[仕入単価+国内送料]]/0.8,-1)</f>
        <v>0</v>
      </c>
      <c r="V938" s="134">
        <f>商品マスタ[[#This Row],[海外定価
（20％）]]-商品マスタ[[#This Row],[仕入単価+国内送料]]</f>
        <v>0</v>
      </c>
      <c r="W938" s="87">
        <f>ROUNDUP(商品マスタ[[#This Row],[仕入単価+国内送料]]/0.85,-1)</f>
        <v>0</v>
      </c>
      <c r="X938" s="134">
        <f>商品マスタ[[#This Row],[国内定価
（15％）]]-商品マスタ[[#This Row],[仕入単価+国内送料]]</f>
        <v>0</v>
      </c>
      <c r="Y938" s="139"/>
      <c r="Z938" s="87"/>
      <c r="AA938" s="87"/>
      <c r="AB938" s="87"/>
      <c r="AC938" s="140"/>
      <c r="AD938" s="87"/>
      <c r="AE938" s="87"/>
      <c r="AF938" s="158"/>
      <c r="AG938" s="141"/>
    </row>
    <row r="939" spans="1:33" ht="18">
      <c r="A939" s="166"/>
      <c r="B939" s="167"/>
      <c r="C939" s="167"/>
      <c r="D939" s="143" t="str">
        <f>"PRD_SNJ_"&amp;
_xlfn.XLOOKUP(商品マスタ[[#This Row],[仕入先]],テーブル1[仕入先名],テーブル1[仕入先コード],"XXX",0,1)&amp;
"_"&amp;
商品マスタ[[#This Row],[シリアル]]&amp;
"_"&amp;
TEXT(COUNTIFS(商品マスタ!$C$3:C939,商品マスタ[[#This Row],[仕入先]],商品マスタ!$E$3:E939,商品マスタ[[#This Row],[商品名]]), "00")</f>
        <v>PRD_SNJ__0000_00</v>
      </c>
      <c r="E939" s="87"/>
      <c r="F939" s="87">
        <f>IF(COUNTIFS($C$3:C939,商品マスタ[[#This Row],[仕入先]],$E$3:E939,商品マスタ[[#This Row],[商品名]]) = 1, 1,0)</f>
        <v>0</v>
      </c>
      <c r="G939" s="133" t="str">
        <f>TEXT(SUMIF($C$3:C939,商品マスタ[[#This Row],[仕入先]],$F$3:F939), "0000")</f>
        <v>0000</v>
      </c>
      <c r="H939" s="87"/>
      <c r="I939" s="87"/>
      <c r="J939" s="87"/>
      <c r="K939" s="87"/>
      <c r="L939" s="134"/>
      <c r="M939" s="157"/>
      <c r="N939" s="134"/>
      <c r="O939" s="135" t="str">
        <f>IF(COUNT(商品マスタ[[#This Row],[参考上代
（税込)]]) &gt; 0, (商品マスタ[[#This Row],[参考上代
（税込)]]-商品マスタ[[#This Row],[国内定価
（15％）]])/(商品マスタ[[#This Row],[参考上代
（税込)]]/1.08), "")</f>
        <v/>
      </c>
      <c r="P939" s="136">
        <v>0.1</v>
      </c>
      <c r="Q939" s="134">
        <f>商品マスタ[[#This Row],[仕入
単価]]*商品マスタ[[#This Row],[標準国内送料率]]</f>
        <v>0</v>
      </c>
      <c r="R939" s="134"/>
      <c r="S939" s="134">
        <f>IF(ISBLANK(商品マスタ[[#This Row],[実績
国内送料]]),商品マスタ[[#This Row],[標準国内送料]],)</f>
        <v>0</v>
      </c>
      <c r="T939" s="134">
        <f>商品マスタ[[#This Row],[仕入
単価]]+商品マスタ[[#This Row],[国内送料]]</f>
        <v>0</v>
      </c>
      <c r="U939" s="134">
        <f>ROUNDUP(商品マスタ[[#This Row],[仕入単価+国内送料]]/0.8,-1)</f>
        <v>0</v>
      </c>
      <c r="V939" s="134">
        <f>商品マスタ[[#This Row],[海外定価
（20％）]]-商品マスタ[[#This Row],[仕入単価+国内送料]]</f>
        <v>0</v>
      </c>
      <c r="W939" s="87">
        <f>ROUNDUP(商品マスタ[[#This Row],[仕入単価+国内送料]]/0.85,-1)</f>
        <v>0</v>
      </c>
      <c r="X939" s="134">
        <f>商品マスタ[[#This Row],[国内定価
（15％）]]-商品マスタ[[#This Row],[仕入単価+国内送料]]</f>
        <v>0</v>
      </c>
      <c r="Y939" s="139"/>
      <c r="Z939" s="87"/>
      <c r="AA939" s="87"/>
      <c r="AB939" s="87"/>
      <c r="AC939" s="140"/>
      <c r="AD939" s="87"/>
      <c r="AE939" s="87"/>
      <c r="AF939" s="158"/>
      <c r="AG939" s="141"/>
    </row>
    <row r="940" spans="1:33" ht="18">
      <c r="A940" s="166"/>
      <c r="B940" s="167"/>
      <c r="C940" s="167"/>
      <c r="D940" s="143" t="str">
        <f>"PRD_SNJ_"&amp;
_xlfn.XLOOKUP(商品マスタ[[#This Row],[仕入先]],テーブル1[仕入先名],テーブル1[仕入先コード],"XXX",0,1)&amp;
"_"&amp;
商品マスタ[[#This Row],[シリアル]]&amp;
"_"&amp;
TEXT(COUNTIFS(商品マスタ!$C$3:C940,商品マスタ[[#This Row],[仕入先]],商品マスタ!$E$3:E940,商品マスタ[[#This Row],[商品名]]), "00")</f>
        <v>PRD_SNJ__0000_00</v>
      </c>
      <c r="E940" s="87"/>
      <c r="F940" s="87">
        <f>IF(COUNTIFS($C$3:C940,商品マスタ[[#This Row],[仕入先]],$E$3:E940,商品マスタ[[#This Row],[商品名]]) = 1, 1,0)</f>
        <v>0</v>
      </c>
      <c r="G940" s="133" t="str">
        <f>TEXT(SUMIF($C$3:C940,商品マスタ[[#This Row],[仕入先]],$F$3:F940), "0000")</f>
        <v>0000</v>
      </c>
      <c r="H940" s="87"/>
      <c r="I940" s="87"/>
      <c r="J940" s="87"/>
      <c r="K940" s="87"/>
      <c r="L940" s="134"/>
      <c r="M940" s="157"/>
      <c r="N940" s="134"/>
      <c r="O940" s="135" t="str">
        <f>IF(COUNT(商品マスタ[[#This Row],[参考上代
（税込)]]) &gt; 0, (商品マスタ[[#This Row],[参考上代
（税込)]]-商品マスタ[[#This Row],[国内定価
（15％）]])/(商品マスタ[[#This Row],[参考上代
（税込)]]/1.08), "")</f>
        <v/>
      </c>
      <c r="P940" s="136">
        <v>0.1</v>
      </c>
      <c r="Q940" s="134">
        <f>商品マスタ[[#This Row],[仕入
単価]]*商品マスタ[[#This Row],[標準国内送料率]]</f>
        <v>0</v>
      </c>
      <c r="R940" s="134"/>
      <c r="S940" s="134">
        <f>IF(ISBLANK(商品マスタ[[#This Row],[実績
国内送料]]),商品マスタ[[#This Row],[標準国内送料]],)</f>
        <v>0</v>
      </c>
      <c r="T940" s="134">
        <f>商品マスタ[[#This Row],[仕入
単価]]+商品マスタ[[#This Row],[国内送料]]</f>
        <v>0</v>
      </c>
      <c r="U940" s="134">
        <f>ROUNDUP(商品マスタ[[#This Row],[仕入単価+国内送料]]/0.8,-1)</f>
        <v>0</v>
      </c>
      <c r="V940" s="134">
        <f>商品マスタ[[#This Row],[海外定価
（20％）]]-商品マスタ[[#This Row],[仕入単価+国内送料]]</f>
        <v>0</v>
      </c>
      <c r="W940" s="87">
        <f>ROUNDUP(商品マスタ[[#This Row],[仕入単価+国内送料]]/0.85,-1)</f>
        <v>0</v>
      </c>
      <c r="X940" s="134">
        <f>商品マスタ[[#This Row],[国内定価
（15％）]]-商品マスタ[[#This Row],[仕入単価+国内送料]]</f>
        <v>0</v>
      </c>
      <c r="Y940" s="139"/>
      <c r="Z940" s="87"/>
      <c r="AA940" s="87"/>
      <c r="AB940" s="87"/>
      <c r="AC940" s="140"/>
      <c r="AD940" s="87"/>
      <c r="AE940" s="87"/>
      <c r="AF940" s="158"/>
      <c r="AG940" s="141"/>
    </row>
    <row r="941" spans="1:33" ht="18">
      <c r="A941" s="166"/>
      <c r="B941" s="167"/>
      <c r="C941" s="167"/>
      <c r="D941" s="143" t="str">
        <f>"PRD_SNJ_"&amp;
_xlfn.XLOOKUP(商品マスタ[[#This Row],[仕入先]],テーブル1[仕入先名],テーブル1[仕入先コード],"XXX",0,1)&amp;
"_"&amp;
商品マスタ[[#This Row],[シリアル]]&amp;
"_"&amp;
TEXT(COUNTIFS(商品マスタ!$C$3:C941,商品マスタ[[#This Row],[仕入先]],商品マスタ!$E$3:E941,商品マスタ[[#This Row],[商品名]]), "00")</f>
        <v>PRD_SNJ__0000_00</v>
      </c>
      <c r="E941" s="87"/>
      <c r="F941" s="87">
        <f>IF(COUNTIFS($C$3:C941,商品マスタ[[#This Row],[仕入先]],$E$3:E941,商品マスタ[[#This Row],[商品名]]) = 1, 1,0)</f>
        <v>0</v>
      </c>
      <c r="G941" s="133" t="str">
        <f>TEXT(SUMIF($C$3:C941,商品マスタ[[#This Row],[仕入先]],$F$3:F941), "0000")</f>
        <v>0000</v>
      </c>
      <c r="H941" s="87"/>
      <c r="I941" s="87"/>
      <c r="J941" s="87"/>
      <c r="K941" s="87"/>
      <c r="L941" s="134"/>
      <c r="M941" s="157"/>
      <c r="N941" s="134"/>
      <c r="O941" s="135" t="str">
        <f>IF(COUNT(商品マスタ[[#This Row],[参考上代
（税込)]]) &gt; 0, (商品マスタ[[#This Row],[参考上代
（税込)]]-商品マスタ[[#This Row],[国内定価
（15％）]])/(商品マスタ[[#This Row],[参考上代
（税込)]]/1.08), "")</f>
        <v/>
      </c>
      <c r="P941" s="136">
        <v>0.1</v>
      </c>
      <c r="Q941" s="134">
        <f>商品マスタ[[#This Row],[仕入
単価]]*商品マスタ[[#This Row],[標準国内送料率]]</f>
        <v>0</v>
      </c>
      <c r="R941" s="134"/>
      <c r="S941" s="134">
        <f>IF(ISBLANK(商品マスタ[[#This Row],[実績
国内送料]]),商品マスタ[[#This Row],[標準国内送料]],)</f>
        <v>0</v>
      </c>
      <c r="T941" s="134">
        <f>商品マスタ[[#This Row],[仕入
単価]]+商品マスタ[[#This Row],[国内送料]]</f>
        <v>0</v>
      </c>
      <c r="U941" s="134">
        <f>ROUNDUP(商品マスタ[[#This Row],[仕入単価+国内送料]]/0.8,-1)</f>
        <v>0</v>
      </c>
      <c r="V941" s="134">
        <f>商品マスタ[[#This Row],[海外定価
（20％）]]-商品マスタ[[#This Row],[仕入単価+国内送料]]</f>
        <v>0</v>
      </c>
      <c r="W941" s="87">
        <f>ROUNDUP(商品マスタ[[#This Row],[仕入単価+国内送料]]/0.85,-1)</f>
        <v>0</v>
      </c>
      <c r="X941" s="134">
        <f>商品マスタ[[#This Row],[国内定価
（15％）]]-商品マスタ[[#This Row],[仕入単価+国内送料]]</f>
        <v>0</v>
      </c>
      <c r="Y941" s="139"/>
      <c r="Z941" s="87"/>
      <c r="AA941" s="87"/>
      <c r="AB941" s="87"/>
      <c r="AC941" s="140"/>
      <c r="AD941" s="87"/>
      <c r="AE941" s="87"/>
      <c r="AF941" s="158"/>
      <c r="AG941" s="141"/>
    </row>
    <row r="942" spans="1:33" ht="18">
      <c r="A942" s="166"/>
      <c r="B942" s="167"/>
      <c r="C942" s="167"/>
      <c r="D942" s="143" t="str">
        <f>"PRD_SNJ_"&amp;
_xlfn.XLOOKUP(商品マスタ[[#This Row],[仕入先]],テーブル1[仕入先名],テーブル1[仕入先コード],"XXX",0,1)&amp;
"_"&amp;
商品マスタ[[#This Row],[シリアル]]&amp;
"_"&amp;
TEXT(COUNTIFS(商品マスタ!$C$3:C942,商品マスタ[[#This Row],[仕入先]],商品マスタ!$E$3:E942,商品マスタ[[#This Row],[商品名]]), "00")</f>
        <v>PRD_SNJ__0000_00</v>
      </c>
      <c r="E942" s="87"/>
      <c r="F942" s="87">
        <f>IF(COUNTIFS($C$3:C942,商品マスタ[[#This Row],[仕入先]],$E$3:E942,商品マスタ[[#This Row],[商品名]]) = 1, 1,0)</f>
        <v>0</v>
      </c>
      <c r="G942" s="133" t="str">
        <f>TEXT(SUMIF($C$3:C942,商品マスタ[[#This Row],[仕入先]],$F$3:F942), "0000")</f>
        <v>0000</v>
      </c>
      <c r="H942" s="87"/>
      <c r="I942" s="87"/>
      <c r="J942" s="87"/>
      <c r="K942" s="87"/>
      <c r="L942" s="134"/>
      <c r="M942" s="157"/>
      <c r="N942" s="134"/>
      <c r="O942" s="135" t="str">
        <f>IF(COUNT(商品マスタ[[#This Row],[参考上代
（税込)]]) &gt; 0, (商品マスタ[[#This Row],[参考上代
（税込)]]-商品マスタ[[#This Row],[国内定価
（15％）]])/(商品マスタ[[#This Row],[参考上代
（税込)]]/1.08), "")</f>
        <v/>
      </c>
      <c r="P942" s="136">
        <v>0.1</v>
      </c>
      <c r="Q942" s="134">
        <f>商品マスタ[[#This Row],[仕入
単価]]*商品マスタ[[#This Row],[標準国内送料率]]</f>
        <v>0</v>
      </c>
      <c r="R942" s="134"/>
      <c r="S942" s="134">
        <f>IF(ISBLANK(商品マスタ[[#This Row],[実績
国内送料]]),商品マスタ[[#This Row],[標準国内送料]],)</f>
        <v>0</v>
      </c>
      <c r="T942" s="134">
        <f>商品マスタ[[#This Row],[仕入
単価]]+商品マスタ[[#This Row],[国内送料]]</f>
        <v>0</v>
      </c>
      <c r="U942" s="134">
        <f>ROUNDUP(商品マスタ[[#This Row],[仕入単価+国内送料]]/0.8,-1)</f>
        <v>0</v>
      </c>
      <c r="V942" s="134">
        <f>商品マスタ[[#This Row],[海外定価
（20％）]]-商品マスタ[[#This Row],[仕入単価+国内送料]]</f>
        <v>0</v>
      </c>
      <c r="W942" s="87">
        <f>ROUNDUP(商品マスタ[[#This Row],[仕入単価+国内送料]]/0.85,-1)</f>
        <v>0</v>
      </c>
      <c r="X942" s="134">
        <f>商品マスタ[[#This Row],[国内定価
（15％）]]-商品マスタ[[#This Row],[仕入単価+国内送料]]</f>
        <v>0</v>
      </c>
      <c r="Y942" s="139"/>
      <c r="Z942" s="87"/>
      <c r="AA942" s="87"/>
      <c r="AB942" s="87"/>
      <c r="AC942" s="140"/>
      <c r="AD942" s="87"/>
      <c r="AE942" s="87"/>
      <c r="AF942" s="158"/>
      <c r="AG942" s="141"/>
    </row>
    <row r="943" spans="1:33" ht="18">
      <c r="A943" s="166"/>
      <c r="B943" s="167"/>
      <c r="C943" s="167"/>
      <c r="D943" s="143" t="str">
        <f>"PRD_SNJ_"&amp;
_xlfn.XLOOKUP(商品マスタ[[#This Row],[仕入先]],テーブル1[仕入先名],テーブル1[仕入先コード],"XXX",0,1)&amp;
"_"&amp;
商品マスタ[[#This Row],[シリアル]]&amp;
"_"&amp;
TEXT(COUNTIFS(商品マスタ!$C$3:C943,商品マスタ[[#This Row],[仕入先]],商品マスタ!$E$3:E943,商品マスタ[[#This Row],[商品名]]), "00")</f>
        <v>PRD_SNJ__0000_00</v>
      </c>
      <c r="E943" s="87"/>
      <c r="F943" s="87">
        <f>IF(COUNTIFS($C$3:C943,商品マスタ[[#This Row],[仕入先]],$E$3:E943,商品マスタ[[#This Row],[商品名]]) = 1, 1,0)</f>
        <v>0</v>
      </c>
      <c r="G943" s="133" t="str">
        <f>TEXT(SUMIF($C$3:C943,商品マスタ[[#This Row],[仕入先]],$F$3:F943), "0000")</f>
        <v>0000</v>
      </c>
      <c r="H943" s="87"/>
      <c r="I943" s="87"/>
      <c r="J943" s="87"/>
      <c r="K943" s="87"/>
      <c r="L943" s="134"/>
      <c r="M943" s="157"/>
      <c r="N943" s="134"/>
      <c r="O943" s="135" t="str">
        <f>IF(COUNT(商品マスタ[[#This Row],[参考上代
（税込)]]) &gt; 0, (商品マスタ[[#This Row],[参考上代
（税込)]]-商品マスタ[[#This Row],[国内定価
（15％）]])/(商品マスタ[[#This Row],[参考上代
（税込)]]/1.08), "")</f>
        <v/>
      </c>
      <c r="P943" s="136">
        <v>0.1</v>
      </c>
      <c r="Q943" s="134">
        <f>商品マスタ[[#This Row],[仕入
単価]]*商品マスタ[[#This Row],[標準国内送料率]]</f>
        <v>0</v>
      </c>
      <c r="R943" s="134"/>
      <c r="S943" s="134">
        <f>IF(ISBLANK(商品マスタ[[#This Row],[実績
国内送料]]),商品マスタ[[#This Row],[標準国内送料]],)</f>
        <v>0</v>
      </c>
      <c r="T943" s="134">
        <f>商品マスタ[[#This Row],[仕入
単価]]+商品マスタ[[#This Row],[国内送料]]</f>
        <v>0</v>
      </c>
      <c r="U943" s="134">
        <f>ROUNDUP(商品マスタ[[#This Row],[仕入単価+国内送料]]/0.8,-1)</f>
        <v>0</v>
      </c>
      <c r="V943" s="134">
        <f>商品マスタ[[#This Row],[海外定価
（20％）]]-商品マスタ[[#This Row],[仕入単価+国内送料]]</f>
        <v>0</v>
      </c>
      <c r="W943" s="87">
        <f>ROUNDUP(商品マスタ[[#This Row],[仕入単価+国内送料]]/0.85,-1)</f>
        <v>0</v>
      </c>
      <c r="X943" s="134">
        <f>商品マスタ[[#This Row],[国内定価
（15％）]]-商品マスタ[[#This Row],[仕入単価+国内送料]]</f>
        <v>0</v>
      </c>
      <c r="Y943" s="139"/>
      <c r="Z943" s="87"/>
      <c r="AA943" s="87"/>
      <c r="AB943" s="87"/>
      <c r="AC943" s="140"/>
      <c r="AD943" s="87"/>
      <c r="AE943" s="87"/>
      <c r="AF943" s="158"/>
      <c r="AG943" s="141"/>
    </row>
    <row r="944" spans="1:33" ht="18">
      <c r="A944" s="166"/>
      <c r="B944" s="167"/>
      <c r="C944" s="167"/>
      <c r="D944" s="143" t="str">
        <f>"PRD_SNJ_"&amp;
_xlfn.XLOOKUP(商品マスタ[[#This Row],[仕入先]],テーブル1[仕入先名],テーブル1[仕入先コード],"XXX",0,1)&amp;
"_"&amp;
商品マスタ[[#This Row],[シリアル]]&amp;
"_"&amp;
TEXT(COUNTIFS(商品マスタ!$C$3:C944,商品マスタ[[#This Row],[仕入先]],商品マスタ!$E$3:E944,商品マスタ[[#This Row],[商品名]]), "00")</f>
        <v>PRD_SNJ__0000_00</v>
      </c>
      <c r="E944" s="87"/>
      <c r="F944" s="87">
        <f>IF(COUNTIFS($C$3:C944,商品マスタ[[#This Row],[仕入先]],$E$3:E944,商品マスタ[[#This Row],[商品名]]) = 1, 1,0)</f>
        <v>0</v>
      </c>
      <c r="G944" s="133" t="str">
        <f>TEXT(SUMIF($C$3:C944,商品マスタ[[#This Row],[仕入先]],$F$3:F944), "0000")</f>
        <v>0000</v>
      </c>
      <c r="H944" s="87"/>
      <c r="I944" s="87"/>
      <c r="J944" s="87"/>
      <c r="K944" s="87"/>
      <c r="L944" s="134"/>
      <c r="M944" s="157"/>
      <c r="N944" s="134"/>
      <c r="O944" s="135" t="str">
        <f>IF(COUNT(商品マスタ[[#This Row],[参考上代
（税込)]]) &gt; 0, (商品マスタ[[#This Row],[参考上代
（税込)]]-商品マスタ[[#This Row],[国内定価
（15％）]])/(商品マスタ[[#This Row],[参考上代
（税込)]]/1.08), "")</f>
        <v/>
      </c>
      <c r="P944" s="136">
        <v>0.1</v>
      </c>
      <c r="Q944" s="134">
        <f>商品マスタ[[#This Row],[仕入
単価]]*商品マスタ[[#This Row],[標準国内送料率]]</f>
        <v>0</v>
      </c>
      <c r="R944" s="134"/>
      <c r="S944" s="134">
        <f>IF(ISBLANK(商品マスタ[[#This Row],[実績
国内送料]]),商品マスタ[[#This Row],[標準国内送料]],)</f>
        <v>0</v>
      </c>
      <c r="T944" s="134">
        <f>商品マスタ[[#This Row],[仕入
単価]]+商品マスタ[[#This Row],[国内送料]]</f>
        <v>0</v>
      </c>
      <c r="U944" s="134">
        <f>ROUNDUP(商品マスタ[[#This Row],[仕入単価+国内送料]]/0.8,-1)</f>
        <v>0</v>
      </c>
      <c r="V944" s="134">
        <f>商品マスタ[[#This Row],[海外定価
（20％）]]-商品マスタ[[#This Row],[仕入単価+国内送料]]</f>
        <v>0</v>
      </c>
      <c r="W944" s="87">
        <f>ROUNDUP(商品マスタ[[#This Row],[仕入単価+国内送料]]/0.85,-1)</f>
        <v>0</v>
      </c>
      <c r="X944" s="134">
        <f>商品マスタ[[#This Row],[国内定価
（15％）]]-商品マスタ[[#This Row],[仕入単価+国内送料]]</f>
        <v>0</v>
      </c>
      <c r="Y944" s="139"/>
      <c r="Z944" s="87"/>
      <c r="AA944" s="87"/>
      <c r="AB944" s="87"/>
      <c r="AC944" s="140"/>
      <c r="AD944" s="87"/>
      <c r="AE944" s="87"/>
      <c r="AF944" s="158"/>
      <c r="AG944" s="141"/>
    </row>
    <row r="945" spans="1:33" ht="18">
      <c r="A945" s="166"/>
      <c r="B945" s="167"/>
      <c r="C945" s="167"/>
      <c r="D945" s="143" t="str">
        <f>"PRD_SNJ_"&amp;
_xlfn.XLOOKUP(商品マスタ[[#This Row],[仕入先]],テーブル1[仕入先名],テーブル1[仕入先コード],"XXX",0,1)&amp;
"_"&amp;
商品マスタ[[#This Row],[シリアル]]&amp;
"_"&amp;
TEXT(COUNTIFS(商品マスタ!$C$3:C945,商品マスタ[[#This Row],[仕入先]],商品マスタ!$E$3:E945,商品マスタ[[#This Row],[商品名]]), "00")</f>
        <v>PRD_SNJ__0000_00</v>
      </c>
      <c r="E945" s="87"/>
      <c r="F945" s="87">
        <f>IF(COUNTIFS($C$3:C945,商品マスタ[[#This Row],[仕入先]],$E$3:E945,商品マスタ[[#This Row],[商品名]]) = 1, 1,0)</f>
        <v>0</v>
      </c>
      <c r="G945" s="133" t="str">
        <f>TEXT(SUMIF($C$3:C945,商品マスタ[[#This Row],[仕入先]],$F$3:F945), "0000")</f>
        <v>0000</v>
      </c>
      <c r="H945" s="87"/>
      <c r="I945" s="87"/>
      <c r="J945" s="87"/>
      <c r="K945" s="87"/>
      <c r="L945" s="134"/>
      <c r="M945" s="157"/>
      <c r="N945" s="134"/>
      <c r="O945" s="135" t="str">
        <f>IF(COUNT(商品マスタ[[#This Row],[参考上代
（税込)]]) &gt; 0, (商品マスタ[[#This Row],[参考上代
（税込)]]-商品マスタ[[#This Row],[国内定価
（15％）]])/(商品マスタ[[#This Row],[参考上代
（税込)]]/1.08), "")</f>
        <v/>
      </c>
      <c r="P945" s="136">
        <v>0.1</v>
      </c>
      <c r="Q945" s="134">
        <f>商品マスタ[[#This Row],[仕入
単価]]*商品マスタ[[#This Row],[標準国内送料率]]</f>
        <v>0</v>
      </c>
      <c r="R945" s="134"/>
      <c r="S945" s="134">
        <f>IF(ISBLANK(商品マスタ[[#This Row],[実績
国内送料]]),商品マスタ[[#This Row],[標準国内送料]],)</f>
        <v>0</v>
      </c>
      <c r="T945" s="134">
        <f>商品マスタ[[#This Row],[仕入
単価]]+商品マスタ[[#This Row],[国内送料]]</f>
        <v>0</v>
      </c>
      <c r="U945" s="134">
        <f>ROUNDUP(商品マスタ[[#This Row],[仕入単価+国内送料]]/0.8,-1)</f>
        <v>0</v>
      </c>
      <c r="V945" s="134">
        <f>商品マスタ[[#This Row],[海外定価
（20％）]]-商品マスタ[[#This Row],[仕入単価+国内送料]]</f>
        <v>0</v>
      </c>
      <c r="W945" s="87">
        <f>ROUNDUP(商品マスタ[[#This Row],[仕入単価+国内送料]]/0.85,-1)</f>
        <v>0</v>
      </c>
      <c r="X945" s="134">
        <f>商品マスタ[[#This Row],[国内定価
（15％）]]-商品マスタ[[#This Row],[仕入単価+国内送料]]</f>
        <v>0</v>
      </c>
      <c r="Y945" s="139"/>
      <c r="Z945" s="87"/>
      <c r="AA945" s="87"/>
      <c r="AB945" s="87"/>
      <c r="AC945" s="140"/>
      <c r="AD945" s="87"/>
      <c r="AE945" s="87"/>
      <c r="AF945" s="158"/>
      <c r="AG945" s="141"/>
    </row>
    <row r="946" spans="1:33" ht="18">
      <c r="A946" s="166"/>
      <c r="B946" s="167"/>
      <c r="C946" s="167"/>
      <c r="D946" s="143" t="str">
        <f>"PRD_SNJ_"&amp;
_xlfn.XLOOKUP(商品マスタ[[#This Row],[仕入先]],テーブル1[仕入先名],テーブル1[仕入先コード],"XXX",0,1)&amp;
"_"&amp;
商品マスタ[[#This Row],[シリアル]]&amp;
"_"&amp;
TEXT(COUNTIFS(商品マスタ!$C$3:C946,商品マスタ[[#This Row],[仕入先]],商品マスタ!$E$3:E946,商品マスタ[[#This Row],[商品名]]), "00")</f>
        <v>PRD_SNJ__0000_00</v>
      </c>
      <c r="E946" s="87"/>
      <c r="F946" s="87">
        <f>IF(COUNTIFS($C$3:C946,商品マスタ[[#This Row],[仕入先]],$E$3:E946,商品マスタ[[#This Row],[商品名]]) = 1, 1,0)</f>
        <v>0</v>
      </c>
      <c r="G946" s="133" t="str">
        <f>TEXT(SUMIF($C$3:C946,商品マスタ[[#This Row],[仕入先]],$F$3:F946), "0000")</f>
        <v>0000</v>
      </c>
      <c r="H946" s="87"/>
      <c r="I946" s="87"/>
      <c r="J946" s="87"/>
      <c r="K946" s="87"/>
      <c r="L946" s="134"/>
      <c r="M946" s="157"/>
      <c r="N946" s="134"/>
      <c r="O946" s="135" t="str">
        <f>IF(COUNT(商品マスタ[[#This Row],[参考上代
（税込)]]) &gt; 0, (商品マスタ[[#This Row],[参考上代
（税込)]]-商品マスタ[[#This Row],[国内定価
（15％）]])/(商品マスタ[[#This Row],[参考上代
（税込)]]/1.08), "")</f>
        <v/>
      </c>
      <c r="P946" s="136">
        <v>0.1</v>
      </c>
      <c r="Q946" s="134">
        <f>商品マスタ[[#This Row],[仕入
単価]]*商品マスタ[[#This Row],[標準国内送料率]]</f>
        <v>0</v>
      </c>
      <c r="R946" s="134"/>
      <c r="S946" s="134">
        <f>IF(ISBLANK(商品マスタ[[#This Row],[実績
国内送料]]),商品マスタ[[#This Row],[標準国内送料]],)</f>
        <v>0</v>
      </c>
      <c r="T946" s="134">
        <f>商品マスタ[[#This Row],[仕入
単価]]+商品マスタ[[#This Row],[国内送料]]</f>
        <v>0</v>
      </c>
      <c r="U946" s="134">
        <f>ROUNDUP(商品マスタ[[#This Row],[仕入単価+国内送料]]/0.8,-1)</f>
        <v>0</v>
      </c>
      <c r="V946" s="134">
        <f>商品マスタ[[#This Row],[海外定価
（20％）]]-商品マスタ[[#This Row],[仕入単価+国内送料]]</f>
        <v>0</v>
      </c>
      <c r="W946" s="87">
        <f>ROUNDUP(商品マスタ[[#This Row],[仕入単価+国内送料]]/0.85,-1)</f>
        <v>0</v>
      </c>
      <c r="X946" s="134">
        <f>商品マスタ[[#This Row],[国内定価
（15％）]]-商品マスタ[[#This Row],[仕入単価+国内送料]]</f>
        <v>0</v>
      </c>
      <c r="Y946" s="139"/>
      <c r="Z946" s="87"/>
      <c r="AA946" s="87"/>
      <c r="AB946" s="87"/>
      <c r="AC946" s="140"/>
      <c r="AD946" s="87"/>
      <c r="AE946" s="87"/>
      <c r="AF946" s="158"/>
      <c r="AG946" s="141"/>
    </row>
    <row r="947" spans="1:33" ht="18">
      <c r="A947" s="166"/>
      <c r="B947" s="167"/>
      <c r="C947" s="167"/>
      <c r="D947" s="143" t="str">
        <f>"PRD_SNJ_"&amp;
_xlfn.XLOOKUP(商品マスタ[[#This Row],[仕入先]],テーブル1[仕入先名],テーブル1[仕入先コード],"XXX",0,1)&amp;
"_"&amp;
商品マスタ[[#This Row],[シリアル]]&amp;
"_"&amp;
TEXT(COUNTIFS(商品マスタ!$C$3:C947,商品マスタ[[#This Row],[仕入先]],商品マスタ!$E$3:E947,商品マスタ[[#This Row],[商品名]]), "00")</f>
        <v>PRD_SNJ__0000_00</v>
      </c>
      <c r="E947" s="87"/>
      <c r="F947" s="87">
        <f>IF(COUNTIFS($C$3:C947,商品マスタ[[#This Row],[仕入先]],$E$3:E947,商品マスタ[[#This Row],[商品名]]) = 1, 1,0)</f>
        <v>0</v>
      </c>
      <c r="G947" s="133" t="str">
        <f>TEXT(SUMIF($C$3:C947,商品マスタ[[#This Row],[仕入先]],$F$3:F947), "0000")</f>
        <v>0000</v>
      </c>
      <c r="H947" s="87"/>
      <c r="I947" s="87"/>
      <c r="J947" s="87"/>
      <c r="K947" s="87"/>
      <c r="L947" s="134"/>
      <c r="M947" s="157"/>
      <c r="N947" s="134"/>
      <c r="O947" s="135" t="str">
        <f>IF(COUNT(商品マスタ[[#This Row],[参考上代
（税込)]]) &gt; 0, (商品マスタ[[#This Row],[参考上代
（税込)]]-商品マスタ[[#This Row],[国内定価
（15％）]])/(商品マスタ[[#This Row],[参考上代
（税込)]]/1.08), "")</f>
        <v/>
      </c>
      <c r="P947" s="136">
        <v>0.1</v>
      </c>
      <c r="Q947" s="134">
        <f>商品マスタ[[#This Row],[仕入
単価]]*商品マスタ[[#This Row],[標準国内送料率]]</f>
        <v>0</v>
      </c>
      <c r="R947" s="134"/>
      <c r="S947" s="134">
        <f>IF(ISBLANK(商品マスタ[[#This Row],[実績
国内送料]]),商品マスタ[[#This Row],[標準国内送料]],)</f>
        <v>0</v>
      </c>
      <c r="T947" s="134">
        <f>商品マスタ[[#This Row],[仕入
単価]]+商品マスタ[[#This Row],[国内送料]]</f>
        <v>0</v>
      </c>
      <c r="U947" s="134">
        <f>ROUNDUP(商品マスタ[[#This Row],[仕入単価+国内送料]]/0.8,-1)</f>
        <v>0</v>
      </c>
      <c r="V947" s="134">
        <f>商品マスタ[[#This Row],[海外定価
（20％）]]-商品マスタ[[#This Row],[仕入単価+国内送料]]</f>
        <v>0</v>
      </c>
      <c r="W947" s="87">
        <f>ROUNDUP(商品マスタ[[#This Row],[仕入単価+国内送料]]/0.85,-1)</f>
        <v>0</v>
      </c>
      <c r="X947" s="134">
        <f>商品マスタ[[#This Row],[国内定価
（15％）]]-商品マスタ[[#This Row],[仕入単価+国内送料]]</f>
        <v>0</v>
      </c>
      <c r="Y947" s="139"/>
      <c r="Z947" s="87"/>
      <c r="AA947" s="87"/>
      <c r="AB947" s="87"/>
      <c r="AC947" s="140"/>
      <c r="AD947" s="87"/>
      <c r="AE947" s="87"/>
      <c r="AF947" s="158"/>
      <c r="AG947" s="141"/>
    </row>
    <row r="948" spans="1:33" ht="18">
      <c r="A948" s="166"/>
      <c r="B948" s="167"/>
      <c r="C948" s="167"/>
      <c r="D948" s="143" t="str">
        <f>"PRD_SNJ_"&amp;
_xlfn.XLOOKUP(商品マスタ[[#This Row],[仕入先]],テーブル1[仕入先名],テーブル1[仕入先コード],"XXX",0,1)&amp;
"_"&amp;
商品マスタ[[#This Row],[シリアル]]&amp;
"_"&amp;
TEXT(COUNTIFS(商品マスタ!$C$3:C948,商品マスタ[[#This Row],[仕入先]],商品マスタ!$E$3:E948,商品マスタ[[#This Row],[商品名]]), "00")</f>
        <v>PRD_SNJ__0000_00</v>
      </c>
      <c r="E948" s="87"/>
      <c r="F948" s="87">
        <f>IF(COUNTIFS($C$3:C948,商品マスタ[[#This Row],[仕入先]],$E$3:E948,商品マスタ[[#This Row],[商品名]]) = 1, 1,0)</f>
        <v>0</v>
      </c>
      <c r="G948" s="133" t="str">
        <f>TEXT(SUMIF($C$3:C948,商品マスタ[[#This Row],[仕入先]],$F$3:F948), "0000")</f>
        <v>0000</v>
      </c>
      <c r="H948" s="87"/>
      <c r="I948" s="87"/>
      <c r="J948" s="87"/>
      <c r="K948" s="87"/>
      <c r="L948" s="134"/>
      <c r="M948" s="157"/>
      <c r="N948" s="134"/>
      <c r="O948" s="135" t="str">
        <f>IF(COUNT(商品マスタ[[#This Row],[参考上代
（税込)]]) &gt; 0, (商品マスタ[[#This Row],[参考上代
（税込)]]-商品マスタ[[#This Row],[国内定価
（15％）]])/(商品マスタ[[#This Row],[参考上代
（税込)]]/1.08), "")</f>
        <v/>
      </c>
      <c r="P948" s="136">
        <v>0.1</v>
      </c>
      <c r="Q948" s="134">
        <f>商品マスタ[[#This Row],[仕入
単価]]*商品マスタ[[#This Row],[標準国内送料率]]</f>
        <v>0</v>
      </c>
      <c r="R948" s="134"/>
      <c r="S948" s="134">
        <f>IF(ISBLANK(商品マスタ[[#This Row],[実績
国内送料]]),商品マスタ[[#This Row],[標準国内送料]],)</f>
        <v>0</v>
      </c>
      <c r="T948" s="134">
        <f>商品マスタ[[#This Row],[仕入
単価]]+商品マスタ[[#This Row],[国内送料]]</f>
        <v>0</v>
      </c>
      <c r="U948" s="134">
        <f>ROUNDUP(商品マスタ[[#This Row],[仕入単価+国内送料]]/0.8,-1)</f>
        <v>0</v>
      </c>
      <c r="V948" s="134">
        <f>商品マスタ[[#This Row],[海外定価
（20％）]]-商品マスタ[[#This Row],[仕入単価+国内送料]]</f>
        <v>0</v>
      </c>
      <c r="W948" s="87">
        <f>ROUNDUP(商品マスタ[[#This Row],[仕入単価+国内送料]]/0.85,-1)</f>
        <v>0</v>
      </c>
      <c r="X948" s="134">
        <f>商品マスタ[[#This Row],[国内定価
（15％）]]-商品マスタ[[#This Row],[仕入単価+国内送料]]</f>
        <v>0</v>
      </c>
      <c r="Y948" s="139"/>
      <c r="Z948" s="87"/>
      <c r="AA948" s="87"/>
      <c r="AB948" s="87"/>
      <c r="AC948" s="140"/>
      <c r="AD948" s="87"/>
      <c r="AE948" s="87"/>
      <c r="AF948" s="158"/>
      <c r="AG948" s="141"/>
    </row>
    <row r="949" spans="1:33" ht="18">
      <c r="A949" s="166"/>
      <c r="B949" s="167"/>
      <c r="C949" s="167"/>
      <c r="D949" s="143" t="str">
        <f>"PRD_SNJ_"&amp;
_xlfn.XLOOKUP(商品マスタ[[#This Row],[仕入先]],テーブル1[仕入先名],テーブル1[仕入先コード],"XXX",0,1)&amp;
"_"&amp;
商品マスタ[[#This Row],[シリアル]]&amp;
"_"&amp;
TEXT(COUNTIFS(商品マスタ!$C$3:C949,商品マスタ[[#This Row],[仕入先]],商品マスタ!$E$3:E949,商品マスタ[[#This Row],[商品名]]), "00")</f>
        <v>PRD_SNJ__0000_00</v>
      </c>
      <c r="E949" s="87"/>
      <c r="F949" s="87">
        <f>IF(COUNTIFS($C$3:C949,商品マスタ[[#This Row],[仕入先]],$E$3:E949,商品マスタ[[#This Row],[商品名]]) = 1, 1,0)</f>
        <v>0</v>
      </c>
      <c r="G949" s="133" t="str">
        <f>TEXT(SUMIF($C$3:C949,商品マスタ[[#This Row],[仕入先]],$F$3:F949), "0000")</f>
        <v>0000</v>
      </c>
      <c r="H949" s="87"/>
      <c r="I949" s="87"/>
      <c r="J949" s="87"/>
      <c r="K949" s="87"/>
      <c r="L949" s="134"/>
      <c r="M949" s="157"/>
      <c r="N949" s="134"/>
      <c r="O949" s="135" t="str">
        <f>IF(COUNT(商品マスタ[[#This Row],[参考上代
（税込)]]) &gt; 0, (商品マスタ[[#This Row],[参考上代
（税込)]]-商品マスタ[[#This Row],[国内定価
（15％）]])/(商品マスタ[[#This Row],[参考上代
（税込)]]/1.08), "")</f>
        <v/>
      </c>
      <c r="P949" s="136">
        <v>0.1</v>
      </c>
      <c r="Q949" s="134">
        <f>商品マスタ[[#This Row],[仕入
単価]]*商品マスタ[[#This Row],[標準国内送料率]]</f>
        <v>0</v>
      </c>
      <c r="R949" s="134"/>
      <c r="S949" s="134">
        <f>IF(ISBLANK(商品マスタ[[#This Row],[実績
国内送料]]),商品マスタ[[#This Row],[標準国内送料]],)</f>
        <v>0</v>
      </c>
      <c r="T949" s="134">
        <f>商品マスタ[[#This Row],[仕入
単価]]+商品マスタ[[#This Row],[国内送料]]</f>
        <v>0</v>
      </c>
      <c r="U949" s="134">
        <f>ROUNDUP(商品マスタ[[#This Row],[仕入単価+国内送料]]/0.8,-1)</f>
        <v>0</v>
      </c>
      <c r="V949" s="134">
        <f>商品マスタ[[#This Row],[海外定価
（20％）]]-商品マスタ[[#This Row],[仕入単価+国内送料]]</f>
        <v>0</v>
      </c>
      <c r="W949" s="87">
        <f>ROUNDUP(商品マスタ[[#This Row],[仕入単価+国内送料]]/0.85,-1)</f>
        <v>0</v>
      </c>
      <c r="X949" s="134">
        <f>商品マスタ[[#This Row],[国内定価
（15％）]]-商品マスタ[[#This Row],[仕入単価+国内送料]]</f>
        <v>0</v>
      </c>
      <c r="Y949" s="139"/>
      <c r="Z949" s="87"/>
      <c r="AA949" s="87"/>
      <c r="AB949" s="87"/>
      <c r="AC949" s="140"/>
      <c r="AD949" s="87"/>
      <c r="AE949" s="87"/>
      <c r="AF949" s="158"/>
      <c r="AG949" s="141"/>
    </row>
    <row r="950" spans="1:33" ht="18">
      <c r="A950" s="166"/>
      <c r="B950" s="167"/>
      <c r="C950" s="167"/>
      <c r="D950" s="143" t="str">
        <f>"PRD_SNJ_"&amp;
_xlfn.XLOOKUP(商品マスタ[[#This Row],[仕入先]],テーブル1[仕入先名],テーブル1[仕入先コード],"XXX",0,1)&amp;
"_"&amp;
商品マスタ[[#This Row],[シリアル]]&amp;
"_"&amp;
TEXT(COUNTIFS(商品マスタ!$C$3:C950,商品マスタ[[#This Row],[仕入先]],商品マスタ!$E$3:E950,商品マスタ[[#This Row],[商品名]]), "00")</f>
        <v>PRD_SNJ__0000_00</v>
      </c>
      <c r="E950" s="87"/>
      <c r="F950" s="87">
        <f>IF(COUNTIFS($C$3:C950,商品マスタ[[#This Row],[仕入先]],$E$3:E950,商品マスタ[[#This Row],[商品名]]) = 1, 1,0)</f>
        <v>0</v>
      </c>
      <c r="G950" s="133" t="str">
        <f>TEXT(SUMIF($C$3:C950,商品マスタ[[#This Row],[仕入先]],$F$3:F950), "0000")</f>
        <v>0000</v>
      </c>
      <c r="H950" s="87"/>
      <c r="I950" s="87"/>
      <c r="J950" s="87"/>
      <c r="K950" s="87"/>
      <c r="L950" s="134"/>
      <c r="M950" s="157"/>
      <c r="N950" s="134"/>
      <c r="O950" s="135" t="str">
        <f>IF(COUNT(商品マスタ[[#This Row],[参考上代
（税込)]]) &gt; 0, (商品マスタ[[#This Row],[参考上代
（税込)]]-商品マスタ[[#This Row],[国内定価
（15％）]])/(商品マスタ[[#This Row],[参考上代
（税込)]]/1.08), "")</f>
        <v/>
      </c>
      <c r="P950" s="136">
        <v>0.1</v>
      </c>
      <c r="Q950" s="134">
        <f>商品マスタ[[#This Row],[仕入
単価]]*商品マスタ[[#This Row],[標準国内送料率]]</f>
        <v>0</v>
      </c>
      <c r="R950" s="134"/>
      <c r="S950" s="134">
        <f>IF(ISBLANK(商品マスタ[[#This Row],[実績
国内送料]]),商品マスタ[[#This Row],[標準国内送料]],)</f>
        <v>0</v>
      </c>
      <c r="T950" s="134">
        <f>商品マスタ[[#This Row],[仕入
単価]]+商品マスタ[[#This Row],[国内送料]]</f>
        <v>0</v>
      </c>
      <c r="U950" s="134">
        <f>ROUNDUP(商品マスタ[[#This Row],[仕入単価+国内送料]]/0.8,-1)</f>
        <v>0</v>
      </c>
      <c r="V950" s="134">
        <f>商品マスタ[[#This Row],[海外定価
（20％）]]-商品マスタ[[#This Row],[仕入単価+国内送料]]</f>
        <v>0</v>
      </c>
      <c r="W950" s="87">
        <f>ROUNDUP(商品マスタ[[#This Row],[仕入単価+国内送料]]/0.85,-1)</f>
        <v>0</v>
      </c>
      <c r="X950" s="134">
        <f>商品マスタ[[#This Row],[国内定価
（15％）]]-商品マスタ[[#This Row],[仕入単価+国内送料]]</f>
        <v>0</v>
      </c>
      <c r="Y950" s="139"/>
      <c r="Z950" s="87"/>
      <c r="AA950" s="87"/>
      <c r="AB950" s="87"/>
      <c r="AC950" s="140"/>
      <c r="AD950" s="87"/>
      <c r="AE950" s="87"/>
      <c r="AF950" s="158"/>
      <c r="AG950" s="141"/>
    </row>
    <row r="951" spans="1:33" ht="18">
      <c r="A951" s="166"/>
      <c r="B951" s="167"/>
      <c r="C951" s="167"/>
      <c r="D951" s="143" t="str">
        <f>"PRD_SNJ_"&amp;
_xlfn.XLOOKUP(商品マスタ[[#This Row],[仕入先]],テーブル1[仕入先名],テーブル1[仕入先コード],"XXX",0,1)&amp;
"_"&amp;
商品マスタ[[#This Row],[シリアル]]&amp;
"_"&amp;
TEXT(COUNTIFS(商品マスタ!$C$3:C951,商品マスタ[[#This Row],[仕入先]],商品マスタ!$E$3:E951,商品マスタ[[#This Row],[商品名]]), "00")</f>
        <v>PRD_SNJ__0000_00</v>
      </c>
      <c r="E951" s="87"/>
      <c r="F951" s="87">
        <f>IF(COUNTIFS($C$3:C951,商品マスタ[[#This Row],[仕入先]],$E$3:E951,商品マスタ[[#This Row],[商品名]]) = 1, 1,0)</f>
        <v>0</v>
      </c>
      <c r="G951" s="133" t="str">
        <f>TEXT(SUMIF($C$3:C951,商品マスタ[[#This Row],[仕入先]],$F$3:F951), "0000")</f>
        <v>0000</v>
      </c>
      <c r="H951" s="87"/>
      <c r="I951" s="87"/>
      <c r="J951" s="87"/>
      <c r="K951" s="87"/>
      <c r="L951" s="134"/>
      <c r="M951" s="157"/>
      <c r="N951" s="134"/>
      <c r="O951" s="135" t="str">
        <f>IF(COUNT(商品マスタ[[#This Row],[参考上代
（税込)]]) &gt; 0, (商品マスタ[[#This Row],[参考上代
（税込)]]-商品マスタ[[#This Row],[国内定価
（15％）]])/(商品マスタ[[#This Row],[参考上代
（税込)]]/1.08), "")</f>
        <v/>
      </c>
      <c r="P951" s="136">
        <v>0.1</v>
      </c>
      <c r="Q951" s="134">
        <f>商品マスタ[[#This Row],[仕入
単価]]*商品マスタ[[#This Row],[標準国内送料率]]</f>
        <v>0</v>
      </c>
      <c r="R951" s="134"/>
      <c r="S951" s="134">
        <f>IF(ISBLANK(商品マスタ[[#This Row],[実績
国内送料]]),商品マスタ[[#This Row],[標準国内送料]],)</f>
        <v>0</v>
      </c>
      <c r="T951" s="134">
        <f>商品マスタ[[#This Row],[仕入
単価]]+商品マスタ[[#This Row],[国内送料]]</f>
        <v>0</v>
      </c>
      <c r="U951" s="134">
        <f>ROUNDUP(商品マスタ[[#This Row],[仕入単価+国内送料]]/0.8,-1)</f>
        <v>0</v>
      </c>
      <c r="V951" s="134">
        <f>商品マスタ[[#This Row],[海外定価
（20％）]]-商品マスタ[[#This Row],[仕入単価+国内送料]]</f>
        <v>0</v>
      </c>
      <c r="W951" s="87">
        <f>ROUNDUP(商品マスタ[[#This Row],[仕入単価+国内送料]]/0.85,-1)</f>
        <v>0</v>
      </c>
      <c r="X951" s="134">
        <f>商品マスタ[[#This Row],[国内定価
（15％）]]-商品マスタ[[#This Row],[仕入単価+国内送料]]</f>
        <v>0</v>
      </c>
      <c r="Y951" s="139"/>
      <c r="Z951" s="87"/>
      <c r="AA951" s="87"/>
      <c r="AB951" s="87"/>
      <c r="AC951" s="140"/>
      <c r="AD951" s="87"/>
      <c r="AE951" s="87"/>
      <c r="AF951" s="158"/>
      <c r="AG951" s="141"/>
    </row>
    <row r="952" spans="1:33" ht="18">
      <c r="A952" s="166"/>
      <c r="B952" s="167"/>
      <c r="C952" s="167"/>
      <c r="D952" s="143" t="str">
        <f>"PRD_SNJ_"&amp;
_xlfn.XLOOKUP(商品マスタ[[#This Row],[仕入先]],テーブル1[仕入先名],テーブル1[仕入先コード],"XXX",0,1)&amp;
"_"&amp;
商品マスタ[[#This Row],[シリアル]]&amp;
"_"&amp;
TEXT(COUNTIFS(商品マスタ!$C$3:C952,商品マスタ[[#This Row],[仕入先]],商品マスタ!$E$3:E952,商品マスタ[[#This Row],[商品名]]), "00")</f>
        <v>PRD_SNJ__0000_00</v>
      </c>
      <c r="E952" s="87"/>
      <c r="F952" s="87">
        <f>IF(COUNTIFS($C$3:C952,商品マスタ[[#This Row],[仕入先]],$E$3:E952,商品マスタ[[#This Row],[商品名]]) = 1, 1,0)</f>
        <v>0</v>
      </c>
      <c r="G952" s="133" t="str">
        <f>TEXT(SUMIF($C$3:C952,商品マスタ[[#This Row],[仕入先]],$F$3:F952), "0000")</f>
        <v>0000</v>
      </c>
      <c r="H952" s="87"/>
      <c r="I952" s="87"/>
      <c r="J952" s="87"/>
      <c r="K952" s="87"/>
      <c r="L952" s="134"/>
      <c r="M952" s="157"/>
      <c r="N952" s="134"/>
      <c r="O952" s="135" t="str">
        <f>IF(COUNT(商品マスタ[[#This Row],[参考上代
（税込)]]) &gt; 0, (商品マスタ[[#This Row],[参考上代
（税込)]]-商品マスタ[[#This Row],[国内定価
（15％）]])/(商品マスタ[[#This Row],[参考上代
（税込)]]/1.08), "")</f>
        <v/>
      </c>
      <c r="P952" s="136">
        <v>0.1</v>
      </c>
      <c r="Q952" s="134">
        <f>商品マスタ[[#This Row],[仕入
単価]]*商品マスタ[[#This Row],[標準国内送料率]]</f>
        <v>0</v>
      </c>
      <c r="R952" s="134"/>
      <c r="S952" s="134">
        <f>IF(ISBLANK(商品マスタ[[#This Row],[実績
国内送料]]),商品マスタ[[#This Row],[標準国内送料]],)</f>
        <v>0</v>
      </c>
      <c r="T952" s="134">
        <f>商品マスタ[[#This Row],[仕入
単価]]+商品マスタ[[#This Row],[国内送料]]</f>
        <v>0</v>
      </c>
      <c r="U952" s="134">
        <f>ROUNDUP(商品マスタ[[#This Row],[仕入単価+国内送料]]/0.8,-1)</f>
        <v>0</v>
      </c>
      <c r="V952" s="134">
        <f>商品マスタ[[#This Row],[海外定価
（20％）]]-商品マスタ[[#This Row],[仕入単価+国内送料]]</f>
        <v>0</v>
      </c>
      <c r="W952" s="87">
        <f>ROUNDUP(商品マスタ[[#This Row],[仕入単価+国内送料]]/0.85,-1)</f>
        <v>0</v>
      </c>
      <c r="X952" s="134">
        <f>商品マスタ[[#This Row],[国内定価
（15％）]]-商品マスタ[[#This Row],[仕入単価+国内送料]]</f>
        <v>0</v>
      </c>
      <c r="Y952" s="139"/>
      <c r="Z952" s="87"/>
      <c r="AA952" s="87"/>
      <c r="AB952" s="87"/>
      <c r="AC952" s="140"/>
      <c r="AD952" s="87"/>
      <c r="AE952" s="87"/>
      <c r="AF952" s="158"/>
      <c r="AG952" s="141"/>
    </row>
    <row r="953" spans="1:33" ht="18">
      <c r="A953" s="166"/>
      <c r="B953" s="167"/>
      <c r="C953" s="167"/>
      <c r="D953" s="143" t="str">
        <f>"PRD_SNJ_"&amp;
_xlfn.XLOOKUP(商品マスタ[[#This Row],[仕入先]],テーブル1[仕入先名],テーブル1[仕入先コード],"XXX",0,1)&amp;
"_"&amp;
商品マスタ[[#This Row],[シリアル]]&amp;
"_"&amp;
TEXT(COUNTIFS(商品マスタ!$C$3:C953,商品マスタ[[#This Row],[仕入先]],商品マスタ!$E$3:E953,商品マスタ[[#This Row],[商品名]]), "00")</f>
        <v>PRD_SNJ__0000_00</v>
      </c>
      <c r="E953" s="87"/>
      <c r="F953" s="87">
        <f>IF(COUNTIFS($C$3:C953,商品マスタ[[#This Row],[仕入先]],$E$3:E953,商品マスタ[[#This Row],[商品名]]) = 1, 1,0)</f>
        <v>0</v>
      </c>
      <c r="G953" s="133" t="str">
        <f>TEXT(SUMIF($C$3:C953,商品マスタ[[#This Row],[仕入先]],$F$3:F953), "0000")</f>
        <v>0000</v>
      </c>
      <c r="H953" s="87"/>
      <c r="I953" s="87"/>
      <c r="J953" s="87"/>
      <c r="K953" s="87"/>
      <c r="L953" s="134"/>
      <c r="M953" s="157"/>
      <c r="N953" s="134"/>
      <c r="O953" s="135" t="str">
        <f>IF(COUNT(商品マスタ[[#This Row],[参考上代
（税込)]]) &gt; 0, (商品マスタ[[#This Row],[参考上代
（税込)]]-商品マスタ[[#This Row],[国内定価
（15％）]])/(商品マスタ[[#This Row],[参考上代
（税込)]]/1.08), "")</f>
        <v/>
      </c>
      <c r="P953" s="136">
        <v>0.1</v>
      </c>
      <c r="Q953" s="134">
        <f>商品マスタ[[#This Row],[仕入
単価]]*商品マスタ[[#This Row],[標準国内送料率]]</f>
        <v>0</v>
      </c>
      <c r="R953" s="134"/>
      <c r="S953" s="134">
        <f>IF(ISBLANK(商品マスタ[[#This Row],[実績
国内送料]]),商品マスタ[[#This Row],[標準国内送料]],)</f>
        <v>0</v>
      </c>
      <c r="T953" s="134">
        <f>商品マスタ[[#This Row],[仕入
単価]]+商品マスタ[[#This Row],[国内送料]]</f>
        <v>0</v>
      </c>
      <c r="U953" s="134">
        <f>ROUNDUP(商品マスタ[[#This Row],[仕入単価+国内送料]]/0.8,-1)</f>
        <v>0</v>
      </c>
      <c r="V953" s="134">
        <f>商品マスタ[[#This Row],[海外定価
（20％）]]-商品マスタ[[#This Row],[仕入単価+国内送料]]</f>
        <v>0</v>
      </c>
      <c r="W953" s="87">
        <f>ROUNDUP(商品マスタ[[#This Row],[仕入単価+国内送料]]/0.85,-1)</f>
        <v>0</v>
      </c>
      <c r="X953" s="134">
        <f>商品マスタ[[#This Row],[国内定価
（15％）]]-商品マスタ[[#This Row],[仕入単価+国内送料]]</f>
        <v>0</v>
      </c>
      <c r="Y953" s="139"/>
      <c r="Z953" s="87"/>
      <c r="AA953" s="87"/>
      <c r="AB953" s="87"/>
      <c r="AC953" s="140"/>
      <c r="AD953" s="87"/>
      <c r="AE953" s="87"/>
      <c r="AF953" s="158"/>
      <c r="AG953" s="141"/>
    </row>
    <row r="954" spans="1:33" ht="18">
      <c r="A954" s="166"/>
      <c r="B954" s="167"/>
      <c r="C954" s="167"/>
      <c r="D954" s="143" t="str">
        <f>"PRD_SNJ_"&amp;
_xlfn.XLOOKUP(商品マスタ[[#This Row],[仕入先]],テーブル1[仕入先名],テーブル1[仕入先コード],"XXX",0,1)&amp;
"_"&amp;
商品マスタ[[#This Row],[シリアル]]&amp;
"_"&amp;
TEXT(COUNTIFS(商品マスタ!$C$3:C954,商品マスタ[[#This Row],[仕入先]],商品マスタ!$E$3:E954,商品マスタ[[#This Row],[商品名]]), "00")</f>
        <v>PRD_SNJ__0000_00</v>
      </c>
      <c r="E954" s="87"/>
      <c r="F954" s="87">
        <f>IF(COUNTIFS($C$3:C954,商品マスタ[[#This Row],[仕入先]],$E$3:E954,商品マスタ[[#This Row],[商品名]]) = 1, 1,0)</f>
        <v>0</v>
      </c>
      <c r="G954" s="133" t="str">
        <f>TEXT(SUMIF($C$3:C954,商品マスタ[[#This Row],[仕入先]],$F$3:F954), "0000")</f>
        <v>0000</v>
      </c>
      <c r="H954" s="87"/>
      <c r="I954" s="87"/>
      <c r="J954" s="87"/>
      <c r="K954" s="87"/>
      <c r="L954" s="134"/>
      <c r="M954" s="157"/>
      <c r="N954" s="134"/>
      <c r="O954" s="135" t="str">
        <f>IF(COUNT(商品マスタ[[#This Row],[参考上代
（税込)]]) &gt; 0, (商品マスタ[[#This Row],[参考上代
（税込)]]-商品マスタ[[#This Row],[国内定価
（15％）]])/(商品マスタ[[#This Row],[参考上代
（税込)]]/1.08), "")</f>
        <v/>
      </c>
      <c r="P954" s="136">
        <v>0.1</v>
      </c>
      <c r="Q954" s="134">
        <f>商品マスタ[[#This Row],[仕入
単価]]*商品マスタ[[#This Row],[標準国内送料率]]</f>
        <v>0</v>
      </c>
      <c r="R954" s="134"/>
      <c r="S954" s="134">
        <f>IF(ISBLANK(商品マスタ[[#This Row],[実績
国内送料]]),商品マスタ[[#This Row],[標準国内送料]],)</f>
        <v>0</v>
      </c>
      <c r="T954" s="134">
        <f>商品マスタ[[#This Row],[仕入
単価]]+商品マスタ[[#This Row],[国内送料]]</f>
        <v>0</v>
      </c>
      <c r="U954" s="134">
        <f>ROUNDUP(商品マスタ[[#This Row],[仕入単価+国内送料]]/0.8,-1)</f>
        <v>0</v>
      </c>
      <c r="V954" s="134">
        <f>商品マスタ[[#This Row],[海外定価
（20％）]]-商品マスタ[[#This Row],[仕入単価+国内送料]]</f>
        <v>0</v>
      </c>
      <c r="W954" s="87">
        <f>ROUNDUP(商品マスタ[[#This Row],[仕入単価+国内送料]]/0.85,-1)</f>
        <v>0</v>
      </c>
      <c r="X954" s="134">
        <f>商品マスタ[[#This Row],[国内定価
（15％）]]-商品マスタ[[#This Row],[仕入単価+国内送料]]</f>
        <v>0</v>
      </c>
      <c r="Y954" s="139"/>
      <c r="Z954" s="87"/>
      <c r="AA954" s="87"/>
      <c r="AB954" s="87"/>
      <c r="AC954" s="140"/>
      <c r="AD954" s="87"/>
      <c r="AE954" s="87"/>
      <c r="AF954" s="158"/>
      <c r="AG954" s="141"/>
    </row>
    <row r="955" spans="1:33" ht="18">
      <c r="A955" s="166"/>
      <c r="B955" s="167"/>
      <c r="C955" s="167"/>
      <c r="D955" s="143" t="str">
        <f>"PRD_SNJ_"&amp;
_xlfn.XLOOKUP(商品マスタ[[#This Row],[仕入先]],テーブル1[仕入先名],テーブル1[仕入先コード],"XXX",0,1)&amp;
"_"&amp;
商品マスタ[[#This Row],[シリアル]]&amp;
"_"&amp;
TEXT(COUNTIFS(商品マスタ!$C$3:C955,商品マスタ[[#This Row],[仕入先]],商品マスタ!$E$3:E955,商品マスタ[[#This Row],[商品名]]), "00")</f>
        <v>PRD_SNJ__0000_00</v>
      </c>
      <c r="E955" s="87"/>
      <c r="F955" s="87">
        <f>IF(COUNTIFS($C$3:C955,商品マスタ[[#This Row],[仕入先]],$E$3:E955,商品マスタ[[#This Row],[商品名]]) = 1, 1,0)</f>
        <v>0</v>
      </c>
      <c r="G955" s="133" t="str">
        <f>TEXT(SUMIF($C$3:C955,商品マスタ[[#This Row],[仕入先]],$F$3:F955), "0000")</f>
        <v>0000</v>
      </c>
      <c r="H955" s="87"/>
      <c r="I955" s="87"/>
      <c r="J955" s="87"/>
      <c r="K955" s="87"/>
      <c r="L955" s="134"/>
      <c r="M955" s="157"/>
      <c r="N955" s="134"/>
      <c r="O955" s="135" t="str">
        <f>IF(COUNT(商品マスタ[[#This Row],[参考上代
（税込)]]) &gt; 0, (商品マスタ[[#This Row],[参考上代
（税込)]]-商品マスタ[[#This Row],[国内定価
（15％）]])/(商品マスタ[[#This Row],[参考上代
（税込)]]/1.08), "")</f>
        <v/>
      </c>
      <c r="P955" s="136">
        <v>0.1</v>
      </c>
      <c r="Q955" s="134">
        <f>商品マスタ[[#This Row],[仕入
単価]]*商品マスタ[[#This Row],[標準国内送料率]]</f>
        <v>0</v>
      </c>
      <c r="R955" s="134"/>
      <c r="S955" s="134">
        <f>IF(ISBLANK(商品マスタ[[#This Row],[実績
国内送料]]),商品マスタ[[#This Row],[標準国内送料]],)</f>
        <v>0</v>
      </c>
      <c r="T955" s="134">
        <f>商品マスタ[[#This Row],[仕入
単価]]+商品マスタ[[#This Row],[国内送料]]</f>
        <v>0</v>
      </c>
      <c r="U955" s="134">
        <f>ROUNDUP(商品マスタ[[#This Row],[仕入単価+国内送料]]/0.8,-1)</f>
        <v>0</v>
      </c>
      <c r="V955" s="134">
        <f>商品マスタ[[#This Row],[海外定価
（20％）]]-商品マスタ[[#This Row],[仕入単価+国内送料]]</f>
        <v>0</v>
      </c>
      <c r="W955" s="87">
        <f>ROUNDUP(商品マスタ[[#This Row],[仕入単価+国内送料]]/0.85,-1)</f>
        <v>0</v>
      </c>
      <c r="X955" s="134">
        <f>商品マスタ[[#This Row],[国内定価
（15％）]]-商品マスタ[[#This Row],[仕入単価+国内送料]]</f>
        <v>0</v>
      </c>
      <c r="Y955" s="139"/>
      <c r="Z955" s="87"/>
      <c r="AA955" s="87"/>
      <c r="AB955" s="87"/>
      <c r="AC955" s="140"/>
      <c r="AD955" s="87"/>
      <c r="AE955" s="87"/>
      <c r="AF955" s="158"/>
      <c r="AG955" s="141"/>
    </row>
    <row r="956" spans="1:33" ht="18">
      <c r="A956" s="166"/>
      <c r="B956" s="167"/>
      <c r="C956" s="167"/>
      <c r="D956" s="143" t="str">
        <f>"PRD_SNJ_"&amp;
_xlfn.XLOOKUP(商品マスタ[[#This Row],[仕入先]],テーブル1[仕入先名],テーブル1[仕入先コード],"XXX",0,1)&amp;
"_"&amp;
商品マスタ[[#This Row],[シリアル]]&amp;
"_"&amp;
TEXT(COUNTIFS(商品マスタ!$C$3:C956,商品マスタ[[#This Row],[仕入先]],商品マスタ!$E$3:E956,商品マスタ[[#This Row],[商品名]]), "00")</f>
        <v>PRD_SNJ__0000_00</v>
      </c>
      <c r="E956" s="87"/>
      <c r="F956" s="87">
        <f>IF(COUNTIFS($C$3:C956,商品マスタ[[#This Row],[仕入先]],$E$3:E956,商品マスタ[[#This Row],[商品名]]) = 1, 1,0)</f>
        <v>0</v>
      </c>
      <c r="G956" s="133" t="str">
        <f>TEXT(SUMIF($C$3:C956,商品マスタ[[#This Row],[仕入先]],$F$3:F956), "0000")</f>
        <v>0000</v>
      </c>
      <c r="H956" s="87"/>
      <c r="I956" s="87"/>
      <c r="J956" s="87"/>
      <c r="K956" s="87"/>
      <c r="L956" s="134"/>
      <c r="M956" s="157"/>
      <c r="N956" s="134"/>
      <c r="O956" s="135" t="str">
        <f>IF(COUNT(商品マスタ[[#This Row],[参考上代
（税込)]]) &gt; 0, (商品マスタ[[#This Row],[参考上代
（税込)]]-商品マスタ[[#This Row],[国内定価
（15％）]])/(商品マスタ[[#This Row],[参考上代
（税込)]]/1.08), "")</f>
        <v/>
      </c>
      <c r="P956" s="136">
        <v>0.1</v>
      </c>
      <c r="Q956" s="134">
        <f>商品マスタ[[#This Row],[仕入
単価]]*商品マスタ[[#This Row],[標準国内送料率]]</f>
        <v>0</v>
      </c>
      <c r="R956" s="134"/>
      <c r="S956" s="134">
        <f>IF(ISBLANK(商品マスタ[[#This Row],[実績
国内送料]]),商品マスタ[[#This Row],[標準国内送料]],)</f>
        <v>0</v>
      </c>
      <c r="T956" s="134">
        <f>商品マスタ[[#This Row],[仕入
単価]]+商品マスタ[[#This Row],[国内送料]]</f>
        <v>0</v>
      </c>
      <c r="U956" s="134">
        <f>ROUNDUP(商品マスタ[[#This Row],[仕入単価+国内送料]]/0.8,-1)</f>
        <v>0</v>
      </c>
      <c r="V956" s="134">
        <f>商品マスタ[[#This Row],[海外定価
（20％）]]-商品マスタ[[#This Row],[仕入単価+国内送料]]</f>
        <v>0</v>
      </c>
      <c r="W956" s="87">
        <f>ROUNDUP(商品マスタ[[#This Row],[仕入単価+国内送料]]/0.85,-1)</f>
        <v>0</v>
      </c>
      <c r="X956" s="134">
        <f>商品マスタ[[#This Row],[国内定価
（15％）]]-商品マスタ[[#This Row],[仕入単価+国内送料]]</f>
        <v>0</v>
      </c>
      <c r="Y956" s="139"/>
      <c r="Z956" s="87"/>
      <c r="AA956" s="87"/>
      <c r="AB956" s="87"/>
      <c r="AC956" s="140"/>
      <c r="AD956" s="87"/>
      <c r="AE956" s="87"/>
      <c r="AF956" s="158"/>
      <c r="AG956" s="141"/>
    </row>
    <row r="957" spans="1:33" ht="18">
      <c r="A957" s="166"/>
      <c r="B957" s="167"/>
      <c r="C957" s="167"/>
      <c r="D957" s="143" t="str">
        <f>"PRD_SNJ_"&amp;
_xlfn.XLOOKUP(商品マスタ[[#This Row],[仕入先]],テーブル1[仕入先名],テーブル1[仕入先コード],"XXX",0,1)&amp;
"_"&amp;
商品マスタ[[#This Row],[シリアル]]&amp;
"_"&amp;
TEXT(COUNTIFS(商品マスタ!$C$3:C957,商品マスタ[[#This Row],[仕入先]],商品マスタ!$E$3:E957,商品マスタ[[#This Row],[商品名]]), "00")</f>
        <v>PRD_SNJ__0000_00</v>
      </c>
      <c r="E957" s="87"/>
      <c r="F957" s="87">
        <f>IF(COUNTIFS($C$3:C957,商品マスタ[[#This Row],[仕入先]],$E$3:E957,商品マスタ[[#This Row],[商品名]]) = 1, 1,0)</f>
        <v>0</v>
      </c>
      <c r="G957" s="133" t="str">
        <f>TEXT(SUMIF($C$3:C957,商品マスタ[[#This Row],[仕入先]],$F$3:F957), "0000")</f>
        <v>0000</v>
      </c>
      <c r="H957" s="87"/>
      <c r="I957" s="87"/>
      <c r="J957" s="87"/>
      <c r="K957" s="87"/>
      <c r="L957" s="134"/>
      <c r="M957" s="157"/>
      <c r="N957" s="134"/>
      <c r="O957" s="135" t="str">
        <f>IF(COUNT(商品マスタ[[#This Row],[参考上代
（税込)]]) &gt; 0, (商品マスタ[[#This Row],[参考上代
（税込)]]-商品マスタ[[#This Row],[国内定価
（15％）]])/(商品マスタ[[#This Row],[参考上代
（税込)]]/1.08), "")</f>
        <v/>
      </c>
      <c r="P957" s="136">
        <v>0.1</v>
      </c>
      <c r="Q957" s="134">
        <f>商品マスタ[[#This Row],[仕入
単価]]*商品マスタ[[#This Row],[標準国内送料率]]</f>
        <v>0</v>
      </c>
      <c r="R957" s="134"/>
      <c r="S957" s="134">
        <f>IF(ISBLANK(商品マスタ[[#This Row],[実績
国内送料]]),商品マスタ[[#This Row],[標準国内送料]],)</f>
        <v>0</v>
      </c>
      <c r="T957" s="134">
        <f>商品マスタ[[#This Row],[仕入
単価]]+商品マスタ[[#This Row],[国内送料]]</f>
        <v>0</v>
      </c>
      <c r="U957" s="134">
        <f>ROUNDUP(商品マスタ[[#This Row],[仕入単価+国内送料]]/0.8,-1)</f>
        <v>0</v>
      </c>
      <c r="V957" s="134">
        <f>商品マスタ[[#This Row],[海外定価
（20％）]]-商品マスタ[[#This Row],[仕入単価+国内送料]]</f>
        <v>0</v>
      </c>
      <c r="W957" s="87">
        <f>ROUNDUP(商品マスタ[[#This Row],[仕入単価+国内送料]]/0.85,-1)</f>
        <v>0</v>
      </c>
      <c r="X957" s="134">
        <f>商品マスタ[[#This Row],[国内定価
（15％）]]-商品マスタ[[#This Row],[仕入単価+国内送料]]</f>
        <v>0</v>
      </c>
      <c r="Y957" s="139"/>
      <c r="Z957" s="87"/>
      <c r="AA957" s="87"/>
      <c r="AB957" s="87"/>
      <c r="AC957" s="140"/>
      <c r="AD957" s="87"/>
      <c r="AE957" s="87"/>
      <c r="AF957" s="158"/>
      <c r="AG957" s="141"/>
    </row>
    <row r="958" spans="1:33" ht="18">
      <c r="A958" s="166"/>
      <c r="B958" s="167"/>
      <c r="C958" s="167"/>
      <c r="D958" s="143" t="str">
        <f>"PRD_SNJ_"&amp;
_xlfn.XLOOKUP(商品マスタ[[#This Row],[仕入先]],テーブル1[仕入先名],テーブル1[仕入先コード],"XXX",0,1)&amp;
"_"&amp;
商品マスタ[[#This Row],[シリアル]]&amp;
"_"&amp;
TEXT(COUNTIFS(商品マスタ!$C$3:C958,商品マスタ[[#This Row],[仕入先]],商品マスタ!$E$3:E958,商品マスタ[[#This Row],[商品名]]), "00")</f>
        <v>PRD_SNJ__0000_00</v>
      </c>
      <c r="E958" s="87"/>
      <c r="F958" s="87">
        <f>IF(COUNTIFS($C$3:C958,商品マスタ[[#This Row],[仕入先]],$E$3:E958,商品マスタ[[#This Row],[商品名]]) = 1, 1,0)</f>
        <v>0</v>
      </c>
      <c r="G958" s="133" t="str">
        <f>TEXT(SUMIF($C$3:C958,商品マスタ[[#This Row],[仕入先]],$F$3:F958), "0000")</f>
        <v>0000</v>
      </c>
      <c r="H958" s="87"/>
      <c r="I958" s="87"/>
      <c r="J958" s="87"/>
      <c r="K958" s="87"/>
      <c r="L958" s="134"/>
      <c r="M958" s="157"/>
      <c r="N958" s="134"/>
      <c r="O958" s="135" t="str">
        <f>IF(COUNT(商品マスタ[[#This Row],[参考上代
（税込)]]) &gt; 0, (商品マスタ[[#This Row],[参考上代
（税込)]]-商品マスタ[[#This Row],[国内定価
（15％）]])/(商品マスタ[[#This Row],[参考上代
（税込)]]/1.08), "")</f>
        <v/>
      </c>
      <c r="P958" s="136">
        <v>0.1</v>
      </c>
      <c r="Q958" s="134">
        <f>商品マスタ[[#This Row],[仕入
単価]]*商品マスタ[[#This Row],[標準国内送料率]]</f>
        <v>0</v>
      </c>
      <c r="R958" s="134"/>
      <c r="S958" s="134">
        <f>IF(ISBLANK(商品マスタ[[#This Row],[実績
国内送料]]),商品マスタ[[#This Row],[標準国内送料]],)</f>
        <v>0</v>
      </c>
      <c r="T958" s="134">
        <f>商品マスタ[[#This Row],[仕入
単価]]+商品マスタ[[#This Row],[国内送料]]</f>
        <v>0</v>
      </c>
      <c r="U958" s="134">
        <f>ROUNDUP(商品マスタ[[#This Row],[仕入単価+国内送料]]/0.8,-1)</f>
        <v>0</v>
      </c>
      <c r="V958" s="134">
        <f>商品マスタ[[#This Row],[海外定価
（20％）]]-商品マスタ[[#This Row],[仕入単価+国内送料]]</f>
        <v>0</v>
      </c>
      <c r="W958" s="87">
        <f>ROUNDUP(商品マスタ[[#This Row],[仕入単価+国内送料]]/0.85,-1)</f>
        <v>0</v>
      </c>
      <c r="X958" s="134">
        <f>商品マスタ[[#This Row],[国内定価
（15％）]]-商品マスタ[[#This Row],[仕入単価+国内送料]]</f>
        <v>0</v>
      </c>
      <c r="Y958" s="139"/>
      <c r="Z958" s="87"/>
      <c r="AA958" s="87"/>
      <c r="AB958" s="87"/>
      <c r="AC958" s="140"/>
      <c r="AD958" s="87"/>
      <c r="AE958" s="87"/>
      <c r="AF958" s="158"/>
      <c r="AG958" s="141"/>
    </row>
    <row r="959" spans="1:33" ht="18">
      <c r="A959" s="166"/>
      <c r="B959" s="167"/>
      <c r="C959" s="167"/>
      <c r="D959" s="143" t="str">
        <f>"PRD_SNJ_"&amp;
_xlfn.XLOOKUP(商品マスタ[[#This Row],[仕入先]],テーブル1[仕入先名],テーブル1[仕入先コード],"XXX",0,1)&amp;
"_"&amp;
商品マスタ[[#This Row],[シリアル]]&amp;
"_"&amp;
TEXT(COUNTIFS(商品マスタ!$C$3:C959,商品マスタ[[#This Row],[仕入先]],商品マスタ!$E$3:E959,商品マスタ[[#This Row],[商品名]]), "00")</f>
        <v>PRD_SNJ__0000_00</v>
      </c>
      <c r="E959" s="87"/>
      <c r="F959" s="87">
        <f>IF(COUNTIFS($C$3:C959,商品マスタ[[#This Row],[仕入先]],$E$3:E959,商品マスタ[[#This Row],[商品名]]) = 1, 1,0)</f>
        <v>0</v>
      </c>
      <c r="G959" s="133" t="str">
        <f>TEXT(SUMIF($C$3:C959,商品マスタ[[#This Row],[仕入先]],$F$3:F959), "0000")</f>
        <v>0000</v>
      </c>
      <c r="H959" s="87"/>
      <c r="I959" s="87"/>
      <c r="J959" s="87"/>
      <c r="K959" s="87"/>
      <c r="L959" s="134"/>
      <c r="M959" s="157"/>
      <c r="N959" s="134"/>
      <c r="O959" s="135" t="str">
        <f>IF(COUNT(商品マスタ[[#This Row],[参考上代
（税込)]]) &gt; 0, (商品マスタ[[#This Row],[参考上代
（税込)]]-商品マスタ[[#This Row],[国内定価
（15％）]])/(商品マスタ[[#This Row],[参考上代
（税込)]]/1.08), "")</f>
        <v/>
      </c>
      <c r="P959" s="136">
        <v>0.1</v>
      </c>
      <c r="Q959" s="134">
        <f>商品マスタ[[#This Row],[仕入
単価]]*商品マスタ[[#This Row],[標準国内送料率]]</f>
        <v>0</v>
      </c>
      <c r="R959" s="134"/>
      <c r="S959" s="134">
        <f>IF(ISBLANK(商品マスタ[[#This Row],[実績
国内送料]]),商品マスタ[[#This Row],[標準国内送料]],)</f>
        <v>0</v>
      </c>
      <c r="T959" s="134">
        <f>商品マスタ[[#This Row],[仕入
単価]]+商品マスタ[[#This Row],[国内送料]]</f>
        <v>0</v>
      </c>
      <c r="U959" s="134">
        <f>ROUNDUP(商品マスタ[[#This Row],[仕入単価+国内送料]]/0.8,-1)</f>
        <v>0</v>
      </c>
      <c r="V959" s="134">
        <f>商品マスタ[[#This Row],[海外定価
（20％）]]-商品マスタ[[#This Row],[仕入単価+国内送料]]</f>
        <v>0</v>
      </c>
      <c r="W959" s="87">
        <f>ROUNDUP(商品マスタ[[#This Row],[仕入単価+国内送料]]/0.85,-1)</f>
        <v>0</v>
      </c>
      <c r="X959" s="134">
        <f>商品マスタ[[#This Row],[国内定価
（15％）]]-商品マスタ[[#This Row],[仕入単価+国内送料]]</f>
        <v>0</v>
      </c>
      <c r="Y959" s="139"/>
      <c r="Z959" s="87"/>
      <c r="AA959" s="87"/>
      <c r="AB959" s="87"/>
      <c r="AC959" s="140"/>
      <c r="AD959" s="87"/>
      <c r="AE959" s="87"/>
      <c r="AF959" s="158"/>
      <c r="AG959" s="141"/>
    </row>
    <row r="960" spans="1:33" ht="18">
      <c r="A960" s="166"/>
      <c r="B960" s="167"/>
      <c r="C960" s="167"/>
      <c r="D960" s="143" t="str">
        <f>"PRD_SNJ_"&amp;
_xlfn.XLOOKUP(商品マスタ[[#This Row],[仕入先]],テーブル1[仕入先名],テーブル1[仕入先コード],"XXX",0,1)&amp;
"_"&amp;
商品マスタ[[#This Row],[シリアル]]&amp;
"_"&amp;
TEXT(COUNTIFS(商品マスタ!$C$3:C960,商品マスタ[[#This Row],[仕入先]],商品マスタ!$E$3:E960,商品マスタ[[#This Row],[商品名]]), "00")</f>
        <v>PRD_SNJ__0000_00</v>
      </c>
      <c r="E960" s="87"/>
      <c r="F960" s="87">
        <f>IF(COUNTIFS($C$3:C960,商品マスタ[[#This Row],[仕入先]],$E$3:E960,商品マスタ[[#This Row],[商品名]]) = 1, 1,0)</f>
        <v>0</v>
      </c>
      <c r="G960" s="133" t="str">
        <f>TEXT(SUMIF($C$3:C960,商品マスタ[[#This Row],[仕入先]],$F$3:F960), "0000")</f>
        <v>0000</v>
      </c>
      <c r="H960" s="87"/>
      <c r="I960" s="87"/>
      <c r="J960" s="87"/>
      <c r="K960" s="87"/>
      <c r="L960" s="134"/>
      <c r="M960" s="157"/>
      <c r="N960" s="134"/>
      <c r="O960" s="135" t="str">
        <f>IF(COUNT(商品マスタ[[#This Row],[参考上代
（税込)]]) &gt; 0, (商品マスタ[[#This Row],[参考上代
（税込)]]-商品マスタ[[#This Row],[国内定価
（15％）]])/(商品マスタ[[#This Row],[参考上代
（税込)]]/1.08), "")</f>
        <v/>
      </c>
      <c r="P960" s="136">
        <v>0.1</v>
      </c>
      <c r="Q960" s="134">
        <f>商品マスタ[[#This Row],[仕入
単価]]*商品マスタ[[#This Row],[標準国内送料率]]</f>
        <v>0</v>
      </c>
      <c r="R960" s="134"/>
      <c r="S960" s="134">
        <f>IF(ISBLANK(商品マスタ[[#This Row],[実績
国内送料]]),商品マスタ[[#This Row],[標準国内送料]],)</f>
        <v>0</v>
      </c>
      <c r="T960" s="134">
        <f>商品マスタ[[#This Row],[仕入
単価]]+商品マスタ[[#This Row],[国内送料]]</f>
        <v>0</v>
      </c>
      <c r="U960" s="134">
        <f>ROUNDUP(商品マスタ[[#This Row],[仕入単価+国内送料]]/0.8,-1)</f>
        <v>0</v>
      </c>
      <c r="V960" s="134">
        <f>商品マスタ[[#This Row],[海外定価
（20％）]]-商品マスタ[[#This Row],[仕入単価+国内送料]]</f>
        <v>0</v>
      </c>
      <c r="W960" s="87">
        <f>ROUNDUP(商品マスタ[[#This Row],[仕入単価+国内送料]]/0.85,-1)</f>
        <v>0</v>
      </c>
      <c r="X960" s="134">
        <f>商品マスタ[[#This Row],[国内定価
（15％）]]-商品マスタ[[#This Row],[仕入単価+国内送料]]</f>
        <v>0</v>
      </c>
      <c r="Y960" s="139"/>
      <c r="Z960" s="87"/>
      <c r="AA960" s="87"/>
      <c r="AB960" s="87"/>
      <c r="AC960" s="140"/>
      <c r="AD960" s="87"/>
      <c r="AE960" s="87"/>
      <c r="AF960" s="158"/>
      <c r="AG960" s="141"/>
    </row>
    <row r="961" spans="1:33" ht="18">
      <c r="A961" s="166"/>
      <c r="B961" s="167"/>
      <c r="C961" s="167"/>
      <c r="D961" s="143" t="str">
        <f>"PRD_SNJ_"&amp;
_xlfn.XLOOKUP(商品マスタ[[#This Row],[仕入先]],テーブル1[仕入先名],テーブル1[仕入先コード],"XXX",0,1)&amp;
"_"&amp;
商品マスタ[[#This Row],[シリアル]]&amp;
"_"&amp;
TEXT(COUNTIFS(商品マスタ!$C$3:C961,商品マスタ[[#This Row],[仕入先]],商品マスタ!$E$3:E961,商品マスタ[[#This Row],[商品名]]), "00")</f>
        <v>PRD_SNJ__0000_00</v>
      </c>
      <c r="E961" s="87"/>
      <c r="F961" s="87">
        <f>IF(COUNTIFS($C$3:C961,商品マスタ[[#This Row],[仕入先]],$E$3:E961,商品マスタ[[#This Row],[商品名]]) = 1, 1,0)</f>
        <v>0</v>
      </c>
      <c r="G961" s="133" t="str">
        <f>TEXT(SUMIF($C$3:C961,商品マスタ[[#This Row],[仕入先]],$F$3:F961), "0000")</f>
        <v>0000</v>
      </c>
      <c r="H961" s="87"/>
      <c r="I961" s="87"/>
      <c r="J961" s="87"/>
      <c r="K961" s="87"/>
      <c r="L961" s="134"/>
      <c r="M961" s="157"/>
      <c r="N961" s="134"/>
      <c r="O961" s="135" t="str">
        <f>IF(COUNT(商品マスタ[[#This Row],[参考上代
（税込)]]) &gt; 0, (商品マスタ[[#This Row],[参考上代
（税込)]]-商品マスタ[[#This Row],[国内定価
（15％）]])/(商品マスタ[[#This Row],[参考上代
（税込)]]/1.08), "")</f>
        <v/>
      </c>
      <c r="P961" s="136">
        <v>0.1</v>
      </c>
      <c r="Q961" s="134">
        <f>商品マスタ[[#This Row],[仕入
単価]]*商品マスタ[[#This Row],[標準国内送料率]]</f>
        <v>0</v>
      </c>
      <c r="R961" s="134"/>
      <c r="S961" s="134">
        <f>IF(ISBLANK(商品マスタ[[#This Row],[実績
国内送料]]),商品マスタ[[#This Row],[標準国内送料]],)</f>
        <v>0</v>
      </c>
      <c r="T961" s="134">
        <f>商品マスタ[[#This Row],[仕入
単価]]+商品マスタ[[#This Row],[国内送料]]</f>
        <v>0</v>
      </c>
      <c r="U961" s="134">
        <f>ROUNDUP(商品マスタ[[#This Row],[仕入単価+国内送料]]/0.8,-1)</f>
        <v>0</v>
      </c>
      <c r="V961" s="134">
        <f>商品マスタ[[#This Row],[海外定価
（20％）]]-商品マスタ[[#This Row],[仕入単価+国内送料]]</f>
        <v>0</v>
      </c>
      <c r="W961" s="87">
        <f>ROUNDUP(商品マスタ[[#This Row],[仕入単価+国内送料]]/0.85,-1)</f>
        <v>0</v>
      </c>
      <c r="X961" s="134">
        <f>商品マスタ[[#This Row],[国内定価
（15％）]]-商品マスタ[[#This Row],[仕入単価+国内送料]]</f>
        <v>0</v>
      </c>
      <c r="Y961" s="139"/>
      <c r="Z961" s="87"/>
      <c r="AA961" s="87"/>
      <c r="AB961" s="87"/>
      <c r="AC961" s="140"/>
      <c r="AD961" s="87"/>
      <c r="AE961" s="87"/>
      <c r="AF961" s="158"/>
      <c r="AG961" s="141"/>
    </row>
    <row r="962" spans="1:33" ht="18">
      <c r="A962" s="166"/>
      <c r="B962" s="167"/>
      <c r="C962" s="167"/>
      <c r="D962" s="143" t="str">
        <f>"PRD_SNJ_"&amp;
_xlfn.XLOOKUP(商品マスタ[[#This Row],[仕入先]],テーブル1[仕入先名],テーブル1[仕入先コード],"XXX",0,1)&amp;
"_"&amp;
商品マスタ[[#This Row],[シリアル]]&amp;
"_"&amp;
TEXT(COUNTIFS(商品マスタ!$C$3:C962,商品マスタ[[#This Row],[仕入先]],商品マスタ!$E$3:E962,商品マスタ[[#This Row],[商品名]]), "00")</f>
        <v>PRD_SNJ__0000_00</v>
      </c>
      <c r="E962" s="87"/>
      <c r="F962" s="87">
        <f>IF(COUNTIFS($C$3:C962,商品マスタ[[#This Row],[仕入先]],$E$3:E962,商品マスタ[[#This Row],[商品名]]) = 1, 1,0)</f>
        <v>0</v>
      </c>
      <c r="G962" s="133" t="str">
        <f>TEXT(SUMIF($C$3:C962,商品マスタ[[#This Row],[仕入先]],$F$3:F962), "0000")</f>
        <v>0000</v>
      </c>
      <c r="H962" s="87"/>
      <c r="I962" s="87"/>
      <c r="J962" s="87"/>
      <c r="K962" s="87"/>
      <c r="L962" s="134"/>
      <c r="M962" s="157"/>
      <c r="N962" s="134"/>
      <c r="O962" s="135" t="str">
        <f>IF(COUNT(商品マスタ[[#This Row],[参考上代
（税込)]]) &gt; 0, (商品マスタ[[#This Row],[参考上代
（税込)]]-商品マスタ[[#This Row],[国内定価
（15％）]])/(商品マスタ[[#This Row],[参考上代
（税込)]]/1.08), "")</f>
        <v/>
      </c>
      <c r="P962" s="136">
        <v>0.1</v>
      </c>
      <c r="Q962" s="134">
        <f>商品マスタ[[#This Row],[仕入
単価]]*商品マスタ[[#This Row],[標準国内送料率]]</f>
        <v>0</v>
      </c>
      <c r="R962" s="134"/>
      <c r="S962" s="134">
        <f>IF(ISBLANK(商品マスタ[[#This Row],[実績
国内送料]]),商品マスタ[[#This Row],[標準国内送料]],)</f>
        <v>0</v>
      </c>
      <c r="T962" s="134">
        <f>商品マスタ[[#This Row],[仕入
単価]]+商品マスタ[[#This Row],[国内送料]]</f>
        <v>0</v>
      </c>
      <c r="U962" s="134">
        <f>ROUNDUP(商品マスタ[[#This Row],[仕入単価+国内送料]]/0.8,-1)</f>
        <v>0</v>
      </c>
      <c r="V962" s="134">
        <f>商品マスタ[[#This Row],[海外定価
（20％）]]-商品マスタ[[#This Row],[仕入単価+国内送料]]</f>
        <v>0</v>
      </c>
      <c r="W962" s="87">
        <f>ROUNDUP(商品マスタ[[#This Row],[仕入単価+国内送料]]/0.85,-1)</f>
        <v>0</v>
      </c>
      <c r="X962" s="134">
        <f>商品マスタ[[#This Row],[国内定価
（15％）]]-商品マスタ[[#This Row],[仕入単価+国内送料]]</f>
        <v>0</v>
      </c>
      <c r="Y962" s="139"/>
      <c r="Z962" s="87"/>
      <c r="AA962" s="87"/>
      <c r="AB962" s="87"/>
      <c r="AC962" s="140"/>
      <c r="AD962" s="87"/>
      <c r="AE962" s="87"/>
      <c r="AF962" s="158"/>
      <c r="AG962" s="141"/>
    </row>
    <row r="963" spans="1:33" ht="18">
      <c r="A963" s="166"/>
      <c r="B963" s="167"/>
      <c r="C963" s="167"/>
      <c r="D963" s="143" t="str">
        <f>"PRD_SNJ_"&amp;
_xlfn.XLOOKUP(商品マスタ[[#This Row],[仕入先]],テーブル1[仕入先名],テーブル1[仕入先コード],"XXX",0,1)&amp;
"_"&amp;
商品マスタ[[#This Row],[シリアル]]&amp;
"_"&amp;
TEXT(COUNTIFS(商品マスタ!$C$3:C963,商品マスタ[[#This Row],[仕入先]],商品マスタ!$E$3:E963,商品マスタ[[#This Row],[商品名]]), "00")</f>
        <v>PRD_SNJ__0000_00</v>
      </c>
      <c r="E963" s="87"/>
      <c r="F963" s="87">
        <f>IF(COUNTIFS($C$3:C963,商品マスタ[[#This Row],[仕入先]],$E$3:E963,商品マスタ[[#This Row],[商品名]]) = 1, 1,0)</f>
        <v>0</v>
      </c>
      <c r="G963" s="133" t="str">
        <f>TEXT(SUMIF($C$3:C963,商品マスタ[[#This Row],[仕入先]],$F$3:F963), "0000")</f>
        <v>0000</v>
      </c>
      <c r="H963" s="87"/>
      <c r="I963" s="87"/>
      <c r="J963" s="87"/>
      <c r="K963" s="87"/>
      <c r="L963" s="134"/>
      <c r="M963" s="157"/>
      <c r="N963" s="134"/>
      <c r="O963" s="135" t="str">
        <f>IF(COUNT(商品マスタ[[#This Row],[参考上代
（税込)]]) &gt; 0, (商品マスタ[[#This Row],[参考上代
（税込)]]-商品マスタ[[#This Row],[国内定価
（15％）]])/(商品マスタ[[#This Row],[参考上代
（税込)]]/1.08), "")</f>
        <v/>
      </c>
      <c r="P963" s="136">
        <v>0.1</v>
      </c>
      <c r="Q963" s="134">
        <f>商品マスタ[[#This Row],[仕入
単価]]*商品マスタ[[#This Row],[標準国内送料率]]</f>
        <v>0</v>
      </c>
      <c r="R963" s="134"/>
      <c r="S963" s="134">
        <f>IF(ISBLANK(商品マスタ[[#This Row],[実績
国内送料]]),商品マスタ[[#This Row],[標準国内送料]],)</f>
        <v>0</v>
      </c>
      <c r="T963" s="134">
        <f>商品マスタ[[#This Row],[仕入
単価]]+商品マスタ[[#This Row],[国内送料]]</f>
        <v>0</v>
      </c>
      <c r="U963" s="134">
        <f>ROUNDUP(商品マスタ[[#This Row],[仕入単価+国内送料]]/0.8,-1)</f>
        <v>0</v>
      </c>
      <c r="V963" s="134">
        <f>商品マスタ[[#This Row],[海外定価
（20％）]]-商品マスタ[[#This Row],[仕入単価+国内送料]]</f>
        <v>0</v>
      </c>
      <c r="W963" s="87">
        <f>ROUNDUP(商品マスタ[[#This Row],[仕入単価+国内送料]]/0.85,-1)</f>
        <v>0</v>
      </c>
      <c r="X963" s="134">
        <f>商品マスタ[[#This Row],[国内定価
（15％）]]-商品マスタ[[#This Row],[仕入単価+国内送料]]</f>
        <v>0</v>
      </c>
      <c r="Y963" s="139"/>
      <c r="Z963" s="87"/>
      <c r="AA963" s="87"/>
      <c r="AB963" s="87"/>
      <c r="AC963" s="140"/>
      <c r="AD963" s="87"/>
      <c r="AE963" s="87"/>
      <c r="AF963" s="158"/>
      <c r="AG963" s="141"/>
    </row>
    <row r="964" spans="1:33" ht="18">
      <c r="A964" s="166"/>
      <c r="B964" s="167"/>
      <c r="C964" s="167"/>
      <c r="D964" s="143" t="str">
        <f>"PRD_SNJ_"&amp;
_xlfn.XLOOKUP(商品マスタ[[#This Row],[仕入先]],テーブル1[仕入先名],テーブル1[仕入先コード],"XXX",0,1)&amp;
"_"&amp;
商品マスタ[[#This Row],[シリアル]]&amp;
"_"&amp;
TEXT(COUNTIFS(商品マスタ!$C$3:C964,商品マスタ[[#This Row],[仕入先]],商品マスタ!$E$3:E964,商品マスタ[[#This Row],[商品名]]), "00")</f>
        <v>PRD_SNJ__0000_00</v>
      </c>
      <c r="E964" s="87"/>
      <c r="F964" s="87">
        <f>IF(COUNTIFS($C$3:C964,商品マスタ[[#This Row],[仕入先]],$E$3:E964,商品マスタ[[#This Row],[商品名]]) = 1, 1,0)</f>
        <v>0</v>
      </c>
      <c r="G964" s="133" t="str">
        <f>TEXT(SUMIF($C$3:C964,商品マスタ[[#This Row],[仕入先]],$F$3:F964), "0000")</f>
        <v>0000</v>
      </c>
      <c r="H964" s="87"/>
      <c r="I964" s="87"/>
      <c r="J964" s="87"/>
      <c r="K964" s="87"/>
      <c r="L964" s="134"/>
      <c r="M964" s="157"/>
      <c r="N964" s="134"/>
      <c r="O964" s="135" t="str">
        <f>IF(COUNT(商品マスタ[[#This Row],[参考上代
（税込)]]) &gt; 0, (商品マスタ[[#This Row],[参考上代
（税込)]]-商品マスタ[[#This Row],[国内定価
（15％）]])/(商品マスタ[[#This Row],[参考上代
（税込)]]/1.08), "")</f>
        <v/>
      </c>
      <c r="P964" s="136">
        <v>0.1</v>
      </c>
      <c r="Q964" s="134">
        <f>商品マスタ[[#This Row],[仕入
単価]]*商品マスタ[[#This Row],[標準国内送料率]]</f>
        <v>0</v>
      </c>
      <c r="R964" s="134"/>
      <c r="S964" s="134">
        <f>IF(ISBLANK(商品マスタ[[#This Row],[実績
国内送料]]),商品マスタ[[#This Row],[標準国内送料]],)</f>
        <v>0</v>
      </c>
      <c r="T964" s="134">
        <f>商品マスタ[[#This Row],[仕入
単価]]+商品マスタ[[#This Row],[国内送料]]</f>
        <v>0</v>
      </c>
      <c r="U964" s="134">
        <f>ROUNDUP(商品マスタ[[#This Row],[仕入単価+国内送料]]/0.8,-1)</f>
        <v>0</v>
      </c>
      <c r="V964" s="134">
        <f>商品マスタ[[#This Row],[海外定価
（20％）]]-商品マスタ[[#This Row],[仕入単価+国内送料]]</f>
        <v>0</v>
      </c>
      <c r="W964" s="87">
        <f>ROUNDUP(商品マスタ[[#This Row],[仕入単価+国内送料]]/0.85,-1)</f>
        <v>0</v>
      </c>
      <c r="X964" s="134">
        <f>商品マスタ[[#This Row],[国内定価
（15％）]]-商品マスタ[[#This Row],[仕入単価+国内送料]]</f>
        <v>0</v>
      </c>
      <c r="Y964" s="139"/>
      <c r="Z964" s="87"/>
      <c r="AA964" s="87"/>
      <c r="AB964" s="87"/>
      <c r="AC964" s="140"/>
      <c r="AD964" s="87"/>
      <c r="AE964" s="87"/>
      <c r="AF964" s="158"/>
      <c r="AG964" s="141"/>
    </row>
    <row r="965" spans="1:33" ht="18">
      <c r="A965" s="166"/>
      <c r="B965" s="167"/>
      <c r="C965" s="167"/>
      <c r="D965" s="143" t="str">
        <f>"PRD_SNJ_"&amp;
_xlfn.XLOOKUP(商品マスタ[[#This Row],[仕入先]],テーブル1[仕入先名],テーブル1[仕入先コード],"XXX",0,1)&amp;
"_"&amp;
商品マスタ[[#This Row],[シリアル]]&amp;
"_"&amp;
TEXT(COUNTIFS(商品マスタ!$C$3:C965,商品マスタ[[#This Row],[仕入先]],商品マスタ!$E$3:E965,商品マスタ[[#This Row],[商品名]]), "00")</f>
        <v>PRD_SNJ__0000_00</v>
      </c>
      <c r="E965" s="87"/>
      <c r="F965" s="87">
        <f>IF(COUNTIFS($C$3:C965,商品マスタ[[#This Row],[仕入先]],$E$3:E965,商品マスタ[[#This Row],[商品名]]) = 1, 1,0)</f>
        <v>0</v>
      </c>
      <c r="G965" s="133" t="str">
        <f>TEXT(SUMIF($C$3:C965,商品マスタ[[#This Row],[仕入先]],$F$3:F965), "0000")</f>
        <v>0000</v>
      </c>
      <c r="H965" s="87"/>
      <c r="I965" s="87"/>
      <c r="J965" s="87"/>
      <c r="K965" s="87"/>
      <c r="L965" s="134"/>
      <c r="M965" s="157"/>
      <c r="N965" s="134"/>
      <c r="O965" s="135" t="str">
        <f>IF(COUNT(商品マスタ[[#This Row],[参考上代
（税込)]]) &gt; 0, (商品マスタ[[#This Row],[参考上代
（税込)]]-商品マスタ[[#This Row],[国内定価
（15％）]])/(商品マスタ[[#This Row],[参考上代
（税込)]]/1.08), "")</f>
        <v/>
      </c>
      <c r="P965" s="136">
        <v>0.1</v>
      </c>
      <c r="Q965" s="134">
        <f>商品マスタ[[#This Row],[仕入
単価]]*商品マスタ[[#This Row],[標準国内送料率]]</f>
        <v>0</v>
      </c>
      <c r="R965" s="134"/>
      <c r="S965" s="134">
        <f>IF(ISBLANK(商品マスタ[[#This Row],[実績
国内送料]]),商品マスタ[[#This Row],[標準国内送料]],)</f>
        <v>0</v>
      </c>
      <c r="T965" s="134">
        <f>商品マスタ[[#This Row],[仕入
単価]]+商品マスタ[[#This Row],[国内送料]]</f>
        <v>0</v>
      </c>
      <c r="U965" s="134">
        <f>ROUNDUP(商品マスタ[[#This Row],[仕入単価+国内送料]]/0.8,-1)</f>
        <v>0</v>
      </c>
      <c r="V965" s="134">
        <f>商品マスタ[[#This Row],[海外定価
（20％）]]-商品マスタ[[#This Row],[仕入単価+国内送料]]</f>
        <v>0</v>
      </c>
      <c r="W965" s="87">
        <f>ROUNDUP(商品マスタ[[#This Row],[仕入単価+国内送料]]/0.85,-1)</f>
        <v>0</v>
      </c>
      <c r="X965" s="134">
        <f>商品マスタ[[#This Row],[国内定価
（15％）]]-商品マスタ[[#This Row],[仕入単価+国内送料]]</f>
        <v>0</v>
      </c>
      <c r="Y965" s="139"/>
      <c r="Z965" s="87"/>
      <c r="AA965" s="87"/>
      <c r="AB965" s="87"/>
      <c r="AC965" s="140"/>
      <c r="AD965" s="87"/>
      <c r="AE965" s="87"/>
      <c r="AF965" s="158"/>
      <c r="AG965" s="141"/>
    </row>
    <row r="966" spans="1:33" ht="18">
      <c r="A966" s="166"/>
      <c r="B966" s="167"/>
      <c r="C966" s="167"/>
      <c r="D966" s="143" t="str">
        <f>"PRD_SNJ_"&amp;
_xlfn.XLOOKUP(商品マスタ[[#This Row],[仕入先]],テーブル1[仕入先名],テーブル1[仕入先コード],"XXX",0,1)&amp;
"_"&amp;
商品マスタ[[#This Row],[シリアル]]&amp;
"_"&amp;
TEXT(COUNTIFS(商品マスタ!$C$3:C966,商品マスタ[[#This Row],[仕入先]],商品マスタ!$E$3:E966,商品マスタ[[#This Row],[商品名]]), "00")</f>
        <v>PRD_SNJ__0000_00</v>
      </c>
      <c r="E966" s="87"/>
      <c r="F966" s="87">
        <f>IF(COUNTIFS($C$3:C966,商品マスタ[[#This Row],[仕入先]],$E$3:E966,商品マスタ[[#This Row],[商品名]]) = 1, 1,0)</f>
        <v>0</v>
      </c>
      <c r="G966" s="133" t="str">
        <f>TEXT(SUMIF($C$3:C966,商品マスタ[[#This Row],[仕入先]],$F$3:F966), "0000")</f>
        <v>0000</v>
      </c>
      <c r="H966" s="87"/>
      <c r="I966" s="87"/>
      <c r="J966" s="87"/>
      <c r="K966" s="87"/>
      <c r="L966" s="134"/>
      <c r="M966" s="157"/>
      <c r="N966" s="134"/>
      <c r="O966" s="135" t="str">
        <f>IF(COUNT(商品マスタ[[#This Row],[参考上代
（税込)]]) &gt; 0, (商品マスタ[[#This Row],[参考上代
（税込)]]-商品マスタ[[#This Row],[国内定価
（15％）]])/(商品マスタ[[#This Row],[参考上代
（税込)]]/1.08), "")</f>
        <v/>
      </c>
      <c r="P966" s="136">
        <v>0.1</v>
      </c>
      <c r="Q966" s="134">
        <f>商品マスタ[[#This Row],[仕入
単価]]*商品マスタ[[#This Row],[標準国内送料率]]</f>
        <v>0</v>
      </c>
      <c r="R966" s="134"/>
      <c r="S966" s="134">
        <f>IF(ISBLANK(商品マスタ[[#This Row],[実績
国内送料]]),商品マスタ[[#This Row],[標準国内送料]],)</f>
        <v>0</v>
      </c>
      <c r="T966" s="134">
        <f>商品マスタ[[#This Row],[仕入
単価]]+商品マスタ[[#This Row],[国内送料]]</f>
        <v>0</v>
      </c>
      <c r="U966" s="134">
        <f>ROUNDUP(商品マスタ[[#This Row],[仕入単価+国内送料]]/0.8,-1)</f>
        <v>0</v>
      </c>
      <c r="V966" s="134">
        <f>商品マスタ[[#This Row],[海外定価
（20％）]]-商品マスタ[[#This Row],[仕入単価+国内送料]]</f>
        <v>0</v>
      </c>
      <c r="W966" s="87">
        <f>ROUNDUP(商品マスタ[[#This Row],[仕入単価+国内送料]]/0.85,-1)</f>
        <v>0</v>
      </c>
      <c r="X966" s="134">
        <f>商品マスタ[[#This Row],[国内定価
（15％）]]-商品マスタ[[#This Row],[仕入単価+国内送料]]</f>
        <v>0</v>
      </c>
      <c r="Y966" s="139"/>
      <c r="Z966" s="87"/>
      <c r="AA966" s="87"/>
      <c r="AB966" s="87"/>
      <c r="AC966" s="140"/>
      <c r="AD966" s="87"/>
      <c r="AE966" s="87"/>
      <c r="AF966" s="158"/>
      <c r="AG966" s="141"/>
    </row>
    <row r="967" spans="1:33" ht="18">
      <c r="A967" s="166"/>
      <c r="B967" s="167"/>
      <c r="C967" s="167"/>
      <c r="D967" s="143" t="str">
        <f>"PRD_SNJ_"&amp;
_xlfn.XLOOKUP(商品マスタ[[#This Row],[仕入先]],テーブル1[仕入先名],テーブル1[仕入先コード],"XXX",0,1)&amp;
"_"&amp;
商品マスタ[[#This Row],[シリアル]]&amp;
"_"&amp;
TEXT(COUNTIFS(商品マスタ!$C$3:C967,商品マスタ[[#This Row],[仕入先]],商品マスタ!$E$3:E967,商品マスタ[[#This Row],[商品名]]), "00")</f>
        <v>PRD_SNJ__0000_00</v>
      </c>
      <c r="E967" s="87"/>
      <c r="F967" s="87">
        <f>IF(COUNTIFS($C$3:C967,商品マスタ[[#This Row],[仕入先]],$E$3:E967,商品マスタ[[#This Row],[商品名]]) = 1, 1,0)</f>
        <v>0</v>
      </c>
      <c r="G967" s="133" t="str">
        <f>TEXT(SUMIF($C$3:C967,商品マスタ[[#This Row],[仕入先]],$F$3:F967), "0000")</f>
        <v>0000</v>
      </c>
      <c r="H967" s="87"/>
      <c r="I967" s="87"/>
      <c r="J967" s="87"/>
      <c r="K967" s="87"/>
      <c r="L967" s="134"/>
      <c r="M967" s="157"/>
      <c r="N967" s="134"/>
      <c r="O967" s="135" t="str">
        <f>IF(COUNT(商品マスタ[[#This Row],[参考上代
（税込)]]) &gt; 0, (商品マスタ[[#This Row],[参考上代
（税込)]]-商品マスタ[[#This Row],[国内定価
（15％）]])/(商品マスタ[[#This Row],[参考上代
（税込)]]/1.08), "")</f>
        <v/>
      </c>
      <c r="P967" s="136">
        <v>0.1</v>
      </c>
      <c r="Q967" s="134">
        <f>商品マスタ[[#This Row],[仕入
単価]]*商品マスタ[[#This Row],[標準国内送料率]]</f>
        <v>0</v>
      </c>
      <c r="R967" s="134"/>
      <c r="S967" s="134">
        <f>IF(ISBLANK(商品マスタ[[#This Row],[実績
国内送料]]),商品マスタ[[#This Row],[標準国内送料]],)</f>
        <v>0</v>
      </c>
      <c r="T967" s="134">
        <f>商品マスタ[[#This Row],[仕入
単価]]+商品マスタ[[#This Row],[国内送料]]</f>
        <v>0</v>
      </c>
      <c r="U967" s="134">
        <f>ROUNDUP(商品マスタ[[#This Row],[仕入単価+国内送料]]/0.8,-1)</f>
        <v>0</v>
      </c>
      <c r="V967" s="134">
        <f>商品マスタ[[#This Row],[海外定価
（20％）]]-商品マスタ[[#This Row],[仕入単価+国内送料]]</f>
        <v>0</v>
      </c>
      <c r="W967" s="87">
        <f>ROUNDUP(商品マスタ[[#This Row],[仕入単価+国内送料]]/0.85,-1)</f>
        <v>0</v>
      </c>
      <c r="X967" s="134">
        <f>商品マスタ[[#This Row],[国内定価
（15％）]]-商品マスタ[[#This Row],[仕入単価+国内送料]]</f>
        <v>0</v>
      </c>
      <c r="Y967" s="139"/>
      <c r="Z967" s="87"/>
      <c r="AA967" s="87"/>
      <c r="AB967" s="87"/>
      <c r="AC967" s="140"/>
      <c r="AD967" s="87"/>
      <c r="AE967" s="87"/>
      <c r="AF967" s="158"/>
      <c r="AG967" s="141"/>
    </row>
    <row r="968" spans="1:33" ht="18">
      <c r="A968" s="166"/>
      <c r="B968" s="167"/>
      <c r="C968" s="167"/>
      <c r="D968" s="143" t="str">
        <f>"PRD_SNJ_"&amp;
_xlfn.XLOOKUP(商品マスタ[[#This Row],[仕入先]],テーブル1[仕入先名],テーブル1[仕入先コード],"XXX",0,1)&amp;
"_"&amp;
商品マスタ[[#This Row],[シリアル]]&amp;
"_"&amp;
TEXT(COUNTIFS(商品マスタ!$C$3:C968,商品マスタ[[#This Row],[仕入先]],商品マスタ!$E$3:E968,商品マスタ[[#This Row],[商品名]]), "00")</f>
        <v>PRD_SNJ__0000_00</v>
      </c>
      <c r="E968" s="87"/>
      <c r="F968" s="87">
        <f>IF(COUNTIFS($C$3:C968,商品マスタ[[#This Row],[仕入先]],$E$3:E968,商品マスタ[[#This Row],[商品名]]) = 1, 1,0)</f>
        <v>0</v>
      </c>
      <c r="G968" s="133" t="str">
        <f>TEXT(SUMIF($C$3:C968,商品マスタ[[#This Row],[仕入先]],$F$3:F968), "0000")</f>
        <v>0000</v>
      </c>
      <c r="H968" s="87"/>
      <c r="I968" s="87"/>
      <c r="J968" s="87"/>
      <c r="K968" s="87"/>
      <c r="L968" s="134"/>
      <c r="M968" s="157"/>
      <c r="N968" s="134"/>
      <c r="O968" s="135" t="str">
        <f>IF(COUNT(商品マスタ[[#This Row],[参考上代
（税込)]]) &gt; 0, (商品マスタ[[#This Row],[参考上代
（税込)]]-商品マスタ[[#This Row],[国内定価
（15％）]])/(商品マスタ[[#This Row],[参考上代
（税込)]]/1.08), "")</f>
        <v/>
      </c>
      <c r="P968" s="136">
        <v>0.1</v>
      </c>
      <c r="Q968" s="134">
        <f>商品マスタ[[#This Row],[仕入
単価]]*商品マスタ[[#This Row],[標準国内送料率]]</f>
        <v>0</v>
      </c>
      <c r="R968" s="134"/>
      <c r="S968" s="134">
        <f>IF(ISBLANK(商品マスタ[[#This Row],[実績
国内送料]]),商品マスタ[[#This Row],[標準国内送料]],)</f>
        <v>0</v>
      </c>
      <c r="T968" s="134">
        <f>商品マスタ[[#This Row],[仕入
単価]]+商品マスタ[[#This Row],[国内送料]]</f>
        <v>0</v>
      </c>
      <c r="U968" s="134">
        <f>ROUNDUP(商品マスタ[[#This Row],[仕入単価+国内送料]]/0.8,-1)</f>
        <v>0</v>
      </c>
      <c r="V968" s="134">
        <f>商品マスタ[[#This Row],[海外定価
（20％）]]-商品マスタ[[#This Row],[仕入単価+国内送料]]</f>
        <v>0</v>
      </c>
      <c r="W968" s="87">
        <f>ROUNDUP(商品マスタ[[#This Row],[仕入単価+国内送料]]/0.85,-1)</f>
        <v>0</v>
      </c>
      <c r="X968" s="134">
        <f>商品マスタ[[#This Row],[国内定価
（15％）]]-商品マスタ[[#This Row],[仕入単価+国内送料]]</f>
        <v>0</v>
      </c>
      <c r="Y968" s="139"/>
      <c r="Z968" s="87"/>
      <c r="AA968" s="87"/>
      <c r="AB968" s="87"/>
      <c r="AC968" s="140"/>
      <c r="AD968" s="87"/>
      <c r="AE968" s="87"/>
      <c r="AF968" s="158"/>
      <c r="AG968" s="141"/>
    </row>
    <row r="969" spans="1:33" ht="18">
      <c r="A969" s="166"/>
      <c r="B969" s="167"/>
      <c r="C969" s="167"/>
      <c r="D969" s="143" t="str">
        <f>"PRD_SNJ_"&amp;
_xlfn.XLOOKUP(商品マスタ[[#This Row],[仕入先]],テーブル1[仕入先名],テーブル1[仕入先コード],"XXX",0,1)&amp;
"_"&amp;
商品マスタ[[#This Row],[シリアル]]&amp;
"_"&amp;
TEXT(COUNTIFS(商品マスタ!$C$3:C969,商品マスタ[[#This Row],[仕入先]],商品マスタ!$E$3:E969,商品マスタ[[#This Row],[商品名]]), "00")</f>
        <v>PRD_SNJ__0000_00</v>
      </c>
      <c r="E969" s="87"/>
      <c r="F969" s="87">
        <f>IF(COUNTIFS($C$3:C969,商品マスタ[[#This Row],[仕入先]],$E$3:E969,商品マスタ[[#This Row],[商品名]]) = 1, 1,0)</f>
        <v>0</v>
      </c>
      <c r="G969" s="133" t="str">
        <f>TEXT(SUMIF($C$3:C969,商品マスタ[[#This Row],[仕入先]],$F$3:F969), "0000")</f>
        <v>0000</v>
      </c>
      <c r="H969" s="87"/>
      <c r="I969" s="87"/>
      <c r="J969" s="87"/>
      <c r="K969" s="87"/>
      <c r="L969" s="134"/>
      <c r="M969" s="157"/>
      <c r="N969" s="134"/>
      <c r="O969" s="135" t="str">
        <f>IF(COUNT(商品マスタ[[#This Row],[参考上代
（税込)]]) &gt; 0, (商品マスタ[[#This Row],[参考上代
（税込)]]-商品マスタ[[#This Row],[国内定価
（15％）]])/(商品マスタ[[#This Row],[参考上代
（税込)]]/1.08), "")</f>
        <v/>
      </c>
      <c r="P969" s="136">
        <v>0.1</v>
      </c>
      <c r="Q969" s="134">
        <f>商品マスタ[[#This Row],[仕入
単価]]*商品マスタ[[#This Row],[標準国内送料率]]</f>
        <v>0</v>
      </c>
      <c r="R969" s="134"/>
      <c r="S969" s="134">
        <f>IF(ISBLANK(商品マスタ[[#This Row],[実績
国内送料]]),商品マスタ[[#This Row],[標準国内送料]],)</f>
        <v>0</v>
      </c>
      <c r="T969" s="134">
        <f>商品マスタ[[#This Row],[仕入
単価]]+商品マスタ[[#This Row],[国内送料]]</f>
        <v>0</v>
      </c>
      <c r="U969" s="134">
        <f>ROUNDUP(商品マスタ[[#This Row],[仕入単価+国内送料]]/0.8,-1)</f>
        <v>0</v>
      </c>
      <c r="V969" s="134">
        <f>商品マスタ[[#This Row],[海外定価
（20％）]]-商品マスタ[[#This Row],[仕入単価+国内送料]]</f>
        <v>0</v>
      </c>
      <c r="W969" s="87">
        <f>ROUNDUP(商品マスタ[[#This Row],[仕入単価+国内送料]]/0.85,-1)</f>
        <v>0</v>
      </c>
      <c r="X969" s="134">
        <f>商品マスタ[[#This Row],[国内定価
（15％）]]-商品マスタ[[#This Row],[仕入単価+国内送料]]</f>
        <v>0</v>
      </c>
      <c r="Y969" s="139"/>
      <c r="Z969" s="87"/>
      <c r="AA969" s="87"/>
      <c r="AB969" s="87"/>
      <c r="AC969" s="140"/>
      <c r="AD969" s="87"/>
      <c r="AE969" s="87"/>
      <c r="AF969" s="158"/>
      <c r="AG969" s="141"/>
    </row>
    <row r="970" spans="1:33" ht="18">
      <c r="A970" s="166"/>
      <c r="B970" s="167"/>
      <c r="C970" s="167"/>
      <c r="D970" s="143" t="str">
        <f>"PRD_SNJ_"&amp;
_xlfn.XLOOKUP(商品マスタ[[#This Row],[仕入先]],テーブル1[仕入先名],テーブル1[仕入先コード],"XXX",0,1)&amp;
"_"&amp;
商品マスタ[[#This Row],[シリアル]]&amp;
"_"&amp;
TEXT(COUNTIFS(商品マスタ!$C$3:C970,商品マスタ[[#This Row],[仕入先]],商品マスタ!$E$3:E970,商品マスタ[[#This Row],[商品名]]), "00")</f>
        <v>PRD_SNJ__0000_00</v>
      </c>
      <c r="E970" s="87"/>
      <c r="F970" s="87">
        <f>IF(COUNTIFS($C$3:C970,商品マスタ[[#This Row],[仕入先]],$E$3:E970,商品マスタ[[#This Row],[商品名]]) = 1, 1,0)</f>
        <v>0</v>
      </c>
      <c r="G970" s="133" t="str">
        <f>TEXT(SUMIF($C$3:C970,商品マスタ[[#This Row],[仕入先]],$F$3:F970), "0000")</f>
        <v>0000</v>
      </c>
      <c r="H970" s="87"/>
      <c r="I970" s="87"/>
      <c r="J970" s="87"/>
      <c r="K970" s="87"/>
      <c r="L970" s="134"/>
      <c r="M970" s="157"/>
      <c r="N970" s="134"/>
      <c r="O970" s="135" t="str">
        <f>IF(COUNT(商品マスタ[[#This Row],[参考上代
（税込)]]) &gt; 0, (商品マスタ[[#This Row],[参考上代
（税込)]]-商品マスタ[[#This Row],[国内定価
（15％）]])/(商品マスタ[[#This Row],[参考上代
（税込)]]/1.08), "")</f>
        <v/>
      </c>
      <c r="P970" s="136">
        <v>0.1</v>
      </c>
      <c r="Q970" s="134">
        <f>商品マスタ[[#This Row],[仕入
単価]]*商品マスタ[[#This Row],[標準国内送料率]]</f>
        <v>0</v>
      </c>
      <c r="R970" s="134"/>
      <c r="S970" s="134">
        <f>IF(ISBLANK(商品マスタ[[#This Row],[実績
国内送料]]),商品マスタ[[#This Row],[標準国内送料]],)</f>
        <v>0</v>
      </c>
      <c r="T970" s="134">
        <f>商品マスタ[[#This Row],[仕入
単価]]+商品マスタ[[#This Row],[国内送料]]</f>
        <v>0</v>
      </c>
      <c r="U970" s="134">
        <f>ROUNDUP(商品マスタ[[#This Row],[仕入単価+国内送料]]/0.8,-1)</f>
        <v>0</v>
      </c>
      <c r="V970" s="134">
        <f>商品マスタ[[#This Row],[海外定価
（20％）]]-商品マスタ[[#This Row],[仕入単価+国内送料]]</f>
        <v>0</v>
      </c>
      <c r="W970" s="87">
        <f>ROUNDUP(商品マスタ[[#This Row],[仕入単価+国内送料]]/0.85,-1)</f>
        <v>0</v>
      </c>
      <c r="X970" s="134">
        <f>商品マスタ[[#This Row],[国内定価
（15％）]]-商品マスタ[[#This Row],[仕入単価+国内送料]]</f>
        <v>0</v>
      </c>
      <c r="Y970" s="139"/>
      <c r="Z970" s="87"/>
      <c r="AA970" s="87"/>
      <c r="AB970" s="87"/>
      <c r="AC970" s="140"/>
      <c r="AD970" s="87"/>
      <c r="AE970" s="87"/>
      <c r="AF970" s="158"/>
      <c r="AG970" s="141"/>
    </row>
    <row r="971" spans="1:33" ht="18">
      <c r="A971" s="166"/>
      <c r="B971" s="167"/>
      <c r="C971" s="167"/>
      <c r="D971" s="143" t="str">
        <f>"PRD_SNJ_"&amp;
_xlfn.XLOOKUP(商品マスタ[[#This Row],[仕入先]],テーブル1[仕入先名],テーブル1[仕入先コード],"XXX",0,1)&amp;
"_"&amp;
商品マスタ[[#This Row],[シリアル]]&amp;
"_"&amp;
TEXT(COUNTIFS(商品マスタ!$C$3:C971,商品マスタ[[#This Row],[仕入先]],商品マスタ!$E$3:E971,商品マスタ[[#This Row],[商品名]]), "00")</f>
        <v>PRD_SNJ__0000_00</v>
      </c>
      <c r="E971" s="87"/>
      <c r="F971" s="87">
        <f>IF(COUNTIFS($C$3:C971,商品マスタ[[#This Row],[仕入先]],$E$3:E971,商品マスタ[[#This Row],[商品名]]) = 1, 1,0)</f>
        <v>0</v>
      </c>
      <c r="G971" s="133" t="str">
        <f>TEXT(SUMIF($C$3:C971,商品マスタ[[#This Row],[仕入先]],$F$3:F971), "0000")</f>
        <v>0000</v>
      </c>
      <c r="H971" s="87"/>
      <c r="I971" s="87"/>
      <c r="J971" s="87"/>
      <c r="K971" s="87"/>
      <c r="L971" s="134"/>
      <c r="M971" s="157"/>
      <c r="N971" s="134"/>
      <c r="O971" s="135" t="str">
        <f>IF(COUNT(商品マスタ[[#This Row],[参考上代
（税込)]]) &gt; 0, (商品マスタ[[#This Row],[参考上代
（税込)]]-商品マスタ[[#This Row],[国内定価
（15％）]])/(商品マスタ[[#This Row],[参考上代
（税込)]]/1.08), "")</f>
        <v/>
      </c>
      <c r="P971" s="136">
        <v>0.1</v>
      </c>
      <c r="Q971" s="134">
        <f>商品マスタ[[#This Row],[仕入
単価]]*商品マスタ[[#This Row],[標準国内送料率]]</f>
        <v>0</v>
      </c>
      <c r="R971" s="134"/>
      <c r="S971" s="134">
        <f>IF(ISBLANK(商品マスタ[[#This Row],[実績
国内送料]]),商品マスタ[[#This Row],[標準国内送料]],)</f>
        <v>0</v>
      </c>
      <c r="T971" s="134">
        <f>商品マスタ[[#This Row],[仕入
単価]]+商品マスタ[[#This Row],[国内送料]]</f>
        <v>0</v>
      </c>
      <c r="U971" s="134">
        <f>ROUNDUP(商品マスタ[[#This Row],[仕入単価+国内送料]]/0.8,-1)</f>
        <v>0</v>
      </c>
      <c r="V971" s="134">
        <f>商品マスタ[[#This Row],[海外定価
（20％）]]-商品マスタ[[#This Row],[仕入単価+国内送料]]</f>
        <v>0</v>
      </c>
      <c r="W971" s="87">
        <f>ROUNDUP(商品マスタ[[#This Row],[仕入単価+国内送料]]/0.85,-1)</f>
        <v>0</v>
      </c>
      <c r="X971" s="134">
        <f>商品マスタ[[#This Row],[国内定価
（15％）]]-商品マスタ[[#This Row],[仕入単価+国内送料]]</f>
        <v>0</v>
      </c>
      <c r="Y971" s="139"/>
      <c r="Z971" s="87"/>
      <c r="AA971" s="87"/>
      <c r="AB971" s="87"/>
      <c r="AC971" s="140"/>
      <c r="AD971" s="87"/>
      <c r="AE971" s="87"/>
      <c r="AF971" s="158"/>
      <c r="AG971" s="141"/>
    </row>
    <row r="972" spans="1:33" ht="18">
      <c r="A972" s="166"/>
      <c r="B972" s="167"/>
      <c r="C972" s="167"/>
      <c r="D972" s="143" t="str">
        <f>"PRD_SNJ_"&amp;
_xlfn.XLOOKUP(商品マスタ[[#This Row],[仕入先]],テーブル1[仕入先名],テーブル1[仕入先コード],"XXX",0,1)&amp;
"_"&amp;
商品マスタ[[#This Row],[シリアル]]&amp;
"_"&amp;
TEXT(COUNTIFS(商品マスタ!$C$3:C972,商品マスタ[[#This Row],[仕入先]],商品マスタ!$E$3:E972,商品マスタ[[#This Row],[商品名]]), "00")</f>
        <v>PRD_SNJ__0000_00</v>
      </c>
      <c r="E972" s="87"/>
      <c r="F972" s="87">
        <f>IF(COUNTIFS($C$3:C972,商品マスタ[[#This Row],[仕入先]],$E$3:E972,商品マスタ[[#This Row],[商品名]]) = 1, 1,0)</f>
        <v>0</v>
      </c>
      <c r="G972" s="133" t="str">
        <f>TEXT(SUMIF($C$3:C972,商品マスタ[[#This Row],[仕入先]],$F$3:F972), "0000")</f>
        <v>0000</v>
      </c>
      <c r="H972" s="87"/>
      <c r="I972" s="87"/>
      <c r="J972" s="87"/>
      <c r="K972" s="87"/>
      <c r="L972" s="134"/>
      <c r="M972" s="157"/>
      <c r="N972" s="134"/>
      <c r="O972" s="135" t="str">
        <f>IF(COUNT(商品マスタ[[#This Row],[参考上代
（税込)]]) &gt; 0, (商品マスタ[[#This Row],[参考上代
（税込)]]-商品マスタ[[#This Row],[国内定価
（15％）]])/(商品マスタ[[#This Row],[参考上代
（税込)]]/1.08), "")</f>
        <v/>
      </c>
      <c r="P972" s="136">
        <v>0.1</v>
      </c>
      <c r="Q972" s="134">
        <f>商品マスタ[[#This Row],[仕入
単価]]*商品マスタ[[#This Row],[標準国内送料率]]</f>
        <v>0</v>
      </c>
      <c r="R972" s="134"/>
      <c r="S972" s="134">
        <f>IF(ISBLANK(商品マスタ[[#This Row],[実績
国内送料]]),商品マスタ[[#This Row],[標準国内送料]],)</f>
        <v>0</v>
      </c>
      <c r="T972" s="134">
        <f>商品マスタ[[#This Row],[仕入
単価]]+商品マスタ[[#This Row],[国内送料]]</f>
        <v>0</v>
      </c>
      <c r="U972" s="134">
        <f>ROUNDUP(商品マスタ[[#This Row],[仕入単価+国内送料]]/0.8,-1)</f>
        <v>0</v>
      </c>
      <c r="V972" s="134">
        <f>商品マスタ[[#This Row],[海外定価
（20％）]]-商品マスタ[[#This Row],[仕入単価+国内送料]]</f>
        <v>0</v>
      </c>
      <c r="W972" s="87">
        <f>ROUNDUP(商品マスタ[[#This Row],[仕入単価+国内送料]]/0.85,-1)</f>
        <v>0</v>
      </c>
      <c r="X972" s="134">
        <f>商品マスタ[[#This Row],[国内定価
（15％）]]-商品マスタ[[#This Row],[仕入単価+国内送料]]</f>
        <v>0</v>
      </c>
      <c r="Y972" s="139"/>
      <c r="Z972" s="87"/>
      <c r="AA972" s="87"/>
      <c r="AB972" s="87"/>
      <c r="AC972" s="140"/>
      <c r="AD972" s="87"/>
      <c r="AE972" s="87"/>
      <c r="AF972" s="158"/>
      <c r="AG972" s="141"/>
    </row>
    <row r="973" spans="1:33" ht="18">
      <c r="A973" s="166"/>
      <c r="B973" s="167"/>
      <c r="C973" s="167"/>
      <c r="D973" s="143" t="str">
        <f>"PRD_SNJ_"&amp;
_xlfn.XLOOKUP(商品マスタ[[#This Row],[仕入先]],テーブル1[仕入先名],テーブル1[仕入先コード],"XXX",0,1)&amp;
"_"&amp;
商品マスタ[[#This Row],[シリアル]]&amp;
"_"&amp;
TEXT(COUNTIFS(商品マスタ!$C$3:C973,商品マスタ[[#This Row],[仕入先]],商品マスタ!$E$3:E973,商品マスタ[[#This Row],[商品名]]), "00")</f>
        <v>PRD_SNJ__0000_00</v>
      </c>
      <c r="E973" s="87"/>
      <c r="F973" s="87">
        <f>IF(COUNTIFS($C$3:C973,商品マスタ[[#This Row],[仕入先]],$E$3:E973,商品マスタ[[#This Row],[商品名]]) = 1, 1,0)</f>
        <v>0</v>
      </c>
      <c r="G973" s="133" t="str">
        <f>TEXT(SUMIF($C$3:C973,商品マスタ[[#This Row],[仕入先]],$F$3:F973), "0000")</f>
        <v>0000</v>
      </c>
      <c r="H973" s="87"/>
      <c r="I973" s="87"/>
      <c r="J973" s="87"/>
      <c r="K973" s="87"/>
      <c r="L973" s="134"/>
      <c r="M973" s="157"/>
      <c r="N973" s="134"/>
      <c r="O973" s="135" t="str">
        <f>IF(COUNT(商品マスタ[[#This Row],[参考上代
（税込)]]) &gt; 0, (商品マスタ[[#This Row],[参考上代
（税込)]]-商品マスタ[[#This Row],[国内定価
（15％）]])/(商品マスタ[[#This Row],[参考上代
（税込)]]/1.08), "")</f>
        <v/>
      </c>
      <c r="P973" s="136">
        <v>0.1</v>
      </c>
      <c r="Q973" s="134">
        <f>商品マスタ[[#This Row],[仕入
単価]]*商品マスタ[[#This Row],[標準国内送料率]]</f>
        <v>0</v>
      </c>
      <c r="R973" s="134"/>
      <c r="S973" s="134">
        <f>IF(ISBLANK(商品マスタ[[#This Row],[実績
国内送料]]),商品マスタ[[#This Row],[標準国内送料]],)</f>
        <v>0</v>
      </c>
      <c r="T973" s="134">
        <f>商品マスタ[[#This Row],[仕入
単価]]+商品マスタ[[#This Row],[国内送料]]</f>
        <v>0</v>
      </c>
      <c r="U973" s="134">
        <f>ROUNDUP(商品マスタ[[#This Row],[仕入単価+国内送料]]/0.8,-1)</f>
        <v>0</v>
      </c>
      <c r="V973" s="134">
        <f>商品マスタ[[#This Row],[海外定価
（20％）]]-商品マスタ[[#This Row],[仕入単価+国内送料]]</f>
        <v>0</v>
      </c>
      <c r="W973" s="87">
        <f>ROUNDUP(商品マスタ[[#This Row],[仕入単価+国内送料]]/0.85,-1)</f>
        <v>0</v>
      </c>
      <c r="X973" s="134">
        <f>商品マスタ[[#This Row],[国内定価
（15％）]]-商品マスタ[[#This Row],[仕入単価+国内送料]]</f>
        <v>0</v>
      </c>
      <c r="Y973" s="139"/>
      <c r="Z973" s="87"/>
      <c r="AA973" s="87"/>
      <c r="AB973" s="87"/>
      <c r="AC973" s="140"/>
      <c r="AD973" s="87"/>
      <c r="AE973" s="87"/>
      <c r="AF973" s="158"/>
      <c r="AG973" s="141"/>
    </row>
    <row r="974" spans="1:33" ht="18">
      <c r="A974" s="166"/>
      <c r="B974" s="167"/>
      <c r="C974" s="167"/>
      <c r="D974" s="143" t="str">
        <f>"PRD_SNJ_"&amp;
_xlfn.XLOOKUP(商品マスタ[[#This Row],[仕入先]],テーブル1[仕入先名],テーブル1[仕入先コード],"XXX",0,1)&amp;
"_"&amp;
商品マスタ[[#This Row],[シリアル]]&amp;
"_"&amp;
TEXT(COUNTIFS(商品マスタ!$C$3:C974,商品マスタ[[#This Row],[仕入先]],商品マスタ!$E$3:E974,商品マスタ[[#This Row],[商品名]]), "00")</f>
        <v>PRD_SNJ__0000_00</v>
      </c>
      <c r="E974" s="87"/>
      <c r="F974" s="87">
        <f>IF(COUNTIFS($C$3:C974,商品マスタ[[#This Row],[仕入先]],$E$3:E974,商品マスタ[[#This Row],[商品名]]) = 1, 1,0)</f>
        <v>0</v>
      </c>
      <c r="G974" s="133" t="str">
        <f>TEXT(SUMIF($C$3:C974,商品マスタ[[#This Row],[仕入先]],$F$3:F974), "0000")</f>
        <v>0000</v>
      </c>
      <c r="H974" s="87"/>
      <c r="I974" s="87"/>
      <c r="J974" s="87"/>
      <c r="K974" s="87"/>
      <c r="L974" s="134"/>
      <c r="M974" s="157"/>
      <c r="N974" s="134"/>
      <c r="O974" s="135" t="str">
        <f>IF(COUNT(商品マスタ[[#This Row],[参考上代
（税込)]]) &gt; 0, (商品マスタ[[#This Row],[参考上代
（税込)]]-商品マスタ[[#This Row],[国内定価
（15％）]])/(商品マスタ[[#This Row],[参考上代
（税込)]]/1.08), "")</f>
        <v/>
      </c>
      <c r="P974" s="136">
        <v>0.1</v>
      </c>
      <c r="Q974" s="134">
        <f>商品マスタ[[#This Row],[仕入
単価]]*商品マスタ[[#This Row],[標準国内送料率]]</f>
        <v>0</v>
      </c>
      <c r="R974" s="134"/>
      <c r="S974" s="134">
        <f>IF(ISBLANK(商品マスタ[[#This Row],[実績
国内送料]]),商品マスタ[[#This Row],[標準国内送料]],)</f>
        <v>0</v>
      </c>
      <c r="T974" s="134">
        <f>商品マスタ[[#This Row],[仕入
単価]]+商品マスタ[[#This Row],[国内送料]]</f>
        <v>0</v>
      </c>
      <c r="U974" s="134">
        <f>ROUNDUP(商品マスタ[[#This Row],[仕入単価+国内送料]]/0.8,-1)</f>
        <v>0</v>
      </c>
      <c r="V974" s="134">
        <f>商品マスタ[[#This Row],[海外定価
（20％）]]-商品マスタ[[#This Row],[仕入単価+国内送料]]</f>
        <v>0</v>
      </c>
      <c r="W974" s="87">
        <f>ROUNDUP(商品マスタ[[#This Row],[仕入単価+国内送料]]/0.85,-1)</f>
        <v>0</v>
      </c>
      <c r="X974" s="134">
        <f>商品マスタ[[#This Row],[国内定価
（15％）]]-商品マスタ[[#This Row],[仕入単価+国内送料]]</f>
        <v>0</v>
      </c>
      <c r="Y974" s="139"/>
      <c r="Z974" s="87"/>
      <c r="AA974" s="87"/>
      <c r="AB974" s="87"/>
      <c r="AC974" s="140"/>
      <c r="AD974" s="87"/>
      <c r="AE974" s="87"/>
      <c r="AF974" s="158"/>
      <c r="AG974" s="141"/>
    </row>
    <row r="975" spans="1:33" ht="18">
      <c r="A975" s="166"/>
      <c r="B975" s="167"/>
      <c r="C975" s="167"/>
      <c r="D975" s="143" t="str">
        <f>"PRD_SNJ_"&amp;
_xlfn.XLOOKUP(商品マスタ[[#This Row],[仕入先]],テーブル1[仕入先名],テーブル1[仕入先コード],"XXX",0,1)&amp;
"_"&amp;
商品マスタ[[#This Row],[シリアル]]&amp;
"_"&amp;
TEXT(COUNTIFS(商品マスタ!$C$3:C975,商品マスタ[[#This Row],[仕入先]],商品マスタ!$E$3:E975,商品マスタ[[#This Row],[商品名]]), "00")</f>
        <v>PRD_SNJ__0000_00</v>
      </c>
      <c r="E975" s="87"/>
      <c r="F975" s="87">
        <f>IF(COUNTIFS($C$3:C975,商品マスタ[[#This Row],[仕入先]],$E$3:E975,商品マスタ[[#This Row],[商品名]]) = 1, 1,0)</f>
        <v>0</v>
      </c>
      <c r="G975" s="133" t="str">
        <f>TEXT(SUMIF($C$3:C975,商品マスタ[[#This Row],[仕入先]],$F$3:F975), "0000")</f>
        <v>0000</v>
      </c>
      <c r="H975" s="87"/>
      <c r="I975" s="87"/>
      <c r="J975" s="87"/>
      <c r="K975" s="87"/>
      <c r="L975" s="134"/>
      <c r="M975" s="157"/>
      <c r="N975" s="134"/>
      <c r="O975" s="135" t="str">
        <f>IF(COUNT(商品マスタ[[#This Row],[参考上代
（税込)]]) &gt; 0, (商品マスタ[[#This Row],[参考上代
（税込)]]-商品マスタ[[#This Row],[国内定価
（15％）]])/(商品マスタ[[#This Row],[参考上代
（税込)]]/1.08), "")</f>
        <v/>
      </c>
      <c r="P975" s="136">
        <v>0.1</v>
      </c>
      <c r="Q975" s="134">
        <f>商品マスタ[[#This Row],[仕入
単価]]*商品マスタ[[#This Row],[標準国内送料率]]</f>
        <v>0</v>
      </c>
      <c r="R975" s="134"/>
      <c r="S975" s="134">
        <f>IF(ISBLANK(商品マスタ[[#This Row],[実績
国内送料]]),商品マスタ[[#This Row],[標準国内送料]],)</f>
        <v>0</v>
      </c>
      <c r="T975" s="134">
        <f>商品マスタ[[#This Row],[仕入
単価]]+商品マスタ[[#This Row],[国内送料]]</f>
        <v>0</v>
      </c>
      <c r="U975" s="134">
        <f>ROUNDUP(商品マスタ[[#This Row],[仕入単価+国内送料]]/0.8,-1)</f>
        <v>0</v>
      </c>
      <c r="V975" s="134">
        <f>商品マスタ[[#This Row],[海外定価
（20％）]]-商品マスタ[[#This Row],[仕入単価+国内送料]]</f>
        <v>0</v>
      </c>
      <c r="W975" s="87">
        <f>ROUNDUP(商品マスタ[[#This Row],[仕入単価+国内送料]]/0.85,-1)</f>
        <v>0</v>
      </c>
      <c r="X975" s="134">
        <f>商品マスタ[[#This Row],[国内定価
（15％）]]-商品マスタ[[#This Row],[仕入単価+国内送料]]</f>
        <v>0</v>
      </c>
      <c r="Y975" s="139"/>
      <c r="Z975" s="87"/>
      <c r="AA975" s="87"/>
      <c r="AB975" s="87"/>
      <c r="AC975" s="140"/>
      <c r="AD975" s="87"/>
      <c r="AE975" s="87"/>
      <c r="AF975" s="158"/>
      <c r="AG975" s="141"/>
    </row>
    <row r="976" spans="1:33" ht="18">
      <c r="A976" s="166"/>
      <c r="B976" s="167"/>
      <c r="C976" s="167"/>
      <c r="D976" s="143" t="str">
        <f>"PRD_SNJ_"&amp;
_xlfn.XLOOKUP(商品マスタ[[#This Row],[仕入先]],テーブル1[仕入先名],テーブル1[仕入先コード],"XXX",0,1)&amp;
"_"&amp;
商品マスタ[[#This Row],[シリアル]]&amp;
"_"&amp;
TEXT(COUNTIFS(商品マスタ!$C$3:C976,商品マスタ[[#This Row],[仕入先]],商品マスタ!$E$3:E976,商品マスタ[[#This Row],[商品名]]), "00")</f>
        <v>PRD_SNJ__0000_00</v>
      </c>
      <c r="E976" s="87"/>
      <c r="F976" s="87">
        <f>IF(COUNTIFS($C$3:C976,商品マスタ[[#This Row],[仕入先]],$E$3:E976,商品マスタ[[#This Row],[商品名]]) = 1, 1,0)</f>
        <v>0</v>
      </c>
      <c r="G976" s="133" t="str">
        <f>TEXT(SUMIF($C$3:C976,商品マスタ[[#This Row],[仕入先]],$F$3:F976), "0000")</f>
        <v>0000</v>
      </c>
      <c r="H976" s="87"/>
      <c r="I976" s="87"/>
      <c r="J976" s="87"/>
      <c r="K976" s="87"/>
      <c r="L976" s="134"/>
      <c r="M976" s="157"/>
      <c r="N976" s="134"/>
      <c r="O976" s="135" t="str">
        <f>IF(COUNT(商品マスタ[[#This Row],[参考上代
（税込)]]) &gt; 0, (商品マスタ[[#This Row],[参考上代
（税込)]]-商品マスタ[[#This Row],[国内定価
（15％）]])/(商品マスタ[[#This Row],[参考上代
（税込)]]/1.08), "")</f>
        <v/>
      </c>
      <c r="P976" s="136">
        <v>0.1</v>
      </c>
      <c r="Q976" s="134">
        <f>商品マスタ[[#This Row],[仕入
単価]]*商品マスタ[[#This Row],[標準国内送料率]]</f>
        <v>0</v>
      </c>
      <c r="R976" s="134"/>
      <c r="S976" s="134">
        <f>IF(ISBLANK(商品マスタ[[#This Row],[実績
国内送料]]),商品マスタ[[#This Row],[標準国内送料]],)</f>
        <v>0</v>
      </c>
      <c r="T976" s="134">
        <f>商品マスタ[[#This Row],[仕入
単価]]+商品マスタ[[#This Row],[国内送料]]</f>
        <v>0</v>
      </c>
      <c r="U976" s="134">
        <f>ROUNDUP(商品マスタ[[#This Row],[仕入単価+国内送料]]/0.8,-1)</f>
        <v>0</v>
      </c>
      <c r="V976" s="134">
        <f>商品マスタ[[#This Row],[海外定価
（20％）]]-商品マスタ[[#This Row],[仕入単価+国内送料]]</f>
        <v>0</v>
      </c>
      <c r="W976" s="87">
        <f>ROUNDUP(商品マスタ[[#This Row],[仕入単価+国内送料]]/0.85,-1)</f>
        <v>0</v>
      </c>
      <c r="X976" s="134">
        <f>商品マスタ[[#This Row],[国内定価
（15％）]]-商品マスタ[[#This Row],[仕入単価+国内送料]]</f>
        <v>0</v>
      </c>
      <c r="Y976" s="139"/>
      <c r="Z976" s="87"/>
      <c r="AA976" s="87"/>
      <c r="AB976" s="87"/>
      <c r="AC976" s="140"/>
      <c r="AD976" s="87"/>
      <c r="AE976" s="87"/>
      <c r="AF976" s="158"/>
      <c r="AG976" s="141"/>
    </row>
    <row r="977" spans="1:33" ht="18">
      <c r="A977" s="166"/>
      <c r="B977" s="167"/>
      <c r="C977" s="167"/>
      <c r="D977" s="143" t="str">
        <f>"PRD_SNJ_"&amp;
_xlfn.XLOOKUP(商品マスタ[[#This Row],[仕入先]],テーブル1[仕入先名],テーブル1[仕入先コード],"XXX",0,1)&amp;
"_"&amp;
商品マスタ[[#This Row],[シリアル]]&amp;
"_"&amp;
TEXT(COUNTIFS(商品マスタ!$C$3:C977,商品マスタ[[#This Row],[仕入先]],商品マスタ!$E$3:E977,商品マスタ[[#This Row],[商品名]]), "00")</f>
        <v>PRD_SNJ__0000_00</v>
      </c>
      <c r="E977" s="87"/>
      <c r="F977" s="87">
        <f>IF(COUNTIFS($C$3:C977,商品マスタ[[#This Row],[仕入先]],$E$3:E977,商品マスタ[[#This Row],[商品名]]) = 1, 1,0)</f>
        <v>0</v>
      </c>
      <c r="G977" s="133" t="str">
        <f>TEXT(SUMIF($C$3:C977,商品マスタ[[#This Row],[仕入先]],$F$3:F977), "0000")</f>
        <v>0000</v>
      </c>
      <c r="H977" s="87"/>
      <c r="I977" s="87"/>
      <c r="J977" s="87"/>
      <c r="K977" s="87"/>
      <c r="L977" s="134"/>
      <c r="M977" s="157"/>
      <c r="N977" s="134"/>
      <c r="O977" s="135" t="str">
        <f>IF(COUNT(商品マスタ[[#This Row],[参考上代
（税込)]]) &gt; 0, (商品マスタ[[#This Row],[参考上代
（税込)]]-商品マスタ[[#This Row],[国内定価
（15％）]])/(商品マスタ[[#This Row],[参考上代
（税込)]]/1.08), "")</f>
        <v/>
      </c>
      <c r="P977" s="136">
        <v>0.1</v>
      </c>
      <c r="Q977" s="134">
        <f>商品マスタ[[#This Row],[仕入
単価]]*商品マスタ[[#This Row],[標準国内送料率]]</f>
        <v>0</v>
      </c>
      <c r="R977" s="134"/>
      <c r="S977" s="134">
        <f>IF(ISBLANK(商品マスタ[[#This Row],[実績
国内送料]]),商品マスタ[[#This Row],[標準国内送料]],)</f>
        <v>0</v>
      </c>
      <c r="T977" s="134">
        <f>商品マスタ[[#This Row],[仕入
単価]]+商品マスタ[[#This Row],[国内送料]]</f>
        <v>0</v>
      </c>
      <c r="U977" s="134">
        <f>ROUNDUP(商品マスタ[[#This Row],[仕入単価+国内送料]]/0.8,-1)</f>
        <v>0</v>
      </c>
      <c r="V977" s="134">
        <f>商品マスタ[[#This Row],[海外定価
（20％）]]-商品マスタ[[#This Row],[仕入単価+国内送料]]</f>
        <v>0</v>
      </c>
      <c r="W977" s="87">
        <f>ROUNDUP(商品マスタ[[#This Row],[仕入単価+国内送料]]/0.85,-1)</f>
        <v>0</v>
      </c>
      <c r="X977" s="134">
        <f>商品マスタ[[#This Row],[国内定価
（15％）]]-商品マスタ[[#This Row],[仕入単価+国内送料]]</f>
        <v>0</v>
      </c>
      <c r="Y977" s="139"/>
      <c r="Z977" s="87"/>
      <c r="AA977" s="87"/>
      <c r="AB977" s="87"/>
      <c r="AC977" s="140"/>
      <c r="AD977" s="87"/>
      <c r="AE977" s="87"/>
      <c r="AF977" s="158"/>
      <c r="AG977" s="141"/>
    </row>
    <row r="978" spans="1:33" ht="18">
      <c r="A978" s="166"/>
      <c r="B978" s="167"/>
      <c r="C978" s="167"/>
      <c r="D978" s="143" t="str">
        <f>"PRD_SNJ_"&amp;
_xlfn.XLOOKUP(商品マスタ[[#This Row],[仕入先]],テーブル1[仕入先名],テーブル1[仕入先コード],"XXX",0,1)&amp;
"_"&amp;
商品マスタ[[#This Row],[シリアル]]&amp;
"_"&amp;
TEXT(COUNTIFS(商品マスタ!$C$3:C978,商品マスタ[[#This Row],[仕入先]],商品マスタ!$E$3:E978,商品マスタ[[#This Row],[商品名]]), "00")</f>
        <v>PRD_SNJ__0000_00</v>
      </c>
      <c r="E978" s="87"/>
      <c r="F978" s="87">
        <f>IF(COUNTIFS($C$3:C978,商品マスタ[[#This Row],[仕入先]],$E$3:E978,商品マスタ[[#This Row],[商品名]]) = 1, 1,0)</f>
        <v>0</v>
      </c>
      <c r="G978" s="133" t="str">
        <f>TEXT(SUMIF($C$3:C978,商品マスタ[[#This Row],[仕入先]],$F$3:F978), "0000")</f>
        <v>0000</v>
      </c>
      <c r="H978" s="87"/>
      <c r="I978" s="87"/>
      <c r="J978" s="87"/>
      <c r="K978" s="87"/>
      <c r="L978" s="134"/>
      <c r="M978" s="157"/>
      <c r="N978" s="134"/>
      <c r="O978" s="135" t="str">
        <f>IF(COUNT(商品マスタ[[#This Row],[参考上代
（税込)]]) &gt; 0, (商品マスタ[[#This Row],[参考上代
（税込)]]-商品マスタ[[#This Row],[国内定価
（15％）]])/(商品マスタ[[#This Row],[参考上代
（税込)]]/1.08), "")</f>
        <v/>
      </c>
      <c r="P978" s="136">
        <v>0.1</v>
      </c>
      <c r="Q978" s="134">
        <f>商品マスタ[[#This Row],[仕入
単価]]*商品マスタ[[#This Row],[標準国内送料率]]</f>
        <v>0</v>
      </c>
      <c r="R978" s="134"/>
      <c r="S978" s="134">
        <f>IF(ISBLANK(商品マスタ[[#This Row],[実績
国内送料]]),商品マスタ[[#This Row],[標準国内送料]],)</f>
        <v>0</v>
      </c>
      <c r="T978" s="134">
        <f>商品マスタ[[#This Row],[仕入
単価]]+商品マスタ[[#This Row],[国内送料]]</f>
        <v>0</v>
      </c>
      <c r="U978" s="134">
        <f>ROUNDUP(商品マスタ[[#This Row],[仕入単価+国内送料]]/0.8,-1)</f>
        <v>0</v>
      </c>
      <c r="V978" s="134">
        <f>商品マスタ[[#This Row],[海外定価
（20％）]]-商品マスタ[[#This Row],[仕入単価+国内送料]]</f>
        <v>0</v>
      </c>
      <c r="W978" s="87">
        <f>ROUNDUP(商品マスタ[[#This Row],[仕入単価+国内送料]]/0.85,-1)</f>
        <v>0</v>
      </c>
      <c r="X978" s="134">
        <f>商品マスタ[[#This Row],[国内定価
（15％）]]-商品マスタ[[#This Row],[仕入単価+国内送料]]</f>
        <v>0</v>
      </c>
      <c r="Y978" s="139"/>
      <c r="Z978" s="87"/>
      <c r="AA978" s="87"/>
      <c r="AB978" s="87"/>
      <c r="AC978" s="140"/>
      <c r="AD978" s="87"/>
      <c r="AE978" s="87"/>
      <c r="AF978" s="158"/>
      <c r="AG978" s="141"/>
    </row>
    <row r="979" spans="1:33" ht="18">
      <c r="A979" s="166"/>
      <c r="B979" s="167"/>
      <c r="C979" s="167"/>
      <c r="D979" s="143" t="str">
        <f>"PRD_SNJ_"&amp;
_xlfn.XLOOKUP(商品マスタ[[#This Row],[仕入先]],テーブル1[仕入先名],テーブル1[仕入先コード],"XXX",0,1)&amp;
"_"&amp;
商品マスタ[[#This Row],[シリアル]]&amp;
"_"&amp;
TEXT(COUNTIFS(商品マスタ!$C$3:C979,商品マスタ[[#This Row],[仕入先]],商品マスタ!$E$3:E979,商品マスタ[[#This Row],[商品名]]), "00")</f>
        <v>PRD_SNJ__0000_00</v>
      </c>
      <c r="E979" s="87"/>
      <c r="F979" s="87">
        <f>IF(COUNTIFS($C$3:C979,商品マスタ[[#This Row],[仕入先]],$E$3:E979,商品マスタ[[#This Row],[商品名]]) = 1, 1,0)</f>
        <v>0</v>
      </c>
      <c r="G979" s="133" t="str">
        <f>TEXT(SUMIF($C$3:C979,商品マスタ[[#This Row],[仕入先]],$F$3:F979), "0000")</f>
        <v>0000</v>
      </c>
      <c r="H979" s="87"/>
      <c r="I979" s="87"/>
      <c r="J979" s="87"/>
      <c r="K979" s="87"/>
      <c r="L979" s="134"/>
      <c r="M979" s="157"/>
      <c r="N979" s="134"/>
      <c r="O979" s="135" t="str">
        <f>IF(COUNT(商品マスタ[[#This Row],[参考上代
（税込)]]) &gt; 0, (商品マスタ[[#This Row],[参考上代
（税込)]]-商品マスタ[[#This Row],[国内定価
（15％）]])/(商品マスタ[[#This Row],[参考上代
（税込)]]/1.08), "")</f>
        <v/>
      </c>
      <c r="P979" s="136">
        <v>0.1</v>
      </c>
      <c r="Q979" s="134">
        <f>商品マスタ[[#This Row],[仕入
単価]]*商品マスタ[[#This Row],[標準国内送料率]]</f>
        <v>0</v>
      </c>
      <c r="R979" s="134"/>
      <c r="S979" s="134">
        <f>IF(ISBLANK(商品マスタ[[#This Row],[実績
国内送料]]),商品マスタ[[#This Row],[標準国内送料]],)</f>
        <v>0</v>
      </c>
      <c r="T979" s="134">
        <f>商品マスタ[[#This Row],[仕入
単価]]+商品マスタ[[#This Row],[国内送料]]</f>
        <v>0</v>
      </c>
      <c r="U979" s="134">
        <f>ROUNDUP(商品マスタ[[#This Row],[仕入単価+国内送料]]/0.8,-1)</f>
        <v>0</v>
      </c>
      <c r="V979" s="134">
        <f>商品マスタ[[#This Row],[海外定価
（20％）]]-商品マスタ[[#This Row],[仕入単価+国内送料]]</f>
        <v>0</v>
      </c>
      <c r="W979" s="87">
        <f>ROUNDUP(商品マスタ[[#This Row],[仕入単価+国内送料]]/0.85,-1)</f>
        <v>0</v>
      </c>
      <c r="X979" s="134">
        <f>商品マスタ[[#This Row],[国内定価
（15％）]]-商品マスタ[[#This Row],[仕入単価+国内送料]]</f>
        <v>0</v>
      </c>
      <c r="Y979" s="139"/>
      <c r="Z979" s="87"/>
      <c r="AA979" s="87"/>
      <c r="AB979" s="87"/>
      <c r="AC979" s="140"/>
      <c r="AD979" s="87"/>
      <c r="AE979" s="87"/>
      <c r="AF979" s="158"/>
      <c r="AG979" s="141"/>
    </row>
    <row r="980" spans="1:33" ht="18">
      <c r="A980" s="166"/>
      <c r="B980" s="167"/>
      <c r="C980" s="167"/>
      <c r="D980" s="143" t="str">
        <f>"PRD_SNJ_"&amp;
_xlfn.XLOOKUP(商品マスタ[[#This Row],[仕入先]],テーブル1[仕入先名],テーブル1[仕入先コード],"XXX",0,1)&amp;
"_"&amp;
商品マスタ[[#This Row],[シリアル]]&amp;
"_"&amp;
TEXT(COUNTIFS(商品マスタ!$C$3:C980,商品マスタ[[#This Row],[仕入先]],商品マスタ!$E$3:E980,商品マスタ[[#This Row],[商品名]]), "00")</f>
        <v>PRD_SNJ__0000_00</v>
      </c>
      <c r="E980" s="87"/>
      <c r="F980" s="87">
        <f>IF(COUNTIFS($C$3:C980,商品マスタ[[#This Row],[仕入先]],$E$3:E980,商品マスタ[[#This Row],[商品名]]) = 1, 1,0)</f>
        <v>0</v>
      </c>
      <c r="G980" s="133" t="str">
        <f>TEXT(SUMIF($C$3:C980,商品マスタ[[#This Row],[仕入先]],$F$3:F980), "0000")</f>
        <v>0000</v>
      </c>
      <c r="H980" s="87"/>
      <c r="I980" s="87"/>
      <c r="J980" s="87"/>
      <c r="K980" s="87"/>
      <c r="L980" s="134"/>
      <c r="M980" s="157"/>
      <c r="N980" s="134"/>
      <c r="O980" s="135" t="str">
        <f>IF(COUNT(商品マスタ[[#This Row],[参考上代
（税込)]]) &gt; 0, (商品マスタ[[#This Row],[参考上代
（税込)]]-商品マスタ[[#This Row],[国内定価
（15％）]])/(商品マスタ[[#This Row],[参考上代
（税込)]]/1.08), "")</f>
        <v/>
      </c>
      <c r="P980" s="136">
        <v>0.1</v>
      </c>
      <c r="Q980" s="134">
        <f>商品マスタ[[#This Row],[仕入
単価]]*商品マスタ[[#This Row],[標準国内送料率]]</f>
        <v>0</v>
      </c>
      <c r="R980" s="134"/>
      <c r="S980" s="134">
        <f>IF(ISBLANK(商品マスタ[[#This Row],[実績
国内送料]]),商品マスタ[[#This Row],[標準国内送料]],)</f>
        <v>0</v>
      </c>
      <c r="T980" s="134">
        <f>商品マスタ[[#This Row],[仕入
単価]]+商品マスタ[[#This Row],[国内送料]]</f>
        <v>0</v>
      </c>
      <c r="U980" s="134">
        <f>ROUNDUP(商品マスタ[[#This Row],[仕入単価+国内送料]]/0.8,-1)</f>
        <v>0</v>
      </c>
      <c r="V980" s="134">
        <f>商品マスタ[[#This Row],[海外定価
（20％）]]-商品マスタ[[#This Row],[仕入単価+国内送料]]</f>
        <v>0</v>
      </c>
      <c r="W980" s="87">
        <f>ROUNDUP(商品マスタ[[#This Row],[仕入単価+国内送料]]/0.85,-1)</f>
        <v>0</v>
      </c>
      <c r="X980" s="134">
        <f>商品マスタ[[#This Row],[国内定価
（15％）]]-商品マスタ[[#This Row],[仕入単価+国内送料]]</f>
        <v>0</v>
      </c>
      <c r="Y980" s="139"/>
      <c r="Z980" s="87"/>
      <c r="AA980" s="87"/>
      <c r="AB980" s="87"/>
      <c r="AC980" s="140"/>
      <c r="AD980" s="87"/>
      <c r="AE980" s="87"/>
      <c r="AF980" s="158"/>
      <c r="AG980" s="141"/>
    </row>
    <row r="981" spans="1:33" ht="18">
      <c r="A981" s="166"/>
      <c r="B981" s="167"/>
      <c r="C981" s="167"/>
      <c r="D981" s="143" t="str">
        <f>"PRD_SNJ_"&amp;
_xlfn.XLOOKUP(商品マスタ[[#This Row],[仕入先]],テーブル1[仕入先名],テーブル1[仕入先コード],"XXX",0,1)&amp;
"_"&amp;
商品マスタ[[#This Row],[シリアル]]&amp;
"_"&amp;
TEXT(COUNTIFS(商品マスタ!$C$3:C981,商品マスタ[[#This Row],[仕入先]],商品マスタ!$E$3:E981,商品マスタ[[#This Row],[商品名]]), "00")</f>
        <v>PRD_SNJ__0000_00</v>
      </c>
      <c r="E981" s="87"/>
      <c r="F981" s="87">
        <f>IF(COUNTIFS($C$3:C981,商品マスタ[[#This Row],[仕入先]],$E$3:E981,商品マスタ[[#This Row],[商品名]]) = 1, 1,0)</f>
        <v>0</v>
      </c>
      <c r="G981" s="133" t="str">
        <f>TEXT(SUMIF($C$3:C981,商品マスタ[[#This Row],[仕入先]],$F$3:F981), "0000")</f>
        <v>0000</v>
      </c>
      <c r="H981" s="87"/>
      <c r="I981" s="87"/>
      <c r="J981" s="87"/>
      <c r="K981" s="87"/>
      <c r="L981" s="134"/>
      <c r="M981" s="157"/>
      <c r="N981" s="134"/>
      <c r="O981" s="135" t="str">
        <f>IF(COUNT(商品マスタ[[#This Row],[参考上代
（税込)]]) &gt; 0, (商品マスタ[[#This Row],[参考上代
（税込)]]-商品マスタ[[#This Row],[国内定価
（15％）]])/(商品マスタ[[#This Row],[参考上代
（税込)]]/1.08), "")</f>
        <v/>
      </c>
      <c r="P981" s="136">
        <v>0.1</v>
      </c>
      <c r="Q981" s="134">
        <f>商品マスタ[[#This Row],[仕入
単価]]*商品マスタ[[#This Row],[標準国内送料率]]</f>
        <v>0</v>
      </c>
      <c r="R981" s="134"/>
      <c r="S981" s="134">
        <f>IF(ISBLANK(商品マスタ[[#This Row],[実績
国内送料]]),商品マスタ[[#This Row],[標準国内送料]],)</f>
        <v>0</v>
      </c>
      <c r="T981" s="134">
        <f>商品マスタ[[#This Row],[仕入
単価]]+商品マスタ[[#This Row],[国内送料]]</f>
        <v>0</v>
      </c>
      <c r="U981" s="134">
        <f>ROUNDUP(商品マスタ[[#This Row],[仕入単価+国内送料]]/0.8,-1)</f>
        <v>0</v>
      </c>
      <c r="V981" s="134">
        <f>商品マスタ[[#This Row],[海外定価
（20％）]]-商品マスタ[[#This Row],[仕入単価+国内送料]]</f>
        <v>0</v>
      </c>
      <c r="W981" s="87">
        <f>ROUNDUP(商品マスタ[[#This Row],[仕入単価+国内送料]]/0.85,-1)</f>
        <v>0</v>
      </c>
      <c r="X981" s="134">
        <f>商品マスタ[[#This Row],[国内定価
（15％）]]-商品マスタ[[#This Row],[仕入単価+国内送料]]</f>
        <v>0</v>
      </c>
      <c r="Y981" s="139"/>
      <c r="Z981" s="87"/>
      <c r="AA981" s="87"/>
      <c r="AB981" s="87"/>
      <c r="AC981" s="140"/>
      <c r="AD981" s="87"/>
      <c r="AE981" s="87"/>
      <c r="AF981" s="158"/>
      <c r="AG981" s="141"/>
    </row>
    <row r="982" spans="1:33" ht="18">
      <c r="A982" s="166"/>
      <c r="B982" s="167"/>
      <c r="C982" s="167"/>
      <c r="D982" s="143" t="str">
        <f>"PRD_SNJ_"&amp;
_xlfn.XLOOKUP(商品マスタ[[#This Row],[仕入先]],テーブル1[仕入先名],テーブル1[仕入先コード],"XXX",0,1)&amp;
"_"&amp;
商品マスタ[[#This Row],[シリアル]]&amp;
"_"&amp;
TEXT(COUNTIFS(商品マスタ!$C$3:C982,商品マスタ[[#This Row],[仕入先]],商品マスタ!$E$3:E982,商品マスタ[[#This Row],[商品名]]), "00")</f>
        <v>PRD_SNJ__0000_00</v>
      </c>
      <c r="E982" s="87"/>
      <c r="F982" s="87">
        <f>IF(COUNTIFS($C$3:C982,商品マスタ[[#This Row],[仕入先]],$E$3:E982,商品マスタ[[#This Row],[商品名]]) = 1, 1,0)</f>
        <v>0</v>
      </c>
      <c r="G982" s="133" t="str">
        <f>TEXT(SUMIF($C$3:C982,商品マスタ[[#This Row],[仕入先]],$F$3:F982), "0000")</f>
        <v>0000</v>
      </c>
      <c r="H982" s="87"/>
      <c r="I982" s="87"/>
      <c r="J982" s="87"/>
      <c r="K982" s="87"/>
      <c r="L982" s="134"/>
      <c r="M982" s="157"/>
      <c r="N982" s="134"/>
      <c r="O982" s="135" t="str">
        <f>IF(COUNT(商品マスタ[[#This Row],[参考上代
（税込)]]) &gt; 0, (商品マスタ[[#This Row],[参考上代
（税込)]]-商品マスタ[[#This Row],[国内定価
（15％）]])/(商品マスタ[[#This Row],[参考上代
（税込)]]/1.08), "")</f>
        <v/>
      </c>
      <c r="P982" s="136">
        <v>0.1</v>
      </c>
      <c r="Q982" s="134">
        <f>商品マスタ[[#This Row],[仕入
単価]]*商品マスタ[[#This Row],[標準国内送料率]]</f>
        <v>0</v>
      </c>
      <c r="R982" s="134"/>
      <c r="S982" s="134">
        <f>IF(ISBLANK(商品マスタ[[#This Row],[実績
国内送料]]),商品マスタ[[#This Row],[標準国内送料]],)</f>
        <v>0</v>
      </c>
      <c r="T982" s="134">
        <f>商品マスタ[[#This Row],[仕入
単価]]+商品マスタ[[#This Row],[国内送料]]</f>
        <v>0</v>
      </c>
      <c r="U982" s="134">
        <f>ROUNDUP(商品マスタ[[#This Row],[仕入単価+国内送料]]/0.8,-1)</f>
        <v>0</v>
      </c>
      <c r="V982" s="134">
        <f>商品マスタ[[#This Row],[海外定価
（20％）]]-商品マスタ[[#This Row],[仕入単価+国内送料]]</f>
        <v>0</v>
      </c>
      <c r="W982" s="87">
        <f>ROUNDUP(商品マスタ[[#This Row],[仕入単価+国内送料]]/0.85,-1)</f>
        <v>0</v>
      </c>
      <c r="X982" s="134">
        <f>商品マスタ[[#This Row],[国内定価
（15％）]]-商品マスタ[[#This Row],[仕入単価+国内送料]]</f>
        <v>0</v>
      </c>
      <c r="Y982" s="139"/>
      <c r="Z982" s="87"/>
      <c r="AA982" s="87"/>
      <c r="AB982" s="87"/>
      <c r="AC982" s="140"/>
      <c r="AD982" s="87"/>
      <c r="AE982" s="87"/>
      <c r="AF982" s="158"/>
      <c r="AG982" s="141"/>
    </row>
    <row r="983" spans="1:33" ht="18">
      <c r="A983" s="166"/>
      <c r="B983" s="167"/>
      <c r="C983" s="167"/>
      <c r="D983" s="143" t="str">
        <f>"PRD_SNJ_"&amp;
_xlfn.XLOOKUP(商品マスタ[[#This Row],[仕入先]],テーブル1[仕入先名],テーブル1[仕入先コード],"XXX",0,1)&amp;
"_"&amp;
商品マスタ[[#This Row],[シリアル]]&amp;
"_"&amp;
TEXT(COUNTIFS(商品マスタ!$C$3:C983,商品マスタ[[#This Row],[仕入先]],商品マスタ!$E$3:E983,商品マスタ[[#This Row],[商品名]]), "00")</f>
        <v>PRD_SNJ__0000_00</v>
      </c>
      <c r="E983" s="87"/>
      <c r="F983" s="87">
        <f>IF(COUNTIFS($C$3:C983,商品マスタ[[#This Row],[仕入先]],$E$3:E983,商品マスタ[[#This Row],[商品名]]) = 1, 1,0)</f>
        <v>0</v>
      </c>
      <c r="G983" s="133" t="str">
        <f>TEXT(SUMIF($C$3:C983,商品マスタ[[#This Row],[仕入先]],$F$3:F983), "0000")</f>
        <v>0000</v>
      </c>
      <c r="H983" s="87"/>
      <c r="I983" s="87"/>
      <c r="J983" s="87"/>
      <c r="K983" s="87"/>
      <c r="L983" s="134"/>
      <c r="M983" s="157"/>
      <c r="N983" s="134"/>
      <c r="O983" s="135" t="str">
        <f>IF(COUNT(商品マスタ[[#This Row],[参考上代
（税込)]]) &gt; 0, (商品マスタ[[#This Row],[参考上代
（税込)]]-商品マスタ[[#This Row],[国内定価
（15％）]])/(商品マスタ[[#This Row],[参考上代
（税込)]]/1.08), "")</f>
        <v/>
      </c>
      <c r="P983" s="136">
        <v>0.1</v>
      </c>
      <c r="Q983" s="134">
        <f>商品マスタ[[#This Row],[仕入
単価]]*商品マスタ[[#This Row],[標準国内送料率]]</f>
        <v>0</v>
      </c>
      <c r="R983" s="134"/>
      <c r="S983" s="134">
        <f>IF(ISBLANK(商品マスタ[[#This Row],[実績
国内送料]]),商品マスタ[[#This Row],[標準国内送料]],)</f>
        <v>0</v>
      </c>
      <c r="T983" s="134">
        <f>商品マスタ[[#This Row],[仕入
単価]]+商品マスタ[[#This Row],[国内送料]]</f>
        <v>0</v>
      </c>
      <c r="U983" s="134">
        <f>ROUNDUP(商品マスタ[[#This Row],[仕入単価+国内送料]]/0.8,-1)</f>
        <v>0</v>
      </c>
      <c r="V983" s="134">
        <f>商品マスタ[[#This Row],[海外定価
（20％）]]-商品マスタ[[#This Row],[仕入単価+国内送料]]</f>
        <v>0</v>
      </c>
      <c r="W983" s="87">
        <f>ROUNDUP(商品マスタ[[#This Row],[仕入単価+国内送料]]/0.85,-1)</f>
        <v>0</v>
      </c>
      <c r="X983" s="134">
        <f>商品マスタ[[#This Row],[国内定価
（15％）]]-商品マスタ[[#This Row],[仕入単価+国内送料]]</f>
        <v>0</v>
      </c>
      <c r="Y983" s="139"/>
      <c r="Z983" s="87"/>
      <c r="AA983" s="87"/>
      <c r="AB983" s="87"/>
      <c r="AC983" s="140"/>
      <c r="AD983" s="87"/>
      <c r="AE983" s="87"/>
      <c r="AF983" s="158"/>
      <c r="AG983" s="141"/>
    </row>
    <row r="984" spans="1:33" ht="18">
      <c r="A984" s="166"/>
      <c r="B984" s="167"/>
      <c r="C984" s="167"/>
      <c r="D984" s="143" t="str">
        <f>"PRD_SNJ_"&amp;
_xlfn.XLOOKUP(商品マスタ[[#This Row],[仕入先]],テーブル1[仕入先名],テーブル1[仕入先コード],"XXX",0,1)&amp;
"_"&amp;
商品マスタ[[#This Row],[シリアル]]&amp;
"_"&amp;
TEXT(COUNTIFS(商品マスタ!$C$3:C984,商品マスタ[[#This Row],[仕入先]],商品マスタ!$E$3:E984,商品マスタ[[#This Row],[商品名]]), "00")</f>
        <v>PRD_SNJ__0000_00</v>
      </c>
      <c r="E984" s="87"/>
      <c r="F984" s="87">
        <f>IF(COUNTIFS($C$3:C984,商品マスタ[[#This Row],[仕入先]],$E$3:E984,商品マスタ[[#This Row],[商品名]]) = 1, 1,0)</f>
        <v>0</v>
      </c>
      <c r="G984" s="133" t="str">
        <f>TEXT(SUMIF($C$3:C984,商品マスタ[[#This Row],[仕入先]],$F$3:F984), "0000")</f>
        <v>0000</v>
      </c>
      <c r="H984" s="87"/>
      <c r="I984" s="87"/>
      <c r="J984" s="87"/>
      <c r="K984" s="87"/>
      <c r="L984" s="134"/>
      <c r="M984" s="157"/>
      <c r="N984" s="134"/>
      <c r="O984" s="135" t="str">
        <f>IF(COUNT(商品マスタ[[#This Row],[参考上代
（税込)]]) &gt; 0, (商品マスタ[[#This Row],[参考上代
（税込)]]-商品マスタ[[#This Row],[国内定価
（15％）]])/(商品マスタ[[#This Row],[参考上代
（税込)]]/1.08), "")</f>
        <v/>
      </c>
      <c r="P984" s="136">
        <v>0.1</v>
      </c>
      <c r="Q984" s="134">
        <f>商品マスタ[[#This Row],[仕入
単価]]*商品マスタ[[#This Row],[標準国内送料率]]</f>
        <v>0</v>
      </c>
      <c r="R984" s="134"/>
      <c r="S984" s="134">
        <f>IF(ISBLANK(商品マスタ[[#This Row],[実績
国内送料]]),商品マスタ[[#This Row],[標準国内送料]],)</f>
        <v>0</v>
      </c>
      <c r="T984" s="134">
        <f>商品マスタ[[#This Row],[仕入
単価]]+商品マスタ[[#This Row],[国内送料]]</f>
        <v>0</v>
      </c>
      <c r="U984" s="134">
        <f>ROUNDUP(商品マスタ[[#This Row],[仕入単価+国内送料]]/0.8,-1)</f>
        <v>0</v>
      </c>
      <c r="V984" s="134">
        <f>商品マスタ[[#This Row],[海外定価
（20％）]]-商品マスタ[[#This Row],[仕入単価+国内送料]]</f>
        <v>0</v>
      </c>
      <c r="W984" s="87">
        <f>ROUNDUP(商品マスタ[[#This Row],[仕入単価+国内送料]]/0.85,-1)</f>
        <v>0</v>
      </c>
      <c r="X984" s="134">
        <f>商品マスタ[[#This Row],[国内定価
（15％）]]-商品マスタ[[#This Row],[仕入単価+国内送料]]</f>
        <v>0</v>
      </c>
      <c r="Y984" s="139"/>
      <c r="Z984" s="87"/>
      <c r="AA984" s="87"/>
      <c r="AB984" s="87"/>
      <c r="AC984" s="140"/>
      <c r="AD984" s="87"/>
      <c r="AE984" s="87"/>
      <c r="AF984" s="158"/>
      <c r="AG984" s="141"/>
    </row>
    <row r="985" spans="1:33" ht="18">
      <c r="A985" s="166"/>
      <c r="B985" s="167"/>
      <c r="C985" s="167"/>
      <c r="D985" s="143" t="str">
        <f>"PRD_SNJ_"&amp;
_xlfn.XLOOKUP(商品マスタ[[#This Row],[仕入先]],テーブル1[仕入先名],テーブル1[仕入先コード],"XXX",0,1)&amp;
"_"&amp;
商品マスタ[[#This Row],[シリアル]]&amp;
"_"&amp;
TEXT(COUNTIFS(商品マスタ!$C$3:C985,商品マスタ[[#This Row],[仕入先]],商品マスタ!$E$3:E985,商品マスタ[[#This Row],[商品名]]), "00")</f>
        <v>PRD_SNJ__0000_00</v>
      </c>
      <c r="E985" s="87"/>
      <c r="F985" s="87">
        <f>IF(COUNTIFS($C$3:C985,商品マスタ[[#This Row],[仕入先]],$E$3:E985,商品マスタ[[#This Row],[商品名]]) = 1, 1,0)</f>
        <v>0</v>
      </c>
      <c r="G985" s="133" t="str">
        <f>TEXT(SUMIF($C$3:C985,商品マスタ[[#This Row],[仕入先]],$F$3:F985), "0000")</f>
        <v>0000</v>
      </c>
      <c r="H985" s="87"/>
      <c r="I985" s="87"/>
      <c r="J985" s="87"/>
      <c r="K985" s="87"/>
      <c r="L985" s="134"/>
      <c r="M985" s="157"/>
      <c r="N985" s="134"/>
      <c r="O985" s="135" t="str">
        <f>IF(COUNT(商品マスタ[[#This Row],[参考上代
（税込)]]) &gt; 0, (商品マスタ[[#This Row],[参考上代
（税込)]]-商品マスタ[[#This Row],[国内定価
（15％）]])/(商品マスタ[[#This Row],[参考上代
（税込)]]/1.08), "")</f>
        <v/>
      </c>
      <c r="P985" s="136">
        <v>0.1</v>
      </c>
      <c r="Q985" s="134">
        <f>商品マスタ[[#This Row],[仕入
単価]]*商品マスタ[[#This Row],[標準国内送料率]]</f>
        <v>0</v>
      </c>
      <c r="R985" s="134"/>
      <c r="S985" s="134">
        <f>IF(ISBLANK(商品マスタ[[#This Row],[実績
国内送料]]),商品マスタ[[#This Row],[標準国内送料]],)</f>
        <v>0</v>
      </c>
      <c r="T985" s="134">
        <f>商品マスタ[[#This Row],[仕入
単価]]+商品マスタ[[#This Row],[国内送料]]</f>
        <v>0</v>
      </c>
      <c r="U985" s="134">
        <f>ROUNDUP(商品マスタ[[#This Row],[仕入単価+国内送料]]/0.8,-1)</f>
        <v>0</v>
      </c>
      <c r="V985" s="134">
        <f>商品マスタ[[#This Row],[海外定価
（20％）]]-商品マスタ[[#This Row],[仕入単価+国内送料]]</f>
        <v>0</v>
      </c>
      <c r="W985" s="87">
        <f>ROUNDUP(商品マスタ[[#This Row],[仕入単価+国内送料]]/0.85,-1)</f>
        <v>0</v>
      </c>
      <c r="X985" s="134">
        <f>商品マスタ[[#This Row],[国内定価
（15％）]]-商品マスタ[[#This Row],[仕入単価+国内送料]]</f>
        <v>0</v>
      </c>
      <c r="Y985" s="139"/>
      <c r="Z985" s="87"/>
      <c r="AA985" s="87"/>
      <c r="AB985" s="87"/>
      <c r="AC985" s="140"/>
      <c r="AD985" s="87"/>
      <c r="AE985" s="87"/>
      <c r="AF985" s="158"/>
      <c r="AG985" s="141"/>
    </row>
    <row r="986" spans="1:33" ht="15.75" customHeight="1">
      <c r="A986" s="166"/>
      <c r="B986" s="167"/>
      <c r="C986" s="167"/>
      <c r="D986" s="143" t="str">
        <f>"PRD_SNJ_"&amp;
_xlfn.XLOOKUP(商品マスタ[[#This Row],[仕入先]],テーブル1[仕入先名],テーブル1[仕入先コード],"XXX",0,1)&amp;
"_"&amp;
商品マスタ[[#This Row],[シリアル]]&amp;
"_"&amp;
TEXT(COUNTIFS(商品マスタ!$C$3:C986,商品マスタ[[#This Row],[仕入先]],商品マスタ!$E$3:E986,商品マスタ[[#This Row],[商品名]]), "00")</f>
        <v>PRD_SNJ__0000_00</v>
      </c>
      <c r="E986" s="87"/>
      <c r="F986" s="87">
        <f>IF(COUNTIFS($C$3:C986,商品マスタ[[#This Row],[仕入先]],$E$3:E986,商品マスタ[[#This Row],[商品名]]) = 1, 1,0)</f>
        <v>0</v>
      </c>
      <c r="G986" s="133" t="str">
        <f>TEXT(SUMIF($C$3:C986,商品マスタ[[#This Row],[仕入先]],$F$3:F986), "0000")</f>
        <v>0000</v>
      </c>
      <c r="H986" s="87"/>
      <c r="I986" s="87"/>
      <c r="J986" s="87"/>
      <c r="K986" s="87"/>
      <c r="L986" s="134"/>
      <c r="M986" s="157"/>
      <c r="N986" s="134"/>
      <c r="O986" s="135" t="str">
        <f>IF(COUNT(商品マスタ[[#This Row],[参考上代
（税込)]]) &gt; 0, (商品マスタ[[#This Row],[参考上代
（税込)]]-商品マスタ[[#This Row],[国内定価
（15％）]])/(商品マスタ[[#This Row],[参考上代
（税込)]]/1.08), "")</f>
        <v/>
      </c>
      <c r="P986" s="136">
        <v>0.1</v>
      </c>
      <c r="Q986" s="134">
        <f>商品マスタ[[#This Row],[仕入
単価]]*商品マスタ[[#This Row],[標準国内送料率]]</f>
        <v>0</v>
      </c>
      <c r="R986" s="134"/>
      <c r="S986" s="134">
        <f>IF(ISBLANK(商品マスタ[[#This Row],[実績
国内送料]]),商品マスタ[[#This Row],[標準国内送料]],)</f>
        <v>0</v>
      </c>
      <c r="T986" s="134">
        <f>商品マスタ[[#This Row],[仕入
単価]]+商品マスタ[[#This Row],[国内送料]]</f>
        <v>0</v>
      </c>
      <c r="U986" s="134">
        <f>ROUNDUP(商品マスタ[[#This Row],[仕入単価+国内送料]]/0.8,-1)</f>
        <v>0</v>
      </c>
      <c r="V986" s="134">
        <f>商品マスタ[[#This Row],[海外定価
（20％）]]-商品マスタ[[#This Row],[仕入単価+国内送料]]</f>
        <v>0</v>
      </c>
      <c r="W986" s="87">
        <f>ROUNDUP(商品マスタ[[#This Row],[仕入単価+国内送料]]/0.85,-1)</f>
        <v>0</v>
      </c>
      <c r="X986" s="134">
        <f>商品マスタ[[#This Row],[国内定価
（15％）]]-商品マスタ[[#This Row],[仕入単価+国内送料]]</f>
        <v>0</v>
      </c>
      <c r="Y986" s="139"/>
      <c r="Z986" s="87"/>
      <c r="AA986" s="87"/>
      <c r="AB986" s="87"/>
      <c r="AC986" s="140"/>
      <c r="AD986" s="87"/>
      <c r="AE986" s="87"/>
      <c r="AF986" s="158"/>
      <c r="AG986" s="141"/>
    </row>
    <row r="987" spans="1:33" ht="15.75" customHeight="1">
      <c r="A987" s="166"/>
      <c r="B987" s="167"/>
      <c r="C987" s="167"/>
      <c r="D987" s="143" t="str">
        <f>"PRD_SNJ_"&amp;
_xlfn.XLOOKUP(商品マスタ[[#This Row],[仕入先]],テーブル1[仕入先名],テーブル1[仕入先コード],"XXX",0,1)&amp;
"_"&amp;
商品マスタ[[#This Row],[シリアル]]&amp;
"_"&amp;
TEXT(COUNTIFS(商品マスタ!$C$3:C987,商品マスタ[[#This Row],[仕入先]],商品マスタ!$E$3:E987,商品マスタ[[#This Row],[商品名]]), "00")</f>
        <v>PRD_SNJ__0000_00</v>
      </c>
      <c r="E987" s="87"/>
      <c r="F987" s="87">
        <f>IF(COUNTIFS($C$3:C987,商品マスタ[[#This Row],[仕入先]],$E$3:E987,商品マスタ[[#This Row],[商品名]]) = 1, 1,0)</f>
        <v>0</v>
      </c>
      <c r="G987" s="133" t="str">
        <f>TEXT(SUMIF($C$3:C987,商品マスタ[[#This Row],[仕入先]],$F$3:F987), "0000")</f>
        <v>0000</v>
      </c>
      <c r="H987" s="87"/>
      <c r="I987" s="87"/>
      <c r="J987" s="87"/>
      <c r="K987" s="87"/>
      <c r="L987" s="134"/>
      <c r="M987" s="157"/>
      <c r="N987" s="134"/>
      <c r="O987" s="135" t="str">
        <f>IF(COUNT(商品マスタ[[#This Row],[参考上代
（税込)]]) &gt; 0, (商品マスタ[[#This Row],[参考上代
（税込)]]-商品マスタ[[#This Row],[国内定価
（15％）]])/(商品マスタ[[#This Row],[参考上代
（税込)]]/1.08), "")</f>
        <v/>
      </c>
      <c r="P987" s="136">
        <v>0.1</v>
      </c>
      <c r="Q987" s="134">
        <f>商品マスタ[[#This Row],[仕入
単価]]*商品マスタ[[#This Row],[標準国内送料率]]</f>
        <v>0</v>
      </c>
      <c r="R987" s="134"/>
      <c r="S987" s="134">
        <f>IF(ISBLANK(商品マスタ[[#This Row],[実績
国内送料]]),商品マスタ[[#This Row],[標準国内送料]],)</f>
        <v>0</v>
      </c>
      <c r="T987" s="134">
        <f>商品マスタ[[#This Row],[仕入
単価]]+商品マスタ[[#This Row],[国内送料]]</f>
        <v>0</v>
      </c>
      <c r="U987" s="134">
        <f>ROUNDUP(商品マスタ[[#This Row],[仕入単価+国内送料]]/0.8,-1)</f>
        <v>0</v>
      </c>
      <c r="V987" s="134">
        <f>商品マスタ[[#This Row],[海外定価
（20％）]]-商品マスタ[[#This Row],[仕入単価+国内送料]]</f>
        <v>0</v>
      </c>
      <c r="W987" s="87">
        <f>ROUNDUP(商品マスタ[[#This Row],[仕入単価+国内送料]]/0.85,-1)</f>
        <v>0</v>
      </c>
      <c r="X987" s="134">
        <f>商品マスタ[[#This Row],[国内定価
（15％）]]-商品マスタ[[#This Row],[仕入単価+国内送料]]</f>
        <v>0</v>
      </c>
      <c r="Y987" s="139"/>
      <c r="Z987" s="87"/>
      <c r="AA987" s="87"/>
      <c r="AB987" s="87"/>
      <c r="AC987" s="140"/>
      <c r="AD987" s="87"/>
      <c r="AE987" s="87"/>
      <c r="AF987" s="158"/>
      <c r="AG987" s="141"/>
    </row>
    <row r="988" spans="1:33" ht="15.75" customHeight="1">
      <c r="A988" s="166"/>
      <c r="B988" s="167"/>
      <c r="C988" s="167"/>
      <c r="D988" s="143" t="str">
        <f>"PRD_SNJ_"&amp;
_xlfn.XLOOKUP(商品マスタ[[#This Row],[仕入先]],テーブル1[仕入先名],テーブル1[仕入先コード],"XXX",0,1)&amp;
"_"&amp;
商品マスタ[[#This Row],[シリアル]]&amp;
"_"&amp;
TEXT(COUNTIFS(商品マスタ!$C$3:C988,商品マスタ[[#This Row],[仕入先]],商品マスタ!$E$3:E988,商品マスタ[[#This Row],[商品名]]), "00")</f>
        <v>PRD_SNJ__0000_00</v>
      </c>
      <c r="E988" s="87"/>
      <c r="F988" s="87">
        <f>IF(COUNTIFS($C$3:C988,商品マスタ[[#This Row],[仕入先]],$E$3:E988,商品マスタ[[#This Row],[商品名]]) = 1, 1,0)</f>
        <v>0</v>
      </c>
      <c r="G988" s="133" t="str">
        <f>TEXT(SUMIF($C$3:C988,商品マスタ[[#This Row],[仕入先]],$F$3:F988), "0000")</f>
        <v>0000</v>
      </c>
      <c r="H988" s="87"/>
      <c r="I988" s="87"/>
      <c r="J988" s="87"/>
      <c r="K988" s="87"/>
      <c r="L988" s="134"/>
      <c r="M988" s="157"/>
      <c r="N988" s="134"/>
      <c r="O988" s="135" t="str">
        <f>IF(COUNT(商品マスタ[[#This Row],[参考上代
（税込)]]) &gt; 0, (商品マスタ[[#This Row],[参考上代
（税込)]]-商品マスタ[[#This Row],[国内定価
（15％）]])/(商品マスタ[[#This Row],[参考上代
（税込)]]/1.08), "")</f>
        <v/>
      </c>
      <c r="P988" s="136">
        <v>0.1</v>
      </c>
      <c r="Q988" s="134">
        <f>商品マスタ[[#This Row],[仕入
単価]]*商品マスタ[[#This Row],[標準国内送料率]]</f>
        <v>0</v>
      </c>
      <c r="R988" s="134"/>
      <c r="S988" s="134">
        <f>IF(ISBLANK(商品マスタ[[#This Row],[実績
国内送料]]),商品マスタ[[#This Row],[標準国内送料]],)</f>
        <v>0</v>
      </c>
      <c r="T988" s="134">
        <f>商品マスタ[[#This Row],[仕入
単価]]+商品マスタ[[#This Row],[国内送料]]</f>
        <v>0</v>
      </c>
      <c r="U988" s="134">
        <f>ROUNDUP(商品マスタ[[#This Row],[仕入単価+国内送料]]/0.8,-1)</f>
        <v>0</v>
      </c>
      <c r="V988" s="134">
        <f>商品マスタ[[#This Row],[海外定価
（20％）]]-商品マスタ[[#This Row],[仕入単価+国内送料]]</f>
        <v>0</v>
      </c>
      <c r="W988" s="87">
        <f>ROUNDUP(商品マスタ[[#This Row],[仕入単価+国内送料]]/0.85,-1)</f>
        <v>0</v>
      </c>
      <c r="X988" s="134">
        <f>商品マスタ[[#This Row],[国内定価
（15％）]]-商品マスタ[[#This Row],[仕入単価+国内送料]]</f>
        <v>0</v>
      </c>
      <c r="Y988" s="139"/>
      <c r="Z988" s="87"/>
      <c r="AA988" s="87"/>
      <c r="AB988" s="87"/>
      <c r="AC988" s="140"/>
      <c r="AD988" s="87"/>
      <c r="AE988" s="87"/>
      <c r="AF988" s="158"/>
      <c r="AG988" s="141"/>
    </row>
    <row r="989" spans="1:33" ht="15.75" customHeight="1">
      <c r="A989" s="166"/>
      <c r="B989" s="167"/>
      <c r="C989" s="167"/>
      <c r="D989" s="143" t="str">
        <f>"PRD_SNJ_"&amp;
_xlfn.XLOOKUP(商品マスタ[[#This Row],[仕入先]],テーブル1[仕入先名],テーブル1[仕入先コード],"XXX",0,1)&amp;
"_"&amp;
商品マスタ[[#This Row],[シリアル]]&amp;
"_"&amp;
TEXT(COUNTIFS(商品マスタ!$C$3:C989,商品マスタ[[#This Row],[仕入先]],商品マスタ!$E$3:E989,商品マスタ[[#This Row],[商品名]]), "00")</f>
        <v>PRD_SNJ__0000_00</v>
      </c>
      <c r="E989" s="87"/>
      <c r="F989" s="87">
        <f>IF(COUNTIFS($C$3:C989,商品マスタ[[#This Row],[仕入先]],$E$3:E989,商品マスタ[[#This Row],[商品名]]) = 1, 1,0)</f>
        <v>0</v>
      </c>
      <c r="G989" s="133" t="str">
        <f>TEXT(SUMIF($C$3:C989,商品マスタ[[#This Row],[仕入先]],$F$3:F989), "0000")</f>
        <v>0000</v>
      </c>
      <c r="H989" s="87"/>
      <c r="I989" s="87"/>
      <c r="J989" s="87"/>
      <c r="K989" s="87"/>
      <c r="L989" s="134"/>
      <c r="M989" s="157"/>
      <c r="N989" s="134"/>
      <c r="O989" s="135" t="str">
        <f>IF(COUNT(商品マスタ[[#This Row],[参考上代
（税込)]]) &gt; 0, (商品マスタ[[#This Row],[参考上代
（税込)]]-商品マスタ[[#This Row],[国内定価
（15％）]])/(商品マスタ[[#This Row],[参考上代
（税込)]]/1.08), "")</f>
        <v/>
      </c>
      <c r="P989" s="136">
        <v>0.1</v>
      </c>
      <c r="Q989" s="134">
        <f>商品マスタ[[#This Row],[仕入
単価]]*商品マスタ[[#This Row],[標準国内送料率]]</f>
        <v>0</v>
      </c>
      <c r="R989" s="134"/>
      <c r="S989" s="134">
        <f>IF(ISBLANK(商品マスタ[[#This Row],[実績
国内送料]]),商品マスタ[[#This Row],[標準国内送料]],)</f>
        <v>0</v>
      </c>
      <c r="T989" s="134">
        <f>商品マスタ[[#This Row],[仕入
単価]]+商品マスタ[[#This Row],[国内送料]]</f>
        <v>0</v>
      </c>
      <c r="U989" s="134">
        <f>ROUNDUP(商品マスタ[[#This Row],[仕入単価+国内送料]]/0.8,-1)</f>
        <v>0</v>
      </c>
      <c r="V989" s="134">
        <f>商品マスタ[[#This Row],[海外定価
（20％）]]-商品マスタ[[#This Row],[仕入単価+国内送料]]</f>
        <v>0</v>
      </c>
      <c r="W989" s="87">
        <f>ROUNDUP(商品マスタ[[#This Row],[仕入単価+国内送料]]/0.85,-1)</f>
        <v>0</v>
      </c>
      <c r="X989" s="134">
        <f>商品マスタ[[#This Row],[国内定価
（15％）]]-商品マスタ[[#This Row],[仕入単価+国内送料]]</f>
        <v>0</v>
      </c>
      <c r="Y989" s="139"/>
      <c r="Z989" s="87"/>
      <c r="AA989" s="87"/>
      <c r="AB989" s="87"/>
      <c r="AC989" s="140"/>
      <c r="AD989" s="87"/>
      <c r="AE989" s="87"/>
      <c r="AF989" s="158"/>
      <c r="AG989" s="141"/>
    </row>
    <row r="990" spans="1:33" ht="15.75" customHeight="1">
      <c r="A990" s="166"/>
      <c r="B990" s="167"/>
      <c r="C990" s="167"/>
      <c r="D990" s="143" t="str">
        <f>"PRD_SNJ_"&amp;
_xlfn.XLOOKUP(商品マスタ[[#This Row],[仕入先]],テーブル1[仕入先名],テーブル1[仕入先コード],"XXX",0,1)&amp;
"_"&amp;
商品マスタ[[#This Row],[シリアル]]&amp;
"_"&amp;
TEXT(COUNTIFS(商品マスタ!$C$3:C990,商品マスタ[[#This Row],[仕入先]],商品マスタ!$E$3:E990,商品マスタ[[#This Row],[商品名]]), "00")</f>
        <v>PRD_SNJ__0000_00</v>
      </c>
      <c r="E990" s="87"/>
      <c r="F990" s="87">
        <f>IF(COUNTIFS($C$3:C990,商品マスタ[[#This Row],[仕入先]],$E$3:E990,商品マスタ[[#This Row],[商品名]]) = 1, 1,0)</f>
        <v>0</v>
      </c>
      <c r="G990" s="133" t="str">
        <f>TEXT(SUMIF($C$3:C990,商品マスタ[[#This Row],[仕入先]],$F$3:F990), "0000")</f>
        <v>0000</v>
      </c>
      <c r="H990" s="87"/>
      <c r="I990" s="87"/>
      <c r="J990" s="87"/>
      <c r="K990" s="87"/>
      <c r="L990" s="134"/>
      <c r="M990" s="157"/>
      <c r="N990" s="134"/>
      <c r="O990" s="135" t="str">
        <f>IF(COUNT(商品マスタ[[#This Row],[参考上代
（税込)]]) &gt; 0, (商品マスタ[[#This Row],[参考上代
（税込)]]-商品マスタ[[#This Row],[国内定価
（15％）]])/(商品マスタ[[#This Row],[参考上代
（税込)]]/1.08), "")</f>
        <v/>
      </c>
      <c r="P990" s="136">
        <v>0.1</v>
      </c>
      <c r="Q990" s="134">
        <f>商品マスタ[[#This Row],[仕入
単価]]*商品マスタ[[#This Row],[標準国内送料率]]</f>
        <v>0</v>
      </c>
      <c r="R990" s="134"/>
      <c r="S990" s="134">
        <f>IF(ISBLANK(商品マスタ[[#This Row],[実績
国内送料]]),商品マスタ[[#This Row],[標準国内送料]],)</f>
        <v>0</v>
      </c>
      <c r="T990" s="134">
        <f>商品マスタ[[#This Row],[仕入
単価]]+商品マスタ[[#This Row],[国内送料]]</f>
        <v>0</v>
      </c>
      <c r="U990" s="134">
        <f>ROUNDUP(商品マスタ[[#This Row],[仕入単価+国内送料]]/0.8,-1)</f>
        <v>0</v>
      </c>
      <c r="V990" s="134">
        <f>商品マスタ[[#This Row],[海外定価
（20％）]]-商品マスタ[[#This Row],[仕入単価+国内送料]]</f>
        <v>0</v>
      </c>
      <c r="W990" s="87">
        <f>ROUNDUP(商品マスタ[[#This Row],[仕入単価+国内送料]]/0.85,-1)</f>
        <v>0</v>
      </c>
      <c r="X990" s="134">
        <f>商品マスタ[[#This Row],[国内定価
（15％）]]-商品マスタ[[#This Row],[仕入単価+国内送料]]</f>
        <v>0</v>
      </c>
      <c r="Y990" s="139"/>
      <c r="Z990" s="87"/>
      <c r="AA990" s="87"/>
      <c r="AB990" s="87"/>
      <c r="AC990" s="140"/>
      <c r="AD990" s="87"/>
      <c r="AE990" s="87"/>
      <c r="AF990" s="158"/>
      <c r="AG990" s="141"/>
    </row>
    <row r="991" spans="1:33" ht="15.75" customHeight="1">
      <c r="A991" s="166"/>
      <c r="B991" s="167"/>
      <c r="C991" s="167"/>
      <c r="D991" s="143" t="str">
        <f>"PRD_SNJ_"&amp;
_xlfn.XLOOKUP(商品マスタ[[#This Row],[仕入先]],テーブル1[仕入先名],テーブル1[仕入先コード],"XXX",0,1)&amp;
"_"&amp;
商品マスタ[[#This Row],[シリアル]]&amp;
"_"&amp;
TEXT(COUNTIFS(商品マスタ!$C$3:C991,商品マスタ[[#This Row],[仕入先]],商品マスタ!$E$3:E991,商品マスタ[[#This Row],[商品名]]), "00")</f>
        <v>PRD_SNJ__0000_00</v>
      </c>
      <c r="E991" s="87"/>
      <c r="F991" s="87">
        <f>IF(COUNTIFS($C$3:C991,商品マスタ[[#This Row],[仕入先]],$E$3:E991,商品マスタ[[#This Row],[商品名]]) = 1, 1,0)</f>
        <v>0</v>
      </c>
      <c r="G991" s="133" t="str">
        <f>TEXT(SUMIF($C$3:C991,商品マスタ[[#This Row],[仕入先]],$F$3:F991), "0000")</f>
        <v>0000</v>
      </c>
      <c r="H991" s="87"/>
      <c r="I991" s="87"/>
      <c r="J991" s="87"/>
      <c r="K991" s="87"/>
      <c r="L991" s="134"/>
      <c r="M991" s="157"/>
      <c r="N991" s="134"/>
      <c r="O991" s="135" t="str">
        <f>IF(COUNT(商品マスタ[[#This Row],[参考上代
（税込)]]) &gt; 0, (商品マスタ[[#This Row],[参考上代
（税込)]]-商品マスタ[[#This Row],[国内定価
（15％）]])/(商品マスタ[[#This Row],[参考上代
（税込)]]/1.08), "")</f>
        <v/>
      </c>
      <c r="P991" s="136">
        <v>0.1</v>
      </c>
      <c r="Q991" s="134">
        <f>商品マスタ[[#This Row],[仕入
単価]]*商品マスタ[[#This Row],[標準国内送料率]]</f>
        <v>0</v>
      </c>
      <c r="R991" s="134"/>
      <c r="S991" s="134">
        <f>IF(ISBLANK(商品マスタ[[#This Row],[実績
国内送料]]),商品マスタ[[#This Row],[標準国内送料]],)</f>
        <v>0</v>
      </c>
      <c r="T991" s="134">
        <f>商品マスタ[[#This Row],[仕入
単価]]+商品マスタ[[#This Row],[国内送料]]</f>
        <v>0</v>
      </c>
      <c r="U991" s="134">
        <f>ROUNDUP(商品マスタ[[#This Row],[仕入単価+国内送料]]/0.8,-1)</f>
        <v>0</v>
      </c>
      <c r="V991" s="134">
        <f>商品マスタ[[#This Row],[海外定価
（20％）]]-商品マスタ[[#This Row],[仕入単価+国内送料]]</f>
        <v>0</v>
      </c>
      <c r="W991" s="87">
        <f>ROUNDUP(商品マスタ[[#This Row],[仕入単価+国内送料]]/0.85,-1)</f>
        <v>0</v>
      </c>
      <c r="X991" s="134">
        <f>商品マスタ[[#This Row],[国内定価
（15％）]]-商品マスタ[[#This Row],[仕入単価+国内送料]]</f>
        <v>0</v>
      </c>
      <c r="Y991" s="139"/>
      <c r="Z991" s="87"/>
      <c r="AA991" s="87"/>
      <c r="AB991" s="87"/>
      <c r="AC991" s="140"/>
      <c r="AD991" s="87"/>
      <c r="AE991" s="87"/>
      <c r="AF991" s="158"/>
      <c r="AG991" s="141"/>
    </row>
    <row r="992" spans="1:33" ht="15.75" customHeight="1">
      <c r="A992" s="166"/>
      <c r="B992" s="167"/>
      <c r="C992" s="167"/>
      <c r="D992" s="143" t="str">
        <f>"PRD_SNJ_"&amp;
_xlfn.XLOOKUP(商品マスタ[[#This Row],[仕入先]],テーブル1[仕入先名],テーブル1[仕入先コード],"XXX",0,1)&amp;
"_"&amp;
商品マスタ[[#This Row],[シリアル]]&amp;
"_"&amp;
TEXT(COUNTIFS(商品マスタ!$C$3:C992,商品マスタ[[#This Row],[仕入先]],商品マスタ!$E$3:E992,商品マスタ[[#This Row],[商品名]]), "00")</f>
        <v>PRD_SNJ__0000_00</v>
      </c>
      <c r="E992" s="87"/>
      <c r="F992" s="87">
        <f>IF(COUNTIFS($C$3:C992,商品マスタ[[#This Row],[仕入先]],$E$3:E992,商品マスタ[[#This Row],[商品名]]) = 1, 1,0)</f>
        <v>0</v>
      </c>
      <c r="G992" s="133" t="str">
        <f>TEXT(SUMIF($C$3:C992,商品マスタ[[#This Row],[仕入先]],$F$3:F992), "0000")</f>
        <v>0000</v>
      </c>
      <c r="H992" s="87"/>
      <c r="I992" s="87"/>
      <c r="J992" s="87"/>
      <c r="K992" s="87"/>
      <c r="L992" s="134"/>
      <c r="M992" s="157"/>
      <c r="N992" s="134"/>
      <c r="O992" s="135" t="str">
        <f>IF(COUNT(商品マスタ[[#This Row],[参考上代
（税込)]]) &gt; 0, (商品マスタ[[#This Row],[参考上代
（税込)]]-商品マスタ[[#This Row],[国内定価
（15％）]])/(商品マスタ[[#This Row],[参考上代
（税込)]]/1.08), "")</f>
        <v/>
      </c>
      <c r="P992" s="136">
        <v>0.1</v>
      </c>
      <c r="Q992" s="134">
        <f>商品マスタ[[#This Row],[仕入
単価]]*商品マスタ[[#This Row],[標準国内送料率]]</f>
        <v>0</v>
      </c>
      <c r="R992" s="134"/>
      <c r="S992" s="134">
        <f>IF(ISBLANK(商品マスタ[[#This Row],[実績
国内送料]]),商品マスタ[[#This Row],[標準国内送料]],)</f>
        <v>0</v>
      </c>
      <c r="T992" s="134">
        <f>商品マスタ[[#This Row],[仕入
単価]]+商品マスタ[[#This Row],[国内送料]]</f>
        <v>0</v>
      </c>
      <c r="U992" s="134">
        <f>ROUNDUP(商品マスタ[[#This Row],[仕入単価+国内送料]]/0.8,-1)</f>
        <v>0</v>
      </c>
      <c r="V992" s="134">
        <f>商品マスタ[[#This Row],[海外定価
（20％）]]-商品マスタ[[#This Row],[仕入単価+国内送料]]</f>
        <v>0</v>
      </c>
      <c r="W992" s="87">
        <f>ROUNDUP(商品マスタ[[#This Row],[仕入単価+国内送料]]/0.85,-1)</f>
        <v>0</v>
      </c>
      <c r="X992" s="134">
        <f>商品マスタ[[#This Row],[国内定価
（15％）]]-商品マスタ[[#This Row],[仕入単価+国内送料]]</f>
        <v>0</v>
      </c>
      <c r="Y992" s="139"/>
      <c r="Z992" s="87"/>
      <c r="AA992" s="87"/>
      <c r="AB992" s="87"/>
      <c r="AC992" s="140"/>
      <c r="AD992" s="87"/>
      <c r="AE992" s="87"/>
      <c r="AF992" s="158"/>
      <c r="AG992" s="141"/>
    </row>
    <row r="993" spans="1:33" ht="15.75" customHeight="1">
      <c r="A993" s="166"/>
      <c r="B993" s="167"/>
      <c r="C993" s="167"/>
      <c r="D993" s="143" t="str">
        <f>"PRD_SNJ_"&amp;
_xlfn.XLOOKUP(商品マスタ[[#This Row],[仕入先]],テーブル1[仕入先名],テーブル1[仕入先コード],"XXX",0,1)&amp;
"_"&amp;
商品マスタ[[#This Row],[シリアル]]&amp;
"_"&amp;
TEXT(COUNTIFS(商品マスタ!$C$3:C993,商品マスタ[[#This Row],[仕入先]],商品マスタ!$E$3:E993,商品マスタ[[#This Row],[商品名]]), "00")</f>
        <v>PRD_SNJ__0000_00</v>
      </c>
      <c r="E993" s="87"/>
      <c r="F993" s="87">
        <f>IF(COUNTIFS($C$3:C993,商品マスタ[[#This Row],[仕入先]],$E$3:E993,商品マスタ[[#This Row],[商品名]]) = 1, 1,0)</f>
        <v>0</v>
      </c>
      <c r="G993" s="133" t="str">
        <f>TEXT(SUMIF($C$3:C993,商品マスタ[[#This Row],[仕入先]],$F$3:F993), "0000")</f>
        <v>0000</v>
      </c>
      <c r="H993" s="87"/>
      <c r="I993" s="87"/>
      <c r="J993" s="87"/>
      <c r="K993" s="87"/>
      <c r="L993" s="134"/>
      <c r="M993" s="157"/>
      <c r="N993" s="134"/>
      <c r="O993" s="135" t="str">
        <f>IF(COUNT(商品マスタ[[#This Row],[参考上代
（税込)]]) &gt; 0, (商品マスタ[[#This Row],[参考上代
（税込)]]-商品マスタ[[#This Row],[国内定価
（15％）]])/(商品マスタ[[#This Row],[参考上代
（税込)]]/1.08), "")</f>
        <v/>
      </c>
      <c r="P993" s="136">
        <v>0.1</v>
      </c>
      <c r="Q993" s="134">
        <f>商品マスタ[[#This Row],[仕入
単価]]*商品マスタ[[#This Row],[標準国内送料率]]</f>
        <v>0</v>
      </c>
      <c r="R993" s="134"/>
      <c r="S993" s="134">
        <f>IF(ISBLANK(商品マスタ[[#This Row],[実績
国内送料]]),商品マスタ[[#This Row],[標準国内送料]],)</f>
        <v>0</v>
      </c>
      <c r="T993" s="134">
        <f>商品マスタ[[#This Row],[仕入
単価]]+商品マスタ[[#This Row],[国内送料]]</f>
        <v>0</v>
      </c>
      <c r="U993" s="134">
        <f>ROUNDUP(商品マスタ[[#This Row],[仕入単価+国内送料]]/0.8,-1)</f>
        <v>0</v>
      </c>
      <c r="V993" s="134">
        <f>商品マスタ[[#This Row],[海外定価
（20％）]]-商品マスタ[[#This Row],[仕入単価+国内送料]]</f>
        <v>0</v>
      </c>
      <c r="W993" s="87">
        <f>ROUNDUP(商品マスタ[[#This Row],[仕入単価+国内送料]]/0.85,-1)</f>
        <v>0</v>
      </c>
      <c r="X993" s="134">
        <f>商品マスタ[[#This Row],[国内定価
（15％）]]-商品マスタ[[#This Row],[仕入単価+国内送料]]</f>
        <v>0</v>
      </c>
      <c r="Y993" s="139"/>
      <c r="Z993" s="87"/>
      <c r="AA993" s="87"/>
      <c r="AB993" s="87"/>
      <c r="AC993" s="140"/>
      <c r="AD993" s="87"/>
      <c r="AE993" s="87"/>
      <c r="AF993" s="158"/>
      <c r="AG993" s="141"/>
    </row>
    <row r="994" spans="1:33" ht="15.75" customHeight="1">
      <c r="A994" s="166"/>
      <c r="B994" s="167"/>
      <c r="C994" s="167"/>
      <c r="D994" s="143" t="str">
        <f>"PRD_SNJ_"&amp;
_xlfn.XLOOKUP(商品マスタ[[#This Row],[仕入先]],テーブル1[仕入先名],テーブル1[仕入先コード],"XXX",0,1)&amp;
"_"&amp;
商品マスタ[[#This Row],[シリアル]]&amp;
"_"&amp;
TEXT(COUNTIFS(商品マスタ!$C$3:C994,商品マスタ[[#This Row],[仕入先]],商品マスタ!$E$3:E994,商品マスタ[[#This Row],[商品名]]), "00")</f>
        <v>PRD_SNJ__0000_00</v>
      </c>
      <c r="E994" s="87"/>
      <c r="F994" s="87">
        <f>IF(COUNTIFS($C$3:C994,商品マスタ[[#This Row],[仕入先]],$E$3:E994,商品マスタ[[#This Row],[商品名]]) = 1, 1,0)</f>
        <v>0</v>
      </c>
      <c r="G994" s="133" t="str">
        <f>TEXT(SUMIF($C$3:C994,商品マスタ[[#This Row],[仕入先]],$F$3:F994), "0000")</f>
        <v>0000</v>
      </c>
      <c r="H994" s="87"/>
      <c r="I994" s="87"/>
      <c r="J994" s="87"/>
      <c r="K994" s="87"/>
      <c r="L994" s="134"/>
      <c r="M994" s="157"/>
      <c r="N994" s="134"/>
      <c r="O994" s="135" t="str">
        <f>IF(COUNT(商品マスタ[[#This Row],[参考上代
（税込)]]) &gt; 0, (商品マスタ[[#This Row],[参考上代
（税込)]]-商品マスタ[[#This Row],[国内定価
（15％）]])/(商品マスタ[[#This Row],[参考上代
（税込)]]/1.08), "")</f>
        <v/>
      </c>
      <c r="P994" s="136">
        <v>0.1</v>
      </c>
      <c r="Q994" s="134">
        <f>商品マスタ[[#This Row],[仕入
単価]]*商品マスタ[[#This Row],[標準国内送料率]]</f>
        <v>0</v>
      </c>
      <c r="R994" s="134"/>
      <c r="S994" s="134">
        <f>IF(ISBLANK(商品マスタ[[#This Row],[実績
国内送料]]),商品マスタ[[#This Row],[標準国内送料]],)</f>
        <v>0</v>
      </c>
      <c r="T994" s="134">
        <f>商品マスタ[[#This Row],[仕入
単価]]+商品マスタ[[#This Row],[国内送料]]</f>
        <v>0</v>
      </c>
      <c r="U994" s="134">
        <f>ROUNDUP(商品マスタ[[#This Row],[仕入単価+国内送料]]/0.8,-1)</f>
        <v>0</v>
      </c>
      <c r="V994" s="134">
        <f>商品マスタ[[#This Row],[海外定価
（20％）]]-商品マスタ[[#This Row],[仕入単価+国内送料]]</f>
        <v>0</v>
      </c>
      <c r="W994" s="87">
        <f>ROUNDUP(商品マスタ[[#This Row],[仕入単価+国内送料]]/0.85,-1)</f>
        <v>0</v>
      </c>
      <c r="X994" s="134">
        <f>商品マスタ[[#This Row],[国内定価
（15％）]]-商品マスタ[[#This Row],[仕入単価+国内送料]]</f>
        <v>0</v>
      </c>
      <c r="Y994" s="139"/>
      <c r="Z994" s="87"/>
      <c r="AA994" s="87"/>
      <c r="AB994" s="87"/>
      <c r="AC994" s="140"/>
      <c r="AD994" s="87"/>
      <c r="AE994" s="87"/>
      <c r="AF994" s="158"/>
      <c r="AG994" s="141"/>
    </row>
    <row r="995" spans="1:33" ht="15.75" customHeight="1">
      <c r="A995" s="166"/>
      <c r="B995" s="167"/>
      <c r="C995" s="167"/>
      <c r="D995" s="143" t="str">
        <f>"PRD_SNJ_"&amp;
_xlfn.XLOOKUP(商品マスタ[[#This Row],[仕入先]],テーブル1[仕入先名],テーブル1[仕入先コード],"XXX",0,1)&amp;
"_"&amp;
商品マスタ[[#This Row],[シリアル]]&amp;
"_"&amp;
TEXT(COUNTIFS(商品マスタ!$C$3:C995,商品マスタ[[#This Row],[仕入先]],商品マスタ!$E$3:E995,商品マスタ[[#This Row],[商品名]]), "00")</f>
        <v>PRD_SNJ__0000_00</v>
      </c>
      <c r="E995" s="87"/>
      <c r="F995" s="87">
        <f>IF(COUNTIFS($C$3:C995,商品マスタ[[#This Row],[仕入先]],$E$3:E995,商品マスタ[[#This Row],[商品名]]) = 1, 1,0)</f>
        <v>0</v>
      </c>
      <c r="G995" s="133" t="str">
        <f>TEXT(SUMIF($C$3:C995,商品マスタ[[#This Row],[仕入先]],$F$3:F995), "0000")</f>
        <v>0000</v>
      </c>
      <c r="H995" s="87"/>
      <c r="I995" s="87"/>
      <c r="J995" s="87"/>
      <c r="K995" s="87"/>
      <c r="L995" s="134"/>
      <c r="M995" s="157"/>
      <c r="N995" s="134"/>
      <c r="O995" s="135" t="str">
        <f>IF(COUNT(商品マスタ[[#This Row],[参考上代
（税込)]]) &gt; 0, (商品マスタ[[#This Row],[参考上代
（税込)]]-商品マスタ[[#This Row],[国内定価
（15％）]])/(商品マスタ[[#This Row],[参考上代
（税込)]]/1.08), "")</f>
        <v/>
      </c>
      <c r="P995" s="136">
        <v>0.1</v>
      </c>
      <c r="Q995" s="134">
        <f>商品マスタ[[#This Row],[仕入
単価]]*商品マスタ[[#This Row],[標準国内送料率]]</f>
        <v>0</v>
      </c>
      <c r="R995" s="134"/>
      <c r="S995" s="134">
        <f>IF(ISBLANK(商品マスタ[[#This Row],[実績
国内送料]]),商品マスタ[[#This Row],[標準国内送料]],)</f>
        <v>0</v>
      </c>
      <c r="T995" s="134">
        <f>商品マスタ[[#This Row],[仕入
単価]]+商品マスタ[[#This Row],[国内送料]]</f>
        <v>0</v>
      </c>
      <c r="U995" s="134">
        <f>ROUNDUP(商品マスタ[[#This Row],[仕入単価+国内送料]]/0.8,-1)</f>
        <v>0</v>
      </c>
      <c r="V995" s="134">
        <f>商品マスタ[[#This Row],[海外定価
（20％）]]-商品マスタ[[#This Row],[仕入単価+国内送料]]</f>
        <v>0</v>
      </c>
      <c r="W995" s="87">
        <f>ROUNDUP(商品マスタ[[#This Row],[仕入単価+国内送料]]/0.85,-1)</f>
        <v>0</v>
      </c>
      <c r="X995" s="134">
        <f>商品マスタ[[#This Row],[国内定価
（15％）]]-商品マスタ[[#This Row],[仕入単価+国内送料]]</f>
        <v>0</v>
      </c>
      <c r="Y995" s="139"/>
      <c r="Z995" s="87"/>
      <c r="AA995" s="87"/>
      <c r="AB995" s="87"/>
      <c r="AC995" s="140"/>
      <c r="AD995" s="87"/>
      <c r="AE995" s="87"/>
      <c r="AF995" s="158"/>
      <c r="AG995" s="141"/>
    </row>
    <row r="996" spans="1:33" ht="15.75" customHeight="1">
      <c r="A996" s="166"/>
      <c r="B996" s="167"/>
      <c r="C996" s="167"/>
      <c r="D996" s="143" t="str">
        <f>"PRD_SNJ_"&amp;
_xlfn.XLOOKUP(商品マスタ[[#This Row],[仕入先]],テーブル1[仕入先名],テーブル1[仕入先コード],"XXX",0,1)&amp;
"_"&amp;
商品マスタ[[#This Row],[シリアル]]&amp;
"_"&amp;
TEXT(COUNTIFS(商品マスタ!$C$3:C996,商品マスタ[[#This Row],[仕入先]],商品マスタ!$E$3:E996,商品マスタ[[#This Row],[商品名]]), "00")</f>
        <v>PRD_SNJ__0000_00</v>
      </c>
      <c r="E996" s="87"/>
      <c r="F996" s="87">
        <f>IF(COUNTIFS($C$3:C996,商品マスタ[[#This Row],[仕入先]],$E$3:E996,商品マスタ[[#This Row],[商品名]]) = 1, 1,0)</f>
        <v>0</v>
      </c>
      <c r="G996" s="133" t="str">
        <f>TEXT(SUMIF($C$3:C996,商品マスタ[[#This Row],[仕入先]],$F$3:F996), "0000")</f>
        <v>0000</v>
      </c>
      <c r="H996" s="87"/>
      <c r="I996" s="87"/>
      <c r="J996" s="87"/>
      <c r="K996" s="87"/>
      <c r="L996" s="134"/>
      <c r="M996" s="157"/>
      <c r="N996" s="134"/>
      <c r="O996" s="135" t="str">
        <f>IF(COUNT(商品マスタ[[#This Row],[参考上代
（税込)]]) &gt; 0, (商品マスタ[[#This Row],[参考上代
（税込)]]-商品マスタ[[#This Row],[国内定価
（15％）]])/(商品マスタ[[#This Row],[参考上代
（税込)]]/1.08), "")</f>
        <v/>
      </c>
      <c r="P996" s="136">
        <v>0.1</v>
      </c>
      <c r="Q996" s="134">
        <f>商品マスタ[[#This Row],[仕入
単価]]*商品マスタ[[#This Row],[標準国内送料率]]</f>
        <v>0</v>
      </c>
      <c r="R996" s="134"/>
      <c r="S996" s="134">
        <f>IF(ISBLANK(商品マスタ[[#This Row],[実績
国内送料]]),商品マスタ[[#This Row],[標準国内送料]],)</f>
        <v>0</v>
      </c>
      <c r="T996" s="134">
        <f>商品マスタ[[#This Row],[仕入
単価]]+商品マスタ[[#This Row],[国内送料]]</f>
        <v>0</v>
      </c>
      <c r="U996" s="134">
        <f>ROUNDUP(商品マスタ[[#This Row],[仕入単価+国内送料]]/0.8,-1)</f>
        <v>0</v>
      </c>
      <c r="V996" s="134">
        <f>商品マスタ[[#This Row],[海外定価
（20％）]]-商品マスタ[[#This Row],[仕入単価+国内送料]]</f>
        <v>0</v>
      </c>
      <c r="W996" s="87">
        <f>ROUNDUP(商品マスタ[[#This Row],[仕入単価+国内送料]]/0.85,-1)</f>
        <v>0</v>
      </c>
      <c r="X996" s="134">
        <f>商品マスタ[[#This Row],[国内定価
（15％）]]-商品マスタ[[#This Row],[仕入単価+国内送料]]</f>
        <v>0</v>
      </c>
      <c r="Y996" s="139"/>
      <c r="Z996" s="87"/>
      <c r="AA996" s="87"/>
      <c r="AB996" s="87"/>
      <c r="AC996" s="140"/>
      <c r="AD996" s="87"/>
      <c r="AE996" s="87"/>
      <c r="AF996" s="158"/>
      <c r="AG996" s="141"/>
    </row>
    <row r="997" spans="1:33" ht="15.75" customHeight="1">
      <c r="A997" s="166"/>
      <c r="B997" s="167"/>
      <c r="C997" s="167"/>
      <c r="D997" s="143" t="str">
        <f>"PRD_SNJ_"&amp;
_xlfn.XLOOKUP(商品マスタ[[#This Row],[仕入先]],テーブル1[仕入先名],テーブル1[仕入先コード],"XXX",0,1)&amp;
"_"&amp;
商品マスタ[[#This Row],[シリアル]]&amp;
"_"&amp;
TEXT(COUNTIFS(商品マスタ!$C$3:C997,商品マスタ[[#This Row],[仕入先]],商品マスタ!$E$3:E997,商品マスタ[[#This Row],[商品名]]), "00")</f>
        <v>PRD_SNJ__0000_00</v>
      </c>
      <c r="E997" s="87"/>
      <c r="F997" s="87">
        <f>IF(COUNTIFS($C$3:C997,商品マスタ[[#This Row],[仕入先]],$E$3:E997,商品マスタ[[#This Row],[商品名]]) = 1, 1,0)</f>
        <v>0</v>
      </c>
      <c r="G997" s="133" t="str">
        <f>TEXT(SUMIF($C$3:C997,商品マスタ[[#This Row],[仕入先]],$F$3:F997), "0000")</f>
        <v>0000</v>
      </c>
      <c r="H997" s="87"/>
      <c r="I997" s="87"/>
      <c r="J997" s="87"/>
      <c r="K997" s="87"/>
      <c r="L997" s="134"/>
      <c r="M997" s="157"/>
      <c r="N997" s="134"/>
      <c r="O997" s="135" t="str">
        <f>IF(COUNT(商品マスタ[[#This Row],[参考上代
（税込)]]) &gt; 0, (商品マスタ[[#This Row],[参考上代
（税込)]]-商品マスタ[[#This Row],[国内定価
（15％）]])/(商品マスタ[[#This Row],[参考上代
（税込)]]/1.08), "")</f>
        <v/>
      </c>
      <c r="P997" s="136">
        <v>0.1</v>
      </c>
      <c r="Q997" s="134">
        <f>商品マスタ[[#This Row],[仕入
単価]]*商品マスタ[[#This Row],[標準国内送料率]]</f>
        <v>0</v>
      </c>
      <c r="R997" s="134"/>
      <c r="S997" s="134">
        <f>IF(ISBLANK(商品マスタ[[#This Row],[実績
国内送料]]),商品マスタ[[#This Row],[標準国内送料]],)</f>
        <v>0</v>
      </c>
      <c r="T997" s="134">
        <f>商品マスタ[[#This Row],[仕入
単価]]+商品マスタ[[#This Row],[国内送料]]</f>
        <v>0</v>
      </c>
      <c r="U997" s="134">
        <f>ROUNDUP(商品マスタ[[#This Row],[仕入単価+国内送料]]/0.8,-1)</f>
        <v>0</v>
      </c>
      <c r="V997" s="134">
        <f>商品マスタ[[#This Row],[海外定価
（20％）]]-商品マスタ[[#This Row],[仕入単価+国内送料]]</f>
        <v>0</v>
      </c>
      <c r="W997" s="87">
        <f>ROUNDUP(商品マスタ[[#This Row],[仕入単価+国内送料]]/0.85,-1)</f>
        <v>0</v>
      </c>
      <c r="X997" s="134">
        <f>商品マスタ[[#This Row],[国内定価
（15％）]]-商品マスタ[[#This Row],[仕入単価+国内送料]]</f>
        <v>0</v>
      </c>
      <c r="Y997" s="139"/>
      <c r="Z997" s="87"/>
      <c r="AA997" s="87"/>
      <c r="AB997" s="87"/>
      <c r="AC997" s="140"/>
      <c r="AD997" s="87"/>
      <c r="AE997" s="87"/>
      <c r="AF997" s="158"/>
      <c r="AG997" s="141"/>
    </row>
    <row r="998" spans="1:33" ht="15.75" customHeight="1">
      <c r="A998" s="166"/>
      <c r="B998" s="167"/>
      <c r="C998" s="167"/>
      <c r="D998" s="143" t="str">
        <f>"PRD_SNJ_"&amp;
_xlfn.XLOOKUP(商品マスタ[[#This Row],[仕入先]],テーブル1[仕入先名],テーブル1[仕入先コード],"XXX",0,1)&amp;
"_"&amp;
商品マスタ[[#This Row],[シリアル]]&amp;
"_"&amp;
TEXT(COUNTIFS(商品マスタ!$C$3:C998,商品マスタ[[#This Row],[仕入先]],商品マスタ!$E$3:E998,商品マスタ[[#This Row],[商品名]]), "00")</f>
        <v>PRD_SNJ__0000_00</v>
      </c>
      <c r="E998" s="87"/>
      <c r="F998" s="87">
        <f>IF(COUNTIFS($C$3:C998,商品マスタ[[#This Row],[仕入先]],$E$3:E998,商品マスタ[[#This Row],[商品名]]) = 1, 1,0)</f>
        <v>0</v>
      </c>
      <c r="G998" s="133" t="str">
        <f>TEXT(SUMIF($C$3:C998,商品マスタ[[#This Row],[仕入先]],$F$3:F998), "0000")</f>
        <v>0000</v>
      </c>
      <c r="H998" s="87"/>
      <c r="I998" s="87"/>
      <c r="J998" s="87"/>
      <c r="K998" s="87"/>
      <c r="L998" s="134"/>
      <c r="M998" s="157"/>
      <c r="N998" s="134"/>
      <c r="O998" s="135" t="str">
        <f>IF(COUNT(商品マスタ[[#This Row],[参考上代
（税込)]]) &gt; 0, (商品マスタ[[#This Row],[参考上代
（税込)]]-商品マスタ[[#This Row],[国内定価
（15％）]])/(商品マスタ[[#This Row],[参考上代
（税込)]]/1.08), "")</f>
        <v/>
      </c>
      <c r="P998" s="136">
        <v>0.1</v>
      </c>
      <c r="Q998" s="134">
        <f>商品マスタ[[#This Row],[仕入
単価]]*商品マスタ[[#This Row],[標準国内送料率]]</f>
        <v>0</v>
      </c>
      <c r="R998" s="134"/>
      <c r="S998" s="134">
        <f>IF(ISBLANK(商品マスタ[[#This Row],[実績
国内送料]]),商品マスタ[[#This Row],[標準国内送料]],)</f>
        <v>0</v>
      </c>
      <c r="T998" s="134">
        <f>商品マスタ[[#This Row],[仕入
単価]]+商品マスタ[[#This Row],[国内送料]]</f>
        <v>0</v>
      </c>
      <c r="U998" s="134">
        <f>ROUNDUP(商品マスタ[[#This Row],[仕入単価+国内送料]]/0.8,-1)</f>
        <v>0</v>
      </c>
      <c r="V998" s="134">
        <f>商品マスタ[[#This Row],[海外定価
（20％）]]-商品マスタ[[#This Row],[仕入単価+国内送料]]</f>
        <v>0</v>
      </c>
      <c r="W998" s="87">
        <f>ROUNDUP(商品マスタ[[#This Row],[仕入単価+国内送料]]/0.85,-1)</f>
        <v>0</v>
      </c>
      <c r="X998" s="134">
        <f>商品マスタ[[#This Row],[国内定価
（15％）]]-商品マスタ[[#This Row],[仕入単価+国内送料]]</f>
        <v>0</v>
      </c>
      <c r="Y998" s="139"/>
      <c r="Z998" s="87"/>
      <c r="AA998" s="87"/>
      <c r="AB998" s="87"/>
      <c r="AC998" s="140"/>
      <c r="AD998" s="87"/>
      <c r="AE998" s="87"/>
      <c r="AF998" s="158"/>
      <c r="AG998" s="141"/>
    </row>
    <row r="999" spans="1:33" ht="15.75" customHeight="1">
      <c r="A999" s="166"/>
      <c r="B999" s="167"/>
      <c r="C999" s="167"/>
      <c r="D999" s="143" t="str">
        <f>"PRD_SNJ_"&amp;
_xlfn.XLOOKUP(商品マスタ[[#This Row],[仕入先]],テーブル1[仕入先名],テーブル1[仕入先コード],"XXX",0,1)&amp;
"_"&amp;
商品マスタ[[#This Row],[シリアル]]&amp;
"_"&amp;
TEXT(COUNTIFS(商品マスタ!$C$3:C999,商品マスタ[[#This Row],[仕入先]],商品マスタ!$E$3:E999,商品マスタ[[#This Row],[商品名]]), "00")</f>
        <v>PRD_SNJ__0000_00</v>
      </c>
      <c r="E999" s="87"/>
      <c r="F999" s="87">
        <f>IF(COUNTIFS($C$3:C999,商品マスタ[[#This Row],[仕入先]],$E$3:E999,商品マスタ[[#This Row],[商品名]]) = 1, 1,0)</f>
        <v>0</v>
      </c>
      <c r="G999" s="133" t="str">
        <f>TEXT(SUMIF($C$3:C999,商品マスタ[[#This Row],[仕入先]],$F$3:F999), "0000")</f>
        <v>0000</v>
      </c>
      <c r="H999" s="87"/>
      <c r="I999" s="87"/>
      <c r="J999" s="87"/>
      <c r="K999" s="87"/>
      <c r="L999" s="134"/>
      <c r="M999" s="157"/>
      <c r="N999" s="134"/>
      <c r="O999" s="135" t="str">
        <f>IF(COUNT(商品マスタ[[#This Row],[参考上代
（税込)]]) &gt; 0, (商品マスタ[[#This Row],[参考上代
（税込)]]-商品マスタ[[#This Row],[国内定価
（15％）]])/(商品マスタ[[#This Row],[参考上代
（税込)]]/1.08), "")</f>
        <v/>
      </c>
      <c r="P999" s="136">
        <v>0.1</v>
      </c>
      <c r="Q999" s="134">
        <f>商品マスタ[[#This Row],[仕入
単価]]*商品マスタ[[#This Row],[標準国内送料率]]</f>
        <v>0</v>
      </c>
      <c r="R999" s="134"/>
      <c r="S999" s="134">
        <f>IF(ISBLANK(商品マスタ[[#This Row],[実績
国内送料]]),商品マスタ[[#This Row],[標準国内送料]],)</f>
        <v>0</v>
      </c>
      <c r="T999" s="134">
        <f>商品マスタ[[#This Row],[仕入
単価]]+商品マスタ[[#This Row],[国内送料]]</f>
        <v>0</v>
      </c>
      <c r="U999" s="134">
        <f>ROUNDUP(商品マスタ[[#This Row],[仕入単価+国内送料]]/0.8,-1)</f>
        <v>0</v>
      </c>
      <c r="V999" s="134">
        <f>商品マスタ[[#This Row],[海外定価
（20％）]]-商品マスタ[[#This Row],[仕入単価+国内送料]]</f>
        <v>0</v>
      </c>
      <c r="W999" s="87">
        <f>ROUNDUP(商品マスタ[[#This Row],[仕入単価+国内送料]]/0.85,-1)</f>
        <v>0</v>
      </c>
      <c r="X999" s="134">
        <f>商品マスタ[[#This Row],[国内定価
（15％）]]-商品マスタ[[#This Row],[仕入単価+国内送料]]</f>
        <v>0</v>
      </c>
      <c r="Y999" s="139"/>
      <c r="Z999" s="87"/>
      <c r="AA999" s="87"/>
      <c r="AB999" s="87"/>
      <c r="AC999" s="140"/>
      <c r="AD999" s="87"/>
      <c r="AE999" s="87"/>
      <c r="AF999" s="158"/>
      <c r="AG999" s="141"/>
    </row>
    <row r="1000" spans="1:33" ht="15.75" customHeight="1">
      <c r="A1000" s="166"/>
      <c r="B1000" s="167"/>
      <c r="C1000" s="167"/>
      <c r="D1000" s="143" t="str">
        <f>"PRD_SNJ_"&amp;
_xlfn.XLOOKUP(商品マスタ[[#This Row],[仕入先]],テーブル1[仕入先名],テーブル1[仕入先コード],"XXX",0,1)&amp;
"_"&amp;
商品マスタ[[#This Row],[シリアル]]&amp;
"_"&amp;
TEXT(COUNTIFS(商品マスタ!$C$3:C1000,商品マスタ[[#This Row],[仕入先]],商品マスタ!$E$3:E1000,商品マスタ[[#This Row],[商品名]]), "00")</f>
        <v>PRD_SNJ__0000_00</v>
      </c>
      <c r="E1000" s="87"/>
      <c r="F1000" s="87">
        <f>IF(COUNTIFS($C$3:C1000,商品マスタ[[#This Row],[仕入先]],$E$3:E1000,商品マスタ[[#This Row],[商品名]]) = 1, 1,0)</f>
        <v>0</v>
      </c>
      <c r="G1000" s="133" t="str">
        <f>TEXT(SUMIF($C$3:C1000,商品マスタ[[#This Row],[仕入先]],$F$3:F1000), "0000")</f>
        <v>0000</v>
      </c>
      <c r="H1000" s="87"/>
      <c r="I1000" s="87"/>
      <c r="J1000" s="87"/>
      <c r="K1000" s="87"/>
      <c r="L1000" s="134"/>
      <c r="M1000" s="157"/>
      <c r="N1000" s="134"/>
      <c r="O1000" s="135" t="str">
        <f>IF(COUNT(商品マスタ[[#This Row],[参考上代
（税込)]]) &gt; 0, (商品マスタ[[#This Row],[参考上代
（税込)]]-商品マスタ[[#This Row],[国内定価
（15％）]])/(商品マスタ[[#This Row],[参考上代
（税込)]]/1.08), "")</f>
        <v/>
      </c>
      <c r="P1000" s="136">
        <v>0.1</v>
      </c>
      <c r="Q1000" s="134">
        <f>商品マスタ[[#This Row],[仕入
単価]]*商品マスタ[[#This Row],[標準国内送料率]]</f>
        <v>0</v>
      </c>
      <c r="R1000" s="134"/>
      <c r="S1000" s="134">
        <f>IF(ISBLANK(商品マスタ[[#This Row],[実績
国内送料]]),商品マスタ[[#This Row],[標準国内送料]],)</f>
        <v>0</v>
      </c>
      <c r="T1000" s="134">
        <f>商品マスタ[[#This Row],[仕入
単価]]+商品マスタ[[#This Row],[国内送料]]</f>
        <v>0</v>
      </c>
      <c r="U1000" s="134">
        <f>ROUNDUP(商品マスタ[[#This Row],[仕入単価+国内送料]]/0.8,-1)</f>
        <v>0</v>
      </c>
      <c r="V1000" s="134">
        <f>商品マスタ[[#This Row],[海外定価
（20％）]]-商品マスタ[[#This Row],[仕入単価+国内送料]]</f>
        <v>0</v>
      </c>
      <c r="W1000" s="87">
        <f>ROUNDUP(商品マスタ[[#This Row],[仕入単価+国内送料]]/0.85,-1)</f>
        <v>0</v>
      </c>
      <c r="X1000" s="134">
        <f>商品マスタ[[#This Row],[国内定価
（15％）]]-商品マスタ[[#This Row],[仕入単価+国内送料]]</f>
        <v>0</v>
      </c>
      <c r="Y1000" s="139"/>
      <c r="Z1000" s="87"/>
      <c r="AA1000" s="87"/>
      <c r="AB1000" s="87"/>
      <c r="AC1000" s="140"/>
      <c r="AD1000" s="87"/>
      <c r="AE1000" s="87"/>
      <c r="AF1000" s="158"/>
      <c r="AG1000" s="141"/>
    </row>
    <row r="1001" spans="1:33" ht="15.75" customHeight="1">
      <c r="A1001" s="166"/>
      <c r="B1001" s="167"/>
      <c r="C1001" s="167"/>
      <c r="D1001" s="143" t="str">
        <f>"PRD_SNJ_"&amp;
_xlfn.XLOOKUP(商品マスタ[[#This Row],[仕入先]],テーブル1[仕入先名],テーブル1[仕入先コード],"XXX",0,1)&amp;
"_"&amp;
商品マスタ[[#This Row],[シリアル]]&amp;
"_"&amp;
TEXT(COUNTIFS(商品マスタ!$C$3:C1001,商品マスタ[[#This Row],[仕入先]],商品マスタ!$E$3:E1001,商品マスタ[[#This Row],[商品名]]), "00")</f>
        <v>PRD_SNJ__0000_00</v>
      </c>
      <c r="E1001" s="87"/>
      <c r="F1001" s="87">
        <f>IF(COUNTIFS($C$3:C1001,商品マスタ[[#This Row],[仕入先]],$E$3:E1001,商品マスタ[[#This Row],[商品名]]) = 1, 1,0)</f>
        <v>0</v>
      </c>
      <c r="G1001" s="133" t="str">
        <f>TEXT(SUMIF($C$3:C1001,商品マスタ[[#This Row],[仕入先]],$F$3:F1001), "0000")</f>
        <v>0000</v>
      </c>
      <c r="H1001" s="87"/>
      <c r="I1001" s="87"/>
      <c r="J1001" s="87"/>
      <c r="K1001" s="87"/>
      <c r="L1001" s="134"/>
      <c r="M1001" s="157"/>
      <c r="N1001" s="134"/>
      <c r="O1001" s="135" t="str">
        <f>IF(COUNT(商品マスタ[[#This Row],[参考上代
（税込)]]) &gt; 0, (商品マスタ[[#This Row],[参考上代
（税込)]]-商品マスタ[[#This Row],[国内定価
（15％）]])/(商品マスタ[[#This Row],[参考上代
（税込)]]/1.08), "")</f>
        <v/>
      </c>
      <c r="P1001" s="136">
        <v>0.1</v>
      </c>
      <c r="Q1001" s="134">
        <f>商品マスタ[[#This Row],[仕入
単価]]*商品マスタ[[#This Row],[標準国内送料率]]</f>
        <v>0</v>
      </c>
      <c r="R1001" s="134"/>
      <c r="S1001" s="134">
        <f>IF(ISBLANK(商品マスタ[[#This Row],[実績
国内送料]]),商品マスタ[[#This Row],[標準国内送料]],)</f>
        <v>0</v>
      </c>
      <c r="T1001" s="134">
        <f>商品マスタ[[#This Row],[仕入
単価]]+商品マスタ[[#This Row],[国内送料]]</f>
        <v>0</v>
      </c>
      <c r="U1001" s="134">
        <f>ROUNDUP(商品マスタ[[#This Row],[仕入単価+国内送料]]/0.8,-1)</f>
        <v>0</v>
      </c>
      <c r="V1001" s="134">
        <f>商品マスタ[[#This Row],[海外定価
（20％）]]-商品マスタ[[#This Row],[仕入単価+国内送料]]</f>
        <v>0</v>
      </c>
      <c r="W1001" s="87">
        <f>ROUNDUP(商品マスタ[[#This Row],[仕入単価+国内送料]]/0.85,-1)</f>
        <v>0</v>
      </c>
      <c r="X1001" s="134">
        <f>商品マスタ[[#This Row],[国内定価
（15％）]]-商品マスタ[[#This Row],[仕入単価+国内送料]]</f>
        <v>0</v>
      </c>
      <c r="Y1001" s="139"/>
      <c r="Z1001" s="87"/>
      <c r="AA1001" s="87"/>
      <c r="AB1001" s="87"/>
      <c r="AC1001" s="140"/>
      <c r="AD1001" s="87"/>
      <c r="AE1001" s="87"/>
      <c r="AF1001" s="158"/>
      <c r="AG1001" s="141"/>
    </row>
    <row r="1002" spans="1:33" ht="15.75" customHeight="1">
      <c r="A1002" s="166"/>
      <c r="B1002" s="167"/>
      <c r="C1002" s="167"/>
      <c r="D1002" s="143" t="str">
        <f>"PRD_SNJ_"&amp;
_xlfn.XLOOKUP(商品マスタ[[#This Row],[仕入先]],テーブル1[仕入先名],テーブル1[仕入先コード],"XXX",0,1)&amp;
"_"&amp;
商品マスタ[[#This Row],[シリアル]]&amp;
"_"&amp;
TEXT(COUNTIFS(商品マスタ!$C$3:C1002,商品マスタ[[#This Row],[仕入先]],商品マスタ!$E$3:E1002,商品マスタ[[#This Row],[商品名]]), "00")</f>
        <v>PRD_SNJ__0000_00</v>
      </c>
      <c r="E1002" s="87"/>
      <c r="F1002" s="87">
        <f>IF(COUNTIFS($C$3:C1002,商品マスタ[[#This Row],[仕入先]],$E$3:E1002,商品マスタ[[#This Row],[商品名]]) = 1, 1,0)</f>
        <v>0</v>
      </c>
      <c r="G1002" s="133" t="str">
        <f>TEXT(SUMIF($C$3:C1002,商品マスタ[[#This Row],[仕入先]],$F$3:F1002), "0000")</f>
        <v>0000</v>
      </c>
      <c r="H1002" s="87"/>
      <c r="I1002" s="87"/>
      <c r="J1002" s="87"/>
      <c r="K1002" s="87"/>
      <c r="L1002" s="134"/>
      <c r="M1002" s="157"/>
      <c r="N1002" s="134"/>
      <c r="O1002" s="135" t="str">
        <f>IF(COUNT(商品マスタ[[#This Row],[参考上代
（税込)]]) &gt; 0, (商品マスタ[[#This Row],[参考上代
（税込)]]-商品マスタ[[#This Row],[国内定価
（15％）]])/(商品マスタ[[#This Row],[参考上代
（税込)]]/1.08), "")</f>
        <v/>
      </c>
      <c r="P1002" s="136">
        <v>0.1</v>
      </c>
      <c r="Q1002" s="134">
        <f>商品マスタ[[#This Row],[仕入
単価]]*商品マスタ[[#This Row],[標準国内送料率]]</f>
        <v>0</v>
      </c>
      <c r="R1002" s="134"/>
      <c r="S1002" s="134">
        <f>IF(ISBLANK(商品マスタ[[#This Row],[実績
国内送料]]),商品マスタ[[#This Row],[標準国内送料]],)</f>
        <v>0</v>
      </c>
      <c r="T1002" s="134">
        <f>商品マスタ[[#This Row],[仕入
単価]]+商品マスタ[[#This Row],[国内送料]]</f>
        <v>0</v>
      </c>
      <c r="U1002" s="134">
        <f>ROUNDUP(商品マスタ[[#This Row],[仕入単価+国内送料]]/0.8,-1)</f>
        <v>0</v>
      </c>
      <c r="V1002" s="134">
        <f>商品マスタ[[#This Row],[海外定価
（20％）]]-商品マスタ[[#This Row],[仕入単価+国内送料]]</f>
        <v>0</v>
      </c>
      <c r="W1002" s="87">
        <f>ROUNDUP(商品マスタ[[#This Row],[仕入単価+国内送料]]/0.85,-1)</f>
        <v>0</v>
      </c>
      <c r="X1002" s="134">
        <f>商品マスタ[[#This Row],[国内定価
（15％）]]-商品マスタ[[#This Row],[仕入単価+国内送料]]</f>
        <v>0</v>
      </c>
      <c r="Y1002" s="139"/>
      <c r="Z1002" s="87"/>
      <c r="AA1002" s="87"/>
      <c r="AB1002" s="87"/>
      <c r="AC1002" s="140"/>
      <c r="AD1002" s="87"/>
      <c r="AE1002" s="87"/>
      <c r="AF1002" s="158"/>
      <c r="AG1002" s="141"/>
    </row>
    <row r="1003" spans="1:33" ht="15.75" customHeight="1">
      <c r="A1003" s="166"/>
      <c r="B1003" s="167"/>
      <c r="C1003" s="167"/>
      <c r="D1003" s="143" t="str">
        <f>"PRD_SNJ_"&amp;
_xlfn.XLOOKUP(商品マスタ[[#This Row],[仕入先]],テーブル1[仕入先名],テーブル1[仕入先コード],"XXX",0,1)&amp;
"_"&amp;
商品マスタ[[#This Row],[シリアル]]&amp;
"_"&amp;
TEXT(COUNTIFS(商品マスタ!$C$3:C1003,商品マスタ[[#This Row],[仕入先]],商品マスタ!$E$3:E1003,商品マスタ[[#This Row],[商品名]]), "00")</f>
        <v>PRD_SNJ__0000_00</v>
      </c>
      <c r="E1003" s="87"/>
      <c r="F1003" s="87">
        <f>IF(COUNTIFS($C$3:C1003,商品マスタ[[#This Row],[仕入先]],$E$3:E1003,商品マスタ[[#This Row],[商品名]]) = 1, 1,0)</f>
        <v>0</v>
      </c>
      <c r="G1003" s="133" t="str">
        <f>TEXT(SUMIF($C$3:C1003,商品マスタ[[#This Row],[仕入先]],$F$3:F1003), "0000")</f>
        <v>0000</v>
      </c>
      <c r="H1003" s="87"/>
      <c r="I1003" s="87"/>
      <c r="J1003" s="87"/>
      <c r="K1003" s="87"/>
      <c r="L1003" s="134"/>
      <c r="M1003" s="157"/>
      <c r="N1003" s="134"/>
      <c r="O1003" s="135" t="str">
        <f>IF(COUNT(商品マスタ[[#This Row],[参考上代
（税込)]]) &gt; 0, (商品マスタ[[#This Row],[参考上代
（税込)]]-商品マスタ[[#This Row],[国内定価
（15％）]])/(商品マスタ[[#This Row],[参考上代
（税込)]]/1.08), "")</f>
        <v/>
      </c>
      <c r="P1003" s="136">
        <v>0.1</v>
      </c>
      <c r="Q1003" s="134">
        <f>商品マスタ[[#This Row],[仕入
単価]]*商品マスタ[[#This Row],[標準国内送料率]]</f>
        <v>0</v>
      </c>
      <c r="R1003" s="134"/>
      <c r="S1003" s="134">
        <f>IF(ISBLANK(商品マスタ[[#This Row],[実績
国内送料]]),商品マスタ[[#This Row],[標準国内送料]],)</f>
        <v>0</v>
      </c>
      <c r="T1003" s="134">
        <f>商品マスタ[[#This Row],[仕入
単価]]+商品マスタ[[#This Row],[国内送料]]</f>
        <v>0</v>
      </c>
      <c r="U1003" s="134">
        <f>ROUNDUP(商品マスタ[[#This Row],[仕入単価+国内送料]]/0.8,-1)</f>
        <v>0</v>
      </c>
      <c r="V1003" s="134">
        <f>商品マスタ[[#This Row],[海外定価
（20％）]]-商品マスタ[[#This Row],[仕入単価+国内送料]]</f>
        <v>0</v>
      </c>
      <c r="W1003" s="87">
        <f>ROUNDUP(商品マスタ[[#This Row],[仕入単価+国内送料]]/0.85,-1)</f>
        <v>0</v>
      </c>
      <c r="X1003" s="134">
        <f>商品マスタ[[#This Row],[国内定価
（15％）]]-商品マスタ[[#This Row],[仕入単価+国内送料]]</f>
        <v>0</v>
      </c>
      <c r="Y1003" s="139"/>
      <c r="Z1003" s="87"/>
      <c r="AA1003" s="87"/>
      <c r="AB1003" s="87"/>
      <c r="AC1003" s="140"/>
      <c r="AD1003" s="87"/>
      <c r="AE1003" s="87"/>
      <c r="AF1003" s="158"/>
      <c r="AG1003" s="141"/>
    </row>
    <row r="1004" spans="1:33" ht="15.75" customHeight="1">
      <c r="A1004" s="166"/>
      <c r="B1004" s="167"/>
      <c r="C1004" s="167"/>
      <c r="D1004" s="143" t="str">
        <f>"PRD_SNJ_"&amp;
_xlfn.XLOOKUP(商品マスタ[[#This Row],[仕入先]],テーブル1[仕入先名],テーブル1[仕入先コード],"XXX",0,1)&amp;
"_"&amp;
商品マスタ[[#This Row],[シリアル]]&amp;
"_"&amp;
TEXT(COUNTIFS(商品マスタ!$C$3:C1004,商品マスタ[[#This Row],[仕入先]],商品マスタ!$E$3:E1004,商品マスタ[[#This Row],[商品名]]), "00")</f>
        <v>PRD_SNJ__0000_00</v>
      </c>
      <c r="E1004" s="87"/>
      <c r="F1004" s="87">
        <f>IF(COUNTIFS($C$3:C1004,商品マスタ[[#This Row],[仕入先]],$E$3:E1004,商品マスタ[[#This Row],[商品名]]) = 1, 1,0)</f>
        <v>0</v>
      </c>
      <c r="G1004" s="133" t="str">
        <f>TEXT(SUMIF($C$3:C1004,商品マスタ[[#This Row],[仕入先]],$F$3:F1004), "0000")</f>
        <v>0000</v>
      </c>
      <c r="H1004" s="87"/>
      <c r="I1004" s="87"/>
      <c r="J1004" s="87"/>
      <c r="K1004" s="87"/>
      <c r="L1004" s="134"/>
      <c r="M1004" s="157"/>
      <c r="N1004" s="134"/>
      <c r="O1004" s="135" t="str">
        <f>IF(COUNT(商品マスタ[[#This Row],[参考上代
（税込)]]) &gt; 0, (商品マスタ[[#This Row],[参考上代
（税込)]]-商品マスタ[[#This Row],[国内定価
（15％）]])/(商品マスタ[[#This Row],[参考上代
（税込)]]/1.08), "")</f>
        <v/>
      </c>
      <c r="P1004" s="136">
        <v>0.1</v>
      </c>
      <c r="Q1004" s="134">
        <f>商品マスタ[[#This Row],[仕入
単価]]*商品マスタ[[#This Row],[標準国内送料率]]</f>
        <v>0</v>
      </c>
      <c r="R1004" s="134"/>
      <c r="S1004" s="134">
        <f>IF(ISBLANK(商品マスタ[[#This Row],[実績
国内送料]]),商品マスタ[[#This Row],[標準国内送料]],)</f>
        <v>0</v>
      </c>
      <c r="T1004" s="134">
        <f>商品マスタ[[#This Row],[仕入
単価]]+商品マスタ[[#This Row],[国内送料]]</f>
        <v>0</v>
      </c>
      <c r="U1004" s="134">
        <f>ROUNDUP(商品マスタ[[#This Row],[仕入単価+国内送料]]/0.8,-1)</f>
        <v>0</v>
      </c>
      <c r="V1004" s="134">
        <f>商品マスタ[[#This Row],[海外定価
（20％）]]-商品マスタ[[#This Row],[仕入単価+国内送料]]</f>
        <v>0</v>
      </c>
      <c r="W1004" s="87">
        <f>ROUNDUP(商品マスタ[[#This Row],[仕入単価+国内送料]]/0.85,-1)</f>
        <v>0</v>
      </c>
      <c r="X1004" s="134">
        <f>商品マスタ[[#This Row],[国内定価
（15％）]]-商品マスタ[[#This Row],[仕入単価+国内送料]]</f>
        <v>0</v>
      </c>
      <c r="Y1004" s="139"/>
      <c r="Z1004" s="87"/>
      <c r="AA1004" s="87"/>
      <c r="AB1004" s="87"/>
      <c r="AC1004" s="140"/>
      <c r="AD1004" s="87"/>
      <c r="AE1004" s="87"/>
      <c r="AF1004" s="158"/>
      <c r="AG1004" s="141"/>
    </row>
    <row r="1005" spans="1:33" ht="15.75" customHeight="1">
      <c r="A1005" s="166"/>
      <c r="B1005" s="167"/>
      <c r="C1005" s="167"/>
      <c r="D1005" s="143" t="str">
        <f>"PRD_SNJ_"&amp;
_xlfn.XLOOKUP(商品マスタ[[#This Row],[仕入先]],テーブル1[仕入先名],テーブル1[仕入先コード],"XXX",0,1)&amp;
"_"&amp;
商品マスタ[[#This Row],[シリアル]]&amp;
"_"&amp;
TEXT(COUNTIFS(商品マスタ!$C$3:C1005,商品マスタ[[#This Row],[仕入先]],商品マスタ!$E$3:E1005,商品マスタ[[#This Row],[商品名]]), "00")</f>
        <v>PRD_SNJ__0000_00</v>
      </c>
      <c r="E1005" s="87"/>
      <c r="F1005" s="87">
        <f>IF(COUNTIFS($C$3:C1005,商品マスタ[[#This Row],[仕入先]],$E$3:E1005,商品マスタ[[#This Row],[商品名]]) = 1, 1,0)</f>
        <v>0</v>
      </c>
      <c r="G1005" s="133" t="str">
        <f>TEXT(SUMIF($C$3:C1005,商品マスタ[[#This Row],[仕入先]],$F$3:F1005), "0000")</f>
        <v>0000</v>
      </c>
      <c r="H1005" s="87"/>
      <c r="I1005" s="87"/>
      <c r="J1005" s="87"/>
      <c r="K1005" s="87"/>
      <c r="L1005" s="134"/>
      <c r="M1005" s="157"/>
      <c r="N1005" s="134"/>
      <c r="O1005" s="135" t="str">
        <f>IF(COUNT(商品マスタ[[#This Row],[参考上代
（税込)]]) &gt; 0, (商品マスタ[[#This Row],[参考上代
（税込)]]-商品マスタ[[#This Row],[国内定価
（15％）]])/(商品マスタ[[#This Row],[参考上代
（税込)]]/1.08), "")</f>
        <v/>
      </c>
      <c r="P1005" s="136">
        <v>0.1</v>
      </c>
      <c r="Q1005" s="134">
        <f>商品マスタ[[#This Row],[仕入
単価]]*商品マスタ[[#This Row],[標準国内送料率]]</f>
        <v>0</v>
      </c>
      <c r="R1005" s="134"/>
      <c r="S1005" s="134">
        <f>IF(ISBLANK(商品マスタ[[#This Row],[実績
国内送料]]),商品マスタ[[#This Row],[標準国内送料]],)</f>
        <v>0</v>
      </c>
      <c r="T1005" s="134">
        <f>商品マスタ[[#This Row],[仕入
単価]]+商品マスタ[[#This Row],[国内送料]]</f>
        <v>0</v>
      </c>
      <c r="U1005" s="134">
        <f>ROUNDUP(商品マスタ[[#This Row],[仕入単価+国内送料]]/0.8,-1)</f>
        <v>0</v>
      </c>
      <c r="V1005" s="134">
        <f>商品マスタ[[#This Row],[海外定価
（20％）]]-商品マスタ[[#This Row],[仕入単価+国内送料]]</f>
        <v>0</v>
      </c>
      <c r="W1005" s="87">
        <f>ROUNDUP(商品マスタ[[#This Row],[仕入単価+国内送料]]/0.85,-1)</f>
        <v>0</v>
      </c>
      <c r="X1005" s="134">
        <f>商品マスタ[[#This Row],[国内定価
（15％）]]-商品マスタ[[#This Row],[仕入単価+国内送料]]</f>
        <v>0</v>
      </c>
      <c r="Y1005" s="139"/>
      <c r="Z1005" s="87"/>
      <c r="AA1005" s="87"/>
      <c r="AB1005" s="87"/>
      <c r="AC1005" s="140"/>
      <c r="AD1005" s="87"/>
      <c r="AE1005" s="87"/>
      <c r="AF1005" s="158"/>
      <c r="AG1005" s="141"/>
    </row>
    <row r="1006" spans="1:33" ht="15.75" customHeight="1">
      <c r="A1006" s="166"/>
      <c r="B1006" s="167"/>
      <c r="C1006" s="167"/>
      <c r="D1006" s="143" t="str">
        <f>"PRD_SNJ_"&amp;
_xlfn.XLOOKUP(商品マスタ[[#This Row],[仕入先]],テーブル1[仕入先名],テーブル1[仕入先コード],"XXX",0,1)&amp;
"_"&amp;
商品マスタ[[#This Row],[シリアル]]&amp;
"_"&amp;
TEXT(COUNTIFS(商品マスタ!$C$3:C1006,商品マスタ[[#This Row],[仕入先]],商品マスタ!$E$3:E1006,商品マスタ[[#This Row],[商品名]]), "00")</f>
        <v>PRD_SNJ__0000_00</v>
      </c>
      <c r="E1006" s="87"/>
      <c r="F1006" s="87">
        <f>IF(COUNTIFS($C$3:C1006,商品マスタ[[#This Row],[仕入先]],$E$3:E1006,商品マスタ[[#This Row],[商品名]]) = 1, 1,0)</f>
        <v>0</v>
      </c>
      <c r="G1006" s="133" t="str">
        <f>TEXT(SUMIF($C$3:C1006,商品マスタ[[#This Row],[仕入先]],$F$3:F1006), "0000")</f>
        <v>0000</v>
      </c>
      <c r="H1006" s="87"/>
      <c r="I1006" s="87"/>
      <c r="J1006" s="87"/>
      <c r="K1006" s="87"/>
      <c r="L1006" s="134"/>
      <c r="M1006" s="157"/>
      <c r="N1006" s="134"/>
      <c r="O1006" s="135" t="str">
        <f>IF(COUNT(商品マスタ[[#This Row],[参考上代
（税込)]]) &gt; 0, (商品マスタ[[#This Row],[参考上代
（税込)]]-商品マスタ[[#This Row],[国内定価
（15％）]])/(商品マスタ[[#This Row],[参考上代
（税込)]]/1.08), "")</f>
        <v/>
      </c>
      <c r="P1006" s="136">
        <v>0.1</v>
      </c>
      <c r="Q1006" s="134">
        <f>商品マスタ[[#This Row],[仕入
単価]]*商品マスタ[[#This Row],[標準国内送料率]]</f>
        <v>0</v>
      </c>
      <c r="R1006" s="134"/>
      <c r="S1006" s="134">
        <f>IF(ISBLANK(商品マスタ[[#This Row],[実績
国内送料]]),商品マスタ[[#This Row],[標準国内送料]],)</f>
        <v>0</v>
      </c>
      <c r="T1006" s="134">
        <f>商品マスタ[[#This Row],[仕入
単価]]+商品マスタ[[#This Row],[国内送料]]</f>
        <v>0</v>
      </c>
      <c r="U1006" s="134">
        <f>ROUNDUP(商品マスタ[[#This Row],[仕入単価+国内送料]]/0.8,-1)</f>
        <v>0</v>
      </c>
      <c r="V1006" s="134">
        <f>商品マスタ[[#This Row],[海外定価
（20％）]]-商品マスタ[[#This Row],[仕入単価+国内送料]]</f>
        <v>0</v>
      </c>
      <c r="W1006" s="87">
        <f>ROUNDUP(商品マスタ[[#This Row],[仕入単価+国内送料]]/0.85,-1)</f>
        <v>0</v>
      </c>
      <c r="X1006" s="134">
        <f>商品マスタ[[#This Row],[国内定価
（15％）]]-商品マスタ[[#This Row],[仕入単価+国内送料]]</f>
        <v>0</v>
      </c>
      <c r="Y1006" s="139"/>
      <c r="Z1006" s="87"/>
      <c r="AA1006" s="87"/>
      <c r="AB1006" s="87"/>
      <c r="AC1006" s="140"/>
      <c r="AD1006" s="87"/>
      <c r="AE1006" s="87"/>
      <c r="AF1006" s="158"/>
      <c r="AG1006" s="141"/>
    </row>
    <row r="1007" spans="1:33" ht="15.75" customHeight="1">
      <c r="A1007" s="166"/>
      <c r="B1007" s="167"/>
      <c r="C1007" s="167"/>
      <c r="D1007" s="143" t="str">
        <f>"PRD_SNJ_"&amp;
_xlfn.XLOOKUP(商品マスタ[[#This Row],[仕入先]],テーブル1[仕入先名],テーブル1[仕入先コード],"XXX",0,1)&amp;
"_"&amp;
商品マスタ[[#This Row],[シリアル]]&amp;
"_"&amp;
TEXT(COUNTIFS(商品マスタ!$C$3:C1007,商品マスタ[[#This Row],[仕入先]],商品マスタ!$E$3:E1007,商品マスタ[[#This Row],[商品名]]), "00")</f>
        <v>PRD_SNJ__0000_00</v>
      </c>
      <c r="E1007" s="87"/>
      <c r="F1007" s="87">
        <f>IF(COUNTIFS($C$3:C1007,商品マスタ[[#This Row],[仕入先]],$E$3:E1007,商品マスタ[[#This Row],[商品名]]) = 1, 1,0)</f>
        <v>0</v>
      </c>
      <c r="G1007" s="133" t="str">
        <f>TEXT(SUMIF($C$3:C1007,商品マスタ[[#This Row],[仕入先]],$F$3:F1007), "0000")</f>
        <v>0000</v>
      </c>
      <c r="H1007" s="87"/>
      <c r="I1007" s="87"/>
      <c r="J1007" s="87"/>
      <c r="K1007" s="87"/>
      <c r="L1007" s="134"/>
      <c r="M1007" s="157"/>
      <c r="N1007" s="134"/>
      <c r="O1007" s="135" t="str">
        <f>IF(COUNT(商品マスタ[[#This Row],[参考上代
（税込)]]) &gt; 0, (商品マスタ[[#This Row],[参考上代
（税込)]]-商品マスタ[[#This Row],[国内定価
（15％）]])/(商品マスタ[[#This Row],[参考上代
（税込)]]/1.08), "")</f>
        <v/>
      </c>
      <c r="P1007" s="136">
        <v>0.1</v>
      </c>
      <c r="Q1007" s="134">
        <f>商品マスタ[[#This Row],[仕入
単価]]*商品マスタ[[#This Row],[標準国内送料率]]</f>
        <v>0</v>
      </c>
      <c r="R1007" s="134"/>
      <c r="S1007" s="134">
        <f>IF(ISBLANK(商品マスタ[[#This Row],[実績
国内送料]]),商品マスタ[[#This Row],[標準国内送料]],)</f>
        <v>0</v>
      </c>
      <c r="T1007" s="134">
        <f>商品マスタ[[#This Row],[仕入
単価]]+商品マスタ[[#This Row],[国内送料]]</f>
        <v>0</v>
      </c>
      <c r="U1007" s="134">
        <f>ROUNDUP(商品マスタ[[#This Row],[仕入単価+国内送料]]/0.8,-1)</f>
        <v>0</v>
      </c>
      <c r="V1007" s="134">
        <f>商品マスタ[[#This Row],[海外定価
（20％）]]-商品マスタ[[#This Row],[仕入単価+国内送料]]</f>
        <v>0</v>
      </c>
      <c r="W1007" s="87">
        <f>ROUNDUP(商品マスタ[[#This Row],[仕入単価+国内送料]]/0.85,-1)</f>
        <v>0</v>
      </c>
      <c r="X1007" s="134">
        <f>商品マスタ[[#This Row],[国内定価
（15％）]]-商品マスタ[[#This Row],[仕入単価+国内送料]]</f>
        <v>0</v>
      </c>
      <c r="Y1007" s="139"/>
      <c r="Z1007" s="87"/>
      <c r="AA1007" s="87"/>
      <c r="AB1007" s="87"/>
      <c r="AC1007" s="140"/>
      <c r="AD1007" s="87"/>
      <c r="AE1007" s="87"/>
      <c r="AF1007" s="158"/>
      <c r="AG1007" s="141"/>
    </row>
    <row r="1008" spans="1:33" ht="15.75" customHeight="1">
      <c r="A1008" s="166"/>
      <c r="B1008" s="167"/>
      <c r="C1008" s="167"/>
      <c r="D1008" s="143" t="str">
        <f>"PRD_SNJ_"&amp;
_xlfn.XLOOKUP(商品マスタ[[#This Row],[仕入先]],テーブル1[仕入先名],テーブル1[仕入先コード],"XXX",0,1)&amp;
"_"&amp;
商品マスタ[[#This Row],[シリアル]]&amp;
"_"&amp;
TEXT(COUNTIFS(商品マスタ!$C$3:C1008,商品マスタ[[#This Row],[仕入先]],商品マスタ!$E$3:E1008,商品マスタ[[#This Row],[商品名]]), "00")</f>
        <v>PRD_SNJ__0000_00</v>
      </c>
      <c r="E1008" s="87"/>
      <c r="F1008" s="87">
        <f>IF(COUNTIFS($C$3:C1008,商品マスタ[[#This Row],[仕入先]],$E$3:E1008,商品マスタ[[#This Row],[商品名]]) = 1, 1,0)</f>
        <v>0</v>
      </c>
      <c r="G1008" s="133" t="str">
        <f>TEXT(SUMIF($C$3:C1008,商品マスタ[[#This Row],[仕入先]],$F$3:F1008), "0000")</f>
        <v>0000</v>
      </c>
      <c r="H1008" s="87"/>
      <c r="I1008" s="87"/>
      <c r="J1008" s="87"/>
      <c r="K1008" s="87"/>
      <c r="L1008" s="134"/>
      <c r="M1008" s="157"/>
      <c r="N1008" s="134"/>
      <c r="O1008" s="135" t="str">
        <f>IF(COUNT(商品マスタ[[#This Row],[参考上代
（税込)]]) &gt; 0, (商品マスタ[[#This Row],[参考上代
（税込)]]-商品マスタ[[#This Row],[国内定価
（15％）]])/(商品マスタ[[#This Row],[参考上代
（税込)]]/1.08), "")</f>
        <v/>
      </c>
      <c r="P1008" s="136">
        <v>0.1</v>
      </c>
      <c r="Q1008" s="134">
        <f>商品マスタ[[#This Row],[仕入
単価]]*商品マスタ[[#This Row],[標準国内送料率]]</f>
        <v>0</v>
      </c>
      <c r="R1008" s="134"/>
      <c r="S1008" s="134">
        <f>IF(ISBLANK(商品マスタ[[#This Row],[実績
国内送料]]),商品マスタ[[#This Row],[標準国内送料]],)</f>
        <v>0</v>
      </c>
      <c r="T1008" s="134">
        <f>商品マスタ[[#This Row],[仕入
単価]]+商品マスタ[[#This Row],[国内送料]]</f>
        <v>0</v>
      </c>
      <c r="U1008" s="134">
        <f>ROUNDUP(商品マスタ[[#This Row],[仕入単価+国内送料]]/0.8,-1)</f>
        <v>0</v>
      </c>
      <c r="V1008" s="134">
        <f>商品マスタ[[#This Row],[海外定価
（20％）]]-商品マスタ[[#This Row],[仕入単価+国内送料]]</f>
        <v>0</v>
      </c>
      <c r="W1008" s="87">
        <f>ROUNDUP(商品マスタ[[#This Row],[仕入単価+国内送料]]/0.85,-1)</f>
        <v>0</v>
      </c>
      <c r="X1008" s="134">
        <f>商品マスタ[[#This Row],[国内定価
（15％）]]-商品マスタ[[#This Row],[仕入単価+国内送料]]</f>
        <v>0</v>
      </c>
      <c r="Y1008" s="139"/>
      <c r="Z1008" s="87"/>
      <c r="AA1008" s="87"/>
      <c r="AB1008" s="87"/>
      <c r="AC1008" s="140"/>
      <c r="AD1008" s="87"/>
      <c r="AE1008" s="87"/>
      <c r="AF1008" s="158"/>
      <c r="AG1008" s="141"/>
    </row>
    <row r="1009" spans="1:33" ht="15.75" customHeight="1">
      <c r="A1009" s="166"/>
      <c r="B1009" s="167"/>
      <c r="C1009" s="167"/>
      <c r="D1009" s="143" t="str">
        <f>"PRD_SNJ_"&amp;
_xlfn.XLOOKUP(商品マスタ[[#This Row],[仕入先]],テーブル1[仕入先名],テーブル1[仕入先コード],"XXX",0,1)&amp;
"_"&amp;
商品マスタ[[#This Row],[シリアル]]&amp;
"_"&amp;
TEXT(COUNTIFS(商品マスタ!$C$3:C1009,商品マスタ[[#This Row],[仕入先]],商品マスタ!$E$3:E1009,商品マスタ[[#This Row],[商品名]]), "00")</f>
        <v>PRD_SNJ__0000_00</v>
      </c>
      <c r="E1009" s="87"/>
      <c r="F1009" s="87">
        <f>IF(COUNTIFS($C$3:C1009,商品マスタ[[#This Row],[仕入先]],$E$3:E1009,商品マスタ[[#This Row],[商品名]]) = 1, 1,0)</f>
        <v>0</v>
      </c>
      <c r="G1009" s="133" t="str">
        <f>TEXT(SUMIF($C$3:C1009,商品マスタ[[#This Row],[仕入先]],$F$3:F1009), "0000")</f>
        <v>0000</v>
      </c>
      <c r="H1009" s="87"/>
      <c r="I1009" s="87"/>
      <c r="J1009" s="87"/>
      <c r="K1009" s="87"/>
      <c r="L1009" s="134"/>
      <c r="M1009" s="157"/>
      <c r="N1009" s="134"/>
      <c r="O1009" s="135" t="str">
        <f>IF(COUNT(商品マスタ[[#This Row],[参考上代
（税込)]]) &gt; 0, (商品マスタ[[#This Row],[参考上代
（税込)]]-商品マスタ[[#This Row],[国内定価
（15％）]])/(商品マスタ[[#This Row],[参考上代
（税込)]]/1.08), "")</f>
        <v/>
      </c>
      <c r="P1009" s="136">
        <v>0.1</v>
      </c>
      <c r="Q1009" s="134">
        <f>商品マスタ[[#This Row],[仕入
単価]]*商品マスタ[[#This Row],[標準国内送料率]]</f>
        <v>0</v>
      </c>
      <c r="R1009" s="134"/>
      <c r="S1009" s="134">
        <f>IF(ISBLANK(商品マスタ[[#This Row],[実績
国内送料]]),商品マスタ[[#This Row],[標準国内送料]],)</f>
        <v>0</v>
      </c>
      <c r="T1009" s="134">
        <f>商品マスタ[[#This Row],[仕入
単価]]+商品マスタ[[#This Row],[国内送料]]</f>
        <v>0</v>
      </c>
      <c r="U1009" s="134">
        <f>ROUNDUP(商品マスタ[[#This Row],[仕入単価+国内送料]]/0.8,-1)</f>
        <v>0</v>
      </c>
      <c r="V1009" s="134">
        <f>商品マスタ[[#This Row],[海外定価
（20％）]]-商品マスタ[[#This Row],[仕入単価+国内送料]]</f>
        <v>0</v>
      </c>
      <c r="W1009" s="87">
        <f>ROUNDUP(商品マスタ[[#This Row],[仕入単価+国内送料]]/0.85,-1)</f>
        <v>0</v>
      </c>
      <c r="X1009" s="134">
        <f>商品マスタ[[#This Row],[国内定価
（15％）]]-商品マスタ[[#This Row],[仕入単価+国内送料]]</f>
        <v>0</v>
      </c>
      <c r="Y1009" s="139"/>
      <c r="Z1009" s="87"/>
      <c r="AA1009" s="87"/>
      <c r="AB1009" s="87"/>
      <c r="AC1009" s="140"/>
      <c r="AD1009" s="87"/>
      <c r="AE1009" s="87"/>
      <c r="AF1009" s="158"/>
      <c r="AG1009" s="141"/>
    </row>
    <row r="1010" spans="1:33" ht="15.75" customHeight="1">
      <c r="A1010" s="166"/>
      <c r="B1010" s="167"/>
      <c r="C1010" s="167"/>
      <c r="D1010" s="143" t="str">
        <f>"PRD_SNJ_"&amp;
_xlfn.XLOOKUP(商品マスタ[[#This Row],[仕入先]],テーブル1[仕入先名],テーブル1[仕入先コード],"XXX",0,1)&amp;
"_"&amp;
商品マスタ[[#This Row],[シリアル]]&amp;
"_"&amp;
TEXT(COUNTIFS(商品マスタ!$C$3:C1010,商品マスタ[[#This Row],[仕入先]],商品マスタ!$E$3:E1010,商品マスタ[[#This Row],[商品名]]), "00")</f>
        <v>PRD_SNJ__0000_00</v>
      </c>
      <c r="E1010" s="87"/>
      <c r="F1010" s="87">
        <f>IF(COUNTIFS($C$3:C1010,商品マスタ[[#This Row],[仕入先]],$E$3:E1010,商品マスタ[[#This Row],[商品名]]) = 1, 1,0)</f>
        <v>0</v>
      </c>
      <c r="G1010" s="133" t="str">
        <f>TEXT(SUMIF($C$3:C1010,商品マスタ[[#This Row],[仕入先]],$F$3:F1010), "0000")</f>
        <v>0000</v>
      </c>
      <c r="H1010" s="87"/>
      <c r="I1010" s="87"/>
      <c r="J1010" s="87"/>
      <c r="K1010" s="87"/>
      <c r="L1010" s="134"/>
      <c r="M1010" s="157"/>
      <c r="N1010" s="134"/>
      <c r="O1010" s="135" t="str">
        <f>IF(COUNT(商品マスタ[[#This Row],[参考上代
（税込)]]) &gt; 0, (商品マスタ[[#This Row],[参考上代
（税込)]]-商品マスタ[[#This Row],[国内定価
（15％）]])/(商品マスタ[[#This Row],[参考上代
（税込)]]/1.08), "")</f>
        <v/>
      </c>
      <c r="P1010" s="136">
        <v>0.1</v>
      </c>
      <c r="Q1010" s="134">
        <f>商品マスタ[[#This Row],[仕入
単価]]*商品マスタ[[#This Row],[標準国内送料率]]</f>
        <v>0</v>
      </c>
      <c r="R1010" s="134"/>
      <c r="S1010" s="134">
        <f>IF(ISBLANK(商品マスタ[[#This Row],[実績
国内送料]]),商品マスタ[[#This Row],[標準国内送料]],)</f>
        <v>0</v>
      </c>
      <c r="T1010" s="134">
        <f>商品マスタ[[#This Row],[仕入
単価]]+商品マスタ[[#This Row],[国内送料]]</f>
        <v>0</v>
      </c>
      <c r="U1010" s="134">
        <f>ROUNDUP(商品マスタ[[#This Row],[仕入単価+国内送料]]/0.8,-1)</f>
        <v>0</v>
      </c>
      <c r="V1010" s="134">
        <f>商品マスタ[[#This Row],[海外定価
（20％）]]-商品マスタ[[#This Row],[仕入単価+国内送料]]</f>
        <v>0</v>
      </c>
      <c r="W1010" s="87">
        <f>ROUNDUP(商品マスタ[[#This Row],[仕入単価+国内送料]]/0.85,-1)</f>
        <v>0</v>
      </c>
      <c r="X1010" s="134">
        <f>商品マスタ[[#This Row],[国内定価
（15％）]]-商品マスタ[[#This Row],[仕入単価+国内送料]]</f>
        <v>0</v>
      </c>
      <c r="Y1010" s="139"/>
      <c r="Z1010" s="87"/>
      <c r="AA1010" s="87"/>
      <c r="AB1010" s="87"/>
      <c r="AC1010" s="140"/>
      <c r="AD1010" s="87"/>
      <c r="AE1010" s="87"/>
      <c r="AF1010" s="158"/>
      <c r="AG1010" s="141"/>
    </row>
    <row r="1011" spans="1:33" ht="15.75" customHeight="1">
      <c r="A1011" s="166"/>
      <c r="B1011" s="167"/>
      <c r="C1011" s="167"/>
      <c r="D1011" s="143" t="str">
        <f>"PRD_SNJ_"&amp;
_xlfn.XLOOKUP(商品マスタ[[#This Row],[仕入先]],テーブル1[仕入先名],テーブル1[仕入先コード],"XXX",0,1)&amp;
"_"&amp;
商品マスタ[[#This Row],[シリアル]]&amp;
"_"&amp;
TEXT(COUNTIFS(商品マスタ!$C$3:C1011,商品マスタ[[#This Row],[仕入先]],商品マスタ!$E$3:E1011,商品マスタ[[#This Row],[商品名]]), "00")</f>
        <v>PRD_SNJ__0000_00</v>
      </c>
      <c r="E1011" s="87"/>
      <c r="F1011" s="87">
        <f>IF(COUNTIFS($C$3:C1011,商品マスタ[[#This Row],[仕入先]],$E$3:E1011,商品マスタ[[#This Row],[商品名]]) = 1, 1,0)</f>
        <v>0</v>
      </c>
      <c r="G1011" s="133" t="str">
        <f>TEXT(SUMIF($C$3:C1011,商品マスタ[[#This Row],[仕入先]],$F$3:F1011), "0000")</f>
        <v>0000</v>
      </c>
      <c r="H1011" s="87"/>
      <c r="I1011" s="87"/>
      <c r="J1011" s="87"/>
      <c r="K1011" s="87"/>
      <c r="L1011" s="134"/>
      <c r="M1011" s="157"/>
      <c r="N1011" s="134"/>
      <c r="O1011" s="135" t="str">
        <f>IF(COUNT(商品マスタ[[#This Row],[参考上代
（税込)]]) &gt; 0, (商品マスタ[[#This Row],[参考上代
（税込)]]-商品マスタ[[#This Row],[国内定価
（15％）]])/(商品マスタ[[#This Row],[参考上代
（税込)]]/1.08), "")</f>
        <v/>
      </c>
      <c r="P1011" s="136">
        <v>0.1</v>
      </c>
      <c r="Q1011" s="134">
        <f>商品マスタ[[#This Row],[仕入
単価]]*商品マスタ[[#This Row],[標準国内送料率]]</f>
        <v>0</v>
      </c>
      <c r="R1011" s="134"/>
      <c r="S1011" s="134">
        <f>IF(ISBLANK(商品マスタ[[#This Row],[実績
国内送料]]),商品マスタ[[#This Row],[標準国内送料]],)</f>
        <v>0</v>
      </c>
      <c r="T1011" s="134">
        <f>商品マスタ[[#This Row],[仕入
単価]]+商品マスタ[[#This Row],[国内送料]]</f>
        <v>0</v>
      </c>
      <c r="U1011" s="134">
        <f>ROUNDUP(商品マスタ[[#This Row],[仕入単価+国内送料]]/0.8,-1)</f>
        <v>0</v>
      </c>
      <c r="V1011" s="134">
        <f>商品マスタ[[#This Row],[海外定価
（20％）]]-商品マスタ[[#This Row],[仕入単価+国内送料]]</f>
        <v>0</v>
      </c>
      <c r="W1011" s="87">
        <f>ROUNDUP(商品マスタ[[#This Row],[仕入単価+国内送料]]/0.85,-1)</f>
        <v>0</v>
      </c>
      <c r="X1011" s="134">
        <f>商品マスタ[[#This Row],[国内定価
（15％）]]-商品マスタ[[#This Row],[仕入単価+国内送料]]</f>
        <v>0</v>
      </c>
      <c r="Y1011" s="139"/>
      <c r="Z1011" s="87"/>
      <c r="AA1011" s="87"/>
      <c r="AB1011" s="87"/>
      <c r="AC1011" s="140"/>
      <c r="AD1011" s="87"/>
      <c r="AE1011" s="87"/>
      <c r="AF1011" s="158"/>
      <c r="AG1011" s="141"/>
    </row>
    <row r="1012" spans="1:33" ht="15.75" customHeight="1">
      <c r="A1012" s="166"/>
      <c r="B1012" s="167"/>
      <c r="C1012" s="167"/>
      <c r="D1012" s="143" t="str">
        <f>"PRD_SNJ_"&amp;
_xlfn.XLOOKUP(商品マスタ[[#This Row],[仕入先]],テーブル1[仕入先名],テーブル1[仕入先コード],"XXX",0,1)&amp;
"_"&amp;
商品マスタ[[#This Row],[シリアル]]&amp;
"_"&amp;
TEXT(COUNTIFS(商品マスタ!$C$3:C1012,商品マスタ[[#This Row],[仕入先]],商品マスタ!$E$3:E1012,商品マスタ[[#This Row],[商品名]]), "00")</f>
        <v>PRD_SNJ__0000_00</v>
      </c>
      <c r="E1012" s="87"/>
      <c r="F1012" s="87">
        <f>IF(COUNTIFS($C$3:C1012,商品マスタ[[#This Row],[仕入先]],$E$3:E1012,商品マスタ[[#This Row],[商品名]]) = 1, 1,0)</f>
        <v>0</v>
      </c>
      <c r="G1012" s="133" t="str">
        <f>TEXT(SUMIF($C$3:C1012,商品マスタ[[#This Row],[仕入先]],$F$3:F1012), "0000")</f>
        <v>0000</v>
      </c>
      <c r="H1012" s="87"/>
      <c r="I1012" s="87"/>
      <c r="J1012" s="87"/>
      <c r="K1012" s="87"/>
      <c r="L1012" s="134"/>
      <c r="M1012" s="157"/>
      <c r="N1012" s="134"/>
      <c r="O1012" s="135" t="str">
        <f>IF(COUNT(商品マスタ[[#This Row],[参考上代
（税込)]]) &gt; 0, (商品マスタ[[#This Row],[参考上代
（税込)]]-商品マスタ[[#This Row],[国内定価
（15％）]])/(商品マスタ[[#This Row],[参考上代
（税込)]]/1.08), "")</f>
        <v/>
      </c>
      <c r="P1012" s="136">
        <v>0.1</v>
      </c>
      <c r="Q1012" s="134">
        <f>商品マスタ[[#This Row],[仕入
単価]]*商品マスタ[[#This Row],[標準国内送料率]]</f>
        <v>0</v>
      </c>
      <c r="R1012" s="134"/>
      <c r="S1012" s="134">
        <f>IF(ISBLANK(商品マスタ[[#This Row],[実績
国内送料]]),商品マスタ[[#This Row],[標準国内送料]],)</f>
        <v>0</v>
      </c>
      <c r="T1012" s="134">
        <f>商品マスタ[[#This Row],[仕入
単価]]+商品マスタ[[#This Row],[国内送料]]</f>
        <v>0</v>
      </c>
      <c r="U1012" s="134">
        <f>ROUNDUP(商品マスタ[[#This Row],[仕入単価+国内送料]]/0.8,-1)</f>
        <v>0</v>
      </c>
      <c r="V1012" s="134">
        <f>商品マスタ[[#This Row],[海外定価
（20％）]]-商品マスタ[[#This Row],[仕入単価+国内送料]]</f>
        <v>0</v>
      </c>
      <c r="W1012" s="87">
        <f>ROUNDUP(商品マスタ[[#This Row],[仕入単価+国内送料]]/0.85,-1)</f>
        <v>0</v>
      </c>
      <c r="X1012" s="134">
        <f>商品マスタ[[#This Row],[国内定価
（15％）]]-商品マスタ[[#This Row],[仕入単価+国内送料]]</f>
        <v>0</v>
      </c>
      <c r="Y1012" s="139"/>
      <c r="Z1012" s="87"/>
      <c r="AA1012" s="87"/>
      <c r="AB1012" s="87"/>
      <c r="AC1012" s="140"/>
      <c r="AD1012" s="87"/>
      <c r="AE1012" s="87"/>
      <c r="AF1012" s="158"/>
      <c r="AG1012" s="141"/>
    </row>
    <row r="1013" spans="1:33" ht="15.75" customHeight="1">
      <c r="A1013" s="166"/>
      <c r="B1013" s="167"/>
      <c r="C1013" s="167"/>
      <c r="D1013" s="143" t="str">
        <f>"PRD_SNJ_"&amp;
_xlfn.XLOOKUP(商品マスタ[[#This Row],[仕入先]],テーブル1[仕入先名],テーブル1[仕入先コード],"XXX",0,1)&amp;
"_"&amp;
商品マスタ[[#This Row],[シリアル]]&amp;
"_"&amp;
TEXT(COUNTIFS(商品マスタ!$C$3:C1013,商品マスタ[[#This Row],[仕入先]],商品マスタ!$E$3:E1013,商品マスタ[[#This Row],[商品名]]), "00")</f>
        <v>PRD_SNJ__0000_00</v>
      </c>
      <c r="E1013" s="87"/>
      <c r="F1013" s="87">
        <f>IF(COUNTIFS($C$3:C1013,商品マスタ[[#This Row],[仕入先]],$E$3:E1013,商品マスタ[[#This Row],[商品名]]) = 1, 1,0)</f>
        <v>0</v>
      </c>
      <c r="G1013" s="133" t="str">
        <f>TEXT(SUMIF($C$3:C1013,商品マスタ[[#This Row],[仕入先]],$F$3:F1013), "0000")</f>
        <v>0000</v>
      </c>
      <c r="H1013" s="87"/>
      <c r="I1013" s="87"/>
      <c r="J1013" s="87"/>
      <c r="K1013" s="87"/>
      <c r="L1013" s="134"/>
      <c r="M1013" s="157"/>
      <c r="N1013" s="134"/>
      <c r="O1013" s="135" t="str">
        <f>IF(COUNT(商品マスタ[[#This Row],[参考上代
（税込)]]) &gt; 0, (商品マスタ[[#This Row],[参考上代
（税込)]]-商品マスタ[[#This Row],[国内定価
（15％）]])/(商品マスタ[[#This Row],[参考上代
（税込)]]/1.08), "")</f>
        <v/>
      </c>
      <c r="P1013" s="136">
        <v>0.1</v>
      </c>
      <c r="Q1013" s="134">
        <f>商品マスタ[[#This Row],[仕入
単価]]*商品マスタ[[#This Row],[標準国内送料率]]</f>
        <v>0</v>
      </c>
      <c r="R1013" s="134"/>
      <c r="S1013" s="134">
        <f>IF(ISBLANK(商品マスタ[[#This Row],[実績
国内送料]]),商品マスタ[[#This Row],[標準国内送料]],)</f>
        <v>0</v>
      </c>
      <c r="T1013" s="134">
        <f>商品マスタ[[#This Row],[仕入
単価]]+商品マスタ[[#This Row],[国内送料]]</f>
        <v>0</v>
      </c>
      <c r="U1013" s="134">
        <f>ROUNDUP(商品マスタ[[#This Row],[仕入単価+国内送料]]/0.8,-1)</f>
        <v>0</v>
      </c>
      <c r="V1013" s="134">
        <f>商品マスタ[[#This Row],[海外定価
（20％）]]-商品マスタ[[#This Row],[仕入単価+国内送料]]</f>
        <v>0</v>
      </c>
      <c r="W1013" s="87">
        <f>ROUNDUP(商品マスタ[[#This Row],[仕入単価+国内送料]]/0.85,-1)</f>
        <v>0</v>
      </c>
      <c r="X1013" s="134">
        <f>商品マスタ[[#This Row],[国内定価
（15％）]]-商品マスタ[[#This Row],[仕入単価+国内送料]]</f>
        <v>0</v>
      </c>
      <c r="Y1013" s="139"/>
      <c r="Z1013" s="87"/>
      <c r="AA1013" s="87"/>
      <c r="AB1013" s="87"/>
      <c r="AC1013" s="140"/>
      <c r="AD1013" s="87"/>
      <c r="AE1013" s="87"/>
      <c r="AF1013" s="158"/>
      <c r="AG1013" s="141"/>
    </row>
    <row r="1014" spans="1:33" ht="15.75" customHeight="1">
      <c r="A1014" s="166"/>
      <c r="B1014" s="167"/>
      <c r="C1014" s="167"/>
      <c r="D1014" s="143" t="str">
        <f>"PRD_SNJ_"&amp;
_xlfn.XLOOKUP(商品マスタ[[#This Row],[仕入先]],テーブル1[仕入先名],テーブル1[仕入先コード],"XXX",0,1)&amp;
"_"&amp;
商品マスタ[[#This Row],[シリアル]]&amp;
"_"&amp;
TEXT(COUNTIFS(商品マスタ!$C$3:C1014,商品マスタ[[#This Row],[仕入先]],商品マスタ!$E$3:E1014,商品マスタ[[#This Row],[商品名]]), "00")</f>
        <v>PRD_SNJ__0000_00</v>
      </c>
      <c r="E1014" s="87"/>
      <c r="F1014" s="87">
        <f>IF(COUNTIFS($C$3:C1014,商品マスタ[[#This Row],[仕入先]],$E$3:E1014,商品マスタ[[#This Row],[商品名]]) = 1, 1,0)</f>
        <v>0</v>
      </c>
      <c r="G1014" s="133" t="str">
        <f>TEXT(SUMIF($C$3:C1014,商品マスタ[[#This Row],[仕入先]],$F$3:F1014), "0000")</f>
        <v>0000</v>
      </c>
      <c r="H1014" s="87"/>
      <c r="I1014" s="87"/>
      <c r="J1014" s="87"/>
      <c r="K1014" s="87"/>
      <c r="L1014" s="134"/>
      <c r="M1014" s="157"/>
      <c r="N1014" s="134"/>
      <c r="O1014" s="135" t="str">
        <f>IF(COUNT(商品マスタ[[#This Row],[参考上代
（税込)]]) &gt; 0, (商品マスタ[[#This Row],[参考上代
（税込)]]-商品マスタ[[#This Row],[国内定価
（15％）]])/(商品マスタ[[#This Row],[参考上代
（税込)]]/1.08), "")</f>
        <v/>
      </c>
      <c r="P1014" s="136">
        <v>0.1</v>
      </c>
      <c r="Q1014" s="134">
        <f>商品マスタ[[#This Row],[仕入
単価]]*商品マスタ[[#This Row],[標準国内送料率]]</f>
        <v>0</v>
      </c>
      <c r="R1014" s="134"/>
      <c r="S1014" s="134">
        <f>IF(ISBLANK(商品マスタ[[#This Row],[実績
国内送料]]),商品マスタ[[#This Row],[標準国内送料]],)</f>
        <v>0</v>
      </c>
      <c r="T1014" s="134">
        <f>商品マスタ[[#This Row],[仕入
単価]]+商品マスタ[[#This Row],[国内送料]]</f>
        <v>0</v>
      </c>
      <c r="U1014" s="134">
        <f>ROUNDUP(商品マスタ[[#This Row],[仕入単価+国内送料]]/0.8,-1)</f>
        <v>0</v>
      </c>
      <c r="V1014" s="134">
        <f>商品マスタ[[#This Row],[海外定価
（20％）]]-商品マスタ[[#This Row],[仕入単価+国内送料]]</f>
        <v>0</v>
      </c>
      <c r="W1014" s="87">
        <f>ROUNDUP(商品マスタ[[#This Row],[仕入単価+国内送料]]/0.85,-1)</f>
        <v>0</v>
      </c>
      <c r="X1014" s="134">
        <f>商品マスタ[[#This Row],[国内定価
（15％）]]-商品マスタ[[#This Row],[仕入単価+国内送料]]</f>
        <v>0</v>
      </c>
      <c r="Y1014" s="139"/>
      <c r="Z1014" s="87"/>
      <c r="AA1014" s="87"/>
      <c r="AB1014" s="87"/>
      <c r="AC1014" s="140"/>
      <c r="AD1014" s="87"/>
      <c r="AE1014" s="87"/>
      <c r="AF1014" s="158"/>
      <c r="AG1014" s="141"/>
    </row>
    <row r="1015" spans="1:33" ht="15.75" customHeight="1">
      <c r="A1015" s="166"/>
      <c r="B1015" s="167"/>
      <c r="C1015" s="167"/>
      <c r="D1015" s="143" t="str">
        <f>"PRD_SNJ_"&amp;
_xlfn.XLOOKUP(商品マスタ[[#This Row],[仕入先]],テーブル1[仕入先名],テーブル1[仕入先コード],"XXX",0,1)&amp;
"_"&amp;
商品マスタ[[#This Row],[シリアル]]&amp;
"_"&amp;
TEXT(COUNTIFS(商品マスタ!$C$3:C1015,商品マスタ[[#This Row],[仕入先]],商品マスタ!$E$3:E1015,商品マスタ[[#This Row],[商品名]]), "00")</f>
        <v>PRD_SNJ__0000_00</v>
      </c>
      <c r="E1015" s="87"/>
      <c r="F1015" s="87">
        <f>IF(COUNTIFS($C$3:C1015,商品マスタ[[#This Row],[仕入先]],$E$3:E1015,商品マスタ[[#This Row],[商品名]]) = 1, 1,0)</f>
        <v>0</v>
      </c>
      <c r="G1015" s="133" t="str">
        <f>TEXT(SUMIF($C$3:C1015,商品マスタ[[#This Row],[仕入先]],$F$3:F1015), "0000")</f>
        <v>0000</v>
      </c>
      <c r="H1015" s="87"/>
      <c r="I1015" s="87"/>
      <c r="J1015" s="87"/>
      <c r="K1015" s="87"/>
      <c r="L1015" s="134"/>
      <c r="M1015" s="157"/>
      <c r="N1015" s="134"/>
      <c r="O1015" s="135" t="str">
        <f>IF(COUNT(商品マスタ[[#This Row],[参考上代
（税込)]]) &gt; 0, (商品マスタ[[#This Row],[参考上代
（税込)]]-商品マスタ[[#This Row],[国内定価
（15％）]])/(商品マスタ[[#This Row],[参考上代
（税込)]]/1.08), "")</f>
        <v/>
      </c>
      <c r="P1015" s="136">
        <v>0.1</v>
      </c>
      <c r="Q1015" s="134">
        <f>商品マスタ[[#This Row],[仕入
単価]]*商品マスタ[[#This Row],[標準国内送料率]]</f>
        <v>0</v>
      </c>
      <c r="R1015" s="134"/>
      <c r="S1015" s="134">
        <f>IF(ISBLANK(商品マスタ[[#This Row],[実績
国内送料]]),商品マスタ[[#This Row],[標準国内送料]],)</f>
        <v>0</v>
      </c>
      <c r="T1015" s="134">
        <f>商品マスタ[[#This Row],[仕入
単価]]+商品マスタ[[#This Row],[国内送料]]</f>
        <v>0</v>
      </c>
      <c r="U1015" s="134">
        <f>ROUNDUP(商品マスタ[[#This Row],[仕入単価+国内送料]]/0.8,-1)</f>
        <v>0</v>
      </c>
      <c r="V1015" s="134">
        <f>商品マスタ[[#This Row],[海外定価
（20％）]]-商品マスタ[[#This Row],[仕入単価+国内送料]]</f>
        <v>0</v>
      </c>
      <c r="W1015" s="87">
        <f>ROUNDUP(商品マスタ[[#This Row],[仕入単価+国内送料]]/0.85,-1)</f>
        <v>0</v>
      </c>
      <c r="X1015" s="134">
        <f>商品マスタ[[#This Row],[国内定価
（15％）]]-商品マスタ[[#This Row],[仕入単価+国内送料]]</f>
        <v>0</v>
      </c>
      <c r="Y1015" s="139"/>
      <c r="Z1015" s="87"/>
      <c r="AA1015" s="87"/>
      <c r="AB1015" s="87"/>
      <c r="AC1015" s="140"/>
      <c r="AD1015" s="87"/>
      <c r="AE1015" s="87"/>
      <c r="AF1015" s="158"/>
      <c r="AG1015" s="141"/>
    </row>
    <row r="1016" spans="1:33" ht="15.75" customHeight="1">
      <c r="A1016" s="166"/>
      <c r="B1016" s="167"/>
      <c r="C1016" s="167"/>
      <c r="D1016" s="143" t="str">
        <f>"PRD_SNJ_"&amp;
_xlfn.XLOOKUP(商品マスタ[[#This Row],[仕入先]],テーブル1[仕入先名],テーブル1[仕入先コード],"XXX",0,1)&amp;
"_"&amp;
商品マスタ[[#This Row],[シリアル]]&amp;
"_"&amp;
TEXT(COUNTIFS(商品マスタ!$C$3:C1016,商品マスタ[[#This Row],[仕入先]],商品マスタ!$E$3:E1016,商品マスタ[[#This Row],[商品名]]), "00")</f>
        <v>PRD_SNJ__0000_00</v>
      </c>
      <c r="E1016" s="87"/>
      <c r="F1016" s="87">
        <f>IF(COUNTIFS($C$3:C1016,商品マスタ[[#This Row],[仕入先]],$E$3:E1016,商品マスタ[[#This Row],[商品名]]) = 1, 1,0)</f>
        <v>0</v>
      </c>
      <c r="G1016" s="133" t="str">
        <f>TEXT(SUMIF($C$3:C1016,商品マスタ[[#This Row],[仕入先]],$F$3:F1016), "0000")</f>
        <v>0000</v>
      </c>
      <c r="H1016" s="87"/>
      <c r="I1016" s="87"/>
      <c r="J1016" s="87"/>
      <c r="K1016" s="87"/>
      <c r="L1016" s="134"/>
      <c r="M1016" s="157"/>
      <c r="N1016" s="134"/>
      <c r="O1016" s="135" t="str">
        <f>IF(COUNT(商品マスタ[[#This Row],[参考上代
（税込)]]) &gt; 0, (商品マスタ[[#This Row],[参考上代
（税込)]]-商品マスタ[[#This Row],[国内定価
（15％）]])/(商品マスタ[[#This Row],[参考上代
（税込)]]/1.08), "")</f>
        <v/>
      </c>
      <c r="P1016" s="136">
        <v>0.1</v>
      </c>
      <c r="Q1016" s="134">
        <f>商品マスタ[[#This Row],[仕入
単価]]*商品マスタ[[#This Row],[標準国内送料率]]</f>
        <v>0</v>
      </c>
      <c r="R1016" s="134"/>
      <c r="S1016" s="134">
        <f>IF(ISBLANK(商品マスタ[[#This Row],[実績
国内送料]]),商品マスタ[[#This Row],[標準国内送料]],)</f>
        <v>0</v>
      </c>
      <c r="T1016" s="134">
        <f>商品マスタ[[#This Row],[仕入
単価]]+商品マスタ[[#This Row],[国内送料]]</f>
        <v>0</v>
      </c>
      <c r="U1016" s="134">
        <f>ROUNDUP(商品マスタ[[#This Row],[仕入単価+国内送料]]/0.8,-1)</f>
        <v>0</v>
      </c>
      <c r="V1016" s="134">
        <f>商品マスタ[[#This Row],[海外定価
（20％）]]-商品マスタ[[#This Row],[仕入単価+国内送料]]</f>
        <v>0</v>
      </c>
      <c r="W1016" s="87">
        <f>ROUNDUP(商品マスタ[[#This Row],[仕入単価+国内送料]]/0.85,-1)</f>
        <v>0</v>
      </c>
      <c r="X1016" s="134">
        <f>商品マスタ[[#This Row],[国内定価
（15％）]]-商品マスタ[[#This Row],[仕入単価+国内送料]]</f>
        <v>0</v>
      </c>
      <c r="Y1016" s="139"/>
      <c r="Z1016" s="87"/>
      <c r="AA1016" s="87"/>
      <c r="AB1016" s="87"/>
      <c r="AC1016" s="140"/>
      <c r="AD1016" s="87"/>
      <c r="AE1016" s="87"/>
      <c r="AF1016" s="158"/>
      <c r="AG1016" s="141"/>
    </row>
    <row r="1017" spans="1:33" ht="15.75" customHeight="1">
      <c r="A1017" s="166"/>
      <c r="B1017" s="167"/>
      <c r="C1017" s="167"/>
      <c r="D1017" s="143" t="str">
        <f>"PRD_SNJ_"&amp;
_xlfn.XLOOKUP(商品マスタ[[#This Row],[仕入先]],テーブル1[仕入先名],テーブル1[仕入先コード],"XXX",0,1)&amp;
"_"&amp;
商品マスタ[[#This Row],[シリアル]]&amp;
"_"&amp;
TEXT(COUNTIFS(商品マスタ!$C$3:C1017,商品マスタ[[#This Row],[仕入先]],商品マスタ!$E$3:E1017,商品マスタ[[#This Row],[商品名]]), "00")</f>
        <v>PRD_SNJ__0000_00</v>
      </c>
      <c r="E1017" s="87"/>
      <c r="F1017" s="87">
        <f>IF(COUNTIFS($C$3:C1017,商品マスタ[[#This Row],[仕入先]],$E$3:E1017,商品マスタ[[#This Row],[商品名]]) = 1, 1,0)</f>
        <v>0</v>
      </c>
      <c r="G1017" s="133" t="str">
        <f>TEXT(SUMIF($C$3:C1017,商品マスタ[[#This Row],[仕入先]],$F$3:F1017), "0000")</f>
        <v>0000</v>
      </c>
      <c r="H1017" s="87"/>
      <c r="I1017" s="87"/>
      <c r="J1017" s="87"/>
      <c r="K1017" s="87"/>
      <c r="L1017" s="134"/>
      <c r="M1017" s="157"/>
      <c r="N1017" s="134"/>
      <c r="O1017" s="135" t="str">
        <f>IF(COUNT(商品マスタ[[#This Row],[参考上代
（税込)]]) &gt; 0, (商品マスタ[[#This Row],[参考上代
（税込)]]-商品マスタ[[#This Row],[国内定価
（15％）]])/(商品マスタ[[#This Row],[参考上代
（税込)]]/1.08), "")</f>
        <v/>
      </c>
      <c r="P1017" s="136">
        <v>0.1</v>
      </c>
      <c r="Q1017" s="134">
        <f>商品マスタ[[#This Row],[仕入
単価]]*商品マスタ[[#This Row],[標準国内送料率]]</f>
        <v>0</v>
      </c>
      <c r="R1017" s="134"/>
      <c r="S1017" s="134">
        <f>IF(ISBLANK(商品マスタ[[#This Row],[実績
国内送料]]),商品マスタ[[#This Row],[標準国内送料]],)</f>
        <v>0</v>
      </c>
      <c r="T1017" s="134">
        <f>商品マスタ[[#This Row],[仕入
単価]]+商品マスタ[[#This Row],[国内送料]]</f>
        <v>0</v>
      </c>
      <c r="U1017" s="134">
        <f>ROUNDUP(商品マスタ[[#This Row],[仕入単価+国内送料]]/0.8,-1)</f>
        <v>0</v>
      </c>
      <c r="V1017" s="134">
        <f>商品マスタ[[#This Row],[海外定価
（20％）]]-商品マスタ[[#This Row],[仕入単価+国内送料]]</f>
        <v>0</v>
      </c>
      <c r="W1017" s="87">
        <f>ROUNDUP(商品マスタ[[#This Row],[仕入単価+国内送料]]/0.85,-1)</f>
        <v>0</v>
      </c>
      <c r="X1017" s="134">
        <f>商品マスタ[[#This Row],[国内定価
（15％）]]-商品マスタ[[#This Row],[仕入単価+国内送料]]</f>
        <v>0</v>
      </c>
      <c r="Y1017" s="139"/>
      <c r="Z1017" s="87"/>
      <c r="AA1017" s="87"/>
      <c r="AB1017" s="87"/>
      <c r="AC1017" s="140"/>
      <c r="AD1017" s="87"/>
      <c r="AE1017" s="87"/>
      <c r="AF1017" s="158"/>
      <c r="AG1017" s="141"/>
    </row>
    <row r="1018" spans="1:33" ht="15.75" customHeight="1">
      <c r="A1018" s="166"/>
      <c r="B1018" s="167"/>
      <c r="C1018" s="167"/>
      <c r="D1018" s="143" t="str">
        <f>"PRD_SNJ_"&amp;
_xlfn.XLOOKUP(商品マスタ[[#This Row],[仕入先]],テーブル1[仕入先名],テーブル1[仕入先コード],"XXX",0,1)&amp;
"_"&amp;
商品マスタ[[#This Row],[シリアル]]&amp;
"_"&amp;
TEXT(COUNTIFS(商品マスタ!$C$3:C1018,商品マスタ[[#This Row],[仕入先]],商品マスタ!$E$3:E1018,商品マスタ[[#This Row],[商品名]]), "00")</f>
        <v>PRD_SNJ__0000_00</v>
      </c>
      <c r="E1018" s="87"/>
      <c r="F1018" s="87">
        <f>IF(COUNTIFS($C$3:C1018,商品マスタ[[#This Row],[仕入先]],$E$3:E1018,商品マスタ[[#This Row],[商品名]]) = 1, 1,0)</f>
        <v>0</v>
      </c>
      <c r="G1018" s="133" t="str">
        <f>TEXT(SUMIF($C$3:C1018,商品マスタ[[#This Row],[仕入先]],$F$3:F1018), "0000")</f>
        <v>0000</v>
      </c>
      <c r="H1018" s="87"/>
      <c r="I1018" s="87"/>
      <c r="J1018" s="87"/>
      <c r="K1018" s="87"/>
      <c r="L1018" s="134"/>
      <c r="M1018" s="157"/>
      <c r="N1018" s="134"/>
      <c r="O1018" s="135" t="str">
        <f>IF(COUNT(商品マスタ[[#This Row],[参考上代
（税込)]]) &gt; 0, (商品マスタ[[#This Row],[参考上代
（税込)]]-商品マスタ[[#This Row],[国内定価
（15％）]])/(商品マスタ[[#This Row],[参考上代
（税込)]]/1.08), "")</f>
        <v/>
      </c>
      <c r="P1018" s="136">
        <v>0.1</v>
      </c>
      <c r="Q1018" s="134">
        <f>商品マスタ[[#This Row],[仕入
単価]]*商品マスタ[[#This Row],[標準国内送料率]]</f>
        <v>0</v>
      </c>
      <c r="R1018" s="134"/>
      <c r="S1018" s="134">
        <f>IF(ISBLANK(商品マスタ[[#This Row],[実績
国内送料]]),商品マスタ[[#This Row],[標準国内送料]],)</f>
        <v>0</v>
      </c>
      <c r="T1018" s="134">
        <f>商品マスタ[[#This Row],[仕入
単価]]+商品マスタ[[#This Row],[国内送料]]</f>
        <v>0</v>
      </c>
      <c r="U1018" s="134">
        <f>ROUNDUP(商品マスタ[[#This Row],[仕入単価+国内送料]]/0.8,-1)</f>
        <v>0</v>
      </c>
      <c r="V1018" s="134">
        <f>商品マスタ[[#This Row],[海外定価
（20％）]]-商品マスタ[[#This Row],[仕入単価+国内送料]]</f>
        <v>0</v>
      </c>
      <c r="W1018" s="87">
        <f>ROUNDUP(商品マスタ[[#This Row],[仕入単価+国内送料]]/0.85,-1)</f>
        <v>0</v>
      </c>
      <c r="X1018" s="134">
        <f>商品マスタ[[#This Row],[国内定価
（15％）]]-商品マスタ[[#This Row],[仕入単価+国内送料]]</f>
        <v>0</v>
      </c>
      <c r="Y1018" s="139"/>
      <c r="Z1018" s="87"/>
      <c r="AA1018" s="87"/>
      <c r="AB1018" s="87"/>
      <c r="AC1018" s="140"/>
      <c r="AD1018" s="87"/>
      <c r="AE1018" s="87"/>
      <c r="AF1018" s="158"/>
      <c r="AG1018" s="141"/>
    </row>
    <row r="1019" spans="1:33" ht="15.75" customHeight="1">
      <c r="A1019" s="166"/>
      <c r="B1019" s="167"/>
      <c r="C1019" s="167"/>
      <c r="D1019" s="143" t="str">
        <f>"PRD_SNJ_"&amp;
_xlfn.XLOOKUP(商品マスタ[[#This Row],[仕入先]],テーブル1[仕入先名],テーブル1[仕入先コード],"XXX",0,1)&amp;
"_"&amp;
商品マスタ[[#This Row],[シリアル]]&amp;
"_"&amp;
TEXT(COUNTIFS(商品マスタ!$C$3:C1019,商品マスタ[[#This Row],[仕入先]],商品マスタ!$E$3:E1019,商品マスタ[[#This Row],[商品名]]), "00")</f>
        <v>PRD_SNJ__0000_00</v>
      </c>
      <c r="E1019" s="87"/>
      <c r="F1019" s="87">
        <f>IF(COUNTIFS($C$3:C1019,商品マスタ[[#This Row],[仕入先]],$E$3:E1019,商品マスタ[[#This Row],[商品名]]) = 1, 1,0)</f>
        <v>0</v>
      </c>
      <c r="G1019" s="133" t="str">
        <f>TEXT(SUMIF($C$3:C1019,商品マスタ[[#This Row],[仕入先]],$F$3:F1019), "0000")</f>
        <v>0000</v>
      </c>
      <c r="H1019" s="87"/>
      <c r="I1019" s="87"/>
      <c r="J1019" s="87"/>
      <c r="K1019" s="87"/>
      <c r="L1019" s="134"/>
      <c r="M1019" s="157"/>
      <c r="N1019" s="134"/>
      <c r="O1019" s="135" t="str">
        <f>IF(COUNT(商品マスタ[[#This Row],[参考上代
（税込)]]) &gt; 0, (商品マスタ[[#This Row],[参考上代
（税込)]]-商品マスタ[[#This Row],[国内定価
（15％）]])/(商品マスタ[[#This Row],[参考上代
（税込)]]/1.08), "")</f>
        <v/>
      </c>
      <c r="P1019" s="136">
        <v>0.1</v>
      </c>
      <c r="Q1019" s="134">
        <f>商品マスタ[[#This Row],[仕入
単価]]*商品マスタ[[#This Row],[標準国内送料率]]</f>
        <v>0</v>
      </c>
      <c r="R1019" s="134"/>
      <c r="S1019" s="134">
        <f>IF(ISBLANK(商品マスタ[[#This Row],[実績
国内送料]]),商品マスタ[[#This Row],[標準国内送料]],)</f>
        <v>0</v>
      </c>
      <c r="T1019" s="134">
        <f>商品マスタ[[#This Row],[仕入
単価]]+商品マスタ[[#This Row],[国内送料]]</f>
        <v>0</v>
      </c>
      <c r="U1019" s="134">
        <f>ROUNDUP(商品マスタ[[#This Row],[仕入単価+国内送料]]/0.8,-1)</f>
        <v>0</v>
      </c>
      <c r="V1019" s="134">
        <f>商品マスタ[[#This Row],[海外定価
（20％）]]-商品マスタ[[#This Row],[仕入単価+国内送料]]</f>
        <v>0</v>
      </c>
      <c r="W1019" s="87">
        <f>ROUNDUP(商品マスタ[[#This Row],[仕入単価+国内送料]]/0.85,-1)</f>
        <v>0</v>
      </c>
      <c r="X1019" s="134">
        <f>商品マスタ[[#This Row],[国内定価
（15％）]]-商品マスタ[[#This Row],[仕入単価+国内送料]]</f>
        <v>0</v>
      </c>
      <c r="Y1019" s="139"/>
      <c r="Z1019" s="87"/>
      <c r="AA1019" s="87"/>
      <c r="AB1019" s="87"/>
      <c r="AC1019" s="140"/>
      <c r="AD1019" s="87"/>
      <c r="AE1019" s="87"/>
      <c r="AF1019" s="158"/>
      <c r="AG1019" s="141"/>
    </row>
    <row r="1020" spans="1:33" ht="15.75" customHeight="1">
      <c r="A1020" s="166"/>
      <c r="B1020" s="167"/>
      <c r="C1020" s="167"/>
      <c r="D1020" s="143" t="str">
        <f>"PRD_SNJ_"&amp;
_xlfn.XLOOKUP(商品マスタ[[#This Row],[仕入先]],テーブル1[仕入先名],テーブル1[仕入先コード],"XXX",0,1)&amp;
"_"&amp;
商品マスタ[[#This Row],[シリアル]]&amp;
"_"&amp;
TEXT(COUNTIFS(商品マスタ!$C$3:C1020,商品マスタ[[#This Row],[仕入先]],商品マスタ!$E$3:E1020,商品マスタ[[#This Row],[商品名]]), "00")</f>
        <v>PRD_SNJ__0000_00</v>
      </c>
      <c r="E1020" s="87"/>
      <c r="F1020" s="87">
        <f>IF(COUNTIFS($C$3:C1020,商品マスタ[[#This Row],[仕入先]],$E$3:E1020,商品マスタ[[#This Row],[商品名]]) = 1, 1,0)</f>
        <v>0</v>
      </c>
      <c r="G1020" s="133" t="str">
        <f>TEXT(SUMIF($C$3:C1020,商品マスタ[[#This Row],[仕入先]],$F$3:F1020), "0000")</f>
        <v>0000</v>
      </c>
      <c r="H1020" s="87"/>
      <c r="I1020" s="87"/>
      <c r="J1020" s="87"/>
      <c r="K1020" s="87"/>
      <c r="L1020" s="134"/>
      <c r="M1020" s="157"/>
      <c r="N1020" s="134"/>
      <c r="O1020" s="135" t="str">
        <f>IF(COUNT(商品マスタ[[#This Row],[参考上代
（税込)]]) &gt; 0, (商品マスタ[[#This Row],[参考上代
（税込)]]-商品マスタ[[#This Row],[国内定価
（15％）]])/(商品マスタ[[#This Row],[参考上代
（税込)]]/1.08), "")</f>
        <v/>
      </c>
      <c r="P1020" s="136">
        <v>0.1</v>
      </c>
      <c r="Q1020" s="134">
        <f>商品マスタ[[#This Row],[仕入
単価]]*商品マスタ[[#This Row],[標準国内送料率]]</f>
        <v>0</v>
      </c>
      <c r="R1020" s="134"/>
      <c r="S1020" s="134">
        <f>IF(ISBLANK(商品マスタ[[#This Row],[実績
国内送料]]),商品マスタ[[#This Row],[標準国内送料]],)</f>
        <v>0</v>
      </c>
      <c r="T1020" s="134">
        <f>商品マスタ[[#This Row],[仕入
単価]]+商品マスタ[[#This Row],[国内送料]]</f>
        <v>0</v>
      </c>
      <c r="U1020" s="134">
        <f>ROUNDUP(商品マスタ[[#This Row],[仕入単価+国内送料]]/0.8,-1)</f>
        <v>0</v>
      </c>
      <c r="V1020" s="134">
        <f>商品マスタ[[#This Row],[海外定価
（20％）]]-商品マスタ[[#This Row],[仕入単価+国内送料]]</f>
        <v>0</v>
      </c>
      <c r="W1020" s="87">
        <f>ROUNDUP(商品マスタ[[#This Row],[仕入単価+国内送料]]/0.85,-1)</f>
        <v>0</v>
      </c>
      <c r="X1020" s="134">
        <f>商品マスタ[[#This Row],[国内定価
（15％）]]-商品マスタ[[#This Row],[仕入単価+国内送料]]</f>
        <v>0</v>
      </c>
      <c r="Y1020" s="139"/>
      <c r="Z1020" s="87"/>
      <c r="AA1020" s="87"/>
      <c r="AB1020" s="87"/>
      <c r="AC1020" s="140"/>
      <c r="AD1020" s="87"/>
      <c r="AE1020" s="87"/>
      <c r="AF1020" s="158"/>
      <c r="AG1020" s="141"/>
    </row>
    <row r="1021" spans="1:33" ht="15.75" customHeight="1">
      <c r="A1021" s="166"/>
      <c r="B1021" s="167"/>
      <c r="C1021" s="167"/>
      <c r="D1021" s="143" t="str">
        <f>"PRD_SNJ_"&amp;
_xlfn.XLOOKUP(商品マスタ[[#This Row],[仕入先]],テーブル1[仕入先名],テーブル1[仕入先コード],"XXX",0,1)&amp;
"_"&amp;
商品マスタ[[#This Row],[シリアル]]&amp;
"_"&amp;
TEXT(COUNTIFS(商品マスタ!$C$3:C1021,商品マスタ[[#This Row],[仕入先]],商品マスタ!$E$3:E1021,商品マスタ[[#This Row],[商品名]]), "00")</f>
        <v>PRD_SNJ__0000_00</v>
      </c>
      <c r="E1021" s="87"/>
      <c r="F1021" s="87">
        <f>IF(COUNTIFS($C$3:C1021,商品マスタ[[#This Row],[仕入先]],$E$3:E1021,商品マスタ[[#This Row],[商品名]]) = 1, 1,0)</f>
        <v>0</v>
      </c>
      <c r="G1021" s="133" t="str">
        <f>TEXT(SUMIF($C$3:C1021,商品マスタ[[#This Row],[仕入先]],$F$3:F1021), "0000")</f>
        <v>0000</v>
      </c>
      <c r="H1021" s="87"/>
      <c r="I1021" s="87"/>
      <c r="J1021" s="87"/>
      <c r="K1021" s="87"/>
      <c r="L1021" s="134"/>
      <c r="M1021" s="157"/>
      <c r="N1021" s="134"/>
      <c r="O1021" s="135" t="str">
        <f>IF(COUNT(商品マスタ[[#This Row],[参考上代
（税込)]]) &gt; 0, (商品マスタ[[#This Row],[参考上代
（税込)]]-商品マスタ[[#This Row],[国内定価
（15％）]])/(商品マスタ[[#This Row],[参考上代
（税込)]]/1.08), "")</f>
        <v/>
      </c>
      <c r="P1021" s="136">
        <v>0.1</v>
      </c>
      <c r="Q1021" s="134">
        <f>商品マスタ[[#This Row],[仕入
単価]]*商品マスタ[[#This Row],[標準国内送料率]]</f>
        <v>0</v>
      </c>
      <c r="R1021" s="134"/>
      <c r="S1021" s="134">
        <f>IF(ISBLANK(商品マスタ[[#This Row],[実績
国内送料]]),商品マスタ[[#This Row],[標準国内送料]],)</f>
        <v>0</v>
      </c>
      <c r="T1021" s="134">
        <f>商品マスタ[[#This Row],[仕入
単価]]+商品マスタ[[#This Row],[国内送料]]</f>
        <v>0</v>
      </c>
      <c r="U1021" s="134">
        <f>ROUNDUP(商品マスタ[[#This Row],[仕入単価+国内送料]]/0.8,-1)</f>
        <v>0</v>
      </c>
      <c r="V1021" s="134">
        <f>商品マスタ[[#This Row],[海外定価
（20％）]]-商品マスタ[[#This Row],[仕入単価+国内送料]]</f>
        <v>0</v>
      </c>
      <c r="W1021" s="87">
        <f>ROUNDUP(商品マスタ[[#This Row],[仕入単価+国内送料]]/0.85,-1)</f>
        <v>0</v>
      </c>
      <c r="X1021" s="134">
        <f>商品マスタ[[#This Row],[国内定価
（15％）]]-商品マスタ[[#This Row],[仕入単価+国内送料]]</f>
        <v>0</v>
      </c>
      <c r="Y1021" s="139"/>
      <c r="Z1021" s="87"/>
      <c r="AA1021" s="87"/>
      <c r="AB1021" s="87"/>
      <c r="AC1021" s="140"/>
      <c r="AD1021" s="87"/>
      <c r="AE1021" s="87"/>
      <c r="AF1021" s="158"/>
      <c r="AG1021" s="141"/>
    </row>
    <row r="1022" spans="1:33" ht="15.75" customHeight="1">
      <c r="A1022" s="166"/>
      <c r="B1022" s="167"/>
      <c r="C1022" s="167"/>
      <c r="D1022" s="143" t="str">
        <f>"PRD_SNJ_"&amp;
_xlfn.XLOOKUP(商品マスタ[[#This Row],[仕入先]],テーブル1[仕入先名],テーブル1[仕入先コード],"XXX",0,1)&amp;
"_"&amp;
商品マスタ[[#This Row],[シリアル]]&amp;
"_"&amp;
TEXT(COUNTIFS(商品マスタ!$C$3:C1022,商品マスタ[[#This Row],[仕入先]],商品マスタ!$E$3:E1022,商品マスタ[[#This Row],[商品名]]), "00")</f>
        <v>PRD_SNJ__0000_00</v>
      </c>
      <c r="E1022" s="87"/>
      <c r="F1022" s="87">
        <f>IF(COUNTIFS($C$3:C1022,商品マスタ[[#This Row],[仕入先]],$E$3:E1022,商品マスタ[[#This Row],[商品名]]) = 1, 1,0)</f>
        <v>0</v>
      </c>
      <c r="G1022" s="133" t="str">
        <f>TEXT(SUMIF($C$3:C1022,商品マスタ[[#This Row],[仕入先]],$F$3:F1022), "0000")</f>
        <v>0000</v>
      </c>
      <c r="H1022" s="87"/>
      <c r="I1022" s="87"/>
      <c r="J1022" s="87"/>
      <c r="K1022" s="87"/>
      <c r="L1022" s="134"/>
      <c r="M1022" s="157"/>
      <c r="N1022" s="134"/>
      <c r="O1022" s="135" t="str">
        <f>IF(COUNT(商品マスタ[[#This Row],[参考上代
（税込)]]) &gt; 0, (商品マスタ[[#This Row],[参考上代
（税込)]]-商品マスタ[[#This Row],[国内定価
（15％）]])/(商品マスタ[[#This Row],[参考上代
（税込)]]/1.08), "")</f>
        <v/>
      </c>
      <c r="P1022" s="136">
        <v>0.1</v>
      </c>
      <c r="Q1022" s="134">
        <f>商品マスタ[[#This Row],[仕入
単価]]*商品マスタ[[#This Row],[標準国内送料率]]</f>
        <v>0</v>
      </c>
      <c r="R1022" s="134"/>
      <c r="S1022" s="134">
        <f>IF(ISBLANK(商品マスタ[[#This Row],[実績
国内送料]]),商品マスタ[[#This Row],[標準国内送料]],)</f>
        <v>0</v>
      </c>
      <c r="T1022" s="134">
        <f>商品マスタ[[#This Row],[仕入
単価]]+商品マスタ[[#This Row],[国内送料]]</f>
        <v>0</v>
      </c>
      <c r="U1022" s="134">
        <f>ROUNDUP(商品マスタ[[#This Row],[仕入単価+国内送料]]/0.8,-1)</f>
        <v>0</v>
      </c>
      <c r="V1022" s="134">
        <f>商品マスタ[[#This Row],[海外定価
（20％）]]-商品マスタ[[#This Row],[仕入単価+国内送料]]</f>
        <v>0</v>
      </c>
      <c r="W1022" s="87">
        <f>ROUNDUP(商品マスタ[[#This Row],[仕入単価+国内送料]]/0.85,-1)</f>
        <v>0</v>
      </c>
      <c r="X1022" s="134">
        <f>商品マスタ[[#This Row],[国内定価
（15％）]]-商品マスタ[[#This Row],[仕入単価+国内送料]]</f>
        <v>0</v>
      </c>
      <c r="Y1022" s="139"/>
      <c r="Z1022" s="87"/>
      <c r="AA1022" s="87"/>
      <c r="AB1022" s="87"/>
      <c r="AC1022" s="140"/>
      <c r="AD1022" s="87"/>
      <c r="AE1022" s="87"/>
      <c r="AF1022" s="158"/>
      <c r="AG1022" s="141"/>
    </row>
    <row r="1023" spans="1:33" ht="15.75" customHeight="1">
      <c r="A1023" s="166"/>
      <c r="B1023" s="167"/>
      <c r="C1023" s="167"/>
      <c r="D1023" s="143" t="str">
        <f>"PRD_SNJ_"&amp;
_xlfn.XLOOKUP(商品マスタ[[#This Row],[仕入先]],テーブル1[仕入先名],テーブル1[仕入先コード],"XXX",0,1)&amp;
"_"&amp;
商品マスタ[[#This Row],[シリアル]]&amp;
"_"&amp;
TEXT(COUNTIFS(商品マスタ!$C$3:C1023,商品マスタ[[#This Row],[仕入先]],商品マスタ!$E$3:E1023,商品マスタ[[#This Row],[商品名]]), "00")</f>
        <v>PRD_SNJ__0000_00</v>
      </c>
      <c r="E1023" s="87"/>
      <c r="F1023" s="87">
        <f>IF(COUNTIFS($C$3:C1023,商品マスタ[[#This Row],[仕入先]],$E$3:E1023,商品マスタ[[#This Row],[商品名]]) = 1, 1,0)</f>
        <v>0</v>
      </c>
      <c r="G1023" s="133" t="str">
        <f>TEXT(SUMIF($C$3:C1023,商品マスタ[[#This Row],[仕入先]],$F$3:F1023), "0000")</f>
        <v>0000</v>
      </c>
      <c r="H1023" s="87"/>
      <c r="I1023" s="87"/>
      <c r="J1023" s="87"/>
      <c r="K1023" s="87"/>
      <c r="L1023" s="134"/>
      <c r="M1023" s="157"/>
      <c r="N1023" s="134"/>
      <c r="O1023" s="135" t="str">
        <f>IF(COUNT(商品マスタ[[#This Row],[参考上代
（税込)]]) &gt; 0, (商品マスタ[[#This Row],[参考上代
（税込)]]-商品マスタ[[#This Row],[国内定価
（15％）]])/(商品マスタ[[#This Row],[参考上代
（税込)]]/1.08), "")</f>
        <v/>
      </c>
      <c r="P1023" s="136">
        <v>0.1</v>
      </c>
      <c r="Q1023" s="134">
        <f>商品マスタ[[#This Row],[仕入
単価]]*商品マスタ[[#This Row],[標準国内送料率]]</f>
        <v>0</v>
      </c>
      <c r="R1023" s="134"/>
      <c r="S1023" s="134">
        <f>IF(ISBLANK(商品マスタ[[#This Row],[実績
国内送料]]),商品マスタ[[#This Row],[標準国内送料]],)</f>
        <v>0</v>
      </c>
      <c r="T1023" s="134">
        <f>商品マスタ[[#This Row],[仕入
単価]]+商品マスタ[[#This Row],[国内送料]]</f>
        <v>0</v>
      </c>
      <c r="U1023" s="134">
        <f>ROUNDUP(商品マスタ[[#This Row],[仕入単価+国内送料]]/0.8,-1)</f>
        <v>0</v>
      </c>
      <c r="V1023" s="134">
        <f>商品マスタ[[#This Row],[海外定価
（20％）]]-商品マスタ[[#This Row],[仕入単価+国内送料]]</f>
        <v>0</v>
      </c>
      <c r="W1023" s="87">
        <f>ROUNDUP(商品マスタ[[#This Row],[仕入単価+国内送料]]/0.85,-1)</f>
        <v>0</v>
      </c>
      <c r="X1023" s="134">
        <f>商品マスタ[[#This Row],[国内定価
（15％）]]-商品マスタ[[#This Row],[仕入単価+国内送料]]</f>
        <v>0</v>
      </c>
      <c r="Y1023" s="139"/>
      <c r="Z1023" s="87"/>
      <c r="AA1023" s="87"/>
      <c r="AB1023" s="87"/>
      <c r="AC1023" s="140"/>
      <c r="AD1023" s="87"/>
      <c r="AE1023" s="87"/>
      <c r="AF1023" s="158"/>
      <c r="AG1023" s="141"/>
    </row>
    <row r="1024" spans="1:33" ht="15.75" customHeight="1">
      <c r="A1024" s="166"/>
      <c r="B1024" s="167"/>
      <c r="C1024" s="167"/>
      <c r="D1024" s="143" t="str">
        <f>"PRD_SNJ_"&amp;
_xlfn.XLOOKUP(商品マスタ[[#This Row],[仕入先]],テーブル1[仕入先名],テーブル1[仕入先コード],"XXX",0,1)&amp;
"_"&amp;
商品マスタ[[#This Row],[シリアル]]&amp;
"_"&amp;
TEXT(COUNTIFS(商品マスタ!$C$3:C1024,商品マスタ[[#This Row],[仕入先]],商品マスタ!$E$3:E1024,商品マスタ[[#This Row],[商品名]]), "00")</f>
        <v>PRD_SNJ__0000_00</v>
      </c>
      <c r="E1024" s="87"/>
      <c r="F1024" s="87">
        <f>IF(COUNTIFS($C$3:C1024,商品マスタ[[#This Row],[仕入先]],$E$3:E1024,商品マスタ[[#This Row],[商品名]]) = 1, 1,0)</f>
        <v>0</v>
      </c>
      <c r="G1024" s="133" t="str">
        <f>TEXT(SUMIF($C$3:C1024,商品マスタ[[#This Row],[仕入先]],$F$3:F1024), "0000")</f>
        <v>0000</v>
      </c>
      <c r="H1024" s="87"/>
      <c r="I1024" s="87"/>
      <c r="J1024" s="87"/>
      <c r="K1024" s="87"/>
      <c r="L1024" s="134"/>
      <c r="M1024" s="157"/>
      <c r="N1024" s="134"/>
      <c r="O1024" s="135" t="str">
        <f>IF(COUNT(商品マスタ[[#This Row],[参考上代
（税込)]]) &gt; 0, (商品マスタ[[#This Row],[参考上代
（税込)]]-商品マスタ[[#This Row],[国内定価
（15％）]])/(商品マスタ[[#This Row],[参考上代
（税込)]]/1.08), "")</f>
        <v/>
      </c>
      <c r="P1024" s="136">
        <v>0.1</v>
      </c>
      <c r="Q1024" s="134">
        <f>商品マスタ[[#This Row],[仕入
単価]]*商品マスタ[[#This Row],[標準国内送料率]]</f>
        <v>0</v>
      </c>
      <c r="R1024" s="134"/>
      <c r="S1024" s="134">
        <f>IF(ISBLANK(商品マスタ[[#This Row],[実績
国内送料]]),商品マスタ[[#This Row],[標準国内送料]],)</f>
        <v>0</v>
      </c>
      <c r="T1024" s="134">
        <f>商品マスタ[[#This Row],[仕入
単価]]+商品マスタ[[#This Row],[国内送料]]</f>
        <v>0</v>
      </c>
      <c r="U1024" s="134">
        <f>ROUNDUP(商品マスタ[[#This Row],[仕入単価+国内送料]]/0.8,-1)</f>
        <v>0</v>
      </c>
      <c r="V1024" s="134">
        <f>商品マスタ[[#This Row],[海外定価
（20％）]]-商品マスタ[[#This Row],[仕入単価+国内送料]]</f>
        <v>0</v>
      </c>
      <c r="W1024" s="87">
        <f>ROUNDUP(商品マスタ[[#This Row],[仕入単価+国内送料]]/0.85,-1)</f>
        <v>0</v>
      </c>
      <c r="X1024" s="134">
        <f>商品マスタ[[#This Row],[国内定価
（15％）]]-商品マスタ[[#This Row],[仕入単価+国内送料]]</f>
        <v>0</v>
      </c>
      <c r="Y1024" s="139"/>
      <c r="Z1024" s="87"/>
      <c r="AA1024" s="87"/>
      <c r="AB1024" s="87"/>
      <c r="AC1024" s="140"/>
      <c r="AD1024" s="87"/>
      <c r="AE1024" s="87"/>
      <c r="AF1024" s="158"/>
      <c r="AG1024" s="141"/>
    </row>
    <row r="1025" spans="1:33" ht="15.75" customHeight="1">
      <c r="A1025" s="166"/>
      <c r="B1025" s="167"/>
      <c r="C1025" s="167"/>
      <c r="D1025" s="143" t="str">
        <f>"PRD_SNJ_"&amp;
_xlfn.XLOOKUP(商品マスタ[[#This Row],[仕入先]],テーブル1[仕入先名],テーブル1[仕入先コード],"XXX",0,1)&amp;
"_"&amp;
商品マスタ[[#This Row],[シリアル]]&amp;
"_"&amp;
TEXT(COUNTIFS(商品マスタ!$C$3:C1025,商品マスタ[[#This Row],[仕入先]],商品マスタ!$E$3:E1025,商品マスタ[[#This Row],[商品名]]), "00")</f>
        <v>PRD_SNJ__0000_00</v>
      </c>
      <c r="E1025" s="87"/>
      <c r="F1025" s="87">
        <f>IF(COUNTIFS($C$3:C1025,商品マスタ[[#This Row],[仕入先]],$E$3:E1025,商品マスタ[[#This Row],[商品名]]) = 1, 1,0)</f>
        <v>0</v>
      </c>
      <c r="G1025" s="133" t="str">
        <f>TEXT(SUMIF($C$3:C1025,商品マスタ[[#This Row],[仕入先]],$F$3:F1025), "0000")</f>
        <v>0000</v>
      </c>
      <c r="H1025" s="87"/>
      <c r="I1025" s="87"/>
      <c r="J1025" s="87"/>
      <c r="K1025" s="87"/>
      <c r="L1025" s="134"/>
      <c r="M1025" s="157"/>
      <c r="N1025" s="134"/>
      <c r="O1025" s="135" t="str">
        <f>IF(COUNT(商品マスタ[[#This Row],[参考上代
（税込)]]) &gt; 0, (商品マスタ[[#This Row],[参考上代
（税込)]]-商品マスタ[[#This Row],[国内定価
（15％）]])/(商品マスタ[[#This Row],[参考上代
（税込)]]/1.08), "")</f>
        <v/>
      </c>
      <c r="P1025" s="136">
        <v>0.1</v>
      </c>
      <c r="Q1025" s="134">
        <f>商品マスタ[[#This Row],[仕入
単価]]*商品マスタ[[#This Row],[標準国内送料率]]</f>
        <v>0</v>
      </c>
      <c r="R1025" s="134"/>
      <c r="S1025" s="134">
        <f>IF(ISBLANK(商品マスタ[[#This Row],[実績
国内送料]]),商品マスタ[[#This Row],[標準国内送料]],)</f>
        <v>0</v>
      </c>
      <c r="T1025" s="134">
        <f>商品マスタ[[#This Row],[仕入
単価]]+商品マスタ[[#This Row],[国内送料]]</f>
        <v>0</v>
      </c>
      <c r="U1025" s="134">
        <f>ROUNDUP(商品マスタ[[#This Row],[仕入単価+国内送料]]/0.8,-1)</f>
        <v>0</v>
      </c>
      <c r="V1025" s="134">
        <f>商品マスタ[[#This Row],[海外定価
（20％）]]-商品マスタ[[#This Row],[仕入単価+国内送料]]</f>
        <v>0</v>
      </c>
      <c r="W1025" s="87">
        <f>ROUNDUP(商品マスタ[[#This Row],[仕入単価+国内送料]]/0.85,-1)</f>
        <v>0</v>
      </c>
      <c r="X1025" s="134">
        <f>商品マスタ[[#This Row],[国内定価
（15％）]]-商品マスタ[[#This Row],[仕入単価+国内送料]]</f>
        <v>0</v>
      </c>
      <c r="Y1025" s="139"/>
      <c r="Z1025" s="87"/>
      <c r="AA1025" s="87"/>
      <c r="AB1025" s="87"/>
      <c r="AC1025" s="140"/>
      <c r="AD1025" s="87"/>
      <c r="AE1025" s="87"/>
      <c r="AF1025" s="158"/>
      <c r="AG1025" s="141"/>
    </row>
    <row r="1026" spans="1:33" ht="15.75" customHeight="1">
      <c r="A1026" s="166"/>
      <c r="B1026" s="167"/>
      <c r="C1026" s="167"/>
      <c r="D1026" s="143" t="str">
        <f>"PRD_SNJ_"&amp;
_xlfn.XLOOKUP(商品マスタ[[#This Row],[仕入先]],テーブル1[仕入先名],テーブル1[仕入先コード],"XXX",0,1)&amp;
"_"&amp;
商品マスタ[[#This Row],[シリアル]]&amp;
"_"&amp;
TEXT(COUNTIFS(商品マスタ!$C$3:C1026,商品マスタ[[#This Row],[仕入先]],商品マスタ!$E$3:E1026,商品マスタ[[#This Row],[商品名]]), "00")</f>
        <v>PRD_SNJ__0000_00</v>
      </c>
      <c r="E1026" s="87"/>
      <c r="F1026" s="87">
        <f>IF(COUNTIFS($C$3:C1026,商品マスタ[[#This Row],[仕入先]],$E$3:E1026,商品マスタ[[#This Row],[商品名]]) = 1, 1,0)</f>
        <v>0</v>
      </c>
      <c r="G1026" s="133" t="str">
        <f>TEXT(SUMIF($C$3:C1026,商品マスタ[[#This Row],[仕入先]],$F$3:F1026), "0000")</f>
        <v>0000</v>
      </c>
      <c r="H1026" s="87"/>
      <c r="I1026" s="87"/>
      <c r="J1026" s="87"/>
      <c r="K1026" s="87"/>
      <c r="L1026" s="134"/>
      <c r="M1026" s="157"/>
      <c r="N1026" s="134"/>
      <c r="O1026" s="135" t="str">
        <f>IF(COUNT(商品マスタ[[#This Row],[参考上代
（税込)]]) &gt; 0, (商品マスタ[[#This Row],[参考上代
（税込)]]-商品マスタ[[#This Row],[国内定価
（15％）]])/(商品マスタ[[#This Row],[参考上代
（税込)]]/1.08), "")</f>
        <v/>
      </c>
      <c r="P1026" s="136">
        <v>0.1</v>
      </c>
      <c r="Q1026" s="134">
        <f>商品マスタ[[#This Row],[仕入
単価]]*商品マスタ[[#This Row],[標準国内送料率]]</f>
        <v>0</v>
      </c>
      <c r="R1026" s="134"/>
      <c r="S1026" s="134">
        <f>IF(ISBLANK(商品マスタ[[#This Row],[実績
国内送料]]),商品マスタ[[#This Row],[標準国内送料]],)</f>
        <v>0</v>
      </c>
      <c r="T1026" s="134">
        <f>商品マスタ[[#This Row],[仕入
単価]]+商品マスタ[[#This Row],[国内送料]]</f>
        <v>0</v>
      </c>
      <c r="U1026" s="134">
        <f>ROUNDUP(商品マスタ[[#This Row],[仕入単価+国内送料]]/0.8,-1)</f>
        <v>0</v>
      </c>
      <c r="V1026" s="134">
        <f>商品マスタ[[#This Row],[海外定価
（20％）]]-商品マスタ[[#This Row],[仕入単価+国内送料]]</f>
        <v>0</v>
      </c>
      <c r="W1026" s="87">
        <f>ROUNDUP(商品マスタ[[#This Row],[仕入単価+国内送料]]/0.85,-1)</f>
        <v>0</v>
      </c>
      <c r="X1026" s="134">
        <f>商品マスタ[[#This Row],[国内定価
（15％）]]-商品マスタ[[#This Row],[仕入単価+国内送料]]</f>
        <v>0</v>
      </c>
      <c r="Y1026" s="139"/>
      <c r="Z1026" s="87"/>
      <c r="AA1026" s="87"/>
      <c r="AB1026" s="87"/>
      <c r="AC1026" s="140"/>
      <c r="AD1026" s="87"/>
      <c r="AE1026" s="87"/>
      <c r="AF1026" s="158"/>
      <c r="AG1026" s="141"/>
    </row>
    <row r="1027" spans="1:33" ht="15.75" customHeight="1">
      <c r="A1027" s="166"/>
      <c r="B1027" s="167"/>
      <c r="C1027" s="167"/>
      <c r="D1027" s="143" t="str">
        <f>"PRD_SNJ_"&amp;
_xlfn.XLOOKUP(商品マスタ[[#This Row],[仕入先]],テーブル1[仕入先名],テーブル1[仕入先コード],"XXX",0,1)&amp;
"_"&amp;
商品マスタ[[#This Row],[シリアル]]&amp;
"_"&amp;
TEXT(COUNTIFS(商品マスタ!$C$3:C1027,商品マスタ[[#This Row],[仕入先]],商品マスタ!$E$3:E1027,商品マスタ[[#This Row],[商品名]]), "00")</f>
        <v>PRD_SNJ__0000_00</v>
      </c>
      <c r="E1027" s="87"/>
      <c r="F1027" s="87">
        <f>IF(COUNTIFS($C$3:C1027,商品マスタ[[#This Row],[仕入先]],$E$3:E1027,商品マスタ[[#This Row],[商品名]]) = 1, 1,0)</f>
        <v>0</v>
      </c>
      <c r="G1027" s="133" t="str">
        <f>TEXT(SUMIF($C$3:C1027,商品マスタ[[#This Row],[仕入先]],$F$3:F1027), "0000")</f>
        <v>0000</v>
      </c>
      <c r="H1027" s="87"/>
      <c r="I1027" s="87"/>
      <c r="J1027" s="87"/>
      <c r="K1027" s="87"/>
      <c r="L1027" s="134"/>
      <c r="M1027" s="157"/>
      <c r="N1027" s="134"/>
      <c r="O1027" s="135" t="str">
        <f>IF(COUNT(商品マスタ[[#This Row],[参考上代
（税込)]]) &gt; 0, (商品マスタ[[#This Row],[参考上代
（税込)]]-商品マスタ[[#This Row],[国内定価
（15％）]])/(商品マスタ[[#This Row],[参考上代
（税込)]]/1.08), "")</f>
        <v/>
      </c>
      <c r="P1027" s="136">
        <v>0.1</v>
      </c>
      <c r="Q1027" s="134">
        <f>商品マスタ[[#This Row],[仕入
単価]]*商品マスタ[[#This Row],[標準国内送料率]]</f>
        <v>0</v>
      </c>
      <c r="R1027" s="134"/>
      <c r="S1027" s="134">
        <f>IF(ISBLANK(商品マスタ[[#This Row],[実績
国内送料]]),商品マスタ[[#This Row],[標準国内送料]],)</f>
        <v>0</v>
      </c>
      <c r="T1027" s="134">
        <f>商品マスタ[[#This Row],[仕入
単価]]+商品マスタ[[#This Row],[国内送料]]</f>
        <v>0</v>
      </c>
      <c r="U1027" s="134">
        <f>ROUNDUP(商品マスタ[[#This Row],[仕入単価+国内送料]]/0.8,-1)</f>
        <v>0</v>
      </c>
      <c r="V1027" s="134">
        <f>商品マスタ[[#This Row],[海外定価
（20％）]]-商品マスタ[[#This Row],[仕入単価+国内送料]]</f>
        <v>0</v>
      </c>
      <c r="W1027" s="87">
        <f>ROUNDUP(商品マスタ[[#This Row],[仕入単価+国内送料]]/0.85,-1)</f>
        <v>0</v>
      </c>
      <c r="X1027" s="134">
        <f>商品マスタ[[#This Row],[国内定価
（15％）]]-商品マスタ[[#This Row],[仕入単価+国内送料]]</f>
        <v>0</v>
      </c>
      <c r="Y1027" s="139"/>
      <c r="Z1027" s="87"/>
      <c r="AA1027" s="87"/>
      <c r="AB1027" s="87"/>
      <c r="AC1027" s="140"/>
      <c r="AD1027" s="87"/>
      <c r="AE1027" s="87"/>
      <c r="AF1027" s="158"/>
      <c r="AG1027" s="141"/>
    </row>
    <row r="1028" spans="1:33" ht="15.75" customHeight="1">
      <c r="A1028" s="166"/>
      <c r="B1028" s="167"/>
      <c r="C1028" s="167"/>
      <c r="D1028" s="143" t="str">
        <f>"PRD_SNJ_"&amp;
_xlfn.XLOOKUP(商品マスタ[[#This Row],[仕入先]],テーブル1[仕入先名],テーブル1[仕入先コード],"XXX",0,1)&amp;
"_"&amp;
商品マスタ[[#This Row],[シリアル]]&amp;
"_"&amp;
TEXT(COUNTIFS(商品マスタ!$C$3:C1028,商品マスタ[[#This Row],[仕入先]],商品マスタ!$E$3:E1028,商品マスタ[[#This Row],[商品名]]), "00")</f>
        <v>PRD_SNJ__0000_00</v>
      </c>
      <c r="E1028" s="87"/>
      <c r="F1028" s="87">
        <f>IF(COUNTIFS($C$3:C1028,商品マスタ[[#This Row],[仕入先]],$E$3:E1028,商品マスタ[[#This Row],[商品名]]) = 1, 1,0)</f>
        <v>0</v>
      </c>
      <c r="G1028" s="133" t="str">
        <f>TEXT(SUMIF($C$3:C1028,商品マスタ[[#This Row],[仕入先]],$F$3:F1028), "0000")</f>
        <v>0000</v>
      </c>
      <c r="H1028" s="87"/>
      <c r="I1028" s="87"/>
      <c r="J1028" s="87"/>
      <c r="K1028" s="87"/>
      <c r="L1028" s="134"/>
      <c r="M1028" s="157"/>
      <c r="N1028" s="134"/>
      <c r="O1028" s="135" t="str">
        <f>IF(COUNT(商品マスタ[[#This Row],[参考上代
（税込)]]) &gt; 0, (商品マスタ[[#This Row],[参考上代
（税込)]]-商品マスタ[[#This Row],[国内定価
（15％）]])/(商品マスタ[[#This Row],[参考上代
（税込)]]/1.08), "")</f>
        <v/>
      </c>
      <c r="P1028" s="136">
        <v>0.1</v>
      </c>
      <c r="Q1028" s="134">
        <f>商品マスタ[[#This Row],[仕入
単価]]*商品マスタ[[#This Row],[標準国内送料率]]</f>
        <v>0</v>
      </c>
      <c r="R1028" s="134"/>
      <c r="S1028" s="134">
        <f>IF(ISBLANK(商品マスタ[[#This Row],[実績
国内送料]]),商品マスタ[[#This Row],[標準国内送料]],)</f>
        <v>0</v>
      </c>
      <c r="T1028" s="134">
        <f>商品マスタ[[#This Row],[仕入
単価]]+商品マスタ[[#This Row],[国内送料]]</f>
        <v>0</v>
      </c>
      <c r="U1028" s="134">
        <f>ROUNDUP(商品マスタ[[#This Row],[仕入単価+国内送料]]/0.8,-1)</f>
        <v>0</v>
      </c>
      <c r="V1028" s="134">
        <f>商品マスタ[[#This Row],[海外定価
（20％）]]-商品マスタ[[#This Row],[仕入単価+国内送料]]</f>
        <v>0</v>
      </c>
      <c r="W1028" s="87">
        <f>ROUNDUP(商品マスタ[[#This Row],[仕入単価+国内送料]]/0.85,-1)</f>
        <v>0</v>
      </c>
      <c r="X1028" s="134">
        <f>商品マスタ[[#This Row],[国内定価
（15％）]]-商品マスタ[[#This Row],[仕入単価+国内送料]]</f>
        <v>0</v>
      </c>
      <c r="Y1028" s="139"/>
      <c r="Z1028" s="87"/>
      <c r="AA1028" s="87"/>
      <c r="AB1028" s="87"/>
      <c r="AC1028" s="140"/>
      <c r="AD1028" s="87"/>
      <c r="AE1028" s="87"/>
      <c r="AF1028" s="158"/>
      <c r="AG1028" s="141"/>
    </row>
    <row r="1029" spans="1:33" ht="15.75" customHeight="1">
      <c r="A1029" s="166"/>
      <c r="B1029" s="167"/>
      <c r="C1029" s="167"/>
      <c r="D1029" s="143" t="str">
        <f>"PRD_SNJ_"&amp;
_xlfn.XLOOKUP(商品マスタ[[#This Row],[仕入先]],テーブル1[仕入先名],テーブル1[仕入先コード],"XXX",0,1)&amp;
"_"&amp;
商品マスタ[[#This Row],[シリアル]]&amp;
"_"&amp;
TEXT(COUNTIFS(商品マスタ!$C$3:C1029,商品マスタ[[#This Row],[仕入先]],商品マスタ!$E$3:E1029,商品マスタ[[#This Row],[商品名]]), "00")</f>
        <v>PRD_SNJ__0000_00</v>
      </c>
      <c r="E1029" s="87"/>
      <c r="F1029" s="87">
        <f>IF(COUNTIFS($C$3:C1029,商品マスタ[[#This Row],[仕入先]],$E$3:E1029,商品マスタ[[#This Row],[商品名]]) = 1, 1,0)</f>
        <v>0</v>
      </c>
      <c r="G1029" s="133" t="str">
        <f>TEXT(SUMIF($C$3:C1029,商品マスタ[[#This Row],[仕入先]],$F$3:F1029), "0000")</f>
        <v>0000</v>
      </c>
      <c r="H1029" s="87"/>
      <c r="I1029" s="87"/>
      <c r="J1029" s="87"/>
      <c r="K1029" s="87"/>
      <c r="L1029" s="134"/>
      <c r="M1029" s="157"/>
      <c r="N1029" s="134"/>
      <c r="O1029" s="135" t="str">
        <f>IF(COUNT(商品マスタ[[#This Row],[参考上代
（税込)]]) &gt; 0, (商品マスタ[[#This Row],[参考上代
（税込)]]-商品マスタ[[#This Row],[国内定価
（15％）]])/(商品マスタ[[#This Row],[参考上代
（税込)]]/1.08), "")</f>
        <v/>
      </c>
      <c r="P1029" s="136">
        <v>0.1</v>
      </c>
      <c r="Q1029" s="134">
        <f>商品マスタ[[#This Row],[仕入
単価]]*商品マスタ[[#This Row],[標準国内送料率]]</f>
        <v>0</v>
      </c>
      <c r="R1029" s="134"/>
      <c r="S1029" s="134">
        <f>IF(ISBLANK(商品マスタ[[#This Row],[実績
国内送料]]),商品マスタ[[#This Row],[標準国内送料]],)</f>
        <v>0</v>
      </c>
      <c r="T1029" s="134">
        <f>商品マスタ[[#This Row],[仕入
単価]]+商品マスタ[[#This Row],[国内送料]]</f>
        <v>0</v>
      </c>
      <c r="U1029" s="134">
        <f>ROUNDUP(商品マスタ[[#This Row],[仕入単価+国内送料]]/0.8,-1)</f>
        <v>0</v>
      </c>
      <c r="V1029" s="134">
        <f>商品マスタ[[#This Row],[海外定価
（20％）]]-商品マスタ[[#This Row],[仕入単価+国内送料]]</f>
        <v>0</v>
      </c>
      <c r="W1029" s="87">
        <f>ROUNDUP(商品マスタ[[#This Row],[仕入単価+国内送料]]/0.85,-1)</f>
        <v>0</v>
      </c>
      <c r="X1029" s="134">
        <f>商品マスタ[[#This Row],[国内定価
（15％）]]-商品マスタ[[#This Row],[仕入単価+国内送料]]</f>
        <v>0</v>
      </c>
      <c r="Y1029" s="139"/>
      <c r="Z1029" s="87"/>
      <c r="AA1029" s="87"/>
      <c r="AB1029" s="87"/>
      <c r="AC1029" s="140"/>
      <c r="AD1029" s="87"/>
      <c r="AE1029" s="87"/>
      <c r="AF1029" s="158"/>
      <c r="AG1029" s="141"/>
    </row>
    <row r="1030" spans="1:33" ht="15.75" customHeight="1">
      <c r="A1030" s="166"/>
      <c r="B1030" s="167"/>
      <c r="C1030" s="167"/>
      <c r="D1030" s="143" t="str">
        <f>"PRD_SNJ_"&amp;
_xlfn.XLOOKUP(商品マスタ[[#This Row],[仕入先]],テーブル1[仕入先名],テーブル1[仕入先コード],"XXX",0,1)&amp;
"_"&amp;
商品マスタ[[#This Row],[シリアル]]&amp;
"_"&amp;
TEXT(COUNTIFS(商品マスタ!$C$3:C1030,商品マスタ[[#This Row],[仕入先]],商品マスタ!$E$3:E1030,商品マスタ[[#This Row],[商品名]]), "00")</f>
        <v>PRD_SNJ__0000_00</v>
      </c>
      <c r="E1030" s="87"/>
      <c r="F1030" s="87">
        <f>IF(COUNTIFS($C$3:C1030,商品マスタ[[#This Row],[仕入先]],$E$3:E1030,商品マスタ[[#This Row],[商品名]]) = 1, 1,0)</f>
        <v>0</v>
      </c>
      <c r="G1030" s="133" t="str">
        <f>TEXT(SUMIF($C$3:C1030,商品マスタ[[#This Row],[仕入先]],$F$3:F1030), "0000")</f>
        <v>0000</v>
      </c>
      <c r="H1030" s="87"/>
      <c r="I1030" s="87"/>
      <c r="J1030" s="87"/>
      <c r="K1030" s="87"/>
      <c r="L1030" s="134"/>
      <c r="M1030" s="157"/>
      <c r="N1030" s="134"/>
      <c r="O1030" s="135" t="str">
        <f>IF(COUNT(商品マスタ[[#This Row],[参考上代
（税込)]]) &gt; 0, (商品マスタ[[#This Row],[参考上代
（税込)]]-商品マスタ[[#This Row],[国内定価
（15％）]])/(商品マスタ[[#This Row],[参考上代
（税込)]]/1.08), "")</f>
        <v/>
      </c>
      <c r="P1030" s="136">
        <v>0.1</v>
      </c>
      <c r="Q1030" s="134">
        <f>商品マスタ[[#This Row],[仕入
単価]]*商品マスタ[[#This Row],[標準国内送料率]]</f>
        <v>0</v>
      </c>
      <c r="R1030" s="134"/>
      <c r="S1030" s="134">
        <f>IF(ISBLANK(商品マスタ[[#This Row],[実績
国内送料]]),商品マスタ[[#This Row],[標準国内送料]],)</f>
        <v>0</v>
      </c>
      <c r="T1030" s="134">
        <f>商品マスタ[[#This Row],[仕入
単価]]+商品マスタ[[#This Row],[国内送料]]</f>
        <v>0</v>
      </c>
      <c r="U1030" s="134">
        <f>ROUNDUP(商品マスタ[[#This Row],[仕入単価+国内送料]]/0.8,-1)</f>
        <v>0</v>
      </c>
      <c r="V1030" s="134">
        <f>商品マスタ[[#This Row],[海外定価
（20％）]]-商品マスタ[[#This Row],[仕入単価+国内送料]]</f>
        <v>0</v>
      </c>
      <c r="W1030" s="87">
        <f>ROUNDUP(商品マスタ[[#This Row],[仕入単価+国内送料]]/0.85,-1)</f>
        <v>0</v>
      </c>
      <c r="X1030" s="134">
        <f>商品マスタ[[#This Row],[国内定価
（15％）]]-商品マスタ[[#This Row],[仕入単価+国内送料]]</f>
        <v>0</v>
      </c>
      <c r="Y1030" s="139"/>
      <c r="Z1030" s="87"/>
      <c r="AA1030" s="87"/>
      <c r="AB1030" s="87"/>
      <c r="AC1030" s="140"/>
      <c r="AD1030" s="87"/>
      <c r="AE1030" s="87"/>
      <c r="AF1030" s="158"/>
      <c r="AG1030" s="141"/>
    </row>
    <row r="1031" spans="1:33" ht="15.75" customHeight="1">
      <c r="A1031" s="166"/>
      <c r="B1031" s="167"/>
      <c r="C1031" s="167"/>
      <c r="D1031" s="143" t="str">
        <f>"PRD_SNJ_"&amp;
_xlfn.XLOOKUP(商品マスタ[[#This Row],[仕入先]],テーブル1[仕入先名],テーブル1[仕入先コード],"XXX",0,1)&amp;
"_"&amp;
商品マスタ[[#This Row],[シリアル]]&amp;
"_"&amp;
TEXT(COUNTIFS(商品マスタ!$C$3:C1031,商品マスタ[[#This Row],[仕入先]],商品マスタ!$E$3:E1031,商品マスタ[[#This Row],[商品名]]), "00")</f>
        <v>PRD_SNJ__0000_00</v>
      </c>
      <c r="E1031" s="87"/>
      <c r="F1031" s="87">
        <f>IF(COUNTIFS($C$3:C1031,商品マスタ[[#This Row],[仕入先]],$E$3:E1031,商品マスタ[[#This Row],[商品名]]) = 1, 1,0)</f>
        <v>0</v>
      </c>
      <c r="G1031" s="133" t="str">
        <f>TEXT(SUMIF($C$3:C1031,商品マスタ[[#This Row],[仕入先]],$F$3:F1031), "0000")</f>
        <v>0000</v>
      </c>
      <c r="H1031" s="87"/>
      <c r="I1031" s="87"/>
      <c r="J1031" s="87"/>
      <c r="K1031" s="87"/>
      <c r="L1031" s="134"/>
      <c r="M1031" s="157"/>
      <c r="N1031" s="134"/>
      <c r="O1031" s="135" t="str">
        <f>IF(COUNT(商品マスタ[[#This Row],[参考上代
（税込)]]) &gt; 0, (商品マスタ[[#This Row],[参考上代
（税込)]]-商品マスタ[[#This Row],[国内定価
（15％）]])/(商品マスタ[[#This Row],[参考上代
（税込)]]/1.08), "")</f>
        <v/>
      </c>
      <c r="P1031" s="136">
        <v>0.1</v>
      </c>
      <c r="Q1031" s="134">
        <f>商品マスタ[[#This Row],[仕入
単価]]*商品マスタ[[#This Row],[標準国内送料率]]</f>
        <v>0</v>
      </c>
      <c r="R1031" s="134"/>
      <c r="S1031" s="134">
        <f>IF(ISBLANK(商品マスタ[[#This Row],[実績
国内送料]]),商品マスタ[[#This Row],[標準国内送料]],)</f>
        <v>0</v>
      </c>
      <c r="T1031" s="134">
        <f>商品マスタ[[#This Row],[仕入
単価]]+商品マスタ[[#This Row],[国内送料]]</f>
        <v>0</v>
      </c>
      <c r="U1031" s="134">
        <f>ROUNDUP(商品マスタ[[#This Row],[仕入単価+国内送料]]/0.8,-1)</f>
        <v>0</v>
      </c>
      <c r="V1031" s="134">
        <f>商品マスタ[[#This Row],[海外定価
（20％）]]-商品マスタ[[#This Row],[仕入単価+国内送料]]</f>
        <v>0</v>
      </c>
      <c r="W1031" s="87">
        <f>ROUNDUP(商品マスタ[[#This Row],[仕入単価+国内送料]]/0.85,-1)</f>
        <v>0</v>
      </c>
      <c r="X1031" s="134">
        <f>商品マスタ[[#This Row],[国内定価
（15％）]]-商品マスタ[[#This Row],[仕入単価+国内送料]]</f>
        <v>0</v>
      </c>
      <c r="Y1031" s="139"/>
      <c r="Z1031" s="87"/>
      <c r="AA1031" s="87"/>
      <c r="AB1031" s="87"/>
      <c r="AC1031" s="140"/>
      <c r="AD1031" s="87"/>
      <c r="AE1031" s="87"/>
      <c r="AF1031" s="158"/>
      <c r="AG1031" s="141"/>
    </row>
    <row r="1032" spans="1:33" ht="15.75" customHeight="1">
      <c r="A1032" s="166"/>
      <c r="B1032" s="167"/>
      <c r="C1032" s="167"/>
      <c r="D1032" s="143" t="str">
        <f>"PRD_SNJ_"&amp;
_xlfn.XLOOKUP(商品マスタ[[#This Row],[仕入先]],テーブル1[仕入先名],テーブル1[仕入先コード],"XXX",0,1)&amp;
"_"&amp;
商品マスタ[[#This Row],[シリアル]]&amp;
"_"&amp;
TEXT(COUNTIFS(商品マスタ!$C$3:C1032,商品マスタ[[#This Row],[仕入先]],商品マスタ!$E$3:E1032,商品マスタ[[#This Row],[商品名]]), "00")</f>
        <v>PRD_SNJ__0000_00</v>
      </c>
      <c r="E1032" s="87"/>
      <c r="F1032" s="87">
        <f>IF(COUNTIFS($C$3:C1032,商品マスタ[[#This Row],[仕入先]],$E$3:E1032,商品マスタ[[#This Row],[商品名]]) = 1, 1,0)</f>
        <v>0</v>
      </c>
      <c r="G1032" s="133" t="str">
        <f>TEXT(SUMIF($C$3:C1032,商品マスタ[[#This Row],[仕入先]],$F$3:F1032), "0000")</f>
        <v>0000</v>
      </c>
      <c r="H1032" s="87"/>
      <c r="I1032" s="87"/>
      <c r="J1032" s="87"/>
      <c r="K1032" s="87"/>
      <c r="L1032" s="134"/>
      <c r="M1032" s="157"/>
      <c r="N1032" s="134"/>
      <c r="O1032" s="135" t="str">
        <f>IF(COUNT(商品マスタ[[#This Row],[参考上代
（税込)]]) &gt; 0, (商品マスタ[[#This Row],[参考上代
（税込)]]-商品マスタ[[#This Row],[国内定価
（15％）]])/(商品マスタ[[#This Row],[参考上代
（税込)]]/1.08), "")</f>
        <v/>
      </c>
      <c r="P1032" s="136">
        <v>0.1</v>
      </c>
      <c r="Q1032" s="134">
        <f>商品マスタ[[#This Row],[仕入
単価]]*商品マスタ[[#This Row],[標準国内送料率]]</f>
        <v>0</v>
      </c>
      <c r="R1032" s="134"/>
      <c r="S1032" s="134">
        <f>IF(ISBLANK(商品マスタ[[#This Row],[実績
国内送料]]),商品マスタ[[#This Row],[標準国内送料]],)</f>
        <v>0</v>
      </c>
      <c r="T1032" s="134">
        <f>商品マスタ[[#This Row],[仕入
単価]]+商品マスタ[[#This Row],[国内送料]]</f>
        <v>0</v>
      </c>
      <c r="U1032" s="134">
        <f>ROUNDUP(商品マスタ[[#This Row],[仕入単価+国内送料]]/0.8,-1)</f>
        <v>0</v>
      </c>
      <c r="V1032" s="134">
        <f>商品マスタ[[#This Row],[海外定価
（20％）]]-商品マスタ[[#This Row],[仕入単価+国内送料]]</f>
        <v>0</v>
      </c>
      <c r="W1032" s="87">
        <f>ROUNDUP(商品マスタ[[#This Row],[仕入単価+国内送料]]/0.85,-1)</f>
        <v>0</v>
      </c>
      <c r="X1032" s="134">
        <f>商品マスタ[[#This Row],[国内定価
（15％）]]-商品マスタ[[#This Row],[仕入単価+国内送料]]</f>
        <v>0</v>
      </c>
      <c r="Y1032" s="139"/>
      <c r="Z1032" s="87"/>
      <c r="AA1032" s="87"/>
      <c r="AB1032" s="87"/>
      <c r="AC1032" s="140"/>
      <c r="AD1032" s="87"/>
      <c r="AE1032" s="87"/>
      <c r="AF1032" s="158"/>
      <c r="AG1032" s="141"/>
    </row>
    <row r="1033" spans="1:33" ht="15.75" customHeight="1">
      <c r="A1033" s="166"/>
      <c r="B1033" s="167"/>
      <c r="C1033" s="167"/>
      <c r="D1033" s="143" t="str">
        <f>"PRD_SNJ_"&amp;
_xlfn.XLOOKUP(商品マスタ[[#This Row],[仕入先]],テーブル1[仕入先名],テーブル1[仕入先コード],"XXX",0,1)&amp;
"_"&amp;
商品マスタ[[#This Row],[シリアル]]&amp;
"_"&amp;
TEXT(COUNTIFS(商品マスタ!$C$3:C1033,商品マスタ[[#This Row],[仕入先]],商品マスタ!$E$3:E1033,商品マスタ[[#This Row],[商品名]]), "00")</f>
        <v>PRD_SNJ__0000_00</v>
      </c>
      <c r="E1033" s="87"/>
      <c r="F1033" s="87">
        <f>IF(COUNTIFS($C$3:C1033,商品マスタ[[#This Row],[仕入先]],$E$3:E1033,商品マスタ[[#This Row],[商品名]]) = 1, 1,0)</f>
        <v>0</v>
      </c>
      <c r="G1033" s="133" t="str">
        <f>TEXT(SUMIF($C$3:C1033,商品マスタ[[#This Row],[仕入先]],$F$3:F1033), "0000")</f>
        <v>0000</v>
      </c>
      <c r="H1033" s="87"/>
      <c r="I1033" s="87"/>
      <c r="J1033" s="87"/>
      <c r="K1033" s="87"/>
      <c r="L1033" s="134"/>
      <c r="M1033" s="157"/>
      <c r="N1033" s="134"/>
      <c r="O1033" s="135" t="str">
        <f>IF(COUNT(商品マスタ[[#This Row],[参考上代
（税込)]]) &gt; 0, (商品マスタ[[#This Row],[参考上代
（税込)]]-商品マスタ[[#This Row],[国内定価
（15％）]])/(商品マスタ[[#This Row],[参考上代
（税込)]]/1.08), "")</f>
        <v/>
      </c>
      <c r="P1033" s="136">
        <v>0.1</v>
      </c>
      <c r="Q1033" s="134">
        <f>商品マスタ[[#This Row],[仕入
単価]]*商品マスタ[[#This Row],[標準国内送料率]]</f>
        <v>0</v>
      </c>
      <c r="R1033" s="134"/>
      <c r="S1033" s="134">
        <f>IF(ISBLANK(商品マスタ[[#This Row],[実績
国内送料]]),商品マスタ[[#This Row],[標準国内送料]],)</f>
        <v>0</v>
      </c>
      <c r="T1033" s="134">
        <f>商品マスタ[[#This Row],[仕入
単価]]+商品マスタ[[#This Row],[国内送料]]</f>
        <v>0</v>
      </c>
      <c r="U1033" s="134">
        <f>ROUNDUP(商品マスタ[[#This Row],[仕入単価+国内送料]]/0.8,-1)</f>
        <v>0</v>
      </c>
      <c r="V1033" s="134">
        <f>商品マスタ[[#This Row],[海外定価
（20％）]]-商品マスタ[[#This Row],[仕入単価+国内送料]]</f>
        <v>0</v>
      </c>
      <c r="W1033" s="87">
        <f>ROUNDUP(商品マスタ[[#This Row],[仕入単価+国内送料]]/0.85,-1)</f>
        <v>0</v>
      </c>
      <c r="X1033" s="134">
        <f>商品マスタ[[#This Row],[国内定価
（15％）]]-商品マスタ[[#This Row],[仕入単価+国内送料]]</f>
        <v>0</v>
      </c>
      <c r="Y1033" s="139"/>
      <c r="Z1033" s="87"/>
      <c r="AA1033" s="87"/>
      <c r="AB1033" s="87"/>
      <c r="AC1033" s="140"/>
      <c r="AD1033" s="87"/>
      <c r="AE1033" s="87"/>
      <c r="AF1033" s="158"/>
      <c r="AG1033" s="141"/>
    </row>
    <row r="1034" spans="1:33" ht="15.75" customHeight="1">
      <c r="A1034" s="166"/>
      <c r="B1034" s="167"/>
      <c r="C1034" s="167"/>
      <c r="D1034" s="143" t="str">
        <f>"PRD_SNJ_"&amp;
_xlfn.XLOOKUP(商品マスタ[[#This Row],[仕入先]],テーブル1[仕入先名],テーブル1[仕入先コード],"XXX",0,1)&amp;
"_"&amp;
商品マスタ[[#This Row],[シリアル]]&amp;
"_"&amp;
TEXT(COUNTIFS(商品マスタ!$C$3:C1034,商品マスタ[[#This Row],[仕入先]],商品マスタ!$E$3:E1034,商品マスタ[[#This Row],[商品名]]), "00")</f>
        <v>PRD_SNJ__0000_00</v>
      </c>
      <c r="E1034" s="87"/>
      <c r="F1034" s="87">
        <f>IF(COUNTIFS($C$3:C1034,商品マスタ[[#This Row],[仕入先]],$E$3:E1034,商品マスタ[[#This Row],[商品名]]) = 1, 1,0)</f>
        <v>0</v>
      </c>
      <c r="G1034" s="133" t="str">
        <f>TEXT(SUMIF($C$3:C1034,商品マスタ[[#This Row],[仕入先]],$F$3:F1034), "0000")</f>
        <v>0000</v>
      </c>
      <c r="H1034" s="87"/>
      <c r="I1034" s="87"/>
      <c r="J1034" s="87"/>
      <c r="K1034" s="87"/>
      <c r="L1034" s="134"/>
      <c r="M1034" s="157"/>
      <c r="N1034" s="134"/>
      <c r="O1034" s="135" t="str">
        <f>IF(COUNT(商品マスタ[[#This Row],[参考上代
（税込)]]) &gt; 0, (商品マスタ[[#This Row],[参考上代
（税込)]]-商品マスタ[[#This Row],[国内定価
（15％）]])/(商品マスタ[[#This Row],[参考上代
（税込)]]/1.08), "")</f>
        <v/>
      </c>
      <c r="P1034" s="136">
        <v>0.1</v>
      </c>
      <c r="Q1034" s="134">
        <f>商品マスタ[[#This Row],[仕入
単価]]*商品マスタ[[#This Row],[標準国内送料率]]</f>
        <v>0</v>
      </c>
      <c r="R1034" s="134"/>
      <c r="S1034" s="134">
        <f>IF(ISBLANK(商品マスタ[[#This Row],[実績
国内送料]]),商品マスタ[[#This Row],[標準国内送料]],)</f>
        <v>0</v>
      </c>
      <c r="T1034" s="134">
        <f>商品マスタ[[#This Row],[仕入
単価]]+商品マスタ[[#This Row],[国内送料]]</f>
        <v>0</v>
      </c>
      <c r="U1034" s="134">
        <f>ROUNDUP(商品マスタ[[#This Row],[仕入単価+国内送料]]/0.8,-1)</f>
        <v>0</v>
      </c>
      <c r="V1034" s="134">
        <f>商品マスタ[[#This Row],[海外定価
（20％）]]-商品マスタ[[#This Row],[仕入単価+国内送料]]</f>
        <v>0</v>
      </c>
      <c r="W1034" s="87">
        <f>ROUNDUP(商品マスタ[[#This Row],[仕入単価+国内送料]]/0.85,-1)</f>
        <v>0</v>
      </c>
      <c r="X1034" s="134">
        <f>商品マスタ[[#This Row],[国内定価
（15％）]]-商品マスタ[[#This Row],[仕入単価+国内送料]]</f>
        <v>0</v>
      </c>
      <c r="Y1034" s="139"/>
      <c r="Z1034" s="87"/>
      <c r="AA1034" s="87"/>
      <c r="AB1034" s="87"/>
      <c r="AC1034" s="140"/>
      <c r="AD1034" s="87"/>
      <c r="AE1034" s="87"/>
      <c r="AF1034" s="158"/>
      <c r="AG1034" s="141"/>
    </row>
    <row r="1035" spans="1:33" ht="15.75" customHeight="1">
      <c r="A1035" s="166"/>
      <c r="B1035" s="167"/>
      <c r="C1035" s="167"/>
      <c r="D1035" s="143" t="str">
        <f>"PRD_SNJ_"&amp;
_xlfn.XLOOKUP(商品マスタ[[#This Row],[仕入先]],テーブル1[仕入先名],テーブル1[仕入先コード],"XXX",0,1)&amp;
"_"&amp;
商品マスタ[[#This Row],[シリアル]]&amp;
"_"&amp;
TEXT(COUNTIFS(商品マスタ!$C$3:C1035,商品マスタ[[#This Row],[仕入先]],商品マスタ!$E$3:E1035,商品マスタ[[#This Row],[商品名]]), "00")</f>
        <v>PRD_SNJ__0000_00</v>
      </c>
      <c r="E1035" s="87"/>
      <c r="F1035" s="87">
        <f>IF(COUNTIFS($C$3:C1035,商品マスタ[[#This Row],[仕入先]],$E$3:E1035,商品マスタ[[#This Row],[商品名]]) = 1, 1,0)</f>
        <v>0</v>
      </c>
      <c r="G1035" s="133" t="str">
        <f>TEXT(SUMIF($C$3:C1035,商品マスタ[[#This Row],[仕入先]],$F$3:F1035), "0000")</f>
        <v>0000</v>
      </c>
      <c r="H1035" s="87"/>
      <c r="I1035" s="87"/>
      <c r="J1035" s="87"/>
      <c r="K1035" s="87"/>
      <c r="L1035" s="134"/>
      <c r="M1035" s="157"/>
      <c r="N1035" s="134"/>
      <c r="O1035" s="135" t="str">
        <f>IF(COUNT(商品マスタ[[#This Row],[参考上代
（税込)]]) &gt; 0, (商品マスタ[[#This Row],[参考上代
（税込)]]-商品マスタ[[#This Row],[国内定価
（15％）]])/(商品マスタ[[#This Row],[参考上代
（税込)]]/1.08), "")</f>
        <v/>
      </c>
      <c r="P1035" s="136">
        <v>0.1</v>
      </c>
      <c r="Q1035" s="134">
        <f>商品マスタ[[#This Row],[仕入
単価]]*商品マスタ[[#This Row],[標準国内送料率]]</f>
        <v>0</v>
      </c>
      <c r="R1035" s="134"/>
      <c r="S1035" s="134">
        <f>IF(ISBLANK(商品マスタ[[#This Row],[実績
国内送料]]),商品マスタ[[#This Row],[標準国内送料]],)</f>
        <v>0</v>
      </c>
      <c r="T1035" s="134">
        <f>商品マスタ[[#This Row],[仕入
単価]]+商品マスタ[[#This Row],[国内送料]]</f>
        <v>0</v>
      </c>
      <c r="U1035" s="134">
        <f>ROUNDUP(商品マスタ[[#This Row],[仕入単価+国内送料]]/0.8,-1)</f>
        <v>0</v>
      </c>
      <c r="V1035" s="134">
        <f>商品マスタ[[#This Row],[海外定価
（20％）]]-商品マスタ[[#This Row],[仕入単価+国内送料]]</f>
        <v>0</v>
      </c>
      <c r="W1035" s="87">
        <f>ROUNDUP(商品マスタ[[#This Row],[仕入単価+国内送料]]/0.85,-1)</f>
        <v>0</v>
      </c>
      <c r="X1035" s="134">
        <f>商品マスタ[[#This Row],[国内定価
（15％）]]-商品マスタ[[#This Row],[仕入単価+国内送料]]</f>
        <v>0</v>
      </c>
      <c r="Y1035" s="139"/>
      <c r="Z1035" s="87"/>
      <c r="AA1035" s="87"/>
      <c r="AB1035" s="87"/>
      <c r="AC1035" s="140"/>
      <c r="AD1035" s="87"/>
      <c r="AE1035" s="87"/>
      <c r="AF1035" s="158"/>
      <c r="AG1035" s="141"/>
    </row>
    <row r="1036" spans="1:33" ht="15.75" customHeight="1">
      <c r="A1036" s="166"/>
      <c r="B1036" s="167"/>
      <c r="C1036" s="167"/>
      <c r="D1036" s="143" t="str">
        <f>"PRD_SNJ_"&amp;
_xlfn.XLOOKUP(商品マスタ[[#This Row],[仕入先]],テーブル1[仕入先名],テーブル1[仕入先コード],"XXX",0,1)&amp;
"_"&amp;
商品マスタ[[#This Row],[シリアル]]&amp;
"_"&amp;
TEXT(COUNTIFS(商品マスタ!$C$3:C1036,商品マスタ[[#This Row],[仕入先]],商品マスタ!$E$3:E1036,商品マスタ[[#This Row],[商品名]]), "00")</f>
        <v>PRD_SNJ__0000_00</v>
      </c>
      <c r="E1036" s="87"/>
      <c r="F1036" s="87">
        <f>IF(COUNTIFS($C$3:C1036,商品マスタ[[#This Row],[仕入先]],$E$3:E1036,商品マスタ[[#This Row],[商品名]]) = 1, 1,0)</f>
        <v>0</v>
      </c>
      <c r="G1036" s="133" t="str">
        <f>TEXT(SUMIF($C$3:C1036,商品マスタ[[#This Row],[仕入先]],$F$3:F1036), "0000")</f>
        <v>0000</v>
      </c>
      <c r="H1036" s="87"/>
      <c r="I1036" s="87"/>
      <c r="J1036" s="87"/>
      <c r="K1036" s="87"/>
      <c r="L1036" s="134"/>
      <c r="M1036" s="157"/>
      <c r="N1036" s="134"/>
      <c r="O1036" s="135" t="str">
        <f>IF(COUNT(商品マスタ[[#This Row],[参考上代
（税込)]]) &gt; 0, (商品マスタ[[#This Row],[参考上代
（税込)]]-商品マスタ[[#This Row],[国内定価
（15％）]])/(商品マスタ[[#This Row],[参考上代
（税込)]]/1.08), "")</f>
        <v/>
      </c>
      <c r="P1036" s="136">
        <v>0.1</v>
      </c>
      <c r="Q1036" s="134">
        <f>商品マスタ[[#This Row],[仕入
単価]]*商品マスタ[[#This Row],[標準国内送料率]]</f>
        <v>0</v>
      </c>
      <c r="R1036" s="134"/>
      <c r="S1036" s="134">
        <f>IF(ISBLANK(商品マスタ[[#This Row],[実績
国内送料]]),商品マスタ[[#This Row],[標準国内送料]],)</f>
        <v>0</v>
      </c>
      <c r="T1036" s="134">
        <f>商品マスタ[[#This Row],[仕入
単価]]+商品マスタ[[#This Row],[国内送料]]</f>
        <v>0</v>
      </c>
      <c r="U1036" s="134">
        <f>ROUNDUP(商品マスタ[[#This Row],[仕入単価+国内送料]]/0.8,-1)</f>
        <v>0</v>
      </c>
      <c r="V1036" s="134">
        <f>商品マスタ[[#This Row],[海外定価
（20％）]]-商品マスタ[[#This Row],[仕入単価+国内送料]]</f>
        <v>0</v>
      </c>
      <c r="W1036" s="87">
        <f>ROUNDUP(商品マスタ[[#This Row],[仕入単価+国内送料]]/0.85,-1)</f>
        <v>0</v>
      </c>
      <c r="X1036" s="134">
        <f>商品マスタ[[#This Row],[国内定価
（15％）]]-商品マスタ[[#This Row],[仕入単価+国内送料]]</f>
        <v>0</v>
      </c>
      <c r="Y1036" s="139"/>
      <c r="Z1036" s="87"/>
      <c r="AA1036" s="87"/>
      <c r="AB1036" s="87"/>
      <c r="AC1036" s="140"/>
      <c r="AD1036" s="87"/>
      <c r="AE1036" s="87"/>
      <c r="AF1036" s="158"/>
      <c r="AG1036" s="141"/>
    </row>
    <row r="1037" spans="1:33" ht="15.75" customHeight="1">
      <c r="A1037" s="166"/>
      <c r="B1037" s="167"/>
      <c r="C1037" s="167"/>
      <c r="D1037" s="143" t="str">
        <f>"PRD_SNJ_"&amp;
_xlfn.XLOOKUP(商品マスタ[[#This Row],[仕入先]],テーブル1[仕入先名],テーブル1[仕入先コード],"XXX",0,1)&amp;
"_"&amp;
商品マスタ[[#This Row],[シリアル]]&amp;
"_"&amp;
TEXT(COUNTIFS(商品マスタ!$C$3:C1037,商品マスタ[[#This Row],[仕入先]],商品マスタ!$E$3:E1037,商品マスタ[[#This Row],[商品名]]), "00")</f>
        <v>PRD_SNJ__0000_00</v>
      </c>
      <c r="E1037" s="87"/>
      <c r="F1037" s="87">
        <f>IF(COUNTIFS($C$3:C1037,商品マスタ[[#This Row],[仕入先]],$E$3:E1037,商品マスタ[[#This Row],[商品名]]) = 1, 1,0)</f>
        <v>0</v>
      </c>
      <c r="G1037" s="133" t="str">
        <f>TEXT(SUMIF($C$3:C1037,商品マスタ[[#This Row],[仕入先]],$F$3:F1037), "0000")</f>
        <v>0000</v>
      </c>
      <c r="H1037" s="87"/>
      <c r="I1037" s="87"/>
      <c r="J1037" s="87"/>
      <c r="K1037" s="87"/>
      <c r="L1037" s="134"/>
      <c r="M1037" s="157"/>
      <c r="N1037" s="134"/>
      <c r="O1037" s="135" t="str">
        <f>IF(COUNT(商品マスタ[[#This Row],[参考上代
（税込)]]) &gt; 0, (商品マスタ[[#This Row],[参考上代
（税込)]]-商品マスタ[[#This Row],[国内定価
（15％）]])/(商品マスタ[[#This Row],[参考上代
（税込)]]/1.08), "")</f>
        <v/>
      </c>
      <c r="P1037" s="136">
        <v>0.1</v>
      </c>
      <c r="Q1037" s="134">
        <f>商品マスタ[[#This Row],[仕入
単価]]*商品マスタ[[#This Row],[標準国内送料率]]</f>
        <v>0</v>
      </c>
      <c r="R1037" s="134"/>
      <c r="S1037" s="134">
        <f>IF(ISBLANK(商品マスタ[[#This Row],[実績
国内送料]]),商品マスタ[[#This Row],[標準国内送料]],)</f>
        <v>0</v>
      </c>
      <c r="T1037" s="134">
        <f>商品マスタ[[#This Row],[仕入
単価]]+商品マスタ[[#This Row],[国内送料]]</f>
        <v>0</v>
      </c>
      <c r="U1037" s="134">
        <f>ROUNDUP(商品マスタ[[#This Row],[仕入単価+国内送料]]/0.8,-1)</f>
        <v>0</v>
      </c>
      <c r="V1037" s="134">
        <f>商品マスタ[[#This Row],[海外定価
（20％）]]-商品マスタ[[#This Row],[仕入単価+国内送料]]</f>
        <v>0</v>
      </c>
      <c r="W1037" s="87">
        <f>ROUNDUP(商品マスタ[[#This Row],[仕入単価+国内送料]]/0.85,-1)</f>
        <v>0</v>
      </c>
      <c r="X1037" s="134">
        <f>商品マスタ[[#This Row],[国内定価
（15％）]]-商品マスタ[[#This Row],[仕入単価+国内送料]]</f>
        <v>0</v>
      </c>
      <c r="Y1037" s="139"/>
      <c r="Z1037" s="87"/>
      <c r="AA1037" s="87"/>
      <c r="AB1037" s="87"/>
      <c r="AC1037" s="140"/>
      <c r="AD1037" s="87"/>
      <c r="AE1037" s="87"/>
      <c r="AF1037" s="158"/>
      <c r="AG1037" s="141"/>
    </row>
    <row r="1038" spans="1:33" ht="15.75" customHeight="1">
      <c r="A1038" s="166"/>
      <c r="B1038" s="167"/>
      <c r="C1038" s="167"/>
      <c r="D1038" s="143" t="str">
        <f>"PRD_SNJ_"&amp;
_xlfn.XLOOKUP(商品マスタ[[#This Row],[仕入先]],テーブル1[仕入先名],テーブル1[仕入先コード],"XXX",0,1)&amp;
"_"&amp;
商品マスタ[[#This Row],[シリアル]]&amp;
"_"&amp;
TEXT(COUNTIFS(商品マスタ!$C$3:C1038,商品マスタ[[#This Row],[仕入先]],商品マスタ!$E$3:E1038,商品マスタ[[#This Row],[商品名]]), "00")</f>
        <v>PRD_SNJ__0000_00</v>
      </c>
      <c r="E1038" s="87"/>
      <c r="F1038" s="87">
        <f>IF(COUNTIFS($C$3:C1038,商品マスタ[[#This Row],[仕入先]],$E$3:E1038,商品マスタ[[#This Row],[商品名]]) = 1, 1,0)</f>
        <v>0</v>
      </c>
      <c r="G1038" s="133" t="str">
        <f>TEXT(SUMIF($C$3:C1038,商品マスタ[[#This Row],[仕入先]],$F$3:F1038), "0000")</f>
        <v>0000</v>
      </c>
      <c r="H1038" s="87"/>
      <c r="I1038" s="87"/>
      <c r="J1038" s="87"/>
      <c r="K1038" s="87"/>
      <c r="L1038" s="134"/>
      <c r="M1038" s="157"/>
      <c r="N1038" s="134"/>
      <c r="O1038" s="135" t="str">
        <f>IF(COUNT(商品マスタ[[#This Row],[参考上代
（税込)]]) &gt; 0, (商品マスタ[[#This Row],[参考上代
（税込)]]-商品マスタ[[#This Row],[国内定価
（15％）]])/(商品マスタ[[#This Row],[参考上代
（税込)]]/1.08), "")</f>
        <v/>
      </c>
      <c r="P1038" s="136">
        <v>0.1</v>
      </c>
      <c r="Q1038" s="134">
        <f>商品マスタ[[#This Row],[仕入
単価]]*商品マスタ[[#This Row],[標準国内送料率]]</f>
        <v>0</v>
      </c>
      <c r="R1038" s="134"/>
      <c r="S1038" s="134">
        <f>IF(ISBLANK(商品マスタ[[#This Row],[実績
国内送料]]),商品マスタ[[#This Row],[標準国内送料]],)</f>
        <v>0</v>
      </c>
      <c r="T1038" s="134">
        <f>商品マスタ[[#This Row],[仕入
単価]]+商品マスタ[[#This Row],[国内送料]]</f>
        <v>0</v>
      </c>
      <c r="U1038" s="134">
        <f>ROUNDUP(商品マスタ[[#This Row],[仕入単価+国内送料]]/0.8,-1)</f>
        <v>0</v>
      </c>
      <c r="V1038" s="134">
        <f>商品マスタ[[#This Row],[海外定価
（20％）]]-商品マスタ[[#This Row],[仕入単価+国内送料]]</f>
        <v>0</v>
      </c>
      <c r="W1038" s="87">
        <f>ROUNDUP(商品マスタ[[#This Row],[仕入単価+国内送料]]/0.85,-1)</f>
        <v>0</v>
      </c>
      <c r="X1038" s="134">
        <f>商品マスタ[[#This Row],[国内定価
（15％）]]-商品マスタ[[#This Row],[仕入単価+国内送料]]</f>
        <v>0</v>
      </c>
      <c r="Y1038" s="139"/>
      <c r="Z1038" s="87"/>
      <c r="AA1038" s="87"/>
      <c r="AB1038" s="87"/>
      <c r="AC1038" s="140"/>
      <c r="AD1038" s="87"/>
      <c r="AE1038" s="87"/>
      <c r="AF1038" s="158"/>
      <c r="AG1038" s="141"/>
    </row>
    <row r="1039" spans="1:33" ht="15.75" customHeight="1">
      <c r="A1039" s="166"/>
      <c r="B1039" s="167"/>
      <c r="C1039" s="167"/>
      <c r="D1039" s="143" t="str">
        <f>"PRD_SNJ_"&amp;
_xlfn.XLOOKUP(商品マスタ[[#This Row],[仕入先]],テーブル1[仕入先名],テーブル1[仕入先コード],"XXX",0,1)&amp;
"_"&amp;
商品マスタ[[#This Row],[シリアル]]&amp;
"_"&amp;
TEXT(COUNTIFS(商品マスタ!$C$3:C1039,商品マスタ[[#This Row],[仕入先]],商品マスタ!$E$3:E1039,商品マスタ[[#This Row],[商品名]]), "00")</f>
        <v>PRD_SNJ__0000_00</v>
      </c>
      <c r="E1039" s="87"/>
      <c r="F1039" s="87">
        <f>IF(COUNTIFS($C$3:C1039,商品マスタ[[#This Row],[仕入先]],$E$3:E1039,商品マスタ[[#This Row],[商品名]]) = 1, 1,0)</f>
        <v>0</v>
      </c>
      <c r="G1039" s="133" t="str">
        <f>TEXT(SUMIF($C$3:C1039,商品マスタ[[#This Row],[仕入先]],$F$3:F1039), "0000")</f>
        <v>0000</v>
      </c>
      <c r="H1039" s="87"/>
      <c r="I1039" s="87"/>
      <c r="J1039" s="87"/>
      <c r="K1039" s="87"/>
      <c r="L1039" s="134"/>
      <c r="M1039" s="157"/>
      <c r="N1039" s="134"/>
      <c r="O1039" s="135" t="str">
        <f>IF(COUNT(商品マスタ[[#This Row],[参考上代
（税込)]]) &gt; 0, (商品マスタ[[#This Row],[参考上代
（税込)]]-商品マスタ[[#This Row],[国内定価
（15％）]])/(商品マスタ[[#This Row],[参考上代
（税込)]]/1.08), "")</f>
        <v/>
      </c>
      <c r="P1039" s="136">
        <v>0.1</v>
      </c>
      <c r="Q1039" s="134">
        <f>商品マスタ[[#This Row],[仕入
単価]]*商品マスタ[[#This Row],[標準国内送料率]]</f>
        <v>0</v>
      </c>
      <c r="R1039" s="134"/>
      <c r="S1039" s="134">
        <f>IF(ISBLANK(商品マスタ[[#This Row],[実績
国内送料]]),商品マスタ[[#This Row],[標準国内送料]],)</f>
        <v>0</v>
      </c>
      <c r="T1039" s="134">
        <f>商品マスタ[[#This Row],[仕入
単価]]+商品マスタ[[#This Row],[国内送料]]</f>
        <v>0</v>
      </c>
      <c r="U1039" s="134">
        <f>ROUNDUP(商品マスタ[[#This Row],[仕入単価+国内送料]]/0.8,-1)</f>
        <v>0</v>
      </c>
      <c r="V1039" s="134">
        <f>商品マスタ[[#This Row],[海外定価
（20％）]]-商品マスタ[[#This Row],[仕入単価+国内送料]]</f>
        <v>0</v>
      </c>
      <c r="W1039" s="87">
        <f>ROUNDUP(商品マスタ[[#This Row],[仕入単価+国内送料]]/0.85,-1)</f>
        <v>0</v>
      </c>
      <c r="X1039" s="134">
        <f>商品マスタ[[#This Row],[国内定価
（15％）]]-商品マスタ[[#This Row],[仕入単価+国内送料]]</f>
        <v>0</v>
      </c>
      <c r="Y1039" s="139"/>
      <c r="Z1039" s="87"/>
      <c r="AA1039" s="87"/>
      <c r="AB1039" s="87"/>
      <c r="AC1039" s="140"/>
      <c r="AD1039" s="87"/>
      <c r="AE1039" s="87"/>
      <c r="AF1039" s="158"/>
      <c r="AG1039" s="141"/>
    </row>
    <row r="1040" spans="1:33" ht="15.75" customHeight="1">
      <c r="A1040" s="166"/>
      <c r="B1040" s="167"/>
      <c r="C1040" s="167"/>
      <c r="D1040" s="143" t="str">
        <f>"PRD_SNJ_"&amp;
_xlfn.XLOOKUP(商品マスタ[[#This Row],[仕入先]],テーブル1[仕入先名],テーブル1[仕入先コード],"XXX",0,1)&amp;
"_"&amp;
商品マスタ[[#This Row],[シリアル]]&amp;
"_"&amp;
TEXT(COUNTIFS(商品マスタ!$C$3:C1040,商品マスタ[[#This Row],[仕入先]],商品マスタ!$E$3:E1040,商品マスタ[[#This Row],[商品名]]), "00")</f>
        <v>PRD_SNJ__0000_00</v>
      </c>
      <c r="E1040" s="87"/>
      <c r="F1040" s="87">
        <f>IF(COUNTIFS($C$3:C1040,商品マスタ[[#This Row],[仕入先]],$E$3:E1040,商品マスタ[[#This Row],[商品名]]) = 1, 1,0)</f>
        <v>0</v>
      </c>
      <c r="G1040" s="133" t="str">
        <f>TEXT(SUMIF($C$3:C1040,商品マスタ[[#This Row],[仕入先]],$F$3:F1040), "0000")</f>
        <v>0000</v>
      </c>
      <c r="H1040" s="87"/>
      <c r="I1040" s="87"/>
      <c r="J1040" s="87"/>
      <c r="K1040" s="87"/>
      <c r="L1040" s="134"/>
      <c r="M1040" s="157"/>
      <c r="N1040" s="134"/>
      <c r="O1040" s="135" t="str">
        <f>IF(COUNT(商品マスタ[[#This Row],[参考上代
（税込)]]) &gt; 0, (商品マスタ[[#This Row],[参考上代
（税込)]]-商品マスタ[[#This Row],[国内定価
（15％）]])/(商品マスタ[[#This Row],[参考上代
（税込)]]/1.08), "")</f>
        <v/>
      </c>
      <c r="P1040" s="136">
        <v>0.1</v>
      </c>
      <c r="Q1040" s="134">
        <f>商品マスタ[[#This Row],[仕入
単価]]*商品マスタ[[#This Row],[標準国内送料率]]</f>
        <v>0</v>
      </c>
      <c r="R1040" s="134"/>
      <c r="S1040" s="134">
        <f>IF(ISBLANK(商品マスタ[[#This Row],[実績
国内送料]]),商品マスタ[[#This Row],[標準国内送料]],)</f>
        <v>0</v>
      </c>
      <c r="T1040" s="134">
        <f>商品マスタ[[#This Row],[仕入
単価]]+商品マスタ[[#This Row],[国内送料]]</f>
        <v>0</v>
      </c>
      <c r="U1040" s="134">
        <f>ROUNDUP(商品マスタ[[#This Row],[仕入単価+国内送料]]/0.8,-1)</f>
        <v>0</v>
      </c>
      <c r="V1040" s="134">
        <f>商品マスタ[[#This Row],[海外定価
（20％）]]-商品マスタ[[#This Row],[仕入単価+国内送料]]</f>
        <v>0</v>
      </c>
      <c r="W1040" s="87">
        <f>ROUNDUP(商品マスタ[[#This Row],[仕入単価+国内送料]]/0.85,-1)</f>
        <v>0</v>
      </c>
      <c r="X1040" s="134">
        <f>商品マスタ[[#This Row],[国内定価
（15％）]]-商品マスタ[[#This Row],[仕入単価+国内送料]]</f>
        <v>0</v>
      </c>
      <c r="Y1040" s="139"/>
      <c r="Z1040" s="87"/>
      <c r="AA1040" s="87"/>
      <c r="AB1040" s="87"/>
      <c r="AC1040" s="140"/>
      <c r="AD1040" s="87"/>
      <c r="AE1040" s="87"/>
      <c r="AF1040" s="158"/>
      <c r="AG1040" s="141"/>
    </row>
    <row r="1041" spans="1:33" ht="15.75" customHeight="1">
      <c r="A1041" s="166"/>
      <c r="B1041" s="167"/>
      <c r="C1041" s="167"/>
      <c r="D1041" s="143" t="str">
        <f>"PRD_SNJ_"&amp;
_xlfn.XLOOKUP(商品マスタ[[#This Row],[仕入先]],テーブル1[仕入先名],テーブル1[仕入先コード],"XXX",0,1)&amp;
"_"&amp;
商品マスタ[[#This Row],[シリアル]]&amp;
"_"&amp;
TEXT(COUNTIFS(商品マスタ!$C$3:C1041,商品マスタ[[#This Row],[仕入先]],商品マスタ!$E$3:E1041,商品マスタ[[#This Row],[商品名]]), "00")</f>
        <v>PRD_SNJ__0000_00</v>
      </c>
      <c r="E1041" s="87"/>
      <c r="F1041" s="87">
        <f>IF(COUNTIFS($C$3:C1041,商品マスタ[[#This Row],[仕入先]],$E$3:E1041,商品マスタ[[#This Row],[商品名]]) = 1, 1,0)</f>
        <v>0</v>
      </c>
      <c r="G1041" s="133" t="str">
        <f>TEXT(SUMIF($C$3:C1041,商品マスタ[[#This Row],[仕入先]],$F$3:F1041), "0000")</f>
        <v>0000</v>
      </c>
      <c r="H1041" s="87"/>
      <c r="I1041" s="87"/>
      <c r="J1041" s="87"/>
      <c r="K1041" s="87"/>
      <c r="L1041" s="134"/>
      <c r="M1041" s="157"/>
      <c r="N1041" s="134"/>
      <c r="O1041" s="135" t="str">
        <f>IF(COUNT(商品マスタ[[#This Row],[参考上代
（税込)]]) &gt; 0, (商品マスタ[[#This Row],[参考上代
（税込)]]-商品マスタ[[#This Row],[国内定価
（15％）]])/(商品マスタ[[#This Row],[参考上代
（税込)]]/1.08), "")</f>
        <v/>
      </c>
      <c r="P1041" s="136">
        <v>0.1</v>
      </c>
      <c r="Q1041" s="134">
        <f>商品マスタ[[#This Row],[仕入
単価]]*商品マスタ[[#This Row],[標準国内送料率]]</f>
        <v>0</v>
      </c>
      <c r="R1041" s="134"/>
      <c r="S1041" s="134">
        <f>IF(ISBLANK(商品マスタ[[#This Row],[実績
国内送料]]),商品マスタ[[#This Row],[標準国内送料]],)</f>
        <v>0</v>
      </c>
      <c r="T1041" s="134">
        <f>商品マスタ[[#This Row],[仕入
単価]]+商品マスタ[[#This Row],[国内送料]]</f>
        <v>0</v>
      </c>
      <c r="U1041" s="134">
        <f>ROUNDUP(商品マスタ[[#This Row],[仕入単価+国内送料]]/0.8,-1)</f>
        <v>0</v>
      </c>
      <c r="V1041" s="134">
        <f>商品マスタ[[#This Row],[海外定価
（20％）]]-商品マスタ[[#This Row],[仕入単価+国内送料]]</f>
        <v>0</v>
      </c>
      <c r="W1041" s="87">
        <f>ROUNDUP(商品マスタ[[#This Row],[仕入単価+国内送料]]/0.85,-1)</f>
        <v>0</v>
      </c>
      <c r="X1041" s="134">
        <f>商品マスタ[[#This Row],[国内定価
（15％）]]-商品マスタ[[#This Row],[仕入単価+国内送料]]</f>
        <v>0</v>
      </c>
      <c r="Y1041" s="139"/>
      <c r="Z1041" s="87"/>
      <c r="AA1041" s="87"/>
      <c r="AB1041" s="87"/>
      <c r="AC1041" s="140"/>
      <c r="AD1041" s="87"/>
      <c r="AE1041" s="87"/>
      <c r="AF1041" s="158"/>
      <c r="AG1041" s="141"/>
    </row>
    <row r="1042" spans="1:33" ht="15.75" customHeight="1">
      <c r="A1042" s="166"/>
      <c r="B1042" s="167"/>
      <c r="C1042" s="167"/>
      <c r="D1042" s="143" t="str">
        <f>"PRD_SNJ_"&amp;
_xlfn.XLOOKUP(商品マスタ[[#This Row],[仕入先]],テーブル1[仕入先名],テーブル1[仕入先コード],"XXX",0,1)&amp;
"_"&amp;
商品マスタ[[#This Row],[シリアル]]&amp;
"_"&amp;
TEXT(COUNTIFS(商品マスタ!$C$3:C1042,商品マスタ[[#This Row],[仕入先]],商品マスタ!$E$3:E1042,商品マスタ[[#This Row],[商品名]]), "00")</f>
        <v>PRD_SNJ__0000_00</v>
      </c>
      <c r="E1042" s="87"/>
      <c r="F1042" s="87">
        <f>IF(COUNTIFS($C$3:C1042,商品マスタ[[#This Row],[仕入先]],$E$3:E1042,商品マスタ[[#This Row],[商品名]]) = 1, 1,0)</f>
        <v>0</v>
      </c>
      <c r="G1042" s="133" t="str">
        <f>TEXT(SUMIF($C$3:C1042,商品マスタ[[#This Row],[仕入先]],$F$3:F1042), "0000")</f>
        <v>0000</v>
      </c>
      <c r="H1042" s="87"/>
      <c r="I1042" s="87"/>
      <c r="J1042" s="87"/>
      <c r="K1042" s="87"/>
      <c r="L1042" s="134"/>
      <c r="M1042" s="157"/>
      <c r="N1042" s="134"/>
      <c r="O1042" s="135" t="str">
        <f>IF(COUNT(商品マスタ[[#This Row],[参考上代
（税込)]]) &gt; 0, (商品マスタ[[#This Row],[参考上代
（税込)]]-商品マスタ[[#This Row],[国内定価
（15％）]])/(商品マスタ[[#This Row],[参考上代
（税込)]]/1.08), "")</f>
        <v/>
      </c>
      <c r="P1042" s="136">
        <v>0.1</v>
      </c>
      <c r="Q1042" s="134">
        <f>商品マスタ[[#This Row],[仕入
単価]]*商品マスタ[[#This Row],[標準国内送料率]]</f>
        <v>0</v>
      </c>
      <c r="R1042" s="134"/>
      <c r="S1042" s="134">
        <f>IF(ISBLANK(商品マスタ[[#This Row],[実績
国内送料]]),商品マスタ[[#This Row],[標準国内送料]],)</f>
        <v>0</v>
      </c>
      <c r="T1042" s="134">
        <f>商品マスタ[[#This Row],[仕入
単価]]+商品マスタ[[#This Row],[国内送料]]</f>
        <v>0</v>
      </c>
      <c r="U1042" s="134">
        <f>ROUNDUP(商品マスタ[[#This Row],[仕入単価+国内送料]]/0.8,-1)</f>
        <v>0</v>
      </c>
      <c r="V1042" s="134">
        <f>商品マスタ[[#This Row],[海外定価
（20％）]]-商品マスタ[[#This Row],[仕入単価+国内送料]]</f>
        <v>0</v>
      </c>
      <c r="W1042" s="87">
        <f>ROUNDUP(商品マスタ[[#This Row],[仕入単価+国内送料]]/0.85,-1)</f>
        <v>0</v>
      </c>
      <c r="X1042" s="134">
        <f>商品マスタ[[#This Row],[国内定価
（15％）]]-商品マスタ[[#This Row],[仕入単価+国内送料]]</f>
        <v>0</v>
      </c>
      <c r="Y1042" s="139"/>
      <c r="Z1042" s="87"/>
      <c r="AA1042" s="87"/>
      <c r="AB1042" s="87"/>
      <c r="AC1042" s="140"/>
      <c r="AD1042" s="87"/>
      <c r="AE1042" s="87"/>
      <c r="AF1042" s="158"/>
      <c r="AG1042" s="141"/>
    </row>
    <row r="1043" spans="1:33" ht="15.75" customHeight="1">
      <c r="A1043" s="166"/>
      <c r="B1043" s="167"/>
      <c r="C1043" s="167"/>
      <c r="D1043" s="143" t="str">
        <f>"PRD_SNJ_"&amp;
_xlfn.XLOOKUP(商品マスタ[[#This Row],[仕入先]],テーブル1[仕入先名],テーブル1[仕入先コード],"XXX",0,1)&amp;
"_"&amp;
商品マスタ[[#This Row],[シリアル]]&amp;
"_"&amp;
TEXT(COUNTIFS(商品マスタ!$C$3:C1043,商品マスタ[[#This Row],[仕入先]],商品マスタ!$E$3:E1043,商品マスタ[[#This Row],[商品名]]), "00")</f>
        <v>PRD_SNJ__0000_00</v>
      </c>
      <c r="E1043" s="87"/>
      <c r="F1043" s="87">
        <f>IF(COUNTIFS($C$3:C1043,商品マスタ[[#This Row],[仕入先]],$E$3:E1043,商品マスタ[[#This Row],[商品名]]) = 1, 1,0)</f>
        <v>0</v>
      </c>
      <c r="G1043" s="133" t="str">
        <f>TEXT(SUMIF($C$3:C1043,商品マスタ[[#This Row],[仕入先]],$F$3:F1043), "0000")</f>
        <v>0000</v>
      </c>
      <c r="H1043" s="87"/>
      <c r="I1043" s="87"/>
      <c r="J1043" s="87"/>
      <c r="K1043" s="87"/>
      <c r="L1043" s="134"/>
      <c r="M1043" s="157"/>
      <c r="N1043" s="134"/>
      <c r="O1043" s="135" t="str">
        <f>IF(COUNT(商品マスタ[[#This Row],[参考上代
（税込)]]) &gt; 0, (商品マスタ[[#This Row],[参考上代
（税込)]]-商品マスタ[[#This Row],[国内定価
（15％）]])/(商品マスタ[[#This Row],[参考上代
（税込)]]/1.08), "")</f>
        <v/>
      </c>
      <c r="P1043" s="136">
        <v>0.1</v>
      </c>
      <c r="Q1043" s="134">
        <f>商品マスタ[[#This Row],[仕入
単価]]*商品マスタ[[#This Row],[標準国内送料率]]</f>
        <v>0</v>
      </c>
      <c r="R1043" s="134"/>
      <c r="S1043" s="134">
        <f>IF(ISBLANK(商品マスタ[[#This Row],[実績
国内送料]]),商品マスタ[[#This Row],[標準国内送料]],)</f>
        <v>0</v>
      </c>
      <c r="T1043" s="134">
        <f>商品マスタ[[#This Row],[仕入
単価]]+商品マスタ[[#This Row],[国内送料]]</f>
        <v>0</v>
      </c>
      <c r="U1043" s="134">
        <f>ROUNDUP(商品マスタ[[#This Row],[仕入単価+国内送料]]/0.8,-1)</f>
        <v>0</v>
      </c>
      <c r="V1043" s="134">
        <f>商品マスタ[[#This Row],[海外定価
（20％）]]-商品マスタ[[#This Row],[仕入単価+国内送料]]</f>
        <v>0</v>
      </c>
      <c r="W1043" s="87">
        <f>ROUNDUP(商品マスタ[[#This Row],[仕入単価+国内送料]]/0.85,-1)</f>
        <v>0</v>
      </c>
      <c r="X1043" s="134">
        <f>商品マスタ[[#This Row],[国内定価
（15％）]]-商品マスタ[[#This Row],[仕入単価+国内送料]]</f>
        <v>0</v>
      </c>
      <c r="Y1043" s="139"/>
      <c r="Z1043" s="87"/>
      <c r="AA1043" s="87"/>
      <c r="AB1043" s="87"/>
      <c r="AC1043" s="140"/>
      <c r="AD1043" s="87"/>
      <c r="AE1043" s="87"/>
      <c r="AF1043" s="158"/>
      <c r="AG1043" s="141"/>
    </row>
    <row r="1044" spans="1:33" ht="15.75" customHeight="1">
      <c r="A1044" s="166"/>
      <c r="B1044" s="167"/>
      <c r="C1044" s="167"/>
      <c r="D1044" s="143" t="str">
        <f>"PRD_SNJ_"&amp;
_xlfn.XLOOKUP(商品マスタ[[#This Row],[仕入先]],テーブル1[仕入先名],テーブル1[仕入先コード],"XXX",0,1)&amp;
"_"&amp;
商品マスタ[[#This Row],[シリアル]]&amp;
"_"&amp;
TEXT(COUNTIFS(商品マスタ!$C$3:C1044,商品マスタ[[#This Row],[仕入先]],商品マスタ!$E$3:E1044,商品マスタ[[#This Row],[商品名]]), "00")</f>
        <v>PRD_SNJ__0000_00</v>
      </c>
      <c r="E1044" s="87"/>
      <c r="F1044" s="87">
        <f>IF(COUNTIFS($C$3:C1044,商品マスタ[[#This Row],[仕入先]],$E$3:E1044,商品マスタ[[#This Row],[商品名]]) = 1, 1,0)</f>
        <v>0</v>
      </c>
      <c r="G1044" s="133" t="str">
        <f>TEXT(SUMIF($C$3:C1044,商品マスタ[[#This Row],[仕入先]],$F$3:F1044), "0000")</f>
        <v>0000</v>
      </c>
      <c r="H1044" s="87"/>
      <c r="I1044" s="87"/>
      <c r="J1044" s="87"/>
      <c r="K1044" s="87"/>
      <c r="L1044" s="134"/>
      <c r="M1044" s="157"/>
      <c r="N1044" s="134"/>
      <c r="O1044" s="135" t="str">
        <f>IF(COUNT(商品マスタ[[#This Row],[参考上代
（税込)]]) &gt; 0, (商品マスタ[[#This Row],[参考上代
（税込)]]-商品マスタ[[#This Row],[国内定価
（15％）]])/(商品マスタ[[#This Row],[参考上代
（税込)]]/1.08), "")</f>
        <v/>
      </c>
      <c r="P1044" s="136">
        <v>0.1</v>
      </c>
      <c r="Q1044" s="134">
        <f>商品マスタ[[#This Row],[仕入
単価]]*商品マスタ[[#This Row],[標準国内送料率]]</f>
        <v>0</v>
      </c>
      <c r="R1044" s="134"/>
      <c r="S1044" s="134">
        <f>IF(ISBLANK(商品マスタ[[#This Row],[実績
国内送料]]),商品マスタ[[#This Row],[標準国内送料]],)</f>
        <v>0</v>
      </c>
      <c r="T1044" s="134">
        <f>商品マスタ[[#This Row],[仕入
単価]]+商品マスタ[[#This Row],[国内送料]]</f>
        <v>0</v>
      </c>
      <c r="U1044" s="134">
        <f>ROUNDUP(商品マスタ[[#This Row],[仕入単価+国内送料]]/0.8,-1)</f>
        <v>0</v>
      </c>
      <c r="V1044" s="134">
        <f>商品マスタ[[#This Row],[海外定価
（20％）]]-商品マスタ[[#This Row],[仕入単価+国内送料]]</f>
        <v>0</v>
      </c>
      <c r="W1044" s="87">
        <f>ROUNDUP(商品マスタ[[#This Row],[仕入単価+国内送料]]/0.85,-1)</f>
        <v>0</v>
      </c>
      <c r="X1044" s="134">
        <f>商品マスタ[[#This Row],[国内定価
（15％）]]-商品マスタ[[#This Row],[仕入単価+国内送料]]</f>
        <v>0</v>
      </c>
      <c r="Y1044" s="139"/>
      <c r="Z1044" s="87"/>
      <c r="AA1044" s="87"/>
      <c r="AB1044" s="87"/>
      <c r="AC1044" s="140"/>
      <c r="AD1044" s="87"/>
      <c r="AE1044" s="87"/>
      <c r="AF1044" s="158"/>
      <c r="AG1044" s="141"/>
    </row>
    <row r="1045" spans="1:33" ht="15.75" customHeight="1">
      <c r="A1045" s="166"/>
      <c r="B1045" s="167"/>
      <c r="C1045" s="167"/>
      <c r="D1045" s="143" t="str">
        <f>"PRD_SNJ_"&amp;
_xlfn.XLOOKUP(商品マスタ[[#This Row],[仕入先]],テーブル1[仕入先名],テーブル1[仕入先コード],"XXX",0,1)&amp;
"_"&amp;
商品マスタ[[#This Row],[シリアル]]&amp;
"_"&amp;
TEXT(COUNTIFS(商品マスタ!$C$3:C1045,商品マスタ[[#This Row],[仕入先]],商品マスタ!$E$3:E1045,商品マスタ[[#This Row],[商品名]]), "00")</f>
        <v>PRD_SNJ__0000_00</v>
      </c>
      <c r="E1045" s="87"/>
      <c r="F1045" s="87">
        <f>IF(COUNTIFS($C$3:C1045,商品マスタ[[#This Row],[仕入先]],$E$3:E1045,商品マスタ[[#This Row],[商品名]]) = 1, 1,0)</f>
        <v>0</v>
      </c>
      <c r="G1045" s="133" t="str">
        <f>TEXT(SUMIF($C$3:C1045,商品マスタ[[#This Row],[仕入先]],$F$3:F1045), "0000")</f>
        <v>0000</v>
      </c>
      <c r="H1045" s="87"/>
      <c r="I1045" s="87"/>
      <c r="J1045" s="87"/>
      <c r="K1045" s="87"/>
      <c r="L1045" s="134"/>
      <c r="M1045" s="157"/>
      <c r="N1045" s="134"/>
      <c r="O1045" s="135" t="str">
        <f>IF(COUNT(商品マスタ[[#This Row],[参考上代
（税込)]]) &gt; 0, (商品マスタ[[#This Row],[参考上代
（税込)]]-商品マスタ[[#This Row],[国内定価
（15％）]])/(商品マスタ[[#This Row],[参考上代
（税込)]]/1.08), "")</f>
        <v/>
      </c>
      <c r="P1045" s="136">
        <v>0.1</v>
      </c>
      <c r="Q1045" s="134">
        <f>商品マスタ[[#This Row],[仕入
単価]]*商品マスタ[[#This Row],[標準国内送料率]]</f>
        <v>0</v>
      </c>
      <c r="R1045" s="134"/>
      <c r="S1045" s="134">
        <f>IF(ISBLANK(商品マスタ[[#This Row],[実績
国内送料]]),商品マスタ[[#This Row],[標準国内送料]],)</f>
        <v>0</v>
      </c>
      <c r="T1045" s="134">
        <f>商品マスタ[[#This Row],[仕入
単価]]+商品マスタ[[#This Row],[国内送料]]</f>
        <v>0</v>
      </c>
      <c r="U1045" s="134">
        <f>ROUNDUP(商品マスタ[[#This Row],[仕入単価+国内送料]]/0.8,-1)</f>
        <v>0</v>
      </c>
      <c r="V1045" s="134">
        <f>商品マスタ[[#This Row],[海外定価
（20％）]]-商品マスタ[[#This Row],[仕入単価+国内送料]]</f>
        <v>0</v>
      </c>
      <c r="W1045" s="87">
        <f>ROUNDUP(商品マスタ[[#This Row],[仕入単価+国内送料]]/0.85,-1)</f>
        <v>0</v>
      </c>
      <c r="X1045" s="134">
        <f>商品マスタ[[#This Row],[国内定価
（15％）]]-商品マスタ[[#This Row],[仕入単価+国内送料]]</f>
        <v>0</v>
      </c>
      <c r="Y1045" s="139"/>
      <c r="Z1045" s="87"/>
      <c r="AA1045" s="87"/>
      <c r="AB1045" s="87"/>
      <c r="AC1045" s="140"/>
      <c r="AD1045" s="87"/>
      <c r="AE1045" s="87"/>
      <c r="AF1045" s="158"/>
      <c r="AG1045" s="141"/>
    </row>
    <row r="1046" spans="1:33" ht="15.75" customHeight="1">
      <c r="A1046" s="166"/>
      <c r="B1046" s="167"/>
      <c r="C1046" s="167"/>
      <c r="D1046" s="143" t="str">
        <f>"PRD_SNJ_"&amp;
_xlfn.XLOOKUP(商品マスタ[[#This Row],[仕入先]],テーブル1[仕入先名],テーブル1[仕入先コード],"XXX",0,1)&amp;
"_"&amp;
商品マスタ[[#This Row],[シリアル]]&amp;
"_"&amp;
TEXT(COUNTIFS(商品マスタ!$C$3:C1046,商品マスタ[[#This Row],[仕入先]],商品マスタ!$E$3:E1046,商品マスタ[[#This Row],[商品名]]), "00")</f>
        <v>PRD_SNJ__0000_00</v>
      </c>
      <c r="E1046" s="87"/>
      <c r="F1046" s="87">
        <f>IF(COUNTIFS($C$3:C1046,商品マスタ[[#This Row],[仕入先]],$E$3:E1046,商品マスタ[[#This Row],[商品名]]) = 1, 1,0)</f>
        <v>0</v>
      </c>
      <c r="G1046" s="133" t="str">
        <f>TEXT(SUMIF($C$3:C1046,商品マスタ[[#This Row],[仕入先]],$F$3:F1046), "0000")</f>
        <v>0000</v>
      </c>
      <c r="H1046" s="87"/>
      <c r="I1046" s="87"/>
      <c r="J1046" s="87"/>
      <c r="K1046" s="87"/>
      <c r="L1046" s="134"/>
      <c r="M1046" s="157"/>
      <c r="N1046" s="134"/>
      <c r="O1046" s="135" t="str">
        <f>IF(COUNT(商品マスタ[[#This Row],[参考上代
（税込)]]) &gt; 0, (商品マスタ[[#This Row],[参考上代
（税込)]]-商品マスタ[[#This Row],[国内定価
（15％）]])/(商品マスタ[[#This Row],[参考上代
（税込)]]/1.08), "")</f>
        <v/>
      </c>
      <c r="P1046" s="136">
        <v>0.1</v>
      </c>
      <c r="Q1046" s="134">
        <f>商品マスタ[[#This Row],[仕入
単価]]*商品マスタ[[#This Row],[標準国内送料率]]</f>
        <v>0</v>
      </c>
      <c r="R1046" s="134"/>
      <c r="S1046" s="134">
        <f>IF(ISBLANK(商品マスタ[[#This Row],[実績
国内送料]]),商品マスタ[[#This Row],[標準国内送料]],)</f>
        <v>0</v>
      </c>
      <c r="T1046" s="134">
        <f>商品マスタ[[#This Row],[仕入
単価]]+商品マスタ[[#This Row],[国内送料]]</f>
        <v>0</v>
      </c>
      <c r="U1046" s="134">
        <f>ROUNDUP(商品マスタ[[#This Row],[仕入単価+国内送料]]/0.8,-1)</f>
        <v>0</v>
      </c>
      <c r="V1046" s="134">
        <f>商品マスタ[[#This Row],[海外定価
（20％）]]-商品マスタ[[#This Row],[仕入単価+国内送料]]</f>
        <v>0</v>
      </c>
      <c r="W1046" s="87">
        <f>ROUNDUP(商品マスタ[[#This Row],[仕入単価+国内送料]]/0.85,-1)</f>
        <v>0</v>
      </c>
      <c r="X1046" s="134">
        <f>商品マスタ[[#This Row],[国内定価
（15％）]]-商品マスタ[[#This Row],[仕入単価+国内送料]]</f>
        <v>0</v>
      </c>
      <c r="Y1046" s="139"/>
      <c r="Z1046" s="87"/>
      <c r="AA1046" s="87"/>
      <c r="AB1046" s="87"/>
      <c r="AC1046" s="140"/>
      <c r="AD1046" s="87"/>
      <c r="AE1046" s="87"/>
      <c r="AF1046" s="158"/>
      <c r="AG1046" s="141"/>
    </row>
    <row r="1047" spans="1:33" ht="15.75" customHeight="1">
      <c r="A1047" s="166"/>
      <c r="B1047" s="167"/>
      <c r="C1047" s="167"/>
      <c r="D1047" s="143" t="str">
        <f>"PRD_SNJ_"&amp;
_xlfn.XLOOKUP(商品マスタ[[#This Row],[仕入先]],テーブル1[仕入先名],テーブル1[仕入先コード],"XXX",0,1)&amp;
"_"&amp;
商品マスタ[[#This Row],[シリアル]]&amp;
"_"&amp;
TEXT(COUNTIFS(商品マスタ!$C$3:C1047,商品マスタ[[#This Row],[仕入先]],商品マスタ!$E$3:E1047,商品マスタ[[#This Row],[商品名]]), "00")</f>
        <v>PRD_SNJ__0000_00</v>
      </c>
      <c r="E1047" s="87"/>
      <c r="F1047" s="87">
        <f>IF(COUNTIFS($C$3:C1047,商品マスタ[[#This Row],[仕入先]],$E$3:E1047,商品マスタ[[#This Row],[商品名]]) = 1, 1,0)</f>
        <v>0</v>
      </c>
      <c r="G1047" s="133" t="str">
        <f>TEXT(SUMIF($C$3:C1047,商品マスタ[[#This Row],[仕入先]],$F$3:F1047), "0000")</f>
        <v>0000</v>
      </c>
      <c r="H1047" s="87"/>
      <c r="I1047" s="87"/>
      <c r="J1047" s="87"/>
      <c r="K1047" s="87"/>
      <c r="L1047" s="134"/>
      <c r="M1047" s="157"/>
      <c r="N1047" s="134"/>
      <c r="O1047" s="135" t="str">
        <f>IF(COUNT(商品マスタ[[#This Row],[参考上代
（税込)]]) &gt; 0, (商品マスタ[[#This Row],[参考上代
（税込)]]-商品マスタ[[#This Row],[国内定価
（15％）]])/(商品マスタ[[#This Row],[参考上代
（税込)]]/1.08), "")</f>
        <v/>
      </c>
      <c r="P1047" s="136">
        <v>0.1</v>
      </c>
      <c r="Q1047" s="134">
        <f>商品マスタ[[#This Row],[仕入
単価]]*商品マスタ[[#This Row],[標準国内送料率]]</f>
        <v>0</v>
      </c>
      <c r="R1047" s="134"/>
      <c r="S1047" s="134">
        <f>IF(ISBLANK(商品マスタ[[#This Row],[実績
国内送料]]),商品マスタ[[#This Row],[標準国内送料]],)</f>
        <v>0</v>
      </c>
      <c r="T1047" s="134">
        <f>商品マスタ[[#This Row],[仕入
単価]]+商品マスタ[[#This Row],[国内送料]]</f>
        <v>0</v>
      </c>
      <c r="U1047" s="134">
        <f>ROUNDUP(商品マスタ[[#This Row],[仕入単価+国内送料]]/0.8,-1)</f>
        <v>0</v>
      </c>
      <c r="V1047" s="134">
        <f>商品マスタ[[#This Row],[海外定価
（20％）]]-商品マスタ[[#This Row],[仕入単価+国内送料]]</f>
        <v>0</v>
      </c>
      <c r="W1047" s="87">
        <f>ROUNDUP(商品マスタ[[#This Row],[仕入単価+国内送料]]/0.85,-1)</f>
        <v>0</v>
      </c>
      <c r="X1047" s="134">
        <f>商品マスタ[[#This Row],[国内定価
（15％）]]-商品マスタ[[#This Row],[仕入単価+国内送料]]</f>
        <v>0</v>
      </c>
      <c r="Y1047" s="139"/>
      <c r="Z1047" s="87"/>
      <c r="AA1047" s="87"/>
      <c r="AB1047" s="87"/>
      <c r="AC1047" s="140"/>
      <c r="AD1047" s="87"/>
      <c r="AE1047" s="87"/>
      <c r="AF1047" s="158"/>
      <c r="AG1047" s="141"/>
    </row>
    <row r="1048" spans="1:33" ht="15.75" customHeight="1">
      <c r="A1048" s="166"/>
      <c r="B1048" s="167"/>
      <c r="C1048" s="167"/>
      <c r="D1048" s="143" t="str">
        <f>"PRD_SNJ_"&amp;
_xlfn.XLOOKUP(商品マスタ[[#This Row],[仕入先]],テーブル1[仕入先名],テーブル1[仕入先コード],"XXX",0,1)&amp;
"_"&amp;
商品マスタ[[#This Row],[シリアル]]&amp;
"_"&amp;
TEXT(COUNTIFS(商品マスタ!$C$3:C1048,商品マスタ[[#This Row],[仕入先]],商品マスタ!$E$3:E1048,商品マスタ[[#This Row],[商品名]]), "00")</f>
        <v>PRD_SNJ__0000_00</v>
      </c>
      <c r="E1048" s="87"/>
      <c r="F1048" s="87">
        <f>IF(COUNTIFS($C$3:C1048,商品マスタ[[#This Row],[仕入先]],$E$3:E1048,商品マスタ[[#This Row],[商品名]]) = 1, 1,0)</f>
        <v>0</v>
      </c>
      <c r="G1048" s="133" t="str">
        <f>TEXT(SUMIF($C$3:C1048,商品マスタ[[#This Row],[仕入先]],$F$3:F1048), "0000")</f>
        <v>0000</v>
      </c>
      <c r="H1048" s="87"/>
      <c r="I1048" s="87"/>
      <c r="J1048" s="87"/>
      <c r="K1048" s="87"/>
      <c r="L1048" s="134"/>
      <c r="M1048" s="157"/>
      <c r="N1048" s="134"/>
      <c r="O1048" s="135" t="str">
        <f>IF(COUNT(商品マスタ[[#This Row],[参考上代
（税込)]]) &gt; 0, (商品マスタ[[#This Row],[参考上代
（税込)]]-商品マスタ[[#This Row],[国内定価
（15％）]])/(商品マスタ[[#This Row],[参考上代
（税込)]]/1.08), "")</f>
        <v/>
      </c>
      <c r="P1048" s="136">
        <v>0.1</v>
      </c>
      <c r="Q1048" s="134">
        <f>商品マスタ[[#This Row],[仕入
単価]]*商品マスタ[[#This Row],[標準国内送料率]]</f>
        <v>0</v>
      </c>
      <c r="R1048" s="134"/>
      <c r="S1048" s="134">
        <f>IF(ISBLANK(商品マスタ[[#This Row],[実績
国内送料]]),商品マスタ[[#This Row],[標準国内送料]],)</f>
        <v>0</v>
      </c>
      <c r="T1048" s="134">
        <f>商品マスタ[[#This Row],[仕入
単価]]+商品マスタ[[#This Row],[国内送料]]</f>
        <v>0</v>
      </c>
      <c r="U1048" s="134">
        <f>ROUNDUP(商品マスタ[[#This Row],[仕入単価+国内送料]]/0.8,-1)</f>
        <v>0</v>
      </c>
      <c r="V1048" s="134">
        <f>商品マスタ[[#This Row],[海外定価
（20％）]]-商品マスタ[[#This Row],[仕入単価+国内送料]]</f>
        <v>0</v>
      </c>
      <c r="W1048" s="87">
        <f>ROUNDUP(商品マスタ[[#This Row],[仕入単価+国内送料]]/0.85,-1)</f>
        <v>0</v>
      </c>
      <c r="X1048" s="134">
        <f>商品マスタ[[#This Row],[国内定価
（15％）]]-商品マスタ[[#This Row],[仕入単価+国内送料]]</f>
        <v>0</v>
      </c>
      <c r="Y1048" s="139"/>
      <c r="Z1048" s="87"/>
      <c r="AA1048" s="87"/>
      <c r="AB1048" s="87"/>
      <c r="AC1048" s="140"/>
      <c r="AD1048" s="87"/>
      <c r="AE1048" s="87"/>
      <c r="AF1048" s="158"/>
      <c r="AG1048" s="141"/>
    </row>
    <row r="1049" spans="1:33" ht="15.75" customHeight="1">
      <c r="A1049" s="166"/>
      <c r="B1049" s="167"/>
      <c r="C1049" s="167"/>
      <c r="D1049" s="143" t="str">
        <f>"PRD_SNJ_"&amp;
_xlfn.XLOOKUP(商品マスタ[[#This Row],[仕入先]],テーブル1[仕入先名],テーブル1[仕入先コード],"XXX",0,1)&amp;
"_"&amp;
商品マスタ[[#This Row],[シリアル]]&amp;
"_"&amp;
TEXT(COUNTIFS(商品マスタ!$C$3:C1049,商品マスタ[[#This Row],[仕入先]],商品マスタ!$E$3:E1049,商品マスタ[[#This Row],[商品名]]), "00")</f>
        <v>PRD_SNJ__0000_00</v>
      </c>
      <c r="E1049" s="87"/>
      <c r="F1049" s="87">
        <f>IF(COUNTIFS($C$3:C1049,商品マスタ[[#This Row],[仕入先]],$E$3:E1049,商品マスタ[[#This Row],[商品名]]) = 1, 1,0)</f>
        <v>0</v>
      </c>
      <c r="G1049" s="133" t="str">
        <f>TEXT(SUMIF($C$3:C1049,商品マスタ[[#This Row],[仕入先]],$F$3:F1049), "0000")</f>
        <v>0000</v>
      </c>
      <c r="H1049" s="87"/>
      <c r="I1049" s="87"/>
      <c r="J1049" s="87"/>
      <c r="K1049" s="87"/>
      <c r="L1049" s="134"/>
      <c r="M1049" s="157"/>
      <c r="N1049" s="134"/>
      <c r="O1049" s="135" t="str">
        <f>IF(COUNT(商品マスタ[[#This Row],[参考上代
（税込)]]) &gt; 0, (商品マスタ[[#This Row],[参考上代
（税込)]]-商品マスタ[[#This Row],[国内定価
（15％）]])/(商品マスタ[[#This Row],[参考上代
（税込)]]/1.08), "")</f>
        <v/>
      </c>
      <c r="P1049" s="136">
        <v>0.1</v>
      </c>
      <c r="Q1049" s="134">
        <f>商品マスタ[[#This Row],[仕入
単価]]*商品マスタ[[#This Row],[標準国内送料率]]</f>
        <v>0</v>
      </c>
      <c r="R1049" s="134"/>
      <c r="S1049" s="134">
        <f>IF(ISBLANK(商品マスタ[[#This Row],[実績
国内送料]]),商品マスタ[[#This Row],[標準国内送料]],)</f>
        <v>0</v>
      </c>
      <c r="T1049" s="134">
        <f>商品マスタ[[#This Row],[仕入
単価]]+商品マスタ[[#This Row],[国内送料]]</f>
        <v>0</v>
      </c>
      <c r="U1049" s="134">
        <f>ROUNDUP(商品マスタ[[#This Row],[仕入単価+国内送料]]/0.8,-1)</f>
        <v>0</v>
      </c>
      <c r="V1049" s="134">
        <f>商品マスタ[[#This Row],[海外定価
（20％）]]-商品マスタ[[#This Row],[仕入単価+国内送料]]</f>
        <v>0</v>
      </c>
      <c r="W1049" s="87">
        <f>ROUNDUP(商品マスタ[[#This Row],[仕入単価+国内送料]]/0.85,-1)</f>
        <v>0</v>
      </c>
      <c r="X1049" s="134">
        <f>商品マスタ[[#This Row],[国内定価
（15％）]]-商品マスタ[[#This Row],[仕入単価+国内送料]]</f>
        <v>0</v>
      </c>
      <c r="Y1049" s="139"/>
      <c r="Z1049" s="87"/>
      <c r="AA1049" s="87"/>
      <c r="AB1049" s="87"/>
      <c r="AC1049" s="140"/>
      <c r="AD1049" s="87"/>
      <c r="AE1049" s="87"/>
      <c r="AF1049" s="158"/>
      <c r="AG1049" s="141"/>
    </row>
    <row r="1050" spans="1:33" ht="15.75" customHeight="1">
      <c r="A1050" s="166"/>
      <c r="B1050" s="167"/>
      <c r="C1050" s="167"/>
      <c r="D1050" s="143" t="str">
        <f>"PRD_SNJ_"&amp;
_xlfn.XLOOKUP(商品マスタ[[#This Row],[仕入先]],テーブル1[仕入先名],テーブル1[仕入先コード],"XXX",0,1)&amp;
"_"&amp;
商品マスタ[[#This Row],[シリアル]]&amp;
"_"&amp;
TEXT(COUNTIFS(商品マスタ!$C$3:C1050,商品マスタ[[#This Row],[仕入先]],商品マスタ!$E$3:E1050,商品マスタ[[#This Row],[商品名]]), "00")</f>
        <v>PRD_SNJ__0000_00</v>
      </c>
      <c r="E1050" s="87"/>
      <c r="F1050" s="87">
        <f>IF(COUNTIFS($C$3:C1050,商品マスタ[[#This Row],[仕入先]],$E$3:E1050,商品マスタ[[#This Row],[商品名]]) = 1, 1,0)</f>
        <v>0</v>
      </c>
      <c r="G1050" s="133" t="str">
        <f>TEXT(SUMIF($C$3:C1050,商品マスタ[[#This Row],[仕入先]],$F$3:F1050), "0000")</f>
        <v>0000</v>
      </c>
      <c r="H1050" s="87"/>
      <c r="I1050" s="87"/>
      <c r="J1050" s="87"/>
      <c r="K1050" s="87"/>
      <c r="L1050" s="134"/>
      <c r="M1050" s="157"/>
      <c r="N1050" s="134"/>
      <c r="O1050" s="135" t="str">
        <f>IF(COUNT(商品マスタ[[#This Row],[参考上代
（税込)]]) &gt; 0, (商品マスタ[[#This Row],[参考上代
（税込)]]-商品マスタ[[#This Row],[国内定価
（15％）]])/(商品マスタ[[#This Row],[参考上代
（税込)]]/1.08), "")</f>
        <v/>
      </c>
      <c r="P1050" s="136">
        <v>0.1</v>
      </c>
      <c r="Q1050" s="134">
        <f>商品マスタ[[#This Row],[仕入
単価]]*商品マスタ[[#This Row],[標準国内送料率]]</f>
        <v>0</v>
      </c>
      <c r="R1050" s="134"/>
      <c r="S1050" s="134">
        <f>IF(ISBLANK(商品マスタ[[#This Row],[実績
国内送料]]),商品マスタ[[#This Row],[標準国内送料]],)</f>
        <v>0</v>
      </c>
      <c r="T1050" s="134">
        <f>商品マスタ[[#This Row],[仕入
単価]]+商品マスタ[[#This Row],[国内送料]]</f>
        <v>0</v>
      </c>
      <c r="U1050" s="134">
        <f>ROUNDUP(商品マスタ[[#This Row],[仕入単価+国内送料]]/0.8,-1)</f>
        <v>0</v>
      </c>
      <c r="V1050" s="134">
        <f>商品マスタ[[#This Row],[海外定価
（20％）]]-商品マスタ[[#This Row],[仕入単価+国内送料]]</f>
        <v>0</v>
      </c>
      <c r="W1050" s="87">
        <f>ROUNDUP(商品マスタ[[#This Row],[仕入単価+国内送料]]/0.85,-1)</f>
        <v>0</v>
      </c>
      <c r="X1050" s="134">
        <f>商品マスタ[[#This Row],[国内定価
（15％）]]-商品マスタ[[#This Row],[仕入単価+国内送料]]</f>
        <v>0</v>
      </c>
      <c r="Y1050" s="139"/>
      <c r="Z1050" s="87"/>
      <c r="AA1050" s="87"/>
      <c r="AB1050" s="87"/>
      <c r="AC1050" s="140"/>
      <c r="AD1050" s="87"/>
      <c r="AE1050" s="87"/>
      <c r="AF1050" s="158"/>
      <c r="AG1050" s="141"/>
    </row>
    <row r="1051" spans="1:33" ht="15.75" customHeight="1">
      <c r="A1051" s="166"/>
      <c r="B1051" s="167"/>
      <c r="C1051" s="167"/>
      <c r="D1051" s="143" t="str">
        <f>"PRD_SNJ_"&amp;
_xlfn.XLOOKUP(商品マスタ[[#This Row],[仕入先]],テーブル1[仕入先名],テーブル1[仕入先コード],"XXX",0,1)&amp;
"_"&amp;
商品マスタ[[#This Row],[シリアル]]&amp;
"_"&amp;
TEXT(COUNTIFS(商品マスタ!$C$3:C1051,商品マスタ[[#This Row],[仕入先]],商品マスタ!$E$3:E1051,商品マスタ[[#This Row],[商品名]]), "00")</f>
        <v>PRD_SNJ__0000_00</v>
      </c>
      <c r="E1051" s="87"/>
      <c r="F1051" s="87">
        <f>IF(COUNTIFS($C$3:C1051,商品マスタ[[#This Row],[仕入先]],$E$3:E1051,商品マスタ[[#This Row],[商品名]]) = 1, 1,0)</f>
        <v>0</v>
      </c>
      <c r="G1051" s="133" t="str">
        <f>TEXT(SUMIF($C$3:C1051,商品マスタ[[#This Row],[仕入先]],$F$3:F1051), "0000")</f>
        <v>0000</v>
      </c>
      <c r="H1051" s="87"/>
      <c r="I1051" s="87"/>
      <c r="J1051" s="87"/>
      <c r="K1051" s="87"/>
      <c r="L1051" s="134"/>
      <c r="M1051" s="157"/>
      <c r="N1051" s="134"/>
      <c r="O1051" s="135" t="str">
        <f>IF(COUNT(商品マスタ[[#This Row],[参考上代
（税込)]]) &gt; 0, (商品マスタ[[#This Row],[参考上代
（税込)]]-商品マスタ[[#This Row],[国内定価
（15％）]])/(商品マスタ[[#This Row],[参考上代
（税込)]]/1.08), "")</f>
        <v/>
      </c>
      <c r="P1051" s="136">
        <v>0.1</v>
      </c>
      <c r="Q1051" s="134">
        <f>商品マスタ[[#This Row],[仕入
単価]]*商品マスタ[[#This Row],[標準国内送料率]]</f>
        <v>0</v>
      </c>
      <c r="R1051" s="134"/>
      <c r="S1051" s="134">
        <f>IF(ISBLANK(商品マスタ[[#This Row],[実績
国内送料]]),商品マスタ[[#This Row],[標準国内送料]],)</f>
        <v>0</v>
      </c>
      <c r="T1051" s="134">
        <f>商品マスタ[[#This Row],[仕入
単価]]+商品マスタ[[#This Row],[国内送料]]</f>
        <v>0</v>
      </c>
      <c r="U1051" s="134">
        <f>ROUNDUP(商品マスタ[[#This Row],[仕入単価+国内送料]]/0.8,-1)</f>
        <v>0</v>
      </c>
      <c r="V1051" s="134">
        <f>商品マスタ[[#This Row],[海外定価
（20％）]]-商品マスタ[[#This Row],[仕入単価+国内送料]]</f>
        <v>0</v>
      </c>
      <c r="W1051" s="87">
        <f>ROUNDUP(商品マスタ[[#This Row],[仕入単価+国内送料]]/0.85,-1)</f>
        <v>0</v>
      </c>
      <c r="X1051" s="134">
        <f>商品マスタ[[#This Row],[国内定価
（15％）]]-商品マスタ[[#This Row],[仕入単価+国内送料]]</f>
        <v>0</v>
      </c>
      <c r="Y1051" s="139"/>
      <c r="Z1051" s="87"/>
      <c r="AA1051" s="87"/>
      <c r="AB1051" s="87"/>
      <c r="AC1051" s="140"/>
      <c r="AD1051" s="87"/>
      <c r="AE1051" s="87"/>
      <c r="AF1051" s="158"/>
      <c r="AG1051" s="141"/>
    </row>
    <row r="1052" spans="1:33" ht="15.75" customHeight="1">
      <c r="A1052" s="166"/>
      <c r="B1052" s="167"/>
      <c r="C1052" s="167"/>
      <c r="D1052" s="143" t="str">
        <f>"PRD_SNJ_"&amp;
_xlfn.XLOOKUP(商品マスタ[[#This Row],[仕入先]],テーブル1[仕入先名],テーブル1[仕入先コード],"XXX",0,1)&amp;
"_"&amp;
商品マスタ[[#This Row],[シリアル]]&amp;
"_"&amp;
TEXT(COUNTIFS(商品マスタ!$C$3:C1052,商品マスタ[[#This Row],[仕入先]],商品マスタ!$E$3:E1052,商品マスタ[[#This Row],[商品名]]), "00")</f>
        <v>PRD_SNJ__0000_00</v>
      </c>
      <c r="E1052" s="87"/>
      <c r="F1052" s="87">
        <f>IF(COUNTIFS($C$3:C1052,商品マスタ[[#This Row],[仕入先]],$E$3:E1052,商品マスタ[[#This Row],[商品名]]) = 1, 1,0)</f>
        <v>0</v>
      </c>
      <c r="G1052" s="133" t="str">
        <f>TEXT(SUMIF($C$3:C1052,商品マスタ[[#This Row],[仕入先]],$F$3:F1052), "0000")</f>
        <v>0000</v>
      </c>
      <c r="H1052" s="87"/>
      <c r="I1052" s="87"/>
      <c r="J1052" s="87"/>
      <c r="K1052" s="87"/>
      <c r="L1052" s="134"/>
      <c r="M1052" s="157"/>
      <c r="N1052" s="134"/>
      <c r="O1052" s="135" t="str">
        <f>IF(COUNT(商品マスタ[[#This Row],[参考上代
（税込)]]) &gt; 0, (商品マスタ[[#This Row],[参考上代
（税込)]]-商品マスタ[[#This Row],[国内定価
（15％）]])/(商品マスタ[[#This Row],[参考上代
（税込)]]/1.08), "")</f>
        <v/>
      </c>
      <c r="P1052" s="136">
        <v>0.1</v>
      </c>
      <c r="Q1052" s="134">
        <f>商品マスタ[[#This Row],[仕入
単価]]*商品マスタ[[#This Row],[標準国内送料率]]</f>
        <v>0</v>
      </c>
      <c r="R1052" s="134"/>
      <c r="S1052" s="134">
        <f>IF(ISBLANK(商品マスタ[[#This Row],[実績
国内送料]]),商品マスタ[[#This Row],[標準国内送料]],)</f>
        <v>0</v>
      </c>
      <c r="T1052" s="134">
        <f>商品マスタ[[#This Row],[仕入
単価]]+商品マスタ[[#This Row],[国内送料]]</f>
        <v>0</v>
      </c>
      <c r="U1052" s="134">
        <f>ROUNDUP(商品マスタ[[#This Row],[仕入単価+国内送料]]/0.8,-1)</f>
        <v>0</v>
      </c>
      <c r="V1052" s="134">
        <f>商品マスタ[[#This Row],[海外定価
（20％）]]-商品マスタ[[#This Row],[仕入単価+国内送料]]</f>
        <v>0</v>
      </c>
      <c r="W1052" s="87">
        <f>ROUNDUP(商品マスタ[[#This Row],[仕入単価+国内送料]]/0.85,-1)</f>
        <v>0</v>
      </c>
      <c r="X1052" s="134">
        <f>商品マスタ[[#This Row],[国内定価
（15％）]]-商品マスタ[[#This Row],[仕入単価+国内送料]]</f>
        <v>0</v>
      </c>
      <c r="Y1052" s="139"/>
      <c r="Z1052" s="87"/>
      <c r="AA1052" s="87"/>
      <c r="AB1052" s="87"/>
      <c r="AC1052" s="140"/>
      <c r="AD1052" s="87"/>
      <c r="AE1052" s="87"/>
      <c r="AF1052" s="158"/>
      <c r="AG1052" s="141"/>
    </row>
    <row r="1053" spans="1:33" ht="15.75" customHeight="1">
      <c r="A1053" s="166"/>
      <c r="B1053" s="167"/>
      <c r="C1053" s="167"/>
      <c r="D1053" s="143" t="str">
        <f>"PRD_SNJ_"&amp;
_xlfn.XLOOKUP(商品マスタ[[#This Row],[仕入先]],テーブル1[仕入先名],テーブル1[仕入先コード],"XXX",0,1)&amp;
"_"&amp;
商品マスタ[[#This Row],[シリアル]]&amp;
"_"&amp;
TEXT(COUNTIFS(商品マスタ!$C$3:C1053,商品マスタ[[#This Row],[仕入先]],商品マスタ!$E$3:E1053,商品マスタ[[#This Row],[商品名]]), "00")</f>
        <v>PRD_SNJ__0000_00</v>
      </c>
      <c r="E1053" s="87"/>
      <c r="F1053" s="87">
        <f>IF(COUNTIFS($C$3:C1053,商品マスタ[[#This Row],[仕入先]],$E$3:E1053,商品マスタ[[#This Row],[商品名]]) = 1, 1,0)</f>
        <v>0</v>
      </c>
      <c r="G1053" s="133" t="str">
        <f>TEXT(SUMIF($C$3:C1053,商品マスタ[[#This Row],[仕入先]],$F$3:F1053), "0000")</f>
        <v>0000</v>
      </c>
      <c r="H1053" s="87"/>
      <c r="I1053" s="87"/>
      <c r="J1053" s="87"/>
      <c r="K1053" s="87"/>
      <c r="L1053" s="134"/>
      <c r="M1053" s="157"/>
      <c r="N1053" s="134"/>
      <c r="O1053" s="135" t="str">
        <f>IF(COUNT(商品マスタ[[#This Row],[参考上代
（税込)]]) &gt; 0, (商品マスタ[[#This Row],[参考上代
（税込)]]-商品マスタ[[#This Row],[国内定価
（15％）]])/(商品マスタ[[#This Row],[参考上代
（税込)]]/1.08), "")</f>
        <v/>
      </c>
      <c r="P1053" s="136">
        <v>0.1</v>
      </c>
      <c r="Q1053" s="134">
        <f>商品マスタ[[#This Row],[仕入
単価]]*商品マスタ[[#This Row],[標準国内送料率]]</f>
        <v>0</v>
      </c>
      <c r="R1053" s="134"/>
      <c r="S1053" s="134">
        <f>IF(ISBLANK(商品マスタ[[#This Row],[実績
国内送料]]),商品マスタ[[#This Row],[標準国内送料]],)</f>
        <v>0</v>
      </c>
      <c r="T1053" s="134">
        <f>商品マスタ[[#This Row],[仕入
単価]]+商品マスタ[[#This Row],[国内送料]]</f>
        <v>0</v>
      </c>
      <c r="U1053" s="134">
        <f>ROUNDUP(商品マスタ[[#This Row],[仕入単価+国内送料]]/0.8,-1)</f>
        <v>0</v>
      </c>
      <c r="V1053" s="134">
        <f>商品マスタ[[#This Row],[海外定価
（20％）]]-商品マスタ[[#This Row],[仕入単価+国内送料]]</f>
        <v>0</v>
      </c>
      <c r="W1053" s="87">
        <f>ROUNDUP(商品マスタ[[#This Row],[仕入単価+国内送料]]/0.85,-1)</f>
        <v>0</v>
      </c>
      <c r="X1053" s="134">
        <f>商品マスタ[[#This Row],[国内定価
（15％）]]-商品マスタ[[#This Row],[仕入単価+国内送料]]</f>
        <v>0</v>
      </c>
      <c r="Y1053" s="139"/>
      <c r="Z1053" s="87"/>
      <c r="AA1053" s="87"/>
      <c r="AB1053" s="87"/>
      <c r="AC1053" s="140"/>
      <c r="AD1053" s="87"/>
      <c r="AE1053" s="87"/>
      <c r="AF1053" s="158"/>
      <c r="AG1053" s="141"/>
    </row>
    <row r="1054" spans="1:33" ht="15.75" customHeight="1">
      <c r="A1054" s="166"/>
      <c r="B1054" s="167"/>
      <c r="C1054" s="167"/>
      <c r="D1054" s="143" t="str">
        <f>"PRD_SNJ_"&amp;
_xlfn.XLOOKUP(商品マスタ[[#This Row],[仕入先]],テーブル1[仕入先名],テーブル1[仕入先コード],"XXX",0,1)&amp;
"_"&amp;
商品マスタ[[#This Row],[シリアル]]&amp;
"_"&amp;
TEXT(COUNTIFS(商品マスタ!$C$3:C1054,商品マスタ[[#This Row],[仕入先]],商品マスタ!$E$3:E1054,商品マスタ[[#This Row],[商品名]]), "00")</f>
        <v>PRD_SNJ__0000_00</v>
      </c>
      <c r="E1054" s="87"/>
      <c r="F1054" s="87">
        <f>IF(COUNTIFS($C$3:C1054,商品マスタ[[#This Row],[仕入先]],$E$3:E1054,商品マスタ[[#This Row],[商品名]]) = 1, 1,0)</f>
        <v>0</v>
      </c>
      <c r="G1054" s="133" t="str">
        <f>TEXT(SUMIF($C$3:C1054,商品マスタ[[#This Row],[仕入先]],$F$3:F1054), "0000")</f>
        <v>0000</v>
      </c>
      <c r="H1054" s="87"/>
      <c r="I1054" s="87"/>
      <c r="J1054" s="87"/>
      <c r="K1054" s="87"/>
      <c r="L1054" s="134"/>
      <c r="M1054" s="157"/>
      <c r="N1054" s="134"/>
      <c r="O1054" s="135" t="str">
        <f>IF(COUNT(商品マスタ[[#This Row],[参考上代
（税込)]]) &gt; 0, (商品マスタ[[#This Row],[参考上代
（税込)]]-商品マスタ[[#This Row],[国内定価
（15％）]])/(商品マスタ[[#This Row],[参考上代
（税込)]]/1.08), "")</f>
        <v/>
      </c>
      <c r="P1054" s="136">
        <v>0.1</v>
      </c>
      <c r="Q1054" s="134">
        <f>商品マスタ[[#This Row],[仕入
単価]]*商品マスタ[[#This Row],[標準国内送料率]]</f>
        <v>0</v>
      </c>
      <c r="R1054" s="134"/>
      <c r="S1054" s="134">
        <f>IF(ISBLANK(商品マスタ[[#This Row],[実績
国内送料]]),商品マスタ[[#This Row],[標準国内送料]],)</f>
        <v>0</v>
      </c>
      <c r="T1054" s="134">
        <f>商品マスタ[[#This Row],[仕入
単価]]+商品マスタ[[#This Row],[国内送料]]</f>
        <v>0</v>
      </c>
      <c r="U1054" s="134">
        <f>ROUNDUP(商品マスタ[[#This Row],[仕入単価+国内送料]]/0.8,-1)</f>
        <v>0</v>
      </c>
      <c r="V1054" s="134">
        <f>商品マスタ[[#This Row],[海外定価
（20％）]]-商品マスタ[[#This Row],[仕入単価+国内送料]]</f>
        <v>0</v>
      </c>
      <c r="W1054" s="87">
        <f>ROUNDUP(商品マスタ[[#This Row],[仕入単価+国内送料]]/0.85,-1)</f>
        <v>0</v>
      </c>
      <c r="X1054" s="134">
        <f>商品マスタ[[#This Row],[国内定価
（15％）]]-商品マスタ[[#This Row],[仕入単価+国内送料]]</f>
        <v>0</v>
      </c>
      <c r="Y1054" s="139"/>
      <c r="Z1054" s="87"/>
      <c r="AA1054" s="87"/>
      <c r="AB1054" s="87"/>
      <c r="AC1054" s="140"/>
      <c r="AD1054" s="87"/>
      <c r="AE1054" s="87"/>
      <c r="AF1054" s="158"/>
      <c r="AG1054" s="141"/>
    </row>
    <row r="1055" spans="1:33" ht="15.75" customHeight="1">
      <c r="A1055" s="166"/>
      <c r="B1055" s="167"/>
      <c r="C1055" s="167"/>
      <c r="D1055" s="143" t="str">
        <f>"PRD_SNJ_"&amp;
_xlfn.XLOOKUP(商品マスタ[[#This Row],[仕入先]],テーブル1[仕入先名],テーブル1[仕入先コード],"XXX",0,1)&amp;
"_"&amp;
商品マスタ[[#This Row],[シリアル]]&amp;
"_"&amp;
TEXT(COUNTIFS(商品マスタ!$C$3:C1055,商品マスタ[[#This Row],[仕入先]],商品マスタ!$E$3:E1055,商品マスタ[[#This Row],[商品名]]), "00")</f>
        <v>PRD_SNJ__0000_00</v>
      </c>
      <c r="E1055" s="87"/>
      <c r="F1055" s="87">
        <f>IF(COUNTIFS($C$3:C1055,商品マスタ[[#This Row],[仕入先]],$E$3:E1055,商品マスタ[[#This Row],[商品名]]) = 1, 1,0)</f>
        <v>0</v>
      </c>
      <c r="G1055" s="133" t="str">
        <f>TEXT(SUMIF($C$3:C1055,商品マスタ[[#This Row],[仕入先]],$F$3:F1055), "0000")</f>
        <v>0000</v>
      </c>
      <c r="H1055" s="87"/>
      <c r="I1055" s="87"/>
      <c r="J1055" s="87"/>
      <c r="K1055" s="87"/>
      <c r="L1055" s="134"/>
      <c r="M1055" s="157"/>
      <c r="N1055" s="134"/>
      <c r="O1055" s="135" t="str">
        <f>IF(COUNT(商品マスタ[[#This Row],[参考上代
（税込)]]) &gt; 0, (商品マスタ[[#This Row],[参考上代
（税込)]]-商品マスタ[[#This Row],[国内定価
（15％）]])/(商品マスタ[[#This Row],[参考上代
（税込)]]/1.08), "")</f>
        <v/>
      </c>
      <c r="P1055" s="136">
        <v>0.1</v>
      </c>
      <c r="Q1055" s="134">
        <f>商品マスタ[[#This Row],[仕入
単価]]*商品マスタ[[#This Row],[標準国内送料率]]</f>
        <v>0</v>
      </c>
      <c r="R1055" s="134"/>
      <c r="S1055" s="134">
        <f>IF(ISBLANK(商品マスタ[[#This Row],[実績
国内送料]]),商品マスタ[[#This Row],[標準国内送料]],)</f>
        <v>0</v>
      </c>
      <c r="T1055" s="134">
        <f>商品マスタ[[#This Row],[仕入
単価]]+商品マスタ[[#This Row],[国内送料]]</f>
        <v>0</v>
      </c>
      <c r="U1055" s="134">
        <f>ROUNDUP(商品マスタ[[#This Row],[仕入単価+国内送料]]/0.8,-1)</f>
        <v>0</v>
      </c>
      <c r="V1055" s="134">
        <f>商品マスタ[[#This Row],[海外定価
（20％）]]-商品マスタ[[#This Row],[仕入単価+国内送料]]</f>
        <v>0</v>
      </c>
      <c r="W1055" s="87">
        <f>ROUNDUP(商品マスタ[[#This Row],[仕入単価+国内送料]]/0.85,-1)</f>
        <v>0</v>
      </c>
      <c r="X1055" s="134">
        <f>商品マスタ[[#This Row],[国内定価
（15％）]]-商品マスタ[[#This Row],[仕入単価+国内送料]]</f>
        <v>0</v>
      </c>
      <c r="Y1055" s="139"/>
      <c r="Z1055" s="87"/>
      <c r="AA1055" s="87"/>
      <c r="AB1055" s="87"/>
      <c r="AC1055" s="140"/>
      <c r="AD1055" s="87"/>
      <c r="AE1055" s="87"/>
      <c r="AF1055" s="158"/>
      <c r="AG1055" s="141"/>
    </row>
    <row r="1056" spans="1:33" ht="15.75" customHeight="1">
      <c r="A1056" s="166"/>
      <c r="B1056" s="167"/>
      <c r="C1056" s="167"/>
      <c r="D1056" s="143" t="str">
        <f>"PRD_SNJ_"&amp;
_xlfn.XLOOKUP(商品マスタ[[#This Row],[仕入先]],テーブル1[仕入先名],テーブル1[仕入先コード],"XXX",0,1)&amp;
"_"&amp;
商品マスタ[[#This Row],[シリアル]]&amp;
"_"&amp;
TEXT(COUNTIFS(商品マスタ!$C$3:C1056,商品マスタ[[#This Row],[仕入先]],商品マスタ!$E$3:E1056,商品マスタ[[#This Row],[商品名]]), "00")</f>
        <v>PRD_SNJ__0000_00</v>
      </c>
      <c r="E1056" s="87"/>
      <c r="F1056" s="87">
        <f>IF(COUNTIFS($C$3:C1056,商品マスタ[[#This Row],[仕入先]],$E$3:E1056,商品マスタ[[#This Row],[商品名]]) = 1, 1,0)</f>
        <v>0</v>
      </c>
      <c r="G1056" s="133" t="str">
        <f>TEXT(SUMIF($C$3:C1056,商品マスタ[[#This Row],[仕入先]],$F$3:F1056), "0000")</f>
        <v>0000</v>
      </c>
      <c r="H1056" s="87"/>
      <c r="I1056" s="87"/>
      <c r="J1056" s="87"/>
      <c r="K1056" s="87"/>
      <c r="L1056" s="134"/>
      <c r="M1056" s="157"/>
      <c r="N1056" s="134"/>
      <c r="O1056" s="135" t="str">
        <f>IF(COUNT(商品マスタ[[#This Row],[参考上代
（税込)]]) &gt; 0, (商品マスタ[[#This Row],[参考上代
（税込)]]-商品マスタ[[#This Row],[国内定価
（15％）]])/(商品マスタ[[#This Row],[参考上代
（税込)]]/1.08), "")</f>
        <v/>
      </c>
      <c r="P1056" s="136">
        <v>0.1</v>
      </c>
      <c r="Q1056" s="134">
        <f>商品マスタ[[#This Row],[仕入
単価]]*商品マスタ[[#This Row],[標準国内送料率]]</f>
        <v>0</v>
      </c>
      <c r="R1056" s="134"/>
      <c r="S1056" s="134">
        <f>IF(ISBLANK(商品マスタ[[#This Row],[実績
国内送料]]),商品マスタ[[#This Row],[標準国内送料]],)</f>
        <v>0</v>
      </c>
      <c r="T1056" s="134">
        <f>商品マスタ[[#This Row],[仕入
単価]]+商品マスタ[[#This Row],[国内送料]]</f>
        <v>0</v>
      </c>
      <c r="U1056" s="134">
        <f>ROUNDUP(商品マスタ[[#This Row],[仕入単価+国内送料]]/0.8,-1)</f>
        <v>0</v>
      </c>
      <c r="V1056" s="134">
        <f>商品マスタ[[#This Row],[海外定価
（20％）]]-商品マスタ[[#This Row],[仕入単価+国内送料]]</f>
        <v>0</v>
      </c>
      <c r="W1056" s="87">
        <f>ROUNDUP(商品マスタ[[#This Row],[仕入単価+国内送料]]/0.85,-1)</f>
        <v>0</v>
      </c>
      <c r="X1056" s="134">
        <f>商品マスタ[[#This Row],[国内定価
（15％）]]-商品マスタ[[#This Row],[仕入単価+国内送料]]</f>
        <v>0</v>
      </c>
      <c r="Y1056" s="139"/>
      <c r="Z1056" s="87"/>
      <c r="AA1056" s="87"/>
      <c r="AB1056" s="87"/>
      <c r="AC1056" s="140"/>
      <c r="AD1056" s="87"/>
      <c r="AE1056" s="87"/>
      <c r="AF1056" s="158"/>
      <c r="AG1056" s="141"/>
    </row>
    <row r="1057" spans="1:33" ht="15.75" customHeight="1">
      <c r="A1057" s="166"/>
      <c r="B1057" s="167"/>
      <c r="C1057" s="167"/>
      <c r="D1057" s="143" t="str">
        <f>"PRD_SNJ_"&amp;
_xlfn.XLOOKUP(商品マスタ[[#This Row],[仕入先]],テーブル1[仕入先名],テーブル1[仕入先コード],"XXX",0,1)&amp;
"_"&amp;
商品マスタ[[#This Row],[シリアル]]&amp;
"_"&amp;
TEXT(COUNTIFS(商品マスタ!$C$3:C1057,商品マスタ[[#This Row],[仕入先]],商品マスタ!$E$3:E1057,商品マスタ[[#This Row],[商品名]]), "00")</f>
        <v>PRD_SNJ__0000_00</v>
      </c>
      <c r="E1057" s="87"/>
      <c r="F1057" s="87">
        <f>IF(COUNTIFS($C$3:C1057,商品マスタ[[#This Row],[仕入先]],$E$3:E1057,商品マスタ[[#This Row],[商品名]]) = 1, 1,0)</f>
        <v>0</v>
      </c>
      <c r="G1057" s="133" t="str">
        <f>TEXT(SUMIF($C$3:C1057,商品マスタ[[#This Row],[仕入先]],$F$3:F1057), "0000")</f>
        <v>0000</v>
      </c>
      <c r="H1057" s="87"/>
      <c r="I1057" s="87"/>
      <c r="J1057" s="87"/>
      <c r="K1057" s="87"/>
      <c r="L1057" s="134"/>
      <c r="M1057" s="157"/>
      <c r="N1057" s="134"/>
      <c r="O1057" s="135" t="str">
        <f>IF(COUNT(商品マスタ[[#This Row],[参考上代
（税込)]]) &gt; 0, (商品マスタ[[#This Row],[参考上代
（税込)]]-商品マスタ[[#This Row],[国内定価
（15％）]])/(商品マスタ[[#This Row],[参考上代
（税込)]]/1.08), "")</f>
        <v/>
      </c>
      <c r="P1057" s="136">
        <v>0.1</v>
      </c>
      <c r="Q1057" s="134">
        <f>商品マスタ[[#This Row],[仕入
単価]]*商品マスタ[[#This Row],[標準国内送料率]]</f>
        <v>0</v>
      </c>
      <c r="R1057" s="134"/>
      <c r="S1057" s="134">
        <f>IF(ISBLANK(商品マスタ[[#This Row],[実績
国内送料]]),商品マスタ[[#This Row],[標準国内送料]],)</f>
        <v>0</v>
      </c>
      <c r="T1057" s="134">
        <f>商品マスタ[[#This Row],[仕入
単価]]+商品マスタ[[#This Row],[国内送料]]</f>
        <v>0</v>
      </c>
      <c r="U1057" s="134">
        <f>ROUNDUP(商品マスタ[[#This Row],[仕入単価+国内送料]]/0.8,-1)</f>
        <v>0</v>
      </c>
      <c r="V1057" s="134">
        <f>商品マスタ[[#This Row],[海外定価
（20％）]]-商品マスタ[[#This Row],[仕入単価+国内送料]]</f>
        <v>0</v>
      </c>
      <c r="W1057" s="87">
        <f>ROUNDUP(商品マスタ[[#This Row],[仕入単価+国内送料]]/0.85,-1)</f>
        <v>0</v>
      </c>
      <c r="X1057" s="134">
        <f>商品マスタ[[#This Row],[国内定価
（15％）]]-商品マスタ[[#This Row],[仕入単価+国内送料]]</f>
        <v>0</v>
      </c>
      <c r="Y1057" s="139"/>
      <c r="Z1057" s="87"/>
      <c r="AA1057" s="87"/>
      <c r="AB1057" s="87"/>
      <c r="AC1057" s="140"/>
      <c r="AD1057" s="87"/>
      <c r="AE1057" s="87"/>
      <c r="AF1057" s="158"/>
      <c r="AG1057" s="141"/>
    </row>
    <row r="1058" spans="1:33" ht="15.75" customHeight="1">
      <c r="A1058" s="166"/>
      <c r="B1058" s="167"/>
      <c r="C1058" s="167"/>
      <c r="D1058" s="143" t="str">
        <f>"PRD_SNJ_"&amp;
_xlfn.XLOOKUP(商品マスタ[[#This Row],[仕入先]],テーブル1[仕入先名],テーブル1[仕入先コード],"XXX",0,1)&amp;
"_"&amp;
商品マスタ[[#This Row],[シリアル]]&amp;
"_"&amp;
TEXT(COUNTIFS(商品マスタ!$C$3:C1058,商品マスタ[[#This Row],[仕入先]],商品マスタ!$E$3:E1058,商品マスタ[[#This Row],[商品名]]), "00")</f>
        <v>PRD_SNJ__0000_00</v>
      </c>
      <c r="E1058" s="87"/>
      <c r="F1058" s="87">
        <f>IF(COUNTIFS($C$3:C1058,商品マスタ[[#This Row],[仕入先]],$E$3:E1058,商品マスタ[[#This Row],[商品名]]) = 1, 1,0)</f>
        <v>0</v>
      </c>
      <c r="G1058" s="133" t="str">
        <f>TEXT(SUMIF($C$3:C1058,商品マスタ[[#This Row],[仕入先]],$F$3:F1058), "0000")</f>
        <v>0000</v>
      </c>
      <c r="H1058" s="87"/>
      <c r="I1058" s="87"/>
      <c r="J1058" s="87"/>
      <c r="K1058" s="87"/>
      <c r="L1058" s="134"/>
      <c r="M1058" s="157"/>
      <c r="N1058" s="134"/>
      <c r="O1058" s="135" t="str">
        <f>IF(COUNT(商品マスタ[[#This Row],[参考上代
（税込)]]) &gt; 0, (商品マスタ[[#This Row],[参考上代
（税込)]]-商品マスタ[[#This Row],[国内定価
（15％）]])/(商品マスタ[[#This Row],[参考上代
（税込)]]/1.08), "")</f>
        <v/>
      </c>
      <c r="P1058" s="136">
        <v>0.1</v>
      </c>
      <c r="Q1058" s="134">
        <f>商品マスタ[[#This Row],[仕入
単価]]*商品マスタ[[#This Row],[標準国内送料率]]</f>
        <v>0</v>
      </c>
      <c r="R1058" s="134"/>
      <c r="S1058" s="134">
        <f>IF(ISBLANK(商品マスタ[[#This Row],[実績
国内送料]]),商品マスタ[[#This Row],[標準国内送料]],)</f>
        <v>0</v>
      </c>
      <c r="T1058" s="134">
        <f>商品マスタ[[#This Row],[仕入
単価]]+商品マスタ[[#This Row],[国内送料]]</f>
        <v>0</v>
      </c>
      <c r="U1058" s="134">
        <f>ROUNDUP(商品マスタ[[#This Row],[仕入単価+国内送料]]/0.8,-1)</f>
        <v>0</v>
      </c>
      <c r="V1058" s="134">
        <f>商品マスタ[[#This Row],[海外定価
（20％）]]-商品マスタ[[#This Row],[仕入単価+国内送料]]</f>
        <v>0</v>
      </c>
      <c r="W1058" s="87">
        <f>ROUNDUP(商品マスタ[[#This Row],[仕入単価+国内送料]]/0.85,-1)</f>
        <v>0</v>
      </c>
      <c r="X1058" s="134">
        <f>商品マスタ[[#This Row],[国内定価
（15％）]]-商品マスタ[[#This Row],[仕入単価+国内送料]]</f>
        <v>0</v>
      </c>
      <c r="Y1058" s="139"/>
      <c r="Z1058" s="87"/>
      <c r="AA1058" s="87"/>
      <c r="AB1058" s="87"/>
      <c r="AC1058" s="140"/>
      <c r="AD1058" s="87"/>
      <c r="AE1058" s="87"/>
      <c r="AF1058" s="158"/>
      <c r="AG1058" s="141"/>
    </row>
    <row r="1059" spans="1:33" ht="15.75" customHeight="1">
      <c r="A1059" s="166"/>
      <c r="B1059" s="167"/>
      <c r="C1059" s="167"/>
      <c r="D1059" s="143" t="str">
        <f>"PRD_SNJ_"&amp;
_xlfn.XLOOKUP(商品マスタ[[#This Row],[仕入先]],テーブル1[仕入先名],テーブル1[仕入先コード],"XXX",0,1)&amp;
"_"&amp;
商品マスタ[[#This Row],[シリアル]]&amp;
"_"&amp;
TEXT(COUNTIFS(商品マスタ!$C$3:C1059,商品マスタ[[#This Row],[仕入先]],商品マスタ!$E$3:E1059,商品マスタ[[#This Row],[商品名]]), "00")</f>
        <v>PRD_SNJ__0000_00</v>
      </c>
      <c r="E1059" s="87"/>
      <c r="F1059" s="87">
        <f>IF(COUNTIFS($C$3:C1059,商品マスタ[[#This Row],[仕入先]],$E$3:E1059,商品マスタ[[#This Row],[商品名]]) = 1, 1,0)</f>
        <v>0</v>
      </c>
      <c r="G1059" s="133" t="str">
        <f>TEXT(SUMIF($C$3:C1059,商品マスタ[[#This Row],[仕入先]],$F$3:F1059), "0000")</f>
        <v>0000</v>
      </c>
      <c r="H1059" s="87"/>
      <c r="I1059" s="87"/>
      <c r="J1059" s="87"/>
      <c r="K1059" s="87"/>
      <c r="L1059" s="134"/>
      <c r="M1059" s="157"/>
      <c r="N1059" s="134"/>
      <c r="O1059" s="135" t="str">
        <f>IF(COUNT(商品マスタ[[#This Row],[参考上代
（税込)]]) &gt; 0, (商品マスタ[[#This Row],[参考上代
（税込)]]-商品マスタ[[#This Row],[国内定価
（15％）]])/(商品マスタ[[#This Row],[参考上代
（税込)]]/1.08), "")</f>
        <v/>
      </c>
      <c r="P1059" s="136">
        <v>0.1</v>
      </c>
      <c r="Q1059" s="134">
        <f>商品マスタ[[#This Row],[仕入
単価]]*商品マスタ[[#This Row],[標準国内送料率]]</f>
        <v>0</v>
      </c>
      <c r="R1059" s="134"/>
      <c r="S1059" s="134">
        <f>IF(ISBLANK(商品マスタ[[#This Row],[実績
国内送料]]),商品マスタ[[#This Row],[標準国内送料]],)</f>
        <v>0</v>
      </c>
      <c r="T1059" s="134">
        <f>商品マスタ[[#This Row],[仕入
単価]]+商品マスタ[[#This Row],[国内送料]]</f>
        <v>0</v>
      </c>
      <c r="U1059" s="134">
        <f>ROUNDUP(商品マスタ[[#This Row],[仕入単価+国内送料]]/0.8,-1)</f>
        <v>0</v>
      </c>
      <c r="V1059" s="134">
        <f>商品マスタ[[#This Row],[海外定価
（20％）]]-商品マスタ[[#This Row],[仕入単価+国内送料]]</f>
        <v>0</v>
      </c>
      <c r="W1059" s="87">
        <f>ROUNDUP(商品マスタ[[#This Row],[仕入単価+国内送料]]/0.85,-1)</f>
        <v>0</v>
      </c>
      <c r="X1059" s="134">
        <f>商品マスタ[[#This Row],[国内定価
（15％）]]-商品マスタ[[#This Row],[仕入単価+国内送料]]</f>
        <v>0</v>
      </c>
      <c r="Y1059" s="139"/>
      <c r="Z1059" s="87"/>
      <c r="AA1059" s="87"/>
      <c r="AB1059" s="87"/>
      <c r="AC1059" s="140"/>
      <c r="AD1059" s="87"/>
      <c r="AE1059" s="87"/>
      <c r="AF1059" s="158"/>
      <c r="AG1059" s="141"/>
    </row>
    <row r="1060" spans="1:33" ht="15.75" customHeight="1">
      <c r="A1060" s="166"/>
      <c r="B1060" s="167"/>
      <c r="C1060" s="167"/>
      <c r="D1060" s="143" t="str">
        <f>"PRD_SNJ_"&amp;
_xlfn.XLOOKUP(商品マスタ[[#This Row],[仕入先]],テーブル1[仕入先名],テーブル1[仕入先コード],"XXX",0,1)&amp;
"_"&amp;
商品マスタ[[#This Row],[シリアル]]&amp;
"_"&amp;
TEXT(COUNTIFS(商品マスタ!$C$3:C1060,商品マスタ[[#This Row],[仕入先]],商品マスタ!$E$3:E1060,商品マスタ[[#This Row],[商品名]]), "00")</f>
        <v>PRD_SNJ__0000_00</v>
      </c>
      <c r="E1060" s="87"/>
      <c r="F1060" s="87">
        <f>IF(COUNTIFS($C$3:C1060,商品マスタ[[#This Row],[仕入先]],$E$3:E1060,商品マスタ[[#This Row],[商品名]]) = 1, 1,0)</f>
        <v>0</v>
      </c>
      <c r="G1060" s="133" t="str">
        <f>TEXT(SUMIF($C$3:C1060,商品マスタ[[#This Row],[仕入先]],$F$3:F1060), "0000")</f>
        <v>0000</v>
      </c>
      <c r="H1060" s="87"/>
      <c r="I1060" s="87"/>
      <c r="J1060" s="87"/>
      <c r="K1060" s="87"/>
      <c r="L1060" s="134"/>
      <c r="M1060" s="157"/>
      <c r="N1060" s="134"/>
      <c r="O1060" s="135" t="str">
        <f>IF(COUNT(商品マスタ[[#This Row],[参考上代
（税込)]]) &gt; 0, (商品マスタ[[#This Row],[参考上代
（税込)]]-商品マスタ[[#This Row],[国内定価
（15％）]])/(商品マスタ[[#This Row],[参考上代
（税込)]]/1.08), "")</f>
        <v/>
      </c>
      <c r="P1060" s="136">
        <v>0.1</v>
      </c>
      <c r="Q1060" s="134">
        <f>商品マスタ[[#This Row],[仕入
単価]]*商品マスタ[[#This Row],[標準国内送料率]]</f>
        <v>0</v>
      </c>
      <c r="R1060" s="134"/>
      <c r="S1060" s="134">
        <f>IF(ISBLANK(商品マスタ[[#This Row],[実績
国内送料]]),商品マスタ[[#This Row],[標準国内送料]],)</f>
        <v>0</v>
      </c>
      <c r="T1060" s="134">
        <f>商品マスタ[[#This Row],[仕入
単価]]+商品マスタ[[#This Row],[国内送料]]</f>
        <v>0</v>
      </c>
      <c r="U1060" s="134">
        <f>ROUNDUP(商品マスタ[[#This Row],[仕入単価+国内送料]]/0.8,-1)</f>
        <v>0</v>
      </c>
      <c r="V1060" s="134">
        <f>商品マスタ[[#This Row],[海外定価
（20％）]]-商品マスタ[[#This Row],[仕入単価+国内送料]]</f>
        <v>0</v>
      </c>
      <c r="W1060" s="87">
        <f>ROUNDUP(商品マスタ[[#This Row],[仕入単価+国内送料]]/0.85,-1)</f>
        <v>0</v>
      </c>
      <c r="X1060" s="134">
        <f>商品マスタ[[#This Row],[国内定価
（15％）]]-商品マスタ[[#This Row],[仕入単価+国内送料]]</f>
        <v>0</v>
      </c>
      <c r="Y1060" s="139"/>
      <c r="Z1060" s="87"/>
      <c r="AA1060" s="87"/>
      <c r="AB1060" s="87"/>
      <c r="AC1060" s="140"/>
      <c r="AD1060" s="87"/>
      <c r="AE1060" s="87"/>
      <c r="AF1060" s="158"/>
      <c r="AG1060" s="141"/>
    </row>
    <row r="1061" spans="1:33" ht="15.75" customHeight="1">
      <c r="A1061" s="166"/>
      <c r="B1061" s="167"/>
      <c r="C1061" s="167"/>
      <c r="D1061" s="143" t="str">
        <f>"PRD_SNJ_"&amp;
_xlfn.XLOOKUP(商品マスタ[[#This Row],[仕入先]],テーブル1[仕入先名],テーブル1[仕入先コード],"XXX",0,1)&amp;
"_"&amp;
商品マスタ[[#This Row],[シリアル]]&amp;
"_"&amp;
TEXT(COUNTIFS(商品マスタ!$C$3:C1061,商品マスタ[[#This Row],[仕入先]],商品マスタ!$E$3:E1061,商品マスタ[[#This Row],[商品名]]), "00")</f>
        <v>PRD_SNJ__0000_00</v>
      </c>
      <c r="E1061" s="87"/>
      <c r="F1061" s="87">
        <f>IF(COUNTIFS($C$3:C1061,商品マスタ[[#This Row],[仕入先]],$E$3:E1061,商品マスタ[[#This Row],[商品名]]) = 1, 1,0)</f>
        <v>0</v>
      </c>
      <c r="G1061" s="133" t="str">
        <f>TEXT(SUMIF($C$3:C1061,商品マスタ[[#This Row],[仕入先]],$F$3:F1061), "0000")</f>
        <v>0000</v>
      </c>
      <c r="H1061" s="87"/>
      <c r="I1061" s="87"/>
      <c r="J1061" s="87"/>
      <c r="K1061" s="87"/>
      <c r="L1061" s="134"/>
      <c r="M1061" s="157"/>
      <c r="N1061" s="134"/>
      <c r="O1061" s="135" t="str">
        <f>IF(COUNT(商品マスタ[[#This Row],[参考上代
（税込)]]) &gt; 0, (商品マスタ[[#This Row],[参考上代
（税込)]]-商品マスタ[[#This Row],[国内定価
（15％）]])/(商品マスタ[[#This Row],[参考上代
（税込)]]/1.08), "")</f>
        <v/>
      </c>
      <c r="P1061" s="136">
        <v>0.1</v>
      </c>
      <c r="Q1061" s="134">
        <f>商品マスタ[[#This Row],[仕入
単価]]*商品マスタ[[#This Row],[標準国内送料率]]</f>
        <v>0</v>
      </c>
      <c r="R1061" s="134"/>
      <c r="S1061" s="134">
        <f>IF(ISBLANK(商品マスタ[[#This Row],[実績
国内送料]]),商品マスタ[[#This Row],[標準国内送料]],)</f>
        <v>0</v>
      </c>
      <c r="T1061" s="134">
        <f>商品マスタ[[#This Row],[仕入
単価]]+商品マスタ[[#This Row],[国内送料]]</f>
        <v>0</v>
      </c>
      <c r="U1061" s="134">
        <f>ROUNDUP(商品マスタ[[#This Row],[仕入単価+国内送料]]/0.8,-1)</f>
        <v>0</v>
      </c>
      <c r="V1061" s="134">
        <f>商品マスタ[[#This Row],[海外定価
（20％）]]-商品マスタ[[#This Row],[仕入単価+国内送料]]</f>
        <v>0</v>
      </c>
      <c r="W1061" s="87">
        <f>ROUNDUP(商品マスタ[[#This Row],[仕入単価+国内送料]]/0.85,-1)</f>
        <v>0</v>
      </c>
      <c r="X1061" s="134">
        <f>商品マスタ[[#This Row],[国内定価
（15％）]]-商品マスタ[[#This Row],[仕入単価+国内送料]]</f>
        <v>0</v>
      </c>
      <c r="Y1061" s="139"/>
      <c r="Z1061" s="87"/>
      <c r="AA1061" s="87"/>
      <c r="AB1061" s="87"/>
      <c r="AC1061" s="140"/>
      <c r="AD1061" s="87"/>
      <c r="AE1061" s="87"/>
      <c r="AF1061" s="158"/>
      <c r="AG1061" s="141"/>
    </row>
    <row r="1062" spans="1:33" ht="15.75" customHeight="1">
      <c r="A1062" s="166"/>
      <c r="B1062" s="167"/>
      <c r="C1062" s="167"/>
      <c r="D1062" s="143" t="str">
        <f>"PRD_SNJ_"&amp;
_xlfn.XLOOKUP(商品マスタ[[#This Row],[仕入先]],テーブル1[仕入先名],テーブル1[仕入先コード],"XXX",0,1)&amp;
"_"&amp;
商品マスタ[[#This Row],[シリアル]]&amp;
"_"&amp;
TEXT(COUNTIFS(商品マスタ!$C$3:C1062,商品マスタ[[#This Row],[仕入先]],商品マスタ!$E$3:E1062,商品マスタ[[#This Row],[商品名]]), "00")</f>
        <v>PRD_SNJ__0000_00</v>
      </c>
      <c r="E1062" s="87"/>
      <c r="F1062" s="87">
        <f>IF(COUNTIFS($C$3:C1062,商品マスタ[[#This Row],[仕入先]],$E$3:E1062,商品マスタ[[#This Row],[商品名]]) = 1, 1,0)</f>
        <v>0</v>
      </c>
      <c r="G1062" s="133" t="str">
        <f>TEXT(SUMIF($C$3:C1062,商品マスタ[[#This Row],[仕入先]],$F$3:F1062), "0000")</f>
        <v>0000</v>
      </c>
      <c r="H1062" s="87"/>
      <c r="I1062" s="87"/>
      <c r="J1062" s="87"/>
      <c r="K1062" s="87"/>
      <c r="L1062" s="134"/>
      <c r="M1062" s="157"/>
      <c r="N1062" s="134"/>
      <c r="O1062" s="135" t="str">
        <f>IF(COUNT(商品マスタ[[#This Row],[参考上代
（税込)]]) &gt; 0, (商品マスタ[[#This Row],[参考上代
（税込)]]-商品マスタ[[#This Row],[国内定価
（15％）]])/(商品マスタ[[#This Row],[参考上代
（税込)]]/1.08), "")</f>
        <v/>
      </c>
      <c r="P1062" s="136">
        <v>0.1</v>
      </c>
      <c r="Q1062" s="134">
        <f>商品マスタ[[#This Row],[仕入
単価]]*商品マスタ[[#This Row],[標準国内送料率]]</f>
        <v>0</v>
      </c>
      <c r="R1062" s="134"/>
      <c r="S1062" s="134">
        <f>IF(ISBLANK(商品マスタ[[#This Row],[実績
国内送料]]),商品マスタ[[#This Row],[標準国内送料]],)</f>
        <v>0</v>
      </c>
      <c r="T1062" s="134">
        <f>商品マスタ[[#This Row],[仕入
単価]]+商品マスタ[[#This Row],[国内送料]]</f>
        <v>0</v>
      </c>
      <c r="U1062" s="134">
        <f>ROUNDUP(商品マスタ[[#This Row],[仕入単価+国内送料]]/0.8,-1)</f>
        <v>0</v>
      </c>
      <c r="V1062" s="134">
        <f>商品マスタ[[#This Row],[海外定価
（20％）]]-商品マスタ[[#This Row],[仕入単価+国内送料]]</f>
        <v>0</v>
      </c>
      <c r="W1062" s="87">
        <f>ROUNDUP(商品マスタ[[#This Row],[仕入単価+国内送料]]/0.85,-1)</f>
        <v>0</v>
      </c>
      <c r="X1062" s="134">
        <f>商品マスタ[[#This Row],[国内定価
（15％）]]-商品マスタ[[#This Row],[仕入単価+国内送料]]</f>
        <v>0</v>
      </c>
      <c r="Y1062" s="139"/>
      <c r="Z1062" s="87"/>
      <c r="AA1062" s="87"/>
      <c r="AB1062" s="87"/>
      <c r="AC1062" s="140"/>
      <c r="AD1062" s="87"/>
      <c r="AE1062" s="87"/>
      <c r="AF1062" s="158"/>
      <c r="AG1062" s="141"/>
    </row>
    <row r="1063" spans="1:33" ht="15.75" customHeight="1">
      <c r="A1063" s="166"/>
      <c r="B1063" s="167"/>
      <c r="C1063" s="167"/>
      <c r="D1063" s="143" t="str">
        <f>"PRD_SNJ_"&amp;
_xlfn.XLOOKUP(商品マスタ[[#This Row],[仕入先]],テーブル1[仕入先名],テーブル1[仕入先コード],"XXX",0,1)&amp;
"_"&amp;
商品マスタ[[#This Row],[シリアル]]&amp;
"_"&amp;
TEXT(COUNTIFS(商品マスタ!$C$3:C1063,商品マスタ[[#This Row],[仕入先]],商品マスタ!$E$3:E1063,商品マスタ[[#This Row],[商品名]]), "00")</f>
        <v>PRD_SNJ__0000_00</v>
      </c>
      <c r="E1063" s="87"/>
      <c r="F1063" s="87">
        <f>IF(COUNTIFS($C$3:C1063,商品マスタ[[#This Row],[仕入先]],$E$3:E1063,商品マスタ[[#This Row],[商品名]]) = 1, 1,0)</f>
        <v>0</v>
      </c>
      <c r="G1063" s="133" t="str">
        <f>TEXT(SUMIF($C$3:C1063,商品マスタ[[#This Row],[仕入先]],$F$3:F1063), "0000")</f>
        <v>0000</v>
      </c>
      <c r="H1063" s="87"/>
      <c r="I1063" s="87"/>
      <c r="J1063" s="87"/>
      <c r="K1063" s="87"/>
      <c r="L1063" s="134"/>
      <c r="M1063" s="157"/>
      <c r="N1063" s="134"/>
      <c r="O1063" s="135" t="str">
        <f>IF(COUNT(商品マスタ[[#This Row],[参考上代
（税込)]]) &gt; 0, (商品マスタ[[#This Row],[参考上代
（税込)]]-商品マスタ[[#This Row],[国内定価
（15％）]])/(商品マスタ[[#This Row],[参考上代
（税込)]]/1.08), "")</f>
        <v/>
      </c>
      <c r="P1063" s="136">
        <v>0.1</v>
      </c>
      <c r="Q1063" s="134">
        <f>商品マスタ[[#This Row],[仕入
単価]]*商品マスタ[[#This Row],[標準国内送料率]]</f>
        <v>0</v>
      </c>
      <c r="R1063" s="134"/>
      <c r="S1063" s="134">
        <f>IF(ISBLANK(商品マスタ[[#This Row],[実績
国内送料]]),商品マスタ[[#This Row],[標準国内送料]],)</f>
        <v>0</v>
      </c>
      <c r="T1063" s="134">
        <f>商品マスタ[[#This Row],[仕入
単価]]+商品マスタ[[#This Row],[国内送料]]</f>
        <v>0</v>
      </c>
      <c r="U1063" s="134">
        <f>ROUNDUP(商品マスタ[[#This Row],[仕入単価+国内送料]]/0.8,-1)</f>
        <v>0</v>
      </c>
      <c r="V1063" s="134">
        <f>商品マスタ[[#This Row],[海外定価
（20％）]]-商品マスタ[[#This Row],[仕入単価+国内送料]]</f>
        <v>0</v>
      </c>
      <c r="W1063" s="87">
        <f>ROUNDUP(商品マスタ[[#This Row],[仕入単価+国内送料]]/0.85,-1)</f>
        <v>0</v>
      </c>
      <c r="X1063" s="134">
        <f>商品マスタ[[#This Row],[国内定価
（15％）]]-商品マスタ[[#This Row],[仕入単価+国内送料]]</f>
        <v>0</v>
      </c>
      <c r="Y1063" s="139"/>
      <c r="Z1063" s="87"/>
      <c r="AA1063" s="87"/>
      <c r="AB1063" s="87"/>
      <c r="AC1063" s="140"/>
      <c r="AD1063" s="87"/>
      <c r="AE1063" s="87"/>
      <c r="AF1063" s="158"/>
      <c r="AG1063" s="141"/>
    </row>
    <row r="1064" spans="1:33" ht="15.75" customHeight="1">
      <c r="A1064" s="166"/>
      <c r="B1064" s="167"/>
      <c r="C1064" s="167"/>
      <c r="D1064" s="143" t="str">
        <f>"PRD_SNJ_"&amp;
_xlfn.XLOOKUP(商品マスタ[[#This Row],[仕入先]],テーブル1[仕入先名],テーブル1[仕入先コード],"XXX",0,1)&amp;
"_"&amp;
商品マスタ[[#This Row],[シリアル]]&amp;
"_"&amp;
TEXT(COUNTIFS(商品マスタ!$C$3:C1064,商品マスタ[[#This Row],[仕入先]],商品マスタ!$E$3:E1064,商品マスタ[[#This Row],[商品名]]), "00")</f>
        <v>PRD_SNJ__0000_00</v>
      </c>
      <c r="E1064" s="87"/>
      <c r="F1064" s="87">
        <f>IF(COUNTIFS($C$3:C1064,商品マスタ[[#This Row],[仕入先]],$E$3:E1064,商品マスタ[[#This Row],[商品名]]) = 1, 1,0)</f>
        <v>0</v>
      </c>
      <c r="G1064" s="133" t="str">
        <f>TEXT(SUMIF($C$3:C1064,商品マスタ[[#This Row],[仕入先]],$F$3:F1064), "0000")</f>
        <v>0000</v>
      </c>
      <c r="H1064" s="87"/>
      <c r="I1064" s="87"/>
      <c r="J1064" s="87"/>
      <c r="K1064" s="87"/>
      <c r="L1064" s="134"/>
      <c r="M1064" s="157"/>
      <c r="N1064" s="134"/>
      <c r="O1064" s="135" t="str">
        <f>IF(COUNT(商品マスタ[[#This Row],[参考上代
（税込)]]) &gt; 0, (商品マスタ[[#This Row],[参考上代
（税込)]]-商品マスタ[[#This Row],[国内定価
（15％）]])/(商品マスタ[[#This Row],[参考上代
（税込)]]/1.08), "")</f>
        <v/>
      </c>
      <c r="P1064" s="136">
        <v>0.1</v>
      </c>
      <c r="Q1064" s="134">
        <f>商品マスタ[[#This Row],[仕入
単価]]*商品マスタ[[#This Row],[標準国内送料率]]</f>
        <v>0</v>
      </c>
      <c r="R1064" s="134"/>
      <c r="S1064" s="134">
        <f>IF(ISBLANK(商品マスタ[[#This Row],[実績
国内送料]]),商品マスタ[[#This Row],[標準国内送料]],)</f>
        <v>0</v>
      </c>
      <c r="T1064" s="134">
        <f>商品マスタ[[#This Row],[仕入
単価]]+商品マスタ[[#This Row],[国内送料]]</f>
        <v>0</v>
      </c>
      <c r="U1064" s="134">
        <f>ROUNDUP(商品マスタ[[#This Row],[仕入単価+国内送料]]/0.8,-1)</f>
        <v>0</v>
      </c>
      <c r="V1064" s="134">
        <f>商品マスタ[[#This Row],[海外定価
（20％）]]-商品マスタ[[#This Row],[仕入単価+国内送料]]</f>
        <v>0</v>
      </c>
      <c r="W1064" s="87">
        <f>ROUNDUP(商品マスタ[[#This Row],[仕入単価+国内送料]]/0.85,-1)</f>
        <v>0</v>
      </c>
      <c r="X1064" s="134">
        <f>商品マスタ[[#This Row],[国内定価
（15％）]]-商品マスタ[[#This Row],[仕入単価+国内送料]]</f>
        <v>0</v>
      </c>
      <c r="Y1064" s="139"/>
      <c r="Z1064" s="87"/>
      <c r="AA1064" s="87"/>
      <c r="AB1064" s="87"/>
      <c r="AC1064" s="140"/>
      <c r="AD1064" s="87"/>
      <c r="AE1064" s="87"/>
      <c r="AF1064" s="158"/>
      <c r="AG1064" s="141"/>
    </row>
    <row r="1065" spans="1:33" ht="15.75" customHeight="1">
      <c r="A1065" s="166"/>
      <c r="B1065" s="167"/>
      <c r="C1065" s="167"/>
      <c r="D1065" s="143" t="str">
        <f>"PRD_SNJ_"&amp;
_xlfn.XLOOKUP(商品マスタ[[#This Row],[仕入先]],テーブル1[仕入先名],テーブル1[仕入先コード],"XXX",0,1)&amp;
"_"&amp;
商品マスタ[[#This Row],[シリアル]]&amp;
"_"&amp;
TEXT(COUNTIFS(商品マスタ!$C$3:C1065,商品マスタ[[#This Row],[仕入先]],商品マスタ!$E$3:E1065,商品マスタ[[#This Row],[商品名]]), "00")</f>
        <v>PRD_SNJ__0000_00</v>
      </c>
      <c r="E1065" s="87"/>
      <c r="F1065" s="87">
        <f>IF(COUNTIFS($C$3:C1065,商品マスタ[[#This Row],[仕入先]],$E$3:E1065,商品マスタ[[#This Row],[商品名]]) = 1, 1,0)</f>
        <v>0</v>
      </c>
      <c r="G1065" s="133" t="str">
        <f>TEXT(SUMIF($C$3:C1065,商品マスタ[[#This Row],[仕入先]],$F$3:F1065), "0000")</f>
        <v>0000</v>
      </c>
      <c r="H1065" s="87"/>
      <c r="I1065" s="87"/>
      <c r="J1065" s="87"/>
      <c r="K1065" s="87"/>
      <c r="L1065" s="134"/>
      <c r="M1065" s="157"/>
      <c r="N1065" s="134"/>
      <c r="O1065" s="135" t="str">
        <f>IF(COUNT(商品マスタ[[#This Row],[参考上代
（税込)]]) &gt; 0, (商品マスタ[[#This Row],[参考上代
（税込)]]-商品マスタ[[#This Row],[国内定価
（15％）]])/(商品マスタ[[#This Row],[参考上代
（税込)]]/1.08), "")</f>
        <v/>
      </c>
      <c r="P1065" s="136">
        <v>0.1</v>
      </c>
      <c r="Q1065" s="134">
        <f>商品マスタ[[#This Row],[仕入
単価]]*商品マスタ[[#This Row],[標準国内送料率]]</f>
        <v>0</v>
      </c>
      <c r="R1065" s="134"/>
      <c r="S1065" s="134">
        <f>IF(ISBLANK(商品マスタ[[#This Row],[実績
国内送料]]),商品マスタ[[#This Row],[標準国内送料]],)</f>
        <v>0</v>
      </c>
      <c r="T1065" s="134">
        <f>商品マスタ[[#This Row],[仕入
単価]]+商品マスタ[[#This Row],[国内送料]]</f>
        <v>0</v>
      </c>
      <c r="U1065" s="134">
        <f>ROUNDUP(商品マスタ[[#This Row],[仕入単価+国内送料]]/0.8,-1)</f>
        <v>0</v>
      </c>
      <c r="V1065" s="134">
        <f>商品マスタ[[#This Row],[海外定価
（20％）]]-商品マスタ[[#This Row],[仕入単価+国内送料]]</f>
        <v>0</v>
      </c>
      <c r="W1065" s="87">
        <f>ROUNDUP(商品マスタ[[#This Row],[仕入単価+国内送料]]/0.85,-1)</f>
        <v>0</v>
      </c>
      <c r="X1065" s="134">
        <f>商品マスタ[[#This Row],[国内定価
（15％）]]-商品マスタ[[#This Row],[仕入単価+国内送料]]</f>
        <v>0</v>
      </c>
      <c r="Y1065" s="139"/>
      <c r="Z1065" s="87"/>
      <c r="AA1065" s="87"/>
      <c r="AB1065" s="87"/>
      <c r="AC1065" s="140"/>
      <c r="AD1065" s="87"/>
      <c r="AE1065" s="87"/>
      <c r="AF1065" s="158"/>
      <c r="AG1065" s="141"/>
    </row>
    <row r="1066" spans="1:33" ht="15.75" customHeight="1">
      <c r="A1066" s="166"/>
      <c r="B1066" s="167"/>
      <c r="C1066" s="167"/>
      <c r="D1066" s="143" t="str">
        <f>"PRD_SNJ_"&amp;
_xlfn.XLOOKUP(商品マスタ[[#This Row],[仕入先]],テーブル1[仕入先名],テーブル1[仕入先コード],"XXX",0,1)&amp;
"_"&amp;
商品マスタ[[#This Row],[シリアル]]&amp;
"_"&amp;
TEXT(COUNTIFS(商品マスタ!$C$3:C1066,商品マスタ[[#This Row],[仕入先]],商品マスタ!$E$3:E1066,商品マスタ[[#This Row],[商品名]]), "00")</f>
        <v>PRD_SNJ__0000_00</v>
      </c>
      <c r="E1066" s="87"/>
      <c r="F1066" s="87">
        <f>IF(COUNTIFS($C$3:C1066,商品マスタ[[#This Row],[仕入先]],$E$3:E1066,商品マスタ[[#This Row],[商品名]]) = 1, 1,0)</f>
        <v>0</v>
      </c>
      <c r="G1066" s="133" t="str">
        <f>TEXT(SUMIF($C$3:C1066,商品マスタ[[#This Row],[仕入先]],$F$3:F1066), "0000")</f>
        <v>0000</v>
      </c>
      <c r="H1066" s="87"/>
      <c r="I1066" s="87"/>
      <c r="J1066" s="87"/>
      <c r="K1066" s="87"/>
      <c r="L1066" s="134"/>
      <c r="M1066" s="157"/>
      <c r="N1066" s="134"/>
      <c r="O1066" s="135" t="str">
        <f>IF(COUNT(商品マスタ[[#This Row],[参考上代
（税込)]]) &gt; 0, (商品マスタ[[#This Row],[参考上代
（税込)]]-商品マスタ[[#This Row],[国内定価
（15％）]])/(商品マスタ[[#This Row],[参考上代
（税込)]]/1.08), "")</f>
        <v/>
      </c>
      <c r="P1066" s="136">
        <v>0.1</v>
      </c>
      <c r="Q1066" s="134">
        <f>商品マスタ[[#This Row],[仕入
単価]]*商品マスタ[[#This Row],[標準国内送料率]]</f>
        <v>0</v>
      </c>
      <c r="R1066" s="134"/>
      <c r="S1066" s="134">
        <f>IF(ISBLANK(商品マスタ[[#This Row],[実績
国内送料]]),商品マスタ[[#This Row],[標準国内送料]],)</f>
        <v>0</v>
      </c>
      <c r="T1066" s="134">
        <f>商品マスタ[[#This Row],[仕入
単価]]+商品マスタ[[#This Row],[国内送料]]</f>
        <v>0</v>
      </c>
      <c r="U1066" s="134">
        <f>ROUNDUP(商品マスタ[[#This Row],[仕入単価+国内送料]]/0.8,-1)</f>
        <v>0</v>
      </c>
      <c r="V1066" s="134">
        <f>商品マスタ[[#This Row],[海外定価
（20％）]]-商品マスタ[[#This Row],[仕入単価+国内送料]]</f>
        <v>0</v>
      </c>
      <c r="W1066" s="87">
        <f>ROUNDUP(商品マスタ[[#This Row],[仕入単価+国内送料]]/0.85,-1)</f>
        <v>0</v>
      </c>
      <c r="X1066" s="134">
        <f>商品マスタ[[#This Row],[国内定価
（15％）]]-商品マスタ[[#This Row],[仕入単価+国内送料]]</f>
        <v>0</v>
      </c>
      <c r="Y1066" s="139"/>
      <c r="Z1066" s="87"/>
      <c r="AA1066" s="87"/>
      <c r="AB1066" s="87"/>
      <c r="AC1066" s="140"/>
      <c r="AD1066" s="87"/>
      <c r="AE1066" s="87"/>
      <c r="AF1066" s="158"/>
      <c r="AG1066" s="141"/>
    </row>
    <row r="1067" spans="1:33" ht="15.75" customHeight="1">
      <c r="A1067" s="166"/>
      <c r="B1067" s="167"/>
      <c r="C1067" s="167"/>
      <c r="D1067" s="143" t="str">
        <f>"PRD_SNJ_"&amp;
_xlfn.XLOOKUP(商品マスタ[[#This Row],[仕入先]],テーブル1[仕入先名],テーブル1[仕入先コード],"XXX",0,1)&amp;
"_"&amp;
商品マスタ[[#This Row],[シリアル]]&amp;
"_"&amp;
TEXT(COUNTIFS(商品マスタ!$C$3:C1067,商品マスタ[[#This Row],[仕入先]],商品マスタ!$E$3:E1067,商品マスタ[[#This Row],[商品名]]), "00")</f>
        <v>PRD_SNJ__0000_00</v>
      </c>
      <c r="E1067" s="87"/>
      <c r="F1067" s="87">
        <f>IF(COUNTIFS($C$3:C1067,商品マスタ[[#This Row],[仕入先]],$E$3:E1067,商品マスタ[[#This Row],[商品名]]) = 1, 1,0)</f>
        <v>0</v>
      </c>
      <c r="G1067" s="133" t="str">
        <f>TEXT(SUMIF($C$3:C1067,商品マスタ[[#This Row],[仕入先]],$F$3:F1067), "0000")</f>
        <v>0000</v>
      </c>
      <c r="H1067" s="87"/>
      <c r="I1067" s="87"/>
      <c r="J1067" s="87"/>
      <c r="K1067" s="87"/>
      <c r="L1067" s="134"/>
      <c r="M1067" s="157"/>
      <c r="N1067" s="134"/>
      <c r="O1067" s="135" t="str">
        <f>IF(COUNT(商品マスタ[[#This Row],[参考上代
（税込)]]) &gt; 0, (商品マスタ[[#This Row],[参考上代
（税込)]]-商品マスタ[[#This Row],[国内定価
（15％）]])/(商品マスタ[[#This Row],[参考上代
（税込)]]/1.08), "")</f>
        <v/>
      </c>
      <c r="P1067" s="136">
        <v>0.1</v>
      </c>
      <c r="Q1067" s="134">
        <f>商品マスタ[[#This Row],[仕入
単価]]*商品マスタ[[#This Row],[標準国内送料率]]</f>
        <v>0</v>
      </c>
      <c r="R1067" s="134"/>
      <c r="S1067" s="134">
        <f>IF(ISBLANK(商品マスタ[[#This Row],[実績
国内送料]]),商品マスタ[[#This Row],[標準国内送料]],)</f>
        <v>0</v>
      </c>
      <c r="T1067" s="134">
        <f>商品マスタ[[#This Row],[仕入
単価]]+商品マスタ[[#This Row],[国内送料]]</f>
        <v>0</v>
      </c>
      <c r="U1067" s="134">
        <f>ROUNDUP(商品マスタ[[#This Row],[仕入単価+国内送料]]/0.8,-1)</f>
        <v>0</v>
      </c>
      <c r="V1067" s="134">
        <f>商品マスタ[[#This Row],[海外定価
（20％）]]-商品マスタ[[#This Row],[仕入単価+国内送料]]</f>
        <v>0</v>
      </c>
      <c r="W1067" s="87">
        <f>ROUNDUP(商品マスタ[[#This Row],[仕入単価+国内送料]]/0.85,-1)</f>
        <v>0</v>
      </c>
      <c r="X1067" s="134">
        <f>商品マスタ[[#This Row],[国内定価
（15％）]]-商品マスタ[[#This Row],[仕入単価+国内送料]]</f>
        <v>0</v>
      </c>
      <c r="Y1067" s="139"/>
      <c r="Z1067" s="87"/>
      <c r="AA1067" s="87"/>
      <c r="AB1067" s="87"/>
      <c r="AC1067" s="140"/>
      <c r="AD1067" s="87"/>
      <c r="AE1067" s="87"/>
      <c r="AF1067" s="158"/>
      <c r="AG1067" s="141"/>
    </row>
    <row r="1068" spans="1:33" ht="15.75" customHeight="1">
      <c r="A1068" s="166"/>
      <c r="B1068" s="167"/>
      <c r="C1068" s="167"/>
      <c r="D1068" s="143" t="str">
        <f>"PRD_SNJ_"&amp;
_xlfn.XLOOKUP(商品マスタ[[#This Row],[仕入先]],テーブル1[仕入先名],テーブル1[仕入先コード],"XXX",0,1)&amp;
"_"&amp;
商品マスタ[[#This Row],[シリアル]]&amp;
"_"&amp;
TEXT(COUNTIFS(商品マスタ!$C$3:C1068,商品マスタ[[#This Row],[仕入先]],商品マスタ!$E$3:E1068,商品マスタ[[#This Row],[商品名]]), "00")</f>
        <v>PRD_SNJ__0000_00</v>
      </c>
      <c r="E1068" s="87"/>
      <c r="F1068" s="87">
        <f>IF(COUNTIFS($C$3:C1068,商品マスタ[[#This Row],[仕入先]],$E$3:E1068,商品マスタ[[#This Row],[商品名]]) = 1, 1,0)</f>
        <v>0</v>
      </c>
      <c r="G1068" s="133" t="str">
        <f>TEXT(SUMIF($C$3:C1068,商品マスタ[[#This Row],[仕入先]],$F$3:F1068), "0000")</f>
        <v>0000</v>
      </c>
      <c r="H1068" s="87"/>
      <c r="I1068" s="87"/>
      <c r="J1068" s="87"/>
      <c r="K1068" s="87"/>
      <c r="L1068" s="134"/>
      <c r="M1068" s="157"/>
      <c r="N1068" s="134"/>
      <c r="O1068" s="135" t="str">
        <f>IF(COUNT(商品マスタ[[#This Row],[参考上代
（税込)]]) &gt; 0, (商品マスタ[[#This Row],[参考上代
（税込)]]-商品マスタ[[#This Row],[国内定価
（15％）]])/(商品マスタ[[#This Row],[参考上代
（税込)]]/1.08), "")</f>
        <v/>
      </c>
      <c r="P1068" s="136">
        <v>0.1</v>
      </c>
      <c r="Q1068" s="134">
        <f>商品マスタ[[#This Row],[仕入
単価]]*商品マスタ[[#This Row],[標準国内送料率]]</f>
        <v>0</v>
      </c>
      <c r="R1068" s="134"/>
      <c r="S1068" s="134">
        <f>IF(ISBLANK(商品マスタ[[#This Row],[実績
国内送料]]),商品マスタ[[#This Row],[標準国内送料]],)</f>
        <v>0</v>
      </c>
      <c r="T1068" s="134">
        <f>商品マスタ[[#This Row],[仕入
単価]]+商品マスタ[[#This Row],[国内送料]]</f>
        <v>0</v>
      </c>
      <c r="U1068" s="134">
        <f>ROUNDUP(商品マスタ[[#This Row],[仕入単価+国内送料]]/0.8,-1)</f>
        <v>0</v>
      </c>
      <c r="V1068" s="134">
        <f>商品マスタ[[#This Row],[海外定価
（20％）]]-商品マスタ[[#This Row],[仕入単価+国内送料]]</f>
        <v>0</v>
      </c>
      <c r="W1068" s="87">
        <f>ROUNDUP(商品マスタ[[#This Row],[仕入単価+国内送料]]/0.85,-1)</f>
        <v>0</v>
      </c>
      <c r="X1068" s="134">
        <f>商品マスタ[[#This Row],[国内定価
（15％）]]-商品マスタ[[#This Row],[仕入単価+国内送料]]</f>
        <v>0</v>
      </c>
      <c r="Y1068" s="139"/>
      <c r="Z1068" s="87"/>
      <c r="AA1068" s="87"/>
      <c r="AB1068" s="87"/>
      <c r="AC1068" s="140"/>
      <c r="AD1068" s="87"/>
      <c r="AE1068" s="87"/>
      <c r="AF1068" s="158"/>
      <c r="AG1068" s="141"/>
    </row>
    <row r="1069" spans="1:33" ht="15.75" customHeight="1">
      <c r="A1069" s="166"/>
      <c r="B1069" s="167"/>
      <c r="C1069" s="167"/>
      <c r="D1069" s="143" t="str">
        <f>"PRD_SNJ_"&amp;
_xlfn.XLOOKUP(商品マスタ[[#This Row],[仕入先]],テーブル1[仕入先名],テーブル1[仕入先コード],"XXX",0,1)&amp;
"_"&amp;
商品マスタ[[#This Row],[シリアル]]&amp;
"_"&amp;
TEXT(COUNTIFS(商品マスタ!$C$3:C1069,商品マスタ[[#This Row],[仕入先]],商品マスタ!$E$3:E1069,商品マスタ[[#This Row],[商品名]]), "00")</f>
        <v>PRD_SNJ__0000_00</v>
      </c>
      <c r="E1069" s="87"/>
      <c r="F1069" s="87">
        <f>IF(COUNTIFS($C$3:C1069,商品マスタ[[#This Row],[仕入先]],$E$3:E1069,商品マスタ[[#This Row],[商品名]]) = 1, 1,0)</f>
        <v>0</v>
      </c>
      <c r="G1069" s="133" t="str">
        <f>TEXT(SUMIF($C$3:C1069,商品マスタ[[#This Row],[仕入先]],$F$3:F1069), "0000")</f>
        <v>0000</v>
      </c>
      <c r="H1069" s="87"/>
      <c r="I1069" s="87"/>
      <c r="J1069" s="87"/>
      <c r="K1069" s="87"/>
      <c r="L1069" s="134"/>
      <c r="M1069" s="157"/>
      <c r="N1069" s="134"/>
      <c r="O1069" s="135" t="str">
        <f>IF(COUNT(商品マスタ[[#This Row],[参考上代
（税込)]]) &gt; 0, (商品マスタ[[#This Row],[参考上代
（税込)]]-商品マスタ[[#This Row],[国内定価
（15％）]])/(商品マスタ[[#This Row],[参考上代
（税込)]]/1.08), "")</f>
        <v/>
      </c>
      <c r="P1069" s="136">
        <v>0.1</v>
      </c>
      <c r="Q1069" s="134">
        <f>商品マスタ[[#This Row],[仕入
単価]]*商品マスタ[[#This Row],[標準国内送料率]]</f>
        <v>0</v>
      </c>
      <c r="R1069" s="134"/>
      <c r="S1069" s="134">
        <f>IF(ISBLANK(商品マスタ[[#This Row],[実績
国内送料]]),商品マスタ[[#This Row],[標準国内送料]],)</f>
        <v>0</v>
      </c>
      <c r="T1069" s="134">
        <f>商品マスタ[[#This Row],[仕入
単価]]+商品マスタ[[#This Row],[国内送料]]</f>
        <v>0</v>
      </c>
      <c r="U1069" s="134">
        <f>ROUNDUP(商品マスタ[[#This Row],[仕入単価+国内送料]]/0.8,-1)</f>
        <v>0</v>
      </c>
      <c r="V1069" s="134">
        <f>商品マスタ[[#This Row],[海外定価
（20％）]]-商品マスタ[[#This Row],[仕入単価+国内送料]]</f>
        <v>0</v>
      </c>
      <c r="W1069" s="87">
        <f>ROUNDUP(商品マスタ[[#This Row],[仕入単価+国内送料]]/0.85,-1)</f>
        <v>0</v>
      </c>
      <c r="X1069" s="134">
        <f>商品マスタ[[#This Row],[国内定価
（15％）]]-商品マスタ[[#This Row],[仕入単価+国内送料]]</f>
        <v>0</v>
      </c>
      <c r="Y1069" s="139"/>
      <c r="Z1069" s="87"/>
      <c r="AA1069" s="87"/>
      <c r="AB1069" s="87"/>
      <c r="AC1069" s="140"/>
      <c r="AD1069" s="87"/>
      <c r="AE1069" s="87"/>
      <c r="AF1069" s="158"/>
      <c r="AG1069" s="141"/>
    </row>
    <row r="1070" spans="1:33" ht="15.75" customHeight="1">
      <c r="A1070" s="166"/>
      <c r="B1070" s="167"/>
      <c r="C1070" s="167"/>
      <c r="D1070" s="143" t="str">
        <f>"PRD_SNJ_"&amp;
_xlfn.XLOOKUP(商品マスタ[[#This Row],[仕入先]],テーブル1[仕入先名],テーブル1[仕入先コード],"XXX",0,1)&amp;
"_"&amp;
商品マスタ[[#This Row],[シリアル]]&amp;
"_"&amp;
TEXT(COUNTIFS(商品マスタ!$C$3:C1070,商品マスタ[[#This Row],[仕入先]],商品マスタ!$E$3:E1070,商品マスタ[[#This Row],[商品名]]), "00")</f>
        <v>PRD_SNJ__0000_00</v>
      </c>
      <c r="E1070" s="87"/>
      <c r="F1070" s="87">
        <f>IF(COUNTIFS($C$3:C1070,商品マスタ[[#This Row],[仕入先]],$E$3:E1070,商品マスタ[[#This Row],[商品名]]) = 1, 1,0)</f>
        <v>0</v>
      </c>
      <c r="G1070" s="133" t="str">
        <f>TEXT(SUMIF($C$3:C1070,商品マスタ[[#This Row],[仕入先]],$F$3:F1070), "0000")</f>
        <v>0000</v>
      </c>
      <c r="H1070" s="87"/>
      <c r="I1070" s="87"/>
      <c r="J1070" s="87"/>
      <c r="K1070" s="87"/>
      <c r="L1070" s="134"/>
      <c r="M1070" s="157"/>
      <c r="N1070" s="134"/>
      <c r="O1070" s="135" t="str">
        <f>IF(COUNT(商品マスタ[[#This Row],[参考上代
（税込)]]) &gt; 0, (商品マスタ[[#This Row],[参考上代
（税込)]]-商品マスタ[[#This Row],[国内定価
（15％）]])/(商品マスタ[[#This Row],[参考上代
（税込)]]/1.08), "")</f>
        <v/>
      </c>
      <c r="P1070" s="136">
        <v>0.1</v>
      </c>
      <c r="Q1070" s="134">
        <f>商品マスタ[[#This Row],[仕入
単価]]*商品マスタ[[#This Row],[標準国内送料率]]</f>
        <v>0</v>
      </c>
      <c r="R1070" s="134"/>
      <c r="S1070" s="134">
        <f>IF(ISBLANK(商品マスタ[[#This Row],[実績
国内送料]]),商品マスタ[[#This Row],[標準国内送料]],)</f>
        <v>0</v>
      </c>
      <c r="T1070" s="134">
        <f>商品マスタ[[#This Row],[仕入
単価]]+商品マスタ[[#This Row],[国内送料]]</f>
        <v>0</v>
      </c>
      <c r="U1070" s="134">
        <f>ROUNDUP(商品マスタ[[#This Row],[仕入単価+国内送料]]/0.8,-1)</f>
        <v>0</v>
      </c>
      <c r="V1070" s="134">
        <f>商品マスタ[[#This Row],[海外定価
（20％）]]-商品マスタ[[#This Row],[仕入単価+国内送料]]</f>
        <v>0</v>
      </c>
      <c r="W1070" s="87">
        <f>ROUNDUP(商品マスタ[[#This Row],[仕入単価+国内送料]]/0.85,-1)</f>
        <v>0</v>
      </c>
      <c r="X1070" s="134">
        <f>商品マスタ[[#This Row],[国内定価
（15％）]]-商品マスタ[[#This Row],[仕入単価+国内送料]]</f>
        <v>0</v>
      </c>
      <c r="Y1070" s="139"/>
      <c r="Z1070" s="87"/>
      <c r="AA1070" s="87"/>
      <c r="AB1070" s="87"/>
      <c r="AC1070" s="140"/>
      <c r="AD1070" s="87"/>
      <c r="AE1070" s="87"/>
      <c r="AF1070" s="158"/>
      <c r="AG1070" s="141"/>
    </row>
    <row r="1071" spans="1:33" ht="15.75" customHeight="1">
      <c r="A1071" s="166"/>
      <c r="B1071" s="167"/>
      <c r="C1071" s="167"/>
      <c r="D1071" s="143" t="str">
        <f>"PRD_SNJ_"&amp;
_xlfn.XLOOKUP(商品マスタ[[#This Row],[仕入先]],テーブル1[仕入先名],テーブル1[仕入先コード],"XXX",0,1)&amp;
"_"&amp;
商品マスタ[[#This Row],[シリアル]]&amp;
"_"&amp;
TEXT(COUNTIFS(商品マスタ!$C$3:C1071,商品マスタ[[#This Row],[仕入先]],商品マスタ!$E$3:E1071,商品マスタ[[#This Row],[商品名]]), "00")</f>
        <v>PRD_SNJ__0000_00</v>
      </c>
      <c r="E1071" s="87"/>
      <c r="F1071" s="87">
        <f>IF(COUNTIFS($C$3:C1071,商品マスタ[[#This Row],[仕入先]],$E$3:E1071,商品マスタ[[#This Row],[商品名]]) = 1, 1,0)</f>
        <v>0</v>
      </c>
      <c r="G1071" s="133" t="str">
        <f>TEXT(SUMIF($C$3:C1071,商品マスタ[[#This Row],[仕入先]],$F$3:F1071), "0000")</f>
        <v>0000</v>
      </c>
      <c r="H1071" s="87"/>
      <c r="I1071" s="87"/>
      <c r="J1071" s="87"/>
      <c r="K1071" s="87"/>
      <c r="L1071" s="134"/>
      <c r="M1071" s="157"/>
      <c r="N1071" s="134"/>
      <c r="O1071" s="135" t="str">
        <f>IF(COUNT(商品マスタ[[#This Row],[参考上代
（税込)]]) &gt; 0, (商品マスタ[[#This Row],[参考上代
（税込)]]-商品マスタ[[#This Row],[国内定価
（15％）]])/(商品マスタ[[#This Row],[参考上代
（税込)]]/1.08), "")</f>
        <v/>
      </c>
      <c r="P1071" s="136">
        <v>0.1</v>
      </c>
      <c r="Q1071" s="134">
        <f>商品マスタ[[#This Row],[仕入
単価]]*商品マスタ[[#This Row],[標準国内送料率]]</f>
        <v>0</v>
      </c>
      <c r="R1071" s="134"/>
      <c r="S1071" s="134">
        <f>IF(ISBLANK(商品マスタ[[#This Row],[実績
国内送料]]),商品マスタ[[#This Row],[標準国内送料]],)</f>
        <v>0</v>
      </c>
      <c r="T1071" s="134">
        <f>商品マスタ[[#This Row],[仕入
単価]]+商品マスタ[[#This Row],[国内送料]]</f>
        <v>0</v>
      </c>
      <c r="U1071" s="134">
        <f>ROUNDUP(商品マスタ[[#This Row],[仕入単価+国内送料]]/0.8,-1)</f>
        <v>0</v>
      </c>
      <c r="V1071" s="134">
        <f>商品マスタ[[#This Row],[海外定価
（20％）]]-商品マスタ[[#This Row],[仕入単価+国内送料]]</f>
        <v>0</v>
      </c>
      <c r="W1071" s="87">
        <f>ROUNDUP(商品マスタ[[#This Row],[仕入単価+国内送料]]/0.85,-1)</f>
        <v>0</v>
      </c>
      <c r="X1071" s="134">
        <f>商品マスタ[[#This Row],[国内定価
（15％）]]-商品マスタ[[#This Row],[仕入単価+国内送料]]</f>
        <v>0</v>
      </c>
      <c r="Y1071" s="139"/>
      <c r="Z1071" s="87"/>
      <c r="AA1071" s="87"/>
      <c r="AB1071" s="87"/>
      <c r="AC1071" s="140"/>
      <c r="AD1071" s="87"/>
      <c r="AE1071" s="87"/>
      <c r="AF1071" s="158"/>
      <c r="AG1071" s="141"/>
    </row>
    <row r="1072" spans="1:33" ht="15.75" customHeight="1">
      <c r="A1072" s="166"/>
      <c r="B1072" s="167"/>
      <c r="C1072" s="167"/>
      <c r="D1072" s="143" t="str">
        <f>"PRD_SNJ_"&amp;
_xlfn.XLOOKUP(商品マスタ[[#This Row],[仕入先]],テーブル1[仕入先名],テーブル1[仕入先コード],"XXX",0,1)&amp;
"_"&amp;
商品マスタ[[#This Row],[シリアル]]&amp;
"_"&amp;
TEXT(COUNTIFS(商品マスタ!$C$3:C1072,商品マスタ[[#This Row],[仕入先]],商品マスタ!$E$3:E1072,商品マスタ[[#This Row],[商品名]]), "00")</f>
        <v>PRD_SNJ__0000_00</v>
      </c>
      <c r="E1072" s="87"/>
      <c r="F1072" s="87">
        <f>IF(COUNTIFS($C$3:C1072,商品マスタ[[#This Row],[仕入先]],$E$3:E1072,商品マスタ[[#This Row],[商品名]]) = 1, 1,0)</f>
        <v>0</v>
      </c>
      <c r="G1072" s="133" t="str">
        <f>TEXT(SUMIF($C$3:C1072,商品マスタ[[#This Row],[仕入先]],$F$3:F1072), "0000")</f>
        <v>0000</v>
      </c>
      <c r="H1072" s="87"/>
      <c r="I1072" s="87"/>
      <c r="J1072" s="87"/>
      <c r="K1072" s="87"/>
      <c r="L1072" s="134"/>
      <c r="M1072" s="157"/>
      <c r="N1072" s="134"/>
      <c r="O1072" s="135" t="str">
        <f>IF(COUNT(商品マスタ[[#This Row],[参考上代
（税込)]]) &gt; 0, (商品マスタ[[#This Row],[参考上代
（税込)]]-商品マスタ[[#This Row],[国内定価
（15％）]])/(商品マスタ[[#This Row],[参考上代
（税込)]]/1.08), "")</f>
        <v/>
      </c>
      <c r="P1072" s="136">
        <v>0.1</v>
      </c>
      <c r="Q1072" s="134">
        <f>商品マスタ[[#This Row],[仕入
単価]]*商品マスタ[[#This Row],[標準国内送料率]]</f>
        <v>0</v>
      </c>
      <c r="R1072" s="134"/>
      <c r="S1072" s="134">
        <f>IF(ISBLANK(商品マスタ[[#This Row],[実績
国内送料]]),商品マスタ[[#This Row],[標準国内送料]],)</f>
        <v>0</v>
      </c>
      <c r="T1072" s="134">
        <f>商品マスタ[[#This Row],[仕入
単価]]+商品マスタ[[#This Row],[国内送料]]</f>
        <v>0</v>
      </c>
      <c r="U1072" s="134">
        <f>ROUNDUP(商品マスタ[[#This Row],[仕入単価+国内送料]]/0.8,-1)</f>
        <v>0</v>
      </c>
      <c r="V1072" s="134">
        <f>商品マスタ[[#This Row],[海外定価
（20％）]]-商品マスタ[[#This Row],[仕入単価+国内送料]]</f>
        <v>0</v>
      </c>
      <c r="W1072" s="87">
        <f>ROUNDUP(商品マスタ[[#This Row],[仕入単価+国内送料]]/0.85,-1)</f>
        <v>0</v>
      </c>
      <c r="X1072" s="134">
        <f>商品マスタ[[#This Row],[国内定価
（15％）]]-商品マスタ[[#This Row],[仕入単価+国内送料]]</f>
        <v>0</v>
      </c>
      <c r="Y1072" s="139"/>
      <c r="Z1072" s="87"/>
      <c r="AA1072" s="87"/>
      <c r="AB1072" s="87"/>
      <c r="AC1072" s="140"/>
      <c r="AD1072" s="87"/>
      <c r="AE1072" s="87"/>
      <c r="AF1072" s="158"/>
      <c r="AG1072" s="141"/>
    </row>
    <row r="1073" spans="1:33" ht="15.75" customHeight="1">
      <c r="A1073" s="166"/>
      <c r="B1073" s="167"/>
      <c r="C1073" s="167"/>
      <c r="D1073" s="143" t="str">
        <f>"PRD_SNJ_"&amp;
_xlfn.XLOOKUP(商品マスタ[[#This Row],[仕入先]],テーブル1[仕入先名],テーブル1[仕入先コード],"XXX",0,1)&amp;
"_"&amp;
商品マスタ[[#This Row],[シリアル]]&amp;
"_"&amp;
TEXT(COUNTIFS(商品マスタ!$C$3:C1073,商品マスタ[[#This Row],[仕入先]],商品マスタ!$E$3:E1073,商品マスタ[[#This Row],[商品名]]), "00")</f>
        <v>PRD_SNJ__0000_00</v>
      </c>
      <c r="E1073" s="87"/>
      <c r="F1073" s="87">
        <f>IF(COUNTIFS($C$3:C1073,商品マスタ[[#This Row],[仕入先]],$E$3:E1073,商品マスタ[[#This Row],[商品名]]) = 1, 1,0)</f>
        <v>0</v>
      </c>
      <c r="G1073" s="133" t="str">
        <f>TEXT(SUMIF($C$3:C1073,商品マスタ[[#This Row],[仕入先]],$F$3:F1073), "0000")</f>
        <v>0000</v>
      </c>
      <c r="H1073" s="87"/>
      <c r="I1073" s="87"/>
      <c r="J1073" s="87"/>
      <c r="K1073" s="87"/>
      <c r="L1073" s="134"/>
      <c r="M1073" s="157"/>
      <c r="N1073" s="134"/>
      <c r="O1073" s="135" t="str">
        <f>IF(COUNT(商品マスタ[[#This Row],[参考上代
（税込)]]) &gt; 0, (商品マスタ[[#This Row],[参考上代
（税込)]]-商品マスタ[[#This Row],[国内定価
（15％）]])/(商品マスタ[[#This Row],[参考上代
（税込)]]/1.08), "")</f>
        <v/>
      </c>
      <c r="P1073" s="136">
        <v>0.1</v>
      </c>
      <c r="Q1073" s="134">
        <f>商品マスタ[[#This Row],[仕入
単価]]*商品マスタ[[#This Row],[標準国内送料率]]</f>
        <v>0</v>
      </c>
      <c r="R1073" s="134"/>
      <c r="S1073" s="134">
        <f>IF(ISBLANK(商品マスタ[[#This Row],[実績
国内送料]]),商品マスタ[[#This Row],[標準国内送料]],)</f>
        <v>0</v>
      </c>
      <c r="T1073" s="134">
        <f>商品マスタ[[#This Row],[仕入
単価]]+商品マスタ[[#This Row],[国内送料]]</f>
        <v>0</v>
      </c>
      <c r="U1073" s="134">
        <f>ROUNDUP(商品マスタ[[#This Row],[仕入単価+国内送料]]/0.8,-1)</f>
        <v>0</v>
      </c>
      <c r="V1073" s="134">
        <f>商品マスタ[[#This Row],[海外定価
（20％）]]-商品マスタ[[#This Row],[仕入単価+国内送料]]</f>
        <v>0</v>
      </c>
      <c r="W1073" s="87">
        <f>ROUNDUP(商品マスタ[[#This Row],[仕入単価+国内送料]]/0.85,-1)</f>
        <v>0</v>
      </c>
      <c r="X1073" s="134">
        <f>商品マスタ[[#This Row],[国内定価
（15％）]]-商品マスタ[[#This Row],[仕入単価+国内送料]]</f>
        <v>0</v>
      </c>
      <c r="Y1073" s="139"/>
      <c r="Z1073" s="87"/>
      <c r="AA1073" s="87"/>
      <c r="AB1073" s="87"/>
      <c r="AC1073" s="140"/>
      <c r="AD1073" s="87"/>
      <c r="AE1073" s="87"/>
      <c r="AF1073" s="158"/>
      <c r="AG1073" s="141"/>
    </row>
    <row r="1074" spans="1:33" ht="15.75" customHeight="1">
      <c r="A1074" s="166"/>
      <c r="B1074" s="167"/>
      <c r="C1074" s="167"/>
      <c r="D1074" s="143" t="str">
        <f>"PRD_SNJ_"&amp;
_xlfn.XLOOKUP(商品マスタ[[#This Row],[仕入先]],テーブル1[仕入先名],テーブル1[仕入先コード],"XXX",0,1)&amp;
"_"&amp;
商品マスタ[[#This Row],[シリアル]]&amp;
"_"&amp;
TEXT(COUNTIFS(商品マスタ!$C$3:C1074,商品マスタ[[#This Row],[仕入先]],商品マスタ!$E$3:E1074,商品マスタ[[#This Row],[商品名]]), "00")</f>
        <v>PRD_SNJ__0000_00</v>
      </c>
      <c r="E1074" s="87"/>
      <c r="F1074" s="87">
        <f>IF(COUNTIFS($C$3:C1074,商品マスタ[[#This Row],[仕入先]],$E$3:E1074,商品マスタ[[#This Row],[商品名]]) = 1, 1,0)</f>
        <v>0</v>
      </c>
      <c r="G1074" s="133" t="str">
        <f>TEXT(SUMIF($C$3:C1074,商品マスタ[[#This Row],[仕入先]],$F$3:F1074), "0000")</f>
        <v>0000</v>
      </c>
      <c r="H1074" s="87"/>
      <c r="I1074" s="87"/>
      <c r="J1074" s="87"/>
      <c r="K1074" s="87"/>
      <c r="L1074" s="134"/>
      <c r="M1074" s="157"/>
      <c r="N1074" s="134"/>
      <c r="O1074" s="135" t="str">
        <f>IF(COUNT(商品マスタ[[#This Row],[参考上代
（税込)]]) &gt; 0, (商品マスタ[[#This Row],[参考上代
（税込)]]-商品マスタ[[#This Row],[国内定価
（15％）]])/(商品マスタ[[#This Row],[参考上代
（税込)]]/1.08), "")</f>
        <v/>
      </c>
      <c r="P1074" s="136">
        <v>0.1</v>
      </c>
      <c r="Q1074" s="134">
        <f>商品マスタ[[#This Row],[仕入
単価]]*商品マスタ[[#This Row],[標準国内送料率]]</f>
        <v>0</v>
      </c>
      <c r="R1074" s="134"/>
      <c r="S1074" s="134">
        <f>IF(ISBLANK(商品マスタ[[#This Row],[実績
国内送料]]),商品マスタ[[#This Row],[標準国内送料]],)</f>
        <v>0</v>
      </c>
      <c r="T1074" s="134">
        <f>商品マスタ[[#This Row],[仕入
単価]]+商品マスタ[[#This Row],[国内送料]]</f>
        <v>0</v>
      </c>
      <c r="U1074" s="134">
        <f>ROUNDUP(商品マスタ[[#This Row],[仕入単価+国内送料]]/0.8,-1)</f>
        <v>0</v>
      </c>
      <c r="V1074" s="134">
        <f>商品マスタ[[#This Row],[海外定価
（20％）]]-商品マスタ[[#This Row],[仕入単価+国内送料]]</f>
        <v>0</v>
      </c>
      <c r="W1074" s="87">
        <f>ROUNDUP(商品マスタ[[#This Row],[仕入単価+国内送料]]/0.85,-1)</f>
        <v>0</v>
      </c>
      <c r="X1074" s="134">
        <f>商品マスタ[[#This Row],[国内定価
（15％）]]-商品マスタ[[#This Row],[仕入単価+国内送料]]</f>
        <v>0</v>
      </c>
      <c r="Y1074" s="139"/>
      <c r="Z1074" s="87"/>
      <c r="AA1074" s="87"/>
      <c r="AB1074" s="87"/>
      <c r="AC1074" s="140"/>
      <c r="AD1074" s="87"/>
      <c r="AE1074" s="87"/>
      <c r="AF1074" s="158"/>
      <c r="AG1074" s="141"/>
    </row>
    <row r="1075" spans="1:33" ht="15.75" customHeight="1">
      <c r="A1075" s="166"/>
      <c r="B1075" s="167"/>
      <c r="C1075" s="167"/>
      <c r="D1075" s="143" t="str">
        <f>"PRD_SNJ_"&amp;
_xlfn.XLOOKUP(商品マスタ[[#This Row],[仕入先]],テーブル1[仕入先名],テーブル1[仕入先コード],"XXX",0,1)&amp;
"_"&amp;
商品マスタ[[#This Row],[シリアル]]&amp;
"_"&amp;
TEXT(COUNTIFS(商品マスタ!$C$3:C1075,商品マスタ[[#This Row],[仕入先]],商品マスタ!$E$3:E1075,商品マスタ[[#This Row],[商品名]]), "00")</f>
        <v>PRD_SNJ__0000_00</v>
      </c>
      <c r="E1075" s="87"/>
      <c r="F1075" s="87">
        <f>IF(COUNTIFS($C$3:C1075,商品マスタ[[#This Row],[仕入先]],$E$3:E1075,商品マスタ[[#This Row],[商品名]]) = 1, 1,0)</f>
        <v>0</v>
      </c>
      <c r="G1075" s="133" t="str">
        <f>TEXT(SUMIF($C$3:C1075,商品マスタ[[#This Row],[仕入先]],$F$3:F1075), "0000")</f>
        <v>0000</v>
      </c>
      <c r="H1075" s="87"/>
      <c r="I1075" s="87"/>
      <c r="J1075" s="87"/>
      <c r="K1075" s="87"/>
      <c r="L1075" s="134"/>
      <c r="M1075" s="157"/>
      <c r="N1075" s="134"/>
      <c r="O1075" s="135" t="str">
        <f>IF(COUNT(商品マスタ[[#This Row],[参考上代
（税込)]]) &gt; 0, (商品マスタ[[#This Row],[参考上代
（税込)]]-商品マスタ[[#This Row],[国内定価
（15％）]])/(商品マスタ[[#This Row],[参考上代
（税込)]]/1.08), "")</f>
        <v/>
      </c>
      <c r="P1075" s="136">
        <v>0.1</v>
      </c>
      <c r="Q1075" s="134">
        <f>商品マスタ[[#This Row],[仕入
単価]]*商品マスタ[[#This Row],[標準国内送料率]]</f>
        <v>0</v>
      </c>
      <c r="R1075" s="134"/>
      <c r="S1075" s="134">
        <f>IF(ISBLANK(商品マスタ[[#This Row],[実績
国内送料]]),商品マスタ[[#This Row],[標準国内送料]],)</f>
        <v>0</v>
      </c>
      <c r="T1075" s="134">
        <f>商品マスタ[[#This Row],[仕入
単価]]+商品マスタ[[#This Row],[国内送料]]</f>
        <v>0</v>
      </c>
      <c r="U1075" s="134">
        <f>ROUNDUP(商品マスタ[[#This Row],[仕入単価+国内送料]]/0.8,-1)</f>
        <v>0</v>
      </c>
      <c r="V1075" s="134">
        <f>商品マスタ[[#This Row],[海外定価
（20％）]]-商品マスタ[[#This Row],[仕入単価+国内送料]]</f>
        <v>0</v>
      </c>
      <c r="W1075" s="87">
        <f>ROUNDUP(商品マスタ[[#This Row],[仕入単価+国内送料]]/0.85,-1)</f>
        <v>0</v>
      </c>
      <c r="X1075" s="134">
        <f>商品マスタ[[#This Row],[国内定価
（15％）]]-商品マスタ[[#This Row],[仕入単価+国内送料]]</f>
        <v>0</v>
      </c>
      <c r="Y1075" s="139"/>
      <c r="Z1075" s="87"/>
      <c r="AA1075" s="87"/>
      <c r="AB1075" s="87"/>
      <c r="AC1075" s="140"/>
      <c r="AD1075" s="87"/>
      <c r="AE1075" s="87"/>
      <c r="AF1075" s="158"/>
      <c r="AG1075" s="141"/>
    </row>
    <row r="1076" spans="1:33" ht="15.75" customHeight="1">
      <c r="A1076" s="166"/>
      <c r="B1076" s="167"/>
      <c r="C1076" s="167"/>
      <c r="D1076" s="143" t="str">
        <f>"PRD_SNJ_"&amp;
_xlfn.XLOOKUP(商品マスタ[[#This Row],[仕入先]],テーブル1[仕入先名],テーブル1[仕入先コード],"XXX",0,1)&amp;
"_"&amp;
商品マスタ[[#This Row],[シリアル]]&amp;
"_"&amp;
TEXT(COUNTIFS(商品マスタ!$C$3:C1076,商品マスタ[[#This Row],[仕入先]],商品マスタ!$E$3:E1076,商品マスタ[[#This Row],[商品名]]), "00")</f>
        <v>PRD_SNJ__0000_00</v>
      </c>
      <c r="E1076" s="87"/>
      <c r="F1076" s="87">
        <f>IF(COUNTIFS($C$3:C1076,商品マスタ[[#This Row],[仕入先]],$E$3:E1076,商品マスタ[[#This Row],[商品名]]) = 1, 1,0)</f>
        <v>0</v>
      </c>
      <c r="G1076" s="133" t="str">
        <f>TEXT(SUMIF($C$3:C1076,商品マスタ[[#This Row],[仕入先]],$F$3:F1076), "0000")</f>
        <v>0000</v>
      </c>
      <c r="H1076" s="87"/>
      <c r="I1076" s="87"/>
      <c r="J1076" s="87"/>
      <c r="K1076" s="87"/>
      <c r="L1076" s="134"/>
      <c r="M1076" s="157"/>
      <c r="N1076" s="134"/>
      <c r="O1076" s="135" t="str">
        <f>IF(COUNT(商品マスタ[[#This Row],[参考上代
（税込)]]) &gt; 0, (商品マスタ[[#This Row],[参考上代
（税込)]]-商品マスタ[[#This Row],[国内定価
（15％）]])/(商品マスタ[[#This Row],[参考上代
（税込)]]/1.08), "")</f>
        <v/>
      </c>
      <c r="P1076" s="136">
        <v>0.1</v>
      </c>
      <c r="Q1076" s="134">
        <f>商品マスタ[[#This Row],[仕入
単価]]*商品マスタ[[#This Row],[標準国内送料率]]</f>
        <v>0</v>
      </c>
      <c r="R1076" s="134"/>
      <c r="S1076" s="134">
        <f>IF(ISBLANK(商品マスタ[[#This Row],[実績
国内送料]]),商品マスタ[[#This Row],[標準国内送料]],)</f>
        <v>0</v>
      </c>
      <c r="T1076" s="134">
        <f>商品マスタ[[#This Row],[仕入
単価]]+商品マスタ[[#This Row],[国内送料]]</f>
        <v>0</v>
      </c>
      <c r="U1076" s="134">
        <f>ROUNDUP(商品マスタ[[#This Row],[仕入単価+国内送料]]/0.8,-1)</f>
        <v>0</v>
      </c>
      <c r="V1076" s="134">
        <f>商品マスタ[[#This Row],[海外定価
（20％）]]-商品マスタ[[#This Row],[仕入単価+国内送料]]</f>
        <v>0</v>
      </c>
      <c r="W1076" s="87">
        <f>ROUNDUP(商品マスタ[[#This Row],[仕入単価+国内送料]]/0.85,-1)</f>
        <v>0</v>
      </c>
      <c r="X1076" s="134">
        <f>商品マスタ[[#This Row],[国内定価
（15％）]]-商品マスタ[[#This Row],[仕入単価+国内送料]]</f>
        <v>0</v>
      </c>
      <c r="Y1076" s="139"/>
      <c r="Z1076" s="87"/>
      <c r="AA1076" s="87"/>
      <c r="AB1076" s="87"/>
      <c r="AC1076" s="140"/>
      <c r="AD1076" s="87"/>
      <c r="AE1076" s="87"/>
      <c r="AF1076" s="158"/>
      <c r="AG1076" s="141"/>
    </row>
    <row r="1077" spans="1:33" ht="15.75" customHeight="1">
      <c r="A1077" s="166"/>
      <c r="B1077" s="167"/>
      <c r="C1077" s="167"/>
      <c r="D1077" s="143" t="str">
        <f>"PRD_SNJ_"&amp;
_xlfn.XLOOKUP(商品マスタ[[#This Row],[仕入先]],テーブル1[仕入先名],テーブル1[仕入先コード],"XXX",0,1)&amp;
"_"&amp;
商品マスタ[[#This Row],[シリアル]]&amp;
"_"&amp;
TEXT(COUNTIFS(商品マスタ!$C$3:C1077,商品マスタ[[#This Row],[仕入先]],商品マスタ!$E$3:E1077,商品マスタ[[#This Row],[商品名]]), "00")</f>
        <v>PRD_SNJ__0000_00</v>
      </c>
      <c r="E1077" s="87"/>
      <c r="F1077" s="87">
        <f>IF(COUNTIFS($C$3:C1077,商品マスタ[[#This Row],[仕入先]],$E$3:E1077,商品マスタ[[#This Row],[商品名]]) = 1, 1,0)</f>
        <v>0</v>
      </c>
      <c r="G1077" s="133" t="str">
        <f>TEXT(SUMIF($C$3:C1077,商品マスタ[[#This Row],[仕入先]],$F$3:F1077), "0000")</f>
        <v>0000</v>
      </c>
      <c r="H1077" s="87"/>
      <c r="I1077" s="87"/>
      <c r="J1077" s="87"/>
      <c r="K1077" s="87"/>
      <c r="L1077" s="134"/>
      <c r="M1077" s="157"/>
      <c r="N1077" s="134"/>
      <c r="O1077" s="135" t="str">
        <f>IF(COUNT(商品マスタ[[#This Row],[参考上代
（税込)]]) &gt; 0, (商品マスタ[[#This Row],[参考上代
（税込)]]-商品マスタ[[#This Row],[国内定価
（15％）]])/(商品マスタ[[#This Row],[参考上代
（税込)]]/1.08), "")</f>
        <v/>
      </c>
      <c r="P1077" s="136">
        <v>0.1</v>
      </c>
      <c r="Q1077" s="134">
        <f>商品マスタ[[#This Row],[仕入
単価]]*商品マスタ[[#This Row],[標準国内送料率]]</f>
        <v>0</v>
      </c>
      <c r="R1077" s="134"/>
      <c r="S1077" s="134">
        <f>IF(ISBLANK(商品マスタ[[#This Row],[実績
国内送料]]),商品マスタ[[#This Row],[標準国内送料]],)</f>
        <v>0</v>
      </c>
      <c r="T1077" s="134">
        <f>商品マスタ[[#This Row],[仕入
単価]]+商品マスタ[[#This Row],[国内送料]]</f>
        <v>0</v>
      </c>
      <c r="U1077" s="134">
        <f>ROUNDUP(商品マスタ[[#This Row],[仕入単価+国内送料]]/0.8,-1)</f>
        <v>0</v>
      </c>
      <c r="V1077" s="134">
        <f>商品マスタ[[#This Row],[海外定価
（20％）]]-商品マスタ[[#This Row],[仕入単価+国内送料]]</f>
        <v>0</v>
      </c>
      <c r="W1077" s="87">
        <f>ROUNDUP(商品マスタ[[#This Row],[仕入単価+国内送料]]/0.85,-1)</f>
        <v>0</v>
      </c>
      <c r="X1077" s="134">
        <f>商品マスタ[[#This Row],[国内定価
（15％）]]-商品マスタ[[#This Row],[仕入単価+国内送料]]</f>
        <v>0</v>
      </c>
      <c r="Y1077" s="139"/>
      <c r="Z1077" s="87"/>
      <c r="AA1077" s="87"/>
      <c r="AB1077" s="87"/>
      <c r="AC1077" s="140"/>
      <c r="AD1077" s="87"/>
      <c r="AE1077" s="87"/>
      <c r="AF1077" s="158"/>
      <c r="AG1077" s="141"/>
    </row>
    <row r="1078" spans="1:33" ht="15.75" customHeight="1">
      <c r="A1078" s="166"/>
      <c r="B1078" s="167"/>
      <c r="C1078" s="167"/>
      <c r="D1078" s="143" t="str">
        <f>"PRD_SNJ_"&amp;
_xlfn.XLOOKUP(商品マスタ[[#This Row],[仕入先]],テーブル1[仕入先名],テーブル1[仕入先コード],"XXX",0,1)&amp;
"_"&amp;
商品マスタ[[#This Row],[シリアル]]&amp;
"_"&amp;
TEXT(COUNTIFS(商品マスタ!$C$3:C1078,商品マスタ[[#This Row],[仕入先]],商品マスタ!$E$3:E1078,商品マスタ[[#This Row],[商品名]]), "00")</f>
        <v>PRD_SNJ__0000_00</v>
      </c>
      <c r="E1078" s="87"/>
      <c r="F1078" s="87">
        <f>IF(COUNTIFS($C$3:C1078,商品マスタ[[#This Row],[仕入先]],$E$3:E1078,商品マスタ[[#This Row],[商品名]]) = 1, 1,0)</f>
        <v>0</v>
      </c>
      <c r="G1078" s="133" t="str">
        <f>TEXT(SUMIF($C$3:C1078,商品マスタ[[#This Row],[仕入先]],$F$3:F1078), "0000")</f>
        <v>0000</v>
      </c>
      <c r="H1078" s="87"/>
      <c r="I1078" s="87"/>
      <c r="J1078" s="87"/>
      <c r="K1078" s="87"/>
      <c r="L1078" s="134"/>
      <c r="M1078" s="157"/>
      <c r="N1078" s="134"/>
      <c r="O1078" s="135" t="str">
        <f>IF(COUNT(商品マスタ[[#This Row],[参考上代
（税込)]]) &gt; 0, (商品マスタ[[#This Row],[参考上代
（税込)]]-商品マスタ[[#This Row],[国内定価
（15％）]])/(商品マスタ[[#This Row],[参考上代
（税込)]]/1.08), "")</f>
        <v/>
      </c>
      <c r="P1078" s="136">
        <v>0.1</v>
      </c>
      <c r="Q1078" s="134">
        <f>商品マスタ[[#This Row],[仕入
単価]]*商品マスタ[[#This Row],[標準国内送料率]]</f>
        <v>0</v>
      </c>
      <c r="R1078" s="134"/>
      <c r="S1078" s="134">
        <f>IF(ISBLANK(商品マスタ[[#This Row],[実績
国内送料]]),商品マスタ[[#This Row],[標準国内送料]],)</f>
        <v>0</v>
      </c>
      <c r="T1078" s="134">
        <f>商品マスタ[[#This Row],[仕入
単価]]+商品マスタ[[#This Row],[国内送料]]</f>
        <v>0</v>
      </c>
      <c r="U1078" s="134">
        <f>ROUNDUP(商品マスタ[[#This Row],[仕入単価+国内送料]]/0.8,-1)</f>
        <v>0</v>
      </c>
      <c r="V1078" s="134">
        <f>商品マスタ[[#This Row],[海外定価
（20％）]]-商品マスタ[[#This Row],[仕入単価+国内送料]]</f>
        <v>0</v>
      </c>
      <c r="W1078" s="87">
        <f>ROUNDUP(商品マスタ[[#This Row],[仕入単価+国内送料]]/0.85,-1)</f>
        <v>0</v>
      </c>
      <c r="X1078" s="134">
        <f>商品マスタ[[#This Row],[国内定価
（15％）]]-商品マスタ[[#This Row],[仕入単価+国内送料]]</f>
        <v>0</v>
      </c>
      <c r="Y1078" s="139"/>
      <c r="Z1078" s="87"/>
      <c r="AA1078" s="87"/>
      <c r="AB1078" s="87"/>
      <c r="AC1078" s="140"/>
      <c r="AD1078" s="87"/>
      <c r="AE1078" s="87"/>
      <c r="AF1078" s="158"/>
      <c r="AG1078" s="141"/>
    </row>
    <row r="1079" spans="1:33" ht="15.75" customHeight="1">
      <c r="A1079" s="166"/>
      <c r="B1079" s="167"/>
      <c r="C1079" s="167"/>
      <c r="D1079" s="143" t="str">
        <f>"PRD_SNJ_"&amp;
_xlfn.XLOOKUP(商品マスタ[[#This Row],[仕入先]],テーブル1[仕入先名],テーブル1[仕入先コード],"XXX",0,1)&amp;
"_"&amp;
商品マスタ[[#This Row],[シリアル]]&amp;
"_"&amp;
TEXT(COUNTIFS(商品マスタ!$C$3:C1079,商品マスタ[[#This Row],[仕入先]],商品マスタ!$E$3:E1079,商品マスタ[[#This Row],[商品名]]), "00")</f>
        <v>PRD_SNJ__0000_00</v>
      </c>
      <c r="E1079" s="87"/>
      <c r="F1079" s="87">
        <f>IF(COUNTIFS($C$3:C1079,商品マスタ[[#This Row],[仕入先]],$E$3:E1079,商品マスタ[[#This Row],[商品名]]) = 1, 1,0)</f>
        <v>0</v>
      </c>
      <c r="G1079" s="133" t="str">
        <f>TEXT(SUMIF($C$3:C1079,商品マスタ[[#This Row],[仕入先]],$F$3:F1079), "0000")</f>
        <v>0000</v>
      </c>
      <c r="H1079" s="87"/>
      <c r="I1079" s="87"/>
      <c r="J1079" s="87"/>
      <c r="K1079" s="87"/>
      <c r="L1079" s="134"/>
      <c r="M1079" s="157"/>
      <c r="N1079" s="134"/>
      <c r="O1079" s="135" t="str">
        <f>IF(COUNT(商品マスタ[[#This Row],[参考上代
（税込)]]) &gt; 0, (商品マスタ[[#This Row],[参考上代
（税込)]]-商品マスタ[[#This Row],[国内定価
（15％）]])/(商品マスタ[[#This Row],[参考上代
（税込)]]/1.08), "")</f>
        <v/>
      </c>
      <c r="P1079" s="136">
        <v>0.1</v>
      </c>
      <c r="Q1079" s="134">
        <f>商品マスタ[[#This Row],[仕入
単価]]*商品マスタ[[#This Row],[標準国内送料率]]</f>
        <v>0</v>
      </c>
      <c r="R1079" s="134"/>
      <c r="S1079" s="134">
        <f>IF(ISBLANK(商品マスタ[[#This Row],[実績
国内送料]]),商品マスタ[[#This Row],[標準国内送料]],)</f>
        <v>0</v>
      </c>
      <c r="T1079" s="134">
        <f>商品マスタ[[#This Row],[仕入
単価]]+商品マスタ[[#This Row],[国内送料]]</f>
        <v>0</v>
      </c>
      <c r="U1079" s="134">
        <f>ROUNDUP(商品マスタ[[#This Row],[仕入単価+国内送料]]/0.8,-1)</f>
        <v>0</v>
      </c>
      <c r="V1079" s="134">
        <f>商品マスタ[[#This Row],[海外定価
（20％）]]-商品マスタ[[#This Row],[仕入単価+国内送料]]</f>
        <v>0</v>
      </c>
      <c r="W1079" s="87">
        <f>ROUNDUP(商品マスタ[[#This Row],[仕入単価+国内送料]]/0.85,-1)</f>
        <v>0</v>
      </c>
      <c r="X1079" s="134">
        <f>商品マスタ[[#This Row],[国内定価
（15％）]]-商品マスタ[[#This Row],[仕入単価+国内送料]]</f>
        <v>0</v>
      </c>
      <c r="Y1079" s="139"/>
      <c r="Z1079" s="87"/>
      <c r="AA1079" s="87"/>
      <c r="AB1079" s="87"/>
      <c r="AC1079" s="140"/>
      <c r="AD1079" s="87"/>
      <c r="AE1079" s="87"/>
      <c r="AF1079" s="158"/>
      <c r="AG1079" s="141"/>
    </row>
    <row r="1080" spans="1:33" ht="15.75" customHeight="1">
      <c r="A1080" s="166"/>
      <c r="B1080" s="167"/>
      <c r="C1080" s="167"/>
      <c r="D1080" s="143" t="str">
        <f>"PRD_SNJ_"&amp;
_xlfn.XLOOKUP(商品マスタ[[#This Row],[仕入先]],テーブル1[仕入先名],テーブル1[仕入先コード],"XXX",0,1)&amp;
"_"&amp;
商品マスタ[[#This Row],[シリアル]]&amp;
"_"&amp;
TEXT(COUNTIFS(商品マスタ!$C$3:C1080,商品マスタ[[#This Row],[仕入先]],商品マスタ!$E$3:E1080,商品マスタ[[#This Row],[商品名]]), "00")</f>
        <v>PRD_SNJ__0000_00</v>
      </c>
      <c r="E1080" s="87"/>
      <c r="F1080" s="87">
        <f>IF(COUNTIFS($C$3:C1080,商品マスタ[[#This Row],[仕入先]],$E$3:E1080,商品マスタ[[#This Row],[商品名]]) = 1, 1,0)</f>
        <v>0</v>
      </c>
      <c r="G1080" s="133" t="str">
        <f>TEXT(SUMIF($C$3:C1080,商品マスタ[[#This Row],[仕入先]],$F$3:F1080), "0000")</f>
        <v>0000</v>
      </c>
      <c r="H1080" s="87"/>
      <c r="I1080" s="87"/>
      <c r="J1080" s="87"/>
      <c r="K1080" s="87"/>
      <c r="L1080" s="134"/>
      <c r="M1080" s="157"/>
      <c r="N1080" s="134"/>
      <c r="O1080" s="135" t="str">
        <f>IF(COUNT(商品マスタ[[#This Row],[参考上代
（税込)]]) &gt; 0, (商品マスタ[[#This Row],[参考上代
（税込)]]-商品マスタ[[#This Row],[国内定価
（15％）]])/(商品マスタ[[#This Row],[参考上代
（税込)]]/1.08), "")</f>
        <v/>
      </c>
      <c r="P1080" s="136">
        <v>0.1</v>
      </c>
      <c r="Q1080" s="134">
        <f>商品マスタ[[#This Row],[仕入
単価]]*商品マスタ[[#This Row],[標準国内送料率]]</f>
        <v>0</v>
      </c>
      <c r="R1080" s="134"/>
      <c r="S1080" s="134">
        <f>IF(ISBLANK(商品マスタ[[#This Row],[実績
国内送料]]),商品マスタ[[#This Row],[標準国内送料]],)</f>
        <v>0</v>
      </c>
      <c r="T1080" s="134">
        <f>商品マスタ[[#This Row],[仕入
単価]]+商品マスタ[[#This Row],[国内送料]]</f>
        <v>0</v>
      </c>
      <c r="U1080" s="134">
        <f>ROUNDUP(商品マスタ[[#This Row],[仕入単価+国内送料]]/0.8,-1)</f>
        <v>0</v>
      </c>
      <c r="V1080" s="134">
        <f>商品マスタ[[#This Row],[海外定価
（20％）]]-商品マスタ[[#This Row],[仕入単価+国内送料]]</f>
        <v>0</v>
      </c>
      <c r="W1080" s="87">
        <f>ROUNDUP(商品マスタ[[#This Row],[仕入単価+国内送料]]/0.85,-1)</f>
        <v>0</v>
      </c>
      <c r="X1080" s="134">
        <f>商品マスタ[[#This Row],[国内定価
（15％）]]-商品マスタ[[#This Row],[仕入単価+国内送料]]</f>
        <v>0</v>
      </c>
      <c r="Y1080" s="139"/>
      <c r="Z1080" s="87"/>
      <c r="AA1080" s="87"/>
      <c r="AB1080" s="87"/>
      <c r="AC1080" s="140"/>
      <c r="AD1080" s="87"/>
      <c r="AE1080" s="87"/>
      <c r="AF1080" s="158"/>
      <c r="AG1080" s="141"/>
    </row>
    <row r="1081" spans="1:33" ht="15.75" customHeight="1">
      <c r="A1081" s="166"/>
      <c r="B1081" s="167"/>
      <c r="C1081" s="167"/>
      <c r="D1081" s="143" t="str">
        <f>"PRD_SNJ_"&amp;
_xlfn.XLOOKUP(商品マスタ[[#This Row],[仕入先]],テーブル1[仕入先名],テーブル1[仕入先コード],"XXX",0,1)&amp;
"_"&amp;
商品マスタ[[#This Row],[シリアル]]&amp;
"_"&amp;
TEXT(COUNTIFS(商品マスタ!$C$3:C1081,商品マスタ[[#This Row],[仕入先]],商品マスタ!$E$3:E1081,商品マスタ[[#This Row],[商品名]]), "00")</f>
        <v>PRD_SNJ__0000_00</v>
      </c>
      <c r="E1081" s="87"/>
      <c r="F1081" s="87">
        <f>IF(COUNTIFS($C$3:C1081,商品マスタ[[#This Row],[仕入先]],$E$3:E1081,商品マスタ[[#This Row],[商品名]]) = 1, 1,0)</f>
        <v>0</v>
      </c>
      <c r="G1081" s="133" t="str">
        <f>TEXT(SUMIF($C$3:C1081,商品マスタ[[#This Row],[仕入先]],$F$3:F1081), "0000")</f>
        <v>0000</v>
      </c>
      <c r="H1081" s="87"/>
      <c r="I1081" s="87"/>
      <c r="J1081" s="87"/>
      <c r="K1081" s="87"/>
      <c r="L1081" s="134"/>
      <c r="M1081" s="157"/>
      <c r="N1081" s="134"/>
      <c r="O1081" s="135" t="str">
        <f>IF(COUNT(商品マスタ[[#This Row],[参考上代
（税込)]]) &gt; 0, (商品マスタ[[#This Row],[参考上代
（税込)]]-商品マスタ[[#This Row],[国内定価
（15％）]])/(商品マスタ[[#This Row],[参考上代
（税込)]]/1.08), "")</f>
        <v/>
      </c>
      <c r="P1081" s="136">
        <v>0.1</v>
      </c>
      <c r="Q1081" s="134">
        <f>商品マスタ[[#This Row],[仕入
単価]]*商品マスタ[[#This Row],[標準国内送料率]]</f>
        <v>0</v>
      </c>
      <c r="R1081" s="134"/>
      <c r="S1081" s="134">
        <f>IF(ISBLANK(商品マスタ[[#This Row],[実績
国内送料]]),商品マスタ[[#This Row],[標準国内送料]],)</f>
        <v>0</v>
      </c>
      <c r="T1081" s="134">
        <f>商品マスタ[[#This Row],[仕入
単価]]+商品マスタ[[#This Row],[国内送料]]</f>
        <v>0</v>
      </c>
      <c r="U1081" s="134">
        <f>ROUNDUP(商品マスタ[[#This Row],[仕入単価+国内送料]]/0.8,-1)</f>
        <v>0</v>
      </c>
      <c r="V1081" s="134">
        <f>商品マスタ[[#This Row],[海外定価
（20％）]]-商品マスタ[[#This Row],[仕入単価+国内送料]]</f>
        <v>0</v>
      </c>
      <c r="W1081" s="87">
        <f>ROUNDUP(商品マスタ[[#This Row],[仕入単価+国内送料]]/0.85,-1)</f>
        <v>0</v>
      </c>
      <c r="X1081" s="134">
        <f>商品マスタ[[#This Row],[国内定価
（15％）]]-商品マスタ[[#This Row],[仕入単価+国内送料]]</f>
        <v>0</v>
      </c>
      <c r="Y1081" s="139"/>
      <c r="Z1081" s="87"/>
      <c r="AA1081" s="87"/>
      <c r="AB1081" s="87"/>
      <c r="AC1081" s="140"/>
      <c r="AD1081" s="87"/>
      <c r="AE1081" s="87"/>
      <c r="AF1081" s="158"/>
      <c r="AG1081" s="141"/>
    </row>
    <row r="1082" spans="1:33" ht="15.75" customHeight="1">
      <c r="A1082" s="166"/>
      <c r="B1082" s="167"/>
      <c r="C1082" s="167"/>
      <c r="D1082" s="143" t="str">
        <f>"PRD_SNJ_"&amp;
_xlfn.XLOOKUP(商品マスタ[[#This Row],[仕入先]],テーブル1[仕入先名],テーブル1[仕入先コード],"XXX",0,1)&amp;
"_"&amp;
商品マスタ[[#This Row],[シリアル]]&amp;
"_"&amp;
TEXT(COUNTIFS(商品マスタ!$C$3:C1082,商品マスタ[[#This Row],[仕入先]],商品マスタ!$E$3:E1082,商品マスタ[[#This Row],[商品名]]), "00")</f>
        <v>PRD_SNJ__0000_00</v>
      </c>
      <c r="E1082" s="87"/>
      <c r="F1082" s="87">
        <f>IF(COUNTIFS($C$3:C1082,商品マスタ[[#This Row],[仕入先]],$E$3:E1082,商品マスタ[[#This Row],[商品名]]) = 1, 1,0)</f>
        <v>0</v>
      </c>
      <c r="G1082" s="133" t="str">
        <f>TEXT(SUMIF($C$3:C1082,商品マスタ[[#This Row],[仕入先]],$F$3:F1082), "0000")</f>
        <v>0000</v>
      </c>
      <c r="H1082" s="87"/>
      <c r="I1082" s="87"/>
      <c r="J1082" s="87"/>
      <c r="K1082" s="87"/>
      <c r="L1082" s="134"/>
      <c r="M1082" s="157"/>
      <c r="N1082" s="134"/>
      <c r="O1082" s="135" t="str">
        <f>IF(COUNT(商品マスタ[[#This Row],[参考上代
（税込)]]) &gt; 0, (商品マスタ[[#This Row],[参考上代
（税込)]]-商品マスタ[[#This Row],[国内定価
（15％）]])/(商品マスタ[[#This Row],[参考上代
（税込)]]/1.08), "")</f>
        <v/>
      </c>
      <c r="P1082" s="136">
        <v>0.1</v>
      </c>
      <c r="Q1082" s="134">
        <f>商品マスタ[[#This Row],[仕入
単価]]*商品マスタ[[#This Row],[標準国内送料率]]</f>
        <v>0</v>
      </c>
      <c r="R1082" s="134"/>
      <c r="S1082" s="134">
        <f>IF(ISBLANK(商品マスタ[[#This Row],[実績
国内送料]]),商品マスタ[[#This Row],[標準国内送料]],)</f>
        <v>0</v>
      </c>
      <c r="T1082" s="134">
        <f>商品マスタ[[#This Row],[仕入
単価]]+商品マスタ[[#This Row],[国内送料]]</f>
        <v>0</v>
      </c>
      <c r="U1082" s="134">
        <f>ROUNDUP(商品マスタ[[#This Row],[仕入単価+国内送料]]/0.8,-1)</f>
        <v>0</v>
      </c>
      <c r="V1082" s="134">
        <f>商品マスタ[[#This Row],[海外定価
（20％）]]-商品マスタ[[#This Row],[仕入単価+国内送料]]</f>
        <v>0</v>
      </c>
      <c r="W1082" s="87">
        <f>ROUNDUP(商品マスタ[[#This Row],[仕入単価+国内送料]]/0.85,-1)</f>
        <v>0</v>
      </c>
      <c r="X1082" s="134">
        <f>商品マスタ[[#This Row],[国内定価
（15％）]]-商品マスタ[[#This Row],[仕入単価+国内送料]]</f>
        <v>0</v>
      </c>
      <c r="Y1082" s="139"/>
      <c r="Z1082" s="87"/>
      <c r="AA1082" s="87"/>
      <c r="AB1082" s="87"/>
      <c r="AC1082" s="140"/>
      <c r="AD1082" s="87"/>
      <c r="AE1082" s="87"/>
      <c r="AF1082" s="158"/>
      <c r="AG1082" s="141"/>
    </row>
    <row r="1083" spans="1:33" ht="15.75" customHeight="1">
      <c r="A1083" s="166"/>
      <c r="B1083" s="167"/>
      <c r="C1083" s="167"/>
      <c r="D1083" s="143" t="str">
        <f>"PRD_SNJ_"&amp;
_xlfn.XLOOKUP(商品マスタ[[#This Row],[仕入先]],テーブル1[仕入先名],テーブル1[仕入先コード],"XXX",0,1)&amp;
"_"&amp;
商品マスタ[[#This Row],[シリアル]]&amp;
"_"&amp;
TEXT(COUNTIFS(商品マスタ!$C$3:C1083,商品マスタ[[#This Row],[仕入先]],商品マスタ!$E$3:E1083,商品マスタ[[#This Row],[商品名]]), "00")</f>
        <v>PRD_SNJ__0000_00</v>
      </c>
      <c r="E1083" s="87"/>
      <c r="F1083" s="87">
        <f>IF(COUNTIFS($C$3:C1083,商品マスタ[[#This Row],[仕入先]],$E$3:E1083,商品マスタ[[#This Row],[商品名]]) = 1, 1,0)</f>
        <v>0</v>
      </c>
      <c r="G1083" s="133" t="str">
        <f>TEXT(SUMIF($C$3:C1083,商品マスタ[[#This Row],[仕入先]],$F$3:F1083), "0000")</f>
        <v>0000</v>
      </c>
      <c r="H1083" s="87"/>
      <c r="I1083" s="87"/>
      <c r="J1083" s="87"/>
      <c r="K1083" s="87"/>
      <c r="L1083" s="134"/>
      <c r="M1083" s="157"/>
      <c r="N1083" s="134"/>
      <c r="O1083" s="135" t="str">
        <f>IF(COUNT(商品マスタ[[#This Row],[参考上代
（税込)]]) &gt; 0, (商品マスタ[[#This Row],[参考上代
（税込)]]-商品マスタ[[#This Row],[国内定価
（15％）]])/(商品マスタ[[#This Row],[参考上代
（税込)]]/1.08), "")</f>
        <v/>
      </c>
      <c r="P1083" s="136">
        <v>0.1</v>
      </c>
      <c r="Q1083" s="134">
        <f>商品マスタ[[#This Row],[仕入
単価]]*商品マスタ[[#This Row],[標準国内送料率]]</f>
        <v>0</v>
      </c>
      <c r="R1083" s="134"/>
      <c r="S1083" s="134">
        <f>IF(ISBLANK(商品マスタ[[#This Row],[実績
国内送料]]),商品マスタ[[#This Row],[標準国内送料]],)</f>
        <v>0</v>
      </c>
      <c r="T1083" s="134">
        <f>商品マスタ[[#This Row],[仕入
単価]]+商品マスタ[[#This Row],[国内送料]]</f>
        <v>0</v>
      </c>
      <c r="U1083" s="134">
        <f>ROUNDUP(商品マスタ[[#This Row],[仕入単価+国内送料]]/0.8,-1)</f>
        <v>0</v>
      </c>
      <c r="V1083" s="134">
        <f>商品マスタ[[#This Row],[海外定価
（20％）]]-商品マスタ[[#This Row],[仕入単価+国内送料]]</f>
        <v>0</v>
      </c>
      <c r="W1083" s="87">
        <f>ROUNDUP(商品マスタ[[#This Row],[仕入単価+国内送料]]/0.85,-1)</f>
        <v>0</v>
      </c>
      <c r="X1083" s="134">
        <f>商品マスタ[[#This Row],[国内定価
（15％）]]-商品マスタ[[#This Row],[仕入単価+国内送料]]</f>
        <v>0</v>
      </c>
      <c r="Y1083" s="139"/>
      <c r="Z1083" s="87"/>
      <c r="AA1083" s="87"/>
      <c r="AB1083" s="87"/>
      <c r="AC1083" s="140"/>
      <c r="AD1083" s="87"/>
      <c r="AE1083" s="87"/>
      <c r="AF1083" s="158"/>
      <c r="AG1083" s="141"/>
    </row>
    <row r="1084" spans="1:33" ht="15.75" customHeight="1">
      <c r="A1084" s="166"/>
      <c r="B1084" s="167"/>
      <c r="C1084" s="167"/>
      <c r="D1084" s="143" t="str">
        <f>"PRD_SNJ_"&amp;
_xlfn.XLOOKUP(商品マスタ[[#This Row],[仕入先]],テーブル1[仕入先名],テーブル1[仕入先コード],"XXX",0,1)&amp;
"_"&amp;
商品マスタ[[#This Row],[シリアル]]&amp;
"_"&amp;
TEXT(COUNTIFS(商品マスタ!$C$3:C1084,商品マスタ[[#This Row],[仕入先]],商品マスタ!$E$3:E1084,商品マスタ[[#This Row],[商品名]]), "00")</f>
        <v>PRD_SNJ__0000_00</v>
      </c>
      <c r="E1084" s="87"/>
      <c r="F1084" s="87">
        <f>IF(COUNTIFS($C$3:C1084,商品マスタ[[#This Row],[仕入先]],$E$3:E1084,商品マスタ[[#This Row],[商品名]]) = 1, 1,0)</f>
        <v>0</v>
      </c>
      <c r="G1084" s="133" t="str">
        <f>TEXT(SUMIF($C$3:C1084,商品マスタ[[#This Row],[仕入先]],$F$3:F1084), "0000")</f>
        <v>0000</v>
      </c>
      <c r="H1084" s="87"/>
      <c r="I1084" s="87"/>
      <c r="J1084" s="87"/>
      <c r="K1084" s="87"/>
      <c r="L1084" s="134"/>
      <c r="M1084" s="157"/>
      <c r="N1084" s="134"/>
      <c r="O1084" s="135" t="str">
        <f>IF(COUNT(商品マスタ[[#This Row],[参考上代
（税込)]]) &gt; 0, (商品マスタ[[#This Row],[参考上代
（税込)]]-商品マスタ[[#This Row],[国内定価
（15％）]])/(商品マスタ[[#This Row],[参考上代
（税込)]]/1.08), "")</f>
        <v/>
      </c>
      <c r="P1084" s="136">
        <v>0.1</v>
      </c>
      <c r="Q1084" s="134">
        <f>商品マスタ[[#This Row],[仕入
単価]]*商品マスタ[[#This Row],[標準国内送料率]]</f>
        <v>0</v>
      </c>
      <c r="R1084" s="134"/>
      <c r="S1084" s="134">
        <f>IF(ISBLANK(商品マスタ[[#This Row],[実績
国内送料]]),商品マスタ[[#This Row],[標準国内送料]],)</f>
        <v>0</v>
      </c>
      <c r="T1084" s="134">
        <f>商品マスタ[[#This Row],[仕入
単価]]+商品マスタ[[#This Row],[国内送料]]</f>
        <v>0</v>
      </c>
      <c r="U1084" s="134">
        <f>ROUNDUP(商品マスタ[[#This Row],[仕入単価+国内送料]]/0.8,-1)</f>
        <v>0</v>
      </c>
      <c r="V1084" s="134">
        <f>商品マスタ[[#This Row],[海外定価
（20％）]]-商品マスタ[[#This Row],[仕入単価+国内送料]]</f>
        <v>0</v>
      </c>
      <c r="W1084" s="87">
        <f>ROUNDUP(商品マスタ[[#This Row],[仕入単価+国内送料]]/0.85,-1)</f>
        <v>0</v>
      </c>
      <c r="X1084" s="134">
        <f>商品マスタ[[#This Row],[国内定価
（15％）]]-商品マスタ[[#This Row],[仕入単価+国内送料]]</f>
        <v>0</v>
      </c>
      <c r="Y1084" s="139"/>
      <c r="Z1084" s="87"/>
      <c r="AA1084" s="87"/>
      <c r="AB1084" s="87"/>
      <c r="AC1084" s="140"/>
      <c r="AD1084" s="87"/>
      <c r="AE1084" s="87"/>
      <c r="AF1084" s="158"/>
      <c r="AG1084" s="141"/>
    </row>
    <row r="1085" spans="1:33" ht="15.75" customHeight="1">
      <c r="A1085" s="166"/>
      <c r="B1085" s="167"/>
      <c r="C1085" s="167"/>
      <c r="D1085" s="143" t="str">
        <f>"PRD_SNJ_"&amp;
_xlfn.XLOOKUP(商品マスタ[[#This Row],[仕入先]],テーブル1[仕入先名],テーブル1[仕入先コード],"XXX",0,1)&amp;
"_"&amp;
商品マスタ[[#This Row],[シリアル]]&amp;
"_"&amp;
TEXT(COUNTIFS(商品マスタ!$C$3:C1085,商品マスタ[[#This Row],[仕入先]],商品マスタ!$E$3:E1085,商品マスタ[[#This Row],[商品名]]), "00")</f>
        <v>PRD_SNJ__0000_00</v>
      </c>
      <c r="E1085" s="87"/>
      <c r="F1085" s="87">
        <f>IF(COUNTIFS($C$3:C1085,商品マスタ[[#This Row],[仕入先]],$E$3:E1085,商品マスタ[[#This Row],[商品名]]) = 1, 1,0)</f>
        <v>0</v>
      </c>
      <c r="G1085" s="133" t="str">
        <f>TEXT(SUMIF($C$3:C1085,商品マスタ[[#This Row],[仕入先]],$F$3:F1085), "0000")</f>
        <v>0000</v>
      </c>
      <c r="H1085" s="87"/>
      <c r="I1085" s="87"/>
      <c r="J1085" s="87"/>
      <c r="K1085" s="87"/>
      <c r="L1085" s="134"/>
      <c r="M1085" s="157"/>
      <c r="N1085" s="134"/>
      <c r="O1085" s="135" t="str">
        <f>IF(COUNT(商品マスタ[[#This Row],[参考上代
（税込)]]) &gt; 0, (商品マスタ[[#This Row],[参考上代
（税込)]]-商品マスタ[[#This Row],[国内定価
（15％）]])/(商品マスタ[[#This Row],[参考上代
（税込)]]/1.08), "")</f>
        <v/>
      </c>
      <c r="P1085" s="136">
        <v>0.1</v>
      </c>
      <c r="Q1085" s="134">
        <f>商品マスタ[[#This Row],[仕入
単価]]*商品マスタ[[#This Row],[標準国内送料率]]</f>
        <v>0</v>
      </c>
      <c r="R1085" s="134"/>
      <c r="S1085" s="134">
        <f>IF(ISBLANK(商品マスタ[[#This Row],[実績
国内送料]]),商品マスタ[[#This Row],[標準国内送料]],)</f>
        <v>0</v>
      </c>
      <c r="T1085" s="134">
        <f>商品マスタ[[#This Row],[仕入
単価]]+商品マスタ[[#This Row],[国内送料]]</f>
        <v>0</v>
      </c>
      <c r="U1085" s="134">
        <f>ROUNDUP(商品マスタ[[#This Row],[仕入単価+国内送料]]/0.8,-1)</f>
        <v>0</v>
      </c>
      <c r="V1085" s="134">
        <f>商品マスタ[[#This Row],[海外定価
（20％）]]-商品マスタ[[#This Row],[仕入単価+国内送料]]</f>
        <v>0</v>
      </c>
      <c r="W1085" s="87">
        <f>ROUNDUP(商品マスタ[[#This Row],[仕入単価+国内送料]]/0.85,-1)</f>
        <v>0</v>
      </c>
      <c r="X1085" s="134">
        <f>商品マスタ[[#This Row],[国内定価
（15％）]]-商品マスタ[[#This Row],[仕入単価+国内送料]]</f>
        <v>0</v>
      </c>
      <c r="Y1085" s="139"/>
      <c r="Z1085" s="87"/>
      <c r="AA1085" s="87"/>
      <c r="AB1085" s="87"/>
      <c r="AC1085" s="140"/>
      <c r="AD1085" s="87"/>
      <c r="AE1085" s="87"/>
      <c r="AF1085" s="158"/>
      <c r="AG1085" s="141"/>
    </row>
    <row r="1086" spans="1:33" ht="15.75" customHeight="1">
      <c r="A1086" s="166"/>
      <c r="B1086" s="167"/>
      <c r="C1086" s="167"/>
      <c r="D1086" s="143" t="str">
        <f>"PRD_SNJ_"&amp;
_xlfn.XLOOKUP(商品マスタ[[#This Row],[仕入先]],テーブル1[仕入先名],テーブル1[仕入先コード],"XXX",0,1)&amp;
"_"&amp;
商品マスタ[[#This Row],[シリアル]]&amp;
"_"&amp;
TEXT(COUNTIFS(商品マスタ!$C$3:C1086,商品マスタ[[#This Row],[仕入先]],商品マスタ!$E$3:E1086,商品マスタ[[#This Row],[商品名]]), "00")</f>
        <v>PRD_SNJ__0000_00</v>
      </c>
      <c r="E1086" s="87"/>
      <c r="F1086" s="87">
        <f>IF(COUNTIFS($C$3:C1086,商品マスタ[[#This Row],[仕入先]],$E$3:E1086,商品マスタ[[#This Row],[商品名]]) = 1, 1,0)</f>
        <v>0</v>
      </c>
      <c r="G1086" s="133" t="str">
        <f>TEXT(SUMIF($C$3:C1086,商品マスタ[[#This Row],[仕入先]],$F$3:F1086), "0000")</f>
        <v>0000</v>
      </c>
      <c r="H1086" s="87"/>
      <c r="I1086" s="87"/>
      <c r="J1086" s="87"/>
      <c r="K1086" s="87"/>
      <c r="L1086" s="134"/>
      <c r="M1086" s="157"/>
      <c r="N1086" s="134"/>
      <c r="O1086" s="135" t="str">
        <f>IF(COUNT(商品マスタ[[#This Row],[参考上代
（税込)]]) &gt; 0, (商品マスタ[[#This Row],[参考上代
（税込)]]-商品マスタ[[#This Row],[国内定価
（15％）]])/(商品マスタ[[#This Row],[参考上代
（税込)]]/1.08), "")</f>
        <v/>
      </c>
      <c r="P1086" s="136">
        <v>0.1</v>
      </c>
      <c r="Q1086" s="134">
        <f>商品マスタ[[#This Row],[仕入
単価]]*商品マスタ[[#This Row],[標準国内送料率]]</f>
        <v>0</v>
      </c>
      <c r="R1086" s="134"/>
      <c r="S1086" s="134">
        <f>IF(ISBLANK(商品マスタ[[#This Row],[実績
国内送料]]),商品マスタ[[#This Row],[標準国内送料]],)</f>
        <v>0</v>
      </c>
      <c r="T1086" s="134">
        <f>商品マスタ[[#This Row],[仕入
単価]]+商品マスタ[[#This Row],[国内送料]]</f>
        <v>0</v>
      </c>
      <c r="U1086" s="134">
        <f>ROUNDUP(商品マスタ[[#This Row],[仕入単価+国内送料]]/0.8,-1)</f>
        <v>0</v>
      </c>
      <c r="V1086" s="134">
        <f>商品マスタ[[#This Row],[海外定価
（20％）]]-商品マスタ[[#This Row],[仕入単価+国内送料]]</f>
        <v>0</v>
      </c>
      <c r="W1086" s="87">
        <f>ROUNDUP(商品マスタ[[#This Row],[仕入単価+国内送料]]/0.85,-1)</f>
        <v>0</v>
      </c>
      <c r="X1086" s="134">
        <f>商品マスタ[[#This Row],[国内定価
（15％）]]-商品マスタ[[#This Row],[仕入単価+国内送料]]</f>
        <v>0</v>
      </c>
      <c r="Y1086" s="139"/>
      <c r="Z1086" s="87"/>
      <c r="AA1086" s="87"/>
      <c r="AB1086" s="87"/>
      <c r="AC1086" s="140"/>
      <c r="AD1086" s="87"/>
      <c r="AE1086" s="87"/>
      <c r="AF1086" s="158"/>
      <c r="AG1086" s="141"/>
    </row>
    <row r="1087" spans="1:33" ht="15.75" customHeight="1">
      <c r="A1087" s="166"/>
      <c r="B1087" s="167"/>
      <c r="C1087" s="167"/>
      <c r="D1087" s="143" t="str">
        <f>"PRD_SNJ_"&amp;
_xlfn.XLOOKUP(商品マスタ[[#This Row],[仕入先]],テーブル1[仕入先名],テーブル1[仕入先コード],"XXX",0,1)&amp;
"_"&amp;
商品マスタ[[#This Row],[シリアル]]&amp;
"_"&amp;
TEXT(COUNTIFS(商品マスタ!$C$3:C1087,商品マスタ[[#This Row],[仕入先]],商品マスタ!$E$3:E1087,商品マスタ[[#This Row],[商品名]]), "00")</f>
        <v>PRD_SNJ__0000_00</v>
      </c>
      <c r="E1087" s="87"/>
      <c r="F1087" s="87">
        <f>IF(COUNTIFS($C$3:C1087,商品マスタ[[#This Row],[仕入先]],$E$3:E1087,商品マスタ[[#This Row],[商品名]]) = 1, 1,0)</f>
        <v>0</v>
      </c>
      <c r="G1087" s="133" t="str">
        <f>TEXT(SUMIF($C$3:C1087,商品マスタ[[#This Row],[仕入先]],$F$3:F1087), "0000")</f>
        <v>0000</v>
      </c>
      <c r="H1087" s="87"/>
      <c r="I1087" s="87"/>
      <c r="J1087" s="87"/>
      <c r="K1087" s="87"/>
      <c r="L1087" s="134"/>
      <c r="M1087" s="157"/>
      <c r="N1087" s="134"/>
      <c r="O1087" s="135" t="str">
        <f>IF(COUNT(商品マスタ[[#This Row],[参考上代
（税込)]]) &gt; 0, (商品マスタ[[#This Row],[参考上代
（税込)]]-商品マスタ[[#This Row],[国内定価
（15％）]])/(商品マスタ[[#This Row],[参考上代
（税込)]]/1.08), "")</f>
        <v/>
      </c>
      <c r="P1087" s="136">
        <v>0.1</v>
      </c>
      <c r="Q1087" s="134">
        <f>商品マスタ[[#This Row],[仕入
単価]]*商品マスタ[[#This Row],[標準国内送料率]]</f>
        <v>0</v>
      </c>
      <c r="R1087" s="134"/>
      <c r="S1087" s="134">
        <f>IF(ISBLANK(商品マスタ[[#This Row],[実績
国内送料]]),商品マスタ[[#This Row],[標準国内送料]],)</f>
        <v>0</v>
      </c>
      <c r="T1087" s="134">
        <f>商品マスタ[[#This Row],[仕入
単価]]+商品マスタ[[#This Row],[国内送料]]</f>
        <v>0</v>
      </c>
      <c r="U1087" s="134">
        <f>ROUNDUP(商品マスタ[[#This Row],[仕入単価+国内送料]]/0.8,-1)</f>
        <v>0</v>
      </c>
      <c r="V1087" s="134">
        <f>商品マスタ[[#This Row],[海外定価
（20％）]]-商品マスタ[[#This Row],[仕入単価+国内送料]]</f>
        <v>0</v>
      </c>
      <c r="W1087" s="87">
        <f>ROUNDUP(商品マスタ[[#This Row],[仕入単価+国内送料]]/0.85,-1)</f>
        <v>0</v>
      </c>
      <c r="X1087" s="134">
        <f>商品マスタ[[#This Row],[国内定価
（15％）]]-商品マスタ[[#This Row],[仕入単価+国内送料]]</f>
        <v>0</v>
      </c>
      <c r="Y1087" s="139"/>
      <c r="Z1087" s="87"/>
      <c r="AA1087" s="87"/>
      <c r="AB1087" s="87"/>
      <c r="AC1087" s="140"/>
      <c r="AD1087" s="87"/>
      <c r="AE1087" s="87"/>
      <c r="AF1087" s="158"/>
      <c r="AG1087" s="141"/>
    </row>
    <row r="1088" spans="1:33" ht="15.75" customHeight="1">
      <c r="A1088" s="166"/>
      <c r="B1088" s="167"/>
      <c r="C1088" s="167"/>
      <c r="D1088" s="143" t="str">
        <f>"PRD_SNJ_"&amp;
_xlfn.XLOOKUP(商品マスタ[[#This Row],[仕入先]],テーブル1[仕入先名],テーブル1[仕入先コード],"XXX",0,1)&amp;
"_"&amp;
商品マスタ[[#This Row],[シリアル]]&amp;
"_"&amp;
TEXT(COUNTIFS(商品マスタ!$C$3:C1088,商品マスタ[[#This Row],[仕入先]],商品マスタ!$E$3:E1088,商品マスタ[[#This Row],[商品名]]), "00")</f>
        <v>PRD_SNJ__0000_00</v>
      </c>
      <c r="E1088" s="87"/>
      <c r="F1088" s="87">
        <f>IF(COUNTIFS($C$3:C1088,商品マスタ[[#This Row],[仕入先]],$E$3:E1088,商品マスタ[[#This Row],[商品名]]) = 1, 1,0)</f>
        <v>0</v>
      </c>
      <c r="G1088" s="133" t="str">
        <f>TEXT(SUMIF($C$3:C1088,商品マスタ[[#This Row],[仕入先]],$F$3:F1088), "0000")</f>
        <v>0000</v>
      </c>
      <c r="H1088" s="87"/>
      <c r="I1088" s="87"/>
      <c r="J1088" s="87"/>
      <c r="K1088" s="87"/>
      <c r="L1088" s="134"/>
      <c r="M1088" s="157"/>
      <c r="N1088" s="134"/>
      <c r="O1088" s="135" t="str">
        <f>IF(COUNT(商品マスタ[[#This Row],[参考上代
（税込)]]) &gt; 0, (商品マスタ[[#This Row],[参考上代
（税込)]]-商品マスタ[[#This Row],[国内定価
（15％）]])/(商品マスタ[[#This Row],[参考上代
（税込)]]/1.08), "")</f>
        <v/>
      </c>
      <c r="P1088" s="136">
        <v>0.1</v>
      </c>
      <c r="Q1088" s="134">
        <f>商品マスタ[[#This Row],[仕入
単価]]*商品マスタ[[#This Row],[標準国内送料率]]</f>
        <v>0</v>
      </c>
      <c r="R1088" s="134"/>
      <c r="S1088" s="134">
        <f>IF(ISBLANK(商品マスタ[[#This Row],[実績
国内送料]]),商品マスタ[[#This Row],[標準国内送料]],)</f>
        <v>0</v>
      </c>
      <c r="T1088" s="134">
        <f>商品マスタ[[#This Row],[仕入
単価]]+商品マスタ[[#This Row],[国内送料]]</f>
        <v>0</v>
      </c>
      <c r="U1088" s="134">
        <f>ROUNDUP(商品マスタ[[#This Row],[仕入単価+国内送料]]/0.8,-1)</f>
        <v>0</v>
      </c>
      <c r="V1088" s="134">
        <f>商品マスタ[[#This Row],[海外定価
（20％）]]-商品マスタ[[#This Row],[仕入単価+国内送料]]</f>
        <v>0</v>
      </c>
      <c r="W1088" s="87">
        <f>ROUNDUP(商品マスタ[[#This Row],[仕入単価+国内送料]]/0.85,-1)</f>
        <v>0</v>
      </c>
      <c r="X1088" s="134">
        <f>商品マスタ[[#This Row],[国内定価
（15％）]]-商品マスタ[[#This Row],[仕入単価+国内送料]]</f>
        <v>0</v>
      </c>
      <c r="Y1088" s="139"/>
      <c r="Z1088" s="87"/>
      <c r="AA1088" s="87"/>
      <c r="AB1088" s="87"/>
      <c r="AC1088" s="140"/>
      <c r="AD1088" s="87"/>
      <c r="AE1088" s="87"/>
      <c r="AF1088" s="158"/>
      <c r="AG1088" s="141"/>
    </row>
    <row r="1089" spans="1:33" ht="15.75" customHeight="1">
      <c r="A1089" s="166"/>
      <c r="B1089" s="167"/>
      <c r="C1089" s="167"/>
      <c r="D1089" s="143" t="str">
        <f>"PRD_SNJ_"&amp;
_xlfn.XLOOKUP(商品マスタ[[#This Row],[仕入先]],テーブル1[仕入先名],テーブル1[仕入先コード],"XXX",0,1)&amp;
"_"&amp;
商品マスタ[[#This Row],[シリアル]]&amp;
"_"&amp;
TEXT(COUNTIFS(商品マスタ!$C$3:C1089,商品マスタ[[#This Row],[仕入先]],商品マスタ!$E$3:E1089,商品マスタ[[#This Row],[商品名]]), "00")</f>
        <v>PRD_SNJ__0000_00</v>
      </c>
      <c r="E1089" s="87"/>
      <c r="F1089" s="87">
        <f>IF(COUNTIFS($C$3:C1089,商品マスタ[[#This Row],[仕入先]],$E$3:E1089,商品マスタ[[#This Row],[商品名]]) = 1, 1,0)</f>
        <v>0</v>
      </c>
      <c r="G1089" s="133" t="str">
        <f>TEXT(SUMIF($C$3:C1089,商品マスタ[[#This Row],[仕入先]],$F$3:F1089), "0000")</f>
        <v>0000</v>
      </c>
      <c r="H1089" s="87"/>
      <c r="I1089" s="87"/>
      <c r="J1089" s="87"/>
      <c r="K1089" s="87"/>
      <c r="L1089" s="134"/>
      <c r="M1089" s="157"/>
      <c r="N1089" s="134"/>
      <c r="O1089" s="135" t="str">
        <f>IF(COUNT(商品マスタ[[#This Row],[参考上代
（税込)]]) &gt; 0, (商品マスタ[[#This Row],[参考上代
（税込)]]-商品マスタ[[#This Row],[国内定価
（15％）]])/(商品マスタ[[#This Row],[参考上代
（税込)]]/1.08), "")</f>
        <v/>
      </c>
      <c r="P1089" s="136">
        <v>0.1</v>
      </c>
      <c r="Q1089" s="134">
        <f>商品マスタ[[#This Row],[仕入
単価]]*商品マスタ[[#This Row],[標準国内送料率]]</f>
        <v>0</v>
      </c>
      <c r="R1089" s="134"/>
      <c r="S1089" s="134">
        <f>IF(ISBLANK(商品マスタ[[#This Row],[実績
国内送料]]),商品マスタ[[#This Row],[標準国内送料]],)</f>
        <v>0</v>
      </c>
      <c r="T1089" s="134">
        <f>商品マスタ[[#This Row],[仕入
単価]]+商品マスタ[[#This Row],[国内送料]]</f>
        <v>0</v>
      </c>
      <c r="U1089" s="134">
        <f>ROUNDUP(商品マスタ[[#This Row],[仕入単価+国内送料]]/0.8,-1)</f>
        <v>0</v>
      </c>
      <c r="V1089" s="134">
        <f>商品マスタ[[#This Row],[海外定価
（20％）]]-商品マスタ[[#This Row],[仕入単価+国内送料]]</f>
        <v>0</v>
      </c>
      <c r="W1089" s="87">
        <f>ROUNDUP(商品マスタ[[#This Row],[仕入単価+国内送料]]/0.85,-1)</f>
        <v>0</v>
      </c>
      <c r="X1089" s="134">
        <f>商品マスタ[[#This Row],[国内定価
（15％）]]-商品マスタ[[#This Row],[仕入単価+国内送料]]</f>
        <v>0</v>
      </c>
      <c r="Y1089" s="139"/>
      <c r="Z1089" s="87"/>
      <c r="AA1089" s="87"/>
      <c r="AB1089" s="87"/>
      <c r="AC1089" s="140"/>
      <c r="AD1089" s="87"/>
      <c r="AE1089" s="87"/>
      <c r="AF1089" s="158"/>
      <c r="AG1089" s="141"/>
    </row>
    <row r="1090" spans="1:33" ht="15.75" customHeight="1">
      <c r="A1090" s="166"/>
      <c r="B1090" s="167"/>
      <c r="C1090" s="167"/>
      <c r="D1090" s="143" t="str">
        <f>"PRD_SNJ_"&amp;
_xlfn.XLOOKUP(商品マスタ[[#This Row],[仕入先]],テーブル1[仕入先名],テーブル1[仕入先コード],"XXX",0,1)&amp;
"_"&amp;
商品マスタ[[#This Row],[シリアル]]&amp;
"_"&amp;
TEXT(COUNTIFS(商品マスタ!$C$3:C1090,商品マスタ[[#This Row],[仕入先]],商品マスタ!$E$3:E1090,商品マスタ[[#This Row],[商品名]]), "00")</f>
        <v>PRD_SNJ__0000_00</v>
      </c>
      <c r="E1090" s="87"/>
      <c r="F1090" s="87">
        <f>IF(COUNTIFS($C$3:C1090,商品マスタ[[#This Row],[仕入先]],$E$3:E1090,商品マスタ[[#This Row],[商品名]]) = 1, 1,0)</f>
        <v>0</v>
      </c>
      <c r="G1090" s="133" t="str">
        <f>TEXT(SUMIF($C$3:C1090,商品マスタ[[#This Row],[仕入先]],$F$3:F1090), "0000")</f>
        <v>0000</v>
      </c>
      <c r="H1090" s="87"/>
      <c r="I1090" s="87"/>
      <c r="J1090" s="87"/>
      <c r="K1090" s="87"/>
      <c r="L1090" s="134"/>
      <c r="M1090" s="157"/>
      <c r="N1090" s="134"/>
      <c r="O1090" s="135" t="str">
        <f>IF(COUNT(商品マスタ[[#This Row],[参考上代
（税込)]]) &gt; 0, (商品マスタ[[#This Row],[参考上代
（税込)]]-商品マスタ[[#This Row],[国内定価
（15％）]])/(商品マスタ[[#This Row],[参考上代
（税込)]]/1.08), "")</f>
        <v/>
      </c>
      <c r="P1090" s="136">
        <v>0.1</v>
      </c>
      <c r="Q1090" s="134">
        <f>商品マスタ[[#This Row],[仕入
単価]]*商品マスタ[[#This Row],[標準国内送料率]]</f>
        <v>0</v>
      </c>
      <c r="R1090" s="134"/>
      <c r="S1090" s="134">
        <f>IF(ISBLANK(商品マスタ[[#This Row],[実績
国内送料]]),商品マスタ[[#This Row],[標準国内送料]],)</f>
        <v>0</v>
      </c>
      <c r="T1090" s="134">
        <f>商品マスタ[[#This Row],[仕入
単価]]+商品マスタ[[#This Row],[国内送料]]</f>
        <v>0</v>
      </c>
      <c r="U1090" s="134">
        <f>ROUNDUP(商品マスタ[[#This Row],[仕入単価+国内送料]]/0.8,-1)</f>
        <v>0</v>
      </c>
      <c r="V1090" s="134">
        <f>商品マスタ[[#This Row],[海外定価
（20％）]]-商品マスタ[[#This Row],[仕入単価+国内送料]]</f>
        <v>0</v>
      </c>
      <c r="W1090" s="87">
        <f>ROUNDUP(商品マスタ[[#This Row],[仕入単価+国内送料]]/0.85,-1)</f>
        <v>0</v>
      </c>
      <c r="X1090" s="134">
        <f>商品マスタ[[#This Row],[国内定価
（15％）]]-商品マスタ[[#This Row],[仕入単価+国内送料]]</f>
        <v>0</v>
      </c>
      <c r="Y1090" s="139"/>
      <c r="Z1090" s="87"/>
      <c r="AA1090" s="87"/>
      <c r="AB1090" s="87"/>
      <c r="AC1090" s="140"/>
      <c r="AD1090" s="87"/>
      <c r="AE1090" s="87"/>
      <c r="AF1090" s="158"/>
      <c r="AG1090" s="141"/>
    </row>
    <row r="1091" spans="1:33" ht="15.75" customHeight="1">
      <c r="A1091" s="166"/>
      <c r="B1091" s="167"/>
      <c r="C1091" s="167"/>
      <c r="D1091" s="143" t="str">
        <f>"PRD_SNJ_"&amp;
_xlfn.XLOOKUP(商品マスタ[[#This Row],[仕入先]],テーブル1[仕入先名],テーブル1[仕入先コード],"XXX",0,1)&amp;
"_"&amp;
商品マスタ[[#This Row],[シリアル]]&amp;
"_"&amp;
TEXT(COUNTIFS(商品マスタ!$C$3:C1091,商品マスタ[[#This Row],[仕入先]],商品マスタ!$E$3:E1091,商品マスタ[[#This Row],[商品名]]), "00")</f>
        <v>PRD_SNJ__0000_00</v>
      </c>
      <c r="E1091" s="87"/>
      <c r="F1091" s="87">
        <f>IF(COUNTIFS($C$3:C1091,商品マスタ[[#This Row],[仕入先]],$E$3:E1091,商品マスタ[[#This Row],[商品名]]) = 1, 1,0)</f>
        <v>0</v>
      </c>
      <c r="G1091" s="133" t="str">
        <f>TEXT(SUMIF($C$3:C1091,商品マスタ[[#This Row],[仕入先]],$F$3:F1091), "0000")</f>
        <v>0000</v>
      </c>
      <c r="H1091" s="87"/>
      <c r="I1091" s="87"/>
      <c r="J1091" s="87"/>
      <c r="K1091" s="87"/>
      <c r="L1091" s="134"/>
      <c r="M1091" s="157"/>
      <c r="N1091" s="134"/>
      <c r="O1091" s="135" t="str">
        <f>IF(COUNT(商品マスタ[[#This Row],[参考上代
（税込)]]) &gt; 0, (商品マスタ[[#This Row],[参考上代
（税込)]]-商品マスタ[[#This Row],[国内定価
（15％）]])/(商品マスタ[[#This Row],[参考上代
（税込)]]/1.08), "")</f>
        <v/>
      </c>
      <c r="P1091" s="136">
        <v>0.1</v>
      </c>
      <c r="Q1091" s="134">
        <f>商品マスタ[[#This Row],[仕入
単価]]*商品マスタ[[#This Row],[標準国内送料率]]</f>
        <v>0</v>
      </c>
      <c r="R1091" s="134"/>
      <c r="S1091" s="134">
        <f>IF(ISBLANK(商品マスタ[[#This Row],[実績
国内送料]]),商品マスタ[[#This Row],[標準国内送料]],)</f>
        <v>0</v>
      </c>
      <c r="T1091" s="134">
        <f>商品マスタ[[#This Row],[仕入
単価]]+商品マスタ[[#This Row],[国内送料]]</f>
        <v>0</v>
      </c>
      <c r="U1091" s="134">
        <f>ROUNDUP(商品マスタ[[#This Row],[仕入単価+国内送料]]/0.8,-1)</f>
        <v>0</v>
      </c>
      <c r="V1091" s="134">
        <f>商品マスタ[[#This Row],[海外定価
（20％）]]-商品マスタ[[#This Row],[仕入単価+国内送料]]</f>
        <v>0</v>
      </c>
      <c r="W1091" s="87">
        <f>ROUNDUP(商品マスタ[[#This Row],[仕入単価+国内送料]]/0.85,-1)</f>
        <v>0</v>
      </c>
      <c r="X1091" s="134">
        <f>商品マスタ[[#This Row],[国内定価
（15％）]]-商品マスタ[[#This Row],[仕入単価+国内送料]]</f>
        <v>0</v>
      </c>
      <c r="Y1091" s="139"/>
      <c r="Z1091" s="87"/>
      <c r="AA1091" s="87"/>
      <c r="AB1091" s="87"/>
      <c r="AC1091" s="140"/>
      <c r="AD1091" s="87"/>
      <c r="AE1091" s="87"/>
      <c r="AF1091" s="158"/>
      <c r="AG1091" s="141"/>
    </row>
    <row r="1092" spans="1:33" ht="15.75" customHeight="1">
      <c r="A1092" s="166"/>
      <c r="B1092" s="167"/>
      <c r="C1092" s="167"/>
      <c r="D1092" s="143" t="str">
        <f>"PRD_SNJ_"&amp;
_xlfn.XLOOKUP(商品マスタ[[#This Row],[仕入先]],テーブル1[仕入先名],テーブル1[仕入先コード],"XXX",0,1)&amp;
"_"&amp;
商品マスタ[[#This Row],[シリアル]]&amp;
"_"&amp;
TEXT(COUNTIFS(商品マスタ!$C$3:C1092,商品マスタ[[#This Row],[仕入先]],商品マスタ!$E$3:E1092,商品マスタ[[#This Row],[商品名]]), "00")</f>
        <v>PRD_SNJ__0000_00</v>
      </c>
      <c r="E1092" s="87"/>
      <c r="F1092" s="87">
        <f>IF(COUNTIFS($C$3:C1092,商品マスタ[[#This Row],[仕入先]],$E$3:E1092,商品マスタ[[#This Row],[商品名]]) = 1, 1,0)</f>
        <v>0</v>
      </c>
      <c r="G1092" s="133" t="str">
        <f>TEXT(SUMIF($C$3:C1092,商品マスタ[[#This Row],[仕入先]],$F$3:F1092), "0000")</f>
        <v>0000</v>
      </c>
      <c r="H1092" s="87"/>
      <c r="I1092" s="87"/>
      <c r="J1092" s="87"/>
      <c r="K1092" s="87"/>
      <c r="L1092" s="134"/>
      <c r="M1092" s="157"/>
      <c r="N1092" s="134"/>
      <c r="O1092" s="135" t="str">
        <f>IF(COUNT(商品マスタ[[#This Row],[参考上代
（税込)]]) &gt; 0, (商品マスタ[[#This Row],[参考上代
（税込)]]-商品マスタ[[#This Row],[国内定価
（15％）]])/(商品マスタ[[#This Row],[参考上代
（税込)]]/1.08), "")</f>
        <v/>
      </c>
      <c r="P1092" s="136">
        <v>0.1</v>
      </c>
      <c r="Q1092" s="134">
        <f>商品マスタ[[#This Row],[仕入
単価]]*商品マスタ[[#This Row],[標準国内送料率]]</f>
        <v>0</v>
      </c>
      <c r="R1092" s="134"/>
      <c r="S1092" s="134">
        <f>IF(ISBLANK(商品マスタ[[#This Row],[実績
国内送料]]),商品マスタ[[#This Row],[標準国内送料]],)</f>
        <v>0</v>
      </c>
      <c r="T1092" s="134">
        <f>商品マスタ[[#This Row],[仕入
単価]]+商品マスタ[[#This Row],[国内送料]]</f>
        <v>0</v>
      </c>
      <c r="U1092" s="134">
        <f>ROUNDUP(商品マスタ[[#This Row],[仕入単価+国内送料]]/0.8,-1)</f>
        <v>0</v>
      </c>
      <c r="V1092" s="134">
        <f>商品マスタ[[#This Row],[海外定価
（20％）]]-商品マスタ[[#This Row],[仕入単価+国内送料]]</f>
        <v>0</v>
      </c>
      <c r="W1092" s="87">
        <f>ROUNDUP(商品マスタ[[#This Row],[仕入単価+国内送料]]/0.85,-1)</f>
        <v>0</v>
      </c>
      <c r="X1092" s="134">
        <f>商品マスタ[[#This Row],[国内定価
（15％）]]-商品マスタ[[#This Row],[仕入単価+国内送料]]</f>
        <v>0</v>
      </c>
      <c r="Y1092" s="139"/>
      <c r="Z1092" s="87"/>
      <c r="AA1092" s="87"/>
      <c r="AB1092" s="87"/>
      <c r="AC1092" s="140"/>
      <c r="AD1092" s="87"/>
      <c r="AE1092" s="87"/>
      <c r="AF1092" s="158"/>
      <c r="AG1092" s="141"/>
    </row>
    <row r="1093" spans="1:33" ht="15.75" customHeight="1">
      <c r="A1093" s="166"/>
      <c r="B1093" s="167"/>
      <c r="C1093" s="167"/>
      <c r="D1093" s="143" t="str">
        <f>"PRD_SNJ_"&amp;
_xlfn.XLOOKUP(商品マスタ[[#This Row],[仕入先]],テーブル1[仕入先名],テーブル1[仕入先コード],"XXX",0,1)&amp;
"_"&amp;
商品マスタ[[#This Row],[シリアル]]&amp;
"_"&amp;
TEXT(COUNTIFS(商品マスタ!$C$3:C1093,商品マスタ[[#This Row],[仕入先]],商品マスタ!$E$3:E1093,商品マスタ[[#This Row],[商品名]]), "00")</f>
        <v>PRD_SNJ__0000_00</v>
      </c>
      <c r="E1093" s="87"/>
      <c r="F1093" s="87">
        <f>IF(COUNTIFS($C$3:C1093,商品マスタ[[#This Row],[仕入先]],$E$3:E1093,商品マスタ[[#This Row],[商品名]]) = 1, 1,0)</f>
        <v>0</v>
      </c>
      <c r="G1093" s="133" t="str">
        <f>TEXT(SUMIF($C$3:C1093,商品マスタ[[#This Row],[仕入先]],$F$3:F1093), "0000")</f>
        <v>0000</v>
      </c>
      <c r="H1093" s="87"/>
      <c r="I1093" s="87"/>
      <c r="J1093" s="87"/>
      <c r="K1093" s="87"/>
      <c r="L1093" s="134"/>
      <c r="M1093" s="157"/>
      <c r="N1093" s="134"/>
      <c r="O1093" s="135" t="str">
        <f>IF(COUNT(商品マスタ[[#This Row],[参考上代
（税込)]]) &gt; 0, (商品マスタ[[#This Row],[参考上代
（税込)]]-商品マスタ[[#This Row],[国内定価
（15％）]])/(商品マスタ[[#This Row],[参考上代
（税込)]]/1.08), "")</f>
        <v/>
      </c>
      <c r="P1093" s="136">
        <v>0.1</v>
      </c>
      <c r="Q1093" s="134">
        <f>商品マスタ[[#This Row],[仕入
単価]]*商品マスタ[[#This Row],[標準国内送料率]]</f>
        <v>0</v>
      </c>
      <c r="R1093" s="134"/>
      <c r="S1093" s="134">
        <f>IF(ISBLANK(商品マスタ[[#This Row],[実績
国内送料]]),商品マスタ[[#This Row],[標準国内送料]],)</f>
        <v>0</v>
      </c>
      <c r="T1093" s="134">
        <f>商品マスタ[[#This Row],[仕入
単価]]+商品マスタ[[#This Row],[国内送料]]</f>
        <v>0</v>
      </c>
      <c r="U1093" s="134">
        <f>ROUNDUP(商品マスタ[[#This Row],[仕入単価+国内送料]]/0.8,-1)</f>
        <v>0</v>
      </c>
      <c r="V1093" s="134">
        <f>商品マスタ[[#This Row],[海外定価
（20％）]]-商品マスタ[[#This Row],[仕入単価+国内送料]]</f>
        <v>0</v>
      </c>
      <c r="W1093" s="87">
        <f>ROUNDUP(商品マスタ[[#This Row],[仕入単価+国内送料]]/0.85,-1)</f>
        <v>0</v>
      </c>
      <c r="X1093" s="134">
        <f>商品マスタ[[#This Row],[国内定価
（15％）]]-商品マスタ[[#This Row],[仕入単価+国内送料]]</f>
        <v>0</v>
      </c>
      <c r="Y1093" s="139"/>
      <c r="Z1093" s="87"/>
      <c r="AA1093" s="87"/>
      <c r="AB1093" s="87"/>
      <c r="AC1093" s="140"/>
      <c r="AD1093" s="87"/>
      <c r="AE1093" s="87"/>
      <c r="AF1093" s="158"/>
      <c r="AG1093" s="141"/>
    </row>
    <row r="1094" spans="1:33" ht="15.75" customHeight="1">
      <c r="A1094" s="166"/>
      <c r="B1094" s="167"/>
      <c r="C1094" s="167"/>
      <c r="D1094" s="143" t="str">
        <f>"PRD_SNJ_"&amp;
_xlfn.XLOOKUP(商品マスタ[[#This Row],[仕入先]],テーブル1[仕入先名],テーブル1[仕入先コード],"XXX",0,1)&amp;
"_"&amp;
商品マスタ[[#This Row],[シリアル]]&amp;
"_"&amp;
TEXT(COUNTIFS(商品マスタ!$C$3:C1094,商品マスタ[[#This Row],[仕入先]],商品マスタ!$E$3:E1094,商品マスタ[[#This Row],[商品名]]), "00")</f>
        <v>PRD_SNJ__0000_00</v>
      </c>
      <c r="E1094" s="87"/>
      <c r="F1094" s="87">
        <f>IF(COUNTIFS($C$3:C1094,商品マスタ[[#This Row],[仕入先]],$E$3:E1094,商品マスタ[[#This Row],[商品名]]) = 1, 1,0)</f>
        <v>0</v>
      </c>
      <c r="G1094" s="133" t="str">
        <f>TEXT(SUMIF($C$3:C1094,商品マスタ[[#This Row],[仕入先]],$F$3:F1094), "0000")</f>
        <v>0000</v>
      </c>
      <c r="H1094" s="87"/>
      <c r="I1094" s="87"/>
      <c r="J1094" s="87"/>
      <c r="K1094" s="87"/>
      <c r="L1094" s="134"/>
      <c r="M1094" s="157"/>
      <c r="N1094" s="134"/>
      <c r="O1094" s="135" t="str">
        <f>IF(COUNT(商品マスタ[[#This Row],[参考上代
（税込)]]) &gt; 0, (商品マスタ[[#This Row],[参考上代
（税込)]]-商品マスタ[[#This Row],[国内定価
（15％）]])/(商品マスタ[[#This Row],[参考上代
（税込)]]/1.08), "")</f>
        <v/>
      </c>
      <c r="P1094" s="136">
        <v>0.1</v>
      </c>
      <c r="Q1094" s="134">
        <f>商品マスタ[[#This Row],[仕入
単価]]*商品マスタ[[#This Row],[標準国内送料率]]</f>
        <v>0</v>
      </c>
      <c r="R1094" s="134"/>
      <c r="S1094" s="134">
        <f>IF(ISBLANK(商品マスタ[[#This Row],[実績
国内送料]]),商品マスタ[[#This Row],[標準国内送料]],)</f>
        <v>0</v>
      </c>
      <c r="T1094" s="134">
        <f>商品マスタ[[#This Row],[仕入
単価]]+商品マスタ[[#This Row],[国内送料]]</f>
        <v>0</v>
      </c>
      <c r="U1094" s="134">
        <f>ROUNDUP(商品マスタ[[#This Row],[仕入単価+国内送料]]/0.8,-1)</f>
        <v>0</v>
      </c>
      <c r="V1094" s="134">
        <f>商品マスタ[[#This Row],[海外定価
（20％）]]-商品マスタ[[#This Row],[仕入単価+国内送料]]</f>
        <v>0</v>
      </c>
      <c r="W1094" s="87">
        <f>ROUNDUP(商品マスタ[[#This Row],[仕入単価+国内送料]]/0.85,-1)</f>
        <v>0</v>
      </c>
      <c r="X1094" s="134">
        <f>商品マスタ[[#This Row],[国内定価
（15％）]]-商品マスタ[[#This Row],[仕入単価+国内送料]]</f>
        <v>0</v>
      </c>
      <c r="Y1094" s="139"/>
      <c r="Z1094" s="87"/>
      <c r="AA1094" s="87"/>
      <c r="AB1094" s="87"/>
      <c r="AC1094" s="140"/>
      <c r="AD1094" s="87"/>
      <c r="AE1094" s="87"/>
      <c r="AF1094" s="158"/>
      <c r="AG1094" s="141"/>
    </row>
    <row r="1095" spans="1:33" ht="15.75" customHeight="1">
      <c r="A1095" s="166"/>
      <c r="B1095" s="167"/>
      <c r="C1095" s="167"/>
      <c r="D1095" s="143" t="str">
        <f>"PRD_SNJ_"&amp;
_xlfn.XLOOKUP(商品マスタ[[#This Row],[仕入先]],テーブル1[仕入先名],テーブル1[仕入先コード],"XXX",0,1)&amp;
"_"&amp;
商品マスタ[[#This Row],[シリアル]]&amp;
"_"&amp;
TEXT(COUNTIFS(商品マスタ!$C$3:C1095,商品マスタ[[#This Row],[仕入先]],商品マスタ!$E$3:E1095,商品マスタ[[#This Row],[商品名]]), "00")</f>
        <v>PRD_SNJ__0000_00</v>
      </c>
      <c r="E1095" s="87"/>
      <c r="F1095" s="87">
        <f>IF(COUNTIFS($C$3:C1095,商品マスタ[[#This Row],[仕入先]],$E$3:E1095,商品マスタ[[#This Row],[商品名]]) = 1, 1,0)</f>
        <v>0</v>
      </c>
      <c r="G1095" s="133" t="str">
        <f>TEXT(SUMIF($C$3:C1095,商品マスタ[[#This Row],[仕入先]],$F$3:F1095), "0000")</f>
        <v>0000</v>
      </c>
      <c r="H1095" s="87"/>
      <c r="I1095" s="87"/>
      <c r="J1095" s="87"/>
      <c r="K1095" s="87"/>
      <c r="L1095" s="134"/>
      <c r="M1095" s="157"/>
      <c r="N1095" s="134"/>
      <c r="O1095" s="135" t="str">
        <f>IF(COUNT(商品マスタ[[#This Row],[参考上代
（税込)]]) &gt; 0, (商品マスタ[[#This Row],[参考上代
（税込)]]-商品マスタ[[#This Row],[国内定価
（15％）]])/(商品マスタ[[#This Row],[参考上代
（税込)]]/1.08), "")</f>
        <v/>
      </c>
      <c r="P1095" s="136">
        <v>0.1</v>
      </c>
      <c r="Q1095" s="134">
        <f>商品マスタ[[#This Row],[仕入
単価]]*商品マスタ[[#This Row],[標準国内送料率]]</f>
        <v>0</v>
      </c>
      <c r="R1095" s="134"/>
      <c r="S1095" s="134">
        <f>IF(ISBLANK(商品マスタ[[#This Row],[実績
国内送料]]),商品マスタ[[#This Row],[標準国内送料]],)</f>
        <v>0</v>
      </c>
      <c r="T1095" s="134">
        <f>商品マスタ[[#This Row],[仕入
単価]]+商品マスタ[[#This Row],[国内送料]]</f>
        <v>0</v>
      </c>
      <c r="U1095" s="134">
        <f>ROUNDUP(商品マスタ[[#This Row],[仕入単価+国内送料]]/0.8,-1)</f>
        <v>0</v>
      </c>
      <c r="V1095" s="134">
        <f>商品マスタ[[#This Row],[海外定価
（20％）]]-商品マスタ[[#This Row],[仕入単価+国内送料]]</f>
        <v>0</v>
      </c>
      <c r="W1095" s="87">
        <f>ROUNDUP(商品マスタ[[#This Row],[仕入単価+国内送料]]/0.85,-1)</f>
        <v>0</v>
      </c>
      <c r="X1095" s="134">
        <f>商品マスタ[[#This Row],[国内定価
（15％）]]-商品マスタ[[#This Row],[仕入単価+国内送料]]</f>
        <v>0</v>
      </c>
      <c r="Y1095" s="139"/>
      <c r="Z1095" s="87"/>
      <c r="AA1095" s="87"/>
      <c r="AB1095" s="87"/>
      <c r="AC1095" s="140"/>
      <c r="AD1095" s="87"/>
      <c r="AE1095" s="87"/>
      <c r="AF1095" s="158"/>
      <c r="AG1095" s="141"/>
    </row>
    <row r="1096" spans="1:33" ht="15.75" customHeight="1">
      <c r="A1096" s="166"/>
      <c r="B1096" s="167"/>
      <c r="C1096" s="167"/>
      <c r="D1096" s="143" t="str">
        <f>"PRD_SNJ_"&amp;
_xlfn.XLOOKUP(商品マスタ[[#This Row],[仕入先]],テーブル1[仕入先名],テーブル1[仕入先コード],"XXX",0,1)&amp;
"_"&amp;
商品マスタ[[#This Row],[シリアル]]&amp;
"_"&amp;
TEXT(COUNTIFS(商品マスタ!$C$3:C1096,商品マスタ[[#This Row],[仕入先]],商品マスタ!$E$3:E1096,商品マスタ[[#This Row],[商品名]]), "00")</f>
        <v>PRD_SNJ__0000_00</v>
      </c>
      <c r="E1096" s="87"/>
      <c r="F1096" s="87">
        <f>IF(COUNTIFS($C$3:C1096,商品マスタ[[#This Row],[仕入先]],$E$3:E1096,商品マスタ[[#This Row],[商品名]]) = 1, 1,0)</f>
        <v>0</v>
      </c>
      <c r="G1096" s="133" t="str">
        <f>TEXT(SUMIF($C$3:C1096,商品マスタ[[#This Row],[仕入先]],$F$3:F1096), "0000")</f>
        <v>0000</v>
      </c>
      <c r="H1096" s="87"/>
      <c r="I1096" s="87"/>
      <c r="J1096" s="87"/>
      <c r="K1096" s="87"/>
      <c r="L1096" s="134"/>
      <c r="M1096" s="157"/>
      <c r="N1096" s="134"/>
      <c r="O1096" s="135" t="str">
        <f>IF(COUNT(商品マスタ[[#This Row],[参考上代
（税込)]]) &gt; 0, (商品マスタ[[#This Row],[参考上代
（税込)]]-商品マスタ[[#This Row],[国内定価
（15％）]])/(商品マスタ[[#This Row],[参考上代
（税込)]]/1.08), "")</f>
        <v/>
      </c>
      <c r="P1096" s="136">
        <v>0.1</v>
      </c>
      <c r="Q1096" s="134">
        <f>商品マスタ[[#This Row],[仕入
単価]]*商品マスタ[[#This Row],[標準国内送料率]]</f>
        <v>0</v>
      </c>
      <c r="R1096" s="134"/>
      <c r="S1096" s="134">
        <f>IF(ISBLANK(商品マスタ[[#This Row],[実績
国内送料]]),商品マスタ[[#This Row],[標準国内送料]],)</f>
        <v>0</v>
      </c>
      <c r="T1096" s="134">
        <f>商品マスタ[[#This Row],[仕入
単価]]+商品マスタ[[#This Row],[国内送料]]</f>
        <v>0</v>
      </c>
      <c r="U1096" s="134">
        <f>ROUNDUP(商品マスタ[[#This Row],[仕入単価+国内送料]]/0.8,-1)</f>
        <v>0</v>
      </c>
      <c r="V1096" s="134">
        <f>商品マスタ[[#This Row],[海外定価
（20％）]]-商品マスタ[[#This Row],[仕入単価+国内送料]]</f>
        <v>0</v>
      </c>
      <c r="W1096" s="87">
        <f>ROUNDUP(商品マスタ[[#This Row],[仕入単価+国内送料]]/0.85,-1)</f>
        <v>0</v>
      </c>
      <c r="X1096" s="134">
        <f>商品マスタ[[#This Row],[国内定価
（15％）]]-商品マスタ[[#This Row],[仕入単価+国内送料]]</f>
        <v>0</v>
      </c>
      <c r="Y1096" s="139"/>
      <c r="Z1096" s="87"/>
      <c r="AA1096" s="87"/>
      <c r="AB1096" s="87"/>
      <c r="AC1096" s="140"/>
      <c r="AD1096" s="87"/>
      <c r="AE1096" s="87"/>
      <c r="AF1096" s="158"/>
      <c r="AG1096" s="141"/>
    </row>
    <row r="1097" spans="1:33" ht="15.75" customHeight="1">
      <c r="A1097" s="166"/>
      <c r="B1097" s="167"/>
      <c r="C1097" s="167"/>
      <c r="D1097" s="143" t="str">
        <f>"PRD_SNJ_"&amp;
_xlfn.XLOOKUP(商品マスタ[[#This Row],[仕入先]],テーブル1[仕入先名],テーブル1[仕入先コード],"XXX",0,1)&amp;
"_"&amp;
商品マスタ[[#This Row],[シリアル]]&amp;
"_"&amp;
TEXT(COUNTIFS(商品マスタ!$C$3:C1097,商品マスタ[[#This Row],[仕入先]],商品マスタ!$E$3:E1097,商品マスタ[[#This Row],[商品名]]), "00")</f>
        <v>PRD_SNJ__0000_00</v>
      </c>
      <c r="E1097" s="87"/>
      <c r="F1097" s="87">
        <f>IF(COUNTIFS($C$3:C1097,商品マスタ[[#This Row],[仕入先]],$E$3:E1097,商品マスタ[[#This Row],[商品名]]) = 1, 1,0)</f>
        <v>0</v>
      </c>
      <c r="G1097" s="133" t="str">
        <f>TEXT(SUMIF($C$3:C1097,商品マスタ[[#This Row],[仕入先]],$F$3:F1097), "0000")</f>
        <v>0000</v>
      </c>
      <c r="H1097" s="87"/>
      <c r="I1097" s="87"/>
      <c r="J1097" s="87"/>
      <c r="K1097" s="87"/>
      <c r="L1097" s="134"/>
      <c r="M1097" s="157"/>
      <c r="N1097" s="134"/>
      <c r="O1097" s="135" t="str">
        <f>IF(COUNT(商品マスタ[[#This Row],[参考上代
（税込)]]) &gt; 0, (商品マスタ[[#This Row],[参考上代
（税込)]]-商品マスタ[[#This Row],[国内定価
（15％）]])/(商品マスタ[[#This Row],[参考上代
（税込)]]/1.08), "")</f>
        <v/>
      </c>
      <c r="P1097" s="136">
        <v>0.1</v>
      </c>
      <c r="Q1097" s="134">
        <f>商品マスタ[[#This Row],[仕入
単価]]*商品マスタ[[#This Row],[標準国内送料率]]</f>
        <v>0</v>
      </c>
      <c r="R1097" s="134"/>
      <c r="S1097" s="134">
        <f>IF(ISBLANK(商品マスタ[[#This Row],[実績
国内送料]]),商品マスタ[[#This Row],[標準国内送料]],)</f>
        <v>0</v>
      </c>
      <c r="T1097" s="134">
        <f>商品マスタ[[#This Row],[仕入
単価]]+商品マスタ[[#This Row],[国内送料]]</f>
        <v>0</v>
      </c>
      <c r="U1097" s="134">
        <f>ROUNDUP(商品マスタ[[#This Row],[仕入単価+国内送料]]/0.8,-1)</f>
        <v>0</v>
      </c>
      <c r="V1097" s="134">
        <f>商品マスタ[[#This Row],[海外定価
（20％）]]-商品マスタ[[#This Row],[仕入単価+国内送料]]</f>
        <v>0</v>
      </c>
      <c r="W1097" s="87">
        <f>ROUNDUP(商品マスタ[[#This Row],[仕入単価+国内送料]]/0.85,-1)</f>
        <v>0</v>
      </c>
      <c r="X1097" s="134">
        <f>商品マスタ[[#This Row],[国内定価
（15％）]]-商品マスタ[[#This Row],[仕入単価+国内送料]]</f>
        <v>0</v>
      </c>
      <c r="Y1097" s="139"/>
      <c r="Z1097" s="87"/>
      <c r="AA1097" s="87"/>
      <c r="AB1097" s="87"/>
      <c r="AC1097" s="140"/>
      <c r="AD1097" s="87"/>
      <c r="AE1097" s="87"/>
      <c r="AF1097" s="158"/>
      <c r="AG1097" s="141"/>
    </row>
    <row r="1098" spans="1:33" ht="15.75" customHeight="1">
      <c r="A1098" s="166"/>
      <c r="B1098" s="167"/>
      <c r="C1098" s="167"/>
      <c r="D1098" s="143" t="str">
        <f>"PRD_SNJ_"&amp;
_xlfn.XLOOKUP(商品マスタ[[#This Row],[仕入先]],テーブル1[仕入先名],テーブル1[仕入先コード],"XXX",0,1)&amp;
"_"&amp;
商品マスタ[[#This Row],[シリアル]]&amp;
"_"&amp;
TEXT(COUNTIFS(商品マスタ!$C$3:C1098,商品マスタ[[#This Row],[仕入先]],商品マスタ!$E$3:E1098,商品マスタ[[#This Row],[商品名]]), "00")</f>
        <v>PRD_SNJ__0000_00</v>
      </c>
      <c r="E1098" s="87"/>
      <c r="F1098" s="87">
        <f>IF(COUNTIFS($C$3:C1098,商品マスタ[[#This Row],[仕入先]],$E$3:E1098,商品マスタ[[#This Row],[商品名]]) = 1, 1,0)</f>
        <v>0</v>
      </c>
      <c r="G1098" s="133" t="str">
        <f>TEXT(SUMIF($C$3:C1098,商品マスタ[[#This Row],[仕入先]],$F$3:F1098), "0000")</f>
        <v>0000</v>
      </c>
      <c r="H1098" s="87"/>
      <c r="I1098" s="87"/>
      <c r="J1098" s="87"/>
      <c r="K1098" s="87"/>
      <c r="L1098" s="134"/>
      <c r="M1098" s="157"/>
      <c r="N1098" s="134"/>
      <c r="O1098" s="135" t="str">
        <f>IF(COUNT(商品マスタ[[#This Row],[参考上代
（税込)]]) &gt; 0, (商品マスタ[[#This Row],[参考上代
（税込)]]-商品マスタ[[#This Row],[国内定価
（15％）]])/(商品マスタ[[#This Row],[参考上代
（税込)]]/1.08), "")</f>
        <v/>
      </c>
      <c r="P1098" s="136">
        <v>0.1</v>
      </c>
      <c r="Q1098" s="134">
        <f>商品マスタ[[#This Row],[仕入
単価]]*商品マスタ[[#This Row],[標準国内送料率]]</f>
        <v>0</v>
      </c>
      <c r="R1098" s="134"/>
      <c r="S1098" s="134">
        <f>IF(ISBLANK(商品マスタ[[#This Row],[実績
国内送料]]),商品マスタ[[#This Row],[標準国内送料]],)</f>
        <v>0</v>
      </c>
      <c r="T1098" s="134">
        <f>商品マスタ[[#This Row],[仕入
単価]]+商品マスタ[[#This Row],[国内送料]]</f>
        <v>0</v>
      </c>
      <c r="U1098" s="134">
        <f>ROUNDUP(商品マスタ[[#This Row],[仕入単価+国内送料]]/0.8,-1)</f>
        <v>0</v>
      </c>
      <c r="V1098" s="134">
        <f>商品マスタ[[#This Row],[海外定価
（20％）]]-商品マスタ[[#This Row],[仕入単価+国内送料]]</f>
        <v>0</v>
      </c>
      <c r="W1098" s="87">
        <f>ROUNDUP(商品マスタ[[#This Row],[仕入単価+国内送料]]/0.85,-1)</f>
        <v>0</v>
      </c>
      <c r="X1098" s="134">
        <f>商品マスタ[[#This Row],[国内定価
（15％）]]-商品マスタ[[#This Row],[仕入単価+国内送料]]</f>
        <v>0</v>
      </c>
      <c r="Y1098" s="139"/>
      <c r="Z1098" s="87"/>
      <c r="AA1098" s="87"/>
      <c r="AB1098" s="87"/>
      <c r="AC1098" s="140"/>
      <c r="AD1098" s="87"/>
      <c r="AE1098" s="87"/>
      <c r="AF1098" s="158"/>
      <c r="AG1098" s="141"/>
    </row>
    <row r="1099" spans="1:33" ht="15.75" customHeight="1">
      <c r="A1099" s="166"/>
      <c r="B1099" s="167"/>
      <c r="C1099" s="167"/>
      <c r="D1099" s="143" t="str">
        <f>"PRD_SNJ_"&amp;
_xlfn.XLOOKUP(商品マスタ[[#This Row],[仕入先]],テーブル1[仕入先名],テーブル1[仕入先コード],"XXX",0,1)&amp;
"_"&amp;
商品マスタ[[#This Row],[シリアル]]&amp;
"_"&amp;
TEXT(COUNTIFS(商品マスタ!$C$3:C1099,商品マスタ[[#This Row],[仕入先]],商品マスタ!$E$3:E1099,商品マスタ[[#This Row],[商品名]]), "00")</f>
        <v>PRD_SNJ__0000_00</v>
      </c>
      <c r="E1099" s="87"/>
      <c r="F1099" s="87">
        <f>IF(COUNTIFS($C$3:C1099,商品マスタ[[#This Row],[仕入先]],$E$3:E1099,商品マスタ[[#This Row],[商品名]]) = 1, 1,0)</f>
        <v>0</v>
      </c>
      <c r="G1099" s="133" t="str">
        <f>TEXT(SUMIF($C$3:C1099,商品マスタ[[#This Row],[仕入先]],$F$3:F1099), "0000")</f>
        <v>0000</v>
      </c>
      <c r="H1099" s="87"/>
      <c r="I1099" s="87"/>
      <c r="J1099" s="87"/>
      <c r="K1099" s="87"/>
      <c r="L1099" s="134"/>
      <c r="M1099" s="157"/>
      <c r="N1099" s="134"/>
      <c r="O1099" s="135" t="str">
        <f>IF(COUNT(商品マスタ[[#This Row],[参考上代
（税込)]]) &gt; 0, (商品マスタ[[#This Row],[参考上代
（税込)]]-商品マスタ[[#This Row],[国内定価
（15％）]])/(商品マスタ[[#This Row],[参考上代
（税込)]]/1.08), "")</f>
        <v/>
      </c>
      <c r="P1099" s="136">
        <v>0.1</v>
      </c>
      <c r="Q1099" s="134">
        <f>商品マスタ[[#This Row],[仕入
単価]]*商品マスタ[[#This Row],[標準国内送料率]]</f>
        <v>0</v>
      </c>
      <c r="R1099" s="134"/>
      <c r="S1099" s="134">
        <f>IF(ISBLANK(商品マスタ[[#This Row],[実績
国内送料]]),商品マスタ[[#This Row],[標準国内送料]],)</f>
        <v>0</v>
      </c>
      <c r="T1099" s="134">
        <f>商品マスタ[[#This Row],[仕入
単価]]+商品マスタ[[#This Row],[国内送料]]</f>
        <v>0</v>
      </c>
      <c r="U1099" s="134">
        <f>ROUNDUP(商品マスタ[[#This Row],[仕入単価+国内送料]]/0.8,-1)</f>
        <v>0</v>
      </c>
      <c r="V1099" s="134">
        <f>商品マスタ[[#This Row],[海外定価
（20％）]]-商品マスタ[[#This Row],[仕入単価+国内送料]]</f>
        <v>0</v>
      </c>
      <c r="W1099" s="87">
        <f>ROUNDUP(商品マスタ[[#This Row],[仕入単価+国内送料]]/0.85,-1)</f>
        <v>0</v>
      </c>
      <c r="X1099" s="134">
        <f>商品マスタ[[#This Row],[国内定価
（15％）]]-商品マスタ[[#This Row],[仕入単価+国内送料]]</f>
        <v>0</v>
      </c>
      <c r="Y1099" s="139"/>
      <c r="Z1099" s="87"/>
      <c r="AA1099" s="87"/>
      <c r="AB1099" s="87"/>
      <c r="AC1099" s="140"/>
      <c r="AD1099" s="87"/>
      <c r="AE1099" s="87"/>
      <c r="AF1099" s="158"/>
      <c r="AG1099" s="141"/>
    </row>
    <row r="1100" spans="1:33" ht="15.75" customHeight="1">
      <c r="A1100" s="166"/>
      <c r="B1100" s="167"/>
      <c r="C1100" s="167"/>
      <c r="D1100" s="143" t="str">
        <f>"PRD_SNJ_"&amp;
_xlfn.XLOOKUP(商品マスタ[[#This Row],[仕入先]],テーブル1[仕入先名],テーブル1[仕入先コード],"XXX",0,1)&amp;
"_"&amp;
商品マスタ[[#This Row],[シリアル]]&amp;
"_"&amp;
TEXT(COUNTIFS(商品マスタ!$C$3:C1100,商品マスタ[[#This Row],[仕入先]],商品マスタ!$E$3:E1100,商品マスタ[[#This Row],[商品名]]), "00")</f>
        <v>PRD_SNJ__0000_00</v>
      </c>
      <c r="E1100" s="87"/>
      <c r="F1100" s="87">
        <f>IF(COUNTIFS($C$3:C1100,商品マスタ[[#This Row],[仕入先]],$E$3:E1100,商品マスタ[[#This Row],[商品名]]) = 1, 1,0)</f>
        <v>0</v>
      </c>
      <c r="G1100" s="133" t="str">
        <f>TEXT(SUMIF($C$3:C1100,商品マスタ[[#This Row],[仕入先]],$F$3:F1100), "0000")</f>
        <v>0000</v>
      </c>
      <c r="H1100" s="87"/>
      <c r="I1100" s="87"/>
      <c r="J1100" s="87"/>
      <c r="K1100" s="87"/>
      <c r="L1100" s="134"/>
      <c r="M1100" s="157"/>
      <c r="N1100" s="134"/>
      <c r="O1100" s="135" t="str">
        <f>IF(COUNT(商品マスタ[[#This Row],[参考上代
（税込)]]) &gt; 0, (商品マスタ[[#This Row],[参考上代
（税込)]]-商品マスタ[[#This Row],[国内定価
（15％）]])/(商品マスタ[[#This Row],[参考上代
（税込)]]/1.08), "")</f>
        <v/>
      </c>
      <c r="P1100" s="136">
        <v>0.1</v>
      </c>
      <c r="Q1100" s="134">
        <f>商品マスタ[[#This Row],[仕入
単価]]*商品マスタ[[#This Row],[標準国内送料率]]</f>
        <v>0</v>
      </c>
      <c r="R1100" s="134"/>
      <c r="S1100" s="134">
        <f>IF(ISBLANK(商品マスタ[[#This Row],[実績
国内送料]]),商品マスタ[[#This Row],[標準国内送料]],)</f>
        <v>0</v>
      </c>
      <c r="T1100" s="134">
        <f>商品マスタ[[#This Row],[仕入
単価]]+商品マスタ[[#This Row],[国内送料]]</f>
        <v>0</v>
      </c>
      <c r="U1100" s="134">
        <f>ROUNDUP(商品マスタ[[#This Row],[仕入単価+国内送料]]/0.8,-1)</f>
        <v>0</v>
      </c>
      <c r="V1100" s="134">
        <f>商品マスタ[[#This Row],[海外定価
（20％）]]-商品マスタ[[#This Row],[仕入単価+国内送料]]</f>
        <v>0</v>
      </c>
      <c r="W1100" s="87">
        <f>ROUNDUP(商品マスタ[[#This Row],[仕入単価+国内送料]]/0.85,-1)</f>
        <v>0</v>
      </c>
      <c r="X1100" s="134">
        <f>商品マスタ[[#This Row],[国内定価
（15％）]]-商品マスタ[[#This Row],[仕入単価+国内送料]]</f>
        <v>0</v>
      </c>
      <c r="Y1100" s="139"/>
      <c r="Z1100" s="87"/>
      <c r="AA1100" s="87"/>
      <c r="AB1100" s="87"/>
      <c r="AC1100" s="140"/>
      <c r="AD1100" s="87"/>
      <c r="AE1100" s="87"/>
      <c r="AF1100" s="158"/>
      <c r="AG1100" s="141"/>
    </row>
    <row r="1101" spans="1:33" ht="15.75" customHeight="1">
      <c r="A1101" s="166"/>
      <c r="B1101" s="167"/>
      <c r="C1101" s="167"/>
      <c r="D1101" s="143" t="str">
        <f>"PRD_SNJ_"&amp;
_xlfn.XLOOKUP(商品マスタ[[#This Row],[仕入先]],テーブル1[仕入先名],テーブル1[仕入先コード],"XXX",0,1)&amp;
"_"&amp;
商品マスタ[[#This Row],[シリアル]]&amp;
"_"&amp;
TEXT(COUNTIFS(商品マスタ!$C$3:C1101,商品マスタ[[#This Row],[仕入先]],商品マスタ!$E$3:E1101,商品マスタ[[#This Row],[商品名]]), "00")</f>
        <v>PRD_SNJ__0000_00</v>
      </c>
      <c r="E1101" s="87"/>
      <c r="F1101" s="87">
        <f>IF(COUNTIFS($C$3:C1101,商品マスタ[[#This Row],[仕入先]],$E$3:E1101,商品マスタ[[#This Row],[商品名]]) = 1, 1,0)</f>
        <v>0</v>
      </c>
      <c r="G1101" s="133" t="str">
        <f>TEXT(SUMIF($C$3:C1101,商品マスタ[[#This Row],[仕入先]],$F$3:F1101), "0000")</f>
        <v>0000</v>
      </c>
      <c r="H1101" s="87"/>
      <c r="I1101" s="87"/>
      <c r="J1101" s="87"/>
      <c r="K1101" s="87"/>
      <c r="L1101" s="134"/>
      <c r="M1101" s="157"/>
      <c r="N1101" s="134"/>
      <c r="O1101" s="135" t="str">
        <f>IF(COUNT(商品マスタ[[#This Row],[参考上代
（税込)]]) &gt; 0, (商品マスタ[[#This Row],[参考上代
（税込)]]-商品マスタ[[#This Row],[国内定価
（15％）]])/(商品マスタ[[#This Row],[参考上代
（税込)]]/1.08), "")</f>
        <v/>
      </c>
      <c r="P1101" s="136">
        <v>0.1</v>
      </c>
      <c r="Q1101" s="134">
        <f>商品マスタ[[#This Row],[仕入
単価]]*商品マスタ[[#This Row],[標準国内送料率]]</f>
        <v>0</v>
      </c>
      <c r="R1101" s="134"/>
      <c r="S1101" s="134">
        <f>IF(ISBLANK(商品マスタ[[#This Row],[実績
国内送料]]),商品マスタ[[#This Row],[標準国内送料]],)</f>
        <v>0</v>
      </c>
      <c r="T1101" s="134">
        <f>商品マスタ[[#This Row],[仕入
単価]]+商品マスタ[[#This Row],[国内送料]]</f>
        <v>0</v>
      </c>
      <c r="U1101" s="134">
        <f>ROUNDUP(商品マスタ[[#This Row],[仕入単価+国内送料]]/0.8,-1)</f>
        <v>0</v>
      </c>
      <c r="V1101" s="134">
        <f>商品マスタ[[#This Row],[海外定価
（20％）]]-商品マスタ[[#This Row],[仕入単価+国内送料]]</f>
        <v>0</v>
      </c>
      <c r="W1101" s="87">
        <f>ROUNDUP(商品マスタ[[#This Row],[仕入単価+国内送料]]/0.85,-1)</f>
        <v>0</v>
      </c>
      <c r="X1101" s="134">
        <f>商品マスタ[[#This Row],[国内定価
（15％）]]-商品マスタ[[#This Row],[仕入単価+国内送料]]</f>
        <v>0</v>
      </c>
      <c r="Y1101" s="139"/>
      <c r="Z1101" s="87"/>
      <c r="AA1101" s="87"/>
      <c r="AB1101" s="87"/>
      <c r="AC1101" s="140"/>
      <c r="AD1101" s="87"/>
      <c r="AE1101" s="87"/>
      <c r="AF1101" s="158"/>
      <c r="AG1101" s="141"/>
    </row>
    <row r="1102" spans="1:33" ht="15.75" customHeight="1">
      <c r="A1102" s="166"/>
      <c r="B1102" s="167"/>
      <c r="C1102" s="167"/>
      <c r="D1102" s="143" t="str">
        <f>"PRD_SNJ_"&amp;
_xlfn.XLOOKUP(商品マスタ[[#This Row],[仕入先]],テーブル1[仕入先名],テーブル1[仕入先コード],"XXX",0,1)&amp;
"_"&amp;
商品マスタ[[#This Row],[シリアル]]&amp;
"_"&amp;
TEXT(COUNTIFS(商品マスタ!$C$3:C1102,商品マスタ[[#This Row],[仕入先]],商品マスタ!$E$3:E1102,商品マスタ[[#This Row],[商品名]]), "00")</f>
        <v>PRD_SNJ__0000_00</v>
      </c>
      <c r="E1102" s="87"/>
      <c r="F1102" s="87">
        <f>IF(COUNTIFS($C$3:C1102,商品マスタ[[#This Row],[仕入先]],$E$3:E1102,商品マスタ[[#This Row],[商品名]]) = 1, 1,0)</f>
        <v>0</v>
      </c>
      <c r="G1102" s="133" t="str">
        <f>TEXT(SUMIF($C$3:C1102,商品マスタ[[#This Row],[仕入先]],$F$3:F1102), "0000")</f>
        <v>0000</v>
      </c>
      <c r="H1102" s="87"/>
      <c r="I1102" s="87"/>
      <c r="J1102" s="87"/>
      <c r="K1102" s="87"/>
      <c r="L1102" s="134"/>
      <c r="M1102" s="157"/>
      <c r="N1102" s="134"/>
      <c r="O1102" s="135" t="str">
        <f>IF(COUNT(商品マスタ[[#This Row],[参考上代
（税込)]]) &gt; 0, (商品マスタ[[#This Row],[参考上代
（税込)]]-商品マスタ[[#This Row],[国内定価
（15％）]])/(商品マスタ[[#This Row],[参考上代
（税込)]]/1.08), "")</f>
        <v/>
      </c>
      <c r="P1102" s="136">
        <v>0.1</v>
      </c>
      <c r="Q1102" s="134">
        <f>商品マスタ[[#This Row],[仕入
単価]]*商品マスタ[[#This Row],[標準国内送料率]]</f>
        <v>0</v>
      </c>
      <c r="R1102" s="134"/>
      <c r="S1102" s="134">
        <f>IF(ISBLANK(商品マスタ[[#This Row],[実績
国内送料]]),商品マスタ[[#This Row],[標準国内送料]],)</f>
        <v>0</v>
      </c>
      <c r="T1102" s="134">
        <f>商品マスタ[[#This Row],[仕入
単価]]+商品マスタ[[#This Row],[国内送料]]</f>
        <v>0</v>
      </c>
      <c r="U1102" s="134">
        <f>ROUNDUP(商品マスタ[[#This Row],[仕入単価+国内送料]]/0.8,-1)</f>
        <v>0</v>
      </c>
      <c r="V1102" s="134">
        <f>商品マスタ[[#This Row],[海外定価
（20％）]]-商品マスタ[[#This Row],[仕入単価+国内送料]]</f>
        <v>0</v>
      </c>
      <c r="W1102" s="87">
        <f>ROUNDUP(商品マスタ[[#This Row],[仕入単価+国内送料]]/0.85,-1)</f>
        <v>0</v>
      </c>
      <c r="X1102" s="134">
        <f>商品マスタ[[#This Row],[国内定価
（15％）]]-商品マスタ[[#This Row],[仕入単価+国内送料]]</f>
        <v>0</v>
      </c>
      <c r="Y1102" s="139"/>
      <c r="Z1102" s="87"/>
      <c r="AA1102" s="87"/>
      <c r="AB1102" s="87"/>
      <c r="AC1102" s="140"/>
      <c r="AD1102" s="87"/>
      <c r="AE1102" s="87"/>
      <c r="AF1102" s="158"/>
      <c r="AG1102" s="141"/>
    </row>
    <row r="1103" spans="1:33" ht="15.75" customHeight="1">
      <c r="A1103" s="166"/>
      <c r="B1103" s="167"/>
      <c r="C1103" s="167"/>
      <c r="D1103" s="143" t="str">
        <f>"PRD_SNJ_"&amp;
_xlfn.XLOOKUP(商品マスタ[[#This Row],[仕入先]],テーブル1[仕入先名],テーブル1[仕入先コード],"XXX",0,1)&amp;
"_"&amp;
商品マスタ[[#This Row],[シリアル]]&amp;
"_"&amp;
TEXT(COUNTIFS(商品マスタ!$C$3:C1103,商品マスタ[[#This Row],[仕入先]],商品マスタ!$E$3:E1103,商品マスタ[[#This Row],[商品名]]), "00")</f>
        <v>PRD_SNJ__0000_00</v>
      </c>
      <c r="E1103" s="87"/>
      <c r="F1103" s="87">
        <f>IF(COUNTIFS($C$3:C1103,商品マスタ[[#This Row],[仕入先]],$E$3:E1103,商品マスタ[[#This Row],[商品名]]) = 1, 1,0)</f>
        <v>0</v>
      </c>
      <c r="G1103" s="133" t="str">
        <f>TEXT(SUMIF($C$3:C1103,商品マスタ[[#This Row],[仕入先]],$F$3:F1103), "0000")</f>
        <v>0000</v>
      </c>
      <c r="H1103" s="87"/>
      <c r="I1103" s="87"/>
      <c r="J1103" s="87"/>
      <c r="K1103" s="87"/>
      <c r="L1103" s="134"/>
      <c r="M1103" s="157"/>
      <c r="N1103" s="134"/>
      <c r="O1103" s="135" t="str">
        <f>IF(COUNT(商品マスタ[[#This Row],[参考上代
（税込)]]) &gt; 0, (商品マスタ[[#This Row],[参考上代
（税込)]]-商品マスタ[[#This Row],[国内定価
（15％）]])/(商品マスタ[[#This Row],[参考上代
（税込)]]/1.08), "")</f>
        <v/>
      </c>
      <c r="P1103" s="136">
        <v>0.1</v>
      </c>
      <c r="Q1103" s="134">
        <f>商品マスタ[[#This Row],[仕入
単価]]*商品マスタ[[#This Row],[標準国内送料率]]</f>
        <v>0</v>
      </c>
      <c r="R1103" s="134"/>
      <c r="S1103" s="134">
        <f>IF(ISBLANK(商品マスタ[[#This Row],[実績
国内送料]]),商品マスタ[[#This Row],[標準国内送料]],)</f>
        <v>0</v>
      </c>
      <c r="T1103" s="134">
        <f>商品マスタ[[#This Row],[仕入
単価]]+商品マスタ[[#This Row],[国内送料]]</f>
        <v>0</v>
      </c>
      <c r="U1103" s="134">
        <f>ROUNDUP(商品マスタ[[#This Row],[仕入単価+国内送料]]/0.8,-1)</f>
        <v>0</v>
      </c>
      <c r="V1103" s="134">
        <f>商品マスタ[[#This Row],[海外定価
（20％）]]-商品マスタ[[#This Row],[仕入単価+国内送料]]</f>
        <v>0</v>
      </c>
      <c r="W1103" s="87">
        <f>ROUNDUP(商品マスタ[[#This Row],[仕入単価+国内送料]]/0.85,-1)</f>
        <v>0</v>
      </c>
      <c r="X1103" s="134">
        <f>商品マスタ[[#This Row],[国内定価
（15％）]]-商品マスタ[[#This Row],[仕入単価+国内送料]]</f>
        <v>0</v>
      </c>
      <c r="Y1103" s="139"/>
      <c r="Z1103" s="87"/>
      <c r="AA1103" s="87"/>
      <c r="AB1103" s="87"/>
      <c r="AC1103" s="140"/>
      <c r="AD1103" s="87"/>
      <c r="AE1103" s="87"/>
      <c r="AF1103" s="158"/>
      <c r="AG1103" s="141"/>
    </row>
    <row r="1104" spans="1:33" ht="15.75" customHeight="1">
      <c r="A1104" s="166"/>
      <c r="B1104" s="167"/>
      <c r="C1104" s="167"/>
      <c r="D1104" s="143" t="str">
        <f>"PRD_SNJ_"&amp;
_xlfn.XLOOKUP(商品マスタ[[#This Row],[仕入先]],テーブル1[仕入先名],テーブル1[仕入先コード],"XXX",0,1)&amp;
"_"&amp;
商品マスタ[[#This Row],[シリアル]]&amp;
"_"&amp;
TEXT(COUNTIFS(商品マスタ!$C$3:C1104,商品マスタ[[#This Row],[仕入先]],商品マスタ!$E$3:E1104,商品マスタ[[#This Row],[商品名]]), "00")</f>
        <v>PRD_SNJ__0000_00</v>
      </c>
      <c r="E1104" s="87"/>
      <c r="F1104" s="87">
        <f>IF(COUNTIFS($C$3:C1104,商品マスタ[[#This Row],[仕入先]],$E$3:E1104,商品マスタ[[#This Row],[商品名]]) = 1, 1,0)</f>
        <v>0</v>
      </c>
      <c r="G1104" s="133" t="str">
        <f>TEXT(SUMIF($C$3:C1104,商品マスタ[[#This Row],[仕入先]],$F$3:F1104), "0000")</f>
        <v>0000</v>
      </c>
      <c r="H1104" s="87"/>
      <c r="I1104" s="87"/>
      <c r="J1104" s="87"/>
      <c r="K1104" s="87"/>
      <c r="L1104" s="134"/>
      <c r="M1104" s="157"/>
      <c r="N1104" s="134"/>
      <c r="O1104" s="135" t="str">
        <f>IF(COUNT(商品マスタ[[#This Row],[参考上代
（税込)]]) &gt; 0, (商品マスタ[[#This Row],[参考上代
（税込)]]-商品マスタ[[#This Row],[国内定価
（15％）]])/(商品マスタ[[#This Row],[参考上代
（税込)]]/1.08), "")</f>
        <v/>
      </c>
      <c r="P1104" s="136">
        <v>0.1</v>
      </c>
      <c r="Q1104" s="134">
        <f>商品マスタ[[#This Row],[仕入
単価]]*商品マスタ[[#This Row],[標準国内送料率]]</f>
        <v>0</v>
      </c>
      <c r="R1104" s="134"/>
      <c r="S1104" s="134">
        <f>IF(ISBLANK(商品マスタ[[#This Row],[実績
国内送料]]),商品マスタ[[#This Row],[標準国内送料]],)</f>
        <v>0</v>
      </c>
      <c r="T1104" s="134">
        <f>商品マスタ[[#This Row],[仕入
単価]]+商品マスタ[[#This Row],[国内送料]]</f>
        <v>0</v>
      </c>
      <c r="U1104" s="134">
        <f>ROUNDUP(商品マスタ[[#This Row],[仕入単価+国内送料]]/0.8,-1)</f>
        <v>0</v>
      </c>
      <c r="V1104" s="134">
        <f>商品マスタ[[#This Row],[海外定価
（20％）]]-商品マスタ[[#This Row],[仕入単価+国内送料]]</f>
        <v>0</v>
      </c>
      <c r="W1104" s="87">
        <f>ROUNDUP(商品マスタ[[#This Row],[仕入単価+国内送料]]/0.85,-1)</f>
        <v>0</v>
      </c>
      <c r="X1104" s="134">
        <f>商品マスタ[[#This Row],[国内定価
（15％）]]-商品マスタ[[#This Row],[仕入単価+国内送料]]</f>
        <v>0</v>
      </c>
      <c r="Y1104" s="139"/>
      <c r="Z1104" s="87"/>
      <c r="AA1104" s="87"/>
      <c r="AB1104" s="87"/>
      <c r="AC1104" s="140"/>
      <c r="AD1104" s="87"/>
      <c r="AE1104" s="87"/>
      <c r="AF1104" s="158"/>
      <c r="AG1104" s="141"/>
    </row>
    <row r="1105" spans="1:33" ht="15.75" customHeight="1">
      <c r="A1105" s="166"/>
      <c r="B1105" s="167"/>
      <c r="C1105" s="167"/>
      <c r="D1105" s="143" t="str">
        <f>"PRD_SNJ_"&amp;
_xlfn.XLOOKUP(商品マスタ[[#This Row],[仕入先]],テーブル1[仕入先名],テーブル1[仕入先コード],"XXX",0,1)&amp;
"_"&amp;
商品マスタ[[#This Row],[シリアル]]&amp;
"_"&amp;
TEXT(COUNTIFS(商品マスタ!$C$3:C1105,商品マスタ[[#This Row],[仕入先]],商品マスタ!$E$3:E1105,商品マスタ[[#This Row],[商品名]]), "00")</f>
        <v>PRD_SNJ__0000_00</v>
      </c>
      <c r="E1105" s="87"/>
      <c r="F1105" s="87">
        <f>IF(COUNTIFS($C$3:C1105,商品マスタ[[#This Row],[仕入先]],$E$3:E1105,商品マスタ[[#This Row],[商品名]]) = 1, 1,0)</f>
        <v>0</v>
      </c>
      <c r="G1105" s="133" t="str">
        <f>TEXT(SUMIF($C$3:C1105,商品マスタ[[#This Row],[仕入先]],$F$3:F1105), "0000")</f>
        <v>0000</v>
      </c>
      <c r="H1105" s="87"/>
      <c r="I1105" s="87"/>
      <c r="J1105" s="87"/>
      <c r="K1105" s="87"/>
      <c r="L1105" s="134"/>
      <c r="M1105" s="157"/>
      <c r="N1105" s="134"/>
      <c r="O1105" s="135" t="str">
        <f>IF(COUNT(商品マスタ[[#This Row],[参考上代
（税込)]]) &gt; 0, (商品マスタ[[#This Row],[参考上代
（税込)]]-商品マスタ[[#This Row],[国内定価
（15％）]])/(商品マスタ[[#This Row],[参考上代
（税込)]]/1.08), "")</f>
        <v/>
      </c>
      <c r="P1105" s="136">
        <v>0.1</v>
      </c>
      <c r="Q1105" s="134">
        <f>商品マスタ[[#This Row],[仕入
単価]]*商品マスタ[[#This Row],[標準国内送料率]]</f>
        <v>0</v>
      </c>
      <c r="R1105" s="134"/>
      <c r="S1105" s="134">
        <f>IF(ISBLANK(商品マスタ[[#This Row],[実績
国内送料]]),商品マスタ[[#This Row],[標準国内送料]],)</f>
        <v>0</v>
      </c>
      <c r="T1105" s="134">
        <f>商品マスタ[[#This Row],[仕入
単価]]+商品マスタ[[#This Row],[国内送料]]</f>
        <v>0</v>
      </c>
      <c r="U1105" s="134">
        <f>ROUNDUP(商品マスタ[[#This Row],[仕入単価+国内送料]]/0.8,-1)</f>
        <v>0</v>
      </c>
      <c r="V1105" s="134">
        <f>商品マスタ[[#This Row],[海外定価
（20％）]]-商品マスタ[[#This Row],[仕入単価+国内送料]]</f>
        <v>0</v>
      </c>
      <c r="W1105" s="87">
        <f>ROUNDUP(商品マスタ[[#This Row],[仕入単価+国内送料]]/0.85,-1)</f>
        <v>0</v>
      </c>
      <c r="X1105" s="134">
        <f>商品マスタ[[#This Row],[国内定価
（15％）]]-商品マスタ[[#This Row],[仕入単価+国内送料]]</f>
        <v>0</v>
      </c>
      <c r="Y1105" s="139"/>
      <c r="Z1105" s="87"/>
      <c r="AA1105" s="87"/>
      <c r="AB1105" s="87"/>
      <c r="AC1105" s="140"/>
      <c r="AD1105" s="87"/>
      <c r="AE1105" s="87"/>
      <c r="AF1105" s="158"/>
      <c r="AG1105" s="141"/>
    </row>
    <row r="1106" spans="1:33" ht="15.75" customHeight="1">
      <c r="A1106" s="166"/>
      <c r="B1106" s="167"/>
      <c r="C1106" s="167"/>
      <c r="D1106" s="143" t="str">
        <f>"PRD_SNJ_"&amp;
_xlfn.XLOOKUP(商品マスタ[[#This Row],[仕入先]],テーブル1[仕入先名],テーブル1[仕入先コード],"XXX",0,1)&amp;
"_"&amp;
商品マスタ[[#This Row],[シリアル]]&amp;
"_"&amp;
TEXT(COUNTIFS(商品マスタ!$C$3:C1106,商品マスタ[[#This Row],[仕入先]],商品マスタ!$E$3:E1106,商品マスタ[[#This Row],[商品名]]), "00")</f>
        <v>PRD_SNJ__0000_00</v>
      </c>
      <c r="E1106" s="87"/>
      <c r="F1106" s="87">
        <f>IF(COUNTIFS($C$3:C1106,商品マスタ[[#This Row],[仕入先]],$E$3:E1106,商品マスタ[[#This Row],[商品名]]) = 1, 1,0)</f>
        <v>0</v>
      </c>
      <c r="G1106" s="133" t="str">
        <f>TEXT(SUMIF($C$3:C1106,商品マスタ[[#This Row],[仕入先]],$F$3:F1106), "0000")</f>
        <v>0000</v>
      </c>
      <c r="H1106" s="87"/>
      <c r="I1106" s="87"/>
      <c r="J1106" s="87"/>
      <c r="K1106" s="87"/>
      <c r="L1106" s="134"/>
      <c r="M1106" s="157"/>
      <c r="N1106" s="134"/>
      <c r="O1106" s="135" t="str">
        <f>IF(COUNT(商品マスタ[[#This Row],[参考上代
（税込)]]) &gt; 0, (商品マスタ[[#This Row],[参考上代
（税込)]]-商品マスタ[[#This Row],[国内定価
（15％）]])/(商品マスタ[[#This Row],[参考上代
（税込)]]/1.08), "")</f>
        <v/>
      </c>
      <c r="P1106" s="136">
        <v>0.1</v>
      </c>
      <c r="Q1106" s="134">
        <f>商品マスタ[[#This Row],[仕入
単価]]*商品マスタ[[#This Row],[標準国内送料率]]</f>
        <v>0</v>
      </c>
      <c r="R1106" s="134"/>
      <c r="S1106" s="134">
        <f>IF(ISBLANK(商品マスタ[[#This Row],[実績
国内送料]]),商品マスタ[[#This Row],[標準国内送料]],)</f>
        <v>0</v>
      </c>
      <c r="T1106" s="134">
        <f>商品マスタ[[#This Row],[仕入
単価]]+商品マスタ[[#This Row],[国内送料]]</f>
        <v>0</v>
      </c>
      <c r="U1106" s="134">
        <f>ROUNDUP(商品マスタ[[#This Row],[仕入単価+国内送料]]/0.8,-1)</f>
        <v>0</v>
      </c>
      <c r="V1106" s="134">
        <f>商品マスタ[[#This Row],[海外定価
（20％）]]-商品マスタ[[#This Row],[仕入単価+国内送料]]</f>
        <v>0</v>
      </c>
      <c r="W1106" s="87">
        <f>ROUNDUP(商品マスタ[[#This Row],[仕入単価+国内送料]]/0.85,-1)</f>
        <v>0</v>
      </c>
      <c r="X1106" s="134">
        <f>商品マスタ[[#This Row],[国内定価
（15％）]]-商品マスタ[[#This Row],[仕入単価+国内送料]]</f>
        <v>0</v>
      </c>
      <c r="Y1106" s="139"/>
      <c r="Z1106" s="87"/>
      <c r="AA1106" s="87"/>
      <c r="AB1106" s="87"/>
      <c r="AC1106" s="140"/>
      <c r="AD1106" s="87"/>
      <c r="AE1106" s="87"/>
      <c r="AF1106" s="158"/>
      <c r="AG1106" s="141"/>
    </row>
    <row r="1107" spans="1:33" ht="15.75" customHeight="1">
      <c r="A1107" s="166"/>
      <c r="B1107" s="167"/>
      <c r="C1107" s="167"/>
      <c r="D1107" s="143" t="str">
        <f>"PRD_SNJ_"&amp;
_xlfn.XLOOKUP(商品マスタ[[#This Row],[仕入先]],テーブル1[仕入先名],テーブル1[仕入先コード],"XXX",0,1)&amp;
"_"&amp;
商品マスタ[[#This Row],[シリアル]]&amp;
"_"&amp;
TEXT(COUNTIFS(商品マスタ!$C$3:C1107,商品マスタ[[#This Row],[仕入先]],商品マスタ!$E$3:E1107,商品マスタ[[#This Row],[商品名]]), "00")</f>
        <v>PRD_SNJ__0000_00</v>
      </c>
      <c r="E1107" s="87"/>
      <c r="F1107" s="87">
        <f>IF(COUNTIFS($C$3:C1107,商品マスタ[[#This Row],[仕入先]],$E$3:E1107,商品マスタ[[#This Row],[商品名]]) = 1, 1,0)</f>
        <v>0</v>
      </c>
      <c r="G1107" s="133" t="str">
        <f>TEXT(SUMIF($C$3:C1107,商品マスタ[[#This Row],[仕入先]],$F$3:F1107), "0000")</f>
        <v>0000</v>
      </c>
      <c r="H1107" s="87"/>
      <c r="I1107" s="87"/>
      <c r="J1107" s="87"/>
      <c r="K1107" s="87"/>
      <c r="L1107" s="134"/>
      <c r="M1107" s="157"/>
      <c r="N1107" s="134"/>
      <c r="O1107" s="135" t="str">
        <f>IF(COUNT(商品マスタ[[#This Row],[参考上代
（税込)]]) &gt; 0, (商品マスタ[[#This Row],[参考上代
（税込)]]-商品マスタ[[#This Row],[国内定価
（15％）]])/(商品マスタ[[#This Row],[参考上代
（税込)]]/1.08), "")</f>
        <v/>
      </c>
      <c r="P1107" s="136">
        <v>0.1</v>
      </c>
      <c r="Q1107" s="134">
        <f>商品マスタ[[#This Row],[仕入
単価]]*商品マスタ[[#This Row],[標準国内送料率]]</f>
        <v>0</v>
      </c>
      <c r="R1107" s="134"/>
      <c r="S1107" s="134">
        <f>IF(ISBLANK(商品マスタ[[#This Row],[実績
国内送料]]),商品マスタ[[#This Row],[標準国内送料]],)</f>
        <v>0</v>
      </c>
      <c r="T1107" s="134">
        <f>商品マスタ[[#This Row],[仕入
単価]]+商品マスタ[[#This Row],[国内送料]]</f>
        <v>0</v>
      </c>
      <c r="U1107" s="134">
        <f>ROUNDUP(商品マスタ[[#This Row],[仕入単価+国内送料]]/0.8,-1)</f>
        <v>0</v>
      </c>
      <c r="V1107" s="134">
        <f>商品マスタ[[#This Row],[海外定価
（20％）]]-商品マスタ[[#This Row],[仕入単価+国内送料]]</f>
        <v>0</v>
      </c>
      <c r="W1107" s="87">
        <f>ROUNDUP(商品マスタ[[#This Row],[仕入単価+国内送料]]/0.85,-1)</f>
        <v>0</v>
      </c>
      <c r="X1107" s="134">
        <f>商品マスタ[[#This Row],[国内定価
（15％）]]-商品マスタ[[#This Row],[仕入単価+国内送料]]</f>
        <v>0</v>
      </c>
      <c r="Y1107" s="139"/>
      <c r="Z1107" s="87"/>
      <c r="AA1107" s="87"/>
      <c r="AB1107" s="87"/>
      <c r="AC1107" s="140"/>
      <c r="AD1107" s="87"/>
      <c r="AE1107" s="87"/>
      <c r="AF1107" s="158"/>
      <c r="AG1107" s="141"/>
    </row>
    <row r="1108" spans="1:33" ht="15.75" customHeight="1">
      <c r="A1108" s="166"/>
      <c r="B1108" s="167"/>
      <c r="C1108" s="167"/>
      <c r="D1108" s="143" t="str">
        <f>"PRD_SNJ_"&amp;
_xlfn.XLOOKUP(商品マスタ[[#This Row],[仕入先]],テーブル1[仕入先名],テーブル1[仕入先コード],"XXX",0,1)&amp;
"_"&amp;
商品マスタ[[#This Row],[シリアル]]&amp;
"_"&amp;
TEXT(COUNTIFS(商品マスタ!$C$3:C1108,商品マスタ[[#This Row],[仕入先]],商品マスタ!$E$3:E1108,商品マスタ[[#This Row],[商品名]]), "00")</f>
        <v>PRD_SNJ__0000_00</v>
      </c>
      <c r="E1108" s="87"/>
      <c r="F1108" s="87">
        <f>IF(COUNTIFS($C$3:C1108,商品マスタ[[#This Row],[仕入先]],$E$3:E1108,商品マスタ[[#This Row],[商品名]]) = 1, 1,0)</f>
        <v>0</v>
      </c>
      <c r="G1108" s="133" t="str">
        <f>TEXT(SUMIF($C$3:C1108,商品マスタ[[#This Row],[仕入先]],$F$3:F1108), "0000")</f>
        <v>0000</v>
      </c>
      <c r="H1108" s="87"/>
      <c r="I1108" s="87"/>
      <c r="J1108" s="87"/>
      <c r="K1108" s="87"/>
      <c r="L1108" s="134"/>
      <c r="M1108" s="157"/>
      <c r="N1108" s="134"/>
      <c r="O1108" s="135" t="str">
        <f>IF(COUNT(商品マスタ[[#This Row],[参考上代
（税込)]]) &gt; 0, (商品マスタ[[#This Row],[参考上代
（税込)]]-商品マスタ[[#This Row],[国内定価
（15％）]])/(商品マスタ[[#This Row],[参考上代
（税込)]]/1.08), "")</f>
        <v/>
      </c>
      <c r="P1108" s="136">
        <v>0.1</v>
      </c>
      <c r="Q1108" s="134">
        <f>商品マスタ[[#This Row],[仕入
単価]]*商品マスタ[[#This Row],[標準国内送料率]]</f>
        <v>0</v>
      </c>
      <c r="R1108" s="134"/>
      <c r="S1108" s="134">
        <f>IF(ISBLANK(商品マスタ[[#This Row],[実績
国内送料]]),商品マスタ[[#This Row],[標準国内送料]],)</f>
        <v>0</v>
      </c>
      <c r="T1108" s="134">
        <f>商品マスタ[[#This Row],[仕入
単価]]+商品マスタ[[#This Row],[国内送料]]</f>
        <v>0</v>
      </c>
      <c r="U1108" s="134">
        <f>ROUNDUP(商品マスタ[[#This Row],[仕入単価+国内送料]]/0.8,-1)</f>
        <v>0</v>
      </c>
      <c r="V1108" s="134">
        <f>商品マスタ[[#This Row],[海外定価
（20％）]]-商品マスタ[[#This Row],[仕入単価+国内送料]]</f>
        <v>0</v>
      </c>
      <c r="W1108" s="87">
        <f>ROUNDUP(商品マスタ[[#This Row],[仕入単価+国内送料]]/0.85,-1)</f>
        <v>0</v>
      </c>
      <c r="X1108" s="134">
        <f>商品マスタ[[#This Row],[国内定価
（15％）]]-商品マスタ[[#This Row],[仕入単価+国内送料]]</f>
        <v>0</v>
      </c>
      <c r="Y1108" s="139"/>
      <c r="Z1108" s="87"/>
      <c r="AA1108" s="87"/>
      <c r="AB1108" s="87"/>
      <c r="AC1108" s="140"/>
      <c r="AD1108" s="87"/>
      <c r="AE1108" s="87"/>
      <c r="AF1108" s="158"/>
      <c r="AG1108" s="141"/>
    </row>
    <row r="1109" spans="1:33" ht="15.75" customHeight="1">
      <c r="A1109" s="166"/>
      <c r="B1109" s="167"/>
      <c r="C1109" s="167"/>
      <c r="D1109" s="143" t="str">
        <f>"PRD_SNJ_"&amp;
_xlfn.XLOOKUP(商品マスタ[[#This Row],[仕入先]],テーブル1[仕入先名],テーブル1[仕入先コード],"XXX",0,1)&amp;
"_"&amp;
商品マスタ[[#This Row],[シリアル]]&amp;
"_"&amp;
TEXT(COUNTIFS(商品マスタ!$C$3:C1109,商品マスタ[[#This Row],[仕入先]],商品マスタ!$E$3:E1109,商品マスタ[[#This Row],[商品名]]), "00")</f>
        <v>PRD_SNJ__0000_00</v>
      </c>
      <c r="E1109" s="87"/>
      <c r="F1109" s="87">
        <f>IF(COUNTIFS($C$3:C1109,商品マスタ[[#This Row],[仕入先]],$E$3:E1109,商品マスタ[[#This Row],[商品名]]) = 1, 1,0)</f>
        <v>0</v>
      </c>
      <c r="G1109" s="133" t="str">
        <f>TEXT(SUMIF($C$3:C1109,商品マスタ[[#This Row],[仕入先]],$F$3:F1109), "0000")</f>
        <v>0000</v>
      </c>
      <c r="H1109" s="87"/>
      <c r="I1109" s="87"/>
      <c r="J1109" s="87"/>
      <c r="K1109" s="87"/>
      <c r="L1109" s="134"/>
      <c r="M1109" s="157"/>
      <c r="N1109" s="134"/>
      <c r="O1109" s="135" t="str">
        <f>IF(COUNT(商品マスタ[[#This Row],[参考上代
（税込)]]) &gt; 0, (商品マスタ[[#This Row],[参考上代
（税込)]]-商品マスタ[[#This Row],[国内定価
（15％）]])/(商品マスタ[[#This Row],[参考上代
（税込)]]/1.08), "")</f>
        <v/>
      </c>
      <c r="P1109" s="136">
        <v>0.1</v>
      </c>
      <c r="Q1109" s="134">
        <f>商品マスタ[[#This Row],[仕入
単価]]*商品マスタ[[#This Row],[標準国内送料率]]</f>
        <v>0</v>
      </c>
      <c r="R1109" s="134"/>
      <c r="S1109" s="134">
        <f>IF(ISBLANK(商品マスタ[[#This Row],[実績
国内送料]]),商品マスタ[[#This Row],[標準国内送料]],)</f>
        <v>0</v>
      </c>
      <c r="T1109" s="134">
        <f>商品マスタ[[#This Row],[仕入
単価]]+商品マスタ[[#This Row],[国内送料]]</f>
        <v>0</v>
      </c>
      <c r="U1109" s="134">
        <f>ROUNDUP(商品マスタ[[#This Row],[仕入単価+国内送料]]/0.8,-1)</f>
        <v>0</v>
      </c>
      <c r="V1109" s="134">
        <f>商品マスタ[[#This Row],[海外定価
（20％）]]-商品マスタ[[#This Row],[仕入単価+国内送料]]</f>
        <v>0</v>
      </c>
      <c r="W1109" s="87">
        <f>ROUNDUP(商品マスタ[[#This Row],[仕入単価+国内送料]]/0.85,-1)</f>
        <v>0</v>
      </c>
      <c r="X1109" s="134">
        <f>商品マスタ[[#This Row],[国内定価
（15％）]]-商品マスタ[[#This Row],[仕入単価+国内送料]]</f>
        <v>0</v>
      </c>
      <c r="Y1109" s="139"/>
      <c r="Z1109" s="87"/>
      <c r="AA1109" s="87"/>
      <c r="AB1109" s="87"/>
      <c r="AC1109" s="140"/>
      <c r="AD1109" s="87"/>
      <c r="AE1109" s="87"/>
      <c r="AF1109" s="158"/>
      <c r="AG1109" s="141"/>
    </row>
    <row r="1110" spans="1:33" ht="15.75" customHeight="1">
      <c r="A1110" s="166"/>
      <c r="B1110" s="167"/>
      <c r="C1110" s="167"/>
      <c r="D1110" s="143" t="str">
        <f>"PRD_SNJ_"&amp;
_xlfn.XLOOKUP(商品マスタ[[#This Row],[仕入先]],テーブル1[仕入先名],テーブル1[仕入先コード],"XXX",0,1)&amp;
"_"&amp;
商品マスタ[[#This Row],[シリアル]]&amp;
"_"&amp;
TEXT(COUNTIFS(商品マスタ!$C$3:C1110,商品マスタ[[#This Row],[仕入先]],商品マスタ!$E$3:E1110,商品マスタ[[#This Row],[商品名]]), "00")</f>
        <v>PRD_SNJ__0000_00</v>
      </c>
      <c r="E1110" s="87"/>
      <c r="F1110" s="87">
        <f>IF(COUNTIFS($C$3:C1110,商品マスタ[[#This Row],[仕入先]],$E$3:E1110,商品マスタ[[#This Row],[商品名]]) = 1, 1,0)</f>
        <v>0</v>
      </c>
      <c r="G1110" s="133" t="str">
        <f>TEXT(SUMIF($C$3:C1110,商品マスタ[[#This Row],[仕入先]],$F$3:F1110), "0000")</f>
        <v>0000</v>
      </c>
      <c r="H1110" s="87"/>
      <c r="I1110" s="87"/>
      <c r="J1110" s="87"/>
      <c r="K1110" s="87"/>
      <c r="L1110" s="134"/>
      <c r="M1110" s="157"/>
      <c r="N1110" s="134"/>
      <c r="O1110" s="135" t="str">
        <f>IF(COUNT(商品マスタ[[#This Row],[参考上代
（税込)]]) &gt; 0, (商品マスタ[[#This Row],[参考上代
（税込)]]-商品マスタ[[#This Row],[国内定価
（15％）]])/(商品マスタ[[#This Row],[参考上代
（税込)]]/1.08), "")</f>
        <v/>
      </c>
      <c r="P1110" s="136">
        <v>0.1</v>
      </c>
      <c r="Q1110" s="134">
        <f>商品マスタ[[#This Row],[仕入
単価]]*商品マスタ[[#This Row],[標準国内送料率]]</f>
        <v>0</v>
      </c>
      <c r="R1110" s="134"/>
      <c r="S1110" s="134">
        <f>IF(ISBLANK(商品マスタ[[#This Row],[実績
国内送料]]),商品マスタ[[#This Row],[標準国内送料]],)</f>
        <v>0</v>
      </c>
      <c r="T1110" s="134">
        <f>商品マスタ[[#This Row],[仕入
単価]]+商品マスタ[[#This Row],[国内送料]]</f>
        <v>0</v>
      </c>
      <c r="U1110" s="134">
        <f>ROUNDUP(商品マスタ[[#This Row],[仕入単価+国内送料]]/0.8,-1)</f>
        <v>0</v>
      </c>
      <c r="V1110" s="134">
        <f>商品マスタ[[#This Row],[海外定価
（20％）]]-商品マスタ[[#This Row],[仕入単価+国内送料]]</f>
        <v>0</v>
      </c>
      <c r="W1110" s="87">
        <f>ROUNDUP(商品マスタ[[#This Row],[仕入単価+国内送料]]/0.85,-1)</f>
        <v>0</v>
      </c>
      <c r="X1110" s="134">
        <f>商品マスタ[[#This Row],[国内定価
（15％）]]-商品マスタ[[#This Row],[仕入単価+国内送料]]</f>
        <v>0</v>
      </c>
      <c r="Y1110" s="139"/>
      <c r="Z1110" s="87"/>
      <c r="AA1110" s="87"/>
      <c r="AB1110" s="87"/>
      <c r="AC1110" s="140"/>
      <c r="AD1110" s="87"/>
      <c r="AE1110" s="87"/>
      <c r="AF1110" s="158"/>
      <c r="AG1110" s="141"/>
    </row>
    <row r="1111" spans="1:33" ht="15.75" customHeight="1">
      <c r="A1111" s="166"/>
      <c r="B1111" s="167"/>
      <c r="C1111" s="167"/>
      <c r="D1111" s="143" t="str">
        <f>"PRD_SNJ_"&amp;
_xlfn.XLOOKUP(商品マスタ[[#This Row],[仕入先]],テーブル1[仕入先名],テーブル1[仕入先コード],"XXX",0,1)&amp;
"_"&amp;
商品マスタ[[#This Row],[シリアル]]&amp;
"_"&amp;
TEXT(COUNTIFS(商品マスタ!$C$3:C1111,商品マスタ[[#This Row],[仕入先]],商品マスタ!$E$3:E1111,商品マスタ[[#This Row],[商品名]]), "00")</f>
        <v>PRD_SNJ__0000_00</v>
      </c>
      <c r="E1111" s="87"/>
      <c r="F1111" s="87">
        <f>IF(COUNTIFS($C$3:C1111,商品マスタ[[#This Row],[仕入先]],$E$3:E1111,商品マスタ[[#This Row],[商品名]]) = 1, 1,0)</f>
        <v>0</v>
      </c>
      <c r="G1111" s="133" t="str">
        <f>TEXT(SUMIF($C$3:C1111,商品マスタ[[#This Row],[仕入先]],$F$3:F1111), "0000")</f>
        <v>0000</v>
      </c>
      <c r="H1111" s="87"/>
      <c r="I1111" s="87"/>
      <c r="J1111" s="87"/>
      <c r="K1111" s="87"/>
      <c r="L1111" s="134"/>
      <c r="M1111" s="157"/>
      <c r="N1111" s="134"/>
      <c r="O1111" s="135" t="str">
        <f>IF(COUNT(商品マスタ[[#This Row],[参考上代
（税込)]]) &gt; 0, (商品マスタ[[#This Row],[参考上代
（税込)]]-商品マスタ[[#This Row],[国内定価
（15％）]])/(商品マスタ[[#This Row],[参考上代
（税込)]]/1.08), "")</f>
        <v/>
      </c>
      <c r="P1111" s="136">
        <v>0.1</v>
      </c>
      <c r="Q1111" s="134">
        <f>商品マスタ[[#This Row],[仕入
単価]]*商品マスタ[[#This Row],[標準国内送料率]]</f>
        <v>0</v>
      </c>
      <c r="R1111" s="134"/>
      <c r="S1111" s="134">
        <f>IF(ISBLANK(商品マスタ[[#This Row],[実績
国内送料]]),商品マスタ[[#This Row],[標準国内送料]],)</f>
        <v>0</v>
      </c>
      <c r="T1111" s="134">
        <f>商品マスタ[[#This Row],[仕入
単価]]+商品マスタ[[#This Row],[国内送料]]</f>
        <v>0</v>
      </c>
      <c r="U1111" s="134">
        <f>ROUNDUP(商品マスタ[[#This Row],[仕入単価+国内送料]]/0.8,-1)</f>
        <v>0</v>
      </c>
      <c r="V1111" s="134">
        <f>商品マスタ[[#This Row],[海外定価
（20％）]]-商品マスタ[[#This Row],[仕入単価+国内送料]]</f>
        <v>0</v>
      </c>
      <c r="W1111" s="87">
        <f>ROUNDUP(商品マスタ[[#This Row],[仕入単価+国内送料]]/0.85,-1)</f>
        <v>0</v>
      </c>
      <c r="X1111" s="134">
        <f>商品マスタ[[#This Row],[国内定価
（15％）]]-商品マスタ[[#This Row],[仕入単価+国内送料]]</f>
        <v>0</v>
      </c>
      <c r="Y1111" s="139"/>
      <c r="Z1111" s="87"/>
      <c r="AA1111" s="87"/>
      <c r="AB1111" s="87"/>
      <c r="AC1111" s="140"/>
      <c r="AD1111" s="87"/>
      <c r="AE1111" s="87"/>
      <c r="AF1111" s="158"/>
      <c r="AG1111" s="141"/>
    </row>
    <row r="1112" spans="1:33" ht="15.75" customHeight="1">
      <c r="A1112" s="166"/>
      <c r="B1112" s="167"/>
      <c r="C1112" s="167"/>
      <c r="D1112" s="143" t="str">
        <f>"PRD_SNJ_"&amp;
_xlfn.XLOOKUP(商品マスタ[[#This Row],[仕入先]],テーブル1[仕入先名],テーブル1[仕入先コード],"XXX",0,1)&amp;
"_"&amp;
商品マスタ[[#This Row],[シリアル]]&amp;
"_"&amp;
TEXT(COUNTIFS(商品マスタ!$C$3:C1112,商品マスタ[[#This Row],[仕入先]],商品マスタ!$E$3:E1112,商品マスタ[[#This Row],[商品名]]), "00")</f>
        <v>PRD_SNJ__0000_00</v>
      </c>
      <c r="E1112" s="87"/>
      <c r="F1112" s="87">
        <f>IF(COUNTIFS($C$3:C1112,商品マスタ[[#This Row],[仕入先]],$E$3:E1112,商品マスタ[[#This Row],[商品名]]) = 1, 1,0)</f>
        <v>0</v>
      </c>
      <c r="G1112" s="133" t="str">
        <f>TEXT(SUMIF($C$3:C1112,商品マスタ[[#This Row],[仕入先]],$F$3:F1112), "0000")</f>
        <v>0000</v>
      </c>
      <c r="H1112" s="87"/>
      <c r="I1112" s="87"/>
      <c r="J1112" s="87"/>
      <c r="K1112" s="87"/>
      <c r="L1112" s="134"/>
      <c r="M1112" s="157"/>
      <c r="N1112" s="134"/>
      <c r="O1112" s="135" t="str">
        <f>IF(COUNT(商品マスタ[[#This Row],[参考上代
（税込)]]) &gt; 0, (商品マスタ[[#This Row],[参考上代
（税込)]]-商品マスタ[[#This Row],[国内定価
（15％）]])/(商品マスタ[[#This Row],[参考上代
（税込)]]/1.08), "")</f>
        <v/>
      </c>
      <c r="P1112" s="136">
        <v>0.1</v>
      </c>
      <c r="Q1112" s="134">
        <f>商品マスタ[[#This Row],[仕入
単価]]*商品マスタ[[#This Row],[標準国内送料率]]</f>
        <v>0</v>
      </c>
      <c r="R1112" s="134"/>
      <c r="S1112" s="134">
        <f>IF(ISBLANK(商品マスタ[[#This Row],[実績
国内送料]]),商品マスタ[[#This Row],[標準国内送料]],)</f>
        <v>0</v>
      </c>
      <c r="T1112" s="134">
        <f>商品マスタ[[#This Row],[仕入
単価]]+商品マスタ[[#This Row],[国内送料]]</f>
        <v>0</v>
      </c>
      <c r="U1112" s="134">
        <f>ROUNDUP(商品マスタ[[#This Row],[仕入単価+国内送料]]/0.8,-1)</f>
        <v>0</v>
      </c>
      <c r="V1112" s="134">
        <f>商品マスタ[[#This Row],[海外定価
（20％）]]-商品マスタ[[#This Row],[仕入単価+国内送料]]</f>
        <v>0</v>
      </c>
      <c r="W1112" s="87">
        <f>ROUNDUP(商品マスタ[[#This Row],[仕入単価+国内送料]]/0.85,-1)</f>
        <v>0</v>
      </c>
      <c r="X1112" s="134">
        <f>商品マスタ[[#This Row],[国内定価
（15％）]]-商品マスタ[[#This Row],[仕入単価+国内送料]]</f>
        <v>0</v>
      </c>
      <c r="Y1112" s="139"/>
      <c r="Z1112" s="87"/>
      <c r="AA1112" s="87"/>
      <c r="AB1112" s="87"/>
      <c r="AC1112" s="140"/>
      <c r="AD1112" s="87"/>
      <c r="AE1112" s="87"/>
      <c r="AF1112" s="158"/>
      <c r="AG1112" s="141"/>
    </row>
    <row r="1113" spans="1:33" ht="15.75" customHeight="1">
      <c r="A1113" s="166"/>
      <c r="B1113" s="167"/>
      <c r="C1113" s="167"/>
      <c r="D1113" s="143" t="str">
        <f>"PRD_SNJ_"&amp;
_xlfn.XLOOKUP(商品マスタ[[#This Row],[仕入先]],テーブル1[仕入先名],テーブル1[仕入先コード],"XXX",0,1)&amp;
"_"&amp;
商品マスタ[[#This Row],[シリアル]]&amp;
"_"&amp;
TEXT(COUNTIFS(商品マスタ!$C$3:C1113,商品マスタ[[#This Row],[仕入先]],商品マスタ!$E$3:E1113,商品マスタ[[#This Row],[商品名]]), "00")</f>
        <v>PRD_SNJ__0000_00</v>
      </c>
      <c r="E1113" s="87"/>
      <c r="F1113" s="87">
        <f>IF(COUNTIFS($C$3:C1113,商品マスタ[[#This Row],[仕入先]],$E$3:E1113,商品マスタ[[#This Row],[商品名]]) = 1, 1,0)</f>
        <v>0</v>
      </c>
      <c r="G1113" s="133" t="str">
        <f>TEXT(SUMIF($C$3:C1113,商品マスタ[[#This Row],[仕入先]],$F$3:F1113), "0000")</f>
        <v>0000</v>
      </c>
      <c r="H1113" s="87"/>
      <c r="I1113" s="87"/>
      <c r="J1113" s="87"/>
      <c r="K1113" s="87"/>
      <c r="L1113" s="134"/>
      <c r="M1113" s="157"/>
      <c r="N1113" s="134"/>
      <c r="O1113" s="135" t="str">
        <f>IF(COUNT(商品マスタ[[#This Row],[参考上代
（税込)]]) &gt; 0, (商品マスタ[[#This Row],[参考上代
（税込)]]-商品マスタ[[#This Row],[国内定価
（15％）]])/(商品マスタ[[#This Row],[参考上代
（税込)]]/1.08), "")</f>
        <v/>
      </c>
      <c r="P1113" s="136">
        <v>0.1</v>
      </c>
      <c r="Q1113" s="134">
        <f>商品マスタ[[#This Row],[仕入
単価]]*商品マスタ[[#This Row],[標準国内送料率]]</f>
        <v>0</v>
      </c>
      <c r="R1113" s="134"/>
      <c r="S1113" s="134">
        <f>IF(ISBLANK(商品マスタ[[#This Row],[実績
国内送料]]),商品マスタ[[#This Row],[標準国内送料]],)</f>
        <v>0</v>
      </c>
      <c r="T1113" s="134">
        <f>商品マスタ[[#This Row],[仕入
単価]]+商品マスタ[[#This Row],[国内送料]]</f>
        <v>0</v>
      </c>
      <c r="U1113" s="134">
        <f>ROUNDUP(商品マスタ[[#This Row],[仕入単価+国内送料]]/0.8,-1)</f>
        <v>0</v>
      </c>
      <c r="V1113" s="134">
        <f>商品マスタ[[#This Row],[海外定価
（20％）]]-商品マスタ[[#This Row],[仕入単価+国内送料]]</f>
        <v>0</v>
      </c>
      <c r="W1113" s="87">
        <f>ROUNDUP(商品マスタ[[#This Row],[仕入単価+国内送料]]/0.85,-1)</f>
        <v>0</v>
      </c>
      <c r="X1113" s="134">
        <f>商品マスタ[[#This Row],[国内定価
（15％）]]-商品マスタ[[#This Row],[仕入単価+国内送料]]</f>
        <v>0</v>
      </c>
      <c r="Y1113" s="139"/>
      <c r="Z1113" s="87"/>
      <c r="AA1113" s="87"/>
      <c r="AB1113" s="87"/>
      <c r="AC1113" s="140"/>
      <c r="AD1113" s="87"/>
      <c r="AE1113" s="87"/>
      <c r="AF1113" s="158"/>
      <c r="AG1113" s="141"/>
    </row>
    <row r="1114" spans="1:33" ht="15.75" customHeight="1">
      <c r="A1114" s="166"/>
      <c r="B1114" s="167"/>
      <c r="C1114" s="167"/>
      <c r="D1114" s="143" t="str">
        <f>"PRD_SNJ_"&amp;
_xlfn.XLOOKUP(商品マスタ[[#This Row],[仕入先]],テーブル1[仕入先名],テーブル1[仕入先コード],"XXX",0,1)&amp;
"_"&amp;
商品マスタ[[#This Row],[シリアル]]&amp;
"_"&amp;
TEXT(COUNTIFS(商品マスタ!$C$3:C1114,商品マスタ[[#This Row],[仕入先]],商品マスタ!$E$3:E1114,商品マスタ[[#This Row],[商品名]]), "00")</f>
        <v>PRD_SNJ__0000_00</v>
      </c>
      <c r="E1114" s="87"/>
      <c r="F1114" s="87">
        <f>IF(COUNTIFS($C$3:C1114,商品マスタ[[#This Row],[仕入先]],$E$3:E1114,商品マスタ[[#This Row],[商品名]]) = 1, 1,0)</f>
        <v>0</v>
      </c>
      <c r="G1114" s="133" t="str">
        <f>TEXT(SUMIF($C$3:C1114,商品マスタ[[#This Row],[仕入先]],$F$3:F1114), "0000")</f>
        <v>0000</v>
      </c>
      <c r="H1114" s="87"/>
      <c r="I1114" s="87"/>
      <c r="J1114" s="87"/>
      <c r="K1114" s="87"/>
      <c r="L1114" s="134"/>
      <c r="M1114" s="157"/>
      <c r="N1114" s="134"/>
      <c r="O1114" s="135" t="str">
        <f>IF(COUNT(商品マスタ[[#This Row],[参考上代
（税込)]]) &gt; 0, (商品マスタ[[#This Row],[参考上代
（税込)]]-商品マスタ[[#This Row],[国内定価
（15％）]])/(商品マスタ[[#This Row],[参考上代
（税込)]]/1.08), "")</f>
        <v/>
      </c>
      <c r="P1114" s="136">
        <v>0.1</v>
      </c>
      <c r="Q1114" s="134">
        <f>商品マスタ[[#This Row],[仕入
単価]]*商品マスタ[[#This Row],[標準国内送料率]]</f>
        <v>0</v>
      </c>
      <c r="R1114" s="134"/>
      <c r="S1114" s="134">
        <f>IF(ISBLANK(商品マスタ[[#This Row],[実績
国内送料]]),商品マスタ[[#This Row],[標準国内送料]],)</f>
        <v>0</v>
      </c>
      <c r="T1114" s="134">
        <f>商品マスタ[[#This Row],[仕入
単価]]+商品マスタ[[#This Row],[国内送料]]</f>
        <v>0</v>
      </c>
      <c r="U1114" s="134">
        <f>ROUNDUP(商品マスタ[[#This Row],[仕入単価+国内送料]]/0.8,-1)</f>
        <v>0</v>
      </c>
      <c r="V1114" s="134">
        <f>商品マスタ[[#This Row],[海外定価
（20％）]]-商品マスタ[[#This Row],[仕入単価+国内送料]]</f>
        <v>0</v>
      </c>
      <c r="W1114" s="87">
        <f>ROUNDUP(商品マスタ[[#This Row],[仕入単価+国内送料]]/0.85,-1)</f>
        <v>0</v>
      </c>
      <c r="X1114" s="134">
        <f>商品マスタ[[#This Row],[国内定価
（15％）]]-商品マスタ[[#This Row],[仕入単価+国内送料]]</f>
        <v>0</v>
      </c>
      <c r="Y1114" s="139"/>
      <c r="Z1114" s="87"/>
      <c r="AA1114" s="87"/>
      <c r="AB1114" s="87"/>
      <c r="AC1114" s="140"/>
      <c r="AD1114" s="87"/>
      <c r="AE1114" s="87"/>
      <c r="AF1114" s="158"/>
      <c r="AG1114" s="141"/>
    </row>
    <row r="1115" spans="1:33" ht="15.75" customHeight="1">
      <c r="A1115" s="166"/>
      <c r="B1115" s="167"/>
      <c r="C1115" s="167"/>
      <c r="D1115" s="143" t="str">
        <f>"PRD_SNJ_"&amp;
_xlfn.XLOOKUP(商品マスタ[[#This Row],[仕入先]],テーブル1[仕入先名],テーブル1[仕入先コード],"XXX",0,1)&amp;
"_"&amp;
商品マスタ[[#This Row],[シリアル]]&amp;
"_"&amp;
TEXT(COUNTIFS(商品マスタ!$C$3:C1115,商品マスタ[[#This Row],[仕入先]],商品マスタ!$E$3:E1115,商品マスタ[[#This Row],[商品名]]), "00")</f>
        <v>PRD_SNJ__0000_00</v>
      </c>
      <c r="E1115" s="87"/>
      <c r="F1115" s="87">
        <f>IF(COUNTIFS($C$3:C1115,商品マスタ[[#This Row],[仕入先]],$E$3:E1115,商品マスタ[[#This Row],[商品名]]) = 1, 1,0)</f>
        <v>0</v>
      </c>
      <c r="G1115" s="133" t="str">
        <f>TEXT(SUMIF($C$3:C1115,商品マスタ[[#This Row],[仕入先]],$F$3:F1115), "0000")</f>
        <v>0000</v>
      </c>
      <c r="H1115" s="87"/>
      <c r="I1115" s="87"/>
      <c r="J1115" s="87"/>
      <c r="K1115" s="87"/>
      <c r="L1115" s="134"/>
      <c r="M1115" s="157"/>
      <c r="N1115" s="134"/>
      <c r="O1115" s="135" t="str">
        <f>IF(COUNT(商品マスタ[[#This Row],[参考上代
（税込)]]) &gt; 0, (商品マスタ[[#This Row],[参考上代
（税込)]]-商品マスタ[[#This Row],[国内定価
（15％）]])/(商品マスタ[[#This Row],[参考上代
（税込)]]/1.08), "")</f>
        <v/>
      </c>
      <c r="P1115" s="136">
        <v>0.1</v>
      </c>
      <c r="Q1115" s="134">
        <f>商品マスタ[[#This Row],[仕入
単価]]*商品マスタ[[#This Row],[標準国内送料率]]</f>
        <v>0</v>
      </c>
      <c r="R1115" s="134"/>
      <c r="S1115" s="134">
        <f>IF(ISBLANK(商品マスタ[[#This Row],[実績
国内送料]]),商品マスタ[[#This Row],[標準国内送料]],)</f>
        <v>0</v>
      </c>
      <c r="T1115" s="134">
        <f>商品マスタ[[#This Row],[仕入
単価]]+商品マスタ[[#This Row],[国内送料]]</f>
        <v>0</v>
      </c>
      <c r="U1115" s="134">
        <f>ROUNDUP(商品マスタ[[#This Row],[仕入単価+国内送料]]/0.8,-1)</f>
        <v>0</v>
      </c>
      <c r="V1115" s="134">
        <f>商品マスタ[[#This Row],[海外定価
（20％）]]-商品マスタ[[#This Row],[仕入単価+国内送料]]</f>
        <v>0</v>
      </c>
      <c r="W1115" s="87">
        <f>ROUNDUP(商品マスタ[[#This Row],[仕入単価+国内送料]]/0.85,-1)</f>
        <v>0</v>
      </c>
      <c r="X1115" s="134">
        <f>商品マスタ[[#This Row],[国内定価
（15％）]]-商品マスタ[[#This Row],[仕入単価+国内送料]]</f>
        <v>0</v>
      </c>
      <c r="Y1115" s="139"/>
      <c r="Z1115" s="87"/>
      <c r="AA1115" s="87"/>
      <c r="AB1115" s="87"/>
      <c r="AC1115" s="140"/>
      <c r="AD1115" s="87"/>
      <c r="AE1115" s="87"/>
      <c r="AF1115" s="158"/>
      <c r="AG1115" s="141"/>
    </row>
    <row r="1116" spans="1:33" ht="15.75" customHeight="1">
      <c r="A1116" s="166"/>
      <c r="B1116" s="167"/>
      <c r="C1116" s="167"/>
      <c r="D1116" s="143" t="str">
        <f>"PRD_SNJ_"&amp;
_xlfn.XLOOKUP(商品マスタ[[#This Row],[仕入先]],テーブル1[仕入先名],テーブル1[仕入先コード],"XXX",0,1)&amp;
"_"&amp;
商品マスタ[[#This Row],[シリアル]]&amp;
"_"&amp;
TEXT(COUNTIFS(商品マスタ!$C$3:C1116,商品マスタ[[#This Row],[仕入先]],商品マスタ!$E$3:E1116,商品マスタ[[#This Row],[商品名]]), "00")</f>
        <v>PRD_SNJ__0000_00</v>
      </c>
      <c r="E1116" s="87"/>
      <c r="F1116" s="87">
        <f>IF(COUNTIFS($C$3:C1116,商品マスタ[[#This Row],[仕入先]],$E$3:E1116,商品マスタ[[#This Row],[商品名]]) = 1, 1,0)</f>
        <v>0</v>
      </c>
      <c r="G1116" s="133" t="str">
        <f>TEXT(SUMIF($C$3:C1116,商品マスタ[[#This Row],[仕入先]],$F$3:F1116), "0000")</f>
        <v>0000</v>
      </c>
      <c r="H1116" s="87"/>
      <c r="I1116" s="87"/>
      <c r="J1116" s="87"/>
      <c r="K1116" s="87"/>
      <c r="L1116" s="134"/>
      <c r="M1116" s="157"/>
      <c r="N1116" s="134"/>
      <c r="O1116" s="135" t="str">
        <f>IF(COUNT(商品マスタ[[#This Row],[参考上代
（税込)]]) &gt; 0, (商品マスタ[[#This Row],[参考上代
（税込)]]-商品マスタ[[#This Row],[国内定価
（15％）]])/(商品マスタ[[#This Row],[参考上代
（税込)]]/1.08), "")</f>
        <v/>
      </c>
      <c r="P1116" s="136">
        <v>0.1</v>
      </c>
      <c r="Q1116" s="134">
        <f>商品マスタ[[#This Row],[仕入
単価]]*商品マスタ[[#This Row],[標準国内送料率]]</f>
        <v>0</v>
      </c>
      <c r="R1116" s="134"/>
      <c r="S1116" s="134">
        <f>IF(ISBLANK(商品マスタ[[#This Row],[実績
国内送料]]),商品マスタ[[#This Row],[標準国内送料]],)</f>
        <v>0</v>
      </c>
      <c r="T1116" s="134">
        <f>商品マスタ[[#This Row],[仕入
単価]]+商品マスタ[[#This Row],[国内送料]]</f>
        <v>0</v>
      </c>
      <c r="U1116" s="134">
        <f>ROUNDUP(商品マスタ[[#This Row],[仕入単価+国内送料]]/0.8,-1)</f>
        <v>0</v>
      </c>
      <c r="V1116" s="134">
        <f>商品マスタ[[#This Row],[海外定価
（20％）]]-商品マスタ[[#This Row],[仕入単価+国内送料]]</f>
        <v>0</v>
      </c>
      <c r="W1116" s="87">
        <f>ROUNDUP(商品マスタ[[#This Row],[仕入単価+国内送料]]/0.85,-1)</f>
        <v>0</v>
      </c>
      <c r="X1116" s="134">
        <f>商品マスタ[[#This Row],[国内定価
（15％）]]-商品マスタ[[#This Row],[仕入単価+国内送料]]</f>
        <v>0</v>
      </c>
      <c r="Y1116" s="139"/>
      <c r="Z1116" s="87"/>
      <c r="AA1116" s="87"/>
      <c r="AB1116" s="87"/>
      <c r="AC1116" s="140"/>
      <c r="AD1116" s="87"/>
      <c r="AE1116" s="87"/>
      <c r="AF1116" s="158"/>
      <c r="AG1116" s="141"/>
    </row>
    <row r="1117" spans="1:33" ht="15.75" customHeight="1">
      <c r="A1117" s="166"/>
      <c r="B1117" s="167"/>
      <c r="C1117" s="167"/>
      <c r="D1117" s="143" t="str">
        <f>"PRD_SNJ_"&amp;
_xlfn.XLOOKUP(商品マスタ[[#This Row],[仕入先]],テーブル1[仕入先名],テーブル1[仕入先コード],"XXX",0,1)&amp;
"_"&amp;
商品マスタ[[#This Row],[シリアル]]&amp;
"_"&amp;
TEXT(COUNTIFS(商品マスタ!$C$3:C1117,商品マスタ[[#This Row],[仕入先]],商品マスタ!$E$3:E1117,商品マスタ[[#This Row],[商品名]]), "00")</f>
        <v>PRD_SNJ__0000_00</v>
      </c>
      <c r="E1117" s="87"/>
      <c r="F1117" s="87">
        <f>IF(COUNTIFS($C$3:C1117,商品マスタ[[#This Row],[仕入先]],$E$3:E1117,商品マスタ[[#This Row],[商品名]]) = 1, 1,0)</f>
        <v>0</v>
      </c>
      <c r="G1117" s="133" t="str">
        <f>TEXT(SUMIF($C$3:C1117,商品マスタ[[#This Row],[仕入先]],$F$3:F1117), "0000")</f>
        <v>0000</v>
      </c>
      <c r="H1117" s="87"/>
      <c r="I1117" s="87"/>
      <c r="J1117" s="87"/>
      <c r="K1117" s="87"/>
      <c r="L1117" s="134"/>
      <c r="M1117" s="157"/>
      <c r="N1117" s="134"/>
      <c r="O1117" s="135" t="str">
        <f>IF(COUNT(商品マスタ[[#This Row],[参考上代
（税込)]]) &gt; 0, (商品マスタ[[#This Row],[参考上代
（税込)]]-商品マスタ[[#This Row],[国内定価
（15％）]])/(商品マスタ[[#This Row],[参考上代
（税込)]]/1.08), "")</f>
        <v/>
      </c>
      <c r="P1117" s="136">
        <v>0.1</v>
      </c>
      <c r="Q1117" s="134">
        <f>商品マスタ[[#This Row],[仕入
単価]]*商品マスタ[[#This Row],[標準国内送料率]]</f>
        <v>0</v>
      </c>
      <c r="R1117" s="134"/>
      <c r="S1117" s="134">
        <f>IF(ISBLANK(商品マスタ[[#This Row],[実績
国内送料]]),商品マスタ[[#This Row],[標準国内送料]],)</f>
        <v>0</v>
      </c>
      <c r="T1117" s="134">
        <f>商品マスタ[[#This Row],[仕入
単価]]+商品マスタ[[#This Row],[国内送料]]</f>
        <v>0</v>
      </c>
      <c r="U1117" s="134">
        <f>ROUNDUP(商品マスタ[[#This Row],[仕入単価+国内送料]]/0.8,-1)</f>
        <v>0</v>
      </c>
      <c r="V1117" s="134">
        <f>商品マスタ[[#This Row],[海外定価
（20％）]]-商品マスタ[[#This Row],[仕入単価+国内送料]]</f>
        <v>0</v>
      </c>
      <c r="W1117" s="87">
        <f>ROUNDUP(商品マスタ[[#This Row],[仕入単価+国内送料]]/0.85,-1)</f>
        <v>0</v>
      </c>
      <c r="X1117" s="134">
        <f>商品マスタ[[#This Row],[国内定価
（15％）]]-商品マスタ[[#This Row],[仕入単価+国内送料]]</f>
        <v>0</v>
      </c>
      <c r="Y1117" s="139"/>
      <c r="Z1117" s="87"/>
      <c r="AA1117" s="87"/>
      <c r="AB1117" s="87"/>
      <c r="AC1117" s="140"/>
      <c r="AD1117" s="87"/>
      <c r="AE1117" s="87"/>
      <c r="AF1117" s="158"/>
      <c r="AG1117" s="141"/>
    </row>
    <row r="1118" spans="1:33" ht="15.75" customHeight="1">
      <c r="A1118" s="166"/>
      <c r="B1118" s="167"/>
      <c r="C1118" s="167"/>
      <c r="D1118" s="143" t="str">
        <f>"PRD_SNJ_"&amp;
_xlfn.XLOOKUP(商品マスタ[[#This Row],[仕入先]],テーブル1[仕入先名],テーブル1[仕入先コード],"XXX",0,1)&amp;
"_"&amp;
商品マスタ[[#This Row],[シリアル]]&amp;
"_"&amp;
TEXT(COUNTIFS(商品マスタ!$C$3:C1118,商品マスタ[[#This Row],[仕入先]],商品マスタ!$E$3:E1118,商品マスタ[[#This Row],[商品名]]), "00")</f>
        <v>PRD_SNJ__0000_00</v>
      </c>
      <c r="E1118" s="87"/>
      <c r="F1118" s="87">
        <f>IF(COUNTIFS($C$3:C1118,商品マスタ[[#This Row],[仕入先]],$E$3:E1118,商品マスタ[[#This Row],[商品名]]) = 1, 1,0)</f>
        <v>0</v>
      </c>
      <c r="G1118" s="133" t="str">
        <f>TEXT(SUMIF($C$3:C1118,商品マスタ[[#This Row],[仕入先]],$F$3:F1118), "0000")</f>
        <v>0000</v>
      </c>
      <c r="H1118" s="87"/>
      <c r="I1118" s="87"/>
      <c r="J1118" s="87"/>
      <c r="K1118" s="87"/>
      <c r="L1118" s="134"/>
      <c r="M1118" s="157"/>
      <c r="N1118" s="134"/>
      <c r="O1118" s="135" t="str">
        <f>IF(COUNT(商品マスタ[[#This Row],[参考上代
（税込)]]) &gt; 0, (商品マスタ[[#This Row],[参考上代
（税込)]]-商品マスタ[[#This Row],[国内定価
（15％）]])/(商品マスタ[[#This Row],[参考上代
（税込)]]/1.08), "")</f>
        <v/>
      </c>
      <c r="P1118" s="136">
        <v>0.1</v>
      </c>
      <c r="Q1118" s="134">
        <f>商品マスタ[[#This Row],[仕入
単価]]*商品マスタ[[#This Row],[標準国内送料率]]</f>
        <v>0</v>
      </c>
      <c r="R1118" s="134"/>
      <c r="S1118" s="134">
        <f>IF(ISBLANK(商品マスタ[[#This Row],[実績
国内送料]]),商品マスタ[[#This Row],[標準国内送料]],)</f>
        <v>0</v>
      </c>
      <c r="T1118" s="134">
        <f>商品マスタ[[#This Row],[仕入
単価]]+商品マスタ[[#This Row],[国内送料]]</f>
        <v>0</v>
      </c>
      <c r="U1118" s="134">
        <f>ROUNDUP(商品マスタ[[#This Row],[仕入単価+国内送料]]/0.8,-1)</f>
        <v>0</v>
      </c>
      <c r="V1118" s="134">
        <f>商品マスタ[[#This Row],[海外定価
（20％）]]-商品マスタ[[#This Row],[仕入単価+国内送料]]</f>
        <v>0</v>
      </c>
      <c r="W1118" s="87">
        <f>ROUNDUP(商品マスタ[[#This Row],[仕入単価+国内送料]]/0.85,-1)</f>
        <v>0</v>
      </c>
      <c r="X1118" s="134">
        <f>商品マスタ[[#This Row],[国内定価
（15％）]]-商品マスタ[[#This Row],[仕入単価+国内送料]]</f>
        <v>0</v>
      </c>
      <c r="Y1118" s="139"/>
      <c r="Z1118" s="87"/>
      <c r="AA1118" s="87"/>
      <c r="AB1118" s="87"/>
      <c r="AC1118" s="140"/>
      <c r="AD1118" s="87"/>
      <c r="AE1118" s="87"/>
      <c r="AF1118" s="158"/>
      <c r="AG1118" s="141"/>
    </row>
    <row r="1119" spans="1:33" ht="15.75" customHeight="1">
      <c r="A1119" s="166"/>
      <c r="B1119" s="167"/>
      <c r="C1119" s="167"/>
      <c r="D1119" s="143" t="str">
        <f>"PRD_SNJ_"&amp;
_xlfn.XLOOKUP(商品マスタ[[#This Row],[仕入先]],テーブル1[仕入先名],テーブル1[仕入先コード],"XXX",0,1)&amp;
"_"&amp;
商品マスタ[[#This Row],[シリアル]]&amp;
"_"&amp;
TEXT(COUNTIFS(商品マスタ!$C$3:C1119,商品マスタ[[#This Row],[仕入先]],商品マスタ!$E$3:E1119,商品マスタ[[#This Row],[商品名]]), "00")</f>
        <v>PRD_SNJ__0000_00</v>
      </c>
      <c r="E1119" s="87"/>
      <c r="F1119" s="87">
        <f>IF(COUNTIFS($C$3:C1119,商品マスタ[[#This Row],[仕入先]],$E$3:E1119,商品マスタ[[#This Row],[商品名]]) = 1, 1,0)</f>
        <v>0</v>
      </c>
      <c r="G1119" s="133" t="str">
        <f>TEXT(SUMIF($C$3:C1119,商品マスタ[[#This Row],[仕入先]],$F$3:F1119), "0000")</f>
        <v>0000</v>
      </c>
      <c r="H1119" s="87"/>
      <c r="I1119" s="87"/>
      <c r="J1119" s="87"/>
      <c r="K1119" s="87"/>
      <c r="L1119" s="134"/>
      <c r="M1119" s="157"/>
      <c r="N1119" s="134"/>
      <c r="O1119" s="135" t="str">
        <f>IF(COUNT(商品マスタ[[#This Row],[参考上代
（税込)]]) &gt; 0, (商品マスタ[[#This Row],[参考上代
（税込)]]-商品マスタ[[#This Row],[国内定価
（15％）]])/(商品マスタ[[#This Row],[参考上代
（税込)]]/1.08), "")</f>
        <v/>
      </c>
      <c r="P1119" s="136">
        <v>0.1</v>
      </c>
      <c r="Q1119" s="134">
        <f>商品マスタ[[#This Row],[仕入
単価]]*商品マスタ[[#This Row],[標準国内送料率]]</f>
        <v>0</v>
      </c>
      <c r="R1119" s="134"/>
      <c r="S1119" s="134">
        <f>IF(ISBLANK(商品マスタ[[#This Row],[実績
国内送料]]),商品マスタ[[#This Row],[標準国内送料]],)</f>
        <v>0</v>
      </c>
      <c r="T1119" s="134">
        <f>商品マスタ[[#This Row],[仕入
単価]]+商品マスタ[[#This Row],[国内送料]]</f>
        <v>0</v>
      </c>
      <c r="U1119" s="134">
        <f>ROUNDUP(商品マスタ[[#This Row],[仕入単価+国内送料]]/0.8,-1)</f>
        <v>0</v>
      </c>
      <c r="V1119" s="134">
        <f>商品マスタ[[#This Row],[海外定価
（20％）]]-商品マスタ[[#This Row],[仕入単価+国内送料]]</f>
        <v>0</v>
      </c>
      <c r="W1119" s="87">
        <f>ROUNDUP(商品マスタ[[#This Row],[仕入単価+国内送料]]/0.85,-1)</f>
        <v>0</v>
      </c>
      <c r="X1119" s="134">
        <f>商品マスタ[[#This Row],[国内定価
（15％）]]-商品マスタ[[#This Row],[仕入単価+国内送料]]</f>
        <v>0</v>
      </c>
      <c r="Y1119" s="139"/>
      <c r="Z1119" s="87"/>
      <c r="AA1119" s="87"/>
      <c r="AB1119" s="87"/>
      <c r="AC1119" s="140"/>
      <c r="AD1119" s="87"/>
      <c r="AE1119" s="87"/>
      <c r="AF1119" s="158"/>
      <c r="AG1119" s="141"/>
    </row>
    <row r="1120" spans="1:33" ht="15.75" customHeight="1">
      <c r="A1120" s="166"/>
      <c r="B1120" s="167"/>
      <c r="C1120" s="167"/>
      <c r="D1120" s="143" t="str">
        <f>"PRD_SNJ_"&amp;
_xlfn.XLOOKUP(商品マスタ[[#This Row],[仕入先]],テーブル1[仕入先名],テーブル1[仕入先コード],"XXX",0,1)&amp;
"_"&amp;
商品マスタ[[#This Row],[シリアル]]&amp;
"_"&amp;
TEXT(COUNTIFS(商品マスタ!$C$3:C1120,商品マスタ[[#This Row],[仕入先]],商品マスタ!$E$3:E1120,商品マスタ[[#This Row],[商品名]]), "00")</f>
        <v>PRD_SNJ__0000_00</v>
      </c>
      <c r="E1120" s="87"/>
      <c r="F1120" s="87">
        <f>IF(COUNTIFS($C$3:C1120,商品マスタ[[#This Row],[仕入先]],$E$3:E1120,商品マスタ[[#This Row],[商品名]]) = 1, 1,0)</f>
        <v>0</v>
      </c>
      <c r="G1120" s="133" t="str">
        <f>TEXT(SUMIF($C$3:C1120,商品マスタ[[#This Row],[仕入先]],$F$3:F1120), "0000")</f>
        <v>0000</v>
      </c>
      <c r="H1120" s="87"/>
      <c r="I1120" s="87"/>
      <c r="J1120" s="87"/>
      <c r="K1120" s="87"/>
      <c r="L1120" s="134"/>
      <c r="M1120" s="157"/>
      <c r="N1120" s="134"/>
      <c r="O1120" s="135" t="str">
        <f>IF(COUNT(商品マスタ[[#This Row],[参考上代
（税込)]]) &gt; 0, (商品マスタ[[#This Row],[参考上代
（税込)]]-商品マスタ[[#This Row],[国内定価
（15％）]])/(商品マスタ[[#This Row],[参考上代
（税込)]]/1.08), "")</f>
        <v/>
      </c>
      <c r="P1120" s="136">
        <v>0.1</v>
      </c>
      <c r="Q1120" s="134">
        <f>商品マスタ[[#This Row],[仕入
単価]]*商品マスタ[[#This Row],[標準国内送料率]]</f>
        <v>0</v>
      </c>
      <c r="R1120" s="134"/>
      <c r="S1120" s="134">
        <f>IF(ISBLANK(商品マスタ[[#This Row],[実績
国内送料]]),商品マスタ[[#This Row],[標準国内送料]],)</f>
        <v>0</v>
      </c>
      <c r="T1120" s="134">
        <f>商品マスタ[[#This Row],[仕入
単価]]+商品マスタ[[#This Row],[国内送料]]</f>
        <v>0</v>
      </c>
      <c r="U1120" s="134">
        <f>ROUNDUP(商品マスタ[[#This Row],[仕入単価+国内送料]]/0.8,-1)</f>
        <v>0</v>
      </c>
      <c r="V1120" s="134">
        <f>商品マスタ[[#This Row],[海外定価
（20％）]]-商品マスタ[[#This Row],[仕入単価+国内送料]]</f>
        <v>0</v>
      </c>
      <c r="W1120" s="87">
        <f>ROUNDUP(商品マスタ[[#This Row],[仕入単価+国内送料]]/0.85,-1)</f>
        <v>0</v>
      </c>
      <c r="X1120" s="134">
        <f>商品マスタ[[#This Row],[国内定価
（15％）]]-商品マスタ[[#This Row],[仕入単価+国内送料]]</f>
        <v>0</v>
      </c>
      <c r="Y1120" s="139"/>
      <c r="Z1120" s="87"/>
      <c r="AA1120" s="87"/>
      <c r="AB1120" s="87"/>
      <c r="AC1120" s="140"/>
      <c r="AD1120" s="87"/>
      <c r="AE1120" s="87"/>
      <c r="AF1120" s="158"/>
      <c r="AG1120" s="141"/>
    </row>
    <row r="1121" spans="1:33" ht="15.75" customHeight="1">
      <c r="A1121" s="166"/>
      <c r="B1121" s="167"/>
      <c r="C1121" s="167"/>
      <c r="D1121" s="143" t="str">
        <f>"PRD_SNJ_"&amp;
_xlfn.XLOOKUP(商品マスタ[[#This Row],[仕入先]],テーブル1[仕入先名],テーブル1[仕入先コード],"XXX",0,1)&amp;
"_"&amp;
商品マスタ[[#This Row],[シリアル]]&amp;
"_"&amp;
TEXT(COUNTIFS(商品マスタ!$C$3:C1121,商品マスタ[[#This Row],[仕入先]],商品マスタ!$E$3:E1121,商品マスタ[[#This Row],[商品名]]), "00")</f>
        <v>PRD_SNJ__0000_00</v>
      </c>
      <c r="E1121" s="87"/>
      <c r="F1121" s="87">
        <f>IF(COUNTIFS($C$3:C1121,商品マスタ[[#This Row],[仕入先]],$E$3:E1121,商品マスタ[[#This Row],[商品名]]) = 1, 1,0)</f>
        <v>0</v>
      </c>
      <c r="G1121" s="133" t="str">
        <f>TEXT(SUMIF($C$3:C1121,商品マスタ[[#This Row],[仕入先]],$F$3:F1121), "0000")</f>
        <v>0000</v>
      </c>
      <c r="H1121" s="87"/>
      <c r="I1121" s="87"/>
      <c r="J1121" s="87"/>
      <c r="K1121" s="87"/>
      <c r="L1121" s="134"/>
      <c r="M1121" s="157"/>
      <c r="N1121" s="134"/>
      <c r="O1121" s="135" t="str">
        <f>IF(COUNT(商品マスタ[[#This Row],[参考上代
（税込)]]) &gt; 0, (商品マスタ[[#This Row],[参考上代
（税込)]]-商品マスタ[[#This Row],[国内定価
（15％）]])/(商品マスタ[[#This Row],[参考上代
（税込)]]/1.08), "")</f>
        <v/>
      </c>
      <c r="P1121" s="136">
        <v>0.1</v>
      </c>
      <c r="Q1121" s="134">
        <f>商品マスタ[[#This Row],[仕入
単価]]*商品マスタ[[#This Row],[標準国内送料率]]</f>
        <v>0</v>
      </c>
      <c r="R1121" s="134"/>
      <c r="S1121" s="134">
        <f>IF(ISBLANK(商品マスタ[[#This Row],[実績
国内送料]]),商品マスタ[[#This Row],[標準国内送料]],)</f>
        <v>0</v>
      </c>
      <c r="T1121" s="134">
        <f>商品マスタ[[#This Row],[仕入
単価]]+商品マスタ[[#This Row],[国内送料]]</f>
        <v>0</v>
      </c>
      <c r="U1121" s="134">
        <f>ROUNDUP(商品マスタ[[#This Row],[仕入単価+国内送料]]/0.8,-1)</f>
        <v>0</v>
      </c>
      <c r="V1121" s="134">
        <f>商品マスタ[[#This Row],[海外定価
（20％）]]-商品マスタ[[#This Row],[仕入単価+国内送料]]</f>
        <v>0</v>
      </c>
      <c r="W1121" s="87">
        <f>ROUNDUP(商品マスタ[[#This Row],[仕入単価+国内送料]]/0.85,-1)</f>
        <v>0</v>
      </c>
      <c r="X1121" s="134">
        <f>商品マスタ[[#This Row],[国内定価
（15％）]]-商品マスタ[[#This Row],[仕入単価+国内送料]]</f>
        <v>0</v>
      </c>
      <c r="Y1121" s="139"/>
      <c r="Z1121" s="87"/>
      <c r="AA1121" s="87"/>
      <c r="AB1121" s="87"/>
      <c r="AC1121" s="140"/>
      <c r="AD1121" s="87"/>
      <c r="AE1121" s="87"/>
      <c r="AF1121" s="158"/>
      <c r="AG1121" s="141"/>
    </row>
    <row r="1122" spans="1:33" ht="15.75" customHeight="1">
      <c r="A1122" s="166"/>
      <c r="B1122" s="167"/>
      <c r="C1122" s="167"/>
      <c r="D1122" s="143" t="str">
        <f>"PRD_SNJ_"&amp;
_xlfn.XLOOKUP(商品マスタ[[#This Row],[仕入先]],テーブル1[仕入先名],テーブル1[仕入先コード],"XXX",0,1)&amp;
"_"&amp;
商品マスタ[[#This Row],[シリアル]]&amp;
"_"&amp;
TEXT(COUNTIFS(商品マスタ!$C$3:C1122,商品マスタ[[#This Row],[仕入先]],商品マスタ!$E$3:E1122,商品マスタ[[#This Row],[商品名]]), "00")</f>
        <v>PRD_SNJ__0000_00</v>
      </c>
      <c r="E1122" s="87"/>
      <c r="F1122" s="87">
        <f>IF(COUNTIFS($C$3:C1122,商品マスタ[[#This Row],[仕入先]],$E$3:E1122,商品マスタ[[#This Row],[商品名]]) = 1, 1,0)</f>
        <v>0</v>
      </c>
      <c r="G1122" s="133" t="str">
        <f>TEXT(SUMIF($C$3:C1122,商品マスタ[[#This Row],[仕入先]],$F$3:F1122), "0000")</f>
        <v>0000</v>
      </c>
      <c r="H1122" s="87"/>
      <c r="I1122" s="87"/>
      <c r="J1122" s="87"/>
      <c r="K1122" s="87"/>
      <c r="L1122" s="134"/>
      <c r="M1122" s="157"/>
      <c r="N1122" s="134"/>
      <c r="O1122" s="135" t="str">
        <f>IF(COUNT(商品マスタ[[#This Row],[参考上代
（税込)]]) &gt; 0, (商品マスタ[[#This Row],[参考上代
（税込)]]-商品マスタ[[#This Row],[国内定価
（15％）]])/(商品マスタ[[#This Row],[参考上代
（税込)]]/1.08), "")</f>
        <v/>
      </c>
      <c r="P1122" s="136">
        <v>0.1</v>
      </c>
      <c r="Q1122" s="134">
        <f>商品マスタ[[#This Row],[仕入
単価]]*商品マスタ[[#This Row],[標準国内送料率]]</f>
        <v>0</v>
      </c>
      <c r="R1122" s="134"/>
      <c r="S1122" s="134">
        <f>IF(ISBLANK(商品マスタ[[#This Row],[実績
国内送料]]),商品マスタ[[#This Row],[標準国内送料]],)</f>
        <v>0</v>
      </c>
      <c r="T1122" s="134">
        <f>商品マスタ[[#This Row],[仕入
単価]]+商品マスタ[[#This Row],[国内送料]]</f>
        <v>0</v>
      </c>
      <c r="U1122" s="134">
        <f>ROUNDUP(商品マスタ[[#This Row],[仕入単価+国内送料]]/0.8,-1)</f>
        <v>0</v>
      </c>
      <c r="V1122" s="134">
        <f>商品マスタ[[#This Row],[海外定価
（20％）]]-商品マスタ[[#This Row],[仕入単価+国内送料]]</f>
        <v>0</v>
      </c>
      <c r="W1122" s="87">
        <f>ROUNDUP(商品マスタ[[#This Row],[仕入単価+国内送料]]/0.85,-1)</f>
        <v>0</v>
      </c>
      <c r="X1122" s="134">
        <f>商品マスタ[[#This Row],[国内定価
（15％）]]-商品マスタ[[#This Row],[仕入単価+国内送料]]</f>
        <v>0</v>
      </c>
      <c r="Y1122" s="139"/>
      <c r="Z1122" s="87"/>
      <c r="AA1122" s="87"/>
      <c r="AB1122" s="87"/>
      <c r="AC1122" s="140"/>
      <c r="AD1122" s="87"/>
      <c r="AE1122" s="87"/>
      <c r="AF1122" s="158"/>
      <c r="AG1122" s="141"/>
    </row>
    <row r="1123" spans="1:33" ht="15.75" customHeight="1">
      <c r="A1123" s="166"/>
      <c r="B1123" s="167"/>
      <c r="C1123" s="167"/>
      <c r="D1123" s="143" t="str">
        <f>"PRD_SNJ_"&amp;
_xlfn.XLOOKUP(商品マスタ[[#This Row],[仕入先]],テーブル1[仕入先名],テーブル1[仕入先コード],"XXX",0,1)&amp;
"_"&amp;
商品マスタ[[#This Row],[シリアル]]&amp;
"_"&amp;
TEXT(COUNTIFS(商品マスタ!$C$3:C1123,商品マスタ[[#This Row],[仕入先]],商品マスタ!$E$3:E1123,商品マスタ[[#This Row],[商品名]]), "00")</f>
        <v>PRD_SNJ__0000_00</v>
      </c>
      <c r="E1123" s="87"/>
      <c r="F1123" s="87">
        <f>IF(COUNTIFS($C$3:C1123,商品マスタ[[#This Row],[仕入先]],$E$3:E1123,商品マスタ[[#This Row],[商品名]]) = 1, 1,0)</f>
        <v>0</v>
      </c>
      <c r="G1123" s="133" t="str">
        <f>TEXT(SUMIF($C$3:C1123,商品マスタ[[#This Row],[仕入先]],$F$3:F1123), "0000")</f>
        <v>0000</v>
      </c>
      <c r="H1123" s="87"/>
      <c r="I1123" s="87"/>
      <c r="J1123" s="87"/>
      <c r="K1123" s="87"/>
      <c r="L1123" s="134"/>
      <c r="M1123" s="157"/>
      <c r="N1123" s="134"/>
      <c r="O1123" s="135" t="str">
        <f>IF(COUNT(商品マスタ[[#This Row],[参考上代
（税込)]]) &gt; 0, (商品マスタ[[#This Row],[参考上代
（税込)]]-商品マスタ[[#This Row],[国内定価
（15％）]])/(商品マスタ[[#This Row],[参考上代
（税込)]]/1.08), "")</f>
        <v/>
      </c>
      <c r="P1123" s="136">
        <v>0.1</v>
      </c>
      <c r="Q1123" s="134">
        <f>商品マスタ[[#This Row],[仕入
単価]]*商品マスタ[[#This Row],[標準国内送料率]]</f>
        <v>0</v>
      </c>
      <c r="R1123" s="134"/>
      <c r="S1123" s="134">
        <f>IF(ISBLANK(商品マスタ[[#This Row],[実績
国内送料]]),商品マスタ[[#This Row],[標準国内送料]],)</f>
        <v>0</v>
      </c>
      <c r="T1123" s="134">
        <f>商品マスタ[[#This Row],[仕入
単価]]+商品マスタ[[#This Row],[国内送料]]</f>
        <v>0</v>
      </c>
      <c r="U1123" s="134">
        <f>ROUNDUP(商品マスタ[[#This Row],[仕入単価+国内送料]]/0.8,-1)</f>
        <v>0</v>
      </c>
      <c r="V1123" s="134">
        <f>商品マスタ[[#This Row],[海外定価
（20％）]]-商品マスタ[[#This Row],[仕入単価+国内送料]]</f>
        <v>0</v>
      </c>
      <c r="W1123" s="87">
        <f>ROUNDUP(商品マスタ[[#This Row],[仕入単価+国内送料]]/0.85,-1)</f>
        <v>0</v>
      </c>
      <c r="X1123" s="134">
        <f>商品マスタ[[#This Row],[国内定価
（15％）]]-商品マスタ[[#This Row],[仕入単価+国内送料]]</f>
        <v>0</v>
      </c>
      <c r="Y1123" s="139"/>
      <c r="Z1123" s="87"/>
      <c r="AA1123" s="87"/>
      <c r="AB1123" s="87"/>
      <c r="AC1123" s="140"/>
      <c r="AD1123" s="87"/>
      <c r="AE1123" s="87"/>
      <c r="AF1123" s="158"/>
      <c r="AG1123" s="141"/>
    </row>
    <row r="1124" spans="1:33" ht="15.75" customHeight="1">
      <c r="A1124" s="166"/>
      <c r="B1124" s="167"/>
      <c r="C1124" s="167"/>
      <c r="D1124" s="143" t="str">
        <f>"PRD_SNJ_"&amp;
_xlfn.XLOOKUP(商品マスタ[[#This Row],[仕入先]],テーブル1[仕入先名],テーブル1[仕入先コード],"XXX",0,1)&amp;
"_"&amp;
商品マスタ[[#This Row],[シリアル]]&amp;
"_"&amp;
TEXT(COUNTIFS(商品マスタ!$C$3:C1124,商品マスタ[[#This Row],[仕入先]],商品マスタ!$E$3:E1124,商品マスタ[[#This Row],[商品名]]), "00")</f>
        <v>PRD_SNJ__0000_00</v>
      </c>
      <c r="E1124" s="87"/>
      <c r="F1124" s="87">
        <f>IF(COUNTIFS($C$3:C1124,商品マスタ[[#This Row],[仕入先]],$E$3:E1124,商品マスタ[[#This Row],[商品名]]) = 1, 1,0)</f>
        <v>0</v>
      </c>
      <c r="G1124" s="133" t="str">
        <f>TEXT(SUMIF($C$3:C1124,商品マスタ[[#This Row],[仕入先]],$F$3:F1124), "0000")</f>
        <v>0000</v>
      </c>
      <c r="H1124" s="87"/>
      <c r="I1124" s="87"/>
      <c r="J1124" s="87"/>
      <c r="K1124" s="87"/>
      <c r="L1124" s="134"/>
      <c r="M1124" s="157"/>
      <c r="N1124" s="134"/>
      <c r="O1124" s="135" t="str">
        <f>IF(COUNT(商品マスタ[[#This Row],[参考上代
（税込)]]) &gt; 0, (商品マスタ[[#This Row],[参考上代
（税込)]]-商品マスタ[[#This Row],[国内定価
（15％）]])/(商品マスタ[[#This Row],[参考上代
（税込)]]/1.08), "")</f>
        <v/>
      </c>
      <c r="P1124" s="136">
        <v>0.1</v>
      </c>
      <c r="Q1124" s="134">
        <f>商品マスタ[[#This Row],[仕入
単価]]*商品マスタ[[#This Row],[標準国内送料率]]</f>
        <v>0</v>
      </c>
      <c r="R1124" s="134"/>
      <c r="S1124" s="134">
        <f>IF(ISBLANK(商品マスタ[[#This Row],[実績
国内送料]]),商品マスタ[[#This Row],[標準国内送料]],)</f>
        <v>0</v>
      </c>
      <c r="T1124" s="134">
        <f>商品マスタ[[#This Row],[仕入
単価]]+商品マスタ[[#This Row],[国内送料]]</f>
        <v>0</v>
      </c>
      <c r="U1124" s="134">
        <f>ROUNDUP(商品マスタ[[#This Row],[仕入単価+国内送料]]/0.8,-1)</f>
        <v>0</v>
      </c>
      <c r="V1124" s="134">
        <f>商品マスタ[[#This Row],[海外定価
（20％）]]-商品マスタ[[#This Row],[仕入単価+国内送料]]</f>
        <v>0</v>
      </c>
      <c r="W1124" s="87">
        <f>ROUNDUP(商品マスタ[[#This Row],[仕入単価+国内送料]]/0.85,-1)</f>
        <v>0</v>
      </c>
      <c r="X1124" s="134">
        <f>商品マスタ[[#This Row],[国内定価
（15％）]]-商品マスタ[[#This Row],[仕入単価+国内送料]]</f>
        <v>0</v>
      </c>
      <c r="Y1124" s="139"/>
      <c r="Z1124" s="87"/>
      <c r="AA1124" s="87"/>
      <c r="AB1124" s="87"/>
      <c r="AC1124" s="140"/>
      <c r="AD1124" s="87"/>
      <c r="AE1124" s="87"/>
      <c r="AF1124" s="158"/>
      <c r="AG1124" s="141"/>
    </row>
    <row r="1125" spans="1:33" ht="15.75" customHeight="1">
      <c r="A1125" s="166"/>
      <c r="B1125" s="167"/>
      <c r="C1125" s="167"/>
      <c r="D1125" s="143" t="str">
        <f>"PRD_SNJ_"&amp;
_xlfn.XLOOKUP(商品マスタ[[#This Row],[仕入先]],テーブル1[仕入先名],テーブル1[仕入先コード],"XXX",0,1)&amp;
"_"&amp;
商品マスタ[[#This Row],[シリアル]]&amp;
"_"&amp;
TEXT(COUNTIFS(商品マスタ!$C$3:C1125,商品マスタ[[#This Row],[仕入先]],商品マスタ!$E$3:E1125,商品マスタ[[#This Row],[商品名]]), "00")</f>
        <v>PRD_SNJ__0000_00</v>
      </c>
      <c r="E1125" s="87"/>
      <c r="F1125" s="87">
        <f>IF(COUNTIFS($C$3:C1125,商品マスタ[[#This Row],[仕入先]],$E$3:E1125,商品マスタ[[#This Row],[商品名]]) = 1, 1,0)</f>
        <v>0</v>
      </c>
      <c r="G1125" s="133" t="str">
        <f>TEXT(SUMIF($C$3:C1125,商品マスタ[[#This Row],[仕入先]],$F$3:F1125), "0000")</f>
        <v>0000</v>
      </c>
      <c r="H1125" s="87"/>
      <c r="I1125" s="87"/>
      <c r="J1125" s="87"/>
      <c r="K1125" s="87"/>
      <c r="L1125" s="134"/>
      <c r="M1125" s="157"/>
      <c r="N1125" s="134"/>
      <c r="O1125" s="135" t="str">
        <f>IF(COUNT(商品マスタ[[#This Row],[参考上代
（税込)]]) &gt; 0, (商品マスタ[[#This Row],[参考上代
（税込)]]-商品マスタ[[#This Row],[国内定価
（15％）]])/(商品マスタ[[#This Row],[参考上代
（税込)]]/1.08), "")</f>
        <v/>
      </c>
      <c r="P1125" s="136">
        <v>0.1</v>
      </c>
      <c r="Q1125" s="134">
        <f>商品マスタ[[#This Row],[仕入
単価]]*商品マスタ[[#This Row],[標準国内送料率]]</f>
        <v>0</v>
      </c>
      <c r="R1125" s="134"/>
      <c r="S1125" s="134">
        <f>IF(ISBLANK(商品マスタ[[#This Row],[実績
国内送料]]),商品マスタ[[#This Row],[標準国内送料]],)</f>
        <v>0</v>
      </c>
      <c r="T1125" s="134">
        <f>商品マスタ[[#This Row],[仕入
単価]]+商品マスタ[[#This Row],[国内送料]]</f>
        <v>0</v>
      </c>
      <c r="U1125" s="134">
        <f>ROUNDUP(商品マスタ[[#This Row],[仕入単価+国内送料]]/0.8,-1)</f>
        <v>0</v>
      </c>
      <c r="V1125" s="134">
        <f>商品マスタ[[#This Row],[海外定価
（20％）]]-商品マスタ[[#This Row],[仕入単価+国内送料]]</f>
        <v>0</v>
      </c>
      <c r="W1125" s="87">
        <f>ROUNDUP(商品マスタ[[#This Row],[仕入単価+国内送料]]/0.85,-1)</f>
        <v>0</v>
      </c>
      <c r="X1125" s="134">
        <f>商品マスタ[[#This Row],[国内定価
（15％）]]-商品マスタ[[#This Row],[仕入単価+国内送料]]</f>
        <v>0</v>
      </c>
      <c r="Y1125" s="139"/>
      <c r="Z1125" s="87"/>
      <c r="AA1125" s="87"/>
      <c r="AB1125" s="87"/>
      <c r="AC1125" s="140"/>
      <c r="AD1125" s="87"/>
      <c r="AE1125" s="87"/>
      <c r="AF1125" s="158"/>
      <c r="AG1125" s="141"/>
    </row>
    <row r="1126" spans="1:33" ht="15.75" customHeight="1">
      <c r="A1126" s="166"/>
      <c r="B1126" s="167"/>
      <c r="C1126" s="167"/>
      <c r="D1126" s="143" t="str">
        <f>"PRD_SNJ_"&amp;
_xlfn.XLOOKUP(商品マスタ[[#This Row],[仕入先]],テーブル1[仕入先名],テーブル1[仕入先コード],"XXX",0,1)&amp;
"_"&amp;
商品マスタ[[#This Row],[シリアル]]&amp;
"_"&amp;
TEXT(COUNTIFS(商品マスタ!$C$3:C1126,商品マスタ[[#This Row],[仕入先]],商品マスタ!$E$3:E1126,商品マスタ[[#This Row],[商品名]]), "00")</f>
        <v>PRD_SNJ__0000_00</v>
      </c>
      <c r="E1126" s="87"/>
      <c r="F1126" s="87">
        <f>IF(COUNTIFS($C$3:C1126,商品マスタ[[#This Row],[仕入先]],$E$3:E1126,商品マスタ[[#This Row],[商品名]]) = 1, 1,0)</f>
        <v>0</v>
      </c>
      <c r="G1126" s="133" t="str">
        <f>TEXT(SUMIF($C$3:C1126,商品マスタ[[#This Row],[仕入先]],$F$3:F1126), "0000")</f>
        <v>0000</v>
      </c>
      <c r="H1126" s="87"/>
      <c r="I1126" s="87"/>
      <c r="J1126" s="87"/>
      <c r="K1126" s="87"/>
      <c r="L1126" s="134"/>
      <c r="M1126" s="157"/>
      <c r="N1126" s="134"/>
      <c r="O1126" s="135" t="str">
        <f>IF(COUNT(商品マスタ[[#This Row],[参考上代
（税込)]]) &gt; 0, (商品マスタ[[#This Row],[参考上代
（税込)]]-商品マスタ[[#This Row],[国内定価
（15％）]])/(商品マスタ[[#This Row],[参考上代
（税込)]]/1.08), "")</f>
        <v/>
      </c>
      <c r="P1126" s="136">
        <v>0.1</v>
      </c>
      <c r="Q1126" s="134">
        <f>商品マスタ[[#This Row],[仕入
単価]]*商品マスタ[[#This Row],[標準国内送料率]]</f>
        <v>0</v>
      </c>
      <c r="R1126" s="134"/>
      <c r="S1126" s="134">
        <f>IF(ISBLANK(商品マスタ[[#This Row],[実績
国内送料]]),商品マスタ[[#This Row],[標準国内送料]],)</f>
        <v>0</v>
      </c>
      <c r="T1126" s="134">
        <f>商品マスタ[[#This Row],[仕入
単価]]+商品マスタ[[#This Row],[国内送料]]</f>
        <v>0</v>
      </c>
      <c r="U1126" s="134">
        <f>ROUNDUP(商品マスタ[[#This Row],[仕入単価+国内送料]]/0.8,-1)</f>
        <v>0</v>
      </c>
      <c r="V1126" s="134">
        <f>商品マスタ[[#This Row],[海外定価
（20％）]]-商品マスタ[[#This Row],[仕入単価+国内送料]]</f>
        <v>0</v>
      </c>
      <c r="W1126" s="87">
        <f>ROUNDUP(商品マスタ[[#This Row],[仕入単価+国内送料]]/0.85,-1)</f>
        <v>0</v>
      </c>
      <c r="X1126" s="134">
        <f>商品マスタ[[#This Row],[国内定価
（15％）]]-商品マスタ[[#This Row],[仕入単価+国内送料]]</f>
        <v>0</v>
      </c>
      <c r="Y1126" s="139"/>
      <c r="Z1126" s="87"/>
      <c r="AA1126" s="87"/>
      <c r="AB1126" s="87"/>
      <c r="AC1126" s="140"/>
      <c r="AD1126" s="87"/>
      <c r="AE1126" s="87"/>
      <c r="AF1126" s="158"/>
      <c r="AG1126" s="141"/>
    </row>
    <row r="1127" spans="1:33" ht="15.75" customHeight="1">
      <c r="A1127" s="166"/>
      <c r="B1127" s="167"/>
      <c r="C1127" s="167"/>
      <c r="D1127" s="143" t="str">
        <f>"PRD_SNJ_"&amp;
_xlfn.XLOOKUP(商品マスタ[[#This Row],[仕入先]],テーブル1[仕入先名],テーブル1[仕入先コード],"XXX",0,1)&amp;
"_"&amp;
商品マスタ[[#This Row],[シリアル]]&amp;
"_"&amp;
TEXT(COUNTIFS(商品マスタ!$C$3:C1127,商品マスタ[[#This Row],[仕入先]],商品マスタ!$E$3:E1127,商品マスタ[[#This Row],[商品名]]), "00")</f>
        <v>PRD_SNJ__0000_00</v>
      </c>
      <c r="E1127" s="87"/>
      <c r="F1127" s="87">
        <f>IF(COUNTIFS($C$3:C1127,商品マスタ[[#This Row],[仕入先]],$E$3:E1127,商品マスタ[[#This Row],[商品名]]) = 1, 1,0)</f>
        <v>0</v>
      </c>
      <c r="G1127" s="133" t="str">
        <f>TEXT(SUMIF($C$3:C1127,商品マスタ[[#This Row],[仕入先]],$F$3:F1127), "0000")</f>
        <v>0000</v>
      </c>
      <c r="H1127" s="87"/>
      <c r="I1127" s="87"/>
      <c r="J1127" s="87"/>
      <c r="K1127" s="87"/>
      <c r="L1127" s="134"/>
      <c r="M1127" s="157"/>
      <c r="N1127" s="134"/>
      <c r="O1127" s="135" t="str">
        <f>IF(COUNT(商品マスタ[[#This Row],[参考上代
（税込)]]) &gt; 0, (商品マスタ[[#This Row],[参考上代
（税込)]]-商品マスタ[[#This Row],[国内定価
（15％）]])/(商品マスタ[[#This Row],[参考上代
（税込)]]/1.08), "")</f>
        <v/>
      </c>
      <c r="P1127" s="136">
        <v>0.1</v>
      </c>
      <c r="Q1127" s="134">
        <f>商品マスタ[[#This Row],[仕入
単価]]*商品マスタ[[#This Row],[標準国内送料率]]</f>
        <v>0</v>
      </c>
      <c r="R1127" s="134"/>
      <c r="S1127" s="134">
        <f>IF(ISBLANK(商品マスタ[[#This Row],[実績
国内送料]]),商品マスタ[[#This Row],[標準国内送料]],)</f>
        <v>0</v>
      </c>
      <c r="T1127" s="134">
        <f>商品マスタ[[#This Row],[仕入
単価]]+商品マスタ[[#This Row],[国内送料]]</f>
        <v>0</v>
      </c>
      <c r="U1127" s="134">
        <f>ROUNDUP(商品マスタ[[#This Row],[仕入単価+国内送料]]/0.8,-1)</f>
        <v>0</v>
      </c>
      <c r="V1127" s="134">
        <f>商品マスタ[[#This Row],[海外定価
（20％）]]-商品マスタ[[#This Row],[仕入単価+国内送料]]</f>
        <v>0</v>
      </c>
      <c r="W1127" s="87">
        <f>ROUNDUP(商品マスタ[[#This Row],[仕入単価+国内送料]]/0.85,-1)</f>
        <v>0</v>
      </c>
      <c r="X1127" s="134">
        <f>商品マスタ[[#This Row],[国内定価
（15％）]]-商品マスタ[[#This Row],[仕入単価+国内送料]]</f>
        <v>0</v>
      </c>
      <c r="Y1127" s="139"/>
      <c r="Z1127" s="87"/>
      <c r="AA1127" s="87"/>
      <c r="AB1127" s="87"/>
      <c r="AC1127" s="140"/>
      <c r="AD1127" s="87"/>
      <c r="AE1127" s="87"/>
      <c r="AF1127" s="158"/>
      <c r="AG1127" s="141"/>
    </row>
    <row r="1128" spans="1:33" ht="15.75" customHeight="1">
      <c r="A1128" s="172"/>
      <c r="B1128" s="173"/>
      <c r="C1128" s="173"/>
      <c r="D1128" s="143" t="str">
        <f>"PRD_SNJ_"&amp;
_xlfn.XLOOKUP(商品マスタ[[#This Row],[仕入先]],テーブル1[仕入先名],テーブル1[仕入先コード],"XXX",0,1)&amp;
"_"&amp;
商品マスタ[[#This Row],[シリアル]]&amp;
"_"&amp;
TEXT(COUNTIFS(商品マスタ!$C$3:C1128,商品マスタ[[#This Row],[仕入先]],商品マスタ!$E$3:E1128,商品マスタ[[#This Row],[商品名]]), "00")</f>
        <v>PRD_SNJ__0000_00</v>
      </c>
      <c r="E1128" s="159"/>
      <c r="F1128" s="87">
        <f>IF(COUNTIFS($C$3:C1128,商品マスタ[[#This Row],[仕入先]],$E$3:E1128,商品マスタ[[#This Row],[商品名]]) = 1, 1,0)</f>
        <v>0</v>
      </c>
      <c r="G1128" s="133" t="str">
        <f>TEXT(SUMIF($C$3:C1128,商品マスタ[[#This Row],[仕入先]],$F$3:F1128), "0000")</f>
        <v>0000</v>
      </c>
      <c r="H1128" s="159"/>
      <c r="I1128" s="159"/>
      <c r="J1128" s="159"/>
      <c r="K1128" s="159"/>
      <c r="L1128" s="160"/>
      <c r="M1128" s="180"/>
      <c r="N1128" s="160"/>
      <c r="O1128" s="161" t="str">
        <f>IF(COUNT(商品マスタ[[#This Row],[参考上代
（税込)]]) &gt; 0, (商品マスタ[[#This Row],[参考上代
（税込)]]-商品マスタ[[#This Row],[国内定価
（15％）]])/(商品マスタ[[#This Row],[参考上代
（税込)]]/1.08), "")</f>
        <v/>
      </c>
      <c r="P1128" s="162">
        <v>0.1</v>
      </c>
      <c r="Q1128" s="160">
        <f>商品マスタ[[#This Row],[仕入
単価]]*商品マスタ[[#This Row],[標準国内送料率]]</f>
        <v>0</v>
      </c>
      <c r="R1128" s="160"/>
      <c r="S1128" s="160">
        <f>IF(ISBLANK(商品マスタ[[#This Row],[実績
国内送料]]),商品マスタ[[#This Row],[標準国内送料]],)</f>
        <v>0</v>
      </c>
      <c r="T1128" s="160">
        <f>商品マスタ[[#This Row],[仕入
単価]]+商品マスタ[[#This Row],[国内送料]]</f>
        <v>0</v>
      </c>
      <c r="U1128" s="160">
        <f>ROUNDUP(商品マスタ[[#This Row],[仕入単価+国内送料]]/0.8,-1)</f>
        <v>0</v>
      </c>
      <c r="V1128" s="160">
        <f>商品マスタ[[#This Row],[海外定価
（20％）]]-商品マスタ[[#This Row],[仕入単価+国内送料]]</f>
        <v>0</v>
      </c>
      <c r="W1128" s="87">
        <f>ROUNDUP(商品マスタ[[#This Row],[仕入単価+国内送料]]/0.85,-1)</f>
        <v>0</v>
      </c>
      <c r="X1128" s="160">
        <f>商品マスタ[[#This Row],[国内定価
（15％）]]-商品マスタ[[#This Row],[仕入単価+国内送料]]</f>
        <v>0</v>
      </c>
      <c r="Y1128" s="163"/>
      <c r="Z1128" s="159"/>
      <c r="AA1128" s="159"/>
      <c r="AB1128" s="159"/>
      <c r="AC1128" s="226"/>
      <c r="AD1128" s="159"/>
      <c r="AE1128" s="159"/>
      <c r="AF1128" s="164"/>
      <c r="AG1128" s="165"/>
    </row>
  </sheetData>
  <mergeCells count="1">
    <mergeCell ref="R1:S1"/>
  </mergeCells>
  <phoneticPr fontId="3"/>
  <conditionalFormatting sqref="D3:D1128">
    <cfRule type="containsText" dxfId="177" priority="2" operator="containsText" text="XXX">
      <formula>NOT(ISERROR(SEARCH("XXX",D3)))</formula>
    </cfRule>
  </conditionalFormatting>
  <pageMargins left="0.25" right="0.25" top="0.75" bottom="0.75" header="0.3" footer="0.3"/>
  <pageSetup paperSize="9" scale="24" fitToHeight="0" orientation="landscape" r:id="rId1"/>
  <rowBreaks count="1" manualBreakCount="1">
    <brk id="379" max="16383" man="1"/>
  </rowBreak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8AF3D3A-6845-4548-8910-1EBDAB7F4A77}">
          <x14:formula1>
            <xm:f>仕入先マスタ!$B:$B</xm:f>
          </x14:formula1>
          <xm:sqref>C3:C1128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03C14-AE80-4830-AF2B-42B0924B9479}">
  <dimension ref="A1:H158"/>
  <sheetViews>
    <sheetView workbookViewId="0">
      <selection activeCell="A19" sqref="A19:XFD19"/>
    </sheetView>
  </sheetViews>
  <sheetFormatPr defaultRowHeight="18"/>
  <cols>
    <col min="1" max="1" width="3.69921875" customWidth="1"/>
    <col min="2" max="2" width="5.3984375" bestFit="1" customWidth="1"/>
    <col min="3" max="3" width="5.19921875" bestFit="1" customWidth="1"/>
    <col min="6" max="6" width="37.5" style="53" bestFit="1" customWidth="1"/>
    <col min="7" max="7" width="14.5" bestFit="1" customWidth="1"/>
    <col min="8" max="8" width="24.69921875" customWidth="1"/>
  </cols>
  <sheetData>
    <row r="1" spans="1:8" s="53" customFormat="1">
      <c r="A1" s="90" t="s">
        <v>1218</v>
      </c>
    </row>
    <row r="2" spans="1:8">
      <c r="A2" s="73" t="s">
        <v>1742</v>
      </c>
      <c r="B2" s="73" t="s">
        <v>1745</v>
      </c>
      <c r="C2" s="71" t="s">
        <v>1746</v>
      </c>
      <c r="D2" s="71" t="s">
        <v>1743</v>
      </c>
      <c r="E2" s="71" t="s">
        <v>1744</v>
      </c>
      <c r="F2" s="72" t="s">
        <v>1770</v>
      </c>
      <c r="G2" s="72" t="s">
        <v>1084</v>
      </c>
      <c r="H2" s="68" t="s">
        <v>1950</v>
      </c>
    </row>
    <row r="3" spans="1:8">
      <c r="A3" s="73">
        <f>ROW([1]!tbl_採番[[#This Row],[ID]])-2</f>
        <v>1</v>
      </c>
      <c r="B3" s="73">
        <v>2026</v>
      </c>
      <c r="C3" s="71">
        <v>1</v>
      </c>
      <c r="D3" s="71" t="s">
        <v>1747</v>
      </c>
      <c r="E3" s="71" t="s">
        <v>1754</v>
      </c>
      <c r="F3" s="72" t="s">
        <v>1771</v>
      </c>
      <c r="G3" s="118" t="str">
        <f>IF(ISBLANK([1]!tbl_採番[[#This Row],[年]]),"",(RIGHT([1]!tbl_採番[[#This Row],[年]],2)&amp;TEXT([1]!tbl_採番[[#This Row],[月]],"00")&amp;"-1"&amp;TEXT(COUNTIFS(B$3:B3,B3,C$3:C3,C3),"000")&amp;"-"&amp;_xlfn.XLOOKUP([1]!tbl_採番[[#This Row],[担当者]],[1]入力ルール用シート!$D$2:$D$8,[1]入力ルール用シート!$E$2:$E$8,"",0,1)&amp;_xlfn.XLOOKUP([1]!tbl_採番[[#This Row],[支店]],[1]入力ルール用シート!$F$2:$F$3,[1]入力ルール用シート!$G$2:$G$3,"",0,1)))</f>
        <v>2601-1001-S01</v>
      </c>
      <c r="H3" s="68"/>
    </row>
    <row r="4" spans="1:8">
      <c r="A4" s="73">
        <f>ROW([1]!tbl_採番[[#This Row],[ID]])-2</f>
        <v>2</v>
      </c>
      <c r="B4" s="73">
        <v>2026</v>
      </c>
      <c r="C4" s="71">
        <v>1</v>
      </c>
      <c r="D4" s="71" t="s">
        <v>1747</v>
      </c>
      <c r="E4" s="71" t="s">
        <v>1754</v>
      </c>
      <c r="F4" s="72" t="s">
        <v>1771</v>
      </c>
      <c r="G4" s="118" t="str">
        <f>IF(ISBLANK([1]!tbl_採番[[#This Row],[年]]),"",(RIGHT([1]!tbl_採番[[#This Row],[年]],2)&amp;TEXT([1]!tbl_採番[[#This Row],[月]],"00")&amp;"-1"&amp;TEXT(COUNTIFS(B$3:B4,B4,C$3:C4,C4),"000")&amp;"-"&amp;_xlfn.XLOOKUP([1]!tbl_採番[[#This Row],[担当者]],[1]入力ルール用シート!$D$2:$D$8,[1]入力ルール用シート!$E$2:$E$8,"",0,1)&amp;_xlfn.XLOOKUP([1]!tbl_採番[[#This Row],[支店]],[1]入力ルール用シート!$F$2:$F$3,[1]入力ルール用シート!$G$2:$G$3,"",0,1)))</f>
        <v>2601-1002-S01</v>
      </c>
      <c r="H4" s="71"/>
    </row>
    <row r="5" spans="1:8">
      <c r="A5" s="73">
        <f>ROW([1]!tbl_採番[[#This Row],[ID]])-2</f>
        <v>3</v>
      </c>
      <c r="B5" s="73">
        <v>2026</v>
      </c>
      <c r="C5" s="71">
        <v>1</v>
      </c>
      <c r="D5" s="71" t="s">
        <v>1750</v>
      </c>
      <c r="E5" s="71" t="s">
        <v>1754</v>
      </c>
      <c r="F5" s="72" t="s">
        <v>1772</v>
      </c>
      <c r="G5" s="118" t="str">
        <f>IF(ISBLANK([1]!tbl_採番[[#This Row],[年]]),"",(RIGHT([1]!tbl_採番[[#This Row],[年]],2)&amp;TEXT([1]!tbl_採番[[#This Row],[月]],"00")&amp;"-1"&amp;TEXT(COUNTIFS(B$3:B5,B5,C$3:C5,C5),"000")&amp;"-"&amp;_xlfn.XLOOKUP([1]!tbl_採番[[#This Row],[担当者]],[1]入力ルール用シート!$D$2:$D$8,[1]入力ルール用シート!$E$2:$E$8,"",0,1)&amp;_xlfn.XLOOKUP([1]!tbl_採番[[#This Row],[支店]],[1]入力ルール用シート!$F$2:$F$3,[1]入力ルール用シート!$G$2:$G$3,"",0,1)))</f>
        <v>2601-1003-A01</v>
      </c>
      <c r="H5" s="71"/>
    </row>
    <row r="6" spans="1:8">
      <c r="A6" s="73">
        <f>ROW([1]!tbl_採番[[#This Row],[ID]])-2</f>
        <v>4</v>
      </c>
      <c r="B6" s="73">
        <v>2026</v>
      </c>
      <c r="C6" s="71">
        <v>1</v>
      </c>
      <c r="D6" s="71" t="s">
        <v>1747</v>
      </c>
      <c r="E6" s="71" t="s">
        <v>1754</v>
      </c>
      <c r="F6" s="72" t="s">
        <v>1773</v>
      </c>
      <c r="G6" s="118" t="str">
        <f>IF(ISBLANK([1]!tbl_採番[[#This Row],[年]]),"",(RIGHT([1]!tbl_採番[[#This Row],[年]],2)&amp;TEXT([1]!tbl_採番[[#This Row],[月]],"00")&amp;"-1"&amp;TEXT(COUNTIFS(B$3:B6,B6,C$3:C6,C6),"000")&amp;"-"&amp;_xlfn.XLOOKUP([1]!tbl_採番[[#This Row],[担当者]],[1]入力ルール用シート!$D$2:$D$8,[1]入力ルール用シート!$E$2:$E$8,"",0,1)&amp;_xlfn.XLOOKUP([1]!tbl_採番[[#This Row],[支店]],[1]入力ルール用シート!$F$2:$F$3,[1]入力ルール用シート!$G$2:$G$3,"",0,1)))</f>
        <v>2601-1004-S01</v>
      </c>
      <c r="H6" s="71"/>
    </row>
    <row r="7" spans="1:8">
      <c r="A7" s="73">
        <f>ROW([1]!tbl_採番[[#This Row],[ID]])-2</f>
        <v>5</v>
      </c>
      <c r="B7" s="73">
        <v>2026</v>
      </c>
      <c r="C7" s="71">
        <v>1</v>
      </c>
      <c r="D7" s="71" t="s">
        <v>1747</v>
      </c>
      <c r="E7" s="71" t="s">
        <v>1754</v>
      </c>
      <c r="F7" s="72" t="s">
        <v>1771</v>
      </c>
      <c r="G7" s="118" t="str">
        <f>IF(ISBLANK([1]!tbl_採番[[#This Row],[年]]),"",(RIGHT([1]!tbl_採番[[#This Row],[年]],2)&amp;TEXT([1]!tbl_採番[[#This Row],[月]],"00")&amp;"-1"&amp;TEXT(COUNTIFS(B$3:B7,B7,C$3:C7,C7),"000")&amp;"-"&amp;_xlfn.XLOOKUP([1]!tbl_採番[[#This Row],[担当者]],[1]入力ルール用シート!$D$2:$D$8,[1]入力ルール用シート!$E$2:$E$8,"",0,1)&amp;_xlfn.XLOOKUP([1]!tbl_採番[[#This Row],[支店]],[1]入力ルール用シート!$F$2:$F$3,[1]入力ルール用シート!$G$2:$G$3,"",0,1)))</f>
        <v>2601-1005-S01</v>
      </c>
      <c r="H7" s="71"/>
    </row>
    <row r="8" spans="1:8">
      <c r="A8" s="73">
        <f>ROW([1]!tbl_採番[[#This Row],[ID]])-2</f>
        <v>6</v>
      </c>
      <c r="B8" s="73">
        <v>2026</v>
      </c>
      <c r="C8" s="71">
        <v>1</v>
      </c>
      <c r="D8" s="71" t="s">
        <v>1747</v>
      </c>
      <c r="E8" s="71" t="s">
        <v>1754</v>
      </c>
      <c r="F8" s="72" t="s">
        <v>1774</v>
      </c>
      <c r="G8" s="118" t="str">
        <f>IF(ISBLANK([1]!tbl_採番[[#This Row],[年]]),"",(RIGHT([1]!tbl_採番[[#This Row],[年]],2)&amp;TEXT([1]!tbl_採番[[#This Row],[月]],"00")&amp;"-1"&amp;TEXT(COUNTIFS(B$3:B8,B8,C$3:C8,C8),"000")&amp;"-"&amp;_xlfn.XLOOKUP([1]!tbl_採番[[#This Row],[担当者]],[1]入力ルール用シート!$D$2:$D$8,[1]入力ルール用シート!$E$2:$E$8,"",0,1)&amp;_xlfn.XLOOKUP([1]!tbl_採番[[#This Row],[支店]],[1]入力ルール用シート!$F$2:$F$3,[1]入力ルール用シート!$G$2:$G$3,"",0,1)))</f>
        <v>2601-1006-S01</v>
      </c>
      <c r="H8" s="71"/>
    </row>
    <row r="9" spans="1:8">
      <c r="A9" s="73">
        <f>ROW([1]!tbl_採番[[#This Row],[ID]])-2</f>
        <v>7</v>
      </c>
      <c r="B9" s="73">
        <v>2026</v>
      </c>
      <c r="C9" s="71">
        <v>1</v>
      </c>
      <c r="D9" s="71" t="s">
        <v>1747</v>
      </c>
      <c r="E9" s="71" t="s">
        <v>1754</v>
      </c>
      <c r="F9" s="72" t="s">
        <v>1775</v>
      </c>
      <c r="G9" s="118" t="str">
        <f>IF(ISBLANK([1]!tbl_採番[[#This Row],[年]]),"",(RIGHT([1]!tbl_採番[[#This Row],[年]],2)&amp;TEXT([1]!tbl_採番[[#This Row],[月]],"00")&amp;"-1"&amp;TEXT(COUNTIFS(B$3:B9,B9,C$3:C9,C9),"000")&amp;"-"&amp;_xlfn.XLOOKUP([1]!tbl_採番[[#This Row],[担当者]],[1]入力ルール用シート!$D$2:$D$8,[1]入力ルール用シート!$E$2:$E$8,"",0,1)&amp;_xlfn.XLOOKUP([1]!tbl_採番[[#This Row],[支店]],[1]入力ルール用シート!$F$2:$F$3,[1]入力ルール用シート!$G$2:$G$3,"",0,1)))</f>
        <v>2601-1007-S01</v>
      </c>
      <c r="H9" s="71"/>
    </row>
    <row r="10" spans="1:8">
      <c r="A10" s="73">
        <f>ROW([1]!tbl_採番[[#This Row],[ID]])-2</f>
        <v>8</v>
      </c>
      <c r="B10" s="73">
        <v>2026</v>
      </c>
      <c r="C10" s="71">
        <v>2</v>
      </c>
      <c r="D10" s="71" t="s">
        <v>1750</v>
      </c>
      <c r="E10" s="71" t="s">
        <v>1754</v>
      </c>
      <c r="F10" s="72" t="s">
        <v>1937</v>
      </c>
      <c r="G10" s="118" t="str">
        <f>IF(ISBLANK([1]!tbl_採番[[#This Row],[年]]),"",(RIGHT([1]!tbl_採番[[#This Row],[年]],2)&amp;TEXT([1]!tbl_採番[[#This Row],[月]],"00")&amp;"-1"&amp;TEXT(COUNTIFS(B$3:B10,B10,C$3:C10,C10),"000")&amp;"-"&amp;_xlfn.XLOOKUP([1]!tbl_採番[[#This Row],[担当者]],[1]入力ルール用シート!$D$2:$D$8,[1]入力ルール用シート!$E$2:$E$8,"",0,1)&amp;_xlfn.XLOOKUP([1]!tbl_採番[[#This Row],[支店]],[1]入力ルール用シート!$F$2:$F$3,[1]入力ルール用シート!$G$2:$G$3,"",0,1)))</f>
        <v>2602-1001-A01</v>
      </c>
      <c r="H10" s="71"/>
    </row>
    <row r="11" spans="1:8">
      <c r="A11" s="73">
        <f>ROW([1]!tbl_採番[[#This Row],[ID]])-2</f>
        <v>9</v>
      </c>
      <c r="B11" s="73">
        <v>2026</v>
      </c>
      <c r="C11" s="71">
        <v>2</v>
      </c>
      <c r="D11" s="71" t="s">
        <v>1752</v>
      </c>
      <c r="E11" s="71" t="s">
        <v>1754</v>
      </c>
      <c r="F11" s="72" t="s">
        <v>1843</v>
      </c>
      <c r="G11" s="118" t="str">
        <f>IF(ISBLANK([1]!tbl_採番[[#This Row],[年]]),"",(RIGHT([1]!tbl_採番[[#This Row],[年]],2)&amp;TEXT([1]!tbl_採番[[#This Row],[月]],"00")&amp;"-1"&amp;TEXT(COUNTIFS(B$3:B11,B11,C$3:C11,C11),"000")&amp;"-"&amp;_xlfn.XLOOKUP([1]!tbl_採番[[#This Row],[担当者]],[1]入力ルール用シート!$D$2:$D$8,[1]入力ルール用シート!$E$2:$E$8,"",0,1)&amp;_xlfn.XLOOKUP([1]!tbl_採番[[#This Row],[支店]],[1]入力ルール用シート!$F$2:$F$3,[1]入力ルール用シート!$G$2:$G$3,"",0,1)))</f>
        <v>2602-1002-K01</v>
      </c>
      <c r="H11" s="71"/>
    </row>
    <row r="12" spans="1:8">
      <c r="A12" s="73">
        <f>ROW([1]!tbl_採番[[#This Row],[ID]])-2</f>
        <v>10</v>
      </c>
      <c r="B12" s="73">
        <v>2026</v>
      </c>
      <c r="C12" s="71">
        <v>2</v>
      </c>
      <c r="D12" s="71" t="s">
        <v>1894</v>
      </c>
      <c r="E12" s="71" t="s">
        <v>1754</v>
      </c>
      <c r="F12" s="72" t="s">
        <v>1895</v>
      </c>
      <c r="G12" s="118" t="str">
        <f>IF(ISBLANK([1]!tbl_採番[[#This Row],[年]]),"",(RIGHT([1]!tbl_採番[[#This Row],[年]],2)&amp;TEXT([1]!tbl_採番[[#This Row],[月]],"00")&amp;"-1"&amp;TEXT(COUNTIFS(B$3:B12,B12,C$3:C12,C12),"000")&amp;"-"&amp;_xlfn.XLOOKUP([1]!tbl_採番[[#This Row],[担当者]],[1]入力ルール用シート!$D$2:$D$8,[1]入力ルール用シート!$E$2:$E$8,"",0,1)&amp;_xlfn.XLOOKUP([1]!tbl_採番[[#This Row],[支店]],[1]入力ルール用シート!$F$2:$F$3,[1]入力ルール用シート!$G$2:$G$3,"",0,1)))</f>
        <v>2602-1003-S01</v>
      </c>
      <c r="H12" s="71"/>
    </row>
    <row r="13" spans="1:8">
      <c r="A13" s="73">
        <f>ROW([1]!tbl_採番[[#This Row],[ID]])-2</f>
        <v>11</v>
      </c>
      <c r="B13" s="73">
        <v>2026</v>
      </c>
      <c r="C13" s="71">
        <v>2</v>
      </c>
      <c r="D13" s="71" t="s">
        <v>1894</v>
      </c>
      <c r="E13" s="71" t="s">
        <v>1754</v>
      </c>
      <c r="F13" s="72" t="s">
        <v>1895</v>
      </c>
      <c r="G13" s="118" t="str">
        <f>IF(ISBLANK([1]!tbl_採番[[#This Row],[年]]),"",(RIGHT([1]!tbl_採番[[#This Row],[年]],2)&amp;TEXT([1]!tbl_採番[[#This Row],[月]],"00")&amp;"-1"&amp;TEXT(COUNTIFS(B$3:B13,B13,C$3:C13,C13),"000")&amp;"-"&amp;_xlfn.XLOOKUP([1]!tbl_採番[[#This Row],[担当者]],[1]入力ルール用シート!$D$2:$D$8,[1]入力ルール用シート!$E$2:$E$8,"",0,1)&amp;_xlfn.XLOOKUP([1]!tbl_採番[[#This Row],[支店]],[1]入力ルール用シート!$F$2:$F$3,[1]入力ルール用シート!$G$2:$G$3,"",0,1)))</f>
        <v>2602-1004-S01</v>
      </c>
      <c r="H13" s="71"/>
    </row>
    <row r="14" spans="1:8">
      <c r="A14" s="73">
        <f>ROW([1]!tbl_採番[[#This Row],[ID]])-2</f>
        <v>12</v>
      </c>
      <c r="B14" s="73">
        <v>2026</v>
      </c>
      <c r="C14" s="71">
        <v>2</v>
      </c>
      <c r="D14" s="71" t="s">
        <v>1752</v>
      </c>
      <c r="E14" s="71" t="s">
        <v>1754</v>
      </c>
      <c r="F14" s="72" t="s">
        <v>1843</v>
      </c>
      <c r="G14" s="118" t="str">
        <f>IF(ISBLANK([1]!tbl_採番[[#This Row],[年]]),"",(RIGHT([1]!tbl_採番[[#This Row],[年]],2)&amp;TEXT([1]!tbl_採番[[#This Row],[月]],"00")&amp;"-1"&amp;TEXT(COUNTIFS(B$3:B14,B14,C$3:C14,C14),"000")&amp;"-"&amp;_xlfn.XLOOKUP([1]!tbl_採番[[#This Row],[担当者]],[1]入力ルール用シート!$D$2:$D$8,[1]入力ルール用シート!$E$2:$E$8,"",0,1)&amp;_xlfn.XLOOKUP([1]!tbl_採番[[#This Row],[支店]],[1]入力ルール用シート!$F$2:$F$3,[1]入力ルール用シート!$G$2:$G$3,"",0,1)))</f>
        <v>2602-1005-K01</v>
      </c>
      <c r="H14" s="71"/>
    </row>
    <row r="15" spans="1:8">
      <c r="A15" s="73">
        <f>ROW([1]!tbl_採番[[#This Row],[ID]])-2</f>
        <v>13</v>
      </c>
      <c r="B15" s="73">
        <v>2026</v>
      </c>
      <c r="C15" s="71">
        <v>2</v>
      </c>
      <c r="D15" s="71" t="s">
        <v>1894</v>
      </c>
      <c r="E15" s="71" t="s">
        <v>1754</v>
      </c>
      <c r="F15" s="72" t="s">
        <v>1925</v>
      </c>
      <c r="G15" s="118" t="str">
        <f>IF(ISBLANK([1]!tbl_採番[[#This Row],[年]]),"",(RIGHT([1]!tbl_採番[[#This Row],[年]],2)&amp;TEXT([1]!tbl_採番[[#This Row],[月]],"00")&amp;"-1"&amp;TEXT(COUNTIFS(B$3:B15,B15,C$3:C15,C15),"000")&amp;"-"&amp;_xlfn.XLOOKUP([1]!tbl_採番[[#This Row],[担当者]],[1]入力ルール用シート!$D$2:$D$8,[1]入力ルール用シート!$E$2:$E$8,"",0,1)&amp;_xlfn.XLOOKUP([1]!tbl_採番[[#This Row],[支店]],[1]入力ルール用シート!$F$2:$F$3,[1]入力ルール用シート!$G$2:$G$3,"",0,1)))</f>
        <v>2602-1006-S01</v>
      </c>
      <c r="H15" s="71" t="s">
        <v>1947</v>
      </c>
    </row>
    <row r="16" spans="1:8">
      <c r="A16" s="73">
        <f>ROW([1]!tbl_採番[[#This Row],[ID]])-2</f>
        <v>14</v>
      </c>
      <c r="B16" s="73">
        <v>2026</v>
      </c>
      <c r="C16" s="71">
        <v>3</v>
      </c>
      <c r="D16" s="71" t="s">
        <v>1894</v>
      </c>
      <c r="E16" s="71" t="s">
        <v>1754</v>
      </c>
      <c r="F16" s="72" t="s">
        <v>1775</v>
      </c>
      <c r="G16" s="118" t="str">
        <f>IF(ISBLANK([1]!tbl_採番[[#This Row],[年]]),"",(RIGHT([1]!tbl_採番[[#This Row],[年]],2)&amp;TEXT([1]!tbl_採番[[#This Row],[月]],"00")&amp;"-1"&amp;TEXT(COUNTIFS(B$3:B16,B16,C$3:C16,C16),"000")&amp;"-"&amp;_xlfn.XLOOKUP([1]!tbl_採番[[#This Row],[担当者]],[1]入力ルール用シート!$D$2:$D$8,[1]入力ルール用シート!$E$2:$E$8,"",0,1)&amp;_xlfn.XLOOKUP([1]!tbl_採番[[#This Row],[支店]],[1]入力ルール用シート!$F$2:$F$3,[1]入力ルール用シート!$G$2:$G$3,"",0,1)))</f>
        <v>2603-1001-S01</v>
      </c>
      <c r="H16" s="71" t="s">
        <v>1946</v>
      </c>
    </row>
    <row r="17" spans="1:8">
      <c r="A17" s="73">
        <f>ROW([1]!tbl_採番[[#This Row],[ID]])-2</f>
        <v>15</v>
      </c>
      <c r="B17" s="73">
        <v>2026</v>
      </c>
      <c r="C17" s="71">
        <v>3</v>
      </c>
      <c r="D17" s="71" t="s">
        <v>1894</v>
      </c>
      <c r="E17" s="71" t="s">
        <v>1754</v>
      </c>
      <c r="F17" s="72" t="s">
        <v>1944</v>
      </c>
      <c r="G17" s="118" t="str">
        <f>IF(ISBLANK([1]!tbl_採番[[#This Row],[年]]),"",(RIGHT([1]!tbl_採番[[#This Row],[年]],2)&amp;TEXT([1]!tbl_採番[[#This Row],[月]],"00")&amp;"-1"&amp;TEXT(COUNTIFS(B$3:B17,B17,C$3:C17,C17),"000")&amp;"-"&amp;_xlfn.XLOOKUP([1]!tbl_採番[[#This Row],[担当者]],[1]入力ルール用シート!$D$2:$D$8,[1]入力ルール用シート!$E$2:$E$8,"",0,1)&amp;_xlfn.XLOOKUP([1]!tbl_採番[[#This Row],[支店]],[1]入力ルール用シート!$F$2:$F$3,[1]入力ルール用シート!$G$2:$G$3,"",0,1)))</f>
        <v>2603-1002-S01</v>
      </c>
      <c r="H17" s="71" t="s">
        <v>1949</v>
      </c>
    </row>
    <row r="18" spans="1:8">
      <c r="A18" s="74">
        <f>ROW([1]!tbl_採番[[#This Row],[ID]])-2</f>
        <v>16</v>
      </c>
      <c r="B18" s="73">
        <v>2026</v>
      </c>
      <c r="C18" s="71">
        <v>3</v>
      </c>
      <c r="D18" s="71" t="s">
        <v>1894</v>
      </c>
      <c r="E18" s="71" t="s">
        <v>1754</v>
      </c>
      <c r="F18" s="72" t="s">
        <v>1775</v>
      </c>
      <c r="G18" s="118" t="str">
        <f>IF(ISBLANK([1]!tbl_採番[[#This Row],[年]]),"",(RIGHT([1]!tbl_採番[[#This Row],[年]],2)&amp;TEXT([1]!tbl_採番[[#This Row],[月]],"00")&amp;"-1"&amp;TEXT(COUNTIFS(B$3:B18,B18,C$3:C18,C18),"000")&amp;"-"&amp;_xlfn.XLOOKUP([1]!tbl_採番[[#This Row],[担当者]],[1]入力ルール用シート!$D$2:$D$8,[1]入力ルール用シート!$E$2:$E$8,"",0,1)&amp;_xlfn.XLOOKUP([1]!tbl_採番[[#This Row],[支店]],[1]入力ルール用シート!$F$2:$F$3,[1]入力ルール用シート!$G$2:$G$3,"",0,1)))</f>
        <v>2603-1003-S01</v>
      </c>
      <c r="H18" s="71" t="s">
        <v>1948</v>
      </c>
    </row>
    <row r="19" spans="1:8" s="53" customFormat="1">
      <c r="A19" s="73">
        <f>ROW([1]!tbl_採番[[#This Row],[ID]])-2</f>
        <v>17</v>
      </c>
      <c r="B19" s="73">
        <v>2026</v>
      </c>
      <c r="C19" s="71">
        <v>3</v>
      </c>
      <c r="D19" s="71" t="s">
        <v>2059</v>
      </c>
      <c r="E19" s="71" t="s">
        <v>2060</v>
      </c>
      <c r="F19" s="72" t="s">
        <v>2061</v>
      </c>
      <c r="G19" s="118" t="str">
        <f>IF(ISBLANK([1]!tbl_採番[[#This Row],[年]]),"",(RIGHT([1]!tbl_採番[[#This Row],[年]],2)&amp;TEXT([1]!tbl_採番[[#This Row],[月]],"00")&amp;"-1"&amp;TEXT(COUNTIFS(B$3:B19,B19,C$3:C19,C19),"000")&amp;"-"&amp;_xlfn.XLOOKUP([1]!tbl_採番[[#This Row],[担当者]],[1]入力ルール用シート!$D$2:$D$8,[1]入力ルール用シート!$E$2:$E$8,"",0,1)&amp;_xlfn.XLOOKUP([1]!tbl_採番[[#This Row],[支店]],[1]入力ルール用シート!$F$2:$F$3,[1]入力ルール用シート!$G$2:$G$3,"",0,1)))</f>
        <v>2603-1004-S01</v>
      </c>
      <c r="H19" s="71" t="s">
        <v>2062</v>
      </c>
    </row>
    <row r="20" spans="1:8">
      <c r="A20" s="212">
        <f>ROW([1]!tbl_採番[[#This Row],[ID]])-2</f>
        <v>18</v>
      </c>
      <c r="B20" s="73"/>
      <c r="C20" s="71"/>
      <c r="D20" s="71"/>
      <c r="E20" s="71"/>
      <c r="F20" s="72"/>
      <c r="G20" s="118" t="str">
        <f>IF(ISBLANK([1]!tbl_採番[[#This Row],[年]]),"",(RIGHT([1]!tbl_採番[[#This Row],[年]],2)&amp;TEXT([1]!tbl_採番[[#This Row],[月]],"00")&amp;"-1"&amp;TEXT(COUNTIFS(B$3:B20,B20,C$3:C20,C20),"000")&amp;"-"&amp;_xlfn.XLOOKUP([1]!tbl_採番[[#This Row],[担当者]],[1]入力ルール用シート!$D$2:$D$8,[1]入力ルール用シート!$E$2:$E$8,"",0,1)&amp;_xlfn.XLOOKUP([1]!tbl_採番[[#This Row],[支店]],[1]入力ルール用シート!$F$2:$F$3,[1]入力ルール用シート!$G$2:$G$3,"",0,1)))</f>
        <v/>
      </c>
      <c r="H20" s="71"/>
    </row>
    <row r="21" spans="1:8">
      <c r="A21" s="212">
        <f>ROW([1]!tbl_採番[[#This Row],[ID]])-2</f>
        <v>19</v>
      </c>
      <c r="B21" s="73"/>
      <c r="C21" s="71"/>
      <c r="D21" s="71"/>
      <c r="E21" s="71"/>
      <c r="F21" s="72"/>
      <c r="G21" s="118" t="str">
        <f>IF(ISBLANK([1]!tbl_採番[[#This Row],[年]]),"",(RIGHT([1]!tbl_採番[[#This Row],[年]],2)&amp;TEXT([1]!tbl_採番[[#This Row],[月]],"00")&amp;"-1"&amp;TEXT(COUNTIFS(B$3:B21,B21,C$3:C21,C21),"000")&amp;"-"&amp;_xlfn.XLOOKUP([1]!tbl_採番[[#This Row],[担当者]],[1]入力ルール用シート!$D$2:$D$8,[1]入力ルール用シート!$E$2:$E$8,"",0,1)&amp;_xlfn.XLOOKUP([1]!tbl_採番[[#This Row],[支店]],[1]入力ルール用シート!$F$2:$F$3,[1]入力ルール用シート!$G$2:$G$3,"",0,1)))</f>
        <v/>
      </c>
      <c r="H21" s="71"/>
    </row>
    <row r="22" spans="1:8">
      <c r="A22" s="212">
        <f>ROW([1]!tbl_採番[[#This Row],[ID]])-2</f>
        <v>20</v>
      </c>
      <c r="B22" s="73"/>
      <c r="C22" s="71"/>
      <c r="D22" s="71"/>
      <c r="E22" s="71"/>
      <c r="F22" s="72"/>
      <c r="G22" s="118" t="str">
        <f>IF(ISBLANK([1]!tbl_採番[[#This Row],[年]]),"",(RIGHT([1]!tbl_採番[[#This Row],[年]],2)&amp;TEXT([1]!tbl_採番[[#This Row],[月]],"00")&amp;"-1"&amp;TEXT(COUNTIFS(B$3:B22,B22,C$3:C22,C22),"000")&amp;"-"&amp;_xlfn.XLOOKUP([1]!tbl_採番[[#This Row],[担当者]],[1]入力ルール用シート!$D$2:$D$8,[1]入力ルール用シート!$E$2:$E$8,"",0,1)&amp;_xlfn.XLOOKUP([1]!tbl_採番[[#This Row],[支店]],[1]入力ルール用シート!$F$2:$F$3,[1]入力ルール用シート!$G$2:$G$3,"",0,1)))</f>
        <v/>
      </c>
      <c r="H22" s="71"/>
    </row>
    <row r="23" spans="1:8">
      <c r="A23" s="212">
        <f>ROW([1]!tbl_採番[[#This Row],[ID]])-2</f>
        <v>21</v>
      </c>
      <c r="B23" s="73"/>
      <c r="C23" s="71"/>
      <c r="D23" s="71"/>
      <c r="E23" s="71"/>
      <c r="F23" s="72"/>
      <c r="G23" s="118" t="str">
        <f>IF(ISBLANK([1]!tbl_採番[[#This Row],[年]]),"",(RIGHT([1]!tbl_採番[[#This Row],[年]],2)&amp;TEXT([1]!tbl_採番[[#This Row],[月]],"00")&amp;"-1"&amp;TEXT(COUNTIFS(B$3:B23,B23,C$3:C23,C23),"000")&amp;"-"&amp;_xlfn.XLOOKUP([1]!tbl_採番[[#This Row],[担当者]],[1]入力ルール用シート!$D$2:$D$8,[1]入力ルール用シート!$E$2:$E$8,"",0,1)&amp;_xlfn.XLOOKUP([1]!tbl_採番[[#This Row],[支店]],[1]入力ルール用シート!$F$2:$F$3,[1]入力ルール用シート!$G$2:$G$3,"",0,1)))</f>
        <v/>
      </c>
      <c r="H23" s="71"/>
    </row>
    <row r="24" spans="1:8">
      <c r="A24" s="212">
        <f>ROW([1]!tbl_採番[[#This Row],[ID]])-2</f>
        <v>22</v>
      </c>
      <c r="B24" s="73"/>
      <c r="C24" s="71"/>
      <c r="D24" s="71"/>
      <c r="E24" s="71"/>
      <c r="F24" s="72"/>
      <c r="G24" s="118" t="str">
        <f>IF(ISBLANK([1]!tbl_採番[[#This Row],[年]]),"",(RIGHT([1]!tbl_採番[[#This Row],[年]],2)&amp;TEXT([1]!tbl_採番[[#This Row],[月]],"00")&amp;"-1"&amp;TEXT(COUNTIFS(B$3:B24,B24,C$3:C24,C24),"000")&amp;"-"&amp;_xlfn.XLOOKUP([1]!tbl_採番[[#This Row],[担当者]],[1]入力ルール用シート!$D$2:$D$8,[1]入力ルール用シート!$E$2:$E$8,"",0,1)&amp;_xlfn.XLOOKUP([1]!tbl_採番[[#This Row],[支店]],[1]入力ルール用シート!$F$2:$F$3,[1]入力ルール用シート!$G$2:$G$3,"",0,1)))</f>
        <v/>
      </c>
      <c r="H24" s="71"/>
    </row>
    <row r="25" spans="1:8">
      <c r="A25" s="212">
        <f>ROW([1]!tbl_採番[[#This Row],[ID]])-2</f>
        <v>23</v>
      </c>
      <c r="B25" s="73"/>
      <c r="C25" s="71"/>
      <c r="D25" s="71"/>
      <c r="E25" s="71"/>
      <c r="F25" s="72"/>
      <c r="G25" s="118" t="str">
        <f>IF(ISBLANK([1]!tbl_採番[[#This Row],[年]]),"",(RIGHT([1]!tbl_採番[[#This Row],[年]],2)&amp;TEXT([1]!tbl_採番[[#This Row],[月]],"00")&amp;"-1"&amp;TEXT(COUNTIFS(B$3:B25,B25,C$3:C25,C25),"000")&amp;"-"&amp;_xlfn.XLOOKUP([1]!tbl_採番[[#This Row],[担当者]],[1]入力ルール用シート!$D$2:$D$8,[1]入力ルール用シート!$E$2:$E$8,"",0,1)&amp;_xlfn.XLOOKUP([1]!tbl_採番[[#This Row],[支店]],[1]入力ルール用シート!$F$2:$F$3,[1]入力ルール用シート!$G$2:$G$3,"",0,1)))</f>
        <v/>
      </c>
      <c r="H25" s="71"/>
    </row>
    <row r="26" spans="1:8">
      <c r="A26" s="212">
        <f>ROW([1]!tbl_採番[[#This Row],[ID]])-2</f>
        <v>24</v>
      </c>
      <c r="B26" s="73"/>
      <c r="C26" s="71"/>
      <c r="D26" s="71"/>
      <c r="E26" s="71"/>
      <c r="F26" s="72"/>
      <c r="G26" s="118" t="str">
        <f>IF(ISBLANK([1]!tbl_採番[[#This Row],[年]]),"",(RIGHT([1]!tbl_採番[[#This Row],[年]],2)&amp;TEXT([1]!tbl_採番[[#This Row],[月]],"00")&amp;"-1"&amp;TEXT(COUNTIFS(B$3:B26,B26,C$3:C26,C26),"000")&amp;"-"&amp;_xlfn.XLOOKUP([1]!tbl_採番[[#This Row],[担当者]],[1]入力ルール用シート!$D$2:$D$8,[1]入力ルール用シート!$E$2:$E$8,"",0,1)&amp;_xlfn.XLOOKUP([1]!tbl_採番[[#This Row],[支店]],[1]入力ルール用シート!$F$2:$F$3,[1]入力ルール用シート!$G$2:$G$3,"",0,1)))</f>
        <v/>
      </c>
      <c r="H26" s="71"/>
    </row>
    <row r="27" spans="1:8">
      <c r="A27" s="212">
        <f>ROW([1]!tbl_採番[[#This Row],[ID]])-2</f>
        <v>25</v>
      </c>
      <c r="B27" s="73"/>
      <c r="C27" s="71"/>
      <c r="D27" s="71"/>
      <c r="E27" s="71"/>
      <c r="F27" s="72"/>
      <c r="G27" s="118" t="str">
        <f>IF(ISBLANK([1]!tbl_採番[[#This Row],[年]]),"",(RIGHT([1]!tbl_採番[[#This Row],[年]],2)&amp;TEXT([1]!tbl_採番[[#This Row],[月]],"00")&amp;"-1"&amp;TEXT(COUNTIFS(B$3:B27,B27,C$3:C27,C27),"000")&amp;"-"&amp;_xlfn.XLOOKUP([1]!tbl_採番[[#This Row],[担当者]],[1]入力ルール用シート!$D$2:$D$8,[1]入力ルール用シート!$E$2:$E$8,"",0,1)&amp;_xlfn.XLOOKUP([1]!tbl_採番[[#This Row],[支店]],[1]入力ルール用シート!$F$2:$F$3,[1]入力ルール用シート!$G$2:$G$3,"",0,1)))</f>
        <v/>
      </c>
      <c r="H27" s="71"/>
    </row>
    <row r="28" spans="1:8">
      <c r="A28" s="212">
        <f>ROW([1]!tbl_採番[[#This Row],[ID]])-2</f>
        <v>26</v>
      </c>
      <c r="B28" s="73"/>
      <c r="C28" s="71"/>
      <c r="D28" s="71"/>
      <c r="E28" s="71"/>
      <c r="F28" s="72"/>
      <c r="G28" s="118" t="str">
        <f>IF(ISBLANK([1]!tbl_採番[[#This Row],[年]]),"",(RIGHT([1]!tbl_採番[[#This Row],[年]],2)&amp;TEXT([1]!tbl_採番[[#This Row],[月]],"00")&amp;"-1"&amp;TEXT(COUNTIFS(B$3:B28,B28,C$3:C28,C28),"000")&amp;"-"&amp;_xlfn.XLOOKUP([1]!tbl_採番[[#This Row],[担当者]],[1]入力ルール用シート!$D$2:$D$8,[1]入力ルール用シート!$E$2:$E$8,"",0,1)&amp;_xlfn.XLOOKUP([1]!tbl_採番[[#This Row],[支店]],[1]入力ルール用シート!$F$2:$F$3,[1]入力ルール用シート!$G$2:$G$3,"",0,1)))</f>
        <v/>
      </c>
      <c r="H28" s="71"/>
    </row>
    <row r="29" spans="1:8">
      <c r="A29" s="212">
        <f>ROW([1]!tbl_採番[[#This Row],[ID]])-2</f>
        <v>27</v>
      </c>
      <c r="B29" s="73"/>
      <c r="C29" s="71"/>
      <c r="D29" s="71"/>
      <c r="E29" s="71"/>
      <c r="F29" s="72"/>
      <c r="G29" s="118" t="str">
        <f>IF(ISBLANK([1]!tbl_採番[[#This Row],[年]]),"",(RIGHT([1]!tbl_採番[[#This Row],[年]],2)&amp;TEXT([1]!tbl_採番[[#This Row],[月]],"00")&amp;"-1"&amp;TEXT(COUNTIFS(B$3:B29,B29,C$3:C29,C29),"000")&amp;"-"&amp;_xlfn.XLOOKUP([1]!tbl_採番[[#This Row],[担当者]],[1]入力ルール用シート!$D$2:$D$8,[1]入力ルール用シート!$E$2:$E$8,"",0,1)&amp;_xlfn.XLOOKUP([1]!tbl_採番[[#This Row],[支店]],[1]入力ルール用シート!$F$2:$F$3,[1]入力ルール用シート!$G$2:$G$3,"",0,1)))</f>
        <v/>
      </c>
      <c r="H29" s="71"/>
    </row>
    <row r="30" spans="1:8">
      <c r="A30" s="212">
        <f>ROW([1]!tbl_採番[[#This Row],[ID]])-2</f>
        <v>28</v>
      </c>
      <c r="B30" s="73"/>
      <c r="C30" s="71"/>
      <c r="D30" s="71"/>
      <c r="E30" s="71"/>
      <c r="F30" s="72"/>
      <c r="G30" s="118" t="str">
        <f>IF(ISBLANK([1]!tbl_採番[[#This Row],[年]]),"",(RIGHT([1]!tbl_採番[[#This Row],[年]],2)&amp;TEXT([1]!tbl_採番[[#This Row],[月]],"00")&amp;"-1"&amp;TEXT(COUNTIFS(B$3:B30,B30,C$3:C30,C30),"000")&amp;"-"&amp;_xlfn.XLOOKUP([1]!tbl_採番[[#This Row],[担当者]],[1]入力ルール用シート!$D$2:$D$8,[1]入力ルール用シート!$E$2:$E$8,"",0,1)&amp;_xlfn.XLOOKUP([1]!tbl_採番[[#This Row],[支店]],[1]入力ルール用シート!$F$2:$F$3,[1]入力ルール用シート!$G$2:$G$3,"",0,1)))</f>
        <v/>
      </c>
      <c r="H30" s="71"/>
    </row>
    <row r="31" spans="1:8">
      <c r="A31" s="212">
        <f>ROW([1]!tbl_採番[[#This Row],[ID]])-2</f>
        <v>29</v>
      </c>
      <c r="B31" s="73"/>
      <c r="C31" s="71"/>
      <c r="D31" s="71"/>
      <c r="E31" s="71"/>
      <c r="F31" s="72"/>
      <c r="G31" s="118" t="str">
        <f>IF(ISBLANK([1]!tbl_採番[[#This Row],[年]]),"",(RIGHT([1]!tbl_採番[[#This Row],[年]],2)&amp;TEXT([1]!tbl_採番[[#This Row],[月]],"00")&amp;"-1"&amp;TEXT(COUNTIFS(B$3:B31,B31,C$3:C31,C31),"000")&amp;"-"&amp;_xlfn.XLOOKUP([1]!tbl_採番[[#This Row],[担当者]],[1]入力ルール用シート!$D$2:$D$8,[1]入力ルール用シート!$E$2:$E$8,"",0,1)&amp;_xlfn.XLOOKUP([1]!tbl_採番[[#This Row],[支店]],[1]入力ルール用シート!$F$2:$F$3,[1]入力ルール用シート!$G$2:$G$3,"",0,1)))</f>
        <v/>
      </c>
      <c r="H31" s="71"/>
    </row>
    <row r="32" spans="1:8">
      <c r="A32" s="212">
        <f>ROW([1]!tbl_採番[[#This Row],[ID]])-2</f>
        <v>30</v>
      </c>
      <c r="B32" s="73"/>
      <c r="C32" s="71"/>
      <c r="D32" s="71"/>
      <c r="E32" s="71"/>
      <c r="F32" s="72"/>
      <c r="G32" s="118" t="str">
        <f>IF(ISBLANK([1]!tbl_採番[[#This Row],[年]]),"",(RIGHT([1]!tbl_採番[[#This Row],[年]],2)&amp;TEXT([1]!tbl_採番[[#This Row],[月]],"00")&amp;"-1"&amp;TEXT(COUNTIFS(B$3:B32,B32,C$3:C32,C32),"000")&amp;"-"&amp;_xlfn.XLOOKUP([1]!tbl_採番[[#This Row],[担当者]],[1]入力ルール用シート!$D$2:$D$8,[1]入力ルール用シート!$E$2:$E$8,"",0,1)&amp;_xlfn.XLOOKUP([1]!tbl_採番[[#This Row],[支店]],[1]入力ルール用シート!$F$2:$F$3,[1]入力ルール用シート!$G$2:$G$3,"",0,1)))</f>
        <v/>
      </c>
      <c r="H32" s="71"/>
    </row>
    <row r="33" spans="1:8">
      <c r="A33" s="212">
        <f>ROW([1]!tbl_採番[[#This Row],[ID]])-2</f>
        <v>31</v>
      </c>
      <c r="B33" s="73"/>
      <c r="C33" s="71"/>
      <c r="D33" s="71"/>
      <c r="E33" s="71"/>
      <c r="F33" s="72"/>
      <c r="G33" s="118" t="str">
        <f>IF(ISBLANK([1]!tbl_採番[[#This Row],[年]]),"",(RIGHT([1]!tbl_採番[[#This Row],[年]],2)&amp;TEXT([1]!tbl_採番[[#This Row],[月]],"00")&amp;"-1"&amp;TEXT(COUNTIFS(B$3:B33,B33,C$3:C33,C33),"000")&amp;"-"&amp;_xlfn.XLOOKUP([1]!tbl_採番[[#This Row],[担当者]],[1]入力ルール用シート!$D$2:$D$8,[1]入力ルール用シート!$E$2:$E$8,"",0,1)&amp;_xlfn.XLOOKUP([1]!tbl_採番[[#This Row],[支店]],[1]入力ルール用シート!$F$2:$F$3,[1]入力ルール用シート!$G$2:$G$3,"",0,1)))</f>
        <v/>
      </c>
      <c r="H33" s="71"/>
    </row>
    <row r="34" spans="1:8">
      <c r="A34" s="212">
        <f>ROW([1]!tbl_採番[[#This Row],[ID]])-2</f>
        <v>32</v>
      </c>
      <c r="B34" s="73"/>
      <c r="C34" s="71"/>
      <c r="D34" s="71"/>
      <c r="E34" s="71"/>
      <c r="F34" s="72"/>
      <c r="G34" s="118" t="str">
        <f>IF(ISBLANK([1]!tbl_採番[[#This Row],[年]]),"",(RIGHT([1]!tbl_採番[[#This Row],[年]],2)&amp;TEXT([1]!tbl_採番[[#This Row],[月]],"00")&amp;"-1"&amp;TEXT(COUNTIFS(B$3:B34,B34,C$3:C34,C34),"000")&amp;"-"&amp;_xlfn.XLOOKUP([1]!tbl_採番[[#This Row],[担当者]],[1]入力ルール用シート!$D$2:$D$8,[1]入力ルール用シート!$E$2:$E$8,"",0,1)&amp;_xlfn.XLOOKUP([1]!tbl_採番[[#This Row],[支店]],[1]入力ルール用シート!$F$2:$F$3,[1]入力ルール用シート!$G$2:$G$3,"",0,1)))</f>
        <v/>
      </c>
      <c r="H34" s="71"/>
    </row>
    <row r="35" spans="1:8">
      <c r="A35" s="212">
        <f>ROW([1]!tbl_採番[[#This Row],[ID]])-2</f>
        <v>33</v>
      </c>
      <c r="B35" s="73"/>
      <c r="C35" s="71"/>
      <c r="D35" s="71"/>
      <c r="E35" s="71"/>
      <c r="F35" s="72"/>
      <c r="G35" s="118" t="str">
        <f>IF(ISBLANK([1]!tbl_採番[[#This Row],[年]]),"",(RIGHT([1]!tbl_採番[[#This Row],[年]],2)&amp;TEXT([1]!tbl_採番[[#This Row],[月]],"00")&amp;"-1"&amp;TEXT(COUNTIFS(B$3:B35,B35,C$3:C35,C35),"000")&amp;"-"&amp;_xlfn.XLOOKUP([1]!tbl_採番[[#This Row],[担当者]],[1]入力ルール用シート!$D$2:$D$8,[1]入力ルール用シート!$E$2:$E$8,"",0,1)&amp;_xlfn.XLOOKUP([1]!tbl_採番[[#This Row],[支店]],[1]入力ルール用シート!$F$2:$F$3,[1]入力ルール用シート!$G$2:$G$3,"",0,1)))</f>
        <v/>
      </c>
      <c r="H35" s="71"/>
    </row>
    <row r="36" spans="1:8">
      <c r="A36" s="212">
        <f>ROW([1]!tbl_採番[[#This Row],[ID]])-2</f>
        <v>34</v>
      </c>
      <c r="B36" s="73"/>
      <c r="C36" s="71"/>
      <c r="D36" s="71"/>
      <c r="E36" s="71"/>
      <c r="F36" s="72"/>
      <c r="G36" s="118" t="str">
        <f>IF(ISBLANK([1]!tbl_採番[[#This Row],[年]]),"",(RIGHT([1]!tbl_採番[[#This Row],[年]],2)&amp;TEXT([1]!tbl_採番[[#This Row],[月]],"00")&amp;"-1"&amp;TEXT(COUNTIFS(B$3:B36,B36,C$3:C36,C36),"000")&amp;"-"&amp;_xlfn.XLOOKUP([1]!tbl_採番[[#This Row],[担当者]],[1]入力ルール用シート!$D$2:$D$8,[1]入力ルール用シート!$E$2:$E$8,"",0,1)&amp;_xlfn.XLOOKUP([1]!tbl_採番[[#This Row],[支店]],[1]入力ルール用シート!$F$2:$F$3,[1]入力ルール用シート!$G$2:$G$3,"",0,1)))</f>
        <v/>
      </c>
      <c r="H36" s="71"/>
    </row>
    <row r="37" spans="1:8">
      <c r="A37" s="212">
        <f>ROW([1]!tbl_採番[[#This Row],[ID]])-2</f>
        <v>35</v>
      </c>
      <c r="B37" s="73"/>
      <c r="C37" s="71"/>
      <c r="D37" s="71"/>
      <c r="E37" s="71"/>
      <c r="F37" s="72"/>
      <c r="G37" s="118" t="str">
        <f>IF(ISBLANK([1]!tbl_採番[[#This Row],[年]]),"",(RIGHT([1]!tbl_採番[[#This Row],[年]],2)&amp;TEXT([1]!tbl_採番[[#This Row],[月]],"00")&amp;"-1"&amp;TEXT(COUNTIFS(B$3:B37,B37,C$3:C37,C37),"000")&amp;"-"&amp;_xlfn.XLOOKUP([1]!tbl_採番[[#This Row],[担当者]],[1]入力ルール用シート!$D$2:$D$8,[1]入力ルール用シート!$E$2:$E$8,"",0,1)&amp;_xlfn.XLOOKUP([1]!tbl_採番[[#This Row],[支店]],[1]入力ルール用シート!$F$2:$F$3,[1]入力ルール用シート!$G$2:$G$3,"",0,1)))</f>
        <v/>
      </c>
      <c r="H37" s="71"/>
    </row>
    <row r="38" spans="1:8">
      <c r="A38" s="212">
        <f>ROW([1]!tbl_採番[[#This Row],[ID]])-2</f>
        <v>36</v>
      </c>
      <c r="B38" s="73"/>
      <c r="C38" s="71"/>
      <c r="D38" s="71"/>
      <c r="E38" s="71"/>
      <c r="F38" s="72"/>
      <c r="G38" s="118" t="str">
        <f>IF(ISBLANK([1]!tbl_採番[[#This Row],[年]]),"",(RIGHT([1]!tbl_採番[[#This Row],[年]],2)&amp;TEXT([1]!tbl_採番[[#This Row],[月]],"00")&amp;"-1"&amp;TEXT(COUNTIFS(B$3:B38,B38,C$3:C38,C38),"000")&amp;"-"&amp;_xlfn.XLOOKUP([1]!tbl_採番[[#This Row],[担当者]],[1]入力ルール用シート!$D$2:$D$8,[1]入力ルール用シート!$E$2:$E$8,"",0,1)&amp;_xlfn.XLOOKUP([1]!tbl_採番[[#This Row],[支店]],[1]入力ルール用シート!$F$2:$F$3,[1]入力ルール用シート!$G$2:$G$3,"",0,1)))</f>
        <v/>
      </c>
      <c r="H38" s="71"/>
    </row>
    <row r="39" spans="1:8">
      <c r="A39" s="212">
        <f>ROW([1]!tbl_採番[[#This Row],[ID]])-2</f>
        <v>37</v>
      </c>
      <c r="B39" s="73"/>
      <c r="C39" s="71"/>
      <c r="D39" s="71"/>
      <c r="E39" s="71"/>
      <c r="F39" s="72"/>
      <c r="G39" s="118" t="str">
        <f>IF(ISBLANK([1]!tbl_採番[[#This Row],[年]]),"",(RIGHT([1]!tbl_採番[[#This Row],[年]],2)&amp;TEXT([1]!tbl_採番[[#This Row],[月]],"00")&amp;"-1"&amp;TEXT(COUNTIFS(B$3:B39,B39,C$3:C39,C39),"000")&amp;"-"&amp;_xlfn.XLOOKUP([1]!tbl_採番[[#This Row],[担当者]],[1]入力ルール用シート!$D$2:$D$8,[1]入力ルール用シート!$E$2:$E$8,"",0,1)&amp;_xlfn.XLOOKUP([1]!tbl_採番[[#This Row],[支店]],[1]入力ルール用シート!$F$2:$F$3,[1]入力ルール用シート!$G$2:$G$3,"",0,1)))</f>
        <v/>
      </c>
      <c r="H39" s="71"/>
    </row>
    <row r="40" spans="1:8">
      <c r="A40" s="212">
        <f>ROW([1]!tbl_採番[[#This Row],[ID]])-2</f>
        <v>38</v>
      </c>
      <c r="B40" s="73"/>
      <c r="C40" s="71"/>
      <c r="D40" s="71"/>
      <c r="E40" s="71"/>
      <c r="F40" s="72"/>
      <c r="G40" s="118" t="str">
        <f>IF(ISBLANK([1]!tbl_採番[[#This Row],[年]]),"",(RIGHT([1]!tbl_採番[[#This Row],[年]],2)&amp;TEXT([1]!tbl_採番[[#This Row],[月]],"00")&amp;"-1"&amp;TEXT(COUNTIFS(B$3:B40,B40,C$3:C40,C40),"000")&amp;"-"&amp;_xlfn.XLOOKUP([1]!tbl_採番[[#This Row],[担当者]],[1]入力ルール用シート!$D$2:$D$8,[1]入力ルール用シート!$E$2:$E$8,"",0,1)&amp;_xlfn.XLOOKUP([1]!tbl_採番[[#This Row],[支店]],[1]入力ルール用シート!$F$2:$F$3,[1]入力ルール用シート!$G$2:$G$3,"",0,1)))</f>
        <v/>
      </c>
      <c r="H40" s="71"/>
    </row>
    <row r="41" spans="1:8">
      <c r="A41" s="212">
        <f>ROW([1]!tbl_採番[[#This Row],[ID]])-2</f>
        <v>39</v>
      </c>
      <c r="B41" s="73"/>
      <c r="C41" s="71"/>
      <c r="D41" s="71"/>
      <c r="E41" s="71"/>
      <c r="F41" s="72"/>
      <c r="G41" s="118" t="str">
        <f>IF(ISBLANK([1]!tbl_採番[[#This Row],[年]]),"",(RIGHT([1]!tbl_採番[[#This Row],[年]],2)&amp;TEXT([1]!tbl_採番[[#This Row],[月]],"00")&amp;"-1"&amp;TEXT(COUNTIFS(B$3:B41,B41,C$3:C41,C41),"000")&amp;"-"&amp;_xlfn.XLOOKUP([1]!tbl_採番[[#This Row],[担当者]],[1]入力ルール用シート!$D$2:$D$8,[1]入力ルール用シート!$E$2:$E$8,"",0,1)&amp;_xlfn.XLOOKUP([1]!tbl_採番[[#This Row],[支店]],[1]入力ルール用シート!$F$2:$F$3,[1]入力ルール用シート!$G$2:$G$3,"",0,1)))</f>
        <v/>
      </c>
      <c r="H41" s="71"/>
    </row>
    <row r="42" spans="1:8">
      <c r="A42" s="212">
        <f>ROW([1]!tbl_採番[[#This Row],[ID]])-2</f>
        <v>40</v>
      </c>
      <c r="B42" s="73"/>
      <c r="C42" s="71"/>
      <c r="D42" s="71"/>
      <c r="E42" s="71"/>
      <c r="F42" s="72"/>
      <c r="G42" s="118" t="str">
        <f>IF(ISBLANK([1]!tbl_採番[[#This Row],[年]]),"",(RIGHT([1]!tbl_採番[[#This Row],[年]],2)&amp;TEXT([1]!tbl_採番[[#This Row],[月]],"00")&amp;"-1"&amp;TEXT(COUNTIFS(B$3:B42,B42,C$3:C42,C42),"000")&amp;"-"&amp;_xlfn.XLOOKUP([1]!tbl_採番[[#This Row],[担当者]],[1]入力ルール用シート!$D$2:$D$8,[1]入力ルール用シート!$E$2:$E$8,"",0,1)&amp;_xlfn.XLOOKUP([1]!tbl_採番[[#This Row],[支店]],[1]入力ルール用シート!$F$2:$F$3,[1]入力ルール用シート!$G$2:$G$3,"",0,1)))</f>
        <v/>
      </c>
      <c r="H42" s="71"/>
    </row>
    <row r="43" spans="1:8">
      <c r="A43" s="212">
        <f>ROW([1]!tbl_採番[[#This Row],[ID]])-2</f>
        <v>41</v>
      </c>
      <c r="B43" s="73"/>
      <c r="C43" s="71"/>
      <c r="D43" s="71"/>
      <c r="E43" s="71"/>
      <c r="F43" s="72"/>
      <c r="G43" s="118" t="str">
        <f>IF(ISBLANK([1]!tbl_採番[[#This Row],[年]]),"",(RIGHT([1]!tbl_採番[[#This Row],[年]],2)&amp;TEXT([1]!tbl_採番[[#This Row],[月]],"00")&amp;"-1"&amp;TEXT(COUNTIFS(B$3:B43,B43,C$3:C43,C43),"000")&amp;"-"&amp;_xlfn.XLOOKUP([1]!tbl_採番[[#This Row],[担当者]],[1]入力ルール用シート!$D$2:$D$8,[1]入力ルール用シート!$E$2:$E$8,"",0,1)&amp;_xlfn.XLOOKUP([1]!tbl_採番[[#This Row],[支店]],[1]入力ルール用シート!$F$2:$F$3,[1]入力ルール用シート!$G$2:$G$3,"",0,1)))</f>
        <v/>
      </c>
      <c r="H43" s="71"/>
    </row>
    <row r="44" spans="1:8">
      <c r="A44" s="212">
        <f>ROW([1]!tbl_採番[[#This Row],[ID]])-2</f>
        <v>42</v>
      </c>
      <c r="B44" s="73"/>
      <c r="C44" s="71"/>
      <c r="D44" s="71"/>
      <c r="E44" s="71"/>
      <c r="F44" s="72"/>
      <c r="G44" s="118" t="str">
        <f>IF(ISBLANK([1]!tbl_採番[[#This Row],[年]]),"",(RIGHT([1]!tbl_採番[[#This Row],[年]],2)&amp;TEXT([1]!tbl_採番[[#This Row],[月]],"00")&amp;"-1"&amp;TEXT(COUNTIFS(B$3:B44,B44,C$3:C44,C44),"000")&amp;"-"&amp;_xlfn.XLOOKUP([1]!tbl_採番[[#This Row],[担当者]],[1]入力ルール用シート!$D$2:$D$8,[1]入力ルール用シート!$E$2:$E$8,"",0,1)&amp;_xlfn.XLOOKUP([1]!tbl_採番[[#This Row],[支店]],[1]入力ルール用シート!$F$2:$F$3,[1]入力ルール用シート!$G$2:$G$3,"",0,1)))</f>
        <v/>
      </c>
      <c r="H44" s="71"/>
    </row>
    <row r="45" spans="1:8">
      <c r="A45" s="212">
        <f>ROW([1]!tbl_採番[[#This Row],[ID]])-2</f>
        <v>43</v>
      </c>
      <c r="B45" s="73"/>
      <c r="C45" s="71"/>
      <c r="D45" s="71"/>
      <c r="E45" s="71"/>
      <c r="F45" s="72"/>
      <c r="G45" s="118" t="str">
        <f>IF(ISBLANK([1]!tbl_採番[[#This Row],[年]]),"",(RIGHT([1]!tbl_採番[[#This Row],[年]],2)&amp;TEXT([1]!tbl_採番[[#This Row],[月]],"00")&amp;"-1"&amp;TEXT(COUNTIFS(B$3:B45,B45,C$3:C45,C45),"000")&amp;"-"&amp;_xlfn.XLOOKUP([1]!tbl_採番[[#This Row],[担当者]],[1]入力ルール用シート!$D$2:$D$8,[1]入力ルール用シート!$E$2:$E$8,"",0,1)&amp;_xlfn.XLOOKUP([1]!tbl_採番[[#This Row],[支店]],[1]入力ルール用シート!$F$2:$F$3,[1]入力ルール用シート!$G$2:$G$3,"",0,1)))</f>
        <v/>
      </c>
      <c r="H45" s="71"/>
    </row>
    <row r="46" spans="1:8">
      <c r="A46" s="212">
        <f>ROW([1]!tbl_採番[[#This Row],[ID]])-2</f>
        <v>44</v>
      </c>
      <c r="B46" s="73"/>
      <c r="C46" s="71"/>
      <c r="D46" s="71"/>
      <c r="E46" s="71"/>
      <c r="F46" s="72"/>
      <c r="G46" s="118" t="str">
        <f>IF(ISBLANK([1]!tbl_採番[[#This Row],[年]]),"",(RIGHT([1]!tbl_採番[[#This Row],[年]],2)&amp;TEXT([1]!tbl_採番[[#This Row],[月]],"00")&amp;"-1"&amp;TEXT(COUNTIFS(B$3:B46,B46,C$3:C46,C46),"000")&amp;"-"&amp;_xlfn.XLOOKUP([1]!tbl_採番[[#This Row],[担当者]],[1]入力ルール用シート!$D$2:$D$8,[1]入力ルール用シート!$E$2:$E$8,"",0,1)&amp;_xlfn.XLOOKUP([1]!tbl_採番[[#This Row],[支店]],[1]入力ルール用シート!$F$2:$F$3,[1]入力ルール用シート!$G$2:$G$3,"",0,1)))</f>
        <v/>
      </c>
      <c r="H46" s="71"/>
    </row>
    <row r="47" spans="1:8">
      <c r="A47" s="212">
        <f>ROW([1]!tbl_採番[[#This Row],[ID]])-2</f>
        <v>45</v>
      </c>
      <c r="B47" s="73"/>
      <c r="C47" s="71"/>
      <c r="D47" s="71"/>
      <c r="E47" s="71"/>
      <c r="F47" s="72"/>
      <c r="G47" s="118" t="str">
        <f>IF(ISBLANK([1]!tbl_採番[[#This Row],[年]]),"",(RIGHT([1]!tbl_採番[[#This Row],[年]],2)&amp;TEXT([1]!tbl_採番[[#This Row],[月]],"00")&amp;"-1"&amp;TEXT(COUNTIFS(B$3:B47,B47,C$3:C47,C47),"000")&amp;"-"&amp;_xlfn.XLOOKUP([1]!tbl_採番[[#This Row],[担当者]],[1]入力ルール用シート!$D$2:$D$8,[1]入力ルール用シート!$E$2:$E$8,"",0,1)&amp;_xlfn.XLOOKUP([1]!tbl_採番[[#This Row],[支店]],[1]入力ルール用シート!$F$2:$F$3,[1]入力ルール用シート!$G$2:$G$3,"",0,1)))</f>
        <v/>
      </c>
      <c r="H47" s="71"/>
    </row>
    <row r="48" spans="1:8">
      <c r="A48" s="212">
        <f>ROW([1]!tbl_採番[[#This Row],[ID]])-2</f>
        <v>46</v>
      </c>
      <c r="B48" s="73"/>
      <c r="C48" s="71"/>
      <c r="D48" s="71"/>
      <c r="E48" s="71"/>
      <c r="F48" s="72"/>
      <c r="G48" s="118" t="str">
        <f>IF(ISBLANK([1]!tbl_採番[[#This Row],[年]]),"",(RIGHT([1]!tbl_採番[[#This Row],[年]],2)&amp;TEXT([1]!tbl_採番[[#This Row],[月]],"00")&amp;"-1"&amp;TEXT(COUNTIFS(B$3:B48,B48,C$3:C48,C48),"000")&amp;"-"&amp;_xlfn.XLOOKUP([1]!tbl_採番[[#This Row],[担当者]],[1]入力ルール用シート!$D$2:$D$8,[1]入力ルール用シート!$E$2:$E$8,"",0,1)&amp;_xlfn.XLOOKUP([1]!tbl_採番[[#This Row],[支店]],[1]入力ルール用シート!$F$2:$F$3,[1]入力ルール用シート!$G$2:$G$3,"",0,1)))</f>
        <v/>
      </c>
      <c r="H48" s="71"/>
    </row>
    <row r="49" spans="1:8">
      <c r="A49" s="212">
        <f>ROW([1]!tbl_採番[[#This Row],[ID]])-2</f>
        <v>47</v>
      </c>
      <c r="B49" s="73"/>
      <c r="C49" s="71"/>
      <c r="D49" s="71"/>
      <c r="E49" s="71"/>
      <c r="F49" s="72"/>
      <c r="G49" s="118" t="str">
        <f>IF(ISBLANK([1]!tbl_採番[[#This Row],[年]]),"",(RIGHT([1]!tbl_採番[[#This Row],[年]],2)&amp;TEXT([1]!tbl_採番[[#This Row],[月]],"00")&amp;"-1"&amp;TEXT(COUNTIFS(B$3:B49,B49,C$3:C49,C49),"000")&amp;"-"&amp;_xlfn.XLOOKUP([1]!tbl_採番[[#This Row],[担当者]],[1]入力ルール用シート!$D$2:$D$8,[1]入力ルール用シート!$E$2:$E$8,"",0,1)&amp;_xlfn.XLOOKUP([1]!tbl_採番[[#This Row],[支店]],[1]入力ルール用シート!$F$2:$F$3,[1]入力ルール用シート!$G$2:$G$3,"",0,1)))</f>
        <v/>
      </c>
      <c r="H49" s="71"/>
    </row>
    <row r="50" spans="1:8">
      <c r="A50" s="212">
        <f>ROW([1]!tbl_採番[[#This Row],[ID]])-2</f>
        <v>48</v>
      </c>
      <c r="B50" s="73"/>
      <c r="C50" s="71"/>
      <c r="D50" s="71"/>
      <c r="E50" s="71"/>
      <c r="F50" s="72"/>
      <c r="G50" s="118" t="str">
        <f>IF(ISBLANK([1]!tbl_採番[[#This Row],[年]]),"",(RIGHT([1]!tbl_採番[[#This Row],[年]],2)&amp;TEXT([1]!tbl_採番[[#This Row],[月]],"00")&amp;"-1"&amp;TEXT(COUNTIFS(B$3:B50,B50,C$3:C50,C50),"000")&amp;"-"&amp;_xlfn.XLOOKUP([1]!tbl_採番[[#This Row],[担当者]],[1]入力ルール用シート!$D$2:$D$8,[1]入力ルール用シート!$E$2:$E$8,"",0,1)&amp;_xlfn.XLOOKUP([1]!tbl_採番[[#This Row],[支店]],[1]入力ルール用シート!$F$2:$F$3,[1]入力ルール用シート!$G$2:$G$3,"",0,1)))</f>
        <v/>
      </c>
      <c r="H50" s="71"/>
    </row>
    <row r="51" spans="1:8">
      <c r="A51" s="212">
        <f>ROW([1]!tbl_採番[[#This Row],[ID]])-2</f>
        <v>49</v>
      </c>
      <c r="B51" s="73"/>
      <c r="C51" s="71"/>
      <c r="D51" s="71"/>
      <c r="E51" s="71"/>
      <c r="F51" s="72"/>
      <c r="G51" s="118" t="str">
        <f>IF(ISBLANK([1]!tbl_採番[[#This Row],[年]]),"",(RIGHT([1]!tbl_採番[[#This Row],[年]],2)&amp;TEXT([1]!tbl_採番[[#This Row],[月]],"00")&amp;"-1"&amp;TEXT(COUNTIFS(B$3:B51,B51,C$3:C51,C51),"000")&amp;"-"&amp;_xlfn.XLOOKUP([1]!tbl_採番[[#This Row],[担当者]],[1]入力ルール用シート!$D$2:$D$8,[1]入力ルール用シート!$E$2:$E$8,"",0,1)&amp;_xlfn.XLOOKUP([1]!tbl_採番[[#This Row],[支店]],[1]入力ルール用シート!$F$2:$F$3,[1]入力ルール用シート!$G$2:$G$3,"",0,1)))</f>
        <v/>
      </c>
      <c r="H51" s="71"/>
    </row>
    <row r="52" spans="1:8">
      <c r="A52" s="212">
        <f>ROW([1]!tbl_採番[[#This Row],[ID]])-2</f>
        <v>50</v>
      </c>
      <c r="B52" s="73"/>
      <c r="C52" s="71"/>
      <c r="D52" s="71"/>
      <c r="E52" s="71"/>
      <c r="F52" s="72"/>
      <c r="G52" s="118" t="str">
        <f>IF(ISBLANK([1]!tbl_採番[[#This Row],[年]]),"",(RIGHT([1]!tbl_採番[[#This Row],[年]],2)&amp;TEXT([1]!tbl_採番[[#This Row],[月]],"00")&amp;"-1"&amp;TEXT(COUNTIFS(B$3:B52,B52,C$3:C52,C52),"000")&amp;"-"&amp;_xlfn.XLOOKUP([1]!tbl_採番[[#This Row],[担当者]],[1]入力ルール用シート!$D$2:$D$8,[1]入力ルール用シート!$E$2:$E$8,"",0,1)&amp;_xlfn.XLOOKUP([1]!tbl_採番[[#This Row],[支店]],[1]入力ルール用シート!$F$2:$F$3,[1]入力ルール用シート!$G$2:$G$3,"",0,1)))</f>
        <v/>
      </c>
      <c r="H52" s="71"/>
    </row>
    <row r="53" spans="1:8">
      <c r="A53" s="212">
        <f>ROW([1]!tbl_採番[[#This Row],[ID]])-2</f>
        <v>51</v>
      </c>
      <c r="B53" s="73"/>
      <c r="C53" s="71"/>
      <c r="D53" s="71"/>
      <c r="E53" s="71"/>
      <c r="F53" s="72"/>
      <c r="G53" s="118" t="str">
        <f>IF(ISBLANK([1]!tbl_採番[[#This Row],[年]]),"",(RIGHT([1]!tbl_採番[[#This Row],[年]],2)&amp;TEXT([1]!tbl_採番[[#This Row],[月]],"00")&amp;"-1"&amp;TEXT(COUNTIFS(B$3:B53,B53,C$3:C53,C53),"000")&amp;"-"&amp;_xlfn.XLOOKUP([1]!tbl_採番[[#This Row],[担当者]],[1]入力ルール用シート!$D$2:$D$8,[1]入力ルール用シート!$E$2:$E$8,"",0,1)&amp;_xlfn.XLOOKUP([1]!tbl_採番[[#This Row],[支店]],[1]入力ルール用シート!$F$2:$F$3,[1]入力ルール用シート!$G$2:$G$3,"",0,1)))</f>
        <v/>
      </c>
      <c r="H53" s="71"/>
    </row>
    <row r="54" spans="1:8">
      <c r="A54" s="212">
        <f>ROW([1]!tbl_採番[[#This Row],[ID]])-2</f>
        <v>52</v>
      </c>
      <c r="B54" s="73"/>
      <c r="C54" s="71"/>
      <c r="D54" s="71"/>
      <c r="E54" s="71"/>
      <c r="F54" s="72"/>
      <c r="G54" s="118" t="str">
        <f>IF(ISBLANK([1]!tbl_採番[[#This Row],[年]]),"",(RIGHT([1]!tbl_採番[[#This Row],[年]],2)&amp;TEXT([1]!tbl_採番[[#This Row],[月]],"00")&amp;"-1"&amp;TEXT(COUNTIFS(B$3:B54,B54,C$3:C54,C54),"000")&amp;"-"&amp;_xlfn.XLOOKUP([1]!tbl_採番[[#This Row],[担当者]],[1]入力ルール用シート!$D$2:$D$8,[1]入力ルール用シート!$E$2:$E$8,"",0,1)&amp;_xlfn.XLOOKUP([1]!tbl_採番[[#This Row],[支店]],[1]入力ルール用シート!$F$2:$F$3,[1]入力ルール用シート!$G$2:$G$3,"",0,1)))</f>
        <v/>
      </c>
      <c r="H54" s="71"/>
    </row>
    <row r="55" spans="1:8">
      <c r="A55" s="212">
        <f>ROW([1]!tbl_採番[[#This Row],[ID]])-2</f>
        <v>53</v>
      </c>
      <c r="B55" s="73"/>
      <c r="C55" s="71"/>
      <c r="D55" s="71"/>
      <c r="E55" s="71"/>
      <c r="F55" s="72"/>
      <c r="G55" s="118" t="str">
        <f>IF(ISBLANK([1]!tbl_採番[[#This Row],[年]]),"",(RIGHT([1]!tbl_採番[[#This Row],[年]],2)&amp;TEXT([1]!tbl_採番[[#This Row],[月]],"00")&amp;"-1"&amp;TEXT(COUNTIFS(B$3:B55,B55,C$3:C55,C55),"000")&amp;"-"&amp;_xlfn.XLOOKUP([1]!tbl_採番[[#This Row],[担当者]],[1]入力ルール用シート!$D$2:$D$8,[1]入力ルール用シート!$E$2:$E$8,"",0,1)&amp;_xlfn.XLOOKUP([1]!tbl_採番[[#This Row],[支店]],[1]入力ルール用シート!$F$2:$F$3,[1]入力ルール用シート!$G$2:$G$3,"",0,1)))</f>
        <v/>
      </c>
      <c r="H55" s="71"/>
    </row>
    <row r="56" spans="1:8">
      <c r="A56" s="212">
        <f>ROW([1]!tbl_採番[[#This Row],[ID]])-2</f>
        <v>54</v>
      </c>
      <c r="B56" s="73"/>
      <c r="C56" s="71"/>
      <c r="D56" s="71"/>
      <c r="E56" s="71"/>
      <c r="F56" s="72"/>
      <c r="G56" s="118" t="str">
        <f>IF(ISBLANK([1]!tbl_採番[[#This Row],[年]]),"",(RIGHT([1]!tbl_採番[[#This Row],[年]],2)&amp;TEXT([1]!tbl_採番[[#This Row],[月]],"00")&amp;"-1"&amp;TEXT(COUNTIFS(B$3:B56,B56,C$3:C56,C56),"000")&amp;"-"&amp;_xlfn.XLOOKUP([1]!tbl_採番[[#This Row],[担当者]],[1]入力ルール用シート!$D$2:$D$8,[1]入力ルール用シート!$E$2:$E$8,"",0,1)&amp;_xlfn.XLOOKUP([1]!tbl_採番[[#This Row],[支店]],[1]入力ルール用シート!$F$2:$F$3,[1]入力ルール用シート!$G$2:$G$3,"",0,1)))</f>
        <v/>
      </c>
      <c r="H56" s="71"/>
    </row>
    <row r="57" spans="1:8">
      <c r="A57" s="212">
        <f>ROW([1]!tbl_採番[[#This Row],[ID]])-2</f>
        <v>55</v>
      </c>
      <c r="B57" s="73"/>
      <c r="C57" s="71"/>
      <c r="D57" s="71"/>
      <c r="E57" s="71"/>
      <c r="F57" s="72"/>
      <c r="G57" s="118" t="str">
        <f>IF(ISBLANK([1]!tbl_採番[[#This Row],[年]]),"",(RIGHT([1]!tbl_採番[[#This Row],[年]],2)&amp;TEXT([1]!tbl_採番[[#This Row],[月]],"00")&amp;"-1"&amp;TEXT(COUNTIFS(B$3:B57,B57,C$3:C57,C57),"000")&amp;"-"&amp;_xlfn.XLOOKUP([1]!tbl_採番[[#This Row],[担当者]],[1]入力ルール用シート!$D$2:$D$8,[1]入力ルール用シート!$E$2:$E$8,"",0,1)&amp;_xlfn.XLOOKUP([1]!tbl_採番[[#This Row],[支店]],[1]入力ルール用シート!$F$2:$F$3,[1]入力ルール用シート!$G$2:$G$3,"",0,1)))</f>
        <v/>
      </c>
      <c r="H57" s="71"/>
    </row>
    <row r="58" spans="1:8">
      <c r="A58" s="212">
        <f>ROW([1]!tbl_採番[[#This Row],[ID]])-2</f>
        <v>56</v>
      </c>
      <c r="B58" s="73"/>
      <c r="C58" s="71"/>
      <c r="D58" s="71"/>
      <c r="E58" s="71"/>
      <c r="F58" s="72"/>
      <c r="G58" s="118" t="str">
        <f>IF(ISBLANK([1]!tbl_採番[[#This Row],[年]]),"",(RIGHT([1]!tbl_採番[[#This Row],[年]],2)&amp;TEXT([1]!tbl_採番[[#This Row],[月]],"00")&amp;"-1"&amp;TEXT(COUNTIFS(B$3:B58,B58,C$3:C58,C58),"000")&amp;"-"&amp;_xlfn.XLOOKUP([1]!tbl_採番[[#This Row],[担当者]],[1]入力ルール用シート!$D$2:$D$8,[1]入力ルール用シート!$E$2:$E$8,"",0,1)&amp;_xlfn.XLOOKUP([1]!tbl_採番[[#This Row],[支店]],[1]入力ルール用シート!$F$2:$F$3,[1]入力ルール用シート!$G$2:$G$3,"",0,1)))</f>
        <v/>
      </c>
      <c r="H58" s="71"/>
    </row>
    <row r="59" spans="1:8">
      <c r="A59" s="212">
        <f>ROW([1]!tbl_採番[[#This Row],[ID]])-2</f>
        <v>57</v>
      </c>
      <c r="B59" s="73"/>
      <c r="C59" s="71"/>
      <c r="D59" s="71"/>
      <c r="E59" s="71"/>
      <c r="F59" s="72"/>
      <c r="G59" s="118" t="str">
        <f>IF(ISBLANK([1]!tbl_採番[[#This Row],[年]]),"",(RIGHT([1]!tbl_採番[[#This Row],[年]],2)&amp;TEXT([1]!tbl_採番[[#This Row],[月]],"00")&amp;"-1"&amp;TEXT(COUNTIFS(B$3:B59,B59,C$3:C59,C59),"000")&amp;"-"&amp;_xlfn.XLOOKUP([1]!tbl_採番[[#This Row],[担当者]],[1]入力ルール用シート!$D$2:$D$8,[1]入力ルール用シート!$E$2:$E$8,"",0,1)&amp;_xlfn.XLOOKUP([1]!tbl_採番[[#This Row],[支店]],[1]入力ルール用シート!$F$2:$F$3,[1]入力ルール用シート!$G$2:$G$3,"",0,1)))</f>
        <v/>
      </c>
      <c r="H59" s="71"/>
    </row>
    <row r="60" spans="1:8">
      <c r="A60" s="212">
        <f>ROW([1]!tbl_採番[[#This Row],[ID]])-2</f>
        <v>58</v>
      </c>
      <c r="B60" s="73"/>
      <c r="C60" s="71"/>
      <c r="D60" s="71"/>
      <c r="E60" s="71"/>
      <c r="F60" s="72"/>
      <c r="G60" s="118" t="str">
        <f>IF(ISBLANK([1]!tbl_採番[[#This Row],[年]]),"",(RIGHT([1]!tbl_採番[[#This Row],[年]],2)&amp;TEXT([1]!tbl_採番[[#This Row],[月]],"00")&amp;"-1"&amp;TEXT(COUNTIFS(B$3:B60,B60,C$3:C60,C60),"000")&amp;"-"&amp;_xlfn.XLOOKUP([1]!tbl_採番[[#This Row],[担当者]],[1]入力ルール用シート!$D$2:$D$8,[1]入力ルール用シート!$E$2:$E$8,"",0,1)&amp;_xlfn.XLOOKUP([1]!tbl_採番[[#This Row],[支店]],[1]入力ルール用シート!$F$2:$F$3,[1]入力ルール用シート!$G$2:$G$3,"",0,1)))</f>
        <v/>
      </c>
      <c r="H60" s="71"/>
    </row>
    <row r="61" spans="1:8">
      <c r="A61" s="212">
        <f>ROW([1]!tbl_採番[[#This Row],[ID]])-2</f>
        <v>59</v>
      </c>
      <c r="B61" s="73"/>
      <c r="C61" s="71"/>
      <c r="D61" s="71"/>
      <c r="E61" s="71"/>
      <c r="F61" s="72"/>
      <c r="G61" s="118" t="str">
        <f>IF(ISBLANK([1]!tbl_採番[[#This Row],[年]]),"",(RIGHT([1]!tbl_採番[[#This Row],[年]],2)&amp;TEXT([1]!tbl_採番[[#This Row],[月]],"00")&amp;"-1"&amp;TEXT(COUNTIFS(B$3:B61,B61,C$3:C61,C61),"000")&amp;"-"&amp;_xlfn.XLOOKUP([1]!tbl_採番[[#This Row],[担当者]],[1]入力ルール用シート!$D$2:$D$8,[1]入力ルール用シート!$E$2:$E$8,"",0,1)&amp;_xlfn.XLOOKUP([1]!tbl_採番[[#This Row],[支店]],[1]入力ルール用シート!$F$2:$F$3,[1]入力ルール用シート!$G$2:$G$3,"",0,1)))</f>
        <v/>
      </c>
      <c r="H61" s="71"/>
    </row>
    <row r="62" spans="1:8">
      <c r="A62" s="212">
        <f>ROW([1]!tbl_採番[[#This Row],[ID]])-2</f>
        <v>60</v>
      </c>
      <c r="B62" s="73"/>
      <c r="C62" s="71"/>
      <c r="D62" s="71"/>
      <c r="E62" s="71"/>
      <c r="F62" s="72"/>
      <c r="G62" s="118" t="str">
        <f>IF(ISBLANK([1]!tbl_採番[[#This Row],[年]]),"",(RIGHT([1]!tbl_採番[[#This Row],[年]],2)&amp;TEXT([1]!tbl_採番[[#This Row],[月]],"00")&amp;"-1"&amp;TEXT(COUNTIFS(B$3:B62,B62,C$3:C62,C62),"000")&amp;"-"&amp;_xlfn.XLOOKUP([1]!tbl_採番[[#This Row],[担当者]],[1]入力ルール用シート!$D$2:$D$8,[1]入力ルール用シート!$E$2:$E$8,"",0,1)&amp;_xlfn.XLOOKUP([1]!tbl_採番[[#This Row],[支店]],[1]入力ルール用シート!$F$2:$F$3,[1]入力ルール用シート!$G$2:$G$3,"",0,1)))</f>
        <v/>
      </c>
      <c r="H62" s="71"/>
    </row>
    <row r="63" spans="1:8">
      <c r="A63" s="212">
        <f>ROW([1]!tbl_採番[[#This Row],[ID]])-2</f>
        <v>61</v>
      </c>
      <c r="B63" s="73"/>
      <c r="C63" s="71"/>
      <c r="D63" s="71"/>
      <c r="E63" s="71"/>
      <c r="F63" s="72"/>
      <c r="G63" s="118" t="str">
        <f>IF(ISBLANK([1]!tbl_採番[[#This Row],[年]]),"",(RIGHT([1]!tbl_採番[[#This Row],[年]],2)&amp;TEXT([1]!tbl_採番[[#This Row],[月]],"00")&amp;"-1"&amp;TEXT(COUNTIFS(B$3:B63,B63,C$3:C63,C63),"000")&amp;"-"&amp;_xlfn.XLOOKUP([1]!tbl_採番[[#This Row],[担当者]],[1]入力ルール用シート!$D$2:$D$8,[1]入力ルール用シート!$E$2:$E$8,"",0,1)&amp;_xlfn.XLOOKUP([1]!tbl_採番[[#This Row],[支店]],[1]入力ルール用シート!$F$2:$F$3,[1]入力ルール用シート!$G$2:$G$3,"",0,1)))</f>
        <v/>
      </c>
      <c r="H63" s="71"/>
    </row>
    <row r="64" spans="1:8">
      <c r="A64" s="212">
        <f>ROW([1]!tbl_採番[[#This Row],[ID]])-2</f>
        <v>62</v>
      </c>
      <c r="B64" s="73"/>
      <c r="C64" s="71"/>
      <c r="D64" s="71"/>
      <c r="E64" s="71"/>
      <c r="F64" s="72"/>
      <c r="G64" s="118" t="str">
        <f>IF(ISBLANK([1]!tbl_採番[[#This Row],[年]]),"",(RIGHT([1]!tbl_採番[[#This Row],[年]],2)&amp;TEXT([1]!tbl_採番[[#This Row],[月]],"00")&amp;"-1"&amp;TEXT(COUNTIFS(B$3:B64,B64,C$3:C64,C64),"000")&amp;"-"&amp;_xlfn.XLOOKUP([1]!tbl_採番[[#This Row],[担当者]],[1]入力ルール用シート!$D$2:$D$8,[1]入力ルール用シート!$E$2:$E$8,"",0,1)&amp;_xlfn.XLOOKUP([1]!tbl_採番[[#This Row],[支店]],[1]入力ルール用シート!$F$2:$F$3,[1]入力ルール用シート!$G$2:$G$3,"",0,1)))</f>
        <v/>
      </c>
      <c r="H64" s="71"/>
    </row>
    <row r="65" spans="1:8">
      <c r="A65" s="212">
        <f>ROW([1]!tbl_採番[[#This Row],[ID]])-2</f>
        <v>63</v>
      </c>
      <c r="B65" s="73"/>
      <c r="C65" s="71"/>
      <c r="D65" s="71"/>
      <c r="E65" s="71"/>
      <c r="F65" s="72"/>
      <c r="G65" s="118" t="str">
        <f>IF(ISBLANK([1]!tbl_採番[[#This Row],[年]]),"",(RIGHT([1]!tbl_採番[[#This Row],[年]],2)&amp;TEXT([1]!tbl_採番[[#This Row],[月]],"00")&amp;"-1"&amp;TEXT(COUNTIFS(B$3:B65,B65,C$3:C65,C65),"000")&amp;"-"&amp;_xlfn.XLOOKUP([1]!tbl_採番[[#This Row],[担当者]],[1]入力ルール用シート!$D$2:$D$8,[1]入力ルール用シート!$E$2:$E$8,"",0,1)&amp;_xlfn.XLOOKUP([1]!tbl_採番[[#This Row],[支店]],[1]入力ルール用シート!$F$2:$F$3,[1]入力ルール用シート!$G$2:$G$3,"",0,1)))</f>
        <v/>
      </c>
      <c r="H65" s="71"/>
    </row>
    <row r="66" spans="1:8">
      <c r="A66" s="212">
        <f>ROW([1]!tbl_採番[[#This Row],[ID]])-2</f>
        <v>64</v>
      </c>
      <c r="B66" s="73"/>
      <c r="C66" s="71"/>
      <c r="D66" s="71"/>
      <c r="E66" s="71"/>
      <c r="F66" s="72"/>
      <c r="G66" s="118" t="str">
        <f>IF(ISBLANK([1]!tbl_採番[[#This Row],[年]]),"",(RIGHT([1]!tbl_採番[[#This Row],[年]],2)&amp;TEXT([1]!tbl_採番[[#This Row],[月]],"00")&amp;"-1"&amp;TEXT(COUNTIFS(B$3:B66,B66,C$3:C66,C66),"000")&amp;"-"&amp;_xlfn.XLOOKUP([1]!tbl_採番[[#This Row],[担当者]],[1]入力ルール用シート!$D$2:$D$8,[1]入力ルール用シート!$E$2:$E$8,"",0,1)&amp;_xlfn.XLOOKUP([1]!tbl_採番[[#This Row],[支店]],[1]入力ルール用シート!$F$2:$F$3,[1]入力ルール用シート!$G$2:$G$3,"",0,1)))</f>
        <v/>
      </c>
      <c r="H66" s="71"/>
    </row>
    <row r="67" spans="1:8">
      <c r="A67" s="212">
        <f>ROW([1]!tbl_採番[[#This Row],[ID]])-2</f>
        <v>65</v>
      </c>
      <c r="B67" s="73"/>
      <c r="C67" s="71"/>
      <c r="D67" s="71"/>
      <c r="E67" s="71"/>
      <c r="F67" s="72"/>
      <c r="G67" s="118" t="str">
        <f>IF(ISBLANK([1]!tbl_採番[[#This Row],[年]]),"",(RIGHT([1]!tbl_採番[[#This Row],[年]],2)&amp;TEXT([1]!tbl_採番[[#This Row],[月]],"00")&amp;"-1"&amp;TEXT(COUNTIFS(B$3:B67,B67,C$3:C67,C67),"000")&amp;"-"&amp;_xlfn.XLOOKUP([1]!tbl_採番[[#This Row],[担当者]],[1]入力ルール用シート!$D$2:$D$8,[1]入力ルール用シート!$E$2:$E$8,"",0,1)&amp;_xlfn.XLOOKUP([1]!tbl_採番[[#This Row],[支店]],[1]入力ルール用シート!$F$2:$F$3,[1]入力ルール用シート!$G$2:$G$3,"",0,1)))</f>
        <v/>
      </c>
      <c r="H67" s="71"/>
    </row>
    <row r="68" spans="1:8">
      <c r="A68" s="212">
        <f>ROW([1]!tbl_採番[[#This Row],[ID]])-2</f>
        <v>66</v>
      </c>
      <c r="B68" s="73"/>
      <c r="C68" s="71"/>
      <c r="D68" s="71"/>
      <c r="E68" s="71"/>
      <c r="F68" s="72"/>
      <c r="G68" s="118" t="str">
        <f>IF(ISBLANK([1]!tbl_採番[[#This Row],[年]]),"",(RIGHT([1]!tbl_採番[[#This Row],[年]],2)&amp;TEXT([1]!tbl_採番[[#This Row],[月]],"00")&amp;"-1"&amp;TEXT(COUNTIFS(B$3:B68,B68,C$3:C68,C68),"000")&amp;"-"&amp;_xlfn.XLOOKUP([1]!tbl_採番[[#This Row],[担当者]],[1]入力ルール用シート!$D$2:$D$8,[1]入力ルール用シート!$E$2:$E$8,"",0,1)&amp;_xlfn.XLOOKUP([1]!tbl_採番[[#This Row],[支店]],[1]入力ルール用シート!$F$2:$F$3,[1]入力ルール用シート!$G$2:$G$3,"",0,1)))</f>
        <v/>
      </c>
      <c r="H68" s="71"/>
    </row>
    <row r="69" spans="1:8">
      <c r="A69" s="212">
        <f>ROW([1]!tbl_採番[[#This Row],[ID]])-2</f>
        <v>67</v>
      </c>
      <c r="B69" s="73"/>
      <c r="C69" s="71"/>
      <c r="D69" s="71"/>
      <c r="E69" s="71"/>
      <c r="F69" s="72"/>
      <c r="G69" s="118" t="str">
        <f>IF(ISBLANK([1]!tbl_採番[[#This Row],[年]]),"",(RIGHT([1]!tbl_採番[[#This Row],[年]],2)&amp;TEXT([1]!tbl_採番[[#This Row],[月]],"00")&amp;"-1"&amp;TEXT(COUNTIFS(B$3:B69,B69,C$3:C69,C69),"000")&amp;"-"&amp;_xlfn.XLOOKUP([1]!tbl_採番[[#This Row],[担当者]],[1]入力ルール用シート!$D$2:$D$8,[1]入力ルール用シート!$E$2:$E$8,"",0,1)&amp;_xlfn.XLOOKUP([1]!tbl_採番[[#This Row],[支店]],[1]入力ルール用シート!$F$2:$F$3,[1]入力ルール用シート!$G$2:$G$3,"",0,1)))</f>
        <v/>
      </c>
      <c r="H69" s="71"/>
    </row>
    <row r="70" spans="1:8">
      <c r="A70" s="212">
        <f>ROW([1]!tbl_採番[[#This Row],[ID]])-2</f>
        <v>68</v>
      </c>
      <c r="B70" s="73"/>
      <c r="C70" s="71"/>
      <c r="D70" s="71"/>
      <c r="E70" s="71"/>
      <c r="F70" s="72"/>
      <c r="G70" s="118" t="str">
        <f>IF(ISBLANK([1]!tbl_採番[[#This Row],[年]]),"",(RIGHT([1]!tbl_採番[[#This Row],[年]],2)&amp;TEXT([1]!tbl_採番[[#This Row],[月]],"00")&amp;"-1"&amp;TEXT(COUNTIFS(B$3:B70,B70,C$3:C70,C70),"000")&amp;"-"&amp;_xlfn.XLOOKUP([1]!tbl_採番[[#This Row],[担当者]],[1]入力ルール用シート!$D$2:$D$8,[1]入力ルール用シート!$E$2:$E$8,"",0,1)&amp;_xlfn.XLOOKUP([1]!tbl_採番[[#This Row],[支店]],[1]入力ルール用シート!$F$2:$F$3,[1]入力ルール用シート!$G$2:$G$3,"",0,1)))</f>
        <v/>
      </c>
      <c r="H70" s="71"/>
    </row>
    <row r="71" spans="1:8">
      <c r="A71" s="212">
        <f>ROW([1]!tbl_採番[[#This Row],[ID]])-2</f>
        <v>69</v>
      </c>
      <c r="B71" s="73"/>
      <c r="C71" s="71"/>
      <c r="D71" s="71"/>
      <c r="E71" s="71"/>
      <c r="F71" s="72"/>
      <c r="G71" s="118" t="str">
        <f>IF(ISBLANK([1]!tbl_採番[[#This Row],[年]]),"",(RIGHT([1]!tbl_採番[[#This Row],[年]],2)&amp;TEXT([1]!tbl_採番[[#This Row],[月]],"00")&amp;"-1"&amp;TEXT(COUNTIFS(B$3:B71,B71,C$3:C71,C71),"000")&amp;"-"&amp;_xlfn.XLOOKUP([1]!tbl_採番[[#This Row],[担当者]],[1]入力ルール用シート!$D$2:$D$8,[1]入力ルール用シート!$E$2:$E$8,"",0,1)&amp;_xlfn.XLOOKUP([1]!tbl_採番[[#This Row],[支店]],[1]入力ルール用シート!$F$2:$F$3,[1]入力ルール用シート!$G$2:$G$3,"",0,1)))</f>
        <v/>
      </c>
      <c r="H71" s="71"/>
    </row>
    <row r="72" spans="1:8">
      <c r="A72" s="212">
        <f>ROW([1]!tbl_採番[[#This Row],[ID]])-2</f>
        <v>70</v>
      </c>
      <c r="B72" s="73"/>
      <c r="C72" s="71"/>
      <c r="D72" s="71"/>
      <c r="E72" s="71"/>
      <c r="F72" s="72"/>
      <c r="G72" s="118" t="str">
        <f>IF(ISBLANK([1]!tbl_採番[[#This Row],[年]]),"",(RIGHT([1]!tbl_採番[[#This Row],[年]],2)&amp;TEXT([1]!tbl_採番[[#This Row],[月]],"00")&amp;"-1"&amp;TEXT(COUNTIFS(B$3:B72,B72,C$3:C72,C72),"000")&amp;"-"&amp;_xlfn.XLOOKUP([1]!tbl_採番[[#This Row],[担当者]],[1]入力ルール用シート!$D$2:$D$8,[1]入力ルール用シート!$E$2:$E$8,"",0,1)&amp;_xlfn.XLOOKUP([1]!tbl_採番[[#This Row],[支店]],[1]入力ルール用シート!$F$2:$F$3,[1]入力ルール用シート!$G$2:$G$3,"",0,1)))</f>
        <v/>
      </c>
      <c r="H72" s="71"/>
    </row>
    <row r="73" spans="1:8">
      <c r="A73" s="212">
        <f>ROW([1]!tbl_採番[[#This Row],[ID]])-2</f>
        <v>71</v>
      </c>
      <c r="B73" s="73"/>
      <c r="C73" s="71"/>
      <c r="D73" s="71"/>
      <c r="E73" s="71"/>
      <c r="F73" s="72"/>
      <c r="G73" s="118" t="str">
        <f>IF(ISBLANK([1]!tbl_採番[[#This Row],[年]]),"",(RIGHT([1]!tbl_採番[[#This Row],[年]],2)&amp;TEXT([1]!tbl_採番[[#This Row],[月]],"00")&amp;"-1"&amp;TEXT(COUNTIFS(B$3:B73,B73,C$3:C73,C73),"000")&amp;"-"&amp;_xlfn.XLOOKUP([1]!tbl_採番[[#This Row],[担当者]],[1]入力ルール用シート!$D$2:$D$8,[1]入力ルール用シート!$E$2:$E$8,"",0,1)&amp;_xlfn.XLOOKUP([1]!tbl_採番[[#This Row],[支店]],[1]入力ルール用シート!$F$2:$F$3,[1]入力ルール用シート!$G$2:$G$3,"",0,1)))</f>
        <v/>
      </c>
      <c r="H73" s="71"/>
    </row>
    <row r="74" spans="1:8">
      <c r="A74" s="212">
        <f>ROW([1]!tbl_採番[[#This Row],[ID]])-2</f>
        <v>72</v>
      </c>
      <c r="B74" s="73"/>
      <c r="C74" s="71"/>
      <c r="D74" s="71"/>
      <c r="E74" s="71"/>
      <c r="F74" s="72"/>
      <c r="G74" s="118" t="str">
        <f>IF(ISBLANK([1]!tbl_採番[[#This Row],[年]]),"",(RIGHT([1]!tbl_採番[[#This Row],[年]],2)&amp;TEXT([1]!tbl_採番[[#This Row],[月]],"00")&amp;"-1"&amp;TEXT(COUNTIFS(B$3:B74,B74,C$3:C74,C74),"000")&amp;"-"&amp;_xlfn.XLOOKUP([1]!tbl_採番[[#This Row],[担当者]],[1]入力ルール用シート!$D$2:$D$8,[1]入力ルール用シート!$E$2:$E$8,"",0,1)&amp;_xlfn.XLOOKUP([1]!tbl_採番[[#This Row],[支店]],[1]入力ルール用シート!$F$2:$F$3,[1]入力ルール用シート!$G$2:$G$3,"",0,1)))</f>
        <v/>
      </c>
      <c r="H74" s="71"/>
    </row>
    <row r="75" spans="1:8">
      <c r="A75" s="212">
        <f>ROW([1]!tbl_採番[[#This Row],[ID]])-2</f>
        <v>73</v>
      </c>
      <c r="B75" s="73"/>
      <c r="C75" s="71"/>
      <c r="D75" s="71"/>
      <c r="E75" s="71"/>
      <c r="F75" s="72"/>
      <c r="G75" s="118" t="str">
        <f>IF(ISBLANK([1]!tbl_採番[[#This Row],[年]]),"",(RIGHT([1]!tbl_採番[[#This Row],[年]],2)&amp;TEXT([1]!tbl_採番[[#This Row],[月]],"00")&amp;"-1"&amp;TEXT(COUNTIFS(B$3:B75,B75,C$3:C75,C75),"000")&amp;"-"&amp;_xlfn.XLOOKUP([1]!tbl_採番[[#This Row],[担当者]],[1]入力ルール用シート!$D$2:$D$8,[1]入力ルール用シート!$E$2:$E$8,"",0,1)&amp;_xlfn.XLOOKUP([1]!tbl_採番[[#This Row],[支店]],[1]入力ルール用シート!$F$2:$F$3,[1]入力ルール用シート!$G$2:$G$3,"",0,1)))</f>
        <v/>
      </c>
      <c r="H75" s="71"/>
    </row>
    <row r="76" spans="1:8">
      <c r="A76" s="212">
        <f>ROW([1]!tbl_採番[[#This Row],[ID]])-2</f>
        <v>74</v>
      </c>
      <c r="B76" s="73"/>
      <c r="C76" s="71"/>
      <c r="D76" s="71"/>
      <c r="E76" s="71"/>
      <c r="F76" s="72"/>
      <c r="G76" s="118" t="str">
        <f>IF(ISBLANK([1]!tbl_採番[[#This Row],[年]]),"",(RIGHT([1]!tbl_採番[[#This Row],[年]],2)&amp;TEXT([1]!tbl_採番[[#This Row],[月]],"00")&amp;"-1"&amp;TEXT(COUNTIFS(B$3:B76,B76,C$3:C76,C76),"000")&amp;"-"&amp;_xlfn.XLOOKUP([1]!tbl_採番[[#This Row],[担当者]],[1]入力ルール用シート!$D$2:$D$8,[1]入力ルール用シート!$E$2:$E$8,"",0,1)&amp;_xlfn.XLOOKUP([1]!tbl_採番[[#This Row],[支店]],[1]入力ルール用シート!$F$2:$F$3,[1]入力ルール用シート!$G$2:$G$3,"",0,1)))</f>
        <v/>
      </c>
      <c r="H76" s="71"/>
    </row>
    <row r="77" spans="1:8">
      <c r="A77" s="212">
        <f>ROW([1]!tbl_採番[[#This Row],[ID]])-2</f>
        <v>75</v>
      </c>
      <c r="B77" s="73"/>
      <c r="C77" s="71"/>
      <c r="D77" s="71"/>
      <c r="E77" s="71"/>
      <c r="F77" s="72"/>
      <c r="G77" s="118" t="str">
        <f>IF(ISBLANK([1]!tbl_採番[[#This Row],[年]]),"",(RIGHT([1]!tbl_採番[[#This Row],[年]],2)&amp;TEXT([1]!tbl_採番[[#This Row],[月]],"00")&amp;"-1"&amp;TEXT(COUNTIFS(B$3:B77,B77,C$3:C77,C77),"000")&amp;"-"&amp;_xlfn.XLOOKUP([1]!tbl_採番[[#This Row],[担当者]],[1]入力ルール用シート!$D$2:$D$8,[1]入力ルール用シート!$E$2:$E$8,"",0,1)&amp;_xlfn.XLOOKUP([1]!tbl_採番[[#This Row],[支店]],[1]入力ルール用シート!$F$2:$F$3,[1]入力ルール用シート!$G$2:$G$3,"",0,1)))</f>
        <v/>
      </c>
      <c r="H77" s="71"/>
    </row>
    <row r="78" spans="1:8">
      <c r="A78" s="212">
        <f>ROW([1]!tbl_採番[[#This Row],[ID]])-2</f>
        <v>76</v>
      </c>
      <c r="B78" s="73"/>
      <c r="C78" s="71"/>
      <c r="D78" s="71"/>
      <c r="E78" s="71"/>
      <c r="F78" s="72"/>
      <c r="G78" s="118" t="str">
        <f>IF(ISBLANK([1]!tbl_採番[[#This Row],[年]]),"",(RIGHT([1]!tbl_採番[[#This Row],[年]],2)&amp;TEXT([1]!tbl_採番[[#This Row],[月]],"00")&amp;"-1"&amp;TEXT(COUNTIFS(B$3:B78,B78,C$3:C78,C78),"000")&amp;"-"&amp;_xlfn.XLOOKUP([1]!tbl_採番[[#This Row],[担当者]],[1]入力ルール用シート!$D$2:$D$8,[1]入力ルール用シート!$E$2:$E$8,"",0,1)&amp;_xlfn.XLOOKUP([1]!tbl_採番[[#This Row],[支店]],[1]入力ルール用シート!$F$2:$F$3,[1]入力ルール用シート!$G$2:$G$3,"",0,1)))</f>
        <v/>
      </c>
      <c r="H78" s="71"/>
    </row>
    <row r="79" spans="1:8">
      <c r="A79" s="212">
        <f>ROW([1]!tbl_採番[[#This Row],[ID]])-2</f>
        <v>77</v>
      </c>
      <c r="B79" s="73"/>
      <c r="C79" s="71"/>
      <c r="D79" s="71"/>
      <c r="E79" s="71"/>
      <c r="F79" s="72"/>
      <c r="G79" s="118" t="str">
        <f>IF(ISBLANK([1]!tbl_採番[[#This Row],[年]]),"",(RIGHT([1]!tbl_採番[[#This Row],[年]],2)&amp;TEXT([1]!tbl_採番[[#This Row],[月]],"00")&amp;"-1"&amp;TEXT(COUNTIFS(B$3:B79,B79,C$3:C79,C79),"000")&amp;"-"&amp;_xlfn.XLOOKUP([1]!tbl_採番[[#This Row],[担当者]],[1]入力ルール用シート!$D$2:$D$8,[1]入力ルール用シート!$E$2:$E$8,"",0,1)&amp;_xlfn.XLOOKUP([1]!tbl_採番[[#This Row],[支店]],[1]入力ルール用シート!$F$2:$F$3,[1]入力ルール用シート!$G$2:$G$3,"",0,1)))</f>
        <v/>
      </c>
      <c r="H79" s="71"/>
    </row>
    <row r="80" spans="1:8">
      <c r="A80" s="212">
        <f>ROW([1]!tbl_採番[[#This Row],[ID]])-2</f>
        <v>78</v>
      </c>
      <c r="B80" s="73"/>
      <c r="C80" s="71"/>
      <c r="D80" s="71"/>
      <c r="E80" s="71"/>
      <c r="F80" s="72"/>
      <c r="G80" s="118" t="str">
        <f>IF(ISBLANK([1]!tbl_採番[[#This Row],[年]]),"",(RIGHT([1]!tbl_採番[[#This Row],[年]],2)&amp;TEXT([1]!tbl_採番[[#This Row],[月]],"00")&amp;"-1"&amp;TEXT(COUNTIFS(B$3:B80,B80,C$3:C80,C80),"000")&amp;"-"&amp;_xlfn.XLOOKUP([1]!tbl_採番[[#This Row],[担当者]],[1]入力ルール用シート!$D$2:$D$8,[1]入力ルール用シート!$E$2:$E$8,"",0,1)&amp;_xlfn.XLOOKUP([1]!tbl_採番[[#This Row],[支店]],[1]入力ルール用シート!$F$2:$F$3,[1]入力ルール用シート!$G$2:$G$3,"",0,1)))</f>
        <v/>
      </c>
      <c r="H80" s="71"/>
    </row>
    <row r="81" spans="1:8">
      <c r="A81" s="212">
        <f>ROW([1]!tbl_採番[[#This Row],[ID]])-2</f>
        <v>79</v>
      </c>
      <c r="B81" s="73"/>
      <c r="C81" s="71"/>
      <c r="D81" s="71"/>
      <c r="E81" s="71"/>
      <c r="F81" s="72"/>
      <c r="G81" s="118" t="str">
        <f>IF(ISBLANK([1]!tbl_採番[[#This Row],[年]]),"",(RIGHT([1]!tbl_採番[[#This Row],[年]],2)&amp;TEXT([1]!tbl_採番[[#This Row],[月]],"00")&amp;"-1"&amp;TEXT(COUNTIFS(B$3:B81,B81,C$3:C81,C81),"000")&amp;"-"&amp;_xlfn.XLOOKUP([1]!tbl_採番[[#This Row],[担当者]],[1]入力ルール用シート!$D$2:$D$8,[1]入力ルール用シート!$E$2:$E$8,"",0,1)&amp;_xlfn.XLOOKUP([1]!tbl_採番[[#This Row],[支店]],[1]入力ルール用シート!$F$2:$F$3,[1]入力ルール用シート!$G$2:$G$3,"",0,1)))</f>
        <v/>
      </c>
      <c r="H81" s="71"/>
    </row>
    <row r="82" spans="1:8">
      <c r="A82" s="212">
        <f>ROW([1]!tbl_採番[[#This Row],[ID]])-2</f>
        <v>80</v>
      </c>
      <c r="B82" s="73"/>
      <c r="C82" s="71"/>
      <c r="D82" s="71"/>
      <c r="E82" s="71"/>
      <c r="F82" s="72"/>
      <c r="G82" s="118" t="str">
        <f>IF(ISBLANK([1]!tbl_採番[[#This Row],[年]]),"",(RIGHT([1]!tbl_採番[[#This Row],[年]],2)&amp;TEXT([1]!tbl_採番[[#This Row],[月]],"00")&amp;"-1"&amp;TEXT(COUNTIFS(B$3:B82,B82,C$3:C82,C82),"000")&amp;"-"&amp;_xlfn.XLOOKUP([1]!tbl_採番[[#This Row],[担当者]],[1]入力ルール用シート!$D$2:$D$8,[1]入力ルール用シート!$E$2:$E$8,"",0,1)&amp;_xlfn.XLOOKUP([1]!tbl_採番[[#This Row],[支店]],[1]入力ルール用シート!$F$2:$F$3,[1]入力ルール用シート!$G$2:$G$3,"",0,1)))</f>
        <v/>
      </c>
      <c r="H82" s="71"/>
    </row>
    <row r="83" spans="1:8">
      <c r="A83" s="212">
        <f>ROW([1]!tbl_採番[[#This Row],[ID]])-2</f>
        <v>81</v>
      </c>
      <c r="B83" s="73"/>
      <c r="C83" s="71"/>
      <c r="D83" s="71"/>
      <c r="E83" s="71"/>
      <c r="F83" s="72"/>
      <c r="G83" s="118" t="str">
        <f>IF(ISBLANK([1]!tbl_採番[[#This Row],[年]]),"",(RIGHT([1]!tbl_採番[[#This Row],[年]],2)&amp;TEXT([1]!tbl_採番[[#This Row],[月]],"00")&amp;"-1"&amp;TEXT(COUNTIFS(B$3:B83,B83,C$3:C83,C83),"000")&amp;"-"&amp;_xlfn.XLOOKUP([1]!tbl_採番[[#This Row],[担当者]],[1]入力ルール用シート!$D$2:$D$8,[1]入力ルール用シート!$E$2:$E$8,"",0,1)&amp;_xlfn.XLOOKUP([1]!tbl_採番[[#This Row],[支店]],[1]入力ルール用シート!$F$2:$F$3,[1]入力ルール用シート!$G$2:$G$3,"",0,1)))</f>
        <v/>
      </c>
      <c r="H83" s="71"/>
    </row>
    <row r="84" spans="1:8">
      <c r="A84" s="212">
        <f>ROW([1]!tbl_採番[[#This Row],[ID]])-2</f>
        <v>82</v>
      </c>
      <c r="B84" s="73"/>
      <c r="C84" s="71"/>
      <c r="D84" s="71"/>
      <c r="E84" s="71"/>
      <c r="F84" s="72"/>
      <c r="G84" s="118" t="str">
        <f>IF(ISBLANK([1]!tbl_採番[[#This Row],[年]]),"",(RIGHT([1]!tbl_採番[[#This Row],[年]],2)&amp;TEXT([1]!tbl_採番[[#This Row],[月]],"00")&amp;"-1"&amp;TEXT(COUNTIFS(B$3:B84,B84,C$3:C84,C84),"000")&amp;"-"&amp;_xlfn.XLOOKUP([1]!tbl_採番[[#This Row],[担当者]],[1]入力ルール用シート!$D$2:$D$8,[1]入力ルール用シート!$E$2:$E$8,"",0,1)&amp;_xlfn.XLOOKUP([1]!tbl_採番[[#This Row],[支店]],[1]入力ルール用シート!$F$2:$F$3,[1]入力ルール用シート!$G$2:$G$3,"",0,1)))</f>
        <v/>
      </c>
      <c r="H84" s="71"/>
    </row>
    <row r="85" spans="1:8">
      <c r="A85" s="212">
        <f>ROW([1]!tbl_採番[[#This Row],[ID]])-2</f>
        <v>83</v>
      </c>
      <c r="B85" s="73"/>
      <c r="C85" s="71"/>
      <c r="D85" s="71"/>
      <c r="E85" s="71"/>
      <c r="F85" s="72"/>
      <c r="G85" s="118" t="str">
        <f>IF(ISBLANK([1]!tbl_採番[[#This Row],[年]]),"",(RIGHT([1]!tbl_採番[[#This Row],[年]],2)&amp;TEXT([1]!tbl_採番[[#This Row],[月]],"00")&amp;"-1"&amp;TEXT(COUNTIFS(B$3:B85,B85,C$3:C85,C85),"000")&amp;"-"&amp;_xlfn.XLOOKUP([1]!tbl_採番[[#This Row],[担当者]],[1]入力ルール用シート!$D$2:$D$8,[1]入力ルール用シート!$E$2:$E$8,"",0,1)&amp;_xlfn.XLOOKUP([1]!tbl_採番[[#This Row],[支店]],[1]入力ルール用シート!$F$2:$F$3,[1]入力ルール用シート!$G$2:$G$3,"",0,1)))</f>
        <v/>
      </c>
      <c r="H85" s="71"/>
    </row>
    <row r="86" spans="1:8">
      <c r="A86" s="212">
        <f>ROW([1]!tbl_採番[[#This Row],[ID]])-2</f>
        <v>84</v>
      </c>
      <c r="B86" s="73"/>
      <c r="C86" s="71"/>
      <c r="D86" s="71"/>
      <c r="E86" s="71"/>
      <c r="F86" s="72"/>
      <c r="G86" s="118" t="str">
        <f>IF(ISBLANK([1]!tbl_採番[[#This Row],[年]]),"",(RIGHT([1]!tbl_採番[[#This Row],[年]],2)&amp;TEXT([1]!tbl_採番[[#This Row],[月]],"00")&amp;"-1"&amp;TEXT(COUNTIFS(B$3:B86,B86,C$3:C86,C86),"000")&amp;"-"&amp;_xlfn.XLOOKUP([1]!tbl_採番[[#This Row],[担当者]],[1]入力ルール用シート!$D$2:$D$8,[1]入力ルール用シート!$E$2:$E$8,"",0,1)&amp;_xlfn.XLOOKUP([1]!tbl_採番[[#This Row],[支店]],[1]入力ルール用シート!$F$2:$F$3,[1]入力ルール用シート!$G$2:$G$3,"",0,1)))</f>
        <v/>
      </c>
      <c r="H86" s="71"/>
    </row>
    <row r="87" spans="1:8">
      <c r="A87" s="212">
        <f>ROW([1]!tbl_採番[[#This Row],[ID]])-2</f>
        <v>85</v>
      </c>
      <c r="B87" s="73"/>
      <c r="C87" s="71"/>
      <c r="D87" s="71"/>
      <c r="E87" s="71"/>
      <c r="F87" s="72"/>
      <c r="G87" s="118" t="str">
        <f>IF(ISBLANK([1]!tbl_採番[[#This Row],[年]]),"",(RIGHT([1]!tbl_採番[[#This Row],[年]],2)&amp;TEXT([1]!tbl_採番[[#This Row],[月]],"00")&amp;"-1"&amp;TEXT(COUNTIFS(B$3:B87,B87,C$3:C87,C87),"000")&amp;"-"&amp;_xlfn.XLOOKUP([1]!tbl_採番[[#This Row],[担当者]],[1]入力ルール用シート!$D$2:$D$8,[1]入力ルール用シート!$E$2:$E$8,"",0,1)&amp;_xlfn.XLOOKUP([1]!tbl_採番[[#This Row],[支店]],[1]入力ルール用シート!$F$2:$F$3,[1]入力ルール用シート!$G$2:$G$3,"",0,1)))</f>
        <v/>
      </c>
      <c r="H87" s="71"/>
    </row>
    <row r="88" spans="1:8">
      <c r="A88" s="212">
        <f>ROW([1]!tbl_採番[[#This Row],[ID]])-2</f>
        <v>86</v>
      </c>
      <c r="B88" s="73"/>
      <c r="C88" s="71"/>
      <c r="D88" s="71"/>
      <c r="E88" s="71"/>
      <c r="F88" s="72"/>
      <c r="G88" s="118" t="str">
        <f>IF(ISBLANK([1]!tbl_採番[[#This Row],[年]]),"",(RIGHT([1]!tbl_採番[[#This Row],[年]],2)&amp;TEXT([1]!tbl_採番[[#This Row],[月]],"00")&amp;"-1"&amp;TEXT(COUNTIFS(B$3:B88,B88,C$3:C88,C88),"000")&amp;"-"&amp;_xlfn.XLOOKUP([1]!tbl_採番[[#This Row],[担当者]],[1]入力ルール用シート!$D$2:$D$8,[1]入力ルール用シート!$E$2:$E$8,"",0,1)&amp;_xlfn.XLOOKUP([1]!tbl_採番[[#This Row],[支店]],[1]入力ルール用シート!$F$2:$F$3,[1]入力ルール用シート!$G$2:$G$3,"",0,1)))</f>
        <v/>
      </c>
      <c r="H88" s="71"/>
    </row>
    <row r="89" spans="1:8">
      <c r="A89" s="212">
        <f>ROW([1]!tbl_採番[[#This Row],[ID]])-2</f>
        <v>87</v>
      </c>
      <c r="B89" s="73"/>
      <c r="C89" s="71"/>
      <c r="D89" s="71"/>
      <c r="E89" s="71"/>
      <c r="F89" s="72"/>
      <c r="G89" s="118" t="str">
        <f>IF(ISBLANK([1]!tbl_採番[[#This Row],[年]]),"",(RIGHT([1]!tbl_採番[[#This Row],[年]],2)&amp;TEXT([1]!tbl_採番[[#This Row],[月]],"00")&amp;"-1"&amp;TEXT(COUNTIFS(B$3:B89,B89,C$3:C89,C89),"000")&amp;"-"&amp;_xlfn.XLOOKUP([1]!tbl_採番[[#This Row],[担当者]],[1]入力ルール用シート!$D$2:$D$8,[1]入力ルール用シート!$E$2:$E$8,"",0,1)&amp;_xlfn.XLOOKUP([1]!tbl_採番[[#This Row],[支店]],[1]入力ルール用シート!$F$2:$F$3,[1]入力ルール用シート!$G$2:$G$3,"",0,1)))</f>
        <v/>
      </c>
      <c r="H89" s="71"/>
    </row>
    <row r="90" spans="1:8">
      <c r="A90" s="212">
        <f>ROW([1]!tbl_採番[[#This Row],[ID]])-2</f>
        <v>88</v>
      </c>
      <c r="B90" s="73"/>
      <c r="C90" s="71"/>
      <c r="D90" s="71"/>
      <c r="E90" s="71"/>
      <c r="F90" s="72"/>
      <c r="G90" s="118" t="str">
        <f>IF(ISBLANK([1]!tbl_採番[[#This Row],[年]]),"",(RIGHT([1]!tbl_採番[[#This Row],[年]],2)&amp;TEXT([1]!tbl_採番[[#This Row],[月]],"00")&amp;"-1"&amp;TEXT(COUNTIFS(B$3:B90,B90,C$3:C90,C90),"000")&amp;"-"&amp;_xlfn.XLOOKUP([1]!tbl_採番[[#This Row],[担当者]],[1]入力ルール用シート!$D$2:$D$8,[1]入力ルール用シート!$E$2:$E$8,"",0,1)&amp;_xlfn.XLOOKUP([1]!tbl_採番[[#This Row],[支店]],[1]入力ルール用シート!$F$2:$F$3,[1]入力ルール用シート!$G$2:$G$3,"",0,1)))</f>
        <v/>
      </c>
      <c r="H90" s="71"/>
    </row>
    <row r="91" spans="1:8">
      <c r="A91" s="212">
        <f>ROW([1]!tbl_採番[[#This Row],[ID]])-2</f>
        <v>89</v>
      </c>
      <c r="B91" s="73"/>
      <c r="C91" s="71"/>
      <c r="D91" s="71"/>
      <c r="E91" s="71"/>
      <c r="F91" s="72"/>
      <c r="G91" s="118" t="str">
        <f>IF(ISBLANK([1]!tbl_採番[[#This Row],[年]]),"",(RIGHT([1]!tbl_採番[[#This Row],[年]],2)&amp;TEXT([1]!tbl_採番[[#This Row],[月]],"00")&amp;"-1"&amp;TEXT(COUNTIFS(B$3:B91,B91,C$3:C91,C91),"000")&amp;"-"&amp;_xlfn.XLOOKUP([1]!tbl_採番[[#This Row],[担当者]],[1]入力ルール用シート!$D$2:$D$8,[1]入力ルール用シート!$E$2:$E$8,"",0,1)&amp;_xlfn.XLOOKUP([1]!tbl_採番[[#This Row],[支店]],[1]入力ルール用シート!$F$2:$F$3,[1]入力ルール用シート!$G$2:$G$3,"",0,1)))</f>
        <v/>
      </c>
      <c r="H91" s="71"/>
    </row>
    <row r="92" spans="1:8">
      <c r="A92" s="212">
        <f>ROW([1]!tbl_採番[[#This Row],[ID]])-2</f>
        <v>90</v>
      </c>
      <c r="B92" s="73"/>
      <c r="C92" s="71"/>
      <c r="D92" s="71"/>
      <c r="E92" s="71"/>
      <c r="F92" s="72"/>
      <c r="G92" s="118" t="str">
        <f>IF(ISBLANK([1]!tbl_採番[[#This Row],[年]]),"",(RIGHT([1]!tbl_採番[[#This Row],[年]],2)&amp;TEXT([1]!tbl_採番[[#This Row],[月]],"00")&amp;"-1"&amp;TEXT(COUNTIFS(B$3:B92,B92,C$3:C92,C92),"000")&amp;"-"&amp;_xlfn.XLOOKUP([1]!tbl_採番[[#This Row],[担当者]],[1]入力ルール用シート!$D$2:$D$8,[1]入力ルール用シート!$E$2:$E$8,"",0,1)&amp;_xlfn.XLOOKUP([1]!tbl_採番[[#This Row],[支店]],[1]入力ルール用シート!$F$2:$F$3,[1]入力ルール用シート!$G$2:$G$3,"",0,1)))</f>
        <v/>
      </c>
      <c r="H92" s="71"/>
    </row>
    <row r="93" spans="1:8">
      <c r="A93" s="212">
        <f>ROW([1]!tbl_採番[[#This Row],[ID]])-2</f>
        <v>91</v>
      </c>
      <c r="B93" s="73"/>
      <c r="C93" s="71"/>
      <c r="D93" s="71"/>
      <c r="E93" s="71"/>
      <c r="F93" s="72"/>
      <c r="G93" s="118" t="str">
        <f>IF(ISBLANK([1]!tbl_採番[[#This Row],[年]]),"",(RIGHT([1]!tbl_採番[[#This Row],[年]],2)&amp;TEXT([1]!tbl_採番[[#This Row],[月]],"00")&amp;"-1"&amp;TEXT(COUNTIFS(B$3:B93,B93,C$3:C93,C93),"000")&amp;"-"&amp;_xlfn.XLOOKUP([1]!tbl_採番[[#This Row],[担当者]],[1]入力ルール用シート!$D$2:$D$8,[1]入力ルール用シート!$E$2:$E$8,"",0,1)&amp;_xlfn.XLOOKUP([1]!tbl_採番[[#This Row],[支店]],[1]入力ルール用シート!$F$2:$F$3,[1]入力ルール用シート!$G$2:$G$3,"",0,1)))</f>
        <v/>
      </c>
      <c r="H93" s="71"/>
    </row>
    <row r="94" spans="1:8">
      <c r="A94" s="212">
        <f>ROW([1]!tbl_採番[[#This Row],[ID]])-2</f>
        <v>92</v>
      </c>
      <c r="B94" s="73"/>
      <c r="C94" s="71"/>
      <c r="D94" s="71"/>
      <c r="E94" s="71"/>
      <c r="F94" s="72"/>
      <c r="G94" s="118" t="str">
        <f>IF(ISBLANK([1]!tbl_採番[[#This Row],[年]]),"",(RIGHT([1]!tbl_採番[[#This Row],[年]],2)&amp;TEXT([1]!tbl_採番[[#This Row],[月]],"00")&amp;"-1"&amp;TEXT(COUNTIFS(B$3:B94,B94,C$3:C94,C94),"000")&amp;"-"&amp;_xlfn.XLOOKUP([1]!tbl_採番[[#This Row],[担当者]],[1]入力ルール用シート!$D$2:$D$8,[1]入力ルール用シート!$E$2:$E$8,"",0,1)&amp;_xlfn.XLOOKUP([1]!tbl_採番[[#This Row],[支店]],[1]入力ルール用シート!$F$2:$F$3,[1]入力ルール用シート!$G$2:$G$3,"",0,1)))</f>
        <v/>
      </c>
      <c r="H94" s="71"/>
    </row>
    <row r="95" spans="1:8">
      <c r="A95" s="212">
        <f>ROW([1]!tbl_採番[[#This Row],[ID]])-2</f>
        <v>93</v>
      </c>
      <c r="B95" s="73"/>
      <c r="C95" s="71"/>
      <c r="D95" s="71"/>
      <c r="E95" s="71"/>
      <c r="F95" s="72"/>
      <c r="G95" s="118" t="str">
        <f>IF(ISBLANK([1]!tbl_採番[[#This Row],[年]]),"",(RIGHT([1]!tbl_採番[[#This Row],[年]],2)&amp;TEXT([1]!tbl_採番[[#This Row],[月]],"00")&amp;"-1"&amp;TEXT(COUNTIFS(B$3:B95,B95,C$3:C95,C95),"000")&amp;"-"&amp;_xlfn.XLOOKUP([1]!tbl_採番[[#This Row],[担当者]],[1]入力ルール用シート!$D$2:$D$8,[1]入力ルール用シート!$E$2:$E$8,"",0,1)&amp;_xlfn.XLOOKUP([1]!tbl_採番[[#This Row],[支店]],[1]入力ルール用シート!$F$2:$F$3,[1]入力ルール用シート!$G$2:$G$3,"",0,1)))</f>
        <v/>
      </c>
      <c r="H95" s="71"/>
    </row>
    <row r="96" spans="1:8">
      <c r="A96" s="212">
        <f>ROW([1]!tbl_採番[[#This Row],[ID]])-2</f>
        <v>94</v>
      </c>
      <c r="B96" s="73"/>
      <c r="C96" s="71"/>
      <c r="D96" s="71"/>
      <c r="E96" s="71"/>
      <c r="F96" s="72"/>
      <c r="G96" s="118" t="str">
        <f>IF(ISBLANK([1]!tbl_採番[[#This Row],[年]]),"",(RIGHT([1]!tbl_採番[[#This Row],[年]],2)&amp;TEXT([1]!tbl_採番[[#This Row],[月]],"00")&amp;"-1"&amp;TEXT(COUNTIFS(B$3:B96,B96,C$3:C96,C96),"000")&amp;"-"&amp;_xlfn.XLOOKUP([1]!tbl_採番[[#This Row],[担当者]],[1]入力ルール用シート!$D$2:$D$8,[1]入力ルール用シート!$E$2:$E$8,"",0,1)&amp;_xlfn.XLOOKUP([1]!tbl_採番[[#This Row],[支店]],[1]入力ルール用シート!$F$2:$F$3,[1]入力ルール用シート!$G$2:$G$3,"",0,1)))</f>
        <v/>
      </c>
      <c r="H96" s="71"/>
    </row>
    <row r="97" spans="1:8">
      <c r="A97" s="212">
        <f>ROW([1]!tbl_採番[[#This Row],[ID]])-2</f>
        <v>95</v>
      </c>
      <c r="B97" s="73"/>
      <c r="C97" s="71"/>
      <c r="D97" s="71"/>
      <c r="E97" s="71"/>
      <c r="F97" s="72"/>
      <c r="G97" s="118" t="str">
        <f>IF(ISBLANK([1]!tbl_採番[[#This Row],[年]]),"",(RIGHT([1]!tbl_採番[[#This Row],[年]],2)&amp;TEXT([1]!tbl_採番[[#This Row],[月]],"00")&amp;"-1"&amp;TEXT(COUNTIFS(B$3:B97,B97,C$3:C97,C97),"000")&amp;"-"&amp;_xlfn.XLOOKUP([1]!tbl_採番[[#This Row],[担当者]],[1]入力ルール用シート!$D$2:$D$8,[1]入力ルール用シート!$E$2:$E$8,"",0,1)&amp;_xlfn.XLOOKUP([1]!tbl_採番[[#This Row],[支店]],[1]入力ルール用シート!$F$2:$F$3,[1]入力ルール用シート!$G$2:$G$3,"",0,1)))</f>
        <v/>
      </c>
      <c r="H97" s="71"/>
    </row>
    <row r="98" spans="1:8">
      <c r="A98" s="212">
        <f>ROW([1]!tbl_採番[[#This Row],[ID]])-2</f>
        <v>96</v>
      </c>
      <c r="B98" s="73"/>
      <c r="C98" s="71"/>
      <c r="D98" s="71"/>
      <c r="E98" s="71"/>
      <c r="F98" s="72"/>
      <c r="G98" s="118" t="str">
        <f>IF(ISBLANK([1]!tbl_採番[[#This Row],[年]]),"",(RIGHT([1]!tbl_採番[[#This Row],[年]],2)&amp;TEXT([1]!tbl_採番[[#This Row],[月]],"00")&amp;"-1"&amp;TEXT(COUNTIFS(B$3:B98,B98,C$3:C98,C98),"000")&amp;"-"&amp;_xlfn.XLOOKUP([1]!tbl_採番[[#This Row],[担当者]],[1]入力ルール用シート!$D$2:$D$8,[1]入力ルール用シート!$E$2:$E$8,"",0,1)&amp;_xlfn.XLOOKUP([1]!tbl_採番[[#This Row],[支店]],[1]入力ルール用シート!$F$2:$F$3,[1]入力ルール用シート!$G$2:$G$3,"",0,1)))</f>
        <v/>
      </c>
      <c r="H98" s="71"/>
    </row>
    <row r="99" spans="1:8">
      <c r="A99" s="212">
        <f>ROW([1]!tbl_採番[[#This Row],[ID]])-2</f>
        <v>97</v>
      </c>
      <c r="B99" s="73"/>
      <c r="C99" s="71"/>
      <c r="D99" s="71"/>
      <c r="E99" s="71"/>
      <c r="F99" s="72"/>
      <c r="G99" s="118" t="str">
        <f>IF(ISBLANK([1]!tbl_採番[[#This Row],[年]]),"",(RIGHT([1]!tbl_採番[[#This Row],[年]],2)&amp;TEXT([1]!tbl_採番[[#This Row],[月]],"00")&amp;"-1"&amp;TEXT(COUNTIFS(B$3:B99,B99,C$3:C99,C99),"000")&amp;"-"&amp;_xlfn.XLOOKUP([1]!tbl_採番[[#This Row],[担当者]],[1]入力ルール用シート!$D$2:$D$8,[1]入力ルール用シート!$E$2:$E$8,"",0,1)&amp;_xlfn.XLOOKUP([1]!tbl_採番[[#This Row],[支店]],[1]入力ルール用シート!$F$2:$F$3,[1]入力ルール用シート!$G$2:$G$3,"",0,1)))</f>
        <v/>
      </c>
      <c r="H99" s="71"/>
    </row>
    <row r="100" spans="1:8">
      <c r="A100" s="212">
        <f>ROW([1]!tbl_採番[[#This Row],[ID]])-2</f>
        <v>98</v>
      </c>
      <c r="B100" s="73"/>
      <c r="C100" s="71"/>
      <c r="D100" s="71"/>
      <c r="E100" s="71"/>
      <c r="F100" s="72"/>
      <c r="G100" s="118" t="str">
        <f>IF(ISBLANK([1]!tbl_採番[[#This Row],[年]]),"",(RIGHT([1]!tbl_採番[[#This Row],[年]],2)&amp;TEXT([1]!tbl_採番[[#This Row],[月]],"00")&amp;"-1"&amp;TEXT(COUNTIFS(B$3:B100,B100,C$3:C100,C100),"000")&amp;"-"&amp;_xlfn.XLOOKUP([1]!tbl_採番[[#This Row],[担当者]],[1]入力ルール用シート!$D$2:$D$8,[1]入力ルール用シート!$E$2:$E$8,"",0,1)&amp;_xlfn.XLOOKUP([1]!tbl_採番[[#This Row],[支店]],[1]入力ルール用シート!$F$2:$F$3,[1]入力ルール用シート!$G$2:$G$3,"",0,1)))</f>
        <v/>
      </c>
      <c r="H100" s="71"/>
    </row>
    <row r="101" spans="1:8">
      <c r="A101" s="212">
        <f>ROW([1]!tbl_採番[[#This Row],[ID]])-2</f>
        <v>99</v>
      </c>
      <c r="B101" s="73"/>
      <c r="C101" s="71"/>
      <c r="D101" s="71"/>
      <c r="E101" s="71"/>
      <c r="F101" s="72"/>
      <c r="G101" s="118" t="str">
        <f>IF(ISBLANK([1]!tbl_採番[[#This Row],[年]]),"",(RIGHT([1]!tbl_採番[[#This Row],[年]],2)&amp;TEXT([1]!tbl_採番[[#This Row],[月]],"00")&amp;"-1"&amp;TEXT(COUNTIFS(B$3:B101,B101,C$3:C101,C101),"000")&amp;"-"&amp;_xlfn.XLOOKUP([1]!tbl_採番[[#This Row],[担当者]],[1]入力ルール用シート!$D$2:$D$8,[1]入力ルール用シート!$E$2:$E$8,"",0,1)&amp;_xlfn.XLOOKUP([1]!tbl_採番[[#This Row],[支店]],[1]入力ルール用シート!$F$2:$F$3,[1]入力ルール用シート!$G$2:$G$3,"",0,1)))</f>
        <v/>
      </c>
      <c r="H101" s="71"/>
    </row>
    <row r="102" spans="1:8">
      <c r="A102" s="212">
        <f>ROW([1]!tbl_採番[[#This Row],[ID]])-2</f>
        <v>100</v>
      </c>
      <c r="B102" s="73"/>
      <c r="C102" s="71"/>
      <c r="D102" s="71"/>
      <c r="E102" s="71"/>
      <c r="F102" s="72"/>
      <c r="G102" s="118" t="str">
        <f>IF(ISBLANK([1]!tbl_採番[[#This Row],[年]]),"",(RIGHT([1]!tbl_採番[[#This Row],[年]],2)&amp;TEXT([1]!tbl_採番[[#This Row],[月]],"00")&amp;"-1"&amp;TEXT(COUNTIFS(B$3:B102,B102,C$3:C102,C102),"000")&amp;"-"&amp;_xlfn.XLOOKUP([1]!tbl_採番[[#This Row],[担当者]],[1]入力ルール用シート!$D$2:$D$8,[1]入力ルール用シート!$E$2:$E$8,"",0,1)&amp;_xlfn.XLOOKUP([1]!tbl_採番[[#This Row],[支店]],[1]入力ルール用シート!$F$2:$F$3,[1]入力ルール用シート!$G$2:$G$3,"",0,1)))</f>
        <v/>
      </c>
      <c r="H102" s="71"/>
    </row>
    <row r="103" spans="1:8">
      <c r="A103" s="212">
        <f>ROW([1]!tbl_採番[[#This Row],[ID]])-2</f>
        <v>101</v>
      </c>
      <c r="B103" s="73"/>
      <c r="C103" s="71"/>
      <c r="D103" s="71"/>
      <c r="E103" s="71"/>
      <c r="F103" s="72"/>
      <c r="G103" s="118" t="str">
        <f>IF(ISBLANK([1]!tbl_採番[[#This Row],[年]]),"",(RIGHT([1]!tbl_採番[[#This Row],[年]],2)&amp;TEXT([1]!tbl_採番[[#This Row],[月]],"00")&amp;"-1"&amp;TEXT(COUNTIFS(B$3:B103,B103,C$3:C103,C103),"000")&amp;"-"&amp;_xlfn.XLOOKUP([1]!tbl_採番[[#This Row],[担当者]],[1]入力ルール用シート!$D$2:$D$8,[1]入力ルール用シート!$E$2:$E$8,"",0,1)&amp;_xlfn.XLOOKUP([1]!tbl_採番[[#This Row],[支店]],[1]入力ルール用シート!$F$2:$F$3,[1]入力ルール用シート!$G$2:$G$3,"",0,1)))</f>
        <v/>
      </c>
      <c r="H103" s="71"/>
    </row>
    <row r="104" spans="1:8">
      <c r="A104" s="212">
        <f>ROW([1]!tbl_採番[[#This Row],[ID]])-2</f>
        <v>102</v>
      </c>
      <c r="B104" s="73"/>
      <c r="C104" s="71"/>
      <c r="D104" s="71"/>
      <c r="E104" s="71"/>
      <c r="F104" s="72"/>
      <c r="G104" s="118" t="str">
        <f>IF(ISBLANK([1]!tbl_採番[[#This Row],[年]]),"",(RIGHT([1]!tbl_採番[[#This Row],[年]],2)&amp;TEXT([1]!tbl_採番[[#This Row],[月]],"00")&amp;"-1"&amp;TEXT(COUNTIFS(B$3:B104,B104,C$3:C104,C104),"000")&amp;"-"&amp;_xlfn.XLOOKUP([1]!tbl_採番[[#This Row],[担当者]],[1]入力ルール用シート!$D$2:$D$8,[1]入力ルール用シート!$E$2:$E$8,"",0,1)&amp;_xlfn.XLOOKUP([1]!tbl_採番[[#This Row],[支店]],[1]入力ルール用シート!$F$2:$F$3,[1]入力ルール用シート!$G$2:$G$3,"",0,1)))</f>
        <v/>
      </c>
      <c r="H104" s="71"/>
    </row>
    <row r="105" spans="1:8">
      <c r="A105" s="212">
        <f>ROW([1]!tbl_採番[[#This Row],[ID]])-2</f>
        <v>103</v>
      </c>
      <c r="B105" s="73"/>
      <c r="C105" s="71"/>
      <c r="D105" s="71"/>
      <c r="E105" s="71"/>
      <c r="F105" s="72"/>
      <c r="G105" s="118" t="str">
        <f>IF(ISBLANK([1]!tbl_採番[[#This Row],[年]]),"",(RIGHT([1]!tbl_採番[[#This Row],[年]],2)&amp;TEXT([1]!tbl_採番[[#This Row],[月]],"00")&amp;"-1"&amp;TEXT(COUNTIFS(B$3:B105,B105,C$3:C105,C105),"000")&amp;"-"&amp;_xlfn.XLOOKUP([1]!tbl_採番[[#This Row],[担当者]],[1]入力ルール用シート!$D$2:$D$8,[1]入力ルール用シート!$E$2:$E$8,"",0,1)&amp;_xlfn.XLOOKUP([1]!tbl_採番[[#This Row],[支店]],[1]入力ルール用シート!$F$2:$F$3,[1]入力ルール用シート!$G$2:$G$3,"",0,1)))</f>
        <v/>
      </c>
      <c r="H105" s="71"/>
    </row>
    <row r="106" spans="1:8">
      <c r="A106" s="212">
        <f>ROW([1]!tbl_採番[[#This Row],[ID]])-2</f>
        <v>104</v>
      </c>
      <c r="B106" s="73"/>
      <c r="C106" s="71"/>
      <c r="D106" s="71"/>
      <c r="E106" s="71"/>
      <c r="F106" s="72"/>
      <c r="G106" s="118" t="str">
        <f>IF(ISBLANK([1]!tbl_採番[[#This Row],[年]]),"",(RIGHT([1]!tbl_採番[[#This Row],[年]],2)&amp;TEXT([1]!tbl_採番[[#This Row],[月]],"00")&amp;"-1"&amp;TEXT(COUNTIFS(B$3:B106,B106,C$3:C106,C106),"000")&amp;"-"&amp;_xlfn.XLOOKUP([1]!tbl_採番[[#This Row],[担当者]],[1]入力ルール用シート!$D$2:$D$8,[1]入力ルール用シート!$E$2:$E$8,"",0,1)&amp;_xlfn.XLOOKUP([1]!tbl_採番[[#This Row],[支店]],[1]入力ルール用シート!$F$2:$F$3,[1]入力ルール用シート!$G$2:$G$3,"",0,1)))</f>
        <v/>
      </c>
      <c r="H106" s="71"/>
    </row>
    <row r="107" spans="1:8">
      <c r="A107" s="212">
        <f>ROW([1]!tbl_採番[[#This Row],[ID]])-2</f>
        <v>105</v>
      </c>
      <c r="B107" s="73"/>
      <c r="C107" s="71"/>
      <c r="D107" s="71"/>
      <c r="E107" s="71"/>
      <c r="F107" s="72"/>
      <c r="G107" s="118" t="str">
        <f>IF(ISBLANK([1]!tbl_採番[[#This Row],[年]]),"",(RIGHT([1]!tbl_採番[[#This Row],[年]],2)&amp;TEXT([1]!tbl_採番[[#This Row],[月]],"00")&amp;"-1"&amp;TEXT(COUNTIFS(B$3:B107,B107,C$3:C107,C107),"000")&amp;"-"&amp;_xlfn.XLOOKUP([1]!tbl_採番[[#This Row],[担当者]],[1]入力ルール用シート!$D$2:$D$8,[1]入力ルール用シート!$E$2:$E$8,"",0,1)&amp;_xlfn.XLOOKUP([1]!tbl_採番[[#This Row],[支店]],[1]入力ルール用シート!$F$2:$F$3,[1]入力ルール用シート!$G$2:$G$3,"",0,1)))</f>
        <v/>
      </c>
      <c r="H107" s="71"/>
    </row>
    <row r="108" spans="1:8">
      <c r="A108" s="212">
        <f>ROW([1]!tbl_採番[[#This Row],[ID]])-2</f>
        <v>106</v>
      </c>
      <c r="B108" s="73"/>
      <c r="C108" s="71"/>
      <c r="D108" s="71"/>
      <c r="E108" s="71"/>
      <c r="F108" s="72"/>
      <c r="G108" s="118" t="str">
        <f>IF(ISBLANK([1]!tbl_採番[[#This Row],[年]]),"",(RIGHT([1]!tbl_採番[[#This Row],[年]],2)&amp;TEXT([1]!tbl_採番[[#This Row],[月]],"00")&amp;"-1"&amp;TEXT(COUNTIFS(B$3:B108,B108,C$3:C108,C108),"000")&amp;"-"&amp;_xlfn.XLOOKUP([1]!tbl_採番[[#This Row],[担当者]],[1]入力ルール用シート!$D$2:$D$8,[1]入力ルール用シート!$E$2:$E$8,"",0,1)&amp;_xlfn.XLOOKUP([1]!tbl_採番[[#This Row],[支店]],[1]入力ルール用シート!$F$2:$F$3,[1]入力ルール用シート!$G$2:$G$3,"",0,1)))</f>
        <v/>
      </c>
      <c r="H108" s="71"/>
    </row>
    <row r="109" spans="1:8">
      <c r="A109" s="212">
        <f>ROW([1]!tbl_採番[[#This Row],[ID]])-2</f>
        <v>107</v>
      </c>
      <c r="B109" s="73"/>
      <c r="C109" s="71"/>
      <c r="D109" s="71"/>
      <c r="E109" s="71"/>
      <c r="F109" s="72"/>
      <c r="G109" s="118" t="str">
        <f>IF(ISBLANK([1]!tbl_採番[[#This Row],[年]]),"",(RIGHT([1]!tbl_採番[[#This Row],[年]],2)&amp;TEXT([1]!tbl_採番[[#This Row],[月]],"00")&amp;"-1"&amp;TEXT(COUNTIFS(B$3:B109,B109,C$3:C109,C109),"000")&amp;"-"&amp;_xlfn.XLOOKUP([1]!tbl_採番[[#This Row],[担当者]],[1]入力ルール用シート!$D$2:$D$8,[1]入力ルール用シート!$E$2:$E$8,"",0,1)&amp;_xlfn.XLOOKUP([1]!tbl_採番[[#This Row],[支店]],[1]入力ルール用シート!$F$2:$F$3,[1]入力ルール用シート!$G$2:$G$3,"",0,1)))</f>
        <v/>
      </c>
      <c r="H109" s="71"/>
    </row>
    <row r="110" spans="1:8">
      <c r="A110" s="212">
        <f>ROW([1]!tbl_採番[[#This Row],[ID]])-2</f>
        <v>108</v>
      </c>
      <c r="B110" s="73"/>
      <c r="C110" s="71"/>
      <c r="D110" s="71"/>
      <c r="E110" s="71"/>
      <c r="F110" s="72"/>
      <c r="G110" s="118" t="str">
        <f>IF(ISBLANK([1]!tbl_採番[[#This Row],[年]]),"",(RIGHT([1]!tbl_採番[[#This Row],[年]],2)&amp;TEXT([1]!tbl_採番[[#This Row],[月]],"00")&amp;"-1"&amp;TEXT(COUNTIFS(B$3:B110,B110,C$3:C110,C110),"000")&amp;"-"&amp;_xlfn.XLOOKUP([1]!tbl_採番[[#This Row],[担当者]],[1]入力ルール用シート!$D$2:$D$8,[1]入力ルール用シート!$E$2:$E$8,"",0,1)&amp;_xlfn.XLOOKUP([1]!tbl_採番[[#This Row],[支店]],[1]入力ルール用シート!$F$2:$F$3,[1]入力ルール用シート!$G$2:$G$3,"",0,1)))</f>
        <v/>
      </c>
      <c r="H110" s="71"/>
    </row>
    <row r="111" spans="1:8">
      <c r="A111" s="212">
        <f>ROW([1]!tbl_採番[[#This Row],[ID]])-2</f>
        <v>109</v>
      </c>
      <c r="B111" s="73"/>
      <c r="C111" s="71"/>
      <c r="D111" s="71"/>
      <c r="E111" s="71"/>
      <c r="F111" s="72"/>
      <c r="G111" s="118" t="str">
        <f>IF(ISBLANK([1]!tbl_採番[[#This Row],[年]]),"",(RIGHT([1]!tbl_採番[[#This Row],[年]],2)&amp;TEXT([1]!tbl_採番[[#This Row],[月]],"00")&amp;"-1"&amp;TEXT(COUNTIFS(B$3:B111,B111,C$3:C111,C111),"000")&amp;"-"&amp;_xlfn.XLOOKUP([1]!tbl_採番[[#This Row],[担当者]],[1]入力ルール用シート!$D$2:$D$8,[1]入力ルール用シート!$E$2:$E$8,"",0,1)&amp;_xlfn.XLOOKUP([1]!tbl_採番[[#This Row],[支店]],[1]入力ルール用シート!$F$2:$F$3,[1]入力ルール用シート!$G$2:$G$3,"",0,1)))</f>
        <v/>
      </c>
      <c r="H111" s="71"/>
    </row>
    <row r="112" spans="1:8">
      <c r="A112" s="212">
        <f>ROW([1]!tbl_採番[[#This Row],[ID]])-2</f>
        <v>110</v>
      </c>
      <c r="B112" s="73"/>
      <c r="C112" s="71"/>
      <c r="D112" s="71"/>
      <c r="E112" s="71"/>
      <c r="F112" s="72"/>
      <c r="G112" s="118" t="str">
        <f>IF(ISBLANK([1]!tbl_採番[[#This Row],[年]]),"",(RIGHT([1]!tbl_採番[[#This Row],[年]],2)&amp;TEXT([1]!tbl_採番[[#This Row],[月]],"00")&amp;"-1"&amp;TEXT(COUNTIFS(B$3:B112,B112,C$3:C112,C112),"000")&amp;"-"&amp;_xlfn.XLOOKUP([1]!tbl_採番[[#This Row],[担当者]],[1]入力ルール用シート!$D$2:$D$8,[1]入力ルール用シート!$E$2:$E$8,"",0,1)&amp;_xlfn.XLOOKUP([1]!tbl_採番[[#This Row],[支店]],[1]入力ルール用シート!$F$2:$F$3,[1]入力ルール用シート!$G$2:$G$3,"",0,1)))</f>
        <v/>
      </c>
      <c r="H112" s="71"/>
    </row>
    <row r="113" spans="1:8">
      <c r="A113" s="212">
        <f>ROW([1]!tbl_採番[[#This Row],[ID]])-2</f>
        <v>111</v>
      </c>
      <c r="B113" s="73"/>
      <c r="C113" s="71"/>
      <c r="D113" s="71"/>
      <c r="E113" s="71"/>
      <c r="F113" s="72"/>
      <c r="G113" s="118" t="str">
        <f>IF(ISBLANK([1]!tbl_採番[[#This Row],[年]]),"",(RIGHT([1]!tbl_採番[[#This Row],[年]],2)&amp;TEXT([1]!tbl_採番[[#This Row],[月]],"00")&amp;"-1"&amp;TEXT(COUNTIFS(B$3:B113,B113,C$3:C113,C113),"000")&amp;"-"&amp;_xlfn.XLOOKUP([1]!tbl_採番[[#This Row],[担当者]],[1]入力ルール用シート!$D$2:$D$8,[1]入力ルール用シート!$E$2:$E$8,"",0,1)&amp;_xlfn.XLOOKUP([1]!tbl_採番[[#This Row],[支店]],[1]入力ルール用シート!$F$2:$F$3,[1]入力ルール用シート!$G$2:$G$3,"",0,1)))</f>
        <v/>
      </c>
      <c r="H113" s="71"/>
    </row>
    <row r="114" spans="1:8">
      <c r="A114" s="212">
        <f>ROW([1]!tbl_採番[[#This Row],[ID]])-2</f>
        <v>112</v>
      </c>
      <c r="B114" s="73"/>
      <c r="C114" s="71"/>
      <c r="D114" s="71"/>
      <c r="E114" s="71"/>
      <c r="F114" s="72"/>
      <c r="G114" s="118" t="str">
        <f>IF(ISBLANK([1]!tbl_採番[[#This Row],[年]]),"",(RIGHT([1]!tbl_採番[[#This Row],[年]],2)&amp;TEXT([1]!tbl_採番[[#This Row],[月]],"00")&amp;"-1"&amp;TEXT(COUNTIFS(B$3:B114,B114,C$3:C114,C114),"000")&amp;"-"&amp;_xlfn.XLOOKUP([1]!tbl_採番[[#This Row],[担当者]],[1]入力ルール用シート!$D$2:$D$8,[1]入力ルール用シート!$E$2:$E$8,"",0,1)&amp;_xlfn.XLOOKUP([1]!tbl_採番[[#This Row],[支店]],[1]入力ルール用シート!$F$2:$F$3,[1]入力ルール用シート!$G$2:$G$3,"",0,1)))</f>
        <v/>
      </c>
      <c r="H114" s="71"/>
    </row>
    <row r="115" spans="1:8">
      <c r="A115" s="212">
        <f>ROW([1]!tbl_採番[[#This Row],[ID]])-2</f>
        <v>113</v>
      </c>
      <c r="B115" s="73"/>
      <c r="C115" s="71"/>
      <c r="D115" s="71"/>
      <c r="E115" s="71"/>
      <c r="F115" s="72"/>
      <c r="G115" s="118" t="str">
        <f>IF(ISBLANK([1]!tbl_採番[[#This Row],[年]]),"",(RIGHT([1]!tbl_採番[[#This Row],[年]],2)&amp;TEXT([1]!tbl_採番[[#This Row],[月]],"00")&amp;"-1"&amp;TEXT(COUNTIFS(B$3:B115,B115,C$3:C115,C115),"000")&amp;"-"&amp;_xlfn.XLOOKUP([1]!tbl_採番[[#This Row],[担当者]],[1]入力ルール用シート!$D$2:$D$8,[1]入力ルール用シート!$E$2:$E$8,"",0,1)&amp;_xlfn.XLOOKUP([1]!tbl_採番[[#This Row],[支店]],[1]入力ルール用シート!$F$2:$F$3,[1]入力ルール用シート!$G$2:$G$3,"",0,1)))</f>
        <v/>
      </c>
      <c r="H115" s="71"/>
    </row>
    <row r="116" spans="1:8">
      <c r="A116" s="212">
        <f>ROW([1]!tbl_採番[[#This Row],[ID]])-2</f>
        <v>114</v>
      </c>
      <c r="B116" s="73"/>
      <c r="C116" s="71"/>
      <c r="D116" s="71"/>
      <c r="E116" s="71"/>
      <c r="F116" s="72"/>
      <c r="G116" s="118" t="str">
        <f>IF(ISBLANK([1]!tbl_採番[[#This Row],[年]]),"",(RIGHT([1]!tbl_採番[[#This Row],[年]],2)&amp;TEXT([1]!tbl_採番[[#This Row],[月]],"00")&amp;"-1"&amp;TEXT(COUNTIFS(B$3:B116,B116,C$3:C116,C116),"000")&amp;"-"&amp;_xlfn.XLOOKUP([1]!tbl_採番[[#This Row],[担当者]],[1]入力ルール用シート!$D$2:$D$8,[1]入力ルール用シート!$E$2:$E$8,"",0,1)&amp;_xlfn.XLOOKUP([1]!tbl_採番[[#This Row],[支店]],[1]入力ルール用シート!$F$2:$F$3,[1]入力ルール用シート!$G$2:$G$3,"",0,1)))</f>
        <v/>
      </c>
      <c r="H116" s="71"/>
    </row>
    <row r="117" spans="1:8">
      <c r="A117" s="212">
        <f>ROW([1]!tbl_採番[[#This Row],[ID]])-2</f>
        <v>115</v>
      </c>
      <c r="B117" s="73"/>
      <c r="C117" s="71"/>
      <c r="D117" s="71"/>
      <c r="E117" s="71"/>
      <c r="F117" s="72"/>
      <c r="G117" s="118" t="str">
        <f>IF(ISBLANK([1]!tbl_採番[[#This Row],[年]]),"",(RIGHT([1]!tbl_採番[[#This Row],[年]],2)&amp;TEXT([1]!tbl_採番[[#This Row],[月]],"00")&amp;"-1"&amp;TEXT(COUNTIFS(B$3:B117,B117,C$3:C117,C117),"000")&amp;"-"&amp;_xlfn.XLOOKUP([1]!tbl_採番[[#This Row],[担当者]],[1]入力ルール用シート!$D$2:$D$8,[1]入力ルール用シート!$E$2:$E$8,"",0,1)&amp;_xlfn.XLOOKUP([1]!tbl_採番[[#This Row],[支店]],[1]入力ルール用シート!$F$2:$F$3,[1]入力ルール用シート!$G$2:$G$3,"",0,1)))</f>
        <v/>
      </c>
      <c r="H117" s="71"/>
    </row>
    <row r="118" spans="1:8">
      <c r="A118" s="212">
        <f>ROW([1]!tbl_採番[[#This Row],[ID]])-2</f>
        <v>116</v>
      </c>
      <c r="B118" s="73"/>
      <c r="C118" s="71"/>
      <c r="D118" s="71"/>
      <c r="E118" s="71"/>
      <c r="F118" s="72"/>
      <c r="G118" s="118" t="str">
        <f>IF(ISBLANK([1]!tbl_採番[[#This Row],[年]]),"",(RIGHT([1]!tbl_採番[[#This Row],[年]],2)&amp;TEXT([1]!tbl_採番[[#This Row],[月]],"00")&amp;"-1"&amp;TEXT(COUNTIFS(B$3:B118,B118,C$3:C118,C118),"000")&amp;"-"&amp;_xlfn.XLOOKUP([1]!tbl_採番[[#This Row],[担当者]],[1]入力ルール用シート!$D$2:$D$8,[1]入力ルール用シート!$E$2:$E$8,"",0,1)&amp;_xlfn.XLOOKUP([1]!tbl_採番[[#This Row],[支店]],[1]入力ルール用シート!$F$2:$F$3,[1]入力ルール用シート!$G$2:$G$3,"",0,1)))</f>
        <v/>
      </c>
      <c r="H118" s="71"/>
    </row>
    <row r="119" spans="1:8">
      <c r="A119" s="212">
        <f>ROW([1]!tbl_採番[[#This Row],[ID]])-2</f>
        <v>117</v>
      </c>
      <c r="B119" s="73"/>
      <c r="C119" s="71"/>
      <c r="D119" s="71"/>
      <c r="E119" s="71"/>
      <c r="F119" s="72"/>
      <c r="G119" s="118" t="str">
        <f>IF(ISBLANK([1]!tbl_採番[[#This Row],[年]]),"",(RIGHT([1]!tbl_採番[[#This Row],[年]],2)&amp;TEXT([1]!tbl_採番[[#This Row],[月]],"00")&amp;"-1"&amp;TEXT(COUNTIFS(B$3:B119,B119,C$3:C119,C119),"000")&amp;"-"&amp;_xlfn.XLOOKUP([1]!tbl_採番[[#This Row],[担当者]],[1]入力ルール用シート!$D$2:$D$8,[1]入力ルール用シート!$E$2:$E$8,"",0,1)&amp;_xlfn.XLOOKUP([1]!tbl_採番[[#This Row],[支店]],[1]入力ルール用シート!$F$2:$F$3,[1]入力ルール用シート!$G$2:$G$3,"",0,1)))</f>
        <v/>
      </c>
      <c r="H119" s="71"/>
    </row>
    <row r="120" spans="1:8">
      <c r="A120" s="212">
        <f>ROW([1]!tbl_採番[[#This Row],[ID]])-2</f>
        <v>118</v>
      </c>
      <c r="B120" s="73"/>
      <c r="C120" s="71"/>
      <c r="D120" s="71"/>
      <c r="E120" s="71"/>
      <c r="F120" s="72"/>
      <c r="G120" s="118" t="str">
        <f>IF(ISBLANK([1]!tbl_採番[[#This Row],[年]]),"",(RIGHT([1]!tbl_採番[[#This Row],[年]],2)&amp;TEXT([1]!tbl_採番[[#This Row],[月]],"00")&amp;"-1"&amp;TEXT(COUNTIFS(B$3:B120,B120,C$3:C120,C120),"000")&amp;"-"&amp;_xlfn.XLOOKUP([1]!tbl_採番[[#This Row],[担当者]],[1]入力ルール用シート!$D$2:$D$8,[1]入力ルール用シート!$E$2:$E$8,"",0,1)&amp;_xlfn.XLOOKUP([1]!tbl_採番[[#This Row],[支店]],[1]入力ルール用シート!$F$2:$F$3,[1]入力ルール用シート!$G$2:$G$3,"",0,1)))</f>
        <v/>
      </c>
      <c r="H120" s="71"/>
    </row>
    <row r="121" spans="1:8">
      <c r="A121" s="212">
        <f>ROW([1]!tbl_採番[[#This Row],[ID]])-2</f>
        <v>119</v>
      </c>
      <c r="B121" s="73"/>
      <c r="C121" s="71"/>
      <c r="D121" s="71"/>
      <c r="E121" s="71"/>
      <c r="F121" s="72"/>
      <c r="G121" s="118" t="str">
        <f>IF(ISBLANK([1]!tbl_採番[[#This Row],[年]]),"",(RIGHT([1]!tbl_採番[[#This Row],[年]],2)&amp;TEXT([1]!tbl_採番[[#This Row],[月]],"00")&amp;"-1"&amp;TEXT(COUNTIFS(B$3:B121,B121,C$3:C121,C121),"000")&amp;"-"&amp;_xlfn.XLOOKUP([1]!tbl_採番[[#This Row],[担当者]],[1]入力ルール用シート!$D$2:$D$8,[1]入力ルール用シート!$E$2:$E$8,"",0,1)&amp;_xlfn.XLOOKUP([1]!tbl_採番[[#This Row],[支店]],[1]入力ルール用シート!$F$2:$F$3,[1]入力ルール用シート!$G$2:$G$3,"",0,1)))</f>
        <v/>
      </c>
      <c r="H121" s="71"/>
    </row>
    <row r="122" spans="1:8">
      <c r="A122" s="212">
        <f>ROW([1]!tbl_採番[[#This Row],[ID]])-2</f>
        <v>120</v>
      </c>
      <c r="B122" s="73"/>
      <c r="C122" s="71"/>
      <c r="D122" s="71"/>
      <c r="E122" s="71"/>
      <c r="F122" s="72"/>
      <c r="G122" s="118" t="str">
        <f>IF(ISBLANK([1]!tbl_採番[[#This Row],[年]]),"",(RIGHT([1]!tbl_採番[[#This Row],[年]],2)&amp;TEXT([1]!tbl_採番[[#This Row],[月]],"00")&amp;"-1"&amp;TEXT(COUNTIFS(B$3:B122,B122,C$3:C122,C122),"000")&amp;"-"&amp;_xlfn.XLOOKUP([1]!tbl_採番[[#This Row],[担当者]],[1]入力ルール用シート!$D$2:$D$8,[1]入力ルール用シート!$E$2:$E$8,"",0,1)&amp;_xlfn.XLOOKUP([1]!tbl_採番[[#This Row],[支店]],[1]入力ルール用シート!$F$2:$F$3,[1]入力ルール用シート!$G$2:$G$3,"",0,1)))</f>
        <v/>
      </c>
      <c r="H122" s="71"/>
    </row>
    <row r="123" spans="1:8">
      <c r="A123" s="212">
        <f>ROW([1]!tbl_採番[[#This Row],[ID]])-2</f>
        <v>121</v>
      </c>
      <c r="B123" s="73"/>
      <c r="C123" s="71"/>
      <c r="D123" s="71"/>
      <c r="E123" s="71"/>
      <c r="F123" s="72"/>
      <c r="G123" s="118" t="str">
        <f>IF(ISBLANK([1]!tbl_採番[[#This Row],[年]]),"",(RIGHT([1]!tbl_採番[[#This Row],[年]],2)&amp;TEXT([1]!tbl_採番[[#This Row],[月]],"00")&amp;"-1"&amp;TEXT(COUNTIFS(B$3:B123,B123,C$3:C123,C123),"000")&amp;"-"&amp;_xlfn.XLOOKUP([1]!tbl_採番[[#This Row],[担当者]],[1]入力ルール用シート!$D$2:$D$8,[1]入力ルール用シート!$E$2:$E$8,"",0,1)&amp;_xlfn.XLOOKUP([1]!tbl_採番[[#This Row],[支店]],[1]入力ルール用シート!$F$2:$F$3,[1]入力ルール用シート!$G$2:$G$3,"",0,1)))</f>
        <v/>
      </c>
      <c r="H123" s="71"/>
    </row>
    <row r="124" spans="1:8">
      <c r="A124" s="212">
        <f>ROW([1]!tbl_採番[[#This Row],[ID]])-2</f>
        <v>122</v>
      </c>
      <c r="B124" s="73"/>
      <c r="C124" s="71"/>
      <c r="D124" s="71"/>
      <c r="E124" s="71"/>
      <c r="F124" s="72"/>
      <c r="G124" s="118" t="str">
        <f>IF(ISBLANK([1]!tbl_採番[[#This Row],[年]]),"",(RIGHT([1]!tbl_採番[[#This Row],[年]],2)&amp;TEXT([1]!tbl_採番[[#This Row],[月]],"00")&amp;"-1"&amp;TEXT(COUNTIFS(B$3:B124,B124,C$3:C124,C124),"000")&amp;"-"&amp;_xlfn.XLOOKUP([1]!tbl_採番[[#This Row],[担当者]],[1]入力ルール用シート!$D$2:$D$8,[1]入力ルール用シート!$E$2:$E$8,"",0,1)&amp;_xlfn.XLOOKUP([1]!tbl_採番[[#This Row],[支店]],[1]入力ルール用シート!$F$2:$F$3,[1]入力ルール用シート!$G$2:$G$3,"",0,1)))</f>
        <v/>
      </c>
      <c r="H124" s="71"/>
    </row>
    <row r="125" spans="1:8">
      <c r="A125" s="212">
        <f>ROW([1]!tbl_採番[[#This Row],[ID]])-2</f>
        <v>123</v>
      </c>
      <c r="B125" s="73"/>
      <c r="C125" s="71"/>
      <c r="D125" s="71"/>
      <c r="E125" s="71"/>
      <c r="F125" s="72"/>
      <c r="G125" s="118" t="str">
        <f>IF(ISBLANK([1]!tbl_採番[[#This Row],[年]]),"",(RIGHT([1]!tbl_採番[[#This Row],[年]],2)&amp;TEXT([1]!tbl_採番[[#This Row],[月]],"00")&amp;"-1"&amp;TEXT(COUNTIFS(B$3:B125,B125,C$3:C125,C125),"000")&amp;"-"&amp;_xlfn.XLOOKUP([1]!tbl_採番[[#This Row],[担当者]],[1]入力ルール用シート!$D$2:$D$8,[1]入力ルール用シート!$E$2:$E$8,"",0,1)&amp;_xlfn.XLOOKUP([1]!tbl_採番[[#This Row],[支店]],[1]入力ルール用シート!$F$2:$F$3,[1]入力ルール用シート!$G$2:$G$3,"",0,1)))</f>
        <v/>
      </c>
      <c r="H125" s="71"/>
    </row>
    <row r="126" spans="1:8">
      <c r="A126" s="212">
        <f>ROW([1]!tbl_採番[[#This Row],[ID]])-2</f>
        <v>124</v>
      </c>
      <c r="B126" s="73"/>
      <c r="C126" s="71"/>
      <c r="D126" s="71"/>
      <c r="E126" s="71"/>
      <c r="F126" s="72"/>
      <c r="G126" s="118" t="str">
        <f>IF(ISBLANK([1]!tbl_採番[[#This Row],[年]]),"",(RIGHT([1]!tbl_採番[[#This Row],[年]],2)&amp;TEXT([1]!tbl_採番[[#This Row],[月]],"00")&amp;"-1"&amp;TEXT(COUNTIFS(B$3:B126,B126,C$3:C126,C126),"000")&amp;"-"&amp;_xlfn.XLOOKUP([1]!tbl_採番[[#This Row],[担当者]],[1]入力ルール用シート!$D$2:$D$8,[1]入力ルール用シート!$E$2:$E$8,"",0,1)&amp;_xlfn.XLOOKUP([1]!tbl_採番[[#This Row],[支店]],[1]入力ルール用シート!$F$2:$F$3,[1]入力ルール用シート!$G$2:$G$3,"",0,1)))</f>
        <v/>
      </c>
      <c r="H126" s="71"/>
    </row>
    <row r="127" spans="1:8">
      <c r="A127" s="212">
        <f>ROW([1]!tbl_採番[[#This Row],[ID]])-2</f>
        <v>125</v>
      </c>
      <c r="B127" s="73"/>
      <c r="C127" s="71"/>
      <c r="D127" s="71"/>
      <c r="E127" s="71"/>
      <c r="F127" s="72"/>
      <c r="G127" s="118" t="str">
        <f>IF(ISBLANK([1]!tbl_採番[[#This Row],[年]]),"",(RIGHT([1]!tbl_採番[[#This Row],[年]],2)&amp;TEXT([1]!tbl_採番[[#This Row],[月]],"00")&amp;"-1"&amp;TEXT(COUNTIFS(B$3:B127,B127,C$3:C127,C127),"000")&amp;"-"&amp;_xlfn.XLOOKUP([1]!tbl_採番[[#This Row],[担当者]],[1]入力ルール用シート!$D$2:$D$8,[1]入力ルール用シート!$E$2:$E$8,"",0,1)&amp;_xlfn.XLOOKUP([1]!tbl_採番[[#This Row],[支店]],[1]入力ルール用シート!$F$2:$F$3,[1]入力ルール用シート!$G$2:$G$3,"",0,1)))</f>
        <v/>
      </c>
      <c r="H127" s="71"/>
    </row>
    <row r="128" spans="1:8">
      <c r="A128" s="212">
        <f>ROW([1]!tbl_採番[[#This Row],[ID]])-2</f>
        <v>126</v>
      </c>
      <c r="B128" s="73"/>
      <c r="C128" s="71"/>
      <c r="D128" s="71"/>
      <c r="E128" s="71"/>
      <c r="F128" s="72"/>
      <c r="G128" s="118" t="str">
        <f>IF(ISBLANK([1]!tbl_採番[[#This Row],[年]]),"",(RIGHT([1]!tbl_採番[[#This Row],[年]],2)&amp;TEXT([1]!tbl_採番[[#This Row],[月]],"00")&amp;"-1"&amp;TEXT(COUNTIFS(B$3:B128,B128,C$3:C128,C128),"000")&amp;"-"&amp;_xlfn.XLOOKUP([1]!tbl_採番[[#This Row],[担当者]],[1]入力ルール用シート!$D$2:$D$8,[1]入力ルール用シート!$E$2:$E$8,"",0,1)&amp;_xlfn.XLOOKUP([1]!tbl_採番[[#This Row],[支店]],[1]入力ルール用シート!$F$2:$F$3,[1]入力ルール用シート!$G$2:$G$3,"",0,1)))</f>
        <v/>
      </c>
      <c r="H128" s="71"/>
    </row>
    <row r="129" spans="1:8">
      <c r="A129" s="212">
        <f>ROW([1]!tbl_採番[[#This Row],[ID]])-2</f>
        <v>127</v>
      </c>
      <c r="B129" s="73"/>
      <c r="C129" s="71"/>
      <c r="D129" s="71"/>
      <c r="E129" s="71"/>
      <c r="F129" s="72"/>
      <c r="G129" s="118" t="str">
        <f>IF(ISBLANK([1]!tbl_採番[[#This Row],[年]]),"",(RIGHT([1]!tbl_採番[[#This Row],[年]],2)&amp;TEXT([1]!tbl_採番[[#This Row],[月]],"00")&amp;"-1"&amp;TEXT(COUNTIFS(B$3:B129,B129,C$3:C129,C129),"000")&amp;"-"&amp;_xlfn.XLOOKUP([1]!tbl_採番[[#This Row],[担当者]],[1]入力ルール用シート!$D$2:$D$8,[1]入力ルール用シート!$E$2:$E$8,"",0,1)&amp;_xlfn.XLOOKUP([1]!tbl_採番[[#This Row],[支店]],[1]入力ルール用シート!$F$2:$F$3,[1]入力ルール用シート!$G$2:$G$3,"",0,1)))</f>
        <v/>
      </c>
      <c r="H129" s="71"/>
    </row>
    <row r="130" spans="1:8">
      <c r="A130" s="212">
        <f>ROW([1]!tbl_採番[[#This Row],[ID]])-2</f>
        <v>128</v>
      </c>
      <c r="B130" s="73"/>
      <c r="C130" s="71"/>
      <c r="D130" s="71"/>
      <c r="E130" s="71"/>
      <c r="F130" s="72"/>
      <c r="G130" s="118" t="str">
        <f>IF(ISBLANK([1]!tbl_採番[[#This Row],[年]]),"",(RIGHT([1]!tbl_採番[[#This Row],[年]],2)&amp;TEXT([1]!tbl_採番[[#This Row],[月]],"00")&amp;"-1"&amp;TEXT(COUNTIFS(B$3:B130,B130,C$3:C130,C130),"000")&amp;"-"&amp;_xlfn.XLOOKUP([1]!tbl_採番[[#This Row],[担当者]],[1]入力ルール用シート!$D$2:$D$8,[1]入力ルール用シート!$E$2:$E$8,"",0,1)&amp;_xlfn.XLOOKUP([1]!tbl_採番[[#This Row],[支店]],[1]入力ルール用シート!$F$2:$F$3,[1]入力ルール用シート!$G$2:$G$3,"",0,1)))</f>
        <v/>
      </c>
      <c r="H130" s="71"/>
    </row>
    <row r="131" spans="1:8">
      <c r="A131" s="212">
        <f>ROW([1]!tbl_採番[[#This Row],[ID]])-2</f>
        <v>129</v>
      </c>
      <c r="B131" s="73"/>
      <c r="C131" s="71"/>
      <c r="D131" s="71"/>
      <c r="E131" s="71"/>
      <c r="F131" s="72"/>
      <c r="G131" s="118" t="str">
        <f>IF(ISBLANK([1]!tbl_採番[[#This Row],[年]]),"",(RIGHT([1]!tbl_採番[[#This Row],[年]],2)&amp;TEXT([1]!tbl_採番[[#This Row],[月]],"00")&amp;"-1"&amp;TEXT(COUNTIFS(B$3:B131,B131,C$3:C131,C131),"000")&amp;"-"&amp;_xlfn.XLOOKUP([1]!tbl_採番[[#This Row],[担当者]],[1]入力ルール用シート!$D$2:$D$8,[1]入力ルール用シート!$E$2:$E$8,"",0,1)&amp;_xlfn.XLOOKUP([1]!tbl_採番[[#This Row],[支店]],[1]入力ルール用シート!$F$2:$F$3,[1]入力ルール用シート!$G$2:$G$3,"",0,1)))</f>
        <v/>
      </c>
      <c r="H131" s="71"/>
    </row>
    <row r="132" spans="1:8">
      <c r="A132" s="212">
        <f>ROW([1]!tbl_採番[[#This Row],[ID]])-2</f>
        <v>130</v>
      </c>
      <c r="B132" s="73"/>
      <c r="C132" s="71"/>
      <c r="D132" s="71"/>
      <c r="E132" s="71"/>
      <c r="F132" s="72"/>
      <c r="G132" s="118" t="str">
        <f>IF(ISBLANK([1]!tbl_採番[[#This Row],[年]]),"",(RIGHT([1]!tbl_採番[[#This Row],[年]],2)&amp;TEXT([1]!tbl_採番[[#This Row],[月]],"00")&amp;"-1"&amp;TEXT(COUNTIFS(B$3:B132,B132,C$3:C132,C132),"000")&amp;"-"&amp;_xlfn.XLOOKUP([1]!tbl_採番[[#This Row],[担当者]],[1]入力ルール用シート!$D$2:$D$8,[1]入力ルール用シート!$E$2:$E$8,"",0,1)&amp;_xlfn.XLOOKUP([1]!tbl_採番[[#This Row],[支店]],[1]入力ルール用シート!$F$2:$F$3,[1]入力ルール用シート!$G$2:$G$3,"",0,1)))</f>
        <v/>
      </c>
      <c r="H132" s="71"/>
    </row>
    <row r="133" spans="1:8">
      <c r="A133" s="212">
        <f>ROW([1]!tbl_採番[[#This Row],[ID]])-2</f>
        <v>131</v>
      </c>
      <c r="B133" s="73"/>
      <c r="C133" s="71"/>
      <c r="D133" s="71"/>
      <c r="E133" s="71"/>
      <c r="F133" s="72"/>
      <c r="G133" s="118" t="str">
        <f>IF(ISBLANK([1]!tbl_採番[[#This Row],[年]]),"",(RIGHT([1]!tbl_採番[[#This Row],[年]],2)&amp;TEXT([1]!tbl_採番[[#This Row],[月]],"00")&amp;"-1"&amp;TEXT(COUNTIFS(B$3:B133,B133,C$3:C133,C133),"000")&amp;"-"&amp;_xlfn.XLOOKUP([1]!tbl_採番[[#This Row],[担当者]],[1]入力ルール用シート!$D$2:$D$8,[1]入力ルール用シート!$E$2:$E$8,"",0,1)&amp;_xlfn.XLOOKUP([1]!tbl_採番[[#This Row],[支店]],[1]入力ルール用シート!$F$2:$F$3,[1]入力ルール用シート!$G$2:$G$3,"",0,1)))</f>
        <v/>
      </c>
      <c r="H133" s="71"/>
    </row>
    <row r="134" spans="1:8">
      <c r="A134" s="212">
        <f>ROW([1]!tbl_採番[[#This Row],[ID]])-2</f>
        <v>132</v>
      </c>
      <c r="B134" s="73"/>
      <c r="C134" s="71"/>
      <c r="D134" s="71"/>
      <c r="E134" s="71"/>
      <c r="F134" s="72"/>
      <c r="G134" s="118" t="str">
        <f>IF(ISBLANK([1]!tbl_採番[[#This Row],[年]]),"",(RIGHT([1]!tbl_採番[[#This Row],[年]],2)&amp;TEXT([1]!tbl_採番[[#This Row],[月]],"00")&amp;"-1"&amp;TEXT(COUNTIFS(B$3:B134,B134,C$3:C134,C134),"000")&amp;"-"&amp;_xlfn.XLOOKUP([1]!tbl_採番[[#This Row],[担当者]],[1]入力ルール用シート!$D$2:$D$8,[1]入力ルール用シート!$E$2:$E$8,"",0,1)&amp;_xlfn.XLOOKUP([1]!tbl_採番[[#This Row],[支店]],[1]入力ルール用シート!$F$2:$F$3,[1]入力ルール用シート!$G$2:$G$3,"",0,1)))</f>
        <v/>
      </c>
      <c r="H134" s="71"/>
    </row>
    <row r="135" spans="1:8">
      <c r="A135" s="212">
        <f>ROW([1]!tbl_採番[[#This Row],[ID]])-2</f>
        <v>133</v>
      </c>
      <c r="B135" s="73"/>
      <c r="C135" s="71"/>
      <c r="D135" s="71"/>
      <c r="E135" s="71"/>
      <c r="F135" s="72"/>
      <c r="G135" s="118" t="str">
        <f>IF(ISBLANK([1]!tbl_採番[[#This Row],[年]]),"",(RIGHT([1]!tbl_採番[[#This Row],[年]],2)&amp;TEXT([1]!tbl_採番[[#This Row],[月]],"00")&amp;"-1"&amp;TEXT(COUNTIFS(B$3:B135,B135,C$3:C135,C135),"000")&amp;"-"&amp;_xlfn.XLOOKUP([1]!tbl_採番[[#This Row],[担当者]],[1]入力ルール用シート!$D$2:$D$8,[1]入力ルール用シート!$E$2:$E$8,"",0,1)&amp;_xlfn.XLOOKUP([1]!tbl_採番[[#This Row],[支店]],[1]入力ルール用シート!$F$2:$F$3,[1]入力ルール用シート!$G$2:$G$3,"",0,1)))</f>
        <v/>
      </c>
      <c r="H135" s="71"/>
    </row>
    <row r="136" spans="1:8">
      <c r="A136" s="212">
        <f>ROW([1]!tbl_採番[[#This Row],[ID]])-2</f>
        <v>134</v>
      </c>
      <c r="B136" s="73"/>
      <c r="C136" s="71"/>
      <c r="D136" s="71"/>
      <c r="E136" s="71"/>
      <c r="F136" s="72"/>
      <c r="G136" s="118" t="str">
        <f>IF(ISBLANK([1]!tbl_採番[[#This Row],[年]]),"",(RIGHT([1]!tbl_採番[[#This Row],[年]],2)&amp;TEXT([1]!tbl_採番[[#This Row],[月]],"00")&amp;"-1"&amp;TEXT(COUNTIFS(B$3:B136,B136,C$3:C136,C136),"000")&amp;"-"&amp;_xlfn.XLOOKUP([1]!tbl_採番[[#This Row],[担当者]],[1]入力ルール用シート!$D$2:$D$8,[1]入力ルール用シート!$E$2:$E$8,"",0,1)&amp;_xlfn.XLOOKUP([1]!tbl_採番[[#This Row],[支店]],[1]入力ルール用シート!$F$2:$F$3,[1]入力ルール用シート!$G$2:$G$3,"",0,1)))</f>
        <v/>
      </c>
      <c r="H136" s="71"/>
    </row>
    <row r="137" spans="1:8">
      <c r="A137" s="212">
        <f>ROW([1]!tbl_採番[[#This Row],[ID]])-2</f>
        <v>135</v>
      </c>
      <c r="B137" s="73"/>
      <c r="C137" s="71"/>
      <c r="D137" s="71"/>
      <c r="E137" s="71"/>
      <c r="F137" s="72"/>
      <c r="G137" s="118" t="str">
        <f>IF(ISBLANK([1]!tbl_採番[[#This Row],[年]]),"",(RIGHT([1]!tbl_採番[[#This Row],[年]],2)&amp;TEXT([1]!tbl_採番[[#This Row],[月]],"00")&amp;"-1"&amp;TEXT(COUNTIFS(B$3:B137,B137,C$3:C137,C137),"000")&amp;"-"&amp;_xlfn.XLOOKUP([1]!tbl_採番[[#This Row],[担当者]],[1]入力ルール用シート!$D$2:$D$8,[1]入力ルール用シート!$E$2:$E$8,"",0,1)&amp;_xlfn.XLOOKUP([1]!tbl_採番[[#This Row],[支店]],[1]入力ルール用シート!$F$2:$F$3,[1]入力ルール用シート!$G$2:$G$3,"",0,1)))</f>
        <v/>
      </c>
      <c r="H137" s="71"/>
    </row>
    <row r="138" spans="1:8">
      <c r="A138" s="212">
        <f>ROW([1]!tbl_採番[[#This Row],[ID]])-2</f>
        <v>136</v>
      </c>
      <c r="B138" s="73"/>
      <c r="C138" s="71"/>
      <c r="D138" s="71"/>
      <c r="E138" s="71"/>
      <c r="F138" s="72"/>
      <c r="G138" s="118" t="str">
        <f>IF(ISBLANK([1]!tbl_採番[[#This Row],[年]]),"",(RIGHT([1]!tbl_採番[[#This Row],[年]],2)&amp;TEXT([1]!tbl_採番[[#This Row],[月]],"00")&amp;"-1"&amp;TEXT(COUNTIFS(B$3:B138,B138,C$3:C138,C138),"000")&amp;"-"&amp;_xlfn.XLOOKUP([1]!tbl_採番[[#This Row],[担当者]],[1]入力ルール用シート!$D$2:$D$8,[1]入力ルール用シート!$E$2:$E$8,"",0,1)&amp;_xlfn.XLOOKUP([1]!tbl_採番[[#This Row],[支店]],[1]入力ルール用シート!$F$2:$F$3,[1]入力ルール用シート!$G$2:$G$3,"",0,1)))</f>
        <v/>
      </c>
      <c r="H138" s="71"/>
    </row>
    <row r="139" spans="1:8">
      <c r="A139" s="212">
        <f>ROW([1]!tbl_採番[[#This Row],[ID]])-2</f>
        <v>137</v>
      </c>
      <c r="B139" s="73"/>
      <c r="C139" s="71"/>
      <c r="D139" s="71"/>
      <c r="E139" s="71"/>
      <c r="F139" s="72"/>
      <c r="G139" s="118" t="str">
        <f>IF(ISBLANK([1]!tbl_採番[[#This Row],[年]]),"",(RIGHT([1]!tbl_採番[[#This Row],[年]],2)&amp;TEXT([1]!tbl_採番[[#This Row],[月]],"00")&amp;"-1"&amp;TEXT(COUNTIFS(B$3:B139,B139,C$3:C139,C139),"000")&amp;"-"&amp;_xlfn.XLOOKUP([1]!tbl_採番[[#This Row],[担当者]],[1]入力ルール用シート!$D$2:$D$8,[1]入力ルール用シート!$E$2:$E$8,"",0,1)&amp;_xlfn.XLOOKUP([1]!tbl_採番[[#This Row],[支店]],[1]入力ルール用シート!$F$2:$F$3,[1]入力ルール用シート!$G$2:$G$3,"",0,1)))</f>
        <v/>
      </c>
      <c r="H139" s="71"/>
    </row>
    <row r="140" spans="1:8">
      <c r="A140" s="212">
        <f>ROW([1]!tbl_採番[[#This Row],[ID]])-2</f>
        <v>138</v>
      </c>
      <c r="B140" s="73"/>
      <c r="C140" s="71"/>
      <c r="D140" s="71"/>
      <c r="E140" s="71"/>
      <c r="F140" s="72"/>
      <c r="G140" s="118" t="str">
        <f>IF(ISBLANK([1]!tbl_採番[[#This Row],[年]]),"",(RIGHT([1]!tbl_採番[[#This Row],[年]],2)&amp;TEXT([1]!tbl_採番[[#This Row],[月]],"00")&amp;"-1"&amp;TEXT(COUNTIFS(B$3:B140,B140,C$3:C140,C140),"000")&amp;"-"&amp;_xlfn.XLOOKUP([1]!tbl_採番[[#This Row],[担当者]],[1]入力ルール用シート!$D$2:$D$8,[1]入力ルール用シート!$E$2:$E$8,"",0,1)&amp;_xlfn.XLOOKUP([1]!tbl_採番[[#This Row],[支店]],[1]入力ルール用シート!$F$2:$F$3,[1]入力ルール用シート!$G$2:$G$3,"",0,1)))</f>
        <v/>
      </c>
      <c r="H140" s="71"/>
    </row>
    <row r="141" spans="1:8">
      <c r="A141" s="212">
        <f>ROW([1]!tbl_採番[[#This Row],[ID]])-2</f>
        <v>139</v>
      </c>
      <c r="B141" s="73"/>
      <c r="C141" s="71"/>
      <c r="D141" s="71"/>
      <c r="E141" s="71"/>
      <c r="F141" s="72"/>
      <c r="G141" s="118" t="str">
        <f>IF(ISBLANK([1]!tbl_採番[[#This Row],[年]]),"",(RIGHT([1]!tbl_採番[[#This Row],[年]],2)&amp;TEXT([1]!tbl_採番[[#This Row],[月]],"00")&amp;"-1"&amp;TEXT(COUNTIFS(B$3:B141,B141,C$3:C141,C141),"000")&amp;"-"&amp;_xlfn.XLOOKUP([1]!tbl_採番[[#This Row],[担当者]],[1]入力ルール用シート!$D$2:$D$8,[1]入力ルール用シート!$E$2:$E$8,"",0,1)&amp;_xlfn.XLOOKUP([1]!tbl_採番[[#This Row],[支店]],[1]入力ルール用シート!$F$2:$F$3,[1]入力ルール用シート!$G$2:$G$3,"",0,1)))</f>
        <v/>
      </c>
      <c r="H141" s="71"/>
    </row>
    <row r="142" spans="1:8">
      <c r="A142" s="212">
        <f>ROW([1]!tbl_採番[[#This Row],[ID]])-2</f>
        <v>140</v>
      </c>
      <c r="B142" s="73"/>
      <c r="C142" s="71"/>
      <c r="D142" s="71"/>
      <c r="E142" s="71"/>
      <c r="F142" s="72"/>
      <c r="G142" s="118" t="str">
        <f>IF(ISBLANK([1]!tbl_採番[[#This Row],[年]]),"",(RIGHT([1]!tbl_採番[[#This Row],[年]],2)&amp;TEXT([1]!tbl_採番[[#This Row],[月]],"00")&amp;"-1"&amp;TEXT(COUNTIFS(B$3:B142,B142,C$3:C142,C142),"000")&amp;"-"&amp;_xlfn.XLOOKUP([1]!tbl_採番[[#This Row],[担当者]],[1]入力ルール用シート!$D$2:$D$8,[1]入力ルール用シート!$E$2:$E$8,"",0,1)&amp;_xlfn.XLOOKUP([1]!tbl_採番[[#This Row],[支店]],[1]入力ルール用シート!$F$2:$F$3,[1]入力ルール用シート!$G$2:$G$3,"",0,1)))</f>
        <v/>
      </c>
      <c r="H142" s="71"/>
    </row>
    <row r="143" spans="1:8">
      <c r="A143" s="212">
        <f>ROW([1]!tbl_採番[[#This Row],[ID]])-2</f>
        <v>141</v>
      </c>
      <c r="B143" s="73"/>
      <c r="C143" s="71"/>
      <c r="D143" s="71"/>
      <c r="E143" s="71"/>
      <c r="F143" s="72"/>
      <c r="G143" s="118" t="str">
        <f>IF(ISBLANK([1]!tbl_採番[[#This Row],[年]]),"",(RIGHT([1]!tbl_採番[[#This Row],[年]],2)&amp;TEXT([1]!tbl_採番[[#This Row],[月]],"00")&amp;"-1"&amp;TEXT(COUNTIFS(B$3:B143,B143,C$3:C143,C143),"000")&amp;"-"&amp;_xlfn.XLOOKUP([1]!tbl_採番[[#This Row],[担当者]],[1]入力ルール用シート!$D$2:$D$8,[1]入力ルール用シート!$E$2:$E$8,"",0,1)&amp;_xlfn.XLOOKUP([1]!tbl_採番[[#This Row],[支店]],[1]入力ルール用シート!$F$2:$F$3,[1]入力ルール用シート!$G$2:$G$3,"",0,1)))</f>
        <v/>
      </c>
      <c r="H143" s="71"/>
    </row>
    <row r="144" spans="1:8">
      <c r="A144" s="212">
        <f>ROW([1]!tbl_採番[[#This Row],[ID]])-2</f>
        <v>142</v>
      </c>
      <c r="B144" s="73"/>
      <c r="C144" s="71"/>
      <c r="D144" s="71"/>
      <c r="E144" s="71"/>
      <c r="F144" s="72"/>
      <c r="G144" s="118" t="str">
        <f>IF(ISBLANK([1]!tbl_採番[[#This Row],[年]]),"",(RIGHT([1]!tbl_採番[[#This Row],[年]],2)&amp;TEXT([1]!tbl_採番[[#This Row],[月]],"00")&amp;"-1"&amp;TEXT(COUNTIFS(B$3:B144,B144,C$3:C144,C144),"000")&amp;"-"&amp;_xlfn.XLOOKUP([1]!tbl_採番[[#This Row],[担当者]],[1]入力ルール用シート!$D$2:$D$8,[1]入力ルール用シート!$E$2:$E$8,"",0,1)&amp;_xlfn.XLOOKUP([1]!tbl_採番[[#This Row],[支店]],[1]入力ルール用シート!$F$2:$F$3,[1]入力ルール用シート!$G$2:$G$3,"",0,1)))</f>
        <v/>
      </c>
      <c r="H144" s="71"/>
    </row>
    <row r="145" spans="1:8">
      <c r="A145" s="212">
        <f>ROW([1]!tbl_採番[[#This Row],[ID]])-2</f>
        <v>143</v>
      </c>
      <c r="B145" s="73"/>
      <c r="C145" s="71"/>
      <c r="D145" s="71"/>
      <c r="E145" s="71"/>
      <c r="F145" s="72"/>
      <c r="G145" s="118" t="str">
        <f>IF(ISBLANK([1]!tbl_採番[[#This Row],[年]]),"",(RIGHT([1]!tbl_採番[[#This Row],[年]],2)&amp;TEXT([1]!tbl_採番[[#This Row],[月]],"00")&amp;"-1"&amp;TEXT(COUNTIFS(B$3:B145,B145,C$3:C145,C145),"000")&amp;"-"&amp;_xlfn.XLOOKUP([1]!tbl_採番[[#This Row],[担当者]],[1]入力ルール用シート!$D$2:$D$8,[1]入力ルール用シート!$E$2:$E$8,"",0,1)&amp;_xlfn.XLOOKUP([1]!tbl_採番[[#This Row],[支店]],[1]入力ルール用シート!$F$2:$F$3,[1]入力ルール用シート!$G$2:$G$3,"",0,1)))</f>
        <v/>
      </c>
      <c r="H145" s="71"/>
    </row>
    <row r="146" spans="1:8">
      <c r="A146" s="212">
        <f>ROW([1]!tbl_採番[[#This Row],[ID]])-2</f>
        <v>144</v>
      </c>
      <c r="B146" s="73"/>
      <c r="C146" s="71"/>
      <c r="D146" s="71"/>
      <c r="E146" s="71"/>
      <c r="F146" s="72"/>
      <c r="G146" s="118" t="str">
        <f>IF(ISBLANK([1]!tbl_採番[[#This Row],[年]]),"",(RIGHT([1]!tbl_採番[[#This Row],[年]],2)&amp;TEXT([1]!tbl_採番[[#This Row],[月]],"00")&amp;"-1"&amp;TEXT(COUNTIFS(B$3:B146,B146,C$3:C146,C146),"000")&amp;"-"&amp;_xlfn.XLOOKUP([1]!tbl_採番[[#This Row],[担当者]],[1]入力ルール用シート!$D$2:$D$8,[1]入力ルール用シート!$E$2:$E$8,"",0,1)&amp;_xlfn.XLOOKUP([1]!tbl_採番[[#This Row],[支店]],[1]入力ルール用シート!$F$2:$F$3,[1]入力ルール用シート!$G$2:$G$3,"",0,1)))</f>
        <v/>
      </c>
      <c r="H146" s="71"/>
    </row>
    <row r="147" spans="1:8">
      <c r="A147" s="212">
        <f>ROW([1]!tbl_採番[[#This Row],[ID]])-2</f>
        <v>145</v>
      </c>
      <c r="B147" s="73"/>
      <c r="C147" s="71"/>
      <c r="D147" s="71"/>
      <c r="E147" s="71"/>
      <c r="F147" s="72"/>
      <c r="G147" s="118" t="str">
        <f>IF(ISBLANK([1]!tbl_採番[[#This Row],[年]]),"",(RIGHT([1]!tbl_採番[[#This Row],[年]],2)&amp;TEXT([1]!tbl_採番[[#This Row],[月]],"00")&amp;"-1"&amp;TEXT(COUNTIFS(B$3:B147,B147,C$3:C147,C147),"000")&amp;"-"&amp;_xlfn.XLOOKUP([1]!tbl_採番[[#This Row],[担当者]],[1]入力ルール用シート!$D$2:$D$8,[1]入力ルール用シート!$E$2:$E$8,"",0,1)&amp;_xlfn.XLOOKUP([1]!tbl_採番[[#This Row],[支店]],[1]入力ルール用シート!$F$2:$F$3,[1]入力ルール用シート!$G$2:$G$3,"",0,1)))</f>
        <v/>
      </c>
      <c r="H147" s="71"/>
    </row>
    <row r="148" spans="1:8">
      <c r="A148" s="212">
        <f>ROW([1]!tbl_採番[[#This Row],[ID]])-2</f>
        <v>146</v>
      </c>
      <c r="B148" s="73"/>
      <c r="C148" s="71"/>
      <c r="D148" s="71"/>
      <c r="E148" s="71"/>
      <c r="F148" s="72"/>
      <c r="G148" s="118" t="str">
        <f>IF(ISBLANK([1]!tbl_採番[[#This Row],[年]]),"",(RIGHT([1]!tbl_採番[[#This Row],[年]],2)&amp;TEXT([1]!tbl_採番[[#This Row],[月]],"00")&amp;"-1"&amp;TEXT(COUNTIFS(B$3:B148,B148,C$3:C148,C148),"000")&amp;"-"&amp;_xlfn.XLOOKUP([1]!tbl_採番[[#This Row],[担当者]],[1]入力ルール用シート!$D$2:$D$8,[1]入力ルール用シート!$E$2:$E$8,"",0,1)&amp;_xlfn.XLOOKUP([1]!tbl_採番[[#This Row],[支店]],[1]入力ルール用シート!$F$2:$F$3,[1]入力ルール用シート!$G$2:$G$3,"",0,1)))</f>
        <v/>
      </c>
      <c r="H148" s="71"/>
    </row>
    <row r="149" spans="1:8">
      <c r="A149" s="212">
        <f>ROW([1]!tbl_採番[[#This Row],[ID]])-2</f>
        <v>147</v>
      </c>
      <c r="B149" s="73"/>
      <c r="C149" s="71"/>
      <c r="D149" s="71"/>
      <c r="E149" s="71"/>
      <c r="F149" s="72"/>
      <c r="G149" s="118" t="str">
        <f>IF(ISBLANK([1]!tbl_採番[[#This Row],[年]]),"",(RIGHT([1]!tbl_採番[[#This Row],[年]],2)&amp;TEXT([1]!tbl_採番[[#This Row],[月]],"00")&amp;"-1"&amp;TEXT(COUNTIFS(B$3:B149,B149,C$3:C149,C149),"000")&amp;"-"&amp;_xlfn.XLOOKUP([1]!tbl_採番[[#This Row],[担当者]],[1]入力ルール用シート!$D$2:$D$8,[1]入力ルール用シート!$E$2:$E$8,"",0,1)&amp;_xlfn.XLOOKUP([1]!tbl_採番[[#This Row],[支店]],[1]入力ルール用シート!$F$2:$F$3,[1]入力ルール用シート!$G$2:$G$3,"",0,1)))</f>
        <v/>
      </c>
      <c r="H149" s="71"/>
    </row>
    <row r="150" spans="1:8">
      <c r="A150" s="212">
        <f>ROW([1]!tbl_採番[[#This Row],[ID]])-2</f>
        <v>148</v>
      </c>
      <c r="B150" s="73"/>
      <c r="C150" s="71"/>
      <c r="D150" s="71"/>
      <c r="E150" s="71"/>
      <c r="F150" s="72"/>
      <c r="G150" s="118" t="str">
        <f>IF(ISBLANK([1]!tbl_採番[[#This Row],[年]]),"",(RIGHT([1]!tbl_採番[[#This Row],[年]],2)&amp;TEXT([1]!tbl_採番[[#This Row],[月]],"00")&amp;"-1"&amp;TEXT(COUNTIFS(B$3:B150,B150,C$3:C150,C150),"000")&amp;"-"&amp;_xlfn.XLOOKUP([1]!tbl_採番[[#This Row],[担当者]],[1]入力ルール用シート!$D$2:$D$8,[1]入力ルール用シート!$E$2:$E$8,"",0,1)&amp;_xlfn.XLOOKUP([1]!tbl_採番[[#This Row],[支店]],[1]入力ルール用シート!$F$2:$F$3,[1]入力ルール用シート!$G$2:$G$3,"",0,1)))</f>
        <v/>
      </c>
      <c r="H150" s="71"/>
    </row>
    <row r="151" spans="1:8">
      <c r="A151" s="212">
        <f>ROW([1]!tbl_採番[[#This Row],[ID]])-2</f>
        <v>149</v>
      </c>
      <c r="B151" s="73"/>
      <c r="C151" s="71"/>
      <c r="D151" s="71"/>
      <c r="E151" s="71"/>
      <c r="F151" s="72"/>
      <c r="G151" s="118" t="str">
        <f>IF(ISBLANK([1]!tbl_採番[[#This Row],[年]]),"",(RIGHT([1]!tbl_採番[[#This Row],[年]],2)&amp;TEXT([1]!tbl_採番[[#This Row],[月]],"00")&amp;"-1"&amp;TEXT(COUNTIFS(B$3:B151,B151,C$3:C151,C151),"000")&amp;"-"&amp;_xlfn.XLOOKUP([1]!tbl_採番[[#This Row],[担当者]],[1]入力ルール用シート!$D$2:$D$8,[1]入力ルール用シート!$E$2:$E$8,"",0,1)&amp;_xlfn.XLOOKUP([1]!tbl_採番[[#This Row],[支店]],[1]入力ルール用シート!$F$2:$F$3,[1]入力ルール用シート!$G$2:$G$3,"",0,1)))</f>
        <v/>
      </c>
      <c r="H151" s="71"/>
    </row>
    <row r="152" spans="1:8">
      <c r="A152" s="212">
        <f>ROW([1]!tbl_採番[[#This Row],[ID]])-2</f>
        <v>150</v>
      </c>
      <c r="B152" s="73"/>
      <c r="C152" s="71"/>
      <c r="D152" s="71"/>
      <c r="E152" s="71"/>
      <c r="F152" s="72"/>
      <c r="G152" s="118" t="str">
        <f>IF(ISBLANK([1]!tbl_採番[[#This Row],[年]]),"",(RIGHT([1]!tbl_採番[[#This Row],[年]],2)&amp;TEXT([1]!tbl_採番[[#This Row],[月]],"00")&amp;"-1"&amp;TEXT(COUNTIFS(B$3:B152,B152,C$3:C152,C152),"000")&amp;"-"&amp;_xlfn.XLOOKUP([1]!tbl_採番[[#This Row],[担当者]],[1]入力ルール用シート!$D$2:$D$8,[1]入力ルール用シート!$E$2:$E$8,"",0,1)&amp;_xlfn.XLOOKUP([1]!tbl_採番[[#This Row],[支店]],[1]入力ルール用シート!$F$2:$F$3,[1]入力ルール用シート!$G$2:$G$3,"",0,1)))</f>
        <v/>
      </c>
      <c r="H152" s="71"/>
    </row>
    <row r="153" spans="1:8">
      <c r="A153" s="212">
        <f>ROW([1]!tbl_採番[[#This Row],[ID]])-2</f>
        <v>151</v>
      </c>
      <c r="B153" s="73"/>
      <c r="C153" s="71"/>
      <c r="D153" s="71"/>
      <c r="E153" s="71"/>
      <c r="F153" s="72"/>
      <c r="G153" s="118" t="str">
        <f>IF(ISBLANK([1]!tbl_採番[[#This Row],[年]]),"",(RIGHT([1]!tbl_採番[[#This Row],[年]],2)&amp;TEXT([1]!tbl_採番[[#This Row],[月]],"00")&amp;"-1"&amp;TEXT(COUNTIFS(B$3:B153,B153,C$3:C153,C153),"000")&amp;"-"&amp;_xlfn.XLOOKUP([1]!tbl_採番[[#This Row],[担当者]],[1]入力ルール用シート!$D$2:$D$8,[1]入力ルール用シート!$E$2:$E$8,"",0,1)&amp;_xlfn.XLOOKUP([1]!tbl_採番[[#This Row],[支店]],[1]入力ルール用シート!$F$2:$F$3,[1]入力ルール用シート!$G$2:$G$3,"",0,1)))</f>
        <v/>
      </c>
      <c r="H153" s="71"/>
    </row>
    <row r="154" spans="1:8">
      <c r="A154" s="212">
        <f>ROW([1]!tbl_採番[[#This Row],[ID]])-2</f>
        <v>152</v>
      </c>
      <c r="B154" s="73"/>
      <c r="C154" s="71"/>
      <c r="D154" s="71"/>
      <c r="E154" s="71"/>
      <c r="F154" s="72"/>
      <c r="G154" s="118" t="str">
        <f>IF(ISBLANK([1]!tbl_採番[[#This Row],[年]]),"",(RIGHT([1]!tbl_採番[[#This Row],[年]],2)&amp;TEXT([1]!tbl_採番[[#This Row],[月]],"00")&amp;"-1"&amp;TEXT(COUNTIFS(B$3:B154,B154,C$3:C154,C154),"000")&amp;"-"&amp;_xlfn.XLOOKUP([1]!tbl_採番[[#This Row],[担当者]],[1]入力ルール用シート!$D$2:$D$8,[1]入力ルール用シート!$E$2:$E$8,"",0,1)&amp;_xlfn.XLOOKUP([1]!tbl_採番[[#This Row],[支店]],[1]入力ルール用シート!$F$2:$F$3,[1]入力ルール用シート!$G$2:$G$3,"",0,1)))</f>
        <v/>
      </c>
      <c r="H154" s="71"/>
    </row>
    <row r="155" spans="1:8">
      <c r="A155" s="212">
        <f>ROW([1]!tbl_採番[[#This Row],[ID]])-2</f>
        <v>153</v>
      </c>
      <c r="B155" s="73"/>
      <c r="C155" s="71"/>
      <c r="D155" s="71"/>
      <c r="E155" s="71"/>
      <c r="F155" s="72"/>
      <c r="G155" s="118" t="str">
        <f>IF(ISBLANK([1]!tbl_採番[[#This Row],[年]]),"",(RIGHT([1]!tbl_採番[[#This Row],[年]],2)&amp;TEXT([1]!tbl_採番[[#This Row],[月]],"00")&amp;"-1"&amp;TEXT(COUNTIFS(B$3:B155,B155,C$3:C155,C155),"000")&amp;"-"&amp;_xlfn.XLOOKUP([1]!tbl_採番[[#This Row],[担当者]],[1]入力ルール用シート!$D$2:$D$8,[1]入力ルール用シート!$E$2:$E$8,"",0,1)&amp;_xlfn.XLOOKUP([1]!tbl_採番[[#This Row],[支店]],[1]入力ルール用シート!$F$2:$F$3,[1]入力ルール用シート!$G$2:$G$3,"",0,1)))</f>
        <v/>
      </c>
      <c r="H155" s="71"/>
    </row>
    <row r="156" spans="1:8">
      <c r="A156" s="212">
        <f>ROW([1]!tbl_採番[[#This Row],[ID]])-2</f>
        <v>154</v>
      </c>
      <c r="B156" s="73"/>
      <c r="C156" s="71"/>
      <c r="D156" s="71"/>
      <c r="E156" s="71"/>
      <c r="F156" s="72"/>
      <c r="G156" s="118" t="str">
        <f>IF(ISBLANK([1]!tbl_採番[[#This Row],[年]]),"",(RIGHT([1]!tbl_採番[[#This Row],[年]],2)&amp;TEXT([1]!tbl_採番[[#This Row],[月]],"00")&amp;"-1"&amp;TEXT(COUNTIFS(B$3:B156,B156,C$3:C156,C156),"000")&amp;"-"&amp;_xlfn.XLOOKUP([1]!tbl_採番[[#This Row],[担当者]],[1]入力ルール用シート!$D$2:$D$8,[1]入力ルール用シート!$E$2:$E$8,"",0,1)&amp;_xlfn.XLOOKUP([1]!tbl_採番[[#This Row],[支店]],[1]入力ルール用シート!$F$2:$F$3,[1]入力ルール用シート!$G$2:$G$3,"",0,1)))</f>
        <v/>
      </c>
      <c r="H156" s="71"/>
    </row>
    <row r="157" spans="1:8">
      <c r="A157" s="212">
        <f>ROW([1]!tbl_採番[[#This Row],[ID]])-2</f>
        <v>155</v>
      </c>
      <c r="B157" s="73"/>
      <c r="C157" s="71"/>
      <c r="D157" s="71"/>
      <c r="E157" s="71"/>
      <c r="F157" s="72"/>
      <c r="G157" s="118" t="str">
        <f>IF(ISBLANK([1]!tbl_採番[[#This Row],[年]]),"",(RIGHT([1]!tbl_採番[[#This Row],[年]],2)&amp;TEXT([1]!tbl_採番[[#This Row],[月]],"00")&amp;"-1"&amp;TEXT(COUNTIFS(B$3:B157,B157,C$3:C157,C157),"000")&amp;"-"&amp;_xlfn.XLOOKUP([1]!tbl_採番[[#This Row],[担当者]],[1]入力ルール用シート!$D$2:$D$8,[1]入力ルール用シート!$E$2:$E$8,"",0,1)&amp;_xlfn.XLOOKUP([1]!tbl_採番[[#This Row],[支店]],[1]入力ルール用シート!$F$2:$F$3,[1]入力ルール用シート!$G$2:$G$3,"",0,1)))</f>
        <v/>
      </c>
      <c r="H157" s="71"/>
    </row>
    <row r="158" spans="1:8">
      <c r="A158" s="213">
        <f>ROW([1]!tbl_採番[[#This Row],[ID]])-2</f>
        <v>156</v>
      </c>
      <c r="B158" s="74"/>
      <c r="C158" s="75"/>
      <c r="D158" s="75"/>
      <c r="E158" s="75"/>
      <c r="F158" s="76"/>
      <c r="G158" s="118" t="str">
        <f>IF(ISBLANK([1]!tbl_採番[[#This Row],[年]]),"",(RIGHT([1]!tbl_採番[[#This Row],[年]],2)&amp;TEXT([1]!tbl_採番[[#This Row],[月]],"00")&amp;"-1"&amp;TEXT(COUNTIFS(B$3:B158,B158,C$3:C158,C158),"000")&amp;"-"&amp;_xlfn.XLOOKUP([1]!tbl_採番[[#This Row],[担当者]],[1]入力ルール用シート!$D$2:$D$8,[1]入力ルール用シート!$E$2:$E$8,"",0,1)&amp;_xlfn.XLOOKUP([1]!tbl_採番[[#This Row],[支店]],[1]入力ルール用シート!$F$2:$F$3,[1]入力ルール用シート!$G$2:$G$3,"",0,1)))</f>
        <v/>
      </c>
      <c r="H158" s="75"/>
    </row>
  </sheetData>
  <phoneticPr fontId="3"/>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E13D57CD-FE0D-4A65-9726-16C69386861C}">
          <x14:formula1>
            <xm:f>入力ルール用シート!$D$2:$D$8</xm:f>
          </x14:formula1>
          <xm:sqref>D3:D12 D14:D158</xm:sqref>
        </x14:dataValidation>
        <x14:dataValidation type="list" allowBlank="1" showInputMessage="1" showErrorMessage="1" xr:uid="{A20086E3-6AA4-4E10-B4DF-19AB629820F5}">
          <x14:formula1>
            <xm:f>入力ルール用シート!$F$2:$F$3</xm:f>
          </x14:formula1>
          <xm:sqref>E3:E12 E14:E158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90677-DDCE-487F-8BF5-48F303CEC3CD}">
  <sheetPr>
    <pageSetUpPr fitToPage="1"/>
  </sheetPr>
  <dimension ref="A1:Q62"/>
  <sheetViews>
    <sheetView workbookViewId="0">
      <selection activeCell="D28" sqref="D28"/>
    </sheetView>
  </sheetViews>
  <sheetFormatPr defaultRowHeight="18"/>
  <cols>
    <col min="1" max="1" width="18.5" bestFit="1" customWidth="1"/>
    <col min="2" max="2" width="6.19921875" customWidth="1"/>
    <col min="3" max="3" width="9.69921875" customWidth="1"/>
    <col min="4" max="4" width="10.69921875" customWidth="1"/>
    <col min="5" max="5" width="11.19921875" bestFit="1" customWidth="1"/>
    <col min="6" max="7" width="11.59765625" style="182" customWidth="1"/>
    <col min="8" max="9" width="11.59765625" customWidth="1"/>
    <col min="10" max="10" width="27.5" bestFit="1" customWidth="1"/>
    <col min="11" max="11" width="13.8984375" bestFit="1" customWidth="1"/>
    <col min="12" max="12" width="11.59765625" customWidth="1"/>
    <col min="13" max="13" width="13.3984375" customWidth="1"/>
    <col min="14" max="14" width="9.69921875" customWidth="1"/>
    <col min="15" max="16" width="16.19921875" bestFit="1" customWidth="1"/>
    <col min="17" max="17" width="22.59765625" bestFit="1" customWidth="1"/>
  </cols>
  <sheetData>
    <row r="1" spans="1:17">
      <c r="A1" s="90" t="s">
        <v>1218</v>
      </c>
      <c r="B1" s="53"/>
      <c r="C1" s="53"/>
      <c r="D1" s="53"/>
      <c r="E1" s="53"/>
      <c r="H1" s="53"/>
      <c r="I1" s="53"/>
      <c r="J1" s="53"/>
      <c r="K1" s="53"/>
      <c r="L1" s="53"/>
      <c r="M1" s="53"/>
      <c r="N1" s="53"/>
      <c r="O1" s="53"/>
      <c r="P1" s="53"/>
      <c r="Q1" s="53"/>
    </row>
    <row r="2" spans="1:17">
      <c r="A2" s="67" t="s">
        <v>1101</v>
      </c>
      <c r="B2" s="68" t="s">
        <v>1482</v>
      </c>
      <c r="C2" s="68" t="s">
        <v>1505</v>
      </c>
      <c r="D2" s="68" t="s">
        <v>1483</v>
      </c>
      <c r="E2" s="68" t="s">
        <v>1484</v>
      </c>
      <c r="F2" s="68" t="s">
        <v>1485</v>
      </c>
      <c r="G2" s="68" t="s">
        <v>1486</v>
      </c>
      <c r="H2" s="68" t="s">
        <v>1487</v>
      </c>
      <c r="I2" s="68" t="s">
        <v>1488</v>
      </c>
      <c r="J2" s="68" t="s">
        <v>1489</v>
      </c>
      <c r="K2" s="68" t="s">
        <v>1490</v>
      </c>
      <c r="L2" s="68" t="s">
        <v>1504</v>
      </c>
      <c r="M2" s="68" t="s">
        <v>1506</v>
      </c>
      <c r="N2" s="68" t="s">
        <v>1491</v>
      </c>
      <c r="O2" s="68" t="s">
        <v>1492</v>
      </c>
      <c r="P2" s="68" t="s">
        <v>6</v>
      </c>
      <c r="Q2" s="69" t="s">
        <v>9</v>
      </c>
    </row>
    <row r="3" spans="1:17">
      <c r="A3" s="142" t="s">
        <v>1507</v>
      </c>
      <c r="B3" s="71" t="s">
        <v>1493</v>
      </c>
      <c r="C3" s="71" t="s">
        <v>1494</v>
      </c>
      <c r="D3" s="71">
        <v>30</v>
      </c>
      <c r="E3" s="183">
        <v>46032</v>
      </c>
      <c r="F3" s="81">
        <v>50000000</v>
      </c>
      <c r="G3" s="81">
        <v>3000000</v>
      </c>
      <c r="H3" s="184">
        <v>0.35</v>
      </c>
      <c r="I3" s="86">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0</v>
      </c>
      <c r="J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評点49以下→前金必須</v>
      </c>
      <c r="K3" s="71"/>
      <c r="L3" s="183">
        <v>46034</v>
      </c>
      <c r="M3" s="183"/>
      <c r="N3" s="71">
        <v>800000</v>
      </c>
      <c r="O3" s="77">
        <f>IF(ISBLANK(tbl_与信[[#This Row],[顧客名]]),"",IF(ISNUMBER(tbl_与信[[#This Row],[与信限度額]]), tbl_与信[[#This Row],[与信限度額]]-tbl_与信[[#This Row],[現在売掛残高]], "-"))</f>
        <v>-800000</v>
      </c>
      <c r="P3" s="71" t="s">
        <v>1495</v>
      </c>
      <c r="Q3" s="72"/>
    </row>
    <row r="4" spans="1:17">
      <c r="A4" s="142" t="s">
        <v>1508</v>
      </c>
      <c r="B4" s="71" t="s">
        <v>1493</v>
      </c>
      <c r="C4" s="71" t="s">
        <v>1496</v>
      </c>
      <c r="D4" s="71">
        <v>60</v>
      </c>
      <c r="E4" s="183">
        <v>45976</v>
      </c>
      <c r="F4" s="81">
        <v>120000000</v>
      </c>
      <c r="G4" s="81">
        <v>5000000</v>
      </c>
      <c r="H4" s="184">
        <v>0.25</v>
      </c>
      <c r="I4" s="86">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1680000</v>
      </c>
      <c r="J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売上高ベース(2%)×抑制0.7</v>
      </c>
      <c r="K4" s="71"/>
      <c r="L4" s="183">
        <v>45981</v>
      </c>
      <c r="M4" s="183"/>
      <c r="N4" s="71">
        <v>1200000</v>
      </c>
      <c r="O4" s="77">
        <f>IF(ISBLANK(tbl_与信[[#This Row],[顧客名]]),"",IF(ISNUMBER(tbl_与信[[#This Row],[与信限度額]]), tbl_与信[[#This Row],[与信限度額]]-tbl_与信[[#This Row],[現在売掛残高]], "-"))</f>
        <v>480000</v>
      </c>
      <c r="P4" s="71" t="s">
        <v>1495</v>
      </c>
      <c r="Q4" s="72"/>
    </row>
    <row r="5" spans="1:17">
      <c r="A5" s="142" t="s">
        <v>1509</v>
      </c>
      <c r="B5" s="71" t="s">
        <v>1497</v>
      </c>
      <c r="C5" s="71" t="s">
        <v>1498</v>
      </c>
      <c r="D5" s="71" t="s">
        <v>1499</v>
      </c>
      <c r="E5" s="183">
        <v>45992</v>
      </c>
      <c r="F5" s="81"/>
      <c r="G5" s="81"/>
      <c r="H5" s="71"/>
      <c r="I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保険引受限度額準拠</v>
      </c>
      <c r="K5" s="71"/>
      <c r="L5" s="71" t="s">
        <v>1500</v>
      </c>
      <c r="M5" s="183"/>
      <c r="N5" s="71">
        <v>0</v>
      </c>
      <c r="O5" s="77" t="str">
        <f>IF(ISBLANK(tbl_与信[[#This Row],[顧客名]]),"",IF(ISNUMBER(tbl_与信[[#This Row],[与信限度額]]), tbl_与信[[#This Row],[与信限度額]]-tbl_与信[[#This Row],[現在売掛残高]], "-"))</f>
        <v>-</v>
      </c>
      <c r="P5" s="71" t="s">
        <v>1501</v>
      </c>
      <c r="Q5" s="72"/>
    </row>
    <row r="6" spans="1:17">
      <c r="A6" s="142" t="s">
        <v>1510</v>
      </c>
      <c r="B6" s="71" t="s">
        <v>1497</v>
      </c>
      <c r="C6" s="71" t="s">
        <v>1498</v>
      </c>
      <c r="D6" s="71" t="s">
        <v>1502</v>
      </c>
      <c r="E6" s="183">
        <v>46027</v>
      </c>
      <c r="F6" s="81"/>
      <c r="G6" s="81"/>
      <c r="H6" s="71"/>
      <c r="I6" s="86">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0</v>
      </c>
      <c r="J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格付EC→前金必須</v>
      </c>
      <c r="K6" s="71"/>
      <c r="L6" s="71" t="s">
        <v>1500</v>
      </c>
      <c r="M6" s="183"/>
      <c r="N6" s="71">
        <v>0</v>
      </c>
      <c r="O6" s="77">
        <f>IF(ISBLANK(tbl_与信[[#This Row],[顧客名]]),"",IF(ISNUMBER(tbl_与信[[#This Row],[与信限度額]]), tbl_与信[[#This Row],[与信限度額]]-tbl_与信[[#This Row],[現在売掛残高]], "-"))</f>
        <v>0</v>
      </c>
      <c r="P6" s="71" t="s">
        <v>1503</v>
      </c>
      <c r="Q6" s="72"/>
    </row>
    <row r="7" spans="1:17">
      <c r="A7" s="73"/>
      <c r="B7" s="71"/>
      <c r="C7" s="71"/>
      <c r="D7" s="71"/>
      <c r="E7" s="71"/>
      <c r="F7" s="81"/>
      <c r="G7" s="81"/>
      <c r="H7" s="71"/>
      <c r="I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7" s="71"/>
      <c r="L7" s="71"/>
      <c r="M7" s="71"/>
      <c r="N7" s="71"/>
      <c r="O7" s="77" t="str">
        <f>IF(ISBLANK(tbl_与信[[#This Row],[顧客名]]),"",IF(ISNUMBER(tbl_与信[[#This Row],[与信限度額]]), tbl_与信[[#This Row],[与信限度額]]-tbl_与信[[#This Row],[現在売掛残高]], "-"))</f>
        <v/>
      </c>
      <c r="P7" s="71"/>
      <c r="Q7" s="72"/>
    </row>
    <row r="8" spans="1:17">
      <c r="A8" s="73"/>
      <c r="B8" s="71"/>
      <c r="C8" s="71"/>
      <c r="D8" s="71"/>
      <c r="E8" s="71"/>
      <c r="F8" s="81"/>
      <c r="G8" s="81"/>
      <c r="H8" s="71"/>
      <c r="I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8" s="71"/>
      <c r="L8" s="71"/>
      <c r="M8" s="71"/>
      <c r="N8" s="71"/>
      <c r="O8" s="77" t="str">
        <f>IF(ISBLANK(tbl_与信[[#This Row],[顧客名]]),"",IF(ISNUMBER(tbl_与信[[#This Row],[与信限度額]]), tbl_与信[[#This Row],[与信限度額]]-tbl_与信[[#This Row],[現在売掛残高]], "-"))</f>
        <v/>
      </c>
      <c r="P8" s="71"/>
      <c r="Q8" s="72"/>
    </row>
    <row r="9" spans="1:17">
      <c r="A9" s="73"/>
      <c r="B9" s="71"/>
      <c r="C9" s="71"/>
      <c r="D9" s="71"/>
      <c r="E9" s="71"/>
      <c r="F9" s="81"/>
      <c r="G9" s="81"/>
      <c r="H9" s="71"/>
      <c r="I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9" s="71"/>
      <c r="L9" s="71"/>
      <c r="M9" s="71"/>
      <c r="N9" s="71"/>
      <c r="O9" s="77" t="str">
        <f>IF(ISBLANK(tbl_与信[[#This Row],[顧客名]]),"",IF(ISNUMBER(tbl_与信[[#This Row],[与信限度額]]), tbl_与信[[#This Row],[与信限度額]]-tbl_与信[[#This Row],[現在売掛残高]], "-"))</f>
        <v/>
      </c>
      <c r="P9" s="71"/>
      <c r="Q9" s="72"/>
    </row>
    <row r="10" spans="1:17">
      <c r="A10" s="73"/>
      <c r="B10" s="71"/>
      <c r="C10" s="71"/>
      <c r="D10" s="71"/>
      <c r="E10" s="71"/>
      <c r="F10" s="81"/>
      <c r="G10" s="81"/>
      <c r="H10" s="71"/>
      <c r="I1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0" s="71"/>
      <c r="L10" s="71"/>
      <c r="M10" s="71"/>
      <c r="N10" s="71"/>
      <c r="O10" s="77" t="str">
        <f>IF(ISBLANK(tbl_与信[[#This Row],[顧客名]]),"",IF(ISNUMBER(tbl_与信[[#This Row],[与信限度額]]), tbl_与信[[#This Row],[与信限度額]]-tbl_与信[[#This Row],[現在売掛残高]], "-"))</f>
        <v/>
      </c>
      <c r="P10" s="71"/>
      <c r="Q10" s="72"/>
    </row>
    <row r="11" spans="1:17">
      <c r="A11" s="73"/>
      <c r="B11" s="71"/>
      <c r="C11" s="71"/>
      <c r="D11" s="71"/>
      <c r="E11" s="71"/>
      <c r="F11" s="81"/>
      <c r="G11" s="81"/>
      <c r="H11" s="71"/>
      <c r="I1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1" s="71"/>
      <c r="L11" s="71"/>
      <c r="M11" s="71"/>
      <c r="N11" s="71"/>
      <c r="O11" s="77" t="str">
        <f>IF(ISBLANK(tbl_与信[[#This Row],[顧客名]]),"",IF(ISNUMBER(tbl_与信[[#This Row],[与信限度額]]), tbl_与信[[#This Row],[与信限度額]]-tbl_与信[[#This Row],[現在売掛残高]], "-"))</f>
        <v/>
      </c>
      <c r="P11" s="71"/>
      <c r="Q11" s="72"/>
    </row>
    <row r="12" spans="1:17">
      <c r="A12" s="73"/>
      <c r="B12" s="71"/>
      <c r="C12" s="71"/>
      <c r="D12" s="71"/>
      <c r="E12" s="71"/>
      <c r="F12" s="81"/>
      <c r="G12" s="81"/>
      <c r="H12" s="71"/>
      <c r="I1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2" s="71"/>
      <c r="L12" s="71"/>
      <c r="M12" s="71"/>
      <c r="N12" s="71"/>
      <c r="O12" s="77" t="str">
        <f>IF(ISBLANK(tbl_与信[[#This Row],[顧客名]]),"",IF(ISNUMBER(tbl_与信[[#This Row],[与信限度額]]), tbl_与信[[#This Row],[与信限度額]]-tbl_与信[[#This Row],[現在売掛残高]], "-"))</f>
        <v/>
      </c>
      <c r="P12" s="71"/>
      <c r="Q12" s="72"/>
    </row>
    <row r="13" spans="1:17">
      <c r="A13" s="73"/>
      <c r="B13" s="71"/>
      <c r="C13" s="71"/>
      <c r="D13" s="71"/>
      <c r="E13" s="71"/>
      <c r="F13" s="81"/>
      <c r="G13" s="81"/>
      <c r="H13" s="71"/>
      <c r="I13"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3" s="71"/>
      <c r="L13" s="71"/>
      <c r="M13" s="71"/>
      <c r="N13" s="71"/>
      <c r="O13" s="77" t="str">
        <f>IF(ISBLANK(tbl_与信[[#This Row],[顧客名]]),"",IF(ISNUMBER(tbl_与信[[#This Row],[与信限度額]]), tbl_与信[[#This Row],[与信限度額]]-tbl_与信[[#This Row],[現在売掛残高]], "-"))</f>
        <v/>
      </c>
      <c r="P13" s="71"/>
      <c r="Q13" s="72"/>
    </row>
    <row r="14" spans="1:17">
      <c r="A14" s="73"/>
      <c r="B14" s="71"/>
      <c r="C14" s="71"/>
      <c r="D14" s="71"/>
      <c r="E14" s="71"/>
      <c r="F14" s="81"/>
      <c r="G14" s="81"/>
      <c r="H14" s="71"/>
      <c r="I14"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4" s="71"/>
      <c r="L14" s="71"/>
      <c r="M14" s="71"/>
      <c r="N14" s="71"/>
      <c r="O14" s="77" t="str">
        <f>IF(ISBLANK(tbl_与信[[#This Row],[顧客名]]),"",IF(ISNUMBER(tbl_与信[[#This Row],[与信限度額]]), tbl_与信[[#This Row],[与信限度額]]-tbl_与信[[#This Row],[現在売掛残高]], "-"))</f>
        <v/>
      </c>
      <c r="P14" s="71"/>
      <c r="Q14" s="72"/>
    </row>
    <row r="15" spans="1:17">
      <c r="A15" s="73"/>
      <c r="B15" s="71"/>
      <c r="C15" s="71"/>
      <c r="D15" s="71"/>
      <c r="E15" s="71"/>
      <c r="F15" s="81"/>
      <c r="G15" s="81"/>
      <c r="H15" s="71"/>
      <c r="I1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5" s="71"/>
      <c r="L15" s="71"/>
      <c r="M15" s="71"/>
      <c r="N15" s="71"/>
      <c r="O15" s="77" t="str">
        <f>IF(ISBLANK(tbl_与信[[#This Row],[顧客名]]),"",IF(ISNUMBER(tbl_与信[[#This Row],[与信限度額]]), tbl_与信[[#This Row],[与信限度額]]-tbl_与信[[#This Row],[現在売掛残高]], "-"))</f>
        <v/>
      </c>
      <c r="P15" s="71"/>
      <c r="Q15" s="72"/>
    </row>
    <row r="16" spans="1:17">
      <c r="A16" s="73"/>
      <c r="B16" s="71"/>
      <c r="C16" s="71"/>
      <c r="D16" s="71"/>
      <c r="E16" s="71"/>
      <c r="F16" s="81"/>
      <c r="G16" s="81"/>
      <c r="H16" s="71"/>
      <c r="I16"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6" s="71"/>
      <c r="L16" s="71"/>
      <c r="M16" s="71"/>
      <c r="N16" s="71"/>
      <c r="O16" s="77" t="str">
        <f>IF(ISBLANK(tbl_与信[[#This Row],[顧客名]]),"",IF(ISNUMBER(tbl_与信[[#This Row],[与信限度額]]), tbl_与信[[#This Row],[与信限度額]]-tbl_与信[[#This Row],[現在売掛残高]], "-"))</f>
        <v/>
      </c>
      <c r="P16" s="71"/>
      <c r="Q16" s="72"/>
    </row>
    <row r="17" spans="1:17">
      <c r="A17" s="73"/>
      <c r="B17" s="71"/>
      <c r="C17" s="71"/>
      <c r="D17" s="71"/>
      <c r="E17" s="71"/>
      <c r="F17" s="81"/>
      <c r="G17" s="81"/>
      <c r="H17" s="71"/>
      <c r="I1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7" s="71"/>
      <c r="L17" s="71"/>
      <c r="M17" s="71"/>
      <c r="N17" s="71"/>
      <c r="O17" s="77" t="str">
        <f>IF(ISBLANK(tbl_与信[[#This Row],[顧客名]]),"",IF(ISNUMBER(tbl_与信[[#This Row],[与信限度額]]), tbl_与信[[#This Row],[与信限度額]]-tbl_与信[[#This Row],[現在売掛残高]], "-"))</f>
        <v/>
      </c>
      <c r="P17" s="71"/>
      <c r="Q17" s="72"/>
    </row>
    <row r="18" spans="1:17">
      <c r="A18" s="73"/>
      <c r="B18" s="71"/>
      <c r="C18" s="71"/>
      <c r="D18" s="71"/>
      <c r="E18" s="71"/>
      <c r="F18" s="81"/>
      <c r="G18" s="81"/>
      <c r="H18" s="71"/>
      <c r="I1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8" s="71"/>
      <c r="L18" s="71"/>
      <c r="M18" s="71"/>
      <c r="N18" s="71"/>
      <c r="O18" s="77" t="str">
        <f>IF(ISBLANK(tbl_与信[[#This Row],[顧客名]]),"",IF(ISNUMBER(tbl_与信[[#This Row],[与信限度額]]), tbl_与信[[#This Row],[与信限度額]]-tbl_与信[[#This Row],[現在売掛残高]], "-"))</f>
        <v/>
      </c>
      <c r="P18" s="71"/>
      <c r="Q18" s="72"/>
    </row>
    <row r="19" spans="1:17">
      <c r="A19" s="73"/>
      <c r="B19" s="71"/>
      <c r="C19" s="71"/>
      <c r="D19" s="71"/>
      <c r="E19" s="71"/>
      <c r="F19" s="81"/>
      <c r="G19" s="81"/>
      <c r="H19" s="71"/>
      <c r="I1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9" s="71"/>
      <c r="L19" s="71"/>
      <c r="M19" s="71"/>
      <c r="N19" s="71"/>
      <c r="O19" s="77" t="str">
        <f>IF(ISBLANK(tbl_与信[[#This Row],[顧客名]]),"",IF(ISNUMBER(tbl_与信[[#This Row],[与信限度額]]), tbl_与信[[#This Row],[与信限度額]]-tbl_与信[[#This Row],[現在売掛残高]], "-"))</f>
        <v/>
      </c>
      <c r="P19" s="71"/>
      <c r="Q19" s="72"/>
    </row>
    <row r="20" spans="1:17">
      <c r="A20" s="73"/>
      <c r="B20" s="71"/>
      <c r="C20" s="71"/>
      <c r="D20" s="71"/>
      <c r="E20" s="71"/>
      <c r="F20" s="81"/>
      <c r="G20" s="81"/>
      <c r="H20" s="71"/>
      <c r="I2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0" s="71"/>
      <c r="L20" s="71"/>
      <c r="M20" s="71"/>
      <c r="N20" s="71"/>
      <c r="O20" s="77" t="str">
        <f>IF(ISBLANK(tbl_与信[[#This Row],[顧客名]]),"",IF(ISNUMBER(tbl_与信[[#This Row],[与信限度額]]), tbl_与信[[#This Row],[与信限度額]]-tbl_与信[[#This Row],[現在売掛残高]], "-"))</f>
        <v/>
      </c>
      <c r="P20" s="71"/>
      <c r="Q20" s="72"/>
    </row>
    <row r="21" spans="1:17">
      <c r="A21" s="73"/>
      <c r="B21" s="71"/>
      <c r="C21" s="71"/>
      <c r="D21" s="71"/>
      <c r="E21" s="71"/>
      <c r="F21" s="81"/>
      <c r="G21" s="81"/>
      <c r="H21" s="71"/>
      <c r="I2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1" s="71"/>
      <c r="L21" s="71"/>
      <c r="M21" s="71"/>
      <c r="N21" s="71"/>
      <c r="O21" s="77" t="str">
        <f>IF(ISBLANK(tbl_与信[[#This Row],[顧客名]]),"",IF(ISNUMBER(tbl_与信[[#This Row],[与信限度額]]), tbl_与信[[#This Row],[与信限度額]]-tbl_与信[[#This Row],[現在売掛残高]], "-"))</f>
        <v/>
      </c>
      <c r="P21" s="71"/>
      <c r="Q21" s="72"/>
    </row>
    <row r="22" spans="1:17">
      <c r="A22" s="73"/>
      <c r="B22" s="71"/>
      <c r="C22" s="71"/>
      <c r="D22" s="71"/>
      <c r="E22" s="71"/>
      <c r="F22" s="81"/>
      <c r="G22" s="81"/>
      <c r="H22" s="71"/>
      <c r="I2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2" s="71"/>
      <c r="L22" s="71"/>
      <c r="M22" s="71"/>
      <c r="N22" s="71"/>
      <c r="O22" s="77" t="str">
        <f>IF(ISBLANK(tbl_与信[[#This Row],[顧客名]]),"",IF(ISNUMBER(tbl_与信[[#This Row],[与信限度額]]), tbl_与信[[#This Row],[与信限度額]]-tbl_与信[[#This Row],[現在売掛残高]], "-"))</f>
        <v/>
      </c>
      <c r="P22" s="71"/>
      <c r="Q22" s="72"/>
    </row>
    <row r="23" spans="1:17">
      <c r="A23" s="73"/>
      <c r="B23" s="71"/>
      <c r="C23" s="71"/>
      <c r="D23" s="71"/>
      <c r="E23" s="71"/>
      <c r="F23" s="81"/>
      <c r="G23" s="81"/>
      <c r="H23" s="71"/>
      <c r="I23"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3" s="71"/>
      <c r="L23" s="71"/>
      <c r="M23" s="71"/>
      <c r="N23" s="71"/>
      <c r="O23" s="77" t="str">
        <f>IF(ISBLANK(tbl_与信[[#This Row],[顧客名]]),"",IF(ISNUMBER(tbl_与信[[#This Row],[与信限度額]]), tbl_与信[[#This Row],[与信限度額]]-tbl_与信[[#This Row],[現在売掛残高]], "-"))</f>
        <v/>
      </c>
      <c r="P23" s="71"/>
      <c r="Q23" s="72"/>
    </row>
    <row r="24" spans="1:17">
      <c r="A24" s="73"/>
      <c r="B24" s="71"/>
      <c r="C24" s="71"/>
      <c r="D24" s="71"/>
      <c r="E24" s="71"/>
      <c r="F24" s="81"/>
      <c r="G24" s="81"/>
      <c r="H24" s="71"/>
      <c r="I24"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4" s="71"/>
      <c r="L24" s="71"/>
      <c r="M24" s="71"/>
      <c r="N24" s="71"/>
      <c r="O24" s="77" t="str">
        <f>IF(ISBLANK(tbl_与信[[#This Row],[顧客名]]),"",IF(ISNUMBER(tbl_与信[[#This Row],[与信限度額]]), tbl_与信[[#This Row],[与信限度額]]-tbl_与信[[#This Row],[現在売掛残高]], "-"))</f>
        <v/>
      </c>
      <c r="P24" s="71"/>
      <c r="Q24" s="72"/>
    </row>
    <row r="25" spans="1:17">
      <c r="A25" s="73"/>
      <c r="B25" s="71"/>
      <c r="C25" s="71"/>
      <c r="D25" s="71"/>
      <c r="E25" s="71"/>
      <c r="F25" s="81"/>
      <c r="G25" s="81"/>
      <c r="H25" s="71"/>
      <c r="I2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5" s="71"/>
      <c r="L25" s="71"/>
      <c r="M25" s="71"/>
      <c r="N25" s="71"/>
      <c r="O25" s="77" t="str">
        <f>IF(ISBLANK(tbl_与信[[#This Row],[顧客名]]),"",IF(ISNUMBER(tbl_与信[[#This Row],[与信限度額]]), tbl_与信[[#This Row],[与信限度額]]-tbl_与信[[#This Row],[現在売掛残高]], "-"))</f>
        <v/>
      </c>
      <c r="P25" s="71"/>
      <c r="Q25" s="72"/>
    </row>
    <row r="26" spans="1:17">
      <c r="A26" s="73"/>
      <c r="B26" s="71"/>
      <c r="C26" s="71"/>
      <c r="D26" s="71"/>
      <c r="E26" s="71"/>
      <c r="F26" s="81"/>
      <c r="G26" s="81"/>
      <c r="H26" s="71"/>
      <c r="I26"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6" s="71"/>
      <c r="L26" s="71"/>
      <c r="M26" s="71"/>
      <c r="N26" s="71"/>
      <c r="O26" s="77" t="str">
        <f>IF(ISBLANK(tbl_与信[[#This Row],[顧客名]]),"",IF(ISNUMBER(tbl_与信[[#This Row],[与信限度額]]), tbl_与信[[#This Row],[与信限度額]]-tbl_与信[[#This Row],[現在売掛残高]], "-"))</f>
        <v/>
      </c>
      <c r="P26" s="71"/>
      <c r="Q26" s="72"/>
    </row>
    <row r="27" spans="1:17">
      <c r="A27" s="73"/>
      <c r="B27" s="71"/>
      <c r="C27" s="71"/>
      <c r="D27" s="71"/>
      <c r="E27" s="71"/>
      <c r="F27" s="81"/>
      <c r="G27" s="81"/>
      <c r="H27" s="71"/>
      <c r="I2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7" s="71"/>
      <c r="L27" s="71"/>
      <c r="M27" s="71"/>
      <c r="N27" s="71"/>
      <c r="O27" s="77" t="str">
        <f>IF(ISBLANK(tbl_与信[[#This Row],[顧客名]]),"",IF(ISNUMBER(tbl_与信[[#This Row],[与信限度額]]), tbl_与信[[#This Row],[与信限度額]]-tbl_与信[[#This Row],[現在売掛残高]], "-"))</f>
        <v/>
      </c>
      <c r="P27" s="71"/>
      <c r="Q27" s="72"/>
    </row>
    <row r="28" spans="1:17">
      <c r="A28" s="73"/>
      <c r="B28" s="71"/>
      <c r="C28" s="71"/>
      <c r="D28" s="71"/>
      <c r="E28" s="71"/>
      <c r="F28" s="81"/>
      <c r="G28" s="81"/>
      <c r="H28" s="71"/>
      <c r="I2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8" s="71"/>
      <c r="L28" s="71"/>
      <c r="M28" s="71"/>
      <c r="N28" s="71"/>
      <c r="O28" s="77" t="str">
        <f>IF(ISBLANK(tbl_与信[[#This Row],[顧客名]]),"",IF(ISNUMBER(tbl_与信[[#This Row],[与信限度額]]), tbl_与信[[#This Row],[与信限度額]]-tbl_与信[[#This Row],[現在売掛残高]], "-"))</f>
        <v/>
      </c>
      <c r="P28" s="71"/>
      <c r="Q28" s="72"/>
    </row>
    <row r="29" spans="1:17">
      <c r="A29" s="73"/>
      <c r="B29" s="71"/>
      <c r="C29" s="71"/>
      <c r="D29" s="71"/>
      <c r="E29" s="71"/>
      <c r="F29" s="81"/>
      <c r="G29" s="81"/>
      <c r="H29" s="71"/>
      <c r="I2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9" s="71"/>
      <c r="L29" s="71"/>
      <c r="M29" s="71"/>
      <c r="N29" s="71"/>
      <c r="O29" s="77" t="str">
        <f>IF(ISBLANK(tbl_与信[[#This Row],[顧客名]]),"",IF(ISNUMBER(tbl_与信[[#This Row],[与信限度額]]), tbl_与信[[#This Row],[与信限度額]]-tbl_与信[[#This Row],[現在売掛残高]], "-"))</f>
        <v/>
      </c>
      <c r="P29" s="71"/>
      <c r="Q29" s="72"/>
    </row>
    <row r="30" spans="1:17">
      <c r="A30" s="73"/>
      <c r="B30" s="71"/>
      <c r="C30" s="71"/>
      <c r="D30" s="71"/>
      <c r="E30" s="71"/>
      <c r="F30" s="81"/>
      <c r="G30" s="81"/>
      <c r="H30" s="71"/>
      <c r="I3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0" s="71"/>
      <c r="L30" s="71"/>
      <c r="M30" s="71"/>
      <c r="N30" s="71"/>
      <c r="O30" s="77" t="str">
        <f>IF(ISBLANK(tbl_与信[[#This Row],[顧客名]]),"",IF(ISNUMBER(tbl_与信[[#This Row],[与信限度額]]), tbl_与信[[#This Row],[与信限度額]]-tbl_与信[[#This Row],[現在売掛残高]], "-"))</f>
        <v/>
      </c>
      <c r="P30" s="71"/>
      <c r="Q30" s="72"/>
    </row>
    <row r="31" spans="1:17">
      <c r="A31" s="73"/>
      <c r="B31" s="71"/>
      <c r="C31" s="71"/>
      <c r="D31" s="71"/>
      <c r="E31" s="71"/>
      <c r="F31" s="81"/>
      <c r="G31" s="81"/>
      <c r="H31" s="71"/>
      <c r="I3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1" s="71"/>
      <c r="L31" s="71"/>
      <c r="M31" s="71"/>
      <c r="N31" s="71"/>
      <c r="O31" s="77" t="str">
        <f>IF(ISBLANK(tbl_与信[[#This Row],[顧客名]]),"",IF(ISNUMBER(tbl_与信[[#This Row],[与信限度額]]), tbl_与信[[#This Row],[与信限度額]]-tbl_与信[[#This Row],[現在売掛残高]], "-"))</f>
        <v/>
      </c>
      <c r="P31" s="71"/>
      <c r="Q31" s="72"/>
    </row>
    <row r="32" spans="1:17">
      <c r="A32" s="73"/>
      <c r="B32" s="71"/>
      <c r="C32" s="71"/>
      <c r="D32" s="71"/>
      <c r="E32" s="71"/>
      <c r="F32" s="81"/>
      <c r="G32" s="81"/>
      <c r="H32" s="71"/>
      <c r="I3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2" s="71"/>
      <c r="L32" s="71"/>
      <c r="M32" s="71"/>
      <c r="N32" s="71"/>
      <c r="O32" s="77" t="str">
        <f>IF(ISBLANK(tbl_与信[[#This Row],[顧客名]]),"",IF(ISNUMBER(tbl_与信[[#This Row],[与信限度額]]), tbl_与信[[#This Row],[与信限度額]]-tbl_与信[[#This Row],[現在売掛残高]], "-"))</f>
        <v/>
      </c>
      <c r="P32" s="71"/>
      <c r="Q32" s="72"/>
    </row>
    <row r="33" spans="1:17">
      <c r="A33" s="73"/>
      <c r="B33" s="71"/>
      <c r="C33" s="71"/>
      <c r="D33" s="71"/>
      <c r="E33" s="71"/>
      <c r="F33" s="81"/>
      <c r="G33" s="81"/>
      <c r="H33" s="71"/>
      <c r="I33"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3" s="71"/>
      <c r="L33" s="71"/>
      <c r="M33" s="71"/>
      <c r="N33" s="71"/>
      <c r="O33" s="77" t="str">
        <f>IF(ISBLANK(tbl_与信[[#This Row],[顧客名]]),"",IF(ISNUMBER(tbl_与信[[#This Row],[与信限度額]]), tbl_与信[[#This Row],[与信限度額]]-tbl_与信[[#This Row],[現在売掛残高]], "-"))</f>
        <v/>
      </c>
      <c r="P33" s="71"/>
      <c r="Q33" s="72"/>
    </row>
    <row r="34" spans="1:17">
      <c r="A34" s="73"/>
      <c r="B34" s="71"/>
      <c r="C34" s="71"/>
      <c r="D34" s="71"/>
      <c r="E34" s="71"/>
      <c r="F34" s="81"/>
      <c r="G34" s="81"/>
      <c r="H34" s="71"/>
      <c r="I34"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4" s="71"/>
      <c r="L34" s="71"/>
      <c r="M34" s="71"/>
      <c r="N34" s="71"/>
      <c r="O34" s="77" t="str">
        <f>IF(ISBLANK(tbl_与信[[#This Row],[顧客名]]),"",IF(ISNUMBER(tbl_与信[[#This Row],[与信限度額]]), tbl_与信[[#This Row],[与信限度額]]-tbl_与信[[#This Row],[現在売掛残高]], "-"))</f>
        <v/>
      </c>
      <c r="P34" s="71"/>
      <c r="Q34" s="72"/>
    </row>
    <row r="35" spans="1:17">
      <c r="A35" s="73"/>
      <c r="B35" s="71"/>
      <c r="C35" s="71"/>
      <c r="D35" s="71"/>
      <c r="E35" s="71"/>
      <c r="F35" s="81"/>
      <c r="G35" s="81"/>
      <c r="H35" s="71"/>
      <c r="I3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5" s="71"/>
      <c r="L35" s="71"/>
      <c r="M35" s="71"/>
      <c r="N35" s="71"/>
      <c r="O35" s="77" t="str">
        <f>IF(ISBLANK(tbl_与信[[#This Row],[顧客名]]),"",IF(ISNUMBER(tbl_与信[[#This Row],[与信限度額]]), tbl_与信[[#This Row],[与信限度額]]-tbl_与信[[#This Row],[現在売掛残高]], "-"))</f>
        <v/>
      </c>
      <c r="P35" s="71"/>
      <c r="Q35" s="72"/>
    </row>
    <row r="36" spans="1:17">
      <c r="A36" s="73"/>
      <c r="B36" s="71"/>
      <c r="C36" s="71"/>
      <c r="D36" s="71"/>
      <c r="E36" s="71"/>
      <c r="F36" s="81"/>
      <c r="G36" s="81"/>
      <c r="H36" s="71"/>
      <c r="I36"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6" s="71"/>
      <c r="L36" s="71"/>
      <c r="M36" s="71"/>
      <c r="N36" s="71"/>
      <c r="O36" s="77" t="str">
        <f>IF(ISBLANK(tbl_与信[[#This Row],[顧客名]]),"",IF(ISNUMBER(tbl_与信[[#This Row],[与信限度額]]), tbl_与信[[#This Row],[与信限度額]]-tbl_与信[[#This Row],[現在売掛残高]], "-"))</f>
        <v/>
      </c>
      <c r="P36" s="71"/>
      <c r="Q36" s="72"/>
    </row>
    <row r="37" spans="1:17">
      <c r="A37" s="73"/>
      <c r="B37" s="71"/>
      <c r="C37" s="71"/>
      <c r="D37" s="71"/>
      <c r="E37" s="71"/>
      <c r="F37" s="81"/>
      <c r="G37" s="81"/>
      <c r="H37" s="71"/>
      <c r="I3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7" s="71"/>
      <c r="L37" s="71"/>
      <c r="M37" s="71"/>
      <c r="N37" s="71"/>
      <c r="O37" s="77" t="str">
        <f>IF(ISBLANK(tbl_与信[[#This Row],[顧客名]]),"",IF(ISNUMBER(tbl_与信[[#This Row],[与信限度額]]), tbl_与信[[#This Row],[与信限度額]]-tbl_与信[[#This Row],[現在売掛残高]], "-"))</f>
        <v/>
      </c>
      <c r="P37" s="71"/>
      <c r="Q37" s="72"/>
    </row>
    <row r="38" spans="1:17">
      <c r="A38" s="73"/>
      <c r="B38" s="71"/>
      <c r="C38" s="71"/>
      <c r="D38" s="71"/>
      <c r="E38" s="71"/>
      <c r="F38" s="81"/>
      <c r="G38" s="81"/>
      <c r="H38" s="71"/>
      <c r="I3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8" s="71"/>
      <c r="L38" s="71"/>
      <c r="M38" s="71"/>
      <c r="N38" s="71"/>
      <c r="O38" s="77" t="str">
        <f>IF(ISBLANK(tbl_与信[[#This Row],[顧客名]]),"",IF(ISNUMBER(tbl_与信[[#This Row],[与信限度額]]), tbl_与信[[#This Row],[与信限度額]]-tbl_与信[[#This Row],[現在売掛残高]], "-"))</f>
        <v/>
      </c>
      <c r="P38" s="71"/>
      <c r="Q38" s="72"/>
    </row>
    <row r="39" spans="1:17">
      <c r="A39" s="73"/>
      <c r="B39" s="71"/>
      <c r="C39" s="71"/>
      <c r="D39" s="71"/>
      <c r="E39" s="71"/>
      <c r="F39" s="81"/>
      <c r="G39" s="81"/>
      <c r="H39" s="71"/>
      <c r="I3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9" s="71"/>
      <c r="L39" s="71"/>
      <c r="M39" s="71"/>
      <c r="N39" s="71"/>
      <c r="O39" s="77" t="str">
        <f>IF(ISBLANK(tbl_与信[[#This Row],[顧客名]]),"",IF(ISNUMBER(tbl_与信[[#This Row],[与信限度額]]), tbl_与信[[#This Row],[与信限度額]]-tbl_与信[[#This Row],[現在売掛残高]], "-"))</f>
        <v/>
      </c>
      <c r="P39" s="71"/>
      <c r="Q39" s="72"/>
    </row>
    <row r="40" spans="1:17">
      <c r="A40" s="73"/>
      <c r="B40" s="71"/>
      <c r="C40" s="71"/>
      <c r="D40" s="71"/>
      <c r="E40" s="71"/>
      <c r="F40" s="81"/>
      <c r="G40" s="81"/>
      <c r="H40" s="71"/>
      <c r="I4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0" s="71"/>
      <c r="L40" s="71"/>
      <c r="M40" s="71"/>
      <c r="N40" s="71"/>
      <c r="O40" s="77" t="str">
        <f>IF(ISBLANK(tbl_与信[[#This Row],[顧客名]]),"",IF(ISNUMBER(tbl_与信[[#This Row],[与信限度額]]), tbl_与信[[#This Row],[与信限度額]]-tbl_与信[[#This Row],[現在売掛残高]], "-"))</f>
        <v/>
      </c>
      <c r="P40" s="71"/>
      <c r="Q40" s="72"/>
    </row>
    <row r="41" spans="1:17">
      <c r="A41" s="73"/>
      <c r="B41" s="71"/>
      <c r="C41" s="71"/>
      <c r="D41" s="71"/>
      <c r="E41" s="71"/>
      <c r="F41" s="81"/>
      <c r="G41" s="81"/>
      <c r="H41" s="71"/>
      <c r="I4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1" s="71"/>
      <c r="L41" s="71"/>
      <c r="M41" s="71"/>
      <c r="N41" s="71"/>
      <c r="O41" s="77" t="str">
        <f>IF(ISBLANK(tbl_与信[[#This Row],[顧客名]]),"",IF(ISNUMBER(tbl_与信[[#This Row],[与信限度額]]), tbl_与信[[#This Row],[与信限度額]]-tbl_与信[[#This Row],[現在売掛残高]], "-"))</f>
        <v/>
      </c>
      <c r="P41" s="71"/>
      <c r="Q41" s="72"/>
    </row>
    <row r="42" spans="1:17">
      <c r="A42" s="73"/>
      <c r="B42" s="71"/>
      <c r="C42" s="71"/>
      <c r="D42" s="71"/>
      <c r="E42" s="71"/>
      <c r="F42" s="81"/>
      <c r="G42" s="81"/>
      <c r="H42" s="71"/>
      <c r="I4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2" s="71"/>
      <c r="L42" s="71"/>
      <c r="M42" s="71"/>
      <c r="N42" s="71"/>
      <c r="O42" s="77" t="str">
        <f>IF(ISBLANK(tbl_与信[[#This Row],[顧客名]]),"",IF(ISNUMBER(tbl_与信[[#This Row],[与信限度額]]), tbl_与信[[#This Row],[与信限度額]]-tbl_与信[[#This Row],[現在売掛残高]], "-"))</f>
        <v/>
      </c>
      <c r="P42" s="71"/>
      <c r="Q42" s="72"/>
    </row>
    <row r="43" spans="1:17">
      <c r="A43" s="73"/>
      <c r="B43" s="71"/>
      <c r="C43" s="71"/>
      <c r="D43" s="71"/>
      <c r="E43" s="71"/>
      <c r="F43" s="81"/>
      <c r="G43" s="81"/>
      <c r="H43" s="71"/>
      <c r="I43"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3" s="71"/>
      <c r="L43" s="71"/>
      <c r="M43" s="71"/>
      <c r="N43" s="71"/>
      <c r="O43" s="77" t="str">
        <f>IF(ISBLANK(tbl_与信[[#This Row],[顧客名]]),"",IF(ISNUMBER(tbl_与信[[#This Row],[与信限度額]]), tbl_与信[[#This Row],[与信限度額]]-tbl_与信[[#This Row],[現在売掛残高]], "-"))</f>
        <v/>
      </c>
      <c r="P43" s="71"/>
      <c r="Q43" s="72"/>
    </row>
    <row r="44" spans="1:17">
      <c r="A44" s="73"/>
      <c r="B44" s="71"/>
      <c r="C44" s="71"/>
      <c r="D44" s="71"/>
      <c r="E44" s="71"/>
      <c r="F44" s="81"/>
      <c r="G44" s="81"/>
      <c r="H44" s="71"/>
      <c r="I44"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4" s="71"/>
      <c r="L44" s="71"/>
      <c r="M44" s="71"/>
      <c r="N44" s="71"/>
      <c r="O44" s="77" t="str">
        <f>IF(ISBLANK(tbl_与信[[#This Row],[顧客名]]),"",IF(ISNUMBER(tbl_与信[[#This Row],[与信限度額]]), tbl_与信[[#This Row],[与信限度額]]-tbl_与信[[#This Row],[現在売掛残高]], "-"))</f>
        <v/>
      </c>
      <c r="P44" s="71"/>
      <c r="Q44" s="72"/>
    </row>
    <row r="45" spans="1:17">
      <c r="A45" s="73"/>
      <c r="B45" s="71"/>
      <c r="C45" s="71"/>
      <c r="D45" s="71"/>
      <c r="E45" s="71"/>
      <c r="F45" s="81"/>
      <c r="G45" s="81"/>
      <c r="H45" s="71"/>
      <c r="I4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5" s="71"/>
      <c r="L45" s="71"/>
      <c r="M45" s="71"/>
      <c r="N45" s="71"/>
      <c r="O45" s="77" t="str">
        <f>IF(ISBLANK(tbl_与信[[#This Row],[顧客名]]),"",IF(ISNUMBER(tbl_与信[[#This Row],[与信限度額]]), tbl_与信[[#This Row],[与信限度額]]-tbl_与信[[#This Row],[現在売掛残高]], "-"))</f>
        <v/>
      </c>
      <c r="P45" s="71"/>
      <c r="Q45" s="72"/>
    </row>
    <row r="46" spans="1:17">
      <c r="A46" s="73"/>
      <c r="B46" s="71"/>
      <c r="C46" s="71"/>
      <c r="D46" s="71"/>
      <c r="E46" s="71"/>
      <c r="F46" s="81"/>
      <c r="G46" s="81"/>
      <c r="H46" s="71"/>
      <c r="I46"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6" s="71"/>
      <c r="L46" s="71"/>
      <c r="M46" s="71"/>
      <c r="N46" s="71"/>
      <c r="O46" s="77" t="str">
        <f>IF(ISBLANK(tbl_与信[[#This Row],[顧客名]]),"",IF(ISNUMBER(tbl_与信[[#This Row],[与信限度額]]), tbl_与信[[#This Row],[与信限度額]]-tbl_与信[[#This Row],[現在売掛残高]], "-"))</f>
        <v/>
      </c>
      <c r="P46" s="71"/>
      <c r="Q46" s="72"/>
    </row>
    <row r="47" spans="1:17">
      <c r="A47" s="73"/>
      <c r="B47" s="71"/>
      <c r="C47" s="71"/>
      <c r="D47" s="71"/>
      <c r="E47" s="71"/>
      <c r="F47" s="81"/>
      <c r="G47" s="81"/>
      <c r="H47" s="71"/>
      <c r="I4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7" s="71"/>
      <c r="L47" s="71"/>
      <c r="M47" s="71"/>
      <c r="N47" s="71"/>
      <c r="O47" s="77" t="str">
        <f>IF(ISBLANK(tbl_与信[[#This Row],[顧客名]]),"",IF(ISNUMBER(tbl_与信[[#This Row],[与信限度額]]), tbl_与信[[#This Row],[与信限度額]]-tbl_与信[[#This Row],[現在売掛残高]], "-"))</f>
        <v/>
      </c>
      <c r="P47" s="71"/>
      <c r="Q47" s="72"/>
    </row>
    <row r="48" spans="1:17">
      <c r="A48" s="73"/>
      <c r="B48" s="71"/>
      <c r="C48" s="71"/>
      <c r="D48" s="71"/>
      <c r="E48" s="71"/>
      <c r="F48" s="81"/>
      <c r="G48" s="81"/>
      <c r="H48" s="71"/>
      <c r="I4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8" s="71"/>
      <c r="L48" s="71"/>
      <c r="M48" s="71"/>
      <c r="N48" s="71"/>
      <c r="O48" s="77" t="str">
        <f>IF(ISBLANK(tbl_与信[[#This Row],[顧客名]]),"",IF(ISNUMBER(tbl_与信[[#This Row],[与信限度額]]), tbl_与信[[#This Row],[与信限度額]]-tbl_与信[[#This Row],[現在売掛残高]], "-"))</f>
        <v/>
      </c>
      <c r="P48" s="71"/>
      <c r="Q48" s="72"/>
    </row>
    <row r="49" spans="1:17">
      <c r="A49" s="73"/>
      <c r="B49" s="71"/>
      <c r="C49" s="71"/>
      <c r="D49" s="71"/>
      <c r="E49" s="71"/>
      <c r="F49" s="81"/>
      <c r="G49" s="81"/>
      <c r="H49" s="71"/>
      <c r="I4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9" s="71"/>
      <c r="L49" s="71"/>
      <c r="M49" s="71"/>
      <c r="N49" s="71"/>
      <c r="O49" s="77" t="str">
        <f>IF(ISBLANK(tbl_与信[[#This Row],[顧客名]]),"",IF(ISNUMBER(tbl_与信[[#This Row],[与信限度額]]), tbl_与信[[#This Row],[与信限度額]]-tbl_与信[[#This Row],[現在売掛残高]], "-"))</f>
        <v/>
      </c>
      <c r="P49" s="71"/>
      <c r="Q49" s="72"/>
    </row>
    <row r="50" spans="1:17">
      <c r="A50" s="73"/>
      <c r="B50" s="71"/>
      <c r="C50" s="71"/>
      <c r="D50" s="71"/>
      <c r="E50" s="71"/>
      <c r="F50" s="81"/>
      <c r="G50" s="81"/>
      <c r="H50" s="71"/>
      <c r="I5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0" s="71"/>
      <c r="L50" s="71"/>
      <c r="M50" s="71"/>
      <c r="N50" s="71"/>
      <c r="O50" s="77" t="str">
        <f>IF(ISBLANK(tbl_与信[[#This Row],[顧客名]]),"",IF(ISNUMBER(tbl_与信[[#This Row],[与信限度額]]), tbl_与信[[#This Row],[与信限度額]]-tbl_与信[[#This Row],[現在売掛残高]], "-"))</f>
        <v/>
      </c>
      <c r="P50" s="71"/>
      <c r="Q50" s="72"/>
    </row>
    <row r="51" spans="1:17">
      <c r="A51" s="73"/>
      <c r="B51" s="71"/>
      <c r="C51" s="71"/>
      <c r="D51" s="71"/>
      <c r="E51" s="71"/>
      <c r="F51" s="81"/>
      <c r="G51" s="81"/>
      <c r="H51" s="71"/>
      <c r="I5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1" s="71"/>
      <c r="L51" s="71"/>
      <c r="M51" s="71"/>
      <c r="N51" s="71"/>
      <c r="O51" s="77" t="str">
        <f>IF(ISBLANK(tbl_与信[[#This Row],[顧客名]]),"",IF(ISNUMBER(tbl_与信[[#This Row],[与信限度額]]), tbl_与信[[#This Row],[与信限度額]]-tbl_与信[[#This Row],[現在売掛残高]], "-"))</f>
        <v/>
      </c>
      <c r="P51" s="71"/>
      <c r="Q51" s="72"/>
    </row>
    <row r="52" spans="1:17">
      <c r="A52" s="73"/>
      <c r="B52" s="71"/>
      <c r="C52" s="71"/>
      <c r="D52" s="71"/>
      <c r="E52" s="71"/>
      <c r="F52" s="81"/>
      <c r="G52" s="81"/>
      <c r="H52" s="71"/>
      <c r="I5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2" s="71"/>
      <c r="L52" s="71"/>
      <c r="M52" s="71"/>
      <c r="N52" s="71"/>
      <c r="O52" s="77" t="str">
        <f>IF(ISBLANK(tbl_与信[[#This Row],[顧客名]]),"",IF(ISNUMBER(tbl_与信[[#This Row],[与信限度額]]), tbl_与信[[#This Row],[与信限度額]]-tbl_与信[[#This Row],[現在売掛残高]], "-"))</f>
        <v/>
      </c>
      <c r="P52" s="71"/>
      <c r="Q52" s="72"/>
    </row>
    <row r="53" spans="1:17">
      <c r="A53" s="73"/>
      <c r="B53" s="71"/>
      <c r="C53" s="71"/>
      <c r="D53" s="71"/>
      <c r="E53" s="71"/>
      <c r="F53" s="81"/>
      <c r="G53" s="81"/>
      <c r="H53" s="71"/>
      <c r="I53"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3" s="71"/>
      <c r="L53" s="71"/>
      <c r="M53" s="71"/>
      <c r="N53" s="71"/>
      <c r="O53" s="77" t="str">
        <f>IF(ISBLANK(tbl_与信[[#This Row],[顧客名]]),"",IF(ISNUMBER(tbl_与信[[#This Row],[与信限度額]]), tbl_与信[[#This Row],[与信限度額]]-tbl_与信[[#This Row],[現在売掛残高]], "-"))</f>
        <v/>
      </c>
      <c r="P53" s="71"/>
      <c r="Q53" s="72"/>
    </row>
    <row r="54" spans="1:17">
      <c r="A54" s="73"/>
      <c r="B54" s="71"/>
      <c r="C54" s="71"/>
      <c r="D54" s="71"/>
      <c r="E54" s="71"/>
      <c r="F54" s="81"/>
      <c r="G54" s="81"/>
      <c r="H54" s="71"/>
      <c r="I54"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4" s="71"/>
      <c r="L54" s="71"/>
      <c r="M54" s="71"/>
      <c r="N54" s="71"/>
      <c r="O54" s="77" t="str">
        <f>IF(ISBLANK(tbl_与信[[#This Row],[顧客名]]),"",IF(ISNUMBER(tbl_与信[[#This Row],[与信限度額]]), tbl_与信[[#This Row],[与信限度額]]-tbl_与信[[#This Row],[現在売掛残高]], "-"))</f>
        <v/>
      </c>
      <c r="P54" s="71"/>
      <c r="Q54" s="72"/>
    </row>
    <row r="55" spans="1:17">
      <c r="A55" s="73"/>
      <c r="B55" s="71"/>
      <c r="C55" s="71"/>
      <c r="D55" s="71"/>
      <c r="E55" s="71"/>
      <c r="F55" s="81"/>
      <c r="G55" s="81"/>
      <c r="H55" s="71"/>
      <c r="I5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5" s="71"/>
      <c r="L55" s="71"/>
      <c r="M55" s="71"/>
      <c r="N55" s="71"/>
      <c r="O55" s="77" t="str">
        <f>IF(ISBLANK(tbl_与信[[#This Row],[顧客名]]),"",IF(ISNUMBER(tbl_与信[[#This Row],[与信限度額]]), tbl_与信[[#This Row],[与信限度額]]-tbl_与信[[#This Row],[現在売掛残高]], "-"))</f>
        <v/>
      </c>
      <c r="P55" s="71"/>
      <c r="Q55" s="72"/>
    </row>
    <row r="56" spans="1:17">
      <c r="A56" s="73"/>
      <c r="B56" s="71"/>
      <c r="C56" s="71"/>
      <c r="D56" s="71"/>
      <c r="E56" s="71"/>
      <c r="F56" s="81"/>
      <c r="G56" s="81"/>
      <c r="H56" s="71"/>
      <c r="I56"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6" s="71"/>
      <c r="L56" s="71"/>
      <c r="M56" s="71"/>
      <c r="N56" s="71"/>
      <c r="O56" s="77" t="str">
        <f>IF(ISBLANK(tbl_与信[[#This Row],[顧客名]]),"",IF(ISNUMBER(tbl_与信[[#This Row],[与信限度額]]), tbl_与信[[#This Row],[与信限度額]]-tbl_与信[[#This Row],[現在売掛残高]], "-"))</f>
        <v/>
      </c>
      <c r="P56" s="71"/>
      <c r="Q56" s="72"/>
    </row>
    <row r="57" spans="1:17">
      <c r="A57" s="73"/>
      <c r="B57" s="71"/>
      <c r="C57" s="71"/>
      <c r="D57" s="71"/>
      <c r="E57" s="71"/>
      <c r="F57" s="81"/>
      <c r="G57" s="81"/>
      <c r="H57" s="71"/>
      <c r="I5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7" s="71"/>
      <c r="L57" s="71"/>
      <c r="M57" s="71"/>
      <c r="N57" s="71"/>
      <c r="O57" s="77" t="str">
        <f>IF(ISBLANK(tbl_与信[[#This Row],[顧客名]]),"",IF(ISNUMBER(tbl_与信[[#This Row],[与信限度額]]), tbl_与信[[#This Row],[与信限度額]]-tbl_与信[[#This Row],[現在売掛残高]], "-"))</f>
        <v/>
      </c>
      <c r="P57" s="71"/>
      <c r="Q57" s="72"/>
    </row>
    <row r="58" spans="1:17">
      <c r="A58" s="73"/>
      <c r="B58" s="71"/>
      <c r="C58" s="71"/>
      <c r="D58" s="71"/>
      <c r="E58" s="71"/>
      <c r="F58" s="81"/>
      <c r="G58" s="81"/>
      <c r="H58" s="71"/>
      <c r="I5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8" s="71"/>
      <c r="L58" s="71"/>
      <c r="M58" s="71"/>
      <c r="N58" s="71"/>
      <c r="O58" s="77" t="str">
        <f>IF(ISBLANK(tbl_与信[[#This Row],[顧客名]]),"",IF(ISNUMBER(tbl_与信[[#This Row],[与信限度額]]), tbl_与信[[#This Row],[与信限度額]]-tbl_与信[[#This Row],[現在売掛残高]], "-"))</f>
        <v/>
      </c>
      <c r="P58" s="71"/>
      <c r="Q58" s="72"/>
    </row>
    <row r="59" spans="1:17">
      <c r="A59" s="73"/>
      <c r="B59" s="71"/>
      <c r="C59" s="71"/>
      <c r="D59" s="71"/>
      <c r="E59" s="71"/>
      <c r="F59" s="81"/>
      <c r="G59" s="81"/>
      <c r="H59" s="71"/>
      <c r="I5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9" s="71"/>
      <c r="L59" s="71"/>
      <c r="M59" s="71"/>
      <c r="N59" s="71"/>
      <c r="O59" s="77" t="str">
        <f>IF(ISBLANK(tbl_与信[[#This Row],[顧客名]]),"",IF(ISNUMBER(tbl_与信[[#This Row],[与信限度額]]), tbl_与信[[#This Row],[与信限度額]]-tbl_与信[[#This Row],[現在売掛残高]], "-"))</f>
        <v/>
      </c>
      <c r="P59" s="71"/>
      <c r="Q59" s="72"/>
    </row>
    <row r="60" spans="1:17">
      <c r="A60" s="73"/>
      <c r="B60" s="71"/>
      <c r="C60" s="71"/>
      <c r="D60" s="71"/>
      <c r="E60" s="71"/>
      <c r="F60" s="81"/>
      <c r="G60" s="81"/>
      <c r="H60" s="71"/>
      <c r="I6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0" s="71"/>
      <c r="L60" s="71"/>
      <c r="M60" s="71"/>
      <c r="N60" s="71"/>
      <c r="O60" s="77" t="str">
        <f>IF(ISBLANK(tbl_与信[[#This Row],[顧客名]]),"",IF(ISNUMBER(tbl_与信[[#This Row],[与信限度額]]), tbl_与信[[#This Row],[与信限度額]]-tbl_与信[[#This Row],[現在売掛残高]], "-"))</f>
        <v/>
      </c>
      <c r="P60" s="71"/>
      <c r="Q60" s="72"/>
    </row>
    <row r="61" spans="1:17">
      <c r="A61" s="73"/>
      <c r="B61" s="71"/>
      <c r="C61" s="71"/>
      <c r="D61" s="71"/>
      <c r="E61" s="71"/>
      <c r="F61" s="81"/>
      <c r="G61" s="81"/>
      <c r="H61" s="71"/>
      <c r="I6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1" s="71"/>
      <c r="L61" s="71"/>
      <c r="M61" s="71"/>
      <c r="N61" s="71"/>
      <c r="O61" s="77" t="str">
        <f>IF(ISBLANK(tbl_与信[[#This Row],[顧客名]]),"",IF(ISNUMBER(tbl_与信[[#This Row],[与信限度額]]), tbl_与信[[#This Row],[与信限度額]]-tbl_与信[[#This Row],[現在売掛残高]], "-"))</f>
        <v/>
      </c>
      <c r="P61" s="71"/>
      <c r="Q61" s="72"/>
    </row>
    <row r="62" spans="1:17">
      <c r="A62" s="74"/>
      <c r="B62" s="75"/>
      <c r="C62" s="75"/>
      <c r="D62" s="75"/>
      <c r="E62" s="75"/>
      <c r="F62" s="82"/>
      <c r="G62" s="82"/>
      <c r="H62" s="75"/>
      <c r="I6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2" s="75"/>
      <c r="L62" s="75"/>
      <c r="M62" s="75"/>
      <c r="N62" s="75"/>
      <c r="O62" s="77" t="str">
        <f>IF(ISBLANK(tbl_与信[[#This Row],[顧客名]]),"",IF(ISNUMBER(tbl_与信[[#This Row],[与信限度額]]), tbl_与信[[#This Row],[与信限度額]]-tbl_与信[[#This Row],[現在売掛残高]], "-"))</f>
        <v/>
      </c>
      <c r="P62" s="75"/>
      <c r="Q62" s="76"/>
    </row>
  </sheetData>
  <phoneticPr fontId="3"/>
  <conditionalFormatting sqref="I3:J62">
    <cfRule type="expression" dxfId="126" priority="1">
      <formula>AND(_xlfn.ISFORMULA(I3), I3 &lt;&gt; "")</formula>
    </cfRule>
  </conditionalFormatting>
  <pageMargins left="0.7" right="0.7" top="0.75" bottom="0.75" header="0.3" footer="0.3"/>
  <pageSetup paperSize="9" scale="42"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54BF-EE1F-4087-A94A-A0919126EEF7}">
  <sheetPr>
    <pageSetUpPr fitToPage="1"/>
  </sheetPr>
  <dimension ref="A1:AB203"/>
  <sheetViews>
    <sheetView tabSelected="1" topLeftCell="A66" workbookViewId="0">
      <selection activeCell="O66" sqref="O66"/>
    </sheetView>
  </sheetViews>
  <sheetFormatPr defaultColWidth="8.69921875" defaultRowHeight="18"/>
  <cols>
    <col min="1" max="1" width="14.5" style="66" bestFit="1" customWidth="1"/>
    <col min="2" max="2" width="4.59765625" style="66" customWidth="1"/>
    <col min="3" max="3" width="9.19921875" style="66" hidden="1" customWidth="1"/>
    <col min="4" max="4" width="28" style="66" customWidth="1"/>
    <col min="5" max="5" width="12.3984375" style="66" bestFit="1" customWidth="1"/>
    <col min="6" max="6" width="16.19921875" style="66" bestFit="1" customWidth="1"/>
    <col min="7" max="7" width="41.09765625" style="66" customWidth="1"/>
    <col min="8" max="10" width="9.09765625" style="66" customWidth="1"/>
    <col min="11" max="11" width="14.3984375" style="66" customWidth="1"/>
    <col min="12" max="13" width="15" style="66" bestFit="1" customWidth="1"/>
    <col min="14" max="14" width="16.19921875" style="66" bestFit="1" customWidth="1"/>
    <col min="15" max="15" width="17.5" style="66" bestFit="1" customWidth="1"/>
    <col min="16" max="17" width="15" style="66" bestFit="1" customWidth="1"/>
    <col min="18" max="19" width="11.19921875" style="66" bestFit="1" customWidth="1"/>
    <col min="20" max="20" width="12.19921875" style="66" bestFit="1" customWidth="1"/>
    <col min="21" max="21" width="20.19921875" style="66" bestFit="1" customWidth="1"/>
    <col min="22" max="24" width="18.8984375" style="66" customWidth="1"/>
    <col min="25" max="25" width="8.59765625" style="66" bestFit="1" customWidth="1"/>
    <col min="26" max="26" width="12.3984375" style="66" bestFit="1" customWidth="1"/>
    <col min="27" max="16384" width="8.69921875" style="66"/>
  </cols>
  <sheetData>
    <row r="1" spans="1:28">
      <c r="A1" s="90" t="s">
        <v>1218</v>
      </c>
      <c r="D1" s="84"/>
      <c r="E1" s="84"/>
      <c r="G1" s="271" t="s">
        <v>1214</v>
      </c>
      <c r="H1" s="272"/>
      <c r="I1" s="272"/>
      <c r="J1" s="272"/>
      <c r="K1" s="272"/>
      <c r="L1" s="272"/>
      <c r="M1" s="272"/>
      <c r="N1" s="273" t="s">
        <v>1217</v>
      </c>
      <c r="O1" s="274"/>
      <c r="P1" s="274"/>
      <c r="Q1" s="274"/>
      <c r="R1" s="274"/>
      <c r="S1" s="274"/>
      <c r="T1" s="274"/>
      <c r="U1" s="274"/>
      <c r="V1" s="275"/>
    </row>
    <row r="2" spans="1:28">
      <c r="A2" s="67" t="s">
        <v>1084</v>
      </c>
      <c r="B2" s="68" t="s">
        <v>1085</v>
      </c>
      <c r="C2" s="68" t="s">
        <v>1099</v>
      </c>
      <c r="D2" s="68" t="s">
        <v>1101</v>
      </c>
      <c r="E2" s="68" t="s">
        <v>1086</v>
      </c>
      <c r="F2" s="69" t="s">
        <v>148</v>
      </c>
      <c r="G2" s="106" t="s">
        <v>1087</v>
      </c>
      <c r="H2" s="68" t="s">
        <v>1088</v>
      </c>
      <c r="I2" s="68" t="s">
        <v>1109</v>
      </c>
      <c r="J2" s="68" t="s">
        <v>1110</v>
      </c>
      <c r="K2" s="68" t="s">
        <v>1090</v>
      </c>
      <c r="L2" s="68" t="s">
        <v>1089</v>
      </c>
      <c r="M2" s="69" t="s">
        <v>1909</v>
      </c>
      <c r="N2" s="69" t="s">
        <v>161</v>
      </c>
      <c r="O2" s="107" t="s">
        <v>1129</v>
      </c>
      <c r="P2" s="71" t="s">
        <v>1096</v>
      </c>
      <c r="Q2" s="71" t="s">
        <v>1092</v>
      </c>
      <c r="R2" s="71" t="s">
        <v>1093</v>
      </c>
      <c r="S2" s="71" t="s">
        <v>1097</v>
      </c>
      <c r="T2" s="71" t="s">
        <v>1094</v>
      </c>
      <c r="U2" s="71" t="s">
        <v>1100</v>
      </c>
      <c r="V2" s="71" t="s">
        <v>1513</v>
      </c>
      <c r="W2" s="108" t="s">
        <v>1514</v>
      </c>
      <c r="X2" s="69" t="s">
        <v>1915</v>
      </c>
      <c r="Y2" s="69" t="s">
        <v>1916</v>
      </c>
      <c r="Z2" s="69" t="s">
        <v>1920</v>
      </c>
      <c r="AA2" s="68" t="s">
        <v>1865</v>
      </c>
      <c r="AB2" s="68" t="s">
        <v>1928</v>
      </c>
    </row>
    <row r="3" spans="1:28">
      <c r="A3" s="70" t="s">
        <v>1081</v>
      </c>
      <c r="B3" s="77">
        <f>IF(ISBLANK(tbl_明細[[#This Row],[案件番号]]),"",COUNTIFS($A$3:A3,tbl_明細[[#This Row],[案件番号]],$AA$3:AA3,"&gt;0"))</f>
        <v>1</v>
      </c>
      <c r="C3" s="71">
        <f>COUNTIFS($A$3:A3,tbl_明細[[#This Row],[案件番号]],$F$3:F3,tbl_明細[[#This Row],[仕入先]])</f>
        <v>1</v>
      </c>
      <c r="D3" s="77" t="str">
        <f>_xlfn.XLOOKUP(tbl_明細[[#This Row],[案件番号]],tbl_採番[案件番号],tbl_採番[顧客],"",0,1)</f>
        <v>日新堂株式会社</v>
      </c>
      <c r="E3" s="71" t="s">
        <v>1080</v>
      </c>
      <c r="F3" s="118" t="str">
        <f>IF(ISBLANK(tbl_明細[[#This Row],[仕入先（M)]]),_xlfn.XLOOKUP(tbl_明細[[#This Row],[商品ID]],商品マスタ[商品連番],商品マスタ[仕入先],"",0,1),tbl_明細[[#This Row],[仕入先（M)]])</f>
        <v>ソバージュド函館</v>
      </c>
      <c r="G3" s="112" t="str">
        <f>IF(ISBLANK(tbl_明細[[#This Row],[商品名（M)]]),_xlfn.XLOOKUP(tbl_明細[[#This Row],[商品ID]],商品マスタ[商品連番],商品マスタ[商品名],"",0,),tbl_明細[[#This Row],[商品名（M)]])</f>
        <v>熊掌（後脚）</v>
      </c>
      <c r="H3" s="80">
        <f>IF(ISBLANK(tbl_明細[[#This Row],[仕入価格（M)]]),_xlfn.XLOOKUP(tbl_明細[[#This Row],[商品ID]],商品マスタ[商品連番],商品マスタ[仕入
単価],"",0,1),tbl_明細[[#This Row],[仕入価格（M)]])</f>
        <v>15000</v>
      </c>
      <c r="I3" s="80">
        <f>_xlfn.XLOOKUP(tbl_明細[[#This Row],[商品ID]],商品マスタ[商品連番],商品マスタ[国内定価
（15％）],"",0,1)</f>
        <v>17650</v>
      </c>
      <c r="J3" s="85">
        <v>18000</v>
      </c>
      <c r="K3" s="71">
        <v>4.7809999999999997</v>
      </c>
      <c r="L3" s="77" t="str">
        <f>_xlfn.XLOOKUP(tbl_明細[[#This Row],[商品ID]],商品マスタ[商品連番],商品マスタ[単位],"",0,1)</f>
        <v>kg</v>
      </c>
      <c r="M3" s="249">
        <f>1-tbl_明細[[#This Row],[仕入価格]]/tbl_明細[[#This Row],[販売価格（売値）]]</f>
        <v>0.16666666666666663</v>
      </c>
      <c r="N3" s="189">
        <f>_xlfn.XLOOKUP(tbl_明細[[#This Row],[商品ID]],商品マスタ[商品連番],商品マスタ[税率],"",0,1)</f>
        <v>0.08</v>
      </c>
      <c r="O3" s="120"/>
      <c r="P3" s="71"/>
      <c r="Q3" s="81"/>
      <c r="R3" s="81"/>
      <c r="S3" s="71"/>
      <c r="T3" s="71"/>
      <c r="U3" s="79"/>
      <c r="V3" s="79"/>
      <c r="W3" s="113"/>
      <c r="X3" s="253">
        <f>tbl_明細[[#This Row],[仕入価格]]*tbl_明細[[#This Row],[数量]]+tbl_明細[[#This Row],[仕入価格（M)]]*tbl_明細[[#This Row],[数量（M)]]</f>
        <v>71715</v>
      </c>
      <c r="Y3" s="253">
        <f>tbl_明細[[#This Row],[販売価格（売値）]]*tbl_明細[[#This Row],[数量]]+tbl_明細[[#This Row],[販売価格（M)]]*tbl_明細[[#This Row],[数量（M)]]</f>
        <v>86058</v>
      </c>
      <c r="Z3" s="256">
        <f>_xlfn.XLOOKUP(tbl_明細[[#This Row],[案件番号]],tbl_案件追跡[案件番号],tbl_案件追跡[受注],"",0,1)</f>
        <v>46042</v>
      </c>
      <c r="AA3" s="227">
        <f>tbl_明細[[#This Row],[販売価格（売値）]]+tbl_明細[[#This Row],[販売価格（M)]]</f>
        <v>18000</v>
      </c>
      <c r="AB3" s="262">
        <f>tbl_明細[[#This Row],[販売価格（売値）]]*1.08+tbl_明細[[#This Row],[販売価格（M)]]*1.08</f>
        <v>19440</v>
      </c>
    </row>
    <row r="4" spans="1:28">
      <c r="A4" s="70" t="s">
        <v>1081</v>
      </c>
      <c r="B4" s="77">
        <f>IF(ISBLANK(tbl_明細[[#This Row],[案件番号]]),"",COUNTIFS($A$3:A4,tbl_明細[[#This Row],[案件番号]],$AA$3:AA4,"&gt;0"))</f>
        <v>2</v>
      </c>
      <c r="C4" s="71">
        <f>COUNTIFS($A$3:A4,tbl_明細[[#This Row],[案件番号]],$F$3:F4,tbl_明細[[#This Row],[仕入先]])</f>
        <v>2</v>
      </c>
      <c r="D4" s="77" t="str">
        <f>_xlfn.XLOOKUP(tbl_明細[[#This Row],[案件番号]],tbl_採番[案件番号],tbl_採番[顧客],"",0,1)</f>
        <v>日新堂株式会社</v>
      </c>
      <c r="E4" s="71" t="s">
        <v>1091</v>
      </c>
      <c r="F4" s="118" t="str">
        <f>IF(ISBLANK(tbl_明細[[#This Row],[仕入先（M)]]),_xlfn.XLOOKUP(tbl_明細[[#This Row],[商品ID]],商品マスタ[商品連番],商品マスタ[仕入先],"",0,1),tbl_明細[[#This Row],[仕入先（M)]])</f>
        <v>ソバージュド函館</v>
      </c>
      <c r="G4" s="112" t="str">
        <f>IF(ISBLANK(tbl_明細[[#This Row],[商品名（M)]]),_xlfn.XLOOKUP(tbl_明細[[#This Row],[商品ID]],商品マスタ[商品連番],商品マスタ[商品名],"",0,),tbl_明細[[#This Row],[商品名（M)]])</f>
        <v>送料（北海道）</v>
      </c>
      <c r="H4" s="80">
        <f>IF(ISBLANK(tbl_明細[[#This Row],[仕入価格（M)]]),_xlfn.XLOOKUP(tbl_明細[[#This Row],[商品ID]],商品マスタ[商品連番],商品マスタ[仕入
単価],"",0,1),tbl_明細[[#This Row],[仕入価格（M)]])</f>
        <v>1180</v>
      </c>
      <c r="I4" s="80" t="str">
        <f>_xlfn.XLOOKUP(tbl_明細[[#This Row],[商品ID]],商品マスタ[商品連番],商品マスタ[国内定価
（15％）],"",0,1)</f>
        <v/>
      </c>
      <c r="J4" s="85"/>
      <c r="K4" s="71"/>
      <c r="L4" s="77" t="str">
        <f>_xlfn.XLOOKUP(tbl_明細[[#This Row],[商品ID]],商品マスタ[商品連番],商品マスタ[単位],"",0,1)</f>
        <v/>
      </c>
      <c r="M4" s="249" t="e">
        <f>1-tbl_明細[[#This Row],[仕入価格]]/tbl_明細[[#This Row],[販売価格（売値）]]</f>
        <v>#DIV/0!</v>
      </c>
      <c r="N4" s="189" t="str">
        <f>_xlfn.XLOOKUP(tbl_明細[[#This Row],[商品ID]],商品マスタ[商品連番],商品マスタ[税率],"",0,1)</f>
        <v/>
      </c>
      <c r="O4" s="120" t="s">
        <v>1060</v>
      </c>
      <c r="P4" s="71" t="s">
        <v>1098</v>
      </c>
      <c r="Q4" s="81">
        <v>1180</v>
      </c>
      <c r="R4" s="81">
        <v>1180</v>
      </c>
      <c r="S4" s="71">
        <v>1</v>
      </c>
      <c r="T4" s="71" t="s">
        <v>1095</v>
      </c>
      <c r="U4" s="79">
        <v>0.1</v>
      </c>
      <c r="V4" s="79"/>
      <c r="W4" s="113"/>
      <c r="X4" s="254">
        <f>tbl_明細[[#This Row],[仕入価格]]*tbl_明細[[#This Row],[数量]]+tbl_明細[[#This Row],[仕入価格（M)]]*tbl_明細[[#This Row],[数量（M)]]</f>
        <v>1180</v>
      </c>
      <c r="Y4" s="254">
        <f>tbl_明細[[#This Row],[販売価格（売値）]]*tbl_明細[[#This Row],[数量]]+tbl_明細[[#This Row],[販売価格（M)]]*tbl_明細[[#This Row],[数量（M)]]</f>
        <v>1180</v>
      </c>
      <c r="Z4" s="257">
        <f>_xlfn.XLOOKUP(tbl_明細[[#This Row],[案件番号]],tbl_案件追跡[案件番号],tbl_案件追跡[受注],"",0,1)</f>
        <v>46042</v>
      </c>
      <c r="AA4" s="228">
        <f>tbl_明細[[#This Row],[販売価格（売値）]]+tbl_明細[[#This Row],[販売価格（M)]]</f>
        <v>1180</v>
      </c>
      <c r="AB4" s="261">
        <f>tbl_明細[[#This Row],[販売価格（売値）]]*1.08+tbl_明細[[#This Row],[販売価格（M)]]*1.08</f>
        <v>1274.4000000000001</v>
      </c>
    </row>
    <row r="5" spans="1:28">
      <c r="A5" s="70" t="s">
        <v>1081</v>
      </c>
      <c r="B5" s="77">
        <f>IF(ISBLANK(tbl_明細[[#This Row],[案件番号]]),"",COUNTIFS($A$3:A5,tbl_明細[[#This Row],[案件番号]],$AA$3:AA5,"&gt;0"))</f>
        <v>3</v>
      </c>
      <c r="C5" s="71">
        <f>COUNTIFS($A$3:A5,tbl_明細[[#This Row],[案件番号]],$F$3:F5,tbl_明細[[#This Row],[仕入先]])</f>
        <v>3</v>
      </c>
      <c r="D5" s="77" t="str">
        <f>_xlfn.XLOOKUP(tbl_明細[[#This Row],[案件番号]],tbl_採番[案件番号],tbl_採番[顧客],"",0,1)</f>
        <v>日新堂株式会社</v>
      </c>
      <c r="E5" s="71" t="s">
        <v>1080</v>
      </c>
      <c r="F5" s="118" t="str">
        <f>IF(ISBLANK(tbl_明細[[#This Row],[仕入先（M)]]),_xlfn.XLOOKUP(tbl_明細[[#This Row],[商品ID]],商品マスタ[商品連番],商品マスタ[仕入先],"",0,1),tbl_明細[[#This Row],[仕入先（M)]])</f>
        <v>ソバージュド函館</v>
      </c>
      <c r="G5" s="112" t="str">
        <f>IF(ISBLANK(tbl_明細[[#This Row],[商品名（M)]]),_xlfn.XLOOKUP(tbl_明細[[#This Row],[商品ID]],商品マスタ[商品連番],商品マスタ[商品名],"",0,),tbl_明細[[#This Row],[商品名（M)]])</f>
        <v>熊掌（後脚）</v>
      </c>
      <c r="H5" s="80">
        <f>IF(ISBLANK(tbl_明細[[#This Row],[仕入価格（M)]]),_xlfn.XLOOKUP(tbl_明細[[#This Row],[商品ID]],商品マスタ[商品連番],商品マスタ[仕入
単価],"",0,1),tbl_明細[[#This Row],[仕入価格（M)]])</f>
        <v>15000</v>
      </c>
      <c r="I5" s="80">
        <f>_xlfn.XLOOKUP(tbl_明細[[#This Row],[商品ID]],商品マスタ[商品連番],商品マスタ[国内定価
（15％）],"",0,1)</f>
        <v>17650</v>
      </c>
      <c r="J5" s="85">
        <v>18000</v>
      </c>
      <c r="K5" s="71">
        <v>3.6269999999999998</v>
      </c>
      <c r="L5" s="77" t="str">
        <f>_xlfn.XLOOKUP(tbl_明細[[#This Row],[商品ID]],商品マスタ[商品連番],商品マスタ[単位],"",0,1)</f>
        <v>kg</v>
      </c>
      <c r="M5" s="249">
        <f>1-tbl_明細[[#This Row],[仕入価格]]/tbl_明細[[#This Row],[販売価格（売値）]]</f>
        <v>0.16666666666666663</v>
      </c>
      <c r="N5" s="189">
        <f>_xlfn.XLOOKUP(tbl_明細[[#This Row],[商品ID]],商品マスタ[商品連番],商品マスタ[税率],"",0,1)</f>
        <v>0.08</v>
      </c>
      <c r="O5" s="120"/>
      <c r="P5" s="71"/>
      <c r="Q5" s="81"/>
      <c r="R5" s="81"/>
      <c r="S5" s="71"/>
      <c r="T5" s="71"/>
      <c r="U5" s="79"/>
      <c r="V5" s="79"/>
      <c r="W5" s="113"/>
      <c r="X5" s="254">
        <f>tbl_明細[[#This Row],[仕入価格]]*tbl_明細[[#This Row],[数量]]+tbl_明細[[#This Row],[仕入価格（M)]]*tbl_明細[[#This Row],[数量（M)]]</f>
        <v>54405</v>
      </c>
      <c r="Y5" s="254">
        <f>tbl_明細[[#This Row],[販売価格（売値）]]*tbl_明細[[#This Row],[数量]]+tbl_明細[[#This Row],[販売価格（M)]]*tbl_明細[[#This Row],[数量（M)]]</f>
        <v>65285.999999999993</v>
      </c>
      <c r="Z5" s="257">
        <f>_xlfn.XLOOKUP(tbl_明細[[#This Row],[案件番号]],tbl_案件追跡[案件番号],tbl_案件追跡[受注],"",0,1)</f>
        <v>46042</v>
      </c>
      <c r="AA5" s="228">
        <f>tbl_明細[[#This Row],[販売価格（売値）]]+tbl_明細[[#This Row],[販売価格（M)]]</f>
        <v>18000</v>
      </c>
      <c r="AB5" s="261">
        <f>tbl_明細[[#This Row],[販売価格（売値）]]*1.08+tbl_明細[[#This Row],[販売価格（M)]]*1.08</f>
        <v>19440</v>
      </c>
    </row>
    <row r="6" spans="1:28">
      <c r="A6" s="70" t="s">
        <v>1081</v>
      </c>
      <c r="B6" s="77">
        <f>IF(ISBLANK(tbl_明細[[#This Row],[案件番号]]),"",COUNTIFS($A$3:A6,tbl_明細[[#This Row],[案件番号]],$AA$3:AA6,"&gt;0"))</f>
        <v>4</v>
      </c>
      <c r="C6" s="71">
        <f>COUNTIFS($A$3:A6,tbl_明細[[#This Row],[案件番号]],$F$3:F6,tbl_明細[[#This Row],[仕入先]])</f>
        <v>4</v>
      </c>
      <c r="D6" s="77" t="str">
        <f>_xlfn.XLOOKUP(tbl_明細[[#This Row],[案件番号]],tbl_採番[案件番号],tbl_採番[顧客],"",0,1)</f>
        <v>日新堂株式会社</v>
      </c>
      <c r="E6" s="71" t="s">
        <v>1091</v>
      </c>
      <c r="F6" s="118" t="str">
        <f>IF(ISBLANK(tbl_明細[[#This Row],[仕入先（M)]]),_xlfn.XLOOKUP(tbl_明細[[#This Row],[商品ID]],商品マスタ[商品連番],商品マスタ[仕入先],"",0,1),tbl_明細[[#This Row],[仕入先（M)]])</f>
        <v>ソバージュド函館</v>
      </c>
      <c r="G6" s="112" t="str">
        <f>IF(ISBLANK(tbl_明細[[#This Row],[商品名（M)]]),_xlfn.XLOOKUP(tbl_明細[[#This Row],[商品ID]],商品マスタ[商品連番],商品マスタ[商品名],"",0,),tbl_明細[[#This Row],[商品名（M)]])</f>
        <v>送料（北海道）</v>
      </c>
      <c r="H6" s="80">
        <f>IF(ISBLANK(tbl_明細[[#This Row],[仕入価格（M)]]),_xlfn.XLOOKUP(tbl_明細[[#This Row],[商品ID]],商品マスタ[商品連番],商品マスタ[仕入
単価],"",0,1),tbl_明細[[#This Row],[仕入価格（M)]])</f>
        <v>1180</v>
      </c>
      <c r="I6" s="80" t="str">
        <f>_xlfn.XLOOKUP(tbl_明細[[#This Row],[商品ID]],商品マスタ[商品連番],商品マスタ[国内定価
（15％）],"",0,1)</f>
        <v/>
      </c>
      <c r="J6" s="85"/>
      <c r="K6" s="71"/>
      <c r="L6" s="77" t="str">
        <f>_xlfn.XLOOKUP(tbl_明細[[#This Row],[商品ID]],商品マスタ[商品連番],商品マスタ[単位],"",0,1)</f>
        <v/>
      </c>
      <c r="M6" s="249" t="e">
        <f>1-tbl_明細[[#This Row],[仕入価格]]/tbl_明細[[#This Row],[販売価格（売値）]]</f>
        <v>#DIV/0!</v>
      </c>
      <c r="N6" s="189" t="str">
        <f>_xlfn.XLOOKUP(tbl_明細[[#This Row],[商品ID]],商品マスタ[商品連番],商品マスタ[税率],"",0,1)</f>
        <v/>
      </c>
      <c r="O6" s="120" t="s">
        <v>1060</v>
      </c>
      <c r="P6" s="71" t="s">
        <v>1098</v>
      </c>
      <c r="Q6" s="81">
        <v>1180</v>
      </c>
      <c r="R6" s="81">
        <v>1180</v>
      </c>
      <c r="S6" s="71">
        <v>1</v>
      </c>
      <c r="T6" s="71" t="s">
        <v>1095</v>
      </c>
      <c r="U6" s="79">
        <v>0.1</v>
      </c>
      <c r="V6" s="79"/>
      <c r="W6" s="113"/>
      <c r="X6" s="254">
        <f>tbl_明細[[#This Row],[仕入価格]]*tbl_明細[[#This Row],[数量]]+tbl_明細[[#This Row],[仕入価格（M)]]*tbl_明細[[#This Row],[数量（M)]]</f>
        <v>1180</v>
      </c>
      <c r="Y6" s="254">
        <f>tbl_明細[[#This Row],[販売価格（売値）]]*tbl_明細[[#This Row],[数量]]+tbl_明細[[#This Row],[販売価格（M)]]*tbl_明細[[#This Row],[数量（M)]]</f>
        <v>1180</v>
      </c>
      <c r="Z6" s="257">
        <f>_xlfn.XLOOKUP(tbl_明細[[#This Row],[案件番号]],tbl_案件追跡[案件番号],tbl_案件追跡[受注],"",0,1)</f>
        <v>46042</v>
      </c>
      <c r="AA6" s="228">
        <f>tbl_明細[[#This Row],[販売価格（売値）]]+tbl_明細[[#This Row],[販売価格（M)]]</f>
        <v>1180</v>
      </c>
      <c r="AB6" s="261">
        <f>tbl_明細[[#This Row],[販売価格（売値）]]*1.08+tbl_明細[[#This Row],[販売価格（M)]]*1.08</f>
        <v>1274.4000000000001</v>
      </c>
    </row>
    <row r="7" spans="1:28">
      <c r="A7" s="70" t="s">
        <v>1081</v>
      </c>
      <c r="B7" s="77">
        <f>IF(ISBLANK(tbl_明細[[#This Row],[案件番号]]),"",COUNTIFS($A$3:A7,tbl_明細[[#This Row],[案件番号]],$AA$3:AA7,"&gt;0"))</f>
        <v>5</v>
      </c>
      <c r="C7" s="71">
        <f>COUNTIFS($A$3:A7,tbl_明細[[#This Row],[案件番号]],$F$3:F7,tbl_明細[[#This Row],[仕入先]])</f>
        <v>5</v>
      </c>
      <c r="D7" s="77" t="str">
        <f>_xlfn.XLOOKUP(tbl_明細[[#This Row],[案件番号]],tbl_採番[案件番号],tbl_採番[顧客],"",0,1)</f>
        <v>日新堂株式会社</v>
      </c>
      <c r="E7" s="71" t="s">
        <v>1080</v>
      </c>
      <c r="F7" s="118" t="str">
        <f>IF(ISBLANK(tbl_明細[[#This Row],[仕入先（M)]]),_xlfn.XLOOKUP(tbl_明細[[#This Row],[商品ID]],商品マスタ[商品連番],商品マスタ[仕入先],"",0,1),tbl_明細[[#This Row],[仕入先（M)]])</f>
        <v>ソバージュド函館</v>
      </c>
      <c r="G7" s="112" t="str">
        <f>IF(ISBLANK(tbl_明細[[#This Row],[商品名（M)]]),_xlfn.XLOOKUP(tbl_明細[[#This Row],[商品ID]],商品マスタ[商品連番],商品マスタ[商品名],"",0,),tbl_明細[[#This Row],[商品名（M)]])</f>
        <v>熊掌（後脚）</v>
      </c>
      <c r="H7" s="80">
        <f>IF(ISBLANK(tbl_明細[[#This Row],[仕入価格（M)]]),_xlfn.XLOOKUP(tbl_明細[[#This Row],[商品ID]],商品マスタ[商品連番],商品マスタ[仕入
単価],"",0,1),tbl_明細[[#This Row],[仕入価格（M)]])</f>
        <v>15000</v>
      </c>
      <c r="I7" s="80">
        <f>_xlfn.XLOOKUP(tbl_明細[[#This Row],[商品ID]],商品マスタ[商品連番],商品マスタ[国内定価
（15％）],"",0,1)</f>
        <v>17650</v>
      </c>
      <c r="J7" s="85">
        <v>18000</v>
      </c>
      <c r="K7" s="71">
        <v>0.91100000000000003</v>
      </c>
      <c r="L7" s="77" t="str">
        <f>_xlfn.XLOOKUP(tbl_明細[[#This Row],[商品ID]],商品マスタ[商品連番],商品マスタ[単位],"",0,1)</f>
        <v>kg</v>
      </c>
      <c r="M7" s="249">
        <f>1-tbl_明細[[#This Row],[仕入価格]]/tbl_明細[[#This Row],[販売価格（売値）]]</f>
        <v>0.16666666666666663</v>
      </c>
      <c r="N7" s="189">
        <f>_xlfn.XLOOKUP(tbl_明細[[#This Row],[商品ID]],商品マスタ[商品連番],商品マスタ[税率],"",0,1)</f>
        <v>0.08</v>
      </c>
      <c r="O7" s="120"/>
      <c r="P7" s="71"/>
      <c r="Q7" s="81"/>
      <c r="R7" s="81"/>
      <c r="S7" s="71"/>
      <c r="T7" s="71"/>
      <c r="U7" s="79"/>
      <c r="V7" s="79"/>
      <c r="W7" s="113"/>
      <c r="X7" s="254">
        <f>tbl_明細[[#This Row],[仕入価格]]*tbl_明細[[#This Row],[数量]]+tbl_明細[[#This Row],[仕入価格（M)]]*tbl_明細[[#This Row],[数量（M)]]</f>
        <v>13665</v>
      </c>
      <c r="Y7" s="254">
        <f>tbl_明細[[#This Row],[販売価格（売値）]]*tbl_明細[[#This Row],[数量]]+tbl_明細[[#This Row],[販売価格（M)]]*tbl_明細[[#This Row],[数量（M)]]</f>
        <v>16398</v>
      </c>
      <c r="Z7" s="257">
        <f>_xlfn.XLOOKUP(tbl_明細[[#This Row],[案件番号]],tbl_案件追跡[案件番号],tbl_案件追跡[受注],"",0,1)</f>
        <v>46042</v>
      </c>
      <c r="AA7" s="228">
        <f>tbl_明細[[#This Row],[販売価格（売値）]]+tbl_明細[[#This Row],[販売価格（M)]]</f>
        <v>18000</v>
      </c>
      <c r="AB7" s="261">
        <f>tbl_明細[[#This Row],[販売価格（売値）]]*1.08+tbl_明細[[#This Row],[販売価格（M)]]*1.08</f>
        <v>19440</v>
      </c>
    </row>
    <row r="8" spans="1:28">
      <c r="A8" s="70" t="s">
        <v>1081</v>
      </c>
      <c r="B8" s="77">
        <f>IF(ISBLANK(tbl_明細[[#This Row],[案件番号]]),"",COUNTIFS($A$3:A8,tbl_明細[[#This Row],[案件番号]],$AA$3:AA8,"&gt;0"))</f>
        <v>6</v>
      </c>
      <c r="C8" s="71">
        <f>COUNTIFS($A$3:A8,tbl_明細[[#This Row],[案件番号]],$F$3:F8,tbl_明細[[#This Row],[仕入先]])</f>
        <v>6</v>
      </c>
      <c r="D8" s="77" t="str">
        <f>_xlfn.XLOOKUP(tbl_明細[[#This Row],[案件番号]],tbl_採番[案件番号],tbl_採番[顧客],"",0,1)</f>
        <v>日新堂株式会社</v>
      </c>
      <c r="E8" s="71" t="s">
        <v>1091</v>
      </c>
      <c r="F8" s="118" t="str">
        <f>IF(ISBLANK(tbl_明細[[#This Row],[仕入先（M)]]),_xlfn.XLOOKUP(tbl_明細[[#This Row],[商品ID]],商品マスタ[商品連番],商品マスタ[仕入先],"",0,1),tbl_明細[[#This Row],[仕入先（M)]])</f>
        <v>ソバージュド函館</v>
      </c>
      <c r="G8" s="112" t="str">
        <f>IF(ISBLANK(tbl_明細[[#This Row],[商品名（M)]]),_xlfn.XLOOKUP(tbl_明細[[#This Row],[商品ID]],商品マスタ[商品連番],商品マスタ[商品名],"",0,),tbl_明細[[#This Row],[商品名（M)]])</f>
        <v>送料（北海道）</v>
      </c>
      <c r="H8" s="80">
        <f>IF(ISBLANK(tbl_明細[[#This Row],[仕入価格（M)]]),_xlfn.XLOOKUP(tbl_明細[[#This Row],[商品ID]],商品マスタ[商品連番],商品マスタ[仕入
単価],"",0,1),tbl_明細[[#This Row],[仕入価格（M)]])</f>
        <v>1180</v>
      </c>
      <c r="I8" s="80" t="str">
        <f>_xlfn.XLOOKUP(tbl_明細[[#This Row],[商品ID]],商品マスタ[商品連番],商品マスタ[国内定価
（15％）],"",0,1)</f>
        <v/>
      </c>
      <c r="J8" s="85"/>
      <c r="K8" s="71"/>
      <c r="L8" s="77" t="str">
        <f>_xlfn.XLOOKUP(tbl_明細[[#This Row],[商品ID]],商品マスタ[商品連番],商品マスタ[単位],"",0,1)</f>
        <v/>
      </c>
      <c r="M8" s="249" t="e">
        <f>1-tbl_明細[[#This Row],[仕入価格]]/tbl_明細[[#This Row],[販売価格（売値）]]</f>
        <v>#DIV/0!</v>
      </c>
      <c r="N8" s="189" t="str">
        <f>_xlfn.XLOOKUP(tbl_明細[[#This Row],[商品ID]],商品マスタ[商品連番],商品マスタ[税率],"",0,1)</f>
        <v/>
      </c>
      <c r="O8" s="120" t="s">
        <v>1060</v>
      </c>
      <c r="P8" s="71" t="s">
        <v>1098</v>
      </c>
      <c r="Q8" s="81">
        <v>1180</v>
      </c>
      <c r="R8" s="81">
        <v>1180</v>
      </c>
      <c r="S8" s="71">
        <v>1</v>
      </c>
      <c r="T8" s="71" t="s">
        <v>1095</v>
      </c>
      <c r="U8" s="79">
        <v>0.1</v>
      </c>
      <c r="V8" s="79"/>
      <c r="W8" s="113"/>
      <c r="X8" s="254">
        <f>tbl_明細[[#This Row],[仕入価格]]*tbl_明細[[#This Row],[数量]]+tbl_明細[[#This Row],[仕入価格（M)]]*tbl_明細[[#This Row],[数量（M)]]</f>
        <v>1180</v>
      </c>
      <c r="Y8" s="254">
        <f>tbl_明細[[#This Row],[販売価格（売値）]]*tbl_明細[[#This Row],[数量]]+tbl_明細[[#This Row],[販売価格（M)]]*tbl_明細[[#This Row],[数量（M)]]</f>
        <v>1180</v>
      </c>
      <c r="Z8" s="257">
        <f>_xlfn.XLOOKUP(tbl_明細[[#This Row],[案件番号]],tbl_案件追跡[案件番号],tbl_案件追跡[受注],"",0,1)</f>
        <v>46042</v>
      </c>
      <c r="AA8" s="228">
        <f>tbl_明細[[#This Row],[販売価格（売値）]]+tbl_明細[[#This Row],[販売価格（M)]]</f>
        <v>1180</v>
      </c>
      <c r="AB8" s="261">
        <f>tbl_明細[[#This Row],[販売価格（売値）]]*1.08+tbl_明細[[#This Row],[販売価格（M)]]*1.08</f>
        <v>1274.4000000000001</v>
      </c>
    </row>
    <row r="9" spans="1:28">
      <c r="A9" s="70" t="s">
        <v>1107</v>
      </c>
      <c r="B9" s="77">
        <f>IF(ISBLANK(tbl_明細[[#This Row],[案件番号]]),"",COUNTIFS($A$3:A9,tbl_明細[[#This Row],[案件番号]],$AA$3:AA9,"&gt;0"))</f>
        <v>1</v>
      </c>
      <c r="C9" s="71">
        <f>COUNTIFS($A$3:A9,tbl_明細[[#This Row],[案件番号]],$F$3:F9,tbl_明細[[#This Row],[仕入先]])</f>
        <v>1</v>
      </c>
      <c r="D9" s="77" t="str">
        <f>_xlfn.XLOOKUP(tbl_明細[[#This Row],[案件番号]],tbl_採番[案件番号],tbl_採番[顧客],"",0,1)</f>
        <v>日新堂株式会社</v>
      </c>
      <c r="E9" s="71" t="s">
        <v>1106</v>
      </c>
      <c r="F9" s="118" t="str">
        <f>IF(ISBLANK(tbl_明細[[#This Row],[仕入先（M)]]),_xlfn.XLOOKUP(tbl_明細[[#This Row],[商品ID]],商品マスタ[商品連番],商品マスタ[仕入先],"",0,1),tbl_明細[[#This Row],[仕入先（M)]])</f>
        <v>狩人の蔵</v>
      </c>
      <c r="G9" s="112" t="str">
        <f>IF(ISBLANK(tbl_明細[[#This Row],[商品名（M)]]),_xlfn.XLOOKUP(tbl_明細[[#This Row],[商品ID]],商品マスタ[商品連番],商品マスタ[商品名],"",0,),tbl_明細[[#This Row],[商品名（M)]])</f>
        <v>熊掌（前脚）</v>
      </c>
      <c r="H9" s="80">
        <f>IF(ISBLANK(tbl_明細[[#This Row],[仕入価格（M)]]),_xlfn.XLOOKUP(tbl_明細[[#This Row],[商品ID]],商品マスタ[商品連番],商品マスタ[仕入
単価],"",0,1),tbl_明細[[#This Row],[仕入価格（M)]])</f>
        <v>11000</v>
      </c>
      <c r="I9" s="80">
        <f>_xlfn.XLOOKUP(tbl_明細[[#This Row],[商品ID]],商品マスタ[商品連番],商品マスタ[国内定価
（15％）],"",0,1)</f>
        <v>14240</v>
      </c>
      <c r="J9" s="85">
        <v>24000</v>
      </c>
      <c r="K9" s="71">
        <v>1.2889999999999999</v>
      </c>
      <c r="L9" s="77" t="str">
        <f>_xlfn.XLOOKUP(tbl_明細[[#This Row],[商品ID]],商品マスタ[商品連番],商品マスタ[単位],"",0,1)</f>
        <v>kg</v>
      </c>
      <c r="M9" s="249">
        <f>1-tbl_明細[[#This Row],[仕入価格]]/tbl_明細[[#This Row],[販売価格（売値）]]</f>
        <v>0.54166666666666674</v>
      </c>
      <c r="N9" s="189">
        <f>_xlfn.XLOOKUP(tbl_明細[[#This Row],[商品ID]],商品マスタ[商品連番],商品マスタ[税率],"",0,1)</f>
        <v>0.08</v>
      </c>
      <c r="O9" s="120"/>
      <c r="P9" s="71"/>
      <c r="Q9" s="81"/>
      <c r="R9" s="81"/>
      <c r="S9" s="71"/>
      <c r="T9" s="71"/>
      <c r="U9" s="79"/>
      <c r="V9" s="79"/>
      <c r="W9" s="113"/>
      <c r="X9" s="254">
        <f>tbl_明細[[#This Row],[仕入価格]]*tbl_明細[[#This Row],[数量]]+tbl_明細[[#This Row],[仕入価格（M)]]*tbl_明細[[#This Row],[数量（M)]]</f>
        <v>14179</v>
      </c>
      <c r="Y9" s="254">
        <f>tbl_明細[[#This Row],[販売価格（売値）]]*tbl_明細[[#This Row],[数量]]+tbl_明細[[#This Row],[販売価格（M)]]*tbl_明細[[#This Row],[数量（M)]]</f>
        <v>30935.999999999996</v>
      </c>
      <c r="Z9" s="257">
        <f>_xlfn.XLOOKUP(tbl_明細[[#This Row],[案件番号]],tbl_案件追跡[案件番号],tbl_案件追跡[受注],"",0,1)</f>
        <v>46042</v>
      </c>
      <c r="AA9" s="228">
        <f>tbl_明細[[#This Row],[販売価格（売値）]]+tbl_明細[[#This Row],[販売価格（M)]]</f>
        <v>24000</v>
      </c>
      <c r="AB9" s="261">
        <f>tbl_明細[[#This Row],[販売価格（売値）]]*1.08+tbl_明細[[#This Row],[販売価格（M)]]*1.08</f>
        <v>25920</v>
      </c>
    </row>
    <row r="10" spans="1:28">
      <c r="A10" s="70" t="s">
        <v>1107</v>
      </c>
      <c r="B10" s="77">
        <f>IF(ISBLANK(tbl_明細[[#This Row],[案件番号]]),"",COUNTIFS($A$3:A10,tbl_明細[[#This Row],[案件番号]],$AA$3:AA10,"&gt;0"))</f>
        <v>2</v>
      </c>
      <c r="C10" s="71">
        <f>COUNTIFS($A$3:A10,tbl_明細[[#This Row],[案件番号]],$F$3:F10,tbl_明細[[#This Row],[仕入先]])</f>
        <v>2</v>
      </c>
      <c r="D10" s="77" t="str">
        <f>_xlfn.XLOOKUP(tbl_明細[[#This Row],[案件番号]],tbl_採番[案件番号],tbl_採番[顧客],"",0,1)</f>
        <v>日新堂株式会社</v>
      </c>
      <c r="E10" s="71" t="s">
        <v>1106</v>
      </c>
      <c r="F10" s="118" t="str">
        <f>IF(ISBLANK(tbl_明細[[#This Row],[仕入先（M)]]),_xlfn.XLOOKUP(tbl_明細[[#This Row],[商品ID]],商品マスタ[商品連番],商品マスタ[仕入先],"",0,1),tbl_明細[[#This Row],[仕入先（M)]])</f>
        <v>狩人の蔵</v>
      </c>
      <c r="G10" s="112" t="str">
        <f>IF(ISBLANK(tbl_明細[[#This Row],[商品名（M)]]),_xlfn.XLOOKUP(tbl_明細[[#This Row],[商品ID]],商品マスタ[商品連番],商品マスタ[商品名],"",0,),tbl_明細[[#This Row],[商品名（M)]])</f>
        <v>熊掌（前脚）</v>
      </c>
      <c r="H10" s="80">
        <f>IF(ISBLANK(tbl_明細[[#This Row],[仕入価格（M)]]),_xlfn.XLOOKUP(tbl_明細[[#This Row],[商品ID]],商品マスタ[商品連番],商品マスタ[仕入
単価],"",0,1),tbl_明細[[#This Row],[仕入価格（M)]])</f>
        <v>11000</v>
      </c>
      <c r="I10" s="80">
        <f>_xlfn.XLOOKUP(tbl_明細[[#This Row],[商品ID]],商品マスタ[商品連番],商品マスタ[国内定価
（15％）],"",0,1)</f>
        <v>14240</v>
      </c>
      <c r="J10" s="85">
        <v>24000</v>
      </c>
      <c r="K10" s="71">
        <v>1.177</v>
      </c>
      <c r="L10" s="77" t="str">
        <f>_xlfn.XLOOKUP(tbl_明細[[#This Row],[商品ID]],商品マスタ[商品連番],商品マスタ[単位],"",0,1)</f>
        <v>kg</v>
      </c>
      <c r="M10" s="249">
        <f>1-tbl_明細[[#This Row],[仕入価格]]/tbl_明細[[#This Row],[販売価格（売値）]]</f>
        <v>0.54166666666666674</v>
      </c>
      <c r="N10" s="189">
        <f>_xlfn.XLOOKUP(tbl_明細[[#This Row],[商品ID]],商品マスタ[商品連番],商品マスタ[税率],"",0,1)</f>
        <v>0.08</v>
      </c>
      <c r="O10" s="120"/>
      <c r="P10" s="71"/>
      <c r="Q10" s="81"/>
      <c r="R10" s="81"/>
      <c r="S10" s="71"/>
      <c r="T10" s="71"/>
      <c r="U10" s="79"/>
      <c r="V10" s="79"/>
      <c r="W10" s="113"/>
      <c r="X10" s="254">
        <f>tbl_明細[[#This Row],[仕入価格]]*tbl_明細[[#This Row],[数量]]+tbl_明細[[#This Row],[仕入価格（M)]]*tbl_明細[[#This Row],[数量（M)]]</f>
        <v>12947</v>
      </c>
      <c r="Y10" s="254">
        <f>tbl_明細[[#This Row],[販売価格（売値）]]*tbl_明細[[#This Row],[数量]]+tbl_明細[[#This Row],[販売価格（M)]]*tbl_明細[[#This Row],[数量（M)]]</f>
        <v>28248</v>
      </c>
      <c r="Z10" s="257">
        <f>_xlfn.XLOOKUP(tbl_明細[[#This Row],[案件番号]],tbl_案件追跡[案件番号],tbl_案件追跡[受注],"",0,1)</f>
        <v>46042</v>
      </c>
      <c r="AA10" s="228">
        <f>tbl_明細[[#This Row],[販売価格（売値）]]+tbl_明細[[#This Row],[販売価格（M)]]</f>
        <v>24000</v>
      </c>
      <c r="AB10" s="261">
        <f>tbl_明細[[#This Row],[販売価格（売値）]]*1.08+tbl_明細[[#This Row],[販売価格（M)]]*1.08</f>
        <v>25920</v>
      </c>
    </row>
    <row r="11" spans="1:28">
      <c r="A11" s="70" t="s">
        <v>1107</v>
      </c>
      <c r="B11" s="77">
        <f>IF(ISBLANK(tbl_明細[[#This Row],[案件番号]]),"",COUNTIFS($A$3:A11,tbl_明細[[#This Row],[案件番号]],$AA$3:AA11,"&gt;0"))</f>
        <v>3</v>
      </c>
      <c r="C11" s="71">
        <f>COUNTIFS($A$3:A11,tbl_明細[[#This Row],[案件番号]],$F$3:F11,tbl_明細[[#This Row],[仕入先]])</f>
        <v>3</v>
      </c>
      <c r="D11" s="77" t="str">
        <f>_xlfn.XLOOKUP(tbl_明細[[#This Row],[案件番号]],tbl_採番[案件番号],tbl_採番[顧客],"",0,1)</f>
        <v>日新堂株式会社</v>
      </c>
      <c r="E11" s="71" t="s">
        <v>1106</v>
      </c>
      <c r="F11" s="118" t="str">
        <f>IF(ISBLANK(tbl_明細[[#This Row],[仕入先（M)]]),_xlfn.XLOOKUP(tbl_明細[[#This Row],[商品ID]],商品マスタ[商品連番],商品マスタ[仕入先],"",0,1),tbl_明細[[#This Row],[仕入先（M)]])</f>
        <v>狩人の蔵</v>
      </c>
      <c r="G11" s="112" t="str">
        <f>IF(ISBLANK(tbl_明細[[#This Row],[商品名（M)]]),_xlfn.XLOOKUP(tbl_明細[[#This Row],[商品ID]],商品マスタ[商品連番],商品マスタ[商品名],"",0,),tbl_明細[[#This Row],[商品名（M)]])</f>
        <v>熊掌（前脚）</v>
      </c>
      <c r="H11" s="80">
        <f>IF(ISBLANK(tbl_明細[[#This Row],[仕入価格（M)]]),_xlfn.XLOOKUP(tbl_明細[[#This Row],[商品ID]],商品マスタ[商品連番],商品マスタ[仕入
単価],"",0,1),tbl_明細[[#This Row],[仕入価格（M)]])</f>
        <v>11000</v>
      </c>
      <c r="I11" s="80">
        <f>_xlfn.XLOOKUP(tbl_明細[[#This Row],[商品ID]],商品マスタ[商品連番],商品マスタ[国内定価
（15％）],"",0,1)</f>
        <v>14240</v>
      </c>
      <c r="J11" s="85">
        <v>24000</v>
      </c>
      <c r="K11" s="71">
        <v>0.50600000000000001</v>
      </c>
      <c r="L11" s="77" t="str">
        <f>_xlfn.XLOOKUP(tbl_明細[[#This Row],[商品ID]],商品マスタ[商品連番],商品マスタ[単位],"",0,1)</f>
        <v>kg</v>
      </c>
      <c r="M11" s="249">
        <f>1-tbl_明細[[#This Row],[仕入価格]]/tbl_明細[[#This Row],[販売価格（売値）]]</f>
        <v>0.54166666666666674</v>
      </c>
      <c r="N11" s="189">
        <f>_xlfn.XLOOKUP(tbl_明細[[#This Row],[商品ID]],商品マスタ[商品連番],商品マスタ[税率],"",0,1)</f>
        <v>0.08</v>
      </c>
      <c r="O11" s="120"/>
      <c r="P11" s="71"/>
      <c r="Q11" s="81"/>
      <c r="R11" s="81"/>
      <c r="S11" s="71"/>
      <c r="T11" s="71"/>
      <c r="U11" s="79"/>
      <c r="V11" s="79"/>
      <c r="W11" s="113"/>
      <c r="X11" s="254">
        <f>tbl_明細[[#This Row],[仕入価格]]*tbl_明細[[#This Row],[数量]]+tbl_明細[[#This Row],[仕入価格（M)]]*tbl_明細[[#This Row],[数量（M)]]</f>
        <v>5566</v>
      </c>
      <c r="Y11" s="254">
        <f>tbl_明細[[#This Row],[販売価格（売値）]]*tbl_明細[[#This Row],[数量]]+tbl_明細[[#This Row],[販売価格（M)]]*tbl_明細[[#This Row],[数量（M)]]</f>
        <v>12144</v>
      </c>
      <c r="Z11" s="257">
        <f>_xlfn.XLOOKUP(tbl_明細[[#This Row],[案件番号]],tbl_案件追跡[案件番号],tbl_案件追跡[受注],"",0,1)</f>
        <v>46042</v>
      </c>
      <c r="AA11" s="228">
        <f>tbl_明細[[#This Row],[販売価格（売値）]]+tbl_明細[[#This Row],[販売価格（M)]]</f>
        <v>24000</v>
      </c>
      <c r="AB11" s="261">
        <f>tbl_明細[[#This Row],[販売価格（売値）]]*1.08+tbl_明細[[#This Row],[販売価格（M)]]*1.08</f>
        <v>25920</v>
      </c>
    </row>
    <row r="12" spans="1:28">
      <c r="A12" s="70" t="s">
        <v>1107</v>
      </c>
      <c r="B12" s="77">
        <f>IF(ISBLANK(tbl_明細[[#This Row],[案件番号]]),"",COUNTIFS($A$3:A12,tbl_明細[[#This Row],[案件番号]],$AA$3:AA12,"&gt;0"))</f>
        <v>4</v>
      </c>
      <c r="C12" s="71">
        <f>COUNTIFS($A$3:A12,tbl_明細[[#This Row],[案件番号]],$F$3:F12,tbl_明細[[#This Row],[仕入先]])</f>
        <v>4</v>
      </c>
      <c r="D12" s="77" t="str">
        <f>_xlfn.XLOOKUP(tbl_明細[[#This Row],[案件番号]],tbl_採番[案件番号],tbl_採番[顧客],"",0,1)</f>
        <v>日新堂株式会社</v>
      </c>
      <c r="E12" s="71" t="s">
        <v>1106</v>
      </c>
      <c r="F12" s="118" t="str">
        <f>IF(ISBLANK(tbl_明細[[#This Row],[仕入先（M)]]),_xlfn.XLOOKUP(tbl_明細[[#This Row],[商品ID]],商品マスタ[商品連番],商品マスタ[仕入先],"",0,1),tbl_明細[[#This Row],[仕入先（M)]])</f>
        <v>狩人の蔵</v>
      </c>
      <c r="G12" s="112" t="str">
        <f>IF(ISBLANK(tbl_明細[[#This Row],[商品名（M)]]),_xlfn.XLOOKUP(tbl_明細[[#This Row],[商品ID]],商品マスタ[商品連番],商品マスタ[商品名],"",0,),tbl_明細[[#This Row],[商品名（M)]])</f>
        <v>熊掌（前脚）</v>
      </c>
      <c r="H12" s="80">
        <f>IF(ISBLANK(tbl_明細[[#This Row],[仕入価格（M)]]),_xlfn.XLOOKUP(tbl_明細[[#This Row],[商品ID]],商品マスタ[商品連番],商品マスタ[仕入
単価],"",0,1),tbl_明細[[#This Row],[仕入価格（M)]])</f>
        <v>11000</v>
      </c>
      <c r="I12" s="80">
        <f>_xlfn.XLOOKUP(tbl_明細[[#This Row],[商品ID]],商品マスタ[商品連番],商品マスタ[国内定価
（15％）],"",0,1)</f>
        <v>14240</v>
      </c>
      <c r="J12" s="85">
        <v>24000</v>
      </c>
      <c r="K12" s="71">
        <v>0.81499999999999995</v>
      </c>
      <c r="L12" s="77" t="str">
        <f>_xlfn.XLOOKUP(tbl_明細[[#This Row],[商品ID]],商品マスタ[商品連番],商品マスタ[単位],"",0,1)</f>
        <v>kg</v>
      </c>
      <c r="M12" s="249">
        <f>1-tbl_明細[[#This Row],[仕入価格]]/tbl_明細[[#This Row],[販売価格（売値）]]</f>
        <v>0.54166666666666674</v>
      </c>
      <c r="N12" s="189">
        <f>_xlfn.XLOOKUP(tbl_明細[[#This Row],[商品ID]],商品マスタ[商品連番],商品マスタ[税率],"",0,1)</f>
        <v>0.08</v>
      </c>
      <c r="O12" s="120"/>
      <c r="P12" s="71"/>
      <c r="Q12" s="81"/>
      <c r="R12" s="81"/>
      <c r="S12" s="71"/>
      <c r="T12" s="71"/>
      <c r="U12" s="79"/>
      <c r="V12" s="79"/>
      <c r="W12" s="113"/>
      <c r="X12" s="254">
        <f>tbl_明細[[#This Row],[仕入価格]]*tbl_明細[[#This Row],[数量]]+tbl_明細[[#This Row],[仕入価格（M)]]*tbl_明細[[#This Row],[数量（M)]]</f>
        <v>8965</v>
      </c>
      <c r="Y12" s="254">
        <f>tbl_明細[[#This Row],[販売価格（売値）]]*tbl_明細[[#This Row],[数量]]+tbl_明細[[#This Row],[販売価格（M)]]*tbl_明細[[#This Row],[数量（M)]]</f>
        <v>19560</v>
      </c>
      <c r="Z12" s="257">
        <f>_xlfn.XLOOKUP(tbl_明細[[#This Row],[案件番号]],tbl_案件追跡[案件番号],tbl_案件追跡[受注],"",0,1)</f>
        <v>46042</v>
      </c>
      <c r="AA12" s="228">
        <f>tbl_明細[[#This Row],[販売価格（売値）]]+tbl_明細[[#This Row],[販売価格（M)]]</f>
        <v>24000</v>
      </c>
      <c r="AB12" s="261">
        <f>tbl_明細[[#This Row],[販売価格（売値）]]*1.08+tbl_明細[[#This Row],[販売価格（M)]]*1.08</f>
        <v>25920</v>
      </c>
    </row>
    <row r="13" spans="1:28">
      <c r="A13" s="70" t="s">
        <v>1107</v>
      </c>
      <c r="B13" s="77">
        <f>IF(ISBLANK(tbl_明細[[#This Row],[案件番号]]),"",COUNTIFS($A$3:A13,tbl_明細[[#This Row],[案件番号]],$AA$3:AA13,"&gt;0"))</f>
        <v>5</v>
      </c>
      <c r="C13" s="71">
        <f>COUNTIFS($A$3:A13,tbl_明細[[#This Row],[案件番号]],$F$3:F13,tbl_明細[[#This Row],[仕入先]])</f>
        <v>5</v>
      </c>
      <c r="D13" s="77" t="str">
        <f>_xlfn.XLOOKUP(tbl_明細[[#This Row],[案件番号]],tbl_採番[案件番号],tbl_採番[顧客],"",0,1)</f>
        <v>日新堂株式会社</v>
      </c>
      <c r="E13" s="71" t="s">
        <v>1091</v>
      </c>
      <c r="F13" s="118" t="str">
        <f>IF(ISBLANK(tbl_明細[[#This Row],[仕入先（M)]]),_xlfn.XLOOKUP(tbl_明細[[#This Row],[商品ID]],商品マスタ[商品連番],商品マスタ[仕入先],"",0,1),tbl_明細[[#This Row],[仕入先（M)]])</f>
        <v>狩人の蔵</v>
      </c>
      <c r="G13" s="112" t="str">
        <f>IF(ISBLANK(tbl_明細[[#This Row],[商品名（M)]]),_xlfn.XLOOKUP(tbl_明細[[#This Row],[商品ID]],商品マスタ[商品連番],商品マスタ[商品名],"",0,),tbl_明細[[#This Row],[商品名（M)]])</f>
        <v>送料（大阪）</v>
      </c>
      <c r="H13" s="80">
        <f>IF(ISBLANK(tbl_明細[[#This Row],[仕入価格（M)]]),_xlfn.XLOOKUP(tbl_明細[[#This Row],[商品ID]],商品マスタ[商品連番],商品マスタ[仕入
単価],"",0,1),tbl_明細[[#This Row],[仕入価格（M)]])</f>
        <v>1620</v>
      </c>
      <c r="I13" s="80" t="str">
        <f>_xlfn.XLOOKUP(tbl_明細[[#This Row],[商品ID]],商品マスタ[商品連番],商品マスタ[国内定価
（15％）],"",0,1)</f>
        <v/>
      </c>
      <c r="J13" s="85"/>
      <c r="K13" s="71"/>
      <c r="L13" s="77" t="str">
        <f>_xlfn.XLOOKUP(tbl_明細[[#This Row],[商品ID]],商品マスタ[商品連番],商品マスタ[単位],"",0,1)</f>
        <v/>
      </c>
      <c r="M13" s="249" t="e">
        <f>1-tbl_明細[[#This Row],[仕入価格]]/tbl_明細[[#This Row],[販売価格（売値）]]</f>
        <v>#DIV/0!</v>
      </c>
      <c r="N13" s="189" t="str">
        <f>_xlfn.XLOOKUP(tbl_明細[[#This Row],[商品ID]],商品マスタ[商品連番],商品マスタ[税率],"",0,1)</f>
        <v/>
      </c>
      <c r="O13" s="120" t="s">
        <v>1103</v>
      </c>
      <c r="P13" s="71" t="s">
        <v>1108</v>
      </c>
      <c r="Q13" s="81">
        <v>1620</v>
      </c>
      <c r="R13" s="81">
        <v>1620</v>
      </c>
      <c r="S13" s="71">
        <v>1</v>
      </c>
      <c r="T13" s="71" t="s">
        <v>1095</v>
      </c>
      <c r="U13" s="79">
        <v>0.1</v>
      </c>
      <c r="V13" s="79"/>
      <c r="W13" s="113"/>
      <c r="X13" s="254">
        <f>tbl_明細[[#This Row],[仕入価格]]*tbl_明細[[#This Row],[数量]]+tbl_明細[[#This Row],[仕入価格（M)]]*tbl_明細[[#This Row],[数量（M)]]</f>
        <v>1620</v>
      </c>
      <c r="Y13" s="254">
        <f>tbl_明細[[#This Row],[販売価格（売値）]]*tbl_明細[[#This Row],[数量]]+tbl_明細[[#This Row],[販売価格（M)]]*tbl_明細[[#This Row],[数量（M)]]</f>
        <v>1620</v>
      </c>
      <c r="Z13" s="257">
        <f>_xlfn.XLOOKUP(tbl_明細[[#This Row],[案件番号]],tbl_案件追跡[案件番号],tbl_案件追跡[受注],"",0,1)</f>
        <v>46042</v>
      </c>
      <c r="AA13" s="228">
        <f>tbl_明細[[#This Row],[販売価格（売値）]]+tbl_明細[[#This Row],[販売価格（M)]]</f>
        <v>1620</v>
      </c>
      <c r="AB13" s="261">
        <f>tbl_明細[[#This Row],[販売価格（売値）]]*1.08+tbl_明細[[#This Row],[販売価格（M)]]*1.08</f>
        <v>1749.6000000000001</v>
      </c>
    </row>
    <row r="14" spans="1:28">
      <c r="A14" s="70" t="s">
        <v>1127</v>
      </c>
      <c r="B14" s="77">
        <f>IF(ISBLANK(tbl_明細[[#This Row],[案件番号]]),"",COUNTIFS($A$3:A14,tbl_明細[[#This Row],[案件番号]],$AA$3:AA14,"&gt;0"))</f>
        <v>1</v>
      </c>
      <c r="C14" s="71">
        <f>COUNTIFS($A$3:A14,tbl_明細[[#This Row],[案件番号]],$F$3:F14,tbl_明細[[#This Row],[仕入先]])</f>
        <v>1</v>
      </c>
      <c r="D14" s="77" t="str">
        <f>_xlfn.XLOOKUP(tbl_明細[[#This Row],[案件番号]],tbl_採番[案件番号],tbl_採番[顧客],"",0,1)</f>
        <v>オーセントホテルズ（楽水山）</v>
      </c>
      <c r="E14" s="71" t="s">
        <v>1126</v>
      </c>
      <c r="F14" s="118" t="str">
        <f>IF(ISBLANK(tbl_明細[[#This Row],[仕入先（M)]]),_xlfn.XLOOKUP(tbl_明細[[#This Row],[商品ID]],商品マスタ[商品連番],商品マスタ[仕入先],"",0,1),tbl_明細[[#This Row],[仕入先（M)]])</f>
        <v>協栄製茶　壱之庄</v>
      </c>
      <c r="G14" s="112" t="str">
        <f>IF(ISBLANK(tbl_明細[[#This Row],[商品名（M)]]),_xlfn.XLOOKUP(tbl_明細[[#This Row],[商品ID]],商品マスタ[商品連番],商品マスタ[商品名],"",0,),tbl_明細[[#This Row],[商品名（M)]])</f>
        <v>雁の音ほうじ茶壱之棒（茶葉） 500g</v>
      </c>
      <c r="H14" s="80">
        <f>IF(ISBLANK(tbl_明細[[#This Row],[仕入価格（M)]]),_xlfn.XLOOKUP(tbl_明細[[#This Row],[商品ID]],商品マスタ[商品連番],商品マスタ[仕入
単価],"",0,1),tbl_明細[[#This Row],[仕入価格（M)]])</f>
        <v>1527</v>
      </c>
      <c r="I14" s="80">
        <f>_xlfn.XLOOKUP(tbl_明細[[#This Row],[商品ID]],商品マスタ[商品連番],商品マスタ[国内定価
（15％）],"",0,1)</f>
        <v>1800</v>
      </c>
      <c r="J14" s="85">
        <v>1806</v>
      </c>
      <c r="K14" s="71">
        <v>10</v>
      </c>
      <c r="L14" s="77" t="str">
        <f>_xlfn.XLOOKUP(tbl_明細[[#This Row],[商品ID]],商品マスタ[商品連番],商品マスタ[単位],"",0,1)</f>
        <v>袋</v>
      </c>
      <c r="M14" s="249">
        <f>1-tbl_明細[[#This Row],[仕入価格]]/tbl_明細[[#This Row],[販売価格（売値）]]</f>
        <v>0.154485049833887</v>
      </c>
      <c r="N14" s="189">
        <f>_xlfn.XLOOKUP(tbl_明細[[#This Row],[商品ID]],商品マスタ[商品連番],商品マスタ[税率],"",0,1)</f>
        <v>0.08</v>
      </c>
      <c r="O14" s="120"/>
      <c r="P14" s="71"/>
      <c r="Q14" s="81"/>
      <c r="R14" s="81"/>
      <c r="S14" s="71"/>
      <c r="T14" s="71"/>
      <c r="U14" s="79"/>
      <c r="V14" s="79"/>
      <c r="W14" s="113"/>
      <c r="X14" s="254">
        <f>tbl_明細[[#This Row],[仕入価格]]*tbl_明細[[#This Row],[数量]]+tbl_明細[[#This Row],[仕入価格（M)]]*tbl_明細[[#This Row],[数量（M)]]</f>
        <v>15270</v>
      </c>
      <c r="Y14" s="254">
        <f>tbl_明細[[#This Row],[販売価格（売値）]]*tbl_明細[[#This Row],[数量]]+tbl_明細[[#This Row],[販売価格（M)]]*tbl_明細[[#This Row],[数量（M)]]</f>
        <v>18060</v>
      </c>
      <c r="Z14" s="257">
        <f>_xlfn.XLOOKUP(tbl_明細[[#This Row],[案件番号]],tbl_案件追跡[案件番号],tbl_案件追跡[受注],"",0,1)</f>
        <v>46042</v>
      </c>
      <c r="AA14" s="228">
        <f>tbl_明細[[#This Row],[販売価格（売値）]]+tbl_明細[[#This Row],[販売価格（M)]]</f>
        <v>1806</v>
      </c>
      <c r="AB14" s="261">
        <f>tbl_明細[[#This Row],[販売価格（売値）]]*1.08+tbl_明細[[#This Row],[販売価格（M)]]*1.08</f>
        <v>1950.48</v>
      </c>
    </row>
    <row r="15" spans="1:28">
      <c r="A15" s="70" t="s">
        <v>1127</v>
      </c>
      <c r="B15" s="77">
        <f>IF(ISBLANK(tbl_明細[[#This Row],[案件番号]]),"",COUNTIFS($A$3:A15,tbl_明細[[#This Row],[案件番号]],$AA$3:AA15,"&gt;0"))</f>
        <v>2</v>
      </c>
      <c r="C15" s="71">
        <f>COUNTIFS($A$3:A15,tbl_明細[[#This Row],[案件番号]],$F$3:F15,tbl_明細[[#This Row],[仕入先]])</f>
        <v>2</v>
      </c>
      <c r="D15" s="77" t="str">
        <f>_xlfn.XLOOKUP(tbl_明細[[#This Row],[案件番号]],tbl_採番[案件番号],tbl_採番[顧客],"",0,1)</f>
        <v>オーセントホテルズ（楽水山）</v>
      </c>
      <c r="E15" s="71" t="s">
        <v>1091</v>
      </c>
      <c r="F15" s="118" t="str">
        <f>IF(ISBLANK(tbl_明細[[#This Row],[仕入先（M)]]),_xlfn.XLOOKUP(tbl_明細[[#This Row],[商品ID]],商品マスタ[商品連番],商品マスタ[仕入先],"",0,1),tbl_明細[[#This Row],[仕入先（M)]])</f>
        <v>協栄製茶　壱之庄</v>
      </c>
      <c r="G15" s="112" t="str">
        <f>IF(ISBLANK(tbl_明細[[#This Row],[商品名（M)]]),_xlfn.XLOOKUP(tbl_明細[[#This Row],[商品ID]],商品マスタ[商品連番],商品マスタ[商品名],"",0,),tbl_明細[[#This Row],[商品名（M)]])</f>
        <v>送料（140サイズ）</v>
      </c>
      <c r="H15" s="80">
        <f>IF(ISBLANK(tbl_明細[[#This Row],[仕入価格（M)]]),_xlfn.XLOOKUP(tbl_明細[[#This Row],[商品ID]],商品マスタ[商品連番],商品マスタ[仕入
単価],"",0,1),tbl_明細[[#This Row],[仕入価格（M)]])</f>
        <v>1300</v>
      </c>
      <c r="I15" s="80" t="str">
        <f>_xlfn.XLOOKUP(tbl_明細[[#This Row],[商品ID]],商品マスタ[商品連番],商品マスタ[国内定価
（15％）],"",0,1)</f>
        <v/>
      </c>
      <c r="J15" s="85"/>
      <c r="K15" s="71"/>
      <c r="L15" s="77" t="str">
        <f>_xlfn.XLOOKUP(tbl_明細[[#This Row],[商品ID]],商品マスタ[商品連番],商品マスタ[単位],"",0,1)</f>
        <v/>
      </c>
      <c r="M15" s="249" t="e">
        <f>1-tbl_明細[[#This Row],[仕入価格]]/tbl_明細[[#This Row],[販売価格（売値）]]</f>
        <v>#DIV/0!</v>
      </c>
      <c r="N15" s="189" t="str">
        <f>_xlfn.XLOOKUP(tbl_明細[[#This Row],[商品ID]],商品マスタ[商品連番],商品マスタ[税率],"",0,1)</f>
        <v/>
      </c>
      <c r="O15" s="120" t="s">
        <v>1130</v>
      </c>
      <c r="P15" s="71" t="s">
        <v>1128</v>
      </c>
      <c r="Q15" s="81">
        <v>1300</v>
      </c>
      <c r="R15" s="81">
        <v>1300</v>
      </c>
      <c r="S15" s="71">
        <v>1</v>
      </c>
      <c r="T15" s="71" t="s">
        <v>1095</v>
      </c>
      <c r="U15" s="79">
        <v>0.1</v>
      </c>
      <c r="V15" s="79"/>
      <c r="W15" s="113"/>
      <c r="X15" s="254">
        <f>tbl_明細[[#This Row],[仕入価格]]*tbl_明細[[#This Row],[数量]]+tbl_明細[[#This Row],[仕入価格（M)]]*tbl_明細[[#This Row],[数量（M)]]</f>
        <v>1300</v>
      </c>
      <c r="Y15" s="254">
        <f>tbl_明細[[#This Row],[販売価格（売値）]]*tbl_明細[[#This Row],[数量]]+tbl_明細[[#This Row],[販売価格（M)]]*tbl_明細[[#This Row],[数量（M)]]</f>
        <v>1300</v>
      </c>
      <c r="Z15" s="257">
        <f>_xlfn.XLOOKUP(tbl_明細[[#This Row],[案件番号]],tbl_案件追跡[案件番号],tbl_案件追跡[受注],"",0,1)</f>
        <v>46042</v>
      </c>
      <c r="AA15" s="228">
        <f>tbl_明細[[#This Row],[販売価格（売値）]]+tbl_明細[[#This Row],[販売価格（M)]]</f>
        <v>1300</v>
      </c>
      <c r="AB15" s="261">
        <f>tbl_明細[[#This Row],[販売価格（売値）]]*1.08+tbl_明細[[#This Row],[販売価格（M)]]*1.08</f>
        <v>1404</v>
      </c>
    </row>
    <row r="16" spans="1:28">
      <c r="A16" s="70" t="s">
        <v>1132</v>
      </c>
      <c r="B16" s="77">
        <f>IF(ISBLANK(tbl_明細[[#This Row],[案件番号]]),"",COUNTIFS($A$3:A16,tbl_明細[[#This Row],[案件番号]],$AA$3:AA16,"&gt;0"))</f>
        <v>1</v>
      </c>
      <c r="C16" s="71">
        <f>COUNTIFS($A$3:A16,tbl_明細[[#This Row],[案件番号]],$F$3:F16,tbl_明細[[#This Row],[仕入先]])</f>
        <v>1</v>
      </c>
      <c r="D16" s="77" t="str">
        <f>_xlfn.XLOOKUP(tbl_明細[[#This Row],[案件番号]],tbl_採番[案件番号],tbl_採番[顧客],"",0,1)</f>
        <v>ホロニック（ガーデンシティクラブ大阪）</v>
      </c>
      <c r="E16" s="71" t="s">
        <v>1131</v>
      </c>
      <c r="F16" s="118" t="str">
        <f>IF(ISBLANK(tbl_明細[[#This Row],[仕入先（M)]]),_xlfn.XLOOKUP(tbl_明細[[#This Row],[商品ID]],商品マスタ[商品連番],商品マスタ[仕入先],"",0,1),tbl_明細[[#This Row],[仕入先（M)]])</f>
        <v>あぷかの森</v>
      </c>
      <c r="G16" s="112" t="str">
        <f>IF(ISBLANK(tbl_明細[[#This Row],[商品名（M)]]),_xlfn.XLOOKUP(tbl_明細[[#This Row],[商品ID]],商品マスタ[商品連番],商品マスタ[商品名],"",0,),tbl_明細[[#This Row],[商品名（M)]])</f>
        <v>エゾシカ　ロース</v>
      </c>
      <c r="H16" s="80">
        <f>IF(ISBLANK(tbl_明細[[#This Row],[仕入価格（M)]]),_xlfn.XLOOKUP(tbl_明細[[#This Row],[商品ID]],商品マスタ[商品連番],商品マスタ[仕入
単価],"",0,1),tbl_明細[[#This Row],[仕入価格（M)]])</f>
        <v>4400</v>
      </c>
      <c r="I16" s="80">
        <f>_xlfn.XLOOKUP(tbl_明細[[#This Row],[商品ID]],商品マスタ[商品連番],商品マスタ[国内定価
（15％）],"",0,1)</f>
        <v>5180</v>
      </c>
      <c r="J16" s="85">
        <v>5300</v>
      </c>
      <c r="K16" s="71">
        <v>5</v>
      </c>
      <c r="L16" s="77" t="str">
        <f>_xlfn.XLOOKUP(tbl_明細[[#This Row],[商品ID]],商品マスタ[商品連番],商品マスタ[単位],"",0,1)</f>
        <v>kg</v>
      </c>
      <c r="M16" s="249">
        <f>1-tbl_明細[[#This Row],[仕入価格]]/tbl_明細[[#This Row],[販売価格（売値）]]</f>
        <v>0.16981132075471694</v>
      </c>
      <c r="N16" s="189">
        <f>_xlfn.XLOOKUP(tbl_明細[[#This Row],[商品ID]],商品マスタ[商品連番],商品マスタ[税率],"",0,1)</f>
        <v>0.08</v>
      </c>
      <c r="O16" s="120"/>
      <c r="P16" s="71"/>
      <c r="Q16" s="81"/>
      <c r="R16" s="81"/>
      <c r="S16" s="71"/>
      <c r="T16" s="71"/>
      <c r="U16" s="79"/>
      <c r="V16" s="79"/>
      <c r="W16" s="113"/>
      <c r="X16" s="254">
        <f>tbl_明細[[#This Row],[仕入価格]]*tbl_明細[[#This Row],[数量]]+tbl_明細[[#This Row],[仕入価格（M)]]*tbl_明細[[#This Row],[数量（M)]]</f>
        <v>22000</v>
      </c>
      <c r="Y16" s="254">
        <f>tbl_明細[[#This Row],[販売価格（売値）]]*tbl_明細[[#This Row],[数量]]+tbl_明細[[#This Row],[販売価格（M)]]*tbl_明細[[#This Row],[数量（M)]]</f>
        <v>26500</v>
      </c>
      <c r="Z16" s="257">
        <f>_xlfn.XLOOKUP(tbl_明細[[#This Row],[案件番号]],tbl_案件追跡[案件番号],tbl_案件追跡[受注],"",0,1)</f>
        <v>46045</v>
      </c>
      <c r="AA16" s="228">
        <f>tbl_明細[[#This Row],[販売価格（売値）]]+tbl_明細[[#This Row],[販売価格（M)]]</f>
        <v>5300</v>
      </c>
      <c r="AB16" s="261">
        <f>tbl_明細[[#This Row],[販売価格（売値）]]*1.08+tbl_明細[[#This Row],[販売価格（M)]]*1.08</f>
        <v>5724</v>
      </c>
    </row>
    <row r="17" spans="1:28">
      <c r="A17" s="70" t="s">
        <v>1132</v>
      </c>
      <c r="B17" s="77">
        <f>IF(ISBLANK(tbl_明細[[#This Row],[案件番号]]),"",COUNTIFS($A$3:A17,tbl_明細[[#This Row],[案件番号]],$AA$3:AA17,"&gt;0"))</f>
        <v>2</v>
      </c>
      <c r="C17" s="71">
        <f>COUNTIFS($A$3:A17,tbl_明細[[#This Row],[案件番号]],$F$3:F17,tbl_明細[[#This Row],[仕入先]])</f>
        <v>2</v>
      </c>
      <c r="D17" s="77" t="str">
        <f>_xlfn.XLOOKUP(tbl_明細[[#This Row],[案件番号]],tbl_採番[案件番号],tbl_採番[顧客],"",0,1)</f>
        <v>ホロニック（ガーデンシティクラブ大阪）</v>
      </c>
      <c r="E17" s="71" t="s">
        <v>1091</v>
      </c>
      <c r="F17" s="118" t="str">
        <f>IF(ISBLANK(tbl_明細[[#This Row],[仕入先（M)]]),_xlfn.XLOOKUP(tbl_明細[[#This Row],[商品ID]],商品マスタ[商品連番],商品マスタ[仕入先],"",0,1),tbl_明細[[#This Row],[仕入先（M)]])</f>
        <v>あぷかの森</v>
      </c>
      <c r="G17" s="112" t="str">
        <f>IF(ISBLANK(tbl_明細[[#This Row],[商品名（M)]]),_xlfn.XLOOKUP(tbl_明細[[#This Row],[商品ID]],商品マスタ[商品連番],商品マスタ[商品名],"",0,),tbl_明細[[#This Row],[商品名（M)]])</f>
        <v>送料（大阪）</v>
      </c>
      <c r="H17" s="80">
        <f>IF(ISBLANK(tbl_明細[[#This Row],[仕入価格（M)]]),_xlfn.XLOOKUP(tbl_明細[[#This Row],[商品ID]],商品マスタ[商品連番],商品マスタ[仕入
単価],"",0,1),tbl_明細[[#This Row],[仕入価格（M)]])</f>
        <v>2060</v>
      </c>
      <c r="I17" s="80" t="str">
        <f>_xlfn.XLOOKUP(tbl_明細[[#This Row],[商品ID]],商品マスタ[商品連番],商品マスタ[国内定価
（15％）],"",0,1)</f>
        <v/>
      </c>
      <c r="J17" s="85"/>
      <c r="K17" s="71"/>
      <c r="L17" s="77" t="str">
        <f>_xlfn.XLOOKUP(tbl_明細[[#This Row],[商品ID]],商品マスタ[商品連番],商品マスタ[単位],"",0,1)</f>
        <v/>
      </c>
      <c r="M17" s="249" t="e">
        <f>1-tbl_明細[[#This Row],[仕入価格]]/tbl_明細[[#This Row],[販売価格（売値）]]</f>
        <v>#DIV/0!</v>
      </c>
      <c r="N17" s="189" t="str">
        <f>_xlfn.XLOOKUP(tbl_明細[[#This Row],[商品ID]],商品マスタ[商品連番],商品マスタ[税率],"",0,1)</f>
        <v/>
      </c>
      <c r="O17" s="120" t="s">
        <v>1046</v>
      </c>
      <c r="P17" s="71" t="s">
        <v>1108</v>
      </c>
      <c r="Q17" s="81">
        <v>2060</v>
      </c>
      <c r="R17" s="81">
        <v>2060</v>
      </c>
      <c r="S17" s="71">
        <v>1</v>
      </c>
      <c r="T17" s="71" t="s">
        <v>1095</v>
      </c>
      <c r="U17" s="79">
        <v>0.1</v>
      </c>
      <c r="V17" s="79"/>
      <c r="W17" s="113"/>
      <c r="X17" s="254">
        <f>tbl_明細[[#This Row],[仕入価格]]*tbl_明細[[#This Row],[数量]]+tbl_明細[[#This Row],[仕入価格（M)]]*tbl_明細[[#This Row],[数量（M)]]</f>
        <v>2060</v>
      </c>
      <c r="Y17" s="254">
        <f>tbl_明細[[#This Row],[販売価格（売値）]]*tbl_明細[[#This Row],[数量]]+tbl_明細[[#This Row],[販売価格（M)]]*tbl_明細[[#This Row],[数量（M)]]</f>
        <v>2060</v>
      </c>
      <c r="Z17" s="257">
        <f>_xlfn.XLOOKUP(tbl_明細[[#This Row],[案件番号]],tbl_案件追跡[案件番号],tbl_案件追跡[受注],"",0,1)</f>
        <v>46045</v>
      </c>
      <c r="AA17" s="228">
        <f>tbl_明細[[#This Row],[販売価格（売値）]]+tbl_明細[[#This Row],[販売価格（M)]]</f>
        <v>2060</v>
      </c>
      <c r="AB17" s="261">
        <f>tbl_明細[[#This Row],[販売価格（売値）]]*1.08+tbl_明細[[#This Row],[販売価格（M)]]*1.08</f>
        <v>2224.8000000000002</v>
      </c>
    </row>
    <row r="18" spans="1:28">
      <c r="A18" s="70" t="s">
        <v>1134</v>
      </c>
      <c r="B18" s="77">
        <f>IF(ISBLANK(tbl_明細[[#This Row],[案件番号]]),"",COUNTIFS($A$3:A18,tbl_明細[[#This Row],[案件番号]],$AA$3:AA18,"&gt;0"))</f>
        <v>1</v>
      </c>
      <c r="C18" s="71">
        <f>COUNTIFS($A$3:A18,tbl_明細[[#This Row],[案件番号]],$F$3:F18,tbl_明細[[#This Row],[仕入先]])</f>
        <v>1</v>
      </c>
      <c r="D18" s="77" t="str">
        <f>_xlfn.XLOOKUP(tbl_明細[[#This Row],[案件番号]],tbl_採番[案件番号],tbl_採番[顧客],"",0,1)</f>
        <v>日新堂株式会社</v>
      </c>
      <c r="E18" s="71" t="s">
        <v>1135</v>
      </c>
      <c r="F18" s="118" t="str">
        <f>IF(ISBLANK(tbl_明細[[#This Row],[仕入先（M)]]),_xlfn.XLOOKUP(tbl_明細[[#This Row],[商品ID]],商品マスタ[商品連番],商品マスタ[仕入先],"",0,1),tbl_明細[[#This Row],[仕入先（M)]])</f>
        <v>狩人の蔵</v>
      </c>
      <c r="G18" s="112" t="str">
        <f>IF(ISBLANK(tbl_明細[[#This Row],[商品名（M)]]),_xlfn.XLOOKUP(tbl_明細[[#This Row],[商品ID]],商品マスタ[商品連番],商品マスタ[商品名],"",0,),tbl_明細[[#This Row],[商品名（M)]])</f>
        <v>熊掌（後脚）</v>
      </c>
      <c r="H18" s="80">
        <f>IF(ISBLANK(tbl_明細[[#This Row],[仕入価格（M)]]),_xlfn.XLOOKUP(tbl_明細[[#This Row],[商品ID]],商品マスタ[商品連番],商品マスタ[仕入
単価],"",0,1),tbl_明細[[#This Row],[仕入価格（M)]])</f>
        <v>8000</v>
      </c>
      <c r="I18" s="80">
        <f>_xlfn.XLOOKUP(tbl_明細[[#This Row],[商品ID]],商品マスタ[商品連番],商品マスタ[国内定価
（15％）],"",0,1)</f>
        <v>10360</v>
      </c>
      <c r="J18" s="85">
        <v>18000</v>
      </c>
      <c r="K18" s="71">
        <v>1.363</v>
      </c>
      <c r="L18" s="77" t="str">
        <f>_xlfn.XLOOKUP(tbl_明細[[#This Row],[商品ID]],商品マスタ[商品連番],商品マスタ[単位],"",0,1)</f>
        <v>kg</v>
      </c>
      <c r="M18" s="249">
        <f>1-tbl_明細[[#This Row],[仕入価格]]/tbl_明細[[#This Row],[販売価格（売値）]]</f>
        <v>0.55555555555555558</v>
      </c>
      <c r="N18" s="189">
        <f>_xlfn.XLOOKUP(tbl_明細[[#This Row],[商品ID]],商品マスタ[商品連番],商品マスタ[税率],"",0,1)</f>
        <v>0.08</v>
      </c>
      <c r="O18" s="120"/>
      <c r="P18" s="71"/>
      <c r="Q18" s="81"/>
      <c r="R18" s="81"/>
      <c r="S18" s="71"/>
      <c r="T18" s="71"/>
      <c r="U18" s="79"/>
      <c r="V18" s="79"/>
      <c r="W18" s="113"/>
      <c r="X18" s="254">
        <f>tbl_明細[[#This Row],[仕入価格]]*tbl_明細[[#This Row],[数量]]+tbl_明細[[#This Row],[仕入価格（M)]]*tbl_明細[[#This Row],[数量（M)]]</f>
        <v>10904</v>
      </c>
      <c r="Y18" s="254">
        <f>tbl_明細[[#This Row],[販売価格（売値）]]*tbl_明細[[#This Row],[数量]]+tbl_明細[[#This Row],[販売価格（M)]]*tbl_明細[[#This Row],[数量（M)]]</f>
        <v>24534</v>
      </c>
      <c r="Z18" s="257">
        <f>_xlfn.XLOOKUP(tbl_明細[[#This Row],[案件番号]],tbl_案件追跡[案件番号],tbl_案件追跡[受注],"",0,1)</f>
        <v>46048</v>
      </c>
      <c r="AA18" s="228">
        <f>tbl_明細[[#This Row],[販売価格（売値）]]+tbl_明細[[#This Row],[販売価格（M)]]</f>
        <v>18000</v>
      </c>
      <c r="AB18" s="261">
        <f>tbl_明細[[#This Row],[販売価格（売値）]]*1.08+tbl_明細[[#This Row],[販売価格（M)]]*1.08</f>
        <v>19440</v>
      </c>
    </row>
    <row r="19" spans="1:28">
      <c r="A19" s="70" t="s">
        <v>1134</v>
      </c>
      <c r="B19" s="77">
        <f>IF(ISBLANK(tbl_明細[[#This Row],[案件番号]]),"",COUNTIFS($A$3:A19,tbl_明細[[#This Row],[案件番号]],$AA$3:AA19,"&gt;0"))</f>
        <v>2</v>
      </c>
      <c r="C19" s="71">
        <f>COUNTIFS($A$3:A19,tbl_明細[[#This Row],[案件番号]],$F$3:F19,tbl_明細[[#This Row],[仕入先]])</f>
        <v>2</v>
      </c>
      <c r="D19" s="77" t="str">
        <f>_xlfn.XLOOKUP(tbl_明細[[#This Row],[案件番号]],tbl_採番[案件番号],tbl_採番[顧客],"",0,1)</f>
        <v>日新堂株式会社</v>
      </c>
      <c r="E19" s="71" t="s">
        <v>1135</v>
      </c>
      <c r="F19" s="118" t="str">
        <f>IF(ISBLANK(tbl_明細[[#This Row],[仕入先（M)]]),_xlfn.XLOOKUP(tbl_明細[[#This Row],[商品ID]],商品マスタ[商品連番],商品マスタ[仕入先],"",0,1),tbl_明細[[#This Row],[仕入先（M)]])</f>
        <v>狩人の蔵</v>
      </c>
      <c r="G19" s="112" t="str">
        <f>IF(ISBLANK(tbl_明細[[#This Row],[商品名（M)]]),_xlfn.XLOOKUP(tbl_明細[[#This Row],[商品ID]],商品マスタ[商品連番],商品マスタ[商品名],"",0,),tbl_明細[[#This Row],[商品名（M)]])</f>
        <v>熊掌（後脚）</v>
      </c>
      <c r="H19" s="80">
        <f>IF(ISBLANK(tbl_明細[[#This Row],[仕入価格（M)]]),_xlfn.XLOOKUP(tbl_明細[[#This Row],[商品ID]],商品マスタ[商品連番],商品マスタ[仕入
単価],"",0,1),tbl_明細[[#This Row],[仕入価格（M)]])</f>
        <v>8000</v>
      </c>
      <c r="I19" s="80">
        <f>_xlfn.XLOOKUP(tbl_明細[[#This Row],[商品ID]],商品マスタ[商品連番],商品マスタ[国内定価
（15％）],"",0,1)</f>
        <v>10360</v>
      </c>
      <c r="J19" s="85">
        <v>18000</v>
      </c>
      <c r="K19" s="71">
        <v>1.32</v>
      </c>
      <c r="L19" s="77" t="str">
        <f>_xlfn.XLOOKUP(tbl_明細[[#This Row],[商品ID]],商品マスタ[商品連番],商品マスタ[単位],"",0,1)</f>
        <v>kg</v>
      </c>
      <c r="M19" s="249">
        <f>1-tbl_明細[[#This Row],[仕入価格]]/tbl_明細[[#This Row],[販売価格（売値）]]</f>
        <v>0.55555555555555558</v>
      </c>
      <c r="N19" s="189">
        <f>_xlfn.XLOOKUP(tbl_明細[[#This Row],[商品ID]],商品マスタ[商品連番],商品マスタ[税率],"",0,1)</f>
        <v>0.08</v>
      </c>
      <c r="O19" s="120"/>
      <c r="P19" s="71"/>
      <c r="Q19" s="81"/>
      <c r="R19" s="81"/>
      <c r="S19" s="71"/>
      <c r="T19" s="71"/>
      <c r="U19" s="79"/>
      <c r="V19" s="79"/>
      <c r="W19" s="113"/>
      <c r="X19" s="254">
        <f>tbl_明細[[#This Row],[仕入価格]]*tbl_明細[[#This Row],[数量]]+tbl_明細[[#This Row],[仕入価格（M)]]*tbl_明細[[#This Row],[数量（M)]]</f>
        <v>10560</v>
      </c>
      <c r="Y19" s="254">
        <f>tbl_明細[[#This Row],[販売価格（売値）]]*tbl_明細[[#This Row],[数量]]+tbl_明細[[#This Row],[販売価格（M)]]*tbl_明細[[#This Row],[数量（M)]]</f>
        <v>23760</v>
      </c>
      <c r="Z19" s="257">
        <f>_xlfn.XLOOKUP(tbl_明細[[#This Row],[案件番号]],tbl_案件追跡[案件番号],tbl_案件追跡[受注],"",0,1)</f>
        <v>46048</v>
      </c>
      <c r="AA19" s="228">
        <f>tbl_明細[[#This Row],[販売価格（売値）]]+tbl_明細[[#This Row],[販売価格（M)]]</f>
        <v>18000</v>
      </c>
      <c r="AB19" s="261">
        <f>tbl_明細[[#This Row],[販売価格（売値）]]*1.08+tbl_明細[[#This Row],[販売価格（M)]]*1.08</f>
        <v>19440</v>
      </c>
    </row>
    <row r="20" spans="1:28">
      <c r="A20" s="70" t="s">
        <v>1134</v>
      </c>
      <c r="B20" s="77">
        <f>IF(ISBLANK(tbl_明細[[#This Row],[案件番号]]),"",COUNTIFS($A$3:A20,tbl_明細[[#This Row],[案件番号]],$AA$3:AA20,"&gt;0"))</f>
        <v>3</v>
      </c>
      <c r="C20" s="71">
        <f>COUNTIFS($A$3:A20,tbl_明細[[#This Row],[案件番号]],$F$3:F20,tbl_明細[[#This Row],[仕入先]])</f>
        <v>3</v>
      </c>
      <c r="D20" s="77" t="str">
        <f>_xlfn.XLOOKUP(tbl_明細[[#This Row],[案件番号]],tbl_採番[案件番号],tbl_採番[顧客],"",0,1)</f>
        <v>日新堂株式会社</v>
      </c>
      <c r="E20" s="71" t="s">
        <v>1091</v>
      </c>
      <c r="F20" s="118" t="str">
        <f>IF(ISBLANK(tbl_明細[[#This Row],[仕入先（M)]]),_xlfn.XLOOKUP(tbl_明細[[#This Row],[商品ID]],商品マスタ[商品連番],商品マスタ[仕入先],"",0,1),tbl_明細[[#This Row],[仕入先（M)]])</f>
        <v>狩人の蔵</v>
      </c>
      <c r="G20" s="112" t="str">
        <f>IF(ISBLANK(tbl_明細[[#This Row],[商品名（M)]]),_xlfn.XLOOKUP(tbl_明細[[#This Row],[商品ID]],商品マスタ[商品連番],商品マスタ[商品名],"",0,),tbl_明細[[#This Row],[商品名（M)]])</f>
        <v>送料（北海道）</v>
      </c>
      <c r="H20" s="80">
        <f>IF(ISBLANK(tbl_明細[[#This Row],[仕入価格（M)]]),_xlfn.XLOOKUP(tbl_明細[[#This Row],[商品ID]],商品マスタ[商品連番],商品マスタ[仕入
単価],"",0,1),tbl_明細[[#This Row],[仕入価格（M)]])</f>
        <v>1050</v>
      </c>
      <c r="I20" s="80" t="str">
        <f>_xlfn.XLOOKUP(tbl_明細[[#This Row],[商品ID]],商品マスタ[商品連番],商品マスタ[国内定価
（15％）],"",0,1)</f>
        <v/>
      </c>
      <c r="J20" s="85"/>
      <c r="K20" s="71"/>
      <c r="L20" s="77" t="str">
        <f>_xlfn.XLOOKUP(tbl_明細[[#This Row],[商品ID]],商品マスタ[商品連番],商品マスタ[単位],"",0,1)</f>
        <v/>
      </c>
      <c r="M20" s="249" t="e">
        <f>1-tbl_明細[[#This Row],[仕入価格]]/tbl_明細[[#This Row],[販売価格（売値）]]</f>
        <v>#DIV/0!</v>
      </c>
      <c r="N20" s="189" t="str">
        <f>_xlfn.XLOOKUP(tbl_明細[[#This Row],[商品ID]],商品マスタ[商品連番],商品マスタ[税率],"",0,1)</f>
        <v/>
      </c>
      <c r="O20" s="120" t="s">
        <v>1103</v>
      </c>
      <c r="P20" s="71" t="s">
        <v>1098</v>
      </c>
      <c r="Q20" s="81">
        <v>1050</v>
      </c>
      <c r="R20" s="81">
        <v>1100</v>
      </c>
      <c r="S20" s="71">
        <v>1</v>
      </c>
      <c r="T20" s="71" t="s">
        <v>1095</v>
      </c>
      <c r="U20" s="79">
        <v>0.1</v>
      </c>
      <c r="V20" s="79"/>
      <c r="W20" s="113"/>
      <c r="X20" s="254">
        <f>tbl_明細[[#This Row],[仕入価格]]*tbl_明細[[#This Row],[数量]]+tbl_明細[[#This Row],[仕入価格（M)]]*tbl_明細[[#This Row],[数量（M)]]</f>
        <v>1050</v>
      </c>
      <c r="Y20" s="254">
        <f>tbl_明細[[#This Row],[販売価格（売値）]]*tbl_明細[[#This Row],[数量]]+tbl_明細[[#This Row],[販売価格（M)]]*tbl_明細[[#This Row],[数量（M)]]</f>
        <v>1100</v>
      </c>
      <c r="Z20" s="257">
        <f>_xlfn.XLOOKUP(tbl_明細[[#This Row],[案件番号]],tbl_案件追跡[案件番号],tbl_案件追跡[受注],"",0,1)</f>
        <v>46048</v>
      </c>
      <c r="AA20" s="228">
        <f>tbl_明細[[#This Row],[販売価格（売値）]]+tbl_明細[[#This Row],[販売価格（M)]]</f>
        <v>1100</v>
      </c>
      <c r="AB20" s="261">
        <f>tbl_明細[[#This Row],[販売価格（売値）]]*1.08+tbl_明細[[#This Row],[販売価格（M)]]*1.08</f>
        <v>1188</v>
      </c>
    </row>
    <row r="21" spans="1:28">
      <c r="A21" s="70" t="s">
        <v>1136</v>
      </c>
      <c r="B21" s="77">
        <f>IF(ISBLANK(tbl_明細[[#This Row],[案件番号]]),"",COUNTIFS($A$3:A21,tbl_明細[[#This Row],[案件番号]],$AA$3:AA21,"&gt;0"))</f>
        <v>1</v>
      </c>
      <c r="C21" s="71">
        <f>COUNTIFS($A$3:A21,tbl_明細[[#This Row],[案件番号]],$F$3:F21,tbl_明細[[#This Row],[仕入先]])</f>
        <v>1</v>
      </c>
      <c r="D21" s="77" t="str">
        <f>_xlfn.XLOOKUP(tbl_明細[[#This Row],[案件番号]],tbl_採番[案件番号],tbl_採番[顧客],"",0,1)</f>
        <v>雲鶴</v>
      </c>
      <c r="E21" s="71" t="s">
        <v>1137</v>
      </c>
      <c r="F21" s="118" t="str">
        <f>IF(ISBLANK(tbl_明細[[#This Row],[仕入先（M)]]),_xlfn.XLOOKUP(tbl_明細[[#This Row],[商品ID]],商品マスタ[商品連番],商品マスタ[仕入先],"",0,1),tbl_明細[[#This Row],[仕入先（M)]])</f>
        <v>GOODGOOD</v>
      </c>
      <c r="G21" s="112" t="str">
        <f>IF(ISBLANK(tbl_明細[[#This Row],[商品名（M)]]),_xlfn.XLOOKUP(tbl_明細[[#This Row],[商品ID]],商品マスタ[商品連番],商品マスタ[商品名],"",0,),tbl_明細[[#This Row],[商品名（M)]])</f>
        <v>阿蘇赤身和牛　ミンチ（部位指定なし）</v>
      </c>
      <c r="H21" s="80">
        <f>IF(ISBLANK(tbl_明細[[#This Row],[仕入価格（M)]]),_xlfn.XLOOKUP(tbl_明細[[#This Row],[商品ID]],商品マスタ[商品連番],商品マスタ[仕入
単価],"",0,1),tbl_明細[[#This Row],[仕入価格（M)]])</f>
        <v>4000</v>
      </c>
      <c r="I21" s="80">
        <f>_xlfn.XLOOKUP(tbl_明細[[#This Row],[商品ID]],商品マスタ[商品連番],商品マスタ[国内定価
（15％）],"",0,1)</f>
        <v>4710</v>
      </c>
      <c r="J21" s="85">
        <v>5000</v>
      </c>
      <c r="K21" s="71">
        <v>2</v>
      </c>
      <c r="L21" s="77" t="str">
        <f>_xlfn.XLOOKUP(tbl_明細[[#This Row],[商品ID]],商品マスタ[商品連番],商品マスタ[単位],"",0,1)</f>
        <v>kg</v>
      </c>
      <c r="M21" s="249">
        <f>1-tbl_明細[[#This Row],[仕入価格]]/tbl_明細[[#This Row],[販売価格（売値）]]</f>
        <v>0.19999999999999996</v>
      </c>
      <c r="N21" s="189">
        <f>_xlfn.XLOOKUP(tbl_明細[[#This Row],[商品ID]],商品マスタ[商品連番],商品マスタ[税率],"",0,1)</f>
        <v>0.08</v>
      </c>
      <c r="O21" s="120"/>
      <c r="P21" s="71"/>
      <c r="Q21" s="81"/>
      <c r="R21" s="81"/>
      <c r="S21" s="71"/>
      <c r="T21" s="71"/>
      <c r="U21" s="79"/>
      <c r="V21" s="79"/>
      <c r="W21" s="113"/>
      <c r="X21" s="254">
        <f>tbl_明細[[#This Row],[仕入価格]]*tbl_明細[[#This Row],[数量]]+tbl_明細[[#This Row],[仕入価格（M)]]*tbl_明細[[#This Row],[数量（M)]]</f>
        <v>8000</v>
      </c>
      <c r="Y21" s="254">
        <f>tbl_明細[[#This Row],[販売価格（売値）]]*tbl_明細[[#This Row],[数量]]+tbl_明細[[#This Row],[販売価格（M)]]*tbl_明細[[#This Row],[数量（M)]]</f>
        <v>10000</v>
      </c>
      <c r="Z21" s="257">
        <f>_xlfn.XLOOKUP(tbl_明細[[#This Row],[案件番号]],tbl_案件追跡[案件番号],tbl_案件追跡[受注],"",0,1)</f>
        <v>46045</v>
      </c>
      <c r="AA21" s="228">
        <f>tbl_明細[[#This Row],[販売価格（売値）]]+tbl_明細[[#This Row],[販売価格（M)]]</f>
        <v>5000</v>
      </c>
      <c r="AB21" s="261">
        <f>tbl_明細[[#This Row],[販売価格（売値）]]*1.08+tbl_明細[[#This Row],[販売価格（M)]]*1.08</f>
        <v>5400</v>
      </c>
    </row>
    <row r="22" spans="1:28">
      <c r="A22" s="70" t="s">
        <v>1516</v>
      </c>
      <c r="B22" s="77">
        <f>IF(ISBLANK(tbl_明細[[#This Row],[案件番号]]),"",COUNTIFS($A$3:A22,tbl_明細[[#This Row],[案件番号]],$AA$3:AA22,"&gt;0"))</f>
        <v>0</v>
      </c>
      <c r="C22" s="71">
        <f>COUNTIFS($A$3:A22,tbl_明細[[#This Row],[案件番号]],$F$3:F22,tbl_明細[[#This Row],[仕入先]])</f>
        <v>1</v>
      </c>
      <c r="D22" s="77" t="str">
        <f>_xlfn.XLOOKUP(tbl_明細[[#This Row],[案件番号]],tbl_採番[案件番号],tbl_採番[顧客],"",0,1)</f>
        <v>オーセントホテルズ株式会社</v>
      </c>
      <c r="E22" s="71"/>
      <c r="F22" s="118" t="str">
        <f>IF(ISBLANK(tbl_明細[[#This Row],[仕入先（M)]]),_xlfn.XLOOKUP(tbl_明細[[#This Row],[商品ID]],商品マスタ[商品連番],商品マスタ[仕入先],"",0,1),tbl_明細[[#This Row],[仕入先（M)]])</f>
        <v>あぷかの森</v>
      </c>
      <c r="G22" s="112" t="str">
        <f>IF(ISBLANK(tbl_明細[[#This Row],[商品名（M)]]),_xlfn.XLOOKUP(tbl_明細[[#This Row],[商品ID]],商品マスタ[商品連番],商品マスタ[商品名],"",0,),tbl_明細[[#This Row],[商品名（M)]])</f>
        <v>鹿肉サンプル（ロース、内もも）</v>
      </c>
      <c r="H22" s="80">
        <f>IF(ISBLANK(tbl_明細[[#This Row],[仕入価格（M)]]),_xlfn.XLOOKUP(tbl_明細[[#This Row],[商品ID]],商品マスタ[商品連番],商品マスタ[仕入
単価],"",0,1),tbl_明細[[#This Row],[仕入価格（M)]])</f>
        <v>0</v>
      </c>
      <c r="I22" s="80" t="str">
        <f>_xlfn.XLOOKUP(tbl_明細[[#This Row],[商品ID]],商品マスタ[商品連番],商品マスタ[国内定価
（15％）],"",0,1)</f>
        <v/>
      </c>
      <c r="J22" s="85">
        <v>0</v>
      </c>
      <c r="K22" s="71"/>
      <c r="L22" s="77" t="str">
        <f>_xlfn.XLOOKUP(tbl_明細[[#This Row],[商品ID]],商品マスタ[商品連番],商品マスタ[単位],"",0,1)</f>
        <v/>
      </c>
      <c r="M22" s="249" t="e">
        <f>1-tbl_明細[[#This Row],[仕入価格]]/tbl_明細[[#This Row],[販売価格（売値）]]</f>
        <v>#DIV/0!</v>
      </c>
      <c r="N22" s="189" t="str">
        <f>_xlfn.XLOOKUP(tbl_明細[[#This Row],[商品ID]],商品マスタ[商品連番],商品マスタ[税率],"",0,1)</f>
        <v/>
      </c>
      <c r="O22" s="120" t="s">
        <v>1046</v>
      </c>
      <c r="P22" s="71" t="s">
        <v>1776</v>
      </c>
      <c r="Q22" s="81">
        <v>0</v>
      </c>
      <c r="R22" s="81">
        <v>0</v>
      </c>
      <c r="S22" s="71">
        <v>1</v>
      </c>
      <c r="T22" s="71" t="s">
        <v>1095</v>
      </c>
      <c r="U22" s="79">
        <v>0.1</v>
      </c>
      <c r="V22" s="79"/>
      <c r="W22" s="113"/>
      <c r="X22" s="254">
        <f>tbl_明細[[#This Row],[仕入価格]]*tbl_明細[[#This Row],[数量]]+tbl_明細[[#This Row],[仕入価格（M)]]*tbl_明細[[#This Row],[数量（M)]]</f>
        <v>0</v>
      </c>
      <c r="Y22" s="254">
        <f>tbl_明細[[#This Row],[販売価格（売値）]]*tbl_明細[[#This Row],[数量]]+tbl_明細[[#This Row],[販売価格（M)]]*tbl_明細[[#This Row],[数量（M)]]</f>
        <v>0</v>
      </c>
      <c r="Z22" s="257">
        <f>_xlfn.XLOOKUP(tbl_明細[[#This Row],[案件番号]],tbl_案件追跡[案件番号],tbl_案件追跡[受注],"",0,1)</f>
        <v>46049</v>
      </c>
      <c r="AA22" s="228">
        <f>tbl_明細[[#This Row],[販売価格（売値）]]+tbl_明細[[#This Row],[販売価格（M)]]</f>
        <v>0</v>
      </c>
      <c r="AB22" s="261">
        <f>tbl_明細[[#This Row],[販売価格（売値）]]*1.08+tbl_明細[[#This Row],[販売価格（M)]]*1.08</f>
        <v>0</v>
      </c>
    </row>
    <row r="23" spans="1:28">
      <c r="A23" s="73" t="s">
        <v>1844</v>
      </c>
      <c r="B23" s="77">
        <f>IF(ISBLANK(tbl_明細[[#This Row],[案件番号]]),"",COUNTIFS($A$3:A23,tbl_明細[[#This Row],[案件番号]],$AA$3:AA23,"&gt;0"))</f>
        <v>1</v>
      </c>
      <c r="C23" s="71">
        <f>COUNTIFS($A$3:A23,tbl_明細[[#This Row],[案件番号]],$F$3:F23,tbl_明細[[#This Row],[仕入先]])</f>
        <v>1</v>
      </c>
      <c r="D23" s="77" t="str">
        <f>_xlfn.XLOOKUP(tbl_明細[[#This Row],[案件番号]],tbl_採番[案件番号],tbl_採番[顧客],"",0,1)</f>
        <v>NISSHAビジネスサービス</v>
      </c>
      <c r="E23" s="71"/>
      <c r="F23" s="118" t="str">
        <f>IF(ISBLANK(tbl_明細[[#This Row],[仕入先（M)]]),_xlfn.XLOOKUP(tbl_明細[[#This Row],[商品ID]],商品マスタ[商品連番],商品マスタ[仕入先],"",0,1),tbl_明細[[#This Row],[仕入先（M)]])</f>
        <v>ベジタブルワークス</v>
      </c>
      <c r="G23" s="112" t="str">
        <f>IF(ISBLANK(tbl_明細[[#This Row],[商品名（M)]]),_xlfn.XLOOKUP(tbl_明細[[#This Row],[商品ID]],商品マスタ[商品連番],商品マスタ[商品名],"",0,),tbl_明細[[#This Row],[商品名（M)]])</f>
        <v>レトルトとうもろこし</v>
      </c>
      <c r="H23" s="80">
        <f>IF(ISBLANK(tbl_明細[[#This Row],[仕入価格（M)]]),_xlfn.XLOOKUP(tbl_明細[[#This Row],[商品ID]],商品マスタ[商品連番],商品マスタ[仕入
単価],"",0,1),tbl_明細[[#This Row],[仕入価格（M)]])</f>
        <v>310</v>
      </c>
      <c r="I23" s="80" t="str">
        <f>_xlfn.XLOOKUP(tbl_明細[[#This Row],[商品ID]],商品マスタ[商品連番],商品マスタ[国内定価
（15％）],"",0,1)</f>
        <v/>
      </c>
      <c r="J23" s="85"/>
      <c r="K23" s="71"/>
      <c r="L23" s="77" t="str">
        <f>_xlfn.XLOOKUP(tbl_明細[[#This Row],[商品ID]],商品マスタ[商品連番],商品マスタ[単位],"",0,1)</f>
        <v/>
      </c>
      <c r="M23" s="249" t="e">
        <f>1-tbl_明細[[#This Row],[仕入価格]]/tbl_明細[[#This Row],[販売価格（売値）]]</f>
        <v>#DIV/0!</v>
      </c>
      <c r="N23" s="189" t="str">
        <f>_xlfn.XLOOKUP(tbl_明細[[#This Row],[商品ID]],商品マスタ[商品連番],商品マスタ[税率],"",0,1)</f>
        <v/>
      </c>
      <c r="O23" s="120" t="s">
        <v>1857</v>
      </c>
      <c r="P23" s="71" t="s">
        <v>1858</v>
      </c>
      <c r="Q23" s="81">
        <v>310</v>
      </c>
      <c r="R23" s="81">
        <f>396/1.08</f>
        <v>366.66666666666663</v>
      </c>
      <c r="S23" s="71">
        <v>60</v>
      </c>
      <c r="T23" s="71" t="s">
        <v>1859</v>
      </c>
      <c r="U23" s="79">
        <v>0.08</v>
      </c>
      <c r="V23" s="79"/>
      <c r="W23" s="113"/>
      <c r="X23" s="254">
        <f>tbl_明細[[#This Row],[仕入価格]]*tbl_明細[[#This Row],[数量]]+tbl_明細[[#This Row],[仕入価格（M)]]*tbl_明細[[#This Row],[数量（M)]]</f>
        <v>18600</v>
      </c>
      <c r="Y23" s="254">
        <f>tbl_明細[[#This Row],[販売価格（売値）]]*tbl_明細[[#This Row],[数量]]+tbl_明細[[#This Row],[販売価格（M)]]*tbl_明細[[#This Row],[数量（M)]]</f>
        <v>21999.999999999996</v>
      </c>
      <c r="Z23" s="257">
        <f>_xlfn.XLOOKUP(tbl_明細[[#This Row],[案件番号]],tbl_案件追跡[案件番号],tbl_案件追跡[受注],"",0,1)</f>
        <v>46056</v>
      </c>
      <c r="AA23" s="228">
        <f>tbl_明細[[#This Row],[販売価格（売値）]]+tbl_明細[[#This Row],[販売価格（M)]]</f>
        <v>366.66666666666663</v>
      </c>
      <c r="AB23" s="261">
        <f>tbl_明細[[#This Row],[販売価格（売値）]]*1.08+tbl_明細[[#This Row],[販売価格（M)]]*1.08</f>
        <v>396</v>
      </c>
    </row>
    <row r="24" spans="1:28">
      <c r="A24" s="73" t="s">
        <v>1844</v>
      </c>
      <c r="B24" s="77">
        <f>IF(ISBLANK(tbl_明細[[#This Row],[案件番号]]),"",COUNTIFS($A$3:A24,tbl_明細[[#This Row],[案件番号]],$AA$3:AA24,"&gt;0"))</f>
        <v>1</v>
      </c>
      <c r="C24" s="71">
        <f>COUNTIFS($A$3:A24,tbl_明細[[#This Row],[案件番号]],$F$3:F24,tbl_明細[[#This Row],[仕入先]])</f>
        <v>2</v>
      </c>
      <c r="D24" s="77" t="str">
        <f>_xlfn.XLOOKUP(tbl_明細[[#This Row],[案件番号]],tbl_採番[案件番号],tbl_採番[顧客],"",0,1)</f>
        <v>NISSHAビジネスサービス</v>
      </c>
      <c r="E24" s="71"/>
      <c r="F24" s="118" t="str">
        <f>IF(ISBLANK(tbl_明細[[#This Row],[仕入先（M)]]),_xlfn.XLOOKUP(tbl_明細[[#This Row],[商品ID]],商品マスタ[商品連番],商品マスタ[仕入先],"",0,1),tbl_明細[[#This Row],[仕入先（M)]])</f>
        <v>ベジタブルワークス</v>
      </c>
      <c r="G24" s="112" t="str">
        <f>IF(ISBLANK(tbl_明細[[#This Row],[商品名（M)]]),_xlfn.XLOOKUP(tbl_明細[[#This Row],[商品ID]],商品マスタ[商品連番],商品マスタ[商品名],"",0,),tbl_明細[[#This Row],[商品名（M)]])</f>
        <v>レトルトとうもろこし　関西送料</v>
      </c>
      <c r="H24" s="80">
        <f>IF(ISBLANK(tbl_明細[[#This Row],[仕入価格（M)]]),_xlfn.XLOOKUP(tbl_明細[[#This Row],[商品ID]],商品マスタ[商品連番],商品マスタ[仕入
単価],"",0,1),tbl_明細[[#This Row],[仕入価格（M)]])</f>
        <v>1300</v>
      </c>
      <c r="I24" s="80" t="str">
        <f>_xlfn.XLOOKUP(tbl_明細[[#This Row],[商品ID]],商品マスタ[商品連番],商品マスタ[国内定価
（15％）],"",0,1)</f>
        <v/>
      </c>
      <c r="J24" s="85"/>
      <c r="K24" s="71"/>
      <c r="L24" s="77" t="str">
        <f>_xlfn.XLOOKUP(tbl_明細[[#This Row],[商品ID]],商品マスタ[商品連番],商品マスタ[単位],"",0,1)</f>
        <v/>
      </c>
      <c r="M24" s="249" t="e">
        <f>1-tbl_明細[[#This Row],[仕入価格]]/tbl_明細[[#This Row],[販売価格（売値）]]</f>
        <v>#DIV/0!</v>
      </c>
      <c r="N24" s="189" t="str">
        <f>_xlfn.XLOOKUP(tbl_明細[[#This Row],[商品ID]],商品マスタ[商品連番],商品マスタ[税率],"",0,1)</f>
        <v/>
      </c>
      <c r="O24" s="120" t="s">
        <v>1857</v>
      </c>
      <c r="P24" s="71" t="s">
        <v>1860</v>
      </c>
      <c r="Q24" s="81">
        <v>1300</v>
      </c>
      <c r="R24" s="81">
        <v>0</v>
      </c>
      <c r="S24" s="71">
        <v>1</v>
      </c>
      <c r="T24" s="71" t="s">
        <v>1095</v>
      </c>
      <c r="U24" s="79">
        <v>0.1</v>
      </c>
      <c r="V24" s="79"/>
      <c r="W24" s="113"/>
      <c r="X24" s="254">
        <f>tbl_明細[[#This Row],[仕入価格]]*tbl_明細[[#This Row],[数量]]+tbl_明細[[#This Row],[仕入価格（M)]]*tbl_明細[[#This Row],[数量（M)]]</f>
        <v>1300</v>
      </c>
      <c r="Y24" s="254">
        <f>tbl_明細[[#This Row],[販売価格（売値）]]*tbl_明細[[#This Row],[数量]]+tbl_明細[[#This Row],[販売価格（M)]]*tbl_明細[[#This Row],[数量（M)]]</f>
        <v>0</v>
      </c>
      <c r="Z24" s="257">
        <f>_xlfn.XLOOKUP(tbl_明細[[#This Row],[案件番号]],tbl_案件追跡[案件番号],tbl_案件追跡[受注],"",0,1)</f>
        <v>46056</v>
      </c>
      <c r="AA24" s="228">
        <f>tbl_明細[[#This Row],[販売価格（売値）]]+tbl_明細[[#This Row],[販売価格（M)]]</f>
        <v>0</v>
      </c>
      <c r="AB24" s="261">
        <f>tbl_明細[[#This Row],[販売価格（売値）]]*1.08+tbl_明細[[#This Row],[販売価格（M)]]*1.08</f>
        <v>0</v>
      </c>
    </row>
    <row r="25" spans="1:28">
      <c r="A25" s="73" t="s">
        <v>1844</v>
      </c>
      <c r="B25" s="77">
        <f>IF(ISBLANK(tbl_明細[[#This Row],[案件番号]]),"",COUNTIFS($A$3:A25,tbl_明細[[#This Row],[案件番号]],$AA$3:AA25,"&gt;0"))</f>
        <v>2</v>
      </c>
      <c r="C25" s="71">
        <f>COUNTIFS($A$3:A25,tbl_明細[[#This Row],[案件番号]],$F$3:F25,tbl_明細[[#This Row],[仕入先]])</f>
        <v>1</v>
      </c>
      <c r="D25" s="77" t="str">
        <f>_xlfn.XLOOKUP(tbl_明細[[#This Row],[案件番号]],tbl_採番[案件番号],tbl_採番[顧客],"",0,1)</f>
        <v>NISSHAビジネスサービス</v>
      </c>
      <c r="E25" s="71"/>
      <c r="F25" s="118" t="str">
        <f>IF(ISBLANK(tbl_明細[[#This Row],[仕入先（M)]]),_xlfn.XLOOKUP(tbl_明細[[#This Row],[商品ID]],商品マスタ[商品連番],商品マスタ[仕入先],"",0,1),tbl_明細[[#This Row],[仕入先（M)]])</f>
        <v>有限会社小林食品</v>
      </c>
      <c r="G25" s="112" t="str">
        <f>IF(ISBLANK(tbl_明細[[#This Row],[商品名（M)]]),_xlfn.XLOOKUP(tbl_明細[[#This Row],[商品ID]],商品マスタ[商品連番],商品マスタ[商品名],"",0,),tbl_明細[[#This Row],[商品名（M)]])</f>
        <v>オホーツク流氷ラーメン 　 かに（2食入り）</v>
      </c>
      <c r="H25" s="80">
        <f>IF(ISBLANK(tbl_明細[[#This Row],[仕入価格（M)]]),_xlfn.XLOOKUP(tbl_明細[[#This Row],[商品ID]],商品マスタ[商品連番],商品マスタ[仕入
単価],"",0,1),tbl_明細[[#This Row],[仕入価格（M)]])</f>
        <v>390</v>
      </c>
      <c r="I25" s="80" t="str">
        <f>_xlfn.XLOOKUP(tbl_明細[[#This Row],[商品ID]],商品マスタ[商品連番],商品マスタ[国内定価
（15％）],"",0,1)</f>
        <v/>
      </c>
      <c r="J25" s="85"/>
      <c r="K25" s="71"/>
      <c r="L25" s="77" t="str">
        <f>_xlfn.XLOOKUP(tbl_明細[[#This Row],[商品ID]],商品マスタ[商品連番],商品マスタ[単位],"",0,1)</f>
        <v/>
      </c>
      <c r="M25" s="249" t="e">
        <f>1-tbl_明細[[#This Row],[仕入価格]]/tbl_明細[[#This Row],[販売価格（売値）]]</f>
        <v>#DIV/0!</v>
      </c>
      <c r="N25" s="189" t="str">
        <f>_xlfn.XLOOKUP(tbl_明細[[#This Row],[商品ID]],商品マスタ[商品連番],商品マスタ[税率],"",0,1)</f>
        <v/>
      </c>
      <c r="O25" s="120" t="s">
        <v>1861</v>
      </c>
      <c r="P25" s="71" t="s">
        <v>1863</v>
      </c>
      <c r="Q25" s="81">
        <v>390</v>
      </c>
      <c r="R25" s="81">
        <f>518/1.08</f>
        <v>479.62962962962962</v>
      </c>
      <c r="S25" s="71">
        <v>16</v>
      </c>
      <c r="T25" s="71" t="s">
        <v>900</v>
      </c>
      <c r="U25" s="79">
        <v>0.08</v>
      </c>
      <c r="V25" s="79"/>
      <c r="W25" s="113"/>
      <c r="X25" s="254">
        <f>tbl_明細[[#This Row],[仕入価格]]*tbl_明細[[#This Row],[数量]]+tbl_明細[[#This Row],[仕入価格（M)]]*tbl_明細[[#This Row],[数量（M)]]</f>
        <v>6240</v>
      </c>
      <c r="Y25" s="254">
        <f>tbl_明細[[#This Row],[販売価格（売値）]]*tbl_明細[[#This Row],[数量]]+tbl_明細[[#This Row],[販売価格（M)]]*tbl_明細[[#This Row],[数量（M)]]</f>
        <v>7674.0740740740739</v>
      </c>
      <c r="Z25" s="257">
        <f>_xlfn.XLOOKUP(tbl_明細[[#This Row],[案件番号]],tbl_案件追跡[案件番号],tbl_案件追跡[受注],"",0,1)</f>
        <v>46056</v>
      </c>
      <c r="AA25" s="228">
        <f>tbl_明細[[#This Row],[販売価格（売値）]]+tbl_明細[[#This Row],[販売価格（M)]]</f>
        <v>479.62962962962962</v>
      </c>
      <c r="AB25" s="261">
        <f>tbl_明細[[#This Row],[販売価格（売値）]]*1.08+tbl_明細[[#This Row],[販売価格（M)]]*1.08</f>
        <v>518</v>
      </c>
    </row>
    <row r="26" spans="1:28">
      <c r="A26" s="73" t="s">
        <v>1844</v>
      </c>
      <c r="B26" s="77">
        <f>IF(ISBLANK(tbl_明細[[#This Row],[案件番号]]),"",COUNTIFS($A$3:A26,tbl_明細[[#This Row],[案件番号]],$AA$3:AA26,"&gt;0"))</f>
        <v>3</v>
      </c>
      <c r="C26" s="71">
        <f>COUNTIFS($A$3:A26,tbl_明細[[#This Row],[案件番号]],$F$3:F26,tbl_明細[[#This Row],[仕入先]])</f>
        <v>2</v>
      </c>
      <c r="D26" s="77" t="str">
        <f>_xlfn.XLOOKUP(tbl_明細[[#This Row],[案件番号]],tbl_採番[案件番号],tbl_採番[顧客],"",0,1)</f>
        <v>NISSHAビジネスサービス</v>
      </c>
      <c r="E26" s="71"/>
      <c r="F26" s="118" t="str">
        <f>IF(ISBLANK(tbl_明細[[#This Row],[仕入先（M)]]),_xlfn.XLOOKUP(tbl_明細[[#This Row],[商品ID]],商品マスタ[商品連番],商品マスタ[仕入先],"",0,1),tbl_明細[[#This Row],[仕入先（M)]])</f>
        <v>有限会社小林食品</v>
      </c>
      <c r="G26" s="112" t="str">
        <f>IF(ISBLANK(tbl_明細[[#This Row],[商品名（M)]]),_xlfn.XLOOKUP(tbl_明細[[#This Row],[商品ID]],商品マスタ[商品連番],商品マスタ[商品名],"",0,),tbl_明細[[#This Row],[商品名（M)]])</f>
        <v>オホーツク流氷ラーメン 　 ホタテ（2食入り）</v>
      </c>
      <c r="H26" s="80">
        <f>IF(ISBLANK(tbl_明細[[#This Row],[仕入価格（M)]]),_xlfn.XLOOKUP(tbl_明細[[#This Row],[商品ID]],商品マスタ[商品連番],商品マスタ[仕入
単価],"",0,1),tbl_明細[[#This Row],[仕入価格（M)]])</f>
        <v>390</v>
      </c>
      <c r="I26" s="80" t="str">
        <f>_xlfn.XLOOKUP(tbl_明細[[#This Row],[商品ID]],商品マスタ[商品連番],商品マスタ[国内定価
（15％）],"",0,1)</f>
        <v/>
      </c>
      <c r="J26" s="85"/>
      <c r="K26" s="71"/>
      <c r="L26" s="77" t="str">
        <f>_xlfn.XLOOKUP(tbl_明細[[#This Row],[商品ID]],商品マスタ[商品連番],商品マスタ[単位],"",0,1)</f>
        <v/>
      </c>
      <c r="M26" s="249" t="e">
        <f>1-tbl_明細[[#This Row],[仕入価格]]/tbl_明細[[#This Row],[販売価格（売値）]]</f>
        <v>#DIV/0!</v>
      </c>
      <c r="N26" s="189" t="str">
        <f>_xlfn.XLOOKUP(tbl_明細[[#This Row],[商品ID]],商品マスタ[商品連番],商品マスタ[税率],"",0,1)</f>
        <v/>
      </c>
      <c r="O26" s="120" t="s">
        <v>1861</v>
      </c>
      <c r="P26" s="71" t="s">
        <v>1864</v>
      </c>
      <c r="Q26" s="81">
        <v>390</v>
      </c>
      <c r="R26" s="81">
        <f>518/1.08</f>
        <v>479.62962962962962</v>
      </c>
      <c r="S26" s="71">
        <v>18</v>
      </c>
      <c r="T26" s="71" t="s">
        <v>900</v>
      </c>
      <c r="U26" s="79">
        <v>0.08</v>
      </c>
      <c r="V26" s="79"/>
      <c r="W26" s="113"/>
      <c r="X26" s="254">
        <f>tbl_明細[[#This Row],[仕入価格]]*tbl_明細[[#This Row],[数量]]+tbl_明細[[#This Row],[仕入価格（M)]]*tbl_明細[[#This Row],[数量（M)]]</f>
        <v>7020</v>
      </c>
      <c r="Y26" s="254">
        <f>tbl_明細[[#This Row],[販売価格（売値）]]*tbl_明細[[#This Row],[数量]]+tbl_明細[[#This Row],[販売価格（M)]]*tbl_明細[[#This Row],[数量（M)]]</f>
        <v>8633.3333333333339</v>
      </c>
      <c r="Z26" s="257">
        <f>_xlfn.XLOOKUP(tbl_明細[[#This Row],[案件番号]],tbl_案件追跡[案件番号],tbl_案件追跡[受注],"",0,1)</f>
        <v>46056</v>
      </c>
      <c r="AA26" s="228">
        <f>tbl_明細[[#This Row],[販売価格（売値）]]+tbl_明細[[#This Row],[販売価格（M)]]</f>
        <v>479.62962962962962</v>
      </c>
      <c r="AB26" s="261">
        <f>tbl_明細[[#This Row],[販売価格（売値）]]*1.08+tbl_明細[[#This Row],[販売価格（M)]]*1.08</f>
        <v>518</v>
      </c>
    </row>
    <row r="27" spans="1:28">
      <c r="A27" s="73" t="s">
        <v>1844</v>
      </c>
      <c r="B27" s="77">
        <f>IF(ISBLANK(tbl_明細[[#This Row],[案件番号]]),"",COUNTIFS($A$3:A27,tbl_明細[[#This Row],[案件番号]],$AA$3:AA27,"&gt;0"))</f>
        <v>4</v>
      </c>
      <c r="C27" s="71">
        <f>COUNTIFS($A$3:A27,tbl_明細[[#This Row],[案件番号]],$F$3:F27,tbl_明細[[#This Row],[仕入先]])</f>
        <v>3</v>
      </c>
      <c r="D27" s="77" t="str">
        <f>_xlfn.XLOOKUP(tbl_明細[[#This Row],[案件番号]],tbl_採番[案件番号],tbl_採番[顧客],"",0,1)</f>
        <v>NISSHAビジネスサービス</v>
      </c>
      <c r="E27" s="71"/>
      <c r="F27" s="118" t="str">
        <f>IF(ISBLANK(tbl_明細[[#This Row],[仕入先（M)]]),_xlfn.XLOOKUP(tbl_明細[[#This Row],[商品ID]],商品マスタ[商品連番],商品マスタ[仕入先],"",0,1),tbl_明細[[#This Row],[仕入先（M)]])</f>
        <v>有限会社小林食品</v>
      </c>
      <c r="G27" s="112" t="str">
        <f>IF(ISBLANK(tbl_明細[[#This Row],[商品名（M)]]),_xlfn.XLOOKUP(tbl_明細[[#This Row],[商品ID]],商品マスタ[商品連番],商品マスタ[商品名],"",0,),tbl_明細[[#This Row],[商品名（M)]])</f>
        <v>ズワイガニ風味ラーメン 　 味噌（1食入り）</v>
      </c>
      <c r="H27" s="80">
        <f>IF(ISBLANK(tbl_明細[[#This Row],[仕入価格（M)]]),_xlfn.XLOOKUP(tbl_明細[[#This Row],[商品ID]],商品マスタ[商品連番],商品マスタ[仕入
単価],"",0,1),tbl_明細[[#This Row],[仕入価格（M)]])</f>
        <v>175</v>
      </c>
      <c r="I27" s="80" t="str">
        <f>_xlfn.XLOOKUP(tbl_明細[[#This Row],[商品ID]],商品マスタ[商品連番],商品マスタ[国内定価
（15％）],"",0,1)</f>
        <v/>
      </c>
      <c r="J27" s="85"/>
      <c r="K27" s="71"/>
      <c r="L27" s="77" t="str">
        <f>_xlfn.XLOOKUP(tbl_明細[[#This Row],[商品ID]],商品マスタ[商品連番],商品マスタ[単位],"",0,1)</f>
        <v/>
      </c>
      <c r="M27" s="249" t="e">
        <f>1-tbl_明細[[#This Row],[仕入価格]]/tbl_明細[[#This Row],[販売価格（売値）]]</f>
        <v>#DIV/0!</v>
      </c>
      <c r="N27" s="189" t="str">
        <f>_xlfn.XLOOKUP(tbl_明細[[#This Row],[商品ID]],商品マスタ[商品連番],商品マスタ[税率],"",0,1)</f>
        <v/>
      </c>
      <c r="O27" s="120" t="s">
        <v>1861</v>
      </c>
      <c r="P27" s="71" t="s">
        <v>1866</v>
      </c>
      <c r="Q27" s="81">
        <v>175</v>
      </c>
      <c r="R27" s="81">
        <f>238/1.08</f>
        <v>220.37037037037035</v>
      </c>
      <c r="S27" s="71">
        <v>14</v>
      </c>
      <c r="T27" s="71" t="s">
        <v>900</v>
      </c>
      <c r="U27" s="79">
        <v>0.08</v>
      </c>
      <c r="V27" s="79"/>
      <c r="W27" s="113"/>
      <c r="X27" s="254">
        <f>tbl_明細[[#This Row],[仕入価格]]*tbl_明細[[#This Row],[数量]]+tbl_明細[[#This Row],[仕入価格（M)]]*tbl_明細[[#This Row],[数量（M)]]</f>
        <v>2450</v>
      </c>
      <c r="Y27" s="254">
        <f>tbl_明細[[#This Row],[販売価格（売値）]]*tbl_明細[[#This Row],[数量]]+tbl_明細[[#This Row],[販売価格（M)]]*tbl_明細[[#This Row],[数量（M)]]</f>
        <v>3085.1851851851848</v>
      </c>
      <c r="Z27" s="257">
        <f>_xlfn.XLOOKUP(tbl_明細[[#This Row],[案件番号]],tbl_案件追跡[案件番号],tbl_案件追跡[受注],"",0,1)</f>
        <v>46056</v>
      </c>
      <c r="AA27" s="228">
        <f>tbl_明細[[#This Row],[販売価格（売値）]]+tbl_明細[[#This Row],[販売価格（M)]]</f>
        <v>220.37037037037035</v>
      </c>
      <c r="AB27" s="261">
        <f>tbl_明細[[#This Row],[販売価格（売値）]]*1.08+tbl_明細[[#This Row],[販売価格（M)]]*1.08</f>
        <v>238</v>
      </c>
    </row>
    <row r="28" spans="1:28">
      <c r="A28" s="73" t="s">
        <v>1844</v>
      </c>
      <c r="B28" s="77">
        <f>IF(ISBLANK(tbl_明細[[#This Row],[案件番号]]),"",COUNTIFS($A$3:A28,tbl_明細[[#This Row],[案件番号]],$AA$3:AA28,"&gt;0"))</f>
        <v>5</v>
      </c>
      <c r="C28" s="71">
        <f>COUNTIFS($A$3:A28,tbl_明細[[#This Row],[案件番号]],$F$3:F28,tbl_明細[[#This Row],[仕入先]])</f>
        <v>4</v>
      </c>
      <c r="D28" s="77" t="str">
        <f>_xlfn.XLOOKUP(tbl_明細[[#This Row],[案件番号]],tbl_採番[案件番号],tbl_採番[顧客],"",0,1)</f>
        <v>NISSHAビジネスサービス</v>
      </c>
      <c r="E28" s="71"/>
      <c r="F28" s="118" t="str">
        <f>IF(ISBLANK(tbl_明細[[#This Row],[仕入先（M)]]),_xlfn.XLOOKUP(tbl_明細[[#This Row],[商品ID]],商品マスタ[商品連番],商品マスタ[仕入先],"",0,1),tbl_明細[[#This Row],[仕入先（M)]])</f>
        <v>有限会社小林食品</v>
      </c>
      <c r="G28" s="112" t="str">
        <f>IF(ISBLANK(tbl_明細[[#This Row],[商品名（M)]]),_xlfn.XLOOKUP(tbl_明細[[#This Row],[商品ID]],商品マスタ[商品連番],商品マスタ[商品名],"",0,),tbl_明細[[#This Row],[商品名（M)]])</f>
        <v>ズワイガニ風味ラーメン 　 醤油（1食入り）</v>
      </c>
      <c r="H28" s="80">
        <f>IF(ISBLANK(tbl_明細[[#This Row],[仕入価格（M)]]),_xlfn.XLOOKUP(tbl_明細[[#This Row],[商品ID]],商品マスタ[商品連番],商品マスタ[仕入
単価],"",0,1),tbl_明細[[#This Row],[仕入価格（M)]])</f>
        <v>175</v>
      </c>
      <c r="I28" s="80" t="str">
        <f>_xlfn.XLOOKUP(tbl_明細[[#This Row],[商品ID]],商品マスタ[商品連番],商品マスタ[国内定価
（15％）],"",0,1)</f>
        <v/>
      </c>
      <c r="J28" s="85"/>
      <c r="K28" s="71"/>
      <c r="L28" s="77" t="str">
        <f>_xlfn.XLOOKUP(tbl_明細[[#This Row],[商品ID]],商品マスタ[商品連番],商品マスタ[単位],"",0,1)</f>
        <v/>
      </c>
      <c r="M28" s="249" t="e">
        <f>1-tbl_明細[[#This Row],[仕入価格]]/tbl_明細[[#This Row],[販売価格（売値）]]</f>
        <v>#DIV/0!</v>
      </c>
      <c r="N28" s="189" t="str">
        <f>_xlfn.XLOOKUP(tbl_明細[[#This Row],[商品ID]],商品マスタ[商品連番],商品マスタ[税率],"",0,1)</f>
        <v/>
      </c>
      <c r="O28" s="120" t="s">
        <v>1861</v>
      </c>
      <c r="P28" s="71" t="s">
        <v>1867</v>
      </c>
      <c r="Q28" s="81">
        <v>175</v>
      </c>
      <c r="R28" s="81">
        <f>238/1.08</f>
        <v>220.37037037037035</v>
      </c>
      <c r="S28" s="71">
        <v>13</v>
      </c>
      <c r="T28" s="71" t="s">
        <v>900</v>
      </c>
      <c r="U28" s="79">
        <v>0.08</v>
      </c>
      <c r="V28" s="79"/>
      <c r="W28" s="113"/>
      <c r="X28" s="254">
        <f>tbl_明細[[#This Row],[仕入価格]]*tbl_明細[[#This Row],[数量]]+tbl_明細[[#This Row],[仕入価格（M)]]*tbl_明細[[#This Row],[数量（M)]]</f>
        <v>2275</v>
      </c>
      <c r="Y28" s="254">
        <f>tbl_明細[[#This Row],[販売価格（売値）]]*tbl_明細[[#This Row],[数量]]+tbl_明細[[#This Row],[販売価格（M)]]*tbl_明細[[#This Row],[数量（M)]]</f>
        <v>2864.8148148148148</v>
      </c>
      <c r="Z28" s="257">
        <f>_xlfn.XLOOKUP(tbl_明細[[#This Row],[案件番号]],tbl_案件追跡[案件番号],tbl_案件追跡[受注],"",0,1)</f>
        <v>46056</v>
      </c>
      <c r="AA28" s="228">
        <f>tbl_明細[[#This Row],[販売価格（売値）]]+tbl_明細[[#This Row],[販売価格（M)]]</f>
        <v>220.37037037037035</v>
      </c>
      <c r="AB28" s="261">
        <f>tbl_明細[[#This Row],[販売価格（売値）]]*1.08+tbl_明細[[#This Row],[販売価格（M)]]*1.08</f>
        <v>238</v>
      </c>
    </row>
    <row r="29" spans="1:28">
      <c r="A29" s="73" t="s">
        <v>1900</v>
      </c>
      <c r="B29" s="77">
        <f>IF(ISBLANK(tbl_明細[[#This Row],[案件番号]]),"",COUNTIFS($A$3:A29,tbl_明細[[#This Row],[案件番号]],$AA$3:AA29,"&gt;0"))</f>
        <v>1</v>
      </c>
      <c r="C29" s="71">
        <f>COUNTIFS($A$3:A29,tbl_明細[[#This Row],[案件番号]],$F$3:F29,tbl_明細[[#This Row],[仕入先]])</f>
        <v>1</v>
      </c>
      <c r="D29" s="77" t="str">
        <f>_xlfn.XLOOKUP(tbl_明細[[#This Row],[案件番号]],tbl_採番[案件番号],tbl_採番[顧客],"",0,1)</f>
        <v>日新堂株式会社</v>
      </c>
      <c r="E29" s="71" t="s">
        <v>1901</v>
      </c>
      <c r="F29" s="118" t="str">
        <f>IF(ISBLANK(tbl_明細[[#This Row],[仕入先（M)]]),_xlfn.XLOOKUP(tbl_明細[[#This Row],[商品ID]],商品マスタ[商品連番],商品マスタ[仕入先],"",0,1),tbl_明細[[#This Row],[仕入先（M)]])</f>
        <v>湯浅醤油</v>
      </c>
      <c r="G29" s="112" t="str">
        <f>IF(ISBLANK(tbl_明細[[#This Row],[商品名（M)]]),_xlfn.XLOOKUP(tbl_明細[[#This Row],[商品ID]],商品マスタ[商品連番],商品マスタ[商品名],"",0,),tbl_明細[[#This Row],[商品名（M)]])</f>
        <v>蔵匠　樽仕込み 200ml</v>
      </c>
      <c r="H29" s="80">
        <f>IF(ISBLANK(tbl_明細[[#This Row],[仕入価格（M)]]),_xlfn.XLOOKUP(tbl_明細[[#This Row],[商品ID]],商品マスタ[商品連番],商品マスタ[仕入
単価],"",0,1),tbl_明細[[#This Row],[仕入価格（M)]])</f>
        <v>420</v>
      </c>
      <c r="I29" s="80">
        <f>_xlfn.XLOOKUP(tbl_明細[[#This Row],[商品ID]],商品マスタ[商品連番],商品マスタ[国内定価
（15％）],"",0,1)</f>
        <v>500</v>
      </c>
      <c r="J29" s="85">
        <v>600</v>
      </c>
      <c r="K29" s="71">
        <v>60</v>
      </c>
      <c r="L29" s="77" t="str">
        <f>_xlfn.XLOOKUP(tbl_明細[[#This Row],[商品ID]],商品マスタ[商品連番],商品マスタ[単位],"",0,1)</f>
        <v>本</v>
      </c>
      <c r="M29" s="249">
        <f>1-tbl_明細[[#This Row],[仕入価格]]/tbl_明細[[#This Row],[販売価格（売値）]]</f>
        <v>0.30000000000000004</v>
      </c>
      <c r="N29" s="189">
        <f>_xlfn.XLOOKUP(tbl_明細[[#This Row],[商品ID]],商品マスタ[商品連番],商品マスタ[税率],"",0,1)</f>
        <v>0.08</v>
      </c>
      <c r="O29" s="120"/>
      <c r="P29" s="71"/>
      <c r="Q29" s="81"/>
      <c r="R29" s="81"/>
      <c r="S29" s="71"/>
      <c r="T29" s="71"/>
      <c r="U29" s="79"/>
      <c r="V29" s="79"/>
      <c r="W29" s="113"/>
      <c r="X29" s="254">
        <f>tbl_明細[[#This Row],[仕入価格]]*tbl_明細[[#This Row],[数量]]+tbl_明細[[#This Row],[仕入価格（M)]]*tbl_明細[[#This Row],[数量（M)]]</f>
        <v>25200</v>
      </c>
      <c r="Y29" s="254">
        <f>tbl_明細[[#This Row],[販売価格（売値）]]*tbl_明細[[#This Row],[数量]]+tbl_明細[[#This Row],[販売価格（M)]]*tbl_明細[[#This Row],[数量（M)]]</f>
        <v>36000</v>
      </c>
      <c r="Z29" s="257">
        <f>_xlfn.XLOOKUP(tbl_明細[[#This Row],[案件番号]],tbl_案件追跡[案件番号],tbl_案件追跡[受注],"",0,1)</f>
        <v>0</v>
      </c>
      <c r="AA29" s="228">
        <f>tbl_明細[[#This Row],[販売価格（売値）]]+tbl_明細[[#This Row],[販売価格（M)]]</f>
        <v>600</v>
      </c>
      <c r="AB29" s="261">
        <f>tbl_明細[[#This Row],[販売価格（売値）]]*1.08+tbl_明細[[#This Row],[販売価格（M)]]*1.08</f>
        <v>648</v>
      </c>
    </row>
    <row r="30" spans="1:28">
      <c r="A30" s="73" t="s">
        <v>1900</v>
      </c>
      <c r="B30" s="77">
        <f>IF(ISBLANK(tbl_明細[[#This Row],[案件番号]]),"",COUNTIFS($A$3:A30,tbl_明細[[#This Row],[案件番号]],$AA$3:AA30,"&gt;0"))</f>
        <v>2</v>
      </c>
      <c r="C30" s="71">
        <f>COUNTIFS($A$3:A30,tbl_明細[[#This Row],[案件番号]],$F$3:F30,tbl_明細[[#This Row],[仕入先]])</f>
        <v>2</v>
      </c>
      <c r="D30" s="77" t="str">
        <f>_xlfn.XLOOKUP(tbl_明細[[#This Row],[案件番号]],tbl_採番[案件番号],tbl_採番[顧客],"",0,1)</f>
        <v>日新堂株式会社</v>
      </c>
      <c r="E30" s="71" t="s">
        <v>1902</v>
      </c>
      <c r="F30" s="118" t="str">
        <f>IF(ISBLANK(tbl_明細[[#This Row],[仕入先（M)]]),_xlfn.XLOOKUP(tbl_明細[[#This Row],[商品ID]],商品マスタ[商品連番],商品マスタ[仕入先],"",0,1),tbl_明細[[#This Row],[仕入先（M)]])</f>
        <v>湯浅醤油</v>
      </c>
      <c r="G30" s="112" t="str">
        <f>IF(ISBLANK(tbl_明細[[#This Row],[商品名（M)]]),_xlfn.XLOOKUP(tbl_明細[[#This Row],[商品ID]],商品マスタ[商品連番],商品マスタ[商品名],"",0,),tbl_明細[[#This Row],[商品名（M)]])</f>
        <v>蔵匠　樽仕込み 720ml</v>
      </c>
      <c r="H30" s="80">
        <f>IF(ISBLANK(tbl_明細[[#This Row],[仕入価格（M)]]),_xlfn.XLOOKUP(tbl_明細[[#This Row],[商品ID]],商品マスタ[商品連番],商品マスタ[仕入
単価],"",0,1),tbl_明細[[#This Row],[仕入価格（M)]])</f>
        <v>945</v>
      </c>
      <c r="I30" s="80">
        <f>_xlfn.XLOOKUP(tbl_明細[[#This Row],[商品ID]],商品マスタ[商品連番],商品マスタ[国内定価
（15％）],"",0,1)</f>
        <v>1120</v>
      </c>
      <c r="J30" s="85">
        <v>1350</v>
      </c>
      <c r="K30" s="71">
        <v>60</v>
      </c>
      <c r="L30" s="77" t="str">
        <f>_xlfn.XLOOKUP(tbl_明細[[#This Row],[商品ID]],商品マスタ[商品連番],商品マスタ[単位],"",0,1)</f>
        <v>本</v>
      </c>
      <c r="M30" s="249">
        <f>1-tbl_明細[[#This Row],[仕入価格]]/tbl_明細[[#This Row],[販売価格（売値）]]</f>
        <v>0.30000000000000004</v>
      </c>
      <c r="N30" s="189">
        <f>_xlfn.XLOOKUP(tbl_明細[[#This Row],[商品ID]],商品マスタ[商品連番],商品マスタ[税率],"",0,1)</f>
        <v>0.08</v>
      </c>
      <c r="O30" s="120"/>
      <c r="P30" s="71"/>
      <c r="Q30" s="81"/>
      <c r="R30" s="81"/>
      <c r="S30" s="71"/>
      <c r="T30" s="71"/>
      <c r="U30" s="79"/>
      <c r="V30" s="79"/>
      <c r="W30" s="113"/>
      <c r="X30" s="254">
        <f>tbl_明細[[#This Row],[仕入価格]]*tbl_明細[[#This Row],[数量]]+tbl_明細[[#This Row],[仕入価格（M)]]*tbl_明細[[#This Row],[数量（M)]]</f>
        <v>56700</v>
      </c>
      <c r="Y30" s="254">
        <f>tbl_明細[[#This Row],[販売価格（売値）]]*tbl_明細[[#This Row],[数量]]+tbl_明細[[#This Row],[販売価格（M)]]*tbl_明細[[#This Row],[数量（M)]]</f>
        <v>81000</v>
      </c>
      <c r="Z30" s="257">
        <f>_xlfn.XLOOKUP(tbl_明細[[#This Row],[案件番号]],tbl_案件追跡[案件番号],tbl_案件追跡[受注],"",0,1)</f>
        <v>0</v>
      </c>
      <c r="AA30" s="228">
        <f>tbl_明細[[#This Row],[販売価格（売値）]]+tbl_明細[[#This Row],[販売価格（M)]]</f>
        <v>1350</v>
      </c>
      <c r="AB30" s="261">
        <f>tbl_明細[[#This Row],[販売価格（売値）]]*1.08+tbl_明細[[#This Row],[販売価格（M)]]*1.08</f>
        <v>1458</v>
      </c>
    </row>
    <row r="31" spans="1:28">
      <c r="A31" s="73" t="s">
        <v>1900</v>
      </c>
      <c r="B31" s="77">
        <f>IF(ISBLANK(tbl_明細[[#This Row],[案件番号]]),"",COUNTIFS($A$3:A31,tbl_明細[[#This Row],[案件番号]],$AA$3:AA31,"&gt;0"))</f>
        <v>3</v>
      </c>
      <c r="C31" s="71">
        <f>COUNTIFS($A$3:A31,tbl_明細[[#This Row],[案件番号]],$F$3:F31,tbl_明細[[#This Row],[仕入先]])</f>
        <v>3</v>
      </c>
      <c r="D31" s="77" t="str">
        <f>_xlfn.XLOOKUP(tbl_明細[[#This Row],[案件番号]],tbl_採番[案件番号],tbl_採番[顧客],"",0,1)</f>
        <v>日新堂株式会社</v>
      </c>
      <c r="E31" s="71" t="s">
        <v>1903</v>
      </c>
      <c r="F31" s="118" t="str">
        <f>IF(ISBLANK(tbl_明細[[#This Row],[仕入先（M)]]),_xlfn.XLOOKUP(tbl_明細[[#This Row],[商品ID]],商品マスタ[商品連番],商品マスタ[仕入先],"",0,1),tbl_明細[[#This Row],[仕入先（M)]])</f>
        <v>湯浅醤油</v>
      </c>
      <c r="G31" s="112" t="str">
        <f>IF(ISBLANK(tbl_明細[[#This Row],[商品名（M)]]),_xlfn.XLOOKUP(tbl_明細[[#This Row],[商品ID]],商品マスタ[商品連番],商品マスタ[商品名],"",0,),tbl_明細[[#This Row],[商品名（M)]])</f>
        <v>蔵匠 白搾り 200ml</v>
      </c>
      <c r="H31" s="80">
        <f>IF(ISBLANK(tbl_明細[[#This Row],[仕入価格（M)]]),_xlfn.XLOOKUP(tbl_明細[[#This Row],[商品ID]],商品マスタ[商品連番],商品マスタ[仕入
単価],"",0,1),tbl_明細[[#This Row],[仕入価格（M)]])</f>
        <v>385</v>
      </c>
      <c r="I31" s="80">
        <f>_xlfn.XLOOKUP(tbl_明細[[#This Row],[商品ID]],商品マスタ[商品連番],商品マスタ[国内定価
（15％）],"",0,1)</f>
        <v>460</v>
      </c>
      <c r="J31" s="85">
        <v>550</v>
      </c>
      <c r="K31" s="71">
        <v>60</v>
      </c>
      <c r="L31" s="77" t="str">
        <f>_xlfn.XLOOKUP(tbl_明細[[#This Row],[商品ID]],商品マスタ[商品連番],商品マスタ[単位],"",0,1)</f>
        <v>本</v>
      </c>
      <c r="M31" s="249">
        <f>1-tbl_明細[[#This Row],[仕入価格]]/tbl_明細[[#This Row],[販売価格（売値）]]</f>
        <v>0.30000000000000004</v>
      </c>
      <c r="N31" s="189">
        <f>_xlfn.XLOOKUP(tbl_明細[[#This Row],[商品ID]],商品マスタ[商品連番],商品マスタ[税率],"",0,1)</f>
        <v>0.08</v>
      </c>
      <c r="O31" s="120"/>
      <c r="P31" s="71"/>
      <c r="Q31" s="81"/>
      <c r="R31" s="81"/>
      <c r="S31" s="71"/>
      <c r="T31" s="71"/>
      <c r="U31" s="79"/>
      <c r="V31" s="79"/>
      <c r="W31" s="113"/>
      <c r="X31" s="254">
        <f>tbl_明細[[#This Row],[仕入価格]]*tbl_明細[[#This Row],[数量]]+tbl_明細[[#This Row],[仕入価格（M)]]*tbl_明細[[#This Row],[数量（M)]]</f>
        <v>23100</v>
      </c>
      <c r="Y31" s="254">
        <f>tbl_明細[[#This Row],[販売価格（売値）]]*tbl_明細[[#This Row],[数量]]+tbl_明細[[#This Row],[販売価格（M)]]*tbl_明細[[#This Row],[数量（M)]]</f>
        <v>33000</v>
      </c>
      <c r="Z31" s="257">
        <f>_xlfn.XLOOKUP(tbl_明細[[#This Row],[案件番号]],tbl_案件追跡[案件番号],tbl_案件追跡[受注],"",0,1)</f>
        <v>0</v>
      </c>
      <c r="AA31" s="228">
        <f>tbl_明細[[#This Row],[販売価格（売値）]]+tbl_明細[[#This Row],[販売価格（M)]]</f>
        <v>550</v>
      </c>
      <c r="AB31" s="261">
        <f>tbl_明細[[#This Row],[販売価格（売値）]]*1.08+tbl_明細[[#This Row],[販売価格（M)]]*1.08</f>
        <v>594</v>
      </c>
    </row>
    <row r="32" spans="1:28">
      <c r="A32" s="73" t="s">
        <v>1900</v>
      </c>
      <c r="B32" s="77">
        <f>IF(ISBLANK(tbl_明細[[#This Row],[案件番号]]),"",COUNTIFS($A$3:A32,tbl_明細[[#This Row],[案件番号]],$AA$3:AA32,"&gt;0"))</f>
        <v>4</v>
      </c>
      <c r="C32" s="71">
        <f>COUNTIFS($A$3:A32,tbl_明細[[#This Row],[案件番号]],$F$3:F32,tbl_明細[[#This Row],[仕入先]])</f>
        <v>4</v>
      </c>
      <c r="D32" s="77" t="str">
        <f>_xlfn.XLOOKUP(tbl_明細[[#This Row],[案件番号]],tbl_採番[案件番号],tbl_採番[顧客],"",0,1)</f>
        <v>日新堂株式会社</v>
      </c>
      <c r="E32" s="71" t="s">
        <v>1904</v>
      </c>
      <c r="F32" s="118" t="str">
        <f>IF(ISBLANK(tbl_明細[[#This Row],[仕入先（M)]]),_xlfn.XLOOKUP(tbl_明細[[#This Row],[商品ID]],商品マスタ[商品連番],商品マスタ[仕入先],"",0,1),tbl_明細[[#This Row],[仕入先（M)]])</f>
        <v>湯浅醤油</v>
      </c>
      <c r="G32" s="112" t="str">
        <f>IF(ISBLANK(tbl_明細[[#This Row],[商品名（M)]]),_xlfn.XLOOKUP(tbl_明細[[#This Row],[商品ID]],商品マスタ[商品連番],商品マスタ[商品名],"",0,),tbl_明細[[#This Row],[商品名（M)]])</f>
        <v>蔵匠 白搾り 720ml</v>
      </c>
      <c r="H32" s="80">
        <f>IF(ISBLANK(tbl_明細[[#This Row],[仕入価格（M)]]),_xlfn.XLOOKUP(tbl_明細[[#This Row],[商品ID]],商品マスタ[商品連番],商品マスタ[仕入
単価],"",0,1),tbl_明細[[#This Row],[仕入価格（M)]])</f>
        <v>840</v>
      </c>
      <c r="I32" s="80">
        <f>_xlfn.XLOOKUP(tbl_明細[[#This Row],[商品ID]],商品マスタ[商品連番],商品マスタ[国内定価
（15％）],"",0,1)</f>
        <v>990</v>
      </c>
      <c r="J32" s="85">
        <v>1200</v>
      </c>
      <c r="K32" s="71">
        <v>60</v>
      </c>
      <c r="L32" s="77" t="str">
        <f>_xlfn.XLOOKUP(tbl_明細[[#This Row],[商品ID]],商品マスタ[商品連番],商品マスタ[単位],"",0,1)</f>
        <v>本</v>
      </c>
      <c r="M32" s="249">
        <f>1-tbl_明細[[#This Row],[仕入価格]]/tbl_明細[[#This Row],[販売価格（売値）]]</f>
        <v>0.30000000000000004</v>
      </c>
      <c r="N32" s="189">
        <f>_xlfn.XLOOKUP(tbl_明細[[#This Row],[商品ID]],商品マスタ[商品連番],商品マスタ[税率],"",0,1)</f>
        <v>0.08</v>
      </c>
      <c r="O32" s="120"/>
      <c r="P32" s="71"/>
      <c r="Q32" s="81"/>
      <c r="R32" s="81"/>
      <c r="S32" s="71"/>
      <c r="T32" s="71"/>
      <c r="U32" s="79"/>
      <c r="V32" s="79"/>
      <c r="W32" s="113"/>
      <c r="X32" s="254">
        <f>tbl_明細[[#This Row],[仕入価格]]*tbl_明細[[#This Row],[数量]]+tbl_明細[[#This Row],[仕入価格（M)]]*tbl_明細[[#This Row],[数量（M)]]</f>
        <v>50400</v>
      </c>
      <c r="Y32" s="254">
        <f>tbl_明細[[#This Row],[販売価格（売値）]]*tbl_明細[[#This Row],[数量]]+tbl_明細[[#This Row],[販売価格（M)]]*tbl_明細[[#This Row],[数量（M)]]</f>
        <v>72000</v>
      </c>
      <c r="Z32" s="257">
        <f>_xlfn.XLOOKUP(tbl_明細[[#This Row],[案件番号]],tbl_案件追跡[案件番号],tbl_案件追跡[受注],"",0,1)</f>
        <v>0</v>
      </c>
      <c r="AA32" s="228">
        <f>tbl_明細[[#This Row],[販売価格（売値）]]+tbl_明細[[#This Row],[販売価格（M)]]</f>
        <v>1200</v>
      </c>
      <c r="AB32" s="261">
        <f>tbl_明細[[#This Row],[販売価格（売値）]]*1.08+tbl_明細[[#This Row],[販売価格（M)]]*1.08</f>
        <v>1296</v>
      </c>
    </row>
    <row r="33" spans="1:28">
      <c r="A33" s="73" t="s">
        <v>1900</v>
      </c>
      <c r="B33" s="77">
        <f>IF(ISBLANK(tbl_明細[[#This Row],[案件番号]]),"",COUNTIFS($A$3:A33,tbl_明細[[#This Row],[案件番号]],$AA$3:AA33,"&gt;0"))</f>
        <v>5</v>
      </c>
      <c r="C33" s="71">
        <f>COUNTIFS($A$3:A33,tbl_明細[[#This Row],[案件番号]],$F$3:F33,tbl_明細[[#This Row],[仕入先]])</f>
        <v>5</v>
      </c>
      <c r="D33" s="77" t="str">
        <f>_xlfn.XLOOKUP(tbl_明細[[#This Row],[案件番号]],tbl_採番[案件番号],tbl_採番[顧客],"",0,1)</f>
        <v>日新堂株式会社</v>
      </c>
      <c r="E33" s="71" t="s">
        <v>1899</v>
      </c>
      <c r="F33" s="118" t="str">
        <f>IF(ISBLANK(tbl_明細[[#This Row],[仕入先（M)]]),_xlfn.XLOOKUP(tbl_明細[[#This Row],[商品ID]],商品マスタ[商品連番],商品マスタ[仕入先],"",0,1),tbl_明細[[#This Row],[仕入先（M)]])</f>
        <v>湯浅醤油</v>
      </c>
      <c r="G33" s="112" t="str">
        <f>IF(ISBLANK(tbl_明細[[#This Row],[商品名（M)]]),_xlfn.XLOOKUP(tbl_明細[[#This Row],[商品ID]],商品マスタ[商品連番],商品マスタ[商品名],"",0,),tbl_明細[[#This Row],[商品名（M)]])</f>
        <v xml:space="preserve">蔵匠 樽仕込み 1.8L </v>
      </c>
      <c r="H33" s="80">
        <f>IF(ISBLANK(tbl_明細[[#This Row],[仕入価格（M)]]),_xlfn.XLOOKUP(tbl_明細[[#This Row],[商品ID]],商品マスタ[商品連番],商品マスタ[仕入
単価],"",0,1),tbl_明細[[#This Row],[仕入価格（M)]])</f>
        <v>2030</v>
      </c>
      <c r="I33" s="80">
        <f>_xlfn.XLOOKUP(tbl_明細[[#This Row],[商品ID]],商品マスタ[商品連番],商品マスタ[国内定価
（15％）],"",0,1)</f>
        <v>2390</v>
      </c>
      <c r="J33" s="85">
        <v>2900</v>
      </c>
      <c r="K33" s="71">
        <v>30</v>
      </c>
      <c r="L33" s="77" t="str">
        <f>_xlfn.XLOOKUP(tbl_明細[[#This Row],[商品ID]],商品マスタ[商品連番],商品マスタ[単位],"",0,1)</f>
        <v>本</v>
      </c>
      <c r="M33" s="249">
        <f>1-tbl_明細[[#This Row],[仕入価格]]/tbl_明細[[#This Row],[販売価格（売値）]]</f>
        <v>0.30000000000000004</v>
      </c>
      <c r="N33" s="189">
        <f>_xlfn.XLOOKUP(tbl_明細[[#This Row],[商品ID]],商品マスタ[商品連番],商品マスタ[税率],"",0,1)</f>
        <v>0.08</v>
      </c>
      <c r="O33" s="120"/>
      <c r="P33" s="71"/>
      <c r="Q33" s="81"/>
      <c r="R33" s="81"/>
      <c r="S33" s="71"/>
      <c r="T33" s="71"/>
      <c r="U33" s="79"/>
      <c r="V33" s="79"/>
      <c r="W33" s="113"/>
      <c r="X33" s="254">
        <f>tbl_明細[[#This Row],[仕入価格]]*tbl_明細[[#This Row],[数量]]+tbl_明細[[#This Row],[仕入価格（M)]]*tbl_明細[[#This Row],[数量（M)]]</f>
        <v>60900</v>
      </c>
      <c r="Y33" s="254">
        <f>tbl_明細[[#This Row],[販売価格（売値）]]*tbl_明細[[#This Row],[数量]]+tbl_明細[[#This Row],[販売価格（M)]]*tbl_明細[[#This Row],[数量（M)]]</f>
        <v>87000</v>
      </c>
      <c r="Z33" s="257">
        <f>_xlfn.XLOOKUP(tbl_明細[[#This Row],[案件番号]],tbl_案件追跡[案件番号],tbl_案件追跡[受注],"",0,1)</f>
        <v>0</v>
      </c>
      <c r="AA33" s="228">
        <f>tbl_明細[[#This Row],[販売価格（売値）]]+tbl_明細[[#This Row],[販売価格（M)]]</f>
        <v>2900</v>
      </c>
      <c r="AB33" s="261">
        <f>tbl_明細[[#This Row],[販売価格（売値）]]*1.08+tbl_明細[[#This Row],[販売価格（M)]]*1.08</f>
        <v>3132</v>
      </c>
    </row>
    <row r="34" spans="1:28">
      <c r="A34" s="73" t="s">
        <v>1907</v>
      </c>
      <c r="B34" s="77">
        <f>IF(ISBLANK(tbl_明細[[#This Row],[案件番号]]),"",COUNTIFS($A$3:A34,tbl_明細[[#This Row],[案件番号]],$AA$3:AA34,"&gt;0"))</f>
        <v>1</v>
      </c>
      <c r="C34" s="71">
        <f>COUNTIFS($A$3:A34,tbl_明細[[#This Row],[案件番号]],$F$3:F34,tbl_明細[[#This Row],[仕入先]])</f>
        <v>1</v>
      </c>
      <c r="D34" s="77" t="str">
        <f>_xlfn.XLOOKUP(tbl_明細[[#This Row],[案件番号]],tbl_採番[案件番号],tbl_採番[顧客],"",0,1)</f>
        <v>日新堂株式会社</v>
      </c>
      <c r="E34" s="71" t="s">
        <v>1901</v>
      </c>
      <c r="F34" s="118" t="str">
        <f>IF(ISBLANK(tbl_明細[[#This Row],[仕入先（M)]]),_xlfn.XLOOKUP(tbl_明細[[#This Row],[商品ID]],商品マスタ[商品連番],商品マスタ[仕入先],"",0,1),tbl_明細[[#This Row],[仕入先（M)]])</f>
        <v>湯浅醤油</v>
      </c>
      <c r="G34" s="112" t="str">
        <f>IF(ISBLANK(tbl_明細[[#This Row],[商品名（M)]]),_xlfn.XLOOKUP(tbl_明細[[#This Row],[商品ID]],商品マスタ[商品連番],商品マスタ[商品名],"",0,),tbl_明細[[#This Row],[商品名（M)]])</f>
        <v>蔵匠　樽仕込み 200ml</v>
      </c>
      <c r="H34" s="80">
        <f>IF(ISBLANK(tbl_明細[[#This Row],[仕入価格（M)]]),_xlfn.XLOOKUP(tbl_明細[[#This Row],[商品ID]],商品マスタ[商品連番],商品マスタ[仕入
単価],"",0,1),tbl_明細[[#This Row],[仕入価格（M)]])</f>
        <v>420</v>
      </c>
      <c r="I34" s="80">
        <f>_xlfn.XLOOKUP(tbl_明細[[#This Row],[商品ID]],商品マスタ[商品連番],商品マスタ[国内定価
（15％）],"",0,1)</f>
        <v>500</v>
      </c>
      <c r="J34" s="85">
        <v>510</v>
      </c>
      <c r="K34" s="71">
        <v>60</v>
      </c>
      <c r="L34" s="77" t="str">
        <f>_xlfn.XLOOKUP(tbl_明細[[#This Row],[商品ID]],商品マスタ[商品連番],商品マスタ[単位],"",0,1)</f>
        <v>本</v>
      </c>
      <c r="M34" s="249">
        <f>1-tbl_明細[[#This Row],[仕入価格]]/tbl_明細[[#This Row],[販売価格（売値）]]</f>
        <v>0.17647058823529416</v>
      </c>
      <c r="N34" s="189">
        <f>_xlfn.XLOOKUP(tbl_明細[[#This Row],[商品ID]],商品マスタ[商品連番],商品マスタ[税率],"",0,1)</f>
        <v>0.08</v>
      </c>
      <c r="O34" s="120"/>
      <c r="P34" s="71"/>
      <c r="Q34" s="81"/>
      <c r="R34" s="81"/>
      <c r="S34" s="71"/>
      <c r="T34" s="71"/>
      <c r="U34" s="79"/>
      <c r="V34" s="79"/>
      <c r="W34" s="113"/>
      <c r="X34" s="254">
        <f>tbl_明細[[#This Row],[仕入価格]]*tbl_明細[[#This Row],[数量]]+tbl_明細[[#This Row],[仕入価格（M)]]*tbl_明細[[#This Row],[数量（M)]]</f>
        <v>25200</v>
      </c>
      <c r="Y34" s="254">
        <f>tbl_明細[[#This Row],[販売価格（売値）]]*tbl_明細[[#This Row],[数量]]+tbl_明細[[#This Row],[販売価格（M)]]*tbl_明細[[#This Row],[数量（M)]]</f>
        <v>30600</v>
      </c>
      <c r="Z34" s="257">
        <f>_xlfn.XLOOKUP(tbl_明細[[#This Row],[案件番号]],tbl_案件追跡[案件番号],tbl_案件追跡[受注],"",0,1)</f>
        <v>0</v>
      </c>
      <c r="AA34" s="228">
        <f>tbl_明細[[#This Row],[販売価格（売値）]]+tbl_明細[[#This Row],[販売価格（M)]]</f>
        <v>510</v>
      </c>
      <c r="AB34" s="261">
        <f>tbl_明細[[#This Row],[販売価格（売値）]]*1.08+tbl_明細[[#This Row],[販売価格（M)]]*1.08</f>
        <v>550.80000000000007</v>
      </c>
    </row>
    <row r="35" spans="1:28">
      <c r="A35" s="73" t="s">
        <v>1908</v>
      </c>
      <c r="B35" s="77">
        <f>IF(ISBLANK(tbl_明細[[#This Row],[案件番号]]),"",COUNTIFS($A$3:A35,tbl_明細[[#This Row],[案件番号]],$AA$3:AA35,"&gt;0"))</f>
        <v>2</v>
      </c>
      <c r="C35" s="71">
        <f>COUNTIFS($A$3:A35,tbl_明細[[#This Row],[案件番号]],$F$3:F35,tbl_明細[[#This Row],[仕入先]])</f>
        <v>2</v>
      </c>
      <c r="D35" s="77" t="str">
        <f>_xlfn.XLOOKUP(tbl_明細[[#This Row],[案件番号]],tbl_採番[案件番号],tbl_採番[顧客],"",0,1)</f>
        <v>日新堂株式会社</v>
      </c>
      <c r="E35" s="71" t="s">
        <v>1902</v>
      </c>
      <c r="F35" s="118" t="str">
        <f>IF(ISBLANK(tbl_明細[[#This Row],[仕入先（M)]]),_xlfn.XLOOKUP(tbl_明細[[#This Row],[商品ID]],商品マスタ[商品連番],商品マスタ[仕入先],"",0,1),tbl_明細[[#This Row],[仕入先（M)]])</f>
        <v>湯浅醤油</v>
      </c>
      <c r="G35" s="112" t="str">
        <f>IF(ISBLANK(tbl_明細[[#This Row],[商品名（M)]]),_xlfn.XLOOKUP(tbl_明細[[#This Row],[商品ID]],商品マスタ[商品連番],商品マスタ[商品名],"",0,),tbl_明細[[#This Row],[商品名（M)]])</f>
        <v>蔵匠　樽仕込み 720ml</v>
      </c>
      <c r="H35" s="80">
        <f>IF(ISBLANK(tbl_明細[[#This Row],[仕入価格（M)]]),_xlfn.XLOOKUP(tbl_明細[[#This Row],[商品ID]],商品マスタ[商品連番],商品マスタ[仕入
単価],"",0,1),tbl_明細[[#This Row],[仕入価格（M)]])</f>
        <v>945</v>
      </c>
      <c r="I35" s="80">
        <f>_xlfn.XLOOKUP(tbl_明細[[#This Row],[商品ID]],商品マスタ[商品連番],商品マスタ[国内定価
（15％）],"",0,1)</f>
        <v>1120</v>
      </c>
      <c r="J35" s="85">
        <v>1150</v>
      </c>
      <c r="K35" s="71">
        <v>60</v>
      </c>
      <c r="L35" s="77" t="str">
        <f>_xlfn.XLOOKUP(tbl_明細[[#This Row],[商品ID]],商品マスタ[商品連番],商品マスタ[単位],"",0,1)</f>
        <v>本</v>
      </c>
      <c r="M35" s="249">
        <f>1-tbl_明細[[#This Row],[仕入価格]]/tbl_明細[[#This Row],[販売価格（売値）]]</f>
        <v>0.17826086956521736</v>
      </c>
      <c r="N35" s="189">
        <f>_xlfn.XLOOKUP(tbl_明細[[#This Row],[商品ID]],商品マスタ[商品連番],商品マスタ[税率],"",0,1)</f>
        <v>0.08</v>
      </c>
      <c r="O35" s="120"/>
      <c r="P35" s="71"/>
      <c r="Q35" s="81"/>
      <c r="R35" s="81"/>
      <c r="S35" s="71"/>
      <c r="T35" s="71"/>
      <c r="U35" s="79"/>
      <c r="V35" s="79"/>
      <c r="W35" s="113"/>
      <c r="X35" s="254">
        <f>tbl_明細[[#This Row],[仕入価格]]*tbl_明細[[#This Row],[数量]]+tbl_明細[[#This Row],[仕入価格（M)]]*tbl_明細[[#This Row],[数量（M)]]</f>
        <v>56700</v>
      </c>
      <c r="Y35" s="254">
        <f>tbl_明細[[#This Row],[販売価格（売値）]]*tbl_明細[[#This Row],[数量]]+tbl_明細[[#This Row],[販売価格（M)]]*tbl_明細[[#This Row],[数量（M)]]</f>
        <v>69000</v>
      </c>
      <c r="Z35" s="257">
        <f>_xlfn.XLOOKUP(tbl_明細[[#This Row],[案件番号]],tbl_案件追跡[案件番号],tbl_案件追跡[受注],"",0,1)</f>
        <v>0</v>
      </c>
      <c r="AA35" s="228">
        <f>tbl_明細[[#This Row],[販売価格（売値）]]+tbl_明細[[#This Row],[販売価格（M)]]</f>
        <v>1150</v>
      </c>
      <c r="AB35" s="261">
        <f>tbl_明細[[#This Row],[販売価格（売値）]]*1.08+tbl_明細[[#This Row],[販売価格（M)]]*1.08</f>
        <v>1242</v>
      </c>
    </row>
    <row r="36" spans="1:28">
      <c r="A36" s="73" t="s">
        <v>1908</v>
      </c>
      <c r="B36" s="77">
        <f>IF(ISBLANK(tbl_明細[[#This Row],[案件番号]]),"",COUNTIFS($A$3:A36,tbl_明細[[#This Row],[案件番号]],$AA$3:AA36,"&gt;0"))</f>
        <v>3</v>
      </c>
      <c r="C36" s="71">
        <f>COUNTIFS($A$3:A36,tbl_明細[[#This Row],[案件番号]],$F$3:F36,tbl_明細[[#This Row],[仕入先]])</f>
        <v>3</v>
      </c>
      <c r="D36" s="77" t="str">
        <f>_xlfn.XLOOKUP(tbl_明細[[#This Row],[案件番号]],tbl_採番[案件番号],tbl_採番[顧客],"",0,1)</f>
        <v>日新堂株式会社</v>
      </c>
      <c r="E36" s="71" t="s">
        <v>1903</v>
      </c>
      <c r="F36" s="118" t="str">
        <f>IF(ISBLANK(tbl_明細[[#This Row],[仕入先（M)]]),_xlfn.XLOOKUP(tbl_明細[[#This Row],[商品ID]],商品マスタ[商品連番],商品マスタ[仕入先],"",0,1),tbl_明細[[#This Row],[仕入先（M)]])</f>
        <v>湯浅醤油</v>
      </c>
      <c r="G36" s="112" t="str">
        <f>IF(ISBLANK(tbl_明細[[#This Row],[商品名（M)]]),_xlfn.XLOOKUP(tbl_明細[[#This Row],[商品ID]],商品マスタ[商品連番],商品マスタ[商品名],"",0,),tbl_明細[[#This Row],[商品名（M)]])</f>
        <v>蔵匠 白搾り 200ml</v>
      </c>
      <c r="H36" s="80">
        <f>IF(ISBLANK(tbl_明細[[#This Row],[仕入価格（M)]]),_xlfn.XLOOKUP(tbl_明細[[#This Row],[商品ID]],商品マスタ[商品連番],商品マスタ[仕入
単価],"",0,1),tbl_明細[[#This Row],[仕入価格（M)]])</f>
        <v>385</v>
      </c>
      <c r="I36" s="80">
        <f>_xlfn.XLOOKUP(tbl_明細[[#This Row],[商品ID]],商品マスタ[商品連番],商品マスタ[国内定価
（15％）],"",0,1)</f>
        <v>460</v>
      </c>
      <c r="J36" s="85">
        <v>470</v>
      </c>
      <c r="K36" s="71">
        <v>60</v>
      </c>
      <c r="L36" s="77" t="str">
        <f>_xlfn.XLOOKUP(tbl_明細[[#This Row],[商品ID]],商品マスタ[商品連番],商品マスタ[単位],"",0,1)</f>
        <v>本</v>
      </c>
      <c r="M36" s="249">
        <f>1-tbl_明細[[#This Row],[仕入価格]]/tbl_明細[[#This Row],[販売価格（売値）]]</f>
        <v>0.18085106382978722</v>
      </c>
      <c r="N36" s="189">
        <f>_xlfn.XLOOKUP(tbl_明細[[#This Row],[商品ID]],商品マスタ[商品連番],商品マスタ[税率],"",0,1)</f>
        <v>0.08</v>
      </c>
      <c r="O36" s="120"/>
      <c r="P36" s="71"/>
      <c r="Q36" s="81"/>
      <c r="R36" s="81"/>
      <c r="S36" s="71"/>
      <c r="T36" s="71"/>
      <c r="U36" s="79"/>
      <c r="V36" s="79"/>
      <c r="W36" s="113"/>
      <c r="X36" s="254">
        <f>tbl_明細[[#This Row],[仕入価格]]*tbl_明細[[#This Row],[数量]]+tbl_明細[[#This Row],[仕入価格（M)]]*tbl_明細[[#This Row],[数量（M)]]</f>
        <v>23100</v>
      </c>
      <c r="Y36" s="254">
        <f>tbl_明細[[#This Row],[販売価格（売値）]]*tbl_明細[[#This Row],[数量]]+tbl_明細[[#This Row],[販売価格（M)]]*tbl_明細[[#This Row],[数量（M)]]</f>
        <v>28200</v>
      </c>
      <c r="Z36" s="257">
        <f>_xlfn.XLOOKUP(tbl_明細[[#This Row],[案件番号]],tbl_案件追跡[案件番号],tbl_案件追跡[受注],"",0,1)</f>
        <v>0</v>
      </c>
      <c r="AA36" s="228">
        <f>tbl_明細[[#This Row],[販売価格（売値）]]+tbl_明細[[#This Row],[販売価格（M)]]</f>
        <v>470</v>
      </c>
      <c r="AB36" s="261">
        <f>tbl_明細[[#This Row],[販売価格（売値）]]*1.08+tbl_明細[[#This Row],[販売価格（M)]]*1.08</f>
        <v>507.6</v>
      </c>
    </row>
    <row r="37" spans="1:28">
      <c r="A37" s="73" t="s">
        <v>1908</v>
      </c>
      <c r="B37" s="77">
        <f>IF(ISBLANK(tbl_明細[[#This Row],[案件番号]]),"",COUNTIFS($A$3:A37,tbl_明細[[#This Row],[案件番号]],$AA$3:AA37,"&gt;0"))</f>
        <v>4</v>
      </c>
      <c r="C37" s="71">
        <f>COUNTIFS($A$3:A37,tbl_明細[[#This Row],[案件番号]],$F$3:F37,tbl_明細[[#This Row],[仕入先]])</f>
        <v>4</v>
      </c>
      <c r="D37" s="77" t="str">
        <f>_xlfn.XLOOKUP(tbl_明細[[#This Row],[案件番号]],tbl_採番[案件番号],tbl_採番[顧客],"",0,1)</f>
        <v>日新堂株式会社</v>
      </c>
      <c r="E37" s="71" t="s">
        <v>1904</v>
      </c>
      <c r="F37" s="118" t="str">
        <f>IF(ISBLANK(tbl_明細[[#This Row],[仕入先（M)]]),_xlfn.XLOOKUP(tbl_明細[[#This Row],[商品ID]],商品マスタ[商品連番],商品マスタ[仕入先],"",0,1),tbl_明細[[#This Row],[仕入先（M)]])</f>
        <v>湯浅醤油</v>
      </c>
      <c r="G37" s="112" t="str">
        <f>IF(ISBLANK(tbl_明細[[#This Row],[商品名（M)]]),_xlfn.XLOOKUP(tbl_明細[[#This Row],[商品ID]],商品マスタ[商品連番],商品マスタ[商品名],"",0,),tbl_明細[[#This Row],[商品名（M)]])</f>
        <v>蔵匠 白搾り 720ml</v>
      </c>
      <c r="H37" s="80">
        <f>IF(ISBLANK(tbl_明細[[#This Row],[仕入価格（M)]]),_xlfn.XLOOKUP(tbl_明細[[#This Row],[商品ID]],商品マスタ[商品連番],商品マスタ[仕入
単価],"",0,1),tbl_明細[[#This Row],[仕入価格（M)]])</f>
        <v>840</v>
      </c>
      <c r="I37" s="80">
        <f>_xlfn.XLOOKUP(tbl_明細[[#This Row],[商品ID]],商品マスタ[商品連番],商品マスタ[国内定価
（15％）],"",0,1)</f>
        <v>990</v>
      </c>
      <c r="J37" s="85">
        <v>1020</v>
      </c>
      <c r="K37" s="71">
        <v>60</v>
      </c>
      <c r="L37" s="77" t="str">
        <f>_xlfn.XLOOKUP(tbl_明細[[#This Row],[商品ID]],商品マスタ[商品連番],商品マスタ[単位],"",0,1)</f>
        <v>本</v>
      </c>
      <c r="M37" s="249">
        <f>1-tbl_明細[[#This Row],[仕入価格]]/tbl_明細[[#This Row],[販売価格（売値）]]</f>
        <v>0.17647058823529416</v>
      </c>
      <c r="N37" s="189">
        <f>_xlfn.XLOOKUP(tbl_明細[[#This Row],[商品ID]],商品マスタ[商品連番],商品マスタ[税率],"",0,1)</f>
        <v>0.08</v>
      </c>
      <c r="O37" s="120"/>
      <c r="P37" s="71"/>
      <c r="Q37" s="81"/>
      <c r="R37" s="81"/>
      <c r="S37" s="71"/>
      <c r="T37" s="71"/>
      <c r="U37" s="79"/>
      <c r="V37" s="79"/>
      <c r="W37" s="113"/>
      <c r="X37" s="254">
        <f>tbl_明細[[#This Row],[仕入価格]]*tbl_明細[[#This Row],[数量]]+tbl_明細[[#This Row],[仕入価格（M)]]*tbl_明細[[#This Row],[数量（M)]]</f>
        <v>50400</v>
      </c>
      <c r="Y37" s="254">
        <f>tbl_明細[[#This Row],[販売価格（売値）]]*tbl_明細[[#This Row],[数量]]+tbl_明細[[#This Row],[販売価格（M)]]*tbl_明細[[#This Row],[数量（M)]]</f>
        <v>61200</v>
      </c>
      <c r="Z37" s="257">
        <f>_xlfn.XLOOKUP(tbl_明細[[#This Row],[案件番号]],tbl_案件追跡[案件番号],tbl_案件追跡[受注],"",0,1)</f>
        <v>0</v>
      </c>
      <c r="AA37" s="228">
        <f>tbl_明細[[#This Row],[販売価格（売値）]]+tbl_明細[[#This Row],[販売価格（M)]]</f>
        <v>1020</v>
      </c>
      <c r="AB37" s="261">
        <f>tbl_明細[[#This Row],[販売価格（売値）]]*1.08+tbl_明細[[#This Row],[販売価格（M)]]*1.08</f>
        <v>1101.6000000000001</v>
      </c>
    </row>
    <row r="38" spans="1:28">
      <c r="A38" s="73" t="s">
        <v>1908</v>
      </c>
      <c r="B38" s="77">
        <f>IF(ISBLANK(tbl_明細[[#This Row],[案件番号]]),"",COUNTIFS($A$3:A38,tbl_明細[[#This Row],[案件番号]],$AA$3:AA38,"&gt;0"))</f>
        <v>5</v>
      </c>
      <c r="C38" s="71">
        <f>COUNTIFS($A$3:A38,tbl_明細[[#This Row],[案件番号]],$F$3:F38,tbl_明細[[#This Row],[仕入先]])</f>
        <v>5</v>
      </c>
      <c r="D38" s="77" t="str">
        <f>_xlfn.XLOOKUP(tbl_明細[[#This Row],[案件番号]],tbl_採番[案件番号],tbl_採番[顧客],"",0,1)</f>
        <v>日新堂株式会社</v>
      </c>
      <c r="E38" s="71" t="s">
        <v>1899</v>
      </c>
      <c r="F38" s="118" t="str">
        <f>IF(ISBLANK(tbl_明細[[#This Row],[仕入先（M)]]),_xlfn.XLOOKUP(tbl_明細[[#This Row],[商品ID]],商品マスタ[商品連番],商品マスタ[仕入先],"",0,1),tbl_明細[[#This Row],[仕入先（M)]])</f>
        <v>湯浅醤油</v>
      </c>
      <c r="G38" s="112" t="str">
        <f>IF(ISBLANK(tbl_明細[[#This Row],[商品名（M)]]),_xlfn.XLOOKUP(tbl_明細[[#This Row],[商品ID]],商品マスタ[商品連番],商品マスタ[商品名],"",0,),tbl_明細[[#This Row],[商品名（M)]])</f>
        <v xml:space="preserve">蔵匠 樽仕込み 1.8L </v>
      </c>
      <c r="H38" s="80">
        <f>IF(ISBLANK(tbl_明細[[#This Row],[仕入価格（M)]]),_xlfn.XLOOKUP(tbl_明細[[#This Row],[商品ID]],商品マスタ[商品連番],商品マスタ[仕入
単価],"",0,1),tbl_明細[[#This Row],[仕入価格（M)]])</f>
        <v>2030</v>
      </c>
      <c r="I38" s="80">
        <f>_xlfn.XLOOKUP(tbl_明細[[#This Row],[商品ID]],商品マスタ[商品連番],商品マスタ[国内定価
（15％）],"",0,1)</f>
        <v>2390</v>
      </c>
      <c r="J38" s="85">
        <v>2470</v>
      </c>
      <c r="K38" s="71">
        <v>30</v>
      </c>
      <c r="L38" s="77" t="str">
        <f>_xlfn.XLOOKUP(tbl_明細[[#This Row],[商品ID]],商品マスタ[商品連番],商品マスタ[単位],"",0,1)</f>
        <v>本</v>
      </c>
      <c r="M38" s="249">
        <f>1-tbl_明細[[#This Row],[仕入価格]]/tbl_明細[[#This Row],[販売価格（売値）]]</f>
        <v>0.17813765182186236</v>
      </c>
      <c r="N38" s="189">
        <f>_xlfn.XLOOKUP(tbl_明細[[#This Row],[商品ID]],商品マスタ[商品連番],商品マスタ[税率],"",0,1)</f>
        <v>0.08</v>
      </c>
      <c r="O38" s="120"/>
      <c r="P38" s="71"/>
      <c r="Q38" s="81"/>
      <c r="R38" s="81"/>
      <c r="S38" s="71"/>
      <c r="T38" s="71"/>
      <c r="U38" s="79"/>
      <c r="V38" s="79"/>
      <c r="W38" s="113"/>
      <c r="X38" s="254">
        <f>tbl_明細[[#This Row],[仕入価格]]*tbl_明細[[#This Row],[数量]]+tbl_明細[[#This Row],[仕入価格（M)]]*tbl_明細[[#This Row],[数量（M)]]</f>
        <v>60900</v>
      </c>
      <c r="Y38" s="254">
        <f>tbl_明細[[#This Row],[販売価格（売値）]]*tbl_明細[[#This Row],[数量]]+tbl_明細[[#This Row],[販売価格（M)]]*tbl_明細[[#This Row],[数量（M)]]</f>
        <v>74100</v>
      </c>
      <c r="Z38" s="257">
        <f>_xlfn.XLOOKUP(tbl_明細[[#This Row],[案件番号]],tbl_案件追跡[案件番号],tbl_案件追跡[受注],"",0,1)</f>
        <v>0</v>
      </c>
      <c r="AA38" s="228">
        <f>tbl_明細[[#This Row],[販売価格（売値）]]+tbl_明細[[#This Row],[販売価格（M)]]</f>
        <v>2470</v>
      </c>
      <c r="AB38" s="261">
        <f>tbl_明細[[#This Row],[販売価格（売値）]]*1.08+tbl_明細[[#This Row],[販売価格（M)]]*1.08</f>
        <v>2667.6000000000004</v>
      </c>
    </row>
    <row r="39" spans="1:28">
      <c r="A39" s="73" t="s">
        <v>1844</v>
      </c>
      <c r="B39" s="77">
        <f>IF(ISBLANK(tbl_明細[[#This Row],[案件番号]]),"",COUNTIFS($A$3:A39,tbl_明細[[#This Row],[案件番号]],$AA$3:AA39,"&gt;0"))</f>
        <v>6</v>
      </c>
      <c r="C39" s="71">
        <f>COUNTIFS($A$3:A39,tbl_明細[[#This Row],[案件番号]],$F$3:F39,tbl_明細[[#This Row],[仕入先]])</f>
        <v>5</v>
      </c>
      <c r="D39" s="77" t="str">
        <f>_xlfn.XLOOKUP(tbl_明細[[#This Row],[案件番号]],tbl_採番[案件番号],tbl_採番[顧客],"",0,1)</f>
        <v>NISSHAビジネスサービス</v>
      </c>
      <c r="E39" s="71"/>
      <c r="F39" s="118" t="str">
        <f>IF(ISBLANK(tbl_明細[[#This Row],[仕入先（M)]]),_xlfn.XLOOKUP(tbl_明細[[#This Row],[商品ID]],商品マスタ[商品連番],商品マスタ[仕入先],"",0,1),tbl_明細[[#This Row],[仕入先（M)]])</f>
        <v>有限会社小林食品</v>
      </c>
      <c r="G39" s="112" t="str">
        <f>IF(ISBLANK(tbl_明細[[#This Row],[商品名（M)]]),_xlfn.XLOOKUP(tbl_明細[[#This Row],[商品ID]],商品マスタ[商品連番],商品マスタ[商品名],"",0,),tbl_明細[[#This Row],[商品名（M)]])</f>
        <v>ズワイガニ風味ラーメン 　 味噌（1食入り）</v>
      </c>
      <c r="H39" s="80">
        <f>IF(ISBLANK(tbl_明細[[#This Row],[仕入価格（M)]]),_xlfn.XLOOKUP(tbl_明細[[#This Row],[商品ID]],商品マスタ[商品連番],商品マスタ[仕入
単価],"",0,1),tbl_明細[[#This Row],[仕入価格（M)]])</f>
        <v>175</v>
      </c>
      <c r="I39" s="80" t="str">
        <f>_xlfn.XLOOKUP(tbl_明細[[#This Row],[商品ID]],商品マスタ[商品連番],商品マスタ[国内定価
（15％）],"",0,1)</f>
        <v/>
      </c>
      <c r="J39" s="85"/>
      <c r="K39" s="71"/>
      <c r="L39" s="77" t="str">
        <f>_xlfn.XLOOKUP(tbl_明細[[#This Row],[商品ID]],商品マスタ[商品連番],商品マスタ[単位],"",0,1)</f>
        <v/>
      </c>
      <c r="M39" s="249" t="e">
        <f>1-tbl_明細[[#This Row],[仕入価格]]/tbl_明細[[#This Row],[販売価格（売値）]]</f>
        <v>#DIV/0!</v>
      </c>
      <c r="N39" s="189" t="str">
        <f>_xlfn.XLOOKUP(tbl_明細[[#This Row],[商品ID]],商品マスタ[商品連番],商品マスタ[税率],"",0,1)</f>
        <v/>
      </c>
      <c r="O39" s="120" t="s">
        <v>1861</v>
      </c>
      <c r="P39" s="71" t="s">
        <v>1866</v>
      </c>
      <c r="Q39" s="81">
        <v>175</v>
      </c>
      <c r="R39" s="81">
        <f>238/1.08</f>
        <v>220.37037037037035</v>
      </c>
      <c r="S39" s="71">
        <v>14</v>
      </c>
      <c r="T39" s="71" t="s">
        <v>900</v>
      </c>
      <c r="U39" s="79">
        <v>0.08</v>
      </c>
      <c r="V39" s="79"/>
      <c r="W39" s="113" t="s">
        <v>1927</v>
      </c>
      <c r="X39" s="254">
        <f>tbl_明細[[#This Row],[仕入価格]]*tbl_明細[[#This Row],[数量]]+tbl_明細[[#This Row],[仕入価格（M)]]*tbl_明細[[#This Row],[数量（M)]]</f>
        <v>2450</v>
      </c>
      <c r="Y39" s="254">
        <f>tbl_明細[[#This Row],[販売価格（売値）]]*tbl_明細[[#This Row],[数量]]+tbl_明細[[#This Row],[販売価格（M)]]*tbl_明細[[#This Row],[数量（M)]]</f>
        <v>3085.1851851851848</v>
      </c>
      <c r="Z39" s="257">
        <f>_xlfn.XLOOKUP(tbl_明細[[#This Row],[案件番号]],tbl_案件追跡[案件番号],tbl_案件追跡[受注],"",0,1)</f>
        <v>46056</v>
      </c>
      <c r="AA39" s="228">
        <f>tbl_明細[[#This Row],[販売価格（売値）]]+tbl_明細[[#This Row],[販売価格（M)]]</f>
        <v>220.37037037037035</v>
      </c>
      <c r="AB39" s="261">
        <f>tbl_明細[[#This Row],[販売価格（売値）]]*1.08+tbl_明細[[#This Row],[販売価格（M)]]*1.08</f>
        <v>238</v>
      </c>
    </row>
    <row r="40" spans="1:28">
      <c r="A40" s="73" t="s">
        <v>1844</v>
      </c>
      <c r="B40" s="77">
        <f>IF(ISBLANK(tbl_明細[[#This Row],[案件番号]]),"",COUNTIFS($A$3:A40,tbl_明細[[#This Row],[案件番号]],$AA$3:AA40,"&gt;0"))</f>
        <v>7</v>
      </c>
      <c r="C40" s="71">
        <f>COUNTIFS($A$3:A40,tbl_明細[[#This Row],[案件番号]],$F$3:F40,tbl_明細[[#This Row],[仕入先]])</f>
        <v>6</v>
      </c>
      <c r="D40" s="77" t="str">
        <f>_xlfn.XLOOKUP(tbl_明細[[#This Row],[案件番号]],tbl_採番[案件番号],tbl_採番[顧客],"",0,1)</f>
        <v>NISSHAビジネスサービス</v>
      </c>
      <c r="E40" s="71"/>
      <c r="F40" s="118" t="str">
        <f>IF(ISBLANK(tbl_明細[[#This Row],[仕入先（M)]]),_xlfn.XLOOKUP(tbl_明細[[#This Row],[商品ID]],商品マスタ[商品連番],商品マスタ[仕入先],"",0,1),tbl_明細[[#This Row],[仕入先（M)]])</f>
        <v>有限会社小林食品</v>
      </c>
      <c r="G40" s="112" t="str">
        <f>IF(ISBLANK(tbl_明細[[#This Row],[商品名（M)]]),_xlfn.XLOOKUP(tbl_明細[[#This Row],[商品ID]],商品マスタ[商品連番],商品マスタ[商品名],"",0,),tbl_明細[[#This Row],[商品名（M)]])</f>
        <v>ズワイガニ風味ラーメン 　 醤油（1食入り）</v>
      </c>
      <c r="H40" s="80">
        <f>IF(ISBLANK(tbl_明細[[#This Row],[仕入価格（M)]]),_xlfn.XLOOKUP(tbl_明細[[#This Row],[商品ID]],商品マスタ[商品連番],商品マスタ[仕入
単価],"",0,1),tbl_明細[[#This Row],[仕入価格（M)]])</f>
        <v>175</v>
      </c>
      <c r="I40" s="80" t="str">
        <f>_xlfn.XLOOKUP(tbl_明細[[#This Row],[商品ID]],商品マスタ[商品連番],商品マスタ[国内定価
（15％）],"",0,1)</f>
        <v/>
      </c>
      <c r="J40" s="85"/>
      <c r="K40" s="71"/>
      <c r="L40" s="77" t="str">
        <f>_xlfn.XLOOKUP(tbl_明細[[#This Row],[商品ID]],商品マスタ[商品連番],商品マスタ[単位],"",0,1)</f>
        <v/>
      </c>
      <c r="M40" s="249" t="e">
        <f>1-tbl_明細[[#This Row],[仕入価格]]/tbl_明細[[#This Row],[販売価格（売値）]]</f>
        <v>#DIV/0!</v>
      </c>
      <c r="N40" s="189" t="str">
        <f>_xlfn.XLOOKUP(tbl_明細[[#This Row],[商品ID]],商品マスタ[商品連番],商品マスタ[税率],"",0,1)</f>
        <v/>
      </c>
      <c r="O40" s="120" t="s">
        <v>1861</v>
      </c>
      <c r="P40" s="71" t="s">
        <v>1867</v>
      </c>
      <c r="Q40" s="81">
        <v>175</v>
      </c>
      <c r="R40" s="81">
        <f>238/1.08</f>
        <v>220.37037037037035</v>
      </c>
      <c r="S40" s="71">
        <v>13</v>
      </c>
      <c r="T40" s="71" t="s">
        <v>900</v>
      </c>
      <c r="U40" s="79">
        <v>0.08</v>
      </c>
      <c r="V40" s="79"/>
      <c r="W40" s="113" t="s">
        <v>1927</v>
      </c>
      <c r="X40" s="254">
        <f>tbl_明細[[#This Row],[仕入価格]]*tbl_明細[[#This Row],[数量]]+tbl_明細[[#This Row],[仕入価格（M)]]*tbl_明細[[#This Row],[数量（M)]]</f>
        <v>2275</v>
      </c>
      <c r="Y40" s="254">
        <f>tbl_明細[[#This Row],[販売価格（売値）]]*tbl_明細[[#This Row],[数量]]+tbl_明細[[#This Row],[販売価格（M)]]*tbl_明細[[#This Row],[数量（M)]]</f>
        <v>2864.8148148148148</v>
      </c>
      <c r="Z40" s="257">
        <f>_xlfn.XLOOKUP(tbl_明細[[#This Row],[案件番号]],tbl_案件追跡[案件番号],tbl_案件追跡[受注],"",0,1)</f>
        <v>46056</v>
      </c>
      <c r="AA40" s="228">
        <f>tbl_明細[[#This Row],[販売価格（売値）]]+tbl_明細[[#This Row],[販売価格（M)]]</f>
        <v>220.37037037037035</v>
      </c>
      <c r="AB40" s="261">
        <f>tbl_明細[[#This Row],[販売価格（売値）]]*1.08+tbl_明細[[#This Row],[販売価格（M)]]*1.08</f>
        <v>238</v>
      </c>
    </row>
    <row r="41" spans="1:28">
      <c r="A41" s="73" t="s">
        <v>1844</v>
      </c>
      <c r="B41" s="77">
        <f>IF(ISBLANK(tbl_明細[[#This Row],[案件番号]]),"",COUNTIFS($A$3:A41,tbl_明細[[#This Row],[案件番号]],$AA$3:AA41,"&gt;0"))</f>
        <v>8</v>
      </c>
      <c r="C41" s="71">
        <f>COUNTIFS($A$3:A41,tbl_明細[[#This Row],[案件番号]],$F$3:F41,tbl_明細[[#This Row],[仕入先]])</f>
        <v>7</v>
      </c>
      <c r="D41" s="77" t="str">
        <f>_xlfn.XLOOKUP(tbl_明細[[#This Row],[案件番号]],tbl_採番[案件番号],tbl_採番[顧客],"",0,1)</f>
        <v>NISSHAビジネスサービス</v>
      </c>
      <c r="E41" s="71"/>
      <c r="F41" s="118" t="str">
        <f>IF(ISBLANK(tbl_明細[[#This Row],[仕入先（M)]]),_xlfn.XLOOKUP(tbl_明細[[#This Row],[商品ID]],商品マスタ[商品連番],商品マスタ[仕入先],"",0,1),tbl_明細[[#This Row],[仕入先（M)]])</f>
        <v>有限会社小林食品</v>
      </c>
      <c r="G41" s="112" t="str">
        <f>IF(ISBLANK(tbl_明細[[#This Row],[商品名（M)]]),_xlfn.XLOOKUP(tbl_明細[[#This Row],[商品ID]],商品マスタ[商品連番],商品マスタ[商品名],"",0,),tbl_明細[[#This Row],[商品名（M)]])</f>
        <v>送料</v>
      </c>
      <c r="H41" s="80">
        <f>IF(ISBLANK(tbl_明細[[#This Row],[仕入価格（M)]]),_xlfn.XLOOKUP(tbl_明細[[#This Row],[商品ID]],商品マスタ[商品連番],商品マスタ[仕入
単価],"",0,1),tbl_明細[[#This Row],[仕入価格（M)]])</f>
        <v>870</v>
      </c>
      <c r="I41" s="80" t="str">
        <f>_xlfn.XLOOKUP(tbl_明細[[#This Row],[商品ID]],商品マスタ[商品連番],商品マスタ[国内定価
（15％）],"",0,1)</f>
        <v/>
      </c>
      <c r="J41" s="85"/>
      <c r="K41" s="71"/>
      <c r="L41" s="77" t="str">
        <f>_xlfn.XLOOKUP(tbl_明細[[#This Row],[商品ID]],商品マスタ[商品連番],商品マスタ[単位],"",0,1)</f>
        <v/>
      </c>
      <c r="M41" s="249" t="e">
        <f>1-tbl_明細[[#This Row],[仕入価格]]/tbl_明細[[#This Row],[販売価格（売値）]]</f>
        <v>#DIV/0!</v>
      </c>
      <c r="N41" s="189" t="str">
        <f>_xlfn.XLOOKUP(tbl_明細[[#This Row],[商品ID]],商品マスタ[商品連番],商品マスタ[税率],"",0,1)</f>
        <v/>
      </c>
      <c r="O41" s="120" t="s">
        <v>1861</v>
      </c>
      <c r="P41" s="71" t="s">
        <v>1924</v>
      </c>
      <c r="Q41" s="81">
        <v>870</v>
      </c>
      <c r="R41" s="81">
        <v>870</v>
      </c>
      <c r="S41" s="71">
        <v>1</v>
      </c>
      <c r="T41" s="71" t="s">
        <v>1095</v>
      </c>
      <c r="U41" s="79">
        <v>0.1</v>
      </c>
      <c r="V41" s="79"/>
      <c r="W41" s="113" t="s">
        <v>1927</v>
      </c>
      <c r="X41" s="254">
        <f>tbl_明細[[#This Row],[仕入価格]]*tbl_明細[[#This Row],[数量]]+tbl_明細[[#This Row],[仕入価格（M)]]*tbl_明細[[#This Row],[数量（M)]]</f>
        <v>870</v>
      </c>
      <c r="Y41" s="254">
        <f>tbl_明細[[#This Row],[販売価格（売値）]]*tbl_明細[[#This Row],[数量]]+tbl_明細[[#This Row],[販売価格（M)]]*tbl_明細[[#This Row],[数量（M)]]</f>
        <v>870</v>
      </c>
      <c r="Z41" s="257">
        <f>_xlfn.XLOOKUP(tbl_明細[[#This Row],[案件番号]],tbl_案件追跡[案件番号],tbl_案件追跡[受注],"",0,1)</f>
        <v>46056</v>
      </c>
      <c r="AA41" s="228">
        <f>tbl_明細[[#This Row],[販売価格（売値）]]+tbl_明細[[#This Row],[販売価格（M)]]</f>
        <v>870</v>
      </c>
      <c r="AB41" s="261">
        <f>tbl_明細[[#This Row],[販売価格（売値）]]*1.08+tbl_明細[[#This Row],[販売価格（M)]]*1.08</f>
        <v>939.6</v>
      </c>
    </row>
    <row r="42" spans="1:28">
      <c r="A42" s="73" t="s">
        <v>1926</v>
      </c>
      <c r="B42" s="77">
        <f>IF(ISBLANK(tbl_明細[[#This Row],[案件番号]]),"",COUNTIFS($A$3:A42,tbl_明細[[#This Row],[案件番号]],$AA$3:AA42,"&gt;0"))</f>
        <v>1</v>
      </c>
      <c r="C42" s="71">
        <f>COUNTIFS($A$3:A42,tbl_明細[[#This Row],[案件番号]],$F$3:F42,tbl_明細[[#This Row],[仕入先]])</f>
        <v>1</v>
      </c>
      <c r="D42" s="77" t="str">
        <f>_xlfn.XLOOKUP(tbl_明細[[#This Row],[案件番号]],tbl_採番[案件番号],tbl_採番[顧客],"",0,1)</f>
        <v>雲鶴</v>
      </c>
      <c r="E42" s="71" t="s">
        <v>1137</v>
      </c>
      <c r="F42" s="118" t="str">
        <f>IF(ISBLANK(tbl_明細[[#This Row],[仕入先（M)]]),_xlfn.XLOOKUP(tbl_明細[[#This Row],[商品ID]],商品マスタ[商品連番],商品マスタ[仕入先],"",0,1),tbl_明細[[#This Row],[仕入先（M)]])</f>
        <v>GOODGOOD</v>
      </c>
      <c r="G42" s="112" t="str">
        <f>IF(ISBLANK(tbl_明細[[#This Row],[商品名（M)]]),_xlfn.XLOOKUP(tbl_明細[[#This Row],[商品ID]],商品マスタ[商品連番],商品マスタ[商品名],"",0,),tbl_明細[[#This Row],[商品名（M)]])</f>
        <v>阿蘇赤身和牛　ミンチ（部位指定なし）</v>
      </c>
      <c r="H42" s="80">
        <f>IF(ISBLANK(tbl_明細[[#This Row],[仕入価格（M)]]),_xlfn.XLOOKUP(tbl_明細[[#This Row],[商品ID]],商品マスタ[商品連番],商品マスタ[仕入
単価],"",0,1),tbl_明細[[#This Row],[仕入価格（M)]])</f>
        <v>4000</v>
      </c>
      <c r="I42" s="80">
        <f>_xlfn.XLOOKUP(tbl_明細[[#This Row],[商品ID]],商品マスタ[商品連番],商品マスタ[国内定価
（15％）],"",0,1)</f>
        <v>4710</v>
      </c>
      <c r="J42" s="85">
        <v>4800</v>
      </c>
      <c r="K42" s="71">
        <v>2</v>
      </c>
      <c r="L42" s="77" t="str">
        <f>_xlfn.XLOOKUP(tbl_明細[[#This Row],[商品ID]],商品マスタ[商品連番],商品マスタ[単位],"",0,1)</f>
        <v>kg</v>
      </c>
      <c r="M42" s="249">
        <f>1-tbl_明細[[#This Row],[仕入価格]]/tbl_明細[[#This Row],[販売価格（売値）]]</f>
        <v>0.16666666666666663</v>
      </c>
      <c r="N42" s="189">
        <f>_xlfn.XLOOKUP(tbl_明細[[#This Row],[商品ID]],商品マスタ[商品連番],商品マスタ[税率],"",0,1)</f>
        <v>0.08</v>
      </c>
      <c r="O42" s="120"/>
      <c r="P42" s="71"/>
      <c r="Q42" s="81"/>
      <c r="R42" s="81"/>
      <c r="S42" s="71"/>
      <c r="T42" s="71"/>
      <c r="U42" s="79"/>
      <c r="V42" s="79"/>
      <c r="W42" s="113"/>
      <c r="X42" s="254">
        <f>tbl_明細[[#This Row],[仕入価格]]*tbl_明細[[#This Row],[数量]]+tbl_明細[[#This Row],[仕入価格（M)]]*tbl_明細[[#This Row],[数量（M)]]</f>
        <v>8000</v>
      </c>
      <c r="Y42" s="254">
        <f>tbl_明細[[#This Row],[販売価格（売値）]]*tbl_明細[[#This Row],[数量]]+tbl_明細[[#This Row],[販売価格（M)]]*tbl_明細[[#This Row],[数量（M)]]</f>
        <v>9600</v>
      </c>
      <c r="Z42" s="257" t="str">
        <f>_xlfn.XLOOKUP(tbl_明細[[#This Row],[案件番号]],tbl_案件追跡[案件番号],tbl_案件追跡[受注],"",0,1)</f>
        <v/>
      </c>
      <c r="AA42" s="228">
        <f>tbl_明細[[#This Row],[販売価格（売値）]]+tbl_明細[[#This Row],[販売価格（M)]]</f>
        <v>4800</v>
      </c>
      <c r="AB42" s="261">
        <f>tbl_明細[[#This Row],[販売価格（売値）]]*1.08+tbl_明細[[#This Row],[販売価格（M)]]*1.08</f>
        <v>5184</v>
      </c>
    </row>
    <row r="43" spans="1:28">
      <c r="A43" s="73" t="s">
        <v>1926</v>
      </c>
      <c r="B43" s="77">
        <f>IF(ISBLANK(tbl_明細[[#This Row],[案件番号]]),"",COUNTIFS($A$3:A43,tbl_明細[[#This Row],[案件番号]],$AA$3:AA43,"&gt;0"))</f>
        <v>2</v>
      </c>
      <c r="C43" s="71">
        <f>COUNTIFS($A$3:A43,tbl_明細[[#This Row],[案件番号]],$F$3:F43,tbl_明細[[#This Row],[仕入先]])</f>
        <v>2</v>
      </c>
      <c r="D43" s="77" t="str">
        <f>_xlfn.XLOOKUP(tbl_明細[[#This Row],[案件番号]],tbl_採番[案件番号],tbl_採番[顧客],"",0,1)</f>
        <v>雲鶴</v>
      </c>
      <c r="E43" s="71"/>
      <c r="F43" s="118" t="s">
        <v>998</v>
      </c>
      <c r="G43" s="112" t="s">
        <v>1924</v>
      </c>
      <c r="H43" s="80">
        <v>1060</v>
      </c>
      <c r="I43" s="80" t="str">
        <f>_xlfn.XLOOKUP(tbl_明細[[#This Row],[商品ID]],商品マスタ[商品連番],商品マスタ[国内定価
（15％）],"",0,1)</f>
        <v/>
      </c>
      <c r="J43" s="85">
        <v>1060</v>
      </c>
      <c r="K43" s="71">
        <v>1</v>
      </c>
      <c r="L43" s="77" t="s">
        <v>1095</v>
      </c>
      <c r="M43" s="249">
        <f>1-tbl_明細[[#This Row],[仕入価格]]/tbl_明細[[#This Row],[販売価格（売値）]]</f>
        <v>0</v>
      </c>
      <c r="N43" s="189" t="str">
        <f>_xlfn.XLOOKUP(tbl_明細[[#This Row],[商品ID]],商品マスタ[商品連番],商品マスタ[税率],"",0,1)</f>
        <v/>
      </c>
      <c r="O43" s="120"/>
      <c r="P43" s="71"/>
      <c r="Q43" s="81"/>
      <c r="R43" s="81"/>
      <c r="S43" s="71"/>
      <c r="T43" s="71"/>
      <c r="U43" s="79"/>
      <c r="V43" s="79"/>
      <c r="W43" s="113"/>
      <c r="X43" s="254">
        <f>tbl_明細[[#This Row],[仕入価格]]*tbl_明細[[#This Row],[数量]]+tbl_明細[[#This Row],[仕入価格（M)]]*tbl_明細[[#This Row],[数量（M)]]</f>
        <v>1060</v>
      </c>
      <c r="Y43" s="254">
        <f>tbl_明細[[#This Row],[販売価格（売値）]]*tbl_明細[[#This Row],[数量]]+tbl_明細[[#This Row],[販売価格（M)]]*tbl_明細[[#This Row],[数量（M)]]</f>
        <v>1060</v>
      </c>
      <c r="Z43" s="257" t="str">
        <f>_xlfn.XLOOKUP(tbl_明細[[#This Row],[案件番号]],tbl_案件追跡[案件番号],tbl_案件追跡[受注],"",0,1)</f>
        <v/>
      </c>
      <c r="AA43" s="228">
        <f>tbl_明細[[#This Row],[販売価格（売値）]]+tbl_明細[[#This Row],[販売価格（M)]]</f>
        <v>1060</v>
      </c>
      <c r="AB43" s="261">
        <f>tbl_明細[[#This Row],[販売価格（売値）]]*1.08+tbl_明細[[#This Row],[販売価格（M)]]*1.08</f>
        <v>1144.8000000000002</v>
      </c>
    </row>
    <row r="44" spans="1:28">
      <c r="A44" s="73" t="s">
        <v>1933</v>
      </c>
      <c r="B44" s="77">
        <f>IF(ISBLANK(tbl_明細[[#This Row],[案件番号]]),"",COUNTIFS($A$3:A44,tbl_明細[[#This Row],[案件番号]],$AA$3:AA44,"&gt;0"))</f>
        <v>1</v>
      </c>
      <c r="C44" s="71">
        <f>COUNTIFS($A$3:A44,tbl_明細[[#This Row],[案件番号]],$F$3:F44,tbl_明細[[#This Row],[仕入先]])</f>
        <v>1</v>
      </c>
      <c r="D44" s="77" t="str">
        <f>_xlfn.XLOOKUP(tbl_明細[[#This Row],[案件番号]],tbl_採番[案件番号],tbl_採番[顧客],"",0,1)</f>
        <v>オーセントホテルズ株式会社</v>
      </c>
      <c r="E44" s="71" t="s">
        <v>1934</v>
      </c>
      <c r="F44" s="118" t="str">
        <f>IF(ISBLANK(tbl_明細[[#This Row],[仕入先（M)]]),_xlfn.XLOOKUP(tbl_明細[[#This Row],[商品ID]],商品マスタ[商品連番],商品マスタ[仕入先],"",0,1),tbl_明細[[#This Row],[仕入先（M)]])</f>
        <v>コットンクラブ</v>
      </c>
      <c r="G44" s="112" t="str">
        <f>IF(ISBLANK(tbl_明細[[#This Row],[商品名（M)]]),_xlfn.XLOOKUP(tbl_明細[[#This Row],[商品ID]],商品マスタ[商品連番],商品マスタ[商品名],"",0,),tbl_明細[[#This Row],[商品名（M)]])</f>
        <v>和歌山のほんまもんの炭　紀州備長炭　中丸</v>
      </c>
      <c r="H44" s="80">
        <f>IF(ISBLANK(tbl_明細[[#This Row],[仕入価格（M)]]),_xlfn.XLOOKUP(tbl_明細[[#This Row],[商品ID]],商品マスタ[商品連番],商品マスタ[仕入
単価],"",0,1),tbl_明細[[#This Row],[仕入価格（M)]])</f>
        <v>1767</v>
      </c>
      <c r="I44" s="80">
        <f>_xlfn.XLOOKUP(tbl_明細[[#This Row],[商品ID]],商品マスタ[商品連番],商品マスタ[国内定価
（15％）],"",0,1)</f>
        <v>2290</v>
      </c>
      <c r="J44" s="85">
        <v>2400</v>
      </c>
      <c r="K44" s="71">
        <v>10</v>
      </c>
      <c r="L44" s="77" t="str">
        <f>_xlfn.XLOOKUP(tbl_明細[[#This Row],[商品ID]],商品マスタ[商品連番],商品マスタ[単位],"",0,1)</f>
        <v>kg</v>
      </c>
      <c r="M44" s="249">
        <f>1-tbl_明細[[#This Row],[仕入価格]]/tbl_明細[[#This Row],[販売価格（売値）]]</f>
        <v>0.26375000000000004</v>
      </c>
      <c r="N44" s="189">
        <f>_xlfn.XLOOKUP(tbl_明細[[#This Row],[商品ID]],商品マスタ[商品連番],商品マスタ[税率],"",0,1)</f>
        <v>0.1</v>
      </c>
      <c r="O44" s="120"/>
      <c r="P44" s="71"/>
      <c r="Q44" s="81"/>
      <c r="R44" s="81"/>
      <c r="S44" s="71"/>
      <c r="T44" s="71"/>
      <c r="U44" s="79"/>
      <c r="V44" s="79"/>
      <c r="W44" s="113"/>
      <c r="X44" s="254">
        <f>tbl_明細[[#This Row],[仕入価格]]*tbl_明細[[#This Row],[数量]]+tbl_明細[[#This Row],[仕入価格（M)]]*tbl_明細[[#This Row],[数量（M)]]</f>
        <v>17670</v>
      </c>
      <c r="Y44" s="254">
        <f>tbl_明細[[#This Row],[販売価格（売値）]]*tbl_明細[[#This Row],[数量]]+tbl_明細[[#This Row],[販売価格（M)]]*tbl_明細[[#This Row],[数量（M)]]</f>
        <v>24000</v>
      </c>
      <c r="Z44" s="257">
        <f>_xlfn.XLOOKUP(tbl_明細[[#This Row],[案件番号]],tbl_案件追跡[案件番号],tbl_案件追跡[受注],"",0,1)</f>
        <v>0</v>
      </c>
      <c r="AA44" s="228">
        <f>tbl_明細[[#This Row],[販売価格（売値）]]+tbl_明細[[#This Row],[販売価格（M)]]</f>
        <v>2400</v>
      </c>
      <c r="AB44" s="261">
        <f>tbl_明細[[#This Row],[販売価格（売値）]]*1.08+tbl_明細[[#This Row],[販売価格（M)]]*1.08</f>
        <v>2592</v>
      </c>
    </row>
    <row r="45" spans="1:28">
      <c r="A45" s="73" t="s">
        <v>1933</v>
      </c>
      <c r="B45" s="77">
        <f>IF(ISBLANK(tbl_明細[[#This Row],[案件番号]]),"",COUNTIFS($A$3:A45,tbl_明細[[#This Row],[案件番号]],$AA$3:AA45,"&gt;0"))</f>
        <v>2</v>
      </c>
      <c r="C45" s="71">
        <f>COUNTIFS($A$3:A45,tbl_明細[[#This Row],[案件番号]],$F$3:F45,tbl_明細[[#This Row],[仕入先]])</f>
        <v>2</v>
      </c>
      <c r="D45" s="77" t="str">
        <f>_xlfn.XLOOKUP(tbl_明細[[#This Row],[案件番号]],tbl_採番[案件番号],tbl_採番[顧客],"",0,1)</f>
        <v>オーセントホテルズ株式会社</v>
      </c>
      <c r="E45" s="71" t="s">
        <v>1935</v>
      </c>
      <c r="F45" s="118" t="s">
        <v>145</v>
      </c>
      <c r="G45" s="112" t="s">
        <v>1924</v>
      </c>
      <c r="H45" s="80">
        <v>2110</v>
      </c>
      <c r="I45" s="80" t="str">
        <f>_xlfn.XLOOKUP(tbl_明細[[#This Row],[商品ID]],商品マスタ[商品連番],商品マスタ[国内定価
（15％）],"",0,1)</f>
        <v/>
      </c>
      <c r="J45" s="85">
        <v>2110</v>
      </c>
      <c r="K45" s="71">
        <v>1</v>
      </c>
      <c r="L45" s="77" t="s">
        <v>1095</v>
      </c>
      <c r="M45" s="249">
        <f>1-tbl_明細[[#This Row],[仕入価格]]/tbl_明細[[#This Row],[販売価格（売値）]]</f>
        <v>0</v>
      </c>
      <c r="N45" s="189">
        <v>0.1</v>
      </c>
      <c r="O45" s="120"/>
      <c r="P45" s="71"/>
      <c r="Q45" s="81"/>
      <c r="R45" s="81"/>
      <c r="S45" s="71"/>
      <c r="T45" s="71"/>
      <c r="U45" s="79"/>
      <c r="V45" s="79"/>
      <c r="W45" s="113"/>
      <c r="X45" s="254">
        <f>tbl_明細[[#This Row],[仕入価格]]*tbl_明細[[#This Row],[数量]]+tbl_明細[[#This Row],[仕入価格（M)]]*tbl_明細[[#This Row],[数量（M)]]</f>
        <v>2110</v>
      </c>
      <c r="Y45" s="254">
        <f>tbl_明細[[#This Row],[販売価格（売値）]]*tbl_明細[[#This Row],[数量]]+tbl_明細[[#This Row],[販売価格（M)]]*tbl_明細[[#This Row],[数量（M)]]</f>
        <v>2110</v>
      </c>
      <c r="Z45" s="257">
        <f>_xlfn.XLOOKUP(tbl_明細[[#This Row],[案件番号]],tbl_案件追跡[案件番号],tbl_案件追跡[受注],"",0,1)</f>
        <v>0</v>
      </c>
      <c r="AA45" s="228">
        <f>tbl_明細[[#This Row],[販売価格（売値）]]+tbl_明細[[#This Row],[販売価格（M)]]</f>
        <v>2110</v>
      </c>
      <c r="AB45" s="261">
        <f>tbl_明細[[#This Row],[販売価格（売値）]]*1.08+tbl_明細[[#This Row],[販売価格（M)]]*1.08</f>
        <v>2278.8000000000002</v>
      </c>
    </row>
    <row r="46" spans="1:28">
      <c r="A46" s="70" t="s">
        <v>1874</v>
      </c>
      <c r="B46" s="77">
        <f>IF(ISBLANK(tbl_明細[[#This Row],[案件番号]]),"",COUNTIFS($A$3:A46,tbl_明細[[#This Row],[案件番号]],$AA$3:AA46,"&gt;0"))</f>
        <v>1</v>
      </c>
      <c r="C46" s="71">
        <f>COUNTIFS($A$3:A46,tbl_明細[[#This Row],[案件番号]],$F$3:F46,tbl_明細[[#This Row],[仕入先]])</f>
        <v>1</v>
      </c>
      <c r="D46" s="77" t="str">
        <f>_xlfn.XLOOKUP(tbl_明細[[#This Row],[案件番号]],tbl_採番[案件番号],tbl_採番[顧客],"",0,1)</f>
        <v>フェリーサービス株式会社</v>
      </c>
      <c r="E46" s="71" t="s">
        <v>1788</v>
      </c>
      <c r="F46" s="118" t="str">
        <f>IF(ISBLANK(tbl_明細[[#This Row],[仕入先（M)]]),_xlfn.XLOOKUP(tbl_明細[[#This Row],[商品ID]],商品マスタ[商品連番],商品マスタ[仕入先],"",0,1),tbl_明細[[#This Row],[仕入先（M)]])</f>
        <v>協栄製茶　壱之庄</v>
      </c>
      <c r="G46" s="112" t="str">
        <f>IF(ISBLANK(tbl_明細[[#This Row],[商品名（M)]]),_xlfn.XLOOKUP(tbl_明細[[#This Row],[商品ID]],商品マスタ[商品連番],商品マスタ[商品名],"",0,),tbl_明細[[#This Row],[商品名（M)]])</f>
        <v>雁の音ほうじ茶壱之棒（ティーバッグ） 45袋</v>
      </c>
      <c r="H46" s="80">
        <f>IF(ISBLANK(tbl_明細[[#This Row],[仕入価格（M)]]),_xlfn.XLOOKUP(tbl_明細[[#This Row],[商品ID]],商品マスタ[商品連番],商品マスタ[仕入
単価],"",0,1),tbl_明細[[#This Row],[仕入価格（M)]])</f>
        <v>1041</v>
      </c>
      <c r="I46" s="80">
        <f>_xlfn.XLOOKUP(tbl_明細[[#This Row],[商品ID]],商品マスタ[商品連番],商品マスタ[国内定価
（15％）],"",0,1)</f>
        <v>1230</v>
      </c>
      <c r="J46" s="85">
        <f>1250/1.08</f>
        <v>1157.4074074074074</v>
      </c>
      <c r="K46" s="71">
        <v>10</v>
      </c>
      <c r="L46" s="77" t="str">
        <f>_xlfn.XLOOKUP(tbl_明細[[#This Row],[商品ID]],商品マスタ[商品連番],商品マスタ[単位],"",0,1)</f>
        <v>パック</v>
      </c>
      <c r="M46" s="249">
        <f>1-tbl_明細[[#This Row],[仕入価格]]/tbl_明細[[#This Row],[販売価格（売値）]]</f>
        <v>0.100576</v>
      </c>
      <c r="N46" s="189">
        <f>_xlfn.XLOOKUP(tbl_明細[[#This Row],[商品ID]],商品マスタ[商品連番],商品マスタ[税率],"",0,1)</f>
        <v>0.08</v>
      </c>
      <c r="O46" s="120"/>
      <c r="P46" s="71"/>
      <c r="Q46" s="81"/>
      <c r="R46" s="81"/>
      <c r="S46" s="71"/>
      <c r="T46" s="71"/>
      <c r="U46" s="79"/>
      <c r="V46" s="113" t="s">
        <v>1938</v>
      </c>
      <c r="W46" s="113" t="s">
        <v>1938</v>
      </c>
      <c r="X46" s="254">
        <f>tbl_明細[[#This Row],[仕入価格]]*tbl_明細[[#This Row],[数量]]+tbl_明細[[#This Row],[仕入価格（M)]]*tbl_明細[[#This Row],[数量（M)]]</f>
        <v>10410</v>
      </c>
      <c r="Y46" s="254">
        <f>tbl_明細[[#This Row],[販売価格（売値）]]*tbl_明細[[#This Row],[数量]]+tbl_明細[[#This Row],[販売価格（M)]]*tbl_明細[[#This Row],[数量（M)]]</f>
        <v>11574.074074074073</v>
      </c>
      <c r="Z46" s="257">
        <f>_xlfn.XLOOKUP(tbl_明細[[#This Row],[案件番号]],tbl_案件追跡[案件番号],tbl_案件追跡[受注],"",0,1)</f>
        <v>46087</v>
      </c>
      <c r="AA46" s="228">
        <f>tbl_明細[[#This Row],[販売価格（売値）]]+tbl_明細[[#This Row],[販売価格（M)]]</f>
        <v>1157.4074074074074</v>
      </c>
      <c r="AB46" s="261">
        <f>tbl_明細[[#This Row],[販売価格（売値）]]*1.08+tbl_明細[[#This Row],[販売価格（M)]]*1.08</f>
        <v>1250</v>
      </c>
    </row>
    <row r="47" spans="1:28">
      <c r="A47" s="70" t="s">
        <v>1874</v>
      </c>
      <c r="B47" s="77">
        <f>IF(ISBLANK(tbl_明細[[#This Row],[案件番号]]),"",COUNTIFS($A$3:A47,tbl_明細[[#This Row],[案件番号]],$AA$3:AA47,"&gt;0"))</f>
        <v>2</v>
      </c>
      <c r="C47" s="71">
        <f>COUNTIFS($A$3:A47,tbl_明細[[#This Row],[案件番号]],$F$3:F47,tbl_明細[[#This Row],[仕入先]])</f>
        <v>2</v>
      </c>
      <c r="D47" s="77" t="str">
        <f>_xlfn.XLOOKUP(tbl_明細[[#This Row],[案件番号]],tbl_採番[案件番号],tbl_採番[顧客],"",0,1)</f>
        <v>フェリーサービス株式会社</v>
      </c>
      <c r="E47" s="71"/>
      <c r="F47" s="118" t="str">
        <f>IF(ISBLANK(tbl_明細[[#This Row],[仕入先（M)]]),_xlfn.XLOOKUP(tbl_明細[[#This Row],[商品ID]],商品マスタ[商品連番],商品マスタ[仕入先],"",0,1),tbl_明細[[#This Row],[仕入先（M)]])</f>
        <v>協栄製茶　壱之庄</v>
      </c>
      <c r="G47" s="112" t="str">
        <f>IF(ISBLANK(tbl_明細[[#This Row],[商品名（M)]]),_xlfn.XLOOKUP(tbl_明細[[#This Row],[商品ID]],商品マスタ[商品連番],商品マスタ[商品名],"",0,),tbl_明細[[#This Row],[商品名（M)]])</f>
        <v>送料（京都）</v>
      </c>
      <c r="H47" s="80">
        <f>IF(ISBLANK(tbl_明細[[#This Row],[仕入価格（M)]]),_xlfn.XLOOKUP(tbl_明細[[#This Row],[商品ID]],商品マスタ[商品連番],商品マスタ[仕入
単価],"",0,1),tbl_明細[[#This Row],[仕入価格（M)]])</f>
        <v>700</v>
      </c>
      <c r="I47" s="80" t="str">
        <f>_xlfn.XLOOKUP(tbl_明細[[#This Row],[商品ID]],商品マスタ[商品連番],商品マスタ[国内定価
（15％）],"",0,1)</f>
        <v/>
      </c>
      <c r="J47" s="85"/>
      <c r="K47" s="71"/>
      <c r="L47" s="77" t="str">
        <f>_xlfn.XLOOKUP(tbl_明細[[#This Row],[商品ID]],商品マスタ[商品連番],商品マスタ[単位],"",0,1)</f>
        <v/>
      </c>
      <c r="M47" s="249" t="e">
        <f>1-tbl_明細[[#This Row],[仕入価格]]/tbl_明細[[#This Row],[販売価格（売値）]]</f>
        <v>#DIV/0!</v>
      </c>
      <c r="N47" s="189" t="str">
        <f>_xlfn.XLOOKUP(tbl_明細[[#This Row],[商品ID]],商品マスタ[商品連番],商品マスタ[税率],"",0,1)</f>
        <v/>
      </c>
      <c r="O47" s="120" t="s">
        <v>1130</v>
      </c>
      <c r="P47" s="71" t="s">
        <v>1940</v>
      </c>
      <c r="Q47" s="81">
        <v>700</v>
      </c>
      <c r="R47" s="81">
        <v>700</v>
      </c>
      <c r="S47" s="71">
        <v>1</v>
      </c>
      <c r="T47" s="71" t="s">
        <v>1095</v>
      </c>
      <c r="U47" s="79">
        <v>0.1</v>
      </c>
      <c r="V47" s="113" t="s">
        <v>1938</v>
      </c>
      <c r="W47" s="113" t="s">
        <v>1938</v>
      </c>
      <c r="X47" s="254">
        <f>tbl_明細[[#This Row],[仕入価格]]*tbl_明細[[#This Row],[数量]]+tbl_明細[[#This Row],[仕入価格（M)]]*tbl_明細[[#This Row],[数量（M)]]</f>
        <v>700</v>
      </c>
      <c r="Y47" s="254">
        <f>tbl_明細[[#This Row],[販売価格（売値）]]*tbl_明細[[#This Row],[数量]]+tbl_明細[[#This Row],[販売価格（M)]]*tbl_明細[[#This Row],[数量（M)]]</f>
        <v>700</v>
      </c>
      <c r="Z47" s="257">
        <f>_xlfn.XLOOKUP(tbl_明細[[#This Row],[案件番号]],tbl_案件追跡[案件番号],tbl_案件追跡[受注],"",0,1)</f>
        <v>46087</v>
      </c>
      <c r="AA47" s="228">
        <f>tbl_明細[[#This Row],[販売価格（売値）]]+tbl_明細[[#This Row],[販売価格（M)]]</f>
        <v>700</v>
      </c>
      <c r="AB47" s="261">
        <f>tbl_明細[[#This Row],[販売価格（売値）]]*1.08+tbl_明細[[#This Row],[販売価格（M)]]*1.08</f>
        <v>756</v>
      </c>
    </row>
    <row r="48" spans="1:28">
      <c r="A48" s="70" t="s">
        <v>1874</v>
      </c>
      <c r="B48" s="77">
        <f>IF(ISBLANK(tbl_明細[[#This Row],[案件番号]]),"",COUNTIFS($A$3:A48,tbl_明細[[#This Row],[案件番号]],$AA$3:AA48,"&gt;0"))</f>
        <v>3</v>
      </c>
      <c r="C48" s="71">
        <f>COUNTIFS($A$3:A48,tbl_明細[[#This Row],[案件番号]],$F$3:F48,tbl_明細[[#This Row],[仕入先]])</f>
        <v>3</v>
      </c>
      <c r="D48" s="77" t="str">
        <f>_xlfn.XLOOKUP(tbl_明細[[#This Row],[案件番号]],tbl_採番[案件番号],tbl_採番[顧客],"",0,1)</f>
        <v>フェリーサービス株式会社</v>
      </c>
      <c r="E48" s="71" t="s">
        <v>1788</v>
      </c>
      <c r="F48" s="118" t="str">
        <f>IF(ISBLANK(tbl_明細[[#This Row],[仕入先（M)]]),_xlfn.XLOOKUP(tbl_明細[[#This Row],[商品ID]],商品マスタ[商品連番],商品マスタ[仕入先],"",0,1),tbl_明細[[#This Row],[仕入先（M)]])</f>
        <v>協栄製茶　壱之庄</v>
      </c>
      <c r="G48" s="112" t="str">
        <f>IF(ISBLANK(tbl_明細[[#This Row],[商品名（M)]]),_xlfn.XLOOKUP(tbl_明細[[#This Row],[商品ID]],商品マスタ[商品連番],商品マスタ[商品名],"",0,),tbl_明細[[#This Row],[商品名（M)]])</f>
        <v>雁の音ほうじ茶壱之棒（ティーバッグ） 45袋</v>
      </c>
      <c r="H48" s="80">
        <f>IF(ISBLANK(tbl_明細[[#This Row],[仕入価格（M)]]),_xlfn.XLOOKUP(tbl_明細[[#This Row],[商品ID]],商品マスタ[商品連番],商品マスタ[仕入
単価],"",0,1),tbl_明細[[#This Row],[仕入価格（M)]])</f>
        <v>1041</v>
      </c>
      <c r="I48" s="80">
        <f>_xlfn.XLOOKUP(tbl_明細[[#This Row],[商品ID]],商品マスタ[商品連番],商品マスタ[国内定価
（15％）],"",0,1)</f>
        <v>1230</v>
      </c>
      <c r="J48" s="85">
        <f>1250/1.08</f>
        <v>1157.4074074074074</v>
      </c>
      <c r="K48" s="71">
        <v>30</v>
      </c>
      <c r="L48" s="77" t="str">
        <f>_xlfn.XLOOKUP(tbl_明細[[#This Row],[商品ID]],商品マスタ[商品連番],商品マスタ[単位],"",0,1)</f>
        <v>パック</v>
      </c>
      <c r="M48" s="249">
        <f>1-tbl_明細[[#This Row],[仕入価格]]/tbl_明細[[#This Row],[販売価格（売値）]]</f>
        <v>0.100576</v>
      </c>
      <c r="N48" s="189">
        <f>_xlfn.XLOOKUP(tbl_明細[[#This Row],[商品ID]],商品マスタ[商品連番],商品マスタ[税率],"",0,1)</f>
        <v>0.08</v>
      </c>
      <c r="O48" s="120"/>
      <c r="P48" s="71"/>
      <c r="Q48" s="81"/>
      <c r="R48" s="81"/>
      <c r="S48" s="71"/>
      <c r="T48" s="71"/>
      <c r="U48" s="79"/>
      <c r="V48" s="113" t="s">
        <v>1939</v>
      </c>
      <c r="W48" s="113" t="s">
        <v>1939</v>
      </c>
      <c r="X48" s="254">
        <f>tbl_明細[[#This Row],[仕入価格]]*tbl_明細[[#This Row],[数量]]+tbl_明細[[#This Row],[仕入価格（M)]]*tbl_明細[[#This Row],[数量（M)]]</f>
        <v>31230</v>
      </c>
      <c r="Y48" s="254">
        <f>tbl_明細[[#This Row],[販売価格（売値）]]*tbl_明細[[#This Row],[数量]]+tbl_明細[[#This Row],[販売価格（M)]]*tbl_明細[[#This Row],[数量（M)]]</f>
        <v>34722.222222222219</v>
      </c>
      <c r="Z48" s="257">
        <f>_xlfn.XLOOKUP(tbl_明細[[#This Row],[案件番号]],tbl_案件追跡[案件番号],tbl_案件追跡[受注],"",0,1)</f>
        <v>46087</v>
      </c>
      <c r="AA48" s="228">
        <f>tbl_明細[[#This Row],[販売価格（売値）]]+tbl_明細[[#This Row],[販売価格（M)]]</f>
        <v>1157.4074074074074</v>
      </c>
      <c r="AB48" s="261">
        <f>tbl_明細[[#This Row],[販売価格（売値）]]*1.08+tbl_明細[[#This Row],[販売価格（M)]]*1.08</f>
        <v>1250</v>
      </c>
    </row>
    <row r="49" spans="1:28">
      <c r="A49" s="70" t="s">
        <v>1874</v>
      </c>
      <c r="B49" s="77">
        <f>IF(ISBLANK(tbl_明細[[#This Row],[案件番号]]),"",COUNTIFS($A$3:A49,tbl_明細[[#This Row],[案件番号]],$AA$3:AA49,"&gt;0"))</f>
        <v>4</v>
      </c>
      <c r="C49" s="71">
        <f>COUNTIFS($A$3:A49,tbl_明細[[#This Row],[案件番号]],$F$3:F49,tbl_明細[[#This Row],[仕入先]])</f>
        <v>4</v>
      </c>
      <c r="D49" s="77" t="str">
        <f>_xlfn.XLOOKUP(tbl_明細[[#This Row],[案件番号]],tbl_採番[案件番号],tbl_採番[顧客],"",0,1)</f>
        <v>フェリーサービス株式会社</v>
      </c>
      <c r="E49" s="71"/>
      <c r="F49" s="118" t="str">
        <f>IF(ISBLANK(tbl_明細[[#This Row],[仕入先（M)]]),_xlfn.XLOOKUP(tbl_明細[[#This Row],[商品ID]],商品マスタ[商品連番],商品マスタ[仕入先],"",0,1),tbl_明細[[#This Row],[仕入先（M)]])</f>
        <v>協栄製茶　壱之庄</v>
      </c>
      <c r="G49" s="112" t="str">
        <f>IF(ISBLANK(tbl_明細[[#This Row],[商品名（M)]]),_xlfn.XLOOKUP(tbl_明細[[#This Row],[商品ID]],商品マスタ[商品連番],商品マスタ[商品名],"",0,),tbl_明細[[#This Row],[商品名（M)]])</f>
        <v>送料（福井）</v>
      </c>
      <c r="H49" s="80">
        <f>IF(ISBLANK(tbl_明細[[#This Row],[仕入価格（M)]]),_xlfn.XLOOKUP(tbl_明細[[#This Row],[商品ID]],商品マスタ[商品連番],商品マスタ[仕入
単価],"",0,1),tbl_明細[[#This Row],[仕入価格（M)]])</f>
        <v>850</v>
      </c>
      <c r="I49" s="80" t="str">
        <f>_xlfn.XLOOKUP(tbl_明細[[#This Row],[商品ID]],商品マスタ[商品連番],商品マスタ[国内定価
（15％）],"",0,1)</f>
        <v/>
      </c>
      <c r="J49" s="85"/>
      <c r="K49" s="71"/>
      <c r="L49" s="77" t="str">
        <f>_xlfn.XLOOKUP(tbl_明細[[#This Row],[商品ID]],商品マスタ[商品連番],商品マスタ[単位],"",0,1)</f>
        <v/>
      </c>
      <c r="M49" s="249" t="e">
        <f>1-tbl_明細[[#This Row],[仕入価格]]/tbl_明細[[#This Row],[販売価格（売値）]]</f>
        <v>#DIV/0!</v>
      </c>
      <c r="N49" s="189" t="str">
        <f>_xlfn.XLOOKUP(tbl_明細[[#This Row],[商品ID]],商品マスタ[商品連番],商品マスタ[税率],"",0,1)</f>
        <v/>
      </c>
      <c r="O49" s="120" t="s">
        <v>1130</v>
      </c>
      <c r="P49" s="71" t="s">
        <v>1936</v>
      </c>
      <c r="Q49" s="81">
        <v>850</v>
      </c>
      <c r="R49" s="81">
        <v>850</v>
      </c>
      <c r="S49" s="71">
        <v>1</v>
      </c>
      <c r="T49" s="71" t="s">
        <v>1095</v>
      </c>
      <c r="U49" s="79">
        <v>0.1</v>
      </c>
      <c r="V49" s="113" t="s">
        <v>1939</v>
      </c>
      <c r="W49" s="113" t="s">
        <v>1939</v>
      </c>
      <c r="X49" s="254">
        <f>tbl_明細[[#This Row],[仕入価格]]*tbl_明細[[#This Row],[数量]]+tbl_明細[[#This Row],[仕入価格（M)]]*tbl_明細[[#This Row],[数量（M)]]</f>
        <v>850</v>
      </c>
      <c r="Y49" s="254">
        <f>tbl_明細[[#This Row],[販売価格（売値）]]*tbl_明細[[#This Row],[数量]]+tbl_明細[[#This Row],[販売価格（M)]]*tbl_明細[[#This Row],[数量（M)]]</f>
        <v>850</v>
      </c>
      <c r="Z49" s="257">
        <f>_xlfn.XLOOKUP(tbl_明細[[#This Row],[案件番号]],tbl_案件追跡[案件番号],tbl_案件追跡[受注],"",0,1)</f>
        <v>46087</v>
      </c>
      <c r="AA49" s="228">
        <f>tbl_明細[[#This Row],[販売価格（売値）]]+tbl_明細[[#This Row],[販売価格（M)]]</f>
        <v>850</v>
      </c>
      <c r="AB49" s="261">
        <f>tbl_明細[[#This Row],[販売価格（売値）]]*1.08+tbl_明細[[#This Row],[販売価格（M)]]*1.08</f>
        <v>918.00000000000011</v>
      </c>
    </row>
    <row r="50" spans="1:28">
      <c r="A50" s="73" t="s">
        <v>1945</v>
      </c>
      <c r="B50" s="77">
        <f>IF(ISBLANK(tbl_明細[[#This Row],[案件番号]]),"",COUNTIFS($A$3:A50,tbl_明細[[#This Row],[案件番号]],$AA$3:AA50,"&gt;0"))</f>
        <v>1</v>
      </c>
      <c r="C50" s="71">
        <f>COUNTIFS($A$3:A50,tbl_明細[[#This Row],[案件番号]],$F$3:F50,tbl_明細[[#This Row],[仕入先]])</f>
        <v>1</v>
      </c>
      <c r="D50" s="77" t="str">
        <f>_xlfn.XLOOKUP(tbl_明細[[#This Row],[案件番号]],tbl_採番[案件番号],tbl_採番[顧客],"",0,1)</f>
        <v>下関グランドホテル株式会社</v>
      </c>
      <c r="E50" s="71" t="s">
        <v>1952</v>
      </c>
      <c r="F50" s="118" t="str">
        <f>IF(ISBLANK(tbl_明細[[#This Row],[仕入先（M)]]),_xlfn.XLOOKUP(tbl_明細[[#This Row],[商品ID]],商品マスタ[商品連番],商品マスタ[仕入先],"",0,1),tbl_明細[[#This Row],[仕入先（M)]])</f>
        <v>有限会社水戸青果</v>
      </c>
      <c r="G50" s="112" t="str">
        <f>IF(ISBLANK(tbl_明細[[#This Row],[商品名（M)]]),_xlfn.XLOOKUP(tbl_明細[[#This Row],[商品ID]],商品マスタ[商品連番],商品マスタ[商品名],"",0,),tbl_明細[[#This Row],[商品名（M)]])</f>
        <v>あつまいも</v>
      </c>
      <c r="H50" s="80">
        <f>IF(ISBLANK(tbl_明細[[#This Row],[仕入価格（M)]]),_xlfn.XLOOKUP(tbl_明細[[#This Row],[商品ID]],商品マスタ[商品連番],商品マスタ[仕入
単価],"",0,1),tbl_明細[[#This Row],[仕入価格（M)]])</f>
        <v>440</v>
      </c>
      <c r="I50" s="80">
        <f>_xlfn.XLOOKUP(tbl_明細[[#This Row],[商品ID]],商品マスタ[商品連番],商品マスタ[国内定価
（15％）],"",0,1)</f>
        <v>570</v>
      </c>
      <c r="J50" s="85">
        <v>550</v>
      </c>
      <c r="K50" s="71">
        <v>20</v>
      </c>
      <c r="L50" s="77" t="str">
        <f>_xlfn.XLOOKUP(tbl_明細[[#This Row],[商品ID]],商品マスタ[商品連番],商品マスタ[単位],"",0,1)</f>
        <v>kg</v>
      </c>
      <c r="M50" s="249">
        <f>1-tbl_明細[[#This Row],[仕入価格]]/tbl_明細[[#This Row],[販売価格（売値）]]</f>
        <v>0.19999999999999996</v>
      </c>
      <c r="N50" s="189">
        <f>_xlfn.XLOOKUP(tbl_明細[[#This Row],[商品ID]],商品マスタ[商品連番],商品マスタ[税率],"",0,1)</f>
        <v>0.08</v>
      </c>
      <c r="O50" s="120"/>
      <c r="P50" s="71"/>
      <c r="Q50" s="81"/>
      <c r="R50" s="81"/>
      <c r="S50" s="71"/>
      <c r="T50" s="71"/>
      <c r="U50" s="79"/>
      <c r="V50" s="79"/>
      <c r="W50" s="113"/>
      <c r="X50" s="254">
        <f>tbl_明細[[#This Row],[仕入価格]]*tbl_明細[[#This Row],[数量]]+tbl_明細[[#This Row],[仕入価格（M)]]*tbl_明細[[#This Row],[数量（M)]]</f>
        <v>8800</v>
      </c>
      <c r="Y50" s="254">
        <f>tbl_明細[[#This Row],[販売価格（売値）]]*tbl_明細[[#This Row],[数量]]+tbl_明細[[#This Row],[販売価格（M)]]*tbl_明細[[#This Row],[数量（M)]]</f>
        <v>11000</v>
      </c>
      <c r="Z50" s="257" t="str">
        <f>_xlfn.XLOOKUP(tbl_明細[[#This Row],[案件番号]],tbl_案件追跡[案件番号],tbl_案件追跡[受注],"",0,1)</f>
        <v/>
      </c>
      <c r="AA50" s="228">
        <f>tbl_明細[[#This Row],[販売価格（売値）]]+tbl_明細[[#This Row],[販売価格（M)]]</f>
        <v>550</v>
      </c>
      <c r="AB50" s="261">
        <f>tbl_明細[[#This Row],[販売価格（売値）]]*1.08+tbl_明細[[#This Row],[販売価格（M)]]*1.08</f>
        <v>594</v>
      </c>
    </row>
    <row r="51" spans="1:28">
      <c r="A51" s="73" t="s">
        <v>1945</v>
      </c>
      <c r="B51" s="77">
        <f>IF(ISBLANK(tbl_明細[[#This Row],[案件番号]]),"",COUNTIFS($A$3:A51,tbl_明細[[#This Row],[案件番号]],$AA$3:AA51,"&gt;0"))</f>
        <v>2</v>
      </c>
      <c r="C51" s="71">
        <f>COUNTIFS($A$3:A51,tbl_明細[[#This Row],[案件番号]],$F$3:F51,tbl_明細[[#This Row],[仕入先]])</f>
        <v>2</v>
      </c>
      <c r="D51" s="77" t="str">
        <f>_xlfn.XLOOKUP(tbl_明細[[#This Row],[案件番号]],tbl_採番[案件番号],tbl_採番[顧客],"",0,1)</f>
        <v>下関グランドホテル株式会社</v>
      </c>
      <c r="E51" s="71"/>
      <c r="F51" s="118" t="s">
        <v>1826</v>
      </c>
      <c r="G51" s="112" t="s">
        <v>1098</v>
      </c>
      <c r="H51" s="80">
        <v>1900</v>
      </c>
      <c r="I51" s="80" t="str">
        <f>_xlfn.XLOOKUP(tbl_明細[[#This Row],[商品ID]],商品マスタ[商品連番],商品マスタ[国内定価
（15％）],"",0,1)</f>
        <v/>
      </c>
      <c r="J51" s="85"/>
      <c r="K51" s="71"/>
      <c r="L51" s="77" t="str">
        <f>_xlfn.XLOOKUP(tbl_明細[[#This Row],[商品ID]],商品マスタ[商品連番],商品マスタ[単位],"",0,1)</f>
        <v/>
      </c>
      <c r="M51" s="249" t="e">
        <f>1-tbl_明細[[#This Row],[仕入価格]]/tbl_明細[[#This Row],[販売価格（売値）]]</f>
        <v>#DIV/0!</v>
      </c>
      <c r="N51" s="189" t="str">
        <f>_xlfn.XLOOKUP(tbl_明細[[#This Row],[商品ID]],商品マスタ[商品連番],商品マスタ[税率],"",0,1)</f>
        <v/>
      </c>
      <c r="O51" s="120" t="s">
        <v>1826</v>
      </c>
      <c r="P51" s="71" t="s">
        <v>1098</v>
      </c>
      <c r="Q51" s="81">
        <v>1900</v>
      </c>
      <c r="R51" s="81">
        <v>1900</v>
      </c>
      <c r="S51" s="71">
        <v>2</v>
      </c>
      <c r="T51" s="71" t="s">
        <v>1953</v>
      </c>
      <c r="U51" s="79">
        <v>0.1</v>
      </c>
      <c r="V51" s="79"/>
      <c r="W51" s="113"/>
      <c r="X51" s="254">
        <f>tbl_明細[[#This Row],[仕入価格]]*tbl_明細[[#This Row],[数量]]+tbl_明細[[#This Row],[仕入価格（M)]]*tbl_明細[[#This Row],[数量（M)]]</f>
        <v>3800</v>
      </c>
      <c r="Y51" s="254">
        <f>tbl_明細[[#This Row],[販売価格（売値）]]*tbl_明細[[#This Row],[数量]]+tbl_明細[[#This Row],[販売価格（M)]]*tbl_明細[[#This Row],[数量（M)]]</f>
        <v>3800</v>
      </c>
      <c r="Z51" s="257" t="str">
        <f>_xlfn.XLOOKUP(tbl_明細[[#This Row],[案件番号]],tbl_案件追跡[案件番号],tbl_案件追跡[受注],"",0,1)</f>
        <v/>
      </c>
      <c r="AA51" s="228">
        <f>tbl_明細[[#This Row],[販売価格（売値）]]+tbl_明細[[#This Row],[販売価格（M)]]</f>
        <v>1900</v>
      </c>
      <c r="AB51" s="261">
        <f>tbl_明細[[#This Row],[販売価格（売値）]]*1.08+tbl_明細[[#This Row],[販売価格（M)]]*1.08</f>
        <v>2052</v>
      </c>
    </row>
    <row r="52" spans="1:28">
      <c r="A52" s="73" t="s">
        <v>1954</v>
      </c>
      <c r="B52" s="77">
        <f>IF(ISBLANK(tbl_明細[[#This Row],[案件番号]]),"",COUNTIFS($A$3:A52,tbl_明細[[#This Row],[案件番号]],$AA$3:AA52,"&gt;0"))</f>
        <v>1</v>
      </c>
      <c r="C52" s="71">
        <f>COUNTIFS($A$3:A52,tbl_明細[[#This Row],[案件番号]],$F$3:F52,tbl_明細[[#This Row],[仕入先]])</f>
        <v>1</v>
      </c>
      <c r="D52" s="77" t="str">
        <f>_xlfn.XLOOKUP(tbl_明細[[#This Row],[案件番号]],tbl_採番[案件番号],tbl_採番[顧客],"",0,1)</f>
        <v>加古川ヤマトヤシキ</v>
      </c>
      <c r="E52" s="71" t="s">
        <v>1955</v>
      </c>
      <c r="F52" s="118" t="str">
        <f>IF(ISBLANK(tbl_明細[[#This Row],[仕入先（M)]]),_xlfn.XLOOKUP(tbl_明細[[#This Row],[商品ID]],商品マスタ[商品連番],商品マスタ[仕入先],"",0,1),tbl_明細[[#This Row],[仕入先（M)]])</f>
        <v/>
      </c>
      <c r="G52" s="112" t="str">
        <f>IF(ISBLANK(tbl_明細[[#This Row],[商品名（M)]]),_xlfn.XLOOKUP(tbl_明細[[#This Row],[商品ID]],商品マスタ[商品連番],商品マスタ[商品名],"",0,),tbl_明細[[#This Row],[商品名（M)]])</f>
        <v/>
      </c>
      <c r="H52" s="80" t="str">
        <f>IF(ISBLANK(tbl_明細[[#This Row],[仕入価格（M)]]),_xlfn.XLOOKUP(tbl_明細[[#This Row],[商品ID]],商品マスタ[商品連番],商品マスタ[仕入
単価],"",0,1),tbl_明細[[#This Row],[仕入価格（M)]])</f>
        <v/>
      </c>
      <c r="I52" s="80" t="str">
        <f>_xlfn.XLOOKUP(tbl_明細[[#This Row],[商品ID]],商品マスタ[商品連番],商品マスタ[国内定価
（15％）],"",0,1)</f>
        <v/>
      </c>
      <c r="J52" s="265">
        <v>250</v>
      </c>
      <c r="K52" s="71">
        <v>120</v>
      </c>
      <c r="L52" s="77" t="str">
        <f>_xlfn.XLOOKUP(tbl_明細[[#This Row],[商品ID]],商品マスタ[商品連番],商品マスタ[単位],"",0,1)</f>
        <v/>
      </c>
      <c r="M52" s="249" t="e">
        <f>1-tbl_明細[[#This Row],[仕入価格]]/tbl_明細[[#This Row],[販売価格（売値）]]</f>
        <v>#VALUE!</v>
      </c>
      <c r="N52" s="189" t="str">
        <f>_xlfn.XLOOKUP(tbl_明細[[#This Row],[商品ID]],商品マスタ[商品連番],商品マスタ[税率],"",0,1)</f>
        <v/>
      </c>
      <c r="O52" s="266"/>
      <c r="P52" s="71"/>
      <c r="Q52" s="265"/>
      <c r="R52" s="265"/>
      <c r="S52" s="71"/>
      <c r="T52" s="71"/>
      <c r="U52" s="267"/>
      <c r="V52" s="267"/>
      <c r="W52" s="268"/>
      <c r="X52" s="254" t="e">
        <f>tbl_明細[[#This Row],[仕入価格]]*tbl_明細[[#This Row],[数量]]+tbl_明細[[#This Row],[仕入価格（M)]]*tbl_明細[[#This Row],[数量（M)]]</f>
        <v>#VALUE!</v>
      </c>
      <c r="Y52" s="254">
        <f>tbl_明細[[#This Row],[販売価格（売値）]]*tbl_明細[[#This Row],[数量]]+tbl_明細[[#This Row],[販売価格（M)]]*tbl_明細[[#This Row],[数量（M)]]</f>
        <v>30000</v>
      </c>
      <c r="Z52" s="257" t="str">
        <f>_xlfn.XLOOKUP(tbl_明細[[#This Row],[案件番号]],tbl_案件追跡[案件番号],tbl_案件追跡[受注],"",0,1)</f>
        <v/>
      </c>
      <c r="AA52" s="228">
        <f>tbl_明細[[#This Row],[販売価格（売値）]]+tbl_明細[[#This Row],[販売価格（M)]]</f>
        <v>250</v>
      </c>
      <c r="AB52" s="261">
        <f>tbl_明細[[#This Row],[販売価格（売値）]]*1.08+tbl_明細[[#This Row],[販売価格（M)]]*1.08</f>
        <v>270</v>
      </c>
    </row>
    <row r="53" spans="1:28">
      <c r="A53" s="73" t="s">
        <v>1954</v>
      </c>
      <c r="B53" s="77">
        <f>IF(ISBLANK(tbl_明細[[#This Row],[案件番号]]),"",COUNTIFS($A$3:A53,tbl_明細[[#This Row],[案件番号]],$AA$3:AA53,"&gt;0"))</f>
        <v>2</v>
      </c>
      <c r="C53" s="71">
        <f>COUNTIFS($A$3:A53,tbl_明細[[#This Row],[案件番号]],$F$3:F53,tbl_明細[[#This Row],[仕入先]])</f>
        <v>2</v>
      </c>
      <c r="D53" s="77" t="str">
        <f>_xlfn.XLOOKUP(tbl_明細[[#This Row],[案件番号]],tbl_採番[案件番号],tbl_採番[顧客],"",0,1)</f>
        <v>加古川ヤマトヤシキ</v>
      </c>
      <c r="E53" s="269" t="s">
        <v>1956</v>
      </c>
      <c r="F53" s="118" t="str">
        <f>IF(ISBLANK(tbl_明細[[#This Row],[仕入先（M)]]),_xlfn.XLOOKUP(tbl_明細[[#This Row],[商品ID]],商品マスタ[商品連番],商品マスタ[仕入先],"",0,1),tbl_明細[[#This Row],[仕入先（M)]])</f>
        <v/>
      </c>
      <c r="G53" s="112" t="str">
        <f>IF(ISBLANK(tbl_明細[[#This Row],[商品名（M)]]),_xlfn.XLOOKUP(tbl_明細[[#This Row],[商品ID]],商品マスタ[商品連番],商品マスタ[商品名],"",0,),tbl_明細[[#This Row],[商品名（M)]])</f>
        <v/>
      </c>
      <c r="H53" s="80" t="str">
        <f>IF(ISBLANK(tbl_明細[[#This Row],[仕入価格（M)]]),_xlfn.XLOOKUP(tbl_明細[[#This Row],[商品ID]],商品マスタ[商品連番],商品マスタ[仕入
単価],"",0,1),tbl_明細[[#This Row],[仕入価格（M)]])</f>
        <v/>
      </c>
      <c r="I53" s="80" t="str">
        <f>_xlfn.XLOOKUP(tbl_明細[[#This Row],[商品ID]],商品マスタ[商品連番],商品マスタ[国内定価
（15％）],"",0,1)</f>
        <v/>
      </c>
      <c r="J53" s="265">
        <v>210</v>
      </c>
      <c r="K53" s="71">
        <v>15</v>
      </c>
      <c r="L53" s="77" t="str">
        <f>_xlfn.XLOOKUP(tbl_明細[[#This Row],[商品ID]],商品マスタ[商品連番],商品マスタ[単位],"",0,1)</f>
        <v/>
      </c>
      <c r="M53" s="249" t="e">
        <f>1-tbl_明細[[#This Row],[仕入価格]]/tbl_明細[[#This Row],[販売価格（売値）]]</f>
        <v>#VALUE!</v>
      </c>
      <c r="N53" s="189" t="str">
        <f>_xlfn.XLOOKUP(tbl_明細[[#This Row],[商品ID]],商品マスタ[商品連番],商品マスタ[税率],"",0,1)</f>
        <v/>
      </c>
      <c r="O53" s="266"/>
      <c r="P53" s="71"/>
      <c r="Q53" s="265"/>
      <c r="R53" s="265"/>
      <c r="S53" s="71"/>
      <c r="T53" s="71"/>
      <c r="U53" s="267"/>
      <c r="V53" s="267"/>
      <c r="W53" s="268"/>
      <c r="X53" s="254" t="e">
        <f>tbl_明細[[#This Row],[仕入価格]]*tbl_明細[[#This Row],[数量]]+tbl_明細[[#This Row],[仕入価格（M)]]*tbl_明細[[#This Row],[数量（M)]]</f>
        <v>#VALUE!</v>
      </c>
      <c r="Y53" s="254">
        <f>tbl_明細[[#This Row],[販売価格（売値）]]*tbl_明細[[#This Row],[数量]]+tbl_明細[[#This Row],[販売価格（M)]]*tbl_明細[[#This Row],[数量（M)]]</f>
        <v>3150</v>
      </c>
      <c r="Z53" s="257" t="str">
        <f>_xlfn.XLOOKUP(tbl_明細[[#This Row],[案件番号]],tbl_案件追跡[案件番号],tbl_案件追跡[受注],"",0,1)</f>
        <v/>
      </c>
      <c r="AA53" s="228">
        <f>tbl_明細[[#This Row],[販売価格（売値）]]+tbl_明細[[#This Row],[販売価格（M)]]</f>
        <v>210</v>
      </c>
      <c r="AB53" s="261">
        <f>tbl_明細[[#This Row],[販売価格（売値）]]*1.08+tbl_明細[[#This Row],[販売価格（M)]]*1.08</f>
        <v>226.8</v>
      </c>
    </row>
    <row r="54" spans="1:28">
      <c r="A54" s="73" t="s">
        <v>1954</v>
      </c>
      <c r="B54" s="77">
        <f>IF(ISBLANK(tbl_明細[[#This Row],[案件番号]]),"",COUNTIFS($A$3:A54,tbl_明細[[#This Row],[案件番号]],$AA$3:AA54,"&gt;0"))</f>
        <v>3</v>
      </c>
      <c r="C54" s="71">
        <f>COUNTIFS($A$3:A54,tbl_明細[[#This Row],[案件番号]],$F$3:F54,tbl_明細[[#This Row],[仕入先]])</f>
        <v>3</v>
      </c>
      <c r="D54" s="77" t="str">
        <f>_xlfn.XLOOKUP(tbl_明細[[#This Row],[案件番号]],tbl_採番[案件番号],tbl_採番[顧客],"",0,1)</f>
        <v>加古川ヤマトヤシキ</v>
      </c>
      <c r="E54" s="269" t="s">
        <v>1957</v>
      </c>
      <c r="F54" s="118" t="str">
        <f>IF(ISBLANK(tbl_明細[[#This Row],[仕入先（M)]]),_xlfn.XLOOKUP(tbl_明細[[#This Row],[商品ID]],商品マスタ[商品連番],商品マスタ[仕入先],"",0,1),tbl_明細[[#This Row],[仕入先（M)]])</f>
        <v/>
      </c>
      <c r="G54" s="112" t="str">
        <f>IF(ISBLANK(tbl_明細[[#This Row],[商品名（M)]]),_xlfn.XLOOKUP(tbl_明細[[#This Row],[商品ID]],商品マスタ[商品連番],商品マスタ[商品名],"",0,),tbl_明細[[#This Row],[商品名（M)]])</f>
        <v/>
      </c>
      <c r="H54" s="80" t="str">
        <f>IF(ISBLANK(tbl_明細[[#This Row],[仕入価格（M)]]),_xlfn.XLOOKUP(tbl_明細[[#This Row],[商品ID]],商品マスタ[商品連番],商品マスタ[仕入
単価],"",0,1),tbl_明細[[#This Row],[仕入価格（M)]])</f>
        <v/>
      </c>
      <c r="I54" s="80" t="str">
        <f>_xlfn.XLOOKUP(tbl_明細[[#This Row],[商品ID]],商品マスタ[商品連番],商品マスタ[国内定価
（15％）],"",0,1)</f>
        <v/>
      </c>
      <c r="J54" s="265">
        <v>210</v>
      </c>
      <c r="K54" s="71">
        <v>15</v>
      </c>
      <c r="L54" s="77" t="str">
        <f>_xlfn.XLOOKUP(tbl_明細[[#This Row],[商品ID]],商品マスタ[商品連番],商品マスタ[単位],"",0,1)</f>
        <v/>
      </c>
      <c r="M54" s="249" t="e">
        <f>1-tbl_明細[[#This Row],[仕入価格]]/tbl_明細[[#This Row],[販売価格（売値）]]</f>
        <v>#VALUE!</v>
      </c>
      <c r="N54" s="189" t="str">
        <f>_xlfn.XLOOKUP(tbl_明細[[#This Row],[商品ID]],商品マスタ[商品連番],商品マスタ[税率],"",0,1)</f>
        <v/>
      </c>
      <c r="O54" s="266"/>
      <c r="P54" s="71"/>
      <c r="Q54" s="265"/>
      <c r="R54" s="265"/>
      <c r="S54" s="71"/>
      <c r="T54" s="71"/>
      <c r="U54" s="267"/>
      <c r="V54" s="267"/>
      <c r="W54" s="268"/>
      <c r="X54" s="254" t="e">
        <f>tbl_明細[[#This Row],[仕入価格]]*tbl_明細[[#This Row],[数量]]+tbl_明細[[#This Row],[仕入価格（M)]]*tbl_明細[[#This Row],[数量（M)]]</f>
        <v>#VALUE!</v>
      </c>
      <c r="Y54" s="254">
        <f>tbl_明細[[#This Row],[販売価格（売値）]]*tbl_明細[[#This Row],[数量]]+tbl_明細[[#This Row],[販売価格（M)]]*tbl_明細[[#This Row],[数量（M)]]</f>
        <v>3150</v>
      </c>
      <c r="Z54" s="257" t="str">
        <f>_xlfn.XLOOKUP(tbl_明細[[#This Row],[案件番号]],tbl_案件追跡[案件番号],tbl_案件追跡[受注],"",0,1)</f>
        <v/>
      </c>
      <c r="AA54" s="228">
        <f>tbl_明細[[#This Row],[販売価格（売値）]]+tbl_明細[[#This Row],[販売価格（M)]]</f>
        <v>210</v>
      </c>
      <c r="AB54" s="261">
        <f>tbl_明細[[#This Row],[販売価格（売値）]]*1.08+tbl_明細[[#This Row],[販売価格（M)]]*1.08</f>
        <v>226.8</v>
      </c>
    </row>
    <row r="55" spans="1:28">
      <c r="A55" s="73" t="s">
        <v>1954</v>
      </c>
      <c r="B55" s="77">
        <f>IF(ISBLANK(tbl_明細[[#This Row],[案件番号]]),"",COUNTIFS($A$3:A55,tbl_明細[[#This Row],[案件番号]],$AA$3:AA55,"&gt;0"))</f>
        <v>4</v>
      </c>
      <c r="C55" s="71">
        <f>COUNTIFS($A$3:A55,tbl_明細[[#This Row],[案件番号]],$F$3:F55,tbl_明細[[#This Row],[仕入先]])</f>
        <v>4</v>
      </c>
      <c r="D55" s="77" t="str">
        <f>_xlfn.XLOOKUP(tbl_明細[[#This Row],[案件番号]],tbl_採番[案件番号],tbl_採番[顧客],"",0,1)</f>
        <v>加古川ヤマトヤシキ</v>
      </c>
      <c r="E55" s="269" t="s">
        <v>1958</v>
      </c>
      <c r="F55" s="118" t="str">
        <f>IF(ISBLANK(tbl_明細[[#This Row],[仕入先（M)]]),_xlfn.XLOOKUP(tbl_明細[[#This Row],[商品ID]],商品マスタ[商品連番],商品マスタ[仕入先],"",0,1),tbl_明細[[#This Row],[仕入先（M)]])</f>
        <v/>
      </c>
      <c r="G55" s="112" t="str">
        <f>IF(ISBLANK(tbl_明細[[#This Row],[商品名（M)]]),_xlfn.XLOOKUP(tbl_明細[[#This Row],[商品ID]],商品マスタ[商品連番],商品マスタ[商品名],"",0,),tbl_明細[[#This Row],[商品名（M)]])</f>
        <v/>
      </c>
      <c r="H55" s="80" t="str">
        <f>IF(ISBLANK(tbl_明細[[#This Row],[仕入価格（M)]]),_xlfn.XLOOKUP(tbl_明細[[#This Row],[商品ID]],商品マスタ[商品連番],商品マスタ[仕入
単価],"",0,1),tbl_明細[[#This Row],[仕入価格（M)]])</f>
        <v/>
      </c>
      <c r="I55" s="80" t="str">
        <f>_xlfn.XLOOKUP(tbl_明細[[#This Row],[商品ID]],商品マスタ[商品連番],商品マスタ[国内定価
（15％）],"",0,1)</f>
        <v/>
      </c>
      <c r="J55" s="265">
        <v>210</v>
      </c>
      <c r="K55" s="71">
        <v>15</v>
      </c>
      <c r="L55" s="77" t="str">
        <f>_xlfn.XLOOKUP(tbl_明細[[#This Row],[商品ID]],商品マスタ[商品連番],商品マスタ[単位],"",0,1)</f>
        <v/>
      </c>
      <c r="M55" s="249" t="e">
        <f>1-tbl_明細[[#This Row],[仕入価格]]/tbl_明細[[#This Row],[販売価格（売値）]]</f>
        <v>#VALUE!</v>
      </c>
      <c r="N55" s="189" t="str">
        <f>_xlfn.XLOOKUP(tbl_明細[[#This Row],[商品ID]],商品マスタ[商品連番],商品マスタ[税率],"",0,1)</f>
        <v/>
      </c>
      <c r="O55" s="266"/>
      <c r="P55" s="71"/>
      <c r="Q55" s="265"/>
      <c r="R55" s="265"/>
      <c r="S55" s="71"/>
      <c r="T55" s="71"/>
      <c r="U55" s="267"/>
      <c r="V55" s="267"/>
      <c r="W55" s="268"/>
      <c r="X55" s="254" t="e">
        <f>tbl_明細[[#This Row],[仕入価格]]*tbl_明細[[#This Row],[数量]]+tbl_明細[[#This Row],[仕入価格（M)]]*tbl_明細[[#This Row],[数量（M)]]</f>
        <v>#VALUE!</v>
      </c>
      <c r="Y55" s="254">
        <f>tbl_明細[[#This Row],[販売価格（売値）]]*tbl_明細[[#This Row],[数量]]+tbl_明細[[#This Row],[販売価格（M)]]*tbl_明細[[#This Row],[数量（M)]]</f>
        <v>3150</v>
      </c>
      <c r="Z55" s="257" t="str">
        <f>_xlfn.XLOOKUP(tbl_明細[[#This Row],[案件番号]],tbl_案件追跡[案件番号],tbl_案件追跡[受注],"",0,1)</f>
        <v/>
      </c>
      <c r="AA55" s="228">
        <f>tbl_明細[[#This Row],[販売価格（売値）]]+tbl_明細[[#This Row],[販売価格（M)]]</f>
        <v>210</v>
      </c>
      <c r="AB55" s="261">
        <f>tbl_明細[[#This Row],[販売価格（売値）]]*1.08+tbl_明細[[#This Row],[販売価格（M)]]*1.08</f>
        <v>226.8</v>
      </c>
    </row>
    <row r="56" spans="1:28">
      <c r="A56" s="73" t="s">
        <v>1954</v>
      </c>
      <c r="B56" s="77">
        <f>IF(ISBLANK(tbl_明細[[#This Row],[案件番号]]),"",COUNTIFS($A$3:A56,tbl_明細[[#This Row],[案件番号]],$AA$3:AA56,"&gt;0"))</f>
        <v>5</v>
      </c>
      <c r="C56" s="71">
        <f>COUNTIFS($A$3:A56,tbl_明細[[#This Row],[案件番号]],$F$3:F56,tbl_明細[[#This Row],[仕入先]])</f>
        <v>5</v>
      </c>
      <c r="D56" s="77" t="str">
        <f>_xlfn.XLOOKUP(tbl_明細[[#This Row],[案件番号]],tbl_採番[案件番号],tbl_採番[顧客],"",0,1)</f>
        <v>加古川ヤマトヤシキ</v>
      </c>
      <c r="E56" s="269" t="s">
        <v>1959</v>
      </c>
      <c r="F56" s="118" t="str">
        <f>IF(ISBLANK(tbl_明細[[#This Row],[仕入先（M)]]),_xlfn.XLOOKUP(tbl_明細[[#This Row],[商品ID]],商品マスタ[商品連番],商品マスタ[仕入先],"",0,1),tbl_明細[[#This Row],[仕入先（M)]])</f>
        <v/>
      </c>
      <c r="G56" s="112" t="str">
        <f>IF(ISBLANK(tbl_明細[[#This Row],[商品名（M)]]),_xlfn.XLOOKUP(tbl_明細[[#This Row],[商品ID]],商品マスタ[商品連番],商品マスタ[商品名],"",0,),tbl_明細[[#This Row],[商品名（M)]])</f>
        <v/>
      </c>
      <c r="H56" s="80" t="str">
        <f>IF(ISBLANK(tbl_明細[[#This Row],[仕入価格（M)]]),_xlfn.XLOOKUP(tbl_明細[[#This Row],[商品ID]],商品マスタ[商品連番],商品マスタ[仕入
単価],"",0,1),tbl_明細[[#This Row],[仕入価格（M)]])</f>
        <v/>
      </c>
      <c r="I56" s="80" t="str">
        <f>_xlfn.XLOOKUP(tbl_明細[[#This Row],[商品ID]],商品マスタ[商品連番],商品マスタ[国内定価
（15％）],"",0,1)</f>
        <v/>
      </c>
      <c r="J56" s="265">
        <v>210</v>
      </c>
      <c r="K56" s="71">
        <v>15</v>
      </c>
      <c r="L56" s="77" t="str">
        <f>_xlfn.XLOOKUP(tbl_明細[[#This Row],[商品ID]],商品マスタ[商品連番],商品マスタ[単位],"",0,1)</f>
        <v/>
      </c>
      <c r="M56" s="249" t="e">
        <f>1-tbl_明細[[#This Row],[仕入価格]]/tbl_明細[[#This Row],[販売価格（売値）]]</f>
        <v>#VALUE!</v>
      </c>
      <c r="N56" s="189" t="str">
        <f>_xlfn.XLOOKUP(tbl_明細[[#This Row],[商品ID]],商品マスタ[商品連番],商品マスタ[税率],"",0,1)</f>
        <v/>
      </c>
      <c r="O56" s="266"/>
      <c r="P56" s="71"/>
      <c r="Q56" s="265"/>
      <c r="R56" s="265"/>
      <c r="S56" s="71"/>
      <c r="T56" s="71"/>
      <c r="U56" s="267"/>
      <c r="V56" s="267"/>
      <c r="W56" s="268"/>
      <c r="X56" s="254" t="e">
        <f>tbl_明細[[#This Row],[仕入価格]]*tbl_明細[[#This Row],[数量]]+tbl_明細[[#This Row],[仕入価格（M)]]*tbl_明細[[#This Row],[数量（M)]]</f>
        <v>#VALUE!</v>
      </c>
      <c r="Y56" s="254">
        <f>tbl_明細[[#This Row],[販売価格（売値）]]*tbl_明細[[#This Row],[数量]]+tbl_明細[[#This Row],[販売価格（M)]]*tbl_明細[[#This Row],[数量（M)]]</f>
        <v>3150</v>
      </c>
      <c r="Z56" s="257" t="str">
        <f>_xlfn.XLOOKUP(tbl_明細[[#This Row],[案件番号]],tbl_案件追跡[案件番号],tbl_案件追跡[受注],"",0,1)</f>
        <v/>
      </c>
      <c r="AA56" s="228">
        <f>tbl_明細[[#This Row],[販売価格（売値）]]+tbl_明細[[#This Row],[販売価格（M)]]</f>
        <v>210</v>
      </c>
      <c r="AB56" s="261">
        <f>tbl_明細[[#This Row],[販売価格（売値）]]*1.08+tbl_明細[[#This Row],[販売価格（M)]]*1.08</f>
        <v>226.8</v>
      </c>
    </row>
    <row r="57" spans="1:28">
      <c r="A57" s="73" t="s">
        <v>1954</v>
      </c>
      <c r="B57" s="77">
        <f>IF(ISBLANK(tbl_明細[[#This Row],[案件番号]]),"",COUNTIFS($A$3:A57,tbl_明細[[#This Row],[案件番号]],$AA$3:AA57,"&gt;0"))</f>
        <v>6</v>
      </c>
      <c r="C57" s="71">
        <f>COUNTIFS($A$3:A57,tbl_明細[[#This Row],[案件番号]],$F$3:F57,tbl_明細[[#This Row],[仕入先]])</f>
        <v>6</v>
      </c>
      <c r="D57" s="77" t="str">
        <f>_xlfn.XLOOKUP(tbl_明細[[#This Row],[案件番号]],tbl_採番[案件番号],tbl_採番[顧客],"",0,1)</f>
        <v>加古川ヤマトヤシキ</v>
      </c>
      <c r="E57" s="71" t="s">
        <v>1960</v>
      </c>
      <c r="F57" s="118" t="str">
        <f>IF(ISBLANK(tbl_明細[[#This Row],[仕入先（M)]]),_xlfn.XLOOKUP(tbl_明細[[#This Row],[商品ID]],商品マスタ[商品連番],商品マスタ[仕入先],"",0,1),tbl_明細[[#This Row],[仕入先（M)]])</f>
        <v/>
      </c>
      <c r="G57" s="112" t="str">
        <f>IF(ISBLANK(tbl_明細[[#This Row],[商品名（M)]]),_xlfn.XLOOKUP(tbl_明細[[#This Row],[商品ID]],商品マスタ[商品連番],商品マスタ[商品名],"",0,),tbl_明細[[#This Row],[商品名（M)]])</f>
        <v/>
      </c>
      <c r="H57" s="80" t="str">
        <f>IF(ISBLANK(tbl_明細[[#This Row],[仕入価格（M)]]),_xlfn.XLOOKUP(tbl_明細[[#This Row],[商品ID]],商品マスタ[商品連番],商品マスタ[仕入
単価],"",0,1),tbl_明細[[#This Row],[仕入価格（M)]])</f>
        <v/>
      </c>
      <c r="I57" s="80" t="str">
        <f>_xlfn.XLOOKUP(tbl_明細[[#This Row],[商品ID]],商品マスタ[商品連番],商品マスタ[国内定価
（15％）],"",0,1)</f>
        <v/>
      </c>
      <c r="J57" s="265">
        <v>210</v>
      </c>
      <c r="K57" s="71">
        <v>80</v>
      </c>
      <c r="L57" s="77" t="str">
        <f>_xlfn.XLOOKUP(tbl_明細[[#This Row],[商品ID]],商品マスタ[商品連番],商品マスタ[単位],"",0,1)</f>
        <v/>
      </c>
      <c r="M57" s="249" t="e">
        <f>1-tbl_明細[[#This Row],[仕入価格]]/tbl_明細[[#This Row],[販売価格（売値）]]</f>
        <v>#VALUE!</v>
      </c>
      <c r="N57" s="189" t="str">
        <f>_xlfn.XLOOKUP(tbl_明細[[#This Row],[商品ID]],商品マスタ[商品連番],商品マスタ[税率],"",0,1)</f>
        <v/>
      </c>
      <c r="O57" s="266"/>
      <c r="P57" s="71"/>
      <c r="Q57" s="265"/>
      <c r="R57" s="265"/>
      <c r="S57" s="71"/>
      <c r="T57" s="71"/>
      <c r="U57" s="267"/>
      <c r="V57" s="267"/>
      <c r="W57" s="268"/>
      <c r="X57" s="254" t="e">
        <f>tbl_明細[[#This Row],[仕入価格]]*tbl_明細[[#This Row],[数量]]+tbl_明細[[#This Row],[仕入価格（M)]]*tbl_明細[[#This Row],[数量（M)]]</f>
        <v>#VALUE!</v>
      </c>
      <c r="Y57" s="254">
        <f>tbl_明細[[#This Row],[販売価格（売値）]]*tbl_明細[[#This Row],[数量]]+tbl_明細[[#This Row],[販売価格（M)]]*tbl_明細[[#This Row],[数量（M)]]</f>
        <v>16800</v>
      </c>
      <c r="Z57" s="257" t="str">
        <f>_xlfn.XLOOKUP(tbl_明細[[#This Row],[案件番号]],tbl_案件追跡[案件番号],tbl_案件追跡[受注],"",0,1)</f>
        <v/>
      </c>
      <c r="AA57" s="228">
        <f>tbl_明細[[#This Row],[販売価格（売値）]]+tbl_明細[[#This Row],[販売価格（M)]]</f>
        <v>210</v>
      </c>
      <c r="AB57" s="261">
        <f>tbl_明細[[#This Row],[販売価格（売値）]]*1.08+tbl_明細[[#This Row],[販売価格（M)]]*1.08</f>
        <v>226.8</v>
      </c>
    </row>
    <row r="58" spans="1:28">
      <c r="A58" s="73" t="s">
        <v>1954</v>
      </c>
      <c r="B58" s="77">
        <f>IF(ISBLANK(tbl_明細[[#This Row],[案件番号]]),"",COUNTIFS($A$3:A58,tbl_明細[[#This Row],[案件番号]],$AA$3:AA58,"&gt;0"))</f>
        <v>7</v>
      </c>
      <c r="C58" s="71">
        <f>COUNTIFS($A$3:A58,tbl_明細[[#This Row],[案件番号]],$F$3:F58,tbl_明細[[#This Row],[仕入先]])</f>
        <v>7</v>
      </c>
      <c r="D58" s="77" t="str">
        <f>_xlfn.XLOOKUP(tbl_明細[[#This Row],[案件番号]],tbl_採番[案件番号],tbl_採番[顧客],"",0,1)</f>
        <v>加古川ヤマトヤシキ</v>
      </c>
      <c r="E58" s="71" t="s">
        <v>1961</v>
      </c>
      <c r="F58" s="118" t="str">
        <f>IF(ISBLANK(tbl_明細[[#This Row],[仕入先（M)]]),_xlfn.XLOOKUP(tbl_明細[[#This Row],[商品ID]],商品マスタ[商品連番],商品マスタ[仕入先],"",0,1),tbl_明細[[#This Row],[仕入先（M)]])</f>
        <v/>
      </c>
      <c r="G58" s="112" t="str">
        <f>IF(ISBLANK(tbl_明細[[#This Row],[商品名（M)]]),_xlfn.XLOOKUP(tbl_明細[[#This Row],[商品ID]],商品マスタ[商品連番],商品マスタ[商品名],"",0,),tbl_明細[[#This Row],[商品名（M)]])</f>
        <v/>
      </c>
      <c r="H58" s="80" t="str">
        <f>IF(ISBLANK(tbl_明細[[#This Row],[仕入価格（M)]]),_xlfn.XLOOKUP(tbl_明細[[#This Row],[商品ID]],商品マスタ[商品連番],商品マスタ[仕入
単価],"",0,1),tbl_明細[[#This Row],[仕入価格（M)]])</f>
        <v/>
      </c>
      <c r="I58" s="80" t="str">
        <f>_xlfn.XLOOKUP(tbl_明細[[#This Row],[商品ID]],商品マスタ[商品連番],商品マスタ[国内定価
（15％）],"",0,1)</f>
        <v/>
      </c>
      <c r="J58" s="265">
        <v>200</v>
      </c>
      <c r="K58" s="71">
        <v>60</v>
      </c>
      <c r="L58" s="77" t="str">
        <f>_xlfn.XLOOKUP(tbl_明細[[#This Row],[商品ID]],商品マスタ[商品連番],商品マスタ[単位],"",0,1)</f>
        <v/>
      </c>
      <c r="M58" s="249" t="e">
        <f>1-tbl_明細[[#This Row],[仕入価格]]/tbl_明細[[#This Row],[販売価格（売値）]]</f>
        <v>#VALUE!</v>
      </c>
      <c r="N58" s="189" t="str">
        <f>_xlfn.XLOOKUP(tbl_明細[[#This Row],[商品ID]],商品マスタ[商品連番],商品マスタ[税率],"",0,1)</f>
        <v/>
      </c>
      <c r="O58" s="266"/>
      <c r="P58" s="71"/>
      <c r="Q58" s="265"/>
      <c r="R58" s="265"/>
      <c r="S58" s="71"/>
      <c r="T58" s="71"/>
      <c r="U58" s="267"/>
      <c r="V58" s="267"/>
      <c r="W58" s="268"/>
      <c r="X58" s="254" t="e">
        <f>tbl_明細[[#This Row],[仕入価格]]*tbl_明細[[#This Row],[数量]]+tbl_明細[[#This Row],[仕入価格（M)]]*tbl_明細[[#This Row],[数量（M)]]</f>
        <v>#VALUE!</v>
      </c>
      <c r="Y58" s="254">
        <f>tbl_明細[[#This Row],[販売価格（売値）]]*tbl_明細[[#This Row],[数量]]+tbl_明細[[#This Row],[販売価格（M)]]*tbl_明細[[#This Row],[数量（M)]]</f>
        <v>12000</v>
      </c>
      <c r="Z58" s="257" t="str">
        <f>_xlfn.XLOOKUP(tbl_明細[[#This Row],[案件番号]],tbl_案件追跡[案件番号],tbl_案件追跡[受注],"",0,1)</f>
        <v/>
      </c>
      <c r="AA58" s="228">
        <f>tbl_明細[[#This Row],[販売価格（売値）]]+tbl_明細[[#This Row],[販売価格（M)]]</f>
        <v>200</v>
      </c>
      <c r="AB58" s="261">
        <f>tbl_明細[[#This Row],[販売価格（売値）]]*1.08+tbl_明細[[#This Row],[販売価格（M)]]*1.08</f>
        <v>216</v>
      </c>
    </row>
    <row r="59" spans="1:28">
      <c r="A59" s="73" t="s">
        <v>1954</v>
      </c>
      <c r="B59" s="77">
        <f>IF(ISBLANK(tbl_明細[[#This Row],[案件番号]]),"",COUNTIFS($A$3:A59,tbl_明細[[#This Row],[案件番号]],$AA$3:AA59,"&gt;0"))</f>
        <v>8</v>
      </c>
      <c r="C59" s="71">
        <f>COUNTIFS($A$3:A59,tbl_明細[[#This Row],[案件番号]],$F$3:F59,tbl_明細[[#This Row],[仕入先]])</f>
        <v>8</v>
      </c>
      <c r="D59" s="77" t="str">
        <f>_xlfn.XLOOKUP(tbl_明細[[#This Row],[案件番号]],tbl_採番[案件番号],tbl_採番[顧客],"",0,1)</f>
        <v>加古川ヤマトヤシキ</v>
      </c>
      <c r="E59" s="71" t="s">
        <v>1962</v>
      </c>
      <c r="F59" s="118" t="str">
        <f>IF(ISBLANK(tbl_明細[[#This Row],[仕入先（M)]]),_xlfn.XLOOKUP(tbl_明細[[#This Row],[商品ID]],商品マスタ[商品連番],商品マスタ[仕入先],"",0,1),tbl_明細[[#This Row],[仕入先（M)]])</f>
        <v/>
      </c>
      <c r="G59" s="112" t="str">
        <f>IF(ISBLANK(tbl_明細[[#This Row],[商品名（M)]]),_xlfn.XLOOKUP(tbl_明細[[#This Row],[商品ID]],商品マスタ[商品連番],商品マスタ[商品名],"",0,),tbl_明細[[#This Row],[商品名（M)]])</f>
        <v/>
      </c>
      <c r="H59" s="80" t="str">
        <f>IF(ISBLANK(tbl_明細[[#This Row],[仕入価格（M)]]),_xlfn.XLOOKUP(tbl_明細[[#This Row],[商品ID]],商品マスタ[商品連番],商品マスタ[仕入
単価],"",0,1),tbl_明細[[#This Row],[仕入価格（M)]])</f>
        <v/>
      </c>
      <c r="I59" s="80" t="str">
        <f>_xlfn.XLOOKUP(tbl_明細[[#This Row],[商品ID]],商品マスタ[商品連番],商品マスタ[国内定価
（15％）],"",0,1)</f>
        <v/>
      </c>
      <c r="J59" s="265">
        <v>210</v>
      </c>
      <c r="K59" s="71">
        <v>60</v>
      </c>
      <c r="L59" s="77" t="str">
        <f>_xlfn.XLOOKUP(tbl_明細[[#This Row],[商品ID]],商品マスタ[商品連番],商品マスタ[単位],"",0,1)</f>
        <v/>
      </c>
      <c r="M59" s="249" t="e">
        <f>1-tbl_明細[[#This Row],[仕入価格]]/tbl_明細[[#This Row],[販売価格（売値）]]</f>
        <v>#VALUE!</v>
      </c>
      <c r="N59" s="189" t="str">
        <f>_xlfn.XLOOKUP(tbl_明細[[#This Row],[商品ID]],商品マスタ[商品連番],商品マスタ[税率],"",0,1)</f>
        <v/>
      </c>
      <c r="O59" s="266"/>
      <c r="P59" s="71"/>
      <c r="Q59" s="265"/>
      <c r="R59" s="265"/>
      <c r="S59" s="71"/>
      <c r="T59" s="71"/>
      <c r="U59" s="267"/>
      <c r="V59" s="267"/>
      <c r="W59" s="268"/>
      <c r="X59" s="254" t="e">
        <f>tbl_明細[[#This Row],[仕入価格]]*tbl_明細[[#This Row],[数量]]+tbl_明細[[#This Row],[仕入価格（M)]]*tbl_明細[[#This Row],[数量（M)]]</f>
        <v>#VALUE!</v>
      </c>
      <c r="Y59" s="254">
        <f>tbl_明細[[#This Row],[販売価格（売値）]]*tbl_明細[[#This Row],[数量]]+tbl_明細[[#This Row],[販売価格（M)]]*tbl_明細[[#This Row],[数量（M)]]</f>
        <v>12600</v>
      </c>
      <c r="Z59" s="257" t="str">
        <f>_xlfn.XLOOKUP(tbl_明細[[#This Row],[案件番号]],tbl_案件追跡[案件番号],tbl_案件追跡[受注],"",0,1)</f>
        <v/>
      </c>
      <c r="AA59" s="228">
        <f>tbl_明細[[#This Row],[販売価格（売値）]]+tbl_明細[[#This Row],[販売価格（M)]]</f>
        <v>210</v>
      </c>
      <c r="AB59" s="261">
        <f>tbl_明細[[#This Row],[販売価格（売値）]]*1.08+tbl_明細[[#This Row],[販売価格（M)]]*1.08</f>
        <v>226.8</v>
      </c>
    </row>
    <row r="60" spans="1:28">
      <c r="A60" s="73" t="s">
        <v>1954</v>
      </c>
      <c r="B60" s="77">
        <f>IF(ISBLANK(tbl_明細[[#This Row],[案件番号]]),"",COUNTIFS($A$3:A60,tbl_明細[[#This Row],[案件番号]],$AA$3:AA60,"&gt;0"))</f>
        <v>9</v>
      </c>
      <c r="C60" s="71">
        <f>COUNTIFS($A$3:A60,tbl_明細[[#This Row],[案件番号]],$F$3:F60,tbl_明細[[#This Row],[仕入先]])</f>
        <v>9</v>
      </c>
      <c r="D60" s="77" t="str">
        <f>_xlfn.XLOOKUP(tbl_明細[[#This Row],[案件番号]],tbl_採番[案件番号],tbl_採番[顧客],"",0,1)</f>
        <v>加古川ヤマトヤシキ</v>
      </c>
      <c r="E60" s="71" t="s">
        <v>1963</v>
      </c>
      <c r="F60" s="118" t="str">
        <f>IF(ISBLANK(tbl_明細[[#This Row],[仕入先（M)]]),_xlfn.XLOOKUP(tbl_明細[[#This Row],[商品ID]],商品マスタ[商品連番],商品マスタ[仕入先],"",0,1),tbl_明細[[#This Row],[仕入先（M)]])</f>
        <v/>
      </c>
      <c r="G60" s="112" t="str">
        <f>IF(ISBLANK(tbl_明細[[#This Row],[商品名（M)]]),_xlfn.XLOOKUP(tbl_明細[[#This Row],[商品ID]],商品マスタ[商品連番],商品マスタ[商品名],"",0,),tbl_明細[[#This Row],[商品名（M)]])</f>
        <v/>
      </c>
      <c r="H60" s="80" t="str">
        <f>IF(ISBLANK(tbl_明細[[#This Row],[仕入価格（M)]]),_xlfn.XLOOKUP(tbl_明細[[#This Row],[商品ID]],商品マスタ[商品連番],商品マスタ[仕入
単価],"",0,1),tbl_明細[[#This Row],[仕入価格（M)]])</f>
        <v/>
      </c>
      <c r="I60" s="80" t="str">
        <f>_xlfn.XLOOKUP(tbl_明細[[#This Row],[商品ID]],商品マスタ[商品連番],商品マスタ[国内定価
（15％）],"",0,1)</f>
        <v/>
      </c>
      <c r="J60" s="265">
        <v>207</v>
      </c>
      <c r="K60" s="71">
        <v>80</v>
      </c>
      <c r="L60" s="77" t="str">
        <f>_xlfn.XLOOKUP(tbl_明細[[#This Row],[商品ID]],商品マスタ[商品連番],商品マスタ[単位],"",0,1)</f>
        <v/>
      </c>
      <c r="M60" s="249" t="e">
        <f>1-tbl_明細[[#This Row],[仕入価格]]/tbl_明細[[#This Row],[販売価格（売値）]]</f>
        <v>#VALUE!</v>
      </c>
      <c r="N60" s="189" t="str">
        <f>_xlfn.XLOOKUP(tbl_明細[[#This Row],[商品ID]],商品マスタ[商品連番],商品マスタ[税率],"",0,1)</f>
        <v/>
      </c>
      <c r="O60" s="266"/>
      <c r="P60" s="71"/>
      <c r="Q60" s="265"/>
      <c r="R60" s="265"/>
      <c r="S60" s="71"/>
      <c r="T60" s="71"/>
      <c r="U60" s="267"/>
      <c r="V60" s="267" t="s">
        <v>938</v>
      </c>
      <c r="W60" s="268"/>
      <c r="X60" s="254" t="e">
        <f>tbl_明細[[#This Row],[仕入価格]]*tbl_明細[[#This Row],[数量]]+tbl_明細[[#This Row],[仕入価格（M)]]*tbl_明細[[#This Row],[数量（M)]]</f>
        <v>#VALUE!</v>
      </c>
      <c r="Y60" s="254">
        <f>tbl_明細[[#This Row],[販売価格（売値）]]*tbl_明細[[#This Row],[数量]]+tbl_明細[[#This Row],[販売価格（M)]]*tbl_明細[[#This Row],[数量（M)]]</f>
        <v>16560</v>
      </c>
      <c r="Z60" s="257" t="str">
        <f>_xlfn.XLOOKUP(tbl_明細[[#This Row],[案件番号]],tbl_案件追跡[案件番号],tbl_案件追跡[受注],"",0,1)</f>
        <v/>
      </c>
      <c r="AA60" s="228">
        <f>tbl_明細[[#This Row],[販売価格（売値）]]+tbl_明細[[#This Row],[販売価格（M)]]</f>
        <v>207</v>
      </c>
      <c r="AB60" s="261">
        <f>tbl_明細[[#This Row],[販売価格（売値）]]*1.08+tbl_明細[[#This Row],[販売価格（M)]]*1.08</f>
        <v>223.56</v>
      </c>
    </row>
    <row r="61" spans="1:28">
      <c r="A61" s="73" t="s">
        <v>1954</v>
      </c>
      <c r="B61" s="77">
        <f>IF(ISBLANK(tbl_明細[[#This Row],[案件番号]]),"",COUNTIFS($A$3:A61,tbl_明細[[#This Row],[案件番号]],$AA$3:AA61,"&gt;0"))</f>
        <v>10</v>
      </c>
      <c r="C61" s="71">
        <f>COUNTIFS($A$3:A61,tbl_明細[[#This Row],[案件番号]],$F$3:F61,tbl_明細[[#This Row],[仕入先]])</f>
        <v>1</v>
      </c>
      <c r="D61" s="77" t="str">
        <f>_xlfn.XLOOKUP(tbl_明細[[#This Row],[案件番号]],tbl_採番[案件番号],tbl_採番[顧客],"",0,1)</f>
        <v>加古川ヤマトヤシキ</v>
      </c>
      <c r="E61" s="71" t="s">
        <v>1964</v>
      </c>
      <c r="F61" s="118" t="str">
        <f>IF(ISBLANK(tbl_明細[[#This Row],[仕入先（M)]]),_xlfn.XLOOKUP(tbl_明細[[#This Row],[商品ID]],商品マスタ[商品連番],商品マスタ[仕入先],"",0,1),tbl_明細[[#This Row],[仕入先（M)]])</f>
        <v>にんにく種蔵</v>
      </c>
      <c r="G61" s="112" t="str">
        <f>IF(ISBLANK(tbl_明細[[#This Row],[商品名（M)]]),_xlfn.XLOOKUP(tbl_明細[[#This Row],[商品ID]],商品マスタ[商品連番],商品マスタ[商品名],"",0,),tbl_明細[[#This Row],[商品名（M)]])</f>
        <v>ダイヤモンドにんにくマヨネーズ  (瓶)</v>
      </c>
      <c r="H61" s="80">
        <f>IF(ISBLANK(tbl_明細[[#This Row],[仕入価格（M)]]),_xlfn.XLOOKUP(tbl_明細[[#This Row],[商品ID]],商品マスタ[商品連番],商品マスタ[仕入
単価],"",0,1),tbl_明細[[#This Row],[仕入価格（M)]])</f>
        <v>455.55555555555554</v>
      </c>
      <c r="I61" s="80">
        <f>_xlfn.XLOOKUP(tbl_明細[[#This Row],[商品ID]],商品マスタ[商品連番],商品マスタ[国内定価
（15％）],"",0,1)</f>
        <v>540</v>
      </c>
      <c r="J61" s="265">
        <v>629</v>
      </c>
      <c r="K61" s="71">
        <v>80</v>
      </c>
      <c r="L61" s="77" t="str">
        <f>_xlfn.XLOOKUP(tbl_明細[[#This Row],[商品ID]],商品マスタ[商品連番],商品マスタ[単位],"",0,1)</f>
        <v>瓶</v>
      </c>
      <c r="M61" s="249">
        <f>1-tbl_明細[[#This Row],[仕入価格]]/tbl_明細[[#This Row],[販売価格（売値）]]</f>
        <v>0.27574633456986397</v>
      </c>
      <c r="N61" s="189">
        <f>_xlfn.XLOOKUP(tbl_明細[[#This Row],[商品ID]],商品マスタ[商品連番],商品マスタ[税率],"",0,1)</f>
        <v>0.08</v>
      </c>
      <c r="O61" s="266"/>
      <c r="P61" s="71"/>
      <c r="Q61" s="265"/>
      <c r="R61" s="265"/>
      <c r="S61" s="71"/>
      <c r="T61" s="71"/>
      <c r="U61" s="267"/>
      <c r="V61" s="267"/>
      <c r="W61" s="268"/>
      <c r="X61" s="254">
        <f>tbl_明細[[#This Row],[仕入価格]]*tbl_明細[[#This Row],[数量]]+tbl_明細[[#This Row],[仕入価格（M)]]*tbl_明細[[#This Row],[数量（M)]]</f>
        <v>36444.444444444445</v>
      </c>
      <c r="Y61" s="254">
        <f>tbl_明細[[#This Row],[販売価格（売値）]]*tbl_明細[[#This Row],[数量]]+tbl_明細[[#This Row],[販売価格（M)]]*tbl_明細[[#This Row],[数量（M)]]</f>
        <v>50320</v>
      </c>
      <c r="Z61" s="257" t="str">
        <f>_xlfn.XLOOKUP(tbl_明細[[#This Row],[案件番号]],tbl_案件追跡[案件番号],tbl_案件追跡[受注],"",0,1)</f>
        <v/>
      </c>
      <c r="AA61" s="228">
        <f>tbl_明細[[#This Row],[販売価格（売値）]]+tbl_明細[[#This Row],[販売価格（M)]]</f>
        <v>629</v>
      </c>
      <c r="AB61" s="261">
        <f>tbl_明細[[#This Row],[販売価格（売値）]]*1.08+tbl_明細[[#This Row],[販売価格（M)]]*1.08</f>
        <v>679.32</v>
      </c>
    </row>
    <row r="62" spans="1:28">
      <c r="A62" s="73" t="s">
        <v>1954</v>
      </c>
      <c r="B62" s="77">
        <f>IF(ISBLANK(tbl_明細[[#This Row],[案件番号]]),"",COUNTIFS($A$3:A62,tbl_明細[[#This Row],[案件番号]],$AA$3:AA62,"&gt;0"))</f>
        <v>11</v>
      </c>
      <c r="C62" s="71">
        <f>COUNTIFS($A$3:A62,tbl_明細[[#This Row],[案件番号]],$F$3:F62,tbl_明細[[#This Row],[仕入先]])</f>
        <v>2</v>
      </c>
      <c r="D62" s="77" t="str">
        <f>_xlfn.XLOOKUP(tbl_明細[[#This Row],[案件番号]],tbl_採番[案件番号],tbl_採番[顧客],"",0,1)</f>
        <v>加古川ヤマトヤシキ</v>
      </c>
      <c r="E62" s="71" t="s">
        <v>1965</v>
      </c>
      <c r="F62" s="118" t="str">
        <f>IF(ISBLANK(tbl_明細[[#This Row],[仕入先（M)]]),_xlfn.XLOOKUP(tbl_明細[[#This Row],[商品ID]],商品マスタ[商品連番],商品マスタ[仕入先],"",0,1),tbl_明細[[#This Row],[仕入先（M)]])</f>
        <v>にんにく種蔵</v>
      </c>
      <c r="G62" s="112" t="str">
        <f>IF(ISBLANK(tbl_明細[[#This Row],[商品名（M)]]),_xlfn.XLOOKUP(tbl_明細[[#This Row],[商品ID]],商品マスタ[商品連番],商品マスタ[商品名],"",0,),tbl_明細[[#This Row],[商品名（M)]])</f>
        <v>ダイヤモンドにんにく味噌</v>
      </c>
      <c r="H62" s="80">
        <f>IF(ISBLANK(tbl_明細[[#This Row],[仕入価格（M)]]),_xlfn.XLOOKUP(tbl_明細[[#This Row],[商品ID]],商品マスタ[商品連番],商品マスタ[仕入
単価],"",0,1),tbl_明細[[#This Row],[仕入価格（M)]])</f>
        <v>456</v>
      </c>
      <c r="I62" s="80">
        <f>_xlfn.XLOOKUP(tbl_明細[[#This Row],[商品ID]],商品マスタ[商品連番],商品マスタ[国内定価
（15％）],"",0,1)</f>
        <v>600</v>
      </c>
      <c r="J62" s="265">
        <v>629</v>
      </c>
      <c r="K62" s="71">
        <v>20</v>
      </c>
      <c r="L62" s="77" t="str">
        <f>_xlfn.XLOOKUP(tbl_明細[[#This Row],[商品ID]],商品マスタ[商品連番],商品マスタ[単位],"",0,1)</f>
        <v>瓶</v>
      </c>
      <c r="M62" s="249">
        <f>1-tbl_明細[[#This Row],[仕入価格]]/tbl_明細[[#This Row],[販売価格（売値）]]</f>
        <v>0.27503974562798095</v>
      </c>
      <c r="N62" s="189">
        <f>_xlfn.XLOOKUP(tbl_明細[[#This Row],[商品ID]],商品マスタ[商品連番],商品マスタ[税率],"",0,1)</f>
        <v>0.08</v>
      </c>
      <c r="O62" s="266"/>
      <c r="P62" s="71"/>
      <c r="Q62" s="265"/>
      <c r="R62" s="265"/>
      <c r="S62" s="71"/>
      <c r="T62" s="71"/>
      <c r="U62" s="267"/>
      <c r="V62" s="267"/>
      <c r="W62" s="268"/>
      <c r="X62" s="254">
        <f>tbl_明細[[#This Row],[仕入価格]]*tbl_明細[[#This Row],[数量]]+tbl_明細[[#This Row],[仕入価格（M)]]*tbl_明細[[#This Row],[数量（M)]]</f>
        <v>9120</v>
      </c>
      <c r="Y62" s="254">
        <f>tbl_明細[[#This Row],[販売価格（売値）]]*tbl_明細[[#This Row],[数量]]+tbl_明細[[#This Row],[販売価格（M)]]*tbl_明細[[#This Row],[数量（M)]]</f>
        <v>12580</v>
      </c>
      <c r="Z62" s="257" t="str">
        <f>_xlfn.XLOOKUP(tbl_明細[[#This Row],[案件番号]],tbl_案件追跡[案件番号],tbl_案件追跡[受注],"",0,1)</f>
        <v/>
      </c>
      <c r="AA62" s="228">
        <f>tbl_明細[[#This Row],[販売価格（売値）]]+tbl_明細[[#This Row],[販売価格（M)]]</f>
        <v>629</v>
      </c>
      <c r="AB62" s="261">
        <f>tbl_明細[[#This Row],[販売価格（売値）]]*1.08+tbl_明細[[#This Row],[販売価格（M)]]*1.08</f>
        <v>679.32</v>
      </c>
    </row>
    <row r="63" spans="1:28">
      <c r="A63" s="73" t="s">
        <v>1954</v>
      </c>
      <c r="B63" s="77">
        <f>IF(ISBLANK(tbl_明細[[#This Row],[案件番号]]),"",COUNTIFS($A$3:A63,tbl_明細[[#This Row],[案件番号]],$AA$3:AA63,"&gt;0"))</f>
        <v>12</v>
      </c>
      <c r="C63" s="71">
        <f>COUNTIFS($A$3:A63,tbl_明細[[#This Row],[案件番号]],$F$3:F63,tbl_明細[[#This Row],[仕入先]])</f>
        <v>3</v>
      </c>
      <c r="D63" s="77" t="str">
        <f>_xlfn.XLOOKUP(tbl_明細[[#This Row],[案件番号]],tbl_採番[案件番号],tbl_採番[顧客],"",0,1)</f>
        <v>加古川ヤマトヤシキ</v>
      </c>
      <c r="E63" s="71" t="s">
        <v>1966</v>
      </c>
      <c r="F63" s="118" t="str">
        <f>IF(ISBLANK(tbl_明細[[#This Row],[仕入先（M)]]),_xlfn.XLOOKUP(tbl_明細[[#This Row],[商品ID]],商品マスタ[商品連番],商品マスタ[仕入先],"",0,1),tbl_明細[[#This Row],[仕入先（M)]])</f>
        <v>にんにく種蔵</v>
      </c>
      <c r="G63" s="112" t="str">
        <f>IF(ISBLANK(tbl_明細[[#This Row],[商品名（M)]]),_xlfn.XLOOKUP(tbl_明細[[#This Row],[商品ID]],商品マスタ[商品連番],商品マスタ[商品名],"",0,),tbl_明細[[#This Row],[商品名（M)]])</f>
        <v>ダイヤモンドにんにくバーニャカウダ</v>
      </c>
      <c r="H63" s="80">
        <f>IF(ISBLANK(tbl_明細[[#This Row],[仕入価格（M)]]),_xlfn.XLOOKUP(tbl_明細[[#This Row],[商品ID]],商品マスタ[商品連番],商品マスタ[仕入
単価],"",0,1),tbl_明細[[#This Row],[仕入価格（M)]])</f>
        <v>456</v>
      </c>
      <c r="I63" s="80">
        <f>_xlfn.XLOOKUP(tbl_明細[[#This Row],[商品ID]],商品マスタ[商品連番],商品マスタ[国内定価
（15％）],"",0,1)</f>
        <v>600</v>
      </c>
      <c r="J63" s="265">
        <v>629</v>
      </c>
      <c r="K63" s="71">
        <v>20</v>
      </c>
      <c r="L63" s="77" t="str">
        <f>_xlfn.XLOOKUP(tbl_明細[[#This Row],[商品ID]],商品マスタ[商品連番],商品マスタ[単位],"",0,1)</f>
        <v>瓶</v>
      </c>
      <c r="M63" s="249">
        <f>1-tbl_明細[[#This Row],[仕入価格]]/tbl_明細[[#This Row],[販売価格（売値）]]</f>
        <v>0.27503974562798095</v>
      </c>
      <c r="N63" s="189">
        <f>_xlfn.XLOOKUP(tbl_明細[[#This Row],[商品ID]],商品マスタ[商品連番],商品マスタ[税率],"",0,1)</f>
        <v>0.08</v>
      </c>
      <c r="O63" s="266"/>
      <c r="P63" s="71"/>
      <c r="Q63" s="265"/>
      <c r="R63" s="265"/>
      <c r="S63" s="71"/>
      <c r="T63" s="71"/>
      <c r="U63" s="267"/>
      <c r="V63" s="267"/>
      <c r="W63" s="268"/>
      <c r="X63" s="254">
        <f>tbl_明細[[#This Row],[仕入価格]]*tbl_明細[[#This Row],[数量]]+tbl_明細[[#This Row],[仕入価格（M)]]*tbl_明細[[#This Row],[数量（M)]]</f>
        <v>9120</v>
      </c>
      <c r="Y63" s="254">
        <f>tbl_明細[[#This Row],[販売価格（売値）]]*tbl_明細[[#This Row],[数量]]+tbl_明細[[#This Row],[販売価格（M)]]*tbl_明細[[#This Row],[数量（M)]]</f>
        <v>12580</v>
      </c>
      <c r="Z63" s="257" t="str">
        <f>_xlfn.XLOOKUP(tbl_明細[[#This Row],[案件番号]],tbl_案件追跡[案件番号],tbl_案件追跡[受注],"",0,1)</f>
        <v/>
      </c>
      <c r="AA63" s="228">
        <f>tbl_明細[[#This Row],[販売価格（売値）]]+tbl_明細[[#This Row],[販売価格（M)]]</f>
        <v>629</v>
      </c>
      <c r="AB63" s="261">
        <f>tbl_明細[[#This Row],[販売価格（売値）]]*1.08+tbl_明細[[#This Row],[販売価格（M)]]*1.08</f>
        <v>679.32</v>
      </c>
    </row>
    <row r="64" spans="1:28">
      <c r="A64" s="73" t="s">
        <v>1954</v>
      </c>
      <c r="B64" s="77">
        <f>IF(ISBLANK(tbl_明細[[#This Row],[案件番号]]),"",COUNTIFS($A$3:A64,tbl_明細[[#This Row],[案件番号]],$AA$3:AA64,"&gt;0"))</f>
        <v>13</v>
      </c>
      <c r="C64" s="71">
        <f>COUNTIFS($A$3:A64,tbl_明細[[#This Row],[案件番号]],$F$3:F64,tbl_明細[[#This Row],[仕入先]])</f>
        <v>4</v>
      </c>
      <c r="D64" s="77" t="str">
        <f>_xlfn.XLOOKUP(tbl_明細[[#This Row],[案件番号]],tbl_採番[案件番号],tbl_採番[顧客],"",0,1)</f>
        <v>加古川ヤマトヤシキ</v>
      </c>
      <c r="E64" s="71" t="s">
        <v>1967</v>
      </c>
      <c r="F64" s="118" t="str">
        <f>IF(ISBLANK(tbl_明細[[#This Row],[仕入先（M)]]),_xlfn.XLOOKUP(tbl_明細[[#This Row],[商品ID]],商品マスタ[商品連番],商品マスタ[仕入先],"",0,1),tbl_明細[[#This Row],[仕入先（M)]])</f>
        <v>にんにく種蔵</v>
      </c>
      <c r="G64" s="112" t="str">
        <f>IF(ISBLANK(tbl_明細[[#This Row],[商品名（M)]]),_xlfn.XLOOKUP(tbl_明細[[#This Row],[商品ID]],商品マスタ[商品連番],商品マスタ[商品名],"",0,),tbl_明細[[#This Row],[商品名（M)]])</f>
        <v>絶望のにんにくトマトソース200g</v>
      </c>
      <c r="H64" s="80">
        <f>IF(ISBLANK(tbl_明細[[#This Row],[仕入価格（M)]]),_xlfn.XLOOKUP(tbl_明細[[#This Row],[商品ID]],商品マスタ[商品連番],商品マスタ[仕入
単価],"",0,1),tbl_明細[[#This Row],[仕入価格（M)]])</f>
        <v>456</v>
      </c>
      <c r="I64" s="80">
        <f>_xlfn.XLOOKUP(tbl_明細[[#This Row],[商品ID]],商品マスタ[商品連番],商品マスタ[国内定価
（15％）],"",0,1)</f>
        <v>600</v>
      </c>
      <c r="J64" s="265">
        <v>629</v>
      </c>
      <c r="K64" s="71">
        <v>50</v>
      </c>
      <c r="L64" s="77" t="str">
        <f>_xlfn.XLOOKUP(tbl_明細[[#This Row],[商品ID]],商品マスタ[商品連番],商品マスタ[単位],"",0,1)</f>
        <v>パウチ</v>
      </c>
      <c r="M64" s="249">
        <f>1-tbl_明細[[#This Row],[仕入価格]]/tbl_明細[[#This Row],[販売価格（売値）]]</f>
        <v>0.27503974562798095</v>
      </c>
      <c r="N64" s="189">
        <f>_xlfn.XLOOKUP(tbl_明細[[#This Row],[商品ID]],商品マスタ[商品連番],商品マスタ[税率],"",0,1)</f>
        <v>0.08</v>
      </c>
      <c r="O64" s="266"/>
      <c r="P64" s="71"/>
      <c r="Q64" s="265"/>
      <c r="R64" s="265"/>
      <c r="S64" s="71"/>
      <c r="T64" s="71"/>
      <c r="U64" s="267"/>
      <c r="V64" s="267"/>
      <c r="W64" s="268"/>
      <c r="X64" s="254">
        <f>tbl_明細[[#This Row],[仕入価格]]*tbl_明細[[#This Row],[数量]]+tbl_明細[[#This Row],[仕入価格（M)]]*tbl_明細[[#This Row],[数量（M)]]</f>
        <v>22800</v>
      </c>
      <c r="Y64" s="254">
        <f>tbl_明細[[#This Row],[販売価格（売値）]]*tbl_明細[[#This Row],[数量]]+tbl_明細[[#This Row],[販売価格（M)]]*tbl_明細[[#This Row],[数量（M)]]</f>
        <v>31450</v>
      </c>
      <c r="Z64" s="257" t="str">
        <f>_xlfn.XLOOKUP(tbl_明細[[#This Row],[案件番号]],tbl_案件追跡[案件番号],tbl_案件追跡[受注],"",0,1)</f>
        <v/>
      </c>
      <c r="AA64" s="228">
        <f>tbl_明細[[#This Row],[販売価格（売値）]]+tbl_明細[[#This Row],[販売価格（M)]]</f>
        <v>629</v>
      </c>
      <c r="AB64" s="261">
        <f>tbl_明細[[#This Row],[販売価格（売値）]]*1.08+tbl_明細[[#This Row],[販売価格（M)]]*1.08</f>
        <v>679.32</v>
      </c>
    </row>
    <row r="65" spans="1:28">
      <c r="A65" s="73" t="s">
        <v>1954</v>
      </c>
      <c r="B65" s="77">
        <f>IF(ISBLANK(tbl_明細[[#This Row],[案件番号]]),"",COUNTIFS($A$3:A65,tbl_明細[[#This Row],[案件番号]],$AA$3:AA65,"&gt;0"))</f>
        <v>14</v>
      </c>
      <c r="C65" s="71">
        <f>COUNTIFS($A$3:A65,tbl_明細[[#This Row],[案件番号]],$F$3:F65,tbl_明細[[#This Row],[仕入先]])</f>
        <v>5</v>
      </c>
      <c r="D65" s="77" t="str">
        <f>_xlfn.XLOOKUP(tbl_明細[[#This Row],[案件番号]],tbl_採番[案件番号],tbl_採番[顧客],"",0,1)</f>
        <v>加古川ヤマトヤシキ</v>
      </c>
      <c r="E65" s="71" t="s">
        <v>1968</v>
      </c>
      <c r="F65" s="118" t="str">
        <f>IF(ISBLANK(tbl_明細[[#This Row],[仕入先（M)]]),_xlfn.XLOOKUP(tbl_明細[[#This Row],[商品ID]],商品マスタ[商品連番],商品マスタ[仕入先],"",0,1),tbl_明細[[#This Row],[仕入先（M)]])</f>
        <v>にんにく種蔵</v>
      </c>
      <c r="G65" s="112" t="str">
        <f>IF(ISBLANK(tbl_明細[[#This Row],[商品名（M)]]),_xlfn.XLOOKUP(tbl_明細[[#This Row],[商品ID]],商品マスタ[商品連番],商品マスタ[商品名],"",0,),tbl_明細[[#This Row],[商品名（M)]])</f>
        <v>待望のにんにくペペロンチーノソース200g</v>
      </c>
      <c r="H65" s="80">
        <f>IF(ISBLANK(tbl_明細[[#This Row],[仕入価格（M)]]),_xlfn.XLOOKUP(tbl_明細[[#This Row],[商品ID]],商品マスタ[商品連番],商品マスタ[仕入
単価],"",0,1),tbl_明細[[#This Row],[仕入価格（M)]])</f>
        <v>456</v>
      </c>
      <c r="I65" s="80">
        <f>_xlfn.XLOOKUP(tbl_明細[[#This Row],[商品ID]],商品マスタ[商品連番],商品マスタ[国内定価
（15％）],"",0,1)</f>
        <v>600</v>
      </c>
      <c r="J65" s="265">
        <v>629</v>
      </c>
      <c r="K65" s="71">
        <v>50</v>
      </c>
      <c r="L65" s="77" t="str">
        <f>_xlfn.XLOOKUP(tbl_明細[[#This Row],[商品ID]],商品マスタ[商品連番],商品マスタ[単位],"",0,1)</f>
        <v>パウチ</v>
      </c>
      <c r="M65" s="249">
        <f>1-tbl_明細[[#This Row],[仕入価格]]/tbl_明細[[#This Row],[販売価格（売値）]]</f>
        <v>0.27503974562798095</v>
      </c>
      <c r="N65" s="189">
        <f>_xlfn.XLOOKUP(tbl_明細[[#This Row],[商品ID]],商品マスタ[商品連番],商品マスタ[税率],"",0,1)</f>
        <v>0.08</v>
      </c>
      <c r="O65" s="266"/>
      <c r="P65" s="71"/>
      <c r="Q65" s="265"/>
      <c r="R65" s="265"/>
      <c r="S65" s="71"/>
      <c r="T65" s="71"/>
      <c r="U65" s="267"/>
      <c r="V65" s="267"/>
      <c r="W65" s="268"/>
      <c r="X65" s="254">
        <f>tbl_明細[[#This Row],[仕入価格]]*tbl_明細[[#This Row],[数量]]+tbl_明細[[#This Row],[仕入価格（M)]]*tbl_明細[[#This Row],[数量（M)]]</f>
        <v>22800</v>
      </c>
      <c r="Y65" s="254">
        <f>tbl_明細[[#This Row],[販売価格（売値）]]*tbl_明細[[#This Row],[数量]]+tbl_明細[[#This Row],[販売価格（M)]]*tbl_明細[[#This Row],[数量（M)]]</f>
        <v>31450</v>
      </c>
      <c r="Z65" s="257" t="str">
        <f>_xlfn.XLOOKUP(tbl_明細[[#This Row],[案件番号]],tbl_案件追跡[案件番号],tbl_案件追跡[受注],"",0,1)</f>
        <v/>
      </c>
      <c r="AA65" s="228">
        <f>tbl_明細[[#This Row],[販売価格（売値）]]+tbl_明細[[#This Row],[販売価格（M)]]</f>
        <v>629</v>
      </c>
      <c r="AB65" s="261">
        <f>tbl_明細[[#This Row],[販売価格（売値）]]*1.08+tbl_明細[[#This Row],[販売価格（M)]]*1.08</f>
        <v>679.32</v>
      </c>
    </row>
    <row r="66" spans="1:28">
      <c r="A66" s="73" t="s">
        <v>1954</v>
      </c>
      <c r="B66" s="77">
        <f>IF(ISBLANK(tbl_明細[[#This Row],[案件番号]]),"",COUNTIFS($A$3:A66,tbl_明細[[#This Row],[案件番号]],$AA$3:AA66,"&gt;0"))</f>
        <v>15</v>
      </c>
      <c r="C66" s="71">
        <f>COUNTIFS($A$3:A66,tbl_明細[[#This Row],[案件番号]],$F$3:F66,tbl_明細[[#This Row],[仕入先]])</f>
        <v>1</v>
      </c>
      <c r="D66" s="77" t="str">
        <f>_xlfn.XLOOKUP(tbl_明細[[#This Row],[案件番号]],tbl_採番[案件番号],tbl_採番[顧客],"",0,1)</f>
        <v>加古川ヤマトヤシキ</v>
      </c>
      <c r="E66" s="71" t="s">
        <v>1969</v>
      </c>
      <c r="F66" s="118" t="str">
        <f>IF(ISBLANK(tbl_明細[[#This Row],[仕入先（M)]]),_xlfn.XLOOKUP(tbl_明細[[#This Row],[商品ID]],商品マスタ[商品連番],商品マスタ[仕入先],"",0,1),tbl_明細[[#This Row],[仕入先（M)]])</f>
        <v>みそぎの郷きこない</v>
      </c>
      <c r="G66" s="112" t="str">
        <f>IF(ISBLANK(tbl_明細[[#This Row],[商品名（M)]]),_xlfn.XLOOKUP(tbl_明細[[#This Row],[商品ID]],商品マスタ[商品連番],商品マスタ[商品名],"",0,),tbl_明細[[#This Row],[商品名（M)]])</f>
        <v>オリジナルポテトチップス</v>
      </c>
      <c r="H66" s="80">
        <f>IF(ISBLANK(tbl_明細[[#This Row],[仕入価格（M)]]),_xlfn.XLOOKUP(tbl_明細[[#This Row],[商品ID]],商品マスタ[商品連番],商品マスタ[仕入
単価],"",0,1),tbl_明細[[#This Row],[仕入価格（M)]])</f>
        <v>200</v>
      </c>
      <c r="I66" s="80" t="str">
        <f>_xlfn.XLOOKUP(tbl_明細[[#This Row],[商品ID]],商品マスタ[商品連番],商品マスタ[国内定価
（15％）],"",0,1)</f>
        <v/>
      </c>
      <c r="J66" s="265"/>
      <c r="K66" s="71"/>
      <c r="L66" s="77" t="str">
        <f>_xlfn.XLOOKUP(tbl_明細[[#This Row],[商品ID]],商品マスタ[商品連番],商品マスタ[単位],"",0,1)</f>
        <v/>
      </c>
      <c r="M66" s="249" t="e">
        <f>1-tbl_明細[[#This Row],[仕入価格]]/tbl_明細[[#This Row],[販売価格（売値）]]</f>
        <v>#DIV/0!</v>
      </c>
      <c r="N66" s="189" t="str">
        <f>_xlfn.XLOOKUP(tbl_明細[[#This Row],[商品ID]],商品マスタ[商品連番],商品マスタ[税率],"",0,1)</f>
        <v/>
      </c>
      <c r="O66" s="266" t="s">
        <v>1970</v>
      </c>
      <c r="P66" s="71" t="s">
        <v>1971</v>
      </c>
      <c r="Q66" s="265">
        <v>200</v>
      </c>
      <c r="R66" s="265">
        <v>259</v>
      </c>
      <c r="S66" s="71">
        <v>96</v>
      </c>
      <c r="T66" s="71" t="s">
        <v>795</v>
      </c>
      <c r="U66" s="267">
        <v>0.08</v>
      </c>
      <c r="V66" s="267"/>
      <c r="W66" s="268"/>
      <c r="X66" s="254">
        <f>tbl_明細[[#This Row],[仕入価格]]*tbl_明細[[#This Row],[数量]]+tbl_明細[[#This Row],[仕入価格（M)]]*tbl_明細[[#This Row],[数量（M)]]</f>
        <v>19200</v>
      </c>
      <c r="Y66" s="254">
        <f>tbl_明細[[#This Row],[販売価格（売値）]]*tbl_明細[[#This Row],[数量]]+tbl_明細[[#This Row],[販売価格（M)]]*tbl_明細[[#This Row],[数量（M)]]</f>
        <v>24864</v>
      </c>
      <c r="Z66" s="257" t="str">
        <f>_xlfn.XLOOKUP(tbl_明細[[#This Row],[案件番号]],tbl_案件追跡[案件番号],tbl_案件追跡[受注],"",0,1)</f>
        <v/>
      </c>
      <c r="AA66" s="228">
        <f>tbl_明細[[#This Row],[販売価格（売値）]]+tbl_明細[[#This Row],[販売価格（M)]]</f>
        <v>259</v>
      </c>
      <c r="AB66" s="261">
        <f>tbl_明細[[#This Row],[販売価格（売値）]]*1.08+tbl_明細[[#This Row],[販売価格（M)]]*1.08</f>
        <v>279.72000000000003</v>
      </c>
    </row>
    <row r="67" spans="1:28">
      <c r="A67" s="73" t="s">
        <v>1954</v>
      </c>
      <c r="B67" s="77">
        <f>IF(ISBLANK(tbl_明細[[#This Row],[案件番号]]),"",COUNTIFS($A$3:A67,tbl_明細[[#This Row],[案件番号]],$AA$3:AA67,"&gt;0"))</f>
        <v>16</v>
      </c>
      <c r="C67" s="71">
        <f>COUNTIFS($A$3:A67,tbl_明細[[#This Row],[案件番号]],$F$3:F67,tbl_明細[[#This Row],[仕入先]])</f>
        <v>2</v>
      </c>
      <c r="D67" s="77" t="str">
        <f>_xlfn.XLOOKUP(tbl_明細[[#This Row],[案件番号]],tbl_採番[案件番号],tbl_採番[顧客],"",0,1)</f>
        <v>加古川ヤマトヤシキ</v>
      </c>
      <c r="E67" s="71" t="s">
        <v>1969</v>
      </c>
      <c r="F67" s="118" t="str">
        <f>IF(ISBLANK(tbl_明細[[#This Row],[仕入先（M)]]),_xlfn.XLOOKUP(tbl_明細[[#This Row],[商品ID]],商品マスタ[商品連番],商品マスタ[仕入先],"",0,1),tbl_明細[[#This Row],[仕入先（M)]])</f>
        <v>みそぎの郷きこない</v>
      </c>
      <c r="G67" s="112" t="str">
        <f>IF(ISBLANK(tbl_明細[[#This Row],[商品名（M)]]),_xlfn.XLOOKUP(tbl_明細[[#This Row],[商品ID]],商品マスタ[商品連番],商品マスタ[商品名],"",0,),tbl_明細[[#This Row],[商品名（M)]])</f>
        <v>みそぎボーイ塩きびだんご</v>
      </c>
      <c r="H67" s="80">
        <f>IF(ISBLANK(tbl_明細[[#This Row],[仕入価格（M)]]),_xlfn.XLOOKUP(tbl_明細[[#This Row],[商品ID]],商品マスタ[商品連番],商品マスタ[仕入
単価],"",0,1),tbl_明細[[#This Row],[仕入価格（M)]])</f>
        <v>350</v>
      </c>
      <c r="I67" s="80" t="str">
        <f>_xlfn.XLOOKUP(tbl_明細[[#This Row],[商品ID]],商品マスタ[商品連番],商品マスタ[国内定価
（15％）],"",0,1)</f>
        <v/>
      </c>
      <c r="J67" s="265"/>
      <c r="K67" s="71"/>
      <c r="L67" s="77" t="str">
        <f>_xlfn.XLOOKUP(tbl_明細[[#This Row],[商品ID]],商品マスタ[商品連番],商品マスタ[単位],"",0,1)</f>
        <v/>
      </c>
      <c r="M67" s="249" t="e">
        <f>1-tbl_明細[[#This Row],[仕入価格]]/tbl_明細[[#This Row],[販売価格（売値）]]</f>
        <v>#DIV/0!</v>
      </c>
      <c r="N67" s="189" t="str">
        <f>_xlfn.XLOOKUP(tbl_明細[[#This Row],[商品ID]],商品マスタ[商品連番],商品マスタ[税率],"",0,1)</f>
        <v/>
      </c>
      <c r="O67" s="266" t="s">
        <v>1970</v>
      </c>
      <c r="P67" s="71" t="s">
        <v>1972</v>
      </c>
      <c r="Q67" s="265">
        <v>350</v>
      </c>
      <c r="R67" s="265">
        <v>441</v>
      </c>
      <c r="S67" s="71">
        <v>36</v>
      </c>
      <c r="T67" s="71" t="s">
        <v>795</v>
      </c>
      <c r="U67" s="267">
        <v>0.08</v>
      </c>
      <c r="V67" s="267"/>
      <c r="W67" s="268"/>
      <c r="X67" s="254">
        <f>tbl_明細[[#This Row],[仕入価格]]*tbl_明細[[#This Row],[数量]]+tbl_明細[[#This Row],[仕入価格（M)]]*tbl_明細[[#This Row],[数量（M)]]</f>
        <v>12600</v>
      </c>
      <c r="Y67" s="254">
        <f>tbl_明細[[#This Row],[販売価格（売値）]]*tbl_明細[[#This Row],[数量]]+tbl_明細[[#This Row],[販売価格（M)]]*tbl_明細[[#This Row],[数量（M)]]</f>
        <v>15876</v>
      </c>
      <c r="Z67" s="257" t="str">
        <f>_xlfn.XLOOKUP(tbl_明細[[#This Row],[案件番号]],tbl_案件追跡[案件番号],tbl_案件追跡[受注],"",0,1)</f>
        <v/>
      </c>
      <c r="AA67" s="228">
        <f>tbl_明細[[#This Row],[販売価格（売値）]]+tbl_明細[[#This Row],[販売価格（M)]]</f>
        <v>441</v>
      </c>
      <c r="AB67" s="261">
        <f>tbl_明細[[#This Row],[販売価格（売値）]]*1.08+tbl_明細[[#This Row],[販売価格（M)]]*1.08</f>
        <v>476.28000000000003</v>
      </c>
    </row>
    <row r="68" spans="1:28">
      <c r="A68" s="73" t="s">
        <v>1954</v>
      </c>
      <c r="B68" s="77">
        <f>IF(ISBLANK(tbl_明細[[#This Row],[案件番号]]),"",COUNTIFS($A$3:A68,tbl_明細[[#This Row],[案件番号]],$AA$3:AA68,"&gt;0"))</f>
        <v>17</v>
      </c>
      <c r="C68" s="71">
        <f>COUNTIFS($A$3:A68,tbl_明細[[#This Row],[案件番号]],$F$3:F68,tbl_明細[[#This Row],[仕入先]])</f>
        <v>1</v>
      </c>
      <c r="D68" s="77" t="str">
        <f>_xlfn.XLOOKUP(tbl_明細[[#This Row],[案件番号]],tbl_採番[案件番号],tbl_採番[顧客],"",0,1)</f>
        <v>加古川ヤマトヤシキ</v>
      </c>
      <c r="E68" s="71" t="s">
        <v>1969</v>
      </c>
      <c r="F68" s="118" t="str">
        <f>IF(ISBLANK(tbl_明細[[#This Row],[仕入先（M)]]),_xlfn.XLOOKUP(tbl_明細[[#This Row],[商品ID]],商品マスタ[商品連番],商品マスタ[仕入先],"",0,1),tbl_明細[[#This Row],[仕入先（M)]])</f>
        <v>オーセントホテル小樽</v>
      </c>
      <c r="G68" s="112" t="str">
        <f>IF(ISBLANK(tbl_明細[[#This Row],[商品名（M)]]),_xlfn.XLOOKUP(tbl_明細[[#This Row],[商品ID]],商品マスタ[商品連番],商品マスタ[商品名],"",0,),tbl_明細[[#This Row],[商品名（M)]])</f>
        <v>ウィークエンド・オランジェ</v>
      </c>
      <c r="H68" s="80" t="str">
        <f>IF(ISBLANK(tbl_明細[[#This Row],[仕入価格（M)]]),_xlfn.XLOOKUP(tbl_明細[[#This Row],[商品ID]],商品マスタ[商品連番],商品マスタ[仕入
単価],"",0,1),tbl_明細[[#This Row],[仕入価格（M)]])</f>
        <v/>
      </c>
      <c r="I68" s="80" t="str">
        <f>_xlfn.XLOOKUP(tbl_明細[[#This Row],[商品ID]],商品マスタ[商品連番],商品マスタ[国内定価
（15％）],"",0,1)</f>
        <v/>
      </c>
      <c r="J68" s="265"/>
      <c r="K68" s="71"/>
      <c r="L68" s="77" t="str">
        <f>_xlfn.XLOOKUP(tbl_明細[[#This Row],[商品ID]],商品マスタ[商品連番],商品マスタ[単位],"",0,1)</f>
        <v/>
      </c>
      <c r="M68" s="249" t="e">
        <f>1-tbl_明細[[#This Row],[仕入価格]]/tbl_明細[[#This Row],[販売価格（売値）]]</f>
        <v>#VALUE!</v>
      </c>
      <c r="N68" s="189" t="str">
        <f>_xlfn.XLOOKUP(tbl_明細[[#This Row],[商品ID]],商品マスタ[商品連番],商品マスタ[税率],"",0,1)</f>
        <v/>
      </c>
      <c r="O68" s="266" t="s">
        <v>1973</v>
      </c>
      <c r="P68" s="71" t="s">
        <v>1974</v>
      </c>
      <c r="Q68" s="265"/>
      <c r="R68" s="265">
        <v>1400</v>
      </c>
      <c r="S68" s="71">
        <v>10</v>
      </c>
      <c r="T68" s="71" t="s">
        <v>795</v>
      </c>
      <c r="U68" s="267">
        <v>0.08</v>
      </c>
      <c r="V68" s="267"/>
      <c r="W68" s="268"/>
      <c r="X68" s="254" t="e">
        <f>tbl_明細[[#This Row],[仕入価格]]*tbl_明細[[#This Row],[数量]]+tbl_明細[[#This Row],[仕入価格（M)]]*tbl_明細[[#This Row],[数量（M)]]</f>
        <v>#VALUE!</v>
      </c>
      <c r="Y68" s="254">
        <f>tbl_明細[[#This Row],[販売価格（売値）]]*tbl_明細[[#This Row],[数量]]+tbl_明細[[#This Row],[販売価格（M)]]*tbl_明細[[#This Row],[数量（M)]]</f>
        <v>14000</v>
      </c>
      <c r="Z68" s="257" t="str">
        <f>_xlfn.XLOOKUP(tbl_明細[[#This Row],[案件番号]],tbl_案件追跡[案件番号],tbl_案件追跡[受注],"",0,1)</f>
        <v/>
      </c>
      <c r="AA68" s="228">
        <f>tbl_明細[[#This Row],[販売価格（売値）]]+tbl_明細[[#This Row],[販売価格（M)]]</f>
        <v>1400</v>
      </c>
      <c r="AB68" s="261">
        <f>tbl_明細[[#This Row],[販売価格（売値）]]*1.08+tbl_明細[[#This Row],[販売価格（M)]]*1.08</f>
        <v>1512</v>
      </c>
    </row>
    <row r="69" spans="1:28">
      <c r="A69" s="73" t="s">
        <v>1954</v>
      </c>
      <c r="B69" s="77">
        <f>IF(ISBLANK(tbl_明細[[#This Row],[案件番号]]),"",COUNTIFS($A$3:A69,tbl_明細[[#This Row],[案件番号]],$AA$3:AA69,"&gt;0"))</f>
        <v>18</v>
      </c>
      <c r="C69" s="71">
        <f>COUNTIFS($A$3:A69,tbl_明細[[#This Row],[案件番号]],$F$3:F69,tbl_明細[[#This Row],[仕入先]])</f>
        <v>2</v>
      </c>
      <c r="D69" s="77" t="str">
        <f>_xlfn.XLOOKUP(tbl_明細[[#This Row],[案件番号]],tbl_採番[案件番号],tbl_採番[顧客],"",0,1)</f>
        <v>加古川ヤマトヤシキ</v>
      </c>
      <c r="E69" s="71" t="s">
        <v>1969</v>
      </c>
      <c r="F69" s="118" t="str">
        <f>IF(ISBLANK(tbl_明細[[#This Row],[仕入先（M)]]),_xlfn.XLOOKUP(tbl_明細[[#This Row],[商品ID]],商品マスタ[商品連番],商品マスタ[仕入先],"",0,1),tbl_明細[[#This Row],[仕入先（M)]])</f>
        <v>オーセントホテル小樽</v>
      </c>
      <c r="G69" s="112" t="str">
        <f>IF(ISBLANK(tbl_明細[[#This Row],[商品名（M)]]),_xlfn.XLOOKUP(tbl_明細[[#This Row],[商品ID]],商品マスタ[商品連番],商品マスタ[商品名],"",0,),tbl_明細[[#This Row],[商品名（M)]])</f>
        <v>ホテルオリジナルビーフカレー</v>
      </c>
      <c r="H69" s="80" t="str">
        <f>IF(ISBLANK(tbl_明細[[#This Row],[仕入価格（M)]]),_xlfn.XLOOKUP(tbl_明細[[#This Row],[商品ID]],商品マスタ[商品連番],商品マスタ[仕入
単価],"",0,1),tbl_明細[[#This Row],[仕入価格（M)]])</f>
        <v/>
      </c>
      <c r="I69" s="80" t="str">
        <f>_xlfn.XLOOKUP(tbl_明細[[#This Row],[商品ID]],商品マスタ[商品連番],商品マスタ[国内定価
（15％）],"",0,1)</f>
        <v/>
      </c>
      <c r="J69" s="265"/>
      <c r="K69" s="71"/>
      <c r="L69" s="77" t="str">
        <f>_xlfn.XLOOKUP(tbl_明細[[#This Row],[商品ID]],商品マスタ[商品連番],商品マスタ[単位],"",0,1)</f>
        <v/>
      </c>
      <c r="M69" s="249" t="e">
        <f>1-tbl_明細[[#This Row],[仕入価格]]/tbl_明細[[#This Row],[販売価格（売値）]]</f>
        <v>#VALUE!</v>
      </c>
      <c r="N69" s="189" t="str">
        <f>_xlfn.XLOOKUP(tbl_明細[[#This Row],[商品ID]],商品マスタ[商品連番],商品マスタ[税率],"",0,1)</f>
        <v/>
      </c>
      <c r="O69" s="266" t="s">
        <v>1973</v>
      </c>
      <c r="P69" s="71" t="s">
        <v>1975</v>
      </c>
      <c r="Q69" s="265"/>
      <c r="R69" s="265">
        <v>900</v>
      </c>
      <c r="S69" s="71">
        <v>15</v>
      </c>
      <c r="T69" s="71" t="s">
        <v>795</v>
      </c>
      <c r="U69" s="267">
        <v>0.08</v>
      </c>
      <c r="V69" s="267"/>
      <c r="W69" s="268"/>
      <c r="X69" s="254" t="e">
        <f>tbl_明細[[#This Row],[仕入価格]]*tbl_明細[[#This Row],[数量]]+tbl_明細[[#This Row],[仕入価格（M)]]*tbl_明細[[#This Row],[数量（M)]]</f>
        <v>#VALUE!</v>
      </c>
      <c r="Y69" s="254">
        <f>tbl_明細[[#This Row],[販売価格（売値）]]*tbl_明細[[#This Row],[数量]]+tbl_明細[[#This Row],[販売価格（M)]]*tbl_明細[[#This Row],[数量（M)]]</f>
        <v>13500</v>
      </c>
      <c r="Z69" s="257" t="str">
        <f>_xlfn.XLOOKUP(tbl_明細[[#This Row],[案件番号]],tbl_案件追跡[案件番号],tbl_案件追跡[受注],"",0,1)</f>
        <v/>
      </c>
      <c r="AA69" s="228">
        <f>tbl_明細[[#This Row],[販売価格（売値）]]+tbl_明細[[#This Row],[販売価格（M)]]</f>
        <v>900</v>
      </c>
      <c r="AB69" s="261">
        <f>tbl_明細[[#This Row],[販売価格（売値）]]*1.08+tbl_明細[[#This Row],[販売価格（M)]]*1.08</f>
        <v>972.00000000000011</v>
      </c>
    </row>
    <row r="70" spans="1:28">
      <c r="A70" s="73" t="s">
        <v>1954</v>
      </c>
      <c r="B70" s="77">
        <f>IF(ISBLANK(tbl_明細[[#This Row],[案件番号]]),"",COUNTIFS($A$3:A70,tbl_明細[[#This Row],[案件番号]],$AA$3:AA70,"&gt;0"))</f>
        <v>19</v>
      </c>
      <c r="C70" s="71">
        <f>COUNTIFS($A$3:A70,tbl_明細[[#This Row],[案件番号]],$F$3:F70,tbl_明細[[#This Row],[仕入先]])</f>
        <v>3</v>
      </c>
      <c r="D70" s="77" t="str">
        <f>_xlfn.XLOOKUP(tbl_明細[[#This Row],[案件番号]],tbl_採番[案件番号],tbl_採番[顧客],"",0,1)</f>
        <v>加古川ヤマトヤシキ</v>
      </c>
      <c r="E70" s="71" t="s">
        <v>1969</v>
      </c>
      <c r="F70" s="118" t="str">
        <f>IF(ISBLANK(tbl_明細[[#This Row],[仕入先（M)]]),_xlfn.XLOOKUP(tbl_明細[[#This Row],[商品ID]],商品マスタ[商品連番],商品マスタ[仕入先],"",0,1),tbl_明細[[#This Row],[仕入先（M)]])</f>
        <v>オーセントホテル小樽</v>
      </c>
      <c r="G70" s="112" t="str">
        <f>IF(ISBLANK(tbl_明細[[#This Row],[商品名（M)]]),_xlfn.XLOOKUP(tbl_明細[[#This Row],[商品ID]],商品マスタ[商品連番],商品マスタ[商品名],"",0,),tbl_明細[[#This Row],[商品名（M)]])</f>
        <v>ホテルオリジナルビーフシチュー</v>
      </c>
      <c r="H70" s="80" t="str">
        <f>IF(ISBLANK(tbl_明細[[#This Row],[仕入価格（M)]]),_xlfn.XLOOKUP(tbl_明細[[#This Row],[商品ID]],商品マスタ[商品連番],商品マスタ[仕入
単価],"",0,1),tbl_明細[[#This Row],[仕入価格（M)]])</f>
        <v/>
      </c>
      <c r="I70" s="80" t="str">
        <f>_xlfn.XLOOKUP(tbl_明細[[#This Row],[商品ID]],商品マスタ[商品連番],商品マスタ[国内定価
（15％）],"",0,1)</f>
        <v/>
      </c>
      <c r="J70" s="265"/>
      <c r="K70" s="71"/>
      <c r="L70" s="77" t="str">
        <f>_xlfn.XLOOKUP(tbl_明細[[#This Row],[商品ID]],商品マスタ[商品連番],商品マスタ[単位],"",0,1)</f>
        <v/>
      </c>
      <c r="M70" s="249" t="e">
        <f>1-tbl_明細[[#This Row],[仕入価格]]/tbl_明細[[#This Row],[販売価格（売値）]]</f>
        <v>#VALUE!</v>
      </c>
      <c r="N70" s="189" t="str">
        <f>_xlfn.XLOOKUP(tbl_明細[[#This Row],[商品ID]],商品マスタ[商品連番],商品マスタ[税率],"",0,1)</f>
        <v/>
      </c>
      <c r="O70" s="266" t="s">
        <v>1973</v>
      </c>
      <c r="P70" s="71" t="s">
        <v>1976</v>
      </c>
      <c r="Q70" s="265"/>
      <c r="R70" s="265">
        <v>1125</v>
      </c>
      <c r="S70" s="71">
        <v>15</v>
      </c>
      <c r="T70" s="71" t="s">
        <v>795</v>
      </c>
      <c r="U70" s="267">
        <v>0.08</v>
      </c>
      <c r="V70" s="267"/>
      <c r="W70" s="268"/>
      <c r="X70" s="254" t="e">
        <f>tbl_明細[[#This Row],[仕入価格]]*tbl_明細[[#This Row],[数量]]+tbl_明細[[#This Row],[仕入価格（M)]]*tbl_明細[[#This Row],[数量（M)]]</f>
        <v>#VALUE!</v>
      </c>
      <c r="Y70" s="254">
        <f>tbl_明細[[#This Row],[販売価格（売値）]]*tbl_明細[[#This Row],[数量]]+tbl_明細[[#This Row],[販売価格（M)]]*tbl_明細[[#This Row],[数量（M)]]</f>
        <v>16875</v>
      </c>
      <c r="Z70" s="257" t="str">
        <f>_xlfn.XLOOKUP(tbl_明細[[#This Row],[案件番号]],tbl_案件追跡[案件番号],tbl_案件追跡[受注],"",0,1)</f>
        <v/>
      </c>
      <c r="AA70" s="228">
        <f>tbl_明細[[#This Row],[販売価格（売値）]]+tbl_明細[[#This Row],[販売価格（M)]]</f>
        <v>1125</v>
      </c>
      <c r="AB70" s="261">
        <f>tbl_明細[[#This Row],[販売価格（売値）]]*1.08+tbl_明細[[#This Row],[販売価格（M)]]*1.08</f>
        <v>1215</v>
      </c>
    </row>
    <row r="71" spans="1:28">
      <c r="A71" s="73" t="s">
        <v>1954</v>
      </c>
      <c r="B71" s="77">
        <f>IF(ISBLANK(tbl_明細[[#This Row],[案件番号]]),"",COUNTIFS($A$3:A71,tbl_明細[[#This Row],[案件番号]],$AA$3:AA71,"&gt;0"))</f>
        <v>20</v>
      </c>
      <c r="C71" s="71">
        <f>COUNTIFS($A$3:A71,tbl_明細[[#This Row],[案件番号]],$F$3:F71,tbl_明細[[#This Row],[仕入先]])</f>
        <v>4</v>
      </c>
      <c r="D71" s="77" t="str">
        <f>_xlfn.XLOOKUP(tbl_明細[[#This Row],[案件番号]],tbl_採番[案件番号],tbl_採番[顧客],"",0,1)</f>
        <v>加古川ヤマトヤシキ</v>
      </c>
      <c r="E71" s="71" t="s">
        <v>1969</v>
      </c>
      <c r="F71" s="118" t="str">
        <f>IF(ISBLANK(tbl_明細[[#This Row],[仕入先（M)]]),_xlfn.XLOOKUP(tbl_明細[[#This Row],[商品ID]],商品マスタ[商品連番],商品マスタ[仕入先],"",0,1),tbl_明細[[#This Row],[仕入先（M)]])</f>
        <v>オーセントホテル小樽</v>
      </c>
      <c r="G71" s="112" t="str">
        <f>IF(ISBLANK(tbl_明細[[#This Row],[商品名（M)]]),_xlfn.XLOOKUP(tbl_明細[[#This Row],[商品ID]],商品マスタ[商品連番],商品マスタ[商品名],"",0,),tbl_明細[[#This Row],[商品名（M)]])</f>
        <v>牛肉のトマト煮</v>
      </c>
      <c r="H71" s="80" t="str">
        <f>IF(ISBLANK(tbl_明細[[#This Row],[仕入価格（M)]]),_xlfn.XLOOKUP(tbl_明細[[#This Row],[商品ID]],商品マスタ[商品連番],商品マスタ[仕入
単価],"",0,1),tbl_明細[[#This Row],[仕入価格（M)]])</f>
        <v/>
      </c>
      <c r="I71" s="80" t="str">
        <f>_xlfn.XLOOKUP(tbl_明細[[#This Row],[商品ID]],商品マスタ[商品連番],商品マスタ[国内定価
（15％）],"",0,1)</f>
        <v/>
      </c>
      <c r="J71" s="265"/>
      <c r="K71" s="71"/>
      <c r="L71" s="77" t="str">
        <f>_xlfn.XLOOKUP(tbl_明細[[#This Row],[商品ID]],商品マスタ[商品連番],商品マスタ[単位],"",0,1)</f>
        <v/>
      </c>
      <c r="M71" s="249" t="e">
        <f>1-tbl_明細[[#This Row],[仕入価格]]/tbl_明細[[#This Row],[販売価格（売値）]]</f>
        <v>#VALUE!</v>
      </c>
      <c r="N71" s="189" t="str">
        <f>_xlfn.XLOOKUP(tbl_明細[[#This Row],[商品ID]],商品マスタ[商品連番],商品マスタ[税率],"",0,1)</f>
        <v/>
      </c>
      <c r="O71" s="266" t="s">
        <v>1973</v>
      </c>
      <c r="P71" s="71" t="s">
        <v>1977</v>
      </c>
      <c r="Q71" s="265"/>
      <c r="R71" s="265">
        <v>1125</v>
      </c>
      <c r="S71" s="71">
        <v>10</v>
      </c>
      <c r="T71" s="71" t="s">
        <v>795</v>
      </c>
      <c r="U71" s="267">
        <v>0.08</v>
      </c>
      <c r="V71" s="267"/>
      <c r="W71" s="268"/>
      <c r="X71" s="254" t="e">
        <f>tbl_明細[[#This Row],[仕入価格]]*tbl_明細[[#This Row],[数量]]+tbl_明細[[#This Row],[仕入価格（M)]]*tbl_明細[[#This Row],[数量（M)]]</f>
        <v>#VALUE!</v>
      </c>
      <c r="Y71" s="254">
        <f>tbl_明細[[#This Row],[販売価格（売値）]]*tbl_明細[[#This Row],[数量]]+tbl_明細[[#This Row],[販売価格（M)]]*tbl_明細[[#This Row],[数量（M)]]</f>
        <v>11250</v>
      </c>
      <c r="Z71" s="257" t="str">
        <f>_xlfn.XLOOKUP(tbl_明細[[#This Row],[案件番号]],tbl_案件追跡[案件番号],tbl_案件追跡[受注],"",0,1)</f>
        <v/>
      </c>
      <c r="AA71" s="228">
        <f>tbl_明細[[#This Row],[販売価格（売値）]]+tbl_明細[[#This Row],[販売価格（M)]]</f>
        <v>1125</v>
      </c>
      <c r="AB71" s="261">
        <f>tbl_明細[[#This Row],[販売価格（売値）]]*1.08+tbl_明細[[#This Row],[販売価格（M)]]*1.08</f>
        <v>1215</v>
      </c>
    </row>
    <row r="72" spans="1:28">
      <c r="A72" s="73" t="s">
        <v>1954</v>
      </c>
      <c r="B72" s="77">
        <f>IF(ISBLANK(tbl_明細[[#This Row],[案件番号]]),"",COUNTIFS($A$3:A72,tbl_明細[[#This Row],[案件番号]],$AA$3:AA72,"&gt;0"))</f>
        <v>21</v>
      </c>
      <c r="C72" s="71">
        <f>COUNTIFS($A$3:A72,tbl_明細[[#This Row],[案件番号]],$F$3:F72,tbl_明細[[#This Row],[仕入先]])</f>
        <v>5</v>
      </c>
      <c r="D72" s="77" t="str">
        <f>_xlfn.XLOOKUP(tbl_明細[[#This Row],[案件番号]],tbl_採番[案件番号],tbl_採番[顧客],"",0,1)</f>
        <v>加古川ヤマトヤシキ</v>
      </c>
      <c r="E72" s="71" t="s">
        <v>1969</v>
      </c>
      <c r="F72" s="118" t="str">
        <f>IF(ISBLANK(tbl_明細[[#This Row],[仕入先（M)]]),_xlfn.XLOOKUP(tbl_明細[[#This Row],[商品ID]],商品マスタ[商品連番],商品マスタ[仕入先],"",0,1),tbl_明細[[#This Row],[仕入先（M)]])</f>
        <v>オーセントホテル小樽</v>
      </c>
      <c r="G72" s="112" t="str">
        <f>IF(ISBLANK(tbl_明細[[#This Row],[商品名（M)]]),_xlfn.XLOOKUP(tbl_明細[[#This Row],[商品ID]],商品マスタ[商品連番],商品マスタ[商品名],"",0,),tbl_明細[[#This Row],[商品名（M)]])</f>
        <v>コーンスープ</v>
      </c>
      <c r="H72" s="80" t="str">
        <f>IF(ISBLANK(tbl_明細[[#This Row],[仕入価格（M)]]),_xlfn.XLOOKUP(tbl_明細[[#This Row],[商品ID]],商品マスタ[商品連番],商品マスタ[仕入
単価],"",0,1),tbl_明細[[#This Row],[仕入価格（M)]])</f>
        <v/>
      </c>
      <c r="I72" s="80" t="str">
        <f>_xlfn.XLOOKUP(tbl_明細[[#This Row],[商品ID]],商品マスタ[商品連番],商品マスタ[国内定価
（15％）],"",0,1)</f>
        <v/>
      </c>
      <c r="J72" s="265"/>
      <c r="K72" s="71"/>
      <c r="L72" s="77" t="str">
        <f>_xlfn.XLOOKUP(tbl_明細[[#This Row],[商品ID]],商品マスタ[商品連番],商品マスタ[単位],"",0,1)</f>
        <v/>
      </c>
      <c r="M72" s="249" t="e">
        <f>1-tbl_明細[[#This Row],[仕入価格]]/tbl_明細[[#This Row],[販売価格（売値）]]</f>
        <v>#VALUE!</v>
      </c>
      <c r="N72" s="189" t="str">
        <f>_xlfn.XLOOKUP(tbl_明細[[#This Row],[商品ID]],商品マスタ[商品連番],商品マスタ[税率],"",0,1)</f>
        <v/>
      </c>
      <c r="O72" s="266" t="s">
        <v>1973</v>
      </c>
      <c r="P72" s="71" t="s">
        <v>1978</v>
      </c>
      <c r="Q72" s="265"/>
      <c r="R72" s="265">
        <v>458</v>
      </c>
      <c r="S72" s="71">
        <v>15</v>
      </c>
      <c r="T72" s="71" t="s">
        <v>795</v>
      </c>
      <c r="U72" s="267">
        <v>0.08</v>
      </c>
      <c r="V72" s="267"/>
      <c r="W72" s="268"/>
      <c r="X72" s="254" t="e">
        <f>tbl_明細[[#This Row],[仕入価格]]*tbl_明細[[#This Row],[数量]]+tbl_明細[[#This Row],[仕入価格（M)]]*tbl_明細[[#This Row],[数量（M)]]</f>
        <v>#VALUE!</v>
      </c>
      <c r="Y72" s="254">
        <f>tbl_明細[[#This Row],[販売価格（売値）]]*tbl_明細[[#This Row],[数量]]+tbl_明細[[#This Row],[販売価格（M)]]*tbl_明細[[#This Row],[数量（M)]]</f>
        <v>6870</v>
      </c>
      <c r="Z72" s="257" t="str">
        <f>_xlfn.XLOOKUP(tbl_明細[[#This Row],[案件番号]],tbl_案件追跡[案件番号],tbl_案件追跡[受注],"",0,1)</f>
        <v/>
      </c>
      <c r="AA72" s="228">
        <f>tbl_明細[[#This Row],[販売価格（売値）]]+tbl_明細[[#This Row],[販売価格（M)]]</f>
        <v>458</v>
      </c>
      <c r="AB72" s="261">
        <f>tbl_明細[[#This Row],[販売価格（売値）]]*1.08+tbl_明細[[#This Row],[販売価格（M)]]*1.08</f>
        <v>494.64000000000004</v>
      </c>
    </row>
    <row r="73" spans="1:28">
      <c r="A73" s="73" t="s">
        <v>1954</v>
      </c>
      <c r="B73" s="77">
        <f>IF(ISBLANK(tbl_明細[[#This Row],[案件番号]]),"",COUNTIFS($A$3:A73,tbl_明細[[#This Row],[案件番号]],$AA$3:AA73,"&gt;0"))</f>
        <v>22</v>
      </c>
      <c r="C73" s="71">
        <f>COUNTIFS($A$3:A73,tbl_明細[[#This Row],[案件番号]],$F$3:F73,tbl_明細[[#This Row],[仕入先]])</f>
        <v>6</v>
      </c>
      <c r="D73" s="77" t="str">
        <f>_xlfn.XLOOKUP(tbl_明細[[#This Row],[案件番号]],tbl_採番[案件番号],tbl_採番[顧客],"",0,1)</f>
        <v>加古川ヤマトヤシキ</v>
      </c>
      <c r="E73" s="71" t="s">
        <v>1969</v>
      </c>
      <c r="F73" s="118" t="str">
        <f>IF(ISBLANK(tbl_明細[[#This Row],[仕入先（M)]]),_xlfn.XLOOKUP(tbl_明細[[#This Row],[商品ID]],商品マスタ[商品連番],商品マスタ[仕入先],"",0,1),tbl_明細[[#This Row],[仕入先（M)]])</f>
        <v>オーセントホテル小樽</v>
      </c>
      <c r="G73" s="112" t="str">
        <f>IF(ISBLANK(tbl_明細[[#This Row],[商品名（M)]]),_xlfn.XLOOKUP(tbl_明細[[#This Row],[商品ID]],商品マスタ[商品連番],商品マスタ[商品名],"",0,),tbl_明細[[#This Row],[商品名（M)]])</f>
        <v>パンプキンスープ</v>
      </c>
      <c r="H73" s="80" t="str">
        <f>IF(ISBLANK(tbl_明細[[#This Row],[仕入価格（M)]]),_xlfn.XLOOKUP(tbl_明細[[#This Row],[商品ID]],商品マスタ[商品連番],商品マスタ[仕入
単価],"",0,1),tbl_明細[[#This Row],[仕入価格（M)]])</f>
        <v/>
      </c>
      <c r="I73" s="80" t="str">
        <f>_xlfn.XLOOKUP(tbl_明細[[#This Row],[商品ID]],商品マスタ[商品連番],商品マスタ[国内定価
（15％）],"",0,1)</f>
        <v/>
      </c>
      <c r="J73" s="265"/>
      <c r="K73" s="71"/>
      <c r="L73" s="77" t="str">
        <f>_xlfn.XLOOKUP(tbl_明細[[#This Row],[商品ID]],商品マスタ[商品連番],商品マスタ[単位],"",0,1)</f>
        <v/>
      </c>
      <c r="M73" s="249" t="e">
        <f>1-tbl_明細[[#This Row],[仕入価格]]/tbl_明細[[#This Row],[販売価格（売値）]]</f>
        <v>#VALUE!</v>
      </c>
      <c r="N73" s="189" t="str">
        <f>_xlfn.XLOOKUP(tbl_明細[[#This Row],[商品ID]],商品マスタ[商品連番],商品マスタ[税率],"",0,1)</f>
        <v/>
      </c>
      <c r="O73" s="266" t="s">
        <v>1973</v>
      </c>
      <c r="P73" s="71" t="s">
        <v>1979</v>
      </c>
      <c r="Q73" s="265"/>
      <c r="R73" s="265">
        <v>458</v>
      </c>
      <c r="S73" s="71">
        <v>15</v>
      </c>
      <c r="T73" s="71" t="s">
        <v>795</v>
      </c>
      <c r="U73" s="267">
        <v>0.08</v>
      </c>
      <c r="V73" s="267"/>
      <c r="W73" s="268"/>
      <c r="X73" s="254" t="e">
        <f>tbl_明細[[#This Row],[仕入価格]]*tbl_明細[[#This Row],[数量]]+tbl_明細[[#This Row],[仕入価格（M)]]*tbl_明細[[#This Row],[数量（M)]]</f>
        <v>#VALUE!</v>
      </c>
      <c r="Y73" s="254">
        <f>tbl_明細[[#This Row],[販売価格（売値）]]*tbl_明細[[#This Row],[数量]]+tbl_明細[[#This Row],[販売価格（M)]]*tbl_明細[[#This Row],[数量（M)]]</f>
        <v>6870</v>
      </c>
      <c r="Z73" s="257" t="str">
        <f>_xlfn.XLOOKUP(tbl_明細[[#This Row],[案件番号]],tbl_案件追跡[案件番号],tbl_案件追跡[受注],"",0,1)</f>
        <v/>
      </c>
      <c r="AA73" s="228">
        <f>tbl_明細[[#This Row],[販売価格（売値）]]+tbl_明細[[#This Row],[販売価格（M)]]</f>
        <v>458</v>
      </c>
      <c r="AB73" s="261">
        <f>tbl_明細[[#This Row],[販売価格（売値）]]*1.08+tbl_明細[[#This Row],[販売価格（M)]]*1.08</f>
        <v>494.64000000000004</v>
      </c>
    </row>
    <row r="74" spans="1:28">
      <c r="A74" s="73" t="s">
        <v>1954</v>
      </c>
      <c r="B74" s="77">
        <f>IF(ISBLANK(tbl_明細[[#This Row],[案件番号]]),"",COUNTIFS($A$3:A74,tbl_明細[[#This Row],[案件番号]],$AA$3:AA74,"&gt;0"))</f>
        <v>23</v>
      </c>
      <c r="C74" s="71">
        <f>COUNTIFS($A$3:A74,tbl_明細[[#This Row],[案件番号]],$F$3:F74,tbl_明細[[#This Row],[仕入先]])</f>
        <v>7</v>
      </c>
      <c r="D74" s="77" t="str">
        <f>_xlfn.XLOOKUP(tbl_明細[[#This Row],[案件番号]],tbl_採番[案件番号],tbl_採番[顧客],"",0,1)</f>
        <v>加古川ヤマトヤシキ</v>
      </c>
      <c r="E74" s="71" t="s">
        <v>1969</v>
      </c>
      <c r="F74" s="118" t="str">
        <f>IF(ISBLANK(tbl_明細[[#This Row],[仕入先（M)]]),_xlfn.XLOOKUP(tbl_明細[[#This Row],[商品ID]],商品マスタ[商品連番],商品マスタ[仕入先],"",0,1),tbl_明細[[#This Row],[仕入先（M)]])</f>
        <v>オーセントホテル小樽</v>
      </c>
      <c r="G74" s="112" t="str">
        <f>IF(ISBLANK(tbl_明細[[#This Row],[商品名（M)]]),_xlfn.XLOOKUP(tbl_明細[[#This Row],[商品ID]],商品マスタ[商品連番],商品マスタ[商品名],"",0,),tbl_明細[[#This Row],[商品名（M)]])</f>
        <v>ポテトスープ</v>
      </c>
      <c r="H74" s="80" t="str">
        <f>IF(ISBLANK(tbl_明細[[#This Row],[仕入価格（M)]]),_xlfn.XLOOKUP(tbl_明細[[#This Row],[商品ID]],商品マスタ[商品連番],商品マスタ[仕入
単価],"",0,1),tbl_明細[[#This Row],[仕入価格（M)]])</f>
        <v/>
      </c>
      <c r="I74" s="80" t="str">
        <f>_xlfn.XLOOKUP(tbl_明細[[#This Row],[商品ID]],商品マスタ[商品連番],商品マスタ[国内定価
（15％）],"",0,1)</f>
        <v/>
      </c>
      <c r="J74" s="265"/>
      <c r="K74" s="71"/>
      <c r="L74" s="77" t="str">
        <f>_xlfn.XLOOKUP(tbl_明細[[#This Row],[商品ID]],商品マスタ[商品連番],商品マスタ[単位],"",0,1)</f>
        <v/>
      </c>
      <c r="M74" s="249" t="e">
        <f>1-tbl_明細[[#This Row],[仕入価格]]/tbl_明細[[#This Row],[販売価格（売値）]]</f>
        <v>#VALUE!</v>
      </c>
      <c r="N74" s="189" t="str">
        <f>_xlfn.XLOOKUP(tbl_明細[[#This Row],[商品ID]],商品マスタ[商品連番],商品マスタ[税率],"",0,1)</f>
        <v/>
      </c>
      <c r="O74" s="266" t="s">
        <v>1973</v>
      </c>
      <c r="P74" s="71" t="s">
        <v>1980</v>
      </c>
      <c r="Q74" s="265"/>
      <c r="R74" s="265">
        <v>458</v>
      </c>
      <c r="S74" s="71">
        <v>15</v>
      </c>
      <c r="T74" s="71" t="s">
        <v>795</v>
      </c>
      <c r="U74" s="267">
        <v>0.08</v>
      </c>
      <c r="V74" s="267"/>
      <c r="W74" s="268"/>
      <c r="X74" s="254" t="e">
        <f>tbl_明細[[#This Row],[仕入価格]]*tbl_明細[[#This Row],[数量]]+tbl_明細[[#This Row],[仕入価格（M)]]*tbl_明細[[#This Row],[数量（M)]]</f>
        <v>#VALUE!</v>
      </c>
      <c r="Y74" s="254">
        <f>tbl_明細[[#This Row],[販売価格（売値）]]*tbl_明細[[#This Row],[数量]]+tbl_明細[[#This Row],[販売価格（M)]]*tbl_明細[[#This Row],[数量（M)]]</f>
        <v>6870</v>
      </c>
      <c r="Z74" s="257" t="str">
        <f>_xlfn.XLOOKUP(tbl_明細[[#This Row],[案件番号]],tbl_案件追跡[案件番号],tbl_案件追跡[受注],"",0,1)</f>
        <v/>
      </c>
      <c r="AA74" s="228">
        <f>tbl_明細[[#This Row],[販売価格（売値）]]+tbl_明細[[#This Row],[販売価格（M)]]</f>
        <v>458</v>
      </c>
      <c r="AB74" s="261">
        <f>tbl_明細[[#This Row],[販売価格（売値）]]*1.08+tbl_明細[[#This Row],[販売価格（M)]]*1.08</f>
        <v>494.64000000000004</v>
      </c>
    </row>
    <row r="75" spans="1:28">
      <c r="A75" s="73" t="s">
        <v>1954</v>
      </c>
      <c r="B75" s="77">
        <f>IF(ISBLANK(tbl_明細[[#This Row],[案件番号]]),"",COUNTIFS($A$3:A75,tbl_明細[[#This Row],[案件番号]],$AA$3:AA75,"&gt;0"))</f>
        <v>24</v>
      </c>
      <c r="C75" s="71">
        <f>COUNTIFS($A$3:A75,tbl_明細[[#This Row],[案件番号]],$F$3:F75,tbl_明細[[#This Row],[仕入先]])</f>
        <v>8</v>
      </c>
      <c r="D75" s="77" t="str">
        <f>_xlfn.XLOOKUP(tbl_明細[[#This Row],[案件番号]],tbl_採番[案件番号],tbl_採番[顧客],"",0,1)</f>
        <v>加古川ヤマトヤシキ</v>
      </c>
      <c r="E75" s="71" t="s">
        <v>1969</v>
      </c>
      <c r="F75" s="118" t="str">
        <f>IF(ISBLANK(tbl_明細[[#This Row],[仕入先（M)]]),_xlfn.XLOOKUP(tbl_明細[[#This Row],[商品ID]],商品マスタ[商品連番],商品マスタ[仕入先],"",0,1),tbl_明細[[#This Row],[仕入先（M)]])</f>
        <v>オーセントホテル小樽</v>
      </c>
      <c r="G75" s="112" t="str">
        <f>IF(ISBLANK(tbl_明細[[#This Row],[商品名（M)]]),_xlfn.XLOOKUP(tbl_明細[[#This Row],[商品ID]],商品マスタ[商品連番],商品マスタ[商品名],"",0,),tbl_明細[[#This Row],[商品名（M)]])</f>
        <v>オニオンスープ</v>
      </c>
      <c r="H75" s="80" t="str">
        <f>IF(ISBLANK(tbl_明細[[#This Row],[仕入価格（M)]]),_xlfn.XLOOKUP(tbl_明細[[#This Row],[商品ID]],商品マスタ[商品連番],商品マスタ[仕入
単価],"",0,1),tbl_明細[[#This Row],[仕入価格（M)]])</f>
        <v/>
      </c>
      <c r="I75" s="80" t="str">
        <f>_xlfn.XLOOKUP(tbl_明細[[#This Row],[商品ID]],商品マスタ[商品連番],商品マスタ[国内定価
（15％）],"",0,1)</f>
        <v/>
      </c>
      <c r="J75" s="265"/>
      <c r="K75" s="71"/>
      <c r="L75" s="77" t="str">
        <f>_xlfn.XLOOKUP(tbl_明細[[#This Row],[商品ID]],商品マスタ[商品連番],商品マスタ[単位],"",0,1)</f>
        <v/>
      </c>
      <c r="M75" s="249" t="e">
        <f>1-tbl_明細[[#This Row],[仕入価格]]/tbl_明細[[#This Row],[販売価格（売値）]]</f>
        <v>#VALUE!</v>
      </c>
      <c r="N75" s="189" t="str">
        <f>_xlfn.XLOOKUP(tbl_明細[[#This Row],[商品ID]],商品マスタ[商品連番],商品マスタ[税率],"",0,1)</f>
        <v/>
      </c>
      <c r="O75" s="266" t="s">
        <v>1973</v>
      </c>
      <c r="P75" s="71" t="s">
        <v>1981</v>
      </c>
      <c r="Q75" s="265"/>
      <c r="R75" s="265">
        <v>458</v>
      </c>
      <c r="S75" s="71">
        <v>15</v>
      </c>
      <c r="T75" s="71" t="s">
        <v>795</v>
      </c>
      <c r="U75" s="267">
        <v>0.08</v>
      </c>
      <c r="V75" s="267"/>
      <c r="W75" s="268"/>
      <c r="X75" s="254" t="e">
        <f>tbl_明細[[#This Row],[仕入価格]]*tbl_明細[[#This Row],[数量]]+tbl_明細[[#This Row],[仕入価格（M)]]*tbl_明細[[#This Row],[数量（M)]]</f>
        <v>#VALUE!</v>
      </c>
      <c r="Y75" s="254">
        <f>tbl_明細[[#This Row],[販売価格（売値）]]*tbl_明細[[#This Row],[数量]]+tbl_明細[[#This Row],[販売価格（M)]]*tbl_明細[[#This Row],[数量（M)]]</f>
        <v>6870</v>
      </c>
      <c r="Z75" s="257" t="str">
        <f>_xlfn.XLOOKUP(tbl_明細[[#This Row],[案件番号]],tbl_案件追跡[案件番号],tbl_案件追跡[受注],"",0,1)</f>
        <v/>
      </c>
      <c r="AA75" s="228">
        <f>tbl_明細[[#This Row],[販売価格（売値）]]+tbl_明細[[#This Row],[販売価格（M)]]</f>
        <v>458</v>
      </c>
      <c r="AB75" s="261">
        <f>tbl_明細[[#This Row],[販売価格（売値）]]*1.08+tbl_明細[[#This Row],[販売価格（M)]]*1.08</f>
        <v>494.64000000000004</v>
      </c>
    </row>
    <row r="76" spans="1:28">
      <c r="A76" s="73" t="s">
        <v>1954</v>
      </c>
      <c r="B76" s="77">
        <f>IF(ISBLANK(tbl_明細[[#This Row],[案件番号]]),"",COUNTIFS($A$3:A76,tbl_明細[[#This Row],[案件番号]],$AA$3:AA76,"&gt;0"))</f>
        <v>25</v>
      </c>
      <c r="C76" s="71">
        <f>COUNTIFS($A$3:A76,tbl_明細[[#This Row],[案件番号]],$F$3:F76,tbl_明細[[#This Row],[仕入先]])</f>
        <v>1</v>
      </c>
      <c r="D76" s="77" t="str">
        <f>_xlfn.XLOOKUP(tbl_明細[[#This Row],[案件番号]],tbl_採番[案件番号],tbl_採番[顧客],"",0,1)</f>
        <v>加古川ヤマトヤシキ</v>
      </c>
      <c r="E76" s="71" t="s">
        <v>1969</v>
      </c>
      <c r="F76" s="118" t="str">
        <f>IF(ISBLANK(tbl_明細[[#This Row],[仕入先（M)]]),_xlfn.XLOOKUP(tbl_明細[[#This Row],[商品ID]],商品マスタ[商品連番],商品マスタ[仕入先],"",0,1),tbl_明細[[#This Row],[仕入先（M)]])</f>
        <v>ナオバンズ</v>
      </c>
      <c r="G76" s="112" t="str">
        <f>IF(ISBLANK(tbl_明細[[#This Row],[商品名（M)]]),_xlfn.XLOOKUP(tbl_明細[[#This Row],[商品ID]],商品マスタ[商品連番],商品マスタ[商品名],"",0,),tbl_明細[[#This Row],[商品名（M)]])</f>
        <v>俱知安小倉あんこカスタードパウンドケーキ</v>
      </c>
      <c r="H76" s="80" t="str">
        <f>IF(ISBLANK(tbl_明細[[#This Row],[仕入価格（M)]]),_xlfn.XLOOKUP(tbl_明細[[#This Row],[商品ID]],商品マスタ[商品連番],商品マスタ[仕入
単価],"",0,1),tbl_明細[[#This Row],[仕入価格（M)]])</f>
        <v/>
      </c>
      <c r="I76" s="80" t="str">
        <f>_xlfn.XLOOKUP(tbl_明細[[#This Row],[商品ID]],商品マスタ[商品連番],商品マスタ[国内定価
（15％）],"",0,1)</f>
        <v/>
      </c>
      <c r="J76" s="265"/>
      <c r="K76" s="71"/>
      <c r="L76" s="77" t="str">
        <f>_xlfn.XLOOKUP(tbl_明細[[#This Row],[商品ID]],商品マスタ[商品連番],商品マスタ[単位],"",0,1)</f>
        <v/>
      </c>
      <c r="M76" s="249" t="e">
        <f>1-tbl_明細[[#This Row],[仕入価格]]/tbl_明細[[#This Row],[販売価格（売値）]]</f>
        <v>#VALUE!</v>
      </c>
      <c r="N76" s="189" t="str">
        <f>_xlfn.XLOOKUP(tbl_明細[[#This Row],[商品ID]],商品マスタ[商品連番],商品マスタ[税率],"",0,1)</f>
        <v/>
      </c>
      <c r="O76" s="266" t="s">
        <v>1982</v>
      </c>
      <c r="P76" s="71" t="s">
        <v>1983</v>
      </c>
      <c r="Q76" s="265"/>
      <c r="R76" s="265">
        <v>238</v>
      </c>
      <c r="S76" s="71">
        <v>10</v>
      </c>
      <c r="T76" s="71" t="s">
        <v>795</v>
      </c>
      <c r="U76" s="267">
        <v>0.08</v>
      </c>
      <c r="V76" s="267"/>
      <c r="W76" s="268"/>
      <c r="X76" s="254" t="e">
        <f>tbl_明細[[#This Row],[仕入価格]]*tbl_明細[[#This Row],[数量]]+tbl_明細[[#This Row],[仕入価格（M)]]*tbl_明細[[#This Row],[数量（M)]]</f>
        <v>#VALUE!</v>
      </c>
      <c r="Y76" s="254">
        <f>tbl_明細[[#This Row],[販売価格（売値）]]*tbl_明細[[#This Row],[数量]]+tbl_明細[[#This Row],[販売価格（M)]]*tbl_明細[[#This Row],[数量（M)]]</f>
        <v>2380</v>
      </c>
      <c r="Z76" s="257" t="str">
        <f>_xlfn.XLOOKUP(tbl_明細[[#This Row],[案件番号]],tbl_案件追跡[案件番号],tbl_案件追跡[受注],"",0,1)</f>
        <v/>
      </c>
      <c r="AA76" s="228">
        <f>tbl_明細[[#This Row],[販売価格（売値）]]+tbl_明細[[#This Row],[販売価格（M)]]</f>
        <v>238</v>
      </c>
      <c r="AB76" s="261">
        <f>tbl_明細[[#This Row],[販売価格（売値）]]*1.08+tbl_明細[[#This Row],[販売価格（M)]]*1.08</f>
        <v>257.04000000000002</v>
      </c>
    </row>
    <row r="77" spans="1:28">
      <c r="A77" s="73" t="s">
        <v>1954</v>
      </c>
      <c r="B77" s="77">
        <f>IF(ISBLANK(tbl_明細[[#This Row],[案件番号]]),"",COUNTIFS($A$3:A77,tbl_明細[[#This Row],[案件番号]],$AA$3:AA77,"&gt;0"))</f>
        <v>26</v>
      </c>
      <c r="C77" s="71">
        <f>COUNTIFS($A$3:A77,tbl_明細[[#This Row],[案件番号]],$F$3:F77,tbl_明細[[#This Row],[仕入先]])</f>
        <v>2</v>
      </c>
      <c r="D77" s="77" t="str">
        <f>_xlfn.XLOOKUP(tbl_明細[[#This Row],[案件番号]],tbl_採番[案件番号],tbl_採番[顧客],"",0,1)</f>
        <v>加古川ヤマトヤシキ</v>
      </c>
      <c r="E77" s="71" t="s">
        <v>1969</v>
      </c>
      <c r="F77" s="118" t="str">
        <f>IF(ISBLANK(tbl_明細[[#This Row],[仕入先（M)]]),_xlfn.XLOOKUP(tbl_明細[[#This Row],[商品ID]],商品マスタ[商品連番],商品マスタ[仕入先],"",0,1),tbl_明細[[#This Row],[仕入先（M)]])</f>
        <v>ナオバンズ</v>
      </c>
      <c r="G77" s="112" t="str">
        <f>IF(ISBLANK(tbl_明細[[#This Row],[商品名（M)]]),_xlfn.XLOOKUP(tbl_明細[[#This Row],[商品ID]],商品マスタ[商品連番],商品マスタ[商品名],"",0,),tbl_明細[[#This Row],[商品名（M)]])</f>
        <v>俱知安栗かぼちゃパウンドケーキ</v>
      </c>
      <c r="H77" s="80" t="str">
        <f>IF(ISBLANK(tbl_明細[[#This Row],[仕入価格（M)]]),_xlfn.XLOOKUP(tbl_明細[[#This Row],[商品ID]],商品マスタ[商品連番],商品マスタ[仕入
単価],"",0,1),tbl_明細[[#This Row],[仕入価格（M)]])</f>
        <v/>
      </c>
      <c r="I77" s="80" t="str">
        <f>_xlfn.XLOOKUP(tbl_明細[[#This Row],[商品ID]],商品マスタ[商品連番],商品マスタ[国内定価
（15％）],"",0,1)</f>
        <v/>
      </c>
      <c r="J77" s="265"/>
      <c r="K77" s="71"/>
      <c r="L77" s="77" t="str">
        <f>_xlfn.XLOOKUP(tbl_明細[[#This Row],[商品ID]],商品マスタ[商品連番],商品マスタ[単位],"",0,1)</f>
        <v/>
      </c>
      <c r="M77" s="249" t="e">
        <f>1-tbl_明細[[#This Row],[仕入価格]]/tbl_明細[[#This Row],[販売価格（売値）]]</f>
        <v>#VALUE!</v>
      </c>
      <c r="N77" s="189" t="str">
        <f>_xlfn.XLOOKUP(tbl_明細[[#This Row],[商品ID]],商品マスタ[商品連番],商品マスタ[税率],"",0,1)</f>
        <v/>
      </c>
      <c r="O77" s="266" t="s">
        <v>1982</v>
      </c>
      <c r="P77" s="71" t="s">
        <v>1984</v>
      </c>
      <c r="Q77" s="265"/>
      <c r="R77" s="265">
        <v>238</v>
      </c>
      <c r="S77" s="71">
        <v>10</v>
      </c>
      <c r="T77" s="71" t="s">
        <v>795</v>
      </c>
      <c r="U77" s="267">
        <v>0.08</v>
      </c>
      <c r="V77" s="267"/>
      <c r="W77" s="268"/>
      <c r="X77" s="254" t="e">
        <f>tbl_明細[[#This Row],[仕入価格]]*tbl_明細[[#This Row],[数量]]+tbl_明細[[#This Row],[仕入価格（M)]]*tbl_明細[[#This Row],[数量（M)]]</f>
        <v>#VALUE!</v>
      </c>
      <c r="Y77" s="254">
        <f>tbl_明細[[#This Row],[販売価格（売値）]]*tbl_明細[[#This Row],[数量]]+tbl_明細[[#This Row],[販売価格（M)]]*tbl_明細[[#This Row],[数量（M)]]</f>
        <v>2380</v>
      </c>
      <c r="Z77" s="257" t="str">
        <f>_xlfn.XLOOKUP(tbl_明細[[#This Row],[案件番号]],tbl_案件追跡[案件番号],tbl_案件追跡[受注],"",0,1)</f>
        <v/>
      </c>
      <c r="AA77" s="228">
        <f>tbl_明細[[#This Row],[販売価格（売値）]]+tbl_明細[[#This Row],[販売価格（M)]]</f>
        <v>238</v>
      </c>
      <c r="AB77" s="261">
        <f>tbl_明細[[#This Row],[販売価格（売値）]]*1.08+tbl_明細[[#This Row],[販売価格（M)]]*1.08</f>
        <v>257.04000000000002</v>
      </c>
    </row>
    <row r="78" spans="1:28">
      <c r="A78" s="73" t="s">
        <v>1954</v>
      </c>
      <c r="B78" s="77">
        <f>IF(ISBLANK(tbl_明細[[#This Row],[案件番号]]),"",COUNTIFS($A$3:A78,tbl_明細[[#This Row],[案件番号]],$AA$3:AA78,"&gt;0"))</f>
        <v>27</v>
      </c>
      <c r="C78" s="71">
        <f>COUNTIFS($A$3:A78,tbl_明細[[#This Row],[案件番号]],$F$3:F78,tbl_明細[[#This Row],[仕入先]])</f>
        <v>3</v>
      </c>
      <c r="D78" s="77" t="str">
        <f>_xlfn.XLOOKUP(tbl_明細[[#This Row],[案件番号]],tbl_採番[案件番号],tbl_採番[顧客],"",0,1)</f>
        <v>加古川ヤマトヤシキ</v>
      </c>
      <c r="E78" s="71" t="s">
        <v>1969</v>
      </c>
      <c r="F78" s="118" t="str">
        <f>IF(ISBLANK(tbl_明細[[#This Row],[仕入先（M)]]),_xlfn.XLOOKUP(tbl_明細[[#This Row],[商品ID]],商品マスタ[商品連番],商品マスタ[仕入先],"",0,1),tbl_明細[[#This Row],[仕入先（M)]])</f>
        <v>ナオバンズ</v>
      </c>
      <c r="G78" s="112" t="str">
        <f>IF(ISBLANK(tbl_明細[[#This Row],[商品名（M)]]),_xlfn.XLOOKUP(tbl_明細[[#This Row],[商品ID]],商品マスタ[商品連番],商品マスタ[商品名],"",0,),tbl_明細[[#This Row],[商品名（M)]])</f>
        <v>抹茶ニセコ黒豆ホワイトチョコパウンドケーキ</v>
      </c>
      <c r="H78" s="80" t="str">
        <f>IF(ISBLANK(tbl_明細[[#This Row],[仕入価格（M)]]),_xlfn.XLOOKUP(tbl_明細[[#This Row],[商品ID]],商品マスタ[商品連番],商品マスタ[仕入
単価],"",0,1),tbl_明細[[#This Row],[仕入価格（M)]])</f>
        <v/>
      </c>
      <c r="I78" s="80" t="str">
        <f>_xlfn.XLOOKUP(tbl_明細[[#This Row],[商品ID]],商品マスタ[商品連番],商品マスタ[国内定価
（15％）],"",0,1)</f>
        <v/>
      </c>
      <c r="J78" s="265"/>
      <c r="K78" s="71"/>
      <c r="L78" s="77" t="str">
        <f>_xlfn.XLOOKUP(tbl_明細[[#This Row],[商品ID]],商品マスタ[商品連番],商品マスタ[単位],"",0,1)</f>
        <v/>
      </c>
      <c r="M78" s="249" t="e">
        <f>1-tbl_明細[[#This Row],[仕入価格]]/tbl_明細[[#This Row],[販売価格（売値）]]</f>
        <v>#VALUE!</v>
      </c>
      <c r="N78" s="189" t="str">
        <f>_xlfn.XLOOKUP(tbl_明細[[#This Row],[商品ID]],商品マスタ[商品連番],商品マスタ[税率],"",0,1)</f>
        <v/>
      </c>
      <c r="O78" s="266" t="s">
        <v>1982</v>
      </c>
      <c r="P78" s="71" t="s">
        <v>1985</v>
      </c>
      <c r="Q78" s="265"/>
      <c r="R78" s="265">
        <v>238</v>
      </c>
      <c r="S78" s="71">
        <v>5</v>
      </c>
      <c r="T78" s="71" t="s">
        <v>795</v>
      </c>
      <c r="U78" s="267">
        <v>0.08</v>
      </c>
      <c r="V78" s="267"/>
      <c r="W78" s="268"/>
      <c r="X78" s="254" t="e">
        <f>tbl_明細[[#This Row],[仕入価格]]*tbl_明細[[#This Row],[数量]]+tbl_明細[[#This Row],[仕入価格（M)]]*tbl_明細[[#This Row],[数量（M)]]</f>
        <v>#VALUE!</v>
      </c>
      <c r="Y78" s="254">
        <f>tbl_明細[[#This Row],[販売価格（売値）]]*tbl_明細[[#This Row],[数量]]+tbl_明細[[#This Row],[販売価格（M)]]*tbl_明細[[#This Row],[数量（M)]]</f>
        <v>1190</v>
      </c>
      <c r="Z78" s="257" t="str">
        <f>_xlfn.XLOOKUP(tbl_明細[[#This Row],[案件番号]],tbl_案件追跡[案件番号],tbl_案件追跡[受注],"",0,1)</f>
        <v/>
      </c>
      <c r="AA78" s="228">
        <f>tbl_明細[[#This Row],[販売価格（売値）]]+tbl_明細[[#This Row],[販売価格（M)]]</f>
        <v>238</v>
      </c>
      <c r="AB78" s="261">
        <f>tbl_明細[[#This Row],[販売価格（売値）]]*1.08+tbl_明細[[#This Row],[販売価格（M)]]*1.08</f>
        <v>257.04000000000002</v>
      </c>
    </row>
    <row r="79" spans="1:28">
      <c r="A79" s="73" t="s">
        <v>1954</v>
      </c>
      <c r="B79" s="77">
        <f>IF(ISBLANK(tbl_明細[[#This Row],[案件番号]]),"",COUNTIFS($A$3:A79,tbl_明細[[#This Row],[案件番号]],$AA$3:AA79,"&gt;0"))</f>
        <v>28</v>
      </c>
      <c r="C79" s="71">
        <f>COUNTIFS($A$3:A79,tbl_明細[[#This Row],[案件番号]],$F$3:F79,tbl_明細[[#This Row],[仕入先]])</f>
        <v>4</v>
      </c>
      <c r="D79" s="77" t="str">
        <f>_xlfn.XLOOKUP(tbl_明細[[#This Row],[案件番号]],tbl_採番[案件番号],tbl_採番[顧客],"",0,1)</f>
        <v>加古川ヤマトヤシキ</v>
      </c>
      <c r="E79" s="71" t="s">
        <v>1969</v>
      </c>
      <c r="F79" s="118" t="str">
        <f>IF(ISBLANK(tbl_明細[[#This Row],[仕入先（M)]]),_xlfn.XLOOKUP(tbl_明細[[#This Row],[商品ID]],商品マスタ[商品連番],商品マスタ[仕入先],"",0,1),tbl_明細[[#This Row],[仕入先（M)]])</f>
        <v>ナオバンズ</v>
      </c>
      <c r="G79" s="112" t="str">
        <f>IF(ISBLANK(tbl_明細[[#This Row],[商品名（M)]]),_xlfn.XLOOKUP(tbl_明細[[#This Row],[商品ID]],商品マスタ[商品連番],商品マスタ[商品名],"",0,),tbl_明細[[#This Row],[商品名（M)]])</f>
        <v>SAKURA酒粕パウンドケーキ</v>
      </c>
      <c r="H79" s="80" t="str">
        <f>IF(ISBLANK(tbl_明細[[#This Row],[仕入価格（M)]]),_xlfn.XLOOKUP(tbl_明細[[#This Row],[商品ID]],商品マスタ[商品連番],商品マスタ[仕入
単価],"",0,1),tbl_明細[[#This Row],[仕入価格（M)]])</f>
        <v/>
      </c>
      <c r="I79" s="80" t="str">
        <f>_xlfn.XLOOKUP(tbl_明細[[#This Row],[商品ID]],商品マスタ[商品連番],商品マスタ[国内定価
（15％）],"",0,1)</f>
        <v/>
      </c>
      <c r="J79" s="265"/>
      <c r="K79" s="71"/>
      <c r="L79" s="77" t="str">
        <f>_xlfn.XLOOKUP(tbl_明細[[#This Row],[商品ID]],商品マスタ[商品連番],商品マスタ[単位],"",0,1)</f>
        <v/>
      </c>
      <c r="M79" s="249" t="e">
        <f>1-tbl_明細[[#This Row],[仕入価格]]/tbl_明細[[#This Row],[販売価格（売値）]]</f>
        <v>#VALUE!</v>
      </c>
      <c r="N79" s="189" t="str">
        <f>_xlfn.XLOOKUP(tbl_明細[[#This Row],[商品ID]],商品マスタ[商品連番],商品マスタ[税率],"",0,1)</f>
        <v/>
      </c>
      <c r="O79" s="266" t="s">
        <v>1982</v>
      </c>
      <c r="P79" s="71" t="s">
        <v>1986</v>
      </c>
      <c r="Q79" s="265"/>
      <c r="R79" s="265">
        <v>238</v>
      </c>
      <c r="S79" s="71">
        <v>10</v>
      </c>
      <c r="T79" s="71" t="s">
        <v>795</v>
      </c>
      <c r="U79" s="267">
        <v>0.08</v>
      </c>
      <c r="V79" s="267"/>
      <c r="W79" s="268"/>
      <c r="X79" s="254" t="e">
        <f>tbl_明細[[#This Row],[仕入価格]]*tbl_明細[[#This Row],[数量]]+tbl_明細[[#This Row],[仕入価格（M)]]*tbl_明細[[#This Row],[数量（M)]]</f>
        <v>#VALUE!</v>
      </c>
      <c r="Y79" s="254">
        <f>tbl_明細[[#This Row],[販売価格（売値）]]*tbl_明細[[#This Row],[数量]]+tbl_明細[[#This Row],[販売価格（M)]]*tbl_明細[[#This Row],[数量（M)]]</f>
        <v>2380</v>
      </c>
      <c r="Z79" s="257" t="str">
        <f>_xlfn.XLOOKUP(tbl_明細[[#This Row],[案件番号]],tbl_案件追跡[案件番号],tbl_案件追跡[受注],"",0,1)</f>
        <v/>
      </c>
      <c r="AA79" s="228">
        <f>tbl_明細[[#This Row],[販売価格（売値）]]+tbl_明細[[#This Row],[販売価格（M)]]</f>
        <v>238</v>
      </c>
      <c r="AB79" s="261">
        <f>tbl_明細[[#This Row],[販売価格（売値）]]*1.08+tbl_明細[[#This Row],[販売価格（M)]]*1.08</f>
        <v>257.04000000000002</v>
      </c>
    </row>
    <row r="80" spans="1:28">
      <c r="A80" s="73" t="s">
        <v>1954</v>
      </c>
      <c r="B80" s="77">
        <f>IF(ISBLANK(tbl_明細[[#This Row],[案件番号]]),"",COUNTIFS($A$3:A80,tbl_明細[[#This Row],[案件番号]],$AA$3:AA80,"&gt;0"))</f>
        <v>29</v>
      </c>
      <c r="C80" s="71">
        <f>COUNTIFS($A$3:A80,tbl_明細[[#This Row],[案件番号]],$F$3:F80,tbl_明細[[#This Row],[仕入先]])</f>
        <v>5</v>
      </c>
      <c r="D80" s="77" t="str">
        <f>_xlfn.XLOOKUP(tbl_明細[[#This Row],[案件番号]],tbl_採番[案件番号],tbl_採番[顧客],"",0,1)</f>
        <v>加古川ヤマトヤシキ</v>
      </c>
      <c r="E80" s="71" t="s">
        <v>1969</v>
      </c>
      <c r="F80" s="118" t="str">
        <f>IF(ISBLANK(tbl_明細[[#This Row],[仕入先（M)]]),_xlfn.XLOOKUP(tbl_明細[[#This Row],[商品ID]],商品マスタ[商品連番],商品マスタ[仕入先],"",0,1),tbl_明細[[#This Row],[仕入先（M)]])</f>
        <v>ナオバンズ</v>
      </c>
      <c r="G80" s="112" t="str">
        <f>IF(ISBLANK(tbl_明細[[#This Row],[商品名（M)]]),_xlfn.XLOOKUP(tbl_明細[[#This Row],[商品ID]],商品マスタ[商品連番],商品マスタ[商品名],"",0,),tbl_明細[[#This Row],[商品名（M)]])</f>
        <v>酒粕ココアレーズンパウンドケーキ</v>
      </c>
      <c r="H80" s="80" t="str">
        <f>IF(ISBLANK(tbl_明細[[#This Row],[仕入価格（M)]]),_xlfn.XLOOKUP(tbl_明細[[#This Row],[商品ID]],商品マスタ[商品連番],商品マスタ[仕入
単価],"",0,1),tbl_明細[[#This Row],[仕入価格（M)]])</f>
        <v/>
      </c>
      <c r="I80" s="80" t="str">
        <f>_xlfn.XLOOKUP(tbl_明細[[#This Row],[商品ID]],商品マスタ[商品連番],商品マスタ[国内定価
（15％）],"",0,1)</f>
        <v/>
      </c>
      <c r="J80" s="265"/>
      <c r="K80" s="71"/>
      <c r="L80" s="77" t="str">
        <f>_xlfn.XLOOKUP(tbl_明細[[#This Row],[商品ID]],商品マスタ[商品連番],商品マスタ[単位],"",0,1)</f>
        <v/>
      </c>
      <c r="M80" s="249" t="e">
        <f>1-tbl_明細[[#This Row],[仕入価格]]/tbl_明細[[#This Row],[販売価格（売値）]]</f>
        <v>#VALUE!</v>
      </c>
      <c r="N80" s="189" t="str">
        <f>_xlfn.XLOOKUP(tbl_明細[[#This Row],[商品ID]],商品マスタ[商品連番],商品マスタ[税率],"",0,1)</f>
        <v/>
      </c>
      <c r="O80" s="266" t="s">
        <v>1982</v>
      </c>
      <c r="P80" s="71" t="s">
        <v>1987</v>
      </c>
      <c r="Q80" s="265"/>
      <c r="R80" s="265">
        <v>238</v>
      </c>
      <c r="S80" s="71">
        <v>5</v>
      </c>
      <c r="T80" s="71" t="s">
        <v>795</v>
      </c>
      <c r="U80" s="267">
        <v>0.08</v>
      </c>
      <c r="V80" s="267"/>
      <c r="W80" s="268"/>
      <c r="X80" s="254" t="e">
        <f>tbl_明細[[#This Row],[仕入価格]]*tbl_明細[[#This Row],[数量]]+tbl_明細[[#This Row],[仕入価格（M)]]*tbl_明細[[#This Row],[数量（M)]]</f>
        <v>#VALUE!</v>
      </c>
      <c r="Y80" s="254">
        <f>tbl_明細[[#This Row],[販売価格（売値）]]*tbl_明細[[#This Row],[数量]]+tbl_明細[[#This Row],[販売価格（M)]]*tbl_明細[[#This Row],[数量（M)]]</f>
        <v>1190</v>
      </c>
      <c r="Z80" s="257" t="str">
        <f>_xlfn.XLOOKUP(tbl_明細[[#This Row],[案件番号]],tbl_案件追跡[案件番号],tbl_案件追跡[受注],"",0,1)</f>
        <v/>
      </c>
      <c r="AA80" s="228">
        <f>tbl_明細[[#This Row],[販売価格（売値）]]+tbl_明細[[#This Row],[販売価格（M)]]</f>
        <v>238</v>
      </c>
      <c r="AB80" s="261">
        <f>tbl_明細[[#This Row],[販売価格（売値）]]*1.08+tbl_明細[[#This Row],[販売価格（M)]]*1.08</f>
        <v>257.04000000000002</v>
      </c>
    </row>
    <row r="81" spans="1:28">
      <c r="A81" s="73" t="s">
        <v>1954</v>
      </c>
      <c r="B81" s="77">
        <f>IF(ISBLANK(tbl_明細[[#This Row],[案件番号]]),"",COUNTIFS($A$3:A81,tbl_明細[[#This Row],[案件番号]],$AA$3:AA81,"&gt;0"))</f>
        <v>30</v>
      </c>
      <c r="C81" s="71">
        <f>COUNTIFS($A$3:A81,tbl_明細[[#This Row],[案件番号]],$F$3:F81,tbl_明細[[#This Row],[仕入先]])</f>
        <v>6</v>
      </c>
      <c r="D81" s="77" t="str">
        <f>_xlfn.XLOOKUP(tbl_明細[[#This Row],[案件番号]],tbl_採番[案件番号],tbl_採番[顧客],"",0,1)</f>
        <v>加古川ヤマトヤシキ</v>
      </c>
      <c r="E81" s="71" t="s">
        <v>1969</v>
      </c>
      <c r="F81" s="118" t="str">
        <f>IF(ISBLANK(tbl_明細[[#This Row],[仕入先（M)]]),_xlfn.XLOOKUP(tbl_明細[[#This Row],[商品ID]],商品マスタ[商品連番],商品マスタ[仕入先],"",0,1),tbl_明細[[#This Row],[仕入先（M)]])</f>
        <v>ナオバンズ</v>
      </c>
      <c r="G81" s="112" t="str">
        <f>IF(ISBLANK(tbl_明細[[#This Row],[商品名（M)]]),_xlfn.XLOOKUP(tbl_明細[[#This Row],[商品ID]],商品マスタ[商品連番],商品マスタ[商品名],"",0,),tbl_明細[[#This Row],[商品名（M)]])</f>
        <v>ニセコ人参ココナッツパウンドケーキ</v>
      </c>
      <c r="H81" s="80" t="str">
        <f>IF(ISBLANK(tbl_明細[[#This Row],[仕入価格（M)]]),_xlfn.XLOOKUP(tbl_明細[[#This Row],[商品ID]],商品マスタ[商品連番],商品マスタ[仕入
単価],"",0,1),tbl_明細[[#This Row],[仕入価格（M)]])</f>
        <v/>
      </c>
      <c r="I81" s="80" t="str">
        <f>_xlfn.XLOOKUP(tbl_明細[[#This Row],[商品ID]],商品マスタ[商品連番],商品マスタ[国内定価
（15％）],"",0,1)</f>
        <v/>
      </c>
      <c r="J81" s="265"/>
      <c r="K81" s="71"/>
      <c r="L81" s="77" t="str">
        <f>_xlfn.XLOOKUP(tbl_明細[[#This Row],[商品ID]],商品マスタ[商品連番],商品マスタ[単位],"",0,1)</f>
        <v/>
      </c>
      <c r="M81" s="249" t="e">
        <f>1-tbl_明細[[#This Row],[仕入価格]]/tbl_明細[[#This Row],[販売価格（売値）]]</f>
        <v>#VALUE!</v>
      </c>
      <c r="N81" s="189" t="str">
        <f>_xlfn.XLOOKUP(tbl_明細[[#This Row],[商品ID]],商品マスタ[商品連番],商品マスタ[税率],"",0,1)</f>
        <v/>
      </c>
      <c r="O81" s="266" t="s">
        <v>1982</v>
      </c>
      <c r="P81" s="71" t="s">
        <v>1988</v>
      </c>
      <c r="Q81" s="265"/>
      <c r="R81" s="265">
        <v>238</v>
      </c>
      <c r="S81" s="71">
        <v>10</v>
      </c>
      <c r="T81" s="71" t="s">
        <v>795</v>
      </c>
      <c r="U81" s="267">
        <v>0.08</v>
      </c>
      <c r="V81" s="267"/>
      <c r="W81" s="268"/>
      <c r="X81" s="254" t="e">
        <f>tbl_明細[[#This Row],[仕入価格]]*tbl_明細[[#This Row],[数量]]+tbl_明細[[#This Row],[仕入価格（M)]]*tbl_明細[[#This Row],[数量（M)]]</f>
        <v>#VALUE!</v>
      </c>
      <c r="Y81" s="254">
        <f>tbl_明細[[#This Row],[販売価格（売値）]]*tbl_明細[[#This Row],[数量]]+tbl_明細[[#This Row],[販売価格（M)]]*tbl_明細[[#This Row],[数量（M)]]</f>
        <v>2380</v>
      </c>
      <c r="Z81" s="257" t="str">
        <f>_xlfn.XLOOKUP(tbl_明細[[#This Row],[案件番号]],tbl_案件追跡[案件番号],tbl_案件追跡[受注],"",0,1)</f>
        <v/>
      </c>
      <c r="AA81" s="228">
        <f>tbl_明細[[#This Row],[販売価格（売値）]]+tbl_明細[[#This Row],[販売価格（M)]]</f>
        <v>238</v>
      </c>
      <c r="AB81" s="261">
        <f>tbl_明細[[#This Row],[販売価格（売値）]]*1.08+tbl_明細[[#This Row],[販売価格（M)]]*1.08</f>
        <v>257.04000000000002</v>
      </c>
    </row>
    <row r="82" spans="1:28">
      <c r="A82" s="73" t="s">
        <v>1954</v>
      </c>
      <c r="B82" s="77">
        <f>IF(ISBLANK(tbl_明細[[#This Row],[案件番号]]),"",COUNTIFS($A$3:A82,tbl_明細[[#This Row],[案件番号]],$AA$3:AA82,"&gt;0"))</f>
        <v>31</v>
      </c>
      <c r="C82" s="71">
        <f>COUNTIFS($A$3:A82,tbl_明細[[#This Row],[案件番号]],$F$3:F82,tbl_明細[[#This Row],[仕入先]])</f>
        <v>7</v>
      </c>
      <c r="D82" s="77" t="str">
        <f>_xlfn.XLOOKUP(tbl_明細[[#This Row],[案件番号]],tbl_採番[案件番号],tbl_採番[顧客],"",0,1)</f>
        <v>加古川ヤマトヤシキ</v>
      </c>
      <c r="E82" s="71" t="s">
        <v>1969</v>
      </c>
      <c r="F82" s="118" t="str">
        <f>IF(ISBLANK(tbl_明細[[#This Row],[仕入先（M)]]),_xlfn.XLOOKUP(tbl_明細[[#This Row],[商品ID]],商品マスタ[商品連番],商品マスタ[仕入先],"",0,1),tbl_明細[[#This Row],[仕入先（M)]])</f>
        <v>ナオバンズ</v>
      </c>
      <c r="G82" s="112" t="str">
        <f>IF(ISBLANK(tbl_明細[[#This Row],[商品名（M)]]),_xlfn.XLOOKUP(tbl_明細[[#This Row],[商品ID]],商品マスタ[商品連番],商品マスタ[商品名],"",0,),tbl_明細[[#This Row],[商品名（M)]])</f>
        <v>めっちゃレモンなパウンドケーキ</v>
      </c>
      <c r="H82" s="80" t="str">
        <f>IF(ISBLANK(tbl_明細[[#This Row],[仕入価格（M)]]),_xlfn.XLOOKUP(tbl_明細[[#This Row],[商品ID]],商品マスタ[商品連番],商品マスタ[仕入
単価],"",0,1),tbl_明細[[#This Row],[仕入価格（M)]])</f>
        <v/>
      </c>
      <c r="I82" s="80" t="str">
        <f>_xlfn.XLOOKUP(tbl_明細[[#This Row],[商品ID]],商品マスタ[商品連番],商品マスタ[国内定価
（15％）],"",0,1)</f>
        <v/>
      </c>
      <c r="J82" s="265"/>
      <c r="K82" s="71"/>
      <c r="L82" s="77" t="str">
        <f>_xlfn.XLOOKUP(tbl_明細[[#This Row],[商品ID]],商品マスタ[商品連番],商品マスタ[単位],"",0,1)</f>
        <v/>
      </c>
      <c r="M82" s="249" t="e">
        <f>1-tbl_明細[[#This Row],[仕入価格]]/tbl_明細[[#This Row],[販売価格（売値）]]</f>
        <v>#VALUE!</v>
      </c>
      <c r="N82" s="189" t="str">
        <f>_xlfn.XLOOKUP(tbl_明細[[#This Row],[商品ID]],商品マスタ[商品連番],商品マスタ[税率],"",0,1)</f>
        <v/>
      </c>
      <c r="O82" s="266" t="s">
        <v>1982</v>
      </c>
      <c r="P82" s="71" t="s">
        <v>1989</v>
      </c>
      <c r="Q82" s="265"/>
      <c r="R82" s="265">
        <v>238</v>
      </c>
      <c r="S82" s="71">
        <v>10</v>
      </c>
      <c r="T82" s="71" t="s">
        <v>795</v>
      </c>
      <c r="U82" s="267">
        <v>0.08</v>
      </c>
      <c r="V82" s="267"/>
      <c r="W82" s="268"/>
      <c r="X82" s="254" t="e">
        <f>tbl_明細[[#This Row],[仕入価格]]*tbl_明細[[#This Row],[数量]]+tbl_明細[[#This Row],[仕入価格（M)]]*tbl_明細[[#This Row],[数量（M)]]</f>
        <v>#VALUE!</v>
      </c>
      <c r="Y82" s="254">
        <f>tbl_明細[[#This Row],[販売価格（売値）]]*tbl_明細[[#This Row],[数量]]+tbl_明細[[#This Row],[販売価格（M)]]*tbl_明細[[#This Row],[数量（M)]]</f>
        <v>2380</v>
      </c>
      <c r="Z82" s="257" t="str">
        <f>_xlfn.XLOOKUP(tbl_明細[[#This Row],[案件番号]],tbl_案件追跡[案件番号],tbl_案件追跡[受注],"",0,1)</f>
        <v/>
      </c>
      <c r="AA82" s="228">
        <f>tbl_明細[[#This Row],[販売価格（売値）]]+tbl_明細[[#This Row],[販売価格（M)]]</f>
        <v>238</v>
      </c>
      <c r="AB82" s="261">
        <f>tbl_明細[[#This Row],[販売価格（売値）]]*1.08+tbl_明細[[#This Row],[販売価格（M)]]*1.08</f>
        <v>257.04000000000002</v>
      </c>
    </row>
    <row r="83" spans="1:28">
      <c r="A83" s="73" t="s">
        <v>1954</v>
      </c>
      <c r="B83" s="77">
        <f>IF(ISBLANK(tbl_明細[[#This Row],[案件番号]]),"",COUNTIFS($A$3:A83,tbl_明細[[#This Row],[案件番号]],$AA$3:AA83,"&gt;0"))</f>
        <v>32</v>
      </c>
      <c r="C83" s="71">
        <f>COUNTIFS($A$3:A83,tbl_明細[[#This Row],[案件番号]],$F$3:F83,tbl_明細[[#This Row],[仕入先]])</f>
        <v>8</v>
      </c>
      <c r="D83" s="77" t="str">
        <f>_xlfn.XLOOKUP(tbl_明細[[#This Row],[案件番号]],tbl_採番[案件番号],tbl_採番[顧客],"",0,1)</f>
        <v>加古川ヤマトヤシキ</v>
      </c>
      <c r="E83" s="71" t="s">
        <v>1969</v>
      </c>
      <c r="F83" s="118" t="str">
        <f>IF(ISBLANK(tbl_明細[[#This Row],[仕入先（M)]]),_xlfn.XLOOKUP(tbl_明細[[#This Row],[商品ID]],商品マスタ[商品連番],商品マスタ[仕入先],"",0,1),tbl_明細[[#This Row],[仕入先（M)]])</f>
        <v>ナオバンズ</v>
      </c>
      <c r="G83" s="112" t="str">
        <f>IF(ISBLANK(tbl_明細[[#This Row],[商品名（M)]]),_xlfn.XLOOKUP(tbl_明細[[#This Row],[商品ID]],商品マスタ[商品連番],商品マスタ[商品名],"",0,),tbl_明細[[#This Row],[商品名（M)]])</f>
        <v>フォンダン・あんこ</v>
      </c>
      <c r="H83" s="80" t="str">
        <f>IF(ISBLANK(tbl_明細[[#This Row],[仕入価格（M)]]),_xlfn.XLOOKUP(tbl_明細[[#This Row],[商品ID]],商品マスタ[商品連番],商品マスタ[仕入
単価],"",0,1),tbl_明細[[#This Row],[仕入価格（M)]])</f>
        <v/>
      </c>
      <c r="I83" s="80" t="str">
        <f>_xlfn.XLOOKUP(tbl_明細[[#This Row],[商品ID]],商品マスタ[商品連番],商品マスタ[国内定価
（15％）],"",0,1)</f>
        <v/>
      </c>
      <c r="J83" s="265"/>
      <c r="K83" s="71"/>
      <c r="L83" s="77" t="str">
        <f>_xlfn.XLOOKUP(tbl_明細[[#This Row],[商品ID]],商品マスタ[商品連番],商品マスタ[単位],"",0,1)</f>
        <v/>
      </c>
      <c r="M83" s="249" t="e">
        <f>1-tbl_明細[[#This Row],[仕入価格]]/tbl_明細[[#This Row],[販売価格（売値）]]</f>
        <v>#VALUE!</v>
      </c>
      <c r="N83" s="189" t="str">
        <f>_xlfn.XLOOKUP(tbl_明細[[#This Row],[商品ID]],商品マスタ[商品連番],商品マスタ[税率],"",0,1)</f>
        <v/>
      </c>
      <c r="O83" s="266" t="s">
        <v>1982</v>
      </c>
      <c r="P83" s="71" t="s">
        <v>1990</v>
      </c>
      <c r="Q83" s="265"/>
      <c r="R83" s="265">
        <v>514</v>
      </c>
      <c r="S83" s="71">
        <v>20</v>
      </c>
      <c r="T83" s="71" t="s">
        <v>795</v>
      </c>
      <c r="U83" s="267">
        <v>0.08</v>
      </c>
      <c r="V83" s="267"/>
      <c r="W83" s="268"/>
      <c r="X83" s="254" t="e">
        <f>tbl_明細[[#This Row],[仕入価格]]*tbl_明細[[#This Row],[数量]]+tbl_明細[[#This Row],[仕入価格（M)]]*tbl_明細[[#This Row],[数量（M)]]</f>
        <v>#VALUE!</v>
      </c>
      <c r="Y83" s="254">
        <f>tbl_明細[[#This Row],[販売価格（売値）]]*tbl_明細[[#This Row],[数量]]+tbl_明細[[#This Row],[販売価格（M)]]*tbl_明細[[#This Row],[数量（M)]]</f>
        <v>10280</v>
      </c>
      <c r="Z83" s="257" t="str">
        <f>_xlfn.XLOOKUP(tbl_明細[[#This Row],[案件番号]],tbl_案件追跡[案件番号],tbl_案件追跡[受注],"",0,1)</f>
        <v/>
      </c>
      <c r="AA83" s="228">
        <f>tbl_明細[[#This Row],[販売価格（売値）]]+tbl_明細[[#This Row],[販売価格（M)]]</f>
        <v>514</v>
      </c>
      <c r="AB83" s="261">
        <f>tbl_明細[[#This Row],[販売価格（売値）]]*1.08+tbl_明細[[#This Row],[販売価格（M)]]*1.08</f>
        <v>555.12</v>
      </c>
    </row>
    <row r="84" spans="1:28">
      <c r="A84" s="73" t="s">
        <v>1954</v>
      </c>
      <c r="B84" s="77">
        <f>IF(ISBLANK(tbl_明細[[#This Row],[案件番号]]),"",COUNTIFS($A$3:A84,tbl_明細[[#This Row],[案件番号]],$AA$3:AA84,"&gt;0"))</f>
        <v>33</v>
      </c>
      <c r="C84" s="71">
        <f>COUNTIFS($A$3:A84,tbl_明細[[#This Row],[案件番号]],$F$3:F84,tbl_明細[[#This Row],[仕入先]])</f>
        <v>1</v>
      </c>
      <c r="D84" s="77" t="str">
        <f>_xlfn.XLOOKUP(tbl_明細[[#This Row],[案件番号]],tbl_採番[案件番号],tbl_採番[顧客],"",0,1)</f>
        <v>加古川ヤマトヤシキ</v>
      </c>
      <c r="E84" s="71" t="s">
        <v>1991</v>
      </c>
      <c r="F84" s="118" t="str">
        <f>IF(ISBLANK(tbl_明細[[#This Row],[仕入先（M)]]),_xlfn.XLOOKUP(tbl_明細[[#This Row],[商品ID]],商品マスタ[商品連番],商品マスタ[仕入先],"",0,1),tbl_明細[[#This Row],[仕入先（M)]])</f>
        <v>ニセコビュープラザ</v>
      </c>
      <c r="G84" s="112" t="str">
        <f>IF(ISBLANK(tbl_明細[[#This Row],[商品名（M)]]),_xlfn.XLOOKUP(tbl_明細[[#This Row],[商品ID]],商品マスタ[商品連番],商品マスタ[商品名],"",0,),tbl_明細[[#This Row],[商品名（M)]])</f>
        <v>ほしいも（紅はるか・シルクスイート）</v>
      </c>
      <c r="H84" s="80">
        <f>IF(ISBLANK(tbl_明細[[#This Row],[仕入価格（M)]]),_xlfn.XLOOKUP(tbl_明細[[#This Row],[商品ID]],商品マスタ[商品連番],商品マスタ[仕入
単価],"",0,1),tbl_明細[[#This Row],[仕入価格（M)]])</f>
        <v>461.11111111111109</v>
      </c>
      <c r="I84" s="80">
        <f>_xlfn.XLOOKUP(tbl_明細[[#This Row],[商品ID]],商品マスタ[商品連番],商品マスタ[国内定価
（15％）],"",0,1)</f>
        <v>550</v>
      </c>
      <c r="J84" s="265">
        <v>586</v>
      </c>
      <c r="K84" s="71">
        <v>100</v>
      </c>
      <c r="L84" s="77" t="str">
        <f>_xlfn.XLOOKUP(tbl_明細[[#This Row],[商品ID]],商品マスタ[商品連番],商品マスタ[単位],"",0,1)</f>
        <v>袋</v>
      </c>
      <c r="M84" s="249">
        <f>1-tbl_明細[[#This Row],[仕入価格]]/tbl_明細[[#This Row],[販売価格（売値）]]</f>
        <v>0.21312097080015169</v>
      </c>
      <c r="N84" s="189">
        <f>_xlfn.XLOOKUP(tbl_明細[[#This Row],[商品ID]],商品マスタ[商品連番],商品マスタ[税率],"",0,1)</f>
        <v>0.08</v>
      </c>
      <c r="O84" s="266"/>
      <c r="P84" s="71"/>
      <c r="Q84" s="265"/>
      <c r="R84" s="265"/>
      <c r="S84" s="71"/>
      <c r="T84" s="71"/>
      <c r="U84" s="267"/>
      <c r="V84" s="267"/>
      <c r="W84" s="268"/>
      <c r="X84" s="254">
        <f>tbl_明細[[#This Row],[仕入価格]]*tbl_明細[[#This Row],[数量]]+tbl_明細[[#This Row],[仕入価格（M)]]*tbl_明細[[#This Row],[数量（M)]]</f>
        <v>46111.111111111109</v>
      </c>
      <c r="Y84" s="254">
        <f>tbl_明細[[#This Row],[販売価格（売値）]]*tbl_明細[[#This Row],[数量]]+tbl_明細[[#This Row],[販売価格（M)]]*tbl_明細[[#This Row],[数量（M)]]</f>
        <v>58600</v>
      </c>
      <c r="Z84" s="257" t="str">
        <f>_xlfn.XLOOKUP(tbl_明細[[#This Row],[案件番号]],tbl_案件追跡[案件番号],tbl_案件追跡[受注],"",0,1)</f>
        <v/>
      </c>
      <c r="AA84" s="228">
        <f>tbl_明細[[#This Row],[販売価格（売値）]]+tbl_明細[[#This Row],[販売価格（M)]]</f>
        <v>586</v>
      </c>
      <c r="AB84" s="261">
        <f>tbl_明細[[#This Row],[販売価格（売値）]]*1.08+tbl_明細[[#This Row],[販売価格（M)]]*1.08</f>
        <v>632.88</v>
      </c>
    </row>
    <row r="85" spans="1:28">
      <c r="A85" s="73" t="s">
        <v>1954</v>
      </c>
      <c r="B85" s="77">
        <f>IF(ISBLANK(tbl_明細[[#This Row],[案件番号]]),"",COUNTIFS($A$3:A85,tbl_明細[[#This Row],[案件番号]],$AA$3:AA85,"&gt;0"))</f>
        <v>34</v>
      </c>
      <c r="C85" s="71">
        <f>COUNTIFS($A$3:A85,tbl_明細[[#This Row],[案件番号]],$F$3:F85,tbl_明細[[#This Row],[仕入先]])</f>
        <v>2</v>
      </c>
      <c r="D85" s="77" t="str">
        <f>_xlfn.XLOOKUP(tbl_明細[[#This Row],[案件番号]],tbl_採番[案件番号],tbl_採番[顧客],"",0,1)</f>
        <v>加古川ヤマトヤシキ</v>
      </c>
      <c r="E85" s="71" t="s">
        <v>1991</v>
      </c>
      <c r="F85" s="118" t="str">
        <f>IF(ISBLANK(tbl_明細[[#This Row],[仕入先（M)]]),_xlfn.XLOOKUP(tbl_明細[[#This Row],[商品ID]],商品マスタ[商品連番],商品マスタ[仕入先],"",0,1),tbl_明細[[#This Row],[仕入先（M)]])</f>
        <v>ニセコビュープラザ</v>
      </c>
      <c r="G85" s="112" t="str">
        <f>IF(ISBLANK(tbl_明細[[#This Row],[商品名（M)]]),_xlfn.XLOOKUP(tbl_明細[[#This Row],[商品ID]],商品マスタ[商品連番],商品マスタ[商品名],"",0,),tbl_明細[[#This Row],[商品名（M)]])</f>
        <v>ほしいも（紅はるか・シルクスイート）</v>
      </c>
      <c r="H85" s="80">
        <f>IF(ISBLANK(tbl_明細[[#This Row],[仕入価格（M)]]),_xlfn.XLOOKUP(tbl_明細[[#This Row],[商品ID]],商品マスタ[商品連番],商品マスタ[仕入
単価],"",0,1),tbl_明細[[#This Row],[仕入価格（M)]])</f>
        <v>461.11111111111109</v>
      </c>
      <c r="I85" s="80">
        <f>_xlfn.XLOOKUP(tbl_明細[[#This Row],[商品ID]],商品マスタ[商品連番],商品マスタ[国内定価
（15％）],"",0,1)</f>
        <v>550</v>
      </c>
      <c r="J85" s="265">
        <v>586</v>
      </c>
      <c r="K85" s="71">
        <v>100</v>
      </c>
      <c r="L85" s="77" t="str">
        <f>_xlfn.XLOOKUP(tbl_明細[[#This Row],[商品ID]],商品マスタ[商品連番],商品マスタ[単位],"",0,1)</f>
        <v>袋</v>
      </c>
      <c r="M85" s="249">
        <f>1-tbl_明細[[#This Row],[仕入価格]]/tbl_明細[[#This Row],[販売価格（売値）]]</f>
        <v>0.21312097080015169</v>
      </c>
      <c r="N85" s="189">
        <f>_xlfn.XLOOKUP(tbl_明細[[#This Row],[商品ID]],商品マスタ[商品連番],商品マスタ[税率],"",0,1)</f>
        <v>0.08</v>
      </c>
      <c r="O85" s="266"/>
      <c r="P85" s="71"/>
      <c r="Q85" s="265"/>
      <c r="R85" s="265"/>
      <c r="S85" s="71"/>
      <c r="T85" s="71"/>
      <c r="U85" s="267"/>
      <c r="V85" s="267"/>
      <c r="W85" s="268"/>
      <c r="X85" s="254">
        <f>tbl_明細[[#This Row],[仕入価格]]*tbl_明細[[#This Row],[数量]]+tbl_明細[[#This Row],[仕入価格（M)]]*tbl_明細[[#This Row],[数量（M)]]</f>
        <v>46111.111111111109</v>
      </c>
      <c r="Y85" s="254">
        <f>tbl_明細[[#This Row],[販売価格（売値）]]*tbl_明細[[#This Row],[数量]]+tbl_明細[[#This Row],[販売価格（M)]]*tbl_明細[[#This Row],[数量（M)]]</f>
        <v>58600</v>
      </c>
      <c r="Z85" s="257" t="str">
        <f>_xlfn.XLOOKUP(tbl_明細[[#This Row],[案件番号]],tbl_案件追跡[案件番号],tbl_案件追跡[受注],"",0,1)</f>
        <v/>
      </c>
      <c r="AA85" s="228">
        <f>tbl_明細[[#This Row],[販売価格（売値）]]+tbl_明細[[#This Row],[販売価格（M)]]</f>
        <v>586</v>
      </c>
      <c r="AB85" s="261">
        <f>tbl_明細[[#This Row],[販売価格（売値）]]*1.08+tbl_明細[[#This Row],[販売価格（M)]]*1.08</f>
        <v>632.88</v>
      </c>
    </row>
    <row r="86" spans="1:28">
      <c r="A86" s="73" t="s">
        <v>1954</v>
      </c>
      <c r="B86" s="77">
        <f>IF(ISBLANK(tbl_明細[[#This Row],[案件番号]]),"",COUNTIFS($A$3:A86,tbl_明細[[#This Row],[案件番号]],$AA$3:AA86,"&gt;0"))</f>
        <v>35</v>
      </c>
      <c r="C86" s="71">
        <f>COUNTIFS($A$3:A86,tbl_明細[[#This Row],[案件番号]],$F$3:F86,tbl_明細[[#This Row],[仕入先]])</f>
        <v>1</v>
      </c>
      <c r="D86" s="77" t="str">
        <f>_xlfn.XLOOKUP(tbl_明細[[#This Row],[案件番号]],tbl_採番[案件番号],tbl_採番[顧客],"",0,1)</f>
        <v>加古川ヤマトヤシキ</v>
      </c>
      <c r="E86" s="71" t="s">
        <v>1992</v>
      </c>
      <c r="F86" s="118" t="str">
        <f>IF(ISBLANK(tbl_明細[[#This Row],[仕入先（M)]]),_xlfn.XLOOKUP(tbl_明細[[#This Row],[商品ID]],商品マスタ[商品連番],商品マスタ[仕入先],"",0,1),tbl_明細[[#This Row],[仕入先（M)]])</f>
        <v>ベジタブルワークス</v>
      </c>
      <c r="G86" s="112" t="str">
        <f>IF(ISBLANK(tbl_明細[[#This Row],[商品名（M)]]),_xlfn.XLOOKUP(tbl_明細[[#This Row],[商品ID]],商品マスタ[商品連番],商品マスタ[商品名],"",0,),tbl_明細[[#This Row],[商品名（M)]])</f>
        <v>レトルトコーン</v>
      </c>
      <c r="H86" s="80">
        <f>IF(ISBLANK(tbl_明細[[#This Row],[仕入価格（M)]]),_xlfn.XLOOKUP(tbl_明細[[#This Row],[商品ID]],商品マスタ[商品連番],商品マスタ[仕入
単価],"",0,1),tbl_明細[[#This Row],[仕入価格（M)]])</f>
        <v>310</v>
      </c>
      <c r="I86" s="80">
        <f>_xlfn.XLOOKUP(tbl_明細[[#This Row],[商品ID]],商品マスタ[商品連番],商品マスタ[国内定価
（15％）],"",0,1)</f>
        <v>410</v>
      </c>
      <c r="J86" s="265">
        <v>390</v>
      </c>
      <c r="K86" s="71">
        <v>60</v>
      </c>
      <c r="L86" s="77" t="str">
        <f>_xlfn.XLOOKUP(tbl_明細[[#This Row],[商品ID]],商品マスタ[商品連番],商品マスタ[単位],"",0,1)</f>
        <v>本</v>
      </c>
      <c r="M86" s="249">
        <f>1-tbl_明細[[#This Row],[仕入価格]]/tbl_明細[[#This Row],[販売価格（売値）]]</f>
        <v>0.20512820512820518</v>
      </c>
      <c r="N86" s="189">
        <f>_xlfn.XLOOKUP(tbl_明細[[#This Row],[商品ID]],商品マスタ[商品連番],商品マスタ[税率],"",0,1)</f>
        <v>0.08</v>
      </c>
      <c r="O86" s="266"/>
      <c r="P86" s="71"/>
      <c r="Q86" s="265"/>
      <c r="R86" s="265"/>
      <c r="S86" s="71"/>
      <c r="T86" s="71"/>
      <c r="U86" s="267"/>
      <c r="V86" s="267"/>
      <c r="W86" s="268"/>
      <c r="X86" s="254">
        <f>tbl_明細[[#This Row],[仕入価格]]*tbl_明細[[#This Row],[数量]]+tbl_明細[[#This Row],[仕入価格（M)]]*tbl_明細[[#This Row],[数量（M)]]</f>
        <v>18600</v>
      </c>
      <c r="Y86" s="254">
        <f>tbl_明細[[#This Row],[販売価格（売値）]]*tbl_明細[[#This Row],[数量]]+tbl_明細[[#This Row],[販売価格（M)]]*tbl_明細[[#This Row],[数量（M)]]</f>
        <v>23400</v>
      </c>
      <c r="Z86" s="257" t="str">
        <f>_xlfn.XLOOKUP(tbl_明細[[#This Row],[案件番号]],tbl_案件追跡[案件番号],tbl_案件追跡[受注],"",0,1)</f>
        <v/>
      </c>
      <c r="AA86" s="228">
        <f>tbl_明細[[#This Row],[販売価格（売値）]]+tbl_明細[[#This Row],[販売価格（M)]]</f>
        <v>390</v>
      </c>
      <c r="AB86" s="261">
        <f>tbl_明細[[#This Row],[販売価格（売値）]]*1.08+tbl_明細[[#This Row],[販売価格（M)]]*1.08</f>
        <v>421.20000000000005</v>
      </c>
    </row>
    <row r="87" spans="1:28">
      <c r="A87" s="73" t="s">
        <v>1954</v>
      </c>
      <c r="B87" s="77">
        <f>IF(ISBLANK(tbl_明細[[#This Row],[案件番号]]),"",COUNTIFS($A$3:A87,tbl_明細[[#This Row],[案件番号]],$AA$3:AA87,"&gt;0"))</f>
        <v>36</v>
      </c>
      <c r="C87" s="71">
        <f>COUNTIFS($A$3:A87,tbl_明細[[#This Row],[案件番号]],$F$3:F87,tbl_明細[[#This Row],[仕入先]])</f>
        <v>2</v>
      </c>
      <c r="D87" s="77" t="str">
        <f>_xlfn.XLOOKUP(tbl_明細[[#This Row],[案件番号]],tbl_採番[案件番号],tbl_採番[顧客],"",0,1)</f>
        <v>加古川ヤマトヤシキ</v>
      </c>
      <c r="E87" s="71" t="s">
        <v>1993</v>
      </c>
      <c r="F87" s="118" t="str">
        <f>IF(ISBLANK(tbl_明細[[#This Row],[仕入先（M)]]),_xlfn.XLOOKUP(tbl_明細[[#This Row],[商品ID]],商品マスタ[商品連番],商品マスタ[仕入先],"",0,1),tbl_明細[[#This Row],[仕入先（M)]])</f>
        <v>ベジタブルワークス</v>
      </c>
      <c r="G87" s="112" t="str">
        <f>IF(ISBLANK(tbl_明細[[#This Row],[商品名（M)]]),_xlfn.XLOOKUP(tbl_明細[[#This Row],[商品ID]],商品マスタ[商品連番],商品マスタ[商品名],"",0,),tbl_明細[[#This Row],[商品名（M)]])</f>
        <v>ゆりの結晶</v>
      </c>
      <c r="H87" s="80">
        <f>IF(ISBLANK(tbl_明細[[#This Row],[仕入価格（M)]]),_xlfn.XLOOKUP(tbl_明細[[#This Row],[商品ID]],商品マスタ[商品連番],商品マスタ[仕入
単価],"",0,1),tbl_明細[[#This Row],[仕入価格（M)]])</f>
        <v>340</v>
      </c>
      <c r="I87" s="80">
        <f>_xlfn.XLOOKUP(tbl_明細[[#This Row],[商品ID]],商品マスタ[商品連番],商品マスタ[国内定価
（15％）],"",0,1)</f>
        <v>440</v>
      </c>
      <c r="J87" s="265">
        <v>440</v>
      </c>
      <c r="K87" s="71">
        <v>40</v>
      </c>
      <c r="L87" s="77" t="str">
        <f>_xlfn.XLOOKUP(tbl_明細[[#This Row],[商品ID]],商品マスタ[商品連番],商品マスタ[単位],"",0,1)</f>
        <v>袋</v>
      </c>
      <c r="M87" s="249">
        <f>1-tbl_明細[[#This Row],[仕入価格]]/tbl_明細[[#This Row],[販売価格（売値）]]</f>
        <v>0.22727272727272729</v>
      </c>
      <c r="N87" s="189">
        <f>_xlfn.XLOOKUP(tbl_明細[[#This Row],[商品ID]],商品マスタ[商品連番],商品マスタ[税率],"",0,1)</f>
        <v>0.08</v>
      </c>
      <c r="O87" s="266"/>
      <c r="P87" s="71"/>
      <c r="Q87" s="265"/>
      <c r="R87" s="265"/>
      <c r="S87" s="71"/>
      <c r="T87" s="71"/>
      <c r="U87" s="267"/>
      <c r="V87" s="267"/>
      <c r="W87" s="268"/>
      <c r="X87" s="254">
        <f>tbl_明細[[#This Row],[仕入価格]]*tbl_明細[[#This Row],[数量]]+tbl_明細[[#This Row],[仕入価格（M)]]*tbl_明細[[#This Row],[数量（M)]]</f>
        <v>13600</v>
      </c>
      <c r="Y87" s="254">
        <f>tbl_明細[[#This Row],[販売価格（売値）]]*tbl_明細[[#This Row],[数量]]+tbl_明細[[#This Row],[販売価格（M)]]*tbl_明細[[#This Row],[数量（M)]]</f>
        <v>17600</v>
      </c>
      <c r="Z87" s="257" t="str">
        <f>_xlfn.XLOOKUP(tbl_明細[[#This Row],[案件番号]],tbl_案件追跡[案件番号],tbl_案件追跡[受注],"",0,1)</f>
        <v/>
      </c>
      <c r="AA87" s="228">
        <f>tbl_明細[[#This Row],[販売価格（売値）]]+tbl_明細[[#This Row],[販売価格（M)]]</f>
        <v>440</v>
      </c>
      <c r="AB87" s="261">
        <f>tbl_明細[[#This Row],[販売価格（売値）]]*1.08+tbl_明細[[#This Row],[販売価格（M)]]*1.08</f>
        <v>475.20000000000005</v>
      </c>
    </row>
    <row r="88" spans="1:28">
      <c r="A88" s="73" t="s">
        <v>1954</v>
      </c>
      <c r="B88" s="77">
        <f>IF(ISBLANK(tbl_明細[[#This Row],[案件番号]]),"",COUNTIFS($A$3:A88,tbl_明細[[#This Row],[案件番号]],$AA$3:AA88,"&gt;0"))</f>
        <v>37</v>
      </c>
      <c r="C88" s="71">
        <f>COUNTIFS($A$3:A88,tbl_明細[[#This Row],[案件番号]],$F$3:F88,tbl_明細[[#This Row],[仕入先]])</f>
        <v>1</v>
      </c>
      <c r="D88" s="77" t="str">
        <f>_xlfn.XLOOKUP(tbl_明細[[#This Row],[案件番号]],tbl_採番[案件番号],tbl_採番[顧客],"",0,1)</f>
        <v>加古川ヤマトヤシキ</v>
      </c>
      <c r="E88" s="71" t="s">
        <v>1969</v>
      </c>
      <c r="F88" s="118" t="str">
        <f>IF(ISBLANK(tbl_明細[[#This Row],[仕入先（M)]]),_xlfn.XLOOKUP(tbl_明細[[#This Row],[商品ID]],商品マスタ[商品連番],商品マスタ[仕入先],"",0,1),tbl_明細[[#This Row],[仕入先（M)]])</f>
        <v>ベターティズ</v>
      </c>
      <c r="G88" s="112" t="str">
        <f>IF(ISBLANK(tbl_明細[[#This Row],[商品名（M)]]),_xlfn.XLOOKUP(tbl_明細[[#This Row],[商品ID]],商品マスタ[商品連番],商品マスタ[商品名],"",0,),tbl_明細[[#This Row],[商品名（M)]])</f>
        <v>行者ニンニクみそ豚まん</v>
      </c>
      <c r="H88" s="80" t="str">
        <f>IF(ISBLANK(tbl_明細[[#This Row],[仕入価格（M)]]),_xlfn.XLOOKUP(tbl_明細[[#This Row],[商品ID]],商品マスタ[商品連番],商品マスタ[仕入
単価],"",0,1),tbl_明細[[#This Row],[仕入価格（M)]])</f>
        <v/>
      </c>
      <c r="I88" s="80" t="str">
        <f>_xlfn.XLOOKUP(tbl_明細[[#This Row],[商品ID]],商品マスタ[商品連番],商品マスタ[国内定価
（15％）],"",0,1)</f>
        <v/>
      </c>
      <c r="J88" s="265"/>
      <c r="K88" s="71"/>
      <c r="L88" s="77" t="str">
        <f>_xlfn.XLOOKUP(tbl_明細[[#This Row],[商品ID]],商品マスタ[商品連番],商品マスタ[単位],"",0,1)</f>
        <v/>
      </c>
      <c r="M88" s="249" t="e">
        <f>1-tbl_明細[[#This Row],[仕入価格]]/tbl_明細[[#This Row],[販売価格（売値）]]</f>
        <v>#VALUE!</v>
      </c>
      <c r="N88" s="189" t="str">
        <f>_xlfn.XLOOKUP(tbl_明細[[#This Row],[商品ID]],商品マスタ[商品連番],商品マスタ[税率],"",0,1)</f>
        <v/>
      </c>
      <c r="O88" s="266" t="s">
        <v>1994</v>
      </c>
      <c r="P88" s="71" t="s">
        <v>1995</v>
      </c>
      <c r="Q88" s="265"/>
      <c r="R88" s="265">
        <v>338</v>
      </c>
      <c r="S88" s="71">
        <v>20</v>
      </c>
      <c r="T88" s="71" t="s">
        <v>795</v>
      </c>
      <c r="U88" s="267">
        <v>0.08</v>
      </c>
      <c r="V88" s="267"/>
      <c r="W88" s="268"/>
      <c r="X88" s="254" t="e">
        <f>tbl_明細[[#This Row],[仕入価格]]*tbl_明細[[#This Row],[数量]]+tbl_明細[[#This Row],[仕入価格（M)]]*tbl_明細[[#This Row],[数量（M)]]</f>
        <v>#VALUE!</v>
      </c>
      <c r="Y88" s="254">
        <f>tbl_明細[[#This Row],[販売価格（売値）]]*tbl_明細[[#This Row],[数量]]+tbl_明細[[#This Row],[販売価格（M)]]*tbl_明細[[#This Row],[数量（M)]]</f>
        <v>6760</v>
      </c>
      <c r="Z88" s="257" t="str">
        <f>_xlfn.XLOOKUP(tbl_明細[[#This Row],[案件番号]],tbl_案件追跡[案件番号],tbl_案件追跡[受注],"",0,1)</f>
        <v/>
      </c>
      <c r="AA88" s="228">
        <f>tbl_明細[[#This Row],[販売価格（売値）]]+tbl_明細[[#This Row],[販売価格（M)]]</f>
        <v>338</v>
      </c>
      <c r="AB88" s="261">
        <f>tbl_明細[[#This Row],[販売価格（売値）]]*1.08+tbl_明細[[#This Row],[販売価格（M)]]*1.08</f>
        <v>365.04</v>
      </c>
    </row>
    <row r="89" spans="1:28">
      <c r="A89" s="73" t="s">
        <v>1954</v>
      </c>
      <c r="B89" s="77">
        <f>IF(ISBLANK(tbl_明細[[#This Row],[案件番号]]),"",COUNTIFS($A$3:A89,tbl_明細[[#This Row],[案件番号]],$AA$3:AA89,"&gt;0"))</f>
        <v>38</v>
      </c>
      <c r="C89" s="71">
        <f>COUNTIFS($A$3:A89,tbl_明細[[#This Row],[案件番号]],$F$3:F89,tbl_明細[[#This Row],[仕入先]])</f>
        <v>2</v>
      </c>
      <c r="D89" s="77" t="str">
        <f>_xlfn.XLOOKUP(tbl_明細[[#This Row],[案件番号]],tbl_採番[案件番号],tbl_採番[顧客],"",0,1)</f>
        <v>加古川ヤマトヤシキ</v>
      </c>
      <c r="E89" s="71" t="s">
        <v>1969</v>
      </c>
      <c r="F89" s="118" t="str">
        <f>IF(ISBLANK(tbl_明細[[#This Row],[仕入先（M)]]),_xlfn.XLOOKUP(tbl_明細[[#This Row],[商品ID]],商品マスタ[商品連番],商品マスタ[仕入先],"",0,1),tbl_明細[[#This Row],[仕入先（M)]])</f>
        <v>ベターティズ</v>
      </c>
      <c r="G89" s="112" t="str">
        <f>IF(ISBLANK(tbl_明細[[#This Row],[商品名（M)]]),_xlfn.XLOOKUP(tbl_明細[[#This Row],[商品ID]],商品マスタ[商品連番],商品マスタ[商品名],"",0,),tbl_明細[[#This Row],[商品名（M)]])</f>
        <v>十勝チーズまん</v>
      </c>
      <c r="H89" s="80" t="str">
        <f>IF(ISBLANK(tbl_明細[[#This Row],[仕入価格（M)]]),_xlfn.XLOOKUP(tbl_明細[[#This Row],[商品ID]],商品マスタ[商品連番],商品マスタ[仕入
単価],"",0,1),tbl_明細[[#This Row],[仕入価格（M)]])</f>
        <v/>
      </c>
      <c r="I89" s="80" t="str">
        <f>_xlfn.XLOOKUP(tbl_明細[[#This Row],[商品ID]],商品マスタ[商品連番],商品マスタ[国内定価
（15％）],"",0,1)</f>
        <v/>
      </c>
      <c r="J89" s="265"/>
      <c r="K89" s="71"/>
      <c r="L89" s="77" t="str">
        <f>_xlfn.XLOOKUP(tbl_明細[[#This Row],[商品ID]],商品マスタ[商品連番],商品マスタ[単位],"",0,1)</f>
        <v/>
      </c>
      <c r="M89" s="249" t="e">
        <f>1-tbl_明細[[#This Row],[仕入価格]]/tbl_明細[[#This Row],[販売価格（売値）]]</f>
        <v>#VALUE!</v>
      </c>
      <c r="N89" s="189" t="str">
        <f>_xlfn.XLOOKUP(tbl_明細[[#This Row],[商品ID]],商品マスタ[商品連番],商品マスタ[税率],"",0,1)</f>
        <v/>
      </c>
      <c r="O89" s="266" t="s">
        <v>1994</v>
      </c>
      <c r="P89" s="71" t="s">
        <v>1996</v>
      </c>
      <c r="Q89" s="265"/>
      <c r="R89" s="265">
        <v>392</v>
      </c>
      <c r="S89" s="71">
        <v>22</v>
      </c>
      <c r="T89" s="71" t="s">
        <v>795</v>
      </c>
      <c r="U89" s="267">
        <v>0.08</v>
      </c>
      <c r="V89" s="267"/>
      <c r="W89" s="268"/>
      <c r="X89" s="254" t="e">
        <f>tbl_明細[[#This Row],[仕入価格]]*tbl_明細[[#This Row],[数量]]+tbl_明細[[#This Row],[仕入価格（M)]]*tbl_明細[[#This Row],[数量（M)]]</f>
        <v>#VALUE!</v>
      </c>
      <c r="Y89" s="254">
        <f>tbl_明細[[#This Row],[販売価格（売値）]]*tbl_明細[[#This Row],[数量]]+tbl_明細[[#This Row],[販売価格（M)]]*tbl_明細[[#This Row],[数量（M)]]</f>
        <v>8624</v>
      </c>
      <c r="Z89" s="257" t="str">
        <f>_xlfn.XLOOKUP(tbl_明細[[#This Row],[案件番号]],tbl_案件追跡[案件番号],tbl_案件追跡[受注],"",0,1)</f>
        <v/>
      </c>
      <c r="AA89" s="228">
        <f>tbl_明細[[#This Row],[販売価格（売値）]]+tbl_明細[[#This Row],[販売価格（M)]]</f>
        <v>392</v>
      </c>
      <c r="AB89" s="261">
        <f>tbl_明細[[#This Row],[販売価格（売値）]]*1.08+tbl_明細[[#This Row],[販売価格（M)]]*1.08</f>
        <v>423.36</v>
      </c>
    </row>
    <row r="90" spans="1:28">
      <c r="A90" s="73" t="s">
        <v>1954</v>
      </c>
      <c r="B90" s="77">
        <f>IF(ISBLANK(tbl_明細[[#This Row],[案件番号]]),"",COUNTIFS($A$3:A90,tbl_明細[[#This Row],[案件番号]],$AA$3:AA90,"&gt;0"))</f>
        <v>39</v>
      </c>
      <c r="C90" s="71">
        <f>COUNTIFS($A$3:A90,tbl_明細[[#This Row],[案件番号]],$F$3:F90,tbl_明細[[#This Row],[仕入先]])</f>
        <v>1</v>
      </c>
      <c r="D90" s="77" t="str">
        <f>_xlfn.XLOOKUP(tbl_明細[[#This Row],[案件番号]],tbl_採番[案件番号],tbl_採番[顧客],"",0,1)</f>
        <v>加古川ヤマトヤシキ</v>
      </c>
      <c r="E90" s="71" t="s">
        <v>1969</v>
      </c>
      <c r="F90" s="118" t="str">
        <f>IF(ISBLANK(tbl_明細[[#This Row],[仕入先（M)]]),_xlfn.XLOOKUP(tbl_明細[[#This Row],[商品ID]],商品マスタ[商品連番],商品マスタ[仕入先],"",0,1),tbl_明細[[#This Row],[仕入先（M)]])</f>
        <v>ホリ商店</v>
      </c>
      <c r="G90" s="112" t="str">
        <f>IF(ISBLANK(tbl_明細[[#This Row],[商品名（M)]]),_xlfn.XLOOKUP(tbl_明細[[#This Row],[商品ID]],商品マスタ[商品連番],商品マスタ[商品名],"",0,),tbl_明細[[#This Row],[商品名（M)]])</f>
        <v>冷凍真空北海道産開きホッケ</v>
      </c>
      <c r="H90" s="80" t="str">
        <f>IF(ISBLANK(tbl_明細[[#This Row],[仕入価格（M)]]),_xlfn.XLOOKUP(tbl_明細[[#This Row],[商品ID]],商品マスタ[商品連番],商品マスタ[仕入
単価],"",0,1),tbl_明細[[#This Row],[仕入価格（M)]])</f>
        <v/>
      </c>
      <c r="I90" s="80" t="str">
        <f>_xlfn.XLOOKUP(tbl_明細[[#This Row],[商品ID]],商品マスタ[商品連番],商品マスタ[国内定価
（15％）],"",0,1)</f>
        <v/>
      </c>
      <c r="J90" s="265"/>
      <c r="K90" s="71"/>
      <c r="L90" s="77" t="str">
        <f>_xlfn.XLOOKUP(tbl_明細[[#This Row],[商品ID]],商品マスタ[商品連番],商品マスタ[単位],"",0,1)</f>
        <v/>
      </c>
      <c r="M90" s="249" t="e">
        <f>1-tbl_明細[[#This Row],[仕入価格]]/tbl_明細[[#This Row],[販売価格（売値）]]</f>
        <v>#VALUE!</v>
      </c>
      <c r="N90" s="189" t="str">
        <f>_xlfn.XLOOKUP(tbl_明細[[#This Row],[商品ID]],商品マスタ[商品連番],商品マスタ[税率],"",0,1)</f>
        <v/>
      </c>
      <c r="O90" s="266" t="s">
        <v>1997</v>
      </c>
      <c r="P90" s="71" t="s">
        <v>1998</v>
      </c>
      <c r="Q90" s="265"/>
      <c r="R90" s="265">
        <v>870</v>
      </c>
      <c r="S90" s="71">
        <v>30</v>
      </c>
      <c r="T90" s="71" t="s">
        <v>795</v>
      </c>
      <c r="U90" s="267">
        <v>0.08</v>
      </c>
      <c r="V90" s="267"/>
      <c r="W90" s="268"/>
      <c r="X90" s="254" t="e">
        <f>tbl_明細[[#This Row],[仕入価格]]*tbl_明細[[#This Row],[数量]]+tbl_明細[[#This Row],[仕入価格（M)]]*tbl_明細[[#This Row],[数量（M)]]</f>
        <v>#VALUE!</v>
      </c>
      <c r="Y90" s="254">
        <f>tbl_明細[[#This Row],[販売価格（売値）]]*tbl_明細[[#This Row],[数量]]+tbl_明細[[#This Row],[販売価格（M)]]*tbl_明細[[#This Row],[数量（M)]]</f>
        <v>26100</v>
      </c>
      <c r="Z90" s="257" t="str">
        <f>_xlfn.XLOOKUP(tbl_明細[[#This Row],[案件番号]],tbl_案件追跡[案件番号],tbl_案件追跡[受注],"",0,1)</f>
        <v/>
      </c>
      <c r="AA90" s="228">
        <f>tbl_明細[[#This Row],[販売価格（売値）]]+tbl_明細[[#This Row],[販売価格（M)]]</f>
        <v>870</v>
      </c>
      <c r="AB90" s="261">
        <f>tbl_明細[[#This Row],[販売価格（売値）]]*1.08+tbl_明細[[#This Row],[販売価格（M)]]*1.08</f>
        <v>939.6</v>
      </c>
    </row>
    <row r="91" spans="1:28">
      <c r="A91" s="73" t="s">
        <v>1954</v>
      </c>
      <c r="B91" s="77">
        <f>IF(ISBLANK(tbl_明細[[#This Row],[案件番号]]),"",COUNTIFS($A$3:A91,tbl_明細[[#This Row],[案件番号]],$AA$3:AA91,"&gt;0"))</f>
        <v>40</v>
      </c>
      <c r="C91" s="71">
        <f>COUNTIFS($A$3:A91,tbl_明細[[#This Row],[案件番号]],$F$3:F91,tbl_明細[[#This Row],[仕入先]])</f>
        <v>1</v>
      </c>
      <c r="D91" s="77" t="str">
        <f>_xlfn.XLOOKUP(tbl_明細[[#This Row],[案件番号]],tbl_採番[案件番号],tbl_採番[顧客],"",0,1)</f>
        <v>加古川ヤマトヤシキ</v>
      </c>
      <c r="E91" s="71" t="s">
        <v>1999</v>
      </c>
      <c r="F91" s="118" t="str">
        <f>IF(ISBLANK(tbl_明細[[#This Row],[仕入先（M)]]),_xlfn.XLOOKUP(tbl_明細[[#This Row],[商品ID]],商品マスタ[商品連番],商品マスタ[仕入先],"",0,1),tbl_明細[[#This Row],[仕入先（M)]])</f>
        <v>ヤマニ野口水産</v>
      </c>
      <c r="G91" s="112" t="str">
        <f>IF(ISBLANK(tbl_明細[[#This Row],[商品名（M)]]),_xlfn.XLOOKUP(tbl_明細[[#This Row],[商品ID]],商品マスタ[商品連番],商品マスタ[商品名],"",0,),tbl_明細[[#This Row],[商品名（M)]])</f>
        <v>カットサーモン・プレミアム</v>
      </c>
      <c r="H91" s="80">
        <f>IF(ISBLANK(tbl_明細[[#This Row],[仕入価格（M)]]),_xlfn.XLOOKUP(tbl_明細[[#This Row],[商品ID]],商品マスタ[商品連番],商品マスタ[仕入
単価],"",0,1),tbl_明細[[#This Row],[仕入価格（M)]])</f>
        <v>470</v>
      </c>
      <c r="I91" s="80">
        <f>_xlfn.XLOOKUP(tbl_明細[[#This Row],[商品ID]],商品マスタ[商品連番],商品マスタ[国内定価
（15％）],"",0,1)</f>
        <v>560</v>
      </c>
      <c r="J91" s="265">
        <v>553</v>
      </c>
      <c r="K91" s="71">
        <v>20</v>
      </c>
      <c r="L91" s="77" t="str">
        <f>_xlfn.XLOOKUP(tbl_明細[[#This Row],[商品ID]],商品マスタ[商品連番],商品マスタ[単位],"",0,1)</f>
        <v>袋</v>
      </c>
      <c r="M91" s="249">
        <f>1-tbl_明細[[#This Row],[仕入価格]]/tbl_明細[[#This Row],[販売価格（売値）]]</f>
        <v>0.15009041591320071</v>
      </c>
      <c r="N91" s="189">
        <f>_xlfn.XLOOKUP(tbl_明細[[#This Row],[商品ID]],商品マスタ[商品連番],商品マスタ[税率],"",0,1)</f>
        <v>0.08</v>
      </c>
      <c r="O91" s="266"/>
      <c r="P91" s="71"/>
      <c r="Q91" s="265"/>
      <c r="R91" s="265"/>
      <c r="S91" s="71"/>
      <c r="T91" s="71"/>
      <c r="U91" s="267"/>
      <c r="V91" s="267"/>
      <c r="W91" s="268"/>
      <c r="X91" s="254">
        <f>tbl_明細[[#This Row],[仕入価格]]*tbl_明細[[#This Row],[数量]]+tbl_明細[[#This Row],[仕入価格（M)]]*tbl_明細[[#This Row],[数量（M)]]</f>
        <v>9400</v>
      </c>
      <c r="Y91" s="254">
        <f>tbl_明細[[#This Row],[販売価格（売値）]]*tbl_明細[[#This Row],[数量]]+tbl_明細[[#This Row],[販売価格（M)]]*tbl_明細[[#This Row],[数量（M)]]</f>
        <v>11060</v>
      </c>
      <c r="Z91" s="257" t="str">
        <f>_xlfn.XLOOKUP(tbl_明細[[#This Row],[案件番号]],tbl_案件追跡[案件番号],tbl_案件追跡[受注],"",0,1)</f>
        <v/>
      </c>
      <c r="AA91" s="228">
        <f>tbl_明細[[#This Row],[販売価格（売値）]]+tbl_明細[[#This Row],[販売価格（M)]]</f>
        <v>553</v>
      </c>
      <c r="AB91" s="261">
        <f>tbl_明細[[#This Row],[販売価格（売値）]]*1.08+tbl_明細[[#This Row],[販売価格（M)]]*1.08</f>
        <v>597.24</v>
      </c>
    </row>
    <row r="92" spans="1:28">
      <c r="A92" s="73" t="s">
        <v>1954</v>
      </c>
      <c r="B92" s="77">
        <f>IF(ISBLANK(tbl_明細[[#This Row],[案件番号]]),"",COUNTIFS($A$3:A92,tbl_明細[[#This Row],[案件番号]],$AA$3:AA92,"&gt;0"))</f>
        <v>41</v>
      </c>
      <c r="C92" s="71">
        <f>COUNTIFS($A$3:A92,tbl_明細[[#This Row],[案件番号]],$F$3:F92,tbl_明細[[#This Row],[仕入先]])</f>
        <v>2</v>
      </c>
      <c r="D92" s="77" t="str">
        <f>_xlfn.XLOOKUP(tbl_明細[[#This Row],[案件番号]],tbl_採番[案件番号],tbl_採番[顧客],"",0,1)</f>
        <v>加古川ヤマトヤシキ</v>
      </c>
      <c r="E92" s="71" t="s">
        <v>2000</v>
      </c>
      <c r="F92" s="118" t="str">
        <f>IF(ISBLANK(tbl_明細[[#This Row],[仕入先（M)]]),_xlfn.XLOOKUP(tbl_明細[[#This Row],[商品ID]],商品マスタ[商品連番],商品マスタ[仕入先],"",0,1),tbl_明細[[#This Row],[仕入先（M)]])</f>
        <v>ヤマニ野口水産</v>
      </c>
      <c r="G92" s="112" t="str">
        <f>IF(ISBLANK(tbl_明細[[#This Row],[商品名（M)]]),_xlfn.XLOOKUP(tbl_明細[[#This Row],[商品ID]],商品マスタ[商品連番],商品マスタ[商品名],"",0,),tbl_明細[[#This Row],[商品名（M)]])</f>
        <v>ナチュラルサーモンジャーキー</v>
      </c>
      <c r="H92" s="80">
        <f>IF(ISBLANK(tbl_明細[[#This Row],[仕入価格（M)]]),_xlfn.XLOOKUP(tbl_明細[[#This Row],[商品ID]],商品マスタ[商品連番],商品マスタ[仕入
単価],"",0,1),tbl_明細[[#This Row],[仕入価格（M)]])</f>
        <v>340</v>
      </c>
      <c r="I92" s="80">
        <f>_xlfn.XLOOKUP(tbl_明細[[#This Row],[商品ID]],商品マスタ[商品連番],商品マスタ[国内定価
（15％）],"",0,1)</f>
        <v>400</v>
      </c>
      <c r="J92" s="265">
        <v>400</v>
      </c>
      <c r="K92" s="71">
        <v>20</v>
      </c>
      <c r="L92" s="77" t="str">
        <f>_xlfn.XLOOKUP(tbl_明細[[#This Row],[商品ID]],商品マスタ[商品連番],商品マスタ[単位],"",0,1)</f>
        <v>袋</v>
      </c>
      <c r="M92" s="249">
        <f>1-tbl_明細[[#This Row],[仕入価格]]/tbl_明細[[#This Row],[販売価格（売値）]]</f>
        <v>0.15000000000000002</v>
      </c>
      <c r="N92" s="189">
        <f>_xlfn.XLOOKUP(tbl_明細[[#This Row],[商品ID]],商品マスタ[商品連番],商品マスタ[税率],"",0,1)</f>
        <v>0.08</v>
      </c>
      <c r="O92" s="266"/>
      <c r="P92" s="71"/>
      <c r="Q92" s="265"/>
      <c r="R92" s="265"/>
      <c r="S92" s="71"/>
      <c r="T92" s="71"/>
      <c r="U92" s="267"/>
      <c r="V92" s="267"/>
      <c r="W92" s="268"/>
      <c r="X92" s="254">
        <f>tbl_明細[[#This Row],[仕入価格]]*tbl_明細[[#This Row],[数量]]+tbl_明細[[#This Row],[仕入価格（M)]]*tbl_明細[[#This Row],[数量（M)]]</f>
        <v>6800</v>
      </c>
      <c r="Y92" s="254">
        <f>tbl_明細[[#This Row],[販売価格（売値）]]*tbl_明細[[#This Row],[数量]]+tbl_明細[[#This Row],[販売価格（M)]]*tbl_明細[[#This Row],[数量（M)]]</f>
        <v>8000</v>
      </c>
      <c r="Z92" s="257" t="str">
        <f>_xlfn.XLOOKUP(tbl_明細[[#This Row],[案件番号]],tbl_案件追跡[案件番号],tbl_案件追跡[受注],"",0,1)</f>
        <v/>
      </c>
      <c r="AA92" s="228">
        <f>tbl_明細[[#This Row],[販売価格（売値）]]+tbl_明細[[#This Row],[販売価格（M)]]</f>
        <v>400</v>
      </c>
      <c r="AB92" s="261">
        <f>tbl_明細[[#This Row],[販売価格（売値）]]*1.08+tbl_明細[[#This Row],[販売価格（M)]]*1.08</f>
        <v>432</v>
      </c>
    </row>
    <row r="93" spans="1:28">
      <c r="A93" s="73" t="s">
        <v>1954</v>
      </c>
      <c r="B93" s="77">
        <f>IF(ISBLANK(tbl_明細[[#This Row],[案件番号]]),"",COUNTIFS($A$3:A93,tbl_明細[[#This Row],[案件番号]],$AA$3:AA93,"&gt;0"))</f>
        <v>42</v>
      </c>
      <c r="C93" s="71">
        <f>COUNTIFS($A$3:A93,tbl_明細[[#This Row],[案件番号]],$F$3:F93,tbl_明細[[#This Row],[仕入先]])</f>
        <v>3</v>
      </c>
      <c r="D93" s="77" t="str">
        <f>_xlfn.XLOOKUP(tbl_明細[[#This Row],[案件番号]],tbl_採番[案件番号],tbl_採番[顧客],"",0,1)</f>
        <v>加古川ヤマトヤシキ</v>
      </c>
      <c r="E93" s="71" t="s">
        <v>2001</v>
      </c>
      <c r="F93" s="118" t="str">
        <f>IF(ISBLANK(tbl_明細[[#This Row],[仕入先（M)]]),_xlfn.XLOOKUP(tbl_明細[[#This Row],[商品ID]],商品マスタ[商品連番],商品マスタ[仕入先],"",0,1),tbl_明細[[#This Row],[仕入先（M)]])</f>
        <v>ヤマニ野口水産</v>
      </c>
      <c r="G93" s="112" t="str">
        <f>IF(ISBLANK(tbl_明細[[#This Row],[商品名（M)]]),_xlfn.XLOOKUP(tbl_明細[[#This Row],[商品ID]],商品マスタ[商品連番],商品マスタ[商品名],"",0,),tbl_明細[[#This Row],[商品名（M)]])</f>
        <v>鮭ジャーキー×ブラックペッパー</v>
      </c>
      <c r="H93" s="80">
        <f>IF(ISBLANK(tbl_明細[[#This Row],[仕入価格（M)]]),_xlfn.XLOOKUP(tbl_明細[[#This Row],[商品ID]],商品マスタ[商品連番],商品マスタ[仕入
単価],"",0,1),tbl_明細[[#This Row],[仕入価格（M)]])</f>
        <v>340</v>
      </c>
      <c r="I93" s="80">
        <f>_xlfn.XLOOKUP(tbl_明細[[#This Row],[商品ID]],商品マスタ[商品連番],商品マスタ[国内定価
（15％）],"",0,1)</f>
        <v>400</v>
      </c>
      <c r="J93" s="265">
        <v>400</v>
      </c>
      <c r="K93" s="71">
        <v>20</v>
      </c>
      <c r="L93" s="77" t="str">
        <f>_xlfn.XLOOKUP(tbl_明細[[#This Row],[商品ID]],商品マスタ[商品連番],商品マスタ[単位],"",0,1)</f>
        <v>袋</v>
      </c>
      <c r="M93" s="249">
        <f>1-tbl_明細[[#This Row],[仕入価格]]/tbl_明細[[#This Row],[販売価格（売値）]]</f>
        <v>0.15000000000000002</v>
      </c>
      <c r="N93" s="189">
        <f>_xlfn.XLOOKUP(tbl_明細[[#This Row],[商品ID]],商品マスタ[商品連番],商品マスタ[税率],"",0,1)</f>
        <v>0.08</v>
      </c>
      <c r="O93" s="266"/>
      <c r="P93" s="71"/>
      <c r="Q93" s="265"/>
      <c r="R93" s="265"/>
      <c r="S93" s="71"/>
      <c r="T93" s="71"/>
      <c r="U93" s="267"/>
      <c r="V93" s="267"/>
      <c r="W93" s="268"/>
      <c r="X93" s="254">
        <f>tbl_明細[[#This Row],[仕入価格]]*tbl_明細[[#This Row],[数量]]+tbl_明細[[#This Row],[仕入価格（M)]]*tbl_明細[[#This Row],[数量（M)]]</f>
        <v>6800</v>
      </c>
      <c r="Y93" s="254">
        <f>tbl_明細[[#This Row],[販売価格（売値）]]*tbl_明細[[#This Row],[数量]]+tbl_明細[[#This Row],[販売価格（M)]]*tbl_明細[[#This Row],[数量（M)]]</f>
        <v>8000</v>
      </c>
      <c r="Z93" s="257" t="str">
        <f>_xlfn.XLOOKUP(tbl_明細[[#This Row],[案件番号]],tbl_案件追跡[案件番号],tbl_案件追跡[受注],"",0,1)</f>
        <v/>
      </c>
      <c r="AA93" s="228">
        <f>tbl_明細[[#This Row],[販売価格（売値）]]+tbl_明細[[#This Row],[販売価格（M)]]</f>
        <v>400</v>
      </c>
      <c r="AB93" s="261">
        <f>tbl_明細[[#This Row],[販売価格（売値）]]*1.08+tbl_明細[[#This Row],[販売価格（M)]]*1.08</f>
        <v>432</v>
      </c>
    </row>
    <row r="94" spans="1:28">
      <c r="A94" s="73" t="s">
        <v>1954</v>
      </c>
      <c r="B94" s="77">
        <f>IF(ISBLANK(tbl_明細[[#This Row],[案件番号]]),"",COUNTIFS($A$3:A94,tbl_明細[[#This Row],[案件番号]],$AA$3:AA94,"&gt;0"))</f>
        <v>43</v>
      </c>
      <c r="C94" s="71">
        <f>COUNTIFS($A$3:A94,tbl_明細[[#This Row],[案件番号]],$F$3:F94,tbl_明細[[#This Row],[仕入先]])</f>
        <v>4</v>
      </c>
      <c r="D94" s="77" t="str">
        <f>_xlfn.XLOOKUP(tbl_明細[[#This Row],[案件番号]],tbl_採番[案件番号],tbl_採番[顧客],"",0,1)</f>
        <v>加古川ヤマトヤシキ</v>
      </c>
      <c r="E94" s="71" t="s">
        <v>2002</v>
      </c>
      <c r="F94" s="118" t="str">
        <f>IF(ISBLANK(tbl_明細[[#This Row],[仕入先（M)]]),_xlfn.XLOOKUP(tbl_明細[[#This Row],[商品ID]],商品マスタ[商品連番],商品マスタ[仕入先],"",0,1),tbl_明細[[#This Row],[仕入先（M)]])</f>
        <v>ヤマニ野口水産</v>
      </c>
      <c r="G94" s="112" t="str">
        <f>IF(ISBLANK(tbl_明細[[#This Row],[商品名（M)]]),_xlfn.XLOOKUP(tbl_明細[[#This Row],[商品ID]],商品マスタ[商品連番],商品マスタ[商品名],"",0,),tbl_明細[[#This Row],[商品名（M)]])</f>
        <v>鮭ジャーキー×ピり辛明太</v>
      </c>
      <c r="H94" s="80">
        <f>IF(ISBLANK(tbl_明細[[#This Row],[仕入価格（M)]]),_xlfn.XLOOKUP(tbl_明細[[#This Row],[商品ID]],商品マスタ[商品連番],商品マスタ[仕入
単価],"",0,1),tbl_明細[[#This Row],[仕入価格（M)]])</f>
        <v>340</v>
      </c>
      <c r="I94" s="80">
        <f>_xlfn.XLOOKUP(tbl_明細[[#This Row],[商品ID]],商品マスタ[商品連番],商品マスタ[国内定価
（15％）],"",0,1)</f>
        <v>400</v>
      </c>
      <c r="J94" s="265">
        <v>400</v>
      </c>
      <c r="K94" s="71">
        <v>20</v>
      </c>
      <c r="L94" s="77" t="str">
        <f>_xlfn.XLOOKUP(tbl_明細[[#This Row],[商品ID]],商品マスタ[商品連番],商品マスタ[単位],"",0,1)</f>
        <v>袋</v>
      </c>
      <c r="M94" s="249">
        <f>1-tbl_明細[[#This Row],[仕入価格]]/tbl_明細[[#This Row],[販売価格（売値）]]</f>
        <v>0.15000000000000002</v>
      </c>
      <c r="N94" s="189">
        <f>_xlfn.XLOOKUP(tbl_明細[[#This Row],[商品ID]],商品マスタ[商品連番],商品マスタ[税率],"",0,1)</f>
        <v>0.08</v>
      </c>
      <c r="O94" s="266"/>
      <c r="P94" s="71"/>
      <c r="Q94" s="265"/>
      <c r="R94" s="265"/>
      <c r="S94" s="71"/>
      <c r="T94" s="71"/>
      <c r="U94" s="267"/>
      <c r="V94" s="267"/>
      <c r="W94" s="268"/>
      <c r="X94" s="254">
        <f>tbl_明細[[#This Row],[仕入価格]]*tbl_明細[[#This Row],[数量]]+tbl_明細[[#This Row],[仕入価格（M)]]*tbl_明細[[#This Row],[数量（M)]]</f>
        <v>6800</v>
      </c>
      <c r="Y94" s="254">
        <f>tbl_明細[[#This Row],[販売価格（売値）]]*tbl_明細[[#This Row],[数量]]+tbl_明細[[#This Row],[販売価格（M)]]*tbl_明細[[#This Row],[数量（M)]]</f>
        <v>8000</v>
      </c>
      <c r="Z94" s="257" t="str">
        <f>_xlfn.XLOOKUP(tbl_明細[[#This Row],[案件番号]],tbl_案件追跡[案件番号],tbl_案件追跡[受注],"",0,1)</f>
        <v/>
      </c>
      <c r="AA94" s="228">
        <f>tbl_明細[[#This Row],[販売価格（売値）]]+tbl_明細[[#This Row],[販売価格（M)]]</f>
        <v>400</v>
      </c>
      <c r="AB94" s="261">
        <f>tbl_明細[[#This Row],[販売価格（売値）]]*1.08+tbl_明細[[#This Row],[販売価格（M)]]*1.08</f>
        <v>432</v>
      </c>
    </row>
    <row r="95" spans="1:28">
      <c r="A95" s="73" t="s">
        <v>1954</v>
      </c>
      <c r="B95" s="77">
        <f>IF(ISBLANK(tbl_明細[[#This Row],[案件番号]]),"",COUNTIFS($A$3:A95,tbl_明細[[#This Row],[案件番号]],$AA$3:AA95,"&gt;0"))</f>
        <v>44</v>
      </c>
      <c r="C95" s="71">
        <f>COUNTIFS($A$3:A95,tbl_明細[[#This Row],[案件番号]],$F$3:F95,tbl_明細[[#This Row],[仕入先]])</f>
        <v>5</v>
      </c>
      <c r="D95" s="77" t="str">
        <f>_xlfn.XLOOKUP(tbl_明細[[#This Row],[案件番号]],tbl_採番[案件番号],tbl_採番[顧客],"",0,1)</f>
        <v>加古川ヤマトヤシキ</v>
      </c>
      <c r="E95" s="71" t="s">
        <v>2003</v>
      </c>
      <c r="F95" s="118" t="str">
        <f>IF(ISBLANK(tbl_明細[[#This Row],[仕入先（M)]]),_xlfn.XLOOKUP(tbl_明細[[#This Row],[商品ID]],商品マスタ[商品連番],商品マスタ[仕入先],"",0,1),tbl_明細[[#This Row],[仕入先（M)]])</f>
        <v>ヤマニ野口水産</v>
      </c>
      <c r="G95" s="112" t="str">
        <f>IF(ISBLANK(tbl_明細[[#This Row],[商品名（M)]]),_xlfn.XLOOKUP(tbl_明細[[#This Row],[商品ID]],商品マスタ[商品連番],商品マスタ[商品名],"",0,),tbl_明細[[#This Row],[商品名（M)]])</f>
        <v>鮭ジャーキー×プレーン</v>
      </c>
      <c r="H95" s="80">
        <f>IF(ISBLANK(tbl_明細[[#This Row],[仕入価格（M)]]),_xlfn.XLOOKUP(tbl_明細[[#This Row],[商品ID]],商品マスタ[商品連番],商品マスタ[仕入
単価],"",0,1),tbl_明細[[#This Row],[仕入価格（M)]])</f>
        <v>340</v>
      </c>
      <c r="I95" s="80">
        <f>_xlfn.XLOOKUP(tbl_明細[[#This Row],[商品ID]],商品マスタ[商品連番],商品マスタ[国内定価
（15％）],"",0,1)</f>
        <v>400</v>
      </c>
      <c r="J95" s="265">
        <v>400</v>
      </c>
      <c r="K95" s="71">
        <v>20</v>
      </c>
      <c r="L95" s="77" t="str">
        <f>_xlfn.XLOOKUP(tbl_明細[[#This Row],[商品ID]],商品マスタ[商品連番],商品マスタ[単位],"",0,1)</f>
        <v>袋</v>
      </c>
      <c r="M95" s="249">
        <f>1-tbl_明細[[#This Row],[仕入価格]]/tbl_明細[[#This Row],[販売価格（売値）]]</f>
        <v>0.15000000000000002</v>
      </c>
      <c r="N95" s="189">
        <f>_xlfn.XLOOKUP(tbl_明細[[#This Row],[商品ID]],商品マスタ[商品連番],商品マスタ[税率],"",0,1)</f>
        <v>0.08</v>
      </c>
      <c r="O95" s="266"/>
      <c r="P95" s="71"/>
      <c r="Q95" s="265"/>
      <c r="R95" s="265"/>
      <c r="S95" s="71"/>
      <c r="T95" s="71"/>
      <c r="U95" s="267"/>
      <c r="V95" s="267"/>
      <c r="W95" s="268"/>
      <c r="X95" s="254">
        <f>tbl_明細[[#This Row],[仕入価格]]*tbl_明細[[#This Row],[数量]]+tbl_明細[[#This Row],[仕入価格（M)]]*tbl_明細[[#This Row],[数量（M)]]</f>
        <v>6800</v>
      </c>
      <c r="Y95" s="254">
        <f>tbl_明細[[#This Row],[販売価格（売値）]]*tbl_明細[[#This Row],[数量]]+tbl_明細[[#This Row],[販売価格（M)]]*tbl_明細[[#This Row],[数量（M)]]</f>
        <v>8000</v>
      </c>
      <c r="Z95" s="257" t="str">
        <f>_xlfn.XLOOKUP(tbl_明細[[#This Row],[案件番号]],tbl_案件追跡[案件番号],tbl_案件追跡[受注],"",0,1)</f>
        <v/>
      </c>
      <c r="AA95" s="228">
        <f>tbl_明細[[#This Row],[販売価格（売値）]]+tbl_明細[[#This Row],[販売価格（M)]]</f>
        <v>400</v>
      </c>
      <c r="AB95" s="261">
        <f>tbl_明細[[#This Row],[販売価格（売値）]]*1.08+tbl_明細[[#This Row],[販売価格（M)]]*1.08</f>
        <v>432</v>
      </c>
    </row>
    <row r="96" spans="1:28">
      <c r="A96" s="73" t="s">
        <v>1954</v>
      </c>
      <c r="B96" s="77">
        <f>IF(ISBLANK(tbl_明細[[#This Row],[案件番号]]),"",COUNTIFS($A$3:A96,tbl_明細[[#This Row],[案件番号]],$AA$3:AA96,"&gt;0"))</f>
        <v>45</v>
      </c>
      <c r="C96" s="71">
        <f>COUNTIFS($A$3:A96,tbl_明細[[#This Row],[案件番号]],$F$3:F96,tbl_明細[[#This Row],[仕入先]])</f>
        <v>6</v>
      </c>
      <c r="D96" s="77" t="str">
        <f>_xlfn.XLOOKUP(tbl_明細[[#This Row],[案件番号]],tbl_採番[案件番号],tbl_採番[顧客],"",0,1)</f>
        <v>加古川ヤマトヤシキ</v>
      </c>
      <c r="E96" s="71" t="s">
        <v>2004</v>
      </c>
      <c r="F96" s="118" t="str">
        <f>IF(ISBLANK(tbl_明細[[#This Row],[仕入先（M)]]),_xlfn.XLOOKUP(tbl_明細[[#This Row],[商品ID]],商品マスタ[商品連番],商品マスタ[仕入先],"",0,1),tbl_明細[[#This Row],[仕入先（M)]])</f>
        <v>ヤマニ野口水産</v>
      </c>
      <c r="G96" s="112" t="str">
        <f>IF(ISBLANK(tbl_明細[[#This Row],[商品名（M)]]),_xlfn.XLOOKUP(tbl_明細[[#This Row],[商品ID]],商品マスタ[商品連番],商品マスタ[商品名],"",0,),tbl_明細[[#This Row],[商品名（M)]])</f>
        <v>鮭ジャーキー×バジル</v>
      </c>
      <c r="H96" s="80">
        <f>IF(ISBLANK(tbl_明細[[#This Row],[仕入価格（M)]]),_xlfn.XLOOKUP(tbl_明細[[#This Row],[商品ID]],商品マスタ[商品連番],商品マスタ[仕入
単価],"",0,1),tbl_明細[[#This Row],[仕入価格（M)]])</f>
        <v>340</v>
      </c>
      <c r="I96" s="80">
        <f>_xlfn.XLOOKUP(tbl_明細[[#This Row],[商品ID]],商品マスタ[商品連番],商品マスタ[国内定価
（15％）],"",0,1)</f>
        <v>400</v>
      </c>
      <c r="J96" s="265">
        <v>400</v>
      </c>
      <c r="K96" s="71">
        <v>20</v>
      </c>
      <c r="L96" s="77" t="str">
        <f>_xlfn.XLOOKUP(tbl_明細[[#This Row],[商品ID]],商品マスタ[商品連番],商品マスタ[単位],"",0,1)</f>
        <v>袋</v>
      </c>
      <c r="M96" s="249">
        <f>1-tbl_明細[[#This Row],[仕入価格]]/tbl_明細[[#This Row],[販売価格（売値）]]</f>
        <v>0.15000000000000002</v>
      </c>
      <c r="N96" s="189">
        <f>_xlfn.XLOOKUP(tbl_明細[[#This Row],[商品ID]],商品マスタ[商品連番],商品マスタ[税率],"",0,1)</f>
        <v>0.08</v>
      </c>
      <c r="O96" s="266"/>
      <c r="P96" s="71"/>
      <c r="Q96" s="265"/>
      <c r="R96" s="265"/>
      <c r="S96" s="71"/>
      <c r="T96" s="71"/>
      <c r="U96" s="267"/>
      <c r="V96" s="267"/>
      <c r="W96" s="268"/>
      <c r="X96" s="254">
        <f>tbl_明細[[#This Row],[仕入価格]]*tbl_明細[[#This Row],[数量]]+tbl_明細[[#This Row],[仕入価格（M)]]*tbl_明細[[#This Row],[数量（M)]]</f>
        <v>6800</v>
      </c>
      <c r="Y96" s="254">
        <f>tbl_明細[[#This Row],[販売価格（売値）]]*tbl_明細[[#This Row],[数量]]+tbl_明細[[#This Row],[販売価格（M)]]*tbl_明細[[#This Row],[数量（M)]]</f>
        <v>8000</v>
      </c>
      <c r="Z96" s="257" t="str">
        <f>_xlfn.XLOOKUP(tbl_明細[[#This Row],[案件番号]],tbl_案件追跡[案件番号],tbl_案件追跡[受注],"",0,1)</f>
        <v/>
      </c>
      <c r="AA96" s="228">
        <f>tbl_明細[[#This Row],[販売価格（売値）]]+tbl_明細[[#This Row],[販売価格（M)]]</f>
        <v>400</v>
      </c>
      <c r="AB96" s="261">
        <f>tbl_明細[[#This Row],[販売価格（売値）]]*1.08+tbl_明細[[#This Row],[販売価格（M)]]*1.08</f>
        <v>432</v>
      </c>
    </row>
    <row r="97" spans="1:28">
      <c r="A97" s="73" t="s">
        <v>1954</v>
      </c>
      <c r="B97" s="77">
        <f>IF(ISBLANK(tbl_明細[[#This Row],[案件番号]]),"",COUNTIFS($A$3:A97,tbl_明細[[#This Row],[案件番号]],$AA$3:AA97,"&gt;0"))</f>
        <v>46</v>
      </c>
      <c r="C97" s="71">
        <f>COUNTIFS($A$3:A97,tbl_明細[[#This Row],[案件番号]],$F$3:F97,tbl_明細[[#This Row],[仕入先]])</f>
        <v>7</v>
      </c>
      <c r="D97" s="77" t="str">
        <f>_xlfn.XLOOKUP(tbl_明細[[#This Row],[案件番号]],tbl_採番[案件番号],tbl_採番[顧客],"",0,1)</f>
        <v>加古川ヤマトヤシキ</v>
      </c>
      <c r="E97" s="71" t="s">
        <v>2005</v>
      </c>
      <c r="F97" s="118" t="str">
        <f>IF(ISBLANK(tbl_明細[[#This Row],[仕入先（M)]]),_xlfn.XLOOKUP(tbl_明細[[#This Row],[商品ID]],商品マスタ[商品連番],商品マスタ[仕入先],"",0,1),tbl_明細[[#This Row],[仕入先（M)]])</f>
        <v>ヤマニ野口水産</v>
      </c>
      <c r="G97" s="112" t="str">
        <f>IF(ISBLANK(tbl_明細[[#This Row],[商品名（M)]]),_xlfn.XLOOKUP(tbl_明細[[#This Row],[商品ID]],商品マスタ[商品連番],商品マスタ[商品名],"",0,),tbl_明細[[#This Row],[商品名（M)]])</f>
        <v>鮭ジャーキー×魚醤</v>
      </c>
      <c r="H97" s="80">
        <f>IF(ISBLANK(tbl_明細[[#This Row],[仕入価格（M)]]),_xlfn.XLOOKUP(tbl_明細[[#This Row],[商品ID]],商品マスタ[商品連番],商品マスタ[仕入
単価],"",0,1),tbl_明細[[#This Row],[仕入価格（M)]])</f>
        <v>340</v>
      </c>
      <c r="I97" s="80">
        <f>_xlfn.XLOOKUP(tbl_明細[[#This Row],[商品ID]],商品マスタ[商品連番],商品マスタ[国内定価
（15％）],"",0,1)</f>
        <v>400</v>
      </c>
      <c r="J97" s="265">
        <v>400</v>
      </c>
      <c r="K97" s="71">
        <v>20</v>
      </c>
      <c r="L97" s="77" t="str">
        <f>_xlfn.XLOOKUP(tbl_明細[[#This Row],[商品ID]],商品マスタ[商品連番],商品マスタ[単位],"",0,1)</f>
        <v>袋</v>
      </c>
      <c r="M97" s="249">
        <f>1-tbl_明細[[#This Row],[仕入価格]]/tbl_明細[[#This Row],[販売価格（売値）]]</f>
        <v>0.15000000000000002</v>
      </c>
      <c r="N97" s="189">
        <f>_xlfn.XLOOKUP(tbl_明細[[#This Row],[商品ID]],商品マスタ[商品連番],商品マスタ[税率],"",0,1)</f>
        <v>0.08</v>
      </c>
      <c r="O97" s="266"/>
      <c r="P97" s="71"/>
      <c r="Q97" s="265"/>
      <c r="R97" s="265"/>
      <c r="S97" s="71"/>
      <c r="T97" s="71"/>
      <c r="U97" s="267"/>
      <c r="V97" s="267"/>
      <c r="W97" s="268"/>
      <c r="X97" s="254">
        <f>tbl_明細[[#This Row],[仕入価格]]*tbl_明細[[#This Row],[数量]]+tbl_明細[[#This Row],[仕入価格（M)]]*tbl_明細[[#This Row],[数量（M)]]</f>
        <v>6800</v>
      </c>
      <c r="Y97" s="254">
        <f>tbl_明細[[#This Row],[販売価格（売値）]]*tbl_明細[[#This Row],[数量]]+tbl_明細[[#This Row],[販売価格（M)]]*tbl_明細[[#This Row],[数量（M)]]</f>
        <v>8000</v>
      </c>
      <c r="Z97" s="257" t="str">
        <f>_xlfn.XLOOKUP(tbl_明細[[#This Row],[案件番号]],tbl_案件追跡[案件番号],tbl_案件追跡[受注],"",0,1)</f>
        <v/>
      </c>
      <c r="AA97" s="228">
        <f>tbl_明細[[#This Row],[販売価格（売値）]]+tbl_明細[[#This Row],[販売価格（M)]]</f>
        <v>400</v>
      </c>
      <c r="AB97" s="261">
        <f>tbl_明細[[#This Row],[販売価格（売値）]]*1.08+tbl_明細[[#This Row],[販売価格（M)]]*1.08</f>
        <v>432</v>
      </c>
    </row>
    <row r="98" spans="1:28">
      <c r="A98" s="73" t="s">
        <v>1954</v>
      </c>
      <c r="B98" s="77">
        <f>IF(ISBLANK(tbl_明細[[#This Row],[案件番号]]),"",COUNTIFS($A$3:A98,tbl_明細[[#This Row],[案件番号]],$AA$3:AA98,"&gt;0"))</f>
        <v>47</v>
      </c>
      <c r="C98" s="71">
        <f>COUNTIFS($A$3:A98,tbl_明細[[#This Row],[案件番号]],$F$3:F98,tbl_明細[[#This Row],[仕入先]])</f>
        <v>8</v>
      </c>
      <c r="D98" s="77" t="str">
        <f>_xlfn.XLOOKUP(tbl_明細[[#This Row],[案件番号]],tbl_採番[案件番号],tbl_採番[顧客],"",0,1)</f>
        <v>加古川ヤマトヤシキ</v>
      </c>
      <c r="E98" s="71" t="s">
        <v>2006</v>
      </c>
      <c r="F98" s="118" t="str">
        <f>IF(ISBLANK(tbl_明細[[#This Row],[仕入先（M)]]),_xlfn.XLOOKUP(tbl_明細[[#This Row],[商品ID]],商品マスタ[商品連番],商品マスタ[仕入先],"",0,1),tbl_明細[[#This Row],[仕入先（M)]])</f>
        <v>ヤマニ野口水産</v>
      </c>
      <c r="G98" s="112" t="str">
        <f>IF(ISBLANK(tbl_明細[[#This Row],[商品名（M)]]),_xlfn.XLOOKUP(tbl_明細[[#This Row],[商品ID]],商品マスタ[商品連番],商品マスタ[商品名],"",0,),tbl_明細[[#This Row],[商品名（M)]])</f>
        <v>ほっけジャーキースモーク</v>
      </c>
      <c r="H98" s="80">
        <f>IF(ISBLANK(tbl_明細[[#This Row],[仕入価格（M)]]),_xlfn.XLOOKUP(tbl_明細[[#This Row],[商品ID]],商品マスタ[商品連番],商品マスタ[仕入
単価],"",0,1),tbl_明細[[#This Row],[仕入価格（M)]])</f>
        <v>270</v>
      </c>
      <c r="I98" s="80">
        <f>_xlfn.XLOOKUP(tbl_明細[[#This Row],[商品ID]],商品マスタ[商品連番],商品マスタ[国内定価
（15％）],"",0,1)</f>
        <v>320</v>
      </c>
      <c r="J98" s="265">
        <v>318</v>
      </c>
      <c r="K98" s="71">
        <v>10</v>
      </c>
      <c r="L98" s="77" t="str">
        <f>_xlfn.XLOOKUP(tbl_明細[[#This Row],[商品ID]],商品マスタ[商品連番],商品マスタ[単位],"",0,1)</f>
        <v>袋</v>
      </c>
      <c r="M98" s="249">
        <f>1-tbl_明細[[#This Row],[仕入価格]]/tbl_明細[[#This Row],[販売価格（売値）]]</f>
        <v>0.15094339622641506</v>
      </c>
      <c r="N98" s="189">
        <f>_xlfn.XLOOKUP(tbl_明細[[#This Row],[商品ID]],商品マスタ[商品連番],商品マスタ[税率],"",0,1)</f>
        <v>0.08</v>
      </c>
      <c r="O98" s="266"/>
      <c r="P98" s="71"/>
      <c r="Q98" s="265"/>
      <c r="R98" s="265"/>
      <c r="S98" s="71"/>
      <c r="T98" s="71"/>
      <c r="U98" s="267"/>
      <c r="V98" s="267"/>
      <c r="W98" s="268"/>
      <c r="X98" s="254">
        <f>tbl_明細[[#This Row],[仕入価格]]*tbl_明細[[#This Row],[数量]]+tbl_明細[[#This Row],[仕入価格（M)]]*tbl_明細[[#This Row],[数量（M)]]</f>
        <v>2700</v>
      </c>
      <c r="Y98" s="254">
        <f>tbl_明細[[#This Row],[販売価格（売値）]]*tbl_明細[[#This Row],[数量]]+tbl_明細[[#This Row],[販売価格（M)]]*tbl_明細[[#This Row],[数量（M)]]</f>
        <v>3180</v>
      </c>
      <c r="Z98" s="257" t="str">
        <f>_xlfn.XLOOKUP(tbl_明細[[#This Row],[案件番号]],tbl_案件追跡[案件番号],tbl_案件追跡[受注],"",0,1)</f>
        <v/>
      </c>
      <c r="AA98" s="228">
        <f>tbl_明細[[#This Row],[販売価格（売値）]]+tbl_明細[[#This Row],[販売価格（M)]]</f>
        <v>318</v>
      </c>
      <c r="AB98" s="261">
        <f>tbl_明細[[#This Row],[販売価格（売値）]]*1.08+tbl_明細[[#This Row],[販売価格（M)]]*1.08</f>
        <v>343.44</v>
      </c>
    </row>
    <row r="99" spans="1:28">
      <c r="A99" s="73" t="s">
        <v>1954</v>
      </c>
      <c r="B99" s="77">
        <f>IF(ISBLANK(tbl_明細[[#This Row],[案件番号]]),"",COUNTIFS($A$3:A99,tbl_明細[[#This Row],[案件番号]],$AA$3:AA99,"&gt;0"))</f>
        <v>48</v>
      </c>
      <c r="C99" s="71">
        <f>COUNTIFS($A$3:A99,tbl_明細[[#This Row],[案件番号]],$F$3:F99,tbl_明細[[#This Row],[仕入先]])</f>
        <v>9</v>
      </c>
      <c r="D99" s="77" t="str">
        <f>_xlfn.XLOOKUP(tbl_明細[[#This Row],[案件番号]],tbl_採番[案件番号],tbl_採番[顧客],"",0,1)</f>
        <v>加古川ヤマトヤシキ</v>
      </c>
      <c r="E99" s="71" t="s">
        <v>2007</v>
      </c>
      <c r="F99" s="118" t="str">
        <f>IF(ISBLANK(tbl_明細[[#This Row],[仕入先（M)]]),_xlfn.XLOOKUP(tbl_明細[[#This Row],[商品ID]],商品マスタ[商品連番],商品マスタ[仕入先],"",0,1),tbl_明細[[#This Row],[仕入先（M)]])</f>
        <v>ヤマニ野口水産</v>
      </c>
      <c r="G99" s="112" t="str">
        <f>IF(ISBLANK(tbl_明細[[#This Row],[商品名（M)]]),_xlfn.XLOOKUP(tbl_明細[[#This Row],[商品ID]],商品マスタ[商品連番],商品マスタ[商品名],"",0,),tbl_明細[[#This Row],[商品名（M)]])</f>
        <v>にしん本燻</v>
      </c>
      <c r="H99" s="80">
        <f>IF(ISBLANK(tbl_明細[[#This Row],[仕入価格（M)]]),_xlfn.XLOOKUP(tbl_明細[[#This Row],[商品ID]],商品マスタ[商品連番],商品マスタ[仕入
単価],"",0,1),tbl_明細[[#This Row],[仕入価格（M)]])</f>
        <v>700</v>
      </c>
      <c r="I99" s="80">
        <f>_xlfn.XLOOKUP(tbl_明細[[#This Row],[商品ID]],商品マスタ[商品連番],商品マスタ[国内定価
（15％）],"",0,1)</f>
        <v>830</v>
      </c>
      <c r="J99" s="265">
        <v>824</v>
      </c>
      <c r="K99" s="71">
        <v>10</v>
      </c>
      <c r="L99" s="77" t="str">
        <f>_xlfn.XLOOKUP(tbl_明細[[#This Row],[商品ID]],商品マスタ[商品連番],商品マスタ[単位],"",0,1)</f>
        <v>袋</v>
      </c>
      <c r="M99" s="249">
        <f>1-tbl_明細[[#This Row],[仕入価格]]/tbl_明細[[#This Row],[販売価格（売値）]]</f>
        <v>0.15048543689320393</v>
      </c>
      <c r="N99" s="189">
        <f>_xlfn.XLOOKUP(tbl_明細[[#This Row],[商品ID]],商品マスタ[商品連番],商品マスタ[税率],"",0,1)</f>
        <v>0.08</v>
      </c>
      <c r="O99" s="266"/>
      <c r="P99" s="71"/>
      <c r="Q99" s="265"/>
      <c r="R99" s="265"/>
      <c r="S99" s="71"/>
      <c r="T99" s="71"/>
      <c r="U99" s="267"/>
      <c r="V99" s="267"/>
      <c r="W99" s="268"/>
      <c r="X99" s="254">
        <f>tbl_明細[[#This Row],[仕入価格]]*tbl_明細[[#This Row],[数量]]+tbl_明細[[#This Row],[仕入価格（M)]]*tbl_明細[[#This Row],[数量（M)]]</f>
        <v>7000</v>
      </c>
      <c r="Y99" s="254">
        <f>tbl_明細[[#This Row],[販売価格（売値）]]*tbl_明細[[#This Row],[数量]]+tbl_明細[[#This Row],[販売価格（M)]]*tbl_明細[[#This Row],[数量（M)]]</f>
        <v>8240</v>
      </c>
      <c r="Z99" s="257" t="str">
        <f>_xlfn.XLOOKUP(tbl_明細[[#This Row],[案件番号]],tbl_案件追跡[案件番号],tbl_案件追跡[受注],"",0,1)</f>
        <v/>
      </c>
      <c r="AA99" s="228">
        <f>tbl_明細[[#This Row],[販売価格（売値）]]+tbl_明細[[#This Row],[販売価格（M)]]</f>
        <v>824</v>
      </c>
      <c r="AB99" s="261">
        <f>tbl_明細[[#This Row],[販売価格（売値）]]*1.08+tbl_明細[[#This Row],[販売価格（M)]]*1.08</f>
        <v>889.92000000000007</v>
      </c>
    </row>
    <row r="100" spans="1:28">
      <c r="A100" s="73" t="s">
        <v>1954</v>
      </c>
      <c r="B100" s="77">
        <f>IF(ISBLANK(tbl_明細[[#This Row],[案件番号]]),"",COUNTIFS($A$3:A100,tbl_明細[[#This Row],[案件番号]],$AA$3:AA100,"&gt;0"))</f>
        <v>49</v>
      </c>
      <c r="C100" s="71">
        <f>COUNTIFS($A$3:A100,tbl_明細[[#This Row],[案件番号]],$F$3:F100,tbl_明細[[#This Row],[仕入先]])</f>
        <v>10</v>
      </c>
      <c r="D100" s="77" t="str">
        <f>_xlfn.XLOOKUP(tbl_明細[[#This Row],[案件番号]],tbl_採番[案件番号],tbl_採番[顧客],"",0,1)</f>
        <v>加古川ヤマトヤシキ</v>
      </c>
      <c r="E100" s="71" t="s">
        <v>2008</v>
      </c>
      <c r="F100" s="118" t="str">
        <f>IF(ISBLANK(tbl_明細[[#This Row],[仕入先（M)]]),_xlfn.XLOOKUP(tbl_明細[[#This Row],[商品ID]],商品マスタ[商品連番],商品マスタ[仕入先],"",0,1),tbl_明細[[#This Row],[仕入先（M)]])</f>
        <v>ヤマニ野口水産</v>
      </c>
      <c r="G100" s="112" t="str">
        <f>IF(ISBLANK(tbl_明細[[#This Row],[商品名（M)]]),_xlfn.XLOOKUP(tbl_明細[[#This Row],[商品ID]],商品マスタ[商品連番],商品マスタ[商品名],"",0,),tbl_明細[[#This Row],[商品名（M)]])</f>
        <v>こぼれ数の子燻製</v>
      </c>
      <c r="H100" s="80">
        <f>IF(ISBLANK(tbl_明細[[#This Row],[仕入価格（M)]]),_xlfn.XLOOKUP(tbl_明細[[#This Row],[商品ID]],商品マスタ[商品連番],商品マスタ[仕入
単価],"",0,1),tbl_明細[[#This Row],[仕入価格（M)]])</f>
        <v>320</v>
      </c>
      <c r="I100" s="80">
        <f>_xlfn.XLOOKUP(tbl_明細[[#This Row],[商品ID]],商品マスタ[商品連番],商品マスタ[国内定価
（15％）],"",0,1)</f>
        <v>380</v>
      </c>
      <c r="J100" s="265">
        <v>376</v>
      </c>
      <c r="K100" s="71">
        <v>20</v>
      </c>
      <c r="L100" s="77" t="str">
        <f>_xlfn.XLOOKUP(tbl_明細[[#This Row],[商品ID]],商品マスタ[商品連番],商品マスタ[単位],"",0,1)</f>
        <v>袋</v>
      </c>
      <c r="M100" s="249">
        <f>1-tbl_明細[[#This Row],[仕入価格]]/tbl_明細[[#This Row],[販売価格（売値）]]</f>
        <v>0.14893617021276595</v>
      </c>
      <c r="N100" s="189">
        <f>_xlfn.XLOOKUP(tbl_明細[[#This Row],[商品ID]],商品マスタ[商品連番],商品マスタ[税率],"",0,1)</f>
        <v>0.08</v>
      </c>
      <c r="O100" s="266"/>
      <c r="P100" s="71"/>
      <c r="Q100" s="265"/>
      <c r="R100" s="265"/>
      <c r="S100" s="71"/>
      <c r="T100" s="71"/>
      <c r="U100" s="267"/>
      <c r="V100" s="267"/>
      <c r="W100" s="268"/>
      <c r="X100" s="254">
        <f>tbl_明細[[#This Row],[仕入価格]]*tbl_明細[[#This Row],[数量]]+tbl_明細[[#This Row],[仕入価格（M)]]*tbl_明細[[#This Row],[数量（M)]]</f>
        <v>6400</v>
      </c>
      <c r="Y100" s="254">
        <f>tbl_明細[[#This Row],[販売価格（売値）]]*tbl_明細[[#This Row],[数量]]+tbl_明細[[#This Row],[販売価格（M)]]*tbl_明細[[#This Row],[数量（M)]]</f>
        <v>7520</v>
      </c>
      <c r="Z100" s="257" t="str">
        <f>_xlfn.XLOOKUP(tbl_明細[[#This Row],[案件番号]],tbl_案件追跡[案件番号],tbl_案件追跡[受注],"",0,1)</f>
        <v/>
      </c>
      <c r="AA100" s="228">
        <f>tbl_明細[[#This Row],[販売価格（売値）]]+tbl_明細[[#This Row],[販売価格（M)]]</f>
        <v>376</v>
      </c>
      <c r="AB100" s="261">
        <f>tbl_明細[[#This Row],[販売価格（売値）]]*1.08+tbl_明細[[#This Row],[販売価格（M)]]*1.08</f>
        <v>406.08000000000004</v>
      </c>
    </row>
    <row r="101" spans="1:28">
      <c r="A101" s="73" t="s">
        <v>1954</v>
      </c>
      <c r="B101" s="77">
        <f>IF(ISBLANK(tbl_明細[[#This Row],[案件番号]]),"",COUNTIFS($A$3:A101,tbl_明細[[#This Row],[案件番号]],$AA$3:AA101,"&gt;0"))</f>
        <v>50</v>
      </c>
      <c r="C101" s="71">
        <f>COUNTIFS($A$3:A101,tbl_明細[[#This Row],[案件番号]],$F$3:F101,tbl_明細[[#This Row],[仕入先]])</f>
        <v>11</v>
      </c>
      <c r="D101" s="77" t="str">
        <f>_xlfn.XLOOKUP(tbl_明細[[#This Row],[案件番号]],tbl_採番[案件番号],tbl_採番[顧客],"",0,1)</f>
        <v>加古川ヤマトヤシキ</v>
      </c>
      <c r="E101" s="71" t="s">
        <v>2009</v>
      </c>
      <c r="F101" s="118" t="str">
        <f>IF(ISBLANK(tbl_明細[[#This Row],[仕入先（M)]]),_xlfn.XLOOKUP(tbl_明細[[#This Row],[商品ID]],商品マスタ[商品連番],商品マスタ[仕入先],"",0,1),tbl_明細[[#This Row],[仕入先（M)]])</f>
        <v>ヤマニ野口水産</v>
      </c>
      <c r="G101" s="112" t="str">
        <f>IF(ISBLANK(tbl_明細[[#This Row],[商品名（M)]]),_xlfn.XLOOKUP(tbl_明細[[#This Row],[商品ID]],商品マスタ[商品連番],商品マスタ[商品名],"",0,),tbl_明細[[#This Row],[商品名（M)]])</f>
        <v>鮭フレーク</v>
      </c>
      <c r="H101" s="80">
        <f>IF(ISBLANK(tbl_明細[[#This Row],[仕入価格（M)]]),_xlfn.XLOOKUP(tbl_明細[[#This Row],[商品ID]],商品マスタ[商品連番],商品マスタ[仕入
単価],"",0,1),tbl_明細[[#This Row],[仕入価格（M)]])</f>
        <v>330</v>
      </c>
      <c r="I101" s="80">
        <f>_xlfn.XLOOKUP(tbl_明細[[#This Row],[商品ID]],商品マスタ[商品連番],商品マスタ[国内定価
（15％）],"",0,1)</f>
        <v>390</v>
      </c>
      <c r="J101" s="265">
        <v>388</v>
      </c>
      <c r="K101" s="71">
        <v>20</v>
      </c>
      <c r="L101" s="77" t="str">
        <f>_xlfn.XLOOKUP(tbl_明細[[#This Row],[商品ID]],商品マスタ[商品連番],商品マスタ[単位],"",0,1)</f>
        <v>袋</v>
      </c>
      <c r="M101" s="249">
        <f>1-tbl_明細[[#This Row],[仕入価格]]/tbl_明細[[#This Row],[販売価格（売値）]]</f>
        <v>0.14948453608247425</v>
      </c>
      <c r="N101" s="189">
        <f>_xlfn.XLOOKUP(tbl_明細[[#This Row],[商品ID]],商品マスタ[商品連番],商品マスタ[税率],"",0,1)</f>
        <v>0.08</v>
      </c>
      <c r="O101" s="266"/>
      <c r="P101" s="71"/>
      <c r="Q101" s="265"/>
      <c r="R101" s="265"/>
      <c r="S101" s="71"/>
      <c r="T101" s="71"/>
      <c r="U101" s="267"/>
      <c r="V101" s="267"/>
      <c r="W101" s="268"/>
      <c r="X101" s="254">
        <f>tbl_明細[[#This Row],[仕入価格]]*tbl_明細[[#This Row],[数量]]+tbl_明細[[#This Row],[仕入価格（M)]]*tbl_明細[[#This Row],[数量（M)]]</f>
        <v>6600</v>
      </c>
      <c r="Y101" s="254">
        <f>tbl_明細[[#This Row],[販売価格（売値）]]*tbl_明細[[#This Row],[数量]]+tbl_明細[[#This Row],[販売価格（M)]]*tbl_明細[[#This Row],[数量（M)]]</f>
        <v>7760</v>
      </c>
      <c r="Z101" s="257" t="str">
        <f>_xlfn.XLOOKUP(tbl_明細[[#This Row],[案件番号]],tbl_案件追跡[案件番号],tbl_案件追跡[受注],"",0,1)</f>
        <v/>
      </c>
      <c r="AA101" s="228">
        <f>tbl_明細[[#This Row],[販売価格（売値）]]+tbl_明細[[#This Row],[販売価格（M)]]</f>
        <v>388</v>
      </c>
      <c r="AB101" s="261">
        <f>tbl_明細[[#This Row],[販売価格（売値）]]*1.08+tbl_明細[[#This Row],[販売価格（M)]]*1.08</f>
        <v>419.04</v>
      </c>
    </row>
    <row r="102" spans="1:28">
      <c r="A102" s="73" t="s">
        <v>1954</v>
      </c>
      <c r="B102" s="77">
        <f>IF(ISBLANK(tbl_明細[[#This Row],[案件番号]]),"",COUNTIFS($A$3:A102,tbl_明細[[#This Row],[案件番号]],$AA$3:AA102,"&gt;0"))</f>
        <v>51</v>
      </c>
      <c r="C102" s="71">
        <f>COUNTIFS($A$3:A102,tbl_明細[[#This Row],[案件番号]],$F$3:F102,tbl_明細[[#This Row],[仕入先]])</f>
        <v>1</v>
      </c>
      <c r="D102" s="77" t="str">
        <f>_xlfn.XLOOKUP(tbl_明細[[#This Row],[案件番号]],tbl_採番[案件番号],tbl_採番[顧客],"",0,1)</f>
        <v>加古川ヤマトヤシキ</v>
      </c>
      <c r="E102" s="71" t="s">
        <v>2010</v>
      </c>
      <c r="F102" s="118" t="str">
        <f>IF(ISBLANK(tbl_明細[[#This Row],[仕入先（M)]]),_xlfn.XLOOKUP(tbl_明細[[#This Row],[商品ID]],商品マスタ[商品連番],商品マスタ[仕入先],"",0,1),tbl_明細[[#This Row],[仕入先（M)]])</f>
        <v>三海幸</v>
      </c>
      <c r="G102" s="112" t="str">
        <f>IF(ISBLANK(tbl_明細[[#This Row],[商品名（M)]]),_xlfn.XLOOKUP(tbl_明細[[#This Row],[商品ID]],商品マスタ[商品連番],商品マスタ[商品名],"",0,),tbl_明細[[#This Row],[商品名（M)]])</f>
        <v>Ori-Ori あずき甘納豆おちちまめ</v>
      </c>
      <c r="H102" s="80">
        <f>IF(ISBLANK(tbl_明細[[#This Row],[仕入価格（M)]]),_xlfn.XLOOKUP(tbl_明細[[#This Row],[商品ID]],商品マスタ[商品連番],商品マスタ[仕入
単価],"",0,1),tbl_明細[[#This Row],[仕入価格（M)]])</f>
        <v>61</v>
      </c>
      <c r="I102" s="80">
        <f>_xlfn.XLOOKUP(tbl_明細[[#This Row],[商品ID]],商品マスタ[商品連番],商品マスタ[国内定価
（15％）],"",0,1)</f>
        <v>80</v>
      </c>
      <c r="J102" s="265">
        <v>200</v>
      </c>
      <c r="K102" s="71">
        <v>30</v>
      </c>
      <c r="L102" s="77" t="str">
        <f>_xlfn.XLOOKUP(tbl_明細[[#This Row],[商品ID]],商品マスタ[商品連番],商品マスタ[単位],"",0,1)</f>
        <v>袋</v>
      </c>
      <c r="M102" s="249">
        <f>1-tbl_明細[[#This Row],[仕入価格]]/tbl_明細[[#This Row],[販売価格（売値）]]</f>
        <v>0.69500000000000006</v>
      </c>
      <c r="N102" s="189">
        <f>_xlfn.XLOOKUP(tbl_明細[[#This Row],[商品ID]],商品マスタ[商品連番],商品マスタ[税率],"",0,1)</f>
        <v>0.08</v>
      </c>
      <c r="O102" s="266"/>
      <c r="P102" s="71"/>
      <c r="Q102" s="265"/>
      <c r="R102" s="265"/>
      <c r="S102" s="71"/>
      <c r="T102" s="71"/>
      <c r="U102" s="267"/>
      <c r="V102" s="267"/>
      <c r="W102" s="268"/>
      <c r="X102" s="254">
        <f>tbl_明細[[#This Row],[仕入価格]]*tbl_明細[[#This Row],[数量]]+tbl_明細[[#This Row],[仕入価格（M)]]*tbl_明細[[#This Row],[数量（M)]]</f>
        <v>1830</v>
      </c>
      <c r="Y102" s="254">
        <f>tbl_明細[[#This Row],[販売価格（売値）]]*tbl_明細[[#This Row],[数量]]+tbl_明細[[#This Row],[販売価格（M)]]*tbl_明細[[#This Row],[数量（M)]]</f>
        <v>6000</v>
      </c>
      <c r="Z102" s="257" t="str">
        <f>_xlfn.XLOOKUP(tbl_明細[[#This Row],[案件番号]],tbl_案件追跡[案件番号],tbl_案件追跡[受注],"",0,1)</f>
        <v/>
      </c>
      <c r="AA102" s="228">
        <f>tbl_明細[[#This Row],[販売価格（売値）]]+tbl_明細[[#This Row],[販売価格（M)]]</f>
        <v>200</v>
      </c>
      <c r="AB102" s="261">
        <f>tbl_明細[[#This Row],[販売価格（売値）]]*1.08+tbl_明細[[#This Row],[販売価格（M)]]*1.08</f>
        <v>216</v>
      </c>
    </row>
    <row r="103" spans="1:28">
      <c r="A103" s="73" t="s">
        <v>1954</v>
      </c>
      <c r="B103" s="77">
        <f>IF(ISBLANK(tbl_明細[[#This Row],[案件番号]]),"",COUNTIFS($A$3:A103,tbl_明細[[#This Row],[案件番号]],$AA$3:AA103,"&gt;0"))</f>
        <v>52</v>
      </c>
      <c r="C103" s="71">
        <f>COUNTIFS($A$3:A103,tbl_明細[[#This Row],[案件番号]],$F$3:F103,tbl_明細[[#This Row],[仕入先]])</f>
        <v>2</v>
      </c>
      <c r="D103" s="77" t="str">
        <f>_xlfn.XLOOKUP(tbl_明細[[#This Row],[案件番号]],tbl_採番[案件番号],tbl_採番[顧客],"",0,1)</f>
        <v>加古川ヤマトヤシキ</v>
      </c>
      <c r="E103" s="71" t="s">
        <v>2011</v>
      </c>
      <c r="F103" s="118" t="str">
        <f>IF(ISBLANK(tbl_明細[[#This Row],[仕入先（M)]]),_xlfn.XLOOKUP(tbl_明細[[#This Row],[商品ID]],商品マスタ[商品連番],商品マスタ[仕入先],"",0,1),tbl_明細[[#This Row],[仕入先（M)]])</f>
        <v>三海幸</v>
      </c>
      <c r="G103" s="112" t="str">
        <f>IF(ISBLANK(tbl_明細[[#This Row],[商品名（M)]]),_xlfn.XLOOKUP(tbl_明細[[#This Row],[商品ID]],商品マスタ[商品連番],商品マスタ[商品名],"",0,),tbl_明細[[#This Row],[商品名（M)]])</f>
        <v>Ori-Ori おちちくるみ</v>
      </c>
      <c r="H103" s="80">
        <f>IF(ISBLANK(tbl_明細[[#This Row],[仕入価格（M)]]),_xlfn.XLOOKUP(tbl_明細[[#This Row],[商品ID]],商品マスタ[商品連番],商品マスタ[仕入
単価],"",0,1),tbl_明細[[#This Row],[仕入価格（M)]])</f>
        <v>61</v>
      </c>
      <c r="I103" s="80">
        <f>_xlfn.XLOOKUP(tbl_明細[[#This Row],[商品ID]],商品マスタ[商品連番],商品マスタ[国内定価
（15％）],"",0,1)</f>
        <v>80</v>
      </c>
      <c r="J103" s="265">
        <v>200</v>
      </c>
      <c r="K103" s="71">
        <v>30</v>
      </c>
      <c r="L103" s="77" t="str">
        <f>_xlfn.XLOOKUP(tbl_明細[[#This Row],[商品ID]],商品マスタ[商品連番],商品マスタ[単位],"",0,1)</f>
        <v>袋</v>
      </c>
      <c r="M103" s="249">
        <f>1-tbl_明細[[#This Row],[仕入価格]]/tbl_明細[[#This Row],[販売価格（売値）]]</f>
        <v>0.69500000000000006</v>
      </c>
      <c r="N103" s="189">
        <f>_xlfn.XLOOKUP(tbl_明細[[#This Row],[商品ID]],商品マスタ[商品連番],商品マスタ[税率],"",0,1)</f>
        <v>0.08</v>
      </c>
      <c r="O103" s="266"/>
      <c r="P103" s="71"/>
      <c r="Q103" s="265"/>
      <c r="R103" s="265"/>
      <c r="S103" s="71"/>
      <c r="T103" s="71"/>
      <c r="U103" s="267"/>
      <c r="V103" s="267"/>
      <c r="W103" s="268"/>
      <c r="X103" s="254">
        <f>tbl_明細[[#This Row],[仕入価格]]*tbl_明細[[#This Row],[数量]]+tbl_明細[[#This Row],[仕入価格（M)]]*tbl_明細[[#This Row],[数量（M)]]</f>
        <v>1830</v>
      </c>
      <c r="Y103" s="254">
        <f>tbl_明細[[#This Row],[販売価格（売値）]]*tbl_明細[[#This Row],[数量]]+tbl_明細[[#This Row],[販売価格（M)]]*tbl_明細[[#This Row],[数量（M)]]</f>
        <v>6000</v>
      </c>
      <c r="Z103" s="257" t="str">
        <f>_xlfn.XLOOKUP(tbl_明細[[#This Row],[案件番号]],tbl_案件追跡[案件番号],tbl_案件追跡[受注],"",0,1)</f>
        <v/>
      </c>
      <c r="AA103" s="228">
        <f>tbl_明細[[#This Row],[販売価格（売値）]]+tbl_明細[[#This Row],[販売価格（M)]]</f>
        <v>200</v>
      </c>
      <c r="AB103" s="261">
        <f>tbl_明細[[#This Row],[販売価格（売値）]]*1.08+tbl_明細[[#This Row],[販売価格（M)]]*1.08</f>
        <v>216</v>
      </c>
    </row>
    <row r="104" spans="1:28">
      <c r="A104" s="73" t="s">
        <v>1954</v>
      </c>
      <c r="B104" s="77">
        <f>IF(ISBLANK(tbl_明細[[#This Row],[案件番号]]),"",COUNTIFS($A$3:A104,tbl_明細[[#This Row],[案件番号]],$AA$3:AA104,"&gt;0"))</f>
        <v>53</v>
      </c>
      <c r="C104" s="71">
        <f>COUNTIFS($A$3:A104,tbl_明細[[#This Row],[案件番号]],$F$3:F104,tbl_明細[[#This Row],[仕入先]])</f>
        <v>3</v>
      </c>
      <c r="D104" s="77" t="str">
        <f>_xlfn.XLOOKUP(tbl_明細[[#This Row],[案件番号]],tbl_採番[案件番号],tbl_採番[顧客],"",0,1)</f>
        <v>加古川ヤマトヤシキ</v>
      </c>
      <c r="E104" s="71" t="s">
        <v>1969</v>
      </c>
      <c r="F104" s="118" t="str">
        <f>IF(ISBLANK(tbl_明細[[#This Row],[仕入先（M)]]),_xlfn.XLOOKUP(tbl_明細[[#This Row],[商品ID]],商品マスタ[商品連番],商品マスタ[仕入先],"",0,1),tbl_明細[[#This Row],[仕入先（M)]])</f>
        <v>三海幸</v>
      </c>
      <c r="G104" s="112" t="str">
        <f>IF(ISBLANK(tbl_明細[[#This Row],[商品名（M)]]),_xlfn.XLOOKUP(tbl_明細[[#This Row],[商品ID]],商品マスタ[商品連番],商品マスタ[商品名],"",0,),tbl_明細[[#This Row],[商品名（M)]])</f>
        <v>宇治抹茶あずき甘納豆おちちまめ</v>
      </c>
      <c r="H104" s="80" t="str">
        <f>IF(ISBLANK(tbl_明細[[#This Row],[仕入価格（M)]]),_xlfn.XLOOKUP(tbl_明細[[#This Row],[商品ID]],商品マスタ[商品連番],商品マスタ[仕入
単価],"",0,1),tbl_明細[[#This Row],[仕入価格（M)]])</f>
        <v/>
      </c>
      <c r="I104" s="80" t="str">
        <f>_xlfn.XLOOKUP(tbl_明細[[#This Row],[商品ID]],商品マスタ[商品連番],商品マスタ[国内定価
（15％）],"",0,1)</f>
        <v/>
      </c>
      <c r="J104" s="265"/>
      <c r="K104" s="71"/>
      <c r="L104" s="77" t="str">
        <f>_xlfn.XLOOKUP(tbl_明細[[#This Row],[商品ID]],商品マスタ[商品連番],商品マスタ[単位],"",0,1)</f>
        <v/>
      </c>
      <c r="M104" s="249" t="e">
        <f>1-tbl_明細[[#This Row],[仕入価格]]/tbl_明細[[#This Row],[販売価格（売値）]]</f>
        <v>#VALUE!</v>
      </c>
      <c r="N104" s="189" t="str">
        <f>_xlfn.XLOOKUP(tbl_明細[[#This Row],[商品ID]],商品マスタ[商品連番],商品マスタ[税率],"",0,1)</f>
        <v/>
      </c>
      <c r="O104" s="266" t="s">
        <v>52</v>
      </c>
      <c r="P104" s="71" t="s">
        <v>2012</v>
      </c>
      <c r="Q104" s="265"/>
      <c r="R104" s="265">
        <v>200</v>
      </c>
      <c r="S104" s="71">
        <v>20</v>
      </c>
      <c r="T104" s="71" t="s">
        <v>795</v>
      </c>
      <c r="U104" s="267">
        <v>0.08</v>
      </c>
      <c r="V104" s="267"/>
      <c r="W104" s="268"/>
      <c r="X104" s="254" t="e">
        <f>tbl_明細[[#This Row],[仕入価格]]*tbl_明細[[#This Row],[数量]]+tbl_明細[[#This Row],[仕入価格（M)]]*tbl_明細[[#This Row],[数量（M)]]</f>
        <v>#VALUE!</v>
      </c>
      <c r="Y104" s="254">
        <f>tbl_明細[[#This Row],[販売価格（売値）]]*tbl_明細[[#This Row],[数量]]+tbl_明細[[#This Row],[販売価格（M)]]*tbl_明細[[#This Row],[数量（M)]]</f>
        <v>4000</v>
      </c>
      <c r="Z104" s="257" t="str">
        <f>_xlfn.XLOOKUP(tbl_明細[[#This Row],[案件番号]],tbl_案件追跡[案件番号],tbl_案件追跡[受注],"",0,1)</f>
        <v/>
      </c>
      <c r="AA104" s="228">
        <f>tbl_明細[[#This Row],[販売価格（売値）]]+tbl_明細[[#This Row],[販売価格（M)]]</f>
        <v>200</v>
      </c>
      <c r="AB104" s="261">
        <f>tbl_明細[[#This Row],[販売価格（売値）]]*1.08+tbl_明細[[#This Row],[販売価格（M)]]*1.08</f>
        <v>216</v>
      </c>
    </row>
    <row r="105" spans="1:28">
      <c r="A105" s="73" t="s">
        <v>1954</v>
      </c>
      <c r="B105" s="77">
        <f>IF(ISBLANK(tbl_明細[[#This Row],[案件番号]]),"",COUNTIFS($A$3:A105,tbl_明細[[#This Row],[案件番号]],$AA$3:AA105,"&gt;0"))</f>
        <v>54</v>
      </c>
      <c r="C105" s="71">
        <f>COUNTIFS($A$3:A105,tbl_明細[[#This Row],[案件番号]],$F$3:F105,tbl_明細[[#This Row],[仕入先]])</f>
        <v>4</v>
      </c>
      <c r="D105" s="77" t="str">
        <f>_xlfn.XLOOKUP(tbl_明細[[#This Row],[案件番号]],tbl_採番[案件番号],tbl_採番[顧客],"",0,1)</f>
        <v>加古川ヤマトヤシキ</v>
      </c>
      <c r="E105" s="71" t="s">
        <v>2013</v>
      </c>
      <c r="F105" s="118" t="str">
        <f>IF(ISBLANK(tbl_明細[[#This Row],[仕入先（M)]]),_xlfn.XLOOKUP(tbl_明細[[#This Row],[商品ID]],商品マスタ[商品連番],商品マスタ[仕入先],"",0,1),tbl_明細[[#This Row],[仕入先（M)]])</f>
        <v>三海幸</v>
      </c>
      <c r="G105" s="112" t="str">
        <f>IF(ISBLANK(tbl_明細[[#This Row],[商品名（M)]]),_xlfn.XLOOKUP(tbl_明細[[#This Row],[商品ID]],商品マスタ[商品連番],商品マスタ[商品名],"",0,),tbl_明細[[#This Row],[商品名（M)]])</f>
        <v>がっつりタコ風味のおつまみイカ</v>
      </c>
      <c r="H105" s="80">
        <f>IF(ISBLANK(tbl_明細[[#This Row],[仕入価格（M)]]),_xlfn.XLOOKUP(tbl_明細[[#This Row],[商品ID]],商品マスタ[商品連番],商品マスタ[仕入
単価],"",0,1),tbl_明細[[#This Row],[仕入価格（M)]])</f>
        <v>300</v>
      </c>
      <c r="I105" s="80">
        <f>_xlfn.XLOOKUP(tbl_明細[[#This Row],[商品ID]],商品マスタ[商品連番],商品マスタ[国内定価
（15％）],"",0,1)</f>
        <v>390</v>
      </c>
      <c r="J105" s="265">
        <v>400</v>
      </c>
      <c r="K105" s="71">
        <v>20</v>
      </c>
      <c r="L105" s="77" t="str">
        <f>_xlfn.XLOOKUP(tbl_明細[[#This Row],[商品ID]],商品マスタ[商品連番],商品マスタ[単位],"",0,1)</f>
        <v>個</v>
      </c>
      <c r="M105" s="249">
        <f>1-tbl_明細[[#This Row],[仕入価格]]/tbl_明細[[#This Row],[販売価格（売値）]]</f>
        <v>0.25</v>
      </c>
      <c r="N105" s="189">
        <f>_xlfn.XLOOKUP(tbl_明細[[#This Row],[商品ID]],商品マスタ[商品連番],商品マスタ[税率],"",0,1)</f>
        <v>0.08</v>
      </c>
      <c r="O105" s="266"/>
      <c r="P105" s="71"/>
      <c r="Q105" s="265"/>
      <c r="R105" s="265"/>
      <c r="S105" s="71"/>
      <c r="T105" s="71"/>
      <c r="U105" s="267"/>
      <c r="V105" s="267"/>
      <c r="W105" s="268"/>
      <c r="X105" s="254">
        <f>tbl_明細[[#This Row],[仕入価格]]*tbl_明細[[#This Row],[数量]]+tbl_明細[[#This Row],[仕入価格（M)]]*tbl_明細[[#This Row],[数量（M)]]</f>
        <v>6000</v>
      </c>
      <c r="Y105" s="254">
        <f>tbl_明細[[#This Row],[販売価格（売値）]]*tbl_明細[[#This Row],[数量]]+tbl_明細[[#This Row],[販売価格（M)]]*tbl_明細[[#This Row],[数量（M)]]</f>
        <v>8000</v>
      </c>
      <c r="Z105" s="257" t="str">
        <f>_xlfn.XLOOKUP(tbl_明細[[#This Row],[案件番号]],tbl_案件追跡[案件番号],tbl_案件追跡[受注],"",0,1)</f>
        <v/>
      </c>
      <c r="AA105" s="228">
        <f>tbl_明細[[#This Row],[販売価格（売値）]]+tbl_明細[[#This Row],[販売価格（M)]]</f>
        <v>400</v>
      </c>
      <c r="AB105" s="261">
        <f>tbl_明細[[#This Row],[販売価格（売値）]]*1.08+tbl_明細[[#This Row],[販売価格（M)]]*1.08</f>
        <v>432</v>
      </c>
    </row>
    <row r="106" spans="1:28">
      <c r="A106" s="73" t="s">
        <v>1954</v>
      </c>
      <c r="B106" s="77">
        <f>IF(ISBLANK(tbl_明細[[#This Row],[案件番号]]),"",COUNTIFS($A$3:A106,tbl_明細[[#This Row],[案件番号]],$AA$3:AA106,"&gt;0"))</f>
        <v>55</v>
      </c>
      <c r="C106" s="71">
        <f>COUNTIFS($A$3:A106,tbl_明細[[#This Row],[案件番号]],$F$3:F106,tbl_明細[[#This Row],[仕入先]])</f>
        <v>5</v>
      </c>
      <c r="D106" s="77" t="str">
        <f>_xlfn.XLOOKUP(tbl_明細[[#This Row],[案件番号]],tbl_採番[案件番号],tbl_採番[顧客],"",0,1)</f>
        <v>加古川ヤマトヤシキ</v>
      </c>
      <c r="E106" s="71" t="s">
        <v>2014</v>
      </c>
      <c r="F106" s="118" t="str">
        <f>IF(ISBLANK(tbl_明細[[#This Row],[仕入先（M)]]),_xlfn.XLOOKUP(tbl_明細[[#This Row],[商品ID]],商品マスタ[商品連番],商品マスタ[仕入先],"",0,1),tbl_明細[[#This Row],[仕入先（M)]])</f>
        <v>三海幸</v>
      </c>
      <c r="G106" s="112" t="str">
        <f>IF(ISBLANK(tbl_明細[[#This Row],[商品名（M)]]),_xlfn.XLOOKUP(tbl_明細[[#This Row],[商品ID]],商品マスタ[商品連番],商品マスタ[商品名],"",0,),tbl_明細[[#This Row],[商品名（M)]])</f>
        <v>がっつりチーズのやわらかイカ</v>
      </c>
      <c r="H106" s="80">
        <f>IF(ISBLANK(tbl_明細[[#This Row],[仕入価格（M)]]),_xlfn.XLOOKUP(tbl_明細[[#This Row],[商品ID]],商品マスタ[商品連番],商品マスタ[仕入
単価],"",0,1),tbl_明細[[#This Row],[仕入価格（M)]])</f>
        <v>300</v>
      </c>
      <c r="I106" s="80">
        <f>_xlfn.XLOOKUP(tbl_明細[[#This Row],[商品ID]],商品マスタ[商品連番],商品マスタ[国内定価
（15％）],"",0,1)</f>
        <v>390</v>
      </c>
      <c r="J106" s="265">
        <v>400</v>
      </c>
      <c r="K106" s="71">
        <v>20</v>
      </c>
      <c r="L106" s="77" t="str">
        <f>_xlfn.XLOOKUP(tbl_明細[[#This Row],[商品ID]],商品マスタ[商品連番],商品マスタ[単位],"",0,1)</f>
        <v>個</v>
      </c>
      <c r="M106" s="249">
        <f>1-tbl_明細[[#This Row],[仕入価格]]/tbl_明細[[#This Row],[販売価格（売値）]]</f>
        <v>0.25</v>
      </c>
      <c r="N106" s="189">
        <f>_xlfn.XLOOKUP(tbl_明細[[#This Row],[商品ID]],商品マスタ[商品連番],商品マスタ[税率],"",0,1)</f>
        <v>0.08</v>
      </c>
      <c r="O106" s="266"/>
      <c r="P106" s="71"/>
      <c r="Q106" s="265"/>
      <c r="R106" s="265"/>
      <c r="S106" s="71"/>
      <c r="T106" s="71"/>
      <c r="U106" s="267"/>
      <c r="V106" s="267"/>
      <c r="W106" s="268"/>
      <c r="X106" s="254">
        <f>tbl_明細[[#This Row],[仕入価格]]*tbl_明細[[#This Row],[数量]]+tbl_明細[[#This Row],[仕入価格（M)]]*tbl_明細[[#This Row],[数量（M)]]</f>
        <v>6000</v>
      </c>
      <c r="Y106" s="254">
        <f>tbl_明細[[#This Row],[販売価格（売値）]]*tbl_明細[[#This Row],[数量]]+tbl_明細[[#This Row],[販売価格（M)]]*tbl_明細[[#This Row],[数量（M)]]</f>
        <v>8000</v>
      </c>
      <c r="Z106" s="257" t="str">
        <f>_xlfn.XLOOKUP(tbl_明細[[#This Row],[案件番号]],tbl_案件追跡[案件番号],tbl_案件追跡[受注],"",0,1)</f>
        <v/>
      </c>
      <c r="AA106" s="228">
        <f>tbl_明細[[#This Row],[販売価格（売値）]]+tbl_明細[[#This Row],[販売価格（M)]]</f>
        <v>400</v>
      </c>
      <c r="AB106" s="261">
        <f>tbl_明細[[#This Row],[販売価格（売値）]]*1.08+tbl_明細[[#This Row],[販売価格（M)]]*1.08</f>
        <v>432</v>
      </c>
    </row>
    <row r="107" spans="1:28">
      <c r="A107" s="73" t="s">
        <v>1954</v>
      </c>
      <c r="B107" s="77">
        <f>IF(ISBLANK(tbl_明細[[#This Row],[案件番号]]),"",COUNTIFS($A$3:A107,tbl_明細[[#This Row],[案件番号]],$AA$3:AA107,"&gt;0"))</f>
        <v>56</v>
      </c>
      <c r="C107" s="71">
        <f>COUNTIFS($A$3:A107,tbl_明細[[#This Row],[案件番号]],$F$3:F107,tbl_明細[[#This Row],[仕入先]])</f>
        <v>6</v>
      </c>
      <c r="D107" s="77" t="str">
        <f>_xlfn.XLOOKUP(tbl_明細[[#This Row],[案件番号]],tbl_採番[案件番号],tbl_採番[顧客],"",0,1)</f>
        <v>加古川ヤマトヤシキ</v>
      </c>
      <c r="E107" s="71" t="s">
        <v>2015</v>
      </c>
      <c r="F107" s="118" t="str">
        <f>IF(ISBLANK(tbl_明細[[#This Row],[仕入先（M)]]),_xlfn.XLOOKUP(tbl_明細[[#This Row],[商品ID]],商品マスタ[商品連番],商品マスタ[仕入先],"",0,1),tbl_明細[[#This Row],[仕入先（M)]])</f>
        <v>三海幸</v>
      </c>
      <c r="G107" s="112" t="str">
        <f>IF(ISBLANK(tbl_明細[[#This Row],[商品名（M)]]),_xlfn.XLOOKUP(tbl_明細[[#This Row],[商品ID]],商品マスタ[商品連番],商品マスタ[商品名],"",0,),tbl_明細[[#This Row],[商品名（M)]])</f>
        <v>パリポリ焼き昆布（大袋）</v>
      </c>
      <c r="H107" s="80">
        <f>IF(ISBLANK(tbl_明細[[#This Row],[仕入価格（M)]]),_xlfn.XLOOKUP(tbl_明細[[#This Row],[商品ID]],商品マスタ[商品連番],商品マスタ[仕入
単価],"",0,1),tbl_明細[[#This Row],[仕入価格（M)]])</f>
        <v>237</v>
      </c>
      <c r="I107" s="80">
        <f>_xlfn.XLOOKUP(tbl_明細[[#This Row],[商品ID]],商品マスタ[商品連番],商品マスタ[国内定価
（15％）],"",0,1)</f>
        <v>280</v>
      </c>
      <c r="J107" s="265">
        <v>320</v>
      </c>
      <c r="K107" s="71">
        <v>20</v>
      </c>
      <c r="L107" s="77" t="str">
        <f>_xlfn.XLOOKUP(tbl_明細[[#This Row],[商品ID]],商品マスタ[商品連番],商品マスタ[単位],"",0,1)</f>
        <v>袋</v>
      </c>
      <c r="M107" s="249">
        <f>1-tbl_明細[[#This Row],[仕入価格]]/tbl_明細[[#This Row],[販売価格（売値）]]</f>
        <v>0.25937500000000002</v>
      </c>
      <c r="N107" s="189">
        <f>_xlfn.XLOOKUP(tbl_明細[[#This Row],[商品ID]],商品マスタ[商品連番],商品マスタ[税率],"",0,1)</f>
        <v>0.08</v>
      </c>
      <c r="O107" s="266"/>
      <c r="P107" s="71"/>
      <c r="Q107" s="265"/>
      <c r="R107" s="265"/>
      <c r="S107" s="71"/>
      <c r="T107" s="71"/>
      <c r="U107" s="267"/>
      <c r="V107" s="267"/>
      <c r="W107" s="268"/>
      <c r="X107" s="254">
        <f>tbl_明細[[#This Row],[仕入価格]]*tbl_明細[[#This Row],[数量]]+tbl_明細[[#This Row],[仕入価格（M)]]*tbl_明細[[#This Row],[数量（M)]]</f>
        <v>4740</v>
      </c>
      <c r="Y107" s="254">
        <f>tbl_明細[[#This Row],[販売価格（売値）]]*tbl_明細[[#This Row],[数量]]+tbl_明細[[#This Row],[販売価格（M)]]*tbl_明細[[#This Row],[数量（M)]]</f>
        <v>6400</v>
      </c>
      <c r="Z107" s="257" t="str">
        <f>_xlfn.XLOOKUP(tbl_明細[[#This Row],[案件番号]],tbl_案件追跡[案件番号],tbl_案件追跡[受注],"",0,1)</f>
        <v/>
      </c>
      <c r="AA107" s="228">
        <f>tbl_明細[[#This Row],[販売価格（売値）]]+tbl_明細[[#This Row],[販売価格（M)]]</f>
        <v>320</v>
      </c>
      <c r="AB107" s="261">
        <f>tbl_明細[[#This Row],[販売価格（売値）]]*1.08+tbl_明細[[#This Row],[販売価格（M)]]*1.08</f>
        <v>345.6</v>
      </c>
    </row>
    <row r="108" spans="1:28">
      <c r="A108" s="73" t="s">
        <v>1954</v>
      </c>
      <c r="B108" s="77">
        <f>IF(ISBLANK(tbl_明細[[#This Row],[案件番号]]),"",COUNTIFS($A$3:A108,tbl_明細[[#This Row],[案件番号]],$AA$3:AA108,"&gt;0"))</f>
        <v>57</v>
      </c>
      <c r="C108" s="71">
        <f>COUNTIFS($A$3:A108,tbl_明細[[#This Row],[案件番号]],$F$3:F108,tbl_明細[[#This Row],[仕入先]])</f>
        <v>1</v>
      </c>
      <c r="D108" s="77" t="str">
        <f>_xlfn.XLOOKUP(tbl_明細[[#This Row],[案件番号]],tbl_採番[案件番号],tbl_採番[顧客],"",0,1)</f>
        <v>加古川ヤマトヤシキ</v>
      </c>
      <c r="E108" s="71" t="s">
        <v>1969</v>
      </c>
      <c r="F108" s="118" t="str">
        <f>IF(ISBLANK(tbl_明細[[#This Row],[仕入先（M)]]),_xlfn.XLOOKUP(tbl_明細[[#This Row],[商品ID]],商品マスタ[商品連番],商品マスタ[仕入先],"",0,1),tbl_明細[[#This Row],[仕入先（M)]])</f>
        <v>北海道名阪</v>
      </c>
      <c r="G108" s="112" t="str">
        <f>IF(ISBLANK(tbl_明細[[#This Row],[商品名（M)]]),_xlfn.XLOOKUP(tbl_明細[[#This Row],[商品ID]],商品マスタ[商品連番],商品マスタ[商品名],"",0,),tbl_明細[[#This Row],[商品名（M)]])</f>
        <v>草太郎3個入り</v>
      </c>
      <c r="H108" s="80" t="str">
        <f>IF(ISBLANK(tbl_明細[[#This Row],[仕入価格（M)]]),_xlfn.XLOOKUP(tbl_明細[[#This Row],[商品ID]],商品マスタ[商品連番],商品マスタ[仕入
単価],"",0,1),tbl_明細[[#This Row],[仕入価格（M)]])</f>
        <v/>
      </c>
      <c r="I108" s="80" t="str">
        <f>_xlfn.XLOOKUP(tbl_明細[[#This Row],[商品ID]],商品マスタ[商品連番],商品マスタ[国内定価
（15％）],"",0,1)</f>
        <v/>
      </c>
      <c r="J108" s="265"/>
      <c r="K108" s="71"/>
      <c r="L108" s="77" t="str">
        <f>_xlfn.XLOOKUP(tbl_明細[[#This Row],[商品ID]],商品マスタ[商品連番],商品マスタ[単位],"",0,1)</f>
        <v/>
      </c>
      <c r="M108" s="249" t="e">
        <f>1-tbl_明細[[#This Row],[仕入価格]]/tbl_明細[[#This Row],[販売価格（売値）]]</f>
        <v>#VALUE!</v>
      </c>
      <c r="N108" s="189" t="str">
        <f>_xlfn.XLOOKUP(tbl_明細[[#This Row],[商品ID]],商品マスタ[商品連番],商品マスタ[税率],"",0,1)</f>
        <v/>
      </c>
      <c r="O108" s="266" t="s">
        <v>2016</v>
      </c>
      <c r="P108" s="71" t="s">
        <v>2017</v>
      </c>
      <c r="Q108" s="265"/>
      <c r="R108" s="265">
        <v>500</v>
      </c>
      <c r="S108" s="71">
        <v>24</v>
      </c>
      <c r="T108" s="71" t="s">
        <v>795</v>
      </c>
      <c r="U108" s="267">
        <v>0.08</v>
      </c>
      <c r="V108" s="267"/>
      <c r="W108" s="268"/>
      <c r="X108" s="254" t="e">
        <f>tbl_明細[[#This Row],[仕入価格]]*tbl_明細[[#This Row],[数量]]+tbl_明細[[#This Row],[仕入価格（M)]]*tbl_明細[[#This Row],[数量（M)]]</f>
        <v>#VALUE!</v>
      </c>
      <c r="Y108" s="254">
        <f>tbl_明細[[#This Row],[販売価格（売値）]]*tbl_明細[[#This Row],[数量]]+tbl_明細[[#This Row],[販売価格（M)]]*tbl_明細[[#This Row],[数量（M)]]</f>
        <v>12000</v>
      </c>
      <c r="Z108" s="257" t="str">
        <f>_xlfn.XLOOKUP(tbl_明細[[#This Row],[案件番号]],tbl_案件追跡[案件番号],tbl_案件追跡[受注],"",0,1)</f>
        <v/>
      </c>
      <c r="AA108" s="228">
        <f>tbl_明細[[#This Row],[販売価格（売値）]]+tbl_明細[[#This Row],[販売価格（M)]]</f>
        <v>500</v>
      </c>
      <c r="AB108" s="261">
        <f>tbl_明細[[#This Row],[販売価格（売値）]]*1.08+tbl_明細[[#This Row],[販売価格（M)]]*1.08</f>
        <v>540</v>
      </c>
    </row>
    <row r="109" spans="1:28">
      <c r="A109" s="73" t="s">
        <v>1954</v>
      </c>
      <c r="B109" s="77">
        <f>IF(ISBLANK(tbl_明細[[#This Row],[案件番号]]),"",COUNTIFS($A$3:A109,tbl_明細[[#This Row],[案件番号]],$AA$3:AA109,"&gt;0"))</f>
        <v>58</v>
      </c>
      <c r="C109" s="71">
        <f>COUNTIFS($A$3:A109,tbl_明細[[#This Row],[案件番号]],$F$3:F109,tbl_明細[[#This Row],[仕入先]])</f>
        <v>2</v>
      </c>
      <c r="D109" s="77" t="str">
        <f>_xlfn.XLOOKUP(tbl_明細[[#This Row],[案件番号]],tbl_採番[案件番号],tbl_採番[顧客],"",0,1)</f>
        <v>加古川ヤマトヤシキ</v>
      </c>
      <c r="E109" s="71" t="s">
        <v>1969</v>
      </c>
      <c r="F109" s="118" t="str">
        <f>IF(ISBLANK(tbl_明細[[#This Row],[仕入先（M)]]),_xlfn.XLOOKUP(tbl_明細[[#This Row],[商品ID]],商品マスタ[商品連番],商品マスタ[仕入先],"",0,1),tbl_明細[[#This Row],[仕入先（M)]])</f>
        <v>北海道名阪</v>
      </c>
      <c r="G109" s="112" t="str">
        <f>IF(ISBLANK(tbl_明細[[#This Row],[商品名（M)]]),_xlfn.XLOOKUP(tbl_明細[[#This Row],[商品ID]],商品マスタ[商品連番],商品マスタ[商品名],"",0,),tbl_明細[[#This Row],[商品名（M)]])</f>
        <v>千壽栗3個入り</v>
      </c>
      <c r="H109" s="80" t="str">
        <f>IF(ISBLANK(tbl_明細[[#This Row],[仕入価格（M)]]),_xlfn.XLOOKUP(tbl_明細[[#This Row],[商品ID]],商品マスタ[商品連番],商品マスタ[仕入
単価],"",0,1),tbl_明細[[#This Row],[仕入価格（M)]])</f>
        <v/>
      </c>
      <c r="I109" s="80" t="str">
        <f>_xlfn.XLOOKUP(tbl_明細[[#This Row],[商品ID]],商品マスタ[商品連番],商品マスタ[国内定価
（15％）],"",0,1)</f>
        <v/>
      </c>
      <c r="J109" s="265"/>
      <c r="K109" s="71"/>
      <c r="L109" s="77" t="str">
        <f>_xlfn.XLOOKUP(tbl_明細[[#This Row],[商品ID]],商品マスタ[商品連番],商品マスタ[単位],"",0,1)</f>
        <v/>
      </c>
      <c r="M109" s="249" t="e">
        <f>1-tbl_明細[[#This Row],[仕入価格]]/tbl_明細[[#This Row],[販売価格（売値）]]</f>
        <v>#VALUE!</v>
      </c>
      <c r="N109" s="189" t="str">
        <f>_xlfn.XLOOKUP(tbl_明細[[#This Row],[商品ID]],商品マスタ[商品連番],商品マスタ[税率],"",0,1)</f>
        <v/>
      </c>
      <c r="O109" s="266" t="s">
        <v>2016</v>
      </c>
      <c r="P109" s="71" t="s">
        <v>2018</v>
      </c>
      <c r="Q109" s="265"/>
      <c r="R109" s="265">
        <v>650</v>
      </c>
      <c r="S109" s="71">
        <v>24</v>
      </c>
      <c r="T109" s="71" t="s">
        <v>795</v>
      </c>
      <c r="U109" s="267">
        <v>0.08</v>
      </c>
      <c r="V109" s="267"/>
      <c r="W109" s="268"/>
      <c r="X109" s="254" t="e">
        <f>tbl_明細[[#This Row],[仕入価格]]*tbl_明細[[#This Row],[数量]]+tbl_明細[[#This Row],[仕入価格（M)]]*tbl_明細[[#This Row],[数量（M)]]</f>
        <v>#VALUE!</v>
      </c>
      <c r="Y109" s="254">
        <f>tbl_明細[[#This Row],[販売価格（売値）]]*tbl_明細[[#This Row],[数量]]+tbl_明細[[#This Row],[販売価格（M)]]*tbl_明細[[#This Row],[数量（M)]]</f>
        <v>15600</v>
      </c>
      <c r="Z109" s="257" t="str">
        <f>_xlfn.XLOOKUP(tbl_明細[[#This Row],[案件番号]],tbl_案件追跡[案件番号],tbl_案件追跡[受注],"",0,1)</f>
        <v/>
      </c>
      <c r="AA109" s="228">
        <f>tbl_明細[[#This Row],[販売価格（売値）]]+tbl_明細[[#This Row],[販売価格（M)]]</f>
        <v>650</v>
      </c>
      <c r="AB109" s="261">
        <f>tbl_明細[[#This Row],[販売価格（売値）]]*1.08+tbl_明細[[#This Row],[販売価格（M)]]*1.08</f>
        <v>702</v>
      </c>
    </row>
    <row r="110" spans="1:28">
      <c r="A110" s="73" t="s">
        <v>1954</v>
      </c>
      <c r="B110" s="77">
        <f>IF(ISBLANK(tbl_明細[[#This Row],[案件番号]]),"",COUNTIFS($A$3:A110,tbl_明細[[#This Row],[案件番号]],$AA$3:AA110,"&gt;0"))</f>
        <v>59</v>
      </c>
      <c r="C110" s="71">
        <f>COUNTIFS($A$3:A110,tbl_明細[[#This Row],[案件番号]],$F$3:F110,tbl_明細[[#This Row],[仕入先]])</f>
        <v>1</v>
      </c>
      <c r="D110" s="77" t="str">
        <f>_xlfn.XLOOKUP(tbl_明細[[#This Row],[案件番号]],tbl_採番[案件番号],tbl_採番[顧客],"",0,1)</f>
        <v>加古川ヤマトヤシキ</v>
      </c>
      <c r="E110" s="71" t="s">
        <v>2019</v>
      </c>
      <c r="F110" s="118" t="str">
        <f>IF(ISBLANK(tbl_明細[[#This Row],[仕入先（M)]]),_xlfn.XLOOKUP(tbl_明細[[#This Row],[商品ID]],商品マスタ[商品連番],商品マスタ[仕入先],"",0,1),tbl_明細[[#This Row],[仕入先（M)]])</f>
        <v>(有)十勝しんむら牧場</v>
      </c>
      <c r="G110" s="112" t="str">
        <f>IF(ISBLANK(tbl_明細[[#This Row],[商品名（M)]]),_xlfn.XLOOKUP(tbl_明細[[#This Row],[商品ID]],商品マスタ[商品連番],商品マスタ[商品名],"",0,),tbl_明細[[#This Row],[商品名（M)]])</f>
        <v>ミルクジャムプレーン</v>
      </c>
      <c r="H110" s="80">
        <f>IF(ISBLANK(tbl_明細[[#This Row],[仕入価格（M)]]),_xlfn.XLOOKUP(tbl_明細[[#This Row],[商品ID]],商品マスタ[商品連番],商品マスタ[仕入
単価],"",0,1),tbl_明細[[#This Row],[仕入価格（M)]])</f>
        <v>15120</v>
      </c>
      <c r="I110" s="80">
        <f>_xlfn.XLOOKUP(tbl_明細[[#This Row],[商品ID]],商品マスタ[商品連番],商品マスタ[国内定価
（15％）],"",0,1)</f>
        <v>19570</v>
      </c>
      <c r="J110" s="265">
        <v>741</v>
      </c>
      <c r="K110" s="71">
        <v>12</v>
      </c>
      <c r="L110" s="77" t="str">
        <f>_xlfn.XLOOKUP(tbl_明細[[#This Row],[商品ID]],商品マスタ[商品連番],商品マスタ[単位],"",0,1)</f>
        <v>ケース</v>
      </c>
      <c r="M110" s="249">
        <f>1-tbl_明細[[#This Row],[仕入価格]]/tbl_明細[[#This Row],[販売価格（売値）]]</f>
        <v>-19.404858299595141</v>
      </c>
      <c r="N110" s="189">
        <f>_xlfn.XLOOKUP(tbl_明細[[#This Row],[商品ID]],商品マスタ[商品連番],商品マスタ[税率],"",0,1)</f>
        <v>0.08</v>
      </c>
      <c r="O110" s="266"/>
      <c r="P110" s="71"/>
      <c r="Q110" s="265"/>
      <c r="R110" s="265"/>
      <c r="S110" s="71"/>
      <c r="T110" s="71"/>
      <c r="U110" s="267"/>
      <c r="V110" s="267"/>
      <c r="W110" s="268"/>
      <c r="X110" s="254">
        <f>tbl_明細[[#This Row],[仕入価格]]*tbl_明細[[#This Row],[数量]]+tbl_明細[[#This Row],[仕入価格（M)]]*tbl_明細[[#This Row],[数量（M)]]</f>
        <v>181440</v>
      </c>
      <c r="Y110" s="254">
        <f>tbl_明細[[#This Row],[販売価格（売値）]]*tbl_明細[[#This Row],[数量]]+tbl_明細[[#This Row],[販売価格（M)]]*tbl_明細[[#This Row],[数量（M)]]</f>
        <v>8892</v>
      </c>
      <c r="Z110" s="257" t="str">
        <f>_xlfn.XLOOKUP(tbl_明細[[#This Row],[案件番号]],tbl_案件追跡[案件番号],tbl_案件追跡[受注],"",0,1)</f>
        <v/>
      </c>
      <c r="AA110" s="228">
        <f>tbl_明細[[#This Row],[販売価格（売値）]]+tbl_明細[[#This Row],[販売価格（M)]]</f>
        <v>741</v>
      </c>
      <c r="AB110" s="261">
        <f>tbl_明細[[#This Row],[販売価格（売値）]]*1.08+tbl_明細[[#This Row],[販売価格（M)]]*1.08</f>
        <v>800.28000000000009</v>
      </c>
    </row>
    <row r="111" spans="1:28">
      <c r="A111" s="73" t="s">
        <v>1954</v>
      </c>
      <c r="B111" s="77">
        <f>IF(ISBLANK(tbl_明細[[#This Row],[案件番号]]),"",COUNTIFS($A$3:A111,tbl_明細[[#This Row],[案件番号]],$AA$3:AA111,"&gt;0"))</f>
        <v>60</v>
      </c>
      <c r="C111" s="71">
        <f>COUNTIFS($A$3:A111,tbl_明細[[#This Row],[案件番号]],$F$3:F111,tbl_明細[[#This Row],[仕入先]])</f>
        <v>2</v>
      </c>
      <c r="D111" s="77" t="str">
        <f>_xlfn.XLOOKUP(tbl_明細[[#This Row],[案件番号]],tbl_採番[案件番号],tbl_採番[顧客],"",0,1)</f>
        <v>加古川ヤマトヤシキ</v>
      </c>
      <c r="E111" s="71" t="s">
        <v>2020</v>
      </c>
      <c r="F111" s="118" t="str">
        <f>IF(ISBLANK(tbl_明細[[#This Row],[仕入先（M)]]),_xlfn.XLOOKUP(tbl_明細[[#This Row],[商品ID]],商品マスタ[商品連番],商品マスタ[仕入先],"",0,1),tbl_明細[[#This Row],[仕入先（M)]])</f>
        <v>(有)十勝しんむら牧場</v>
      </c>
      <c r="G111" s="112" t="str">
        <f>IF(ISBLANK(tbl_明細[[#This Row],[商品名（M)]]),_xlfn.XLOOKUP(tbl_明細[[#This Row],[商品ID]],商品マスタ[商品連番],商品マスタ[商品名],"",0,),tbl_明細[[#This Row],[商品名（M)]])</f>
        <v xml:space="preserve">ミルクジャムバニラ
</v>
      </c>
      <c r="H111" s="80">
        <f>IF(ISBLANK(tbl_明細[[#This Row],[仕入価格（M)]]),_xlfn.XLOOKUP(tbl_明細[[#This Row],[商品ID]],商品マスタ[商品連番],商品マスタ[仕入
単価],"",0,1),tbl_明細[[#This Row],[仕入価格（M)]])</f>
        <v>15120</v>
      </c>
      <c r="I111" s="80">
        <f>_xlfn.XLOOKUP(tbl_明細[[#This Row],[商品ID]],商品マスタ[商品連番],商品マスタ[国内定価
（15％）],"",0,1)</f>
        <v>19570</v>
      </c>
      <c r="J111" s="265">
        <v>741</v>
      </c>
      <c r="K111" s="71">
        <v>12</v>
      </c>
      <c r="L111" s="77" t="str">
        <f>_xlfn.XLOOKUP(tbl_明細[[#This Row],[商品ID]],商品マスタ[商品連番],商品マスタ[単位],"",0,1)</f>
        <v>ケース</v>
      </c>
      <c r="M111" s="249">
        <f>1-tbl_明細[[#This Row],[仕入価格]]/tbl_明細[[#This Row],[販売価格（売値）]]</f>
        <v>-19.404858299595141</v>
      </c>
      <c r="N111" s="189">
        <f>_xlfn.XLOOKUP(tbl_明細[[#This Row],[商品ID]],商品マスタ[商品連番],商品マスタ[税率],"",0,1)</f>
        <v>0.08</v>
      </c>
      <c r="O111" s="266"/>
      <c r="P111" s="71"/>
      <c r="Q111" s="265"/>
      <c r="R111" s="265"/>
      <c r="S111" s="71"/>
      <c r="T111" s="71"/>
      <c r="U111" s="267"/>
      <c r="V111" s="267"/>
      <c r="W111" s="268"/>
      <c r="X111" s="254">
        <f>tbl_明細[[#This Row],[仕入価格]]*tbl_明細[[#This Row],[数量]]+tbl_明細[[#This Row],[仕入価格（M)]]*tbl_明細[[#This Row],[数量（M)]]</f>
        <v>181440</v>
      </c>
      <c r="Y111" s="254">
        <f>tbl_明細[[#This Row],[販売価格（売値）]]*tbl_明細[[#This Row],[数量]]+tbl_明細[[#This Row],[販売価格（M)]]*tbl_明細[[#This Row],[数量（M)]]</f>
        <v>8892</v>
      </c>
      <c r="Z111" s="257" t="str">
        <f>_xlfn.XLOOKUP(tbl_明細[[#This Row],[案件番号]],tbl_案件追跡[案件番号],tbl_案件追跡[受注],"",0,1)</f>
        <v/>
      </c>
      <c r="AA111" s="228">
        <f>tbl_明細[[#This Row],[販売価格（売値）]]+tbl_明細[[#This Row],[販売価格（M)]]</f>
        <v>741</v>
      </c>
      <c r="AB111" s="261">
        <f>tbl_明細[[#This Row],[販売価格（売値）]]*1.08+tbl_明細[[#This Row],[販売価格（M)]]*1.08</f>
        <v>800.28000000000009</v>
      </c>
    </row>
    <row r="112" spans="1:28">
      <c r="A112" s="73" t="s">
        <v>1954</v>
      </c>
      <c r="B112" s="77">
        <f>IF(ISBLANK(tbl_明細[[#This Row],[案件番号]]),"",COUNTIFS($A$3:A112,tbl_明細[[#This Row],[案件番号]],$AA$3:AA112,"&gt;0"))</f>
        <v>61</v>
      </c>
      <c r="C112" s="71">
        <f>COUNTIFS($A$3:A112,tbl_明細[[#This Row],[案件番号]],$F$3:F112,tbl_明細[[#This Row],[仕入先]])</f>
        <v>3</v>
      </c>
      <c r="D112" s="77" t="str">
        <f>_xlfn.XLOOKUP(tbl_明細[[#This Row],[案件番号]],tbl_採番[案件番号],tbl_採番[顧客],"",0,1)</f>
        <v>加古川ヤマトヤシキ</v>
      </c>
      <c r="E112" s="71" t="s">
        <v>2021</v>
      </c>
      <c r="F112" s="118" t="str">
        <f>IF(ISBLANK(tbl_明細[[#This Row],[仕入先（M)]]),_xlfn.XLOOKUP(tbl_明細[[#This Row],[商品ID]],商品マスタ[商品連番],商品マスタ[仕入先],"",0,1),tbl_明細[[#This Row],[仕入先（M)]])</f>
        <v>(有)十勝しんむら牧場</v>
      </c>
      <c r="G112" s="112" t="str">
        <f>IF(ISBLANK(tbl_明細[[#This Row],[商品名（M)]]),_xlfn.XLOOKUP(tbl_明細[[#This Row],[商品ID]],商品マスタ[商品連番],商品マスタ[商品名],"",0,),tbl_明細[[#This Row],[商品名（M)]])</f>
        <v xml:space="preserve">ミルクジャムシナモン
</v>
      </c>
      <c r="H112" s="80">
        <f>IF(ISBLANK(tbl_明細[[#This Row],[仕入価格（M)]]),_xlfn.XLOOKUP(tbl_明細[[#This Row],[商品ID]],商品マスタ[商品連番],商品マスタ[仕入
単価],"",0,1),tbl_明細[[#This Row],[仕入価格（M)]])</f>
        <v>15120</v>
      </c>
      <c r="I112" s="80">
        <f>_xlfn.XLOOKUP(tbl_明細[[#This Row],[商品ID]],商品マスタ[商品連番],商品マスタ[国内定価
（15％）],"",0,1)</f>
        <v>19570</v>
      </c>
      <c r="J112" s="265">
        <v>741</v>
      </c>
      <c r="K112" s="71">
        <v>8</v>
      </c>
      <c r="L112" s="77" t="str">
        <f>_xlfn.XLOOKUP(tbl_明細[[#This Row],[商品ID]],商品マスタ[商品連番],商品マスタ[単位],"",0,1)</f>
        <v>ケース</v>
      </c>
      <c r="M112" s="249">
        <f>1-tbl_明細[[#This Row],[仕入価格]]/tbl_明細[[#This Row],[販売価格（売値）]]</f>
        <v>-19.404858299595141</v>
      </c>
      <c r="N112" s="189">
        <f>_xlfn.XLOOKUP(tbl_明細[[#This Row],[商品ID]],商品マスタ[商品連番],商品マスタ[税率],"",0,1)</f>
        <v>0.08</v>
      </c>
      <c r="O112" s="266"/>
      <c r="P112" s="71"/>
      <c r="Q112" s="265"/>
      <c r="R112" s="265"/>
      <c r="S112" s="71"/>
      <c r="T112" s="71"/>
      <c r="U112" s="267"/>
      <c r="V112" s="267"/>
      <c r="W112" s="268"/>
      <c r="X112" s="254">
        <f>tbl_明細[[#This Row],[仕入価格]]*tbl_明細[[#This Row],[数量]]+tbl_明細[[#This Row],[仕入価格（M)]]*tbl_明細[[#This Row],[数量（M)]]</f>
        <v>120960</v>
      </c>
      <c r="Y112" s="254">
        <f>tbl_明細[[#This Row],[販売価格（売値）]]*tbl_明細[[#This Row],[数量]]+tbl_明細[[#This Row],[販売価格（M)]]*tbl_明細[[#This Row],[数量（M)]]</f>
        <v>5928</v>
      </c>
      <c r="Z112" s="257" t="str">
        <f>_xlfn.XLOOKUP(tbl_明細[[#This Row],[案件番号]],tbl_案件追跡[案件番号],tbl_案件追跡[受注],"",0,1)</f>
        <v/>
      </c>
      <c r="AA112" s="228">
        <f>tbl_明細[[#This Row],[販売価格（売値）]]+tbl_明細[[#This Row],[販売価格（M)]]</f>
        <v>741</v>
      </c>
      <c r="AB112" s="261">
        <f>tbl_明細[[#This Row],[販売価格（売値）]]*1.08+tbl_明細[[#This Row],[販売価格（M)]]*1.08</f>
        <v>800.28000000000009</v>
      </c>
    </row>
    <row r="113" spans="1:28">
      <c r="A113" s="73" t="s">
        <v>1954</v>
      </c>
      <c r="B113" s="77">
        <f>IF(ISBLANK(tbl_明細[[#This Row],[案件番号]]),"",COUNTIFS($A$3:A113,tbl_明細[[#This Row],[案件番号]],$AA$3:AA113,"&gt;0"))</f>
        <v>62</v>
      </c>
      <c r="C113" s="71">
        <f>COUNTIFS($A$3:A113,tbl_明細[[#This Row],[案件番号]],$F$3:F113,tbl_明細[[#This Row],[仕入先]])</f>
        <v>4</v>
      </c>
      <c r="D113" s="77" t="str">
        <f>_xlfn.XLOOKUP(tbl_明細[[#This Row],[案件番号]],tbl_採番[案件番号],tbl_採番[顧客],"",0,1)</f>
        <v>加古川ヤマトヤシキ</v>
      </c>
      <c r="E113" s="71" t="s">
        <v>2022</v>
      </c>
      <c r="F113" s="118" t="str">
        <f>IF(ISBLANK(tbl_明細[[#This Row],[仕入先（M)]]),_xlfn.XLOOKUP(tbl_明細[[#This Row],[商品ID]],商品マスタ[商品連番],商品マスタ[仕入先],"",0,1),tbl_明細[[#This Row],[仕入先（M)]])</f>
        <v>(有)十勝しんむら牧場</v>
      </c>
      <c r="G113" s="112" t="str">
        <f>IF(ISBLANK(tbl_明細[[#This Row],[商品名（M)]]),_xlfn.XLOOKUP(tbl_明細[[#This Row],[商品ID]],商品マスタ[商品連番],商品マスタ[商品名],"",0,),tbl_明細[[#This Row],[商品名（M)]])</f>
        <v xml:space="preserve">ミルクジャムジャワティー
</v>
      </c>
      <c r="H113" s="80">
        <f>IF(ISBLANK(tbl_明細[[#This Row],[仕入価格（M)]]),_xlfn.XLOOKUP(tbl_明細[[#This Row],[商品ID]],商品マスタ[商品連番],商品マスタ[仕入
単価],"",0,1),tbl_明細[[#This Row],[仕入価格（M)]])</f>
        <v>15120</v>
      </c>
      <c r="I113" s="80">
        <f>_xlfn.XLOOKUP(tbl_明細[[#This Row],[商品ID]],商品マスタ[商品連番],商品マスタ[国内定価
（15％）],"",0,1)</f>
        <v>19570</v>
      </c>
      <c r="J113" s="265">
        <v>741</v>
      </c>
      <c r="K113" s="71">
        <v>8</v>
      </c>
      <c r="L113" s="77" t="str">
        <f>_xlfn.XLOOKUP(tbl_明細[[#This Row],[商品ID]],商品マスタ[商品連番],商品マスタ[単位],"",0,1)</f>
        <v>ケース</v>
      </c>
      <c r="M113" s="249">
        <f>1-tbl_明細[[#This Row],[仕入価格]]/tbl_明細[[#This Row],[販売価格（売値）]]</f>
        <v>-19.404858299595141</v>
      </c>
      <c r="N113" s="189">
        <f>_xlfn.XLOOKUP(tbl_明細[[#This Row],[商品ID]],商品マスタ[商品連番],商品マスタ[税率],"",0,1)</f>
        <v>0.08</v>
      </c>
      <c r="O113" s="266"/>
      <c r="P113" s="71"/>
      <c r="Q113" s="265"/>
      <c r="R113" s="265"/>
      <c r="S113" s="71"/>
      <c r="T113" s="71"/>
      <c r="U113" s="267"/>
      <c r="V113" s="267"/>
      <c r="W113" s="268"/>
      <c r="X113" s="254">
        <f>tbl_明細[[#This Row],[仕入価格]]*tbl_明細[[#This Row],[数量]]+tbl_明細[[#This Row],[仕入価格（M)]]*tbl_明細[[#This Row],[数量（M)]]</f>
        <v>120960</v>
      </c>
      <c r="Y113" s="254">
        <f>tbl_明細[[#This Row],[販売価格（売値）]]*tbl_明細[[#This Row],[数量]]+tbl_明細[[#This Row],[販売価格（M)]]*tbl_明細[[#This Row],[数量（M)]]</f>
        <v>5928</v>
      </c>
      <c r="Z113" s="257" t="str">
        <f>_xlfn.XLOOKUP(tbl_明細[[#This Row],[案件番号]],tbl_案件追跡[案件番号],tbl_案件追跡[受注],"",0,1)</f>
        <v/>
      </c>
      <c r="AA113" s="228">
        <f>tbl_明細[[#This Row],[販売価格（売値）]]+tbl_明細[[#This Row],[販売価格（M)]]</f>
        <v>741</v>
      </c>
      <c r="AB113" s="261">
        <f>tbl_明細[[#This Row],[販売価格（売値）]]*1.08+tbl_明細[[#This Row],[販売価格（M)]]*1.08</f>
        <v>800.28000000000009</v>
      </c>
    </row>
    <row r="114" spans="1:28">
      <c r="A114" s="73" t="s">
        <v>1954</v>
      </c>
      <c r="B114" s="77">
        <f>IF(ISBLANK(tbl_明細[[#This Row],[案件番号]]),"",COUNTIFS($A$3:A114,tbl_明細[[#This Row],[案件番号]],$AA$3:AA114,"&gt;0"))</f>
        <v>63</v>
      </c>
      <c r="C114" s="71">
        <f>COUNTIFS($A$3:A114,tbl_明細[[#This Row],[案件番号]],$F$3:F114,tbl_明細[[#This Row],[仕入先]])</f>
        <v>5</v>
      </c>
      <c r="D114" s="77" t="str">
        <f>_xlfn.XLOOKUP(tbl_明細[[#This Row],[案件番号]],tbl_採番[案件番号],tbl_採番[顧客],"",0,1)</f>
        <v>加古川ヤマトヤシキ</v>
      </c>
      <c r="E114" s="71" t="s">
        <v>2023</v>
      </c>
      <c r="F114" s="118" t="str">
        <f>IF(ISBLANK(tbl_明細[[#This Row],[仕入先（M)]]),_xlfn.XLOOKUP(tbl_明細[[#This Row],[商品ID]],商品マスタ[商品連番],商品マスタ[仕入先],"",0,1),tbl_明細[[#This Row],[仕入先（M)]])</f>
        <v>(有)十勝しんむら牧場</v>
      </c>
      <c r="G114" s="112" t="str">
        <f>IF(ISBLANK(tbl_明細[[#This Row],[商品名（M)]]),_xlfn.XLOOKUP(tbl_明細[[#This Row],[商品ID]],商品マスタ[商品連番],商品マスタ[商品名],"",0,),tbl_明細[[#This Row],[商品名（M)]])</f>
        <v>ミルクジャムモカ</v>
      </c>
      <c r="H114" s="80">
        <f>IF(ISBLANK(tbl_明細[[#This Row],[仕入価格（M)]]),_xlfn.XLOOKUP(tbl_明細[[#This Row],[商品ID]],商品マスタ[商品連番],商品マスタ[仕入
単価],"",0,1),tbl_明細[[#This Row],[仕入価格（M)]])</f>
        <v>15120</v>
      </c>
      <c r="I114" s="80">
        <f>_xlfn.XLOOKUP(tbl_明細[[#This Row],[商品ID]],商品マスタ[商品連番],商品マスタ[国内定価
（15％）],"",0,1)</f>
        <v>19570</v>
      </c>
      <c r="J114" s="265">
        <v>741</v>
      </c>
      <c r="K114" s="71">
        <v>8</v>
      </c>
      <c r="L114" s="77" t="str">
        <f>_xlfn.XLOOKUP(tbl_明細[[#This Row],[商品ID]],商品マスタ[商品連番],商品マスタ[単位],"",0,1)</f>
        <v>ケース</v>
      </c>
      <c r="M114" s="249">
        <f>1-tbl_明細[[#This Row],[仕入価格]]/tbl_明細[[#This Row],[販売価格（売値）]]</f>
        <v>-19.404858299595141</v>
      </c>
      <c r="N114" s="189">
        <f>_xlfn.XLOOKUP(tbl_明細[[#This Row],[商品ID]],商品マスタ[商品連番],商品マスタ[税率],"",0,1)</f>
        <v>0.08</v>
      </c>
      <c r="O114" s="266"/>
      <c r="P114" s="71"/>
      <c r="Q114" s="265"/>
      <c r="R114" s="265"/>
      <c r="S114" s="71"/>
      <c r="T114" s="71"/>
      <c r="U114" s="267"/>
      <c r="V114" s="267"/>
      <c r="W114" s="268"/>
      <c r="X114" s="254">
        <f>tbl_明細[[#This Row],[仕入価格]]*tbl_明細[[#This Row],[数量]]+tbl_明細[[#This Row],[仕入価格（M)]]*tbl_明細[[#This Row],[数量（M)]]</f>
        <v>120960</v>
      </c>
      <c r="Y114" s="254">
        <f>tbl_明細[[#This Row],[販売価格（売値）]]*tbl_明細[[#This Row],[数量]]+tbl_明細[[#This Row],[販売価格（M)]]*tbl_明細[[#This Row],[数量（M)]]</f>
        <v>5928</v>
      </c>
      <c r="Z114" s="257" t="str">
        <f>_xlfn.XLOOKUP(tbl_明細[[#This Row],[案件番号]],tbl_案件追跡[案件番号],tbl_案件追跡[受注],"",0,1)</f>
        <v/>
      </c>
      <c r="AA114" s="228">
        <f>tbl_明細[[#This Row],[販売価格（売値）]]+tbl_明細[[#This Row],[販売価格（M)]]</f>
        <v>741</v>
      </c>
      <c r="AB114" s="261">
        <f>tbl_明細[[#This Row],[販売価格（売値）]]*1.08+tbl_明細[[#This Row],[販売価格（M)]]*1.08</f>
        <v>800.28000000000009</v>
      </c>
    </row>
    <row r="115" spans="1:28">
      <c r="A115" s="73" t="s">
        <v>1954</v>
      </c>
      <c r="B115" s="77">
        <f>IF(ISBLANK(tbl_明細[[#This Row],[案件番号]]),"",COUNTIFS($A$3:A115,tbl_明細[[#This Row],[案件番号]],$AA$3:AA115,"&gt;0"))</f>
        <v>64</v>
      </c>
      <c r="C115" s="71">
        <f>COUNTIFS($A$3:A115,tbl_明細[[#This Row],[案件番号]],$F$3:F115,tbl_明細[[#This Row],[仕入先]])</f>
        <v>6</v>
      </c>
      <c r="D115" s="77" t="str">
        <f>_xlfn.XLOOKUP(tbl_明細[[#This Row],[案件番号]],tbl_採番[案件番号],tbl_採番[顧客],"",0,1)</f>
        <v>加古川ヤマトヤシキ</v>
      </c>
      <c r="E115" s="71" t="s">
        <v>2024</v>
      </c>
      <c r="F115" s="118" t="str">
        <f>IF(ISBLANK(tbl_明細[[#This Row],[仕入先（M)]]),_xlfn.XLOOKUP(tbl_明細[[#This Row],[商品ID]],商品マスタ[商品連番],商品マスタ[仕入先],"",0,1),tbl_明細[[#This Row],[仕入先（M)]])</f>
        <v>(有)十勝しんむら牧場</v>
      </c>
      <c r="G115" s="112" t="str">
        <f>IF(ISBLANK(tbl_明細[[#This Row],[商品名（M)]]),_xlfn.XLOOKUP(tbl_明細[[#This Row],[商品ID]],商品マスタ[商品連番],商品マスタ[商品名],"",0,),tbl_明細[[#This Row],[商品名（M)]])</f>
        <v>ミルクジャムラムレーズン</v>
      </c>
      <c r="H115" s="80">
        <f>IF(ISBLANK(tbl_明細[[#This Row],[仕入価格（M)]]),_xlfn.XLOOKUP(tbl_明細[[#This Row],[商品ID]],商品マスタ[商品連番],商品マスタ[仕入
単価],"",0,1),tbl_明細[[#This Row],[仕入価格（M)]])</f>
        <v>15960</v>
      </c>
      <c r="I115" s="80">
        <f>_xlfn.XLOOKUP(tbl_明細[[#This Row],[商品ID]],商品マスタ[商品連番],商品マスタ[国内定価
（15％）],"",0,1)</f>
        <v>20660</v>
      </c>
      <c r="J115" s="265">
        <v>782</v>
      </c>
      <c r="K115" s="71">
        <v>6</v>
      </c>
      <c r="L115" s="77" t="str">
        <f>_xlfn.XLOOKUP(tbl_明細[[#This Row],[商品ID]],商品マスタ[商品連番],商品マスタ[単位],"",0,1)</f>
        <v>ケース</v>
      </c>
      <c r="M115" s="249">
        <f>1-tbl_明細[[#This Row],[仕入価格]]/tbl_明細[[#This Row],[販売価格（売値）]]</f>
        <v>-19.40920716112532</v>
      </c>
      <c r="N115" s="189">
        <f>_xlfn.XLOOKUP(tbl_明細[[#This Row],[商品ID]],商品マスタ[商品連番],商品マスタ[税率],"",0,1)</f>
        <v>0.08</v>
      </c>
      <c r="O115" s="266"/>
      <c r="P115" s="71"/>
      <c r="Q115" s="265"/>
      <c r="R115" s="265"/>
      <c r="S115" s="71"/>
      <c r="T115" s="71"/>
      <c r="U115" s="267"/>
      <c r="V115" s="267"/>
      <c r="W115" s="268"/>
      <c r="X115" s="254">
        <f>tbl_明細[[#This Row],[仕入価格]]*tbl_明細[[#This Row],[数量]]+tbl_明細[[#This Row],[仕入価格（M)]]*tbl_明細[[#This Row],[数量（M)]]</f>
        <v>95760</v>
      </c>
      <c r="Y115" s="254">
        <f>tbl_明細[[#This Row],[販売価格（売値）]]*tbl_明細[[#This Row],[数量]]+tbl_明細[[#This Row],[販売価格（M)]]*tbl_明細[[#This Row],[数量（M)]]</f>
        <v>4692</v>
      </c>
      <c r="Z115" s="257" t="str">
        <f>_xlfn.XLOOKUP(tbl_明細[[#This Row],[案件番号]],tbl_案件追跡[案件番号],tbl_案件追跡[受注],"",0,1)</f>
        <v/>
      </c>
      <c r="AA115" s="228">
        <f>tbl_明細[[#This Row],[販売価格（売値）]]+tbl_明細[[#This Row],[販売価格（M)]]</f>
        <v>782</v>
      </c>
      <c r="AB115" s="261">
        <f>tbl_明細[[#This Row],[販売価格（売値）]]*1.08+tbl_明細[[#This Row],[販売価格（M)]]*1.08</f>
        <v>844.56000000000006</v>
      </c>
    </row>
    <row r="116" spans="1:28">
      <c r="A116" s="73" t="s">
        <v>1954</v>
      </c>
      <c r="B116" s="77">
        <f>IF(ISBLANK(tbl_明細[[#This Row],[案件番号]]),"",COUNTIFS($A$3:A116,tbl_明細[[#This Row],[案件番号]],$AA$3:AA116,"&gt;0"))</f>
        <v>65</v>
      </c>
      <c r="C116" s="71">
        <f>COUNTIFS($A$3:A116,tbl_明細[[#This Row],[案件番号]],$F$3:F116,tbl_明細[[#This Row],[仕入先]])</f>
        <v>7</v>
      </c>
      <c r="D116" s="77" t="str">
        <f>_xlfn.XLOOKUP(tbl_明細[[#This Row],[案件番号]],tbl_採番[案件番号],tbl_採番[顧客],"",0,1)</f>
        <v>加古川ヤマトヤシキ</v>
      </c>
      <c r="E116" s="71" t="s">
        <v>2025</v>
      </c>
      <c r="F116" s="118" t="str">
        <f>IF(ISBLANK(tbl_明細[[#This Row],[仕入先（M)]]),_xlfn.XLOOKUP(tbl_明細[[#This Row],[商品ID]],商品マスタ[商品連番],商品マスタ[仕入先],"",0,1),tbl_明細[[#This Row],[仕入先（M)]])</f>
        <v>(有)十勝しんむら牧場</v>
      </c>
      <c r="G116" s="112" t="str">
        <f>IF(ISBLANK(tbl_明細[[#This Row],[商品名（M)]]),_xlfn.XLOOKUP(tbl_明細[[#This Row],[商品ID]],商品マスタ[商品連番],商品マスタ[商品名],"",0,),tbl_明細[[#This Row],[商品名（M)]])</f>
        <v>ミルクジャムショコラ</v>
      </c>
      <c r="H116" s="80">
        <f>IF(ISBLANK(tbl_明細[[#This Row],[仕入価格（M)]]),_xlfn.XLOOKUP(tbl_明細[[#This Row],[商品ID]],商品マスタ[商品連番],商品マスタ[仕入
単価],"",0,1),tbl_明細[[#This Row],[仕入価格（M)]])</f>
        <v>15960</v>
      </c>
      <c r="I116" s="80">
        <f>_xlfn.XLOOKUP(tbl_明細[[#This Row],[商品ID]],商品マスタ[商品連番],商品マスタ[国内定価
（15％）],"",0,1)</f>
        <v>20660</v>
      </c>
      <c r="J116" s="265">
        <v>782</v>
      </c>
      <c r="K116" s="71">
        <v>6</v>
      </c>
      <c r="L116" s="77" t="str">
        <f>_xlfn.XLOOKUP(tbl_明細[[#This Row],[商品ID]],商品マスタ[商品連番],商品マスタ[単位],"",0,1)</f>
        <v>ケース</v>
      </c>
      <c r="M116" s="249">
        <f>1-tbl_明細[[#This Row],[仕入価格]]/tbl_明細[[#This Row],[販売価格（売値）]]</f>
        <v>-19.40920716112532</v>
      </c>
      <c r="N116" s="189">
        <f>_xlfn.XLOOKUP(tbl_明細[[#This Row],[商品ID]],商品マスタ[商品連番],商品マスタ[税率],"",0,1)</f>
        <v>0.08</v>
      </c>
      <c r="O116" s="266"/>
      <c r="P116" s="71"/>
      <c r="Q116" s="265"/>
      <c r="R116" s="265"/>
      <c r="S116" s="71"/>
      <c r="T116" s="71"/>
      <c r="U116" s="267"/>
      <c r="V116" s="267"/>
      <c r="W116" s="268"/>
      <c r="X116" s="254">
        <f>tbl_明細[[#This Row],[仕入価格]]*tbl_明細[[#This Row],[数量]]+tbl_明細[[#This Row],[仕入価格（M)]]*tbl_明細[[#This Row],[数量（M)]]</f>
        <v>95760</v>
      </c>
      <c r="Y116" s="254">
        <f>tbl_明細[[#This Row],[販売価格（売値）]]*tbl_明細[[#This Row],[数量]]+tbl_明細[[#This Row],[販売価格（M)]]*tbl_明細[[#This Row],[数量（M)]]</f>
        <v>4692</v>
      </c>
      <c r="Z116" s="257" t="str">
        <f>_xlfn.XLOOKUP(tbl_明細[[#This Row],[案件番号]],tbl_案件追跡[案件番号],tbl_案件追跡[受注],"",0,1)</f>
        <v/>
      </c>
      <c r="AA116" s="228">
        <f>tbl_明細[[#This Row],[販売価格（売値）]]+tbl_明細[[#This Row],[販売価格（M)]]</f>
        <v>782</v>
      </c>
      <c r="AB116" s="261">
        <f>tbl_明細[[#This Row],[販売価格（売値）]]*1.08+tbl_明細[[#This Row],[販売価格（M)]]*1.08</f>
        <v>844.56000000000006</v>
      </c>
    </row>
    <row r="117" spans="1:28">
      <c r="A117" s="73" t="s">
        <v>1954</v>
      </c>
      <c r="B117" s="77">
        <f>IF(ISBLANK(tbl_明細[[#This Row],[案件番号]]),"",COUNTIFS($A$3:A117,tbl_明細[[#This Row],[案件番号]],$AA$3:AA117,"&gt;0"))</f>
        <v>66</v>
      </c>
      <c r="C117" s="71">
        <f>COUNTIFS($A$3:A117,tbl_明細[[#This Row],[案件番号]],$F$3:F117,tbl_明細[[#This Row],[仕入先]])</f>
        <v>8</v>
      </c>
      <c r="D117" s="77" t="str">
        <f>_xlfn.XLOOKUP(tbl_明細[[#This Row],[案件番号]],tbl_採番[案件番号],tbl_採番[顧客],"",0,1)</f>
        <v>加古川ヤマトヤシキ</v>
      </c>
      <c r="E117" s="71" t="s">
        <v>2026</v>
      </c>
      <c r="F117" s="118" t="str">
        <f>IF(ISBLANK(tbl_明細[[#This Row],[仕入先（M)]]),_xlfn.XLOOKUP(tbl_明細[[#This Row],[商品ID]],商品マスタ[商品連番],商品マスタ[仕入先],"",0,1),tbl_明細[[#This Row],[仕入先（M)]])</f>
        <v>(有)十勝しんむら牧場</v>
      </c>
      <c r="G117" s="112" t="str">
        <f>IF(ISBLANK(tbl_明細[[#This Row],[商品名（M)]]),_xlfn.XLOOKUP(tbl_明細[[#This Row],[商品ID]],商品マスタ[商品連番],商品マスタ[商品名],"",0,),tbl_明細[[#This Row],[商品名（M)]])</f>
        <v>ミルクジャムメープル</v>
      </c>
      <c r="H117" s="80">
        <f>IF(ISBLANK(tbl_明細[[#This Row],[仕入価格（M)]]),_xlfn.XLOOKUP(tbl_明細[[#This Row],[商品ID]],商品マスタ[商品連番],商品マスタ[仕入
単価],"",0,1),tbl_明細[[#This Row],[仕入価格（M)]])</f>
        <v>17640</v>
      </c>
      <c r="I117" s="80">
        <f>_xlfn.XLOOKUP(tbl_明細[[#This Row],[商品ID]],商品マスタ[商品連番],商品マスタ[国内定価
（15％）],"",0,1)</f>
        <v>22830</v>
      </c>
      <c r="J117" s="265">
        <v>865</v>
      </c>
      <c r="K117" s="71">
        <v>6</v>
      </c>
      <c r="L117" s="77" t="str">
        <f>_xlfn.XLOOKUP(tbl_明細[[#This Row],[商品ID]],商品マスタ[商品連番],商品マスタ[単位],"",0,1)</f>
        <v>ケース</v>
      </c>
      <c r="M117" s="249">
        <f>1-tbl_明細[[#This Row],[仕入価格]]/tbl_明細[[#This Row],[販売価格（売値）]]</f>
        <v>-19.393063583815028</v>
      </c>
      <c r="N117" s="189">
        <f>_xlfn.XLOOKUP(tbl_明細[[#This Row],[商品ID]],商品マスタ[商品連番],商品マスタ[税率],"",0,1)</f>
        <v>0.08</v>
      </c>
      <c r="O117" s="266"/>
      <c r="P117" s="71"/>
      <c r="Q117" s="265"/>
      <c r="R117" s="265"/>
      <c r="S117" s="71"/>
      <c r="T117" s="71"/>
      <c r="U117" s="267"/>
      <c r="V117" s="267"/>
      <c r="W117" s="268"/>
      <c r="X117" s="254">
        <f>tbl_明細[[#This Row],[仕入価格]]*tbl_明細[[#This Row],[数量]]+tbl_明細[[#This Row],[仕入価格（M)]]*tbl_明細[[#This Row],[数量（M)]]</f>
        <v>105840</v>
      </c>
      <c r="Y117" s="254">
        <f>tbl_明細[[#This Row],[販売価格（売値）]]*tbl_明細[[#This Row],[数量]]+tbl_明細[[#This Row],[販売価格（M)]]*tbl_明細[[#This Row],[数量（M)]]</f>
        <v>5190</v>
      </c>
      <c r="Z117" s="257" t="str">
        <f>_xlfn.XLOOKUP(tbl_明細[[#This Row],[案件番号]],tbl_案件追跡[案件番号],tbl_案件追跡[受注],"",0,1)</f>
        <v/>
      </c>
      <c r="AA117" s="228">
        <f>tbl_明細[[#This Row],[販売価格（売値）]]+tbl_明細[[#This Row],[販売価格（M)]]</f>
        <v>865</v>
      </c>
      <c r="AB117" s="261">
        <f>tbl_明細[[#This Row],[販売価格（売値）]]*1.08+tbl_明細[[#This Row],[販売価格（M)]]*1.08</f>
        <v>934.2</v>
      </c>
    </row>
    <row r="118" spans="1:28">
      <c r="A118" s="73" t="s">
        <v>1954</v>
      </c>
      <c r="B118" s="77">
        <f>IF(ISBLANK(tbl_明細[[#This Row],[案件番号]]),"",COUNTIFS($A$3:A118,tbl_明細[[#This Row],[案件番号]],$AA$3:AA118,"&gt;0"))</f>
        <v>67</v>
      </c>
      <c r="C118" s="71">
        <f>COUNTIFS($A$3:A118,tbl_明細[[#This Row],[案件番号]],$F$3:F118,tbl_明細[[#This Row],[仕入先]])</f>
        <v>1</v>
      </c>
      <c r="D118" s="77" t="str">
        <f>_xlfn.XLOOKUP(tbl_明細[[#This Row],[案件番号]],tbl_採番[案件番号],tbl_採番[顧客],"",0,1)</f>
        <v>加古川ヤマトヤシキ</v>
      </c>
      <c r="E118" s="71" t="s">
        <v>1969</v>
      </c>
      <c r="F118" s="118" t="str">
        <f>IF(ISBLANK(tbl_明細[[#This Row],[仕入先（M)]]),_xlfn.XLOOKUP(tbl_明細[[#This Row],[商品ID]],商品マスタ[商品連番],商品マスタ[仕入先],"",0,1),tbl_明細[[#This Row],[仕入先（M)]])</f>
        <v>十勝しんむら牧場</v>
      </c>
      <c r="G118" s="112" t="str">
        <f>IF(ISBLANK(tbl_明細[[#This Row],[商品名（M)]]),_xlfn.XLOOKUP(tbl_明細[[#This Row],[商品ID]],商品マスタ[商品連番],商品マスタ[商品名],"",0,),tbl_明細[[#This Row],[商品名（M)]])</f>
        <v>ミルクジャム蜂蜜</v>
      </c>
      <c r="H118" s="80" t="str">
        <f>IF(ISBLANK(tbl_明細[[#This Row],[仕入価格（M)]]),_xlfn.XLOOKUP(tbl_明細[[#This Row],[商品ID]],商品マスタ[商品連番],商品マスタ[仕入
単価],"",0,1),tbl_明細[[#This Row],[仕入価格（M)]])</f>
        <v/>
      </c>
      <c r="I118" s="80" t="str">
        <f>_xlfn.XLOOKUP(tbl_明細[[#This Row],[商品ID]],商品マスタ[商品連番],商品マスタ[国内定価
（15％）],"",0,1)</f>
        <v/>
      </c>
      <c r="J118" s="265"/>
      <c r="K118" s="71"/>
      <c r="L118" s="77" t="str">
        <f>_xlfn.XLOOKUP(tbl_明細[[#This Row],[商品ID]],商品マスタ[商品連番],商品マスタ[単位],"",0,1)</f>
        <v/>
      </c>
      <c r="M118" s="249" t="e">
        <f>1-tbl_明細[[#This Row],[仕入価格]]/tbl_明細[[#This Row],[販売価格（売値）]]</f>
        <v>#VALUE!</v>
      </c>
      <c r="N118" s="189" t="str">
        <f>_xlfn.XLOOKUP(tbl_明細[[#This Row],[商品ID]],商品マスタ[商品連番],商品マスタ[税率],"",0,1)</f>
        <v/>
      </c>
      <c r="O118" s="266" t="s">
        <v>2027</v>
      </c>
      <c r="P118" s="71" t="s">
        <v>2028</v>
      </c>
      <c r="Q118" s="265"/>
      <c r="R118" s="265">
        <v>865</v>
      </c>
      <c r="S118" s="71">
        <v>6</v>
      </c>
      <c r="T118" s="71" t="s">
        <v>795</v>
      </c>
      <c r="U118" s="267">
        <v>0.08</v>
      </c>
      <c r="V118" s="267"/>
      <c r="W118" s="268"/>
      <c r="X118" s="254" t="e">
        <f>tbl_明細[[#This Row],[仕入価格]]*tbl_明細[[#This Row],[数量]]+tbl_明細[[#This Row],[仕入価格（M)]]*tbl_明細[[#This Row],[数量（M)]]</f>
        <v>#VALUE!</v>
      </c>
      <c r="Y118" s="254">
        <f>tbl_明細[[#This Row],[販売価格（売値）]]*tbl_明細[[#This Row],[数量]]+tbl_明細[[#This Row],[販売価格（M)]]*tbl_明細[[#This Row],[数量（M)]]</f>
        <v>5190</v>
      </c>
      <c r="Z118" s="257" t="str">
        <f>_xlfn.XLOOKUP(tbl_明細[[#This Row],[案件番号]],tbl_案件追跡[案件番号],tbl_案件追跡[受注],"",0,1)</f>
        <v/>
      </c>
      <c r="AA118" s="228">
        <f>tbl_明細[[#This Row],[販売価格（売値）]]+tbl_明細[[#This Row],[販売価格（M)]]</f>
        <v>865</v>
      </c>
      <c r="AB118" s="261">
        <f>tbl_明細[[#This Row],[販売価格（売値）]]*1.08+tbl_明細[[#This Row],[販売価格（M)]]*1.08</f>
        <v>934.2</v>
      </c>
    </row>
    <row r="119" spans="1:28">
      <c r="A119" s="73" t="s">
        <v>1954</v>
      </c>
      <c r="B119" s="77">
        <f>IF(ISBLANK(tbl_明細[[#This Row],[案件番号]]),"",COUNTIFS($A$3:A119,tbl_明細[[#This Row],[案件番号]],$AA$3:AA119,"&gt;0"))</f>
        <v>68</v>
      </c>
      <c r="C119" s="71">
        <f>COUNTIFS($A$3:A119,tbl_明細[[#This Row],[案件番号]],$F$3:F119,tbl_明細[[#This Row],[仕入先]])</f>
        <v>9</v>
      </c>
      <c r="D119" s="77" t="str">
        <f>_xlfn.XLOOKUP(tbl_明細[[#This Row],[案件番号]],tbl_採番[案件番号],tbl_採番[顧客],"",0,1)</f>
        <v>加古川ヤマトヤシキ</v>
      </c>
      <c r="E119" s="71" t="s">
        <v>2029</v>
      </c>
      <c r="F119" s="118" t="str">
        <f>IF(ISBLANK(tbl_明細[[#This Row],[仕入先（M)]]),_xlfn.XLOOKUP(tbl_明細[[#This Row],[商品ID]],商品マスタ[商品連番],商品マスタ[仕入先],"",0,1),tbl_明細[[#This Row],[仕入先（M)]])</f>
        <v>(有)十勝しんむら牧場</v>
      </c>
      <c r="G119" s="112" t="str">
        <f>IF(ISBLANK(tbl_明細[[#This Row],[商品名（M)]]),_xlfn.XLOOKUP(tbl_明細[[#This Row],[商品ID]],商品マスタ[商品連番],商品マスタ[商品名],"",0,),tbl_明細[[#This Row],[商品名（M)]])</f>
        <v>スコーン</v>
      </c>
      <c r="H119" s="80">
        <f>IF(ISBLANK(tbl_明細[[#This Row],[仕入価格（M)]]),_xlfn.XLOOKUP(tbl_明細[[#This Row],[商品ID]],商品マスタ[商品連番],商品マスタ[仕入
単価],"",0,1),tbl_明細[[#This Row],[仕入価格（M)]])</f>
        <v>21000</v>
      </c>
      <c r="I119" s="80">
        <f>_xlfn.XLOOKUP(tbl_明細[[#This Row],[商品ID]],商品マスタ[商品連番],商品マスタ[国内定価
（15％）],"",0,1)</f>
        <v>27180</v>
      </c>
      <c r="J119" s="265">
        <v>618</v>
      </c>
      <c r="K119" s="71">
        <v>20</v>
      </c>
      <c r="L119" s="77" t="str">
        <f>_xlfn.XLOOKUP(tbl_明細[[#This Row],[商品ID]],商品マスタ[商品連番],商品マスタ[単位],"",0,1)</f>
        <v>個</v>
      </c>
      <c r="M119" s="249">
        <f>1-tbl_明細[[#This Row],[仕入価格]]/tbl_明細[[#This Row],[販売価格（売値）]]</f>
        <v>-32.980582524271846</v>
      </c>
      <c r="N119" s="189">
        <f>_xlfn.XLOOKUP(tbl_明細[[#This Row],[商品ID]],商品マスタ[商品連番],商品マスタ[税率],"",0,1)</f>
        <v>0.08</v>
      </c>
      <c r="O119" s="266"/>
      <c r="P119" s="71"/>
      <c r="Q119" s="265"/>
      <c r="R119" s="265"/>
      <c r="S119" s="71"/>
      <c r="T119" s="71"/>
      <c r="U119" s="267"/>
      <c r="V119" s="267"/>
      <c r="W119" s="268"/>
      <c r="X119" s="254">
        <f>tbl_明細[[#This Row],[仕入価格]]*tbl_明細[[#This Row],[数量]]+tbl_明細[[#This Row],[仕入価格（M)]]*tbl_明細[[#This Row],[数量（M)]]</f>
        <v>420000</v>
      </c>
      <c r="Y119" s="254">
        <f>tbl_明細[[#This Row],[販売価格（売値）]]*tbl_明細[[#This Row],[数量]]+tbl_明細[[#This Row],[販売価格（M)]]*tbl_明細[[#This Row],[数量（M)]]</f>
        <v>12360</v>
      </c>
      <c r="Z119" s="257" t="str">
        <f>_xlfn.XLOOKUP(tbl_明細[[#This Row],[案件番号]],tbl_案件追跡[案件番号],tbl_案件追跡[受注],"",0,1)</f>
        <v/>
      </c>
      <c r="AA119" s="228">
        <f>tbl_明細[[#This Row],[販売価格（売値）]]+tbl_明細[[#This Row],[販売価格（M)]]</f>
        <v>618</v>
      </c>
      <c r="AB119" s="261">
        <f>tbl_明細[[#This Row],[販売価格（売値）]]*1.08+tbl_明細[[#This Row],[販売価格（M)]]*1.08</f>
        <v>667.44</v>
      </c>
    </row>
    <row r="120" spans="1:28">
      <c r="A120" s="73" t="s">
        <v>1954</v>
      </c>
      <c r="B120" s="77">
        <f>IF(ISBLANK(tbl_明細[[#This Row],[案件番号]]),"",COUNTIFS($A$3:A120,tbl_明細[[#This Row],[案件番号]],$AA$3:AA120,"&gt;0"))</f>
        <v>69</v>
      </c>
      <c r="C120" s="71">
        <f>COUNTIFS($A$3:A120,tbl_明細[[#This Row],[案件番号]],$F$3:F120,tbl_明細[[#This Row],[仕入先]])</f>
        <v>1</v>
      </c>
      <c r="D120" s="77" t="str">
        <f>_xlfn.XLOOKUP(tbl_明細[[#This Row],[案件番号]],tbl_採番[案件番号],tbl_採番[顧客],"",0,1)</f>
        <v>加古川ヤマトヤシキ</v>
      </c>
      <c r="E120" s="71" t="s">
        <v>1969</v>
      </c>
      <c r="F120" s="118" t="str">
        <f>IF(ISBLANK(tbl_明細[[#This Row],[仕入先（M)]]),_xlfn.XLOOKUP(tbl_明細[[#This Row],[商品ID]],商品マスタ[商品連番],商品マスタ[仕入先],"",0,1),tbl_明細[[#This Row],[仕入先（M)]])</f>
        <v>小樽うんがぷらす</v>
      </c>
      <c r="G120" s="112" t="str">
        <f>IF(ISBLANK(tbl_明細[[#This Row],[商品名（M)]]),_xlfn.XLOOKUP(tbl_明細[[#This Row],[商品ID]],商品マスタ[商品連番],商品マスタ[商品名],"",0,),tbl_明細[[#This Row],[商品名（M)]])</f>
        <v>北海道産 紫花豆</v>
      </c>
      <c r="H120" s="80" t="str">
        <f>IF(ISBLANK(tbl_明細[[#This Row],[仕入価格（M)]]),_xlfn.XLOOKUP(tbl_明細[[#This Row],[商品ID]],商品マスタ[商品連番],商品マスタ[仕入
単価],"",0,1),tbl_明細[[#This Row],[仕入価格（M)]])</f>
        <v/>
      </c>
      <c r="I120" s="80" t="str">
        <f>_xlfn.XLOOKUP(tbl_明細[[#This Row],[商品ID]],商品マスタ[商品連番],商品マスタ[国内定価
（15％）],"",0,1)</f>
        <v/>
      </c>
      <c r="J120" s="265"/>
      <c r="K120" s="71"/>
      <c r="L120" s="77" t="str">
        <f>_xlfn.XLOOKUP(tbl_明細[[#This Row],[商品ID]],商品マスタ[商品連番],商品マスタ[単位],"",0,1)</f>
        <v/>
      </c>
      <c r="M120" s="249" t="e">
        <f>1-tbl_明細[[#This Row],[仕入価格]]/tbl_明細[[#This Row],[販売価格（売値）]]</f>
        <v>#VALUE!</v>
      </c>
      <c r="N120" s="189" t="str">
        <f>_xlfn.XLOOKUP(tbl_明細[[#This Row],[商品ID]],商品マスタ[商品連番],商品マスタ[税率],"",0,1)</f>
        <v/>
      </c>
      <c r="O120" s="266" t="s">
        <v>2030</v>
      </c>
      <c r="P120" s="71" t="s">
        <v>2031</v>
      </c>
      <c r="Q120" s="265"/>
      <c r="R120" s="265">
        <v>480</v>
      </c>
      <c r="S120" s="71">
        <v>16</v>
      </c>
      <c r="T120" s="71" t="s">
        <v>795</v>
      </c>
      <c r="U120" s="267">
        <v>0.08</v>
      </c>
      <c r="V120" s="267"/>
      <c r="W120" s="268"/>
      <c r="X120" s="254" t="e">
        <f>tbl_明細[[#This Row],[仕入価格]]*tbl_明細[[#This Row],[数量]]+tbl_明細[[#This Row],[仕入価格（M)]]*tbl_明細[[#This Row],[数量（M)]]</f>
        <v>#VALUE!</v>
      </c>
      <c r="Y120" s="254">
        <f>tbl_明細[[#This Row],[販売価格（売値）]]*tbl_明細[[#This Row],[数量]]+tbl_明細[[#This Row],[販売価格（M)]]*tbl_明細[[#This Row],[数量（M)]]</f>
        <v>7680</v>
      </c>
      <c r="Z120" s="257" t="str">
        <f>_xlfn.XLOOKUP(tbl_明細[[#This Row],[案件番号]],tbl_案件追跡[案件番号],tbl_案件追跡[受注],"",0,1)</f>
        <v/>
      </c>
      <c r="AA120" s="228">
        <f>tbl_明細[[#This Row],[販売価格（売値）]]+tbl_明細[[#This Row],[販売価格（M)]]</f>
        <v>480</v>
      </c>
      <c r="AB120" s="261">
        <f>tbl_明細[[#This Row],[販売価格（売値）]]*1.08+tbl_明細[[#This Row],[販売価格（M)]]*1.08</f>
        <v>518.40000000000009</v>
      </c>
    </row>
    <row r="121" spans="1:28">
      <c r="A121" s="73" t="s">
        <v>1954</v>
      </c>
      <c r="B121" s="77">
        <f>IF(ISBLANK(tbl_明細[[#This Row],[案件番号]]),"",COUNTIFS($A$3:A121,tbl_明細[[#This Row],[案件番号]],$AA$3:AA121,"&gt;0"))</f>
        <v>70</v>
      </c>
      <c r="C121" s="71">
        <f>COUNTIFS($A$3:A121,tbl_明細[[#This Row],[案件番号]],$F$3:F121,tbl_明細[[#This Row],[仕入先]])</f>
        <v>2</v>
      </c>
      <c r="D121" s="77" t="str">
        <f>_xlfn.XLOOKUP(tbl_明細[[#This Row],[案件番号]],tbl_採番[案件番号],tbl_採番[顧客],"",0,1)</f>
        <v>加古川ヤマトヤシキ</v>
      </c>
      <c r="E121" s="71" t="s">
        <v>1969</v>
      </c>
      <c r="F121" s="118" t="str">
        <f>IF(ISBLANK(tbl_明細[[#This Row],[仕入先（M)]]),_xlfn.XLOOKUP(tbl_明細[[#This Row],[商品ID]],商品マスタ[商品連番],商品マスタ[仕入先],"",0,1),tbl_明細[[#This Row],[仕入先（M)]])</f>
        <v>小樽うんがぷらす</v>
      </c>
      <c r="G121" s="112" t="str">
        <f>IF(ISBLANK(tbl_明細[[#This Row],[商品名（M)]]),_xlfn.XLOOKUP(tbl_明細[[#This Row],[商品ID]],商品マスタ[商品連番],商品マスタ[商品名],"",0,),tbl_明細[[#This Row],[商品名（M)]])</f>
        <v>北海道産 虎豆</v>
      </c>
      <c r="H121" s="80" t="str">
        <f>IF(ISBLANK(tbl_明細[[#This Row],[仕入価格（M)]]),_xlfn.XLOOKUP(tbl_明細[[#This Row],[商品ID]],商品マスタ[商品連番],商品マスタ[仕入
単価],"",0,1),tbl_明細[[#This Row],[仕入価格（M)]])</f>
        <v/>
      </c>
      <c r="I121" s="80" t="str">
        <f>_xlfn.XLOOKUP(tbl_明細[[#This Row],[商品ID]],商品マスタ[商品連番],商品マスタ[国内定価
（15％）],"",0,1)</f>
        <v/>
      </c>
      <c r="J121" s="265"/>
      <c r="K121" s="71"/>
      <c r="L121" s="77" t="str">
        <f>_xlfn.XLOOKUP(tbl_明細[[#This Row],[商品ID]],商品マスタ[商品連番],商品マスタ[単位],"",0,1)</f>
        <v/>
      </c>
      <c r="M121" s="249" t="e">
        <f>1-tbl_明細[[#This Row],[仕入価格]]/tbl_明細[[#This Row],[販売価格（売値）]]</f>
        <v>#VALUE!</v>
      </c>
      <c r="N121" s="189" t="str">
        <f>_xlfn.XLOOKUP(tbl_明細[[#This Row],[商品ID]],商品マスタ[商品連番],商品マスタ[税率],"",0,1)</f>
        <v/>
      </c>
      <c r="O121" s="266" t="s">
        <v>2030</v>
      </c>
      <c r="P121" s="71" t="s">
        <v>2032</v>
      </c>
      <c r="Q121" s="265"/>
      <c r="R121" s="265">
        <v>480</v>
      </c>
      <c r="S121" s="71">
        <v>16</v>
      </c>
      <c r="T121" s="71" t="s">
        <v>795</v>
      </c>
      <c r="U121" s="267">
        <v>0.08</v>
      </c>
      <c r="V121" s="267"/>
      <c r="W121" s="268"/>
      <c r="X121" s="254" t="e">
        <f>tbl_明細[[#This Row],[仕入価格]]*tbl_明細[[#This Row],[数量]]+tbl_明細[[#This Row],[仕入価格（M)]]*tbl_明細[[#This Row],[数量（M)]]</f>
        <v>#VALUE!</v>
      </c>
      <c r="Y121" s="254">
        <f>tbl_明細[[#This Row],[販売価格（売値）]]*tbl_明細[[#This Row],[数量]]+tbl_明細[[#This Row],[販売価格（M)]]*tbl_明細[[#This Row],[数量（M)]]</f>
        <v>7680</v>
      </c>
      <c r="Z121" s="257" t="str">
        <f>_xlfn.XLOOKUP(tbl_明細[[#This Row],[案件番号]],tbl_案件追跡[案件番号],tbl_案件追跡[受注],"",0,1)</f>
        <v/>
      </c>
      <c r="AA121" s="228">
        <f>tbl_明細[[#This Row],[販売価格（売値）]]+tbl_明細[[#This Row],[販売価格（M)]]</f>
        <v>480</v>
      </c>
      <c r="AB121" s="261">
        <f>tbl_明細[[#This Row],[販売価格（売値）]]*1.08+tbl_明細[[#This Row],[販売価格（M)]]*1.08</f>
        <v>518.40000000000009</v>
      </c>
    </row>
    <row r="122" spans="1:28">
      <c r="A122" s="73" t="s">
        <v>1954</v>
      </c>
      <c r="B122" s="77">
        <f>IF(ISBLANK(tbl_明細[[#This Row],[案件番号]]),"",COUNTIFS($A$3:A122,tbl_明細[[#This Row],[案件番号]],$AA$3:AA122,"&gt;0"))</f>
        <v>71</v>
      </c>
      <c r="C122" s="71">
        <f>COUNTIFS($A$3:A122,tbl_明細[[#This Row],[案件番号]],$F$3:F122,tbl_明細[[#This Row],[仕入先]])</f>
        <v>3</v>
      </c>
      <c r="D122" s="77" t="str">
        <f>_xlfn.XLOOKUP(tbl_明細[[#This Row],[案件番号]],tbl_採番[案件番号],tbl_採番[顧客],"",0,1)</f>
        <v>加古川ヤマトヤシキ</v>
      </c>
      <c r="E122" s="71" t="s">
        <v>1969</v>
      </c>
      <c r="F122" s="118" t="str">
        <f>IF(ISBLANK(tbl_明細[[#This Row],[仕入先（M)]]),_xlfn.XLOOKUP(tbl_明細[[#This Row],[商品ID]],商品マスタ[商品連番],商品マスタ[仕入先],"",0,1),tbl_明細[[#This Row],[仕入先（M)]])</f>
        <v>小樽うんがぷらす</v>
      </c>
      <c r="G122" s="112" t="str">
        <f>IF(ISBLANK(tbl_明細[[#This Row],[商品名（M)]]),_xlfn.XLOOKUP(tbl_明細[[#This Row],[商品ID]],商品マスタ[商品連番],商品マスタ[商品名],"",0,),tbl_明細[[#This Row],[商品名（M)]])</f>
        <v>北海道産 大正金時豆</v>
      </c>
      <c r="H122" s="80" t="str">
        <f>IF(ISBLANK(tbl_明細[[#This Row],[仕入価格（M)]]),_xlfn.XLOOKUP(tbl_明細[[#This Row],[商品ID]],商品マスタ[商品連番],商品マスタ[仕入
単価],"",0,1),tbl_明細[[#This Row],[仕入価格（M)]])</f>
        <v/>
      </c>
      <c r="I122" s="80" t="str">
        <f>_xlfn.XLOOKUP(tbl_明細[[#This Row],[商品ID]],商品マスタ[商品連番],商品マスタ[国内定価
（15％）],"",0,1)</f>
        <v/>
      </c>
      <c r="J122" s="265"/>
      <c r="K122" s="71"/>
      <c r="L122" s="77" t="str">
        <f>_xlfn.XLOOKUP(tbl_明細[[#This Row],[商品ID]],商品マスタ[商品連番],商品マスタ[単位],"",0,1)</f>
        <v/>
      </c>
      <c r="M122" s="249" t="e">
        <f>1-tbl_明細[[#This Row],[仕入価格]]/tbl_明細[[#This Row],[販売価格（売値）]]</f>
        <v>#VALUE!</v>
      </c>
      <c r="N122" s="189" t="str">
        <f>_xlfn.XLOOKUP(tbl_明細[[#This Row],[商品ID]],商品マスタ[商品連番],商品マスタ[税率],"",0,1)</f>
        <v/>
      </c>
      <c r="O122" s="266" t="s">
        <v>2030</v>
      </c>
      <c r="P122" s="71" t="s">
        <v>2033</v>
      </c>
      <c r="Q122" s="265"/>
      <c r="R122" s="265">
        <v>480</v>
      </c>
      <c r="S122" s="71">
        <v>16</v>
      </c>
      <c r="T122" s="71" t="s">
        <v>795</v>
      </c>
      <c r="U122" s="267">
        <v>0.08</v>
      </c>
      <c r="V122" s="267"/>
      <c r="W122" s="268"/>
      <c r="X122" s="254" t="e">
        <f>tbl_明細[[#This Row],[仕入価格]]*tbl_明細[[#This Row],[数量]]+tbl_明細[[#This Row],[仕入価格（M)]]*tbl_明細[[#This Row],[数量（M)]]</f>
        <v>#VALUE!</v>
      </c>
      <c r="Y122" s="254">
        <f>tbl_明細[[#This Row],[販売価格（売値）]]*tbl_明細[[#This Row],[数量]]+tbl_明細[[#This Row],[販売価格（M)]]*tbl_明細[[#This Row],[数量（M)]]</f>
        <v>7680</v>
      </c>
      <c r="Z122" s="257" t="str">
        <f>_xlfn.XLOOKUP(tbl_明細[[#This Row],[案件番号]],tbl_案件追跡[案件番号],tbl_案件追跡[受注],"",0,1)</f>
        <v/>
      </c>
      <c r="AA122" s="228">
        <f>tbl_明細[[#This Row],[販売価格（売値）]]+tbl_明細[[#This Row],[販売価格（M)]]</f>
        <v>480</v>
      </c>
      <c r="AB122" s="261">
        <f>tbl_明細[[#This Row],[販売価格（売値）]]*1.08+tbl_明細[[#This Row],[販売価格（M)]]*1.08</f>
        <v>518.40000000000009</v>
      </c>
    </row>
    <row r="123" spans="1:28">
      <c r="A123" s="73" t="s">
        <v>1954</v>
      </c>
      <c r="B123" s="77">
        <f>IF(ISBLANK(tbl_明細[[#This Row],[案件番号]]),"",COUNTIFS($A$3:A123,tbl_明細[[#This Row],[案件番号]],$AA$3:AA123,"&gt;0"))</f>
        <v>72</v>
      </c>
      <c r="C123" s="71">
        <f>COUNTIFS($A$3:A123,tbl_明細[[#This Row],[案件番号]],$F$3:F123,tbl_明細[[#This Row],[仕入先]])</f>
        <v>4</v>
      </c>
      <c r="D123" s="77" t="str">
        <f>_xlfn.XLOOKUP(tbl_明細[[#This Row],[案件番号]],tbl_採番[案件番号],tbl_採番[顧客],"",0,1)</f>
        <v>加古川ヤマトヤシキ</v>
      </c>
      <c r="E123" s="71" t="s">
        <v>1969</v>
      </c>
      <c r="F123" s="118" t="str">
        <f>IF(ISBLANK(tbl_明細[[#This Row],[仕入先（M)]]),_xlfn.XLOOKUP(tbl_明細[[#This Row],[商品ID]],商品マスタ[商品連番],商品マスタ[仕入先],"",0,1),tbl_明細[[#This Row],[仕入先（M)]])</f>
        <v>小樽うんがぷらす</v>
      </c>
      <c r="G123" s="112" t="str">
        <f>IF(ISBLANK(tbl_明細[[#This Row],[商品名（M)]]),_xlfn.XLOOKUP(tbl_明細[[#This Row],[商品ID]],商品マスタ[商品連番],商品マスタ[商品名],"",0,),tbl_明細[[#This Row],[商品名（M)]])</f>
        <v>北海道産 鮭の醤油煮</v>
      </c>
      <c r="H123" s="80" t="str">
        <f>IF(ISBLANK(tbl_明細[[#This Row],[仕入価格（M)]]),_xlfn.XLOOKUP(tbl_明細[[#This Row],[商品ID]],商品マスタ[商品連番],商品マスタ[仕入
単価],"",0,1),tbl_明細[[#This Row],[仕入価格（M)]])</f>
        <v/>
      </c>
      <c r="I123" s="80" t="str">
        <f>_xlfn.XLOOKUP(tbl_明細[[#This Row],[商品ID]],商品マスタ[商品連番],商品マスタ[国内定価
（15％）],"",0,1)</f>
        <v/>
      </c>
      <c r="J123" s="265"/>
      <c r="K123" s="71"/>
      <c r="L123" s="77" t="str">
        <f>_xlfn.XLOOKUP(tbl_明細[[#This Row],[商品ID]],商品マスタ[商品連番],商品マスタ[単位],"",0,1)</f>
        <v/>
      </c>
      <c r="M123" s="249" t="e">
        <f>1-tbl_明細[[#This Row],[仕入価格]]/tbl_明細[[#This Row],[販売価格（売値）]]</f>
        <v>#VALUE!</v>
      </c>
      <c r="N123" s="189" t="str">
        <f>_xlfn.XLOOKUP(tbl_明細[[#This Row],[商品ID]],商品マスタ[商品連番],商品マスタ[税率],"",0,1)</f>
        <v/>
      </c>
      <c r="O123" s="266" t="s">
        <v>2030</v>
      </c>
      <c r="P123" s="71" t="s">
        <v>2034</v>
      </c>
      <c r="Q123" s="265"/>
      <c r="R123" s="265">
        <v>560</v>
      </c>
      <c r="S123" s="71">
        <v>24</v>
      </c>
      <c r="T123" s="71" t="s">
        <v>795</v>
      </c>
      <c r="U123" s="267">
        <v>0.08</v>
      </c>
      <c r="V123" s="267"/>
      <c r="W123" s="268"/>
      <c r="X123" s="254" t="e">
        <f>tbl_明細[[#This Row],[仕入価格]]*tbl_明細[[#This Row],[数量]]+tbl_明細[[#This Row],[仕入価格（M)]]*tbl_明細[[#This Row],[数量（M)]]</f>
        <v>#VALUE!</v>
      </c>
      <c r="Y123" s="254">
        <f>tbl_明細[[#This Row],[販売価格（売値）]]*tbl_明細[[#This Row],[数量]]+tbl_明細[[#This Row],[販売価格（M)]]*tbl_明細[[#This Row],[数量（M)]]</f>
        <v>13440</v>
      </c>
      <c r="Z123" s="257" t="str">
        <f>_xlfn.XLOOKUP(tbl_明細[[#This Row],[案件番号]],tbl_案件追跡[案件番号],tbl_案件追跡[受注],"",0,1)</f>
        <v/>
      </c>
      <c r="AA123" s="228">
        <f>tbl_明細[[#This Row],[販売価格（売値）]]+tbl_明細[[#This Row],[販売価格（M)]]</f>
        <v>560</v>
      </c>
      <c r="AB123" s="261">
        <f>tbl_明細[[#This Row],[販売価格（売値）]]*1.08+tbl_明細[[#This Row],[販売価格（M)]]*1.08</f>
        <v>604.80000000000007</v>
      </c>
    </row>
    <row r="124" spans="1:28">
      <c r="A124" s="73" t="s">
        <v>1954</v>
      </c>
      <c r="B124" s="77">
        <f>IF(ISBLANK(tbl_明細[[#This Row],[案件番号]]),"",COUNTIFS($A$3:A124,tbl_明細[[#This Row],[案件番号]],$AA$3:AA124,"&gt;0"))</f>
        <v>73</v>
      </c>
      <c r="C124" s="71">
        <f>COUNTIFS($A$3:A124,tbl_明細[[#This Row],[案件番号]],$F$3:F124,tbl_明細[[#This Row],[仕入先]])</f>
        <v>5</v>
      </c>
      <c r="D124" s="77" t="str">
        <f>_xlfn.XLOOKUP(tbl_明細[[#This Row],[案件番号]],tbl_採番[案件番号],tbl_採番[顧客],"",0,1)</f>
        <v>加古川ヤマトヤシキ</v>
      </c>
      <c r="E124" s="71" t="s">
        <v>1969</v>
      </c>
      <c r="F124" s="118" t="str">
        <f>IF(ISBLANK(tbl_明細[[#This Row],[仕入先（M)]]),_xlfn.XLOOKUP(tbl_明細[[#This Row],[商品ID]],商品マスタ[商品連番],商品マスタ[仕入先],"",0,1),tbl_明細[[#This Row],[仕入先（M)]])</f>
        <v>小樽うんがぷらす</v>
      </c>
      <c r="G124" s="112" t="str">
        <f>IF(ISBLANK(tbl_明細[[#This Row],[商品名（M)]]),_xlfn.XLOOKUP(tbl_明細[[#This Row],[商品ID]],商品マスタ[商品連番],商品マスタ[商品名],"",0,),tbl_明細[[#This Row],[商品名（M)]])</f>
        <v>北海道産 秋刀魚水煮 柚子香味</v>
      </c>
      <c r="H124" s="80" t="str">
        <f>IF(ISBLANK(tbl_明細[[#This Row],[仕入価格（M)]]),_xlfn.XLOOKUP(tbl_明細[[#This Row],[商品ID]],商品マスタ[商品連番],商品マスタ[仕入
単価],"",0,1),tbl_明細[[#This Row],[仕入価格（M)]])</f>
        <v/>
      </c>
      <c r="I124" s="80" t="str">
        <f>_xlfn.XLOOKUP(tbl_明細[[#This Row],[商品ID]],商品マスタ[商品連番],商品マスタ[国内定価
（15％）],"",0,1)</f>
        <v/>
      </c>
      <c r="J124" s="265"/>
      <c r="K124" s="71"/>
      <c r="L124" s="77" t="str">
        <f>_xlfn.XLOOKUP(tbl_明細[[#This Row],[商品ID]],商品マスタ[商品連番],商品マスタ[単位],"",0,1)</f>
        <v/>
      </c>
      <c r="M124" s="249" t="e">
        <f>1-tbl_明細[[#This Row],[仕入価格]]/tbl_明細[[#This Row],[販売価格（売値）]]</f>
        <v>#VALUE!</v>
      </c>
      <c r="N124" s="189" t="str">
        <f>_xlfn.XLOOKUP(tbl_明細[[#This Row],[商品ID]],商品マスタ[商品連番],商品マスタ[税率],"",0,1)</f>
        <v/>
      </c>
      <c r="O124" s="266" t="s">
        <v>2030</v>
      </c>
      <c r="P124" s="71" t="s">
        <v>2035</v>
      </c>
      <c r="Q124" s="265"/>
      <c r="R124" s="265">
        <v>560</v>
      </c>
      <c r="S124" s="71">
        <v>24</v>
      </c>
      <c r="T124" s="71" t="s">
        <v>795</v>
      </c>
      <c r="U124" s="267">
        <v>0.08</v>
      </c>
      <c r="V124" s="267"/>
      <c r="W124" s="268"/>
      <c r="X124" s="254" t="e">
        <f>tbl_明細[[#This Row],[仕入価格]]*tbl_明細[[#This Row],[数量]]+tbl_明細[[#This Row],[仕入価格（M)]]*tbl_明細[[#This Row],[数量（M)]]</f>
        <v>#VALUE!</v>
      </c>
      <c r="Y124" s="254">
        <f>tbl_明細[[#This Row],[販売価格（売値）]]*tbl_明細[[#This Row],[数量]]+tbl_明細[[#This Row],[販売価格（M)]]*tbl_明細[[#This Row],[数量（M)]]</f>
        <v>13440</v>
      </c>
      <c r="Z124" s="257" t="str">
        <f>_xlfn.XLOOKUP(tbl_明細[[#This Row],[案件番号]],tbl_案件追跡[案件番号],tbl_案件追跡[受注],"",0,1)</f>
        <v/>
      </c>
      <c r="AA124" s="228">
        <f>tbl_明細[[#This Row],[販売価格（売値）]]+tbl_明細[[#This Row],[販売価格（M)]]</f>
        <v>560</v>
      </c>
      <c r="AB124" s="261">
        <f>tbl_明細[[#This Row],[販売価格（売値）]]*1.08+tbl_明細[[#This Row],[販売価格（M)]]*1.08</f>
        <v>604.80000000000007</v>
      </c>
    </row>
    <row r="125" spans="1:28">
      <c r="A125" s="73" t="s">
        <v>1954</v>
      </c>
      <c r="B125" s="77">
        <f>IF(ISBLANK(tbl_明細[[#This Row],[案件番号]]),"",COUNTIFS($A$3:A125,tbl_明細[[#This Row],[案件番号]],$AA$3:AA125,"&gt;0"))</f>
        <v>74</v>
      </c>
      <c r="C125" s="71">
        <f>COUNTIFS($A$3:A125,tbl_明細[[#This Row],[案件番号]],$F$3:F125,tbl_明細[[#This Row],[仕入先]])</f>
        <v>1</v>
      </c>
      <c r="D125" s="77" t="str">
        <f>_xlfn.XLOOKUP(tbl_明細[[#This Row],[案件番号]],tbl_採番[案件番号],tbl_採番[顧客],"",0,1)</f>
        <v>加古川ヤマトヤシキ</v>
      </c>
      <c r="E125" s="71" t="s">
        <v>1969</v>
      </c>
      <c r="F125" s="118" t="str">
        <f>IF(ISBLANK(tbl_明細[[#This Row],[仕入先（M)]]),_xlfn.XLOOKUP(tbl_明細[[#This Row],[商品ID]],商品マスタ[商品連番],商品マスタ[仕入先],"",0,1),tbl_明細[[#This Row],[仕入先（M)]])</f>
        <v>小樽水産加工業協同組合</v>
      </c>
      <c r="G125" s="112" t="str">
        <f>IF(ISBLANK(tbl_明細[[#This Row],[商品名（M)]]),_xlfn.XLOOKUP(tbl_明細[[#This Row],[商品ID]],商品マスタ[商品連番],商品マスタ[商品名],"",0,),tbl_明細[[#This Row],[商品名（M)]])</f>
        <v>寒干し棒たら炊き180g</v>
      </c>
      <c r="H125" s="80" t="str">
        <f>IF(ISBLANK(tbl_明細[[#This Row],[仕入価格（M)]]),_xlfn.XLOOKUP(tbl_明細[[#This Row],[商品ID]],商品マスタ[商品連番],商品マスタ[仕入
単価],"",0,1),tbl_明細[[#This Row],[仕入価格（M)]])</f>
        <v/>
      </c>
      <c r="I125" s="80" t="str">
        <f>_xlfn.XLOOKUP(tbl_明細[[#This Row],[商品ID]],商品マスタ[商品連番],商品マスタ[国内定価
（15％）],"",0,1)</f>
        <v/>
      </c>
      <c r="J125" s="265"/>
      <c r="K125" s="71"/>
      <c r="L125" s="77" t="str">
        <f>_xlfn.XLOOKUP(tbl_明細[[#This Row],[商品ID]],商品マスタ[商品連番],商品マスタ[単位],"",0,1)</f>
        <v/>
      </c>
      <c r="M125" s="249" t="e">
        <f>1-tbl_明細[[#This Row],[仕入価格]]/tbl_明細[[#This Row],[販売価格（売値）]]</f>
        <v>#VALUE!</v>
      </c>
      <c r="N125" s="189" t="str">
        <f>_xlfn.XLOOKUP(tbl_明細[[#This Row],[商品ID]],商品マスタ[商品連番],商品マスタ[税率],"",0,1)</f>
        <v/>
      </c>
      <c r="O125" s="266" t="s">
        <v>1256</v>
      </c>
      <c r="P125" s="71" t="s">
        <v>2036</v>
      </c>
      <c r="Q125" s="265"/>
      <c r="R125" s="265">
        <v>518</v>
      </c>
      <c r="S125" s="71">
        <v>20</v>
      </c>
      <c r="T125" s="71" t="s">
        <v>795</v>
      </c>
      <c r="U125" s="267">
        <v>0.08</v>
      </c>
      <c r="V125" s="267"/>
      <c r="W125" s="268"/>
      <c r="X125" s="254" t="e">
        <f>tbl_明細[[#This Row],[仕入価格]]*tbl_明細[[#This Row],[数量]]+tbl_明細[[#This Row],[仕入価格（M)]]*tbl_明細[[#This Row],[数量（M)]]</f>
        <v>#VALUE!</v>
      </c>
      <c r="Y125" s="254">
        <f>tbl_明細[[#This Row],[販売価格（売値）]]*tbl_明細[[#This Row],[数量]]+tbl_明細[[#This Row],[販売価格（M)]]*tbl_明細[[#This Row],[数量（M)]]</f>
        <v>10360</v>
      </c>
      <c r="Z125" s="257" t="str">
        <f>_xlfn.XLOOKUP(tbl_明細[[#This Row],[案件番号]],tbl_案件追跡[案件番号],tbl_案件追跡[受注],"",0,1)</f>
        <v/>
      </c>
      <c r="AA125" s="228">
        <f>tbl_明細[[#This Row],[販売価格（売値）]]+tbl_明細[[#This Row],[販売価格（M)]]</f>
        <v>518</v>
      </c>
      <c r="AB125" s="261">
        <f>tbl_明細[[#This Row],[販売価格（売値）]]*1.08+tbl_明細[[#This Row],[販売価格（M)]]*1.08</f>
        <v>559.44000000000005</v>
      </c>
    </row>
    <row r="126" spans="1:28">
      <c r="A126" s="73" t="s">
        <v>1954</v>
      </c>
      <c r="B126" s="77">
        <f>IF(ISBLANK(tbl_明細[[#This Row],[案件番号]]),"",COUNTIFS($A$3:A126,tbl_明細[[#This Row],[案件番号]],$AA$3:AA126,"&gt;0"))</f>
        <v>75</v>
      </c>
      <c r="C126" s="71">
        <f>COUNTIFS($A$3:A126,tbl_明細[[#This Row],[案件番号]],$F$3:F126,tbl_明細[[#This Row],[仕入先]])</f>
        <v>2</v>
      </c>
      <c r="D126" s="77" t="str">
        <f>_xlfn.XLOOKUP(tbl_明細[[#This Row],[案件番号]],tbl_採番[案件番号],tbl_採番[顧客],"",0,1)</f>
        <v>加古川ヤマトヤシキ</v>
      </c>
      <c r="E126" s="71" t="s">
        <v>1969</v>
      </c>
      <c r="F126" s="118" t="str">
        <f>IF(ISBLANK(tbl_明細[[#This Row],[仕入先（M)]]),_xlfn.XLOOKUP(tbl_明細[[#This Row],[商品ID]],商品マスタ[商品連番],商品マスタ[仕入先],"",0,1),tbl_明細[[#This Row],[仕入先（M)]])</f>
        <v>小樽水産加工業協同組合</v>
      </c>
      <c r="G126" s="112" t="str">
        <f>IF(ISBLANK(tbl_明細[[#This Row],[商品名（M)]]),_xlfn.XLOOKUP(tbl_明細[[#This Row],[商品ID]],商品マスタ[商品連番],商品マスタ[商品名],"",0,),tbl_明細[[#This Row],[商品名（M)]])</f>
        <v>縞ホッケふっくら小樽煮170g</v>
      </c>
      <c r="H126" s="80" t="str">
        <f>IF(ISBLANK(tbl_明細[[#This Row],[仕入価格（M)]]),_xlfn.XLOOKUP(tbl_明細[[#This Row],[商品ID]],商品マスタ[商品連番],商品マスタ[仕入
単価],"",0,1),tbl_明細[[#This Row],[仕入価格（M)]])</f>
        <v/>
      </c>
      <c r="I126" s="80" t="str">
        <f>_xlfn.XLOOKUP(tbl_明細[[#This Row],[商品ID]],商品マスタ[商品連番],商品マスタ[国内定価
（15％）],"",0,1)</f>
        <v/>
      </c>
      <c r="J126" s="265"/>
      <c r="K126" s="71"/>
      <c r="L126" s="77" t="str">
        <f>_xlfn.XLOOKUP(tbl_明細[[#This Row],[商品ID]],商品マスタ[商品連番],商品マスタ[単位],"",0,1)</f>
        <v/>
      </c>
      <c r="M126" s="249" t="e">
        <f>1-tbl_明細[[#This Row],[仕入価格]]/tbl_明細[[#This Row],[販売価格（売値）]]</f>
        <v>#VALUE!</v>
      </c>
      <c r="N126" s="189" t="str">
        <f>_xlfn.XLOOKUP(tbl_明細[[#This Row],[商品ID]],商品マスタ[商品連番],商品マスタ[税率],"",0,1)</f>
        <v/>
      </c>
      <c r="O126" s="266" t="s">
        <v>1256</v>
      </c>
      <c r="P126" s="71" t="s">
        <v>2037</v>
      </c>
      <c r="Q126" s="265"/>
      <c r="R126" s="265">
        <v>460</v>
      </c>
      <c r="S126" s="71">
        <v>20</v>
      </c>
      <c r="T126" s="71" t="s">
        <v>795</v>
      </c>
      <c r="U126" s="267">
        <v>0.08</v>
      </c>
      <c r="V126" s="267"/>
      <c r="W126" s="268"/>
      <c r="X126" s="254" t="e">
        <f>tbl_明細[[#This Row],[仕入価格]]*tbl_明細[[#This Row],[数量]]+tbl_明細[[#This Row],[仕入価格（M)]]*tbl_明細[[#This Row],[数量（M)]]</f>
        <v>#VALUE!</v>
      </c>
      <c r="Y126" s="254">
        <f>tbl_明細[[#This Row],[販売価格（売値）]]*tbl_明細[[#This Row],[数量]]+tbl_明細[[#This Row],[販売価格（M)]]*tbl_明細[[#This Row],[数量（M)]]</f>
        <v>9200</v>
      </c>
      <c r="Z126" s="257" t="str">
        <f>_xlfn.XLOOKUP(tbl_明細[[#This Row],[案件番号]],tbl_案件追跡[案件番号],tbl_案件追跡[受注],"",0,1)</f>
        <v/>
      </c>
      <c r="AA126" s="228">
        <f>tbl_明細[[#This Row],[販売価格（売値）]]+tbl_明細[[#This Row],[販売価格（M)]]</f>
        <v>460</v>
      </c>
      <c r="AB126" s="261">
        <f>tbl_明細[[#This Row],[販売価格（売値）]]*1.08+tbl_明細[[#This Row],[販売価格（M)]]*1.08</f>
        <v>496.8</v>
      </c>
    </row>
    <row r="127" spans="1:28">
      <c r="A127" s="73" t="s">
        <v>1954</v>
      </c>
      <c r="B127" s="77">
        <f>IF(ISBLANK(tbl_明細[[#This Row],[案件番号]]),"",COUNTIFS($A$3:A127,tbl_明細[[#This Row],[案件番号]],$AA$3:AA127,"&gt;0"))</f>
        <v>76</v>
      </c>
      <c r="C127" s="71">
        <f>COUNTIFS($A$3:A127,tbl_明細[[#This Row],[案件番号]],$F$3:F127,tbl_明細[[#This Row],[仕入先]])</f>
        <v>3</v>
      </c>
      <c r="D127" s="77" t="str">
        <f>_xlfn.XLOOKUP(tbl_明細[[#This Row],[案件番号]],tbl_採番[案件番号],tbl_採番[顧客],"",0,1)</f>
        <v>加古川ヤマトヤシキ</v>
      </c>
      <c r="E127" s="71" t="s">
        <v>1969</v>
      </c>
      <c r="F127" s="118" t="str">
        <f>IF(ISBLANK(tbl_明細[[#This Row],[仕入先（M)]]),_xlfn.XLOOKUP(tbl_明細[[#This Row],[商品ID]],商品マスタ[商品連番],商品マスタ[仕入先],"",0,1),tbl_明細[[#This Row],[仕入先（M)]])</f>
        <v>小樽水産加工業協同組合</v>
      </c>
      <c r="G127" s="112" t="str">
        <f>IF(ISBLANK(tbl_明細[[#This Row],[商品名（M)]]),_xlfn.XLOOKUP(tbl_明細[[#This Row],[商品ID]],商品マスタ[商品連番],商品マスタ[商品名],"",0,),tbl_明細[[#This Row],[商品名（M)]])</f>
        <v>ヤン衆まるごと鰊180g</v>
      </c>
      <c r="H127" s="80" t="str">
        <f>IF(ISBLANK(tbl_明細[[#This Row],[仕入価格（M)]]),_xlfn.XLOOKUP(tbl_明細[[#This Row],[商品ID]],商品マスタ[商品連番],商品マスタ[仕入
単価],"",0,1),tbl_明細[[#This Row],[仕入価格（M)]])</f>
        <v/>
      </c>
      <c r="I127" s="80" t="str">
        <f>_xlfn.XLOOKUP(tbl_明細[[#This Row],[商品ID]],商品マスタ[商品連番],商品マスタ[国内定価
（15％）],"",0,1)</f>
        <v/>
      </c>
      <c r="J127" s="265"/>
      <c r="K127" s="71"/>
      <c r="L127" s="77" t="str">
        <f>_xlfn.XLOOKUP(tbl_明細[[#This Row],[商品ID]],商品マスタ[商品連番],商品マスタ[単位],"",0,1)</f>
        <v/>
      </c>
      <c r="M127" s="249" t="e">
        <f>1-tbl_明細[[#This Row],[仕入価格]]/tbl_明細[[#This Row],[販売価格（売値）]]</f>
        <v>#VALUE!</v>
      </c>
      <c r="N127" s="189" t="str">
        <f>_xlfn.XLOOKUP(tbl_明細[[#This Row],[商品ID]],商品マスタ[商品連番],商品マスタ[税率],"",0,1)</f>
        <v/>
      </c>
      <c r="O127" s="266" t="s">
        <v>1256</v>
      </c>
      <c r="P127" s="71" t="s">
        <v>2038</v>
      </c>
      <c r="Q127" s="265"/>
      <c r="R127" s="265">
        <v>470</v>
      </c>
      <c r="S127" s="71">
        <v>20</v>
      </c>
      <c r="T127" s="71" t="s">
        <v>795</v>
      </c>
      <c r="U127" s="267">
        <v>0.08</v>
      </c>
      <c r="V127" s="267"/>
      <c r="W127" s="268"/>
      <c r="X127" s="254" t="e">
        <f>tbl_明細[[#This Row],[仕入価格]]*tbl_明細[[#This Row],[数量]]+tbl_明細[[#This Row],[仕入価格（M)]]*tbl_明細[[#This Row],[数量（M)]]</f>
        <v>#VALUE!</v>
      </c>
      <c r="Y127" s="254">
        <f>tbl_明細[[#This Row],[販売価格（売値）]]*tbl_明細[[#This Row],[数量]]+tbl_明細[[#This Row],[販売価格（M)]]*tbl_明細[[#This Row],[数量（M)]]</f>
        <v>9400</v>
      </c>
      <c r="Z127" s="257" t="str">
        <f>_xlfn.XLOOKUP(tbl_明細[[#This Row],[案件番号]],tbl_案件追跡[案件番号],tbl_案件追跡[受注],"",0,1)</f>
        <v/>
      </c>
      <c r="AA127" s="228">
        <f>tbl_明細[[#This Row],[販売価格（売値）]]+tbl_明細[[#This Row],[販売価格（M)]]</f>
        <v>470</v>
      </c>
      <c r="AB127" s="261">
        <f>tbl_明細[[#This Row],[販売価格（売値）]]*1.08+tbl_明細[[#This Row],[販売価格（M)]]*1.08</f>
        <v>507.6</v>
      </c>
    </row>
    <row r="128" spans="1:28">
      <c r="A128" s="73" t="s">
        <v>1954</v>
      </c>
      <c r="B128" s="77">
        <f>IF(ISBLANK(tbl_明細[[#This Row],[案件番号]]),"",COUNTIFS($A$3:A128,tbl_明細[[#This Row],[案件番号]],$AA$3:AA128,"&gt;0"))</f>
        <v>77</v>
      </c>
      <c r="C128" s="71">
        <f>COUNTIFS($A$3:A128,tbl_明細[[#This Row],[案件番号]],$F$3:F128,tbl_明細[[#This Row],[仕入先]])</f>
        <v>4</v>
      </c>
      <c r="D128" s="77" t="str">
        <f>_xlfn.XLOOKUP(tbl_明細[[#This Row],[案件番号]],tbl_採番[案件番号],tbl_採番[顧客],"",0,1)</f>
        <v>加古川ヤマトヤシキ</v>
      </c>
      <c r="E128" s="71" t="s">
        <v>2039</v>
      </c>
      <c r="F128" s="118" t="str">
        <f>IF(ISBLANK(tbl_明細[[#This Row],[仕入先（M)]]),_xlfn.XLOOKUP(tbl_明細[[#This Row],[商品ID]],商品マスタ[商品連番],商品マスタ[仕入先],"",0,1),tbl_明細[[#This Row],[仕入先（M)]])</f>
        <v>小樽水産加工業協同組合</v>
      </c>
      <c r="G128" s="112" t="str">
        <f>IF(ISBLANK(tbl_明細[[#This Row],[商品名（M)]]),_xlfn.XLOOKUP(tbl_明細[[#This Row],[商品ID]],商品マスタ[商品連番],商品マスタ[商品名],"",0,),tbl_明細[[#This Row],[商品名（M)]])</f>
        <v>にしん甘露煮</v>
      </c>
      <c r="H128" s="80">
        <f>IF(ISBLANK(tbl_明細[[#This Row],[仕入価格（M)]]),_xlfn.XLOOKUP(tbl_明細[[#This Row],[商品ID]],商品マスタ[商品連番],商品マスタ[仕入
単価],"",0,1),tbl_明細[[#This Row],[仕入価格（M)]])</f>
        <v>365</v>
      </c>
      <c r="I128" s="80">
        <f>_xlfn.XLOOKUP(tbl_明細[[#This Row],[商品ID]],商品マスタ[商品連番],商品マスタ[国内定価
（15％）],"",0,1)</f>
        <v>430</v>
      </c>
      <c r="J128" s="265">
        <v>460</v>
      </c>
      <c r="K128" s="71">
        <v>20</v>
      </c>
      <c r="L128" s="77" t="str">
        <f>_xlfn.XLOOKUP(tbl_明細[[#This Row],[商品ID]],商品マスタ[商品連番],商品マスタ[単位],"",0,1)</f>
        <v>袋</v>
      </c>
      <c r="M128" s="249">
        <f>1-tbl_明細[[#This Row],[仕入価格]]/tbl_明細[[#This Row],[販売価格（売値）]]</f>
        <v>0.20652173913043481</v>
      </c>
      <c r="N128" s="189">
        <f>_xlfn.XLOOKUP(tbl_明細[[#This Row],[商品ID]],商品マスタ[商品連番],商品マスタ[税率],"",0,1)</f>
        <v>0.08</v>
      </c>
      <c r="O128" s="266"/>
      <c r="P128" s="71"/>
      <c r="Q128" s="265"/>
      <c r="R128" s="265"/>
      <c r="S128" s="71"/>
      <c r="T128" s="71"/>
      <c r="U128" s="267"/>
      <c r="V128" s="267"/>
      <c r="W128" s="268"/>
      <c r="X128" s="254">
        <f>tbl_明細[[#This Row],[仕入価格]]*tbl_明細[[#This Row],[数量]]+tbl_明細[[#This Row],[仕入価格（M)]]*tbl_明細[[#This Row],[数量（M)]]</f>
        <v>7300</v>
      </c>
      <c r="Y128" s="254">
        <f>tbl_明細[[#This Row],[販売価格（売値）]]*tbl_明細[[#This Row],[数量]]+tbl_明細[[#This Row],[販売価格（M)]]*tbl_明細[[#This Row],[数量（M)]]</f>
        <v>9200</v>
      </c>
      <c r="Z128" s="257" t="str">
        <f>_xlfn.XLOOKUP(tbl_明細[[#This Row],[案件番号]],tbl_案件追跡[案件番号],tbl_案件追跡[受注],"",0,1)</f>
        <v/>
      </c>
      <c r="AA128" s="228">
        <f>tbl_明細[[#This Row],[販売価格（売値）]]+tbl_明細[[#This Row],[販売価格（M)]]</f>
        <v>460</v>
      </c>
      <c r="AB128" s="261">
        <f>tbl_明細[[#This Row],[販売価格（売値）]]*1.08+tbl_明細[[#This Row],[販売価格（M)]]*1.08</f>
        <v>496.8</v>
      </c>
    </row>
    <row r="129" spans="1:28">
      <c r="A129" s="73" t="s">
        <v>1954</v>
      </c>
      <c r="B129" s="77">
        <f>IF(ISBLANK(tbl_明細[[#This Row],[案件番号]]),"",COUNTIFS($A$3:A129,tbl_明細[[#This Row],[案件番号]],$AA$3:AA129,"&gt;0"))</f>
        <v>78</v>
      </c>
      <c r="C129" s="71">
        <f>COUNTIFS($A$3:A129,tbl_明細[[#This Row],[案件番号]],$F$3:F129,tbl_明細[[#This Row],[仕入先]])</f>
        <v>5</v>
      </c>
      <c r="D129" s="77" t="str">
        <f>_xlfn.XLOOKUP(tbl_明細[[#This Row],[案件番号]],tbl_採番[案件番号],tbl_採番[顧客],"",0,1)</f>
        <v>加古川ヤマトヤシキ</v>
      </c>
      <c r="E129" s="71" t="s">
        <v>1969</v>
      </c>
      <c r="F129" s="118" t="str">
        <f>IF(ISBLANK(tbl_明細[[#This Row],[仕入先（M)]]),_xlfn.XLOOKUP(tbl_明細[[#This Row],[商品ID]],商品マスタ[商品連番],商品マスタ[仕入先],"",0,1),tbl_明細[[#This Row],[仕入先（M)]])</f>
        <v>小樽水産加工業協同組合</v>
      </c>
      <c r="G129" s="112" t="str">
        <f>IF(ISBLANK(tbl_明細[[#This Row],[商品名（M)]]),_xlfn.XLOOKUP(tbl_明細[[#This Row],[商品ID]],商品マスタ[商品連番],商品マスタ[商品名],"",0,),tbl_明細[[#This Row],[商品名（M)]])</f>
        <v>ししゃも甘露煮90g</v>
      </c>
      <c r="H129" s="80" t="str">
        <f>IF(ISBLANK(tbl_明細[[#This Row],[仕入価格（M)]]),_xlfn.XLOOKUP(tbl_明細[[#This Row],[商品ID]],商品マスタ[商品連番],商品マスタ[仕入
単価],"",0,1),tbl_明細[[#This Row],[仕入価格（M)]])</f>
        <v/>
      </c>
      <c r="I129" s="80" t="str">
        <f>_xlfn.XLOOKUP(tbl_明細[[#This Row],[商品ID]],商品マスタ[商品連番],商品マスタ[国内定価
（15％）],"",0,1)</f>
        <v/>
      </c>
      <c r="J129" s="265"/>
      <c r="K129" s="71"/>
      <c r="L129" s="77" t="str">
        <f>_xlfn.XLOOKUP(tbl_明細[[#This Row],[商品ID]],商品マスタ[商品連番],商品マスタ[単位],"",0,1)</f>
        <v/>
      </c>
      <c r="M129" s="249" t="e">
        <f>1-tbl_明細[[#This Row],[仕入価格]]/tbl_明細[[#This Row],[販売価格（売値）]]</f>
        <v>#VALUE!</v>
      </c>
      <c r="N129" s="189" t="str">
        <f>_xlfn.XLOOKUP(tbl_明細[[#This Row],[商品ID]],商品マスタ[商品連番],商品マスタ[税率],"",0,1)</f>
        <v/>
      </c>
      <c r="O129" s="266" t="s">
        <v>1256</v>
      </c>
      <c r="P129" s="71" t="s">
        <v>2040</v>
      </c>
      <c r="Q129" s="265"/>
      <c r="R129" s="265">
        <v>460</v>
      </c>
      <c r="S129" s="71">
        <v>20</v>
      </c>
      <c r="T129" s="71" t="s">
        <v>795</v>
      </c>
      <c r="U129" s="267">
        <v>0.08</v>
      </c>
      <c r="V129" s="267"/>
      <c r="W129" s="268"/>
      <c r="X129" s="254" t="e">
        <f>tbl_明細[[#This Row],[仕入価格]]*tbl_明細[[#This Row],[数量]]+tbl_明細[[#This Row],[仕入価格（M)]]*tbl_明細[[#This Row],[数量（M)]]</f>
        <v>#VALUE!</v>
      </c>
      <c r="Y129" s="254">
        <f>tbl_明細[[#This Row],[販売価格（売値）]]*tbl_明細[[#This Row],[数量]]+tbl_明細[[#This Row],[販売価格（M)]]*tbl_明細[[#This Row],[数量（M)]]</f>
        <v>9200</v>
      </c>
      <c r="Z129" s="257" t="str">
        <f>_xlfn.XLOOKUP(tbl_明細[[#This Row],[案件番号]],tbl_案件追跡[案件番号],tbl_案件追跡[受注],"",0,1)</f>
        <v/>
      </c>
      <c r="AA129" s="228">
        <f>tbl_明細[[#This Row],[販売価格（売値）]]+tbl_明細[[#This Row],[販売価格（M)]]</f>
        <v>460</v>
      </c>
      <c r="AB129" s="261">
        <f>tbl_明細[[#This Row],[販売価格（売値）]]*1.08+tbl_明細[[#This Row],[販売価格（M)]]*1.08</f>
        <v>496.8</v>
      </c>
    </row>
    <row r="130" spans="1:28">
      <c r="A130" s="73" t="s">
        <v>1954</v>
      </c>
      <c r="B130" s="77">
        <f>IF(ISBLANK(tbl_明細[[#This Row],[案件番号]]),"",COUNTIFS($A$3:A130,tbl_明細[[#This Row],[案件番号]],$AA$3:AA130,"&gt;0"))</f>
        <v>79</v>
      </c>
      <c r="C130" s="71">
        <f>COUNTIFS($A$3:A130,tbl_明細[[#This Row],[案件番号]],$F$3:F130,tbl_明細[[#This Row],[仕入先]])</f>
        <v>6</v>
      </c>
      <c r="D130" s="77" t="str">
        <f>_xlfn.XLOOKUP(tbl_明細[[#This Row],[案件番号]],tbl_採番[案件番号],tbl_採番[顧客],"",0,1)</f>
        <v>加古川ヤマトヤシキ</v>
      </c>
      <c r="E130" s="71" t="s">
        <v>1969</v>
      </c>
      <c r="F130" s="118" t="str">
        <f>IF(ISBLANK(tbl_明細[[#This Row],[仕入先（M)]]),_xlfn.XLOOKUP(tbl_明細[[#This Row],[商品ID]],商品マスタ[商品連番],商品マスタ[仕入先],"",0,1),tbl_明細[[#This Row],[仕入先（M)]])</f>
        <v>小樽水産加工業協同組合</v>
      </c>
      <c r="G130" s="112" t="str">
        <f>IF(ISBLANK(tbl_明細[[#This Row],[商品名（M)]]),_xlfn.XLOOKUP(tbl_明細[[#This Row],[商品ID]],商品マスタ[商品連番],商品マスタ[商品名],"",0,),tbl_明細[[#This Row],[商品名（M)]])</f>
        <v>おつまみにしん40g</v>
      </c>
      <c r="H130" s="80" t="str">
        <f>IF(ISBLANK(tbl_明細[[#This Row],[仕入価格（M)]]),_xlfn.XLOOKUP(tbl_明細[[#This Row],[商品ID]],商品マスタ[商品連番],商品マスタ[仕入
単価],"",0,1),tbl_明細[[#This Row],[仕入価格（M)]])</f>
        <v/>
      </c>
      <c r="I130" s="80" t="str">
        <f>_xlfn.XLOOKUP(tbl_明細[[#This Row],[商品ID]],商品マスタ[商品連番],商品マスタ[国内定価
（15％）],"",0,1)</f>
        <v/>
      </c>
      <c r="J130" s="265"/>
      <c r="K130" s="71"/>
      <c r="L130" s="77" t="str">
        <f>_xlfn.XLOOKUP(tbl_明細[[#This Row],[商品ID]],商品マスタ[商品連番],商品マスタ[単位],"",0,1)</f>
        <v/>
      </c>
      <c r="M130" s="249" t="e">
        <f>1-tbl_明細[[#This Row],[仕入価格]]/tbl_明細[[#This Row],[販売価格（売値）]]</f>
        <v>#VALUE!</v>
      </c>
      <c r="N130" s="189" t="str">
        <f>_xlfn.XLOOKUP(tbl_明細[[#This Row],[商品ID]],商品マスタ[商品連番],商品マスタ[税率],"",0,1)</f>
        <v/>
      </c>
      <c r="O130" s="266" t="s">
        <v>1256</v>
      </c>
      <c r="P130" s="71" t="s">
        <v>2041</v>
      </c>
      <c r="Q130" s="265"/>
      <c r="R130" s="265">
        <v>330</v>
      </c>
      <c r="S130" s="71">
        <v>30</v>
      </c>
      <c r="T130" s="71" t="s">
        <v>795</v>
      </c>
      <c r="U130" s="267">
        <v>0.08</v>
      </c>
      <c r="V130" s="267"/>
      <c r="W130" s="268"/>
      <c r="X130" s="254" t="e">
        <f>tbl_明細[[#This Row],[仕入価格]]*tbl_明細[[#This Row],[数量]]+tbl_明細[[#This Row],[仕入価格（M)]]*tbl_明細[[#This Row],[数量（M)]]</f>
        <v>#VALUE!</v>
      </c>
      <c r="Y130" s="254">
        <f>tbl_明細[[#This Row],[販売価格（売値）]]*tbl_明細[[#This Row],[数量]]+tbl_明細[[#This Row],[販売価格（M)]]*tbl_明細[[#This Row],[数量（M)]]</f>
        <v>9900</v>
      </c>
      <c r="Z130" s="257" t="str">
        <f>_xlfn.XLOOKUP(tbl_明細[[#This Row],[案件番号]],tbl_案件追跡[案件番号],tbl_案件追跡[受注],"",0,1)</f>
        <v/>
      </c>
      <c r="AA130" s="228">
        <f>tbl_明細[[#This Row],[販売価格（売値）]]+tbl_明細[[#This Row],[販売価格（M)]]</f>
        <v>330</v>
      </c>
      <c r="AB130" s="261">
        <f>tbl_明細[[#This Row],[販売価格（売値）]]*1.08+tbl_明細[[#This Row],[販売価格（M)]]*1.08</f>
        <v>356.40000000000003</v>
      </c>
    </row>
    <row r="131" spans="1:28">
      <c r="A131" s="73" t="s">
        <v>1954</v>
      </c>
      <c r="B131" s="77">
        <f>IF(ISBLANK(tbl_明細[[#This Row],[案件番号]]),"",COUNTIFS($A$3:A131,tbl_明細[[#This Row],[案件番号]],$AA$3:AA131,"&gt;0"))</f>
        <v>80</v>
      </c>
      <c r="C131" s="71">
        <f>COUNTIFS($A$3:A131,tbl_明細[[#This Row],[案件番号]],$F$3:F131,tbl_明細[[#This Row],[仕入先]])</f>
        <v>7</v>
      </c>
      <c r="D131" s="77" t="str">
        <f>_xlfn.XLOOKUP(tbl_明細[[#This Row],[案件番号]],tbl_採番[案件番号],tbl_採番[顧客],"",0,1)</f>
        <v>加古川ヤマトヤシキ</v>
      </c>
      <c r="E131" s="71" t="s">
        <v>1969</v>
      </c>
      <c r="F131" s="118" t="str">
        <f>IF(ISBLANK(tbl_明細[[#This Row],[仕入先（M)]]),_xlfn.XLOOKUP(tbl_明細[[#This Row],[商品ID]],商品マスタ[商品連番],商品マスタ[仕入先],"",0,1),tbl_明細[[#This Row],[仕入先（M)]])</f>
        <v>小樽水産加工業協同組合</v>
      </c>
      <c r="G131" s="112" t="str">
        <f>IF(ISBLANK(tbl_明細[[#This Row],[商品名（M)]]),_xlfn.XLOOKUP(tbl_明細[[#This Row],[商品ID]],商品マスタ[商品連番],商品マスタ[商品名],"",0,),tbl_明細[[#This Row],[商品名（M)]])</f>
        <v>にしんかずのこ親子南蛮味噌100g</v>
      </c>
      <c r="H131" s="80" t="str">
        <f>IF(ISBLANK(tbl_明細[[#This Row],[仕入価格（M)]]),_xlfn.XLOOKUP(tbl_明細[[#This Row],[商品ID]],商品マスタ[商品連番],商品マスタ[仕入
単価],"",0,1),tbl_明細[[#This Row],[仕入価格（M)]])</f>
        <v/>
      </c>
      <c r="I131" s="80" t="str">
        <f>_xlfn.XLOOKUP(tbl_明細[[#This Row],[商品ID]],商品マスタ[商品連番],商品マスタ[国内定価
（15％）],"",0,1)</f>
        <v/>
      </c>
      <c r="J131" s="265"/>
      <c r="K131" s="71"/>
      <c r="L131" s="77" t="str">
        <f>_xlfn.XLOOKUP(tbl_明細[[#This Row],[商品ID]],商品マスタ[商品連番],商品マスタ[単位],"",0,1)</f>
        <v/>
      </c>
      <c r="M131" s="249" t="e">
        <f>1-tbl_明細[[#This Row],[仕入価格]]/tbl_明細[[#This Row],[販売価格（売値）]]</f>
        <v>#VALUE!</v>
      </c>
      <c r="N131" s="189" t="str">
        <f>_xlfn.XLOOKUP(tbl_明細[[#This Row],[商品ID]],商品マスタ[商品連番],商品マスタ[税率],"",0,1)</f>
        <v/>
      </c>
      <c r="O131" s="266" t="s">
        <v>1256</v>
      </c>
      <c r="P131" s="71" t="s">
        <v>2042</v>
      </c>
      <c r="Q131" s="265"/>
      <c r="R131" s="265">
        <v>420</v>
      </c>
      <c r="S131" s="71">
        <v>30</v>
      </c>
      <c r="T131" s="71" t="s">
        <v>795</v>
      </c>
      <c r="U131" s="267">
        <v>0.08</v>
      </c>
      <c r="V131" s="267"/>
      <c r="W131" s="268"/>
      <c r="X131" s="254" t="e">
        <f>tbl_明細[[#This Row],[仕入価格]]*tbl_明細[[#This Row],[数量]]+tbl_明細[[#This Row],[仕入価格（M)]]*tbl_明細[[#This Row],[数量（M)]]</f>
        <v>#VALUE!</v>
      </c>
      <c r="Y131" s="254">
        <f>tbl_明細[[#This Row],[販売価格（売値）]]*tbl_明細[[#This Row],[数量]]+tbl_明細[[#This Row],[販売価格（M)]]*tbl_明細[[#This Row],[数量（M)]]</f>
        <v>12600</v>
      </c>
      <c r="Z131" s="257" t="str">
        <f>_xlfn.XLOOKUP(tbl_明細[[#This Row],[案件番号]],tbl_案件追跡[案件番号],tbl_案件追跡[受注],"",0,1)</f>
        <v/>
      </c>
      <c r="AA131" s="228">
        <f>tbl_明細[[#This Row],[販売価格（売値）]]+tbl_明細[[#This Row],[販売価格（M)]]</f>
        <v>420</v>
      </c>
      <c r="AB131" s="261">
        <f>tbl_明細[[#This Row],[販売価格（売値）]]*1.08+tbl_明細[[#This Row],[販売価格（M)]]*1.08</f>
        <v>453.6</v>
      </c>
    </row>
    <row r="132" spans="1:28">
      <c r="A132" s="73" t="s">
        <v>1954</v>
      </c>
      <c r="B132" s="77">
        <f>IF(ISBLANK(tbl_明細[[#This Row],[案件番号]]),"",COUNTIFS($A$3:A132,tbl_明細[[#This Row],[案件番号]],$AA$3:AA132,"&gt;0"))</f>
        <v>81</v>
      </c>
      <c r="C132" s="71">
        <f>COUNTIFS($A$3:A132,tbl_明細[[#This Row],[案件番号]],$F$3:F132,tbl_明細[[#This Row],[仕入先]])</f>
        <v>1</v>
      </c>
      <c r="D132" s="77" t="str">
        <f>_xlfn.XLOOKUP(tbl_明細[[#This Row],[案件番号]],tbl_採番[案件番号],tbl_採番[顧客],"",0,1)</f>
        <v>加古川ヤマトヤシキ</v>
      </c>
      <c r="E132" s="71" t="s">
        <v>2043</v>
      </c>
      <c r="F132" s="118" t="str">
        <f>IF(ISBLANK(tbl_明細[[#This Row],[仕入先（M)]]),_xlfn.XLOOKUP(tbl_明細[[#This Row],[商品ID]],商品マスタ[商品連番],商品マスタ[仕入先],"",0,1),tbl_明細[[#This Row],[仕入先（M)]])</f>
        <v>山下水産</v>
      </c>
      <c r="G132" s="112" t="str">
        <f>IF(ISBLANK(tbl_明細[[#This Row],[商品名（M)]]),_xlfn.XLOOKUP(tbl_明細[[#This Row],[商品ID]],商品マスタ[商品連番],商品マスタ[商品名],"",0,),tbl_明細[[#This Row],[商品名（M)]])</f>
        <v>生たきほたて貝柱</v>
      </c>
      <c r="H132" s="80">
        <f>IF(ISBLANK(tbl_明細[[#This Row],[仕入価格（M)]]),_xlfn.XLOOKUP(tbl_明細[[#This Row],[商品ID]],商品マスタ[商品連番],商品マスタ[仕入
単価],"",0,1),tbl_明細[[#This Row],[仕入価格（M)]])</f>
        <v>950</v>
      </c>
      <c r="I132" s="80">
        <f>_xlfn.XLOOKUP(tbl_明細[[#This Row],[商品ID]],商品マスタ[商品連番],商品マスタ[国内定価
（15％）],"",0,1)</f>
        <v>1230</v>
      </c>
      <c r="J132" s="265">
        <v>1050</v>
      </c>
      <c r="K132" s="71">
        <v>25</v>
      </c>
      <c r="L132" s="77" t="str">
        <f>_xlfn.XLOOKUP(tbl_明細[[#This Row],[商品ID]],商品マスタ[商品連番],商品マスタ[単位],"",0,1)</f>
        <v>袋</v>
      </c>
      <c r="M132" s="249">
        <f>1-tbl_明細[[#This Row],[仕入価格]]/tbl_明細[[#This Row],[販売価格（売値）]]</f>
        <v>9.5238095238095233E-2</v>
      </c>
      <c r="N132" s="189">
        <f>_xlfn.XLOOKUP(tbl_明細[[#This Row],[商品ID]],商品マスタ[商品連番],商品マスタ[税率],"",0,1)</f>
        <v>0.08</v>
      </c>
      <c r="O132" s="266"/>
      <c r="P132" s="71"/>
      <c r="Q132" s="265"/>
      <c r="R132" s="265"/>
      <c r="S132" s="71"/>
      <c r="T132" s="71"/>
      <c r="U132" s="267"/>
      <c r="V132" s="267"/>
      <c r="W132" s="268"/>
      <c r="X132" s="254">
        <f>tbl_明細[[#This Row],[仕入価格]]*tbl_明細[[#This Row],[数量]]+tbl_明細[[#This Row],[仕入価格（M)]]*tbl_明細[[#This Row],[数量（M)]]</f>
        <v>23750</v>
      </c>
      <c r="Y132" s="254">
        <f>tbl_明細[[#This Row],[販売価格（売値）]]*tbl_明細[[#This Row],[数量]]+tbl_明細[[#This Row],[販売価格（M)]]*tbl_明細[[#This Row],[数量（M)]]</f>
        <v>26250</v>
      </c>
      <c r="Z132" s="257" t="str">
        <f>_xlfn.XLOOKUP(tbl_明細[[#This Row],[案件番号]],tbl_案件追跡[案件番号],tbl_案件追跡[受注],"",0,1)</f>
        <v/>
      </c>
      <c r="AA132" s="228">
        <f>tbl_明細[[#This Row],[販売価格（売値）]]+tbl_明細[[#This Row],[販売価格（M)]]</f>
        <v>1050</v>
      </c>
      <c r="AB132" s="261">
        <f>tbl_明細[[#This Row],[販売価格（売値）]]*1.08+tbl_明細[[#This Row],[販売価格（M)]]*1.08</f>
        <v>1134</v>
      </c>
    </row>
    <row r="133" spans="1:28">
      <c r="A133" s="73" t="s">
        <v>1954</v>
      </c>
      <c r="B133" s="77">
        <f>IF(ISBLANK(tbl_明細[[#This Row],[案件番号]]),"",COUNTIFS($A$3:A133,tbl_明細[[#This Row],[案件番号]],$AA$3:AA133,"&gt;0"))</f>
        <v>82</v>
      </c>
      <c r="C133" s="71">
        <f>COUNTIFS($A$3:A133,tbl_明細[[#This Row],[案件番号]],$F$3:F133,tbl_明細[[#This Row],[仕入先]])</f>
        <v>2</v>
      </c>
      <c r="D133" s="77" t="str">
        <f>_xlfn.XLOOKUP(tbl_明細[[#This Row],[案件番号]],tbl_採番[案件番号],tbl_採番[顧客],"",0,1)</f>
        <v>加古川ヤマトヤシキ</v>
      </c>
      <c r="E133" s="71" t="s">
        <v>2044</v>
      </c>
      <c r="F133" s="118" t="str">
        <f>IF(ISBLANK(tbl_明細[[#This Row],[仕入先（M)]]),_xlfn.XLOOKUP(tbl_明細[[#This Row],[商品ID]],商品マスタ[商品連番],商品マスタ[仕入先],"",0,1),tbl_明細[[#This Row],[仕入先（M)]])</f>
        <v>山下水産</v>
      </c>
      <c r="G133" s="112" t="str">
        <f>IF(ISBLANK(tbl_明細[[#This Row],[商品名（M)]]),_xlfn.XLOOKUP(tbl_明細[[#This Row],[商品ID]],商品マスタ[商品連番],商品マスタ[商品名],"",0,),tbl_明細[[#This Row],[商品名（M)]])</f>
        <v>生たきほたて貝柱チーズ</v>
      </c>
      <c r="H133" s="80">
        <f>IF(ISBLANK(tbl_明細[[#This Row],[仕入価格（M)]]),_xlfn.XLOOKUP(tbl_明細[[#This Row],[商品ID]],商品マスタ[商品連番],商品マスタ[仕入
単価],"",0,1),tbl_明細[[#This Row],[仕入価格（M)]])</f>
        <v>670</v>
      </c>
      <c r="I133" s="80">
        <f>_xlfn.XLOOKUP(tbl_明細[[#This Row],[商品ID]],商品マスタ[商品連番],商品マスタ[国内定価
（15％）],"",0,1)</f>
        <v>870</v>
      </c>
      <c r="J133" s="265">
        <v>736</v>
      </c>
      <c r="K133" s="71">
        <v>25</v>
      </c>
      <c r="L133" s="77" t="str">
        <f>_xlfn.XLOOKUP(tbl_明細[[#This Row],[商品ID]],商品マスタ[商品連番],商品マスタ[単位],"",0,1)</f>
        <v>袋</v>
      </c>
      <c r="M133" s="249">
        <f>1-tbl_明細[[#This Row],[仕入価格]]/tbl_明細[[#This Row],[販売価格（売値）]]</f>
        <v>8.9673913043478271E-2</v>
      </c>
      <c r="N133" s="189">
        <f>_xlfn.XLOOKUP(tbl_明細[[#This Row],[商品ID]],商品マスタ[商品連番],商品マスタ[税率],"",0,1)</f>
        <v>0.08</v>
      </c>
      <c r="O133" s="266"/>
      <c r="P133" s="71"/>
      <c r="Q133" s="265"/>
      <c r="R133" s="265"/>
      <c r="S133" s="71"/>
      <c r="T133" s="71"/>
      <c r="U133" s="267"/>
      <c r="V133" s="267"/>
      <c r="W133" s="268"/>
      <c r="X133" s="254">
        <f>tbl_明細[[#This Row],[仕入価格]]*tbl_明細[[#This Row],[数量]]+tbl_明細[[#This Row],[仕入価格（M)]]*tbl_明細[[#This Row],[数量（M)]]</f>
        <v>16750</v>
      </c>
      <c r="Y133" s="254">
        <f>tbl_明細[[#This Row],[販売価格（売値）]]*tbl_明細[[#This Row],[数量]]+tbl_明細[[#This Row],[販売価格（M)]]*tbl_明細[[#This Row],[数量（M)]]</f>
        <v>18400</v>
      </c>
      <c r="Z133" s="257" t="str">
        <f>_xlfn.XLOOKUP(tbl_明細[[#This Row],[案件番号]],tbl_案件追跡[案件番号],tbl_案件追跡[受注],"",0,1)</f>
        <v/>
      </c>
      <c r="AA133" s="228">
        <f>tbl_明細[[#This Row],[販売価格（売値）]]+tbl_明細[[#This Row],[販売価格（M)]]</f>
        <v>736</v>
      </c>
      <c r="AB133" s="261">
        <f>tbl_明細[[#This Row],[販売価格（売値）]]*1.08+tbl_明細[[#This Row],[販売価格（M)]]*1.08</f>
        <v>794.88000000000011</v>
      </c>
    </row>
    <row r="134" spans="1:28">
      <c r="A134" s="73" t="s">
        <v>1954</v>
      </c>
      <c r="B134" s="77">
        <f>IF(ISBLANK(tbl_明細[[#This Row],[案件番号]]),"",COUNTIFS($A$3:A134,tbl_明細[[#This Row],[案件番号]],$AA$3:AA134,"&gt;0"))</f>
        <v>83</v>
      </c>
      <c r="C134" s="71">
        <f>COUNTIFS($A$3:A134,tbl_明細[[#This Row],[案件番号]],$F$3:F134,tbl_明細[[#This Row],[仕入先]])</f>
        <v>1</v>
      </c>
      <c r="D134" s="77" t="str">
        <f>_xlfn.XLOOKUP(tbl_明細[[#This Row],[案件番号]],tbl_採番[案件番号],tbl_採番[顧客],"",0,1)</f>
        <v>加古川ヤマトヤシキ</v>
      </c>
      <c r="E134" s="71" t="s">
        <v>2045</v>
      </c>
      <c r="F134" s="118" t="str">
        <f>IF(ISBLANK(tbl_明細[[#This Row],[仕入先（M)]]),_xlfn.XLOOKUP(tbl_明細[[#This Row],[商品ID]],商品マスタ[商品連番],商品マスタ[仕入先],"",0,1),tbl_明細[[#This Row],[仕入先（M)]])</f>
        <v>（株）旭川食品</v>
      </c>
      <c r="G134" s="112" t="str">
        <f>IF(ISBLANK(tbl_明細[[#This Row],[商品名（M)]]),_xlfn.XLOOKUP(tbl_明細[[#This Row],[商品ID]],商品マスタ[商品連番],商品マスタ[商品名],"",0,),tbl_明細[[#This Row],[商品名（M)]])</f>
        <v>黒豆甘納豆</v>
      </c>
      <c r="H134" s="80">
        <f>IF(ISBLANK(tbl_明細[[#This Row],[仕入価格（M)]]),_xlfn.XLOOKUP(tbl_明細[[#This Row],[商品ID]],商品マスタ[商品連番],商品マスタ[仕入
単価],"",0,1),tbl_明細[[#This Row],[仕入価格（M)]])</f>
        <v>340</v>
      </c>
      <c r="I134" s="80">
        <f>_xlfn.XLOOKUP(tbl_明細[[#This Row],[商品ID]],商品マスタ[商品連番],商品マスタ[国内定価
（15％）],"",0,1)</f>
        <v>440</v>
      </c>
      <c r="J134" s="265">
        <v>400</v>
      </c>
      <c r="K134" s="71">
        <v>60</v>
      </c>
      <c r="L134" s="77" t="str">
        <f>_xlfn.XLOOKUP(tbl_明細[[#This Row],[商品ID]],商品マスタ[商品連番],商品マスタ[単位],"",0,1)</f>
        <v>袋</v>
      </c>
      <c r="M134" s="249">
        <f>1-tbl_明細[[#This Row],[仕入価格]]/tbl_明細[[#This Row],[販売価格（売値）]]</f>
        <v>0.15000000000000002</v>
      </c>
      <c r="N134" s="189">
        <f>_xlfn.XLOOKUP(tbl_明細[[#This Row],[商品ID]],商品マスタ[商品連番],商品マスタ[税率],"",0,1)</f>
        <v>0.08</v>
      </c>
      <c r="O134" s="266"/>
      <c r="P134" s="71"/>
      <c r="Q134" s="265"/>
      <c r="R134" s="265"/>
      <c r="S134" s="71"/>
      <c r="T134" s="71"/>
      <c r="U134" s="267"/>
      <c r="V134" s="267"/>
      <c r="W134" s="268"/>
      <c r="X134" s="254">
        <f>tbl_明細[[#This Row],[仕入価格]]*tbl_明細[[#This Row],[数量]]+tbl_明細[[#This Row],[仕入価格（M)]]*tbl_明細[[#This Row],[数量（M)]]</f>
        <v>20400</v>
      </c>
      <c r="Y134" s="254">
        <f>tbl_明細[[#This Row],[販売価格（売値）]]*tbl_明細[[#This Row],[数量]]+tbl_明細[[#This Row],[販売価格（M)]]*tbl_明細[[#This Row],[数量（M)]]</f>
        <v>24000</v>
      </c>
      <c r="Z134" s="257" t="str">
        <f>_xlfn.XLOOKUP(tbl_明細[[#This Row],[案件番号]],tbl_案件追跡[案件番号],tbl_案件追跡[受注],"",0,1)</f>
        <v/>
      </c>
      <c r="AA134" s="228">
        <f>tbl_明細[[#This Row],[販売価格（売値）]]+tbl_明細[[#This Row],[販売価格（M)]]</f>
        <v>400</v>
      </c>
      <c r="AB134" s="261">
        <f>tbl_明細[[#This Row],[販売価格（売値）]]*1.08+tbl_明細[[#This Row],[販売価格（M)]]*1.08</f>
        <v>432</v>
      </c>
    </row>
    <row r="135" spans="1:28">
      <c r="A135" s="73" t="s">
        <v>1954</v>
      </c>
      <c r="B135" s="77">
        <f>IF(ISBLANK(tbl_明細[[#This Row],[案件番号]]),"",COUNTIFS($A$3:A135,tbl_明細[[#This Row],[案件番号]],$AA$3:AA135,"&gt;0"))</f>
        <v>84</v>
      </c>
      <c r="C135" s="71">
        <f>COUNTIFS($A$3:A135,tbl_明細[[#This Row],[案件番号]],$F$3:F135,tbl_明細[[#This Row],[仕入先]])</f>
        <v>2</v>
      </c>
      <c r="D135" s="77" t="str">
        <f>_xlfn.XLOOKUP(tbl_明細[[#This Row],[案件番号]],tbl_採番[案件番号],tbl_採番[顧客],"",0,1)</f>
        <v>加古川ヤマトヤシキ</v>
      </c>
      <c r="E135" s="71" t="s">
        <v>2046</v>
      </c>
      <c r="F135" s="118" t="str">
        <f>IF(ISBLANK(tbl_明細[[#This Row],[仕入先（M)]]),_xlfn.XLOOKUP(tbl_明細[[#This Row],[商品ID]],商品マスタ[商品連番],商品マスタ[仕入先],"",0,1),tbl_明細[[#This Row],[仕入先（M)]])</f>
        <v>（株）旭川食品</v>
      </c>
      <c r="G135" s="112" t="str">
        <f>IF(ISBLANK(tbl_明細[[#This Row],[商品名（M)]]),_xlfn.XLOOKUP(tbl_明細[[#This Row],[商品ID]],商品マスタ[商品連番],商品マスタ[商品名],"",0,),tbl_明細[[#This Row],[商品名（M)]])</f>
        <v>塩ようかん小豆</v>
      </c>
      <c r="H135" s="80">
        <f>IF(ISBLANK(tbl_明細[[#This Row],[仕入価格（M)]]),_xlfn.XLOOKUP(tbl_明細[[#This Row],[商品ID]],商品マスタ[商品連番],商品マスタ[仕入
単価],"",0,1),tbl_明細[[#This Row],[仕入価格（M)]])</f>
        <v>204</v>
      </c>
      <c r="I135" s="80">
        <f>_xlfn.XLOOKUP(tbl_明細[[#This Row],[商品ID]],商品マスタ[商品連番],商品マスタ[国内定価
（15％）],"",0,1)</f>
        <v>270</v>
      </c>
      <c r="J135" s="265">
        <v>240</v>
      </c>
      <c r="K135" s="71">
        <v>30</v>
      </c>
      <c r="L135" s="77" t="str">
        <f>_xlfn.XLOOKUP(tbl_明細[[#This Row],[商品ID]],商品マスタ[商品連番],商品マスタ[単位],"",0,1)</f>
        <v>本</v>
      </c>
      <c r="M135" s="249">
        <f>1-tbl_明細[[#This Row],[仕入価格]]/tbl_明細[[#This Row],[販売価格（売値）]]</f>
        <v>0.15000000000000002</v>
      </c>
      <c r="N135" s="189">
        <f>_xlfn.XLOOKUP(tbl_明細[[#This Row],[商品ID]],商品マスタ[商品連番],商品マスタ[税率],"",0,1)</f>
        <v>0.08</v>
      </c>
      <c r="O135" s="266"/>
      <c r="P135" s="71"/>
      <c r="Q135" s="265"/>
      <c r="R135" s="265"/>
      <c r="S135" s="71"/>
      <c r="T135" s="71"/>
      <c r="U135" s="267"/>
      <c r="V135" s="267"/>
      <c r="W135" s="268"/>
      <c r="X135" s="254">
        <f>tbl_明細[[#This Row],[仕入価格]]*tbl_明細[[#This Row],[数量]]+tbl_明細[[#This Row],[仕入価格（M)]]*tbl_明細[[#This Row],[数量（M)]]</f>
        <v>6120</v>
      </c>
      <c r="Y135" s="254">
        <f>tbl_明細[[#This Row],[販売価格（売値）]]*tbl_明細[[#This Row],[数量]]+tbl_明細[[#This Row],[販売価格（M)]]*tbl_明細[[#This Row],[数量（M)]]</f>
        <v>7200</v>
      </c>
      <c r="Z135" s="257" t="str">
        <f>_xlfn.XLOOKUP(tbl_明細[[#This Row],[案件番号]],tbl_案件追跡[案件番号],tbl_案件追跡[受注],"",0,1)</f>
        <v/>
      </c>
      <c r="AA135" s="228">
        <f>tbl_明細[[#This Row],[販売価格（売値）]]+tbl_明細[[#This Row],[販売価格（M)]]</f>
        <v>240</v>
      </c>
      <c r="AB135" s="261">
        <f>tbl_明細[[#This Row],[販売価格（売値）]]*1.08+tbl_明細[[#This Row],[販売価格（M)]]*1.08</f>
        <v>259.20000000000005</v>
      </c>
    </row>
    <row r="136" spans="1:28">
      <c r="A136" s="73" t="s">
        <v>1954</v>
      </c>
      <c r="B136" s="77">
        <f>IF(ISBLANK(tbl_明細[[#This Row],[案件番号]]),"",COUNTIFS($A$3:A136,tbl_明細[[#This Row],[案件番号]],$AA$3:AA136,"&gt;0"))</f>
        <v>85</v>
      </c>
      <c r="C136" s="71">
        <f>COUNTIFS($A$3:A136,tbl_明細[[#This Row],[案件番号]],$F$3:F136,tbl_明細[[#This Row],[仕入先]])</f>
        <v>3</v>
      </c>
      <c r="D136" s="77" t="str">
        <f>_xlfn.XLOOKUP(tbl_明細[[#This Row],[案件番号]],tbl_採番[案件番号],tbl_採番[顧客],"",0,1)</f>
        <v>加古川ヤマトヤシキ</v>
      </c>
      <c r="E136" s="71" t="s">
        <v>2047</v>
      </c>
      <c r="F136" s="118" t="str">
        <f>IF(ISBLANK(tbl_明細[[#This Row],[仕入先（M)]]),_xlfn.XLOOKUP(tbl_明細[[#This Row],[商品ID]],商品マスタ[商品連番],商品マスタ[仕入先],"",0,1),tbl_明細[[#This Row],[仕入先（M)]])</f>
        <v>（株）旭川食品</v>
      </c>
      <c r="G136" s="112" t="str">
        <f>IF(ISBLANK(tbl_明細[[#This Row],[商品名（M)]]),_xlfn.XLOOKUP(tbl_明細[[#This Row],[商品ID]],商品マスタ[商品連番],商品マスタ[商品名],"",0,),tbl_明細[[#This Row],[商品名（M)]])</f>
        <v>塩ようかん小倉</v>
      </c>
      <c r="H136" s="80">
        <f>IF(ISBLANK(tbl_明細[[#This Row],[仕入価格（M)]]),_xlfn.XLOOKUP(tbl_明細[[#This Row],[商品ID]],商品マスタ[商品連番],商品マスタ[仕入
単価],"",0,1),tbl_明細[[#This Row],[仕入価格（M)]])</f>
        <v>204</v>
      </c>
      <c r="I136" s="80">
        <f>_xlfn.XLOOKUP(tbl_明細[[#This Row],[商品ID]],商品マスタ[商品連番],商品マスタ[国内定価
（15％）],"",0,1)</f>
        <v>270</v>
      </c>
      <c r="J136" s="265">
        <v>240</v>
      </c>
      <c r="K136" s="71">
        <v>30</v>
      </c>
      <c r="L136" s="77" t="str">
        <f>_xlfn.XLOOKUP(tbl_明細[[#This Row],[商品ID]],商品マスタ[商品連番],商品マスタ[単位],"",0,1)</f>
        <v>本</v>
      </c>
      <c r="M136" s="249">
        <f>1-tbl_明細[[#This Row],[仕入価格]]/tbl_明細[[#This Row],[販売価格（売値）]]</f>
        <v>0.15000000000000002</v>
      </c>
      <c r="N136" s="189">
        <f>_xlfn.XLOOKUP(tbl_明細[[#This Row],[商品ID]],商品マスタ[商品連番],商品マスタ[税率],"",0,1)</f>
        <v>0.08</v>
      </c>
      <c r="O136" s="266"/>
      <c r="P136" s="71"/>
      <c r="Q136" s="265"/>
      <c r="R136" s="265"/>
      <c r="S136" s="71"/>
      <c r="T136" s="71"/>
      <c r="U136" s="267"/>
      <c r="V136" s="267"/>
      <c r="W136" s="268"/>
      <c r="X136" s="254">
        <f>tbl_明細[[#This Row],[仕入価格]]*tbl_明細[[#This Row],[数量]]+tbl_明細[[#This Row],[仕入価格（M)]]*tbl_明細[[#This Row],[数量（M)]]</f>
        <v>6120</v>
      </c>
      <c r="Y136" s="254">
        <f>tbl_明細[[#This Row],[販売価格（売値）]]*tbl_明細[[#This Row],[数量]]+tbl_明細[[#This Row],[販売価格（M)]]*tbl_明細[[#This Row],[数量（M)]]</f>
        <v>7200</v>
      </c>
      <c r="Z136" s="257" t="str">
        <f>_xlfn.XLOOKUP(tbl_明細[[#This Row],[案件番号]],tbl_案件追跡[案件番号],tbl_案件追跡[受注],"",0,1)</f>
        <v/>
      </c>
      <c r="AA136" s="228">
        <f>tbl_明細[[#This Row],[販売価格（売値）]]+tbl_明細[[#This Row],[販売価格（M)]]</f>
        <v>240</v>
      </c>
      <c r="AB136" s="261">
        <f>tbl_明細[[#This Row],[販売価格（売値）]]*1.08+tbl_明細[[#This Row],[販売価格（M)]]*1.08</f>
        <v>259.20000000000005</v>
      </c>
    </row>
    <row r="137" spans="1:28">
      <c r="A137" s="73" t="s">
        <v>1954</v>
      </c>
      <c r="B137" s="77">
        <f>IF(ISBLANK(tbl_明細[[#This Row],[案件番号]]),"",COUNTIFS($A$3:A137,tbl_明細[[#This Row],[案件番号]],$AA$3:AA137,"&gt;0"))</f>
        <v>86</v>
      </c>
      <c r="C137" s="71">
        <f>COUNTIFS($A$3:A137,tbl_明細[[#This Row],[案件番号]],$F$3:F137,tbl_明細[[#This Row],[仕入先]])</f>
        <v>4</v>
      </c>
      <c r="D137" s="77" t="str">
        <f>_xlfn.XLOOKUP(tbl_明細[[#This Row],[案件番号]],tbl_採番[案件番号],tbl_採番[顧客],"",0,1)</f>
        <v>加古川ヤマトヤシキ</v>
      </c>
      <c r="E137" s="71" t="s">
        <v>2048</v>
      </c>
      <c r="F137" s="118" t="str">
        <f>IF(ISBLANK(tbl_明細[[#This Row],[仕入先（M)]]),_xlfn.XLOOKUP(tbl_明細[[#This Row],[商品ID]],商品マスタ[商品連番],商品マスタ[仕入先],"",0,1),tbl_明細[[#This Row],[仕入先（M)]])</f>
        <v>（株）旭川食品</v>
      </c>
      <c r="G137" s="112" t="str">
        <f>IF(ISBLANK(tbl_明細[[#This Row],[商品名（M)]]),_xlfn.XLOOKUP(tbl_明細[[#This Row],[商品ID]],商品マスタ[商品連番],商品マスタ[商品名],"",0,),tbl_明細[[#This Row],[商品名（M)]])</f>
        <v>塩ようかんよもぎ</v>
      </c>
      <c r="H137" s="80">
        <f>IF(ISBLANK(tbl_明細[[#This Row],[仕入価格（M)]]),_xlfn.XLOOKUP(tbl_明細[[#This Row],[商品ID]],商品マスタ[商品連番],商品マスタ[仕入
単価],"",0,1),tbl_明細[[#This Row],[仕入価格（M)]])</f>
        <v>204</v>
      </c>
      <c r="I137" s="80">
        <f>_xlfn.XLOOKUP(tbl_明細[[#This Row],[商品ID]],商品マスタ[商品連番],商品マスタ[国内定価
（15％）],"",0,1)</f>
        <v>270</v>
      </c>
      <c r="J137" s="265">
        <v>240</v>
      </c>
      <c r="K137" s="71">
        <v>30</v>
      </c>
      <c r="L137" s="77" t="str">
        <f>_xlfn.XLOOKUP(tbl_明細[[#This Row],[商品ID]],商品マスタ[商品連番],商品マスタ[単位],"",0,1)</f>
        <v>本</v>
      </c>
      <c r="M137" s="249">
        <f>1-tbl_明細[[#This Row],[仕入価格]]/tbl_明細[[#This Row],[販売価格（売値）]]</f>
        <v>0.15000000000000002</v>
      </c>
      <c r="N137" s="189">
        <f>_xlfn.XLOOKUP(tbl_明細[[#This Row],[商品ID]],商品マスタ[商品連番],商品マスタ[税率],"",0,1)</f>
        <v>0.08</v>
      </c>
      <c r="O137" s="266"/>
      <c r="P137" s="71"/>
      <c r="Q137" s="265"/>
      <c r="R137" s="265"/>
      <c r="S137" s="71"/>
      <c r="T137" s="71"/>
      <c r="U137" s="267"/>
      <c r="V137" s="267"/>
      <c r="W137" s="268"/>
      <c r="X137" s="254">
        <f>tbl_明細[[#This Row],[仕入価格]]*tbl_明細[[#This Row],[数量]]+tbl_明細[[#This Row],[仕入価格（M)]]*tbl_明細[[#This Row],[数量（M)]]</f>
        <v>6120</v>
      </c>
      <c r="Y137" s="254">
        <f>tbl_明細[[#This Row],[販売価格（売値）]]*tbl_明細[[#This Row],[数量]]+tbl_明細[[#This Row],[販売価格（M)]]*tbl_明細[[#This Row],[数量（M)]]</f>
        <v>7200</v>
      </c>
      <c r="Z137" s="257" t="str">
        <f>_xlfn.XLOOKUP(tbl_明細[[#This Row],[案件番号]],tbl_案件追跡[案件番号],tbl_案件追跡[受注],"",0,1)</f>
        <v/>
      </c>
      <c r="AA137" s="228">
        <f>tbl_明細[[#This Row],[販売価格（売値）]]+tbl_明細[[#This Row],[販売価格（M)]]</f>
        <v>240</v>
      </c>
      <c r="AB137" s="261">
        <f>tbl_明細[[#This Row],[販売価格（売値）]]*1.08+tbl_明細[[#This Row],[販売価格（M)]]*1.08</f>
        <v>259.20000000000005</v>
      </c>
    </row>
    <row r="138" spans="1:28">
      <c r="A138" s="73" t="s">
        <v>1954</v>
      </c>
      <c r="B138" s="77">
        <f>IF(ISBLANK(tbl_明細[[#This Row],[案件番号]]),"",COUNTIFS($A$3:A138,tbl_明細[[#This Row],[案件番号]],$AA$3:AA138,"&gt;0"))</f>
        <v>87</v>
      </c>
      <c r="C138" s="71">
        <f>COUNTIFS($A$3:A138,tbl_明細[[#This Row],[案件番号]],$F$3:F138,tbl_明細[[#This Row],[仕入先]])</f>
        <v>1</v>
      </c>
      <c r="D138" s="77" t="str">
        <f>_xlfn.XLOOKUP(tbl_明細[[#This Row],[案件番号]],tbl_採番[案件番号],tbl_採番[顧客],"",0,1)</f>
        <v>加古川ヤマトヤシキ</v>
      </c>
      <c r="E138" s="71" t="s">
        <v>2049</v>
      </c>
      <c r="F138" s="118" t="str">
        <f>IF(ISBLANK(tbl_明細[[#This Row],[仕入先（M)]]),_xlfn.XLOOKUP(tbl_明細[[#This Row],[商品ID]],商品マスタ[商品連番],商品マスタ[仕入先],"",0,1),tbl_明細[[#This Row],[仕入先（M)]])</f>
        <v>白亜ダイシン</v>
      </c>
      <c r="G138" s="112" t="str">
        <f>IF(ISBLANK(tbl_明細[[#This Row],[商品名（M)]]),_xlfn.XLOOKUP(tbl_明細[[#This Row],[商品ID]],商品マスタ[商品連番],商品マスタ[商品名],"",0,),tbl_明細[[#This Row],[商品名（M)]])</f>
        <v xml:space="preserve">北海道アールグレイミルクジャム　　　　　
</v>
      </c>
      <c r="H138" s="80">
        <f>IF(ISBLANK(tbl_明細[[#This Row],[仕入価格（M)]]),_xlfn.XLOOKUP(tbl_明細[[#This Row],[商品ID]],商品マスタ[商品連番],商品マスタ[仕入
単価],"",0,1),tbl_明細[[#This Row],[仕入価格（M)]])</f>
        <v>450</v>
      </c>
      <c r="I138" s="80">
        <f>_xlfn.XLOOKUP(tbl_明細[[#This Row],[商品ID]],商品マスタ[商品連番],商品マスタ[国内定価
（15％）],"",0,1)</f>
        <v>530</v>
      </c>
      <c r="J138" s="265">
        <v>650</v>
      </c>
      <c r="K138" s="71">
        <v>12</v>
      </c>
      <c r="L138" s="77" t="str">
        <f>_xlfn.XLOOKUP(tbl_明細[[#This Row],[商品ID]],商品マスタ[商品連番],商品マスタ[単位],"",0,1)</f>
        <v>瓶</v>
      </c>
      <c r="M138" s="249">
        <f>1-tbl_明細[[#This Row],[仕入価格]]/tbl_明細[[#This Row],[販売価格（売値）]]</f>
        <v>0.30769230769230771</v>
      </c>
      <c r="N138" s="189">
        <f>_xlfn.XLOOKUP(tbl_明細[[#This Row],[商品ID]],商品マスタ[商品連番],商品マスタ[税率],"",0,1)</f>
        <v>0.08</v>
      </c>
      <c r="O138" s="266"/>
      <c r="P138" s="71"/>
      <c r="Q138" s="265"/>
      <c r="R138" s="265"/>
      <c r="S138" s="71"/>
      <c r="T138" s="71"/>
      <c r="U138" s="267"/>
      <c r="V138" s="267"/>
      <c r="W138" s="268"/>
      <c r="X138" s="254">
        <f>tbl_明細[[#This Row],[仕入価格]]*tbl_明細[[#This Row],[数量]]+tbl_明細[[#This Row],[仕入価格（M)]]*tbl_明細[[#This Row],[数量（M)]]</f>
        <v>5400</v>
      </c>
      <c r="Y138" s="254">
        <f>tbl_明細[[#This Row],[販売価格（売値）]]*tbl_明細[[#This Row],[数量]]+tbl_明細[[#This Row],[販売価格（M)]]*tbl_明細[[#This Row],[数量（M)]]</f>
        <v>7800</v>
      </c>
      <c r="Z138" s="257" t="str">
        <f>_xlfn.XLOOKUP(tbl_明細[[#This Row],[案件番号]],tbl_案件追跡[案件番号],tbl_案件追跡[受注],"",0,1)</f>
        <v/>
      </c>
      <c r="AA138" s="228">
        <f>tbl_明細[[#This Row],[販売価格（売値）]]+tbl_明細[[#This Row],[販売価格（M)]]</f>
        <v>650</v>
      </c>
      <c r="AB138" s="261">
        <f>tbl_明細[[#This Row],[販売価格（売値）]]*1.08+tbl_明細[[#This Row],[販売価格（M)]]*1.08</f>
        <v>702</v>
      </c>
    </row>
    <row r="139" spans="1:28">
      <c r="A139" s="73" t="s">
        <v>1954</v>
      </c>
      <c r="B139" s="77">
        <f>IF(ISBLANK(tbl_明細[[#This Row],[案件番号]]),"",COUNTIFS($A$3:A139,tbl_明細[[#This Row],[案件番号]],$AA$3:AA139,"&gt;0"))</f>
        <v>88</v>
      </c>
      <c r="C139" s="71">
        <f>COUNTIFS($A$3:A139,tbl_明細[[#This Row],[案件番号]],$F$3:F139,tbl_明細[[#This Row],[仕入先]])</f>
        <v>2</v>
      </c>
      <c r="D139" s="77" t="str">
        <f>_xlfn.XLOOKUP(tbl_明細[[#This Row],[案件番号]],tbl_採番[案件番号],tbl_採番[顧客],"",0,1)</f>
        <v>加古川ヤマトヤシキ</v>
      </c>
      <c r="E139" s="71" t="s">
        <v>2050</v>
      </c>
      <c r="F139" s="118" t="str">
        <f>IF(ISBLANK(tbl_明細[[#This Row],[仕入先（M)]]),_xlfn.XLOOKUP(tbl_明細[[#This Row],[商品ID]],商品マスタ[商品連番],商品マスタ[仕入先],"",0,1),tbl_明細[[#This Row],[仕入先（M)]])</f>
        <v>白亜ダイシン</v>
      </c>
      <c r="G139" s="112" t="str">
        <f>IF(ISBLANK(tbl_明細[[#This Row],[商品名（M)]]),_xlfn.XLOOKUP(tbl_明細[[#This Row],[商品ID]],商品マスタ[商品連番],商品マスタ[商品名],"",0,),tbl_明細[[#This Row],[商品名（M)]])</f>
        <v xml:space="preserve">北海道ほうじ茶ミルクジャム　　　　　　　　　　
</v>
      </c>
      <c r="H139" s="80">
        <f>IF(ISBLANK(tbl_明細[[#This Row],[仕入価格（M)]]),_xlfn.XLOOKUP(tbl_明細[[#This Row],[商品ID]],商品マスタ[商品連番],商品マスタ[仕入
単価],"",0,1),tbl_明細[[#This Row],[仕入価格（M)]])</f>
        <v>450</v>
      </c>
      <c r="I139" s="80">
        <f>_xlfn.XLOOKUP(tbl_明細[[#This Row],[商品ID]],商品マスタ[商品連番],商品マスタ[国内定価
（15％）],"",0,1)</f>
        <v>530</v>
      </c>
      <c r="J139" s="265">
        <v>650</v>
      </c>
      <c r="K139" s="71">
        <v>12</v>
      </c>
      <c r="L139" s="77" t="str">
        <f>_xlfn.XLOOKUP(tbl_明細[[#This Row],[商品ID]],商品マスタ[商品連番],商品マスタ[単位],"",0,1)</f>
        <v>袋</v>
      </c>
      <c r="M139" s="249">
        <f>1-tbl_明細[[#This Row],[仕入価格]]/tbl_明細[[#This Row],[販売価格（売値）]]</f>
        <v>0.30769230769230771</v>
      </c>
      <c r="N139" s="189">
        <f>_xlfn.XLOOKUP(tbl_明細[[#This Row],[商品ID]],商品マスタ[商品連番],商品マスタ[税率],"",0,1)</f>
        <v>0.08</v>
      </c>
      <c r="O139" s="266"/>
      <c r="P139" s="71"/>
      <c r="Q139" s="265"/>
      <c r="R139" s="265"/>
      <c r="S139" s="71"/>
      <c r="T139" s="71"/>
      <c r="U139" s="267"/>
      <c r="V139" s="267"/>
      <c r="W139" s="268"/>
      <c r="X139" s="254">
        <f>tbl_明細[[#This Row],[仕入価格]]*tbl_明細[[#This Row],[数量]]+tbl_明細[[#This Row],[仕入価格（M)]]*tbl_明細[[#This Row],[数量（M)]]</f>
        <v>5400</v>
      </c>
      <c r="Y139" s="254">
        <f>tbl_明細[[#This Row],[販売価格（売値）]]*tbl_明細[[#This Row],[数量]]+tbl_明細[[#This Row],[販売価格（M)]]*tbl_明細[[#This Row],[数量（M)]]</f>
        <v>7800</v>
      </c>
      <c r="Z139" s="257" t="str">
        <f>_xlfn.XLOOKUP(tbl_明細[[#This Row],[案件番号]],tbl_案件追跡[案件番号],tbl_案件追跡[受注],"",0,1)</f>
        <v/>
      </c>
      <c r="AA139" s="228">
        <f>tbl_明細[[#This Row],[販売価格（売値）]]+tbl_明細[[#This Row],[販売価格（M)]]</f>
        <v>650</v>
      </c>
      <c r="AB139" s="261">
        <f>tbl_明細[[#This Row],[販売価格（売値）]]*1.08+tbl_明細[[#This Row],[販売価格（M)]]*1.08</f>
        <v>702</v>
      </c>
    </row>
    <row r="140" spans="1:28">
      <c r="A140" s="73" t="s">
        <v>1954</v>
      </c>
      <c r="B140" s="77">
        <f>IF(ISBLANK(tbl_明細[[#This Row],[案件番号]]),"",COUNTIFS($A$3:A140,tbl_明細[[#This Row],[案件番号]],$AA$3:AA140,"&gt;0"))</f>
        <v>89</v>
      </c>
      <c r="C140" s="71">
        <f>COUNTIFS($A$3:A140,tbl_明細[[#This Row],[案件番号]],$F$3:F140,tbl_明細[[#This Row],[仕入先]])</f>
        <v>3</v>
      </c>
      <c r="D140" s="77" t="str">
        <f>_xlfn.XLOOKUP(tbl_明細[[#This Row],[案件番号]],tbl_採番[案件番号],tbl_採番[顧客],"",0,1)</f>
        <v>加古川ヤマトヤシキ</v>
      </c>
      <c r="E140" s="71" t="s">
        <v>2051</v>
      </c>
      <c r="F140" s="118" t="str">
        <f>IF(ISBLANK(tbl_明細[[#This Row],[仕入先（M)]]),_xlfn.XLOOKUP(tbl_明細[[#This Row],[商品ID]],商品マスタ[商品連番],商品マスタ[仕入先],"",0,1),tbl_明細[[#This Row],[仕入先（M)]])</f>
        <v>白亜ダイシン</v>
      </c>
      <c r="G140" s="112" t="str">
        <f>IF(ISBLANK(tbl_明細[[#This Row],[商品名（M)]]),_xlfn.XLOOKUP(tbl_明細[[#This Row],[商品ID]],商品マスタ[商品連番],商品マスタ[商品名],"",0,),tbl_明細[[#This Row],[商品名（M)]])</f>
        <v xml:space="preserve">ミルクキャンディ　　　　　
</v>
      </c>
      <c r="H140" s="80">
        <f>IF(ISBLANK(tbl_明細[[#This Row],[仕入価格（M)]]),_xlfn.XLOOKUP(tbl_明細[[#This Row],[商品ID]],商品マスタ[商品連番],商品マスタ[仕入
単価],"",0,1),tbl_明細[[#This Row],[仕入価格（M)]])</f>
        <v>228</v>
      </c>
      <c r="I140" s="80">
        <f>_xlfn.XLOOKUP(tbl_明細[[#This Row],[商品ID]],商品マスタ[商品連番],商品マスタ[国内定価
（15％）],"",0,1)</f>
        <v>270</v>
      </c>
      <c r="J140" s="265">
        <v>310</v>
      </c>
      <c r="K140" s="71">
        <v>40</v>
      </c>
      <c r="L140" s="77" t="str">
        <f>_xlfn.XLOOKUP(tbl_明細[[#This Row],[商品ID]],商品マスタ[商品連番],商品マスタ[単位],"",0,1)</f>
        <v>袋</v>
      </c>
      <c r="M140" s="249">
        <f>1-tbl_明細[[#This Row],[仕入価格]]/tbl_明細[[#This Row],[販売価格（売値）]]</f>
        <v>0.26451612903225807</v>
      </c>
      <c r="N140" s="189">
        <f>_xlfn.XLOOKUP(tbl_明細[[#This Row],[商品ID]],商品マスタ[商品連番],商品マスタ[税率],"",0,1)</f>
        <v>0.08</v>
      </c>
      <c r="O140" s="266"/>
      <c r="P140" s="71"/>
      <c r="Q140" s="265"/>
      <c r="R140" s="265"/>
      <c r="S140" s="71"/>
      <c r="T140" s="71"/>
      <c r="U140" s="267"/>
      <c r="V140" s="267"/>
      <c r="W140" s="268"/>
      <c r="X140" s="254">
        <f>tbl_明細[[#This Row],[仕入価格]]*tbl_明細[[#This Row],[数量]]+tbl_明細[[#This Row],[仕入価格（M)]]*tbl_明細[[#This Row],[数量（M)]]</f>
        <v>9120</v>
      </c>
      <c r="Y140" s="254">
        <f>tbl_明細[[#This Row],[販売価格（売値）]]*tbl_明細[[#This Row],[数量]]+tbl_明細[[#This Row],[販売価格（M)]]*tbl_明細[[#This Row],[数量（M)]]</f>
        <v>12400</v>
      </c>
      <c r="Z140" s="257" t="str">
        <f>_xlfn.XLOOKUP(tbl_明細[[#This Row],[案件番号]],tbl_案件追跡[案件番号],tbl_案件追跡[受注],"",0,1)</f>
        <v/>
      </c>
      <c r="AA140" s="228">
        <f>tbl_明細[[#This Row],[販売価格（売値）]]+tbl_明細[[#This Row],[販売価格（M)]]</f>
        <v>310</v>
      </c>
      <c r="AB140" s="261">
        <f>tbl_明細[[#This Row],[販売価格（売値）]]*1.08+tbl_明細[[#This Row],[販売価格（M)]]*1.08</f>
        <v>334.8</v>
      </c>
    </row>
    <row r="141" spans="1:28">
      <c r="A141" s="73" t="s">
        <v>1954</v>
      </c>
      <c r="B141" s="77">
        <f>IF(ISBLANK(tbl_明細[[#This Row],[案件番号]]),"",COUNTIFS($A$3:A141,tbl_明細[[#This Row],[案件番号]],$AA$3:AA141,"&gt;0"))</f>
        <v>90</v>
      </c>
      <c r="C141" s="71">
        <f>COUNTIFS($A$3:A141,tbl_明細[[#This Row],[案件番号]],$F$3:F141,tbl_明細[[#This Row],[仕入先]])</f>
        <v>4</v>
      </c>
      <c r="D141" s="77" t="str">
        <f>_xlfn.XLOOKUP(tbl_明細[[#This Row],[案件番号]],tbl_採番[案件番号],tbl_採番[顧客],"",0,1)</f>
        <v>加古川ヤマトヤシキ</v>
      </c>
      <c r="E141" s="71" t="s">
        <v>2052</v>
      </c>
      <c r="F141" s="118" t="str">
        <f>IF(ISBLANK(tbl_明細[[#This Row],[仕入先（M)]]),_xlfn.XLOOKUP(tbl_明細[[#This Row],[商品ID]],商品マスタ[商品連番],商品マスタ[仕入先],"",0,1),tbl_明細[[#This Row],[仕入先（M)]])</f>
        <v>白亜ダイシン</v>
      </c>
      <c r="G141" s="112" t="str">
        <f>IF(ISBLANK(tbl_明細[[#This Row],[商品名（M)]]),_xlfn.XLOOKUP(tbl_明細[[#This Row],[商品ID]],商品マスタ[商品連番],商品マスタ[商品名],"",0,),tbl_明細[[#This Row],[商品名（M)]])</f>
        <v xml:space="preserve">北海道バジルソース
</v>
      </c>
      <c r="H141" s="80">
        <f>IF(ISBLANK(tbl_明細[[#This Row],[仕入価格（M)]]),_xlfn.XLOOKUP(tbl_明細[[#This Row],[商品ID]],商品マスタ[商品連番],商品マスタ[仕入
単価],"",0,1),tbl_明細[[#This Row],[仕入価格（M)]])</f>
        <v>504</v>
      </c>
      <c r="I141" s="80">
        <f>_xlfn.XLOOKUP(tbl_明細[[#This Row],[商品ID]],商品マスタ[商品連番],商品マスタ[国内定価
（15％）],"",0,1)</f>
        <v>600</v>
      </c>
      <c r="J141" s="265">
        <v>750</v>
      </c>
      <c r="K141" s="71">
        <v>12</v>
      </c>
      <c r="L141" s="77" t="str">
        <f>_xlfn.XLOOKUP(tbl_明細[[#This Row],[商品ID]],商品マスタ[商品連番],商品マスタ[単位],"",0,1)</f>
        <v>瓶</v>
      </c>
      <c r="M141" s="249">
        <f>1-tbl_明細[[#This Row],[仕入価格]]/tbl_明細[[#This Row],[販売価格（売値）]]</f>
        <v>0.32799999999999996</v>
      </c>
      <c r="N141" s="189">
        <f>_xlfn.XLOOKUP(tbl_明細[[#This Row],[商品ID]],商品マスタ[商品連番],商品マスタ[税率],"",0,1)</f>
        <v>0.08</v>
      </c>
      <c r="O141" s="266"/>
      <c r="P141" s="71"/>
      <c r="Q141" s="265"/>
      <c r="R141" s="265"/>
      <c r="S141" s="71"/>
      <c r="T141" s="71"/>
      <c r="U141" s="267"/>
      <c r="V141" s="267"/>
      <c r="W141" s="268"/>
      <c r="X141" s="254">
        <f>tbl_明細[[#This Row],[仕入価格]]*tbl_明細[[#This Row],[数量]]+tbl_明細[[#This Row],[仕入価格（M)]]*tbl_明細[[#This Row],[数量（M)]]</f>
        <v>6048</v>
      </c>
      <c r="Y141" s="254">
        <f>tbl_明細[[#This Row],[販売価格（売値）]]*tbl_明細[[#This Row],[数量]]+tbl_明細[[#This Row],[販売価格（M)]]*tbl_明細[[#This Row],[数量（M)]]</f>
        <v>9000</v>
      </c>
      <c r="Z141" s="257" t="str">
        <f>_xlfn.XLOOKUP(tbl_明細[[#This Row],[案件番号]],tbl_案件追跡[案件番号],tbl_案件追跡[受注],"",0,1)</f>
        <v/>
      </c>
      <c r="AA141" s="228">
        <f>tbl_明細[[#This Row],[販売価格（売値）]]+tbl_明細[[#This Row],[販売価格（M)]]</f>
        <v>750</v>
      </c>
      <c r="AB141" s="261">
        <f>tbl_明細[[#This Row],[販売価格（売値）]]*1.08+tbl_明細[[#This Row],[販売価格（M)]]*1.08</f>
        <v>810</v>
      </c>
    </row>
    <row r="142" spans="1:28">
      <c r="A142" s="73" t="s">
        <v>1954</v>
      </c>
      <c r="B142" s="77">
        <f>IF(ISBLANK(tbl_明細[[#This Row],[案件番号]]),"",COUNTIFS($A$3:A142,tbl_明細[[#This Row],[案件番号]],$AA$3:AA142,"&gt;0"))</f>
        <v>91</v>
      </c>
      <c r="C142" s="71">
        <f>COUNTIFS($A$3:A142,tbl_明細[[#This Row],[案件番号]],$F$3:F142,tbl_明細[[#This Row],[仕入先]])</f>
        <v>5</v>
      </c>
      <c r="D142" s="77" t="str">
        <f>_xlfn.XLOOKUP(tbl_明細[[#This Row],[案件番号]],tbl_採番[案件番号],tbl_採番[顧客],"",0,1)</f>
        <v>加古川ヤマトヤシキ</v>
      </c>
      <c r="E142" s="71" t="s">
        <v>2053</v>
      </c>
      <c r="F142" s="118" t="str">
        <f>IF(ISBLANK(tbl_明細[[#This Row],[仕入先（M)]]),_xlfn.XLOOKUP(tbl_明細[[#This Row],[商品ID]],商品マスタ[商品連番],商品マスタ[仕入先],"",0,1),tbl_明細[[#This Row],[仕入先（M)]])</f>
        <v>白亜ダイシン</v>
      </c>
      <c r="G142" s="112" t="str">
        <f>IF(ISBLANK(tbl_明細[[#This Row],[商品名（M)]]),_xlfn.XLOOKUP(tbl_明細[[#This Row],[商品ID]],商品マスタ[商品連番],商品マスタ[商品名],"",0,),tbl_明細[[#This Row],[商品名（M)]])</f>
        <v xml:space="preserve">北海道焼肉ソース　　　　　　　　　　　　
</v>
      </c>
      <c r="H142" s="80">
        <f>IF(ISBLANK(tbl_明細[[#This Row],[仕入価格（M)]]),_xlfn.XLOOKUP(tbl_明細[[#This Row],[商品ID]],商品マスタ[商品連番],商品マスタ[仕入
単価],"",0,1),tbl_明細[[#This Row],[仕入価格（M)]])</f>
        <v>414</v>
      </c>
      <c r="I142" s="80">
        <f>_xlfn.XLOOKUP(tbl_明細[[#This Row],[商品ID]],商品マスタ[商品連番],商品マスタ[国内定価
（15％）],"",0,1)</f>
        <v>490</v>
      </c>
      <c r="J142" s="265">
        <v>610</v>
      </c>
      <c r="K142" s="71">
        <v>12</v>
      </c>
      <c r="L142" s="77" t="str">
        <f>_xlfn.XLOOKUP(tbl_明細[[#This Row],[商品ID]],商品マスタ[商品連番],商品マスタ[単位],"",0,1)</f>
        <v>瓶</v>
      </c>
      <c r="M142" s="249">
        <f>1-tbl_明細[[#This Row],[仕入価格]]/tbl_明細[[#This Row],[販売価格（売値）]]</f>
        <v>0.32131147540983607</v>
      </c>
      <c r="N142" s="189">
        <f>_xlfn.XLOOKUP(tbl_明細[[#This Row],[商品ID]],商品マスタ[商品連番],商品マスタ[税率],"",0,1)</f>
        <v>0.08</v>
      </c>
      <c r="O142" s="266"/>
      <c r="P142" s="71"/>
      <c r="Q142" s="265"/>
      <c r="R142" s="265"/>
      <c r="S142" s="71"/>
      <c r="T142" s="71"/>
      <c r="U142" s="267"/>
      <c r="V142" s="267"/>
      <c r="W142" s="268"/>
      <c r="X142" s="254">
        <f>tbl_明細[[#This Row],[仕入価格]]*tbl_明細[[#This Row],[数量]]+tbl_明細[[#This Row],[仕入価格（M)]]*tbl_明細[[#This Row],[数量（M)]]</f>
        <v>4968</v>
      </c>
      <c r="Y142" s="254">
        <f>tbl_明細[[#This Row],[販売価格（売値）]]*tbl_明細[[#This Row],[数量]]+tbl_明細[[#This Row],[販売価格（M)]]*tbl_明細[[#This Row],[数量（M)]]</f>
        <v>7320</v>
      </c>
      <c r="Z142" s="257" t="str">
        <f>_xlfn.XLOOKUP(tbl_明細[[#This Row],[案件番号]],tbl_案件追跡[案件番号],tbl_案件追跡[受注],"",0,1)</f>
        <v/>
      </c>
      <c r="AA142" s="228">
        <f>tbl_明細[[#This Row],[販売価格（売値）]]+tbl_明細[[#This Row],[販売価格（M)]]</f>
        <v>610</v>
      </c>
      <c r="AB142" s="261">
        <f>tbl_明細[[#This Row],[販売価格（売値）]]*1.08+tbl_明細[[#This Row],[販売価格（M)]]*1.08</f>
        <v>658.80000000000007</v>
      </c>
    </row>
    <row r="143" spans="1:28">
      <c r="A143" s="73" t="s">
        <v>1954</v>
      </c>
      <c r="B143" s="77">
        <f>IF(ISBLANK(tbl_明細[[#This Row],[案件番号]]),"",COUNTIFS($A$3:A143,tbl_明細[[#This Row],[案件番号]],$AA$3:AA143,"&gt;0"))</f>
        <v>92</v>
      </c>
      <c r="C143" s="71">
        <f>COUNTIFS($A$3:A143,tbl_明細[[#This Row],[案件番号]],$F$3:F143,tbl_明細[[#This Row],[仕入先]])</f>
        <v>1</v>
      </c>
      <c r="D143" s="77" t="str">
        <f>_xlfn.XLOOKUP(tbl_明細[[#This Row],[案件番号]],tbl_採番[案件番号],tbl_採番[顧客],"",0,1)</f>
        <v>加古川ヤマトヤシキ</v>
      </c>
      <c r="E143" s="71" t="s">
        <v>1969</v>
      </c>
      <c r="F143" s="118" t="str">
        <f>IF(ISBLANK(tbl_明細[[#This Row],[仕入先（M)]]),_xlfn.XLOOKUP(tbl_明細[[#This Row],[商品ID]],商品マスタ[商品連番],商品マスタ[仕入先],"",0,1),tbl_明細[[#This Row],[仕入先（M)]])</f>
        <v>福島町まちづくり工房</v>
      </c>
      <c r="G143" s="112" t="str">
        <f>IF(ISBLANK(tbl_明細[[#This Row],[商品名（M)]]),_xlfn.XLOOKUP(tbl_明細[[#This Row],[商品ID]],商品マスタ[商品連番],商品マスタ[商品名],"",0,),tbl_明細[[#This Row],[商品名（M)]])</f>
        <v>福島町産カットするめ</v>
      </c>
      <c r="H143" s="80" t="str">
        <f>IF(ISBLANK(tbl_明細[[#This Row],[仕入価格（M)]]),_xlfn.XLOOKUP(tbl_明細[[#This Row],[商品ID]],商品マスタ[商品連番],商品マスタ[仕入
単価],"",0,1),tbl_明細[[#This Row],[仕入価格（M)]])</f>
        <v/>
      </c>
      <c r="I143" s="80" t="str">
        <f>_xlfn.XLOOKUP(tbl_明細[[#This Row],[商品ID]],商品マスタ[商品連番],商品マスタ[国内定価
（15％）],"",0,1)</f>
        <v/>
      </c>
      <c r="J143" s="265"/>
      <c r="K143" s="71"/>
      <c r="L143" s="77" t="str">
        <f>_xlfn.XLOOKUP(tbl_明細[[#This Row],[商品ID]],商品マスタ[商品連番],商品マスタ[単位],"",0,1)</f>
        <v/>
      </c>
      <c r="M143" s="249" t="e">
        <f>1-tbl_明細[[#This Row],[仕入価格]]/tbl_明細[[#This Row],[販売価格（売値）]]</f>
        <v>#VALUE!</v>
      </c>
      <c r="N143" s="189" t="str">
        <f>_xlfn.XLOOKUP(tbl_明細[[#This Row],[商品ID]],商品マスタ[商品連番],商品マスタ[税率],"",0,1)</f>
        <v/>
      </c>
      <c r="O143" s="266" t="s">
        <v>2054</v>
      </c>
      <c r="P143" s="71" t="s">
        <v>2055</v>
      </c>
      <c r="Q143" s="265"/>
      <c r="R143" s="265">
        <v>352</v>
      </c>
      <c r="S143" s="71">
        <v>24</v>
      </c>
      <c r="T143" s="71" t="s">
        <v>795</v>
      </c>
      <c r="U143" s="267">
        <v>0.08</v>
      </c>
      <c r="V143" s="267"/>
      <c r="W143" s="268"/>
      <c r="X143" s="254" t="e">
        <f>tbl_明細[[#This Row],[仕入価格]]*tbl_明細[[#This Row],[数量]]+tbl_明細[[#This Row],[仕入価格（M)]]*tbl_明細[[#This Row],[数量（M)]]</f>
        <v>#VALUE!</v>
      </c>
      <c r="Y143" s="254">
        <f>tbl_明細[[#This Row],[販売価格（売値）]]*tbl_明細[[#This Row],[数量]]+tbl_明細[[#This Row],[販売価格（M)]]*tbl_明細[[#This Row],[数量（M)]]</f>
        <v>8448</v>
      </c>
      <c r="Z143" s="257" t="str">
        <f>_xlfn.XLOOKUP(tbl_明細[[#This Row],[案件番号]],tbl_案件追跡[案件番号],tbl_案件追跡[受注],"",0,1)</f>
        <v/>
      </c>
      <c r="AA143" s="228">
        <f>tbl_明細[[#This Row],[販売価格（売値）]]+tbl_明細[[#This Row],[販売価格（M)]]</f>
        <v>352</v>
      </c>
      <c r="AB143" s="261">
        <f>tbl_明細[[#This Row],[販売価格（売値）]]*1.08+tbl_明細[[#This Row],[販売価格（M)]]*1.08</f>
        <v>380.16</v>
      </c>
    </row>
    <row r="144" spans="1:28">
      <c r="A144" s="73" t="s">
        <v>1954</v>
      </c>
      <c r="B144" s="77">
        <f>IF(ISBLANK(tbl_明細[[#This Row],[案件番号]]),"",COUNTIFS($A$3:A144,tbl_明細[[#This Row],[案件番号]],$AA$3:AA144,"&gt;0"))</f>
        <v>93</v>
      </c>
      <c r="C144" s="71">
        <f>COUNTIFS($A$3:A144,tbl_明細[[#This Row],[案件番号]],$F$3:F144,tbl_明細[[#This Row],[仕入先]])</f>
        <v>2</v>
      </c>
      <c r="D144" s="77" t="str">
        <f>_xlfn.XLOOKUP(tbl_明細[[#This Row],[案件番号]],tbl_採番[案件番号],tbl_採番[顧客],"",0,1)</f>
        <v>加古川ヤマトヤシキ</v>
      </c>
      <c r="E144" s="71" t="s">
        <v>1969</v>
      </c>
      <c r="F144" s="118" t="str">
        <f>IF(ISBLANK(tbl_明細[[#This Row],[仕入先（M)]]),_xlfn.XLOOKUP(tbl_明細[[#This Row],[商品ID]],商品マスタ[商品連番],商品マスタ[仕入先],"",0,1),tbl_明細[[#This Row],[仕入先（M)]])</f>
        <v>福島町まちづくり工房</v>
      </c>
      <c r="G144" s="112" t="str">
        <f>IF(ISBLANK(tbl_明細[[#This Row],[商品名（M)]]),_xlfn.XLOOKUP(tbl_明細[[#This Row],[商品ID]],商品マスタ[商品連番],商品マスタ[商品名],"",0,),tbl_明細[[#This Row],[商品名（M)]])</f>
        <v>なまらポテト</v>
      </c>
      <c r="H144" s="80" t="str">
        <f>IF(ISBLANK(tbl_明細[[#This Row],[仕入価格（M)]]),_xlfn.XLOOKUP(tbl_明細[[#This Row],[商品ID]],商品マスタ[商品連番],商品マスタ[仕入
単価],"",0,1),tbl_明細[[#This Row],[仕入価格（M)]])</f>
        <v/>
      </c>
      <c r="I144" s="80" t="str">
        <f>_xlfn.XLOOKUP(tbl_明細[[#This Row],[商品ID]],商品マスタ[商品連番],商品マスタ[国内定価
（15％）],"",0,1)</f>
        <v/>
      </c>
      <c r="J144" s="265"/>
      <c r="K144" s="71"/>
      <c r="L144" s="77" t="str">
        <f>_xlfn.XLOOKUP(tbl_明細[[#This Row],[商品ID]],商品マスタ[商品連番],商品マスタ[単位],"",0,1)</f>
        <v/>
      </c>
      <c r="M144" s="249" t="e">
        <f>1-tbl_明細[[#This Row],[仕入価格]]/tbl_明細[[#This Row],[販売価格（売値）]]</f>
        <v>#VALUE!</v>
      </c>
      <c r="N144" s="189" t="str">
        <f>_xlfn.XLOOKUP(tbl_明細[[#This Row],[商品ID]],商品マスタ[商品連番],商品マスタ[税率],"",0,1)</f>
        <v/>
      </c>
      <c r="O144" s="266" t="s">
        <v>2054</v>
      </c>
      <c r="P144" s="71" t="s">
        <v>2056</v>
      </c>
      <c r="Q144" s="265"/>
      <c r="R144" s="265">
        <v>238</v>
      </c>
      <c r="S144" s="71">
        <v>72</v>
      </c>
      <c r="T144" s="71" t="s">
        <v>795</v>
      </c>
      <c r="U144" s="267">
        <v>0.08</v>
      </c>
      <c r="V144" s="267"/>
      <c r="W144" s="268"/>
      <c r="X144" s="254" t="e">
        <f>tbl_明細[[#This Row],[仕入価格]]*tbl_明細[[#This Row],[数量]]+tbl_明細[[#This Row],[仕入価格（M)]]*tbl_明細[[#This Row],[数量（M)]]</f>
        <v>#VALUE!</v>
      </c>
      <c r="Y144" s="254">
        <f>tbl_明細[[#This Row],[販売価格（売値）]]*tbl_明細[[#This Row],[数量]]+tbl_明細[[#This Row],[販売価格（M)]]*tbl_明細[[#This Row],[数量（M)]]</f>
        <v>17136</v>
      </c>
      <c r="Z144" s="257" t="str">
        <f>_xlfn.XLOOKUP(tbl_明細[[#This Row],[案件番号]],tbl_案件追跡[案件番号],tbl_案件追跡[受注],"",0,1)</f>
        <v/>
      </c>
      <c r="AA144" s="228">
        <f>tbl_明細[[#This Row],[販売価格（売値）]]+tbl_明細[[#This Row],[販売価格（M)]]</f>
        <v>238</v>
      </c>
      <c r="AB144" s="261">
        <f>tbl_明細[[#This Row],[販売価格（売値）]]*1.08+tbl_明細[[#This Row],[販売価格（M)]]*1.08</f>
        <v>257.04000000000002</v>
      </c>
    </row>
    <row r="145" spans="1:28">
      <c r="A145" s="73" t="s">
        <v>1954</v>
      </c>
      <c r="B145" s="77">
        <f>IF(ISBLANK(tbl_明細[[#This Row],[案件番号]]),"",COUNTIFS($A$3:A145,tbl_明細[[#This Row],[案件番号]],$AA$3:AA145,"&gt;0"))</f>
        <v>94</v>
      </c>
      <c r="C145" s="71">
        <f>COUNTIFS($A$3:A145,tbl_明細[[#This Row],[案件番号]],$F$3:F145,tbl_明細[[#This Row],[仕入先]])</f>
        <v>1</v>
      </c>
      <c r="D145" s="77" t="str">
        <f>_xlfn.XLOOKUP(tbl_明細[[#This Row],[案件番号]],tbl_採番[案件番号],tbl_採番[顧客],"",0,1)</f>
        <v>加古川ヤマトヤシキ</v>
      </c>
      <c r="E145" s="71" t="s">
        <v>2057</v>
      </c>
      <c r="F145" s="118" t="str">
        <f>IF(ISBLANK(tbl_明細[[#This Row],[仕入先（M)]]),_xlfn.XLOOKUP(tbl_明細[[#This Row],[商品ID]],商品マスタ[商品連番],商品マスタ[仕入先],"",0,1),tbl_明細[[#This Row],[仕入先（M)]])</f>
        <v>藤田水産</v>
      </c>
      <c r="G145" s="112" t="str">
        <f>IF(ISBLANK(tbl_明細[[#This Row],[商品名（M)]]),_xlfn.XLOOKUP(tbl_明細[[#This Row],[商品ID]],商品マスタ[商品連番],商品マスタ[商品名],"",0,),tbl_明細[[#This Row],[商品名（M)]])</f>
        <v>引張たこ（短）</v>
      </c>
      <c r="H145" s="80">
        <f>IF(ISBLANK(tbl_明細[[#This Row],[仕入価格（M)]]),_xlfn.XLOOKUP(tbl_明細[[#This Row],[商品ID]],商品マスタ[商品連番],商品マスタ[仕入
単価],"",0,1),tbl_明細[[#This Row],[仕入価格（M)]])</f>
        <v>600</v>
      </c>
      <c r="I145" s="80">
        <f>_xlfn.XLOOKUP(tbl_明細[[#This Row],[商品ID]],商品マスタ[商品連番],商品マスタ[国内定価
（15％）],"",0,1)</f>
        <v>710</v>
      </c>
      <c r="J145" s="265">
        <v>830</v>
      </c>
      <c r="K145" s="71">
        <v>15</v>
      </c>
      <c r="L145" s="77">
        <f>_xlfn.XLOOKUP(tbl_明細[[#This Row],[商品ID]],商品マスタ[商品連番],商品マスタ[単位],"",0,1)</f>
        <v>0</v>
      </c>
      <c r="M145" s="249">
        <f>1-tbl_明細[[#This Row],[仕入価格]]/tbl_明細[[#This Row],[販売価格（売値）]]</f>
        <v>0.27710843373493976</v>
      </c>
      <c r="N145" s="189">
        <f>_xlfn.XLOOKUP(tbl_明細[[#This Row],[商品ID]],商品マスタ[商品連番],商品マスタ[税率],"",0,1)</f>
        <v>0</v>
      </c>
      <c r="O145" s="120"/>
      <c r="P145" s="71"/>
      <c r="Q145" s="81"/>
      <c r="R145" s="81"/>
      <c r="S145" s="71"/>
      <c r="T145" s="71"/>
      <c r="U145" s="79"/>
      <c r="V145" s="79"/>
      <c r="W145" s="113"/>
      <c r="X145" s="254">
        <f>tbl_明細[[#This Row],[仕入価格]]*tbl_明細[[#This Row],[数量]]+tbl_明細[[#This Row],[仕入価格（M)]]*tbl_明細[[#This Row],[数量（M)]]</f>
        <v>9000</v>
      </c>
      <c r="Y145" s="254">
        <f>tbl_明細[[#This Row],[販売価格（売値）]]*tbl_明細[[#This Row],[数量]]+tbl_明細[[#This Row],[販売価格（M)]]*tbl_明細[[#This Row],[数量（M)]]</f>
        <v>12450</v>
      </c>
      <c r="Z145" s="257" t="str">
        <f>_xlfn.XLOOKUP(tbl_明細[[#This Row],[案件番号]],tbl_案件追跡[案件番号],tbl_案件追跡[受注],"",0,1)</f>
        <v/>
      </c>
      <c r="AA145" s="228">
        <f>tbl_明細[[#This Row],[販売価格（売値）]]+tbl_明細[[#This Row],[販売価格（M)]]</f>
        <v>830</v>
      </c>
      <c r="AB145" s="261">
        <f>tbl_明細[[#This Row],[販売価格（売値）]]*1.08+tbl_明細[[#This Row],[販売価格（M)]]*1.08</f>
        <v>896.40000000000009</v>
      </c>
    </row>
    <row r="146" spans="1:28">
      <c r="A146" s="73" t="s">
        <v>1954</v>
      </c>
      <c r="B146" s="77">
        <f>IF(ISBLANK(tbl_明細[[#This Row],[案件番号]]),"",COUNTIFS($A$3:A146,tbl_明細[[#This Row],[案件番号]],$AA$3:AA146,"&gt;0"))</f>
        <v>95</v>
      </c>
      <c r="C146" s="71">
        <f>COUNTIFS($A$3:A146,tbl_明細[[#This Row],[案件番号]],$F$3:F146,tbl_明細[[#This Row],[仕入先]])</f>
        <v>2</v>
      </c>
      <c r="D146" s="77" t="str">
        <f>_xlfn.XLOOKUP(tbl_明細[[#This Row],[案件番号]],tbl_採番[案件番号],tbl_採番[顧客],"",0,1)</f>
        <v>加古川ヤマトヤシキ</v>
      </c>
      <c r="E146" s="71" t="s">
        <v>2058</v>
      </c>
      <c r="F146" s="118" t="str">
        <f>IF(ISBLANK(tbl_明細[[#This Row],[仕入先（M)]]),_xlfn.XLOOKUP(tbl_明細[[#This Row],[商品ID]],商品マスタ[商品連番],商品マスタ[仕入先],"",0,1),tbl_明細[[#This Row],[仕入先（M)]])</f>
        <v>藤田水産</v>
      </c>
      <c r="G146" s="112" t="str">
        <f>IF(ISBLANK(tbl_明細[[#This Row],[商品名（M)]]),_xlfn.XLOOKUP(tbl_明細[[#This Row],[商品ID]],商品マスタ[商品連番],商品マスタ[商品名],"",0,),tbl_明細[[#This Row],[商品名（M)]])</f>
        <v>たこ頭ロール</v>
      </c>
      <c r="H146" s="80">
        <f>IF(ISBLANK(tbl_明細[[#This Row],[仕入価格（M)]]),_xlfn.XLOOKUP(tbl_明細[[#This Row],[商品ID]],商品マスタ[商品連番],商品マスタ[仕入
単価],"",0,1),tbl_明細[[#This Row],[仕入価格（M)]])</f>
        <v>600</v>
      </c>
      <c r="I146" s="80">
        <f>_xlfn.XLOOKUP(tbl_明細[[#This Row],[商品ID]],商品マスタ[商品連番],商品マスタ[国内定価
（15％）],"",0,1)</f>
        <v>710</v>
      </c>
      <c r="J146" s="265">
        <v>830</v>
      </c>
      <c r="K146" s="71">
        <v>15</v>
      </c>
      <c r="L146" s="77">
        <f>_xlfn.XLOOKUP(tbl_明細[[#This Row],[商品ID]],商品マスタ[商品連番],商品マスタ[単位],"",0,1)</f>
        <v>0</v>
      </c>
      <c r="M146" s="249">
        <f>1-tbl_明細[[#This Row],[仕入価格]]/tbl_明細[[#This Row],[販売価格（売値）]]</f>
        <v>0.27710843373493976</v>
      </c>
      <c r="N146" s="189">
        <f>_xlfn.XLOOKUP(tbl_明細[[#This Row],[商品ID]],商品マスタ[商品連番],商品マスタ[税率],"",0,1)</f>
        <v>0</v>
      </c>
      <c r="O146" s="120"/>
      <c r="P146" s="71"/>
      <c r="Q146" s="81"/>
      <c r="R146" s="81"/>
      <c r="S146" s="71"/>
      <c r="T146" s="71"/>
      <c r="U146" s="79"/>
      <c r="V146" s="79"/>
      <c r="W146" s="113"/>
      <c r="X146" s="254">
        <f>tbl_明細[[#This Row],[仕入価格]]*tbl_明細[[#This Row],[数量]]+tbl_明細[[#This Row],[仕入価格（M)]]*tbl_明細[[#This Row],[数量（M)]]</f>
        <v>9000</v>
      </c>
      <c r="Y146" s="254">
        <f>tbl_明細[[#This Row],[販売価格（売値）]]*tbl_明細[[#This Row],[数量]]+tbl_明細[[#This Row],[販売価格（M)]]*tbl_明細[[#This Row],[数量（M)]]</f>
        <v>12450</v>
      </c>
      <c r="Z146" s="257" t="str">
        <f>_xlfn.XLOOKUP(tbl_明細[[#This Row],[案件番号]],tbl_案件追跡[案件番号],tbl_案件追跡[受注],"",0,1)</f>
        <v/>
      </c>
      <c r="AA146" s="228">
        <f>tbl_明細[[#This Row],[販売価格（売値）]]+tbl_明細[[#This Row],[販売価格（M)]]</f>
        <v>830</v>
      </c>
      <c r="AB146" s="261">
        <f>tbl_明細[[#This Row],[販売価格（売値）]]*1.08+tbl_明細[[#This Row],[販売価格（M)]]*1.08</f>
        <v>896.40000000000009</v>
      </c>
    </row>
    <row r="147" spans="1:28">
      <c r="A147" s="73"/>
      <c r="B147" s="77" t="str">
        <f>IF(ISBLANK(tbl_明細[[#This Row],[案件番号]]),"",COUNTIFS($A$3:A147,tbl_明細[[#This Row],[案件番号]],$AA$3:AA147,"&gt;0"))</f>
        <v/>
      </c>
      <c r="C147" s="71">
        <f>COUNTIFS($A$3:A147,tbl_明細[[#This Row],[案件番号]],$F$3:F147,tbl_明細[[#This Row],[仕入先]])</f>
        <v>0</v>
      </c>
      <c r="D147" s="77" t="str">
        <f>_xlfn.XLOOKUP(tbl_明細[[#This Row],[案件番号]],tbl_採番[案件番号],tbl_採番[顧客],"",0,1)</f>
        <v/>
      </c>
      <c r="E147" s="71"/>
      <c r="F147" s="118" t="str">
        <f>IF(ISBLANK(tbl_明細[[#This Row],[仕入先（M)]]),_xlfn.XLOOKUP(tbl_明細[[#This Row],[商品ID]],商品マスタ[商品連番],商品マスタ[仕入先],"",0,1),tbl_明細[[#This Row],[仕入先（M)]])</f>
        <v/>
      </c>
      <c r="G147" s="112" t="str">
        <f>IF(ISBLANK(tbl_明細[[#This Row],[商品名（M)]]),_xlfn.XLOOKUP(tbl_明細[[#This Row],[商品ID]],商品マスタ[商品連番],商品マスタ[商品名],"",0,),tbl_明細[[#This Row],[商品名（M)]])</f>
        <v/>
      </c>
      <c r="H147" s="80" t="str">
        <f>IF(ISBLANK(tbl_明細[[#This Row],[仕入価格（M)]]),_xlfn.XLOOKUP(tbl_明細[[#This Row],[商品ID]],商品マスタ[商品連番],商品マスタ[仕入
単価],"",0,1),tbl_明細[[#This Row],[仕入価格（M)]])</f>
        <v/>
      </c>
      <c r="I147" s="80" t="str">
        <f>_xlfn.XLOOKUP(tbl_明細[[#This Row],[商品ID]],商品マスタ[商品連番],商品マスタ[国内定価
（15％）],"",0,1)</f>
        <v/>
      </c>
      <c r="J147" s="85"/>
      <c r="K147" s="71"/>
      <c r="L147" s="77" t="str">
        <f>_xlfn.XLOOKUP(tbl_明細[[#This Row],[商品ID]],商品マスタ[商品連番],商品マスタ[単位],"",0,1)</f>
        <v/>
      </c>
      <c r="M147" s="249" t="e">
        <f>1-tbl_明細[[#This Row],[仕入価格]]/tbl_明細[[#This Row],[販売価格（売値）]]</f>
        <v>#VALUE!</v>
      </c>
      <c r="N147" s="189" t="str">
        <f>_xlfn.XLOOKUP(tbl_明細[[#This Row],[商品ID]],商品マスタ[商品連番],商品マスタ[税率],"",0,1)</f>
        <v/>
      </c>
      <c r="O147" s="120"/>
      <c r="P147" s="71"/>
      <c r="Q147" s="81"/>
      <c r="R147" s="81"/>
      <c r="S147" s="71"/>
      <c r="T147" s="71"/>
      <c r="U147" s="79"/>
      <c r="V147" s="79"/>
      <c r="W147" s="113"/>
      <c r="X147" s="254" t="e">
        <f>tbl_明細[[#This Row],[仕入価格]]*tbl_明細[[#This Row],[数量]]+tbl_明細[[#This Row],[仕入価格（M)]]*tbl_明細[[#This Row],[数量（M)]]</f>
        <v>#VALUE!</v>
      </c>
      <c r="Y147" s="254">
        <f>tbl_明細[[#This Row],[販売価格（売値）]]*tbl_明細[[#This Row],[数量]]+tbl_明細[[#This Row],[販売価格（M)]]*tbl_明細[[#This Row],[数量（M)]]</f>
        <v>0</v>
      </c>
      <c r="Z147" s="257">
        <f>_xlfn.XLOOKUP(tbl_明細[[#This Row],[案件番号]],tbl_案件追跡[案件番号],tbl_案件追跡[受注],"",0,1)</f>
        <v>0</v>
      </c>
      <c r="AA147" s="228">
        <f>tbl_明細[[#This Row],[販売価格（売値）]]+tbl_明細[[#This Row],[販売価格（M)]]</f>
        <v>0</v>
      </c>
      <c r="AB147" s="261">
        <f>tbl_明細[[#This Row],[販売価格（売値）]]*1.08+tbl_明細[[#This Row],[販売価格（M)]]*1.08</f>
        <v>0</v>
      </c>
    </row>
    <row r="148" spans="1:28">
      <c r="A148" s="73"/>
      <c r="B148" s="77" t="str">
        <f>IF(ISBLANK(tbl_明細[[#This Row],[案件番号]]),"",COUNTIFS($A$3:A148,tbl_明細[[#This Row],[案件番号]],$AA$3:AA148,"&gt;0"))</f>
        <v/>
      </c>
      <c r="C148" s="71">
        <f>COUNTIFS($A$3:A148,tbl_明細[[#This Row],[案件番号]],$F$3:F148,tbl_明細[[#This Row],[仕入先]])</f>
        <v>0</v>
      </c>
      <c r="D148" s="77" t="str">
        <f>_xlfn.XLOOKUP(tbl_明細[[#This Row],[案件番号]],tbl_採番[案件番号],tbl_採番[顧客],"",0,1)</f>
        <v/>
      </c>
      <c r="E148" s="71"/>
      <c r="F148" s="118" t="str">
        <f>IF(ISBLANK(tbl_明細[[#This Row],[仕入先（M)]]),_xlfn.XLOOKUP(tbl_明細[[#This Row],[商品ID]],商品マスタ[商品連番],商品マスタ[仕入先],"",0,1),tbl_明細[[#This Row],[仕入先（M)]])</f>
        <v/>
      </c>
      <c r="G148" s="112" t="str">
        <f>IF(ISBLANK(tbl_明細[[#This Row],[商品名（M)]]),_xlfn.XLOOKUP(tbl_明細[[#This Row],[商品ID]],商品マスタ[商品連番],商品マスタ[商品名],"",0,),tbl_明細[[#This Row],[商品名（M)]])</f>
        <v/>
      </c>
      <c r="H148" s="80" t="str">
        <f>IF(ISBLANK(tbl_明細[[#This Row],[仕入価格（M)]]),_xlfn.XLOOKUP(tbl_明細[[#This Row],[商品ID]],商品マスタ[商品連番],商品マスタ[仕入
単価],"",0,1),tbl_明細[[#This Row],[仕入価格（M)]])</f>
        <v/>
      </c>
      <c r="I148" s="80" t="str">
        <f>_xlfn.XLOOKUP(tbl_明細[[#This Row],[商品ID]],商品マスタ[商品連番],商品マスタ[国内定価
（15％）],"",0,1)</f>
        <v/>
      </c>
      <c r="J148" s="85"/>
      <c r="K148" s="71"/>
      <c r="L148" s="77" t="str">
        <f>_xlfn.XLOOKUP(tbl_明細[[#This Row],[商品ID]],商品マスタ[商品連番],商品マスタ[単位],"",0,1)</f>
        <v/>
      </c>
      <c r="M148" s="249" t="e">
        <f>1-tbl_明細[[#This Row],[仕入価格]]/tbl_明細[[#This Row],[販売価格（売値）]]</f>
        <v>#VALUE!</v>
      </c>
      <c r="N148" s="189" t="str">
        <f>_xlfn.XLOOKUP(tbl_明細[[#This Row],[商品ID]],商品マスタ[商品連番],商品マスタ[税率],"",0,1)</f>
        <v/>
      </c>
      <c r="O148" s="120"/>
      <c r="P148" s="71"/>
      <c r="Q148" s="81"/>
      <c r="R148" s="81"/>
      <c r="S148" s="71"/>
      <c r="T148" s="71"/>
      <c r="U148" s="79"/>
      <c r="V148" s="79"/>
      <c r="W148" s="113"/>
      <c r="X148" s="254" t="e">
        <f>tbl_明細[[#This Row],[仕入価格]]*tbl_明細[[#This Row],[数量]]+tbl_明細[[#This Row],[仕入価格（M)]]*tbl_明細[[#This Row],[数量（M)]]</f>
        <v>#VALUE!</v>
      </c>
      <c r="Y148" s="254">
        <f>tbl_明細[[#This Row],[販売価格（売値）]]*tbl_明細[[#This Row],[数量]]+tbl_明細[[#This Row],[販売価格（M)]]*tbl_明細[[#This Row],[数量（M)]]</f>
        <v>0</v>
      </c>
      <c r="Z148" s="257">
        <f>_xlfn.XLOOKUP(tbl_明細[[#This Row],[案件番号]],tbl_案件追跡[案件番号],tbl_案件追跡[受注],"",0,1)</f>
        <v>0</v>
      </c>
      <c r="AA148" s="228">
        <f>tbl_明細[[#This Row],[販売価格（売値）]]+tbl_明細[[#This Row],[販売価格（M)]]</f>
        <v>0</v>
      </c>
      <c r="AB148" s="261">
        <f>tbl_明細[[#This Row],[販売価格（売値）]]*1.08+tbl_明細[[#This Row],[販売価格（M)]]*1.08</f>
        <v>0</v>
      </c>
    </row>
    <row r="149" spans="1:28">
      <c r="A149" s="73"/>
      <c r="B149" s="77" t="str">
        <f>IF(ISBLANK(tbl_明細[[#This Row],[案件番号]]),"",COUNTIFS($A$3:A149,tbl_明細[[#This Row],[案件番号]],$AA$3:AA149,"&gt;0"))</f>
        <v/>
      </c>
      <c r="C149" s="71">
        <f>COUNTIFS($A$3:A149,tbl_明細[[#This Row],[案件番号]],$F$3:F149,tbl_明細[[#This Row],[仕入先]])</f>
        <v>0</v>
      </c>
      <c r="D149" s="77" t="str">
        <f>_xlfn.XLOOKUP(tbl_明細[[#This Row],[案件番号]],tbl_採番[案件番号],tbl_採番[顧客],"",0,1)</f>
        <v/>
      </c>
      <c r="E149" s="71"/>
      <c r="F149" s="118" t="str">
        <f>IF(ISBLANK(tbl_明細[[#This Row],[仕入先（M)]]),_xlfn.XLOOKUP(tbl_明細[[#This Row],[商品ID]],商品マスタ[商品連番],商品マスタ[仕入先],"",0,1),tbl_明細[[#This Row],[仕入先（M)]])</f>
        <v/>
      </c>
      <c r="G149" s="112" t="str">
        <f>IF(ISBLANK(tbl_明細[[#This Row],[商品名（M)]]),_xlfn.XLOOKUP(tbl_明細[[#This Row],[商品ID]],商品マスタ[商品連番],商品マスタ[商品名],"",0,),tbl_明細[[#This Row],[商品名（M)]])</f>
        <v/>
      </c>
      <c r="H149" s="80" t="str">
        <f>IF(ISBLANK(tbl_明細[[#This Row],[仕入価格（M)]]),_xlfn.XLOOKUP(tbl_明細[[#This Row],[商品ID]],商品マスタ[商品連番],商品マスタ[仕入
単価],"",0,1),tbl_明細[[#This Row],[仕入価格（M)]])</f>
        <v/>
      </c>
      <c r="I149" s="80" t="str">
        <f>_xlfn.XLOOKUP(tbl_明細[[#This Row],[商品ID]],商品マスタ[商品連番],商品マスタ[国内定価
（15％）],"",0,1)</f>
        <v/>
      </c>
      <c r="J149" s="85"/>
      <c r="K149" s="71"/>
      <c r="L149" s="77" t="str">
        <f>_xlfn.XLOOKUP(tbl_明細[[#This Row],[商品ID]],商品マスタ[商品連番],商品マスタ[単位],"",0,1)</f>
        <v/>
      </c>
      <c r="M149" s="249" t="e">
        <f>1-tbl_明細[[#This Row],[仕入価格]]/tbl_明細[[#This Row],[販売価格（売値）]]</f>
        <v>#VALUE!</v>
      </c>
      <c r="N149" s="189" t="str">
        <f>_xlfn.XLOOKUP(tbl_明細[[#This Row],[商品ID]],商品マスタ[商品連番],商品マスタ[税率],"",0,1)</f>
        <v/>
      </c>
      <c r="O149" s="120"/>
      <c r="P149" s="71"/>
      <c r="Q149" s="81"/>
      <c r="R149" s="81"/>
      <c r="S149" s="71"/>
      <c r="T149" s="71"/>
      <c r="U149" s="79"/>
      <c r="V149" s="79"/>
      <c r="W149" s="113"/>
      <c r="X149" s="254" t="e">
        <f>tbl_明細[[#This Row],[仕入価格]]*tbl_明細[[#This Row],[数量]]+tbl_明細[[#This Row],[仕入価格（M)]]*tbl_明細[[#This Row],[数量（M)]]</f>
        <v>#VALUE!</v>
      </c>
      <c r="Y149" s="254">
        <f>tbl_明細[[#This Row],[販売価格（売値）]]*tbl_明細[[#This Row],[数量]]+tbl_明細[[#This Row],[販売価格（M)]]*tbl_明細[[#This Row],[数量（M)]]</f>
        <v>0</v>
      </c>
      <c r="Z149" s="257">
        <f>_xlfn.XLOOKUP(tbl_明細[[#This Row],[案件番号]],tbl_案件追跡[案件番号],tbl_案件追跡[受注],"",0,1)</f>
        <v>0</v>
      </c>
      <c r="AA149" s="228">
        <f>tbl_明細[[#This Row],[販売価格（売値）]]+tbl_明細[[#This Row],[販売価格（M)]]</f>
        <v>0</v>
      </c>
      <c r="AB149" s="261">
        <f>tbl_明細[[#This Row],[販売価格（売値）]]*1.08+tbl_明細[[#This Row],[販売価格（M)]]*1.08</f>
        <v>0</v>
      </c>
    </row>
    <row r="150" spans="1:28">
      <c r="A150" s="73"/>
      <c r="B150" s="77" t="str">
        <f>IF(ISBLANK(tbl_明細[[#This Row],[案件番号]]),"",COUNTIFS($A$3:A150,tbl_明細[[#This Row],[案件番号]],$AA$3:AA150,"&gt;0"))</f>
        <v/>
      </c>
      <c r="C150" s="71">
        <f>COUNTIFS($A$3:A150,tbl_明細[[#This Row],[案件番号]],$F$3:F150,tbl_明細[[#This Row],[仕入先]])</f>
        <v>0</v>
      </c>
      <c r="D150" s="77" t="str">
        <f>_xlfn.XLOOKUP(tbl_明細[[#This Row],[案件番号]],tbl_採番[案件番号],tbl_採番[顧客],"",0,1)</f>
        <v/>
      </c>
      <c r="E150" s="71"/>
      <c r="F150" s="118" t="str">
        <f>IF(ISBLANK(tbl_明細[[#This Row],[仕入先（M)]]),_xlfn.XLOOKUP(tbl_明細[[#This Row],[商品ID]],商品マスタ[商品連番],商品マスタ[仕入先],"",0,1),tbl_明細[[#This Row],[仕入先（M)]])</f>
        <v/>
      </c>
      <c r="G150" s="112" t="str">
        <f>IF(ISBLANK(tbl_明細[[#This Row],[商品名（M)]]),_xlfn.XLOOKUP(tbl_明細[[#This Row],[商品ID]],商品マスタ[商品連番],商品マスタ[商品名],"",0,),tbl_明細[[#This Row],[商品名（M)]])</f>
        <v/>
      </c>
      <c r="H150" s="80" t="str">
        <f>IF(ISBLANK(tbl_明細[[#This Row],[仕入価格（M)]]),_xlfn.XLOOKUP(tbl_明細[[#This Row],[商品ID]],商品マスタ[商品連番],商品マスタ[仕入
単価],"",0,1),tbl_明細[[#This Row],[仕入価格（M)]])</f>
        <v/>
      </c>
      <c r="I150" s="80" t="str">
        <f>_xlfn.XLOOKUP(tbl_明細[[#This Row],[商品ID]],商品マスタ[商品連番],商品マスタ[国内定価
（15％）],"",0,1)</f>
        <v/>
      </c>
      <c r="J150" s="85"/>
      <c r="K150" s="71"/>
      <c r="L150" s="77" t="str">
        <f>_xlfn.XLOOKUP(tbl_明細[[#This Row],[商品ID]],商品マスタ[商品連番],商品マスタ[単位],"",0,1)</f>
        <v/>
      </c>
      <c r="M150" s="249" t="e">
        <f>1-tbl_明細[[#This Row],[仕入価格]]/tbl_明細[[#This Row],[販売価格（売値）]]</f>
        <v>#VALUE!</v>
      </c>
      <c r="N150" s="189" t="str">
        <f>_xlfn.XLOOKUP(tbl_明細[[#This Row],[商品ID]],商品マスタ[商品連番],商品マスタ[税率],"",0,1)</f>
        <v/>
      </c>
      <c r="O150" s="120"/>
      <c r="P150" s="71"/>
      <c r="Q150" s="81"/>
      <c r="R150" s="81"/>
      <c r="S150" s="71"/>
      <c r="T150" s="71"/>
      <c r="U150" s="79"/>
      <c r="V150" s="79"/>
      <c r="W150" s="113"/>
      <c r="X150" s="254" t="e">
        <f>tbl_明細[[#This Row],[仕入価格]]*tbl_明細[[#This Row],[数量]]+tbl_明細[[#This Row],[仕入価格（M)]]*tbl_明細[[#This Row],[数量（M)]]</f>
        <v>#VALUE!</v>
      </c>
      <c r="Y150" s="254">
        <f>tbl_明細[[#This Row],[販売価格（売値）]]*tbl_明細[[#This Row],[数量]]+tbl_明細[[#This Row],[販売価格（M)]]*tbl_明細[[#This Row],[数量（M)]]</f>
        <v>0</v>
      </c>
      <c r="Z150" s="257">
        <f>_xlfn.XLOOKUP(tbl_明細[[#This Row],[案件番号]],tbl_案件追跡[案件番号],tbl_案件追跡[受注],"",0,1)</f>
        <v>0</v>
      </c>
      <c r="AA150" s="228">
        <f>tbl_明細[[#This Row],[販売価格（売値）]]+tbl_明細[[#This Row],[販売価格（M)]]</f>
        <v>0</v>
      </c>
      <c r="AB150" s="261">
        <f>tbl_明細[[#This Row],[販売価格（売値）]]*1.08+tbl_明細[[#This Row],[販売価格（M)]]*1.08</f>
        <v>0</v>
      </c>
    </row>
    <row r="151" spans="1:28">
      <c r="A151" s="73"/>
      <c r="B151" s="77" t="str">
        <f>IF(ISBLANK(tbl_明細[[#This Row],[案件番号]]),"",COUNTIFS($A$3:A151,tbl_明細[[#This Row],[案件番号]],$AA$3:AA151,"&gt;0"))</f>
        <v/>
      </c>
      <c r="C151" s="71">
        <f>COUNTIFS($A$3:A151,tbl_明細[[#This Row],[案件番号]],$F$3:F151,tbl_明細[[#This Row],[仕入先]])</f>
        <v>0</v>
      </c>
      <c r="D151" s="77" t="str">
        <f>_xlfn.XLOOKUP(tbl_明細[[#This Row],[案件番号]],tbl_採番[案件番号],tbl_採番[顧客],"",0,1)</f>
        <v/>
      </c>
      <c r="E151" s="71"/>
      <c r="F151" s="118" t="str">
        <f>IF(ISBLANK(tbl_明細[[#This Row],[仕入先（M)]]),_xlfn.XLOOKUP(tbl_明細[[#This Row],[商品ID]],商品マスタ[商品連番],商品マスタ[仕入先],"",0,1),tbl_明細[[#This Row],[仕入先（M)]])</f>
        <v/>
      </c>
      <c r="G151" s="112" t="str">
        <f>IF(ISBLANK(tbl_明細[[#This Row],[商品名（M)]]),_xlfn.XLOOKUP(tbl_明細[[#This Row],[商品ID]],商品マスタ[商品連番],商品マスタ[商品名],"",0,),tbl_明細[[#This Row],[商品名（M)]])</f>
        <v/>
      </c>
      <c r="H151" s="80" t="str">
        <f>IF(ISBLANK(tbl_明細[[#This Row],[仕入価格（M)]]),_xlfn.XLOOKUP(tbl_明細[[#This Row],[商品ID]],商品マスタ[商品連番],商品マスタ[仕入
単価],"",0,1),tbl_明細[[#This Row],[仕入価格（M)]])</f>
        <v/>
      </c>
      <c r="I151" s="80" t="str">
        <f>_xlfn.XLOOKUP(tbl_明細[[#This Row],[商品ID]],商品マスタ[商品連番],商品マスタ[国内定価
（15％）],"",0,1)</f>
        <v/>
      </c>
      <c r="J151" s="85"/>
      <c r="K151" s="71"/>
      <c r="L151" s="77" t="str">
        <f>_xlfn.XLOOKUP(tbl_明細[[#This Row],[商品ID]],商品マスタ[商品連番],商品マスタ[単位],"",0,1)</f>
        <v/>
      </c>
      <c r="M151" s="249" t="e">
        <f>1-tbl_明細[[#This Row],[仕入価格]]/tbl_明細[[#This Row],[販売価格（売値）]]</f>
        <v>#VALUE!</v>
      </c>
      <c r="N151" s="189" t="str">
        <f>_xlfn.XLOOKUP(tbl_明細[[#This Row],[商品ID]],商品マスタ[商品連番],商品マスタ[税率],"",0,1)</f>
        <v/>
      </c>
      <c r="O151" s="120"/>
      <c r="P151" s="71"/>
      <c r="Q151" s="81"/>
      <c r="R151" s="81"/>
      <c r="S151" s="71"/>
      <c r="T151" s="71"/>
      <c r="U151" s="79"/>
      <c r="V151" s="79"/>
      <c r="W151" s="113"/>
      <c r="X151" s="254" t="e">
        <f>tbl_明細[[#This Row],[仕入価格]]*tbl_明細[[#This Row],[数量]]+tbl_明細[[#This Row],[仕入価格（M)]]*tbl_明細[[#This Row],[数量（M)]]</f>
        <v>#VALUE!</v>
      </c>
      <c r="Y151" s="254">
        <f>tbl_明細[[#This Row],[販売価格（売値）]]*tbl_明細[[#This Row],[数量]]+tbl_明細[[#This Row],[販売価格（M)]]*tbl_明細[[#This Row],[数量（M)]]</f>
        <v>0</v>
      </c>
      <c r="Z151" s="257">
        <f>_xlfn.XLOOKUP(tbl_明細[[#This Row],[案件番号]],tbl_案件追跡[案件番号],tbl_案件追跡[受注],"",0,1)</f>
        <v>0</v>
      </c>
      <c r="AA151" s="228">
        <f>tbl_明細[[#This Row],[販売価格（売値）]]+tbl_明細[[#This Row],[販売価格（M)]]</f>
        <v>0</v>
      </c>
      <c r="AB151" s="261">
        <f>tbl_明細[[#This Row],[販売価格（売値）]]*1.08+tbl_明細[[#This Row],[販売価格（M)]]*1.08</f>
        <v>0</v>
      </c>
    </row>
    <row r="152" spans="1:28">
      <c r="A152" s="73"/>
      <c r="B152" s="77" t="str">
        <f>IF(ISBLANK(tbl_明細[[#This Row],[案件番号]]),"",COUNTIFS($A$3:A152,tbl_明細[[#This Row],[案件番号]],$AA$3:AA152,"&gt;0"))</f>
        <v/>
      </c>
      <c r="C152" s="71">
        <f>COUNTIFS($A$3:A152,tbl_明細[[#This Row],[案件番号]],$F$3:F152,tbl_明細[[#This Row],[仕入先]])</f>
        <v>0</v>
      </c>
      <c r="D152" s="77" t="str">
        <f>_xlfn.XLOOKUP(tbl_明細[[#This Row],[案件番号]],tbl_採番[案件番号],tbl_採番[顧客],"",0,1)</f>
        <v/>
      </c>
      <c r="E152" s="71"/>
      <c r="F152" s="118" t="str">
        <f>IF(ISBLANK(tbl_明細[[#This Row],[仕入先（M)]]),_xlfn.XLOOKUP(tbl_明細[[#This Row],[商品ID]],商品マスタ[商品連番],商品マスタ[仕入先],"",0,1),tbl_明細[[#This Row],[仕入先（M)]])</f>
        <v/>
      </c>
      <c r="G152" s="112" t="str">
        <f>IF(ISBLANK(tbl_明細[[#This Row],[商品名（M)]]),_xlfn.XLOOKUP(tbl_明細[[#This Row],[商品ID]],商品マスタ[商品連番],商品マスタ[商品名],"",0,),tbl_明細[[#This Row],[商品名（M)]])</f>
        <v/>
      </c>
      <c r="H152" s="80" t="str">
        <f>IF(ISBLANK(tbl_明細[[#This Row],[仕入価格（M)]]),_xlfn.XLOOKUP(tbl_明細[[#This Row],[商品ID]],商品マスタ[商品連番],商品マスタ[仕入
単価],"",0,1),tbl_明細[[#This Row],[仕入価格（M)]])</f>
        <v/>
      </c>
      <c r="I152" s="80" t="str">
        <f>_xlfn.XLOOKUP(tbl_明細[[#This Row],[商品ID]],商品マスタ[商品連番],商品マスタ[国内定価
（15％）],"",0,1)</f>
        <v/>
      </c>
      <c r="J152" s="85"/>
      <c r="K152" s="71"/>
      <c r="L152" s="77" t="str">
        <f>_xlfn.XLOOKUP(tbl_明細[[#This Row],[商品ID]],商品マスタ[商品連番],商品マスタ[単位],"",0,1)</f>
        <v/>
      </c>
      <c r="M152" s="249" t="e">
        <f>1-tbl_明細[[#This Row],[仕入価格]]/tbl_明細[[#This Row],[販売価格（売値）]]</f>
        <v>#VALUE!</v>
      </c>
      <c r="N152" s="189" t="str">
        <f>_xlfn.XLOOKUP(tbl_明細[[#This Row],[商品ID]],商品マスタ[商品連番],商品マスタ[税率],"",0,1)</f>
        <v/>
      </c>
      <c r="O152" s="120"/>
      <c r="P152" s="71"/>
      <c r="Q152" s="81"/>
      <c r="R152" s="81"/>
      <c r="S152" s="71"/>
      <c r="T152" s="71"/>
      <c r="U152" s="79"/>
      <c r="V152" s="79"/>
      <c r="W152" s="113"/>
      <c r="X152" s="254" t="e">
        <f>tbl_明細[[#This Row],[仕入価格]]*tbl_明細[[#This Row],[数量]]+tbl_明細[[#This Row],[仕入価格（M)]]*tbl_明細[[#This Row],[数量（M)]]</f>
        <v>#VALUE!</v>
      </c>
      <c r="Y152" s="254">
        <f>tbl_明細[[#This Row],[販売価格（売値）]]*tbl_明細[[#This Row],[数量]]+tbl_明細[[#This Row],[販売価格（M)]]*tbl_明細[[#This Row],[数量（M)]]</f>
        <v>0</v>
      </c>
      <c r="Z152" s="257">
        <f>_xlfn.XLOOKUP(tbl_明細[[#This Row],[案件番号]],tbl_案件追跡[案件番号],tbl_案件追跡[受注],"",0,1)</f>
        <v>0</v>
      </c>
      <c r="AA152" s="228">
        <f>tbl_明細[[#This Row],[販売価格（売値）]]+tbl_明細[[#This Row],[販売価格（M)]]</f>
        <v>0</v>
      </c>
      <c r="AB152" s="261">
        <f>tbl_明細[[#This Row],[販売価格（売値）]]*1.08+tbl_明細[[#This Row],[販売価格（M)]]*1.08</f>
        <v>0</v>
      </c>
    </row>
    <row r="153" spans="1:28">
      <c r="A153" s="73"/>
      <c r="B153" s="77" t="str">
        <f>IF(ISBLANK(tbl_明細[[#This Row],[案件番号]]),"",COUNTIFS($A$3:A153,tbl_明細[[#This Row],[案件番号]],$AA$3:AA153,"&gt;0"))</f>
        <v/>
      </c>
      <c r="C153" s="71">
        <f>COUNTIFS($A$3:A153,tbl_明細[[#This Row],[案件番号]],$F$3:F153,tbl_明細[[#This Row],[仕入先]])</f>
        <v>0</v>
      </c>
      <c r="D153" s="77" t="str">
        <f>_xlfn.XLOOKUP(tbl_明細[[#This Row],[案件番号]],tbl_採番[案件番号],tbl_採番[顧客],"",0,1)</f>
        <v/>
      </c>
      <c r="E153" s="71"/>
      <c r="F153" s="118" t="str">
        <f>IF(ISBLANK(tbl_明細[[#This Row],[仕入先（M)]]),_xlfn.XLOOKUP(tbl_明細[[#This Row],[商品ID]],商品マスタ[商品連番],商品マスタ[仕入先],"",0,1),tbl_明細[[#This Row],[仕入先（M)]])</f>
        <v/>
      </c>
      <c r="G153" s="112" t="str">
        <f>IF(ISBLANK(tbl_明細[[#This Row],[商品名（M)]]),_xlfn.XLOOKUP(tbl_明細[[#This Row],[商品ID]],商品マスタ[商品連番],商品マスタ[商品名],"",0,),tbl_明細[[#This Row],[商品名（M)]])</f>
        <v/>
      </c>
      <c r="H153" s="80" t="str">
        <f>IF(ISBLANK(tbl_明細[[#This Row],[仕入価格（M)]]),_xlfn.XLOOKUP(tbl_明細[[#This Row],[商品ID]],商品マスタ[商品連番],商品マスタ[仕入
単価],"",0,1),tbl_明細[[#This Row],[仕入価格（M)]])</f>
        <v/>
      </c>
      <c r="I153" s="80" t="str">
        <f>_xlfn.XLOOKUP(tbl_明細[[#This Row],[商品ID]],商品マスタ[商品連番],商品マスタ[国内定価
（15％）],"",0,1)</f>
        <v/>
      </c>
      <c r="J153" s="85"/>
      <c r="K153" s="71"/>
      <c r="L153" s="77" t="str">
        <f>_xlfn.XLOOKUP(tbl_明細[[#This Row],[商品ID]],商品マスタ[商品連番],商品マスタ[単位],"",0,1)</f>
        <v/>
      </c>
      <c r="M153" s="249" t="e">
        <f>1-tbl_明細[[#This Row],[仕入価格]]/tbl_明細[[#This Row],[販売価格（売値）]]</f>
        <v>#VALUE!</v>
      </c>
      <c r="N153" s="189" t="str">
        <f>_xlfn.XLOOKUP(tbl_明細[[#This Row],[商品ID]],商品マスタ[商品連番],商品マスタ[税率],"",0,1)</f>
        <v/>
      </c>
      <c r="O153" s="120"/>
      <c r="P153" s="71"/>
      <c r="Q153" s="81"/>
      <c r="R153" s="81"/>
      <c r="S153" s="71"/>
      <c r="T153" s="71"/>
      <c r="U153" s="79"/>
      <c r="V153" s="79"/>
      <c r="W153" s="113"/>
      <c r="X153" s="254" t="e">
        <f>tbl_明細[[#This Row],[仕入価格]]*tbl_明細[[#This Row],[数量]]+tbl_明細[[#This Row],[仕入価格（M)]]*tbl_明細[[#This Row],[数量（M)]]</f>
        <v>#VALUE!</v>
      </c>
      <c r="Y153" s="254">
        <f>tbl_明細[[#This Row],[販売価格（売値）]]*tbl_明細[[#This Row],[数量]]+tbl_明細[[#This Row],[販売価格（M)]]*tbl_明細[[#This Row],[数量（M)]]</f>
        <v>0</v>
      </c>
      <c r="Z153" s="257">
        <f>_xlfn.XLOOKUP(tbl_明細[[#This Row],[案件番号]],tbl_案件追跡[案件番号],tbl_案件追跡[受注],"",0,1)</f>
        <v>0</v>
      </c>
      <c r="AA153" s="228">
        <f>tbl_明細[[#This Row],[販売価格（売値）]]+tbl_明細[[#This Row],[販売価格（M)]]</f>
        <v>0</v>
      </c>
      <c r="AB153" s="261">
        <f>tbl_明細[[#This Row],[販売価格（売値）]]*1.08+tbl_明細[[#This Row],[販売価格（M)]]*1.08</f>
        <v>0</v>
      </c>
    </row>
    <row r="154" spans="1:28">
      <c r="A154" s="73"/>
      <c r="B154" s="77" t="str">
        <f>IF(ISBLANK(tbl_明細[[#This Row],[案件番号]]),"",COUNTIFS($A$3:A154,tbl_明細[[#This Row],[案件番号]],$AA$3:AA154,"&gt;0"))</f>
        <v/>
      </c>
      <c r="C154" s="71">
        <f>COUNTIFS($A$3:A154,tbl_明細[[#This Row],[案件番号]],$F$3:F154,tbl_明細[[#This Row],[仕入先]])</f>
        <v>0</v>
      </c>
      <c r="D154" s="77" t="str">
        <f>_xlfn.XLOOKUP(tbl_明細[[#This Row],[案件番号]],tbl_採番[案件番号],tbl_採番[顧客],"",0,1)</f>
        <v/>
      </c>
      <c r="E154" s="71"/>
      <c r="F154" s="118" t="str">
        <f>IF(ISBLANK(tbl_明細[[#This Row],[仕入先（M)]]),_xlfn.XLOOKUP(tbl_明細[[#This Row],[商品ID]],商品マスタ[商品連番],商品マスタ[仕入先],"",0,1),tbl_明細[[#This Row],[仕入先（M)]])</f>
        <v/>
      </c>
      <c r="G154" s="112" t="str">
        <f>IF(ISBLANK(tbl_明細[[#This Row],[商品名（M)]]),_xlfn.XLOOKUP(tbl_明細[[#This Row],[商品ID]],商品マスタ[商品連番],商品マスタ[商品名],"",0,),tbl_明細[[#This Row],[商品名（M)]])</f>
        <v/>
      </c>
      <c r="H154" s="80" t="str">
        <f>IF(ISBLANK(tbl_明細[[#This Row],[仕入価格（M)]]),_xlfn.XLOOKUP(tbl_明細[[#This Row],[商品ID]],商品マスタ[商品連番],商品マスタ[仕入
単価],"",0,1),tbl_明細[[#This Row],[仕入価格（M)]])</f>
        <v/>
      </c>
      <c r="I154" s="80" t="str">
        <f>_xlfn.XLOOKUP(tbl_明細[[#This Row],[商品ID]],商品マスタ[商品連番],商品マスタ[国内定価
（15％）],"",0,1)</f>
        <v/>
      </c>
      <c r="J154" s="85"/>
      <c r="K154" s="71"/>
      <c r="L154" s="77" t="str">
        <f>_xlfn.XLOOKUP(tbl_明細[[#This Row],[商品ID]],商品マスタ[商品連番],商品マスタ[単位],"",0,1)</f>
        <v/>
      </c>
      <c r="M154" s="249" t="e">
        <f>1-tbl_明細[[#This Row],[仕入価格]]/tbl_明細[[#This Row],[販売価格（売値）]]</f>
        <v>#VALUE!</v>
      </c>
      <c r="N154" s="189" t="str">
        <f>_xlfn.XLOOKUP(tbl_明細[[#This Row],[商品ID]],商品マスタ[商品連番],商品マスタ[税率],"",0,1)</f>
        <v/>
      </c>
      <c r="O154" s="120"/>
      <c r="P154" s="71"/>
      <c r="Q154" s="81"/>
      <c r="R154" s="81"/>
      <c r="S154" s="71"/>
      <c r="T154" s="71"/>
      <c r="U154" s="79"/>
      <c r="V154" s="79"/>
      <c r="W154" s="113"/>
      <c r="X154" s="254" t="e">
        <f>tbl_明細[[#This Row],[仕入価格]]*tbl_明細[[#This Row],[数量]]+tbl_明細[[#This Row],[仕入価格（M)]]*tbl_明細[[#This Row],[数量（M)]]</f>
        <v>#VALUE!</v>
      </c>
      <c r="Y154" s="254">
        <f>tbl_明細[[#This Row],[販売価格（売値）]]*tbl_明細[[#This Row],[数量]]+tbl_明細[[#This Row],[販売価格（M)]]*tbl_明細[[#This Row],[数量（M)]]</f>
        <v>0</v>
      </c>
      <c r="Z154" s="257">
        <f>_xlfn.XLOOKUP(tbl_明細[[#This Row],[案件番号]],tbl_案件追跡[案件番号],tbl_案件追跡[受注],"",0,1)</f>
        <v>0</v>
      </c>
      <c r="AA154" s="228">
        <f>tbl_明細[[#This Row],[販売価格（売値）]]+tbl_明細[[#This Row],[販売価格（M)]]</f>
        <v>0</v>
      </c>
      <c r="AB154" s="261">
        <f>tbl_明細[[#This Row],[販売価格（売値）]]*1.08+tbl_明細[[#This Row],[販売価格（M)]]*1.08</f>
        <v>0</v>
      </c>
    </row>
    <row r="155" spans="1:28">
      <c r="A155" s="73"/>
      <c r="B155" s="77" t="str">
        <f>IF(ISBLANK(tbl_明細[[#This Row],[案件番号]]),"",COUNTIFS($A$3:A155,tbl_明細[[#This Row],[案件番号]],$AA$3:AA155,"&gt;0"))</f>
        <v/>
      </c>
      <c r="C155" s="71">
        <f>COUNTIFS($A$3:A155,tbl_明細[[#This Row],[案件番号]],$F$3:F155,tbl_明細[[#This Row],[仕入先]])</f>
        <v>0</v>
      </c>
      <c r="D155" s="77" t="str">
        <f>_xlfn.XLOOKUP(tbl_明細[[#This Row],[案件番号]],tbl_採番[案件番号],tbl_採番[顧客],"",0,1)</f>
        <v/>
      </c>
      <c r="E155" s="71"/>
      <c r="F155" s="118" t="str">
        <f>IF(ISBLANK(tbl_明細[[#This Row],[仕入先（M)]]),_xlfn.XLOOKUP(tbl_明細[[#This Row],[商品ID]],商品マスタ[商品連番],商品マスタ[仕入先],"",0,1),tbl_明細[[#This Row],[仕入先（M)]])</f>
        <v/>
      </c>
      <c r="G155" s="112" t="str">
        <f>IF(ISBLANK(tbl_明細[[#This Row],[商品名（M)]]),_xlfn.XLOOKUP(tbl_明細[[#This Row],[商品ID]],商品マスタ[商品連番],商品マスタ[商品名],"",0,),tbl_明細[[#This Row],[商品名（M)]])</f>
        <v/>
      </c>
      <c r="H155" s="80" t="str">
        <f>IF(ISBLANK(tbl_明細[[#This Row],[仕入価格（M)]]),_xlfn.XLOOKUP(tbl_明細[[#This Row],[商品ID]],商品マスタ[商品連番],商品マスタ[仕入
単価],"",0,1),tbl_明細[[#This Row],[仕入価格（M)]])</f>
        <v/>
      </c>
      <c r="I155" s="80" t="str">
        <f>_xlfn.XLOOKUP(tbl_明細[[#This Row],[商品ID]],商品マスタ[商品連番],商品マスタ[国内定価
（15％）],"",0,1)</f>
        <v/>
      </c>
      <c r="J155" s="85"/>
      <c r="K155" s="71"/>
      <c r="L155" s="77" t="str">
        <f>_xlfn.XLOOKUP(tbl_明細[[#This Row],[商品ID]],商品マスタ[商品連番],商品マスタ[単位],"",0,1)</f>
        <v/>
      </c>
      <c r="M155" s="249" t="e">
        <f>1-tbl_明細[[#This Row],[仕入価格]]/tbl_明細[[#This Row],[販売価格（売値）]]</f>
        <v>#VALUE!</v>
      </c>
      <c r="N155" s="189" t="str">
        <f>_xlfn.XLOOKUP(tbl_明細[[#This Row],[商品ID]],商品マスタ[商品連番],商品マスタ[税率],"",0,1)</f>
        <v/>
      </c>
      <c r="O155" s="120"/>
      <c r="P155" s="71"/>
      <c r="Q155" s="81"/>
      <c r="R155" s="81"/>
      <c r="S155" s="71"/>
      <c r="T155" s="71"/>
      <c r="U155" s="79"/>
      <c r="V155" s="79"/>
      <c r="W155" s="113"/>
      <c r="X155" s="254" t="e">
        <f>tbl_明細[[#This Row],[仕入価格]]*tbl_明細[[#This Row],[数量]]+tbl_明細[[#This Row],[仕入価格（M)]]*tbl_明細[[#This Row],[数量（M)]]</f>
        <v>#VALUE!</v>
      </c>
      <c r="Y155" s="254">
        <f>tbl_明細[[#This Row],[販売価格（売値）]]*tbl_明細[[#This Row],[数量]]+tbl_明細[[#This Row],[販売価格（M)]]*tbl_明細[[#This Row],[数量（M)]]</f>
        <v>0</v>
      </c>
      <c r="Z155" s="257">
        <f>_xlfn.XLOOKUP(tbl_明細[[#This Row],[案件番号]],tbl_案件追跡[案件番号],tbl_案件追跡[受注],"",0,1)</f>
        <v>0</v>
      </c>
      <c r="AA155" s="228">
        <f>tbl_明細[[#This Row],[販売価格（売値）]]+tbl_明細[[#This Row],[販売価格（M)]]</f>
        <v>0</v>
      </c>
      <c r="AB155" s="261">
        <f>tbl_明細[[#This Row],[販売価格（売値）]]*1.08+tbl_明細[[#This Row],[販売価格（M)]]*1.08</f>
        <v>0</v>
      </c>
    </row>
    <row r="156" spans="1:28">
      <c r="A156" s="73"/>
      <c r="B156" s="77" t="str">
        <f>IF(ISBLANK(tbl_明細[[#This Row],[案件番号]]),"",COUNTIFS($A$3:A156,tbl_明細[[#This Row],[案件番号]],$AA$3:AA156,"&gt;0"))</f>
        <v/>
      </c>
      <c r="C156" s="71">
        <f>COUNTIFS($A$3:A156,tbl_明細[[#This Row],[案件番号]],$F$3:F156,tbl_明細[[#This Row],[仕入先]])</f>
        <v>0</v>
      </c>
      <c r="D156" s="77" t="str">
        <f>_xlfn.XLOOKUP(tbl_明細[[#This Row],[案件番号]],tbl_採番[案件番号],tbl_採番[顧客],"",0,1)</f>
        <v/>
      </c>
      <c r="E156" s="71"/>
      <c r="F156" s="118" t="str">
        <f>IF(ISBLANK(tbl_明細[[#This Row],[仕入先（M)]]),_xlfn.XLOOKUP(tbl_明細[[#This Row],[商品ID]],商品マスタ[商品連番],商品マスタ[仕入先],"",0,1),tbl_明細[[#This Row],[仕入先（M)]])</f>
        <v/>
      </c>
      <c r="G156" s="112" t="str">
        <f>IF(ISBLANK(tbl_明細[[#This Row],[商品名（M)]]),_xlfn.XLOOKUP(tbl_明細[[#This Row],[商品ID]],商品マスタ[商品連番],商品マスタ[商品名],"",0,),tbl_明細[[#This Row],[商品名（M)]])</f>
        <v/>
      </c>
      <c r="H156" s="80" t="str">
        <f>IF(ISBLANK(tbl_明細[[#This Row],[仕入価格（M)]]),_xlfn.XLOOKUP(tbl_明細[[#This Row],[商品ID]],商品マスタ[商品連番],商品マスタ[仕入
単価],"",0,1),tbl_明細[[#This Row],[仕入価格（M)]])</f>
        <v/>
      </c>
      <c r="I156" s="80" t="str">
        <f>_xlfn.XLOOKUP(tbl_明細[[#This Row],[商品ID]],商品マスタ[商品連番],商品マスタ[国内定価
（15％）],"",0,1)</f>
        <v/>
      </c>
      <c r="J156" s="85"/>
      <c r="K156" s="71"/>
      <c r="L156" s="77" t="str">
        <f>_xlfn.XLOOKUP(tbl_明細[[#This Row],[商品ID]],商品マスタ[商品連番],商品マスタ[単位],"",0,1)</f>
        <v/>
      </c>
      <c r="M156" s="249" t="e">
        <f>1-tbl_明細[[#This Row],[仕入価格]]/tbl_明細[[#This Row],[販売価格（売値）]]</f>
        <v>#VALUE!</v>
      </c>
      <c r="N156" s="189" t="str">
        <f>_xlfn.XLOOKUP(tbl_明細[[#This Row],[商品ID]],商品マスタ[商品連番],商品マスタ[税率],"",0,1)</f>
        <v/>
      </c>
      <c r="O156" s="120"/>
      <c r="P156" s="71"/>
      <c r="Q156" s="81"/>
      <c r="R156" s="81"/>
      <c r="S156" s="71"/>
      <c r="T156" s="71"/>
      <c r="U156" s="79"/>
      <c r="V156" s="79"/>
      <c r="W156" s="113"/>
      <c r="X156" s="254" t="e">
        <f>tbl_明細[[#This Row],[仕入価格]]*tbl_明細[[#This Row],[数量]]+tbl_明細[[#This Row],[仕入価格（M)]]*tbl_明細[[#This Row],[数量（M)]]</f>
        <v>#VALUE!</v>
      </c>
      <c r="Y156" s="254">
        <f>tbl_明細[[#This Row],[販売価格（売値）]]*tbl_明細[[#This Row],[数量]]+tbl_明細[[#This Row],[販売価格（M)]]*tbl_明細[[#This Row],[数量（M)]]</f>
        <v>0</v>
      </c>
      <c r="Z156" s="257">
        <f>_xlfn.XLOOKUP(tbl_明細[[#This Row],[案件番号]],tbl_案件追跡[案件番号],tbl_案件追跡[受注],"",0,1)</f>
        <v>0</v>
      </c>
      <c r="AA156" s="228">
        <f>tbl_明細[[#This Row],[販売価格（売値）]]+tbl_明細[[#This Row],[販売価格（M)]]</f>
        <v>0</v>
      </c>
      <c r="AB156" s="261">
        <f>tbl_明細[[#This Row],[販売価格（売値）]]*1.08+tbl_明細[[#This Row],[販売価格（M)]]*1.08</f>
        <v>0</v>
      </c>
    </row>
    <row r="157" spans="1:28">
      <c r="A157" s="73"/>
      <c r="B157" s="77" t="str">
        <f>IF(ISBLANK(tbl_明細[[#This Row],[案件番号]]),"",COUNTIFS($A$3:A157,tbl_明細[[#This Row],[案件番号]],$AA$3:AA157,"&gt;0"))</f>
        <v/>
      </c>
      <c r="C157" s="71">
        <f>COUNTIFS($A$3:A157,tbl_明細[[#This Row],[案件番号]],$F$3:F157,tbl_明細[[#This Row],[仕入先]])</f>
        <v>0</v>
      </c>
      <c r="D157" s="77" t="str">
        <f>_xlfn.XLOOKUP(tbl_明細[[#This Row],[案件番号]],tbl_採番[案件番号],tbl_採番[顧客],"",0,1)</f>
        <v/>
      </c>
      <c r="E157" s="71"/>
      <c r="F157" s="118" t="str">
        <f>IF(ISBLANK(tbl_明細[[#This Row],[仕入先（M)]]),_xlfn.XLOOKUP(tbl_明細[[#This Row],[商品ID]],商品マスタ[商品連番],商品マスタ[仕入先],"",0,1),tbl_明細[[#This Row],[仕入先（M)]])</f>
        <v/>
      </c>
      <c r="G157" s="112" t="str">
        <f>IF(ISBLANK(tbl_明細[[#This Row],[商品名（M)]]),_xlfn.XLOOKUP(tbl_明細[[#This Row],[商品ID]],商品マスタ[商品連番],商品マスタ[商品名],"",0,),tbl_明細[[#This Row],[商品名（M)]])</f>
        <v/>
      </c>
      <c r="H157" s="80" t="str">
        <f>IF(ISBLANK(tbl_明細[[#This Row],[仕入価格（M)]]),_xlfn.XLOOKUP(tbl_明細[[#This Row],[商品ID]],商品マスタ[商品連番],商品マスタ[仕入
単価],"",0,1),tbl_明細[[#This Row],[仕入価格（M)]])</f>
        <v/>
      </c>
      <c r="I157" s="80" t="str">
        <f>_xlfn.XLOOKUP(tbl_明細[[#This Row],[商品ID]],商品マスタ[商品連番],商品マスタ[国内定価
（15％）],"",0,1)</f>
        <v/>
      </c>
      <c r="J157" s="85"/>
      <c r="K157" s="71"/>
      <c r="L157" s="77" t="str">
        <f>_xlfn.XLOOKUP(tbl_明細[[#This Row],[商品ID]],商品マスタ[商品連番],商品マスタ[単位],"",0,1)</f>
        <v/>
      </c>
      <c r="M157" s="249" t="e">
        <f>1-tbl_明細[[#This Row],[仕入価格]]/tbl_明細[[#This Row],[販売価格（売値）]]</f>
        <v>#VALUE!</v>
      </c>
      <c r="N157" s="189" t="str">
        <f>_xlfn.XLOOKUP(tbl_明細[[#This Row],[商品ID]],商品マスタ[商品連番],商品マスタ[税率],"",0,1)</f>
        <v/>
      </c>
      <c r="O157" s="120"/>
      <c r="P157" s="71"/>
      <c r="Q157" s="81"/>
      <c r="R157" s="81"/>
      <c r="S157" s="71"/>
      <c r="T157" s="71"/>
      <c r="U157" s="79"/>
      <c r="V157" s="79"/>
      <c r="W157" s="113"/>
      <c r="X157" s="254" t="e">
        <f>tbl_明細[[#This Row],[仕入価格]]*tbl_明細[[#This Row],[数量]]+tbl_明細[[#This Row],[仕入価格（M)]]*tbl_明細[[#This Row],[数量（M)]]</f>
        <v>#VALUE!</v>
      </c>
      <c r="Y157" s="254">
        <f>tbl_明細[[#This Row],[販売価格（売値）]]*tbl_明細[[#This Row],[数量]]+tbl_明細[[#This Row],[販売価格（M)]]*tbl_明細[[#This Row],[数量（M)]]</f>
        <v>0</v>
      </c>
      <c r="Z157" s="257">
        <f>_xlfn.XLOOKUP(tbl_明細[[#This Row],[案件番号]],tbl_案件追跡[案件番号],tbl_案件追跡[受注],"",0,1)</f>
        <v>0</v>
      </c>
      <c r="AA157" s="228">
        <f>tbl_明細[[#This Row],[販売価格（売値）]]+tbl_明細[[#This Row],[販売価格（M)]]</f>
        <v>0</v>
      </c>
      <c r="AB157" s="261">
        <f>tbl_明細[[#This Row],[販売価格（売値）]]*1.08+tbl_明細[[#This Row],[販売価格（M)]]*1.08</f>
        <v>0</v>
      </c>
    </row>
    <row r="158" spans="1:28">
      <c r="A158" s="73"/>
      <c r="B158" s="77" t="str">
        <f>IF(ISBLANK(tbl_明細[[#This Row],[案件番号]]),"",COUNTIFS($A$3:A158,tbl_明細[[#This Row],[案件番号]],$AA$3:AA158,"&gt;0"))</f>
        <v/>
      </c>
      <c r="C158" s="71">
        <f>COUNTIFS($A$3:A158,tbl_明細[[#This Row],[案件番号]],$F$3:F158,tbl_明細[[#This Row],[仕入先]])</f>
        <v>0</v>
      </c>
      <c r="D158" s="77" t="str">
        <f>_xlfn.XLOOKUP(tbl_明細[[#This Row],[案件番号]],tbl_採番[案件番号],tbl_採番[顧客],"",0,1)</f>
        <v/>
      </c>
      <c r="E158" s="71"/>
      <c r="F158" s="118" t="str">
        <f>IF(ISBLANK(tbl_明細[[#This Row],[仕入先（M)]]),_xlfn.XLOOKUP(tbl_明細[[#This Row],[商品ID]],商品マスタ[商品連番],商品マスタ[仕入先],"",0,1),tbl_明細[[#This Row],[仕入先（M)]])</f>
        <v/>
      </c>
      <c r="G158" s="112" t="str">
        <f>IF(ISBLANK(tbl_明細[[#This Row],[商品名（M)]]),_xlfn.XLOOKUP(tbl_明細[[#This Row],[商品ID]],商品マスタ[商品連番],商品マスタ[商品名],"",0,),tbl_明細[[#This Row],[商品名（M)]])</f>
        <v/>
      </c>
      <c r="H158" s="80" t="str">
        <f>IF(ISBLANK(tbl_明細[[#This Row],[仕入価格（M)]]),_xlfn.XLOOKUP(tbl_明細[[#This Row],[商品ID]],商品マスタ[商品連番],商品マスタ[仕入
単価],"",0,1),tbl_明細[[#This Row],[仕入価格（M)]])</f>
        <v/>
      </c>
      <c r="I158" s="80" t="str">
        <f>_xlfn.XLOOKUP(tbl_明細[[#This Row],[商品ID]],商品マスタ[商品連番],商品マスタ[国内定価
（15％）],"",0,1)</f>
        <v/>
      </c>
      <c r="J158" s="85"/>
      <c r="K158" s="71"/>
      <c r="L158" s="77" t="str">
        <f>_xlfn.XLOOKUP(tbl_明細[[#This Row],[商品ID]],商品マスタ[商品連番],商品マスタ[単位],"",0,1)</f>
        <v/>
      </c>
      <c r="M158" s="249" t="e">
        <f>1-tbl_明細[[#This Row],[仕入価格]]/tbl_明細[[#This Row],[販売価格（売値）]]</f>
        <v>#VALUE!</v>
      </c>
      <c r="N158" s="189" t="str">
        <f>_xlfn.XLOOKUP(tbl_明細[[#This Row],[商品ID]],商品マスタ[商品連番],商品マスタ[税率],"",0,1)</f>
        <v/>
      </c>
      <c r="O158" s="120"/>
      <c r="P158" s="71"/>
      <c r="Q158" s="81"/>
      <c r="R158" s="81"/>
      <c r="S158" s="71"/>
      <c r="T158" s="71"/>
      <c r="U158" s="79"/>
      <c r="V158" s="79"/>
      <c r="W158" s="113"/>
      <c r="X158" s="254" t="e">
        <f>tbl_明細[[#This Row],[仕入価格]]*tbl_明細[[#This Row],[数量]]+tbl_明細[[#This Row],[仕入価格（M)]]*tbl_明細[[#This Row],[数量（M)]]</f>
        <v>#VALUE!</v>
      </c>
      <c r="Y158" s="254">
        <f>tbl_明細[[#This Row],[販売価格（売値）]]*tbl_明細[[#This Row],[数量]]+tbl_明細[[#This Row],[販売価格（M)]]*tbl_明細[[#This Row],[数量（M)]]</f>
        <v>0</v>
      </c>
      <c r="Z158" s="257">
        <f>_xlfn.XLOOKUP(tbl_明細[[#This Row],[案件番号]],tbl_案件追跡[案件番号],tbl_案件追跡[受注],"",0,1)</f>
        <v>0</v>
      </c>
      <c r="AA158" s="228">
        <f>tbl_明細[[#This Row],[販売価格（売値）]]+tbl_明細[[#This Row],[販売価格（M)]]</f>
        <v>0</v>
      </c>
      <c r="AB158" s="261">
        <f>tbl_明細[[#This Row],[販売価格（売値）]]*1.08+tbl_明細[[#This Row],[販売価格（M)]]*1.08</f>
        <v>0</v>
      </c>
    </row>
    <row r="159" spans="1:28">
      <c r="A159" s="73"/>
      <c r="B159" s="77" t="str">
        <f>IF(ISBLANK(tbl_明細[[#This Row],[案件番号]]),"",COUNTIFS($A$3:A159,tbl_明細[[#This Row],[案件番号]],$AA$3:AA159,"&gt;0"))</f>
        <v/>
      </c>
      <c r="C159" s="71">
        <f>COUNTIFS($A$3:A159,tbl_明細[[#This Row],[案件番号]],$F$3:F159,tbl_明細[[#This Row],[仕入先]])</f>
        <v>0</v>
      </c>
      <c r="D159" s="77" t="str">
        <f>_xlfn.XLOOKUP(tbl_明細[[#This Row],[案件番号]],tbl_採番[案件番号],tbl_採番[顧客],"",0,1)</f>
        <v/>
      </c>
      <c r="E159" s="71"/>
      <c r="F159" s="118" t="str">
        <f>IF(ISBLANK(tbl_明細[[#This Row],[仕入先（M)]]),_xlfn.XLOOKUP(tbl_明細[[#This Row],[商品ID]],商品マスタ[商品連番],商品マスタ[仕入先],"",0,1),tbl_明細[[#This Row],[仕入先（M)]])</f>
        <v/>
      </c>
      <c r="G159" s="112" t="str">
        <f>IF(ISBLANK(tbl_明細[[#This Row],[商品名（M)]]),_xlfn.XLOOKUP(tbl_明細[[#This Row],[商品ID]],商品マスタ[商品連番],商品マスタ[商品名],"",0,),tbl_明細[[#This Row],[商品名（M)]])</f>
        <v/>
      </c>
      <c r="H159" s="80" t="str">
        <f>IF(ISBLANK(tbl_明細[[#This Row],[仕入価格（M)]]),_xlfn.XLOOKUP(tbl_明細[[#This Row],[商品ID]],商品マスタ[商品連番],商品マスタ[仕入
単価],"",0,1),tbl_明細[[#This Row],[仕入価格（M)]])</f>
        <v/>
      </c>
      <c r="I159" s="80" t="str">
        <f>_xlfn.XLOOKUP(tbl_明細[[#This Row],[商品ID]],商品マスタ[商品連番],商品マスタ[国内定価
（15％）],"",0,1)</f>
        <v/>
      </c>
      <c r="J159" s="85"/>
      <c r="K159" s="71"/>
      <c r="L159" s="77" t="str">
        <f>_xlfn.XLOOKUP(tbl_明細[[#This Row],[商品ID]],商品マスタ[商品連番],商品マスタ[単位],"",0,1)</f>
        <v/>
      </c>
      <c r="M159" s="249" t="e">
        <f>1-tbl_明細[[#This Row],[仕入価格]]/tbl_明細[[#This Row],[販売価格（売値）]]</f>
        <v>#VALUE!</v>
      </c>
      <c r="N159" s="189" t="str">
        <f>_xlfn.XLOOKUP(tbl_明細[[#This Row],[商品ID]],商品マスタ[商品連番],商品マスタ[税率],"",0,1)</f>
        <v/>
      </c>
      <c r="O159" s="120"/>
      <c r="P159" s="71"/>
      <c r="Q159" s="81"/>
      <c r="R159" s="81"/>
      <c r="S159" s="71"/>
      <c r="T159" s="71"/>
      <c r="U159" s="79"/>
      <c r="V159" s="79"/>
      <c r="W159" s="113"/>
      <c r="X159" s="254" t="e">
        <f>tbl_明細[[#This Row],[仕入価格]]*tbl_明細[[#This Row],[数量]]+tbl_明細[[#This Row],[仕入価格（M)]]*tbl_明細[[#This Row],[数量（M)]]</f>
        <v>#VALUE!</v>
      </c>
      <c r="Y159" s="254">
        <f>tbl_明細[[#This Row],[販売価格（売値）]]*tbl_明細[[#This Row],[数量]]+tbl_明細[[#This Row],[販売価格（M)]]*tbl_明細[[#This Row],[数量（M)]]</f>
        <v>0</v>
      </c>
      <c r="Z159" s="257">
        <f>_xlfn.XLOOKUP(tbl_明細[[#This Row],[案件番号]],tbl_案件追跡[案件番号],tbl_案件追跡[受注],"",0,1)</f>
        <v>0</v>
      </c>
      <c r="AA159" s="228">
        <f>tbl_明細[[#This Row],[販売価格（売値）]]+tbl_明細[[#This Row],[販売価格（M)]]</f>
        <v>0</v>
      </c>
      <c r="AB159" s="261">
        <f>tbl_明細[[#This Row],[販売価格（売値）]]*1.08+tbl_明細[[#This Row],[販売価格（M)]]*1.08</f>
        <v>0</v>
      </c>
    </row>
    <row r="160" spans="1:28">
      <c r="A160" s="73"/>
      <c r="B160" s="77" t="str">
        <f>IF(ISBLANK(tbl_明細[[#This Row],[案件番号]]),"",COUNTIFS($A$3:A160,tbl_明細[[#This Row],[案件番号]],$AA$3:AA160,"&gt;0"))</f>
        <v/>
      </c>
      <c r="C160" s="71">
        <f>COUNTIFS($A$3:A160,tbl_明細[[#This Row],[案件番号]],$F$3:F160,tbl_明細[[#This Row],[仕入先]])</f>
        <v>0</v>
      </c>
      <c r="D160" s="77" t="str">
        <f>_xlfn.XLOOKUP(tbl_明細[[#This Row],[案件番号]],tbl_採番[案件番号],tbl_採番[顧客],"",0,1)</f>
        <v/>
      </c>
      <c r="E160" s="71"/>
      <c r="F160" s="118" t="str">
        <f>IF(ISBLANK(tbl_明細[[#This Row],[仕入先（M)]]),_xlfn.XLOOKUP(tbl_明細[[#This Row],[商品ID]],商品マスタ[商品連番],商品マスタ[仕入先],"",0,1),tbl_明細[[#This Row],[仕入先（M)]])</f>
        <v/>
      </c>
      <c r="G160" s="112" t="str">
        <f>IF(ISBLANK(tbl_明細[[#This Row],[商品名（M)]]),_xlfn.XLOOKUP(tbl_明細[[#This Row],[商品ID]],商品マスタ[商品連番],商品マスタ[商品名],"",0,),tbl_明細[[#This Row],[商品名（M)]])</f>
        <v/>
      </c>
      <c r="H160" s="80" t="str">
        <f>IF(ISBLANK(tbl_明細[[#This Row],[仕入価格（M)]]),_xlfn.XLOOKUP(tbl_明細[[#This Row],[商品ID]],商品マスタ[商品連番],商品マスタ[仕入
単価],"",0,1),tbl_明細[[#This Row],[仕入価格（M)]])</f>
        <v/>
      </c>
      <c r="I160" s="80" t="str">
        <f>_xlfn.XLOOKUP(tbl_明細[[#This Row],[商品ID]],商品マスタ[商品連番],商品マスタ[国内定価
（15％）],"",0,1)</f>
        <v/>
      </c>
      <c r="J160" s="85"/>
      <c r="K160" s="71"/>
      <c r="L160" s="77" t="str">
        <f>_xlfn.XLOOKUP(tbl_明細[[#This Row],[商品ID]],商品マスタ[商品連番],商品マスタ[単位],"",0,1)</f>
        <v/>
      </c>
      <c r="M160" s="249" t="e">
        <f>1-tbl_明細[[#This Row],[仕入価格]]/tbl_明細[[#This Row],[販売価格（売値）]]</f>
        <v>#VALUE!</v>
      </c>
      <c r="N160" s="189" t="str">
        <f>_xlfn.XLOOKUP(tbl_明細[[#This Row],[商品ID]],商品マスタ[商品連番],商品マスタ[税率],"",0,1)</f>
        <v/>
      </c>
      <c r="O160" s="120"/>
      <c r="P160" s="71"/>
      <c r="Q160" s="81"/>
      <c r="R160" s="81"/>
      <c r="S160" s="71"/>
      <c r="T160" s="71"/>
      <c r="U160" s="79"/>
      <c r="V160" s="79"/>
      <c r="W160" s="113"/>
      <c r="X160" s="254" t="e">
        <f>tbl_明細[[#This Row],[仕入価格]]*tbl_明細[[#This Row],[数量]]+tbl_明細[[#This Row],[仕入価格（M)]]*tbl_明細[[#This Row],[数量（M)]]</f>
        <v>#VALUE!</v>
      </c>
      <c r="Y160" s="254">
        <f>tbl_明細[[#This Row],[販売価格（売値）]]*tbl_明細[[#This Row],[数量]]+tbl_明細[[#This Row],[販売価格（M)]]*tbl_明細[[#This Row],[数量（M)]]</f>
        <v>0</v>
      </c>
      <c r="Z160" s="257">
        <f>_xlfn.XLOOKUP(tbl_明細[[#This Row],[案件番号]],tbl_案件追跡[案件番号],tbl_案件追跡[受注],"",0,1)</f>
        <v>0</v>
      </c>
      <c r="AA160" s="228">
        <f>tbl_明細[[#This Row],[販売価格（売値）]]+tbl_明細[[#This Row],[販売価格（M)]]</f>
        <v>0</v>
      </c>
      <c r="AB160" s="261">
        <f>tbl_明細[[#This Row],[販売価格（売値）]]*1.08+tbl_明細[[#This Row],[販売価格（M)]]*1.08</f>
        <v>0</v>
      </c>
    </row>
    <row r="161" spans="1:28">
      <c r="A161" s="73"/>
      <c r="B161" s="77" t="str">
        <f>IF(ISBLANK(tbl_明細[[#This Row],[案件番号]]),"",COUNTIFS($A$3:A161,tbl_明細[[#This Row],[案件番号]],$AA$3:AA161,"&gt;0"))</f>
        <v/>
      </c>
      <c r="C161" s="71">
        <f>COUNTIFS($A$3:A161,tbl_明細[[#This Row],[案件番号]],$F$3:F161,tbl_明細[[#This Row],[仕入先]])</f>
        <v>0</v>
      </c>
      <c r="D161" s="77" t="str">
        <f>_xlfn.XLOOKUP(tbl_明細[[#This Row],[案件番号]],tbl_採番[案件番号],tbl_採番[顧客],"",0,1)</f>
        <v/>
      </c>
      <c r="E161" s="71"/>
      <c r="F161" s="118" t="str">
        <f>IF(ISBLANK(tbl_明細[[#This Row],[仕入先（M)]]),_xlfn.XLOOKUP(tbl_明細[[#This Row],[商品ID]],商品マスタ[商品連番],商品マスタ[仕入先],"",0,1),tbl_明細[[#This Row],[仕入先（M)]])</f>
        <v/>
      </c>
      <c r="G161" s="112" t="str">
        <f>IF(ISBLANK(tbl_明細[[#This Row],[商品名（M)]]),_xlfn.XLOOKUP(tbl_明細[[#This Row],[商品ID]],商品マスタ[商品連番],商品マスタ[商品名],"",0,),tbl_明細[[#This Row],[商品名（M)]])</f>
        <v/>
      </c>
      <c r="H161" s="80" t="str">
        <f>IF(ISBLANK(tbl_明細[[#This Row],[仕入価格（M)]]),_xlfn.XLOOKUP(tbl_明細[[#This Row],[商品ID]],商品マスタ[商品連番],商品マスタ[仕入
単価],"",0,1),tbl_明細[[#This Row],[仕入価格（M)]])</f>
        <v/>
      </c>
      <c r="I161" s="80" t="str">
        <f>_xlfn.XLOOKUP(tbl_明細[[#This Row],[商品ID]],商品マスタ[商品連番],商品マスタ[国内定価
（15％）],"",0,1)</f>
        <v/>
      </c>
      <c r="J161" s="85"/>
      <c r="K161" s="71"/>
      <c r="L161" s="77" t="str">
        <f>_xlfn.XLOOKUP(tbl_明細[[#This Row],[商品ID]],商品マスタ[商品連番],商品マスタ[単位],"",0,1)</f>
        <v/>
      </c>
      <c r="M161" s="249" t="e">
        <f>1-tbl_明細[[#This Row],[仕入価格]]/tbl_明細[[#This Row],[販売価格（売値）]]</f>
        <v>#VALUE!</v>
      </c>
      <c r="N161" s="189" t="str">
        <f>_xlfn.XLOOKUP(tbl_明細[[#This Row],[商品ID]],商品マスタ[商品連番],商品マスタ[税率],"",0,1)</f>
        <v/>
      </c>
      <c r="O161" s="120"/>
      <c r="P161" s="71"/>
      <c r="Q161" s="81"/>
      <c r="R161" s="81"/>
      <c r="S161" s="71"/>
      <c r="T161" s="71"/>
      <c r="U161" s="79"/>
      <c r="V161" s="79"/>
      <c r="W161" s="113"/>
      <c r="X161" s="254" t="e">
        <f>tbl_明細[[#This Row],[仕入価格]]*tbl_明細[[#This Row],[数量]]+tbl_明細[[#This Row],[仕入価格（M)]]*tbl_明細[[#This Row],[数量（M)]]</f>
        <v>#VALUE!</v>
      </c>
      <c r="Y161" s="254">
        <f>tbl_明細[[#This Row],[販売価格（売値）]]*tbl_明細[[#This Row],[数量]]+tbl_明細[[#This Row],[販売価格（M)]]*tbl_明細[[#This Row],[数量（M)]]</f>
        <v>0</v>
      </c>
      <c r="Z161" s="257">
        <f>_xlfn.XLOOKUP(tbl_明細[[#This Row],[案件番号]],tbl_案件追跡[案件番号],tbl_案件追跡[受注],"",0,1)</f>
        <v>0</v>
      </c>
      <c r="AA161" s="228">
        <f>tbl_明細[[#This Row],[販売価格（売値）]]+tbl_明細[[#This Row],[販売価格（M)]]</f>
        <v>0</v>
      </c>
      <c r="AB161" s="261">
        <f>tbl_明細[[#This Row],[販売価格（売値）]]*1.08+tbl_明細[[#This Row],[販売価格（M)]]*1.08</f>
        <v>0</v>
      </c>
    </row>
    <row r="162" spans="1:28">
      <c r="A162" s="73"/>
      <c r="B162" s="77" t="str">
        <f>IF(ISBLANK(tbl_明細[[#This Row],[案件番号]]),"",COUNTIFS($A$3:A162,tbl_明細[[#This Row],[案件番号]],$AA$3:AA162,"&gt;0"))</f>
        <v/>
      </c>
      <c r="C162" s="71">
        <f>COUNTIFS($A$3:A162,tbl_明細[[#This Row],[案件番号]],$F$3:F162,tbl_明細[[#This Row],[仕入先]])</f>
        <v>0</v>
      </c>
      <c r="D162" s="77" t="str">
        <f>_xlfn.XLOOKUP(tbl_明細[[#This Row],[案件番号]],tbl_採番[案件番号],tbl_採番[顧客],"",0,1)</f>
        <v/>
      </c>
      <c r="E162" s="71"/>
      <c r="F162" s="118" t="str">
        <f>IF(ISBLANK(tbl_明細[[#This Row],[仕入先（M)]]),_xlfn.XLOOKUP(tbl_明細[[#This Row],[商品ID]],商品マスタ[商品連番],商品マスタ[仕入先],"",0,1),tbl_明細[[#This Row],[仕入先（M)]])</f>
        <v/>
      </c>
      <c r="G162" s="112" t="str">
        <f>IF(ISBLANK(tbl_明細[[#This Row],[商品名（M)]]),_xlfn.XLOOKUP(tbl_明細[[#This Row],[商品ID]],商品マスタ[商品連番],商品マスタ[商品名],"",0,),tbl_明細[[#This Row],[商品名（M)]])</f>
        <v/>
      </c>
      <c r="H162" s="80" t="str">
        <f>IF(ISBLANK(tbl_明細[[#This Row],[仕入価格（M)]]),_xlfn.XLOOKUP(tbl_明細[[#This Row],[商品ID]],商品マスタ[商品連番],商品マスタ[仕入
単価],"",0,1),tbl_明細[[#This Row],[仕入価格（M)]])</f>
        <v/>
      </c>
      <c r="I162" s="80" t="str">
        <f>_xlfn.XLOOKUP(tbl_明細[[#This Row],[商品ID]],商品マスタ[商品連番],商品マスタ[国内定価
（15％）],"",0,1)</f>
        <v/>
      </c>
      <c r="J162" s="85"/>
      <c r="K162" s="71"/>
      <c r="L162" s="77" t="str">
        <f>_xlfn.XLOOKUP(tbl_明細[[#This Row],[商品ID]],商品マスタ[商品連番],商品マスタ[単位],"",0,1)</f>
        <v/>
      </c>
      <c r="M162" s="249" t="e">
        <f>1-tbl_明細[[#This Row],[仕入価格]]/tbl_明細[[#This Row],[販売価格（売値）]]</f>
        <v>#VALUE!</v>
      </c>
      <c r="N162" s="189" t="str">
        <f>_xlfn.XLOOKUP(tbl_明細[[#This Row],[商品ID]],商品マスタ[商品連番],商品マスタ[税率],"",0,1)</f>
        <v/>
      </c>
      <c r="O162" s="120"/>
      <c r="P162" s="71"/>
      <c r="Q162" s="81"/>
      <c r="R162" s="81"/>
      <c r="S162" s="71"/>
      <c r="T162" s="71"/>
      <c r="U162" s="79"/>
      <c r="V162" s="79"/>
      <c r="W162" s="113"/>
      <c r="X162" s="254" t="e">
        <f>tbl_明細[[#This Row],[仕入価格]]*tbl_明細[[#This Row],[数量]]+tbl_明細[[#This Row],[仕入価格（M)]]*tbl_明細[[#This Row],[数量（M)]]</f>
        <v>#VALUE!</v>
      </c>
      <c r="Y162" s="254">
        <f>tbl_明細[[#This Row],[販売価格（売値）]]*tbl_明細[[#This Row],[数量]]+tbl_明細[[#This Row],[販売価格（M)]]*tbl_明細[[#This Row],[数量（M)]]</f>
        <v>0</v>
      </c>
      <c r="Z162" s="257">
        <f>_xlfn.XLOOKUP(tbl_明細[[#This Row],[案件番号]],tbl_案件追跡[案件番号],tbl_案件追跡[受注],"",0,1)</f>
        <v>0</v>
      </c>
      <c r="AA162" s="228">
        <f>tbl_明細[[#This Row],[販売価格（売値）]]+tbl_明細[[#This Row],[販売価格（M)]]</f>
        <v>0</v>
      </c>
      <c r="AB162" s="261">
        <f>tbl_明細[[#This Row],[販売価格（売値）]]*1.08+tbl_明細[[#This Row],[販売価格（M)]]*1.08</f>
        <v>0</v>
      </c>
    </row>
    <row r="163" spans="1:28">
      <c r="A163" s="73"/>
      <c r="B163" s="77" t="str">
        <f>IF(ISBLANK(tbl_明細[[#This Row],[案件番号]]),"",COUNTIFS($A$3:A163,tbl_明細[[#This Row],[案件番号]],$AA$3:AA163,"&gt;0"))</f>
        <v/>
      </c>
      <c r="C163" s="71">
        <f>COUNTIFS($A$3:A163,tbl_明細[[#This Row],[案件番号]],$F$3:F163,tbl_明細[[#This Row],[仕入先]])</f>
        <v>0</v>
      </c>
      <c r="D163" s="77" t="str">
        <f>_xlfn.XLOOKUP(tbl_明細[[#This Row],[案件番号]],tbl_採番[案件番号],tbl_採番[顧客],"",0,1)</f>
        <v/>
      </c>
      <c r="E163" s="71"/>
      <c r="F163" s="118" t="str">
        <f>IF(ISBLANK(tbl_明細[[#This Row],[仕入先（M)]]),_xlfn.XLOOKUP(tbl_明細[[#This Row],[商品ID]],商品マスタ[商品連番],商品マスタ[仕入先],"",0,1),tbl_明細[[#This Row],[仕入先（M)]])</f>
        <v/>
      </c>
      <c r="G163" s="112" t="str">
        <f>IF(ISBLANK(tbl_明細[[#This Row],[商品名（M)]]),_xlfn.XLOOKUP(tbl_明細[[#This Row],[商品ID]],商品マスタ[商品連番],商品マスタ[商品名],"",0,),tbl_明細[[#This Row],[商品名（M)]])</f>
        <v/>
      </c>
      <c r="H163" s="80" t="str">
        <f>IF(ISBLANK(tbl_明細[[#This Row],[仕入価格（M)]]),_xlfn.XLOOKUP(tbl_明細[[#This Row],[商品ID]],商品マスタ[商品連番],商品マスタ[仕入
単価],"",0,1),tbl_明細[[#This Row],[仕入価格（M)]])</f>
        <v/>
      </c>
      <c r="I163" s="80" t="str">
        <f>_xlfn.XLOOKUP(tbl_明細[[#This Row],[商品ID]],商品マスタ[商品連番],商品マスタ[国内定価
（15％）],"",0,1)</f>
        <v/>
      </c>
      <c r="J163" s="85"/>
      <c r="K163" s="71"/>
      <c r="L163" s="77" t="str">
        <f>_xlfn.XLOOKUP(tbl_明細[[#This Row],[商品ID]],商品マスタ[商品連番],商品マスタ[単位],"",0,1)</f>
        <v/>
      </c>
      <c r="M163" s="249" t="e">
        <f>1-tbl_明細[[#This Row],[仕入価格]]/tbl_明細[[#This Row],[販売価格（売値）]]</f>
        <v>#VALUE!</v>
      </c>
      <c r="N163" s="189" t="str">
        <f>_xlfn.XLOOKUP(tbl_明細[[#This Row],[商品ID]],商品マスタ[商品連番],商品マスタ[税率],"",0,1)</f>
        <v/>
      </c>
      <c r="O163" s="120"/>
      <c r="P163" s="71"/>
      <c r="Q163" s="81"/>
      <c r="R163" s="81"/>
      <c r="S163" s="71"/>
      <c r="T163" s="71"/>
      <c r="U163" s="79"/>
      <c r="V163" s="79"/>
      <c r="W163" s="113"/>
      <c r="X163" s="254" t="e">
        <f>tbl_明細[[#This Row],[仕入価格]]*tbl_明細[[#This Row],[数量]]+tbl_明細[[#This Row],[仕入価格（M)]]*tbl_明細[[#This Row],[数量（M)]]</f>
        <v>#VALUE!</v>
      </c>
      <c r="Y163" s="254">
        <f>tbl_明細[[#This Row],[販売価格（売値）]]*tbl_明細[[#This Row],[数量]]+tbl_明細[[#This Row],[販売価格（M)]]*tbl_明細[[#This Row],[数量（M)]]</f>
        <v>0</v>
      </c>
      <c r="Z163" s="257">
        <f>_xlfn.XLOOKUP(tbl_明細[[#This Row],[案件番号]],tbl_案件追跡[案件番号],tbl_案件追跡[受注],"",0,1)</f>
        <v>0</v>
      </c>
      <c r="AA163" s="228">
        <f>tbl_明細[[#This Row],[販売価格（売値）]]+tbl_明細[[#This Row],[販売価格（M)]]</f>
        <v>0</v>
      </c>
      <c r="AB163" s="261">
        <f>tbl_明細[[#This Row],[販売価格（売値）]]*1.08+tbl_明細[[#This Row],[販売価格（M)]]*1.08</f>
        <v>0</v>
      </c>
    </row>
    <row r="164" spans="1:28">
      <c r="A164" s="73"/>
      <c r="B164" s="77" t="str">
        <f>IF(ISBLANK(tbl_明細[[#This Row],[案件番号]]),"",COUNTIFS($A$3:A164,tbl_明細[[#This Row],[案件番号]],$AA$3:AA164,"&gt;0"))</f>
        <v/>
      </c>
      <c r="C164" s="71">
        <f>COUNTIFS($A$3:A164,tbl_明細[[#This Row],[案件番号]],$F$3:F164,tbl_明細[[#This Row],[仕入先]])</f>
        <v>0</v>
      </c>
      <c r="D164" s="77" t="str">
        <f>_xlfn.XLOOKUP(tbl_明細[[#This Row],[案件番号]],tbl_採番[案件番号],tbl_採番[顧客],"",0,1)</f>
        <v/>
      </c>
      <c r="E164" s="71"/>
      <c r="F164" s="118" t="str">
        <f>IF(ISBLANK(tbl_明細[[#This Row],[仕入先（M)]]),_xlfn.XLOOKUP(tbl_明細[[#This Row],[商品ID]],商品マスタ[商品連番],商品マスタ[仕入先],"",0,1),tbl_明細[[#This Row],[仕入先（M)]])</f>
        <v/>
      </c>
      <c r="G164" s="112" t="str">
        <f>IF(ISBLANK(tbl_明細[[#This Row],[商品名（M)]]),_xlfn.XLOOKUP(tbl_明細[[#This Row],[商品ID]],商品マスタ[商品連番],商品マスタ[商品名],"",0,),tbl_明細[[#This Row],[商品名（M)]])</f>
        <v/>
      </c>
      <c r="H164" s="80" t="str">
        <f>IF(ISBLANK(tbl_明細[[#This Row],[仕入価格（M)]]),_xlfn.XLOOKUP(tbl_明細[[#This Row],[商品ID]],商品マスタ[商品連番],商品マスタ[仕入
単価],"",0,1),tbl_明細[[#This Row],[仕入価格（M)]])</f>
        <v/>
      </c>
      <c r="I164" s="80" t="str">
        <f>_xlfn.XLOOKUP(tbl_明細[[#This Row],[商品ID]],商品マスタ[商品連番],商品マスタ[国内定価
（15％）],"",0,1)</f>
        <v/>
      </c>
      <c r="J164" s="85"/>
      <c r="K164" s="71"/>
      <c r="L164" s="77" t="str">
        <f>_xlfn.XLOOKUP(tbl_明細[[#This Row],[商品ID]],商品マスタ[商品連番],商品マスタ[単位],"",0,1)</f>
        <v/>
      </c>
      <c r="M164" s="249" t="e">
        <f>1-tbl_明細[[#This Row],[仕入価格]]/tbl_明細[[#This Row],[販売価格（売値）]]</f>
        <v>#VALUE!</v>
      </c>
      <c r="N164" s="189" t="str">
        <f>_xlfn.XLOOKUP(tbl_明細[[#This Row],[商品ID]],商品マスタ[商品連番],商品マスタ[税率],"",0,1)</f>
        <v/>
      </c>
      <c r="O164" s="120"/>
      <c r="P164" s="71"/>
      <c r="Q164" s="81"/>
      <c r="R164" s="81"/>
      <c r="S164" s="71"/>
      <c r="T164" s="71"/>
      <c r="U164" s="79"/>
      <c r="V164" s="79"/>
      <c r="W164" s="113"/>
      <c r="X164" s="254" t="e">
        <f>tbl_明細[[#This Row],[仕入価格]]*tbl_明細[[#This Row],[数量]]+tbl_明細[[#This Row],[仕入価格（M)]]*tbl_明細[[#This Row],[数量（M)]]</f>
        <v>#VALUE!</v>
      </c>
      <c r="Y164" s="254">
        <f>tbl_明細[[#This Row],[販売価格（売値）]]*tbl_明細[[#This Row],[数量]]+tbl_明細[[#This Row],[販売価格（M)]]*tbl_明細[[#This Row],[数量（M)]]</f>
        <v>0</v>
      </c>
      <c r="Z164" s="257">
        <f>_xlfn.XLOOKUP(tbl_明細[[#This Row],[案件番号]],tbl_案件追跡[案件番号],tbl_案件追跡[受注],"",0,1)</f>
        <v>0</v>
      </c>
      <c r="AA164" s="228">
        <f>tbl_明細[[#This Row],[販売価格（売値）]]+tbl_明細[[#This Row],[販売価格（M)]]</f>
        <v>0</v>
      </c>
      <c r="AB164" s="261">
        <f>tbl_明細[[#This Row],[販売価格（売値）]]*1.08+tbl_明細[[#This Row],[販売価格（M)]]*1.08</f>
        <v>0</v>
      </c>
    </row>
    <row r="165" spans="1:28">
      <c r="A165" s="73"/>
      <c r="B165" s="77" t="str">
        <f>IF(ISBLANK(tbl_明細[[#This Row],[案件番号]]),"",COUNTIFS($A$3:A165,tbl_明細[[#This Row],[案件番号]],$AA$3:AA165,"&gt;0"))</f>
        <v/>
      </c>
      <c r="C165" s="71">
        <f>COUNTIFS($A$3:A165,tbl_明細[[#This Row],[案件番号]],$F$3:F165,tbl_明細[[#This Row],[仕入先]])</f>
        <v>0</v>
      </c>
      <c r="D165" s="77" t="str">
        <f>_xlfn.XLOOKUP(tbl_明細[[#This Row],[案件番号]],tbl_採番[案件番号],tbl_採番[顧客],"",0,1)</f>
        <v/>
      </c>
      <c r="E165" s="71"/>
      <c r="F165" s="118" t="str">
        <f>IF(ISBLANK(tbl_明細[[#This Row],[仕入先（M)]]),_xlfn.XLOOKUP(tbl_明細[[#This Row],[商品ID]],商品マスタ[商品連番],商品マスタ[仕入先],"",0,1),tbl_明細[[#This Row],[仕入先（M)]])</f>
        <v/>
      </c>
      <c r="G165" s="112" t="str">
        <f>IF(ISBLANK(tbl_明細[[#This Row],[商品名（M)]]),_xlfn.XLOOKUP(tbl_明細[[#This Row],[商品ID]],商品マスタ[商品連番],商品マスタ[商品名],"",0,),tbl_明細[[#This Row],[商品名（M)]])</f>
        <v/>
      </c>
      <c r="H165" s="80" t="str">
        <f>IF(ISBLANK(tbl_明細[[#This Row],[仕入価格（M)]]),_xlfn.XLOOKUP(tbl_明細[[#This Row],[商品ID]],商品マスタ[商品連番],商品マスタ[仕入
単価],"",0,1),tbl_明細[[#This Row],[仕入価格（M)]])</f>
        <v/>
      </c>
      <c r="I165" s="80" t="str">
        <f>_xlfn.XLOOKUP(tbl_明細[[#This Row],[商品ID]],商品マスタ[商品連番],商品マスタ[国内定価
（15％）],"",0,1)</f>
        <v/>
      </c>
      <c r="J165" s="85"/>
      <c r="K165" s="71"/>
      <c r="L165" s="77" t="str">
        <f>_xlfn.XLOOKUP(tbl_明細[[#This Row],[商品ID]],商品マスタ[商品連番],商品マスタ[単位],"",0,1)</f>
        <v/>
      </c>
      <c r="M165" s="249" t="e">
        <f>1-tbl_明細[[#This Row],[仕入価格]]/tbl_明細[[#This Row],[販売価格（売値）]]</f>
        <v>#VALUE!</v>
      </c>
      <c r="N165" s="189" t="str">
        <f>_xlfn.XLOOKUP(tbl_明細[[#This Row],[商品ID]],商品マスタ[商品連番],商品マスタ[税率],"",0,1)</f>
        <v/>
      </c>
      <c r="O165" s="120"/>
      <c r="P165" s="71"/>
      <c r="Q165" s="81"/>
      <c r="R165" s="81"/>
      <c r="S165" s="71"/>
      <c r="T165" s="71"/>
      <c r="U165" s="79"/>
      <c r="V165" s="79"/>
      <c r="W165" s="113"/>
      <c r="X165" s="254" t="e">
        <f>tbl_明細[[#This Row],[仕入価格]]*tbl_明細[[#This Row],[数量]]+tbl_明細[[#This Row],[仕入価格（M)]]*tbl_明細[[#This Row],[数量（M)]]</f>
        <v>#VALUE!</v>
      </c>
      <c r="Y165" s="254">
        <f>tbl_明細[[#This Row],[販売価格（売値）]]*tbl_明細[[#This Row],[数量]]+tbl_明細[[#This Row],[販売価格（M)]]*tbl_明細[[#This Row],[数量（M)]]</f>
        <v>0</v>
      </c>
      <c r="Z165" s="257">
        <f>_xlfn.XLOOKUP(tbl_明細[[#This Row],[案件番号]],tbl_案件追跡[案件番号],tbl_案件追跡[受注],"",0,1)</f>
        <v>0</v>
      </c>
      <c r="AA165" s="228">
        <f>tbl_明細[[#This Row],[販売価格（売値）]]+tbl_明細[[#This Row],[販売価格（M)]]</f>
        <v>0</v>
      </c>
      <c r="AB165" s="261">
        <f>tbl_明細[[#This Row],[販売価格（売値）]]*1.08+tbl_明細[[#This Row],[販売価格（M)]]*1.08</f>
        <v>0</v>
      </c>
    </row>
    <row r="166" spans="1:28">
      <c r="A166" s="73"/>
      <c r="B166" s="77" t="str">
        <f>IF(ISBLANK(tbl_明細[[#This Row],[案件番号]]),"",COUNTIFS($A$3:A166,tbl_明細[[#This Row],[案件番号]],$AA$3:AA166,"&gt;0"))</f>
        <v/>
      </c>
      <c r="C166" s="71">
        <f>COUNTIFS($A$3:A166,tbl_明細[[#This Row],[案件番号]],$F$3:F166,tbl_明細[[#This Row],[仕入先]])</f>
        <v>0</v>
      </c>
      <c r="D166" s="77" t="str">
        <f>_xlfn.XLOOKUP(tbl_明細[[#This Row],[案件番号]],tbl_採番[案件番号],tbl_採番[顧客],"",0,1)</f>
        <v/>
      </c>
      <c r="E166" s="71"/>
      <c r="F166" s="118" t="str">
        <f>IF(ISBLANK(tbl_明細[[#This Row],[仕入先（M)]]),_xlfn.XLOOKUP(tbl_明細[[#This Row],[商品ID]],商品マスタ[商品連番],商品マスタ[仕入先],"",0,1),tbl_明細[[#This Row],[仕入先（M)]])</f>
        <v/>
      </c>
      <c r="G166" s="112" t="str">
        <f>IF(ISBLANK(tbl_明細[[#This Row],[商品名（M)]]),_xlfn.XLOOKUP(tbl_明細[[#This Row],[商品ID]],商品マスタ[商品連番],商品マスタ[商品名],"",0,),tbl_明細[[#This Row],[商品名（M)]])</f>
        <v/>
      </c>
      <c r="H166" s="80" t="str">
        <f>IF(ISBLANK(tbl_明細[[#This Row],[仕入価格（M)]]),_xlfn.XLOOKUP(tbl_明細[[#This Row],[商品ID]],商品マスタ[商品連番],商品マスタ[仕入
単価],"",0,1),tbl_明細[[#This Row],[仕入価格（M)]])</f>
        <v/>
      </c>
      <c r="I166" s="80" t="str">
        <f>_xlfn.XLOOKUP(tbl_明細[[#This Row],[商品ID]],商品マスタ[商品連番],商品マスタ[国内定価
（15％）],"",0,1)</f>
        <v/>
      </c>
      <c r="J166" s="85"/>
      <c r="K166" s="71"/>
      <c r="L166" s="77" t="str">
        <f>_xlfn.XLOOKUP(tbl_明細[[#This Row],[商品ID]],商品マスタ[商品連番],商品マスタ[単位],"",0,1)</f>
        <v/>
      </c>
      <c r="M166" s="249" t="e">
        <f>1-tbl_明細[[#This Row],[仕入価格]]/tbl_明細[[#This Row],[販売価格（売値）]]</f>
        <v>#VALUE!</v>
      </c>
      <c r="N166" s="189" t="str">
        <f>_xlfn.XLOOKUP(tbl_明細[[#This Row],[商品ID]],商品マスタ[商品連番],商品マスタ[税率],"",0,1)</f>
        <v/>
      </c>
      <c r="O166" s="120"/>
      <c r="P166" s="71"/>
      <c r="Q166" s="81"/>
      <c r="R166" s="81"/>
      <c r="S166" s="71"/>
      <c r="T166" s="71"/>
      <c r="U166" s="79"/>
      <c r="V166" s="79"/>
      <c r="W166" s="113"/>
      <c r="X166" s="254" t="e">
        <f>tbl_明細[[#This Row],[仕入価格]]*tbl_明細[[#This Row],[数量]]+tbl_明細[[#This Row],[仕入価格（M)]]*tbl_明細[[#This Row],[数量（M)]]</f>
        <v>#VALUE!</v>
      </c>
      <c r="Y166" s="254">
        <f>tbl_明細[[#This Row],[販売価格（売値）]]*tbl_明細[[#This Row],[数量]]+tbl_明細[[#This Row],[販売価格（M)]]*tbl_明細[[#This Row],[数量（M)]]</f>
        <v>0</v>
      </c>
      <c r="Z166" s="257">
        <f>_xlfn.XLOOKUP(tbl_明細[[#This Row],[案件番号]],tbl_案件追跡[案件番号],tbl_案件追跡[受注],"",0,1)</f>
        <v>0</v>
      </c>
      <c r="AA166" s="228">
        <f>tbl_明細[[#This Row],[販売価格（売値）]]+tbl_明細[[#This Row],[販売価格（M)]]</f>
        <v>0</v>
      </c>
      <c r="AB166" s="261">
        <f>tbl_明細[[#This Row],[販売価格（売値）]]*1.08+tbl_明細[[#This Row],[販売価格（M)]]*1.08</f>
        <v>0</v>
      </c>
    </row>
    <row r="167" spans="1:28">
      <c r="A167" s="73"/>
      <c r="B167" s="77" t="str">
        <f>IF(ISBLANK(tbl_明細[[#This Row],[案件番号]]),"",COUNTIFS($A$3:A167,tbl_明細[[#This Row],[案件番号]],$AA$3:AA167,"&gt;0"))</f>
        <v/>
      </c>
      <c r="C167" s="71">
        <f>COUNTIFS($A$3:A167,tbl_明細[[#This Row],[案件番号]],$F$3:F167,tbl_明細[[#This Row],[仕入先]])</f>
        <v>0</v>
      </c>
      <c r="D167" s="77" t="str">
        <f>_xlfn.XLOOKUP(tbl_明細[[#This Row],[案件番号]],tbl_採番[案件番号],tbl_採番[顧客],"",0,1)</f>
        <v/>
      </c>
      <c r="E167" s="71"/>
      <c r="F167" s="118" t="str">
        <f>IF(ISBLANK(tbl_明細[[#This Row],[仕入先（M)]]),_xlfn.XLOOKUP(tbl_明細[[#This Row],[商品ID]],商品マスタ[商品連番],商品マスタ[仕入先],"",0,1),tbl_明細[[#This Row],[仕入先（M)]])</f>
        <v/>
      </c>
      <c r="G167" s="112" t="str">
        <f>IF(ISBLANK(tbl_明細[[#This Row],[商品名（M)]]),_xlfn.XLOOKUP(tbl_明細[[#This Row],[商品ID]],商品マスタ[商品連番],商品マスタ[商品名],"",0,),tbl_明細[[#This Row],[商品名（M)]])</f>
        <v/>
      </c>
      <c r="H167" s="80" t="str">
        <f>IF(ISBLANK(tbl_明細[[#This Row],[仕入価格（M)]]),_xlfn.XLOOKUP(tbl_明細[[#This Row],[商品ID]],商品マスタ[商品連番],商品マスタ[仕入
単価],"",0,1),tbl_明細[[#This Row],[仕入価格（M)]])</f>
        <v/>
      </c>
      <c r="I167" s="80" t="str">
        <f>_xlfn.XLOOKUP(tbl_明細[[#This Row],[商品ID]],商品マスタ[商品連番],商品マスタ[国内定価
（15％）],"",0,1)</f>
        <v/>
      </c>
      <c r="J167" s="85"/>
      <c r="K167" s="71"/>
      <c r="L167" s="77" t="str">
        <f>_xlfn.XLOOKUP(tbl_明細[[#This Row],[商品ID]],商品マスタ[商品連番],商品マスタ[単位],"",0,1)</f>
        <v/>
      </c>
      <c r="M167" s="249" t="e">
        <f>1-tbl_明細[[#This Row],[仕入価格]]/tbl_明細[[#This Row],[販売価格（売値）]]</f>
        <v>#VALUE!</v>
      </c>
      <c r="N167" s="189" t="str">
        <f>_xlfn.XLOOKUP(tbl_明細[[#This Row],[商品ID]],商品マスタ[商品連番],商品マスタ[税率],"",0,1)</f>
        <v/>
      </c>
      <c r="O167" s="120"/>
      <c r="P167" s="71"/>
      <c r="Q167" s="81"/>
      <c r="R167" s="81"/>
      <c r="S167" s="71"/>
      <c r="T167" s="71"/>
      <c r="U167" s="79"/>
      <c r="V167" s="79"/>
      <c r="W167" s="113"/>
      <c r="X167" s="254" t="e">
        <f>tbl_明細[[#This Row],[仕入価格]]*tbl_明細[[#This Row],[数量]]+tbl_明細[[#This Row],[仕入価格（M)]]*tbl_明細[[#This Row],[数量（M)]]</f>
        <v>#VALUE!</v>
      </c>
      <c r="Y167" s="254">
        <f>tbl_明細[[#This Row],[販売価格（売値）]]*tbl_明細[[#This Row],[数量]]+tbl_明細[[#This Row],[販売価格（M)]]*tbl_明細[[#This Row],[数量（M)]]</f>
        <v>0</v>
      </c>
      <c r="Z167" s="257">
        <f>_xlfn.XLOOKUP(tbl_明細[[#This Row],[案件番号]],tbl_案件追跡[案件番号],tbl_案件追跡[受注],"",0,1)</f>
        <v>0</v>
      </c>
      <c r="AA167" s="228">
        <f>tbl_明細[[#This Row],[販売価格（売値）]]+tbl_明細[[#This Row],[販売価格（M)]]</f>
        <v>0</v>
      </c>
      <c r="AB167" s="261">
        <f>tbl_明細[[#This Row],[販売価格（売値）]]*1.08+tbl_明細[[#This Row],[販売価格（M)]]*1.08</f>
        <v>0</v>
      </c>
    </row>
    <row r="168" spans="1:28">
      <c r="A168" s="73"/>
      <c r="B168" s="77" t="str">
        <f>IF(ISBLANK(tbl_明細[[#This Row],[案件番号]]),"",COUNTIFS($A$3:A168,tbl_明細[[#This Row],[案件番号]],$AA$3:AA168,"&gt;0"))</f>
        <v/>
      </c>
      <c r="C168" s="71">
        <f>COUNTIFS($A$3:A168,tbl_明細[[#This Row],[案件番号]],$F$3:F168,tbl_明細[[#This Row],[仕入先]])</f>
        <v>0</v>
      </c>
      <c r="D168" s="77" t="str">
        <f>_xlfn.XLOOKUP(tbl_明細[[#This Row],[案件番号]],tbl_採番[案件番号],tbl_採番[顧客],"",0,1)</f>
        <v/>
      </c>
      <c r="E168" s="71"/>
      <c r="F168" s="118" t="str">
        <f>IF(ISBLANK(tbl_明細[[#This Row],[仕入先（M)]]),_xlfn.XLOOKUP(tbl_明細[[#This Row],[商品ID]],商品マスタ[商品連番],商品マスタ[仕入先],"",0,1),tbl_明細[[#This Row],[仕入先（M)]])</f>
        <v/>
      </c>
      <c r="G168" s="112" t="str">
        <f>IF(ISBLANK(tbl_明細[[#This Row],[商品名（M)]]),_xlfn.XLOOKUP(tbl_明細[[#This Row],[商品ID]],商品マスタ[商品連番],商品マスタ[商品名],"",0,),tbl_明細[[#This Row],[商品名（M)]])</f>
        <v/>
      </c>
      <c r="H168" s="80" t="str">
        <f>IF(ISBLANK(tbl_明細[[#This Row],[仕入価格（M)]]),_xlfn.XLOOKUP(tbl_明細[[#This Row],[商品ID]],商品マスタ[商品連番],商品マスタ[仕入
単価],"",0,1),tbl_明細[[#This Row],[仕入価格（M)]])</f>
        <v/>
      </c>
      <c r="I168" s="80" t="str">
        <f>_xlfn.XLOOKUP(tbl_明細[[#This Row],[商品ID]],商品マスタ[商品連番],商品マスタ[国内定価
（15％）],"",0,1)</f>
        <v/>
      </c>
      <c r="J168" s="85"/>
      <c r="K168" s="71"/>
      <c r="L168" s="77" t="str">
        <f>_xlfn.XLOOKUP(tbl_明細[[#This Row],[商品ID]],商品マスタ[商品連番],商品マスタ[単位],"",0,1)</f>
        <v/>
      </c>
      <c r="M168" s="249" t="e">
        <f>1-tbl_明細[[#This Row],[仕入価格]]/tbl_明細[[#This Row],[販売価格（売値）]]</f>
        <v>#VALUE!</v>
      </c>
      <c r="N168" s="189" t="str">
        <f>_xlfn.XLOOKUP(tbl_明細[[#This Row],[商品ID]],商品マスタ[商品連番],商品マスタ[税率],"",0,1)</f>
        <v/>
      </c>
      <c r="O168" s="120"/>
      <c r="P168" s="71"/>
      <c r="Q168" s="81"/>
      <c r="R168" s="81"/>
      <c r="S168" s="71"/>
      <c r="T168" s="71"/>
      <c r="U168" s="79"/>
      <c r="V168" s="79"/>
      <c r="W168" s="113"/>
      <c r="X168" s="254" t="e">
        <f>tbl_明細[[#This Row],[仕入価格]]*tbl_明細[[#This Row],[数量]]+tbl_明細[[#This Row],[仕入価格（M)]]*tbl_明細[[#This Row],[数量（M)]]</f>
        <v>#VALUE!</v>
      </c>
      <c r="Y168" s="254">
        <f>tbl_明細[[#This Row],[販売価格（売値）]]*tbl_明細[[#This Row],[数量]]+tbl_明細[[#This Row],[販売価格（M)]]*tbl_明細[[#This Row],[数量（M)]]</f>
        <v>0</v>
      </c>
      <c r="Z168" s="257">
        <f>_xlfn.XLOOKUP(tbl_明細[[#This Row],[案件番号]],tbl_案件追跡[案件番号],tbl_案件追跡[受注],"",0,1)</f>
        <v>0</v>
      </c>
      <c r="AA168" s="228">
        <f>tbl_明細[[#This Row],[販売価格（売値）]]+tbl_明細[[#This Row],[販売価格（M)]]</f>
        <v>0</v>
      </c>
      <c r="AB168" s="261">
        <f>tbl_明細[[#This Row],[販売価格（売値）]]*1.08+tbl_明細[[#This Row],[販売価格（M)]]*1.08</f>
        <v>0</v>
      </c>
    </row>
    <row r="169" spans="1:28">
      <c r="A169" s="73"/>
      <c r="B169" s="77" t="str">
        <f>IF(ISBLANK(tbl_明細[[#This Row],[案件番号]]),"",COUNTIFS($A$3:A169,tbl_明細[[#This Row],[案件番号]],$AA$3:AA169,"&gt;0"))</f>
        <v/>
      </c>
      <c r="C169" s="71">
        <f>COUNTIFS($A$3:A169,tbl_明細[[#This Row],[案件番号]],$F$3:F169,tbl_明細[[#This Row],[仕入先]])</f>
        <v>0</v>
      </c>
      <c r="D169" s="77" t="str">
        <f>_xlfn.XLOOKUP(tbl_明細[[#This Row],[案件番号]],tbl_採番[案件番号],tbl_採番[顧客],"",0,1)</f>
        <v/>
      </c>
      <c r="E169" s="71"/>
      <c r="F169" s="118" t="str">
        <f>IF(ISBLANK(tbl_明細[[#This Row],[仕入先（M)]]),_xlfn.XLOOKUP(tbl_明細[[#This Row],[商品ID]],商品マスタ[商品連番],商品マスタ[仕入先],"",0,1),tbl_明細[[#This Row],[仕入先（M)]])</f>
        <v/>
      </c>
      <c r="G169" s="112" t="str">
        <f>IF(ISBLANK(tbl_明細[[#This Row],[商品名（M)]]),_xlfn.XLOOKUP(tbl_明細[[#This Row],[商品ID]],商品マスタ[商品連番],商品マスタ[商品名],"",0,),tbl_明細[[#This Row],[商品名（M)]])</f>
        <v/>
      </c>
      <c r="H169" s="80" t="str">
        <f>IF(ISBLANK(tbl_明細[[#This Row],[仕入価格（M)]]),_xlfn.XLOOKUP(tbl_明細[[#This Row],[商品ID]],商品マスタ[商品連番],商品マスタ[仕入
単価],"",0,1),tbl_明細[[#This Row],[仕入価格（M)]])</f>
        <v/>
      </c>
      <c r="I169" s="80" t="str">
        <f>_xlfn.XLOOKUP(tbl_明細[[#This Row],[商品ID]],商品マスタ[商品連番],商品マスタ[国内定価
（15％）],"",0,1)</f>
        <v/>
      </c>
      <c r="J169" s="85"/>
      <c r="K169" s="71"/>
      <c r="L169" s="77" t="str">
        <f>_xlfn.XLOOKUP(tbl_明細[[#This Row],[商品ID]],商品マスタ[商品連番],商品マスタ[単位],"",0,1)</f>
        <v/>
      </c>
      <c r="M169" s="249" t="e">
        <f>1-tbl_明細[[#This Row],[仕入価格]]/tbl_明細[[#This Row],[販売価格（売値）]]</f>
        <v>#VALUE!</v>
      </c>
      <c r="N169" s="189" t="str">
        <f>_xlfn.XLOOKUP(tbl_明細[[#This Row],[商品ID]],商品マスタ[商品連番],商品マスタ[税率],"",0,1)</f>
        <v/>
      </c>
      <c r="O169" s="120"/>
      <c r="P169" s="71"/>
      <c r="Q169" s="81"/>
      <c r="R169" s="81"/>
      <c r="S169" s="71"/>
      <c r="T169" s="71"/>
      <c r="U169" s="79"/>
      <c r="V169" s="79"/>
      <c r="W169" s="113"/>
      <c r="X169" s="254" t="e">
        <f>tbl_明細[[#This Row],[仕入価格]]*tbl_明細[[#This Row],[数量]]+tbl_明細[[#This Row],[仕入価格（M)]]*tbl_明細[[#This Row],[数量（M)]]</f>
        <v>#VALUE!</v>
      </c>
      <c r="Y169" s="254">
        <f>tbl_明細[[#This Row],[販売価格（売値）]]*tbl_明細[[#This Row],[数量]]+tbl_明細[[#This Row],[販売価格（M)]]*tbl_明細[[#This Row],[数量（M)]]</f>
        <v>0</v>
      </c>
      <c r="Z169" s="257">
        <f>_xlfn.XLOOKUP(tbl_明細[[#This Row],[案件番号]],tbl_案件追跡[案件番号],tbl_案件追跡[受注],"",0,1)</f>
        <v>0</v>
      </c>
      <c r="AA169" s="228">
        <f>tbl_明細[[#This Row],[販売価格（売値）]]+tbl_明細[[#This Row],[販売価格（M)]]</f>
        <v>0</v>
      </c>
      <c r="AB169" s="261">
        <f>tbl_明細[[#This Row],[販売価格（売値）]]*1.08+tbl_明細[[#This Row],[販売価格（M)]]*1.08</f>
        <v>0</v>
      </c>
    </row>
    <row r="170" spans="1:28">
      <c r="A170" s="73"/>
      <c r="B170" s="77" t="str">
        <f>IF(ISBLANK(tbl_明細[[#This Row],[案件番号]]),"",COUNTIFS($A$3:A170,tbl_明細[[#This Row],[案件番号]],$AA$3:AA170,"&gt;0"))</f>
        <v/>
      </c>
      <c r="C170" s="71">
        <f>COUNTIFS($A$3:A170,tbl_明細[[#This Row],[案件番号]],$F$3:F170,tbl_明細[[#This Row],[仕入先]])</f>
        <v>0</v>
      </c>
      <c r="D170" s="77" t="str">
        <f>_xlfn.XLOOKUP(tbl_明細[[#This Row],[案件番号]],tbl_採番[案件番号],tbl_採番[顧客],"",0,1)</f>
        <v/>
      </c>
      <c r="E170" s="71"/>
      <c r="F170" s="118" t="str">
        <f>IF(ISBLANK(tbl_明細[[#This Row],[仕入先（M)]]),_xlfn.XLOOKUP(tbl_明細[[#This Row],[商品ID]],商品マスタ[商品連番],商品マスタ[仕入先],"",0,1),tbl_明細[[#This Row],[仕入先（M)]])</f>
        <v/>
      </c>
      <c r="G170" s="112" t="str">
        <f>IF(ISBLANK(tbl_明細[[#This Row],[商品名（M)]]),_xlfn.XLOOKUP(tbl_明細[[#This Row],[商品ID]],商品マスタ[商品連番],商品マスタ[商品名],"",0,),tbl_明細[[#This Row],[商品名（M)]])</f>
        <v/>
      </c>
      <c r="H170" s="80" t="str">
        <f>IF(ISBLANK(tbl_明細[[#This Row],[仕入価格（M)]]),_xlfn.XLOOKUP(tbl_明細[[#This Row],[商品ID]],商品マスタ[商品連番],商品マスタ[仕入
単価],"",0,1),tbl_明細[[#This Row],[仕入価格（M)]])</f>
        <v/>
      </c>
      <c r="I170" s="80" t="str">
        <f>_xlfn.XLOOKUP(tbl_明細[[#This Row],[商品ID]],商品マスタ[商品連番],商品マスタ[国内定価
（15％）],"",0,1)</f>
        <v/>
      </c>
      <c r="J170" s="85"/>
      <c r="K170" s="71"/>
      <c r="L170" s="77" t="str">
        <f>_xlfn.XLOOKUP(tbl_明細[[#This Row],[商品ID]],商品マスタ[商品連番],商品マスタ[単位],"",0,1)</f>
        <v/>
      </c>
      <c r="M170" s="249" t="e">
        <f>1-tbl_明細[[#This Row],[仕入価格]]/tbl_明細[[#This Row],[販売価格（売値）]]</f>
        <v>#VALUE!</v>
      </c>
      <c r="N170" s="189" t="str">
        <f>_xlfn.XLOOKUP(tbl_明細[[#This Row],[商品ID]],商品マスタ[商品連番],商品マスタ[税率],"",0,1)</f>
        <v/>
      </c>
      <c r="O170" s="120"/>
      <c r="P170" s="71"/>
      <c r="Q170" s="81"/>
      <c r="R170" s="81"/>
      <c r="S170" s="71"/>
      <c r="T170" s="71"/>
      <c r="U170" s="79"/>
      <c r="V170" s="79"/>
      <c r="W170" s="113"/>
      <c r="X170" s="254" t="e">
        <f>tbl_明細[[#This Row],[仕入価格]]*tbl_明細[[#This Row],[数量]]+tbl_明細[[#This Row],[仕入価格（M)]]*tbl_明細[[#This Row],[数量（M)]]</f>
        <v>#VALUE!</v>
      </c>
      <c r="Y170" s="254">
        <f>tbl_明細[[#This Row],[販売価格（売値）]]*tbl_明細[[#This Row],[数量]]+tbl_明細[[#This Row],[販売価格（M)]]*tbl_明細[[#This Row],[数量（M)]]</f>
        <v>0</v>
      </c>
      <c r="Z170" s="257">
        <f>_xlfn.XLOOKUP(tbl_明細[[#This Row],[案件番号]],tbl_案件追跡[案件番号],tbl_案件追跡[受注],"",0,1)</f>
        <v>0</v>
      </c>
      <c r="AA170" s="228">
        <f>tbl_明細[[#This Row],[販売価格（売値）]]+tbl_明細[[#This Row],[販売価格（M)]]</f>
        <v>0</v>
      </c>
      <c r="AB170" s="261">
        <f>tbl_明細[[#This Row],[販売価格（売値）]]*1.08+tbl_明細[[#This Row],[販売価格（M)]]*1.08</f>
        <v>0</v>
      </c>
    </row>
    <row r="171" spans="1:28">
      <c r="A171" s="73"/>
      <c r="B171" s="77" t="str">
        <f>IF(ISBLANK(tbl_明細[[#This Row],[案件番号]]),"",COUNTIFS($A$3:A171,tbl_明細[[#This Row],[案件番号]],$AA$3:AA171,"&gt;0"))</f>
        <v/>
      </c>
      <c r="C171" s="71">
        <f>COUNTIFS($A$3:A171,tbl_明細[[#This Row],[案件番号]],$F$3:F171,tbl_明細[[#This Row],[仕入先]])</f>
        <v>0</v>
      </c>
      <c r="D171" s="77" t="str">
        <f>_xlfn.XLOOKUP(tbl_明細[[#This Row],[案件番号]],tbl_採番[案件番号],tbl_採番[顧客],"",0,1)</f>
        <v/>
      </c>
      <c r="E171" s="71"/>
      <c r="F171" s="118" t="str">
        <f>IF(ISBLANK(tbl_明細[[#This Row],[仕入先（M)]]),_xlfn.XLOOKUP(tbl_明細[[#This Row],[商品ID]],商品マスタ[商品連番],商品マスタ[仕入先],"",0,1),tbl_明細[[#This Row],[仕入先（M)]])</f>
        <v/>
      </c>
      <c r="G171" s="112" t="str">
        <f>IF(ISBLANK(tbl_明細[[#This Row],[商品名（M)]]),_xlfn.XLOOKUP(tbl_明細[[#This Row],[商品ID]],商品マスタ[商品連番],商品マスタ[商品名],"",0,),tbl_明細[[#This Row],[商品名（M)]])</f>
        <v/>
      </c>
      <c r="H171" s="80" t="str">
        <f>IF(ISBLANK(tbl_明細[[#This Row],[仕入価格（M)]]),_xlfn.XLOOKUP(tbl_明細[[#This Row],[商品ID]],商品マスタ[商品連番],商品マスタ[仕入
単価],"",0,1),tbl_明細[[#This Row],[仕入価格（M)]])</f>
        <v/>
      </c>
      <c r="I171" s="80" t="str">
        <f>_xlfn.XLOOKUP(tbl_明細[[#This Row],[商品ID]],商品マスタ[商品連番],商品マスタ[国内定価
（15％）],"",0,1)</f>
        <v/>
      </c>
      <c r="J171" s="85"/>
      <c r="K171" s="71"/>
      <c r="L171" s="77" t="str">
        <f>_xlfn.XLOOKUP(tbl_明細[[#This Row],[商品ID]],商品マスタ[商品連番],商品マスタ[単位],"",0,1)</f>
        <v/>
      </c>
      <c r="M171" s="249" t="e">
        <f>1-tbl_明細[[#This Row],[仕入価格]]/tbl_明細[[#This Row],[販売価格（売値）]]</f>
        <v>#VALUE!</v>
      </c>
      <c r="N171" s="189" t="str">
        <f>_xlfn.XLOOKUP(tbl_明細[[#This Row],[商品ID]],商品マスタ[商品連番],商品マスタ[税率],"",0,1)</f>
        <v/>
      </c>
      <c r="O171" s="120"/>
      <c r="P171" s="71"/>
      <c r="Q171" s="81"/>
      <c r="R171" s="81"/>
      <c r="S171" s="71"/>
      <c r="T171" s="71"/>
      <c r="U171" s="79"/>
      <c r="V171" s="79"/>
      <c r="W171" s="113"/>
      <c r="X171" s="254" t="e">
        <f>tbl_明細[[#This Row],[仕入価格]]*tbl_明細[[#This Row],[数量]]+tbl_明細[[#This Row],[仕入価格（M)]]*tbl_明細[[#This Row],[数量（M)]]</f>
        <v>#VALUE!</v>
      </c>
      <c r="Y171" s="254">
        <f>tbl_明細[[#This Row],[販売価格（売値）]]*tbl_明細[[#This Row],[数量]]+tbl_明細[[#This Row],[販売価格（M)]]*tbl_明細[[#This Row],[数量（M)]]</f>
        <v>0</v>
      </c>
      <c r="Z171" s="257">
        <f>_xlfn.XLOOKUP(tbl_明細[[#This Row],[案件番号]],tbl_案件追跡[案件番号],tbl_案件追跡[受注],"",0,1)</f>
        <v>0</v>
      </c>
      <c r="AA171" s="228">
        <f>tbl_明細[[#This Row],[販売価格（売値）]]+tbl_明細[[#This Row],[販売価格（M)]]</f>
        <v>0</v>
      </c>
      <c r="AB171" s="261">
        <f>tbl_明細[[#This Row],[販売価格（売値）]]*1.08+tbl_明細[[#This Row],[販売価格（M)]]*1.08</f>
        <v>0</v>
      </c>
    </row>
    <row r="172" spans="1:28">
      <c r="A172" s="73"/>
      <c r="B172" s="77" t="str">
        <f>IF(ISBLANK(tbl_明細[[#This Row],[案件番号]]),"",COUNTIFS($A$3:A172,tbl_明細[[#This Row],[案件番号]],$AA$3:AA172,"&gt;0"))</f>
        <v/>
      </c>
      <c r="C172" s="71">
        <f>COUNTIFS($A$3:A172,tbl_明細[[#This Row],[案件番号]],$F$3:F172,tbl_明細[[#This Row],[仕入先]])</f>
        <v>0</v>
      </c>
      <c r="D172" s="77" t="str">
        <f>_xlfn.XLOOKUP(tbl_明細[[#This Row],[案件番号]],tbl_採番[案件番号],tbl_採番[顧客],"",0,1)</f>
        <v/>
      </c>
      <c r="E172" s="71"/>
      <c r="F172" s="118" t="str">
        <f>IF(ISBLANK(tbl_明細[[#This Row],[仕入先（M)]]),_xlfn.XLOOKUP(tbl_明細[[#This Row],[商品ID]],商品マスタ[商品連番],商品マスタ[仕入先],"",0,1),tbl_明細[[#This Row],[仕入先（M)]])</f>
        <v/>
      </c>
      <c r="G172" s="112" t="str">
        <f>IF(ISBLANK(tbl_明細[[#This Row],[商品名（M)]]),_xlfn.XLOOKUP(tbl_明細[[#This Row],[商品ID]],商品マスタ[商品連番],商品マスタ[商品名],"",0,),tbl_明細[[#This Row],[商品名（M)]])</f>
        <v/>
      </c>
      <c r="H172" s="80" t="str">
        <f>IF(ISBLANK(tbl_明細[[#This Row],[仕入価格（M)]]),_xlfn.XLOOKUP(tbl_明細[[#This Row],[商品ID]],商品マスタ[商品連番],商品マスタ[仕入
単価],"",0,1),tbl_明細[[#This Row],[仕入価格（M)]])</f>
        <v/>
      </c>
      <c r="I172" s="80" t="str">
        <f>_xlfn.XLOOKUP(tbl_明細[[#This Row],[商品ID]],商品マスタ[商品連番],商品マスタ[国内定価
（15％）],"",0,1)</f>
        <v/>
      </c>
      <c r="J172" s="85"/>
      <c r="K172" s="71"/>
      <c r="L172" s="77" t="str">
        <f>_xlfn.XLOOKUP(tbl_明細[[#This Row],[商品ID]],商品マスタ[商品連番],商品マスタ[単位],"",0,1)</f>
        <v/>
      </c>
      <c r="M172" s="249" t="e">
        <f>1-tbl_明細[[#This Row],[仕入価格]]/tbl_明細[[#This Row],[販売価格（売値）]]</f>
        <v>#VALUE!</v>
      </c>
      <c r="N172" s="189" t="str">
        <f>_xlfn.XLOOKUP(tbl_明細[[#This Row],[商品ID]],商品マスタ[商品連番],商品マスタ[税率],"",0,1)</f>
        <v/>
      </c>
      <c r="O172" s="120"/>
      <c r="P172" s="71"/>
      <c r="Q172" s="81"/>
      <c r="R172" s="81"/>
      <c r="S172" s="71"/>
      <c r="T172" s="71"/>
      <c r="U172" s="79"/>
      <c r="V172" s="79"/>
      <c r="W172" s="113"/>
      <c r="X172" s="254" t="e">
        <f>tbl_明細[[#This Row],[仕入価格]]*tbl_明細[[#This Row],[数量]]+tbl_明細[[#This Row],[仕入価格（M)]]*tbl_明細[[#This Row],[数量（M)]]</f>
        <v>#VALUE!</v>
      </c>
      <c r="Y172" s="254">
        <f>tbl_明細[[#This Row],[販売価格（売値）]]*tbl_明細[[#This Row],[数量]]+tbl_明細[[#This Row],[販売価格（M)]]*tbl_明細[[#This Row],[数量（M)]]</f>
        <v>0</v>
      </c>
      <c r="Z172" s="257">
        <f>_xlfn.XLOOKUP(tbl_明細[[#This Row],[案件番号]],tbl_案件追跡[案件番号],tbl_案件追跡[受注],"",0,1)</f>
        <v>0</v>
      </c>
      <c r="AA172" s="228">
        <f>tbl_明細[[#This Row],[販売価格（売値）]]+tbl_明細[[#This Row],[販売価格（M)]]</f>
        <v>0</v>
      </c>
      <c r="AB172" s="261">
        <f>tbl_明細[[#This Row],[販売価格（売値）]]*1.08+tbl_明細[[#This Row],[販売価格（M)]]*1.08</f>
        <v>0</v>
      </c>
    </row>
    <row r="173" spans="1:28">
      <c r="A173" s="73"/>
      <c r="B173" s="77" t="str">
        <f>IF(ISBLANK(tbl_明細[[#This Row],[案件番号]]),"",COUNTIFS($A$3:A173,tbl_明細[[#This Row],[案件番号]],$AA$3:AA173,"&gt;0"))</f>
        <v/>
      </c>
      <c r="C173" s="71">
        <f>COUNTIFS($A$3:A173,tbl_明細[[#This Row],[案件番号]],$F$3:F173,tbl_明細[[#This Row],[仕入先]])</f>
        <v>0</v>
      </c>
      <c r="D173" s="77" t="str">
        <f>_xlfn.XLOOKUP(tbl_明細[[#This Row],[案件番号]],tbl_採番[案件番号],tbl_採番[顧客],"",0,1)</f>
        <v/>
      </c>
      <c r="E173" s="71"/>
      <c r="F173" s="118" t="str">
        <f>IF(ISBLANK(tbl_明細[[#This Row],[仕入先（M)]]),_xlfn.XLOOKUP(tbl_明細[[#This Row],[商品ID]],商品マスタ[商品連番],商品マスタ[仕入先],"",0,1),tbl_明細[[#This Row],[仕入先（M)]])</f>
        <v/>
      </c>
      <c r="G173" s="112" t="str">
        <f>IF(ISBLANK(tbl_明細[[#This Row],[商品名（M)]]),_xlfn.XLOOKUP(tbl_明細[[#This Row],[商品ID]],商品マスタ[商品連番],商品マスタ[商品名],"",0,),tbl_明細[[#This Row],[商品名（M)]])</f>
        <v/>
      </c>
      <c r="H173" s="80" t="str">
        <f>IF(ISBLANK(tbl_明細[[#This Row],[仕入価格（M)]]),_xlfn.XLOOKUP(tbl_明細[[#This Row],[商品ID]],商品マスタ[商品連番],商品マスタ[仕入
単価],"",0,1),tbl_明細[[#This Row],[仕入価格（M)]])</f>
        <v/>
      </c>
      <c r="I173" s="80" t="str">
        <f>_xlfn.XLOOKUP(tbl_明細[[#This Row],[商品ID]],商品マスタ[商品連番],商品マスタ[国内定価
（15％）],"",0,1)</f>
        <v/>
      </c>
      <c r="J173" s="85"/>
      <c r="K173" s="71"/>
      <c r="L173" s="77" t="str">
        <f>_xlfn.XLOOKUP(tbl_明細[[#This Row],[商品ID]],商品マスタ[商品連番],商品マスタ[単位],"",0,1)</f>
        <v/>
      </c>
      <c r="M173" s="249" t="e">
        <f>1-tbl_明細[[#This Row],[仕入価格]]/tbl_明細[[#This Row],[販売価格（売値）]]</f>
        <v>#VALUE!</v>
      </c>
      <c r="N173" s="189" t="str">
        <f>_xlfn.XLOOKUP(tbl_明細[[#This Row],[商品ID]],商品マスタ[商品連番],商品マスタ[税率],"",0,1)</f>
        <v/>
      </c>
      <c r="O173" s="120"/>
      <c r="P173" s="71"/>
      <c r="Q173" s="81"/>
      <c r="R173" s="81"/>
      <c r="S173" s="71"/>
      <c r="T173" s="71"/>
      <c r="U173" s="79"/>
      <c r="V173" s="79"/>
      <c r="W173" s="113"/>
      <c r="X173" s="254" t="e">
        <f>tbl_明細[[#This Row],[仕入価格]]*tbl_明細[[#This Row],[数量]]+tbl_明細[[#This Row],[仕入価格（M)]]*tbl_明細[[#This Row],[数量（M)]]</f>
        <v>#VALUE!</v>
      </c>
      <c r="Y173" s="254">
        <f>tbl_明細[[#This Row],[販売価格（売値）]]*tbl_明細[[#This Row],[数量]]+tbl_明細[[#This Row],[販売価格（M)]]*tbl_明細[[#This Row],[数量（M)]]</f>
        <v>0</v>
      </c>
      <c r="Z173" s="257">
        <f>_xlfn.XLOOKUP(tbl_明細[[#This Row],[案件番号]],tbl_案件追跡[案件番号],tbl_案件追跡[受注],"",0,1)</f>
        <v>0</v>
      </c>
      <c r="AA173" s="228">
        <f>tbl_明細[[#This Row],[販売価格（売値）]]+tbl_明細[[#This Row],[販売価格（M)]]</f>
        <v>0</v>
      </c>
      <c r="AB173" s="261">
        <f>tbl_明細[[#This Row],[販売価格（売値）]]*1.08+tbl_明細[[#This Row],[販売価格（M)]]*1.08</f>
        <v>0</v>
      </c>
    </row>
    <row r="174" spans="1:28">
      <c r="A174" s="73"/>
      <c r="B174" s="77" t="str">
        <f>IF(ISBLANK(tbl_明細[[#This Row],[案件番号]]),"",COUNTIFS($A$3:A174,tbl_明細[[#This Row],[案件番号]],$AA$3:AA174,"&gt;0"))</f>
        <v/>
      </c>
      <c r="C174" s="71">
        <f>COUNTIFS($A$3:A174,tbl_明細[[#This Row],[案件番号]],$F$3:F174,tbl_明細[[#This Row],[仕入先]])</f>
        <v>0</v>
      </c>
      <c r="D174" s="77" t="str">
        <f>_xlfn.XLOOKUP(tbl_明細[[#This Row],[案件番号]],tbl_採番[案件番号],tbl_採番[顧客],"",0,1)</f>
        <v/>
      </c>
      <c r="E174" s="71"/>
      <c r="F174" s="118" t="str">
        <f>IF(ISBLANK(tbl_明細[[#This Row],[仕入先（M)]]),_xlfn.XLOOKUP(tbl_明細[[#This Row],[商品ID]],商品マスタ[商品連番],商品マスタ[仕入先],"",0,1),tbl_明細[[#This Row],[仕入先（M)]])</f>
        <v/>
      </c>
      <c r="G174" s="112" t="str">
        <f>IF(ISBLANK(tbl_明細[[#This Row],[商品名（M)]]),_xlfn.XLOOKUP(tbl_明細[[#This Row],[商品ID]],商品マスタ[商品連番],商品マスタ[商品名],"",0,),tbl_明細[[#This Row],[商品名（M)]])</f>
        <v/>
      </c>
      <c r="H174" s="80" t="str">
        <f>IF(ISBLANK(tbl_明細[[#This Row],[仕入価格（M)]]),_xlfn.XLOOKUP(tbl_明細[[#This Row],[商品ID]],商品マスタ[商品連番],商品マスタ[仕入
単価],"",0,1),tbl_明細[[#This Row],[仕入価格（M)]])</f>
        <v/>
      </c>
      <c r="I174" s="80" t="str">
        <f>_xlfn.XLOOKUP(tbl_明細[[#This Row],[商品ID]],商品マスタ[商品連番],商品マスタ[国内定価
（15％）],"",0,1)</f>
        <v/>
      </c>
      <c r="J174" s="85"/>
      <c r="K174" s="71"/>
      <c r="L174" s="77" t="str">
        <f>_xlfn.XLOOKUP(tbl_明細[[#This Row],[商品ID]],商品マスタ[商品連番],商品マスタ[単位],"",0,1)</f>
        <v/>
      </c>
      <c r="M174" s="249" t="e">
        <f>1-tbl_明細[[#This Row],[仕入価格]]/tbl_明細[[#This Row],[販売価格（売値）]]</f>
        <v>#VALUE!</v>
      </c>
      <c r="N174" s="189" t="str">
        <f>_xlfn.XLOOKUP(tbl_明細[[#This Row],[商品ID]],商品マスタ[商品連番],商品マスタ[税率],"",0,1)</f>
        <v/>
      </c>
      <c r="O174" s="120"/>
      <c r="P174" s="71"/>
      <c r="Q174" s="81"/>
      <c r="R174" s="81"/>
      <c r="S174" s="71"/>
      <c r="T174" s="71"/>
      <c r="U174" s="79"/>
      <c r="V174" s="79"/>
      <c r="W174" s="113"/>
      <c r="X174" s="254" t="e">
        <f>tbl_明細[[#This Row],[仕入価格]]*tbl_明細[[#This Row],[数量]]+tbl_明細[[#This Row],[仕入価格（M)]]*tbl_明細[[#This Row],[数量（M)]]</f>
        <v>#VALUE!</v>
      </c>
      <c r="Y174" s="254">
        <f>tbl_明細[[#This Row],[販売価格（売値）]]*tbl_明細[[#This Row],[数量]]+tbl_明細[[#This Row],[販売価格（M)]]*tbl_明細[[#This Row],[数量（M)]]</f>
        <v>0</v>
      </c>
      <c r="Z174" s="257">
        <f>_xlfn.XLOOKUP(tbl_明細[[#This Row],[案件番号]],tbl_案件追跡[案件番号],tbl_案件追跡[受注],"",0,1)</f>
        <v>0</v>
      </c>
      <c r="AA174" s="228">
        <f>tbl_明細[[#This Row],[販売価格（売値）]]+tbl_明細[[#This Row],[販売価格（M)]]</f>
        <v>0</v>
      </c>
      <c r="AB174" s="261">
        <f>tbl_明細[[#This Row],[販売価格（売値）]]*1.08+tbl_明細[[#This Row],[販売価格（M)]]*1.08</f>
        <v>0</v>
      </c>
    </row>
    <row r="175" spans="1:28">
      <c r="A175" s="73"/>
      <c r="B175" s="77" t="str">
        <f>IF(ISBLANK(tbl_明細[[#This Row],[案件番号]]),"",COUNTIFS($A$3:A175,tbl_明細[[#This Row],[案件番号]],$AA$3:AA175,"&gt;0"))</f>
        <v/>
      </c>
      <c r="C175" s="71">
        <f>COUNTIFS($A$3:A175,tbl_明細[[#This Row],[案件番号]],$F$3:F175,tbl_明細[[#This Row],[仕入先]])</f>
        <v>0</v>
      </c>
      <c r="D175" s="77" t="str">
        <f>_xlfn.XLOOKUP(tbl_明細[[#This Row],[案件番号]],tbl_採番[案件番号],tbl_採番[顧客],"",0,1)</f>
        <v/>
      </c>
      <c r="E175" s="71"/>
      <c r="F175" s="118" t="str">
        <f>IF(ISBLANK(tbl_明細[[#This Row],[仕入先（M)]]),_xlfn.XLOOKUP(tbl_明細[[#This Row],[商品ID]],商品マスタ[商品連番],商品マスタ[仕入先],"",0,1),tbl_明細[[#This Row],[仕入先（M)]])</f>
        <v/>
      </c>
      <c r="G175" s="112" t="str">
        <f>IF(ISBLANK(tbl_明細[[#This Row],[商品名（M)]]),_xlfn.XLOOKUP(tbl_明細[[#This Row],[商品ID]],商品マスタ[商品連番],商品マスタ[商品名],"",0,),tbl_明細[[#This Row],[商品名（M)]])</f>
        <v/>
      </c>
      <c r="H175" s="80" t="str">
        <f>IF(ISBLANK(tbl_明細[[#This Row],[仕入価格（M)]]),_xlfn.XLOOKUP(tbl_明細[[#This Row],[商品ID]],商品マスタ[商品連番],商品マスタ[仕入
単価],"",0,1),tbl_明細[[#This Row],[仕入価格（M)]])</f>
        <v/>
      </c>
      <c r="I175" s="80" t="str">
        <f>_xlfn.XLOOKUP(tbl_明細[[#This Row],[商品ID]],商品マスタ[商品連番],商品マスタ[国内定価
（15％）],"",0,1)</f>
        <v/>
      </c>
      <c r="J175" s="85"/>
      <c r="K175" s="71"/>
      <c r="L175" s="77" t="str">
        <f>_xlfn.XLOOKUP(tbl_明細[[#This Row],[商品ID]],商品マスタ[商品連番],商品マスタ[単位],"",0,1)</f>
        <v/>
      </c>
      <c r="M175" s="249" t="e">
        <f>1-tbl_明細[[#This Row],[仕入価格]]/tbl_明細[[#This Row],[販売価格（売値）]]</f>
        <v>#VALUE!</v>
      </c>
      <c r="N175" s="189" t="str">
        <f>_xlfn.XLOOKUP(tbl_明細[[#This Row],[商品ID]],商品マスタ[商品連番],商品マスタ[税率],"",0,1)</f>
        <v/>
      </c>
      <c r="O175" s="120"/>
      <c r="P175" s="71"/>
      <c r="Q175" s="81"/>
      <c r="R175" s="81"/>
      <c r="S175" s="71"/>
      <c r="T175" s="71"/>
      <c r="U175" s="79"/>
      <c r="V175" s="79"/>
      <c r="W175" s="113"/>
      <c r="X175" s="254" t="e">
        <f>tbl_明細[[#This Row],[仕入価格]]*tbl_明細[[#This Row],[数量]]+tbl_明細[[#This Row],[仕入価格（M)]]*tbl_明細[[#This Row],[数量（M)]]</f>
        <v>#VALUE!</v>
      </c>
      <c r="Y175" s="254">
        <f>tbl_明細[[#This Row],[販売価格（売値）]]*tbl_明細[[#This Row],[数量]]+tbl_明細[[#This Row],[販売価格（M)]]*tbl_明細[[#This Row],[数量（M)]]</f>
        <v>0</v>
      </c>
      <c r="Z175" s="257">
        <f>_xlfn.XLOOKUP(tbl_明細[[#This Row],[案件番号]],tbl_案件追跡[案件番号],tbl_案件追跡[受注],"",0,1)</f>
        <v>0</v>
      </c>
      <c r="AA175" s="228">
        <f>tbl_明細[[#This Row],[販売価格（売値）]]+tbl_明細[[#This Row],[販売価格（M)]]</f>
        <v>0</v>
      </c>
      <c r="AB175" s="261">
        <f>tbl_明細[[#This Row],[販売価格（売値）]]*1.08+tbl_明細[[#This Row],[販売価格（M)]]*1.08</f>
        <v>0</v>
      </c>
    </row>
    <row r="176" spans="1:28">
      <c r="A176" s="73"/>
      <c r="B176" s="77" t="str">
        <f>IF(ISBLANK(tbl_明細[[#This Row],[案件番号]]),"",COUNTIFS($A$3:A176,tbl_明細[[#This Row],[案件番号]],$AA$3:AA176,"&gt;0"))</f>
        <v/>
      </c>
      <c r="C176" s="71">
        <f>COUNTIFS($A$3:A176,tbl_明細[[#This Row],[案件番号]],$F$3:F176,tbl_明細[[#This Row],[仕入先]])</f>
        <v>0</v>
      </c>
      <c r="D176" s="77" t="str">
        <f>_xlfn.XLOOKUP(tbl_明細[[#This Row],[案件番号]],tbl_採番[案件番号],tbl_採番[顧客],"",0,1)</f>
        <v/>
      </c>
      <c r="E176" s="71"/>
      <c r="F176" s="118" t="str">
        <f>IF(ISBLANK(tbl_明細[[#This Row],[仕入先（M)]]),_xlfn.XLOOKUP(tbl_明細[[#This Row],[商品ID]],商品マスタ[商品連番],商品マスタ[仕入先],"",0,1),tbl_明細[[#This Row],[仕入先（M)]])</f>
        <v/>
      </c>
      <c r="G176" s="112" t="str">
        <f>IF(ISBLANK(tbl_明細[[#This Row],[商品名（M)]]),_xlfn.XLOOKUP(tbl_明細[[#This Row],[商品ID]],商品マスタ[商品連番],商品マスタ[商品名],"",0,),tbl_明細[[#This Row],[商品名（M)]])</f>
        <v/>
      </c>
      <c r="H176" s="80" t="str">
        <f>IF(ISBLANK(tbl_明細[[#This Row],[仕入価格（M)]]),_xlfn.XLOOKUP(tbl_明細[[#This Row],[商品ID]],商品マスタ[商品連番],商品マスタ[仕入
単価],"",0,1),tbl_明細[[#This Row],[仕入価格（M)]])</f>
        <v/>
      </c>
      <c r="I176" s="80" t="str">
        <f>_xlfn.XLOOKUP(tbl_明細[[#This Row],[商品ID]],商品マスタ[商品連番],商品マスタ[国内定価
（15％）],"",0,1)</f>
        <v/>
      </c>
      <c r="J176" s="85"/>
      <c r="K176" s="71"/>
      <c r="L176" s="77" t="str">
        <f>_xlfn.XLOOKUP(tbl_明細[[#This Row],[商品ID]],商品マスタ[商品連番],商品マスタ[単位],"",0,1)</f>
        <v/>
      </c>
      <c r="M176" s="249" t="e">
        <f>1-tbl_明細[[#This Row],[仕入価格]]/tbl_明細[[#This Row],[販売価格（売値）]]</f>
        <v>#VALUE!</v>
      </c>
      <c r="N176" s="189" t="str">
        <f>_xlfn.XLOOKUP(tbl_明細[[#This Row],[商品ID]],商品マスタ[商品連番],商品マスタ[税率],"",0,1)</f>
        <v/>
      </c>
      <c r="O176" s="120"/>
      <c r="P176" s="71"/>
      <c r="Q176" s="81"/>
      <c r="R176" s="81"/>
      <c r="S176" s="71"/>
      <c r="T176" s="71"/>
      <c r="U176" s="79"/>
      <c r="V176" s="79"/>
      <c r="W176" s="113"/>
      <c r="X176" s="254" t="e">
        <f>tbl_明細[[#This Row],[仕入価格]]*tbl_明細[[#This Row],[数量]]+tbl_明細[[#This Row],[仕入価格（M)]]*tbl_明細[[#This Row],[数量（M)]]</f>
        <v>#VALUE!</v>
      </c>
      <c r="Y176" s="254">
        <f>tbl_明細[[#This Row],[販売価格（売値）]]*tbl_明細[[#This Row],[数量]]+tbl_明細[[#This Row],[販売価格（M)]]*tbl_明細[[#This Row],[数量（M)]]</f>
        <v>0</v>
      </c>
      <c r="Z176" s="257">
        <f>_xlfn.XLOOKUP(tbl_明細[[#This Row],[案件番号]],tbl_案件追跡[案件番号],tbl_案件追跡[受注],"",0,1)</f>
        <v>0</v>
      </c>
      <c r="AA176" s="228">
        <f>tbl_明細[[#This Row],[販売価格（売値）]]+tbl_明細[[#This Row],[販売価格（M)]]</f>
        <v>0</v>
      </c>
      <c r="AB176" s="261">
        <f>tbl_明細[[#This Row],[販売価格（売値）]]*1.08+tbl_明細[[#This Row],[販売価格（M)]]*1.08</f>
        <v>0</v>
      </c>
    </row>
    <row r="177" spans="1:28">
      <c r="A177" s="73"/>
      <c r="B177" s="77" t="str">
        <f>IF(ISBLANK(tbl_明細[[#This Row],[案件番号]]),"",COUNTIFS($A$3:A177,tbl_明細[[#This Row],[案件番号]],$AA$3:AA177,"&gt;0"))</f>
        <v/>
      </c>
      <c r="C177" s="71">
        <f>COUNTIFS($A$3:A177,tbl_明細[[#This Row],[案件番号]],$F$3:F177,tbl_明細[[#This Row],[仕入先]])</f>
        <v>0</v>
      </c>
      <c r="D177" s="77" t="str">
        <f>_xlfn.XLOOKUP(tbl_明細[[#This Row],[案件番号]],tbl_採番[案件番号],tbl_採番[顧客],"",0,1)</f>
        <v/>
      </c>
      <c r="E177" s="71"/>
      <c r="F177" s="118" t="str">
        <f>IF(ISBLANK(tbl_明細[[#This Row],[仕入先（M)]]),_xlfn.XLOOKUP(tbl_明細[[#This Row],[商品ID]],商品マスタ[商品連番],商品マスタ[仕入先],"",0,1),tbl_明細[[#This Row],[仕入先（M)]])</f>
        <v/>
      </c>
      <c r="G177" s="112" t="str">
        <f>IF(ISBLANK(tbl_明細[[#This Row],[商品名（M)]]),_xlfn.XLOOKUP(tbl_明細[[#This Row],[商品ID]],商品マスタ[商品連番],商品マスタ[商品名],"",0,),tbl_明細[[#This Row],[商品名（M)]])</f>
        <v/>
      </c>
      <c r="H177" s="80" t="str">
        <f>IF(ISBLANK(tbl_明細[[#This Row],[仕入価格（M)]]),_xlfn.XLOOKUP(tbl_明細[[#This Row],[商品ID]],商品マスタ[商品連番],商品マスタ[仕入
単価],"",0,1),tbl_明細[[#This Row],[仕入価格（M)]])</f>
        <v/>
      </c>
      <c r="I177" s="80" t="str">
        <f>_xlfn.XLOOKUP(tbl_明細[[#This Row],[商品ID]],商品マスタ[商品連番],商品マスタ[国内定価
（15％）],"",0,1)</f>
        <v/>
      </c>
      <c r="J177" s="85"/>
      <c r="K177" s="71"/>
      <c r="L177" s="77" t="str">
        <f>_xlfn.XLOOKUP(tbl_明細[[#This Row],[商品ID]],商品マスタ[商品連番],商品マスタ[単位],"",0,1)</f>
        <v/>
      </c>
      <c r="M177" s="249" t="e">
        <f>1-tbl_明細[[#This Row],[仕入価格]]/tbl_明細[[#This Row],[販売価格（売値）]]</f>
        <v>#VALUE!</v>
      </c>
      <c r="N177" s="189" t="str">
        <f>_xlfn.XLOOKUP(tbl_明細[[#This Row],[商品ID]],商品マスタ[商品連番],商品マスタ[税率],"",0,1)</f>
        <v/>
      </c>
      <c r="O177" s="120"/>
      <c r="P177" s="71"/>
      <c r="Q177" s="81"/>
      <c r="R177" s="81"/>
      <c r="S177" s="71"/>
      <c r="T177" s="71"/>
      <c r="U177" s="79"/>
      <c r="V177" s="79"/>
      <c r="W177" s="113"/>
      <c r="X177" s="254" t="e">
        <f>tbl_明細[[#This Row],[仕入価格]]*tbl_明細[[#This Row],[数量]]+tbl_明細[[#This Row],[仕入価格（M)]]*tbl_明細[[#This Row],[数量（M)]]</f>
        <v>#VALUE!</v>
      </c>
      <c r="Y177" s="254">
        <f>tbl_明細[[#This Row],[販売価格（売値）]]*tbl_明細[[#This Row],[数量]]+tbl_明細[[#This Row],[販売価格（M)]]*tbl_明細[[#This Row],[数量（M)]]</f>
        <v>0</v>
      </c>
      <c r="Z177" s="257">
        <f>_xlfn.XLOOKUP(tbl_明細[[#This Row],[案件番号]],tbl_案件追跡[案件番号],tbl_案件追跡[受注],"",0,1)</f>
        <v>0</v>
      </c>
      <c r="AA177" s="228">
        <f>tbl_明細[[#This Row],[販売価格（売値）]]+tbl_明細[[#This Row],[販売価格（M)]]</f>
        <v>0</v>
      </c>
      <c r="AB177" s="261">
        <f>tbl_明細[[#This Row],[販売価格（売値）]]*1.08+tbl_明細[[#This Row],[販売価格（M)]]*1.08</f>
        <v>0</v>
      </c>
    </row>
    <row r="178" spans="1:28">
      <c r="A178" s="73"/>
      <c r="B178" s="77" t="str">
        <f>IF(ISBLANK(tbl_明細[[#This Row],[案件番号]]),"",COUNTIFS($A$3:A178,tbl_明細[[#This Row],[案件番号]],$AA$3:AA178,"&gt;0"))</f>
        <v/>
      </c>
      <c r="C178" s="71">
        <f>COUNTIFS($A$3:A178,tbl_明細[[#This Row],[案件番号]],$F$3:F178,tbl_明細[[#This Row],[仕入先]])</f>
        <v>0</v>
      </c>
      <c r="D178" s="77" t="str">
        <f>_xlfn.XLOOKUP(tbl_明細[[#This Row],[案件番号]],tbl_採番[案件番号],tbl_採番[顧客],"",0,1)</f>
        <v/>
      </c>
      <c r="E178" s="71"/>
      <c r="F178" s="118" t="str">
        <f>IF(ISBLANK(tbl_明細[[#This Row],[仕入先（M)]]),_xlfn.XLOOKUP(tbl_明細[[#This Row],[商品ID]],商品マスタ[商品連番],商品マスタ[仕入先],"",0,1),tbl_明細[[#This Row],[仕入先（M)]])</f>
        <v/>
      </c>
      <c r="G178" s="112" t="str">
        <f>IF(ISBLANK(tbl_明細[[#This Row],[商品名（M)]]),_xlfn.XLOOKUP(tbl_明細[[#This Row],[商品ID]],商品マスタ[商品連番],商品マスタ[商品名],"",0,),tbl_明細[[#This Row],[商品名（M)]])</f>
        <v/>
      </c>
      <c r="H178" s="80" t="str">
        <f>IF(ISBLANK(tbl_明細[[#This Row],[仕入価格（M)]]),_xlfn.XLOOKUP(tbl_明細[[#This Row],[商品ID]],商品マスタ[商品連番],商品マスタ[仕入
単価],"",0,1),tbl_明細[[#This Row],[仕入価格（M)]])</f>
        <v/>
      </c>
      <c r="I178" s="80" t="str">
        <f>_xlfn.XLOOKUP(tbl_明細[[#This Row],[商品ID]],商品マスタ[商品連番],商品マスタ[国内定価
（15％）],"",0,1)</f>
        <v/>
      </c>
      <c r="J178" s="85"/>
      <c r="K178" s="71"/>
      <c r="L178" s="77" t="str">
        <f>_xlfn.XLOOKUP(tbl_明細[[#This Row],[商品ID]],商品マスタ[商品連番],商品マスタ[単位],"",0,1)</f>
        <v/>
      </c>
      <c r="M178" s="249" t="e">
        <f>1-tbl_明細[[#This Row],[仕入価格]]/tbl_明細[[#This Row],[販売価格（売値）]]</f>
        <v>#VALUE!</v>
      </c>
      <c r="N178" s="189" t="str">
        <f>_xlfn.XLOOKUP(tbl_明細[[#This Row],[商品ID]],商品マスタ[商品連番],商品マスタ[税率],"",0,1)</f>
        <v/>
      </c>
      <c r="O178" s="120"/>
      <c r="P178" s="71"/>
      <c r="Q178" s="81"/>
      <c r="R178" s="81"/>
      <c r="S178" s="71"/>
      <c r="T178" s="71"/>
      <c r="U178" s="79"/>
      <c r="V178" s="79"/>
      <c r="W178" s="113"/>
      <c r="X178" s="254" t="e">
        <f>tbl_明細[[#This Row],[仕入価格]]*tbl_明細[[#This Row],[数量]]+tbl_明細[[#This Row],[仕入価格（M)]]*tbl_明細[[#This Row],[数量（M)]]</f>
        <v>#VALUE!</v>
      </c>
      <c r="Y178" s="254">
        <f>tbl_明細[[#This Row],[販売価格（売値）]]*tbl_明細[[#This Row],[数量]]+tbl_明細[[#This Row],[販売価格（M)]]*tbl_明細[[#This Row],[数量（M)]]</f>
        <v>0</v>
      </c>
      <c r="Z178" s="257">
        <f>_xlfn.XLOOKUP(tbl_明細[[#This Row],[案件番号]],tbl_案件追跡[案件番号],tbl_案件追跡[受注],"",0,1)</f>
        <v>0</v>
      </c>
      <c r="AA178" s="228">
        <f>tbl_明細[[#This Row],[販売価格（売値）]]+tbl_明細[[#This Row],[販売価格（M)]]</f>
        <v>0</v>
      </c>
      <c r="AB178" s="261">
        <f>tbl_明細[[#This Row],[販売価格（売値）]]*1.08+tbl_明細[[#This Row],[販売価格（M)]]*1.08</f>
        <v>0</v>
      </c>
    </row>
    <row r="179" spans="1:28">
      <c r="A179" s="73"/>
      <c r="B179" s="77" t="str">
        <f>IF(ISBLANK(tbl_明細[[#This Row],[案件番号]]),"",COUNTIFS($A$3:A179,tbl_明細[[#This Row],[案件番号]],$AA$3:AA179,"&gt;0"))</f>
        <v/>
      </c>
      <c r="C179" s="71">
        <f>COUNTIFS($A$3:A179,tbl_明細[[#This Row],[案件番号]],$F$3:F179,tbl_明細[[#This Row],[仕入先]])</f>
        <v>0</v>
      </c>
      <c r="D179" s="77" t="str">
        <f>_xlfn.XLOOKUP(tbl_明細[[#This Row],[案件番号]],tbl_採番[案件番号],tbl_採番[顧客],"",0,1)</f>
        <v/>
      </c>
      <c r="E179" s="71"/>
      <c r="F179" s="118" t="str">
        <f>IF(ISBLANK(tbl_明細[[#This Row],[仕入先（M)]]),_xlfn.XLOOKUP(tbl_明細[[#This Row],[商品ID]],商品マスタ[商品連番],商品マスタ[仕入先],"",0,1),tbl_明細[[#This Row],[仕入先（M)]])</f>
        <v/>
      </c>
      <c r="G179" s="112" t="str">
        <f>IF(ISBLANK(tbl_明細[[#This Row],[商品名（M)]]),_xlfn.XLOOKUP(tbl_明細[[#This Row],[商品ID]],商品マスタ[商品連番],商品マスタ[商品名],"",0,),tbl_明細[[#This Row],[商品名（M)]])</f>
        <v/>
      </c>
      <c r="H179" s="80" t="str">
        <f>IF(ISBLANK(tbl_明細[[#This Row],[仕入価格（M)]]),_xlfn.XLOOKUP(tbl_明細[[#This Row],[商品ID]],商品マスタ[商品連番],商品マスタ[仕入
単価],"",0,1),tbl_明細[[#This Row],[仕入価格（M)]])</f>
        <v/>
      </c>
      <c r="I179" s="80" t="str">
        <f>_xlfn.XLOOKUP(tbl_明細[[#This Row],[商品ID]],商品マスタ[商品連番],商品マスタ[国内定価
（15％）],"",0,1)</f>
        <v/>
      </c>
      <c r="J179" s="85"/>
      <c r="K179" s="71"/>
      <c r="L179" s="77" t="str">
        <f>_xlfn.XLOOKUP(tbl_明細[[#This Row],[商品ID]],商品マスタ[商品連番],商品マスタ[単位],"",0,1)</f>
        <v/>
      </c>
      <c r="M179" s="249" t="e">
        <f>1-tbl_明細[[#This Row],[仕入価格]]/tbl_明細[[#This Row],[販売価格（売値）]]</f>
        <v>#VALUE!</v>
      </c>
      <c r="N179" s="189" t="str">
        <f>_xlfn.XLOOKUP(tbl_明細[[#This Row],[商品ID]],商品マスタ[商品連番],商品マスタ[税率],"",0,1)</f>
        <v/>
      </c>
      <c r="O179" s="120"/>
      <c r="P179" s="71"/>
      <c r="Q179" s="81"/>
      <c r="R179" s="81"/>
      <c r="S179" s="71"/>
      <c r="T179" s="71"/>
      <c r="U179" s="79"/>
      <c r="V179" s="79"/>
      <c r="W179" s="113"/>
      <c r="X179" s="254" t="e">
        <f>tbl_明細[[#This Row],[仕入価格]]*tbl_明細[[#This Row],[数量]]+tbl_明細[[#This Row],[仕入価格（M)]]*tbl_明細[[#This Row],[数量（M)]]</f>
        <v>#VALUE!</v>
      </c>
      <c r="Y179" s="254">
        <f>tbl_明細[[#This Row],[販売価格（売値）]]*tbl_明細[[#This Row],[数量]]+tbl_明細[[#This Row],[販売価格（M)]]*tbl_明細[[#This Row],[数量（M)]]</f>
        <v>0</v>
      </c>
      <c r="Z179" s="257">
        <f>_xlfn.XLOOKUP(tbl_明細[[#This Row],[案件番号]],tbl_案件追跡[案件番号],tbl_案件追跡[受注],"",0,1)</f>
        <v>0</v>
      </c>
      <c r="AA179" s="228">
        <f>tbl_明細[[#This Row],[販売価格（売値）]]+tbl_明細[[#This Row],[販売価格（M)]]</f>
        <v>0</v>
      </c>
      <c r="AB179" s="261">
        <f>tbl_明細[[#This Row],[販売価格（売値）]]*1.08+tbl_明細[[#This Row],[販売価格（M)]]*1.08</f>
        <v>0</v>
      </c>
    </row>
    <row r="180" spans="1:28">
      <c r="A180" s="73"/>
      <c r="B180" s="77" t="str">
        <f>IF(ISBLANK(tbl_明細[[#This Row],[案件番号]]),"",COUNTIFS($A$3:A180,tbl_明細[[#This Row],[案件番号]],$AA$3:AA180,"&gt;0"))</f>
        <v/>
      </c>
      <c r="C180" s="71">
        <f>COUNTIFS($A$3:A180,tbl_明細[[#This Row],[案件番号]],$F$3:F180,tbl_明細[[#This Row],[仕入先]])</f>
        <v>0</v>
      </c>
      <c r="D180" s="77" t="str">
        <f>_xlfn.XLOOKUP(tbl_明細[[#This Row],[案件番号]],tbl_採番[案件番号],tbl_採番[顧客],"",0,1)</f>
        <v/>
      </c>
      <c r="E180" s="71"/>
      <c r="F180" s="118" t="str">
        <f>IF(ISBLANK(tbl_明細[[#This Row],[仕入先（M)]]),_xlfn.XLOOKUP(tbl_明細[[#This Row],[商品ID]],商品マスタ[商品連番],商品マスタ[仕入先],"",0,1),tbl_明細[[#This Row],[仕入先（M)]])</f>
        <v/>
      </c>
      <c r="G180" s="112" t="str">
        <f>IF(ISBLANK(tbl_明細[[#This Row],[商品名（M)]]),_xlfn.XLOOKUP(tbl_明細[[#This Row],[商品ID]],商品マスタ[商品連番],商品マスタ[商品名],"",0,),tbl_明細[[#This Row],[商品名（M)]])</f>
        <v/>
      </c>
      <c r="H180" s="80" t="str">
        <f>IF(ISBLANK(tbl_明細[[#This Row],[仕入価格（M)]]),_xlfn.XLOOKUP(tbl_明細[[#This Row],[商品ID]],商品マスタ[商品連番],商品マスタ[仕入
単価],"",0,1),tbl_明細[[#This Row],[仕入価格（M)]])</f>
        <v/>
      </c>
      <c r="I180" s="80" t="str">
        <f>_xlfn.XLOOKUP(tbl_明細[[#This Row],[商品ID]],商品マスタ[商品連番],商品マスタ[国内定価
（15％）],"",0,1)</f>
        <v/>
      </c>
      <c r="J180" s="85"/>
      <c r="K180" s="71"/>
      <c r="L180" s="77" t="str">
        <f>_xlfn.XLOOKUP(tbl_明細[[#This Row],[商品ID]],商品マスタ[商品連番],商品マスタ[単位],"",0,1)</f>
        <v/>
      </c>
      <c r="M180" s="249" t="e">
        <f>1-tbl_明細[[#This Row],[仕入価格]]/tbl_明細[[#This Row],[販売価格（売値）]]</f>
        <v>#VALUE!</v>
      </c>
      <c r="N180" s="189" t="str">
        <f>_xlfn.XLOOKUP(tbl_明細[[#This Row],[商品ID]],商品マスタ[商品連番],商品マスタ[税率],"",0,1)</f>
        <v/>
      </c>
      <c r="O180" s="120"/>
      <c r="P180" s="71"/>
      <c r="Q180" s="81"/>
      <c r="R180" s="81"/>
      <c r="S180" s="71"/>
      <c r="T180" s="71"/>
      <c r="U180" s="79"/>
      <c r="V180" s="79"/>
      <c r="W180" s="113"/>
      <c r="X180" s="254" t="e">
        <f>tbl_明細[[#This Row],[仕入価格]]*tbl_明細[[#This Row],[数量]]+tbl_明細[[#This Row],[仕入価格（M)]]*tbl_明細[[#This Row],[数量（M)]]</f>
        <v>#VALUE!</v>
      </c>
      <c r="Y180" s="254">
        <f>tbl_明細[[#This Row],[販売価格（売値）]]*tbl_明細[[#This Row],[数量]]+tbl_明細[[#This Row],[販売価格（M)]]*tbl_明細[[#This Row],[数量（M)]]</f>
        <v>0</v>
      </c>
      <c r="Z180" s="257">
        <f>_xlfn.XLOOKUP(tbl_明細[[#This Row],[案件番号]],tbl_案件追跡[案件番号],tbl_案件追跡[受注],"",0,1)</f>
        <v>0</v>
      </c>
      <c r="AA180" s="228">
        <f>tbl_明細[[#This Row],[販売価格（売値）]]+tbl_明細[[#This Row],[販売価格（M)]]</f>
        <v>0</v>
      </c>
      <c r="AB180" s="261">
        <f>tbl_明細[[#This Row],[販売価格（売値）]]*1.08+tbl_明細[[#This Row],[販売価格（M)]]*1.08</f>
        <v>0</v>
      </c>
    </row>
    <row r="181" spans="1:28">
      <c r="A181" s="73"/>
      <c r="B181" s="77" t="str">
        <f>IF(ISBLANK(tbl_明細[[#This Row],[案件番号]]),"",COUNTIFS($A$3:A181,tbl_明細[[#This Row],[案件番号]],$AA$3:AA181,"&gt;0"))</f>
        <v/>
      </c>
      <c r="C181" s="71">
        <f>COUNTIFS($A$3:A181,tbl_明細[[#This Row],[案件番号]],$F$3:F181,tbl_明細[[#This Row],[仕入先]])</f>
        <v>0</v>
      </c>
      <c r="D181" s="77" t="str">
        <f>_xlfn.XLOOKUP(tbl_明細[[#This Row],[案件番号]],tbl_採番[案件番号],tbl_採番[顧客],"",0,1)</f>
        <v/>
      </c>
      <c r="E181" s="71"/>
      <c r="F181" s="118" t="str">
        <f>IF(ISBLANK(tbl_明細[[#This Row],[仕入先（M)]]),_xlfn.XLOOKUP(tbl_明細[[#This Row],[商品ID]],商品マスタ[商品連番],商品マスタ[仕入先],"",0,1),tbl_明細[[#This Row],[仕入先（M)]])</f>
        <v/>
      </c>
      <c r="G181" s="112" t="str">
        <f>IF(ISBLANK(tbl_明細[[#This Row],[商品名（M)]]),_xlfn.XLOOKUP(tbl_明細[[#This Row],[商品ID]],商品マスタ[商品連番],商品マスタ[商品名],"",0,),tbl_明細[[#This Row],[商品名（M)]])</f>
        <v/>
      </c>
      <c r="H181" s="80" t="str">
        <f>IF(ISBLANK(tbl_明細[[#This Row],[仕入価格（M)]]),_xlfn.XLOOKUP(tbl_明細[[#This Row],[商品ID]],商品マスタ[商品連番],商品マスタ[仕入
単価],"",0,1),tbl_明細[[#This Row],[仕入価格（M)]])</f>
        <v/>
      </c>
      <c r="I181" s="80" t="str">
        <f>_xlfn.XLOOKUP(tbl_明細[[#This Row],[商品ID]],商品マスタ[商品連番],商品マスタ[国内定価
（15％）],"",0,1)</f>
        <v/>
      </c>
      <c r="J181" s="85"/>
      <c r="K181" s="71"/>
      <c r="L181" s="77" t="str">
        <f>_xlfn.XLOOKUP(tbl_明細[[#This Row],[商品ID]],商品マスタ[商品連番],商品マスタ[単位],"",0,1)</f>
        <v/>
      </c>
      <c r="M181" s="249" t="e">
        <f>1-tbl_明細[[#This Row],[仕入価格]]/tbl_明細[[#This Row],[販売価格（売値）]]</f>
        <v>#VALUE!</v>
      </c>
      <c r="N181" s="189" t="str">
        <f>_xlfn.XLOOKUP(tbl_明細[[#This Row],[商品ID]],商品マスタ[商品連番],商品マスタ[税率],"",0,1)</f>
        <v/>
      </c>
      <c r="O181" s="120"/>
      <c r="P181" s="71"/>
      <c r="Q181" s="81"/>
      <c r="R181" s="81"/>
      <c r="S181" s="71"/>
      <c r="T181" s="71"/>
      <c r="U181" s="79"/>
      <c r="V181" s="79"/>
      <c r="W181" s="113"/>
      <c r="X181" s="254" t="e">
        <f>tbl_明細[[#This Row],[仕入価格]]*tbl_明細[[#This Row],[数量]]+tbl_明細[[#This Row],[仕入価格（M)]]*tbl_明細[[#This Row],[数量（M)]]</f>
        <v>#VALUE!</v>
      </c>
      <c r="Y181" s="254">
        <f>tbl_明細[[#This Row],[販売価格（売値）]]*tbl_明細[[#This Row],[数量]]+tbl_明細[[#This Row],[販売価格（M)]]*tbl_明細[[#This Row],[数量（M)]]</f>
        <v>0</v>
      </c>
      <c r="Z181" s="257">
        <f>_xlfn.XLOOKUP(tbl_明細[[#This Row],[案件番号]],tbl_案件追跡[案件番号],tbl_案件追跡[受注],"",0,1)</f>
        <v>0</v>
      </c>
      <c r="AA181" s="228">
        <f>tbl_明細[[#This Row],[販売価格（売値）]]+tbl_明細[[#This Row],[販売価格（M)]]</f>
        <v>0</v>
      </c>
      <c r="AB181" s="261">
        <f>tbl_明細[[#This Row],[販売価格（売値）]]*1.08+tbl_明細[[#This Row],[販売価格（M)]]*1.08</f>
        <v>0</v>
      </c>
    </row>
    <row r="182" spans="1:28">
      <c r="A182" s="73"/>
      <c r="B182" s="77" t="str">
        <f>IF(ISBLANK(tbl_明細[[#This Row],[案件番号]]),"",COUNTIFS($A$3:A182,tbl_明細[[#This Row],[案件番号]],$AA$3:AA182,"&gt;0"))</f>
        <v/>
      </c>
      <c r="C182" s="71">
        <f>COUNTIFS($A$3:A182,tbl_明細[[#This Row],[案件番号]],$F$3:F182,tbl_明細[[#This Row],[仕入先]])</f>
        <v>0</v>
      </c>
      <c r="D182" s="77" t="str">
        <f>_xlfn.XLOOKUP(tbl_明細[[#This Row],[案件番号]],tbl_採番[案件番号],tbl_採番[顧客],"",0,1)</f>
        <v/>
      </c>
      <c r="E182" s="71"/>
      <c r="F182" s="118" t="str">
        <f>IF(ISBLANK(tbl_明細[[#This Row],[仕入先（M)]]),_xlfn.XLOOKUP(tbl_明細[[#This Row],[商品ID]],商品マスタ[商品連番],商品マスタ[仕入先],"",0,1),tbl_明細[[#This Row],[仕入先（M)]])</f>
        <v/>
      </c>
      <c r="G182" s="112" t="str">
        <f>IF(ISBLANK(tbl_明細[[#This Row],[商品名（M)]]),_xlfn.XLOOKUP(tbl_明細[[#This Row],[商品ID]],商品マスタ[商品連番],商品マスタ[商品名],"",0,),tbl_明細[[#This Row],[商品名（M)]])</f>
        <v/>
      </c>
      <c r="H182" s="80" t="str">
        <f>IF(ISBLANK(tbl_明細[[#This Row],[仕入価格（M)]]),_xlfn.XLOOKUP(tbl_明細[[#This Row],[商品ID]],商品マスタ[商品連番],商品マスタ[仕入
単価],"",0,1),tbl_明細[[#This Row],[仕入価格（M)]])</f>
        <v/>
      </c>
      <c r="I182" s="80" t="str">
        <f>_xlfn.XLOOKUP(tbl_明細[[#This Row],[商品ID]],商品マスタ[商品連番],商品マスタ[国内定価
（15％）],"",0,1)</f>
        <v/>
      </c>
      <c r="J182" s="85"/>
      <c r="K182" s="71"/>
      <c r="L182" s="77" t="str">
        <f>_xlfn.XLOOKUP(tbl_明細[[#This Row],[商品ID]],商品マスタ[商品連番],商品マスタ[単位],"",0,1)</f>
        <v/>
      </c>
      <c r="M182" s="249" t="e">
        <f>1-tbl_明細[[#This Row],[仕入価格]]/tbl_明細[[#This Row],[販売価格（売値）]]</f>
        <v>#VALUE!</v>
      </c>
      <c r="N182" s="189" t="str">
        <f>_xlfn.XLOOKUP(tbl_明細[[#This Row],[商品ID]],商品マスタ[商品連番],商品マスタ[税率],"",0,1)</f>
        <v/>
      </c>
      <c r="O182" s="120"/>
      <c r="P182" s="71"/>
      <c r="Q182" s="81"/>
      <c r="R182" s="81"/>
      <c r="S182" s="71"/>
      <c r="T182" s="71"/>
      <c r="U182" s="79"/>
      <c r="V182" s="79"/>
      <c r="W182" s="113"/>
      <c r="X182" s="254" t="e">
        <f>tbl_明細[[#This Row],[仕入価格]]*tbl_明細[[#This Row],[数量]]+tbl_明細[[#This Row],[仕入価格（M)]]*tbl_明細[[#This Row],[数量（M)]]</f>
        <v>#VALUE!</v>
      </c>
      <c r="Y182" s="254">
        <f>tbl_明細[[#This Row],[販売価格（売値）]]*tbl_明細[[#This Row],[数量]]+tbl_明細[[#This Row],[販売価格（M)]]*tbl_明細[[#This Row],[数量（M)]]</f>
        <v>0</v>
      </c>
      <c r="Z182" s="257">
        <f>_xlfn.XLOOKUP(tbl_明細[[#This Row],[案件番号]],tbl_案件追跡[案件番号],tbl_案件追跡[受注],"",0,1)</f>
        <v>0</v>
      </c>
      <c r="AA182" s="228">
        <f>tbl_明細[[#This Row],[販売価格（売値）]]+tbl_明細[[#This Row],[販売価格（M)]]</f>
        <v>0</v>
      </c>
      <c r="AB182" s="261">
        <f>tbl_明細[[#This Row],[販売価格（売値）]]*1.08+tbl_明細[[#This Row],[販売価格（M)]]*1.08</f>
        <v>0</v>
      </c>
    </row>
    <row r="183" spans="1:28">
      <c r="A183" s="73"/>
      <c r="B183" s="77" t="str">
        <f>IF(ISBLANK(tbl_明細[[#This Row],[案件番号]]),"",COUNTIFS($A$3:A183,tbl_明細[[#This Row],[案件番号]],$AA$3:AA183,"&gt;0"))</f>
        <v/>
      </c>
      <c r="C183" s="71">
        <f>COUNTIFS($A$3:A183,tbl_明細[[#This Row],[案件番号]],$F$3:F183,tbl_明細[[#This Row],[仕入先]])</f>
        <v>0</v>
      </c>
      <c r="D183" s="77" t="str">
        <f>_xlfn.XLOOKUP(tbl_明細[[#This Row],[案件番号]],tbl_採番[案件番号],tbl_採番[顧客],"",0,1)</f>
        <v/>
      </c>
      <c r="E183" s="71"/>
      <c r="F183" s="118" t="str">
        <f>IF(ISBLANK(tbl_明細[[#This Row],[仕入先（M)]]),_xlfn.XLOOKUP(tbl_明細[[#This Row],[商品ID]],商品マスタ[商品連番],商品マスタ[仕入先],"",0,1),tbl_明細[[#This Row],[仕入先（M)]])</f>
        <v/>
      </c>
      <c r="G183" s="112" t="str">
        <f>IF(ISBLANK(tbl_明細[[#This Row],[商品名（M)]]),_xlfn.XLOOKUP(tbl_明細[[#This Row],[商品ID]],商品マスタ[商品連番],商品マスタ[商品名],"",0,),tbl_明細[[#This Row],[商品名（M)]])</f>
        <v/>
      </c>
      <c r="H183" s="80" t="str">
        <f>IF(ISBLANK(tbl_明細[[#This Row],[仕入価格（M)]]),_xlfn.XLOOKUP(tbl_明細[[#This Row],[商品ID]],商品マスタ[商品連番],商品マスタ[仕入
単価],"",0,1),tbl_明細[[#This Row],[仕入価格（M)]])</f>
        <v/>
      </c>
      <c r="I183" s="80" t="str">
        <f>_xlfn.XLOOKUP(tbl_明細[[#This Row],[商品ID]],商品マスタ[商品連番],商品マスタ[国内定価
（15％）],"",0,1)</f>
        <v/>
      </c>
      <c r="J183" s="85"/>
      <c r="K183" s="71"/>
      <c r="L183" s="77" t="str">
        <f>_xlfn.XLOOKUP(tbl_明細[[#This Row],[商品ID]],商品マスタ[商品連番],商品マスタ[単位],"",0,1)</f>
        <v/>
      </c>
      <c r="M183" s="249" t="e">
        <f>1-tbl_明細[[#This Row],[仕入価格]]/tbl_明細[[#This Row],[販売価格（売値）]]</f>
        <v>#VALUE!</v>
      </c>
      <c r="N183" s="189" t="str">
        <f>_xlfn.XLOOKUP(tbl_明細[[#This Row],[商品ID]],商品マスタ[商品連番],商品マスタ[税率],"",0,1)</f>
        <v/>
      </c>
      <c r="O183" s="120"/>
      <c r="P183" s="71"/>
      <c r="Q183" s="81"/>
      <c r="R183" s="81"/>
      <c r="S183" s="71"/>
      <c r="T183" s="71"/>
      <c r="U183" s="79"/>
      <c r="V183" s="79"/>
      <c r="W183" s="113"/>
      <c r="X183" s="254" t="e">
        <f>tbl_明細[[#This Row],[仕入価格]]*tbl_明細[[#This Row],[数量]]+tbl_明細[[#This Row],[仕入価格（M)]]*tbl_明細[[#This Row],[数量（M)]]</f>
        <v>#VALUE!</v>
      </c>
      <c r="Y183" s="254">
        <f>tbl_明細[[#This Row],[販売価格（売値）]]*tbl_明細[[#This Row],[数量]]+tbl_明細[[#This Row],[販売価格（M)]]*tbl_明細[[#This Row],[数量（M)]]</f>
        <v>0</v>
      </c>
      <c r="Z183" s="257">
        <f>_xlfn.XLOOKUP(tbl_明細[[#This Row],[案件番号]],tbl_案件追跡[案件番号],tbl_案件追跡[受注],"",0,1)</f>
        <v>0</v>
      </c>
      <c r="AA183" s="228">
        <f>tbl_明細[[#This Row],[販売価格（売値）]]+tbl_明細[[#This Row],[販売価格（M)]]</f>
        <v>0</v>
      </c>
      <c r="AB183" s="261">
        <f>tbl_明細[[#This Row],[販売価格（売値）]]*1.08+tbl_明細[[#This Row],[販売価格（M)]]*1.08</f>
        <v>0</v>
      </c>
    </row>
    <row r="184" spans="1:28">
      <c r="A184" s="73"/>
      <c r="B184" s="77" t="str">
        <f>IF(ISBLANK(tbl_明細[[#This Row],[案件番号]]),"",COUNTIFS($A$3:A184,tbl_明細[[#This Row],[案件番号]],$AA$3:AA184,"&gt;0"))</f>
        <v/>
      </c>
      <c r="C184" s="71">
        <f>COUNTIFS($A$3:A184,tbl_明細[[#This Row],[案件番号]],$F$3:F184,tbl_明細[[#This Row],[仕入先]])</f>
        <v>0</v>
      </c>
      <c r="D184" s="77" t="str">
        <f>_xlfn.XLOOKUP(tbl_明細[[#This Row],[案件番号]],tbl_採番[案件番号],tbl_採番[顧客],"",0,1)</f>
        <v/>
      </c>
      <c r="E184" s="71"/>
      <c r="F184" s="118" t="str">
        <f>IF(ISBLANK(tbl_明細[[#This Row],[仕入先（M)]]),_xlfn.XLOOKUP(tbl_明細[[#This Row],[商品ID]],商品マスタ[商品連番],商品マスタ[仕入先],"",0,1),tbl_明細[[#This Row],[仕入先（M)]])</f>
        <v/>
      </c>
      <c r="G184" s="112" t="str">
        <f>IF(ISBLANK(tbl_明細[[#This Row],[商品名（M)]]),_xlfn.XLOOKUP(tbl_明細[[#This Row],[商品ID]],商品マスタ[商品連番],商品マスタ[商品名],"",0,),tbl_明細[[#This Row],[商品名（M)]])</f>
        <v/>
      </c>
      <c r="H184" s="80" t="str">
        <f>IF(ISBLANK(tbl_明細[[#This Row],[仕入価格（M)]]),_xlfn.XLOOKUP(tbl_明細[[#This Row],[商品ID]],商品マスタ[商品連番],商品マスタ[仕入
単価],"",0,1),tbl_明細[[#This Row],[仕入価格（M)]])</f>
        <v/>
      </c>
      <c r="I184" s="80" t="str">
        <f>_xlfn.XLOOKUP(tbl_明細[[#This Row],[商品ID]],商品マスタ[商品連番],商品マスタ[国内定価
（15％）],"",0,1)</f>
        <v/>
      </c>
      <c r="J184" s="85"/>
      <c r="K184" s="71"/>
      <c r="L184" s="77" t="str">
        <f>_xlfn.XLOOKUP(tbl_明細[[#This Row],[商品ID]],商品マスタ[商品連番],商品マスタ[単位],"",0,1)</f>
        <v/>
      </c>
      <c r="M184" s="249" t="e">
        <f>1-tbl_明細[[#This Row],[仕入価格]]/tbl_明細[[#This Row],[販売価格（売値）]]</f>
        <v>#VALUE!</v>
      </c>
      <c r="N184" s="189" t="str">
        <f>_xlfn.XLOOKUP(tbl_明細[[#This Row],[商品ID]],商品マスタ[商品連番],商品マスタ[税率],"",0,1)</f>
        <v/>
      </c>
      <c r="O184" s="120"/>
      <c r="P184" s="71"/>
      <c r="Q184" s="81"/>
      <c r="R184" s="81"/>
      <c r="S184" s="71"/>
      <c r="T184" s="71"/>
      <c r="U184" s="79"/>
      <c r="V184" s="79"/>
      <c r="W184" s="113"/>
      <c r="X184" s="254" t="e">
        <f>tbl_明細[[#This Row],[仕入価格]]*tbl_明細[[#This Row],[数量]]+tbl_明細[[#This Row],[仕入価格（M)]]*tbl_明細[[#This Row],[数量（M)]]</f>
        <v>#VALUE!</v>
      </c>
      <c r="Y184" s="254">
        <f>tbl_明細[[#This Row],[販売価格（売値）]]*tbl_明細[[#This Row],[数量]]+tbl_明細[[#This Row],[販売価格（M)]]*tbl_明細[[#This Row],[数量（M)]]</f>
        <v>0</v>
      </c>
      <c r="Z184" s="257">
        <f>_xlfn.XLOOKUP(tbl_明細[[#This Row],[案件番号]],tbl_案件追跡[案件番号],tbl_案件追跡[受注],"",0,1)</f>
        <v>0</v>
      </c>
      <c r="AA184" s="228">
        <f>tbl_明細[[#This Row],[販売価格（売値）]]+tbl_明細[[#This Row],[販売価格（M)]]</f>
        <v>0</v>
      </c>
      <c r="AB184" s="261">
        <f>tbl_明細[[#This Row],[販売価格（売値）]]*1.08+tbl_明細[[#This Row],[販売価格（M)]]*1.08</f>
        <v>0</v>
      </c>
    </row>
    <row r="185" spans="1:28">
      <c r="A185" s="73"/>
      <c r="B185" s="77" t="str">
        <f>IF(ISBLANK(tbl_明細[[#This Row],[案件番号]]),"",COUNTIFS($A$3:A185,tbl_明細[[#This Row],[案件番号]],$AA$3:AA185,"&gt;0"))</f>
        <v/>
      </c>
      <c r="C185" s="71">
        <f>COUNTIFS($A$3:A185,tbl_明細[[#This Row],[案件番号]],$F$3:F185,tbl_明細[[#This Row],[仕入先]])</f>
        <v>0</v>
      </c>
      <c r="D185" s="77" t="str">
        <f>_xlfn.XLOOKUP(tbl_明細[[#This Row],[案件番号]],tbl_採番[案件番号],tbl_採番[顧客],"",0,1)</f>
        <v/>
      </c>
      <c r="E185" s="71"/>
      <c r="F185" s="118" t="str">
        <f>IF(ISBLANK(tbl_明細[[#This Row],[仕入先（M)]]),_xlfn.XLOOKUP(tbl_明細[[#This Row],[商品ID]],商品マスタ[商品連番],商品マスタ[仕入先],"",0,1),tbl_明細[[#This Row],[仕入先（M)]])</f>
        <v/>
      </c>
      <c r="G185" s="112" t="str">
        <f>IF(ISBLANK(tbl_明細[[#This Row],[商品名（M)]]),_xlfn.XLOOKUP(tbl_明細[[#This Row],[商品ID]],商品マスタ[商品連番],商品マスタ[商品名],"",0,),tbl_明細[[#This Row],[商品名（M)]])</f>
        <v/>
      </c>
      <c r="H185" s="80" t="str">
        <f>IF(ISBLANK(tbl_明細[[#This Row],[仕入価格（M)]]),_xlfn.XLOOKUP(tbl_明細[[#This Row],[商品ID]],商品マスタ[商品連番],商品マスタ[仕入
単価],"",0,1),tbl_明細[[#This Row],[仕入価格（M)]])</f>
        <v/>
      </c>
      <c r="I185" s="80" t="str">
        <f>_xlfn.XLOOKUP(tbl_明細[[#This Row],[商品ID]],商品マスタ[商品連番],商品マスタ[国内定価
（15％）],"",0,1)</f>
        <v/>
      </c>
      <c r="J185" s="85"/>
      <c r="K185" s="71"/>
      <c r="L185" s="77" t="str">
        <f>_xlfn.XLOOKUP(tbl_明細[[#This Row],[商品ID]],商品マスタ[商品連番],商品マスタ[単位],"",0,1)</f>
        <v/>
      </c>
      <c r="M185" s="249" t="e">
        <f>1-tbl_明細[[#This Row],[仕入価格]]/tbl_明細[[#This Row],[販売価格（売値）]]</f>
        <v>#VALUE!</v>
      </c>
      <c r="N185" s="189" t="str">
        <f>_xlfn.XLOOKUP(tbl_明細[[#This Row],[商品ID]],商品マスタ[商品連番],商品マスタ[税率],"",0,1)</f>
        <v/>
      </c>
      <c r="O185" s="120"/>
      <c r="P185" s="71"/>
      <c r="Q185" s="81"/>
      <c r="R185" s="81"/>
      <c r="S185" s="71"/>
      <c r="T185" s="71"/>
      <c r="U185" s="79"/>
      <c r="V185" s="79"/>
      <c r="W185" s="113"/>
      <c r="X185" s="254" t="e">
        <f>tbl_明細[[#This Row],[仕入価格]]*tbl_明細[[#This Row],[数量]]+tbl_明細[[#This Row],[仕入価格（M)]]*tbl_明細[[#This Row],[数量（M)]]</f>
        <v>#VALUE!</v>
      </c>
      <c r="Y185" s="254">
        <f>tbl_明細[[#This Row],[販売価格（売値）]]*tbl_明細[[#This Row],[数量]]+tbl_明細[[#This Row],[販売価格（M)]]*tbl_明細[[#This Row],[数量（M)]]</f>
        <v>0</v>
      </c>
      <c r="Z185" s="257">
        <f>_xlfn.XLOOKUP(tbl_明細[[#This Row],[案件番号]],tbl_案件追跡[案件番号],tbl_案件追跡[受注],"",0,1)</f>
        <v>0</v>
      </c>
      <c r="AA185" s="228">
        <f>tbl_明細[[#This Row],[販売価格（売値）]]+tbl_明細[[#This Row],[販売価格（M)]]</f>
        <v>0</v>
      </c>
      <c r="AB185" s="261">
        <f>tbl_明細[[#This Row],[販売価格（売値）]]*1.08+tbl_明細[[#This Row],[販売価格（M)]]*1.08</f>
        <v>0</v>
      </c>
    </row>
    <row r="186" spans="1:28">
      <c r="A186" s="73"/>
      <c r="B186" s="77" t="str">
        <f>IF(ISBLANK(tbl_明細[[#This Row],[案件番号]]),"",COUNTIFS($A$3:A186,tbl_明細[[#This Row],[案件番号]],$AA$3:AA186,"&gt;0"))</f>
        <v/>
      </c>
      <c r="C186" s="71">
        <f>COUNTIFS($A$3:A186,tbl_明細[[#This Row],[案件番号]],$F$3:F186,tbl_明細[[#This Row],[仕入先]])</f>
        <v>0</v>
      </c>
      <c r="D186" s="77" t="str">
        <f>_xlfn.XLOOKUP(tbl_明細[[#This Row],[案件番号]],tbl_採番[案件番号],tbl_採番[顧客],"",0,1)</f>
        <v/>
      </c>
      <c r="E186" s="71"/>
      <c r="F186" s="118" t="str">
        <f>IF(ISBLANK(tbl_明細[[#This Row],[仕入先（M)]]),_xlfn.XLOOKUP(tbl_明細[[#This Row],[商品ID]],商品マスタ[商品連番],商品マスタ[仕入先],"",0,1),tbl_明細[[#This Row],[仕入先（M)]])</f>
        <v/>
      </c>
      <c r="G186" s="112" t="str">
        <f>IF(ISBLANK(tbl_明細[[#This Row],[商品名（M)]]),_xlfn.XLOOKUP(tbl_明細[[#This Row],[商品ID]],商品マスタ[商品連番],商品マスタ[商品名],"",0,),tbl_明細[[#This Row],[商品名（M)]])</f>
        <v/>
      </c>
      <c r="H186" s="80" t="str">
        <f>IF(ISBLANK(tbl_明細[[#This Row],[仕入価格（M)]]),_xlfn.XLOOKUP(tbl_明細[[#This Row],[商品ID]],商品マスタ[商品連番],商品マスタ[仕入
単価],"",0,1),tbl_明細[[#This Row],[仕入価格（M)]])</f>
        <v/>
      </c>
      <c r="I186" s="80" t="str">
        <f>_xlfn.XLOOKUP(tbl_明細[[#This Row],[商品ID]],商品マスタ[商品連番],商品マスタ[国内定価
（15％）],"",0,1)</f>
        <v/>
      </c>
      <c r="J186" s="85"/>
      <c r="K186" s="71"/>
      <c r="L186" s="77" t="str">
        <f>_xlfn.XLOOKUP(tbl_明細[[#This Row],[商品ID]],商品マスタ[商品連番],商品マスタ[単位],"",0,1)</f>
        <v/>
      </c>
      <c r="M186" s="249" t="e">
        <f>1-tbl_明細[[#This Row],[仕入価格]]/tbl_明細[[#This Row],[販売価格（売値）]]</f>
        <v>#VALUE!</v>
      </c>
      <c r="N186" s="189" t="str">
        <f>_xlfn.XLOOKUP(tbl_明細[[#This Row],[商品ID]],商品マスタ[商品連番],商品マスタ[税率],"",0,1)</f>
        <v/>
      </c>
      <c r="O186" s="120"/>
      <c r="P186" s="71"/>
      <c r="Q186" s="81"/>
      <c r="R186" s="81"/>
      <c r="S186" s="71"/>
      <c r="T186" s="71"/>
      <c r="U186" s="79"/>
      <c r="V186" s="79"/>
      <c r="W186" s="113"/>
      <c r="X186" s="254" t="e">
        <f>tbl_明細[[#This Row],[仕入価格]]*tbl_明細[[#This Row],[数量]]+tbl_明細[[#This Row],[仕入価格（M)]]*tbl_明細[[#This Row],[数量（M)]]</f>
        <v>#VALUE!</v>
      </c>
      <c r="Y186" s="254">
        <f>tbl_明細[[#This Row],[販売価格（売値）]]*tbl_明細[[#This Row],[数量]]+tbl_明細[[#This Row],[販売価格（M)]]*tbl_明細[[#This Row],[数量（M)]]</f>
        <v>0</v>
      </c>
      <c r="Z186" s="257">
        <f>_xlfn.XLOOKUP(tbl_明細[[#This Row],[案件番号]],tbl_案件追跡[案件番号],tbl_案件追跡[受注],"",0,1)</f>
        <v>0</v>
      </c>
      <c r="AA186" s="228">
        <f>tbl_明細[[#This Row],[販売価格（売値）]]+tbl_明細[[#This Row],[販売価格（M)]]</f>
        <v>0</v>
      </c>
      <c r="AB186" s="261">
        <f>tbl_明細[[#This Row],[販売価格（売値）]]*1.08+tbl_明細[[#This Row],[販売価格（M)]]*1.08</f>
        <v>0</v>
      </c>
    </row>
    <row r="187" spans="1:28">
      <c r="A187" s="73"/>
      <c r="B187" s="77" t="str">
        <f>IF(ISBLANK(tbl_明細[[#This Row],[案件番号]]),"",COUNTIFS($A$3:A187,tbl_明細[[#This Row],[案件番号]],$AA$3:AA187,"&gt;0"))</f>
        <v/>
      </c>
      <c r="C187" s="71">
        <f>COUNTIFS($A$3:A187,tbl_明細[[#This Row],[案件番号]],$F$3:F187,tbl_明細[[#This Row],[仕入先]])</f>
        <v>0</v>
      </c>
      <c r="D187" s="77" t="str">
        <f>_xlfn.XLOOKUP(tbl_明細[[#This Row],[案件番号]],tbl_採番[案件番号],tbl_採番[顧客],"",0,1)</f>
        <v/>
      </c>
      <c r="E187" s="71"/>
      <c r="F187" s="118" t="str">
        <f>IF(ISBLANK(tbl_明細[[#This Row],[仕入先（M)]]),_xlfn.XLOOKUP(tbl_明細[[#This Row],[商品ID]],商品マスタ[商品連番],商品マスタ[仕入先],"",0,1),tbl_明細[[#This Row],[仕入先（M)]])</f>
        <v/>
      </c>
      <c r="G187" s="112" t="str">
        <f>IF(ISBLANK(tbl_明細[[#This Row],[商品名（M)]]),_xlfn.XLOOKUP(tbl_明細[[#This Row],[商品ID]],商品マスタ[商品連番],商品マスタ[商品名],"",0,),tbl_明細[[#This Row],[商品名（M)]])</f>
        <v/>
      </c>
      <c r="H187" s="80" t="str">
        <f>IF(ISBLANK(tbl_明細[[#This Row],[仕入価格（M)]]),_xlfn.XLOOKUP(tbl_明細[[#This Row],[商品ID]],商品マスタ[商品連番],商品マスタ[仕入
単価],"",0,1),tbl_明細[[#This Row],[仕入価格（M)]])</f>
        <v/>
      </c>
      <c r="I187" s="80" t="str">
        <f>_xlfn.XLOOKUP(tbl_明細[[#This Row],[商品ID]],商品マスタ[商品連番],商品マスタ[国内定価
（15％）],"",0,1)</f>
        <v/>
      </c>
      <c r="J187" s="85"/>
      <c r="K187" s="71"/>
      <c r="L187" s="77" t="str">
        <f>_xlfn.XLOOKUP(tbl_明細[[#This Row],[商品ID]],商品マスタ[商品連番],商品マスタ[単位],"",0,1)</f>
        <v/>
      </c>
      <c r="M187" s="249" t="e">
        <f>1-tbl_明細[[#This Row],[仕入価格]]/tbl_明細[[#This Row],[販売価格（売値）]]</f>
        <v>#VALUE!</v>
      </c>
      <c r="N187" s="189" t="str">
        <f>_xlfn.XLOOKUP(tbl_明細[[#This Row],[商品ID]],商品マスタ[商品連番],商品マスタ[税率],"",0,1)</f>
        <v/>
      </c>
      <c r="O187" s="120"/>
      <c r="P187" s="71"/>
      <c r="Q187" s="81"/>
      <c r="R187" s="81"/>
      <c r="S187" s="71"/>
      <c r="T187" s="71"/>
      <c r="U187" s="79"/>
      <c r="V187" s="79"/>
      <c r="W187" s="113"/>
      <c r="X187" s="254" t="e">
        <f>tbl_明細[[#This Row],[仕入価格]]*tbl_明細[[#This Row],[数量]]+tbl_明細[[#This Row],[仕入価格（M)]]*tbl_明細[[#This Row],[数量（M)]]</f>
        <v>#VALUE!</v>
      </c>
      <c r="Y187" s="254">
        <f>tbl_明細[[#This Row],[販売価格（売値）]]*tbl_明細[[#This Row],[数量]]+tbl_明細[[#This Row],[販売価格（M)]]*tbl_明細[[#This Row],[数量（M)]]</f>
        <v>0</v>
      </c>
      <c r="Z187" s="257">
        <f>_xlfn.XLOOKUP(tbl_明細[[#This Row],[案件番号]],tbl_案件追跡[案件番号],tbl_案件追跡[受注],"",0,1)</f>
        <v>0</v>
      </c>
      <c r="AA187" s="228">
        <f>tbl_明細[[#This Row],[販売価格（売値）]]+tbl_明細[[#This Row],[販売価格（M)]]</f>
        <v>0</v>
      </c>
      <c r="AB187" s="261">
        <f>tbl_明細[[#This Row],[販売価格（売値）]]*1.08+tbl_明細[[#This Row],[販売価格（M)]]*1.08</f>
        <v>0</v>
      </c>
    </row>
    <row r="188" spans="1:28">
      <c r="A188" s="73"/>
      <c r="B188" s="77" t="str">
        <f>IF(ISBLANK(tbl_明細[[#This Row],[案件番号]]),"",COUNTIFS($A$3:A188,tbl_明細[[#This Row],[案件番号]],$AA$3:AA188,"&gt;0"))</f>
        <v/>
      </c>
      <c r="C188" s="71">
        <f>COUNTIFS($A$3:A188,tbl_明細[[#This Row],[案件番号]],$F$3:F188,tbl_明細[[#This Row],[仕入先]])</f>
        <v>0</v>
      </c>
      <c r="D188" s="77" t="str">
        <f>_xlfn.XLOOKUP(tbl_明細[[#This Row],[案件番号]],tbl_採番[案件番号],tbl_採番[顧客],"",0,1)</f>
        <v/>
      </c>
      <c r="E188" s="71"/>
      <c r="F188" s="118" t="str">
        <f>IF(ISBLANK(tbl_明細[[#This Row],[仕入先（M)]]),_xlfn.XLOOKUP(tbl_明細[[#This Row],[商品ID]],商品マスタ[商品連番],商品マスタ[仕入先],"",0,1),tbl_明細[[#This Row],[仕入先（M)]])</f>
        <v/>
      </c>
      <c r="G188" s="112" t="str">
        <f>IF(ISBLANK(tbl_明細[[#This Row],[商品名（M)]]),_xlfn.XLOOKUP(tbl_明細[[#This Row],[商品ID]],商品マスタ[商品連番],商品マスタ[商品名],"",0,),tbl_明細[[#This Row],[商品名（M)]])</f>
        <v/>
      </c>
      <c r="H188" s="80" t="str">
        <f>IF(ISBLANK(tbl_明細[[#This Row],[仕入価格（M)]]),_xlfn.XLOOKUP(tbl_明細[[#This Row],[商品ID]],商品マスタ[商品連番],商品マスタ[仕入
単価],"",0,1),tbl_明細[[#This Row],[仕入価格（M)]])</f>
        <v/>
      </c>
      <c r="I188" s="80" t="str">
        <f>_xlfn.XLOOKUP(tbl_明細[[#This Row],[商品ID]],商品マスタ[商品連番],商品マスタ[国内定価
（15％）],"",0,1)</f>
        <v/>
      </c>
      <c r="J188" s="85"/>
      <c r="K188" s="71"/>
      <c r="L188" s="77" t="str">
        <f>_xlfn.XLOOKUP(tbl_明細[[#This Row],[商品ID]],商品マスタ[商品連番],商品マスタ[単位],"",0,1)</f>
        <v/>
      </c>
      <c r="M188" s="249" t="e">
        <f>1-tbl_明細[[#This Row],[仕入価格]]/tbl_明細[[#This Row],[販売価格（売値）]]</f>
        <v>#VALUE!</v>
      </c>
      <c r="N188" s="189" t="str">
        <f>_xlfn.XLOOKUP(tbl_明細[[#This Row],[商品ID]],商品マスタ[商品連番],商品マスタ[税率],"",0,1)</f>
        <v/>
      </c>
      <c r="O188" s="120"/>
      <c r="P188" s="71"/>
      <c r="Q188" s="81"/>
      <c r="R188" s="81"/>
      <c r="S188" s="71"/>
      <c r="T188" s="71"/>
      <c r="U188" s="79"/>
      <c r="V188" s="79"/>
      <c r="W188" s="113"/>
      <c r="X188" s="254" t="e">
        <f>tbl_明細[[#This Row],[仕入価格]]*tbl_明細[[#This Row],[数量]]+tbl_明細[[#This Row],[仕入価格（M)]]*tbl_明細[[#This Row],[数量（M)]]</f>
        <v>#VALUE!</v>
      </c>
      <c r="Y188" s="254">
        <f>tbl_明細[[#This Row],[販売価格（売値）]]*tbl_明細[[#This Row],[数量]]+tbl_明細[[#This Row],[販売価格（M)]]*tbl_明細[[#This Row],[数量（M)]]</f>
        <v>0</v>
      </c>
      <c r="Z188" s="257">
        <f>_xlfn.XLOOKUP(tbl_明細[[#This Row],[案件番号]],tbl_案件追跡[案件番号],tbl_案件追跡[受注],"",0,1)</f>
        <v>0</v>
      </c>
      <c r="AA188" s="228">
        <f>tbl_明細[[#This Row],[販売価格（売値）]]+tbl_明細[[#This Row],[販売価格（M)]]</f>
        <v>0</v>
      </c>
      <c r="AB188" s="261">
        <f>tbl_明細[[#This Row],[販売価格（売値）]]*1.08+tbl_明細[[#This Row],[販売価格（M)]]*1.08</f>
        <v>0</v>
      </c>
    </row>
    <row r="189" spans="1:28">
      <c r="A189" s="73"/>
      <c r="B189" s="77" t="str">
        <f>IF(ISBLANK(tbl_明細[[#This Row],[案件番号]]),"",COUNTIFS($A$3:A189,tbl_明細[[#This Row],[案件番号]],$AA$3:AA189,"&gt;0"))</f>
        <v/>
      </c>
      <c r="C189" s="71">
        <f>COUNTIFS($A$3:A189,tbl_明細[[#This Row],[案件番号]],$F$3:F189,tbl_明細[[#This Row],[仕入先]])</f>
        <v>0</v>
      </c>
      <c r="D189" s="77" t="str">
        <f>_xlfn.XLOOKUP(tbl_明細[[#This Row],[案件番号]],tbl_採番[案件番号],tbl_採番[顧客],"",0,1)</f>
        <v/>
      </c>
      <c r="E189" s="71"/>
      <c r="F189" s="118" t="str">
        <f>IF(ISBLANK(tbl_明細[[#This Row],[仕入先（M)]]),_xlfn.XLOOKUP(tbl_明細[[#This Row],[商品ID]],商品マスタ[商品連番],商品マスタ[仕入先],"",0,1),tbl_明細[[#This Row],[仕入先（M)]])</f>
        <v/>
      </c>
      <c r="G189" s="112" t="str">
        <f>IF(ISBLANK(tbl_明細[[#This Row],[商品名（M)]]),_xlfn.XLOOKUP(tbl_明細[[#This Row],[商品ID]],商品マスタ[商品連番],商品マスタ[商品名],"",0,),tbl_明細[[#This Row],[商品名（M)]])</f>
        <v/>
      </c>
      <c r="H189" s="80" t="str">
        <f>IF(ISBLANK(tbl_明細[[#This Row],[仕入価格（M)]]),_xlfn.XLOOKUP(tbl_明細[[#This Row],[商品ID]],商品マスタ[商品連番],商品マスタ[仕入
単価],"",0,1),tbl_明細[[#This Row],[仕入価格（M)]])</f>
        <v/>
      </c>
      <c r="I189" s="80" t="str">
        <f>_xlfn.XLOOKUP(tbl_明細[[#This Row],[商品ID]],商品マスタ[商品連番],商品マスタ[国内定価
（15％）],"",0,1)</f>
        <v/>
      </c>
      <c r="J189" s="85"/>
      <c r="K189" s="71"/>
      <c r="L189" s="77" t="str">
        <f>_xlfn.XLOOKUP(tbl_明細[[#This Row],[商品ID]],商品マスタ[商品連番],商品マスタ[単位],"",0,1)</f>
        <v/>
      </c>
      <c r="M189" s="249" t="e">
        <f>1-tbl_明細[[#This Row],[仕入価格]]/tbl_明細[[#This Row],[販売価格（売値）]]</f>
        <v>#VALUE!</v>
      </c>
      <c r="N189" s="189" t="str">
        <f>_xlfn.XLOOKUP(tbl_明細[[#This Row],[商品ID]],商品マスタ[商品連番],商品マスタ[税率],"",0,1)</f>
        <v/>
      </c>
      <c r="O189" s="120"/>
      <c r="P189" s="71"/>
      <c r="Q189" s="81"/>
      <c r="R189" s="81"/>
      <c r="S189" s="71"/>
      <c r="T189" s="71"/>
      <c r="U189" s="79"/>
      <c r="V189" s="79"/>
      <c r="W189" s="113"/>
      <c r="X189" s="254" t="e">
        <f>tbl_明細[[#This Row],[仕入価格]]*tbl_明細[[#This Row],[数量]]+tbl_明細[[#This Row],[仕入価格（M)]]*tbl_明細[[#This Row],[数量（M)]]</f>
        <v>#VALUE!</v>
      </c>
      <c r="Y189" s="254">
        <f>tbl_明細[[#This Row],[販売価格（売値）]]*tbl_明細[[#This Row],[数量]]+tbl_明細[[#This Row],[販売価格（M)]]*tbl_明細[[#This Row],[数量（M)]]</f>
        <v>0</v>
      </c>
      <c r="Z189" s="257">
        <f>_xlfn.XLOOKUP(tbl_明細[[#This Row],[案件番号]],tbl_案件追跡[案件番号],tbl_案件追跡[受注],"",0,1)</f>
        <v>0</v>
      </c>
      <c r="AA189" s="228">
        <f>tbl_明細[[#This Row],[販売価格（売値）]]+tbl_明細[[#This Row],[販売価格（M)]]</f>
        <v>0</v>
      </c>
      <c r="AB189" s="261">
        <f>tbl_明細[[#This Row],[販売価格（売値）]]*1.08+tbl_明細[[#This Row],[販売価格（M)]]*1.08</f>
        <v>0</v>
      </c>
    </row>
    <row r="190" spans="1:28">
      <c r="A190" s="73"/>
      <c r="B190" s="77" t="str">
        <f>IF(ISBLANK(tbl_明細[[#This Row],[案件番号]]),"",COUNTIFS($A$3:A190,tbl_明細[[#This Row],[案件番号]],$AA$3:AA190,"&gt;0"))</f>
        <v/>
      </c>
      <c r="C190" s="71">
        <f>COUNTIFS($A$3:A190,tbl_明細[[#This Row],[案件番号]],$F$3:F190,tbl_明細[[#This Row],[仕入先]])</f>
        <v>0</v>
      </c>
      <c r="D190" s="77" t="str">
        <f>_xlfn.XLOOKUP(tbl_明細[[#This Row],[案件番号]],tbl_採番[案件番号],tbl_採番[顧客],"",0,1)</f>
        <v/>
      </c>
      <c r="E190" s="71"/>
      <c r="F190" s="118" t="str">
        <f>IF(ISBLANK(tbl_明細[[#This Row],[仕入先（M)]]),_xlfn.XLOOKUP(tbl_明細[[#This Row],[商品ID]],商品マスタ[商品連番],商品マスタ[仕入先],"",0,1),tbl_明細[[#This Row],[仕入先（M)]])</f>
        <v/>
      </c>
      <c r="G190" s="112" t="str">
        <f>IF(ISBLANK(tbl_明細[[#This Row],[商品名（M)]]),_xlfn.XLOOKUP(tbl_明細[[#This Row],[商品ID]],商品マスタ[商品連番],商品マスタ[商品名],"",0,),tbl_明細[[#This Row],[商品名（M)]])</f>
        <v/>
      </c>
      <c r="H190" s="80" t="str">
        <f>IF(ISBLANK(tbl_明細[[#This Row],[仕入価格（M)]]),_xlfn.XLOOKUP(tbl_明細[[#This Row],[商品ID]],商品マスタ[商品連番],商品マスタ[仕入
単価],"",0,1),tbl_明細[[#This Row],[仕入価格（M)]])</f>
        <v/>
      </c>
      <c r="I190" s="80" t="str">
        <f>_xlfn.XLOOKUP(tbl_明細[[#This Row],[商品ID]],商品マスタ[商品連番],商品マスタ[国内定価
（15％）],"",0,1)</f>
        <v/>
      </c>
      <c r="J190" s="85"/>
      <c r="K190" s="71"/>
      <c r="L190" s="77" t="str">
        <f>_xlfn.XLOOKUP(tbl_明細[[#This Row],[商品ID]],商品マスタ[商品連番],商品マスタ[単位],"",0,1)</f>
        <v/>
      </c>
      <c r="M190" s="249" t="e">
        <f>1-tbl_明細[[#This Row],[仕入価格]]/tbl_明細[[#This Row],[販売価格（売値）]]</f>
        <v>#VALUE!</v>
      </c>
      <c r="N190" s="189" t="str">
        <f>_xlfn.XLOOKUP(tbl_明細[[#This Row],[商品ID]],商品マスタ[商品連番],商品マスタ[税率],"",0,1)</f>
        <v/>
      </c>
      <c r="O190" s="120"/>
      <c r="P190" s="71"/>
      <c r="Q190" s="81"/>
      <c r="R190" s="81"/>
      <c r="S190" s="71"/>
      <c r="T190" s="71"/>
      <c r="U190" s="79"/>
      <c r="V190" s="79"/>
      <c r="W190" s="113"/>
      <c r="X190" s="254" t="e">
        <f>tbl_明細[[#This Row],[仕入価格]]*tbl_明細[[#This Row],[数量]]+tbl_明細[[#This Row],[仕入価格（M)]]*tbl_明細[[#This Row],[数量（M)]]</f>
        <v>#VALUE!</v>
      </c>
      <c r="Y190" s="254">
        <f>tbl_明細[[#This Row],[販売価格（売値）]]*tbl_明細[[#This Row],[数量]]+tbl_明細[[#This Row],[販売価格（M)]]*tbl_明細[[#This Row],[数量（M)]]</f>
        <v>0</v>
      </c>
      <c r="Z190" s="257">
        <f>_xlfn.XLOOKUP(tbl_明細[[#This Row],[案件番号]],tbl_案件追跡[案件番号],tbl_案件追跡[受注],"",0,1)</f>
        <v>0</v>
      </c>
      <c r="AA190" s="228">
        <f>tbl_明細[[#This Row],[販売価格（売値）]]+tbl_明細[[#This Row],[販売価格（M)]]</f>
        <v>0</v>
      </c>
      <c r="AB190" s="261">
        <f>tbl_明細[[#This Row],[販売価格（売値）]]*1.08+tbl_明細[[#This Row],[販売価格（M)]]*1.08</f>
        <v>0</v>
      </c>
    </row>
    <row r="191" spans="1:28">
      <c r="A191" s="73"/>
      <c r="B191" s="77" t="str">
        <f>IF(ISBLANK(tbl_明細[[#This Row],[案件番号]]),"",COUNTIFS($A$3:A191,tbl_明細[[#This Row],[案件番号]],$AA$3:AA191,"&gt;0"))</f>
        <v/>
      </c>
      <c r="C191" s="71">
        <f>COUNTIFS($A$3:A191,tbl_明細[[#This Row],[案件番号]],$F$3:F191,tbl_明細[[#This Row],[仕入先]])</f>
        <v>0</v>
      </c>
      <c r="D191" s="77" t="str">
        <f>_xlfn.XLOOKUP(tbl_明細[[#This Row],[案件番号]],tbl_採番[案件番号],tbl_採番[顧客],"",0,1)</f>
        <v/>
      </c>
      <c r="E191" s="71"/>
      <c r="F191" s="118" t="str">
        <f>IF(ISBLANK(tbl_明細[[#This Row],[仕入先（M)]]),_xlfn.XLOOKUP(tbl_明細[[#This Row],[商品ID]],商品マスタ[商品連番],商品マスタ[仕入先],"",0,1),tbl_明細[[#This Row],[仕入先（M)]])</f>
        <v/>
      </c>
      <c r="G191" s="112" t="str">
        <f>IF(ISBLANK(tbl_明細[[#This Row],[商品名（M)]]),_xlfn.XLOOKUP(tbl_明細[[#This Row],[商品ID]],商品マスタ[商品連番],商品マスタ[商品名],"",0,),tbl_明細[[#This Row],[商品名（M)]])</f>
        <v/>
      </c>
      <c r="H191" s="80" t="str">
        <f>IF(ISBLANK(tbl_明細[[#This Row],[仕入価格（M)]]),_xlfn.XLOOKUP(tbl_明細[[#This Row],[商品ID]],商品マスタ[商品連番],商品マスタ[仕入
単価],"",0,1),tbl_明細[[#This Row],[仕入価格（M)]])</f>
        <v/>
      </c>
      <c r="I191" s="80" t="str">
        <f>_xlfn.XLOOKUP(tbl_明細[[#This Row],[商品ID]],商品マスタ[商品連番],商品マスタ[国内定価
（15％）],"",0,1)</f>
        <v/>
      </c>
      <c r="J191" s="85"/>
      <c r="K191" s="71"/>
      <c r="L191" s="77" t="str">
        <f>_xlfn.XLOOKUP(tbl_明細[[#This Row],[商品ID]],商品マスタ[商品連番],商品マスタ[単位],"",0,1)</f>
        <v/>
      </c>
      <c r="M191" s="249" t="e">
        <f>1-tbl_明細[[#This Row],[仕入価格]]/tbl_明細[[#This Row],[販売価格（売値）]]</f>
        <v>#VALUE!</v>
      </c>
      <c r="N191" s="189" t="str">
        <f>_xlfn.XLOOKUP(tbl_明細[[#This Row],[商品ID]],商品マスタ[商品連番],商品マスタ[税率],"",0,1)</f>
        <v/>
      </c>
      <c r="O191" s="120"/>
      <c r="P191" s="71"/>
      <c r="Q191" s="81"/>
      <c r="R191" s="81"/>
      <c r="S191" s="71"/>
      <c r="T191" s="71"/>
      <c r="U191" s="79"/>
      <c r="V191" s="79"/>
      <c r="W191" s="113"/>
      <c r="X191" s="254" t="e">
        <f>tbl_明細[[#This Row],[仕入価格]]*tbl_明細[[#This Row],[数量]]+tbl_明細[[#This Row],[仕入価格（M)]]*tbl_明細[[#This Row],[数量（M)]]</f>
        <v>#VALUE!</v>
      </c>
      <c r="Y191" s="254">
        <f>tbl_明細[[#This Row],[販売価格（売値）]]*tbl_明細[[#This Row],[数量]]+tbl_明細[[#This Row],[販売価格（M)]]*tbl_明細[[#This Row],[数量（M)]]</f>
        <v>0</v>
      </c>
      <c r="Z191" s="257">
        <f>_xlfn.XLOOKUP(tbl_明細[[#This Row],[案件番号]],tbl_案件追跡[案件番号],tbl_案件追跡[受注],"",0,1)</f>
        <v>0</v>
      </c>
      <c r="AA191" s="228">
        <f>tbl_明細[[#This Row],[販売価格（売値）]]+tbl_明細[[#This Row],[販売価格（M)]]</f>
        <v>0</v>
      </c>
      <c r="AB191" s="261">
        <f>tbl_明細[[#This Row],[販売価格（売値）]]*1.08+tbl_明細[[#This Row],[販売価格（M)]]*1.08</f>
        <v>0</v>
      </c>
    </row>
    <row r="192" spans="1:28">
      <c r="A192" s="73"/>
      <c r="B192" s="77" t="str">
        <f>IF(ISBLANK(tbl_明細[[#This Row],[案件番号]]),"",COUNTIFS($A$3:A192,tbl_明細[[#This Row],[案件番号]],$AA$3:AA192,"&gt;0"))</f>
        <v/>
      </c>
      <c r="C192" s="71">
        <f>COUNTIFS($A$3:A192,tbl_明細[[#This Row],[案件番号]],$F$3:F192,tbl_明細[[#This Row],[仕入先]])</f>
        <v>0</v>
      </c>
      <c r="D192" s="77" t="str">
        <f>_xlfn.XLOOKUP(tbl_明細[[#This Row],[案件番号]],tbl_採番[案件番号],tbl_採番[顧客],"",0,1)</f>
        <v/>
      </c>
      <c r="E192" s="71"/>
      <c r="F192" s="118" t="str">
        <f>IF(ISBLANK(tbl_明細[[#This Row],[仕入先（M)]]),_xlfn.XLOOKUP(tbl_明細[[#This Row],[商品ID]],商品マスタ[商品連番],商品マスタ[仕入先],"",0,1),tbl_明細[[#This Row],[仕入先（M)]])</f>
        <v/>
      </c>
      <c r="G192" s="112" t="str">
        <f>IF(ISBLANK(tbl_明細[[#This Row],[商品名（M)]]),_xlfn.XLOOKUP(tbl_明細[[#This Row],[商品ID]],商品マスタ[商品連番],商品マスタ[商品名],"",0,),tbl_明細[[#This Row],[商品名（M)]])</f>
        <v/>
      </c>
      <c r="H192" s="80" t="str">
        <f>IF(ISBLANK(tbl_明細[[#This Row],[仕入価格（M)]]),_xlfn.XLOOKUP(tbl_明細[[#This Row],[商品ID]],商品マスタ[商品連番],商品マスタ[仕入
単価],"",0,1),tbl_明細[[#This Row],[仕入価格（M)]])</f>
        <v/>
      </c>
      <c r="I192" s="80" t="str">
        <f>_xlfn.XLOOKUP(tbl_明細[[#This Row],[商品ID]],商品マスタ[商品連番],商品マスタ[国内定価
（15％）],"",0,1)</f>
        <v/>
      </c>
      <c r="J192" s="85"/>
      <c r="K192" s="71"/>
      <c r="L192" s="77" t="str">
        <f>_xlfn.XLOOKUP(tbl_明細[[#This Row],[商品ID]],商品マスタ[商品連番],商品マスタ[単位],"",0,1)</f>
        <v/>
      </c>
      <c r="M192" s="249" t="e">
        <f>1-tbl_明細[[#This Row],[仕入価格]]/tbl_明細[[#This Row],[販売価格（売値）]]</f>
        <v>#VALUE!</v>
      </c>
      <c r="N192" s="189" t="str">
        <f>_xlfn.XLOOKUP(tbl_明細[[#This Row],[商品ID]],商品マスタ[商品連番],商品マスタ[税率],"",0,1)</f>
        <v/>
      </c>
      <c r="O192" s="120"/>
      <c r="P192" s="71"/>
      <c r="Q192" s="81"/>
      <c r="R192" s="81"/>
      <c r="S192" s="71"/>
      <c r="T192" s="71"/>
      <c r="U192" s="79"/>
      <c r="V192" s="79"/>
      <c r="W192" s="113"/>
      <c r="X192" s="254" t="e">
        <f>tbl_明細[[#This Row],[仕入価格]]*tbl_明細[[#This Row],[数量]]+tbl_明細[[#This Row],[仕入価格（M)]]*tbl_明細[[#This Row],[数量（M)]]</f>
        <v>#VALUE!</v>
      </c>
      <c r="Y192" s="254">
        <f>tbl_明細[[#This Row],[販売価格（売値）]]*tbl_明細[[#This Row],[数量]]+tbl_明細[[#This Row],[販売価格（M)]]*tbl_明細[[#This Row],[数量（M)]]</f>
        <v>0</v>
      </c>
      <c r="Z192" s="257">
        <f>_xlfn.XLOOKUP(tbl_明細[[#This Row],[案件番号]],tbl_案件追跡[案件番号],tbl_案件追跡[受注],"",0,1)</f>
        <v>0</v>
      </c>
      <c r="AA192" s="228">
        <f>tbl_明細[[#This Row],[販売価格（売値）]]+tbl_明細[[#This Row],[販売価格（M)]]</f>
        <v>0</v>
      </c>
      <c r="AB192" s="261">
        <f>tbl_明細[[#This Row],[販売価格（売値）]]*1.08+tbl_明細[[#This Row],[販売価格（M)]]*1.08</f>
        <v>0</v>
      </c>
    </row>
    <row r="193" spans="1:28">
      <c r="A193" s="73"/>
      <c r="B193" s="77" t="str">
        <f>IF(ISBLANK(tbl_明細[[#This Row],[案件番号]]),"",COUNTIFS($A$3:A193,tbl_明細[[#This Row],[案件番号]],$AA$3:AA193,"&gt;0"))</f>
        <v/>
      </c>
      <c r="C193" s="71">
        <f>COUNTIFS($A$3:A193,tbl_明細[[#This Row],[案件番号]],$F$3:F193,tbl_明細[[#This Row],[仕入先]])</f>
        <v>0</v>
      </c>
      <c r="D193" s="77" t="str">
        <f>_xlfn.XLOOKUP(tbl_明細[[#This Row],[案件番号]],tbl_採番[案件番号],tbl_採番[顧客],"",0,1)</f>
        <v/>
      </c>
      <c r="E193" s="71"/>
      <c r="F193" s="118" t="str">
        <f>IF(ISBLANK(tbl_明細[[#This Row],[仕入先（M)]]),_xlfn.XLOOKUP(tbl_明細[[#This Row],[商品ID]],商品マスタ[商品連番],商品マスタ[仕入先],"",0,1),tbl_明細[[#This Row],[仕入先（M)]])</f>
        <v/>
      </c>
      <c r="G193" s="112" t="str">
        <f>IF(ISBLANK(tbl_明細[[#This Row],[商品名（M)]]),_xlfn.XLOOKUP(tbl_明細[[#This Row],[商品ID]],商品マスタ[商品連番],商品マスタ[商品名],"",0,),tbl_明細[[#This Row],[商品名（M)]])</f>
        <v/>
      </c>
      <c r="H193" s="80" t="str">
        <f>IF(ISBLANK(tbl_明細[[#This Row],[仕入価格（M)]]),_xlfn.XLOOKUP(tbl_明細[[#This Row],[商品ID]],商品マスタ[商品連番],商品マスタ[仕入
単価],"",0,1),tbl_明細[[#This Row],[仕入価格（M)]])</f>
        <v/>
      </c>
      <c r="I193" s="80" t="str">
        <f>_xlfn.XLOOKUP(tbl_明細[[#This Row],[商品ID]],商品マスタ[商品連番],商品マスタ[国内定価
（15％）],"",0,1)</f>
        <v/>
      </c>
      <c r="J193" s="85"/>
      <c r="K193" s="71"/>
      <c r="L193" s="77" t="str">
        <f>_xlfn.XLOOKUP(tbl_明細[[#This Row],[商品ID]],商品マスタ[商品連番],商品マスタ[単位],"",0,1)</f>
        <v/>
      </c>
      <c r="M193" s="249" t="e">
        <f>1-tbl_明細[[#This Row],[仕入価格]]/tbl_明細[[#This Row],[販売価格（売値）]]</f>
        <v>#VALUE!</v>
      </c>
      <c r="N193" s="189" t="str">
        <f>_xlfn.XLOOKUP(tbl_明細[[#This Row],[商品ID]],商品マスタ[商品連番],商品マスタ[税率],"",0,1)</f>
        <v/>
      </c>
      <c r="O193" s="120"/>
      <c r="P193" s="71"/>
      <c r="Q193" s="81"/>
      <c r="R193" s="81"/>
      <c r="S193" s="71"/>
      <c r="T193" s="71"/>
      <c r="U193" s="79"/>
      <c r="V193" s="79"/>
      <c r="W193" s="113"/>
      <c r="X193" s="254" t="e">
        <f>tbl_明細[[#This Row],[仕入価格]]*tbl_明細[[#This Row],[数量]]+tbl_明細[[#This Row],[仕入価格（M)]]*tbl_明細[[#This Row],[数量（M)]]</f>
        <v>#VALUE!</v>
      </c>
      <c r="Y193" s="254">
        <f>tbl_明細[[#This Row],[販売価格（売値）]]*tbl_明細[[#This Row],[数量]]+tbl_明細[[#This Row],[販売価格（M)]]*tbl_明細[[#This Row],[数量（M)]]</f>
        <v>0</v>
      </c>
      <c r="Z193" s="257">
        <f>_xlfn.XLOOKUP(tbl_明細[[#This Row],[案件番号]],tbl_案件追跡[案件番号],tbl_案件追跡[受注],"",0,1)</f>
        <v>0</v>
      </c>
      <c r="AA193" s="228">
        <f>tbl_明細[[#This Row],[販売価格（売値）]]+tbl_明細[[#This Row],[販売価格（M)]]</f>
        <v>0</v>
      </c>
      <c r="AB193" s="261">
        <f>tbl_明細[[#This Row],[販売価格（売値）]]*1.08+tbl_明細[[#This Row],[販売価格（M)]]*1.08</f>
        <v>0</v>
      </c>
    </row>
    <row r="194" spans="1:28">
      <c r="A194" s="73"/>
      <c r="B194" s="77" t="str">
        <f>IF(ISBLANK(tbl_明細[[#This Row],[案件番号]]),"",COUNTIFS($A$3:A194,tbl_明細[[#This Row],[案件番号]],$AA$3:AA194,"&gt;0"))</f>
        <v/>
      </c>
      <c r="C194" s="71">
        <f>COUNTIFS($A$3:A194,tbl_明細[[#This Row],[案件番号]],$F$3:F194,tbl_明細[[#This Row],[仕入先]])</f>
        <v>0</v>
      </c>
      <c r="D194" s="77" t="str">
        <f>_xlfn.XLOOKUP(tbl_明細[[#This Row],[案件番号]],tbl_採番[案件番号],tbl_採番[顧客],"",0,1)</f>
        <v/>
      </c>
      <c r="E194" s="71"/>
      <c r="F194" s="118" t="str">
        <f>IF(ISBLANK(tbl_明細[[#This Row],[仕入先（M)]]),_xlfn.XLOOKUP(tbl_明細[[#This Row],[商品ID]],商品マスタ[商品連番],商品マスタ[仕入先],"",0,1),tbl_明細[[#This Row],[仕入先（M)]])</f>
        <v/>
      </c>
      <c r="G194" s="112" t="str">
        <f>IF(ISBLANK(tbl_明細[[#This Row],[商品名（M)]]),_xlfn.XLOOKUP(tbl_明細[[#This Row],[商品ID]],商品マスタ[商品連番],商品マスタ[商品名],"",0,),tbl_明細[[#This Row],[商品名（M)]])</f>
        <v/>
      </c>
      <c r="H194" s="80" t="str">
        <f>IF(ISBLANK(tbl_明細[[#This Row],[仕入価格（M)]]),_xlfn.XLOOKUP(tbl_明細[[#This Row],[商品ID]],商品マスタ[商品連番],商品マスタ[仕入
単価],"",0,1),tbl_明細[[#This Row],[仕入価格（M)]])</f>
        <v/>
      </c>
      <c r="I194" s="80" t="str">
        <f>_xlfn.XLOOKUP(tbl_明細[[#This Row],[商品ID]],商品マスタ[商品連番],商品マスタ[国内定価
（15％）],"",0,1)</f>
        <v/>
      </c>
      <c r="J194" s="85"/>
      <c r="K194" s="71"/>
      <c r="L194" s="77" t="str">
        <f>_xlfn.XLOOKUP(tbl_明細[[#This Row],[商品ID]],商品マスタ[商品連番],商品マスタ[単位],"",0,1)</f>
        <v/>
      </c>
      <c r="M194" s="249" t="e">
        <f>1-tbl_明細[[#This Row],[仕入価格]]/tbl_明細[[#This Row],[販売価格（売値）]]</f>
        <v>#VALUE!</v>
      </c>
      <c r="N194" s="189" t="str">
        <f>_xlfn.XLOOKUP(tbl_明細[[#This Row],[商品ID]],商品マスタ[商品連番],商品マスタ[税率],"",0,1)</f>
        <v/>
      </c>
      <c r="O194" s="120"/>
      <c r="P194" s="71"/>
      <c r="Q194" s="81"/>
      <c r="R194" s="81"/>
      <c r="S194" s="71"/>
      <c r="T194" s="71"/>
      <c r="U194" s="79"/>
      <c r="V194" s="79"/>
      <c r="W194" s="113"/>
      <c r="X194" s="254" t="e">
        <f>tbl_明細[[#This Row],[仕入価格]]*tbl_明細[[#This Row],[数量]]+tbl_明細[[#This Row],[仕入価格（M)]]*tbl_明細[[#This Row],[数量（M)]]</f>
        <v>#VALUE!</v>
      </c>
      <c r="Y194" s="254">
        <f>tbl_明細[[#This Row],[販売価格（売値）]]*tbl_明細[[#This Row],[数量]]+tbl_明細[[#This Row],[販売価格（M)]]*tbl_明細[[#This Row],[数量（M)]]</f>
        <v>0</v>
      </c>
      <c r="Z194" s="257">
        <f>_xlfn.XLOOKUP(tbl_明細[[#This Row],[案件番号]],tbl_案件追跡[案件番号],tbl_案件追跡[受注],"",0,1)</f>
        <v>0</v>
      </c>
      <c r="AA194" s="228">
        <f>tbl_明細[[#This Row],[販売価格（売値）]]+tbl_明細[[#This Row],[販売価格（M)]]</f>
        <v>0</v>
      </c>
      <c r="AB194" s="261">
        <f>tbl_明細[[#This Row],[販売価格（売値）]]*1.08+tbl_明細[[#This Row],[販売価格（M)]]*1.08</f>
        <v>0</v>
      </c>
    </row>
    <row r="195" spans="1:28">
      <c r="A195" s="73"/>
      <c r="B195" s="77" t="str">
        <f>IF(ISBLANK(tbl_明細[[#This Row],[案件番号]]),"",COUNTIFS($A$3:A195,tbl_明細[[#This Row],[案件番号]],$AA$3:AA195,"&gt;0"))</f>
        <v/>
      </c>
      <c r="C195" s="71">
        <f>COUNTIFS($A$3:A195,tbl_明細[[#This Row],[案件番号]],$F$3:F195,tbl_明細[[#This Row],[仕入先]])</f>
        <v>0</v>
      </c>
      <c r="D195" s="77" t="str">
        <f>_xlfn.XLOOKUP(tbl_明細[[#This Row],[案件番号]],tbl_採番[案件番号],tbl_採番[顧客],"",0,1)</f>
        <v/>
      </c>
      <c r="E195" s="71"/>
      <c r="F195" s="118" t="str">
        <f>IF(ISBLANK(tbl_明細[[#This Row],[仕入先（M)]]),_xlfn.XLOOKUP(tbl_明細[[#This Row],[商品ID]],商品マスタ[商品連番],商品マスタ[仕入先],"",0,1),tbl_明細[[#This Row],[仕入先（M)]])</f>
        <v/>
      </c>
      <c r="G195" s="112" t="str">
        <f>IF(ISBLANK(tbl_明細[[#This Row],[商品名（M)]]),_xlfn.XLOOKUP(tbl_明細[[#This Row],[商品ID]],商品マスタ[商品連番],商品マスタ[商品名],"",0,),tbl_明細[[#This Row],[商品名（M)]])</f>
        <v/>
      </c>
      <c r="H195" s="80" t="str">
        <f>IF(ISBLANK(tbl_明細[[#This Row],[仕入価格（M)]]),_xlfn.XLOOKUP(tbl_明細[[#This Row],[商品ID]],商品マスタ[商品連番],商品マスタ[仕入
単価],"",0,1),tbl_明細[[#This Row],[仕入価格（M)]])</f>
        <v/>
      </c>
      <c r="I195" s="80" t="str">
        <f>_xlfn.XLOOKUP(tbl_明細[[#This Row],[商品ID]],商品マスタ[商品連番],商品マスタ[国内定価
（15％）],"",0,1)</f>
        <v/>
      </c>
      <c r="J195" s="85"/>
      <c r="K195" s="71"/>
      <c r="L195" s="77" t="str">
        <f>_xlfn.XLOOKUP(tbl_明細[[#This Row],[商品ID]],商品マスタ[商品連番],商品マスタ[単位],"",0,1)</f>
        <v/>
      </c>
      <c r="M195" s="249" t="e">
        <f>1-tbl_明細[[#This Row],[仕入価格]]/tbl_明細[[#This Row],[販売価格（売値）]]</f>
        <v>#VALUE!</v>
      </c>
      <c r="N195" s="189" t="str">
        <f>_xlfn.XLOOKUP(tbl_明細[[#This Row],[商品ID]],商品マスタ[商品連番],商品マスタ[税率],"",0,1)</f>
        <v/>
      </c>
      <c r="O195" s="120"/>
      <c r="P195" s="71"/>
      <c r="Q195" s="81"/>
      <c r="R195" s="81"/>
      <c r="S195" s="71"/>
      <c r="T195" s="71"/>
      <c r="U195" s="79"/>
      <c r="V195" s="79"/>
      <c r="W195" s="113"/>
      <c r="X195" s="254" t="e">
        <f>tbl_明細[[#This Row],[仕入価格]]*tbl_明細[[#This Row],[数量]]+tbl_明細[[#This Row],[仕入価格（M)]]*tbl_明細[[#This Row],[数量（M)]]</f>
        <v>#VALUE!</v>
      </c>
      <c r="Y195" s="254">
        <f>tbl_明細[[#This Row],[販売価格（売値）]]*tbl_明細[[#This Row],[数量]]+tbl_明細[[#This Row],[販売価格（M)]]*tbl_明細[[#This Row],[数量（M)]]</f>
        <v>0</v>
      </c>
      <c r="Z195" s="257">
        <f>_xlfn.XLOOKUP(tbl_明細[[#This Row],[案件番号]],tbl_案件追跡[案件番号],tbl_案件追跡[受注],"",0,1)</f>
        <v>0</v>
      </c>
      <c r="AA195" s="228">
        <f>tbl_明細[[#This Row],[販売価格（売値）]]+tbl_明細[[#This Row],[販売価格（M)]]</f>
        <v>0</v>
      </c>
      <c r="AB195" s="261">
        <f>tbl_明細[[#This Row],[販売価格（売値）]]*1.08+tbl_明細[[#This Row],[販売価格（M)]]*1.08</f>
        <v>0</v>
      </c>
    </row>
    <row r="196" spans="1:28">
      <c r="A196" s="73"/>
      <c r="B196" s="77" t="str">
        <f>IF(ISBLANK(tbl_明細[[#This Row],[案件番号]]),"",COUNTIFS($A$3:A196,tbl_明細[[#This Row],[案件番号]],$AA$3:AA196,"&gt;0"))</f>
        <v/>
      </c>
      <c r="C196" s="71">
        <f>COUNTIFS($A$3:A196,tbl_明細[[#This Row],[案件番号]],$F$3:F196,tbl_明細[[#This Row],[仕入先]])</f>
        <v>0</v>
      </c>
      <c r="D196" s="77" t="str">
        <f>_xlfn.XLOOKUP(tbl_明細[[#This Row],[案件番号]],tbl_採番[案件番号],tbl_採番[顧客],"",0,1)</f>
        <v/>
      </c>
      <c r="E196" s="71"/>
      <c r="F196" s="118" t="str">
        <f>IF(ISBLANK(tbl_明細[[#This Row],[仕入先（M)]]),_xlfn.XLOOKUP(tbl_明細[[#This Row],[商品ID]],商品マスタ[商品連番],商品マスタ[仕入先],"",0,1),tbl_明細[[#This Row],[仕入先（M)]])</f>
        <v/>
      </c>
      <c r="G196" s="112" t="str">
        <f>IF(ISBLANK(tbl_明細[[#This Row],[商品名（M)]]),_xlfn.XLOOKUP(tbl_明細[[#This Row],[商品ID]],商品マスタ[商品連番],商品マスタ[商品名],"",0,),tbl_明細[[#This Row],[商品名（M)]])</f>
        <v/>
      </c>
      <c r="H196" s="80" t="str">
        <f>IF(ISBLANK(tbl_明細[[#This Row],[仕入価格（M)]]),_xlfn.XLOOKUP(tbl_明細[[#This Row],[商品ID]],商品マスタ[商品連番],商品マスタ[仕入
単価],"",0,1),tbl_明細[[#This Row],[仕入価格（M)]])</f>
        <v/>
      </c>
      <c r="I196" s="80" t="str">
        <f>_xlfn.XLOOKUP(tbl_明細[[#This Row],[商品ID]],商品マスタ[商品連番],商品マスタ[国内定価
（15％）],"",0,1)</f>
        <v/>
      </c>
      <c r="J196" s="85"/>
      <c r="K196" s="71"/>
      <c r="L196" s="77" t="str">
        <f>_xlfn.XLOOKUP(tbl_明細[[#This Row],[商品ID]],商品マスタ[商品連番],商品マスタ[単位],"",0,1)</f>
        <v/>
      </c>
      <c r="M196" s="249" t="e">
        <f>1-tbl_明細[[#This Row],[仕入価格]]/tbl_明細[[#This Row],[販売価格（売値）]]</f>
        <v>#VALUE!</v>
      </c>
      <c r="N196" s="189" t="str">
        <f>_xlfn.XLOOKUP(tbl_明細[[#This Row],[商品ID]],商品マスタ[商品連番],商品マスタ[税率],"",0,1)</f>
        <v/>
      </c>
      <c r="O196" s="120"/>
      <c r="P196" s="71"/>
      <c r="Q196" s="81"/>
      <c r="R196" s="81"/>
      <c r="S196" s="71"/>
      <c r="T196" s="71"/>
      <c r="U196" s="79"/>
      <c r="V196" s="79"/>
      <c r="W196" s="113"/>
      <c r="X196" s="254" t="e">
        <f>tbl_明細[[#This Row],[仕入価格]]*tbl_明細[[#This Row],[数量]]+tbl_明細[[#This Row],[仕入価格（M)]]*tbl_明細[[#This Row],[数量（M)]]</f>
        <v>#VALUE!</v>
      </c>
      <c r="Y196" s="254">
        <f>tbl_明細[[#This Row],[販売価格（売値）]]*tbl_明細[[#This Row],[数量]]+tbl_明細[[#This Row],[販売価格（M)]]*tbl_明細[[#This Row],[数量（M)]]</f>
        <v>0</v>
      </c>
      <c r="Z196" s="257">
        <f>_xlfn.XLOOKUP(tbl_明細[[#This Row],[案件番号]],tbl_案件追跡[案件番号],tbl_案件追跡[受注],"",0,1)</f>
        <v>0</v>
      </c>
      <c r="AA196" s="228">
        <f>tbl_明細[[#This Row],[販売価格（売値）]]+tbl_明細[[#This Row],[販売価格（M)]]</f>
        <v>0</v>
      </c>
      <c r="AB196" s="261">
        <f>tbl_明細[[#This Row],[販売価格（売値）]]*1.08+tbl_明細[[#This Row],[販売価格（M)]]*1.08</f>
        <v>0</v>
      </c>
    </row>
    <row r="197" spans="1:28">
      <c r="A197" s="73"/>
      <c r="B197" s="77" t="str">
        <f>IF(ISBLANK(tbl_明細[[#This Row],[案件番号]]),"",COUNTIFS($A$3:A197,tbl_明細[[#This Row],[案件番号]],$AA$3:AA197,"&gt;0"))</f>
        <v/>
      </c>
      <c r="C197" s="71">
        <f>COUNTIFS($A$3:A197,tbl_明細[[#This Row],[案件番号]],$F$3:F197,tbl_明細[[#This Row],[仕入先]])</f>
        <v>0</v>
      </c>
      <c r="D197" s="77" t="str">
        <f>_xlfn.XLOOKUP(tbl_明細[[#This Row],[案件番号]],tbl_採番[案件番号],tbl_採番[顧客],"",0,1)</f>
        <v/>
      </c>
      <c r="E197" s="71"/>
      <c r="F197" s="118" t="str">
        <f>IF(ISBLANK(tbl_明細[[#This Row],[仕入先（M)]]),_xlfn.XLOOKUP(tbl_明細[[#This Row],[商品ID]],商品マスタ[商品連番],商品マスタ[仕入先],"",0,1),tbl_明細[[#This Row],[仕入先（M)]])</f>
        <v/>
      </c>
      <c r="G197" s="112" t="str">
        <f>IF(ISBLANK(tbl_明細[[#This Row],[商品名（M)]]),_xlfn.XLOOKUP(tbl_明細[[#This Row],[商品ID]],商品マスタ[商品連番],商品マスタ[商品名],"",0,),tbl_明細[[#This Row],[商品名（M)]])</f>
        <v/>
      </c>
      <c r="H197" s="80" t="str">
        <f>IF(ISBLANK(tbl_明細[[#This Row],[仕入価格（M)]]),_xlfn.XLOOKUP(tbl_明細[[#This Row],[商品ID]],商品マスタ[商品連番],商品マスタ[仕入
単価],"",0,1),tbl_明細[[#This Row],[仕入価格（M)]])</f>
        <v/>
      </c>
      <c r="I197" s="80" t="str">
        <f>_xlfn.XLOOKUP(tbl_明細[[#This Row],[商品ID]],商品マスタ[商品連番],商品マスタ[国内定価
（15％）],"",0,1)</f>
        <v/>
      </c>
      <c r="J197" s="85"/>
      <c r="K197" s="71"/>
      <c r="L197" s="77" t="str">
        <f>_xlfn.XLOOKUP(tbl_明細[[#This Row],[商品ID]],商品マスタ[商品連番],商品マスタ[単位],"",0,1)</f>
        <v/>
      </c>
      <c r="M197" s="249" t="e">
        <f>1-tbl_明細[[#This Row],[仕入価格]]/tbl_明細[[#This Row],[販売価格（売値）]]</f>
        <v>#VALUE!</v>
      </c>
      <c r="N197" s="189" t="str">
        <f>_xlfn.XLOOKUP(tbl_明細[[#This Row],[商品ID]],商品マスタ[商品連番],商品マスタ[税率],"",0,1)</f>
        <v/>
      </c>
      <c r="O197" s="120"/>
      <c r="P197" s="71"/>
      <c r="Q197" s="81"/>
      <c r="R197" s="81"/>
      <c r="S197" s="71"/>
      <c r="T197" s="71"/>
      <c r="U197" s="79"/>
      <c r="V197" s="79"/>
      <c r="W197" s="113"/>
      <c r="X197" s="254" t="e">
        <f>tbl_明細[[#This Row],[仕入価格]]*tbl_明細[[#This Row],[数量]]+tbl_明細[[#This Row],[仕入価格（M)]]*tbl_明細[[#This Row],[数量（M)]]</f>
        <v>#VALUE!</v>
      </c>
      <c r="Y197" s="254">
        <f>tbl_明細[[#This Row],[販売価格（売値）]]*tbl_明細[[#This Row],[数量]]+tbl_明細[[#This Row],[販売価格（M)]]*tbl_明細[[#This Row],[数量（M)]]</f>
        <v>0</v>
      </c>
      <c r="Z197" s="257">
        <f>_xlfn.XLOOKUP(tbl_明細[[#This Row],[案件番号]],tbl_案件追跡[案件番号],tbl_案件追跡[受注],"",0,1)</f>
        <v>0</v>
      </c>
      <c r="AA197" s="228">
        <f>tbl_明細[[#This Row],[販売価格（売値）]]+tbl_明細[[#This Row],[販売価格（M)]]</f>
        <v>0</v>
      </c>
      <c r="AB197" s="261">
        <f>tbl_明細[[#This Row],[販売価格（売値）]]*1.08+tbl_明細[[#This Row],[販売価格（M)]]*1.08</f>
        <v>0</v>
      </c>
    </row>
    <row r="198" spans="1:28">
      <c r="A198" s="73"/>
      <c r="B198" s="77" t="str">
        <f>IF(ISBLANK(tbl_明細[[#This Row],[案件番号]]),"",COUNTIFS($A$3:A198,tbl_明細[[#This Row],[案件番号]],$AA$3:AA198,"&gt;0"))</f>
        <v/>
      </c>
      <c r="C198" s="71">
        <f>COUNTIFS($A$3:A198,tbl_明細[[#This Row],[案件番号]],$F$3:F198,tbl_明細[[#This Row],[仕入先]])</f>
        <v>0</v>
      </c>
      <c r="D198" s="77" t="str">
        <f>_xlfn.XLOOKUP(tbl_明細[[#This Row],[案件番号]],tbl_採番[案件番号],tbl_採番[顧客],"",0,1)</f>
        <v/>
      </c>
      <c r="E198" s="71"/>
      <c r="F198" s="118" t="str">
        <f>IF(ISBLANK(tbl_明細[[#This Row],[仕入先（M)]]),_xlfn.XLOOKUP(tbl_明細[[#This Row],[商品ID]],商品マスタ[商品連番],商品マスタ[仕入先],"",0,1),tbl_明細[[#This Row],[仕入先（M)]])</f>
        <v/>
      </c>
      <c r="G198" s="112" t="str">
        <f>IF(ISBLANK(tbl_明細[[#This Row],[商品名（M)]]),_xlfn.XLOOKUP(tbl_明細[[#This Row],[商品ID]],商品マスタ[商品連番],商品マスタ[商品名],"",0,),tbl_明細[[#This Row],[商品名（M)]])</f>
        <v/>
      </c>
      <c r="H198" s="80" t="str">
        <f>IF(ISBLANK(tbl_明細[[#This Row],[仕入価格（M)]]),_xlfn.XLOOKUP(tbl_明細[[#This Row],[商品ID]],商品マスタ[商品連番],商品マスタ[仕入
単価],"",0,1),tbl_明細[[#This Row],[仕入価格（M)]])</f>
        <v/>
      </c>
      <c r="I198" s="80" t="str">
        <f>_xlfn.XLOOKUP(tbl_明細[[#This Row],[商品ID]],商品マスタ[商品連番],商品マスタ[国内定価
（15％）],"",0,1)</f>
        <v/>
      </c>
      <c r="J198" s="85"/>
      <c r="K198" s="71"/>
      <c r="L198" s="77" t="str">
        <f>_xlfn.XLOOKUP(tbl_明細[[#This Row],[商品ID]],商品マスタ[商品連番],商品マスタ[単位],"",0,1)</f>
        <v/>
      </c>
      <c r="M198" s="249" t="e">
        <f>1-tbl_明細[[#This Row],[仕入価格]]/tbl_明細[[#This Row],[販売価格（売値）]]</f>
        <v>#VALUE!</v>
      </c>
      <c r="N198" s="189" t="str">
        <f>_xlfn.XLOOKUP(tbl_明細[[#This Row],[商品ID]],商品マスタ[商品連番],商品マスタ[税率],"",0,1)</f>
        <v/>
      </c>
      <c r="O198" s="120"/>
      <c r="P198" s="71"/>
      <c r="Q198" s="81"/>
      <c r="R198" s="81"/>
      <c r="S198" s="71"/>
      <c r="T198" s="71"/>
      <c r="U198" s="79"/>
      <c r="V198" s="79"/>
      <c r="W198" s="113"/>
      <c r="X198" s="254" t="e">
        <f>tbl_明細[[#This Row],[仕入価格]]*tbl_明細[[#This Row],[数量]]+tbl_明細[[#This Row],[仕入価格（M)]]*tbl_明細[[#This Row],[数量（M)]]</f>
        <v>#VALUE!</v>
      </c>
      <c r="Y198" s="254">
        <f>tbl_明細[[#This Row],[販売価格（売値）]]*tbl_明細[[#This Row],[数量]]+tbl_明細[[#This Row],[販売価格（M)]]*tbl_明細[[#This Row],[数量（M)]]</f>
        <v>0</v>
      </c>
      <c r="Z198" s="257">
        <f>_xlfn.XLOOKUP(tbl_明細[[#This Row],[案件番号]],tbl_案件追跡[案件番号],tbl_案件追跡[受注],"",0,1)</f>
        <v>0</v>
      </c>
      <c r="AA198" s="228">
        <f>tbl_明細[[#This Row],[販売価格（売値）]]+tbl_明細[[#This Row],[販売価格（M)]]</f>
        <v>0</v>
      </c>
      <c r="AB198" s="261">
        <f>tbl_明細[[#This Row],[販売価格（売値）]]*1.08+tbl_明細[[#This Row],[販売価格（M)]]*1.08</f>
        <v>0</v>
      </c>
    </row>
    <row r="199" spans="1:28">
      <c r="A199" s="73"/>
      <c r="B199" s="77" t="str">
        <f>IF(ISBLANK(tbl_明細[[#This Row],[案件番号]]),"",COUNTIFS($A$3:A199,tbl_明細[[#This Row],[案件番号]],$AA$3:AA199,"&gt;0"))</f>
        <v/>
      </c>
      <c r="C199" s="71">
        <f>COUNTIFS($A$3:A199,tbl_明細[[#This Row],[案件番号]],$F$3:F199,tbl_明細[[#This Row],[仕入先]])</f>
        <v>0</v>
      </c>
      <c r="D199" s="77" t="str">
        <f>_xlfn.XLOOKUP(tbl_明細[[#This Row],[案件番号]],tbl_採番[案件番号],tbl_採番[顧客],"",0,1)</f>
        <v/>
      </c>
      <c r="E199" s="71"/>
      <c r="F199" s="118" t="str">
        <f>IF(ISBLANK(tbl_明細[[#This Row],[仕入先（M)]]),_xlfn.XLOOKUP(tbl_明細[[#This Row],[商品ID]],商品マスタ[商品連番],商品マスタ[仕入先],"",0,1),tbl_明細[[#This Row],[仕入先（M)]])</f>
        <v/>
      </c>
      <c r="G199" s="112" t="str">
        <f>IF(ISBLANK(tbl_明細[[#This Row],[商品名（M)]]),_xlfn.XLOOKUP(tbl_明細[[#This Row],[商品ID]],商品マスタ[商品連番],商品マスタ[商品名],"",0,),tbl_明細[[#This Row],[商品名（M)]])</f>
        <v/>
      </c>
      <c r="H199" s="80" t="str">
        <f>IF(ISBLANK(tbl_明細[[#This Row],[仕入価格（M)]]),_xlfn.XLOOKUP(tbl_明細[[#This Row],[商品ID]],商品マスタ[商品連番],商品マスタ[仕入
単価],"",0,1),tbl_明細[[#This Row],[仕入価格（M)]])</f>
        <v/>
      </c>
      <c r="I199" s="80" t="str">
        <f>_xlfn.XLOOKUP(tbl_明細[[#This Row],[商品ID]],商品マスタ[商品連番],商品マスタ[国内定価
（15％）],"",0,1)</f>
        <v/>
      </c>
      <c r="J199" s="85"/>
      <c r="K199" s="71"/>
      <c r="L199" s="77" t="str">
        <f>_xlfn.XLOOKUP(tbl_明細[[#This Row],[商品ID]],商品マスタ[商品連番],商品マスタ[単位],"",0,1)</f>
        <v/>
      </c>
      <c r="M199" s="249" t="e">
        <f>1-tbl_明細[[#This Row],[仕入価格]]/tbl_明細[[#This Row],[販売価格（売値）]]</f>
        <v>#VALUE!</v>
      </c>
      <c r="N199" s="189" t="str">
        <f>_xlfn.XLOOKUP(tbl_明細[[#This Row],[商品ID]],商品マスタ[商品連番],商品マスタ[税率],"",0,1)</f>
        <v/>
      </c>
      <c r="O199" s="120"/>
      <c r="P199" s="71"/>
      <c r="Q199" s="81"/>
      <c r="R199" s="81"/>
      <c r="S199" s="71"/>
      <c r="T199" s="71"/>
      <c r="U199" s="79"/>
      <c r="V199" s="79"/>
      <c r="W199" s="113"/>
      <c r="X199" s="254" t="e">
        <f>tbl_明細[[#This Row],[仕入価格]]*tbl_明細[[#This Row],[数量]]+tbl_明細[[#This Row],[仕入価格（M)]]*tbl_明細[[#This Row],[数量（M)]]</f>
        <v>#VALUE!</v>
      </c>
      <c r="Y199" s="254">
        <f>tbl_明細[[#This Row],[販売価格（売値）]]*tbl_明細[[#This Row],[数量]]+tbl_明細[[#This Row],[販売価格（M)]]*tbl_明細[[#This Row],[数量（M)]]</f>
        <v>0</v>
      </c>
      <c r="Z199" s="257">
        <f>_xlfn.XLOOKUP(tbl_明細[[#This Row],[案件番号]],tbl_案件追跡[案件番号],tbl_案件追跡[受注],"",0,1)</f>
        <v>0</v>
      </c>
      <c r="AA199" s="228">
        <f>tbl_明細[[#This Row],[販売価格（売値）]]+tbl_明細[[#This Row],[販売価格（M)]]</f>
        <v>0</v>
      </c>
      <c r="AB199" s="261">
        <f>tbl_明細[[#This Row],[販売価格（売値）]]*1.08+tbl_明細[[#This Row],[販売価格（M)]]*1.08</f>
        <v>0</v>
      </c>
    </row>
    <row r="200" spans="1:28">
      <c r="A200" s="73"/>
      <c r="B200" s="77" t="str">
        <f>IF(ISBLANK(tbl_明細[[#This Row],[案件番号]]),"",COUNTIFS($A$3:A200,tbl_明細[[#This Row],[案件番号]],$AA$3:AA200,"&gt;0"))</f>
        <v/>
      </c>
      <c r="C200" s="71">
        <f>COUNTIFS($A$3:A200,tbl_明細[[#This Row],[案件番号]],$F$3:F200,tbl_明細[[#This Row],[仕入先]])</f>
        <v>0</v>
      </c>
      <c r="D200" s="77" t="str">
        <f>_xlfn.XLOOKUP(tbl_明細[[#This Row],[案件番号]],tbl_採番[案件番号],tbl_採番[顧客],"",0,1)</f>
        <v/>
      </c>
      <c r="E200" s="71"/>
      <c r="F200" s="118" t="str">
        <f>IF(ISBLANK(tbl_明細[[#This Row],[仕入先（M)]]),_xlfn.XLOOKUP(tbl_明細[[#This Row],[商品ID]],商品マスタ[商品連番],商品マスタ[仕入先],"",0,1),tbl_明細[[#This Row],[仕入先（M)]])</f>
        <v/>
      </c>
      <c r="G200" s="112" t="str">
        <f>IF(ISBLANK(tbl_明細[[#This Row],[商品名（M)]]),_xlfn.XLOOKUP(tbl_明細[[#This Row],[商品ID]],商品マスタ[商品連番],商品マスタ[商品名],"",0,),tbl_明細[[#This Row],[商品名（M)]])</f>
        <v/>
      </c>
      <c r="H200" s="80" t="str">
        <f>IF(ISBLANK(tbl_明細[[#This Row],[仕入価格（M)]]),_xlfn.XLOOKUP(tbl_明細[[#This Row],[商品ID]],商品マスタ[商品連番],商品マスタ[仕入
単価],"",0,1),tbl_明細[[#This Row],[仕入価格（M)]])</f>
        <v/>
      </c>
      <c r="I200" s="80" t="str">
        <f>_xlfn.XLOOKUP(tbl_明細[[#This Row],[商品ID]],商品マスタ[商品連番],商品マスタ[国内定価
（15％）],"",0,1)</f>
        <v/>
      </c>
      <c r="J200" s="85"/>
      <c r="K200" s="71"/>
      <c r="L200" s="77" t="str">
        <f>_xlfn.XLOOKUP(tbl_明細[[#This Row],[商品ID]],商品マスタ[商品連番],商品マスタ[単位],"",0,1)</f>
        <v/>
      </c>
      <c r="M200" s="249" t="e">
        <f>1-tbl_明細[[#This Row],[仕入価格]]/tbl_明細[[#This Row],[販売価格（売値）]]</f>
        <v>#VALUE!</v>
      </c>
      <c r="N200" s="189" t="str">
        <f>_xlfn.XLOOKUP(tbl_明細[[#This Row],[商品ID]],商品マスタ[商品連番],商品マスタ[税率],"",0,1)</f>
        <v/>
      </c>
      <c r="O200" s="120"/>
      <c r="P200" s="71"/>
      <c r="Q200" s="81"/>
      <c r="R200" s="81"/>
      <c r="S200" s="71"/>
      <c r="T200" s="71"/>
      <c r="U200" s="79"/>
      <c r="V200" s="79"/>
      <c r="W200" s="113"/>
      <c r="X200" s="254" t="e">
        <f>tbl_明細[[#This Row],[仕入価格]]*tbl_明細[[#This Row],[数量]]+tbl_明細[[#This Row],[仕入価格（M)]]*tbl_明細[[#This Row],[数量（M)]]</f>
        <v>#VALUE!</v>
      </c>
      <c r="Y200" s="254">
        <f>tbl_明細[[#This Row],[販売価格（売値）]]*tbl_明細[[#This Row],[数量]]+tbl_明細[[#This Row],[販売価格（M)]]*tbl_明細[[#This Row],[数量（M)]]</f>
        <v>0</v>
      </c>
      <c r="Z200" s="257">
        <f>_xlfn.XLOOKUP(tbl_明細[[#This Row],[案件番号]],tbl_案件追跡[案件番号],tbl_案件追跡[受注],"",0,1)</f>
        <v>0</v>
      </c>
      <c r="AA200" s="228">
        <f>tbl_明細[[#This Row],[販売価格（売値）]]+tbl_明細[[#This Row],[販売価格（M)]]</f>
        <v>0</v>
      </c>
      <c r="AB200" s="261">
        <f>tbl_明細[[#This Row],[販売価格（売値）]]*1.08+tbl_明細[[#This Row],[販売価格（M)]]*1.08</f>
        <v>0</v>
      </c>
    </row>
    <row r="201" spans="1:28">
      <c r="A201" s="73"/>
      <c r="B201" s="77" t="str">
        <f>IF(ISBLANK(tbl_明細[[#This Row],[案件番号]]),"",COUNTIFS($A$3:A201,tbl_明細[[#This Row],[案件番号]],$AA$3:AA201,"&gt;0"))</f>
        <v/>
      </c>
      <c r="C201" s="71">
        <f>COUNTIFS($A$3:A201,tbl_明細[[#This Row],[案件番号]],$F$3:F201,tbl_明細[[#This Row],[仕入先]])</f>
        <v>0</v>
      </c>
      <c r="D201" s="77" t="str">
        <f>_xlfn.XLOOKUP(tbl_明細[[#This Row],[案件番号]],tbl_採番[案件番号],tbl_採番[顧客],"",0,1)</f>
        <v/>
      </c>
      <c r="E201" s="71"/>
      <c r="F201" s="118" t="str">
        <f>IF(ISBLANK(tbl_明細[[#This Row],[仕入先（M)]]),_xlfn.XLOOKUP(tbl_明細[[#This Row],[商品ID]],商品マスタ[商品連番],商品マスタ[仕入先],"",0,1),tbl_明細[[#This Row],[仕入先（M)]])</f>
        <v/>
      </c>
      <c r="G201" s="112" t="str">
        <f>IF(ISBLANK(tbl_明細[[#This Row],[商品名（M)]]),_xlfn.XLOOKUP(tbl_明細[[#This Row],[商品ID]],商品マスタ[商品連番],商品マスタ[商品名],"",0,),tbl_明細[[#This Row],[商品名（M)]])</f>
        <v/>
      </c>
      <c r="H201" s="80" t="str">
        <f>IF(ISBLANK(tbl_明細[[#This Row],[仕入価格（M)]]),_xlfn.XLOOKUP(tbl_明細[[#This Row],[商品ID]],商品マスタ[商品連番],商品マスタ[仕入
単価],"",0,1),tbl_明細[[#This Row],[仕入価格（M)]])</f>
        <v/>
      </c>
      <c r="I201" s="80" t="str">
        <f>_xlfn.XLOOKUP(tbl_明細[[#This Row],[商品ID]],商品マスタ[商品連番],商品マスタ[国内定価
（15％）],"",0,1)</f>
        <v/>
      </c>
      <c r="J201" s="85"/>
      <c r="K201" s="71"/>
      <c r="L201" s="77" t="str">
        <f>_xlfn.XLOOKUP(tbl_明細[[#This Row],[商品ID]],商品マスタ[商品連番],商品マスタ[単位],"",0,1)</f>
        <v/>
      </c>
      <c r="M201" s="249" t="e">
        <f>1-tbl_明細[[#This Row],[仕入価格]]/tbl_明細[[#This Row],[販売価格（売値）]]</f>
        <v>#VALUE!</v>
      </c>
      <c r="N201" s="189" t="str">
        <f>_xlfn.XLOOKUP(tbl_明細[[#This Row],[商品ID]],商品マスタ[商品連番],商品マスタ[税率],"",0,1)</f>
        <v/>
      </c>
      <c r="O201" s="120"/>
      <c r="P201" s="71"/>
      <c r="Q201" s="81"/>
      <c r="R201" s="81"/>
      <c r="S201" s="71"/>
      <c r="T201" s="71"/>
      <c r="U201" s="79"/>
      <c r="V201" s="79"/>
      <c r="W201" s="113"/>
      <c r="X201" s="254" t="e">
        <f>tbl_明細[[#This Row],[仕入価格]]*tbl_明細[[#This Row],[数量]]+tbl_明細[[#This Row],[仕入価格（M)]]*tbl_明細[[#This Row],[数量（M)]]</f>
        <v>#VALUE!</v>
      </c>
      <c r="Y201" s="254">
        <f>tbl_明細[[#This Row],[販売価格（売値）]]*tbl_明細[[#This Row],[数量]]+tbl_明細[[#This Row],[販売価格（M)]]*tbl_明細[[#This Row],[数量（M)]]</f>
        <v>0</v>
      </c>
      <c r="Z201" s="257">
        <f>_xlfn.XLOOKUP(tbl_明細[[#This Row],[案件番号]],tbl_案件追跡[案件番号],tbl_案件追跡[受注],"",0,1)</f>
        <v>0</v>
      </c>
      <c r="AA201" s="228">
        <f>tbl_明細[[#This Row],[販売価格（売値）]]+tbl_明細[[#This Row],[販売価格（M)]]</f>
        <v>0</v>
      </c>
      <c r="AB201" s="261">
        <f>tbl_明細[[#This Row],[販売価格（売値）]]*1.08+tbl_明細[[#This Row],[販売価格（M)]]*1.08</f>
        <v>0</v>
      </c>
    </row>
    <row r="202" spans="1:28">
      <c r="A202" s="73"/>
      <c r="B202" s="77" t="str">
        <f>IF(ISBLANK(tbl_明細[[#This Row],[案件番号]]),"",COUNTIFS($A$3:A202,tbl_明細[[#This Row],[案件番号]],$AA$3:AA202,"&gt;0"))</f>
        <v/>
      </c>
      <c r="C202" s="71">
        <f>COUNTIFS($A$3:A202,tbl_明細[[#This Row],[案件番号]],$F$3:F202,tbl_明細[[#This Row],[仕入先]])</f>
        <v>0</v>
      </c>
      <c r="D202" s="77" t="str">
        <f>_xlfn.XLOOKUP(tbl_明細[[#This Row],[案件番号]],tbl_採番[案件番号],tbl_採番[顧客],"",0,1)</f>
        <v/>
      </c>
      <c r="E202" s="71"/>
      <c r="F202" s="118" t="str">
        <f>IF(ISBLANK(tbl_明細[[#This Row],[仕入先（M)]]),_xlfn.XLOOKUP(tbl_明細[[#This Row],[商品ID]],商品マスタ[商品連番],商品マスタ[仕入先],"",0,1),tbl_明細[[#This Row],[仕入先（M)]])</f>
        <v/>
      </c>
      <c r="G202" s="112" t="str">
        <f>IF(ISBLANK(tbl_明細[[#This Row],[商品名（M)]]),_xlfn.XLOOKUP(tbl_明細[[#This Row],[商品ID]],商品マスタ[商品連番],商品マスタ[商品名],"",0,),tbl_明細[[#This Row],[商品名（M)]])</f>
        <v/>
      </c>
      <c r="H202" s="80" t="str">
        <f>IF(ISBLANK(tbl_明細[[#This Row],[仕入価格（M)]]),_xlfn.XLOOKUP(tbl_明細[[#This Row],[商品ID]],商品マスタ[商品連番],商品マスタ[仕入
単価],"",0,1),tbl_明細[[#This Row],[仕入価格（M)]])</f>
        <v/>
      </c>
      <c r="I202" s="80" t="str">
        <f>_xlfn.XLOOKUP(tbl_明細[[#This Row],[商品ID]],商品マスタ[商品連番],商品マスタ[国内定価
（15％）],"",0,1)</f>
        <v/>
      </c>
      <c r="J202" s="85"/>
      <c r="K202" s="71"/>
      <c r="L202" s="77" t="str">
        <f>_xlfn.XLOOKUP(tbl_明細[[#This Row],[商品ID]],商品マスタ[商品連番],商品マスタ[単位],"",0,1)</f>
        <v/>
      </c>
      <c r="M202" s="249" t="e">
        <f>1-tbl_明細[[#This Row],[仕入価格]]/tbl_明細[[#This Row],[販売価格（売値）]]</f>
        <v>#VALUE!</v>
      </c>
      <c r="N202" s="189" t="str">
        <f>_xlfn.XLOOKUP(tbl_明細[[#This Row],[商品ID]],商品マスタ[商品連番],商品マスタ[税率],"",0,1)</f>
        <v/>
      </c>
      <c r="O202" s="120"/>
      <c r="P202" s="71"/>
      <c r="Q202" s="81"/>
      <c r="R202" s="81"/>
      <c r="S202" s="71"/>
      <c r="T202" s="71"/>
      <c r="U202" s="79"/>
      <c r="V202" s="79"/>
      <c r="W202" s="113"/>
      <c r="X202" s="254" t="e">
        <f>tbl_明細[[#This Row],[仕入価格]]*tbl_明細[[#This Row],[数量]]+tbl_明細[[#This Row],[仕入価格（M)]]*tbl_明細[[#This Row],[数量（M)]]</f>
        <v>#VALUE!</v>
      </c>
      <c r="Y202" s="254">
        <f>tbl_明細[[#This Row],[販売価格（売値）]]*tbl_明細[[#This Row],[数量]]+tbl_明細[[#This Row],[販売価格（M)]]*tbl_明細[[#This Row],[数量（M)]]</f>
        <v>0</v>
      </c>
      <c r="Z202" s="257">
        <f>_xlfn.XLOOKUP(tbl_明細[[#This Row],[案件番号]],tbl_案件追跡[案件番号],tbl_案件追跡[受注],"",0,1)</f>
        <v>0</v>
      </c>
      <c r="AA202" s="228">
        <f>tbl_明細[[#This Row],[販売価格（売値）]]+tbl_明細[[#This Row],[販売価格（M)]]</f>
        <v>0</v>
      </c>
      <c r="AB202" s="261">
        <f>tbl_明細[[#This Row],[販売価格（売値）]]*1.08+tbl_明細[[#This Row],[販売価格（M)]]*1.08</f>
        <v>0</v>
      </c>
    </row>
    <row r="203" spans="1:28" ht="18.600000000000001" thickBot="1">
      <c r="A203" s="74"/>
      <c r="B203" s="77" t="str">
        <f>IF(ISBLANK(tbl_明細[[#This Row],[案件番号]]),"",COUNTIFS($A$3:A203,tbl_明細[[#This Row],[案件番号]],$AA$3:AA203,"&gt;0"))</f>
        <v/>
      </c>
      <c r="C203" s="75">
        <f>COUNTIFS($A$3:A203,tbl_明細[[#This Row],[案件番号]],$F$3:F203,tbl_明細[[#This Row],[仕入先]])</f>
        <v>0</v>
      </c>
      <c r="D203" s="78" t="str">
        <f>_xlfn.XLOOKUP(tbl_明細[[#This Row],[案件番号]],tbl_採番[案件番号],tbl_採番[顧客],"",0,1)</f>
        <v/>
      </c>
      <c r="E203" s="75"/>
      <c r="F203" s="119" t="str">
        <f>IF(ISBLANK(tbl_明細[[#This Row],[仕入先（M)]]),_xlfn.XLOOKUP(tbl_明細[[#This Row],[商品ID]],商品マスタ[商品連番],商品マスタ[仕入先],"",0,1),tbl_明細[[#This Row],[仕入先（M)]])</f>
        <v/>
      </c>
      <c r="G203" s="114" t="str">
        <f>IF(ISBLANK(tbl_明細[[#This Row],[商品名（M)]]),_xlfn.XLOOKUP(tbl_明細[[#This Row],[商品ID]],商品マスタ[商品連番],商品マスタ[商品名],"",0,),tbl_明細[[#This Row],[商品名（M)]])</f>
        <v/>
      </c>
      <c r="H203" s="110" t="str">
        <f>IF(ISBLANK(tbl_明細[[#This Row],[仕入価格（M)]]),_xlfn.XLOOKUP(tbl_明細[[#This Row],[商品ID]],商品マスタ[商品連番],商品マスタ[仕入
単価],"",0,1),tbl_明細[[#This Row],[仕入価格（M)]])</f>
        <v/>
      </c>
      <c r="I203" s="110" t="str">
        <f>_xlfn.XLOOKUP(tbl_明細[[#This Row],[商品ID]],商品マスタ[商品連番],商品マスタ[国内定価
（15％）],"",0,1)</f>
        <v/>
      </c>
      <c r="J203" s="111"/>
      <c r="K203" s="115"/>
      <c r="L203" s="109" t="str">
        <f>_xlfn.XLOOKUP(tbl_明細[[#This Row],[商品ID]],商品マスタ[商品連番],商品マスタ[単位],"",0,1)</f>
        <v/>
      </c>
      <c r="M203" s="250" t="e">
        <f>1-tbl_明細[[#This Row],[仕入価格]]/tbl_明細[[#This Row],[販売価格（売値）]]</f>
        <v>#VALUE!</v>
      </c>
      <c r="N203" s="190" t="str">
        <f>_xlfn.XLOOKUP(tbl_明細[[#This Row],[商品ID]],商品マスタ[商品連番],商品マスタ[税率],"",0,1)</f>
        <v/>
      </c>
      <c r="O203" s="121"/>
      <c r="P203" s="115"/>
      <c r="Q203" s="116"/>
      <c r="R203" s="116"/>
      <c r="S203" s="115"/>
      <c r="T203" s="115"/>
      <c r="U203" s="191"/>
      <c r="V203" s="191"/>
      <c r="W203" s="117"/>
      <c r="X203" s="255" t="e">
        <f>tbl_明細[[#This Row],[仕入価格]]*tbl_明細[[#This Row],[数量]]+tbl_明細[[#This Row],[仕入価格（M)]]*tbl_明細[[#This Row],[数量（M)]]</f>
        <v>#VALUE!</v>
      </c>
      <c r="Y203" s="255">
        <f>tbl_明細[[#This Row],[販売価格（売値）]]*tbl_明細[[#This Row],[数量]]+tbl_明細[[#This Row],[販売価格（M)]]*tbl_明細[[#This Row],[数量（M)]]</f>
        <v>0</v>
      </c>
      <c r="Z203" s="258">
        <f>_xlfn.XLOOKUP(tbl_明細[[#This Row],[案件番号]],tbl_案件追跡[案件番号],tbl_案件追跡[受注],"",0,1)</f>
        <v>0</v>
      </c>
      <c r="AA203" s="229">
        <f>tbl_明細[[#This Row],[販売価格（売値）]]+tbl_明細[[#This Row],[販売価格（M)]]</f>
        <v>0</v>
      </c>
      <c r="AB203" s="263">
        <f>tbl_明細[[#This Row],[販売価格（売値）]]*1.08+tbl_明細[[#This Row],[販売価格（M)]]*1.08</f>
        <v>0</v>
      </c>
    </row>
  </sheetData>
  <mergeCells count="2">
    <mergeCell ref="G1:M1"/>
    <mergeCell ref="N1:V1"/>
  </mergeCells>
  <phoneticPr fontId="3"/>
  <conditionalFormatting sqref="E53:E56">
    <cfRule type="containsText" dxfId="104" priority="1" operator="containsText" text="XXX">
      <formula>NOT(ISERROR(SEARCH("XXX",E53)))</formula>
    </cfRule>
  </conditionalFormatting>
  <pageMargins left="0.7" right="0.7" top="0.75" bottom="0.75" header="0.3" footer="0.3"/>
  <pageSetup paperSize="9" scale="39"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EF20F-2D3D-4E04-B284-DB62EE442CFE}">
  <sheetPr>
    <pageSetUpPr fitToPage="1"/>
  </sheetPr>
  <dimension ref="A1:CO34"/>
  <sheetViews>
    <sheetView workbookViewId="0">
      <pane xSplit="5" ySplit="3" topLeftCell="J4" activePane="bottomRight" state="frozen"/>
      <selection pane="topRight" activeCell="F1" sqref="F1"/>
      <selection pane="bottomLeft" activeCell="A4" sqref="A4"/>
      <selection pane="bottomRight" activeCell="N7" sqref="N7"/>
    </sheetView>
  </sheetViews>
  <sheetFormatPr defaultRowHeight="18"/>
  <cols>
    <col min="1" max="1" width="14.59765625" bestFit="1" customWidth="1"/>
    <col min="2" max="2" width="5.19921875" customWidth="1"/>
    <col min="3" max="3" width="16.19921875" bestFit="1" customWidth="1"/>
    <col min="4" max="4" width="16.69921875" customWidth="1"/>
    <col min="5" max="5" width="19.09765625" style="53" customWidth="1"/>
    <col min="6" max="6" width="8.19921875" style="53" customWidth="1"/>
    <col min="7" max="7" width="16.19921875" style="53" customWidth="1"/>
    <col min="8" max="9" width="41.19921875" style="53" customWidth="1"/>
    <col min="10" max="10" width="31.59765625" bestFit="1" customWidth="1"/>
    <col min="11" max="11" width="18" customWidth="1"/>
    <col min="12" max="12" width="18.19921875" style="53" bestFit="1" customWidth="1"/>
    <col min="13" max="14" width="9.19921875" style="53" customWidth="1"/>
    <col min="15" max="15" width="9.19921875" customWidth="1"/>
    <col min="16" max="16" width="9.19921875" style="53" customWidth="1"/>
    <col min="17" max="18" width="9.19921875" customWidth="1"/>
    <col min="19" max="21" width="9.19921875" style="53" customWidth="1"/>
    <col min="22" max="26" width="9.19921875" customWidth="1"/>
    <col min="27" max="27" width="9.3984375" customWidth="1"/>
    <col min="28" max="28" width="8.09765625" hidden="1" customWidth="1"/>
    <col min="29" max="29" width="9.19921875" customWidth="1"/>
    <col min="30" max="30" width="26.59765625" customWidth="1"/>
    <col min="31" max="31" width="9.19921875" customWidth="1"/>
    <col min="32" max="32" width="26.59765625" customWidth="1"/>
    <col min="34" max="93" width="7.5" customWidth="1"/>
  </cols>
  <sheetData>
    <row r="1" spans="1:93" s="53" customFormat="1">
      <c r="A1" s="90" t="s">
        <v>1218</v>
      </c>
      <c r="AG1" s="53" t="s">
        <v>1786</v>
      </c>
      <c r="AH1" s="276">
        <v>46054</v>
      </c>
      <c r="AI1" s="276"/>
      <c r="AJ1" s="53" t="s">
        <v>1089</v>
      </c>
      <c r="AK1" s="53" t="s">
        <v>1787</v>
      </c>
    </row>
    <row r="2" spans="1:93" s="53" customFormat="1">
      <c r="A2" s="90"/>
      <c r="AH2" s="216"/>
    </row>
    <row r="3" spans="1:93" ht="36">
      <c r="A3" s="198" t="s">
        <v>1084</v>
      </c>
      <c r="B3" s="199" t="s">
        <v>1777</v>
      </c>
      <c r="C3" s="199" t="s">
        <v>1145</v>
      </c>
      <c r="D3" s="199" t="s">
        <v>1162</v>
      </c>
      <c r="E3" s="199" t="s">
        <v>1146</v>
      </c>
      <c r="F3" s="199" t="s">
        <v>1782</v>
      </c>
      <c r="G3" s="199" t="s">
        <v>1164</v>
      </c>
      <c r="H3" s="199" t="s">
        <v>1165</v>
      </c>
      <c r="I3" s="199" t="s">
        <v>1166</v>
      </c>
      <c r="J3" s="199" t="s">
        <v>1167</v>
      </c>
      <c r="K3" s="199" t="s">
        <v>1168</v>
      </c>
      <c r="L3" s="199" t="s">
        <v>1194</v>
      </c>
      <c r="M3" s="200" t="s">
        <v>1149</v>
      </c>
      <c r="N3" s="200" t="s">
        <v>1152</v>
      </c>
      <c r="O3" s="200" t="s">
        <v>1153</v>
      </c>
      <c r="P3" s="200" t="s">
        <v>1161</v>
      </c>
      <c r="Q3" s="200" t="s">
        <v>1154</v>
      </c>
      <c r="R3" s="200" t="s">
        <v>1150</v>
      </c>
      <c r="S3" s="200" t="s">
        <v>1155</v>
      </c>
      <c r="T3" s="200" t="s">
        <v>1156</v>
      </c>
      <c r="U3" s="200" t="s">
        <v>1157</v>
      </c>
      <c r="V3" s="200" t="s">
        <v>1515</v>
      </c>
      <c r="W3" s="200" t="s">
        <v>1151</v>
      </c>
      <c r="X3" s="200" t="s">
        <v>1158</v>
      </c>
      <c r="Y3" s="200" t="s">
        <v>1159</v>
      </c>
      <c r="Z3" s="200" t="s">
        <v>1160</v>
      </c>
      <c r="AA3" s="199" t="s">
        <v>1147</v>
      </c>
      <c r="AB3" s="199" t="s">
        <v>1778</v>
      </c>
      <c r="AC3" s="199" t="s">
        <v>1785</v>
      </c>
      <c r="AD3" s="199" t="s">
        <v>1783</v>
      </c>
      <c r="AE3" s="200" t="s">
        <v>1781</v>
      </c>
      <c r="AF3" s="201" t="s">
        <v>1784</v>
      </c>
      <c r="AH3" s="221">
        <f>$AH$1 - WEEKDAY($AH$1,3)</f>
        <v>46048</v>
      </c>
      <c r="AI3" s="221">
        <f>IF($AK$1="日",AH3+DAY(1),AH3+DAY(7))</f>
        <v>46049</v>
      </c>
      <c r="AJ3" s="221">
        <f t="shared" ref="AJ3:CO3" si="0">IF($AK$1="日",AI3+DAY(1),AI3+DAY(7))</f>
        <v>46050</v>
      </c>
      <c r="AK3" s="221">
        <f t="shared" si="0"/>
        <v>46051</v>
      </c>
      <c r="AL3" s="221">
        <f t="shared" si="0"/>
        <v>46052</v>
      </c>
      <c r="AM3" s="221">
        <f t="shared" si="0"/>
        <v>46053</v>
      </c>
      <c r="AN3" s="221">
        <f t="shared" si="0"/>
        <v>46054</v>
      </c>
      <c r="AO3" s="221">
        <f t="shared" si="0"/>
        <v>46055</v>
      </c>
      <c r="AP3" s="221">
        <f t="shared" si="0"/>
        <v>46056</v>
      </c>
      <c r="AQ3" s="221">
        <f t="shared" si="0"/>
        <v>46057</v>
      </c>
      <c r="AR3" s="221">
        <f t="shared" si="0"/>
        <v>46058</v>
      </c>
      <c r="AS3" s="221">
        <f t="shared" si="0"/>
        <v>46059</v>
      </c>
      <c r="AT3" s="221">
        <f t="shared" si="0"/>
        <v>46060</v>
      </c>
      <c r="AU3" s="221">
        <f t="shared" si="0"/>
        <v>46061</v>
      </c>
      <c r="AV3" s="221">
        <f t="shared" si="0"/>
        <v>46062</v>
      </c>
      <c r="AW3" s="221">
        <f t="shared" si="0"/>
        <v>46063</v>
      </c>
      <c r="AX3" s="221">
        <f t="shared" si="0"/>
        <v>46064</v>
      </c>
      <c r="AY3" s="221">
        <f t="shared" si="0"/>
        <v>46065</v>
      </c>
      <c r="AZ3" s="221">
        <f t="shared" si="0"/>
        <v>46066</v>
      </c>
      <c r="BA3" s="221">
        <f t="shared" si="0"/>
        <v>46067</v>
      </c>
      <c r="BB3" s="221">
        <f t="shared" si="0"/>
        <v>46068</v>
      </c>
      <c r="BC3" s="221">
        <f t="shared" si="0"/>
        <v>46069</v>
      </c>
      <c r="BD3" s="221">
        <f t="shared" si="0"/>
        <v>46070</v>
      </c>
      <c r="BE3" s="221">
        <f t="shared" si="0"/>
        <v>46071</v>
      </c>
      <c r="BF3" s="221">
        <f t="shared" si="0"/>
        <v>46072</v>
      </c>
      <c r="BG3" s="221">
        <f t="shared" si="0"/>
        <v>46073</v>
      </c>
      <c r="BH3" s="221">
        <f t="shared" si="0"/>
        <v>46074</v>
      </c>
      <c r="BI3" s="221">
        <f t="shared" si="0"/>
        <v>46075</v>
      </c>
      <c r="BJ3" s="221">
        <f t="shared" si="0"/>
        <v>46076</v>
      </c>
      <c r="BK3" s="221">
        <f t="shared" si="0"/>
        <v>46077</v>
      </c>
      <c r="BL3" s="221">
        <f t="shared" si="0"/>
        <v>46078</v>
      </c>
      <c r="BM3" s="221">
        <f t="shared" si="0"/>
        <v>46079</v>
      </c>
      <c r="BN3" s="221">
        <f t="shared" si="0"/>
        <v>46080</v>
      </c>
      <c r="BO3" s="221">
        <f t="shared" si="0"/>
        <v>46081</v>
      </c>
      <c r="BP3" s="221">
        <f t="shared" si="0"/>
        <v>46082</v>
      </c>
      <c r="BQ3" s="221">
        <f t="shared" si="0"/>
        <v>46083</v>
      </c>
      <c r="BR3" s="221">
        <f t="shared" si="0"/>
        <v>46084</v>
      </c>
      <c r="BS3" s="221">
        <f t="shared" si="0"/>
        <v>46085</v>
      </c>
      <c r="BT3" s="221">
        <f t="shared" si="0"/>
        <v>46086</v>
      </c>
      <c r="BU3" s="221">
        <f t="shared" si="0"/>
        <v>46087</v>
      </c>
      <c r="BV3" s="221">
        <f t="shared" si="0"/>
        <v>46088</v>
      </c>
      <c r="BW3" s="221">
        <f t="shared" si="0"/>
        <v>46089</v>
      </c>
      <c r="BX3" s="221">
        <f t="shared" si="0"/>
        <v>46090</v>
      </c>
      <c r="BY3" s="221">
        <f t="shared" si="0"/>
        <v>46091</v>
      </c>
      <c r="BZ3" s="221">
        <f t="shared" si="0"/>
        <v>46092</v>
      </c>
      <c r="CA3" s="221">
        <f t="shared" si="0"/>
        <v>46093</v>
      </c>
      <c r="CB3" s="221">
        <f t="shared" si="0"/>
        <v>46094</v>
      </c>
      <c r="CC3" s="221">
        <f t="shared" si="0"/>
        <v>46095</v>
      </c>
      <c r="CD3" s="221">
        <f t="shared" si="0"/>
        <v>46096</v>
      </c>
      <c r="CE3" s="221">
        <f t="shared" si="0"/>
        <v>46097</v>
      </c>
      <c r="CF3" s="221">
        <f t="shared" si="0"/>
        <v>46098</v>
      </c>
      <c r="CG3" s="221">
        <f t="shared" si="0"/>
        <v>46099</v>
      </c>
      <c r="CH3" s="221">
        <f t="shared" si="0"/>
        <v>46100</v>
      </c>
      <c r="CI3" s="221">
        <f t="shared" si="0"/>
        <v>46101</v>
      </c>
      <c r="CJ3" s="221">
        <f t="shared" si="0"/>
        <v>46102</v>
      </c>
      <c r="CK3" s="221">
        <f t="shared" si="0"/>
        <v>46103</v>
      </c>
      <c r="CL3" s="221">
        <f t="shared" si="0"/>
        <v>46104</v>
      </c>
      <c r="CM3" s="221">
        <f t="shared" si="0"/>
        <v>46105</v>
      </c>
      <c r="CN3" s="221">
        <f t="shared" si="0"/>
        <v>46106</v>
      </c>
      <c r="CO3" s="221">
        <f t="shared" si="0"/>
        <v>46107</v>
      </c>
    </row>
    <row r="4" spans="1:93">
      <c r="A4" s="73" t="s">
        <v>1163</v>
      </c>
      <c r="B4" s="71" cm="1">
        <f t="array" ref="B4">IF(ISBLANK(tbl_案件追跡[[#This Row],[案件番号]]),"",COUNTA(_xlfn.UNIQUE(_xlfn._xlws.FILTER(tbl_明細[仕入先], tbl_明細[案件番号]=tbl_案件追跡[[#This Row],[案件番号]]))))</f>
        <v>1</v>
      </c>
      <c r="C4" s="77" t="str">
        <f>IF(ISBLANK(tbl_案件追跡[[#This Row],[案件番号]]),"",_xlfn.XLOOKUP(tbl_案件追跡[[#This Row],[案件番号]],tbl_明細[案件番号],tbl_明細[顧客名],"",0,1))</f>
        <v>日新堂株式会社</v>
      </c>
      <c r="D4" s="86" t="str">
        <f>IF(ISBLANK(tbl_案件追跡[[#This Row],[案件番号]]),"",IF(tbl_案件追跡[[#This Row],[仕入先数]] = 1, _xlfn.XLOOKUP(tbl_案件追跡[[#This Row],[案件番号]],tbl_明細[案件番号],tbl_明細[仕入先],"",0,1),""))</f>
        <v>ソバージュド函館</v>
      </c>
      <c r="E4" s="77" t="str" cm="1">
        <f t="array" ref="E4">IF(ISBLANK(tbl_案件追跡[[#This Row],[案件番号]]),"",_xlfn.XLOOKUP(tbl_案件追跡[[#This Row],[案件番号]]&amp;tbl_案件追跡[[#This Row],[仕入先]],tbl_明細[案件番号]&amp;tbl_明細[仕入先],tbl_明細[商品名],"",0,1))</f>
        <v>熊掌（後脚）</v>
      </c>
      <c r="F4" s="86" t="s">
        <v>1182</v>
      </c>
      <c r="G4" s="86"/>
      <c r="H4" s="86"/>
      <c r="I4" s="86"/>
      <c r="J4" s="86"/>
      <c r="K4" s="86"/>
      <c r="L4" s="71" t="s">
        <v>1148</v>
      </c>
      <c r="M4" s="214"/>
      <c r="N4" s="215">
        <v>46037</v>
      </c>
      <c r="O4" s="215">
        <v>46042</v>
      </c>
      <c r="P4" s="214"/>
      <c r="Q4" s="215">
        <v>46035</v>
      </c>
      <c r="R4" s="215">
        <v>46035</v>
      </c>
      <c r="S4" s="215">
        <v>46035</v>
      </c>
      <c r="T4" s="215">
        <v>46035.708333333336</v>
      </c>
      <c r="U4" s="215">
        <v>46035.708333333336</v>
      </c>
      <c r="V4" s="215">
        <v>46037.5</v>
      </c>
      <c r="W4" s="214">
        <f>IF(ISBLANK(tbl_案件追跡[[#This Row],[着荷]]),"",EOMONTH(tbl_案件追跡[[#This Row],[着荷]],0))</f>
        <v>46053</v>
      </c>
      <c r="X4" s="214"/>
      <c r="Y4" s="214">
        <f>IF(AND(tbl_案件追跡[[#This Row],[支払い条件]]="前払",ISBLANK(tbl_案件追跡[[#This Row],[受注]])= FALSE ),tbl_案件追跡[[#This Row],[受注]],IF(ISBLANK(tbl_案件追跡[[#This Row],[着荷]]),"",EOMONTH(tbl_案件追跡[[#This Row],[着荷]],0)))</f>
        <v>46042</v>
      </c>
      <c r="Z4" s="214"/>
      <c r="AA4" s="77" t="str">
        <f>_xlfn.XLOOKUP(tbl_案件追跡[[#This Row],[案件番号]],tbl_採番[案件番号],tbl_採番[担当者],"",0,1)</f>
        <v>杉田</v>
      </c>
      <c r="AB4" s="209">
        <f>IF(ISBLANK(tbl_案件追跡[[#This Row],[案件番号]]),"",COUNTIF(tbl_案件追跡[案件番号],tbl_案件追跡[[#This Row],[案件番号]]))</f>
        <v>1</v>
      </c>
      <c r="AC4" s="214">
        <v>46055</v>
      </c>
      <c r="AD4" s="71">
        <v>1010079</v>
      </c>
      <c r="AE4" s="214"/>
      <c r="AF4" s="72">
        <v>1120110</v>
      </c>
      <c r="AH4"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4"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4"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4"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4"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4"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4"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4"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4"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4"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4"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4"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4"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4"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4"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4"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4"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4"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4"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4"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4"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4"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4"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4"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4"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4"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4"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4"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4"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4"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4"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4"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4"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4"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4"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4"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4"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4"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4"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4"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4"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4"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4"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4"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4"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4"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4"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4"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4"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4"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4"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4"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4"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4"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4"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4"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4"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4"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4"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4"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5" spans="1:93">
      <c r="A5" s="73" t="s">
        <v>1107</v>
      </c>
      <c r="B5" s="71" cm="1">
        <f t="array" ref="B5">IF(ISBLANK(tbl_案件追跡[[#This Row],[案件番号]]),"",COUNTA(_xlfn.UNIQUE(_xlfn._xlws.FILTER(tbl_明細[仕入先], tbl_明細[案件番号]=tbl_案件追跡[[#This Row],[案件番号]]))))</f>
        <v>1</v>
      </c>
      <c r="C5" s="77" t="str">
        <f>IF(ISBLANK(tbl_案件追跡[[#This Row],[案件番号]]),"",_xlfn.XLOOKUP(tbl_案件追跡[[#This Row],[案件番号]],tbl_明細[案件番号],tbl_明細[顧客名],"",0,1))</f>
        <v>日新堂株式会社</v>
      </c>
      <c r="D5" s="86" t="str">
        <f>IF(ISBLANK(tbl_案件追跡[[#This Row],[案件番号]]),"",IF(tbl_案件追跡[[#This Row],[仕入先数]] = 1, _xlfn.XLOOKUP(tbl_案件追跡[[#This Row],[案件番号]],tbl_明細[案件番号],tbl_明細[仕入先],"",0,1),""))</f>
        <v>狩人の蔵</v>
      </c>
      <c r="E5" s="77" t="str" cm="1">
        <f t="array" ref="E5">IF(ISBLANK(tbl_案件追跡[[#This Row],[案件番号]]),"",_xlfn.XLOOKUP(tbl_案件追跡[[#This Row],[案件番号]]&amp;tbl_案件追跡[[#This Row],[仕入先]],tbl_明細[案件番号]&amp;tbl_明細[仕入先],tbl_明細[商品名],"",0,1))</f>
        <v>熊掌（前脚）</v>
      </c>
      <c r="F5" s="86" t="s">
        <v>1182</v>
      </c>
      <c r="G5" s="86"/>
      <c r="H5" s="86"/>
      <c r="I5" s="86"/>
      <c r="J5" s="86"/>
      <c r="K5" s="86"/>
      <c r="L5" s="71" t="s">
        <v>1148</v>
      </c>
      <c r="M5" s="214"/>
      <c r="N5" s="215">
        <v>46041</v>
      </c>
      <c r="O5" s="215">
        <v>46042</v>
      </c>
      <c r="P5" s="214"/>
      <c r="Q5" s="215">
        <v>46044</v>
      </c>
      <c r="R5" s="215">
        <v>46044</v>
      </c>
      <c r="S5" s="215">
        <v>46045</v>
      </c>
      <c r="T5" s="215">
        <v>46045.708333333336</v>
      </c>
      <c r="U5" s="215">
        <v>46045.625</v>
      </c>
      <c r="V5" s="215">
        <v>46048.458333333336</v>
      </c>
      <c r="W5" s="214">
        <f>IF(ISBLANK(tbl_案件追跡[[#This Row],[着荷]]),"",EOMONTH(tbl_案件追跡[[#This Row],[着荷]],0))</f>
        <v>46053</v>
      </c>
      <c r="X5" s="214"/>
      <c r="Y5" s="214">
        <f>IF(AND(tbl_案件追跡[[#This Row],[支払い条件]]="前払",ISBLANK(tbl_案件追跡[[#This Row],[受注]])= FALSE ),tbl_案件追跡[[#This Row],[受注]],IF(ISBLANK(tbl_案件追跡[[#This Row],[着荷]]),"",EOMONTH(tbl_案件追跡[[#This Row],[着荷]],0)))</f>
        <v>46042</v>
      </c>
      <c r="Z5" s="214"/>
      <c r="AA5" s="77" t="str">
        <f>_xlfn.XLOOKUP(tbl_案件追跡[[#This Row],[案件番号]],tbl_採番[案件番号],tbl_採番[担当者],"",0,1)</f>
        <v>杉田</v>
      </c>
      <c r="AB5" s="209">
        <f>IF(ISBLANK(tbl_案件追跡[[#This Row],[案件番号]]),"",COUNTIF(tbl_案件追跡[案件番号],tbl_案件追跡[[#This Row],[案件番号]]))</f>
        <v>1</v>
      </c>
      <c r="AC5" s="214"/>
      <c r="AD5" s="71">
        <v>1010119</v>
      </c>
      <c r="AE5" s="214"/>
      <c r="AF5" s="72">
        <v>1010060</v>
      </c>
      <c r="AH5"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5"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5"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5"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5"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5"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5"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5"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5"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5"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5"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5"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5"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5"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5"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5"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5"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5"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5"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5"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5"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5"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5"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5"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5"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5"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5"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5"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5"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5"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5"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5"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5"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5"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5"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5"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5"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5"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5"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5"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5"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5"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5"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5"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5"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5"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5"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5"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5"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5"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5"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5"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5"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5"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5"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5"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5"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5"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5"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5"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6" spans="1:93">
      <c r="A6" s="73" t="s">
        <v>1127</v>
      </c>
      <c r="B6" s="71" cm="1">
        <f t="array" ref="B6">IF(ISBLANK(tbl_案件追跡[[#This Row],[案件番号]]),"",COUNTA(_xlfn.UNIQUE(_xlfn._xlws.FILTER(tbl_明細[仕入先], tbl_明細[案件番号]=tbl_案件追跡[[#This Row],[案件番号]]))))</f>
        <v>1</v>
      </c>
      <c r="C6" s="77" t="str">
        <f>IF(ISBLANK(tbl_案件追跡[[#This Row],[案件番号]]),"",_xlfn.XLOOKUP(tbl_案件追跡[[#This Row],[案件番号]],tbl_明細[案件番号],tbl_明細[顧客名],"",0,1))</f>
        <v>オーセントホテルズ（楽水山）</v>
      </c>
      <c r="D6" s="86" t="str">
        <f>IF(ISBLANK(tbl_案件追跡[[#This Row],[案件番号]]),"",IF(tbl_案件追跡[[#This Row],[仕入先数]] = 1, _xlfn.XLOOKUP(tbl_案件追跡[[#This Row],[案件番号]],tbl_明細[案件番号],tbl_明細[仕入先],"",0,1),""))</f>
        <v>協栄製茶　壱之庄</v>
      </c>
      <c r="E6" s="77" t="str" cm="1">
        <f t="array" ref="E6">IF(ISBLANK(tbl_案件追跡[[#This Row],[案件番号]]),"",_xlfn.XLOOKUP(tbl_案件追跡[[#This Row],[案件番号]]&amp;tbl_案件追跡[[#This Row],[仕入先]],tbl_明細[案件番号]&amp;tbl_明細[仕入先],tbl_明細[商品名],"",0,1))</f>
        <v>雁の音ほうじ茶壱之棒（茶葉） 500g</v>
      </c>
      <c r="F6" s="86" t="s">
        <v>1183</v>
      </c>
      <c r="G6" s="86"/>
      <c r="H6" s="86"/>
      <c r="I6" s="86"/>
      <c r="J6" s="86"/>
      <c r="K6" s="86"/>
      <c r="L6" s="71" t="s">
        <v>1216</v>
      </c>
      <c r="M6" s="214"/>
      <c r="N6" s="215">
        <v>46040</v>
      </c>
      <c r="O6" s="215">
        <v>46042</v>
      </c>
      <c r="P6" s="214"/>
      <c r="Q6" s="215"/>
      <c r="R6" s="215"/>
      <c r="S6" s="215">
        <v>46043</v>
      </c>
      <c r="T6" s="215">
        <v>46046</v>
      </c>
      <c r="U6" s="215">
        <v>46046</v>
      </c>
      <c r="V6" s="215">
        <v>46049</v>
      </c>
      <c r="W6" s="214">
        <f>IF(ISBLANK(tbl_案件追跡[[#This Row],[着荷]]),"",EOMONTH(tbl_案件追跡[[#This Row],[着荷]],0))</f>
        <v>46053</v>
      </c>
      <c r="X6" s="214"/>
      <c r="Y6" s="214">
        <f>IF(AND(tbl_案件追跡[[#This Row],[支払い条件]]="前払",ISBLANK(tbl_案件追跡[[#This Row],[受注]])= FALSE ),tbl_案件追跡[[#This Row],[受注]],IF(ISBLANK(tbl_案件追跡[[#This Row],[着荷]]),"",EOMONTH(tbl_案件追跡[[#This Row],[着荷]],0)))</f>
        <v>46053</v>
      </c>
      <c r="Z6" s="214"/>
      <c r="AA6" s="77" t="str">
        <f>_xlfn.XLOOKUP(tbl_案件追跡[[#This Row],[案件番号]],tbl_採番[案件番号],tbl_採番[担当者],"",0,1)</f>
        <v>永井</v>
      </c>
      <c r="AB6" s="209">
        <f>IF(ISBLANK(tbl_案件追跡[[#This Row],[案件番号]]),"",COUNTIF(tbl_案件追跡[案件番号],tbl_案件追跡[[#This Row],[案件番号]]))</f>
        <v>1</v>
      </c>
      <c r="AC6" s="214"/>
      <c r="AD6" s="71">
        <v>1010078</v>
      </c>
      <c r="AE6" s="214">
        <v>46055</v>
      </c>
      <c r="AF6" s="72">
        <v>1010086</v>
      </c>
      <c r="AH6"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6"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着荷</v>
      </c>
      <c r="AJ6"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6"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6"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6"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6"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6"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6"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6"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6"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6"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6"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6"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6"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6"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6"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6"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6"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6"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6"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6"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6"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6"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6"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6"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6"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6"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6"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6"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6"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6"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6"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6"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6"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6"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6"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6"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6"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6"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6"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6"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6"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6"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6"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6"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6"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6"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6"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6"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6"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6"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6"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6"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6"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6"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6"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6"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6"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6"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7" spans="1:93">
      <c r="A7" s="73" t="s">
        <v>1132</v>
      </c>
      <c r="B7" s="71" cm="1">
        <f t="array" ref="B7">IF(ISBLANK(tbl_案件追跡[[#This Row],[案件番号]]),"",COUNTA(_xlfn.UNIQUE(_xlfn._xlws.FILTER(tbl_明細[仕入先], tbl_明細[案件番号]=tbl_案件追跡[[#This Row],[案件番号]]))))</f>
        <v>1</v>
      </c>
      <c r="C7" s="77" t="str">
        <f>IF(ISBLANK(tbl_案件追跡[[#This Row],[案件番号]]),"",_xlfn.XLOOKUP(tbl_案件追跡[[#This Row],[案件番号]],tbl_明細[案件番号],tbl_明細[顧客名],"",0,1))</f>
        <v>ホロニック（ガーデンシティクラブ大阪）</v>
      </c>
      <c r="D7" s="86" t="str">
        <f>IF(ISBLANK(tbl_案件追跡[[#This Row],[案件番号]]),"",IF(tbl_案件追跡[[#This Row],[仕入先数]] = 1, _xlfn.XLOOKUP(tbl_案件追跡[[#This Row],[案件番号]],tbl_明細[案件番号],tbl_明細[仕入先],"",0,1),""))</f>
        <v>あぷかの森</v>
      </c>
      <c r="E7" s="77" t="str" cm="1">
        <f t="array" ref="E7">IF(ISBLANK(tbl_案件追跡[[#This Row],[案件番号]]),"",_xlfn.XLOOKUP(tbl_案件追跡[[#This Row],[案件番号]]&amp;tbl_案件追跡[[#This Row],[仕入先]],tbl_明細[案件番号]&amp;tbl_明細[仕入先],tbl_明細[商品名],"",0,1))</f>
        <v>エゾシカ　ロース</v>
      </c>
      <c r="F7" s="86" t="s">
        <v>1179</v>
      </c>
      <c r="G7" s="71" t="s">
        <v>1191</v>
      </c>
      <c r="H7" s="86" t="s">
        <v>1143</v>
      </c>
      <c r="I7" s="86"/>
      <c r="J7" s="86" t="s">
        <v>1192</v>
      </c>
      <c r="K7" s="86" t="s">
        <v>1193</v>
      </c>
      <c r="L7" s="71" t="s">
        <v>1216</v>
      </c>
      <c r="M7" s="214"/>
      <c r="N7" s="215">
        <v>46043</v>
      </c>
      <c r="O7" s="215">
        <v>46045</v>
      </c>
      <c r="P7" s="214"/>
      <c r="Q7" s="215"/>
      <c r="R7" s="215"/>
      <c r="S7" s="215">
        <v>46049</v>
      </c>
      <c r="T7" s="215">
        <v>46049.708333333336</v>
      </c>
      <c r="U7" s="215">
        <v>46049</v>
      </c>
      <c r="V7" s="215">
        <v>46051</v>
      </c>
      <c r="W7" s="214">
        <f>IF(ISBLANK(tbl_案件追跡[[#This Row],[着荷]]),"",EOMONTH(tbl_案件追跡[[#This Row],[着荷]],0))</f>
        <v>46053</v>
      </c>
      <c r="X7" s="214"/>
      <c r="Y7" s="214">
        <f>IF(AND(tbl_案件追跡[[#This Row],[支払い条件]]="前払",ISBLANK(tbl_案件追跡[[#This Row],[受注]])= FALSE ),tbl_案件追跡[[#This Row],[受注]],IF(ISBLANK(tbl_案件追跡[[#This Row],[着荷]]),"",EOMONTH(tbl_案件追跡[[#This Row],[着荷]],0)))</f>
        <v>46053</v>
      </c>
      <c r="Z7" s="214"/>
      <c r="AA7" s="77" t="str">
        <f>_xlfn.XLOOKUP(tbl_案件追跡[[#This Row],[案件番号]],tbl_採番[案件番号],tbl_採番[担当者],"",0,1)</f>
        <v>杉田</v>
      </c>
      <c r="AB7" s="209">
        <f>IF(ISBLANK(tbl_案件追跡[[#This Row],[案件番号]]),"",COUNTIF(tbl_案件追跡[案件番号],tbl_案件追跡[[#This Row],[案件番号]]))</f>
        <v>1</v>
      </c>
      <c r="AC7" s="214"/>
      <c r="AD7" s="71">
        <v>1010076</v>
      </c>
      <c r="AE7" s="214">
        <v>46063</v>
      </c>
      <c r="AF7" s="72">
        <v>1011187</v>
      </c>
      <c r="AH7"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7"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発注</v>
      </c>
      <c r="AJ7"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7"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着荷</v>
      </c>
      <c r="AL7"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7"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7"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7"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7"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7"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7"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7"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7"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7"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7"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7"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7"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7"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7"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7"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7"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7"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7"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7"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7"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7"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7"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7"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7"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7"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7"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7"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7"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7"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7"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7"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7"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7"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7"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7"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7"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7"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7"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7"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7"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7"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7"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7"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7"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7"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7"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7"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7"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7"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7"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7"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7"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7"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7"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7"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8" spans="1:93">
      <c r="A8" s="73" t="s">
        <v>1134</v>
      </c>
      <c r="B8" s="71" cm="1">
        <f t="array" ref="B8">IF(ISBLANK(tbl_案件追跡[[#This Row],[案件番号]]),"",COUNTA(_xlfn.UNIQUE(_xlfn._xlws.FILTER(tbl_明細[仕入先], tbl_明細[案件番号]=tbl_案件追跡[[#This Row],[案件番号]]))))</f>
        <v>1</v>
      </c>
      <c r="C8" s="77" t="str">
        <f>IF(ISBLANK(tbl_案件追跡[[#This Row],[案件番号]]),"",_xlfn.XLOOKUP(tbl_案件追跡[[#This Row],[案件番号]],tbl_明細[案件番号],tbl_明細[顧客名],"",0,1))</f>
        <v>日新堂株式会社</v>
      </c>
      <c r="D8" s="86" t="str">
        <f>IF(ISBLANK(tbl_案件追跡[[#This Row],[案件番号]]),"",IF(tbl_案件追跡[[#This Row],[仕入先数]] = 1, _xlfn.XLOOKUP(tbl_案件追跡[[#This Row],[案件番号]],tbl_明細[案件番号],tbl_明細[仕入先],"",0,1),""))</f>
        <v>狩人の蔵</v>
      </c>
      <c r="E8" s="77" t="str" cm="1">
        <f t="array" ref="E8">IF(ISBLANK(tbl_案件追跡[[#This Row],[案件番号]]),"",_xlfn.XLOOKUP(tbl_案件追跡[[#This Row],[案件番号]]&amp;tbl_案件追跡[[#This Row],[仕入先]],tbl_明細[案件番号]&amp;tbl_明細[仕入先],tbl_明細[商品名],"",0,1))</f>
        <v>熊掌（後脚）</v>
      </c>
      <c r="F8" s="86" t="s">
        <v>1182</v>
      </c>
      <c r="G8" s="71" t="s">
        <v>1195</v>
      </c>
      <c r="H8" s="71" t="s">
        <v>1196</v>
      </c>
      <c r="I8" s="86"/>
      <c r="J8" s="71" t="s">
        <v>1197</v>
      </c>
      <c r="K8" s="71" t="s">
        <v>1198</v>
      </c>
      <c r="L8" s="71" t="s">
        <v>1148</v>
      </c>
      <c r="M8" s="214"/>
      <c r="N8" s="215">
        <v>46041</v>
      </c>
      <c r="O8" s="215">
        <v>46048</v>
      </c>
      <c r="P8" s="214"/>
      <c r="Q8" s="215">
        <v>46048</v>
      </c>
      <c r="R8" s="215">
        <v>46048</v>
      </c>
      <c r="S8" s="215">
        <v>46049</v>
      </c>
      <c r="T8" s="215">
        <v>46049.708333333336</v>
      </c>
      <c r="U8" s="215">
        <v>46049</v>
      </c>
      <c r="V8" s="215">
        <v>46050</v>
      </c>
      <c r="W8" s="214">
        <f>IF(ISBLANK(tbl_案件追跡[[#This Row],[着荷]]),"",EOMONTH(tbl_案件追跡[[#This Row],[着荷]],0))</f>
        <v>46053</v>
      </c>
      <c r="X8" s="214"/>
      <c r="Y8" s="214">
        <f>IF(AND(tbl_案件追跡[[#This Row],[支払い条件]]="前払",ISBLANK(tbl_案件追跡[[#This Row],[受注]])= FALSE ),tbl_案件追跡[[#This Row],[受注]],IF(ISBLANK(tbl_案件追跡[[#This Row],[着荷]]),"",EOMONTH(tbl_案件追跡[[#This Row],[着荷]],0)))</f>
        <v>46048</v>
      </c>
      <c r="Z8" s="214"/>
      <c r="AA8" s="77" t="str">
        <f>_xlfn.XLOOKUP(tbl_案件追跡[[#This Row],[案件番号]],tbl_採番[案件番号],tbl_採番[担当者],"",0,1)</f>
        <v>杉田</v>
      </c>
      <c r="AB8" s="209">
        <f>IF(ISBLANK(tbl_案件追跡[[#This Row],[案件番号]]),"",COUNTIF(tbl_案件追跡[案件番号],tbl_案件追跡[[#This Row],[案件番号]]))</f>
        <v>1</v>
      </c>
      <c r="AC8" s="214"/>
      <c r="AD8" s="71">
        <v>1010119</v>
      </c>
      <c r="AE8" s="214"/>
      <c r="AF8" s="72">
        <v>1010061</v>
      </c>
      <c r="AH8"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受注</v>
      </c>
      <c r="AI8"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発注</v>
      </c>
      <c r="AJ8"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着荷</v>
      </c>
      <c r="AK8"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8"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8"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8"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8"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8"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8"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8"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8"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8"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8"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8"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8"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8"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8"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8"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8"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8"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8"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8"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8"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8"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8"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8"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8"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8"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8"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8"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8"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8"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8"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8"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8"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8"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8"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8"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8"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8"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8"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8"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8"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8"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8"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8"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8"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8"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8"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8"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8"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8"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8"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8"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8"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8"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8"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8"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8"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9" spans="1:93">
      <c r="A9" s="73" t="s">
        <v>1136</v>
      </c>
      <c r="B9" s="71" cm="1">
        <f t="array" ref="B9">IF(ISBLANK(tbl_案件追跡[[#This Row],[案件番号]]),"",COUNTA(_xlfn.UNIQUE(_xlfn._xlws.FILTER(tbl_明細[仕入先], tbl_明細[案件番号]=tbl_案件追跡[[#This Row],[案件番号]]))))</f>
        <v>1</v>
      </c>
      <c r="C9" s="77" t="str">
        <f>IF(ISBLANK(tbl_案件追跡[[#This Row],[案件番号]]),"",_xlfn.XLOOKUP(tbl_案件追跡[[#This Row],[案件番号]],tbl_明細[案件番号],tbl_明細[顧客名],"",0,1))</f>
        <v>雲鶴</v>
      </c>
      <c r="D9" s="86" t="str">
        <f>IF(ISBLANK(tbl_案件追跡[[#This Row],[案件番号]]),"",IF(tbl_案件追跡[[#This Row],[仕入先数]] = 1, _xlfn.XLOOKUP(tbl_案件追跡[[#This Row],[案件番号]],tbl_明細[案件番号],tbl_明細[仕入先],"",0,1),""))</f>
        <v>GOODGOOD</v>
      </c>
      <c r="E9" s="77" t="str" cm="1">
        <f t="array" ref="E9">IF(ISBLANK(tbl_案件追跡[[#This Row],[案件番号]]),"",_xlfn.XLOOKUP(tbl_案件追跡[[#This Row],[案件番号]]&amp;tbl_案件追跡[[#This Row],[仕入先]],tbl_明細[案件番号]&amp;tbl_明細[仕入先],tbl_明細[商品名],"",0,1))</f>
        <v>阿蘇赤身和牛　ミンチ（部位指定なし）</v>
      </c>
      <c r="F9" s="86" t="s">
        <v>1184</v>
      </c>
      <c r="G9" s="86"/>
      <c r="H9" s="86"/>
      <c r="I9" s="86"/>
      <c r="J9" s="86"/>
      <c r="K9" s="86"/>
      <c r="L9" s="71" t="s">
        <v>1216</v>
      </c>
      <c r="M9" s="214"/>
      <c r="N9" s="215">
        <v>46043</v>
      </c>
      <c r="O9" s="215">
        <v>46045</v>
      </c>
      <c r="P9" s="214"/>
      <c r="Q9" s="215"/>
      <c r="R9" s="215"/>
      <c r="S9" s="215">
        <v>46048</v>
      </c>
      <c r="T9" s="215">
        <v>46050</v>
      </c>
      <c r="U9" s="215">
        <v>46050</v>
      </c>
      <c r="V9" s="215">
        <v>46051</v>
      </c>
      <c r="W9" s="214">
        <f>IF(ISBLANK(tbl_案件追跡[[#This Row],[着荷]]),"",EOMONTH(tbl_案件追跡[[#This Row],[着荷]],0))</f>
        <v>46053</v>
      </c>
      <c r="X9" s="214"/>
      <c r="Y9" s="214">
        <f>IF(AND(tbl_案件追跡[[#This Row],[支払い条件]]="前払",ISBLANK(tbl_案件追跡[[#This Row],[受注]])= FALSE ),tbl_案件追跡[[#This Row],[受注]],IF(ISBLANK(tbl_案件追跡[[#This Row],[着荷]]),"",EOMONTH(tbl_案件追跡[[#This Row],[着荷]],0)))</f>
        <v>46053</v>
      </c>
      <c r="Z9" s="214"/>
      <c r="AA9" s="77" t="str">
        <f>_xlfn.XLOOKUP(tbl_案件追跡[[#This Row],[案件番号]],tbl_採番[案件番号],tbl_採番[担当者],"",0,1)</f>
        <v>杉田</v>
      </c>
      <c r="AB9" s="209">
        <f>IF(ISBLANK(tbl_案件追跡[[#This Row],[案件番号]]),"",COUNTIF(tbl_案件追跡[案件番号],tbl_案件追跡[[#This Row],[案件番号]]))</f>
        <v>1</v>
      </c>
      <c r="AC9" s="214"/>
      <c r="AD9" s="71">
        <v>1010111</v>
      </c>
      <c r="AE9" s="214">
        <v>46063</v>
      </c>
      <c r="AF9" s="72">
        <v>1010088</v>
      </c>
      <c r="AH9"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発注</v>
      </c>
      <c r="AI9"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9"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出荷予定</v>
      </c>
      <c r="AK9"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着荷</v>
      </c>
      <c r="AL9"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9"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9"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9"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9"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9"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9"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9"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9"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9"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9"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9"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9"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9"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9"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9"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9"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9"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9"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9"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9"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9"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9"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9"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9"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9"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9"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9"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9"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9"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9"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9"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9"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9"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9"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9"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9"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9"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9"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9"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9"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9"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9"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9"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9"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9"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9"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9"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9"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9"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9"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9"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9"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9"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9"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9"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0" spans="1:93">
      <c r="A10" s="70" t="s">
        <v>1516</v>
      </c>
      <c r="B10" s="63" cm="1">
        <f t="array" ref="B10">IF(ISBLANK(tbl_案件追跡[[#This Row],[案件番号]]),"",COUNTA(_xlfn.UNIQUE(_xlfn._xlws.FILTER(tbl_明細[仕入先], tbl_明細[案件番号]=tbl_案件追跡[[#This Row],[案件番号]]))))</f>
        <v>1</v>
      </c>
      <c r="C10" s="77" t="str">
        <f>IF(ISBLANK(tbl_案件追跡[[#This Row],[案件番号]]),"",_xlfn.XLOOKUP(tbl_案件追跡[[#This Row],[案件番号]],tbl_明細[案件番号],tbl_明細[顧客名],"",0,1))</f>
        <v>オーセントホテルズ株式会社</v>
      </c>
      <c r="D10" s="86" t="str">
        <f>IF(ISBLANK(tbl_案件追跡[[#This Row],[案件番号]]),"",IF(tbl_案件追跡[[#This Row],[仕入先数]] = 1, _xlfn.XLOOKUP(tbl_案件追跡[[#This Row],[案件番号]],tbl_明細[案件番号],tbl_明細[仕入先],"",0,1),""))</f>
        <v>あぷかの森</v>
      </c>
      <c r="E10" s="77" t="str" cm="1">
        <f t="array" ref="E10">IF(ISBLANK(tbl_案件追跡[[#This Row],[案件番号]]),"",_xlfn.XLOOKUP(tbl_案件追跡[[#This Row],[案件番号]]&amp;tbl_案件追跡[[#This Row],[仕入先]],tbl_明細[案件番号]&amp;tbl_明細[仕入先],tbl_明細[商品名],"",0,1))</f>
        <v>鹿肉サンプル（ロース、内もも）</v>
      </c>
      <c r="F10" s="86" t="s">
        <v>1765</v>
      </c>
      <c r="G10" s="86" t="s">
        <v>1766</v>
      </c>
      <c r="H10" s="86" t="s">
        <v>1767</v>
      </c>
      <c r="I10" s="86"/>
      <c r="J10" s="86" t="s">
        <v>1768</v>
      </c>
      <c r="K10" s="86" t="s">
        <v>1769</v>
      </c>
      <c r="L10" s="71" t="s">
        <v>1216</v>
      </c>
      <c r="M10" s="214"/>
      <c r="N10" s="215">
        <v>46045</v>
      </c>
      <c r="O10" s="215">
        <v>46049</v>
      </c>
      <c r="P10" s="214"/>
      <c r="Q10" s="215"/>
      <c r="R10" s="215"/>
      <c r="S10" s="215">
        <v>46052</v>
      </c>
      <c r="T10" s="215">
        <v>46052</v>
      </c>
      <c r="U10" s="215">
        <v>46053</v>
      </c>
      <c r="V10" s="215">
        <v>46054</v>
      </c>
      <c r="W10" s="214">
        <f>IF(ISBLANK(tbl_案件追跡[[#This Row],[着荷]]),"",EOMONTH(tbl_案件追跡[[#This Row],[着荷]],0))</f>
        <v>46081</v>
      </c>
      <c r="X10" s="214"/>
      <c r="Y10" s="214">
        <f>IF(AND(tbl_案件追跡[[#This Row],[支払い条件]]="前払",ISBLANK(tbl_案件追跡[[#This Row],[受注]])= FALSE ),tbl_案件追跡[[#This Row],[受注]],IF(ISBLANK(tbl_案件追跡[[#This Row],[着荷]]),"",EOMONTH(tbl_案件追跡[[#This Row],[着荷]],0)))</f>
        <v>46081</v>
      </c>
      <c r="Z10" s="214"/>
      <c r="AA10" s="77" t="str">
        <f>_xlfn.XLOOKUP(tbl_案件追跡[[#This Row],[案件番号]],tbl_採番[案件番号],tbl_採番[担当者],"",0,1)</f>
        <v>杉田</v>
      </c>
      <c r="AB10" s="209">
        <f>IF(ISBLANK(tbl_案件追跡[[#This Row],[案件番号]]),"",COUNTIF(tbl_案件追跡[案件番号],tbl_案件追跡[[#This Row],[案件番号]]))</f>
        <v>1</v>
      </c>
      <c r="AC10" s="214"/>
      <c r="AD10" s="71" t="s">
        <v>1044</v>
      </c>
      <c r="AE10" s="214"/>
      <c r="AF10" s="72" t="s">
        <v>1044</v>
      </c>
      <c r="AH10"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0"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受注</v>
      </c>
      <c r="AJ10"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0"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0"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発注</v>
      </c>
      <c r="AM10"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出荷</v>
      </c>
      <c r="AN10"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着荷</v>
      </c>
      <c r="AO10"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0"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0"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0"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0"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0"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0"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0"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0"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0"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0"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0"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0"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0"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0"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0"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0"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0"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0"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0"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0"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0"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0"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0"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0"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0"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0"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0"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0"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0"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0"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0"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0"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0"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0"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0"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0"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0"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0"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0"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0"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0"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0"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0"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0"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0"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0"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0"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0"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0"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0"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0"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0"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1" spans="1:93">
      <c r="A11" s="70" t="s">
        <v>1874</v>
      </c>
      <c r="B11" s="71" cm="1">
        <f t="array" ref="B11">IF(ISBLANK(tbl_案件追跡[[#This Row],[案件番号]]),"",COUNTA(_xlfn.UNIQUE(_xlfn._xlws.FILTER(tbl_明細[仕入先], tbl_明細[案件番号]=tbl_案件追跡[[#This Row],[案件番号]]))))</f>
        <v>1</v>
      </c>
      <c r="C11" s="77" t="str">
        <f>IF(ISBLANK(tbl_案件追跡[[#This Row],[案件番号]]),"",_xlfn.XLOOKUP(tbl_案件追跡[[#This Row],[案件番号]],tbl_明細[案件番号],tbl_明細[顧客名],"",0,1))</f>
        <v>フェリーサービス株式会社</v>
      </c>
      <c r="D11" s="86" t="str">
        <f>IF(ISBLANK(tbl_案件追跡[[#This Row],[案件番号]]),"",IF(tbl_案件追跡[[#This Row],[仕入先数]] = 1, _xlfn.XLOOKUP(tbl_案件追跡[[#This Row],[案件番号]],tbl_明細[案件番号],tbl_明細[仕入先],"",0,1),""))</f>
        <v>協栄製茶　壱之庄</v>
      </c>
      <c r="E11" s="77" t="str" cm="1">
        <f t="array" ref="E11">IF(ISBLANK(tbl_案件追跡[[#This Row],[案件番号]]),"",_xlfn.XLOOKUP(tbl_案件追跡[[#This Row],[案件番号]]&amp;tbl_案件追跡[[#This Row],[仕入先]],tbl_明細[案件番号]&amp;tbl_明細[仕入先],tbl_明細[商品名],"",0,1))</f>
        <v>雁の音ほうじ茶壱之棒（ティーバッグ） 45袋</v>
      </c>
      <c r="F11" s="86" t="s">
        <v>1941</v>
      </c>
      <c r="G11" s="86"/>
      <c r="H11" s="86"/>
      <c r="I11" s="86"/>
      <c r="J11" s="86"/>
      <c r="K11" s="86"/>
      <c r="L11" s="71"/>
      <c r="M11" s="214"/>
      <c r="N11" s="215">
        <v>46085</v>
      </c>
      <c r="O11" s="215">
        <v>46087</v>
      </c>
      <c r="P11" s="214">
        <v>46090</v>
      </c>
      <c r="Q11" s="215"/>
      <c r="R11" s="215"/>
      <c r="S11" s="215">
        <v>46090</v>
      </c>
      <c r="T11" s="215">
        <v>46100</v>
      </c>
      <c r="U11" s="215"/>
      <c r="V11" s="215"/>
      <c r="W11" s="214" t="str">
        <f>IF(ISBLANK(tbl_案件追跡[[#This Row],[着荷]]),"",EOMONTH(tbl_案件追跡[[#This Row],[着荷]],0))</f>
        <v/>
      </c>
      <c r="X11" s="214"/>
      <c r="Y11" s="214" t="str">
        <f>IF(AND(tbl_案件追跡[[#This Row],[支払い条件]]="前払",ISBLANK(tbl_案件追跡[[#This Row],[受注]])= FALSE ),tbl_案件追跡[[#This Row],[受注]],IF(ISBLANK(tbl_案件追跡[[#This Row],[着荷]]),"",EOMONTH(tbl_案件追跡[[#This Row],[着荷]],0)))</f>
        <v/>
      </c>
      <c r="Z11" s="214"/>
      <c r="AA11" s="77" t="str">
        <f>_xlfn.XLOOKUP(tbl_案件追跡[[#This Row],[案件番号]],tbl_採番[案件番号],tbl_採番[担当者],"",0,1)</f>
        <v>永井</v>
      </c>
      <c r="AB11" s="209">
        <f>IF(ISBLANK(tbl_案件追跡[[#This Row],[案件番号]]),"",COUNTIF(tbl_案件追跡[案件番号],tbl_案件追跡[[#This Row],[案件番号]]))</f>
        <v>1</v>
      </c>
      <c r="AC11" s="214"/>
      <c r="AD11" s="71"/>
      <c r="AE11" s="214"/>
      <c r="AF11" s="72"/>
      <c r="AH11"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1"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1"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1"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1"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1"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1"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1"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1"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1"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1"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1"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1"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1"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1"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1"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1"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1"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1"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1"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1"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1"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1"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1"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1"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1"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1"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1"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1"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1"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1"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1"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1"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1"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1"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1"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1"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1"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見積</v>
      </c>
      <c r="BT11"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1"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受注</v>
      </c>
      <c r="BV11"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1"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1"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注文確認メール</v>
      </c>
      <c r="BY11"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1"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1"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1"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1"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1"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1"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1"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1"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1"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出荷予定</v>
      </c>
      <c r="CI11"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1"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1"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1"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1"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1"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1"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2" spans="1:93">
      <c r="A12" s="70" t="s">
        <v>1844</v>
      </c>
      <c r="B12" s="71" cm="1">
        <f t="array" ref="B12">IF(ISBLANK(tbl_案件追跡[[#This Row],[案件番号]]),"",COUNTA(_xlfn.UNIQUE(_xlfn._xlws.FILTER(tbl_明細[仕入先], tbl_明細[案件番号]=tbl_案件追跡[[#This Row],[案件番号]]))))</f>
        <v>2</v>
      </c>
      <c r="C12" s="77" t="str">
        <f>IF(ISBLANK(tbl_案件追跡[[#This Row],[案件番号]]),"",_xlfn.XLOOKUP(tbl_案件追跡[[#This Row],[案件番号]],tbl_明細[案件番号],tbl_明細[顧客名],"",0,1))</f>
        <v>NISSHAビジネスサービス</v>
      </c>
      <c r="D12" s="86" t="s">
        <v>1857</v>
      </c>
      <c r="E12" s="77" t="str" cm="1">
        <f t="array" ref="E12">IF(ISBLANK(tbl_案件追跡[[#This Row],[案件番号]]),"",_xlfn.XLOOKUP(tbl_案件追跡[[#This Row],[案件番号]]&amp;tbl_案件追跡[[#This Row],[仕入先]],tbl_明細[案件番号]&amp;tbl_明細[仕入先],tbl_明細[商品名],"",0,1))</f>
        <v>レトルトとうもろこし</v>
      </c>
      <c r="F12" s="86" t="s">
        <v>1868</v>
      </c>
      <c r="G12" s="86" t="s">
        <v>1869</v>
      </c>
      <c r="H12" s="86" t="s">
        <v>1870</v>
      </c>
      <c r="I12" s="86" t="s">
        <v>1871</v>
      </c>
      <c r="J12" s="86" t="s">
        <v>1872</v>
      </c>
      <c r="K12" s="86" t="s">
        <v>1873</v>
      </c>
      <c r="L12" s="71" t="s">
        <v>1216</v>
      </c>
      <c r="M12" s="214"/>
      <c r="N12" s="215">
        <v>46042</v>
      </c>
      <c r="O12" s="215">
        <v>46056</v>
      </c>
      <c r="P12" s="214"/>
      <c r="Q12" s="215"/>
      <c r="R12" s="215"/>
      <c r="S12" s="215">
        <v>46057</v>
      </c>
      <c r="T12" s="215">
        <v>46063</v>
      </c>
      <c r="U12" s="215">
        <v>46059</v>
      </c>
      <c r="V12" s="215">
        <v>46063</v>
      </c>
      <c r="W12" s="214">
        <f>IF(ISBLANK(tbl_案件追跡[[#This Row],[着荷]]),"",EOMONTH(tbl_案件追跡[[#This Row],[着荷]],0))</f>
        <v>46081</v>
      </c>
      <c r="X12" s="214"/>
      <c r="Y12" s="214">
        <f>IF(AND(tbl_案件追跡[[#This Row],[支払い条件]]="前払",ISBLANK(tbl_案件追跡[[#This Row],[受注]])= FALSE ),tbl_案件追跡[[#This Row],[受注]],IF(ISBLANK(tbl_案件追跡[[#This Row],[着荷]]),"",EOMONTH(tbl_案件追跡[[#This Row],[着荷]],0)))</f>
        <v>46081</v>
      </c>
      <c r="Z12" s="214"/>
      <c r="AA12" s="77" t="str">
        <f>_xlfn.XLOOKUP(tbl_案件追跡[[#This Row],[案件番号]],tbl_採番[案件番号],tbl_採番[担当者],"",0,1)</f>
        <v>門永</v>
      </c>
      <c r="AB12" s="209">
        <f>IF(ISBLANK(tbl_案件追跡[[#This Row],[案件番号]]),"",COUNTIF(tbl_案件追跡[案件番号],tbl_案件追跡[[#This Row],[案件番号]]))</f>
        <v>2</v>
      </c>
      <c r="AC12" s="214">
        <v>46079</v>
      </c>
      <c r="AD12" s="72">
        <v>1020062</v>
      </c>
      <c r="AE12" s="214">
        <v>46083</v>
      </c>
      <c r="AF12" s="72">
        <v>1020067</v>
      </c>
      <c r="AH12"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2"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2"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2"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2"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2"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2"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2"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2"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受注</v>
      </c>
      <c r="AQ12"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発注</v>
      </c>
      <c r="AR12"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2"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出荷</v>
      </c>
      <c r="AT12"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2"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2"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2"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出荷予定</v>
      </c>
      <c r="AX12"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2"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2"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2"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2"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2"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2"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2"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2"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2"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2"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2"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2"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2"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2"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2"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2"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2"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2"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2"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2"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2"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2"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2"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2"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2"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2"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2"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2"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2"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2"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2"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2"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2"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2"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2"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2"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2"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2"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2"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2"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2"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2"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2"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3" spans="1:93">
      <c r="A13" s="70" t="s">
        <v>1844</v>
      </c>
      <c r="B13" s="71" cm="1">
        <f t="array" ref="B13">IF(ISBLANK(tbl_案件追跡[[#This Row],[案件番号]]),"",COUNTA(_xlfn.UNIQUE(_xlfn._xlws.FILTER(tbl_明細[仕入先], tbl_明細[案件番号]=tbl_案件追跡[[#This Row],[案件番号]]))))</f>
        <v>2</v>
      </c>
      <c r="C13" s="77" t="str">
        <f>IF(ISBLANK(tbl_案件追跡[[#This Row],[案件番号]]),"",_xlfn.XLOOKUP(tbl_案件追跡[[#This Row],[案件番号]],tbl_明細[案件番号],tbl_明細[顧客名],"",0,1))</f>
        <v>NISSHAビジネスサービス</v>
      </c>
      <c r="D13" s="86" t="s">
        <v>1875</v>
      </c>
      <c r="E13" s="77" t="str" cm="1">
        <f t="array" ref="E13">IF(ISBLANK(tbl_案件追跡[[#This Row],[案件番号]]),"",_xlfn.XLOOKUP(tbl_案件追跡[[#This Row],[案件番号]]&amp;tbl_案件追跡[[#This Row],[仕入先]],tbl_明細[案件番号]&amp;tbl_明細[仕入先],tbl_明細[商品名],"",0,1))</f>
        <v>オホーツク流氷ラーメン 　 かに（2食入り）</v>
      </c>
      <c r="F13" s="86" t="s">
        <v>1868</v>
      </c>
      <c r="G13" s="86"/>
      <c r="H13" s="86"/>
      <c r="I13" s="86"/>
      <c r="J13" s="86"/>
      <c r="K13" s="86"/>
      <c r="L13" s="71"/>
      <c r="M13" s="214"/>
      <c r="N13" s="215">
        <v>46042</v>
      </c>
      <c r="O13" s="215">
        <v>46056</v>
      </c>
      <c r="P13" s="214"/>
      <c r="Q13" s="215"/>
      <c r="R13" s="215"/>
      <c r="S13" s="215">
        <v>46057</v>
      </c>
      <c r="T13" s="215">
        <v>46063</v>
      </c>
      <c r="U13" s="215">
        <v>46063</v>
      </c>
      <c r="V13" s="215">
        <v>46066</v>
      </c>
      <c r="W13" s="214">
        <f>IF(ISBLANK(tbl_案件追跡[[#This Row],[着荷]]),"",EOMONTH(tbl_案件追跡[[#This Row],[着荷]],0))</f>
        <v>46081</v>
      </c>
      <c r="X13" s="214"/>
      <c r="Y13" s="214">
        <f>IF(AND(tbl_案件追跡[[#This Row],[支払い条件]]="前払",ISBLANK(tbl_案件追跡[[#This Row],[受注]])= FALSE ),tbl_案件追跡[[#This Row],[受注]],IF(ISBLANK(tbl_案件追跡[[#This Row],[着荷]]),"",EOMONTH(tbl_案件追跡[[#This Row],[着荷]],0)))</f>
        <v>46081</v>
      </c>
      <c r="Z13" s="214"/>
      <c r="AA13" s="77" t="str">
        <f>_xlfn.XLOOKUP(tbl_案件追跡[[#This Row],[案件番号]],tbl_採番[案件番号],tbl_採番[担当者],"",0,1)</f>
        <v>門永</v>
      </c>
      <c r="AB13" s="209">
        <f>IF(ISBLANK(tbl_案件追跡[[#This Row],[案件番号]]),"",COUNTIF(tbl_案件追跡[案件番号],tbl_案件追跡[[#This Row],[案件番号]]))</f>
        <v>2</v>
      </c>
      <c r="AC13" s="214">
        <v>46084</v>
      </c>
      <c r="AD13" s="71">
        <v>1020063</v>
      </c>
      <c r="AE13" s="214">
        <v>46083</v>
      </c>
      <c r="AF13" s="72">
        <v>1020067</v>
      </c>
      <c r="AH13"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3"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3"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3"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3"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3"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3"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3"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3"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受注</v>
      </c>
      <c r="AQ13"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発注</v>
      </c>
      <c r="AR13"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3"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3"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3"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3"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3"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出荷予定</v>
      </c>
      <c r="AX13"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3"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3"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着荷</v>
      </c>
      <c r="BA13"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3"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3"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3"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3"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3"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3"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3"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3"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3"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3"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3"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3"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3"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3"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3"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3"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3"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3"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3"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3"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3"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3"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3"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3"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3"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3"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3"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3"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3"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3"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3"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3"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3"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3"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3"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3"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3"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3"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3"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3"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4" spans="1:93">
      <c r="A14" s="73" t="s">
        <v>1905</v>
      </c>
      <c r="B14" s="71" cm="1">
        <f t="array" ref="B14">IF(ISBLANK(tbl_案件追跡[[#This Row],[案件番号]]),"",COUNTA(_xlfn.UNIQUE(_xlfn._xlws.FILTER(tbl_明細[仕入先], tbl_明細[案件番号]=tbl_案件追跡[[#This Row],[案件番号]]))))</f>
        <v>1</v>
      </c>
      <c r="C14" s="77" t="str">
        <f>IF(ISBLANK(tbl_案件追跡[[#This Row],[案件番号]]),"",_xlfn.XLOOKUP(tbl_案件追跡[[#This Row],[案件番号]],tbl_明細[案件番号],tbl_明細[顧客名],"",0,1))</f>
        <v>日新堂株式会社</v>
      </c>
      <c r="D14" s="86" t="str">
        <f>IF(ISBLANK(tbl_案件追跡[[#This Row],[案件番号]]),"",IF(tbl_案件追跡[[#This Row],[仕入先数]] = 1, _xlfn.XLOOKUP(tbl_案件追跡[[#This Row],[案件番号]],tbl_明細[案件番号],tbl_明細[仕入先],"",0,1),""))</f>
        <v>湯浅醤油</v>
      </c>
      <c r="E14" s="77" t="str" cm="1">
        <f t="array" ref="E14">IF(ISBLANK(tbl_案件追跡[[#This Row],[案件番号]]),"",_xlfn.XLOOKUP(tbl_案件追跡[[#This Row],[案件番号]]&amp;tbl_案件追跡[[#This Row],[仕入先]],tbl_明細[案件番号]&amp;tbl_明細[仕入先],tbl_明細[商品名],"",0,1))</f>
        <v>蔵匠　樽仕込み 200ml</v>
      </c>
      <c r="F14" s="86" t="s">
        <v>1182</v>
      </c>
      <c r="G14" s="86"/>
      <c r="H14" s="86"/>
      <c r="I14" s="86"/>
      <c r="J14" s="86"/>
      <c r="K14" s="86"/>
      <c r="L14" s="71"/>
      <c r="M14" s="214"/>
      <c r="N14" s="215">
        <v>46063</v>
      </c>
      <c r="O14" s="215"/>
      <c r="P14" s="214"/>
      <c r="Q14" s="215"/>
      <c r="R14" s="215"/>
      <c r="S14" s="215"/>
      <c r="T14" s="215"/>
      <c r="U14" s="215"/>
      <c r="V14" s="215"/>
      <c r="W14" s="214" t="str">
        <f>IF(ISBLANK(tbl_案件追跡[[#This Row],[着荷]]),"",EOMONTH(tbl_案件追跡[[#This Row],[着荷]],0))</f>
        <v/>
      </c>
      <c r="X14" s="214"/>
      <c r="Y14" s="214" t="str">
        <f>IF(AND(tbl_案件追跡[[#This Row],[支払い条件]]="前払",ISBLANK(tbl_案件追跡[[#This Row],[受注]])= FALSE ),tbl_案件追跡[[#This Row],[受注]],IF(ISBLANK(tbl_案件追跡[[#This Row],[着荷]]),"",EOMONTH(tbl_案件追跡[[#This Row],[着荷]],0)))</f>
        <v/>
      </c>
      <c r="Z14" s="214"/>
      <c r="AA14" s="77" t="str">
        <f>_xlfn.XLOOKUP(tbl_案件追跡[[#This Row],[案件番号]],tbl_採番[案件番号],tbl_採番[担当者],"",0,1)</f>
        <v>杉田</v>
      </c>
      <c r="AB14" s="209">
        <f>IF(ISBLANK(tbl_案件追跡[[#This Row],[案件番号]]),"",COUNTIF(tbl_案件追跡[案件番号],tbl_案件追跡[[#This Row],[案件番号]]))</f>
        <v>1</v>
      </c>
      <c r="AC14" s="214"/>
      <c r="AD14" s="71"/>
      <c r="AE14" s="214"/>
      <c r="AF14" s="72"/>
      <c r="AH14"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4"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4"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4"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4"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4"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4"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4"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4"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4"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4"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4"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4"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4"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4"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4"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見積</v>
      </c>
      <c r="AX14"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4"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4"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4"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4"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4"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4"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4"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4"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4"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4"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4"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4"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4"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4"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4"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4"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4"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4"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4"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4"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4"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4"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4"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4"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4"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4"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4"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4"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4"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4"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4"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4"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4"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4"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4"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4"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4"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4"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4"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4"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4"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4"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4"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5" spans="1:93">
      <c r="A15" s="73" t="s">
        <v>1907</v>
      </c>
      <c r="B15" s="71" cm="1">
        <f t="array" ref="B15">IF(ISBLANK(tbl_案件追跡[[#This Row],[案件番号]]),"",COUNTA(_xlfn.UNIQUE(_xlfn._xlws.FILTER(tbl_明細[仕入先], tbl_明細[案件番号]=tbl_案件追跡[[#This Row],[案件番号]]))))</f>
        <v>1</v>
      </c>
      <c r="C15" s="77" t="str">
        <f>IF(ISBLANK(tbl_案件追跡[[#This Row],[案件番号]]),"",_xlfn.XLOOKUP(tbl_案件追跡[[#This Row],[案件番号]],tbl_明細[案件番号],tbl_明細[顧客名],"",0,1))</f>
        <v>日新堂株式会社</v>
      </c>
      <c r="D15" s="86" t="str">
        <f>IF(ISBLANK(tbl_案件追跡[[#This Row],[案件番号]]),"",IF(tbl_案件追跡[[#This Row],[仕入先数]] = 1, _xlfn.XLOOKUP(tbl_案件追跡[[#This Row],[案件番号]],tbl_明細[案件番号],tbl_明細[仕入先],"",0,1),""))</f>
        <v>湯浅醤油</v>
      </c>
      <c r="E15" s="77" t="str" cm="1">
        <f t="array" ref="E15">IF(ISBLANK(tbl_案件追跡[[#This Row],[案件番号]]),"",_xlfn.XLOOKUP(tbl_案件追跡[[#This Row],[案件番号]]&amp;tbl_案件追跡[[#This Row],[仕入先]],tbl_明細[案件番号]&amp;tbl_明細[仕入先],tbl_明細[商品名],"",0,1))</f>
        <v>蔵匠　樽仕込み 200ml</v>
      </c>
      <c r="F15" s="86"/>
      <c r="G15" s="86"/>
      <c r="H15" s="86"/>
      <c r="I15" s="86"/>
      <c r="J15" s="86"/>
      <c r="K15" s="86"/>
      <c r="L15" s="71"/>
      <c r="M15" s="214"/>
      <c r="N15" s="215">
        <v>46069</v>
      </c>
      <c r="O15" s="215"/>
      <c r="P15" s="214"/>
      <c r="Q15" s="215"/>
      <c r="R15" s="215"/>
      <c r="S15" s="215"/>
      <c r="T15" s="215"/>
      <c r="U15" s="215"/>
      <c r="V15" s="215"/>
      <c r="W15" s="214" t="str">
        <f>IF(ISBLANK(tbl_案件追跡[[#This Row],[着荷]]),"",EOMONTH(tbl_案件追跡[[#This Row],[着荷]],0))</f>
        <v/>
      </c>
      <c r="X15" s="214"/>
      <c r="Y15" s="214" t="str">
        <f>IF(AND(tbl_案件追跡[[#This Row],[支払い条件]]="前払",ISBLANK(tbl_案件追跡[[#This Row],[受注]])= FALSE ),tbl_案件追跡[[#This Row],[受注]],IF(ISBLANK(tbl_案件追跡[[#This Row],[着荷]]),"",EOMONTH(tbl_案件追跡[[#This Row],[着荷]],0)))</f>
        <v/>
      </c>
      <c r="Z15" s="214"/>
      <c r="AA15" s="77" t="str">
        <f>_xlfn.XLOOKUP(tbl_案件追跡[[#This Row],[案件番号]],tbl_採番[案件番号],tbl_採番[担当者],"",0,1)</f>
        <v>杉田</v>
      </c>
      <c r="AB15" s="209">
        <f>IF(ISBLANK(tbl_案件追跡[[#This Row],[案件番号]]),"",COUNTIF(tbl_案件追跡[案件番号],tbl_案件追跡[[#This Row],[案件番号]]))</f>
        <v>1</v>
      </c>
      <c r="AC15" s="214"/>
      <c r="AD15" s="71"/>
      <c r="AE15" s="214"/>
      <c r="AF15" s="72"/>
      <c r="AH15"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5"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5"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5"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5"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5"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5"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5"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5"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5"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5"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5"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5"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5"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5"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5"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5"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5"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5"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5"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5"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5"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見積</v>
      </c>
      <c r="BD15"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5"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5"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5"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5"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5"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5"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5"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5"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5"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5"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5"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5"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5"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5"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5"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5"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5"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5"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5"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5"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5"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5"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5"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5"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5"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5"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5"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5"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5"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5"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5"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5"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5"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5"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5"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5"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5"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6" spans="1:93">
      <c r="A16" s="73" t="s">
        <v>1922</v>
      </c>
      <c r="B16" s="71" cm="1">
        <f t="array" ref="B16">IF(ISBLANK(tbl_案件追跡[[#This Row],[案件番号]]),"",COUNTA(_xlfn.UNIQUE(_xlfn._xlws.FILTER(tbl_明細[仕入先], tbl_明細[案件番号]=tbl_案件追跡[[#This Row],[案件番号]]))))</f>
        <v>1</v>
      </c>
      <c r="C16" s="77" t="s">
        <v>1943</v>
      </c>
      <c r="D16" s="86" t="s">
        <v>1875</v>
      </c>
      <c r="E16" s="77" t="str" cm="1">
        <f t="array" ref="E16">IF(ISBLANK(tbl_案件追跡[[#This Row],[案件番号]]),"",_xlfn.XLOOKUP(tbl_案件追跡[[#This Row],[案件番号]]&amp;tbl_案件追跡[[#This Row],[仕入先]],tbl_明細[案件番号]&amp;tbl_明細[仕入先],tbl_明細[商品名],"",0,1))</f>
        <v/>
      </c>
      <c r="F16" s="86" t="s">
        <v>1868</v>
      </c>
      <c r="G16" s="86" t="s">
        <v>1869</v>
      </c>
      <c r="H16" s="86" t="s">
        <v>1870</v>
      </c>
      <c r="I16" s="86" t="s">
        <v>1871</v>
      </c>
      <c r="J16" s="86" t="s">
        <v>1872</v>
      </c>
      <c r="K16" s="86" t="s">
        <v>1873</v>
      </c>
      <c r="L16" s="71" t="s">
        <v>1216</v>
      </c>
      <c r="M16" s="214"/>
      <c r="N16" s="215">
        <v>46042</v>
      </c>
      <c r="O16" s="215">
        <v>46078</v>
      </c>
      <c r="P16" s="214"/>
      <c r="Q16" s="215"/>
      <c r="R16" s="215"/>
      <c r="S16" s="215">
        <v>46078</v>
      </c>
      <c r="T16" s="260" t="s">
        <v>1923</v>
      </c>
      <c r="U16" s="215">
        <v>46078</v>
      </c>
      <c r="V16" s="215">
        <v>46080</v>
      </c>
      <c r="W16" s="214">
        <f>IF(ISBLANK(tbl_案件追跡[[#This Row],[着荷]]),"",EOMONTH(tbl_案件追跡[[#This Row],[着荷]],0))</f>
        <v>46081</v>
      </c>
      <c r="X16" s="214"/>
      <c r="Y16" s="214">
        <f>IF(AND(tbl_案件追跡[[#This Row],[支払い条件]]="前払",ISBLANK(tbl_案件追跡[[#This Row],[受注]])= FALSE ),tbl_案件追跡[[#This Row],[受注]],IF(ISBLANK(tbl_案件追跡[[#This Row],[着荷]]),"",EOMONTH(tbl_案件追跡[[#This Row],[着荷]],0)))</f>
        <v>46081</v>
      </c>
      <c r="Z16" s="214"/>
      <c r="AA16" s="77" t="str">
        <f>_xlfn.XLOOKUP(tbl_案件追跡[[#This Row],[案件番号]],tbl_採番[案件番号],tbl_採番[担当者],"",0,1)</f>
        <v>門永</v>
      </c>
      <c r="AB16" s="209">
        <f>IF(ISBLANK(tbl_案件追跡[[#This Row],[案件番号]]),"",COUNTIF(tbl_案件追跡[案件番号],tbl_案件追跡[[#This Row],[案件番号]]))</f>
        <v>1</v>
      </c>
      <c r="AC16" s="214">
        <v>46079</v>
      </c>
      <c r="AD16" s="71">
        <v>1020063</v>
      </c>
      <c r="AE16" s="214">
        <v>46083</v>
      </c>
      <c r="AF16" s="72">
        <v>1020067</v>
      </c>
      <c r="AH16"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6"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6"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6"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6"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6"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6"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6"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6"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6"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6"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6"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6"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6"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6"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6"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6"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6"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6"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6"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6"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6"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6"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6"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6"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6"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6"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6"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6"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6"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6"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受注</v>
      </c>
      <c r="BM16"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6"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着荷</v>
      </c>
      <c r="BO16"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6"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6"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6"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6"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6"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6"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6"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6"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6"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6"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6"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6"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6"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6"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6"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6"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6"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6"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6"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6"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6"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6"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6"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6"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6"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6"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7" spans="1:93">
      <c r="A17" s="73" t="s">
        <v>1933</v>
      </c>
      <c r="B17" s="71" cm="1">
        <f t="array" ref="B17">IF(ISBLANK(tbl_案件追跡[[#This Row],[案件番号]]),"",COUNTA(_xlfn.UNIQUE(_xlfn._xlws.FILTER(tbl_明細[仕入先], tbl_明細[案件番号]=tbl_案件追跡[[#This Row],[案件番号]]))))</f>
        <v>1</v>
      </c>
      <c r="C17" s="77" t="str">
        <f>IF(ISBLANK(tbl_案件追跡[[#This Row],[案件番号]]),"",_xlfn.XLOOKUP(tbl_案件追跡[[#This Row],[案件番号]],tbl_明細[案件番号],tbl_明細[顧客名],"",0,1))</f>
        <v>オーセントホテルズ株式会社</v>
      </c>
      <c r="D17" s="86" t="str">
        <f>IF(ISBLANK(tbl_案件追跡[[#This Row],[案件番号]]),"",IF(tbl_案件追跡[[#This Row],[仕入先数]] = 1, _xlfn.XLOOKUP(tbl_案件追跡[[#This Row],[案件番号]],tbl_明細[案件番号],tbl_明細[仕入先],"",0,1),""))</f>
        <v>コットンクラブ</v>
      </c>
      <c r="E17" s="77" t="str" cm="1">
        <f t="array" ref="E17">IF(ISBLANK(tbl_案件追跡[[#This Row],[案件番号]]),"",_xlfn.XLOOKUP(tbl_案件追跡[[#This Row],[案件番号]]&amp;tbl_案件追跡[[#This Row],[仕入先]],tbl_明細[案件番号]&amp;tbl_明細[仕入先],tbl_明細[商品名],"",0,1))</f>
        <v>和歌山のほんまもんの炭　紀州備長炭　中丸</v>
      </c>
      <c r="F17" s="86"/>
      <c r="G17" s="86"/>
      <c r="H17" s="86"/>
      <c r="I17" s="86"/>
      <c r="J17" s="86"/>
      <c r="K17" s="86"/>
      <c r="L17" s="71"/>
      <c r="M17" s="214"/>
      <c r="N17" s="215"/>
      <c r="O17" s="215"/>
      <c r="P17" s="214"/>
      <c r="Q17" s="215"/>
      <c r="R17" s="215"/>
      <c r="S17" s="215"/>
      <c r="T17" s="215"/>
      <c r="U17" s="215"/>
      <c r="V17" s="215"/>
      <c r="W17" s="214" t="str">
        <f>IF(ISBLANK(tbl_案件追跡[[#This Row],[着荷]]),"",EOMONTH(tbl_案件追跡[[#This Row],[着荷]],0))</f>
        <v/>
      </c>
      <c r="X17" s="214"/>
      <c r="Y17" s="214" t="str">
        <f>IF(AND(tbl_案件追跡[[#This Row],[支払い条件]]="前払",ISBLANK(tbl_案件追跡[[#This Row],[受注]])= FALSE ),tbl_案件追跡[[#This Row],[受注]],IF(ISBLANK(tbl_案件追跡[[#This Row],[着荷]]),"",EOMONTH(tbl_案件追跡[[#This Row],[着荷]],0)))</f>
        <v/>
      </c>
      <c r="Z17" s="214"/>
      <c r="AA17" s="77" t="str">
        <f>_xlfn.XLOOKUP(tbl_案件追跡[[#This Row],[案件番号]],tbl_採番[案件番号],tbl_採番[担当者],"",0,1)</f>
        <v>杉田</v>
      </c>
      <c r="AB17" s="209">
        <f>IF(ISBLANK(tbl_案件追跡[[#This Row],[案件番号]]),"",COUNTIF(tbl_案件追跡[案件番号],tbl_案件追跡[[#This Row],[案件番号]]))</f>
        <v>1</v>
      </c>
      <c r="AC17" s="214"/>
      <c r="AD17" s="71"/>
      <c r="AE17" s="214"/>
      <c r="AF17" s="72"/>
      <c r="AH17"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7"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7"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7"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7"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7"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7"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7"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7"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7"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7"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7"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7"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7"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7"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7"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7"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7"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7"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7"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7"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7"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7"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7"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7"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7"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7"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7"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7"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7"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7"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7"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7"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7"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7"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7"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7"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7"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7"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7"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7"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7"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7"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7"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7"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7"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7"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7"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7"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7"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7"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7"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7"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7"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7"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7"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7"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7"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7"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7"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8" spans="1:93">
      <c r="A18" s="73"/>
      <c r="B18" s="71" t="str" cm="1">
        <f t="array" ref="B18">IF(ISBLANK(tbl_案件追跡[[#This Row],[案件番号]]),"",COUNTA(_xlfn.UNIQUE(_xlfn._xlws.FILTER(tbl_明細[仕入先], tbl_明細[案件番号]=tbl_案件追跡[[#This Row],[案件番号]]))))</f>
        <v/>
      </c>
      <c r="C18" s="77" t="str">
        <f>IF(ISBLANK(tbl_案件追跡[[#This Row],[案件番号]]),"",_xlfn.XLOOKUP(tbl_案件追跡[[#This Row],[案件番号]],tbl_明細[案件番号],tbl_明細[顧客名],"",0,1))</f>
        <v/>
      </c>
      <c r="D18" s="86" t="str">
        <f>IF(ISBLANK(tbl_案件追跡[[#This Row],[案件番号]]),"",IF(tbl_案件追跡[[#This Row],[仕入先数]] = 1, _xlfn.XLOOKUP(tbl_案件追跡[[#This Row],[案件番号]],tbl_明細[案件番号],tbl_明細[仕入先],"",0,1),""))</f>
        <v/>
      </c>
      <c r="E18" s="77" t="str" cm="1">
        <f t="array" ref="E18">IF(ISBLANK(tbl_案件追跡[[#This Row],[案件番号]]),"",_xlfn.XLOOKUP(tbl_案件追跡[[#This Row],[案件番号]]&amp;tbl_案件追跡[[#This Row],[仕入先]],tbl_明細[案件番号]&amp;tbl_明細[仕入先],tbl_明細[商品名],"",0,1))</f>
        <v/>
      </c>
      <c r="F18" s="86"/>
      <c r="G18" s="86"/>
      <c r="H18" s="86"/>
      <c r="I18" s="86"/>
      <c r="J18" s="86"/>
      <c r="K18" s="86"/>
      <c r="L18" s="71"/>
      <c r="M18" s="214"/>
      <c r="N18" s="215"/>
      <c r="O18" s="215"/>
      <c r="P18" s="214"/>
      <c r="Q18" s="215"/>
      <c r="R18" s="215"/>
      <c r="S18" s="215"/>
      <c r="T18" s="215"/>
      <c r="U18" s="215"/>
      <c r="V18" s="215"/>
      <c r="W18" s="214" t="str">
        <f>IF(ISBLANK(tbl_案件追跡[[#This Row],[着荷]]),"",EOMONTH(tbl_案件追跡[[#This Row],[着荷]],0))</f>
        <v/>
      </c>
      <c r="X18" s="214"/>
      <c r="Y18" s="214" t="str">
        <f>IF(AND(tbl_案件追跡[[#This Row],[支払い条件]]="前払",ISBLANK(tbl_案件追跡[[#This Row],[受注]])= FALSE ),tbl_案件追跡[[#This Row],[受注]],IF(ISBLANK(tbl_案件追跡[[#This Row],[着荷]]),"",EOMONTH(tbl_案件追跡[[#This Row],[着荷]],0)))</f>
        <v/>
      </c>
      <c r="Z18" s="214"/>
      <c r="AA18" s="77" t="str">
        <f>_xlfn.XLOOKUP(tbl_案件追跡[[#This Row],[案件番号]],tbl_採番[案件番号],tbl_採番[担当者],"",0,1)</f>
        <v/>
      </c>
      <c r="AB18" s="209" t="str">
        <f>IF(ISBLANK(tbl_案件追跡[[#This Row],[案件番号]]),"",COUNTIF(tbl_案件追跡[案件番号],tbl_案件追跡[[#This Row],[案件番号]]))</f>
        <v/>
      </c>
      <c r="AC18" s="214"/>
      <c r="AD18" s="218"/>
      <c r="AE18" s="214"/>
      <c r="AF18" s="72"/>
      <c r="AH18"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8"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8"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8"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8"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8"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8"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8"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8"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8"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8"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8"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8"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8"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8"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8"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8"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8"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8"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8"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8"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8"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8"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8"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8"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8"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8"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8"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8"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8"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8"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8"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8"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8"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8"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8"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8"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8"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8"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8"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8"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8"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8"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8"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8"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8"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8"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8"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8"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8"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8"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8"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8"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8"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8"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8"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8"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8"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8"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8"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9" spans="1:93">
      <c r="A19" s="73"/>
      <c r="B19" s="71" t="str" cm="1">
        <f t="array" ref="B19">IF(ISBLANK(tbl_案件追跡[[#This Row],[案件番号]]),"",COUNTA(_xlfn.UNIQUE(_xlfn._xlws.FILTER(tbl_明細[仕入先], tbl_明細[案件番号]=tbl_案件追跡[[#This Row],[案件番号]]))))</f>
        <v/>
      </c>
      <c r="C19" s="77" t="str">
        <f>IF(ISBLANK(tbl_案件追跡[[#This Row],[案件番号]]),"",_xlfn.XLOOKUP(tbl_案件追跡[[#This Row],[案件番号]],tbl_明細[案件番号],tbl_明細[顧客名],"",0,1))</f>
        <v/>
      </c>
      <c r="D19" s="86" t="str">
        <f>IF(ISBLANK(tbl_案件追跡[[#This Row],[案件番号]]),"",IF(tbl_案件追跡[[#This Row],[仕入先数]] = 1, _xlfn.XLOOKUP(tbl_案件追跡[[#This Row],[案件番号]],tbl_明細[案件番号],tbl_明細[仕入先],"",0,1),""))</f>
        <v/>
      </c>
      <c r="E19" s="77" t="str" cm="1">
        <f t="array" ref="E19">IF(ISBLANK(tbl_案件追跡[[#This Row],[案件番号]]),"",_xlfn.XLOOKUP(tbl_案件追跡[[#This Row],[案件番号]]&amp;tbl_案件追跡[[#This Row],[仕入先]],tbl_明細[案件番号]&amp;tbl_明細[仕入先],tbl_明細[商品名],"",0,1))</f>
        <v/>
      </c>
      <c r="F19" s="86"/>
      <c r="G19" s="86"/>
      <c r="H19" s="86"/>
      <c r="I19" s="86"/>
      <c r="J19" s="86"/>
      <c r="K19" s="86"/>
      <c r="L19" s="71"/>
      <c r="M19" s="214"/>
      <c r="N19" s="215"/>
      <c r="O19" s="215"/>
      <c r="P19" s="214"/>
      <c r="Q19" s="215"/>
      <c r="R19" s="215"/>
      <c r="S19" s="215"/>
      <c r="T19" s="215"/>
      <c r="U19" s="215"/>
      <c r="V19" s="215"/>
      <c r="W19" s="214" t="str">
        <f>IF(ISBLANK(tbl_案件追跡[[#This Row],[着荷]]),"",EOMONTH(tbl_案件追跡[[#This Row],[着荷]],0))</f>
        <v/>
      </c>
      <c r="X19" s="214"/>
      <c r="Y19" s="214" t="str">
        <f>IF(AND(tbl_案件追跡[[#This Row],[支払い条件]]="前払",ISBLANK(tbl_案件追跡[[#This Row],[受注]])= FALSE ),tbl_案件追跡[[#This Row],[受注]],IF(ISBLANK(tbl_案件追跡[[#This Row],[着荷]]),"",EOMONTH(tbl_案件追跡[[#This Row],[着荷]],0)))</f>
        <v/>
      </c>
      <c r="Z19" s="214"/>
      <c r="AA19" s="77" t="str">
        <f>_xlfn.XLOOKUP(tbl_案件追跡[[#This Row],[案件番号]],tbl_採番[案件番号],tbl_採番[担当者],"",0,1)</f>
        <v/>
      </c>
      <c r="AB19" s="209" t="str">
        <f>IF(ISBLANK(tbl_案件追跡[[#This Row],[案件番号]]),"",COUNTIF(tbl_案件追跡[案件番号],tbl_案件追跡[[#This Row],[案件番号]]))</f>
        <v/>
      </c>
      <c r="AC19" s="214"/>
      <c r="AD19" s="71"/>
      <c r="AE19" s="214"/>
      <c r="AF19" s="72"/>
      <c r="AH19"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9"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9"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9"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9"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9"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9"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9"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9"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9"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9"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9"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9"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9"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9"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9"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9"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9"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9"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9"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9"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9"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9"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9"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9"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9"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9"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9"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9"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9"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9"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9"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9"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9"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9"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9"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9"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9"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9"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9"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9"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9"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9"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9"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9"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9"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9"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9"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9"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9"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9"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9"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9"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9"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9"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9"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9"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9"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9"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9"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0" spans="1:93">
      <c r="A20" s="73"/>
      <c r="B20" s="71" t="str" cm="1">
        <f t="array" ref="B20">IF(ISBLANK(tbl_案件追跡[[#This Row],[案件番号]]),"",COUNTA(_xlfn.UNIQUE(_xlfn._xlws.FILTER(tbl_明細[仕入先], tbl_明細[案件番号]=tbl_案件追跡[[#This Row],[案件番号]]))))</f>
        <v/>
      </c>
      <c r="C20" s="77" t="str">
        <f>IF(ISBLANK(tbl_案件追跡[[#This Row],[案件番号]]),"",_xlfn.XLOOKUP(tbl_案件追跡[[#This Row],[案件番号]],tbl_明細[案件番号],tbl_明細[顧客名],"",0,1))</f>
        <v/>
      </c>
      <c r="D20" s="86" t="str">
        <f>IF(ISBLANK(tbl_案件追跡[[#This Row],[案件番号]]),"",IF(tbl_案件追跡[[#This Row],[仕入先数]] = 1, _xlfn.XLOOKUP(tbl_案件追跡[[#This Row],[案件番号]],tbl_明細[案件番号],tbl_明細[仕入先],"",0,1),""))</f>
        <v/>
      </c>
      <c r="E20" s="77" t="str" cm="1">
        <f t="array" ref="E20">IF(ISBLANK(tbl_案件追跡[[#This Row],[案件番号]]),"",_xlfn.XLOOKUP(tbl_案件追跡[[#This Row],[案件番号]]&amp;tbl_案件追跡[[#This Row],[仕入先]],tbl_明細[案件番号]&amp;tbl_明細[仕入先],tbl_明細[商品名],"",0,1))</f>
        <v/>
      </c>
      <c r="F20" s="86"/>
      <c r="G20" s="86"/>
      <c r="H20" s="86"/>
      <c r="I20" s="86"/>
      <c r="J20" s="86"/>
      <c r="K20" s="86"/>
      <c r="L20" s="71"/>
      <c r="M20" s="214"/>
      <c r="N20" s="215"/>
      <c r="O20" s="215"/>
      <c r="P20" s="214"/>
      <c r="Q20" s="215"/>
      <c r="R20" s="215"/>
      <c r="S20" s="215"/>
      <c r="T20" s="215"/>
      <c r="U20" s="215"/>
      <c r="V20" s="215"/>
      <c r="W20" s="214" t="str">
        <f>IF(ISBLANK(tbl_案件追跡[[#This Row],[着荷]]),"",EOMONTH(tbl_案件追跡[[#This Row],[着荷]],0))</f>
        <v/>
      </c>
      <c r="X20" s="214"/>
      <c r="Y20" s="214" t="str">
        <f>IF(AND(tbl_案件追跡[[#This Row],[支払い条件]]="前払",ISBLANK(tbl_案件追跡[[#This Row],[受注]])= FALSE ),tbl_案件追跡[[#This Row],[受注]],IF(ISBLANK(tbl_案件追跡[[#This Row],[着荷]]),"",EOMONTH(tbl_案件追跡[[#This Row],[着荷]],0)))</f>
        <v/>
      </c>
      <c r="Z20" s="214"/>
      <c r="AA20" s="77" t="str">
        <f>_xlfn.XLOOKUP(tbl_案件追跡[[#This Row],[案件番号]],tbl_採番[案件番号],tbl_採番[担当者],"",0,1)</f>
        <v/>
      </c>
      <c r="AB20" s="209" t="str">
        <f>IF(ISBLANK(tbl_案件追跡[[#This Row],[案件番号]]),"",COUNTIF(tbl_案件追跡[案件番号],tbl_案件追跡[[#This Row],[案件番号]]))</f>
        <v/>
      </c>
      <c r="AC20" s="214"/>
      <c r="AD20" s="71"/>
      <c r="AE20" s="214"/>
      <c r="AF20" s="72"/>
      <c r="AH20"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0"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0"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0"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0"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0"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0"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0"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0"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0"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0"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0"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0"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0"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0"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0"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0"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0"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0"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0"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0"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0"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0"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0"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0"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0"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0"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0"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0"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0"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0"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0"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0"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0"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0"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0"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0"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0"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0"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0"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0"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0"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0"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0"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0"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0"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0"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0"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0"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0"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0"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0"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0"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0"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0"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0"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0"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0"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0"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0"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1" spans="1:93">
      <c r="A21" s="73"/>
      <c r="B21" s="71" t="str" cm="1">
        <f t="array" ref="B21">IF(ISBLANK(tbl_案件追跡[[#This Row],[案件番号]]),"",COUNTA(_xlfn.UNIQUE(_xlfn._xlws.FILTER(tbl_明細[仕入先], tbl_明細[案件番号]=tbl_案件追跡[[#This Row],[案件番号]]))))</f>
        <v/>
      </c>
      <c r="C21" s="77" t="str">
        <f>IF(ISBLANK(tbl_案件追跡[[#This Row],[案件番号]]),"",_xlfn.XLOOKUP(tbl_案件追跡[[#This Row],[案件番号]],tbl_明細[案件番号],tbl_明細[顧客名],"",0,1))</f>
        <v/>
      </c>
      <c r="D21" s="86" t="str">
        <f>IF(ISBLANK(tbl_案件追跡[[#This Row],[案件番号]]),"",IF(tbl_案件追跡[[#This Row],[仕入先数]] = 1, _xlfn.XLOOKUP(tbl_案件追跡[[#This Row],[案件番号]],tbl_明細[案件番号],tbl_明細[仕入先],"",0,1),""))</f>
        <v/>
      </c>
      <c r="E21" s="77" t="str" cm="1">
        <f t="array" ref="E21">IF(ISBLANK(tbl_案件追跡[[#This Row],[案件番号]]),"",_xlfn.XLOOKUP(tbl_案件追跡[[#This Row],[案件番号]]&amp;tbl_案件追跡[[#This Row],[仕入先]],tbl_明細[案件番号]&amp;tbl_明細[仕入先],tbl_明細[商品名],"",0,1))</f>
        <v/>
      </c>
      <c r="F21" s="86"/>
      <c r="G21" s="86"/>
      <c r="H21" s="86"/>
      <c r="I21" s="86"/>
      <c r="J21" s="86"/>
      <c r="K21" s="86"/>
      <c r="L21" s="71"/>
      <c r="M21" s="214"/>
      <c r="N21" s="215"/>
      <c r="O21" s="215"/>
      <c r="P21" s="214"/>
      <c r="Q21" s="215"/>
      <c r="R21" s="215"/>
      <c r="S21" s="215"/>
      <c r="T21" s="215"/>
      <c r="U21" s="215"/>
      <c r="V21" s="215"/>
      <c r="W21" s="214" t="str">
        <f>IF(ISBLANK(tbl_案件追跡[[#This Row],[着荷]]),"",EOMONTH(tbl_案件追跡[[#This Row],[着荷]],0))</f>
        <v/>
      </c>
      <c r="X21" s="214"/>
      <c r="Y21" s="214" t="str">
        <f>IF(AND(tbl_案件追跡[[#This Row],[支払い条件]]="前払",ISBLANK(tbl_案件追跡[[#This Row],[受注]])= FALSE ),tbl_案件追跡[[#This Row],[受注]],IF(ISBLANK(tbl_案件追跡[[#This Row],[着荷]]),"",EOMONTH(tbl_案件追跡[[#This Row],[着荷]],0)))</f>
        <v/>
      </c>
      <c r="Z21" s="214"/>
      <c r="AA21" s="77" t="str">
        <f>_xlfn.XLOOKUP(tbl_案件追跡[[#This Row],[案件番号]],tbl_採番[案件番号],tbl_採番[担当者],"",0,1)</f>
        <v/>
      </c>
      <c r="AB21" s="209" t="str">
        <f>IF(ISBLANK(tbl_案件追跡[[#This Row],[案件番号]]),"",COUNTIF(tbl_案件追跡[案件番号],tbl_案件追跡[[#This Row],[案件番号]]))</f>
        <v/>
      </c>
      <c r="AC21" s="214"/>
      <c r="AD21" s="71"/>
      <c r="AE21" s="214"/>
      <c r="AF21" s="72"/>
      <c r="AH21"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1"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1"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1"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1"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1"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1"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1"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1"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1"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1"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1"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1"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1"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1"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1"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1"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1"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1"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1"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1"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1"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1"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1"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1"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1"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1"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1"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1"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1"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1"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1"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1"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1"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1"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1"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1"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1"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1"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1"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1"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1"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1"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1"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1"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1"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1"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1"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1"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1"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1"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1"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1"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1"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1"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1"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1"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1"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1"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1"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2" spans="1:93">
      <c r="A22" s="73"/>
      <c r="B22" s="71" t="str" cm="1">
        <f t="array" ref="B22">IF(ISBLANK(tbl_案件追跡[[#This Row],[案件番号]]),"",COUNTA(_xlfn.UNIQUE(_xlfn._xlws.FILTER(tbl_明細[仕入先], tbl_明細[案件番号]=tbl_案件追跡[[#This Row],[案件番号]]))))</f>
        <v/>
      </c>
      <c r="C22" s="77" t="str">
        <f>IF(ISBLANK(tbl_案件追跡[[#This Row],[案件番号]]),"",_xlfn.XLOOKUP(tbl_案件追跡[[#This Row],[案件番号]],tbl_明細[案件番号],tbl_明細[顧客名],"",0,1))</f>
        <v/>
      </c>
      <c r="D22" s="86" t="str">
        <f>IF(ISBLANK(tbl_案件追跡[[#This Row],[案件番号]]),"",IF(tbl_案件追跡[[#This Row],[仕入先数]] = 1, _xlfn.XLOOKUP(tbl_案件追跡[[#This Row],[案件番号]],tbl_明細[案件番号],tbl_明細[仕入先],"",0,1),""))</f>
        <v/>
      </c>
      <c r="E22" s="77" t="str" cm="1">
        <f t="array" ref="E22">IF(ISBLANK(tbl_案件追跡[[#This Row],[案件番号]]),"",_xlfn.XLOOKUP(tbl_案件追跡[[#This Row],[案件番号]]&amp;tbl_案件追跡[[#This Row],[仕入先]],tbl_明細[案件番号]&amp;tbl_明細[仕入先],tbl_明細[商品名],"",0,1))</f>
        <v/>
      </c>
      <c r="F22" s="86"/>
      <c r="G22" s="86"/>
      <c r="H22" s="86"/>
      <c r="I22" s="86"/>
      <c r="J22" s="86"/>
      <c r="K22" s="86"/>
      <c r="L22" s="71"/>
      <c r="M22" s="214"/>
      <c r="N22" s="215"/>
      <c r="O22" s="215"/>
      <c r="P22" s="214"/>
      <c r="Q22" s="215"/>
      <c r="R22" s="215"/>
      <c r="S22" s="215"/>
      <c r="T22" s="215"/>
      <c r="U22" s="215"/>
      <c r="V22" s="215"/>
      <c r="W22" s="214" t="str">
        <f>IF(ISBLANK(tbl_案件追跡[[#This Row],[着荷]]),"",EOMONTH(tbl_案件追跡[[#This Row],[着荷]],0))</f>
        <v/>
      </c>
      <c r="X22" s="214"/>
      <c r="Y22" s="214" t="str">
        <f>IF(AND(tbl_案件追跡[[#This Row],[支払い条件]]="前払",ISBLANK(tbl_案件追跡[[#This Row],[受注]])= FALSE ),tbl_案件追跡[[#This Row],[受注]],IF(ISBLANK(tbl_案件追跡[[#This Row],[着荷]]),"",EOMONTH(tbl_案件追跡[[#This Row],[着荷]],0)))</f>
        <v/>
      </c>
      <c r="Z22" s="214"/>
      <c r="AA22" s="77" t="str">
        <f>_xlfn.XLOOKUP(tbl_案件追跡[[#This Row],[案件番号]],tbl_採番[案件番号],tbl_採番[担当者],"",0,1)</f>
        <v/>
      </c>
      <c r="AB22" s="209" t="str">
        <f>IF(ISBLANK(tbl_案件追跡[[#This Row],[案件番号]]),"",COUNTIF(tbl_案件追跡[案件番号],tbl_案件追跡[[#This Row],[案件番号]]))</f>
        <v/>
      </c>
      <c r="AC22" s="214"/>
      <c r="AD22" s="71"/>
      <c r="AE22" s="214"/>
      <c r="AF22" s="72"/>
      <c r="AH22"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2"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2"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2"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2"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2"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2"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2"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2"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2"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2"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2"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2"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2"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2"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2"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2"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2"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2"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2"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2"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2"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2"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2"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2"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2"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2"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2"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2"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2"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2"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2"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2"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2"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2"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2"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2"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2"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2"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2"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2"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2"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2"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2"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2"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2"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2"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2"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2"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2"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2"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2"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2"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2"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2"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2"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2"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2"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2"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2"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3" spans="1:93">
      <c r="A23" s="73"/>
      <c r="B23" s="71" t="str" cm="1">
        <f t="array" ref="B23">IF(ISBLANK(tbl_案件追跡[[#This Row],[案件番号]]),"",COUNTA(_xlfn.UNIQUE(_xlfn._xlws.FILTER(tbl_明細[仕入先], tbl_明細[案件番号]=tbl_案件追跡[[#This Row],[案件番号]]))))</f>
        <v/>
      </c>
      <c r="C23" s="77" t="str">
        <f>IF(ISBLANK(tbl_案件追跡[[#This Row],[案件番号]]),"",_xlfn.XLOOKUP(tbl_案件追跡[[#This Row],[案件番号]],tbl_明細[案件番号],tbl_明細[顧客名],"",0,1))</f>
        <v/>
      </c>
      <c r="D23" s="86" t="str">
        <f>IF(ISBLANK(tbl_案件追跡[[#This Row],[案件番号]]),"",IF(tbl_案件追跡[[#This Row],[仕入先数]] = 1, _xlfn.XLOOKUP(tbl_案件追跡[[#This Row],[案件番号]],tbl_明細[案件番号],tbl_明細[仕入先],"",0,1),""))</f>
        <v/>
      </c>
      <c r="E23" s="77" t="str" cm="1">
        <f t="array" ref="E23">IF(ISBLANK(tbl_案件追跡[[#This Row],[案件番号]]),"",_xlfn.XLOOKUP(tbl_案件追跡[[#This Row],[案件番号]]&amp;tbl_案件追跡[[#This Row],[仕入先]],tbl_明細[案件番号]&amp;tbl_明細[仕入先],tbl_明細[商品名],"",0,1))</f>
        <v/>
      </c>
      <c r="F23" s="86"/>
      <c r="G23" s="86"/>
      <c r="H23" s="86"/>
      <c r="I23" s="86"/>
      <c r="J23" s="86"/>
      <c r="K23" s="86"/>
      <c r="L23" s="71"/>
      <c r="M23" s="214"/>
      <c r="N23" s="215"/>
      <c r="O23" s="215"/>
      <c r="P23" s="214"/>
      <c r="Q23" s="215"/>
      <c r="R23" s="215"/>
      <c r="S23" s="215"/>
      <c r="T23" s="215"/>
      <c r="U23" s="215"/>
      <c r="V23" s="215"/>
      <c r="W23" s="214" t="str">
        <f>IF(ISBLANK(tbl_案件追跡[[#This Row],[着荷]]),"",EOMONTH(tbl_案件追跡[[#This Row],[着荷]],0))</f>
        <v/>
      </c>
      <c r="X23" s="214"/>
      <c r="Y23" s="214" t="str">
        <f>IF(AND(tbl_案件追跡[[#This Row],[支払い条件]]="前払",ISBLANK(tbl_案件追跡[[#This Row],[受注]])= FALSE ),tbl_案件追跡[[#This Row],[受注]],IF(ISBLANK(tbl_案件追跡[[#This Row],[着荷]]),"",EOMONTH(tbl_案件追跡[[#This Row],[着荷]],0)))</f>
        <v/>
      </c>
      <c r="Z23" s="214"/>
      <c r="AA23" s="77" t="str">
        <f>_xlfn.XLOOKUP(tbl_案件追跡[[#This Row],[案件番号]],tbl_採番[案件番号],tbl_採番[担当者],"",0,1)</f>
        <v/>
      </c>
      <c r="AB23" s="209" t="str">
        <f>IF(ISBLANK(tbl_案件追跡[[#This Row],[案件番号]]),"",COUNTIF(tbl_案件追跡[案件番号],tbl_案件追跡[[#This Row],[案件番号]]))</f>
        <v/>
      </c>
      <c r="AC23" s="214"/>
      <c r="AD23" s="71"/>
      <c r="AE23" s="214"/>
      <c r="AF23" s="72"/>
      <c r="AH23"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3"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3"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3"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3"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3"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3"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3"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3"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3"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3"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3"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3"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3"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3"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3"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3"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3"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3"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3"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3"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3"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3"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3"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3"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3"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3"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3"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3"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3"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3"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3"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3"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3"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3"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3"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3"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3"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3"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3"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3"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3"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3"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3"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3"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3"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3"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3"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3"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3"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3"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3"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3"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3"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3"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3"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3"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3"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3"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3"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4" spans="1:93">
      <c r="A24" s="73"/>
      <c r="B24" s="71" t="str" cm="1">
        <f t="array" ref="B24">IF(ISBLANK(tbl_案件追跡[[#This Row],[案件番号]]),"",COUNTA(_xlfn.UNIQUE(_xlfn._xlws.FILTER(tbl_明細[仕入先], tbl_明細[案件番号]=tbl_案件追跡[[#This Row],[案件番号]]))))</f>
        <v/>
      </c>
      <c r="C24" s="77" t="str">
        <f>IF(ISBLANK(tbl_案件追跡[[#This Row],[案件番号]]),"",_xlfn.XLOOKUP(tbl_案件追跡[[#This Row],[案件番号]],tbl_明細[案件番号],tbl_明細[顧客名],"",0,1))</f>
        <v/>
      </c>
      <c r="D24" s="86" t="str">
        <f>IF(ISBLANK(tbl_案件追跡[[#This Row],[案件番号]]),"",IF(tbl_案件追跡[[#This Row],[仕入先数]] = 1, _xlfn.XLOOKUP(tbl_案件追跡[[#This Row],[案件番号]],tbl_明細[案件番号],tbl_明細[仕入先],"",0,1),""))</f>
        <v/>
      </c>
      <c r="E24" s="77" t="str" cm="1">
        <f t="array" ref="E24">IF(ISBLANK(tbl_案件追跡[[#This Row],[案件番号]]),"",_xlfn.XLOOKUP(tbl_案件追跡[[#This Row],[案件番号]]&amp;tbl_案件追跡[[#This Row],[仕入先]],tbl_明細[案件番号]&amp;tbl_明細[仕入先],tbl_明細[商品名],"",0,1))</f>
        <v/>
      </c>
      <c r="F24" s="86"/>
      <c r="G24" s="86"/>
      <c r="H24" s="86"/>
      <c r="I24" s="86"/>
      <c r="J24" s="86"/>
      <c r="K24" s="86"/>
      <c r="L24" s="71"/>
      <c r="M24" s="214"/>
      <c r="N24" s="215"/>
      <c r="O24" s="215"/>
      <c r="P24" s="214"/>
      <c r="Q24" s="215"/>
      <c r="R24" s="215"/>
      <c r="S24" s="215"/>
      <c r="T24" s="215"/>
      <c r="U24" s="215"/>
      <c r="V24" s="215"/>
      <c r="W24" s="214" t="str">
        <f>IF(ISBLANK(tbl_案件追跡[[#This Row],[着荷]]),"",EOMONTH(tbl_案件追跡[[#This Row],[着荷]],0))</f>
        <v/>
      </c>
      <c r="X24" s="214"/>
      <c r="Y24" s="214" t="str">
        <f>IF(AND(tbl_案件追跡[[#This Row],[支払い条件]]="前払",ISBLANK(tbl_案件追跡[[#This Row],[受注]])= FALSE ),tbl_案件追跡[[#This Row],[受注]],IF(ISBLANK(tbl_案件追跡[[#This Row],[着荷]]),"",EOMONTH(tbl_案件追跡[[#This Row],[着荷]],0)))</f>
        <v/>
      </c>
      <c r="Z24" s="214"/>
      <c r="AA24" s="77" t="str">
        <f>_xlfn.XLOOKUP(tbl_案件追跡[[#This Row],[案件番号]],tbl_採番[案件番号],tbl_採番[担当者],"",0,1)</f>
        <v/>
      </c>
      <c r="AB24" s="209" t="str">
        <f>IF(ISBLANK(tbl_案件追跡[[#This Row],[案件番号]]),"",COUNTIF(tbl_案件追跡[案件番号],tbl_案件追跡[[#This Row],[案件番号]]))</f>
        <v/>
      </c>
      <c r="AC24" s="214"/>
      <c r="AD24" s="71"/>
      <c r="AE24" s="214"/>
      <c r="AF24" s="72"/>
      <c r="AH24"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4"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4"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4"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4"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4"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4"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4"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4"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4"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4"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4"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4"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4"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4"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4"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4"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4"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4"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4"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4"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4"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4"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4"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4"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4"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4"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4"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4"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4"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4"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4"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4"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4"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4"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4"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4"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4"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4"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4"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4"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4"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4"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4"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4"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4"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4"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4"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4"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4"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4"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4"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4"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4"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4"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4"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4"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4"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4"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4"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5" spans="1:93">
      <c r="A25" s="73"/>
      <c r="B25" s="71" t="str" cm="1">
        <f t="array" ref="B25">IF(ISBLANK(tbl_案件追跡[[#This Row],[案件番号]]),"",COUNTA(_xlfn.UNIQUE(_xlfn._xlws.FILTER(tbl_明細[仕入先], tbl_明細[案件番号]=tbl_案件追跡[[#This Row],[案件番号]]))))</f>
        <v/>
      </c>
      <c r="C25" s="77" t="str">
        <f>IF(ISBLANK(tbl_案件追跡[[#This Row],[案件番号]]),"",_xlfn.XLOOKUP(tbl_案件追跡[[#This Row],[案件番号]],tbl_明細[案件番号],tbl_明細[顧客名],"",0,1))</f>
        <v/>
      </c>
      <c r="D25" s="86" t="str">
        <f>IF(ISBLANK(tbl_案件追跡[[#This Row],[案件番号]]),"",IF(tbl_案件追跡[[#This Row],[仕入先数]] = 1, _xlfn.XLOOKUP(tbl_案件追跡[[#This Row],[案件番号]],tbl_明細[案件番号],tbl_明細[仕入先],"",0,1),""))</f>
        <v/>
      </c>
      <c r="E25" s="77" t="str" cm="1">
        <f t="array" ref="E25">IF(ISBLANK(tbl_案件追跡[[#This Row],[案件番号]]),"",_xlfn.XLOOKUP(tbl_案件追跡[[#This Row],[案件番号]]&amp;tbl_案件追跡[[#This Row],[仕入先]],tbl_明細[案件番号]&amp;tbl_明細[仕入先],tbl_明細[商品名],"",0,1))</f>
        <v/>
      </c>
      <c r="F25" s="86"/>
      <c r="G25" s="86"/>
      <c r="H25" s="86"/>
      <c r="I25" s="86"/>
      <c r="J25" s="86"/>
      <c r="K25" s="86"/>
      <c r="L25" s="71"/>
      <c r="M25" s="214"/>
      <c r="N25" s="215"/>
      <c r="O25" s="215"/>
      <c r="P25" s="214"/>
      <c r="Q25" s="215"/>
      <c r="R25" s="215"/>
      <c r="S25" s="215"/>
      <c r="T25" s="215"/>
      <c r="U25" s="215"/>
      <c r="V25" s="215"/>
      <c r="W25" s="214" t="str">
        <f>IF(ISBLANK(tbl_案件追跡[[#This Row],[着荷]]),"",EOMONTH(tbl_案件追跡[[#This Row],[着荷]],0))</f>
        <v/>
      </c>
      <c r="X25" s="214"/>
      <c r="Y25" s="214" t="str">
        <f>IF(AND(tbl_案件追跡[[#This Row],[支払い条件]]="前払",ISBLANK(tbl_案件追跡[[#This Row],[受注]])= FALSE ),tbl_案件追跡[[#This Row],[受注]],IF(ISBLANK(tbl_案件追跡[[#This Row],[着荷]]),"",EOMONTH(tbl_案件追跡[[#This Row],[着荷]],0)))</f>
        <v/>
      </c>
      <c r="Z25" s="214"/>
      <c r="AA25" s="77" t="str">
        <f>_xlfn.XLOOKUP(tbl_案件追跡[[#This Row],[案件番号]],tbl_採番[案件番号],tbl_採番[担当者],"",0,1)</f>
        <v/>
      </c>
      <c r="AB25" s="209" t="str">
        <f>IF(ISBLANK(tbl_案件追跡[[#This Row],[案件番号]]),"",COUNTIF(tbl_案件追跡[案件番号],tbl_案件追跡[[#This Row],[案件番号]]))</f>
        <v/>
      </c>
      <c r="AC25" s="214"/>
      <c r="AD25" s="71"/>
      <c r="AE25" s="214"/>
      <c r="AF25" s="72"/>
      <c r="AH25"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5"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5"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5"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5"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5"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5"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5"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5"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5"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5"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5"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5"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5"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5"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5"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5"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5"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5"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5"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5"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5"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5"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5"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5"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5"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5"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5"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5"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5"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5"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5"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5"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5"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5"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5"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5"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5"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5"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5"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5"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5"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5"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5"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5"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5"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5"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5"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5"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5"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5"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5"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5"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5"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5"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5"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5"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5"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5"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5"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6" spans="1:93">
      <c r="A26" s="73"/>
      <c r="B26" s="71" t="str" cm="1">
        <f t="array" ref="B26">IF(ISBLANK(tbl_案件追跡[[#This Row],[案件番号]]),"",COUNTA(_xlfn.UNIQUE(_xlfn._xlws.FILTER(tbl_明細[仕入先], tbl_明細[案件番号]=tbl_案件追跡[[#This Row],[案件番号]]))))</f>
        <v/>
      </c>
      <c r="C26" s="77" t="str">
        <f>IF(ISBLANK(tbl_案件追跡[[#This Row],[案件番号]]),"",_xlfn.XLOOKUP(tbl_案件追跡[[#This Row],[案件番号]],tbl_明細[案件番号],tbl_明細[顧客名],"",0,1))</f>
        <v/>
      </c>
      <c r="D26" s="86" t="str">
        <f>IF(ISBLANK(tbl_案件追跡[[#This Row],[案件番号]]),"",IF(tbl_案件追跡[[#This Row],[仕入先数]] = 1, _xlfn.XLOOKUP(tbl_案件追跡[[#This Row],[案件番号]],tbl_明細[案件番号],tbl_明細[仕入先],"",0,1),""))</f>
        <v/>
      </c>
      <c r="E26" s="77" t="str" cm="1">
        <f t="array" ref="E26">IF(ISBLANK(tbl_案件追跡[[#This Row],[案件番号]]),"",_xlfn.XLOOKUP(tbl_案件追跡[[#This Row],[案件番号]]&amp;tbl_案件追跡[[#This Row],[仕入先]],tbl_明細[案件番号]&amp;tbl_明細[仕入先],tbl_明細[商品名],"",0,1))</f>
        <v/>
      </c>
      <c r="F26" s="86"/>
      <c r="G26" s="86"/>
      <c r="H26" s="86"/>
      <c r="I26" s="86"/>
      <c r="J26" s="86"/>
      <c r="K26" s="86"/>
      <c r="L26" s="71"/>
      <c r="M26" s="214"/>
      <c r="N26" s="215"/>
      <c r="O26" s="215"/>
      <c r="P26" s="214"/>
      <c r="Q26" s="215"/>
      <c r="R26" s="215"/>
      <c r="S26" s="215"/>
      <c r="T26" s="215"/>
      <c r="U26" s="215"/>
      <c r="V26" s="215"/>
      <c r="W26" s="214" t="str">
        <f>IF(ISBLANK(tbl_案件追跡[[#This Row],[着荷]]),"",EOMONTH(tbl_案件追跡[[#This Row],[着荷]],0))</f>
        <v/>
      </c>
      <c r="X26" s="214"/>
      <c r="Y26" s="214" t="str">
        <f>IF(AND(tbl_案件追跡[[#This Row],[支払い条件]]="前払",ISBLANK(tbl_案件追跡[[#This Row],[受注]])= FALSE ),tbl_案件追跡[[#This Row],[受注]],IF(ISBLANK(tbl_案件追跡[[#This Row],[着荷]]),"",EOMONTH(tbl_案件追跡[[#This Row],[着荷]],0)))</f>
        <v/>
      </c>
      <c r="Z26" s="214"/>
      <c r="AA26" s="77" t="str">
        <f>_xlfn.XLOOKUP(tbl_案件追跡[[#This Row],[案件番号]],tbl_採番[案件番号],tbl_採番[担当者],"",0,1)</f>
        <v/>
      </c>
      <c r="AB26" s="209" t="str">
        <f>IF(ISBLANK(tbl_案件追跡[[#This Row],[案件番号]]),"",COUNTIF(tbl_案件追跡[案件番号],tbl_案件追跡[[#This Row],[案件番号]]))</f>
        <v/>
      </c>
      <c r="AC26" s="214"/>
      <c r="AD26" s="71"/>
      <c r="AE26" s="214"/>
      <c r="AF26" s="72"/>
      <c r="AH26"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6"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6"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6"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6"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6"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6"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6"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6"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6"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6"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6"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6"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6"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6"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6"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6"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6"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6"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6"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6"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6"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6"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6"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6"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6"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6"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6"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6"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6"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6"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6"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6"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6"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6"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6"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6"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6"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6"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6"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6"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6"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6"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6"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6"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6"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6"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6"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6"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6"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6"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6"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6"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6"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6"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6"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6"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6"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6"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6"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7" spans="1:93">
      <c r="A27" s="73"/>
      <c r="B27" s="71" t="str" cm="1">
        <f t="array" ref="B27">IF(ISBLANK(tbl_案件追跡[[#This Row],[案件番号]]),"",COUNTA(_xlfn.UNIQUE(_xlfn._xlws.FILTER(tbl_明細[仕入先], tbl_明細[案件番号]=tbl_案件追跡[[#This Row],[案件番号]]))))</f>
        <v/>
      </c>
      <c r="C27" s="77" t="str">
        <f>IF(ISBLANK(tbl_案件追跡[[#This Row],[案件番号]]),"",_xlfn.XLOOKUP(tbl_案件追跡[[#This Row],[案件番号]],tbl_明細[案件番号],tbl_明細[顧客名],"",0,1))</f>
        <v/>
      </c>
      <c r="D27" s="86" t="str">
        <f>IF(ISBLANK(tbl_案件追跡[[#This Row],[案件番号]]),"",IF(tbl_案件追跡[[#This Row],[仕入先数]] = 1, _xlfn.XLOOKUP(tbl_案件追跡[[#This Row],[案件番号]],tbl_明細[案件番号],tbl_明細[仕入先],"",0,1),""))</f>
        <v/>
      </c>
      <c r="E27" s="77" t="str" cm="1">
        <f t="array" ref="E27">IF(ISBLANK(tbl_案件追跡[[#This Row],[案件番号]]),"",_xlfn.XLOOKUP(tbl_案件追跡[[#This Row],[案件番号]]&amp;tbl_案件追跡[[#This Row],[仕入先]],tbl_明細[案件番号]&amp;tbl_明細[仕入先],tbl_明細[商品名],"",0,1))</f>
        <v/>
      </c>
      <c r="F27" s="86"/>
      <c r="G27" s="86"/>
      <c r="H27" s="86"/>
      <c r="I27" s="86"/>
      <c r="J27" s="86"/>
      <c r="K27" s="86"/>
      <c r="L27" s="71"/>
      <c r="M27" s="214"/>
      <c r="N27" s="215"/>
      <c r="O27" s="215"/>
      <c r="P27" s="214"/>
      <c r="Q27" s="215"/>
      <c r="R27" s="215"/>
      <c r="S27" s="215"/>
      <c r="T27" s="215"/>
      <c r="U27" s="215"/>
      <c r="V27" s="215"/>
      <c r="W27" s="214" t="str">
        <f>IF(ISBLANK(tbl_案件追跡[[#This Row],[着荷]]),"",EOMONTH(tbl_案件追跡[[#This Row],[着荷]],0))</f>
        <v/>
      </c>
      <c r="X27" s="214"/>
      <c r="Y27" s="214" t="str">
        <f>IF(AND(tbl_案件追跡[[#This Row],[支払い条件]]="前払",ISBLANK(tbl_案件追跡[[#This Row],[受注]])= FALSE ),tbl_案件追跡[[#This Row],[受注]],IF(ISBLANK(tbl_案件追跡[[#This Row],[着荷]]),"",EOMONTH(tbl_案件追跡[[#This Row],[着荷]],0)))</f>
        <v/>
      </c>
      <c r="Z27" s="214"/>
      <c r="AA27" s="77" t="str">
        <f>_xlfn.XLOOKUP(tbl_案件追跡[[#This Row],[案件番号]],tbl_採番[案件番号],tbl_採番[担当者],"",0,1)</f>
        <v/>
      </c>
      <c r="AB27" s="209" t="str">
        <f>IF(ISBLANK(tbl_案件追跡[[#This Row],[案件番号]]),"",COUNTIF(tbl_案件追跡[案件番号],tbl_案件追跡[[#This Row],[案件番号]]))</f>
        <v/>
      </c>
      <c r="AC27" s="214"/>
      <c r="AD27" s="71"/>
      <c r="AE27" s="214"/>
      <c r="AF27" s="72"/>
      <c r="AH27"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7"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7"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7"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7"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7"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7"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7"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7"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7"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7"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7"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7"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7"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7"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7"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7"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7"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7"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7"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7"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7"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7"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7"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7"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7"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7"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7"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7"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7"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7"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7"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7"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7"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7"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7"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7"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7"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7"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7"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7"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7"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7"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7"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7"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7"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7"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7"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7"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7"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7"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7"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7"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7"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7"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7"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7"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7"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7"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7"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8" spans="1:93">
      <c r="A28" s="73"/>
      <c r="B28" s="71" t="str" cm="1">
        <f t="array" ref="B28">IF(ISBLANK(tbl_案件追跡[[#This Row],[案件番号]]),"",COUNTA(_xlfn.UNIQUE(_xlfn._xlws.FILTER(tbl_明細[仕入先], tbl_明細[案件番号]=tbl_案件追跡[[#This Row],[案件番号]]))))</f>
        <v/>
      </c>
      <c r="C28" s="77" t="str">
        <f>IF(ISBLANK(tbl_案件追跡[[#This Row],[案件番号]]),"",_xlfn.XLOOKUP(tbl_案件追跡[[#This Row],[案件番号]],tbl_明細[案件番号],tbl_明細[顧客名],"",0,1))</f>
        <v/>
      </c>
      <c r="D28" s="86" t="str">
        <f>IF(ISBLANK(tbl_案件追跡[[#This Row],[案件番号]]),"",IF(tbl_案件追跡[[#This Row],[仕入先数]] = 1, _xlfn.XLOOKUP(tbl_案件追跡[[#This Row],[案件番号]],tbl_明細[案件番号],tbl_明細[仕入先],"",0,1),""))</f>
        <v/>
      </c>
      <c r="E28" s="77" t="str" cm="1">
        <f t="array" ref="E28">IF(ISBLANK(tbl_案件追跡[[#This Row],[案件番号]]),"",_xlfn.XLOOKUP(tbl_案件追跡[[#This Row],[案件番号]]&amp;tbl_案件追跡[[#This Row],[仕入先]],tbl_明細[案件番号]&amp;tbl_明細[仕入先],tbl_明細[商品名],"",0,1))</f>
        <v/>
      </c>
      <c r="F28" s="86"/>
      <c r="G28" s="86"/>
      <c r="H28" s="86"/>
      <c r="I28" s="86"/>
      <c r="J28" s="86"/>
      <c r="K28" s="86"/>
      <c r="L28" s="71"/>
      <c r="M28" s="214"/>
      <c r="N28" s="215"/>
      <c r="O28" s="215"/>
      <c r="P28" s="214"/>
      <c r="Q28" s="215"/>
      <c r="R28" s="215"/>
      <c r="S28" s="215"/>
      <c r="T28" s="215"/>
      <c r="U28" s="215"/>
      <c r="V28" s="215"/>
      <c r="W28" s="214" t="str">
        <f>IF(ISBLANK(tbl_案件追跡[[#This Row],[着荷]]),"",EOMONTH(tbl_案件追跡[[#This Row],[着荷]],0))</f>
        <v/>
      </c>
      <c r="X28" s="214"/>
      <c r="Y28" s="214" t="str">
        <f>IF(AND(tbl_案件追跡[[#This Row],[支払い条件]]="前払",ISBLANK(tbl_案件追跡[[#This Row],[受注]])= FALSE ),tbl_案件追跡[[#This Row],[受注]],IF(ISBLANK(tbl_案件追跡[[#This Row],[着荷]]),"",EOMONTH(tbl_案件追跡[[#This Row],[着荷]],0)))</f>
        <v/>
      </c>
      <c r="Z28" s="214"/>
      <c r="AA28" s="77" t="str">
        <f>_xlfn.XLOOKUP(tbl_案件追跡[[#This Row],[案件番号]],tbl_採番[案件番号],tbl_採番[担当者],"",0,1)</f>
        <v/>
      </c>
      <c r="AB28" s="209" t="str">
        <f>IF(ISBLANK(tbl_案件追跡[[#This Row],[案件番号]]),"",COUNTIF(tbl_案件追跡[案件番号],tbl_案件追跡[[#This Row],[案件番号]]))</f>
        <v/>
      </c>
      <c r="AC28" s="214"/>
      <c r="AD28" s="71"/>
      <c r="AE28" s="214"/>
      <c r="AF28" s="72"/>
      <c r="AH28"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8"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8"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8"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8"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8"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8"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8"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8"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8"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8"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8"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8"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8"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8"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8"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8"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8"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8"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8"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8"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8"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8"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8"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8"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8"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8"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8"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8"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8"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8"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8"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8"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8"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8"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8"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8"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8"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8"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8"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8"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8"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8"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8"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8"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8"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8"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8"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8"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8"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8"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8"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8"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8"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8"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8"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8"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8"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8"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8"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9" spans="1:93">
      <c r="A29" s="73"/>
      <c r="B29" s="71" t="str" cm="1">
        <f t="array" ref="B29">IF(ISBLANK(tbl_案件追跡[[#This Row],[案件番号]]),"",COUNTA(_xlfn.UNIQUE(_xlfn._xlws.FILTER(tbl_明細[仕入先], tbl_明細[案件番号]=tbl_案件追跡[[#This Row],[案件番号]]))))</f>
        <v/>
      </c>
      <c r="C29" s="77" t="str">
        <f>IF(ISBLANK(tbl_案件追跡[[#This Row],[案件番号]]),"",_xlfn.XLOOKUP(tbl_案件追跡[[#This Row],[案件番号]],tbl_明細[案件番号],tbl_明細[顧客名],"",0,1))</f>
        <v/>
      </c>
      <c r="D29" s="86" t="str">
        <f>IF(ISBLANK(tbl_案件追跡[[#This Row],[案件番号]]),"",IF(tbl_案件追跡[[#This Row],[仕入先数]] = 1, _xlfn.XLOOKUP(tbl_案件追跡[[#This Row],[案件番号]],tbl_明細[案件番号],tbl_明細[仕入先],"",0,1),""))</f>
        <v/>
      </c>
      <c r="E29" s="77" t="str" cm="1">
        <f t="array" ref="E29">IF(ISBLANK(tbl_案件追跡[[#This Row],[案件番号]]),"",_xlfn.XLOOKUP(tbl_案件追跡[[#This Row],[案件番号]]&amp;tbl_案件追跡[[#This Row],[仕入先]],tbl_明細[案件番号]&amp;tbl_明細[仕入先],tbl_明細[商品名],"",0,1))</f>
        <v/>
      </c>
      <c r="F29" s="86"/>
      <c r="G29" s="86"/>
      <c r="H29" s="86"/>
      <c r="I29" s="86"/>
      <c r="J29" s="86"/>
      <c r="K29" s="86"/>
      <c r="L29" s="71"/>
      <c r="M29" s="214"/>
      <c r="N29" s="215"/>
      <c r="O29" s="215"/>
      <c r="P29" s="214"/>
      <c r="Q29" s="215"/>
      <c r="R29" s="215"/>
      <c r="S29" s="215"/>
      <c r="T29" s="215"/>
      <c r="U29" s="215"/>
      <c r="V29" s="215"/>
      <c r="W29" s="214" t="str">
        <f>IF(ISBLANK(tbl_案件追跡[[#This Row],[着荷]]),"",EOMONTH(tbl_案件追跡[[#This Row],[着荷]],0))</f>
        <v/>
      </c>
      <c r="X29" s="214"/>
      <c r="Y29" s="214" t="str">
        <f>IF(AND(tbl_案件追跡[[#This Row],[支払い条件]]="前払",ISBLANK(tbl_案件追跡[[#This Row],[受注]])= FALSE ),tbl_案件追跡[[#This Row],[受注]],IF(ISBLANK(tbl_案件追跡[[#This Row],[着荷]]),"",EOMONTH(tbl_案件追跡[[#This Row],[着荷]],0)))</f>
        <v/>
      </c>
      <c r="Z29" s="214"/>
      <c r="AA29" s="77" t="str">
        <f>_xlfn.XLOOKUP(tbl_案件追跡[[#This Row],[案件番号]],tbl_採番[案件番号],tbl_採番[担当者],"",0,1)</f>
        <v/>
      </c>
      <c r="AB29" s="209" t="str">
        <f>IF(ISBLANK(tbl_案件追跡[[#This Row],[案件番号]]),"",COUNTIF(tbl_案件追跡[案件番号],tbl_案件追跡[[#This Row],[案件番号]]))</f>
        <v/>
      </c>
      <c r="AC29" s="214"/>
      <c r="AD29" s="71"/>
      <c r="AE29" s="214"/>
      <c r="AF29" s="72"/>
      <c r="AH29"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9"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9"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9"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9"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9"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9"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9"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9"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9"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9"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9"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9"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9"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9"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9"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9"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9"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9"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9"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9"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9"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9"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9"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9"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9"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9"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9"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9"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9"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9"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9"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9"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9"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9"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9"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9"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9"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9"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9"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9"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9"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9"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9"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9"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9"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9"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9"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9"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9"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9"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9"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9"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9"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9"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9"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9"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9"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9"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9"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0" spans="1:93">
      <c r="A30" s="73"/>
      <c r="B30" s="71" t="str" cm="1">
        <f t="array" ref="B30">IF(ISBLANK(tbl_案件追跡[[#This Row],[案件番号]]),"",COUNTA(_xlfn.UNIQUE(_xlfn._xlws.FILTER(tbl_明細[仕入先], tbl_明細[案件番号]=tbl_案件追跡[[#This Row],[案件番号]]))))</f>
        <v/>
      </c>
      <c r="C30" s="77" t="str">
        <f>IF(ISBLANK(tbl_案件追跡[[#This Row],[案件番号]]),"",_xlfn.XLOOKUP(tbl_案件追跡[[#This Row],[案件番号]],tbl_明細[案件番号],tbl_明細[顧客名],"",0,1))</f>
        <v/>
      </c>
      <c r="D30" s="86" t="str">
        <f>IF(ISBLANK(tbl_案件追跡[[#This Row],[案件番号]]),"",IF(tbl_案件追跡[[#This Row],[仕入先数]] = 1, _xlfn.XLOOKUP(tbl_案件追跡[[#This Row],[案件番号]],tbl_明細[案件番号],tbl_明細[仕入先],"",0,1),""))</f>
        <v/>
      </c>
      <c r="E30" s="77" t="str" cm="1">
        <f t="array" ref="E30">IF(ISBLANK(tbl_案件追跡[[#This Row],[案件番号]]),"",_xlfn.XLOOKUP(tbl_案件追跡[[#This Row],[案件番号]]&amp;tbl_案件追跡[[#This Row],[仕入先]],tbl_明細[案件番号]&amp;tbl_明細[仕入先],tbl_明細[商品名],"",0,1))</f>
        <v/>
      </c>
      <c r="F30" s="86"/>
      <c r="G30" s="86"/>
      <c r="H30" s="86"/>
      <c r="I30" s="86"/>
      <c r="J30" s="86"/>
      <c r="K30" s="86"/>
      <c r="L30" s="71"/>
      <c r="M30" s="214"/>
      <c r="N30" s="215"/>
      <c r="O30" s="215"/>
      <c r="P30" s="214"/>
      <c r="Q30" s="215"/>
      <c r="R30" s="215"/>
      <c r="S30" s="215"/>
      <c r="T30" s="215"/>
      <c r="U30" s="215"/>
      <c r="V30" s="215"/>
      <c r="W30" s="214" t="str">
        <f>IF(ISBLANK(tbl_案件追跡[[#This Row],[着荷]]),"",EOMONTH(tbl_案件追跡[[#This Row],[着荷]],0))</f>
        <v/>
      </c>
      <c r="X30" s="214"/>
      <c r="Y30" s="214" t="str">
        <f>IF(AND(tbl_案件追跡[[#This Row],[支払い条件]]="前払",ISBLANK(tbl_案件追跡[[#This Row],[受注]])= FALSE ),tbl_案件追跡[[#This Row],[受注]],IF(ISBLANK(tbl_案件追跡[[#This Row],[着荷]]),"",EOMONTH(tbl_案件追跡[[#This Row],[着荷]],0)))</f>
        <v/>
      </c>
      <c r="Z30" s="214"/>
      <c r="AA30" s="77" t="str">
        <f>_xlfn.XLOOKUP(tbl_案件追跡[[#This Row],[案件番号]],tbl_採番[案件番号],tbl_採番[担当者],"",0,1)</f>
        <v/>
      </c>
      <c r="AB30" s="209" t="str">
        <f>IF(ISBLANK(tbl_案件追跡[[#This Row],[案件番号]]),"",COUNTIF(tbl_案件追跡[案件番号],tbl_案件追跡[[#This Row],[案件番号]]))</f>
        <v/>
      </c>
      <c r="AC30" s="214"/>
      <c r="AD30" s="71"/>
      <c r="AE30" s="214"/>
      <c r="AF30" s="72"/>
      <c r="AH30"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0"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0"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0"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0"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0"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0"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0"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0"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0"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0"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0"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0"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0"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0"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0"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0"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0"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0"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0"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0"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0"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0"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0"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0"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0"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0"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0"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0"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0"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0"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0"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0"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0"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0"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0"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0"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0"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0"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0"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0"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0"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0"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0"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0"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0"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0"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0"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0"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0"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0"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0"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0"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0"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0"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0"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0"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0"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0"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0"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1" spans="1:93">
      <c r="A31" s="73"/>
      <c r="B31" s="71" t="str" cm="1">
        <f t="array" ref="B31">IF(ISBLANK(tbl_案件追跡[[#This Row],[案件番号]]),"",COUNTA(_xlfn.UNIQUE(_xlfn._xlws.FILTER(tbl_明細[仕入先], tbl_明細[案件番号]=tbl_案件追跡[[#This Row],[案件番号]]))))</f>
        <v/>
      </c>
      <c r="C31" s="77" t="str">
        <f>IF(ISBLANK(tbl_案件追跡[[#This Row],[案件番号]]),"",_xlfn.XLOOKUP(tbl_案件追跡[[#This Row],[案件番号]],tbl_明細[案件番号],tbl_明細[顧客名],"",0,1))</f>
        <v/>
      </c>
      <c r="D31" s="86" t="str">
        <f>IF(ISBLANK(tbl_案件追跡[[#This Row],[案件番号]]),"",IF(tbl_案件追跡[[#This Row],[仕入先数]] = 1, _xlfn.XLOOKUP(tbl_案件追跡[[#This Row],[案件番号]],tbl_明細[案件番号],tbl_明細[仕入先],"",0,1),""))</f>
        <v/>
      </c>
      <c r="E31" s="77" t="str" cm="1">
        <f t="array" ref="E31">IF(ISBLANK(tbl_案件追跡[[#This Row],[案件番号]]),"",_xlfn.XLOOKUP(tbl_案件追跡[[#This Row],[案件番号]]&amp;tbl_案件追跡[[#This Row],[仕入先]],tbl_明細[案件番号]&amp;tbl_明細[仕入先],tbl_明細[商品名],"",0,1))</f>
        <v/>
      </c>
      <c r="F31" s="86"/>
      <c r="G31" s="86"/>
      <c r="H31" s="86"/>
      <c r="I31" s="86"/>
      <c r="J31" s="86"/>
      <c r="K31" s="86"/>
      <c r="L31" s="71"/>
      <c r="M31" s="214"/>
      <c r="N31" s="215"/>
      <c r="O31" s="215"/>
      <c r="P31" s="214"/>
      <c r="Q31" s="215"/>
      <c r="R31" s="215"/>
      <c r="S31" s="215"/>
      <c r="T31" s="215"/>
      <c r="U31" s="215"/>
      <c r="V31" s="215"/>
      <c r="W31" s="214" t="str">
        <f>IF(ISBLANK(tbl_案件追跡[[#This Row],[着荷]]),"",EOMONTH(tbl_案件追跡[[#This Row],[着荷]],0))</f>
        <v/>
      </c>
      <c r="X31" s="214"/>
      <c r="Y31" s="214" t="str">
        <f>IF(AND(tbl_案件追跡[[#This Row],[支払い条件]]="前払",ISBLANK(tbl_案件追跡[[#This Row],[受注]])= FALSE ),tbl_案件追跡[[#This Row],[受注]],IF(ISBLANK(tbl_案件追跡[[#This Row],[着荷]]),"",EOMONTH(tbl_案件追跡[[#This Row],[着荷]],0)))</f>
        <v/>
      </c>
      <c r="Z31" s="214"/>
      <c r="AA31" s="77" t="str">
        <f>_xlfn.XLOOKUP(tbl_案件追跡[[#This Row],[案件番号]],tbl_採番[案件番号],tbl_採番[担当者],"",0,1)</f>
        <v/>
      </c>
      <c r="AB31" s="209" t="str">
        <f>IF(ISBLANK(tbl_案件追跡[[#This Row],[案件番号]]),"",COUNTIF(tbl_案件追跡[案件番号],tbl_案件追跡[[#This Row],[案件番号]]))</f>
        <v/>
      </c>
      <c r="AC31" s="214"/>
      <c r="AD31" s="71"/>
      <c r="AE31" s="214"/>
      <c r="AF31" s="72"/>
      <c r="AH31"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1"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1"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1"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1"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1"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1"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1"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1"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1"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1"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1"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1"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1"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1"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1"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1"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1"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1"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1"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1"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1"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1"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1"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1"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1"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1"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1"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1"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1"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1"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1"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1"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1"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1"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1"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1"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1"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1"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1"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1"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1"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1"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1"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1"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1"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1"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1"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1"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1"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1"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1"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1"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1"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1"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1"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1"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1"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1"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1"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2" spans="1:93">
      <c r="A32" s="73"/>
      <c r="B32" s="71" t="str" cm="1">
        <f t="array" ref="B32">IF(ISBLANK(tbl_案件追跡[[#This Row],[案件番号]]),"",COUNTA(_xlfn.UNIQUE(_xlfn._xlws.FILTER(tbl_明細[仕入先], tbl_明細[案件番号]=tbl_案件追跡[[#This Row],[案件番号]]))))</f>
        <v/>
      </c>
      <c r="C32" s="77" t="str">
        <f>IF(ISBLANK(tbl_案件追跡[[#This Row],[案件番号]]),"",_xlfn.XLOOKUP(tbl_案件追跡[[#This Row],[案件番号]],tbl_明細[案件番号],tbl_明細[顧客名],"",0,1))</f>
        <v/>
      </c>
      <c r="D32" s="86" t="str">
        <f>IF(ISBLANK(tbl_案件追跡[[#This Row],[案件番号]]),"",IF(tbl_案件追跡[[#This Row],[仕入先数]] = 1, _xlfn.XLOOKUP(tbl_案件追跡[[#This Row],[案件番号]],tbl_明細[案件番号],tbl_明細[仕入先],"",0,1),""))</f>
        <v/>
      </c>
      <c r="E32" s="77" t="str" cm="1">
        <f t="array" ref="E32">IF(ISBLANK(tbl_案件追跡[[#This Row],[案件番号]]),"",_xlfn.XLOOKUP(tbl_案件追跡[[#This Row],[案件番号]]&amp;tbl_案件追跡[[#This Row],[仕入先]],tbl_明細[案件番号]&amp;tbl_明細[仕入先],tbl_明細[商品名],"",0,1))</f>
        <v/>
      </c>
      <c r="F32" s="86"/>
      <c r="G32" s="86"/>
      <c r="H32" s="86"/>
      <c r="I32" s="86"/>
      <c r="J32" s="86"/>
      <c r="K32" s="86"/>
      <c r="L32" s="71"/>
      <c r="M32" s="214"/>
      <c r="N32" s="215"/>
      <c r="O32" s="215"/>
      <c r="P32" s="214"/>
      <c r="Q32" s="215"/>
      <c r="R32" s="215"/>
      <c r="S32" s="215"/>
      <c r="T32" s="215"/>
      <c r="U32" s="215"/>
      <c r="V32" s="215"/>
      <c r="W32" s="214" t="str">
        <f>IF(ISBLANK(tbl_案件追跡[[#This Row],[着荷]]),"",EOMONTH(tbl_案件追跡[[#This Row],[着荷]],0))</f>
        <v/>
      </c>
      <c r="X32" s="214"/>
      <c r="Y32" s="214" t="str">
        <f>IF(AND(tbl_案件追跡[[#This Row],[支払い条件]]="前払",ISBLANK(tbl_案件追跡[[#This Row],[受注]])= FALSE ),tbl_案件追跡[[#This Row],[受注]],IF(ISBLANK(tbl_案件追跡[[#This Row],[着荷]]),"",EOMONTH(tbl_案件追跡[[#This Row],[着荷]],0)))</f>
        <v/>
      </c>
      <c r="Z32" s="214"/>
      <c r="AA32" s="77" t="str">
        <f>_xlfn.XLOOKUP(tbl_案件追跡[[#This Row],[案件番号]],tbl_採番[案件番号],tbl_採番[担当者],"",0,1)</f>
        <v/>
      </c>
      <c r="AB32" s="209" t="str">
        <f>IF(ISBLANK(tbl_案件追跡[[#This Row],[案件番号]]),"",COUNTIF(tbl_案件追跡[案件番号],tbl_案件追跡[[#This Row],[案件番号]]))</f>
        <v/>
      </c>
      <c r="AC32" s="214"/>
      <c r="AD32" s="71"/>
      <c r="AE32" s="214"/>
      <c r="AF32" s="72"/>
      <c r="AH32"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2"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2"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2"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2"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2"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2"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2"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2"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2"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2"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2"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2"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2"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2"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2"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2"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2"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2"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2"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2"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2"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2"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2"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2"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2"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2"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2"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2"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2"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2"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2"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2"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2"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2"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2"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2"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2"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2"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2"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2"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2"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2"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2"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2"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2"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2"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2"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2"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2"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2"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2"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2"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2"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2"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2"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2"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2"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2"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2"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3" spans="1:93">
      <c r="A33" s="73"/>
      <c r="B33" s="71" t="str" cm="1">
        <f t="array" ref="B33">IF(ISBLANK(tbl_案件追跡[[#This Row],[案件番号]]),"",COUNTA(_xlfn.UNIQUE(_xlfn._xlws.FILTER(tbl_明細[仕入先], tbl_明細[案件番号]=tbl_案件追跡[[#This Row],[案件番号]]))))</f>
        <v/>
      </c>
      <c r="C33" s="77" t="str">
        <f>IF(ISBLANK(tbl_案件追跡[[#This Row],[案件番号]]),"",_xlfn.XLOOKUP(tbl_案件追跡[[#This Row],[案件番号]],tbl_明細[案件番号],tbl_明細[顧客名],"",0,1))</f>
        <v/>
      </c>
      <c r="D33" s="86" t="str">
        <f>IF(ISBLANK(tbl_案件追跡[[#This Row],[案件番号]]),"",IF(tbl_案件追跡[[#This Row],[仕入先数]] = 1, _xlfn.XLOOKUP(tbl_案件追跡[[#This Row],[案件番号]],tbl_明細[案件番号],tbl_明細[仕入先],"",0,1),""))</f>
        <v/>
      </c>
      <c r="E33" s="77" t="str" cm="1">
        <f t="array" ref="E33">IF(ISBLANK(tbl_案件追跡[[#This Row],[案件番号]]),"",_xlfn.XLOOKUP(tbl_案件追跡[[#This Row],[案件番号]]&amp;tbl_案件追跡[[#This Row],[仕入先]],tbl_明細[案件番号]&amp;tbl_明細[仕入先],tbl_明細[商品名],"",0,1))</f>
        <v/>
      </c>
      <c r="F33" s="86"/>
      <c r="G33" s="86"/>
      <c r="H33" s="86"/>
      <c r="I33" s="86"/>
      <c r="J33" s="86"/>
      <c r="K33" s="86"/>
      <c r="L33" s="71"/>
      <c r="M33" s="214"/>
      <c r="N33" s="215"/>
      <c r="O33" s="215"/>
      <c r="P33" s="214"/>
      <c r="Q33" s="215"/>
      <c r="R33" s="215"/>
      <c r="S33" s="215"/>
      <c r="T33" s="215"/>
      <c r="U33" s="215"/>
      <c r="V33" s="215"/>
      <c r="W33" s="214" t="str">
        <f>IF(ISBLANK(tbl_案件追跡[[#This Row],[着荷]]),"",EOMONTH(tbl_案件追跡[[#This Row],[着荷]],0))</f>
        <v/>
      </c>
      <c r="X33" s="214"/>
      <c r="Y33" s="214" t="str">
        <f>IF(AND(tbl_案件追跡[[#This Row],[支払い条件]]="前払",ISBLANK(tbl_案件追跡[[#This Row],[受注]])= FALSE ),tbl_案件追跡[[#This Row],[受注]],IF(ISBLANK(tbl_案件追跡[[#This Row],[着荷]]),"",EOMONTH(tbl_案件追跡[[#This Row],[着荷]],0)))</f>
        <v/>
      </c>
      <c r="Z33" s="214"/>
      <c r="AA33" s="77" t="str">
        <f>_xlfn.XLOOKUP(tbl_案件追跡[[#This Row],[案件番号]],tbl_採番[案件番号],tbl_採番[担当者],"",0,1)</f>
        <v/>
      </c>
      <c r="AB33" s="209" t="str">
        <f>IF(ISBLANK(tbl_案件追跡[[#This Row],[案件番号]]),"",COUNTIF(tbl_案件追跡[案件番号],tbl_案件追跡[[#This Row],[案件番号]]))</f>
        <v/>
      </c>
      <c r="AC33" s="214"/>
      <c r="AD33" s="71"/>
      <c r="AE33" s="214"/>
      <c r="AF33" s="72"/>
      <c r="AH33"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3"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3"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3"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3"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3"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3"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3"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3"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3"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3"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3"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3"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3"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3"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3"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3"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3"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3"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3"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3"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3"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3"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3"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3"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3"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3"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3"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3"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3"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3"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3"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3"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3"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3"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3"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3"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3"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3"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3"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3"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3"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3"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3"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3"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3"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3"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3"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3"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3"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3"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3"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3"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3"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3"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3"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3"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3"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3"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3"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4" spans="1:93">
      <c r="A34" s="74"/>
      <c r="B34" s="75" t="str" cm="1">
        <f t="array" ref="B34">IF(ISBLANK(tbl_案件追跡[[#This Row],[案件番号]]),"",COUNTA(_xlfn.UNIQUE(_xlfn._xlws.FILTER(tbl_明細[仕入先], tbl_明細[案件番号]=tbl_案件追跡[[#This Row],[案件番号]]))))</f>
        <v/>
      </c>
      <c r="C34" s="78" t="str">
        <f>IF(ISBLANK(tbl_案件追跡[[#This Row],[案件番号]]),"",_xlfn.XLOOKUP(tbl_案件追跡[[#This Row],[案件番号]],tbl_明細[案件番号],tbl_明細[顧客名],"",0,1))</f>
        <v/>
      </c>
      <c r="D34" s="219" t="str">
        <f>IF(ISBLANK(tbl_案件追跡[[#This Row],[案件番号]]),"",IF(tbl_案件追跡[[#This Row],[仕入先数]] = 1, _xlfn.XLOOKUP(tbl_案件追跡[[#This Row],[案件番号]],tbl_明細[案件番号],tbl_明細[仕入先],"",0,1),""))</f>
        <v/>
      </c>
      <c r="E34" s="78" t="str" cm="1">
        <f t="array" ref="E34">IF(ISBLANK(tbl_案件追跡[[#This Row],[案件番号]]),"",_xlfn.XLOOKUP(tbl_案件追跡[[#This Row],[案件番号]]&amp;tbl_案件追跡[[#This Row],[仕入先]],tbl_明細[案件番号]&amp;tbl_明細[仕入先],tbl_明細[商品名],"",0,1))</f>
        <v/>
      </c>
      <c r="F34" s="219"/>
      <c r="G34" s="219"/>
      <c r="H34" s="219"/>
      <c r="I34" s="219"/>
      <c r="J34" s="219"/>
      <c r="K34" s="219"/>
      <c r="L34" s="75"/>
      <c r="M34" s="217"/>
      <c r="N34" s="220"/>
      <c r="O34" s="220"/>
      <c r="P34" s="217"/>
      <c r="Q34" s="220"/>
      <c r="R34" s="220"/>
      <c r="S34" s="220"/>
      <c r="T34" s="220"/>
      <c r="U34" s="220"/>
      <c r="V34" s="220"/>
      <c r="W34" s="217" t="str">
        <f>IF(ISBLANK(tbl_案件追跡[[#This Row],[着荷]]),"",EOMONTH(tbl_案件追跡[[#This Row],[着荷]],0))</f>
        <v/>
      </c>
      <c r="X34" s="217"/>
      <c r="Y34" s="217" t="str">
        <f>IF(AND(tbl_案件追跡[[#This Row],[支払い条件]]="前払",ISBLANK(tbl_案件追跡[[#This Row],[受注]])= FALSE ),tbl_案件追跡[[#This Row],[受注]],IF(ISBLANK(tbl_案件追跡[[#This Row],[着荷]]),"",EOMONTH(tbl_案件追跡[[#This Row],[着荷]],0)))</f>
        <v/>
      </c>
      <c r="Z34" s="217"/>
      <c r="AA34" s="77" t="str">
        <f>_xlfn.XLOOKUP(tbl_案件追跡[[#This Row],[案件番号]],tbl_採番[案件番号],tbl_採番[担当者],"",0,1)</f>
        <v/>
      </c>
      <c r="AB34" s="210" t="str">
        <f>IF(ISBLANK(tbl_案件追跡[[#This Row],[案件番号]]),"",COUNTIF(tbl_案件追跡[案件番号],tbl_案件追跡[[#This Row],[案件番号]]))</f>
        <v/>
      </c>
      <c r="AC34" s="217"/>
      <c r="AD34" s="75"/>
      <c r="AE34" s="217"/>
      <c r="AF34" s="76"/>
      <c r="AH34"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4"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4"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4"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4"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4"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4"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4"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4"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4"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4"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4"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4"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4"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4"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4"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4"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4"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4"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4"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4"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4"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4"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4"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4"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4"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4"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4"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4"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4"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4"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4"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4"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4"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4"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4"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4"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4"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4"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4"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4"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4"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4"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4"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4"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4"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4"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4"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4"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4"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4"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4"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4"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4"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4"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4"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4"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4"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4"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4"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sheetData>
  <mergeCells count="1">
    <mergeCell ref="AH1:AI1"/>
  </mergeCells>
  <phoneticPr fontId="3"/>
  <conditionalFormatting sqref="Q4:R34">
    <cfRule type="expression" dxfId="71" priority="13">
      <formula>$L4 &lt;&gt; "前払"</formula>
    </cfRule>
  </conditionalFormatting>
  <conditionalFormatting sqref="W3:Z34 AE3:AE34">
    <cfRule type="expression" dxfId="70" priority="11">
      <formula>_xlfn.ISFORMULA(W3)</formula>
    </cfRule>
  </conditionalFormatting>
  <conditionalFormatting sqref="B4:B34">
    <cfRule type="expression" dxfId="69" priority="10">
      <formula>B4&lt;&gt;AB4</formula>
    </cfRule>
  </conditionalFormatting>
  <conditionalFormatting sqref="D4:D34">
    <cfRule type="expression" dxfId="68" priority="9">
      <formula>B4 &lt;= 1</formula>
    </cfRule>
  </conditionalFormatting>
  <conditionalFormatting sqref="AE4:AE34">
    <cfRule type="expression" dxfId="67" priority="8">
      <formula>L4 = "前払"</formula>
    </cfRule>
  </conditionalFormatting>
  <conditionalFormatting sqref="AD4:AE11 AE12 AD13:AE34">
    <cfRule type="expression" dxfId="66" priority="7">
      <formula>AND(W4 &lt;&gt; "", ISBLANK(AD4) = TRUE)</formula>
    </cfRule>
  </conditionalFormatting>
  <conditionalFormatting sqref="AF4:AF34">
    <cfRule type="expression" dxfId="65" priority="6">
      <formula>AND(Y4 &lt;&gt;"", ISBLANK(AF4) = TRUE)</formula>
    </cfRule>
  </conditionalFormatting>
  <conditionalFormatting sqref="S4:S34">
    <cfRule type="expression" dxfId="64" priority="5">
      <formula>AND(ISBLANK(O4) = FALSE, ISBLANK(S4) = TRUE, TODAY() - MAX(O3,Q3) &gt; 2)</formula>
    </cfRule>
  </conditionalFormatting>
  <conditionalFormatting sqref="U4:U34">
    <cfRule type="expression" dxfId="63" priority="4">
      <formula>AND(ISBLANK(O4) = FALSE, ISBLANK(U4) = TRUE, TODAY() - T4 &gt; 1)</formula>
    </cfRule>
  </conditionalFormatting>
  <conditionalFormatting sqref="V4:V34">
    <cfRule type="expression" dxfId="62" priority="3">
      <formula>AND(ISBLANK(S4) = FALSE, ISBLANK(V4) = TRUE, TODAY() - U4 &gt; 3)</formula>
    </cfRule>
  </conditionalFormatting>
  <conditionalFormatting sqref="AH3:CO34">
    <cfRule type="expression" dxfId="61" priority="2">
      <formula>AND(TODAY() &gt;=AH$3, TODAY() &lt; AI$3)</formula>
    </cfRule>
  </conditionalFormatting>
  <conditionalFormatting sqref="AD12">
    <cfRule type="expression" dxfId="60" priority="1">
      <formula>AND(W12 &lt;&gt;"", ISBLANK(AD12) = TRUE)</formula>
    </cfRule>
  </conditionalFormatting>
  <dataValidations count="2">
    <dataValidation type="list" allowBlank="1" showInputMessage="1" showErrorMessage="1" sqref="L4:L34" xr:uid="{652650DC-53E7-4A16-A300-DEEF060047AD}">
      <formula1>"前払, 月末締め翌月末払い"</formula1>
    </dataValidation>
    <dataValidation type="list" allowBlank="1" showInputMessage="1" showErrorMessage="1" sqref="AK1:AK2" xr:uid="{D3004AA9-D502-4969-8DBD-B47C3DF096A0}">
      <formula1>"日, 週"</formula1>
    </dataValidation>
  </dataValidations>
  <pageMargins left="0.7" right="0.7" top="0.75" bottom="0.75" header="0.3" footer="0.3"/>
  <pageSetup paperSize="9" scale="34"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4F93-0D8F-4860-B98E-C7B2929AAAB9}">
  <sheetPr codeName="Sheet8">
    <pageSetUpPr fitToPage="1"/>
  </sheetPr>
  <dimension ref="A1:H51"/>
  <sheetViews>
    <sheetView topLeftCell="A3" zoomScale="77" workbookViewId="0">
      <selection activeCell="E21" sqref="E21"/>
    </sheetView>
  </sheetViews>
  <sheetFormatPr defaultColWidth="9" defaultRowHeight="18"/>
  <cols>
    <col min="1" max="1" width="7.69921875" style="1" customWidth="1"/>
    <col min="2" max="2" width="43.59765625" style="1" bestFit="1" customWidth="1"/>
    <col min="3" max="3" width="10" style="1" customWidth="1"/>
    <col min="4" max="4" width="8" style="1" customWidth="1"/>
    <col min="5" max="5" width="12" style="1" customWidth="1"/>
    <col min="6" max="6" width="14" style="1" customWidth="1"/>
    <col min="7" max="7" width="21.5" style="1" customWidth="1"/>
    <col min="8" max="8" width="24.19921875" style="1" customWidth="1"/>
    <col min="9" max="16384" width="9" style="1"/>
  </cols>
  <sheetData>
    <row r="1" spans="1:8">
      <c r="B1" s="122" t="s">
        <v>1219</v>
      </c>
      <c r="C1" s="63" t="s">
        <v>1945</v>
      </c>
    </row>
    <row r="3" spans="1:8" ht="45.75" customHeight="1">
      <c r="A3" s="277" t="s">
        <v>1169</v>
      </c>
      <c r="B3" s="278"/>
      <c r="C3" s="278"/>
      <c r="D3" s="278"/>
      <c r="E3" s="278"/>
      <c r="F3" s="278"/>
      <c r="G3" s="278"/>
      <c r="H3" s="278"/>
    </row>
    <row r="5" spans="1:8">
      <c r="G5" s="3" t="s">
        <v>809</v>
      </c>
      <c r="H5" s="64">
        <f ca="1">TODAY()</f>
        <v>46098</v>
      </c>
    </row>
    <row r="6" spans="1:8" ht="32.4">
      <c r="A6" s="4" t="str">
        <f>_xlfn.XLOOKUP($C$1,tbl_明細[案件番号],tbl_明細[顧客名],"",0,1)&amp;" 御中"</f>
        <v>下関グランドホテル株式会社 御中</v>
      </c>
      <c r="G6" s="3" t="s">
        <v>811</v>
      </c>
      <c r="H6" s="3" t="str">
        <f>IF(C1="","","EST-SNJ-"&amp;C1)</f>
        <v>EST-SNJ-2603-1002-S01</v>
      </c>
    </row>
    <row r="7" spans="1:8" ht="22.2">
      <c r="A7" s="5"/>
      <c r="F7" s="6"/>
      <c r="G7" s="7"/>
      <c r="H7" s="8"/>
    </row>
    <row r="8" spans="1:8">
      <c r="F8" s="9"/>
      <c r="H8" s="10"/>
    </row>
    <row r="9" spans="1:8">
      <c r="F9" s="11" t="s">
        <v>812</v>
      </c>
      <c r="H9" s="10"/>
    </row>
    <row r="10" spans="1:8" ht="18.75" customHeight="1">
      <c r="F10" s="11" t="s">
        <v>813</v>
      </c>
      <c r="H10" s="10"/>
    </row>
    <row r="11" spans="1:8" ht="18.75" customHeight="1">
      <c r="A11" s="1" t="s">
        <v>1170</v>
      </c>
      <c r="E11" s="10"/>
      <c r="F11" s="11" t="s">
        <v>814</v>
      </c>
      <c r="H11" s="10"/>
    </row>
    <row r="12" spans="1:8" ht="18.75" customHeight="1">
      <c r="A12" s="279" t="str">
        <f>"見積金額（税込）　　"&amp;TEXT(H43,"\#,##0")</f>
        <v>見積金額（税込）　　¥16,060</v>
      </c>
      <c r="B12" s="279"/>
      <c r="C12" s="279"/>
      <c r="D12" s="279"/>
      <c r="E12" s="12"/>
      <c r="F12" s="11" t="s">
        <v>815</v>
      </c>
      <c r="H12" s="10"/>
    </row>
    <row r="13" spans="1:8" ht="19.5" customHeight="1" thickBot="1">
      <c r="A13" s="280"/>
      <c r="B13" s="280"/>
      <c r="C13" s="280"/>
      <c r="D13" s="280"/>
      <c r="E13" s="12"/>
      <c r="F13" s="13" t="s">
        <v>816</v>
      </c>
      <c r="G13" s="14"/>
      <c r="H13" s="15"/>
    </row>
    <row r="15" spans="1:8">
      <c r="F15" s="1" t="s">
        <v>817</v>
      </c>
    </row>
    <row r="16" spans="1:8" ht="20.25" customHeight="1">
      <c r="A16" s="202" t="s">
        <v>807</v>
      </c>
      <c r="B16" s="202" t="s">
        <v>150</v>
      </c>
      <c r="C16" s="202" t="s">
        <v>818</v>
      </c>
      <c r="D16" s="202" t="s">
        <v>153</v>
      </c>
      <c r="E16" s="202" t="s">
        <v>819</v>
      </c>
      <c r="F16" s="202" t="s">
        <v>161</v>
      </c>
      <c r="G16" s="202" t="s">
        <v>820</v>
      </c>
      <c r="H16" s="202" t="s">
        <v>808</v>
      </c>
    </row>
    <row r="17" spans="1:8" ht="20.25" customHeight="1">
      <c r="A17" s="16" cm="1">
        <f t="array" ref="A17:F18">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1</v>
      </c>
      <c r="B17" s="16" t="str">
        <v>あつまいも</v>
      </c>
      <c r="C17" s="16">
        <v>20</v>
      </c>
      <c r="D17" s="2" t="str">
        <v>kg</v>
      </c>
      <c r="E17" s="17">
        <v>550</v>
      </c>
      <c r="F17" s="18">
        <v>0.08</v>
      </c>
      <c r="G17" s="192">
        <f>IF(ISBLANK(B17),"",C17*E17)</f>
        <v>11000</v>
      </c>
      <c r="H17" s="16" t="str" cm="1">
        <f t="array" ref="H17">IF(ISBLANK(_xlfn.XLOOKUP($C$1&amp;A17,tbl_明細[案件番号]&amp;tbl_明細[No],tbl_明細[備考（顧客向け）],"",0,1)),"",_xlfn.XLOOKUP($C$1&amp;A17,tbl_明細[案件番号]&amp;tbl_明細[No],tbl_明細[備考（顧客向け）],"",0,1))</f>
        <v/>
      </c>
    </row>
    <row r="18" spans="1:8" ht="20.25" customHeight="1">
      <c r="A18" s="16">
        <v>2</v>
      </c>
      <c r="B18" s="16" t="str">
        <v>送料（北海道）</v>
      </c>
      <c r="C18" s="16">
        <v>2</v>
      </c>
      <c r="D18" s="2" t="str">
        <v>箱</v>
      </c>
      <c r="E18" s="17">
        <v>1900</v>
      </c>
      <c r="F18" s="18">
        <v>0.1</v>
      </c>
      <c r="G18" s="192">
        <f t="shared" ref="G18:G36" si="0">IF(ISBLANK(B18),"",C18*E18)</f>
        <v>3800</v>
      </c>
      <c r="H18" s="16" t="str" cm="1">
        <f t="array" ref="H18">IF(ISBLANK(_xlfn.XLOOKUP($C$1&amp;A18,tbl_明細[案件番号]&amp;tbl_明細[No],tbl_明細[備考（顧客向け）],"",0,1)),"",_xlfn.XLOOKUP($C$1&amp;A18,tbl_明細[案件番号]&amp;tbl_明細[No],tbl_明細[備考（顧客向け）],"",0,1))</f>
        <v/>
      </c>
    </row>
    <row r="19" spans="1:8" ht="20.25" customHeight="1">
      <c r="A19" s="16"/>
      <c r="B19" s="16"/>
      <c r="C19" s="16"/>
      <c r="D19" s="2"/>
      <c r="E19" s="17"/>
      <c r="F19" s="18"/>
      <c r="G19" s="192" t="str">
        <f t="shared" si="0"/>
        <v/>
      </c>
      <c r="H19" s="16" t="str" cm="1">
        <f t="array" ref="H19">IF(ISBLANK(_xlfn.XLOOKUP($C$1&amp;A19,tbl_明細[案件番号]&amp;tbl_明細[No],tbl_明細[備考（顧客向け）],"",0,1)),"",_xlfn.XLOOKUP($C$1&amp;A19,tbl_明細[案件番号]&amp;tbl_明細[No],tbl_明細[備考（顧客向け）],"",0,1))</f>
        <v/>
      </c>
    </row>
    <row r="20" spans="1:8" ht="20.25" customHeight="1">
      <c r="A20" s="16"/>
      <c r="B20" s="16"/>
      <c r="C20" s="16"/>
      <c r="D20" s="2"/>
      <c r="E20" s="17"/>
      <c r="F20" s="18"/>
      <c r="G20" s="192" t="str">
        <f t="shared" si="0"/>
        <v/>
      </c>
      <c r="H20" s="16" t="str" cm="1">
        <f t="array" ref="H20">IF(ISBLANK(_xlfn.XLOOKUP($C$1&amp;A20,tbl_明細[案件番号]&amp;tbl_明細[No],tbl_明細[備考（顧客向け）],"",0,1)),"",_xlfn.XLOOKUP($C$1&amp;A20,tbl_明細[案件番号]&amp;tbl_明細[No],tbl_明細[備考（顧客向け）],"",0,1))</f>
        <v/>
      </c>
    </row>
    <row r="21" spans="1:8" ht="20.25" customHeight="1">
      <c r="A21" s="16"/>
      <c r="B21" s="16"/>
      <c r="C21" s="16"/>
      <c r="D21" s="2"/>
      <c r="E21" s="17"/>
      <c r="F21" s="18"/>
      <c r="G21" s="192" t="str">
        <f t="shared" si="0"/>
        <v/>
      </c>
      <c r="H21" s="16" t="str" cm="1">
        <f t="array" ref="H21">IF(ISBLANK(_xlfn.XLOOKUP($C$1&amp;A21,tbl_明細[案件番号]&amp;tbl_明細[No],tbl_明細[備考（顧客向け）],"",0,1)),"",_xlfn.XLOOKUP($C$1&amp;A21,tbl_明細[案件番号]&amp;tbl_明細[No],tbl_明細[備考（顧客向け）],"",0,1))</f>
        <v/>
      </c>
    </row>
    <row r="22" spans="1:8" ht="20.25" customHeight="1">
      <c r="A22" s="16"/>
      <c r="B22" s="16"/>
      <c r="C22" s="16"/>
      <c r="D22" s="2"/>
      <c r="E22" s="17"/>
      <c r="F22" s="18"/>
      <c r="G22" s="192" t="str">
        <f t="shared" si="0"/>
        <v/>
      </c>
      <c r="H22" s="16" t="str" cm="1">
        <f t="array" ref="H22">IF(ISBLANK(_xlfn.XLOOKUP($C$1&amp;A22,tbl_明細[案件番号]&amp;tbl_明細[No],tbl_明細[備考（顧客向け）],"",0,1)),"",_xlfn.XLOOKUP($C$1&amp;A22,tbl_明細[案件番号]&amp;tbl_明細[No],tbl_明細[備考（顧客向け）],"",0,1))</f>
        <v/>
      </c>
    </row>
    <row r="23" spans="1:8" ht="20.25" customHeight="1">
      <c r="A23" s="16"/>
      <c r="B23" s="16"/>
      <c r="C23" s="16"/>
      <c r="D23" s="2"/>
      <c r="E23" s="17"/>
      <c r="F23" s="18"/>
      <c r="G23" s="192" t="str">
        <f t="shared" si="0"/>
        <v/>
      </c>
      <c r="H23" s="16" t="str" cm="1">
        <f t="array" ref="H23">IF(ISBLANK(_xlfn.XLOOKUP($C$1&amp;A23,tbl_明細[案件番号]&amp;tbl_明細[No],tbl_明細[備考（顧客向け）],"",0,1)),"",_xlfn.XLOOKUP($C$1&amp;A23,tbl_明細[案件番号]&amp;tbl_明細[No],tbl_明細[備考（顧客向け）],"",0,1))</f>
        <v/>
      </c>
    </row>
    <row r="24" spans="1:8" ht="20.25" customHeight="1">
      <c r="A24" s="16"/>
      <c r="B24" s="16"/>
      <c r="C24" s="16"/>
      <c r="D24" s="2"/>
      <c r="E24" s="17"/>
      <c r="F24" s="18"/>
      <c r="G24" s="192" t="str">
        <f t="shared" si="0"/>
        <v/>
      </c>
      <c r="H24" s="16" t="str" cm="1">
        <f t="array" ref="H24">IF(ISBLANK(_xlfn.XLOOKUP($C$1&amp;A24,tbl_明細[案件番号]&amp;tbl_明細[No],tbl_明細[備考（顧客向け）],"",0,1)),"",_xlfn.XLOOKUP($C$1&amp;A24,tbl_明細[案件番号]&amp;tbl_明細[No],tbl_明細[備考（顧客向け）],"",0,1))</f>
        <v/>
      </c>
    </row>
    <row r="25" spans="1:8" ht="20.25" customHeight="1">
      <c r="A25" s="16"/>
      <c r="B25" s="16"/>
      <c r="C25" s="16"/>
      <c r="D25" s="2"/>
      <c r="E25" s="17"/>
      <c r="F25" s="18"/>
      <c r="G25" s="192" t="str">
        <f t="shared" si="0"/>
        <v/>
      </c>
      <c r="H25" s="16" t="str" cm="1">
        <f t="array" ref="H25">IF(ISBLANK(_xlfn.XLOOKUP($C$1&amp;A25,tbl_明細[案件番号]&amp;tbl_明細[No],tbl_明細[備考（顧客向け）],"",0,1)),"",_xlfn.XLOOKUP($C$1&amp;A25,tbl_明細[案件番号]&amp;tbl_明細[No],tbl_明細[備考（顧客向け）],"",0,1))</f>
        <v/>
      </c>
    </row>
    <row r="26" spans="1:8" ht="20.25" customHeight="1">
      <c r="A26" s="16"/>
      <c r="B26" s="16"/>
      <c r="C26" s="16"/>
      <c r="D26" s="2"/>
      <c r="E26" s="17"/>
      <c r="F26" s="18"/>
      <c r="G26" s="192" t="str">
        <f t="shared" si="0"/>
        <v/>
      </c>
      <c r="H26" s="16" t="str" cm="1">
        <f t="array" ref="H26">IF(ISBLANK(_xlfn.XLOOKUP($C$1&amp;A26,tbl_明細[案件番号]&amp;tbl_明細[No],tbl_明細[備考（顧客向け）],"",0,1)),"",_xlfn.XLOOKUP($C$1&amp;A26,tbl_明細[案件番号]&amp;tbl_明細[No],tbl_明細[備考（顧客向け）],"",0,1))</f>
        <v/>
      </c>
    </row>
    <row r="27" spans="1:8" ht="20.25" customHeight="1">
      <c r="A27" s="16"/>
      <c r="B27" s="16"/>
      <c r="C27" s="16"/>
      <c r="D27" s="2"/>
      <c r="E27" s="17"/>
      <c r="F27" s="18"/>
      <c r="G27" s="192" t="str">
        <f t="shared" si="0"/>
        <v/>
      </c>
      <c r="H27" s="16" t="str" cm="1">
        <f t="array" ref="H27">IF(ISBLANK(_xlfn.XLOOKUP($C$1&amp;A27,tbl_明細[案件番号]&amp;tbl_明細[No],tbl_明細[備考（顧客向け）],"",0,1)),"",_xlfn.XLOOKUP($C$1&amp;A27,tbl_明細[案件番号]&amp;tbl_明細[No],tbl_明細[備考（顧客向け）],"",0,1))</f>
        <v/>
      </c>
    </row>
    <row r="28" spans="1:8" ht="20.25" customHeight="1">
      <c r="A28" s="16"/>
      <c r="B28" s="16"/>
      <c r="C28" s="16"/>
      <c r="D28" s="2"/>
      <c r="E28" s="17"/>
      <c r="F28" s="18"/>
      <c r="G28" s="192" t="str">
        <f t="shared" si="0"/>
        <v/>
      </c>
      <c r="H28" s="16" t="str" cm="1">
        <f t="array" ref="H28">IF(ISBLANK(_xlfn.XLOOKUP($C$1&amp;A28,tbl_明細[案件番号]&amp;tbl_明細[No],tbl_明細[備考（顧客向け）],"",0,1)),"",_xlfn.XLOOKUP($C$1&amp;A28,tbl_明細[案件番号]&amp;tbl_明細[No],tbl_明細[備考（顧客向け）],"",0,1))</f>
        <v/>
      </c>
    </row>
    <row r="29" spans="1:8" ht="20.25" customHeight="1">
      <c r="A29" s="16"/>
      <c r="B29" s="16"/>
      <c r="C29" s="16"/>
      <c r="D29" s="2"/>
      <c r="E29" s="17"/>
      <c r="F29" s="18"/>
      <c r="G29" s="192" t="str">
        <f t="shared" si="0"/>
        <v/>
      </c>
      <c r="H29" s="16" t="str" cm="1">
        <f t="array" ref="H29">IF(ISBLANK(_xlfn.XLOOKUP($C$1&amp;A29,tbl_明細[案件番号]&amp;tbl_明細[No],tbl_明細[備考（顧客向け）],"",0,1)),"",_xlfn.XLOOKUP($C$1&amp;A29,tbl_明細[案件番号]&amp;tbl_明細[No],tbl_明細[備考（顧客向け）],"",0,1))</f>
        <v/>
      </c>
    </row>
    <row r="30" spans="1:8" ht="20.25" customHeight="1">
      <c r="A30" s="16"/>
      <c r="B30" s="16"/>
      <c r="C30" s="16"/>
      <c r="D30" s="2"/>
      <c r="E30" s="17"/>
      <c r="F30" s="18"/>
      <c r="G30" s="192" t="str">
        <f t="shared" si="0"/>
        <v/>
      </c>
      <c r="H30" s="16" t="str" cm="1">
        <f t="array" ref="H30">IF(ISBLANK(_xlfn.XLOOKUP($C$1&amp;A30,tbl_明細[案件番号]&amp;tbl_明細[No],tbl_明細[備考（顧客向け）],"",0,1)),"",_xlfn.XLOOKUP($C$1&amp;A30,tbl_明細[案件番号]&amp;tbl_明細[No],tbl_明細[備考（顧客向け）],"",0,1))</f>
        <v/>
      </c>
    </row>
    <row r="31" spans="1:8" ht="20.25" customHeight="1">
      <c r="A31" s="16"/>
      <c r="B31" s="16"/>
      <c r="C31" s="16"/>
      <c r="D31" s="2"/>
      <c r="E31" s="17"/>
      <c r="F31" s="18"/>
      <c r="G31" s="192" t="str">
        <f t="shared" si="0"/>
        <v/>
      </c>
      <c r="H31" s="16" t="str" cm="1">
        <f t="array" ref="H31">IF(ISBLANK(_xlfn.XLOOKUP($C$1&amp;A31,tbl_明細[案件番号]&amp;tbl_明細[No],tbl_明細[備考（顧客向け）],"",0,1)),"",_xlfn.XLOOKUP($C$1&amp;A31,tbl_明細[案件番号]&amp;tbl_明細[No],tbl_明細[備考（顧客向け）],"",0,1))</f>
        <v/>
      </c>
    </row>
    <row r="32" spans="1:8" ht="20.25" customHeight="1">
      <c r="A32" s="16"/>
      <c r="B32" s="16"/>
      <c r="C32" s="16"/>
      <c r="D32" s="2"/>
      <c r="E32" s="17"/>
      <c r="F32" s="18"/>
      <c r="G32" s="192" t="str">
        <f t="shared" si="0"/>
        <v/>
      </c>
      <c r="H32" s="16" t="str" cm="1">
        <f t="array" ref="H32">IF(ISBLANK(_xlfn.XLOOKUP($C$1&amp;A32,tbl_明細[案件番号]&amp;tbl_明細[No],tbl_明細[備考（顧客向け）],"",0,1)),"",_xlfn.XLOOKUP($C$1&amp;A32,tbl_明細[案件番号]&amp;tbl_明細[No],tbl_明細[備考（顧客向け）],"",0,1))</f>
        <v/>
      </c>
    </row>
    <row r="33" spans="1:8" ht="20.25" customHeight="1">
      <c r="A33" s="16"/>
      <c r="B33" s="16"/>
      <c r="C33" s="16"/>
      <c r="D33" s="2"/>
      <c r="E33" s="17"/>
      <c r="F33" s="18"/>
      <c r="G33" s="192" t="str">
        <f t="shared" si="0"/>
        <v/>
      </c>
      <c r="H33" s="16" t="str" cm="1">
        <f t="array" ref="H33">IF(ISBLANK(_xlfn.XLOOKUP($C$1&amp;A33,tbl_明細[案件番号]&amp;tbl_明細[No],tbl_明細[備考（顧客向け）],"",0,1)),"",_xlfn.XLOOKUP($C$1&amp;A33,tbl_明細[案件番号]&amp;tbl_明細[No],tbl_明細[備考（顧客向け）],"",0,1))</f>
        <v/>
      </c>
    </row>
    <row r="34" spans="1:8" ht="20.25" customHeight="1">
      <c r="A34" s="16"/>
      <c r="B34" s="16"/>
      <c r="C34" s="16"/>
      <c r="D34" s="2"/>
      <c r="E34" s="17"/>
      <c r="F34" s="18"/>
      <c r="G34" s="192" t="str">
        <f t="shared" si="0"/>
        <v/>
      </c>
      <c r="H34" s="16" t="str" cm="1">
        <f t="array" ref="H34">IF(ISBLANK(_xlfn.XLOOKUP($C$1&amp;A34,tbl_明細[案件番号]&amp;tbl_明細[No],tbl_明細[備考（顧客向け）],"",0,1)),"",_xlfn.XLOOKUP($C$1&amp;A34,tbl_明細[案件番号]&amp;tbl_明細[No],tbl_明細[備考（顧客向け）],"",0,1))</f>
        <v/>
      </c>
    </row>
    <row r="35" spans="1:8" ht="20.25" customHeight="1">
      <c r="A35" s="16"/>
      <c r="B35" s="16"/>
      <c r="C35" s="16"/>
      <c r="D35" s="2"/>
      <c r="E35" s="17"/>
      <c r="F35" s="18"/>
      <c r="G35" s="192" t="str">
        <f t="shared" si="0"/>
        <v/>
      </c>
      <c r="H35" s="16" t="str" cm="1">
        <f t="array" ref="H35">IF(ISBLANK(_xlfn.XLOOKUP($C$1&amp;A35,tbl_明細[案件番号]&amp;tbl_明細[No],tbl_明細[備考（顧客向け）],"",0,1)),"",_xlfn.XLOOKUP($C$1&amp;A35,tbl_明細[案件番号]&amp;tbl_明細[No],tbl_明細[備考（顧客向け）],"",0,1))</f>
        <v/>
      </c>
    </row>
    <row r="36" spans="1:8" ht="20.25" customHeight="1">
      <c r="A36" s="16"/>
      <c r="B36" s="16"/>
      <c r="C36" s="16"/>
      <c r="D36" s="2"/>
      <c r="E36" s="17"/>
      <c r="F36" s="18"/>
      <c r="G36" s="192" t="str">
        <f t="shared" si="0"/>
        <v/>
      </c>
      <c r="H36" s="16" t="str" cm="1">
        <f t="array" ref="H36">IF(ISBLANK(_xlfn.XLOOKUP($C$1&amp;A36,tbl_明細[案件番号]&amp;tbl_明細[No],tbl_明細[備考（顧客向け）],"",0,1)),"",_xlfn.XLOOKUP($C$1&amp;A36,tbl_明細[案件番号]&amp;tbl_明細[No],tbl_明細[備考（顧客向け）],"",0,1))</f>
        <v/>
      </c>
    </row>
    <row r="37" spans="1:8" s="23" customFormat="1" ht="26.4">
      <c r="A37" s="19"/>
      <c r="B37" s="19"/>
      <c r="C37" s="19"/>
      <c r="D37" s="19"/>
      <c r="E37" s="19"/>
      <c r="F37" s="20" t="s">
        <v>821</v>
      </c>
      <c r="G37" s="21">
        <f>SUM(G17:G36)</f>
        <v>14800</v>
      </c>
      <c r="H37" s="22"/>
    </row>
    <row r="38" spans="1:8" s="23" customFormat="1" ht="26.4">
      <c r="A38" s="5"/>
      <c r="B38" s="5"/>
      <c r="C38" s="5"/>
      <c r="D38" s="5"/>
      <c r="E38" s="5"/>
      <c r="F38" s="24"/>
      <c r="G38" s="25"/>
      <c r="H38" s="5"/>
    </row>
    <row r="39" spans="1:8" s="23" customFormat="1" ht="26.4">
      <c r="A39" s="5"/>
      <c r="B39" s="5"/>
      <c r="C39" s="5"/>
      <c r="D39" s="5"/>
      <c r="E39" s="5"/>
      <c r="F39" s="5"/>
      <c r="G39" s="26" t="s">
        <v>822</v>
      </c>
      <c r="H39" s="26" t="s">
        <v>823</v>
      </c>
    </row>
    <row r="40" spans="1:8" s="23" customFormat="1" ht="26.4">
      <c r="A40" s="27"/>
      <c r="B40" s="27"/>
      <c r="C40" s="5"/>
      <c r="D40" s="5"/>
      <c r="E40" s="28">
        <v>0.08</v>
      </c>
      <c r="F40" s="24" t="s">
        <v>824</v>
      </c>
      <c r="G40" s="41">
        <f>SUMIF($F$17:$F$36,E40,$G$17:$G$36)</f>
        <v>11000</v>
      </c>
      <c r="H40" s="41">
        <f>ROUND(G40*E40,0)</f>
        <v>880</v>
      </c>
    </row>
    <row r="41" spans="1:8" s="23" customFormat="1" ht="26.4">
      <c r="A41" s="27"/>
      <c r="B41" s="27"/>
      <c r="C41" s="5"/>
      <c r="D41" s="5"/>
      <c r="E41" s="28">
        <v>0.1</v>
      </c>
      <c r="F41" s="24" t="s">
        <v>824</v>
      </c>
      <c r="G41" s="41">
        <f t="shared" ref="G41:G42" si="1">SUMIF($F$17:$F$36,E41,$G$17:$G$36)</f>
        <v>3800</v>
      </c>
      <c r="H41" s="41">
        <f>ROUND(G41*E41,0)</f>
        <v>380</v>
      </c>
    </row>
    <row r="42" spans="1:8" s="23" customFormat="1" ht="26.4">
      <c r="A42" s="27"/>
      <c r="B42" s="27"/>
      <c r="C42" s="5"/>
      <c r="D42" s="5"/>
      <c r="E42" s="29" t="s">
        <v>825</v>
      </c>
      <c r="F42" s="24" t="s">
        <v>824</v>
      </c>
      <c r="G42" s="41">
        <f t="shared" si="1"/>
        <v>0</v>
      </c>
      <c r="H42" s="41"/>
    </row>
    <row r="43" spans="1:8" s="23" customFormat="1" ht="26.4">
      <c r="A43" s="27"/>
      <c r="B43" s="27"/>
      <c r="C43" s="5"/>
      <c r="D43" s="5"/>
      <c r="E43" s="5"/>
      <c r="F43" s="24" t="s">
        <v>826</v>
      </c>
      <c r="G43" s="30"/>
      <c r="H43" s="31">
        <f>SUM(G40:H42)</f>
        <v>16060</v>
      </c>
    </row>
    <row r="45" spans="1:8" ht="22.2">
      <c r="A45" s="32" t="s">
        <v>827</v>
      </c>
    </row>
    <row r="46" spans="1:8">
      <c r="A46" s="6"/>
      <c r="B46" s="7"/>
      <c r="C46" s="7"/>
      <c r="D46" s="7"/>
      <c r="E46" s="7"/>
      <c r="F46" s="7"/>
      <c r="G46" s="7"/>
      <c r="H46" s="8"/>
    </row>
    <row r="47" spans="1:8">
      <c r="A47" s="33"/>
      <c r="B47" s="124"/>
      <c r="C47" s="124"/>
      <c r="D47" s="124"/>
      <c r="E47" s="124"/>
      <c r="F47" s="124"/>
      <c r="G47" s="124"/>
      <c r="H47" s="10"/>
    </row>
    <row r="48" spans="1:8">
      <c r="A48" s="33"/>
      <c r="B48" s="124"/>
      <c r="C48" s="124"/>
      <c r="D48" s="124"/>
      <c r="E48" s="124"/>
      <c r="F48" s="124"/>
      <c r="G48" s="124"/>
      <c r="H48" s="10"/>
    </row>
    <row r="49" spans="1:8">
      <c r="A49" s="34"/>
      <c r="B49" s="14"/>
      <c r="C49" s="14"/>
      <c r="D49" s="14"/>
      <c r="E49" s="14"/>
      <c r="F49" s="14"/>
      <c r="G49" s="14"/>
      <c r="H49" s="15"/>
    </row>
    <row r="50" spans="1:8">
      <c r="A50" s="124"/>
      <c r="B50" s="124"/>
      <c r="C50" s="124"/>
      <c r="D50" s="124"/>
      <c r="E50" s="124"/>
      <c r="F50" s="124"/>
      <c r="G50" s="124"/>
      <c r="H50" s="124"/>
    </row>
    <row r="51" spans="1:8">
      <c r="A51" s="124"/>
      <c r="B51" s="124"/>
      <c r="C51" s="124"/>
      <c r="D51" s="124"/>
      <c r="E51" s="124"/>
      <c r="F51" s="124"/>
      <c r="G51" s="124"/>
      <c r="H51" s="124"/>
    </row>
  </sheetData>
  <mergeCells count="2">
    <mergeCell ref="A3:H3"/>
    <mergeCell ref="A12:D13"/>
  </mergeCells>
  <phoneticPr fontId="3"/>
  <pageMargins left="0.25" right="0.25" top="0.75" bottom="0.75" header="0.3" footer="0.3"/>
  <pageSetup paperSize="9" scale="64"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F8202-B16B-46EF-8C5A-87D7BF72FD00}">
  <sheetPr>
    <pageSetUpPr fitToPage="1"/>
  </sheetPr>
  <dimension ref="A1:K53"/>
  <sheetViews>
    <sheetView workbookViewId="0">
      <selection activeCell="H7" sqref="H7"/>
    </sheetView>
  </sheetViews>
  <sheetFormatPr defaultColWidth="8.69921875" defaultRowHeight="18"/>
  <cols>
    <col min="1" max="1" width="8.69921875" style="54"/>
    <col min="2" max="2" width="50.5" style="54" customWidth="1"/>
    <col min="3" max="3" width="37.5" style="54" bestFit="1" customWidth="1"/>
    <col min="4" max="5" width="8.69921875" style="54"/>
    <col min="6" max="6" width="14.3984375" style="54" bestFit="1" customWidth="1"/>
    <col min="7" max="9" width="8.69921875" style="54"/>
    <col min="10" max="10" width="10" style="54" bestFit="1" customWidth="1"/>
    <col min="11" max="11" width="13.09765625" style="54" customWidth="1"/>
    <col min="12" max="16384" width="8.69921875" style="54"/>
  </cols>
  <sheetData>
    <row r="1" spans="1:11">
      <c r="A1" s="90" t="s">
        <v>1218</v>
      </c>
    </row>
    <row r="2" spans="1:11">
      <c r="B2" s="87" t="s">
        <v>1144</v>
      </c>
      <c r="C2" s="63" t="s">
        <v>1127</v>
      </c>
      <c r="E2" s="88" t="s">
        <v>807</v>
      </c>
      <c r="F2" s="88" t="s">
        <v>150</v>
      </c>
      <c r="G2" s="88" t="s">
        <v>818</v>
      </c>
      <c r="H2" s="88" t="s">
        <v>153</v>
      </c>
      <c r="I2" s="88" t="s">
        <v>819</v>
      </c>
      <c r="J2" s="88" t="s">
        <v>161</v>
      </c>
      <c r="K2" s="88" t="s">
        <v>820</v>
      </c>
    </row>
    <row r="3" spans="1:11">
      <c r="B3" s="88" t="s">
        <v>1181</v>
      </c>
      <c r="C3" s="88" t="str">
        <f>_xlfn.XLOOKUP($C$2,tbl_案件追跡[案件番号],tbl_案件追跡[顧客
担当者名],"",0,1)</f>
        <v>ご担当者</v>
      </c>
      <c r="E3" s="88" cm="1">
        <f t="array" ref="E3:J4">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tbl_明細[案件番号]=$C$2,
  "該当なし"
)</f>
        <v>1</v>
      </c>
      <c r="F3" s="88" t="str">
        <v>雁の音ほうじ茶壱之棒（茶葉） 500g</v>
      </c>
      <c r="G3" s="88">
        <v>10</v>
      </c>
      <c r="H3" s="88" t="str">
        <v>袋</v>
      </c>
      <c r="I3" s="96">
        <v>1806</v>
      </c>
      <c r="J3" s="97">
        <v>0.08</v>
      </c>
      <c r="K3" s="96">
        <f>IF(G3*I3 = 0,"",G3*I3)</f>
        <v>18060</v>
      </c>
    </row>
    <row r="4" spans="1:11">
      <c r="B4" s="88" t="s">
        <v>1178</v>
      </c>
      <c r="C4" s="88" t="str">
        <f>_xlfn.XLOOKUP($C$2,tbl_案件追跡[案件番号],tbl_案件追跡[顧客名],"",0,1)</f>
        <v>オーセントホテルズ（楽水山）</v>
      </c>
      <c r="E4" s="88">
        <v>2</v>
      </c>
      <c r="F4" s="88" t="str">
        <v>送料（140サイズ）</v>
      </c>
      <c r="G4" s="88">
        <v>1</v>
      </c>
      <c r="H4" s="88" t="str">
        <v>式</v>
      </c>
      <c r="I4" s="96">
        <v>1300</v>
      </c>
      <c r="J4" s="97">
        <v>0.1</v>
      </c>
      <c r="K4" s="96">
        <f t="shared" ref="K4:K11" si="0">IF(G4*I4 = 0,"",G4*I4)</f>
        <v>1300</v>
      </c>
    </row>
    <row r="5" spans="1:11">
      <c r="B5" s="88" t="s">
        <v>1146</v>
      </c>
      <c r="C5" s="88" t="str">
        <f>_xlfn.XLOOKUP($C$2,tbl_案件追跡[案件番号],tbl_案件追跡[商材],"",0,1)</f>
        <v>雁の音ほうじ茶壱之棒（茶葉） 500g</v>
      </c>
      <c r="E5" s="88"/>
      <c r="F5" s="88"/>
      <c r="G5" s="88"/>
      <c r="H5" s="88"/>
      <c r="I5" s="96"/>
      <c r="J5" s="97"/>
      <c r="K5" s="96" t="str">
        <f t="shared" si="0"/>
        <v/>
      </c>
    </row>
    <row r="6" spans="1:11">
      <c r="B6" s="88" t="s">
        <v>1171</v>
      </c>
      <c r="C6" s="88">
        <f>_xlfn.XLOOKUP($C$2,tbl_案件追跡[案件番号],tbl_案件追跡[納品先　郵便番号],"",0,1)</f>
        <v>0</v>
      </c>
      <c r="E6" s="88"/>
      <c r="F6" s="88"/>
      <c r="G6" s="88"/>
      <c r="H6" s="88"/>
      <c r="I6" s="96"/>
      <c r="J6" s="97"/>
      <c r="K6" s="96" t="str">
        <f t="shared" si="0"/>
        <v/>
      </c>
    </row>
    <row r="7" spans="1:11">
      <c r="B7" s="88" t="s">
        <v>1172</v>
      </c>
      <c r="C7" s="88">
        <f>_xlfn.XLOOKUP($C$2,tbl_案件追跡[案件番号],tbl_案件追跡[納品先　住所1行目],"",0,1)</f>
        <v>0</v>
      </c>
      <c r="E7" s="88"/>
      <c r="F7" s="88"/>
      <c r="G7" s="88"/>
      <c r="H7" s="88"/>
      <c r="I7" s="96"/>
      <c r="J7" s="97"/>
      <c r="K7" s="96" t="str">
        <f t="shared" si="0"/>
        <v/>
      </c>
    </row>
    <row r="8" spans="1:11">
      <c r="B8" s="88" t="s">
        <v>1173</v>
      </c>
      <c r="C8" s="88">
        <f>_xlfn.XLOOKUP($C$2,tbl_案件追跡[案件番号],tbl_案件追跡[納品先　住所2行目],"",0,1)</f>
        <v>0</v>
      </c>
      <c r="E8" s="88"/>
      <c r="F8" s="88"/>
      <c r="G8" s="88"/>
      <c r="H8" s="88"/>
      <c r="I8" s="96"/>
      <c r="J8" s="97"/>
      <c r="K8" s="96" t="str">
        <f t="shared" si="0"/>
        <v/>
      </c>
    </row>
    <row r="9" spans="1:11">
      <c r="B9" s="88" t="s">
        <v>1174</v>
      </c>
      <c r="C9" s="88">
        <f>_xlfn.XLOOKUP($C$2,tbl_案件追跡[案件番号],tbl_案件追跡[納品先　社名・担当者名],"",0,1)</f>
        <v>0</v>
      </c>
      <c r="E9" s="88"/>
      <c r="F9" s="88"/>
      <c r="G9" s="88"/>
      <c r="H9" s="88"/>
      <c r="I9" s="96"/>
      <c r="J9" s="97"/>
      <c r="K9" s="96" t="str">
        <f t="shared" si="0"/>
        <v/>
      </c>
    </row>
    <row r="10" spans="1:11">
      <c r="B10" s="88" t="s">
        <v>1175</v>
      </c>
      <c r="C10" s="88">
        <f>_xlfn.XLOOKUP($C$2,tbl_案件追跡[案件番号],tbl_案件追跡[納品先　電話番号],"",0,1)</f>
        <v>0</v>
      </c>
      <c r="E10" s="88"/>
      <c r="F10" s="88"/>
      <c r="G10" s="88"/>
      <c r="H10" s="88"/>
      <c r="I10" s="96"/>
      <c r="J10" s="97"/>
      <c r="K10" s="96" t="str">
        <f t="shared" si="0"/>
        <v/>
      </c>
    </row>
    <row r="11" spans="1:11">
      <c r="B11" s="88" t="s">
        <v>1194</v>
      </c>
      <c r="C11" s="88" t="str">
        <f>_xlfn.XLOOKUP($C$2,tbl_案件追跡[案件番号],tbl_案件追跡[支払い条件],"",0,1)</f>
        <v>月末締め翌月末払い</v>
      </c>
      <c r="E11" s="88"/>
      <c r="F11" s="88"/>
      <c r="G11" s="88"/>
      <c r="H11" s="88"/>
      <c r="I11" s="96"/>
      <c r="J11" s="97"/>
      <c r="K11" s="96" t="str">
        <f t="shared" si="0"/>
        <v/>
      </c>
    </row>
    <row r="12" spans="1:11">
      <c r="B12" s="88" t="s">
        <v>1180</v>
      </c>
      <c r="C12" s="88" t="str">
        <f>_xlfn.XLOOKUP($C$2,tbl_案件追跡[案件番号],tbl_案件追跡[担当],"",0,1)</f>
        <v>永井</v>
      </c>
      <c r="E12" s="88"/>
      <c r="F12" s="88"/>
      <c r="G12" s="88"/>
      <c r="H12" s="88"/>
      <c r="I12" s="96"/>
      <c r="J12" s="97"/>
      <c r="K12" s="96"/>
    </row>
    <row r="13" spans="1:11">
      <c r="B13" s="88" t="s">
        <v>1176</v>
      </c>
      <c r="C13" s="89">
        <f>_xlfn.XLOOKUP($C$2,tbl_案件追跡[案件番号],tbl_案件追跡[受注],"",0,1)</f>
        <v>46042</v>
      </c>
      <c r="E13" s="88"/>
      <c r="F13" s="88"/>
      <c r="G13" s="88"/>
      <c r="H13" s="88"/>
      <c r="I13" s="96"/>
      <c r="J13" s="97"/>
      <c r="K13" s="96"/>
    </row>
    <row r="14" spans="1:11">
      <c r="B14" s="88" t="s">
        <v>1177</v>
      </c>
      <c r="C14" s="89">
        <f>_xlfn.XLOOKUP($C$2,tbl_案件追跡[案件番号],tbl_案件追跡[出荷予定],"",0,1)</f>
        <v>46046</v>
      </c>
      <c r="E14" s="88"/>
      <c r="F14" s="88"/>
      <c r="G14" s="88"/>
      <c r="H14" s="88"/>
      <c r="I14" s="96"/>
      <c r="J14" s="97"/>
      <c r="K14" s="96"/>
    </row>
    <row r="15" spans="1:11">
      <c r="E15" s="88"/>
      <c r="F15" s="88"/>
      <c r="G15" s="88"/>
      <c r="H15" s="88"/>
      <c r="I15" s="96"/>
      <c r="J15" s="97"/>
      <c r="K15" s="96"/>
    </row>
    <row r="16" spans="1:11">
      <c r="E16" s="88"/>
      <c r="F16" s="88"/>
      <c r="G16" s="88"/>
      <c r="H16" s="88"/>
      <c r="I16" s="96"/>
      <c r="J16" s="97"/>
      <c r="K16" s="96"/>
    </row>
    <row r="17" spans="2:11" ht="18.600000000000001" thickBot="1">
      <c r="B17" s="90" t="s">
        <v>1188</v>
      </c>
      <c r="E17" s="88"/>
      <c r="F17" s="88"/>
      <c r="G17" s="88"/>
      <c r="H17" s="88"/>
      <c r="I17" s="96"/>
      <c r="J17" s="97"/>
      <c r="K17" s="96"/>
    </row>
    <row r="18" spans="2:11">
      <c r="B18" s="91" t="str">
        <f>C4</f>
        <v>オーセントホテルズ（楽水山）</v>
      </c>
      <c r="E18" s="88"/>
      <c r="F18" s="88"/>
      <c r="G18" s="88"/>
      <c r="H18" s="88"/>
      <c r="I18" s="96"/>
      <c r="J18" s="97"/>
      <c r="K18" s="96"/>
    </row>
    <row r="19" spans="2:11">
      <c r="B19" s="92" t="str">
        <f>C3&amp;"様"</f>
        <v>ご担当者様</v>
      </c>
      <c r="E19" s="88"/>
      <c r="F19" s="88"/>
      <c r="G19" s="88"/>
      <c r="H19" s="88"/>
      <c r="I19" s="96"/>
      <c r="J19" s="97"/>
      <c r="K19" s="96"/>
    </row>
    <row r="20" spans="2:11">
      <c r="B20" s="92"/>
      <c r="E20" s="88"/>
      <c r="F20" s="88"/>
      <c r="G20" s="88"/>
      <c r="H20" s="88"/>
      <c r="I20" s="96"/>
      <c r="J20" s="97"/>
      <c r="K20" s="96"/>
    </row>
    <row r="21" spans="2:11">
      <c r="B21" s="92" t="str">
        <f>"お世話になっております。新日本海商事の"&amp;C12&amp;"です。"</f>
        <v>お世話になっております。新日本海商事の永井です。</v>
      </c>
      <c r="E21" s="88"/>
      <c r="F21" s="88"/>
      <c r="G21" s="88"/>
      <c r="H21" s="88"/>
      <c r="I21" s="96"/>
      <c r="J21" s="97"/>
      <c r="K21" s="96"/>
    </row>
    <row r="22" spans="2:11">
      <c r="B22" s="92" t="str">
        <f>"この度はご注文いただきありがとうございます。"</f>
        <v>この度はご注文いただきありがとうございます。</v>
      </c>
      <c r="E22" s="88"/>
      <c r="F22" s="88"/>
      <c r="G22" s="88"/>
      <c r="H22" s="88"/>
      <c r="I22" s="96"/>
      <c r="J22" s="97"/>
      <c r="K22" s="96"/>
    </row>
    <row r="23" spans="2:11">
      <c r="B23" s="92" t="str">
        <f>"以下の内容で手配を進めさせていただきます。"</f>
        <v>以下の内容で手配を進めさせていただきます。</v>
      </c>
      <c r="H23" s="98"/>
      <c r="I23" s="98"/>
      <c r="J23" s="99" t="s">
        <v>822</v>
      </c>
      <c r="K23" s="99" t="s">
        <v>823</v>
      </c>
    </row>
    <row r="24" spans="2:11">
      <c r="B24" s="92"/>
      <c r="H24" s="100">
        <v>0.08</v>
      </c>
      <c r="I24" s="101" t="s">
        <v>824</v>
      </c>
      <c r="J24" s="102">
        <f>SUMIF($J$3:$J$22,H24,$K$3:$K$22)</f>
        <v>18060</v>
      </c>
      <c r="K24" s="102">
        <f>ROUND(J24*H24,0)</f>
        <v>1445</v>
      </c>
    </row>
    <row r="25" spans="2:11">
      <c r="B25" s="92" t="str">
        <f>"━━━━━━━━━━━━━━━━━━━━"</f>
        <v>━━━━━━━━━━━━━━━━━━━━</v>
      </c>
      <c r="H25" s="100">
        <v>0.1</v>
      </c>
      <c r="I25" s="101" t="s">
        <v>824</v>
      </c>
      <c r="J25" s="102">
        <f t="shared" ref="J25:J26" si="1">SUMIF($J$3:$J$22,H25,$K$3:$K$22)</f>
        <v>1300</v>
      </c>
      <c r="K25" s="102">
        <f>ROUND(J25*H25,0)</f>
        <v>130</v>
      </c>
    </row>
    <row r="26" spans="2:11">
      <c r="B26" s="92" t="str">
        <f>"■ご注文内容（見積No. ：EST-SNJ-"&amp;C2&amp;")"</f>
        <v>■ご注文内容（見積No. ：EST-SNJ-2601-1003-A01)</v>
      </c>
      <c r="H26" s="103" t="s">
        <v>825</v>
      </c>
      <c r="I26" s="101" t="s">
        <v>824</v>
      </c>
      <c r="J26" s="102">
        <f t="shared" si="1"/>
        <v>0</v>
      </c>
      <c r="K26" s="102"/>
    </row>
    <row r="27" spans="2:11">
      <c r="B27" s="92" t="str">
        <f>"━━━━━━━━━━━━━━━━━━━━"</f>
        <v>━━━━━━━━━━━━━━━━━━━━</v>
      </c>
      <c r="H27" s="98"/>
      <c r="I27" s="101" t="s">
        <v>826</v>
      </c>
      <c r="J27" s="104"/>
      <c r="K27" s="105">
        <f>SUM(J24:K26)</f>
        <v>20935</v>
      </c>
    </row>
    <row r="28" spans="2:11">
      <c r="B28" s="95" t="str">
        <f>"商品名："&amp;C5</f>
        <v>商品名：雁の音ほうじ茶壱之棒（茶葉） 500g</v>
      </c>
      <c r="C28" s="90" t="s">
        <v>1189</v>
      </c>
    </row>
    <row r="29" spans="2:11">
      <c r="B29" s="92" t="str">
        <f>"合計金額："&amp;TEXT(K27,"¥#,##0")&amp;"（税込）"</f>
        <v>合計金額：¥20,935（税込）</v>
      </c>
    </row>
    <row r="30" spans="2:11">
      <c r="B30" s="92"/>
    </row>
    <row r="31" spans="2:11">
      <c r="B31" s="95" t="str">
        <f>"■お届け先"</f>
        <v>■お届け先</v>
      </c>
      <c r="C31" s="90" t="s">
        <v>1190</v>
      </c>
    </row>
    <row r="32" spans="2:11">
      <c r="B32" s="95" t="str">
        <f>""&amp;IF(C6&lt;&gt;0,"〒"&amp;C6,"")</f>
        <v/>
      </c>
    </row>
    <row r="33" spans="2:2">
      <c r="B33" s="95" t="str">
        <f>""&amp;IF(C7&lt;&gt;0,C7,"")</f>
        <v/>
      </c>
    </row>
    <row r="34" spans="2:2">
      <c r="B34" s="95" t="str">
        <f>""&amp;IF(C8&lt;&gt;0,C8,"")</f>
        <v/>
      </c>
    </row>
    <row r="35" spans="2:2">
      <c r="B35" s="95" t="str">
        <f>""&amp;IF(C9&lt;&gt;0,C9,"")</f>
        <v/>
      </c>
    </row>
    <row r="36" spans="2:2">
      <c r="B36" s="95" t="str">
        <f>""&amp;IF(C10&lt;&gt;0,"TEL: "&amp;C10,"")</f>
        <v/>
      </c>
    </row>
    <row r="37" spans="2:2">
      <c r="B37" s="95"/>
    </row>
    <row r="38" spans="2:2">
      <c r="B38" s="92" t="str">
        <f>"■ご注文日"</f>
        <v>■ご注文日</v>
      </c>
    </row>
    <row r="39" spans="2:2">
      <c r="B39" s="92" t="str">
        <f>TEXT(C13,"yyyy年m月d日")</f>
        <v>2026年1月20日</v>
      </c>
    </row>
    <row r="40" spans="2:2">
      <c r="B40" s="92"/>
    </row>
    <row r="41" spans="2:2">
      <c r="B41" s="92" t="str">
        <f>"■出荷予定日"</f>
        <v>■出荷予定日</v>
      </c>
    </row>
    <row r="42" spans="2:2">
      <c r="B42" s="92" t="str">
        <f>TEXT(C14,"yyyy年m月d日")</f>
        <v>2026年1月24日</v>
      </c>
    </row>
    <row r="43" spans="2:2">
      <c r="B43" s="92"/>
    </row>
    <row r="44" spans="2:2">
      <c r="B44" s="92" t="str">
        <f>"■お支払い条件"</f>
        <v>■お支払い条件</v>
      </c>
    </row>
    <row r="45" spans="2:2">
      <c r="B45" s="92" t="str">
        <f>C11</f>
        <v>月末締め翌月末払い</v>
      </c>
    </row>
    <row r="46" spans="2:2">
      <c r="B46" s="92" t="str">
        <f>"━━━━━━━━━━━━━━━━━━━━"</f>
        <v>━━━━━━━━━━━━━━━━━━━━</v>
      </c>
    </row>
    <row r="47" spans="2:2">
      <c r="B47" s="92" t="str">
        <f>"上記内容にご相違がございましたら、"</f>
        <v>上記内容にご相違がございましたら、</v>
      </c>
    </row>
    <row r="48" spans="2:2">
      <c r="B48" s="92" t="str">
        <f>"本日中にご連絡いただけますと幸いです。"</f>
        <v>本日中にご連絡いただけますと幸いです。</v>
      </c>
    </row>
    <row r="49" spans="2:2">
      <c r="B49" s="92" t="s">
        <v>1185</v>
      </c>
    </row>
    <row r="50" spans="2:2">
      <c r="B50" s="92"/>
    </row>
    <row r="51" spans="2:2">
      <c r="B51" s="93" t="s">
        <v>1186</v>
      </c>
    </row>
    <row r="52" spans="2:2">
      <c r="B52" s="92" t="s">
        <v>1187</v>
      </c>
    </row>
    <row r="53" spans="2:2" ht="18.600000000000001" thickBot="1">
      <c r="B53" s="94" t="str">
        <f>C12</f>
        <v>永井</v>
      </c>
    </row>
  </sheetData>
  <phoneticPr fontId="3"/>
  <pageMargins left="0.7" right="0.7" top="0.75" bottom="0.75" header="0.3" footer="0.3"/>
  <pageSetup paperSize="9" scale="4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DECB0-5E3B-4AE0-B3BD-D7A2227AE1F7}">
  <sheetPr>
    <pageSetUpPr fitToPage="1"/>
  </sheetPr>
  <dimension ref="A1:H54"/>
  <sheetViews>
    <sheetView topLeftCell="A13" zoomScale="55" zoomScaleNormal="55" workbookViewId="0">
      <selection activeCell="A38" sqref="A38"/>
    </sheetView>
  </sheetViews>
  <sheetFormatPr defaultColWidth="9" defaultRowHeight="18"/>
  <cols>
    <col min="1" max="1" width="12.19921875" style="1" customWidth="1"/>
    <col min="2" max="2" width="52.5" style="1" customWidth="1"/>
    <col min="3" max="3" width="10" style="1" customWidth="1"/>
    <col min="4" max="4" width="8" style="1" customWidth="1"/>
    <col min="5" max="5" width="12" style="1" customWidth="1"/>
    <col min="6" max="6" width="14" style="1" customWidth="1"/>
    <col min="7" max="7" width="21.5" style="1" customWidth="1"/>
    <col min="8" max="8" width="29.8984375" style="1" customWidth="1"/>
    <col min="9" max="16384" width="9" style="1"/>
  </cols>
  <sheetData>
    <row r="1" spans="1:8">
      <c r="A1" s="122" t="s">
        <v>1219</v>
      </c>
      <c r="B1" s="63" t="s">
        <v>1874</v>
      </c>
      <c r="C1" s="124"/>
      <c r="D1" s="125" t="s">
        <v>828</v>
      </c>
      <c r="E1" s="124" t="str">
        <f>_xlfn.XLOOKUP(B2,テーブル1[仕入先名],テーブル1[仕入先コード],"",0,1)</f>
        <v>KYS</v>
      </c>
      <c r="G1" s="37"/>
      <c r="H1" s="38"/>
    </row>
    <row r="2" spans="1:8">
      <c r="A2" s="123" t="s">
        <v>1220</v>
      </c>
      <c r="B2" s="126" t="s">
        <v>1115</v>
      </c>
      <c r="C2" s="124"/>
      <c r="D2" s="124"/>
      <c r="E2" s="124"/>
    </row>
    <row r="3" spans="1:8" ht="45.75" customHeight="1">
      <c r="A3" s="281" t="s">
        <v>1001</v>
      </c>
      <c r="B3" s="282"/>
      <c r="C3" s="282"/>
      <c r="D3" s="282"/>
      <c r="E3" s="282"/>
      <c r="F3" s="282"/>
      <c r="G3" s="282"/>
      <c r="H3" s="282"/>
    </row>
    <row r="5" spans="1:8">
      <c r="G5" s="3" t="s">
        <v>809</v>
      </c>
      <c r="H5" s="64" cm="1">
        <f t="array" ref="H5">_xlfn.XLOOKUP($B$1&amp;B2,tbl_案件追跡[案件番号]&amp;tbl_案件追跡[仕入先],tbl_案件追跡[発注],"",0,1)</f>
        <v>46090</v>
      </c>
    </row>
    <row r="6" spans="1:8" ht="32.4">
      <c r="A6" s="4" t="str">
        <f>B2&amp;" 様"</f>
        <v>協栄製茶　壱之庄 様</v>
      </c>
      <c r="G6" s="3" t="s">
        <v>829</v>
      </c>
      <c r="H6" s="3" t="str">
        <f>IF(B1="","","POC-SNJ-"&amp;B1&amp;"-"&amp;E1)</f>
        <v>POC-SNJ-2602-1001-A01-KYS</v>
      </c>
    </row>
    <row r="7" spans="1:8" ht="22.2">
      <c r="A7" s="5"/>
      <c r="F7" s="6"/>
      <c r="G7" s="7"/>
      <c r="H7" s="8"/>
    </row>
    <row r="8" spans="1:8">
      <c r="F8" s="9"/>
      <c r="H8" s="10"/>
    </row>
    <row r="9" spans="1:8">
      <c r="F9" s="11" t="s">
        <v>812</v>
      </c>
      <c r="H9" s="10"/>
    </row>
    <row r="10" spans="1:8" ht="18.75" customHeight="1">
      <c r="F10" s="11" t="s">
        <v>813</v>
      </c>
      <c r="H10" s="10"/>
    </row>
    <row r="11" spans="1:8" ht="18.75" customHeight="1">
      <c r="A11" s="1" t="s">
        <v>830</v>
      </c>
      <c r="E11" s="10"/>
      <c r="F11" s="11" t="s">
        <v>814</v>
      </c>
      <c r="H11" s="10"/>
    </row>
    <row r="12" spans="1:8" ht="18.75" customHeight="1">
      <c r="A12" s="279" t="str">
        <f>"発注金額（税込）　　"&amp;TEXT(H43,"\#,##0")</f>
        <v>発注金額（税込）　　¥46,676</v>
      </c>
      <c r="B12" s="279"/>
      <c r="C12" s="279"/>
      <c r="D12" s="279"/>
      <c r="E12" s="12"/>
      <c r="F12" s="11" t="s">
        <v>815</v>
      </c>
      <c r="H12" s="10"/>
    </row>
    <row r="13" spans="1:8" ht="19.5" customHeight="1" thickBot="1">
      <c r="A13" s="280"/>
      <c r="B13" s="280"/>
      <c r="C13" s="280"/>
      <c r="D13" s="280"/>
      <c r="E13" s="12"/>
      <c r="F13" s="13" t="s">
        <v>816</v>
      </c>
      <c r="G13" s="14"/>
      <c r="H13" s="15"/>
    </row>
    <row r="16" spans="1:8" ht="20.25" customHeight="1">
      <c r="A16" s="204" t="s">
        <v>807</v>
      </c>
      <c r="B16" s="204" t="s">
        <v>150</v>
      </c>
      <c r="C16" s="204" t="s">
        <v>818</v>
      </c>
      <c r="D16" s="204" t="s">
        <v>153</v>
      </c>
      <c r="E16" s="204" t="s">
        <v>819</v>
      </c>
      <c r="F16" s="204" t="s">
        <v>161</v>
      </c>
      <c r="G16" s="204" t="s">
        <v>831</v>
      </c>
      <c r="H16" s="204" t="s">
        <v>808</v>
      </c>
    </row>
    <row r="17" spans="1:8" ht="20.25" customHeight="1">
      <c r="A17" s="16" cm="1">
        <f t="array" ref="A17:F20">_xlfn._xlws.FILTER(
  CHOOSE({1,2,3,4,5,6},
    tbl_明細[（非表示）仕入No.],
    IF(LEFT(tbl_明細[商品ID],4)&lt;&gt;"PRD_", tbl_明細[商品名（M)], tbl_明細[商品名]),
    IF(LEFT(tbl_明細[商品ID],4)&lt;&gt;"PRD_", tbl_明細[数量（M)], tbl_明細[数量]),
    IF(LEFT(tbl_明細[商品ID],4)&lt;&gt;"PRD_", tbl_明細[単位（M)], tbl_明細[単位]),
    IF(LEFT(tbl_明細[商品ID],4)&lt;&gt;"PRD_", tbl_明細[仕入価格（M)], tbl_明細[仕入価格]),
    IF(LEFT(tbl_明細[商品ID],4)&lt;&gt;"PRD_", tbl_明細[税率（M）],tbl_明細[税率]),
  ),
  (tbl_明細[案件番号]=$B$1)*(tbl_明細[仕入先]=$B$2),
  "該当なし"
)</f>
        <v>1</v>
      </c>
      <c r="B17" s="16" t="str">
        <v>雁の音ほうじ茶壱之棒（ティーバッグ） 45袋</v>
      </c>
      <c r="C17" s="55">
        <v>10</v>
      </c>
      <c r="D17" s="55" t="str">
        <v>パック</v>
      </c>
      <c r="E17" s="197">
        <v>1041</v>
      </c>
      <c r="F17" s="83">
        <v>0.08</v>
      </c>
      <c r="G17" s="196">
        <f>IF(ISBLANK(B17),"",C17*E17)</f>
        <v>10410</v>
      </c>
      <c r="H17" s="16" t="str" cm="1">
        <f t="array" ref="H17">IF(ISBLANK(_xlfn.XLOOKUP($B$1&amp;A17,tbl_明細[案件番号]&amp;tbl_明細[（非表示）仕入No.],tbl_明細[備考（仕入先向け）],"",0,1)),"",_xlfn.XLOOKUP($B$1&amp;A17,tbl_明細[案件番号]&amp;tbl_明細[（非表示）仕入No.],tbl_明細[備考（仕入先向け）],"",0,1))</f>
        <v>舞鶴港向け</v>
      </c>
    </row>
    <row r="18" spans="1:8" ht="20.25" customHeight="1">
      <c r="A18" s="16">
        <v>2</v>
      </c>
      <c r="B18" s="16" t="str">
        <v>送料（京都）</v>
      </c>
      <c r="C18" s="55">
        <v>1</v>
      </c>
      <c r="D18" s="55" t="str">
        <v>式</v>
      </c>
      <c r="E18" s="197">
        <v>700</v>
      </c>
      <c r="F18" s="83">
        <v>0.1</v>
      </c>
      <c r="G18" s="196">
        <f t="shared" ref="G18:G36" si="0">IF(ISBLANK(B18),"",C18*E18)</f>
        <v>700</v>
      </c>
      <c r="H18" s="16" t="str" cm="1">
        <f t="array" ref="H18">IF(ISBLANK(_xlfn.XLOOKUP($B$1&amp;A18,tbl_明細[案件番号]&amp;tbl_明細[（非表示）仕入No.],tbl_明細[備考（仕入先向け）],"",0,1)),"",_xlfn.XLOOKUP($B$1&amp;A18,tbl_明細[案件番号]&amp;tbl_明細[（非表示）仕入No.],tbl_明細[備考（仕入先向け）],"",0,1))</f>
        <v>舞鶴港向け</v>
      </c>
    </row>
    <row r="19" spans="1:8" ht="20.25" customHeight="1">
      <c r="A19" s="16">
        <v>3</v>
      </c>
      <c r="B19" s="16" t="str">
        <v>雁の音ほうじ茶壱之棒（ティーバッグ） 45袋</v>
      </c>
      <c r="C19" s="55">
        <v>30</v>
      </c>
      <c r="D19" s="55" t="str">
        <v>パック</v>
      </c>
      <c r="E19" s="197">
        <v>1041</v>
      </c>
      <c r="F19" s="83">
        <v>0.08</v>
      </c>
      <c r="G19" s="196">
        <f t="shared" si="0"/>
        <v>31230</v>
      </c>
      <c r="H19" s="16" t="str" cm="1">
        <f t="array" ref="H19">IF(ISBLANK(_xlfn.XLOOKUP($B$1&amp;A19,tbl_明細[案件番号]&amp;tbl_明細[（非表示）仕入No.],tbl_明細[備考（仕入先向け）],"",0,1)),"",_xlfn.XLOOKUP($B$1&amp;A19,tbl_明細[案件番号]&amp;tbl_明細[（非表示）仕入No.],tbl_明細[備考（仕入先向け）],"",0,1))</f>
        <v>敦賀港向け</v>
      </c>
    </row>
    <row r="20" spans="1:8" ht="20.25" customHeight="1">
      <c r="A20" s="16">
        <v>4</v>
      </c>
      <c r="B20" s="16" t="str">
        <v>送料（福井）</v>
      </c>
      <c r="C20" s="55">
        <v>1</v>
      </c>
      <c r="D20" s="55" t="str">
        <v>式</v>
      </c>
      <c r="E20" s="197">
        <v>850</v>
      </c>
      <c r="F20" s="83">
        <v>0.1</v>
      </c>
      <c r="G20" s="196">
        <f t="shared" si="0"/>
        <v>850</v>
      </c>
      <c r="H20" s="16" t="str" cm="1">
        <f t="array" ref="H20">IF(ISBLANK(_xlfn.XLOOKUP($B$1&amp;A20,tbl_明細[案件番号]&amp;tbl_明細[（非表示）仕入No.],tbl_明細[備考（仕入先向け）],"",0,1)),"",_xlfn.XLOOKUP($B$1&amp;A20,tbl_明細[案件番号]&amp;tbl_明細[（非表示）仕入No.],tbl_明細[備考（仕入先向け）],"",0,1))</f>
        <v>敦賀港向け</v>
      </c>
    </row>
    <row r="21" spans="1:8" ht="20.25" customHeight="1">
      <c r="A21" s="16"/>
      <c r="B21" s="16"/>
      <c r="C21" s="55"/>
      <c r="D21" s="55"/>
      <c r="E21" s="197"/>
      <c r="F21" s="83"/>
      <c r="G21" s="196" t="str">
        <f t="shared" si="0"/>
        <v/>
      </c>
      <c r="H21" s="16" t="str" cm="1">
        <f t="array" ref="H21">IF(ISBLANK(_xlfn.XLOOKUP($B$1&amp;A21,tbl_明細[案件番号]&amp;tbl_明細[（非表示）仕入No.],tbl_明細[備考（仕入先向け）],"",0,1)),"",_xlfn.XLOOKUP($B$1&amp;A21,tbl_明細[案件番号]&amp;tbl_明細[（非表示）仕入No.],tbl_明細[備考（仕入先向け）],"",0,1))</f>
        <v/>
      </c>
    </row>
    <row r="22" spans="1:8" ht="20.25" customHeight="1">
      <c r="A22" s="16"/>
      <c r="B22" s="16"/>
      <c r="C22" s="55"/>
      <c r="D22" s="55"/>
      <c r="E22" s="197"/>
      <c r="F22" s="83"/>
      <c r="G22" s="196" t="str">
        <f t="shared" si="0"/>
        <v/>
      </c>
      <c r="H22" s="16" t="str" cm="1">
        <f t="array" ref="H22">IF(ISBLANK(_xlfn.XLOOKUP($B$1&amp;A22,tbl_明細[案件番号]&amp;tbl_明細[（非表示）仕入No.],tbl_明細[備考（仕入先向け）],"",0,1)),"",_xlfn.XLOOKUP($B$1&amp;A22,tbl_明細[案件番号]&amp;tbl_明細[（非表示）仕入No.],tbl_明細[備考（仕入先向け）],"",0,1))</f>
        <v/>
      </c>
    </row>
    <row r="23" spans="1:8" ht="20.25" customHeight="1">
      <c r="A23" s="16"/>
      <c r="B23" s="16"/>
      <c r="C23" s="55"/>
      <c r="D23" s="55"/>
      <c r="E23" s="197"/>
      <c r="F23" s="83"/>
      <c r="G23" s="196" t="str">
        <f t="shared" si="0"/>
        <v/>
      </c>
      <c r="H23" s="16" t="str" cm="1">
        <f t="array" ref="H23">IF(ISBLANK(_xlfn.XLOOKUP($B$1&amp;A23,tbl_明細[案件番号]&amp;tbl_明細[（非表示）仕入No.],tbl_明細[備考（仕入先向け）],"",0,1)),"",_xlfn.XLOOKUP($B$1&amp;A23,tbl_明細[案件番号]&amp;tbl_明細[（非表示）仕入No.],tbl_明細[備考（仕入先向け）],"",0,1))</f>
        <v/>
      </c>
    </row>
    <row r="24" spans="1:8" ht="20.25" customHeight="1">
      <c r="A24" s="16"/>
      <c r="B24" s="16"/>
      <c r="C24" s="55"/>
      <c r="D24" s="55"/>
      <c r="E24" s="197"/>
      <c r="F24" s="83"/>
      <c r="G24" s="196" t="str">
        <f t="shared" si="0"/>
        <v/>
      </c>
      <c r="H24" s="16" t="str" cm="1">
        <f t="array" ref="H24">IF(ISBLANK(_xlfn.XLOOKUP($B$1&amp;A24,tbl_明細[案件番号]&amp;tbl_明細[（非表示）仕入No.],tbl_明細[備考（仕入先向け）],"",0,1)),"",_xlfn.XLOOKUP($B$1&amp;A24,tbl_明細[案件番号]&amp;tbl_明細[（非表示）仕入No.],tbl_明細[備考（仕入先向け）],"",0,1))</f>
        <v/>
      </c>
    </row>
    <row r="25" spans="1:8" ht="20.25" customHeight="1">
      <c r="A25" s="16"/>
      <c r="B25" s="16"/>
      <c r="C25" s="55"/>
      <c r="D25" s="55"/>
      <c r="E25" s="197"/>
      <c r="F25" s="83"/>
      <c r="G25" s="196" t="str">
        <f t="shared" si="0"/>
        <v/>
      </c>
      <c r="H25" s="16" t="str" cm="1">
        <f t="array" ref="H25">IF(ISBLANK(_xlfn.XLOOKUP($B$1&amp;A25,tbl_明細[案件番号]&amp;tbl_明細[（非表示）仕入No.],tbl_明細[備考（仕入先向け）],"",0,1)),"",_xlfn.XLOOKUP($B$1&amp;A25,tbl_明細[案件番号]&amp;tbl_明細[（非表示）仕入No.],tbl_明細[備考（仕入先向け）],"",0,1))</f>
        <v/>
      </c>
    </row>
    <row r="26" spans="1:8" ht="20.25" customHeight="1">
      <c r="A26" s="16"/>
      <c r="B26" s="16"/>
      <c r="C26" s="55"/>
      <c r="D26" s="55"/>
      <c r="E26" s="197"/>
      <c r="F26" s="83"/>
      <c r="G26" s="196" t="str">
        <f t="shared" si="0"/>
        <v/>
      </c>
      <c r="H26" s="16" t="str" cm="1">
        <f t="array" ref="H26">IF(ISBLANK(_xlfn.XLOOKUP($B$1&amp;A26,tbl_明細[案件番号]&amp;tbl_明細[（非表示）仕入No.],tbl_明細[備考（仕入先向け）],"",0,1)),"",_xlfn.XLOOKUP($B$1&amp;A26,tbl_明細[案件番号]&amp;tbl_明細[（非表示）仕入No.],tbl_明細[備考（仕入先向け）],"",0,1))</f>
        <v/>
      </c>
    </row>
    <row r="27" spans="1:8" ht="20.25" customHeight="1">
      <c r="A27" s="16"/>
      <c r="B27" s="16"/>
      <c r="C27" s="55"/>
      <c r="D27" s="55"/>
      <c r="E27" s="197"/>
      <c r="F27" s="83"/>
      <c r="G27" s="196" t="str">
        <f t="shared" si="0"/>
        <v/>
      </c>
      <c r="H27" s="16" t="str" cm="1">
        <f t="array" ref="H27">IF(ISBLANK(_xlfn.XLOOKUP($B$1&amp;A27,tbl_明細[案件番号]&amp;tbl_明細[（非表示）仕入No.],tbl_明細[備考（仕入先向け）],"",0,1)),"",_xlfn.XLOOKUP($B$1&amp;A27,tbl_明細[案件番号]&amp;tbl_明細[（非表示）仕入No.],tbl_明細[備考（仕入先向け）],"",0,1))</f>
        <v/>
      </c>
    </row>
    <row r="28" spans="1:8" ht="20.25" customHeight="1">
      <c r="A28" s="16"/>
      <c r="B28" s="16"/>
      <c r="C28" s="55"/>
      <c r="D28" s="55"/>
      <c r="E28" s="197"/>
      <c r="F28" s="83"/>
      <c r="G28" s="196" t="str">
        <f t="shared" si="0"/>
        <v/>
      </c>
      <c r="H28" s="16" t="str" cm="1">
        <f t="array" ref="H28">IF(ISBLANK(_xlfn.XLOOKUP($B$1&amp;A28,tbl_明細[案件番号]&amp;tbl_明細[（非表示）仕入No.],tbl_明細[備考（仕入先向け）],"",0,1)),"",_xlfn.XLOOKUP($B$1&amp;A28,tbl_明細[案件番号]&amp;tbl_明細[（非表示）仕入No.],tbl_明細[備考（仕入先向け）],"",0,1))</f>
        <v/>
      </c>
    </row>
    <row r="29" spans="1:8" ht="20.25" customHeight="1">
      <c r="A29" s="16"/>
      <c r="B29" s="16"/>
      <c r="C29" s="55"/>
      <c r="D29" s="55"/>
      <c r="E29" s="197"/>
      <c r="F29" s="83"/>
      <c r="G29" s="196" t="str">
        <f t="shared" si="0"/>
        <v/>
      </c>
      <c r="H29" s="16" t="str" cm="1">
        <f t="array" ref="H29">IF(ISBLANK(_xlfn.XLOOKUP($B$1&amp;A29,tbl_明細[案件番号]&amp;tbl_明細[（非表示）仕入No.],tbl_明細[備考（仕入先向け）],"",0,1)),"",_xlfn.XLOOKUP($B$1&amp;A29,tbl_明細[案件番号]&amp;tbl_明細[（非表示）仕入No.],tbl_明細[備考（仕入先向け）],"",0,1))</f>
        <v/>
      </c>
    </row>
    <row r="30" spans="1:8" ht="20.25" customHeight="1">
      <c r="A30" s="16"/>
      <c r="B30" s="16"/>
      <c r="C30" s="55"/>
      <c r="D30" s="55"/>
      <c r="E30" s="197"/>
      <c r="F30" s="83"/>
      <c r="G30" s="196" t="str">
        <f t="shared" si="0"/>
        <v/>
      </c>
      <c r="H30" s="16" t="str" cm="1">
        <f t="array" ref="H30">IF(ISBLANK(_xlfn.XLOOKUP($B$1&amp;A30,tbl_明細[案件番号]&amp;tbl_明細[（非表示）仕入No.],tbl_明細[備考（仕入先向け）],"",0,1)),"",_xlfn.XLOOKUP($B$1&amp;A30,tbl_明細[案件番号]&amp;tbl_明細[（非表示）仕入No.],tbl_明細[備考（仕入先向け）],"",0,1))</f>
        <v/>
      </c>
    </row>
    <row r="31" spans="1:8" ht="20.25" customHeight="1">
      <c r="A31" s="16"/>
      <c r="B31" s="16"/>
      <c r="C31" s="55"/>
      <c r="D31" s="55"/>
      <c r="E31" s="197"/>
      <c r="F31" s="83"/>
      <c r="G31" s="196" t="str">
        <f t="shared" si="0"/>
        <v/>
      </c>
      <c r="H31" s="16" t="str" cm="1">
        <f t="array" ref="H31">IF(ISBLANK(_xlfn.XLOOKUP($B$1&amp;A31,tbl_明細[案件番号]&amp;tbl_明細[（非表示）仕入No.],tbl_明細[備考（仕入先向け）],"",0,1)),"",_xlfn.XLOOKUP($B$1&amp;A31,tbl_明細[案件番号]&amp;tbl_明細[（非表示）仕入No.],tbl_明細[備考（仕入先向け）],"",0,1))</f>
        <v/>
      </c>
    </row>
    <row r="32" spans="1:8" ht="20.25" customHeight="1">
      <c r="A32" s="16"/>
      <c r="B32" s="16"/>
      <c r="C32" s="55"/>
      <c r="D32" s="55"/>
      <c r="E32" s="197"/>
      <c r="F32" s="83"/>
      <c r="G32" s="196" t="str">
        <f t="shared" si="0"/>
        <v/>
      </c>
      <c r="H32" s="16" t="str" cm="1">
        <f t="array" ref="H32">IF(ISBLANK(_xlfn.XLOOKUP($B$1&amp;A32,tbl_明細[案件番号]&amp;tbl_明細[（非表示）仕入No.],tbl_明細[備考（仕入先向け）],"",0,1)),"",_xlfn.XLOOKUP($B$1&amp;A32,tbl_明細[案件番号]&amp;tbl_明細[（非表示）仕入No.],tbl_明細[備考（仕入先向け）],"",0,1))</f>
        <v/>
      </c>
    </row>
    <row r="33" spans="1:8" ht="20.25" customHeight="1">
      <c r="A33" s="16"/>
      <c r="B33" s="16"/>
      <c r="C33" s="55"/>
      <c r="D33" s="55"/>
      <c r="E33" s="197"/>
      <c r="F33" s="83"/>
      <c r="G33" s="196" t="str">
        <f t="shared" si="0"/>
        <v/>
      </c>
      <c r="H33" s="16" t="str" cm="1">
        <f t="array" ref="H33">IF(ISBLANK(_xlfn.XLOOKUP($B$1&amp;A33,tbl_明細[案件番号]&amp;tbl_明細[（非表示）仕入No.],tbl_明細[備考（仕入先向け）],"",0,1)),"",_xlfn.XLOOKUP($B$1&amp;A33,tbl_明細[案件番号]&amp;tbl_明細[（非表示）仕入No.],tbl_明細[備考（仕入先向け）],"",0,1))</f>
        <v/>
      </c>
    </row>
    <row r="34" spans="1:8" ht="20.25" customHeight="1">
      <c r="A34" s="16"/>
      <c r="B34" s="16"/>
      <c r="C34" s="55"/>
      <c r="D34" s="55"/>
      <c r="E34" s="197"/>
      <c r="F34" s="83"/>
      <c r="G34" s="196" t="str">
        <f t="shared" si="0"/>
        <v/>
      </c>
      <c r="H34" s="16" t="str" cm="1">
        <f t="array" ref="H34">IF(ISBLANK(_xlfn.XLOOKUP($B$1&amp;A34,tbl_明細[案件番号]&amp;tbl_明細[（非表示）仕入No.],tbl_明細[備考（仕入先向け）],"",0,1)),"",_xlfn.XLOOKUP($B$1&amp;A34,tbl_明細[案件番号]&amp;tbl_明細[（非表示）仕入No.],tbl_明細[備考（仕入先向け）],"",0,1))</f>
        <v/>
      </c>
    </row>
    <row r="35" spans="1:8" ht="20.25" customHeight="1">
      <c r="A35" s="16"/>
      <c r="B35" s="16"/>
      <c r="C35" s="55"/>
      <c r="D35" s="55"/>
      <c r="E35" s="197"/>
      <c r="F35" s="83"/>
      <c r="G35" s="196" t="str">
        <f t="shared" si="0"/>
        <v/>
      </c>
      <c r="H35" s="16" t="str" cm="1">
        <f t="array" ref="H35">IF(ISBLANK(_xlfn.XLOOKUP($B$1&amp;A35,tbl_明細[案件番号]&amp;tbl_明細[（非表示）仕入No.],tbl_明細[備考（仕入先向け）],"",0,1)),"",_xlfn.XLOOKUP($B$1&amp;A35,tbl_明細[案件番号]&amp;tbl_明細[（非表示）仕入No.],tbl_明細[備考（仕入先向け）],"",0,1))</f>
        <v/>
      </c>
    </row>
    <row r="36" spans="1:8" ht="20.25" customHeight="1">
      <c r="A36" s="16"/>
      <c r="B36" s="16"/>
      <c r="C36" s="55"/>
      <c r="D36" s="55"/>
      <c r="E36" s="197"/>
      <c r="F36" s="83"/>
      <c r="G36" s="196" t="str">
        <f t="shared" si="0"/>
        <v/>
      </c>
      <c r="H36" s="16" t="str" cm="1">
        <f t="array" ref="H36">IF(ISBLANK(_xlfn.XLOOKUP($B$1&amp;A36,tbl_明細[案件番号]&amp;tbl_明細[（非表示）仕入No.],tbl_明細[備考（仕入先向け）],"",0,1)),"",_xlfn.XLOOKUP($B$1&amp;A36,tbl_明細[案件番号]&amp;tbl_明細[（非表示）仕入No.],tbl_明細[備考（仕入先向け）],"",0,1))</f>
        <v/>
      </c>
    </row>
    <row r="37" spans="1:8" s="23" customFormat="1" ht="26.4">
      <c r="A37" s="19"/>
      <c r="B37" s="19"/>
      <c r="C37" s="19"/>
      <c r="D37" s="19"/>
      <c r="E37" s="19"/>
      <c r="F37" s="20" t="s">
        <v>821</v>
      </c>
      <c r="G37" s="39">
        <f>SUM(G17:G36)</f>
        <v>43190</v>
      </c>
      <c r="H37" s="22"/>
    </row>
    <row r="38" spans="1:8" s="23" customFormat="1" ht="26.4">
      <c r="A38" s="5" t="str">
        <f>IF(_xlfn.XLOOKUP($B$1,tbl_案件追跡[案件番号],tbl_案件追跡[納品先　郵便番号],"",0,1) = "", "納品先：別途", "納品先：〒"&amp;_xlfn.XLOOKUP($B$1,tbl_案件追跡[案件番号],tbl_案件追跡[納品先　郵便番号],"",0,1))</f>
        <v>納品先：別途</v>
      </c>
      <c r="C38" s="5"/>
      <c r="D38" s="5"/>
      <c r="E38" s="5"/>
      <c r="F38" s="24"/>
      <c r="G38" s="40"/>
      <c r="H38" s="5"/>
    </row>
    <row r="39" spans="1:8" s="23" customFormat="1" ht="26.4">
      <c r="A39" s="5" t="str">
        <f>IF(ISBLANK(_xlfn.XLOOKUP($B$1,tbl_案件追跡[案件番号],tbl_案件追跡[納品先　住所1行目],"",0,1)),"",_xlfn.XLOOKUP($B$1,tbl_案件追跡[案件番号],tbl_案件追跡[納品先　住所1行目],"",0,1))</f>
        <v/>
      </c>
      <c r="C39" s="5"/>
      <c r="D39" s="5"/>
      <c r="E39" s="5"/>
      <c r="F39" s="5"/>
      <c r="G39" s="26" t="s">
        <v>822</v>
      </c>
      <c r="H39" s="26" t="s">
        <v>823</v>
      </c>
    </row>
    <row r="40" spans="1:8" s="23" customFormat="1" ht="26.4">
      <c r="A40" s="5" t="str">
        <f>IF(ISBLANK(_xlfn.XLOOKUP($B$1,tbl_案件追跡[案件番号],tbl_案件追跡[納品先　住所2行目],"",0,1)),"",_xlfn.XLOOKUP($B$1,tbl_案件追跡[案件番号],tbl_案件追跡[納品先　住所2行目],"",0,1))</f>
        <v/>
      </c>
      <c r="C40" s="5"/>
      <c r="D40" s="5"/>
      <c r="E40" s="28">
        <v>0.08</v>
      </c>
      <c r="F40" s="24" t="s">
        <v>824</v>
      </c>
      <c r="G40" s="41">
        <f>SUMIF($F$17:$F$36,E40,$G$17:$G$36)</f>
        <v>41640</v>
      </c>
      <c r="H40" s="41">
        <f>ROUND(G40*E40,0)</f>
        <v>3331</v>
      </c>
    </row>
    <row r="41" spans="1:8" s="23" customFormat="1" ht="26.4">
      <c r="A41" s="5" t="str">
        <f>IF(ISBLANK(_xlfn.XLOOKUP($B$1,tbl_案件追跡[案件番号],tbl_案件追跡[納品先　社名・担当者名],"",0,1)),"",_xlfn.XLOOKUP($B$1,tbl_案件追跡[案件番号],tbl_案件追跡[納品先　社名・担当者名],"",0,1))</f>
        <v/>
      </c>
      <c r="B41" s="27"/>
      <c r="C41" s="5"/>
      <c r="D41" s="5"/>
      <c r="E41" s="28">
        <v>0.1</v>
      </c>
      <c r="F41" s="24" t="s">
        <v>824</v>
      </c>
      <c r="G41" s="41">
        <f>SUMIF($F$17:$F$36,E41,$G$17:$G$36)</f>
        <v>1550</v>
      </c>
      <c r="H41" s="41">
        <f>ROUND(G41*E41,0)</f>
        <v>155</v>
      </c>
    </row>
    <row r="42" spans="1:8" s="23" customFormat="1" ht="26.4">
      <c r="A42" s="5" t="str">
        <f>IF(_xlfn.XLOOKUP($B$1,tbl_案件追跡[案件番号],tbl_案件追跡[納品先　郵便番号],"",0,1) = "", "", "TEL : "&amp;IF(ISBLANK(_xlfn.XLOOKUP($B$1,tbl_案件追跡[案件番号],tbl_案件追跡[納品先　電話番号],"",0,1)),"",_xlfn.XLOOKUP($B$1,tbl_案件追跡[案件番号],tbl_案件追跡[納品先　電話番号],"",0,1)))</f>
        <v/>
      </c>
      <c r="B42" s="27"/>
      <c r="C42" s="5"/>
      <c r="D42" s="5"/>
      <c r="E42" s="29" t="s">
        <v>825</v>
      </c>
      <c r="F42" s="24" t="s">
        <v>824</v>
      </c>
      <c r="G42" s="41">
        <f>SUMIF($F$17:$F$36,E42,$G$17:$G$36)</f>
        <v>0</v>
      </c>
      <c r="H42" s="41"/>
    </row>
    <row r="43" spans="1:8" s="23" customFormat="1" ht="26.4">
      <c r="A43" s="27"/>
      <c r="B43" s="27"/>
      <c r="C43" s="5"/>
      <c r="D43" s="5"/>
      <c r="E43" s="5"/>
      <c r="F43" s="24" t="s">
        <v>826</v>
      </c>
      <c r="G43" s="42"/>
      <c r="H43" s="43">
        <f>SUM(G40:H42)</f>
        <v>46676</v>
      </c>
    </row>
    <row r="45" spans="1:8" ht="22.2">
      <c r="A45" s="32" t="s">
        <v>827</v>
      </c>
    </row>
    <row r="46" spans="1:8" ht="22.2">
      <c r="A46" s="56" t="str">
        <f>"希望出荷日："&amp;TEXT(_xlfn.XLOOKUP($B$1,tbl_案件追跡[案件番号],tbl_案件追跡[出荷予定],"",0,1),"YYYY年M月D日")</f>
        <v>希望出荷日：2026年3月19日</v>
      </c>
      <c r="B46" s="57"/>
      <c r="C46" s="57"/>
      <c r="D46" s="57"/>
      <c r="E46" s="57"/>
      <c r="F46" s="57"/>
      <c r="G46" s="57"/>
      <c r="H46" s="58"/>
    </row>
    <row r="47" spans="1:8" ht="22.2">
      <c r="A47" s="59" t="s">
        <v>1215</v>
      </c>
      <c r="B47" s="187"/>
      <c r="C47" s="187"/>
      <c r="D47" s="187"/>
      <c r="E47" s="187"/>
      <c r="F47" s="187"/>
      <c r="G47" s="187"/>
      <c r="H47" s="60"/>
    </row>
    <row r="48" spans="1:8" ht="22.2">
      <c r="A48" s="59" t="s">
        <v>1876</v>
      </c>
      <c r="B48" s="187"/>
      <c r="C48" s="187"/>
      <c r="D48" s="187"/>
      <c r="E48" s="187"/>
      <c r="F48" s="187"/>
      <c r="G48" s="187"/>
      <c r="H48" s="60"/>
    </row>
    <row r="49" spans="1:8" ht="22.2">
      <c r="A49" s="33"/>
      <c r="B49" s="187"/>
      <c r="C49" s="187"/>
      <c r="D49" s="187"/>
      <c r="E49" s="187"/>
      <c r="F49" s="187"/>
      <c r="G49" s="187"/>
      <c r="H49" s="60"/>
    </row>
    <row r="50" spans="1:8" ht="22.2">
      <c r="A50" s="33"/>
      <c r="B50" s="187"/>
      <c r="C50" s="187"/>
      <c r="D50" s="187"/>
      <c r="E50" s="187"/>
      <c r="F50" s="187"/>
      <c r="G50" s="187"/>
      <c r="H50" s="60"/>
    </row>
    <row r="51" spans="1:8" ht="22.2">
      <c r="A51" s="33"/>
      <c r="B51" s="187"/>
      <c r="C51" s="187"/>
      <c r="D51" s="187"/>
      <c r="E51" s="187"/>
      <c r="F51" s="187"/>
      <c r="G51" s="187"/>
      <c r="H51" s="60"/>
    </row>
    <row r="52" spans="1:8" ht="22.2">
      <c r="A52" s="186"/>
      <c r="B52" s="187"/>
      <c r="C52" s="187"/>
      <c r="D52" s="187"/>
      <c r="E52" s="187"/>
      <c r="F52" s="187"/>
      <c r="G52" s="187"/>
      <c r="H52" s="60"/>
    </row>
    <row r="53" spans="1:8" ht="22.2">
      <c r="A53" s="185" t="s">
        <v>1512</v>
      </c>
      <c r="B53" s="187"/>
      <c r="C53" s="187"/>
      <c r="D53" s="187"/>
      <c r="E53" s="187"/>
      <c r="F53" s="187"/>
      <c r="G53" s="187"/>
      <c r="H53" s="60"/>
    </row>
    <row r="54" spans="1:8" ht="22.2">
      <c r="A54" s="188" t="s">
        <v>1511</v>
      </c>
      <c r="B54" s="61"/>
      <c r="C54" s="61"/>
      <c r="D54" s="61"/>
      <c r="E54" s="61"/>
      <c r="F54" s="61"/>
      <c r="G54" s="61"/>
      <c r="H54" s="62"/>
    </row>
  </sheetData>
  <mergeCells count="2">
    <mergeCell ref="A3:H3"/>
    <mergeCell ref="A12:D13"/>
  </mergeCells>
  <phoneticPr fontId="3"/>
  <conditionalFormatting sqref="H5">
    <cfRule type="cellIs" dxfId="23" priority="1" operator="equal">
      <formula>0</formula>
    </cfRule>
  </conditionalFormatting>
  <pageMargins left="0.25" right="0.25" top="0.75" bottom="0.75" header="0.3" footer="0.3"/>
  <pageSetup paperSize="9" scale="57"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7DD5EAE-97C8-4E4D-91B7-548F5C463812}">
          <x14:formula1>
            <xm:f>仕入先マスタ!$B:$B</xm:f>
          </x14:formula1>
          <xm:sqref>B2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46DEE-4C66-4295-B736-3141FE60A159}">
  <sheetPr>
    <pageSetUpPr fitToPage="1"/>
  </sheetPr>
  <dimension ref="A1:I54"/>
  <sheetViews>
    <sheetView topLeftCell="A30" workbookViewId="0">
      <selection activeCell="I41" sqref="I41"/>
    </sheetView>
  </sheetViews>
  <sheetFormatPr defaultColWidth="9" defaultRowHeight="15.75" customHeight="1"/>
  <cols>
    <col min="1" max="1" width="36" style="1" bestFit="1" customWidth="1"/>
    <col min="2" max="2" width="12.19921875" style="1" customWidth="1"/>
    <col min="3" max="3" width="39.69921875" style="1" customWidth="1"/>
    <col min="4" max="4" width="10" style="1" customWidth="1"/>
    <col min="5" max="5" width="8" style="1" customWidth="1"/>
    <col min="6" max="6" width="12" style="1" customWidth="1"/>
    <col min="7" max="7" width="14" style="1" customWidth="1"/>
    <col min="8" max="8" width="21.5" style="1" customWidth="1"/>
    <col min="9" max="9" width="24.19921875" style="1" customWidth="1"/>
    <col min="10" max="16384" width="9" style="1"/>
  </cols>
  <sheetData>
    <row r="1" spans="1:9" ht="18">
      <c r="B1" s="122" t="s">
        <v>1219</v>
      </c>
      <c r="C1" s="63" t="s">
        <v>1844</v>
      </c>
    </row>
    <row r="3" spans="1:9" ht="45.75" customHeight="1">
      <c r="B3" s="283" t="s">
        <v>1017</v>
      </c>
      <c r="C3" s="284"/>
      <c r="D3" s="284"/>
      <c r="E3" s="284"/>
      <c r="F3" s="284"/>
      <c r="G3" s="284"/>
      <c r="H3" s="284"/>
      <c r="I3" s="284"/>
    </row>
    <row r="5" spans="1:9" ht="18">
      <c r="H5" s="3" t="s">
        <v>832</v>
      </c>
      <c r="I5" s="64">
        <f>_xlfn.XLOOKUP($C$1,tbl_案件追跡[案件番号],tbl_案件追跡[着荷],"",0,1)</f>
        <v>46063</v>
      </c>
    </row>
    <row r="6" spans="1:9" ht="26.4">
      <c r="A6" s="65"/>
      <c r="B6" s="49" t="str">
        <f>_xlfn.XLOOKUP($C$1,tbl_明細[案件番号],tbl_明細[顧客名],"",0,1)&amp;" 御中"</f>
        <v>NISSHAビジネスサービス 御中</v>
      </c>
      <c r="H6" s="3" t="s">
        <v>833</v>
      </c>
      <c r="I6" s="3" t="str">
        <f>"DEL-SNJ-"&amp;C1</f>
        <v>DEL-SNJ-2602-1002-K01</v>
      </c>
    </row>
    <row r="7" spans="1:9" ht="22.2">
      <c r="B7" s="5"/>
      <c r="G7" s="6"/>
      <c r="H7" s="7"/>
      <c r="I7" s="8"/>
    </row>
    <row r="8" spans="1:9" ht="18">
      <c r="G8" s="9"/>
      <c r="I8" s="10"/>
    </row>
    <row r="9" spans="1:9" ht="18">
      <c r="G9" s="11" t="s">
        <v>834</v>
      </c>
      <c r="I9" s="10"/>
    </row>
    <row r="10" spans="1:9" ht="18.75" customHeight="1">
      <c r="B10" s="1" t="s">
        <v>835</v>
      </c>
      <c r="G10" s="11" t="s">
        <v>836</v>
      </c>
      <c r="I10" s="10"/>
    </row>
    <row r="11" spans="1:9" ht="18.75" customHeight="1">
      <c r="B11" s="1" t="s">
        <v>837</v>
      </c>
      <c r="F11" s="10"/>
      <c r="G11" s="11" t="s">
        <v>838</v>
      </c>
      <c r="I11" s="10"/>
    </row>
    <row r="12" spans="1:9" ht="18.75" customHeight="1">
      <c r="B12" s="279" t="str">
        <f>"納品金額（税込）　　"&amp;TEXT(I43,"\#,##0")</f>
        <v>納品金額（税込）　　¥55,181</v>
      </c>
      <c r="C12" s="279"/>
      <c r="D12" s="279"/>
      <c r="E12" s="279"/>
      <c r="F12" s="12"/>
      <c r="G12" s="11" t="s">
        <v>839</v>
      </c>
      <c r="I12" s="10"/>
    </row>
    <row r="13" spans="1:9" ht="19.5" customHeight="1">
      <c r="B13" s="280"/>
      <c r="C13" s="280"/>
      <c r="D13" s="280"/>
      <c r="E13" s="280"/>
      <c r="F13" s="12"/>
      <c r="G13" s="13" t="s">
        <v>840</v>
      </c>
      <c r="H13" s="14"/>
      <c r="I13" s="15"/>
    </row>
    <row r="16" spans="1:9" ht="20.25" customHeight="1">
      <c r="B16" s="205" t="s">
        <v>807</v>
      </c>
      <c r="C16" s="205" t="s">
        <v>150</v>
      </c>
      <c r="D16" s="205" t="s">
        <v>818</v>
      </c>
      <c r="E16" s="205" t="s">
        <v>153</v>
      </c>
      <c r="F16" s="205" t="s">
        <v>819</v>
      </c>
      <c r="G16" s="205" t="s">
        <v>841</v>
      </c>
      <c r="H16" s="205" t="s">
        <v>842</v>
      </c>
      <c r="I16" s="205" t="s">
        <v>843</v>
      </c>
    </row>
    <row r="17" spans="1:9" ht="20.25" customHeight="1">
      <c r="A17" s="50"/>
      <c r="B17" s="16" cm="1">
        <f t="array" ref="B17:G24">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1</v>
      </c>
      <c r="C17" s="46" t="str">
        <v>レトルトとうもろこし</v>
      </c>
      <c r="D17" s="16">
        <v>60</v>
      </c>
      <c r="E17" s="16" t="str">
        <v>本</v>
      </c>
      <c r="F17" s="193">
        <v>366.66666666666663</v>
      </c>
      <c r="G17" s="51">
        <v>0.08</v>
      </c>
      <c r="H17" s="192">
        <f>IF(ISBLANK(C17),"",D17*F17)</f>
        <v>21999.999999999996</v>
      </c>
      <c r="I17" s="16" t="str" cm="1">
        <f t="array" ref="I17">IF(ISBLANK(_xlfn.XLOOKUP($C$1&amp;B17,tbl_明細[案件番号]&amp;tbl_明細[No],tbl_明細[備考（顧客向け）],"",0,1)),"",_xlfn.XLOOKUP($C$1&amp;B17,tbl_明細[案件番号]&amp;tbl_明細[No],tbl_明細[備考（顧客向け）],"",0,1))</f>
        <v/>
      </c>
    </row>
    <row r="18" spans="1:9" ht="20.25" customHeight="1">
      <c r="A18" s="50"/>
      <c r="B18" s="16">
        <v>2</v>
      </c>
      <c r="C18" s="46" t="str">
        <v>オホーツク流氷ラーメン 　 かに（2食入り）</v>
      </c>
      <c r="D18" s="16">
        <v>16</v>
      </c>
      <c r="E18" s="16" t="str">
        <v>袋</v>
      </c>
      <c r="F18" s="193">
        <v>479.62962962962962</v>
      </c>
      <c r="G18" s="51">
        <v>0.08</v>
      </c>
      <c r="H18" s="192">
        <f t="shared" ref="H18:H36" si="0">IF(ISBLANK(C18),"",D18*F18)</f>
        <v>7674.0740740740739</v>
      </c>
      <c r="I18" s="16" t="str" cm="1">
        <f t="array" ref="I18">IF(ISBLANK(_xlfn.XLOOKUP($C$1&amp;B18,tbl_明細[案件番号]&amp;tbl_明細[No],tbl_明細[備考（顧客向け）],"",0,1)),"",_xlfn.XLOOKUP($C$1&amp;B18,tbl_明細[案件番号]&amp;tbl_明細[No],tbl_明細[備考（顧客向け）],"",0,1))</f>
        <v/>
      </c>
    </row>
    <row r="19" spans="1:9" ht="20.25" customHeight="1">
      <c r="A19" s="50"/>
      <c r="B19" s="16">
        <v>3</v>
      </c>
      <c r="C19" s="46" t="str">
        <v>オホーツク流氷ラーメン 　 ホタテ（2食入り）</v>
      </c>
      <c r="D19" s="16">
        <v>18</v>
      </c>
      <c r="E19" s="16" t="str">
        <v>袋</v>
      </c>
      <c r="F19" s="193">
        <v>479.62962962962962</v>
      </c>
      <c r="G19" s="51">
        <v>0.08</v>
      </c>
      <c r="H19" s="192">
        <f t="shared" si="0"/>
        <v>8633.3333333333339</v>
      </c>
      <c r="I19" s="16" t="str" cm="1">
        <f t="array" ref="I19">IF(ISBLANK(_xlfn.XLOOKUP($C$1&amp;B19,tbl_明細[案件番号]&amp;tbl_明細[No],tbl_明細[備考（顧客向け）],"",0,1)),"",_xlfn.XLOOKUP($C$1&amp;B19,tbl_明細[案件番号]&amp;tbl_明細[No],tbl_明細[備考（顧客向け）],"",0,1))</f>
        <v/>
      </c>
    </row>
    <row r="20" spans="1:9" ht="20.25" customHeight="1">
      <c r="A20" s="50"/>
      <c r="B20" s="16">
        <v>4</v>
      </c>
      <c r="C20" s="46" t="str">
        <v>ズワイガニ風味ラーメン 　 味噌（1食入り）</v>
      </c>
      <c r="D20" s="16">
        <v>14</v>
      </c>
      <c r="E20" s="16" t="str">
        <v>袋</v>
      </c>
      <c r="F20" s="193">
        <v>220.37037037037035</v>
      </c>
      <c r="G20" s="51">
        <v>0.08</v>
      </c>
      <c r="H20" s="192">
        <f t="shared" si="0"/>
        <v>3085.1851851851848</v>
      </c>
      <c r="I20" s="16" t="str" cm="1">
        <f t="array" ref="I20">IF(ISBLANK(_xlfn.XLOOKUP($C$1&amp;B20,tbl_明細[案件番号]&amp;tbl_明細[No],tbl_明細[備考（顧客向け）],"",0,1)),"",_xlfn.XLOOKUP($C$1&amp;B20,tbl_明細[案件番号]&amp;tbl_明細[No],tbl_明細[備考（顧客向け）],"",0,1))</f>
        <v/>
      </c>
    </row>
    <row r="21" spans="1:9" ht="20.25" customHeight="1">
      <c r="A21" s="50"/>
      <c r="B21" s="16">
        <v>5</v>
      </c>
      <c r="C21" s="46" t="str">
        <v>ズワイガニ風味ラーメン 　 醤油（1食入り）</v>
      </c>
      <c r="D21" s="16">
        <v>13</v>
      </c>
      <c r="E21" s="16" t="str">
        <v>袋</v>
      </c>
      <c r="F21" s="193">
        <v>220.37037037037035</v>
      </c>
      <c r="G21" s="51">
        <v>0.08</v>
      </c>
      <c r="H21" s="192">
        <f t="shared" si="0"/>
        <v>2864.8148148148148</v>
      </c>
      <c r="I21" s="16" t="str" cm="1">
        <f t="array" ref="I21">IF(ISBLANK(_xlfn.XLOOKUP($C$1&amp;B21,tbl_明細[案件番号]&amp;tbl_明細[No],tbl_明細[備考（顧客向け）],"",0,1)),"",_xlfn.XLOOKUP($C$1&amp;B21,tbl_明細[案件番号]&amp;tbl_明細[No],tbl_明細[備考（顧客向け）],"",0,1))</f>
        <v/>
      </c>
    </row>
    <row r="22" spans="1:9" ht="20.25" customHeight="1">
      <c r="A22" s="36"/>
      <c r="B22" s="16">
        <v>6</v>
      </c>
      <c r="C22" s="46" t="str">
        <v>ズワイガニ風味ラーメン 　 味噌（1食入り）</v>
      </c>
      <c r="D22" s="16">
        <v>14</v>
      </c>
      <c r="E22" s="16" t="str">
        <v>袋</v>
      </c>
      <c r="F22" s="193">
        <v>220.37037037037035</v>
      </c>
      <c r="G22" s="51">
        <v>0.08</v>
      </c>
      <c r="H22" s="192">
        <f t="shared" si="0"/>
        <v>3085.1851851851848</v>
      </c>
      <c r="I22" s="16" t="str" cm="1">
        <f t="array" ref="I22">IF(ISBLANK(_xlfn.XLOOKUP($C$1&amp;B22,tbl_明細[案件番号]&amp;tbl_明細[No],tbl_明細[備考（顧客向け）],"",0,1)),"",_xlfn.XLOOKUP($C$1&amp;B22,tbl_明細[案件番号]&amp;tbl_明細[No],tbl_明細[備考（顧客向け）],"",0,1))</f>
        <v>追加発注分</v>
      </c>
    </row>
    <row r="23" spans="1:9" ht="20.25" customHeight="1">
      <c r="A23" s="36"/>
      <c r="B23" s="16">
        <v>7</v>
      </c>
      <c r="C23" s="46" t="str">
        <v>ズワイガニ風味ラーメン 　 醤油（1食入り）</v>
      </c>
      <c r="D23" s="16">
        <v>13</v>
      </c>
      <c r="E23" s="16" t="str">
        <v>袋</v>
      </c>
      <c r="F23" s="193">
        <v>220.37037037037035</v>
      </c>
      <c r="G23" s="51">
        <v>0.08</v>
      </c>
      <c r="H23" s="192">
        <f t="shared" si="0"/>
        <v>2864.8148148148148</v>
      </c>
      <c r="I23" s="16" t="str" cm="1">
        <f t="array" ref="I23">IF(ISBLANK(_xlfn.XLOOKUP($C$1&amp;B23,tbl_明細[案件番号]&amp;tbl_明細[No],tbl_明細[備考（顧客向け）],"",0,1)),"",_xlfn.XLOOKUP($C$1&amp;B23,tbl_明細[案件番号]&amp;tbl_明細[No],tbl_明細[備考（顧客向け）],"",0,1))</f>
        <v>追加発注分</v>
      </c>
    </row>
    <row r="24" spans="1:9" ht="20.25" customHeight="1">
      <c r="A24" s="36"/>
      <c r="B24" s="16">
        <v>8</v>
      </c>
      <c r="C24" s="46" t="str">
        <v>送料</v>
      </c>
      <c r="D24" s="16">
        <v>1</v>
      </c>
      <c r="E24" s="16" t="str">
        <v>式</v>
      </c>
      <c r="F24" s="193">
        <v>870</v>
      </c>
      <c r="G24" s="51">
        <v>0.1</v>
      </c>
      <c r="H24" s="192">
        <f t="shared" si="0"/>
        <v>870</v>
      </c>
      <c r="I24" s="16" t="str" cm="1">
        <f t="array" ref="I24">IF(ISBLANK(_xlfn.XLOOKUP($C$1&amp;B24,tbl_明細[案件番号]&amp;tbl_明細[No],tbl_明細[備考（顧客向け）],"",0,1)),"",_xlfn.XLOOKUP($C$1&amp;B24,tbl_明細[案件番号]&amp;tbl_明細[No],tbl_明細[備考（顧客向け）],"",0,1))</f>
        <v>追加発注分</v>
      </c>
    </row>
    <row r="25" spans="1:9" ht="20.25" customHeight="1">
      <c r="A25" s="36"/>
      <c r="B25" s="16"/>
      <c r="C25" s="46"/>
      <c r="D25" s="16"/>
      <c r="E25" s="16"/>
      <c r="F25" s="193"/>
      <c r="G25" s="51"/>
      <c r="H25" s="192" t="str">
        <f t="shared" si="0"/>
        <v/>
      </c>
      <c r="I25" s="16" t="str" cm="1">
        <f t="array" ref="I25">IF(ISBLANK(_xlfn.XLOOKUP($C$1&amp;B25,tbl_明細[案件番号]&amp;tbl_明細[No],tbl_明細[備考（顧客向け）],"",0,1)),"",_xlfn.XLOOKUP($C$1&amp;B25,tbl_明細[案件番号]&amp;tbl_明細[No],tbl_明細[備考（顧客向け）],"",0,1))</f>
        <v/>
      </c>
    </row>
    <row r="26" spans="1:9" ht="20.25" customHeight="1">
      <c r="A26" s="36"/>
      <c r="B26" s="16"/>
      <c r="C26" s="46"/>
      <c r="D26" s="16"/>
      <c r="E26" s="16"/>
      <c r="F26" s="193"/>
      <c r="G26" s="51"/>
      <c r="H26" s="192" t="str">
        <f t="shared" si="0"/>
        <v/>
      </c>
      <c r="I26" s="16" t="str" cm="1">
        <f t="array" ref="I26">IF(ISBLANK(_xlfn.XLOOKUP($C$1&amp;B26,tbl_明細[案件番号]&amp;tbl_明細[No],tbl_明細[備考（顧客向け）],"",0,1)),"",_xlfn.XLOOKUP($C$1&amp;B26,tbl_明細[案件番号]&amp;tbl_明細[No],tbl_明細[備考（顧客向け）],"",0,1))</f>
        <v/>
      </c>
    </row>
    <row r="27" spans="1:9" ht="20.25" customHeight="1">
      <c r="A27" s="36"/>
      <c r="B27" s="16"/>
      <c r="C27" s="46"/>
      <c r="D27" s="16"/>
      <c r="E27" s="16"/>
      <c r="F27" s="193"/>
      <c r="G27" s="51"/>
      <c r="H27" s="192" t="str">
        <f t="shared" si="0"/>
        <v/>
      </c>
      <c r="I27" s="16" t="str" cm="1">
        <f t="array" ref="I27">IF(ISBLANK(_xlfn.XLOOKUP($C$1&amp;B27,tbl_明細[案件番号]&amp;tbl_明細[No],tbl_明細[備考（顧客向け）],"",0,1)),"",_xlfn.XLOOKUP($C$1&amp;B27,tbl_明細[案件番号]&amp;tbl_明細[No],tbl_明細[備考（顧客向け）],"",0,1))</f>
        <v/>
      </c>
    </row>
    <row r="28" spans="1:9" ht="20.25" customHeight="1">
      <c r="A28" s="36"/>
      <c r="B28" s="16"/>
      <c r="C28" s="46"/>
      <c r="D28" s="16"/>
      <c r="E28" s="16"/>
      <c r="F28" s="193"/>
      <c r="G28" s="51"/>
      <c r="H28" s="192" t="str">
        <f t="shared" si="0"/>
        <v/>
      </c>
      <c r="I28" s="16" t="str" cm="1">
        <f t="array" ref="I28">IF(ISBLANK(_xlfn.XLOOKUP($C$1&amp;B28,tbl_明細[案件番号]&amp;tbl_明細[No],tbl_明細[備考（顧客向け）],"",0,1)),"",_xlfn.XLOOKUP($C$1&amp;B28,tbl_明細[案件番号]&amp;tbl_明細[No],tbl_明細[備考（顧客向け）],"",0,1))</f>
        <v/>
      </c>
    </row>
    <row r="29" spans="1:9" ht="20.25" customHeight="1">
      <c r="B29" s="16"/>
      <c r="C29" s="46"/>
      <c r="D29" s="16"/>
      <c r="E29" s="16"/>
      <c r="F29" s="193"/>
      <c r="G29" s="51"/>
      <c r="H29" s="192" t="str">
        <f t="shared" si="0"/>
        <v/>
      </c>
      <c r="I29" s="16" t="str" cm="1">
        <f t="array" ref="I29">IF(ISBLANK(_xlfn.XLOOKUP($C$1&amp;B29,tbl_明細[案件番号]&amp;tbl_明細[No],tbl_明細[備考（顧客向け）],"",0,1)),"",_xlfn.XLOOKUP($C$1&amp;B29,tbl_明細[案件番号]&amp;tbl_明細[No],tbl_明細[備考（顧客向け）],"",0,1))</f>
        <v/>
      </c>
    </row>
    <row r="30" spans="1:9" ht="20.25" customHeight="1">
      <c r="B30" s="16"/>
      <c r="C30" s="46"/>
      <c r="D30" s="16"/>
      <c r="E30" s="16"/>
      <c r="F30" s="193"/>
      <c r="G30" s="51"/>
      <c r="H30" s="192" t="str">
        <f t="shared" si="0"/>
        <v/>
      </c>
      <c r="I30" s="16" t="str" cm="1">
        <f t="array" ref="I30">IF(ISBLANK(_xlfn.XLOOKUP($C$1&amp;B30,tbl_明細[案件番号]&amp;tbl_明細[No],tbl_明細[備考（顧客向け）],"",0,1)),"",_xlfn.XLOOKUP($C$1&amp;B30,tbl_明細[案件番号]&amp;tbl_明細[No],tbl_明細[備考（顧客向け）],"",0,1))</f>
        <v/>
      </c>
    </row>
    <row r="31" spans="1:9" ht="20.25" customHeight="1">
      <c r="B31" s="16"/>
      <c r="C31" s="46"/>
      <c r="D31" s="16"/>
      <c r="E31" s="16"/>
      <c r="F31" s="193"/>
      <c r="G31" s="51"/>
      <c r="H31" s="192" t="str">
        <f t="shared" si="0"/>
        <v/>
      </c>
      <c r="I31" s="16" t="str" cm="1">
        <f t="array" ref="I31">IF(ISBLANK(_xlfn.XLOOKUP($C$1&amp;B31,tbl_明細[案件番号]&amp;tbl_明細[No],tbl_明細[備考（顧客向け）],"",0,1)),"",_xlfn.XLOOKUP($C$1&amp;B31,tbl_明細[案件番号]&amp;tbl_明細[No],tbl_明細[備考（顧客向け）],"",0,1))</f>
        <v/>
      </c>
    </row>
    <row r="32" spans="1:9" ht="20.25" customHeight="1">
      <c r="B32" s="16"/>
      <c r="C32" s="46"/>
      <c r="D32" s="16"/>
      <c r="E32" s="16"/>
      <c r="F32" s="193"/>
      <c r="G32" s="51"/>
      <c r="H32" s="192" t="str">
        <f t="shared" si="0"/>
        <v/>
      </c>
      <c r="I32" s="16" t="str" cm="1">
        <f t="array" ref="I32">IF(ISBLANK(_xlfn.XLOOKUP($C$1&amp;B32,tbl_明細[案件番号]&amp;tbl_明細[No],tbl_明細[備考（顧客向け）],"",0,1)),"",_xlfn.XLOOKUP($C$1&amp;B32,tbl_明細[案件番号]&amp;tbl_明細[No],tbl_明細[備考（顧客向け）],"",0,1))</f>
        <v/>
      </c>
    </row>
    <row r="33" spans="2:9" ht="20.25" customHeight="1">
      <c r="B33" s="16"/>
      <c r="C33" s="46"/>
      <c r="D33" s="16"/>
      <c r="E33" s="16"/>
      <c r="F33" s="193"/>
      <c r="G33" s="51"/>
      <c r="H33" s="192" t="str">
        <f t="shared" si="0"/>
        <v/>
      </c>
      <c r="I33" s="16" t="str" cm="1">
        <f t="array" ref="I33">IF(ISBLANK(_xlfn.XLOOKUP($C$1&amp;B33,tbl_明細[案件番号]&amp;tbl_明細[No],tbl_明細[備考（顧客向け）],"",0,1)),"",_xlfn.XLOOKUP($C$1&amp;B33,tbl_明細[案件番号]&amp;tbl_明細[No],tbl_明細[備考（顧客向け）],"",0,1))</f>
        <v/>
      </c>
    </row>
    <row r="34" spans="2:9" ht="20.25" customHeight="1">
      <c r="B34" s="16"/>
      <c r="C34" s="46"/>
      <c r="D34" s="16"/>
      <c r="E34" s="16"/>
      <c r="F34" s="193"/>
      <c r="G34" s="51"/>
      <c r="H34" s="192" t="str">
        <f t="shared" si="0"/>
        <v/>
      </c>
      <c r="I34" s="16" t="str" cm="1">
        <f t="array" ref="I34">IF(ISBLANK(_xlfn.XLOOKUP($C$1&amp;B34,tbl_明細[案件番号]&amp;tbl_明細[No],tbl_明細[備考（顧客向け）],"",0,1)),"",_xlfn.XLOOKUP($C$1&amp;B34,tbl_明細[案件番号]&amp;tbl_明細[No],tbl_明細[備考（顧客向け）],"",0,1))</f>
        <v/>
      </c>
    </row>
    <row r="35" spans="2:9" ht="20.25" customHeight="1">
      <c r="B35" s="16"/>
      <c r="C35" s="46"/>
      <c r="D35" s="16"/>
      <c r="E35" s="16"/>
      <c r="F35" s="193"/>
      <c r="G35" s="51"/>
      <c r="H35" s="192" t="str">
        <f t="shared" si="0"/>
        <v/>
      </c>
      <c r="I35" s="16" t="str" cm="1">
        <f t="array" ref="I35">IF(ISBLANK(_xlfn.XLOOKUP($C$1&amp;B35,tbl_明細[案件番号]&amp;tbl_明細[No],tbl_明細[備考（顧客向け）],"",0,1)),"",_xlfn.XLOOKUP($C$1&amp;B35,tbl_明細[案件番号]&amp;tbl_明細[No],tbl_明細[備考（顧客向け）],"",0,1))</f>
        <v/>
      </c>
    </row>
    <row r="36" spans="2:9" ht="20.25" customHeight="1">
      <c r="B36" s="16"/>
      <c r="C36" s="46"/>
      <c r="D36" s="16"/>
      <c r="E36" s="16"/>
      <c r="F36" s="193"/>
      <c r="G36" s="51"/>
      <c r="H36" s="192" t="str">
        <f t="shared" si="0"/>
        <v/>
      </c>
      <c r="I36" s="16" t="str" cm="1">
        <f t="array" ref="I36">IF(ISBLANK(_xlfn.XLOOKUP($C$1&amp;B36,tbl_明細[案件番号]&amp;tbl_明細[No],tbl_明細[備考（顧客向け）],"",0,1)),"",_xlfn.XLOOKUP($C$1&amp;B36,tbl_明細[案件番号]&amp;tbl_明細[No],tbl_明細[備考（顧客向け）],"",0,1))</f>
        <v/>
      </c>
    </row>
    <row r="37" spans="2:9" s="23" customFormat="1" ht="26.4">
      <c r="B37" s="19"/>
      <c r="C37" s="19"/>
      <c r="D37" s="19"/>
      <c r="E37" s="19"/>
      <c r="F37" s="19"/>
      <c r="G37" s="20" t="s">
        <v>844</v>
      </c>
      <c r="H37" s="39">
        <f>SUM(H17:H36)</f>
        <v>51077.407407407401</v>
      </c>
      <c r="I37" s="22"/>
    </row>
    <row r="38" spans="2:9" s="23" customFormat="1" ht="26.4">
      <c r="B38" s="5"/>
      <c r="C38" s="5"/>
      <c r="D38" s="5"/>
      <c r="E38" s="5"/>
      <c r="F38" s="5"/>
      <c r="G38" s="24"/>
      <c r="H38" s="40"/>
      <c r="I38" s="5"/>
    </row>
    <row r="39" spans="2:9" s="23" customFormat="1" ht="26.4">
      <c r="B39" s="5"/>
      <c r="C39" s="5"/>
      <c r="D39" s="5"/>
      <c r="E39" s="5"/>
      <c r="F39" s="5"/>
      <c r="G39" s="5"/>
      <c r="H39" s="26" t="s">
        <v>845</v>
      </c>
      <c r="I39" s="26" t="s">
        <v>846</v>
      </c>
    </row>
    <row r="40" spans="2:9" s="23" customFormat="1" ht="26.4">
      <c r="B40" s="27"/>
      <c r="C40" s="27"/>
      <c r="D40" s="5"/>
      <c r="E40" s="5"/>
      <c r="F40" s="28">
        <v>0.08</v>
      </c>
      <c r="G40" s="24" t="s">
        <v>847</v>
      </c>
      <c r="H40" s="41">
        <f>SUMIF($G$17:$G$36,F40,$H$17:$H$36)</f>
        <v>50207.407407407401</v>
      </c>
      <c r="I40" s="41">
        <f>ROUND(H40*F40,0)</f>
        <v>4017</v>
      </c>
    </row>
    <row r="41" spans="2:9" s="23" customFormat="1" ht="26.4">
      <c r="B41" s="27"/>
      <c r="C41" s="27"/>
      <c r="D41" s="5"/>
      <c r="E41" s="5"/>
      <c r="F41" s="28">
        <v>0.1</v>
      </c>
      <c r="G41" s="24" t="s">
        <v>847</v>
      </c>
      <c r="H41" s="41">
        <f>SUMIF($G$17:$G$36,F41,$H$17:$H$36)</f>
        <v>870</v>
      </c>
      <c r="I41" s="41">
        <f>ROUND(H41*F41,0)</f>
        <v>87</v>
      </c>
    </row>
    <row r="42" spans="2:9" s="23" customFormat="1" ht="26.4">
      <c r="B42" s="27"/>
      <c r="C42" s="27"/>
      <c r="D42" s="5"/>
      <c r="E42" s="5"/>
      <c r="F42" s="29" t="s">
        <v>848</v>
      </c>
      <c r="G42" s="24" t="s">
        <v>847</v>
      </c>
      <c r="H42" s="41">
        <f>SUMIF($G$17:$G$36,F42,$H$17:$H$36)</f>
        <v>0</v>
      </c>
      <c r="I42" s="41"/>
    </row>
    <row r="43" spans="2:9" s="23" customFormat="1" ht="26.4">
      <c r="B43" s="27"/>
      <c r="C43" s="27"/>
      <c r="D43" s="5"/>
      <c r="E43" s="5"/>
      <c r="F43" s="5"/>
      <c r="G43" s="24" t="s">
        <v>849</v>
      </c>
      <c r="H43" s="42"/>
      <c r="I43" s="43">
        <f>SUM(H40:I42)</f>
        <v>55181.407407407401</v>
      </c>
    </row>
    <row r="45" spans="2:9" ht="22.2">
      <c r="B45" s="32" t="s">
        <v>850</v>
      </c>
    </row>
    <row r="46" spans="2:9" ht="18">
      <c r="B46" s="6"/>
      <c r="C46" s="7"/>
      <c r="D46" s="7"/>
      <c r="E46" s="7"/>
      <c r="F46" s="7"/>
      <c r="G46" s="7"/>
      <c r="H46" s="7"/>
      <c r="I46" s="8"/>
    </row>
    <row r="47" spans="2:9" ht="18">
      <c r="B47" s="33"/>
      <c r="I47" s="10"/>
    </row>
    <row r="48" spans="2:9" ht="18">
      <c r="B48" s="33"/>
      <c r="I48" s="10"/>
    </row>
    <row r="49" spans="2:9" ht="18">
      <c r="B49" s="33"/>
      <c r="I49" s="10"/>
    </row>
    <row r="50" spans="2:9" ht="18">
      <c r="B50" s="33"/>
      <c r="I50" s="10"/>
    </row>
    <row r="51" spans="2:9" ht="18">
      <c r="B51" s="33"/>
      <c r="I51" s="10"/>
    </row>
    <row r="52" spans="2:9" ht="18">
      <c r="B52" s="33"/>
      <c r="I52" s="10"/>
    </row>
    <row r="53" spans="2:9" ht="18">
      <c r="B53" s="33"/>
      <c r="I53" s="10"/>
    </row>
    <row r="54" spans="2:9" ht="18">
      <c r="B54" s="34"/>
      <c r="C54" s="14"/>
      <c r="D54" s="14"/>
      <c r="E54" s="14"/>
      <c r="F54" s="14"/>
      <c r="G54" s="14"/>
      <c r="H54" s="14"/>
      <c r="I54" s="15"/>
    </row>
  </sheetData>
  <mergeCells count="2">
    <mergeCell ref="B3:I3"/>
    <mergeCell ref="B12:E13"/>
  </mergeCells>
  <phoneticPr fontId="2"/>
  <conditionalFormatting sqref="H37">
    <cfRule type="cellIs" dxfId="22" priority="2" operator="notEqual">
      <formula>$H$40+$H$41+$H$42</formula>
    </cfRule>
  </conditionalFormatting>
  <conditionalFormatting sqref="I5">
    <cfRule type="cellIs" dxfId="21" priority="1" operator="equal">
      <formula>0</formula>
    </cfRule>
  </conditionalFormatting>
  <pageMargins left="0.25" right="0.25" top="0.75" bottom="0.75" header="0.3" footer="0.3"/>
  <pageSetup paperSize="9" scale="63"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6ECB-F1A2-4C2B-AC93-857804174C21}">
  <sheetPr>
    <pageSetUpPr fitToPage="1"/>
  </sheetPr>
  <dimension ref="B1:I57"/>
  <sheetViews>
    <sheetView topLeftCell="A33" workbookViewId="0">
      <selection activeCell="I44" sqref="I44"/>
    </sheetView>
  </sheetViews>
  <sheetFormatPr defaultColWidth="9" defaultRowHeight="15.75" customHeight="1"/>
  <cols>
    <col min="1" max="1" width="9" style="1"/>
    <col min="2" max="2" width="12.19921875" style="1" customWidth="1"/>
    <col min="3" max="3" width="44.5" style="1" customWidth="1"/>
    <col min="4" max="4" width="10" style="1" customWidth="1"/>
    <col min="5" max="5" width="8" style="1" customWidth="1"/>
    <col min="6" max="6" width="12" style="1" customWidth="1"/>
    <col min="7" max="7" width="14" style="1" customWidth="1"/>
    <col min="8" max="8" width="21.5" style="1" customWidth="1"/>
    <col min="9" max="9" width="24.19921875" style="1" customWidth="1"/>
    <col min="10" max="16384" width="9" style="1"/>
  </cols>
  <sheetData>
    <row r="1" spans="2:9" ht="18">
      <c r="B1" s="122" t="s">
        <v>1219</v>
      </c>
      <c r="C1" s="63" t="s">
        <v>1844</v>
      </c>
    </row>
    <row r="3" spans="2:9" ht="45.75" customHeight="1">
      <c r="B3" s="285" t="s">
        <v>1018</v>
      </c>
      <c r="C3" s="286"/>
      <c r="D3" s="286"/>
      <c r="E3" s="286"/>
      <c r="F3" s="286"/>
      <c r="G3" s="286"/>
      <c r="H3" s="286"/>
      <c r="I3" s="286"/>
    </row>
    <row r="5" spans="2:9" ht="18">
      <c r="H5" s="3" t="s">
        <v>832</v>
      </c>
      <c r="I5" s="64">
        <f>_xlfn.XLOOKUP($C$1,tbl_案件追跡[案件番号],tbl_案件追跡[売上計上],"",0,1)</f>
        <v>46081</v>
      </c>
    </row>
    <row r="6" spans="2:9" ht="26.4">
      <c r="B6" s="49" t="str">
        <f>_xlfn.XLOOKUP($C$1,tbl_明細[案件番号],tbl_明細[顧客名],"",0,1)&amp;" 御中"</f>
        <v>NISSHAビジネスサービス 御中</v>
      </c>
      <c r="H6" s="3" t="s">
        <v>851</v>
      </c>
      <c r="I6" s="3" t="str">
        <f>"INV-SNJ-"&amp;C1</f>
        <v>INV-SNJ-2602-1002-K01</v>
      </c>
    </row>
    <row r="7" spans="2:9" ht="22.2">
      <c r="B7" s="5"/>
      <c r="G7" s="6"/>
      <c r="H7" s="7"/>
      <c r="I7" s="8"/>
    </row>
    <row r="8" spans="2:9" ht="18">
      <c r="G8" s="9"/>
      <c r="I8" s="10"/>
    </row>
    <row r="9" spans="2:9" ht="18">
      <c r="G9" s="11" t="s">
        <v>834</v>
      </c>
      <c r="I9" s="10"/>
    </row>
    <row r="10" spans="2:9" ht="18.75" customHeight="1">
      <c r="B10" s="1" t="s">
        <v>852</v>
      </c>
      <c r="G10" s="11" t="s">
        <v>836</v>
      </c>
      <c r="I10" s="10"/>
    </row>
    <row r="11" spans="2:9" ht="18.75" customHeight="1">
      <c r="B11" s="1" t="s">
        <v>853</v>
      </c>
      <c r="F11" s="10"/>
      <c r="G11" s="11" t="s">
        <v>838</v>
      </c>
      <c r="I11" s="10"/>
    </row>
    <row r="12" spans="2:9" ht="18.75" customHeight="1">
      <c r="B12" s="45" t="s">
        <v>854</v>
      </c>
      <c r="C12" s="4"/>
      <c r="D12" s="4"/>
      <c r="E12" s="4"/>
      <c r="F12" s="12"/>
      <c r="G12" s="11" t="s">
        <v>839</v>
      </c>
      <c r="I12" s="10"/>
    </row>
    <row r="13" spans="2:9" ht="19.5" customHeight="1">
      <c r="B13" s="4"/>
      <c r="C13" s="4"/>
      <c r="D13" s="4"/>
      <c r="E13" s="4"/>
      <c r="F13" s="12"/>
      <c r="G13" s="13" t="s">
        <v>840</v>
      </c>
      <c r="H13" s="14"/>
      <c r="I13" s="15"/>
    </row>
    <row r="15" spans="2:9" ht="18">
      <c r="B15" s="287" t="str">
        <f>"請求金額（税込）　　"&amp;TEXT(I46,"\#,##0")</f>
        <v>請求金額（税込）　　¥55,181</v>
      </c>
      <c r="C15" s="287"/>
      <c r="D15" s="287"/>
      <c r="E15" s="287"/>
      <c r="G15" s="6" t="s">
        <v>855</v>
      </c>
      <c r="H15" s="7" t="s">
        <v>856</v>
      </c>
      <c r="I15" s="8"/>
    </row>
    <row r="16" spans="2:9" ht="18">
      <c r="B16" s="288"/>
      <c r="C16" s="288"/>
      <c r="D16" s="288"/>
      <c r="E16" s="288"/>
      <c r="G16" s="34"/>
      <c r="H16" s="14" t="s">
        <v>857</v>
      </c>
      <c r="I16" s="15"/>
    </row>
    <row r="17" spans="2:9" ht="15.75" customHeight="1">
      <c r="G17" s="1" t="s">
        <v>925</v>
      </c>
    </row>
    <row r="19" spans="2:9" ht="20.25" customHeight="1">
      <c r="B19" s="203" t="s">
        <v>807</v>
      </c>
      <c r="C19" s="203" t="s">
        <v>150</v>
      </c>
      <c r="D19" s="203" t="s">
        <v>818</v>
      </c>
      <c r="E19" s="203" t="s">
        <v>153</v>
      </c>
      <c r="F19" s="203" t="s">
        <v>819</v>
      </c>
      <c r="G19" s="203" t="s">
        <v>841</v>
      </c>
      <c r="H19" s="203" t="s">
        <v>842</v>
      </c>
      <c r="I19" s="203" t="s">
        <v>843</v>
      </c>
    </row>
    <row r="20" spans="2:9" ht="20.25" customHeight="1">
      <c r="B20" s="46" cm="1">
        <f t="array" ref="B20:G27">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1</v>
      </c>
      <c r="C20" s="46" t="str">
        <v>レトルトとうもろこし</v>
      </c>
      <c r="D20" s="46">
        <v>60</v>
      </c>
      <c r="E20" s="46" t="str">
        <v>本</v>
      </c>
      <c r="F20" s="193">
        <v>366.66666666666663</v>
      </c>
      <c r="G20" s="47">
        <v>0.08</v>
      </c>
      <c r="H20" s="192">
        <f>IF(ISBLANK(C20),"",D20*F20)</f>
        <v>21999.999999999996</v>
      </c>
      <c r="I20" s="16" t="str" cm="1">
        <f t="array" ref="I20">IF(ISBLANK(_xlfn.XLOOKUP($C$1&amp;B20,tbl_明細[案件番号]&amp;tbl_明細[No],tbl_明細[備考（顧客向け）],"",0,1)),"",_xlfn.XLOOKUP($C$1&amp;B20,tbl_明細[案件番号]&amp;tbl_明細[No],tbl_明細[備考（顧客向け）],"",0,1))</f>
        <v/>
      </c>
    </row>
    <row r="21" spans="2:9" ht="20.25" customHeight="1">
      <c r="B21" s="46">
        <v>2</v>
      </c>
      <c r="C21" s="46" t="str">
        <v>オホーツク流氷ラーメン 　 かに（2食入り）</v>
      </c>
      <c r="D21" s="46">
        <v>16</v>
      </c>
      <c r="E21" s="46" t="str">
        <v>袋</v>
      </c>
      <c r="F21" s="193">
        <v>479.62962962962962</v>
      </c>
      <c r="G21" s="47">
        <v>0.08</v>
      </c>
      <c r="H21" s="192">
        <f t="shared" ref="H21:H39" si="0">IF(ISBLANK(C21),"",D21*F21)</f>
        <v>7674.0740740740739</v>
      </c>
      <c r="I21" s="16" t="str" cm="1">
        <f t="array" ref="I21">IF(ISBLANK(_xlfn.XLOOKUP($C$1&amp;B21,tbl_明細[案件番号]&amp;tbl_明細[No],tbl_明細[備考（顧客向け）],"",0,1)),"",_xlfn.XLOOKUP($C$1&amp;B21,tbl_明細[案件番号]&amp;tbl_明細[No],tbl_明細[備考（顧客向け）],"",0,1))</f>
        <v/>
      </c>
    </row>
    <row r="22" spans="2:9" ht="20.25" customHeight="1">
      <c r="B22" s="46">
        <v>3</v>
      </c>
      <c r="C22" s="46" t="str">
        <v>オホーツク流氷ラーメン 　 ホタテ（2食入り）</v>
      </c>
      <c r="D22" s="46">
        <v>18</v>
      </c>
      <c r="E22" s="46" t="str">
        <v>袋</v>
      </c>
      <c r="F22" s="193">
        <v>479.62962962962962</v>
      </c>
      <c r="G22" s="47">
        <v>0.08</v>
      </c>
      <c r="H22" s="192">
        <f t="shared" si="0"/>
        <v>8633.3333333333339</v>
      </c>
      <c r="I22" s="16" t="str" cm="1">
        <f t="array" ref="I22">IF(ISBLANK(_xlfn.XLOOKUP($C$1&amp;B22,tbl_明細[案件番号]&amp;tbl_明細[No],tbl_明細[備考（顧客向け）],"",0,1)),"",_xlfn.XLOOKUP($C$1&amp;B22,tbl_明細[案件番号]&amp;tbl_明細[No],tbl_明細[備考（顧客向け）],"",0,1))</f>
        <v/>
      </c>
    </row>
    <row r="23" spans="2:9" ht="20.25" customHeight="1">
      <c r="B23" s="46">
        <v>4</v>
      </c>
      <c r="C23" s="46" t="str">
        <v>ズワイガニ風味ラーメン 　 味噌（1食入り）</v>
      </c>
      <c r="D23" s="46">
        <v>14</v>
      </c>
      <c r="E23" s="46" t="str">
        <v>袋</v>
      </c>
      <c r="F23" s="193">
        <v>220.37037037037035</v>
      </c>
      <c r="G23" s="47">
        <v>0.08</v>
      </c>
      <c r="H23" s="192">
        <f t="shared" si="0"/>
        <v>3085.1851851851848</v>
      </c>
      <c r="I23" s="16" t="str" cm="1">
        <f t="array" ref="I23">IF(ISBLANK(_xlfn.XLOOKUP($C$1&amp;B23,tbl_明細[案件番号]&amp;tbl_明細[No],tbl_明細[備考（顧客向け）],"",0,1)),"",_xlfn.XLOOKUP($C$1&amp;B23,tbl_明細[案件番号]&amp;tbl_明細[No],tbl_明細[備考（顧客向け）],"",0,1))</f>
        <v/>
      </c>
    </row>
    <row r="24" spans="2:9" ht="20.25" customHeight="1">
      <c r="B24" s="46">
        <v>5</v>
      </c>
      <c r="C24" s="46" t="str">
        <v>ズワイガニ風味ラーメン 　 醤油（1食入り）</v>
      </c>
      <c r="D24" s="46">
        <v>13</v>
      </c>
      <c r="E24" s="46" t="str">
        <v>袋</v>
      </c>
      <c r="F24" s="193">
        <v>220.37037037037035</v>
      </c>
      <c r="G24" s="47">
        <v>0.08</v>
      </c>
      <c r="H24" s="192">
        <f t="shared" si="0"/>
        <v>2864.8148148148148</v>
      </c>
      <c r="I24" s="16" t="str" cm="1">
        <f t="array" ref="I24">IF(ISBLANK(_xlfn.XLOOKUP($C$1&amp;B24,tbl_明細[案件番号]&amp;tbl_明細[No],tbl_明細[備考（顧客向け）],"",0,1)),"",_xlfn.XLOOKUP($C$1&amp;B24,tbl_明細[案件番号]&amp;tbl_明細[No],tbl_明細[備考（顧客向け）],"",0,1))</f>
        <v/>
      </c>
    </row>
    <row r="25" spans="2:9" ht="20.25" customHeight="1">
      <c r="B25" s="46">
        <v>6</v>
      </c>
      <c r="C25" s="46" t="str">
        <v>ズワイガニ風味ラーメン 　 味噌（1食入り）</v>
      </c>
      <c r="D25" s="46">
        <v>14</v>
      </c>
      <c r="E25" s="46" t="str">
        <v>袋</v>
      </c>
      <c r="F25" s="193">
        <v>220.37037037037035</v>
      </c>
      <c r="G25" s="47">
        <v>0.08</v>
      </c>
      <c r="H25" s="192">
        <f t="shared" si="0"/>
        <v>3085.1851851851848</v>
      </c>
      <c r="I25" s="16" t="str" cm="1">
        <f t="array" ref="I25">IF(ISBLANK(_xlfn.XLOOKUP($C$1&amp;B25,tbl_明細[案件番号]&amp;tbl_明細[No],tbl_明細[備考（顧客向け）],"",0,1)),"",_xlfn.XLOOKUP($C$1&amp;B25,tbl_明細[案件番号]&amp;tbl_明細[No],tbl_明細[備考（顧客向け）],"",0,1))</f>
        <v>追加発注分</v>
      </c>
    </row>
    <row r="26" spans="2:9" ht="20.25" customHeight="1">
      <c r="B26" s="46">
        <v>7</v>
      </c>
      <c r="C26" s="46" t="str">
        <v>ズワイガニ風味ラーメン 　 醤油（1食入り）</v>
      </c>
      <c r="D26" s="46">
        <v>13</v>
      </c>
      <c r="E26" s="46" t="str">
        <v>袋</v>
      </c>
      <c r="F26" s="193">
        <v>220.37037037037035</v>
      </c>
      <c r="G26" s="47">
        <v>0.08</v>
      </c>
      <c r="H26" s="192">
        <f t="shared" si="0"/>
        <v>2864.8148148148148</v>
      </c>
      <c r="I26" s="16" t="str" cm="1">
        <f t="array" ref="I26">IF(ISBLANK(_xlfn.XLOOKUP($C$1&amp;B26,tbl_明細[案件番号]&amp;tbl_明細[No],tbl_明細[備考（顧客向け）],"",0,1)),"",_xlfn.XLOOKUP($C$1&amp;B26,tbl_明細[案件番号]&amp;tbl_明細[No],tbl_明細[備考（顧客向け）],"",0,1))</f>
        <v>追加発注分</v>
      </c>
    </row>
    <row r="27" spans="2:9" ht="20.25" customHeight="1">
      <c r="B27" s="46">
        <v>8</v>
      </c>
      <c r="C27" s="46" t="str">
        <v>送料</v>
      </c>
      <c r="D27" s="46">
        <v>1</v>
      </c>
      <c r="E27" s="46" t="str">
        <v>式</v>
      </c>
      <c r="F27" s="193">
        <v>870</v>
      </c>
      <c r="G27" s="47">
        <v>0.1</v>
      </c>
      <c r="H27" s="192">
        <f t="shared" si="0"/>
        <v>870</v>
      </c>
      <c r="I27" s="16" t="str" cm="1">
        <f t="array" ref="I27">IF(ISBLANK(_xlfn.XLOOKUP($C$1&amp;B27,tbl_明細[案件番号]&amp;tbl_明細[No],tbl_明細[備考（顧客向け）],"",0,1)),"",_xlfn.XLOOKUP($C$1&amp;B27,tbl_明細[案件番号]&amp;tbl_明細[No],tbl_明細[備考（顧客向け）],"",0,1))</f>
        <v>追加発注分</v>
      </c>
    </row>
    <row r="28" spans="2:9" ht="20.25" customHeight="1">
      <c r="B28" s="46"/>
      <c r="C28" s="46"/>
      <c r="D28" s="46"/>
      <c r="E28" s="46"/>
      <c r="F28" s="193"/>
      <c r="G28" s="47"/>
      <c r="H28" s="192" t="str">
        <f t="shared" si="0"/>
        <v/>
      </c>
      <c r="I28" s="16" t="str" cm="1">
        <f t="array" ref="I28">IF(ISBLANK(_xlfn.XLOOKUP($C$1&amp;B28,tbl_明細[案件番号]&amp;tbl_明細[No],tbl_明細[備考（顧客向け）],"",0,1)),"",_xlfn.XLOOKUP($C$1&amp;B28,tbl_明細[案件番号]&amp;tbl_明細[No],tbl_明細[備考（顧客向け）],"",0,1))</f>
        <v/>
      </c>
    </row>
    <row r="29" spans="2:9" ht="20.25" customHeight="1">
      <c r="B29" s="46"/>
      <c r="C29" s="46"/>
      <c r="D29" s="46"/>
      <c r="E29" s="46"/>
      <c r="F29" s="193"/>
      <c r="G29" s="47"/>
      <c r="H29" s="192" t="str">
        <f t="shared" si="0"/>
        <v/>
      </c>
      <c r="I29" s="16" t="str" cm="1">
        <f t="array" ref="I29">IF(ISBLANK(_xlfn.XLOOKUP($C$1&amp;B29,tbl_明細[案件番号]&amp;tbl_明細[No],tbl_明細[備考（顧客向け）],"",0,1)),"",_xlfn.XLOOKUP($C$1&amp;B29,tbl_明細[案件番号]&amp;tbl_明細[No],tbl_明細[備考（顧客向け）],"",0,1))</f>
        <v/>
      </c>
    </row>
    <row r="30" spans="2:9" ht="20.25" customHeight="1">
      <c r="B30" s="46"/>
      <c r="C30" s="46"/>
      <c r="D30" s="46"/>
      <c r="E30" s="46"/>
      <c r="F30" s="193"/>
      <c r="G30" s="47"/>
      <c r="H30" s="192" t="str">
        <f t="shared" si="0"/>
        <v/>
      </c>
      <c r="I30" s="16" t="str" cm="1">
        <f t="array" ref="I30">IF(ISBLANK(_xlfn.XLOOKUP($C$1&amp;B30,tbl_明細[案件番号]&amp;tbl_明細[No],tbl_明細[備考（顧客向け）],"",0,1)),"",_xlfn.XLOOKUP($C$1&amp;B30,tbl_明細[案件番号]&amp;tbl_明細[No],tbl_明細[備考（顧客向け）],"",0,1))</f>
        <v/>
      </c>
    </row>
    <row r="31" spans="2:9" ht="20.25" customHeight="1">
      <c r="B31" s="46"/>
      <c r="C31" s="46"/>
      <c r="D31" s="46"/>
      <c r="E31" s="46"/>
      <c r="F31" s="193"/>
      <c r="G31" s="47"/>
      <c r="H31" s="192" t="str">
        <f t="shared" si="0"/>
        <v/>
      </c>
      <c r="I31" s="16" t="str" cm="1">
        <f t="array" ref="I31">IF(ISBLANK(_xlfn.XLOOKUP($C$1&amp;B31,tbl_明細[案件番号]&amp;tbl_明細[No],tbl_明細[備考（顧客向け）],"",0,1)),"",_xlfn.XLOOKUP($C$1&amp;B31,tbl_明細[案件番号]&amp;tbl_明細[No],tbl_明細[備考（顧客向け）],"",0,1))</f>
        <v/>
      </c>
    </row>
    <row r="32" spans="2:9" ht="20.25" customHeight="1">
      <c r="B32" s="46"/>
      <c r="C32" s="46"/>
      <c r="D32" s="46"/>
      <c r="E32" s="46"/>
      <c r="F32" s="193"/>
      <c r="G32" s="47"/>
      <c r="H32" s="192" t="str">
        <f t="shared" si="0"/>
        <v/>
      </c>
      <c r="I32" s="16" t="str" cm="1">
        <f t="array" ref="I32">IF(ISBLANK(_xlfn.XLOOKUP($C$1&amp;B32,tbl_明細[案件番号]&amp;tbl_明細[No],tbl_明細[備考（顧客向け）],"",0,1)),"",_xlfn.XLOOKUP($C$1&amp;B32,tbl_明細[案件番号]&amp;tbl_明細[No],tbl_明細[備考（顧客向け）],"",0,1))</f>
        <v/>
      </c>
    </row>
    <row r="33" spans="2:9" ht="20.25" customHeight="1">
      <c r="B33" s="46"/>
      <c r="C33" s="46"/>
      <c r="D33" s="46"/>
      <c r="E33" s="46"/>
      <c r="F33" s="193"/>
      <c r="G33" s="47"/>
      <c r="H33" s="192" t="str">
        <f t="shared" si="0"/>
        <v/>
      </c>
      <c r="I33" s="16" t="str" cm="1">
        <f t="array" ref="I33">IF(ISBLANK(_xlfn.XLOOKUP($C$1&amp;B33,tbl_明細[案件番号]&amp;tbl_明細[No],tbl_明細[備考（顧客向け）],"",0,1)),"",_xlfn.XLOOKUP($C$1&amp;B33,tbl_明細[案件番号]&amp;tbl_明細[No],tbl_明細[備考（顧客向け）],"",0,1))</f>
        <v/>
      </c>
    </row>
    <row r="34" spans="2:9" ht="20.25" customHeight="1">
      <c r="B34" s="46"/>
      <c r="C34" s="46"/>
      <c r="D34" s="46"/>
      <c r="E34" s="46"/>
      <c r="F34" s="193"/>
      <c r="G34" s="47"/>
      <c r="H34" s="192" t="str">
        <f t="shared" si="0"/>
        <v/>
      </c>
      <c r="I34" s="16" t="str" cm="1">
        <f t="array" ref="I34">IF(ISBLANK(_xlfn.XLOOKUP($C$1&amp;B34,tbl_明細[案件番号]&amp;tbl_明細[No],tbl_明細[備考（顧客向け）],"",0,1)),"",_xlfn.XLOOKUP($C$1&amp;B34,tbl_明細[案件番号]&amp;tbl_明細[No],tbl_明細[備考（顧客向け）],"",0,1))</f>
        <v/>
      </c>
    </row>
    <row r="35" spans="2:9" ht="20.25" customHeight="1">
      <c r="B35" s="46"/>
      <c r="C35" s="46"/>
      <c r="D35" s="46"/>
      <c r="E35" s="46"/>
      <c r="F35" s="193"/>
      <c r="G35" s="47"/>
      <c r="H35" s="192" t="str">
        <f t="shared" si="0"/>
        <v/>
      </c>
      <c r="I35" s="16" t="str" cm="1">
        <f t="array" ref="I35">IF(ISBLANK(_xlfn.XLOOKUP($C$1&amp;B35,tbl_明細[案件番号]&amp;tbl_明細[No],tbl_明細[備考（顧客向け）],"",0,1)),"",_xlfn.XLOOKUP($C$1&amp;B35,tbl_明細[案件番号]&amp;tbl_明細[No],tbl_明細[備考（顧客向け）],"",0,1))</f>
        <v/>
      </c>
    </row>
    <row r="36" spans="2:9" ht="20.25" customHeight="1">
      <c r="B36" s="46"/>
      <c r="C36" s="46"/>
      <c r="D36" s="46"/>
      <c r="E36" s="46"/>
      <c r="F36" s="193"/>
      <c r="G36" s="47"/>
      <c r="H36" s="192" t="str">
        <f t="shared" si="0"/>
        <v/>
      </c>
      <c r="I36" s="16" t="str" cm="1">
        <f t="array" ref="I36">IF(ISBLANK(_xlfn.XLOOKUP($C$1&amp;B36,tbl_明細[案件番号]&amp;tbl_明細[No],tbl_明細[備考（顧客向け）],"",0,1)),"",_xlfn.XLOOKUP($C$1&amp;B36,tbl_明細[案件番号]&amp;tbl_明細[No],tbl_明細[備考（顧客向け）],"",0,1))</f>
        <v/>
      </c>
    </row>
    <row r="37" spans="2:9" ht="20.25" customHeight="1">
      <c r="B37" s="46"/>
      <c r="C37" s="46"/>
      <c r="D37" s="46"/>
      <c r="E37" s="46"/>
      <c r="F37" s="193"/>
      <c r="G37" s="47"/>
      <c r="H37" s="192" t="str">
        <f t="shared" si="0"/>
        <v/>
      </c>
      <c r="I37" s="16" t="str" cm="1">
        <f t="array" ref="I37">IF(ISBLANK(_xlfn.XLOOKUP($C$1&amp;B37,tbl_明細[案件番号]&amp;tbl_明細[No],tbl_明細[備考（顧客向け）],"",0,1)),"",_xlfn.XLOOKUP($C$1&amp;B37,tbl_明細[案件番号]&amp;tbl_明細[No],tbl_明細[備考（顧客向け）],"",0,1))</f>
        <v/>
      </c>
    </row>
    <row r="38" spans="2:9" ht="20.25" customHeight="1">
      <c r="B38" s="46"/>
      <c r="C38" s="46"/>
      <c r="D38" s="46"/>
      <c r="E38" s="46"/>
      <c r="F38" s="193"/>
      <c r="G38" s="47"/>
      <c r="H38" s="192" t="str">
        <f t="shared" si="0"/>
        <v/>
      </c>
      <c r="I38" s="16" t="str" cm="1">
        <f t="array" ref="I38">IF(ISBLANK(_xlfn.XLOOKUP($C$1&amp;B38,tbl_明細[案件番号]&amp;tbl_明細[No],tbl_明細[備考（顧客向け）],"",0,1)),"",_xlfn.XLOOKUP($C$1&amp;B38,tbl_明細[案件番号]&amp;tbl_明細[No],tbl_明細[備考（顧客向け）],"",0,1))</f>
        <v/>
      </c>
    </row>
    <row r="39" spans="2:9" ht="20.25" customHeight="1">
      <c r="B39" s="46"/>
      <c r="C39" s="46"/>
      <c r="D39" s="46"/>
      <c r="E39" s="46"/>
      <c r="F39" s="193"/>
      <c r="G39" s="47"/>
      <c r="H39" s="192" t="str">
        <f t="shared" si="0"/>
        <v/>
      </c>
      <c r="I39" s="16" t="str" cm="1">
        <f t="array" ref="I39">IF(ISBLANK(_xlfn.XLOOKUP($C$1&amp;B39,tbl_明細[案件番号]&amp;tbl_明細[No],tbl_明細[備考（顧客向け）],"",0,1)),"",_xlfn.XLOOKUP($C$1&amp;B39,tbl_明細[案件番号]&amp;tbl_明細[No],tbl_明細[備考（顧客向け）],"",0,1))</f>
        <v/>
      </c>
    </row>
    <row r="40" spans="2:9" s="23" customFormat="1" ht="26.4">
      <c r="B40" s="19"/>
      <c r="C40" s="19"/>
      <c r="D40" s="19"/>
      <c r="E40" s="19"/>
      <c r="F40" s="19"/>
      <c r="G40" s="20" t="s">
        <v>844</v>
      </c>
      <c r="H40" s="39">
        <f>SUM(H20:H39)</f>
        <v>51077.407407407401</v>
      </c>
      <c r="I40" s="22"/>
    </row>
    <row r="41" spans="2:9" s="23" customFormat="1" ht="26.4">
      <c r="B41" s="48" t="str">
        <f>"振込期日："&amp;TEXT(EOMONTH(I5,1),"YYYY年MM月DD日")</f>
        <v>振込期日：2026年03月31日</v>
      </c>
      <c r="C41" s="5"/>
      <c r="D41" s="5"/>
      <c r="E41" s="5"/>
      <c r="F41" s="5"/>
      <c r="G41" s="24"/>
      <c r="H41" s="40"/>
      <c r="I41" s="5"/>
    </row>
    <row r="42" spans="2:9" s="23" customFormat="1" ht="26.4">
      <c r="B42" s="5"/>
      <c r="C42" s="5"/>
      <c r="D42" s="5"/>
      <c r="E42" s="5"/>
      <c r="F42" s="5"/>
      <c r="G42" s="5"/>
      <c r="H42" s="26" t="s">
        <v>845</v>
      </c>
      <c r="I42" s="26" t="s">
        <v>846</v>
      </c>
    </row>
    <row r="43" spans="2:9" s="23" customFormat="1" ht="26.4">
      <c r="B43" s="27"/>
      <c r="C43" s="27"/>
      <c r="D43" s="5"/>
      <c r="E43" s="5"/>
      <c r="F43" s="28">
        <v>0.08</v>
      </c>
      <c r="G43" s="24" t="s">
        <v>847</v>
      </c>
      <c r="H43" s="41">
        <f>SUMIF($G$20:$G$39,F43,$H$20:$H$39)</f>
        <v>50207.407407407401</v>
      </c>
      <c r="I43" s="41">
        <f>ROUND(H43*F43,0)</f>
        <v>4017</v>
      </c>
    </row>
    <row r="44" spans="2:9" s="23" customFormat="1" ht="26.4">
      <c r="B44" s="27"/>
      <c r="C44" s="27"/>
      <c r="D44" s="5"/>
      <c r="E44" s="5"/>
      <c r="F44" s="28">
        <v>0.1</v>
      </c>
      <c r="G44" s="24" t="s">
        <v>847</v>
      </c>
      <c r="H44" s="41">
        <f>SUMIF($G$20:$G$39,F44,$H$20:$H$39)</f>
        <v>870</v>
      </c>
      <c r="I44" s="41">
        <f>ROUND(H44*F44,0)</f>
        <v>87</v>
      </c>
    </row>
    <row r="45" spans="2:9" s="23" customFormat="1" ht="26.4">
      <c r="B45" s="27"/>
      <c r="C45" s="27"/>
      <c r="D45" s="5"/>
      <c r="E45" s="5"/>
      <c r="F45" s="29" t="s">
        <v>848</v>
      </c>
      <c r="G45" s="24" t="s">
        <v>847</v>
      </c>
      <c r="H45" s="41">
        <f>SUMIF($G$20:$G$39,F45,$H$20:$H$39)</f>
        <v>0</v>
      </c>
      <c r="I45" s="41"/>
    </row>
    <row r="46" spans="2:9" s="23" customFormat="1" ht="26.4">
      <c r="B46" s="27"/>
      <c r="C46" s="27"/>
      <c r="D46" s="5"/>
      <c r="E46" s="5"/>
      <c r="F46" s="5"/>
      <c r="G46" s="24" t="s">
        <v>849</v>
      </c>
      <c r="H46" s="42"/>
      <c r="I46" s="43">
        <f>SUM(H43:I45)</f>
        <v>55181.407407407401</v>
      </c>
    </row>
    <row r="48" spans="2:9" ht="22.2">
      <c r="B48" s="32" t="s">
        <v>850</v>
      </c>
    </row>
    <row r="49" spans="2:9" ht="18">
      <c r="B49" s="6"/>
      <c r="C49" s="7"/>
      <c r="D49" s="7"/>
      <c r="E49" s="7"/>
      <c r="F49" s="7"/>
      <c r="G49" s="7"/>
      <c r="H49" s="7"/>
      <c r="I49" s="8"/>
    </row>
    <row r="50" spans="2:9" ht="18">
      <c r="B50" s="33"/>
      <c r="I50" s="10"/>
    </row>
    <row r="51" spans="2:9" ht="18">
      <c r="B51" s="33"/>
      <c r="I51" s="10"/>
    </row>
    <row r="52" spans="2:9" ht="18">
      <c r="B52" s="33"/>
      <c r="I52" s="10"/>
    </row>
    <row r="53" spans="2:9" ht="18">
      <c r="B53" s="33"/>
      <c r="I53" s="10"/>
    </row>
    <row r="54" spans="2:9" ht="18">
      <c r="B54" s="33"/>
      <c r="I54" s="10"/>
    </row>
    <row r="55" spans="2:9" ht="18">
      <c r="B55" s="33"/>
      <c r="I55" s="10"/>
    </row>
    <row r="56" spans="2:9" ht="18">
      <c r="B56" s="33"/>
      <c r="I56" s="10"/>
    </row>
    <row r="57" spans="2:9" ht="18">
      <c r="B57" s="34"/>
      <c r="C57" s="14"/>
      <c r="D57" s="14"/>
      <c r="E57" s="14"/>
      <c r="F57" s="14"/>
      <c r="G57" s="14"/>
      <c r="H57" s="14"/>
      <c r="I57" s="15"/>
    </row>
  </sheetData>
  <mergeCells count="2">
    <mergeCell ref="B3:I3"/>
    <mergeCell ref="B15:E16"/>
  </mergeCells>
  <phoneticPr fontId="2"/>
  <conditionalFormatting sqref="H40">
    <cfRule type="cellIs" dxfId="20" priority="2" operator="notEqual">
      <formula>$H$43+$H$44+$H$45</formula>
    </cfRule>
  </conditionalFormatting>
  <conditionalFormatting sqref="I5">
    <cfRule type="cellIs" dxfId="19" priority="1" operator="equal">
      <formula>0</formula>
    </cfRule>
  </conditionalFormatting>
  <pageMargins left="0.7" right="0.7" top="0.75" bottom="0.75" header="0.3" footer="0.3"/>
  <pageSetup paperSize="9" scale="5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B17F-2D07-4921-B154-A3074175FB25}">
  <sheetPr>
    <pageSetUpPr fitToPage="1"/>
  </sheetPr>
  <dimension ref="B1:I57"/>
  <sheetViews>
    <sheetView topLeftCell="A33" workbookViewId="0">
      <selection activeCell="I44" sqref="I44"/>
    </sheetView>
  </sheetViews>
  <sheetFormatPr defaultColWidth="9" defaultRowHeight="15.75" customHeight="1"/>
  <cols>
    <col min="1" max="1" width="9" style="1"/>
    <col min="2" max="2" width="12.19921875" style="1" customWidth="1"/>
    <col min="3" max="3" width="39.19921875" style="1" customWidth="1"/>
    <col min="4" max="4" width="10" style="1" customWidth="1"/>
    <col min="5" max="5" width="8" style="1" customWidth="1"/>
    <col min="6" max="6" width="12" style="1" customWidth="1"/>
    <col min="7" max="7" width="14" style="1" customWidth="1"/>
    <col min="8" max="8" width="21.5" style="1" customWidth="1"/>
    <col min="9" max="9" width="28.09765625" style="1" bestFit="1" customWidth="1"/>
    <col min="10" max="16384" width="9" style="1"/>
  </cols>
  <sheetData>
    <row r="1" spans="2:9" ht="18">
      <c r="B1" s="122" t="s">
        <v>1219</v>
      </c>
      <c r="C1" s="63" t="s">
        <v>1133</v>
      </c>
    </row>
    <row r="3" spans="2:9" ht="45.75" customHeight="1">
      <c r="B3" s="285" t="s">
        <v>1018</v>
      </c>
      <c r="C3" s="286"/>
      <c r="D3" s="286"/>
      <c r="E3" s="286"/>
      <c r="F3" s="286"/>
      <c r="G3" s="286"/>
      <c r="H3" s="286"/>
      <c r="I3" s="286"/>
    </row>
    <row r="5" spans="2:9" ht="18">
      <c r="H5" s="3" t="s">
        <v>832</v>
      </c>
      <c r="I5" s="64">
        <f>_xlfn.XLOOKUP($C$1,tbl_案件追跡[案件番号],tbl_案件追跡[売上計上],"",0,1)</f>
        <v>46048</v>
      </c>
    </row>
    <row r="6" spans="2:9" ht="26.4">
      <c r="B6" s="49" t="str">
        <f>_xlfn.XLOOKUP($C$1,tbl_明細[案件番号],tbl_明細[顧客名],"",0,1)&amp;" 御中"</f>
        <v>日新堂株式会社 御中</v>
      </c>
      <c r="H6" s="3" t="s">
        <v>851</v>
      </c>
      <c r="I6" s="3" t="str">
        <f>"INV-SNJ-"&amp;C1</f>
        <v>INV-SNJ-2601-1005-S01</v>
      </c>
    </row>
    <row r="7" spans="2:9" ht="22.2">
      <c r="B7" s="5"/>
      <c r="G7" s="6"/>
      <c r="H7" s="7"/>
      <c r="I7" s="8"/>
    </row>
    <row r="8" spans="2:9" ht="18">
      <c r="G8" s="9"/>
      <c r="I8" s="10"/>
    </row>
    <row r="9" spans="2:9" ht="18">
      <c r="G9" s="11" t="s">
        <v>834</v>
      </c>
      <c r="I9" s="10"/>
    </row>
    <row r="10" spans="2:9" ht="18.75" customHeight="1">
      <c r="B10" s="1" t="s">
        <v>852</v>
      </c>
      <c r="G10" s="11" t="s">
        <v>836</v>
      </c>
      <c r="I10" s="10"/>
    </row>
    <row r="11" spans="2:9" ht="18.75" customHeight="1">
      <c r="B11" s="1" t="s">
        <v>853</v>
      </c>
      <c r="F11" s="10"/>
      <c r="G11" s="11" t="s">
        <v>838</v>
      </c>
      <c r="I11" s="10"/>
    </row>
    <row r="12" spans="2:9" ht="18.75" customHeight="1">
      <c r="B12" s="45" t="s">
        <v>854</v>
      </c>
      <c r="C12" s="4"/>
      <c r="D12" s="4"/>
      <c r="E12" s="4"/>
      <c r="F12" s="12"/>
      <c r="G12" s="11" t="s">
        <v>839</v>
      </c>
      <c r="I12" s="10"/>
    </row>
    <row r="13" spans="2:9" ht="19.5" customHeight="1">
      <c r="B13" s="4"/>
      <c r="C13" s="4"/>
      <c r="D13" s="4"/>
      <c r="E13" s="4"/>
      <c r="F13" s="12"/>
      <c r="G13" s="13" t="s">
        <v>840</v>
      </c>
      <c r="H13" s="14"/>
      <c r="I13" s="15"/>
    </row>
    <row r="15" spans="2:9" ht="18">
      <c r="B15" s="287" t="str">
        <f>"請求金額（税込）　　"&amp;TEXT(I46,"\#,##0")</f>
        <v>請求金額（税込）　　¥53,368</v>
      </c>
      <c r="C15" s="287"/>
      <c r="D15" s="287"/>
      <c r="E15" s="287"/>
      <c r="G15" s="6" t="s">
        <v>855</v>
      </c>
      <c r="H15" s="7" t="s">
        <v>856</v>
      </c>
      <c r="I15" s="8"/>
    </row>
    <row r="16" spans="2:9" ht="18.600000000000001" thickBot="1">
      <c r="B16" s="288"/>
      <c r="C16" s="288"/>
      <c r="D16" s="288"/>
      <c r="E16" s="288"/>
      <c r="G16" s="34"/>
      <c r="H16" s="14" t="s">
        <v>857</v>
      </c>
      <c r="I16" s="15"/>
    </row>
    <row r="17" spans="2:9" ht="15.75" customHeight="1">
      <c r="G17" s="1" t="s">
        <v>925</v>
      </c>
    </row>
    <row r="19" spans="2:9" ht="20.25" customHeight="1">
      <c r="B19" s="203" t="s">
        <v>807</v>
      </c>
      <c r="C19" s="203" t="s">
        <v>150</v>
      </c>
      <c r="D19" s="203" t="s">
        <v>818</v>
      </c>
      <c r="E19" s="203" t="s">
        <v>153</v>
      </c>
      <c r="F19" s="203" t="s">
        <v>819</v>
      </c>
      <c r="G19" s="203" t="s">
        <v>841</v>
      </c>
      <c r="H19" s="203" t="s">
        <v>842</v>
      </c>
      <c r="I19" s="203" t="s">
        <v>843</v>
      </c>
    </row>
    <row r="20" spans="2:9" ht="20.25" customHeight="1">
      <c r="B20" s="46" cm="1">
        <f t="array" ref="B20:G22">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1</v>
      </c>
      <c r="C20" s="46" t="str">
        <v>熊掌（後脚）</v>
      </c>
      <c r="D20" s="46">
        <v>1.363</v>
      </c>
      <c r="E20" s="46" t="str">
        <v>kg</v>
      </c>
      <c r="F20" s="195">
        <v>18000</v>
      </c>
      <c r="G20" s="47">
        <v>0.08</v>
      </c>
      <c r="H20" s="194">
        <f>IF(ISBLANK(C20),"",D20*F20)</f>
        <v>24534</v>
      </c>
      <c r="I20" s="16" t="str" cm="1">
        <f t="array" ref="I20">IF(ISBLANK(_xlfn.XLOOKUP($C$1&amp;B20,tbl_明細[案件番号]&amp;tbl_明細[No],tbl_明細[備考（顧客向け）],"",0,1)),"",_xlfn.XLOOKUP($C$1&amp;B20,tbl_明細[案件番号]&amp;tbl_明細[No],tbl_明細[備考（顧客向け）],"",0,1))</f>
        <v/>
      </c>
    </row>
    <row r="21" spans="2:9" ht="20.25" customHeight="1">
      <c r="B21" s="46">
        <v>2</v>
      </c>
      <c r="C21" s="46" t="str">
        <v>熊掌（後脚）</v>
      </c>
      <c r="D21" s="46">
        <v>1.32</v>
      </c>
      <c r="E21" s="46" t="str">
        <v>kg</v>
      </c>
      <c r="F21" s="195">
        <v>18000</v>
      </c>
      <c r="G21" s="47">
        <v>0.08</v>
      </c>
      <c r="H21" s="194">
        <f t="shared" ref="H21:H39" si="0">IF(ISBLANK(C21),"",D21*F21)</f>
        <v>23760</v>
      </c>
      <c r="I21" s="16" t="str" cm="1">
        <f t="array" ref="I21">IF(ISBLANK(_xlfn.XLOOKUP($C$1&amp;B21,tbl_明細[案件番号]&amp;tbl_明細[No],tbl_明細[備考（顧客向け）],"",0,1)),"",_xlfn.XLOOKUP($C$1&amp;B21,tbl_明細[案件番号]&amp;tbl_明細[No],tbl_明細[備考（顧客向け）],"",0,1))</f>
        <v/>
      </c>
    </row>
    <row r="22" spans="2:9" ht="20.25" customHeight="1">
      <c r="B22" s="46">
        <v>3</v>
      </c>
      <c r="C22" s="46" t="str">
        <v>送料（北海道）</v>
      </c>
      <c r="D22" s="46">
        <v>1</v>
      </c>
      <c r="E22" s="46" t="str">
        <v>式</v>
      </c>
      <c r="F22" s="195">
        <v>1100</v>
      </c>
      <c r="G22" s="47">
        <v>0.1</v>
      </c>
      <c r="H22" s="194">
        <f t="shared" si="0"/>
        <v>1100</v>
      </c>
      <c r="I22" s="16" t="str" cm="1">
        <f t="array" ref="I22">IF(ISBLANK(_xlfn.XLOOKUP($C$1&amp;B22,tbl_明細[案件番号]&amp;tbl_明細[No],tbl_明細[備考（顧客向け）],"",0,1)),"",_xlfn.XLOOKUP($C$1&amp;B22,tbl_明細[案件番号]&amp;tbl_明細[No],tbl_明細[備考（顧客向け）],"",0,1))</f>
        <v/>
      </c>
    </row>
    <row r="23" spans="2:9" ht="20.25" customHeight="1">
      <c r="B23" s="46"/>
      <c r="C23" s="46"/>
      <c r="D23" s="46"/>
      <c r="E23" s="46"/>
      <c r="F23" s="195"/>
      <c r="G23" s="47"/>
      <c r="H23" s="194" t="str">
        <f t="shared" si="0"/>
        <v/>
      </c>
      <c r="I23" s="16" t="str" cm="1">
        <f t="array" ref="I23">IF(ISBLANK(_xlfn.XLOOKUP($C$1&amp;B23,tbl_明細[案件番号]&amp;tbl_明細[No],tbl_明細[備考（顧客向け）],"",0,1)),"",_xlfn.XLOOKUP($C$1&amp;B23,tbl_明細[案件番号]&amp;tbl_明細[No],tbl_明細[備考（顧客向け）],"",0,1))</f>
        <v/>
      </c>
    </row>
    <row r="24" spans="2:9" ht="20.25" customHeight="1">
      <c r="B24" s="46"/>
      <c r="C24" s="46"/>
      <c r="D24" s="46"/>
      <c r="E24" s="46"/>
      <c r="F24" s="195"/>
      <c r="G24" s="47"/>
      <c r="H24" s="194" t="str">
        <f t="shared" si="0"/>
        <v/>
      </c>
      <c r="I24" s="16" t="str" cm="1">
        <f t="array" ref="I24">IF(ISBLANK(_xlfn.XLOOKUP($C$1&amp;B24,tbl_明細[案件番号]&amp;tbl_明細[No],tbl_明細[備考（顧客向け）],"",0,1)),"",_xlfn.XLOOKUP($C$1&amp;B24,tbl_明細[案件番号]&amp;tbl_明細[No],tbl_明細[備考（顧客向け）],"",0,1))</f>
        <v/>
      </c>
    </row>
    <row r="25" spans="2:9" ht="20.25" customHeight="1">
      <c r="B25" s="46"/>
      <c r="C25" s="46"/>
      <c r="D25" s="46"/>
      <c r="E25" s="46"/>
      <c r="F25" s="195"/>
      <c r="G25" s="47"/>
      <c r="H25" s="194" t="str">
        <f t="shared" si="0"/>
        <v/>
      </c>
      <c r="I25" s="16" t="str" cm="1">
        <f t="array" ref="I25">IF(ISBLANK(_xlfn.XLOOKUP($C$1&amp;B25,tbl_明細[案件番号]&amp;tbl_明細[No],tbl_明細[備考（顧客向け）],"",0,1)),"",_xlfn.XLOOKUP($C$1&amp;B25,tbl_明細[案件番号]&amp;tbl_明細[No],tbl_明細[備考（顧客向け）],"",0,1))</f>
        <v/>
      </c>
    </row>
    <row r="26" spans="2:9" ht="20.25" customHeight="1">
      <c r="B26" s="46"/>
      <c r="C26" s="46"/>
      <c r="D26" s="46"/>
      <c r="E26" s="46"/>
      <c r="F26" s="195"/>
      <c r="G26" s="47"/>
      <c r="H26" s="194" t="str">
        <f t="shared" si="0"/>
        <v/>
      </c>
      <c r="I26" s="16" t="str" cm="1">
        <f t="array" ref="I26">IF(ISBLANK(_xlfn.XLOOKUP($C$1&amp;B26,tbl_明細[案件番号]&amp;tbl_明細[No],tbl_明細[備考（顧客向け）],"",0,1)),"",_xlfn.XLOOKUP($C$1&amp;B26,tbl_明細[案件番号]&amp;tbl_明細[No],tbl_明細[備考（顧客向け）],"",0,1))</f>
        <v/>
      </c>
    </row>
    <row r="27" spans="2:9" ht="20.25" customHeight="1">
      <c r="B27" s="46"/>
      <c r="C27" s="46"/>
      <c r="D27" s="46"/>
      <c r="E27" s="46"/>
      <c r="F27" s="195"/>
      <c r="G27" s="47"/>
      <c r="H27" s="194" t="str">
        <f t="shared" si="0"/>
        <v/>
      </c>
      <c r="I27" s="16" t="str" cm="1">
        <f t="array" ref="I27">IF(ISBLANK(_xlfn.XLOOKUP($C$1&amp;B27,tbl_明細[案件番号]&amp;tbl_明細[No],tbl_明細[備考（顧客向け）],"",0,1)),"",_xlfn.XLOOKUP($C$1&amp;B27,tbl_明細[案件番号]&amp;tbl_明細[No],tbl_明細[備考（顧客向け）],"",0,1))</f>
        <v/>
      </c>
    </row>
    <row r="28" spans="2:9" ht="20.25" customHeight="1">
      <c r="B28" s="46"/>
      <c r="C28" s="46"/>
      <c r="D28" s="46"/>
      <c r="E28" s="46"/>
      <c r="F28" s="195"/>
      <c r="G28" s="47"/>
      <c r="H28" s="194" t="str">
        <f t="shared" si="0"/>
        <v/>
      </c>
      <c r="I28" s="16" t="str" cm="1">
        <f t="array" ref="I28">IF(ISBLANK(_xlfn.XLOOKUP($C$1&amp;B28,tbl_明細[案件番号]&amp;tbl_明細[No],tbl_明細[備考（顧客向け）],"",0,1)),"",_xlfn.XLOOKUP($C$1&amp;B28,tbl_明細[案件番号]&amp;tbl_明細[No],tbl_明細[備考（顧客向け）],"",0,1))</f>
        <v/>
      </c>
    </row>
    <row r="29" spans="2:9" ht="20.25" customHeight="1">
      <c r="B29" s="46"/>
      <c r="C29" s="46"/>
      <c r="D29" s="46"/>
      <c r="E29" s="46"/>
      <c r="F29" s="195"/>
      <c r="G29" s="47"/>
      <c r="H29" s="194" t="str">
        <f t="shared" si="0"/>
        <v/>
      </c>
      <c r="I29" s="16" t="str" cm="1">
        <f t="array" ref="I29">IF(ISBLANK(_xlfn.XLOOKUP($C$1&amp;B29,tbl_明細[案件番号]&amp;tbl_明細[No],tbl_明細[備考（顧客向け）],"",0,1)),"",_xlfn.XLOOKUP($C$1&amp;B29,tbl_明細[案件番号]&amp;tbl_明細[No],tbl_明細[備考（顧客向け）],"",0,1))</f>
        <v/>
      </c>
    </row>
    <row r="30" spans="2:9" ht="20.25" customHeight="1">
      <c r="B30" s="46"/>
      <c r="C30" s="46"/>
      <c r="D30" s="46"/>
      <c r="E30" s="46"/>
      <c r="F30" s="195"/>
      <c r="G30" s="47"/>
      <c r="H30" s="194" t="str">
        <f t="shared" si="0"/>
        <v/>
      </c>
      <c r="I30" s="16" t="str" cm="1">
        <f t="array" ref="I30">IF(ISBLANK(_xlfn.XLOOKUP($C$1&amp;B30,tbl_明細[案件番号]&amp;tbl_明細[No],tbl_明細[備考（顧客向け）],"",0,1)),"",_xlfn.XLOOKUP($C$1&amp;B30,tbl_明細[案件番号]&amp;tbl_明細[No],tbl_明細[備考（顧客向け）],"",0,1))</f>
        <v/>
      </c>
    </row>
    <row r="31" spans="2:9" ht="20.25" customHeight="1">
      <c r="B31" s="46"/>
      <c r="C31" s="46"/>
      <c r="D31" s="46"/>
      <c r="E31" s="46"/>
      <c r="F31" s="195"/>
      <c r="G31" s="47"/>
      <c r="H31" s="194" t="str">
        <f t="shared" si="0"/>
        <v/>
      </c>
      <c r="I31" s="16" t="str" cm="1">
        <f t="array" ref="I31">IF(ISBLANK(_xlfn.XLOOKUP($C$1&amp;B31,tbl_明細[案件番号]&amp;tbl_明細[No],tbl_明細[備考（顧客向け）],"",0,1)),"",_xlfn.XLOOKUP($C$1&amp;B31,tbl_明細[案件番号]&amp;tbl_明細[No],tbl_明細[備考（顧客向け）],"",0,1))</f>
        <v/>
      </c>
    </row>
    <row r="32" spans="2:9" ht="20.25" customHeight="1">
      <c r="B32" s="46"/>
      <c r="C32" s="46"/>
      <c r="D32" s="46"/>
      <c r="E32" s="46"/>
      <c r="F32" s="195"/>
      <c r="G32" s="47"/>
      <c r="H32" s="194" t="str">
        <f t="shared" si="0"/>
        <v/>
      </c>
      <c r="I32" s="16" t="str" cm="1">
        <f t="array" ref="I32">IF(ISBLANK(_xlfn.XLOOKUP($C$1&amp;B32,tbl_明細[案件番号]&amp;tbl_明細[No],tbl_明細[備考（顧客向け）],"",0,1)),"",_xlfn.XLOOKUP($C$1&amp;B32,tbl_明細[案件番号]&amp;tbl_明細[No],tbl_明細[備考（顧客向け）],"",0,1))</f>
        <v/>
      </c>
    </row>
    <row r="33" spans="2:9" ht="20.25" customHeight="1">
      <c r="B33" s="46"/>
      <c r="C33" s="46"/>
      <c r="D33" s="46"/>
      <c r="E33" s="46"/>
      <c r="F33" s="195"/>
      <c r="G33" s="47"/>
      <c r="H33" s="194" t="str">
        <f t="shared" si="0"/>
        <v/>
      </c>
      <c r="I33" s="16" t="str" cm="1">
        <f t="array" ref="I33">IF(ISBLANK(_xlfn.XLOOKUP($C$1&amp;B33,tbl_明細[案件番号]&amp;tbl_明細[No],tbl_明細[備考（顧客向け）],"",0,1)),"",_xlfn.XLOOKUP($C$1&amp;B33,tbl_明細[案件番号]&amp;tbl_明細[No],tbl_明細[備考（顧客向け）],"",0,1))</f>
        <v/>
      </c>
    </row>
    <row r="34" spans="2:9" ht="20.25" customHeight="1">
      <c r="B34" s="46"/>
      <c r="C34" s="46"/>
      <c r="D34" s="46"/>
      <c r="E34" s="46"/>
      <c r="F34" s="195"/>
      <c r="G34" s="47"/>
      <c r="H34" s="194" t="str">
        <f t="shared" si="0"/>
        <v/>
      </c>
      <c r="I34" s="16" t="str" cm="1">
        <f t="array" ref="I34">IF(ISBLANK(_xlfn.XLOOKUP($C$1&amp;B34,tbl_明細[案件番号]&amp;tbl_明細[No],tbl_明細[備考（顧客向け）],"",0,1)),"",_xlfn.XLOOKUP($C$1&amp;B34,tbl_明細[案件番号]&amp;tbl_明細[No],tbl_明細[備考（顧客向け）],"",0,1))</f>
        <v/>
      </c>
    </row>
    <row r="35" spans="2:9" ht="20.25" customHeight="1">
      <c r="B35" s="46"/>
      <c r="C35" s="46"/>
      <c r="D35" s="46"/>
      <c r="E35" s="46"/>
      <c r="F35" s="195"/>
      <c r="G35" s="47"/>
      <c r="H35" s="194" t="str">
        <f t="shared" si="0"/>
        <v/>
      </c>
      <c r="I35" s="16" t="str" cm="1">
        <f t="array" ref="I35">IF(ISBLANK(_xlfn.XLOOKUP($C$1&amp;B35,tbl_明細[案件番号]&amp;tbl_明細[No],tbl_明細[備考（顧客向け）],"",0,1)),"",_xlfn.XLOOKUP($C$1&amp;B35,tbl_明細[案件番号]&amp;tbl_明細[No],tbl_明細[備考（顧客向け）],"",0,1))</f>
        <v/>
      </c>
    </row>
    <row r="36" spans="2:9" ht="20.25" customHeight="1">
      <c r="B36" s="46"/>
      <c r="C36" s="46"/>
      <c r="D36" s="46"/>
      <c r="E36" s="46"/>
      <c r="F36" s="195"/>
      <c r="G36" s="47"/>
      <c r="H36" s="194" t="str">
        <f t="shared" si="0"/>
        <v/>
      </c>
      <c r="I36" s="16" t="str" cm="1">
        <f t="array" ref="I36">IF(ISBLANK(_xlfn.XLOOKUP($C$1&amp;B36,tbl_明細[案件番号]&amp;tbl_明細[No],tbl_明細[備考（顧客向け）],"",0,1)),"",_xlfn.XLOOKUP($C$1&amp;B36,tbl_明細[案件番号]&amp;tbl_明細[No],tbl_明細[備考（顧客向け）],"",0,1))</f>
        <v/>
      </c>
    </row>
    <row r="37" spans="2:9" ht="20.25" customHeight="1">
      <c r="B37" s="46"/>
      <c r="C37" s="46"/>
      <c r="D37" s="46"/>
      <c r="E37" s="46"/>
      <c r="F37" s="195"/>
      <c r="G37" s="47"/>
      <c r="H37" s="194" t="str">
        <f t="shared" si="0"/>
        <v/>
      </c>
      <c r="I37" s="16" t="str" cm="1">
        <f t="array" ref="I37">IF(ISBLANK(_xlfn.XLOOKUP($C$1&amp;B37,tbl_明細[案件番号]&amp;tbl_明細[No],tbl_明細[備考（顧客向け）],"",0,1)),"",_xlfn.XLOOKUP($C$1&amp;B37,tbl_明細[案件番号]&amp;tbl_明細[No],tbl_明細[備考（顧客向け）],"",0,1))</f>
        <v/>
      </c>
    </row>
    <row r="38" spans="2:9" ht="20.25" customHeight="1">
      <c r="B38" s="46"/>
      <c r="C38" s="46"/>
      <c r="D38" s="46"/>
      <c r="E38" s="46"/>
      <c r="F38" s="195"/>
      <c r="G38" s="47"/>
      <c r="H38" s="194" t="str">
        <f t="shared" si="0"/>
        <v/>
      </c>
      <c r="I38" s="16" t="str" cm="1">
        <f t="array" ref="I38">IF(ISBLANK(_xlfn.XLOOKUP($C$1&amp;B38,tbl_明細[案件番号]&amp;tbl_明細[No],tbl_明細[備考（顧客向け）],"",0,1)),"",_xlfn.XLOOKUP($C$1&amp;B38,tbl_明細[案件番号]&amp;tbl_明細[No],tbl_明細[備考（顧客向け）],"",0,1))</f>
        <v/>
      </c>
    </row>
    <row r="39" spans="2:9" ht="20.25" customHeight="1">
      <c r="B39" s="46"/>
      <c r="C39" s="46"/>
      <c r="D39" s="46"/>
      <c r="E39" s="46"/>
      <c r="F39" s="195"/>
      <c r="G39" s="47"/>
      <c r="H39" s="194" t="str">
        <f t="shared" si="0"/>
        <v/>
      </c>
      <c r="I39" s="16" t="str" cm="1">
        <f t="array" ref="I39">IF(ISBLANK(_xlfn.XLOOKUP($C$1&amp;B39,tbl_明細[案件番号]&amp;tbl_明細[No],tbl_明細[備考（顧客向け）],"",0,1)),"",_xlfn.XLOOKUP($C$1&amp;B39,tbl_明細[案件番号]&amp;tbl_明細[No],tbl_明細[備考（顧客向け）],"",0,1))</f>
        <v/>
      </c>
    </row>
    <row r="40" spans="2:9" s="23" customFormat="1" ht="26.4">
      <c r="B40" s="19"/>
      <c r="C40" s="19"/>
      <c r="D40" s="19"/>
      <c r="E40" s="19"/>
      <c r="F40" s="19"/>
      <c r="G40" s="20" t="s">
        <v>844</v>
      </c>
      <c r="H40" s="39">
        <f>SUM(H20:H39)</f>
        <v>49394</v>
      </c>
      <c r="I40" s="22"/>
    </row>
    <row r="41" spans="2:9" s="23" customFormat="1" ht="26.4">
      <c r="B41" s="48"/>
      <c r="C41" s="5"/>
      <c r="D41" s="5"/>
      <c r="E41" s="5"/>
      <c r="F41" s="5"/>
      <c r="G41" s="24"/>
      <c r="H41" s="40"/>
      <c r="I41" s="5"/>
    </row>
    <row r="42" spans="2:9" s="23" customFormat="1" ht="26.4">
      <c r="B42" s="5"/>
      <c r="C42" s="5"/>
      <c r="D42" s="5"/>
      <c r="E42" s="5"/>
      <c r="F42" s="5"/>
      <c r="G42" s="5"/>
      <c r="H42" s="26" t="s">
        <v>845</v>
      </c>
      <c r="I42" s="26" t="s">
        <v>846</v>
      </c>
    </row>
    <row r="43" spans="2:9" s="23" customFormat="1" ht="26.4">
      <c r="B43" s="27"/>
      <c r="C43" s="27"/>
      <c r="D43" s="5"/>
      <c r="E43" s="5"/>
      <c r="F43" s="28">
        <v>0.08</v>
      </c>
      <c r="G43" s="24" t="s">
        <v>847</v>
      </c>
      <c r="H43" s="41">
        <f>SUMIF($G$20:$G$39,F43,$H$20:$H$39)</f>
        <v>48294</v>
      </c>
      <c r="I43" s="41">
        <f>ROUND(H43*F43,0)</f>
        <v>3864</v>
      </c>
    </row>
    <row r="44" spans="2:9" s="23" customFormat="1" ht="26.4">
      <c r="B44" s="27"/>
      <c r="C44" s="27"/>
      <c r="D44" s="5"/>
      <c r="E44" s="5"/>
      <c r="F44" s="28">
        <v>0.1</v>
      </c>
      <c r="G44" s="24" t="s">
        <v>847</v>
      </c>
      <c r="H44" s="41">
        <f>SUMIF($G$20:$G$39,F44,$H$20:$H$39)</f>
        <v>1100</v>
      </c>
      <c r="I44" s="41">
        <f>ROUND(H44*F44,0)</f>
        <v>110</v>
      </c>
    </row>
    <row r="45" spans="2:9" s="23" customFormat="1" ht="26.4">
      <c r="B45" s="27"/>
      <c r="C45" s="27"/>
      <c r="D45" s="5"/>
      <c r="E45" s="5"/>
      <c r="F45" s="29" t="s">
        <v>848</v>
      </c>
      <c r="G45" s="24" t="s">
        <v>847</v>
      </c>
      <c r="H45" s="41">
        <f>SUMIF($G$20:$G$39,F45,$H$20:$H$39)</f>
        <v>0</v>
      </c>
      <c r="I45" s="41"/>
    </row>
    <row r="46" spans="2:9" s="23" customFormat="1" ht="26.4">
      <c r="B46" s="27"/>
      <c r="C46" s="27"/>
      <c r="D46" s="5"/>
      <c r="E46" s="5"/>
      <c r="F46" s="5"/>
      <c r="G46" s="24" t="s">
        <v>849</v>
      </c>
      <c r="H46" s="42"/>
      <c r="I46" s="43">
        <f>SUM(H43:I45)</f>
        <v>53368</v>
      </c>
    </row>
    <row r="48" spans="2:9" ht="22.2">
      <c r="B48" s="32" t="s">
        <v>850</v>
      </c>
    </row>
    <row r="49" spans="2:9" ht="18">
      <c r="B49" s="6" t="s">
        <v>1082</v>
      </c>
      <c r="C49" s="7"/>
      <c r="D49" s="7"/>
      <c r="E49" s="7"/>
      <c r="F49" s="7"/>
      <c r="G49" s="7"/>
      <c r="H49" s="7"/>
      <c r="I49" s="8"/>
    </row>
    <row r="50" spans="2:9" ht="18">
      <c r="B50" s="33" t="s">
        <v>1083</v>
      </c>
      <c r="I50" s="10"/>
    </row>
    <row r="51" spans="2:9" ht="18">
      <c r="B51" s="33"/>
      <c r="I51" s="10"/>
    </row>
    <row r="52" spans="2:9" ht="18">
      <c r="B52" s="33"/>
      <c r="I52" s="10"/>
    </row>
    <row r="53" spans="2:9" ht="18">
      <c r="B53" s="33"/>
      <c r="I53" s="10"/>
    </row>
    <row r="54" spans="2:9" ht="18">
      <c r="B54" s="33"/>
      <c r="I54" s="10"/>
    </row>
    <row r="55" spans="2:9" ht="18">
      <c r="B55" s="33"/>
      <c r="I55" s="10"/>
    </row>
    <row r="56" spans="2:9" ht="18">
      <c r="B56" s="33"/>
      <c r="I56" s="10"/>
    </row>
    <row r="57" spans="2:9" ht="18">
      <c r="B57" s="34"/>
      <c r="C57" s="14"/>
      <c r="D57" s="14"/>
      <c r="E57" s="14"/>
      <c r="F57" s="14"/>
      <c r="G57" s="14"/>
      <c r="H57" s="14"/>
      <c r="I57" s="15"/>
    </row>
  </sheetData>
  <mergeCells count="2">
    <mergeCell ref="B3:I3"/>
    <mergeCell ref="B15:E16"/>
  </mergeCells>
  <phoneticPr fontId="3"/>
  <conditionalFormatting sqref="H40">
    <cfRule type="cellIs" dxfId="18" priority="3" operator="notEqual">
      <formula>$H$43+$H$44+$H$45</formula>
    </cfRule>
  </conditionalFormatting>
  <conditionalFormatting sqref="I5">
    <cfRule type="cellIs" dxfId="17" priority="1" operator="equal">
      <formula>0</formula>
    </cfRule>
  </conditionalFormatting>
  <pageMargins left="0.7" right="0.7" top="0.75" bottom="0.75" header="0.3" footer="0.3"/>
  <pageSetup paperSize="9" scale="5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A872-5ACF-42B0-A988-E7A0B8343B45}">
  <dimension ref="A1:G25"/>
  <sheetViews>
    <sheetView workbookViewId="0"/>
  </sheetViews>
  <sheetFormatPr defaultRowHeight="18"/>
  <cols>
    <col min="5" max="5" width="8.69921875" style="53"/>
  </cols>
  <sheetData>
    <row r="1" spans="1:7" ht="30">
      <c r="A1" s="174" t="s">
        <v>1221</v>
      </c>
      <c r="B1" s="175" t="s">
        <v>1222</v>
      </c>
      <c r="D1" s="71" t="s">
        <v>1743</v>
      </c>
      <c r="E1" s="71" t="s">
        <v>1756</v>
      </c>
      <c r="F1" s="71" t="s">
        <v>1744</v>
      </c>
      <c r="G1" s="208" t="s">
        <v>1764</v>
      </c>
    </row>
    <row r="2" spans="1:7">
      <c r="A2" s="177" t="s">
        <v>1228</v>
      </c>
      <c r="B2" s="176" t="s">
        <v>1223</v>
      </c>
      <c r="D2" t="s">
        <v>1747</v>
      </c>
      <c r="E2" s="53" t="s">
        <v>1757</v>
      </c>
      <c r="F2" t="s">
        <v>1754</v>
      </c>
      <c r="G2" s="211" t="s">
        <v>1779</v>
      </c>
    </row>
    <row r="3" spans="1:7">
      <c r="A3" s="178" t="s">
        <v>1230</v>
      </c>
      <c r="B3" s="176" t="s">
        <v>1224</v>
      </c>
      <c r="D3" t="s">
        <v>1748</v>
      </c>
      <c r="E3" s="53" t="s">
        <v>1760</v>
      </c>
      <c r="F3" t="s">
        <v>1755</v>
      </c>
      <c r="G3" s="211" t="s">
        <v>1780</v>
      </c>
    </row>
    <row r="4" spans="1:7">
      <c r="A4" s="178" t="s">
        <v>1234</v>
      </c>
      <c r="B4" s="176" t="s">
        <v>1225</v>
      </c>
      <c r="D4" t="s">
        <v>1751</v>
      </c>
      <c r="E4" s="207" t="s">
        <v>1759</v>
      </c>
    </row>
    <row r="5" spans="1:7">
      <c r="A5" s="177" t="s">
        <v>1237</v>
      </c>
      <c r="B5" s="176" t="s">
        <v>1226</v>
      </c>
      <c r="D5" t="s">
        <v>1750</v>
      </c>
      <c r="E5" s="207" t="s">
        <v>1761</v>
      </c>
    </row>
    <row r="6" spans="1:7" ht="30">
      <c r="A6" s="174" t="s">
        <v>1239</v>
      </c>
      <c r="B6" s="176" t="s">
        <v>1227</v>
      </c>
      <c r="D6" t="s">
        <v>1752</v>
      </c>
      <c r="E6" s="207" t="s">
        <v>1762</v>
      </c>
    </row>
    <row r="7" spans="1:7">
      <c r="A7" s="178" t="s">
        <v>1242</v>
      </c>
      <c r="B7" s="176" t="s">
        <v>1229</v>
      </c>
      <c r="D7" t="s">
        <v>1753</v>
      </c>
      <c r="E7" s="207" t="s">
        <v>1758</v>
      </c>
    </row>
    <row r="8" spans="1:7">
      <c r="A8" s="178" t="s">
        <v>1246</v>
      </c>
      <c r="B8" s="176" t="s">
        <v>1231</v>
      </c>
      <c r="D8" t="s">
        <v>1749</v>
      </c>
      <c r="E8" s="207" t="s">
        <v>1763</v>
      </c>
    </row>
    <row r="9" spans="1:7">
      <c r="A9" s="178" t="s">
        <v>1249</v>
      </c>
      <c r="B9" s="176" t="s">
        <v>1232</v>
      </c>
    </row>
    <row r="10" spans="1:7">
      <c r="B10" s="176" t="s">
        <v>1233</v>
      </c>
    </row>
    <row r="11" spans="1:7">
      <c r="B11" s="175" t="s">
        <v>1235</v>
      </c>
    </row>
    <row r="12" spans="1:7">
      <c r="B12" s="176" t="s">
        <v>1236</v>
      </c>
    </row>
    <row r="13" spans="1:7">
      <c r="B13" s="176" t="s">
        <v>1238</v>
      </c>
    </row>
    <row r="14" spans="1:7">
      <c r="B14" s="176" t="s">
        <v>1240</v>
      </c>
    </row>
    <row r="15" spans="1:7">
      <c r="B15" s="176" t="s">
        <v>1241</v>
      </c>
    </row>
    <row r="16" spans="1:7">
      <c r="B16" s="176" t="s">
        <v>1243</v>
      </c>
    </row>
    <row r="17" spans="2:2">
      <c r="B17" s="176" t="s">
        <v>1244</v>
      </c>
    </row>
    <row r="18" spans="2:2">
      <c r="B18" s="176" t="s">
        <v>1245</v>
      </c>
    </row>
    <row r="19" spans="2:2">
      <c r="B19" s="175" t="s">
        <v>1247</v>
      </c>
    </row>
    <row r="20" spans="2:2">
      <c r="B20" s="175" t="s">
        <v>1248</v>
      </c>
    </row>
    <row r="21" spans="2:2">
      <c r="B21" s="176" t="s">
        <v>1250</v>
      </c>
    </row>
    <row r="22" spans="2:2">
      <c r="B22" s="175" t="s">
        <v>1251</v>
      </c>
    </row>
    <row r="23" spans="2:2">
      <c r="B23" s="175" t="s">
        <v>1252</v>
      </c>
    </row>
    <row r="24" spans="2:2">
      <c r="B24" s="176" t="s">
        <v>1253</v>
      </c>
    </row>
    <row r="25" spans="2:2">
      <c r="B25" s="176" t="s">
        <v>1253</v>
      </c>
    </row>
  </sheetData>
  <phoneticPr fontId="3"/>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E5EB1-D97F-42BE-9A72-120B533DCFEF}">
  <dimension ref="A1:G113"/>
  <sheetViews>
    <sheetView workbookViewId="0"/>
  </sheetViews>
  <sheetFormatPr defaultColWidth="8.69921875" defaultRowHeight="18"/>
  <cols>
    <col min="1" max="1" width="8.69921875" style="53" bestFit="1" customWidth="1"/>
    <col min="2" max="2" width="23.8984375" style="53" bestFit="1" customWidth="1"/>
    <col min="3" max="3" width="39.5" style="53" bestFit="1" customWidth="1"/>
    <col min="4" max="4" width="21" style="53" bestFit="1" customWidth="1"/>
    <col min="5" max="5" width="9" style="53" customWidth="1"/>
    <col min="6" max="6" width="7.19921875" style="53" customWidth="1"/>
    <col min="7" max="7" width="25.19921875" style="53" customWidth="1"/>
    <col min="8" max="16384" width="8.69921875" style="53"/>
  </cols>
  <sheetData>
    <row r="1" spans="1:7">
      <c r="A1" s="230" t="s">
        <v>1877</v>
      </c>
      <c r="B1" s="231" t="s">
        <v>1878</v>
      </c>
      <c r="C1" s="231" t="s">
        <v>150</v>
      </c>
      <c r="D1" s="231" t="s">
        <v>148</v>
      </c>
      <c r="E1" s="231" t="s">
        <v>1879</v>
      </c>
      <c r="F1" s="231" t="s">
        <v>1880</v>
      </c>
      <c r="G1" s="232" t="s">
        <v>9</v>
      </c>
    </row>
    <row r="2" spans="1:7">
      <c r="A2" s="233">
        <v>1</v>
      </c>
      <c r="B2" s="234" t="s">
        <v>1881</v>
      </c>
      <c r="C2" s="234" t="str">
        <f>_xlfn.XLOOKUP(テーブル5[[#This Row],[商品ID]],商品マスタ[商品連番],商品マスタ[商品名],"",0,1)</f>
        <v>フルーツミントキャンデー・グレープフルーツ味</v>
      </c>
      <c r="D2" s="234" t="str">
        <f>_xlfn.XLOOKUP(テーブル5[[#This Row],[商品ID]],商品マスタ[商品連番],商品マスタ[仕入先],"",0,1)</f>
        <v>北見ハッカ通商</v>
      </c>
      <c r="E2" s="235"/>
      <c r="F2" s="235"/>
      <c r="G2" s="236"/>
    </row>
    <row r="3" spans="1:7">
      <c r="A3" s="233">
        <v>2</v>
      </c>
      <c r="B3" s="234" t="s">
        <v>1882</v>
      </c>
      <c r="C3" s="234" t="str">
        <f>_xlfn.XLOOKUP(テーブル5[[#This Row],[商品ID]],商品マスタ[商品連番],商品マスタ[商品名],"",0,1)</f>
        <v/>
      </c>
      <c r="D3" s="234" t="str">
        <f>_xlfn.XLOOKUP(テーブル5[[#This Row],[商品ID]],商品マスタ[商品連番],商品マスタ[仕入先],"",0,1)</f>
        <v/>
      </c>
      <c r="E3" s="235"/>
      <c r="F3" s="235"/>
      <c r="G3" s="236"/>
    </row>
    <row r="4" spans="1:7">
      <c r="A4" s="233">
        <v>3</v>
      </c>
      <c r="B4" s="234" t="s">
        <v>1883</v>
      </c>
      <c r="C4" s="234" t="str">
        <f>_xlfn.XLOOKUP(テーブル5[[#This Row],[商品ID]],商品マスタ[商品連番],商品マスタ[商品名],"",0,1)</f>
        <v/>
      </c>
      <c r="D4" s="234" t="str">
        <f>_xlfn.XLOOKUP(テーブル5[[#This Row],[商品ID]],商品マスタ[商品連番],商品マスタ[仕入先],"",0,1)</f>
        <v/>
      </c>
      <c r="E4" s="235"/>
      <c r="F4" s="235"/>
      <c r="G4" s="236"/>
    </row>
    <row r="5" spans="1:7">
      <c r="A5" s="233">
        <v>4</v>
      </c>
      <c r="B5" s="234" t="s">
        <v>1884</v>
      </c>
      <c r="C5" s="234" t="str">
        <f>_xlfn.XLOOKUP(テーブル5[[#This Row],[商品ID]],商品マスタ[商品連番],商品マスタ[商品名],"",0,1)</f>
        <v>2025.お歳暮セットA-1（常温）</v>
      </c>
      <c r="D5" s="234" t="str">
        <f>_xlfn.XLOOKUP(テーブル5[[#This Row],[商品ID]],商品マスタ[商品連番],商品マスタ[仕入先],"",0,1)</f>
        <v>小樽水産加工業協同組合</v>
      </c>
      <c r="E5" s="235"/>
      <c r="F5" s="235"/>
      <c r="G5" s="236"/>
    </row>
    <row r="6" spans="1:7">
      <c r="A6" s="237">
        <v>5</v>
      </c>
      <c r="B6" s="238" t="s">
        <v>1885</v>
      </c>
      <c r="C6" s="238" t="str">
        <f>_xlfn.XLOOKUP(テーブル5[[#This Row],[商品ID]],商品マスタ[商品連番],商品マスタ[商品名],"",0,1)</f>
        <v/>
      </c>
      <c r="D6" s="238" t="str">
        <f>_xlfn.XLOOKUP(テーブル5[[#This Row],[商品ID]],商品マスタ[商品連番],商品マスタ[仕入先],"",0,1)</f>
        <v/>
      </c>
      <c r="E6" s="239"/>
      <c r="F6" s="239"/>
      <c r="G6" s="240"/>
    </row>
    <row r="7" spans="1:7" ht="18.600000000000001">
      <c r="A7" s="241"/>
      <c r="B7" s="242"/>
      <c r="C7" s="243" t="str">
        <f>_xlfn.XLOOKUP(テーブル5[[#This Row],[商品ID]],商品マスタ[商品連番],商品マスタ[商品名],"",0,1)</f>
        <v/>
      </c>
      <c r="D7" s="243" t="str">
        <f>_xlfn.XLOOKUP(テーブル5[[#This Row],[商品ID]],商品マスタ[商品連番],商品マスタ[仕入先],"",0,1)</f>
        <v/>
      </c>
      <c r="E7" s="242"/>
      <c r="F7" s="242"/>
      <c r="G7" s="244"/>
    </row>
    <row r="8" spans="1:7" ht="18.600000000000001">
      <c r="A8" s="241"/>
      <c r="B8" s="242"/>
      <c r="C8" s="243" t="str">
        <f>_xlfn.XLOOKUP(テーブル5[[#This Row],[商品ID]],商品マスタ[商品連番],商品マスタ[商品名],"",0,1)</f>
        <v/>
      </c>
      <c r="D8" s="243" t="str">
        <f>_xlfn.XLOOKUP(テーブル5[[#This Row],[商品ID]],商品マスタ[商品連番],商品マスタ[仕入先],"",0,1)</f>
        <v/>
      </c>
      <c r="E8" s="242"/>
      <c r="F8" s="242"/>
      <c r="G8" s="244"/>
    </row>
    <row r="9" spans="1:7" ht="18.600000000000001">
      <c r="A9" s="241"/>
      <c r="B9" s="242"/>
      <c r="C9" s="243" t="str">
        <f>_xlfn.XLOOKUP(テーブル5[[#This Row],[商品ID]],商品マスタ[商品連番],商品マスタ[商品名],"",0,1)</f>
        <v/>
      </c>
      <c r="D9" s="243" t="str">
        <f>_xlfn.XLOOKUP(テーブル5[[#This Row],[商品ID]],商品マスタ[商品連番],商品マスタ[仕入先],"",0,1)</f>
        <v/>
      </c>
      <c r="E9" s="242"/>
      <c r="F9" s="242"/>
      <c r="G9" s="244"/>
    </row>
    <row r="10" spans="1:7" ht="18.600000000000001">
      <c r="A10" s="241"/>
      <c r="B10" s="242"/>
      <c r="C10" s="243" t="str">
        <f>_xlfn.XLOOKUP(テーブル5[[#This Row],[商品ID]],商品マスタ[商品連番],商品マスタ[商品名],"",0,1)</f>
        <v/>
      </c>
      <c r="D10" s="243" t="str">
        <f>_xlfn.XLOOKUP(テーブル5[[#This Row],[商品ID]],商品マスタ[商品連番],商品マスタ[仕入先],"",0,1)</f>
        <v/>
      </c>
      <c r="E10" s="242"/>
      <c r="F10" s="242"/>
      <c r="G10" s="244"/>
    </row>
    <row r="11" spans="1:7" ht="18.600000000000001">
      <c r="A11" s="241"/>
      <c r="B11" s="242"/>
      <c r="C11" s="243" t="str">
        <f>_xlfn.XLOOKUP(テーブル5[[#This Row],[商品ID]],商品マスタ[商品連番],商品マスタ[商品名],"",0,1)</f>
        <v/>
      </c>
      <c r="D11" s="243" t="str">
        <f>_xlfn.XLOOKUP(テーブル5[[#This Row],[商品ID]],商品マスタ[商品連番],商品マスタ[仕入先],"",0,1)</f>
        <v/>
      </c>
      <c r="E11" s="242"/>
      <c r="F11" s="242"/>
      <c r="G11" s="244"/>
    </row>
    <row r="12" spans="1:7" ht="18.600000000000001">
      <c r="A12" s="241"/>
      <c r="B12" s="242"/>
      <c r="C12" s="243" t="str">
        <f>_xlfn.XLOOKUP(テーブル5[[#This Row],[商品ID]],商品マスタ[商品連番],商品マスタ[商品名],"",0,1)</f>
        <v/>
      </c>
      <c r="D12" s="243" t="str">
        <f>_xlfn.XLOOKUP(テーブル5[[#This Row],[商品ID]],商品マスタ[商品連番],商品マスタ[仕入先],"",0,1)</f>
        <v/>
      </c>
      <c r="E12" s="242"/>
      <c r="F12" s="242"/>
      <c r="G12" s="244"/>
    </row>
    <row r="13" spans="1:7" ht="18.600000000000001">
      <c r="A13" s="241"/>
      <c r="B13" s="242"/>
      <c r="C13" s="243" t="str">
        <f>_xlfn.XLOOKUP(テーブル5[[#This Row],[商品ID]],商品マスタ[商品連番],商品マスタ[商品名],"",0,1)</f>
        <v/>
      </c>
      <c r="D13" s="243" t="str">
        <f>_xlfn.XLOOKUP(テーブル5[[#This Row],[商品ID]],商品マスタ[商品連番],商品マスタ[仕入先],"",0,1)</f>
        <v/>
      </c>
      <c r="E13" s="242"/>
      <c r="F13" s="242"/>
      <c r="G13" s="244"/>
    </row>
    <row r="14" spans="1:7" ht="18.600000000000001">
      <c r="A14" s="241"/>
      <c r="B14" s="242"/>
      <c r="C14" s="243" t="str">
        <f>_xlfn.XLOOKUP(テーブル5[[#This Row],[商品ID]],商品マスタ[商品連番],商品マスタ[商品名],"",0,1)</f>
        <v/>
      </c>
      <c r="D14" s="243" t="str">
        <f>_xlfn.XLOOKUP(テーブル5[[#This Row],[商品ID]],商品マスタ[商品連番],商品マスタ[仕入先],"",0,1)</f>
        <v/>
      </c>
      <c r="E14" s="242"/>
      <c r="F14" s="242"/>
      <c r="G14" s="244"/>
    </row>
    <row r="15" spans="1:7" ht="18.600000000000001">
      <c r="A15" s="241"/>
      <c r="B15" s="242"/>
      <c r="C15" s="243" t="str">
        <f>_xlfn.XLOOKUP(テーブル5[[#This Row],[商品ID]],商品マスタ[商品連番],商品マスタ[商品名],"",0,1)</f>
        <v/>
      </c>
      <c r="D15" s="243" t="str">
        <f>_xlfn.XLOOKUP(テーブル5[[#This Row],[商品ID]],商品マスタ[商品連番],商品マスタ[仕入先],"",0,1)</f>
        <v/>
      </c>
      <c r="E15" s="242"/>
      <c r="F15" s="242"/>
      <c r="G15" s="244"/>
    </row>
    <row r="16" spans="1:7" ht="18.600000000000001">
      <c r="A16" s="241"/>
      <c r="B16" s="242"/>
      <c r="C16" s="243" t="str">
        <f>_xlfn.XLOOKUP(テーブル5[[#This Row],[商品ID]],商品マスタ[商品連番],商品マスタ[商品名],"",0,1)</f>
        <v/>
      </c>
      <c r="D16" s="243" t="str">
        <f>_xlfn.XLOOKUP(テーブル5[[#This Row],[商品ID]],商品マスタ[商品連番],商品マスタ[仕入先],"",0,1)</f>
        <v/>
      </c>
      <c r="E16" s="242"/>
      <c r="F16" s="242"/>
      <c r="G16" s="244"/>
    </row>
    <row r="17" spans="1:7" ht="18.600000000000001">
      <c r="A17" s="241"/>
      <c r="B17" s="242"/>
      <c r="C17" s="243" t="str">
        <f>_xlfn.XLOOKUP(テーブル5[[#This Row],[商品ID]],商品マスタ[商品連番],商品マスタ[商品名],"",0,1)</f>
        <v/>
      </c>
      <c r="D17" s="243" t="str">
        <f>_xlfn.XLOOKUP(テーブル5[[#This Row],[商品ID]],商品マスタ[商品連番],商品マスタ[仕入先],"",0,1)</f>
        <v/>
      </c>
      <c r="E17" s="242"/>
      <c r="F17" s="242"/>
      <c r="G17" s="244"/>
    </row>
    <row r="18" spans="1:7" ht="18.600000000000001">
      <c r="A18" s="241"/>
      <c r="B18" s="242"/>
      <c r="C18" s="243" t="str">
        <f>_xlfn.XLOOKUP(テーブル5[[#This Row],[商品ID]],商品マスタ[商品連番],商品マスタ[商品名],"",0,1)</f>
        <v/>
      </c>
      <c r="D18" s="243" t="str">
        <f>_xlfn.XLOOKUP(テーブル5[[#This Row],[商品ID]],商品マスタ[商品連番],商品マスタ[仕入先],"",0,1)</f>
        <v/>
      </c>
      <c r="E18" s="242"/>
      <c r="F18" s="242"/>
      <c r="G18" s="244"/>
    </row>
    <row r="19" spans="1:7" ht="18.600000000000001">
      <c r="A19" s="241"/>
      <c r="B19" s="242"/>
      <c r="C19" s="243" t="str">
        <f>_xlfn.XLOOKUP(テーブル5[[#This Row],[商品ID]],商品マスタ[商品連番],商品マスタ[商品名],"",0,1)</f>
        <v/>
      </c>
      <c r="D19" s="243" t="str">
        <f>_xlfn.XLOOKUP(テーブル5[[#This Row],[商品ID]],商品マスタ[商品連番],商品マスタ[仕入先],"",0,1)</f>
        <v/>
      </c>
      <c r="E19" s="242"/>
      <c r="F19" s="242"/>
      <c r="G19" s="244"/>
    </row>
    <row r="20" spans="1:7" ht="18.600000000000001">
      <c r="A20" s="241"/>
      <c r="B20" s="242"/>
      <c r="C20" s="243" t="str">
        <f>_xlfn.XLOOKUP(テーブル5[[#This Row],[商品ID]],商品マスタ[商品連番],商品マスタ[商品名],"",0,1)</f>
        <v/>
      </c>
      <c r="D20" s="243" t="str">
        <f>_xlfn.XLOOKUP(テーブル5[[#This Row],[商品ID]],商品マスタ[商品連番],商品マスタ[仕入先],"",0,1)</f>
        <v/>
      </c>
      <c r="E20" s="242"/>
      <c r="F20" s="242"/>
      <c r="G20" s="244"/>
    </row>
    <row r="21" spans="1:7" ht="18.600000000000001">
      <c r="A21" s="241"/>
      <c r="B21" s="242"/>
      <c r="C21" s="243" t="str">
        <f>_xlfn.XLOOKUP(テーブル5[[#This Row],[商品ID]],商品マスタ[商品連番],商品マスタ[商品名],"",0,1)</f>
        <v/>
      </c>
      <c r="D21" s="243" t="str">
        <f>_xlfn.XLOOKUP(テーブル5[[#This Row],[商品ID]],商品マスタ[商品連番],商品マスタ[仕入先],"",0,1)</f>
        <v/>
      </c>
      <c r="E21" s="242"/>
      <c r="F21" s="242"/>
      <c r="G21" s="244"/>
    </row>
    <row r="22" spans="1:7" ht="18.600000000000001">
      <c r="A22" s="241"/>
      <c r="B22" s="242"/>
      <c r="C22" s="243" t="str">
        <f>_xlfn.XLOOKUP(テーブル5[[#This Row],[商品ID]],商品マスタ[商品連番],商品マスタ[商品名],"",0,1)</f>
        <v/>
      </c>
      <c r="D22" s="243" t="str">
        <f>_xlfn.XLOOKUP(テーブル5[[#This Row],[商品ID]],商品マスタ[商品連番],商品マスタ[仕入先],"",0,1)</f>
        <v/>
      </c>
      <c r="E22" s="242"/>
      <c r="F22" s="242"/>
      <c r="G22" s="244"/>
    </row>
    <row r="23" spans="1:7" ht="18.600000000000001">
      <c r="A23" s="241"/>
      <c r="B23" s="242"/>
      <c r="C23" s="243" t="str">
        <f>_xlfn.XLOOKUP(テーブル5[[#This Row],[商品ID]],商品マスタ[商品連番],商品マスタ[商品名],"",0,1)</f>
        <v/>
      </c>
      <c r="D23" s="243" t="str">
        <f>_xlfn.XLOOKUP(テーブル5[[#This Row],[商品ID]],商品マスタ[商品連番],商品マスタ[仕入先],"",0,1)</f>
        <v/>
      </c>
      <c r="E23" s="242"/>
      <c r="F23" s="242"/>
      <c r="G23" s="244"/>
    </row>
    <row r="24" spans="1:7" ht="18.600000000000001">
      <c r="A24" s="241"/>
      <c r="B24" s="242"/>
      <c r="C24" s="243" t="str">
        <f>_xlfn.XLOOKUP(テーブル5[[#This Row],[商品ID]],商品マスタ[商品連番],商品マスタ[商品名],"",0,1)</f>
        <v/>
      </c>
      <c r="D24" s="243" t="str">
        <f>_xlfn.XLOOKUP(テーブル5[[#This Row],[商品ID]],商品マスタ[商品連番],商品マスタ[仕入先],"",0,1)</f>
        <v/>
      </c>
      <c r="E24" s="242"/>
      <c r="F24" s="242"/>
      <c r="G24" s="244"/>
    </row>
    <row r="25" spans="1:7" ht="18.600000000000001">
      <c r="A25" s="241"/>
      <c r="B25" s="242"/>
      <c r="C25" s="243" t="str">
        <f>_xlfn.XLOOKUP(テーブル5[[#This Row],[商品ID]],商品マスタ[商品連番],商品マスタ[商品名],"",0,1)</f>
        <v/>
      </c>
      <c r="D25" s="243" t="str">
        <f>_xlfn.XLOOKUP(テーブル5[[#This Row],[商品ID]],商品マスタ[商品連番],商品マスタ[仕入先],"",0,1)</f>
        <v/>
      </c>
      <c r="E25" s="242"/>
      <c r="F25" s="242"/>
      <c r="G25" s="244"/>
    </row>
    <row r="26" spans="1:7" ht="18.600000000000001">
      <c r="A26" s="241"/>
      <c r="B26" s="242"/>
      <c r="C26" s="243" t="str">
        <f>_xlfn.XLOOKUP(テーブル5[[#This Row],[商品ID]],商品マスタ[商品連番],商品マスタ[商品名],"",0,1)</f>
        <v/>
      </c>
      <c r="D26" s="243" t="str">
        <f>_xlfn.XLOOKUP(テーブル5[[#This Row],[商品ID]],商品マスタ[商品連番],商品マスタ[仕入先],"",0,1)</f>
        <v/>
      </c>
      <c r="E26" s="242"/>
      <c r="F26" s="242"/>
      <c r="G26" s="244"/>
    </row>
    <row r="27" spans="1:7" ht="18.600000000000001">
      <c r="A27" s="241"/>
      <c r="B27" s="242"/>
      <c r="C27" s="243" t="str">
        <f>_xlfn.XLOOKUP(テーブル5[[#This Row],[商品ID]],商品マスタ[商品連番],商品マスタ[商品名],"",0,1)</f>
        <v/>
      </c>
      <c r="D27" s="243" t="str">
        <f>_xlfn.XLOOKUP(テーブル5[[#This Row],[商品ID]],商品マスタ[商品連番],商品マスタ[仕入先],"",0,1)</f>
        <v/>
      </c>
      <c r="E27" s="242"/>
      <c r="F27" s="242"/>
      <c r="G27" s="244"/>
    </row>
    <row r="28" spans="1:7" ht="18.600000000000001">
      <c r="A28" s="241"/>
      <c r="B28" s="242"/>
      <c r="C28" s="243" t="str">
        <f>_xlfn.XLOOKUP(テーブル5[[#This Row],[商品ID]],商品マスタ[商品連番],商品マスタ[商品名],"",0,1)</f>
        <v/>
      </c>
      <c r="D28" s="243" t="str">
        <f>_xlfn.XLOOKUP(テーブル5[[#This Row],[商品ID]],商品マスタ[商品連番],商品マスタ[仕入先],"",0,1)</f>
        <v/>
      </c>
      <c r="E28" s="242"/>
      <c r="F28" s="242"/>
      <c r="G28" s="244"/>
    </row>
    <row r="29" spans="1:7" ht="18.600000000000001">
      <c r="A29" s="241"/>
      <c r="B29" s="242"/>
      <c r="C29" s="243" t="str">
        <f>_xlfn.XLOOKUP(テーブル5[[#This Row],[商品ID]],商品マスタ[商品連番],商品マスタ[商品名],"",0,1)</f>
        <v/>
      </c>
      <c r="D29" s="243" t="str">
        <f>_xlfn.XLOOKUP(テーブル5[[#This Row],[商品ID]],商品マスタ[商品連番],商品マスタ[仕入先],"",0,1)</f>
        <v/>
      </c>
      <c r="E29" s="242"/>
      <c r="F29" s="242"/>
      <c r="G29" s="244"/>
    </row>
    <row r="30" spans="1:7" ht="18.600000000000001">
      <c r="A30" s="241"/>
      <c r="B30" s="242"/>
      <c r="C30" s="243" t="str">
        <f>_xlfn.XLOOKUP(テーブル5[[#This Row],[商品ID]],商品マスタ[商品連番],商品マスタ[商品名],"",0,1)</f>
        <v/>
      </c>
      <c r="D30" s="243" t="str">
        <f>_xlfn.XLOOKUP(テーブル5[[#This Row],[商品ID]],商品マスタ[商品連番],商品マスタ[仕入先],"",0,1)</f>
        <v/>
      </c>
      <c r="E30" s="242"/>
      <c r="F30" s="242"/>
      <c r="G30" s="244"/>
    </row>
    <row r="31" spans="1:7" ht="18.600000000000001">
      <c r="A31" s="241"/>
      <c r="B31" s="242"/>
      <c r="C31" s="243" t="str">
        <f>_xlfn.XLOOKUP(テーブル5[[#This Row],[商品ID]],商品マスタ[商品連番],商品マスタ[商品名],"",0,1)</f>
        <v/>
      </c>
      <c r="D31" s="243" t="str">
        <f>_xlfn.XLOOKUP(テーブル5[[#This Row],[商品ID]],商品マスタ[商品連番],商品マスタ[仕入先],"",0,1)</f>
        <v/>
      </c>
      <c r="E31" s="242"/>
      <c r="F31" s="242"/>
      <c r="G31" s="244"/>
    </row>
    <row r="32" spans="1:7" ht="18.600000000000001">
      <c r="A32" s="241"/>
      <c r="B32" s="242"/>
      <c r="C32" s="243" t="str">
        <f>_xlfn.XLOOKUP(テーブル5[[#This Row],[商品ID]],商品マスタ[商品連番],商品マスタ[商品名],"",0,1)</f>
        <v/>
      </c>
      <c r="D32" s="243" t="str">
        <f>_xlfn.XLOOKUP(テーブル5[[#This Row],[商品ID]],商品マスタ[商品連番],商品マスタ[仕入先],"",0,1)</f>
        <v/>
      </c>
      <c r="E32" s="242"/>
      <c r="F32" s="242"/>
      <c r="G32" s="244"/>
    </row>
    <row r="33" spans="1:7" ht="18.600000000000001">
      <c r="A33" s="241"/>
      <c r="B33" s="242"/>
      <c r="C33" s="243" t="str">
        <f>_xlfn.XLOOKUP(テーブル5[[#This Row],[商品ID]],商品マスタ[商品連番],商品マスタ[商品名],"",0,1)</f>
        <v/>
      </c>
      <c r="D33" s="243" t="str">
        <f>_xlfn.XLOOKUP(テーブル5[[#This Row],[商品ID]],商品マスタ[商品連番],商品マスタ[仕入先],"",0,1)</f>
        <v/>
      </c>
      <c r="E33" s="242"/>
      <c r="F33" s="242"/>
      <c r="G33" s="244"/>
    </row>
    <row r="34" spans="1:7" ht="18.600000000000001">
      <c r="A34" s="241"/>
      <c r="B34" s="242"/>
      <c r="C34" s="243" t="str">
        <f>_xlfn.XLOOKUP(テーブル5[[#This Row],[商品ID]],商品マスタ[商品連番],商品マスタ[商品名],"",0,1)</f>
        <v/>
      </c>
      <c r="D34" s="243" t="str">
        <f>_xlfn.XLOOKUP(テーブル5[[#This Row],[商品ID]],商品マスタ[商品連番],商品マスタ[仕入先],"",0,1)</f>
        <v/>
      </c>
      <c r="E34" s="242"/>
      <c r="F34" s="242"/>
      <c r="G34" s="244"/>
    </row>
    <row r="35" spans="1:7" ht="18.600000000000001">
      <c r="A35" s="241"/>
      <c r="B35" s="242"/>
      <c r="C35" s="243" t="str">
        <f>_xlfn.XLOOKUP(テーブル5[[#This Row],[商品ID]],商品マスタ[商品連番],商品マスタ[商品名],"",0,1)</f>
        <v/>
      </c>
      <c r="D35" s="243" t="str">
        <f>_xlfn.XLOOKUP(テーブル5[[#This Row],[商品ID]],商品マスタ[商品連番],商品マスタ[仕入先],"",0,1)</f>
        <v/>
      </c>
      <c r="E35" s="242"/>
      <c r="F35" s="242"/>
      <c r="G35" s="244"/>
    </row>
    <row r="36" spans="1:7" ht="18.600000000000001">
      <c r="A36" s="241"/>
      <c r="B36" s="242"/>
      <c r="C36" s="243" t="str">
        <f>_xlfn.XLOOKUP(テーブル5[[#This Row],[商品ID]],商品マスタ[商品連番],商品マスタ[商品名],"",0,1)</f>
        <v/>
      </c>
      <c r="D36" s="243" t="str">
        <f>_xlfn.XLOOKUP(テーブル5[[#This Row],[商品ID]],商品マスタ[商品連番],商品マスタ[仕入先],"",0,1)</f>
        <v/>
      </c>
      <c r="E36" s="242"/>
      <c r="F36" s="242"/>
      <c r="G36" s="244"/>
    </row>
    <row r="37" spans="1:7" ht="18.600000000000001">
      <c r="A37" s="241"/>
      <c r="B37" s="242"/>
      <c r="C37" s="243" t="str">
        <f>_xlfn.XLOOKUP(テーブル5[[#This Row],[商品ID]],商品マスタ[商品連番],商品マスタ[商品名],"",0,1)</f>
        <v/>
      </c>
      <c r="D37" s="243" t="str">
        <f>_xlfn.XLOOKUP(テーブル5[[#This Row],[商品ID]],商品マスタ[商品連番],商品マスタ[仕入先],"",0,1)</f>
        <v/>
      </c>
      <c r="E37" s="242"/>
      <c r="F37" s="242"/>
      <c r="G37" s="244"/>
    </row>
    <row r="38" spans="1:7" ht="18.600000000000001">
      <c r="A38" s="241"/>
      <c r="B38" s="242"/>
      <c r="C38" s="243" t="str">
        <f>_xlfn.XLOOKUP(テーブル5[[#This Row],[商品ID]],商品マスタ[商品連番],商品マスタ[商品名],"",0,1)</f>
        <v/>
      </c>
      <c r="D38" s="243" t="str">
        <f>_xlfn.XLOOKUP(テーブル5[[#This Row],[商品ID]],商品マスタ[商品連番],商品マスタ[仕入先],"",0,1)</f>
        <v/>
      </c>
      <c r="E38" s="242"/>
      <c r="F38" s="242"/>
      <c r="G38" s="244"/>
    </row>
    <row r="39" spans="1:7" ht="18.600000000000001">
      <c r="A39" s="241"/>
      <c r="B39" s="242"/>
      <c r="C39" s="243" t="str">
        <f>_xlfn.XLOOKUP(テーブル5[[#This Row],[商品ID]],商品マスタ[商品連番],商品マスタ[商品名],"",0,1)</f>
        <v/>
      </c>
      <c r="D39" s="243" t="str">
        <f>_xlfn.XLOOKUP(テーブル5[[#This Row],[商品ID]],商品マスタ[商品連番],商品マスタ[仕入先],"",0,1)</f>
        <v/>
      </c>
      <c r="E39" s="242"/>
      <c r="F39" s="242"/>
      <c r="G39" s="244"/>
    </row>
    <row r="40" spans="1:7" ht="18.600000000000001">
      <c r="A40" s="241"/>
      <c r="B40" s="242"/>
      <c r="C40" s="243" t="str">
        <f>_xlfn.XLOOKUP(テーブル5[[#This Row],[商品ID]],商品マスタ[商品連番],商品マスタ[商品名],"",0,1)</f>
        <v/>
      </c>
      <c r="D40" s="243" t="str">
        <f>_xlfn.XLOOKUP(テーブル5[[#This Row],[商品ID]],商品マスタ[商品連番],商品マスタ[仕入先],"",0,1)</f>
        <v/>
      </c>
      <c r="E40" s="242"/>
      <c r="F40" s="242"/>
      <c r="G40" s="244"/>
    </row>
    <row r="41" spans="1:7" ht="18.600000000000001">
      <c r="A41" s="241"/>
      <c r="B41" s="242"/>
      <c r="C41" s="243" t="str">
        <f>_xlfn.XLOOKUP(テーブル5[[#This Row],[商品ID]],商品マスタ[商品連番],商品マスタ[商品名],"",0,1)</f>
        <v/>
      </c>
      <c r="D41" s="243" t="str">
        <f>_xlfn.XLOOKUP(テーブル5[[#This Row],[商品ID]],商品マスタ[商品連番],商品マスタ[仕入先],"",0,1)</f>
        <v/>
      </c>
      <c r="E41" s="242"/>
      <c r="F41" s="242"/>
      <c r="G41" s="244"/>
    </row>
    <row r="42" spans="1:7" ht="18.600000000000001">
      <c r="A42" s="241"/>
      <c r="B42" s="242"/>
      <c r="C42" s="243" t="str">
        <f>_xlfn.XLOOKUP(テーブル5[[#This Row],[商品ID]],商品マスタ[商品連番],商品マスタ[商品名],"",0,1)</f>
        <v/>
      </c>
      <c r="D42" s="243" t="str">
        <f>_xlfn.XLOOKUP(テーブル5[[#This Row],[商品ID]],商品マスタ[商品連番],商品マスタ[仕入先],"",0,1)</f>
        <v/>
      </c>
      <c r="E42" s="242"/>
      <c r="F42" s="242"/>
      <c r="G42" s="244"/>
    </row>
    <row r="43" spans="1:7" ht="18.600000000000001">
      <c r="A43" s="241"/>
      <c r="B43" s="242"/>
      <c r="C43" s="243" t="str">
        <f>_xlfn.XLOOKUP(テーブル5[[#This Row],[商品ID]],商品マスタ[商品連番],商品マスタ[商品名],"",0,1)</f>
        <v/>
      </c>
      <c r="D43" s="243" t="str">
        <f>_xlfn.XLOOKUP(テーブル5[[#This Row],[商品ID]],商品マスタ[商品連番],商品マスタ[仕入先],"",0,1)</f>
        <v/>
      </c>
      <c r="E43" s="242"/>
      <c r="F43" s="242"/>
      <c r="G43" s="244"/>
    </row>
    <row r="44" spans="1:7" ht="18.600000000000001">
      <c r="A44" s="241"/>
      <c r="B44" s="242"/>
      <c r="C44" s="243" t="str">
        <f>_xlfn.XLOOKUP(テーブル5[[#This Row],[商品ID]],商品マスタ[商品連番],商品マスタ[商品名],"",0,1)</f>
        <v/>
      </c>
      <c r="D44" s="243" t="str">
        <f>_xlfn.XLOOKUP(テーブル5[[#This Row],[商品ID]],商品マスタ[商品連番],商品マスタ[仕入先],"",0,1)</f>
        <v/>
      </c>
      <c r="E44" s="242"/>
      <c r="F44" s="242"/>
      <c r="G44" s="244"/>
    </row>
    <row r="45" spans="1:7" ht="18.600000000000001">
      <c r="A45" s="241"/>
      <c r="B45" s="242"/>
      <c r="C45" s="243" t="str">
        <f>_xlfn.XLOOKUP(テーブル5[[#This Row],[商品ID]],商品マスタ[商品連番],商品マスタ[商品名],"",0,1)</f>
        <v/>
      </c>
      <c r="D45" s="243" t="str">
        <f>_xlfn.XLOOKUP(テーブル5[[#This Row],[商品ID]],商品マスタ[商品連番],商品マスタ[仕入先],"",0,1)</f>
        <v/>
      </c>
      <c r="E45" s="242"/>
      <c r="F45" s="242"/>
      <c r="G45" s="244"/>
    </row>
    <row r="46" spans="1:7" ht="18.600000000000001">
      <c r="A46" s="241"/>
      <c r="B46" s="242"/>
      <c r="C46" s="243" t="str">
        <f>_xlfn.XLOOKUP(テーブル5[[#This Row],[商品ID]],商品マスタ[商品連番],商品マスタ[商品名],"",0,1)</f>
        <v/>
      </c>
      <c r="D46" s="243" t="str">
        <f>_xlfn.XLOOKUP(テーブル5[[#This Row],[商品ID]],商品マスタ[商品連番],商品マスタ[仕入先],"",0,1)</f>
        <v/>
      </c>
      <c r="E46" s="242"/>
      <c r="F46" s="242"/>
      <c r="G46" s="244"/>
    </row>
    <row r="47" spans="1:7" ht="18.600000000000001">
      <c r="A47" s="241"/>
      <c r="B47" s="242"/>
      <c r="C47" s="243" t="str">
        <f>_xlfn.XLOOKUP(テーブル5[[#This Row],[商品ID]],商品マスタ[商品連番],商品マスタ[商品名],"",0,1)</f>
        <v/>
      </c>
      <c r="D47" s="243" t="str">
        <f>_xlfn.XLOOKUP(テーブル5[[#This Row],[商品ID]],商品マスタ[商品連番],商品マスタ[仕入先],"",0,1)</f>
        <v/>
      </c>
      <c r="E47" s="242"/>
      <c r="F47" s="242"/>
      <c r="G47" s="244"/>
    </row>
    <row r="48" spans="1:7" ht="18.600000000000001">
      <c r="A48" s="241"/>
      <c r="B48" s="242"/>
      <c r="C48" s="243" t="str">
        <f>_xlfn.XLOOKUP(テーブル5[[#This Row],[商品ID]],商品マスタ[商品連番],商品マスタ[商品名],"",0,1)</f>
        <v/>
      </c>
      <c r="D48" s="243" t="str">
        <f>_xlfn.XLOOKUP(テーブル5[[#This Row],[商品ID]],商品マスタ[商品連番],商品マスタ[仕入先],"",0,1)</f>
        <v/>
      </c>
      <c r="E48" s="242"/>
      <c r="F48" s="242"/>
      <c r="G48" s="244"/>
    </row>
    <row r="49" spans="1:7" ht="18.600000000000001">
      <c r="A49" s="241"/>
      <c r="B49" s="242"/>
      <c r="C49" s="243" t="str">
        <f>_xlfn.XLOOKUP(テーブル5[[#This Row],[商品ID]],商品マスタ[商品連番],商品マスタ[商品名],"",0,1)</f>
        <v/>
      </c>
      <c r="D49" s="243" t="str">
        <f>_xlfn.XLOOKUP(テーブル5[[#This Row],[商品ID]],商品マスタ[商品連番],商品マスタ[仕入先],"",0,1)</f>
        <v/>
      </c>
      <c r="E49" s="242"/>
      <c r="F49" s="242"/>
      <c r="G49" s="244"/>
    </row>
    <row r="50" spans="1:7" ht="18.600000000000001">
      <c r="A50" s="241"/>
      <c r="B50" s="242"/>
      <c r="C50" s="243" t="str">
        <f>_xlfn.XLOOKUP(テーブル5[[#This Row],[商品ID]],商品マスタ[商品連番],商品マスタ[商品名],"",0,1)</f>
        <v/>
      </c>
      <c r="D50" s="243" t="str">
        <f>_xlfn.XLOOKUP(テーブル5[[#This Row],[商品ID]],商品マスタ[商品連番],商品マスタ[仕入先],"",0,1)</f>
        <v/>
      </c>
      <c r="E50" s="242"/>
      <c r="F50" s="242"/>
      <c r="G50" s="244"/>
    </row>
    <row r="51" spans="1:7" ht="18.600000000000001">
      <c r="A51" s="241"/>
      <c r="B51" s="242"/>
      <c r="C51" s="243" t="str">
        <f>_xlfn.XLOOKUP(テーブル5[[#This Row],[商品ID]],商品マスタ[商品連番],商品マスタ[商品名],"",0,1)</f>
        <v/>
      </c>
      <c r="D51" s="243" t="str">
        <f>_xlfn.XLOOKUP(テーブル5[[#This Row],[商品ID]],商品マスタ[商品連番],商品マスタ[仕入先],"",0,1)</f>
        <v/>
      </c>
      <c r="E51" s="242"/>
      <c r="F51" s="242"/>
      <c r="G51" s="244"/>
    </row>
    <row r="52" spans="1:7" ht="18.600000000000001">
      <c r="A52" s="241"/>
      <c r="B52" s="242"/>
      <c r="C52" s="243" t="str">
        <f>_xlfn.XLOOKUP(テーブル5[[#This Row],[商品ID]],商品マスタ[商品連番],商品マスタ[商品名],"",0,1)</f>
        <v/>
      </c>
      <c r="D52" s="243" t="str">
        <f>_xlfn.XLOOKUP(テーブル5[[#This Row],[商品ID]],商品マスタ[商品連番],商品マスタ[仕入先],"",0,1)</f>
        <v/>
      </c>
      <c r="E52" s="242"/>
      <c r="F52" s="242"/>
      <c r="G52" s="244"/>
    </row>
    <row r="53" spans="1:7" ht="18.600000000000001">
      <c r="A53" s="241"/>
      <c r="B53" s="242"/>
      <c r="C53" s="243" t="str">
        <f>_xlfn.XLOOKUP(テーブル5[[#This Row],[商品ID]],商品マスタ[商品連番],商品マスタ[商品名],"",0,1)</f>
        <v/>
      </c>
      <c r="D53" s="243" t="str">
        <f>_xlfn.XLOOKUP(テーブル5[[#This Row],[商品ID]],商品マスタ[商品連番],商品マスタ[仕入先],"",0,1)</f>
        <v/>
      </c>
      <c r="E53" s="242"/>
      <c r="F53" s="242"/>
      <c r="G53" s="244"/>
    </row>
    <row r="54" spans="1:7" ht="18.600000000000001">
      <c r="A54" s="241"/>
      <c r="B54" s="242"/>
      <c r="C54" s="243" t="str">
        <f>_xlfn.XLOOKUP(テーブル5[[#This Row],[商品ID]],商品マスタ[商品連番],商品マスタ[商品名],"",0,1)</f>
        <v/>
      </c>
      <c r="D54" s="243" t="str">
        <f>_xlfn.XLOOKUP(テーブル5[[#This Row],[商品ID]],商品マスタ[商品連番],商品マスタ[仕入先],"",0,1)</f>
        <v/>
      </c>
      <c r="E54" s="242"/>
      <c r="F54" s="242"/>
      <c r="G54" s="244"/>
    </row>
    <row r="55" spans="1:7" ht="18.600000000000001">
      <c r="A55" s="241"/>
      <c r="B55" s="242"/>
      <c r="C55" s="243" t="str">
        <f>_xlfn.XLOOKUP(テーブル5[[#This Row],[商品ID]],商品マスタ[商品連番],商品マスタ[商品名],"",0,1)</f>
        <v/>
      </c>
      <c r="D55" s="243" t="str">
        <f>_xlfn.XLOOKUP(テーブル5[[#This Row],[商品ID]],商品マスタ[商品連番],商品マスタ[仕入先],"",0,1)</f>
        <v/>
      </c>
      <c r="E55" s="242"/>
      <c r="F55" s="242"/>
      <c r="G55" s="244"/>
    </row>
    <row r="56" spans="1:7" ht="18.600000000000001">
      <c r="A56" s="241"/>
      <c r="B56" s="242"/>
      <c r="C56" s="243" t="str">
        <f>_xlfn.XLOOKUP(テーブル5[[#This Row],[商品ID]],商品マスタ[商品連番],商品マスタ[商品名],"",0,1)</f>
        <v/>
      </c>
      <c r="D56" s="243" t="str">
        <f>_xlfn.XLOOKUP(テーブル5[[#This Row],[商品ID]],商品マスタ[商品連番],商品マスタ[仕入先],"",0,1)</f>
        <v/>
      </c>
      <c r="E56" s="242"/>
      <c r="F56" s="242"/>
      <c r="G56" s="244"/>
    </row>
    <row r="57" spans="1:7" ht="18.600000000000001">
      <c r="A57" s="241"/>
      <c r="B57" s="242"/>
      <c r="C57" s="243" t="str">
        <f>_xlfn.XLOOKUP(テーブル5[[#This Row],[商品ID]],商品マスタ[商品連番],商品マスタ[商品名],"",0,1)</f>
        <v/>
      </c>
      <c r="D57" s="243" t="str">
        <f>_xlfn.XLOOKUP(テーブル5[[#This Row],[商品ID]],商品マスタ[商品連番],商品マスタ[仕入先],"",0,1)</f>
        <v/>
      </c>
      <c r="E57" s="242"/>
      <c r="F57" s="242"/>
      <c r="G57" s="244"/>
    </row>
    <row r="58" spans="1:7" ht="18.600000000000001">
      <c r="A58" s="241"/>
      <c r="B58" s="242"/>
      <c r="C58" s="243" t="str">
        <f>_xlfn.XLOOKUP(テーブル5[[#This Row],[商品ID]],商品マスタ[商品連番],商品マスタ[商品名],"",0,1)</f>
        <v/>
      </c>
      <c r="D58" s="243" t="str">
        <f>_xlfn.XLOOKUP(テーブル5[[#This Row],[商品ID]],商品マスタ[商品連番],商品マスタ[仕入先],"",0,1)</f>
        <v/>
      </c>
      <c r="E58" s="242"/>
      <c r="F58" s="242"/>
      <c r="G58" s="244"/>
    </row>
    <row r="59" spans="1:7" ht="18.600000000000001">
      <c r="A59" s="241"/>
      <c r="B59" s="242"/>
      <c r="C59" s="243" t="str">
        <f>_xlfn.XLOOKUP(テーブル5[[#This Row],[商品ID]],商品マスタ[商品連番],商品マスタ[商品名],"",0,1)</f>
        <v/>
      </c>
      <c r="D59" s="243" t="str">
        <f>_xlfn.XLOOKUP(テーブル5[[#This Row],[商品ID]],商品マスタ[商品連番],商品マスタ[仕入先],"",0,1)</f>
        <v/>
      </c>
      <c r="E59" s="242"/>
      <c r="F59" s="242"/>
      <c r="G59" s="244"/>
    </row>
    <row r="60" spans="1:7" ht="18.600000000000001">
      <c r="A60" s="241"/>
      <c r="B60" s="242"/>
      <c r="C60" s="243" t="str">
        <f>_xlfn.XLOOKUP(テーブル5[[#This Row],[商品ID]],商品マスタ[商品連番],商品マスタ[商品名],"",0,1)</f>
        <v/>
      </c>
      <c r="D60" s="243" t="str">
        <f>_xlfn.XLOOKUP(テーブル5[[#This Row],[商品ID]],商品マスタ[商品連番],商品マスタ[仕入先],"",0,1)</f>
        <v/>
      </c>
      <c r="E60" s="242"/>
      <c r="F60" s="242"/>
      <c r="G60" s="244"/>
    </row>
    <row r="61" spans="1:7" ht="18.600000000000001">
      <c r="A61" s="241"/>
      <c r="B61" s="242"/>
      <c r="C61" s="243" t="str">
        <f>_xlfn.XLOOKUP(テーブル5[[#This Row],[商品ID]],商品マスタ[商品連番],商品マスタ[商品名],"",0,1)</f>
        <v/>
      </c>
      <c r="D61" s="243" t="str">
        <f>_xlfn.XLOOKUP(テーブル5[[#This Row],[商品ID]],商品マスタ[商品連番],商品マスタ[仕入先],"",0,1)</f>
        <v/>
      </c>
      <c r="E61" s="242"/>
      <c r="F61" s="242"/>
      <c r="G61" s="244"/>
    </row>
    <row r="62" spans="1:7" ht="18.600000000000001">
      <c r="A62" s="241"/>
      <c r="B62" s="242"/>
      <c r="C62" s="243" t="str">
        <f>_xlfn.XLOOKUP(テーブル5[[#This Row],[商品ID]],商品マスタ[商品連番],商品マスタ[商品名],"",0,1)</f>
        <v/>
      </c>
      <c r="D62" s="243" t="str">
        <f>_xlfn.XLOOKUP(テーブル5[[#This Row],[商品ID]],商品マスタ[商品連番],商品マスタ[仕入先],"",0,1)</f>
        <v/>
      </c>
      <c r="E62" s="242"/>
      <c r="F62" s="242"/>
      <c r="G62" s="244"/>
    </row>
    <row r="63" spans="1:7" ht="18.600000000000001">
      <c r="A63" s="241"/>
      <c r="B63" s="242"/>
      <c r="C63" s="243" t="str">
        <f>_xlfn.XLOOKUP(テーブル5[[#This Row],[商品ID]],商品マスタ[商品連番],商品マスタ[商品名],"",0,1)</f>
        <v/>
      </c>
      <c r="D63" s="243" t="str">
        <f>_xlfn.XLOOKUP(テーブル5[[#This Row],[商品ID]],商品マスタ[商品連番],商品マスタ[仕入先],"",0,1)</f>
        <v/>
      </c>
      <c r="E63" s="242"/>
      <c r="F63" s="242"/>
      <c r="G63" s="244"/>
    </row>
    <row r="64" spans="1:7" ht="18.600000000000001">
      <c r="A64" s="241"/>
      <c r="B64" s="242"/>
      <c r="C64" s="243" t="str">
        <f>_xlfn.XLOOKUP(テーブル5[[#This Row],[商品ID]],商品マスタ[商品連番],商品マスタ[商品名],"",0,1)</f>
        <v/>
      </c>
      <c r="D64" s="243" t="str">
        <f>_xlfn.XLOOKUP(テーブル5[[#This Row],[商品ID]],商品マスタ[商品連番],商品マスタ[仕入先],"",0,1)</f>
        <v/>
      </c>
      <c r="E64" s="242"/>
      <c r="F64" s="242"/>
      <c r="G64" s="244"/>
    </row>
    <row r="65" spans="1:7" ht="18.600000000000001">
      <c r="A65" s="241"/>
      <c r="B65" s="242"/>
      <c r="C65" s="243" t="str">
        <f>_xlfn.XLOOKUP(テーブル5[[#This Row],[商品ID]],商品マスタ[商品連番],商品マスタ[商品名],"",0,1)</f>
        <v/>
      </c>
      <c r="D65" s="243" t="str">
        <f>_xlfn.XLOOKUP(テーブル5[[#This Row],[商品ID]],商品マスタ[商品連番],商品マスタ[仕入先],"",0,1)</f>
        <v/>
      </c>
      <c r="E65" s="242"/>
      <c r="F65" s="242"/>
      <c r="G65" s="244"/>
    </row>
    <row r="66" spans="1:7" ht="18.600000000000001">
      <c r="A66" s="241"/>
      <c r="B66" s="242"/>
      <c r="C66" s="243" t="str">
        <f>_xlfn.XLOOKUP(テーブル5[[#This Row],[商品ID]],商品マスタ[商品連番],商品マスタ[商品名],"",0,1)</f>
        <v/>
      </c>
      <c r="D66" s="243" t="str">
        <f>_xlfn.XLOOKUP(テーブル5[[#This Row],[商品ID]],商品マスタ[商品連番],商品マスタ[仕入先],"",0,1)</f>
        <v/>
      </c>
      <c r="E66" s="242"/>
      <c r="F66" s="242"/>
      <c r="G66" s="244"/>
    </row>
    <row r="67" spans="1:7" ht="18.600000000000001">
      <c r="A67" s="241"/>
      <c r="B67" s="242"/>
      <c r="C67" s="243" t="str">
        <f>_xlfn.XLOOKUP(テーブル5[[#This Row],[商品ID]],商品マスタ[商品連番],商品マスタ[商品名],"",0,1)</f>
        <v/>
      </c>
      <c r="D67" s="243" t="str">
        <f>_xlfn.XLOOKUP(テーブル5[[#This Row],[商品ID]],商品マスタ[商品連番],商品マスタ[仕入先],"",0,1)</f>
        <v/>
      </c>
      <c r="E67" s="242"/>
      <c r="F67" s="242"/>
      <c r="G67" s="244"/>
    </row>
    <row r="68" spans="1:7" ht="18.600000000000001">
      <c r="A68" s="241"/>
      <c r="B68" s="242"/>
      <c r="C68" s="243" t="str">
        <f>_xlfn.XLOOKUP(テーブル5[[#This Row],[商品ID]],商品マスタ[商品連番],商品マスタ[商品名],"",0,1)</f>
        <v/>
      </c>
      <c r="D68" s="243" t="str">
        <f>_xlfn.XLOOKUP(テーブル5[[#This Row],[商品ID]],商品マスタ[商品連番],商品マスタ[仕入先],"",0,1)</f>
        <v/>
      </c>
      <c r="E68" s="242"/>
      <c r="F68" s="242"/>
      <c r="G68" s="244"/>
    </row>
    <row r="69" spans="1:7" ht="18.600000000000001">
      <c r="A69" s="241"/>
      <c r="B69" s="242"/>
      <c r="C69" s="243" t="str">
        <f>_xlfn.XLOOKUP(テーブル5[[#This Row],[商品ID]],商品マスタ[商品連番],商品マスタ[商品名],"",0,1)</f>
        <v/>
      </c>
      <c r="D69" s="243" t="str">
        <f>_xlfn.XLOOKUP(テーブル5[[#This Row],[商品ID]],商品マスタ[商品連番],商品マスタ[仕入先],"",0,1)</f>
        <v/>
      </c>
      <c r="E69" s="242"/>
      <c r="F69" s="242"/>
      <c r="G69" s="244"/>
    </row>
    <row r="70" spans="1:7" ht="18.600000000000001">
      <c r="A70" s="241"/>
      <c r="B70" s="242"/>
      <c r="C70" s="243" t="str">
        <f>_xlfn.XLOOKUP(テーブル5[[#This Row],[商品ID]],商品マスタ[商品連番],商品マスタ[商品名],"",0,1)</f>
        <v/>
      </c>
      <c r="D70" s="243" t="str">
        <f>_xlfn.XLOOKUP(テーブル5[[#This Row],[商品ID]],商品マスタ[商品連番],商品マスタ[仕入先],"",0,1)</f>
        <v/>
      </c>
      <c r="E70" s="242"/>
      <c r="F70" s="242"/>
      <c r="G70" s="244"/>
    </row>
    <row r="71" spans="1:7" ht="18.600000000000001">
      <c r="A71" s="241"/>
      <c r="B71" s="242"/>
      <c r="C71" s="243" t="str">
        <f>_xlfn.XLOOKUP(テーブル5[[#This Row],[商品ID]],商品マスタ[商品連番],商品マスタ[商品名],"",0,1)</f>
        <v/>
      </c>
      <c r="D71" s="243" t="str">
        <f>_xlfn.XLOOKUP(テーブル5[[#This Row],[商品ID]],商品マスタ[商品連番],商品マスタ[仕入先],"",0,1)</f>
        <v/>
      </c>
      <c r="E71" s="242"/>
      <c r="F71" s="242"/>
      <c r="G71" s="244"/>
    </row>
    <row r="72" spans="1:7" ht="18.600000000000001">
      <c r="A72" s="241"/>
      <c r="B72" s="242"/>
      <c r="C72" s="243" t="str">
        <f>_xlfn.XLOOKUP(テーブル5[[#This Row],[商品ID]],商品マスタ[商品連番],商品マスタ[商品名],"",0,1)</f>
        <v/>
      </c>
      <c r="D72" s="243" t="str">
        <f>_xlfn.XLOOKUP(テーブル5[[#This Row],[商品ID]],商品マスタ[商品連番],商品マスタ[仕入先],"",0,1)</f>
        <v/>
      </c>
      <c r="E72" s="242"/>
      <c r="F72" s="242"/>
      <c r="G72" s="244"/>
    </row>
    <row r="73" spans="1:7" ht="18.600000000000001">
      <c r="A73" s="241"/>
      <c r="B73" s="242"/>
      <c r="C73" s="243" t="str">
        <f>_xlfn.XLOOKUP(テーブル5[[#This Row],[商品ID]],商品マスタ[商品連番],商品マスタ[商品名],"",0,1)</f>
        <v/>
      </c>
      <c r="D73" s="243" t="str">
        <f>_xlfn.XLOOKUP(テーブル5[[#This Row],[商品ID]],商品マスタ[商品連番],商品マスタ[仕入先],"",0,1)</f>
        <v/>
      </c>
      <c r="E73" s="242"/>
      <c r="F73" s="242"/>
      <c r="G73" s="244"/>
    </row>
    <row r="74" spans="1:7" ht="18.600000000000001">
      <c r="A74" s="241"/>
      <c r="B74" s="242"/>
      <c r="C74" s="243" t="str">
        <f>_xlfn.XLOOKUP(テーブル5[[#This Row],[商品ID]],商品マスタ[商品連番],商品マスタ[商品名],"",0,1)</f>
        <v/>
      </c>
      <c r="D74" s="243" t="str">
        <f>_xlfn.XLOOKUP(テーブル5[[#This Row],[商品ID]],商品マスタ[商品連番],商品マスタ[仕入先],"",0,1)</f>
        <v/>
      </c>
      <c r="E74" s="242"/>
      <c r="F74" s="242"/>
      <c r="G74" s="244"/>
    </row>
    <row r="75" spans="1:7" ht="18.600000000000001">
      <c r="A75" s="241"/>
      <c r="B75" s="242"/>
      <c r="C75" s="243" t="str">
        <f>_xlfn.XLOOKUP(テーブル5[[#This Row],[商品ID]],商品マスタ[商品連番],商品マスタ[商品名],"",0,1)</f>
        <v/>
      </c>
      <c r="D75" s="243" t="str">
        <f>_xlfn.XLOOKUP(テーブル5[[#This Row],[商品ID]],商品マスタ[商品連番],商品マスタ[仕入先],"",0,1)</f>
        <v/>
      </c>
      <c r="E75" s="242"/>
      <c r="F75" s="242"/>
      <c r="G75" s="244"/>
    </row>
    <row r="76" spans="1:7" ht="18.600000000000001">
      <c r="A76" s="241"/>
      <c r="B76" s="242"/>
      <c r="C76" s="243" t="str">
        <f>_xlfn.XLOOKUP(テーブル5[[#This Row],[商品ID]],商品マスタ[商品連番],商品マスタ[商品名],"",0,1)</f>
        <v/>
      </c>
      <c r="D76" s="243" t="str">
        <f>_xlfn.XLOOKUP(テーブル5[[#This Row],[商品ID]],商品マスタ[商品連番],商品マスタ[仕入先],"",0,1)</f>
        <v/>
      </c>
      <c r="E76" s="242"/>
      <c r="F76" s="242"/>
      <c r="G76" s="244"/>
    </row>
    <row r="77" spans="1:7" ht="18.600000000000001">
      <c r="A77" s="241"/>
      <c r="B77" s="242"/>
      <c r="C77" s="243" t="str">
        <f>_xlfn.XLOOKUP(テーブル5[[#This Row],[商品ID]],商品マスタ[商品連番],商品マスタ[商品名],"",0,1)</f>
        <v/>
      </c>
      <c r="D77" s="243" t="str">
        <f>_xlfn.XLOOKUP(テーブル5[[#This Row],[商品ID]],商品マスタ[商品連番],商品マスタ[仕入先],"",0,1)</f>
        <v/>
      </c>
      <c r="E77" s="242"/>
      <c r="F77" s="242"/>
      <c r="G77" s="244"/>
    </row>
    <row r="78" spans="1:7" ht="18.600000000000001">
      <c r="A78" s="241"/>
      <c r="B78" s="242"/>
      <c r="C78" s="243" t="str">
        <f>_xlfn.XLOOKUP(テーブル5[[#This Row],[商品ID]],商品マスタ[商品連番],商品マスタ[商品名],"",0,1)</f>
        <v/>
      </c>
      <c r="D78" s="243" t="str">
        <f>_xlfn.XLOOKUP(テーブル5[[#This Row],[商品ID]],商品マスタ[商品連番],商品マスタ[仕入先],"",0,1)</f>
        <v/>
      </c>
      <c r="E78" s="242"/>
      <c r="F78" s="242"/>
      <c r="G78" s="244"/>
    </row>
    <row r="79" spans="1:7" ht="18.600000000000001">
      <c r="A79" s="241"/>
      <c r="B79" s="242"/>
      <c r="C79" s="243" t="str">
        <f>_xlfn.XLOOKUP(テーブル5[[#This Row],[商品ID]],商品マスタ[商品連番],商品マスタ[商品名],"",0,1)</f>
        <v/>
      </c>
      <c r="D79" s="243" t="str">
        <f>_xlfn.XLOOKUP(テーブル5[[#This Row],[商品ID]],商品マスタ[商品連番],商品マスタ[仕入先],"",0,1)</f>
        <v/>
      </c>
      <c r="E79" s="242"/>
      <c r="F79" s="242"/>
      <c r="G79" s="244"/>
    </row>
    <row r="80" spans="1:7" ht="18.600000000000001">
      <c r="A80" s="241"/>
      <c r="B80" s="242"/>
      <c r="C80" s="243" t="str">
        <f>_xlfn.XLOOKUP(テーブル5[[#This Row],[商品ID]],商品マスタ[商品連番],商品マスタ[商品名],"",0,1)</f>
        <v/>
      </c>
      <c r="D80" s="243" t="str">
        <f>_xlfn.XLOOKUP(テーブル5[[#This Row],[商品ID]],商品マスタ[商品連番],商品マスタ[仕入先],"",0,1)</f>
        <v/>
      </c>
      <c r="E80" s="242"/>
      <c r="F80" s="242"/>
      <c r="G80" s="244"/>
    </row>
    <row r="81" spans="1:7" ht="18.600000000000001">
      <c r="A81" s="241"/>
      <c r="B81" s="242"/>
      <c r="C81" s="243" t="str">
        <f>_xlfn.XLOOKUP(テーブル5[[#This Row],[商品ID]],商品マスタ[商品連番],商品マスタ[商品名],"",0,1)</f>
        <v/>
      </c>
      <c r="D81" s="243" t="str">
        <f>_xlfn.XLOOKUP(テーブル5[[#This Row],[商品ID]],商品マスタ[商品連番],商品マスタ[仕入先],"",0,1)</f>
        <v/>
      </c>
      <c r="E81" s="242"/>
      <c r="F81" s="242"/>
      <c r="G81" s="244"/>
    </row>
    <row r="82" spans="1:7" ht="18.600000000000001">
      <c r="A82" s="241"/>
      <c r="B82" s="242"/>
      <c r="C82" s="243" t="str">
        <f>_xlfn.XLOOKUP(テーブル5[[#This Row],[商品ID]],商品マスタ[商品連番],商品マスタ[商品名],"",0,1)</f>
        <v/>
      </c>
      <c r="D82" s="243" t="str">
        <f>_xlfn.XLOOKUP(テーブル5[[#This Row],[商品ID]],商品マスタ[商品連番],商品マスタ[仕入先],"",0,1)</f>
        <v/>
      </c>
      <c r="E82" s="242"/>
      <c r="F82" s="242"/>
      <c r="G82" s="244"/>
    </row>
    <row r="83" spans="1:7" ht="18.600000000000001">
      <c r="A83" s="241"/>
      <c r="B83" s="242"/>
      <c r="C83" s="243" t="str">
        <f>_xlfn.XLOOKUP(テーブル5[[#This Row],[商品ID]],商品マスタ[商品連番],商品マスタ[商品名],"",0,1)</f>
        <v/>
      </c>
      <c r="D83" s="243" t="str">
        <f>_xlfn.XLOOKUP(テーブル5[[#This Row],[商品ID]],商品マスタ[商品連番],商品マスタ[仕入先],"",0,1)</f>
        <v/>
      </c>
      <c r="E83" s="242"/>
      <c r="F83" s="242"/>
      <c r="G83" s="244"/>
    </row>
    <row r="84" spans="1:7" ht="18.600000000000001">
      <c r="A84" s="241"/>
      <c r="B84" s="242"/>
      <c r="C84" s="243" t="str">
        <f>_xlfn.XLOOKUP(テーブル5[[#This Row],[商品ID]],商品マスタ[商品連番],商品マスタ[商品名],"",0,1)</f>
        <v/>
      </c>
      <c r="D84" s="243" t="str">
        <f>_xlfn.XLOOKUP(テーブル5[[#This Row],[商品ID]],商品マスタ[商品連番],商品マスタ[仕入先],"",0,1)</f>
        <v/>
      </c>
      <c r="E84" s="242"/>
      <c r="F84" s="242"/>
      <c r="G84" s="244"/>
    </row>
    <row r="85" spans="1:7" ht="18.600000000000001">
      <c r="A85" s="241"/>
      <c r="B85" s="242"/>
      <c r="C85" s="243" t="str">
        <f>_xlfn.XLOOKUP(テーブル5[[#This Row],[商品ID]],商品マスタ[商品連番],商品マスタ[商品名],"",0,1)</f>
        <v/>
      </c>
      <c r="D85" s="243" t="str">
        <f>_xlfn.XLOOKUP(テーブル5[[#This Row],[商品ID]],商品マスタ[商品連番],商品マスタ[仕入先],"",0,1)</f>
        <v/>
      </c>
      <c r="E85" s="242"/>
      <c r="F85" s="242"/>
      <c r="G85" s="244"/>
    </row>
    <row r="86" spans="1:7" ht="18.600000000000001">
      <c r="A86" s="241"/>
      <c r="B86" s="242"/>
      <c r="C86" s="243" t="str">
        <f>_xlfn.XLOOKUP(テーブル5[[#This Row],[商品ID]],商品マスタ[商品連番],商品マスタ[商品名],"",0,1)</f>
        <v/>
      </c>
      <c r="D86" s="243" t="str">
        <f>_xlfn.XLOOKUP(テーブル5[[#This Row],[商品ID]],商品マスタ[商品連番],商品マスタ[仕入先],"",0,1)</f>
        <v/>
      </c>
      <c r="E86" s="242"/>
      <c r="F86" s="242"/>
      <c r="G86" s="244"/>
    </row>
    <row r="87" spans="1:7" ht="18.600000000000001">
      <c r="A87" s="241"/>
      <c r="B87" s="242"/>
      <c r="C87" s="243" t="str">
        <f>_xlfn.XLOOKUP(テーブル5[[#This Row],[商品ID]],商品マスタ[商品連番],商品マスタ[商品名],"",0,1)</f>
        <v/>
      </c>
      <c r="D87" s="243" t="str">
        <f>_xlfn.XLOOKUP(テーブル5[[#This Row],[商品ID]],商品マスタ[商品連番],商品マスタ[仕入先],"",0,1)</f>
        <v/>
      </c>
      <c r="E87" s="242"/>
      <c r="F87" s="242"/>
      <c r="G87" s="244"/>
    </row>
    <row r="88" spans="1:7" ht="18.600000000000001">
      <c r="A88" s="241"/>
      <c r="B88" s="242"/>
      <c r="C88" s="243" t="str">
        <f>_xlfn.XLOOKUP(テーブル5[[#This Row],[商品ID]],商品マスタ[商品連番],商品マスタ[商品名],"",0,1)</f>
        <v/>
      </c>
      <c r="D88" s="243" t="str">
        <f>_xlfn.XLOOKUP(テーブル5[[#This Row],[商品ID]],商品マスタ[商品連番],商品マスタ[仕入先],"",0,1)</f>
        <v/>
      </c>
      <c r="E88" s="242"/>
      <c r="F88" s="242"/>
      <c r="G88" s="244"/>
    </row>
    <row r="89" spans="1:7" ht="18.600000000000001">
      <c r="A89" s="241"/>
      <c r="B89" s="242"/>
      <c r="C89" s="243" t="str">
        <f>_xlfn.XLOOKUP(テーブル5[[#This Row],[商品ID]],商品マスタ[商品連番],商品マスタ[商品名],"",0,1)</f>
        <v/>
      </c>
      <c r="D89" s="243" t="str">
        <f>_xlfn.XLOOKUP(テーブル5[[#This Row],[商品ID]],商品マスタ[商品連番],商品マスタ[仕入先],"",0,1)</f>
        <v/>
      </c>
      <c r="E89" s="242"/>
      <c r="F89" s="242"/>
      <c r="G89" s="244"/>
    </row>
    <row r="90" spans="1:7" ht="18.600000000000001">
      <c r="A90" s="241"/>
      <c r="B90" s="242"/>
      <c r="C90" s="243" t="str">
        <f>_xlfn.XLOOKUP(テーブル5[[#This Row],[商品ID]],商品マスタ[商品連番],商品マスタ[商品名],"",0,1)</f>
        <v/>
      </c>
      <c r="D90" s="243" t="str">
        <f>_xlfn.XLOOKUP(テーブル5[[#This Row],[商品ID]],商品マスタ[商品連番],商品マスタ[仕入先],"",0,1)</f>
        <v/>
      </c>
      <c r="E90" s="242"/>
      <c r="F90" s="242"/>
      <c r="G90" s="244"/>
    </row>
    <row r="91" spans="1:7" ht="18.600000000000001">
      <c r="A91" s="241"/>
      <c r="B91" s="242"/>
      <c r="C91" s="243" t="str">
        <f>_xlfn.XLOOKUP(テーブル5[[#This Row],[商品ID]],商品マスタ[商品連番],商品マスタ[商品名],"",0,1)</f>
        <v/>
      </c>
      <c r="D91" s="243" t="str">
        <f>_xlfn.XLOOKUP(テーブル5[[#This Row],[商品ID]],商品マスタ[商品連番],商品マスタ[仕入先],"",0,1)</f>
        <v/>
      </c>
      <c r="E91" s="242"/>
      <c r="F91" s="242"/>
      <c r="G91" s="244"/>
    </row>
    <row r="92" spans="1:7" ht="18.600000000000001">
      <c r="A92" s="241"/>
      <c r="B92" s="242"/>
      <c r="C92" s="243" t="str">
        <f>_xlfn.XLOOKUP(テーブル5[[#This Row],[商品ID]],商品マスタ[商品連番],商品マスタ[商品名],"",0,1)</f>
        <v/>
      </c>
      <c r="D92" s="243" t="str">
        <f>_xlfn.XLOOKUP(テーブル5[[#This Row],[商品ID]],商品マスタ[商品連番],商品マスタ[仕入先],"",0,1)</f>
        <v/>
      </c>
      <c r="E92" s="242"/>
      <c r="F92" s="242"/>
      <c r="G92" s="244"/>
    </row>
    <row r="93" spans="1:7" ht="18.600000000000001">
      <c r="A93" s="241"/>
      <c r="B93" s="242"/>
      <c r="C93" s="243" t="str">
        <f>_xlfn.XLOOKUP(テーブル5[[#This Row],[商品ID]],商品マスタ[商品連番],商品マスタ[商品名],"",0,1)</f>
        <v/>
      </c>
      <c r="D93" s="243" t="str">
        <f>_xlfn.XLOOKUP(テーブル5[[#This Row],[商品ID]],商品マスタ[商品連番],商品マスタ[仕入先],"",0,1)</f>
        <v/>
      </c>
      <c r="E93" s="242"/>
      <c r="F93" s="242"/>
      <c r="G93" s="244"/>
    </row>
    <row r="94" spans="1:7" ht="18.600000000000001">
      <c r="A94" s="241"/>
      <c r="B94" s="242"/>
      <c r="C94" s="243" t="str">
        <f>_xlfn.XLOOKUP(テーブル5[[#This Row],[商品ID]],商品マスタ[商品連番],商品マスタ[商品名],"",0,1)</f>
        <v/>
      </c>
      <c r="D94" s="243" t="str">
        <f>_xlfn.XLOOKUP(テーブル5[[#This Row],[商品ID]],商品マスタ[商品連番],商品マスタ[仕入先],"",0,1)</f>
        <v/>
      </c>
      <c r="E94" s="242"/>
      <c r="F94" s="242"/>
      <c r="G94" s="244"/>
    </row>
    <row r="95" spans="1:7" ht="18.600000000000001">
      <c r="A95" s="241"/>
      <c r="B95" s="242"/>
      <c r="C95" s="243" t="str">
        <f>_xlfn.XLOOKUP(テーブル5[[#This Row],[商品ID]],商品マスタ[商品連番],商品マスタ[商品名],"",0,1)</f>
        <v/>
      </c>
      <c r="D95" s="243" t="str">
        <f>_xlfn.XLOOKUP(テーブル5[[#This Row],[商品ID]],商品マスタ[商品連番],商品マスタ[仕入先],"",0,1)</f>
        <v/>
      </c>
      <c r="E95" s="242"/>
      <c r="F95" s="242"/>
      <c r="G95" s="244"/>
    </row>
    <row r="96" spans="1:7" ht="18.600000000000001">
      <c r="A96" s="241"/>
      <c r="B96" s="242"/>
      <c r="C96" s="243" t="str">
        <f>_xlfn.XLOOKUP(テーブル5[[#This Row],[商品ID]],商品マスタ[商品連番],商品マスタ[商品名],"",0,1)</f>
        <v/>
      </c>
      <c r="D96" s="243" t="str">
        <f>_xlfn.XLOOKUP(テーブル5[[#This Row],[商品ID]],商品マスタ[商品連番],商品マスタ[仕入先],"",0,1)</f>
        <v/>
      </c>
      <c r="E96" s="242"/>
      <c r="F96" s="242"/>
      <c r="G96" s="244"/>
    </row>
    <row r="97" spans="1:7" ht="18.600000000000001">
      <c r="A97" s="241"/>
      <c r="B97" s="242"/>
      <c r="C97" s="243" t="str">
        <f>_xlfn.XLOOKUP(テーブル5[[#This Row],[商品ID]],商品マスタ[商品連番],商品マスタ[商品名],"",0,1)</f>
        <v/>
      </c>
      <c r="D97" s="243" t="str">
        <f>_xlfn.XLOOKUP(テーブル5[[#This Row],[商品ID]],商品マスタ[商品連番],商品マスタ[仕入先],"",0,1)</f>
        <v/>
      </c>
      <c r="E97" s="242"/>
      <c r="F97" s="242"/>
      <c r="G97" s="244"/>
    </row>
    <row r="98" spans="1:7" ht="18.600000000000001">
      <c r="A98" s="241"/>
      <c r="B98" s="242"/>
      <c r="C98" s="243" t="str">
        <f>_xlfn.XLOOKUP(テーブル5[[#This Row],[商品ID]],商品マスタ[商品連番],商品マスタ[商品名],"",0,1)</f>
        <v/>
      </c>
      <c r="D98" s="243" t="str">
        <f>_xlfn.XLOOKUP(テーブル5[[#This Row],[商品ID]],商品マスタ[商品連番],商品マスタ[仕入先],"",0,1)</f>
        <v/>
      </c>
      <c r="E98" s="242"/>
      <c r="F98" s="242"/>
      <c r="G98" s="244"/>
    </row>
    <row r="99" spans="1:7" ht="18.600000000000001">
      <c r="A99" s="241"/>
      <c r="B99" s="242"/>
      <c r="C99" s="243" t="str">
        <f>_xlfn.XLOOKUP(テーブル5[[#This Row],[商品ID]],商品マスタ[商品連番],商品マスタ[商品名],"",0,1)</f>
        <v/>
      </c>
      <c r="D99" s="243" t="str">
        <f>_xlfn.XLOOKUP(テーブル5[[#This Row],[商品ID]],商品マスタ[商品連番],商品マスタ[仕入先],"",0,1)</f>
        <v/>
      </c>
      <c r="E99" s="242"/>
      <c r="F99" s="242"/>
      <c r="G99" s="244"/>
    </row>
    <row r="100" spans="1:7" ht="18.600000000000001">
      <c r="A100" s="241"/>
      <c r="B100" s="242"/>
      <c r="C100" s="243" t="str">
        <f>_xlfn.XLOOKUP(テーブル5[[#This Row],[商品ID]],商品マスタ[商品連番],商品マスタ[商品名],"",0,1)</f>
        <v/>
      </c>
      <c r="D100" s="243" t="str">
        <f>_xlfn.XLOOKUP(テーブル5[[#This Row],[商品ID]],商品マスタ[商品連番],商品マスタ[仕入先],"",0,1)</f>
        <v/>
      </c>
      <c r="E100" s="242"/>
      <c r="F100" s="242"/>
      <c r="G100" s="244"/>
    </row>
    <row r="101" spans="1:7" ht="18.600000000000001">
      <c r="A101" s="241"/>
      <c r="B101" s="242"/>
      <c r="C101" s="243" t="str">
        <f>_xlfn.XLOOKUP(テーブル5[[#This Row],[商品ID]],商品マスタ[商品連番],商品マスタ[商品名],"",0,1)</f>
        <v/>
      </c>
      <c r="D101" s="243" t="str">
        <f>_xlfn.XLOOKUP(テーブル5[[#This Row],[商品ID]],商品マスタ[商品連番],商品マスタ[仕入先],"",0,1)</f>
        <v/>
      </c>
      <c r="E101" s="242"/>
      <c r="F101" s="242"/>
      <c r="G101" s="244"/>
    </row>
    <row r="102" spans="1:7" ht="18.600000000000001">
      <c r="A102" s="241"/>
      <c r="B102" s="242"/>
      <c r="C102" s="243" t="str">
        <f>_xlfn.XLOOKUP(テーブル5[[#This Row],[商品ID]],商品マスタ[商品連番],商品マスタ[商品名],"",0,1)</f>
        <v/>
      </c>
      <c r="D102" s="243" t="str">
        <f>_xlfn.XLOOKUP(テーブル5[[#This Row],[商品ID]],商品マスタ[商品連番],商品マスタ[仕入先],"",0,1)</f>
        <v/>
      </c>
      <c r="E102" s="242"/>
      <c r="F102" s="242"/>
      <c r="G102" s="244"/>
    </row>
    <row r="103" spans="1:7" ht="18.600000000000001">
      <c r="A103" s="241"/>
      <c r="B103" s="242"/>
      <c r="C103" s="243" t="str">
        <f>_xlfn.XLOOKUP(テーブル5[[#This Row],[商品ID]],商品マスタ[商品連番],商品マスタ[商品名],"",0,1)</f>
        <v/>
      </c>
      <c r="D103" s="243" t="str">
        <f>_xlfn.XLOOKUP(テーブル5[[#This Row],[商品ID]],商品マスタ[商品連番],商品マスタ[仕入先],"",0,1)</f>
        <v/>
      </c>
      <c r="E103" s="242"/>
      <c r="F103" s="242"/>
      <c r="G103" s="244"/>
    </row>
    <row r="104" spans="1:7" ht="18.600000000000001">
      <c r="A104" s="241"/>
      <c r="B104" s="242"/>
      <c r="C104" s="243" t="str">
        <f>_xlfn.XLOOKUP(テーブル5[[#This Row],[商品ID]],商品マスタ[商品連番],商品マスタ[商品名],"",0,1)</f>
        <v/>
      </c>
      <c r="D104" s="243" t="str">
        <f>_xlfn.XLOOKUP(テーブル5[[#This Row],[商品ID]],商品マスタ[商品連番],商品マスタ[仕入先],"",0,1)</f>
        <v/>
      </c>
      <c r="E104" s="242"/>
      <c r="F104" s="242"/>
      <c r="G104" s="244"/>
    </row>
    <row r="105" spans="1:7" ht="18.600000000000001">
      <c r="A105" s="241"/>
      <c r="B105" s="242"/>
      <c r="C105" s="243" t="str">
        <f>_xlfn.XLOOKUP(テーブル5[[#This Row],[商品ID]],商品マスタ[商品連番],商品マスタ[商品名],"",0,1)</f>
        <v/>
      </c>
      <c r="D105" s="243" t="str">
        <f>_xlfn.XLOOKUP(テーブル5[[#This Row],[商品ID]],商品マスタ[商品連番],商品マスタ[仕入先],"",0,1)</f>
        <v/>
      </c>
      <c r="E105" s="242"/>
      <c r="F105" s="242"/>
      <c r="G105" s="244"/>
    </row>
    <row r="106" spans="1:7" ht="18.600000000000001">
      <c r="A106" s="241"/>
      <c r="B106" s="242"/>
      <c r="C106" s="243" t="str">
        <f>_xlfn.XLOOKUP(テーブル5[[#This Row],[商品ID]],商品マスタ[商品連番],商品マスタ[商品名],"",0,1)</f>
        <v/>
      </c>
      <c r="D106" s="243" t="str">
        <f>_xlfn.XLOOKUP(テーブル5[[#This Row],[商品ID]],商品マスタ[商品連番],商品マスタ[仕入先],"",0,1)</f>
        <v/>
      </c>
      <c r="E106" s="242"/>
      <c r="F106" s="242"/>
      <c r="G106" s="244"/>
    </row>
    <row r="107" spans="1:7" ht="18.600000000000001">
      <c r="A107" s="241"/>
      <c r="B107" s="242"/>
      <c r="C107" s="243" t="str">
        <f>_xlfn.XLOOKUP(テーブル5[[#This Row],[商品ID]],商品マスタ[商品連番],商品マスタ[商品名],"",0,1)</f>
        <v/>
      </c>
      <c r="D107" s="243" t="str">
        <f>_xlfn.XLOOKUP(テーブル5[[#This Row],[商品ID]],商品マスタ[商品連番],商品マスタ[仕入先],"",0,1)</f>
        <v/>
      </c>
      <c r="E107" s="242"/>
      <c r="F107" s="242"/>
      <c r="G107" s="244"/>
    </row>
    <row r="108" spans="1:7" ht="18.600000000000001">
      <c r="A108" s="241"/>
      <c r="B108" s="242"/>
      <c r="C108" s="243" t="str">
        <f>_xlfn.XLOOKUP(テーブル5[[#This Row],[商品ID]],商品マスタ[商品連番],商品マスタ[商品名],"",0,1)</f>
        <v/>
      </c>
      <c r="D108" s="243" t="str">
        <f>_xlfn.XLOOKUP(テーブル5[[#This Row],[商品ID]],商品マスタ[商品連番],商品マスタ[仕入先],"",0,1)</f>
        <v/>
      </c>
      <c r="E108" s="242"/>
      <c r="F108" s="242"/>
      <c r="G108" s="244"/>
    </row>
    <row r="109" spans="1:7" ht="18.600000000000001">
      <c r="A109" s="241"/>
      <c r="B109" s="242"/>
      <c r="C109" s="243" t="str">
        <f>_xlfn.XLOOKUP(テーブル5[[#This Row],[商品ID]],商品マスタ[商品連番],商品マスタ[商品名],"",0,1)</f>
        <v/>
      </c>
      <c r="D109" s="243" t="str">
        <f>_xlfn.XLOOKUP(テーブル5[[#This Row],[商品ID]],商品マスタ[商品連番],商品マスタ[仕入先],"",0,1)</f>
        <v/>
      </c>
      <c r="E109" s="242"/>
      <c r="F109" s="242"/>
      <c r="G109" s="244"/>
    </row>
    <row r="110" spans="1:7" ht="18.600000000000001">
      <c r="A110" s="241"/>
      <c r="B110" s="242"/>
      <c r="C110" s="243" t="str">
        <f>_xlfn.XLOOKUP(テーブル5[[#This Row],[商品ID]],商品マスタ[商品連番],商品マスタ[商品名],"",0,1)</f>
        <v/>
      </c>
      <c r="D110" s="243" t="str">
        <f>_xlfn.XLOOKUP(テーブル5[[#This Row],[商品ID]],商品マスタ[商品連番],商品マスタ[仕入先],"",0,1)</f>
        <v/>
      </c>
      <c r="E110" s="242"/>
      <c r="F110" s="242"/>
      <c r="G110" s="244"/>
    </row>
    <row r="111" spans="1:7" ht="18.600000000000001">
      <c r="A111" s="241"/>
      <c r="B111" s="242"/>
      <c r="C111" s="243" t="str">
        <f>_xlfn.XLOOKUP(テーブル5[[#This Row],[商品ID]],商品マスタ[商品連番],商品マスタ[商品名],"",0,1)</f>
        <v/>
      </c>
      <c r="D111" s="243" t="str">
        <f>_xlfn.XLOOKUP(テーブル5[[#This Row],[商品ID]],商品マスタ[商品連番],商品マスタ[仕入先],"",0,1)</f>
        <v/>
      </c>
      <c r="E111" s="242"/>
      <c r="F111" s="242"/>
      <c r="G111" s="244"/>
    </row>
    <row r="112" spans="1:7" ht="18.600000000000001">
      <c r="A112" s="241"/>
      <c r="B112" s="242"/>
      <c r="C112" s="243" t="str">
        <f>_xlfn.XLOOKUP(テーブル5[[#This Row],[商品ID]],商品マスタ[商品連番],商品マスタ[商品名],"",0,1)</f>
        <v/>
      </c>
      <c r="D112" s="243" t="str">
        <f>_xlfn.XLOOKUP(テーブル5[[#This Row],[商品ID]],商品マスタ[商品連番],商品マスタ[仕入先],"",0,1)</f>
        <v/>
      </c>
      <c r="E112" s="242"/>
      <c r="F112" s="242"/>
      <c r="G112" s="244"/>
    </row>
    <row r="113" spans="1:7" ht="18.600000000000001">
      <c r="A113" s="245"/>
      <c r="B113" s="246"/>
      <c r="C113" s="247" t="str">
        <f>_xlfn.XLOOKUP(テーブル5[[#This Row],[商品ID]],商品マスタ[商品連番],商品マスタ[商品名],"",0,1)</f>
        <v/>
      </c>
      <c r="D113" s="247" t="str">
        <f>_xlfn.XLOOKUP(テーブル5[[#This Row],[商品ID]],商品マスタ[商品連番],商品マスタ[仕入先],"",0,1)</f>
        <v/>
      </c>
      <c r="E113" s="246"/>
      <c r="F113" s="246"/>
      <c r="G113" s="248"/>
    </row>
  </sheetData>
  <phoneticPr fontId="3"/>
  <conditionalFormatting sqref="B2:B113">
    <cfRule type="duplicateValues" dxfId="16" priority="1"/>
  </conditionalFormatting>
  <dataValidations count="2">
    <dataValidation type="list" allowBlank="1" error="「済」と入力してください" sqref="F2:F101" xr:uid="{6FC517A4-FA43-4C37-85B1-AE3714E2CDF6}">
      <formula1>"済"</formula1>
    </dataValidation>
    <dataValidation type="list" allowBlank="1" error="A, B, C のいずれかを入力してください" sqref="E2:E101" xr:uid="{89A327CB-E061-4121-96C6-0327C6ACA74C}">
      <formula1>"A,B,C"</formula1>
    </dataValidation>
  </dataValidations>
  <pageMargins left="0.75" right="0.75" top="1" bottom="1" header="0.5" footer="0.5"/>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07380-5795-4BB5-9EFC-A98CDCB84658}">
  <dimension ref="A1:C12"/>
  <sheetViews>
    <sheetView workbookViewId="0">
      <selection activeCell="A11" sqref="A11"/>
    </sheetView>
  </sheetViews>
  <sheetFormatPr defaultRowHeight="18"/>
  <cols>
    <col min="1" max="1" width="14.59765625" bestFit="1" customWidth="1"/>
    <col min="2" max="3" width="22.19921875" bestFit="1" customWidth="1"/>
    <col min="4" max="4" width="10.5" bestFit="1" customWidth="1"/>
  </cols>
  <sheetData>
    <row r="1" spans="1:3">
      <c r="A1" s="251" t="s">
        <v>1919</v>
      </c>
      <c r="B1" s="53" t="s">
        <v>1921</v>
      </c>
    </row>
    <row r="3" spans="1:3">
      <c r="A3" s="251" t="s">
        <v>1910</v>
      </c>
      <c r="B3" s="53" t="s">
        <v>1918</v>
      </c>
      <c r="C3" s="53" t="s">
        <v>1917</v>
      </c>
    </row>
    <row r="4" spans="1:3">
      <c r="A4" s="252" t="s">
        <v>1081</v>
      </c>
      <c r="B4" s="259">
        <v>143325</v>
      </c>
      <c r="C4" s="259">
        <v>171282</v>
      </c>
    </row>
    <row r="5" spans="1:3">
      <c r="A5" s="252" t="s">
        <v>1906</v>
      </c>
      <c r="B5" s="259">
        <v>43277</v>
      </c>
      <c r="C5" s="259">
        <v>92508</v>
      </c>
    </row>
    <row r="6" spans="1:3">
      <c r="A6" s="252" t="s">
        <v>1911</v>
      </c>
      <c r="B6" s="259">
        <v>16568.518518518518</v>
      </c>
      <c r="C6" s="259">
        <v>19360</v>
      </c>
    </row>
    <row r="7" spans="1:3">
      <c r="A7" s="252" t="s">
        <v>1912</v>
      </c>
      <c r="B7" s="259">
        <v>24060</v>
      </c>
      <c r="C7" s="259">
        <v>28560</v>
      </c>
    </row>
    <row r="8" spans="1:3">
      <c r="A8" s="252" t="s">
        <v>1133</v>
      </c>
      <c r="B8" s="259">
        <v>22514</v>
      </c>
      <c r="C8" s="259">
        <v>49394</v>
      </c>
    </row>
    <row r="9" spans="1:3">
      <c r="A9" s="252" t="s">
        <v>1893</v>
      </c>
      <c r="B9" s="259">
        <v>8000</v>
      </c>
      <c r="C9" s="259">
        <v>10000</v>
      </c>
    </row>
    <row r="10" spans="1:3">
      <c r="A10" s="252" t="s">
        <v>1913</v>
      </c>
      <c r="B10" s="259">
        <v>0</v>
      </c>
      <c r="C10" s="259">
        <v>0</v>
      </c>
    </row>
    <row r="11" spans="1:3">
      <c r="A11" s="252" t="s">
        <v>1844</v>
      </c>
      <c r="B11" s="259">
        <v>37885</v>
      </c>
      <c r="C11" s="259">
        <v>47798</v>
      </c>
    </row>
    <row r="12" spans="1:3">
      <c r="A12" s="252" t="s">
        <v>1914</v>
      </c>
      <c r="B12" s="259">
        <v>295629.51851851854</v>
      </c>
      <c r="C12" s="259">
        <v>418902</v>
      </c>
    </row>
  </sheetData>
  <phoneticPr fontId="3"/>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38238-2274-446F-81B8-FE0D1A896182}">
  <sheetPr>
    <pageSetUpPr fitToPage="1"/>
  </sheetPr>
  <dimension ref="A1:H50"/>
  <sheetViews>
    <sheetView topLeftCell="A11" zoomScale="81" workbookViewId="0">
      <selection activeCell="G21" sqref="G21:G22"/>
    </sheetView>
  </sheetViews>
  <sheetFormatPr defaultColWidth="9" defaultRowHeight="18"/>
  <cols>
    <col min="1" max="1" width="7.69921875" style="1" customWidth="1"/>
    <col min="2" max="2" width="43.59765625" style="1" bestFit="1" customWidth="1"/>
    <col min="3" max="3" width="10" style="1" customWidth="1"/>
    <col min="4" max="4" width="8" style="1" customWidth="1"/>
    <col min="5" max="5" width="12" style="1" customWidth="1"/>
    <col min="6" max="6" width="14" style="1" customWidth="1"/>
    <col min="7" max="7" width="21.5" style="1" customWidth="1"/>
    <col min="8" max="8" width="24.19921875" style="1" customWidth="1"/>
    <col min="9" max="16384" width="9" style="1"/>
  </cols>
  <sheetData>
    <row r="1" spans="1:8">
      <c r="B1" s="122" t="s">
        <v>1219</v>
      </c>
      <c r="C1" s="63" t="s">
        <v>1874</v>
      </c>
    </row>
    <row r="3" spans="1:8" ht="45.75" customHeight="1">
      <c r="A3" s="277" t="s">
        <v>1169</v>
      </c>
      <c r="B3" s="278"/>
      <c r="C3" s="278"/>
      <c r="D3" s="278"/>
      <c r="E3" s="278"/>
      <c r="F3" s="278"/>
      <c r="G3" s="278"/>
      <c r="H3" s="278"/>
    </row>
    <row r="5" spans="1:8">
      <c r="G5" s="3" t="s">
        <v>809</v>
      </c>
      <c r="H5" s="64">
        <f ca="1">TODAY()</f>
        <v>46098</v>
      </c>
    </row>
    <row r="6" spans="1:8" ht="32.4">
      <c r="A6" s="4" t="str">
        <f>_xlfn.XLOOKUP($C$1,tbl_明細[案件番号],tbl_明細[顧客名],"",0,1)&amp;" 御中"</f>
        <v>フェリーサービス株式会社 御中</v>
      </c>
      <c r="G6" s="3" t="s">
        <v>811</v>
      </c>
      <c r="H6" s="3" t="str">
        <f>IF(C1="","","EST-SNJ-"&amp;C1)</f>
        <v>EST-SNJ-2602-1001-A01</v>
      </c>
    </row>
    <row r="7" spans="1:8" ht="22.2">
      <c r="A7" s="5"/>
      <c r="F7" s="6"/>
      <c r="G7" s="7"/>
      <c r="H7" s="8"/>
    </row>
    <row r="8" spans="1:8">
      <c r="F8" s="9"/>
      <c r="H8" s="10"/>
    </row>
    <row r="9" spans="1:8">
      <c r="F9" s="11" t="s">
        <v>812</v>
      </c>
      <c r="H9" s="10"/>
    </row>
    <row r="10" spans="1:8" ht="18.75" customHeight="1">
      <c r="F10" s="11" t="s">
        <v>813</v>
      </c>
      <c r="H10" s="10"/>
    </row>
    <row r="11" spans="1:8" ht="18.75" customHeight="1">
      <c r="A11" s="1" t="s">
        <v>1170</v>
      </c>
      <c r="E11" s="10"/>
      <c r="F11" s="11" t="s">
        <v>814</v>
      </c>
      <c r="H11" s="10"/>
    </row>
    <row r="12" spans="1:8" ht="18.75" customHeight="1">
      <c r="A12" s="279" t="str">
        <f>"見積金額（税込）　　"&amp;TEXT(G37,"\#,##0")</f>
        <v>見積金額（税込）　　¥51,705</v>
      </c>
      <c r="B12" s="279"/>
      <c r="C12" s="279"/>
      <c r="D12" s="279"/>
      <c r="E12" s="12"/>
      <c r="F12" s="11" t="s">
        <v>815</v>
      </c>
      <c r="H12" s="10"/>
    </row>
    <row r="13" spans="1:8" ht="19.5" customHeight="1" thickBot="1">
      <c r="A13" s="280"/>
      <c r="B13" s="280"/>
      <c r="C13" s="280"/>
      <c r="D13" s="280"/>
      <c r="E13" s="12"/>
      <c r="F13" s="13" t="s">
        <v>816</v>
      </c>
      <c r="G13" s="14"/>
      <c r="H13" s="15"/>
    </row>
    <row r="15" spans="1:8">
      <c r="F15" s="1" t="s">
        <v>817</v>
      </c>
    </row>
    <row r="16" spans="1:8" ht="20.25" customHeight="1">
      <c r="A16" s="202" t="s">
        <v>807</v>
      </c>
      <c r="B16" s="202" t="s">
        <v>150</v>
      </c>
      <c r="C16" s="202" t="s">
        <v>818</v>
      </c>
      <c r="D16" s="202" t="s">
        <v>153</v>
      </c>
      <c r="E16" s="202" t="s">
        <v>1929</v>
      </c>
      <c r="F16" s="202" t="s">
        <v>841</v>
      </c>
      <c r="G16" s="202" t="s">
        <v>1932</v>
      </c>
      <c r="H16" s="202" t="s">
        <v>808</v>
      </c>
    </row>
    <row r="17" spans="1:8" ht="20.25" customHeight="1">
      <c r="A17" s="16" cm="1">
        <f t="array" ref="A17:F20">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tbl_明細[販売価格（M)]*(1+tbl_明細[税率（M）]), tbl_明細[販売価格（売値）]*(1+tbl_明細[税率])),
    IF(LEFT(tbl_明細[商品ID],4)&lt;&gt;"PRD_", tbl_明細[税率（M）],tbl_明細[税率])
  ),
  (tbl_明細[案件番号]=$C$1)*(tbl_明細[(非表示）販売価格の和] &gt; 0),
  "該当なし"
)</f>
        <v>1</v>
      </c>
      <c r="B17" s="16" t="str">
        <v>雁の音ほうじ茶壱之棒（ティーバッグ） 45袋</v>
      </c>
      <c r="C17" s="16">
        <v>10</v>
      </c>
      <c r="D17" s="2" t="str">
        <v>パック</v>
      </c>
      <c r="E17" s="17">
        <v>1250</v>
      </c>
      <c r="F17" s="18">
        <v>0.08</v>
      </c>
      <c r="G17" s="192">
        <f>IF(ISBLANK(B17),"",C17*E17)</f>
        <v>12500</v>
      </c>
      <c r="H17" s="16" t="str" cm="1">
        <f t="array" ref="H17">IF(ISBLANK(_xlfn.XLOOKUP($C$1&amp;A17,tbl_明細[案件番号]&amp;tbl_明細[No],tbl_明細[備考（顧客向け）],"",0,1)),"",_xlfn.XLOOKUP($C$1&amp;A17,tbl_明細[案件番号]&amp;tbl_明細[No],tbl_明細[備考（顧客向け）],"",0,1))</f>
        <v>舞鶴港向け</v>
      </c>
    </row>
    <row r="18" spans="1:8" ht="20.25" customHeight="1">
      <c r="A18" s="16">
        <v>2</v>
      </c>
      <c r="B18" s="16" t="str">
        <v>送料（京都）</v>
      </c>
      <c r="C18" s="16">
        <v>1</v>
      </c>
      <c r="D18" s="2" t="str">
        <v>式</v>
      </c>
      <c r="E18" s="17">
        <v>770.00000000000011</v>
      </c>
      <c r="F18" s="18">
        <v>0.1</v>
      </c>
      <c r="G18" s="192">
        <f t="shared" ref="G18:G36" si="0">IF(ISBLANK(B18),"",C18*E18)</f>
        <v>770.00000000000011</v>
      </c>
      <c r="H18" s="16" t="str" cm="1">
        <f t="array" ref="H18">IF(ISBLANK(_xlfn.XLOOKUP($C$1&amp;A18,tbl_明細[案件番号]&amp;tbl_明細[No],tbl_明細[備考（顧客向け）],"",0,1)),"",_xlfn.XLOOKUP($C$1&amp;A18,tbl_明細[案件番号]&amp;tbl_明細[No],tbl_明細[備考（顧客向け）],"",0,1))</f>
        <v>舞鶴港向け</v>
      </c>
    </row>
    <row r="19" spans="1:8" ht="20.25" customHeight="1">
      <c r="A19" s="16">
        <v>3</v>
      </c>
      <c r="B19" s="16" t="str">
        <v>雁の音ほうじ茶壱之棒（ティーバッグ） 45袋</v>
      </c>
      <c r="C19" s="16">
        <v>30</v>
      </c>
      <c r="D19" s="2" t="str">
        <v>パック</v>
      </c>
      <c r="E19" s="17">
        <v>1250</v>
      </c>
      <c r="F19" s="18">
        <v>0.08</v>
      </c>
      <c r="G19" s="192">
        <f t="shared" si="0"/>
        <v>37500</v>
      </c>
      <c r="H19" s="16" t="str" cm="1">
        <f t="array" ref="H19">IF(ISBLANK(_xlfn.XLOOKUP($C$1&amp;A19,tbl_明細[案件番号]&amp;tbl_明細[No],tbl_明細[備考（顧客向け）],"",0,1)),"",_xlfn.XLOOKUP($C$1&amp;A19,tbl_明細[案件番号]&amp;tbl_明細[No],tbl_明細[備考（顧客向け）],"",0,1))</f>
        <v>敦賀港向け</v>
      </c>
    </row>
    <row r="20" spans="1:8" ht="20.25" customHeight="1">
      <c r="A20" s="16">
        <v>4</v>
      </c>
      <c r="B20" s="16" t="str">
        <v>送料（福井）</v>
      </c>
      <c r="C20" s="16">
        <v>1</v>
      </c>
      <c r="D20" s="2" t="str">
        <v>式</v>
      </c>
      <c r="E20" s="17">
        <v>935.00000000000011</v>
      </c>
      <c r="F20" s="18">
        <v>0.1</v>
      </c>
      <c r="G20" s="192">
        <f t="shared" si="0"/>
        <v>935.00000000000011</v>
      </c>
      <c r="H20" s="16" t="str" cm="1">
        <f t="array" ref="H20">IF(ISBLANK(_xlfn.XLOOKUP($C$1&amp;A20,tbl_明細[案件番号]&amp;tbl_明細[No],tbl_明細[備考（顧客向け）],"",0,1)),"",_xlfn.XLOOKUP($C$1&amp;A20,tbl_明細[案件番号]&amp;tbl_明細[No],tbl_明細[備考（顧客向け）],"",0,1))</f>
        <v>敦賀港向け</v>
      </c>
    </row>
    <row r="21" spans="1:8" ht="20.25" customHeight="1">
      <c r="A21" s="16"/>
      <c r="B21" s="16"/>
      <c r="C21" s="16"/>
      <c r="D21" s="2"/>
      <c r="E21" s="17"/>
      <c r="F21" s="18"/>
      <c r="G21" s="192" t="str">
        <f t="shared" si="0"/>
        <v/>
      </c>
      <c r="H21" s="16" t="str" cm="1">
        <f t="array" ref="H21">IF(ISBLANK(_xlfn.XLOOKUP($C$1&amp;A21,tbl_明細[案件番号]&amp;tbl_明細[No],tbl_明細[備考（顧客向け）],"",0,1)),"",_xlfn.XLOOKUP($C$1&amp;A21,tbl_明細[案件番号]&amp;tbl_明細[No],tbl_明細[備考（顧客向け）],"",0,1))</f>
        <v/>
      </c>
    </row>
    <row r="22" spans="1:8" ht="20.25" customHeight="1">
      <c r="A22" s="16"/>
      <c r="B22" s="16"/>
      <c r="C22" s="16"/>
      <c r="D22" s="2"/>
      <c r="E22" s="17"/>
      <c r="F22" s="18"/>
      <c r="G22" s="192" t="str">
        <f t="shared" si="0"/>
        <v/>
      </c>
      <c r="H22" s="16" t="str" cm="1">
        <f t="array" ref="H22">IF(ISBLANK(_xlfn.XLOOKUP($C$1&amp;A22,tbl_明細[案件番号]&amp;tbl_明細[No],tbl_明細[備考（顧客向け）],"",0,1)),"",_xlfn.XLOOKUP($C$1&amp;A22,tbl_明細[案件番号]&amp;tbl_明細[No],tbl_明細[備考（顧客向け）],"",0,1))</f>
        <v/>
      </c>
    </row>
    <row r="23" spans="1:8" ht="20.25" customHeight="1">
      <c r="A23" s="16"/>
      <c r="B23" s="16"/>
      <c r="C23" s="16"/>
      <c r="D23" s="2"/>
      <c r="E23" s="17"/>
      <c r="F23" s="18"/>
      <c r="G23" s="192" t="str">
        <f t="shared" si="0"/>
        <v/>
      </c>
      <c r="H23" s="16" t="str" cm="1">
        <f t="array" ref="H23">IF(ISBLANK(_xlfn.XLOOKUP($C$1&amp;A23,tbl_明細[案件番号]&amp;tbl_明細[No],tbl_明細[備考（顧客向け）],"",0,1)),"",_xlfn.XLOOKUP($C$1&amp;A23,tbl_明細[案件番号]&amp;tbl_明細[No],tbl_明細[備考（顧客向け）],"",0,1))</f>
        <v/>
      </c>
    </row>
    <row r="24" spans="1:8" ht="20.25" customHeight="1">
      <c r="A24" s="16"/>
      <c r="B24" s="16"/>
      <c r="C24" s="16"/>
      <c r="D24" s="2"/>
      <c r="E24" s="17"/>
      <c r="F24" s="18"/>
      <c r="G24" s="192" t="str">
        <f t="shared" si="0"/>
        <v/>
      </c>
      <c r="H24" s="16" t="str" cm="1">
        <f t="array" ref="H24">IF(ISBLANK(_xlfn.XLOOKUP($C$1&amp;A24,tbl_明細[案件番号]&amp;tbl_明細[No],tbl_明細[備考（顧客向け）],"",0,1)),"",_xlfn.XLOOKUP($C$1&amp;A24,tbl_明細[案件番号]&amp;tbl_明細[No],tbl_明細[備考（顧客向け）],"",0,1))</f>
        <v/>
      </c>
    </row>
    <row r="25" spans="1:8" ht="20.25" customHeight="1">
      <c r="A25" s="16"/>
      <c r="B25" s="16"/>
      <c r="C25" s="16"/>
      <c r="D25" s="2"/>
      <c r="E25" s="17"/>
      <c r="F25" s="18"/>
      <c r="G25" s="192" t="str">
        <f t="shared" si="0"/>
        <v/>
      </c>
      <c r="H25" s="16" t="str" cm="1">
        <f t="array" ref="H25">IF(ISBLANK(_xlfn.XLOOKUP($C$1&amp;A25,tbl_明細[案件番号]&amp;tbl_明細[No],tbl_明細[備考（顧客向け）],"",0,1)),"",_xlfn.XLOOKUP($C$1&amp;A25,tbl_明細[案件番号]&amp;tbl_明細[No],tbl_明細[備考（顧客向け）],"",0,1))</f>
        <v/>
      </c>
    </row>
    <row r="26" spans="1:8" ht="20.25" customHeight="1">
      <c r="A26" s="16"/>
      <c r="B26" s="16"/>
      <c r="C26" s="16"/>
      <c r="D26" s="2"/>
      <c r="E26" s="17"/>
      <c r="F26" s="18"/>
      <c r="G26" s="192" t="str">
        <f t="shared" si="0"/>
        <v/>
      </c>
      <c r="H26" s="16" t="str" cm="1">
        <f t="array" ref="H26">IF(ISBLANK(_xlfn.XLOOKUP($C$1&amp;A26,tbl_明細[案件番号]&amp;tbl_明細[No],tbl_明細[備考（顧客向け）],"",0,1)),"",_xlfn.XLOOKUP($C$1&amp;A26,tbl_明細[案件番号]&amp;tbl_明細[No],tbl_明細[備考（顧客向け）],"",0,1))</f>
        <v/>
      </c>
    </row>
    <row r="27" spans="1:8" ht="20.25" customHeight="1">
      <c r="A27" s="16"/>
      <c r="B27" s="16"/>
      <c r="C27" s="16"/>
      <c r="D27" s="2"/>
      <c r="E27" s="17"/>
      <c r="F27" s="18"/>
      <c r="G27" s="192" t="str">
        <f t="shared" si="0"/>
        <v/>
      </c>
      <c r="H27" s="16" t="str" cm="1">
        <f t="array" ref="H27">IF(ISBLANK(_xlfn.XLOOKUP($C$1&amp;A27,tbl_明細[案件番号]&amp;tbl_明細[No],tbl_明細[備考（顧客向け）],"",0,1)),"",_xlfn.XLOOKUP($C$1&amp;A27,tbl_明細[案件番号]&amp;tbl_明細[No],tbl_明細[備考（顧客向け）],"",0,1))</f>
        <v/>
      </c>
    </row>
    <row r="28" spans="1:8" ht="20.25" customHeight="1">
      <c r="A28" s="16"/>
      <c r="B28" s="16"/>
      <c r="C28" s="16"/>
      <c r="D28" s="2"/>
      <c r="E28" s="17"/>
      <c r="F28" s="18"/>
      <c r="G28" s="192" t="str">
        <f t="shared" si="0"/>
        <v/>
      </c>
      <c r="H28" s="16" t="str" cm="1">
        <f t="array" ref="H28">IF(ISBLANK(_xlfn.XLOOKUP($C$1&amp;A28,tbl_明細[案件番号]&amp;tbl_明細[No],tbl_明細[備考（顧客向け）],"",0,1)),"",_xlfn.XLOOKUP($C$1&amp;A28,tbl_明細[案件番号]&amp;tbl_明細[No],tbl_明細[備考（顧客向け）],"",0,1))</f>
        <v/>
      </c>
    </row>
    <row r="29" spans="1:8" ht="20.25" customHeight="1">
      <c r="A29" s="16"/>
      <c r="B29" s="16"/>
      <c r="C29" s="16"/>
      <c r="D29" s="2"/>
      <c r="E29" s="17"/>
      <c r="F29" s="18"/>
      <c r="G29" s="192" t="str">
        <f t="shared" si="0"/>
        <v/>
      </c>
      <c r="H29" s="16" t="str" cm="1">
        <f t="array" ref="H29">IF(ISBLANK(_xlfn.XLOOKUP($C$1&amp;A29,tbl_明細[案件番号]&amp;tbl_明細[No],tbl_明細[備考（顧客向け）],"",0,1)),"",_xlfn.XLOOKUP($C$1&amp;A29,tbl_明細[案件番号]&amp;tbl_明細[No],tbl_明細[備考（顧客向け）],"",0,1))</f>
        <v/>
      </c>
    </row>
    <row r="30" spans="1:8" ht="20.25" customHeight="1">
      <c r="A30" s="16"/>
      <c r="B30" s="16"/>
      <c r="C30" s="16"/>
      <c r="D30" s="2"/>
      <c r="E30" s="17"/>
      <c r="F30" s="18"/>
      <c r="G30" s="192" t="str">
        <f t="shared" si="0"/>
        <v/>
      </c>
      <c r="H30" s="16" t="str" cm="1">
        <f t="array" ref="H30">IF(ISBLANK(_xlfn.XLOOKUP($C$1&amp;A30,tbl_明細[案件番号]&amp;tbl_明細[No],tbl_明細[備考（顧客向け）],"",0,1)),"",_xlfn.XLOOKUP($C$1&amp;A30,tbl_明細[案件番号]&amp;tbl_明細[No],tbl_明細[備考（顧客向け）],"",0,1))</f>
        <v/>
      </c>
    </row>
    <row r="31" spans="1:8" ht="20.25" customHeight="1">
      <c r="A31" s="16"/>
      <c r="B31" s="16"/>
      <c r="C31" s="16"/>
      <c r="D31" s="2"/>
      <c r="E31" s="17"/>
      <c r="F31" s="18"/>
      <c r="G31" s="192" t="str">
        <f t="shared" si="0"/>
        <v/>
      </c>
      <c r="H31" s="16" t="str" cm="1">
        <f t="array" ref="H31">IF(ISBLANK(_xlfn.XLOOKUP($C$1&amp;A31,tbl_明細[案件番号]&amp;tbl_明細[No],tbl_明細[備考（顧客向け）],"",0,1)),"",_xlfn.XLOOKUP($C$1&amp;A31,tbl_明細[案件番号]&amp;tbl_明細[No],tbl_明細[備考（顧客向け）],"",0,1))</f>
        <v/>
      </c>
    </row>
    <row r="32" spans="1:8" ht="20.25" customHeight="1">
      <c r="A32" s="16"/>
      <c r="B32" s="16"/>
      <c r="C32" s="16"/>
      <c r="D32" s="2"/>
      <c r="E32" s="17"/>
      <c r="F32" s="18"/>
      <c r="G32" s="192" t="str">
        <f t="shared" si="0"/>
        <v/>
      </c>
      <c r="H32" s="16" t="str" cm="1">
        <f t="array" ref="H32">IF(ISBLANK(_xlfn.XLOOKUP($C$1&amp;A32,tbl_明細[案件番号]&amp;tbl_明細[No],tbl_明細[備考（顧客向け）],"",0,1)),"",_xlfn.XLOOKUP($C$1&amp;A32,tbl_明細[案件番号]&amp;tbl_明細[No],tbl_明細[備考（顧客向け）],"",0,1))</f>
        <v/>
      </c>
    </row>
    <row r="33" spans="1:8" ht="20.25" customHeight="1">
      <c r="A33" s="16"/>
      <c r="B33" s="16"/>
      <c r="C33" s="16"/>
      <c r="D33" s="2"/>
      <c r="E33" s="17"/>
      <c r="F33" s="18"/>
      <c r="G33" s="192" t="str">
        <f t="shared" si="0"/>
        <v/>
      </c>
      <c r="H33" s="16" t="str" cm="1">
        <f t="array" ref="H33">IF(ISBLANK(_xlfn.XLOOKUP($C$1&amp;A33,tbl_明細[案件番号]&amp;tbl_明細[No],tbl_明細[備考（顧客向け）],"",0,1)),"",_xlfn.XLOOKUP($C$1&amp;A33,tbl_明細[案件番号]&amp;tbl_明細[No],tbl_明細[備考（顧客向け）],"",0,1))</f>
        <v/>
      </c>
    </row>
    <row r="34" spans="1:8" ht="20.25" customHeight="1">
      <c r="A34" s="16"/>
      <c r="B34" s="16"/>
      <c r="C34" s="16"/>
      <c r="D34" s="2"/>
      <c r="E34" s="17"/>
      <c r="F34" s="18"/>
      <c r="G34" s="192" t="str">
        <f t="shared" si="0"/>
        <v/>
      </c>
      <c r="H34" s="16" t="str" cm="1">
        <f t="array" ref="H34">IF(ISBLANK(_xlfn.XLOOKUP($C$1&amp;A34,tbl_明細[案件番号]&amp;tbl_明細[No],tbl_明細[備考（顧客向け）],"",0,1)),"",_xlfn.XLOOKUP($C$1&amp;A34,tbl_明細[案件番号]&amp;tbl_明細[No],tbl_明細[備考（顧客向け）],"",0,1))</f>
        <v/>
      </c>
    </row>
    <row r="35" spans="1:8" ht="20.25" customHeight="1">
      <c r="A35" s="16"/>
      <c r="B35" s="16"/>
      <c r="C35" s="16"/>
      <c r="D35" s="2"/>
      <c r="E35" s="17"/>
      <c r="F35" s="18"/>
      <c r="G35" s="192" t="str">
        <f t="shared" si="0"/>
        <v/>
      </c>
      <c r="H35" s="16" t="str" cm="1">
        <f t="array" ref="H35">IF(ISBLANK(_xlfn.XLOOKUP($C$1&amp;A35,tbl_明細[案件番号]&amp;tbl_明細[No],tbl_明細[備考（顧客向け）],"",0,1)),"",_xlfn.XLOOKUP($C$1&amp;A35,tbl_明細[案件番号]&amp;tbl_明細[No],tbl_明細[備考（顧客向け）],"",0,1))</f>
        <v/>
      </c>
    </row>
    <row r="36" spans="1:8" ht="20.25" customHeight="1">
      <c r="A36" s="16"/>
      <c r="B36" s="16"/>
      <c r="C36" s="16"/>
      <c r="D36" s="2"/>
      <c r="E36" s="17"/>
      <c r="F36" s="18"/>
      <c r="G36" s="192" t="str">
        <f t="shared" si="0"/>
        <v/>
      </c>
      <c r="H36" s="16" t="str" cm="1">
        <f t="array" ref="H36">IF(ISBLANK(_xlfn.XLOOKUP($C$1&amp;A36,tbl_明細[案件番号]&amp;tbl_明細[No],tbl_明細[備考（顧客向け）],"",0,1)),"",_xlfn.XLOOKUP($C$1&amp;A36,tbl_明細[案件番号]&amp;tbl_明細[No],tbl_明細[備考（顧客向け）],"",0,1))</f>
        <v/>
      </c>
    </row>
    <row r="37" spans="1:8" s="23" customFormat="1" ht="26.4">
      <c r="A37" s="19"/>
      <c r="B37" s="19"/>
      <c r="C37" s="19"/>
      <c r="D37" s="19"/>
      <c r="E37" s="19"/>
      <c r="F37" s="20" t="s">
        <v>1942</v>
      </c>
      <c r="G37" s="21">
        <f>SUM(G17:G36)</f>
        <v>51705</v>
      </c>
      <c r="H37" s="22"/>
    </row>
    <row r="38" spans="1:8" s="23" customFormat="1" ht="26.4">
      <c r="A38" s="5"/>
      <c r="B38" s="5"/>
      <c r="C38" s="5"/>
      <c r="D38" s="5"/>
      <c r="E38" s="5"/>
      <c r="F38" s="24"/>
      <c r="G38" s="25"/>
      <c r="H38" s="5"/>
    </row>
    <row r="39" spans="1:8" s="23" customFormat="1" ht="26.4">
      <c r="A39" s="5"/>
      <c r="B39" s="5"/>
      <c r="C39" s="5"/>
      <c r="D39" s="5"/>
      <c r="E39" s="5"/>
      <c r="F39" s="5"/>
      <c r="G39" s="26" t="s">
        <v>1931</v>
      </c>
      <c r="H39" s="26" t="s">
        <v>846</v>
      </c>
    </row>
    <row r="40" spans="1:8" s="23" customFormat="1" ht="26.4">
      <c r="A40" s="27"/>
      <c r="B40" s="27"/>
      <c r="C40" s="5"/>
      <c r="D40" s="5"/>
      <c r="E40" s="28">
        <v>0.08</v>
      </c>
      <c r="F40" s="24" t="s">
        <v>824</v>
      </c>
      <c r="G40" s="41">
        <f>SUMIF($F$17:$F$36,E40,$G$17:$G$36)</f>
        <v>50000</v>
      </c>
      <c r="H40" s="41">
        <f>ROUND(G40-G40/(1+E40),0)</f>
        <v>3704</v>
      </c>
    </row>
    <row r="41" spans="1:8" s="23" customFormat="1" ht="26.4">
      <c r="A41" s="27"/>
      <c r="B41" s="27"/>
      <c r="C41" s="5"/>
      <c r="D41" s="5"/>
      <c r="E41" s="28">
        <v>0.1</v>
      </c>
      <c r="F41" s="24" t="s">
        <v>824</v>
      </c>
      <c r="G41" s="41">
        <f t="shared" ref="G41:G42" si="1">SUMIF($F$17:$F$36,E41,$G$17:$G$36)</f>
        <v>1705.0000000000002</v>
      </c>
      <c r="H41" s="41">
        <f>ROUND(G41-G41/(1+E41),0)</f>
        <v>155</v>
      </c>
    </row>
    <row r="42" spans="1:8" s="23" customFormat="1" ht="26.4">
      <c r="A42" s="27"/>
      <c r="B42" s="27"/>
      <c r="C42" s="5"/>
      <c r="D42" s="5"/>
      <c r="E42" s="29" t="s">
        <v>825</v>
      </c>
      <c r="F42" s="24" t="s">
        <v>824</v>
      </c>
      <c r="G42" s="41">
        <f t="shared" si="1"/>
        <v>0</v>
      </c>
      <c r="H42" s="41"/>
    </row>
    <row r="44" spans="1:8" ht="22.2">
      <c r="A44" s="32" t="s">
        <v>827</v>
      </c>
    </row>
    <row r="45" spans="1:8">
      <c r="A45" s="6"/>
      <c r="B45" s="7"/>
      <c r="C45" s="7"/>
      <c r="D45" s="7"/>
      <c r="E45" s="7"/>
      <c r="F45" s="7"/>
      <c r="G45" s="7"/>
      <c r="H45" s="8"/>
    </row>
    <row r="46" spans="1:8">
      <c r="A46" s="33"/>
      <c r="B46" s="124"/>
      <c r="C46" s="124"/>
      <c r="D46" s="124"/>
      <c r="E46" s="124"/>
      <c r="F46" s="124"/>
      <c r="G46" s="124"/>
      <c r="H46" s="10"/>
    </row>
    <row r="47" spans="1:8">
      <c r="A47" s="33"/>
      <c r="B47" s="124"/>
      <c r="C47" s="124"/>
      <c r="D47" s="124"/>
      <c r="E47" s="124"/>
      <c r="F47" s="124"/>
      <c r="G47" s="124"/>
      <c r="H47" s="10"/>
    </row>
    <row r="48" spans="1:8">
      <c r="A48" s="34"/>
      <c r="B48" s="14"/>
      <c r="C48" s="14"/>
      <c r="D48" s="14"/>
      <c r="E48" s="14"/>
      <c r="F48" s="14"/>
      <c r="G48" s="14"/>
      <c r="H48" s="15"/>
    </row>
    <row r="49" spans="1:8">
      <c r="A49" s="124"/>
      <c r="B49" s="124"/>
      <c r="C49" s="124"/>
      <c r="D49" s="124"/>
      <c r="E49" s="124"/>
      <c r="F49" s="124"/>
      <c r="G49" s="124"/>
      <c r="H49" s="124"/>
    </row>
    <row r="50" spans="1:8">
      <c r="A50" s="124"/>
      <c r="B50" s="124"/>
      <c r="C50" s="124"/>
      <c r="D50" s="124"/>
      <c r="E50" s="124"/>
      <c r="F50" s="124"/>
      <c r="G50" s="124"/>
      <c r="H50" s="124"/>
    </row>
  </sheetData>
  <mergeCells count="2">
    <mergeCell ref="A3:H3"/>
    <mergeCell ref="A12:D13"/>
  </mergeCells>
  <phoneticPr fontId="3"/>
  <pageMargins left="0.25" right="0.25" top="0.75" bottom="0.75" header="0.3" footer="0.3"/>
  <pageSetup paperSize="9" scale="65"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8EB6E-3BFA-4572-8AF0-E8D736EF8504}">
  <sheetPr>
    <pageSetUpPr fitToPage="1"/>
  </sheetPr>
  <dimension ref="B1:I56"/>
  <sheetViews>
    <sheetView topLeftCell="A4" workbookViewId="0">
      <selection activeCell="H42" sqref="H42:I42"/>
    </sheetView>
  </sheetViews>
  <sheetFormatPr defaultColWidth="9" defaultRowHeight="15.75" customHeight="1"/>
  <cols>
    <col min="1" max="1" width="9" style="1"/>
    <col min="2" max="2" width="12.19921875" style="1" customWidth="1"/>
    <col min="3" max="3" width="44.5" style="1" customWidth="1"/>
    <col min="4" max="4" width="10" style="1" customWidth="1"/>
    <col min="5" max="5" width="8" style="1" customWidth="1"/>
    <col min="6" max="6" width="12" style="1" customWidth="1"/>
    <col min="7" max="7" width="14" style="1" customWidth="1"/>
    <col min="8" max="8" width="21.5" style="1" customWidth="1"/>
    <col min="9" max="9" width="24.19921875" style="1" customWidth="1"/>
    <col min="10" max="16384" width="9" style="1"/>
  </cols>
  <sheetData>
    <row r="1" spans="2:9" ht="18">
      <c r="B1" s="122" t="s">
        <v>1219</v>
      </c>
      <c r="C1" s="63" t="s">
        <v>1844</v>
      </c>
    </row>
    <row r="3" spans="2:9" ht="45.75" customHeight="1">
      <c r="B3" s="285" t="s">
        <v>1018</v>
      </c>
      <c r="C3" s="286"/>
      <c r="D3" s="286"/>
      <c r="E3" s="286"/>
      <c r="F3" s="286"/>
      <c r="G3" s="286"/>
      <c r="H3" s="286"/>
      <c r="I3" s="286"/>
    </row>
    <row r="5" spans="2:9" ht="18">
      <c r="H5" s="3" t="s">
        <v>832</v>
      </c>
      <c r="I5" s="64">
        <f>_xlfn.XLOOKUP($C$1,tbl_案件追跡[案件番号],tbl_案件追跡[売上計上],"",0,1)</f>
        <v>46081</v>
      </c>
    </row>
    <row r="6" spans="2:9" ht="26.4">
      <c r="B6" s="49" t="str">
        <f>_xlfn.XLOOKUP($C$1,tbl_明細[案件番号],tbl_明細[顧客名],"",0,1)&amp;" 御中"</f>
        <v>NISSHAビジネスサービス 御中</v>
      </c>
      <c r="H6" s="3" t="s">
        <v>851</v>
      </c>
      <c r="I6" s="3" t="str">
        <f>"INV-SNJ-"&amp;C1</f>
        <v>INV-SNJ-2602-1002-K01</v>
      </c>
    </row>
    <row r="7" spans="2:9" ht="22.2">
      <c r="B7" s="5"/>
      <c r="G7" s="6"/>
      <c r="H7" s="7"/>
      <c r="I7" s="8"/>
    </row>
    <row r="8" spans="2:9" ht="18">
      <c r="G8" s="9"/>
      <c r="I8" s="10"/>
    </row>
    <row r="9" spans="2:9" ht="18">
      <c r="G9" s="11" t="s">
        <v>834</v>
      </c>
      <c r="I9" s="10"/>
    </row>
    <row r="10" spans="2:9" ht="18.75" customHeight="1">
      <c r="B10" s="1" t="s">
        <v>852</v>
      </c>
      <c r="G10" s="11" t="s">
        <v>836</v>
      </c>
      <c r="I10" s="10"/>
    </row>
    <row r="11" spans="2:9" ht="18.75" customHeight="1">
      <c r="B11" s="1" t="s">
        <v>853</v>
      </c>
      <c r="F11" s="10"/>
      <c r="G11" s="11" t="s">
        <v>838</v>
      </c>
      <c r="I11" s="10"/>
    </row>
    <row r="12" spans="2:9" ht="18.75" customHeight="1">
      <c r="B12" s="45" t="s">
        <v>854</v>
      </c>
      <c r="C12" s="4"/>
      <c r="D12" s="4"/>
      <c r="E12" s="4"/>
      <c r="F12" s="12"/>
      <c r="G12" s="11" t="s">
        <v>839</v>
      </c>
      <c r="I12" s="10"/>
    </row>
    <row r="13" spans="2:9" ht="19.5" customHeight="1">
      <c r="B13" s="4"/>
      <c r="C13" s="4"/>
      <c r="D13" s="4"/>
      <c r="E13" s="4"/>
      <c r="F13" s="12"/>
      <c r="G13" s="13" t="s">
        <v>840</v>
      </c>
      <c r="H13" s="14"/>
      <c r="I13" s="15"/>
    </row>
    <row r="15" spans="2:9" ht="18">
      <c r="B15" s="287" t="str">
        <f>"請求金額（税込）　　"&amp;TEXT(H40,"\#,##0")</f>
        <v>請求金額（税込）　　¥55,181</v>
      </c>
      <c r="C15" s="287"/>
      <c r="D15" s="287"/>
      <c r="E15" s="287"/>
      <c r="G15" s="6" t="s">
        <v>855</v>
      </c>
      <c r="H15" s="7" t="s">
        <v>856</v>
      </c>
      <c r="I15" s="8"/>
    </row>
    <row r="16" spans="2:9" ht="18.600000000000001" thickBot="1">
      <c r="B16" s="288"/>
      <c r="C16" s="288"/>
      <c r="D16" s="288"/>
      <c r="E16" s="288"/>
      <c r="G16" s="34"/>
      <c r="H16" s="14" t="s">
        <v>857</v>
      </c>
      <c r="I16" s="15"/>
    </row>
    <row r="17" spans="2:9" ht="15.75" customHeight="1">
      <c r="G17" s="1" t="s">
        <v>925</v>
      </c>
    </row>
    <row r="19" spans="2:9" ht="20.25" customHeight="1">
      <c r="B19" s="203" t="s">
        <v>807</v>
      </c>
      <c r="C19" s="203" t="s">
        <v>150</v>
      </c>
      <c r="D19" s="203" t="s">
        <v>818</v>
      </c>
      <c r="E19" s="203" t="s">
        <v>153</v>
      </c>
      <c r="F19" s="203" t="s">
        <v>1929</v>
      </c>
      <c r="G19" s="203" t="s">
        <v>841</v>
      </c>
      <c r="H19" s="203" t="s">
        <v>1932</v>
      </c>
      <c r="I19" s="203" t="s">
        <v>843</v>
      </c>
    </row>
    <row r="20" spans="2:9" ht="20.25" customHeight="1">
      <c r="B20" s="46" cm="1">
        <f t="array" ref="B20:G27">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tbl_明細[販売価格（M)]*(1+tbl_明細[税率（M）]), tbl_明細[販売価格（売値）]*(1+tbl_明細[税率])),
    IF(LEFT(tbl_明細[商品ID],4)&lt;&gt;"PRD_", tbl_明細[税率（M）],tbl_明細[税率])
  ),
  (tbl_明細[案件番号]=$C$1)*(tbl_明細[(非表示）販売価格の和] &gt; 0),
  "該当なし"
)</f>
        <v>1</v>
      </c>
      <c r="C20" s="46" t="str">
        <v>レトルトとうもろこし</v>
      </c>
      <c r="D20" s="46">
        <v>60</v>
      </c>
      <c r="E20" s="46" t="str">
        <v>本</v>
      </c>
      <c r="F20" s="193">
        <v>396</v>
      </c>
      <c r="G20" s="47">
        <v>0.08</v>
      </c>
      <c r="H20" s="192">
        <f>IF(ISBLANK(C20),"",D20*F20)</f>
        <v>23760</v>
      </c>
      <c r="I20" s="16" t="str" cm="1">
        <f t="array" ref="I20">IF(ISBLANK(_xlfn.XLOOKUP($C$1&amp;B20,tbl_明細[案件番号]&amp;tbl_明細[No],tbl_明細[備考（顧客向け）],"",0,1)),"",_xlfn.XLOOKUP($C$1&amp;B20,tbl_明細[案件番号]&amp;tbl_明細[No],tbl_明細[備考（顧客向け）],"",0,1))</f>
        <v/>
      </c>
    </row>
    <row r="21" spans="2:9" ht="20.25" customHeight="1">
      <c r="B21" s="46">
        <v>2</v>
      </c>
      <c r="C21" s="46" t="str">
        <v>オホーツク流氷ラーメン 　 かに（2食入り）</v>
      </c>
      <c r="D21" s="46">
        <v>16</v>
      </c>
      <c r="E21" s="46" t="str">
        <v>袋</v>
      </c>
      <c r="F21" s="193">
        <v>518</v>
      </c>
      <c r="G21" s="47">
        <v>0.08</v>
      </c>
      <c r="H21" s="192">
        <f t="shared" ref="H21:H39" si="0">IF(ISBLANK(C21),"",D21*F21)</f>
        <v>8288</v>
      </c>
      <c r="I21" s="16" t="str" cm="1">
        <f t="array" ref="I21">IF(ISBLANK(_xlfn.XLOOKUP($C$1&amp;B21,tbl_明細[案件番号]&amp;tbl_明細[No],tbl_明細[備考（顧客向け）],"",0,1)),"",_xlfn.XLOOKUP($C$1&amp;B21,tbl_明細[案件番号]&amp;tbl_明細[No],tbl_明細[備考（顧客向け）],"",0,1))</f>
        <v/>
      </c>
    </row>
    <row r="22" spans="2:9" ht="20.25" customHeight="1">
      <c r="B22" s="46">
        <v>3</v>
      </c>
      <c r="C22" s="46" t="str">
        <v>オホーツク流氷ラーメン 　 ホタテ（2食入り）</v>
      </c>
      <c r="D22" s="46">
        <v>18</v>
      </c>
      <c r="E22" s="46" t="str">
        <v>袋</v>
      </c>
      <c r="F22" s="193">
        <v>518</v>
      </c>
      <c r="G22" s="47">
        <v>0.08</v>
      </c>
      <c r="H22" s="192">
        <f t="shared" si="0"/>
        <v>9324</v>
      </c>
      <c r="I22" s="16" t="str" cm="1">
        <f t="array" ref="I22">IF(ISBLANK(_xlfn.XLOOKUP($C$1&amp;B22,tbl_明細[案件番号]&amp;tbl_明細[No],tbl_明細[備考（顧客向け）],"",0,1)),"",_xlfn.XLOOKUP($C$1&amp;B22,tbl_明細[案件番号]&amp;tbl_明細[No],tbl_明細[備考（顧客向け）],"",0,1))</f>
        <v/>
      </c>
    </row>
    <row r="23" spans="2:9" ht="20.25" customHeight="1">
      <c r="B23" s="46">
        <v>4</v>
      </c>
      <c r="C23" s="46" t="str">
        <v>ズワイガニ風味ラーメン 　 味噌（1食入り）</v>
      </c>
      <c r="D23" s="46">
        <v>14</v>
      </c>
      <c r="E23" s="46" t="str">
        <v>袋</v>
      </c>
      <c r="F23" s="193">
        <v>238</v>
      </c>
      <c r="G23" s="47">
        <v>0.08</v>
      </c>
      <c r="H23" s="192">
        <f t="shared" si="0"/>
        <v>3332</v>
      </c>
      <c r="I23" s="16" t="str" cm="1">
        <f t="array" ref="I23">IF(ISBLANK(_xlfn.XLOOKUP($C$1&amp;B23,tbl_明細[案件番号]&amp;tbl_明細[No],tbl_明細[備考（顧客向け）],"",0,1)),"",_xlfn.XLOOKUP($C$1&amp;B23,tbl_明細[案件番号]&amp;tbl_明細[No],tbl_明細[備考（顧客向け）],"",0,1))</f>
        <v/>
      </c>
    </row>
    <row r="24" spans="2:9" ht="20.25" customHeight="1">
      <c r="B24" s="46">
        <v>5</v>
      </c>
      <c r="C24" s="46" t="str">
        <v>ズワイガニ風味ラーメン 　 醤油（1食入り）</v>
      </c>
      <c r="D24" s="46">
        <v>13</v>
      </c>
      <c r="E24" s="46" t="str">
        <v>袋</v>
      </c>
      <c r="F24" s="193">
        <v>238</v>
      </c>
      <c r="G24" s="47">
        <v>0.08</v>
      </c>
      <c r="H24" s="192">
        <f t="shared" si="0"/>
        <v>3094</v>
      </c>
      <c r="I24" s="16" t="str" cm="1">
        <f t="array" ref="I24">IF(ISBLANK(_xlfn.XLOOKUP($C$1&amp;B24,tbl_明細[案件番号]&amp;tbl_明細[No],tbl_明細[備考（顧客向け）],"",0,1)),"",_xlfn.XLOOKUP($C$1&amp;B24,tbl_明細[案件番号]&amp;tbl_明細[No],tbl_明細[備考（顧客向け）],"",0,1))</f>
        <v/>
      </c>
    </row>
    <row r="25" spans="2:9" ht="20.25" customHeight="1">
      <c r="B25" s="46">
        <v>6</v>
      </c>
      <c r="C25" s="46" t="str">
        <v>ズワイガニ風味ラーメン 　 味噌（1食入り）</v>
      </c>
      <c r="D25" s="46">
        <v>14</v>
      </c>
      <c r="E25" s="46" t="str">
        <v>袋</v>
      </c>
      <c r="F25" s="193">
        <v>238</v>
      </c>
      <c r="G25" s="47">
        <v>0.08</v>
      </c>
      <c r="H25" s="192">
        <f t="shared" si="0"/>
        <v>3332</v>
      </c>
      <c r="I25" s="16" t="str" cm="1">
        <f t="array" ref="I25">IF(ISBLANK(_xlfn.XLOOKUP($C$1&amp;B25,tbl_明細[案件番号]&amp;tbl_明細[No],tbl_明細[備考（顧客向け）],"",0,1)),"",_xlfn.XLOOKUP($C$1&amp;B25,tbl_明細[案件番号]&amp;tbl_明細[No],tbl_明細[備考（顧客向け）],"",0,1))</f>
        <v>追加発注分</v>
      </c>
    </row>
    <row r="26" spans="2:9" ht="20.25" customHeight="1">
      <c r="B26" s="46">
        <v>7</v>
      </c>
      <c r="C26" s="46" t="str">
        <v>ズワイガニ風味ラーメン 　 醤油（1食入り）</v>
      </c>
      <c r="D26" s="46">
        <v>13</v>
      </c>
      <c r="E26" s="46" t="str">
        <v>袋</v>
      </c>
      <c r="F26" s="193">
        <v>238</v>
      </c>
      <c r="G26" s="47">
        <v>0.08</v>
      </c>
      <c r="H26" s="192">
        <f t="shared" si="0"/>
        <v>3094</v>
      </c>
      <c r="I26" s="16" t="str" cm="1">
        <f t="array" ref="I26">IF(ISBLANK(_xlfn.XLOOKUP($C$1&amp;B26,tbl_明細[案件番号]&amp;tbl_明細[No],tbl_明細[備考（顧客向け）],"",0,1)),"",_xlfn.XLOOKUP($C$1&amp;B26,tbl_明細[案件番号]&amp;tbl_明細[No],tbl_明細[備考（顧客向け）],"",0,1))</f>
        <v>追加発注分</v>
      </c>
    </row>
    <row r="27" spans="2:9" ht="20.25" customHeight="1">
      <c r="B27" s="46">
        <v>8</v>
      </c>
      <c r="C27" s="46" t="str">
        <v>送料</v>
      </c>
      <c r="D27" s="46">
        <v>1</v>
      </c>
      <c r="E27" s="46" t="str">
        <v>式</v>
      </c>
      <c r="F27" s="193">
        <v>957.00000000000011</v>
      </c>
      <c r="G27" s="47">
        <v>0.1</v>
      </c>
      <c r="H27" s="192">
        <f t="shared" si="0"/>
        <v>957.00000000000011</v>
      </c>
      <c r="I27" s="16" t="str" cm="1">
        <f t="array" ref="I27">IF(ISBLANK(_xlfn.XLOOKUP($C$1&amp;B27,tbl_明細[案件番号]&amp;tbl_明細[No],tbl_明細[備考（顧客向け）],"",0,1)),"",_xlfn.XLOOKUP($C$1&amp;B27,tbl_明細[案件番号]&amp;tbl_明細[No],tbl_明細[備考（顧客向け）],"",0,1))</f>
        <v>追加発注分</v>
      </c>
    </row>
    <row r="28" spans="2:9" ht="20.25" customHeight="1">
      <c r="B28" s="46"/>
      <c r="C28" s="46"/>
      <c r="D28" s="46"/>
      <c r="E28" s="46"/>
      <c r="F28" s="193"/>
      <c r="G28" s="47"/>
      <c r="H28" s="192" t="str">
        <f t="shared" si="0"/>
        <v/>
      </c>
      <c r="I28" s="16" t="str" cm="1">
        <f t="array" ref="I28">IF(ISBLANK(_xlfn.XLOOKUP($C$1&amp;B28,tbl_明細[案件番号]&amp;tbl_明細[No],tbl_明細[備考（顧客向け）],"",0,1)),"",_xlfn.XLOOKUP($C$1&amp;B28,tbl_明細[案件番号]&amp;tbl_明細[No],tbl_明細[備考（顧客向け）],"",0,1))</f>
        <v/>
      </c>
    </row>
    <row r="29" spans="2:9" ht="20.25" customHeight="1">
      <c r="B29" s="46"/>
      <c r="C29" s="46"/>
      <c r="D29" s="46"/>
      <c r="E29" s="46"/>
      <c r="F29" s="193"/>
      <c r="G29" s="47"/>
      <c r="H29" s="192" t="str">
        <f t="shared" si="0"/>
        <v/>
      </c>
      <c r="I29" s="16" t="str" cm="1">
        <f t="array" ref="I29">IF(ISBLANK(_xlfn.XLOOKUP($C$1&amp;B29,tbl_明細[案件番号]&amp;tbl_明細[No],tbl_明細[備考（顧客向け）],"",0,1)),"",_xlfn.XLOOKUP($C$1&amp;B29,tbl_明細[案件番号]&amp;tbl_明細[No],tbl_明細[備考（顧客向け）],"",0,1))</f>
        <v/>
      </c>
    </row>
    <row r="30" spans="2:9" ht="20.25" customHeight="1">
      <c r="B30" s="46"/>
      <c r="C30" s="46"/>
      <c r="D30" s="46"/>
      <c r="E30" s="46"/>
      <c r="F30" s="193"/>
      <c r="G30" s="47"/>
      <c r="H30" s="192" t="str">
        <f t="shared" si="0"/>
        <v/>
      </c>
      <c r="I30" s="16" t="str" cm="1">
        <f t="array" ref="I30">IF(ISBLANK(_xlfn.XLOOKUP($C$1&amp;B30,tbl_明細[案件番号]&amp;tbl_明細[No],tbl_明細[備考（顧客向け）],"",0,1)),"",_xlfn.XLOOKUP($C$1&amp;B30,tbl_明細[案件番号]&amp;tbl_明細[No],tbl_明細[備考（顧客向け）],"",0,1))</f>
        <v/>
      </c>
    </row>
    <row r="31" spans="2:9" ht="20.25" customHeight="1">
      <c r="B31" s="46"/>
      <c r="C31" s="46"/>
      <c r="D31" s="46"/>
      <c r="E31" s="46"/>
      <c r="F31" s="193"/>
      <c r="G31" s="47"/>
      <c r="H31" s="192" t="str">
        <f t="shared" si="0"/>
        <v/>
      </c>
      <c r="I31" s="16" t="str" cm="1">
        <f t="array" ref="I31">IF(ISBLANK(_xlfn.XLOOKUP($C$1&amp;B31,tbl_明細[案件番号]&amp;tbl_明細[No],tbl_明細[備考（顧客向け）],"",0,1)),"",_xlfn.XLOOKUP($C$1&amp;B31,tbl_明細[案件番号]&amp;tbl_明細[No],tbl_明細[備考（顧客向け）],"",0,1))</f>
        <v/>
      </c>
    </row>
    <row r="32" spans="2:9" ht="20.25" customHeight="1">
      <c r="B32" s="46"/>
      <c r="C32" s="46"/>
      <c r="D32" s="46"/>
      <c r="E32" s="46"/>
      <c r="F32" s="193"/>
      <c r="G32" s="47"/>
      <c r="H32" s="192" t="str">
        <f t="shared" si="0"/>
        <v/>
      </c>
      <c r="I32" s="16" t="str" cm="1">
        <f t="array" ref="I32">IF(ISBLANK(_xlfn.XLOOKUP($C$1&amp;B32,tbl_明細[案件番号]&amp;tbl_明細[No],tbl_明細[備考（顧客向け）],"",0,1)),"",_xlfn.XLOOKUP($C$1&amp;B32,tbl_明細[案件番号]&amp;tbl_明細[No],tbl_明細[備考（顧客向け）],"",0,1))</f>
        <v/>
      </c>
    </row>
    <row r="33" spans="2:9" ht="20.25" customHeight="1">
      <c r="B33" s="46"/>
      <c r="C33" s="46"/>
      <c r="D33" s="46"/>
      <c r="E33" s="46"/>
      <c r="F33" s="193"/>
      <c r="G33" s="47"/>
      <c r="H33" s="192" t="str">
        <f t="shared" si="0"/>
        <v/>
      </c>
      <c r="I33" s="16" t="str" cm="1">
        <f t="array" ref="I33">IF(ISBLANK(_xlfn.XLOOKUP($C$1&amp;B33,tbl_明細[案件番号]&amp;tbl_明細[No],tbl_明細[備考（顧客向け）],"",0,1)),"",_xlfn.XLOOKUP($C$1&amp;B33,tbl_明細[案件番号]&amp;tbl_明細[No],tbl_明細[備考（顧客向け）],"",0,1))</f>
        <v/>
      </c>
    </row>
    <row r="34" spans="2:9" ht="20.25" customHeight="1">
      <c r="B34" s="46"/>
      <c r="C34" s="46"/>
      <c r="D34" s="46"/>
      <c r="E34" s="46"/>
      <c r="F34" s="193"/>
      <c r="G34" s="47"/>
      <c r="H34" s="192" t="str">
        <f t="shared" si="0"/>
        <v/>
      </c>
      <c r="I34" s="16" t="str" cm="1">
        <f t="array" ref="I34">IF(ISBLANK(_xlfn.XLOOKUP($C$1&amp;B34,tbl_明細[案件番号]&amp;tbl_明細[No],tbl_明細[備考（顧客向け）],"",0,1)),"",_xlfn.XLOOKUP($C$1&amp;B34,tbl_明細[案件番号]&amp;tbl_明細[No],tbl_明細[備考（顧客向け）],"",0,1))</f>
        <v/>
      </c>
    </row>
    <row r="35" spans="2:9" ht="20.25" customHeight="1">
      <c r="B35" s="46"/>
      <c r="C35" s="46"/>
      <c r="D35" s="46"/>
      <c r="E35" s="46"/>
      <c r="F35" s="193"/>
      <c r="G35" s="47"/>
      <c r="H35" s="192" t="str">
        <f t="shared" si="0"/>
        <v/>
      </c>
      <c r="I35" s="16" t="str" cm="1">
        <f t="array" ref="I35">IF(ISBLANK(_xlfn.XLOOKUP($C$1&amp;B35,tbl_明細[案件番号]&amp;tbl_明細[No],tbl_明細[備考（顧客向け）],"",0,1)),"",_xlfn.XLOOKUP($C$1&amp;B35,tbl_明細[案件番号]&amp;tbl_明細[No],tbl_明細[備考（顧客向け）],"",0,1))</f>
        <v/>
      </c>
    </row>
    <row r="36" spans="2:9" ht="20.25" customHeight="1">
      <c r="B36" s="46"/>
      <c r="C36" s="46"/>
      <c r="D36" s="46"/>
      <c r="E36" s="46"/>
      <c r="F36" s="193"/>
      <c r="G36" s="47"/>
      <c r="H36" s="192" t="str">
        <f t="shared" si="0"/>
        <v/>
      </c>
      <c r="I36" s="16" t="str" cm="1">
        <f t="array" ref="I36">IF(ISBLANK(_xlfn.XLOOKUP($C$1&amp;B36,tbl_明細[案件番号]&amp;tbl_明細[No],tbl_明細[備考（顧客向け）],"",0,1)),"",_xlfn.XLOOKUP($C$1&amp;B36,tbl_明細[案件番号]&amp;tbl_明細[No],tbl_明細[備考（顧客向け）],"",0,1))</f>
        <v/>
      </c>
    </row>
    <row r="37" spans="2:9" ht="20.25" customHeight="1">
      <c r="B37" s="46"/>
      <c r="C37" s="46"/>
      <c r="D37" s="46"/>
      <c r="E37" s="46"/>
      <c r="F37" s="193"/>
      <c r="G37" s="47"/>
      <c r="H37" s="192" t="str">
        <f t="shared" si="0"/>
        <v/>
      </c>
      <c r="I37" s="16" t="str" cm="1">
        <f t="array" ref="I37">IF(ISBLANK(_xlfn.XLOOKUP($C$1&amp;B37,tbl_明細[案件番号]&amp;tbl_明細[No],tbl_明細[備考（顧客向け）],"",0,1)),"",_xlfn.XLOOKUP($C$1&amp;B37,tbl_明細[案件番号]&amp;tbl_明細[No],tbl_明細[備考（顧客向け）],"",0,1))</f>
        <v/>
      </c>
    </row>
    <row r="38" spans="2:9" ht="20.25" customHeight="1">
      <c r="B38" s="46"/>
      <c r="C38" s="46"/>
      <c r="D38" s="46"/>
      <c r="E38" s="46"/>
      <c r="F38" s="193"/>
      <c r="G38" s="47"/>
      <c r="H38" s="192" t="str">
        <f t="shared" si="0"/>
        <v/>
      </c>
      <c r="I38" s="16" t="str" cm="1">
        <f t="array" ref="I38">IF(ISBLANK(_xlfn.XLOOKUP($C$1&amp;B38,tbl_明細[案件番号]&amp;tbl_明細[No],tbl_明細[備考（顧客向け）],"",0,1)),"",_xlfn.XLOOKUP($C$1&amp;B38,tbl_明細[案件番号]&amp;tbl_明細[No],tbl_明細[備考（顧客向け）],"",0,1))</f>
        <v/>
      </c>
    </row>
    <row r="39" spans="2:9" ht="20.25" customHeight="1">
      <c r="B39" s="46"/>
      <c r="C39" s="46"/>
      <c r="D39" s="46"/>
      <c r="E39" s="46"/>
      <c r="F39" s="193"/>
      <c r="G39" s="47"/>
      <c r="H39" s="192" t="str">
        <f t="shared" si="0"/>
        <v/>
      </c>
      <c r="I39" s="16" t="str" cm="1">
        <f t="array" ref="I39">IF(ISBLANK(_xlfn.XLOOKUP($C$1&amp;B39,tbl_明細[案件番号]&amp;tbl_明細[No],tbl_明細[備考（顧客向け）],"",0,1)),"",_xlfn.XLOOKUP($C$1&amp;B39,tbl_明細[案件番号]&amp;tbl_明細[No],tbl_明細[備考（顧客向け）],"",0,1))</f>
        <v/>
      </c>
    </row>
    <row r="40" spans="2:9" s="23" customFormat="1" ht="26.4">
      <c r="B40" s="19"/>
      <c r="C40" s="19"/>
      <c r="D40" s="19"/>
      <c r="E40" s="19"/>
      <c r="F40" s="19"/>
      <c r="G40" s="20" t="s">
        <v>1930</v>
      </c>
      <c r="H40" s="264">
        <f>SUM(H20:H39)</f>
        <v>55181</v>
      </c>
      <c r="I40" s="22"/>
    </row>
    <row r="41" spans="2:9" s="23" customFormat="1" ht="26.4">
      <c r="B41" s="48" t="str">
        <f>"振込期日："&amp;TEXT(EOMONTH(I5,1),"YYYY年MM月DD日")</f>
        <v>振込期日：2026年03月31日</v>
      </c>
      <c r="C41" s="5"/>
      <c r="D41" s="5"/>
      <c r="E41" s="5"/>
      <c r="F41" s="5"/>
      <c r="G41" s="24"/>
      <c r="H41" s="40"/>
      <c r="I41" s="5"/>
    </row>
    <row r="42" spans="2:9" s="23" customFormat="1" ht="26.4">
      <c r="B42" s="5"/>
      <c r="C42" s="5"/>
      <c r="D42" s="5"/>
      <c r="E42" s="5"/>
      <c r="F42" s="5"/>
      <c r="G42" s="5"/>
      <c r="H42" s="26" t="s">
        <v>1931</v>
      </c>
      <c r="I42" s="26" t="s">
        <v>846</v>
      </c>
    </row>
    <row r="43" spans="2:9" s="23" customFormat="1" ht="26.4">
      <c r="B43" s="27"/>
      <c r="C43" s="27"/>
      <c r="D43" s="5"/>
      <c r="E43" s="5"/>
      <c r="F43" s="28">
        <v>0.08</v>
      </c>
      <c r="G43" s="24" t="s">
        <v>847</v>
      </c>
      <c r="H43" s="41">
        <f>SUMIF($G$20:$G$39,F43,$H$20:$H$39)</f>
        <v>54224</v>
      </c>
      <c r="I43" s="41">
        <f>ROUND(H43-(H43/(1+F43)),0)</f>
        <v>4017</v>
      </c>
    </row>
    <row r="44" spans="2:9" s="23" customFormat="1" ht="26.4">
      <c r="B44" s="27"/>
      <c r="C44" s="27"/>
      <c r="D44" s="5"/>
      <c r="E44" s="5"/>
      <c r="F44" s="28">
        <v>0.1</v>
      </c>
      <c r="G44" s="24" t="s">
        <v>847</v>
      </c>
      <c r="H44" s="41">
        <f>SUMIF($G$20:$G$39,F44,$H$20:$H$39)</f>
        <v>957.00000000000011</v>
      </c>
      <c r="I44" s="41">
        <f>ROUND(H44-(H44/(1+F44)),0)</f>
        <v>87</v>
      </c>
    </row>
    <row r="45" spans="2:9" s="23" customFormat="1" ht="26.4">
      <c r="B45" s="27"/>
      <c r="C45" s="27"/>
      <c r="D45" s="5"/>
      <c r="E45" s="5"/>
      <c r="F45" s="29" t="s">
        <v>848</v>
      </c>
      <c r="G45" s="24" t="s">
        <v>847</v>
      </c>
      <c r="H45" s="41">
        <f>SUMIF($G$20:$G$39,F45,$H$20:$H$39)</f>
        <v>0</v>
      </c>
      <c r="I45" s="41"/>
    </row>
    <row r="47" spans="2:9" ht="22.2">
      <c r="B47" s="32" t="s">
        <v>850</v>
      </c>
    </row>
    <row r="48" spans="2:9" ht="18">
      <c r="B48" s="6"/>
      <c r="C48" s="7"/>
      <c r="D48" s="7"/>
      <c r="E48" s="7"/>
      <c r="F48" s="7"/>
      <c r="G48" s="7"/>
      <c r="H48" s="7"/>
      <c r="I48" s="8"/>
    </row>
    <row r="49" spans="2:9" ht="18">
      <c r="B49" s="33"/>
      <c r="I49" s="10"/>
    </row>
    <row r="50" spans="2:9" ht="18">
      <c r="B50" s="33"/>
      <c r="I50" s="10"/>
    </row>
    <row r="51" spans="2:9" ht="18">
      <c r="B51" s="33"/>
      <c r="I51" s="10"/>
    </row>
    <row r="52" spans="2:9" ht="18">
      <c r="B52" s="33"/>
      <c r="I52" s="10"/>
    </row>
    <row r="53" spans="2:9" ht="18">
      <c r="B53" s="33"/>
      <c r="I53" s="10"/>
    </row>
    <row r="54" spans="2:9" ht="18">
      <c r="B54" s="33"/>
      <c r="I54" s="10"/>
    </row>
    <row r="55" spans="2:9" ht="18">
      <c r="B55" s="33"/>
      <c r="I55" s="10"/>
    </row>
    <row r="56" spans="2:9" ht="18">
      <c r="B56" s="34"/>
      <c r="C56" s="14"/>
      <c r="D56" s="14"/>
      <c r="E56" s="14"/>
      <c r="F56" s="14"/>
      <c r="G56" s="14"/>
      <c r="H56" s="14"/>
      <c r="I56" s="15"/>
    </row>
  </sheetData>
  <mergeCells count="2">
    <mergeCell ref="B3:I3"/>
    <mergeCell ref="B15:E16"/>
  </mergeCells>
  <phoneticPr fontId="3"/>
  <conditionalFormatting sqref="H40">
    <cfRule type="cellIs" dxfId="1" priority="2" operator="notEqual">
      <formula>$H$43+$H$44+$H$45</formula>
    </cfRule>
  </conditionalFormatting>
  <conditionalFormatting sqref="I5">
    <cfRule type="cellIs" dxfId="0" priority="1" operator="equal">
      <formula>0</formula>
    </cfRule>
  </conditionalFormatting>
  <pageMargins left="0.7" right="0.7" top="0.75" bottom="0.75" header="0.3" footer="0.3"/>
  <pageSetup paperSize="9" scale="5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17</vt:i4>
      </vt:variant>
      <vt:variant>
        <vt:lpstr>名前付き一覧</vt:lpstr>
      </vt:variant>
      <vt:variant>
        <vt:i4>8</vt:i4>
      </vt:variant>
    </vt:vector>
  </HeadingPairs>
  <TitlesOfParts>
    <vt:vector size="25" baseType="lpstr">
      <vt:lpstr>仕入先マスタ</vt:lpstr>
      <vt:lpstr>商品マスタ</vt:lpstr>
      <vt:lpstr>案件番号採番</vt:lpstr>
      <vt:lpstr>顧客与信管理</vt:lpstr>
      <vt:lpstr>案件明細</vt:lpstr>
      <vt:lpstr>案件追跡表</vt:lpstr>
      <vt:lpstr>見積書</vt:lpstr>
      <vt:lpstr>注文確認メール</vt:lpstr>
      <vt:lpstr>発注書</vt:lpstr>
      <vt:lpstr>納品書</vt:lpstr>
      <vt:lpstr>請求書</vt:lpstr>
      <vt:lpstr>請求書 (前払)</vt:lpstr>
      <vt:lpstr>入力ルール用シート</vt:lpstr>
      <vt:lpstr>画像収集_優先リスト</vt:lpstr>
      <vt:lpstr>案件集計</vt:lpstr>
      <vt:lpstr>見積書 (内税)</vt:lpstr>
      <vt:lpstr>請求書 (内税)</vt:lpstr>
      <vt:lpstr>見積書!Print_Area</vt:lpstr>
      <vt:lpstr>'見積書 (内税)'!Print_Area</vt:lpstr>
      <vt:lpstr>商品マスタ!Print_Area</vt:lpstr>
      <vt:lpstr>請求書!Print_Area</vt:lpstr>
      <vt:lpstr>'請求書 (前払)'!Print_Area</vt:lpstr>
      <vt:lpstr>'請求書 (内税)'!Print_Area</vt:lpstr>
      <vt:lpstr>納品書!Print_Area</vt:lpstr>
      <vt:lpstr>発注書!Print_Area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大阪ＳＮＪ新日本海商事</dc:creator>
  <cp:keywords/>
  <dc:description/>
  <cp:lastModifiedBy>大阪ＳＮＪ新日本海商事</cp:lastModifiedBy>
  <cp:revision/>
  <cp:lastPrinted>2026-03-11T07:40:22Z</cp:lastPrinted>
  <dcterms:created xsi:type="dcterms:W3CDTF">2025-10-15T07:41:08Z</dcterms:created>
  <dcterms:modified xsi:type="dcterms:W3CDTF">2026-03-17T00:10:11Z</dcterms:modified>
  <cp:category/>
  <cp:contentStatus/>
</cp:coreProperties>
</file>